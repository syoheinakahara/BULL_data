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8C4F1C90-05EB-6A55-5F09-09C24B55AC0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6400" yWindow="4980" windowWidth="32000" windowHeight="19480" tabRatio="931" activeTab="1"/>
  </bookViews>
  <sheets>
    <sheet name="output" sheetId="29" r:id="rId1"/>
    <sheet name="enemies" sheetId="15" r:id="rId2"/>
    <sheet name="enemy_base_stats" sheetId="26" r:id="rId3"/>
    <sheet name="サイズ別係数" sheetId="9" r:id="rId4"/>
    <sheet name="ラベル別係数" sheetId="7" r:id="rId5"/>
    <sheet name="ターン数別攻撃係数" sheetId="8" r:id="rId6"/>
    <sheet name="特殊モンスターレベル" sheetId="11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enemies!$A$1:$AQ$490</definedName>
    <definedName name="Excel_BuiltIn__FilterDatabase_6_1" localSheetId="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" l="1"/>
  <c r="B2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AC2" i="15"/>
  <c r="AG2" i="15"/>
  <c r="AH2" i="15"/>
  <c r="AI2" i="15"/>
  <c r="AJ2" i="15"/>
  <c r="AK2" i="15"/>
  <c r="AL2" i="15"/>
  <c r="AM2" i="15"/>
  <c r="AQ2" i="15"/>
  <c r="AQ1465" i="15"/>
  <c r="M1465" i="15"/>
  <c r="AM1465" i="15"/>
  <c r="C1465" i="15"/>
  <c r="X1465" i="15"/>
  <c r="AA1465" i="15"/>
  <c r="H1465" i="15"/>
  <c r="L1465" i="15"/>
  <c r="Q1465" i="15"/>
  <c r="D1465" i="15"/>
  <c r="G1465" i="15"/>
  <c r="U1465" i="15"/>
  <c r="AL1465" i="15"/>
  <c r="Z1465" i="15"/>
  <c r="K1465" i="15"/>
  <c r="P1465" i="15"/>
  <c r="F1465" i="15"/>
  <c r="T1465" i="15"/>
  <c r="W1465" i="15"/>
  <c r="AK1465" i="15"/>
  <c r="Y1465" i="15"/>
  <c r="J1465" i="15"/>
  <c r="O1465" i="15"/>
  <c r="E1465" i="15"/>
  <c r="S1465" i="15"/>
  <c r="AJ1465" i="15"/>
  <c r="AI1465" i="15"/>
  <c r="AH1465" i="15"/>
  <c r="AG1465" i="15"/>
  <c r="AC1465" i="15"/>
  <c r="N1465" i="15"/>
  <c r="I1465" i="15"/>
  <c r="B1465" i="15"/>
  <c r="AQ1464" i="15"/>
  <c r="M1464" i="15"/>
  <c r="AM1464" i="15"/>
  <c r="C1464" i="15"/>
  <c r="X1464" i="15"/>
  <c r="AA1464" i="15"/>
  <c r="H1464" i="15"/>
  <c r="L1464" i="15"/>
  <c r="Q1464" i="15"/>
  <c r="D1464" i="15"/>
  <c r="G1464" i="15"/>
  <c r="U1464" i="15"/>
  <c r="AL1464" i="15"/>
  <c r="Z1464" i="15"/>
  <c r="K1464" i="15"/>
  <c r="P1464" i="15"/>
  <c r="F1464" i="15"/>
  <c r="T1464" i="15"/>
  <c r="W1464" i="15"/>
  <c r="AK1464" i="15"/>
  <c r="Y1464" i="15"/>
  <c r="J1464" i="15"/>
  <c r="O1464" i="15"/>
  <c r="E1464" i="15"/>
  <c r="S1464" i="15"/>
  <c r="AJ1464" i="15"/>
  <c r="AI1464" i="15"/>
  <c r="AH1464" i="15"/>
  <c r="AG1464" i="15"/>
  <c r="AC1464" i="15"/>
  <c r="N1464" i="15"/>
  <c r="I1464" i="15"/>
  <c r="B1464" i="15"/>
  <c r="Y2" i="15"/>
  <c r="S2" i="15"/>
  <c r="Z2" i="15"/>
  <c r="T2" i="15"/>
  <c r="W2" i="15"/>
  <c r="AA2" i="15"/>
  <c r="U2" i="15"/>
  <c r="AQ1455" i="15"/>
  <c r="M1455" i="15"/>
  <c r="AM1455" i="15"/>
  <c r="C1455" i="15"/>
  <c r="X1455" i="15"/>
  <c r="AA1455" i="15"/>
  <c r="H1455" i="15"/>
  <c r="L1455" i="15"/>
  <c r="Q1455" i="15"/>
  <c r="D1455" i="15"/>
  <c r="G1455" i="15"/>
  <c r="U1455" i="15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AL1455" i="15"/>
  <c r="Z1455" i="15"/>
  <c r="K1455" i="15"/>
  <c r="P1455" i="15"/>
  <c r="F1455" i="15"/>
  <c r="T1455" i="15"/>
  <c r="W1455" i="15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C101" i="26"/>
  <c r="AK1455" i="15"/>
  <c r="Y1455" i="15"/>
  <c r="J1455" i="15"/>
  <c r="O1455" i="15"/>
  <c r="E1455" i="15"/>
  <c r="S1455" i="15"/>
  <c r="AJ1455" i="15"/>
  <c r="AI1455" i="15"/>
  <c r="C2" i="26"/>
  <c r="AH1455" i="15"/>
  <c r="AG1455" i="15"/>
  <c r="AC1455" i="15"/>
  <c r="N1455" i="15"/>
  <c r="I1455" i="15"/>
  <c r="B1455" i="15"/>
  <c r="AQ1454" i="15"/>
  <c r="M1454" i="15"/>
  <c r="AM1454" i="15"/>
  <c r="C1454" i="15"/>
  <c r="X1454" i="15"/>
  <c r="AA1454" i="15"/>
  <c r="H1454" i="15"/>
  <c r="L1454" i="15"/>
  <c r="Q1454" i="15"/>
  <c r="D1454" i="15"/>
  <c r="G1454" i="15"/>
  <c r="U1454" i="15"/>
  <c r="AL1454" i="15"/>
  <c r="Z1454" i="15"/>
  <c r="K1454" i="15"/>
  <c r="P1454" i="15"/>
  <c r="F1454" i="15"/>
  <c r="T1454" i="15"/>
  <c r="W1454" i="15"/>
  <c r="AK1454" i="15"/>
  <c r="Y1454" i="15"/>
  <c r="J1454" i="15"/>
  <c r="O1454" i="15"/>
  <c r="E1454" i="15"/>
  <c r="S1454" i="15"/>
  <c r="AJ1454" i="15"/>
  <c r="AI1454" i="15"/>
  <c r="AH1454" i="15"/>
  <c r="AG1454" i="15"/>
  <c r="AC1454" i="15"/>
  <c r="N1454" i="15"/>
  <c r="I1454" i="15"/>
  <c r="B1454" i="15"/>
  <c r="AQ1453" i="15"/>
  <c r="M1453" i="15"/>
  <c r="AM1453" i="15"/>
  <c r="C1453" i="15"/>
  <c r="X1453" i="15"/>
  <c r="AA1453" i="15"/>
  <c r="H1453" i="15"/>
  <c r="L1453" i="15"/>
  <c r="Q1453" i="15"/>
  <c r="D1453" i="15"/>
  <c r="G1453" i="15"/>
  <c r="U1453" i="15"/>
  <c r="AL1453" i="15"/>
  <c r="Z1453" i="15"/>
  <c r="K1453" i="15"/>
  <c r="P1453" i="15"/>
  <c r="F1453" i="15"/>
  <c r="T1453" i="15"/>
  <c r="W1453" i="15"/>
  <c r="AK1453" i="15"/>
  <c r="Y1453" i="15"/>
  <c r="J1453" i="15"/>
  <c r="O1453" i="15"/>
  <c r="E1453" i="15"/>
  <c r="S1453" i="15"/>
  <c r="AJ1453" i="15"/>
  <c r="AI1453" i="15"/>
  <c r="AH1453" i="15"/>
  <c r="AG1453" i="15"/>
  <c r="AC1453" i="15"/>
  <c r="N1453" i="15"/>
  <c r="I1453" i="15"/>
  <c r="B1453" i="15"/>
  <c r="AQ1452" i="15"/>
  <c r="M1452" i="15"/>
  <c r="AM1452" i="15"/>
  <c r="C1452" i="15"/>
  <c r="X1452" i="15"/>
  <c r="AA1452" i="15"/>
  <c r="H1452" i="15"/>
  <c r="L1452" i="15"/>
  <c r="Q1452" i="15"/>
  <c r="D1452" i="15"/>
  <c r="G1452" i="15"/>
  <c r="U1452" i="15"/>
  <c r="AL1452" i="15"/>
  <c r="Z1452" i="15"/>
  <c r="K1452" i="15"/>
  <c r="P1452" i="15"/>
  <c r="F1452" i="15"/>
  <c r="T1452" i="15"/>
  <c r="W1452" i="15"/>
  <c r="AK1452" i="15"/>
  <c r="Y1452" i="15"/>
  <c r="J1452" i="15"/>
  <c r="O1452" i="15"/>
  <c r="E1452" i="15"/>
  <c r="S1452" i="15"/>
  <c r="AJ1452" i="15"/>
  <c r="AI1452" i="15"/>
  <c r="AH1452" i="15"/>
  <c r="AG1452" i="15"/>
  <c r="AC1452" i="15"/>
  <c r="N1452" i="15"/>
  <c r="I1452" i="15"/>
  <c r="B1452" i="15"/>
  <c r="AQ1451" i="15"/>
  <c r="M1451" i="15"/>
  <c r="AM1451" i="15"/>
  <c r="C1451" i="15"/>
  <c r="X1451" i="15"/>
  <c r="AA1451" i="15"/>
  <c r="H1451" i="15"/>
  <c r="L1451" i="15"/>
  <c r="Q1451" i="15"/>
  <c r="D1451" i="15"/>
  <c r="G1451" i="15"/>
  <c r="U1451" i="15"/>
  <c r="AL1451" i="15"/>
  <c r="Z1451" i="15"/>
  <c r="K1451" i="15"/>
  <c r="P1451" i="15"/>
  <c r="F1451" i="15"/>
  <c r="T1451" i="15"/>
  <c r="W1451" i="15"/>
  <c r="AK1451" i="15"/>
  <c r="Y1451" i="15"/>
  <c r="J1451" i="15"/>
  <c r="O1451" i="15"/>
  <c r="E1451" i="15"/>
  <c r="S1451" i="15"/>
  <c r="AJ1451" i="15"/>
  <c r="AI1451" i="15"/>
  <c r="AH1451" i="15"/>
  <c r="AG1451" i="15"/>
  <c r="AC1451" i="15"/>
  <c r="N1451" i="15"/>
  <c r="I1451" i="15"/>
  <c r="B1451" i="15"/>
  <c r="AQ1450" i="15"/>
  <c r="M1450" i="15"/>
  <c r="AM1450" i="15"/>
  <c r="C1450" i="15"/>
  <c r="X1450" i="15"/>
  <c r="AA1450" i="15"/>
  <c r="H1450" i="15"/>
  <c r="L1450" i="15"/>
  <c r="Q1450" i="15"/>
  <c r="D1450" i="15"/>
  <c r="G1450" i="15"/>
  <c r="U1450" i="15"/>
  <c r="AL1450" i="15"/>
  <c r="Z1450" i="15"/>
  <c r="K1450" i="15"/>
  <c r="P1450" i="15"/>
  <c r="F1450" i="15"/>
  <c r="T1450" i="15"/>
  <c r="W1450" i="15"/>
  <c r="AK1450" i="15"/>
  <c r="Y1450" i="15"/>
  <c r="J1450" i="15"/>
  <c r="O1450" i="15"/>
  <c r="E1450" i="15"/>
  <c r="S1450" i="15"/>
  <c r="AJ1450" i="15"/>
  <c r="AI1450" i="15"/>
  <c r="AH1450" i="15"/>
  <c r="AG1450" i="15"/>
  <c r="AC1450" i="15"/>
  <c r="N1450" i="15"/>
  <c r="I1450" i="15"/>
  <c r="B1450" i="15"/>
  <c r="AQ1449" i="15"/>
  <c r="M1449" i="15"/>
  <c r="AM1449" i="15"/>
  <c r="C1449" i="15"/>
  <c r="X1449" i="15"/>
  <c r="AA1449" i="15"/>
  <c r="H1449" i="15"/>
  <c r="L1449" i="15"/>
  <c r="Q1449" i="15"/>
  <c r="D1449" i="15"/>
  <c r="G1449" i="15"/>
  <c r="U1449" i="15"/>
  <c r="AL1449" i="15"/>
  <c r="Z1449" i="15"/>
  <c r="K1449" i="15"/>
  <c r="P1449" i="15"/>
  <c r="F1449" i="15"/>
  <c r="T1449" i="15"/>
  <c r="W1449" i="15"/>
  <c r="AK1449" i="15"/>
  <c r="Y1449" i="15"/>
  <c r="J1449" i="15"/>
  <c r="O1449" i="15"/>
  <c r="E1449" i="15"/>
  <c r="S1449" i="15"/>
  <c r="AJ1449" i="15"/>
  <c r="AI1449" i="15"/>
  <c r="AH1449" i="15"/>
  <c r="AG1449" i="15"/>
  <c r="AC1449" i="15"/>
  <c r="N1449" i="15"/>
  <c r="I1449" i="15"/>
  <c r="B1449" i="15"/>
  <c r="AQ1448" i="15"/>
  <c r="M1448" i="15"/>
  <c r="AM1448" i="15"/>
  <c r="AC1448" i="15"/>
  <c r="C1448" i="15"/>
  <c r="X1448" i="15"/>
  <c r="AA1448" i="15"/>
  <c r="Z1448" i="15"/>
  <c r="Y1448" i="15"/>
  <c r="W1448" i="15"/>
  <c r="U1448" i="15"/>
  <c r="T1448" i="15"/>
  <c r="S1448" i="15"/>
  <c r="Q1448" i="15"/>
  <c r="P1448" i="15"/>
  <c r="O1448" i="15"/>
  <c r="N1448" i="15"/>
  <c r="H1448" i="15"/>
  <c r="L1448" i="15"/>
  <c r="K1448" i="15"/>
  <c r="J1448" i="15"/>
  <c r="I1448" i="15"/>
  <c r="D1448" i="15"/>
  <c r="G1448" i="15"/>
  <c r="F1448" i="15"/>
  <c r="E1448" i="15"/>
  <c r="B1448" i="15"/>
  <c r="AQ1447" i="15"/>
  <c r="M1447" i="15"/>
  <c r="AM1447" i="15"/>
  <c r="C1447" i="15"/>
  <c r="X1447" i="15"/>
  <c r="AA1447" i="15"/>
  <c r="H1447" i="15"/>
  <c r="L1447" i="15"/>
  <c r="Q1447" i="15"/>
  <c r="D1447" i="15"/>
  <c r="G1447" i="15"/>
  <c r="U1447" i="15"/>
  <c r="AL1447" i="15"/>
  <c r="Z1447" i="15"/>
  <c r="K1447" i="15"/>
  <c r="P1447" i="15"/>
  <c r="F1447" i="15"/>
  <c r="T1447" i="15"/>
  <c r="W1447" i="15"/>
  <c r="AK1447" i="15"/>
  <c r="Y1447" i="15"/>
  <c r="J1447" i="15"/>
  <c r="O1447" i="15"/>
  <c r="E1447" i="15"/>
  <c r="S1447" i="15"/>
  <c r="AJ1447" i="15"/>
  <c r="AI1447" i="15"/>
  <c r="AH1447" i="15"/>
  <c r="AG1447" i="15"/>
  <c r="AC1447" i="15"/>
  <c r="N1447" i="15"/>
  <c r="I1447" i="15"/>
  <c r="B1447" i="15"/>
  <c r="AQ1446" i="15"/>
  <c r="M1446" i="15"/>
  <c r="AM1446" i="15"/>
  <c r="C1446" i="15"/>
  <c r="X1446" i="15"/>
  <c r="AA1446" i="15"/>
  <c r="H1446" i="15"/>
  <c r="L1446" i="15"/>
  <c r="Q1446" i="15"/>
  <c r="D1446" i="15"/>
  <c r="G1446" i="15"/>
  <c r="U1446" i="15"/>
  <c r="AL1446" i="15"/>
  <c r="Z1446" i="15"/>
  <c r="K1446" i="15"/>
  <c r="P1446" i="15"/>
  <c r="F1446" i="15"/>
  <c r="T1446" i="15"/>
  <c r="W1446" i="15"/>
  <c r="AK1446" i="15"/>
  <c r="Y1446" i="15"/>
  <c r="J1446" i="15"/>
  <c r="O1446" i="15"/>
  <c r="E1446" i="15"/>
  <c r="S1446" i="15"/>
  <c r="AJ1446" i="15"/>
  <c r="AI1446" i="15"/>
  <c r="AH1446" i="15"/>
  <c r="AG1446" i="15"/>
  <c r="AC1446" i="15"/>
  <c r="N1446" i="15"/>
  <c r="I1446" i="15"/>
  <c r="B1446" i="15"/>
  <c r="AQ1445" i="15"/>
  <c r="M1445" i="15"/>
  <c r="AM1445" i="15"/>
  <c r="C1445" i="15"/>
  <c r="X1445" i="15"/>
  <c r="AA1445" i="15"/>
  <c r="H1445" i="15"/>
  <c r="L1445" i="15"/>
  <c r="Q1445" i="15"/>
  <c r="D1445" i="15"/>
  <c r="G1445" i="15"/>
  <c r="U1445" i="15"/>
  <c r="AL1445" i="15"/>
  <c r="Z1445" i="15"/>
  <c r="K1445" i="15"/>
  <c r="P1445" i="15"/>
  <c r="F1445" i="15"/>
  <c r="T1445" i="15"/>
  <c r="W1445" i="15"/>
  <c r="AK1445" i="15"/>
  <c r="Y1445" i="15"/>
  <c r="J1445" i="15"/>
  <c r="O1445" i="15"/>
  <c r="E1445" i="15"/>
  <c r="S1445" i="15"/>
  <c r="AJ1445" i="15"/>
  <c r="AI1445" i="15"/>
  <c r="AH1445" i="15"/>
  <c r="AG1445" i="15"/>
  <c r="AC1445" i="15"/>
  <c r="N1445" i="15"/>
  <c r="I1445" i="15"/>
  <c r="B1445" i="15"/>
  <c r="AQ1444" i="15"/>
  <c r="M1444" i="15"/>
  <c r="AM1444" i="15"/>
  <c r="C1444" i="15"/>
  <c r="X1444" i="15"/>
  <c r="AA1444" i="15"/>
  <c r="H1444" i="15"/>
  <c r="L1444" i="15"/>
  <c r="Q1444" i="15"/>
  <c r="D1444" i="15"/>
  <c r="G1444" i="15"/>
  <c r="U1444" i="15"/>
  <c r="AL1444" i="15"/>
  <c r="Z1444" i="15"/>
  <c r="K1444" i="15"/>
  <c r="P1444" i="15"/>
  <c r="F1444" i="15"/>
  <c r="T1444" i="15"/>
  <c r="W1444" i="15"/>
  <c r="AK1444" i="15"/>
  <c r="Y1444" i="15"/>
  <c r="J1444" i="15"/>
  <c r="O1444" i="15"/>
  <c r="E1444" i="15"/>
  <c r="S1444" i="15"/>
  <c r="AJ1444" i="15"/>
  <c r="AI1444" i="15"/>
  <c r="AH1444" i="15"/>
  <c r="AG1444" i="15"/>
  <c r="AC1444" i="15"/>
  <c r="N1444" i="15"/>
  <c r="I1444" i="15"/>
  <c r="B1444" i="15"/>
  <c r="AQ1443" i="15"/>
  <c r="M1443" i="15"/>
  <c r="AM1443" i="15"/>
  <c r="C1443" i="15"/>
  <c r="X1443" i="15"/>
  <c r="AA1443" i="15"/>
  <c r="H1443" i="15"/>
  <c r="L1443" i="15"/>
  <c r="Q1443" i="15"/>
  <c r="D1443" i="15"/>
  <c r="G1443" i="15"/>
  <c r="U1443" i="15"/>
  <c r="AL1443" i="15"/>
  <c r="Z1443" i="15"/>
  <c r="K1443" i="15"/>
  <c r="P1443" i="15"/>
  <c r="F1443" i="15"/>
  <c r="T1443" i="15"/>
  <c r="W1443" i="15"/>
  <c r="AK1443" i="15"/>
  <c r="Y1443" i="15"/>
  <c r="J1443" i="15"/>
  <c r="O1443" i="15"/>
  <c r="E1443" i="15"/>
  <c r="S1443" i="15"/>
  <c r="AJ1443" i="15"/>
  <c r="AI1443" i="15"/>
  <c r="AH1443" i="15"/>
  <c r="AG1443" i="15"/>
  <c r="AC1443" i="15"/>
  <c r="N1443" i="15"/>
  <c r="I1443" i="15"/>
  <c r="B1443" i="15"/>
  <c r="AQ1442" i="15"/>
  <c r="M1442" i="15"/>
  <c r="AM1442" i="15"/>
  <c r="C1442" i="15"/>
  <c r="X1442" i="15"/>
  <c r="AA1442" i="15"/>
  <c r="H1442" i="15"/>
  <c r="L1442" i="15"/>
  <c r="Q1442" i="15"/>
  <c r="D1442" i="15"/>
  <c r="G1442" i="15"/>
  <c r="U1442" i="15"/>
  <c r="AL1442" i="15"/>
  <c r="Z1442" i="15"/>
  <c r="K1442" i="15"/>
  <c r="P1442" i="15"/>
  <c r="F1442" i="15"/>
  <c r="T1442" i="15"/>
  <c r="W1442" i="15"/>
  <c r="AK1442" i="15"/>
  <c r="Y1442" i="15"/>
  <c r="J1442" i="15"/>
  <c r="O1442" i="15"/>
  <c r="E1442" i="15"/>
  <c r="S1442" i="15"/>
  <c r="AJ1442" i="15"/>
  <c r="AI1442" i="15"/>
  <c r="AH1442" i="15"/>
  <c r="AG1442" i="15"/>
  <c r="AC1442" i="15"/>
  <c r="N1442" i="15"/>
  <c r="I1442" i="15"/>
  <c r="B1442" i="15"/>
  <c r="AQ1441" i="15"/>
  <c r="M1441" i="15"/>
  <c r="AM1441" i="15"/>
  <c r="AC1441" i="15"/>
  <c r="C1441" i="15"/>
  <c r="X1441" i="15"/>
  <c r="AA1441" i="15"/>
  <c r="Z1441" i="15"/>
  <c r="Y1441" i="15"/>
  <c r="W1441" i="15"/>
  <c r="U1441" i="15"/>
  <c r="T1441" i="15"/>
  <c r="S1441" i="15"/>
  <c r="Q1441" i="15"/>
  <c r="P1441" i="15"/>
  <c r="O1441" i="15"/>
  <c r="N1441" i="15"/>
  <c r="H1441" i="15"/>
  <c r="L1441" i="15"/>
  <c r="K1441" i="15"/>
  <c r="J1441" i="15"/>
  <c r="I1441" i="15"/>
  <c r="D1441" i="15"/>
  <c r="G1441" i="15"/>
  <c r="F1441" i="15"/>
  <c r="E1441" i="15"/>
  <c r="B1441" i="15"/>
  <c r="AQ1440" i="15"/>
  <c r="M1440" i="15"/>
  <c r="AM1440" i="15"/>
  <c r="AC1440" i="15"/>
  <c r="C1440" i="15"/>
  <c r="X1440" i="15"/>
  <c r="AA1440" i="15"/>
  <c r="Z1440" i="15"/>
  <c r="Y1440" i="15"/>
  <c r="W1440" i="15"/>
  <c r="U1440" i="15"/>
  <c r="T1440" i="15"/>
  <c r="S1440" i="15"/>
  <c r="Q1440" i="15"/>
  <c r="P1440" i="15"/>
  <c r="O1440" i="15"/>
  <c r="N1440" i="15"/>
  <c r="H1440" i="15"/>
  <c r="L1440" i="15"/>
  <c r="K1440" i="15"/>
  <c r="J1440" i="15"/>
  <c r="I1440" i="15"/>
  <c r="D1440" i="15"/>
  <c r="G1440" i="15"/>
  <c r="F1440" i="15"/>
  <c r="E1440" i="15"/>
  <c r="B1440" i="15"/>
  <c r="AQ1439" i="15"/>
  <c r="M1439" i="15"/>
  <c r="AM1439" i="15"/>
  <c r="C1439" i="15"/>
  <c r="X1439" i="15"/>
  <c r="AA1439" i="15"/>
  <c r="H1439" i="15"/>
  <c r="L1439" i="15"/>
  <c r="Q1439" i="15"/>
  <c r="D1439" i="15"/>
  <c r="G1439" i="15"/>
  <c r="U1439" i="15"/>
  <c r="AL1439" i="15"/>
  <c r="Z1439" i="15"/>
  <c r="K1439" i="15"/>
  <c r="P1439" i="15"/>
  <c r="F1439" i="15"/>
  <c r="T1439" i="15"/>
  <c r="W1439" i="15"/>
  <c r="AK1439" i="15"/>
  <c r="Y1439" i="15"/>
  <c r="J1439" i="15"/>
  <c r="O1439" i="15"/>
  <c r="E1439" i="15"/>
  <c r="S1439" i="15"/>
  <c r="AJ1439" i="15"/>
  <c r="AI1439" i="15"/>
  <c r="AH1439" i="15"/>
  <c r="AG1439" i="15"/>
  <c r="AC1439" i="15"/>
  <c r="N1439" i="15"/>
  <c r="I1439" i="15"/>
  <c r="B1439" i="15"/>
  <c r="AQ1438" i="15"/>
  <c r="M1438" i="15"/>
  <c r="AM1438" i="15"/>
  <c r="C1438" i="15"/>
  <c r="X1438" i="15"/>
  <c r="AA1438" i="15"/>
  <c r="H1438" i="15"/>
  <c r="L1438" i="15"/>
  <c r="Q1438" i="15"/>
  <c r="D1438" i="15"/>
  <c r="G1438" i="15"/>
  <c r="U1438" i="15"/>
  <c r="AL1438" i="15"/>
  <c r="Z1438" i="15"/>
  <c r="K1438" i="15"/>
  <c r="P1438" i="15"/>
  <c r="F1438" i="15"/>
  <c r="T1438" i="15"/>
  <c r="W1438" i="15"/>
  <c r="Y1438" i="15"/>
  <c r="J1438" i="15"/>
  <c r="O1438" i="15"/>
  <c r="E1438" i="15"/>
  <c r="S1438" i="15"/>
  <c r="AI1438" i="15"/>
  <c r="AC1438" i="15"/>
  <c r="N1438" i="15"/>
  <c r="I1438" i="15"/>
  <c r="B1438" i="15"/>
  <c r="AQ1437" i="15"/>
  <c r="M1437" i="15"/>
  <c r="AM1437" i="15"/>
  <c r="C1437" i="15"/>
  <c r="X1437" i="15"/>
  <c r="AA1437" i="15"/>
  <c r="H1437" i="15"/>
  <c r="L1437" i="15"/>
  <c r="Q1437" i="15"/>
  <c r="D1437" i="15"/>
  <c r="G1437" i="15"/>
  <c r="U1437" i="15"/>
  <c r="AL1437" i="15"/>
  <c r="Z1437" i="15"/>
  <c r="K1437" i="15"/>
  <c r="P1437" i="15"/>
  <c r="F1437" i="15"/>
  <c r="T1437" i="15"/>
  <c r="W1437" i="15"/>
  <c r="Y1437" i="15"/>
  <c r="J1437" i="15"/>
  <c r="O1437" i="15"/>
  <c r="E1437" i="15"/>
  <c r="S1437" i="15"/>
  <c r="AI1437" i="15"/>
  <c r="AC1437" i="15"/>
  <c r="N1437" i="15"/>
  <c r="I1437" i="15"/>
  <c r="B1437" i="15"/>
  <c r="AQ1436" i="15"/>
  <c r="M1436" i="15"/>
  <c r="AM1436" i="15"/>
  <c r="C1436" i="15"/>
  <c r="X1436" i="15"/>
  <c r="AA1436" i="15"/>
  <c r="H1436" i="15"/>
  <c r="L1436" i="15"/>
  <c r="Q1436" i="15"/>
  <c r="D1436" i="15"/>
  <c r="G1436" i="15"/>
  <c r="U1436" i="15"/>
  <c r="AL1436" i="15"/>
  <c r="Z1436" i="15"/>
  <c r="K1436" i="15"/>
  <c r="P1436" i="15"/>
  <c r="F1436" i="15"/>
  <c r="T1436" i="15"/>
  <c r="W1436" i="15"/>
  <c r="AK1436" i="15"/>
  <c r="Y1436" i="15"/>
  <c r="J1436" i="15"/>
  <c r="O1436" i="15"/>
  <c r="E1436" i="15"/>
  <c r="S1436" i="15"/>
  <c r="AJ1436" i="15"/>
  <c r="AI1436" i="15"/>
  <c r="AH1436" i="15"/>
  <c r="AG1436" i="15"/>
  <c r="AC1436" i="15"/>
  <c r="N1436" i="15"/>
  <c r="I1436" i="15"/>
  <c r="B1436" i="15"/>
  <c r="AQ1435" i="15"/>
  <c r="M1435" i="15"/>
  <c r="AM1435" i="15"/>
  <c r="AC1435" i="15"/>
  <c r="C1435" i="15"/>
  <c r="X1435" i="15"/>
  <c r="AA1435" i="15"/>
  <c r="Z1435" i="15"/>
  <c r="Y1435" i="15"/>
  <c r="W1435" i="15"/>
  <c r="U1435" i="15"/>
  <c r="T1435" i="15"/>
  <c r="S1435" i="15"/>
  <c r="Q1435" i="15"/>
  <c r="P1435" i="15"/>
  <c r="O1435" i="15"/>
  <c r="N1435" i="15"/>
  <c r="H1435" i="15"/>
  <c r="L1435" i="15"/>
  <c r="K1435" i="15"/>
  <c r="J1435" i="15"/>
  <c r="I1435" i="15"/>
  <c r="D1435" i="15"/>
  <c r="G1435" i="15"/>
  <c r="F1435" i="15"/>
  <c r="E1435" i="15"/>
  <c r="B1435" i="15"/>
  <c r="AQ1434" i="15"/>
  <c r="M1434" i="15"/>
  <c r="AM1434" i="15"/>
  <c r="C1434" i="15"/>
  <c r="X1434" i="15"/>
  <c r="AA1434" i="15"/>
  <c r="H1434" i="15"/>
  <c r="L1434" i="15"/>
  <c r="Q1434" i="15"/>
  <c r="D1434" i="15"/>
  <c r="G1434" i="15"/>
  <c r="U1434" i="15"/>
  <c r="AL1434" i="15"/>
  <c r="Z1434" i="15"/>
  <c r="K1434" i="15"/>
  <c r="P1434" i="15"/>
  <c r="F1434" i="15"/>
  <c r="T1434" i="15"/>
  <c r="W1434" i="15"/>
  <c r="Y1434" i="15"/>
  <c r="J1434" i="15"/>
  <c r="O1434" i="15"/>
  <c r="E1434" i="15"/>
  <c r="S1434" i="15"/>
  <c r="AI1434" i="15"/>
  <c r="AC1434" i="15"/>
  <c r="N1434" i="15"/>
  <c r="I1434" i="15"/>
  <c r="B1434" i="15"/>
  <c r="AQ1433" i="15"/>
  <c r="M1433" i="15"/>
  <c r="AM1433" i="15"/>
  <c r="C1433" i="15"/>
  <c r="X1433" i="15"/>
  <c r="AA1433" i="15"/>
  <c r="H1433" i="15"/>
  <c r="L1433" i="15"/>
  <c r="Q1433" i="15"/>
  <c r="D1433" i="15"/>
  <c r="G1433" i="15"/>
  <c r="U1433" i="15"/>
  <c r="AL1433" i="15"/>
  <c r="Z1433" i="15"/>
  <c r="K1433" i="15"/>
  <c r="P1433" i="15"/>
  <c r="F1433" i="15"/>
  <c r="T1433" i="15"/>
  <c r="W1433" i="15"/>
  <c r="Y1433" i="15"/>
  <c r="J1433" i="15"/>
  <c r="O1433" i="15"/>
  <c r="E1433" i="15"/>
  <c r="S1433" i="15"/>
  <c r="AI1433" i="15"/>
  <c r="AC1433" i="15"/>
  <c r="N1433" i="15"/>
  <c r="I1433" i="15"/>
  <c r="B1433" i="15"/>
  <c r="AQ1324" i="15"/>
  <c r="M1324" i="15"/>
  <c r="AM1324" i="15"/>
  <c r="C1324" i="15"/>
  <c r="X1324" i="15"/>
  <c r="AA1324" i="15"/>
  <c r="H1324" i="15"/>
  <c r="L1324" i="15"/>
  <c r="Q1324" i="15"/>
  <c r="D1324" i="15"/>
  <c r="G1324" i="15"/>
  <c r="U1324" i="15"/>
  <c r="AL1324" i="15"/>
  <c r="Z1324" i="15"/>
  <c r="K1324" i="15"/>
  <c r="P1324" i="15"/>
  <c r="F1324" i="15"/>
  <c r="T1324" i="15"/>
  <c r="W1324" i="15"/>
  <c r="AK1324" i="15"/>
  <c r="Y1324" i="15"/>
  <c r="J1324" i="15"/>
  <c r="O1324" i="15"/>
  <c r="E1324" i="15"/>
  <c r="S1324" i="15"/>
  <c r="AJ1324" i="15"/>
  <c r="AI1324" i="15"/>
  <c r="AH1324" i="15"/>
  <c r="AG1324" i="15"/>
  <c r="AC1324" i="15"/>
  <c r="N1324" i="15"/>
  <c r="I1324" i="15"/>
  <c r="B1324" i="15"/>
  <c r="AQ1323" i="15"/>
  <c r="M1323" i="15"/>
  <c r="AM1323" i="15"/>
  <c r="C1323" i="15"/>
  <c r="X1323" i="15"/>
  <c r="AA1323" i="15"/>
  <c r="H1323" i="15"/>
  <c r="L1323" i="15"/>
  <c r="Q1323" i="15"/>
  <c r="D1323" i="15"/>
  <c r="G1323" i="15"/>
  <c r="U1323" i="15"/>
  <c r="AL1323" i="15"/>
  <c r="Z1323" i="15"/>
  <c r="K1323" i="15"/>
  <c r="P1323" i="15"/>
  <c r="F1323" i="15"/>
  <c r="T1323" i="15"/>
  <c r="W1323" i="15"/>
  <c r="AK1323" i="15"/>
  <c r="Y1323" i="15"/>
  <c r="J1323" i="15"/>
  <c r="O1323" i="15"/>
  <c r="E1323" i="15"/>
  <c r="S1323" i="15"/>
  <c r="AJ1323" i="15"/>
  <c r="AI1323" i="15"/>
  <c r="AH1323" i="15"/>
  <c r="AG1323" i="15"/>
  <c r="AC1323" i="15"/>
  <c r="N1323" i="15"/>
  <c r="I1323" i="15"/>
  <c r="B1323" i="15"/>
  <c r="AQ1609" i="15"/>
  <c r="M1609" i="15"/>
  <c r="AM1609" i="15"/>
  <c r="C1609" i="15"/>
  <c r="X1609" i="15"/>
  <c r="AA1609" i="15"/>
  <c r="H1609" i="15"/>
  <c r="L1609" i="15"/>
  <c r="Q1609" i="15"/>
  <c r="D1609" i="15"/>
  <c r="G1609" i="15"/>
  <c r="U1609" i="15"/>
  <c r="AL1609" i="15"/>
  <c r="Z1609" i="15"/>
  <c r="K1609" i="15"/>
  <c r="P1609" i="15"/>
  <c r="F1609" i="15"/>
  <c r="T1609" i="15"/>
  <c r="W1609" i="15"/>
  <c r="AK1609" i="15"/>
  <c r="Y1609" i="15"/>
  <c r="J1609" i="15"/>
  <c r="O1609" i="15"/>
  <c r="E1609" i="15"/>
  <c r="S1609" i="15"/>
  <c r="AJ1609" i="15"/>
  <c r="AI1609" i="15"/>
  <c r="AH1609" i="15"/>
  <c r="AG1609" i="15"/>
  <c r="AC1609" i="15"/>
  <c r="N1609" i="15"/>
  <c r="I1609" i="15"/>
  <c r="B1609" i="15"/>
  <c r="AQ1608" i="15"/>
  <c r="M1608" i="15"/>
  <c r="AM1608" i="15"/>
  <c r="C1608" i="15"/>
  <c r="X1608" i="15"/>
  <c r="AA1608" i="15"/>
  <c r="H1608" i="15"/>
  <c r="L1608" i="15"/>
  <c r="Q1608" i="15"/>
  <c r="D1608" i="15"/>
  <c r="G1608" i="15"/>
  <c r="U1608" i="15"/>
  <c r="AL1608" i="15"/>
  <c r="Z1608" i="15"/>
  <c r="K1608" i="15"/>
  <c r="P1608" i="15"/>
  <c r="F1608" i="15"/>
  <c r="T1608" i="15"/>
  <c r="W1608" i="15"/>
  <c r="AK1608" i="15"/>
  <c r="Y1608" i="15"/>
  <c r="J1608" i="15"/>
  <c r="O1608" i="15"/>
  <c r="E1608" i="15"/>
  <c r="S1608" i="15"/>
  <c r="AJ1608" i="15"/>
  <c r="AI1608" i="15"/>
  <c r="AH1608" i="15"/>
  <c r="AG1608" i="15"/>
  <c r="AC1608" i="15"/>
  <c r="N1608" i="15"/>
  <c r="I1608" i="15"/>
  <c r="B1608" i="15"/>
  <c r="AQ1607" i="15"/>
  <c r="M1607" i="15"/>
  <c r="AM1607" i="15"/>
  <c r="C1607" i="15"/>
  <c r="X1607" i="15"/>
  <c r="AA1607" i="15"/>
  <c r="H1607" i="15"/>
  <c r="L1607" i="15"/>
  <c r="Q1607" i="15"/>
  <c r="D1607" i="15"/>
  <c r="G1607" i="15"/>
  <c r="U1607" i="15"/>
  <c r="AL1607" i="15"/>
  <c r="Z1607" i="15"/>
  <c r="K1607" i="15"/>
  <c r="P1607" i="15"/>
  <c r="F1607" i="15"/>
  <c r="T1607" i="15"/>
  <c r="W1607" i="15"/>
  <c r="AK1607" i="15"/>
  <c r="Y1607" i="15"/>
  <c r="J1607" i="15"/>
  <c r="O1607" i="15"/>
  <c r="E1607" i="15"/>
  <c r="S1607" i="15"/>
  <c r="AJ1607" i="15"/>
  <c r="AI1607" i="15"/>
  <c r="AH1607" i="15"/>
  <c r="AG1607" i="15"/>
  <c r="AC1607" i="15"/>
  <c r="N1607" i="15"/>
  <c r="I1607" i="15"/>
  <c r="B1607" i="15"/>
  <c r="AQ1606" i="15"/>
  <c r="M1606" i="15"/>
  <c r="AM1606" i="15"/>
  <c r="C1606" i="15"/>
  <c r="X1606" i="15"/>
  <c r="AA1606" i="15"/>
  <c r="H1606" i="15"/>
  <c r="L1606" i="15"/>
  <c r="Q1606" i="15"/>
  <c r="D1606" i="15"/>
  <c r="G1606" i="15"/>
  <c r="U1606" i="15"/>
  <c r="AL1606" i="15"/>
  <c r="Z1606" i="15"/>
  <c r="K1606" i="15"/>
  <c r="P1606" i="15"/>
  <c r="F1606" i="15"/>
  <c r="T1606" i="15"/>
  <c r="W1606" i="15"/>
  <c r="AK1606" i="15"/>
  <c r="Y1606" i="15"/>
  <c r="J1606" i="15"/>
  <c r="O1606" i="15"/>
  <c r="E1606" i="15"/>
  <c r="S1606" i="15"/>
  <c r="AJ1606" i="15"/>
  <c r="AI1606" i="15"/>
  <c r="AH1606" i="15"/>
  <c r="AG1606" i="15"/>
  <c r="AC1606" i="15"/>
  <c r="N1606" i="15"/>
  <c r="I1606" i="15"/>
  <c r="B1606" i="15"/>
  <c r="AQ1605" i="15"/>
  <c r="M1605" i="15"/>
  <c r="AM1605" i="15"/>
  <c r="C1605" i="15"/>
  <c r="X1605" i="15"/>
  <c r="AA1605" i="15"/>
  <c r="H1605" i="15"/>
  <c r="L1605" i="15"/>
  <c r="Q1605" i="15"/>
  <c r="D1605" i="15"/>
  <c r="G1605" i="15"/>
  <c r="U1605" i="15"/>
  <c r="AL1605" i="15"/>
  <c r="Z1605" i="15"/>
  <c r="K1605" i="15"/>
  <c r="P1605" i="15"/>
  <c r="F1605" i="15"/>
  <c r="T1605" i="15"/>
  <c r="W1605" i="15"/>
  <c r="AK1605" i="15"/>
  <c r="Y1605" i="15"/>
  <c r="J1605" i="15"/>
  <c r="O1605" i="15"/>
  <c r="E1605" i="15"/>
  <c r="S1605" i="15"/>
  <c r="AJ1605" i="15"/>
  <c r="AI1605" i="15"/>
  <c r="AH1605" i="15"/>
  <c r="AG1605" i="15"/>
  <c r="AC1605" i="15"/>
  <c r="N1605" i="15"/>
  <c r="I1605" i="15"/>
  <c r="B1605" i="15"/>
  <c r="AQ1604" i="15"/>
  <c r="M1604" i="15"/>
  <c r="AM1604" i="15"/>
  <c r="C1604" i="15"/>
  <c r="X1604" i="15"/>
  <c r="AA1604" i="15"/>
  <c r="H1604" i="15"/>
  <c r="L1604" i="15"/>
  <c r="Q1604" i="15"/>
  <c r="D1604" i="15"/>
  <c r="G1604" i="15"/>
  <c r="U1604" i="15"/>
  <c r="AL1604" i="15"/>
  <c r="Z1604" i="15"/>
  <c r="K1604" i="15"/>
  <c r="P1604" i="15"/>
  <c r="F1604" i="15"/>
  <c r="T1604" i="15"/>
  <c r="W1604" i="15"/>
  <c r="AK1604" i="15"/>
  <c r="Y1604" i="15"/>
  <c r="J1604" i="15"/>
  <c r="O1604" i="15"/>
  <c r="E1604" i="15"/>
  <c r="S1604" i="15"/>
  <c r="AJ1604" i="15"/>
  <c r="AI1604" i="15"/>
  <c r="AH1604" i="15"/>
  <c r="AG1604" i="15"/>
  <c r="AC1604" i="15"/>
  <c r="N1604" i="15"/>
  <c r="I1604" i="15"/>
  <c r="B1604" i="15"/>
  <c r="AQ1603" i="15"/>
  <c r="M1603" i="15"/>
  <c r="AM1603" i="15"/>
  <c r="C1603" i="15"/>
  <c r="X1603" i="15"/>
  <c r="AA1603" i="15"/>
  <c r="H1603" i="15"/>
  <c r="L1603" i="15"/>
  <c r="Q1603" i="15"/>
  <c r="D1603" i="15"/>
  <c r="G1603" i="15"/>
  <c r="U1603" i="15"/>
  <c r="AL1603" i="15"/>
  <c r="Z1603" i="15"/>
  <c r="K1603" i="15"/>
  <c r="P1603" i="15"/>
  <c r="F1603" i="15"/>
  <c r="T1603" i="15"/>
  <c r="W1603" i="15"/>
  <c r="AK1603" i="15"/>
  <c r="Y1603" i="15"/>
  <c r="J1603" i="15"/>
  <c r="O1603" i="15"/>
  <c r="E1603" i="15"/>
  <c r="S1603" i="15"/>
  <c r="AJ1603" i="15"/>
  <c r="AI1603" i="15"/>
  <c r="AH1603" i="15"/>
  <c r="AG1603" i="15"/>
  <c r="AC1603" i="15"/>
  <c r="N1603" i="15"/>
  <c r="I1603" i="15"/>
  <c r="B1603" i="15"/>
  <c r="AQ1602" i="15"/>
  <c r="M1602" i="15"/>
  <c r="AM1602" i="15"/>
  <c r="C1602" i="15"/>
  <c r="X1602" i="15"/>
  <c r="AA1602" i="15"/>
  <c r="H1602" i="15"/>
  <c r="L1602" i="15"/>
  <c r="Q1602" i="15"/>
  <c r="D1602" i="15"/>
  <c r="G1602" i="15"/>
  <c r="U1602" i="15"/>
  <c r="AL1602" i="15"/>
  <c r="Z1602" i="15"/>
  <c r="K1602" i="15"/>
  <c r="P1602" i="15"/>
  <c r="F1602" i="15"/>
  <c r="T1602" i="15"/>
  <c r="W1602" i="15"/>
  <c r="AK1602" i="15"/>
  <c r="Y1602" i="15"/>
  <c r="J1602" i="15"/>
  <c r="O1602" i="15"/>
  <c r="E1602" i="15"/>
  <c r="S1602" i="15"/>
  <c r="AJ1602" i="15"/>
  <c r="AI1602" i="15"/>
  <c r="AH1602" i="15"/>
  <c r="AG1602" i="15"/>
  <c r="AC1602" i="15"/>
  <c r="N1602" i="15"/>
  <c r="I1602" i="15"/>
  <c r="B1602" i="15"/>
  <c r="AQ1601" i="15"/>
  <c r="M1601" i="15"/>
  <c r="AM1601" i="15"/>
  <c r="C1601" i="15"/>
  <c r="X1601" i="15"/>
  <c r="AA1601" i="15"/>
  <c r="H1601" i="15"/>
  <c r="L1601" i="15"/>
  <c r="Q1601" i="15"/>
  <c r="D1601" i="15"/>
  <c r="G1601" i="15"/>
  <c r="U1601" i="15"/>
  <c r="AL1601" i="15"/>
  <c r="Z1601" i="15"/>
  <c r="K1601" i="15"/>
  <c r="P1601" i="15"/>
  <c r="F1601" i="15"/>
  <c r="T1601" i="15"/>
  <c r="W1601" i="15"/>
  <c r="AK1601" i="15"/>
  <c r="Y1601" i="15"/>
  <c r="J1601" i="15"/>
  <c r="O1601" i="15"/>
  <c r="E1601" i="15"/>
  <c r="S1601" i="15"/>
  <c r="AJ1601" i="15"/>
  <c r="AI1601" i="15"/>
  <c r="AH1601" i="15"/>
  <c r="AG1601" i="15"/>
  <c r="AC1601" i="15"/>
  <c r="N1601" i="15"/>
  <c r="I1601" i="15"/>
  <c r="B1601" i="15"/>
  <c r="AQ1600" i="15"/>
  <c r="M1600" i="15"/>
  <c r="AM1600" i="15"/>
  <c r="C1600" i="15"/>
  <c r="X1600" i="15"/>
  <c r="AA1600" i="15"/>
  <c r="H1600" i="15"/>
  <c r="L1600" i="15"/>
  <c r="Q1600" i="15"/>
  <c r="D1600" i="15"/>
  <c r="G1600" i="15"/>
  <c r="U1600" i="15"/>
  <c r="AL1600" i="15"/>
  <c r="Z1600" i="15"/>
  <c r="K1600" i="15"/>
  <c r="P1600" i="15"/>
  <c r="F1600" i="15"/>
  <c r="T1600" i="15"/>
  <c r="W1600" i="15"/>
  <c r="AK1600" i="15"/>
  <c r="Y1600" i="15"/>
  <c r="J1600" i="15"/>
  <c r="O1600" i="15"/>
  <c r="E1600" i="15"/>
  <c r="S1600" i="15"/>
  <c r="AJ1600" i="15"/>
  <c r="AI1600" i="15"/>
  <c r="AH1600" i="15"/>
  <c r="AG1600" i="15"/>
  <c r="AC1600" i="15"/>
  <c r="N1600" i="15"/>
  <c r="I1600" i="15"/>
  <c r="B1600" i="15"/>
  <c r="AQ1599" i="15"/>
  <c r="M1599" i="15"/>
  <c r="AM1599" i="15"/>
  <c r="C1599" i="15"/>
  <c r="X1599" i="15"/>
  <c r="AA1599" i="15"/>
  <c r="H1599" i="15"/>
  <c r="L1599" i="15"/>
  <c r="Q1599" i="15"/>
  <c r="D1599" i="15"/>
  <c r="G1599" i="15"/>
  <c r="U1599" i="15"/>
  <c r="AL1599" i="15"/>
  <c r="Z1599" i="15"/>
  <c r="K1599" i="15"/>
  <c r="P1599" i="15"/>
  <c r="F1599" i="15"/>
  <c r="T1599" i="15"/>
  <c r="W1599" i="15"/>
  <c r="AK1599" i="15"/>
  <c r="Y1599" i="15"/>
  <c r="J1599" i="15"/>
  <c r="O1599" i="15"/>
  <c r="E1599" i="15"/>
  <c r="S1599" i="15"/>
  <c r="AJ1599" i="15"/>
  <c r="AI1599" i="15"/>
  <c r="AH1599" i="15"/>
  <c r="AG1599" i="15"/>
  <c r="AC1599" i="15"/>
  <c r="N1599" i="15"/>
  <c r="I1599" i="15"/>
  <c r="B1599" i="15"/>
  <c r="AQ1598" i="15"/>
  <c r="M1598" i="15"/>
  <c r="AM1598" i="15"/>
  <c r="C1598" i="15"/>
  <c r="X1598" i="15"/>
  <c r="AA1598" i="15"/>
  <c r="H1598" i="15"/>
  <c r="L1598" i="15"/>
  <c r="Q1598" i="15"/>
  <c r="D1598" i="15"/>
  <c r="G1598" i="15"/>
  <c r="U1598" i="15"/>
  <c r="AL1598" i="15"/>
  <c r="Z1598" i="15"/>
  <c r="K1598" i="15"/>
  <c r="P1598" i="15"/>
  <c r="F1598" i="15"/>
  <c r="T1598" i="15"/>
  <c r="W1598" i="15"/>
  <c r="AK1598" i="15"/>
  <c r="Y1598" i="15"/>
  <c r="J1598" i="15"/>
  <c r="O1598" i="15"/>
  <c r="E1598" i="15"/>
  <c r="S1598" i="15"/>
  <c r="AJ1598" i="15"/>
  <c r="AI1598" i="15"/>
  <c r="AH1598" i="15"/>
  <c r="AG1598" i="15"/>
  <c r="AC1598" i="15"/>
  <c r="N1598" i="15"/>
  <c r="I1598" i="15"/>
  <c r="B1598" i="15"/>
  <c r="AQ1344" i="15"/>
  <c r="M1344" i="15"/>
  <c r="AM1344" i="15"/>
  <c r="AC1344" i="15"/>
  <c r="C1344" i="15"/>
  <c r="X1344" i="15"/>
  <c r="AA1344" i="15"/>
  <c r="Z1344" i="15"/>
  <c r="Y1344" i="15"/>
  <c r="W1344" i="15"/>
  <c r="U1344" i="15"/>
  <c r="T1344" i="15"/>
  <c r="S1344" i="15"/>
  <c r="Q1344" i="15"/>
  <c r="P1344" i="15"/>
  <c r="O1344" i="15"/>
  <c r="N1344" i="15"/>
  <c r="H1344" i="15"/>
  <c r="L1344" i="15"/>
  <c r="K1344" i="15"/>
  <c r="J1344" i="15"/>
  <c r="I1344" i="15"/>
  <c r="D1344" i="15"/>
  <c r="G1344" i="15"/>
  <c r="F1344" i="15"/>
  <c r="E1344" i="15"/>
  <c r="B1344" i="15"/>
  <c r="AQ1597" i="15"/>
  <c r="M1597" i="15"/>
  <c r="AM1597" i="15"/>
  <c r="C1597" i="15"/>
  <c r="X1597" i="15"/>
  <c r="AA1597" i="15"/>
  <c r="H1597" i="15"/>
  <c r="L1597" i="15"/>
  <c r="Q1597" i="15"/>
  <c r="D1597" i="15"/>
  <c r="G1597" i="15"/>
  <c r="U1597" i="15"/>
  <c r="AL1597" i="15"/>
  <c r="Z1597" i="15"/>
  <c r="K1597" i="15"/>
  <c r="P1597" i="15"/>
  <c r="F1597" i="15"/>
  <c r="T1597" i="15"/>
  <c r="W1597" i="15"/>
  <c r="AK1597" i="15"/>
  <c r="Y1597" i="15"/>
  <c r="J1597" i="15"/>
  <c r="O1597" i="15"/>
  <c r="E1597" i="15"/>
  <c r="S1597" i="15"/>
  <c r="AJ1597" i="15"/>
  <c r="AI1597" i="15"/>
  <c r="AH1597" i="15"/>
  <c r="AG1597" i="15"/>
  <c r="AC1597" i="15"/>
  <c r="N1597" i="15"/>
  <c r="I1597" i="15"/>
  <c r="B1597" i="15"/>
  <c r="AQ1596" i="15"/>
  <c r="M1596" i="15"/>
  <c r="AM1596" i="15"/>
  <c r="C1596" i="15"/>
  <c r="X1596" i="15"/>
  <c r="AA1596" i="15"/>
  <c r="H1596" i="15"/>
  <c r="L1596" i="15"/>
  <c r="Q1596" i="15"/>
  <c r="D1596" i="15"/>
  <c r="G1596" i="15"/>
  <c r="U1596" i="15"/>
  <c r="AL1596" i="15"/>
  <c r="Z1596" i="15"/>
  <c r="K1596" i="15"/>
  <c r="P1596" i="15"/>
  <c r="F1596" i="15"/>
  <c r="T1596" i="15"/>
  <c r="W1596" i="15"/>
  <c r="AK1596" i="15"/>
  <c r="Y1596" i="15"/>
  <c r="J1596" i="15"/>
  <c r="O1596" i="15"/>
  <c r="E1596" i="15"/>
  <c r="S1596" i="15"/>
  <c r="AJ1596" i="15"/>
  <c r="AI1596" i="15"/>
  <c r="AH1596" i="15"/>
  <c r="AG1596" i="15"/>
  <c r="AC1596" i="15"/>
  <c r="N1596" i="15"/>
  <c r="I1596" i="15"/>
  <c r="B1596" i="15"/>
  <c r="AQ1595" i="15"/>
  <c r="M1595" i="15"/>
  <c r="AM1595" i="15"/>
  <c r="C1595" i="15"/>
  <c r="X1595" i="15"/>
  <c r="AA1595" i="15"/>
  <c r="H1595" i="15"/>
  <c r="L1595" i="15"/>
  <c r="Q1595" i="15"/>
  <c r="D1595" i="15"/>
  <c r="G1595" i="15"/>
  <c r="U1595" i="15"/>
  <c r="AL1595" i="15"/>
  <c r="Z1595" i="15"/>
  <c r="K1595" i="15"/>
  <c r="P1595" i="15"/>
  <c r="F1595" i="15"/>
  <c r="T1595" i="15"/>
  <c r="W1595" i="15"/>
  <c r="AK1595" i="15"/>
  <c r="Y1595" i="15"/>
  <c r="J1595" i="15"/>
  <c r="O1595" i="15"/>
  <c r="E1595" i="15"/>
  <c r="S1595" i="15"/>
  <c r="AJ1595" i="15"/>
  <c r="AI1595" i="15"/>
  <c r="AH1595" i="15"/>
  <c r="AG1595" i="15"/>
  <c r="AC1595" i="15"/>
  <c r="N1595" i="15"/>
  <c r="I1595" i="15"/>
  <c r="B1595" i="15"/>
  <c r="AQ1594" i="15"/>
  <c r="M1594" i="15"/>
  <c r="AM1594" i="15"/>
  <c r="C1594" i="15"/>
  <c r="X1594" i="15"/>
  <c r="AA1594" i="15"/>
  <c r="H1594" i="15"/>
  <c r="L1594" i="15"/>
  <c r="Q1594" i="15"/>
  <c r="D1594" i="15"/>
  <c r="G1594" i="15"/>
  <c r="U1594" i="15"/>
  <c r="AL1594" i="15"/>
  <c r="Z1594" i="15"/>
  <c r="K1594" i="15"/>
  <c r="P1594" i="15"/>
  <c r="F1594" i="15"/>
  <c r="T1594" i="15"/>
  <c r="W1594" i="15"/>
  <c r="AK1594" i="15"/>
  <c r="Y1594" i="15"/>
  <c r="J1594" i="15"/>
  <c r="O1594" i="15"/>
  <c r="E1594" i="15"/>
  <c r="S1594" i="15"/>
  <c r="AJ1594" i="15"/>
  <c r="AI1594" i="15"/>
  <c r="AH1594" i="15"/>
  <c r="AG1594" i="15"/>
  <c r="AC1594" i="15"/>
  <c r="N1594" i="15"/>
  <c r="I1594" i="15"/>
  <c r="B1594" i="15"/>
  <c r="AQ1593" i="15"/>
  <c r="M1593" i="15"/>
  <c r="AM1593" i="15"/>
  <c r="C1593" i="15"/>
  <c r="X1593" i="15"/>
  <c r="AA1593" i="15"/>
  <c r="H1593" i="15"/>
  <c r="L1593" i="15"/>
  <c r="Q1593" i="15"/>
  <c r="D1593" i="15"/>
  <c r="G1593" i="15"/>
  <c r="U1593" i="15"/>
  <c r="AL1593" i="15"/>
  <c r="Z1593" i="15"/>
  <c r="K1593" i="15"/>
  <c r="P1593" i="15"/>
  <c r="F1593" i="15"/>
  <c r="T1593" i="15"/>
  <c r="W1593" i="15"/>
  <c r="AK1593" i="15"/>
  <c r="Y1593" i="15"/>
  <c r="J1593" i="15"/>
  <c r="O1593" i="15"/>
  <c r="E1593" i="15"/>
  <c r="S1593" i="15"/>
  <c r="AJ1593" i="15"/>
  <c r="AI1593" i="15"/>
  <c r="AH1593" i="15"/>
  <c r="AG1593" i="15"/>
  <c r="AC1593" i="15"/>
  <c r="N1593" i="15"/>
  <c r="I1593" i="15"/>
  <c r="B1593" i="15"/>
  <c r="AQ1592" i="15"/>
  <c r="M1592" i="15"/>
  <c r="AM1592" i="15"/>
  <c r="C1592" i="15"/>
  <c r="X1592" i="15"/>
  <c r="AA1592" i="15"/>
  <c r="H1592" i="15"/>
  <c r="L1592" i="15"/>
  <c r="Q1592" i="15"/>
  <c r="D1592" i="15"/>
  <c r="G1592" i="15"/>
  <c r="U1592" i="15"/>
  <c r="AL1592" i="15"/>
  <c r="Z1592" i="15"/>
  <c r="K1592" i="15"/>
  <c r="P1592" i="15"/>
  <c r="F1592" i="15"/>
  <c r="T1592" i="15"/>
  <c r="W1592" i="15"/>
  <c r="AK1592" i="15"/>
  <c r="Y1592" i="15"/>
  <c r="J1592" i="15"/>
  <c r="O1592" i="15"/>
  <c r="E1592" i="15"/>
  <c r="S1592" i="15"/>
  <c r="AJ1592" i="15"/>
  <c r="AI1592" i="15"/>
  <c r="AH1592" i="15"/>
  <c r="AG1592" i="15"/>
  <c r="AC1592" i="15"/>
  <c r="N1592" i="15"/>
  <c r="I1592" i="15"/>
  <c r="B1592" i="15"/>
  <c r="AQ1591" i="15"/>
  <c r="M1591" i="15"/>
  <c r="AM1591" i="15"/>
  <c r="C1591" i="15"/>
  <c r="X1591" i="15"/>
  <c r="AA1591" i="15"/>
  <c r="H1591" i="15"/>
  <c r="L1591" i="15"/>
  <c r="Q1591" i="15"/>
  <c r="D1591" i="15"/>
  <c r="G1591" i="15"/>
  <c r="U1591" i="15"/>
  <c r="AL1591" i="15"/>
  <c r="Z1591" i="15"/>
  <c r="K1591" i="15"/>
  <c r="P1591" i="15"/>
  <c r="F1591" i="15"/>
  <c r="T1591" i="15"/>
  <c r="W1591" i="15"/>
  <c r="AK1591" i="15"/>
  <c r="Y1591" i="15"/>
  <c r="J1591" i="15"/>
  <c r="O1591" i="15"/>
  <c r="E1591" i="15"/>
  <c r="S1591" i="15"/>
  <c r="AJ1591" i="15"/>
  <c r="AI1591" i="15"/>
  <c r="AH1591" i="15"/>
  <c r="AG1591" i="15"/>
  <c r="AC1591" i="15"/>
  <c r="N1591" i="15"/>
  <c r="I1591" i="15"/>
  <c r="B1591" i="15"/>
  <c r="AQ1590" i="15"/>
  <c r="M1590" i="15"/>
  <c r="AM1590" i="15"/>
  <c r="C1590" i="15"/>
  <c r="X1590" i="15"/>
  <c r="AA1590" i="15"/>
  <c r="H1590" i="15"/>
  <c r="L1590" i="15"/>
  <c r="Q1590" i="15"/>
  <c r="D1590" i="15"/>
  <c r="G1590" i="15"/>
  <c r="U1590" i="15"/>
  <c r="AL1590" i="15"/>
  <c r="Z1590" i="15"/>
  <c r="K1590" i="15"/>
  <c r="P1590" i="15"/>
  <c r="F1590" i="15"/>
  <c r="T1590" i="15"/>
  <c r="W1590" i="15"/>
  <c r="AK1590" i="15"/>
  <c r="Y1590" i="15"/>
  <c r="J1590" i="15"/>
  <c r="O1590" i="15"/>
  <c r="E1590" i="15"/>
  <c r="S1590" i="15"/>
  <c r="AJ1590" i="15"/>
  <c r="AI1590" i="15"/>
  <c r="AH1590" i="15"/>
  <c r="AG1590" i="15"/>
  <c r="AC1590" i="15"/>
  <c r="N1590" i="15"/>
  <c r="I1590" i="15"/>
  <c r="B1590" i="15"/>
  <c r="AQ1589" i="15"/>
  <c r="M1589" i="15"/>
  <c r="AM1589" i="15"/>
  <c r="C1589" i="15"/>
  <c r="X1589" i="15"/>
  <c r="AA1589" i="15"/>
  <c r="H1589" i="15"/>
  <c r="L1589" i="15"/>
  <c r="Q1589" i="15"/>
  <c r="D1589" i="15"/>
  <c r="G1589" i="15"/>
  <c r="U1589" i="15"/>
  <c r="AL1589" i="15"/>
  <c r="Z1589" i="15"/>
  <c r="K1589" i="15"/>
  <c r="P1589" i="15"/>
  <c r="F1589" i="15"/>
  <c r="T1589" i="15"/>
  <c r="W1589" i="15"/>
  <c r="AK1589" i="15"/>
  <c r="Y1589" i="15"/>
  <c r="J1589" i="15"/>
  <c r="O1589" i="15"/>
  <c r="E1589" i="15"/>
  <c r="S1589" i="15"/>
  <c r="AJ1589" i="15"/>
  <c r="AI1589" i="15"/>
  <c r="AH1589" i="15"/>
  <c r="AG1589" i="15"/>
  <c r="AC1589" i="15"/>
  <c r="N1589" i="15"/>
  <c r="I1589" i="15"/>
  <c r="B1589" i="15"/>
  <c r="AQ1588" i="15"/>
  <c r="M1588" i="15"/>
  <c r="AM1588" i="15"/>
  <c r="C1588" i="15"/>
  <c r="X1588" i="15"/>
  <c r="AA1588" i="15"/>
  <c r="H1588" i="15"/>
  <c r="L1588" i="15"/>
  <c r="Q1588" i="15"/>
  <c r="D1588" i="15"/>
  <c r="G1588" i="15"/>
  <c r="U1588" i="15"/>
  <c r="AL1588" i="15"/>
  <c r="Z1588" i="15"/>
  <c r="K1588" i="15"/>
  <c r="P1588" i="15"/>
  <c r="F1588" i="15"/>
  <c r="T1588" i="15"/>
  <c r="W1588" i="15"/>
  <c r="AK1588" i="15"/>
  <c r="Y1588" i="15"/>
  <c r="J1588" i="15"/>
  <c r="O1588" i="15"/>
  <c r="E1588" i="15"/>
  <c r="S1588" i="15"/>
  <c r="AJ1588" i="15"/>
  <c r="AI1588" i="15"/>
  <c r="AH1588" i="15"/>
  <c r="AG1588" i="15"/>
  <c r="AC1588" i="15"/>
  <c r="N1588" i="15"/>
  <c r="I1588" i="15"/>
  <c r="B1588" i="15"/>
  <c r="AQ1587" i="15"/>
  <c r="M1587" i="15"/>
  <c r="AM1587" i="15"/>
  <c r="C1587" i="15"/>
  <c r="X1587" i="15"/>
  <c r="AA1587" i="15"/>
  <c r="H1587" i="15"/>
  <c r="L1587" i="15"/>
  <c r="Q1587" i="15"/>
  <c r="D1587" i="15"/>
  <c r="G1587" i="15"/>
  <c r="U1587" i="15"/>
  <c r="AL1587" i="15"/>
  <c r="Z1587" i="15"/>
  <c r="K1587" i="15"/>
  <c r="P1587" i="15"/>
  <c r="F1587" i="15"/>
  <c r="T1587" i="15"/>
  <c r="W1587" i="15"/>
  <c r="AK1587" i="15"/>
  <c r="Y1587" i="15"/>
  <c r="J1587" i="15"/>
  <c r="O1587" i="15"/>
  <c r="E1587" i="15"/>
  <c r="S1587" i="15"/>
  <c r="AJ1587" i="15"/>
  <c r="AI1587" i="15"/>
  <c r="AH1587" i="15"/>
  <c r="AG1587" i="15"/>
  <c r="AC1587" i="15"/>
  <c r="N1587" i="15"/>
  <c r="I1587" i="15"/>
  <c r="B1587" i="15"/>
  <c r="AQ1586" i="15"/>
  <c r="M1586" i="15"/>
  <c r="AM1586" i="15"/>
  <c r="C1586" i="15"/>
  <c r="X1586" i="15"/>
  <c r="AA1586" i="15"/>
  <c r="H1586" i="15"/>
  <c r="L1586" i="15"/>
  <c r="Q1586" i="15"/>
  <c r="D1586" i="15"/>
  <c r="G1586" i="15"/>
  <c r="U1586" i="15"/>
  <c r="AL1586" i="15"/>
  <c r="Z1586" i="15"/>
  <c r="K1586" i="15"/>
  <c r="P1586" i="15"/>
  <c r="F1586" i="15"/>
  <c r="T1586" i="15"/>
  <c r="W1586" i="15"/>
  <c r="AK1586" i="15"/>
  <c r="Y1586" i="15"/>
  <c r="J1586" i="15"/>
  <c r="O1586" i="15"/>
  <c r="E1586" i="15"/>
  <c r="S1586" i="15"/>
  <c r="AJ1586" i="15"/>
  <c r="AI1586" i="15"/>
  <c r="AH1586" i="15"/>
  <c r="AG1586" i="15"/>
  <c r="AC1586" i="15"/>
  <c r="N1586" i="15"/>
  <c r="I1586" i="15"/>
  <c r="B1586" i="15"/>
  <c r="A1037" i="15"/>
  <c r="C1037" i="15"/>
  <c r="X1037" i="15"/>
  <c r="AA1037" i="15"/>
  <c r="H1037" i="15"/>
  <c r="L1037" i="15"/>
  <c r="M1037" i="15"/>
  <c r="Q1037" i="15"/>
  <c r="D1037" i="15"/>
  <c r="G1037" i="15"/>
  <c r="U1037" i="15"/>
  <c r="AI1037" i="15"/>
  <c r="AL1037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012" i="15"/>
  <c r="B1013" i="15"/>
  <c r="B1014" i="15"/>
  <c r="B1015" i="15"/>
  <c r="B1016" i="15"/>
  <c r="B1017" i="15"/>
  <c r="B1018" i="15"/>
  <c r="B1019" i="15"/>
  <c r="B1020" i="15"/>
  <c r="B1021" i="15"/>
  <c r="B1022" i="15"/>
  <c r="B1023" i="15"/>
  <c r="B1024" i="15"/>
  <c r="B1025" i="15"/>
  <c r="B1026" i="15"/>
  <c r="B1027" i="15"/>
  <c r="B1028" i="15"/>
  <c r="B1029" i="15"/>
  <c r="B1030" i="15"/>
  <c r="B1031" i="15"/>
  <c r="B1032" i="15"/>
  <c r="B1033" i="15"/>
  <c r="B1034" i="15"/>
  <c r="B1035" i="15"/>
  <c r="B1036" i="15"/>
  <c r="B1037" i="15"/>
  <c r="B1038" i="15"/>
  <c r="B1039" i="15"/>
  <c r="B1040" i="15"/>
  <c r="B1041" i="15"/>
  <c r="B1042" i="15"/>
  <c r="B1043" i="15"/>
  <c r="B1044" i="15"/>
  <c r="B1045" i="15"/>
  <c r="B1046" i="15"/>
  <c r="B1047" i="15"/>
  <c r="B1048" i="15"/>
  <c r="B1049" i="15"/>
  <c r="B1050" i="15"/>
  <c r="B1051" i="15"/>
  <c r="B1052" i="15"/>
  <c r="B1053" i="15"/>
  <c r="B1054" i="15"/>
  <c r="B1055" i="15"/>
  <c r="B1056" i="15"/>
  <c r="B1057" i="15"/>
  <c r="B1058" i="15"/>
  <c r="B1059" i="15"/>
  <c r="B1060" i="15"/>
  <c r="B1061" i="15"/>
  <c r="B1062" i="15"/>
  <c r="B1063" i="15"/>
  <c r="B1064" i="15"/>
  <c r="B1065" i="15"/>
  <c r="B1066" i="15"/>
  <c r="B1067" i="15"/>
  <c r="B1068" i="15"/>
  <c r="B1069" i="15"/>
  <c r="B1070" i="15"/>
  <c r="B1071" i="15"/>
  <c r="B1072" i="15"/>
  <c r="B1073" i="15"/>
  <c r="B1074" i="15"/>
  <c r="B1075" i="15"/>
  <c r="B1076" i="15"/>
  <c r="B1077" i="15"/>
  <c r="B1078" i="15"/>
  <c r="B1079" i="15"/>
  <c r="C508" i="15"/>
  <c r="X508" i="15"/>
  <c r="M508" i="15"/>
  <c r="D508" i="15"/>
  <c r="C507" i="15"/>
  <c r="X507" i="15"/>
  <c r="M507" i="15"/>
  <c r="D507" i="15"/>
  <c r="M28" i="15"/>
  <c r="D28" i="15"/>
  <c r="M33" i="15"/>
  <c r="D33" i="15"/>
  <c r="M36" i="15"/>
  <c r="D36" i="15"/>
  <c r="M31" i="15"/>
  <c r="D31" i="15"/>
  <c r="C618" i="15"/>
  <c r="X618" i="15"/>
  <c r="M618" i="15"/>
  <c r="D618" i="15"/>
  <c r="M284" i="15"/>
  <c r="D284" i="15"/>
  <c r="C816" i="15"/>
  <c r="X816" i="15"/>
  <c r="M816" i="15"/>
  <c r="D816" i="15"/>
  <c r="D1059" i="15"/>
  <c r="M1059" i="15"/>
  <c r="C1059" i="15"/>
  <c r="X1059" i="15"/>
  <c r="D405" i="15"/>
  <c r="M405" i="15"/>
  <c r="C405" i="15"/>
  <c r="X405" i="15"/>
  <c r="AQ1366" i="15"/>
  <c r="M1366" i="15"/>
  <c r="C1366" i="15"/>
  <c r="X1366" i="15"/>
  <c r="AA1366" i="15"/>
  <c r="H1366" i="15"/>
  <c r="L1366" i="15"/>
  <c r="Q1366" i="15"/>
  <c r="D1366" i="15"/>
  <c r="G1366" i="15"/>
  <c r="U1366" i="15"/>
  <c r="Z1366" i="15"/>
  <c r="K1366" i="15"/>
  <c r="P1366" i="15"/>
  <c r="F1366" i="15"/>
  <c r="T1366" i="15"/>
  <c r="W1366" i="15"/>
  <c r="Y1366" i="15"/>
  <c r="J1366" i="15"/>
  <c r="O1366" i="15"/>
  <c r="E1366" i="15"/>
  <c r="S1366" i="15"/>
  <c r="AC1366" i="15"/>
  <c r="N1366" i="15"/>
  <c r="I1366" i="15"/>
  <c r="B1366" i="15"/>
  <c r="AQ1365" i="15"/>
  <c r="M1365" i="15"/>
  <c r="C1365" i="15"/>
  <c r="X1365" i="15"/>
  <c r="AA1365" i="15"/>
  <c r="H1365" i="15"/>
  <c r="L1365" i="15"/>
  <c r="Q1365" i="15"/>
  <c r="D1365" i="15"/>
  <c r="G1365" i="15"/>
  <c r="U1365" i="15"/>
  <c r="Z1365" i="15"/>
  <c r="K1365" i="15"/>
  <c r="P1365" i="15"/>
  <c r="F1365" i="15"/>
  <c r="T1365" i="15"/>
  <c r="W1365" i="15"/>
  <c r="Y1365" i="15"/>
  <c r="J1365" i="15"/>
  <c r="O1365" i="15"/>
  <c r="E1365" i="15"/>
  <c r="S1365" i="15"/>
  <c r="AC1365" i="15"/>
  <c r="N1365" i="15"/>
  <c r="I1365" i="15"/>
  <c r="B1365" i="15"/>
  <c r="AQ1364" i="15"/>
  <c r="M1364" i="15"/>
  <c r="AM1364" i="15"/>
  <c r="C1364" i="15"/>
  <c r="X1364" i="15"/>
  <c r="AA1364" i="15"/>
  <c r="H1364" i="15"/>
  <c r="L1364" i="15"/>
  <c r="Q1364" i="15"/>
  <c r="D1364" i="15"/>
  <c r="G1364" i="15"/>
  <c r="U1364" i="15"/>
  <c r="AL1364" i="15"/>
  <c r="Z1364" i="15"/>
  <c r="K1364" i="15"/>
  <c r="P1364" i="15"/>
  <c r="F1364" i="15"/>
  <c r="T1364" i="15"/>
  <c r="W1364" i="15"/>
  <c r="AK1364" i="15"/>
  <c r="Y1364" i="15"/>
  <c r="J1364" i="15"/>
  <c r="O1364" i="15"/>
  <c r="E1364" i="15"/>
  <c r="S1364" i="15"/>
  <c r="AJ1364" i="15"/>
  <c r="AI1364" i="15"/>
  <c r="AH1364" i="15"/>
  <c r="AG1364" i="15"/>
  <c r="AC1364" i="15"/>
  <c r="N1364" i="15"/>
  <c r="I1364" i="15"/>
  <c r="B1364" i="15"/>
  <c r="AQ1363" i="15"/>
  <c r="M1363" i="15"/>
  <c r="AM1363" i="15"/>
  <c r="C1363" i="15"/>
  <c r="X1363" i="15"/>
  <c r="AA1363" i="15"/>
  <c r="H1363" i="15"/>
  <c r="L1363" i="15"/>
  <c r="Q1363" i="15"/>
  <c r="D1363" i="15"/>
  <c r="G1363" i="15"/>
  <c r="U1363" i="15"/>
  <c r="AL1363" i="15"/>
  <c r="Z1363" i="15"/>
  <c r="K1363" i="15"/>
  <c r="P1363" i="15"/>
  <c r="F1363" i="15"/>
  <c r="T1363" i="15"/>
  <c r="W1363" i="15"/>
  <c r="AK1363" i="15"/>
  <c r="Y1363" i="15"/>
  <c r="J1363" i="15"/>
  <c r="O1363" i="15"/>
  <c r="E1363" i="15"/>
  <c r="S1363" i="15"/>
  <c r="AJ1363" i="15"/>
  <c r="AH1363" i="15"/>
  <c r="AG1363" i="15"/>
  <c r="AC1363" i="15"/>
  <c r="N1363" i="15"/>
  <c r="I1363" i="15"/>
  <c r="B1363" i="15"/>
  <c r="AQ1362" i="15"/>
  <c r="M1362" i="15"/>
  <c r="C1362" i="15"/>
  <c r="X1362" i="15"/>
  <c r="AA1362" i="15"/>
  <c r="H1362" i="15"/>
  <c r="L1362" i="15"/>
  <c r="Q1362" i="15"/>
  <c r="D1362" i="15"/>
  <c r="G1362" i="15"/>
  <c r="U1362" i="15"/>
  <c r="Z1362" i="15"/>
  <c r="K1362" i="15"/>
  <c r="P1362" i="15"/>
  <c r="F1362" i="15"/>
  <c r="T1362" i="15"/>
  <c r="W1362" i="15"/>
  <c r="Y1362" i="15"/>
  <c r="J1362" i="15"/>
  <c r="O1362" i="15"/>
  <c r="E1362" i="15"/>
  <c r="S1362" i="15"/>
  <c r="AC1362" i="15"/>
  <c r="N1362" i="15"/>
  <c r="I1362" i="15"/>
  <c r="B1362" i="15"/>
  <c r="AQ1361" i="15"/>
  <c r="M1361" i="15"/>
  <c r="C1361" i="15"/>
  <c r="X1361" i="15"/>
  <c r="AA1361" i="15"/>
  <c r="H1361" i="15"/>
  <c r="L1361" i="15"/>
  <c r="Q1361" i="15"/>
  <c r="D1361" i="15"/>
  <c r="G1361" i="15"/>
  <c r="U1361" i="15"/>
  <c r="Z1361" i="15"/>
  <c r="K1361" i="15"/>
  <c r="P1361" i="15"/>
  <c r="F1361" i="15"/>
  <c r="T1361" i="15"/>
  <c r="W1361" i="15"/>
  <c r="Y1361" i="15"/>
  <c r="J1361" i="15"/>
  <c r="O1361" i="15"/>
  <c r="E1361" i="15"/>
  <c r="S1361" i="15"/>
  <c r="AC1361" i="15"/>
  <c r="N1361" i="15"/>
  <c r="I1361" i="15"/>
  <c r="B1361" i="15"/>
  <c r="AQ1360" i="15"/>
  <c r="M1360" i="15"/>
  <c r="AM1360" i="15"/>
  <c r="C1360" i="15"/>
  <c r="X1360" i="15"/>
  <c r="AA1360" i="15"/>
  <c r="H1360" i="15"/>
  <c r="L1360" i="15"/>
  <c r="Q1360" i="15"/>
  <c r="D1360" i="15"/>
  <c r="G1360" i="15"/>
  <c r="U1360" i="15"/>
  <c r="Z1360" i="15"/>
  <c r="K1360" i="15"/>
  <c r="P1360" i="15"/>
  <c r="F1360" i="15"/>
  <c r="T1360" i="15"/>
  <c r="W1360" i="15"/>
  <c r="Y1360" i="15"/>
  <c r="J1360" i="15"/>
  <c r="O1360" i="15"/>
  <c r="E1360" i="15"/>
  <c r="S1360" i="15"/>
  <c r="AC1360" i="15"/>
  <c r="N1360" i="15"/>
  <c r="I1360" i="15"/>
  <c r="B1360" i="15"/>
  <c r="AQ1359" i="15"/>
  <c r="M1359" i="15"/>
  <c r="AM1359" i="15"/>
  <c r="C1359" i="15"/>
  <c r="X1359" i="15"/>
  <c r="AA1359" i="15"/>
  <c r="H1359" i="15"/>
  <c r="L1359" i="15"/>
  <c r="Q1359" i="15"/>
  <c r="D1359" i="15"/>
  <c r="G1359" i="15"/>
  <c r="U1359" i="15"/>
  <c r="Z1359" i="15"/>
  <c r="K1359" i="15"/>
  <c r="P1359" i="15"/>
  <c r="F1359" i="15"/>
  <c r="T1359" i="15"/>
  <c r="W1359" i="15"/>
  <c r="Y1359" i="15"/>
  <c r="J1359" i="15"/>
  <c r="O1359" i="15"/>
  <c r="E1359" i="15"/>
  <c r="S1359" i="15"/>
  <c r="AC1359" i="15"/>
  <c r="N1359" i="15"/>
  <c r="I1359" i="15"/>
  <c r="B1359" i="15"/>
  <c r="AQ1358" i="15"/>
  <c r="M1358" i="15"/>
  <c r="AM1358" i="15"/>
  <c r="C1358" i="15"/>
  <c r="X1358" i="15"/>
  <c r="AA1358" i="15"/>
  <c r="H1358" i="15"/>
  <c r="L1358" i="15"/>
  <c r="Q1358" i="15"/>
  <c r="D1358" i="15"/>
  <c r="G1358" i="15"/>
  <c r="U1358" i="15"/>
  <c r="Z1358" i="15"/>
  <c r="K1358" i="15"/>
  <c r="P1358" i="15"/>
  <c r="F1358" i="15"/>
  <c r="T1358" i="15"/>
  <c r="W1358" i="15"/>
  <c r="Y1358" i="15"/>
  <c r="J1358" i="15"/>
  <c r="O1358" i="15"/>
  <c r="E1358" i="15"/>
  <c r="S1358" i="15"/>
  <c r="AC1358" i="15"/>
  <c r="N1358" i="15"/>
  <c r="I1358" i="15"/>
  <c r="B1358" i="15"/>
  <c r="AQ1357" i="15"/>
  <c r="M1357" i="15"/>
  <c r="AM1357" i="15"/>
  <c r="C1357" i="15"/>
  <c r="X1357" i="15"/>
  <c r="AA1357" i="15"/>
  <c r="H1357" i="15"/>
  <c r="L1357" i="15"/>
  <c r="Q1357" i="15"/>
  <c r="D1357" i="15"/>
  <c r="G1357" i="15"/>
  <c r="U1357" i="15"/>
  <c r="Z1357" i="15"/>
  <c r="K1357" i="15"/>
  <c r="P1357" i="15"/>
  <c r="F1357" i="15"/>
  <c r="T1357" i="15"/>
  <c r="W1357" i="15"/>
  <c r="Y1357" i="15"/>
  <c r="J1357" i="15"/>
  <c r="O1357" i="15"/>
  <c r="E1357" i="15"/>
  <c r="S1357" i="15"/>
  <c r="AC1357" i="15"/>
  <c r="N1357" i="15"/>
  <c r="I1357" i="15"/>
  <c r="B1357" i="15"/>
  <c r="AQ1356" i="15"/>
  <c r="M1356" i="15"/>
  <c r="AM1356" i="15"/>
  <c r="C1356" i="15"/>
  <c r="X1356" i="15"/>
  <c r="AA1356" i="15"/>
  <c r="H1356" i="15"/>
  <c r="L1356" i="15"/>
  <c r="Q1356" i="15"/>
  <c r="D1356" i="15"/>
  <c r="G1356" i="15"/>
  <c r="U1356" i="15"/>
  <c r="AL1356" i="15"/>
  <c r="Z1356" i="15"/>
  <c r="K1356" i="15"/>
  <c r="P1356" i="15"/>
  <c r="F1356" i="15"/>
  <c r="T1356" i="15"/>
  <c r="W1356" i="15"/>
  <c r="AK1356" i="15"/>
  <c r="Y1356" i="15"/>
  <c r="J1356" i="15"/>
  <c r="O1356" i="15"/>
  <c r="E1356" i="15"/>
  <c r="S1356" i="15"/>
  <c r="AJ1356" i="15"/>
  <c r="AI1356" i="15"/>
  <c r="AH1356" i="15"/>
  <c r="AG1356" i="15"/>
  <c r="AC1356" i="15"/>
  <c r="N1356" i="15"/>
  <c r="I1356" i="15"/>
  <c r="B1356" i="15"/>
  <c r="AQ1355" i="15"/>
  <c r="M1355" i="15"/>
  <c r="AM1355" i="15"/>
  <c r="C1355" i="15"/>
  <c r="X1355" i="15"/>
  <c r="AA1355" i="15"/>
  <c r="H1355" i="15"/>
  <c r="L1355" i="15"/>
  <c r="Q1355" i="15"/>
  <c r="D1355" i="15"/>
  <c r="G1355" i="15"/>
  <c r="U1355" i="15"/>
  <c r="AL1355" i="15"/>
  <c r="Z1355" i="15"/>
  <c r="K1355" i="15"/>
  <c r="P1355" i="15"/>
  <c r="F1355" i="15"/>
  <c r="T1355" i="15"/>
  <c r="W1355" i="15"/>
  <c r="AK1355" i="15"/>
  <c r="Y1355" i="15"/>
  <c r="J1355" i="15"/>
  <c r="O1355" i="15"/>
  <c r="E1355" i="15"/>
  <c r="S1355" i="15"/>
  <c r="AJ1355" i="15"/>
  <c r="AI1355" i="15"/>
  <c r="AH1355" i="15"/>
  <c r="AG1355" i="15"/>
  <c r="AC1355" i="15"/>
  <c r="N1355" i="15"/>
  <c r="I1355" i="15"/>
  <c r="B1355" i="15"/>
  <c r="AQ1354" i="15"/>
  <c r="M1354" i="15"/>
  <c r="AM1354" i="15"/>
  <c r="C1354" i="15"/>
  <c r="X1354" i="15"/>
  <c r="AA1354" i="15"/>
  <c r="H1354" i="15"/>
  <c r="L1354" i="15"/>
  <c r="Q1354" i="15"/>
  <c r="D1354" i="15"/>
  <c r="G1354" i="15"/>
  <c r="U1354" i="15"/>
  <c r="Z1354" i="15"/>
  <c r="K1354" i="15"/>
  <c r="P1354" i="15"/>
  <c r="F1354" i="15"/>
  <c r="T1354" i="15"/>
  <c r="W1354" i="15"/>
  <c r="Y1354" i="15"/>
  <c r="J1354" i="15"/>
  <c r="O1354" i="15"/>
  <c r="E1354" i="15"/>
  <c r="S1354" i="15"/>
  <c r="AC1354" i="15"/>
  <c r="N1354" i="15"/>
  <c r="I1354" i="15"/>
  <c r="B1354" i="15"/>
  <c r="AQ1353" i="15"/>
  <c r="M1353" i="15"/>
  <c r="AM1353" i="15"/>
  <c r="C1353" i="15"/>
  <c r="X1353" i="15"/>
  <c r="AA1353" i="15"/>
  <c r="H1353" i="15"/>
  <c r="L1353" i="15"/>
  <c r="Q1353" i="15"/>
  <c r="D1353" i="15"/>
  <c r="G1353" i="15"/>
  <c r="U1353" i="15"/>
  <c r="Z1353" i="15"/>
  <c r="K1353" i="15"/>
  <c r="P1353" i="15"/>
  <c r="F1353" i="15"/>
  <c r="T1353" i="15"/>
  <c r="W1353" i="15"/>
  <c r="Y1353" i="15"/>
  <c r="J1353" i="15"/>
  <c r="O1353" i="15"/>
  <c r="E1353" i="15"/>
  <c r="S1353" i="15"/>
  <c r="AC1353" i="15"/>
  <c r="N1353" i="15"/>
  <c r="I1353" i="15"/>
  <c r="B1353" i="15"/>
  <c r="AQ1352" i="15"/>
  <c r="M1352" i="15"/>
  <c r="AM1352" i="15"/>
  <c r="C1352" i="15"/>
  <c r="X1352" i="15"/>
  <c r="AA1352" i="15"/>
  <c r="H1352" i="15"/>
  <c r="L1352" i="15"/>
  <c r="Q1352" i="15"/>
  <c r="D1352" i="15"/>
  <c r="G1352" i="15"/>
  <c r="U1352" i="15"/>
  <c r="Z1352" i="15"/>
  <c r="K1352" i="15"/>
  <c r="P1352" i="15"/>
  <c r="F1352" i="15"/>
  <c r="T1352" i="15"/>
  <c r="W1352" i="15"/>
  <c r="Y1352" i="15"/>
  <c r="J1352" i="15"/>
  <c r="O1352" i="15"/>
  <c r="E1352" i="15"/>
  <c r="S1352" i="15"/>
  <c r="AC1352" i="15"/>
  <c r="N1352" i="15"/>
  <c r="I1352" i="15"/>
  <c r="B1352" i="15"/>
  <c r="AQ1351" i="15"/>
  <c r="M1351" i="15"/>
  <c r="AM1351" i="15"/>
  <c r="C1351" i="15"/>
  <c r="X1351" i="15"/>
  <c r="AA1351" i="15"/>
  <c r="H1351" i="15"/>
  <c r="L1351" i="15"/>
  <c r="Q1351" i="15"/>
  <c r="D1351" i="15"/>
  <c r="G1351" i="15"/>
  <c r="U1351" i="15"/>
  <c r="Z1351" i="15"/>
  <c r="K1351" i="15"/>
  <c r="P1351" i="15"/>
  <c r="F1351" i="15"/>
  <c r="T1351" i="15"/>
  <c r="W1351" i="15"/>
  <c r="Y1351" i="15"/>
  <c r="J1351" i="15"/>
  <c r="O1351" i="15"/>
  <c r="E1351" i="15"/>
  <c r="S1351" i="15"/>
  <c r="AC1351" i="15"/>
  <c r="N1351" i="15"/>
  <c r="I1351" i="15"/>
  <c r="B1351" i="15"/>
  <c r="AQ1432" i="15"/>
  <c r="M1432" i="15"/>
  <c r="AM1432" i="15"/>
  <c r="C1432" i="15"/>
  <c r="X1432" i="15"/>
  <c r="AA1432" i="15"/>
  <c r="H1432" i="15"/>
  <c r="L1432" i="15"/>
  <c r="Q1432" i="15"/>
  <c r="D1432" i="15"/>
  <c r="G1432" i="15"/>
  <c r="U1432" i="15"/>
  <c r="AL1432" i="15"/>
  <c r="Z1432" i="15"/>
  <c r="K1432" i="15"/>
  <c r="P1432" i="15"/>
  <c r="F1432" i="15"/>
  <c r="T1432" i="15"/>
  <c r="W1432" i="15"/>
  <c r="AK1432" i="15"/>
  <c r="Y1432" i="15"/>
  <c r="J1432" i="15"/>
  <c r="O1432" i="15"/>
  <c r="E1432" i="15"/>
  <c r="S1432" i="15"/>
  <c r="AJ1432" i="15"/>
  <c r="AI1432" i="15"/>
  <c r="AH1432" i="15"/>
  <c r="AG1432" i="15"/>
  <c r="AC1432" i="15"/>
  <c r="N1432" i="15"/>
  <c r="I1432" i="15"/>
  <c r="B1432" i="15"/>
  <c r="AQ1431" i="15"/>
  <c r="M1431" i="15"/>
  <c r="AM1431" i="15"/>
  <c r="C1431" i="15"/>
  <c r="X1431" i="15"/>
  <c r="AA1431" i="15"/>
  <c r="H1431" i="15"/>
  <c r="L1431" i="15"/>
  <c r="Q1431" i="15"/>
  <c r="D1431" i="15"/>
  <c r="G1431" i="15"/>
  <c r="U1431" i="15"/>
  <c r="AL1431" i="15"/>
  <c r="Z1431" i="15"/>
  <c r="K1431" i="15"/>
  <c r="P1431" i="15"/>
  <c r="F1431" i="15"/>
  <c r="T1431" i="15"/>
  <c r="W1431" i="15"/>
  <c r="AK1431" i="15"/>
  <c r="Y1431" i="15"/>
  <c r="J1431" i="15"/>
  <c r="O1431" i="15"/>
  <c r="E1431" i="15"/>
  <c r="S1431" i="15"/>
  <c r="AJ1431" i="15"/>
  <c r="AI1431" i="15"/>
  <c r="AH1431" i="15"/>
  <c r="AG1431" i="15"/>
  <c r="AC1431" i="15"/>
  <c r="N1431" i="15"/>
  <c r="I1431" i="15"/>
  <c r="B1431" i="15"/>
  <c r="AQ1430" i="15"/>
  <c r="M1430" i="15"/>
  <c r="AM1430" i="15"/>
  <c r="C1430" i="15"/>
  <c r="X1430" i="15"/>
  <c r="AA1430" i="15"/>
  <c r="H1430" i="15"/>
  <c r="L1430" i="15"/>
  <c r="Q1430" i="15"/>
  <c r="D1430" i="15"/>
  <c r="G1430" i="15"/>
  <c r="U1430" i="15"/>
  <c r="AL1430" i="15"/>
  <c r="Z1430" i="15"/>
  <c r="K1430" i="15"/>
  <c r="P1430" i="15"/>
  <c r="F1430" i="15"/>
  <c r="T1430" i="15"/>
  <c r="W1430" i="15"/>
  <c r="AK1430" i="15"/>
  <c r="Y1430" i="15"/>
  <c r="J1430" i="15"/>
  <c r="O1430" i="15"/>
  <c r="E1430" i="15"/>
  <c r="S1430" i="15"/>
  <c r="AJ1430" i="15"/>
  <c r="AI1430" i="15"/>
  <c r="AH1430" i="15"/>
  <c r="AG1430" i="15"/>
  <c r="AC1430" i="15"/>
  <c r="N1430" i="15"/>
  <c r="I1430" i="15"/>
  <c r="B1430" i="15"/>
  <c r="AQ1429" i="15"/>
  <c r="M1429" i="15"/>
  <c r="AM1429" i="15"/>
  <c r="C1429" i="15"/>
  <c r="X1429" i="15"/>
  <c r="AA1429" i="15"/>
  <c r="H1429" i="15"/>
  <c r="L1429" i="15"/>
  <c r="Q1429" i="15"/>
  <c r="D1429" i="15"/>
  <c r="G1429" i="15"/>
  <c r="U1429" i="15"/>
  <c r="AL1429" i="15"/>
  <c r="Z1429" i="15"/>
  <c r="K1429" i="15"/>
  <c r="P1429" i="15"/>
  <c r="F1429" i="15"/>
  <c r="T1429" i="15"/>
  <c r="W1429" i="15"/>
  <c r="AK1429" i="15"/>
  <c r="Y1429" i="15"/>
  <c r="J1429" i="15"/>
  <c r="O1429" i="15"/>
  <c r="E1429" i="15"/>
  <c r="S1429" i="15"/>
  <c r="AJ1429" i="15"/>
  <c r="AI1429" i="15"/>
  <c r="AH1429" i="15"/>
  <c r="AG1429" i="15"/>
  <c r="AC1429" i="15"/>
  <c r="N1429" i="15"/>
  <c r="I1429" i="15"/>
  <c r="B1429" i="15"/>
  <c r="AQ1428" i="15"/>
  <c r="M1428" i="15"/>
  <c r="AM1428" i="15"/>
  <c r="C1428" i="15"/>
  <c r="X1428" i="15"/>
  <c r="AA1428" i="15"/>
  <c r="H1428" i="15"/>
  <c r="L1428" i="15"/>
  <c r="Q1428" i="15"/>
  <c r="D1428" i="15"/>
  <c r="G1428" i="15"/>
  <c r="U1428" i="15"/>
  <c r="AL1428" i="15"/>
  <c r="Z1428" i="15"/>
  <c r="K1428" i="15"/>
  <c r="P1428" i="15"/>
  <c r="F1428" i="15"/>
  <c r="T1428" i="15"/>
  <c r="W1428" i="15"/>
  <c r="AK1428" i="15"/>
  <c r="Y1428" i="15"/>
  <c r="J1428" i="15"/>
  <c r="O1428" i="15"/>
  <c r="E1428" i="15"/>
  <c r="S1428" i="15"/>
  <c r="AJ1428" i="15"/>
  <c r="AI1428" i="15"/>
  <c r="AH1428" i="15"/>
  <c r="AG1428" i="15"/>
  <c r="AC1428" i="15"/>
  <c r="N1428" i="15"/>
  <c r="I1428" i="15"/>
  <c r="B1428" i="15"/>
  <c r="AQ1427" i="15"/>
  <c r="M1427" i="15"/>
  <c r="AM1427" i="15"/>
  <c r="C1427" i="15"/>
  <c r="X1427" i="15"/>
  <c r="AA1427" i="15"/>
  <c r="H1427" i="15"/>
  <c r="L1427" i="15"/>
  <c r="Q1427" i="15"/>
  <c r="D1427" i="15"/>
  <c r="G1427" i="15"/>
  <c r="U1427" i="15"/>
  <c r="AL1427" i="15"/>
  <c r="Z1427" i="15"/>
  <c r="K1427" i="15"/>
  <c r="P1427" i="15"/>
  <c r="F1427" i="15"/>
  <c r="T1427" i="15"/>
  <c r="W1427" i="15"/>
  <c r="AK1427" i="15"/>
  <c r="Y1427" i="15"/>
  <c r="J1427" i="15"/>
  <c r="O1427" i="15"/>
  <c r="E1427" i="15"/>
  <c r="S1427" i="15"/>
  <c r="AJ1427" i="15"/>
  <c r="AI1427" i="15"/>
  <c r="AH1427" i="15"/>
  <c r="AG1427" i="15"/>
  <c r="AC1427" i="15"/>
  <c r="N1427" i="15"/>
  <c r="I1427" i="15"/>
  <c r="B1427" i="15"/>
  <c r="AQ1426" i="15"/>
  <c r="M1426" i="15"/>
  <c r="AM1426" i="15"/>
  <c r="C1426" i="15"/>
  <c r="X1426" i="15"/>
  <c r="AA1426" i="15"/>
  <c r="H1426" i="15"/>
  <c r="L1426" i="15"/>
  <c r="Q1426" i="15"/>
  <c r="D1426" i="15"/>
  <c r="G1426" i="15"/>
  <c r="U1426" i="15"/>
  <c r="AL1426" i="15"/>
  <c r="Z1426" i="15"/>
  <c r="K1426" i="15"/>
  <c r="P1426" i="15"/>
  <c r="F1426" i="15"/>
  <c r="T1426" i="15"/>
  <c r="W1426" i="15"/>
  <c r="AK1426" i="15"/>
  <c r="Y1426" i="15"/>
  <c r="J1426" i="15"/>
  <c r="O1426" i="15"/>
  <c r="E1426" i="15"/>
  <c r="S1426" i="15"/>
  <c r="AJ1426" i="15"/>
  <c r="AI1426" i="15"/>
  <c r="AH1426" i="15"/>
  <c r="AG1426" i="15"/>
  <c r="AC1426" i="15"/>
  <c r="N1426" i="15"/>
  <c r="I1426" i="15"/>
  <c r="B1426" i="15"/>
  <c r="AQ1425" i="15"/>
  <c r="M1425" i="15"/>
  <c r="AM1425" i="15"/>
  <c r="C1425" i="15"/>
  <c r="X1425" i="15"/>
  <c r="AA1425" i="15"/>
  <c r="H1425" i="15"/>
  <c r="L1425" i="15"/>
  <c r="Q1425" i="15"/>
  <c r="D1425" i="15"/>
  <c r="G1425" i="15"/>
  <c r="U1425" i="15"/>
  <c r="AL1425" i="15"/>
  <c r="Z1425" i="15"/>
  <c r="K1425" i="15"/>
  <c r="P1425" i="15"/>
  <c r="F1425" i="15"/>
  <c r="T1425" i="15"/>
  <c r="W1425" i="15"/>
  <c r="AK1425" i="15"/>
  <c r="Y1425" i="15"/>
  <c r="J1425" i="15"/>
  <c r="O1425" i="15"/>
  <c r="E1425" i="15"/>
  <c r="S1425" i="15"/>
  <c r="AJ1425" i="15"/>
  <c r="AI1425" i="15"/>
  <c r="AH1425" i="15"/>
  <c r="AG1425" i="15"/>
  <c r="AC1425" i="15"/>
  <c r="N1425" i="15"/>
  <c r="I1425" i="15"/>
  <c r="B1425" i="15"/>
  <c r="AQ1424" i="15"/>
  <c r="M1424" i="15"/>
  <c r="AM1424" i="15"/>
  <c r="C1424" i="15"/>
  <c r="X1424" i="15"/>
  <c r="AA1424" i="15"/>
  <c r="H1424" i="15"/>
  <c r="L1424" i="15"/>
  <c r="Q1424" i="15"/>
  <c r="D1424" i="15"/>
  <c r="G1424" i="15"/>
  <c r="U1424" i="15"/>
  <c r="AL1424" i="15"/>
  <c r="Z1424" i="15"/>
  <c r="K1424" i="15"/>
  <c r="P1424" i="15"/>
  <c r="F1424" i="15"/>
  <c r="T1424" i="15"/>
  <c r="W1424" i="15"/>
  <c r="AK1424" i="15"/>
  <c r="Y1424" i="15"/>
  <c r="J1424" i="15"/>
  <c r="O1424" i="15"/>
  <c r="E1424" i="15"/>
  <c r="S1424" i="15"/>
  <c r="AJ1424" i="15"/>
  <c r="AI1424" i="15"/>
  <c r="AH1424" i="15"/>
  <c r="AG1424" i="15"/>
  <c r="AC1424" i="15"/>
  <c r="N1424" i="15"/>
  <c r="I1424" i="15"/>
  <c r="B1424" i="15"/>
  <c r="AQ1423" i="15"/>
  <c r="M1423" i="15"/>
  <c r="AM1423" i="15"/>
  <c r="C1423" i="15"/>
  <c r="X1423" i="15"/>
  <c r="AA1423" i="15"/>
  <c r="H1423" i="15"/>
  <c r="L1423" i="15"/>
  <c r="Q1423" i="15"/>
  <c r="D1423" i="15"/>
  <c r="G1423" i="15"/>
  <c r="U1423" i="15"/>
  <c r="AL1423" i="15"/>
  <c r="Z1423" i="15"/>
  <c r="K1423" i="15"/>
  <c r="P1423" i="15"/>
  <c r="F1423" i="15"/>
  <c r="T1423" i="15"/>
  <c r="W1423" i="15"/>
  <c r="AK1423" i="15"/>
  <c r="Y1423" i="15"/>
  <c r="J1423" i="15"/>
  <c r="O1423" i="15"/>
  <c r="E1423" i="15"/>
  <c r="S1423" i="15"/>
  <c r="AJ1423" i="15"/>
  <c r="AI1423" i="15"/>
  <c r="AH1423" i="15"/>
  <c r="AG1423" i="15"/>
  <c r="AC1423" i="15"/>
  <c r="N1423" i="15"/>
  <c r="I1423" i="15"/>
  <c r="B1423" i="15"/>
  <c r="AQ1422" i="15"/>
  <c r="M1422" i="15"/>
  <c r="AM1422" i="15"/>
  <c r="C1422" i="15"/>
  <c r="AA1422" i="15"/>
  <c r="H1422" i="15"/>
  <c r="L1422" i="15"/>
  <c r="Q1422" i="15"/>
  <c r="D1422" i="15"/>
  <c r="G1422" i="15"/>
  <c r="U1422" i="15"/>
  <c r="Z1422" i="15"/>
  <c r="K1422" i="15"/>
  <c r="P1422" i="15"/>
  <c r="F1422" i="15"/>
  <c r="T1422" i="15"/>
  <c r="W1422" i="15"/>
  <c r="Y1422" i="15"/>
  <c r="J1422" i="15"/>
  <c r="O1422" i="15"/>
  <c r="E1422" i="15"/>
  <c r="S1422" i="15"/>
  <c r="AC1422" i="15"/>
  <c r="N1422" i="15"/>
  <c r="I1422" i="15"/>
  <c r="B1422" i="15"/>
  <c r="AQ1421" i="15"/>
  <c r="M1421" i="15"/>
  <c r="AM1421" i="15"/>
  <c r="C1421" i="15"/>
  <c r="AA1421" i="15"/>
  <c r="H1421" i="15"/>
  <c r="L1421" i="15"/>
  <c r="Q1421" i="15"/>
  <c r="D1421" i="15"/>
  <c r="G1421" i="15"/>
  <c r="U1421" i="15"/>
  <c r="Z1421" i="15"/>
  <c r="K1421" i="15"/>
  <c r="P1421" i="15"/>
  <c r="F1421" i="15"/>
  <c r="T1421" i="15"/>
  <c r="W1421" i="15"/>
  <c r="Y1421" i="15"/>
  <c r="J1421" i="15"/>
  <c r="O1421" i="15"/>
  <c r="E1421" i="15"/>
  <c r="S1421" i="15"/>
  <c r="AC1421" i="15"/>
  <c r="N1421" i="15"/>
  <c r="I1421" i="15"/>
  <c r="B1421" i="15"/>
  <c r="AQ1420" i="15"/>
  <c r="M1420" i="15"/>
  <c r="AM1420" i="15"/>
  <c r="C1420" i="15"/>
  <c r="X1420" i="15"/>
  <c r="AA1420" i="15"/>
  <c r="H1420" i="15"/>
  <c r="L1420" i="15"/>
  <c r="Q1420" i="15"/>
  <c r="D1420" i="15"/>
  <c r="G1420" i="15"/>
  <c r="U1420" i="15"/>
  <c r="AL1420" i="15"/>
  <c r="Z1420" i="15"/>
  <c r="K1420" i="15"/>
  <c r="P1420" i="15"/>
  <c r="F1420" i="15"/>
  <c r="T1420" i="15"/>
  <c r="W1420" i="15"/>
  <c r="AK1420" i="15"/>
  <c r="Y1420" i="15"/>
  <c r="J1420" i="15"/>
  <c r="O1420" i="15"/>
  <c r="E1420" i="15"/>
  <c r="S1420" i="15"/>
  <c r="AJ1420" i="15"/>
  <c r="AI1420" i="15"/>
  <c r="AH1420" i="15"/>
  <c r="AG1420" i="15"/>
  <c r="AC1420" i="15"/>
  <c r="N1420" i="15"/>
  <c r="I1420" i="15"/>
  <c r="B1420" i="15"/>
  <c r="AQ1419" i="15"/>
  <c r="M1419" i="15"/>
  <c r="AM1419" i="15"/>
  <c r="C1419" i="15"/>
  <c r="X1419" i="15"/>
  <c r="AA1419" i="15"/>
  <c r="H1419" i="15"/>
  <c r="L1419" i="15"/>
  <c r="Q1419" i="15"/>
  <c r="D1419" i="15"/>
  <c r="G1419" i="15"/>
  <c r="U1419" i="15"/>
  <c r="AL1419" i="15"/>
  <c r="Z1419" i="15"/>
  <c r="K1419" i="15"/>
  <c r="P1419" i="15"/>
  <c r="F1419" i="15"/>
  <c r="T1419" i="15"/>
  <c r="W1419" i="15"/>
  <c r="AK1419" i="15"/>
  <c r="Y1419" i="15"/>
  <c r="J1419" i="15"/>
  <c r="O1419" i="15"/>
  <c r="E1419" i="15"/>
  <c r="S1419" i="15"/>
  <c r="AJ1419" i="15"/>
  <c r="AI1419" i="15"/>
  <c r="AH1419" i="15"/>
  <c r="AG1419" i="15"/>
  <c r="AC1419" i="15"/>
  <c r="N1419" i="15"/>
  <c r="I1419" i="15"/>
  <c r="B1419" i="15"/>
  <c r="AQ1418" i="15"/>
  <c r="M1418" i="15"/>
  <c r="AM1418" i="15"/>
  <c r="C1418" i="15"/>
  <c r="X1418" i="15"/>
  <c r="AA1418" i="15"/>
  <c r="H1418" i="15"/>
  <c r="L1418" i="15"/>
  <c r="Q1418" i="15"/>
  <c r="D1418" i="15"/>
  <c r="G1418" i="15"/>
  <c r="U1418" i="15"/>
  <c r="AL1418" i="15"/>
  <c r="Z1418" i="15"/>
  <c r="K1418" i="15"/>
  <c r="P1418" i="15"/>
  <c r="F1418" i="15"/>
  <c r="T1418" i="15"/>
  <c r="W1418" i="15"/>
  <c r="AK1418" i="15"/>
  <c r="Y1418" i="15"/>
  <c r="J1418" i="15"/>
  <c r="O1418" i="15"/>
  <c r="E1418" i="15"/>
  <c r="S1418" i="15"/>
  <c r="AJ1418" i="15"/>
  <c r="AI1418" i="15"/>
  <c r="AH1418" i="15"/>
  <c r="AG1418" i="15"/>
  <c r="AC1418" i="15"/>
  <c r="N1418" i="15"/>
  <c r="I1418" i="15"/>
  <c r="B1418" i="15"/>
  <c r="AQ1417" i="15"/>
  <c r="M1417" i="15"/>
  <c r="AM1417" i="15"/>
  <c r="C1417" i="15"/>
  <c r="X1417" i="15"/>
  <c r="AA1417" i="15"/>
  <c r="H1417" i="15"/>
  <c r="L1417" i="15"/>
  <c r="Q1417" i="15"/>
  <c r="D1417" i="15"/>
  <c r="G1417" i="15"/>
  <c r="U1417" i="15"/>
  <c r="AL1417" i="15"/>
  <c r="Z1417" i="15"/>
  <c r="K1417" i="15"/>
  <c r="P1417" i="15"/>
  <c r="F1417" i="15"/>
  <c r="T1417" i="15"/>
  <c r="W1417" i="15"/>
  <c r="AK1417" i="15"/>
  <c r="Y1417" i="15"/>
  <c r="J1417" i="15"/>
  <c r="O1417" i="15"/>
  <c r="E1417" i="15"/>
  <c r="S1417" i="15"/>
  <c r="AJ1417" i="15"/>
  <c r="AI1417" i="15"/>
  <c r="AH1417" i="15"/>
  <c r="AG1417" i="15"/>
  <c r="AC1417" i="15"/>
  <c r="N1417" i="15"/>
  <c r="I1417" i="15"/>
  <c r="B1417" i="15"/>
  <c r="AQ1416" i="15"/>
  <c r="M1416" i="15"/>
  <c r="AM1416" i="15"/>
  <c r="C1416" i="15"/>
  <c r="X1416" i="15"/>
  <c r="AA1416" i="15"/>
  <c r="H1416" i="15"/>
  <c r="L1416" i="15"/>
  <c r="Q1416" i="15"/>
  <c r="D1416" i="15"/>
  <c r="G1416" i="15"/>
  <c r="U1416" i="15"/>
  <c r="AL1416" i="15"/>
  <c r="Z1416" i="15"/>
  <c r="K1416" i="15"/>
  <c r="P1416" i="15"/>
  <c r="F1416" i="15"/>
  <c r="T1416" i="15"/>
  <c r="W1416" i="15"/>
  <c r="AK1416" i="15"/>
  <c r="Y1416" i="15"/>
  <c r="J1416" i="15"/>
  <c r="O1416" i="15"/>
  <c r="E1416" i="15"/>
  <c r="S1416" i="15"/>
  <c r="AJ1416" i="15"/>
  <c r="AI1416" i="15"/>
  <c r="AH1416" i="15"/>
  <c r="AG1416" i="15"/>
  <c r="AC1416" i="15"/>
  <c r="N1416" i="15"/>
  <c r="I1416" i="15"/>
  <c r="B1416" i="15"/>
  <c r="AQ1415" i="15"/>
  <c r="M1415" i="15"/>
  <c r="AM1415" i="15"/>
  <c r="C1415" i="15"/>
  <c r="X1415" i="15"/>
  <c r="AA1415" i="15"/>
  <c r="H1415" i="15"/>
  <c r="L1415" i="15"/>
  <c r="Q1415" i="15"/>
  <c r="D1415" i="15"/>
  <c r="G1415" i="15"/>
  <c r="U1415" i="15"/>
  <c r="AL1415" i="15"/>
  <c r="Z1415" i="15"/>
  <c r="K1415" i="15"/>
  <c r="P1415" i="15"/>
  <c r="F1415" i="15"/>
  <c r="T1415" i="15"/>
  <c r="W1415" i="15"/>
  <c r="AK1415" i="15"/>
  <c r="Y1415" i="15"/>
  <c r="J1415" i="15"/>
  <c r="O1415" i="15"/>
  <c r="E1415" i="15"/>
  <c r="S1415" i="15"/>
  <c r="AJ1415" i="15"/>
  <c r="AI1415" i="15"/>
  <c r="AH1415" i="15"/>
  <c r="AG1415" i="15"/>
  <c r="AC1415" i="15"/>
  <c r="N1415" i="15"/>
  <c r="I1415" i="15"/>
  <c r="B1415" i="15"/>
  <c r="AQ1414" i="15"/>
  <c r="M1414" i="15"/>
  <c r="AM1414" i="15"/>
  <c r="C1414" i="15"/>
  <c r="X1414" i="15"/>
  <c r="AA1414" i="15"/>
  <c r="H1414" i="15"/>
  <c r="L1414" i="15"/>
  <c r="Q1414" i="15"/>
  <c r="D1414" i="15"/>
  <c r="G1414" i="15"/>
  <c r="U1414" i="15"/>
  <c r="AL1414" i="15"/>
  <c r="Z1414" i="15"/>
  <c r="K1414" i="15"/>
  <c r="P1414" i="15"/>
  <c r="F1414" i="15"/>
  <c r="T1414" i="15"/>
  <c r="W1414" i="15"/>
  <c r="AK1414" i="15"/>
  <c r="Y1414" i="15"/>
  <c r="J1414" i="15"/>
  <c r="O1414" i="15"/>
  <c r="E1414" i="15"/>
  <c r="S1414" i="15"/>
  <c r="AJ1414" i="15"/>
  <c r="AI1414" i="15"/>
  <c r="AH1414" i="15"/>
  <c r="AG1414" i="15"/>
  <c r="AC1414" i="15"/>
  <c r="N1414" i="15"/>
  <c r="I1414" i="15"/>
  <c r="B1414" i="15"/>
  <c r="AQ1413" i="15"/>
  <c r="M1413" i="15"/>
  <c r="AM1413" i="15"/>
  <c r="C1413" i="15"/>
  <c r="X1413" i="15"/>
  <c r="AA1413" i="15"/>
  <c r="H1413" i="15"/>
  <c r="L1413" i="15"/>
  <c r="Q1413" i="15"/>
  <c r="D1413" i="15"/>
  <c r="G1413" i="15"/>
  <c r="U1413" i="15"/>
  <c r="AL1413" i="15"/>
  <c r="Z1413" i="15"/>
  <c r="K1413" i="15"/>
  <c r="P1413" i="15"/>
  <c r="F1413" i="15"/>
  <c r="T1413" i="15"/>
  <c r="W1413" i="15"/>
  <c r="AK1413" i="15"/>
  <c r="Y1413" i="15"/>
  <c r="J1413" i="15"/>
  <c r="O1413" i="15"/>
  <c r="E1413" i="15"/>
  <c r="S1413" i="15"/>
  <c r="AJ1413" i="15"/>
  <c r="AI1413" i="15"/>
  <c r="AH1413" i="15"/>
  <c r="AG1413" i="15"/>
  <c r="AC1413" i="15"/>
  <c r="N1413" i="15"/>
  <c r="I1413" i="15"/>
  <c r="B1413" i="15"/>
  <c r="AQ1412" i="15"/>
  <c r="M1412" i="15"/>
  <c r="AM1412" i="15"/>
  <c r="C1412" i="15"/>
  <c r="X1412" i="15"/>
  <c r="AA1412" i="15"/>
  <c r="H1412" i="15"/>
  <c r="L1412" i="15"/>
  <c r="Q1412" i="15"/>
  <c r="D1412" i="15"/>
  <c r="G1412" i="15"/>
  <c r="U1412" i="15"/>
  <c r="AL1412" i="15"/>
  <c r="Z1412" i="15"/>
  <c r="K1412" i="15"/>
  <c r="P1412" i="15"/>
  <c r="F1412" i="15"/>
  <c r="T1412" i="15"/>
  <c r="W1412" i="15"/>
  <c r="AK1412" i="15"/>
  <c r="Y1412" i="15"/>
  <c r="J1412" i="15"/>
  <c r="O1412" i="15"/>
  <c r="E1412" i="15"/>
  <c r="S1412" i="15"/>
  <c r="AJ1412" i="15"/>
  <c r="AI1412" i="15"/>
  <c r="AH1412" i="15"/>
  <c r="AG1412" i="15"/>
  <c r="AC1412" i="15"/>
  <c r="N1412" i="15"/>
  <c r="I1412" i="15"/>
  <c r="B1412" i="15"/>
  <c r="AQ1411" i="15"/>
  <c r="M1411" i="15"/>
  <c r="AM1411" i="15"/>
  <c r="C1411" i="15"/>
  <c r="X1411" i="15"/>
  <c r="AA1411" i="15"/>
  <c r="H1411" i="15"/>
  <c r="L1411" i="15"/>
  <c r="Q1411" i="15"/>
  <c r="D1411" i="15"/>
  <c r="G1411" i="15"/>
  <c r="U1411" i="15"/>
  <c r="AL1411" i="15"/>
  <c r="Z1411" i="15"/>
  <c r="K1411" i="15"/>
  <c r="P1411" i="15"/>
  <c r="F1411" i="15"/>
  <c r="T1411" i="15"/>
  <c r="W1411" i="15"/>
  <c r="AK1411" i="15"/>
  <c r="Y1411" i="15"/>
  <c r="J1411" i="15"/>
  <c r="O1411" i="15"/>
  <c r="E1411" i="15"/>
  <c r="S1411" i="15"/>
  <c r="AJ1411" i="15"/>
  <c r="AI1411" i="15"/>
  <c r="AH1411" i="15"/>
  <c r="AG1411" i="15"/>
  <c r="AC1411" i="15"/>
  <c r="N1411" i="15"/>
  <c r="I1411" i="15"/>
  <c r="B1411" i="15"/>
  <c r="AQ1410" i="15"/>
  <c r="M1410" i="15"/>
  <c r="AM1410" i="15"/>
  <c r="AC1410" i="15"/>
  <c r="C1410" i="15"/>
  <c r="X1410" i="15"/>
  <c r="AA1410" i="15"/>
  <c r="Z1410" i="15"/>
  <c r="Y1410" i="15"/>
  <c r="W1410" i="15"/>
  <c r="U1410" i="15"/>
  <c r="T1410" i="15"/>
  <c r="S1410" i="15"/>
  <c r="Q1410" i="15"/>
  <c r="P1410" i="15"/>
  <c r="O1410" i="15"/>
  <c r="N1410" i="15"/>
  <c r="H1410" i="15"/>
  <c r="L1410" i="15"/>
  <c r="K1410" i="15"/>
  <c r="J1410" i="15"/>
  <c r="I1410" i="15"/>
  <c r="D1410" i="15"/>
  <c r="G1410" i="15"/>
  <c r="F1410" i="15"/>
  <c r="E1410" i="15"/>
  <c r="B1410" i="15"/>
  <c r="AQ1409" i="15"/>
  <c r="M1409" i="15"/>
  <c r="AM1409" i="15"/>
  <c r="C1409" i="15"/>
  <c r="X1409" i="15"/>
  <c r="AA1409" i="15"/>
  <c r="H1409" i="15"/>
  <c r="L1409" i="15"/>
  <c r="Q1409" i="15"/>
  <c r="D1409" i="15"/>
  <c r="G1409" i="15"/>
  <c r="U1409" i="15"/>
  <c r="AL1409" i="15"/>
  <c r="Z1409" i="15"/>
  <c r="K1409" i="15"/>
  <c r="P1409" i="15"/>
  <c r="F1409" i="15"/>
  <c r="T1409" i="15"/>
  <c r="W1409" i="15"/>
  <c r="AK1409" i="15"/>
  <c r="Y1409" i="15"/>
  <c r="J1409" i="15"/>
  <c r="O1409" i="15"/>
  <c r="E1409" i="15"/>
  <c r="S1409" i="15"/>
  <c r="AJ1409" i="15"/>
  <c r="AI1409" i="15"/>
  <c r="AH1409" i="15"/>
  <c r="AG1409" i="15"/>
  <c r="AC1409" i="15"/>
  <c r="N1409" i="15"/>
  <c r="I1409" i="15"/>
  <c r="B1409" i="15"/>
  <c r="AQ1408" i="15"/>
  <c r="M1408" i="15"/>
  <c r="AM1408" i="15"/>
  <c r="C1408" i="15"/>
  <c r="X1408" i="15"/>
  <c r="AA1408" i="15"/>
  <c r="H1408" i="15"/>
  <c r="L1408" i="15"/>
  <c r="Q1408" i="15"/>
  <c r="D1408" i="15"/>
  <c r="G1408" i="15"/>
  <c r="U1408" i="15"/>
  <c r="AL1408" i="15"/>
  <c r="Z1408" i="15"/>
  <c r="K1408" i="15"/>
  <c r="P1408" i="15"/>
  <c r="F1408" i="15"/>
  <c r="T1408" i="15"/>
  <c r="W1408" i="15"/>
  <c r="AK1408" i="15"/>
  <c r="Y1408" i="15"/>
  <c r="J1408" i="15"/>
  <c r="O1408" i="15"/>
  <c r="E1408" i="15"/>
  <c r="S1408" i="15"/>
  <c r="AJ1408" i="15"/>
  <c r="AI1408" i="15"/>
  <c r="AH1408" i="15"/>
  <c r="AG1408" i="15"/>
  <c r="AC1408" i="15"/>
  <c r="N1408" i="15"/>
  <c r="I1408" i="15"/>
  <c r="B1408" i="15"/>
  <c r="AQ1407" i="15"/>
  <c r="M1407" i="15"/>
  <c r="AM1407" i="15"/>
  <c r="C1407" i="15"/>
  <c r="X1407" i="15"/>
  <c r="AA1407" i="15"/>
  <c r="H1407" i="15"/>
  <c r="L1407" i="15"/>
  <c r="Q1407" i="15"/>
  <c r="D1407" i="15"/>
  <c r="G1407" i="15"/>
  <c r="U1407" i="15"/>
  <c r="AL1407" i="15"/>
  <c r="Z1407" i="15"/>
  <c r="K1407" i="15"/>
  <c r="P1407" i="15"/>
  <c r="F1407" i="15"/>
  <c r="T1407" i="15"/>
  <c r="W1407" i="15"/>
  <c r="AK1407" i="15"/>
  <c r="Y1407" i="15"/>
  <c r="J1407" i="15"/>
  <c r="O1407" i="15"/>
  <c r="E1407" i="15"/>
  <c r="S1407" i="15"/>
  <c r="AJ1407" i="15"/>
  <c r="AI1407" i="15"/>
  <c r="AH1407" i="15"/>
  <c r="AG1407" i="15"/>
  <c r="AC1407" i="15"/>
  <c r="N1407" i="15"/>
  <c r="I1407" i="15"/>
  <c r="B1407" i="15"/>
  <c r="AQ1406" i="15"/>
  <c r="M1406" i="15"/>
  <c r="AM1406" i="15"/>
  <c r="C1406" i="15"/>
  <c r="X1406" i="15"/>
  <c r="AA1406" i="15"/>
  <c r="H1406" i="15"/>
  <c r="L1406" i="15"/>
  <c r="Q1406" i="15"/>
  <c r="D1406" i="15"/>
  <c r="G1406" i="15"/>
  <c r="U1406" i="15"/>
  <c r="AL1406" i="15"/>
  <c r="Z1406" i="15"/>
  <c r="K1406" i="15"/>
  <c r="P1406" i="15"/>
  <c r="F1406" i="15"/>
  <c r="T1406" i="15"/>
  <c r="W1406" i="15"/>
  <c r="AK1406" i="15"/>
  <c r="Y1406" i="15"/>
  <c r="J1406" i="15"/>
  <c r="O1406" i="15"/>
  <c r="E1406" i="15"/>
  <c r="S1406" i="15"/>
  <c r="AJ1406" i="15"/>
  <c r="AI1406" i="15"/>
  <c r="AH1406" i="15"/>
  <c r="AG1406" i="15"/>
  <c r="AC1406" i="15"/>
  <c r="N1406" i="15"/>
  <c r="I1406" i="15"/>
  <c r="B1406" i="15"/>
  <c r="AQ1405" i="15"/>
  <c r="M1405" i="15"/>
  <c r="AM1405" i="15"/>
  <c r="C1405" i="15"/>
  <c r="X1405" i="15"/>
  <c r="AA1405" i="15"/>
  <c r="H1405" i="15"/>
  <c r="L1405" i="15"/>
  <c r="Q1405" i="15"/>
  <c r="D1405" i="15"/>
  <c r="G1405" i="15"/>
  <c r="U1405" i="15"/>
  <c r="AL1405" i="15"/>
  <c r="Z1405" i="15"/>
  <c r="K1405" i="15"/>
  <c r="P1405" i="15"/>
  <c r="F1405" i="15"/>
  <c r="T1405" i="15"/>
  <c r="W1405" i="15"/>
  <c r="AK1405" i="15"/>
  <c r="Y1405" i="15"/>
  <c r="J1405" i="15"/>
  <c r="O1405" i="15"/>
  <c r="E1405" i="15"/>
  <c r="S1405" i="15"/>
  <c r="AJ1405" i="15"/>
  <c r="AI1405" i="15"/>
  <c r="AH1405" i="15"/>
  <c r="AG1405" i="15"/>
  <c r="AC1405" i="15"/>
  <c r="N1405" i="15"/>
  <c r="I1405" i="15"/>
  <c r="B1405" i="15"/>
  <c r="AQ1404" i="15"/>
  <c r="M1404" i="15"/>
  <c r="AM1404" i="15"/>
  <c r="C1404" i="15"/>
  <c r="X1404" i="15"/>
  <c r="AA1404" i="15"/>
  <c r="H1404" i="15"/>
  <c r="L1404" i="15"/>
  <c r="Q1404" i="15"/>
  <c r="D1404" i="15"/>
  <c r="G1404" i="15"/>
  <c r="U1404" i="15"/>
  <c r="AL1404" i="15"/>
  <c r="Z1404" i="15"/>
  <c r="K1404" i="15"/>
  <c r="P1404" i="15"/>
  <c r="F1404" i="15"/>
  <c r="T1404" i="15"/>
  <c r="W1404" i="15"/>
  <c r="AK1404" i="15"/>
  <c r="Y1404" i="15"/>
  <c r="J1404" i="15"/>
  <c r="O1404" i="15"/>
  <c r="E1404" i="15"/>
  <c r="S1404" i="15"/>
  <c r="AJ1404" i="15"/>
  <c r="AI1404" i="15"/>
  <c r="AH1404" i="15"/>
  <c r="AG1404" i="15"/>
  <c r="AC1404" i="15"/>
  <c r="N1404" i="15"/>
  <c r="I1404" i="15"/>
  <c r="B1404" i="15"/>
  <c r="AQ1403" i="15"/>
  <c r="M1403" i="15"/>
  <c r="AM1403" i="15"/>
  <c r="AC1403" i="15"/>
  <c r="C1403" i="15"/>
  <c r="X1403" i="15"/>
  <c r="AA1403" i="15"/>
  <c r="Z1403" i="15"/>
  <c r="Y1403" i="15"/>
  <c r="W1403" i="15"/>
  <c r="U1403" i="15"/>
  <c r="T1403" i="15"/>
  <c r="S1403" i="15"/>
  <c r="Q1403" i="15"/>
  <c r="P1403" i="15"/>
  <c r="O1403" i="15"/>
  <c r="N1403" i="15"/>
  <c r="H1403" i="15"/>
  <c r="L1403" i="15"/>
  <c r="K1403" i="15"/>
  <c r="J1403" i="15"/>
  <c r="I1403" i="15"/>
  <c r="D1403" i="15"/>
  <c r="G1403" i="15"/>
  <c r="F1403" i="15"/>
  <c r="E1403" i="15"/>
  <c r="B1403" i="15"/>
  <c r="AQ1402" i="15"/>
  <c r="M1402" i="15"/>
  <c r="AM1402" i="15"/>
  <c r="AC1402" i="15"/>
  <c r="C1402" i="15"/>
  <c r="X1402" i="15"/>
  <c r="AA1402" i="15"/>
  <c r="Z1402" i="15"/>
  <c r="Y1402" i="15"/>
  <c r="W1402" i="15"/>
  <c r="U1402" i="15"/>
  <c r="T1402" i="15"/>
  <c r="S1402" i="15"/>
  <c r="Q1402" i="15"/>
  <c r="P1402" i="15"/>
  <c r="O1402" i="15"/>
  <c r="N1402" i="15"/>
  <c r="H1402" i="15"/>
  <c r="L1402" i="15"/>
  <c r="K1402" i="15"/>
  <c r="J1402" i="15"/>
  <c r="I1402" i="15"/>
  <c r="D1402" i="15"/>
  <c r="G1402" i="15"/>
  <c r="F1402" i="15"/>
  <c r="E1402" i="15"/>
  <c r="B1402" i="15"/>
  <c r="AQ1401" i="15"/>
  <c r="M1401" i="15"/>
  <c r="AM1401" i="15"/>
  <c r="C1401" i="15"/>
  <c r="X1401" i="15"/>
  <c r="AA1401" i="15"/>
  <c r="H1401" i="15"/>
  <c r="L1401" i="15"/>
  <c r="Q1401" i="15"/>
  <c r="D1401" i="15"/>
  <c r="G1401" i="15"/>
  <c r="U1401" i="15"/>
  <c r="AL1401" i="15"/>
  <c r="Z1401" i="15"/>
  <c r="K1401" i="15"/>
  <c r="P1401" i="15"/>
  <c r="F1401" i="15"/>
  <c r="T1401" i="15"/>
  <c r="W1401" i="15"/>
  <c r="AK1401" i="15"/>
  <c r="Y1401" i="15"/>
  <c r="J1401" i="15"/>
  <c r="O1401" i="15"/>
  <c r="E1401" i="15"/>
  <c r="S1401" i="15"/>
  <c r="AJ1401" i="15"/>
  <c r="AI1401" i="15"/>
  <c r="AH1401" i="15"/>
  <c r="AG1401" i="15"/>
  <c r="AC1401" i="15"/>
  <c r="N1401" i="15"/>
  <c r="I1401" i="15"/>
  <c r="B1401" i="15"/>
  <c r="AQ1400" i="15"/>
  <c r="M1400" i="15"/>
  <c r="AM1400" i="15"/>
  <c r="C1400" i="15"/>
  <c r="X1400" i="15"/>
  <c r="AA1400" i="15"/>
  <c r="H1400" i="15"/>
  <c r="L1400" i="15"/>
  <c r="Q1400" i="15"/>
  <c r="D1400" i="15"/>
  <c r="G1400" i="15"/>
  <c r="U1400" i="15"/>
  <c r="AL1400" i="15"/>
  <c r="Z1400" i="15"/>
  <c r="K1400" i="15"/>
  <c r="P1400" i="15"/>
  <c r="F1400" i="15"/>
  <c r="T1400" i="15"/>
  <c r="W1400" i="15"/>
  <c r="AK1400" i="15"/>
  <c r="Y1400" i="15"/>
  <c r="J1400" i="15"/>
  <c r="O1400" i="15"/>
  <c r="E1400" i="15"/>
  <c r="S1400" i="15"/>
  <c r="AJ1400" i="15"/>
  <c r="AI1400" i="15"/>
  <c r="AH1400" i="15"/>
  <c r="AG1400" i="15"/>
  <c r="AC1400" i="15"/>
  <c r="N1400" i="15"/>
  <c r="I1400" i="15"/>
  <c r="B1400" i="15"/>
  <c r="AQ1399" i="15"/>
  <c r="M1399" i="15"/>
  <c r="AM1399" i="15"/>
  <c r="C1399" i="15"/>
  <c r="X1399" i="15"/>
  <c r="AA1399" i="15"/>
  <c r="H1399" i="15"/>
  <c r="L1399" i="15"/>
  <c r="Q1399" i="15"/>
  <c r="D1399" i="15"/>
  <c r="G1399" i="15"/>
  <c r="U1399" i="15"/>
  <c r="AL1399" i="15"/>
  <c r="Z1399" i="15"/>
  <c r="K1399" i="15"/>
  <c r="P1399" i="15"/>
  <c r="F1399" i="15"/>
  <c r="T1399" i="15"/>
  <c r="W1399" i="15"/>
  <c r="AK1399" i="15"/>
  <c r="Y1399" i="15"/>
  <c r="J1399" i="15"/>
  <c r="O1399" i="15"/>
  <c r="E1399" i="15"/>
  <c r="S1399" i="15"/>
  <c r="AJ1399" i="15"/>
  <c r="AI1399" i="15"/>
  <c r="AH1399" i="15"/>
  <c r="AG1399" i="15"/>
  <c r="AC1399" i="15"/>
  <c r="N1399" i="15"/>
  <c r="I1399" i="15"/>
  <c r="B1399" i="15"/>
  <c r="AQ1398" i="15"/>
  <c r="M1398" i="15"/>
  <c r="AM1398" i="15"/>
  <c r="C1398" i="15"/>
  <c r="X1398" i="15"/>
  <c r="AA1398" i="15"/>
  <c r="H1398" i="15"/>
  <c r="L1398" i="15"/>
  <c r="Q1398" i="15"/>
  <c r="D1398" i="15"/>
  <c r="G1398" i="15"/>
  <c r="U1398" i="15"/>
  <c r="AL1398" i="15"/>
  <c r="Z1398" i="15"/>
  <c r="K1398" i="15"/>
  <c r="P1398" i="15"/>
  <c r="F1398" i="15"/>
  <c r="T1398" i="15"/>
  <c r="W1398" i="15"/>
  <c r="AK1398" i="15"/>
  <c r="Y1398" i="15"/>
  <c r="J1398" i="15"/>
  <c r="O1398" i="15"/>
  <c r="E1398" i="15"/>
  <c r="S1398" i="15"/>
  <c r="AJ1398" i="15"/>
  <c r="AI1398" i="15"/>
  <c r="AH1398" i="15"/>
  <c r="AG1398" i="15"/>
  <c r="AC1398" i="15"/>
  <c r="N1398" i="15"/>
  <c r="I1398" i="15"/>
  <c r="B1398" i="15"/>
  <c r="AQ1397" i="15"/>
  <c r="M1397" i="15"/>
  <c r="AM1397" i="15"/>
  <c r="AC1397" i="15"/>
  <c r="C1397" i="15"/>
  <c r="X1397" i="15"/>
  <c r="AA1397" i="15"/>
  <c r="Z1397" i="15"/>
  <c r="Y1397" i="15"/>
  <c r="W1397" i="15"/>
  <c r="U1397" i="15"/>
  <c r="T1397" i="15"/>
  <c r="S1397" i="15"/>
  <c r="Q1397" i="15"/>
  <c r="P1397" i="15"/>
  <c r="O1397" i="15"/>
  <c r="N1397" i="15"/>
  <c r="H1397" i="15"/>
  <c r="L1397" i="15"/>
  <c r="K1397" i="15"/>
  <c r="J1397" i="15"/>
  <c r="I1397" i="15"/>
  <c r="D1397" i="15"/>
  <c r="G1397" i="15"/>
  <c r="F1397" i="15"/>
  <c r="E1397" i="15"/>
  <c r="B1397" i="15"/>
  <c r="AQ1396" i="15"/>
  <c r="M1396" i="15"/>
  <c r="AM1396" i="15"/>
  <c r="C1396" i="15"/>
  <c r="X1396" i="15"/>
  <c r="AA1396" i="15"/>
  <c r="H1396" i="15"/>
  <c r="L1396" i="15"/>
  <c r="Q1396" i="15"/>
  <c r="D1396" i="15"/>
  <c r="G1396" i="15"/>
  <c r="U1396" i="15"/>
  <c r="AL1396" i="15"/>
  <c r="Z1396" i="15"/>
  <c r="K1396" i="15"/>
  <c r="P1396" i="15"/>
  <c r="F1396" i="15"/>
  <c r="T1396" i="15"/>
  <c r="W1396" i="15"/>
  <c r="AK1396" i="15"/>
  <c r="Y1396" i="15"/>
  <c r="J1396" i="15"/>
  <c r="O1396" i="15"/>
  <c r="E1396" i="15"/>
  <c r="S1396" i="15"/>
  <c r="AJ1396" i="15"/>
  <c r="AI1396" i="15"/>
  <c r="AH1396" i="15"/>
  <c r="AG1396" i="15"/>
  <c r="AC1396" i="15"/>
  <c r="N1396" i="15"/>
  <c r="I1396" i="15"/>
  <c r="B1396" i="15"/>
  <c r="AQ1395" i="15"/>
  <c r="M1395" i="15"/>
  <c r="AM1395" i="15"/>
  <c r="C1395" i="15"/>
  <c r="X1395" i="15"/>
  <c r="AA1395" i="15"/>
  <c r="H1395" i="15"/>
  <c r="L1395" i="15"/>
  <c r="Q1395" i="15"/>
  <c r="D1395" i="15"/>
  <c r="G1395" i="15"/>
  <c r="U1395" i="15"/>
  <c r="AL1395" i="15"/>
  <c r="Z1395" i="15"/>
  <c r="K1395" i="15"/>
  <c r="P1395" i="15"/>
  <c r="F1395" i="15"/>
  <c r="T1395" i="15"/>
  <c r="W1395" i="15"/>
  <c r="AK1395" i="15"/>
  <c r="Y1395" i="15"/>
  <c r="J1395" i="15"/>
  <c r="O1395" i="15"/>
  <c r="E1395" i="15"/>
  <c r="S1395" i="15"/>
  <c r="AJ1395" i="15"/>
  <c r="AI1395" i="15"/>
  <c r="AH1395" i="15"/>
  <c r="AG1395" i="15"/>
  <c r="AC1395" i="15"/>
  <c r="N1395" i="15"/>
  <c r="I1395" i="15"/>
  <c r="B1395" i="15"/>
  <c r="M1343" i="15"/>
  <c r="N1343" i="15"/>
  <c r="H1343" i="15"/>
  <c r="L1343" i="15"/>
  <c r="K1343" i="15"/>
  <c r="J1343" i="15"/>
  <c r="I1343" i="15"/>
  <c r="M1342" i="15"/>
  <c r="N1342" i="15"/>
  <c r="H1342" i="15"/>
  <c r="L1342" i="15"/>
  <c r="K1342" i="15"/>
  <c r="J1342" i="15"/>
  <c r="I1342" i="15"/>
  <c r="AQ1585" i="15"/>
  <c r="M1585" i="15"/>
  <c r="AM1585" i="15"/>
  <c r="C1585" i="15"/>
  <c r="X1585" i="15"/>
  <c r="AA1585" i="15"/>
  <c r="H1585" i="15"/>
  <c r="L1585" i="15"/>
  <c r="Q1585" i="15"/>
  <c r="D1585" i="15"/>
  <c r="G1585" i="15"/>
  <c r="U1585" i="15"/>
  <c r="AL1585" i="15"/>
  <c r="Z1585" i="15"/>
  <c r="K1585" i="15"/>
  <c r="P1585" i="15"/>
  <c r="F1585" i="15"/>
  <c r="T1585" i="15"/>
  <c r="W1585" i="15"/>
  <c r="AK1585" i="15"/>
  <c r="Y1585" i="15"/>
  <c r="J1585" i="15"/>
  <c r="O1585" i="15"/>
  <c r="E1585" i="15"/>
  <c r="S1585" i="15"/>
  <c r="AJ1585" i="15"/>
  <c r="AI1585" i="15"/>
  <c r="AH1585" i="15"/>
  <c r="AG1585" i="15"/>
  <c r="AC1585" i="15"/>
  <c r="N1585" i="15"/>
  <c r="I1585" i="15"/>
  <c r="B1585" i="15"/>
  <c r="AQ1584" i="15"/>
  <c r="M1584" i="15"/>
  <c r="AM1584" i="15"/>
  <c r="C1584" i="15"/>
  <c r="X1584" i="15"/>
  <c r="AA1584" i="15"/>
  <c r="H1584" i="15"/>
  <c r="L1584" i="15"/>
  <c r="Q1584" i="15"/>
  <c r="D1584" i="15"/>
  <c r="G1584" i="15"/>
  <c r="U1584" i="15"/>
  <c r="AL1584" i="15"/>
  <c r="Z1584" i="15"/>
  <c r="K1584" i="15"/>
  <c r="P1584" i="15"/>
  <c r="F1584" i="15"/>
  <c r="T1584" i="15"/>
  <c r="W1584" i="15"/>
  <c r="AK1584" i="15"/>
  <c r="Y1584" i="15"/>
  <c r="J1584" i="15"/>
  <c r="O1584" i="15"/>
  <c r="E1584" i="15"/>
  <c r="S1584" i="15"/>
  <c r="AJ1584" i="15"/>
  <c r="AI1584" i="15"/>
  <c r="AH1584" i="15"/>
  <c r="AG1584" i="15"/>
  <c r="AC1584" i="15"/>
  <c r="N1584" i="15"/>
  <c r="I1584" i="15"/>
  <c r="B1584" i="15"/>
  <c r="AQ1583" i="15"/>
  <c r="M1583" i="15"/>
  <c r="AM1583" i="15"/>
  <c r="C1583" i="15"/>
  <c r="X1583" i="15"/>
  <c r="AA1583" i="15"/>
  <c r="H1583" i="15"/>
  <c r="L1583" i="15"/>
  <c r="Q1583" i="15"/>
  <c r="D1583" i="15"/>
  <c r="G1583" i="15"/>
  <c r="U1583" i="15"/>
  <c r="AL1583" i="15"/>
  <c r="Z1583" i="15"/>
  <c r="K1583" i="15"/>
  <c r="P1583" i="15"/>
  <c r="F1583" i="15"/>
  <c r="T1583" i="15"/>
  <c r="W1583" i="15"/>
  <c r="AK1583" i="15"/>
  <c r="Y1583" i="15"/>
  <c r="J1583" i="15"/>
  <c r="O1583" i="15"/>
  <c r="E1583" i="15"/>
  <c r="S1583" i="15"/>
  <c r="AJ1583" i="15"/>
  <c r="AI1583" i="15"/>
  <c r="AH1583" i="15"/>
  <c r="AG1583" i="15"/>
  <c r="AC1583" i="15"/>
  <c r="N1583" i="15"/>
  <c r="I1583" i="15"/>
  <c r="B1583" i="15"/>
  <c r="AQ1582" i="15"/>
  <c r="M1582" i="15"/>
  <c r="AM1582" i="15"/>
  <c r="C1582" i="15"/>
  <c r="X1582" i="15"/>
  <c r="AA1582" i="15"/>
  <c r="H1582" i="15"/>
  <c r="L1582" i="15"/>
  <c r="Q1582" i="15"/>
  <c r="D1582" i="15"/>
  <c r="G1582" i="15"/>
  <c r="U1582" i="15"/>
  <c r="AL1582" i="15"/>
  <c r="Z1582" i="15"/>
  <c r="K1582" i="15"/>
  <c r="P1582" i="15"/>
  <c r="F1582" i="15"/>
  <c r="T1582" i="15"/>
  <c r="W1582" i="15"/>
  <c r="AK1582" i="15"/>
  <c r="Y1582" i="15"/>
  <c r="J1582" i="15"/>
  <c r="O1582" i="15"/>
  <c r="E1582" i="15"/>
  <c r="S1582" i="15"/>
  <c r="AJ1582" i="15"/>
  <c r="AI1582" i="15"/>
  <c r="AH1582" i="15"/>
  <c r="AG1582" i="15"/>
  <c r="AC1582" i="15"/>
  <c r="N1582" i="15"/>
  <c r="I1582" i="15"/>
  <c r="B1582" i="15"/>
  <c r="AQ1569" i="15"/>
  <c r="AM1569" i="15"/>
  <c r="C1569" i="15"/>
  <c r="X1569" i="15"/>
  <c r="AA1569" i="15"/>
  <c r="H1569" i="15"/>
  <c r="L1569" i="15"/>
  <c r="Q1569" i="15"/>
  <c r="D1569" i="15"/>
  <c r="G1569" i="15"/>
  <c r="U1569" i="15"/>
  <c r="AL1569" i="15"/>
  <c r="Z1569" i="15"/>
  <c r="P1569" i="15"/>
  <c r="F1569" i="15"/>
  <c r="T1569" i="15"/>
  <c r="W1569" i="15"/>
  <c r="AK1569" i="15"/>
  <c r="Y1569" i="15"/>
  <c r="O1569" i="15"/>
  <c r="E1569" i="15"/>
  <c r="S1569" i="15"/>
  <c r="AJ1569" i="15"/>
  <c r="AI1569" i="15"/>
  <c r="AH1569" i="15"/>
  <c r="AG1569" i="15"/>
  <c r="AC1569" i="15"/>
  <c r="N1569" i="15"/>
  <c r="I1569" i="15"/>
  <c r="B1569" i="15"/>
  <c r="AQ1568" i="15"/>
  <c r="AM1568" i="15"/>
  <c r="C1568" i="15"/>
  <c r="X1568" i="15"/>
  <c r="AA1568" i="15"/>
  <c r="H1568" i="15"/>
  <c r="L1568" i="15"/>
  <c r="Q1568" i="15"/>
  <c r="D1568" i="15"/>
  <c r="G1568" i="15"/>
  <c r="U1568" i="15"/>
  <c r="AL1568" i="15"/>
  <c r="Z1568" i="15"/>
  <c r="P1568" i="15"/>
  <c r="F1568" i="15"/>
  <c r="T1568" i="15"/>
  <c r="W1568" i="15"/>
  <c r="AK1568" i="15"/>
  <c r="Y1568" i="15"/>
  <c r="O1568" i="15"/>
  <c r="E1568" i="15"/>
  <c r="S1568" i="15"/>
  <c r="AJ1568" i="15"/>
  <c r="AI1568" i="15"/>
  <c r="AH1568" i="15"/>
  <c r="AG1568" i="15"/>
  <c r="AC1568" i="15"/>
  <c r="N1568" i="15"/>
  <c r="I1568" i="15"/>
  <c r="B1568" i="15"/>
  <c r="B1339" i="15"/>
  <c r="C1339" i="15"/>
  <c r="D1339" i="15"/>
  <c r="E1339" i="15"/>
  <c r="F1339" i="15"/>
  <c r="G1339" i="15"/>
  <c r="H1339" i="15"/>
  <c r="I1339" i="15"/>
  <c r="J1339" i="15"/>
  <c r="K1339" i="15"/>
  <c r="L1339" i="15"/>
  <c r="M1339" i="15"/>
  <c r="N1339" i="15"/>
  <c r="O1339" i="15"/>
  <c r="P1339" i="15"/>
  <c r="Q1339" i="15"/>
  <c r="S1339" i="15"/>
  <c r="T1339" i="15"/>
  <c r="U1339" i="15"/>
  <c r="W1339" i="15"/>
  <c r="X1339" i="15"/>
  <c r="Y1339" i="15"/>
  <c r="Z1339" i="15"/>
  <c r="AA1339" i="15"/>
  <c r="AC1339" i="15"/>
  <c r="AG1339" i="15"/>
  <c r="AH1339" i="15"/>
  <c r="AI1339" i="15"/>
  <c r="AJ1339" i="15"/>
  <c r="AK1339" i="15"/>
  <c r="AL1339" i="15"/>
  <c r="AM1339" i="15"/>
  <c r="AQ1339" i="15"/>
  <c r="AQ1338" i="15"/>
  <c r="M1338" i="15"/>
  <c r="AM1338" i="15"/>
  <c r="C1338" i="15"/>
  <c r="X1338" i="15"/>
  <c r="AA1338" i="15"/>
  <c r="H1338" i="15"/>
  <c r="L1338" i="15"/>
  <c r="Q1338" i="15"/>
  <c r="D1338" i="15"/>
  <c r="G1338" i="15"/>
  <c r="U1338" i="15"/>
  <c r="AL1338" i="15"/>
  <c r="Z1338" i="15"/>
  <c r="K1338" i="15"/>
  <c r="P1338" i="15"/>
  <c r="F1338" i="15"/>
  <c r="T1338" i="15"/>
  <c r="W1338" i="15"/>
  <c r="AK1338" i="15"/>
  <c r="Y1338" i="15"/>
  <c r="J1338" i="15"/>
  <c r="O1338" i="15"/>
  <c r="E1338" i="15"/>
  <c r="S1338" i="15"/>
  <c r="AJ1338" i="15"/>
  <c r="AI1338" i="15"/>
  <c r="AH1338" i="15"/>
  <c r="AG1338" i="15"/>
  <c r="AC1338" i="15"/>
  <c r="N1338" i="15"/>
  <c r="I1338" i="15"/>
  <c r="B1338" i="15"/>
  <c r="AQ1341" i="15"/>
  <c r="M1341" i="15"/>
  <c r="AM1341" i="15"/>
  <c r="C1341" i="15"/>
  <c r="X1341" i="15"/>
  <c r="AA1341" i="15"/>
  <c r="H1341" i="15"/>
  <c r="L1341" i="15"/>
  <c r="Q1341" i="15"/>
  <c r="D1341" i="15"/>
  <c r="G1341" i="15"/>
  <c r="U1341" i="15"/>
  <c r="AL1341" i="15"/>
  <c r="Z1341" i="15"/>
  <c r="K1341" i="15"/>
  <c r="P1341" i="15"/>
  <c r="F1341" i="15"/>
  <c r="T1341" i="15"/>
  <c r="W1341" i="15"/>
  <c r="AK1341" i="15"/>
  <c r="Y1341" i="15"/>
  <c r="J1341" i="15"/>
  <c r="O1341" i="15"/>
  <c r="E1341" i="15"/>
  <c r="S1341" i="15"/>
  <c r="AJ1341" i="15"/>
  <c r="AI1341" i="15"/>
  <c r="AH1341" i="15"/>
  <c r="AG1341" i="15"/>
  <c r="AC1341" i="15"/>
  <c r="N1341" i="15"/>
  <c r="I1341" i="15"/>
  <c r="B1341" i="15"/>
  <c r="AQ1340" i="15"/>
  <c r="M1340" i="15"/>
  <c r="AM1340" i="15"/>
  <c r="C1340" i="15"/>
  <c r="X1340" i="15"/>
  <c r="AA1340" i="15"/>
  <c r="H1340" i="15"/>
  <c r="L1340" i="15"/>
  <c r="Q1340" i="15"/>
  <c r="D1340" i="15"/>
  <c r="G1340" i="15"/>
  <c r="U1340" i="15"/>
  <c r="AL1340" i="15"/>
  <c r="Z1340" i="15"/>
  <c r="K1340" i="15"/>
  <c r="P1340" i="15"/>
  <c r="F1340" i="15"/>
  <c r="T1340" i="15"/>
  <c r="W1340" i="15"/>
  <c r="AK1340" i="15"/>
  <c r="Y1340" i="15"/>
  <c r="J1340" i="15"/>
  <c r="O1340" i="15"/>
  <c r="E1340" i="15"/>
  <c r="S1340" i="15"/>
  <c r="AJ1340" i="15"/>
  <c r="AI1340" i="15"/>
  <c r="AH1340" i="15"/>
  <c r="AG1340" i="15"/>
  <c r="AC1340" i="15"/>
  <c r="N1340" i="15"/>
  <c r="I1340" i="15"/>
  <c r="B1340" i="15"/>
  <c r="AQ1343" i="15"/>
  <c r="AM1343" i="15"/>
  <c r="C1343" i="15"/>
  <c r="X1343" i="15"/>
  <c r="AA1343" i="15"/>
  <c r="Q1343" i="15"/>
  <c r="D1343" i="15"/>
  <c r="G1343" i="15"/>
  <c r="U1343" i="15"/>
  <c r="Z1343" i="15"/>
  <c r="P1343" i="15"/>
  <c r="F1343" i="15"/>
  <c r="T1343" i="15"/>
  <c r="W1343" i="15"/>
  <c r="Y1343" i="15"/>
  <c r="O1343" i="15"/>
  <c r="E1343" i="15"/>
  <c r="S1343" i="15"/>
  <c r="AC1343" i="15"/>
  <c r="B1343" i="15"/>
  <c r="AQ1342" i="15"/>
  <c r="AM1342" i="15"/>
  <c r="C1342" i="15"/>
  <c r="X1342" i="15"/>
  <c r="AA1342" i="15"/>
  <c r="Q1342" i="15"/>
  <c r="D1342" i="15"/>
  <c r="G1342" i="15"/>
  <c r="U1342" i="15"/>
  <c r="Z1342" i="15"/>
  <c r="P1342" i="15"/>
  <c r="F1342" i="15"/>
  <c r="T1342" i="15"/>
  <c r="W1342" i="15"/>
  <c r="Y1342" i="15"/>
  <c r="O1342" i="15"/>
  <c r="E1342" i="15"/>
  <c r="S1342" i="15"/>
  <c r="AC1342" i="15"/>
  <c r="B1342" i="15"/>
  <c r="B1349" i="15"/>
  <c r="C1349" i="15"/>
  <c r="D1349" i="15"/>
  <c r="E1349" i="15"/>
  <c r="F1349" i="15"/>
  <c r="G1349" i="15"/>
  <c r="H1349" i="15"/>
  <c r="I1349" i="15"/>
  <c r="J1349" i="15"/>
  <c r="K1349" i="15"/>
  <c r="L1349" i="15"/>
  <c r="M1349" i="15"/>
  <c r="N1349" i="15"/>
  <c r="O1349" i="15"/>
  <c r="P1349" i="15"/>
  <c r="Q1349" i="15"/>
  <c r="S1349" i="15"/>
  <c r="T1349" i="15"/>
  <c r="U1349" i="15"/>
  <c r="W1349" i="15"/>
  <c r="X1349" i="15"/>
  <c r="Y1349" i="15"/>
  <c r="Z1349" i="15"/>
  <c r="AA1349" i="15"/>
  <c r="AC1349" i="15"/>
  <c r="AG1349" i="15"/>
  <c r="AH1349" i="15"/>
  <c r="AI1349" i="15"/>
  <c r="AJ1349" i="15"/>
  <c r="AK1349" i="15"/>
  <c r="AL1349" i="15"/>
  <c r="AM1349" i="15"/>
  <c r="AQ1349" i="15"/>
  <c r="B1350" i="15"/>
  <c r="C1350" i="15"/>
  <c r="D1350" i="15"/>
  <c r="E1350" i="15"/>
  <c r="F1350" i="15"/>
  <c r="G1350" i="15"/>
  <c r="H1350" i="15"/>
  <c r="I1350" i="15"/>
  <c r="J1350" i="15"/>
  <c r="K1350" i="15"/>
  <c r="L1350" i="15"/>
  <c r="M1350" i="15"/>
  <c r="N1350" i="15"/>
  <c r="O1350" i="15"/>
  <c r="P1350" i="15"/>
  <c r="Q1350" i="15"/>
  <c r="S1350" i="15"/>
  <c r="T1350" i="15"/>
  <c r="U1350" i="15"/>
  <c r="W1350" i="15"/>
  <c r="X1350" i="15"/>
  <c r="Y1350" i="15"/>
  <c r="Z1350" i="15"/>
  <c r="AA1350" i="15"/>
  <c r="AC1350" i="15"/>
  <c r="AG1350" i="15"/>
  <c r="AH1350" i="15"/>
  <c r="AI1350" i="15"/>
  <c r="AJ1350" i="15"/>
  <c r="AK1350" i="15"/>
  <c r="AL1350" i="15"/>
  <c r="AM1350" i="15"/>
  <c r="AQ1350" i="15"/>
  <c r="AQ1620" i="15"/>
  <c r="M1620" i="15"/>
  <c r="AM1620" i="15"/>
  <c r="C1620" i="15"/>
  <c r="X1620" i="15"/>
  <c r="AA1620" i="15"/>
  <c r="H1620" i="15"/>
  <c r="L1620" i="15"/>
  <c r="Q1620" i="15"/>
  <c r="D1620" i="15"/>
  <c r="G1620" i="15"/>
  <c r="U1620" i="15"/>
  <c r="AL1620" i="15"/>
  <c r="Z1620" i="15"/>
  <c r="K1620" i="15"/>
  <c r="P1620" i="15"/>
  <c r="F1620" i="15"/>
  <c r="T1620" i="15"/>
  <c r="W1620" i="15"/>
  <c r="AK1620" i="15"/>
  <c r="Y1620" i="15"/>
  <c r="J1620" i="15"/>
  <c r="O1620" i="15"/>
  <c r="E1620" i="15"/>
  <c r="S1620" i="15"/>
  <c r="AJ1620" i="15"/>
  <c r="AI1620" i="15"/>
  <c r="AH1620" i="15"/>
  <c r="AG1620" i="15"/>
  <c r="AC1620" i="15"/>
  <c r="N1620" i="15"/>
  <c r="I1620" i="15"/>
  <c r="B1620" i="15"/>
  <c r="AQ1619" i="15"/>
  <c r="M1619" i="15"/>
  <c r="AM1619" i="15"/>
  <c r="C1619" i="15"/>
  <c r="X1619" i="15"/>
  <c r="AA1619" i="15"/>
  <c r="H1619" i="15"/>
  <c r="L1619" i="15"/>
  <c r="Q1619" i="15"/>
  <c r="D1619" i="15"/>
  <c r="G1619" i="15"/>
  <c r="U1619" i="15"/>
  <c r="AL1619" i="15"/>
  <c r="Z1619" i="15"/>
  <c r="K1619" i="15"/>
  <c r="P1619" i="15"/>
  <c r="F1619" i="15"/>
  <c r="T1619" i="15"/>
  <c r="W1619" i="15"/>
  <c r="AK1619" i="15"/>
  <c r="Y1619" i="15"/>
  <c r="J1619" i="15"/>
  <c r="O1619" i="15"/>
  <c r="E1619" i="15"/>
  <c r="S1619" i="15"/>
  <c r="AJ1619" i="15"/>
  <c r="AI1619" i="15"/>
  <c r="AH1619" i="15"/>
  <c r="AG1619" i="15"/>
  <c r="AC1619" i="15"/>
  <c r="N1619" i="15"/>
  <c r="I1619" i="15"/>
  <c r="B1619" i="15"/>
  <c r="AQ1581" i="15"/>
  <c r="M1581" i="15"/>
  <c r="AM1581" i="15"/>
  <c r="C1581" i="15"/>
  <c r="X1581" i="15"/>
  <c r="AA1581" i="15"/>
  <c r="H1581" i="15"/>
  <c r="L1581" i="15"/>
  <c r="Q1581" i="15"/>
  <c r="D1581" i="15"/>
  <c r="G1581" i="15"/>
  <c r="U1581" i="15"/>
  <c r="AL1581" i="15"/>
  <c r="Z1581" i="15"/>
  <c r="K1581" i="15"/>
  <c r="P1581" i="15"/>
  <c r="F1581" i="15"/>
  <c r="T1581" i="15"/>
  <c r="W1581" i="15"/>
  <c r="AK1581" i="15"/>
  <c r="Y1581" i="15"/>
  <c r="J1581" i="15"/>
  <c r="O1581" i="15"/>
  <c r="E1581" i="15"/>
  <c r="S1581" i="15"/>
  <c r="AJ1581" i="15"/>
  <c r="AI1581" i="15"/>
  <c r="AH1581" i="15"/>
  <c r="AG1581" i="15"/>
  <c r="AC1581" i="15"/>
  <c r="N1581" i="15"/>
  <c r="I1581" i="15"/>
  <c r="B1581" i="15"/>
  <c r="AQ1580" i="15"/>
  <c r="M1580" i="15"/>
  <c r="AM1580" i="15"/>
  <c r="C1580" i="15"/>
  <c r="X1580" i="15"/>
  <c r="AA1580" i="15"/>
  <c r="H1580" i="15"/>
  <c r="L1580" i="15"/>
  <c r="Q1580" i="15"/>
  <c r="D1580" i="15"/>
  <c r="G1580" i="15"/>
  <c r="U1580" i="15"/>
  <c r="AL1580" i="15"/>
  <c r="Z1580" i="15"/>
  <c r="K1580" i="15"/>
  <c r="P1580" i="15"/>
  <c r="F1580" i="15"/>
  <c r="T1580" i="15"/>
  <c r="W1580" i="15"/>
  <c r="AK1580" i="15"/>
  <c r="Y1580" i="15"/>
  <c r="J1580" i="15"/>
  <c r="O1580" i="15"/>
  <c r="E1580" i="15"/>
  <c r="S1580" i="15"/>
  <c r="AJ1580" i="15"/>
  <c r="AI1580" i="15"/>
  <c r="AH1580" i="15"/>
  <c r="AG1580" i="15"/>
  <c r="AC1580" i="15"/>
  <c r="N1580" i="15"/>
  <c r="I1580" i="15"/>
  <c r="B1580" i="15"/>
  <c r="AQ1579" i="15"/>
  <c r="M1579" i="15"/>
  <c r="AM1579" i="15"/>
  <c r="C1579" i="15"/>
  <c r="X1579" i="15"/>
  <c r="AA1579" i="15"/>
  <c r="H1579" i="15"/>
  <c r="L1579" i="15"/>
  <c r="Q1579" i="15"/>
  <c r="D1579" i="15"/>
  <c r="G1579" i="15"/>
  <c r="U1579" i="15"/>
  <c r="AL1579" i="15"/>
  <c r="Z1579" i="15"/>
  <c r="K1579" i="15"/>
  <c r="P1579" i="15"/>
  <c r="F1579" i="15"/>
  <c r="T1579" i="15"/>
  <c r="W1579" i="15"/>
  <c r="AK1579" i="15"/>
  <c r="Y1579" i="15"/>
  <c r="J1579" i="15"/>
  <c r="O1579" i="15"/>
  <c r="E1579" i="15"/>
  <c r="S1579" i="15"/>
  <c r="AJ1579" i="15"/>
  <c r="AI1579" i="15"/>
  <c r="AH1579" i="15"/>
  <c r="AG1579" i="15"/>
  <c r="AC1579" i="15"/>
  <c r="N1579" i="15"/>
  <c r="I1579" i="15"/>
  <c r="B1579" i="15"/>
  <c r="AQ1578" i="15"/>
  <c r="M1578" i="15"/>
  <c r="AM1578" i="15"/>
  <c r="C1578" i="15"/>
  <c r="X1578" i="15"/>
  <c r="AA1578" i="15"/>
  <c r="H1578" i="15"/>
  <c r="L1578" i="15"/>
  <c r="Q1578" i="15"/>
  <c r="D1578" i="15"/>
  <c r="G1578" i="15"/>
  <c r="U1578" i="15"/>
  <c r="AL1578" i="15"/>
  <c r="Z1578" i="15"/>
  <c r="K1578" i="15"/>
  <c r="P1578" i="15"/>
  <c r="F1578" i="15"/>
  <c r="T1578" i="15"/>
  <c r="W1578" i="15"/>
  <c r="AK1578" i="15"/>
  <c r="Y1578" i="15"/>
  <c r="J1578" i="15"/>
  <c r="O1578" i="15"/>
  <c r="E1578" i="15"/>
  <c r="S1578" i="15"/>
  <c r="AJ1578" i="15"/>
  <c r="AI1578" i="15"/>
  <c r="AH1578" i="15"/>
  <c r="AG1578" i="15"/>
  <c r="AC1578" i="15"/>
  <c r="N1578" i="15"/>
  <c r="I1578" i="15"/>
  <c r="B1578" i="15"/>
  <c r="AQ1617" i="15"/>
  <c r="M1617" i="15"/>
  <c r="AM1617" i="15"/>
  <c r="C1617" i="15"/>
  <c r="X1617" i="15"/>
  <c r="AA1617" i="15"/>
  <c r="H1617" i="15"/>
  <c r="L1617" i="15"/>
  <c r="Q1617" i="15"/>
  <c r="D1617" i="15"/>
  <c r="G1617" i="15"/>
  <c r="U1617" i="15"/>
  <c r="AL1617" i="15"/>
  <c r="Z1617" i="15"/>
  <c r="K1617" i="15"/>
  <c r="P1617" i="15"/>
  <c r="F1617" i="15"/>
  <c r="T1617" i="15"/>
  <c r="W1617" i="15"/>
  <c r="AK1617" i="15"/>
  <c r="Y1617" i="15"/>
  <c r="J1617" i="15"/>
  <c r="O1617" i="15"/>
  <c r="E1617" i="15"/>
  <c r="S1617" i="15"/>
  <c r="AJ1617" i="15"/>
  <c r="AI1617" i="15"/>
  <c r="AH1617" i="15"/>
  <c r="AG1617" i="15"/>
  <c r="AC1617" i="15"/>
  <c r="N1617" i="15"/>
  <c r="I1617" i="15"/>
  <c r="B1617" i="15"/>
  <c r="AQ1616" i="15"/>
  <c r="M1616" i="15"/>
  <c r="AM1616" i="15"/>
  <c r="C1616" i="15"/>
  <c r="X1616" i="15"/>
  <c r="AA1616" i="15"/>
  <c r="H1616" i="15"/>
  <c r="L1616" i="15"/>
  <c r="Q1616" i="15"/>
  <c r="D1616" i="15"/>
  <c r="G1616" i="15"/>
  <c r="U1616" i="15"/>
  <c r="AL1616" i="15"/>
  <c r="Z1616" i="15"/>
  <c r="K1616" i="15"/>
  <c r="P1616" i="15"/>
  <c r="F1616" i="15"/>
  <c r="T1616" i="15"/>
  <c r="W1616" i="15"/>
  <c r="AK1616" i="15"/>
  <c r="Y1616" i="15"/>
  <c r="J1616" i="15"/>
  <c r="O1616" i="15"/>
  <c r="E1616" i="15"/>
  <c r="S1616" i="15"/>
  <c r="AJ1616" i="15"/>
  <c r="AI1616" i="15"/>
  <c r="AH1616" i="15"/>
  <c r="AG1616" i="15"/>
  <c r="AC1616" i="15"/>
  <c r="N1616" i="15"/>
  <c r="I1616" i="15"/>
  <c r="B1616" i="15"/>
  <c r="AQ1615" i="15"/>
  <c r="M1615" i="15"/>
  <c r="AM1615" i="15"/>
  <c r="C1615" i="15"/>
  <c r="X1615" i="15"/>
  <c r="AA1615" i="15"/>
  <c r="H1615" i="15"/>
  <c r="L1615" i="15"/>
  <c r="Q1615" i="15"/>
  <c r="D1615" i="15"/>
  <c r="G1615" i="15"/>
  <c r="U1615" i="15"/>
  <c r="AL1615" i="15"/>
  <c r="Z1615" i="15"/>
  <c r="K1615" i="15"/>
  <c r="P1615" i="15"/>
  <c r="F1615" i="15"/>
  <c r="T1615" i="15"/>
  <c r="W1615" i="15"/>
  <c r="AK1615" i="15"/>
  <c r="Y1615" i="15"/>
  <c r="J1615" i="15"/>
  <c r="O1615" i="15"/>
  <c r="E1615" i="15"/>
  <c r="S1615" i="15"/>
  <c r="AJ1615" i="15"/>
  <c r="AI1615" i="15"/>
  <c r="AH1615" i="15"/>
  <c r="AG1615" i="15"/>
  <c r="AC1615" i="15"/>
  <c r="N1615" i="15"/>
  <c r="I1615" i="15"/>
  <c r="B1615" i="15"/>
  <c r="AQ1614" i="15"/>
  <c r="M1614" i="15"/>
  <c r="AM1614" i="15"/>
  <c r="C1614" i="15"/>
  <c r="X1614" i="15"/>
  <c r="AA1614" i="15"/>
  <c r="H1614" i="15"/>
  <c r="L1614" i="15"/>
  <c r="Q1614" i="15"/>
  <c r="D1614" i="15"/>
  <c r="G1614" i="15"/>
  <c r="U1614" i="15"/>
  <c r="AL1614" i="15"/>
  <c r="Z1614" i="15"/>
  <c r="K1614" i="15"/>
  <c r="P1614" i="15"/>
  <c r="F1614" i="15"/>
  <c r="T1614" i="15"/>
  <c r="W1614" i="15"/>
  <c r="AK1614" i="15"/>
  <c r="Y1614" i="15"/>
  <c r="J1614" i="15"/>
  <c r="O1614" i="15"/>
  <c r="E1614" i="15"/>
  <c r="S1614" i="15"/>
  <c r="AJ1614" i="15"/>
  <c r="AI1614" i="15"/>
  <c r="AH1614" i="15"/>
  <c r="AG1614" i="15"/>
  <c r="AC1614" i="15"/>
  <c r="N1614" i="15"/>
  <c r="I1614" i="15"/>
  <c r="B1614" i="15"/>
  <c r="AQ1372" i="15"/>
  <c r="M1372" i="15"/>
  <c r="AM1372" i="15"/>
  <c r="C1372" i="15"/>
  <c r="X1372" i="15"/>
  <c r="AA1372" i="15"/>
  <c r="H1372" i="15"/>
  <c r="L1372" i="15"/>
  <c r="Q1372" i="15"/>
  <c r="D1372" i="15"/>
  <c r="G1372" i="15"/>
  <c r="U1372" i="15"/>
  <c r="AL1372" i="15"/>
  <c r="Z1372" i="15"/>
  <c r="K1372" i="15"/>
  <c r="P1372" i="15"/>
  <c r="F1372" i="15"/>
  <c r="T1372" i="15"/>
  <c r="W1372" i="15"/>
  <c r="AK1372" i="15"/>
  <c r="Y1372" i="15"/>
  <c r="J1372" i="15"/>
  <c r="O1372" i="15"/>
  <c r="E1372" i="15"/>
  <c r="S1372" i="15"/>
  <c r="AJ1372" i="15"/>
  <c r="AI1372" i="15"/>
  <c r="AH1372" i="15"/>
  <c r="AG1372" i="15"/>
  <c r="AC1372" i="15"/>
  <c r="N1372" i="15"/>
  <c r="I1372" i="15"/>
  <c r="B1372" i="15"/>
  <c r="AQ1618" i="15"/>
  <c r="M1618" i="15"/>
  <c r="AM1618" i="15"/>
  <c r="C1618" i="15"/>
  <c r="X1618" i="15"/>
  <c r="AA1618" i="15"/>
  <c r="H1618" i="15"/>
  <c r="L1618" i="15"/>
  <c r="Q1618" i="15"/>
  <c r="D1618" i="15"/>
  <c r="G1618" i="15"/>
  <c r="U1618" i="15"/>
  <c r="AL1618" i="15"/>
  <c r="Z1618" i="15"/>
  <c r="K1618" i="15"/>
  <c r="P1618" i="15"/>
  <c r="F1618" i="15"/>
  <c r="T1618" i="15"/>
  <c r="W1618" i="15"/>
  <c r="AK1618" i="15"/>
  <c r="Y1618" i="15"/>
  <c r="J1618" i="15"/>
  <c r="O1618" i="15"/>
  <c r="E1618" i="15"/>
  <c r="S1618" i="15"/>
  <c r="AJ1618" i="15"/>
  <c r="AI1618" i="15"/>
  <c r="AH1618" i="15"/>
  <c r="AG1618" i="15"/>
  <c r="AC1618" i="15"/>
  <c r="N1618" i="15"/>
  <c r="I1618" i="15"/>
  <c r="B1618" i="15"/>
  <c r="AQ1381" i="15"/>
  <c r="M1381" i="15"/>
  <c r="AM1381" i="15"/>
  <c r="C1381" i="15"/>
  <c r="X1381" i="15"/>
  <c r="AA1381" i="15"/>
  <c r="H1381" i="15"/>
  <c r="L1381" i="15"/>
  <c r="Q1381" i="15"/>
  <c r="D1381" i="15"/>
  <c r="G1381" i="15"/>
  <c r="U1381" i="15"/>
  <c r="AL1381" i="15"/>
  <c r="Z1381" i="15"/>
  <c r="K1381" i="15"/>
  <c r="P1381" i="15"/>
  <c r="F1381" i="15"/>
  <c r="T1381" i="15"/>
  <c r="W1381" i="15"/>
  <c r="AK1381" i="15"/>
  <c r="Y1381" i="15"/>
  <c r="J1381" i="15"/>
  <c r="O1381" i="15"/>
  <c r="E1381" i="15"/>
  <c r="S1381" i="15"/>
  <c r="AJ1381" i="15"/>
  <c r="AI1381" i="15"/>
  <c r="AH1381" i="15"/>
  <c r="AG1381" i="15"/>
  <c r="AC1381" i="15"/>
  <c r="N1381" i="15"/>
  <c r="I1381" i="15"/>
  <c r="B1381" i="15"/>
  <c r="AQ1380" i="15"/>
  <c r="M1380" i="15"/>
  <c r="AM1380" i="15"/>
  <c r="C1380" i="15"/>
  <c r="X1380" i="15"/>
  <c r="AA1380" i="15"/>
  <c r="H1380" i="15"/>
  <c r="L1380" i="15"/>
  <c r="Q1380" i="15"/>
  <c r="D1380" i="15"/>
  <c r="G1380" i="15"/>
  <c r="U1380" i="15"/>
  <c r="AL1380" i="15"/>
  <c r="Z1380" i="15"/>
  <c r="K1380" i="15"/>
  <c r="P1380" i="15"/>
  <c r="F1380" i="15"/>
  <c r="T1380" i="15"/>
  <c r="W1380" i="15"/>
  <c r="AK1380" i="15"/>
  <c r="Y1380" i="15"/>
  <c r="J1380" i="15"/>
  <c r="O1380" i="15"/>
  <c r="E1380" i="15"/>
  <c r="S1380" i="15"/>
  <c r="AJ1380" i="15"/>
  <c r="AI1380" i="15"/>
  <c r="AH1380" i="15"/>
  <c r="AG1380" i="15"/>
  <c r="AC1380" i="15"/>
  <c r="N1380" i="15"/>
  <c r="I1380" i="15"/>
  <c r="B1380" i="15"/>
  <c r="AQ1379" i="15"/>
  <c r="M1379" i="15"/>
  <c r="AM1379" i="15"/>
  <c r="C1379" i="15"/>
  <c r="X1379" i="15"/>
  <c r="AA1379" i="15"/>
  <c r="H1379" i="15"/>
  <c r="L1379" i="15"/>
  <c r="Q1379" i="15"/>
  <c r="D1379" i="15"/>
  <c r="G1379" i="15"/>
  <c r="U1379" i="15"/>
  <c r="AL1379" i="15"/>
  <c r="Z1379" i="15"/>
  <c r="K1379" i="15"/>
  <c r="P1379" i="15"/>
  <c r="F1379" i="15"/>
  <c r="T1379" i="15"/>
  <c r="W1379" i="15"/>
  <c r="AK1379" i="15"/>
  <c r="Y1379" i="15"/>
  <c r="J1379" i="15"/>
  <c r="O1379" i="15"/>
  <c r="E1379" i="15"/>
  <c r="S1379" i="15"/>
  <c r="AJ1379" i="15"/>
  <c r="AI1379" i="15"/>
  <c r="AH1379" i="15"/>
  <c r="AG1379" i="15"/>
  <c r="AC1379" i="15"/>
  <c r="N1379" i="15"/>
  <c r="I1379" i="15"/>
  <c r="B1379" i="15"/>
  <c r="AQ1378" i="15"/>
  <c r="M1378" i="15"/>
  <c r="AM1378" i="15"/>
  <c r="C1378" i="15"/>
  <c r="X1378" i="15"/>
  <c r="AA1378" i="15"/>
  <c r="H1378" i="15"/>
  <c r="L1378" i="15"/>
  <c r="Q1378" i="15"/>
  <c r="D1378" i="15"/>
  <c r="G1378" i="15"/>
  <c r="U1378" i="15"/>
  <c r="AL1378" i="15"/>
  <c r="Z1378" i="15"/>
  <c r="K1378" i="15"/>
  <c r="P1378" i="15"/>
  <c r="F1378" i="15"/>
  <c r="T1378" i="15"/>
  <c r="W1378" i="15"/>
  <c r="AK1378" i="15"/>
  <c r="Y1378" i="15"/>
  <c r="J1378" i="15"/>
  <c r="O1378" i="15"/>
  <c r="E1378" i="15"/>
  <c r="S1378" i="15"/>
  <c r="AJ1378" i="15"/>
  <c r="AI1378" i="15"/>
  <c r="AH1378" i="15"/>
  <c r="AG1378" i="15"/>
  <c r="AC1378" i="15"/>
  <c r="N1378" i="15"/>
  <c r="I1378" i="15"/>
  <c r="B1378" i="15"/>
  <c r="AQ1377" i="15"/>
  <c r="M1377" i="15"/>
  <c r="AM1377" i="15"/>
  <c r="C1377" i="15"/>
  <c r="X1377" i="15"/>
  <c r="AA1377" i="15"/>
  <c r="H1377" i="15"/>
  <c r="L1377" i="15"/>
  <c r="Q1377" i="15"/>
  <c r="D1377" i="15"/>
  <c r="G1377" i="15"/>
  <c r="U1377" i="15"/>
  <c r="AL1377" i="15"/>
  <c r="Z1377" i="15"/>
  <c r="K1377" i="15"/>
  <c r="P1377" i="15"/>
  <c r="F1377" i="15"/>
  <c r="T1377" i="15"/>
  <c r="W1377" i="15"/>
  <c r="AK1377" i="15"/>
  <c r="Y1377" i="15"/>
  <c r="J1377" i="15"/>
  <c r="O1377" i="15"/>
  <c r="E1377" i="15"/>
  <c r="S1377" i="15"/>
  <c r="AJ1377" i="15"/>
  <c r="AI1377" i="15"/>
  <c r="AH1377" i="15"/>
  <c r="AG1377" i="15"/>
  <c r="AC1377" i="15"/>
  <c r="N1377" i="15"/>
  <c r="I1377" i="15"/>
  <c r="B1377" i="15"/>
  <c r="AQ1376" i="15"/>
  <c r="M1376" i="15"/>
  <c r="AM1376" i="15"/>
  <c r="C1376" i="15"/>
  <c r="X1376" i="15"/>
  <c r="AA1376" i="15"/>
  <c r="H1376" i="15"/>
  <c r="L1376" i="15"/>
  <c r="Q1376" i="15"/>
  <c r="D1376" i="15"/>
  <c r="G1376" i="15"/>
  <c r="U1376" i="15"/>
  <c r="AL1376" i="15"/>
  <c r="Z1376" i="15"/>
  <c r="K1376" i="15"/>
  <c r="P1376" i="15"/>
  <c r="F1376" i="15"/>
  <c r="T1376" i="15"/>
  <c r="W1376" i="15"/>
  <c r="AK1376" i="15"/>
  <c r="Y1376" i="15"/>
  <c r="J1376" i="15"/>
  <c r="O1376" i="15"/>
  <c r="E1376" i="15"/>
  <c r="S1376" i="15"/>
  <c r="AJ1376" i="15"/>
  <c r="AI1376" i="15"/>
  <c r="AH1376" i="15"/>
  <c r="AG1376" i="15"/>
  <c r="AC1376" i="15"/>
  <c r="N1376" i="15"/>
  <c r="I1376" i="15"/>
  <c r="B1376" i="15"/>
  <c r="AQ1375" i="15"/>
  <c r="M1375" i="15"/>
  <c r="AM1375" i="15"/>
  <c r="C1375" i="15"/>
  <c r="X1375" i="15"/>
  <c r="AA1375" i="15"/>
  <c r="H1375" i="15"/>
  <c r="L1375" i="15"/>
  <c r="Q1375" i="15"/>
  <c r="D1375" i="15"/>
  <c r="G1375" i="15"/>
  <c r="U1375" i="15"/>
  <c r="AL1375" i="15"/>
  <c r="Z1375" i="15"/>
  <c r="K1375" i="15"/>
  <c r="P1375" i="15"/>
  <c r="F1375" i="15"/>
  <c r="T1375" i="15"/>
  <c r="W1375" i="15"/>
  <c r="AK1375" i="15"/>
  <c r="Y1375" i="15"/>
  <c r="J1375" i="15"/>
  <c r="O1375" i="15"/>
  <c r="E1375" i="15"/>
  <c r="S1375" i="15"/>
  <c r="AJ1375" i="15"/>
  <c r="AI1375" i="15"/>
  <c r="AH1375" i="15"/>
  <c r="AG1375" i="15"/>
  <c r="AC1375" i="15"/>
  <c r="N1375" i="15"/>
  <c r="I1375" i="15"/>
  <c r="B1375" i="15"/>
  <c r="AQ1374" i="15"/>
  <c r="M1374" i="15"/>
  <c r="AM1374" i="15"/>
  <c r="C1374" i="15"/>
  <c r="X1374" i="15"/>
  <c r="AA1374" i="15"/>
  <c r="H1374" i="15"/>
  <c r="L1374" i="15"/>
  <c r="Q1374" i="15"/>
  <c r="D1374" i="15"/>
  <c r="G1374" i="15"/>
  <c r="U1374" i="15"/>
  <c r="AL1374" i="15"/>
  <c r="Z1374" i="15"/>
  <c r="K1374" i="15"/>
  <c r="P1374" i="15"/>
  <c r="F1374" i="15"/>
  <c r="T1374" i="15"/>
  <c r="W1374" i="15"/>
  <c r="AK1374" i="15"/>
  <c r="Y1374" i="15"/>
  <c r="J1374" i="15"/>
  <c r="O1374" i="15"/>
  <c r="E1374" i="15"/>
  <c r="S1374" i="15"/>
  <c r="AJ1374" i="15"/>
  <c r="AI1374" i="15"/>
  <c r="AH1374" i="15"/>
  <c r="AG1374" i="15"/>
  <c r="AC1374" i="15"/>
  <c r="N1374" i="15"/>
  <c r="I1374" i="15"/>
  <c r="B1374" i="15"/>
  <c r="AQ1373" i="15"/>
  <c r="M1373" i="15"/>
  <c r="AM1373" i="15"/>
  <c r="C1373" i="15"/>
  <c r="X1373" i="15"/>
  <c r="AA1373" i="15"/>
  <c r="H1373" i="15"/>
  <c r="L1373" i="15"/>
  <c r="Q1373" i="15"/>
  <c r="D1373" i="15"/>
  <c r="G1373" i="15"/>
  <c r="U1373" i="15"/>
  <c r="AL1373" i="15"/>
  <c r="Z1373" i="15"/>
  <c r="K1373" i="15"/>
  <c r="P1373" i="15"/>
  <c r="F1373" i="15"/>
  <c r="T1373" i="15"/>
  <c r="W1373" i="15"/>
  <c r="AK1373" i="15"/>
  <c r="Y1373" i="15"/>
  <c r="J1373" i="15"/>
  <c r="O1373" i="15"/>
  <c r="E1373" i="15"/>
  <c r="S1373" i="15"/>
  <c r="AJ1373" i="15"/>
  <c r="AI1373" i="15"/>
  <c r="AH1373" i="15"/>
  <c r="AG1373" i="15"/>
  <c r="AC1373" i="15"/>
  <c r="N1373" i="15"/>
  <c r="I1373" i="15"/>
  <c r="B1373" i="15"/>
  <c r="AQ1371" i="15"/>
  <c r="M1371" i="15"/>
  <c r="AM1371" i="15"/>
  <c r="C1371" i="15"/>
  <c r="X1371" i="15"/>
  <c r="AA1371" i="15"/>
  <c r="H1371" i="15"/>
  <c r="L1371" i="15"/>
  <c r="Q1371" i="15"/>
  <c r="D1371" i="15"/>
  <c r="G1371" i="15"/>
  <c r="U1371" i="15"/>
  <c r="AL1371" i="15"/>
  <c r="Z1371" i="15"/>
  <c r="K1371" i="15"/>
  <c r="P1371" i="15"/>
  <c r="F1371" i="15"/>
  <c r="T1371" i="15"/>
  <c r="W1371" i="15"/>
  <c r="AK1371" i="15"/>
  <c r="Y1371" i="15"/>
  <c r="J1371" i="15"/>
  <c r="O1371" i="15"/>
  <c r="E1371" i="15"/>
  <c r="S1371" i="15"/>
  <c r="AJ1371" i="15"/>
  <c r="AI1371" i="15"/>
  <c r="AH1371" i="15"/>
  <c r="AG1371" i="15"/>
  <c r="AC1371" i="15"/>
  <c r="N1371" i="15"/>
  <c r="I1371" i="15"/>
  <c r="B1371" i="15"/>
  <c r="AQ1370" i="15"/>
  <c r="M1370" i="15"/>
  <c r="AM1370" i="15"/>
  <c r="C1370" i="15"/>
  <c r="X1370" i="15"/>
  <c r="AA1370" i="15"/>
  <c r="H1370" i="15"/>
  <c r="L1370" i="15"/>
  <c r="Q1370" i="15"/>
  <c r="D1370" i="15"/>
  <c r="G1370" i="15"/>
  <c r="U1370" i="15"/>
  <c r="AL1370" i="15"/>
  <c r="Z1370" i="15"/>
  <c r="K1370" i="15"/>
  <c r="P1370" i="15"/>
  <c r="F1370" i="15"/>
  <c r="T1370" i="15"/>
  <c r="W1370" i="15"/>
  <c r="AK1370" i="15"/>
  <c r="Y1370" i="15"/>
  <c r="J1370" i="15"/>
  <c r="O1370" i="15"/>
  <c r="E1370" i="15"/>
  <c r="S1370" i="15"/>
  <c r="AJ1370" i="15"/>
  <c r="AI1370" i="15"/>
  <c r="AH1370" i="15"/>
  <c r="AG1370" i="15"/>
  <c r="AC1370" i="15"/>
  <c r="N1370" i="15"/>
  <c r="I1370" i="15"/>
  <c r="B1370" i="15"/>
  <c r="AQ1369" i="15"/>
  <c r="M1369" i="15"/>
  <c r="AM1369" i="15"/>
  <c r="C1369" i="15"/>
  <c r="X1369" i="15"/>
  <c r="AA1369" i="15"/>
  <c r="H1369" i="15"/>
  <c r="L1369" i="15"/>
  <c r="Q1369" i="15"/>
  <c r="D1369" i="15"/>
  <c r="G1369" i="15"/>
  <c r="U1369" i="15"/>
  <c r="AL1369" i="15"/>
  <c r="Z1369" i="15"/>
  <c r="K1369" i="15"/>
  <c r="P1369" i="15"/>
  <c r="F1369" i="15"/>
  <c r="T1369" i="15"/>
  <c r="W1369" i="15"/>
  <c r="AK1369" i="15"/>
  <c r="Y1369" i="15"/>
  <c r="J1369" i="15"/>
  <c r="O1369" i="15"/>
  <c r="E1369" i="15"/>
  <c r="S1369" i="15"/>
  <c r="AJ1369" i="15"/>
  <c r="AI1369" i="15"/>
  <c r="AH1369" i="15"/>
  <c r="AG1369" i="15"/>
  <c r="AC1369" i="15"/>
  <c r="N1369" i="15"/>
  <c r="I1369" i="15"/>
  <c r="B1369" i="15"/>
  <c r="AQ1368" i="15"/>
  <c r="M1368" i="15"/>
  <c r="AM1368" i="15"/>
  <c r="C1368" i="15"/>
  <c r="X1368" i="15"/>
  <c r="AA1368" i="15"/>
  <c r="H1368" i="15"/>
  <c r="L1368" i="15"/>
  <c r="Q1368" i="15"/>
  <c r="D1368" i="15"/>
  <c r="G1368" i="15"/>
  <c r="U1368" i="15"/>
  <c r="AL1368" i="15"/>
  <c r="Z1368" i="15"/>
  <c r="K1368" i="15"/>
  <c r="P1368" i="15"/>
  <c r="F1368" i="15"/>
  <c r="T1368" i="15"/>
  <c r="W1368" i="15"/>
  <c r="AK1368" i="15"/>
  <c r="Y1368" i="15"/>
  <c r="J1368" i="15"/>
  <c r="O1368" i="15"/>
  <c r="E1368" i="15"/>
  <c r="S1368" i="15"/>
  <c r="AJ1368" i="15"/>
  <c r="AI1368" i="15"/>
  <c r="AH1368" i="15"/>
  <c r="AG1368" i="15"/>
  <c r="AC1368" i="15"/>
  <c r="N1368" i="15"/>
  <c r="I1368" i="15"/>
  <c r="B1368" i="15"/>
  <c r="AQ1367" i="15"/>
  <c r="M1367" i="15"/>
  <c r="AM1367" i="15"/>
  <c r="AC1367" i="15"/>
  <c r="C1367" i="15"/>
  <c r="X1367" i="15"/>
  <c r="AA1367" i="15"/>
  <c r="Z1367" i="15"/>
  <c r="Y1367" i="15"/>
  <c r="W1367" i="15"/>
  <c r="U1367" i="15"/>
  <c r="T1367" i="15"/>
  <c r="S1367" i="15"/>
  <c r="Q1367" i="15"/>
  <c r="P1367" i="15"/>
  <c r="O1367" i="15"/>
  <c r="N1367" i="15"/>
  <c r="H1367" i="15"/>
  <c r="L1367" i="15"/>
  <c r="K1367" i="15"/>
  <c r="J1367" i="15"/>
  <c r="I1367" i="15"/>
  <c r="D1367" i="15"/>
  <c r="G1367" i="15"/>
  <c r="F1367" i="15"/>
  <c r="E1367" i="15"/>
  <c r="B1367" i="15"/>
  <c r="I1393" i="15"/>
  <c r="AQ1613" i="15"/>
  <c r="M1613" i="15"/>
  <c r="AM1613" i="15"/>
  <c r="C1613" i="15"/>
  <c r="X1613" i="15"/>
  <c r="AA1613" i="15"/>
  <c r="H1613" i="15"/>
  <c r="L1613" i="15"/>
  <c r="Q1613" i="15"/>
  <c r="D1613" i="15"/>
  <c r="G1613" i="15"/>
  <c r="U1613" i="15"/>
  <c r="AL1613" i="15"/>
  <c r="Z1613" i="15"/>
  <c r="K1613" i="15"/>
  <c r="P1613" i="15"/>
  <c r="F1613" i="15"/>
  <c r="T1613" i="15"/>
  <c r="W1613" i="15"/>
  <c r="AK1613" i="15"/>
  <c r="Y1613" i="15"/>
  <c r="J1613" i="15"/>
  <c r="O1613" i="15"/>
  <c r="E1613" i="15"/>
  <c r="S1613" i="15"/>
  <c r="AJ1613" i="15"/>
  <c r="AI1613" i="15"/>
  <c r="AH1613" i="15"/>
  <c r="AG1613" i="15"/>
  <c r="AC1613" i="15"/>
  <c r="N1613" i="15"/>
  <c r="I1613" i="15"/>
  <c r="B1613" i="15"/>
  <c r="AQ1612" i="15"/>
  <c r="M1612" i="15"/>
  <c r="AM1612" i="15"/>
  <c r="C1612" i="15"/>
  <c r="X1612" i="15"/>
  <c r="AA1612" i="15"/>
  <c r="H1612" i="15"/>
  <c r="L1612" i="15"/>
  <c r="Q1612" i="15"/>
  <c r="D1612" i="15"/>
  <c r="G1612" i="15"/>
  <c r="U1612" i="15"/>
  <c r="AL1612" i="15"/>
  <c r="Z1612" i="15"/>
  <c r="K1612" i="15"/>
  <c r="P1612" i="15"/>
  <c r="F1612" i="15"/>
  <c r="T1612" i="15"/>
  <c r="W1612" i="15"/>
  <c r="AK1612" i="15"/>
  <c r="Y1612" i="15"/>
  <c r="J1612" i="15"/>
  <c r="O1612" i="15"/>
  <c r="E1612" i="15"/>
  <c r="S1612" i="15"/>
  <c r="AJ1612" i="15"/>
  <c r="AI1612" i="15"/>
  <c r="AH1612" i="15"/>
  <c r="AG1612" i="15"/>
  <c r="AC1612" i="15"/>
  <c r="N1612" i="15"/>
  <c r="I1612" i="15"/>
  <c r="B1612" i="15"/>
  <c r="AQ1611" i="15"/>
  <c r="M1611" i="15"/>
  <c r="AM1611" i="15"/>
  <c r="C1611" i="15"/>
  <c r="X1611" i="15"/>
  <c r="AA1611" i="15"/>
  <c r="H1611" i="15"/>
  <c r="L1611" i="15"/>
  <c r="Q1611" i="15"/>
  <c r="D1611" i="15"/>
  <c r="G1611" i="15"/>
  <c r="U1611" i="15"/>
  <c r="AL1611" i="15"/>
  <c r="Z1611" i="15"/>
  <c r="K1611" i="15"/>
  <c r="P1611" i="15"/>
  <c r="F1611" i="15"/>
  <c r="T1611" i="15"/>
  <c r="W1611" i="15"/>
  <c r="AK1611" i="15"/>
  <c r="Y1611" i="15"/>
  <c r="J1611" i="15"/>
  <c r="O1611" i="15"/>
  <c r="E1611" i="15"/>
  <c r="S1611" i="15"/>
  <c r="AJ1611" i="15"/>
  <c r="AI1611" i="15"/>
  <c r="AH1611" i="15"/>
  <c r="AG1611" i="15"/>
  <c r="AC1611" i="15"/>
  <c r="N1611" i="15"/>
  <c r="I1611" i="15"/>
  <c r="B1611" i="15"/>
  <c r="AQ1610" i="15"/>
  <c r="M1610" i="15"/>
  <c r="AM1610" i="15"/>
  <c r="C1610" i="15"/>
  <c r="X1610" i="15"/>
  <c r="AA1610" i="15"/>
  <c r="H1610" i="15"/>
  <c r="L1610" i="15"/>
  <c r="Q1610" i="15"/>
  <c r="D1610" i="15"/>
  <c r="G1610" i="15"/>
  <c r="U1610" i="15"/>
  <c r="AL1610" i="15"/>
  <c r="Z1610" i="15"/>
  <c r="K1610" i="15"/>
  <c r="P1610" i="15"/>
  <c r="F1610" i="15"/>
  <c r="T1610" i="15"/>
  <c r="W1610" i="15"/>
  <c r="AK1610" i="15"/>
  <c r="Y1610" i="15"/>
  <c r="J1610" i="15"/>
  <c r="O1610" i="15"/>
  <c r="E1610" i="15"/>
  <c r="S1610" i="15"/>
  <c r="AJ1610" i="15"/>
  <c r="AI1610" i="15"/>
  <c r="AH1610" i="15"/>
  <c r="AG1610" i="15"/>
  <c r="AC1610" i="15"/>
  <c r="N1610" i="15"/>
  <c r="I1610" i="15"/>
  <c r="B1610" i="15"/>
  <c r="AQ1348" i="15"/>
  <c r="M1348" i="15"/>
  <c r="AM1348" i="15"/>
  <c r="C1348" i="15"/>
  <c r="X1348" i="15"/>
  <c r="AA1348" i="15"/>
  <c r="H1348" i="15"/>
  <c r="L1348" i="15"/>
  <c r="Q1348" i="15"/>
  <c r="D1348" i="15"/>
  <c r="G1348" i="15"/>
  <c r="U1348" i="15"/>
  <c r="AL1348" i="15"/>
  <c r="Z1348" i="15"/>
  <c r="K1348" i="15"/>
  <c r="P1348" i="15"/>
  <c r="F1348" i="15"/>
  <c r="T1348" i="15"/>
  <c r="W1348" i="15"/>
  <c r="AK1348" i="15"/>
  <c r="Y1348" i="15"/>
  <c r="J1348" i="15"/>
  <c r="O1348" i="15"/>
  <c r="E1348" i="15"/>
  <c r="S1348" i="15"/>
  <c r="AJ1348" i="15"/>
  <c r="AI1348" i="15"/>
  <c r="AH1348" i="15"/>
  <c r="AG1348" i="15"/>
  <c r="AC1348" i="15"/>
  <c r="N1348" i="15"/>
  <c r="I1348" i="15"/>
  <c r="B1348" i="15"/>
  <c r="AQ1347" i="15"/>
  <c r="M1347" i="15"/>
  <c r="AM1347" i="15"/>
  <c r="C1347" i="15"/>
  <c r="X1347" i="15"/>
  <c r="AA1347" i="15"/>
  <c r="H1347" i="15"/>
  <c r="L1347" i="15"/>
  <c r="Q1347" i="15"/>
  <c r="D1347" i="15"/>
  <c r="G1347" i="15"/>
  <c r="U1347" i="15"/>
  <c r="AL1347" i="15"/>
  <c r="Z1347" i="15"/>
  <c r="K1347" i="15"/>
  <c r="P1347" i="15"/>
  <c r="F1347" i="15"/>
  <c r="T1347" i="15"/>
  <c r="W1347" i="15"/>
  <c r="AK1347" i="15"/>
  <c r="Y1347" i="15"/>
  <c r="J1347" i="15"/>
  <c r="O1347" i="15"/>
  <c r="E1347" i="15"/>
  <c r="S1347" i="15"/>
  <c r="AJ1347" i="15"/>
  <c r="AI1347" i="15"/>
  <c r="AH1347" i="15"/>
  <c r="AG1347" i="15"/>
  <c r="AC1347" i="15"/>
  <c r="N1347" i="15"/>
  <c r="I1347" i="15"/>
  <c r="B1347" i="15"/>
  <c r="AQ1346" i="15"/>
  <c r="M1346" i="15"/>
  <c r="AM1346" i="15"/>
  <c r="C1346" i="15"/>
  <c r="X1346" i="15"/>
  <c r="AA1346" i="15"/>
  <c r="H1346" i="15"/>
  <c r="L1346" i="15"/>
  <c r="Q1346" i="15"/>
  <c r="D1346" i="15"/>
  <c r="G1346" i="15"/>
  <c r="U1346" i="15"/>
  <c r="AL1346" i="15"/>
  <c r="Z1346" i="15"/>
  <c r="K1346" i="15"/>
  <c r="P1346" i="15"/>
  <c r="F1346" i="15"/>
  <c r="T1346" i="15"/>
  <c r="W1346" i="15"/>
  <c r="AK1346" i="15"/>
  <c r="Y1346" i="15"/>
  <c r="J1346" i="15"/>
  <c r="O1346" i="15"/>
  <c r="E1346" i="15"/>
  <c r="S1346" i="15"/>
  <c r="AJ1346" i="15"/>
  <c r="AI1346" i="15"/>
  <c r="AH1346" i="15"/>
  <c r="AG1346" i="15"/>
  <c r="AC1346" i="15"/>
  <c r="N1346" i="15"/>
  <c r="I1346" i="15"/>
  <c r="B1346" i="15"/>
  <c r="AQ1345" i="15"/>
  <c r="M1345" i="15"/>
  <c r="AM1345" i="15"/>
  <c r="C1345" i="15"/>
  <c r="X1345" i="15"/>
  <c r="AA1345" i="15"/>
  <c r="H1345" i="15"/>
  <c r="L1345" i="15"/>
  <c r="Q1345" i="15"/>
  <c r="D1345" i="15"/>
  <c r="G1345" i="15"/>
  <c r="U1345" i="15"/>
  <c r="AL1345" i="15"/>
  <c r="Z1345" i="15"/>
  <c r="K1345" i="15"/>
  <c r="P1345" i="15"/>
  <c r="F1345" i="15"/>
  <c r="T1345" i="15"/>
  <c r="W1345" i="15"/>
  <c r="AK1345" i="15"/>
  <c r="Y1345" i="15"/>
  <c r="J1345" i="15"/>
  <c r="O1345" i="15"/>
  <c r="E1345" i="15"/>
  <c r="S1345" i="15"/>
  <c r="AJ1345" i="15"/>
  <c r="AI1345" i="15"/>
  <c r="AH1345" i="15"/>
  <c r="AG1345" i="15"/>
  <c r="AC1345" i="15"/>
  <c r="N1345" i="15"/>
  <c r="I1345" i="15"/>
  <c r="B1345" i="15"/>
  <c r="AQ1559" i="15"/>
  <c r="AM1559" i="15"/>
  <c r="C1559" i="15"/>
  <c r="X1559" i="15"/>
  <c r="AA1559" i="15"/>
  <c r="H1559" i="15"/>
  <c r="L1559" i="15"/>
  <c r="Q1559" i="15"/>
  <c r="D1559" i="15"/>
  <c r="G1559" i="15"/>
  <c r="U1559" i="15"/>
  <c r="AL1559" i="15"/>
  <c r="Z1559" i="15"/>
  <c r="P1559" i="15"/>
  <c r="F1559" i="15"/>
  <c r="T1559" i="15"/>
  <c r="W1559" i="15"/>
  <c r="AK1559" i="15"/>
  <c r="Y1559" i="15"/>
  <c r="O1559" i="15"/>
  <c r="E1559" i="15"/>
  <c r="S1559" i="15"/>
  <c r="AJ1559" i="15"/>
  <c r="AI1559" i="15"/>
  <c r="AH1559" i="15"/>
  <c r="AG1559" i="15"/>
  <c r="AC1559" i="15"/>
  <c r="N1559" i="15"/>
  <c r="I1559" i="15"/>
  <c r="B1559" i="15"/>
  <c r="AQ1558" i="15"/>
  <c r="AM1558" i="15"/>
  <c r="C1558" i="15"/>
  <c r="X1558" i="15"/>
  <c r="AA1558" i="15"/>
  <c r="H1558" i="15"/>
  <c r="L1558" i="15"/>
  <c r="Q1558" i="15"/>
  <c r="D1558" i="15"/>
  <c r="G1558" i="15"/>
  <c r="U1558" i="15"/>
  <c r="AL1558" i="15"/>
  <c r="Z1558" i="15"/>
  <c r="P1558" i="15"/>
  <c r="F1558" i="15"/>
  <c r="T1558" i="15"/>
  <c r="W1558" i="15"/>
  <c r="AK1558" i="15"/>
  <c r="Y1558" i="15"/>
  <c r="O1558" i="15"/>
  <c r="E1558" i="15"/>
  <c r="S1558" i="15"/>
  <c r="AJ1558" i="15"/>
  <c r="AI1558" i="15"/>
  <c r="AH1558" i="15"/>
  <c r="AG1558" i="15"/>
  <c r="AC1558" i="15"/>
  <c r="N1558" i="15"/>
  <c r="I1558" i="15"/>
  <c r="B1558" i="15"/>
  <c r="C1047" i="15"/>
  <c r="X1047" i="15"/>
  <c r="Y1047" i="15"/>
  <c r="H1047" i="15"/>
  <c r="J1047" i="15"/>
  <c r="M1047" i="15"/>
  <c r="O1047" i="15"/>
  <c r="E1047" i="15"/>
  <c r="S1047" i="15"/>
  <c r="AJ1047" i="15"/>
  <c r="AQ1394" i="15"/>
  <c r="M1394" i="15"/>
  <c r="AM1394" i="15"/>
  <c r="C1394" i="15"/>
  <c r="X1394" i="15"/>
  <c r="AA1394" i="15"/>
  <c r="L1394" i="15"/>
  <c r="Q1394" i="15"/>
  <c r="D1394" i="15"/>
  <c r="G1394" i="15"/>
  <c r="U1394" i="15"/>
  <c r="AL1394" i="15"/>
  <c r="Z1394" i="15"/>
  <c r="K1394" i="15"/>
  <c r="P1394" i="15"/>
  <c r="F1394" i="15"/>
  <c r="T1394" i="15"/>
  <c r="W1394" i="15"/>
  <c r="Y1394" i="15"/>
  <c r="J1394" i="15"/>
  <c r="O1394" i="15"/>
  <c r="E1394" i="15"/>
  <c r="S1394" i="15"/>
  <c r="AI1394" i="15"/>
  <c r="AC1394" i="15"/>
  <c r="N1394" i="15"/>
  <c r="I1394" i="15"/>
  <c r="B1394" i="15"/>
  <c r="AQ1393" i="15"/>
  <c r="M1393" i="15"/>
  <c r="AM1393" i="15"/>
  <c r="C1393" i="15"/>
  <c r="X1393" i="15"/>
  <c r="AA1393" i="15"/>
  <c r="L1393" i="15"/>
  <c r="Q1393" i="15"/>
  <c r="D1393" i="15"/>
  <c r="G1393" i="15"/>
  <c r="U1393" i="15"/>
  <c r="AL1393" i="15"/>
  <c r="Z1393" i="15"/>
  <c r="K1393" i="15"/>
  <c r="P1393" i="15"/>
  <c r="F1393" i="15"/>
  <c r="T1393" i="15"/>
  <c r="W1393" i="15"/>
  <c r="Y1393" i="15"/>
  <c r="J1393" i="15"/>
  <c r="O1393" i="15"/>
  <c r="E1393" i="15"/>
  <c r="S1393" i="15"/>
  <c r="AI1393" i="15"/>
  <c r="AC1393" i="15"/>
  <c r="N1393" i="15"/>
  <c r="B1393" i="15"/>
  <c r="AQ1392" i="15"/>
  <c r="M1392" i="15"/>
  <c r="AM1392" i="15"/>
  <c r="C1392" i="15"/>
  <c r="X1392" i="15"/>
  <c r="AA1392" i="15"/>
  <c r="H1392" i="15"/>
  <c r="L1392" i="15"/>
  <c r="Q1392" i="15"/>
  <c r="D1392" i="15"/>
  <c r="G1392" i="15"/>
  <c r="U1392" i="15"/>
  <c r="AL1392" i="15"/>
  <c r="Z1392" i="15"/>
  <c r="K1392" i="15"/>
  <c r="P1392" i="15"/>
  <c r="F1392" i="15"/>
  <c r="T1392" i="15"/>
  <c r="W1392" i="15"/>
  <c r="Y1392" i="15"/>
  <c r="J1392" i="15"/>
  <c r="O1392" i="15"/>
  <c r="E1392" i="15"/>
  <c r="S1392" i="15"/>
  <c r="AC1392" i="15"/>
  <c r="N1392" i="15"/>
  <c r="I1392" i="15"/>
  <c r="B1392" i="15"/>
  <c r="AQ1391" i="15"/>
  <c r="M1391" i="15"/>
  <c r="AM1391" i="15"/>
  <c r="C1391" i="15"/>
  <c r="X1391" i="15"/>
  <c r="AA1391" i="15"/>
  <c r="H1391" i="15"/>
  <c r="L1391" i="15"/>
  <c r="Q1391" i="15"/>
  <c r="D1391" i="15"/>
  <c r="G1391" i="15"/>
  <c r="U1391" i="15"/>
  <c r="AL1391" i="15"/>
  <c r="Z1391" i="15"/>
  <c r="K1391" i="15"/>
  <c r="P1391" i="15"/>
  <c r="F1391" i="15"/>
  <c r="T1391" i="15"/>
  <c r="W1391" i="15"/>
  <c r="Y1391" i="15"/>
  <c r="J1391" i="15"/>
  <c r="O1391" i="15"/>
  <c r="E1391" i="15"/>
  <c r="S1391" i="15"/>
  <c r="AC1391" i="15"/>
  <c r="N1391" i="15"/>
  <c r="I1391" i="15"/>
  <c r="B1391" i="15"/>
  <c r="AQ1390" i="15"/>
  <c r="M1390" i="15"/>
  <c r="AM1390" i="15"/>
  <c r="C1390" i="15"/>
  <c r="X1390" i="15"/>
  <c r="AA1390" i="15"/>
  <c r="H1390" i="15"/>
  <c r="L1390" i="15"/>
  <c r="Q1390" i="15"/>
  <c r="D1390" i="15"/>
  <c r="G1390" i="15"/>
  <c r="U1390" i="15"/>
  <c r="AL1390" i="15"/>
  <c r="Z1390" i="15"/>
  <c r="K1390" i="15"/>
  <c r="P1390" i="15"/>
  <c r="F1390" i="15"/>
  <c r="T1390" i="15"/>
  <c r="W1390" i="15"/>
  <c r="AK1390" i="15"/>
  <c r="Y1390" i="15"/>
  <c r="J1390" i="15"/>
  <c r="O1390" i="15"/>
  <c r="E1390" i="15"/>
  <c r="S1390" i="15"/>
  <c r="AJ1390" i="15"/>
  <c r="AI1390" i="15"/>
  <c r="AH1390" i="15"/>
  <c r="AG1390" i="15"/>
  <c r="AC1390" i="15"/>
  <c r="N1390" i="15"/>
  <c r="I1390" i="15"/>
  <c r="B1390" i="15"/>
  <c r="AQ1389" i="15"/>
  <c r="M1389" i="15"/>
  <c r="AM1389" i="15"/>
  <c r="C1389" i="15"/>
  <c r="X1389" i="15"/>
  <c r="AA1389" i="15"/>
  <c r="H1389" i="15"/>
  <c r="L1389" i="15"/>
  <c r="Q1389" i="15"/>
  <c r="D1389" i="15"/>
  <c r="G1389" i="15"/>
  <c r="U1389" i="15"/>
  <c r="AL1389" i="15"/>
  <c r="Z1389" i="15"/>
  <c r="K1389" i="15"/>
  <c r="P1389" i="15"/>
  <c r="F1389" i="15"/>
  <c r="T1389" i="15"/>
  <c r="W1389" i="15"/>
  <c r="AK1389" i="15"/>
  <c r="Y1389" i="15"/>
  <c r="J1389" i="15"/>
  <c r="O1389" i="15"/>
  <c r="E1389" i="15"/>
  <c r="S1389" i="15"/>
  <c r="AJ1389" i="15"/>
  <c r="AI1389" i="15"/>
  <c r="AH1389" i="15"/>
  <c r="AG1389" i="15"/>
  <c r="AC1389" i="15"/>
  <c r="N1389" i="15"/>
  <c r="I1389" i="15"/>
  <c r="B1389" i="15"/>
  <c r="AQ1388" i="15"/>
  <c r="M1388" i="15"/>
  <c r="AM1388" i="15"/>
  <c r="C1388" i="15"/>
  <c r="X1388" i="15"/>
  <c r="AA1388" i="15"/>
  <c r="H1388" i="15"/>
  <c r="L1388" i="15"/>
  <c r="Q1388" i="15"/>
  <c r="D1388" i="15"/>
  <c r="G1388" i="15"/>
  <c r="U1388" i="15"/>
  <c r="AL1388" i="15"/>
  <c r="Z1388" i="15"/>
  <c r="K1388" i="15"/>
  <c r="P1388" i="15"/>
  <c r="F1388" i="15"/>
  <c r="T1388" i="15"/>
  <c r="W1388" i="15"/>
  <c r="AK1388" i="15"/>
  <c r="Y1388" i="15"/>
  <c r="J1388" i="15"/>
  <c r="O1388" i="15"/>
  <c r="E1388" i="15"/>
  <c r="S1388" i="15"/>
  <c r="AJ1388" i="15"/>
  <c r="AI1388" i="15"/>
  <c r="AH1388" i="15"/>
  <c r="AG1388" i="15"/>
  <c r="AC1388" i="15"/>
  <c r="N1388" i="15"/>
  <c r="I1388" i="15"/>
  <c r="B1388" i="15"/>
  <c r="AQ1387" i="15"/>
  <c r="M1387" i="15"/>
  <c r="AM1387" i="15"/>
  <c r="C1387" i="15"/>
  <c r="X1387" i="15"/>
  <c r="AA1387" i="15"/>
  <c r="H1387" i="15"/>
  <c r="L1387" i="15"/>
  <c r="Q1387" i="15"/>
  <c r="D1387" i="15"/>
  <c r="G1387" i="15"/>
  <c r="U1387" i="15"/>
  <c r="AL1387" i="15"/>
  <c r="Z1387" i="15"/>
  <c r="K1387" i="15"/>
  <c r="P1387" i="15"/>
  <c r="F1387" i="15"/>
  <c r="T1387" i="15"/>
  <c r="W1387" i="15"/>
  <c r="AK1387" i="15"/>
  <c r="Y1387" i="15"/>
  <c r="J1387" i="15"/>
  <c r="O1387" i="15"/>
  <c r="E1387" i="15"/>
  <c r="S1387" i="15"/>
  <c r="AJ1387" i="15"/>
  <c r="AI1387" i="15"/>
  <c r="AH1387" i="15"/>
  <c r="AG1387" i="15"/>
  <c r="AC1387" i="15"/>
  <c r="N1387" i="15"/>
  <c r="I1387" i="15"/>
  <c r="B1387" i="15"/>
  <c r="AQ1386" i="15"/>
  <c r="M1386" i="15"/>
  <c r="AM1386" i="15"/>
  <c r="C1386" i="15"/>
  <c r="X1386" i="15"/>
  <c r="AA1386" i="15"/>
  <c r="H1386" i="15"/>
  <c r="L1386" i="15"/>
  <c r="Q1386" i="15"/>
  <c r="D1386" i="15"/>
  <c r="G1386" i="15"/>
  <c r="U1386" i="15"/>
  <c r="AL1386" i="15"/>
  <c r="Z1386" i="15"/>
  <c r="K1386" i="15"/>
  <c r="P1386" i="15"/>
  <c r="F1386" i="15"/>
  <c r="T1386" i="15"/>
  <c r="W1386" i="15"/>
  <c r="AK1386" i="15"/>
  <c r="Y1386" i="15"/>
  <c r="J1386" i="15"/>
  <c r="O1386" i="15"/>
  <c r="E1386" i="15"/>
  <c r="S1386" i="15"/>
  <c r="AJ1386" i="15"/>
  <c r="AI1386" i="15"/>
  <c r="AH1386" i="15"/>
  <c r="AG1386" i="15"/>
  <c r="AC1386" i="15"/>
  <c r="N1386" i="15"/>
  <c r="I1386" i="15"/>
  <c r="B1386" i="15"/>
  <c r="AQ1385" i="15"/>
  <c r="M1385" i="15"/>
  <c r="AM1385" i="15"/>
  <c r="C1385" i="15"/>
  <c r="X1385" i="15"/>
  <c r="AA1385" i="15"/>
  <c r="H1385" i="15"/>
  <c r="L1385" i="15"/>
  <c r="Q1385" i="15"/>
  <c r="D1385" i="15"/>
  <c r="G1385" i="15"/>
  <c r="U1385" i="15"/>
  <c r="AL1385" i="15"/>
  <c r="Z1385" i="15"/>
  <c r="K1385" i="15"/>
  <c r="P1385" i="15"/>
  <c r="F1385" i="15"/>
  <c r="T1385" i="15"/>
  <c r="W1385" i="15"/>
  <c r="AK1385" i="15"/>
  <c r="Y1385" i="15"/>
  <c r="J1385" i="15"/>
  <c r="O1385" i="15"/>
  <c r="E1385" i="15"/>
  <c r="S1385" i="15"/>
  <c r="AJ1385" i="15"/>
  <c r="AI1385" i="15"/>
  <c r="AH1385" i="15"/>
  <c r="AG1385" i="15"/>
  <c r="AC1385" i="15"/>
  <c r="N1385" i="15"/>
  <c r="I1385" i="15"/>
  <c r="B1385" i="15"/>
  <c r="AQ1384" i="15"/>
  <c r="M1384" i="15"/>
  <c r="AM1384" i="15"/>
  <c r="C1384" i="15"/>
  <c r="X1384" i="15"/>
  <c r="AA1384" i="15"/>
  <c r="H1384" i="15"/>
  <c r="L1384" i="15"/>
  <c r="Q1384" i="15"/>
  <c r="D1384" i="15"/>
  <c r="G1384" i="15"/>
  <c r="U1384" i="15"/>
  <c r="AL1384" i="15"/>
  <c r="Z1384" i="15"/>
  <c r="K1384" i="15"/>
  <c r="P1384" i="15"/>
  <c r="F1384" i="15"/>
  <c r="T1384" i="15"/>
  <c r="W1384" i="15"/>
  <c r="AK1384" i="15"/>
  <c r="Y1384" i="15"/>
  <c r="J1384" i="15"/>
  <c r="O1384" i="15"/>
  <c r="E1384" i="15"/>
  <c r="S1384" i="15"/>
  <c r="AJ1384" i="15"/>
  <c r="AI1384" i="15"/>
  <c r="AH1384" i="15"/>
  <c r="AG1384" i="15"/>
  <c r="AC1384" i="15"/>
  <c r="N1384" i="15"/>
  <c r="I1384" i="15"/>
  <c r="B1384" i="15"/>
  <c r="AQ1383" i="15"/>
  <c r="M1383" i="15"/>
  <c r="AM1383" i="15"/>
  <c r="C1383" i="15"/>
  <c r="X1383" i="15"/>
  <c r="AA1383" i="15"/>
  <c r="H1383" i="15"/>
  <c r="L1383" i="15"/>
  <c r="Q1383" i="15"/>
  <c r="D1383" i="15"/>
  <c r="G1383" i="15"/>
  <c r="U1383" i="15"/>
  <c r="AL1383" i="15"/>
  <c r="Z1383" i="15"/>
  <c r="K1383" i="15"/>
  <c r="P1383" i="15"/>
  <c r="F1383" i="15"/>
  <c r="T1383" i="15"/>
  <c r="W1383" i="15"/>
  <c r="AK1383" i="15"/>
  <c r="Y1383" i="15"/>
  <c r="J1383" i="15"/>
  <c r="O1383" i="15"/>
  <c r="E1383" i="15"/>
  <c r="S1383" i="15"/>
  <c r="AJ1383" i="15"/>
  <c r="AI1383" i="15"/>
  <c r="AH1383" i="15"/>
  <c r="AG1383" i="15"/>
  <c r="AC1383" i="15"/>
  <c r="N1383" i="15"/>
  <c r="I1383" i="15"/>
  <c r="B1383" i="15"/>
  <c r="AQ1382" i="15"/>
  <c r="M1382" i="15"/>
  <c r="AM1382" i="15"/>
  <c r="C1382" i="15"/>
  <c r="X1382" i="15"/>
  <c r="AA1382" i="15"/>
  <c r="H1382" i="15"/>
  <c r="L1382" i="15"/>
  <c r="Q1382" i="15"/>
  <c r="D1382" i="15"/>
  <c r="G1382" i="15"/>
  <c r="U1382" i="15"/>
  <c r="AL1382" i="15"/>
  <c r="Z1382" i="15"/>
  <c r="K1382" i="15"/>
  <c r="P1382" i="15"/>
  <c r="F1382" i="15"/>
  <c r="T1382" i="15"/>
  <c r="W1382" i="15"/>
  <c r="AK1382" i="15"/>
  <c r="Y1382" i="15"/>
  <c r="J1382" i="15"/>
  <c r="O1382" i="15"/>
  <c r="E1382" i="15"/>
  <c r="S1382" i="15"/>
  <c r="AJ1382" i="15"/>
  <c r="AI1382" i="15"/>
  <c r="AH1382" i="15"/>
  <c r="AG1382" i="15"/>
  <c r="AC1382" i="15"/>
  <c r="N1382" i="15"/>
  <c r="I1382" i="15"/>
  <c r="B1382" i="15"/>
  <c r="AQ1567" i="15"/>
  <c r="AM1567" i="15"/>
  <c r="C1567" i="15"/>
  <c r="X1567" i="15"/>
  <c r="AA1567" i="15"/>
  <c r="H1567" i="15"/>
  <c r="L1567" i="15"/>
  <c r="Q1567" i="15"/>
  <c r="D1567" i="15"/>
  <c r="G1567" i="15"/>
  <c r="U1567" i="15"/>
  <c r="AL1567" i="15"/>
  <c r="Z1567" i="15"/>
  <c r="P1567" i="15"/>
  <c r="F1567" i="15"/>
  <c r="T1567" i="15"/>
  <c r="W1567" i="15"/>
  <c r="AK1567" i="15"/>
  <c r="Y1567" i="15"/>
  <c r="O1567" i="15"/>
  <c r="E1567" i="15"/>
  <c r="S1567" i="15"/>
  <c r="AJ1567" i="15"/>
  <c r="AI1567" i="15"/>
  <c r="AH1567" i="15"/>
  <c r="AG1567" i="15"/>
  <c r="AC1567" i="15"/>
  <c r="N1567" i="15"/>
  <c r="I1567" i="15"/>
  <c r="B1567" i="15"/>
  <c r="AQ1566" i="15"/>
  <c r="AM1566" i="15"/>
  <c r="C1566" i="15"/>
  <c r="X1566" i="15"/>
  <c r="AA1566" i="15"/>
  <c r="H1566" i="15"/>
  <c r="L1566" i="15"/>
  <c r="Q1566" i="15"/>
  <c r="D1566" i="15"/>
  <c r="G1566" i="15"/>
  <c r="U1566" i="15"/>
  <c r="AL1566" i="15"/>
  <c r="Z1566" i="15"/>
  <c r="P1566" i="15"/>
  <c r="F1566" i="15"/>
  <c r="T1566" i="15"/>
  <c r="W1566" i="15"/>
  <c r="AK1566" i="15"/>
  <c r="Y1566" i="15"/>
  <c r="O1566" i="15"/>
  <c r="E1566" i="15"/>
  <c r="S1566" i="15"/>
  <c r="AJ1566" i="15"/>
  <c r="AI1566" i="15"/>
  <c r="AH1566" i="15"/>
  <c r="AG1566" i="15"/>
  <c r="AC1566" i="15"/>
  <c r="N1566" i="15"/>
  <c r="I1566" i="15"/>
  <c r="B1566" i="15"/>
  <c r="AQ1565" i="15"/>
  <c r="AM1565" i="15"/>
  <c r="C1565" i="15"/>
  <c r="X1565" i="15"/>
  <c r="AA1565" i="15"/>
  <c r="H1565" i="15"/>
  <c r="L1565" i="15"/>
  <c r="Q1565" i="15"/>
  <c r="D1565" i="15"/>
  <c r="G1565" i="15"/>
  <c r="U1565" i="15"/>
  <c r="AL1565" i="15"/>
  <c r="Z1565" i="15"/>
  <c r="P1565" i="15"/>
  <c r="F1565" i="15"/>
  <c r="T1565" i="15"/>
  <c r="W1565" i="15"/>
  <c r="AK1565" i="15"/>
  <c r="Y1565" i="15"/>
  <c r="O1565" i="15"/>
  <c r="E1565" i="15"/>
  <c r="S1565" i="15"/>
  <c r="AJ1565" i="15"/>
  <c r="AI1565" i="15"/>
  <c r="AH1565" i="15"/>
  <c r="AG1565" i="15"/>
  <c r="AC1565" i="15"/>
  <c r="N1565" i="15"/>
  <c r="I1565" i="15"/>
  <c r="B1565" i="15"/>
  <c r="AQ1564" i="15"/>
  <c r="AM1564" i="15"/>
  <c r="C1564" i="15"/>
  <c r="X1564" i="15"/>
  <c r="AA1564" i="15"/>
  <c r="H1564" i="15"/>
  <c r="L1564" i="15"/>
  <c r="Q1564" i="15"/>
  <c r="D1564" i="15"/>
  <c r="G1564" i="15"/>
  <c r="U1564" i="15"/>
  <c r="AL1564" i="15"/>
  <c r="Z1564" i="15"/>
  <c r="P1564" i="15"/>
  <c r="F1564" i="15"/>
  <c r="T1564" i="15"/>
  <c r="W1564" i="15"/>
  <c r="AK1564" i="15"/>
  <c r="Y1564" i="15"/>
  <c r="O1564" i="15"/>
  <c r="E1564" i="15"/>
  <c r="S1564" i="15"/>
  <c r="AJ1564" i="15"/>
  <c r="AI1564" i="15"/>
  <c r="AH1564" i="15"/>
  <c r="AG1564" i="15"/>
  <c r="AC1564" i="15"/>
  <c r="N1564" i="15"/>
  <c r="I1564" i="15"/>
  <c r="B1564" i="15"/>
  <c r="AQ1463" i="15"/>
  <c r="M1463" i="15"/>
  <c r="AM1463" i="15"/>
  <c r="C1463" i="15"/>
  <c r="X1463" i="15"/>
  <c r="AA1463" i="15"/>
  <c r="H1463" i="15"/>
  <c r="L1463" i="15"/>
  <c r="Q1463" i="15"/>
  <c r="D1463" i="15"/>
  <c r="G1463" i="15"/>
  <c r="U1463" i="15"/>
  <c r="AL1463" i="15"/>
  <c r="Z1463" i="15"/>
  <c r="K1463" i="15"/>
  <c r="P1463" i="15"/>
  <c r="F1463" i="15"/>
  <c r="T1463" i="15"/>
  <c r="W1463" i="15"/>
  <c r="AK1463" i="15"/>
  <c r="Y1463" i="15"/>
  <c r="J1463" i="15"/>
  <c r="O1463" i="15"/>
  <c r="E1463" i="15"/>
  <c r="S1463" i="15"/>
  <c r="AJ1463" i="15"/>
  <c r="AI1463" i="15"/>
  <c r="AH1463" i="15"/>
  <c r="AG1463" i="15"/>
  <c r="AC1463" i="15"/>
  <c r="N1463" i="15"/>
  <c r="I1463" i="15"/>
  <c r="B1463" i="15"/>
  <c r="AQ1462" i="15"/>
  <c r="M1462" i="15"/>
  <c r="AM1462" i="15"/>
  <c r="C1462" i="15"/>
  <c r="X1462" i="15"/>
  <c r="AA1462" i="15"/>
  <c r="H1462" i="15"/>
  <c r="L1462" i="15"/>
  <c r="Q1462" i="15"/>
  <c r="D1462" i="15"/>
  <c r="G1462" i="15"/>
  <c r="U1462" i="15"/>
  <c r="AL1462" i="15"/>
  <c r="Z1462" i="15"/>
  <c r="K1462" i="15"/>
  <c r="P1462" i="15"/>
  <c r="F1462" i="15"/>
  <c r="T1462" i="15"/>
  <c r="W1462" i="15"/>
  <c r="AK1462" i="15"/>
  <c r="Y1462" i="15"/>
  <c r="J1462" i="15"/>
  <c r="O1462" i="15"/>
  <c r="E1462" i="15"/>
  <c r="S1462" i="15"/>
  <c r="AJ1462" i="15"/>
  <c r="AI1462" i="15"/>
  <c r="AH1462" i="15"/>
  <c r="AG1462" i="15"/>
  <c r="AC1462" i="15"/>
  <c r="N1462" i="15"/>
  <c r="I1462" i="15"/>
  <c r="B1462" i="15"/>
  <c r="AQ1461" i="15"/>
  <c r="M1461" i="15"/>
  <c r="AM1461" i="15"/>
  <c r="C1461" i="15"/>
  <c r="X1461" i="15"/>
  <c r="AA1461" i="15"/>
  <c r="H1461" i="15"/>
  <c r="L1461" i="15"/>
  <c r="Q1461" i="15"/>
  <c r="D1461" i="15"/>
  <c r="G1461" i="15"/>
  <c r="U1461" i="15"/>
  <c r="AL1461" i="15"/>
  <c r="Z1461" i="15"/>
  <c r="K1461" i="15"/>
  <c r="P1461" i="15"/>
  <c r="F1461" i="15"/>
  <c r="T1461" i="15"/>
  <c r="W1461" i="15"/>
  <c r="AK1461" i="15"/>
  <c r="Y1461" i="15"/>
  <c r="J1461" i="15"/>
  <c r="O1461" i="15"/>
  <c r="E1461" i="15"/>
  <c r="S1461" i="15"/>
  <c r="AJ1461" i="15"/>
  <c r="AI1461" i="15"/>
  <c r="AH1461" i="15"/>
  <c r="AG1461" i="15"/>
  <c r="AC1461" i="15"/>
  <c r="N1461" i="15"/>
  <c r="I1461" i="15"/>
  <c r="B1461" i="15"/>
  <c r="AQ1460" i="15"/>
  <c r="M1460" i="15"/>
  <c r="AM1460" i="15"/>
  <c r="C1460" i="15"/>
  <c r="X1460" i="15"/>
  <c r="AA1460" i="15"/>
  <c r="H1460" i="15"/>
  <c r="L1460" i="15"/>
  <c r="Q1460" i="15"/>
  <c r="D1460" i="15"/>
  <c r="G1460" i="15"/>
  <c r="U1460" i="15"/>
  <c r="AL1460" i="15"/>
  <c r="Z1460" i="15"/>
  <c r="K1460" i="15"/>
  <c r="P1460" i="15"/>
  <c r="F1460" i="15"/>
  <c r="T1460" i="15"/>
  <c r="W1460" i="15"/>
  <c r="AK1460" i="15"/>
  <c r="Y1460" i="15"/>
  <c r="J1460" i="15"/>
  <c r="O1460" i="15"/>
  <c r="E1460" i="15"/>
  <c r="S1460" i="15"/>
  <c r="AJ1460" i="15"/>
  <c r="AI1460" i="15"/>
  <c r="AH1460" i="15"/>
  <c r="AG1460" i="15"/>
  <c r="AC1460" i="15"/>
  <c r="N1460" i="15"/>
  <c r="I1460" i="15"/>
  <c r="B1460" i="15"/>
  <c r="H1337" i="15"/>
  <c r="H1325" i="15"/>
  <c r="I1337" i="15"/>
  <c r="H350" i="15"/>
  <c r="J350" i="15"/>
  <c r="M350" i="15"/>
  <c r="O350" i="15"/>
  <c r="D350" i="15"/>
  <c r="E350" i="15"/>
  <c r="S350" i="15"/>
  <c r="Y350" i="15"/>
  <c r="AG350" i="15"/>
  <c r="H349" i="15"/>
  <c r="J349" i="15"/>
  <c r="M349" i="15"/>
  <c r="O349" i="15"/>
  <c r="D349" i="15"/>
  <c r="E349" i="15"/>
  <c r="S349" i="15"/>
  <c r="Y349" i="15"/>
  <c r="AG349" i="15"/>
  <c r="H352" i="15"/>
  <c r="K352" i="15"/>
  <c r="M352" i="15"/>
  <c r="P352" i="15"/>
  <c r="D352" i="15"/>
  <c r="F352" i="15"/>
  <c r="Z352" i="15"/>
  <c r="T352" i="15"/>
  <c r="W352" i="15"/>
  <c r="AH352" i="15"/>
  <c r="AQ1337" i="15"/>
  <c r="M1337" i="15"/>
  <c r="AM1337" i="15"/>
  <c r="C1337" i="15"/>
  <c r="X1337" i="15"/>
  <c r="AA1337" i="15"/>
  <c r="L1337" i="15"/>
  <c r="Q1337" i="15"/>
  <c r="D1337" i="15"/>
  <c r="G1337" i="15"/>
  <c r="U1337" i="15"/>
  <c r="Z1337" i="15"/>
  <c r="K1337" i="15"/>
  <c r="P1337" i="15"/>
  <c r="F1337" i="15"/>
  <c r="T1337" i="15"/>
  <c r="W1337" i="15"/>
  <c r="Y1337" i="15"/>
  <c r="J1337" i="15"/>
  <c r="O1337" i="15"/>
  <c r="E1337" i="15"/>
  <c r="S1337" i="15"/>
  <c r="AC1337" i="15"/>
  <c r="N1337" i="15"/>
  <c r="B1337" i="15"/>
  <c r="AQ1336" i="15"/>
  <c r="M1336" i="15"/>
  <c r="AM1336" i="15"/>
  <c r="C1336" i="15"/>
  <c r="X1336" i="15"/>
  <c r="AA1336" i="15"/>
  <c r="H1336" i="15"/>
  <c r="L1336" i="15"/>
  <c r="Q1336" i="15"/>
  <c r="D1336" i="15"/>
  <c r="G1336" i="15"/>
  <c r="U1336" i="15"/>
  <c r="AL1336" i="15"/>
  <c r="Z1336" i="15"/>
  <c r="K1336" i="15"/>
  <c r="P1336" i="15"/>
  <c r="F1336" i="15"/>
  <c r="T1336" i="15"/>
  <c r="W1336" i="15"/>
  <c r="AK1336" i="15"/>
  <c r="Y1336" i="15"/>
  <c r="J1336" i="15"/>
  <c r="O1336" i="15"/>
  <c r="E1336" i="15"/>
  <c r="S1336" i="15"/>
  <c r="AJ1336" i="15"/>
  <c r="AI1336" i="15"/>
  <c r="AH1336" i="15"/>
  <c r="AG1336" i="15"/>
  <c r="AC1336" i="15"/>
  <c r="N1336" i="15"/>
  <c r="I1336" i="15"/>
  <c r="B1336" i="15"/>
  <c r="AQ1335" i="15"/>
  <c r="M1335" i="15"/>
  <c r="AM1335" i="15"/>
  <c r="C1335" i="15"/>
  <c r="X1335" i="15"/>
  <c r="AA1335" i="15"/>
  <c r="H1335" i="15"/>
  <c r="L1335" i="15"/>
  <c r="Q1335" i="15"/>
  <c r="D1335" i="15"/>
  <c r="G1335" i="15"/>
  <c r="U1335" i="15"/>
  <c r="AL1335" i="15"/>
  <c r="Z1335" i="15"/>
  <c r="K1335" i="15"/>
  <c r="P1335" i="15"/>
  <c r="F1335" i="15"/>
  <c r="T1335" i="15"/>
  <c r="W1335" i="15"/>
  <c r="AK1335" i="15"/>
  <c r="Y1335" i="15"/>
  <c r="J1335" i="15"/>
  <c r="O1335" i="15"/>
  <c r="E1335" i="15"/>
  <c r="S1335" i="15"/>
  <c r="AJ1335" i="15"/>
  <c r="AI1335" i="15"/>
  <c r="AH1335" i="15"/>
  <c r="AG1335" i="15"/>
  <c r="AC1335" i="15"/>
  <c r="N1335" i="15"/>
  <c r="I1335" i="15"/>
  <c r="B1335" i="15"/>
  <c r="AQ1334" i="15"/>
  <c r="M1334" i="15"/>
  <c r="AM1334" i="15"/>
  <c r="C1334" i="15"/>
  <c r="X1334" i="15"/>
  <c r="AA1334" i="15"/>
  <c r="H1334" i="15"/>
  <c r="L1334" i="15"/>
  <c r="Q1334" i="15"/>
  <c r="D1334" i="15"/>
  <c r="G1334" i="15"/>
  <c r="U1334" i="15"/>
  <c r="AL1334" i="15"/>
  <c r="Z1334" i="15"/>
  <c r="K1334" i="15"/>
  <c r="P1334" i="15"/>
  <c r="F1334" i="15"/>
  <c r="T1334" i="15"/>
  <c r="W1334" i="15"/>
  <c r="AK1334" i="15"/>
  <c r="Y1334" i="15"/>
  <c r="J1334" i="15"/>
  <c r="O1334" i="15"/>
  <c r="E1334" i="15"/>
  <c r="S1334" i="15"/>
  <c r="AJ1334" i="15"/>
  <c r="AI1334" i="15"/>
  <c r="AH1334" i="15"/>
  <c r="AG1334" i="15"/>
  <c r="AC1334" i="15"/>
  <c r="N1334" i="15"/>
  <c r="I1334" i="15"/>
  <c r="B1334" i="15"/>
  <c r="AQ1333" i="15"/>
  <c r="M1333" i="15"/>
  <c r="AM1333" i="15"/>
  <c r="C1333" i="15"/>
  <c r="X1333" i="15"/>
  <c r="AA1333" i="15"/>
  <c r="H1333" i="15"/>
  <c r="L1333" i="15"/>
  <c r="Q1333" i="15"/>
  <c r="D1333" i="15"/>
  <c r="G1333" i="15"/>
  <c r="U1333" i="15"/>
  <c r="AL1333" i="15"/>
  <c r="Z1333" i="15"/>
  <c r="K1333" i="15"/>
  <c r="P1333" i="15"/>
  <c r="F1333" i="15"/>
  <c r="T1333" i="15"/>
  <c r="W1333" i="15"/>
  <c r="AK1333" i="15"/>
  <c r="Y1333" i="15"/>
  <c r="J1333" i="15"/>
  <c r="O1333" i="15"/>
  <c r="E1333" i="15"/>
  <c r="S1333" i="15"/>
  <c r="AJ1333" i="15"/>
  <c r="AI1333" i="15"/>
  <c r="AH1333" i="15"/>
  <c r="AG1333" i="15"/>
  <c r="AC1333" i="15"/>
  <c r="N1333" i="15"/>
  <c r="I1333" i="15"/>
  <c r="B1333" i="15"/>
  <c r="AQ1332" i="15"/>
  <c r="M1332" i="15"/>
  <c r="AM1332" i="15"/>
  <c r="C1332" i="15"/>
  <c r="X1332" i="15"/>
  <c r="AA1332" i="15"/>
  <c r="H1332" i="15"/>
  <c r="L1332" i="15"/>
  <c r="Q1332" i="15"/>
  <c r="D1332" i="15"/>
  <c r="G1332" i="15"/>
  <c r="U1332" i="15"/>
  <c r="AL1332" i="15"/>
  <c r="Z1332" i="15"/>
  <c r="K1332" i="15"/>
  <c r="P1332" i="15"/>
  <c r="F1332" i="15"/>
  <c r="T1332" i="15"/>
  <c r="W1332" i="15"/>
  <c r="AK1332" i="15"/>
  <c r="Y1332" i="15"/>
  <c r="J1332" i="15"/>
  <c r="O1332" i="15"/>
  <c r="E1332" i="15"/>
  <c r="S1332" i="15"/>
  <c r="AJ1332" i="15"/>
  <c r="AI1332" i="15"/>
  <c r="AH1332" i="15"/>
  <c r="AG1332" i="15"/>
  <c r="AC1332" i="15"/>
  <c r="N1332" i="15"/>
  <c r="I1332" i="15"/>
  <c r="B1332" i="15"/>
  <c r="AQ1331" i="15"/>
  <c r="M1331" i="15"/>
  <c r="AM1331" i="15"/>
  <c r="C1331" i="15"/>
  <c r="X1331" i="15"/>
  <c r="AA1331" i="15"/>
  <c r="H1331" i="15"/>
  <c r="L1331" i="15"/>
  <c r="Q1331" i="15"/>
  <c r="D1331" i="15"/>
  <c r="G1331" i="15"/>
  <c r="U1331" i="15"/>
  <c r="AL1331" i="15"/>
  <c r="Z1331" i="15"/>
  <c r="K1331" i="15"/>
  <c r="P1331" i="15"/>
  <c r="F1331" i="15"/>
  <c r="T1331" i="15"/>
  <c r="W1331" i="15"/>
  <c r="AK1331" i="15"/>
  <c r="Y1331" i="15"/>
  <c r="J1331" i="15"/>
  <c r="O1331" i="15"/>
  <c r="E1331" i="15"/>
  <c r="S1331" i="15"/>
  <c r="AJ1331" i="15"/>
  <c r="AI1331" i="15"/>
  <c r="AH1331" i="15"/>
  <c r="AG1331" i="15"/>
  <c r="AC1331" i="15"/>
  <c r="N1331" i="15"/>
  <c r="I1331" i="15"/>
  <c r="B1331" i="15"/>
  <c r="AQ1330" i="15"/>
  <c r="M1330" i="15"/>
  <c r="AM1330" i="15"/>
  <c r="C1330" i="15"/>
  <c r="X1330" i="15"/>
  <c r="AA1330" i="15"/>
  <c r="H1330" i="15"/>
  <c r="L1330" i="15"/>
  <c r="Q1330" i="15"/>
  <c r="D1330" i="15"/>
  <c r="G1330" i="15"/>
  <c r="U1330" i="15"/>
  <c r="AL1330" i="15"/>
  <c r="Z1330" i="15"/>
  <c r="K1330" i="15"/>
  <c r="P1330" i="15"/>
  <c r="F1330" i="15"/>
  <c r="T1330" i="15"/>
  <c r="W1330" i="15"/>
  <c r="AK1330" i="15"/>
  <c r="Y1330" i="15"/>
  <c r="J1330" i="15"/>
  <c r="O1330" i="15"/>
  <c r="E1330" i="15"/>
  <c r="S1330" i="15"/>
  <c r="AJ1330" i="15"/>
  <c r="AI1330" i="15"/>
  <c r="AH1330" i="15"/>
  <c r="AG1330" i="15"/>
  <c r="AC1330" i="15"/>
  <c r="N1330" i="15"/>
  <c r="I1330" i="15"/>
  <c r="B1330" i="15"/>
  <c r="AQ1329" i="15"/>
  <c r="M1329" i="15"/>
  <c r="AM1329" i="15"/>
  <c r="C1329" i="15"/>
  <c r="X1329" i="15"/>
  <c r="AA1329" i="15"/>
  <c r="H1329" i="15"/>
  <c r="L1329" i="15"/>
  <c r="Q1329" i="15"/>
  <c r="D1329" i="15"/>
  <c r="G1329" i="15"/>
  <c r="U1329" i="15"/>
  <c r="AL1329" i="15"/>
  <c r="Z1329" i="15"/>
  <c r="K1329" i="15"/>
  <c r="P1329" i="15"/>
  <c r="F1329" i="15"/>
  <c r="T1329" i="15"/>
  <c r="W1329" i="15"/>
  <c r="AK1329" i="15"/>
  <c r="Y1329" i="15"/>
  <c r="J1329" i="15"/>
  <c r="O1329" i="15"/>
  <c r="E1329" i="15"/>
  <c r="S1329" i="15"/>
  <c r="AJ1329" i="15"/>
  <c r="AI1329" i="15"/>
  <c r="AH1329" i="15"/>
  <c r="AG1329" i="15"/>
  <c r="AC1329" i="15"/>
  <c r="N1329" i="15"/>
  <c r="I1329" i="15"/>
  <c r="B1329" i="15"/>
  <c r="AQ1328" i="15"/>
  <c r="M1328" i="15"/>
  <c r="AM1328" i="15"/>
  <c r="C1328" i="15"/>
  <c r="X1328" i="15"/>
  <c r="AA1328" i="15"/>
  <c r="H1328" i="15"/>
  <c r="L1328" i="15"/>
  <c r="Q1328" i="15"/>
  <c r="D1328" i="15"/>
  <c r="G1328" i="15"/>
  <c r="U1328" i="15"/>
  <c r="AL1328" i="15"/>
  <c r="Z1328" i="15"/>
  <c r="K1328" i="15"/>
  <c r="P1328" i="15"/>
  <c r="F1328" i="15"/>
  <c r="T1328" i="15"/>
  <c r="W1328" i="15"/>
  <c r="AK1328" i="15"/>
  <c r="Y1328" i="15"/>
  <c r="J1328" i="15"/>
  <c r="O1328" i="15"/>
  <c r="E1328" i="15"/>
  <c r="S1328" i="15"/>
  <c r="AJ1328" i="15"/>
  <c r="AI1328" i="15"/>
  <c r="AH1328" i="15"/>
  <c r="AG1328" i="15"/>
  <c r="AC1328" i="15"/>
  <c r="N1328" i="15"/>
  <c r="I1328" i="15"/>
  <c r="B1328" i="15"/>
  <c r="AQ1327" i="15"/>
  <c r="M1327" i="15"/>
  <c r="AM1327" i="15"/>
  <c r="C1327" i="15"/>
  <c r="X1327" i="15"/>
  <c r="AA1327" i="15"/>
  <c r="H1327" i="15"/>
  <c r="L1327" i="15"/>
  <c r="Q1327" i="15"/>
  <c r="D1327" i="15"/>
  <c r="G1327" i="15"/>
  <c r="U1327" i="15"/>
  <c r="AL1327" i="15"/>
  <c r="Z1327" i="15"/>
  <c r="K1327" i="15"/>
  <c r="P1327" i="15"/>
  <c r="F1327" i="15"/>
  <c r="T1327" i="15"/>
  <c r="W1327" i="15"/>
  <c r="AK1327" i="15"/>
  <c r="Y1327" i="15"/>
  <c r="J1327" i="15"/>
  <c r="O1327" i="15"/>
  <c r="E1327" i="15"/>
  <c r="S1327" i="15"/>
  <c r="AJ1327" i="15"/>
  <c r="AI1327" i="15"/>
  <c r="AH1327" i="15"/>
  <c r="AG1327" i="15"/>
  <c r="AC1327" i="15"/>
  <c r="N1327" i="15"/>
  <c r="I1327" i="15"/>
  <c r="B1327" i="15"/>
  <c r="AQ1326" i="15"/>
  <c r="M1326" i="15"/>
  <c r="AM1326" i="15"/>
  <c r="C1326" i="15"/>
  <c r="X1326" i="15"/>
  <c r="AA1326" i="15"/>
  <c r="H1326" i="15"/>
  <c r="L1326" i="15"/>
  <c r="Q1326" i="15"/>
  <c r="D1326" i="15"/>
  <c r="G1326" i="15"/>
  <c r="U1326" i="15"/>
  <c r="AL1326" i="15"/>
  <c r="Z1326" i="15"/>
  <c r="K1326" i="15"/>
  <c r="P1326" i="15"/>
  <c r="F1326" i="15"/>
  <c r="T1326" i="15"/>
  <c r="W1326" i="15"/>
  <c r="AK1326" i="15"/>
  <c r="Y1326" i="15"/>
  <c r="J1326" i="15"/>
  <c r="O1326" i="15"/>
  <c r="E1326" i="15"/>
  <c r="S1326" i="15"/>
  <c r="AJ1326" i="15"/>
  <c r="AI1326" i="15"/>
  <c r="AH1326" i="15"/>
  <c r="AG1326" i="15"/>
  <c r="AC1326" i="15"/>
  <c r="N1326" i="15"/>
  <c r="I1326" i="15"/>
  <c r="B1326" i="15"/>
  <c r="AQ1325" i="15"/>
  <c r="M1325" i="15"/>
  <c r="AM1325" i="15"/>
  <c r="C1325" i="15"/>
  <c r="X1325" i="15"/>
  <c r="AA1325" i="15"/>
  <c r="L1325" i="15"/>
  <c r="Q1325" i="15"/>
  <c r="D1325" i="15"/>
  <c r="G1325" i="15"/>
  <c r="U1325" i="15"/>
  <c r="Z1325" i="15"/>
  <c r="K1325" i="15"/>
  <c r="P1325" i="15"/>
  <c r="F1325" i="15"/>
  <c r="T1325" i="15"/>
  <c r="W1325" i="15"/>
  <c r="Y1325" i="15"/>
  <c r="J1325" i="15"/>
  <c r="O1325" i="15"/>
  <c r="E1325" i="15"/>
  <c r="S1325" i="15"/>
  <c r="AC1325" i="15"/>
  <c r="N1325" i="15"/>
  <c r="I1325" i="15"/>
  <c r="B1325" i="15"/>
  <c r="AQ1322" i="15"/>
  <c r="M1322" i="15"/>
  <c r="AM1322" i="15"/>
  <c r="C1322" i="15"/>
  <c r="X1322" i="15"/>
  <c r="AA1322" i="15"/>
  <c r="H1322" i="15"/>
  <c r="L1322" i="15"/>
  <c r="Q1322" i="15"/>
  <c r="D1322" i="15"/>
  <c r="G1322" i="15"/>
  <c r="U1322" i="15"/>
  <c r="AL1322" i="15"/>
  <c r="Z1322" i="15"/>
  <c r="K1322" i="15"/>
  <c r="P1322" i="15"/>
  <c r="F1322" i="15"/>
  <c r="T1322" i="15"/>
  <c r="W1322" i="15"/>
  <c r="AK1322" i="15"/>
  <c r="Y1322" i="15"/>
  <c r="J1322" i="15"/>
  <c r="O1322" i="15"/>
  <c r="E1322" i="15"/>
  <c r="S1322" i="15"/>
  <c r="AJ1322" i="15"/>
  <c r="AI1322" i="15"/>
  <c r="AH1322" i="15"/>
  <c r="AG1322" i="15"/>
  <c r="AC1322" i="15"/>
  <c r="N1322" i="15"/>
  <c r="I1322" i="15"/>
  <c r="B1322" i="15"/>
  <c r="AQ1321" i="15"/>
  <c r="M1321" i="15"/>
  <c r="AM1321" i="15"/>
  <c r="C1321" i="15"/>
  <c r="X1321" i="15"/>
  <c r="AA1321" i="15"/>
  <c r="H1321" i="15"/>
  <c r="L1321" i="15"/>
  <c r="Q1321" i="15"/>
  <c r="D1321" i="15"/>
  <c r="G1321" i="15"/>
  <c r="U1321" i="15"/>
  <c r="AL1321" i="15"/>
  <c r="Z1321" i="15"/>
  <c r="K1321" i="15"/>
  <c r="P1321" i="15"/>
  <c r="F1321" i="15"/>
  <c r="T1321" i="15"/>
  <c r="W1321" i="15"/>
  <c r="AK1321" i="15"/>
  <c r="Y1321" i="15"/>
  <c r="J1321" i="15"/>
  <c r="O1321" i="15"/>
  <c r="E1321" i="15"/>
  <c r="S1321" i="15"/>
  <c r="AJ1321" i="15"/>
  <c r="AI1321" i="15"/>
  <c r="AH1321" i="15"/>
  <c r="AG1321" i="15"/>
  <c r="AC1321" i="15"/>
  <c r="N1321" i="15"/>
  <c r="I1321" i="15"/>
  <c r="B1321" i="15"/>
  <c r="AQ1320" i="15"/>
  <c r="M1320" i="15"/>
  <c r="AM1320" i="15"/>
  <c r="C1320" i="15"/>
  <c r="X1320" i="15"/>
  <c r="AA1320" i="15"/>
  <c r="H1320" i="15"/>
  <c r="L1320" i="15"/>
  <c r="Q1320" i="15"/>
  <c r="D1320" i="15"/>
  <c r="G1320" i="15"/>
  <c r="U1320" i="15"/>
  <c r="AL1320" i="15"/>
  <c r="Z1320" i="15"/>
  <c r="K1320" i="15"/>
  <c r="P1320" i="15"/>
  <c r="F1320" i="15"/>
  <c r="T1320" i="15"/>
  <c r="W1320" i="15"/>
  <c r="AK1320" i="15"/>
  <c r="Y1320" i="15"/>
  <c r="J1320" i="15"/>
  <c r="O1320" i="15"/>
  <c r="E1320" i="15"/>
  <c r="S1320" i="15"/>
  <c r="AJ1320" i="15"/>
  <c r="AI1320" i="15"/>
  <c r="AH1320" i="15"/>
  <c r="AG1320" i="15"/>
  <c r="AC1320" i="15"/>
  <c r="N1320" i="15"/>
  <c r="I1320" i="15"/>
  <c r="B1320" i="15"/>
  <c r="AQ1319" i="15"/>
  <c r="M1319" i="15"/>
  <c r="AM1319" i="15"/>
  <c r="C1319" i="15"/>
  <c r="X1319" i="15"/>
  <c r="AA1319" i="15"/>
  <c r="H1319" i="15"/>
  <c r="L1319" i="15"/>
  <c r="Q1319" i="15"/>
  <c r="D1319" i="15"/>
  <c r="G1319" i="15"/>
  <c r="U1319" i="15"/>
  <c r="AL1319" i="15"/>
  <c r="Z1319" i="15"/>
  <c r="K1319" i="15"/>
  <c r="P1319" i="15"/>
  <c r="F1319" i="15"/>
  <c r="T1319" i="15"/>
  <c r="W1319" i="15"/>
  <c r="AK1319" i="15"/>
  <c r="Y1319" i="15"/>
  <c r="J1319" i="15"/>
  <c r="O1319" i="15"/>
  <c r="E1319" i="15"/>
  <c r="S1319" i="15"/>
  <c r="AJ1319" i="15"/>
  <c r="AI1319" i="15"/>
  <c r="AH1319" i="15"/>
  <c r="AG1319" i="15"/>
  <c r="AC1319" i="15"/>
  <c r="N1319" i="15"/>
  <c r="I1319" i="15"/>
  <c r="B1319" i="15"/>
  <c r="AQ1318" i="15"/>
  <c r="M1318" i="15"/>
  <c r="AM1318" i="15"/>
  <c r="C1318" i="15"/>
  <c r="X1318" i="15"/>
  <c r="AA1318" i="15"/>
  <c r="H1318" i="15"/>
  <c r="L1318" i="15"/>
  <c r="Q1318" i="15"/>
  <c r="D1318" i="15"/>
  <c r="G1318" i="15"/>
  <c r="U1318" i="15"/>
  <c r="AL1318" i="15"/>
  <c r="Z1318" i="15"/>
  <c r="K1318" i="15"/>
  <c r="P1318" i="15"/>
  <c r="F1318" i="15"/>
  <c r="T1318" i="15"/>
  <c r="W1318" i="15"/>
  <c r="AK1318" i="15"/>
  <c r="Y1318" i="15"/>
  <c r="J1318" i="15"/>
  <c r="O1318" i="15"/>
  <c r="E1318" i="15"/>
  <c r="S1318" i="15"/>
  <c r="AJ1318" i="15"/>
  <c r="AI1318" i="15"/>
  <c r="AH1318" i="15"/>
  <c r="AG1318" i="15"/>
  <c r="AC1318" i="15"/>
  <c r="N1318" i="15"/>
  <c r="I1318" i="15"/>
  <c r="B1318" i="15"/>
  <c r="AQ1317" i="15"/>
  <c r="M1317" i="15"/>
  <c r="AM1317" i="15"/>
  <c r="C1317" i="15"/>
  <c r="X1317" i="15"/>
  <c r="AA1317" i="15"/>
  <c r="H1317" i="15"/>
  <c r="L1317" i="15"/>
  <c r="Q1317" i="15"/>
  <c r="D1317" i="15"/>
  <c r="G1317" i="15"/>
  <c r="U1317" i="15"/>
  <c r="AL1317" i="15"/>
  <c r="Z1317" i="15"/>
  <c r="K1317" i="15"/>
  <c r="P1317" i="15"/>
  <c r="F1317" i="15"/>
  <c r="T1317" i="15"/>
  <c r="W1317" i="15"/>
  <c r="AK1317" i="15"/>
  <c r="Y1317" i="15"/>
  <c r="J1317" i="15"/>
  <c r="O1317" i="15"/>
  <c r="E1317" i="15"/>
  <c r="S1317" i="15"/>
  <c r="AJ1317" i="15"/>
  <c r="AI1317" i="15"/>
  <c r="AH1317" i="15"/>
  <c r="AG1317" i="15"/>
  <c r="AC1317" i="15"/>
  <c r="N1317" i="15"/>
  <c r="I1317" i="15"/>
  <c r="B1317" i="15"/>
  <c r="AQ1316" i="15"/>
  <c r="M1316" i="15"/>
  <c r="AM1316" i="15"/>
  <c r="C1316" i="15"/>
  <c r="X1316" i="15"/>
  <c r="AA1316" i="15"/>
  <c r="H1316" i="15"/>
  <c r="L1316" i="15"/>
  <c r="Q1316" i="15"/>
  <c r="D1316" i="15"/>
  <c r="G1316" i="15"/>
  <c r="U1316" i="15"/>
  <c r="AL1316" i="15"/>
  <c r="Z1316" i="15"/>
  <c r="K1316" i="15"/>
  <c r="P1316" i="15"/>
  <c r="F1316" i="15"/>
  <c r="T1316" i="15"/>
  <c r="W1316" i="15"/>
  <c r="AK1316" i="15"/>
  <c r="Y1316" i="15"/>
  <c r="J1316" i="15"/>
  <c r="O1316" i="15"/>
  <c r="E1316" i="15"/>
  <c r="S1316" i="15"/>
  <c r="AJ1316" i="15"/>
  <c r="AI1316" i="15"/>
  <c r="AH1316" i="15"/>
  <c r="AG1316" i="15"/>
  <c r="AC1316" i="15"/>
  <c r="N1316" i="15"/>
  <c r="I1316" i="15"/>
  <c r="B1316" i="15"/>
  <c r="AQ1315" i="15"/>
  <c r="M1315" i="15"/>
  <c r="AM1315" i="15"/>
  <c r="C1315" i="15"/>
  <c r="X1315" i="15"/>
  <c r="AA1315" i="15"/>
  <c r="H1315" i="15"/>
  <c r="L1315" i="15"/>
  <c r="Q1315" i="15"/>
  <c r="D1315" i="15"/>
  <c r="G1315" i="15"/>
  <c r="U1315" i="15"/>
  <c r="AL1315" i="15"/>
  <c r="Z1315" i="15"/>
  <c r="K1315" i="15"/>
  <c r="P1315" i="15"/>
  <c r="F1315" i="15"/>
  <c r="T1315" i="15"/>
  <c r="W1315" i="15"/>
  <c r="AK1315" i="15"/>
  <c r="Y1315" i="15"/>
  <c r="J1315" i="15"/>
  <c r="O1315" i="15"/>
  <c r="E1315" i="15"/>
  <c r="S1315" i="15"/>
  <c r="AJ1315" i="15"/>
  <c r="AI1315" i="15"/>
  <c r="AH1315" i="15"/>
  <c r="AG1315" i="15"/>
  <c r="AC1315" i="15"/>
  <c r="N1315" i="15"/>
  <c r="I1315" i="15"/>
  <c r="B1315" i="15"/>
  <c r="AQ1314" i="15"/>
  <c r="M1314" i="15"/>
  <c r="AM1314" i="15"/>
  <c r="C1314" i="15"/>
  <c r="X1314" i="15"/>
  <c r="AA1314" i="15"/>
  <c r="H1314" i="15"/>
  <c r="L1314" i="15"/>
  <c r="Q1314" i="15"/>
  <c r="D1314" i="15"/>
  <c r="G1314" i="15"/>
  <c r="U1314" i="15"/>
  <c r="AL1314" i="15"/>
  <c r="Z1314" i="15"/>
  <c r="K1314" i="15"/>
  <c r="P1314" i="15"/>
  <c r="F1314" i="15"/>
  <c r="T1314" i="15"/>
  <c r="W1314" i="15"/>
  <c r="Y1314" i="15"/>
  <c r="J1314" i="15"/>
  <c r="O1314" i="15"/>
  <c r="E1314" i="15"/>
  <c r="S1314" i="15"/>
  <c r="AI1314" i="15"/>
  <c r="AC1314" i="15"/>
  <c r="N1314" i="15"/>
  <c r="I1314" i="15"/>
  <c r="B1314" i="15"/>
  <c r="AQ1313" i="15"/>
  <c r="M1313" i="15"/>
  <c r="AM1313" i="15"/>
  <c r="C1313" i="15"/>
  <c r="X1313" i="15"/>
  <c r="AA1313" i="15"/>
  <c r="H1313" i="15"/>
  <c r="L1313" i="15"/>
  <c r="Q1313" i="15"/>
  <c r="D1313" i="15"/>
  <c r="G1313" i="15"/>
  <c r="U1313" i="15"/>
  <c r="AL1313" i="15"/>
  <c r="Z1313" i="15"/>
  <c r="K1313" i="15"/>
  <c r="P1313" i="15"/>
  <c r="F1313" i="15"/>
  <c r="T1313" i="15"/>
  <c r="W1313" i="15"/>
  <c r="Y1313" i="15"/>
  <c r="J1313" i="15"/>
  <c r="O1313" i="15"/>
  <c r="E1313" i="15"/>
  <c r="S1313" i="15"/>
  <c r="AI1313" i="15"/>
  <c r="AC1313" i="15"/>
  <c r="N1313" i="15"/>
  <c r="I1313" i="15"/>
  <c r="B1313" i="15"/>
  <c r="AQ1312" i="15"/>
  <c r="M1312" i="15"/>
  <c r="AM1312" i="15"/>
  <c r="C1312" i="15"/>
  <c r="X1312" i="15"/>
  <c r="AA1312" i="15"/>
  <c r="H1312" i="15"/>
  <c r="L1312" i="15"/>
  <c r="Q1312" i="15"/>
  <c r="D1312" i="15"/>
  <c r="G1312" i="15"/>
  <c r="U1312" i="15"/>
  <c r="AL1312" i="15"/>
  <c r="Z1312" i="15"/>
  <c r="K1312" i="15"/>
  <c r="P1312" i="15"/>
  <c r="F1312" i="15"/>
  <c r="T1312" i="15"/>
  <c r="W1312" i="15"/>
  <c r="AK1312" i="15"/>
  <c r="Y1312" i="15"/>
  <c r="J1312" i="15"/>
  <c r="O1312" i="15"/>
  <c r="E1312" i="15"/>
  <c r="S1312" i="15"/>
  <c r="AJ1312" i="15"/>
  <c r="AI1312" i="15"/>
  <c r="AH1312" i="15"/>
  <c r="AG1312" i="15"/>
  <c r="AC1312" i="15"/>
  <c r="N1312" i="15"/>
  <c r="I1312" i="15"/>
  <c r="B1312" i="15"/>
  <c r="AQ1311" i="15"/>
  <c r="M1311" i="15"/>
  <c r="AM1311" i="15"/>
  <c r="C1311" i="15"/>
  <c r="X1311" i="15"/>
  <c r="AA1311" i="15"/>
  <c r="H1311" i="15"/>
  <c r="L1311" i="15"/>
  <c r="Q1311" i="15"/>
  <c r="D1311" i="15"/>
  <c r="G1311" i="15"/>
  <c r="U1311" i="15"/>
  <c r="AL1311" i="15"/>
  <c r="Z1311" i="15"/>
  <c r="K1311" i="15"/>
  <c r="P1311" i="15"/>
  <c r="F1311" i="15"/>
  <c r="T1311" i="15"/>
  <c r="W1311" i="15"/>
  <c r="AK1311" i="15"/>
  <c r="Y1311" i="15"/>
  <c r="J1311" i="15"/>
  <c r="O1311" i="15"/>
  <c r="E1311" i="15"/>
  <c r="S1311" i="15"/>
  <c r="AJ1311" i="15"/>
  <c r="AI1311" i="15"/>
  <c r="AH1311" i="15"/>
  <c r="AG1311" i="15"/>
  <c r="AC1311" i="15"/>
  <c r="N1311" i="15"/>
  <c r="I1311" i="15"/>
  <c r="B1311" i="15"/>
  <c r="AQ1310" i="15"/>
  <c r="M1310" i="15"/>
  <c r="AM1310" i="15"/>
  <c r="C1310" i="15"/>
  <c r="X1310" i="15"/>
  <c r="AA1310" i="15"/>
  <c r="H1310" i="15"/>
  <c r="L1310" i="15"/>
  <c r="Q1310" i="15"/>
  <c r="D1310" i="15"/>
  <c r="G1310" i="15"/>
  <c r="U1310" i="15"/>
  <c r="AL1310" i="15"/>
  <c r="Z1310" i="15"/>
  <c r="K1310" i="15"/>
  <c r="P1310" i="15"/>
  <c r="F1310" i="15"/>
  <c r="T1310" i="15"/>
  <c r="W1310" i="15"/>
  <c r="Y1310" i="15"/>
  <c r="J1310" i="15"/>
  <c r="O1310" i="15"/>
  <c r="E1310" i="15"/>
  <c r="S1310" i="15"/>
  <c r="AI1310" i="15"/>
  <c r="AC1310" i="15"/>
  <c r="N1310" i="15"/>
  <c r="I1310" i="15"/>
  <c r="B1310" i="15"/>
  <c r="AQ1309" i="15"/>
  <c r="M1309" i="15"/>
  <c r="AM1309" i="15"/>
  <c r="C1309" i="15"/>
  <c r="X1309" i="15"/>
  <c r="AA1309" i="15"/>
  <c r="H1309" i="15"/>
  <c r="L1309" i="15"/>
  <c r="Q1309" i="15"/>
  <c r="D1309" i="15"/>
  <c r="G1309" i="15"/>
  <c r="U1309" i="15"/>
  <c r="AL1309" i="15"/>
  <c r="Z1309" i="15"/>
  <c r="K1309" i="15"/>
  <c r="P1309" i="15"/>
  <c r="F1309" i="15"/>
  <c r="T1309" i="15"/>
  <c r="W1309" i="15"/>
  <c r="Y1309" i="15"/>
  <c r="J1309" i="15"/>
  <c r="O1309" i="15"/>
  <c r="E1309" i="15"/>
  <c r="S1309" i="15"/>
  <c r="AI1309" i="15"/>
  <c r="AC1309" i="15"/>
  <c r="N1309" i="15"/>
  <c r="I1309" i="15"/>
  <c r="B1309" i="15"/>
  <c r="AQ1308" i="15"/>
  <c r="M1308" i="15"/>
  <c r="AM1308" i="15"/>
  <c r="C1308" i="15"/>
  <c r="X1308" i="15"/>
  <c r="AA1308" i="15"/>
  <c r="H1308" i="15"/>
  <c r="L1308" i="15"/>
  <c r="Q1308" i="15"/>
  <c r="D1308" i="15"/>
  <c r="G1308" i="15"/>
  <c r="U1308" i="15"/>
  <c r="AL1308" i="15"/>
  <c r="Z1308" i="15"/>
  <c r="K1308" i="15"/>
  <c r="P1308" i="15"/>
  <c r="F1308" i="15"/>
  <c r="T1308" i="15"/>
  <c r="W1308" i="15"/>
  <c r="AK1308" i="15"/>
  <c r="Y1308" i="15"/>
  <c r="J1308" i="15"/>
  <c r="O1308" i="15"/>
  <c r="E1308" i="15"/>
  <c r="S1308" i="15"/>
  <c r="AJ1308" i="15"/>
  <c r="AI1308" i="15"/>
  <c r="AH1308" i="15"/>
  <c r="AG1308" i="15"/>
  <c r="AC1308" i="15"/>
  <c r="N1308" i="15"/>
  <c r="I1308" i="15"/>
  <c r="B1308" i="15"/>
  <c r="AQ1307" i="15"/>
  <c r="M1307" i="15"/>
  <c r="AM1307" i="15"/>
  <c r="C1307" i="15"/>
  <c r="X1307" i="15"/>
  <c r="AA1307" i="15"/>
  <c r="H1307" i="15"/>
  <c r="L1307" i="15"/>
  <c r="Q1307" i="15"/>
  <c r="D1307" i="15"/>
  <c r="G1307" i="15"/>
  <c r="U1307" i="15"/>
  <c r="AL1307" i="15"/>
  <c r="Z1307" i="15"/>
  <c r="K1307" i="15"/>
  <c r="P1307" i="15"/>
  <c r="F1307" i="15"/>
  <c r="T1307" i="15"/>
  <c r="W1307" i="15"/>
  <c r="AK1307" i="15"/>
  <c r="Y1307" i="15"/>
  <c r="J1307" i="15"/>
  <c r="O1307" i="15"/>
  <c r="E1307" i="15"/>
  <c r="S1307" i="15"/>
  <c r="AJ1307" i="15"/>
  <c r="AI1307" i="15"/>
  <c r="AH1307" i="15"/>
  <c r="AG1307" i="15"/>
  <c r="AC1307" i="15"/>
  <c r="N1307" i="15"/>
  <c r="I1307" i="15"/>
  <c r="B1307" i="15"/>
  <c r="AQ1573" i="15"/>
  <c r="AM1573" i="15"/>
  <c r="C1573" i="15"/>
  <c r="X1573" i="15"/>
  <c r="AA1573" i="15"/>
  <c r="H1573" i="15"/>
  <c r="L1573" i="15"/>
  <c r="Q1573" i="15"/>
  <c r="D1573" i="15"/>
  <c r="G1573" i="15"/>
  <c r="U1573" i="15"/>
  <c r="AL1573" i="15"/>
  <c r="Z1573" i="15"/>
  <c r="P1573" i="15"/>
  <c r="F1573" i="15"/>
  <c r="T1573" i="15"/>
  <c r="W1573" i="15"/>
  <c r="AK1573" i="15"/>
  <c r="Y1573" i="15"/>
  <c r="O1573" i="15"/>
  <c r="E1573" i="15"/>
  <c r="S1573" i="15"/>
  <c r="AJ1573" i="15"/>
  <c r="AI1573" i="15"/>
  <c r="AH1573" i="15"/>
  <c r="AG1573" i="15"/>
  <c r="AC1573" i="15"/>
  <c r="N1573" i="15"/>
  <c r="I1573" i="15"/>
  <c r="B1573" i="15"/>
  <c r="AQ1572" i="15"/>
  <c r="AM1572" i="15"/>
  <c r="C1572" i="15"/>
  <c r="X1572" i="15"/>
  <c r="AA1572" i="15"/>
  <c r="H1572" i="15"/>
  <c r="L1572" i="15"/>
  <c r="Q1572" i="15"/>
  <c r="D1572" i="15"/>
  <c r="G1572" i="15"/>
  <c r="U1572" i="15"/>
  <c r="AL1572" i="15"/>
  <c r="Z1572" i="15"/>
  <c r="P1572" i="15"/>
  <c r="F1572" i="15"/>
  <c r="T1572" i="15"/>
  <c r="W1572" i="15"/>
  <c r="AK1572" i="15"/>
  <c r="Y1572" i="15"/>
  <c r="O1572" i="15"/>
  <c r="E1572" i="15"/>
  <c r="S1572" i="15"/>
  <c r="AJ1572" i="15"/>
  <c r="AI1572" i="15"/>
  <c r="AH1572" i="15"/>
  <c r="AG1572" i="15"/>
  <c r="AC1572" i="15"/>
  <c r="N1572" i="15"/>
  <c r="I1572" i="15"/>
  <c r="B1572" i="15"/>
  <c r="AQ1571" i="15"/>
  <c r="AM1571" i="15"/>
  <c r="C1571" i="15"/>
  <c r="X1571" i="15"/>
  <c r="AA1571" i="15"/>
  <c r="H1571" i="15"/>
  <c r="L1571" i="15"/>
  <c r="Q1571" i="15"/>
  <c r="D1571" i="15"/>
  <c r="G1571" i="15"/>
  <c r="U1571" i="15"/>
  <c r="AL1571" i="15"/>
  <c r="Z1571" i="15"/>
  <c r="P1571" i="15"/>
  <c r="F1571" i="15"/>
  <c r="T1571" i="15"/>
  <c r="W1571" i="15"/>
  <c r="AK1571" i="15"/>
  <c r="Y1571" i="15"/>
  <c r="O1571" i="15"/>
  <c r="E1571" i="15"/>
  <c r="S1571" i="15"/>
  <c r="AJ1571" i="15"/>
  <c r="AI1571" i="15"/>
  <c r="AH1571" i="15"/>
  <c r="AG1571" i="15"/>
  <c r="AC1571" i="15"/>
  <c r="N1571" i="15"/>
  <c r="I1571" i="15"/>
  <c r="B1571" i="15"/>
  <c r="AQ1570" i="15"/>
  <c r="AM1570" i="15"/>
  <c r="C1570" i="15"/>
  <c r="X1570" i="15"/>
  <c r="AA1570" i="15"/>
  <c r="H1570" i="15"/>
  <c r="L1570" i="15"/>
  <c r="Q1570" i="15"/>
  <c r="D1570" i="15"/>
  <c r="G1570" i="15"/>
  <c r="U1570" i="15"/>
  <c r="AL1570" i="15"/>
  <c r="Z1570" i="15"/>
  <c r="P1570" i="15"/>
  <c r="F1570" i="15"/>
  <c r="T1570" i="15"/>
  <c r="W1570" i="15"/>
  <c r="AK1570" i="15"/>
  <c r="Y1570" i="15"/>
  <c r="O1570" i="15"/>
  <c r="E1570" i="15"/>
  <c r="S1570" i="15"/>
  <c r="AJ1570" i="15"/>
  <c r="AI1570" i="15"/>
  <c r="AH1570" i="15"/>
  <c r="AG1570" i="15"/>
  <c r="AC1570" i="15"/>
  <c r="N1570" i="15"/>
  <c r="I1570" i="15"/>
  <c r="B1570" i="15"/>
  <c r="AQ1298" i="15"/>
  <c r="M1298" i="15"/>
  <c r="AM1298" i="15"/>
  <c r="C1298" i="15"/>
  <c r="X1298" i="15"/>
  <c r="AA1298" i="15"/>
  <c r="H1298" i="15"/>
  <c r="L1298" i="15"/>
  <c r="Q1298" i="15"/>
  <c r="D1298" i="15"/>
  <c r="G1298" i="15"/>
  <c r="U1298" i="15"/>
  <c r="AL1298" i="15"/>
  <c r="Z1298" i="15"/>
  <c r="K1298" i="15"/>
  <c r="P1298" i="15"/>
  <c r="F1298" i="15"/>
  <c r="T1298" i="15"/>
  <c r="W1298" i="15"/>
  <c r="AK1298" i="15"/>
  <c r="Y1298" i="15"/>
  <c r="J1298" i="15"/>
  <c r="O1298" i="15"/>
  <c r="E1298" i="15"/>
  <c r="S1298" i="15"/>
  <c r="AJ1298" i="15"/>
  <c r="AI1298" i="15"/>
  <c r="AH1298" i="15"/>
  <c r="AG1298" i="15"/>
  <c r="AC1298" i="15"/>
  <c r="N1298" i="15"/>
  <c r="I1298" i="15"/>
  <c r="B1298" i="15"/>
  <c r="AQ1459" i="15"/>
  <c r="M1459" i="15"/>
  <c r="AM1459" i="15"/>
  <c r="C1459" i="15"/>
  <c r="X1459" i="15"/>
  <c r="AA1459" i="15"/>
  <c r="H1459" i="15"/>
  <c r="L1459" i="15"/>
  <c r="Q1459" i="15"/>
  <c r="D1459" i="15"/>
  <c r="G1459" i="15"/>
  <c r="U1459" i="15"/>
  <c r="AL1459" i="15"/>
  <c r="Z1459" i="15"/>
  <c r="K1459" i="15"/>
  <c r="P1459" i="15"/>
  <c r="F1459" i="15"/>
  <c r="T1459" i="15"/>
  <c r="W1459" i="15"/>
  <c r="AK1459" i="15"/>
  <c r="Y1459" i="15"/>
  <c r="J1459" i="15"/>
  <c r="O1459" i="15"/>
  <c r="E1459" i="15"/>
  <c r="S1459" i="15"/>
  <c r="AJ1459" i="15"/>
  <c r="AI1459" i="15"/>
  <c r="AH1459" i="15"/>
  <c r="AG1459" i="15"/>
  <c r="AC1459" i="15"/>
  <c r="N1459" i="15"/>
  <c r="I1459" i="15"/>
  <c r="B1459" i="15"/>
  <c r="AQ1458" i="15"/>
  <c r="M1458" i="15"/>
  <c r="AM1458" i="15"/>
  <c r="C1458" i="15"/>
  <c r="X1458" i="15"/>
  <c r="AA1458" i="15"/>
  <c r="H1458" i="15"/>
  <c r="L1458" i="15"/>
  <c r="Q1458" i="15"/>
  <c r="D1458" i="15"/>
  <c r="G1458" i="15"/>
  <c r="U1458" i="15"/>
  <c r="AL1458" i="15"/>
  <c r="Z1458" i="15"/>
  <c r="K1458" i="15"/>
  <c r="P1458" i="15"/>
  <c r="F1458" i="15"/>
  <c r="T1458" i="15"/>
  <c r="W1458" i="15"/>
  <c r="AK1458" i="15"/>
  <c r="Y1458" i="15"/>
  <c r="J1458" i="15"/>
  <c r="O1458" i="15"/>
  <c r="E1458" i="15"/>
  <c r="S1458" i="15"/>
  <c r="AJ1458" i="15"/>
  <c r="AI1458" i="15"/>
  <c r="AH1458" i="15"/>
  <c r="AG1458" i="15"/>
  <c r="AC1458" i="15"/>
  <c r="N1458" i="15"/>
  <c r="I1458" i="15"/>
  <c r="B1458" i="15"/>
  <c r="AQ1457" i="15"/>
  <c r="M1457" i="15"/>
  <c r="AM1457" i="15"/>
  <c r="C1457" i="15"/>
  <c r="X1457" i="15"/>
  <c r="AA1457" i="15"/>
  <c r="H1457" i="15"/>
  <c r="L1457" i="15"/>
  <c r="Q1457" i="15"/>
  <c r="D1457" i="15"/>
  <c r="G1457" i="15"/>
  <c r="U1457" i="15"/>
  <c r="AL1457" i="15"/>
  <c r="Z1457" i="15"/>
  <c r="K1457" i="15"/>
  <c r="P1457" i="15"/>
  <c r="F1457" i="15"/>
  <c r="T1457" i="15"/>
  <c r="W1457" i="15"/>
  <c r="AK1457" i="15"/>
  <c r="Y1457" i="15"/>
  <c r="J1457" i="15"/>
  <c r="O1457" i="15"/>
  <c r="E1457" i="15"/>
  <c r="S1457" i="15"/>
  <c r="AJ1457" i="15"/>
  <c r="AI1457" i="15"/>
  <c r="AH1457" i="15"/>
  <c r="AG1457" i="15"/>
  <c r="AC1457" i="15"/>
  <c r="N1457" i="15"/>
  <c r="I1457" i="15"/>
  <c r="B1457" i="15"/>
  <c r="AQ1456" i="15"/>
  <c r="M1456" i="15"/>
  <c r="AM1456" i="15"/>
  <c r="C1456" i="15"/>
  <c r="X1456" i="15"/>
  <c r="AA1456" i="15"/>
  <c r="H1456" i="15"/>
  <c r="L1456" i="15"/>
  <c r="Q1456" i="15"/>
  <c r="D1456" i="15"/>
  <c r="G1456" i="15"/>
  <c r="U1456" i="15"/>
  <c r="AL1456" i="15"/>
  <c r="Z1456" i="15"/>
  <c r="K1456" i="15"/>
  <c r="P1456" i="15"/>
  <c r="F1456" i="15"/>
  <c r="T1456" i="15"/>
  <c r="W1456" i="15"/>
  <c r="AK1456" i="15"/>
  <c r="Y1456" i="15"/>
  <c r="J1456" i="15"/>
  <c r="O1456" i="15"/>
  <c r="E1456" i="15"/>
  <c r="S1456" i="15"/>
  <c r="AJ1456" i="15"/>
  <c r="AI1456" i="15"/>
  <c r="AH1456" i="15"/>
  <c r="AG1456" i="15"/>
  <c r="AC1456" i="15"/>
  <c r="N1456" i="15"/>
  <c r="I1456" i="15"/>
  <c r="B1456" i="15"/>
  <c r="AQ1577" i="15"/>
  <c r="C1577" i="15"/>
  <c r="AA1577" i="15"/>
  <c r="H1577" i="15"/>
  <c r="L1577" i="15"/>
  <c r="Q1577" i="15"/>
  <c r="D1577" i="15"/>
  <c r="G1577" i="15"/>
  <c r="U1577" i="15"/>
  <c r="Z1577" i="15"/>
  <c r="P1577" i="15"/>
  <c r="F1577" i="15"/>
  <c r="T1577" i="15"/>
  <c r="W1577" i="15"/>
  <c r="Y1577" i="15"/>
  <c r="O1577" i="15"/>
  <c r="E1577" i="15"/>
  <c r="S1577" i="15"/>
  <c r="AC1577" i="15"/>
  <c r="N1577" i="15"/>
  <c r="I1577" i="15"/>
  <c r="B1577" i="15"/>
  <c r="AQ1576" i="15"/>
  <c r="C1576" i="15"/>
  <c r="AA1576" i="15"/>
  <c r="H1576" i="15"/>
  <c r="L1576" i="15"/>
  <c r="Q1576" i="15"/>
  <c r="D1576" i="15"/>
  <c r="G1576" i="15"/>
  <c r="U1576" i="15"/>
  <c r="Z1576" i="15"/>
  <c r="P1576" i="15"/>
  <c r="F1576" i="15"/>
  <c r="T1576" i="15"/>
  <c r="W1576" i="15"/>
  <c r="Y1576" i="15"/>
  <c r="O1576" i="15"/>
  <c r="E1576" i="15"/>
  <c r="S1576" i="15"/>
  <c r="AC1576" i="15"/>
  <c r="N1576" i="15"/>
  <c r="I1576" i="15"/>
  <c r="B1576" i="15"/>
  <c r="AQ1575" i="15"/>
  <c r="C1575" i="15"/>
  <c r="AA1575" i="15"/>
  <c r="H1575" i="15"/>
  <c r="L1575" i="15"/>
  <c r="Q1575" i="15"/>
  <c r="D1575" i="15"/>
  <c r="G1575" i="15"/>
  <c r="U1575" i="15"/>
  <c r="Z1575" i="15"/>
  <c r="P1575" i="15"/>
  <c r="F1575" i="15"/>
  <c r="T1575" i="15"/>
  <c r="W1575" i="15"/>
  <c r="Y1575" i="15"/>
  <c r="O1575" i="15"/>
  <c r="E1575" i="15"/>
  <c r="S1575" i="15"/>
  <c r="AC1575" i="15"/>
  <c r="N1575" i="15"/>
  <c r="I1575" i="15"/>
  <c r="B1575" i="15"/>
  <c r="AQ1574" i="15"/>
  <c r="C1574" i="15"/>
  <c r="AA1574" i="15"/>
  <c r="H1574" i="15"/>
  <c r="L1574" i="15"/>
  <c r="Q1574" i="15"/>
  <c r="D1574" i="15"/>
  <c r="G1574" i="15"/>
  <c r="U1574" i="15"/>
  <c r="Z1574" i="15"/>
  <c r="P1574" i="15"/>
  <c r="F1574" i="15"/>
  <c r="T1574" i="15"/>
  <c r="W1574" i="15"/>
  <c r="Y1574" i="15"/>
  <c r="O1574" i="15"/>
  <c r="E1574" i="15"/>
  <c r="S1574" i="15"/>
  <c r="AC1574" i="15"/>
  <c r="N1574" i="15"/>
  <c r="I1574" i="15"/>
  <c r="B1574" i="15"/>
  <c r="AQ1306" i="15"/>
  <c r="M1306" i="15"/>
  <c r="AM1306" i="15"/>
  <c r="C1306" i="15"/>
  <c r="X1306" i="15"/>
  <c r="AA1306" i="15"/>
  <c r="H1306" i="15"/>
  <c r="L1306" i="15"/>
  <c r="Q1306" i="15"/>
  <c r="D1306" i="15"/>
  <c r="G1306" i="15"/>
  <c r="U1306" i="15"/>
  <c r="AL1306" i="15"/>
  <c r="Z1306" i="15"/>
  <c r="K1306" i="15"/>
  <c r="P1306" i="15"/>
  <c r="F1306" i="15"/>
  <c r="T1306" i="15"/>
  <c r="W1306" i="15"/>
  <c r="AK1306" i="15"/>
  <c r="Y1306" i="15"/>
  <c r="J1306" i="15"/>
  <c r="O1306" i="15"/>
  <c r="E1306" i="15"/>
  <c r="S1306" i="15"/>
  <c r="AJ1306" i="15"/>
  <c r="AI1306" i="15"/>
  <c r="AH1306" i="15"/>
  <c r="AG1306" i="15"/>
  <c r="AC1306" i="15"/>
  <c r="N1306" i="15"/>
  <c r="I1306" i="15"/>
  <c r="B1306" i="15"/>
  <c r="AQ1305" i="15"/>
  <c r="M1305" i="15"/>
  <c r="AM1305" i="15"/>
  <c r="C1305" i="15"/>
  <c r="X1305" i="15"/>
  <c r="AA1305" i="15"/>
  <c r="H1305" i="15"/>
  <c r="L1305" i="15"/>
  <c r="Q1305" i="15"/>
  <c r="D1305" i="15"/>
  <c r="G1305" i="15"/>
  <c r="U1305" i="15"/>
  <c r="AL1305" i="15"/>
  <c r="Z1305" i="15"/>
  <c r="K1305" i="15"/>
  <c r="P1305" i="15"/>
  <c r="F1305" i="15"/>
  <c r="T1305" i="15"/>
  <c r="W1305" i="15"/>
  <c r="AK1305" i="15"/>
  <c r="Y1305" i="15"/>
  <c r="J1305" i="15"/>
  <c r="O1305" i="15"/>
  <c r="E1305" i="15"/>
  <c r="S1305" i="15"/>
  <c r="AJ1305" i="15"/>
  <c r="AI1305" i="15"/>
  <c r="AH1305" i="15"/>
  <c r="AG1305" i="15"/>
  <c r="AC1305" i="15"/>
  <c r="N1305" i="15"/>
  <c r="I1305" i="15"/>
  <c r="B1305" i="15"/>
  <c r="AQ1304" i="15"/>
  <c r="M1304" i="15"/>
  <c r="AM1304" i="15"/>
  <c r="C1304" i="15"/>
  <c r="X1304" i="15"/>
  <c r="AA1304" i="15"/>
  <c r="H1304" i="15"/>
  <c r="L1304" i="15"/>
  <c r="Q1304" i="15"/>
  <c r="D1304" i="15"/>
  <c r="G1304" i="15"/>
  <c r="U1304" i="15"/>
  <c r="AL1304" i="15"/>
  <c r="Z1304" i="15"/>
  <c r="K1304" i="15"/>
  <c r="P1304" i="15"/>
  <c r="F1304" i="15"/>
  <c r="T1304" i="15"/>
  <c r="W1304" i="15"/>
  <c r="AK1304" i="15"/>
  <c r="Y1304" i="15"/>
  <c r="J1304" i="15"/>
  <c r="O1304" i="15"/>
  <c r="E1304" i="15"/>
  <c r="S1304" i="15"/>
  <c r="AJ1304" i="15"/>
  <c r="AI1304" i="15"/>
  <c r="AH1304" i="15"/>
  <c r="AG1304" i="15"/>
  <c r="AC1304" i="15"/>
  <c r="N1304" i="15"/>
  <c r="I1304" i="15"/>
  <c r="B1304" i="15"/>
  <c r="AQ1303" i="15"/>
  <c r="M1303" i="15"/>
  <c r="AM1303" i="15"/>
  <c r="C1303" i="15"/>
  <c r="X1303" i="15"/>
  <c r="AA1303" i="15"/>
  <c r="H1303" i="15"/>
  <c r="L1303" i="15"/>
  <c r="Q1303" i="15"/>
  <c r="D1303" i="15"/>
  <c r="G1303" i="15"/>
  <c r="U1303" i="15"/>
  <c r="AL1303" i="15"/>
  <c r="Z1303" i="15"/>
  <c r="K1303" i="15"/>
  <c r="P1303" i="15"/>
  <c r="F1303" i="15"/>
  <c r="T1303" i="15"/>
  <c r="W1303" i="15"/>
  <c r="AK1303" i="15"/>
  <c r="Y1303" i="15"/>
  <c r="J1303" i="15"/>
  <c r="O1303" i="15"/>
  <c r="E1303" i="15"/>
  <c r="S1303" i="15"/>
  <c r="AJ1303" i="15"/>
  <c r="AI1303" i="15"/>
  <c r="AH1303" i="15"/>
  <c r="AG1303" i="15"/>
  <c r="AC1303" i="15"/>
  <c r="N1303" i="15"/>
  <c r="I1303" i="15"/>
  <c r="B1303" i="15"/>
  <c r="AQ1302" i="15"/>
  <c r="M1302" i="15"/>
  <c r="AM1302" i="15"/>
  <c r="C1302" i="15"/>
  <c r="X1302" i="15"/>
  <c r="AA1302" i="15"/>
  <c r="H1302" i="15"/>
  <c r="L1302" i="15"/>
  <c r="Q1302" i="15"/>
  <c r="D1302" i="15"/>
  <c r="G1302" i="15"/>
  <c r="U1302" i="15"/>
  <c r="AL1302" i="15"/>
  <c r="Z1302" i="15"/>
  <c r="K1302" i="15"/>
  <c r="P1302" i="15"/>
  <c r="F1302" i="15"/>
  <c r="T1302" i="15"/>
  <c r="W1302" i="15"/>
  <c r="AK1302" i="15"/>
  <c r="Y1302" i="15"/>
  <c r="J1302" i="15"/>
  <c r="O1302" i="15"/>
  <c r="E1302" i="15"/>
  <c r="S1302" i="15"/>
  <c r="AJ1302" i="15"/>
  <c r="AI1302" i="15"/>
  <c r="AH1302" i="15"/>
  <c r="AG1302" i="15"/>
  <c r="AC1302" i="15"/>
  <c r="N1302" i="15"/>
  <c r="I1302" i="15"/>
  <c r="B1302" i="15"/>
  <c r="AQ1301" i="15"/>
  <c r="M1301" i="15"/>
  <c r="AM1301" i="15"/>
  <c r="C1301" i="15"/>
  <c r="X1301" i="15"/>
  <c r="AA1301" i="15"/>
  <c r="H1301" i="15"/>
  <c r="L1301" i="15"/>
  <c r="Q1301" i="15"/>
  <c r="D1301" i="15"/>
  <c r="G1301" i="15"/>
  <c r="U1301" i="15"/>
  <c r="AL1301" i="15"/>
  <c r="Z1301" i="15"/>
  <c r="K1301" i="15"/>
  <c r="P1301" i="15"/>
  <c r="F1301" i="15"/>
  <c r="T1301" i="15"/>
  <c r="W1301" i="15"/>
  <c r="AK1301" i="15"/>
  <c r="Y1301" i="15"/>
  <c r="J1301" i="15"/>
  <c r="O1301" i="15"/>
  <c r="E1301" i="15"/>
  <c r="S1301" i="15"/>
  <c r="AJ1301" i="15"/>
  <c r="AI1301" i="15"/>
  <c r="AH1301" i="15"/>
  <c r="AG1301" i="15"/>
  <c r="AC1301" i="15"/>
  <c r="N1301" i="15"/>
  <c r="I1301" i="15"/>
  <c r="B1301" i="15"/>
  <c r="AQ1300" i="15"/>
  <c r="M1300" i="15"/>
  <c r="AM1300" i="15"/>
  <c r="C1300" i="15"/>
  <c r="X1300" i="15"/>
  <c r="AA1300" i="15"/>
  <c r="H1300" i="15"/>
  <c r="L1300" i="15"/>
  <c r="Q1300" i="15"/>
  <c r="D1300" i="15"/>
  <c r="G1300" i="15"/>
  <c r="U1300" i="15"/>
  <c r="AL1300" i="15"/>
  <c r="Z1300" i="15"/>
  <c r="K1300" i="15"/>
  <c r="P1300" i="15"/>
  <c r="F1300" i="15"/>
  <c r="T1300" i="15"/>
  <c r="W1300" i="15"/>
  <c r="AK1300" i="15"/>
  <c r="Y1300" i="15"/>
  <c r="J1300" i="15"/>
  <c r="O1300" i="15"/>
  <c r="E1300" i="15"/>
  <c r="S1300" i="15"/>
  <c r="AJ1300" i="15"/>
  <c r="AI1300" i="15"/>
  <c r="AH1300" i="15"/>
  <c r="AG1300" i="15"/>
  <c r="AC1300" i="15"/>
  <c r="N1300" i="15"/>
  <c r="I1300" i="15"/>
  <c r="B1300" i="15"/>
  <c r="AQ1299" i="15"/>
  <c r="M1299" i="15"/>
  <c r="AM1299" i="15"/>
  <c r="C1299" i="15"/>
  <c r="X1299" i="15"/>
  <c r="AA1299" i="15"/>
  <c r="H1299" i="15"/>
  <c r="L1299" i="15"/>
  <c r="Q1299" i="15"/>
  <c r="D1299" i="15"/>
  <c r="G1299" i="15"/>
  <c r="U1299" i="15"/>
  <c r="AL1299" i="15"/>
  <c r="Z1299" i="15"/>
  <c r="K1299" i="15"/>
  <c r="P1299" i="15"/>
  <c r="F1299" i="15"/>
  <c r="T1299" i="15"/>
  <c r="W1299" i="15"/>
  <c r="AK1299" i="15"/>
  <c r="Y1299" i="15"/>
  <c r="J1299" i="15"/>
  <c r="O1299" i="15"/>
  <c r="E1299" i="15"/>
  <c r="S1299" i="15"/>
  <c r="AJ1299" i="15"/>
  <c r="AI1299" i="15"/>
  <c r="AH1299" i="15"/>
  <c r="AG1299" i="15"/>
  <c r="AC1299" i="15"/>
  <c r="N1299" i="15"/>
  <c r="I1299" i="15"/>
  <c r="B1299" i="15"/>
  <c r="AQ1297" i="15"/>
  <c r="M1297" i="15"/>
  <c r="AM1297" i="15"/>
  <c r="C1297" i="15"/>
  <c r="X1297" i="15"/>
  <c r="AA1297" i="15"/>
  <c r="H1297" i="15"/>
  <c r="L1297" i="15"/>
  <c r="Q1297" i="15"/>
  <c r="D1297" i="15"/>
  <c r="G1297" i="15"/>
  <c r="U1297" i="15"/>
  <c r="AL1297" i="15"/>
  <c r="Z1297" i="15"/>
  <c r="K1297" i="15"/>
  <c r="P1297" i="15"/>
  <c r="F1297" i="15"/>
  <c r="T1297" i="15"/>
  <c r="W1297" i="15"/>
  <c r="AK1297" i="15"/>
  <c r="Y1297" i="15"/>
  <c r="J1297" i="15"/>
  <c r="O1297" i="15"/>
  <c r="E1297" i="15"/>
  <c r="S1297" i="15"/>
  <c r="AJ1297" i="15"/>
  <c r="AI1297" i="15"/>
  <c r="AH1297" i="15"/>
  <c r="AG1297" i="15"/>
  <c r="AC1297" i="15"/>
  <c r="N1297" i="15"/>
  <c r="I1297" i="15"/>
  <c r="B1297" i="15"/>
  <c r="AQ1296" i="15"/>
  <c r="M1296" i="15"/>
  <c r="AM1296" i="15"/>
  <c r="C1296" i="15"/>
  <c r="X1296" i="15"/>
  <c r="AA1296" i="15"/>
  <c r="H1296" i="15"/>
  <c r="L1296" i="15"/>
  <c r="Q1296" i="15"/>
  <c r="D1296" i="15"/>
  <c r="G1296" i="15"/>
  <c r="U1296" i="15"/>
  <c r="AL1296" i="15"/>
  <c r="Z1296" i="15"/>
  <c r="K1296" i="15"/>
  <c r="P1296" i="15"/>
  <c r="F1296" i="15"/>
  <c r="T1296" i="15"/>
  <c r="W1296" i="15"/>
  <c r="AK1296" i="15"/>
  <c r="Y1296" i="15"/>
  <c r="J1296" i="15"/>
  <c r="O1296" i="15"/>
  <c r="E1296" i="15"/>
  <c r="S1296" i="15"/>
  <c r="AJ1296" i="15"/>
  <c r="AI1296" i="15"/>
  <c r="AH1296" i="15"/>
  <c r="AG1296" i="15"/>
  <c r="AC1296" i="15"/>
  <c r="N1296" i="15"/>
  <c r="I1296" i="15"/>
  <c r="B1296" i="15"/>
  <c r="AQ1563" i="15"/>
  <c r="AM1563" i="15"/>
  <c r="C1563" i="15"/>
  <c r="X1563" i="15"/>
  <c r="AA1563" i="15"/>
  <c r="H1563" i="15"/>
  <c r="L1563" i="15"/>
  <c r="Q1563" i="15"/>
  <c r="D1563" i="15"/>
  <c r="G1563" i="15"/>
  <c r="U1563" i="15"/>
  <c r="AL1563" i="15"/>
  <c r="Z1563" i="15"/>
  <c r="P1563" i="15"/>
  <c r="F1563" i="15"/>
  <c r="T1563" i="15"/>
  <c r="W1563" i="15"/>
  <c r="AK1563" i="15"/>
  <c r="Y1563" i="15"/>
  <c r="O1563" i="15"/>
  <c r="E1563" i="15"/>
  <c r="S1563" i="15"/>
  <c r="AJ1563" i="15"/>
  <c r="AI1563" i="15"/>
  <c r="AH1563" i="15"/>
  <c r="AG1563" i="15"/>
  <c r="AC1563" i="15"/>
  <c r="N1563" i="15"/>
  <c r="I1563" i="15"/>
  <c r="B1563" i="15"/>
  <c r="AQ1562" i="15"/>
  <c r="AM1562" i="15"/>
  <c r="C1562" i="15"/>
  <c r="X1562" i="15"/>
  <c r="AA1562" i="15"/>
  <c r="H1562" i="15"/>
  <c r="L1562" i="15"/>
  <c r="Q1562" i="15"/>
  <c r="D1562" i="15"/>
  <c r="G1562" i="15"/>
  <c r="U1562" i="15"/>
  <c r="AL1562" i="15"/>
  <c r="Z1562" i="15"/>
  <c r="P1562" i="15"/>
  <c r="F1562" i="15"/>
  <c r="T1562" i="15"/>
  <c r="W1562" i="15"/>
  <c r="AK1562" i="15"/>
  <c r="Y1562" i="15"/>
  <c r="O1562" i="15"/>
  <c r="E1562" i="15"/>
  <c r="S1562" i="15"/>
  <c r="AJ1562" i="15"/>
  <c r="AI1562" i="15"/>
  <c r="AH1562" i="15"/>
  <c r="AG1562" i="15"/>
  <c r="AC1562" i="15"/>
  <c r="N1562" i="15"/>
  <c r="I1562" i="15"/>
  <c r="B1562" i="15"/>
  <c r="AQ1561" i="15"/>
  <c r="AM1561" i="15"/>
  <c r="C1561" i="15"/>
  <c r="X1561" i="15"/>
  <c r="AA1561" i="15"/>
  <c r="H1561" i="15"/>
  <c r="L1561" i="15"/>
  <c r="Q1561" i="15"/>
  <c r="D1561" i="15"/>
  <c r="G1561" i="15"/>
  <c r="U1561" i="15"/>
  <c r="AL1561" i="15"/>
  <c r="Z1561" i="15"/>
  <c r="P1561" i="15"/>
  <c r="F1561" i="15"/>
  <c r="T1561" i="15"/>
  <c r="W1561" i="15"/>
  <c r="AK1561" i="15"/>
  <c r="Y1561" i="15"/>
  <c r="O1561" i="15"/>
  <c r="E1561" i="15"/>
  <c r="S1561" i="15"/>
  <c r="AJ1561" i="15"/>
  <c r="AI1561" i="15"/>
  <c r="AH1561" i="15"/>
  <c r="AG1561" i="15"/>
  <c r="AC1561" i="15"/>
  <c r="N1561" i="15"/>
  <c r="I1561" i="15"/>
  <c r="B1561" i="15"/>
  <c r="AQ1560" i="15"/>
  <c r="AM1560" i="15"/>
  <c r="C1560" i="15"/>
  <c r="X1560" i="15"/>
  <c r="AA1560" i="15"/>
  <c r="H1560" i="15"/>
  <c r="L1560" i="15"/>
  <c r="Q1560" i="15"/>
  <c r="D1560" i="15"/>
  <c r="G1560" i="15"/>
  <c r="U1560" i="15"/>
  <c r="AL1560" i="15"/>
  <c r="Z1560" i="15"/>
  <c r="P1560" i="15"/>
  <c r="F1560" i="15"/>
  <c r="T1560" i="15"/>
  <c r="W1560" i="15"/>
  <c r="AK1560" i="15"/>
  <c r="Y1560" i="15"/>
  <c r="O1560" i="15"/>
  <c r="E1560" i="15"/>
  <c r="S1560" i="15"/>
  <c r="AJ1560" i="15"/>
  <c r="AI1560" i="15"/>
  <c r="AH1560" i="15"/>
  <c r="AG1560" i="15"/>
  <c r="AC1560" i="15"/>
  <c r="N1560" i="15"/>
  <c r="I1560" i="15"/>
  <c r="B1560" i="15"/>
  <c r="B1216" i="15"/>
  <c r="C1216" i="15"/>
  <c r="D1216" i="15"/>
  <c r="E1216" i="15"/>
  <c r="F1216" i="15"/>
  <c r="G1216" i="15"/>
  <c r="H1216" i="15"/>
  <c r="I1216" i="15"/>
  <c r="J1216" i="15"/>
  <c r="K1216" i="15"/>
  <c r="L1216" i="15"/>
  <c r="M1216" i="15"/>
  <c r="N1216" i="15"/>
  <c r="O1216" i="15"/>
  <c r="P1216" i="15"/>
  <c r="Q1216" i="15"/>
  <c r="S1216" i="15"/>
  <c r="T1216" i="15"/>
  <c r="U1216" i="15"/>
  <c r="W1216" i="15"/>
  <c r="X1216" i="15"/>
  <c r="Y1216" i="15"/>
  <c r="Z1216" i="15"/>
  <c r="AA1216" i="15"/>
  <c r="AC1216" i="15"/>
  <c r="AG1216" i="15"/>
  <c r="AH1216" i="15"/>
  <c r="AI1216" i="15"/>
  <c r="AJ1216" i="15"/>
  <c r="AK1216" i="15"/>
  <c r="AL1216" i="15"/>
  <c r="AM1216" i="15"/>
  <c r="AQ1216" i="15"/>
  <c r="B1217" i="15"/>
  <c r="C1217" i="15"/>
  <c r="D1217" i="15"/>
  <c r="E1217" i="15"/>
  <c r="F1217" i="15"/>
  <c r="G1217" i="15"/>
  <c r="H1217" i="15"/>
  <c r="I1217" i="15"/>
  <c r="J1217" i="15"/>
  <c r="K1217" i="15"/>
  <c r="L1217" i="15"/>
  <c r="M1217" i="15"/>
  <c r="N1217" i="15"/>
  <c r="O1217" i="15"/>
  <c r="P1217" i="15"/>
  <c r="Q1217" i="15"/>
  <c r="S1217" i="15"/>
  <c r="T1217" i="15"/>
  <c r="U1217" i="15"/>
  <c r="W1217" i="15"/>
  <c r="X1217" i="15"/>
  <c r="Y1217" i="15"/>
  <c r="Z1217" i="15"/>
  <c r="AA1217" i="15"/>
  <c r="AC1217" i="15"/>
  <c r="AG1217" i="15"/>
  <c r="AH1217" i="15"/>
  <c r="AI1217" i="15"/>
  <c r="AJ1217" i="15"/>
  <c r="AK1217" i="15"/>
  <c r="AL1217" i="15"/>
  <c r="AM1217" i="15"/>
  <c r="AQ1217" i="15"/>
  <c r="B1218" i="15"/>
  <c r="C1218" i="15"/>
  <c r="D1218" i="15"/>
  <c r="E1218" i="15"/>
  <c r="F1218" i="15"/>
  <c r="G1218" i="15"/>
  <c r="H1218" i="15"/>
  <c r="I1218" i="15"/>
  <c r="J1218" i="15"/>
  <c r="K1218" i="15"/>
  <c r="L1218" i="15"/>
  <c r="M1218" i="15"/>
  <c r="N1218" i="15"/>
  <c r="O1218" i="15"/>
  <c r="P1218" i="15"/>
  <c r="Q1218" i="15"/>
  <c r="S1218" i="15"/>
  <c r="T1218" i="15"/>
  <c r="U1218" i="15"/>
  <c r="W1218" i="15"/>
  <c r="X1218" i="15"/>
  <c r="Y1218" i="15"/>
  <c r="Z1218" i="15"/>
  <c r="AA1218" i="15"/>
  <c r="AC1218" i="15"/>
  <c r="AG1218" i="15"/>
  <c r="AH1218" i="15"/>
  <c r="AI1218" i="15"/>
  <c r="AJ1218" i="15"/>
  <c r="AK1218" i="15"/>
  <c r="AL1218" i="15"/>
  <c r="AM1218" i="15"/>
  <c r="AQ1218" i="15"/>
  <c r="B1219" i="15"/>
  <c r="C1219" i="15"/>
  <c r="D1219" i="15"/>
  <c r="E1219" i="15"/>
  <c r="F1219" i="15"/>
  <c r="G1219" i="15"/>
  <c r="H1219" i="15"/>
  <c r="I1219" i="15"/>
  <c r="J1219" i="15"/>
  <c r="K1219" i="15"/>
  <c r="L1219" i="15"/>
  <c r="M1219" i="15"/>
  <c r="N1219" i="15"/>
  <c r="O1219" i="15"/>
  <c r="P1219" i="15"/>
  <c r="Q1219" i="15"/>
  <c r="S1219" i="15"/>
  <c r="T1219" i="15"/>
  <c r="U1219" i="15"/>
  <c r="W1219" i="15"/>
  <c r="X1219" i="15"/>
  <c r="Y1219" i="15"/>
  <c r="Z1219" i="15"/>
  <c r="AA1219" i="15"/>
  <c r="AC1219" i="15"/>
  <c r="AG1219" i="15"/>
  <c r="AH1219" i="15"/>
  <c r="AI1219" i="15"/>
  <c r="AJ1219" i="15"/>
  <c r="AK1219" i="15"/>
  <c r="AL1219" i="15"/>
  <c r="AM1219" i="15"/>
  <c r="AQ1219" i="15"/>
  <c r="B1220" i="15"/>
  <c r="C1220" i="15"/>
  <c r="D1220" i="15"/>
  <c r="E1220" i="15"/>
  <c r="F1220" i="15"/>
  <c r="G1220" i="15"/>
  <c r="H1220" i="15"/>
  <c r="I1220" i="15"/>
  <c r="J1220" i="15"/>
  <c r="K1220" i="15"/>
  <c r="L1220" i="15"/>
  <c r="M1220" i="15"/>
  <c r="N1220" i="15"/>
  <c r="O1220" i="15"/>
  <c r="P1220" i="15"/>
  <c r="Q1220" i="15"/>
  <c r="S1220" i="15"/>
  <c r="T1220" i="15"/>
  <c r="U1220" i="15"/>
  <c r="W1220" i="15"/>
  <c r="X1220" i="15"/>
  <c r="Y1220" i="15"/>
  <c r="Z1220" i="15"/>
  <c r="AA1220" i="15"/>
  <c r="AC1220" i="15"/>
  <c r="AG1220" i="15"/>
  <c r="AH1220" i="15"/>
  <c r="AI1220" i="15"/>
  <c r="AJ1220" i="15"/>
  <c r="AK1220" i="15"/>
  <c r="AL1220" i="15"/>
  <c r="AM1220" i="15"/>
  <c r="AQ1220" i="15"/>
  <c r="B1221" i="15"/>
  <c r="C1221" i="15"/>
  <c r="D1221" i="15"/>
  <c r="E1221" i="15"/>
  <c r="F1221" i="15"/>
  <c r="G1221" i="15"/>
  <c r="H1221" i="15"/>
  <c r="I1221" i="15"/>
  <c r="J1221" i="15"/>
  <c r="K1221" i="15"/>
  <c r="L1221" i="15"/>
  <c r="M1221" i="15"/>
  <c r="N1221" i="15"/>
  <c r="O1221" i="15"/>
  <c r="P1221" i="15"/>
  <c r="Q1221" i="15"/>
  <c r="S1221" i="15"/>
  <c r="T1221" i="15"/>
  <c r="U1221" i="15"/>
  <c r="W1221" i="15"/>
  <c r="X1221" i="15"/>
  <c r="Y1221" i="15"/>
  <c r="Z1221" i="15"/>
  <c r="AA1221" i="15"/>
  <c r="AC1221" i="15"/>
  <c r="AG1221" i="15"/>
  <c r="AH1221" i="15"/>
  <c r="AI1221" i="15"/>
  <c r="AJ1221" i="15"/>
  <c r="AK1221" i="15"/>
  <c r="AL1221" i="15"/>
  <c r="AM1221" i="15"/>
  <c r="AQ1221" i="15"/>
  <c r="B1222" i="15"/>
  <c r="C1222" i="15"/>
  <c r="D1222" i="15"/>
  <c r="E1222" i="15"/>
  <c r="F1222" i="15"/>
  <c r="G1222" i="15"/>
  <c r="H1222" i="15"/>
  <c r="I1222" i="15"/>
  <c r="J1222" i="15"/>
  <c r="K1222" i="15"/>
  <c r="L1222" i="15"/>
  <c r="M1222" i="15"/>
  <c r="N1222" i="15"/>
  <c r="O1222" i="15"/>
  <c r="P1222" i="15"/>
  <c r="Q1222" i="15"/>
  <c r="S1222" i="15"/>
  <c r="T1222" i="15"/>
  <c r="U1222" i="15"/>
  <c r="W1222" i="15"/>
  <c r="X1222" i="15"/>
  <c r="Y1222" i="15"/>
  <c r="Z1222" i="15"/>
  <c r="AA1222" i="15"/>
  <c r="AC1222" i="15"/>
  <c r="AG1222" i="15"/>
  <c r="AH1222" i="15"/>
  <c r="AI1222" i="15"/>
  <c r="AJ1222" i="15"/>
  <c r="AK1222" i="15"/>
  <c r="AL1222" i="15"/>
  <c r="AM1222" i="15"/>
  <c r="AQ1222" i="15"/>
  <c r="B1223" i="15"/>
  <c r="C1223" i="15"/>
  <c r="D1223" i="15"/>
  <c r="E1223" i="15"/>
  <c r="F1223" i="15"/>
  <c r="G1223" i="15"/>
  <c r="H1223" i="15"/>
  <c r="I1223" i="15"/>
  <c r="J1223" i="15"/>
  <c r="K1223" i="15"/>
  <c r="L1223" i="15"/>
  <c r="M1223" i="15"/>
  <c r="N1223" i="15"/>
  <c r="O1223" i="15"/>
  <c r="P1223" i="15"/>
  <c r="Q1223" i="15"/>
  <c r="S1223" i="15"/>
  <c r="T1223" i="15"/>
  <c r="U1223" i="15"/>
  <c r="W1223" i="15"/>
  <c r="X1223" i="15"/>
  <c r="Y1223" i="15"/>
  <c r="Z1223" i="15"/>
  <c r="AA1223" i="15"/>
  <c r="AC1223" i="15"/>
  <c r="AG1223" i="15"/>
  <c r="AH1223" i="15"/>
  <c r="AI1223" i="15"/>
  <c r="AJ1223" i="15"/>
  <c r="AK1223" i="15"/>
  <c r="AL1223" i="15"/>
  <c r="AM1223" i="15"/>
  <c r="AQ1223" i="15"/>
  <c r="B1224" i="15"/>
  <c r="C1224" i="15"/>
  <c r="D1224" i="15"/>
  <c r="E1224" i="15"/>
  <c r="F1224" i="15"/>
  <c r="G1224" i="15"/>
  <c r="H1224" i="15"/>
  <c r="I1224" i="15"/>
  <c r="J1224" i="15"/>
  <c r="K1224" i="15"/>
  <c r="L1224" i="15"/>
  <c r="M1224" i="15"/>
  <c r="N1224" i="15"/>
  <c r="O1224" i="15"/>
  <c r="P1224" i="15"/>
  <c r="Q1224" i="15"/>
  <c r="S1224" i="15"/>
  <c r="T1224" i="15"/>
  <c r="U1224" i="15"/>
  <c r="W1224" i="15"/>
  <c r="X1224" i="15"/>
  <c r="Y1224" i="15"/>
  <c r="Z1224" i="15"/>
  <c r="AA1224" i="15"/>
  <c r="AC1224" i="15"/>
  <c r="AG1224" i="15"/>
  <c r="AH1224" i="15"/>
  <c r="AI1224" i="15"/>
  <c r="AJ1224" i="15"/>
  <c r="AK1224" i="15"/>
  <c r="AL1224" i="15"/>
  <c r="AM1224" i="15"/>
  <c r="AQ1224" i="15"/>
  <c r="B1225" i="15"/>
  <c r="C1225" i="15"/>
  <c r="D1225" i="15"/>
  <c r="E1225" i="15"/>
  <c r="F1225" i="15"/>
  <c r="G1225" i="15"/>
  <c r="H1225" i="15"/>
  <c r="I1225" i="15"/>
  <c r="J1225" i="15"/>
  <c r="K1225" i="15"/>
  <c r="L1225" i="15"/>
  <c r="M1225" i="15"/>
  <c r="N1225" i="15"/>
  <c r="O1225" i="15"/>
  <c r="P1225" i="15"/>
  <c r="Q1225" i="15"/>
  <c r="S1225" i="15"/>
  <c r="T1225" i="15"/>
  <c r="U1225" i="15"/>
  <c r="W1225" i="15"/>
  <c r="X1225" i="15"/>
  <c r="Y1225" i="15"/>
  <c r="Z1225" i="15"/>
  <c r="AA1225" i="15"/>
  <c r="AC1225" i="15"/>
  <c r="AG1225" i="15"/>
  <c r="AH1225" i="15"/>
  <c r="AI1225" i="15"/>
  <c r="AJ1225" i="15"/>
  <c r="AK1225" i="15"/>
  <c r="AL1225" i="15"/>
  <c r="AM1225" i="15"/>
  <c r="AQ1225" i="15"/>
  <c r="B1226" i="15"/>
  <c r="C1226" i="15"/>
  <c r="D1226" i="15"/>
  <c r="E1226" i="15"/>
  <c r="F1226" i="15"/>
  <c r="G1226" i="15"/>
  <c r="H1226" i="15"/>
  <c r="I1226" i="15"/>
  <c r="J1226" i="15"/>
  <c r="K1226" i="15"/>
  <c r="L1226" i="15"/>
  <c r="M1226" i="15"/>
  <c r="N1226" i="15"/>
  <c r="O1226" i="15"/>
  <c r="P1226" i="15"/>
  <c r="Q1226" i="15"/>
  <c r="S1226" i="15"/>
  <c r="T1226" i="15"/>
  <c r="U1226" i="15"/>
  <c r="W1226" i="15"/>
  <c r="X1226" i="15"/>
  <c r="Y1226" i="15"/>
  <c r="Z1226" i="15"/>
  <c r="AA1226" i="15"/>
  <c r="AC1226" i="15"/>
  <c r="AG1226" i="15"/>
  <c r="AH1226" i="15"/>
  <c r="AI1226" i="15"/>
  <c r="AJ1226" i="15"/>
  <c r="AK1226" i="15"/>
  <c r="AL1226" i="15"/>
  <c r="AM1226" i="15"/>
  <c r="AQ1226" i="15"/>
  <c r="B1227" i="15"/>
  <c r="C1227" i="15"/>
  <c r="D1227" i="15"/>
  <c r="E1227" i="15"/>
  <c r="F1227" i="15"/>
  <c r="G1227" i="15"/>
  <c r="H1227" i="15"/>
  <c r="I1227" i="15"/>
  <c r="J1227" i="15"/>
  <c r="K1227" i="15"/>
  <c r="L1227" i="15"/>
  <c r="M1227" i="15"/>
  <c r="N1227" i="15"/>
  <c r="O1227" i="15"/>
  <c r="P1227" i="15"/>
  <c r="Q1227" i="15"/>
  <c r="S1227" i="15"/>
  <c r="T1227" i="15"/>
  <c r="U1227" i="15"/>
  <c r="W1227" i="15"/>
  <c r="X1227" i="15"/>
  <c r="Y1227" i="15"/>
  <c r="Z1227" i="15"/>
  <c r="AA1227" i="15"/>
  <c r="AC1227" i="15"/>
  <c r="AG1227" i="15"/>
  <c r="AH1227" i="15"/>
  <c r="AI1227" i="15"/>
  <c r="AJ1227" i="15"/>
  <c r="AK1227" i="15"/>
  <c r="AL1227" i="15"/>
  <c r="AM1227" i="15"/>
  <c r="AQ1227" i="15"/>
  <c r="B1228" i="15"/>
  <c r="C1228" i="15"/>
  <c r="D1228" i="15"/>
  <c r="E1228" i="15"/>
  <c r="F1228" i="15"/>
  <c r="G1228" i="15"/>
  <c r="H1228" i="15"/>
  <c r="I1228" i="15"/>
  <c r="J1228" i="15"/>
  <c r="K1228" i="15"/>
  <c r="L1228" i="15"/>
  <c r="M1228" i="15"/>
  <c r="N1228" i="15"/>
  <c r="O1228" i="15"/>
  <c r="P1228" i="15"/>
  <c r="Q1228" i="15"/>
  <c r="S1228" i="15"/>
  <c r="T1228" i="15"/>
  <c r="U1228" i="15"/>
  <c r="W1228" i="15"/>
  <c r="X1228" i="15"/>
  <c r="Y1228" i="15"/>
  <c r="Z1228" i="15"/>
  <c r="AA1228" i="15"/>
  <c r="AC1228" i="15"/>
  <c r="AG1228" i="15"/>
  <c r="AH1228" i="15"/>
  <c r="AI1228" i="15"/>
  <c r="AJ1228" i="15"/>
  <c r="AK1228" i="15"/>
  <c r="AL1228" i="15"/>
  <c r="AM1228" i="15"/>
  <c r="AQ1228" i="15"/>
  <c r="B1229" i="15"/>
  <c r="C1229" i="15"/>
  <c r="D1229" i="15"/>
  <c r="E1229" i="15"/>
  <c r="F1229" i="15"/>
  <c r="G1229" i="15"/>
  <c r="H1229" i="15"/>
  <c r="I1229" i="15"/>
  <c r="J1229" i="15"/>
  <c r="K1229" i="15"/>
  <c r="L1229" i="15"/>
  <c r="M1229" i="15"/>
  <c r="N1229" i="15"/>
  <c r="O1229" i="15"/>
  <c r="P1229" i="15"/>
  <c r="Q1229" i="15"/>
  <c r="S1229" i="15"/>
  <c r="T1229" i="15"/>
  <c r="U1229" i="15"/>
  <c r="W1229" i="15"/>
  <c r="X1229" i="15"/>
  <c r="Y1229" i="15"/>
  <c r="Z1229" i="15"/>
  <c r="AA1229" i="15"/>
  <c r="AC1229" i="15"/>
  <c r="AG1229" i="15"/>
  <c r="AH1229" i="15"/>
  <c r="AI1229" i="15"/>
  <c r="AJ1229" i="15"/>
  <c r="AK1229" i="15"/>
  <c r="AL1229" i="15"/>
  <c r="AM1229" i="15"/>
  <c r="AQ1229" i="15"/>
  <c r="B1230" i="15"/>
  <c r="C1230" i="15"/>
  <c r="D1230" i="15"/>
  <c r="E1230" i="15"/>
  <c r="F1230" i="15"/>
  <c r="G1230" i="15"/>
  <c r="H1230" i="15"/>
  <c r="I1230" i="15"/>
  <c r="J1230" i="15"/>
  <c r="K1230" i="15"/>
  <c r="L1230" i="15"/>
  <c r="M1230" i="15"/>
  <c r="N1230" i="15"/>
  <c r="O1230" i="15"/>
  <c r="P1230" i="15"/>
  <c r="Q1230" i="15"/>
  <c r="S1230" i="15"/>
  <c r="T1230" i="15"/>
  <c r="U1230" i="15"/>
  <c r="W1230" i="15"/>
  <c r="X1230" i="15"/>
  <c r="Y1230" i="15"/>
  <c r="Z1230" i="15"/>
  <c r="AA1230" i="15"/>
  <c r="AC1230" i="15"/>
  <c r="AG1230" i="15"/>
  <c r="AH1230" i="15"/>
  <c r="AI1230" i="15"/>
  <c r="AJ1230" i="15"/>
  <c r="AK1230" i="15"/>
  <c r="AL1230" i="15"/>
  <c r="AM1230" i="15"/>
  <c r="AQ1230" i="15"/>
  <c r="B1231" i="15"/>
  <c r="C1231" i="15"/>
  <c r="D1231" i="15"/>
  <c r="E1231" i="15"/>
  <c r="F1231" i="15"/>
  <c r="G1231" i="15"/>
  <c r="H1231" i="15"/>
  <c r="I1231" i="15"/>
  <c r="J1231" i="15"/>
  <c r="K1231" i="15"/>
  <c r="L1231" i="15"/>
  <c r="M1231" i="15"/>
  <c r="N1231" i="15"/>
  <c r="O1231" i="15"/>
  <c r="P1231" i="15"/>
  <c r="Q1231" i="15"/>
  <c r="S1231" i="15"/>
  <c r="T1231" i="15"/>
  <c r="U1231" i="15"/>
  <c r="W1231" i="15"/>
  <c r="X1231" i="15"/>
  <c r="Y1231" i="15"/>
  <c r="Z1231" i="15"/>
  <c r="AA1231" i="15"/>
  <c r="AC1231" i="15"/>
  <c r="AG1231" i="15"/>
  <c r="AH1231" i="15"/>
  <c r="AI1231" i="15"/>
  <c r="AJ1231" i="15"/>
  <c r="AK1231" i="15"/>
  <c r="AL1231" i="15"/>
  <c r="AM1231" i="15"/>
  <c r="AQ1231" i="15"/>
  <c r="B1232" i="15"/>
  <c r="C1232" i="15"/>
  <c r="D1232" i="15"/>
  <c r="E1232" i="15"/>
  <c r="F1232" i="15"/>
  <c r="G1232" i="15"/>
  <c r="H1232" i="15"/>
  <c r="I1232" i="15"/>
  <c r="J1232" i="15"/>
  <c r="K1232" i="15"/>
  <c r="L1232" i="15"/>
  <c r="M1232" i="15"/>
  <c r="N1232" i="15"/>
  <c r="O1232" i="15"/>
  <c r="P1232" i="15"/>
  <c r="Q1232" i="15"/>
  <c r="S1232" i="15"/>
  <c r="T1232" i="15"/>
  <c r="U1232" i="15"/>
  <c r="W1232" i="15"/>
  <c r="X1232" i="15"/>
  <c r="Y1232" i="15"/>
  <c r="Z1232" i="15"/>
  <c r="AA1232" i="15"/>
  <c r="AC1232" i="15"/>
  <c r="AG1232" i="15"/>
  <c r="AH1232" i="15"/>
  <c r="AI1232" i="15"/>
  <c r="AJ1232" i="15"/>
  <c r="AK1232" i="15"/>
  <c r="AL1232" i="15"/>
  <c r="AM1232" i="15"/>
  <c r="AQ1232" i="15"/>
  <c r="B1233" i="15"/>
  <c r="C1233" i="15"/>
  <c r="D1233" i="15"/>
  <c r="E1233" i="15"/>
  <c r="F1233" i="15"/>
  <c r="G1233" i="15"/>
  <c r="H1233" i="15"/>
  <c r="I1233" i="15"/>
  <c r="J1233" i="15"/>
  <c r="K1233" i="15"/>
  <c r="L1233" i="15"/>
  <c r="M1233" i="15"/>
  <c r="N1233" i="15"/>
  <c r="O1233" i="15"/>
  <c r="P1233" i="15"/>
  <c r="Q1233" i="15"/>
  <c r="S1233" i="15"/>
  <c r="T1233" i="15"/>
  <c r="U1233" i="15"/>
  <c r="W1233" i="15"/>
  <c r="X1233" i="15"/>
  <c r="Y1233" i="15"/>
  <c r="Z1233" i="15"/>
  <c r="AA1233" i="15"/>
  <c r="AC1233" i="15"/>
  <c r="AG1233" i="15"/>
  <c r="AH1233" i="15"/>
  <c r="AI1233" i="15"/>
  <c r="AJ1233" i="15"/>
  <c r="AK1233" i="15"/>
  <c r="AL1233" i="15"/>
  <c r="AM1233" i="15"/>
  <c r="AQ1233" i="15"/>
  <c r="B1234" i="15"/>
  <c r="C1234" i="15"/>
  <c r="D1234" i="15"/>
  <c r="E1234" i="15"/>
  <c r="F1234" i="15"/>
  <c r="G1234" i="15"/>
  <c r="H1234" i="15"/>
  <c r="I1234" i="15"/>
  <c r="J1234" i="15"/>
  <c r="K1234" i="15"/>
  <c r="L1234" i="15"/>
  <c r="M1234" i="15"/>
  <c r="N1234" i="15"/>
  <c r="O1234" i="15"/>
  <c r="P1234" i="15"/>
  <c r="Q1234" i="15"/>
  <c r="S1234" i="15"/>
  <c r="T1234" i="15"/>
  <c r="U1234" i="15"/>
  <c r="W1234" i="15"/>
  <c r="X1234" i="15"/>
  <c r="Y1234" i="15"/>
  <c r="Z1234" i="15"/>
  <c r="AA1234" i="15"/>
  <c r="AC1234" i="15"/>
  <c r="AG1234" i="15"/>
  <c r="AH1234" i="15"/>
  <c r="AI1234" i="15"/>
  <c r="AJ1234" i="15"/>
  <c r="AK1234" i="15"/>
  <c r="AL1234" i="15"/>
  <c r="AM1234" i="15"/>
  <c r="AQ1234" i="15"/>
  <c r="B1235" i="15"/>
  <c r="C1235" i="15"/>
  <c r="D1235" i="15"/>
  <c r="E1235" i="15"/>
  <c r="F1235" i="15"/>
  <c r="G1235" i="15"/>
  <c r="H1235" i="15"/>
  <c r="I1235" i="15"/>
  <c r="J1235" i="15"/>
  <c r="K1235" i="15"/>
  <c r="L1235" i="15"/>
  <c r="M1235" i="15"/>
  <c r="N1235" i="15"/>
  <c r="O1235" i="15"/>
  <c r="P1235" i="15"/>
  <c r="Q1235" i="15"/>
  <c r="S1235" i="15"/>
  <c r="T1235" i="15"/>
  <c r="U1235" i="15"/>
  <c r="W1235" i="15"/>
  <c r="X1235" i="15"/>
  <c r="Y1235" i="15"/>
  <c r="Z1235" i="15"/>
  <c r="AA1235" i="15"/>
  <c r="AC1235" i="15"/>
  <c r="AG1235" i="15"/>
  <c r="AH1235" i="15"/>
  <c r="AI1235" i="15"/>
  <c r="AJ1235" i="15"/>
  <c r="AK1235" i="15"/>
  <c r="AL1235" i="15"/>
  <c r="AM1235" i="15"/>
  <c r="AQ1235" i="15"/>
  <c r="B1236" i="15"/>
  <c r="C1236" i="15"/>
  <c r="D1236" i="15"/>
  <c r="E1236" i="15"/>
  <c r="F1236" i="15"/>
  <c r="G1236" i="15"/>
  <c r="H1236" i="15"/>
  <c r="I1236" i="15"/>
  <c r="J1236" i="15"/>
  <c r="K1236" i="15"/>
  <c r="L1236" i="15"/>
  <c r="M1236" i="15"/>
  <c r="N1236" i="15"/>
  <c r="O1236" i="15"/>
  <c r="P1236" i="15"/>
  <c r="Q1236" i="15"/>
  <c r="S1236" i="15"/>
  <c r="T1236" i="15"/>
  <c r="U1236" i="15"/>
  <c r="W1236" i="15"/>
  <c r="X1236" i="15"/>
  <c r="Y1236" i="15"/>
  <c r="Z1236" i="15"/>
  <c r="AA1236" i="15"/>
  <c r="AC1236" i="15"/>
  <c r="AG1236" i="15"/>
  <c r="AH1236" i="15"/>
  <c r="AI1236" i="15"/>
  <c r="AJ1236" i="15"/>
  <c r="AK1236" i="15"/>
  <c r="AL1236" i="15"/>
  <c r="AM1236" i="15"/>
  <c r="AQ1236" i="15"/>
  <c r="B1237" i="15"/>
  <c r="C1237" i="15"/>
  <c r="D1237" i="15"/>
  <c r="E1237" i="15"/>
  <c r="F1237" i="15"/>
  <c r="G1237" i="15"/>
  <c r="H1237" i="15"/>
  <c r="I1237" i="15"/>
  <c r="J1237" i="15"/>
  <c r="K1237" i="15"/>
  <c r="L1237" i="15"/>
  <c r="M1237" i="15"/>
  <c r="N1237" i="15"/>
  <c r="O1237" i="15"/>
  <c r="P1237" i="15"/>
  <c r="Q1237" i="15"/>
  <c r="S1237" i="15"/>
  <c r="T1237" i="15"/>
  <c r="U1237" i="15"/>
  <c r="W1237" i="15"/>
  <c r="X1237" i="15"/>
  <c r="Y1237" i="15"/>
  <c r="Z1237" i="15"/>
  <c r="AA1237" i="15"/>
  <c r="AC1237" i="15"/>
  <c r="AG1237" i="15"/>
  <c r="AH1237" i="15"/>
  <c r="AI1237" i="15"/>
  <c r="AJ1237" i="15"/>
  <c r="AK1237" i="15"/>
  <c r="AL1237" i="15"/>
  <c r="AM1237" i="15"/>
  <c r="AQ1237" i="15"/>
  <c r="B1238" i="15"/>
  <c r="C1238" i="15"/>
  <c r="D1238" i="15"/>
  <c r="E1238" i="15"/>
  <c r="F1238" i="15"/>
  <c r="G1238" i="15"/>
  <c r="H1238" i="15"/>
  <c r="I1238" i="15"/>
  <c r="J1238" i="15"/>
  <c r="K1238" i="15"/>
  <c r="L1238" i="15"/>
  <c r="M1238" i="15"/>
  <c r="N1238" i="15"/>
  <c r="O1238" i="15"/>
  <c r="P1238" i="15"/>
  <c r="Q1238" i="15"/>
  <c r="S1238" i="15"/>
  <c r="T1238" i="15"/>
  <c r="U1238" i="15"/>
  <c r="W1238" i="15"/>
  <c r="X1238" i="15"/>
  <c r="Y1238" i="15"/>
  <c r="Z1238" i="15"/>
  <c r="AA1238" i="15"/>
  <c r="AC1238" i="15"/>
  <c r="AG1238" i="15"/>
  <c r="AH1238" i="15"/>
  <c r="AI1238" i="15"/>
  <c r="AJ1238" i="15"/>
  <c r="AK1238" i="15"/>
  <c r="AL1238" i="15"/>
  <c r="AM1238" i="15"/>
  <c r="AQ1238" i="15"/>
  <c r="B1239" i="15"/>
  <c r="C1239" i="15"/>
  <c r="D1239" i="15"/>
  <c r="E1239" i="15"/>
  <c r="F1239" i="15"/>
  <c r="G1239" i="15"/>
  <c r="H1239" i="15"/>
  <c r="I1239" i="15"/>
  <c r="J1239" i="15"/>
  <c r="K1239" i="15"/>
  <c r="L1239" i="15"/>
  <c r="M1239" i="15"/>
  <c r="N1239" i="15"/>
  <c r="O1239" i="15"/>
  <c r="P1239" i="15"/>
  <c r="Q1239" i="15"/>
  <c r="S1239" i="15"/>
  <c r="T1239" i="15"/>
  <c r="U1239" i="15"/>
  <c r="W1239" i="15"/>
  <c r="X1239" i="15"/>
  <c r="Y1239" i="15"/>
  <c r="Z1239" i="15"/>
  <c r="AA1239" i="15"/>
  <c r="AC1239" i="15"/>
  <c r="AG1239" i="15"/>
  <c r="AH1239" i="15"/>
  <c r="AI1239" i="15"/>
  <c r="AJ1239" i="15"/>
  <c r="AK1239" i="15"/>
  <c r="AL1239" i="15"/>
  <c r="AM1239" i="15"/>
  <c r="AQ1239" i="15"/>
  <c r="B1240" i="15"/>
  <c r="C1240" i="15"/>
  <c r="D1240" i="15"/>
  <c r="E1240" i="15"/>
  <c r="F1240" i="15"/>
  <c r="G1240" i="15"/>
  <c r="H1240" i="15"/>
  <c r="I1240" i="15"/>
  <c r="J1240" i="15"/>
  <c r="K1240" i="15"/>
  <c r="L1240" i="15"/>
  <c r="M1240" i="15"/>
  <c r="N1240" i="15"/>
  <c r="O1240" i="15"/>
  <c r="P1240" i="15"/>
  <c r="Q1240" i="15"/>
  <c r="S1240" i="15"/>
  <c r="T1240" i="15"/>
  <c r="U1240" i="15"/>
  <c r="W1240" i="15"/>
  <c r="X1240" i="15"/>
  <c r="Y1240" i="15"/>
  <c r="Z1240" i="15"/>
  <c r="AA1240" i="15"/>
  <c r="AC1240" i="15"/>
  <c r="AG1240" i="15"/>
  <c r="AH1240" i="15"/>
  <c r="AI1240" i="15"/>
  <c r="AJ1240" i="15"/>
  <c r="AK1240" i="15"/>
  <c r="AL1240" i="15"/>
  <c r="AM1240" i="15"/>
  <c r="AQ1240" i="15"/>
  <c r="B1241" i="15"/>
  <c r="C1241" i="15"/>
  <c r="D1241" i="15"/>
  <c r="E1241" i="15"/>
  <c r="F1241" i="15"/>
  <c r="G1241" i="15"/>
  <c r="H1241" i="15"/>
  <c r="I1241" i="15"/>
  <c r="J1241" i="15"/>
  <c r="K1241" i="15"/>
  <c r="L1241" i="15"/>
  <c r="M1241" i="15"/>
  <c r="N1241" i="15"/>
  <c r="O1241" i="15"/>
  <c r="P1241" i="15"/>
  <c r="Q1241" i="15"/>
  <c r="S1241" i="15"/>
  <c r="T1241" i="15"/>
  <c r="U1241" i="15"/>
  <c r="W1241" i="15"/>
  <c r="X1241" i="15"/>
  <c r="Y1241" i="15"/>
  <c r="Z1241" i="15"/>
  <c r="AA1241" i="15"/>
  <c r="AC1241" i="15"/>
  <c r="AG1241" i="15"/>
  <c r="AH1241" i="15"/>
  <c r="AI1241" i="15"/>
  <c r="AJ1241" i="15"/>
  <c r="AK1241" i="15"/>
  <c r="AL1241" i="15"/>
  <c r="AM1241" i="15"/>
  <c r="AQ1241" i="15"/>
  <c r="B1242" i="15"/>
  <c r="C1242" i="15"/>
  <c r="D1242" i="15"/>
  <c r="E1242" i="15"/>
  <c r="F1242" i="15"/>
  <c r="G1242" i="15"/>
  <c r="H1242" i="15"/>
  <c r="I1242" i="15"/>
  <c r="J1242" i="15"/>
  <c r="K1242" i="15"/>
  <c r="L1242" i="15"/>
  <c r="M1242" i="15"/>
  <c r="N1242" i="15"/>
  <c r="O1242" i="15"/>
  <c r="P1242" i="15"/>
  <c r="Q1242" i="15"/>
  <c r="S1242" i="15"/>
  <c r="T1242" i="15"/>
  <c r="U1242" i="15"/>
  <c r="W1242" i="15"/>
  <c r="X1242" i="15"/>
  <c r="Y1242" i="15"/>
  <c r="Z1242" i="15"/>
  <c r="AA1242" i="15"/>
  <c r="AC1242" i="15"/>
  <c r="AG1242" i="15"/>
  <c r="AH1242" i="15"/>
  <c r="AI1242" i="15"/>
  <c r="AJ1242" i="15"/>
  <c r="AK1242" i="15"/>
  <c r="AL1242" i="15"/>
  <c r="AM1242" i="15"/>
  <c r="AQ1242" i="15"/>
  <c r="B1243" i="15"/>
  <c r="C1243" i="15"/>
  <c r="D1243" i="15"/>
  <c r="E1243" i="15"/>
  <c r="F1243" i="15"/>
  <c r="G1243" i="15"/>
  <c r="H1243" i="15"/>
  <c r="I1243" i="15"/>
  <c r="J1243" i="15"/>
  <c r="K1243" i="15"/>
  <c r="L1243" i="15"/>
  <c r="M1243" i="15"/>
  <c r="N1243" i="15"/>
  <c r="O1243" i="15"/>
  <c r="P1243" i="15"/>
  <c r="Q1243" i="15"/>
  <c r="S1243" i="15"/>
  <c r="T1243" i="15"/>
  <c r="U1243" i="15"/>
  <c r="W1243" i="15"/>
  <c r="X1243" i="15"/>
  <c r="Y1243" i="15"/>
  <c r="Z1243" i="15"/>
  <c r="AA1243" i="15"/>
  <c r="AC1243" i="15"/>
  <c r="AG1243" i="15"/>
  <c r="AH1243" i="15"/>
  <c r="AI1243" i="15"/>
  <c r="AJ1243" i="15"/>
  <c r="AK1243" i="15"/>
  <c r="AL1243" i="15"/>
  <c r="AM1243" i="15"/>
  <c r="AQ1243" i="15"/>
  <c r="B1244" i="15"/>
  <c r="C1244" i="15"/>
  <c r="D1244" i="15"/>
  <c r="E1244" i="15"/>
  <c r="F1244" i="15"/>
  <c r="G1244" i="15"/>
  <c r="H1244" i="15"/>
  <c r="I1244" i="15"/>
  <c r="J1244" i="15"/>
  <c r="K1244" i="15"/>
  <c r="L1244" i="15"/>
  <c r="M1244" i="15"/>
  <c r="N1244" i="15"/>
  <c r="O1244" i="15"/>
  <c r="P1244" i="15"/>
  <c r="Q1244" i="15"/>
  <c r="S1244" i="15"/>
  <c r="T1244" i="15"/>
  <c r="U1244" i="15"/>
  <c r="W1244" i="15"/>
  <c r="X1244" i="15"/>
  <c r="Y1244" i="15"/>
  <c r="Z1244" i="15"/>
  <c r="AA1244" i="15"/>
  <c r="AC1244" i="15"/>
  <c r="AG1244" i="15"/>
  <c r="AH1244" i="15"/>
  <c r="AI1244" i="15"/>
  <c r="AJ1244" i="15"/>
  <c r="AK1244" i="15"/>
  <c r="AL1244" i="15"/>
  <c r="AM1244" i="15"/>
  <c r="AQ1244" i="15"/>
  <c r="B1245" i="15"/>
  <c r="C1245" i="15"/>
  <c r="D1245" i="15"/>
  <c r="E1245" i="15"/>
  <c r="F1245" i="15"/>
  <c r="G1245" i="15"/>
  <c r="H1245" i="15"/>
  <c r="I1245" i="15"/>
  <c r="J1245" i="15"/>
  <c r="K1245" i="15"/>
  <c r="L1245" i="15"/>
  <c r="M1245" i="15"/>
  <c r="N1245" i="15"/>
  <c r="O1245" i="15"/>
  <c r="P1245" i="15"/>
  <c r="Q1245" i="15"/>
  <c r="S1245" i="15"/>
  <c r="T1245" i="15"/>
  <c r="U1245" i="15"/>
  <c r="W1245" i="15"/>
  <c r="X1245" i="15"/>
  <c r="Y1245" i="15"/>
  <c r="Z1245" i="15"/>
  <c r="AA1245" i="15"/>
  <c r="AC1245" i="15"/>
  <c r="AG1245" i="15"/>
  <c r="AH1245" i="15"/>
  <c r="AI1245" i="15"/>
  <c r="AJ1245" i="15"/>
  <c r="AK1245" i="15"/>
  <c r="AL1245" i="15"/>
  <c r="AM1245" i="15"/>
  <c r="AQ1245" i="15"/>
  <c r="B1246" i="15"/>
  <c r="C1246" i="15"/>
  <c r="D1246" i="15"/>
  <c r="E1246" i="15"/>
  <c r="F1246" i="15"/>
  <c r="G1246" i="15"/>
  <c r="H1246" i="15"/>
  <c r="I1246" i="15"/>
  <c r="J1246" i="15"/>
  <c r="K1246" i="15"/>
  <c r="L1246" i="15"/>
  <c r="M1246" i="15"/>
  <c r="N1246" i="15"/>
  <c r="O1246" i="15"/>
  <c r="P1246" i="15"/>
  <c r="Q1246" i="15"/>
  <c r="S1246" i="15"/>
  <c r="T1246" i="15"/>
  <c r="U1246" i="15"/>
  <c r="W1246" i="15"/>
  <c r="X1246" i="15"/>
  <c r="Y1246" i="15"/>
  <c r="Z1246" i="15"/>
  <c r="AA1246" i="15"/>
  <c r="AC1246" i="15"/>
  <c r="AG1246" i="15"/>
  <c r="AH1246" i="15"/>
  <c r="AI1246" i="15"/>
  <c r="AJ1246" i="15"/>
  <c r="AK1246" i="15"/>
  <c r="AL1246" i="15"/>
  <c r="AM1246" i="15"/>
  <c r="AQ1246" i="15"/>
  <c r="B1247" i="15"/>
  <c r="C1247" i="15"/>
  <c r="D1247" i="15"/>
  <c r="E1247" i="15"/>
  <c r="F1247" i="15"/>
  <c r="G1247" i="15"/>
  <c r="H1247" i="15"/>
  <c r="I1247" i="15"/>
  <c r="J1247" i="15"/>
  <c r="K1247" i="15"/>
  <c r="L1247" i="15"/>
  <c r="M1247" i="15"/>
  <c r="N1247" i="15"/>
  <c r="O1247" i="15"/>
  <c r="P1247" i="15"/>
  <c r="Q1247" i="15"/>
  <c r="S1247" i="15"/>
  <c r="T1247" i="15"/>
  <c r="U1247" i="15"/>
  <c r="W1247" i="15"/>
  <c r="X1247" i="15"/>
  <c r="Y1247" i="15"/>
  <c r="Z1247" i="15"/>
  <c r="AA1247" i="15"/>
  <c r="AC1247" i="15"/>
  <c r="AG1247" i="15"/>
  <c r="AH1247" i="15"/>
  <c r="AI1247" i="15"/>
  <c r="AJ1247" i="15"/>
  <c r="AK1247" i="15"/>
  <c r="AL1247" i="15"/>
  <c r="AM1247" i="15"/>
  <c r="AQ1247" i="15"/>
  <c r="B1248" i="15"/>
  <c r="C1248" i="15"/>
  <c r="D1248" i="15"/>
  <c r="E1248" i="15"/>
  <c r="F1248" i="15"/>
  <c r="G1248" i="15"/>
  <c r="H1248" i="15"/>
  <c r="I1248" i="15"/>
  <c r="J1248" i="15"/>
  <c r="K1248" i="15"/>
  <c r="L1248" i="15"/>
  <c r="M1248" i="15"/>
  <c r="N1248" i="15"/>
  <c r="O1248" i="15"/>
  <c r="P1248" i="15"/>
  <c r="Q1248" i="15"/>
  <c r="S1248" i="15"/>
  <c r="T1248" i="15"/>
  <c r="U1248" i="15"/>
  <c r="W1248" i="15"/>
  <c r="X1248" i="15"/>
  <c r="Y1248" i="15"/>
  <c r="Z1248" i="15"/>
  <c r="AA1248" i="15"/>
  <c r="AC1248" i="15"/>
  <c r="AG1248" i="15"/>
  <c r="AH1248" i="15"/>
  <c r="AI1248" i="15"/>
  <c r="AJ1248" i="15"/>
  <c r="AK1248" i="15"/>
  <c r="AL1248" i="15"/>
  <c r="AM1248" i="15"/>
  <c r="AQ1248" i="15"/>
  <c r="B1249" i="15"/>
  <c r="C1249" i="15"/>
  <c r="D1249" i="15"/>
  <c r="E1249" i="15"/>
  <c r="F1249" i="15"/>
  <c r="G1249" i="15"/>
  <c r="H1249" i="15"/>
  <c r="I1249" i="15"/>
  <c r="J1249" i="15"/>
  <c r="K1249" i="15"/>
  <c r="L1249" i="15"/>
  <c r="M1249" i="15"/>
  <c r="N1249" i="15"/>
  <c r="O1249" i="15"/>
  <c r="P1249" i="15"/>
  <c r="Q1249" i="15"/>
  <c r="S1249" i="15"/>
  <c r="T1249" i="15"/>
  <c r="U1249" i="15"/>
  <c r="W1249" i="15"/>
  <c r="X1249" i="15"/>
  <c r="Y1249" i="15"/>
  <c r="Z1249" i="15"/>
  <c r="AA1249" i="15"/>
  <c r="AC1249" i="15"/>
  <c r="AG1249" i="15"/>
  <c r="AH1249" i="15"/>
  <c r="AI1249" i="15"/>
  <c r="AJ1249" i="15"/>
  <c r="AK1249" i="15"/>
  <c r="AL1249" i="15"/>
  <c r="AM1249" i="15"/>
  <c r="AQ1249" i="15"/>
  <c r="B1250" i="15"/>
  <c r="C1250" i="15"/>
  <c r="D1250" i="15"/>
  <c r="E1250" i="15"/>
  <c r="F1250" i="15"/>
  <c r="G1250" i="15"/>
  <c r="H1250" i="15"/>
  <c r="I1250" i="15"/>
  <c r="J1250" i="15"/>
  <c r="K1250" i="15"/>
  <c r="L1250" i="15"/>
  <c r="M1250" i="15"/>
  <c r="N1250" i="15"/>
  <c r="O1250" i="15"/>
  <c r="P1250" i="15"/>
  <c r="Q1250" i="15"/>
  <c r="S1250" i="15"/>
  <c r="T1250" i="15"/>
  <c r="U1250" i="15"/>
  <c r="W1250" i="15"/>
  <c r="X1250" i="15"/>
  <c r="Y1250" i="15"/>
  <c r="Z1250" i="15"/>
  <c r="AA1250" i="15"/>
  <c r="AC1250" i="15"/>
  <c r="AG1250" i="15"/>
  <c r="AH1250" i="15"/>
  <c r="AI1250" i="15"/>
  <c r="AJ1250" i="15"/>
  <c r="AK1250" i="15"/>
  <c r="AL1250" i="15"/>
  <c r="AM1250" i="15"/>
  <c r="AQ1250" i="15"/>
  <c r="B1251" i="15"/>
  <c r="C1251" i="15"/>
  <c r="D1251" i="15"/>
  <c r="E1251" i="15"/>
  <c r="F1251" i="15"/>
  <c r="G1251" i="15"/>
  <c r="H1251" i="15"/>
  <c r="I1251" i="15"/>
  <c r="J1251" i="15"/>
  <c r="K1251" i="15"/>
  <c r="L1251" i="15"/>
  <c r="M1251" i="15"/>
  <c r="N1251" i="15"/>
  <c r="O1251" i="15"/>
  <c r="P1251" i="15"/>
  <c r="Q1251" i="15"/>
  <c r="S1251" i="15"/>
  <c r="T1251" i="15"/>
  <c r="U1251" i="15"/>
  <c r="W1251" i="15"/>
  <c r="X1251" i="15"/>
  <c r="Y1251" i="15"/>
  <c r="Z1251" i="15"/>
  <c r="AA1251" i="15"/>
  <c r="AC1251" i="15"/>
  <c r="AG1251" i="15"/>
  <c r="AH1251" i="15"/>
  <c r="AI1251" i="15"/>
  <c r="AJ1251" i="15"/>
  <c r="AK1251" i="15"/>
  <c r="AL1251" i="15"/>
  <c r="AM1251" i="15"/>
  <c r="AQ1251" i="15"/>
  <c r="B1252" i="15"/>
  <c r="C1252" i="15"/>
  <c r="D1252" i="15"/>
  <c r="E1252" i="15"/>
  <c r="F1252" i="15"/>
  <c r="G1252" i="15"/>
  <c r="H1252" i="15"/>
  <c r="I1252" i="15"/>
  <c r="J1252" i="15"/>
  <c r="K1252" i="15"/>
  <c r="L1252" i="15"/>
  <c r="M1252" i="15"/>
  <c r="N1252" i="15"/>
  <c r="O1252" i="15"/>
  <c r="P1252" i="15"/>
  <c r="Q1252" i="15"/>
  <c r="S1252" i="15"/>
  <c r="T1252" i="15"/>
  <c r="U1252" i="15"/>
  <c r="W1252" i="15"/>
  <c r="X1252" i="15"/>
  <c r="Y1252" i="15"/>
  <c r="Z1252" i="15"/>
  <c r="AA1252" i="15"/>
  <c r="AC1252" i="15"/>
  <c r="AG1252" i="15"/>
  <c r="AH1252" i="15"/>
  <c r="AI1252" i="15"/>
  <c r="AJ1252" i="15"/>
  <c r="AK1252" i="15"/>
  <c r="AL1252" i="15"/>
  <c r="AM1252" i="15"/>
  <c r="AQ1252" i="15"/>
  <c r="B1253" i="15"/>
  <c r="C1253" i="15"/>
  <c r="D1253" i="15"/>
  <c r="E1253" i="15"/>
  <c r="F1253" i="15"/>
  <c r="G1253" i="15"/>
  <c r="I1253" i="15"/>
  <c r="J1253" i="15"/>
  <c r="K1253" i="15"/>
  <c r="L1253" i="15"/>
  <c r="N1253" i="15"/>
  <c r="O1253" i="15"/>
  <c r="P1253" i="15"/>
  <c r="Q1253" i="15"/>
  <c r="S1253" i="15"/>
  <c r="T1253" i="15"/>
  <c r="U1253" i="15"/>
  <c r="W1253" i="15"/>
  <c r="X1253" i="15"/>
  <c r="Y1253" i="15"/>
  <c r="Z1253" i="15"/>
  <c r="AA1253" i="15"/>
  <c r="AC1253" i="15"/>
  <c r="AG1253" i="15"/>
  <c r="AH1253" i="15"/>
  <c r="AI1253" i="15"/>
  <c r="AJ1253" i="15"/>
  <c r="AK1253" i="15"/>
  <c r="AL1253" i="15"/>
  <c r="AM1253" i="15"/>
  <c r="AQ1253" i="15"/>
  <c r="B1254" i="15"/>
  <c r="C1254" i="15"/>
  <c r="D1254" i="15"/>
  <c r="E1254" i="15"/>
  <c r="F1254" i="15"/>
  <c r="G1254" i="15"/>
  <c r="I1254" i="15"/>
  <c r="J1254" i="15"/>
  <c r="K1254" i="15"/>
  <c r="L1254" i="15"/>
  <c r="N1254" i="15"/>
  <c r="O1254" i="15"/>
  <c r="P1254" i="15"/>
  <c r="Q1254" i="15"/>
  <c r="S1254" i="15"/>
  <c r="T1254" i="15"/>
  <c r="U1254" i="15"/>
  <c r="W1254" i="15"/>
  <c r="X1254" i="15"/>
  <c r="Y1254" i="15"/>
  <c r="Z1254" i="15"/>
  <c r="AA1254" i="15"/>
  <c r="AC1254" i="15"/>
  <c r="AG1254" i="15"/>
  <c r="AH1254" i="15"/>
  <c r="AI1254" i="15"/>
  <c r="AJ1254" i="15"/>
  <c r="AK1254" i="15"/>
  <c r="AL1254" i="15"/>
  <c r="AM1254" i="15"/>
  <c r="AQ1254" i="15"/>
  <c r="B1255" i="15"/>
  <c r="C1255" i="15"/>
  <c r="D1255" i="15"/>
  <c r="E1255" i="15"/>
  <c r="F1255" i="15"/>
  <c r="G1255" i="15"/>
  <c r="I1255" i="15"/>
  <c r="J1255" i="15"/>
  <c r="K1255" i="15"/>
  <c r="L1255" i="15"/>
  <c r="N1255" i="15"/>
  <c r="O1255" i="15"/>
  <c r="P1255" i="15"/>
  <c r="Q1255" i="15"/>
  <c r="S1255" i="15"/>
  <c r="T1255" i="15"/>
  <c r="U1255" i="15"/>
  <c r="W1255" i="15"/>
  <c r="X1255" i="15"/>
  <c r="Y1255" i="15"/>
  <c r="Z1255" i="15"/>
  <c r="AA1255" i="15"/>
  <c r="AC1255" i="15"/>
  <c r="AG1255" i="15"/>
  <c r="AH1255" i="15"/>
  <c r="AI1255" i="15"/>
  <c r="AJ1255" i="15"/>
  <c r="AK1255" i="15"/>
  <c r="AL1255" i="15"/>
  <c r="AM1255" i="15"/>
  <c r="AQ1255" i="15"/>
  <c r="B1256" i="15"/>
  <c r="C1256" i="15"/>
  <c r="D1256" i="15"/>
  <c r="E1256" i="15"/>
  <c r="F1256" i="15"/>
  <c r="G1256" i="15"/>
  <c r="I1256" i="15"/>
  <c r="J1256" i="15"/>
  <c r="K1256" i="15"/>
  <c r="L1256" i="15"/>
  <c r="N1256" i="15"/>
  <c r="O1256" i="15"/>
  <c r="P1256" i="15"/>
  <c r="Q1256" i="15"/>
  <c r="S1256" i="15"/>
  <c r="T1256" i="15"/>
  <c r="U1256" i="15"/>
  <c r="W1256" i="15"/>
  <c r="X1256" i="15"/>
  <c r="Y1256" i="15"/>
  <c r="Z1256" i="15"/>
  <c r="AA1256" i="15"/>
  <c r="AC1256" i="15"/>
  <c r="AG1256" i="15"/>
  <c r="AH1256" i="15"/>
  <c r="AI1256" i="15"/>
  <c r="AJ1256" i="15"/>
  <c r="AK1256" i="15"/>
  <c r="AL1256" i="15"/>
  <c r="AM1256" i="15"/>
  <c r="AQ1256" i="15"/>
  <c r="B1257" i="15"/>
  <c r="C1257" i="15"/>
  <c r="D1257" i="15"/>
  <c r="E1257" i="15"/>
  <c r="F1257" i="15"/>
  <c r="G1257" i="15"/>
  <c r="I1257" i="15"/>
  <c r="J1257" i="15"/>
  <c r="K1257" i="15"/>
  <c r="L1257" i="15"/>
  <c r="N1257" i="15"/>
  <c r="O1257" i="15"/>
  <c r="P1257" i="15"/>
  <c r="Q1257" i="15"/>
  <c r="S1257" i="15"/>
  <c r="T1257" i="15"/>
  <c r="U1257" i="15"/>
  <c r="W1257" i="15"/>
  <c r="X1257" i="15"/>
  <c r="Y1257" i="15"/>
  <c r="Z1257" i="15"/>
  <c r="AA1257" i="15"/>
  <c r="AC1257" i="15"/>
  <c r="AG1257" i="15"/>
  <c r="AH1257" i="15"/>
  <c r="AI1257" i="15"/>
  <c r="AJ1257" i="15"/>
  <c r="AK1257" i="15"/>
  <c r="AL1257" i="15"/>
  <c r="AM1257" i="15"/>
  <c r="AQ1257" i="15"/>
  <c r="B1258" i="15"/>
  <c r="C1258" i="15"/>
  <c r="D1258" i="15"/>
  <c r="E1258" i="15"/>
  <c r="F1258" i="15"/>
  <c r="G1258" i="15"/>
  <c r="I1258" i="15"/>
  <c r="J1258" i="15"/>
  <c r="K1258" i="15"/>
  <c r="L1258" i="15"/>
  <c r="N1258" i="15"/>
  <c r="O1258" i="15"/>
  <c r="P1258" i="15"/>
  <c r="Q1258" i="15"/>
  <c r="S1258" i="15"/>
  <c r="T1258" i="15"/>
  <c r="U1258" i="15"/>
  <c r="W1258" i="15"/>
  <c r="X1258" i="15"/>
  <c r="Y1258" i="15"/>
  <c r="Z1258" i="15"/>
  <c r="AA1258" i="15"/>
  <c r="AC1258" i="15"/>
  <c r="AG1258" i="15"/>
  <c r="AH1258" i="15"/>
  <c r="AI1258" i="15"/>
  <c r="AJ1258" i="15"/>
  <c r="AK1258" i="15"/>
  <c r="AL1258" i="15"/>
  <c r="AM1258" i="15"/>
  <c r="AQ1258" i="15"/>
  <c r="B1259" i="15"/>
  <c r="C1259" i="15"/>
  <c r="D1259" i="15"/>
  <c r="E1259" i="15"/>
  <c r="F1259" i="15"/>
  <c r="G1259" i="15"/>
  <c r="I1259" i="15"/>
  <c r="J1259" i="15"/>
  <c r="K1259" i="15"/>
  <c r="L1259" i="15"/>
  <c r="N1259" i="15"/>
  <c r="O1259" i="15"/>
  <c r="P1259" i="15"/>
  <c r="Q1259" i="15"/>
  <c r="S1259" i="15"/>
  <c r="T1259" i="15"/>
  <c r="U1259" i="15"/>
  <c r="W1259" i="15"/>
  <c r="X1259" i="15"/>
  <c r="Y1259" i="15"/>
  <c r="Z1259" i="15"/>
  <c r="AA1259" i="15"/>
  <c r="AC1259" i="15"/>
  <c r="AG1259" i="15"/>
  <c r="AH1259" i="15"/>
  <c r="AI1259" i="15"/>
  <c r="AJ1259" i="15"/>
  <c r="AK1259" i="15"/>
  <c r="AL1259" i="15"/>
  <c r="AM1259" i="15"/>
  <c r="AQ1259" i="15"/>
  <c r="B1260" i="15"/>
  <c r="C1260" i="15"/>
  <c r="D1260" i="15"/>
  <c r="E1260" i="15"/>
  <c r="F1260" i="15"/>
  <c r="G1260" i="15"/>
  <c r="I1260" i="15"/>
  <c r="J1260" i="15"/>
  <c r="K1260" i="15"/>
  <c r="L1260" i="15"/>
  <c r="N1260" i="15"/>
  <c r="O1260" i="15"/>
  <c r="P1260" i="15"/>
  <c r="Q1260" i="15"/>
  <c r="S1260" i="15"/>
  <c r="T1260" i="15"/>
  <c r="U1260" i="15"/>
  <c r="W1260" i="15"/>
  <c r="X1260" i="15"/>
  <c r="Y1260" i="15"/>
  <c r="Z1260" i="15"/>
  <c r="AA1260" i="15"/>
  <c r="AC1260" i="15"/>
  <c r="AG1260" i="15"/>
  <c r="AH1260" i="15"/>
  <c r="AI1260" i="15"/>
  <c r="AJ1260" i="15"/>
  <c r="AK1260" i="15"/>
  <c r="AL1260" i="15"/>
  <c r="AM1260" i="15"/>
  <c r="AQ1260" i="15"/>
  <c r="B1261" i="15"/>
  <c r="C1261" i="15"/>
  <c r="D1261" i="15"/>
  <c r="E1261" i="15"/>
  <c r="F1261" i="15"/>
  <c r="G1261" i="15"/>
  <c r="I1261" i="15"/>
  <c r="J1261" i="15"/>
  <c r="K1261" i="15"/>
  <c r="L1261" i="15"/>
  <c r="N1261" i="15"/>
  <c r="O1261" i="15"/>
  <c r="P1261" i="15"/>
  <c r="Q1261" i="15"/>
  <c r="S1261" i="15"/>
  <c r="T1261" i="15"/>
  <c r="U1261" i="15"/>
  <c r="W1261" i="15"/>
  <c r="X1261" i="15"/>
  <c r="Y1261" i="15"/>
  <c r="Z1261" i="15"/>
  <c r="AA1261" i="15"/>
  <c r="AC1261" i="15"/>
  <c r="AG1261" i="15"/>
  <c r="AH1261" i="15"/>
  <c r="AI1261" i="15"/>
  <c r="AJ1261" i="15"/>
  <c r="AK1261" i="15"/>
  <c r="AL1261" i="15"/>
  <c r="AM1261" i="15"/>
  <c r="AQ1261" i="15"/>
  <c r="B1262" i="15"/>
  <c r="C1262" i="15"/>
  <c r="D1262" i="15"/>
  <c r="E1262" i="15"/>
  <c r="F1262" i="15"/>
  <c r="G1262" i="15"/>
  <c r="I1262" i="15"/>
  <c r="J1262" i="15"/>
  <c r="K1262" i="15"/>
  <c r="L1262" i="15"/>
  <c r="N1262" i="15"/>
  <c r="O1262" i="15"/>
  <c r="P1262" i="15"/>
  <c r="Q1262" i="15"/>
  <c r="S1262" i="15"/>
  <c r="T1262" i="15"/>
  <c r="U1262" i="15"/>
  <c r="W1262" i="15"/>
  <c r="X1262" i="15"/>
  <c r="Y1262" i="15"/>
  <c r="Z1262" i="15"/>
  <c r="AA1262" i="15"/>
  <c r="AC1262" i="15"/>
  <c r="AG1262" i="15"/>
  <c r="AH1262" i="15"/>
  <c r="AI1262" i="15"/>
  <c r="AJ1262" i="15"/>
  <c r="AK1262" i="15"/>
  <c r="AL1262" i="15"/>
  <c r="AM1262" i="15"/>
  <c r="AQ1262" i="15"/>
  <c r="B1263" i="15"/>
  <c r="C1263" i="15"/>
  <c r="D1263" i="15"/>
  <c r="E1263" i="15"/>
  <c r="F1263" i="15"/>
  <c r="G1263" i="15"/>
  <c r="I1263" i="15"/>
  <c r="J1263" i="15"/>
  <c r="K1263" i="15"/>
  <c r="L1263" i="15"/>
  <c r="N1263" i="15"/>
  <c r="O1263" i="15"/>
  <c r="P1263" i="15"/>
  <c r="Q1263" i="15"/>
  <c r="S1263" i="15"/>
  <c r="T1263" i="15"/>
  <c r="U1263" i="15"/>
  <c r="W1263" i="15"/>
  <c r="X1263" i="15"/>
  <c r="Y1263" i="15"/>
  <c r="Z1263" i="15"/>
  <c r="AA1263" i="15"/>
  <c r="AC1263" i="15"/>
  <c r="AG1263" i="15"/>
  <c r="AH1263" i="15"/>
  <c r="AI1263" i="15"/>
  <c r="AJ1263" i="15"/>
  <c r="AK1263" i="15"/>
  <c r="AL1263" i="15"/>
  <c r="AM1263" i="15"/>
  <c r="AQ1263" i="15"/>
  <c r="B1264" i="15"/>
  <c r="C1264" i="15"/>
  <c r="D1264" i="15"/>
  <c r="E1264" i="15"/>
  <c r="F1264" i="15"/>
  <c r="G1264" i="15"/>
  <c r="I1264" i="15"/>
  <c r="J1264" i="15"/>
  <c r="K1264" i="15"/>
  <c r="L1264" i="15"/>
  <c r="N1264" i="15"/>
  <c r="O1264" i="15"/>
  <c r="P1264" i="15"/>
  <c r="Q1264" i="15"/>
  <c r="S1264" i="15"/>
  <c r="T1264" i="15"/>
  <c r="U1264" i="15"/>
  <c r="W1264" i="15"/>
  <c r="X1264" i="15"/>
  <c r="Y1264" i="15"/>
  <c r="Z1264" i="15"/>
  <c r="AA1264" i="15"/>
  <c r="AC1264" i="15"/>
  <c r="AG1264" i="15"/>
  <c r="AH1264" i="15"/>
  <c r="AI1264" i="15"/>
  <c r="AJ1264" i="15"/>
  <c r="AK1264" i="15"/>
  <c r="AL1264" i="15"/>
  <c r="AM1264" i="15"/>
  <c r="AQ1264" i="15"/>
  <c r="B1265" i="15"/>
  <c r="C1265" i="15"/>
  <c r="D1265" i="15"/>
  <c r="E1265" i="15"/>
  <c r="F1265" i="15"/>
  <c r="G1265" i="15"/>
  <c r="I1265" i="15"/>
  <c r="J1265" i="15"/>
  <c r="K1265" i="15"/>
  <c r="L1265" i="15"/>
  <c r="N1265" i="15"/>
  <c r="O1265" i="15"/>
  <c r="P1265" i="15"/>
  <c r="Q1265" i="15"/>
  <c r="S1265" i="15"/>
  <c r="T1265" i="15"/>
  <c r="U1265" i="15"/>
  <c r="W1265" i="15"/>
  <c r="X1265" i="15"/>
  <c r="Y1265" i="15"/>
  <c r="Z1265" i="15"/>
  <c r="AA1265" i="15"/>
  <c r="AC1265" i="15"/>
  <c r="AG1265" i="15"/>
  <c r="AH1265" i="15"/>
  <c r="AI1265" i="15"/>
  <c r="AJ1265" i="15"/>
  <c r="AK1265" i="15"/>
  <c r="AL1265" i="15"/>
  <c r="AM1265" i="15"/>
  <c r="AQ1265" i="15"/>
  <c r="B1266" i="15"/>
  <c r="C1266" i="15"/>
  <c r="D1266" i="15"/>
  <c r="E1266" i="15"/>
  <c r="F1266" i="15"/>
  <c r="G1266" i="15"/>
  <c r="I1266" i="15"/>
  <c r="J1266" i="15"/>
  <c r="K1266" i="15"/>
  <c r="L1266" i="15"/>
  <c r="N1266" i="15"/>
  <c r="O1266" i="15"/>
  <c r="P1266" i="15"/>
  <c r="Q1266" i="15"/>
  <c r="S1266" i="15"/>
  <c r="T1266" i="15"/>
  <c r="U1266" i="15"/>
  <c r="W1266" i="15"/>
  <c r="X1266" i="15"/>
  <c r="Y1266" i="15"/>
  <c r="Z1266" i="15"/>
  <c r="AA1266" i="15"/>
  <c r="AC1266" i="15"/>
  <c r="AG1266" i="15"/>
  <c r="AH1266" i="15"/>
  <c r="AI1266" i="15"/>
  <c r="AJ1266" i="15"/>
  <c r="AK1266" i="15"/>
  <c r="AL1266" i="15"/>
  <c r="AM1266" i="15"/>
  <c r="AQ1266" i="15"/>
  <c r="B1267" i="15"/>
  <c r="C1267" i="15"/>
  <c r="D1267" i="15"/>
  <c r="E1267" i="15"/>
  <c r="F1267" i="15"/>
  <c r="G1267" i="15"/>
  <c r="I1267" i="15"/>
  <c r="J1267" i="15"/>
  <c r="K1267" i="15"/>
  <c r="L1267" i="15"/>
  <c r="N1267" i="15"/>
  <c r="O1267" i="15"/>
  <c r="P1267" i="15"/>
  <c r="Q1267" i="15"/>
  <c r="S1267" i="15"/>
  <c r="T1267" i="15"/>
  <c r="U1267" i="15"/>
  <c r="W1267" i="15"/>
  <c r="X1267" i="15"/>
  <c r="Y1267" i="15"/>
  <c r="Z1267" i="15"/>
  <c r="AA1267" i="15"/>
  <c r="AC1267" i="15"/>
  <c r="AG1267" i="15"/>
  <c r="AH1267" i="15"/>
  <c r="AI1267" i="15"/>
  <c r="AJ1267" i="15"/>
  <c r="AK1267" i="15"/>
  <c r="AL1267" i="15"/>
  <c r="AM1267" i="15"/>
  <c r="AQ1267" i="15"/>
  <c r="B1268" i="15"/>
  <c r="C1268" i="15"/>
  <c r="D1268" i="15"/>
  <c r="E1268" i="15"/>
  <c r="F1268" i="15"/>
  <c r="G1268" i="15"/>
  <c r="I1268" i="15"/>
  <c r="J1268" i="15"/>
  <c r="K1268" i="15"/>
  <c r="L1268" i="15"/>
  <c r="N1268" i="15"/>
  <c r="O1268" i="15"/>
  <c r="P1268" i="15"/>
  <c r="Q1268" i="15"/>
  <c r="S1268" i="15"/>
  <c r="T1268" i="15"/>
  <c r="U1268" i="15"/>
  <c r="W1268" i="15"/>
  <c r="X1268" i="15"/>
  <c r="Y1268" i="15"/>
  <c r="Z1268" i="15"/>
  <c r="AA1268" i="15"/>
  <c r="AC1268" i="15"/>
  <c r="AG1268" i="15"/>
  <c r="AH1268" i="15"/>
  <c r="AI1268" i="15"/>
  <c r="AJ1268" i="15"/>
  <c r="AK1268" i="15"/>
  <c r="AL1268" i="15"/>
  <c r="AM1268" i="15"/>
  <c r="AQ1268" i="15"/>
  <c r="B1269" i="15"/>
  <c r="C1269" i="15"/>
  <c r="D1269" i="15"/>
  <c r="E1269" i="15"/>
  <c r="F1269" i="15"/>
  <c r="G1269" i="15"/>
  <c r="H1269" i="15"/>
  <c r="I1269" i="15"/>
  <c r="J1269" i="15"/>
  <c r="K1269" i="15"/>
  <c r="L1269" i="15"/>
  <c r="M1269" i="15"/>
  <c r="N1269" i="15"/>
  <c r="O1269" i="15"/>
  <c r="P1269" i="15"/>
  <c r="Q1269" i="15"/>
  <c r="S1269" i="15"/>
  <c r="T1269" i="15"/>
  <c r="U1269" i="15"/>
  <c r="W1269" i="15"/>
  <c r="X1269" i="15"/>
  <c r="Y1269" i="15"/>
  <c r="Z1269" i="15"/>
  <c r="AA1269" i="15"/>
  <c r="AC1269" i="15"/>
  <c r="AG1269" i="15"/>
  <c r="AH1269" i="15"/>
  <c r="AI1269" i="15"/>
  <c r="AJ1269" i="15"/>
  <c r="AK1269" i="15"/>
  <c r="AL1269" i="15"/>
  <c r="AM1269" i="15"/>
  <c r="AQ1269" i="15"/>
  <c r="B1270" i="15"/>
  <c r="C1270" i="15"/>
  <c r="D1270" i="15"/>
  <c r="E1270" i="15"/>
  <c r="F1270" i="15"/>
  <c r="G1270" i="15"/>
  <c r="H1270" i="15"/>
  <c r="I1270" i="15"/>
  <c r="J1270" i="15"/>
  <c r="K1270" i="15"/>
  <c r="L1270" i="15"/>
  <c r="M1270" i="15"/>
  <c r="N1270" i="15"/>
  <c r="O1270" i="15"/>
  <c r="P1270" i="15"/>
  <c r="Q1270" i="15"/>
  <c r="S1270" i="15"/>
  <c r="T1270" i="15"/>
  <c r="U1270" i="15"/>
  <c r="W1270" i="15"/>
  <c r="X1270" i="15"/>
  <c r="Y1270" i="15"/>
  <c r="Z1270" i="15"/>
  <c r="AA1270" i="15"/>
  <c r="AC1270" i="15"/>
  <c r="AG1270" i="15"/>
  <c r="AH1270" i="15"/>
  <c r="AI1270" i="15"/>
  <c r="AJ1270" i="15"/>
  <c r="AK1270" i="15"/>
  <c r="AL1270" i="15"/>
  <c r="AM1270" i="15"/>
  <c r="AQ1270" i="15"/>
  <c r="B1271" i="15"/>
  <c r="C1271" i="15"/>
  <c r="D1271" i="15"/>
  <c r="E1271" i="15"/>
  <c r="F1271" i="15"/>
  <c r="G1271" i="15"/>
  <c r="H1271" i="15"/>
  <c r="I1271" i="15"/>
  <c r="J1271" i="15"/>
  <c r="K1271" i="15"/>
  <c r="L1271" i="15"/>
  <c r="M1271" i="15"/>
  <c r="N1271" i="15"/>
  <c r="O1271" i="15"/>
  <c r="P1271" i="15"/>
  <c r="Q1271" i="15"/>
  <c r="S1271" i="15"/>
  <c r="T1271" i="15"/>
  <c r="U1271" i="15"/>
  <c r="W1271" i="15"/>
  <c r="X1271" i="15"/>
  <c r="Y1271" i="15"/>
  <c r="Z1271" i="15"/>
  <c r="AA1271" i="15"/>
  <c r="AC1271" i="15"/>
  <c r="AG1271" i="15"/>
  <c r="AH1271" i="15"/>
  <c r="AI1271" i="15"/>
  <c r="AJ1271" i="15"/>
  <c r="AK1271" i="15"/>
  <c r="AL1271" i="15"/>
  <c r="AM1271" i="15"/>
  <c r="AQ1271" i="15"/>
  <c r="B1272" i="15"/>
  <c r="C1272" i="15"/>
  <c r="D1272" i="15"/>
  <c r="E1272" i="15"/>
  <c r="F1272" i="15"/>
  <c r="G1272" i="15"/>
  <c r="H1272" i="15"/>
  <c r="I1272" i="15"/>
  <c r="J1272" i="15"/>
  <c r="K1272" i="15"/>
  <c r="L1272" i="15"/>
  <c r="M1272" i="15"/>
  <c r="N1272" i="15"/>
  <c r="O1272" i="15"/>
  <c r="P1272" i="15"/>
  <c r="Q1272" i="15"/>
  <c r="S1272" i="15"/>
  <c r="T1272" i="15"/>
  <c r="U1272" i="15"/>
  <c r="W1272" i="15"/>
  <c r="X1272" i="15"/>
  <c r="Y1272" i="15"/>
  <c r="Z1272" i="15"/>
  <c r="AA1272" i="15"/>
  <c r="AC1272" i="15"/>
  <c r="AG1272" i="15"/>
  <c r="AH1272" i="15"/>
  <c r="AI1272" i="15"/>
  <c r="AJ1272" i="15"/>
  <c r="AK1272" i="15"/>
  <c r="AL1272" i="15"/>
  <c r="AM1272" i="15"/>
  <c r="AQ1272" i="15"/>
  <c r="B1273" i="15"/>
  <c r="C1273" i="15"/>
  <c r="D1273" i="15"/>
  <c r="E1273" i="15"/>
  <c r="F1273" i="15"/>
  <c r="G1273" i="15"/>
  <c r="H1273" i="15"/>
  <c r="I1273" i="15"/>
  <c r="J1273" i="15"/>
  <c r="K1273" i="15"/>
  <c r="L1273" i="15"/>
  <c r="M1273" i="15"/>
  <c r="N1273" i="15"/>
  <c r="O1273" i="15"/>
  <c r="P1273" i="15"/>
  <c r="Q1273" i="15"/>
  <c r="S1273" i="15"/>
  <c r="T1273" i="15"/>
  <c r="U1273" i="15"/>
  <c r="W1273" i="15"/>
  <c r="X1273" i="15"/>
  <c r="Y1273" i="15"/>
  <c r="Z1273" i="15"/>
  <c r="AA1273" i="15"/>
  <c r="AC1273" i="15"/>
  <c r="AG1273" i="15"/>
  <c r="AH1273" i="15"/>
  <c r="AI1273" i="15"/>
  <c r="AJ1273" i="15"/>
  <c r="AK1273" i="15"/>
  <c r="AL1273" i="15"/>
  <c r="AM1273" i="15"/>
  <c r="AQ1273" i="15"/>
  <c r="B1274" i="15"/>
  <c r="C1274" i="15"/>
  <c r="D1274" i="15"/>
  <c r="E1274" i="15"/>
  <c r="F1274" i="15"/>
  <c r="G1274" i="15"/>
  <c r="H1274" i="15"/>
  <c r="I1274" i="15"/>
  <c r="J1274" i="15"/>
  <c r="K1274" i="15"/>
  <c r="L1274" i="15"/>
  <c r="M1274" i="15"/>
  <c r="N1274" i="15"/>
  <c r="O1274" i="15"/>
  <c r="P1274" i="15"/>
  <c r="Q1274" i="15"/>
  <c r="S1274" i="15"/>
  <c r="T1274" i="15"/>
  <c r="U1274" i="15"/>
  <c r="W1274" i="15"/>
  <c r="X1274" i="15"/>
  <c r="Y1274" i="15"/>
  <c r="Z1274" i="15"/>
  <c r="AA1274" i="15"/>
  <c r="AC1274" i="15"/>
  <c r="AG1274" i="15"/>
  <c r="AH1274" i="15"/>
  <c r="AI1274" i="15"/>
  <c r="AJ1274" i="15"/>
  <c r="AK1274" i="15"/>
  <c r="AL1274" i="15"/>
  <c r="AM1274" i="15"/>
  <c r="AQ1274" i="15"/>
  <c r="B1275" i="15"/>
  <c r="C1275" i="15"/>
  <c r="D1275" i="15"/>
  <c r="E1275" i="15"/>
  <c r="F1275" i="15"/>
  <c r="G1275" i="15"/>
  <c r="H1275" i="15"/>
  <c r="I1275" i="15"/>
  <c r="J1275" i="15"/>
  <c r="K1275" i="15"/>
  <c r="L1275" i="15"/>
  <c r="M1275" i="15"/>
  <c r="N1275" i="15"/>
  <c r="O1275" i="15"/>
  <c r="P1275" i="15"/>
  <c r="Q1275" i="15"/>
  <c r="S1275" i="15"/>
  <c r="T1275" i="15"/>
  <c r="U1275" i="15"/>
  <c r="W1275" i="15"/>
  <c r="X1275" i="15"/>
  <c r="Y1275" i="15"/>
  <c r="Z1275" i="15"/>
  <c r="AA1275" i="15"/>
  <c r="AC1275" i="15"/>
  <c r="AG1275" i="15"/>
  <c r="AH1275" i="15"/>
  <c r="AI1275" i="15"/>
  <c r="AJ1275" i="15"/>
  <c r="AK1275" i="15"/>
  <c r="AL1275" i="15"/>
  <c r="AM1275" i="15"/>
  <c r="AQ1275" i="15"/>
  <c r="B1276" i="15"/>
  <c r="C1276" i="15"/>
  <c r="D1276" i="15"/>
  <c r="E1276" i="15"/>
  <c r="F1276" i="15"/>
  <c r="G1276" i="15"/>
  <c r="H1276" i="15"/>
  <c r="I1276" i="15"/>
  <c r="J1276" i="15"/>
  <c r="K1276" i="15"/>
  <c r="L1276" i="15"/>
  <c r="M1276" i="15"/>
  <c r="N1276" i="15"/>
  <c r="O1276" i="15"/>
  <c r="P1276" i="15"/>
  <c r="Q1276" i="15"/>
  <c r="S1276" i="15"/>
  <c r="T1276" i="15"/>
  <c r="U1276" i="15"/>
  <c r="W1276" i="15"/>
  <c r="X1276" i="15"/>
  <c r="Y1276" i="15"/>
  <c r="Z1276" i="15"/>
  <c r="AA1276" i="15"/>
  <c r="AC1276" i="15"/>
  <c r="AG1276" i="15"/>
  <c r="AH1276" i="15"/>
  <c r="AI1276" i="15"/>
  <c r="AJ1276" i="15"/>
  <c r="AK1276" i="15"/>
  <c r="AL1276" i="15"/>
  <c r="AM1276" i="15"/>
  <c r="AQ1276" i="15"/>
  <c r="B1277" i="15"/>
  <c r="C1277" i="15"/>
  <c r="D1277" i="15"/>
  <c r="E1277" i="15"/>
  <c r="F1277" i="15"/>
  <c r="G1277" i="15"/>
  <c r="H1277" i="15"/>
  <c r="I1277" i="15"/>
  <c r="J1277" i="15"/>
  <c r="K1277" i="15"/>
  <c r="L1277" i="15"/>
  <c r="M1277" i="15"/>
  <c r="N1277" i="15"/>
  <c r="O1277" i="15"/>
  <c r="P1277" i="15"/>
  <c r="Q1277" i="15"/>
  <c r="S1277" i="15"/>
  <c r="T1277" i="15"/>
  <c r="U1277" i="15"/>
  <c r="W1277" i="15"/>
  <c r="X1277" i="15"/>
  <c r="Y1277" i="15"/>
  <c r="Z1277" i="15"/>
  <c r="AA1277" i="15"/>
  <c r="AC1277" i="15"/>
  <c r="AG1277" i="15"/>
  <c r="AH1277" i="15"/>
  <c r="AI1277" i="15"/>
  <c r="AJ1277" i="15"/>
  <c r="AK1277" i="15"/>
  <c r="AL1277" i="15"/>
  <c r="AM1277" i="15"/>
  <c r="AQ1277" i="15"/>
  <c r="B1278" i="15"/>
  <c r="C1278" i="15"/>
  <c r="D1278" i="15"/>
  <c r="E1278" i="15"/>
  <c r="F1278" i="15"/>
  <c r="G1278" i="15"/>
  <c r="H1278" i="15"/>
  <c r="I1278" i="15"/>
  <c r="J1278" i="15"/>
  <c r="K1278" i="15"/>
  <c r="L1278" i="15"/>
  <c r="M1278" i="15"/>
  <c r="N1278" i="15"/>
  <c r="O1278" i="15"/>
  <c r="P1278" i="15"/>
  <c r="Q1278" i="15"/>
  <c r="S1278" i="15"/>
  <c r="T1278" i="15"/>
  <c r="U1278" i="15"/>
  <c r="W1278" i="15"/>
  <c r="X1278" i="15"/>
  <c r="Y1278" i="15"/>
  <c r="Z1278" i="15"/>
  <c r="AA1278" i="15"/>
  <c r="AC1278" i="15"/>
  <c r="AG1278" i="15"/>
  <c r="AH1278" i="15"/>
  <c r="AI1278" i="15"/>
  <c r="AJ1278" i="15"/>
  <c r="AK1278" i="15"/>
  <c r="AL1278" i="15"/>
  <c r="AM1278" i="15"/>
  <c r="AQ1278" i="15"/>
  <c r="B1279" i="15"/>
  <c r="C1279" i="15"/>
  <c r="D1279" i="15"/>
  <c r="E1279" i="15"/>
  <c r="F1279" i="15"/>
  <c r="G1279" i="15"/>
  <c r="H1279" i="15"/>
  <c r="I1279" i="15"/>
  <c r="J1279" i="15"/>
  <c r="K1279" i="15"/>
  <c r="L1279" i="15"/>
  <c r="M1279" i="15"/>
  <c r="N1279" i="15"/>
  <c r="O1279" i="15"/>
  <c r="P1279" i="15"/>
  <c r="Q1279" i="15"/>
  <c r="S1279" i="15"/>
  <c r="T1279" i="15"/>
  <c r="U1279" i="15"/>
  <c r="W1279" i="15"/>
  <c r="X1279" i="15"/>
  <c r="Y1279" i="15"/>
  <c r="Z1279" i="15"/>
  <c r="AA1279" i="15"/>
  <c r="AC1279" i="15"/>
  <c r="AG1279" i="15"/>
  <c r="AH1279" i="15"/>
  <c r="AI1279" i="15"/>
  <c r="AJ1279" i="15"/>
  <c r="AK1279" i="15"/>
  <c r="AL1279" i="15"/>
  <c r="AM1279" i="15"/>
  <c r="AQ1279" i="15"/>
  <c r="B1280" i="15"/>
  <c r="C1280" i="15"/>
  <c r="D1280" i="15"/>
  <c r="E1280" i="15"/>
  <c r="F1280" i="15"/>
  <c r="G1280" i="15"/>
  <c r="H1280" i="15"/>
  <c r="I1280" i="15"/>
  <c r="J1280" i="15"/>
  <c r="K1280" i="15"/>
  <c r="L1280" i="15"/>
  <c r="M1280" i="15"/>
  <c r="N1280" i="15"/>
  <c r="O1280" i="15"/>
  <c r="P1280" i="15"/>
  <c r="Q1280" i="15"/>
  <c r="S1280" i="15"/>
  <c r="T1280" i="15"/>
  <c r="U1280" i="15"/>
  <c r="W1280" i="15"/>
  <c r="X1280" i="15"/>
  <c r="Y1280" i="15"/>
  <c r="Z1280" i="15"/>
  <c r="AA1280" i="15"/>
  <c r="AC1280" i="15"/>
  <c r="AG1280" i="15"/>
  <c r="AH1280" i="15"/>
  <c r="AI1280" i="15"/>
  <c r="AJ1280" i="15"/>
  <c r="AK1280" i="15"/>
  <c r="AL1280" i="15"/>
  <c r="AM1280" i="15"/>
  <c r="AQ1280" i="15"/>
  <c r="B1281" i="15"/>
  <c r="C1281" i="15"/>
  <c r="D1281" i="15"/>
  <c r="E1281" i="15"/>
  <c r="F1281" i="15"/>
  <c r="G1281" i="15"/>
  <c r="H1281" i="15"/>
  <c r="I1281" i="15"/>
  <c r="J1281" i="15"/>
  <c r="K1281" i="15"/>
  <c r="L1281" i="15"/>
  <c r="M1281" i="15"/>
  <c r="N1281" i="15"/>
  <c r="O1281" i="15"/>
  <c r="P1281" i="15"/>
  <c r="Q1281" i="15"/>
  <c r="S1281" i="15"/>
  <c r="T1281" i="15"/>
  <c r="U1281" i="15"/>
  <c r="W1281" i="15"/>
  <c r="X1281" i="15"/>
  <c r="Y1281" i="15"/>
  <c r="Z1281" i="15"/>
  <c r="AA1281" i="15"/>
  <c r="AC1281" i="15"/>
  <c r="AG1281" i="15"/>
  <c r="AH1281" i="15"/>
  <c r="AI1281" i="15"/>
  <c r="AJ1281" i="15"/>
  <c r="AK1281" i="15"/>
  <c r="AL1281" i="15"/>
  <c r="AM1281" i="15"/>
  <c r="AQ1281" i="15"/>
  <c r="B1282" i="15"/>
  <c r="C1282" i="15"/>
  <c r="D1282" i="15"/>
  <c r="E1282" i="15"/>
  <c r="F1282" i="15"/>
  <c r="G1282" i="15"/>
  <c r="H1282" i="15"/>
  <c r="I1282" i="15"/>
  <c r="J1282" i="15"/>
  <c r="K1282" i="15"/>
  <c r="L1282" i="15"/>
  <c r="M1282" i="15"/>
  <c r="N1282" i="15"/>
  <c r="O1282" i="15"/>
  <c r="P1282" i="15"/>
  <c r="Q1282" i="15"/>
  <c r="S1282" i="15"/>
  <c r="T1282" i="15"/>
  <c r="U1282" i="15"/>
  <c r="W1282" i="15"/>
  <c r="X1282" i="15"/>
  <c r="Y1282" i="15"/>
  <c r="Z1282" i="15"/>
  <c r="AA1282" i="15"/>
  <c r="AC1282" i="15"/>
  <c r="AG1282" i="15"/>
  <c r="AH1282" i="15"/>
  <c r="AI1282" i="15"/>
  <c r="AJ1282" i="15"/>
  <c r="AK1282" i="15"/>
  <c r="AL1282" i="15"/>
  <c r="AM1282" i="15"/>
  <c r="AQ1282" i="15"/>
  <c r="B1283" i="15"/>
  <c r="C1283" i="15"/>
  <c r="D1283" i="15"/>
  <c r="E1283" i="15"/>
  <c r="F1283" i="15"/>
  <c r="G1283" i="15"/>
  <c r="J1283" i="15"/>
  <c r="K1283" i="15"/>
  <c r="L1283" i="15"/>
  <c r="M1283" i="15"/>
  <c r="N1283" i="15"/>
  <c r="O1283" i="15"/>
  <c r="P1283" i="15"/>
  <c r="Q1283" i="15"/>
  <c r="S1283" i="15"/>
  <c r="T1283" i="15"/>
  <c r="U1283" i="15"/>
  <c r="W1283" i="15"/>
  <c r="X1283" i="15"/>
  <c r="Y1283" i="15"/>
  <c r="Z1283" i="15"/>
  <c r="AA1283" i="15"/>
  <c r="AC1283" i="15"/>
  <c r="AG1283" i="15"/>
  <c r="AH1283" i="15"/>
  <c r="AI1283" i="15"/>
  <c r="AJ1283" i="15"/>
  <c r="AK1283" i="15"/>
  <c r="AL1283" i="15"/>
  <c r="AM1283" i="15"/>
  <c r="AQ1283" i="15"/>
  <c r="B1284" i="15"/>
  <c r="C1284" i="15"/>
  <c r="D1284" i="15"/>
  <c r="E1284" i="15"/>
  <c r="F1284" i="15"/>
  <c r="G1284" i="15"/>
  <c r="J1284" i="15"/>
  <c r="K1284" i="15"/>
  <c r="L1284" i="15"/>
  <c r="M1284" i="15"/>
  <c r="N1284" i="15"/>
  <c r="O1284" i="15"/>
  <c r="P1284" i="15"/>
  <c r="Q1284" i="15"/>
  <c r="S1284" i="15"/>
  <c r="T1284" i="15"/>
  <c r="U1284" i="15"/>
  <c r="W1284" i="15"/>
  <c r="X1284" i="15"/>
  <c r="Y1284" i="15"/>
  <c r="Z1284" i="15"/>
  <c r="AA1284" i="15"/>
  <c r="AC1284" i="15"/>
  <c r="AG1284" i="15"/>
  <c r="AH1284" i="15"/>
  <c r="AI1284" i="15"/>
  <c r="AJ1284" i="15"/>
  <c r="AK1284" i="15"/>
  <c r="AL1284" i="15"/>
  <c r="AM1284" i="15"/>
  <c r="AQ1284" i="15"/>
  <c r="B1285" i="15"/>
  <c r="C1285" i="15"/>
  <c r="D1285" i="15"/>
  <c r="E1285" i="15"/>
  <c r="F1285" i="15"/>
  <c r="G1285" i="15"/>
  <c r="H1285" i="15"/>
  <c r="I1285" i="15"/>
  <c r="J1285" i="15"/>
  <c r="K1285" i="15"/>
  <c r="L1285" i="15"/>
  <c r="M1285" i="15"/>
  <c r="N1285" i="15"/>
  <c r="O1285" i="15"/>
  <c r="P1285" i="15"/>
  <c r="Q1285" i="15"/>
  <c r="S1285" i="15"/>
  <c r="T1285" i="15"/>
  <c r="U1285" i="15"/>
  <c r="W1285" i="15"/>
  <c r="X1285" i="15"/>
  <c r="Y1285" i="15"/>
  <c r="Z1285" i="15"/>
  <c r="AA1285" i="15"/>
  <c r="AC1285" i="15"/>
  <c r="AG1285" i="15"/>
  <c r="AH1285" i="15"/>
  <c r="AI1285" i="15"/>
  <c r="AJ1285" i="15"/>
  <c r="AK1285" i="15"/>
  <c r="AL1285" i="15"/>
  <c r="AM1285" i="15"/>
  <c r="AQ1285" i="15"/>
  <c r="B1286" i="15"/>
  <c r="C1286" i="15"/>
  <c r="D1286" i="15"/>
  <c r="E1286" i="15"/>
  <c r="F1286" i="15"/>
  <c r="G1286" i="15"/>
  <c r="H1286" i="15"/>
  <c r="I1286" i="15"/>
  <c r="J1286" i="15"/>
  <c r="K1286" i="15"/>
  <c r="L1286" i="15"/>
  <c r="M1286" i="15"/>
  <c r="N1286" i="15"/>
  <c r="O1286" i="15"/>
  <c r="P1286" i="15"/>
  <c r="Q1286" i="15"/>
  <c r="S1286" i="15"/>
  <c r="T1286" i="15"/>
  <c r="U1286" i="15"/>
  <c r="W1286" i="15"/>
  <c r="X1286" i="15"/>
  <c r="Y1286" i="15"/>
  <c r="Z1286" i="15"/>
  <c r="AA1286" i="15"/>
  <c r="AC1286" i="15"/>
  <c r="AG1286" i="15"/>
  <c r="AH1286" i="15"/>
  <c r="AI1286" i="15"/>
  <c r="AJ1286" i="15"/>
  <c r="AK1286" i="15"/>
  <c r="AL1286" i="15"/>
  <c r="AM1286" i="15"/>
  <c r="AQ1286" i="15"/>
  <c r="B1287" i="15"/>
  <c r="C1287" i="15"/>
  <c r="D1287" i="15"/>
  <c r="E1287" i="15"/>
  <c r="F1287" i="15"/>
  <c r="G1287" i="15"/>
  <c r="H1287" i="15"/>
  <c r="I1287" i="15"/>
  <c r="J1287" i="15"/>
  <c r="K1287" i="15"/>
  <c r="L1287" i="15"/>
  <c r="M1287" i="15"/>
  <c r="N1287" i="15"/>
  <c r="O1287" i="15"/>
  <c r="P1287" i="15"/>
  <c r="Q1287" i="15"/>
  <c r="S1287" i="15"/>
  <c r="T1287" i="15"/>
  <c r="U1287" i="15"/>
  <c r="W1287" i="15"/>
  <c r="X1287" i="15"/>
  <c r="Y1287" i="15"/>
  <c r="Z1287" i="15"/>
  <c r="AA1287" i="15"/>
  <c r="AC1287" i="15"/>
  <c r="AG1287" i="15"/>
  <c r="AH1287" i="15"/>
  <c r="AI1287" i="15"/>
  <c r="AJ1287" i="15"/>
  <c r="AK1287" i="15"/>
  <c r="AL1287" i="15"/>
  <c r="AM1287" i="15"/>
  <c r="AQ1287" i="15"/>
  <c r="B1288" i="15"/>
  <c r="C1288" i="15"/>
  <c r="D1288" i="15"/>
  <c r="E1288" i="15"/>
  <c r="F1288" i="15"/>
  <c r="G1288" i="15"/>
  <c r="H1288" i="15"/>
  <c r="I1288" i="15"/>
  <c r="J1288" i="15"/>
  <c r="K1288" i="15"/>
  <c r="L1288" i="15"/>
  <c r="M1288" i="15"/>
  <c r="N1288" i="15"/>
  <c r="O1288" i="15"/>
  <c r="P1288" i="15"/>
  <c r="Q1288" i="15"/>
  <c r="S1288" i="15"/>
  <c r="T1288" i="15"/>
  <c r="U1288" i="15"/>
  <c r="W1288" i="15"/>
  <c r="X1288" i="15"/>
  <c r="Y1288" i="15"/>
  <c r="Z1288" i="15"/>
  <c r="AA1288" i="15"/>
  <c r="AC1288" i="15"/>
  <c r="AG1288" i="15"/>
  <c r="AH1288" i="15"/>
  <c r="AI1288" i="15"/>
  <c r="AJ1288" i="15"/>
  <c r="AK1288" i="15"/>
  <c r="AL1288" i="15"/>
  <c r="AM1288" i="15"/>
  <c r="AQ1288" i="15"/>
  <c r="B1289" i="15"/>
  <c r="C1289" i="15"/>
  <c r="D1289" i="15"/>
  <c r="E1289" i="15"/>
  <c r="F1289" i="15"/>
  <c r="G1289" i="15"/>
  <c r="H1289" i="15"/>
  <c r="I1289" i="15"/>
  <c r="J1289" i="15"/>
  <c r="K1289" i="15"/>
  <c r="L1289" i="15"/>
  <c r="M1289" i="15"/>
  <c r="N1289" i="15"/>
  <c r="O1289" i="15"/>
  <c r="P1289" i="15"/>
  <c r="Q1289" i="15"/>
  <c r="S1289" i="15"/>
  <c r="T1289" i="15"/>
  <c r="U1289" i="15"/>
  <c r="W1289" i="15"/>
  <c r="X1289" i="15"/>
  <c r="Y1289" i="15"/>
  <c r="Z1289" i="15"/>
  <c r="AA1289" i="15"/>
  <c r="AC1289" i="15"/>
  <c r="AG1289" i="15"/>
  <c r="AH1289" i="15"/>
  <c r="AI1289" i="15"/>
  <c r="AJ1289" i="15"/>
  <c r="AK1289" i="15"/>
  <c r="AL1289" i="15"/>
  <c r="AM1289" i="15"/>
  <c r="AQ1289" i="15"/>
  <c r="B1290" i="15"/>
  <c r="C1290" i="15"/>
  <c r="E1290" i="15"/>
  <c r="F1290" i="15"/>
  <c r="G1290" i="15"/>
  <c r="I1290" i="15"/>
  <c r="J1290" i="15"/>
  <c r="K1290" i="15"/>
  <c r="L1290" i="15"/>
  <c r="N1290" i="15"/>
  <c r="O1290" i="15"/>
  <c r="P1290" i="15"/>
  <c r="Q1290" i="15"/>
  <c r="S1290" i="15"/>
  <c r="T1290" i="15"/>
  <c r="U1290" i="15"/>
  <c r="W1290" i="15"/>
  <c r="X1290" i="15"/>
  <c r="Y1290" i="15"/>
  <c r="Z1290" i="15"/>
  <c r="AA1290" i="15"/>
  <c r="AC1290" i="15"/>
  <c r="AG1290" i="15"/>
  <c r="AH1290" i="15"/>
  <c r="AI1290" i="15"/>
  <c r="AJ1290" i="15"/>
  <c r="AK1290" i="15"/>
  <c r="AL1290" i="15"/>
  <c r="AM1290" i="15"/>
  <c r="AQ1290" i="15"/>
  <c r="B1291" i="15"/>
  <c r="C1291" i="15"/>
  <c r="E1291" i="15"/>
  <c r="F1291" i="15"/>
  <c r="G1291" i="15"/>
  <c r="I1291" i="15"/>
  <c r="J1291" i="15"/>
  <c r="K1291" i="15"/>
  <c r="L1291" i="15"/>
  <c r="N1291" i="15"/>
  <c r="O1291" i="15"/>
  <c r="P1291" i="15"/>
  <c r="Q1291" i="15"/>
  <c r="S1291" i="15"/>
  <c r="T1291" i="15"/>
  <c r="U1291" i="15"/>
  <c r="W1291" i="15"/>
  <c r="X1291" i="15"/>
  <c r="Y1291" i="15"/>
  <c r="Z1291" i="15"/>
  <c r="AA1291" i="15"/>
  <c r="AC1291" i="15"/>
  <c r="AG1291" i="15"/>
  <c r="AH1291" i="15"/>
  <c r="AI1291" i="15"/>
  <c r="AJ1291" i="15"/>
  <c r="AK1291" i="15"/>
  <c r="AL1291" i="15"/>
  <c r="AM1291" i="15"/>
  <c r="AQ1291" i="15"/>
  <c r="B1292" i="15"/>
  <c r="C1292" i="15"/>
  <c r="D1292" i="15"/>
  <c r="E1292" i="15"/>
  <c r="F1292" i="15"/>
  <c r="G1292" i="15"/>
  <c r="H1292" i="15"/>
  <c r="I1292" i="15"/>
  <c r="J1292" i="15"/>
  <c r="K1292" i="15"/>
  <c r="L1292" i="15"/>
  <c r="M1292" i="15"/>
  <c r="N1292" i="15"/>
  <c r="O1292" i="15"/>
  <c r="P1292" i="15"/>
  <c r="Q1292" i="15"/>
  <c r="S1292" i="15"/>
  <c r="T1292" i="15"/>
  <c r="U1292" i="15"/>
  <c r="W1292" i="15"/>
  <c r="X1292" i="15"/>
  <c r="Y1292" i="15"/>
  <c r="Z1292" i="15"/>
  <c r="AA1292" i="15"/>
  <c r="AC1292" i="15"/>
  <c r="AG1292" i="15"/>
  <c r="AH1292" i="15"/>
  <c r="AI1292" i="15"/>
  <c r="AJ1292" i="15"/>
  <c r="AK1292" i="15"/>
  <c r="AL1292" i="15"/>
  <c r="AM1292" i="15"/>
  <c r="AQ1292" i="15"/>
  <c r="B1293" i="15"/>
  <c r="C1293" i="15"/>
  <c r="D1293" i="15"/>
  <c r="E1293" i="15"/>
  <c r="F1293" i="15"/>
  <c r="G1293" i="15"/>
  <c r="H1293" i="15"/>
  <c r="I1293" i="15"/>
  <c r="J1293" i="15"/>
  <c r="K1293" i="15"/>
  <c r="L1293" i="15"/>
  <c r="M1293" i="15"/>
  <c r="N1293" i="15"/>
  <c r="O1293" i="15"/>
  <c r="P1293" i="15"/>
  <c r="Q1293" i="15"/>
  <c r="S1293" i="15"/>
  <c r="T1293" i="15"/>
  <c r="U1293" i="15"/>
  <c r="W1293" i="15"/>
  <c r="X1293" i="15"/>
  <c r="Y1293" i="15"/>
  <c r="Z1293" i="15"/>
  <c r="AA1293" i="15"/>
  <c r="AC1293" i="15"/>
  <c r="AG1293" i="15"/>
  <c r="AH1293" i="15"/>
  <c r="AI1293" i="15"/>
  <c r="AJ1293" i="15"/>
  <c r="AK1293" i="15"/>
  <c r="AL1293" i="15"/>
  <c r="AM1293" i="15"/>
  <c r="AQ1293" i="15"/>
  <c r="B1294" i="15"/>
  <c r="C1294" i="15"/>
  <c r="D1294" i="15"/>
  <c r="E1294" i="15"/>
  <c r="F1294" i="15"/>
  <c r="G1294" i="15"/>
  <c r="I1294" i="15"/>
  <c r="J1294" i="15"/>
  <c r="K1294" i="15"/>
  <c r="L1294" i="15"/>
  <c r="N1294" i="15"/>
  <c r="O1294" i="15"/>
  <c r="P1294" i="15"/>
  <c r="Q1294" i="15"/>
  <c r="S1294" i="15"/>
  <c r="T1294" i="15"/>
  <c r="U1294" i="15"/>
  <c r="W1294" i="15"/>
  <c r="X1294" i="15"/>
  <c r="Y1294" i="15"/>
  <c r="Z1294" i="15"/>
  <c r="AA1294" i="15"/>
  <c r="AC1294" i="15"/>
  <c r="AG1294" i="15"/>
  <c r="AH1294" i="15"/>
  <c r="AI1294" i="15"/>
  <c r="AJ1294" i="15"/>
  <c r="AK1294" i="15"/>
  <c r="AL1294" i="15"/>
  <c r="AM1294" i="15"/>
  <c r="AQ1294" i="15"/>
  <c r="B1295" i="15"/>
  <c r="C1295" i="15"/>
  <c r="D1295" i="15"/>
  <c r="E1295" i="15"/>
  <c r="F1295" i="15"/>
  <c r="G1295" i="15"/>
  <c r="I1295" i="15"/>
  <c r="J1295" i="15"/>
  <c r="K1295" i="15"/>
  <c r="L1295" i="15"/>
  <c r="N1295" i="15"/>
  <c r="O1295" i="15"/>
  <c r="P1295" i="15"/>
  <c r="Q1295" i="15"/>
  <c r="S1295" i="15"/>
  <c r="T1295" i="15"/>
  <c r="U1295" i="15"/>
  <c r="W1295" i="15"/>
  <c r="X1295" i="15"/>
  <c r="Y1295" i="15"/>
  <c r="Z1295" i="15"/>
  <c r="AA1295" i="15"/>
  <c r="AC1295" i="15"/>
  <c r="AG1295" i="15"/>
  <c r="AH1295" i="15"/>
  <c r="AI1295" i="15"/>
  <c r="AJ1295" i="15"/>
  <c r="AK1295" i="15"/>
  <c r="AL1295" i="15"/>
  <c r="AM1295" i="15"/>
  <c r="AQ1295" i="15"/>
  <c r="B1160" i="15"/>
  <c r="C1160" i="15"/>
  <c r="D1160" i="15"/>
  <c r="E1160" i="15"/>
  <c r="F1160" i="15"/>
  <c r="G1160" i="15"/>
  <c r="H1160" i="15"/>
  <c r="I1160" i="15"/>
  <c r="J1160" i="15"/>
  <c r="K1160" i="15"/>
  <c r="L1160" i="15"/>
  <c r="M1160" i="15"/>
  <c r="N1160" i="15"/>
  <c r="O1160" i="15"/>
  <c r="P1160" i="15"/>
  <c r="Q1160" i="15"/>
  <c r="S1160" i="15"/>
  <c r="T1160" i="15"/>
  <c r="U1160" i="15"/>
  <c r="W1160" i="15"/>
  <c r="X1160" i="15"/>
  <c r="Y1160" i="15"/>
  <c r="Z1160" i="15"/>
  <c r="AA1160" i="15"/>
  <c r="AC1160" i="15"/>
  <c r="AG1160" i="15"/>
  <c r="AH1160" i="15"/>
  <c r="AI1160" i="15"/>
  <c r="AJ1160" i="15"/>
  <c r="AK1160" i="15"/>
  <c r="AL1160" i="15"/>
  <c r="AM1160" i="15"/>
  <c r="AQ1160" i="15"/>
  <c r="B1161" i="15"/>
  <c r="C1161" i="15"/>
  <c r="D1161" i="15"/>
  <c r="E1161" i="15"/>
  <c r="F1161" i="15"/>
  <c r="G1161" i="15"/>
  <c r="H1161" i="15"/>
  <c r="I1161" i="15"/>
  <c r="J1161" i="15"/>
  <c r="K1161" i="15"/>
  <c r="L1161" i="15"/>
  <c r="M1161" i="15"/>
  <c r="N1161" i="15"/>
  <c r="O1161" i="15"/>
  <c r="P1161" i="15"/>
  <c r="Q1161" i="15"/>
  <c r="S1161" i="15"/>
  <c r="T1161" i="15"/>
  <c r="U1161" i="15"/>
  <c r="W1161" i="15"/>
  <c r="X1161" i="15"/>
  <c r="Y1161" i="15"/>
  <c r="Z1161" i="15"/>
  <c r="AA1161" i="15"/>
  <c r="AC1161" i="15"/>
  <c r="AG1161" i="15"/>
  <c r="AH1161" i="15"/>
  <c r="AI1161" i="15"/>
  <c r="AJ1161" i="15"/>
  <c r="AK1161" i="15"/>
  <c r="AL1161" i="15"/>
  <c r="AM1161" i="15"/>
  <c r="AQ1161" i="15"/>
  <c r="B1162" i="15"/>
  <c r="C1162" i="15"/>
  <c r="D1162" i="15"/>
  <c r="E1162" i="15"/>
  <c r="F1162" i="15"/>
  <c r="G1162" i="15"/>
  <c r="H1162" i="15"/>
  <c r="I1162" i="15"/>
  <c r="J1162" i="15"/>
  <c r="K1162" i="15"/>
  <c r="L1162" i="15"/>
  <c r="M1162" i="15"/>
  <c r="N1162" i="15"/>
  <c r="O1162" i="15"/>
  <c r="P1162" i="15"/>
  <c r="Q1162" i="15"/>
  <c r="S1162" i="15"/>
  <c r="T1162" i="15"/>
  <c r="U1162" i="15"/>
  <c r="W1162" i="15"/>
  <c r="X1162" i="15"/>
  <c r="Y1162" i="15"/>
  <c r="Z1162" i="15"/>
  <c r="AA1162" i="15"/>
  <c r="AC1162" i="15"/>
  <c r="AG1162" i="15"/>
  <c r="AH1162" i="15"/>
  <c r="AI1162" i="15"/>
  <c r="AJ1162" i="15"/>
  <c r="AK1162" i="15"/>
  <c r="AL1162" i="15"/>
  <c r="AM1162" i="15"/>
  <c r="AQ1162" i="15"/>
  <c r="B1163" i="15"/>
  <c r="C1163" i="15"/>
  <c r="D1163" i="15"/>
  <c r="E1163" i="15"/>
  <c r="F1163" i="15"/>
  <c r="G1163" i="15"/>
  <c r="H1163" i="15"/>
  <c r="I1163" i="15"/>
  <c r="J1163" i="15"/>
  <c r="K1163" i="15"/>
  <c r="L1163" i="15"/>
  <c r="M1163" i="15"/>
  <c r="N1163" i="15"/>
  <c r="O1163" i="15"/>
  <c r="P1163" i="15"/>
  <c r="Q1163" i="15"/>
  <c r="S1163" i="15"/>
  <c r="T1163" i="15"/>
  <c r="U1163" i="15"/>
  <c r="W1163" i="15"/>
  <c r="X1163" i="15"/>
  <c r="Y1163" i="15"/>
  <c r="Z1163" i="15"/>
  <c r="AA1163" i="15"/>
  <c r="AC1163" i="15"/>
  <c r="AG1163" i="15"/>
  <c r="AH1163" i="15"/>
  <c r="AI1163" i="15"/>
  <c r="AJ1163" i="15"/>
  <c r="AK1163" i="15"/>
  <c r="AL1163" i="15"/>
  <c r="AM1163" i="15"/>
  <c r="AQ1163" i="15"/>
  <c r="B1164" i="15"/>
  <c r="C1164" i="15"/>
  <c r="D1164" i="15"/>
  <c r="E1164" i="15"/>
  <c r="F1164" i="15"/>
  <c r="G1164" i="15"/>
  <c r="H1164" i="15"/>
  <c r="I1164" i="15"/>
  <c r="J1164" i="15"/>
  <c r="K1164" i="15"/>
  <c r="L1164" i="15"/>
  <c r="M1164" i="15"/>
  <c r="N1164" i="15"/>
  <c r="O1164" i="15"/>
  <c r="P1164" i="15"/>
  <c r="Q1164" i="15"/>
  <c r="S1164" i="15"/>
  <c r="T1164" i="15"/>
  <c r="U1164" i="15"/>
  <c r="W1164" i="15"/>
  <c r="X1164" i="15"/>
  <c r="Y1164" i="15"/>
  <c r="Z1164" i="15"/>
  <c r="AA1164" i="15"/>
  <c r="AC1164" i="15"/>
  <c r="AG1164" i="15"/>
  <c r="AH1164" i="15"/>
  <c r="AI1164" i="15"/>
  <c r="AJ1164" i="15"/>
  <c r="AK1164" i="15"/>
  <c r="AL1164" i="15"/>
  <c r="AM1164" i="15"/>
  <c r="AQ1164" i="15"/>
  <c r="B1165" i="15"/>
  <c r="C1165" i="15"/>
  <c r="D1165" i="15"/>
  <c r="E1165" i="15"/>
  <c r="F1165" i="15"/>
  <c r="G1165" i="15"/>
  <c r="H1165" i="15"/>
  <c r="I1165" i="15"/>
  <c r="J1165" i="15"/>
  <c r="K1165" i="15"/>
  <c r="L1165" i="15"/>
  <c r="M1165" i="15"/>
  <c r="N1165" i="15"/>
  <c r="O1165" i="15"/>
  <c r="P1165" i="15"/>
  <c r="Q1165" i="15"/>
  <c r="S1165" i="15"/>
  <c r="T1165" i="15"/>
  <c r="U1165" i="15"/>
  <c r="W1165" i="15"/>
  <c r="X1165" i="15"/>
  <c r="Y1165" i="15"/>
  <c r="Z1165" i="15"/>
  <c r="AA1165" i="15"/>
  <c r="AC1165" i="15"/>
  <c r="AG1165" i="15"/>
  <c r="AH1165" i="15"/>
  <c r="AI1165" i="15"/>
  <c r="AJ1165" i="15"/>
  <c r="AK1165" i="15"/>
  <c r="AL1165" i="15"/>
  <c r="AM1165" i="15"/>
  <c r="AQ1165" i="15"/>
  <c r="B1166" i="15"/>
  <c r="C1166" i="15"/>
  <c r="D1166" i="15"/>
  <c r="E1166" i="15"/>
  <c r="F1166" i="15"/>
  <c r="G1166" i="15"/>
  <c r="H1166" i="15"/>
  <c r="I1166" i="15"/>
  <c r="J1166" i="15"/>
  <c r="K1166" i="15"/>
  <c r="L1166" i="15"/>
  <c r="M1166" i="15"/>
  <c r="N1166" i="15"/>
  <c r="O1166" i="15"/>
  <c r="P1166" i="15"/>
  <c r="Q1166" i="15"/>
  <c r="S1166" i="15"/>
  <c r="T1166" i="15"/>
  <c r="U1166" i="15"/>
  <c r="W1166" i="15"/>
  <c r="X1166" i="15"/>
  <c r="Y1166" i="15"/>
  <c r="Z1166" i="15"/>
  <c r="AA1166" i="15"/>
  <c r="AC1166" i="15"/>
  <c r="AG1166" i="15"/>
  <c r="AH1166" i="15"/>
  <c r="AI1166" i="15"/>
  <c r="AJ1166" i="15"/>
  <c r="AK1166" i="15"/>
  <c r="AL1166" i="15"/>
  <c r="AM1166" i="15"/>
  <c r="AQ1166" i="15"/>
  <c r="B1167" i="15"/>
  <c r="C1167" i="15"/>
  <c r="D1167" i="15"/>
  <c r="E1167" i="15"/>
  <c r="F1167" i="15"/>
  <c r="G1167" i="15"/>
  <c r="H1167" i="15"/>
  <c r="I1167" i="15"/>
  <c r="J1167" i="15"/>
  <c r="K1167" i="15"/>
  <c r="L1167" i="15"/>
  <c r="M1167" i="15"/>
  <c r="N1167" i="15"/>
  <c r="O1167" i="15"/>
  <c r="P1167" i="15"/>
  <c r="Q1167" i="15"/>
  <c r="S1167" i="15"/>
  <c r="T1167" i="15"/>
  <c r="U1167" i="15"/>
  <c r="W1167" i="15"/>
  <c r="X1167" i="15"/>
  <c r="Y1167" i="15"/>
  <c r="Z1167" i="15"/>
  <c r="AA1167" i="15"/>
  <c r="AC1167" i="15"/>
  <c r="AG1167" i="15"/>
  <c r="AH1167" i="15"/>
  <c r="AI1167" i="15"/>
  <c r="AJ1167" i="15"/>
  <c r="AK1167" i="15"/>
  <c r="AL1167" i="15"/>
  <c r="AM1167" i="15"/>
  <c r="AQ1167" i="15"/>
  <c r="B1168" i="15"/>
  <c r="C1168" i="15"/>
  <c r="D1168" i="15"/>
  <c r="E1168" i="15"/>
  <c r="F1168" i="15"/>
  <c r="G1168" i="15"/>
  <c r="H1168" i="15"/>
  <c r="I1168" i="15"/>
  <c r="J1168" i="15"/>
  <c r="K1168" i="15"/>
  <c r="L1168" i="15"/>
  <c r="M1168" i="15"/>
  <c r="N1168" i="15"/>
  <c r="O1168" i="15"/>
  <c r="P1168" i="15"/>
  <c r="Q1168" i="15"/>
  <c r="S1168" i="15"/>
  <c r="T1168" i="15"/>
  <c r="U1168" i="15"/>
  <c r="W1168" i="15"/>
  <c r="X1168" i="15"/>
  <c r="Y1168" i="15"/>
  <c r="Z1168" i="15"/>
  <c r="AA1168" i="15"/>
  <c r="AC1168" i="15"/>
  <c r="AG1168" i="15"/>
  <c r="AH1168" i="15"/>
  <c r="AI1168" i="15"/>
  <c r="AJ1168" i="15"/>
  <c r="AK1168" i="15"/>
  <c r="AL1168" i="15"/>
  <c r="AM1168" i="15"/>
  <c r="AQ1168" i="15"/>
  <c r="B1169" i="15"/>
  <c r="C1169" i="15"/>
  <c r="D1169" i="15"/>
  <c r="E1169" i="15"/>
  <c r="F1169" i="15"/>
  <c r="G1169" i="15"/>
  <c r="H1169" i="15"/>
  <c r="I1169" i="15"/>
  <c r="J1169" i="15"/>
  <c r="K1169" i="15"/>
  <c r="L1169" i="15"/>
  <c r="M1169" i="15"/>
  <c r="N1169" i="15"/>
  <c r="O1169" i="15"/>
  <c r="P1169" i="15"/>
  <c r="Q1169" i="15"/>
  <c r="S1169" i="15"/>
  <c r="T1169" i="15"/>
  <c r="U1169" i="15"/>
  <c r="W1169" i="15"/>
  <c r="X1169" i="15"/>
  <c r="Y1169" i="15"/>
  <c r="Z1169" i="15"/>
  <c r="AA1169" i="15"/>
  <c r="AC1169" i="15"/>
  <c r="AG1169" i="15"/>
  <c r="AH1169" i="15"/>
  <c r="AI1169" i="15"/>
  <c r="AJ1169" i="15"/>
  <c r="AK1169" i="15"/>
  <c r="AL1169" i="15"/>
  <c r="AM1169" i="15"/>
  <c r="AQ1169" i="15"/>
  <c r="B1170" i="15"/>
  <c r="C1170" i="15"/>
  <c r="D1170" i="15"/>
  <c r="E1170" i="15"/>
  <c r="F1170" i="15"/>
  <c r="G1170" i="15"/>
  <c r="H1170" i="15"/>
  <c r="I1170" i="15"/>
  <c r="J1170" i="15"/>
  <c r="K1170" i="15"/>
  <c r="L1170" i="15"/>
  <c r="M1170" i="15"/>
  <c r="N1170" i="15"/>
  <c r="O1170" i="15"/>
  <c r="P1170" i="15"/>
  <c r="Q1170" i="15"/>
  <c r="S1170" i="15"/>
  <c r="T1170" i="15"/>
  <c r="U1170" i="15"/>
  <c r="W1170" i="15"/>
  <c r="X1170" i="15"/>
  <c r="Y1170" i="15"/>
  <c r="Z1170" i="15"/>
  <c r="AA1170" i="15"/>
  <c r="AC1170" i="15"/>
  <c r="AG1170" i="15"/>
  <c r="AH1170" i="15"/>
  <c r="AI1170" i="15"/>
  <c r="AJ1170" i="15"/>
  <c r="AK1170" i="15"/>
  <c r="AL1170" i="15"/>
  <c r="AM1170" i="15"/>
  <c r="AQ1170" i="15"/>
  <c r="B1171" i="15"/>
  <c r="C1171" i="15"/>
  <c r="D1171" i="15"/>
  <c r="E1171" i="15"/>
  <c r="F1171" i="15"/>
  <c r="G1171" i="15"/>
  <c r="H1171" i="15"/>
  <c r="I1171" i="15"/>
  <c r="J1171" i="15"/>
  <c r="K1171" i="15"/>
  <c r="L1171" i="15"/>
  <c r="M1171" i="15"/>
  <c r="N1171" i="15"/>
  <c r="O1171" i="15"/>
  <c r="P1171" i="15"/>
  <c r="Q1171" i="15"/>
  <c r="S1171" i="15"/>
  <c r="T1171" i="15"/>
  <c r="U1171" i="15"/>
  <c r="W1171" i="15"/>
  <c r="X1171" i="15"/>
  <c r="Y1171" i="15"/>
  <c r="Z1171" i="15"/>
  <c r="AA1171" i="15"/>
  <c r="AC1171" i="15"/>
  <c r="AG1171" i="15"/>
  <c r="AH1171" i="15"/>
  <c r="AI1171" i="15"/>
  <c r="AJ1171" i="15"/>
  <c r="AK1171" i="15"/>
  <c r="AL1171" i="15"/>
  <c r="AM1171" i="15"/>
  <c r="AQ1171" i="15"/>
  <c r="B1172" i="15"/>
  <c r="C1172" i="15"/>
  <c r="D1172" i="15"/>
  <c r="E1172" i="15"/>
  <c r="F1172" i="15"/>
  <c r="G1172" i="15"/>
  <c r="H1172" i="15"/>
  <c r="I1172" i="15"/>
  <c r="J1172" i="15"/>
  <c r="K1172" i="15"/>
  <c r="L1172" i="15"/>
  <c r="M1172" i="15"/>
  <c r="N1172" i="15"/>
  <c r="O1172" i="15"/>
  <c r="P1172" i="15"/>
  <c r="Q1172" i="15"/>
  <c r="S1172" i="15"/>
  <c r="T1172" i="15"/>
  <c r="U1172" i="15"/>
  <c r="W1172" i="15"/>
  <c r="X1172" i="15"/>
  <c r="Y1172" i="15"/>
  <c r="Z1172" i="15"/>
  <c r="AA1172" i="15"/>
  <c r="AC1172" i="15"/>
  <c r="AG1172" i="15"/>
  <c r="AH1172" i="15"/>
  <c r="AI1172" i="15"/>
  <c r="AJ1172" i="15"/>
  <c r="AK1172" i="15"/>
  <c r="AL1172" i="15"/>
  <c r="AM1172" i="15"/>
  <c r="AQ1172" i="15"/>
  <c r="B1173" i="15"/>
  <c r="C1173" i="15"/>
  <c r="D1173" i="15"/>
  <c r="E1173" i="15"/>
  <c r="F1173" i="15"/>
  <c r="G1173" i="15"/>
  <c r="H1173" i="15"/>
  <c r="I1173" i="15"/>
  <c r="J1173" i="15"/>
  <c r="K1173" i="15"/>
  <c r="L1173" i="15"/>
  <c r="M1173" i="15"/>
  <c r="N1173" i="15"/>
  <c r="O1173" i="15"/>
  <c r="P1173" i="15"/>
  <c r="Q1173" i="15"/>
  <c r="S1173" i="15"/>
  <c r="T1173" i="15"/>
  <c r="U1173" i="15"/>
  <c r="W1173" i="15"/>
  <c r="X1173" i="15"/>
  <c r="Y1173" i="15"/>
  <c r="Z1173" i="15"/>
  <c r="AA1173" i="15"/>
  <c r="AC1173" i="15"/>
  <c r="AG1173" i="15"/>
  <c r="AH1173" i="15"/>
  <c r="AI1173" i="15"/>
  <c r="AJ1173" i="15"/>
  <c r="AK1173" i="15"/>
  <c r="AL1173" i="15"/>
  <c r="AM1173" i="15"/>
  <c r="AQ1173" i="15"/>
  <c r="B1174" i="15"/>
  <c r="C1174" i="15"/>
  <c r="D1174" i="15"/>
  <c r="E1174" i="15"/>
  <c r="F1174" i="15"/>
  <c r="G1174" i="15"/>
  <c r="H1174" i="15"/>
  <c r="I1174" i="15"/>
  <c r="J1174" i="15"/>
  <c r="K1174" i="15"/>
  <c r="L1174" i="15"/>
  <c r="M1174" i="15"/>
  <c r="N1174" i="15"/>
  <c r="O1174" i="15"/>
  <c r="P1174" i="15"/>
  <c r="Q1174" i="15"/>
  <c r="S1174" i="15"/>
  <c r="T1174" i="15"/>
  <c r="U1174" i="15"/>
  <c r="W1174" i="15"/>
  <c r="X1174" i="15"/>
  <c r="Y1174" i="15"/>
  <c r="Z1174" i="15"/>
  <c r="AA1174" i="15"/>
  <c r="AC1174" i="15"/>
  <c r="AG1174" i="15"/>
  <c r="AH1174" i="15"/>
  <c r="AI1174" i="15"/>
  <c r="AJ1174" i="15"/>
  <c r="AK1174" i="15"/>
  <c r="AL1174" i="15"/>
  <c r="AM1174" i="15"/>
  <c r="AQ1174" i="15"/>
  <c r="B1175" i="15"/>
  <c r="C1175" i="15"/>
  <c r="D1175" i="15"/>
  <c r="E1175" i="15"/>
  <c r="F1175" i="15"/>
  <c r="G1175" i="15"/>
  <c r="H1175" i="15"/>
  <c r="I1175" i="15"/>
  <c r="J1175" i="15"/>
  <c r="K1175" i="15"/>
  <c r="L1175" i="15"/>
  <c r="M1175" i="15"/>
  <c r="N1175" i="15"/>
  <c r="O1175" i="15"/>
  <c r="P1175" i="15"/>
  <c r="Q1175" i="15"/>
  <c r="S1175" i="15"/>
  <c r="T1175" i="15"/>
  <c r="U1175" i="15"/>
  <c r="W1175" i="15"/>
  <c r="X1175" i="15"/>
  <c r="Y1175" i="15"/>
  <c r="Z1175" i="15"/>
  <c r="AA1175" i="15"/>
  <c r="AC1175" i="15"/>
  <c r="AG1175" i="15"/>
  <c r="AH1175" i="15"/>
  <c r="AI1175" i="15"/>
  <c r="AJ1175" i="15"/>
  <c r="AK1175" i="15"/>
  <c r="AL1175" i="15"/>
  <c r="AM1175" i="15"/>
  <c r="AQ1175" i="15"/>
  <c r="B1176" i="15"/>
  <c r="C1176" i="15"/>
  <c r="D1176" i="15"/>
  <c r="E1176" i="15"/>
  <c r="F1176" i="15"/>
  <c r="G1176" i="15"/>
  <c r="H1176" i="15"/>
  <c r="I1176" i="15"/>
  <c r="J1176" i="15"/>
  <c r="K1176" i="15"/>
  <c r="L1176" i="15"/>
  <c r="M1176" i="15"/>
  <c r="N1176" i="15"/>
  <c r="O1176" i="15"/>
  <c r="P1176" i="15"/>
  <c r="Q1176" i="15"/>
  <c r="S1176" i="15"/>
  <c r="T1176" i="15"/>
  <c r="U1176" i="15"/>
  <c r="W1176" i="15"/>
  <c r="X1176" i="15"/>
  <c r="Y1176" i="15"/>
  <c r="Z1176" i="15"/>
  <c r="AA1176" i="15"/>
  <c r="AC1176" i="15"/>
  <c r="AG1176" i="15"/>
  <c r="AH1176" i="15"/>
  <c r="AI1176" i="15"/>
  <c r="AJ1176" i="15"/>
  <c r="AK1176" i="15"/>
  <c r="AL1176" i="15"/>
  <c r="AM1176" i="15"/>
  <c r="AQ1176" i="15"/>
  <c r="B1177" i="15"/>
  <c r="C1177" i="15"/>
  <c r="D1177" i="15"/>
  <c r="E1177" i="15"/>
  <c r="F1177" i="15"/>
  <c r="G1177" i="15"/>
  <c r="H1177" i="15"/>
  <c r="I1177" i="15"/>
  <c r="J1177" i="15"/>
  <c r="K1177" i="15"/>
  <c r="L1177" i="15"/>
  <c r="M1177" i="15"/>
  <c r="N1177" i="15"/>
  <c r="O1177" i="15"/>
  <c r="P1177" i="15"/>
  <c r="Q1177" i="15"/>
  <c r="S1177" i="15"/>
  <c r="T1177" i="15"/>
  <c r="U1177" i="15"/>
  <c r="W1177" i="15"/>
  <c r="X1177" i="15"/>
  <c r="Y1177" i="15"/>
  <c r="Z1177" i="15"/>
  <c r="AA1177" i="15"/>
  <c r="AC1177" i="15"/>
  <c r="AG1177" i="15"/>
  <c r="AH1177" i="15"/>
  <c r="AI1177" i="15"/>
  <c r="AJ1177" i="15"/>
  <c r="AK1177" i="15"/>
  <c r="AL1177" i="15"/>
  <c r="AM1177" i="15"/>
  <c r="AQ1177" i="15"/>
  <c r="B1178" i="15"/>
  <c r="C1178" i="15"/>
  <c r="D1178" i="15"/>
  <c r="E1178" i="15"/>
  <c r="F1178" i="15"/>
  <c r="G1178" i="15"/>
  <c r="H1178" i="15"/>
  <c r="I1178" i="15"/>
  <c r="J1178" i="15"/>
  <c r="K1178" i="15"/>
  <c r="L1178" i="15"/>
  <c r="M1178" i="15"/>
  <c r="N1178" i="15"/>
  <c r="O1178" i="15"/>
  <c r="P1178" i="15"/>
  <c r="Q1178" i="15"/>
  <c r="S1178" i="15"/>
  <c r="T1178" i="15"/>
  <c r="U1178" i="15"/>
  <c r="W1178" i="15"/>
  <c r="X1178" i="15"/>
  <c r="Y1178" i="15"/>
  <c r="Z1178" i="15"/>
  <c r="AA1178" i="15"/>
  <c r="AC1178" i="15"/>
  <c r="AG1178" i="15"/>
  <c r="AH1178" i="15"/>
  <c r="AI1178" i="15"/>
  <c r="AJ1178" i="15"/>
  <c r="AK1178" i="15"/>
  <c r="AL1178" i="15"/>
  <c r="AM1178" i="15"/>
  <c r="AQ1178" i="15"/>
  <c r="B1179" i="15"/>
  <c r="C1179" i="15"/>
  <c r="D1179" i="15"/>
  <c r="E1179" i="15"/>
  <c r="F1179" i="15"/>
  <c r="G1179" i="15"/>
  <c r="H1179" i="15"/>
  <c r="I1179" i="15"/>
  <c r="J1179" i="15"/>
  <c r="K1179" i="15"/>
  <c r="L1179" i="15"/>
  <c r="M1179" i="15"/>
  <c r="N1179" i="15"/>
  <c r="O1179" i="15"/>
  <c r="P1179" i="15"/>
  <c r="Q1179" i="15"/>
  <c r="S1179" i="15"/>
  <c r="T1179" i="15"/>
  <c r="U1179" i="15"/>
  <c r="W1179" i="15"/>
  <c r="X1179" i="15"/>
  <c r="Y1179" i="15"/>
  <c r="Z1179" i="15"/>
  <c r="AA1179" i="15"/>
  <c r="AC1179" i="15"/>
  <c r="AG1179" i="15"/>
  <c r="AH1179" i="15"/>
  <c r="AI1179" i="15"/>
  <c r="AJ1179" i="15"/>
  <c r="AK1179" i="15"/>
  <c r="AL1179" i="15"/>
  <c r="AM1179" i="15"/>
  <c r="AQ1179" i="15"/>
  <c r="B1180" i="15"/>
  <c r="C1180" i="15"/>
  <c r="D1180" i="15"/>
  <c r="E1180" i="15"/>
  <c r="F1180" i="15"/>
  <c r="G1180" i="15"/>
  <c r="H1180" i="15"/>
  <c r="I1180" i="15"/>
  <c r="J1180" i="15"/>
  <c r="K1180" i="15"/>
  <c r="L1180" i="15"/>
  <c r="M1180" i="15"/>
  <c r="N1180" i="15"/>
  <c r="O1180" i="15"/>
  <c r="P1180" i="15"/>
  <c r="Q1180" i="15"/>
  <c r="S1180" i="15"/>
  <c r="T1180" i="15"/>
  <c r="U1180" i="15"/>
  <c r="W1180" i="15"/>
  <c r="X1180" i="15"/>
  <c r="Y1180" i="15"/>
  <c r="Z1180" i="15"/>
  <c r="AA1180" i="15"/>
  <c r="AC1180" i="15"/>
  <c r="AG1180" i="15"/>
  <c r="AH1180" i="15"/>
  <c r="AI1180" i="15"/>
  <c r="AJ1180" i="15"/>
  <c r="AK1180" i="15"/>
  <c r="AL1180" i="15"/>
  <c r="AM1180" i="15"/>
  <c r="AQ1180" i="15"/>
  <c r="B1181" i="15"/>
  <c r="C1181" i="15"/>
  <c r="D1181" i="15"/>
  <c r="E1181" i="15"/>
  <c r="F1181" i="15"/>
  <c r="G1181" i="15"/>
  <c r="H1181" i="15"/>
  <c r="I1181" i="15"/>
  <c r="J1181" i="15"/>
  <c r="K1181" i="15"/>
  <c r="L1181" i="15"/>
  <c r="M1181" i="15"/>
  <c r="N1181" i="15"/>
  <c r="O1181" i="15"/>
  <c r="P1181" i="15"/>
  <c r="Q1181" i="15"/>
  <c r="S1181" i="15"/>
  <c r="T1181" i="15"/>
  <c r="U1181" i="15"/>
  <c r="W1181" i="15"/>
  <c r="X1181" i="15"/>
  <c r="Y1181" i="15"/>
  <c r="Z1181" i="15"/>
  <c r="AA1181" i="15"/>
  <c r="AC1181" i="15"/>
  <c r="AG1181" i="15"/>
  <c r="AH1181" i="15"/>
  <c r="AI1181" i="15"/>
  <c r="AJ1181" i="15"/>
  <c r="AK1181" i="15"/>
  <c r="AL1181" i="15"/>
  <c r="AM1181" i="15"/>
  <c r="AQ1181" i="15"/>
  <c r="B1182" i="15"/>
  <c r="C1182" i="15"/>
  <c r="D1182" i="15"/>
  <c r="E1182" i="15"/>
  <c r="F1182" i="15"/>
  <c r="G1182" i="15"/>
  <c r="H1182" i="15"/>
  <c r="I1182" i="15"/>
  <c r="J1182" i="15"/>
  <c r="K1182" i="15"/>
  <c r="L1182" i="15"/>
  <c r="M1182" i="15"/>
  <c r="N1182" i="15"/>
  <c r="O1182" i="15"/>
  <c r="P1182" i="15"/>
  <c r="Q1182" i="15"/>
  <c r="S1182" i="15"/>
  <c r="T1182" i="15"/>
  <c r="U1182" i="15"/>
  <c r="W1182" i="15"/>
  <c r="X1182" i="15"/>
  <c r="Y1182" i="15"/>
  <c r="Z1182" i="15"/>
  <c r="AA1182" i="15"/>
  <c r="AC1182" i="15"/>
  <c r="AG1182" i="15"/>
  <c r="AH1182" i="15"/>
  <c r="AI1182" i="15"/>
  <c r="AJ1182" i="15"/>
  <c r="AK1182" i="15"/>
  <c r="AL1182" i="15"/>
  <c r="AM1182" i="15"/>
  <c r="AQ1182" i="15"/>
  <c r="B1183" i="15"/>
  <c r="C1183" i="15"/>
  <c r="D1183" i="15"/>
  <c r="E1183" i="15"/>
  <c r="F1183" i="15"/>
  <c r="G1183" i="15"/>
  <c r="H1183" i="15"/>
  <c r="I1183" i="15"/>
  <c r="J1183" i="15"/>
  <c r="K1183" i="15"/>
  <c r="L1183" i="15"/>
  <c r="M1183" i="15"/>
  <c r="N1183" i="15"/>
  <c r="O1183" i="15"/>
  <c r="P1183" i="15"/>
  <c r="Q1183" i="15"/>
  <c r="S1183" i="15"/>
  <c r="T1183" i="15"/>
  <c r="U1183" i="15"/>
  <c r="W1183" i="15"/>
  <c r="X1183" i="15"/>
  <c r="Y1183" i="15"/>
  <c r="Z1183" i="15"/>
  <c r="AA1183" i="15"/>
  <c r="AC1183" i="15"/>
  <c r="AG1183" i="15"/>
  <c r="AH1183" i="15"/>
  <c r="AI1183" i="15"/>
  <c r="AJ1183" i="15"/>
  <c r="AK1183" i="15"/>
  <c r="AL1183" i="15"/>
  <c r="AM1183" i="15"/>
  <c r="AQ1183" i="15"/>
  <c r="B1184" i="15"/>
  <c r="C1184" i="15"/>
  <c r="D1184" i="15"/>
  <c r="E1184" i="15"/>
  <c r="F1184" i="15"/>
  <c r="G1184" i="15"/>
  <c r="H1184" i="15"/>
  <c r="I1184" i="15"/>
  <c r="J1184" i="15"/>
  <c r="K1184" i="15"/>
  <c r="L1184" i="15"/>
  <c r="M1184" i="15"/>
  <c r="N1184" i="15"/>
  <c r="O1184" i="15"/>
  <c r="P1184" i="15"/>
  <c r="Q1184" i="15"/>
  <c r="S1184" i="15"/>
  <c r="T1184" i="15"/>
  <c r="U1184" i="15"/>
  <c r="W1184" i="15"/>
  <c r="X1184" i="15"/>
  <c r="Y1184" i="15"/>
  <c r="Z1184" i="15"/>
  <c r="AA1184" i="15"/>
  <c r="AC1184" i="15"/>
  <c r="AG1184" i="15"/>
  <c r="AH1184" i="15"/>
  <c r="AI1184" i="15"/>
  <c r="AJ1184" i="15"/>
  <c r="AK1184" i="15"/>
  <c r="AL1184" i="15"/>
  <c r="AM1184" i="15"/>
  <c r="AQ1184" i="15"/>
  <c r="B1185" i="15"/>
  <c r="C1185" i="15"/>
  <c r="D1185" i="15"/>
  <c r="E1185" i="15"/>
  <c r="F1185" i="15"/>
  <c r="G1185" i="15"/>
  <c r="H1185" i="15"/>
  <c r="I1185" i="15"/>
  <c r="J1185" i="15"/>
  <c r="K1185" i="15"/>
  <c r="L1185" i="15"/>
  <c r="M1185" i="15"/>
  <c r="N1185" i="15"/>
  <c r="O1185" i="15"/>
  <c r="P1185" i="15"/>
  <c r="Q1185" i="15"/>
  <c r="S1185" i="15"/>
  <c r="T1185" i="15"/>
  <c r="U1185" i="15"/>
  <c r="W1185" i="15"/>
  <c r="X1185" i="15"/>
  <c r="Y1185" i="15"/>
  <c r="Z1185" i="15"/>
  <c r="AA1185" i="15"/>
  <c r="AC1185" i="15"/>
  <c r="AG1185" i="15"/>
  <c r="AH1185" i="15"/>
  <c r="AI1185" i="15"/>
  <c r="AJ1185" i="15"/>
  <c r="AK1185" i="15"/>
  <c r="AL1185" i="15"/>
  <c r="AM1185" i="15"/>
  <c r="AQ1185" i="15"/>
  <c r="B1186" i="15"/>
  <c r="C1186" i="15"/>
  <c r="D1186" i="15"/>
  <c r="E1186" i="15"/>
  <c r="F1186" i="15"/>
  <c r="G1186" i="15"/>
  <c r="H1186" i="15"/>
  <c r="I1186" i="15"/>
  <c r="J1186" i="15"/>
  <c r="K1186" i="15"/>
  <c r="L1186" i="15"/>
  <c r="M1186" i="15"/>
  <c r="N1186" i="15"/>
  <c r="O1186" i="15"/>
  <c r="P1186" i="15"/>
  <c r="Q1186" i="15"/>
  <c r="S1186" i="15"/>
  <c r="T1186" i="15"/>
  <c r="U1186" i="15"/>
  <c r="W1186" i="15"/>
  <c r="X1186" i="15"/>
  <c r="Y1186" i="15"/>
  <c r="Z1186" i="15"/>
  <c r="AA1186" i="15"/>
  <c r="AC1186" i="15"/>
  <c r="AG1186" i="15"/>
  <c r="AH1186" i="15"/>
  <c r="AI1186" i="15"/>
  <c r="AJ1186" i="15"/>
  <c r="AK1186" i="15"/>
  <c r="AL1186" i="15"/>
  <c r="AM1186" i="15"/>
  <c r="AQ1186" i="15"/>
  <c r="B1187" i="15"/>
  <c r="C1187" i="15"/>
  <c r="D1187" i="15"/>
  <c r="E1187" i="15"/>
  <c r="F1187" i="15"/>
  <c r="G1187" i="15"/>
  <c r="H1187" i="15"/>
  <c r="I1187" i="15"/>
  <c r="J1187" i="15"/>
  <c r="K1187" i="15"/>
  <c r="L1187" i="15"/>
  <c r="M1187" i="15"/>
  <c r="N1187" i="15"/>
  <c r="O1187" i="15"/>
  <c r="P1187" i="15"/>
  <c r="Q1187" i="15"/>
  <c r="S1187" i="15"/>
  <c r="T1187" i="15"/>
  <c r="U1187" i="15"/>
  <c r="W1187" i="15"/>
  <c r="X1187" i="15"/>
  <c r="Y1187" i="15"/>
  <c r="Z1187" i="15"/>
  <c r="AA1187" i="15"/>
  <c r="AC1187" i="15"/>
  <c r="AG1187" i="15"/>
  <c r="AH1187" i="15"/>
  <c r="AI1187" i="15"/>
  <c r="AJ1187" i="15"/>
  <c r="AK1187" i="15"/>
  <c r="AL1187" i="15"/>
  <c r="AM1187" i="15"/>
  <c r="AQ1187" i="15"/>
  <c r="B1188" i="15"/>
  <c r="C1188" i="15"/>
  <c r="D1188" i="15"/>
  <c r="E1188" i="15"/>
  <c r="F1188" i="15"/>
  <c r="G1188" i="15"/>
  <c r="I1188" i="15"/>
  <c r="J1188" i="15"/>
  <c r="K1188" i="15"/>
  <c r="L1188" i="15"/>
  <c r="M1188" i="15"/>
  <c r="N1188" i="15"/>
  <c r="O1188" i="15"/>
  <c r="P1188" i="15"/>
  <c r="Q1188" i="15"/>
  <c r="S1188" i="15"/>
  <c r="T1188" i="15"/>
  <c r="U1188" i="15"/>
  <c r="W1188" i="15"/>
  <c r="X1188" i="15"/>
  <c r="Y1188" i="15"/>
  <c r="Z1188" i="15"/>
  <c r="AA1188" i="15"/>
  <c r="AC1188" i="15"/>
  <c r="AG1188" i="15"/>
  <c r="AH1188" i="15"/>
  <c r="AI1188" i="15"/>
  <c r="AJ1188" i="15"/>
  <c r="AK1188" i="15"/>
  <c r="AL1188" i="15"/>
  <c r="AM1188" i="15"/>
  <c r="AQ1188" i="15"/>
  <c r="B1189" i="15"/>
  <c r="C1189" i="15"/>
  <c r="D1189" i="15"/>
  <c r="E1189" i="15"/>
  <c r="F1189" i="15"/>
  <c r="G1189" i="15"/>
  <c r="H1189" i="15"/>
  <c r="I1189" i="15"/>
  <c r="J1189" i="15"/>
  <c r="K1189" i="15"/>
  <c r="L1189" i="15"/>
  <c r="M1189" i="15"/>
  <c r="N1189" i="15"/>
  <c r="O1189" i="15"/>
  <c r="P1189" i="15"/>
  <c r="Q1189" i="15"/>
  <c r="S1189" i="15"/>
  <c r="T1189" i="15"/>
  <c r="U1189" i="15"/>
  <c r="W1189" i="15"/>
  <c r="X1189" i="15"/>
  <c r="Y1189" i="15"/>
  <c r="Z1189" i="15"/>
  <c r="AA1189" i="15"/>
  <c r="AC1189" i="15"/>
  <c r="AG1189" i="15"/>
  <c r="AH1189" i="15"/>
  <c r="AI1189" i="15"/>
  <c r="AJ1189" i="15"/>
  <c r="AK1189" i="15"/>
  <c r="AL1189" i="15"/>
  <c r="AM1189" i="15"/>
  <c r="AQ1189" i="15"/>
  <c r="B1190" i="15"/>
  <c r="C1190" i="15"/>
  <c r="D1190" i="15"/>
  <c r="E1190" i="15"/>
  <c r="F1190" i="15"/>
  <c r="G1190" i="15"/>
  <c r="I1190" i="15"/>
  <c r="J1190" i="15"/>
  <c r="K1190" i="15"/>
  <c r="L1190" i="15"/>
  <c r="M1190" i="15"/>
  <c r="N1190" i="15"/>
  <c r="O1190" i="15"/>
  <c r="P1190" i="15"/>
  <c r="Q1190" i="15"/>
  <c r="S1190" i="15"/>
  <c r="T1190" i="15"/>
  <c r="U1190" i="15"/>
  <c r="W1190" i="15"/>
  <c r="X1190" i="15"/>
  <c r="Y1190" i="15"/>
  <c r="Z1190" i="15"/>
  <c r="AA1190" i="15"/>
  <c r="AC1190" i="15"/>
  <c r="AG1190" i="15"/>
  <c r="AH1190" i="15"/>
  <c r="AI1190" i="15"/>
  <c r="AJ1190" i="15"/>
  <c r="AK1190" i="15"/>
  <c r="AL1190" i="15"/>
  <c r="AM1190" i="15"/>
  <c r="AQ1190" i="15"/>
  <c r="B1191" i="15"/>
  <c r="C1191" i="15"/>
  <c r="D1191" i="15"/>
  <c r="E1191" i="15"/>
  <c r="F1191" i="15"/>
  <c r="G1191" i="15"/>
  <c r="H1191" i="15"/>
  <c r="I1191" i="15"/>
  <c r="J1191" i="15"/>
  <c r="K1191" i="15"/>
  <c r="L1191" i="15"/>
  <c r="M1191" i="15"/>
  <c r="N1191" i="15"/>
  <c r="O1191" i="15"/>
  <c r="P1191" i="15"/>
  <c r="Q1191" i="15"/>
  <c r="S1191" i="15"/>
  <c r="T1191" i="15"/>
  <c r="U1191" i="15"/>
  <c r="W1191" i="15"/>
  <c r="X1191" i="15"/>
  <c r="Y1191" i="15"/>
  <c r="Z1191" i="15"/>
  <c r="AA1191" i="15"/>
  <c r="AC1191" i="15"/>
  <c r="AG1191" i="15"/>
  <c r="AH1191" i="15"/>
  <c r="AI1191" i="15"/>
  <c r="AJ1191" i="15"/>
  <c r="AK1191" i="15"/>
  <c r="AL1191" i="15"/>
  <c r="AM1191" i="15"/>
  <c r="AQ1191" i="15"/>
  <c r="B1192" i="15"/>
  <c r="C1192" i="15"/>
  <c r="D1192" i="15"/>
  <c r="E1192" i="15"/>
  <c r="F1192" i="15"/>
  <c r="G1192" i="15"/>
  <c r="H1192" i="15"/>
  <c r="I1192" i="15"/>
  <c r="J1192" i="15"/>
  <c r="K1192" i="15"/>
  <c r="L1192" i="15"/>
  <c r="M1192" i="15"/>
  <c r="N1192" i="15"/>
  <c r="O1192" i="15"/>
  <c r="P1192" i="15"/>
  <c r="Q1192" i="15"/>
  <c r="S1192" i="15"/>
  <c r="T1192" i="15"/>
  <c r="U1192" i="15"/>
  <c r="W1192" i="15"/>
  <c r="X1192" i="15"/>
  <c r="Y1192" i="15"/>
  <c r="Z1192" i="15"/>
  <c r="AA1192" i="15"/>
  <c r="AC1192" i="15"/>
  <c r="AG1192" i="15"/>
  <c r="AH1192" i="15"/>
  <c r="AI1192" i="15"/>
  <c r="AJ1192" i="15"/>
  <c r="AK1192" i="15"/>
  <c r="AL1192" i="15"/>
  <c r="AM1192" i="15"/>
  <c r="AQ1192" i="15"/>
  <c r="B1193" i="15"/>
  <c r="C1193" i="15"/>
  <c r="D1193" i="15"/>
  <c r="E1193" i="15"/>
  <c r="F1193" i="15"/>
  <c r="G1193" i="15"/>
  <c r="H1193" i="15"/>
  <c r="I1193" i="15"/>
  <c r="J1193" i="15"/>
  <c r="K1193" i="15"/>
  <c r="L1193" i="15"/>
  <c r="M1193" i="15"/>
  <c r="N1193" i="15"/>
  <c r="O1193" i="15"/>
  <c r="P1193" i="15"/>
  <c r="Q1193" i="15"/>
  <c r="S1193" i="15"/>
  <c r="T1193" i="15"/>
  <c r="U1193" i="15"/>
  <c r="W1193" i="15"/>
  <c r="X1193" i="15"/>
  <c r="Y1193" i="15"/>
  <c r="Z1193" i="15"/>
  <c r="AA1193" i="15"/>
  <c r="AC1193" i="15"/>
  <c r="AG1193" i="15"/>
  <c r="AH1193" i="15"/>
  <c r="AI1193" i="15"/>
  <c r="AJ1193" i="15"/>
  <c r="AK1193" i="15"/>
  <c r="AL1193" i="15"/>
  <c r="AM1193" i="15"/>
  <c r="AQ1193" i="15"/>
  <c r="B1194" i="15"/>
  <c r="C1194" i="15"/>
  <c r="D1194" i="15"/>
  <c r="E1194" i="15"/>
  <c r="F1194" i="15"/>
  <c r="G1194" i="15"/>
  <c r="H1194" i="15"/>
  <c r="I1194" i="15"/>
  <c r="J1194" i="15"/>
  <c r="K1194" i="15"/>
  <c r="L1194" i="15"/>
  <c r="M1194" i="15"/>
  <c r="N1194" i="15"/>
  <c r="O1194" i="15"/>
  <c r="P1194" i="15"/>
  <c r="Q1194" i="15"/>
  <c r="S1194" i="15"/>
  <c r="T1194" i="15"/>
  <c r="U1194" i="15"/>
  <c r="W1194" i="15"/>
  <c r="X1194" i="15"/>
  <c r="Y1194" i="15"/>
  <c r="Z1194" i="15"/>
  <c r="AA1194" i="15"/>
  <c r="AC1194" i="15"/>
  <c r="AG1194" i="15"/>
  <c r="AH1194" i="15"/>
  <c r="AI1194" i="15"/>
  <c r="AJ1194" i="15"/>
  <c r="AK1194" i="15"/>
  <c r="AL1194" i="15"/>
  <c r="AM1194" i="15"/>
  <c r="AQ1194" i="15"/>
  <c r="B1195" i="15"/>
  <c r="C1195" i="15"/>
  <c r="D1195" i="15"/>
  <c r="E1195" i="15"/>
  <c r="F1195" i="15"/>
  <c r="G1195" i="15"/>
  <c r="H1195" i="15"/>
  <c r="I1195" i="15"/>
  <c r="J1195" i="15"/>
  <c r="K1195" i="15"/>
  <c r="L1195" i="15"/>
  <c r="M1195" i="15"/>
  <c r="N1195" i="15"/>
  <c r="O1195" i="15"/>
  <c r="P1195" i="15"/>
  <c r="Q1195" i="15"/>
  <c r="S1195" i="15"/>
  <c r="T1195" i="15"/>
  <c r="U1195" i="15"/>
  <c r="W1195" i="15"/>
  <c r="X1195" i="15"/>
  <c r="Y1195" i="15"/>
  <c r="Z1195" i="15"/>
  <c r="AA1195" i="15"/>
  <c r="AC1195" i="15"/>
  <c r="AG1195" i="15"/>
  <c r="AH1195" i="15"/>
  <c r="AI1195" i="15"/>
  <c r="AJ1195" i="15"/>
  <c r="AK1195" i="15"/>
  <c r="AL1195" i="15"/>
  <c r="AM1195" i="15"/>
  <c r="AQ1195" i="15"/>
  <c r="B1196" i="15"/>
  <c r="C1196" i="15"/>
  <c r="D1196" i="15"/>
  <c r="E1196" i="15"/>
  <c r="F1196" i="15"/>
  <c r="G1196" i="15"/>
  <c r="H1196" i="15"/>
  <c r="I1196" i="15"/>
  <c r="J1196" i="15"/>
  <c r="K1196" i="15"/>
  <c r="L1196" i="15"/>
  <c r="M1196" i="15"/>
  <c r="N1196" i="15"/>
  <c r="O1196" i="15"/>
  <c r="P1196" i="15"/>
  <c r="Q1196" i="15"/>
  <c r="S1196" i="15"/>
  <c r="T1196" i="15"/>
  <c r="U1196" i="15"/>
  <c r="W1196" i="15"/>
  <c r="X1196" i="15"/>
  <c r="Y1196" i="15"/>
  <c r="Z1196" i="15"/>
  <c r="AA1196" i="15"/>
  <c r="AC1196" i="15"/>
  <c r="AG1196" i="15"/>
  <c r="AH1196" i="15"/>
  <c r="AI1196" i="15"/>
  <c r="AJ1196" i="15"/>
  <c r="AK1196" i="15"/>
  <c r="AL1196" i="15"/>
  <c r="AM1196" i="15"/>
  <c r="AQ1196" i="15"/>
  <c r="B1197" i="15"/>
  <c r="C1197" i="15"/>
  <c r="D1197" i="15"/>
  <c r="E1197" i="15"/>
  <c r="F1197" i="15"/>
  <c r="G1197" i="15"/>
  <c r="H1197" i="15"/>
  <c r="I1197" i="15"/>
  <c r="J1197" i="15"/>
  <c r="K1197" i="15"/>
  <c r="L1197" i="15"/>
  <c r="M1197" i="15"/>
  <c r="N1197" i="15"/>
  <c r="O1197" i="15"/>
  <c r="P1197" i="15"/>
  <c r="Q1197" i="15"/>
  <c r="S1197" i="15"/>
  <c r="T1197" i="15"/>
  <c r="U1197" i="15"/>
  <c r="W1197" i="15"/>
  <c r="X1197" i="15"/>
  <c r="Y1197" i="15"/>
  <c r="Z1197" i="15"/>
  <c r="AA1197" i="15"/>
  <c r="AC1197" i="15"/>
  <c r="AG1197" i="15"/>
  <c r="AH1197" i="15"/>
  <c r="AI1197" i="15"/>
  <c r="AJ1197" i="15"/>
  <c r="AK1197" i="15"/>
  <c r="AL1197" i="15"/>
  <c r="AM1197" i="15"/>
  <c r="AQ1197" i="15"/>
  <c r="B1198" i="15"/>
  <c r="C1198" i="15"/>
  <c r="D1198" i="15"/>
  <c r="E1198" i="15"/>
  <c r="F1198" i="15"/>
  <c r="G1198" i="15"/>
  <c r="I1198" i="15"/>
  <c r="J1198" i="15"/>
  <c r="K1198" i="15"/>
  <c r="L1198" i="15"/>
  <c r="M1198" i="15"/>
  <c r="N1198" i="15"/>
  <c r="O1198" i="15"/>
  <c r="P1198" i="15"/>
  <c r="Q1198" i="15"/>
  <c r="S1198" i="15"/>
  <c r="T1198" i="15"/>
  <c r="U1198" i="15"/>
  <c r="W1198" i="15"/>
  <c r="X1198" i="15"/>
  <c r="Y1198" i="15"/>
  <c r="Z1198" i="15"/>
  <c r="AA1198" i="15"/>
  <c r="AC1198" i="15"/>
  <c r="AG1198" i="15"/>
  <c r="AH1198" i="15"/>
  <c r="AI1198" i="15"/>
  <c r="AJ1198" i="15"/>
  <c r="AK1198" i="15"/>
  <c r="AL1198" i="15"/>
  <c r="AM1198" i="15"/>
  <c r="AQ1198" i="15"/>
  <c r="B1199" i="15"/>
  <c r="C1199" i="15"/>
  <c r="D1199" i="15"/>
  <c r="E1199" i="15"/>
  <c r="F1199" i="15"/>
  <c r="G1199" i="15"/>
  <c r="I1199" i="15"/>
  <c r="J1199" i="15"/>
  <c r="K1199" i="15"/>
  <c r="L1199" i="15"/>
  <c r="M1199" i="15"/>
  <c r="N1199" i="15"/>
  <c r="O1199" i="15"/>
  <c r="P1199" i="15"/>
  <c r="Q1199" i="15"/>
  <c r="S1199" i="15"/>
  <c r="T1199" i="15"/>
  <c r="U1199" i="15"/>
  <c r="W1199" i="15"/>
  <c r="X1199" i="15"/>
  <c r="Y1199" i="15"/>
  <c r="Z1199" i="15"/>
  <c r="AA1199" i="15"/>
  <c r="AC1199" i="15"/>
  <c r="AG1199" i="15"/>
  <c r="AH1199" i="15"/>
  <c r="AI1199" i="15"/>
  <c r="AJ1199" i="15"/>
  <c r="AK1199" i="15"/>
  <c r="AL1199" i="15"/>
  <c r="AM1199" i="15"/>
  <c r="AQ1199" i="15"/>
  <c r="B1200" i="15"/>
  <c r="C1200" i="15"/>
  <c r="D1200" i="15"/>
  <c r="E1200" i="15"/>
  <c r="F1200" i="15"/>
  <c r="G1200" i="15"/>
  <c r="H1200" i="15"/>
  <c r="I1200" i="15"/>
  <c r="J1200" i="15"/>
  <c r="K1200" i="15"/>
  <c r="L1200" i="15"/>
  <c r="M1200" i="15"/>
  <c r="N1200" i="15"/>
  <c r="O1200" i="15"/>
  <c r="P1200" i="15"/>
  <c r="Q1200" i="15"/>
  <c r="S1200" i="15"/>
  <c r="T1200" i="15"/>
  <c r="U1200" i="15"/>
  <c r="W1200" i="15"/>
  <c r="X1200" i="15"/>
  <c r="Y1200" i="15"/>
  <c r="Z1200" i="15"/>
  <c r="AA1200" i="15"/>
  <c r="AC1200" i="15"/>
  <c r="AG1200" i="15"/>
  <c r="AH1200" i="15"/>
  <c r="AI1200" i="15"/>
  <c r="AJ1200" i="15"/>
  <c r="AK1200" i="15"/>
  <c r="AL1200" i="15"/>
  <c r="AM1200" i="15"/>
  <c r="AQ1200" i="15"/>
  <c r="B1201" i="15"/>
  <c r="C1201" i="15"/>
  <c r="D1201" i="15"/>
  <c r="E1201" i="15"/>
  <c r="F1201" i="15"/>
  <c r="G1201" i="15"/>
  <c r="H1201" i="15"/>
  <c r="I1201" i="15"/>
  <c r="J1201" i="15"/>
  <c r="K1201" i="15"/>
  <c r="L1201" i="15"/>
  <c r="M1201" i="15"/>
  <c r="N1201" i="15"/>
  <c r="O1201" i="15"/>
  <c r="P1201" i="15"/>
  <c r="Q1201" i="15"/>
  <c r="S1201" i="15"/>
  <c r="T1201" i="15"/>
  <c r="U1201" i="15"/>
  <c r="W1201" i="15"/>
  <c r="X1201" i="15"/>
  <c r="Y1201" i="15"/>
  <c r="Z1201" i="15"/>
  <c r="AA1201" i="15"/>
  <c r="AC1201" i="15"/>
  <c r="AG1201" i="15"/>
  <c r="AH1201" i="15"/>
  <c r="AI1201" i="15"/>
  <c r="AJ1201" i="15"/>
  <c r="AK1201" i="15"/>
  <c r="AL1201" i="15"/>
  <c r="AM1201" i="15"/>
  <c r="AQ1201" i="15"/>
  <c r="B1202" i="15"/>
  <c r="C1202" i="15"/>
  <c r="D1202" i="15"/>
  <c r="E1202" i="15"/>
  <c r="F1202" i="15"/>
  <c r="G1202" i="15"/>
  <c r="H1202" i="15"/>
  <c r="I1202" i="15"/>
  <c r="J1202" i="15"/>
  <c r="K1202" i="15"/>
  <c r="L1202" i="15"/>
  <c r="M1202" i="15"/>
  <c r="N1202" i="15"/>
  <c r="O1202" i="15"/>
  <c r="P1202" i="15"/>
  <c r="Q1202" i="15"/>
  <c r="S1202" i="15"/>
  <c r="T1202" i="15"/>
  <c r="U1202" i="15"/>
  <c r="W1202" i="15"/>
  <c r="X1202" i="15"/>
  <c r="Y1202" i="15"/>
  <c r="Z1202" i="15"/>
  <c r="AA1202" i="15"/>
  <c r="AC1202" i="15"/>
  <c r="AG1202" i="15"/>
  <c r="AH1202" i="15"/>
  <c r="AI1202" i="15"/>
  <c r="AJ1202" i="15"/>
  <c r="AK1202" i="15"/>
  <c r="AL1202" i="15"/>
  <c r="AM1202" i="15"/>
  <c r="AQ1202" i="15"/>
  <c r="B1203" i="15"/>
  <c r="C1203" i="15"/>
  <c r="D1203" i="15"/>
  <c r="E1203" i="15"/>
  <c r="F1203" i="15"/>
  <c r="G1203" i="15"/>
  <c r="H1203" i="15"/>
  <c r="I1203" i="15"/>
  <c r="J1203" i="15"/>
  <c r="K1203" i="15"/>
  <c r="L1203" i="15"/>
  <c r="M1203" i="15"/>
  <c r="N1203" i="15"/>
  <c r="O1203" i="15"/>
  <c r="P1203" i="15"/>
  <c r="Q1203" i="15"/>
  <c r="S1203" i="15"/>
  <c r="T1203" i="15"/>
  <c r="U1203" i="15"/>
  <c r="W1203" i="15"/>
  <c r="X1203" i="15"/>
  <c r="Y1203" i="15"/>
  <c r="Z1203" i="15"/>
  <c r="AA1203" i="15"/>
  <c r="AC1203" i="15"/>
  <c r="AG1203" i="15"/>
  <c r="AH1203" i="15"/>
  <c r="AI1203" i="15"/>
  <c r="AJ1203" i="15"/>
  <c r="AK1203" i="15"/>
  <c r="AL1203" i="15"/>
  <c r="AM1203" i="15"/>
  <c r="AQ1203" i="15"/>
  <c r="B1204" i="15"/>
  <c r="C1204" i="15"/>
  <c r="D1204" i="15"/>
  <c r="E1204" i="15"/>
  <c r="F1204" i="15"/>
  <c r="G1204" i="15"/>
  <c r="H1204" i="15"/>
  <c r="I1204" i="15"/>
  <c r="J1204" i="15"/>
  <c r="K1204" i="15"/>
  <c r="L1204" i="15"/>
  <c r="M1204" i="15"/>
  <c r="N1204" i="15"/>
  <c r="O1204" i="15"/>
  <c r="P1204" i="15"/>
  <c r="Q1204" i="15"/>
  <c r="S1204" i="15"/>
  <c r="T1204" i="15"/>
  <c r="U1204" i="15"/>
  <c r="W1204" i="15"/>
  <c r="X1204" i="15"/>
  <c r="Y1204" i="15"/>
  <c r="Z1204" i="15"/>
  <c r="AA1204" i="15"/>
  <c r="AC1204" i="15"/>
  <c r="AG1204" i="15"/>
  <c r="AH1204" i="15"/>
  <c r="AI1204" i="15"/>
  <c r="AJ1204" i="15"/>
  <c r="AK1204" i="15"/>
  <c r="AL1204" i="15"/>
  <c r="AM1204" i="15"/>
  <c r="AQ1204" i="15"/>
  <c r="B1205" i="15"/>
  <c r="C1205" i="15"/>
  <c r="D1205" i="15"/>
  <c r="E1205" i="15"/>
  <c r="F1205" i="15"/>
  <c r="G1205" i="15"/>
  <c r="H1205" i="15"/>
  <c r="I1205" i="15"/>
  <c r="J1205" i="15"/>
  <c r="K1205" i="15"/>
  <c r="L1205" i="15"/>
  <c r="M1205" i="15"/>
  <c r="N1205" i="15"/>
  <c r="O1205" i="15"/>
  <c r="P1205" i="15"/>
  <c r="Q1205" i="15"/>
  <c r="S1205" i="15"/>
  <c r="T1205" i="15"/>
  <c r="U1205" i="15"/>
  <c r="W1205" i="15"/>
  <c r="X1205" i="15"/>
  <c r="Y1205" i="15"/>
  <c r="Z1205" i="15"/>
  <c r="AA1205" i="15"/>
  <c r="AC1205" i="15"/>
  <c r="AG1205" i="15"/>
  <c r="AH1205" i="15"/>
  <c r="AI1205" i="15"/>
  <c r="AJ1205" i="15"/>
  <c r="AK1205" i="15"/>
  <c r="AL1205" i="15"/>
  <c r="AM1205" i="15"/>
  <c r="AQ1205" i="15"/>
  <c r="B1206" i="15"/>
  <c r="C1206" i="15"/>
  <c r="D1206" i="15"/>
  <c r="E1206" i="15"/>
  <c r="F1206" i="15"/>
  <c r="G1206" i="15"/>
  <c r="H1206" i="15"/>
  <c r="I1206" i="15"/>
  <c r="J1206" i="15"/>
  <c r="K1206" i="15"/>
  <c r="L1206" i="15"/>
  <c r="M1206" i="15"/>
  <c r="N1206" i="15"/>
  <c r="O1206" i="15"/>
  <c r="P1206" i="15"/>
  <c r="Q1206" i="15"/>
  <c r="S1206" i="15"/>
  <c r="T1206" i="15"/>
  <c r="U1206" i="15"/>
  <c r="W1206" i="15"/>
  <c r="X1206" i="15"/>
  <c r="Y1206" i="15"/>
  <c r="Z1206" i="15"/>
  <c r="AA1206" i="15"/>
  <c r="AC1206" i="15"/>
  <c r="AG1206" i="15"/>
  <c r="AH1206" i="15"/>
  <c r="AI1206" i="15"/>
  <c r="AJ1206" i="15"/>
  <c r="AK1206" i="15"/>
  <c r="AL1206" i="15"/>
  <c r="AM1206" i="15"/>
  <c r="AQ1206" i="15"/>
  <c r="B1207" i="15"/>
  <c r="C1207" i="15"/>
  <c r="D1207" i="15"/>
  <c r="E1207" i="15"/>
  <c r="F1207" i="15"/>
  <c r="G1207" i="15"/>
  <c r="H1207" i="15"/>
  <c r="I1207" i="15"/>
  <c r="J1207" i="15"/>
  <c r="K1207" i="15"/>
  <c r="L1207" i="15"/>
  <c r="M1207" i="15"/>
  <c r="N1207" i="15"/>
  <c r="O1207" i="15"/>
  <c r="P1207" i="15"/>
  <c r="Q1207" i="15"/>
  <c r="S1207" i="15"/>
  <c r="T1207" i="15"/>
  <c r="U1207" i="15"/>
  <c r="W1207" i="15"/>
  <c r="X1207" i="15"/>
  <c r="Y1207" i="15"/>
  <c r="Z1207" i="15"/>
  <c r="AA1207" i="15"/>
  <c r="AC1207" i="15"/>
  <c r="AI1207" i="15"/>
  <c r="AL1207" i="15"/>
  <c r="AM1207" i="15"/>
  <c r="AQ1207" i="15"/>
  <c r="B1208" i="15"/>
  <c r="C1208" i="15"/>
  <c r="D1208" i="15"/>
  <c r="E1208" i="15"/>
  <c r="F1208" i="15"/>
  <c r="G1208" i="15"/>
  <c r="H1208" i="15"/>
  <c r="I1208" i="15"/>
  <c r="J1208" i="15"/>
  <c r="K1208" i="15"/>
  <c r="L1208" i="15"/>
  <c r="M1208" i="15"/>
  <c r="N1208" i="15"/>
  <c r="O1208" i="15"/>
  <c r="P1208" i="15"/>
  <c r="Q1208" i="15"/>
  <c r="S1208" i="15"/>
  <c r="T1208" i="15"/>
  <c r="U1208" i="15"/>
  <c r="W1208" i="15"/>
  <c r="X1208" i="15"/>
  <c r="Y1208" i="15"/>
  <c r="Z1208" i="15"/>
  <c r="AA1208" i="15"/>
  <c r="AC1208" i="15"/>
  <c r="AI1208" i="15"/>
  <c r="AL1208" i="15"/>
  <c r="AM1208" i="15"/>
  <c r="AQ1208" i="15"/>
  <c r="B1209" i="15"/>
  <c r="C1209" i="15"/>
  <c r="D1209" i="15"/>
  <c r="E1209" i="15"/>
  <c r="F1209" i="15"/>
  <c r="G1209" i="15"/>
  <c r="H1209" i="15"/>
  <c r="I1209" i="15"/>
  <c r="J1209" i="15"/>
  <c r="K1209" i="15"/>
  <c r="L1209" i="15"/>
  <c r="M1209" i="15"/>
  <c r="N1209" i="15"/>
  <c r="O1209" i="15"/>
  <c r="P1209" i="15"/>
  <c r="Q1209" i="15"/>
  <c r="S1209" i="15"/>
  <c r="T1209" i="15"/>
  <c r="U1209" i="15"/>
  <c r="W1209" i="15"/>
  <c r="X1209" i="15"/>
  <c r="Y1209" i="15"/>
  <c r="Z1209" i="15"/>
  <c r="AA1209" i="15"/>
  <c r="AC1209" i="15"/>
  <c r="AG1209" i="15"/>
  <c r="AH1209" i="15"/>
  <c r="AI1209" i="15"/>
  <c r="AJ1209" i="15"/>
  <c r="AK1209" i="15"/>
  <c r="AL1209" i="15"/>
  <c r="AM1209" i="15"/>
  <c r="AQ1209" i="15"/>
  <c r="B1210" i="15"/>
  <c r="C1210" i="15"/>
  <c r="D1210" i="15"/>
  <c r="E1210" i="15"/>
  <c r="F1210" i="15"/>
  <c r="G1210" i="15"/>
  <c r="H1210" i="15"/>
  <c r="I1210" i="15"/>
  <c r="J1210" i="15"/>
  <c r="K1210" i="15"/>
  <c r="L1210" i="15"/>
  <c r="M1210" i="15"/>
  <c r="N1210" i="15"/>
  <c r="O1210" i="15"/>
  <c r="P1210" i="15"/>
  <c r="Q1210" i="15"/>
  <c r="S1210" i="15"/>
  <c r="T1210" i="15"/>
  <c r="U1210" i="15"/>
  <c r="W1210" i="15"/>
  <c r="X1210" i="15"/>
  <c r="Y1210" i="15"/>
  <c r="Z1210" i="15"/>
  <c r="AA1210" i="15"/>
  <c r="AC1210" i="15"/>
  <c r="AG1210" i="15"/>
  <c r="AH1210" i="15"/>
  <c r="AI1210" i="15"/>
  <c r="AJ1210" i="15"/>
  <c r="AK1210" i="15"/>
  <c r="AL1210" i="15"/>
  <c r="AM1210" i="15"/>
  <c r="AQ1210" i="15"/>
  <c r="B1211" i="15"/>
  <c r="C1211" i="15"/>
  <c r="D1211" i="15"/>
  <c r="E1211" i="15"/>
  <c r="F1211" i="15"/>
  <c r="G1211" i="15"/>
  <c r="H1211" i="15"/>
  <c r="I1211" i="15"/>
  <c r="J1211" i="15"/>
  <c r="K1211" i="15"/>
  <c r="L1211" i="15"/>
  <c r="M1211" i="15"/>
  <c r="N1211" i="15"/>
  <c r="O1211" i="15"/>
  <c r="P1211" i="15"/>
  <c r="Q1211" i="15"/>
  <c r="S1211" i="15"/>
  <c r="T1211" i="15"/>
  <c r="U1211" i="15"/>
  <c r="W1211" i="15"/>
  <c r="X1211" i="15"/>
  <c r="Y1211" i="15"/>
  <c r="Z1211" i="15"/>
  <c r="AA1211" i="15"/>
  <c r="AC1211" i="15"/>
  <c r="AG1211" i="15"/>
  <c r="AH1211" i="15"/>
  <c r="AI1211" i="15"/>
  <c r="AJ1211" i="15"/>
  <c r="AK1211" i="15"/>
  <c r="AL1211" i="15"/>
  <c r="AM1211" i="15"/>
  <c r="AQ1211" i="15"/>
  <c r="B1212" i="15"/>
  <c r="C1212" i="15"/>
  <c r="D1212" i="15"/>
  <c r="E1212" i="15"/>
  <c r="F1212" i="15"/>
  <c r="G1212" i="15"/>
  <c r="H1212" i="15"/>
  <c r="I1212" i="15"/>
  <c r="J1212" i="15"/>
  <c r="K1212" i="15"/>
  <c r="L1212" i="15"/>
  <c r="M1212" i="15"/>
  <c r="N1212" i="15"/>
  <c r="O1212" i="15"/>
  <c r="P1212" i="15"/>
  <c r="Q1212" i="15"/>
  <c r="S1212" i="15"/>
  <c r="T1212" i="15"/>
  <c r="U1212" i="15"/>
  <c r="W1212" i="15"/>
  <c r="X1212" i="15"/>
  <c r="Y1212" i="15"/>
  <c r="Z1212" i="15"/>
  <c r="AA1212" i="15"/>
  <c r="AC1212" i="15"/>
  <c r="AG1212" i="15"/>
  <c r="AH1212" i="15"/>
  <c r="AI1212" i="15"/>
  <c r="AJ1212" i="15"/>
  <c r="AK1212" i="15"/>
  <c r="AL1212" i="15"/>
  <c r="AM1212" i="15"/>
  <c r="AQ1212" i="15"/>
  <c r="B1213" i="15"/>
  <c r="C1213" i="15"/>
  <c r="D1213" i="15"/>
  <c r="E1213" i="15"/>
  <c r="F1213" i="15"/>
  <c r="G1213" i="15"/>
  <c r="H1213" i="15"/>
  <c r="I1213" i="15"/>
  <c r="J1213" i="15"/>
  <c r="K1213" i="15"/>
  <c r="L1213" i="15"/>
  <c r="M1213" i="15"/>
  <c r="N1213" i="15"/>
  <c r="O1213" i="15"/>
  <c r="P1213" i="15"/>
  <c r="Q1213" i="15"/>
  <c r="S1213" i="15"/>
  <c r="T1213" i="15"/>
  <c r="U1213" i="15"/>
  <c r="W1213" i="15"/>
  <c r="X1213" i="15"/>
  <c r="Y1213" i="15"/>
  <c r="Z1213" i="15"/>
  <c r="AA1213" i="15"/>
  <c r="AC1213" i="15"/>
  <c r="AG1213" i="15"/>
  <c r="AH1213" i="15"/>
  <c r="AI1213" i="15"/>
  <c r="AJ1213" i="15"/>
  <c r="AK1213" i="15"/>
  <c r="AL1213" i="15"/>
  <c r="AM1213" i="15"/>
  <c r="AQ1213" i="15"/>
  <c r="B1214" i="15"/>
  <c r="C1214" i="15"/>
  <c r="D1214" i="15"/>
  <c r="E1214" i="15"/>
  <c r="F1214" i="15"/>
  <c r="G1214" i="15"/>
  <c r="H1214" i="15"/>
  <c r="I1214" i="15"/>
  <c r="J1214" i="15"/>
  <c r="K1214" i="15"/>
  <c r="L1214" i="15"/>
  <c r="M1214" i="15"/>
  <c r="N1214" i="15"/>
  <c r="O1214" i="15"/>
  <c r="P1214" i="15"/>
  <c r="Q1214" i="15"/>
  <c r="S1214" i="15"/>
  <c r="T1214" i="15"/>
  <c r="U1214" i="15"/>
  <c r="W1214" i="15"/>
  <c r="X1214" i="15"/>
  <c r="Y1214" i="15"/>
  <c r="Z1214" i="15"/>
  <c r="AA1214" i="15"/>
  <c r="AC1214" i="15"/>
  <c r="AG1214" i="15"/>
  <c r="AH1214" i="15"/>
  <c r="AI1214" i="15"/>
  <c r="AJ1214" i="15"/>
  <c r="AK1214" i="15"/>
  <c r="AL1214" i="15"/>
  <c r="AM1214" i="15"/>
  <c r="AQ1214" i="15"/>
  <c r="B1215" i="15"/>
  <c r="C1215" i="15"/>
  <c r="D1215" i="15"/>
  <c r="E1215" i="15"/>
  <c r="F1215" i="15"/>
  <c r="G1215" i="15"/>
  <c r="H1215" i="15"/>
  <c r="I1215" i="15"/>
  <c r="J1215" i="15"/>
  <c r="K1215" i="15"/>
  <c r="L1215" i="15"/>
  <c r="M1215" i="15"/>
  <c r="N1215" i="15"/>
  <c r="O1215" i="15"/>
  <c r="P1215" i="15"/>
  <c r="Q1215" i="15"/>
  <c r="S1215" i="15"/>
  <c r="T1215" i="15"/>
  <c r="U1215" i="15"/>
  <c r="W1215" i="15"/>
  <c r="X1215" i="15"/>
  <c r="Y1215" i="15"/>
  <c r="Z1215" i="15"/>
  <c r="AA1215" i="15"/>
  <c r="AC1215" i="15"/>
  <c r="AG1215" i="15"/>
  <c r="AH1215" i="15"/>
  <c r="AI1215" i="15"/>
  <c r="AJ1215" i="15"/>
  <c r="AK1215" i="15"/>
  <c r="AL1215" i="15"/>
  <c r="AM1215" i="15"/>
  <c r="AQ1215" i="15"/>
  <c r="C893" i="15"/>
  <c r="X893" i="15"/>
  <c r="Z893" i="15"/>
  <c r="H893" i="15"/>
  <c r="K893" i="15"/>
  <c r="M893" i="15"/>
  <c r="P893" i="15"/>
  <c r="D893" i="15"/>
  <c r="F893" i="15"/>
  <c r="T893" i="15"/>
  <c r="Y893" i="15"/>
  <c r="J893" i="15"/>
  <c r="O893" i="15"/>
  <c r="E893" i="15"/>
  <c r="S893" i="15"/>
  <c r="C750" i="15"/>
  <c r="X750" i="15"/>
  <c r="Z750" i="15"/>
  <c r="H750" i="15"/>
  <c r="K750" i="15"/>
  <c r="M750" i="15"/>
  <c r="P750" i="15"/>
  <c r="D750" i="15"/>
  <c r="F750" i="15"/>
  <c r="T750" i="15"/>
  <c r="Y750" i="15"/>
  <c r="J750" i="15"/>
  <c r="O750" i="15"/>
  <c r="E750" i="15"/>
  <c r="S750" i="15"/>
  <c r="C499" i="15"/>
  <c r="X499" i="15"/>
  <c r="Z499" i="15"/>
  <c r="H499" i="15"/>
  <c r="K499" i="15"/>
  <c r="M499" i="15"/>
  <c r="P499" i="15"/>
  <c r="D499" i="15"/>
  <c r="F499" i="15"/>
  <c r="T499" i="15"/>
  <c r="Y499" i="15"/>
  <c r="J499" i="15"/>
  <c r="O499" i="15"/>
  <c r="E499" i="15"/>
  <c r="S499" i="15"/>
  <c r="C892" i="15"/>
  <c r="X892" i="15"/>
  <c r="Z892" i="15"/>
  <c r="H892" i="15"/>
  <c r="K892" i="15"/>
  <c r="M892" i="15"/>
  <c r="P892" i="15"/>
  <c r="D892" i="15"/>
  <c r="F892" i="15"/>
  <c r="T892" i="15"/>
  <c r="Y892" i="15"/>
  <c r="J892" i="15"/>
  <c r="O892" i="15"/>
  <c r="E892" i="15"/>
  <c r="S892" i="15"/>
  <c r="C749" i="15"/>
  <c r="X749" i="15"/>
  <c r="Z749" i="15"/>
  <c r="H749" i="15"/>
  <c r="K749" i="15"/>
  <c r="M749" i="15"/>
  <c r="P749" i="15"/>
  <c r="D749" i="15"/>
  <c r="F749" i="15"/>
  <c r="T749" i="15"/>
  <c r="Y749" i="15"/>
  <c r="J749" i="15"/>
  <c r="O749" i="15"/>
  <c r="E749" i="15"/>
  <c r="S749" i="15"/>
  <c r="C498" i="15"/>
  <c r="X498" i="15"/>
  <c r="Z498" i="15"/>
  <c r="H498" i="15"/>
  <c r="K498" i="15"/>
  <c r="M498" i="15"/>
  <c r="P498" i="15"/>
  <c r="D498" i="15"/>
  <c r="F498" i="15"/>
  <c r="T498" i="15"/>
  <c r="Y498" i="15"/>
  <c r="J498" i="15"/>
  <c r="O498" i="15"/>
  <c r="E498" i="15"/>
  <c r="S498" i="15"/>
  <c r="H365" i="15"/>
  <c r="K365" i="15"/>
  <c r="M365" i="15"/>
  <c r="P365" i="15"/>
  <c r="D365" i="15"/>
  <c r="F365" i="15"/>
  <c r="Z365" i="15"/>
  <c r="T365" i="15"/>
  <c r="J365" i="15"/>
  <c r="O365" i="15"/>
  <c r="E365" i="15"/>
  <c r="Y365" i="15"/>
  <c r="S365" i="15"/>
  <c r="H221" i="15"/>
  <c r="K221" i="15"/>
  <c r="M221" i="15"/>
  <c r="P221" i="15"/>
  <c r="D221" i="15"/>
  <c r="F221" i="15"/>
  <c r="Z221" i="15"/>
  <c r="T221" i="15"/>
  <c r="J221" i="15"/>
  <c r="O221" i="15"/>
  <c r="E221" i="15"/>
  <c r="Y221" i="15"/>
  <c r="S221" i="15"/>
  <c r="B1080" i="15"/>
  <c r="B1081" i="15"/>
  <c r="B1082" i="15"/>
  <c r="B1083" i="15"/>
  <c r="B1084" i="15"/>
  <c r="B1085" i="15"/>
  <c r="B1086" i="15"/>
  <c r="B1087" i="15"/>
  <c r="B1088" i="15"/>
  <c r="B1089" i="15"/>
  <c r="B1090" i="15"/>
  <c r="B1091" i="15"/>
  <c r="B1092" i="15"/>
  <c r="B1093" i="15"/>
  <c r="B1094" i="15"/>
  <c r="B1095" i="15"/>
  <c r="B1096" i="15"/>
  <c r="B1097" i="15"/>
  <c r="B1098" i="15"/>
  <c r="B1099" i="15"/>
  <c r="B1100" i="15"/>
  <c r="B1101" i="15"/>
  <c r="B1102" i="15"/>
  <c r="B1103" i="15"/>
  <c r="B1104" i="15"/>
  <c r="B1105" i="15"/>
  <c r="B1106" i="15"/>
  <c r="B1107" i="15"/>
  <c r="B1108" i="15"/>
  <c r="B1109" i="15"/>
  <c r="B1110" i="15"/>
  <c r="B1111" i="15"/>
  <c r="B1112" i="15"/>
  <c r="B1113" i="15"/>
  <c r="B1114" i="15"/>
  <c r="B1115" i="15"/>
  <c r="B1116" i="15"/>
  <c r="B1117" i="15"/>
  <c r="B1118" i="15"/>
  <c r="B1119" i="15"/>
  <c r="B1120" i="15"/>
  <c r="B1121" i="15"/>
  <c r="B1122" i="15"/>
  <c r="B1123" i="15"/>
  <c r="B1124" i="15"/>
  <c r="B1125" i="15"/>
  <c r="B1126" i="15"/>
  <c r="B1127" i="15"/>
  <c r="B1128" i="15"/>
  <c r="B1129" i="15"/>
  <c r="B1130" i="15"/>
  <c r="B1131" i="15"/>
  <c r="B1132" i="15"/>
  <c r="B1133" i="15"/>
  <c r="B1134" i="15"/>
  <c r="B1135" i="15"/>
  <c r="B1136" i="15"/>
  <c r="B1137" i="15"/>
  <c r="B1138" i="15"/>
  <c r="B1139" i="15"/>
  <c r="B1140" i="15"/>
  <c r="B1141" i="15"/>
  <c r="B1142" i="15"/>
  <c r="B1143" i="15"/>
  <c r="B1144" i="15"/>
  <c r="B1145" i="15"/>
  <c r="B1146" i="15"/>
  <c r="B1147" i="15"/>
  <c r="B1148" i="15"/>
  <c r="B1149" i="15"/>
  <c r="B1150" i="15"/>
  <c r="B1151" i="15"/>
  <c r="B1152" i="15"/>
  <c r="B1153" i="15"/>
  <c r="B1154" i="15"/>
  <c r="B1155" i="15"/>
  <c r="B1156" i="15"/>
  <c r="B1157" i="15"/>
  <c r="B1158" i="15"/>
  <c r="B1159" i="15"/>
  <c r="B1466" i="15"/>
  <c r="B1467" i="15"/>
  <c r="B1468" i="15"/>
  <c r="B1469" i="15"/>
  <c r="B1470" i="15"/>
  <c r="B1471" i="15"/>
  <c r="B1472" i="15"/>
  <c r="B1473" i="15"/>
  <c r="B1474" i="15"/>
  <c r="B1475" i="15"/>
  <c r="B1476" i="15"/>
  <c r="B1477" i="15"/>
  <c r="B1478" i="15"/>
  <c r="B1479" i="15"/>
  <c r="B1480" i="15"/>
  <c r="B1481" i="15"/>
  <c r="B1482" i="15"/>
  <c r="B1483" i="15"/>
  <c r="B1484" i="15"/>
  <c r="B1485" i="15"/>
  <c r="B1486" i="15"/>
  <c r="B1487" i="15"/>
  <c r="B1488" i="15"/>
  <c r="B1489" i="15"/>
  <c r="B1490" i="15"/>
  <c r="B1491" i="15"/>
  <c r="B1492" i="15"/>
  <c r="B1493" i="15"/>
  <c r="B1494" i="15"/>
  <c r="B1495" i="15"/>
  <c r="B1496" i="15"/>
  <c r="B1497" i="15"/>
  <c r="B1498" i="15"/>
  <c r="B1499" i="15"/>
  <c r="B1500" i="15"/>
  <c r="B1501" i="15"/>
  <c r="B1502" i="15"/>
  <c r="B1503" i="15"/>
  <c r="B1504" i="15"/>
  <c r="B1505" i="15"/>
  <c r="B1506" i="15"/>
  <c r="B1507" i="15"/>
  <c r="B1508" i="15"/>
  <c r="B1509" i="15"/>
  <c r="B1510" i="15"/>
  <c r="B1511" i="15"/>
  <c r="B1512" i="15"/>
  <c r="B1513" i="15"/>
  <c r="B1514" i="15"/>
  <c r="B1515" i="15"/>
  <c r="B1516" i="15"/>
  <c r="B1517" i="15"/>
  <c r="B1518" i="15"/>
  <c r="B1519" i="15"/>
  <c r="B1520" i="15"/>
  <c r="B1521" i="15"/>
  <c r="B1522" i="15"/>
  <c r="B1523" i="15"/>
  <c r="B1524" i="15"/>
  <c r="B1525" i="15"/>
  <c r="B1526" i="15"/>
  <c r="B1527" i="15"/>
  <c r="B1528" i="15"/>
  <c r="B1529" i="15"/>
  <c r="B1530" i="15"/>
  <c r="B1531" i="15"/>
  <c r="B1532" i="15"/>
  <c r="B1533" i="15"/>
  <c r="B1534" i="15"/>
  <c r="B1535" i="15"/>
  <c r="B1536" i="15"/>
  <c r="B1537" i="15"/>
  <c r="B1538" i="15"/>
  <c r="B1539" i="15"/>
  <c r="B1540" i="15"/>
  <c r="B1541" i="15"/>
  <c r="B1542" i="15"/>
  <c r="B1543" i="15"/>
  <c r="B1544" i="15"/>
  <c r="B1545" i="15"/>
  <c r="B1546" i="15"/>
  <c r="B1547" i="15"/>
  <c r="B1548" i="15"/>
  <c r="B1549" i="15"/>
  <c r="B1550" i="15"/>
  <c r="B1551" i="15"/>
  <c r="B1552" i="15"/>
  <c r="B1553" i="15"/>
  <c r="B1554" i="15"/>
  <c r="B1555" i="15"/>
  <c r="B1556" i="15"/>
  <c r="B1557" i="15"/>
  <c r="D1132" i="15"/>
  <c r="M1132" i="15"/>
  <c r="C1132" i="15"/>
  <c r="X1132" i="15"/>
  <c r="Y1132" i="15"/>
  <c r="J1132" i="15"/>
  <c r="O1132" i="15"/>
  <c r="E1132" i="15"/>
  <c r="S1132" i="15"/>
  <c r="C81" i="26"/>
  <c r="Z1132" i="15"/>
  <c r="K1132" i="15"/>
  <c r="P1132" i="15"/>
  <c r="F1132" i="15"/>
  <c r="T1132" i="15"/>
  <c r="D1133" i="15"/>
  <c r="M1133" i="15"/>
  <c r="C1133" i="15"/>
  <c r="X1133" i="15"/>
  <c r="Y1133" i="15"/>
  <c r="J1133" i="15"/>
  <c r="O1133" i="15"/>
  <c r="E1133" i="15"/>
  <c r="S1133" i="15"/>
  <c r="Z1133" i="15"/>
  <c r="K1133" i="15"/>
  <c r="P1133" i="15"/>
  <c r="F1133" i="15"/>
  <c r="T1133" i="15"/>
  <c r="D730" i="15"/>
  <c r="M730" i="15"/>
  <c r="C730" i="15"/>
  <c r="X730" i="15"/>
  <c r="Y730" i="15"/>
  <c r="H730" i="15"/>
  <c r="J730" i="15"/>
  <c r="O730" i="15"/>
  <c r="E730" i="15"/>
  <c r="S730" i="15"/>
  <c r="C100" i="26"/>
  <c r="Z730" i="15"/>
  <c r="K730" i="15"/>
  <c r="P730" i="15"/>
  <c r="F730" i="15"/>
  <c r="T730" i="15"/>
  <c r="Z309" i="15"/>
  <c r="H309" i="15"/>
  <c r="K309" i="15"/>
  <c r="M309" i="15"/>
  <c r="P309" i="15"/>
  <c r="D309" i="15"/>
  <c r="F309" i="15"/>
  <c r="T309" i="15"/>
  <c r="Y309" i="15"/>
  <c r="J309" i="15"/>
  <c r="O309" i="15"/>
  <c r="E309" i="15"/>
  <c r="S309" i="15"/>
  <c r="Z154" i="15"/>
  <c r="H154" i="15"/>
  <c r="K154" i="15"/>
  <c r="M154" i="15"/>
  <c r="P154" i="15"/>
  <c r="D154" i="15"/>
  <c r="F154" i="15"/>
  <c r="T154" i="15"/>
  <c r="Y154" i="15"/>
  <c r="J154" i="15"/>
  <c r="O154" i="15"/>
  <c r="E154" i="15"/>
  <c r="S154" i="15"/>
  <c r="C729" i="15"/>
  <c r="X729" i="15"/>
  <c r="Z729" i="15"/>
  <c r="H729" i="15"/>
  <c r="K729" i="15"/>
  <c r="M729" i="15"/>
  <c r="P729" i="15"/>
  <c r="D729" i="15"/>
  <c r="F729" i="15"/>
  <c r="T729" i="15"/>
  <c r="Y729" i="15"/>
  <c r="J729" i="15"/>
  <c r="O729" i="15"/>
  <c r="E729" i="15"/>
  <c r="S729" i="15"/>
  <c r="C373" i="15"/>
  <c r="X373" i="15"/>
  <c r="Z373" i="15"/>
  <c r="H373" i="15"/>
  <c r="K373" i="15"/>
  <c r="M373" i="15"/>
  <c r="P373" i="15"/>
  <c r="D373" i="15"/>
  <c r="F373" i="15"/>
  <c r="T373" i="15"/>
  <c r="Y373" i="15"/>
  <c r="J373" i="15"/>
  <c r="O373" i="15"/>
  <c r="E373" i="15"/>
  <c r="S373" i="15"/>
  <c r="Z146" i="15"/>
  <c r="H146" i="15"/>
  <c r="K146" i="15"/>
  <c r="M146" i="15"/>
  <c r="P146" i="15"/>
  <c r="D146" i="15"/>
  <c r="F146" i="15"/>
  <c r="T146" i="15"/>
  <c r="Y146" i="15"/>
  <c r="J146" i="15"/>
  <c r="O146" i="15"/>
  <c r="E146" i="15"/>
  <c r="S146" i="15"/>
  <c r="C86" i="26"/>
  <c r="Z4" i="15"/>
  <c r="H4" i="15"/>
  <c r="K4" i="15"/>
  <c r="M4" i="15"/>
  <c r="P4" i="15"/>
  <c r="D4" i="15"/>
  <c r="F4" i="15"/>
  <c r="T4" i="15"/>
  <c r="Y4" i="15"/>
  <c r="J4" i="15"/>
  <c r="O4" i="15"/>
  <c r="E4" i="15"/>
  <c r="S4" i="15"/>
  <c r="C21" i="26"/>
  <c r="Z3" i="15"/>
  <c r="H3" i="15"/>
  <c r="K3" i="15"/>
  <c r="M3" i="15"/>
  <c r="P3" i="15"/>
  <c r="D3" i="15"/>
  <c r="F3" i="15"/>
  <c r="T3" i="15"/>
  <c r="Y3" i="15"/>
  <c r="J3" i="15"/>
  <c r="O3" i="15"/>
  <c r="E3" i="15"/>
  <c r="S3" i="15"/>
  <c r="C51" i="26"/>
  <c r="Z201" i="15"/>
  <c r="H201" i="15"/>
  <c r="K201" i="15"/>
  <c r="M201" i="15"/>
  <c r="P201" i="15"/>
  <c r="D201" i="15"/>
  <c r="F201" i="15"/>
  <c r="T201" i="15"/>
  <c r="Y201" i="15"/>
  <c r="J201" i="15"/>
  <c r="O201" i="15"/>
  <c r="E201" i="15"/>
  <c r="S201" i="15"/>
  <c r="C1146" i="15"/>
  <c r="D1146" i="15"/>
  <c r="E1146" i="15"/>
  <c r="F1146" i="15"/>
  <c r="G1146" i="15"/>
  <c r="H1146" i="15"/>
  <c r="I1146" i="15"/>
  <c r="J1146" i="15"/>
  <c r="K1146" i="15"/>
  <c r="L1146" i="15"/>
  <c r="M1146" i="15"/>
  <c r="N1146" i="15"/>
  <c r="O1146" i="15"/>
  <c r="P1146" i="15"/>
  <c r="Q1146" i="15"/>
  <c r="S1146" i="15"/>
  <c r="T1146" i="15"/>
  <c r="U1146" i="15"/>
  <c r="W1146" i="15"/>
  <c r="X1146" i="15"/>
  <c r="Y1146" i="15"/>
  <c r="Z1146" i="15"/>
  <c r="AA1146" i="15"/>
  <c r="AC1146" i="15"/>
  <c r="AG1146" i="15"/>
  <c r="AH1146" i="15"/>
  <c r="AI1146" i="15"/>
  <c r="AJ1146" i="15"/>
  <c r="AK1146" i="15"/>
  <c r="AL1146" i="15"/>
  <c r="AM1146" i="15"/>
  <c r="AQ1146" i="15"/>
  <c r="C1147" i="15"/>
  <c r="D1147" i="15"/>
  <c r="E1147" i="15"/>
  <c r="F1147" i="15"/>
  <c r="G1147" i="15"/>
  <c r="H1147" i="15"/>
  <c r="I1147" i="15"/>
  <c r="J1147" i="15"/>
  <c r="K1147" i="15"/>
  <c r="L1147" i="15"/>
  <c r="M1147" i="15"/>
  <c r="N1147" i="15"/>
  <c r="O1147" i="15"/>
  <c r="P1147" i="15"/>
  <c r="Q1147" i="15"/>
  <c r="S1147" i="15"/>
  <c r="T1147" i="15"/>
  <c r="U1147" i="15"/>
  <c r="W1147" i="15"/>
  <c r="X1147" i="15"/>
  <c r="Y1147" i="15"/>
  <c r="Z1147" i="15"/>
  <c r="AA1147" i="15"/>
  <c r="AC1147" i="15"/>
  <c r="AG1147" i="15"/>
  <c r="AH1147" i="15"/>
  <c r="AI1147" i="15"/>
  <c r="AJ1147" i="15"/>
  <c r="AK1147" i="15"/>
  <c r="AL1147" i="15"/>
  <c r="AM1147" i="15"/>
  <c r="AQ1147" i="15"/>
  <c r="C1148" i="15"/>
  <c r="D1148" i="15"/>
  <c r="E1148" i="15"/>
  <c r="F1148" i="15"/>
  <c r="G1148" i="15"/>
  <c r="H1148" i="15"/>
  <c r="I1148" i="15"/>
  <c r="J1148" i="15"/>
  <c r="K1148" i="15"/>
  <c r="L1148" i="15"/>
  <c r="M1148" i="15"/>
  <c r="N1148" i="15"/>
  <c r="O1148" i="15"/>
  <c r="P1148" i="15"/>
  <c r="Q1148" i="15"/>
  <c r="S1148" i="15"/>
  <c r="T1148" i="15"/>
  <c r="U1148" i="15"/>
  <c r="W1148" i="15"/>
  <c r="X1148" i="15"/>
  <c r="Y1148" i="15"/>
  <c r="Z1148" i="15"/>
  <c r="AA1148" i="15"/>
  <c r="AC1148" i="15"/>
  <c r="AG1148" i="15"/>
  <c r="AH1148" i="15"/>
  <c r="AI1148" i="15"/>
  <c r="AJ1148" i="15"/>
  <c r="AK1148" i="15"/>
  <c r="AL1148" i="15"/>
  <c r="AM1148" i="15"/>
  <c r="AQ1148" i="15"/>
  <c r="C1149" i="15"/>
  <c r="D1149" i="15"/>
  <c r="E1149" i="15"/>
  <c r="F1149" i="15"/>
  <c r="G1149" i="15"/>
  <c r="H1149" i="15"/>
  <c r="I1149" i="15"/>
  <c r="J1149" i="15"/>
  <c r="K1149" i="15"/>
  <c r="L1149" i="15"/>
  <c r="M1149" i="15"/>
  <c r="N1149" i="15"/>
  <c r="O1149" i="15"/>
  <c r="P1149" i="15"/>
  <c r="Q1149" i="15"/>
  <c r="S1149" i="15"/>
  <c r="T1149" i="15"/>
  <c r="U1149" i="15"/>
  <c r="W1149" i="15"/>
  <c r="X1149" i="15"/>
  <c r="Y1149" i="15"/>
  <c r="Z1149" i="15"/>
  <c r="AA1149" i="15"/>
  <c r="AC1149" i="15"/>
  <c r="AG1149" i="15"/>
  <c r="AH1149" i="15"/>
  <c r="AI1149" i="15"/>
  <c r="AJ1149" i="15"/>
  <c r="AK1149" i="15"/>
  <c r="AL1149" i="15"/>
  <c r="AM1149" i="15"/>
  <c r="AQ1149" i="15"/>
  <c r="C1150" i="15"/>
  <c r="D1150" i="15"/>
  <c r="E1150" i="15"/>
  <c r="F1150" i="15"/>
  <c r="G1150" i="15"/>
  <c r="H1150" i="15"/>
  <c r="I1150" i="15"/>
  <c r="J1150" i="15"/>
  <c r="K1150" i="15"/>
  <c r="L1150" i="15"/>
  <c r="M1150" i="15"/>
  <c r="N1150" i="15"/>
  <c r="O1150" i="15"/>
  <c r="P1150" i="15"/>
  <c r="Q1150" i="15"/>
  <c r="S1150" i="15"/>
  <c r="T1150" i="15"/>
  <c r="U1150" i="15"/>
  <c r="W1150" i="15"/>
  <c r="X1150" i="15"/>
  <c r="Y1150" i="15"/>
  <c r="Z1150" i="15"/>
  <c r="AA1150" i="15"/>
  <c r="AC1150" i="15"/>
  <c r="AG1150" i="15"/>
  <c r="AH1150" i="15"/>
  <c r="AI1150" i="15"/>
  <c r="AJ1150" i="15"/>
  <c r="AK1150" i="15"/>
  <c r="AL1150" i="15"/>
  <c r="AM1150" i="15"/>
  <c r="AQ1150" i="15"/>
  <c r="C1151" i="15"/>
  <c r="D1151" i="15"/>
  <c r="E1151" i="15"/>
  <c r="F1151" i="15"/>
  <c r="G1151" i="15"/>
  <c r="H1151" i="15"/>
  <c r="I1151" i="15"/>
  <c r="J1151" i="15"/>
  <c r="K1151" i="15"/>
  <c r="L1151" i="15"/>
  <c r="M1151" i="15"/>
  <c r="N1151" i="15"/>
  <c r="O1151" i="15"/>
  <c r="P1151" i="15"/>
  <c r="Q1151" i="15"/>
  <c r="S1151" i="15"/>
  <c r="T1151" i="15"/>
  <c r="U1151" i="15"/>
  <c r="W1151" i="15"/>
  <c r="X1151" i="15"/>
  <c r="Y1151" i="15"/>
  <c r="Z1151" i="15"/>
  <c r="AA1151" i="15"/>
  <c r="AC1151" i="15"/>
  <c r="AG1151" i="15"/>
  <c r="AH1151" i="15"/>
  <c r="AI1151" i="15"/>
  <c r="AJ1151" i="15"/>
  <c r="AK1151" i="15"/>
  <c r="AL1151" i="15"/>
  <c r="AM1151" i="15"/>
  <c r="AQ1151" i="15"/>
  <c r="C1152" i="15"/>
  <c r="D1152" i="15"/>
  <c r="E1152" i="15"/>
  <c r="F1152" i="15"/>
  <c r="G1152" i="15"/>
  <c r="H1152" i="15"/>
  <c r="I1152" i="15"/>
  <c r="J1152" i="15"/>
  <c r="K1152" i="15"/>
  <c r="L1152" i="15"/>
  <c r="M1152" i="15"/>
  <c r="N1152" i="15"/>
  <c r="O1152" i="15"/>
  <c r="P1152" i="15"/>
  <c r="Q1152" i="15"/>
  <c r="S1152" i="15"/>
  <c r="T1152" i="15"/>
  <c r="U1152" i="15"/>
  <c r="W1152" i="15"/>
  <c r="X1152" i="15"/>
  <c r="Y1152" i="15"/>
  <c r="Z1152" i="15"/>
  <c r="AA1152" i="15"/>
  <c r="AC1152" i="15"/>
  <c r="AG1152" i="15"/>
  <c r="AH1152" i="15"/>
  <c r="AI1152" i="15"/>
  <c r="AJ1152" i="15"/>
  <c r="AK1152" i="15"/>
  <c r="AL1152" i="15"/>
  <c r="AM1152" i="15"/>
  <c r="AQ1152" i="15"/>
  <c r="C1153" i="15"/>
  <c r="D1153" i="15"/>
  <c r="E1153" i="15"/>
  <c r="F1153" i="15"/>
  <c r="G1153" i="15"/>
  <c r="H1153" i="15"/>
  <c r="I1153" i="15"/>
  <c r="J1153" i="15"/>
  <c r="K1153" i="15"/>
  <c r="L1153" i="15"/>
  <c r="M1153" i="15"/>
  <c r="N1153" i="15"/>
  <c r="O1153" i="15"/>
  <c r="P1153" i="15"/>
  <c r="Q1153" i="15"/>
  <c r="S1153" i="15"/>
  <c r="T1153" i="15"/>
  <c r="U1153" i="15"/>
  <c r="W1153" i="15"/>
  <c r="X1153" i="15"/>
  <c r="Y1153" i="15"/>
  <c r="Z1153" i="15"/>
  <c r="AA1153" i="15"/>
  <c r="AC1153" i="15"/>
  <c r="AG1153" i="15"/>
  <c r="AH1153" i="15"/>
  <c r="AI1153" i="15"/>
  <c r="AJ1153" i="15"/>
  <c r="AK1153" i="15"/>
  <c r="AL1153" i="15"/>
  <c r="AM1153" i="15"/>
  <c r="AQ1153" i="15"/>
  <c r="C1154" i="15"/>
  <c r="D1154" i="15"/>
  <c r="E1154" i="15"/>
  <c r="F1154" i="15"/>
  <c r="G1154" i="15"/>
  <c r="H1154" i="15"/>
  <c r="I1154" i="15"/>
  <c r="J1154" i="15"/>
  <c r="K1154" i="15"/>
  <c r="L1154" i="15"/>
  <c r="M1154" i="15"/>
  <c r="N1154" i="15"/>
  <c r="O1154" i="15"/>
  <c r="P1154" i="15"/>
  <c r="Q1154" i="15"/>
  <c r="S1154" i="15"/>
  <c r="T1154" i="15"/>
  <c r="U1154" i="15"/>
  <c r="W1154" i="15"/>
  <c r="X1154" i="15"/>
  <c r="Y1154" i="15"/>
  <c r="Z1154" i="15"/>
  <c r="AA1154" i="15"/>
  <c r="AC1154" i="15"/>
  <c r="AG1154" i="15"/>
  <c r="AH1154" i="15"/>
  <c r="AI1154" i="15"/>
  <c r="AJ1154" i="15"/>
  <c r="AK1154" i="15"/>
  <c r="AL1154" i="15"/>
  <c r="AM1154" i="15"/>
  <c r="AQ1154" i="15"/>
  <c r="C1155" i="15"/>
  <c r="D1155" i="15"/>
  <c r="E1155" i="15"/>
  <c r="F1155" i="15"/>
  <c r="G1155" i="15"/>
  <c r="H1155" i="15"/>
  <c r="I1155" i="15"/>
  <c r="J1155" i="15"/>
  <c r="K1155" i="15"/>
  <c r="L1155" i="15"/>
  <c r="M1155" i="15"/>
  <c r="N1155" i="15"/>
  <c r="O1155" i="15"/>
  <c r="P1155" i="15"/>
  <c r="Q1155" i="15"/>
  <c r="S1155" i="15"/>
  <c r="T1155" i="15"/>
  <c r="U1155" i="15"/>
  <c r="W1155" i="15"/>
  <c r="X1155" i="15"/>
  <c r="Y1155" i="15"/>
  <c r="Z1155" i="15"/>
  <c r="AA1155" i="15"/>
  <c r="AC1155" i="15"/>
  <c r="AG1155" i="15"/>
  <c r="AH1155" i="15"/>
  <c r="AI1155" i="15"/>
  <c r="AJ1155" i="15"/>
  <c r="AK1155" i="15"/>
  <c r="AL1155" i="15"/>
  <c r="AM1155" i="15"/>
  <c r="AQ1155" i="15"/>
  <c r="C1156" i="15"/>
  <c r="D1156" i="15"/>
  <c r="E1156" i="15"/>
  <c r="F1156" i="15"/>
  <c r="G1156" i="15"/>
  <c r="H1156" i="15"/>
  <c r="I1156" i="15"/>
  <c r="J1156" i="15"/>
  <c r="K1156" i="15"/>
  <c r="L1156" i="15"/>
  <c r="M1156" i="15"/>
  <c r="N1156" i="15"/>
  <c r="O1156" i="15"/>
  <c r="P1156" i="15"/>
  <c r="Q1156" i="15"/>
  <c r="S1156" i="15"/>
  <c r="T1156" i="15"/>
  <c r="U1156" i="15"/>
  <c r="W1156" i="15"/>
  <c r="X1156" i="15"/>
  <c r="Y1156" i="15"/>
  <c r="Z1156" i="15"/>
  <c r="AA1156" i="15"/>
  <c r="AC1156" i="15"/>
  <c r="AG1156" i="15"/>
  <c r="AH1156" i="15"/>
  <c r="AI1156" i="15"/>
  <c r="AJ1156" i="15"/>
  <c r="AK1156" i="15"/>
  <c r="AL1156" i="15"/>
  <c r="AM1156" i="15"/>
  <c r="AQ1156" i="15"/>
  <c r="C1157" i="15"/>
  <c r="D1157" i="15"/>
  <c r="E1157" i="15"/>
  <c r="F1157" i="15"/>
  <c r="G1157" i="15"/>
  <c r="H1157" i="15"/>
  <c r="I1157" i="15"/>
  <c r="J1157" i="15"/>
  <c r="K1157" i="15"/>
  <c r="L1157" i="15"/>
  <c r="M1157" i="15"/>
  <c r="N1157" i="15"/>
  <c r="O1157" i="15"/>
  <c r="P1157" i="15"/>
  <c r="Q1157" i="15"/>
  <c r="S1157" i="15"/>
  <c r="T1157" i="15"/>
  <c r="U1157" i="15"/>
  <c r="W1157" i="15"/>
  <c r="X1157" i="15"/>
  <c r="Y1157" i="15"/>
  <c r="Z1157" i="15"/>
  <c r="AA1157" i="15"/>
  <c r="AC1157" i="15"/>
  <c r="AG1157" i="15"/>
  <c r="AH1157" i="15"/>
  <c r="AI1157" i="15"/>
  <c r="AJ1157" i="15"/>
  <c r="AK1157" i="15"/>
  <c r="AL1157" i="15"/>
  <c r="AM1157" i="15"/>
  <c r="AQ1157" i="15"/>
  <c r="C1158" i="15"/>
  <c r="D1158" i="15"/>
  <c r="E1158" i="15"/>
  <c r="F1158" i="15"/>
  <c r="G1158" i="15"/>
  <c r="H1158" i="15"/>
  <c r="I1158" i="15"/>
  <c r="J1158" i="15"/>
  <c r="K1158" i="15"/>
  <c r="L1158" i="15"/>
  <c r="M1158" i="15"/>
  <c r="N1158" i="15"/>
  <c r="O1158" i="15"/>
  <c r="P1158" i="15"/>
  <c r="Q1158" i="15"/>
  <c r="S1158" i="15"/>
  <c r="T1158" i="15"/>
  <c r="U1158" i="15"/>
  <c r="W1158" i="15"/>
  <c r="X1158" i="15"/>
  <c r="Y1158" i="15"/>
  <c r="Z1158" i="15"/>
  <c r="AA1158" i="15"/>
  <c r="AC1158" i="15"/>
  <c r="AG1158" i="15"/>
  <c r="AH1158" i="15"/>
  <c r="AI1158" i="15"/>
  <c r="AJ1158" i="15"/>
  <c r="AK1158" i="15"/>
  <c r="AL1158" i="15"/>
  <c r="AM1158" i="15"/>
  <c r="AQ1158" i="15"/>
  <c r="C1159" i="15"/>
  <c r="D1159" i="15"/>
  <c r="E1159" i="15"/>
  <c r="F1159" i="15"/>
  <c r="G1159" i="15"/>
  <c r="H1159" i="15"/>
  <c r="I1159" i="15"/>
  <c r="J1159" i="15"/>
  <c r="K1159" i="15"/>
  <c r="L1159" i="15"/>
  <c r="M1159" i="15"/>
  <c r="N1159" i="15"/>
  <c r="O1159" i="15"/>
  <c r="P1159" i="15"/>
  <c r="Q1159" i="15"/>
  <c r="S1159" i="15"/>
  <c r="T1159" i="15"/>
  <c r="U1159" i="15"/>
  <c r="W1159" i="15"/>
  <c r="X1159" i="15"/>
  <c r="Y1159" i="15"/>
  <c r="Z1159" i="15"/>
  <c r="AA1159" i="15"/>
  <c r="AC1159" i="15"/>
  <c r="AG1159" i="15"/>
  <c r="AH1159" i="15"/>
  <c r="AI1159" i="15"/>
  <c r="AJ1159" i="15"/>
  <c r="AK1159" i="15"/>
  <c r="AL1159" i="15"/>
  <c r="AM1159" i="15"/>
  <c r="AQ1159" i="15"/>
  <c r="C1131" i="15"/>
  <c r="X1131" i="15"/>
  <c r="N889" i="15"/>
  <c r="N888" i="15"/>
  <c r="AQ1145" i="15"/>
  <c r="M1145" i="15"/>
  <c r="AM1145" i="15"/>
  <c r="C1145" i="15"/>
  <c r="X1145" i="15"/>
  <c r="AA1145" i="15"/>
  <c r="H1145" i="15"/>
  <c r="L1145" i="15"/>
  <c r="Q1145" i="15"/>
  <c r="D1145" i="15"/>
  <c r="G1145" i="15"/>
  <c r="U1145" i="15"/>
  <c r="AL1145" i="15"/>
  <c r="Z1145" i="15"/>
  <c r="K1145" i="15"/>
  <c r="P1145" i="15"/>
  <c r="F1145" i="15"/>
  <c r="T1145" i="15"/>
  <c r="W1145" i="15"/>
  <c r="AK1145" i="15"/>
  <c r="Y1145" i="15"/>
  <c r="J1145" i="15"/>
  <c r="O1145" i="15"/>
  <c r="E1145" i="15"/>
  <c r="S1145" i="15"/>
  <c r="AJ1145" i="15"/>
  <c r="AI1145" i="15"/>
  <c r="AH1145" i="15"/>
  <c r="AG1145" i="15"/>
  <c r="AC1145" i="15"/>
  <c r="N1145" i="15"/>
  <c r="I1145" i="15"/>
  <c r="AQ1144" i="15"/>
  <c r="M1144" i="15"/>
  <c r="AM1144" i="15"/>
  <c r="C1144" i="15"/>
  <c r="X1144" i="15"/>
  <c r="AA1144" i="15"/>
  <c r="H1144" i="15"/>
  <c r="L1144" i="15"/>
  <c r="Q1144" i="15"/>
  <c r="D1144" i="15"/>
  <c r="G1144" i="15"/>
  <c r="U1144" i="15"/>
  <c r="AL1144" i="15"/>
  <c r="Z1144" i="15"/>
  <c r="K1144" i="15"/>
  <c r="P1144" i="15"/>
  <c r="F1144" i="15"/>
  <c r="T1144" i="15"/>
  <c r="W1144" i="15"/>
  <c r="AK1144" i="15"/>
  <c r="Y1144" i="15"/>
  <c r="J1144" i="15"/>
  <c r="O1144" i="15"/>
  <c r="E1144" i="15"/>
  <c r="S1144" i="15"/>
  <c r="AJ1144" i="15"/>
  <c r="AI1144" i="15"/>
  <c r="AH1144" i="15"/>
  <c r="AG1144" i="15"/>
  <c r="AC1144" i="15"/>
  <c r="N1144" i="15"/>
  <c r="I1144" i="15"/>
  <c r="AQ1143" i="15"/>
  <c r="M1143" i="15"/>
  <c r="AM1143" i="15"/>
  <c r="C1143" i="15"/>
  <c r="X1143" i="15"/>
  <c r="AA1143" i="15"/>
  <c r="H1143" i="15"/>
  <c r="L1143" i="15"/>
  <c r="Q1143" i="15"/>
  <c r="D1143" i="15"/>
  <c r="G1143" i="15"/>
  <c r="U1143" i="15"/>
  <c r="AL1143" i="15"/>
  <c r="Z1143" i="15"/>
  <c r="K1143" i="15"/>
  <c r="P1143" i="15"/>
  <c r="F1143" i="15"/>
  <c r="T1143" i="15"/>
  <c r="W1143" i="15"/>
  <c r="AK1143" i="15"/>
  <c r="Y1143" i="15"/>
  <c r="J1143" i="15"/>
  <c r="O1143" i="15"/>
  <c r="E1143" i="15"/>
  <c r="S1143" i="15"/>
  <c r="AJ1143" i="15"/>
  <c r="AI1143" i="15"/>
  <c r="AH1143" i="15"/>
  <c r="AG1143" i="15"/>
  <c r="AC1143" i="15"/>
  <c r="N1143" i="15"/>
  <c r="I1143" i="15"/>
  <c r="AQ1142" i="15"/>
  <c r="M1142" i="15"/>
  <c r="AM1142" i="15"/>
  <c r="C1142" i="15"/>
  <c r="X1142" i="15"/>
  <c r="AA1142" i="15"/>
  <c r="H1142" i="15"/>
  <c r="L1142" i="15"/>
  <c r="Q1142" i="15"/>
  <c r="D1142" i="15"/>
  <c r="G1142" i="15"/>
  <c r="U1142" i="15"/>
  <c r="AL1142" i="15"/>
  <c r="Z1142" i="15"/>
  <c r="K1142" i="15"/>
  <c r="P1142" i="15"/>
  <c r="F1142" i="15"/>
  <c r="T1142" i="15"/>
  <c r="W1142" i="15"/>
  <c r="AK1142" i="15"/>
  <c r="Y1142" i="15"/>
  <c r="J1142" i="15"/>
  <c r="O1142" i="15"/>
  <c r="E1142" i="15"/>
  <c r="S1142" i="15"/>
  <c r="AJ1142" i="15"/>
  <c r="AI1142" i="15"/>
  <c r="AH1142" i="15"/>
  <c r="AG1142" i="15"/>
  <c r="AC1142" i="15"/>
  <c r="N1142" i="15"/>
  <c r="I1142" i="15"/>
  <c r="AQ1141" i="15"/>
  <c r="M1141" i="15"/>
  <c r="AM1141" i="15"/>
  <c r="C1141" i="15"/>
  <c r="X1141" i="15"/>
  <c r="AA1141" i="15"/>
  <c r="H1141" i="15"/>
  <c r="L1141" i="15"/>
  <c r="Q1141" i="15"/>
  <c r="D1141" i="15"/>
  <c r="G1141" i="15"/>
  <c r="U1141" i="15"/>
  <c r="AL1141" i="15"/>
  <c r="Z1141" i="15"/>
  <c r="K1141" i="15"/>
  <c r="P1141" i="15"/>
  <c r="F1141" i="15"/>
  <c r="T1141" i="15"/>
  <c r="W1141" i="15"/>
  <c r="AK1141" i="15"/>
  <c r="Y1141" i="15"/>
  <c r="J1141" i="15"/>
  <c r="O1141" i="15"/>
  <c r="E1141" i="15"/>
  <c r="S1141" i="15"/>
  <c r="AJ1141" i="15"/>
  <c r="AI1141" i="15"/>
  <c r="AH1141" i="15"/>
  <c r="AG1141" i="15"/>
  <c r="AC1141" i="15"/>
  <c r="N1141" i="15"/>
  <c r="I1141" i="15"/>
  <c r="AQ1140" i="15"/>
  <c r="M1140" i="15"/>
  <c r="AM1140" i="15"/>
  <c r="C1140" i="15"/>
  <c r="X1140" i="15"/>
  <c r="AA1140" i="15"/>
  <c r="H1140" i="15"/>
  <c r="L1140" i="15"/>
  <c r="Q1140" i="15"/>
  <c r="D1140" i="15"/>
  <c r="G1140" i="15"/>
  <c r="U1140" i="15"/>
  <c r="AL1140" i="15"/>
  <c r="Z1140" i="15"/>
  <c r="K1140" i="15"/>
  <c r="P1140" i="15"/>
  <c r="F1140" i="15"/>
  <c r="T1140" i="15"/>
  <c r="W1140" i="15"/>
  <c r="AK1140" i="15"/>
  <c r="Y1140" i="15"/>
  <c r="J1140" i="15"/>
  <c r="O1140" i="15"/>
  <c r="E1140" i="15"/>
  <c r="S1140" i="15"/>
  <c r="AJ1140" i="15"/>
  <c r="AI1140" i="15"/>
  <c r="AH1140" i="15"/>
  <c r="AG1140" i="15"/>
  <c r="AC1140" i="15"/>
  <c r="N1140" i="15"/>
  <c r="I1140" i="15"/>
  <c r="AQ1139" i="15"/>
  <c r="M1139" i="15"/>
  <c r="AM1139" i="15"/>
  <c r="C1139" i="15"/>
  <c r="X1139" i="15"/>
  <c r="AA1139" i="15"/>
  <c r="H1139" i="15"/>
  <c r="L1139" i="15"/>
  <c r="Q1139" i="15"/>
  <c r="D1139" i="15"/>
  <c r="G1139" i="15"/>
  <c r="U1139" i="15"/>
  <c r="AL1139" i="15"/>
  <c r="Z1139" i="15"/>
  <c r="K1139" i="15"/>
  <c r="P1139" i="15"/>
  <c r="F1139" i="15"/>
  <c r="T1139" i="15"/>
  <c r="W1139" i="15"/>
  <c r="AK1139" i="15"/>
  <c r="Y1139" i="15"/>
  <c r="J1139" i="15"/>
  <c r="O1139" i="15"/>
  <c r="E1139" i="15"/>
  <c r="S1139" i="15"/>
  <c r="AJ1139" i="15"/>
  <c r="AI1139" i="15"/>
  <c r="AH1139" i="15"/>
  <c r="AG1139" i="15"/>
  <c r="AC1139" i="15"/>
  <c r="N1139" i="15"/>
  <c r="I1139" i="15"/>
  <c r="AQ1138" i="15"/>
  <c r="M1138" i="15"/>
  <c r="AM1138" i="15"/>
  <c r="C1138" i="15"/>
  <c r="X1138" i="15"/>
  <c r="AA1138" i="15"/>
  <c r="H1138" i="15"/>
  <c r="L1138" i="15"/>
  <c r="Q1138" i="15"/>
  <c r="D1138" i="15"/>
  <c r="G1138" i="15"/>
  <c r="U1138" i="15"/>
  <c r="AL1138" i="15"/>
  <c r="Z1138" i="15"/>
  <c r="K1138" i="15"/>
  <c r="P1138" i="15"/>
  <c r="F1138" i="15"/>
  <c r="T1138" i="15"/>
  <c r="W1138" i="15"/>
  <c r="AK1138" i="15"/>
  <c r="Y1138" i="15"/>
  <c r="J1138" i="15"/>
  <c r="O1138" i="15"/>
  <c r="E1138" i="15"/>
  <c r="S1138" i="15"/>
  <c r="AJ1138" i="15"/>
  <c r="AI1138" i="15"/>
  <c r="AH1138" i="15"/>
  <c r="AG1138" i="15"/>
  <c r="AC1138" i="15"/>
  <c r="N1138" i="15"/>
  <c r="I1138" i="15"/>
  <c r="AQ1137" i="15"/>
  <c r="M1137" i="15"/>
  <c r="AM1137" i="15"/>
  <c r="C1137" i="15"/>
  <c r="X1137" i="15"/>
  <c r="AA1137" i="15"/>
  <c r="H1137" i="15"/>
  <c r="L1137" i="15"/>
  <c r="Q1137" i="15"/>
  <c r="D1137" i="15"/>
  <c r="G1137" i="15"/>
  <c r="U1137" i="15"/>
  <c r="AL1137" i="15"/>
  <c r="Z1137" i="15"/>
  <c r="K1137" i="15"/>
  <c r="P1137" i="15"/>
  <c r="F1137" i="15"/>
  <c r="T1137" i="15"/>
  <c r="W1137" i="15"/>
  <c r="AK1137" i="15"/>
  <c r="Y1137" i="15"/>
  <c r="J1137" i="15"/>
  <c r="O1137" i="15"/>
  <c r="E1137" i="15"/>
  <c r="S1137" i="15"/>
  <c r="AJ1137" i="15"/>
  <c r="AI1137" i="15"/>
  <c r="AH1137" i="15"/>
  <c r="AG1137" i="15"/>
  <c r="AC1137" i="15"/>
  <c r="N1137" i="15"/>
  <c r="I1137" i="15"/>
  <c r="AQ1136" i="15"/>
  <c r="M1136" i="15"/>
  <c r="AM1136" i="15"/>
  <c r="C1136" i="15"/>
  <c r="X1136" i="15"/>
  <c r="AA1136" i="15"/>
  <c r="H1136" i="15"/>
  <c r="L1136" i="15"/>
  <c r="Q1136" i="15"/>
  <c r="D1136" i="15"/>
  <c r="G1136" i="15"/>
  <c r="U1136" i="15"/>
  <c r="AL1136" i="15"/>
  <c r="Z1136" i="15"/>
  <c r="K1136" i="15"/>
  <c r="P1136" i="15"/>
  <c r="F1136" i="15"/>
  <c r="T1136" i="15"/>
  <c r="W1136" i="15"/>
  <c r="AK1136" i="15"/>
  <c r="Y1136" i="15"/>
  <c r="J1136" i="15"/>
  <c r="O1136" i="15"/>
  <c r="E1136" i="15"/>
  <c r="S1136" i="15"/>
  <c r="AJ1136" i="15"/>
  <c r="AI1136" i="15"/>
  <c r="AH1136" i="15"/>
  <c r="AG1136" i="15"/>
  <c r="AC1136" i="15"/>
  <c r="N1136" i="15"/>
  <c r="I1136" i="15"/>
  <c r="AQ1135" i="15"/>
  <c r="AM1135" i="15"/>
  <c r="C1135" i="15"/>
  <c r="X1135" i="15"/>
  <c r="AA1135" i="15"/>
  <c r="L1135" i="15"/>
  <c r="Q1135" i="15"/>
  <c r="D1135" i="15"/>
  <c r="G1135" i="15"/>
  <c r="U1135" i="15"/>
  <c r="AL1135" i="15"/>
  <c r="Z1135" i="15"/>
  <c r="K1135" i="15"/>
  <c r="P1135" i="15"/>
  <c r="F1135" i="15"/>
  <c r="T1135" i="15"/>
  <c r="W1135" i="15"/>
  <c r="AK1135" i="15"/>
  <c r="Y1135" i="15"/>
  <c r="J1135" i="15"/>
  <c r="O1135" i="15"/>
  <c r="E1135" i="15"/>
  <c r="S1135" i="15"/>
  <c r="AJ1135" i="15"/>
  <c r="AI1135" i="15"/>
  <c r="AH1135" i="15"/>
  <c r="AG1135" i="15"/>
  <c r="AC1135" i="15"/>
  <c r="N1135" i="15"/>
  <c r="I1135" i="15"/>
  <c r="AQ1134" i="15"/>
  <c r="AM1134" i="15"/>
  <c r="C1134" i="15"/>
  <c r="X1134" i="15"/>
  <c r="AA1134" i="15"/>
  <c r="L1134" i="15"/>
  <c r="Q1134" i="15"/>
  <c r="D1134" i="15"/>
  <c r="G1134" i="15"/>
  <c r="U1134" i="15"/>
  <c r="AL1134" i="15"/>
  <c r="Z1134" i="15"/>
  <c r="K1134" i="15"/>
  <c r="P1134" i="15"/>
  <c r="F1134" i="15"/>
  <c r="T1134" i="15"/>
  <c r="W1134" i="15"/>
  <c r="AK1134" i="15"/>
  <c r="Y1134" i="15"/>
  <c r="J1134" i="15"/>
  <c r="O1134" i="15"/>
  <c r="E1134" i="15"/>
  <c r="S1134" i="15"/>
  <c r="AJ1134" i="15"/>
  <c r="AI1134" i="15"/>
  <c r="AH1134" i="15"/>
  <c r="AG1134" i="15"/>
  <c r="AC1134" i="15"/>
  <c r="N1134" i="15"/>
  <c r="I1134" i="15"/>
  <c r="AQ1133" i="15"/>
  <c r="AM1133" i="15"/>
  <c r="AA1133" i="15"/>
  <c r="L1133" i="15"/>
  <c r="Q1133" i="15"/>
  <c r="G1133" i="15"/>
  <c r="U1133" i="15"/>
  <c r="AL1133" i="15"/>
  <c r="W1133" i="15"/>
  <c r="AK1133" i="15"/>
  <c r="AJ1133" i="15"/>
  <c r="AI1133" i="15"/>
  <c r="AH1133" i="15"/>
  <c r="AG1133" i="15"/>
  <c r="AC1133" i="15"/>
  <c r="N1133" i="15"/>
  <c r="I1133" i="15"/>
  <c r="AQ1132" i="15"/>
  <c r="AM1132" i="15"/>
  <c r="AA1132" i="15"/>
  <c r="L1132" i="15"/>
  <c r="Q1132" i="15"/>
  <c r="G1132" i="15"/>
  <c r="U1132" i="15"/>
  <c r="AL1132" i="15"/>
  <c r="W1132" i="15"/>
  <c r="AK1132" i="15"/>
  <c r="AJ1132" i="15"/>
  <c r="AI1132" i="15"/>
  <c r="AH1132" i="15"/>
  <c r="AG1132" i="15"/>
  <c r="AC1132" i="15"/>
  <c r="N1132" i="15"/>
  <c r="I1132" i="15"/>
  <c r="AQ1131" i="15"/>
  <c r="M1131" i="15"/>
  <c r="AM1131" i="15"/>
  <c r="AA1131" i="15"/>
  <c r="L1131" i="15"/>
  <c r="Q1131" i="15"/>
  <c r="D1131" i="15"/>
  <c r="G1131" i="15"/>
  <c r="U1131" i="15"/>
  <c r="AL1131" i="15"/>
  <c r="Z1131" i="15"/>
  <c r="K1131" i="15"/>
  <c r="P1131" i="15"/>
  <c r="F1131" i="15"/>
  <c r="T1131" i="15"/>
  <c r="W1131" i="15"/>
  <c r="AK1131" i="15"/>
  <c r="Y1131" i="15"/>
  <c r="J1131" i="15"/>
  <c r="O1131" i="15"/>
  <c r="E1131" i="15"/>
  <c r="S1131" i="15"/>
  <c r="AJ1131" i="15"/>
  <c r="AI1131" i="15"/>
  <c r="AH1131" i="15"/>
  <c r="AG1131" i="15"/>
  <c r="AC1131" i="15"/>
  <c r="N1131" i="15"/>
  <c r="I1131" i="15"/>
  <c r="AQ1130" i="15"/>
  <c r="M1130" i="15"/>
  <c r="AM1130" i="15"/>
  <c r="L1130" i="15"/>
  <c r="Q1130" i="15"/>
  <c r="D1130" i="15"/>
  <c r="G1130" i="15"/>
  <c r="U1130" i="15"/>
  <c r="AL1130" i="15"/>
  <c r="K1130" i="15"/>
  <c r="P1130" i="15"/>
  <c r="F1130" i="15"/>
  <c r="T1130" i="15"/>
  <c r="W1130" i="15"/>
  <c r="AK1130" i="15"/>
  <c r="J1130" i="15"/>
  <c r="O1130" i="15"/>
  <c r="E1130" i="15"/>
  <c r="S1130" i="15"/>
  <c r="AJ1130" i="15"/>
  <c r="AI1130" i="15"/>
  <c r="AH1130" i="15"/>
  <c r="AG1130" i="15"/>
  <c r="AC1130" i="15"/>
  <c r="N1130" i="15"/>
  <c r="I1130" i="15"/>
  <c r="I1076" i="15"/>
  <c r="I1075" i="15"/>
  <c r="M1087" i="15"/>
  <c r="AM1087" i="15"/>
  <c r="C1087" i="15"/>
  <c r="X1087" i="15"/>
  <c r="AA1087" i="15"/>
  <c r="H1087" i="15"/>
  <c r="L1087" i="15"/>
  <c r="Q1087" i="15"/>
  <c r="D1087" i="15"/>
  <c r="G1087" i="15"/>
  <c r="U1087" i="15"/>
  <c r="AL1087" i="15"/>
  <c r="Z1087" i="15"/>
  <c r="K1087" i="15"/>
  <c r="P1087" i="15"/>
  <c r="F1087" i="15"/>
  <c r="T1087" i="15"/>
  <c r="W1087" i="15"/>
  <c r="AK1087" i="15"/>
  <c r="Y1087" i="15"/>
  <c r="J1087" i="15"/>
  <c r="O1087" i="15"/>
  <c r="E1087" i="15"/>
  <c r="S1087" i="15"/>
  <c r="AJ1087" i="15"/>
  <c r="AI1087" i="15"/>
  <c r="AH1087" i="15"/>
  <c r="AG1087" i="15"/>
  <c r="M1086" i="15"/>
  <c r="AM1086" i="15"/>
  <c r="C1086" i="15"/>
  <c r="X1086" i="15"/>
  <c r="AA1086" i="15"/>
  <c r="H1086" i="15"/>
  <c r="L1086" i="15"/>
  <c r="Q1086" i="15"/>
  <c r="D1086" i="15"/>
  <c r="G1086" i="15"/>
  <c r="U1086" i="15"/>
  <c r="AL1086" i="15"/>
  <c r="Z1086" i="15"/>
  <c r="K1086" i="15"/>
  <c r="P1086" i="15"/>
  <c r="F1086" i="15"/>
  <c r="T1086" i="15"/>
  <c r="W1086" i="15"/>
  <c r="AK1086" i="15"/>
  <c r="Y1086" i="15"/>
  <c r="J1086" i="15"/>
  <c r="O1086" i="15"/>
  <c r="E1086" i="15"/>
  <c r="S1086" i="15"/>
  <c r="AJ1086" i="15"/>
  <c r="AI1086" i="15"/>
  <c r="AH1086" i="15"/>
  <c r="AG1086" i="15"/>
  <c r="M1085" i="15"/>
  <c r="AM1085" i="15"/>
  <c r="C1085" i="15"/>
  <c r="X1085" i="15"/>
  <c r="AA1085" i="15"/>
  <c r="H1085" i="15"/>
  <c r="L1085" i="15"/>
  <c r="Q1085" i="15"/>
  <c r="D1085" i="15"/>
  <c r="G1085" i="15"/>
  <c r="U1085" i="15"/>
  <c r="AL1085" i="15"/>
  <c r="Z1085" i="15"/>
  <c r="K1085" i="15"/>
  <c r="P1085" i="15"/>
  <c r="F1085" i="15"/>
  <c r="T1085" i="15"/>
  <c r="W1085" i="15"/>
  <c r="AK1085" i="15"/>
  <c r="Y1085" i="15"/>
  <c r="J1085" i="15"/>
  <c r="O1085" i="15"/>
  <c r="E1085" i="15"/>
  <c r="S1085" i="15"/>
  <c r="AJ1085" i="15"/>
  <c r="AI1085" i="15"/>
  <c r="AH1085" i="15"/>
  <c r="AG1085" i="15"/>
  <c r="M1084" i="15"/>
  <c r="AM1084" i="15"/>
  <c r="C1084" i="15"/>
  <c r="X1084" i="15"/>
  <c r="AA1084" i="15"/>
  <c r="H1084" i="15"/>
  <c r="L1084" i="15"/>
  <c r="Q1084" i="15"/>
  <c r="D1084" i="15"/>
  <c r="G1084" i="15"/>
  <c r="U1084" i="15"/>
  <c r="AL1084" i="15"/>
  <c r="Z1084" i="15"/>
  <c r="K1084" i="15"/>
  <c r="P1084" i="15"/>
  <c r="F1084" i="15"/>
  <c r="T1084" i="15"/>
  <c r="W1084" i="15"/>
  <c r="AK1084" i="15"/>
  <c r="Y1084" i="15"/>
  <c r="J1084" i="15"/>
  <c r="O1084" i="15"/>
  <c r="E1084" i="15"/>
  <c r="S1084" i="15"/>
  <c r="AJ1084" i="15"/>
  <c r="AI1084" i="15"/>
  <c r="AH1084" i="15"/>
  <c r="AG1084" i="15"/>
  <c r="C1088" i="15"/>
  <c r="X1088" i="15"/>
  <c r="Y1088" i="15"/>
  <c r="H1088" i="15"/>
  <c r="J1088" i="15"/>
  <c r="M1088" i="15"/>
  <c r="O1088" i="15"/>
  <c r="D1088" i="15"/>
  <c r="E1088" i="15"/>
  <c r="S1088" i="15"/>
  <c r="AG1088" i="15"/>
  <c r="Z1088" i="15"/>
  <c r="K1088" i="15"/>
  <c r="P1088" i="15"/>
  <c r="F1088" i="15"/>
  <c r="T1088" i="15"/>
  <c r="W1088" i="15"/>
  <c r="AH1088" i="15"/>
  <c r="AA1088" i="15"/>
  <c r="L1088" i="15"/>
  <c r="Q1088" i="15"/>
  <c r="G1088" i="15"/>
  <c r="U1088" i="15"/>
  <c r="AI1088" i="15"/>
  <c r="AJ1088" i="15"/>
  <c r="AK1088" i="15"/>
  <c r="AL1088" i="15"/>
  <c r="AM1088" i="15"/>
  <c r="C1089" i="15"/>
  <c r="X1089" i="15"/>
  <c r="Y1089" i="15"/>
  <c r="H1089" i="15"/>
  <c r="J1089" i="15"/>
  <c r="M1089" i="15"/>
  <c r="O1089" i="15"/>
  <c r="D1089" i="15"/>
  <c r="E1089" i="15"/>
  <c r="S1089" i="15"/>
  <c r="AG1089" i="15"/>
  <c r="Z1089" i="15"/>
  <c r="K1089" i="15"/>
  <c r="P1089" i="15"/>
  <c r="F1089" i="15"/>
  <c r="T1089" i="15"/>
  <c r="W1089" i="15"/>
  <c r="AH1089" i="15"/>
  <c r="AA1089" i="15"/>
  <c r="L1089" i="15"/>
  <c r="Q1089" i="15"/>
  <c r="G1089" i="15"/>
  <c r="U1089" i="15"/>
  <c r="AI1089" i="15"/>
  <c r="AJ1089" i="15"/>
  <c r="AK1089" i="15"/>
  <c r="AL1089" i="15"/>
  <c r="AM1089" i="15"/>
  <c r="C1090" i="15"/>
  <c r="X1090" i="15"/>
  <c r="Y1090" i="15"/>
  <c r="H1090" i="15"/>
  <c r="J1090" i="15"/>
  <c r="M1090" i="15"/>
  <c r="O1090" i="15"/>
  <c r="D1090" i="15"/>
  <c r="E1090" i="15"/>
  <c r="S1090" i="15"/>
  <c r="AG1090" i="15"/>
  <c r="Z1090" i="15"/>
  <c r="K1090" i="15"/>
  <c r="P1090" i="15"/>
  <c r="F1090" i="15"/>
  <c r="T1090" i="15"/>
  <c r="W1090" i="15"/>
  <c r="AH1090" i="15"/>
  <c r="AA1090" i="15"/>
  <c r="L1090" i="15"/>
  <c r="Q1090" i="15"/>
  <c r="G1090" i="15"/>
  <c r="U1090" i="15"/>
  <c r="AI1090" i="15"/>
  <c r="AJ1090" i="15"/>
  <c r="AK1090" i="15"/>
  <c r="AL1090" i="15"/>
  <c r="AM1090" i="15"/>
  <c r="C1091" i="15"/>
  <c r="X1091" i="15"/>
  <c r="Y1091" i="15"/>
  <c r="H1091" i="15"/>
  <c r="J1091" i="15"/>
  <c r="M1091" i="15"/>
  <c r="O1091" i="15"/>
  <c r="D1091" i="15"/>
  <c r="E1091" i="15"/>
  <c r="S1091" i="15"/>
  <c r="AG1091" i="15"/>
  <c r="Z1091" i="15"/>
  <c r="K1091" i="15"/>
  <c r="P1091" i="15"/>
  <c r="F1091" i="15"/>
  <c r="T1091" i="15"/>
  <c r="W1091" i="15"/>
  <c r="AH1091" i="15"/>
  <c r="AA1091" i="15"/>
  <c r="L1091" i="15"/>
  <c r="Q1091" i="15"/>
  <c r="G1091" i="15"/>
  <c r="U1091" i="15"/>
  <c r="AI1091" i="15"/>
  <c r="AJ1091" i="15"/>
  <c r="AK1091" i="15"/>
  <c r="AL1091" i="15"/>
  <c r="AM1091" i="15"/>
  <c r="C1092" i="15"/>
  <c r="X1092" i="15"/>
  <c r="Y1092" i="15"/>
  <c r="H1092" i="15"/>
  <c r="J1092" i="15"/>
  <c r="M1092" i="15"/>
  <c r="O1092" i="15"/>
  <c r="D1092" i="15"/>
  <c r="E1092" i="15"/>
  <c r="S1092" i="15"/>
  <c r="AG1092" i="15"/>
  <c r="Z1092" i="15"/>
  <c r="K1092" i="15"/>
  <c r="P1092" i="15"/>
  <c r="F1092" i="15"/>
  <c r="T1092" i="15"/>
  <c r="W1092" i="15"/>
  <c r="AH1092" i="15"/>
  <c r="AA1092" i="15"/>
  <c r="L1092" i="15"/>
  <c r="Q1092" i="15"/>
  <c r="G1092" i="15"/>
  <c r="U1092" i="15"/>
  <c r="AI1092" i="15"/>
  <c r="AJ1092" i="15"/>
  <c r="AK1092" i="15"/>
  <c r="AL1092" i="15"/>
  <c r="AM1092" i="15"/>
  <c r="C1093" i="15"/>
  <c r="X1093" i="15"/>
  <c r="Y1093" i="15"/>
  <c r="H1093" i="15"/>
  <c r="J1093" i="15"/>
  <c r="M1093" i="15"/>
  <c r="O1093" i="15"/>
  <c r="D1093" i="15"/>
  <c r="E1093" i="15"/>
  <c r="S1093" i="15"/>
  <c r="AG1093" i="15"/>
  <c r="Z1093" i="15"/>
  <c r="K1093" i="15"/>
  <c r="P1093" i="15"/>
  <c r="F1093" i="15"/>
  <c r="T1093" i="15"/>
  <c r="W1093" i="15"/>
  <c r="AH1093" i="15"/>
  <c r="AA1093" i="15"/>
  <c r="L1093" i="15"/>
  <c r="Q1093" i="15"/>
  <c r="G1093" i="15"/>
  <c r="U1093" i="15"/>
  <c r="AI1093" i="15"/>
  <c r="AJ1093" i="15"/>
  <c r="AK1093" i="15"/>
  <c r="AL1093" i="15"/>
  <c r="AM1093" i="15"/>
  <c r="C1094" i="15"/>
  <c r="X1094" i="15"/>
  <c r="Y1094" i="15"/>
  <c r="H1094" i="15"/>
  <c r="J1094" i="15"/>
  <c r="M1094" i="15"/>
  <c r="O1094" i="15"/>
  <c r="D1094" i="15"/>
  <c r="E1094" i="15"/>
  <c r="S1094" i="15"/>
  <c r="AG1094" i="15"/>
  <c r="Z1094" i="15"/>
  <c r="K1094" i="15"/>
  <c r="P1094" i="15"/>
  <c r="F1094" i="15"/>
  <c r="T1094" i="15"/>
  <c r="W1094" i="15"/>
  <c r="AH1094" i="15"/>
  <c r="AA1094" i="15"/>
  <c r="L1094" i="15"/>
  <c r="Q1094" i="15"/>
  <c r="G1094" i="15"/>
  <c r="U1094" i="15"/>
  <c r="AI1094" i="15"/>
  <c r="AJ1094" i="15"/>
  <c r="AK1094" i="15"/>
  <c r="AL1094" i="15"/>
  <c r="AM1094" i="15"/>
  <c r="C1095" i="15"/>
  <c r="X1095" i="15"/>
  <c r="Y1095" i="15"/>
  <c r="H1095" i="15"/>
  <c r="J1095" i="15"/>
  <c r="M1095" i="15"/>
  <c r="O1095" i="15"/>
  <c r="D1095" i="15"/>
  <c r="E1095" i="15"/>
  <c r="S1095" i="15"/>
  <c r="AG1095" i="15"/>
  <c r="Z1095" i="15"/>
  <c r="K1095" i="15"/>
  <c r="P1095" i="15"/>
  <c r="F1095" i="15"/>
  <c r="T1095" i="15"/>
  <c r="W1095" i="15"/>
  <c r="AH1095" i="15"/>
  <c r="AA1095" i="15"/>
  <c r="L1095" i="15"/>
  <c r="Q1095" i="15"/>
  <c r="G1095" i="15"/>
  <c r="U1095" i="15"/>
  <c r="AI1095" i="15"/>
  <c r="AJ1095" i="15"/>
  <c r="AK1095" i="15"/>
  <c r="AL1095" i="15"/>
  <c r="AM1095" i="15"/>
  <c r="C1096" i="15"/>
  <c r="X1096" i="15"/>
  <c r="Y1096" i="15"/>
  <c r="H1096" i="15"/>
  <c r="J1096" i="15"/>
  <c r="M1096" i="15"/>
  <c r="O1096" i="15"/>
  <c r="D1096" i="15"/>
  <c r="E1096" i="15"/>
  <c r="S1096" i="15"/>
  <c r="AG1096" i="15"/>
  <c r="Z1096" i="15"/>
  <c r="K1096" i="15"/>
  <c r="P1096" i="15"/>
  <c r="F1096" i="15"/>
  <c r="T1096" i="15"/>
  <c r="W1096" i="15"/>
  <c r="AH1096" i="15"/>
  <c r="AA1096" i="15"/>
  <c r="L1096" i="15"/>
  <c r="Q1096" i="15"/>
  <c r="G1096" i="15"/>
  <c r="U1096" i="15"/>
  <c r="AI1096" i="15"/>
  <c r="AJ1096" i="15"/>
  <c r="AK1096" i="15"/>
  <c r="AL1096" i="15"/>
  <c r="AM1096" i="15"/>
  <c r="C1097" i="15"/>
  <c r="X1097" i="15"/>
  <c r="Y1097" i="15"/>
  <c r="H1097" i="15"/>
  <c r="J1097" i="15"/>
  <c r="M1097" i="15"/>
  <c r="O1097" i="15"/>
  <c r="D1097" i="15"/>
  <c r="E1097" i="15"/>
  <c r="S1097" i="15"/>
  <c r="AG1097" i="15"/>
  <c r="Z1097" i="15"/>
  <c r="K1097" i="15"/>
  <c r="P1097" i="15"/>
  <c r="F1097" i="15"/>
  <c r="T1097" i="15"/>
  <c r="W1097" i="15"/>
  <c r="AH1097" i="15"/>
  <c r="AA1097" i="15"/>
  <c r="L1097" i="15"/>
  <c r="Q1097" i="15"/>
  <c r="G1097" i="15"/>
  <c r="U1097" i="15"/>
  <c r="AI1097" i="15"/>
  <c r="AJ1097" i="15"/>
  <c r="AK1097" i="15"/>
  <c r="AL1097" i="15"/>
  <c r="AM1097" i="15"/>
  <c r="C1098" i="15"/>
  <c r="X1098" i="15"/>
  <c r="Y1098" i="15"/>
  <c r="H1098" i="15"/>
  <c r="J1098" i="15"/>
  <c r="M1098" i="15"/>
  <c r="O1098" i="15"/>
  <c r="D1098" i="15"/>
  <c r="E1098" i="15"/>
  <c r="S1098" i="15"/>
  <c r="AG1098" i="15"/>
  <c r="Z1098" i="15"/>
  <c r="K1098" i="15"/>
  <c r="P1098" i="15"/>
  <c r="F1098" i="15"/>
  <c r="T1098" i="15"/>
  <c r="W1098" i="15"/>
  <c r="AH1098" i="15"/>
  <c r="AA1098" i="15"/>
  <c r="L1098" i="15"/>
  <c r="Q1098" i="15"/>
  <c r="G1098" i="15"/>
  <c r="U1098" i="15"/>
  <c r="AI1098" i="15"/>
  <c r="AJ1098" i="15"/>
  <c r="AK1098" i="15"/>
  <c r="AL1098" i="15"/>
  <c r="AM1098" i="15"/>
  <c r="C1099" i="15"/>
  <c r="X1099" i="15"/>
  <c r="Y1099" i="15"/>
  <c r="H1099" i="15"/>
  <c r="J1099" i="15"/>
  <c r="M1099" i="15"/>
  <c r="O1099" i="15"/>
  <c r="D1099" i="15"/>
  <c r="E1099" i="15"/>
  <c r="S1099" i="15"/>
  <c r="AG1099" i="15"/>
  <c r="Z1099" i="15"/>
  <c r="K1099" i="15"/>
  <c r="P1099" i="15"/>
  <c r="F1099" i="15"/>
  <c r="T1099" i="15"/>
  <c r="W1099" i="15"/>
  <c r="AH1099" i="15"/>
  <c r="AA1099" i="15"/>
  <c r="L1099" i="15"/>
  <c r="Q1099" i="15"/>
  <c r="G1099" i="15"/>
  <c r="U1099" i="15"/>
  <c r="AI1099" i="15"/>
  <c r="AJ1099" i="15"/>
  <c r="AK1099" i="15"/>
  <c r="AL1099" i="15"/>
  <c r="AM1099" i="15"/>
  <c r="C1100" i="15"/>
  <c r="X1100" i="15"/>
  <c r="Y1100" i="15"/>
  <c r="H1100" i="15"/>
  <c r="J1100" i="15"/>
  <c r="M1100" i="15"/>
  <c r="O1100" i="15"/>
  <c r="D1100" i="15"/>
  <c r="E1100" i="15"/>
  <c r="S1100" i="15"/>
  <c r="AG1100" i="15"/>
  <c r="Z1100" i="15"/>
  <c r="K1100" i="15"/>
  <c r="P1100" i="15"/>
  <c r="F1100" i="15"/>
  <c r="T1100" i="15"/>
  <c r="W1100" i="15"/>
  <c r="AH1100" i="15"/>
  <c r="AA1100" i="15"/>
  <c r="L1100" i="15"/>
  <c r="Q1100" i="15"/>
  <c r="G1100" i="15"/>
  <c r="U1100" i="15"/>
  <c r="AI1100" i="15"/>
  <c r="AJ1100" i="15"/>
  <c r="AK1100" i="15"/>
  <c r="AL1100" i="15"/>
  <c r="AM1100" i="15"/>
  <c r="C1101" i="15"/>
  <c r="X1101" i="15"/>
  <c r="Y1101" i="15"/>
  <c r="H1101" i="15"/>
  <c r="J1101" i="15"/>
  <c r="M1101" i="15"/>
  <c r="O1101" i="15"/>
  <c r="D1101" i="15"/>
  <c r="E1101" i="15"/>
  <c r="S1101" i="15"/>
  <c r="AG1101" i="15"/>
  <c r="Z1101" i="15"/>
  <c r="K1101" i="15"/>
  <c r="P1101" i="15"/>
  <c r="F1101" i="15"/>
  <c r="T1101" i="15"/>
  <c r="W1101" i="15"/>
  <c r="AH1101" i="15"/>
  <c r="AA1101" i="15"/>
  <c r="L1101" i="15"/>
  <c r="Q1101" i="15"/>
  <c r="G1101" i="15"/>
  <c r="U1101" i="15"/>
  <c r="AI1101" i="15"/>
  <c r="AJ1101" i="15"/>
  <c r="AK1101" i="15"/>
  <c r="AL1101" i="15"/>
  <c r="AM1101" i="15"/>
  <c r="C1102" i="15"/>
  <c r="X1102" i="15"/>
  <c r="Y1102" i="15"/>
  <c r="H1102" i="15"/>
  <c r="J1102" i="15"/>
  <c r="M1102" i="15"/>
  <c r="O1102" i="15"/>
  <c r="D1102" i="15"/>
  <c r="E1102" i="15"/>
  <c r="S1102" i="15"/>
  <c r="AG1102" i="15"/>
  <c r="Z1102" i="15"/>
  <c r="K1102" i="15"/>
  <c r="P1102" i="15"/>
  <c r="F1102" i="15"/>
  <c r="T1102" i="15"/>
  <c r="W1102" i="15"/>
  <c r="AH1102" i="15"/>
  <c r="AA1102" i="15"/>
  <c r="L1102" i="15"/>
  <c r="Q1102" i="15"/>
  <c r="G1102" i="15"/>
  <c r="U1102" i="15"/>
  <c r="AI1102" i="15"/>
  <c r="AJ1102" i="15"/>
  <c r="AK1102" i="15"/>
  <c r="AL1102" i="15"/>
  <c r="AM1102" i="15"/>
  <c r="C1103" i="15"/>
  <c r="X1103" i="15"/>
  <c r="Y1103" i="15"/>
  <c r="H1103" i="15"/>
  <c r="J1103" i="15"/>
  <c r="M1103" i="15"/>
  <c r="O1103" i="15"/>
  <c r="D1103" i="15"/>
  <c r="E1103" i="15"/>
  <c r="S1103" i="15"/>
  <c r="AG1103" i="15"/>
  <c r="Z1103" i="15"/>
  <c r="K1103" i="15"/>
  <c r="P1103" i="15"/>
  <c r="F1103" i="15"/>
  <c r="T1103" i="15"/>
  <c r="W1103" i="15"/>
  <c r="AH1103" i="15"/>
  <c r="AA1103" i="15"/>
  <c r="L1103" i="15"/>
  <c r="Q1103" i="15"/>
  <c r="G1103" i="15"/>
  <c r="U1103" i="15"/>
  <c r="AI1103" i="15"/>
  <c r="AJ1103" i="15"/>
  <c r="AK1103" i="15"/>
  <c r="AL1103" i="15"/>
  <c r="AM1103" i="15"/>
  <c r="C1104" i="15"/>
  <c r="X1104" i="15"/>
  <c r="Y1104" i="15"/>
  <c r="H1104" i="15"/>
  <c r="J1104" i="15"/>
  <c r="M1104" i="15"/>
  <c r="O1104" i="15"/>
  <c r="D1104" i="15"/>
  <c r="E1104" i="15"/>
  <c r="S1104" i="15"/>
  <c r="AG1104" i="15"/>
  <c r="Z1104" i="15"/>
  <c r="K1104" i="15"/>
  <c r="P1104" i="15"/>
  <c r="F1104" i="15"/>
  <c r="T1104" i="15"/>
  <c r="W1104" i="15"/>
  <c r="AH1104" i="15"/>
  <c r="AA1104" i="15"/>
  <c r="L1104" i="15"/>
  <c r="Q1104" i="15"/>
  <c r="G1104" i="15"/>
  <c r="U1104" i="15"/>
  <c r="AI1104" i="15"/>
  <c r="AJ1104" i="15"/>
  <c r="AK1104" i="15"/>
  <c r="AL1104" i="15"/>
  <c r="AM1104" i="15"/>
  <c r="C1105" i="15"/>
  <c r="X1105" i="15"/>
  <c r="Y1105" i="15"/>
  <c r="H1105" i="15"/>
  <c r="J1105" i="15"/>
  <c r="M1105" i="15"/>
  <c r="O1105" i="15"/>
  <c r="D1105" i="15"/>
  <c r="E1105" i="15"/>
  <c r="S1105" i="15"/>
  <c r="AG1105" i="15"/>
  <c r="Z1105" i="15"/>
  <c r="K1105" i="15"/>
  <c r="P1105" i="15"/>
  <c r="F1105" i="15"/>
  <c r="T1105" i="15"/>
  <c r="W1105" i="15"/>
  <c r="AH1105" i="15"/>
  <c r="AA1105" i="15"/>
  <c r="L1105" i="15"/>
  <c r="Q1105" i="15"/>
  <c r="G1105" i="15"/>
  <c r="U1105" i="15"/>
  <c r="AI1105" i="15"/>
  <c r="AJ1105" i="15"/>
  <c r="AK1105" i="15"/>
  <c r="AL1105" i="15"/>
  <c r="AM1105" i="15"/>
  <c r="C1106" i="15"/>
  <c r="X1106" i="15"/>
  <c r="Y1106" i="15"/>
  <c r="H1106" i="15"/>
  <c r="J1106" i="15"/>
  <c r="M1106" i="15"/>
  <c r="O1106" i="15"/>
  <c r="D1106" i="15"/>
  <c r="E1106" i="15"/>
  <c r="S1106" i="15"/>
  <c r="AG1106" i="15"/>
  <c r="Z1106" i="15"/>
  <c r="K1106" i="15"/>
  <c r="P1106" i="15"/>
  <c r="F1106" i="15"/>
  <c r="T1106" i="15"/>
  <c r="W1106" i="15"/>
  <c r="AH1106" i="15"/>
  <c r="AA1106" i="15"/>
  <c r="L1106" i="15"/>
  <c r="Q1106" i="15"/>
  <c r="G1106" i="15"/>
  <c r="U1106" i="15"/>
  <c r="AI1106" i="15"/>
  <c r="AJ1106" i="15"/>
  <c r="AK1106" i="15"/>
  <c r="AL1106" i="15"/>
  <c r="AM1106" i="15"/>
  <c r="C1107" i="15"/>
  <c r="X1107" i="15"/>
  <c r="Y1107" i="15"/>
  <c r="H1107" i="15"/>
  <c r="J1107" i="15"/>
  <c r="M1107" i="15"/>
  <c r="O1107" i="15"/>
  <c r="D1107" i="15"/>
  <c r="E1107" i="15"/>
  <c r="S1107" i="15"/>
  <c r="AG1107" i="15"/>
  <c r="Z1107" i="15"/>
  <c r="K1107" i="15"/>
  <c r="P1107" i="15"/>
  <c r="F1107" i="15"/>
  <c r="T1107" i="15"/>
  <c r="W1107" i="15"/>
  <c r="AH1107" i="15"/>
  <c r="AA1107" i="15"/>
  <c r="L1107" i="15"/>
  <c r="Q1107" i="15"/>
  <c r="G1107" i="15"/>
  <c r="U1107" i="15"/>
  <c r="AI1107" i="15"/>
  <c r="AJ1107" i="15"/>
  <c r="AK1107" i="15"/>
  <c r="AL1107" i="15"/>
  <c r="AM1107" i="15"/>
  <c r="C1108" i="15"/>
  <c r="X1108" i="15"/>
  <c r="Y1108" i="15"/>
  <c r="H1108" i="15"/>
  <c r="J1108" i="15"/>
  <c r="M1108" i="15"/>
  <c r="O1108" i="15"/>
  <c r="D1108" i="15"/>
  <c r="E1108" i="15"/>
  <c r="S1108" i="15"/>
  <c r="AG1108" i="15"/>
  <c r="Z1108" i="15"/>
  <c r="K1108" i="15"/>
  <c r="P1108" i="15"/>
  <c r="F1108" i="15"/>
  <c r="T1108" i="15"/>
  <c r="W1108" i="15"/>
  <c r="AH1108" i="15"/>
  <c r="AA1108" i="15"/>
  <c r="L1108" i="15"/>
  <c r="Q1108" i="15"/>
  <c r="G1108" i="15"/>
  <c r="U1108" i="15"/>
  <c r="AI1108" i="15"/>
  <c r="AJ1108" i="15"/>
  <c r="AK1108" i="15"/>
  <c r="AL1108" i="15"/>
  <c r="AM1108" i="15"/>
  <c r="C1109" i="15"/>
  <c r="X1109" i="15"/>
  <c r="Y1109" i="15"/>
  <c r="H1109" i="15"/>
  <c r="J1109" i="15"/>
  <c r="M1109" i="15"/>
  <c r="O1109" i="15"/>
  <c r="D1109" i="15"/>
  <c r="E1109" i="15"/>
  <c r="S1109" i="15"/>
  <c r="AG1109" i="15"/>
  <c r="Z1109" i="15"/>
  <c r="K1109" i="15"/>
  <c r="P1109" i="15"/>
  <c r="F1109" i="15"/>
  <c r="T1109" i="15"/>
  <c r="W1109" i="15"/>
  <c r="AH1109" i="15"/>
  <c r="AA1109" i="15"/>
  <c r="L1109" i="15"/>
  <c r="Q1109" i="15"/>
  <c r="G1109" i="15"/>
  <c r="U1109" i="15"/>
  <c r="AI1109" i="15"/>
  <c r="AJ1109" i="15"/>
  <c r="AK1109" i="15"/>
  <c r="AL1109" i="15"/>
  <c r="AM1109" i="15"/>
  <c r="C1110" i="15"/>
  <c r="X1110" i="15"/>
  <c r="Y1110" i="15"/>
  <c r="H1110" i="15"/>
  <c r="J1110" i="15"/>
  <c r="M1110" i="15"/>
  <c r="O1110" i="15"/>
  <c r="D1110" i="15"/>
  <c r="E1110" i="15"/>
  <c r="S1110" i="15"/>
  <c r="AG1110" i="15"/>
  <c r="Z1110" i="15"/>
  <c r="K1110" i="15"/>
  <c r="P1110" i="15"/>
  <c r="F1110" i="15"/>
  <c r="T1110" i="15"/>
  <c r="W1110" i="15"/>
  <c r="AH1110" i="15"/>
  <c r="AA1110" i="15"/>
  <c r="L1110" i="15"/>
  <c r="Q1110" i="15"/>
  <c r="G1110" i="15"/>
  <c r="U1110" i="15"/>
  <c r="AI1110" i="15"/>
  <c r="AJ1110" i="15"/>
  <c r="AK1110" i="15"/>
  <c r="AL1110" i="15"/>
  <c r="AM1110" i="15"/>
  <c r="C1111" i="15"/>
  <c r="X1111" i="15"/>
  <c r="Y1111" i="15"/>
  <c r="H1111" i="15"/>
  <c r="J1111" i="15"/>
  <c r="M1111" i="15"/>
  <c r="O1111" i="15"/>
  <c r="D1111" i="15"/>
  <c r="E1111" i="15"/>
  <c r="S1111" i="15"/>
  <c r="AG1111" i="15"/>
  <c r="Z1111" i="15"/>
  <c r="K1111" i="15"/>
  <c r="P1111" i="15"/>
  <c r="F1111" i="15"/>
  <c r="T1111" i="15"/>
  <c r="W1111" i="15"/>
  <c r="AH1111" i="15"/>
  <c r="AA1111" i="15"/>
  <c r="L1111" i="15"/>
  <c r="Q1111" i="15"/>
  <c r="G1111" i="15"/>
  <c r="U1111" i="15"/>
  <c r="AI1111" i="15"/>
  <c r="AJ1111" i="15"/>
  <c r="AK1111" i="15"/>
  <c r="AL1111" i="15"/>
  <c r="AM1111" i="15"/>
  <c r="C1112" i="15"/>
  <c r="X1112" i="15"/>
  <c r="Y1112" i="15"/>
  <c r="H1112" i="15"/>
  <c r="J1112" i="15"/>
  <c r="M1112" i="15"/>
  <c r="O1112" i="15"/>
  <c r="D1112" i="15"/>
  <c r="E1112" i="15"/>
  <c r="S1112" i="15"/>
  <c r="AG1112" i="15"/>
  <c r="Z1112" i="15"/>
  <c r="K1112" i="15"/>
  <c r="P1112" i="15"/>
  <c r="F1112" i="15"/>
  <c r="T1112" i="15"/>
  <c r="W1112" i="15"/>
  <c r="AH1112" i="15"/>
  <c r="AA1112" i="15"/>
  <c r="L1112" i="15"/>
  <c r="Q1112" i="15"/>
  <c r="G1112" i="15"/>
  <c r="U1112" i="15"/>
  <c r="AI1112" i="15"/>
  <c r="AJ1112" i="15"/>
  <c r="AK1112" i="15"/>
  <c r="AL1112" i="15"/>
  <c r="AM1112" i="15"/>
  <c r="C1113" i="15"/>
  <c r="X1113" i="15"/>
  <c r="Y1113" i="15"/>
  <c r="H1113" i="15"/>
  <c r="J1113" i="15"/>
  <c r="M1113" i="15"/>
  <c r="O1113" i="15"/>
  <c r="D1113" i="15"/>
  <c r="E1113" i="15"/>
  <c r="S1113" i="15"/>
  <c r="AG1113" i="15"/>
  <c r="Z1113" i="15"/>
  <c r="K1113" i="15"/>
  <c r="P1113" i="15"/>
  <c r="F1113" i="15"/>
  <c r="T1113" i="15"/>
  <c r="W1113" i="15"/>
  <c r="AH1113" i="15"/>
  <c r="AA1113" i="15"/>
  <c r="L1113" i="15"/>
  <c r="Q1113" i="15"/>
  <c r="G1113" i="15"/>
  <c r="U1113" i="15"/>
  <c r="AI1113" i="15"/>
  <c r="AJ1113" i="15"/>
  <c r="AK1113" i="15"/>
  <c r="AL1113" i="15"/>
  <c r="AM1113" i="15"/>
  <c r="C1114" i="15"/>
  <c r="X1114" i="15"/>
  <c r="Y1114" i="15"/>
  <c r="H1114" i="15"/>
  <c r="J1114" i="15"/>
  <c r="M1114" i="15"/>
  <c r="O1114" i="15"/>
  <c r="D1114" i="15"/>
  <c r="E1114" i="15"/>
  <c r="S1114" i="15"/>
  <c r="AG1114" i="15"/>
  <c r="Z1114" i="15"/>
  <c r="K1114" i="15"/>
  <c r="P1114" i="15"/>
  <c r="F1114" i="15"/>
  <c r="T1114" i="15"/>
  <c r="W1114" i="15"/>
  <c r="AH1114" i="15"/>
  <c r="AA1114" i="15"/>
  <c r="L1114" i="15"/>
  <c r="Q1114" i="15"/>
  <c r="G1114" i="15"/>
  <c r="U1114" i="15"/>
  <c r="AI1114" i="15"/>
  <c r="AJ1114" i="15"/>
  <c r="AK1114" i="15"/>
  <c r="AL1114" i="15"/>
  <c r="AM1114" i="15"/>
  <c r="C1115" i="15"/>
  <c r="X1115" i="15"/>
  <c r="Y1115" i="15"/>
  <c r="H1115" i="15"/>
  <c r="J1115" i="15"/>
  <c r="O1115" i="15"/>
  <c r="D1115" i="15"/>
  <c r="E1115" i="15"/>
  <c r="S1115" i="15"/>
  <c r="AG1115" i="15"/>
  <c r="Z1115" i="15"/>
  <c r="K1115" i="15"/>
  <c r="P1115" i="15"/>
  <c r="F1115" i="15"/>
  <c r="T1115" i="15"/>
  <c r="W1115" i="15"/>
  <c r="AH1115" i="15"/>
  <c r="AA1115" i="15"/>
  <c r="L1115" i="15"/>
  <c r="Q1115" i="15"/>
  <c r="G1115" i="15"/>
  <c r="U1115" i="15"/>
  <c r="AI1115" i="15"/>
  <c r="AJ1115" i="15"/>
  <c r="AK1115" i="15"/>
  <c r="AL1115" i="15"/>
  <c r="AM1115" i="15"/>
  <c r="C1116" i="15"/>
  <c r="X1116" i="15"/>
  <c r="Y1116" i="15"/>
  <c r="H1116" i="15"/>
  <c r="J1116" i="15"/>
  <c r="O1116" i="15"/>
  <c r="D1116" i="15"/>
  <c r="E1116" i="15"/>
  <c r="S1116" i="15"/>
  <c r="AG1116" i="15"/>
  <c r="Z1116" i="15"/>
  <c r="K1116" i="15"/>
  <c r="P1116" i="15"/>
  <c r="F1116" i="15"/>
  <c r="T1116" i="15"/>
  <c r="W1116" i="15"/>
  <c r="AH1116" i="15"/>
  <c r="AA1116" i="15"/>
  <c r="L1116" i="15"/>
  <c r="Q1116" i="15"/>
  <c r="G1116" i="15"/>
  <c r="U1116" i="15"/>
  <c r="AI1116" i="15"/>
  <c r="AJ1116" i="15"/>
  <c r="AK1116" i="15"/>
  <c r="AL1116" i="15"/>
  <c r="AM1116" i="15"/>
  <c r="C1117" i="15"/>
  <c r="X1117" i="15"/>
  <c r="Y1117" i="15"/>
  <c r="H1117" i="15"/>
  <c r="J1117" i="15"/>
  <c r="M1117" i="15"/>
  <c r="O1117" i="15"/>
  <c r="D1117" i="15"/>
  <c r="E1117" i="15"/>
  <c r="S1117" i="15"/>
  <c r="AG1117" i="15"/>
  <c r="Z1117" i="15"/>
  <c r="K1117" i="15"/>
  <c r="P1117" i="15"/>
  <c r="F1117" i="15"/>
  <c r="T1117" i="15"/>
  <c r="W1117" i="15"/>
  <c r="AH1117" i="15"/>
  <c r="AA1117" i="15"/>
  <c r="L1117" i="15"/>
  <c r="Q1117" i="15"/>
  <c r="G1117" i="15"/>
  <c r="U1117" i="15"/>
  <c r="AI1117" i="15"/>
  <c r="AJ1117" i="15"/>
  <c r="AK1117" i="15"/>
  <c r="AL1117" i="15"/>
  <c r="AM1117" i="15"/>
  <c r="C1118" i="15"/>
  <c r="X1118" i="15"/>
  <c r="Y1118" i="15"/>
  <c r="H1118" i="15"/>
  <c r="J1118" i="15"/>
  <c r="M1118" i="15"/>
  <c r="O1118" i="15"/>
  <c r="D1118" i="15"/>
  <c r="E1118" i="15"/>
  <c r="S1118" i="15"/>
  <c r="AG1118" i="15"/>
  <c r="Z1118" i="15"/>
  <c r="K1118" i="15"/>
  <c r="P1118" i="15"/>
  <c r="F1118" i="15"/>
  <c r="T1118" i="15"/>
  <c r="W1118" i="15"/>
  <c r="AH1118" i="15"/>
  <c r="AA1118" i="15"/>
  <c r="L1118" i="15"/>
  <c r="Q1118" i="15"/>
  <c r="G1118" i="15"/>
  <c r="U1118" i="15"/>
  <c r="AI1118" i="15"/>
  <c r="AJ1118" i="15"/>
  <c r="AK1118" i="15"/>
  <c r="AL1118" i="15"/>
  <c r="AM1118" i="15"/>
  <c r="C1119" i="15"/>
  <c r="X1119" i="15"/>
  <c r="Y1119" i="15"/>
  <c r="H1119" i="15"/>
  <c r="J1119" i="15"/>
  <c r="M1119" i="15"/>
  <c r="O1119" i="15"/>
  <c r="D1119" i="15"/>
  <c r="E1119" i="15"/>
  <c r="S1119" i="15"/>
  <c r="AG1119" i="15"/>
  <c r="Z1119" i="15"/>
  <c r="K1119" i="15"/>
  <c r="P1119" i="15"/>
  <c r="F1119" i="15"/>
  <c r="T1119" i="15"/>
  <c r="W1119" i="15"/>
  <c r="AH1119" i="15"/>
  <c r="AA1119" i="15"/>
  <c r="L1119" i="15"/>
  <c r="Q1119" i="15"/>
  <c r="G1119" i="15"/>
  <c r="U1119" i="15"/>
  <c r="AI1119" i="15"/>
  <c r="AJ1119" i="15"/>
  <c r="AK1119" i="15"/>
  <c r="AL1119" i="15"/>
  <c r="AM1119" i="15"/>
  <c r="C1120" i="15"/>
  <c r="X1120" i="15"/>
  <c r="Y1120" i="15"/>
  <c r="H1120" i="15"/>
  <c r="J1120" i="15"/>
  <c r="M1120" i="15"/>
  <c r="O1120" i="15"/>
  <c r="D1120" i="15"/>
  <c r="E1120" i="15"/>
  <c r="S1120" i="15"/>
  <c r="AG1120" i="15"/>
  <c r="Z1120" i="15"/>
  <c r="K1120" i="15"/>
  <c r="P1120" i="15"/>
  <c r="F1120" i="15"/>
  <c r="T1120" i="15"/>
  <c r="W1120" i="15"/>
  <c r="AH1120" i="15"/>
  <c r="AA1120" i="15"/>
  <c r="L1120" i="15"/>
  <c r="Q1120" i="15"/>
  <c r="G1120" i="15"/>
  <c r="U1120" i="15"/>
  <c r="AI1120" i="15"/>
  <c r="AJ1120" i="15"/>
  <c r="AK1120" i="15"/>
  <c r="AL1120" i="15"/>
  <c r="AM1120" i="15"/>
  <c r="C1121" i="15"/>
  <c r="X1121" i="15"/>
  <c r="Y1121" i="15"/>
  <c r="H1121" i="15"/>
  <c r="J1121" i="15"/>
  <c r="M1121" i="15"/>
  <c r="O1121" i="15"/>
  <c r="D1121" i="15"/>
  <c r="E1121" i="15"/>
  <c r="S1121" i="15"/>
  <c r="AG1121" i="15"/>
  <c r="Z1121" i="15"/>
  <c r="K1121" i="15"/>
  <c r="P1121" i="15"/>
  <c r="F1121" i="15"/>
  <c r="T1121" i="15"/>
  <c r="W1121" i="15"/>
  <c r="AH1121" i="15"/>
  <c r="AA1121" i="15"/>
  <c r="L1121" i="15"/>
  <c r="Q1121" i="15"/>
  <c r="G1121" i="15"/>
  <c r="U1121" i="15"/>
  <c r="AI1121" i="15"/>
  <c r="AJ1121" i="15"/>
  <c r="AK1121" i="15"/>
  <c r="AL1121" i="15"/>
  <c r="AM1121" i="15"/>
  <c r="C1122" i="15"/>
  <c r="X1122" i="15"/>
  <c r="Y1122" i="15"/>
  <c r="H1122" i="15"/>
  <c r="J1122" i="15"/>
  <c r="M1122" i="15"/>
  <c r="O1122" i="15"/>
  <c r="D1122" i="15"/>
  <c r="E1122" i="15"/>
  <c r="S1122" i="15"/>
  <c r="AG1122" i="15"/>
  <c r="Z1122" i="15"/>
  <c r="K1122" i="15"/>
  <c r="P1122" i="15"/>
  <c r="F1122" i="15"/>
  <c r="T1122" i="15"/>
  <c r="W1122" i="15"/>
  <c r="AH1122" i="15"/>
  <c r="AA1122" i="15"/>
  <c r="L1122" i="15"/>
  <c r="Q1122" i="15"/>
  <c r="G1122" i="15"/>
  <c r="U1122" i="15"/>
  <c r="AI1122" i="15"/>
  <c r="AJ1122" i="15"/>
  <c r="AK1122" i="15"/>
  <c r="AL1122" i="15"/>
  <c r="AM1122" i="15"/>
  <c r="C1123" i="15"/>
  <c r="X1123" i="15"/>
  <c r="Y1123" i="15"/>
  <c r="H1123" i="15"/>
  <c r="J1123" i="15"/>
  <c r="M1123" i="15"/>
  <c r="O1123" i="15"/>
  <c r="D1123" i="15"/>
  <c r="E1123" i="15"/>
  <c r="S1123" i="15"/>
  <c r="AG1123" i="15"/>
  <c r="Z1123" i="15"/>
  <c r="K1123" i="15"/>
  <c r="P1123" i="15"/>
  <c r="F1123" i="15"/>
  <c r="T1123" i="15"/>
  <c r="W1123" i="15"/>
  <c r="AH1123" i="15"/>
  <c r="AA1123" i="15"/>
  <c r="L1123" i="15"/>
  <c r="Q1123" i="15"/>
  <c r="G1123" i="15"/>
  <c r="U1123" i="15"/>
  <c r="AI1123" i="15"/>
  <c r="AJ1123" i="15"/>
  <c r="AK1123" i="15"/>
  <c r="AL1123" i="15"/>
  <c r="AM1123" i="15"/>
  <c r="C1124" i="15"/>
  <c r="X1124" i="15"/>
  <c r="Y1124" i="15"/>
  <c r="H1124" i="15"/>
  <c r="J1124" i="15"/>
  <c r="M1124" i="15"/>
  <c r="O1124" i="15"/>
  <c r="D1124" i="15"/>
  <c r="E1124" i="15"/>
  <c r="S1124" i="15"/>
  <c r="AG1124" i="15"/>
  <c r="Z1124" i="15"/>
  <c r="K1124" i="15"/>
  <c r="P1124" i="15"/>
  <c r="F1124" i="15"/>
  <c r="T1124" i="15"/>
  <c r="W1124" i="15"/>
  <c r="AH1124" i="15"/>
  <c r="AA1124" i="15"/>
  <c r="L1124" i="15"/>
  <c r="Q1124" i="15"/>
  <c r="G1124" i="15"/>
  <c r="U1124" i="15"/>
  <c r="AI1124" i="15"/>
  <c r="AJ1124" i="15"/>
  <c r="AK1124" i="15"/>
  <c r="AL1124" i="15"/>
  <c r="AM1124" i="15"/>
  <c r="C1125" i="15"/>
  <c r="X1125" i="15"/>
  <c r="Y1125" i="15"/>
  <c r="H1125" i="15"/>
  <c r="J1125" i="15"/>
  <c r="M1125" i="15"/>
  <c r="O1125" i="15"/>
  <c r="D1125" i="15"/>
  <c r="E1125" i="15"/>
  <c r="S1125" i="15"/>
  <c r="AG1125" i="15"/>
  <c r="Z1125" i="15"/>
  <c r="K1125" i="15"/>
  <c r="P1125" i="15"/>
  <c r="F1125" i="15"/>
  <c r="T1125" i="15"/>
  <c r="W1125" i="15"/>
  <c r="AH1125" i="15"/>
  <c r="AA1125" i="15"/>
  <c r="L1125" i="15"/>
  <c r="Q1125" i="15"/>
  <c r="G1125" i="15"/>
  <c r="U1125" i="15"/>
  <c r="AI1125" i="15"/>
  <c r="AJ1125" i="15"/>
  <c r="AK1125" i="15"/>
  <c r="AL1125" i="15"/>
  <c r="AM1125" i="15"/>
  <c r="C1126" i="15"/>
  <c r="X1126" i="15"/>
  <c r="Y1126" i="15"/>
  <c r="H1126" i="15"/>
  <c r="J1126" i="15"/>
  <c r="M1126" i="15"/>
  <c r="O1126" i="15"/>
  <c r="D1126" i="15"/>
  <c r="E1126" i="15"/>
  <c r="S1126" i="15"/>
  <c r="AG1126" i="15"/>
  <c r="Z1126" i="15"/>
  <c r="K1126" i="15"/>
  <c r="P1126" i="15"/>
  <c r="F1126" i="15"/>
  <c r="T1126" i="15"/>
  <c r="W1126" i="15"/>
  <c r="AH1126" i="15"/>
  <c r="AA1126" i="15"/>
  <c r="L1126" i="15"/>
  <c r="Q1126" i="15"/>
  <c r="G1126" i="15"/>
  <c r="U1126" i="15"/>
  <c r="AI1126" i="15"/>
  <c r="AJ1126" i="15"/>
  <c r="AK1126" i="15"/>
  <c r="AL1126" i="15"/>
  <c r="AM1126" i="15"/>
  <c r="C1127" i="15"/>
  <c r="X1127" i="15"/>
  <c r="Y1127" i="15"/>
  <c r="H1127" i="15"/>
  <c r="J1127" i="15"/>
  <c r="M1127" i="15"/>
  <c r="O1127" i="15"/>
  <c r="D1127" i="15"/>
  <c r="E1127" i="15"/>
  <c r="S1127" i="15"/>
  <c r="AG1127" i="15"/>
  <c r="Z1127" i="15"/>
  <c r="K1127" i="15"/>
  <c r="P1127" i="15"/>
  <c r="F1127" i="15"/>
  <c r="T1127" i="15"/>
  <c r="W1127" i="15"/>
  <c r="AH1127" i="15"/>
  <c r="AA1127" i="15"/>
  <c r="L1127" i="15"/>
  <c r="Q1127" i="15"/>
  <c r="G1127" i="15"/>
  <c r="U1127" i="15"/>
  <c r="AI1127" i="15"/>
  <c r="AJ1127" i="15"/>
  <c r="AK1127" i="15"/>
  <c r="AL1127" i="15"/>
  <c r="AM1127" i="15"/>
  <c r="C1128" i="15"/>
  <c r="X1128" i="15"/>
  <c r="Y1128" i="15"/>
  <c r="H1128" i="15"/>
  <c r="J1128" i="15"/>
  <c r="M1128" i="15"/>
  <c r="O1128" i="15"/>
  <c r="D1128" i="15"/>
  <c r="E1128" i="15"/>
  <c r="S1128" i="15"/>
  <c r="AG1128" i="15"/>
  <c r="Z1128" i="15"/>
  <c r="K1128" i="15"/>
  <c r="P1128" i="15"/>
  <c r="F1128" i="15"/>
  <c r="T1128" i="15"/>
  <c r="W1128" i="15"/>
  <c r="AH1128" i="15"/>
  <c r="AA1128" i="15"/>
  <c r="L1128" i="15"/>
  <c r="Q1128" i="15"/>
  <c r="G1128" i="15"/>
  <c r="U1128" i="15"/>
  <c r="AI1128" i="15"/>
  <c r="AJ1128" i="15"/>
  <c r="AK1128" i="15"/>
  <c r="AL1128" i="15"/>
  <c r="AM1128" i="15"/>
  <c r="C1129" i="15"/>
  <c r="X1129" i="15"/>
  <c r="Y1129" i="15"/>
  <c r="H1129" i="15"/>
  <c r="J1129" i="15"/>
  <c r="M1129" i="15"/>
  <c r="O1129" i="15"/>
  <c r="D1129" i="15"/>
  <c r="E1129" i="15"/>
  <c r="S1129" i="15"/>
  <c r="AG1129" i="15"/>
  <c r="Z1129" i="15"/>
  <c r="K1129" i="15"/>
  <c r="P1129" i="15"/>
  <c r="F1129" i="15"/>
  <c r="T1129" i="15"/>
  <c r="W1129" i="15"/>
  <c r="AH1129" i="15"/>
  <c r="AA1129" i="15"/>
  <c r="L1129" i="15"/>
  <c r="Q1129" i="15"/>
  <c r="G1129" i="15"/>
  <c r="U1129" i="15"/>
  <c r="AI1129" i="15"/>
  <c r="AJ1129" i="15"/>
  <c r="AK1129" i="15"/>
  <c r="AL1129" i="15"/>
  <c r="AM1129" i="15"/>
  <c r="C1466" i="15"/>
  <c r="X1466" i="15"/>
  <c r="Y1466" i="15"/>
  <c r="H1466" i="15"/>
  <c r="J1466" i="15"/>
  <c r="M1466" i="15"/>
  <c r="O1466" i="15"/>
  <c r="D1466" i="15"/>
  <c r="E1466" i="15"/>
  <c r="S1466" i="15"/>
  <c r="AG1466" i="15"/>
  <c r="Z1466" i="15"/>
  <c r="K1466" i="15"/>
  <c r="P1466" i="15"/>
  <c r="F1466" i="15"/>
  <c r="T1466" i="15"/>
  <c r="W1466" i="15"/>
  <c r="AH1466" i="15"/>
  <c r="AA1466" i="15"/>
  <c r="L1466" i="15"/>
  <c r="Q1466" i="15"/>
  <c r="G1466" i="15"/>
  <c r="U1466" i="15"/>
  <c r="AI1466" i="15"/>
  <c r="AJ1466" i="15"/>
  <c r="AK1466" i="15"/>
  <c r="AL1466" i="15"/>
  <c r="AM1466" i="15"/>
  <c r="C1467" i="15"/>
  <c r="X1467" i="15"/>
  <c r="Y1467" i="15"/>
  <c r="H1467" i="15"/>
  <c r="J1467" i="15"/>
  <c r="M1467" i="15"/>
  <c r="O1467" i="15"/>
  <c r="D1467" i="15"/>
  <c r="E1467" i="15"/>
  <c r="S1467" i="15"/>
  <c r="AG1467" i="15"/>
  <c r="Z1467" i="15"/>
  <c r="K1467" i="15"/>
  <c r="P1467" i="15"/>
  <c r="F1467" i="15"/>
  <c r="T1467" i="15"/>
  <c r="W1467" i="15"/>
  <c r="AH1467" i="15"/>
  <c r="AA1467" i="15"/>
  <c r="L1467" i="15"/>
  <c r="Q1467" i="15"/>
  <c r="G1467" i="15"/>
  <c r="U1467" i="15"/>
  <c r="AI1467" i="15"/>
  <c r="AJ1467" i="15"/>
  <c r="AK1467" i="15"/>
  <c r="AL1467" i="15"/>
  <c r="AM1467" i="15"/>
  <c r="C1468" i="15"/>
  <c r="X1468" i="15"/>
  <c r="Y1468" i="15"/>
  <c r="H1468" i="15"/>
  <c r="J1468" i="15"/>
  <c r="M1468" i="15"/>
  <c r="O1468" i="15"/>
  <c r="D1468" i="15"/>
  <c r="E1468" i="15"/>
  <c r="S1468" i="15"/>
  <c r="AG1468" i="15"/>
  <c r="Z1468" i="15"/>
  <c r="K1468" i="15"/>
  <c r="P1468" i="15"/>
  <c r="F1468" i="15"/>
  <c r="T1468" i="15"/>
  <c r="W1468" i="15"/>
  <c r="AH1468" i="15"/>
  <c r="AA1468" i="15"/>
  <c r="L1468" i="15"/>
  <c r="Q1468" i="15"/>
  <c r="G1468" i="15"/>
  <c r="U1468" i="15"/>
  <c r="AI1468" i="15"/>
  <c r="AJ1468" i="15"/>
  <c r="AK1468" i="15"/>
  <c r="AL1468" i="15"/>
  <c r="AM1468" i="15"/>
  <c r="C1469" i="15"/>
  <c r="X1469" i="15"/>
  <c r="Y1469" i="15"/>
  <c r="H1469" i="15"/>
  <c r="J1469" i="15"/>
  <c r="M1469" i="15"/>
  <c r="O1469" i="15"/>
  <c r="D1469" i="15"/>
  <c r="E1469" i="15"/>
  <c r="S1469" i="15"/>
  <c r="AG1469" i="15"/>
  <c r="Z1469" i="15"/>
  <c r="K1469" i="15"/>
  <c r="P1469" i="15"/>
  <c r="F1469" i="15"/>
  <c r="T1469" i="15"/>
  <c r="W1469" i="15"/>
  <c r="AH1469" i="15"/>
  <c r="AA1469" i="15"/>
  <c r="L1469" i="15"/>
  <c r="Q1469" i="15"/>
  <c r="G1469" i="15"/>
  <c r="U1469" i="15"/>
  <c r="AI1469" i="15"/>
  <c r="AJ1469" i="15"/>
  <c r="AK1469" i="15"/>
  <c r="AL1469" i="15"/>
  <c r="AM1469" i="15"/>
  <c r="C1470" i="15"/>
  <c r="X1470" i="15"/>
  <c r="Y1470" i="15"/>
  <c r="H1470" i="15"/>
  <c r="J1470" i="15"/>
  <c r="M1470" i="15"/>
  <c r="O1470" i="15"/>
  <c r="D1470" i="15"/>
  <c r="E1470" i="15"/>
  <c r="S1470" i="15"/>
  <c r="AG1470" i="15"/>
  <c r="Z1470" i="15"/>
  <c r="K1470" i="15"/>
  <c r="P1470" i="15"/>
  <c r="F1470" i="15"/>
  <c r="T1470" i="15"/>
  <c r="W1470" i="15"/>
  <c r="AH1470" i="15"/>
  <c r="AA1470" i="15"/>
  <c r="L1470" i="15"/>
  <c r="Q1470" i="15"/>
  <c r="G1470" i="15"/>
  <c r="U1470" i="15"/>
  <c r="AI1470" i="15"/>
  <c r="AJ1470" i="15"/>
  <c r="AK1470" i="15"/>
  <c r="AL1470" i="15"/>
  <c r="AM1470" i="15"/>
  <c r="C1471" i="15"/>
  <c r="X1471" i="15"/>
  <c r="Y1471" i="15"/>
  <c r="H1471" i="15"/>
  <c r="J1471" i="15"/>
  <c r="M1471" i="15"/>
  <c r="O1471" i="15"/>
  <c r="D1471" i="15"/>
  <c r="E1471" i="15"/>
  <c r="S1471" i="15"/>
  <c r="AG1471" i="15"/>
  <c r="Z1471" i="15"/>
  <c r="K1471" i="15"/>
  <c r="P1471" i="15"/>
  <c r="F1471" i="15"/>
  <c r="T1471" i="15"/>
  <c r="W1471" i="15"/>
  <c r="AH1471" i="15"/>
  <c r="AA1471" i="15"/>
  <c r="L1471" i="15"/>
  <c r="Q1471" i="15"/>
  <c r="G1471" i="15"/>
  <c r="U1471" i="15"/>
  <c r="AI1471" i="15"/>
  <c r="AJ1471" i="15"/>
  <c r="AK1471" i="15"/>
  <c r="AL1471" i="15"/>
  <c r="AM1471" i="15"/>
  <c r="C1472" i="15"/>
  <c r="X1472" i="15"/>
  <c r="Y1472" i="15"/>
  <c r="H1472" i="15"/>
  <c r="J1472" i="15"/>
  <c r="M1472" i="15"/>
  <c r="O1472" i="15"/>
  <c r="D1472" i="15"/>
  <c r="E1472" i="15"/>
  <c r="S1472" i="15"/>
  <c r="AG1472" i="15"/>
  <c r="Z1472" i="15"/>
  <c r="K1472" i="15"/>
  <c r="P1472" i="15"/>
  <c r="F1472" i="15"/>
  <c r="T1472" i="15"/>
  <c r="W1472" i="15"/>
  <c r="AH1472" i="15"/>
  <c r="AA1472" i="15"/>
  <c r="L1472" i="15"/>
  <c r="Q1472" i="15"/>
  <c r="G1472" i="15"/>
  <c r="U1472" i="15"/>
  <c r="AI1472" i="15"/>
  <c r="AJ1472" i="15"/>
  <c r="AK1472" i="15"/>
  <c r="AL1472" i="15"/>
  <c r="AM1472" i="15"/>
  <c r="C1473" i="15"/>
  <c r="X1473" i="15"/>
  <c r="Y1473" i="15"/>
  <c r="H1473" i="15"/>
  <c r="J1473" i="15"/>
  <c r="M1473" i="15"/>
  <c r="O1473" i="15"/>
  <c r="D1473" i="15"/>
  <c r="E1473" i="15"/>
  <c r="S1473" i="15"/>
  <c r="AG1473" i="15"/>
  <c r="Z1473" i="15"/>
  <c r="K1473" i="15"/>
  <c r="P1473" i="15"/>
  <c r="F1473" i="15"/>
  <c r="T1473" i="15"/>
  <c r="W1473" i="15"/>
  <c r="AH1473" i="15"/>
  <c r="AA1473" i="15"/>
  <c r="L1473" i="15"/>
  <c r="Q1473" i="15"/>
  <c r="G1473" i="15"/>
  <c r="U1473" i="15"/>
  <c r="AI1473" i="15"/>
  <c r="AJ1473" i="15"/>
  <c r="AK1473" i="15"/>
  <c r="AL1473" i="15"/>
  <c r="AM1473" i="15"/>
  <c r="C1474" i="15"/>
  <c r="X1474" i="15"/>
  <c r="Y1474" i="15"/>
  <c r="H1474" i="15"/>
  <c r="J1474" i="15"/>
  <c r="M1474" i="15"/>
  <c r="O1474" i="15"/>
  <c r="D1474" i="15"/>
  <c r="E1474" i="15"/>
  <c r="S1474" i="15"/>
  <c r="AG1474" i="15"/>
  <c r="Z1474" i="15"/>
  <c r="K1474" i="15"/>
  <c r="P1474" i="15"/>
  <c r="F1474" i="15"/>
  <c r="T1474" i="15"/>
  <c r="W1474" i="15"/>
  <c r="AH1474" i="15"/>
  <c r="AA1474" i="15"/>
  <c r="L1474" i="15"/>
  <c r="Q1474" i="15"/>
  <c r="G1474" i="15"/>
  <c r="U1474" i="15"/>
  <c r="AI1474" i="15"/>
  <c r="AJ1474" i="15"/>
  <c r="AK1474" i="15"/>
  <c r="AL1474" i="15"/>
  <c r="AM1474" i="15"/>
  <c r="C1475" i="15"/>
  <c r="X1475" i="15"/>
  <c r="Y1475" i="15"/>
  <c r="H1475" i="15"/>
  <c r="J1475" i="15"/>
  <c r="M1475" i="15"/>
  <c r="O1475" i="15"/>
  <c r="D1475" i="15"/>
  <c r="E1475" i="15"/>
  <c r="S1475" i="15"/>
  <c r="AG1475" i="15"/>
  <c r="Z1475" i="15"/>
  <c r="K1475" i="15"/>
  <c r="P1475" i="15"/>
  <c r="F1475" i="15"/>
  <c r="T1475" i="15"/>
  <c r="W1475" i="15"/>
  <c r="AH1475" i="15"/>
  <c r="AA1475" i="15"/>
  <c r="L1475" i="15"/>
  <c r="Q1475" i="15"/>
  <c r="G1475" i="15"/>
  <c r="U1475" i="15"/>
  <c r="AI1475" i="15"/>
  <c r="AJ1475" i="15"/>
  <c r="AK1475" i="15"/>
  <c r="AL1475" i="15"/>
  <c r="AM1475" i="15"/>
  <c r="C1476" i="15"/>
  <c r="X1476" i="15"/>
  <c r="Y1476" i="15"/>
  <c r="H1476" i="15"/>
  <c r="J1476" i="15"/>
  <c r="M1476" i="15"/>
  <c r="O1476" i="15"/>
  <c r="D1476" i="15"/>
  <c r="E1476" i="15"/>
  <c r="S1476" i="15"/>
  <c r="AG1476" i="15"/>
  <c r="Z1476" i="15"/>
  <c r="K1476" i="15"/>
  <c r="P1476" i="15"/>
  <c r="F1476" i="15"/>
  <c r="T1476" i="15"/>
  <c r="W1476" i="15"/>
  <c r="AH1476" i="15"/>
  <c r="AA1476" i="15"/>
  <c r="L1476" i="15"/>
  <c r="Q1476" i="15"/>
  <c r="G1476" i="15"/>
  <c r="U1476" i="15"/>
  <c r="AI1476" i="15"/>
  <c r="AJ1476" i="15"/>
  <c r="AK1476" i="15"/>
  <c r="AL1476" i="15"/>
  <c r="AM1476" i="15"/>
  <c r="C1477" i="15"/>
  <c r="X1477" i="15"/>
  <c r="Y1477" i="15"/>
  <c r="H1477" i="15"/>
  <c r="J1477" i="15"/>
  <c r="M1477" i="15"/>
  <c r="O1477" i="15"/>
  <c r="D1477" i="15"/>
  <c r="E1477" i="15"/>
  <c r="S1477" i="15"/>
  <c r="AG1477" i="15"/>
  <c r="Z1477" i="15"/>
  <c r="K1477" i="15"/>
  <c r="P1477" i="15"/>
  <c r="F1477" i="15"/>
  <c r="T1477" i="15"/>
  <c r="W1477" i="15"/>
  <c r="AH1477" i="15"/>
  <c r="AA1477" i="15"/>
  <c r="L1477" i="15"/>
  <c r="Q1477" i="15"/>
  <c r="G1477" i="15"/>
  <c r="U1477" i="15"/>
  <c r="AI1477" i="15"/>
  <c r="AJ1477" i="15"/>
  <c r="AK1477" i="15"/>
  <c r="AL1477" i="15"/>
  <c r="AM1477" i="15"/>
  <c r="C1478" i="15"/>
  <c r="X1478" i="15"/>
  <c r="Y1478" i="15"/>
  <c r="H1478" i="15"/>
  <c r="J1478" i="15"/>
  <c r="M1478" i="15"/>
  <c r="O1478" i="15"/>
  <c r="D1478" i="15"/>
  <c r="E1478" i="15"/>
  <c r="S1478" i="15"/>
  <c r="AG1478" i="15"/>
  <c r="Z1478" i="15"/>
  <c r="K1478" i="15"/>
  <c r="P1478" i="15"/>
  <c r="F1478" i="15"/>
  <c r="T1478" i="15"/>
  <c r="W1478" i="15"/>
  <c r="AH1478" i="15"/>
  <c r="AA1478" i="15"/>
  <c r="L1478" i="15"/>
  <c r="Q1478" i="15"/>
  <c r="G1478" i="15"/>
  <c r="U1478" i="15"/>
  <c r="AI1478" i="15"/>
  <c r="AJ1478" i="15"/>
  <c r="AK1478" i="15"/>
  <c r="AL1478" i="15"/>
  <c r="AM1478" i="15"/>
  <c r="C1479" i="15"/>
  <c r="X1479" i="15"/>
  <c r="Y1479" i="15"/>
  <c r="H1479" i="15"/>
  <c r="J1479" i="15"/>
  <c r="M1479" i="15"/>
  <c r="O1479" i="15"/>
  <c r="D1479" i="15"/>
  <c r="E1479" i="15"/>
  <c r="S1479" i="15"/>
  <c r="AG1479" i="15"/>
  <c r="Z1479" i="15"/>
  <c r="K1479" i="15"/>
  <c r="P1479" i="15"/>
  <c r="F1479" i="15"/>
  <c r="T1479" i="15"/>
  <c r="W1479" i="15"/>
  <c r="AH1479" i="15"/>
  <c r="AA1479" i="15"/>
  <c r="L1479" i="15"/>
  <c r="Q1479" i="15"/>
  <c r="G1479" i="15"/>
  <c r="U1479" i="15"/>
  <c r="AI1479" i="15"/>
  <c r="AJ1479" i="15"/>
  <c r="AK1479" i="15"/>
  <c r="AL1479" i="15"/>
  <c r="AM1479" i="15"/>
  <c r="C1480" i="15"/>
  <c r="X1480" i="15"/>
  <c r="Y1480" i="15"/>
  <c r="H1480" i="15"/>
  <c r="J1480" i="15"/>
  <c r="M1480" i="15"/>
  <c r="O1480" i="15"/>
  <c r="D1480" i="15"/>
  <c r="E1480" i="15"/>
  <c r="S1480" i="15"/>
  <c r="AG1480" i="15"/>
  <c r="Z1480" i="15"/>
  <c r="K1480" i="15"/>
  <c r="P1480" i="15"/>
  <c r="F1480" i="15"/>
  <c r="T1480" i="15"/>
  <c r="W1480" i="15"/>
  <c r="AH1480" i="15"/>
  <c r="AA1480" i="15"/>
  <c r="L1480" i="15"/>
  <c r="Q1480" i="15"/>
  <c r="G1480" i="15"/>
  <c r="U1480" i="15"/>
  <c r="AI1480" i="15"/>
  <c r="AJ1480" i="15"/>
  <c r="AK1480" i="15"/>
  <c r="AL1480" i="15"/>
  <c r="AM1480" i="15"/>
  <c r="C622" i="15"/>
  <c r="H622" i="15"/>
  <c r="K622" i="15"/>
  <c r="M622" i="15"/>
  <c r="P622" i="15"/>
  <c r="D622" i="15"/>
  <c r="F622" i="15"/>
  <c r="J622" i="15"/>
  <c r="O622" i="15"/>
  <c r="E622" i="15"/>
  <c r="C797" i="15"/>
  <c r="X797" i="15"/>
  <c r="Z797" i="15"/>
  <c r="H797" i="15"/>
  <c r="K797" i="15"/>
  <c r="M797" i="15"/>
  <c r="P797" i="15"/>
  <c r="D797" i="15"/>
  <c r="F797" i="15"/>
  <c r="Y797" i="15"/>
  <c r="J797" i="15"/>
  <c r="O797" i="15"/>
  <c r="E797" i="15"/>
  <c r="C807" i="15"/>
  <c r="X807" i="15"/>
  <c r="Z807" i="15"/>
  <c r="H807" i="15"/>
  <c r="K807" i="15"/>
  <c r="M807" i="15"/>
  <c r="P807" i="15"/>
  <c r="D807" i="15"/>
  <c r="F807" i="15"/>
  <c r="H1057" i="15"/>
  <c r="K1057" i="15"/>
  <c r="M1057" i="15"/>
  <c r="P1057" i="15"/>
  <c r="D1057" i="15"/>
  <c r="F1057" i="15"/>
  <c r="Y807" i="15"/>
  <c r="J807" i="15"/>
  <c r="O807" i="15"/>
  <c r="E807" i="15"/>
  <c r="J1057" i="15"/>
  <c r="O1057" i="15"/>
  <c r="E1057" i="15"/>
  <c r="C620" i="15"/>
  <c r="X620" i="15"/>
  <c r="Z620" i="15"/>
  <c r="H620" i="15"/>
  <c r="K620" i="15"/>
  <c r="M620" i="15"/>
  <c r="P620" i="15"/>
  <c r="D620" i="15"/>
  <c r="F620" i="15"/>
  <c r="Y620" i="15"/>
  <c r="J620" i="15"/>
  <c r="O620" i="15"/>
  <c r="E620" i="15"/>
  <c r="H204" i="15"/>
  <c r="K204" i="15"/>
  <c r="M204" i="15"/>
  <c r="P204" i="15"/>
  <c r="D204" i="15"/>
  <c r="F204" i="15"/>
  <c r="J204" i="15"/>
  <c r="O204" i="15"/>
  <c r="E204" i="15"/>
  <c r="H171" i="15"/>
  <c r="K171" i="15"/>
  <c r="M171" i="15"/>
  <c r="P171" i="15"/>
  <c r="D171" i="15"/>
  <c r="F171" i="15"/>
  <c r="H621" i="15"/>
  <c r="K621" i="15"/>
  <c r="M621" i="15"/>
  <c r="P621" i="15"/>
  <c r="D621" i="15"/>
  <c r="F621" i="15"/>
  <c r="J171" i="15"/>
  <c r="O171" i="15"/>
  <c r="E171" i="15"/>
  <c r="J621" i="15"/>
  <c r="O621" i="15"/>
  <c r="E621" i="15"/>
  <c r="C485" i="15"/>
  <c r="X485" i="15"/>
  <c r="Z485" i="15"/>
  <c r="H485" i="15"/>
  <c r="K485" i="15"/>
  <c r="M485" i="15"/>
  <c r="P485" i="15"/>
  <c r="D485" i="15"/>
  <c r="F485" i="15"/>
  <c r="Y485" i="15"/>
  <c r="J485" i="15"/>
  <c r="O485" i="15"/>
  <c r="E485" i="15"/>
  <c r="C1060" i="15"/>
  <c r="D1060" i="15"/>
  <c r="E1060" i="15"/>
  <c r="F1060" i="15"/>
  <c r="G1060" i="15"/>
  <c r="H1060" i="15"/>
  <c r="I1060" i="15"/>
  <c r="J1060" i="15"/>
  <c r="K1060" i="15"/>
  <c r="L1060" i="15"/>
  <c r="M1060" i="15"/>
  <c r="N1060" i="15"/>
  <c r="O1060" i="15"/>
  <c r="P1060" i="15"/>
  <c r="Q1060" i="15"/>
  <c r="S1060" i="15"/>
  <c r="T1060" i="15"/>
  <c r="U1060" i="15"/>
  <c r="W1060" i="15"/>
  <c r="X1060" i="15"/>
  <c r="Y1060" i="15"/>
  <c r="Z1060" i="15"/>
  <c r="AA1060" i="15"/>
  <c r="AC1060" i="15"/>
  <c r="AG1060" i="15"/>
  <c r="AH1060" i="15"/>
  <c r="AI1060" i="15"/>
  <c r="AJ1060" i="15"/>
  <c r="AK1060" i="15"/>
  <c r="AL1060" i="15"/>
  <c r="AM1060" i="15"/>
  <c r="AQ1060" i="15"/>
  <c r="C1061" i="15"/>
  <c r="D1061" i="15"/>
  <c r="E1061" i="15"/>
  <c r="F1061" i="15"/>
  <c r="G1061" i="15"/>
  <c r="H1061" i="15"/>
  <c r="I1061" i="15"/>
  <c r="J1061" i="15"/>
  <c r="K1061" i="15"/>
  <c r="L1061" i="15"/>
  <c r="M1061" i="15"/>
  <c r="N1061" i="15"/>
  <c r="O1061" i="15"/>
  <c r="P1061" i="15"/>
  <c r="Q1061" i="15"/>
  <c r="S1061" i="15"/>
  <c r="T1061" i="15"/>
  <c r="U1061" i="15"/>
  <c r="W1061" i="15"/>
  <c r="X1061" i="15"/>
  <c r="Y1061" i="15"/>
  <c r="Z1061" i="15"/>
  <c r="AA1061" i="15"/>
  <c r="AC1061" i="15"/>
  <c r="AG1061" i="15"/>
  <c r="AH1061" i="15"/>
  <c r="AI1061" i="15"/>
  <c r="AJ1061" i="15"/>
  <c r="AK1061" i="15"/>
  <c r="AL1061" i="15"/>
  <c r="AM1061" i="15"/>
  <c r="AQ1061" i="15"/>
  <c r="C1062" i="15"/>
  <c r="D1062" i="15"/>
  <c r="E1062" i="15"/>
  <c r="F1062" i="15"/>
  <c r="G1062" i="15"/>
  <c r="H1062" i="15"/>
  <c r="I1062" i="15"/>
  <c r="J1062" i="15"/>
  <c r="K1062" i="15"/>
  <c r="L1062" i="15"/>
  <c r="M1062" i="15"/>
  <c r="N1062" i="15"/>
  <c r="O1062" i="15"/>
  <c r="P1062" i="15"/>
  <c r="Q1062" i="15"/>
  <c r="S1062" i="15"/>
  <c r="T1062" i="15"/>
  <c r="U1062" i="15"/>
  <c r="W1062" i="15"/>
  <c r="X1062" i="15"/>
  <c r="Y1062" i="15"/>
  <c r="Z1062" i="15"/>
  <c r="AA1062" i="15"/>
  <c r="AC1062" i="15"/>
  <c r="AG1062" i="15"/>
  <c r="AH1062" i="15"/>
  <c r="AI1062" i="15"/>
  <c r="AJ1062" i="15"/>
  <c r="AK1062" i="15"/>
  <c r="AL1062" i="15"/>
  <c r="AM1062" i="15"/>
  <c r="AQ1062" i="15"/>
  <c r="C1063" i="15"/>
  <c r="D1063" i="15"/>
  <c r="E1063" i="15"/>
  <c r="F1063" i="15"/>
  <c r="G1063" i="15"/>
  <c r="H1063" i="15"/>
  <c r="I1063" i="15"/>
  <c r="J1063" i="15"/>
  <c r="K1063" i="15"/>
  <c r="L1063" i="15"/>
  <c r="M1063" i="15"/>
  <c r="N1063" i="15"/>
  <c r="O1063" i="15"/>
  <c r="P1063" i="15"/>
  <c r="Q1063" i="15"/>
  <c r="S1063" i="15"/>
  <c r="T1063" i="15"/>
  <c r="U1063" i="15"/>
  <c r="W1063" i="15"/>
  <c r="X1063" i="15"/>
  <c r="Y1063" i="15"/>
  <c r="Z1063" i="15"/>
  <c r="AA1063" i="15"/>
  <c r="AC1063" i="15"/>
  <c r="AG1063" i="15"/>
  <c r="AH1063" i="15"/>
  <c r="AI1063" i="15"/>
  <c r="AJ1063" i="15"/>
  <c r="AK1063" i="15"/>
  <c r="AL1063" i="15"/>
  <c r="AM1063" i="15"/>
  <c r="AQ1063" i="15"/>
  <c r="C1064" i="15"/>
  <c r="D1064" i="15"/>
  <c r="E1064" i="15"/>
  <c r="F1064" i="15"/>
  <c r="G1064" i="15"/>
  <c r="H1064" i="15"/>
  <c r="I1064" i="15"/>
  <c r="J1064" i="15"/>
  <c r="K1064" i="15"/>
  <c r="L1064" i="15"/>
  <c r="M1064" i="15"/>
  <c r="N1064" i="15"/>
  <c r="O1064" i="15"/>
  <c r="P1064" i="15"/>
  <c r="Q1064" i="15"/>
  <c r="S1064" i="15"/>
  <c r="T1064" i="15"/>
  <c r="U1064" i="15"/>
  <c r="W1064" i="15"/>
  <c r="X1064" i="15"/>
  <c r="Y1064" i="15"/>
  <c r="Z1064" i="15"/>
  <c r="AA1064" i="15"/>
  <c r="AC1064" i="15"/>
  <c r="AG1064" i="15"/>
  <c r="AH1064" i="15"/>
  <c r="AI1064" i="15"/>
  <c r="AJ1064" i="15"/>
  <c r="AK1064" i="15"/>
  <c r="AL1064" i="15"/>
  <c r="AM1064" i="15"/>
  <c r="AQ1064" i="15"/>
  <c r="C1065" i="15"/>
  <c r="D1065" i="15"/>
  <c r="E1065" i="15"/>
  <c r="F1065" i="15"/>
  <c r="G1065" i="15"/>
  <c r="H1065" i="15"/>
  <c r="I1065" i="15"/>
  <c r="J1065" i="15"/>
  <c r="K1065" i="15"/>
  <c r="L1065" i="15"/>
  <c r="M1065" i="15"/>
  <c r="N1065" i="15"/>
  <c r="O1065" i="15"/>
  <c r="P1065" i="15"/>
  <c r="Q1065" i="15"/>
  <c r="S1065" i="15"/>
  <c r="T1065" i="15"/>
  <c r="U1065" i="15"/>
  <c r="W1065" i="15"/>
  <c r="X1065" i="15"/>
  <c r="Y1065" i="15"/>
  <c r="Z1065" i="15"/>
  <c r="AA1065" i="15"/>
  <c r="AC1065" i="15"/>
  <c r="AG1065" i="15"/>
  <c r="AH1065" i="15"/>
  <c r="AI1065" i="15"/>
  <c r="AJ1065" i="15"/>
  <c r="AK1065" i="15"/>
  <c r="AL1065" i="15"/>
  <c r="AM1065" i="15"/>
  <c r="AQ1065" i="15"/>
  <c r="C1066" i="15"/>
  <c r="D1066" i="15"/>
  <c r="E1066" i="15"/>
  <c r="F1066" i="15"/>
  <c r="G1066" i="15"/>
  <c r="H1066" i="15"/>
  <c r="I1066" i="15"/>
  <c r="J1066" i="15"/>
  <c r="K1066" i="15"/>
  <c r="L1066" i="15"/>
  <c r="M1066" i="15"/>
  <c r="N1066" i="15"/>
  <c r="O1066" i="15"/>
  <c r="P1066" i="15"/>
  <c r="Q1066" i="15"/>
  <c r="S1066" i="15"/>
  <c r="T1066" i="15"/>
  <c r="U1066" i="15"/>
  <c r="W1066" i="15"/>
  <c r="X1066" i="15"/>
  <c r="Y1066" i="15"/>
  <c r="Z1066" i="15"/>
  <c r="AA1066" i="15"/>
  <c r="AC1066" i="15"/>
  <c r="AG1066" i="15"/>
  <c r="AH1066" i="15"/>
  <c r="AI1066" i="15"/>
  <c r="AJ1066" i="15"/>
  <c r="AK1066" i="15"/>
  <c r="AL1066" i="15"/>
  <c r="AM1066" i="15"/>
  <c r="AQ1066" i="15"/>
  <c r="C1067" i="15"/>
  <c r="D1067" i="15"/>
  <c r="E1067" i="15"/>
  <c r="F1067" i="15"/>
  <c r="G1067" i="15"/>
  <c r="H1067" i="15"/>
  <c r="I1067" i="15"/>
  <c r="J1067" i="15"/>
  <c r="K1067" i="15"/>
  <c r="L1067" i="15"/>
  <c r="M1067" i="15"/>
  <c r="N1067" i="15"/>
  <c r="O1067" i="15"/>
  <c r="P1067" i="15"/>
  <c r="Q1067" i="15"/>
  <c r="S1067" i="15"/>
  <c r="T1067" i="15"/>
  <c r="U1067" i="15"/>
  <c r="W1067" i="15"/>
  <c r="X1067" i="15"/>
  <c r="Y1067" i="15"/>
  <c r="Z1067" i="15"/>
  <c r="AA1067" i="15"/>
  <c r="AC1067" i="15"/>
  <c r="AG1067" i="15"/>
  <c r="AH1067" i="15"/>
  <c r="AI1067" i="15"/>
  <c r="AJ1067" i="15"/>
  <c r="AK1067" i="15"/>
  <c r="AL1067" i="15"/>
  <c r="AM1067" i="15"/>
  <c r="AQ1067" i="15"/>
  <c r="C1068" i="15"/>
  <c r="D1068" i="15"/>
  <c r="E1068" i="15"/>
  <c r="F1068" i="15"/>
  <c r="G1068" i="15"/>
  <c r="H1068" i="15"/>
  <c r="I1068" i="15"/>
  <c r="J1068" i="15"/>
  <c r="K1068" i="15"/>
  <c r="L1068" i="15"/>
  <c r="M1068" i="15"/>
  <c r="N1068" i="15"/>
  <c r="O1068" i="15"/>
  <c r="P1068" i="15"/>
  <c r="Q1068" i="15"/>
  <c r="S1068" i="15"/>
  <c r="T1068" i="15"/>
  <c r="U1068" i="15"/>
  <c r="W1068" i="15"/>
  <c r="X1068" i="15"/>
  <c r="Y1068" i="15"/>
  <c r="Z1068" i="15"/>
  <c r="AA1068" i="15"/>
  <c r="AC1068" i="15"/>
  <c r="AG1068" i="15"/>
  <c r="AH1068" i="15"/>
  <c r="AI1068" i="15"/>
  <c r="AJ1068" i="15"/>
  <c r="AK1068" i="15"/>
  <c r="AL1068" i="15"/>
  <c r="AM1068" i="15"/>
  <c r="AQ1068" i="15"/>
  <c r="C1069" i="15"/>
  <c r="D1069" i="15"/>
  <c r="E1069" i="15"/>
  <c r="F1069" i="15"/>
  <c r="G1069" i="15"/>
  <c r="H1069" i="15"/>
  <c r="I1069" i="15"/>
  <c r="J1069" i="15"/>
  <c r="K1069" i="15"/>
  <c r="L1069" i="15"/>
  <c r="M1069" i="15"/>
  <c r="N1069" i="15"/>
  <c r="O1069" i="15"/>
  <c r="P1069" i="15"/>
  <c r="Q1069" i="15"/>
  <c r="S1069" i="15"/>
  <c r="T1069" i="15"/>
  <c r="U1069" i="15"/>
  <c r="W1069" i="15"/>
  <c r="X1069" i="15"/>
  <c r="Y1069" i="15"/>
  <c r="Z1069" i="15"/>
  <c r="AA1069" i="15"/>
  <c r="AC1069" i="15"/>
  <c r="AG1069" i="15"/>
  <c r="AH1069" i="15"/>
  <c r="AI1069" i="15"/>
  <c r="AJ1069" i="15"/>
  <c r="AK1069" i="15"/>
  <c r="AL1069" i="15"/>
  <c r="AM1069" i="15"/>
  <c r="AQ1069" i="15"/>
  <c r="C1070" i="15"/>
  <c r="D1070" i="15"/>
  <c r="E1070" i="15"/>
  <c r="F1070" i="15"/>
  <c r="G1070" i="15"/>
  <c r="H1070" i="15"/>
  <c r="I1070" i="15"/>
  <c r="J1070" i="15"/>
  <c r="K1070" i="15"/>
  <c r="L1070" i="15"/>
  <c r="M1070" i="15"/>
  <c r="N1070" i="15"/>
  <c r="O1070" i="15"/>
  <c r="P1070" i="15"/>
  <c r="Q1070" i="15"/>
  <c r="S1070" i="15"/>
  <c r="T1070" i="15"/>
  <c r="U1070" i="15"/>
  <c r="W1070" i="15"/>
  <c r="X1070" i="15"/>
  <c r="Y1070" i="15"/>
  <c r="Z1070" i="15"/>
  <c r="AA1070" i="15"/>
  <c r="AC1070" i="15"/>
  <c r="AG1070" i="15"/>
  <c r="AH1070" i="15"/>
  <c r="AI1070" i="15"/>
  <c r="AJ1070" i="15"/>
  <c r="AK1070" i="15"/>
  <c r="AL1070" i="15"/>
  <c r="AM1070" i="15"/>
  <c r="AQ1070" i="15"/>
  <c r="C1071" i="15"/>
  <c r="D1071" i="15"/>
  <c r="E1071" i="15"/>
  <c r="F1071" i="15"/>
  <c r="G1071" i="15"/>
  <c r="H1071" i="15"/>
  <c r="I1071" i="15"/>
  <c r="J1071" i="15"/>
  <c r="K1071" i="15"/>
  <c r="L1071" i="15"/>
  <c r="M1071" i="15"/>
  <c r="N1071" i="15"/>
  <c r="O1071" i="15"/>
  <c r="P1071" i="15"/>
  <c r="Q1071" i="15"/>
  <c r="S1071" i="15"/>
  <c r="T1071" i="15"/>
  <c r="U1071" i="15"/>
  <c r="W1071" i="15"/>
  <c r="X1071" i="15"/>
  <c r="Y1071" i="15"/>
  <c r="Z1071" i="15"/>
  <c r="AA1071" i="15"/>
  <c r="AC1071" i="15"/>
  <c r="AG1071" i="15"/>
  <c r="AH1071" i="15"/>
  <c r="AI1071" i="15"/>
  <c r="AJ1071" i="15"/>
  <c r="AK1071" i="15"/>
  <c r="AL1071" i="15"/>
  <c r="AM1071" i="15"/>
  <c r="AQ1071" i="15"/>
  <c r="C1072" i="15"/>
  <c r="D1072" i="15"/>
  <c r="E1072" i="15"/>
  <c r="F1072" i="15"/>
  <c r="G1072" i="15"/>
  <c r="H1072" i="15"/>
  <c r="I1072" i="15"/>
  <c r="J1072" i="15"/>
  <c r="K1072" i="15"/>
  <c r="L1072" i="15"/>
  <c r="M1072" i="15"/>
  <c r="N1072" i="15"/>
  <c r="O1072" i="15"/>
  <c r="P1072" i="15"/>
  <c r="Q1072" i="15"/>
  <c r="S1072" i="15"/>
  <c r="T1072" i="15"/>
  <c r="U1072" i="15"/>
  <c r="W1072" i="15"/>
  <c r="X1072" i="15"/>
  <c r="Y1072" i="15"/>
  <c r="Z1072" i="15"/>
  <c r="AA1072" i="15"/>
  <c r="AC1072" i="15"/>
  <c r="AG1072" i="15"/>
  <c r="AH1072" i="15"/>
  <c r="AI1072" i="15"/>
  <c r="AJ1072" i="15"/>
  <c r="AK1072" i="15"/>
  <c r="AL1072" i="15"/>
  <c r="AM1072" i="15"/>
  <c r="AQ1072" i="15"/>
  <c r="C1073" i="15"/>
  <c r="D1073" i="15"/>
  <c r="E1073" i="15"/>
  <c r="F1073" i="15"/>
  <c r="G1073" i="15"/>
  <c r="H1073" i="15"/>
  <c r="I1073" i="15"/>
  <c r="J1073" i="15"/>
  <c r="K1073" i="15"/>
  <c r="L1073" i="15"/>
  <c r="M1073" i="15"/>
  <c r="N1073" i="15"/>
  <c r="O1073" i="15"/>
  <c r="P1073" i="15"/>
  <c r="Q1073" i="15"/>
  <c r="S1073" i="15"/>
  <c r="T1073" i="15"/>
  <c r="U1073" i="15"/>
  <c r="W1073" i="15"/>
  <c r="X1073" i="15"/>
  <c r="Y1073" i="15"/>
  <c r="Z1073" i="15"/>
  <c r="AA1073" i="15"/>
  <c r="AC1073" i="15"/>
  <c r="AG1073" i="15"/>
  <c r="AH1073" i="15"/>
  <c r="AI1073" i="15"/>
  <c r="AJ1073" i="15"/>
  <c r="AK1073" i="15"/>
  <c r="AL1073" i="15"/>
  <c r="AM1073" i="15"/>
  <c r="AQ1073" i="15"/>
  <c r="C1074" i="15"/>
  <c r="D1074" i="15"/>
  <c r="E1074" i="15"/>
  <c r="F1074" i="15"/>
  <c r="G1074" i="15"/>
  <c r="H1074" i="15"/>
  <c r="I1074" i="15"/>
  <c r="J1074" i="15"/>
  <c r="K1074" i="15"/>
  <c r="L1074" i="15"/>
  <c r="M1074" i="15"/>
  <c r="N1074" i="15"/>
  <c r="O1074" i="15"/>
  <c r="P1074" i="15"/>
  <c r="Q1074" i="15"/>
  <c r="S1074" i="15"/>
  <c r="T1074" i="15"/>
  <c r="U1074" i="15"/>
  <c r="W1074" i="15"/>
  <c r="X1074" i="15"/>
  <c r="Y1074" i="15"/>
  <c r="Z1074" i="15"/>
  <c r="AA1074" i="15"/>
  <c r="AC1074" i="15"/>
  <c r="AG1074" i="15"/>
  <c r="AH1074" i="15"/>
  <c r="AI1074" i="15"/>
  <c r="AJ1074" i="15"/>
  <c r="AK1074" i="15"/>
  <c r="AL1074" i="15"/>
  <c r="AM1074" i="15"/>
  <c r="AQ1074" i="15"/>
  <c r="C1075" i="15"/>
  <c r="D1075" i="15"/>
  <c r="E1075" i="15"/>
  <c r="F1075" i="15"/>
  <c r="G1075" i="15"/>
  <c r="J1075" i="15"/>
  <c r="K1075" i="15"/>
  <c r="L1075" i="15"/>
  <c r="M1075" i="15"/>
  <c r="N1075" i="15"/>
  <c r="O1075" i="15"/>
  <c r="P1075" i="15"/>
  <c r="Q1075" i="15"/>
  <c r="S1075" i="15"/>
  <c r="T1075" i="15"/>
  <c r="U1075" i="15"/>
  <c r="W1075" i="15"/>
  <c r="X1075" i="15"/>
  <c r="Y1075" i="15"/>
  <c r="Z1075" i="15"/>
  <c r="AA1075" i="15"/>
  <c r="AC1075" i="15"/>
  <c r="AG1075" i="15"/>
  <c r="AH1075" i="15"/>
  <c r="AI1075" i="15"/>
  <c r="AJ1075" i="15"/>
  <c r="AK1075" i="15"/>
  <c r="AL1075" i="15"/>
  <c r="AM1075" i="15"/>
  <c r="AQ1075" i="15"/>
  <c r="C1076" i="15"/>
  <c r="D1076" i="15"/>
  <c r="E1076" i="15"/>
  <c r="F1076" i="15"/>
  <c r="G1076" i="15"/>
  <c r="J1076" i="15"/>
  <c r="K1076" i="15"/>
  <c r="L1076" i="15"/>
  <c r="M1076" i="15"/>
  <c r="N1076" i="15"/>
  <c r="O1076" i="15"/>
  <c r="P1076" i="15"/>
  <c r="Q1076" i="15"/>
  <c r="S1076" i="15"/>
  <c r="T1076" i="15"/>
  <c r="U1076" i="15"/>
  <c r="W1076" i="15"/>
  <c r="X1076" i="15"/>
  <c r="Y1076" i="15"/>
  <c r="Z1076" i="15"/>
  <c r="AA1076" i="15"/>
  <c r="AC1076" i="15"/>
  <c r="AG1076" i="15"/>
  <c r="AH1076" i="15"/>
  <c r="AI1076" i="15"/>
  <c r="AJ1076" i="15"/>
  <c r="AK1076" i="15"/>
  <c r="AL1076" i="15"/>
  <c r="AM1076" i="15"/>
  <c r="AQ1076" i="15"/>
  <c r="C1077" i="15"/>
  <c r="D1077" i="15"/>
  <c r="E1077" i="15"/>
  <c r="F1077" i="15"/>
  <c r="G1077" i="15"/>
  <c r="H1077" i="15"/>
  <c r="I1077" i="15"/>
  <c r="J1077" i="15"/>
  <c r="K1077" i="15"/>
  <c r="L1077" i="15"/>
  <c r="M1077" i="15"/>
  <c r="N1077" i="15"/>
  <c r="O1077" i="15"/>
  <c r="P1077" i="15"/>
  <c r="Q1077" i="15"/>
  <c r="S1077" i="15"/>
  <c r="T1077" i="15"/>
  <c r="U1077" i="15"/>
  <c r="W1077" i="15"/>
  <c r="X1077" i="15"/>
  <c r="Y1077" i="15"/>
  <c r="Z1077" i="15"/>
  <c r="AA1077" i="15"/>
  <c r="AC1077" i="15"/>
  <c r="AG1077" i="15"/>
  <c r="AH1077" i="15"/>
  <c r="AI1077" i="15"/>
  <c r="AJ1077" i="15"/>
  <c r="AK1077" i="15"/>
  <c r="AL1077" i="15"/>
  <c r="AM1077" i="15"/>
  <c r="AQ1077" i="15"/>
  <c r="C1078" i="15"/>
  <c r="D1078" i="15"/>
  <c r="E1078" i="15"/>
  <c r="F1078" i="15"/>
  <c r="G1078" i="15"/>
  <c r="H1078" i="15"/>
  <c r="I1078" i="15"/>
  <c r="J1078" i="15"/>
  <c r="K1078" i="15"/>
  <c r="L1078" i="15"/>
  <c r="M1078" i="15"/>
  <c r="N1078" i="15"/>
  <c r="O1078" i="15"/>
  <c r="P1078" i="15"/>
  <c r="Q1078" i="15"/>
  <c r="S1078" i="15"/>
  <c r="T1078" i="15"/>
  <c r="U1078" i="15"/>
  <c r="W1078" i="15"/>
  <c r="X1078" i="15"/>
  <c r="Y1078" i="15"/>
  <c r="Z1078" i="15"/>
  <c r="AA1078" i="15"/>
  <c r="AC1078" i="15"/>
  <c r="AG1078" i="15"/>
  <c r="AH1078" i="15"/>
  <c r="AI1078" i="15"/>
  <c r="AJ1078" i="15"/>
  <c r="AK1078" i="15"/>
  <c r="AL1078" i="15"/>
  <c r="AM1078" i="15"/>
  <c r="AQ1078" i="15"/>
  <c r="C1079" i="15"/>
  <c r="D1079" i="15"/>
  <c r="E1079" i="15"/>
  <c r="F1079" i="15"/>
  <c r="G1079" i="15"/>
  <c r="H1079" i="15"/>
  <c r="I1079" i="15"/>
  <c r="J1079" i="15"/>
  <c r="K1079" i="15"/>
  <c r="L1079" i="15"/>
  <c r="M1079" i="15"/>
  <c r="N1079" i="15"/>
  <c r="O1079" i="15"/>
  <c r="P1079" i="15"/>
  <c r="Q1079" i="15"/>
  <c r="S1079" i="15"/>
  <c r="T1079" i="15"/>
  <c r="U1079" i="15"/>
  <c r="W1079" i="15"/>
  <c r="X1079" i="15"/>
  <c r="Y1079" i="15"/>
  <c r="Z1079" i="15"/>
  <c r="AA1079" i="15"/>
  <c r="AC1079" i="15"/>
  <c r="AG1079" i="15"/>
  <c r="AH1079" i="15"/>
  <c r="AI1079" i="15"/>
  <c r="AJ1079" i="15"/>
  <c r="AK1079" i="15"/>
  <c r="AL1079" i="15"/>
  <c r="AM1079" i="15"/>
  <c r="AQ1079" i="15"/>
  <c r="I1115" i="15"/>
  <c r="N1115" i="15"/>
  <c r="AC1115" i="15"/>
  <c r="AQ1115" i="15"/>
  <c r="I1116" i="15"/>
  <c r="N1116" i="15"/>
  <c r="AC1116" i="15"/>
  <c r="AQ1116" i="15"/>
  <c r="I1117" i="15"/>
  <c r="N1117" i="15"/>
  <c r="AC1117" i="15"/>
  <c r="AQ1117" i="15"/>
  <c r="I1118" i="15"/>
  <c r="N1118" i="15"/>
  <c r="AC1118" i="15"/>
  <c r="AQ1118" i="15"/>
  <c r="I1119" i="15"/>
  <c r="N1119" i="15"/>
  <c r="AC1119" i="15"/>
  <c r="AQ1119" i="15"/>
  <c r="I1120" i="15"/>
  <c r="N1120" i="15"/>
  <c r="AC1120" i="15"/>
  <c r="AQ1120" i="15"/>
  <c r="I1121" i="15"/>
  <c r="N1121" i="15"/>
  <c r="AC1121" i="15"/>
  <c r="AQ1121" i="15"/>
  <c r="I1122" i="15"/>
  <c r="N1122" i="15"/>
  <c r="AC1122" i="15"/>
  <c r="AQ1122" i="15"/>
  <c r="I1123" i="15"/>
  <c r="N1123" i="15"/>
  <c r="AC1123" i="15"/>
  <c r="AQ1123" i="15"/>
  <c r="I1124" i="15"/>
  <c r="N1124" i="15"/>
  <c r="AC1124" i="15"/>
  <c r="AQ1124" i="15"/>
  <c r="I1125" i="15"/>
  <c r="N1125" i="15"/>
  <c r="AC1125" i="15"/>
  <c r="AQ1125" i="15"/>
  <c r="I1126" i="15"/>
  <c r="N1126" i="15"/>
  <c r="AC1126" i="15"/>
  <c r="AQ1126" i="15"/>
  <c r="I1127" i="15"/>
  <c r="N1127" i="15"/>
  <c r="AC1127" i="15"/>
  <c r="AQ1127" i="15"/>
  <c r="I1128" i="15"/>
  <c r="N1128" i="15"/>
  <c r="AC1128" i="15"/>
  <c r="AQ1128" i="15"/>
  <c r="I1129" i="15"/>
  <c r="N1129" i="15"/>
  <c r="AC1129" i="15"/>
  <c r="AQ1129" i="15"/>
  <c r="I1084" i="15"/>
  <c r="N1084" i="15"/>
  <c r="AC1084" i="15"/>
  <c r="AQ1084" i="15"/>
  <c r="I1085" i="15"/>
  <c r="N1085" i="15"/>
  <c r="AC1085" i="15"/>
  <c r="AQ1085" i="15"/>
  <c r="I1086" i="15"/>
  <c r="N1086" i="15"/>
  <c r="AC1086" i="15"/>
  <c r="AQ1086" i="15"/>
  <c r="I1087" i="15"/>
  <c r="N1087" i="15"/>
  <c r="AC1087" i="15"/>
  <c r="AQ1087" i="15"/>
  <c r="I1088" i="15"/>
  <c r="N1088" i="15"/>
  <c r="AC1088" i="15"/>
  <c r="AQ1088" i="15"/>
  <c r="I1089" i="15"/>
  <c r="N1089" i="15"/>
  <c r="AC1089" i="15"/>
  <c r="AQ1089" i="15"/>
  <c r="I1090" i="15"/>
  <c r="N1090" i="15"/>
  <c r="AC1090" i="15"/>
  <c r="AQ1090" i="15"/>
  <c r="I1091" i="15"/>
  <c r="N1091" i="15"/>
  <c r="AC1091" i="15"/>
  <c r="AQ1091" i="15"/>
  <c r="I1092" i="15"/>
  <c r="N1092" i="15"/>
  <c r="AC1092" i="15"/>
  <c r="AQ1092" i="15"/>
  <c r="I1093" i="15"/>
  <c r="N1093" i="15"/>
  <c r="AC1093" i="15"/>
  <c r="AQ1093" i="15"/>
  <c r="I1094" i="15"/>
  <c r="N1094" i="15"/>
  <c r="AC1094" i="15"/>
  <c r="AQ1094" i="15"/>
  <c r="I1095" i="15"/>
  <c r="N1095" i="15"/>
  <c r="AC1095" i="15"/>
  <c r="AQ1095" i="15"/>
  <c r="I1096" i="15"/>
  <c r="N1096" i="15"/>
  <c r="AC1096" i="15"/>
  <c r="AQ1096" i="15"/>
  <c r="I1097" i="15"/>
  <c r="N1097" i="15"/>
  <c r="AC1097" i="15"/>
  <c r="AQ1097" i="15"/>
  <c r="I1098" i="15"/>
  <c r="N1098" i="15"/>
  <c r="AC1098" i="15"/>
  <c r="AQ1098" i="15"/>
  <c r="I1099" i="15"/>
  <c r="N1099" i="15"/>
  <c r="AC1099" i="15"/>
  <c r="AQ1099" i="15"/>
  <c r="I1100" i="15"/>
  <c r="N1100" i="15"/>
  <c r="AC1100" i="15"/>
  <c r="AQ1100" i="15"/>
  <c r="I1101" i="15"/>
  <c r="N1101" i="15"/>
  <c r="AC1101" i="15"/>
  <c r="AQ1101" i="15"/>
  <c r="I1102" i="15"/>
  <c r="N1102" i="15"/>
  <c r="AC1102" i="15"/>
  <c r="AQ1102" i="15"/>
  <c r="I1103" i="15"/>
  <c r="N1103" i="15"/>
  <c r="AC1103" i="15"/>
  <c r="AQ1103" i="15"/>
  <c r="I1104" i="15"/>
  <c r="N1104" i="15"/>
  <c r="AC1104" i="15"/>
  <c r="AQ1104" i="15"/>
  <c r="I1105" i="15"/>
  <c r="N1105" i="15"/>
  <c r="AC1105" i="15"/>
  <c r="AQ1105" i="15"/>
  <c r="I1106" i="15"/>
  <c r="N1106" i="15"/>
  <c r="AC1106" i="15"/>
  <c r="AQ1106" i="15"/>
  <c r="I1107" i="15"/>
  <c r="N1107" i="15"/>
  <c r="AC1107" i="15"/>
  <c r="AQ1107" i="15"/>
  <c r="I1108" i="15"/>
  <c r="N1108" i="15"/>
  <c r="AC1108" i="15"/>
  <c r="AQ1108" i="15"/>
  <c r="I1109" i="15"/>
  <c r="N1109" i="15"/>
  <c r="AC1109" i="15"/>
  <c r="AQ1109" i="15"/>
  <c r="I1110" i="15"/>
  <c r="N1110" i="15"/>
  <c r="AC1110" i="15"/>
  <c r="AQ1110" i="15"/>
  <c r="I1111" i="15"/>
  <c r="N1111" i="15"/>
  <c r="AC1111" i="15"/>
  <c r="AQ1111" i="15"/>
  <c r="I1112" i="15"/>
  <c r="N1112" i="15"/>
  <c r="AC1112" i="15"/>
  <c r="AQ1112" i="15"/>
  <c r="I1113" i="15"/>
  <c r="N1113" i="15"/>
  <c r="AC1113" i="15"/>
  <c r="AQ1113" i="15"/>
  <c r="I1114" i="15"/>
  <c r="N1114" i="15"/>
  <c r="AC1114" i="15"/>
  <c r="AQ1114" i="15"/>
  <c r="H562" i="15"/>
  <c r="K562" i="15"/>
  <c r="M562" i="15"/>
  <c r="P562" i="15"/>
  <c r="D562" i="15"/>
  <c r="F562" i="15"/>
  <c r="T562" i="15"/>
  <c r="W562" i="15"/>
  <c r="AK562" i="15"/>
  <c r="H563" i="15"/>
  <c r="K563" i="15"/>
  <c r="M563" i="15"/>
  <c r="P563" i="15"/>
  <c r="D563" i="15"/>
  <c r="F563" i="15"/>
  <c r="T563" i="15"/>
  <c r="W563" i="15"/>
  <c r="AK563" i="15"/>
  <c r="H561" i="15"/>
  <c r="J561" i="15"/>
  <c r="M561" i="15"/>
  <c r="O561" i="15"/>
  <c r="D561" i="15"/>
  <c r="E561" i="15"/>
  <c r="S561" i="15"/>
  <c r="AG561" i="15"/>
  <c r="C561" i="15"/>
  <c r="X561" i="15"/>
  <c r="C562" i="15"/>
  <c r="X562" i="15"/>
  <c r="C563" i="15"/>
  <c r="X563" i="15"/>
  <c r="C564" i="15"/>
  <c r="X564" i="15"/>
  <c r="C565" i="15"/>
  <c r="X565" i="15"/>
  <c r="AC1557" i="15"/>
  <c r="C1557" i="15"/>
  <c r="X1557" i="15"/>
  <c r="AA1557" i="15"/>
  <c r="Z1557" i="15"/>
  <c r="Y1557" i="15"/>
  <c r="W1557" i="15"/>
  <c r="U1557" i="15"/>
  <c r="T1557" i="15"/>
  <c r="S1557" i="15"/>
  <c r="Q1557" i="15"/>
  <c r="P1557" i="15"/>
  <c r="O1557" i="15"/>
  <c r="N1557" i="15"/>
  <c r="H1557" i="15"/>
  <c r="L1557" i="15"/>
  <c r="AC1556" i="15"/>
  <c r="C1556" i="15"/>
  <c r="X1556" i="15"/>
  <c r="AA1556" i="15"/>
  <c r="Z1556" i="15"/>
  <c r="Y1556" i="15"/>
  <c r="W1556" i="15"/>
  <c r="U1556" i="15"/>
  <c r="T1556" i="15"/>
  <c r="S1556" i="15"/>
  <c r="Q1556" i="15"/>
  <c r="P1556" i="15"/>
  <c r="O1556" i="15"/>
  <c r="N1556" i="15"/>
  <c r="H1556" i="15"/>
  <c r="L1556" i="15"/>
  <c r="AC1555" i="15"/>
  <c r="C1555" i="15"/>
  <c r="X1555" i="15"/>
  <c r="AA1555" i="15"/>
  <c r="Z1555" i="15"/>
  <c r="Y1555" i="15"/>
  <c r="W1555" i="15"/>
  <c r="U1555" i="15"/>
  <c r="T1555" i="15"/>
  <c r="S1555" i="15"/>
  <c r="Q1555" i="15"/>
  <c r="P1555" i="15"/>
  <c r="O1555" i="15"/>
  <c r="N1555" i="15"/>
  <c r="H1555" i="15"/>
  <c r="L1555" i="15"/>
  <c r="AC1554" i="15"/>
  <c r="C1554" i="15"/>
  <c r="X1554" i="15"/>
  <c r="AA1554" i="15"/>
  <c r="Z1554" i="15"/>
  <c r="Y1554" i="15"/>
  <c r="W1554" i="15"/>
  <c r="U1554" i="15"/>
  <c r="T1554" i="15"/>
  <c r="S1554" i="15"/>
  <c r="Q1554" i="15"/>
  <c r="P1554" i="15"/>
  <c r="O1554" i="15"/>
  <c r="N1554" i="15"/>
  <c r="H1554" i="15"/>
  <c r="L1554" i="15"/>
  <c r="AC1553" i="15"/>
  <c r="C1553" i="15"/>
  <c r="X1553" i="15"/>
  <c r="AA1553" i="15"/>
  <c r="Z1553" i="15"/>
  <c r="Y1553" i="15"/>
  <c r="W1553" i="15"/>
  <c r="U1553" i="15"/>
  <c r="T1553" i="15"/>
  <c r="S1553" i="15"/>
  <c r="Q1553" i="15"/>
  <c r="P1553" i="15"/>
  <c r="O1553" i="15"/>
  <c r="N1553" i="15"/>
  <c r="H1553" i="15"/>
  <c r="L1553" i="15"/>
  <c r="AC1552" i="15"/>
  <c r="C1552" i="15"/>
  <c r="X1552" i="15"/>
  <c r="AA1552" i="15"/>
  <c r="Z1552" i="15"/>
  <c r="Y1552" i="15"/>
  <c r="W1552" i="15"/>
  <c r="U1552" i="15"/>
  <c r="T1552" i="15"/>
  <c r="S1552" i="15"/>
  <c r="Q1552" i="15"/>
  <c r="P1552" i="15"/>
  <c r="O1552" i="15"/>
  <c r="N1552" i="15"/>
  <c r="H1552" i="15"/>
  <c r="L1552" i="15"/>
  <c r="AC1551" i="15"/>
  <c r="C1551" i="15"/>
  <c r="X1551" i="15"/>
  <c r="AA1551" i="15"/>
  <c r="Z1551" i="15"/>
  <c r="Y1551" i="15"/>
  <c r="W1551" i="15"/>
  <c r="U1551" i="15"/>
  <c r="T1551" i="15"/>
  <c r="S1551" i="15"/>
  <c r="Q1551" i="15"/>
  <c r="P1551" i="15"/>
  <c r="O1551" i="15"/>
  <c r="N1551" i="15"/>
  <c r="H1551" i="15"/>
  <c r="L1551" i="15"/>
  <c r="AC1550" i="15"/>
  <c r="C1550" i="15"/>
  <c r="X1550" i="15"/>
  <c r="AA1550" i="15"/>
  <c r="Z1550" i="15"/>
  <c r="Y1550" i="15"/>
  <c r="W1550" i="15"/>
  <c r="U1550" i="15"/>
  <c r="T1550" i="15"/>
  <c r="S1550" i="15"/>
  <c r="Q1550" i="15"/>
  <c r="P1550" i="15"/>
  <c r="O1550" i="15"/>
  <c r="N1550" i="15"/>
  <c r="H1550" i="15"/>
  <c r="L1550" i="15"/>
  <c r="AC1549" i="15"/>
  <c r="C1549" i="15"/>
  <c r="X1549" i="15"/>
  <c r="AA1549" i="15"/>
  <c r="Z1549" i="15"/>
  <c r="Y1549" i="15"/>
  <c r="W1549" i="15"/>
  <c r="U1549" i="15"/>
  <c r="T1549" i="15"/>
  <c r="S1549" i="15"/>
  <c r="Q1549" i="15"/>
  <c r="P1549" i="15"/>
  <c r="O1549" i="15"/>
  <c r="N1549" i="15"/>
  <c r="H1549" i="15"/>
  <c r="L1549" i="15"/>
  <c r="AC1548" i="15"/>
  <c r="C1548" i="15"/>
  <c r="X1548" i="15"/>
  <c r="AA1548" i="15"/>
  <c r="Z1548" i="15"/>
  <c r="Y1548" i="15"/>
  <c r="W1548" i="15"/>
  <c r="U1548" i="15"/>
  <c r="T1548" i="15"/>
  <c r="S1548" i="15"/>
  <c r="Q1548" i="15"/>
  <c r="P1548" i="15"/>
  <c r="O1548" i="15"/>
  <c r="N1548" i="15"/>
  <c r="H1548" i="15"/>
  <c r="L1548" i="15"/>
  <c r="AC1547" i="15"/>
  <c r="C1547" i="15"/>
  <c r="X1547" i="15"/>
  <c r="AA1547" i="15"/>
  <c r="Z1547" i="15"/>
  <c r="Y1547" i="15"/>
  <c r="W1547" i="15"/>
  <c r="U1547" i="15"/>
  <c r="T1547" i="15"/>
  <c r="S1547" i="15"/>
  <c r="Q1547" i="15"/>
  <c r="P1547" i="15"/>
  <c r="O1547" i="15"/>
  <c r="N1547" i="15"/>
  <c r="H1547" i="15"/>
  <c r="L1547" i="15"/>
  <c r="AC1546" i="15"/>
  <c r="C1546" i="15"/>
  <c r="X1546" i="15"/>
  <c r="AA1546" i="15"/>
  <c r="Z1546" i="15"/>
  <c r="Y1546" i="15"/>
  <c r="W1546" i="15"/>
  <c r="U1546" i="15"/>
  <c r="T1546" i="15"/>
  <c r="S1546" i="15"/>
  <c r="Q1546" i="15"/>
  <c r="P1546" i="15"/>
  <c r="O1546" i="15"/>
  <c r="N1546" i="15"/>
  <c r="H1546" i="15"/>
  <c r="L1546" i="15"/>
  <c r="AC1545" i="15"/>
  <c r="C1545" i="15"/>
  <c r="X1545" i="15"/>
  <c r="AA1545" i="15"/>
  <c r="Z1545" i="15"/>
  <c r="Y1545" i="15"/>
  <c r="W1545" i="15"/>
  <c r="U1545" i="15"/>
  <c r="T1545" i="15"/>
  <c r="S1545" i="15"/>
  <c r="Q1545" i="15"/>
  <c r="P1545" i="15"/>
  <c r="O1545" i="15"/>
  <c r="N1545" i="15"/>
  <c r="H1545" i="15"/>
  <c r="L1545" i="15"/>
  <c r="AC1544" i="15"/>
  <c r="C1544" i="15"/>
  <c r="X1544" i="15"/>
  <c r="AA1544" i="15"/>
  <c r="Z1544" i="15"/>
  <c r="Y1544" i="15"/>
  <c r="W1544" i="15"/>
  <c r="U1544" i="15"/>
  <c r="T1544" i="15"/>
  <c r="S1544" i="15"/>
  <c r="Q1544" i="15"/>
  <c r="P1544" i="15"/>
  <c r="O1544" i="15"/>
  <c r="N1544" i="15"/>
  <c r="H1544" i="15"/>
  <c r="L1544" i="15"/>
  <c r="AC1543" i="15"/>
  <c r="C1543" i="15"/>
  <c r="X1543" i="15"/>
  <c r="AA1543" i="15"/>
  <c r="Z1543" i="15"/>
  <c r="Y1543" i="15"/>
  <c r="W1543" i="15"/>
  <c r="U1543" i="15"/>
  <c r="T1543" i="15"/>
  <c r="S1543" i="15"/>
  <c r="Q1543" i="15"/>
  <c r="P1543" i="15"/>
  <c r="O1543" i="15"/>
  <c r="N1543" i="15"/>
  <c r="H1543" i="15"/>
  <c r="L1543" i="15"/>
  <c r="AC1542" i="15"/>
  <c r="C1542" i="15"/>
  <c r="X1542" i="15"/>
  <c r="AA1542" i="15"/>
  <c r="Z1542" i="15"/>
  <c r="Y1542" i="15"/>
  <c r="W1542" i="15"/>
  <c r="U1542" i="15"/>
  <c r="T1542" i="15"/>
  <c r="S1542" i="15"/>
  <c r="Q1542" i="15"/>
  <c r="P1542" i="15"/>
  <c r="O1542" i="15"/>
  <c r="N1542" i="15"/>
  <c r="H1542" i="15"/>
  <c r="L1542" i="15"/>
  <c r="AC1541" i="15"/>
  <c r="C1541" i="15"/>
  <c r="X1541" i="15"/>
  <c r="AA1541" i="15"/>
  <c r="Z1541" i="15"/>
  <c r="Y1541" i="15"/>
  <c r="W1541" i="15"/>
  <c r="U1541" i="15"/>
  <c r="T1541" i="15"/>
  <c r="S1541" i="15"/>
  <c r="Q1541" i="15"/>
  <c r="P1541" i="15"/>
  <c r="O1541" i="15"/>
  <c r="N1541" i="15"/>
  <c r="H1541" i="15"/>
  <c r="L1541" i="15"/>
  <c r="AC1540" i="15"/>
  <c r="C1540" i="15"/>
  <c r="X1540" i="15"/>
  <c r="AA1540" i="15"/>
  <c r="Z1540" i="15"/>
  <c r="Y1540" i="15"/>
  <c r="W1540" i="15"/>
  <c r="U1540" i="15"/>
  <c r="T1540" i="15"/>
  <c r="S1540" i="15"/>
  <c r="Q1540" i="15"/>
  <c r="P1540" i="15"/>
  <c r="O1540" i="15"/>
  <c r="N1540" i="15"/>
  <c r="H1540" i="15"/>
  <c r="L1540" i="15"/>
  <c r="AC1539" i="15"/>
  <c r="C1539" i="15"/>
  <c r="X1539" i="15"/>
  <c r="AA1539" i="15"/>
  <c r="Z1539" i="15"/>
  <c r="Y1539" i="15"/>
  <c r="W1539" i="15"/>
  <c r="U1539" i="15"/>
  <c r="T1539" i="15"/>
  <c r="S1539" i="15"/>
  <c r="Q1539" i="15"/>
  <c r="P1539" i="15"/>
  <c r="O1539" i="15"/>
  <c r="N1539" i="15"/>
  <c r="H1539" i="15"/>
  <c r="L1539" i="15"/>
  <c r="AC1538" i="15"/>
  <c r="C1538" i="15"/>
  <c r="X1538" i="15"/>
  <c r="AA1538" i="15"/>
  <c r="Z1538" i="15"/>
  <c r="Y1538" i="15"/>
  <c r="W1538" i="15"/>
  <c r="U1538" i="15"/>
  <c r="T1538" i="15"/>
  <c r="S1538" i="15"/>
  <c r="Q1538" i="15"/>
  <c r="P1538" i="15"/>
  <c r="O1538" i="15"/>
  <c r="N1538" i="15"/>
  <c r="H1538" i="15"/>
  <c r="L1538" i="15"/>
  <c r="AC1537" i="15"/>
  <c r="C1537" i="15"/>
  <c r="X1537" i="15"/>
  <c r="AA1537" i="15"/>
  <c r="Z1537" i="15"/>
  <c r="Y1537" i="15"/>
  <c r="W1537" i="15"/>
  <c r="U1537" i="15"/>
  <c r="T1537" i="15"/>
  <c r="S1537" i="15"/>
  <c r="Q1537" i="15"/>
  <c r="P1537" i="15"/>
  <c r="O1537" i="15"/>
  <c r="N1537" i="15"/>
  <c r="H1537" i="15"/>
  <c r="L1537" i="15"/>
  <c r="AC1536" i="15"/>
  <c r="C1536" i="15"/>
  <c r="X1536" i="15"/>
  <c r="AA1536" i="15"/>
  <c r="Z1536" i="15"/>
  <c r="Y1536" i="15"/>
  <c r="W1536" i="15"/>
  <c r="U1536" i="15"/>
  <c r="T1536" i="15"/>
  <c r="S1536" i="15"/>
  <c r="Q1536" i="15"/>
  <c r="P1536" i="15"/>
  <c r="O1536" i="15"/>
  <c r="N1536" i="15"/>
  <c r="H1536" i="15"/>
  <c r="L1536" i="15"/>
  <c r="AC1535" i="15"/>
  <c r="C1535" i="15"/>
  <c r="X1535" i="15"/>
  <c r="AA1535" i="15"/>
  <c r="Z1535" i="15"/>
  <c r="Y1535" i="15"/>
  <c r="W1535" i="15"/>
  <c r="U1535" i="15"/>
  <c r="T1535" i="15"/>
  <c r="S1535" i="15"/>
  <c r="Q1535" i="15"/>
  <c r="P1535" i="15"/>
  <c r="O1535" i="15"/>
  <c r="N1535" i="15"/>
  <c r="H1535" i="15"/>
  <c r="L1535" i="15"/>
  <c r="AC1534" i="15"/>
  <c r="C1534" i="15"/>
  <c r="X1534" i="15"/>
  <c r="AA1534" i="15"/>
  <c r="Z1534" i="15"/>
  <c r="Y1534" i="15"/>
  <c r="W1534" i="15"/>
  <c r="U1534" i="15"/>
  <c r="T1534" i="15"/>
  <c r="S1534" i="15"/>
  <c r="Q1534" i="15"/>
  <c r="P1534" i="15"/>
  <c r="O1534" i="15"/>
  <c r="N1534" i="15"/>
  <c r="H1534" i="15"/>
  <c r="L1534" i="15"/>
  <c r="AC1533" i="15"/>
  <c r="C1533" i="15"/>
  <c r="X1533" i="15"/>
  <c r="AA1533" i="15"/>
  <c r="Z1533" i="15"/>
  <c r="Y1533" i="15"/>
  <c r="W1533" i="15"/>
  <c r="U1533" i="15"/>
  <c r="T1533" i="15"/>
  <c r="S1533" i="15"/>
  <c r="Q1533" i="15"/>
  <c r="P1533" i="15"/>
  <c r="O1533" i="15"/>
  <c r="N1533" i="15"/>
  <c r="H1533" i="15"/>
  <c r="L1533" i="15"/>
  <c r="AC1532" i="15"/>
  <c r="C1532" i="15"/>
  <c r="X1532" i="15"/>
  <c r="AA1532" i="15"/>
  <c r="Z1532" i="15"/>
  <c r="Y1532" i="15"/>
  <c r="W1532" i="15"/>
  <c r="U1532" i="15"/>
  <c r="T1532" i="15"/>
  <c r="S1532" i="15"/>
  <c r="Q1532" i="15"/>
  <c r="P1532" i="15"/>
  <c r="O1532" i="15"/>
  <c r="N1532" i="15"/>
  <c r="H1532" i="15"/>
  <c r="L1532" i="15"/>
  <c r="AC1531" i="15"/>
  <c r="C1531" i="15"/>
  <c r="X1531" i="15"/>
  <c r="AA1531" i="15"/>
  <c r="Z1531" i="15"/>
  <c r="Y1531" i="15"/>
  <c r="W1531" i="15"/>
  <c r="U1531" i="15"/>
  <c r="T1531" i="15"/>
  <c r="S1531" i="15"/>
  <c r="Q1531" i="15"/>
  <c r="P1531" i="15"/>
  <c r="O1531" i="15"/>
  <c r="N1531" i="15"/>
  <c r="H1531" i="15"/>
  <c r="L1531" i="15"/>
  <c r="AC1530" i="15"/>
  <c r="C1530" i="15"/>
  <c r="X1530" i="15"/>
  <c r="AA1530" i="15"/>
  <c r="Z1530" i="15"/>
  <c r="Y1530" i="15"/>
  <c r="W1530" i="15"/>
  <c r="U1530" i="15"/>
  <c r="T1530" i="15"/>
  <c r="S1530" i="15"/>
  <c r="Q1530" i="15"/>
  <c r="P1530" i="15"/>
  <c r="O1530" i="15"/>
  <c r="N1530" i="15"/>
  <c r="H1530" i="15"/>
  <c r="L1530" i="15"/>
  <c r="AC1529" i="15"/>
  <c r="C1529" i="15"/>
  <c r="X1529" i="15"/>
  <c r="AA1529" i="15"/>
  <c r="Z1529" i="15"/>
  <c r="Y1529" i="15"/>
  <c r="W1529" i="15"/>
  <c r="U1529" i="15"/>
  <c r="T1529" i="15"/>
  <c r="S1529" i="15"/>
  <c r="Q1529" i="15"/>
  <c r="P1529" i="15"/>
  <c r="O1529" i="15"/>
  <c r="N1529" i="15"/>
  <c r="H1529" i="15"/>
  <c r="L1529" i="15"/>
  <c r="AC1528" i="15"/>
  <c r="C1528" i="15"/>
  <c r="X1528" i="15"/>
  <c r="AA1528" i="15"/>
  <c r="Z1528" i="15"/>
  <c r="Y1528" i="15"/>
  <c r="W1528" i="15"/>
  <c r="U1528" i="15"/>
  <c r="T1528" i="15"/>
  <c r="S1528" i="15"/>
  <c r="Q1528" i="15"/>
  <c r="P1528" i="15"/>
  <c r="O1528" i="15"/>
  <c r="N1528" i="15"/>
  <c r="H1528" i="15"/>
  <c r="L1528" i="15"/>
  <c r="C1516" i="15"/>
  <c r="D1516" i="15"/>
  <c r="E1516" i="15"/>
  <c r="F1516" i="15"/>
  <c r="G1516" i="15"/>
  <c r="H1516" i="15"/>
  <c r="I1516" i="15"/>
  <c r="J1516" i="15"/>
  <c r="K1516" i="15"/>
  <c r="L1516" i="15"/>
  <c r="M1516" i="15"/>
  <c r="N1516" i="15"/>
  <c r="O1516" i="15"/>
  <c r="P1516" i="15"/>
  <c r="Q1516" i="15"/>
  <c r="S1516" i="15"/>
  <c r="T1516" i="15"/>
  <c r="U1516" i="15"/>
  <c r="W1516" i="15"/>
  <c r="X1516" i="15"/>
  <c r="Y1516" i="15"/>
  <c r="Z1516" i="15"/>
  <c r="AA1516" i="15"/>
  <c r="AC1516" i="15"/>
  <c r="AG1516" i="15"/>
  <c r="AH1516" i="15"/>
  <c r="AI1516" i="15"/>
  <c r="AJ1516" i="15"/>
  <c r="AK1516" i="15"/>
  <c r="AL1516" i="15"/>
  <c r="AM1516" i="15"/>
  <c r="AQ1516" i="15"/>
  <c r="C1517" i="15"/>
  <c r="D1517" i="15"/>
  <c r="E1517" i="15"/>
  <c r="F1517" i="15"/>
  <c r="G1517" i="15"/>
  <c r="H1517" i="15"/>
  <c r="I1517" i="15"/>
  <c r="J1517" i="15"/>
  <c r="K1517" i="15"/>
  <c r="L1517" i="15"/>
  <c r="M1517" i="15"/>
  <c r="N1517" i="15"/>
  <c r="O1517" i="15"/>
  <c r="P1517" i="15"/>
  <c r="Q1517" i="15"/>
  <c r="S1517" i="15"/>
  <c r="T1517" i="15"/>
  <c r="U1517" i="15"/>
  <c r="W1517" i="15"/>
  <c r="X1517" i="15"/>
  <c r="Y1517" i="15"/>
  <c r="Z1517" i="15"/>
  <c r="AA1517" i="15"/>
  <c r="AC1517" i="15"/>
  <c r="AG1517" i="15"/>
  <c r="AH1517" i="15"/>
  <c r="AI1517" i="15"/>
  <c r="AJ1517" i="15"/>
  <c r="AK1517" i="15"/>
  <c r="AL1517" i="15"/>
  <c r="AM1517" i="15"/>
  <c r="AQ1517" i="15"/>
  <c r="C1518" i="15"/>
  <c r="D1518" i="15"/>
  <c r="E1518" i="15"/>
  <c r="F1518" i="15"/>
  <c r="G1518" i="15"/>
  <c r="H1518" i="15"/>
  <c r="I1518" i="15"/>
  <c r="J1518" i="15"/>
  <c r="K1518" i="15"/>
  <c r="L1518" i="15"/>
  <c r="M1518" i="15"/>
  <c r="N1518" i="15"/>
  <c r="O1518" i="15"/>
  <c r="P1518" i="15"/>
  <c r="Q1518" i="15"/>
  <c r="S1518" i="15"/>
  <c r="T1518" i="15"/>
  <c r="U1518" i="15"/>
  <c r="W1518" i="15"/>
  <c r="X1518" i="15"/>
  <c r="Y1518" i="15"/>
  <c r="Z1518" i="15"/>
  <c r="AA1518" i="15"/>
  <c r="AC1518" i="15"/>
  <c r="AG1518" i="15"/>
  <c r="AH1518" i="15"/>
  <c r="AI1518" i="15"/>
  <c r="AJ1518" i="15"/>
  <c r="AK1518" i="15"/>
  <c r="AL1518" i="15"/>
  <c r="AM1518" i="15"/>
  <c r="AQ1518" i="15"/>
  <c r="C1519" i="15"/>
  <c r="D1519" i="15"/>
  <c r="E1519" i="15"/>
  <c r="F1519" i="15"/>
  <c r="G1519" i="15"/>
  <c r="H1519" i="15"/>
  <c r="I1519" i="15"/>
  <c r="J1519" i="15"/>
  <c r="K1519" i="15"/>
  <c r="L1519" i="15"/>
  <c r="M1519" i="15"/>
  <c r="N1519" i="15"/>
  <c r="O1519" i="15"/>
  <c r="P1519" i="15"/>
  <c r="Q1519" i="15"/>
  <c r="S1519" i="15"/>
  <c r="T1519" i="15"/>
  <c r="U1519" i="15"/>
  <c r="W1519" i="15"/>
  <c r="X1519" i="15"/>
  <c r="Y1519" i="15"/>
  <c r="Z1519" i="15"/>
  <c r="AA1519" i="15"/>
  <c r="AC1519" i="15"/>
  <c r="AG1519" i="15"/>
  <c r="AH1519" i="15"/>
  <c r="AI1519" i="15"/>
  <c r="AJ1519" i="15"/>
  <c r="AK1519" i="15"/>
  <c r="AL1519" i="15"/>
  <c r="AM1519" i="15"/>
  <c r="AQ1519" i="15"/>
  <c r="C1520" i="15"/>
  <c r="D1520" i="15"/>
  <c r="E1520" i="15"/>
  <c r="F1520" i="15"/>
  <c r="G1520" i="15"/>
  <c r="H1520" i="15"/>
  <c r="I1520" i="15"/>
  <c r="J1520" i="15"/>
  <c r="K1520" i="15"/>
  <c r="L1520" i="15"/>
  <c r="M1520" i="15"/>
  <c r="N1520" i="15"/>
  <c r="O1520" i="15"/>
  <c r="P1520" i="15"/>
  <c r="Q1520" i="15"/>
  <c r="S1520" i="15"/>
  <c r="T1520" i="15"/>
  <c r="U1520" i="15"/>
  <c r="W1520" i="15"/>
  <c r="X1520" i="15"/>
  <c r="Y1520" i="15"/>
  <c r="Z1520" i="15"/>
  <c r="AA1520" i="15"/>
  <c r="AC1520" i="15"/>
  <c r="AG1520" i="15"/>
  <c r="AH1520" i="15"/>
  <c r="AI1520" i="15"/>
  <c r="AJ1520" i="15"/>
  <c r="AK1520" i="15"/>
  <c r="AL1520" i="15"/>
  <c r="AM1520" i="15"/>
  <c r="AQ1520" i="15"/>
  <c r="C1521" i="15"/>
  <c r="D1521" i="15"/>
  <c r="E1521" i="15"/>
  <c r="F1521" i="15"/>
  <c r="G1521" i="15"/>
  <c r="H1521" i="15"/>
  <c r="I1521" i="15"/>
  <c r="J1521" i="15"/>
  <c r="K1521" i="15"/>
  <c r="L1521" i="15"/>
  <c r="M1521" i="15"/>
  <c r="N1521" i="15"/>
  <c r="O1521" i="15"/>
  <c r="P1521" i="15"/>
  <c r="Q1521" i="15"/>
  <c r="S1521" i="15"/>
  <c r="T1521" i="15"/>
  <c r="U1521" i="15"/>
  <c r="W1521" i="15"/>
  <c r="X1521" i="15"/>
  <c r="Y1521" i="15"/>
  <c r="Z1521" i="15"/>
  <c r="AA1521" i="15"/>
  <c r="AC1521" i="15"/>
  <c r="AG1521" i="15"/>
  <c r="AH1521" i="15"/>
  <c r="AI1521" i="15"/>
  <c r="AJ1521" i="15"/>
  <c r="AK1521" i="15"/>
  <c r="AL1521" i="15"/>
  <c r="AM1521" i="15"/>
  <c r="AQ1521" i="15"/>
  <c r="C1522" i="15"/>
  <c r="D1522" i="15"/>
  <c r="E1522" i="15"/>
  <c r="F1522" i="15"/>
  <c r="G1522" i="15"/>
  <c r="H1522" i="15"/>
  <c r="I1522" i="15"/>
  <c r="J1522" i="15"/>
  <c r="K1522" i="15"/>
  <c r="L1522" i="15"/>
  <c r="M1522" i="15"/>
  <c r="N1522" i="15"/>
  <c r="O1522" i="15"/>
  <c r="P1522" i="15"/>
  <c r="Q1522" i="15"/>
  <c r="S1522" i="15"/>
  <c r="T1522" i="15"/>
  <c r="U1522" i="15"/>
  <c r="W1522" i="15"/>
  <c r="X1522" i="15"/>
  <c r="Y1522" i="15"/>
  <c r="Z1522" i="15"/>
  <c r="AA1522" i="15"/>
  <c r="AC1522" i="15"/>
  <c r="AG1522" i="15"/>
  <c r="AH1522" i="15"/>
  <c r="AI1522" i="15"/>
  <c r="AJ1522" i="15"/>
  <c r="AK1522" i="15"/>
  <c r="AL1522" i="15"/>
  <c r="AM1522" i="15"/>
  <c r="AQ1522" i="15"/>
  <c r="C1523" i="15"/>
  <c r="D1523" i="15"/>
  <c r="E1523" i="15"/>
  <c r="F1523" i="15"/>
  <c r="G1523" i="15"/>
  <c r="H1523" i="15"/>
  <c r="I1523" i="15"/>
  <c r="J1523" i="15"/>
  <c r="K1523" i="15"/>
  <c r="L1523" i="15"/>
  <c r="M1523" i="15"/>
  <c r="N1523" i="15"/>
  <c r="O1523" i="15"/>
  <c r="P1523" i="15"/>
  <c r="Q1523" i="15"/>
  <c r="S1523" i="15"/>
  <c r="T1523" i="15"/>
  <c r="U1523" i="15"/>
  <c r="W1523" i="15"/>
  <c r="X1523" i="15"/>
  <c r="Y1523" i="15"/>
  <c r="Z1523" i="15"/>
  <c r="AA1523" i="15"/>
  <c r="AC1523" i="15"/>
  <c r="AG1523" i="15"/>
  <c r="AH1523" i="15"/>
  <c r="AI1523" i="15"/>
  <c r="AJ1523" i="15"/>
  <c r="AK1523" i="15"/>
  <c r="AL1523" i="15"/>
  <c r="AM1523" i="15"/>
  <c r="AQ1523" i="15"/>
  <c r="C1524" i="15"/>
  <c r="D1524" i="15"/>
  <c r="E1524" i="15"/>
  <c r="F1524" i="15"/>
  <c r="G1524" i="15"/>
  <c r="H1524" i="15"/>
  <c r="I1524" i="15"/>
  <c r="J1524" i="15"/>
  <c r="K1524" i="15"/>
  <c r="L1524" i="15"/>
  <c r="M1524" i="15"/>
  <c r="N1524" i="15"/>
  <c r="O1524" i="15"/>
  <c r="P1524" i="15"/>
  <c r="Q1524" i="15"/>
  <c r="S1524" i="15"/>
  <c r="T1524" i="15"/>
  <c r="U1524" i="15"/>
  <c r="W1524" i="15"/>
  <c r="X1524" i="15"/>
  <c r="Y1524" i="15"/>
  <c r="Z1524" i="15"/>
  <c r="AA1524" i="15"/>
  <c r="AC1524" i="15"/>
  <c r="AG1524" i="15"/>
  <c r="AH1524" i="15"/>
  <c r="AI1524" i="15"/>
  <c r="AJ1524" i="15"/>
  <c r="AK1524" i="15"/>
  <c r="AL1524" i="15"/>
  <c r="AM1524" i="15"/>
  <c r="AQ1524" i="15"/>
  <c r="C1525" i="15"/>
  <c r="D1525" i="15"/>
  <c r="E1525" i="15"/>
  <c r="F1525" i="15"/>
  <c r="G1525" i="15"/>
  <c r="H1525" i="15"/>
  <c r="I1525" i="15"/>
  <c r="J1525" i="15"/>
  <c r="K1525" i="15"/>
  <c r="L1525" i="15"/>
  <c r="M1525" i="15"/>
  <c r="N1525" i="15"/>
  <c r="O1525" i="15"/>
  <c r="P1525" i="15"/>
  <c r="Q1525" i="15"/>
  <c r="S1525" i="15"/>
  <c r="T1525" i="15"/>
  <c r="U1525" i="15"/>
  <c r="W1525" i="15"/>
  <c r="X1525" i="15"/>
  <c r="Y1525" i="15"/>
  <c r="Z1525" i="15"/>
  <c r="AA1525" i="15"/>
  <c r="AC1525" i="15"/>
  <c r="AG1525" i="15"/>
  <c r="AH1525" i="15"/>
  <c r="AI1525" i="15"/>
  <c r="AJ1525" i="15"/>
  <c r="AK1525" i="15"/>
  <c r="AL1525" i="15"/>
  <c r="AM1525" i="15"/>
  <c r="AQ1525" i="15"/>
  <c r="C1526" i="15"/>
  <c r="D1526" i="15"/>
  <c r="E1526" i="15"/>
  <c r="F1526" i="15"/>
  <c r="G1526" i="15"/>
  <c r="H1526" i="15"/>
  <c r="I1526" i="15"/>
  <c r="J1526" i="15"/>
  <c r="K1526" i="15"/>
  <c r="L1526" i="15"/>
  <c r="M1526" i="15"/>
  <c r="N1526" i="15"/>
  <c r="O1526" i="15"/>
  <c r="P1526" i="15"/>
  <c r="Q1526" i="15"/>
  <c r="S1526" i="15"/>
  <c r="T1526" i="15"/>
  <c r="U1526" i="15"/>
  <c r="W1526" i="15"/>
  <c r="X1526" i="15"/>
  <c r="Y1526" i="15"/>
  <c r="Z1526" i="15"/>
  <c r="AA1526" i="15"/>
  <c r="AC1526" i="15"/>
  <c r="AG1526" i="15"/>
  <c r="AH1526" i="15"/>
  <c r="AI1526" i="15"/>
  <c r="AJ1526" i="15"/>
  <c r="AK1526" i="15"/>
  <c r="AL1526" i="15"/>
  <c r="AM1526" i="15"/>
  <c r="AQ1526" i="15"/>
  <c r="C1527" i="15"/>
  <c r="D1527" i="15"/>
  <c r="E1527" i="15"/>
  <c r="F1527" i="15"/>
  <c r="G1527" i="15"/>
  <c r="H1527" i="15"/>
  <c r="I1527" i="15"/>
  <c r="J1527" i="15"/>
  <c r="K1527" i="15"/>
  <c r="L1527" i="15"/>
  <c r="M1527" i="15"/>
  <c r="N1527" i="15"/>
  <c r="O1527" i="15"/>
  <c r="P1527" i="15"/>
  <c r="Q1527" i="15"/>
  <c r="S1527" i="15"/>
  <c r="T1527" i="15"/>
  <c r="U1527" i="15"/>
  <c r="W1527" i="15"/>
  <c r="X1527" i="15"/>
  <c r="Y1527" i="15"/>
  <c r="Z1527" i="15"/>
  <c r="AA1527" i="15"/>
  <c r="AC1527" i="15"/>
  <c r="AG1527" i="15"/>
  <c r="AH1527" i="15"/>
  <c r="AI1527" i="15"/>
  <c r="AJ1527" i="15"/>
  <c r="AK1527" i="15"/>
  <c r="AL1527" i="15"/>
  <c r="AM1527" i="15"/>
  <c r="AQ1527" i="15"/>
  <c r="D1528" i="15"/>
  <c r="E1528" i="15"/>
  <c r="F1528" i="15"/>
  <c r="G1528" i="15"/>
  <c r="I1528" i="15"/>
  <c r="AG1528" i="15"/>
  <c r="AH1528" i="15"/>
  <c r="AI1528" i="15"/>
  <c r="AJ1528" i="15"/>
  <c r="AK1528" i="15"/>
  <c r="AL1528" i="15"/>
  <c r="AM1528" i="15"/>
  <c r="AQ1528" i="15"/>
  <c r="D1529" i="15"/>
  <c r="E1529" i="15"/>
  <c r="F1529" i="15"/>
  <c r="G1529" i="15"/>
  <c r="I1529" i="15"/>
  <c r="AG1529" i="15"/>
  <c r="AH1529" i="15"/>
  <c r="AI1529" i="15"/>
  <c r="AJ1529" i="15"/>
  <c r="AK1529" i="15"/>
  <c r="AL1529" i="15"/>
  <c r="AM1529" i="15"/>
  <c r="AQ1529" i="15"/>
  <c r="D1530" i="15"/>
  <c r="E1530" i="15"/>
  <c r="F1530" i="15"/>
  <c r="G1530" i="15"/>
  <c r="I1530" i="15"/>
  <c r="AG1530" i="15"/>
  <c r="AH1530" i="15"/>
  <c r="AI1530" i="15"/>
  <c r="AJ1530" i="15"/>
  <c r="AK1530" i="15"/>
  <c r="AL1530" i="15"/>
  <c r="AM1530" i="15"/>
  <c r="AQ1530" i="15"/>
  <c r="D1531" i="15"/>
  <c r="E1531" i="15"/>
  <c r="F1531" i="15"/>
  <c r="G1531" i="15"/>
  <c r="I1531" i="15"/>
  <c r="AG1531" i="15"/>
  <c r="AH1531" i="15"/>
  <c r="AI1531" i="15"/>
  <c r="AJ1531" i="15"/>
  <c r="AK1531" i="15"/>
  <c r="AL1531" i="15"/>
  <c r="AM1531" i="15"/>
  <c r="AQ1531" i="15"/>
  <c r="D1532" i="15"/>
  <c r="E1532" i="15"/>
  <c r="F1532" i="15"/>
  <c r="G1532" i="15"/>
  <c r="I1532" i="15"/>
  <c r="AG1532" i="15"/>
  <c r="AH1532" i="15"/>
  <c r="AI1532" i="15"/>
  <c r="AJ1532" i="15"/>
  <c r="AK1532" i="15"/>
  <c r="AL1532" i="15"/>
  <c r="AM1532" i="15"/>
  <c r="AQ1532" i="15"/>
  <c r="D1533" i="15"/>
  <c r="E1533" i="15"/>
  <c r="F1533" i="15"/>
  <c r="G1533" i="15"/>
  <c r="I1533" i="15"/>
  <c r="AG1533" i="15"/>
  <c r="AH1533" i="15"/>
  <c r="AI1533" i="15"/>
  <c r="AJ1533" i="15"/>
  <c r="AK1533" i="15"/>
  <c r="AL1533" i="15"/>
  <c r="AM1533" i="15"/>
  <c r="AQ1533" i="15"/>
  <c r="D1534" i="15"/>
  <c r="E1534" i="15"/>
  <c r="F1534" i="15"/>
  <c r="G1534" i="15"/>
  <c r="I1534" i="15"/>
  <c r="AG1534" i="15"/>
  <c r="AH1534" i="15"/>
  <c r="AI1534" i="15"/>
  <c r="AJ1534" i="15"/>
  <c r="AK1534" i="15"/>
  <c r="AL1534" i="15"/>
  <c r="AM1534" i="15"/>
  <c r="AQ1534" i="15"/>
  <c r="D1535" i="15"/>
  <c r="E1535" i="15"/>
  <c r="F1535" i="15"/>
  <c r="G1535" i="15"/>
  <c r="I1535" i="15"/>
  <c r="AG1535" i="15"/>
  <c r="AH1535" i="15"/>
  <c r="AI1535" i="15"/>
  <c r="AJ1535" i="15"/>
  <c r="AK1535" i="15"/>
  <c r="AL1535" i="15"/>
  <c r="AM1535" i="15"/>
  <c r="AQ1535" i="15"/>
  <c r="D1536" i="15"/>
  <c r="E1536" i="15"/>
  <c r="F1536" i="15"/>
  <c r="G1536" i="15"/>
  <c r="I1536" i="15"/>
  <c r="AG1536" i="15"/>
  <c r="AH1536" i="15"/>
  <c r="AI1536" i="15"/>
  <c r="AJ1536" i="15"/>
  <c r="AK1536" i="15"/>
  <c r="AL1536" i="15"/>
  <c r="AM1536" i="15"/>
  <c r="AQ1536" i="15"/>
  <c r="D1537" i="15"/>
  <c r="E1537" i="15"/>
  <c r="F1537" i="15"/>
  <c r="G1537" i="15"/>
  <c r="I1537" i="15"/>
  <c r="AG1537" i="15"/>
  <c r="AH1537" i="15"/>
  <c r="AI1537" i="15"/>
  <c r="AJ1537" i="15"/>
  <c r="AK1537" i="15"/>
  <c r="AL1537" i="15"/>
  <c r="AM1537" i="15"/>
  <c r="AQ1537" i="15"/>
  <c r="D1538" i="15"/>
  <c r="E1538" i="15"/>
  <c r="F1538" i="15"/>
  <c r="G1538" i="15"/>
  <c r="I1538" i="15"/>
  <c r="AG1538" i="15"/>
  <c r="AH1538" i="15"/>
  <c r="AI1538" i="15"/>
  <c r="AJ1538" i="15"/>
  <c r="AK1538" i="15"/>
  <c r="AL1538" i="15"/>
  <c r="AM1538" i="15"/>
  <c r="AQ1538" i="15"/>
  <c r="D1539" i="15"/>
  <c r="E1539" i="15"/>
  <c r="F1539" i="15"/>
  <c r="G1539" i="15"/>
  <c r="I1539" i="15"/>
  <c r="AG1539" i="15"/>
  <c r="AH1539" i="15"/>
  <c r="AI1539" i="15"/>
  <c r="AJ1539" i="15"/>
  <c r="AK1539" i="15"/>
  <c r="AL1539" i="15"/>
  <c r="AM1539" i="15"/>
  <c r="AQ1539" i="15"/>
  <c r="D1540" i="15"/>
  <c r="E1540" i="15"/>
  <c r="F1540" i="15"/>
  <c r="G1540" i="15"/>
  <c r="I1540" i="15"/>
  <c r="AG1540" i="15"/>
  <c r="AH1540" i="15"/>
  <c r="AI1540" i="15"/>
  <c r="AJ1540" i="15"/>
  <c r="AK1540" i="15"/>
  <c r="AL1540" i="15"/>
  <c r="AM1540" i="15"/>
  <c r="AQ1540" i="15"/>
  <c r="D1541" i="15"/>
  <c r="E1541" i="15"/>
  <c r="F1541" i="15"/>
  <c r="G1541" i="15"/>
  <c r="I1541" i="15"/>
  <c r="AG1541" i="15"/>
  <c r="AH1541" i="15"/>
  <c r="AI1541" i="15"/>
  <c r="AJ1541" i="15"/>
  <c r="AK1541" i="15"/>
  <c r="AL1541" i="15"/>
  <c r="AM1541" i="15"/>
  <c r="AQ1541" i="15"/>
  <c r="D1542" i="15"/>
  <c r="E1542" i="15"/>
  <c r="F1542" i="15"/>
  <c r="G1542" i="15"/>
  <c r="I1542" i="15"/>
  <c r="AG1542" i="15"/>
  <c r="AH1542" i="15"/>
  <c r="AI1542" i="15"/>
  <c r="AJ1542" i="15"/>
  <c r="AK1542" i="15"/>
  <c r="AL1542" i="15"/>
  <c r="AM1542" i="15"/>
  <c r="AQ1542" i="15"/>
  <c r="D1543" i="15"/>
  <c r="E1543" i="15"/>
  <c r="F1543" i="15"/>
  <c r="G1543" i="15"/>
  <c r="I1543" i="15"/>
  <c r="AG1543" i="15"/>
  <c r="AH1543" i="15"/>
  <c r="AI1543" i="15"/>
  <c r="AJ1543" i="15"/>
  <c r="AK1543" i="15"/>
  <c r="AL1543" i="15"/>
  <c r="AM1543" i="15"/>
  <c r="AQ1543" i="15"/>
  <c r="D1544" i="15"/>
  <c r="E1544" i="15"/>
  <c r="F1544" i="15"/>
  <c r="G1544" i="15"/>
  <c r="I1544" i="15"/>
  <c r="AG1544" i="15"/>
  <c r="AH1544" i="15"/>
  <c r="AI1544" i="15"/>
  <c r="AJ1544" i="15"/>
  <c r="AK1544" i="15"/>
  <c r="AL1544" i="15"/>
  <c r="AM1544" i="15"/>
  <c r="AQ1544" i="15"/>
  <c r="D1545" i="15"/>
  <c r="E1545" i="15"/>
  <c r="F1545" i="15"/>
  <c r="G1545" i="15"/>
  <c r="I1545" i="15"/>
  <c r="AG1545" i="15"/>
  <c r="AH1545" i="15"/>
  <c r="AI1545" i="15"/>
  <c r="AJ1545" i="15"/>
  <c r="AK1545" i="15"/>
  <c r="AL1545" i="15"/>
  <c r="AM1545" i="15"/>
  <c r="AQ1545" i="15"/>
  <c r="D1546" i="15"/>
  <c r="E1546" i="15"/>
  <c r="F1546" i="15"/>
  <c r="G1546" i="15"/>
  <c r="I1546" i="15"/>
  <c r="AG1546" i="15"/>
  <c r="AH1546" i="15"/>
  <c r="AI1546" i="15"/>
  <c r="AJ1546" i="15"/>
  <c r="AK1546" i="15"/>
  <c r="AL1546" i="15"/>
  <c r="AM1546" i="15"/>
  <c r="AQ1546" i="15"/>
  <c r="D1547" i="15"/>
  <c r="E1547" i="15"/>
  <c r="F1547" i="15"/>
  <c r="G1547" i="15"/>
  <c r="I1547" i="15"/>
  <c r="AG1547" i="15"/>
  <c r="AH1547" i="15"/>
  <c r="AI1547" i="15"/>
  <c r="AJ1547" i="15"/>
  <c r="AK1547" i="15"/>
  <c r="AL1547" i="15"/>
  <c r="AM1547" i="15"/>
  <c r="AQ1547" i="15"/>
  <c r="D1548" i="15"/>
  <c r="E1548" i="15"/>
  <c r="F1548" i="15"/>
  <c r="G1548" i="15"/>
  <c r="I1548" i="15"/>
  <c r="AG1548" i="15"/>
  <c r="AH1548" i="15"/>
  <c r="AI1548" i="15"/>
  <c r="AJ1548" i="15"/>
  <c r="AK1548" i="15"/>
  <c r="AL1548" i="15"/>
  <c r="AM1548" i="15"/>
  <c r="AQ1548" i="15"/>
  <c r="D1549" i="15"/>
  <c r="E1549" i="15"/>
  <c r="F1549" i="15"/>
  <c r="G1549" i="15"/>
  <c r="I1549" i="15"/>
  <c r="AG1549" i="15"/>
  <c r="AH1549" i="15"/>
  <c r="AI1549" i="15"/>
  <c r="AJ1549" i="15"/>
  <c r="AK1549" i="15"/>
  <c r="AL1549" i="15"/>
  <c r="AM1549" i="15"/>
  <c r="AQ1549" i="15"/>
  <c r="D1550" i="15"/>
  <c r="E1550" i="15"/>
  <c r="F1550" i="15"/>
  <c r="G1550" i="15"/>
  <c r="I1550" i="15"/>
  <c r="AG1550" i="15"/>
  <c r="AH1550" i="15"/>
  <c r="AI1550" i="15"/>
  <c r="AJ1550" i="15"/>
  <c r="AK1550" i="15"/>
  <c r="AL1550" i="15"/>
  <c r="AM1550" i="15"/>
  <c r="AQ1550" i="15"/>
  <c r="D1551" i="15"/>
  <c r="E1551" i="15"/>
  <c r="F1551" i="15"/>
  <c r="G1551" i="15"/>
  <c r="I1551" i="15"/>
  <c r="AG1551" i="15"/>
  <c r="AH1551" i="15"/>
  <c r="AI1551" i="15"/>
  <c r="AJ1551" i="15"/>
  <c r="AK1551" i="15"/>
  <c r="AL1551" i="15"/>
  <c r="AM1551" i="15"/>
  <c r="AQ1551" i="15"/>
  <c r="D1552" i="15"/>
  <c r="E1552" i="15"/>
  <c r="F1552" i="15"/>
  <c r="G1552" i="15"/>
  <c r="I1552" i="15"/>
  <c r="AG1552" i="15"/>
  <c r="AH1552" i="15"/>
  <c r="AI1552" i="15"/>
  <c r="AJ1552" i="15"/>
  <c r="AK1552" i="15"/>
  <c r="AL1552" i="15"/>
  <c r="AM1552" i="15"/>
  <c r="AQ1552" i="15"/>
  <c r="D1553" i="15"/>
  <c r="E1553" i="15"/>
  <c r="F1553" i="15"/>
  <c r="G1553" i="15"/>
  <c r="I1553" i="15"/>
  <c r="AG1553" i="15"/>
  <c r="AH1553" i="15"/>
  <c r="AI1553" i="15"/>
  <c r="AJ1553" i="15"/>
  <c r="AK1553" i="15"/>
  <c r="AL1553" i="15"/>
  <c r="AM1553" i="15"/>
  <c r="AQ1553" i="15"/>
  <c r="D1554" i="15"/>
  <c r="E1554" i="15"/>
  <c r="F1554" i="15"/>
  <c r="G1554" i="15"/>
  <c r="I1554" i="15"/>
  <c r="AG1554" i="15"/>
  <c r="AH1554" i="15"/>
  <c r="AI1554" i="15"/>
  <c r="AJ1554" i="15"/>
  <c r="AK1554" i="15"/>
  <c r="AL1554" i="15"/>
  <c r="AM1554" i="15"/>
  <c r="AQ1554" i="15"/>
  <c r="D1555" i="15"/>
  <c r="E1555" i="15"/>
  <c r="F1555" i="15"/>
  <c r="G1555" i="15"/>
  <c r="I1555" i="15"/>
  <c r="AG1555" i="15"/>
  <c r="AH1555" i="15"/>
  <c r="AI1555" i="15"/>
  <c r="AJ1555" i="15"/>
  <c r="AK1555" i="15"/>
  <c r="AL1555" i="15"/>
  <c r="AM1555" i="15"/>
  <c r="AQ1555" i="15"/>
  <c r="D1556" i="15"/>
  <c r="E1556" i="15"/>
  <c r="F1556" i="15"/>
  <c r="G1556" i="15"/>
  <c r="I1556" i="15"/>
  <c r="AG1556" i="15"/>
  <c r="AH1556" i="15"/>
  <c r="AI1556" i="15"/>
  <c r="AJ1556" i="15"/>
  <c r="AK1556" i="15"/>
  <c r="AL1556" i="15"/>
  <c r="AM1556" i="15"/>
  <c r="AQ1556" i="15"/>
  <c r="D1557" i="15"/>
  <c r="E1557" i="15"/>
  <c r="F1557" i="15"/>
  <c r="G1557" i="15"/>
  <c r="I1557" i="15"/>
  <c r="AG1557" i="15"/>
  <c r="AH1557" i="15"/>
  <c r="AI1557" i="15"/>
  <c r="AJ1557" i="15"/>
  <c r="AK1557" i="15"/>
  <c r="AL1557" i="15"/>
  <c r="AM1557" i="15"/>
  <c r="AQ1557" i="15"/>
  <c r="I962" i="15"/>
  <c r="H835" i="15"/>
  <c r="L835" i="15"/>
  <c r="C981" i="15"/>
  <c r="X981" i="15"/>
  <c r="Y981" i="15"/>
  <c r="H981" i="15"/>
  <c r="J981" i="15"/>
  <c r="O981" i="15"/>
  <c r="D981" i="15"/>
  <c r="E981" i="15"/>
  <c r="Z981" i="15"/>
  <c r="K981" i="15"/>
  <c r="P981" i="15"/>
  <c r="F981" i="15"/>
  <c r="H93" i="15"/>
  <c r="K93" i="15"/>
  <c r="M93" i="15"/>
  <c r="P93" i="15"/>
  <c r="D93" i="15"/>
  <c r="F93" i="15"/>
  <c r="H54" i="15"/>
  <c r="K54" i="15"/>
  <c r="M54" i="15"/>
  <c r="P54" i="15"/>
  <c r="D54" i="15"/>
  <c r="F54" i="15"/>
  <c r="H50" i="15"/>
  <c r="K50" i="15"/>
  <c r="M50" i="15"/>
  <c r="P50" i="15"/>
  <c r="D50" i="15"/>
  <c r="F50" i="15"/>
  <c r="H52" i="15"/>
  <c r="K52" i="15"/>
  <c r="M52" i="15"/>
  <c r="P52" i="15"/>
  <c r="D52" i="15"/>
  <c r="F52" i="15"/>
  <c r="H56" i="15"/>
  <c r="K56" i="15"/>
  <c r="M56" i="15"/>
  <c r="P56" i="15"/>
  <c r="D56" i="15"/>
  <c r="F56" i="15"/>
  <c r="H259" i="15"/>
  <c r="K259" i="15"/>
  <c r="M259" i="15"/>
  <c r="P259" i="15"/>
  <c r="D259" i="15"/>
  <c r="F259" i="15"/>
  <c r="C316" i="15"/>
  <c r="X316" i="15"/>
  <c r="Z316" i="15"/>
  <c r="H316" i="15"/>
  <c r="K316" i="15"/>
  <c r="M316" i="15"/>
  <c r="P316" i="15"/>
  <c r="D316" i="15"/>
  <c r="F316" i="15"/>
  <c r="H156" i="15"/>
  <c r="K156" i="15"/>
  <c r="M156" i="15"/>
  <c r="P156" i="15"/>
  <c r="D156" i="15"/>
  <c r="F156" i="15"/>
  <c r="Y316" i="15"/>
  <c r="J316" i="15"/>
  <c r="O316" i="15"/>
  <c r="E316" i="15"/>
  <c r="J93" i="15"/>
  <c r="O93" i="15"/>
  <c r="E93" i="15"/>
  <c r="J54" i="15"/>
  <c r="O54" i="15"/>
  <c r="E54" i="15"/>
  <c r="J50" i="15"/>
  <c r="O50" i="15"/>
  <c r="E50" i="15"/>
  <c r="J52" i="15"/>
  <c r="O52" i="15"/>
  <c r="E52" i="15"/>
  <c r="J56" i="15"/>
  <c r="O56" i="15"/>
  <c r="E56" i="15"/>
  <c r="J259" i="15"/>
  <c r="O259" i="15"/>
  <c r="E259" i="15"/>
  <c r="J156" i="15"/>
  <c r="O156" i="15"/>
  <c r="E156" i="15"/>
  <c r="C815" i="15"/>
  <c r="X815" i="15"/>
  <c r="M815" i="15"/>
  <c r="D815" i="15"/>
  <c r="C1049" i="15"/>
  <c r="X1049" i="15"/>
  <c r="Z1049" i="15"/>
  <c r="H1049" i="15"/>
  <c r="K1049" i="15"/>
  <c r="M1049" i="15"/>
  <c r="P1049" i="15"/>
  <c r="F1049" i="15"/>
  <c r="Y1049" i="15"/>
  <c r="J1049" i="15"/>
  <c r="O1049" i="15"/>
  <c r="E1049" i="15"/>
  <c r="C1054" i="15"/>
  <c r="X1054" i="15"/>
  <c r="Z1054" i="15"/>
  <c r="H1054" i="15"/>
  <c r="K1054" i="15"/>
  <c r="M1054" i="15"/>
  <c r="P1054" i="15"/>
  <c r="F1054" i="15"/>
  <c r="Y1054" i="15"/>
  <c r="J1054" i="15"/>
  <c r="O1054" i="15"/>
  <c r="E1054" i="15"/>
  <c r="C1052" i="15"/>
  <c r="X1052" i="15"/>
  <c r="Z1052" i="15"/>
  <c r="H1052" i="15"/>
  <c r="K1052" i="15"/>
  <c r="M1052" i="15"/>
  <c r="P1052" i="15"/>
  <c r="F1052" i="15"/>
  <c r="Y1052" i="15"/>
  <c r="J1052" i="15"/>
  <c r="O1052" i="15"/>
  <c r="E1052" i="15"/>
  <c r="C1053" i="15"/>
  <c r="X1053" i="15"/>
  <c r="Z1053" i="15"/>
  <c r="H1053" i="15"/>
  <c r="K1053" i="15"/>
  <c r="M1053" i="15"/>
  <c r="P1053" i="15"/>
  <c r="F1053" i="15"/>
  <c r="Y1053" i="15"/>
  <c r="J1053" i="15"/>
  <c r="O1053" i="15"/>
  <c r="E1053" i="15"/>
  <c r="C1046" i="15"/>
  <c r="X1046" i="15"/>
  <c r="Z1046" i="15"/>
  <c r="H1046" i="15"/>
  <c r="K1046" i="15"/>
  <c r="M1046" i="15"/>
  <c r="P1046" i="15"/>
  <c r="F1046" i="15"/>
  <c r="Y1046" i="15"/>
  <c r="J1046" i="15"/>
  <c r="O1046" i="15"/>
  <c r="E1046" i="15"/>
  <c r="Z1047" i="15"/>
  <c r="K1047" i="15"/>
  <c r="P1047" i="15"/>
  <c r="F1047" i="15"/>
  <c r="C1050" i="15"/>
  <c r="X1050" i="15"/>
  <c r="Z1050" i="15"/>
  <c r="H1050" i="15"/>
  <c r="K1050" i="15"/>
  <c r="M1050" i="15"/>
  <c r="P1050" i="15"/>
  <c r="F1050" i="15"/>
  <c r="Y1050" i="15"/>
  <c r="J1050" i="15"/>
  <c r="O1050" i="15"/>
  <c r="E1050" i="15"/>
  <c r="C1051" i="15"/>
  <c r="X1051" i="15"/>
  <c r="Z1051" i="15"/>
  <c r="H1051" i="15"/>
  <c r="K1051" i="15"/>
  <c r="M1051" i="15"/>
  <c r="P1051" i="15"/>
  <c r="F1051" i="15"/>
  <c r="Y1051" i="15"/>
  <c r="J1051" i="15"/>
  <c r="O1051" i="15"/>
  <c r="E1051" i="15"/>
  <c r="C1048" i="15"/>
  <c r="X1048" i="15"/>
  <c r="Z1048" i="15"/>
  <c r="H1048" i="15"/>
  <c r="K1048" i="15"/>
  <c r="M1048" i="15"/>
  <c r="P1048" i="15"/>
  <c r="F1048" i="15"/>
  <c r="Y1048" i="15"/>
  <c r="J1048" i="15"/>
  <c r="O1048" i="15"/>
  <c r="E1048" i="15"/>
  <c r="C1055" i="15"/>
  <c r="X1055" i="15"/>
  <c r="Z1055" i="15"/>
  <c r="H1055" i="15"/>
  <c r="K1055" i="15"/>
  <c r="M1055" i="15"/>
  <c r="P1055" i="15"/>
  <c r="F1055" i="15"/>
  <c r="Y1055" i="15"/>
  <c r="J1055" i="15"/>
  <c r="O1055" i="15"/>
  <c r="E1055" i="15"/>
  <c r="M376" i="15"/>
  <c r="D376" i="15"/>
  <c r="M359" i="15"/>
  <c r="D359" i="15"/>
  <c r="C375" i="15"/>
  <c r="X375" i="15"/>
  <c r="M375" i="15"/>
  <c r="D375" i="15"/>
  <c r="M342" i="15"/>
  <c r="D342" i="15"/>
  <c r="M341" i="15"/>
  <c r="D341" i="15"/>
  <c r="M343" i="15"/>
  <c r="D343" i="15"/>
  <c r="M186" i="15"/>
  <c r="D186" i="15"/>
  <c r="M414" i="15"/>
  <c r="D414" i="15"/>
  <c r="M360" i="15"/>
  <c r="D360" i="15"/>
  <c r="C413" i="15"/>
  <c r="X413" i="15"/>
  <c r="M413" i="15"/>
  <c r="D413" i="15"/>
  <c r="M367" i="15"/>
  <c r="D367" i="15"/>
  <c r="M346" i="15"/>
  <c r="D346" i="15"/>
  <c r="M345" i="15"/>
  <c r="D345" i="15"/>
  <c r="M347" i="15"/>
  <c r="D347" i="15"/>
  <c r="M286" i="15"/>
  <c r="D286" i="15"/>
  <c r="M374" i="15"/>
  <c r="D374" i="15"/>
  <c r="M358" i="15"/>
  <c r="D358" i="15"/>
  <c r="M363" i="15"/>
  <c r="D363" i="15"/>
  <c r="M338" i="15"/>
  <c r="D338" i="15"/>
  <c r="M337" i="15"/>
  <c r="D337" i="15"/>
  <c r="M339" i="15"/>
  <c r="D339" i="15"/>
  <c r="M302" i="15"/>
  <c r="D302" i="15"/>
  <c r="M372" i="15"/>
  <c r="D372" i="15"/>
  <c r="M357" i="15"/>
  <c r="D357" i="15"/>
  <c r="C371" i="15"/>
  <c r="X371" i="15"/>
  <c r="M371" i="15"/>
  <c r="D371" i="15"/>
  <c r="M361" i="15"/>
  <c r="D361" i="15"/>
  <c r="M334" i="15"/>
  <c r="D334" i="15"/>
  <c r="M333" i="15"/>
  <c r="D333" i="15"/>
  <c r="M335" i="15"/>
  <c r="D335" i="15"/>
  <c r="M288" i="15"/>
  <c r="D288" i="15"/>
  <c r="D838" i="15"/>
  <c r="M838" i="15"/>
  <c r="C838" i="15"/>
  <c r="X838" i="15"/>
  <c r="M157" i="15"/>
  <c r="D157" i="15"/>
  <c r="M149" i="15"/>
  <c r="D149" i="15"/>
  <c r="M141" i="15"/>
  <c r="D141" i="15"/>
  <c r="M133" i="15"/>
  <c r="D133" i="15"/>
  <c r="M116" i="15"/>
  <c r="D116" i="15"/>
  <c r="M32" i="15"/>
  <c r="D32" i="15"/>
  <c r="M40" i="15"/>
  <c r="D40" i="15"/>
  <c r="M155" i="15"/>
  <c r="D155" i="15"/>
  <c r="M147" i="15"/>
  <c r="D147" i="15"/>
  <c r="M139" i="15"/>
  <c r="D139" i="15"/>
  <c r="M131" i="15"/>
  <c r="D131" i="15"/>
  <c r="M112" i="15"/>
  <c r="D112" i="15"/>
  <c r="M30" i="15"/>
  <c r="D30" i="15"/>
  <c r="M38" i="15"/>
  <c r="D38" i="15"/>
  <c r="M153" i="15"/>
  <c r="D153" i="15"/>
  <c r="M145" i="15"/>
  <c r="D145" i="15"/>
  <c r="M137" i="15"/>
  <c r="D137" i="15"/>
  <c r="M129" i="15"/>
  <c r="D129" i="15"/>
  <c r="M108" i="15"/>
  <c r="D108" i="15"/>
  <c r="M151" i="15"/>
  <c r="D151" i="15"/>
  <c r="M143" i="15"/>
  <c r="D143" i="15"/>
  <c r="M135" i="15"/>
  <c r="D135" i="15"/>
  <c r="M127" i="15"/>
  <c r="D127" i="15"/>
  <c r="M104" i="15"/>
  <c r="D104" i="15"/>
  <c r="M22" i="15"/>
  <c r="D22" i="15"/>
  <c r="M34" i="15"/>
  <c r="D34" i="15"/>
  <c r="M65" i="15"/>
  <c r="D65" i="15"/>
  <c r="M49" i="15"/>
  <c r="D49" i="15"/>
  <c r="M57" i="15"/>
  <c r="D57" i="15"/>
  <c r="M115" i="15"/>
  <c r="D115" i="15"/>
  <c r="M114" i="15"/>
  <c r="D114" i="15"/>
  <c r="M117" i="15"/>
  <c r="D117" i="15"/>
  <c r="M142" i="15"/>
  <c r="D142" i="15"/>
  <c r="M27" i="15"/>
  <c r="D27" i="15"/>
  <c r="M113" i="15"/>
  <c r="D113" i="15"/>
  <c r="M140" i="15"/>
  <c r="D140" i="15"/>
  <c r="M63" i="15"/>
  <c r="D63" i="15"/>
  <c r="M47" i="15"/>
  <c r="D47" i="15"/>
  <c r="M55" i="15"/>
  <c r="D55" i="15"/>
  <c r="M111" i="15"/>
  <c r="D111" i="15"/>
  <c r="M110" i="15"/>
  <c r="D110" i="15"/>
  <c r="M25" i="15"/>
  <c r="D25" i="15"/>
  <c r="M109" i="15"/>
  <c r="D109" i="15"/>
  <c r="M138" i="15"/>
  <c r="D138" i="15"/>
  <c r="M23" i="15"/>
  <c r="D23" i="15"/>
  <c r="M105" i="15"/>
  <c r="D105" i="15"/>
  <c r="M136" i="15"/>
  <c r="D136" i="15"/>
  <c r="M61" i="15"/>
  <c r="D61" i="15"/>
  <c r="M45" i="15"/>
  <c r="D45" i="15"/>
  <c r="M53" i="15"/>
  <c r="D53" i="15"/>
  <c r="M107" i="15"/>
  <c r="D107" i="15"/>
  <c r="M59" i="15"/>
  <c r="D59" i="15"/>
  <c r="M43" i="15"/>
  <c r="D43" i="15"/>
  <c r="M51" i="15"/>
  <c r="D51" i="15"/>
  <c r="M103" i="15"/>
  <c r="D103" i="15"/>
  <c r="M106" i="15"/>
  <c r="D106" i="15"/>
  <c r="M102" i="15"/>
  <c r="D102" i="15"/>
  <c r="M119" i="15"/>
  <c r="M120" i="15"/>
  <c r="M60" i="15"/>
  <c r="M58" i="15"/>
  <c r="M62" i="15"/>
  <c r="M64" i="15"/>
  <c r="M126" i="15"/>
  <c r="M124" i="15"/>
  <c r="M123" i="15"/>
  <c r="M122" i="15"/>
  <c r="M118" i="15"/>
  <c r="M46" i="15"/>
  <c r="M48" i="15"/>
  <c r="M44" i="15"/>
  <c r="M42" i="15"/>
  <c r="M8" i="15"/>
  <c r="M6" i="15"/>
  <c r="D119" i="15"/>
  <c r="D120" i="15"/>
  <c r="D60" i="15"/>
  <c r="D58" i="15"/>
  <c r="D62" i="15"/>
  <c r="D64" i="15"/>
  <c r="D126" i="15"/>
  <c r="D124" i="15"/>
  <c r="D123" i="15"/>
  <c r="D122" i="15"/>
  <c r="D118" i="15"/>
  <c r="D46" i="15"/>
  <c r="D48" i="15"/>
  <c r="D44" i="15"/>
  <c r="D42" i="15"/>
  <c r="D8" i="15"/>
  <c r="D6" i="15"/>
  <c r="C521" i="15"/>
  <c r="C522" i="15"/>
  <c r="C523" i="15"/>
  <c r="C524" i="15"/>
  <c r="AQ1083" i="15"/>
  <c r="AC1083" i="15"/>
  <c r="AA1083" i="15"/>
  <c r="Z1083" i="15"/>
  <c r="Y1083" i="15"/>
  <c r="W1083" i="15"/>
  <c r="U1083" i="15"/>
  <c r="T1083" i="15"/>
  <c r="S1083" i="15"/>
  <c r="M1083" i="15"/>
  <c r="Q1083" i="15"/>
  <c r="P1083" i="15"/>
  <c r="O1083" i="15"/>
  <c r="N1083" i="15"/>
  <c r="H1083" i="15"/>
  <c r="L1083" i="15"/>
  <c r="K1083" i="15"/>
  <c r="J1083" i="15"/>
  <c r="I1083" i="15"/>
  <c r="D1083" i="15"/>
  <c r="G1083" i="15"/>
  <c r="F1083" i="15"/>
  <c r="E1083" i="15"/>
  <c r="C1083" i="15"/>
  <c r="AQ1082" i="15"/>
  <c r="AC1082" i="15"/>
  <c r="AA1082" i="15"/>
  <c r="Z1082" i="15"/>
  <c r="Y1082" i="15"/>
  <c r="W1082" i="15"/>
  <c r="U1082" i="15"/>
  <c r="T1082" i="15"/>
  <c r="S1082" i="15"/>
  <c r="M1082" i="15"/>
  <c r="Q1082" i="15"/>
  <c r="P1082" i="15"/>
  <c r="O1082" i="15"/>
  <c r="N1082" i="15"/>
  <c r="H1082" i="15"/>
  <c r="L1082" i="15"/>
  <c r="K1082" i="15"/>
  <c r="J1082" i="15"/>
  <c r="I1082" i="15"/>
  <c r="D1082" i="15"/>
  <c r="G1082" i="15"/>
  <c r="F1082" i="15"/>
  <c r="E1082" i="15"/>
  <c r="C1082" i="15"/>
  <c r="AQ1081" i="15"/>
  <c r="AC1081" i="15"/>
  <c r="AA1081" i="15"/>
  <c r="Z1081" i="15"/>
  <c r="Y1081" i="15"/>
  <c r="W1081" i="15"/>
  <c r="U1081" i="15"/>
  <c r="T1081" i="15"/>
  <c r="S1081" i="15"/>
  <c r="M1081" i="15"/>
  <c r="Q1081" i="15"/>
  <c r="P1081" i="15"/>
  <c r="O1081" i="15"/>
  <c r="N1081" i="15"/>
  <c r="H1081" i="15"/>
  <c r="L1081" i="15"/>
  <c r="K1081" i="15"/>
  <c r="J1081" i="15"/>
  <c r="I1081" i="15"/>
  <c r="D1081" i="15"/>
  <c r="G1081" i="15"/>
  <c r="F1081" i="15"/>
  <c r="E1081" i="15"/>
  <c r="C1081" i="15"/>
  <c r="AQ1080" i="15"/>
  <c r="AC1080" i="15"/>
  <c r="AA1080" i="15"/>
  <c r="Z1080" i="15"/>
  <c r="Y1080" i="15"/>
  <c r="W1080" i="15"/>
  <c r="U1080" i="15"/>
  <c r="T1080" i="15"/>
  <c r="S1080" i="15"/>
  <c r="M1080" i="15"/>
  <c r="Q1080" i="15"/>
  <c r="P1080" i="15"/>
  <c r="O1080" i="15"/>
  <c r="N1080" i="15"/>
  <c r="H1080" i="15"/>
  <c r="L1080" i="15"/>
  <c r="K1080" i="15"/>
  <c r="J1080" i="15"/>
  <c r="I1080" i="15"/>
  <c r="D1080" i="15"/>
  <c r="G1080" i="15"/>
  <c r="F1080" i="15"/>
  <c r="E1080" i="15"/>
  <c r="C1080" i="15"/>
  <c r="C1056" i="15"/>
  <c r="X1056" i="15"/>
  <c r="Z1056" i="15"/>
  <c r="H1056" i="15"/>
  <c r="K1056" i="15"/>
  <c r="M1056" i="15"/>
  <c r="P1056" i="15"/>
  <c r="D1056" i="15"/>
  <c r="F1056" i="15"/>
  <c r="T1056" i="15"/>
  <c r="Y1056" i="15"/>
  <c r="J1056" i="15"/>
  <c r="O1056" i="15"/>
  <c r="E1056" i="15"/>
  <c r="S1056" i="15"/>
  <c r="C805" i="15"/>
  <c r="X805" i="15"/>
  <c r="Z805" i="15"/>
  <c r="H805" i="15"/>
  <c r="K805" i="15"/>
  <c r="M805" i="15"/>
  <c r="P805" i="15"/>
  <c r="D805" i="15"/>
  <c r="F805" i="15"/>
  <c r="T805" i="15"/>
  <c r="Y805" i="15"/>
  <c r="J805" i="15"/>
  <c r="O805" i="15"/>
  <c r="E805" i="15"/>
  <c r="S805" i="15"/>
  <c r="C799" i="15"/>
  <c r="X799" i="15"/>
  <c r="Z799" i="15"/>
  <c r="H799" i="15"/>
  <c r="K799" i="15"/>
  <c r="M799" i="15"/>
  <c r="P799" i="15"/>
  <c r="D799" i="15"/>
  <c r="F799" i="15"/>
  <c r="T799" i="15"/>
  <c r="Y799" i="15"/>
  <c r="J799" i="15"/>
  <c r="O799" i="15"/>
  <c r="E799" i="15"/>
  <c r="S799" i="15"/>
  <c r="D331" i="15"/>
  <c r="M331" i="15"/>
  <c r="H331" i="15"/>
  <c r="J331" i="15"/>
  <c r="O331" i="15"/>
  <c r="E331" i="15"/>
  <c r="S331" i="15"/>
  <c r="K331" i="15"/>
  <c r="P331" i="15"/>
  <c r="F331" i="15"/>
  <c r="T331" i="15"/>
  <c r="D446" i="15"/>
  <c r="M446" i="15"/>
  <c r="H446" i="15"/>
  <c r="J446" i="15"/>
  <c r="O446" i="15"/>
  <c r="E446" i="15"/>
  <c r="C1483" i="15"/>
  <c r="X1483" i="15"/>
  <c r="Y1483" i="15"/>
  <c r="H1483" i="15"/>
  <c r="J1483" i="15"/>
  <c r="M1483" i="15"/>
  <c r="O1483" i="15"/>
  <c r="D1483" i="15"/>
  <c r="E1483" i="15"/>
  <c r="S1483" i="15"/>
  <c r="K446" i="15"/>
  <c r="P446" i="15"/>
  <c r="F446" i="15"/>
  <c r="Z1483" i="15"/>
  <c r="K1483" i="15"/>
  <c r="P1483" i="15"/>
  <c r="F1483" i="15"/>
  <c r="T1483" i="15"/>
  <c r="D447" i="15"/>
  <c r="M447" i="15"/>
  <c r="H447" i="15"/>
  <c r="J447" i="15"/>
  <c r="O447" i="15"/>
  <c r="E447" i="15"/>
  <c r="C1484" i="15"/>
  <c r="X1484" i="15"/>
  <c r="Y1484" i="15"/>
  <c r="H1484" i="15"/>
  <c r="J1484" i="15"/>
  <c r="M1484" i="15"/>
  <c r="O1484" i="15"/>
  <c r="D1484" i="15"/>
  <c r="E1484" i="15"/>
  <c r="S1484" i="15"/>
  <c r="K447" i="15"/>
  <c r="P447" i="15"/>
  <c r="F447" i="15"/>
  <c r="Z1484" i="15"/>
  <c r="K1484" i="15"/>
  <c r="P1484" i="15"/>
  <c r="F1484" i="15"/>
  <c r="T1484" i="15"/>
  <c r="D448" i="15"/>
  <c r="M448" i="15"/>
  <c r="H448" i="15"/>
  <c r="J448" i="15"/>
  <c r="O448" i="15"/>
  <c r="E448" i="15"/>
  <c r="C1485" i="15"/>
  <c r="X1485" i="15"/>
  <c r="Y1485" i="15"/>
  <c r="H1485" i="15"/>
  <c r="J1485" i="15"/>
  <c r="M1485" i="15"/>
  <c r="O1485" i="15"/>
  <c r="D1485" i="15"/>
  <c r="E1485" i="15"/>
  <c r="S1485" i="15"/>
  <c r="K448" i="15"/>
  <c r="P448" i="15"/>
  <c r="F448" i="15"/>
  <c r="Z1485" i="15"/>
  <c r="K1485" i="15"/>
  <c r="P1485" i="15"/>
  <c r="F1485" i="15"/>
  <c r="T1485" i="15"/>
  <c r="D81" i="15"/>
  <c r="M81" i="15"/>
  <c r="H81" i="15"/>
  <c r="J81" i="15"/>
  <c r="O81" i="15"/>
  <c r="E81" i="15"/>
  <c r="K81" i="15"/>
  <c r="P81" i="15"/>
  <c r="F81" i="15"/>
  <c r="D322" i="15"/>
  <c r="M322" i="15"/>
  <c r="C322" i="15"/>
  <c r="X322" i="15"/>
  <c r="Y322" i="15"/>
  <c r="H322" i="15"/>
  <c r="J322" i="15"/>
  <c r="O322" i="15"/>
  <c r="E322" i="15"/>
  <c r="S322" i="15"/>
  <c r="Z322" i="15"/>
  <c r="K322" i="15"/>
  <c r="P322" i="15"/>
  <c r="F322" i="15"/>
  <c r="T322" i="15"/>
  <c r="D169" i="15"/>
  <c r="M169" i="15"/>
  <c r="H169" i="15"/>
  <c r="J169" i="15"/>
  <c r="O169" i="15"/>
  <c r="E169" i="15"/>
  <c r="Y169" i="15"/>
  <c r="S169" i="15"/>
  <c r="K169" i="15"/>
  <c r="P169" i="15"/>
  <c r="F169" i="15"/>
  <c r="Z169" i="15"/>
  <c r="T169" i="15"/>
  <c r="D445" i="15"/>
  <c r="M445" i="15"/>
  <c r="H445" i="15"/>
  <c r="J445" i="15"/>
  <c r="O445" i="15"/>
  <c r="E445" i="15"/>
  <c r="C1482" i="15"/>
  <c r="X1482" i="15"/>
  <c r="Y1482" i="15"/>
  <c r="H1482" i="15"/>
  <c r="J1482" i="15"/>
  <c r="M1482" i="15"/>
  <c r="O1482" i="15"/>
  <c r="D1482" i="15"/>
  <c r="E1482" i="15"/>
  <c r="S1482" i="15"/>
  <c r="K445" i="15"/>
  <c r="P445" i="15"/>
  <c r="F445" i="15"/>
  <c r="Z1482" i="15"/>
  <c r="K1482" i="15"/>
  <c r="P1482" i="15"/>
  <c r="F1482" i="15"/>
  <c r="T1482" i="15"/>
  <c r="C806" i="15"/>
  <c r="X806" i="15"/>
  <c r="Z806" i="15"/>
  <c r="H806" i="15"/>
  <c r="K806" i="15"/>
  <c r="M806" i="15"/>
  <c r="P806" i="15"/>
  <c r="D806" i="15"/>
  <c r="F806" i="15"/>
  <c r="T806" i="15"/>
  <c r="Y806" i="15"/>
  <c r="J806" i="15"/>
  <c r="O806" i="15"/>
  <c r="E806" i="15"/>
  <c r="S806" i="15"/>
  <c r="Z81" i="15"/>
  <c r="T81" i="15"/>
  <c r="Y81" i="15"/>
  <c r="S81" i="15"/>
  <c r="C412" i="15"/>
  <c r="X412" i="15"/>
  <c r="Z412" i="15"/>
  <c r="H412" i="15"/>
  <c r="K412" i="15"/>
  <c r="M412" i="15"/>
  <c r="P412" i="15"/>
  <c r="D412" i="15"/>
  <c r="F412" i="15"/>
  <c r="Y412" i="15"/>
  <c r="J412" i="15"/>
  <c r="O412" i="15"/>
  <c r="E412" i="15"/>
  <c r="C380" i="15"/>
  <c r="X380" i="15"/>
  <c r="Z380" i="15"/>
  <c r="H380" i="15"/>
  <c r="K380" i="15"/>
  <c r="M380" i="15"/>
  <c r="P380" i="15"/>
  <c r="D380" i="15"/>
  <c r="F380" i="15"/>
  <c r="Y380" i="15"/>
  <c r="J380" i="15"/>
  <c r="O380" i="15"/>
  <c r="E380" i="15"/>
  <c r="D839" i="15"/>
  <c r="M839" i="15"/>
  <c r="C839" i="15"/>
  <c r="X839" i="15"/>
  <c r="Y839" i="15"/>
  <c r="H839" i="15"/>
  <c r="J839" i="15"/>
  <c r="O839" i="15"/>
  <c r="E839" i="15"/>
  <c r="Z839" i="15"/>
  <c r="K839" i="15"/>
  <c r="P839" i="15"/>
  <c r="F839" i="15"/>
  <c r="C3" i="15"/>
  <c r="G3" i="15"/>
  <c r="I3" i="15"/>
  <c r="L3" i="15"/>
  <c r="N3" i="15"/>
  <c r="Q3" i="15"/>
  <c r="C4" i="15"/>
  <c r="G4" i="15"/>
  <c r="I4" i="15"/>
  <c r="L4" i="15"/>
  <c r="N4" i="15"/>
  <c r="Q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C6" i="15"/>
  <c r="E6" i="15"/>
  <c r="F6" i="15"/>
  <c r="G6" i="15"/>
  <c r="H6" i="15"/>
  <c r="I6" i="15"/>
  <c r="J6" i="15"/>
  <c r="K6" i="15"/>
  <c r="L6" i="15"/>
  <c r="N6" i="15"/>
  <c r="O6" i="15"/>
  <c r="P6" i="15"/>
  <c r="Q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C8" i="15"/>
  <c r="E8" i="15"/>
  <c r="F8" i="15"/>
  <c r="G8" i="15"/>
  <c r="H8" i="15"/>
  <c r="I8" i="15"/>
  <c r="J8" i="15"/>
  <c r="K8" i="15"/>
  <c r="L8" i="15"/>
  <c r="N8" i="15"/>
  <c r="O8" i="15"/>
  <c r="P8" i="15"/>
  <c r="Q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C22" i="15"/>
  <c r="E22" i="15"/>
  <c r="F22" i="15"/>
  <c r="G22" i="15"/>
  <c r="H22" i="15"/>
  <c r="I22" i="15"/>
  <c r="J22" i="15"/>
  <c r="K22" i="15"/>
  <c r="L22" i="15"/>
  <c r="N22" i="15"/>
  <c r="O22" i="15"/>
  <c r="P22" i="15"/>
  <c r="Q22" i="15"/>
  <c r="C23" i="15"/>
  <c r="E23" i="15"/>
  <c r="F23" i="15"/>
  <c r="G23" i="15"/>
  <c r="H23" i="15"/>
  <c r="I23" i="15"/>
  <c r="J23" i="15"/>
  <c r="K23" i="15"/>
  <c r="L23" i="15"/>
  <c r="N23" i="15"/>
  <c r="O23" i="15"/>
  <c r="P23" i="15"/>
  <c r="Q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C25" i="15"/>
  <c r="E25" i="15"/>
  <c r="F25" i="15"/>
  <c r="G25" i="15"/>
  <c r="H25" i="15"/>
  <c r="I25" i="15"/>
  <c r="J25" i="15"/>
  <c r="K25" i="15"/>
  <c r="L25" i="15"/>
  <c r="N25" i="15"/>
  <c r="O25" i="15"/>
  <c r="P25" i="15"/>
  <c r="Q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C27" i="15"/>
  <c r="E27" i="15"/>
  <c r="F27" i="15"/>
  <c r="G27" i="15"/>
  <c r="H27" i="15"/>
  <c r="I27" i="15"/>
  <c r="J27" i="15"/>
  <c r="K27" i="15"/>
  <c r="L27" i="15"/>
  <c r="N27" i="15"/>
  <c r="O27" i="15"/>
  <c r="P27" i="15"/>
  <c r="Q27" i="15"/>
  <c r="C28" i="15"/>
  <c r="E28" i="15"/>
  <c r="F28" i="15"/>
  <c r="G28" i="15"/>
  <c r="H28" i="15"/>
  <c r="I28" i="15"/>
  <c r="J28" i="15"/>
  <c r="K28" i="15"/>
  <c r="L28" i="15"/>
  <c r="N28" i="15"/>
  <c r="O28" i="15"/>
  <c r="P28" i="15"/>
  <c r="Q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C30" i="15"/>
  <c r="E30" i="15"/>
  <c r="F30" i="15"/>
  <c r="G30" i="15"/>
  <c r="H30" i="15"/>
  <c r="I30" i="15"/>
  <c r="J30" i="15"/>
  <c r="K30" i="15"/>
  <c r="L30" i="15"/>
  <c r="N30" i="15"/>
  <c r="O30" i="15"/>
  <c r="P30" i="15"/>
  <c r="Q30" i="15"/>
  <c r="C31" i="15"/>
  <c r="E31" i="15"/>
  <c r="F31" i="15"/>
  <c r="G31" i="15"/>
  <c r="H31" i="15"/>
  <c r="I31" i="15"/>
  <c r="J31" i="15"/>
  <c r="K31" i="15"/>
  <c r="L31" i="15"/>
  <c r="N31" i="15"/>
  <c r="O31" i="15"/>
  <c r="P31" i="15"/>
  <c r="Q31" i="15"/>
  <c r="C32" i="15"/>
  <c r="E32" i="15"/>
  <c r="F32" i="15"/>
  <c r="G32" i="15"/>
  <c r="H32" i="15"/>
  <c r="I32" i="15"/>
  <c r="J32" i="15"/>
  <c r="K32" i="15"/>
  <c r="L32" i="15"/>
  <c r="N32" i="15"/>
  <c r="O32" i="15"/>
  <c r="P32" i="15"/>
  <c r="Q32" i="15"/>
  <c r="C33" i="15"/>
  <c r="E33" i="15"/>
  <c r="F33" i="15"/>
  <c r="G33" i="15"/>
  <c r="H33" i="15"/>
  <c r="I33" i="15"/>
  <c r="J33" i="15"/>
  <c r="K33" i="15"/>
  <c r="L33" i="15"/>
  <c r="N33" i="15"/>
  <c r="O33" i="15"/>
  <c r="P33" i="15"/>
  <c r="Q33" i="15"/>
  <c r="C34" i="15"/>
  <c r="E34" i="15"/>
  <c r="F34" i="15"/>
  <c r="G34" i="15"/>
  <c r="H34" i="15"/>
  <c r="I34" i="15"/>
  <c r="J34" i="15"/>
  <c r="K34" i="15"/>
  <c r="L34" i="15"/>
  <c r="N34" i="15"/>
  <c r="O34" i="15"/>
  <c r="P34" i="15"/>
  <c r="Q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C36" i="15"/>
  <c r="E36" i="15"/>
  <c r="F36" i="15"/>
  <c r="G36" i="15"/>
  <c r="H36" i="15"/>
  <c r="I36" i="15"/>
  <c r="J36" i="15"/>
  <c r="K36" i="15"/>
  <c r="L36" i="15"/>
  <c r="N36" i="15"/>
  <c r="O36" i="15"/>
  <c r="P36" i="15"/>
  <c r="Q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C38" i="15"/>
  <c r="E38" i="15"/>
  <c r="F38" i="15"/>
  <c r="G38" i="15"/>
  <c r="H38" i="15"/>
  <c r="I38" i="15"/>
  <c r="J38" i="15"/>
  <c r="K38" i="15"/>
  <c r="L38" i="15"/>
  <c r="N38" i="15"/>
  <c r="O38" i="15"/>
  <c r="P38" i="15"/>
  <c r="Q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C40" i="15"/>
  <c r="E40" i="15"/>
  <c r="F40" i="15"/>
  <c r="G40" i="15"/>
  <c r="H40" i="15"/>
  <c r="I40" i="15"/>
  <c r="J40" i="15"/>
  <c r="K40" i="15"/>
  <c r="L40" i="15"/>
  <c r="N40" i="15"/>
  <c r="O40" i="15"/>
  <c r="P40" i="15"/>
  <c r="Q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C42" i="15"/>
  <c r="E42" i="15"/>
  <c r="F42" i="15"/>
  <c r="G42" i="15"/>
  <c r="H42" i="15"/>
  <c r="I42" i="15"/>
  <c r="J42" i="15"/>
  <c r="K42" i="15"/>
  <c r="L42" i="15"/>
  <c r="N42" i="15"/>
  <c r="O42" i="15"/>
  <c r="P42" i="15"/>
  <c r="Q42" i="15"/>
  <c r="C43" i="15"/>
  <c r="E43" i="15"/>
  <c r="F43" i="15"/>
  <c r="G43" i="15"/>
  <c r="H43" i="15"/>
  <c r="I43" i="15"/>
  <c r="J43" i="15"/>
  <c r="K43" i="15"/>
  <c r="L43" i="15"/>
  <c r="N43" i="15"/>
  <c r="O43" i="15"/>
  <c r="P43" i="15"/>
  <c r="Q43" i="15"/>
  <c r="C44" i="15"/>
  <c r="E44" i="15"/>
  <c r="F44" i="15"/>
  <c r="G44" i="15"/>
  <c r="H44" i="15"/>
  <c r="I44" i="15"/>
  <c r="J44" i="15"/>
  <c r="K44" i="15"/>
  <c r="L44" i="15"/>
  <c r="N44" i="15"/>
  <c r="O44" i="15"/>
  <c r="P44" i="15"/>
  <c r="Q44" i="15"/>
  <c r="C45" i="15"/>
  <c r="E45" i="15"/>
  <c r="F45" i="15"/>
  <c r="G45" i="15"/>
  <c r="H45" i="15"/>
  <c r="I45" i="15"/>
  <c r="J45" i="15"/>
  <c r="K45" i="15"/>
  <c r="L45" i="15"/>
  <c r="N45" i="15"/>
  <c r="O45" i="15"/>
  <c r="P45" i="15"/>
  <c r="Q45" i="15"/>
  <c r="C46" i="15"/>
  <c r="E46" i="15"/>
  <c r="F46" i="15"/>
  <c r="G46" i="15"/>
  <c r="H46" i="15"/>
  <c r="I46" i="15"/>
  <c r="J46" i="15"/>
  <c r="K46" i="15"/>
  <c r="L46" i="15"/>
  <c r="N46" i="15"/>
  <c r="O46" i="15"/>
  <c r="P46" i="15"/>
  <c r="Q46" i="15"/>
  <c r="C47" i="15"/>
  <c r="E47" i="15"/>
  <c r="F47" i="15"/>
  <c r="G47" i="15"/>
  <c r="H47" i="15"/>
  <c r="I47" i="15"/>
  <c r="J47" i="15"/>
  <c r="K47" i="15"/>
  <c r="L47" i="15"/>
  <c r="N47" i="15"/>
  <c r="O47" i="15"/>
  <c r="P47" i="15"/>
  <c r="Q47" i="15"/>
  <c r="C48" i="15"/>
  <c r="E48" i="15"/>
  <c r="F48" i="15"/>
  <c r="G48" i="15"/>
  <c r="H48" i="15"/>
  <c r="I48" i="15"/>
  <c r="J48" i="15"/>
  <c r="K48" i="15"/>
  <c r="L48" i="15"/>
  <c r="N48" i="15"/>
  <c r="O48" i="15"/>
  <c r="P48" i="15"/>
  <c r="Q48" i="15"/>
  <c r="C49" i="15"/>
  <c r="E49" i="15"/>
  <c r="F49" i="15"/>
  <c r="G49" i="15"/>
  <c r="H49" i="15"/>
  <c r="I49" i="15"/>
  <c r="J49" i="15"/>
  <c r="K49" i="15"/>
  <c r="L49" i="15"/>
  <c r="N49" i="15"/>
  <c r="O49" i="15"/>
  <c r="P49" i="15"/>
  <c r="Q49" i="15"/>
  <c r="C50" i="15"/>
  <c r="G50" i="15"/>
  <c r="I50" i="15"/>
  <c r="L50" i="15"/>
  <c r="N50" i="15"/>
  <c r="Q50" i="15"/>
  <c r="C51" i="15"/>
  <c r="E51" i="15"/>
  <c r="F51" i="15"/>
  <c r="G51" i="15"/>
  <c r="H51" i="15"/>
  <c r="I51" i="15"/>
  <c r="J51" i="15"/>
  <c r="K51" i="15"/>
  <c r="L51" i="15"/>
  <c r="N51" i="15"/>
  <c r="O51" i="15"/>
  <c r="P51" i="15"/>
  <c r="Q51" i="15"/>
  <c r="C52" i="15"/>
  <c r="G52" i="15"/>
  <c r="I52" i="15"/>
  <c r="L52" i="15"/>
  <c r="N52" i="15"/>
  <c r="Q52" i="15"/>
  <c r="C53" i="15"/>
  <c r="E53" i="15"/>
  <c r="F53" i="15"/>
  <c r="G53" i="15"/>
  <c r="H53" i="15"/>
  <c r="I53" i="15"/>
  <c r="J53" i="15"/>
  <c r="K53" i="15"/>
  <c r="L53" i="15"/>
  <c r="N53" i="15"/>
  <c r="O53" i="15"/>
  <c r="P53" i="15"/>
  <c r="Q53" i="15"/>
  <c r="C54" i="15"/>
  <c r="G54" i="15"/>
  <c r="I54" i="15"/>
  <c r="L54" i="15"/>
  <c r="N54" i="15"/>
  <c r="Q54" i="15"/>
  <c r="C55" i="15"/>
  <c r="E55" i="15"/>
  <c r="F55" i="15"/>
  <c r="G55" i="15"/>
  <c r="H55" i="15"/>
  <c r="I55" i="15"/>
  <c r="J55" i="15"/>
  <c r="K55" i="15"/>
  <c r="L55" i="15"/>
  <c r="N55" i="15"/>
  <c r="O55" i="15"/>
  <c r="P55" i="15"/>
  <c r="Q55" i="15"/>
  <c r="C56" i="15"/>
  <c r="G56" i="15"/>
  <c r="I56" i="15"/>
  <c r="L56" i="15"/>
  <c r="N56" i="15"/>
  <c r="Q56" i="15"/>
  <c r="C57" i="15"/>
  <c r="E57" i="15"/>
  <c r="F57" i="15"/>
  <c r="G57" i="15"/>
  <c r="H57" i="15"/>
  <c r="I57" i="15"/>
  <c r="J57" i="15"/>
  <c r="K57" i="15"/>
  <c r="L57" i="15"/>
  <c r="N57" i="15"/>
  <c r="O57" i="15"/>
  <c r="P57" i="15"/>
  <c r="Q57" i="15"/>
  <c r="C58" i="15"/>
  <c r="E58" i="15"/>
  <c r="F58" i="15"/>
  <c r="G58" i="15"/>
  <c r="H58" i="15"/>
  <c r="I58" i="15"/>
  <c r="J58" i="15"/>
  <c r="K58" i="15"/>
  <c r="L58" i="15"/>
  <c r="N58" i="15"/>
  <c r="O58" i="15"/>
  <c r="P58" i="15"/>
  <c r="Q58" i="15"/>
  <c r="C59" i="15"/>
  <c r="E59" i="15"/>
  <c r="F59" i="15"/>
  <c r="G59" i="15"/>
  <c r="H59" i="15"/>
  <c r="I59" i="15"/>
  <c r="J59" i="15"/>
  <c r="K59" i="15"/>
  <c r="L59" i="15"/>
  <c r="N59" i="15"/>
  <c r="O59" i="15"/>
  <c r="P59" i="15"/>
  <c r="Q59" i="15"/>
  <c r="C60" i="15"/>
  <c r="E60" i="15"/>
  <c r="F60" i="15"/>
  <c r="G60" i="15"/>
  <c r="H60" i="15"/>
  <c r="I60" i="15"/>
  <c r="J60" i="15"/>
  <c r="K60" i="15"/>
  <c r="L60" i="15"/>
  <c r="N60" i="15"/>
  <c r="O60" i="15"/>
  <c r="P60" i="15"/>
  <c r="Q60" i="15"/>
  <c r="C61" i="15"/>
  <c r="E61" i="15"/>
  <c r="F61" i="15"/>
  <c r="G61" i="15"/>
  <c r="H61" i="15"/>
  <c r="I61" i="15"/>
  <c r="J61" i="15"/>
  <c r="K61" i="15"/>
  <c r="L61" i="15"/>
  <c r="N61" i="15"/>
  <c r="O61" i="15"/>
  <c r="P61" i="15"/>
  <c r="Q61" i="15"/>
  <c r="C62" i="15"/>
  <c r="E62" i="15"/>
  <c r="F62" i="15"/>
  <c r="G62" i="15"/>
  <c r="H62" i="15"/>
  <c r="I62" i="15"/>
  <c r="J62" i="15"/>
  <c r="K62" i="15"/>
  <c r="L62" i="15"/>
  <c r="N62" i="15"/>
  <c r="O62" i="15"/>
  <c r="P62" i="15"/>
  <c r="Q62" i="15"/>
  <c r="C63" i="15"/>
  <c r="E63" i="15"/>
  <c r="F63" i="15"/>
  <c r="G63" i="15"/>
  <c r="H63" i="15"/>
  <c r="I63" i="15"/>
  <c r="J63" i="15"/>
  <c r="K63" i="15"/>
  <c r="L63" i="15"/>
  <c r="N63" i="15"/>
  <c r="O63" i="15"/>
  <c r="P63" i="15"/>
  <c r="Q63" i="15"/>
  <c r="C64" i="15"/>
  <c r="E64" i="15"/>
  <c r="F64" i="15"/>
  <c r="G64" i="15"/>
  <c r="H64" i="15"/>
  <c r="I64" i="15"/>
  <c r="J64" i="15"/>
  <c r="K64" i="15"/>
  <c r="L64" i="15"/>
  <c r="N64" i="15"/>
  <c r="O64" i="15"/>
  <c r="P64" i="15"/>
  <c r="Q64" i="15"/>
  <c r="C65" i="15"/>
  <c r="E65" i="15"/>
  <c r="F65" i="15"/>
  <c r="G65" i="15"/>
  <c r="H65" i="15"/>
  <c r="I65" i="15"/>
  <c r="J65" i="15"/>
  <c r="K65" i="15"/>
  <c r="L65" i="15"/>
  <c r="N65" i="15"/>
  <c r="O65" i="15"/>
  <c r="P65" i="15"/>
  <c r="Q65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C81" i="15"/>
  <c r="G81" i="15"/>
  <c r="I81" i="15"/>
  <c r="L81" i="15"/>
  <c r="N81" i="15"/>
  <c r="Q81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C91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C92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C93" i="15"/>
  <c r="G93" i="15"/>
  <c r="I93" i="15"/>
  <c r="L93" i="15"/>
  <c r="N93" i="15"/>
  <c r="Q93" i="15"/>
  <c r="C94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C95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C96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C97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C98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C99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C100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C102" i="15"/>
  <c r="E102" i="15"/>
  <c r="F102" i="15"/>
  <c r="G102" i="15"/>
  <c r="H102" i="15"/>
  <c r="I102" i="15"/>
  <c r="J102" i="15"/>
  <c r="K102" i="15"/>
  <c r="L102" i="15"/>
  <c r="N102" i="15"/>
  <c r="O102" i="15"/>
  <c r="P102" i="15"/>
  <c r="Q102" i="15"/>
  <c r="C103" i="15"/>
  <c r="E103" i="15"/>
  <c r="F103" i="15"/>
  <c r="G103" i="15"/>
  <c r="H103" i="15"/>
  <c r="I103" i="15"/>
  <c r="J103" i="15"/>
  <c r="K103" i="15"/>
  <c r="L103" i="15"/>
  <c r="N103" i="15"/>
  <c r="O103" i="15"/>
  <c r="P103" i="15"/>
  <c r="Q103" i="15"/>
  <c r="C104" i="15"/>
  <c r="E104" i="15"/>
  <c r="F104" i="15"/>
  <c r="G104" i="15"/>
  <c r="H104" i="15"/>
  <c r="I104" i="15"/>
  <c r="J104" i="15"/>
  <c r="K104" i="15"/>
  <c r="L104" i="15"/>
  <c r="N104" i="15"/>
  <c r="O104" i="15"/>
  <c r="P104" i="15"/>
  <c r="Q104" i="15"/>
  <c r="C105" i="15"/>
  <c r="E105" i="15"/>
  <c r="F105" i="15"/>
  <c r="G105" i="15"/>
  <c r="H105" i="15"/>
  <c r="I105" i="15"/>
  <c r="J105" i="15"/>
  <c r="K105" i="15"/>
  <c r="L105" i="15"/>
  <c r="N105" i="15"/>
  <c r="O105" i="15"/>
  <c r="P105" i="15"/>
  <c r="Q105" i="15"/>
  <c r="C106" i="15"/>
  <c r="E106" i="15"/>
  <c r="F106" i="15"/>
  <c r="G106" i="15"/>
  <c r="H106" i="15"/>
  <c r="I106" i="15"/>
  <c r="J106" i="15"/>
  <c r="K106" i="15"/>
  <c r="L106" i="15"/>
  <c r="N106" i="15"/>
  <c r="O106" i="15"/>
  <c r="P106" i="15"/>
  <c r="Q106" i="15"/>
  <c r="C107" i="15"/>
  <c r="E107" i="15"/>
  <c r="F107" i="15"/>
  <c r="G107" i="15"/>
  <c r="H107" i="15"/>
  <c r="I107" i="15"/>
  <c r="J107" i="15"/>
  <c r="K107" i="15"/>
  <c r="L107" i="15"/>
  <c r="N107" i="15"/>
  <c r="O107" i="15"/>
  <c r="P107" i="15"/>
  <c r="Q107" i="15"/>
  <c r="C108" i="15"/>
  <c r="E108" i="15"/>
  <c r="F108" i="15"/>
  <c r="G108" i="15"/>
  <c r="H108" i="15"/>
  <c r="I108" i="15"/>
  <c r="J108" i="15"/>
  <c r="K108" i="15"/>
  <c r="L108" i="15"/>
  <c r="N108" i="15"/>
  <c r="O108" i="15"/>
  <c r="P108" i="15"/>
  <c r="Q108" i="15"/>
  <c r="C109" i="15"/>
  <c r="E109" i="15"/>
  <c r="F109" i="15"/>
  <c r="G109" i="15"/>
  <c r="H109" i="15"/>
  <c r="I109" i="15"/>
  <c r="J109" i="15"/>
  <c r="K109" i="15"/>
  <c r="L109" i="15"/>
  <c r="N109" i="15"/>
  <c r="O109" i="15"/>
  <c r="P109" i="15"/>
  <c r="Q109" i="15"/>
  <c r="C110" i="15"/>
  <c r="E110" i="15"/>
  <c r="F110" i="15"/>
  <c r="G110" i="15"/>
  <c r="H110" i="15"/>
  <c r="I110" i="15"/>
  <c r="J110" i="15"/>
  <c r="K110" i="15"/>
  <c r="L110" i="15"/>
  <c r="N110" i="15"/>
  <c r="O110" i="15"/>
  <c r="P110" i="15"/>
  <c r="Q110" i="15"/>
  <c r="C111" i="15"/>
  <c r="E111" i="15"/>
  <c r="F111" i="15"/>
  <c r="G111" i="15"/>
  <c r="H111" i="15"/>
  <c r="I111" i="15"/>
  <c r="J111" i="15"/>
  <c r="K111" i="15"/>
  <c r="L111" i="15"/>
  <c r="N111" i="15"/>
  <c r="O111" i="15"/>
  <c r="P111" i="15"/>
  <c r="Q111" i="15"/>
  <c r="C112" i="15"/>
  <c r="E112" i="15"/>
  <c r="F112" i="15"/>
  <c r="G112" i="15"/>
  <c r="H112" i="15"/>
  <c r="I112" i="15"/>
  <c r="J112" i="15"/>
  <c r="K112" i="15"/>
  <c r="L112" i="15"/>
  <c r="N112" i="15"/>
  <c r="O112" i="15"/>
  <c r="P112" i="15"/>
  <c r="Q112" i="15"/>
  <c r="C113" i="15"/>
  <c r="E113" i="15"/>
  <c r="F113" i="15"/>
  <c r="G113" i="15"/>
  <c r="H113" i="15"/>
  <c r="I113" i="15"/>
  <c r="J113" i="15"/>
  <c r="K113" i="15"/>
  <c r="L113" i="15"/>
  <c r="N113" i="15"/>
  <c r="O113" i="15"/>
  <c r="P113" i="15"/>
  <c r="Q113" i="15"/>
  <c r="C114" i="15"/>
  <c r="E114" i="15"/>
  <c r="F114" i="15"/>
  <c r="G114" i="15"/>
  <c r="H114" i="15"/>
  <c r="I114" i="15"/>
  <c r="J114" i="15"/>
  <c r="K114" i="15"/>
  <c r="L114" i="15"/>
  <c r="N114" i="15"/>
  <c r="O114" i="15"/>
  <c r="P114" i="15"/>
  <c r="Q114" i="15"/>
  <c r="C115" i="15"/>
  <c r="E115" i="15"/>
  <c r="F115" i="15"/>
  <c r="G115" i="15"/>
  <c r="H115" i="15"/>
  <c r="I115" i="15"/>
  <c r="J115" i="15"/>
  <c r="K115" i="15"/>
  <c r="L115" i="15"/>
  <c r="N115" i="15"/>
  <c r="O115" i="15"/>
  <c r="P115" i="15"/>
  <c r="Q115" i="15"/>
  <c r="C116" i="15"/>
  <c r="E116" i="15"/>
  <c r="F116" i="15"/>
  <c r="G116" i="15"/>
  <c r="H116" i="15"/>
  <c r="I116" i="15"/>
  <c r="J116" i="15"/>
  <c r="K116" i="15"/>
  <c r="L116" i="15"/>
  <c r="N116" i="15"/>
  <c r="O116" i="15"/>
  <c r="P116" i="15"/>
  <c r="Q116" i="15"/>
  <c r="C117" i="15"/>
  <c r="E117" i="15"/>
  <c r="F117" i="15"/>
  <c r="G117" i="15"/>
  <c r="H117" i="15"/>
  <c r="I117" i="15"/>
  <c r="J117" i="15"/>
  <c r="K117" i="15"/>
  <c r="L117" i="15"/>
  <c r="N117" i="15"/>
  <c r="O117" i="15"/>
  <c r="P117" i="15"/>
  <c r="Q117" i="15"/>
  <c r="C118" i="15"/>
  <c r="E118" i="15"/>
  <c r="F118" i="15"/>
  <c r="G118" i="15"/>
  <c r="H118" i="15"/>
  <c r="I118" i="15"/>
  <c r="J118" i="15"/>
  <c r="K118" i="15"/>
  <c r="L118" i="15"/>
  <c r="N118" i="15"/>
  <c r="O118" i="15"/>
  <c r="P118" i="15"/>
  <c r="Q118" i="15"/>
  <c r="C119" i="15"/>
  <c r="E119" i="15"/>
  <c r="F119" i="15"/>
  <c r="G119" i="15"/>
  <c r="H119" i="15"/>
  <c r="I119" i="15"/>
  <c r="J119" i="15"/>
  <c r="K119" i="15"/>
  <c r="L119" i="15"/>
  <c r="N119" i="15"/>
  <c r="O119" i="15"/>
  <c r="P119" i="15"/>
  <c r="Q119" i="15"/>
  <c r="C120" i="15"/>
  <c r="E120" i="15"/>
  <c r="F120" i="15"/>
  <c r="G120" i="15"/>
  <c r="H120" i="15"/>
  <c r="I120" i="15"/>
  <c r="J120" i="15"/>
  <c r="K120" i="15"/>
  <c r="L120" i="15"/>
  <c r="N120" i="15"/>
  <c r="O120" i="15"/>
  <c r="P120" i="15"/>
  <c r="Q120" i="15"/>
  <c r="C121" i="15"/>
  <c r="D121" i="15"/>
  <c r="E121" i="15"/>
  <c r="F121" i="15"/>
  <c r="G121" i="15"/>
  <c r="H121" i="15"/>
  <c r="I121" i="15"/>
  <c r="J121" i="15"/>
  <c r="K121" i="15"/>
  <c r="L121" i="15"/>
  <c r="M121" i="15"/>
  <c r="N121" i="15"/>
  <c r="O121" i="15"/>
  <c r="P121" i="15"/>
  <c r="Q121" i="15"/>
  <c r="C122" i="15"/>
  <c r="E122" i="15"/>
  <c r="F122" i="15"/>
  <c r="G122" i="15"/>
  <c r="N122" i="15"/>
  <c r="O122" i="15"/>
  <c r="P122" i="15"/>
  <c r="Q122" i="15"/>
  <c r="C123" i="15"/>
  <c r="E123" i="15"/>
  <c r="F123" i="15"/>
  <c r="G123" i="15"/>
  <c r="N123" i="15"/>
  <c r="O123" i="15"/>
  <c r="P123" i="15"/>
  <c r="Q123" i="15"/>
  <c r="C124" i="15"/>
  <c r="E124" i="15"/>
  <c r="F124" i="15"/>
  <c r="G124" i="15"/>
  <c r="N124" i="15"/>
  <c r="O124" i="15"/>
  <c r="P124" i="15"/>
  <c r="Q124" i="15"/>
  <c r="C125" i="15"/>
  <c r="D125" i="15"/>
  <c r="E125" i="15"/>
  <c r="F125" i="15"/>
  <c r="G125" i="15"/>
  <c r="M125" i="15"/>
  <c r="N125" i="15"/>
  <c r="O125" i="15"/>
  <c r="P125" i="15"/>
  <c r="Q125" i="15"/>
  <c r="C126" i="15"/>
  <c r="E126" i="15"/>
  <c r="F126" i="15"/>
  <c r="G126" i="15"/>
  <c r="N126" i="15"/>
  <c r="O126" i="15"/>
  <c r="P126" i="15"/>
  <c r="Q126" i="15"/>
  <c r="C127" i="15"/>
  <c r="E127" i="15"/>
  <c r="F127" i="15"/>
  <c r="G127" i="15"/>
  <c r="H127" i="15"/>
  <c r="I127" i="15"/>
  <c r="J127" i="15"/>
  <c r="K127" i="15"/>
  <c r="L127" i="15"/>
  <c r="N127" i="15"/>
  <c r="O127" i="15"/>
  <c r="P127" i="15"/>
  <c r="Q127" i="15"/>
  <c r="C128" i="15"/>
  <c r="D128" i="15"/>
  <c r="E128" i="15"/>
  <c r="F128" i="15"/>
  <c r="G128" i="15"/>
  <c r="H128" i="15"/>
  <c r="I128" i="15"/>
  <c r="J128" i="15"/>
  <c r="K128" i="15"/>
  <c r="L128" i="15"/>
  <c r="M128" i="15"/>
  <c r="N128" i="15"/>
  <c r="O128" i="15"/>
  <c r="P128" i="15"/>
  <c r="Q128" i="15"/>
  <c r="C129" i="15"/>
  <c r="E129" i="15"/>
  <c r="F129" i="15"/>
  <c r="G129" i="15"/>
  <c r="H129" i="15"/>
  <c r="I129" i="15"/>
  <c r="J129" i="15"/>
  <c r="K129" i="15"/>
  <c r="L129" i="15"/>
  <c r="N129" i="15"/>
  <c r="O129" i="15"/>
  <c r="P129" i="15"/>
  <c r="Q129" i="15"/>
  <c r="C130" i="15"/>
  <c r="D130" i="15"/>
  <c r="E130" i="15"/>
  <c r="F130" i="15"/>
  <c r="G130" i="15"/>
  <c r="H130" i="15"/>
  <c r="I130" i="15"/>
  <c r="J130" i="15"/>
  <c r="K130" i="15"/>
  <c r="L130" i="15"/>
  <c r="M130" i="15"/>
  <c r="N130" i="15"/>
  <c r="O130" i="15"/>
  <c r="P130" i="15"/>
  <c r="Q130" i="15"/>
  <c r="C131" i="15"/>
  <c r="E131" i="15"/>
  <c r="F131" i="15"/>
  <c r="G131" i="15"/>
  <c r="H131" i="15"/>
  <c r="I131" i="15"/>
  <c r="J131" i="15"/>
  <c r="K131" i="15"/>
  <c r="L131" i="15"/>
  <c r="N131" i="15"/>
  <c r="O131" i="15"/>
  <c r="P131" i="15"/>
  <c r="Q131" i="15"/>
  <c r="C132" i="15"/>
  <c r="D132" i="15"/>
  <c r="E132" i="15"/>
  <c r="F132" i="15"/>
  <c r="G132" i="15"/>
  <c r="H132" i="15"/>
  <c r="I132" i="15"/>
  <c r="J132" i="15"/>
  <c r="K132" i="15"/>
  <c r="L132" i="15"/>
  <c r="M132" i="15"/>
  <c r="N132" i="15"/>
  <c r="O132" i="15"/>
  <c r="P132" i="15"/>
  <c r="Q132" i="15"/>
  <c r="C133" i="15"/>
  <c r="E133" i="15"/>
  <c r="F133" i="15"/>
  <c r="G133" i="15"/>
  <c r="H133" i="15"/>
  <c r="I133" i="15"/>
  <c r="J133" i="15"/>
  <c r="K133" i="15"/>
  <c r="L133" i="15"/>
  <c r="N133" i="15"/>
  <c r="O133" i="15"/>
  <c r="P133" i="15"/>
  <c r="Q133" i="15"/>
  <c r="C134" i="15"/>
  <c r="D134" i="15"/>
  <c r="E134" i="15"/>
  <c r="F134" i="15"/>
  <c r="G134" i="15"/>
  <c r="H134" i="15"/>
  <c r="I134" i="15"/>
  <c r="J134" i="15"/>
  <c r="K134" i="15"/>
  <c r="L134" i="15"/>
  <c r="M134" i="15"/>
  <c r="N134" i="15"/>
  <c r="O134" i="15"/>
  <c r="P134" i="15"/>
  <c r="Q134" i="15"/>
  <c r="C135" i="15"/>
  <c r="E135" i="15"/>
  <c r="F135" i="15"/>
  <c r="G135" i="15"/>
  <c r="H135" i="15"/>
  <c r="I135" i="15"/>
  <c r="J135" i="15"/>
  <c r="K135" i="15"/>
  <c r="L135" i="15"/>
  <c r="N135" i="15"/>
  <c r="O135" i="15"/>
  <c r="P135" i="15"/>
  <c r="Q135" i="15"/>
  <c r="C136" i="15"/>
  <c r="E136" i="15"/>
  <c r="F136" i="15"/>
  <c r="G136" i="15"/>
  <c r="H136" i="15"/>
  <c r="I136" i="15"/>
  <c r="J136" i="15"/>
  <c r="K136" i="15"/>
  <c r="L136" i="15"/>
  <c r="N136" i="15"/>
  <c r="O136" i="15"/>
  <c r="P136" i="15"/>
  <c r="Q136" i="15"/>
  <c r="C137" i="15"/>
  <c r="E137" i="15"/>
  <c r="F137" i="15"/>
  <c r="G137" i="15"/>
  <c r="H137" i="15"/>
  <c r="I137" i="15"/>
  <c r="J137" i="15"/>
  <c r="K137" i="15"/>
  <c r="L137" i="15"/>
  <c r="N137" i="15"/>
  <c r="O137" i="15"/>
  <c r="P137" i="15"/>
  <c r="Q137" i="15"/>
  <c r="C138" i="15"/>
  <c r="E138" i="15"/>
  <c r="F138" i="15"/>
  <c r="G138" i="15"/>
  <c r="H138" i="15"/>
  <c r="I138" i="15"/>
  <c r="J138" i="15"/>
  <c r="K138" i="15"/>
  <c r="L138" i="15"/>
  <c r="N138" i="15"/>
  <c r="O138" i="15"/>
  <c r="P138" i="15"/>
  <c r="Q138" i="15"/>
  <c r="C139" i="15"/>
  <c r="E139" i="15"/>
  <c r="F139" i="15"/>
  <c r="G139" i="15"/>
  <c r="H139" i="15"/>
  <c r="I139" i="15"/>
  <c r="J139" i="15"/>
  <c r="K139" i="15"/>
  <c r="L139" i="15"/>
  <c r="N139" i="15"/>
  <c r="O139" i="15"/>
  <c r="P139" i="15"/>
  <c r="Q139" i="15"/>
  <c r="C140" i="15"/>
  <c r="E140" i="15"/>
  <c r="F140" i="15"/>
  <c r="G140" i="15"/>
  <c r="H140" i="15"/>
  <c r="I140" i="15"/>
  <c r="J140" i="15"/>
  <c r="K140" i="15"/>
  <c r="L140" i="15"/>
  <c r="N140" i="15"/>
  <c r="O140" i="15"/>
  <c r="P140" i="15"/>
  <c r="Q140" i="15"/>
  <c r="C141" i="15"/>
  <c r="E141" i="15"/>
  <c r="F141" i="15"/>
  <c r="G141" i="15"/>
  <c r="H141" i="15"/>
  <c r="I141" i="15"/>
  <c r="J141" i="15"/>
  <c r="K141" i="15"/>
  <c r="L141" i="15"/>
  <c r="N141" i="15"/>
  <c r="O141" i="15"/>
  <c r="P141" i="15"/>
  <c r="Q141" i="15"/>
  <c r="C142" i="15"/>
  <c r="E142" i="15"/>
  <c r="F142" i="15"/>
  <c r="G142" i="15"/>
  <c r="H142" i="15"/>
  <c r="I142" i="15"/>
  <c r="J142" i="15"/>
  <c r="K142" i="15"/>
  <c r="L142" i="15"/>
  <c r="N142" i="15"/>
  <c r="O142" i="15"/>
  <c r="P142" i="15"/>
  <c r="Q142" i="15"/>
  <c r="C143" i="15"/>
  <c r="E143" i="15"/>
  <c r="F143" i="15"/>
  <c r="G143" i="15"/>
  <c r="H143" i="15"/>
  <c r="I143" i="15"/>
  <c r="J143" i="15"/>
  <c r="K143" i="15"/>
  <c r="L143" i="15"/>
  <c r="N143" i="15"/>
  <c r="O143" i="15"/>
  <c r="P143" i="15"/>
  <c r="Q143" i="15"/>
  <c r="C144" i="15"/>
  <c r="D144" i="15"/>
  <c r="E144" i="15"/>
  <c r="F144" i="15"/>
  <c r="G144" i="15"/>
  <c r="H144" i="15"/>
  <c r="I144" i="15"/>
  <c r="J144" i="15"/>
  <c r="K144" i="15"/>
  <c r="L144" i="15"/>
  <c r="M144" i="15"/>
  <c r="N144" i="15"/>
  <c r="O144" i="15"/>
  <c r="P144" i="15"/>
  <c r="Q144" i="15"/>
  <c r="C145" i="15"/>
  <c r="E145" i="15"/>
  <c r="F145" i="15"/>
  <c r="G145" i="15"/>
  <c r="H145" i="15"/>
  <c r="I145" i="15"/>
  <c r="J145" i="15"/>
  <c r="K145" i="15"/>
  <c r="L145" i="15"/>
  <c r="N145" i="15"/>
  <c r="O145" i="15"/>
  <c r="P145" i="15"/>
  <c r="Q145" i="15"/>
  <c r="C146" i="15"/>
  <c r="G146" i="15"/>
  <c r="I146" i="15"/>
  <c r="L146" i="15"/>
  <c r="N146" i="15"/>
  <c r="Q146" i="15"/>
  <c r="C147" i="15"/>
  <c r="E147" i="15"/>
  <c r="F147" i="15"/>
  <c r="G147" i="15"/>
  <c r="H147" i="15"/>
  <c r="I147" i="15"/>
  <c r="J147" i="15"/>
  <c r="K147" i="15"/>
  <c r="L147" i="15"/>
  <c r="N147" i="15"/>
  <c r="O147" i="15"/>
  <c r="P147" i="15"/>
  <c r="Q147" i="15"/>
  <c r="C148" i="15"/>
  <c r="D148" i="15"/>
  <c r="E148" i="15"/>
  <c r="F148" i="15"/>
  <c r="G148" i="15"/>
  <c r="H148" i="15"/>
  <c r="I148" i="15"/>
  <c r="J148" i="15"/>
  <c r="K148" i="15"/>
  <c r="L148" i="15"/>
  <c r="M148" i="15"/>
  <c r="N148" i="15"/>
  <c r="O148" i="15"/>
  <c r="P148" i="15"/>
  <c r="Q148" i="15"/>
  <c r="C149" i="15"/>
  <c r="E149" i="15"/>
  <c r="F149" i="15"/>
  <c r="G149" i="15"/>
  <c r="H149" i="15"/>
  <c r="I149" i="15"/>
  <c r="J149" i="15"/>
  <c r="K149" i="15"/>
  <c r="L149" i="15"/>
  <c r="N149" i="15"/>
  <c r="O149" i="15"/>
  <c r="P149" i="15"/>
  <c r="Q149" i="15"/>
  <c r="C150" i="15"/>
  <c r="D150" i="15"/>
  <c r="E150" i="15"/>
  <c r="F150" i="15"/>
  <c r="G150" i="15"/>
  <c r="H150" i="15"/>
  <c r="I150" i="15"/>
  <c r="J150" i="15"/>
  <c r="K150" i="15"/>
  <c r="L150" i="15"/>
  <c r="M150" i="15"/>
  <c r="N150" i="15"/>
  <c r="O150" i="15"/>
  <c r="P150" i="15"/>
  <c r="Q150" i="15"/>
  <c r="C151" i="15"/>
  <c r="E151" i="15"/>
  <c r="F151" i="15"/>
  <c r="G151" i="15"/>
  <c r="H151" i="15"/>
  <c r="I151" i="15"/>
  <c r="J151" i="15"/>
  <c r="K151" i="15"/>
  <c r="L151" i="15"/>
  <c r="N151" i="15"/>
  <c r="O151" i="15"/>
  <c r="P151" i="15"/>
  <c r="Q151" i="15"/>
  <c r="C152" i="15"/>
  <c r="D152" i="15"/>
  <c r="E152" i="15"/>
  <c r="F152" i="15"/>
  <c r="G152" i="15"/>
  <c r="H152" i="15"/>
  <c r="I152" i="15"/>
  <c r="J152" i="15"/>
  <c r="K152" i="15"/>
  <c r="L152" i="15"/>
  <c r="M152" i="15"/>
  <c r="N152" i="15"/>
  <c r="O152" i="15"/>
  <c r="P152" i="15"/>
  <c r="Q152" i="15"/>
  <c r="C153" i="15"/>
  <c r="E153" i="15"/>
  <c r="F153" i="15"/>
  <c r="G153" i="15"/>
  <c r="H153" i="15"/>
  <c r="I153" i="15"/>
  <c r="J153" i="15"/>
  <c r="K153" i="15"/>
  <c r="L153" i="15"/>
  <c r="N153" i="15"/>
  <c r="O153" i="15"/>
  <c r="P153" i="15"/>
  <c r="Q153" i="15"/>
  <c r="C154" i="15"/>
  <c r="G154" i="15"/>
  <c r="I154" i="15"/>
  <c r="L154" i="15"/>
  <c r="N154" i="15"/>
  <c r="Q154" i="15"/>
  <c r="C155" i="15"/>
  <c r="E155" i="15"/>
  <c r="F155" i="15"/>
  <c r="G155" i="15"/>
  <c r="H155" i="15"/>
  <c r="I155" i="15"/>
  <c r="J155" i="15"/>
  <c r="K155" i="15"/>
  <c r="L155" i="15"/>
  <c r="N155" i="15"/>
  <c r="O155" i="15"/>
  <c r="P155" i="15"/>
  <c r="Q155" i="15"/>
  <c r="C156" i="15"/>
  <c r="G156" i="15"/>
  <c r="I156" i="15"/>
  <c r="L156" i="15"/>
  <c r="N156" i="15"/>
  <c r="Q156" i="15"/>
  <c r="C157" i="15"/>
  <c r="E157" i="15"/>
  <c r="F157" i="15"/>
  <c r="G157" i="15"/>
  <c r="H157" i="15"/>
  <c r="I157" i="15"/>
  <c r="J157" i="15"/>
  <c r="K157" i="15"/>
  <c r="L157" i="15"/>
  <c r="N157" i="15"/>
  <c r="O157" i="15"/>
  <c r="P157" i="15"/>
  <c r="Q157" i="15"/>
  <c r="C158" i="15"/>
  <c r="D158" i="15"/>
  <c r="E158" i="15"/>
  <c r="F158" i="15"/>
  <c r="G158" i="15"/>
  <c r="H158" i="15"/>
  <c r="I158" i="15"/>
  <c r="J158" i="15"/>
  <c r="K158" i="15"/>
  <c r="L158" i="15"/>
  <c r="M158" i="15"/>
  <c r="N158" i="15"/>
  <c r="O158" i="15"/>
  <c r="P158" i="15"/>
  <c r="Q158" i="15"/>
  <c r="C159" i="15"/>
  <c r="D159" i="15"/>
  <c r="E159" i="15"/>
  <c r="F159" i="15"/>
  <c r="G159" i="15"/>
  <c r="H159" i="15"/>
  <c r="I159" i="15"/>
  <c r="J159" i="15"/>
  <c r="K159" i="15"/>
  <c r="L159" i="15"/>
  <c r="M159" i="15"/>
  <c r="N159" i="15"/>
  <c r="O159" i="15"/>
  <c r="P159" i="15"/>
  <c r="Q159" i="15"/>
  <c r="C160" i="15"/>
  <c r="D160" i="15"/>
  <c r="E160" i="15"/>
  <c r="F160" i="15"/>
  <c r="G160" i="15"/>
  <c r="H160" i="15"/>
  <c r="I160" i="15"/>
  <c r="J160" i="15"/>
  <c r="K160" i="15"/>
  <c r="L160" i="15"/>
  <c r="M160" i="15"/>
  <c r="N160" i="15"/>
  <c r="O160" i="15"/>
  <c r="P160" i="15"/>
  <c r="Q160" i="15"/>
  <c r="C161" i="15"/>
  <c r="D161" i="15"/>
  <c r="E161" i="15"/>
  <c r="F161" i="15"/>
  <c r="G161" i="15"/>
  <c r="H161" i="15"/>
  <c r="I161" i="15"/>
  <c r="J161" i="15"/>
  <c r="K161" i="15"/>
  <c r="L161" i="15"/>
  <c r="M161" i="15"/>
  <c r="N161" i="15"/>
  <c r="O161" i="15"/>
  <c r="P161" i="15"/>
  <c r="Q161" i="15"/>
  <c r="C162" i="15"/>
  <c r="D162" i="15"/>
  <c r="E162" i="15"/>
  <c r="F162" i="15"/>
  <c r="G162" i="15"/>
  <c r="H162" i="15"/>
  <c r="I162" i="15"/>
  <c r="J162" i="15"/>
  <c r="K162" i="15"/>
  <c r="L162" i="15"/>
  <c r="M162" i="15"/>
  <c r="N162" i="15"/>
  <c r="O162" i="15"/>
  <c r="P162" i="15"/>
  <c r="Q162" i="15"/>
  <c r="C163" i="15"/>
  <c r="D163" i="15"/>
  <c r="E163" i="15"/>
  <c r="F163" i="15"/>
  <c r="G163" i="15"/>
  <c r="H163" i="15"/>
  <c r="I163" i="15"/>
  <c r="J163" i="15"/>
  <c r="K163" i="15"/>
  <c r="L163" i="15"/>
  <c r="M163" i="15"/>
  <c r="N163" i="15"/>
  <c r="O163" i="15"/>
  <c r="P163" i="15"/>
  <c r="Q163" i="15"/>
  <c r="C164" i="15"/>
  <c r="D164" i="15"/>
  <c r="E164" i="15"/>
  <c r="F164" i="15"/>
  <c r="G164" i="15"/>
  <c r="H164" i="15"/>
  <c r="I164" i="15"/>
  <c r="J164" i="15"/>
  <c r="K164" i="15"/>
  <c r="L164" i="15"/>
  <c r="M164" i="15"/>
  <c r="N164" i="15"/>
  <c r="O164" i="15"/>
  <c r="P164" i="15"/>
  <c r="Q164" i="15"/>
  <c r="C165" i="15"/>
  <c r="D165" i="15"/>
  <c r="E165" i="15"/>
  <c r="F165" i="15"/>
  <c r="G165" i="15"/>
  <c r="H165" i="15"/>
  <c r="I165" i="15"/>
  <c r="J165" i="15"/>
  <c r="K165" i="15"/>
  <c r="L165" i="15"/>
  <c r="M165" i="15"/>
  <c r="N165" i="15"/>
  <c r="O165" i="15"/>
  <c r="P165" i="15"/>
  <c r="Q165" i="15"/>
  <c r="C166" i="15"/>
  <c r="D166" i="15"/>
  <c r="E166" i="15"/>
  <c r="F166" i="15"/>
  <c r="G166" i="15"/>
  <c r="H166" i="15"/>
  <c r="I166" i="15"/>
  <c r="J166" i="15"/>
  <c r="K166" i="15"/>
  <c r="L166" i="15"/>
  <c r="M166" i="15"/>
  <c r="N166" i="15"/>
  <c r="O166" i="15"/>
  <c r="P166" i="15"/>
  <c r="Q166" i="15"/>
  <c r="C167" i="15"/>
  <c r="D167" i="15"/>
  <c r="E167" i="15"/>
  <c r="F167" i="15"/>
  <c r="G167" i="15"/>
  <c r="H167" i="15"/>
  <c r="I167" i="15"/>
  <c r="J167" i="15"/>
  <c r="K167" i="15"/>
  <c r="L167" i="15"/>
  <c r="M167" i="15"/>
  <c r="N167" i="15"/>
  <c r="O167" i="15"/>
  <c r="P167" i="15"/>
  <c r="Q167" i="15"/>
  <c r="C168" i="15"/>
  <c r="D168" i="15"/>
  <c r="E168" i="15"/>
  <c r="F168" i="15"/>
  <c r="G168" i="15"/>
  <c r="H168" i="15"/>
  <c r="I168" i="15"/>
  <c r="J168" i="15"/>
  <c r="K168" i="15"/>
  <c r="L168" i="15"/>
  <c r="M168" i="15"/>
  <c r="N168" i="15"/>
  <c r="O168" i="15"/>
  <c r="P168" i="15"/>
  <c r="Q168" i="15"/>
  <c r="C169" i="15"/>
  <c r="G169" i="15"/>
  <c r="I169" i="15"/>
  <c r="L169" i="15"/>
  <c r="N169" i="15"/>
  <c r="Q169" i="15"/>
  <c r="C170" i="15"/>
  <c r="D170" i="15"/>
  <c r="E170" i="15"/>
  <c r="F170" i="15"/>
  <c r="G170" i="15"/>
  <c r="H170" i="15"/>
  <c r="I170" i="15"/>
  <c r="J170" i="15"/>
  <c r="K170" i="15"/>
  <c r="L170" i="15"/>
  <c r="M170" i="15"/>
  <c r="N170" i="15"/>
  <c r="O170" i="15"/>
  <c r="P170" i="15"/>
  <c r="Q170" i="15"/>
  <c r="C171" i="15"/>
  <c r="G171" i="15"/>
  <c r="I171" i="15"/>
  <c r="L171" i="15"/>
  <c r="N171" i="15"/>
  <c r="Q171" i="15"/>
  <c r="C172" i="15"/>
  <c r="D172" i="15"/>
  <c r="E172" i="15"/>
  <c r="F172" i="15"/>
  <c r="G172" i="15"/>
  <c r="H172" i="15"/>
  <c r="I172" i="15"/>
  <c r="J172" i="15"/>
  <c r="K172" i="15"/>
  <c r="L172" i="15"/>
  <c r="M172" i="15"/>
  <c r="N172" i="15"/>
  <c r="O172" i="15"/>
  <c r="P172" i="15"/>
  <c r="Q172" i="15"/>
  <c r="C173" i="15"/>
  <c r="D173" i="15"/>
  <c r="E173" i="15"/>
  <c r="F173" i="15"/>
  <c r="G173" i="15"/>
  <c r="H173" i="15"/>
  <c r="I173" i="15"/>
  <c r="J173" i="15"/>
  <c r="K173" i="15"/>
  <c r="L173" i="15"/>
  <c r="M173" i="15"/>
  <c r="N173" i="15"/>
  <c r="O173" i="15"/>
  <c r="P173" i="15"/>
  <c r="Q173" i="15"/>
  <c r="C174" i="15"/>
  <c r="D174" i="15"/>
  <c r="E174" i="15"/>
  <c r="F174" i="15"/>
  <c r="G174" i="15"/>
  <c r="H174" i="15"/>
  <c r="I174" i="15"/>
  <c r="J174" i="15"/>
  <c r="K174" i="15"/>
  <c r="L174" i="15"/>
  <c r="M174" i="15"/>
  <c r="N174" i="15"/>
  <c r="O174" i="15"/>
  <c r="P174" i="15"/>
  <c r="Q174" i="15"/>
  <c r="C175" i="15"/>
  <c r="D175" i="15"/>
  <c r="E175" i="15"/>
  <c r="F175" i="15"/>
  <c r="G175" i="15"/>
  <c r="H175" i="15"/>
  <c r="I175" i="15"/>
  <c r="J175" i="15"/>
  <c r="K175" i="15"/>
  <c r="L175" i="15"/>
  <c r="M175" i="15"/>
  <c r="N175" i="15"/>
  <c r="O175" i="15"/>
  <c r="P175" i="15"/>
  <c r="Q175" i="15"/>
  <c r="C176" i="15"/>
  <c r="D176" i="15"/>
  <c r="E176" i="15"/>
  <c r="F176" i="15"/>
  <c r="G176" i="15"/>
  <c r="H176" i="15"/>
  <c r="I176" i="15"/>
  <c r="J176" i="15"/>
  <c r="K176" i="15"/>
  <c r="L176" i="15"/>
  <c r="M176" i="15"/>
  <c r="N176" i="15"/>
  <c r="O176" i="15"/>
  <c r="P176" i="15"/>
  <c r="Q176" i="15"/>
  <c r="C177" i="15"/>
  <c r="D177" i="15"/>
  <c r="E177" i="15"/>
  <c r="F177" i="15"/>
  <c r="G177" i="15"/>
  <c r="H177" i="15"/>
  <c r="I177" i="15"/>
  <c r="J177" i="15"/>
  <c r="K177" i="15"/>
  <c r="L177" i="15"/>
  <c r="M177" i="15"/>
  <c r="N177" i="15"/>
  <c r="O177" i="15"/>
  <c r="P177" i="15"/>
  <c r="Q177" i="15"/>
  <c r="C178" i="15"/>
  <c r="D178" i="15"/>
  <c r="E178" i="15"/>
  <c r="F178" i="15"/>
  <c r="G178" i="15"/>
  <c r="H178" i="15"/>
  <c r="I178" i="15"/>
  <c r="J178" i="15"/>
  <c r="K178" i="15"/>
  <c r="L178" i="15"/>
  <c r="M178" i="15"/>
  <c r="N178" i="15"/>
  <c r="O178" i="15"/>
  <c r="P178" i="15"/>
  <c r="Q178" i="15"/>
  <c r="C179" i="15"/>
  <c r="D179" i="15"/>
  <c r="E179" i="15"/>
  <c r="F179" i="15"/>
  <c r="G179" i="15"/>
  <c r="H179" i="15"/>
  <c r="I179" i="15"/>
  <c r="J179" i="15"/>
  <c r="K179" i="15"/>
  <c r="L179" i="15"/>
  <c r="M179" i="15"/>
  <c r="N179" i="15"/>
  <c r="O179" i="15"/>
  <c r="P179" i="15"/>
  <c r="Q179" i="15"/>
  <c r="C180" i="15"/>
  <c r="D180" i="15"/>
  <c r="E180" i="15"/>
  <c r="F180" i="15"/>
  <c r="G180" i="15"/>
  <c r="H180" i="15"/>
  <c r="I180" i="15"/>
  <c r="J180" i="15"/>
  <c r="K180" i="15"/>
  <c r="L180" i="15"/>
  <c r="M180" i="15"/>
  <c r="N180" i="15"/>
  <c r="O180" i="15"/>
  <c r="P180" i="15"/>
  <c r="Q180" i="15"/>
  <c r="C181" i="15"/>
  <c r="D181" i="15"/>
  <c r="E181" i="15"/>
  <c r="F181" i="15"/>
  <c r="G181" i="15"/>
  <c r="H181" i="15"/>
  <c r="I181" i="15"/>
  <c r="J181" i="15"/>
  <c r="K181" i="15"/>
  <c r="L181" i="15"/>
  <c r="M181" i="15"/>
  <c r="N181" i="15"/>
  <c r="O181" i="15"/>
  <c r="P181" i="15"/>
  <c r="Q181" i="15"/>
  <c r="C182" i="15"/>
  <c r="D182" i="15"/>
  <c r="E182" i="15"/>
  <c r="F182" i="15"/>
  <c r="G182" i="15"/>
  <c r="H182" i="15"/>
  <c r="I182" i="15"/>
  <c r="J182" i="15"/>
  <c r="K182" i="15"/>
  <c r="L182" i="15"/>
  <c r="M182" i="15"/>
  <c r="N182" i="15"/>
  <c r="O182" i="15"/>
  <c r="P182" i="15"/>
  <c r="Q182" i="15"/>
  <c r="C183" i="15"/>
  <c r="D183" i="15"/>
  <c r="E183" i="15"/>
  <c r="F183" i="15"/>
  <c r="G183" i="15"/>
  <c r="H183" i="15"/>
  <c r="I183" i="15"/>
  <c r="J183" i="15"/>
  <c r="K183" i="15"/>
  <c r="L183" i="15"/>
  <c r="M183" i="15"/>
  <c r="N183" i="15"/>
  <c r="O183" i="15"/>
  <c r="P183" i="15"/>
  <c r="Q183" i="15"/>
  <c r="C184" i="15"/>
  <c r="D184" i="15"/>
  <c r="E184" i="15"/>
  <c r="F184" i="15"/>
  <c r="G184" i="15"/>
  <c r="H184" i="15"/>
  <c r="I184" i="15"/>
  <c r="J184" i="15"/>
  <c r="K184" i="15"/>
  <c r="L184" i="15"/>
  <c r="M184" i="15"/>
  <c r="N184" i="15"/>
  <c r="O184" i="15"/>
  <c r="P184" i="15"/>
  <c r="Q184" i="15"/>
  <c r="C185" i="15"/>
  <c r="D185" i="15"/>
  <c r="E185" i="15"/>
  <c r="F185" i="15"/>
  <c r="G185" i="15"/>
  <c r="H185" i="15"/>
  <c r="I185" i="15"/>
  <c r="J185" i="15"/>
  <c r="K185" i="15"/>
  <c r="L185" i="15"/>
  <c r="M185" i="15"/>
  <c r="N185" i="15"/>
  <c r="O185" i="15"/>
  <c r="P185" i="15"/>
  <c r="Q185" i="15"/>
  <c r="C186" i="15"/>
  <c r="E186" i="15"/>
  <c r="F186" i="15"/>
  <c r="G186" i="15"/>
  <c r="H186" i="15"/>
  <c r="I186" i="15"/>
  <c r="J186" i="15"/>
  <c r="K186" i="15"/>
  <c r="L186" i="15"/>
  <c r="N186" i="15"/>
  <c r="O186" i="15"/>
  <c r="P186" i="15"/>
  <c r="Q186" i="15"/>
  <c r="C187" i="15"/>
  <c r="D187" i="15"/>
  <c r="E187" i="15"/>
  <c r="F187" i="15"/>
  <c r="G187" i="15"/>
  <c r="H187" i="15"/>
  <c r="I187" i="15"/>
  <c r="J187" i="15"/>
  <c r="K187" i="15"/>
  <c r="L187" i="15"/>
  <c r="M187" i="15"/>
  <c r="N187" i="15"/>
  <c r="O187" i="15"/>
  <c r="P187" i="15"/>
  <c r="Q187" i="15"/>
  <c r="C188" i="15"/>
  <c r="D188" i="15"/>
  <c r="E188" i="15"/>
  <c r="F188" i="15"/>
  <c r="G188" i="15"/>
  <c r="H188" i="15"/>
  <c r="I188" i="15"/>
  <c r="J188" i="15"/>
  <c r="K188" i="15"/>
  <c r="L188" i="15"/>
  <c r="M188" i="15"/>
  <c r="N188" i="15"/>
  <c r="O188" i="15"/>
  <c r="P188" i="15"/>
  <c r="Q188" i="15"/>
  <c r="C189" i="15"/>
  <c r="D189" i="15"/>
  <c r="E189" i="15"/>
  <c r="F189" i="15"/>
  <c r="G189" i="15"/>
  <c r="H189" i="15"/>
  <c r="I189" i="15"/>
  <c r="J189" i="15"/>
  <c r="K189" i="15"/>
  <c r="L189" i="15"/>
  <c r="M189" i="15"/>
  <c r="N189" i="15"/>
  <c r="O189" i="15"/>
  <c r="P189" i="15"/>
  <c r="Q189" i="15"/>
  <c r="C190" i="15"/>
  <c r="D190" i="15"/>
  <c r="E190" i="15"/>
  <c r="F190" i="15"/>
  <c r="G190" i="15"/>
  <c r="H190" i="15"/>
  <c r="I190" i="15"/>
  <c r="J190" i="15"/>
  <c r="K190" i="15"/>
  <c r="L190" i="15"/>
  <c r="M190" i="15"/>
  <c r="N190" i="15"/>
  <c r="O190" i="15"/>
  <c r="P190" i="15"/>
  <c r="Q190" i="15"/>
  <c r="C191" i="15"/>
  <c r="D191" i="15"/>
  <c r="E191" i="15"/>
  <c r="F191" i="15"/>
  <c r="G191" i="15"/>
  <c r="H191" i="15"/>
  <c r="I191" i="15"/>
  <c r="J191" i="15"/>
  <c r="K191" i="15"/>
  <c r="L191" i="15"/>
  <c r="M191" i="15"/>
  <c r="N191" i="15"/>
  <c r="O191" i="15"/>
  <c r="P191" i="15"/>
  <c r="Q191" i="15"/>
  <c r="C192" i="15"/>
  <c r="D192" i="15"/>
  <c r="E192" i="15"/>
  <c r="F192" i="15"/>
  <c r="G192" i="15"/>
  <c r="H192" i="15"/>
  <c r="I192" i="15"/>
  <c r="J192" i="15"/>
  <c r="K192" i="15"/>
  <c r="L192" i="15"/>
  <c r="M192" i="15"/>
  <c r="N192" i="15"/>
  <c r="O192" i="15"/>
  <c r="P192" i="15"/>
  <c r="Q192" i="15"/>
  <c r="C193" i="15"/>
  <c r="D193" i="15"/>
  <c r="E193" i="15"/>
  <c r="F193" i="15"/>
  <c r="G193" i="15"/>
  <c r="H193" i="15"/>
  <c r="I193" i="15"/>
  <c r="J193" i="15"/>
  <c r="K193" i="15"/>
  <c r="L193" i="15"/>
  <c r="M193" i="15"/>
  <c r="N193" i="15"/>
  <c r="O193" i="15"/>
  <c r="P193" i="15"/>
  <c r="Q193" i="15"/>
  <c r="C194" i="15"/>
  <c r="D194" i="15"/>
  <c r="E194" i="15"/>
  <c r="F194" i="15"/>
  <c r="G194" i="15"/>
  <c r="H194" i="15"/>
  <c r="I194" i="15"/>
  <c r="J194" i="15"/>
  <c r="K194" i="15"/>
  <c r="L194" i="15"/>
  <c r="M194" i="15"/>
  <c r="N194" i="15"/>
  <c r="O194" i="15"/>
  <c r="P194" i="15"/>
  <c r="Q194" i="15"/>
  <c r="C195" i="15"/>
  <c r="D195" i="15"/>
  <c r="E195" i="15"/>
  <c r="F195" i="15"/>
  <c r="G195" i="15"/>
  <c r="H195" i="15"/>
  <c r="I195" i="15"/>
  <c r="J195" i="15"/>
  <c r="K195" i="15"/>
  <c r="L195" i="15"/>
  <c r="M195" i="15"/>
  <c r="N195" i="15"/>
  <c r="O195" i="15"/>
  <c r="P195" i="15"/>
  <c r="Q195" i="15"/>
  <c r="C196" i="15"/>
  <c r="D196" i="15"/>
  <c r="E196" i="15"/>
  <c r="F196" i="15"/>
  <c r="G196" i="15"/>
  <c r="H196" i="15"/>
  <c r="I196" i="15"/>
  <c r="J196" i="15"/>
  <c r="K196" i="15"/>
  <c r="L196" i="15"/>
  <c r="M196" i="15"/>
  <c r="N196" i="15"/>
  <c r="O196" i="15"/>
  <c r="P196" i="15"/>
  <c r="Q196" i="15"/>
  <c r="C197" i="15"/>
  <c r="D197" i="15"/>
  <c r="E197" i="15"/>
  <c r="F197" i="15"/>
  <c r="G197" i="15"/>
  <c r="H197" i="15"/>
  <c r="I197" i="15"/>
  <c r="J197" i="15"/>
  <c r="K197" i="15"/>
  <c r="L197" i="15"/>
  <c r="M197" i="15"/>
  <c r="N197" i="15"/>
  <c r="O197" i="15"/>
  <c r="P197" i="15"/>
  <c r="Q197" i="15"/>
  <c r="C198" i="15"/>
  <c r="D198" i="15"/>
  <c r="E198" i="15"/>
  <c r="F198" i="15"/>
  <c r="G198" i="15"/>
  <c r="H198" i="15"/>
  <c r="I198" i="15"/>
  <c r="J198" i="15"/>
  <c r="K198" i="15"/>
  <c r="L198" i="15"/>
  <c r="M198" i="15"/>
  <c r="N198" i="15"/>
  <c r="O198" i="15"/>
  <c r="P198" i="15"/>
  <c r="Q198" i="15"/>
  <c r="C199" i="15"/>
  <c r="D199" i="15"/>
  <c r="E199" i="15"/>
  <c r="F199" i="15"/>
  <c r="G199" i="15"/>
  <c r="H199" i="15"/>
  <c r="I199" i="15"/>
  <c r="J199" i="15"/>
  <c r="K199" i="15"/>
  <c r="L199" i="15"/>
  <c r="M199" i="15"/>
  <c r="N199" i="15"/>
  <c r="O199" i="15"/>
  <c r="P199" i="15"/>
  <c r="Q199" i="15"/>
  <c r="C200" i="15"/>
  <c r="D200" i="15"/>
  <c r="E200" i="15"/>
  <c r="F200" i="15"/>
  <c r="G200" i="15"/>
  <c r="H200" i="15"/>
  <c r="I200" i="15"/>
  <c r="J200" i="15"/>
  <c r="K200" i="15"/>
  <c r="L200" i="15"/>
  <c r="M200" i="15"/>
  <c r="N200" i="15"/>
  <c r="O200" i="15"/>
  <c r="P200" i="15"/>
  <c r="Q200" i="15"/>
  <c r="C201" i="15"/>
  <c r="G201" i="15"/>
  <c r="I201" i="15"/>
  <c r="L201" i="15"/>
  <c r="N201" i="15"/>
  <c r="Q201" i="15"/>
  <c r="C202" i="15"/>
  <c r="D202" i="15"/>
  <c r="E202" i="15"/>
  <c r="F202" i="15"/>
  <c r="G202" i="15"/>
  <c r="H202" i="15"/>
  <c r="I202" i="15"/>
  <c r="J202" i="15"/>
  <c r="K202" i="15"/>
  <c r="L202" i="15"/>
  <c r="M202" i="15"/>
  <c r="N202" i="15"/>
  <c r="O202" i="15"/>
  <c r="P202" i="15"/>
  <c r="Q202" i="15"/>
  <c r="C203" i="15"/>
  <c r="D203" i="15"/>
  <c r="E203" i="15"/>
  <c r="F203" i="15"/>
  <c r="G203" i="15"/>
  <c r="H203" i="15"/>
  <c r="I203" i="15"/>
  <c r="J203" i="15"/>
  <c r="K203" i="15"/>
  <c r="L203" i="15"/>
  <c r="M203" i="15"/>
  <c r="N203" i="15"/>
  <c r="O203" i="15"/>
  <c r="P203" i="15"/>
  <c r="Q203" i="15"/>
  <c r="C204" i="15"/>
  <c r="G204" i="15"/>
  <c r="I204" i="15"/>
  <c r="L204" i="15"/>
  <c r="N204" i="15"/>
  <c r="Q204" i="15"/>
  <c r="C205" i="15"/>
  <c r="D205" i="15"/>
  <c r="E205" i="15"/>
  <c r="F205" i="15"/>
  <c r="G205" i="15"/>
  <c r="H205" i="15"/>
  <c r="I205" i="15"/>
  <c r="J205" i="15"/>
  <c r="K205" i="15"/>
  <c r="L205" i="15"/>
  <c r="M205" i="15"/>
  <c r="N205" i="15"/>
  <c r="O205" i="15"/>
  <c r="P205" i="15"/>
  <c r="Q205" i="15"/>
  <c r="C206" i="15"/>
  <c r="D206" i="15"/>
  <c r="E206" i="15"/>
  <c r="F206" i="15"/>
  <c r="G206" i="15"/>
  <c r="H206" i="15"/>
  <c r="I206" i="15"/>
  <c r="J206" i="15"/>
  <c r="K206" i="15"/>
  <c r="L206" i="15"/>
  <c r="M206" i="15"/>
  <c r="N206" i="15"/>
  <c r="O206" i="15"/>
  <c r="P206" i="15"/>
  <c r="Q206" i="15"/>
  <c r="C207" i="15"/>
  <c r="D207" i="15"/>
  <c r="E207" i="15"/>
  <c r="F207" i="15"/>
  <c r="G207" i="15"/>
  <c r="H207" i="15"/>
  <c r="I207" i="15"/>
  <c r="J207" i="15"/>
  <c r="K207" i="15"/>
  <c r="L207" i="15"/>
  <c r="M207" i="15"/>
  <c r="N207" i="15"/>
  <c r="O207" i="15"/>
  <c r="P207" i="15"/>
  <c r="Q207" i="15"/>
  <c r="C208" i="15"/>
  <c r="D208" i="15"/>
  <c r="E208" i="15"/>
  <c r="F208" i="15"/>
  <c r="G208" i="15"/>
  <c r="H208" i="15"/>
  <c r="I208" i="15"/>
  <c r="J208" i="15"/>
  <c r="K208" i="15"/>
  <c r="L208" i="15"/>
  <c r="M208" i="15"/>
  <c r="N208" i="15"/>
  <c r="O208" i="15"/>
  <c r="P208" i="15"/>
  <c r="Q208" i="15"/>
  <c r="C209" i="15"/>
  <c r="D209" i="15"/>
  <c r="E209" i="15"/>
  <c r="F209" i="15"/>
  <c r="G209" i="15"/>
  <c r="H209" i="15"/>
  <c r="I209" i="15"/>
  <c r="J209" i="15"/>
  <c r="K209" i="15"/>
  <c r="L209" i="15"/>
  <c r="M209" i="15"/>
  <c r="N209" i="15"/>
  <c r="O209" i="15"/>
  <c r="P209" i="15"/>
  <c r="Q209" i="15"/>
  <c r="C210" i="15"/>
  <c r="D210" i="15"/>
  <c r="E210" i="15"/>
  <c r="F210" i="15"/>
  <c r="G210" i="15"/>
  <c r="H210" i="15"/>
  <c r="I210" i="15"/>
  <c r="J210" i="15"/>
  <c r="K210" i="15"/>
  <c r="L210" i="15"/>
  <c r="M210" i="15"/>
  <c r="N210" i="15"/>
  <c r="O210" i="15"/>
  <c r="P210" i="15"/>
  <c r="Q210" i="15"/>
  <c r="C211" i="15"/>
  <c r="D211" i="15"/>
  <c r="E211" i="15"/>
  <c r="F211" i="15"/>
  <c r="G211" i="15"/>
  <c r="H211" i="15"/>
  <c r="I211" i="15"/>
  <c r="J211" i="15"/>
  <c r="K211" i="15"/>
  <c r="L211" i="15"/>
  <c r="M211" i="15"/>
  <c r="N211" i="15"/>
  <c r="O211" i="15"/>
  <c r="P211" i="15"/>
  <c r="Q211" i="15"/>
  <c r="C212" i="15"/>
  <c r="D212" i="15"/>
  <c r="E212" i="15"/>
  <c r="F212" i="15"/>
  <c r="G212" i="15"/>
  <c r="H212" i="15"/>
  <c r="I212" i="15"/>
  <c r="J212" i="15"/>
  <c r="K212" i="15"/>
  <c r="L212" i="15"/>
  <c r="M212" i="15"/>
  <c r="N212" i="15"/>
  <c r="O212" i="15"/>
  <c r="P212" i="15"/>
  <c r="Q212" i="15"/>
  <c r="C213" i="15"/>
  <c r="D213" i="15"/>
  <c r="E213" i="15"/>
  <c r="F213" i="15"/>
  <c r="G213" i="15"/>
  <c r="H213" i="15"/>
  <c r="I213" i="15"/>
  <c r="J213" i="15"/>
  <c r="K213" i="15"/>
  <c r="L213" i="15"/>
  <c r="M213" i="15"/>
  <c r="N213" i="15"/>
  <c r="O213" i="15"/>
  <c r="P213" i="15"/>
  <c r="Q213" i="15"/>
  <c r="C214" i="15"/>
  <c r="D214" i="15"/>
  <c r="E214" i="15"/>
  <c r="F214" i="15"/>
  <c r="G214" i="15"/>
  <c r="H214" i="15"/>
  <c r="I214" i="15"/>
  <c r="J214" i="15"/>
  <c r="K214" i="15"/>
  <c r="L214" i="15"/>
  <c r="M214" i="15"/>
  <c r="N214" i="15"/>
  <c r="O214" i="15"/>
  <c r="P214" i="15"/>
  <c r="Q214" i="15"/>
  <c r="C215" i="15"/>
  <c r="D215" i="15"/>
  <c r="E215" i="15"/>
  <c r="F215" i="15"/>
  <c r="G215" i="15"/>
  <c r="H215" i="15"/>
  <c r="I215" i="15"/>
  <c r="J215" i="15"/>
  <c r="K215" i="15"/>
  <c r="L215" i="15"/>
  <c r="M215" i="15"/>
  <c r="N215" i="15"/>
  <c r="O215" i="15"/>
  <c r="P215" i="15"/>
  <c r="Q215" i="15"/>
  <c r="C216" i="15"/>
  <c r="D216" i="15"/>
  <c r="E216" i="15"/>
  <c r="F216" i="15"/>
  <c r="G216" i="15"/>
  <c r="H216" i="15"/>
  <c r="I216" i="15"/>
  <c r="J216" i="15"/>
  <c r="K216" i="15"/>
  <c r="L216" i="15"/>
  <c r="M216" i="15"/>
  <c r="N216" i="15"/>
  <c r="O216" i="15"/>
  <c r="P216" i="15"/>
  <c r="Q216" i="15"/>
  <c r="C217" i="15"/>
  <c r="D217" i="15"/>
  <c r="E217" i="15"/>
  <c r="F217" i="15"/>
  <c r="G217" i="15"/>
  <c r="H217" i="15"/>
  <c r="I217" i="15"/>
  <c r="J217" i="15"/>
  <c r="K217" i="15"/>
  <c r="L217" i="15"/>
  <c r="M217" i="15"/>
  <c r="N217" i="15"/>
  <c r="O217" i="15"/>
  <c r="P217" i="15"/>
  <c r="Q217" i="15"/>
  <c r="C218" i="15"/>
  <c r="D218" i="15"/>
  <c r="E218" i="15"/>
  <c r="F218" i="15"/>
  <c r="G218" i="15"/>
  <c r="H218" i="15"/>
  <c r="I218" i="15"/>
  <c r="J218" i="15"/>
  <c r="K218" i="15"/>
  <c r="L218" i="15"/>
  <c r="M218" i="15"/>
  <c r="N218" i="15"/>
  <c r="O218" i="15"/>
  <c r="P218" i="15"/>
  <c r="Q218" i="15"/>
  <c r="C219" i="15"/>
  <c r="D219" i="15"/>
  <c r="E219" i="15"/>
  <c r="F219" i="15"/>
  <c r="G219" i="15"/>
  <c r="H219" i="15"/>
  <c r="I219" i="15"/>
  <c r="J219" i="15"/>
  <c r="K219" i="15"/>
  <c r="L219" i="15"/>
  <c r="M219" i="15"/>
  <c r="N219" i="15"/>
  <c r="O219" i="15"/>
  <c r="P219" i="15"/>
  <c r="Q219" i="15"/>
  <c r="C220" i="15"/>
  <c r="D220" i="15"/>
  <c r="E220" i="15"/>
  <c r="F220" i="15"/>
  <c r="G220" i="15"/>
  <c r="H220" i="15"/>
  <c r="I220" i="15"/>
  <c r="J220" i="15"/>
  <c r="K220" i="15"/>
  <c r="L220" i="15"/>
  <c r="M220" i="15"/>
  <c r="N220" i="15"/>
  <c r="O220" i="15"/>
  <c r="P220" i="15"/>
  <c r="Q220" i="15"/>
  <c r="C221" i="15"/>
  <c r="G221" i="15"/>
  <c r="I221" i="15"/>
  <c r="L221" i="15"/>
  <c r="N221" i="15"/>
  <c r="Q221" i="15"/>
  <c r="C222" i="15"/>
  <c r="D222" i="15"/>
  <c r="E222" i="15"/>
  <c r="F222" i="15"/>
  <c r="G222" i="15"/>
  <c r="H222" i="15"/>
  <c r="I222" i="15"/>
  <c r="J222" i="15"/>
  <c r="K222" i="15"/>
  <c r="L222" i="15"/>
  <c r="M222" i="15"/>
  <c r="N222" i="15"/>
  <c r="O222" i="15"/>
  <c r="P222" i="15"/>
  <c r="Q222" i="15"/>
  <c r="C223" i="15"/>
  <c r="D223" i="15"/>
  <c r="E223" i="15"/>
  <c r="F223" i="15"/>
  <c r="G223" i="15"/>
  <c r="H223" i="15"/>
  <c r="I223" i="15"/>
  <c r="J223" i="15"/>
  <c r="K223" i="15"/>
  <c r="L223" i="15"/>
  <c r="M223" i="15"/>
  <c r="N223" i="15"/>
  <c r="O223" i="15"/>
  <c r="P223" i="15"/>
  <c r="Q223" i="15"/>
  <c r="C224" i="15"/>
  <c r="D224" i="15"/>
  <c r="E224" i="15"/>
  <c r="F224" i="15"/>
  <c r="G224" i="15"/>
  <c r="H224" i="15"/>
  <c r="I224" i="15"/>
  <c r="J224" i="15"/>
  <c r="K224" i="15"/>
  <c r="L224" i="15"/>
  <c r="M224" i="15"/>
  <c r="N224" i="15"/>
  <c r="O224" i="15"/>
  <c r="P224" i="15"/>
  <c r="Q224" i="15"/>
  <c r="C225" i="15"/>
  <c r="D225" i="15"/>
  <c r="E225" i="15"/>
  <c r="F225" i="15"/>
  <c r="G225" i="15"/>
  <c r="H225" i="15"/>
  <c r="I225" i="15"/>
  <c r="J225" i="15"/>
  <c r="K225" i="15"/>
  <c r="L225" i="15"/>
  <c r="M225" i="15"/>
  <c r="N225" i="15"/>
  <c r="O225" i="15"/>
  <c r="P225" i="15"/>
  <c r="Q225" i="15"/>
  <c r="C226" i="15"/>
  <c r="D226" i="15"/>
  <c r="E226" i="15"/>
  <c r="F226" i="15"/>
  <c r="G226" i="15"/>
  <c r="H226" i="15"/>
  <c r="I226" i="15"/>
  <c r="J226" i="15"/>
  <c r="K226" i="15"/>
  <c r="L226" i="15"/>
  <c r="M226" i="15"/>
  <c r="N226" i="15"/>
  <c r="O226" i="15"/>
  <c r="P226" i="15"/>
  <c r="Q226" i="15"/>
  <c r="C227" i="15"/>
  <c r="D227" i="15"/>
  <c r="E227" i="15"/>
  <c r="F227" i="15"/>
  <c r="G227" i="15"/>
  <c r="H227" i="15"/>
  <c r="I227" i="15"/>
  <c r="J227" i="15"/>
  <c r="K227" i="15"/>
  <c r="L227" i="15"/>
  <c r="M227" i="15"/>
  <c r="N227" i="15"/>
  <c r="O227" i="15"/>
  <c r="P227" i="15"/>
  <c r="Q227" i="15"/>
  <c r="C228" i="15"/>
  <c r="D228" i="15"/>
  <c r="E228" i="15"/>
  <c r="F228" i="15"/>
  <c r="G228" i="15"/>
  <c r="H228" i="15"/>
  <c r="I228" i="15"/>
  <c r="J228" i="15"/>
  <c r="K228" i="15"/>
  <c r="L228" i="15"/>
  <c r="M228" i="15"/>
  <c r="N228" i="15"/>
  <c r="O228" i="15"/>
  <c r="P228" i="15"/>
  <c r="Q228" i="15"/>
  <c r="C229" i="15"/>
  <c r="D229" i="15"/>
  <c r="E229" i="15"/>
  <c r="F229" i="15"/>
  <c r="G229" i="15"/>
  <c r="H229" i="15"/>
  <c r="I229" i="15"/>
  <c r="J229" i="15"/>
  <c r="K229" i="15"/>
  <c r="L229" i="15"/>
  <c r="M229" i="15"/>
  <c r="N229" i="15"/>
  <c r="O229" i="15"/>
  <c r="P229" i="15"/>
  <c r="Q229" i="15"/>
  <c r="C230" i="15"/>
  <c r="D230" i="15"/>
  <c r="E230" i="15"/>
  <c r="F230" i="15"/>
  <c r="G230" i="15"/>
  <c r="H230" i="15"/>
  <c r="I230" i="15"/>
  <c r="J230" i="15"/>
  <c r="K230" i="15"/>
  <c r="L230" i="15"/>
  <c r="M230" i="15"/>
  <c r="N230" i="15"/>
  <c r="O230" i="15"/>
  <c r="P230" i="15"/>
  <c r="Q230" i="15"/>
  <c r="C231" i="15"/>
  <c r="D231" i="15"/>
  <c r="E231" i="15"/>
  <c r="F231" i="15"/>
  <c r="G231" i="15"/>
  <c r="H231" i="15"/>
  <c r="I231" i="15"/>
  <c r="J231" i="15"/>
  <c r="K231" i="15"/>
  <c r="L231" i="15"/>
  <c r="M231" i="15"/>
  <c r="N231" i="15"/>
  <c r="O231" i="15"/>
  <c r="P231" i="15"/>
  <c r="Q231" i="15"/>
  <c r="C232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P232" i="15"/>
  <c r="Q232" i="15"/>
  <c r="C233" i="15"/>
  <c r="D233" i="15"/>
  <c r="E233" i="15"/>
  <c r="F233" i="15"/>
  <c r="G233" i="15"/>
  <c r="H233" i="15"/>
  <c r="I233" i="15"/>
  <c r="J233" i="15"/>
  <c r="K233" i="15"/>
  <c r="L233" i="15"/>
  <c r="M233" i="15"/>
  <c r="N233" i="15"/>
  <c r="O233" i="15"/>
  <c r="P233" i="15"/>
  <c r="Q233" i="15"/>
  <c r="C234" i="15"/>
  <c r="D234" i="15"/>
  <c r="E234" i="15"/>
  <c r="F234" i="15"/>
  <c r="G234" i="15"/>
  <c r="H234" i="15"/>
  <c r="I234" i="15"/>
  <c r="J234" i="15"/>
  <c r="K234" i="15"/>
  <c r="L234" i="15"/>
  <c r="M234" i="15"/>
  <c r="N234" i="15"/>
  <c r="O234" i="15"/>
  <c r="P234" i="15"/>
  <c r="Q234" i="15"/>
  <c r="C235" i="15"/>
  <c r="D235" i="15"/>
  <c r="E235" i="15"/>
  <c r="F235" i="15"/>
  <c r="G235" i="15"/>
  <c r="H235" i="15"/>
  <c r="I235" i="15"/>
  <c r="J235" i="15"/>
  <c r="K235" i="15"/>
  <c r="L235" i="15"/>
  <c r="M235" i="15"/>
  <c r="N235" i="15"/>
  <c r="O235" i="15"/>
  <c r="P235" i="15"/>
  <c r="Q235" i="15"/>
  <c r="C236" i="15"/>
  <c r="D236" i="15"/>
  <c r="E236" i="15"/>
  <c r="F236" i="15"/>
  <c r="G236" i="15"/>
  <c r="H236" i="15"/>
  <c r="I236" i="15"/>
  <c r="J236" i="15"/>
  <c r="K236" i="15"/>
  <c r="L236" i="15"/>
  <c r="M236" i="15"/>
  <c r="N236" i="15"/>
  <c r="O236" i="15"/>
  <c r="P236" i="15"/>
  <c r="Q236" i="15"/>
  <c r="C237" i="15"/>
  <c r="D237" i="15"/>
  <c r="E237" i="15"/>
  <c r="F237" i="15"/>
  <c r="G237" i="15"/>
  <c r="H237" i="15"/>
  <c r="I237" i="15"/>
  <c r="J237" i="15"/>
  <c r="K237" i="15"/>
  <c r="L237" i="15"/>
  <c r="M237" i="15"/>
  <c r="N237" i="15"/>
  <c r="O237" i="15"/>
  <c r="P237" i="15"/>
  <c r="Q237" i="15"/>
  <c r="C238" i="15"/>
  <c r="D238" i="15"/>
  <c r="E238" i="15"/>
  <c r="F238" i="15"/>
  <c r="G238" i="15"/>
  <c r="H238" i="15"/>
  <c r="I238" i="15"/>
  <c r="J238" i="15"/>
  <c r="K238" i="15"/>
  <c r="L238" i="15"/>
  <c r="M238" i="15"/>
  <c r="N238" i="15"/>
  <c r="O238" i="15"/>
  <c r="P238" i="15"/>
  <c r="Q238" i="15"/>
  <c r="C239" i="15"/>
  <c r="D239" i="15"/>
  <c r="E239" i="15"/>
  <c r="F239" i="15"/>
  <c r="G239" i="15"/>
  <c r="H239" i="15"/>
  <c r="I239" i="15"/>
  <c r="J239" i="15"/>
  <c r="K239" i="15"/>
  <c r="L239" i="15"/>
  <c r="M239" i="15"/>
  <c r="N239" i="15"/>
  <c r="O239" i="15"/>
  <c r="P239" i="15"/>
  <c r="Q239" i="15"/>
  <c r="C240" i="15"/>
  <c r="D240" i="15"/>
  <c r="E240" i="15"/>
  <c r="F240" i="15"/>
  <c r="G240" i="15"/>
  <c r="H240" i="15"/>
  <c r="I240" i="15"/>
  <c r="J240" i="15"/>
  <c r="K240" i="15"/>
  <c r="L240" i="15"/>
  <c r="M240" i="15"/>
  <c r="N240" i="15"/>
  <c r="O240" i="15"/>
  <c r="P240" i="15"/>
  <c r="Q240" i="15"/>
  <c r="C241" i="15"/>
  <c r="D241" i="15"/>
  <c r="E241" i="15"/>
  <c r="F241" i="15"/>
  <c r="G241" i="15"/>
  <c r="H241" i="15"/>
  <c r="I241" i="15"/>
  <c r="J241" i="15"/>
  <c r="K241" i="15"/>
  <c r="L241" i="15"/>
  <c r="M241" i="15"/>
  <c r="N241" i="15"/>
  <c r="O241" i="15"/>
  <c r="P241" i="15"/>
  <c r="Q241" i="15"/>
  <c r="C242" i="15"/>
  <c r="D242" i="15"/>
  <c r="E242" i="15"/>
  <c r="F242" i="15"/>
  <c r="G242" i="15"/>
  <c r="H242" i="15"/>
  <c r="I242" i="15"/>
  <c r="J242" i="15"/>
  <c r="K242" i="15"/>
  <c r="L242" i="15"/>
  <c r="M242" i="15"/>
  <c r="N242" i="15"/>
  <c r="O242" i="15"/>
  <c r="P242" i="15"/>
  <c r="Q242" i="15"/>
  <c r="C243" i="15"/>
  <c r="D243" i="15"/>
  <c r="E243" i="15"/>
  <c r="F243" i="15"/>
  <c r="G243" i="15"/>
  <c r="H243" i="15"/>
  <c r="I243" i="15"/>
  <c r="J243" i="15"/>
  <c r="K243" i="15"/>
  <c r="L243" i="15"/>
  <c r="M243" i="15"/>
  <c r="N243" i="15"/>
  <c r="O243" i="15"/>
  <c r="P243" i="15"/>
  <c r="Q243" i="15"/>
  <c r="C244" i="15"/>
  <c r="D244" i="15"/>
  <c r="E244" i="15"/>
  <c r="F244" i="15"/>
  <c r="G244" i="15"/>
  <c r="H244" i="15"/>
  <c r="I244" i="15"/>
  <c r="J244" i="15"/>
  <c r="K244" i="15"/>
  <c r="L244" i="15"/>
  <c r="M244" i="15"/>
  <c r="N244" i="15"/>
  <c r="O244" i="15"/>
  <c r="P244" i="15"/>
  <c r="Q244" i="15"/>
  <c r="C245" i="15"/>
  <c r="D245" i="15"/>
  <c r="E245" i="15"/>
  <c r="F245" i="15"/>
  <c r="G245" i="15"/>
  <c r="H245" i="15"/>
  <c r="I245" i="15"/>
  <c r="J245" i="15"/>
  <c r="K245" i="15"/>
  <c r="L245" i="15"/>
  <c r="M245" i="15"/>
  <c r="N245" i="15"/>
  <c r="O245" i="15"/>
  <c r="P245" i="15"/>
  <c r="Q245" i="15"/>
  <c r="C246" i="15"/>
  <c r="D246" i="15"/>
  <c r="E246" i="15"/>
  <c r="F246" i="15"/>
  <c r="G246" i="15"/>
  <c r="H246" i="15"/>
  <c r="I246" i="15"/>
  <c r="J246" i="15"/>
  <c r="K246" i="15"/>
  <c r="L246" i="15"/>
  <c r="M246" i="15"/>
  <c r="N246" i="15"/>
  <c r="O246" i="15"/>
  <c r="P246" i="15"/>
  <c r="Q246" i="15"/>
  <c r="C247" i="15"/>
  <c r="D247" i="15"/>
  <c r="E247" i="15"/>
  <c r="F247" i="15"/>
  <c r="G247" i="15"/>
  <c r="H247" i="15"/>
  <c r="I247" i="15"/>
  <c r="J247" i="15"/>
  <c r="K247" i="15"/>
  <c r="L247" i="15"/>
  <c r="M247" i="15"/>
  <c r="N247" i="15"/>
  <c r="O247" i="15"/>
  <c r="P247" i="15"/>
  <c r="Q247" i="15"/>
  <c r="C248" i="15"/>
  <c r="D248" i="15"/>
  <c r="E248" i="15"/>
  <c r="F248" i="15"/>
  <c r="G248" i="15"/>
  <c r="H248" i="15"/>
  <c r="I248" i="15"/>
  <c r="J248" i="15"/>
  <c r="K248" i="15"/>
  <c r="L248" i="15"/>
  <c r="M248" i="15"/>
  <c r="N248" i="15"/>
  <c r="O248" i="15"/>
  <c r="P248" i="15"/>
  <c r="Q248" i="15"/>
  <c r="C249" i="15"/>
  <c r="D249" i="15"/>
  <c r="E249" i="15"/>
  <c r="F249" i="15"/>
  <c r="G249" i="15"/>
  <c r="H249" i="15"/>
  <c r="I249" i="15"/>
  <c r="J249" i="15"/>
  <c r="K249" i="15"/>
  <c r="L249" i="15"/>
  <c r="M249" i="15"/>
  <c r="N249" i="15"/>
  <c r="O249" i="15"/>
  <c r="P249" i="15"/>
  <c r="Q249" i="15"/>
  <c r="C250" i="15"/>
  <c r="D250" i="15"/>
  <c r="E250" i="15"/>
  <c r="F250" i="15"/>
  <c r="G250" i="15"/>
  <c r="H250" i="15"/>
  <c r="I250" i="15"/>
  <c r="J250" i="15"/>
  <c r="K250" i="15"/>
  <c r="L250" i="15"/>
  <c r="M250" i="15"/>
  <c r="N250" i="15"/>
  <c r="O250" i="15"/>
  <c r="P250" i="15"/>
  <c r="Q250" i="15"/>
  <c r="C251" i="15"/>
  <c r="D251" i="15"/>
  <c r="E251" i="15"/>
  <c r="F251" i="15"/>
  <c r="G251" i="15"/>
  <c r="H251" i="15"/>
  <c r="I251" i="15"/>
  <c r="J251" i="15"/>
  <c r="K251" i="15"/>
  <c r="L251" i="15"/>
  <c r="M251" i="15"/>
  <c r="N251" i="15"/>
  <c r="O251" i="15"/>
  <c r="P251" i="15"/>
  <c r="Q251" i="15"/>
  <c r="C252" i="15"/>
  <c r="D252" i="15"/>
  <c r="E252" i="15"/>
  <c r="F252" i="15"/>
  <c r="G252" i="15"/>
  <c r="H252" i="15"/>
  <c r="I252" i="15"/>
  <c r="J252" i="15"/>
  <c r="K252" i="15"/>
  <c r="L252" i="15"/>
  <c r="M252" i="15"/>
  <c r="N252" i="15"/>
  <c r="O252" i="15"/>
  <c r="P252" i="15"/>
  <c r="Q252" i="15"/>
  <c r="C253" i="15"/>
  <c r="D253" i="15"/>
  <c r="E253" i="15"/>
  <c r="F253" i="15"/>
  <c r="G253" i="15"/>
  <c r="H253" i="15"/>
  <c r="I253" i="15"/>
  <c r="J253" i="15"/>
  <c r="K253" i="15"/>
  <c r="L253" i="15"/>
  <c r="M253" i="15"/>
  <c r="N253" i="15"/>
  <c r="O253" i="15"/>
  <c r="P253" i="15"/>
  <c r="Q253" i="15"/>
  <c r="C254" i="15"/>
  <c r="D254" i="15"/>
  <c r="E254" i="15"/>
  <c r="F254" i="15"/>
  <c r="G254" i="15"/>
  <c r="H254" i="15"/>
  <c r="I254" i="15"/>
  <c r="J254" i="15"/>
  <c r="K254" i="15"/>
  <c r="L254" i="15"/>
  <c r="M254" i="15"/>
  <c r="N254" i="15"/>
  <c r="O254" i="15"/>
  <c r="P254" i="15"/>
  <c r="Q254" i="15"/>
  <c r="C255" i="15"/>
  <c r="D255" i="15"/>
  <c r="E255" i="15"/>
  <c r="F255" i="15"/>
  <c r="G255" i="15"/>
  <c r="H255" i="15"/>
  <c r="I255" i="15"/>
  <c r="J255" i="15"/>
  <c r="K255" i="15"/>
  <c r="L255" i="15"/>
  <c r="M255" i="15"/>
  <c r="N255" i="15"/>
  <c r="O255" i="15"/>
  <c r="P255" i="15"/>
  <c r="Q255" i="15"/>
  <c r="C256" i="15"/>
  <c r="D256" i="15"/>
  <c r="E256" i="15"/>
  <c r="F256" i="15"/>
  <c r="G256" i="15"/>
  <c r="H256" i="15"/>
  <c r="I256" i="15"/>
  <c r="J256" i="15"/>
  <c r="K256" i="15"/>
  <c r="L256" i="15"/>
  <c r="M256" i="15"/>
  <c r="N256" i="15"/>
  <c r="O256" i="15"/>
  <c r="P256" i="15"/>
  <c r="Q256" i="15"/>
  <c r="C257" i="15"/>
  <c r="D257" i="15"/>
  <c r="E257" i="15"/>
  <c r="F257" i="15"/>
  <c r="G257" i="15"/>
  <c r="H257" i="15"/>
  <c r="I257" i="15"/>
  <c r="J257" i="15"/>
  <c r="K257" i="15"/>
  <c r="L257" i="15"/>
  <c r="M257" i="15"/>
  <c r="N257" i="15"/>
  <c r="O257" i="15"/>
  <c r="P257" i="15"/>
  <c r="Q257" i="15"/>
  <c r="C258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P258" i="15"/>
  <c r="Q258" i="15"/>
  <c r="C259" i="15"/>
  <c r="G259" i="15"/>
  <c r="I259" i="15"/>
  <c r="L259" i="15"/>
  <c r="N259" i="15"/>
  <c r="Q259" i="15"/>
  <c r="C260" i="15"/>
  <c r="D260" i="15"/>
  <c r="E260" i="15"/>
  <c r="F260" i="15"/>
  <c r="G260" i="15"/>
  <c r="H260" i="15"/>
  <c r="I260" i="15"/>
  <c r="J260" i="15"/>
  <c r="K260" i="15"/>
  <c r="L260" i="15"/>
  <c r="M260" i="15"/>
  <c r="N260" i="15"/>
  <c r="O260" i="15"/>
  <c r="P260" i="15"/>
  <c r="Q260" i="15"/>
  <c r="C261" i="15"/>
  <c r="D261" i="15"/>
  <c r="E261" i="15"/>
  <c r="F261" i="15"/>
  <c r="G261" i="15"/>
  <c r="H261" i="15"/>
  <c r="I261" i="15"/>
  <c r="J261" i="15"/>
  <c r="K261" i="15"/>
  <c r="L261" i="15"/>
  <c r="M261" i="15"/>
  <c r="N261" i="15"/>
  <c r="O261" i="15"/>
  <c r="P261" i="15"/>
  <c r="Q261" i="15"/>
  <c r="C262" i="15"/>
  <c r="D262" i="15"/>
  <c r="E262" i="15"/>
  <c r="F262" i="15"/>
  <c r="G262" i="15"/>
  <c r="H262" i="15"/>
  <c r="I262" i="15"/>
  <c r="J262" i="15"/>
  <c r="K262" i="15"/>
  <c r="L262" i="15"/>
  <c r="M262" i="15"/>
  <c r="N262" i="15"/>
  <c r="O262" i="15"/>
  <c r="P262" i="15"/>
  <c r="Q262" i="15"/>
  <c r="C263" i="15"/>
  <c r="D263" i="15"/>
  <c r="E263" i="15"/>
  <c r="F263" i="15"/>
  <c r="G263" i="15"/>
  <c r="H263" i="15"/>
  <c r="I263" i="15"/>
  <c r="J263" i="15"/>
  <c r="K263" i="15"/>
  <c r="L263" i="15"/>
  <c r="M263" i="15"/>
  <c r="N263" i="15"/>
  <c r="O263" i="15"/>
  <c r="P263" i="15"/>
  <c r="Q263" i="15"/>
  <c r="C264" i="15"/>
  <c r="D264" i="15"/>
  <c r="E264" i="15"/>
  <c r="F264" i="15"/>
  <c r="G264" i="15"/>
  <c r="H264" i="15"/>
  <c r="I264" i="15"/>
  <c r="J264" i="15"/>
  <c r="K264" i="15"/>
  <c r="L264" i="15"/>
  <c r="M264" i="15"/>
  <c r="N264" i="15"/>
  <c r="O264" i="15"/>
  <c r="P264" i="15"/>
  <c r="Q264" i="15"/>
  <c r="C265" i="15"/>
  <c r="D265" i="15"/>
  <c r="E265" i="15"/>
  <c r="F265" i="15"/>
  <c r="G265" i="15"/>
  <c r="H265" i="15"/>
  <c r="I265" i="15"/>
  <c r="J265" i="15"/>
  <c r="K265" i="15"/>
  <c r="L265" i="15"/>
  <c r="M265" i="15"/>
  <c r="N265" i="15"/>
  <c r="O265" i="15"/>
  <c r="P265" i="15"/>
  <c r="Q265" i="15"/>
  <c r="C266" i="15"/>
  <c r="D266" i="15"/>
  <c r="E266" i="15"/>
  <c r="F266" i="15"/>
  <c r="G266" i="15"/>
  <c r="H266" i="15"/>
  <c r="I266" i="15"/>
  <c r="J266" i="15"/>
  <c r="K266" i="15"/>
  <c r="L266" i="15"/>
  <c r="M266" i="15"/>
  <c r="N266" i="15"/>
  <c r="O266" i="15"/>
  <c r="P266" i="15"/>
  <c r="Q266" i="15"/>
  <c r="C267" i="15"/>
  <c r="D267" i="15"/>
  <c r="E267" i="15"/>
  <c r="F267" i="15"/>
  <c r="G267" i="15"/>
  <c r="H267" i="15"/>
  <c r="I267" i="15"/>
  <c r="J267" i="15"/>
  <c r="K267" i="15"/>
  <c r="L267" i="15"/>
  <c r="M267" i="15"/>
  <c r="N267" i="15"/>
  <c r="O267" i="15"/>
  <c r="P267" i="15"/>
  <c r="Q267" i="15"/>
  <c r="C268" i="15"/>
  <c r="D268" i="15"/>
  <c r="E268" i="15"/>
  <c r="F268" i="15"/>
  <c r="G268" i="15"/>
  <c r="H268" i="15"/>
  <c r="I268" i="15"/>
  <c r="J268" i="15"/>
  <c r="K268" i="15"/>
  <c r="L268" i="15"/>
  <c r="M268" i="15"/>
  <c r="N268" i="15"/>
  <c r="O268" i="15"/>
  <c r="P268" i="15"/>
  <c r="Q268" i="15"/>
  <c r="C269" i="15"/>
  <c r="D269" i="15"/>
  <c r="E269" i="15"/>
  <c r="F269" i="15"/>
  <c r="G269" i="15"/>
  <c r="H269" i="15"/>
  <c r="I269" i="15"/>
  <c r="J269" i="15"/>
  <c r="K269" i="15"/>
  <c r="L269" i="15"/>
  <c r="M269" i="15"/>
  <c r="N269" i="15"/>
  <c r="O269" i="15"/>
  <c r="P269" i="15"/>
  <c r="Q269" i="15"/>
  <c r="C270" i="15"/>
  <c r="D270" i="15"/>
  <c r="E270" i="15"/>
  <c r="F270" i="15"/>
  <c r="G270" i="15"/>
  <c r="H270" i="15"/>
  <c r="I270" i="15"/>
  <c r="J270" i="15"/>
  <c r="K270" i="15"/>
  <c r="L270" i="15"/>
  <c r="M270" i="15"/>
  <c r="N270" i="15"/>
  <c r="O270" i="15"/>
  <c r="P270" i="15"/>
  <c r="Q270" i="15"/>
  <c r="C271" i="15"/>
  <c r="D271" i="15"/>
  <c r="E271" i="15"/>
  <c r="F271" i="15"/>
  <c r="G271" i="15"/>
  <c r="H271" i="15"/>
  <c r="I271" i="15"/>
  <c r="J271" i="15"/>
  <c r="K271" i="15"/>
  <c r="L271" i="15"/>
  <c r="M271" i="15"/>
  <c r="N271" i="15"/>
  <c r="O271" i="15"/>
  <c r="P271" i="15"/>
  <c r="Q271" i="15"/>
  <c r="C272" i="15"/>
  <c r="D272" i="15"/>
  <c r="E272" i="15"/>
  <c r="F272" i="15"/>
  <c r="G272" i="15"/>
  <c r="H272" i="15"/>
  <c r="I272" i="15"/>
  <c r="J272" i="15"/>
  <c r="K272" i="15"/>
  <c r="L272" i="15"/>
  <c r="M272" i="15"/>
  <c r="N272" i="15"/>
  <c r="O272" i="15"/>
  <c r="P272" i="15"/>
  <c r="Q272" i="15"/>
  <c r="C273" i="15"/>
  <c r="D273" i="15"/>
  <c r="E273" i="15"/>
  <c r="F273" i="15"/>
  <c r="G273" i="15"/>
  <c r="H273" i="15"/>
  <c r="I273" i="15"/>
  <c r="J273" i="15"/>
  <c r="K273" i="15"/>
  <c r="L273" i="15"/>
  <c r="M273" i="15"/>
  <c r="N273" i="15"/>
  <c r="O273" i="15"/>
  <c r="P273" i="15"/>
  <c r="Q273" i="15"/>
  <c r="C274" i="15"/>
  <c r="D274" i="15"/>
  <c r="E274" i="15"/>
  <c r="F274" i="15"/>
  <c r="G274" i="15"/>
  <c r="H274" i="15"/>
  <c r="I274" i="15"/>
  <c r="J274" i="15"/>
  <c r="K274" i="15"/>
  <c r="L274" i="15"/>
  <c r="M274" i="15"/>
  <c r="N274" i="15"/>
  <c r="O274" i="15"/>
  <c r="P274" i="15"/>
  <c r="Q274" i="15"/>
  <c r="C275" i="15"/>
  <c r="D275" i="15"/>
  <c r="E275" i="15"/>
  <c r="F275" i="15"/>
  <c r="G275" i="15"/>
  <c r="H275" i="15"/>
  <c r="I275" i="15"/>
  <c r="J275" i="15"/>
  <c r="K275" i="15"/>
  <c r="L275" i="15"/>
  <c r="M275" i="15"/>
  <c r="N275" i="15"/>
  <c r="O275" i="15"/>
  <c r="P275" i="15"/>
  <c r="Q275" i="15"/>
  <c r="C276" i="15"/>
  <c r="D276" i="15"/>
  <c r="E276" i="15"/>
  <c r="F276" i="15"/>
  <c r="G276" i="15"/>
  <c r="H276" i="15"/>
  <c r="I276" i="15"/>
  <c r="J276" i="15"/>
  <c r="K276" i="15"/>
  <c r="L276" i="15"/>
  <c r="M276" i="15"/>
  <c r="N276" i="15"/>
  <c r="O276" i="15"/>
  <c r="P276" i="15"/>
  <c r="Q276" i="15"/>
  <c r="C277" i="15"/>
  <c r="D277" i="15"/>
  <c r="E277" i="15"/>
  <c r="F277" i="15"/>
  <c r="G277" i="15"/>
  <c r="H277" i="15"/>
  <c r="I277" i="15"/>
  <c r="J277" i="15"/>
  <c r="K277" i="15"/>
  <c r="L277" i="15"/>
  <c r="M277" i="15"/>
  <c r="N277" i="15"/>
  <c r="O277" i="15"/>
  <c r="P277" i="15"/>
  <c r="Q277" i="15"/>
  <c r="C278" i="15"/>
  <c r="D278" i="15"/>
  <c r="E278" i="15"/>
  <c r="F278" i="15"/>
  <c r="G278" i="15"/>
  <c r="H278" i="15"/>
  <c r="I278" i="15"/>
  <c r="J278" i="15"/>
  <c r="K278" i="15"/>
  <c r="L278" i="15"/>
  <c r="M278" i="15"/>
  <c r="N278" i="15"/>
  <c r="O278" i="15"/>
  <c r="P278" i="15"/>
  <c r="Q278" i="15"/>
  <c r="C279" i="15"/>
  <c r="D279" i="15"/>
  <c r="E279" i="15"/>
  <c r="F279" i="15"/>
  <c r="G279" i="15"/>
  <c r="H279" i="15"/>
  <c r="I279" i="15"/>
  <c r="J279" i="15"/>
  <c r="K279" i="15"/>
  <c r="L279" i="15"/>
  <c r="M279" i="15"/>
  <c r="N279" i="15"/>
  <c r="O279" i="15"/>
  <c r="P279" i="15"/>
  <c r="Q279" i="15"/>
  <c r="C280" i="15"/>
  <c r="D280" i="15"/>
  <c r="E280" i="15"/>
  <c r="F280" i="15"/>
  <c r="G280" i="15"/>
  <c r="H280" i="15"/>
  <c r="I280" i="15"/>
  <c r="J280" i="15"/>
  <c r="K280" i="15"/>
  <c r="L280" i="15"/>
  <c r="M280" i="15"/>
  <c r="N280" i="15"/>
  <c r="O280" i="15"/>
  <c r="P280" i="15"/>
  <c r="Q280" i="15"/>
  <c r="C281" i="15"/>
  <c r="D281" i="15"/>
  <c r="E281" i="15"/>
  <c r="F281" i="15"/>
  <c r="G281" i="15"/>
  <c r="H281" i="15"/>
  <c r="I281" i="15"/>
  <c r="J281" i="15"/>
  <c r="K281" i="15"/>
  <c r="L281" i="15"/>
  <c r="M281" i="15"/>
  <c r="N281" i="15"/>
  <c r="O281" i="15"/>
  <c r="P281" i="15"/>
  <c r="Q281" i="15"/>
  <c r="C282" i="15"/>
  <c r="D282" i="15"/>
  <c r="E282" i="15"/>
  <c r="F282" i="15"/>
  <c r="G282" i="15"/>
  <c r="H282" i="15"/>
  <c r="I282" i="15"/>
  <c r="J282" i="15"/>
  <c r="K282" i="15"/>
  <c r="L282" i="15"/>
  <c r="M282" i="15"/>
  <c r="N282" i="15"/>
  <c r="O282" i="15"/>
  <c r="P282" i="15"/>
  <c r="Q282" i="15"/>
  <c r="C283" i="15"/>
  <c r="D283" i="15"/>
  <c r="E283" i="15"/>
  <c r="F283" i="15"/>
  <c r="G283" i="15"/>
  <c r="H283" i="15"/>
  <c r="I283" i="15"/>
  <c r="J283" i="15"/>
  <c r="K283" i="15"/>
  <c r="L283" i="15"/>
  <c r="M283" i="15"/>
  <c r="N283" i="15"/>
  <c r="O283" i="15"/>
  <c r="P283" i="15"/>
  <c r="Q283" i="15"/>
  <c r="C284" i="15"/>
  <c r="E284" i="15"/>
  <c r="F284" i="15"/>
  <c r="G284" i="15"/>
  <c r="H284" i="15"/>
  <c r="I284" i="15"/>
  <c r="J284" i="15"/>
  <c r="K284" i="15"/>
  <c r="L284" i="15"/>
  <c r="N284" i="15"/>
  <c r="O284" i="15"/>
  <c r="P284" i="15"/>
  <c r="Q284" i="15"/>
  <c r="C285" i="15"/>
  <c r="D285" i="15"/>
  <c r="E285" i="15"/>
  <c r="F285" i="15"/>
  <c r="G285" i="15"/>
  <c r="H285" i="15"/>
  <c r="I285" i="15"/>
  <c r="J285" i="15"/>
  <c r="K285" i="15"/>
  <c r="L285" i="15"/>
  <c r="M285" i="15"/>
  <c r="N285" i="15"/>
  <c r="O285" i="15"/>
  <c r="P285" i="15"/>
  <c r="Q285" i="15"/>
  <c r="C286" i="15"/>
  <c r="E286" i="15"/>
  <c r="F286" i="15"/>
  <c r="G286" i="15"/>
  <c r="H286" i="15"/>
  <c r="I286" i="15"/>
  <c r="J286" i="15"/>
  <c r="K286" i="15"/>
  <c r="L286" i="15"/>
  <c r="N286" i="15"/>
  <c r="O286" i="15"/>
  <c r="P286" i="15"/>
  <c r="Q286" i="15"/>
  <c r="C287" i="15"/>
  <c r="D287" i="15"/>
  <c r="E287" i="15"/>
  <c r="F287" i="15"/>
  <c r="G287" i="15"/>
  <c r="H287" i="15"/>
  <c r="I287" i="15"/>
  <c r="J287" i="15"/>
  <c r="K287" i="15"/>
  <c r="L287" i="15"/>
  <c r="M287" i="15"/>
  <c r="N287" i="15"/>
  <c r="O287" i="15"/>
  <c r="P287" i="15"/>
  <c r="Q287" i="15"/>
  <c r="C288" i="15"/>
  <c r="E288" i="15"/>
  <c r="F288" i="15"/>
  <c r="G288" i="15"/>
  <c r="H288" i="15"/>
  <c r="I288" i="15"/>
  <c r="J288" i="15"/>
  <c r="K288" i="15"/>
  <c r="L288" i="15"/>
  <c r="N288" i="15"/>
  <c r="O288" i="15"/>
  <c r="P288" i="15"/>
  <c r="Q288" i="15"/>
  <c r="C289" i="15"/>
  <c r="D289" i="15"/>
  <c r="E289" i="15"/>
  <c r="F289" i="15"/>
  <c r="G289" i="15"/>
  <c r="H289" i="15"/>
  <c r="I289" i="15"/>
  <c r="J289" i="15"/>
  <c r="K289" i="15"/>
  <c r="L289" i="15"/>
  <c r="M289" i="15"/>
  <c r="N289" i="15"/>
  <c r="O289" i="15"/>
  <c r="P289" i="15"/>
  <c r="Q289" i="15"/>
  <c r="C290" i="15"/>
  <c r="D290" i="15"/>
  <c r="E290" i="15"/>
  <c r="F290" i="15"/>
  <c r="G290" i="15"/>
  <c r="H290" i="15"/>
  <c r="I290" i="15"/>
  <c r="J290" i="15"/>
  <c r="K290" i="15"/>
  <c r="L290" i="15"/>
  <c r="M290" i="15"/>
  <c r="N290" i="15"/>
  <c r="O290" i="15"/>
  <c r="P290" i="15"/>
  <c r="Q290" i="15"/>
  <c r="C291" i="15"/>
  <c r="D291" i="15"/>
  <c r="E291" i="15"/>
  <c r="F291" i="15"/>
  <c r="G291" i="15"/>
  <c r="H291" i="15"/>
  <c r="I291" i="15"/>
  <c r="J291" i="15"/>
  <c r="K291" i="15"/>
  <c r="L291" i="15"/>
  <c r="M291" i="15"/>
  <c r="N291" i="15"/>
  <c r="O291" i="15"/>
  <c r="P291" i="15"/>
  <c r="Q291" i="15"/>
  <c r="C292" i="15"/>
  <c r="D292" i="15"/>
  <c r="E292" i="15"/>
  <c r="F292" i="15"/>
  <c r="G292" i="15"/>
  <c r="H292" i="15"/>
  <c r="I292" i="15"/>
  <c r="J292" i="15"/>
  <c r="K292" i="15"/>
  <c r="L292" i="15"/>
  <c r="M292" i="15"/>
  <c r="N292" i="15"/>
  <c r="O292" i="15"/>
  <c r="P292" i="15"/>
  <c r="Q292" i="15"/>
  <c r="C293" i="15"/>
  <c r="D293" i="15"/>
  <c r="E293" i="15"/>
  <c r="F293" i="15"/>
  <c r="G293" i="15"/>
  <c r="H293" i="15"/>
  <c r="I293" i="15"/>
  <c r="J293" i="15"/>
  <c r="K293" i="15"/>
  <c r="L293" i="15"/>
  <c r="M293" i="15"/>
  <c r="N293" i="15"/>
  <c r="O293" i="15"/>
  <c r="P293" i="15"/>
  <c r="Q293" i="15"/>
  <c r="C294" i="15"/>
  <c r="D294" i="15"/>
  <c r="E294" i="15"/>
  <c r="F294" i="15"/>
  <c r="G294" i="15"/>
  <c r="H294" i="15"/>
  <c r="I294" i="15"/>
  <c r="J294" i="15"/>
  <c r="K294" i="15"/>
  <c r="L294" i="15"/>
  <c r="M294" i="15"/>
  <c r="N294" i="15"/>
  <c r="O294" i="15"/>
  <c r="P294" i="15"/>
  <c r="Q294" i="15"/>
  <c r="C295" i="15"/>
  <c r="D295" i="15"/>
  <c r="E295" i="15"/>
  <c r="F295" i="15"/>
  <c r="G295" i="15"/>
  <c r="H295" i="15"/>
  <c r="I295" i="15"/>
  <c r="J295" i="15"/>
  <c r="K295" i="15"/>
  <c r="L295" i="15"/>
  <c r="M295" i="15"/>
  <c r="N295" i="15"/>
  <c r="O295" i="15"/>
  <c r="P295" i="15"/>
  <c r="Q295" i="15"/>
  <c r="C296" i="15"/>
  <c r="D296" i="15"/>
  <c r="E296" i="15"/>
  <c r="F296" i="15"/>
  <c r="G296" i="15"/>
  <c r="H296" i="15"/>
  <c r="I296" i="15"/>
  <c r="J296" i="15"/>
  <c r="K296" i="15"/>
  <c r="L296" i="15"/>
  <c r="M296" i="15"/>
  <c r="N296" i="15"/>
  <c r="O296" i="15"/>
  <c r="P296" i="15"/>
  <c r="Q296" i="15"/>
  <c r="C297" i="15"/>
  <c r="D297" i="15"/>
  <c r="E297" i="15"/>
  <c r="F297" i="15"/>
  <c r="G297" i="15"/>
  <c r="H297" i="15"/>
  <c r="I297" i="15"/>
  <c r="J297" i="15"/>
  <c r="K297" i="15"/>
  <c r="L297" i="15"/>
  <c r="M297" i="15"/>
  <c r="N297" i="15"/>
  <c r="O297" i="15"/>
  <c r="P297" i="15"/>
  <c r="Q297" i="15"/>
  <c r="C298" i="15"/>
  <c r="D298" i="15"/>
  <c r="E298" i="15"/>
  <c r="F298" i="15"/>
  <c r="G298" i="15"/>
  <c r="H298" i="15"/>
  <c r="I298" i="15"/>
  <c r="J298" i="15"/>
  <c r="K298" i="15"/>
  <c r="L298" i="15"/>
  <c r="M298" i="15"/>
  <c r="N298" i="15"/>
  <c r="O298" i="15"/>
  <c r="P298" i="15"/>
  <c r="Q298" i="15"/>
  <c r="C299" i="15"/>
  <c r="D299" i="15"/>
  <c r="E299" i="15"/>
  <c r="F299" i="15"/>
  <c r="G299" i="15"/>
  <c r="H299" i="15"/>
  <c r="I299" i="15"/>
  <c r="J299" i="15"/>
  <c r="K299" i="15"/>
  <c r="L299" i="15"/>
  <c r="M299" i="15"/>
  <c r="N299" i="15"/>
  <c r="O299" i="15"/>
  <c r="P299" i="15"/>
  <c r="Q299" i="15"/>
  <c r="C300" i="15"/>
  <c r="D300" i="15"/>
  <c r="E300" i="15"/>
  <c r="F300" i="15"/>
  <c r="G300" i="15"/>
  <c r="H300" i="15"/>
  <c r="I300" i="15"/>
  <c r="J300" i="15"/>
  <c r="K300" i="15"/>
  <c r="L300" i="15"/>
  <c r="M300" i="15"/>
  <c r="N300" i="15"/>
  <c r="O300" i="15"/>
  <c r="P300" i="15"/>
  <c r="Q300" i="15"/>
  <c r="C301" i="15"/>
  <c r="D301" i="15"/>
  <c r="E301" i="15"/>
  <c r="F301" i="15"/>
  <c r="G301" i="15"/>
  <c r="H301" i="15"/>
  <c r="I301" i="15"/>
  <c r="J301" i="15"/>
  <c r="K301" i="15"/>
  <c r="L301" i="15"/>
  <c r="M301" i="15"/>
  <c r="N301" i="15"/>
  <c r="O301" i="15"/>
  <c r="P301" i="15"/>
  <c r="Q301" i="15"/>
  <c r="C302" i="15"/>
  <c r="E302" i="15"/>
  <c r="F302" i="15"/>
  <c r="G302" i="15"/>
  <c r="H302" i="15"/>
  <c r="I302" i="15"/>
  <c r="J302" i="15"/>
  <c r="K302" i="15"/>
  <c r="L302" i="15"/>
  <c r="N302" i="15"/>
  <c r="O302" i="15"/>
  <c r="P302" i="15"/>
  <c r="Q302" i="15"/>
  <c r="C303" i="15"/>
  <c r="D303" i="15"/>
  <c r="E303" i="15"/>
  <c r="F303" i="15"/>
  <c r="G303" i="15"/>
  <c r="H303" i="15"/>
  <c r="I303" i="15"/>
  <c r="J303" i="15"/>
  <c r="K303" i="15"/>
  <c r="L303" i="15"/>
  <c r="M303" i="15"/>
  <c r="N303" i="15"/>
  <c r="O303" i="15"/>
  <c r="P303" i="15"/>
  <c r="Q303" i="15"/>
  <c r="C304" i="15"/>
  <c r="D304" i="15"/>
  <c r="E304" i="15"/>
  <c r="F304" i="15"/>
  <c r="G304" i="15"/>
  <c r="H304" i="15"/>
  <c r="I304" i="15"/>
  <c r="J304" i="15"/>
  <c r="K304" i="15"/>
  <c r="L304" i="15"/>
  <c r="M304" i="15"/>
  <c r="N304" i="15"/>
  <c r="O304" i="15"/>
  <c r="P304" i="15"/>
  <c r="Q304" i="15"/>
  <c r="C305" i="15"/>
  <c r="D305" i="15"/>
  <c r="E305" i="15"/>
  <c r="F305" i="15"/>
  <c r="G305" i="15"/>
  <c r="H305" i="15"/>
  <c r="I305" i="15"/>
  <c r="J305" i="15"/>
  <c r="K305" i="15"/>
  <c r="L305" i="15"/>
  <c r="M305" i="15"/>
  <c r="N305" i="15"/>
  <c r="O305" i="15"/>
  <c r="P305" i="15"/>
  <c r="Q305" i="15"/>
  <c r="C306" i="15"/>
  <c r="D306" i="15"/>
  <c r="E306" i="15"/>
  <c r="F306" i="15"/>
  <c r="G306" i="15"/>
  <c r="H306" i="15"/>
  <c r="I306" i="15"/>
  <c r="J306" i="15"/>
  <c r="K306" i="15"/>
  <c r="L306" i="15"/>
  <c r="M306" i="15"/>
  <c r="N306" i="15"/>
  <c r="O306" i="15"/>
  <c r="P306" i="15"/>
  <c r="Q306" i="15"/>
  <c r="C307" i="15"/>
  <c r="D307" i="15"/>
  <c r="E307" i="15"/>
  <c r="F307" i="15"/>
  <c r="G307" i="15"/>
  <c r="H307" i="15"/>
  <c r="I307" i="15"/>
  <c r="J307" i="15"/>
  <c r="K307" i="15"/>
  <c r="L307" i="15"/>
  <c r="M307" i="15"/>
  <c r="N307" i="15"/>
  <c r="O307" i="15"/>
  <c r="P307" i="15"/>
  <c r="Q307" i="15"/>
  <c r="C308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P308" i="15"/>
  <c r="Q308" i="15"/>
  <c r="C309" i="15"/>
  <c r="G309" i="15"/>
  <c r="I309" i="15"/>
  <c r="L309" i="15"/>
  <c r="N309" i="15"/>
  <c r="Q309" i="15"/>
  <c r="C310" i="15"/>
  <c r="D310" i="15"/>
  <c r="E310" i="15"/>
  <c r="F310" i="15"/>
  <c r="G310" i="15"/>
  <c r="H310" i="15"/>
  <c r="I310" i="15"/>
  <c r="J310" i="15"/>
  <c r="K310" i="15"/>
  <c r="L310" i="15"/>
  <c r="M310" i="15"/>
  <c r="N310" i="15"/>
  <c r="O310" i="15"/>
  <c r="P310" i="15"/>
  <c r="Q310" i="15"/>
  <c r="C311" i="15"/>
  <c r="D311" i="15"/>
  <c r="E311" i="15"/>
  <c r="F311" i="15"/>
  <c r="G311" i="15"/>
  <c r="H311" i="15"/>
  <c r="I311" i="15"/>
  <c r="J311" i="15"/>
  <c r="K311" i="15"/>
  <c r="L311" i="15"/>
  <c r="M311" i="15"/>
  <c r="N311" i="15"/>
  <c r="O311" i="15"/>
  <c r="P311" i="15"/>
  <c r="Q311" i="15"/>
  <c r="C312" i="15"/>
  <c r="D312" i="15"/>
  <c r="E312" i="15"/>
  <c r="F312" i="15"/>
  <c r="G312" i="15"/>
  <c r="H312" i="15"/>
  <c r="I312" i="15"/>
  <c r="J312" i="15"/>
  <c r="K312" i="15"/>
  <c r="L312" i="15"/>
  <c r="M312" i="15"/>
  <c r="N312" i="15"/>
  <c r="O312" i="15"/>
  <c r="P312" i="15"/>
  <c r="Q312" i="15"/>
  <c r="C313" i="15"/>
  <c r="D313" i="15"/>
  <c r="E313" i="15"/>
  <c r="F313" i="15"/>
  <c r="G313" i="15"/>
  <c r="H313" i="15"/>
  <c r="I313" i="15"/>
  <c r="J313" i="15"/>
  <c r="K313" i="15"/>
  <c r="L313" i="15"/>
  <c r="M313" i="15"/>
  <c r="N313" i="15"/>
  <c r="O313" i="15"/>
  <c r="P313" i="15"/>
  <c r="Q313" i="15"/>
  <c r="C314" i="15"/>
  <c r="D314" i="15"/>
  <c r="E314" i="15"/>
  <c r="F314" i="15"/>
  <c r="G314" i="15"/>
  <c r="H314" i="15"/>
  <c r="I314" i="15"/>
  <c r="J314" i="15"/>
  <c r="K314" i="15"/>
  <c r="L314" i="15"/>
  <c r="M314" i="15"/>
  <c r="N314" i="15"/>
  <c r="O314" i="15"/>
  <c r="P314" i="15"/>
  <c r="Q314" i="15"/>
  <c r="C315" i="15"/>
  <c r="D315" i="15"/>
  <c r="E315" i="15"/>
  <c r="F315" i="15"/>
  <c r="G315" i="15"/>
  <c r="H315" i="15"/>
  <c r="I315" i="15"/>
  <c r="J315" i="15"/>
  <c r="K315" i="15"/>
  <c r="L315" i="15"/>
  <c r="M315" i="15"/>
  <c r="N315" i="15"/>
  <c r="O315" i="15"/>
  <c r="P315" i="15"/>
  <c r="Q315" i="15"/>
  <c r="G316" i="15"/>
  <c r="I316" i="15"/>
  <c r="L316" i="15"/>
  <c r="N316" i="15"/>
  <c r="Q316" i="15"/>
  <c r="C317" i="15"/>
  <c r="D317" i="15"/>
  <c r="E317" i="15"/>
  <c r="F317" i="15"/>
  <c r="G317" i="15"/>
  <c r="H317" i="15"/>
  <c r="I317" i="15"/>
  <c r="J317" i="15"/>
  <c r="K317" i="15"/>
  <c r="L317" i="15"/>
  <c r="M317" i="15"/>
  <c r="N317" i="15"/>
  <c r="O317" i="15"/>
  <c r="P317" i="15"/>
  <c r="Q317" i="15"/>
  <c r="X317" i="15"/>
  <c r="C318" i="15"/>
  <c r="D318" i="15"/>
  <c r="E318" i="15"/>
  <c r="F318" i="15"/>
  <c r="G318" i="15"/>
  <c r="H318" i="15"/>
  <c r="I318" i="15"/>
  <c r="J318" i="15"/>
  <c r="K318" i="15"/>
  <c r="L318" i="15"/>
  <c r="M318" i="15"/>
  <c r="N318" i="15"/>
  <c r="O318" i="15"/>
  <c r="P318" i="15"/>
  <c r="Q318" i="15"/>
  <c r="X318" i="15"/>
  <c r="C319" i="15"/>
  <c r="D319" i="15"/>
  <c r="E319" i="15"/>
  <c r="F319" i="15"/>
  <c r="G319" i="15"/>
  <c r="H319" i="15"/>
  <c r="I319" i="15"/>
  <c r="J319" i="15"/>
  <c r="K319" i="15"/>
  <c r="L319" i="15"/>
  <c r="M319" i="15"/>
  <c r="N319" i="15"/>
  <c r="O319" i="15"/>
  <c r="P319" i="15"/>
  <c r="Q319" i="15"/>
  <c r="X319" i="15"/>
  <c r="C320" i="15"/>
  <c r="D320" i="15"/>
  <c r="E320" i="15"/>
  <c r="F320" i="15"/>
  <c r="G320" i="15"/>
  <c r="H320" i="15"/>
  <c r="I320" i="15"/>
  <c r="J320" i="15"/>
  <c r="K320" i="15"/>
  <c r="L320" i="15"/>
  <c r="M320" i="15"/>
  <c r="N320" i="15"/>
  <c r="O320" i="15"/>
  <c r="P320" i="15"/>
  <c r="Q320" i="15"/>
  <c r="X320" i="15"/>
  <c r="C321" i="15"/>
  <c r="D321" i="15"/>
  <c r="E321" i="15"/>
  <c r="F321" i="15"/>
  <c r="G321" i="15"/>
  <c r="H321" i="15"/>
  <c r="I321" i="15"/>
  <c r="J321" i="15"/>
  <c r="K321" i="15"/>
  <c r="L321" i="15"/>
  <c r="M321" i="15"/>
  <c r="N321" i="15"/>
  <c r="O321" i="15"/>
  <c r="P321" i="15"/>
  <c r="Q321" i="15"/>
  <c r="X321" i="15"/>
  <c r="G322" i="15"/>
  <c r="I322" i="15"/>
  <c r="L322" i="15"/>
  <c r="N322" i="15"/>
  <c r="Q322" i="15"/>
  <c r="C323" i="15"/>
  <c r="D323" i="15"/>
  <c r="E323" i="15"/>
  <c r="F323" i="15"/>
  <c r="G323" i="15"/>
  <c r="H323" i="15"/>
  <c r="I323" i="15"/>
  <c r="J323" i="15"/>
  <c r="K323" i="15"/>
  <c r="L323" i="15"/>
  <c r="M323" i="15"/>
  <c r="N323" i="15"/>
  <c r="O323" i="15"/>
  <c r="P323" i="15"/>
  <c r="Q323" i="15"/>
  <c r="X323" i="15"/>
  <c r="C324" i="15"/>
  <c r="D324" i="15"/>
  <c r="E324" i="15"/>
  <c r="F324" i="15"/>
  <c r="G324" i="15"/>
  <c r="H324" i="15"/>
  <c r="I324" i="15"/>
  <c r="J324" i="15"/>
  <c r="K324" i="15"/>
  <c r="L324" i="15"/>
  <c r="M324" i="15"/>
  <c r="N324" i="15"/>
  <c r="O324" i="15"/>
  <c r="P324" i="15"/>
  <c r="Q324" i="15"/>
  <c r="X324" i="15"/>
  <c r="C325" i="15"/>
  <c r="D325" i="15"/>
  <c r="E325" i="15"/>
  <c r="F325" i="15"/>
  <c r="G325" i="15"/>
  <c r="H325" i="15"/>
  <c r="I325" i="15"/>
  <c r="J325" i="15"/>
  <c r="K325" i="15"/>
  <c r="L325" i="15"/>
  <c r="M325" i="15"/>
  <c r="N325" i="15"/>
  <c r="O325" i="15"/>
  <c r="P325" i="15"/>
  <c r="Q325" i="15"/>
  <c r="X325" i="15"/>
  <c r="C326" i="15"/>
  <c r="D326" i="15"/>
  <c r="E326" i="15"/>
  <c r="F326" i="15"/>
  <c r="G326" i="15"/>
  <c r="H326" i="15"/>
  <c r="I326" i="15"/>
  <c r="J326" i="15"/>
  <c r="K326" i="15"/>
  <c r="L326" i="15"/>
  <c r="M326" i="15"/>
  <c r="N326" i="15"/>
  <c r="O326" i="15"/>
  <c r="P326" i="15"/>
  <c r="Q326" i="15"/>
  <c r="X326" i="15"/>
  <c r="C327" i="15"/>
  <c r="D327" i="15"/>
  <c r="E327" i="15"/>
  <c r="F327" i="15"/>
  <c r="G327" i="15"/>
  <c r="H327" i="15"/>
  <c r="I327" i="15"/>
  <c r="J327" i="15"/>
  <c r="K327" i="15"/>
  <c r="L327" i="15"/>
  <c r="M327" i="15"/>
  <c r="N327" i="15"/>
  <c r="O327" i="15"/>
  <c r="P327" i="15"/>
  <c r="Q327" i="15"/>
  <c r="X327" i="15"/>
  <c r="C328" i="15"/>
  <c r="D328" i="15"/>
  <c r="E328" i="15"/>
  <c r="F328" i="15"/>
  <c r="G328" i="15"/>
  <c r="H328" i="15"/>
  <c r="I328" i="15"/>
  <c r="J328" i="15"/>
  <c r="K328" i="15"/>
  <c r="L328" i="15"/>
  <c r="M328" i="15"/>
  <c r="N328" i="15"/>
  <c r="O328" i="15"/>
  <c r="P328" i="15"/>
  <c r="Q328" i="15"/>
  <c r="X328" i="15"/>
  <c r="C329" i="15"/>
  <c r="D329" i="15"/>
  <c r="E329" i="15"/>
  <c r="F329" i="15"/>
  <c r="G329" i="15"/>
  <c r="H329" i="15"/>
  <c r="I329" i="15"/>
  <c r="J329" i="15"/>
  <c r="K329" i="15"/>
  <c r="L329" i="15"/>
  <c r="M329" i="15"/>
  <c r="N329" i="15"/>
  <c r="O329" i="15"/>
  <c r="P329" i="15"/>
  <c r="Q329" i="15"/>
  <c r="C330" i="15"/>
  <c r="D330" i="15"/>
  <c r="E330" i="15"/>
  <c r="F330" i="15"/>
  <c r="G330" i="15"/>
  <c r="H330" i="15"/>
  <c r="I330" i="15"/>
  <c r="J330" i="15"/>
  <c r="K330" i="15"/>
  <c r="L330" i="15"/>
  <c r="M330" i="15"/>
  <c r="N330" i="15"/>
  <c r="O330" i="15"/>
  <c r="P330" i="15"/>
  <c r="Q330" i="15"/>
  <c r="C331" i="15"/>
  <c r="G331" i="15"/>
  <c r="I331" i="15"/>
  <c r="L331" i="15"/>
  <c r="N331" i="15"/>
  <c r="Q331" i="15"/>
  <c r="C332" i="15"/>
  <c r="D332" i="15"/>
  <c r="E332" i="15"/>
  <c r="F332" i="15"/>
  <c r="G332" i="15"/>
  <c r="H332" i="15"/>
  <c r="I332" i="15"/>
  <c r="J332" i="15"/>
  <c r="K332" i="15"/>
  <c r="L332" i="15"/>
  <c r="M332" i="15"/>
  <c r="N332" i="15"/>
  <c r="O332" i="15"/>
  <c r="P332" i="15"/>
  <c r="Q332" i="15"/>
  <c r="C333" i="15"/>
  <c r="E333" i="15"/>
  <c r="F333" i="15"/>
  <c r="G333" i="15"/>
  <c r="H333" i="15"/>
  <c r="I333" i="15"/>
  <c r="J333" i="15"/>
  <c r="K333" i="15"/>
  <c r="L333" i="15"/>
  <c r="N333" i="15"/>
  <c r="O333" i="15"/>
  <c r="P333" i="15"/>
  <c r="Q333" i="15"/>
  <c r="C334" i="15"/>
  <c r="E334" i="15"/>
  <c r="F334" i="15"/>
  <c r="G334" i="15"/>
  <c r="H334" i="15"/>
  <c r="I334" i="15"/>
  <c r="J334" i="15"/>
  <c r="K334" i="15"/>
  <c r="L334" i="15"/>
  <c r="N334" i="15"/>
  <c r="O334" i="15"/>
  <c r="P334" i="15"/>
  <c r="Q334" i="15"/>
  <c r="C335" i="15"/>
  <c r="E335" i="15"/>
  <c r="F335" i="15"/>
  <c r="G335" i="15"/>
  <c r="H335" i="15"/>
  <c r="I335" i="15"/>
  <c r="J335" i="15"/>
  <c r="K335" i="15"/>
  <c r="L335" i="15"/>
  <c r="N335" i="15"/>
  <c r="O335" i="15"/>
  <c r="P335" i="15"/>
  <c r="Q335" i="15"/>
  <c r="C336" i="15"/>
  <c r="D336" i="15"/>
  <c r="E336" i="15"/>
  <c r="F336" i="15"/>
  <c r="G336" i="15"/>
  <c r="H336" i="15"/>
  <c r="I336" i="15"/>
  <c r="J336" i="15"/>
  <c r="K336" i="15"/>
  <c r="L336" i="15"/>
  <c r="M336" i="15"/>
  <c r="N336" i="15"/>
  <c r="O336" i="15"/>
  <c r="P336" i="15"/>
  <c r="Q336" i="15"/>
  <c r="C337" i="15"/>
  <c r="E337" i="15"/>
  <c r="F337" i="15"/>
  <c r="G337" i="15"/>
  <c r="H337" i="15"/>
  <c r="I337" i="15"/>
  <c r="J337" i="15"/>
  <c r="K337" i="15"/>
  <c r="L337" i="15"/>
  <c r="N337" i="15"/>
  <c r="O337" i="15"/>
  <c r="P337" i="15"/>
  <c r="Q337" i="15"/>
  <c r="C338" i="15"/>
  <c r="E338" i="15"/>
  <c r="F338" i="15"/>
  <c r="G338" i="15"/>
  <c r="H338" i="15"/>
  <c r="I338" i="15"/>
  <c r="J338" i="15"/>
  <c r="K338" i="15"/>
  <c r="L338" i="15"/>
  <c r="N338" i="15"/>
  <c r="O338" i="15"/>
  <c r="P338" i="15"/>
  <c r="Q338" i="15"/>
  <c r="C339" i="15"/>
  <c r="E339" i="15"/>
  <c r="F339" i="15"/>
  <c r="G339" i="15"/>
  <c r="H339" i="15"/>
  <c r="I339" i="15"/>
  <c r="J339" i="15"/>
  <c r="K339" i="15"/>
  <c r="L339" i="15"/>
  <c r="N339" i="15"/>
  <c r="O339" i="15"/>
  <c r="P339" i="15"/>
  <c r="Q339" i="15"/>
  <c r="C340" i="15"/>
  <c r="D340" i="15"/>
  <c r="E340" i="15"/>
  <c r="F340" i="15"/>
  <c r="G340" i="15"/>
  <c r="H340" i="15"/>
  <c r="I340" i="15"/>
  <c r="J340" i="15"/>
  <c r="K340" i="15"/>
  <c r="L340" i="15"/>
  <c r="M340" i="15"/>
  <c r="N340" i="15"/>
  <c r="O340" i="15"/>
  <c r="P340" i="15"/>
  <c r="Q340" i="15"/>
  <c r="C341" i="15"/>
  <c r="E341" i="15"/>
  <c r="F341" i="15"/>
  <c r="G341" i="15"/>
  <c r="H341" i="15"/>
  <c r="I341" i="15"/>
  <c r="J341" i="15"/>
  <c r="K341" i="15"/>
  <c r="L341" i="15"/>
  <c r="N341" i="15"/>
  <c r="O341" i="15"/>
  <c r="P341" i="15"/>
  <c r="Q341" i="15"/>
  <c r="C342" i="15"/>
  <c r="E342" i="15"/>
  <c r="F342" i="15"/>
  <c r="G342" i="15"/>
  <c r="H342" i="15"/>
  <c r="I342" i="15"/>
  <c r="J342" i="15"/>
  <c r="K342" i="15"/>
  <c r="L342" i="15"/>
  <c r="N342" i="15"/>
  <c r="O342" i="15"/>
  <c r="P342" i="15"/>
  <c r="Q342" i="15"/>
  <c r="C343" i="15"/>
  <c r="E343" i="15"/>
  <c r="F343" i="15"/>
  <c r="G343" i="15"/>
  <c r="H343" i="15"/>
  <c r="I343" i="15"/>
  <c r="J343" i="15"/>
  <c r="K343" i="15"/>
  <c r="L343" i="15"/>
  <c r="N343" i="15"/>
  <c r="O343" i="15"/>
  <c r="P343" i="15"/>
  <c r="Q343" i="15"/>
  <c r="C344" i="15"/>
  <c r="D344" i="15"/>
  <c r="E344" i="15"/>
  <c r="F344" i="15"/>
  <c r="G344" i="15"/>
  <c r="H344" i="15"/>
  <c r="I344" i="15"/>
  <c r="J344" i="15"/>
  <c r="K344" i="15"/>
  <c r="L344" i="15"/>
  <c r="M344" i="15"/>
  <c r="N344" i="15"/>
  <c r="O344" i="15"/>
  <c r="P344" i="15"/>
  <c r="Q344" i="15"/>
  <c r="C345" i="15"/>
  <c r="E345" i="15"/>
  <c r="F345" i="15"/>
  <c r="G345" i="15"/>
  <c r="H345" i="15"/>
  <c r="I345" i="15"/>
  <c r="J345" i="15"/>
  <c r="K345" i="15"/>
  <c r="L345" i="15"/>
  <c r="N345" i="15"/>
  <c r="O345" i="15"/>
  <c r="P345" i="15"/>
  <c r="Q345" i="15"/>
  <c r="C346" i="15"/>
  <c r="E346" i="15"/>
  <c r="F346" i="15"/>
  <c r="G346" i="15"/>
  <c r="H346" i="15"/>
  <c r="I346" i="15"/>
  <c r="J346" i="15"/>
  <c r="K346" i="15"/>
  <c r="L346" i="15"/>
  <c r="N346" i="15"/>
  <c r="O346" i="15"/>
  <c r="P346" i="15"/>
  <c r="Q346" i="15"/>
  <c r="C347" i="15"/>
  <c r="E347" i="15"/>
  <c r="F347" i="15"/>
  <c r="G347" i="15"/>
  <c r="H347" i="15"/>
  <c r="I347" i="15"/>
  <c r="J347" i="15"/>
  <c r="K347" i="15"/>
  <c r="L347" i="15"/>
  <c r="N347" i="15"/>
  <c r="O347" i="15"/>
  <c r="P347" i="15"/>
  <c r="Q347" i="15"/>
  <c r="C348" i="15"/>
  <c r="D348" i="15"/>
  <c r="E348" i="15"/>
  <c r="F348" i="15"/>
  <c r="G348" i="15"/>
  <c r="H348" i="15"/>
  <c r="I348" i="15"/>
  <c r="J348" i="15"/>
  <c r="K348" i="15"/>
  <c r="L348" i="15"/>
  <c r="M348" i="15"/>
  <c r="N348" i="15"/>
  <c r="O348" i="15"/>
  <c r="P348" i="15"/>
  <c r="Q348" i="15"/>
  <c r="C349" i="15"/>
  <c r="F349" i="15"/>
  <c r="G349" i="15"/>
  <c r="I349" i="15"/>
  <c r="K349" i="15"/>
  <c r="L349" i="15"/>
  <c r="N349" i="15"/>
  <c r="P349" i="15"/>
  <c r="Q349" i="15"/>
  <c r="C350" i="15"/>
  <c r="F350" i="15"/>
  <c r="G350" i="15"/>
  <c r="I350" i="15"/>
  <c r="K350" i="15"/>
  <c r="L350" i="15"/>
  <c r="N350" i="15"/>
  <c r="P350" i="15"/>
  <c r="Q350" i="15"/>
  <c r="C351" i="15"/>
  <c r="D351" i="15"/>
  <c r="E351" i="15"/>
  <c r="F351" i="15"/>
  <c r="G351" i="15"/>
  <c r="H351" i="15"/>
  <c r="I351" i="15"/>
  <c r="J351" i="15"/>
  <c r="K351" i="15"/>
  <c r="L351" i="15"/>
  <c r="M351" i="15"/>
  <c r="N351" i="15"/>
  <c r="O351" i="15"/>
  <c r="P351" i="15"/>
  <c r="Q351" i="15"/>
  <c r="C352" i="15"/>
  <c r="E352" i="15"/>
  <c r="G352" i="15"/>
  <c r="I352" i="15"/>
  <c r="J352" i="15"/>
  <c r="L352" i="15"/>
  <c r="N352" i="15"/>
  <c r="O352" i="15"/>
  <c r="Q352" i="15"/>
  <c r="C353" i="15"/>
  <c r="D353" i="15"/>
  <c r="E353" i="15"/>
  <c r="F353" i="15"/>
  <c r="G353" i="15"/>
  <c r="H353" i="15"/>
  <c r="I353" i="15"/>
  <c r="J353" i="15"/>
  <c r="K353" i="15"/>
  <c r="L353" i="15"/>
  <c r="M353" i="15"/>
  <c r="N353" i="15"/>
  <c r="O353" i="15"/>
  <c r="P353" i="15"/>
  <c r="Q353" i="15"/>
  <c r="C354" i="15"/>
  <c r="D354" i="15"/>
  <c r="E354" i="15"/>
  <c r="F354" i="15"/>
  <c r="G354" i="15"/>
  <c r="H354" i="15"/>
  <c r="I354" i="15"/>
  <c r="J354" i="15"/>
  <c r="K354" i="15"/>
  <c r="L354" i="15"/>
  <c r="M354" i="15"/>
  <c r="N354" i="15"/>
  <c r="O354" i="15"/>
  <c r="P354" i="15"/>
  <c r="Q354" i="15"/>
  <c r="C355" i="15"/>
  <c r="D355" i="15"/>
  <c r="E355" i="15"/>
  <c r="F355" i="15"/>
  <c r="G355" i="15"/>
  <c r="H355" i="15"/>
  <c r="I355" i="15"/>
  <c r="J355" i="15"/>
  <c r="K355" i="15"/>
  <c r="L355" i="15"/>
  <c r="M355" i="15"/>
  <c r="N355" i="15"/>
  <c r="O355" i="15"/>
  <c r="P355" i="15"/>
  <c r="Q355" i="15"/>
  <c r="C356" i="15"/>
  <c r="D356" i="15"/>
  <c r="E356" i="15"/>
  <c r="F356" i="15"/>
  <c r="G356" i="15"/>
  <c r="H356" i="15"/>
  <c r="I356" i="15"/>
  <c r="J356" i="15"/>
  <c r="K356" i="15"/>
  <c r="L356" i="15"/>
  <c r="M356" i="15"/>
  <c r="N356" i="15"/>
  <c r="O356" i="15"/>
  <c r="P356" i="15"/>
  <c r="Q356" i="15"/>
  <c r="C357" i="15"/>
  <c r="E357" i="15"/>
  <c r="F357" i="15"/>
  <c r="G357" i="15"/>
  <c r="H357" i="15"/>
  <c r="I357" i="15"/>
  <c r="J357" i="15"/>
  <c r="K357" i="15"/>
  <c r="L357" i="15"/>
  <c r="N357" i="15"/>
  <c r="O357" i="15"/>
  <c r="P357" i="15"/>
  <c r="Q357" i="15"/>
  <c r="C358" i="15"/>
  <c r="E358" i="15"/>
  <c r="F358" i="15"/>
  <c r="G358" i="15"/>
  <c r="H358" i="15"/>
  <c r="I358" i="15"/>
  <c r="J358" i="15"/>
  <c r="K358" i="15"/>
  <c r="L358" i="15"/>
  <c r="N358" i="15"/>
  <c r="O358" i="15"/>
  <c r="P358" i="15"/>
  <c r="Q358" i="15"/>
  <c r="C359" i="15"/>
  <c r="E359" i="15"/>
  <c r="F359" i="15"/>
  <c r="G359" i="15"/>
  <c r="H359" i="15"/>
  <c r="I359" i="15"/>
  <c r="J359" i="15"/>
  <c r="K359" i="15"/>
  <c r="L359" i="15"/>
  <c r="N359" i="15"/>
  <c r="O359" i="15"/>
  <c r="P359" i="15"/>
  <c r="Q359" i="15"/>
  <c r="C360" i="15"/>
  <c r="E360" i="15"/>
  <c r="F360" i="15"/>
  <c r="G360" i="15"/>
  <c r="H360" i="15"/>
  <c r="I360" i="15"/>
  <c r="J360" i="15"/>
  <c r="K360" i="15"/>
  <c r="L360" i="15"/>
  <c r="N360" i="15"/>
  <c r="O360" i="15"/>
  <c r="P360" i="15"/>
  <c r="Q360" i="15"/>
  <c r="C361" i="15"/>
  <c r="E361" i="15"/>
  <c r="F361" i="15"/>
  <c r="G361" i="15"/>
  <c r="H361" i="15"/>
  <c r="I361" i="15"/>
  <c r="J361" i="15"/>
  <c r="K361" i="15"/>
  <c r="L361" i="15"/>
  <c r="N361" i="15"/>
  <c r="O361" i="15"/>
  <c r="P361" i="15"/>
  <c r="Q361" i="15"/>
  <c r="C362" i="15"/>
  <c r="D362" i="15"/>
  <c r="E362" i="15"/>
  <c r="F362" i="15"/>
  <c r="G362" i="15"/>
  <c r="H362" i="15"/>
  <c r="I362" i="15"/>
  <c r="J362" i="15"/>
  <c r="K362" i="15"/>
  <c r="L362" i="15"/>
  <c r="M362" i="15"/>
  <c r="N362" i="15"/>
  <c r="O362" i="15"/>
  <c r="P362" i="15"/>
  <c r="Q362" i="15"/>
  <c r="C363" i="15"/>
  <c r="E363" i="15"/>
  <c r="F363" i="15"/>
  <c r="G363" i="15"/>
  <c r="H363" i="15"/>
  <c r="I363" i="15"/>
  <c r="J363" i="15"/>
  <c r="K363" i="15"/>
  <c r="L363" i="15"/>
  <c r="N363" i="15"/>
  <c r="O363" i="15"/>
  <c r="P363" i="15"/>
  <c r="Q363" i="15"/>
  <c r="C364" i="15"/>
  <c r="D364" i="15"/>
  <c r="E364" i="15"/>
  <c r="F364" i="15"/>
  <c r="G364" i="15"/>
  <c r="H364" i="15"/>
  <c r="I364" i="15"/>
  <c r="J364" i="15"/>
  <c r="K364" i="15"/>
  <c r="L364" i="15"/>
  <c r="M364" i="15"/>
  <c r="N364" i="15"/>
  <c r="O364" i="15"/>
  <c r="P364" i="15"/>
  <c r="Q364" i="15"/>
  <c r="C365" i="15"/>
  <c r="G365" i="15"/>
  <c r="I365" i="15"/>
  <c r="L365" i="15"/>
  <c r="N365" i="15"/>
  <c r="Q365" i="15"/>
  <c r="C366" i="15"/>
  <c r="D366" i="15"/>
  <c r="E366" i="15"/>
  <c r="F366" i="15"/>
  <c r="G366" i="15"/>
  <c r="H366" i="15"/>
  <c r="I366" i="15"/>
  <c r="J366" i="15"/>
  <c r="K366" i="15"/>
  <c r="L366" i="15"/>
  <c r="M366" i="15"/>
  <c r="N366" i="15"/>
  <c r="O366" i="15"/>
  <c r="P366" i="15"/>
  <c r="Q366" i="15"/>
  <c r="C367" i="15"/>
  <c r="E367" i="15"/>
  <c r="F367" i="15"/>
  <c r="G367" i="15"/>
  <c r="H367" i="15"/>
  <c r="I367" i="15"/>
  <c r="J367" i="15"/>
  <c r="K367" i="15"/>
  <c r="L367" i="15"/>
  <c r="N367" i="15"/>
  <c r="O367" i="15"/>
  <c r="P367" i="15"/>
  <c r="Q367" i="15"/>
  <c r="C368" i="15"/>
  <c r="D368" i="15"/>
  <c r="E368" i="15"/>
  <c r="F368" i="15"/>
  <c r="G368" i="15"/>
  <c r="H368" i="15"/>
  <c r="I368" i="15"/>
  <c r="J368" i="15"/>
  <c r="K368" i="15"/>
  <c r="L368" i="15"/>
  <c r="M368" i="15"/>
  <c r="N368" i="15"/>
  <c r="O368" i="15"/>
  <c r="P368" i="15"/>
  <c r="Q368" i="15"/>
  <c r="C369" i="15"/>
  <c r="D369" i="15"/>
  <c r="E369" i="15"/>
  <c r="F369" i="15"/>
  <c r="G369" i="15"/>
  <c r="H369" i="15"/>
  <c r="I369" i="15"/>
  <c r="J369" i="15"/>
  <c r="K369" i="15"/>
  <c r="L369" i="15"/>
  <c r="M369" i="15"/>
  <c r="N369" i="15"/>
  <c r="O369" i="15"/>
  <c r="P369" i="15"/>
  <c r="Q369" i="15"/>
  <c r="C370" i="15"/>
  <c r="D370" i="15"/>
  <c r="E370" i="15"/>
  <c r="F370" i="15"/>
  <c r="G370" i="15"/>
  <c r="H370" i="15"/>
  <c r="I370" i="15"/>
  <c r="J370" i="15"/>
  <c r="K370" i="15"/>
  <c r="L370" i="15"/>
  <c r="M370" i="15"/>
  <c r="N370" i="15"/>
  <c r="O370" i="15"/>
  <c r="P370" i="15"/>
  <c r="Q370" i="15"/>
  <c r="E371" i="15"/>
  <c r="F371" i="15"/>
  <c r="G371" i="15"/>
  <c r="H371" i="15"/>
  <c r="I371" i="15"/>
  <c r="J371" i="15"/>
  <c r="K371" i="15"/>
  <c r="L371" i="15"/>
  <c r="N371" i="15"/>
  <c r="O371" i="15"/>
  <c r="P371" i="15"/>
  <c r="Q371" i="15"/>
  <c r="C372" i="15"/>
  <c r="E372" i="15"/>
  <c r="F372" i="15"/>
  <c r="G372" i="15"/>
  <c r="H372" i="15"/>
  <c r="I372" i="15"/>
  <c r="J372" i="15"/>
  <c r="K372" i="15"/>
  <c r="L372" i="15"/>
  <c r="N372" i="15"/>
  <c r="O372" i="15"/>
  <c r="P372" i="15"/>
  <c r="Q372" i="15"/>
  <c r="G373" i="15"/>
  <c r="I373" i="15"/>
  <c r="L373" i="15"/>
  <c r="N373" i="15"/>
  <c r="Q373" i="15"/>
  <c r="C374" i="15"/>
  <c r="E374" i="15"/>
  <c r="F374" i="15"/>
  <c r="G374" i="15"/>
  <c r="H374" i="15"/>
  <c r="I374" i="15"/>
  <c r="J374" i="15"/>
  <c r="K374" i="15"/>
  <c r="L374" i="15"/>
  <c r="N374" i="15"/>
  <c r="O374" i="15"/>
  <c r="P374" i="15"/>
  <c r="Q374" i="15"/>
  <c r="E375" i="15"/>
  <c r="F375" i="15"/>
  <c r="G375" i="15"/>
  <c r="H375" i="15"/>
  <c r="I375" i="15"/>
  <c r="J375" i="15"/>
  <c r="K375" i="15"/>
  <c r="L375" i="15"/>
  <c r="N375" i="15"/>
  <c r="O375" i="15"/>
  <c r="P375" i="15"/>
  <c r="Q375" i="15"/>
  <c r="C376" i="15"/>
  <c r="E376" i="15"/>
  <c r="F376" i="15"/>
  <c r="G376" i="15"/>
  <c r="H376" i="15"/>
  <c r="I376" i="15"/>
  <c r="J376" i="15"/>
  <c r="K376" i="15"/>
  <c r="L376" i="15"/>
  <c r="N376" i="15"/>
  <c r="O376" i="15"/>
  <c r="P376" i="15"/>
  <c r="Q376" i="15"/>
  <c r="C377" i="15"/>
  <c r="D377" i="15"/>
  <c r="E377" i="15"/>
  <c r="F377" i="15"/>
  <c r="G377" i="15"/>
  <c r="H377" i="15"/>
  <c r="I377" i="15"/>
  <c r="J377" i="15"/>
  <c r="K377" i="15"/>
  <c r="L377" i="15"/>
  <c r="M377" i="15"/>
  <c r="N377" i="15"/>
  <c r="O377" i="15"/>
  <c r="P377" i="15"/>
  <c r="Q377" i="15"/>
  <c r="C378" i="15"/>
  <c r="D378" i="15"/>
  <c r="E378" i="15"/>
  <c r="F378" i="15"/>
  <c r="G378" i="15"/>
  <c r="H378" i="15"/>
  <c r="I378" i="15"/>
  <c r="J378" i="15"/>
  <c r="K378" i="15"/>
  <c r="L378" i="15"/>
  <c r="M378" i="15"/>
  <c r="N378" i="15"/>
  <c r="O378" i="15"/>
  <c r="P378" i="15"/>
  <c r="Q378" i="15"/>
  <c r="X378" i="15"/>
  <c r="C379" i="15"/>
  <c r="D379" i="15"/>
  <c r="E379" i="15"/>
  <c r="F379" i="15"/>
  <c r="G379" i="15"/>
  <c r="H379" i="15"/>
  <c r="I379" i="15"/>
  <c r="J379" i="15"/>
  <c r="K379" i="15"/>
  <c r="L379" i="15"/>
  <c r="M379" i="15"/>
  <c r="N379" i="15"/>
  <c r="O379" i="15"/>
  <c r="P379" i="15"/>
  <c r="Q379" i="15"/>
  <c r="X379" i="15"/>
  <c r="G380" i="15"/>
  <c r="I380" i="15"/>
  <c r="L380" i="15"/>
  <c r="N380" i="15"/>
  <c r="Q380" i="15"/>
  <c r="C381" i="15"/>
  <c r="D381" i="15"/>
  <c r="E381" i="15"/>
  <c r="F381" i="15"/>
  <c r="G381" i="15"/>
  <c r="H381" i="15"/>
  <c r="I381" i="15"/>
  <c r="J381" i="15"/>
  <c r="K381" i="15"/>
  <c r="L381" i="15"/>
  <c r="M381" i="15"/>
  <c r="N381" i="15"/>
  <c r="O381" i="15"/>
  <c r="P381" i="15"/>
  <c r="Q381" i="15"/>
  <c r="X381" i="15"/>
  <c r="C382" i="15"/>
  <c r="D382" i="15"/>
  <c r="E382" i="15"/>
  <c r="F382" i="15"/>
  <c r="G382" i="15"/>
  <c r="H382" i="15"/>
  <c r="I382" i="15"/>
  <c r="J382" i="15"/>
  <c r="K382" i="15"/>
  <c r="L382" i="15"/>
  <c r="M382" i="15"/>
  <c r="N382" i="15"/>
  <c r="O382" i="15"/>
  <c r="P382" i="15"/>
  <c r="Q382" i="15"/>
  <c r="X382" i="15"/>
  <c r="C383" i="15"/>
  <c r="D383" i="15"/>
  <c r="E383" i="15"/>
  <c r="F383" i="15"/>
  <c r="G383" i="15"/>
  <c r="H383" i="15"/>
  <c r="I383" i="15"/>
  <c r="J383" i="15"/>
  <c r="K383" i="15"/>
  <c r="L383" i="15"/>
  <c r="M383" i="15"/>
  <c r="N383" i="15"/>
  <c r="O383" i="15"/>
  <c r="P383" i="15"/>
  <c r="Q383" i="15"/>
  <c r="X383" i="15"/>
  <c r="C384" i="15"/>
  <c r="D384" i="15"/>
  <c r="E384" i="15"/>
  <c r="F384" i="15"/>
  <c r="G384" i="15"/>
  <c r="H384" i="15"/>
  <c r="I384" i="15"/>
  <c r="J384" i="15"/>
  <c r="K384" i="15"/>
  <c r="L384" i="15"/>
  <c r="M384" i="15"/>
  <c r="N384" i="15"/>
  <c r="O384" i="15"/>
  <c r="P384" i="15"/>
  <c r="Q384" i="15"/>
  <c r="X384" i="15"/>
  <c r="C385" i="15"/>
  <c r="D385" i="15"/>
  <c r="E385" i="15"/>
  <c r="F385" i="15"/>
  <c r="G385" i="15"/>
  <c r="H385" i="15"/>
  <c r="I385" i="15"/>
  <c r="J385" i="15"/>
  <c r="K385" i="15"/>
  <c r="L385" i="15"/>
  <c r="M385" i="15"/>
  <c r="N385" i="15"/>
  <c r="O385" i="15"/>
  <c r="P385" i="15"/>
  <c r="Q385" i="15"/>
  <c r="X385" i="15"/>
  <c r="C386" i="15"/>
  <c r="D386" i="15"/>
  <c r="E386" i="15"/>
  <c r="F386" i="15"/>
  <c r="G386" i="15"/>
  <c r="H386" i="15"/>
  <c r="I386" i="15"/>
  <c r="J386" i="15"/>
  <c r="K386" i="15"/>
  <c r="L386" i="15"/>
  <c r="M386" i="15"/>
  <c r="N386" i="15"/>
  <c r="O386" i="15"/>
  <c r="P386" i="15"/>
  <c r="Q386" i="15"/>
  <c r="X386" i="15"/>
  <c r="C387" i="15"/>
  <c r="D387" i="15"/>
  <c r="E387" i="15"/>
  <c r="F387" i="15"/>
  <c r="G387" i="15"/>
  <c r="H387" i="15"/>
  <c r="I387" i="15"/>
  <c r="J387" i="15"/>
  <c r="K387" i="15"/>
  <c r="L387" i="15"/>
  <c r="M387" i="15"/>
  <c r="N387" i="15"/>
  <c r="O387" i="15"/>
  <c r="P387" i="15"/>
  <c r="Q387" i="15"/>
  <c r="X387" i="15"/>
  <c r="C388" i="15"/>
  <c r="D388" i="15"/>
  <c r="E388" i="15"/>
  <c r="F388" i="15"/>
  <c r="G388" i="15"/>
  <c r="H388" i="15"/>
  <c r="I388" i="15"/>
  <c r="J388" i="15"/>
  <c r="K388" i="15"/>
  <c r="L388" i="15"/>
  <c r="M388" i="15"/>
  <c r="N388" i="15"/>
  <c r="O388" i="15"/>
  <c r="P388" i="15"/>
  <c r="Q388" i="15"/>
  <c r="X388" i="15"/>
  <c r="C389" i="15"/>
  <c r="D389" i="15"/>
  <c r="E389" i="15"/>
  <c r="F389" i="15"/>
  <c r="G389" i="15"/>
  <c r="H389" i="15"/>
  <c r="I389" i="15"/>
  <c r="J389" i="15"/>
  <c r="K389" i="15"/>
  <c r="L389" i="15"/>
  <c r="M389" i="15"/>
  <c r="N389" i="15"/>
  <c r="O389" i="15"/>
  <c r="P389" i="15"/>
  <c r="Q389" i="15"/>
  <c r="X389" i="15"/>
  <c r="C390" i="15"/>
  <c r="D390" i="15"/>
  <c r="E390" i="15"/>
  <c r="F390" i="15"/>
  <c r="G390" i="15"/>
  <c r="H390" i="15"/>
  <c r="I390" i="15"/>
  <c r="J390" i="15"/>
  <c r="K390" i="15"/>
  <c r="L390" i="15"/>
  <c r="M390" i="15"/>
  <c r="N390" i="15"/>
  <c r="O390" i="15"/>
  <c r="P390" i="15"/>
  <c r="Q390" i="15"/>
  <c r="X390" i="15"/>
  <c r="C391" i="15"/>
  <c r="D391" i="15"/>
  <c r="E391" i="15"/>
  <c r="F391" i="15"/>
  <c r="G391" i="15"/>
  <c r="H391" i="15"/>
  <c r="I391" i="15"/>
  <c r="J391" i="15"/>
  <c r="K391" i="15"/>
  <c r="L391" i="15"/>
  <c r="M391" i="15"/>
  <c r="N391" i="15"/>
  <c r="O391" i="15"/>
  <c r="P391" i="15"/>
  <c r="Q391" i="15"/>
  <c r="X391" i="15"/>
  <c r="C392" i="15"/>
  <c r="D392" i="15"/>
  <c r="E392" i="15"/>
  <c r="F392" i="15"/>
  <c r="G392" i="15"/>
  <c r="H392" i="15"/>
  <c r="I392" i="15"/>
  <c r="J392" i="15"/>
  <c r="K392" i="15"/>
  <c r="L392" i="15"/>
  <c r="M392" i="15"/>
  <c r="N392" i="15"/>
  <c r="O392" i="15"/>
  <c r="P392" i="15"/>
  <c r="Q392" i="15"/>
  <c r="X392" i="15"/>
  <c r="C393" i="15"/>
  <c r="D393" i="15"/>
  <c r="E393" i="15"/>
  <c r="F393" i="15"/>
  <c r="G393" i="15"/>
  <c r="H393" i="15"/>
  <c r="I393" i="15"/>
  <c r="J393" i="15"/>
  <c r="K393" i="15"/>
  <c r="L393" i="15"/>
  <c r="M393" i="15"/>
  <c r="N393" i="15"/>
  <c r="O393" i="15"/>
  <c r="P393" i="15"/>
  <c r="Q393" i="15"/>
  <c r="X393" i="15"/>
  <c r="C394" i="15"/>
  <c r="D394" i="15"/>
  <c r="E394" i="15"/>
  <c r="F394" i="15"/>
  <c r="G394" i="15"/>
  <c r="H394" i="15"/>
  <c r="I394" i="15"/>
  <c r="J394" i="15"/>
  <c r="K394" i="15"/>
  <c r="L394" i="15"/>
  <c r="M394" i="15"/>
  <c r="N394" i="15"/>
  <c r="O394" i="15"/>
  <c r="P394" i="15"/>
  <c r="Q394" i="15"/>
  <c r="X394" i="15"/>
  <c r="C395" i="15"/>
  <c r="D395" i="15"/>
  <c r="E395" i="15"/>
  <c r="F395" i="15"/>
  <c r="G395" i="15"/>
  <c r="H395" i="15"/>
  <c r="I395" i="15"/>
  <c r="J395" i="15"/>
  <c r="K395" i="15"/>
  <c r="L395" i="15"/>
  <c r="M395" i="15"/>
  <c r="N395" i="15"/>
  <c r="O395" i="15"/>
  <c r="P395" i="15"/>
  <c r="Q395" i="15"/>
  <c r="X395" i="15"/>
  <c r="C396" i="15"/>
  <c r="D396" i="15"/>
  <c r="E396" i="15"/>
  <c r="F396" i="15"/>
  <c r="G396" i="15"/>
  <c r="H396" i="15"/>
  <c r="I396" i="15"/>
  <c r="J396" i="15"/>
  <c r="K396" i="15"/>
  <c r="L396" i="15"/>
  <c r="M396" i="15"/>
  <c r="N396" i="15"/>
  <c r="O396" i="15"/>
  <c r="P396" i="15"/>
  <c r="Q396" i="15"/>
  <c r="X396" i="15"/>
  <c r="C397" i="15"/>
  <c r="D397" i="15"/>
  <c r="E397" i="15"/>
  <c r="F397" i="15"/>
  <c r="G397" i="15"/>
  <c r="H397" i="15"/>
  <c r="I397" i="15"/>
  <c r="J397" i="15"/>
  <c r="K397" i="15"/>
  <c r="L397" i="15"/>
  <c r="M397" i="15"/>
  <c r="N397" i="15"/>
  <c r="O397" i="15"/>
  <c r="P397" i="15"/>
  <c r="Q397" i="15"/>
  <c r="X397" i="15"/>
  <c r="C398" i="15"/>
  <c r="D398" i="15"/>
  <c r="E398" i="15"/>
  <c r="F398" i="15"/>
  <c r="G398" i="15"/>
  <c r="H398" i="15"/>
  <c r="I398" i="15"/>
  <c r="J398" i="15"/>
  <c r="K398" i="15"/>
  <c r="L398" i="15"/>
  <c r="M398" i="15"/>
  <c r="N398" i="15"/>
  <c r="O398" i="15"/>
  <c r="P398" i="15"/>
  <c r="Q398" i="15"/>
  <c r="X398" i="15"/>
  <c r="C399" i="15"/>
  <c r="D399" i="15"/>
  <c r="E399" i="15"/>
  <c r="F399" i="15"/>
  <c r="G399" i="15"/>
  <c r="H399" i="15"/>
  <c r="I399" i="15"/>
  <c r="J399" i="15"/>
  <c r="K399" i="15"/>
  <c r="L399" i="15"/>
  <c r="M399" i="15"/>
  <c r="N399" i="15"/>
  <c r="O399" i="15"/>
  <c r="P399" i="15"/>
  <c r="Q399" i="15"/>
  <c r="X399" i="15"/>
  <c r="C400" i="15"/>
  <c r="D400" i="15"/>
  <c r="E400" i="15"/>
  <c r="F400" i="15"/>
  <c r="G400" i="15"/>
  <c r="H400" i="15"/>
  <c r="I400" i="15"/>
  <c r="J400" i="15"/>
  <c r="K400" i="15"/>
  <c r="L400" i="15"/>
  <c r="M400" i="15"/>
  <c r="N400" i="15"/>
  <c r="O400" i="15"/>
  <c r="P400" i="15"/>
  <c r="Q400" i="15"/>
  <c r="X400" i="15"/>
  <c r="C401" i="15"/>
  <c r="D401" i="15"/>
  <c r="E401" i="15"/>
  <c r="F401" i="15"/>
  <c r="G401" i="15"/>
  <c r="H401" i="15"/>
  <c r="I401" i="15"/>
  <c r="J401" i="15"/>
  <c r="K401" i="15"/>
  <c r="L401" i="15"/>
  <c r="M401" i="15"/>
  <c r="N401" i="15"/>
  <c r="O401" i="15"/>
  <c r="P401" i="15"/>
  <c r="Q401" i="15"/>
  <c r="X401" i="15"/>
  <c r="C402" i="15"/>
  <c r="D402" i="15"/>
  <c r="E402" i="15"/>
  <c r="F402" i="15"/>
  <c r="G402" i="15"/>
  <c r="H402" i="15"/>
  <c r="I402" i="15"/>
  <c r="J402" i="15"/>
  <c r="K402" i="15"/>
  <c r="L402" i="15"/>
  <c r="M402" i="15"/>
  <c r="N402" i="15"/>
  <c r="O402" i="15"/>
  <c r="P402" i="15"/>
  <c r="Q402" i="15"/>
  <c r="X402" i="15"/>
  <c r="C403" i="15"/>
  <c r="D403" i="15"/>
  <c r="E403" i="15"/>
  <c r="F403" i="15"/>
  <c r="G403" i="15"/>
  <c r="H403" i="15"/>
  <c r="I403" i="15"/>
  <c r="J403" i="15"/>
  <c r="K403" i="15"/>
  <c r="L403" i="15"/>
  <c r="M403" i="15"/>
  <c r="N403" i="15"/>
  <c r="O403" i="15"/>
  <c r="P403" i="15"/>
  <c r="Q403" i="15"/>
  <c r="X403" i="15"/>
  <c r="C404" i="15"/>
  <c r="D404" i="15"/>
  <c r="E404" i="15"/>
  <c r="F404" i="15"/>
  <c r="G404" i="15"/>
  <c r="H404" i="15"/>
  <c r="I404" i="15"/>
  <c r="J404" i="15"/>
  <c r="K404" i="15"/>
  <c r="L404" i="15"/>
  <c r="M404" i="15"/>
  <c r="N404" i="15"/>
  <c r="O404" i="15"/>
  <c r="P404" i="15"/>
  <c r="Q404" i="15"/>
  <c r="X404" i="15"/>
  <c r="E405" i="15"/>
  <c r="F405" i="15"/>
  <c r="G405" i="15"/>
  <c r="H405" i="15"/>
  <c r="I405" i="15"/>
  <c r="J405" i="15"/>
  <c r="K405" i="15"/>
  <c r="L405" i="15"/>
  <c r="N405" i="15"/>
  <c r="O405" i="15"/>
  <c r="P405" i="15"/>
  <c r="Q405" i="15"/>
  <c r="C406" i="15"/>
  <c r="D406" i="15"/>
  <c r="E406" i="15"/>
  <c r="F406" i="15"/>
  <c r="G406" i="15"/>
  <c r="H406" i="15"/>
  <c r="I406" i="15"/>
  <c r="J406" i="15"/>
  <c r="K406" i="15"/>
  <c r="L406" i="15"/>
  <c r="M406" i="15"/>
  <c r="N406" i="15"/>
  <c r="O406" i="15"/>
  <c r="P406" i="15"/>
  <c r="Q406" i="15"/>
  <c r="X406" i="15"/>
  <c r="C407" i="15"/>
  <c r="D407" i="15"/>
  <c r="E407" i="15"/>
  <c r="F407" i="15"/>
  <c r="G407" i="15"/>
  <c r="H407" i="15"/>
  <c r="I407" i="15"/>
  <c r="J407" i="15"/>
  <c r="K407" i="15"/>
  <c r="L407" i="15"/>
  <c r="M407" i="15"/>
  <c r="N407" i="15"/>
  <c r="O407" i="15"/>
  <c r="P407" i="15"/>
  <c r="Q407" i="15"/>
  <c r="X407" i="15"/>
  <c r="C408" i="15"/>
  <c r="D408" i="15"/>
  <c r="E408" i="15"/>
  <c r="F408" i="15"/>
  <c r="G408" i="15"/>
  <c r="H408" i="15"/>
  <c r="I408" i="15"/>
  <c r="J408" i="15"/>
  <c r="K408" i="15"/>
  <c r="L408" i="15"/>
  <c r="M408" i="15"/>
  <c r="N408" i="15"/>
  <c r="O408" i="15"/>
  <c r="P408" i="15"/>
  <c r="Q408" i="15"/>
  <c r="X408" i="15"/>
  <c r="C409" i="15"/>
  <c r="D409" i="15"/>
  <c r="E409" i="15"/>
  <c r="F409" i="15"/>
  <c r="G409" i="15"/>
  <c r="H409" i="15"/>
  <c r="I409" i="15"/>
  <c r="J409" i="15"/>
  <c r="K409" i="15"/>
  <c r="L409" i="15"/>
  <c r="M409" i="15"/>
  <c r="N409" i="15"/>
  <c r="O409" i="15"/>
  <c r="P409" i="15"/>
  <c r="Q409" i="15"/>
  <c r="X409" i="15"/>
  <c r="C410" i="15"/>
  <c r="D410" i="15"/>
  <c r="E410" i="15"/>
  <c r="F410" i="15"/>
  <c r="G410" i="15"/>
  <c r="H410" i="15"/>
  <c r="I410" i="15"/>
  <c r="J410" i="15"/>
  <c r="K410" i="15"/>
  <c r="L410" i="15"/>
  <c r="M410" i="15"/>
  <c r="N410" i="15"/>
  <c r="O410" i="15"/>
  <c r="P410" i="15"/>
  <c r="Q410" i="15"/>
  <c r="X410" i="15"/>
  <c r="C411" i="15"/>
  <c r="D411" i="15"/>
  <c r="E411" i="15"/>
  <c r="F411" i="15"/>
  <c r="G411" i="15"/>
  <c r="H411" i="15"/>
  <c r="I411" i="15"/>
  <c r="J411" i="15"/>
  <c r="K411" i="15"/>
  <c r="L411" i="15"/>
  <c r="M411" i="15"/>
  <c r="N411" i="15"/>
  <c r="O411" i="15"/>
  <c r="P411" i="15"/>
  <c r="Q411" i="15"/>
  <c r="X411" i="15"/>
  <c r="G412" i="15"/>
  <c r="I412" i="15"/>
  <c r="L412" i="15"/>
  <c r="N412" i="15"/>
  <c r="Q412" i="15"/>
  <c r="E413" i="15"/>
  <c r="F413" i="15"/>
  <c r="G413" i="15"/>
  <c r="N413" i="15"/>
  <c r="O413" i="15"/>
  <c r="P413" i="15"/>
  <c r="Q413" i="15"/>
  <c r="C414" i="15"/>
  <c r="E414" i="15"/>
  <c r="F414" i="15"/>
  <c r="G414" i="15"/>
  <c r="N414" i="15"/>
  <c r="O414" i="15"/>
  <c r="P414" i="15"/>
  <c r="Q414" i="15"/>
  <c r="C415" i="15"/>
  <c r="D415" i="15"/>
  <c r="E415" i="15"/>
  <c r="F415" i="15"/>
  <c r="G415" i="15"/>
  <c r="H415" i="15"/>
  <c r="I415" i="15"/>
  <c r="J415" i="15"/>
  <c r="K415" i="15"/>
  <c r="L415" i="15"/>
  <c r="M415" i="15"/>
  <c r="N415" i="15"/>
  <c r="O415" i="15"/>
  <c r="P415" i="15"/>
  <c r="Q415" i="15"/>
  <c r="C416" i="15"/>
  <c r="D416" i="15"/>
  <c r="E416" i="15"/>
  <c r="F416" i="15"/>
  <c r="G416" i="15"/>
  <c r="H416" i="15"/>
  <c r="I416" i="15"/>
  <c r="J416" i="15"/>
  <c r="K416" i="15"/>
  <c r="L416" i="15"/>
  <c r="M416" i="15"/>
  <c r="N416" i="15"/>
  <c r="O416" i="15"/>
  <c r="P416" i="15"/>
  <c r="Q416" i="15"/>
  <c r="C417" i="15"/>
  <c r="D417" i="15"/>
  <c r="E417" i="15"/>
  <c r="F417" i="15"/>
  <c r="G417" i="15"/>
  <c r="H417" i="15"/>
  <c r="I417" i="15"/>
  <c r="J417" i="15"/>
  <c r="K417" i="15"/>
  <c r="L417" i="15"/>
  <c r="M417" i="15"/>
  <c r="N417" i="15"/>
  <c r="O417" i="15"/>
  <c r="P417" i="15"/>
  <c r="Q417" i="15"/>
  <c r="C418" i="15"/>
  <c r="D418" i="15"/>
  <c r="E418" i="15"/>
  <c r="F418" i="15"/>
  <c r="G418" i="15"/>
  <c r="H418" i="15"/>
  <c r="I418" i="15"/>
  <c r="J418" i="15"/>
  <c r="K418" i="15"/>
  <c r="L418" i="15"/>
  <c r="M418" i="15"/>
  <c r="N418" i="15"/>
  <c r="O418" i="15"/>
  <c r="P418" i="15"/>
  <c r="Q418" i="15"/>
  <c r="C419" i="15"/>
  <c r="D419" i="15"/>
  <c r="E419" i="15"/>
  <c r="F419" i="15"/>
  <c r="G419" i="15"/>
  <c r="H419" i="15"/>
  <c r="I419" i="15"/>
  <c r="J419" i="15"/>
  <c r="K419" i="15"/>
  <c r="L419" i="15"/>
  <c r="M419" i="15"/>
  <c r="N419" i="15"/>
  <c r="O419" i="15"/>
  <c r="P419" i="15"/>
  <c r="Q419" i="15"/>
  <c r="C420" i="15"/>
  <c r="D420" i="15"/>
  <c r="E420" i="15"/>
  <c r="F420" i="15"/>
  <c r="G420" i="15"/>
  <c r="H420" i="15"/>
  <c r="I420" i="15"/>
  <c r="J420" i="15"/>
  <c r="K420" i="15"/>
  <c r="L420" i="15"/>
  <c r="M420" i="15"/>
  <c r="N420" i="15"/>
  <c r="O420" i="15"/>
  <c r="P420" i="15"/>
  <c r="Q420" i="15"/>
  <c r="C421" i="15"/>
  <c r="D421" i="15"/>
  <c r="E421" i="15"/>
  <c r="F421" i="15"/>
  <c r="G421" i="15"/>
  <c r="H421" i="15"/>
  <c r="I421" i="15"/>
  <c r="J421" i="15"/>
  <c r="K421" i="15"/>
  <c r="L421" i="15"/>
  <c r="M421" i="15"/>
  <c r="N421" i="15"/>
  <c r="O421" i="15"/>
  <c r="P421" i="15"/>
  <c r="Q421" i="15"/>
  <c r="C422" i="15"/>
  <c r="D422" i="15"/>
  <c r="E422" i="15"/>
  <c r="F422" i="15"/>
  <c r="G422" i="15"/>
  <c r="H422" i="15"/>
  <c r="I422" i="15"/>
  <c r="J422" i="15"/>
  <c r="K422" i="15"/>
  <c r="L422" i="15"/>
  <c r="M422" i="15"/>
  <c r="N422" i="15"/>
  <c r="O422" i="15"/>
  <c r="P422" i="15"/>
  <c r="Q422" i="15"/>
  <c r="C423" i="15"/>
  <c r="D423" i="15"/>
  <c r="E423" i="15"/>
  <c r="F423" i="15"/>
  <c r="G423" i="15"/>
  <c r="H423" i="15"/>
  <c r="I423" i="15"/>
  <c r="J423" i="15"/>
  <c r="K423" i="15"/>
  <c r="L423" i="15"/>
  <c r="M423" i="15"/>
  <c r="N423" i="15"/>
  <c r="O423" i="15"/>
  <c r="P423" i="15"/>
  <c r="Q423" i="15"/>
  <c r="X423" i="15"/>
  <c r="C424" i="15"/>
  <c r="D424" i="15"/>
  <c r="E424" i="15"/>
  <c r="F424" i="15"/>
  <c r="G424" i="15"/>
  <c r="H424" i="15"/>
  <c r="I424" i="15"/>
  <c r="J424" i="15"/>
  <c r="K424" i="15"/>
  <c r="L424" i="15"/>
  <c r="M424" i="15"/>
  <c r="N424" i="15"/>
  <c r="O424" i="15"/>
  <c r="P424" i="15"/>
  <c r="Q424" i="15"/>
  <c r="X424" i="15"/>
  <c r="C425" i="15"/>
  <c r="D425" i="15"/>
  <c r="E425" i="15"/>
  <c r="F425" i="15"/>
  <c r="G425" i="15"/>
  <c r="H425" i="15"/>
  <c r="I425" i="15"/>
  <c r="J425" i="15"/>
  <c r="K425" i="15"/>
  <c r="L425" i="15"/>
  <c r="M425" i="15"/>
  <c r="N425" i="15"/>
  <c r="O425" i="15"/>
  <c r="P425" i="15"/>
  <c r="Q425" i="15"/>
  <c r="C426" i="15"/>
  <c r="D426" i="15"/>
  <c r="E426" i="15"/>
  <c r="F426" i="15"/>
  <c r="G426" i="15"/>
  <c r="H426" i="15"/>
  <c r="I426" i="15"/>
  <c r="J426" i="15"/>
  <c r="K426" i="15"/>
  <c r="L426" i="15"/>
  <c r="M426" i="15"/>
  <c r="N426" i="15"/>
  <c r="O426" i="15"/>
  <c r="P426" i="15"/>
  <c r="Q426" i="15"/>
  <c r="C427" i="15"/>
  <c r="D427" i="15"/>
  <c r="E427" i="15"/>
  <c r="F427" i="15"/>
  <c r="G427" i="15"/>
  <c r="H427" i="15"/>
  <c r="I427" i="15"/>
  <c r="J427" i="15"/>
  <c r="K427" i="15"/>
  <c r="L427" i="15"/>
  <c r="M427" i="15"/>
  <c r="N427" i="15"/>
  <c r="O427" i="15"/>
  <c r="P427" i="15"/>
  <c r="Q427" i="15"/>
  <c r="C428" i="15"/>
  <c r="D428" i="15"/>
  <c r="E428" i="15"/>
  <c r="F428" i="15"/>
  <c r="G428" i="15"/>
  <c r="H428" i="15"/>
  <c r="I428" i="15"/>
  <c r="J428" i="15"/>
  <c r="K428" i="15"/>
  <c r="L428" i="15"/>
  <c r="M428" i="15"/>
  <c r="N428" i="15"/>
  <c r="O428" i="15"/>
  <c r="P428" i="15"/>
  <c r="Q428" i="15"/>
  <c r="C429" i="15"/>
  <c r="D429" i="15"/>
  <c r="E429" i="15"/>
  <c r="F429" i="15"/>
  <c r="G429" i="15"/>
  <c r="H429" i="15"/>
  <c r="I429" i="15"/>
  <c r="J429" i="15"/>
  <c r="K429" i="15"/>
  <c r="L429" i="15"/>
  <c r="M429" i="15"/>
  <c r="N429" i="15"/>
  <c r="O429" i="15"/>
  <c r="P429" i="15"/>
  <c r="Q429" i="15"/>
  <c r="C430" i="15"/>
  <c r="D430" i="15"/>
  <c r="E430" i="15"/>
  <c r="F430" i="15"/>
  <c r="G430" i="15"/>
  <c r="H430" i="15"/>
  <c r="I430" i="15"/>
  <c r="J430" i="15"/>
  <c r="K430" i="15"/>
  <c r="L430" i="15"/>
  <c r="M430" i="15"/>
  <c r="N430" i="15"/>
  <c r="O430" i="15"/>
  <c r="P430" i="15"/>
  <c r="Q430" i="15"/>
  <c r="C431" i="15"/>
  <c r="D431" i="15"/>
  <c r="E431" i="15"/>
  <c r="F431" i="15"/>
  <c r="G431" i="15"/>
  <c r="H431" i="15"/>
  <c r="I431" i="15"/>
  <c r="J431" i="15"/>
  <c r="K431" i="15"/>
  <c r="L431" i="15"/>
  <c r="M431" i="15"/>
  <c r="N431" i="15"/>
  <c r="O431" i="15"/>
  <c r="P431" i="15"/>
  <c r="Q431" i="15"/>
  <c r="C432" i="15"/>
  <c r="D432" i="15"/>
  <c r="E432" i="15"/>
  <c r="F432" i="15"/>
  <c r="G432" i="15"/>
  <c r="H432" i="15"/>
  <c r="I432" i="15"/>
  <c r="J432" i="15"/>
  <c r="K432" i="15"/>
  <c r="L432" i="15"/>
  <c r="M432" i="15"/>
  <c r="N432" i="15"/>
  <c r="O432" i="15"/>
  <c r="P432" i="15"/>
  <c r="Q432" i="15"/>
  <c r="C433" i="15"/>
  <c r="D433" i="15"/>
  <c r="E433" i="15"/>
  <c r="F433" i="15"/>
  <c r="G433" i="15"/>
  <c r="H433" i="15"/>
  <c r="I433" i="15"/>
  <c r="J433" i="15"/>
  <c r="K433" i="15"/>
  <c r="L433" i="15"/>
  <c r="M433" i="15"/>
  <c r="N433" i="15"/>
  <c r="O433" i="15"/>
  <c r="P433" i="15"/>
  <c r="Q433" i="15"/>
  <c r="C434" i="15"/>
  <c r="D434" i="15"/>
  <c r="E434" i="15"/>
  <c r="F434" i="15"/>
  <c r="G434" i="15"/>
  <c r="H434" i="15"/>
  <c r="I434" i="15"/>
  <c r="J434" i="15"/>
  <c r="K434" i="15"/>
  <c r="L434" i="15"/>
  <c r="M434" i="15"/>
  <c r="N434" i="15"/>
  <c r="O434" i="15"/>
  <c r="P434" i="15"/>
  <c r="Q434" i="15"/>
  <c r="C435" i="15"/>
  <c r="D435" i="15"/>
  <c r="E435" i="15"/>
  <c r="F435" i="15"/>
  <c r="G435" i="15"/>
  <c r="H435" i="15"/>
  <c r="I435" i="15"/>
  <c r="J435" i="15"/>
  <c r="K435" i="15"/>
  <c r="L435" i="15"/>
  <c r="M435" i="15"/>
  <c r="N435" i="15"/>
  <c r="O435" i="15"/>
  <c r="P435" i="15"/>
  <c r="Q435" i="15"/>
  <c r="X435" i="15"/>
  <c r="C436" i="15"/>
  <c r="D436" i="15"/>
  <c r="E436" i="15"/>
  <c r="F436" i="15"/>
  <c r="G436" i="15"/>
  <c r="H436" i="15"/>
  <c r="I436" i="15"/>
  <c r="J436" i="15"/>
  <c r="K436" i="15"/>
  <c r="L436" i="15"/>
  <c r="M436" i="15"/>
  <c r="N436" i="15"/>
  <c r="O436" i="15"/>
  <c r="P436" i="15"/>
  <c r="Q436" i="15"/>
  <c r="X436" i="15"/>
  <c r="C437" i="15"/>
  <c r="D437" i="15"/>
  <c r="E437" i="15"/>
  <c r="F437" i="15"/>
  <c r="G437" i="15"/>
  <c r="H437" i="15"/>
  <c r="I437" i="15"/>
  <c r="J437" i="15"/>
  <c r="K437" i="15"/>
  <c r="L437" i="15"/>
  <c r="M437" i="15"/>
  <c r="N437" i="15"/>
  <c r="O437" i="15"/>
  <c r="P437" i="15"/>
  <c r="Q437" i="15"/>
  <c r="X437" i="15"/>
  <c r="C438" i="15"/>
  <c r="D438" i="15"/>
  <c r="E438" i="15"/>
  <c r="F438" i="15"/>
  <c r="G438" i="15"/>
  <c r="H438" i="15"/>
  <c r="I438" i="15"/>
  <c r="J438" i="15"/>
  <c r="K438" i="15"/>
  <c r="L438" i="15"/>
  <c r="M438" i="15"/>
  <c r="N438" i="15"/>
  <c r="O438" i="15"/>
  <c r="P438" i="15"/>
  <c r="Q438" i="15"/>
  <c r="X438" i="15"/>
  <c r="C439" i="15"/>
  <c r="D439" i="15"/>
  <c r="E439" i="15"/>
  <c r="F439" i="15"/>
  <c r="G439" i="15"/>
  <c r="H439" i="15"/>
  <c r="I439" i="15"/>
  <c r="J439" i="15"/>
  <c r="K439" i="15"/>
  <c r="L439" i="15"/>
  <c r="M439" i="15"/>
  <c r="N439" i="15"/>
  <c r="O439" i="15"/>
  <c r="P439" i="15"/>
  <c r="Q439" i="15"/>
  <c r="X439" i="15"/>
  <c r="C440" i="15"/>
  <c r="D440" i="15"/>
  <c r="E440" i="15"/>
  <c r="F440" i="15"/>
  <c r="G440" i="15"/>
  <c r="H440" i="15"/>
  <c r="I440" i="15"/>
  <c r="J440" i="15"/>
  <c r="K440" i="15"/>
  <c r="L440" i="15"/>
  <c r="M440" i="15"/>
  <c r="N440" i="15"/>
  <c r="O440" i="15"/>
  <c r="P440" i="15"/>
  <c r="Q440" i="15"/>
  <c r="X440" i="15"/>
  <c r="C441" i="15"/>
  <c r="D441" i="15"/>
  <c r="E441" i="15"/>
  <c r="F441" i="15"/>
  <c r="G441" i="15"/>
  <c r="H441" i="15"/>
  <c r="I441" i="15"/>
  <c r="J441" i="15"/>
  <c r="K441" i="15"/>
  <c r="L441" i="15"/>
  <c r="M441" i="15"/>
  <c r="N441" i="15"/>
  <c r="O441" i="15"/>
  <c r="P441" i="15"/>
  <c r="Q441" i="15"/>
  <c r="X441" i="15"/>
  <c r="C442" i="15"/>
  <c r="D442" i="15"/>
  <c r="E442" i="15"/>
  <c r="F442" i="15"/>
  <c r="G442" i="15"/>
  <c r="H442" i="15"/>
  <c r="I442" i="15"/>
  <c r="J442" i="15"/>
  <c r="K442" i="15"/>
  <c r="L442" i="15"/>
  <c r="M442" i="15"/>
  <c r="N442" i="15"/>
  <c r="O442" i="15"/>
  <c r="P442" i="15"/>
  <c r="Q442" i="15"/>
  <c r="X442" i="15"/>
  <c r="C443" i="15"/>
  <c r="D443" i="15"/>
  <c r="E443" i="15"/>
  <c r="F443" i="15"/>
  <c r="G443" i="15"/>
  <c r="H443" i="15"/>
  <c r="I443" i="15"/>
  <c r="J443" i="15"/>
  <c r="K443" i="15"/>
  <c r="L443" i="15"/>
  <c r="M443" i="15"/>
  <c r="N443" i="15"/>
  <c r="O443" i="15"/>
  <c r="P443" i="15"/>
  <c r="Q443" i="15"/>
  <c r="X443" i="15"/>
  <c r="C444" i="15"/>
  <c r="D444" i="15"/>
  <c r="E444" i="15"/>
  <c r="F444" i="15"/>
  <c r="G444" i="15"/>
  <c r="H444" i="15"/>
  <c r="I444" i="15"/>
  <c r="J444" i="15"/>
  <c r="K444" i="15"/>
  <c r="L444" i="15"/>
  <c r="M444" i="15"/>
  <c r="N444" i="15"/>
  <c r="O444" i="15"/>
  <c r="P444" i="15"/>
  <c r="Q444" i="15"/>
  <c r="X444" i="15"/>
  <c r="C445" i="15"/>
  <c r="G445" i="15"/>
  <c r="I445" i="15"/>
  <c r="L445" i="15"/>
  <c r="N445" i="15"/>
  <c r="Q445" i="15"/>
  <c r="C446" i="15"/>
  <c r="G446" i="15"/>
  <c r="I446" i="15"/>
  <c r="L446" i="15"/>
  <c r="N446" i="15"/>
  <c r="Q446" i="15"/>
  <c r="C447" i="15"/>
  <c r="G447" i="15"/>
  <c r="I447" i="15"/>
  <c r="L447" i="15"/>
  <c r="N447" i="15"/>
  <c r="Q447" i="15"/>
  <c r="C448" i="15"/>
  <c r="G448" i="15"/>
  <c r="I448" i="15"/>
  <c r="L448" i="15"/>
  <c r="N448" i="15"/>
  <c r="Q448" i="15"/>
  <c r="C449" i="15"/>
  <c r="D449" i="15"/>
  <c r="E449" i="15"/>
  <c r="F449" i="15"/>
  <c r="G449" i="15"/>
  <c r="H449" i="15"/>
  <c r="I449" i="15"/>
  <c r="J449" i="15"/>
  <c r="K449" i="15"/>
  <c r="L449" i="15"/>
  <c r="M449" i="15"/>
  <c r="N449" i="15"/>
  <c r="O449" i="15"/>
  <c r="P449" i="15"/>
  <c r="Q449" i="15"/>
  <c r="X449" i="15"/>
  <c r="C450" i="15"/>
  <c r="D450" i="15"/>
  <c r="E450" i="15"/>
  <c r="F450" i="15"/>
  <c r="G450" i="15"/>
  <c r="H450" i="15"/>
  <c r="I450" i="15"/>
  <c r="J450" i="15"/>
  <c r="K450" i="15"/>
  <c r="L450" i="15"/>
  <c r="M450" i="15"/>
  <c r="N450" i="15"/>
  <c r="O450" i="15"/>
  <c r="P450" i="15"/>
  <c r="Q450" i="15"/>
  <c r="X450" i="15"/>
  <c r="C451" i="15"/>
  <c r="D451" i="15"/>
  <c r="E451" i="15"/>
  <c r="F451" i="15"/>
  <c r="G451" i="15"/>
  <c r="H451" i="15"/>
  <c r="I451" i="15"/>
  <c r="J451" i="15"/>
  <c r="K451" i="15"/>
  <c r="L451" i="15"/>
  <c r="M451" i="15"/>
  <c r="N451" i="15"/>
  <c r="O451" i="15"/>
  <c r="P451" i="15"/>
  <c r="Q451" i="15"/>
  <c r="X451" i="15"/>
  <c r="C452" i="15"/>
  <c r="D452" i="15"/>
  <c r="E452" i="15"/>
  <c r="F452" i="15"/>
  <c r="G452" i="15"/>
  <c r="H452" i="15"/>
  <c r="I452" i="15"/>
  <c r="J452" i="15"/>
  <c r="K452" i="15"/>
  <c r="L452" i="15"/>
  <c r="M452" i="15"/>
  <c r="N452" i="15"/>
  <c r="O452" i="15"/>
  <c r="P452" i="15"/>
  <c r="Q452" i="15"/>
  <c r="X452" i="15"/>
  <c r="C453" i="15"/>
  <c r="D453" i="15"/>
  <c r="E453" i="15"/>
  <c r="F453" i="15"/>
  <c r="G453" i="15"/>
  <c r="H453" i="15"/>
  <c r="I453" i="15"/>
  <c r="J453" i="15"/>
  <c r="K453" i="15"/>
  <c r="L453" i="15"/>
  <c r="M453" i="15"/>
  <c r="N453" i="15"/>
  <c r="O453" i="15"/>
  <c r="P453" i="15"/>
  <c r="Q453" i="15"/>
  <c r="X453" i="15"/>
  <c r="C454" i="15"/>
  <c r="D454" i="15"/>
  <c r="E454" i="15"/>
  <c r="F454" i="15"/>
  <c r="G454" i="15"/>
  <c r="H454" i="15"/>
  <c r="I454" i="15"/>
  <c r="J454" i="15"/>
  <c r="K454" i="15"/>
  <c r="L454" i="15"/>
  <c r="M454" i="15"/>
  <c r="N454" i="15"/>
  <c r="O454" i="15"/>
  <c r="P454" i="15"/>
  <c r="Q454" i="15"/>
  <c r="X454" i="15"/>
  <c r="C455" i="15"/>
  <c r="D455" i="15"/>
  <c r="E455" i="15"/>
  <c r="F455" i="15"/>
  <c r="G455" i="15"/>
  <c r="H455" i="15"/>
  <c r="I455" i="15"/>
  <c r="J455" i="15"/>
  <c r="K455" i="15"/>
  <c r="L455" i="15"/>
  <c r="M455" i="15"/>
  <c r="N455" i="15"/>
  <c r="O455" i="15"/>
  <c r="P455" i="15"/>
  <c r="Q455" i="15"/>
  <c r="X455" i="15"/>
  <c r="C456" i="15"/>
  <c r="D456" i="15"/>
  <c r="E456" i="15"/>
  <c r="F456" i="15"/>
  <c r="G456" i="15"/>
  <c r="H456" i="15"/>
  <c r="I456" i="15"/>
  <c r="J456" i="15"/>
  <c r="K456" i="15"/>
  <c r="L456" i="15"/>
  <c r="M456" i="15"/>
  <c r="N456" i="15"/>
  <c r="O456" i="15"/>
  <c r="P456" i="15"/>
  <c r="Q456" i="15"/>
  <c r="X456" i="15"/>
  <c r="C457" i="15"/>
  <c r="D457" i="15"/>
  <c r="E457" i="15"/>
  <c r="F457" i="15"/>
  <c r="G457" i="15"/>
  <c r="H457" i="15"/>
  <c r="I457" i="15"/>
  <c r="J457" i="15"/>
  <c r="K457" i="15"/>
  <c r="L457" i="15"/>
  <c r="M457" i="15"/>
  <c r="N457" i="15"/>
  <c r="O457" i="15"/>
  <c r="P457" i="15"/>
  <c r="Q457" i="15"/>
  <c r="X457" i="15"/>
  <c r="C458" i="15"/>
  <c r="D458" i="15"/>
  <c r="E458" i="15"/>
  <c r="F458" i="15"/>
  <c r="G458" i="15"/>
  <c r="H458" i="15"/>
  <c r="I458" i="15"/>
  <c r="J458" i="15"/>
  <c r="K458" i="15"/>
  <c r="L458" i="15"/>
  <c r="M458" i="15"/>
  <c r="N458" i="15"/>
  <c r="O458" i="15"/>
  <c r="P458" i="15"/>
  <c r="Q458" i="15"/>
  <c r="X458" i="15"/>
  <c r="C459" i="15"/>
  <c r="D459" i="15"/>
  <c r="E459" i="15"/>
  <c r="F459" i="15"/>
  <c r="G459" i="15"/>
  <c r="H459" i="15"/>
  <c r="I459" i="15"/>
  <c r="J459" i="15"/>
  <c r="K459" i="15"/>
  <c r="L459" i="15"/>
  <c r="M459" i="15"/>
  <c r="N459" i="15"/>
  <c r="O459" i="15"/>
  <c r="P459" i="15"/>
  <c r="Q459" i="15"/>
  <c r="X459" i="15"/>
  <c r="C460" i="15"/>
  <c r="D460" i="15"/>
  <c r="E460" i="15"/>
  <c r="F460" i="15"/>
  <c r="G460" i="15"/>
  <c r="H460" i="15"/>
  <c r="I460" i="15"/>
  <c r="J460" i="15"/>
  <c r="K460" i="15"/>
  <c r="L460" i="15"/>
  <c r="M460" i="15"/>
  <c r="N460" i="15"/>
  <c r="O460" i="15"/>
  <c r="P460" i="15"/>
  <c r="Q460" i="15"/>
  <c r="X460" i="15"/>
  <c r="C461" i="15"/>
  <c r="D461" i="15"/>
  <c r="E461" i="15"/>
  <c r="F461" i="15"/>
  <c r="G461" i="15"/>
  <c r="H461" i="15"/>
  <c r="I461" i="15"/>
  <c r="J461" i="15"/>
  <c r="K461" i="15"/>
  <c r="L461" i="15"/>
  <c r="M461" i="15"/>
  <c r="N461" i="15"/>
  <c r="O461" i="15"/>
  <c r="P461" i="15"/>
  <c r="Q461" i="15"/>
  <c r="X461" i="15"/>
  <c r="C462" i="15"/>
  <c r="D462" i="15"/>
  <c r="E462" i="15"/>
  <c r="F462" i="15"/>
  <c r="G462" i="15"/>
  <c r="H462" i="15"/>
  <c r="I462" i="15"/>
  <c r="J462" i="15"/>
  <c r="K462" i="15"/>
  <c r="L462" i="15"/>
  <c r="M462" i="15"/>
  <c r="N462" i="15"/>
  <c r="O462" i="15"/>
  <c r="P462" i="15"/>
  <c r="Q462" i="15"/>
  <c r="X462" i="15"/>
  <c r="C463" i="15"/>
  <c r="D463" i="15"/>
  <c r="E463" i="15"/>
  <c r="F463" i="15"/>
  <c r="G463" i="15"/>
  <c r="H463" i="15"/>
  <c r="I463" i="15"/>
  <c r="J463" i="15"/>
  <c r="K463" i="15"/>
  <c r="L463" i="15"/>
  <c r="M463" i="15"/>
  <c r="N463" i="15"/>
  <c r="O463" i="15"/>
  <c r="P463" i="15"/>
  <c r="Q463" i="15"/>
  <c r="X463" i="15"/>
  <c r="C464" i="15"/>
  <c r="D464" i="15"/>
  <c r="E464" i="15"/>
  <c r="F464" i="15"/>
  <c r="G464" i="15"/>
  <c r="H464" i="15"/>
  <c r="I464" i="15"/>
  <c r="J464" i="15"/>
  <c r="K464" i="15"/>
  <c r="L464" i="15"/>
  <c r="M464" i="15"/>
  <c r="N464" i="15"/>
  <c r="O464" i="15"/>
  <c r="P464" i="15"/>
  <c r="Q464" i="15"/>
  <c r="X464" i="15"/>
  <c r="C465" i="15"/>
  <c r="D465" i="15"/>
  <c r="E465" i="15"/>
  <c r="F465" i="15"/>
  <c r="G465" i="15"/>
  <c r="H465" i="15"/>
  <c r="I465" i="15"/>
  <c r="J465" i="15"/>
  <c r="K465" i="15"/>
  <c r="L465" i="15"/>
  <c r="M465" i="15"/>
  <c r="N465" i="15"/>
  <c r="O465" i="15"/>
  <c r="P465" i="15"/>
  <c r="Q465" i="15"/>
  <c r="X465" i="15"/>
  <c r="C466" i="15"/>
  <c r="D466" i="15"/>
  <c r="E466" i="15"/>
  <c r="F466" i="15"/>
  <c r="G466" i="15"/>
  <c r="H466" i="15"/>
  <c r="I466" i="15"/>
  <c r="J466" i="15"/>
  <c r="K466" i="15"/>
  <c r="L466" i="15"/>
  <c r="M466" i="15"/>
  <c r="N466" i="15"/>
  <c r="O466" i="15"/>
  <c r="P466" i="15"/>
  <c r="Q466" i="15"/>
  <c r="X466" i="15"/>
  <c r="C467" i="15"/>
  <c r="D467" i="15"/>
  <c r="E467" i="15"/>
  <c r="F467" i="15"/>
  <c r="G467" i="15"/>
  <c r="H467" i="15"/>
  <c r="I467" i="15"/>
  <c r="J467" i="15"/>
  <c r="K467" i="15"/>
  <c r="L467" i="15"/>
  <c r="M467" i="15"/>
  <c r="N467" i="15"/>
  <c r="O467" i="15"/>
  <c r="P467" i="15"/>
  <c r="Q467" i="15"/>
  <c r="X467" i="15"/>
  <c r="C468" i="15"/>
  <c r="D468" i="15"/>
  <c r="E468" i="15"/>
  <c r="F468" i="15"/>
  <c r="G468" i="15"/>
  <c r="H468" i="15"/>
  <c r="I468" i="15"/>
  <c r="J468" i="15"/>
  <c r="K468" i="15"/>
  <c r="L468" i="15"/>
  <c r="M468" i="15"/>
  <c r="N468" i="15"/>
  <c r="O468" i="15"/>
  <c r="P468" i="15"/>
  <c r="Q468" i="15"/>
  <c r="X468" i="15"/>
  <c r="C469" i="15"/>
  <c r="D469" i="15"/>
  <c r="E469" i="15"/>
  <c r="F469" i="15"/>
  <c r="G469" i="15"/>
  <c r="H469" i="15"/>
  <c r="I469" i="15"/>
  <c r="J469" i="15"/>
  <c r="K469" i="15"/>
  <c r="L469" i="15"/>
  <c r="M469" i="15"/>
  <c r="N469" i="15"/>
  <c r="O469" i="15"/>
  <c r="P469" i="15"/>
  <c r="Q469" i="15"/>
  <c r="X469" i="15"/>
  <c r="C470" i="15"/>
  <c r="D470" i="15"/>
  <c r="E470" i="15"/>
  <c r="F470" i="15"/>
  <c r="G470" i="15"/>
  <c r="H470" i="15"/>
  <c r="I470" i="15"/>
  <c r="J470" i="15"/>
  <c r="K470" i="15"/>
  <c r="L470" i="15"/>
  <c r="M470" i="15"/>
  <c r="N470" i="15"/>
  <c r="O470" i="15"/>
  <c r="P470" i="15"/>
  <c r="Q470" i="15"/>
  <c r="X470" i="15"/>
  <c r="C471" i="15"/>
  <c r="D471" i="15"/>
  <c r="E471" i="15"/>
  <c r="F471" i="15"/>
  <c r="G471" i="15"/>
  <c r="H471" i="15"/>
  <c r="I471" i="15"/>
  <c r="J471" i="15"/>
  <c r="K471" i="15"/>
  <c r="L471" i="15"/>
  <c r="M471" i="15"/>
  <c r="N471" i="15"/>
  <c r="O471" i="15"/>
  <c r="P471" i="15"/>
  <c r="Q471" i="15"/>
  <c r="X471" i="15"/>
  <c r="C472" i="15"/>
  <c r="D472" i="15"/>
  <c r="E472" i="15"/>
  <c r="F472" i="15"/>
  <c r="G472" i="15"/>
  <c r="H472" i="15"/>
  <c r="I472" i="15"/>
  <c r="J472" i="15"/>
  <c r="K472" i="15"/>
  <c r="L472" i="15"/>
  <c r="M472" i="15"/>
  <c r="N472" i="15"/>
  <c r="O472" i="15"/>
  <c r="P472" i="15"/>
  <c r="Q472" i="15"/>
  <c r="X472" i="15"/>
  <c r="C473" i="15"/>
  <c r="D473" i="15"/>
  <c r="E473" i="15"/>
  <c r="F473" i="15"/>
  <c r="G473" i="15"/>
  <c r="H473" i="15"/>
  <c r="I473" i="15"/>
  <c r="J473" i="15"/>
  <c r="K473" i="15"/>
  <c r="L473" i="15"/>
  <c r="M473" i="15"/>
  <c r="N473" i="15"/>
  <c r="O473" i="15"/>
  <c r="P473" i="15"/>
  <c r="Q473" i="15"/>
  <c r="X473" i="15"/>
  <c r="C474" i="15"/>
  <c r="D474" i="15"/>
  <c r="E474" i="15"/>
  <c r="F474" i="15"/>
  <c r="G474" i="15"/>
  <c r="H474" i="15"/>
  <c r="I474" i="15"/>
  <c r="J474" i="15"/>
  <c r="K474" i="15"/>
  <c r="L474" i="15"/>
  <c r="M474" i="15"/>
  <c r="N474" i="15"/>
  <c r="O474" i="15"/>
  <c r="P474" i="15"/>
  <c r="Q474" i="15"/>
  <c r="X474" i="15"/>
  <c r="C475" i="15"/>
  <c r="D475" i="15"/>
  <c r="E475" i="15"/>
  <c r="F475" i="15"/>
  <c r="G475" i="15"/>
  <c r="H475" i="15"/>
  <c r="I475" i="15"/>
  <c r="J475" i="15"/>
  <c r="K475" i="15"/>
  <c r="L475" i="15"/>
  <c r="M475" i="15"/>
  <c r="N475" i="15"/>
  <c r="O475" i="15"/>
  <c r="P475" i="15"/>
  <c r="Q475" i="15"/>
  <c r="X475" i="15"/>
  <c r="C476" i="15"/>
  <c r="D476" i="15"/>
  <c r="E476" i="15"/>
  <c r="F476" i="15"/>
  <c r="G476" i="15"/>
  <c r="H476" i="15"/>
  <c r="I476" i="15"/>
  <c r="J476" i="15"/>
  <c r="K476" i="15"/>
  <c r="L476" i="15"/>
  <c r="M476" i="15"/>
  <c r="N476" i="15"/>
  <c r="O476" i="15"/>
  <c r="P476" i="15"/>
  <c r="Q476" i="15"/>
  <c r="X476" i="15"/>
  <c r="C477" i="15"/>
  <c r="D477" i="15"/>
  <c r="E477" i="15"/>
  <c r="F477" i="15"/>
  <c r="G477" i="15"/>
  <c r="H477" i="15"/>
  <c r="I477" i="15"/>
  <c r="J477" i="15"/>
  <c r="K477" i="15"/>
  <c r="L477" i="15"/>
  <c r="M477" i="15"/>
  <c r="N477" i="15"/>
  <c r="O477" i="15"/>
  <c r="P477" i="15"/>
  <c r="Q477" i="15"/>
  <c r="X477" i="15"/>
  <c r="C478" i="15"/>
  <c r="D478" i="15"/>
  <c r="E478" i="15"/>
  <c r="F478" i="15"/>
  <c r="G478" i="15"/>
  <c r="H478" i="15"/>
  <c r="I478" i="15"/>
  <c r="J478" i="15"/>
  <c r="K478" i="15"/>
  <c r="L478" i="15"/>
  <c r="M478" i="15"/>
  <c r="N478" i="15"/>
  <c r="O478" i="15"/>
  <c r="P478" i="15"/>
  <c r="Q478" i="15"/>
  <c r="X478" i="15"/>
  <c r="C479" i="15"/>
  <c r="D479" i="15"/>
  <c r="E479" i="15"/>
  <c r="F479" i="15"/>
  <c r="G479" i="15"/>
  <c r="H479" i="15"/>
  <c r="I479" i="15"/>
  <c r="J479" i="15"/>
  <c r="K479" i="15"/>
  <c r="L479" i="15"/>
  <c r="M479" i="15"/>
  <c r="N479" i="15"/>
  <c r="O479" i="15"/>
  <c r="P479" i="15"/>
  <c r="Q479" i="15"/>
  <c r="X479" i="15"/>
  <c r="C480" i="15"/>
  <c r="D480" i="15"/>
  <c r="E480" i="15"/>
  <c r="F480" i="15"/>
  <c r="G480" i="15"/>
  <c r="H480" i="15"/>
  <c r="I480" i="15"/>
  <c r="J480" i="15"/>
  <c r="K480" i="15"/>
  <c r="L480" i="15"/>
  <c r="M480" i="15"/>
  <c r="N480" i="15"/>
  <c r="O480" i="15"/>
  <c r="P480" i="15"/>
  <c r="Q480" i="15"/>
  <c r="X480" i="15"/>
  <c r="C481" i="15"/>
  <c r="D481" i="15"/>
  <c r="E481" i="15"/>
  <c r="F481" i="15"/>
  <c r="G481" i="15"/>
  <c r="H481" i="15"/>
  <c r="I481" i="15"/>
  <c r="J481" i="15"/>
  <c r="K481" i="15"/>
  <c r="L481" i="15"/>
  <c r="M481" i="15"/>
  <c r="N481" i="15"/>
  <c r="O481" i="15"/>
  <c r="P481" i="15"/>
  <c r="Q481" i="15"/>
  <c r="X481" i="15"/>
  <c r="C482" i="15"/>
  <c r="D482" i="15"/>
  <c r="E482" i="15"/>
  <c r="F482" i="15"/>
  <c r="G482" i="15"/>
  <c r="H482" i="15"/>
  <c r="I482" i="15"/>
  <c r="J482" i="15"/>
  <c r="K482" i="15"/>
  <c r="L482" i="15"/>
  <c r="M482" i="15"/>
  <c r="N482" i="15"/>
  <c r="O482" i="15"/>
  <c r="P482" i="15"/>
  <c r="Q482" i="15"/>
  <c r="X482" i="15"/>
  <c r="C483" i="15"/>
  <c r="D483" i="15"/>
  <c r="E483" i="15"/>
  <c r="F483" i="15"/>
  <c r="G483" i="15"/>
  <c r="H483" i="15"/>
  <c r="I483" i="15"/>
  <c r="J483" i="15"/>
  <c r="K483" i="15"/>
  <c r="L483" i="15"/>
  <c r="M483" i="15"/>
  <c r="N483" i="15"/>
  <c r="O483" i="15"/>
  <c r="P483" i="15"/>
  <c r="Q483" i="15"/>
  <c r="X483" i="15"/>
  <c r="C484" i="15"/>
  <c r="D484" i="15"/>
  <c r="E484" i="15"/>
  <c r="F484" i="15"/>
  <c r="G484" i="15"/>
  <c r="H484" i="15"/>
  <c r="I484" i="15"/>
  <c r="J484" i="15"/>
  <c r="K484" i="15"/>
  <c r="L484" i="15"/>
  <c r="M484" i="15"/>
  <c r="N484" i="15"/>
  <c r="O484" i="15"/>
  <c r="P484" i="15"/>
  <c r="Q484" i="15"/>
  <c r="X484" i="15"/>
  <c r="G485" i="15"/>
  <c r="I485" i="15"/>
  <c r="L485" i="15"/>
  <c r="N485" i="15"/>
  <c r="Q485" i="15"/>
  <c r="C486" i="15"/>
  <c r="D486" i="15"/>
  <c r="E486" i="15"/>
  <c r="F486" i="15"/>
  <c r="G486" i="15"/>
  <c r="H486" i="15"/>
  <c r="I486" i="15"/>
  <c r="J486" i="15"/>
  <c r="K486" i="15"/>
  <c r="L486" i="15"/>
  <c r="M486" i="15"/>
  <c r="N486" i="15"/>
  <c r="O486" i="15"/>
  <c r="P486" i="15"/>
  <c r="Q486" i="15"/>
  <c r="X486" i="15"/>
  <c r="C487" i="15"/>
  <c r="D487" i="15"/>
  <c r="E487" i="15"/>
  <c r="F487" i="15"/>
  <c r="G487" i="15"/>
  <c r="H487" i="15"/>
  <c r="I487" i="15"/>
  <c r="J487" i="15"/>
  <c r="K487" i="15"/>
  <c r="L487" i="15"/>
  <c r="M487" i="15"/>
  <c r="N487" i="15"/>
  <c r="O487" i="15"/>
  <c r="P487" i="15"/>
  <c r="Q487" i="15"/>
  <c r="X487" i="15"/>
  <c r="C488" i="15"/>
  <c r="D488" i="15"/>
  <c r="E488" i="15"/>
  <c r="F488" i="15"/>
  <c r="G488" i="15"/>
  <c r="H488" i="15"/>
  <c r="I488" i="15"/>
  <c r="J488" i="15"/>
  <c r="K488" i="15"/>
  <c r="L488" i="15"/>
  <c r="M488" i="15"/>
  <c r="N488" i="15"/>
  <c r="O488" i="15"/>
  <c r="P488" i="15"/>
  <c r="Q488" i="15"/>
  <c r="X488" i="15"/>
  <c r="C489" i="15"/>
  <c r="D489" i="15"/>
  <c r="E489" i="15"/>
  <c r="F489" i="15"/>
  <c r="G489" i="15"/>
  <c r="H489" i="15"/>
  <c r="I489" i="15"/>
  <c r="J489" i="15"/>
  <c r="K489" i="15"/>
  <c r="L489" i="15"/>
  <c r="M489" i="15"/>
  <c r="N489" i="15"/>
  <c r="O489" i="15"/>
  <c r="P489" i="15"/>
  <c r="Q489" i="15"/>
  <c r="X489" i="15"/>
  <c r="C490" i="15"/>
  <c r="D490" i="15"/>
  <c r="E490" i="15"/>
  <c r="F490" i="15"/>
  <c r="G490" i="15"/>
  <c r="H490" i="15"/>
  <c r="I490" i="15"/>
  <c r="J490" i="15"/>
  <c r="K490" i="15"/>
  <c r="L490" i="15"/>
  <c r="M490" i="15"/>
  <c r="N490" i="15"/>
  <c r="O490" i="15"/>
  <c r="P490" i="15"/>
  <c r="Q490" i="15"/>
  <c r="X490" i="15"/>
  <c r="C491" i="15"/>
  <c r="D491" i="15"/>
  <c r="E491" i="15"/>
  <c r="F491" i="15"/>
  <c r="G491" i="15"/>
  <c r="H491" i="15"/>
  <c r="I491" i="15"/>
  <c r="J491" i="15"/>
  <c r="K491" i="15"/>
  <c r="L491" i="15"/>
  <c r="M491" i="15"/>
  <c r="N491" i="15"/>
  <c r="O491" i="15"/>
  <c r="P491" i="15"/>
  <c r="Q491" i="15"/>
  <c r="X491" i="15"/>
  <c r="C492" i="15"/>
  <c r="D492" i="15"/>
  <c r="E492" i="15"/>
  <c r="F492" i="15"/>
  <c r="G492" i="15"/>
  <c r="H492" i="15"/>
  <c r="I492" i="15"/>
  <c r="J492" i="15"/>
  <c r="K492" i="15"/>
  <c r="L492" i="15"/>
  <c r="M492" i="15"/>
  <c r="N492" i="15"/>
  <c r="O492" i="15"/>
  <c r="P492" i="15"/>
  <c r="Q492" i="15"/>
  <c r="X492" i="15"/>
  <c r="C493" i="15"/>
  <c r="D493" i="15"/>
  <c r="E493" i="15"/>
  <c r="F493" i="15"/>
  <c r="G493" i="15"/>
  <c r="H493" i="15"/>
  <c r="I493" i="15"/>
  <c r="J493" i="15"/>
  <c r="K493" i="15"/>
  <c r="L493" i="15"/>
  <c r="M493" i="15"/>
  <c r="N493" i="15"/>
  <c r="O493" i="15"/>
  <c r="P493" i="15"/>
  <c r="Q493" i="15"/>
  <c r="X493" i="15"/>
  <c r="C494" i="15"/>
  <c r="D494" i="15"/>
  <c r="E494" i="15"/>
  <c r="F494" i="15"/>
  <c r="G494" i="15"/>
  <c r="H494" i="15"/>
  <c r="I494" i="15"/>
  <c r="J494" i="15"/>
  <c r="K494" i="15"/>
  <c r="L494" i="15"/>
  <c r="M494" i="15"/>
  <c r="N494" i="15"/>
  <c r="O494" i="15"/>
  <c r="P494" i="15"/>
  <c r="Q494" i="15"/>
  <c r="X494" i="15"/>
  <c r="C495" i="15"/>
  <c r="D495" i="15"/>
  <c r="E495" i="15"/>
  <c r="F495" i="15"/>
  <c r="G495" i="15"/>
  <c r="H495" i="15"/>
  <c r="I495" i="15"/>
  <c r="J495" i="15"/>
  <c r="K495" i="15"/>
  <c r="L495" i="15"/>
  <c r="M495" i="15"/>
  <c r="N495" i="15"/>
  <c r="O495" i="15"/>
  <c r="P495" i="15"/>
  <c r="Q495" i="15"/>
  <c r="X495" i="15"/>
  <c r="C496" i="15"/>
  <c r="D496" i="15"/>
  <c r="E496" i="15"/>
  <c r="F496" i="15"/>
  <c r="G496" i="15"/>
  <c r="H496" i="15"/>
  <c r="I496" i="15"/>
  <c r="J496" i="15"/>
  <c r="K496" i="15"/>
  <c r="L496" i="15"/>
  <c r="M496" i="15"/>
  <c r="N496" i="15"/>
  <c r="O496" i="15"/>
  <c r="P496" i="15"/>
  <c r="Q496" i="15"/>
  <c r="X496" i="15"/>
  <c r="C497" i="15"/>
  <c r="D497" i="15"/>
  <c r="E497" i="15"/>
  <c r="F497" i="15"/>
  <c r="G497" i="15"/>
  <c r="H497" i="15"/>
  <c r="I497" i="15"/>
  <c r="J497" i="15"/>
  <c r="K497" i="15"/>
  <c r="L497" i="15"/>
  <c r="M497" i="15"/>
  <c r="N497" i="15"/>
  <c r="O497" i="15"/>
  <c r="P497" i="15"/>
  <c r="Q497" i="15"/>
  <c r="X497" i="15"/>
  <c r="G498" i="15"/>
  <c r="I498" i="15"/>
  <c r="L498" i="15"/>
  <c r="N498" i="15"/>
  <c r="Q498" i="15"/>
  <c r="G499" i="15"/>
  <c r="I499" i="15"/>
  <c r="L499" i="15"/>
  <c r="N499" i="15"/>
  <c r="Q499" i="15"/>
  <c r="C500" i="15"/>
  <c r="D500" i="15"/>
  <c r="E500" i="15"/>
  <c r="F500" i="15"/>
  <c r="G500" i="15"/>
  <c r="H500" i="15"/>
  <c r="I500" i="15"/>
  <c r="J500" i="15"/>
  <c r="K500" i="15"/>
  <c r="L500" i="15"/>
  <c r="M500" i="15"/>
  <c r="N500" i="15"/>
  <c r="O500" i="15"/>
  <c r="P500" i="15"/>
  <c r="Q500" i="15"/>
  <c r="X500" i="15"/>
  <c r="C501" i="15"/>
  <c r="D501" i="15"/>
  <c r="E501" i="15"/>
  <c r="F501" i="15"/>
  <c r="G501" i="15"/>
  <c r="H501" i="15"/>
  <c r="I501" i="15"/>
  <c r="J501" i="15"/>
  <c r="K501" i="15"/>
  <c r="L501" i="15"/>
  <c r="M501" i="15"/>
  <c r="N501" i="15"/>
  <c r="O501" i="15"/>
  <c r="P501" i="15"/>
  <c r="Q501" i="15"/>
  <c r="X501" i="15"/>
  <c r="C502" i="15"/>
  <c r="D502" i="15"/>
  <c r="E502" i="15"/>
  <c r="F502" i="15"/>
  <c r="G502" i="15"/>
  <c r="H502" i="15"/>
  <c r="I502" i="15"/>
  <c r="J502" i="15"/>
  <c r="K502" i="15"/>
  <c r="L502" i="15"/>
  <c r="M502" i="15"/>
  <c r="N502" i="15"/>
  <c r="O502" i="15"/>
  <c r="P502" i="15"/>
  <c r="Q502" i="15"/>
  <c r="X502" i="15"/>
  <c r="C503" i="15"/>
  <c r="D503" i="15"/>
  <c r="E503" i="15"/>
  <c r="F503" i="15"/>
  <c r="G503" i="15"/>
  <c r="H503" i="15"/>
  <c r="I503" i="15"/>
  <c r="J503" i="15"/>
  <c r="K503" i="15"/>
  <c r="L503" i="15"/>
  <c r="M503" i="15"/>
  <c r="N503" i="15"/>
  <c r="O503" i="15"/>
  <c r="P503" i="15"/>
  <c r="Q503" i="15"/>
  <c r="X503" i="15"/>
  <c r="C504" i="15"/>
  <c r="D504" i="15"/>
  <c r="E504" i="15"/>
  <c r="F504" i="15"/>
  <c r="G504" i="15"/>
  <c r="H504" i="15"/>
  <c r="I504" i="15"/>
  <c r="J504" i="15"/>
  <c r="K504" i="15"/>
  <c r="L504" i="15"/>
  <c r="M504" i="15"/>
  <c r="N504" i="15"/>
  <c r="O504" i="15"/>
  <c r="P504" i="15"/>
  <c r="Q504" i="15"/>
  <c r="X504" i="15"/>
  <c r="C505" i="15"/>
  <c r="D505" i="15"/>
  <c r="E505" i="15"/>
  <c r="F505" i="15"/>
  <c r="G505" i="15"/>
  <c r="H505" i="15"/>
  <c r="I505" i="15"/>
  <c r="J505" i="15"/>
  <c r="K505" i="15"/>
  <c r="L505" i="15"/>
  <c r="M505" i="15"/>
  <c r="N505" i="15"/>
  <c r="O505" i="15"/>
  <c r="P505" i="15"/>
  <c r="Q505" i="15"/>
  <c r="X505" i="15"/>
  <c r="C506" i="15"/>
  <c r="D506" i="15"/>
  <c r="E506" i="15"/>
  <c r="F506" i="15"/>
  <c r="G506" i="15"/>
  <c r="H506" i="15"/>
  <c r="I506" i="15"/>
  <c r="J506" i="15"/>
  <c r="K506" i="15"/>
  <c r="L506" i="15"/>
  <c r="M506" i="15"/>
  <c r="N506" i="15"/>
  <c r="O506" i="15"/>
  <c r="P506" i="15"/>
  <c r="Q506" i="15"/>
  <c r="X506" i="15"/>
  <c r="E507" i="15"/>
  <c r="F507" i="15"/>
  <c r="G507" i="15"/>
  <c r="H507" i="15"/>
  <c r="I507" i="15"/>
  <c r="N507" i="15"/>
  <c r="O507" i="15"/>
  <c r="P507" i="15"/>
  <c r="Q507" i="15"/>
  <c r="E508" i="15"/>
  <c r="F508" i="15"/>
  <c r="G508" i="15"/>
  <c r="H508" i="15"/>
  <c r="I508" i="15"/>
  <c r="N508" i="15"/>
  <c r="O508" i="15"/>
  <c r="P508" i="15"/>
  <c r="Q508" i="15"/>
  <c r="C509" i="15"/>
  <c r="D509" i="15"/>
  <c r="E509" i="15"/>
  <c r="F509" i="15"/>
  <c r="G509" i="15"/>
  <c r="H509" i="15"/>
  <c r="I509" i="15"/>
  <c r="M509" i="15"/>
  <c r="N509" i="15"/>
  <c r="X509" i="15"/>
  <c r="C510" i="15"/>
  <c r="D510" i="15"/>
  <c r="E510" i="15"/>
  <c r="F510" i="15"/>
  <c r="G510" i="15"/>
  <c r="H510" i="15"/>
  <c r="I510" i="15"/>
  <c r="M510" i="15"/>
  <c r="N510" i="15"/>
  <c r="X510" i="15"/>
  <c r="C511" i="15"/>
  <c r="D511" i="15"/>
  <c r="E511" i="15"/>
  <c r="F511" i="15"/>
  <c r="G511" i="15"/>
  <c r="H511" i="15"/>
  <c r="I511" i="15"/>
  <c r="J511" i="15"/>
  <c r="K511" i="15"/>
  <c r="L511" i="15"/>
  <c r="M511" i="15"/>
  <c r="N511" i="15"/>
  <c r="O511" i="15"/>
  <c r="P511" i="15"/>
  <c r="Q511" i="15"/>
  <c r="X511" i="15"/>
  <c r="C512" i="15"/>
  <c r="D512" i="15"/>
  <c r="E512" i="15"/>
  <c r="F512" i="15"/>
  <c r="G512" i="15"/>
  <c r="H512" i="15"/>
  <c r="I512" i="15"/>
  <c r="J512" i="15"/>
  <c r="K512" i="15"/>
  <c r="L512" i="15"/>
  <c r="M512" i="15"/>
  <c r="N512" i="15"/>
  <c r="O512" i="15"/>
  <c r="P512" i="15"/>
  <c r="Q512" i="15"/>
  <c r="X512" i="15"/>
  <c r="C513" i="15"/>
  <c r="D513" i="15"/>
  <c r="E513" i="15"/>
  <c r="F513" i="15"/>
  <c r="G513" i="15"/>
  <c r="H513" i="15"/>
  <c r="I513" i="15"/>
  <c r="J513" i="15"/>
  <c r="K513" i="15"/>
  <c r="L513" i="15"/>
  <c r="M513" i="15"/>
  <c r="N513" i="15"/>
  <c r="O513" i="15"/>
  <c r="P513" i="15"/>
  <c r="Q513" i="15"/>
  <c r="X513" i="15"/>
  <c r="C514" i="15"/>
  <c r="D514" i="15"/>
  <c r="E514" i="15"/>
  <c r="F514" i="15"/>
  <c r="G514" i="15"/>
  <c r="H514" i="15"/>
  <c r="I514" i="15"/>
  <c r="J514" i="15"/>
  <c r="K514" i="15"/>
  <c r="L514" i="15"/>
  <c r="M514" i="15"/>
  <c r="N514" i="15"/>
  <c r="O514" i="15"/>
  <c r="P514" i="15"/>
  <c r="Q514" i="15"/>
  <c r="X514" i="15"/>
  <c r="C515" i="15"/>
  <c r="D515" i="15"/>
  <c r="E515" i="15"/>
  <c r="F515" i="15"/>
  <c r="G515" i="15"/>
  <c r="H515" i="15"/>
  <c r="I515" i="15"/>
  <c r="J515" i="15"/>
  <c r="K515" i="15"/>
  <c r="L515" i="15"/>
  <c r="M515" i="15"/>
  <c r="N515" i="15"/>
  <c r="O515" i="15"/>
  <c r="P515" i="15"/>
  <c r="Q515" i="15"/>
  <c r="X515" i="15"/>
  <c r="C516" i="15"/>
  <c r="D516" i="15"/>
  <c r="E516" i="15"/>
  <c r="F516" i="15"/>
  <c r="G516" i="15"/>
  <c r="H516" i="15"/>
  <c r="I516" i="15"/>
  <c r="J516" i="15"/>
  <c r="K516" i="15"/>
  <c r="L516" i="15"/>
  <c r="M516" i="15"/>
  <c r="N516" i="15"/>
  <c r="O516" i="15"/>
  <c r="P516" i="15"/>
  <c r="Q516" i="15"/>
  <c r="X516" i="15"/>
  <c r="C517" i="15"/>
  <c r="D517" i="15"/>
  <c r="E517" i="15"/>
  <c r="F517" i="15"/>
  <c r="G517" i="15"/>
  <c r="H517" i="15"/>
  <c r="I517" i="15"/>
  <c r="J517" i="15"/>
  <c r="K517" i="15"/>
  <c r="L517" i="15"/>
  <c r="M517" i="15"/>
  <c r="N517" i="15"/>
  <c r="O517" i="15"/>
  <c r="P517" i="15"/>
  <c r="Q517" i="15"/>
  <c r="X517" i="15"/>
  <c r="C518" i="15"/>
  <c r="D518" i="15"/>
  <c r="E518" i="15"/>
  <c r="F518" i="15"/>
  <c r="G518" i="15"/>
  <c r="H518" i="15"/>
  <c r="I518" i="15"/>
  <c r="J518" i="15"/>
  <c r="K518" i="15"/>
  <c r="L518" i="15"/>
  <c r="M518" i="15"/>
  <c r="N518" i="15"/>
  <c r="O518" i="15"/>
  <c r="P518" i="15"/>
  <c r="Q518" i="15"/>
  <c r="X518" i="15"/>
  <c r="C519" i="15"/>
  <c r="D519" i="15"/>
  <c r="E519" i="15"/>
  <c r="F519" i="15"/>
  <c r="G519" i="15"/>
  <c r="H519" i="15"/>
  <c r="I519" i="15"/>
  <c r="J519" i="15"/>
  <c r="K519" i="15"/>
  <c r="L519" i="15"/>
  <c r="M519" i="15"/>
  <c r="N519" i="15"/>
  <c r="O519" i="15"/>
  <c r="P519" i="15"/>
  <c r="Q519" i="15"/>
  <c r="X519" i="15"/>
  <c r="C520" i="15"/>
  <c r="D520" i="15"/>
  <c r="E520" i="15"/>
  <c r="F520" i="15"/>
  <c r="G520" i="15"/>
  <c r="H520" i="15"/>
  <c r="I520" i="15"/>
  <c r="J520" i="15"/>
  <c r="K520" i="15"/>
  <c r="L520" i="15"/>
  <c r="M520" i="15"/>
  <c r="N520" i="15"/>
  <c r="O520" i="15"/>
  <c r="P520" i="15"/>
  <c r="Q520" i="15"/>
  <c r="X520" i="15"/>
  <c r="D521" i="15"/>
  <c r="E521" i="15"/>
  <c r="F521" i="15"/>
  <c r="G521" i="15"/>
  <c r="H521" i="15"/>
  <c r="I521" i="15"/>
  <c r="J521" i="15"/>
  <c r="K521" i="15"/>
  <c r="L521" i="15"/>
  <c r="M521" i="15"/>
  <c r="N521" i="15"/>
  <c r="O521" i="15"/>
  <c r="P521" i="15"/>
  <c r="Q521" i="15"/>
  <c r="D522" i="15"/>
  <c r="E522" i="15"/>
  <c r="F522" i="15"/>
  <c r="G522" i="15"/>
  <c r="H522" i="15"/>
  <c r="I522" i="15"/>
  <c r="J522" i="15"/>
  <c r="K522" i="15"/>
  <c r="L522" i="15"/>
  <c r="M522" i="15"/>
  <c r="N522" i="15"/>
  <c r="O522" i="15"/>
  <c r="P522" i="15"/>
  <c r="Q522" i="15"/>
  <c r="D523" i="15"/>
  <c r="E523" i="15"/>
  <c r="F523" i="15"/>
  <c r="G523" i="15"/>
  <c r="H523" i="15"/>
  <c r="I523" i="15"/>
  <c r="J523" i="15"/>
  <c r="K523" i="15"/>
  <c r="L523" i="15"/>
  <c r="M523" i="15"/>
  <c r="N523" i="15"/>
  <c r="O523" i="15"/>
  <c r="P523" i="15"/>
  <c r="Q523" i="15"/>
  <c r="D524" i="15"/>
  <c r="E524" i="15"/>
  <c r="F524" i="15"/>
  <c r="G524" i="15"/>
  <c r="H524" i="15"/>
  <c r="I524" i="15"/>
  <c r="J524" i="15"/>
  <c r="K524" i="15"/>
  <c r="L524" i="15"/>
  <c r="M524" i="15"/>
  <c r="N524" i="15"/>
  <c r="O524" i="15"/>
  <c r="P524" i="15"/>
  <c r="Q524" i="15"/>
  <c r="C525" i="15"/>
  <c r="D525" i="15"/>
  <c r="E525" i="15"/>
  <c r="F525" i="15"/>
  <c r="G525" i="15"/>
  <c r="H525" i="15"/>
  <c r="I525" i="15"/>
  <c r="J525" i="15"/>
  <c r="K525" i="15"/>
  <c r="L525" i="15"/>
  <c r="M525" i="15"/>
  <c r="N525" i="15"/>
  <c r="O525" i="15"/>
  <c r="P525" i="15"/>
  <c r="Q525" i="15"/>
  <c r="X525" i="15"/>
  <c r="C526" i="15"/>
  <c r="D526" i="15"/>
  <c r="E526" i="15"/>
  <c r="F526" i="15"/>
  <c r="G526" i="15"/>
  <c r="H526" i="15"/>
  <c r="I526" i="15"/>
  <c r="J526" i="15"/>
  <c r="K526" i="15"/>
  <c r="L526" i="15"/>
  <c r="M526" i="15"/>
  <c r="N526" i="15"/>
  <c r="X526" i="15"/>
  <c r="C527" i="15"/>
  <c r="D527" i="15"/>
  <c r="E527" i="15"/>
  <c r="F527" i="15"/>
  <c r="G527" i="15"/>
  <c r="H527" i="15"/>
  <c r="I527" i="15"/>
  <c r="J527" i="15"/>
  <c r="K527" i="15"/>
  <c r="L527" i="15"/>
  <c r="M527" i="15"/>
  <c r="N527" i="15"/>
  <c r="X527" i="15"/>
  <c r="C528" i="15"/>
  <c r="D528" i="15"/>
  <c r="E528" i="15"/>
  <c r="F528" i="15"/>
  <c r="G528" i="15"/>
  <c r="H528" i="15"/>
  <c r="I528" i="15"/>
  <c r="J528" i="15"/>
  <c r="K528" i="15"/>
  <c r="L528" i="15"/>
  <c r="M528" i="15"/>
  <c r="N528" i="15"/>
  <c r="X528" i="15"/>
  <c r="C529" i="15"/>
  <c r="D529" i="15"/>
  <c r="E529" i="15"/>
  <c r="F529" i="15"/>
  <c r="G529" i="15"/>
  <c r="H529" i="15"/>
  <c r="I529" i="15"/>
  <c r="J529" i="15"/>
  <c r="K529" i="15"/>
  <c r="L529" i="15"/>
  <c r="M529" i="15"/>
  <c r="N529" i="15"/>
  <c r="X529" i="15"/>
  <c r="C530" i="15"/>
  <c r="D530" i="15"/>
  <c r="E530" i="15"/>
  <c r="F530" i="15"/>
  <c r="G530" i="15"/>
  <c r="H530" i="15"/>
  <c r="I530" i="15"/>
  <c r="J530" i="15"/>
  <c r="K530" i="15"/>
  <c r="L530" i="15"/>
  <c r="M530" i="15"/>
  <c r="N530" i="15"/>
  <c r="O530" i="15"/>
  <c r="P530" i="15"/>
  <c r="Q530" i="15"/>
  <c r="X530" i="15"/>
  <c r="C531" i="15"/>
  <c r="D531" i="15"/>
  <c r="E531" i="15"/>
  <c r="F531" i="15"/>
  <c r="G531" i="15"/>
  <c r="H531" i="15"/>
  <c r="I531" i="15"/>
  <c r="J531" i="15"/>
  <c r="K531" i="15"/>
  <c r="L531" i="15"/>
  <c r="M531" i="15"/>
  <c r="N531" i="15"/>
  <c r="O531" i="15"/>
  <c r="P531" i="15"/>
  <c r="Q531" i="15"/>
  <c r="X531" i="15"/>
  <c r="C532" i="15"/>
  <c r="D532" i="15"/>
  <c r="E532" i="15"/>
  <c r="F532" i="15"/>
  <c r="G532" i="15"/>
  <c r="H532" i="15"/>
  <c r="I532" i="15"/>
  <c r="J532" i="15"/>
  <c r="K532" i="15"/>
  <c r="L532" i="15"/>
  <c r="M532" i="15"/>
  <c r="N532" i="15"/>
  <c r="O532" i="15"/>
  <c r="P532" i="15"/>
  <c r="Q532" i="15"/>
  <c r="X532" i="15"/>
  <c r="C533" i="15"/>
  <c r="D533" i="15"/>
  <c r="E533" i="15"/>
  <c r="F533" i="15"/>
  <c r="G533" i="15"/>
  <c r="H533" i="15"/>
  <c r="I533" i="15"/>
  <c r="J533" i="15"/>
  <c r="K533" i="15"/>
  <c r="L533" i="15"/>
  <c r="M533" i="15"/>
  <c r="N533" i="15"/>
  <c r="O533" i="15"/>
  <c r="P533" i="15"/>
  <c r="Q533" i="15"/>
  <c r="X533" i="15"/>
  <c r="C534" i="15"/>
  <c r="D534" i="15"/>
  <c r="E534" i="15"/>
  <c r="F534" i="15"/>
  <c r="G534" i="15"/>
  <c r="H534" i="15"/>
  <c r="I534" i="15"/>
  <c r="J534" i="15"/>
  <c r="K534" i="15"/>
  <c r="L534" i="15"/>
  <c r="M534" i="15"/>
  <c r="N534" i="15"/>
  <c r="O534" i="15"/>
  <c r="P534" i="15"/>
  <c r="Q534" i="15"/>
  <c r="X534" i="15"/>
  <c r="C535" i="15"/>
  <c r="D535" i="15"/>
  <c r="E535" i="15"/>
  <c r="F535" i="15"/>
  <c r="G535" i="15"/>
  <c r="H535" i="15"/>
  <c r="I535" i="15"/>
  <c r="J535" i="15"/>
  <c r="K535" i="15"/>
  <c r="L535" i="15"/>
  <c r="M535" i="15"/>
  <c r="N535" i="15"/>
  <c r="O535" i="15"/>
  <c r="P535" i="15"/>
  <c r="Q535" i="15"/>
  <c r="X535" i="15"/>
  <c r="C536" i="15"/>
  <c r="D536" i="15"/>
  <c r="E536" i="15"/>
  <c r="F536" i="15"/>
  <c r="G536" i="15"/>
  <c r="H536" i="15"/>
  <c r="I536" i="15"/>
  <c r="J536" i="15"/>
  <c r="K536" i="15"/>
  <c r="L536" i="15"/>
  <c r="M536" i="15"/>
  <c r="N536" i="15"/>
  <c r="O536" i="15"/>
  <c r="P536" i="15"/>
  <c r="Q536" i="15"/>
  <c r="X536" i="15"/>
  <c r="C537" i="15"/>
  <c r="D537" i="15"/>
  <c r="E537" i="15"/>
  <c r="F537" i="15"/>
  <c r="G537" i="15"/>
  <c r="H537" i="15"/>
  <c r="I537" i="15"/>
  <c r="J537" i="15"/>
  <c r="K537" i="15"/>
  <c r="L537" i="15"/>
  <c r="M537" i="15"/>
  <c r="N537" i="15"/>
  <c r="O537" i="15"/>
  <c r="P537" i="15"/>
  <c r="Q537" i="15"/>
  <c r="X537" i="15"/>
  <c r="C538" i="15"/>
  <c r="D538" i="15"/>
  <c r="E538" i="15"/>
  <c r="F538" i="15"/>
  <c r="G538" i="15"/>
  <c r="H538" i="15"/>
  <c r="I538" i="15"/>
  <c r="J538" i="15"/>
  <c r="K538" i="15"/>
  <c r="L538" i="15"/>
  <c r="M538" i="15"/>
  <c r="N538" i="15"/>
  <c r="O538" i="15"/>
  <c r="P538" i="15"/>
  <c r="Q538" i="15"/>
  <c r="X538" i="15"/>
  <c r="C539" i="15"/>
  <c r="D539" i="15"/>
  <c r="E539" i="15"/>
  <c r="F539" i="15"/>
  <c r="G539" i="15"/>
  <c r="H539" i="15"/>
  <c r="I539" i="15"/>
  <c r="J539" i="15"/>
  <c r="K539" i="15"/>
  <c r="L539" i="15"/>
  <c r="M539" i="15"/>
  <c r="N539" i="15"/>
  <c r="O539" i="15"/>
  <c r="P539" i="15"/>
  <c r="Q539" i="15"/>
  <c r="X539" i="15"/>
  <c r="C540" i="15"/>
  <c r="D540" i="15"/>
  <c r="E540" i="15"/>
  <c r="F540" i="15"/>
  <c r="G540" i="15"/>
  <c r="H540" i="15"/>
  <c r="I540" i="15"/>
  <c r="J540" i="15"/>
  <c r="K540" i="15"/>
  <c r="L540" i="15"/>
  <c r="M540" i="15"/>
  <c r="N540" i="15"/>
  <c r="O540" i="15"/>
  <c r="P540" i="15"/>
  <c r="Q540" i="15"/>
  <c r="X540" i="15"/>
  <c r="C541" i="15"/>
  <c r="D541" i="15"/>
  <c r="E541" i="15"/>
  <c r="F541" i="15"/>
  <c r="G541" i="15"/>
  <c r="H541" i="15"/>
  <c r="I541" i="15"/>
  <c r="J541" i="15"/>
  <c r="K541" i="15"/>
  <c r="L541" i="15"/>
  <c r="M541" i="15"/>
  <c r="N541" i="15"/>
  <c r="O541" i="15"/>
  <c r="P541" i="15"/>
  <c r="Q541" i="15"/>
  <c r="X541" i="15"/>
  <c r="C542" i="15"/>
  <c r="D542" i="15"/>
  <c r="E542" i="15"/>
  <c r="F542" i="15"/>
  <c r="G542" i="15"/>
  <c r="H542" i="15"/>
  <c r="I542" i="15"/>
  <c r="J542" i="15"/>
  <c r="K542" i="15"/>
  <c r="L542" i="15"/>
  <c r="M542" i="15"/>
  <c r="N542" i="15"/>
  <c r="O542" i="15"/>
  <c r="P542" i="15"/>
  <c r="Q542" i="15"/>
  <c r="X542" i="15"/>
  <c r="C543" i="15"/>
  <c r="D543" i="15"/>
  <c r="E543" i="15"/>
  <c r="F543" i="15"/>
  <c r="G543" i="15"/>
  <c r="H543" i="15"/>
  <c r="I543" i="15"/>
  <c r="J543" i="15"/>
  <c r="K543" i="15"/>
  <c r="L543" i="15"/>
  <c r="M543" i="15"/>
  <c r="N543" i="15"/>
  <c r="O543" i="15"/>
  <c r="P543" i="15"/>
  <c r="Q543" i="15"/>
  <c r="X543" i="15"/>
  <c r="C544" i="15"/>
  <c r="D544" i="15"/>
  <c r="E544" i="15"/>
  <c r="F544" i="15"/>
  <c r="G544" i="15"/>
  <c r="H544" i="15"/>
  <c r="I544" i="15"/>
  <c r="J544" i="15"/>
  <c r="K544" i="15"/>
  <c r="L544" i="15"/>
  <c r="M544" i="15"/>
  <c r="N544" i="15"/>
  <c r="O544" i="15"/>
  <c r="P544" i="15"/>
  <c r="Q544" i="15"/>
  <c r="X544" i="15"/>
  <c r="C545" i="15"/>
  <c r="D545" i="15"/>
  <c r="E545" i="15"/>
  <c r="F545" i="15"/>
  <c r="G545" i="15"/>
  <c r="H545" i="15"/>
  <c r="I545" i="15"/>
  <c r="J545" i="15"/>
  <c r="K545" i="15"/>
  <c r="L545" i="15"/>
  <c r="M545" i="15"/>
  <c r="N545" i="15"/>
  <c r="O545" i="15"/>
  <c r="P545" i="15"/>
  <c r="Q545" i="15"/>
  <c r="X545" i="15"/>
  <c r="C546" i="15"/>
  <c r="D546" i="15"/>
  <c r="E546" i="15"/>
  <c r="F546" i="15"/>
  <c r="G546" i="15"/>
  <c r="H546" i="15"/>
  <c r="I546" i="15"/>
  <c r="J546" i="15"/>
  <c r="K546" i="15"/>
  <c r="L546" i="15"/>
  <c r="M546" i="15"/>
  <c r="N546" i="15"/>
  <c r="O546" i="15"/>
  <c r="P546" i="15"/>
  <c r="Q546" i="15"/>
  <c r="X546" i="15"/>
  <c r="C547" i="15"/>
  <c r="D547" i="15"/>
  <c r="E547" i="15"/>
  <c r="F547" i="15"/>
  <c r="G547" i="15"/>
  <c r="H547" i="15"/>
  <c r="I547" i="15"/>
  <c r="J547" i="15"/>
  <c r="K547" i="15"/>
  <c r="L547" i="15"/>
  <c r="M547" i="15"/>
  <c r="N547" i="15"/>
  <c r="O547" i="15"/>
  <c r="P547" i="15"/>
  <c r="Q547" i="15"/>
  <c r="X547" i="15"/>
  <c r="C548" i="15"/>
  <c r="D548" i="15"/>
  <c r="E548" i="15"/>
  <c r="F548" i="15"/>
  <c r="G548" i="15"/>
  <c r="H548" i="15"/>
  <c r="I548" i="15"/>
  <c r="J548" i="15"/>
  <c r="K548" i="15"/>
  <c r="L548" i="15"/>
  <c r="M548" i="15"/>
  <c r="N548" i="15"/>
  <c r="O548" i="15"/>
  <c r="P548" i="15"/>
  <c r="Q548" i="15"/>
  <c r="X548" i="15"/>
  <c r="C549" i="15"/>
  <c r="D549" i="15"/>
  <c r="E549" i="15"/>
  <c r="F549" i="15"/>
  <c r="G549" i="15"/>
  <c r="H549" i="15"/>
  <c r="I549" i="15"/>
  <c r="J549" i="15"/>
  <c r="K549" i="15"/>
  <c r="L549" i="15"/>
  <c r="M549" i="15"/>
  <c r="N549" i="15"/>
  <c r="O549" i="15"/>
  <c r="P549" i="15"/>
  <c r="Q549" i="15"/>
  <c r="X549" i="15"/>
  <c r="C550" i="15"/>
  <c r="D550" i="15"/>
  <c r="E550" i="15"/>
  <c r="F550" i="15"/>
  <c r="G550" i="15"/>
  <c r="H550" i="15"/>
  <c r="I550" i="15"/>
  <c r="J550" i="15"/>
  <c r="K550" i="15"/>
  <c r="L550" i="15"/>
  <c r="M550" i="15"/>
  <c r="N550" i="15"/>
  <c r="O550" i="15"/>
  <c r="P550" i="15"/>
  <c r="Q550" i="15"/>
  <c r="X550" i="15"/>
  <c r="C551" i="15"/>
  <c r="D551" i="15"/>
  <c r="E551" i="15"/>
  <c r="F551" i="15"/>
  <c r="G551" i="15"/>
  <c r="H551" i="15"/>
  <c r="I551" i="15"/>
  <c r="J551" i="15"/>
  <c r="K551" i="15"/>
  <c r="L551" i="15"/>
  <c r="M551" i="15"/>
  <c r="N551" i="15"/>
  <c r="O551" i="15"/>
  <c r="P551" i="15"/>
  <c r="Q551" i="15"/>
  <c r="X551" i="15"/>
  <c r="C552" i="15"/>
  <c r="D552" i="15"/>
  <c r="E552" i="15"/>
  <c r="F552" i="15"/>
  <c r="G552" i="15"/>
  <c r="H552" i="15"/>
  <c r="I552" i="15"/>
  <c r="J552" i="15"/>
  <c r="K552" i="15"/>
  <c r="L552" i="15"/>
  <c r="M552" i="15"/>
  <c r="N552" i="15"/>
  <c r="O552" i="15"/>
  <c r="P552" i="15"/>
  <c r="Q552" i="15"/>
  <c r="X552" i="15"/>
  <c r="C553" i="15"/>
  <c r="D553" i="15"/>
  <c r="E553" i="15"/>
  <c r="F553" i="15"/>
  <c r="G553" i="15"/>
  <c r="H553" i="15"/>
  <c r="I553" i="15"/>
  <c r="J553" i="15"/>
  <c r="K553" i="15"/>
  <c r="L553" i="15"/>
  <c r="M553" i="15"/>
  <c r="N553" i="15"/>
  <c r="O553" i="15"/>
  <c r="P553" i="15"/>
  <c r="Q553" i="15"/>
  <c r="X553" i="15"/>
  <c r="C554" i="15"/>
  <c r="D554" i="15"/>
  <c r="E554" i="15"/>
  <c r="F554" i="15"/>
  <c r="G554" i="15"/>
  <c r="H554" i="15"/>
  <c r="I554" i="15"/>
  <c r="J554" i="15"/>
  <c r="K554" i="15"/>
  <c r="L554" i="15"/>
  <c r="M554" i="15"/>
  <c r="N554" i="15"/>
  <c r="O554" i="15"/>
  <c r="P554" i="15"/>
  <c r="Q554" i="15"/>
  <c r="X554" i="15"/>
  <c r="C555" i="15"/>
  <c r="D555" i="15"/>
  <c r="E555" i="15"/>
  <c r="F555" i="15"/>
  <c r="G555" i="15"/>
  <c r="H555" i="15"/>
  <c r="I555" i="15"/>
  <c r="J555" i="15"/>
  <c r="K555" i="15"/>
  <c r="L555" i="15"/>
  <c r="M555" i="15"/>
  <c r="N555" i="15"/>
  <c r="O555" i="15"/>
  <c r="P555" i="15"/>
  <c r="Q555" i="15"/>
  <c r="X555" i="15"/>
  <c r="C556" i="15"/>
  <c r="D556" i="15"/>
  <c r="E556" i="15"/>
  <c r="F556" i="15"/>
  <c r="G556" i="15"/>
  <c r="H556" i="15"/>
  <c r="I556" i="15"/>
  <c r="J556" i="15"/>
  <c r="K556" i="15"/>
  <c r="L556" i="15"/>
  <c r="M556" i="15"/>
  <c r="N556" i="15"/>
  <c r="O556" i="15"/>
  <c r="P556" i="15"/>
  <c r="Q556" i="15"/>
  <c r="X556" i="15"/>
  <c r="C557" i="15"/>
  <c r="D557" i="15"/>
  <c r="E557" i="15"/>
  <c r="F557" i="15"/>
  <c r="G557" i="15"/>
  <c r="H557" i="15"/>
  <c r="I557" i="15"/>
  <c r="J557" i="15"/>
  <c r="K557" i="15"/>
  <c r="L557" i="15"/>
  <c r="M557" i="15"/>
  <c r="N557" i="15"/>
  <c r="O557" i="15"/>
  <c r="P557" i="15"/>
  <c r="Q557" i="15"/>
  <c r="X557" i="15"/>
  <c r="C558" i="15"/>
  <c r="D558" i="15"/>
  <c r="E558" i="15"/>
  <c r="F558" i="15"/>
  <c r="G558" i="15"/>
  <c r="H558" i="15"/>
  <c r="I558" i="15"/>
  <c r="J558" i="15"/>
  <c r="K558" i="15"/>
  <c r="L558" i="15"/>
  <c r="M558" i="15"/>
  <c r="N558" i="15"/>
  <c r="O558" i="15"/>
  <c r="P558" i="15"/>
  <c r="Q558" i="15"/>
  <c r="X558" i="15"/>
  <c r="C559" i="15"/>
  <c r="D559" i="15"/>
  <c r="E559" i="15"/>
  <c r="F559" i="15"/>
  <c r="G559" i="15"/>
  <c r="H559" i="15"/>
  <c r="I559" i="15"/>
  <c r="J559" i="15"/>
  <c r="K559" i="15"/>
  <c r="L559" i="15"/>
  <c r="M559" i="15"/>
  <c r="N559" i="15"/>
  <c r="O559" i="15"/>
  <c r="P559" i="15"/>
  <c r="Q559" i="15"/>
  <c r="X559" i="15"/>
  <c r="C560" i="15"/>
  <c r="D560" i="15"/>
  <c r="E560" i="15"/>
  <c r="F560" i="15"/>
  <c r="G560" i="15"/>
  <c r="H560" i="15"/>
  <c r="I560" i="15"/>
  <c r="J560" i="15"/>
  <c r="K560" i="15"/>
  <c r="L560" i="15"/>
  <c r="M560" i="15"/>
  <c r="N560" i="15"/>
  <c r="O560" i="15"/>
  <c r="P560" i="15"/>
  <c r="Q560" i="15"/>
  <c r="X560" i="15"/>
  <c r="F561" i="15"/>
  <c r="G561" i="15"/>
  <c r="I561" i="15"/>
  <c r="K561" i="15"/>
  <c r="L561" i="15"/>
  <c r="N561" i="15"/>
  <c r="P561" i="15"/>
  <c r="Q561" i="15"/>
  <c r="E562" i="15"/>
  <c r="G562" i="15"/>
  <c r="I562" i="15"/>
  <c r="J562" i="15"/>
  <c r="L562" i="15"/>
  <c r="N562" i="15"/>
  <c r="O562" i="15"/>
  <c r="Q562" i="15"/>
  <c r="E563" i="15"/>
  <c r="G563" i="15"/>
  <c r="I563" i="15"/>
  <c r="J563" i="15"/>
  <c r="L563" i="15"/>
  <c r="N563" i="15"/>
  <c r="O563" i="15"/>
  <c r="Q563" i="15"/>
  <c r="D564" i="15"/>
  <c r="E564" i="15"/>
  <c r="F564" i="15"/>
  <c r="G564" i="15"/>
  <c r="H564" i="15"/>
  <c r="I564" i="15"/>
  <c r="J564" i="15"/>
  <c r="K564" i="15"/>
  <c r="L564" i="15"/>
  <c r="M564" i="15"/>
  <c r="N564" i="15"/>
  <c r="O564" i="15"/>
  <c r="P564" i="15"/>
  <c r="Q564" i="15"/>
  <c r="D565" i="15"/>
  <c r="E565" i="15"/>
  <c r="F565" i="15"/>
  <c r="G565" i="15"/>
  <c r="H565" i="15"/>
  <c r="I565" i="15"/>
  <c r="J565" i="15"/>
  <c r="K565" i="15"/>
  <c r="L565" i="15"/>
  <c r="M565" i="15"/>
  <c r="N565" i="15"/>
  <c r="O565" i="15"/>
  <c r="P565" i="15"/>
  <c r="Q565" i="15"/>
  <c r="C566" i="15"/>
  <c r="D566" i="15"/>
  <c r="E566" i="15"/>
  <c r="F566" i="15"/>
  <c r="G566" i="15"/>
  <c r="H566" i="15"/>
  <c r="I566" i="15"/>
  <c r="J566" i="15"/>
  <c r="K566" i="15"/>
  <c r="L566" i="15"/>
  <c r="M566" i="15"/>
  <c r="N566" i="15"/>
  <c r="O566" i="15"/>
  <c r="P566" i="15"/>
  <c r="Q566" i="15"/>
  <c r="X566" i="15"/>
  <c r="C567" i="15"/>
  <c r="D567" i="15"/>
  <c r="E567" i="15"/>
  <c r="F567" i="15"/>
  <c r="G567" i="15"/>
  <c r="H567" i="15"/>
  <c r="I567" i="15"/>
  <c r="J567" i="15"/>
  <c r="K567" i="15"/>
  <c r="L567" i="15"/>
  <c r="M567" i="15"/>
  <c r="N567" i="15"/>
  <c r="O567" i="15"/>
  <c r="P567" i="15"/>
  <c r="Q567" i="15"/>
  <c r="X567" i="15"/>
  <c r="C568" i="15"/>
  <c r="D568" i="15"/>
  <c r="E568" i="15"/>
  <c r="F568" i="15"/>
  <c r="G568" i="15"/>
  <c r="H568" i="15"/>
  <c r="I568" i="15"/>
  <c r="J568" i="15"/>
  <c r="K568" i="15"/>
  <c r="L568" i="15"/>
  <c r="M568" i="15"/>
  <c r="N568" i="15"/>
  <c r="O568" i="15"/>
  <c r="P568" i="15"/>
  <c r="Q568" i="15"/>
  <c r="X568" i="15"/>
  <c r="C569" i="15"/>
  <c r="D569" i="15"/>
  <c r="E569" i="15"/>
  <c r="F569" i="15"/>
  <c r="G569" i="15"/>
  <c r="H569" i="15"/>
  <c r="I569" i="15"/>
  <c r="J569" i="15"/>
  <c r="K569" i="15"/>
  <c r="L569" i="15"/>
  <c r="N569" i="15"/>
  <c r="O569" i="15"/>
  <c r="P569" i="15"/>
  <c r="Q569" i="15"/>
  <c r="X569" i="15"/>
  <c r="C570" i="15"/>
  <c r="D570" i="15"/>
  <c r="E570" i="15"/>
  <c r="F570" i="15"/>
  <c r="G570" i="15"/>
  <c r="H570" i="15"/>
  <c r="I570" i="15"/>
  <c r="J570" i="15"/>
  <c r="K570" i="15"/>
  <c r="L570" i="15"/>
  <c r="M570" i="15"/>
  <c r="N570" i="15"/>
  <c r="O570" i="15"/>
  <c r="P570" i="15"/>
  <c r="Q570" i="15"/>
  <c r="X570" i="15"/>
  <c r="C571" i="15"/>
  <c r="D571" i="15"/>
  <c r="E571" i="15"/>
  <c r="F571" i="15"/>
  <c r="G571" i="15"/>
  <c r="H571" i="15"/>
  <c r="I571" i="15"/>
  <c r="J571" i="15"/>
  <c r="K571" i="15"/>
  <c r="L571" i="15"/>
  <c r="M571" i="15"/>
  <c r="N571" i="15"/>
  <c r="O571" i="15"/>
  <c r="P571" i="15"/>
  <c r="Q571" i="15"/>
  <c r="X571" i="15"/>
  <c r="C572" i="15"/>
  <c r="D572" i="15"/>
  <c r="E572" i="15"/>
  <c r="F572" i="15"/>
  <c r="G572" i="15"/>
  <c r="H572" i="15"/>
  <c r="I572" i="15"/>
  <c r="J572" i="15"/>
  <c r="K572" i="15"/>
  <c r="L572" i="15"/>
  <c r="M572" i="15"/>
  <c r="N572" i="15"/>
  <c r="O572" i="15"/>
  <c r="P572" i="15"/>
  <c r="Q572" i="15"/>
  <c r="X572" i="15"/>
  <c r="C573" i="15"/>
  <c r="D573" i="15"/>
  <c r="E573" i="15"/>
  <c r="F573" i="15"/>
  <c r="G573" i="15"/>
  <c r="H573" i="15"/>
  <c r="I573" i="15"/>
  <c r="J573" i="15"/>
  <c r="K573" i="15"/>
  <c r="L573" i="15"/>
  <c r="M573" i="15"/>
  <c r="N573" i="15"/>
  <c r="O573" i="15"/>
  <c r="Q573" i="15"/>
  <c r="X573" i="15"/>
  <c r="C574" i="15"/>
  <c r="D574" i="15"/>
  <c r="E574" i="15"/>
  <c r="F574" i="15"/>
  <c r="G574" i="15"/>
  <c r="H574" i="15"/>
  <c r="I574" i="15"/>
  <c r="J574" i="15"/>
  <c r="K574" i="15"/>
  <c r="L574" i="15"/>
  <c r="M574" i="15"/>
  <c r="N574" i="15"/>
  <c r="X574" i="15"/>
  <c r="C575" i="15"/>
  <c r="D575" i="15"/>
  <c r="E575" i="15"/>
  <c r="F575" i="15"/>
  <c r="G575" i="15"/>
  <c r="H575" i="15"/>
  <c r="I575" i="15"/>
  <c r="J575" i="15"/>
  <c r="K575" i="15"/>
  <c r="L575" i="15"/>
  <c r="M575" i="15"/>
  <c r="N575" i="15"/>
  <c r="X575" i="15"/>
  <c r="C576" i="15"/>
  <c r="D576" i="15"/>
  <c r="E576" i="15"/>
  <c r="F576" i="15"/>
  <c r="G576" i="15"/>
  <c r="H576" i="15"/>
  <c r="I576" i="15"/>
  <c r="J576" i="15"/>
  <c r="K576" i="15"/>
  <c r="L576" i="15"/>
  <c r="M576" i="15"/>
  <c r="N576" i="15"/>
  <c r="O576" i="15"/>
  <c r="P576" i="15"/>
  <c r="Q576" i="15"/>
  <c r="X576" i="15"/>
  <c r="C577" i="15"/>
  <c r="D577" i="15"/>
  <c r="E577" i="15"/>
  <c r="F577" i="15"/>
  <c r="G577" i="15"/>
  <c r="H577" i="15"/>
  <c r="I577" i="15"/>
  <c r="J577" i="15"/>
  <c r="K577" i="15"/>
  <c r="L577" i="15"/>
  <c r="M577" i="15"/>
  <c r="N577" i="15"/>
  <c r="O577" i="15"/>
  <c r="P577" i="15"/>
  <c r="Q577" i="15"/>
  <c r="X577" i="15"/>
  <c r="C578" i="15"/>
  <c r="D578" i="15"/>
  <c r="E578" i="15"/>
  <c r="F578" i="15"/>
  <c r="G578" i="15"/>
  <c r="H578" i="15"/>
  <c r="I578" i="15"/>
  <c r="M578" i="15"/>
  <c r="N578" i="15"/>
  <c r="O578" i="15"/>
  <c r="P578" i="15"/>
  <c r="Q578" i="15"/>
  <c r="X578" i="15"/>
  <c r="C579" i="15"/>
  <c r="D579" i="15"/>
  <c r="E579" i="15"/>
  <c r="F579" i="15"/>
  <c r="G579" i="15"/>
  <c r="H579" i="15"/>
  <c r="I579" i="15"/>
  <c r="M579" i="15"/>
  <c r="N579" i="15"/>
  <c r="O579" i="15"/>
  <c r="P579" i="15"/>
  <c r="Q579" i="15"/>
  <c r="X579" i="15"/>
  <c r="C580" i="15"/>
  <c r="D580" i="15"/>
  <c r="E580" i="15"/>
  <c r="F580" i="15"/>
  <c r="G580" i="15"/>
  <c r="H580" i="15"/>
  <c r="I580" i="15"/>
  <c r="J580" i="15"/>
  <c r="K580" i="15"/>
  <c r="L580" i="15"/>
  <c r="M580" i="15"/>
  <c r="N580" i="15"/>
  <c r="O580" i="15"/>
  <c r="P580" i="15"/>
  <c r="Q580" i="15"/>
  <c r="X580" i="15"/>
  <c r="C581" i="15"/>
  <c r="D581" i="15"/>
  <c r="E581" i="15"/>
  <c r="F581" i="15"/>
  <c r="G581" i="15"/>
  <c r="H581" i="15"/>
  <c r="I581" i="15"/>
  <c r="J581" i="15"/>
  <c r="K581" i="15"/>
  <c r="L581" i="15"/>
  <c r="M581" i="15"/>
  <c r="N581" i="15"/>
  <c r="O581" i="15"/>
  <c r="P581" i="15"/>
  <c r="Q581" i="15"/>
  <c r="X581" i="15"/>
  <c r="C582" i="15"/>
  <c r="D582" i="15"/>
  <c r="E582" i="15"/>
  <c r="F582" i="15"/>
  <c r="G582" i="15"/>
  <c r="H582" i="15"/>
  <c r="I582" i="15"/>
  <c r="M582" i="15"/>
  <c r="N582" i="15"/>
  <c r="O582" i="15"/>
  <c r="P582" i="15"/>
  <c r="Q582" i="15"/>
  <c r="X582" i="15"/>
  <c r="C583" i="15"/>
  <c r="D583" i="15"/>
  <c r="E583" i="15"/>
  <c r="F583" i="15"/>
  <c r="G583" i="15"/>
  <c r="H583" i="15"/>
  <c r="I583" i="15"/>
  <c r="M583" i="15"/>
  <c r="N583" i="15"/>
  <c r="O583" i="15"/>
  <c r="P583" i="15"/>
  <c r="Q583" i="15"/>
  <c r="X583" i="15"/>
  <c r="C584" i="15"/>
  <c r="D584" i="15"/>
  <c r="E584" i="15"/>
  <c r="F584" i="15"/>
  <c r="G584" i="15"/>
  <c r="H584" i="15"/>
  <c r="I584" i="15"/>
  <c r="J584" i="15"/>
  <c r="K584" i="15"/>
  <c r="L584" i="15"/>
  <c r="M584" i="15"/>
  <c r="N584" i="15"/>
  <c r="O584" i="15"/>
  <c r="P584" i="15"/>
  <c r="Q584" i="15"/>
  <c r="X584" i="15"/>
  <c r="C585" i="15"/>
  <c r="D585" i="15"/>
  <c r="E585" i="15"/>
  <c r="F585" i="15"/>
  <c r="G585" i="15"/>
  <c r="H585" i="15"/>
  <c r="I585" i="15"/>
  <c r="J585" i="15"/>
  <c r="K585" i="15"/>
  <c r="L585" i="15"/>
  <c r="M585" i="15"/>
  <c r="N585" i="15"/>
  <c r="O585" i="15"/>
  <c r="P585" i="15"/>
  <c r="Q585" i="15"/>
  <c r="X585" i="15"/>
  <c r="C586" i="15"/>
  <c r="D586" i="15"/>
  <c r="E586" i="15"/>
  <c r="F586" i="15"/>
  <c r="G586" i="15"/>
  <c r="H586" i="15"/>
  <c r="I586" i="15"/>
  <c r="J586" i="15"/>
  <c r="K586" i="15"/>
  <c r="L586" i="15"/>
  <c r="M586" i="15"/>
  <c r="N586" i="15"/>
  <c r="O586" i="15"/>
  <c r="P586" i="15"/>
  <c r="Q586" i="15"/>
  <c r="X586" i="15"/>
  <c r="C587" i="15"/>
  <c r="D587" i="15"/>
  <c r="E587" i="15"/>
  <c r="F587" i="15"/>
  <c r="G587" i="15"/>
  <c r="H587" i="15"/>
  <c r="I587" i="15"/>
  <c r="J587" i="15"/>
  <c r="K587" i="15"/>
  <c r="L587" i="15"/>
  <c r="M587" i="15"/>
  <c r="N587" i="15"/>
  <c r="O587" i="15"/>
  <c r="P587" i="15"/>
  <c r="Q587" i="15"/>
  <c r="X587" i="15"/>
  <c r="C588" i="15"/>
  <c r="D588" i="15"/>
  <c r="E588" i="15"/>
  <c r="F588" i="15"/>
  <c r="G588" i="15"/>
  <c r="H588" i="15"/>
  <c r="I588" i="15"/>
  <c r="J588" i="15"/>
  <c r="K588" i="15"/>
  <c r="L588" i="15"/>
  <c r="M588" i="15"/>
  <c r="N588" i="15"/>
  <c r="O588" i="15"/>
  <c r="P588" i="15"/>
  <c r="Q588" i="15"/>
  <c r="X588" i="15"/>
  <c r="C589" i="15"/>
  <c r="D589" i="15"/>
  <c r="E589" i="15"/>
  <c r="F589" i="15"/>
  <c r="G589" i="15"/>
  <c r="H589" i="15"/>
  <c r="I589" i="15"/>
  <c r="J589" i="15"/>
  <c r="K589" i="15"/>
  <c r="L589" i="15"/>
  <c r="M589" i="15"/>
  <c r="N589" i="15"/>
  <c r="O589" i="15"/>
  <c r="P589" i="15"/>
  <c r="Q589" i="15"/>
  <c r="X589" i="15"/>
  <c r="C590" i="15"/>
  <c r="D590" i="15"/>
  <c r="E590" i="15"/>
  <c r="F590" i="15"/>
  <c r="G590" i="15"/>
  <c r="H590" i="15"/>
  <c r="I590" i="15"/>
  <c r="J590" i="15"/>
  <c r="K590" i="15"/>
  <c r="L590" i="15"/>
  <c r="M590" i="15"/>
  <c r="N590" i="15"/>
  <c r="O590" i="15"/>
  <c r="P590" i="15"/>
  <c r="Q590" i="15"/>
  <c r="X590" i="15"/>
  <c r="C591" i="15"/>
  <c r="D591" i="15"/>
  <c r="E591" i="15"/>
  <c r="F591" i="15"/>
  <c r="G591" i="15"/>
  <c r="H591" i="15"/>
  <c r="I591" i="15"/>
  <c r="J591" i="15"/>
  <c r="K591" i="15"/>
  <c r="L591" i="15"/>
  <c r="M591" i="15"/>
  <c r="N591" i="15"/>
  <c r="O591" i="15"/>
  <c r="P591" i="15"/>
  <c r="Q591" i="15"/>
  <c r="X591" i="15"/>
  <c r="C592" i="15"/>
  <c r="D592" i="15"/>
  <c r="E592" i="15"/>
  <c r="F592" i="15"/>
  <c r="G592" i="15"/>
  <c r="H592" i="15"/>
  <c r="I592" i="15"/>
  <c r="J592" i="15"/>
  <c r="K592" i="15"/>
  <c r="L592" i="15"/>
  <c r="M592" i="15"/>
  <c r="N592" i="15"/>
  <c r="O592" i="15"/>
  <c r="P592" i="15"/>
  <c r="Q592" i="15"/>
  <c r="X592" i="15"/>
  <c r="C593" i="15"/>
  <c r="D593" i="15"/>
  <c r="E593" i="15"/>
  <c r="F593" i="15"/>
  <c r="G593" i="15"/>
  <c r="H593" i="15"/>
  <c r="I593" i="15"/>
  <c r="J593" i="15"/>
  <c r="K593" i="15"/>
  <c r="L593" i="15"/>
  <c r="M593" i="15"/>
  <c r="N593" i="15"/>
  <c r="O593" i="15"/>
  <c r="P593" i="15"/>
  <c r="Q593" i="15"/>
  <c r="X593" i="15"/>
  <c r="C594" i="15"/>
  <c r="D594" i="15"/>
  <c r="E594" i="15"/>
  <c r="F594" i="15"/>
  <c r="G594" i="15"/>
  <c r="H594" i="15"/>
  <c r="I594" i="15"/>
  <c r="J594" i="15"/>
  <c r="K594" i="15"/>
  <c r="L594" i="15"/>
  <c r="M594" i="15"/>
  <c r="N594" i="15"/>
  <c r="O594" i="15"/>
  <c r="P594" i="15"/>
  <c r="Q594" i="15"/>
  <c r="X594" i="15"/>
  <c r="C595" i="15"/>
  <c r="D595" i="15"/>
  <c r="E595" i="15"/>
  <c r="F595" i="15"/>
  <c r="G595" i="15"/>
  <c r="H595" i="15"/>
  <c r="I595" i="15"/>
  <c r="J595" i="15"/>
  <c r="K595" i="15"/>
  <c r="L595" i="15"/>
  <c r="M595" i="15"/>
  <c r="N595" i="15"/>
  <c r="O595" i="15"/>
  <c r="P595" i="15"/>
  <c r="Q595" i="15"/>
  <c r="X595" i="15"/>
  <c r="C596" i="15"/>
  <c r="D596" i="15"/>
  <c r="E596" i="15"/>
  <c r="F596" i="15"/>
  <c r="G596" i="15"/>
  <c r="H596" i="15"/>
  <c r="I596" i="15"/>
  <c r="J596" i="15"/>
  <c r="K596" i="15"/>
  <c r="L596" i="15"/>
  <c r="M596" i="15"/>
  <c r="N596" i="15"/>
  <c r="O596" i="15"/>
  <c r="P596" i="15"/>
  <c r="Q596" i="15"/>
  <c r="X596" i="15"/>
  <c r="C597" i="15"/>
  <c r="D597" i="15"/>
  <c r="E597" i="15"/>
  <c r="F597" i="15"/>
  <c r="G597" i="15"/>
  <c r="H597" i="15"/>
  <c r="I597" i="15"/>
  <c r="J597" i="15"/>
  <c r="K597" i="15"/>
  <c r="L597" i="15"/>
  <c r="M597" i="15"/>
  <c r="N597" i="15"/>
  <c r="O597" i="15"/>
  <c r="P597" i="15"/>
  <c r="Q597" i="15"/>
  <c r="X597" i="15"/>
  <c r="C598" i="15"/>
  <c r="D598" i="15"/>
  <c r="E598" i="15"/>
  <c r="F598" i="15"/>
  <c r="G598" i="15"/>
  <c r="H598" i="15"/>
  <c r="I598" i="15"/>
  <c r="J598" i="15"/>
  <c r="K598" i="15"/>
  <c r="L598" i="15"/>
  <c r="M598" i="15"/>
  <c r="N598" i="15"/>
  <c r="O598" i="15"/>
  <c r="P598" i="15"/>
  <c r="Q598" i="15"/>
  <c r="X598" i="15"/>
  <c r="C599" i="15"/>
  <c r="D599" i="15"/>
  <c r="E599" i="15"/>
  <c r="F599" i="15"/>
  <c r="G599" i="15"/>
  <c r="H599" i="15"/>
  <c r="I599" i="15"/>
  <c r="J599" i="15"/>
  <c r="K599" i="15"/>
  <c r="L599" i="15"/>
  <c r="M599" i="15"/>
  <c r="N599" i="15"/>
  <c r="O599" i="15"/>
  <c r="P599" i="15"/>
  <c r="Q599" i="15"/>
  <c r="X599" i="15"/>
  <c r="C600" i="15"/>
  <c r="D600" i="15"/>
  <c r="E600" i="15"/>
  <c r="F600" i="15"/>
  <c r="G600" i="15"/>
  <c r="H600" i="15"/>
  <c r="I600" i="15"/>
  <c r="J600" i="15"/>
  <c r="K600" i="15"/>
  <c r="L600" i="15"/>
  <c r="M600" i="15"/>
  <c r="N600" i="15"/>
  <c r="O600" i="15"/>
  <c r="P600" i="15"/>
  <c r="Q600" i="15"/>
  <c r="X600" i="15"/>
  <c r="C601" i="15"/>
  <c r="D601" i="15"/>
  <c r="E601" i="15"/>
  <c r="F601" i="15"/>
  <c r="G601" i="15"/>
  <c r="H601" i="15"/>
  <c r="I601" i="15"/>
  <c r="J601" i="15"/>
  <c r="K601" i="15"/>
  <c r="L601" i="15"/>
  <c r="M601" i="15"/>
  <c r="N601" i="15"/>
  <c r="O601" i="15"/>
  <c r="P601" i="15"/>
  <c r="Q601" i="15"/>
  <c r="X601" i="15"/>
  <c r="C602" i="15"/>
  <c r="D602" i="15"/>
  <c r="E602" i="15"/>
  <c r="F602" i="15"/>
  <c r="G602" i="15"/>
  <c r="H602" i="15"/>
  <c r="I602" i="15"/>
  <c r="J602" i="15"/>
  <c r="K602" i="15"/>
  <c r="L602" i="15"/>
  <c r="M602" i="15"/>
  <c r="N602" i="15"/>
  <c r="O602" i="15"/>
  <c r="P602" i="15"/>
  <c r="Q602" i="15"/>
  <c r="X602" i="15"/>
  <c r="C603" i="15"/>
  <c r="D603" i="15"/>
  <c r="E603" i="15"/>
  <c r="F603" i="15"/>
  <c r="G603" i="15"/>
  <c r="H603" i="15"/>
  <c r="I603" i="15"/>
  <c r="J603" i="15"/>
  <c r="K603" i="15"/>
  <c r="L603" i="15"/>
  <c r="M603" i="15"/>
  <c r="N603" i="15"/>
  <c r="O603" i="15"/>
  <c r="P603" i="15"/>
  <c r="Q603" i="15"/>
  <c r="X603" i="15"/>
  <c r="C604" i="15"/>
  <c r="D604" i="15"/>
  <c r="E604" i="15"/>
  <c r="F604" i="15"/>
  <c r="G604" i="15"/>
  <c r="H604" i="15"/>
  <c r="I604" i="15"/>
  <c r="J604" i="15"/>
  <c r="K604" i="15"/>
  <c r="L604" i="15"/>
  <c r="M604" i="15"/>
  <c r="N604" i="15"/>
  <c r="O604" i="15"/>
  <c r="P604" i="15"/>
  <c r="Q604" i="15"/>
  <c r="X604" i="15"/>
  <c r="C605" i="15"/>
  <c r="D605" i="15"/>
  <c r="E605" i="15"/>
  <c r="F605" i="15"/>
  <c r="G605" i="15"/>
  <c r="H605" i="15"/>
  <c r="I605" i="15"/>
  <c r="J605" i="15"/>
  <c r="K605" i="15"/>
  <c r="L605" i="15"/>
  <c r="M605" i="15"/>
  <c r="N605" i="15"/>
  <c r="O605" i="15"/>
  <c r="P605" i="15"/>
  <c r="Q605" i="15"/>
  <c r="X605" i="15"/>
  <c r="C606" i="15"/>
  <c r="D606" i="15"/>
  <c r="E606" i="15"/>
  <c r="F606" i="15"/>
  <c r="G606" i="15"/>
  <c r="H606" i="15"/>
  <c r="I606" i="15"/>
  <c r="J606" i="15"/>
  <c r="K606" i="15"/>
  <c r="L606" i="15"/>
  <c r="M606" i="15"/>
  <c r="N606" i="15"/>
  <c r="O606" i="15"/>
  <c r="P606" i="15"/>
  <c r="Q606" i="15"/>
  <c r="X606" i="15"/>
  <c r="C607" i="15"/>
  <c r="D607" i="15"/>
  <c r="E607" i="15"/>
  <c r="F607" i="15"/>
  <c r="G607" i="15"/>
  <c r="H607" i="15"/>
  <c r="I607" i="15"/>
  <c r="J607" i="15"/>
  <c r="K607" i="15"/>
  <c r="L607" i="15"/>
  <c r="M607" i="15"/>
  <c r="N607" i="15"/>
  <c r="O607" i="15"/>
  <c r="P607" i="15"/>
  <c r="Q607" i="15"/>
  <c r="X607" i="15"/>
  <c r="C608" i="15"/>
  <c r="D608" i="15"/>
  <c r="E608" i="15"/>
  <c r="F608" i="15"/>
  <c r="G608" i="15"/>
  <c r="M608" i="15"/>
  <c r="N608" i="15"/>
  <c r="O608" i="15"/>
  <c r="P608" i="15"/>
  <c r="Q608" i="15"/>
  <c r="C609" i="15"/>
  <c r="D609" i="15"/>
  <c r="E609" i="15"/>
  <c r="F609" i="15"/>
  <c r="G609" i="15"/>
  <c r="M609" i="15"/>
  <c r="N609" i="15"/>
  <c r="O609" i="15"/>
  <c r="P609" i="15"/>
  <c r="Q609" i="15"/>
  <c r="C610" i="15"/>
  <c r="D610" i="15"/>
  <c r="E610" i="15"/>
  <c r="F610" i="15"/>
  <c r="G610" i="15"/>
  <c r="M610" i="15"/>
  <c r="N610" i="15"/>
  <c r="O610" i="15"/>
  <c r="P610" i="15"/>
  <c r="Q610" i="15"/>
  <c r="C611" i="15"/>
  <c r="D611" i="15"/>
  <c r="E611" i="15"/>
  <c r="F611" i="15"/>
  <c r="G611" i="15"/>
  <c r="M611" i="15"/>
  <c r="N611" i="15"/>
  <c r="O611" i="15"/>
  <c r="P611" i="15"/>
  <c r="Q611" i="15"/>
  <c r="C612" i="15"/>
  <c r="D612" i="15"/>
  <c r="E612" i="15"/>
  <c r="F612" i="15"/>
  <c r="G612" i="15"/>
  <c r="M612" i="15"/>
  <c r="N612" i="15"/>
  <c r="O612" i="15"/>
  <c r="P612" i="15"/>
  <c r="Q612" i="15"/>
  <c r="C613" i="15"/>
  <c r="D613" i="15"/>
  <c r="E613" i="15"/>
  <c r="F613" i="15"/>
  <c r="G613" i="15"/>
  <c r="M613" i="15"/>
  <c r="N613" i="15"/>
  <c r="O613" i="15"/>
  <c r="P613" i="15"/>
  <c r="Q613" i="15"/>
  <c r="C614" i="15"/>
  <c r="D614" i="15"/>
  <c r="E614" i="15"/>
  <c r="F614" i="15"/>
  <c r="G614" i="15"/>
  <c r="M614" i="15"/>
  <c r="N614" i="15"/>
  <c r="O614" i="15"/>
  <c r="P614" i="15"/>
  <c r="Q614" i="15"/>
  <c r="C615" i="15"/>
  <c r="D615" i="15"/>
  <c r="E615" i="15"/>
  <c r="F615" i="15"/>
  <c r="G615" i="15"/>
  <c r="M615" i="15"/>
  <c r="N615" i="15"/>
  <c r="O615" i="15"/>
  <c r="P615" i="15"/>
  <c r="Q615" i="15"/>
  <c r="C616" i="15"/>
  <c r="D616" i="15"/>
  <c r="E616" i="15"/>
  <c r="F616" i="15"/>
  <c r="G616" i="15"/>
  <c r="H616" i="15"/>
  <c r="I616" i="15"/>
  <c r="J616" i="15"/>
  <c r="K616" i="15"/>
  <c r="L616" i="15"/>
  <c r="M616" i="15"/>
  <c r="N616" i="15"/>
  <c r="O616" i="15"/>
  <c r="P616" i="15"/>
  <c r="Q616" i="15"/>
  <c r="X616" i="15"/>
  <c r="C617" i="15"/>
  <c r="D617" i="15"/>
  <c r="E617" i="15"/>
  <c r="F617" i="15"/>
  <c r="G617" i="15"/>
  <c r="H617" i="15"/>
  <c r="I617" i="15"/>
  <c r="J617" i="15"/>
  <c r="K617" i="15"/>
  <c r="L617" i="15"/>
  <c r="M617" i="15"/>
  <c r="N617" i="15"/>
  <c r="O617" i="15"/>
  <c r="P617" i="15"/>
  <c r="Q617" i="15"/>
  <c r="X617" i="15"/>
  <c r="E618" i="15"/>
  <c r="F618" i="15"/>
  <c r="G618" i="15"/>
  <c r="H618" i="15"/>
  <c r="I618" i="15"/>
  <c r="J618" i="15"/>
  <c r="K618" i="15"/>
  <c r="L618" i="15"/>
  <c r="N618" i="15"/>
  <c r="O618" i="15"/>
  <c r="P618" i="15"/>
  <c r="Q618" i="15"/>
  <c r="C619" i="15"/>
  <c r="D619" i="15"/>
  <c r="E619" i="15"/>
  <c r="F619" i="15"/>
  <c r="G619" i="15"/>
  <c r="H619" i="15"/>
  <c r="I619" i="15"/>
  <c r="J619" i="15"/>
  <c r="K619" i="15"/>
  <c r="L619" i="15"/>
  <c r="M619" i="15"/>
  <c r="N619" i="15"/>
  <c r="O619" i="15"/>
  <c r="P619" i="15"/>
  <c r="Q619" i="15"/>
  <c r="X619" i="15"/>
  <c r="G620" i="15"/>
  <c r="I620" i="15"/>
  <c r="L620" i="15"/>
  <c r="N620" i="15"/>
  <c r="Q620" i="15"/>
  <c r="C621" i="15"/>
  <c r="G621" i="15"/>
  <c r="I621" i="15"/>
  <c r="L621" i="15"/>
  <c r="N621" i="15"/>
  <c r="Q621" i="15"/>
  <c r="G622" i="15"/>
  <c r="I622" i="15"/>
  <c r="L622" i="15"/>
  <c r="N622" i="15"/>
  <c r="Q622" i="15"/>
  <c r="C623" i="15"/>
  <c r="D623" i="15"/>
  <c r="E623" i="15"/>
  <c r="F623" i="15"/>
  <c r="G623" i="15"/>
  <c r="H623" i="15"/>
  <c r="I623" i="15"/>
  <c r="J623" i="15"/>
  <c r="K623" i="15"/>
  <c r="L623" i="15"/>
  <c r="M623" i="15"/>
  <c r="N623" i="15"/>
  <c r="O623" i="15"/>
  <c r="P623" i="15"/>
  <c r="Q623" i="15"/>
  <c r="X623" i="15"/>
  <c r="C624" i="15"/>
  <c r="D624" i="15"/>
  <c r="E624" i="15"/>
  <c r="F624" i="15"/>
  <c r="G624" i="15"/>
  <c r="H624" i="15"/>
  <c r="I624" i="15"/>
  <c r="J624" i="15"/>
  <c r="K624" i="15"/>
  <c r="L624" i="15"/>
  <c r="M624" i="15"/>
  <c r="N624" i="15"/>
  <c r="O624" i="15"/>
  <c r="P624" i="15"/>
  <c r="Q624" i="15"/>
  <c r="X624" i="15"/>
  <c r="C625" i="15"/>
  <c r="D625" i="15"/>
  <c r="E625" i="15"/>
  <c r="F625" i="15"/>
  <c r="G625" i="15"/>
  <c r="H625" i="15"/>
  <c r="I625" i="15"/>
  <c r="J625" i="15"/>
  <c r="K625" i="15"/>
  <c r="L625" i="15"/>
  <c r="M625" i="15"/>
  <c r="N625" i="15"/>
  <c r="O625" i="15"/>
  <c r="P625" i="15"/>
  <c r="Q625" i="15"/>
  <c r="X625" i="15"/>
  <c r="C626" i="15"/>
  <c r="D626" i="15"/>
  <c r="E626" i="15"/>
  <c r="F626" i="15"/>
  <c r="G626" i="15"/>
  <c r="H626" i="15"/>
  <c r="I626" i="15"/>
  <c r="J626" i="15"/>
  <c r="K626" i="15"/>
  <c r="L626" i="15"/>
  <c r="M626" i="15"/>
  <c r="N626" i="15"/>
  <c r="O626" i="15"/>
  <c r="P626" i="15"/>
  <c r="Q626" i="15"/>
  <c r="X626" i="15"/>
  <c r="C627" i="15"/>
  <c r="D627" i="15"/>
  <c r="E627" i="15"/>
  <c r="F627" i="15"/>
  <c r="G627" i="15"/>
  <c r="H627" i="15"/>
  <c r="I627" i="15"/>
  <c r="J627" i="15"/>
  <c r="K627" i="15"/>
  <c r="L627" i="15"/>
  <c r="M627" i="15"/>
  <c r="N627" i="15"/>
  <c r="O627" i="15"/>
  <c r="P627" i="15"/>
  <c r="Q627" i="15"/>
  <c r="X627" i="15"/>
  <c r="C628" i="15"/>
  <c r="D628" i="15"/>
  <c r="E628" i="15"/>
  <c r="F628" i="15"/>
  <c r="G628" i="15"/>
  <c r="H628" i="15"/>
  <c r="I628" i="15"/>
  <c r="J628" i="15"/>
  <c r="K628" i="15"/>
  <c r="L628" i="15"/>
  <c r="M628" i="15"/>
  <c r="N628" i="15"/>
  <c r="O628" i="15"/>
  <c r="P628" i="15"/>
  <c r="Q628" i="15"/>
  <c r="X628" i="15"/>
  <c r="C629" i="15"/>
  <c r="D629" i="15"/>
  <c r="E629" i="15"/>
  <c r="F629" i="15"/>
  <c r="G629" i="15"/>
  <c r="H629" i="15"/>
  <c r="I629" i="15"/>
  <c r="J629" i="15"/>
  <c r="K629" i="15"/>
  <c r="L629" i="15"/>
  <c r="M629" i="15"/>
  <c r="N629" i="15"/>
  <c r="O629" i="15"/>
  <c r="P629" i="15"/>
  <c r="Q629" i="15"/>
  <c r="X629" i="15"/>
  <c r="C630" i="15"/>
  <c r="D630" i="15"/>
  <c r="E630" i="15"/>
  <c r="F630" i="15"/>
  <c r="G630" i="15"/>
  <c r="H630" i="15"/>
  <c r="I630" i="15"/>
  <c r="J630" i="15"/>
  <c r="K630" i="15"/>
  <c r="L630" i="15"/>
  <c r="M630" i="15"/>
  <c r="N630" i="15"/>
  <c r="O630" i="15"/>
  <c r="P630" i="15"/>
  <c r="Q630" i="15"/>
  <c r="X630" i="15"/>
  <c r="C631" i="15"/>
  <c r="D631" i="15"/>
  <c r="E631" i="15"/>
  <c r="F631" i="15"/>
  <c r="G631" i="15"/>
  <c r="H631" i="15"/>
  <c r="I631" i="15"/>
  <c r="J631" i="15"/>
  <c r="K631" i="15"/>
  <c r="L631" i="15"/>
  <c r="M631" i="15"/>
  <c r="N631" i="15"/>
  <c r="O631" i="15"/>
  <c r="P631" i="15"/>
  <c r="Q631" i="15"/>
  <c r="X631" i="15"/>
  <c r="C632" i="15"/>
  <c r="D632" i="15"/>
  <c r="E632" i="15"/>
  <c r="F632" i="15"/>
  <c r="G632" i="15"/>
  <c r="H632" i="15"/>
  <c r="I632" i="15"/>
  <c r="J632" i="15"/>
  <c r="K632" i="15"/>
  <c r="L632" i="15"/>
  <c r="M632" i="15"/>
  <c r="N632" i="15"/>
  <c r="O632" i="15"/>
  <c r="P632" i="15"/>
  <c r="Q632" i="15"/>
  <c r="X632" i="15"/>
  <c r="C633" i="15"/>
  <c r="D633" i="15"/>
  <c r="E633" i="15"/>
  <c r="F633" i="15"/>
  <c r="G633" i="15"/>
  <c r="H633" i="15"/>
  <c r="I633" i="15"/>
  <c r="J633" i="15"/>
  <c r="K633" i="15"/>
  <c r="L633" i="15"/>
  <c r="M633" i="15"/>
  <c r="N633" i="15"/>
  <c r="O633" i="15"/>
  <c r="P633" i="15"/>
  <c r="Q633" i="15"/>
  <c r="X633" i="15"/>
  <c r="C634" i="15"/>
  <c r="D634" i="15"/>
  <c r="E634" i="15"/>
  <c r="F634" i="15"/>
  <c r="G634" i="15"/>
  <c r="H634" i="15"/>
  <c r="I634" i="15"/>
  <c r="J634" i="15"/>
  <c r="K634" i="15"/>
  <c r="L634" i="15"/>
  <c r="M634" i="15"/>
  <c r="N634" i="15"/>
  <c r="O634" i="15"/>
  <c r="P634" i="15"/>
  <c r="Q634" i="15"/>
  <c r="X634" i="15"/>
  <c r="C635" i="15"/>
  <c r="D635" i="15"/>
  <c r="E635" i="15"/>
  <c r="F635" i="15"/>
  <c r="G635" i="15"/>
  <c r="H635" i="15"/>
  <c r="I635" i="15"/>
  <c r="J635" i="15"/>
  <c r="K635" i="15"/>
  <c r="L635" i="15"/>
  <c r="M635" i="15"/>
  <c r="N635" i="15"/>
  <c r="O635" i="15"/>
  <c r="P635" i="15"/>
  <c r="Q635" i="15"/>
  <c r="X635" i="15"/>
  <c r="C636" i="15"/>
  <c r="D636" i="15"/>
  <c r="E636" i="15"/>
  <c r="F636" i="15"/>
  <c r="G636" i="15"/>
  <c r="H636" i="15"/>
  <c r="I636" i="15"/>
  <c r="J636" i="15"/>
  <c r="K636" i="15"/>
  <c r="L636" i="15"/>
  <c r="M636" i="15"/>
  <c r="N636" i="15"/>
  <c r="O636" i="15"/>
  <c r="P636" i="15"/>
  <c r="Q636" i="15"/>
  <c r="X636" i="15"/>
  <c r="C637" i="15"/>
  <c r="D637" i="15"/>
  <c r="E637" i="15"/>
  <c r="F637" i="15"/>
  <c r="G637" i="15"/>
  <c r="H637" i="15"/>
  <c r="I637" i="15"/>
  <c r="J637" i="15"/>
  <c r="K637" i="15"/>
  <c r="L637" i="15"/>
  <c r="M637" i="15"/>
  <c r="N637" i="15"/>
  <c r="O637" i="15"/>
  <c r="P637" i="15"/>
  <c r="Q637" i="15"/>
  <c r="X637" i="15"/>
  <c r="C638" i="15"/>
  <c r="D638" i="15"/>
  <c r="E638" i="15"/>
  <c r="F638" i="15"/>
  <c r="G638" i="15"/>
  <c r="H638" i="15"/>
  <c r="I638" i="15"/>
  <c r="J638" i="15"/>
  <c r="K638" i="15"/>
  <c r="L638" i="15"/>
  <c r="M638" i="15"/>
  <c r="N638" i="15"/>
  <c r="O638" i="15"/>
  <c r="P638" i="15"/>
  <c r="Q638" i="15"/>
  <c r="X638" i="15"/>
  <c r="C639" i="15"/>
  <c r="D639" i="15"/>
  <c r="E639" i="15"/>
  <c r="F639" i="15"/>
  <c r="G639" i="15"/>
  <c r="H639" i="15"/>
  <c r="I639" i="15"/>
  <c r="J639" i="15"/>
  <c r="K639" i="15"/>
  <c r="L639" i="15"/>
  <c r="M639" i="15"/>
  <c r="N639" i="15"/>
  <c r="O639" i="15"/>
  <c r="P639" i="15"/>
  <c r="Q639" i="15"/>
  <c r="X639" i="15"/>
  <c r="C640" i="15"/>
  <c r="D640" i="15"/>
  <c r="E640" i="15"/>
  <c r="F640" i="15"/>
  <c r="G640" i="15"/>
  <c r="H640" i="15"/>
  <c r="I640" i="15"/>
  <c r="J640" i="15"/>
  <c r="K640" i="15"/>
  <c r="L640" i="15"/>
  <c r="M640" i="15"/>
  <c r="N640" i="15"/>
  <c r="O640" i="15"/>
  <c r="P640" i="15"/>
  <c r="Q640" i="15"/>
  <c r="C641" i="15"/>
  <c r="D641" i="15"/>
  <c r="E641" i="15"/>
  <c r="F641" i="15"/>
  <c r="G641" i="15"/>
  <c r="H641" i="15"/>
  <c r="I641" i="15"/>
  <c r="J641" i="15"/>
  <c r="K641" i="15"/>
  <c r="L641" i="15"/>
  <c r="M641" i="15"/>
  <c r="N641" i="15"/>
  <c r="O641" i="15"/>
  <c r="P641" i="15"/>
  <c r="Q641" i="15"/>
  <c r="C642" i="15"/>
  <c r="D642" i="15"/>
  <c r="E642" i="15"/>
  <c r="F642" i="15"/>
  <c r="G642" i="15"/>
  <c r="H642" i="15"/>
  <c r="I642" i="15"/>
  <c r="J642" i="15"/>
  <c r="K642" i="15"/>
  <c r="L642" i="15"/>
  <c r="M642" i="15"/>
  <c r="N642" i="15"/>
  <c r="O642" i="15"/>
  <c r="P642" i="15"/>
  <c r="Q642" i="15"/>
  <c r="C643" i="15"/>
  <c r="D643" i="15"/>
  <c r="E643" i="15"/>
  <c r="F643" i="15"/>
  <c r="G643" i="15"/>
  <c r="M643" i="15"/>
  <c r="N643" i="15"/>
  <c r="O643" i="15"/>
  <c r="P643" i="15"/>
  <c r="Q643" i="15"/>
  <c r="X643" i="15"/>
  <c r="C644" i="15"/>
  <c r="D644" i="15"/>
  <c r="E644" i="15"/>
  <c r="F644" i="15"/>
  <c r="G644" i="15"/>
  <c r="M644" i="15"/>
  <c r="N644" i="15"/>
  <c r="O644" i="15"/>
  <c r="P644" i="15"/>
  <c r="Q644" i="15"/>
  <c r="X644" i="15"/>
  <c r="C645" i="15"/>
  <c r="D645" i="15"/>
  <c r="E645" i="15"/>
  <c r="F645" i="15"/>
  <c r="G645" i="15"/>
  <c r="H645" i="15"/>
  <c r="I645" i="15"/>
  <c r="J645" i="15"/>
  <c r="K645" i="15"/>
  <c r="L645" i="15"/>
  <c r="M645" i="15"/>
  <c r="N645" i="15"/>
  <c r="O645" i="15"/>
  <c r="P645" i="15"/>
  <c r="Q645" i="15"/>
  <c r="X645" i="15"/>
  <c r="C646" i="15"/>
  <c r="D646" i="15"/>
  <c r="E646" i="15"/>
  <c r="F646" i="15"/>
  <c r="G646" i="15"/>
  <c r="H646" i="15"/>
  <c r="I646" i="15"/>
  <c r="J646" i="15"/>
  <c r="K646" i="15"/>
  <c r="L646" i="15"/>
  <c r="M646" i="15"/>
  <c r="N646" i="15"/>
  <c r="O646" i="15"/>
  <c r="P646" i="15"/>
  <c r="Q646" i="15"/>
  <c r="X646" i="15"/>
  <c r="C647" i="15"/>
  <c r="D647" i="15"/>
  <c r="E647" i="15"/>
  <c r="F647" i="15"/>
  <c r="G647" i="15"/>
  <c r="H647" i="15"/>
  <c r="I647" i="15"/>
  <c r="J647" i="15"/>
  <c r="K647" i="15"/>
  <c r="L647" i="15"/>
  <c r="M647" i="15"/>
  <c r="N647" i="15"/>
  <c r="O647" i="15"/>
  <c r="P647" i="15"/>
  <c r="Q647" i="15"/>
  <c r="X647" i="15"/>
  <c r="C648" i="15"/>
  <c r="D648" i="15"/>
  <c r="E648" i="15"/>
  <c r="F648" i="15"/>
  <c r="G648" i="15"/>
  <c r="H648" i="15"/>
  <c r="I648" i="15"/>
  <c r="J648" i="15"/>
  <c r="K648" i="15"/>
  <c r="L648" i="15"/>
  <c r="M648" i="15"/>
  <c r="N648" i="15"/>
  <c r="O648" i="15"/>
  <c r="P648" i="15"/>
  <c r="Q648" i="15"/>
  <c r="X648" i="15"/>
  <c r="C649" i="15"/>
  <c r="D649" i="15"/>
  <c r="E649" i="15"/>
  <c r="F649" i="15"/>
  <c r="G649" i="15"/>
  <c r="H649" i="15"/>
  <c r="I649" i="15"/>
  <c r="L649" i="15"/>
  <c r="M649" i="15"/>
  <c r="N649" i="15"/>
  <c r="O649" i="15"/>
  <c r="P649" i="15"/>
  <c r="Q649" i="15"/>
  <c r="X649" i="15"/>
  <c r="C650" i="15"/>
  <c r="D650" i="15"/>
  <c r="E650" i="15"/>
  <c r="F650" i="15"/>
  <c r="G650" i="15"/>
  <c r="H650" i="15"/>
  <c r="I650" i="15"/>
  <c r="L650" i="15"/>
  <c r="M650" i="15"/>
  <c r="N650" i="15"/>
  <c r="O650" i="15"/>
  <c r="P650" i="15"/>
  <c r="Q650" i="15"/>
  <c r="X650" i="15"/>
  <c r="C651" i="15"/>
  <c r="D651" i="15"/>
  <c r="E651" i="15"/>
  <c r="F651" i="15"/>
  <c r="G651" i="15"/>
  <c r="H651" i="15"/>
  <c r="I651" i="15"/>
  <c r="J651" i="15"/>
  <c r="K651" i="15"/>
  <c r="L651" i="15"/>
  <c r="M651" i="15"/>
  <c r="N651" i="15"/>
  <c r="O651" i="15"/>
  <c r="P651" i="15"/>
  <c r="Q651" i="15"/>
  <c r="X651" i="15"/>
  <c r="C652" i="15"/>
  <c r="D652" i="15"/>
  <c r="E652" i="15"/>
  <c r="F652" i="15"/>
  <c r="G652" i="15"/>
  <c r="H652" i="15"/>
  <c r="I652" i="15"/>
  <c r="J652" i="15"/>
  <c r="K652" i="15"/>
  <c r="L652" i="15"/>
  <c r="M652" i="15"/>
  <c r="N652" i="15"/>
  <c r="O652" i="15"/>
  <c r="P652" i="15"/>
  <c r="Q652" i="15"/>
  <c r="X652" i="15"/>
  <c r="C653" i="15"/>
  <c r="D653" i="15"/>
  <c r="E653" i="15"/>
  <c r="F653" i="15"/>
  <c r="G653" i="15"/>
  <c r="H653" i="15"/>
  <c r="I653" i="15"/>
  <c r="L653" i="15"/>
  <c r="M653" i="15"/>
  <c r="N653" i="15"/>
  <c r="O653" i="15"/>
  <c r="P653" i="15"/>
  <c r="Q653" i="15"/>
  <c r="X653" i="15"/>
  <c r="C654" i="15"/>
  <c r="D654" i="15"/>
  <c r="E654" i="15"/>
  <c r="F654" i="15"/>
  <c r="G654" i="15"/>
  <c r="H654" i="15"/>
  <c r="I654" i="15"/>
  <c r="L654" i="15"/>
  <c r="M654" i="15"/>
  <c r="N654" i="15"/>
  <c r="O654" i="15"/>
  <c r="P654" i="15"/>
  <c r="Q654" i="15"/>
  <c r="X654" i="15"/>
  <c r="C655" i="15"/>
  <c r="D655" i="15"/>
  <c r="E655" i="15"/>
  <c r="F655" i="15"/>
  <c r="G655" i="15"/>
  <c r="H655" i="15"/>
  <c r="I655" i="15"/>
  <c r="J655" i="15"/>
  <c r="K655" i="15"/>
  <c r="L655" i="15"/>
  <c r="M655" i="15"/>
  <c r="N655" i="15"/>
  <c r="O655" i="15"/>
  <c r="P655" i="15"/>
  <c r="Q655" i="15"/>
  <c r="X655" i="15"/>
  <c r="C656" i="15"/>
  <c r="D656" i="15"/>
  <c r="E656" i="15"/>
  <c r="F656" i="15"/>
  <c r="G656" i="15"/>
  <c r="H656" i="15"/>
  <c r="I656" i="15"/>
  <c r="J656" i="15"/>
  <c r="K656" i="15"/>
  <c r="L656" i="15"/>
  <c r="M656" i="15"/>
  <c r="N656" i="15"/>
  <c r="O656" i="15"/>
  <c r="P656" i="15"/>
  <c r="Q656" i="15"/>
  <c r="X656" i="15"/>
  <c r="C657" i="15"/>
  <c r="D657" i="15"/>
  <c r="E657" i="15"/>
  <c r="F657" i="15"/>
  <c r="G657" i="15"/>
  <c r="H657" i="15"/>
  <c r="I657" i="15"/>
  <c r="L657" i="15"/>
  <c r="M657" i="15"/>
  <c r="N657" i="15"/>
  <c r="O657" i="15"/>
  <c r="P657" i="15"/>
  <c r="Q657" i="15"/>
  <c r="X657" i="15"/>
  <c r="C658" i="15"/>
  <c r="D658" i="15"/>
  <c r="E658" i="15"/>
  <c r="F658" i="15"/>
  <c r="G658" i="15"/>
  <c r="H658" i="15"/>
  <c r="I658" i="15"/>
  <c r="L658" i="15"/>
  <c r="M658" i="15"/>
  <c r="N658" i="15"/>
  <c r="O658" i="15"/>
  <c r="P658" i="15"/>
  <c r="Q658" i="15"/>
  <c r="X658" i="15"/>
  <c r="C659" i="15"/>
  <c r="D659" i="15"/>
  <c r="E659" i="15"/>
  <c r="F659" i="15"/>
  <c r="G659" i="15"/>
  <c r="H659" i="15"/>
  <c r="I659" i="15"/>
  <c r="J659" i="15"/>
  <c r="K659" i="15"/>
  <c r="L659" i="15"/>
  <c r="M659" i="15"/>
  <c r="N659" i="15"/>
  <c r="O659" i="15"/>
  <c r="P659" i="15"/>
  <c r="Q659" i="15"/>
  <c r="X659" i="15"/>
  <c r="C660" i="15"/>
  <c r="D660" i="15"/>
  <c r="E660" i="15"/>
  <c r="F660" i="15"/>
  <c r="G660" i="15"/>
  <c r="H660" i="15"/>
  <c r="I660" i="15"/>
  <c r="J660" i="15"/>
  <c r="K660" i="15"/>
  <c r="L660" i="15"/>
  <c r="M660" i="15"/>
  <c r="N660" i="15"/>
  <c r="O660" i="15"/>
  <c r="P660" i="15"/>
  <c r="Q660" i="15"/>
  <c r="X660" i="15"/>
  <c r="C661" i="15"/>
  <c r="D661" i="15"/>
  <c r="E661" i="15"/>
  <c r="F661" i="15"/>
  <c r="G661" i="15"/>
  <c r="H661" i="15"/>
  <c r="I661" i="15"/>
  <c r="J661" i="15"/>
  <c r="K661" i="15"/>
  <c r="L661" i="15"/>
  <c r="M661" i="15"/>
  <c r="N661" i="15"/>
  <c r="O661" i="15"/>
  <c r="P661" i="15"/>
  <c r="Q661" i="15"/>
  <c r="X661" i="15"/>
  <c r="C662" i="15"/>
  <c r="D662" i="15"/>
  <c r="E662" i="15"/>
  <c r="F662" i="15"/>
  <c r="G662" i="15"/>
  <c r="H662" i="15"/>
  <c r="I662" i="15"/>
  <c r="J662" i="15"/>
  <c r="K662" i="15"/>
  <c r="L662" i="15"/>
  <c r="M662" i="15"/>
  <c r="N662" i="15"/>
  <c r="O662" i="15"/>
  <c r="P662" i="15"/>
  <c r="Q662" i="15"/>
  <c r="X662" i="15"/>
  <c r="C663" i="15"/>
  <c r="D663" i="15"/>
  <c r="E663" i="15"/>
  <c r="F663" i="15"/>
  <c r="G663" i="15"/>
  <c r="H663" i="15"/>
  <c r="I663" i="15"/>
  <c r="J663" i="15"/>
  <c r="K663" i="15"/>
  <c r="L663" i="15"/>
  <c r="M663" i="15"/>
  <c r="N663" i="15"/>
  <c r="O663" i="15"/>
  <c r="P663" i="15"/>
  <c r="Q663" i="15"/>
  <c r="X663" i="15"/>
  <c r="C664" i="15"/>
  <c r="D664" i="15"/>
  <c r="E664" i="15"/>
  <c r="F664" i="15"/>
  <c r="G664" i="15"/>
  <c r="H664" i="15"/>
  <c r="I664" i="15"/>
  <c r="J664" i="15"/>
  <c r="K664" i="15"/>
  <c r="L664" i="15"/>
  <c r="M664" i="15"/>
  <c r="N664" i="15"/>
  <c r="O664" i="15"/>
  <c r="P664" i="15"/>
  <c r="Q664" i="15"/>
  <c r="X664" i="15"/>
  <c r="C665" i="15"/>
  <c r="D665" i="15"/>
  <c r="E665" i="15"/>
  <c r="F665" i="15"/>
  <c r="G665" i="15"/>
  <c r="H665" i="15"/>
  <c r="I665" i="15"/>
  <c r="J665" i="15"/>
  <c r="K665" i="15"/>
  <c r="L665" i="15"/>
  <c r="M665" i="15"/>
  <c r="N665" i="15"/>
  <c r="O665" i="15"/>
  <c r="P665" i="15"/>
  <c r="Q665" i="15"/>
  <c r="X665" i="15"/>
  <c r="C666" i="15"/>
  <c r="D666" i="15"/>
  <c r="E666" i="15"/>
  <c r="F666" i="15"/>
  <c r="G666" i="15"/>
  <c r="H666" i="15"/>
  <c r="I666" i="15"/>
  <c r="J666" i="15"/>
  <c r="K666" i="15"/>
  <c r="L666" i="15"/>
  <c r="M666" i="15"/>
  <c r="N666" i="15"/>
  <c r="O666" i="15"/>
  <c r="P666" i="15"/>
  <c r="Q666" i="15"/>
  <c r="X666" i="15"/>
  <c r="C667" i="15"/>
  <c r="D667" i="15"/>
  <c r="E667" i="15"/>
  <c r="F667" i="15"/>
  <c r="G667" i="15"/>
  <c r="H667" i="15"/>
  <c r="I667" i="15"/>
  <c r="J667" i="15"/>
  <c r="K667" i="15"/>
  <c r="L667" i="15"/>
  <c r="M667" i="15"/>
  <c r="N667" i="15"/>
  <c r="O667" i="15"/>
  <c r="P667" i="15"/>
  <c r="Q667" i="15"/>
  <c r="X667" i="15"/>
  <c r="C668" i="15"/>
  <c r="D668" i="15"/>
  <c r="E668" i="15"/>
  <c r="F668" i="15"/>
  <c r="G668" i="15"/>
  <c r="H668" i="15"/>
  <c r="I668" i="15"/>
  <c r="J668" i="15"/>
  <c r="K668" i="15"/>
  <c r="L668" i="15"/>
  <c r="M668" i="15"/>
  <c r="N668" i="15"/>
  <c r="O668" i="15"/>
  <c r="P668" i="15"/>
  <c r="Q668" i="15"/>
  <c r="X668" i="15"/>
  <c r="C669" i="15"/>
  <c r="D669" i="15"/>
  <c r="E669" i="15"/>
  <c r="F669" i="15"/>
  <c r="G669" i="15"/>
  <c r="H669" i="15"/>
  <c r="I669" i="15"/>
  <c r="J669" i="15"/>
  <c r="K669" i="15"/>
  <c r="L669" i="15"/>
  <c r="M669" i="15"/>
  <c r="N669" i="15"/>
  <c r="O669" i="15"/>
  <c r="P669" i="15"/>
  <c r="Q669" i="15"/>
  <c r="X669" i="15"/>
  <c r="C670" i="15"/>
  <c r="D670" i="15"/>
  <c r="E670" i="15"/>
  <c r="F670" i="15"/>
  <c r="G670" i="15"/>
  <c r="H670" i="15"/>
  <c r="I670" i="15"/>
  <c r="J670" i="15"/>
  <c r="K670" i="15"/>
  <c r="L670" i="15"/>
  <c r="M670" i="15"/>
  <c r="N670" i="15"/>
  <c r="O670" i="15"/>
  <c r="P670" i="15"/>
  <c r="Q670" i="15"/>
  <c r="X670" i="15"/>
  <c r="C671" i="15"/>
  <c r="D671" i="15"/>
  <c r="E671" i="15"/>
  <c r="F671" i="15"/>
  <c r="G671" i="15"/>
  <c r="H671" i="15"/>
  <c r="I671" i="15"/>
  <c r="J671" i="15"/>
  <c r="K671" i="15"/>
  <c r="L671" i="15"/>
  <c r="M671" i="15"/>
  <c r="N671" i="15"/>
  <c r="O671" i="15"/>
  <c r="P671" i="15"/>
  <c r="Q671" i="15"/>
  <c r="X671" i="15"/>
  <c r="C672" i="15"/>
  <c r="D672" i="15"/>
  <c r="E672" i="15"/>
  <c r="F672" i="15"/>
  <c r="G672" i="15"/>
  <c r="H672" i="15"/>
  <c r="I672" i="15"/>
  <c r="J672" i="15"/>
  <c r="K672" i="15"/>
  <c r="L672" i="15"/>
  <c r="M672" i="15"/>
  <c r="N672" i="15"/>
  <c r="O672" i="15"/>
  <c r="P672" i="15"/>
  <c r="Q672" i="15"/>
  <c r="X672" i="15"/>
  <c r="C673" i="15"/>
  <c r="D673" i="15"/>
  <c r="E673" i="15"/>
  <c r="F673" i="15"/>
  <c r="G673" i="15"/>
  <c r="H673" i="15"/>
  <c r="I673" i="15"/>
  <c r="J673" i="15"/>
  <c r="K673" i="15"/>
  <c r="L673" i="15"/>
  <c r="M673" i="15"/>
  <c r="N673" i="15"/>
  <c r="O673" i="15"/>
  <c r="P673" i="15"/>
  <c r="Q673" i="15"/>
  <c r="X673" i="15"/>
  <c r="C674" i="15"/>
  <c r="D674" i="15"/>
  <c r="E674" i="15"/>
  <c r="F674" i="15"/>
  <c r="G674" i="15"/>
  <c r="H674" i="15"/>
  <c r="I674" i="15"/>
  <c r="J674" i="15"/>
  <c r="K674" i="15"/>
  <c r="L674" i="15"/>
  <c r="M674" i="15"/>
  <c r="N674" i="15"/>
  <c r="O674" i="15"/>
  <c r="P674" i="15"/>
  <c r="Q674" i="15"/>
  <c r="X674" i="15"/>
  <c r="C675" i="15"/>
  <c r="D675" i="15"/>
  <c r="E675" i="15"/>
  <c r="F675" i="15"/>
  <c r="G675" i="15"/>
  <c r="H675" i="15"/>
  <c r="I675" i="15"/>
  <c r="J675" i="15"/>
  <c r="K675" i="15"/>
  <c r="L675" i="15"/>
  <c r="M675" i="15"/>
  <c r="N675" i="15"/>
  <c r="O675" i="15"/>
  <c r="P675" i="15"/>
  <c r="Q675" i="15"/>
  <c r="X675" i="15"/>
  <c r="C676" i="15"/>
  <c r="D676" i="15"/>
  <c r="E676" i="15"/>
  <c r="F676" i="15"/>
  <c r="G676" i="15"/>
  <c r="H676" i="15"/>
  <c r="I676" i="15"/>
  <c r="J676" i="15"/>
  <c r="K676" i="15"/>
  <c r="L676" i="15"/>
  <c r="M676" i="15"/>
  <c r="N676" i="15"/>
  <c r="O676" i="15"/>
  <c r="P676" i="15"/>
  <c r="Q676" i="15"/>
  <c r="X676" i="15"/>
  <c r="C677" i="15"/>
  <c r="D677" i="15"/>
  <c r="E677" i="15"/>
  <c r="F677" i="15"/>
  <c r="G677" i="15"/>
  <c r="H677" i="15"/>
  <c r="I677" i="15"/>
  <c r="J677" i="15"/>
  <c r="K677" i="15"/>
  <c r="L677" i="15"/>
  <c r="M677" i="15"/>
  <c r="N677" i="15"/>
  <c r="O677" i="15"/>
  <c r="P677" i="15"/>
  <c r="Q677" i="15"/>
  <c r="X677" i="15"/>
  <c r="C678" i="15"/>
  <c r="D678" i="15"/>
  <c r="E678" i="15"/>
  <c r="F678" i="15"/>
  <c r="G678" i="15"/>
  <c r="H678" i="15"/>
  <c r="I678" i="15"/>
  <c r="J678" i="15"/>
  <c r="K678" i="15"/>
  <c r="L678" i="15"/>
  <c r="M678" i="15"/>
  <c r="N678" i="15"/>
  <c r="O678" i="15"/>
  <c r="P678" i="15"/>
  <c r="Q678" i="15"/>
  <c r="X678" i="15"/>
  <c r="C679" i="15"/>
  <c r="D679" i="15"/>
  <c r="E679" i="15"/>
  <c r="F679" i="15"/>
  <c r="G679" i="15"/>
  <c r="H679" i="15"/>
  <c r="I679" i="15"/>
  <c r="J679" i="15"/>
  <c r="K679" i="15"/>
  <c r="L679" i="15"/>
  <c r="M679" i="15"/>
  <c r="N679" i="15"/>
  <c r="O679" i="15"/>
  <c r="P679" i="15"/>
  <c r="Q679" i="15"/>
  <c r="X679" i="15"/>
  <c r="C680" i="15"/>
  <c r="D680" i="15"/>
  <c r="E680" i="15"/>
  <c r="F680" i="15"/>
  <c r="G680" i="15"/>
  <c r="H680" i="15"/>
  <c r="I680" i="15"/>
  <c r="J680" i="15"/>
  <c r="K680" i="15"/>
  <c r="L680" i="15"/>
  <c r="M680" i="15"/>
  <c r="N680" i="15"/>
  <c r="O680" i="15"/>
  <c r="P680" i="15"/>
  <c r="Q680" i="15"/>
  <c r="X680" i="15"/>
  <c r="C681" i="15"/>
  <c r="D681" i="15"/>
  <c r="E681" i="15"/>
  <c r="F681" i="15"/>
  <c r="G681" i="15"/>
  <c r="H681" i="15"/>
  <c r="I681" i="15"/>
  <c r="J681" i="15"/>
  <c r="K681" i="15"/>
  <c r="L681" i="15"/>
  <c r="M681" i="15"/>
  <c r="N681" i="15"/>
  <c r="O681" i="15"/>
  <c r="P681" i="15"/>
  <c r="Q681" i="15"/>
  <c r="C682" i="15"/>
  <c r="D682" i="15"/>
  <c r="E682" i="15"/>
  <c r="F682" i="15"/>
  <c r="G682" i="15"/>
  <c r="H682" i="15"/>
  <c r="I682" i="15"/>
  <c r="J682" i="15"/>
  <c r="K682" i="15"/>
  <c r="L682" i="15"/>
  <c r="M682" i="15"/>
  <c r="N682" i="15"/>
  <c r="O682" i="15"/>
  <c r="P682" i="15"/>
  <c r="Q682" i="15"/>
  <c r="C683" i="15"/>
  <c r="D683" i="15"/>
  <c r="E683" i="15"/>
  <c r="F683" i="15"/>
  <c r="G683" i="15"/>
  <c r="H683" i="15"/>
  <c r="I683" i="15"/>
  <c r="J683" i="15"/>
  <c r="K683" i="15"/>
  <c r="L683" i="15"/>
  <c r="M683" i="15"/>
  <c r="N683" i="15"/>
  <c r="O683" i="15"/>
  <c r="P683" i="15"/>
  <c r="Q683" i="15"/>
  <c r="C684" i="15"/>
  <c r="D684" i="15"/>
  <c r="E684" i="15"/>
  <c r="F684" i="15"/>
  <c r="G684" i="15"/>
  <c r="H684" i="15"/>
  <c r="I684" i="15"/>
  <c r="J684" i="15"/>
  <c r="K684" i="15"/>
  <c r="L684" i="15"/>
  <c r="M684" i="15"/>
  <c r="N684" i="15"/>
  <c r="O684" i="15"/>
  <c r="P684" i="15"/>
  <c r="Q684" i="15"/>
  <c r="C685" i="15"/>
  <c r="D685" i="15"/>
  <c r="E685" i="15"/>
  <c r="F685" i="15"/>
  <c r="G685" i="15"/>
  <c r="H685" i="15"/>
  <c r="I685" i="15"/>
  <c r="J685" i="15"/>
  <c r="K685" i="15"/>
  <c r="L685" i="15"/>
  <c r="M685" i="15"/>
  <c r="N685" i="15"/>
  <c r="O685" i="15"/>
  <c r="P685" i="15"/>
  <c r="Q685" i="15"/>
  <c r="C686" i="15"/>
  <c r="D686" i="15"/>
  <c r="E686" i="15"/>
  <c r="F686" i="15"/>
  <c r="G686" i="15"/>
  <c r="H686" i="15"/>
  <c r="I686" i="15"/>
  <c r="J686" i="15"/>
  <c r="K686" i="15"/>
  <c r="L686" i="15"/>
  <c r="M686" i="15"/>
  <c r="N686" i="15"/>
  <c r="O686" i="15"/>
  <c r="P686" i="15"/>
  <c r="Q686" i="15"/>
  <c r="C687" i="15"/>
  <c r="D687" i="15"/>
  <c r="E687" i="15"/>
  <c r="F687" i="15"/>
  <c r="G687" i="15"/>
  <c r="H687" i="15"/>
  <c r="I687" i="15"/>
  <c r="J687" i="15"/>
  <c r="K687" i="15"/>
  <c r="L687" i="15"/>
  <c r="M687" i="15"/>
  <c r="N687" i="15"/>
  <c r="O687" i="15"/>
  <c r="P687" i="15"/>
  <c r="Q687" i="15"/>
  <c r="C688" i="15"/>
  <c r="D688" i="15"/>
  <c r="E688" i="15"/>
  <c r="F688" i="15"/>
  <c r="G688" i="15"/>
  <c r="H688" i="15"/>
  <c r="I688" i="15"/>
  <c r="J688" i="15"/>
  <c r="K688" i="15"/>
  <c r="L688" i="15"/>
  <c r="M688" i="15"/>
  <c r="N688" i="15"/>
  <c r="O688" i="15"/>
  <c r="P688" i="15"/>
  <c r="Q688" i="15"/>
  <c r="C689" i="15"/>
  <c r="D689" i="15"/>
  <c r="E689" i="15"/>
  <c r="F689" i="15"/>
  <c r="G689" i="15"/>
  <c r="H689" i="15"/>
  <c r="I689" i="15"/>
  <c r="J689" i="15"/>
  <c r="K689" i="15"/>
  <c r="L689" i="15"/>
  <c r="M689" i="15"/>
  <c r="N689" i="15"/>
  <c r="O689" i="15"/>
  <c r="P689" i="15"/>
  <c r="Q689" i="15"/>
  <c r="X689" i="15"/>
  <c r="C690" i="15"/>
  <c r="D690" i="15"/>
  <c r="E690" i="15"/>
  <c r="F690" i="15"/>
  <c r="G690" i="15"/>
  <c r="H690" i="15"/>
  <c r="I690" i="15"/>
  <c r="J690" i="15"/>
  <c r="K690" i="15"/>
  <c r="L690" i="15"/>
  <c r="M690" i="15"/>
  <c r="N690" i="15"/>
  <c r="O690" i="15"/>
  <c r="P690" i="15"/>
  <c r="Q690" i="15"/>
  <c r="X690" i="15"/>
  <c r="C691" i="15"/>
  <c r="D691" i="15"/>
  <c r="E691" i="15"/>
  <c r="F691" i="15"/>
  <c r="G691" i="15"/>
  <c r="H691" i="15"/>
  <c r="I691" i="15"/>
  <c r="J691" i="15"/>
  <c r="K691" i="15"/>
  <c r="L691" i="15"/>
  <c r="M691" i="15"/>
  <c r="N691" i="15"/>
  <c r="O691" i="15"/>
  <c r="P691" i="15"/>
  <c r="Q691" i="15"/>
  <c r="X691" i="15"/>
  <c r="C692" i="15"/>
  <c r="D692" i="15"/>
  <c r="E692" i="15"/>
  <c r="F692" i="15"/>
  <c r="G692" i="15"/>
  <c r="H692" i="15"/>
  <c r="I692" i="15"/>
  <c r="J692" i="15"/>
  <c r="K692" i="15"/>
  <c r="L692" i="15"/>
  <c r="M692" i="15"/>
  <c r="N692" i="15"/>
  <c r="O692" i="15"/>
  <c r="P692" i="15"/>
  <c r="Q692" i="15"/>
  <c r="X692" i="15"/>
  <c r="C693" i="15"/>
  <c r="D693" i="15"/>
  <c r="E693" i="15"/>
  <c r="F693" i="15"/>
  <c r="G693" i="15"/>
  <c r="H693" i="15"/>
  <c r="I693" i="15"/>
  <c r="J693" i="15"/>
  <c r="K693" i="15"/>
  <c r="L693" i="15"/>
  <c r="M693" i="15"/>
  <c r="N693" i="15"/>
  <c r="O693" i="15"/>
  <c r="P693" i="15"/>
  <c r="Q693" i="15"/>
  <c r="X693" i="15"/>
  <c r="C694" i="15"/>
  <c r="D694" i="15"/>
  <c r="E694" i="15"/>
  <c r="F694" i="15"/>
  <c r="G694" i="15"/>
  <c r="H694" i="15"/>
  <c r="I694" i="15"/>
  <c r="J694" i="15"/>
  <c r="K694" i="15"/>
  <c r="L694" i="15"/>
  <c r="M694" i="15"/>
  <c r="N694" i="15"/>
  <c r="O694" i="15"/>
  <c r="P694" i="15"/>
  <c r="Q694" i="15"/>
  <c r="X694" i="15"/>
  <c r="C695" i="15"/>
  <c r="D695" i="15"/>
  <c r="E695" i="15"/>
  <c r="F695" i="15"/>
  <c r="G695" i="15"/>
  <c r="H695" i="15"/>
  <c r="I695" i="15"/>
  <c r="J695" i="15"/>
  <c r="K695" i="15"/>
  <c r="L695" i="15"/>
  <c r="M695" i="15"/>
  <c r="N695" i="15"/>
  <c r="O695" i="15"/>
  <c r="P695" i="15"/>
  <c r="Q695" i="15"/>
  <c r="X695" i="15"/>
  <c r="C696" i="15"/>
  <c r="D696" i="15"/>
  <c r="E696" i="15"/>
  <c r="F696" i="15"/>
  <c r="G696" i="15"/>
  <c r="H696" i="15"/>
  <c r="I696" i="15"/>
  <c r="J696" i="15"/>
  <c r="K696" i="15"/>
  <c r="L696" i="15"/>
  <c r="M696" i="15"/>
  <c r="N696" i="15"/>
  <c r="O696" i="15"/>
  <c r="P696" i="15"/>
  <c r="Q696" i="15"/>
  <c r="X696" i="15"/>
  <c r="C697" i="15"/>
  <c r="D697" i="15"/>
  <c r="E697" i="15"/>
  <c r="F697" i="15"/>
  <c r="G697" i="15"/>
  <c r="H697" i="15"/>
  <c r="I697" i="15"/>
  <c r="J697" i="15"/>
  <c r="K697" i="15"/>
  <c r="L697" i="15"/>
  <c r="M697" i="15"/>
  <c r="N697" i="15"/>
  <c r="O697" i="15"/>
  <c r="P697" i="15"/>
  <c r="Q697" i="15"/>
  <c r="X697" i="15"/>
  <c r="C698" i="15"/>
  <c r="D698" i="15"/>
  <c r="E698" i="15"/>
  <c r="F698" i="15"/>
  <c r="G698" i="15"/>
  <c r="H698" i="15"/>
  <c r="I698" i="15"/>
  <c r="J698" i="15"/>
  <c r="K698" i="15"/>
  <c r="L698" i="15"/>
  <c r="M698" i="15"/>
  <c r="N698" i="15"/>
  <c r="O698" i="15"/>
  <c r="P698" i="15"/>
  <c r="Q698" i="15"/>
  <c r="X698" i="15"/>
  <c r="C699" i="15"/>
  <c r="D699" i="15"/>
  <c r="E699" i="15"/>
  <c r="F699" i="15"/>
  <c r="G699" i="15"/>
  <c r="H699" i="15"/>
  <c r="I699" i="15"/>
  <c r="J699" i="15"/>
  <c r="K699" i="15"/>
  <c r="L699" i="15"/>
  <c r="M699" i="15"/>
  <c r="N699" i="15"/>
  <c r="O699" i="15"/>
  <c r="P699" i="15"/>
  <c r="Q699" i="15"/>
  <c r="X699" i="15"/>
  <c r="C700" i="15"/>
  <c r="D700" i="15"/>
  <c r="E700" i="15"/>
  <c r="F700" i="15"/>
  <c r="G700" i="15"/>
  <c r="H700" i="15"/>
  <c r="I700" i="15"/>
  <c r="J700" i="15"/>
  <c r="K700" i="15"/>
  <c r="L700" i="15"/>
  <c r="M700" i="15"/>
  <c r="N700" i="15"/>
  <c r="O700" i="15"/>
  <c r="P700" i="15"/>
  <c r="Q700" i="15"/>
  <c r="X700" i="15"/>
  <c r="C701" i="15"/>
  <c r="D701" i="15"/>
  <c r="E701" i="15"/>
  <c r="F701" i="15"/>
  <c r="G701" i="15"/>
  <c r="H701" i="15"/>
  <c r="I701" i="15"/>
  <c r="J701" i="15"/>
  <c r="K701" i="15"/>
  <c r="L701" i="15"/>
  <c r="M701" i="15"/>
  <c r="N701" i="15"/>
  <c r="O701" i="15"/>
  <c r="P701" i="15"/>
  <c r="Q701" i="15"/>
  <c r="X701" i="15"/>
  <c r="C702" i="15"/>
  <c r="D702" i="15"/>
  <c r="E702" i="15"/>
  <c r="F702" i="15"/>
  <c r="G702" i="15"/>
  <c r="H702" i="15"/>
  <c r="I702" i="15"/>
  <c r="J702" i="15"/>
  <c r="K702" i="15"/>
  <c r="L702" i="15"/>
  <c r="M702" i="15"/>
  <c r="N702" i="15"/>
  <c r="O702" i="15"/>
  <c r="P702" i="15"/>
  <c r="Q702" i="15"/>
  <c r="X702" i="15"/>
  <c r="C703" i="15"/>
  <c r="D703" i="15"/>
  <c r="E703" i="15"/>
  <c r="F703" i="15"/>
  <c r="G703" i="15"/>
  <c r="H703" i="15"/>
  <c r="I703" i="15"/>
  <c r="J703" i="15"/>
  <c r="K703" i="15"/>
  <c r="L703" i="15"/>
  <c r="M703" i="15"/>
  <c r="N703" i="15"/>
  <c r="O703" i="15"/>
  <c r="P703" i="15"/>
  <c r="Q703" i="15"/>
  <c r="X703" i="15"/>
  <c r="C704" i="15"/>
  <c r="D704" i="15"/>
  <c r="E704" i="15"/>
  <c r="F704" i="15"/>
  <c r="G704" i="15"/>
  <c r="H704" i="15"/>
  <c r="I704" i="15"/>
  <c r="J704" i="15"/>
  <c r="K704" i="15"/>
  <c r="L704" i="15"/>
  <c r="M704" i="15"/>
  <c r="N704" i="15"/>
  <c r="O704" i="15"/>
  <c r="P704" i="15"/>
  <c r="Q704" i="15"/>
  <c r="X704" i="15"/>
  <c r="C705" i="15"/>
  <c r="D705" i="15"/>
  <c r="E705" i="15"/>
  <c r="F705" i="15"/>
  <c r="G705" i="15"/>
  <c r="H705" i="15"/>
  <c r="I705" i="15"/>
  <c r="J705" i="15"/>
  <c r="K705" i="15"/>
  <c r="L705" i="15"/>
  <c r="M705" i="15"/>
  <c r="N705" i="15"/>
  <c r="O705" i="15"/>
  <c r="P705" i="15"/>
  <c r="Q705" i="15"/>
  <c r="X705" i="15"/>
  <c r="C706" i="15"/>
  <c r="D706" i="15"/>
  <c r="E706" i="15"/>
  <c r="F706" i="15"/>
  <c r="G706" i="15"/>
  <c r="H706" i="15"/>
  <c r="I706" i="15"/>
  <c r="J706" i="15"/>
  <c r="K706" i="15"/>
  <c r="L706" i="15"/>
  <c r="M706" i="15"/>
  <c r="N706" i="15"/>
  <c r="O706" i="15"/>
  <c r="P706" i="15"/>
  <c r="Q706" i="15"/>
  <c r="X706" i="15"/>
  <c r="C707" i="15"/>
  <c r="D707" i="15"/>
  <c r="E707" i="15"/>
  <c r="F707" i="15"/>
  <c r="G707" i="15"/>
  <c r="H707" i="15"/>
  <c r="I707" i="15"/>
  <c r="J707" i="15"/>
  <c r="K707" i="15"/>
  <c r="L707" i="15"/>
  <c r="M707" i="15"/>
  <c r="N707" i="15"/>
  <c r="O707" i="15"/>
  <c r="P707" i="15"/>
  <c r="Q707" i="15"/>
  <c r="X707" i="15"/>
  <c r="C708" i="15"/>
  <c r="D708" i="15"/>
  <c r="E708" i="15"/>
  <c r="F708" i="15"/>
  <c r="G708" i="15"/>
  <c r="H708" i="15"/>
  <c r="I708" i="15"/>
  <c r="J708" i="15"/>
  <c r="K708" i="15"/>
  <c r="L708" i="15"/>
  <c r="M708" i="15"/>
  <c r="N708" i="15"/>
  <c r="O708" i="15"/>
  <c r="P708" i="15"/>
  <c r="Q708" i="15"/>
  <c r="X708" i="15"/>
  <c r="C709" i="15"/>
  <c r="D709" i="15"/>
  <c r="E709" i="15"/>
  <c r="F709" i="15"/>
  <c r="G709" i="15"/>
  <c r="H709" i="15"/>
  <c r="I709" i="15"/>
  <c r="J709" i="15"/>
  <c r="K709" i="15"/>
  <c r="L709" i="15"/>
  <c r="M709" i="15"/>
  <c r="N709" i="15"/>
  <c r="O709" i="15"/>
  <c r="P709" i="15"/>
  <c r="Q709" i="15"/>
  <c r="X709" i="15"/>
  <c r="C710" i="15"/>
  <c r="D710" i="15"/>
  <c r="E710" i="15"/>
  <c r="F710" i="15"/>
  <c r="G710" i="15"/>
  <c r="H710" i="15"/>
  <c r="I710" i="15"/>
  <c r="J710" i="15"/>
  <c r="K710" i="15"/>
  <c r="L710" i="15"/>
  <c r="M710" i="15"/>
  <c r="N710" i="15"/>
  <c r="O710" i="15"/>
  <c r="P710" i="15"/>
  <c r="Q710" i="15"/>
  <c r="X710" i="15"/>
  <c r="C711" i="15"/>
  <c r="D711" i="15"/>
  <c r="E711" i="15"/>
  <c r="F711" i="15"/>
  <c r="G711" i="15"/>
  <c r="H711" i="15"/>
  <c r="I711" i="15"/>
  <c r="J711" i="15"/>
  <c r="K711" i="15"/>
  <c r="L711" i="15"/>
  <c r="M711" i="15"/>
  <c r="N711" i="15"/>
  <c r="O711" i="15"/>
  <c r="P711" i="15"/>
  <c r="Q711" i="15"/>
  <c r="X711" i="15"/>
  <c r="C712" i="15"/>
  <c r="D712" i="15"/>
  <c r="E712" i="15"/>
  <c r="F712" i="15"/>
  <c r="G712" i="15"/>
  <c r="H712" i="15"/>
  <c r="I712" i="15"/>
  <c r="J712" i="15"/>
  <c r="K712" i="15"/>
  <c r="L712" i="15"/>
  <c r="M712" i="15"/>
  <c r="N712" i="15"/>
  <c r="O712" i="15"/>
  <c r="P712" i="15"/>
  <c r="Q712" i="15"/>
  <c r="X712" i="15"/>
  <c r="C713" i="15"/>
  <c r="D713" i="15"/>
  <c r="E713" i="15"/>
  <c r="F713" i="15"/>
  <c r="G713" i="15"/>
  <c r="H713" i="15"/>
  <c r="I713" i="15"/>
  <c r="J713" i="15"/>
  <c r="K713" i="15"/>
  <c r="L713" i="15"/>
  <c r="M713" i="15"/>
  <c r="N713" i="15"/>
  <c r="O713" i="15"/>
  <c r="P713" i="15"/>
  <c r="Q713" i="15"/>
  <c r="X713" i="15"/>
  <c r="C714" i="15"/>
  <c r="D714" i="15"/>
  <c r="E714" i="15"/>
  <c r="F714" i="15"/>
  <c r="G714" i="15"/>
  <c r="H714" i="15"/>
  <c r="I714" i="15"/>
  <c r="J714" i="15"/>
  <c r="K714" i="15"/>
  <c r="L714" i="15"/>
  <c r="M714" i="15"/>
  <c r="N714" i="15"/>
  <c r="O714" i="15"/>
  <c r="P714" i="15"/>
  <c r="Q714" i="15"/>
  <c r="X714" i="15"/>
  <c r="C715" i="15"/>
  <c r="D715" i="15"/>
  <c r="E715" i="15"/>
  <c r="F715" i="15"/>
  <c r="G715" i="15"/>
  <c r="H715" i="15"/>
  <c r="I715" i="15"/>
  <c r="J715" i="15"/>
  <c r="K715" i="15"/>
  <c r="L715" i="15"/>
  <c r="M715" i="15"/>
  <c r="N715" i="15"/>
  <c r="O715" i="15"/>
  <c r="P715" i="15"/>
  <c r="Q715" i="15"/>
  <c r="X715" i="15"/>
  <c r="C716" i="15"/>
  <c r="D716" i="15"/>
  <c r="E716" i="15"/>
  <c r="F716" i="15"/>
  <c r="G716" i="15"/>
  <c r="H716" i="15"/>
  <c r="I716" i="15"/>
  <c r="J716" i="15"/>
  <c r="K716" i="15"/>
  <c r="L716" i="15"/>
  <c r="M716" i="15"/>
  <c r="N716" i="15"/>
  <c r="O716" i="15"/>
  <c r="P716" i="15"/>
  <c r="Q716" i="15"/>
  <c r="X716" i="15"/>
  <c r="C717" i="15"/>
  <c r="D717" i="15"/>
  <c r="E717" i="15"/>
  <c r="F717" i="15"/>
  <c r="G717" i="15"/>
  <c r="H717" i="15"/>
  <c r="I717" i="15"/>
  <c r="J717" i="15"/>
  <c r="K717" i="15"/>
  <c r="L717" i="15"/>
  <c r="M717" i="15"/>
  <c r="N717" i="15"/>
  <c r="O717" i="15"/>
  <c r="P717" i="15"/>
  <c r="Q717" i="15"/>
  <c r="X717" i="15"/>
  <c r="C718" i="15"/>
  <c r="D718" i="15"/>
  <c r="E718" i="15"/>
  <c r="F718" i="15"/>
  <c r="G718" i="15"/>
  <c r="H718" i="15"/>
  <c r="I718" i="15"/>
  <c r="J718" i="15"/>
  <c r="K718" i="15"/>
  <c r="L718" i="15"/>
  <c r="M718" i="15"/>
  <c r="N718" i="15"/>
  <c r="O718" i="15"/>
  <c r="P718" i="15"/>
  <c r="Q718" i="15"/>
  <c r="X718" i="15"/>
  <c r="C719" i="15"/>
  <c r="D719" i="15"/>
  <c r="E719" i="15"/>
  <c r="F719" i="15"/>
  <c r="G719" i="15"/>
  <c r="H719" i="15"/>
  <c r="I719" i="15"/>
  <c r="J719" i="15"/>
  <c r="K719" i="15"/>
  <c r="L719" i="15"/>
  <c r="M719" i="15"/>
  <c r="N719" i="15"/>
  <c r="O719" i="15"/>
  <c r="P719" i="15"/>
  <c r="Q719" i="15"/>
  <c r="X719" i="15"/>
  <c r="C720" i="15"/>
  <c r="D720" i="15"/>
  <c r="E720" i="15"/>
  <c r="F720" i="15"/>
  <c r="G720" i="15"/>
  <c r="H720" i="15"/>
  <c r="I720" i="15"/>
  <c r="J720" i="15"/>
  <c r="K720" i="15"/>
  <c r="L720" i="15"/>
  <c r="M720" i="15"/>
  <c r="N720" i="15"/>
  <c r="O720" i="15"/>
  <c r="P720" i="15"/>
  <c r="Q720" i="15"/>
  <c r="X720" i="15"/>
  <c r="C721" i="15"/>
  <c r="D721" i="15"/>
  <c r="E721" i="15"/>
  <c r="F721" i="15"/>
  <c r="G721" i="15"/>
  <c r="H721" i="15"/>
  <c r="I721" i="15"/>
  <c r="J721" i="15"/>
  <c r="K721" i="15"/>
  <c r="L721" i="15"/>
  <c r="M721" i="15"/>
  <c r="N721" i="15"/>
  <c r="O721" i="15"/>
  <c r="P721" i="15"/>
  <c r="Q721" i="15"/>
  <c r="X721" i="15"/>
  <c r="C722" i="15"/>
  <c r="D722" i="15"/>
  <c r="E722" i="15"/>
  <c r="F722" i="15"/>
  <c r="G722" i="15"/>
  <c r="H722" i="15"/>
  <c r="I722" i="15"/>
  <c r="J722" i="15"/>
  <c r="K722" i="15"/>
  <c r="L722" i="15"/>
  <c r="M722" i="15"/>
  <c r="N722" i="15"/>
  <c r="O722" i="15"/>
  <c r="P722" i="15"/>
  <c r="Q722" i="15"/>
  <c r="X722" i="15"/>
  <c r="C723" i="15"/>
  <c r="D723" i="15"/>
  <c r="E723" i="15"/>
  <c r="F723" i="15"/>
  <c r="G723" i="15"/>
  <c r="H723" i="15"/>
  <c r="I723" i="15"/>
  <c r="J723" i="15"/>
  <c r="K723" i="15"/>
  <c r="L723" i="15"/>
  <c r="M723" i="15"/>
  <c r="N723" i="15"/>
  <c r="O723" i="15"/>
  <c r="P723" i="15"/>
  <c r="Q723" i="15"/>
  <c r="X723" i="15"/>
  <c r="C724" i="15"/>
  <c r="D724" i="15"/>
  <c r="E724" i="15"/>
  <c r="F724" i="15"/>
  <c r="G724" i="15"/>
  <c r="H724" i="15"/>
  <c r="I724" i="15"/>
  <c r="J724" i="15"/>
  <c r="K724" i="15"/>
  <c r="L724" i="15"/>
  <c r="M724" i="15"/>
  <c r="N724" i="15"/>
  <c r="O724" i="15"/>
  <c r="P724" i="15"/>
  <c r="Q724" i="15"/>
  <c r="X724" i="15"/>
  <c r="C725" i="15"/>
  <c r="D725" i="15"/>
  <c r="E725" i="15"/>
  <c r="F725" i="15"/>
  <c r="G725" i="15"/>
  <c r="H725" i="15"/>
  <c r="I725" i="15"/>
  <c r="J725" i="15"/>
  <c r="K725" i="15"/>
  <c r="L725" i="15"/>
  <c r="M725" i="15"/>
  <c r="N725" i="15"/>
  <c r="O725" i="15"/>
  <c r="P725" i="15"/>
  <c r="Q725" i="15"/>
  <c r="X725" i="15"/>
  <c r="C726" i="15"/>
  <c r="D726" i="15"/>
  <c r="E726" i="15"/>
  <c r="F726" i="15"/>
  <c r="G726" i="15"/>
  <c r="H726" i="15"/>
  <c r="I726" i="15"/>
  <c r="J726" i="15"/>
  <c r="K726" i="15"/>
  <c r="L726" i="15"/>
  <c r="M726" i="15"/>
  <c r="N726" i="15"/>
  <c r="O726" i="15"/>
  <c r="P726" i="15"/>
  <c r="Q726" i="15"/>
  <c r="X726" i="15"/>
  <c r="C727" i="15"/>
  <c r="D727" i="15"/>
  <c r="E727" i="15"/>
  <c r="F727" i="15"/>
  <c r="G727" i="15"/>
  <c r="M727" i="15"/>
  <c r="N727" i="15"/>
  <c r="O727" i="15"/>
  <c r="P727" i="15"/>
  <c r="Q727" i="15"/>
  <c r="X727" i="15"/>
  <c r="C728" i="15"/>
  <c r="D728" i="15"/>
  <c r="E728" i="15"/>
  <c r="F728" i="15"/>
  <c r="G728" i="15"/>
  <c r="M728" i="15"/>
  <c r="N728" i="15"/>
  <c r="O728" i="15"/>
  <c r="P728" i="15"/>
  <c r="Q728" i="15"/>
  <c r="X728" i="15"/>
  <c r="G729" i="15"/>
  <c r="I729" i="15"/>
  <c r="L729" i="15"/>
  <c r="N729" i="15"/>
  <c r="Q729" i="15"/>
  <c r="G730" i="15"/>
  <c r="I730" i="15"/>
  <c r="L730" i="15"/>
  <c r="N730" i="15"/>
  <c r="Q730" i="15"/>
  <c r="C731" i="15"/>
  <c r="D731" i="15"/>
  <c r="E731" i="15"/>
  <c r="F731" i="15"/>
  <c r="G731" i="15"/>
  <c r="H731" i="15"/>
  <c r="I731" i="15"/>
  <c r="J731" i="15"/>
  <c r="K731" i="15"/>
  <c r="L731" i="15"/>
  <c r="M731" i="15"/>
  <c r="N731" i="15"/>
  <c r="O731" i="15"/>
  <c r="P731" i="15"/>
  <c r="Q731" i="15"/>
  <c r="X731" i="15"/>
  <c r="C732" i="15"/>
  <c r="D732" i="15"/>
  <c r="E732" i="15"/>
  <c r="F732" i="15"/>
  <c r="G732" i="15"/>
  <c r="H732" i="15"/>
  <c r="I732" i="15"/>
  <c r="J732" i="15"/>
  <c r="K732" i="15"/>
  <c r="L732" i="15"/>
  <c r="M732" i="15"/>
  <c r="N732" i="15"/>
  <c r="O732" i="15"/>
  <c r="P732" i="15"/>
  <c r="Q732" i="15"/>
  <c r="X732" i="15"/>
  <c r="C733" i="15"/>
  <c r="D733" i="15"/>
  <c r="E733" i="15"/>
  <c r="F733" i="15"/>
  <c r="G733" i="15"/>
  <c r="H733" i="15"/>
  <c r="I733" i="15"/>
  <c r="J733" i="15"/>
  <c r="K733" i="15"/>
  <c r="L733" i="15"/>
  <c r="M733" i="15"/>
  <c r="N733" i="15"/>
  <c r="O733" i="15"/>
  <c r="P733" i="15"/>
  <c r="Q733" i="15"/>
  <c r="X733" i="15"/>
  <c r="C734" i="15"/>
  <c r="D734" i="15"/>
  <c r="E734" i="15"/>
  <c r="F734" i="15"/>
  <c r="G734" i="15"/>
  <c r="H734" i="15"/>
  <c r="I734" i="15"/>
  <c r="J734" i="15"/>
  <c r="K734" i="15"/>
  <c r="L734" i="15"/>
  <c r="M734" i="15"/>
  <c r="N734" i="15"/>
  <c r="O734" i="15"/>
  <c r="P734" i="15"/>
  <c r="Q734" i="15"/>
  <c r="X734" i="15"/>
  <c r="C735" i="15"/>
  <c r="D735" i="15"/>
  <c r="E735" i="15"/>
  <c r="F735" i="15"/>
  <c r="G735" i="15"/>
  <c r="H735" i="15"/>
  <c r="I735" i="15"/>
  <c r="J735" i="15"/>
  <c r="K735" i="15"/>
  <c r="L735" i="15"/>
  <c r="M735" i="15"/>
  <c r="N735" i="15"/>
  <c r="O735" i="15"/>
  <c r="P735" i="15"/>
  <c r="Q735" i="15"/>
  <c r="X735" i="15"/>
  <c r="C736" i="15"/>
  <c r="D736" i="15"/>
  <c r="E736" i="15"/>
  <c r="F736" i="15"/>
  <c r="G736" i="15"/>
  <c r="H736" i="15"/>
  <c r="I736" i="15"/>
  <c r="J736" i="15"/>
  <c r="K736" i="15"/>
  <c r="L736" i="15"/>
  <c r="M736" i="15"/>
  <c r="N736" i="15"/>
  <c r="O736" i="15"/>
  <c r="P736" i="15"/>
  <c r="Q736" i="15"/>
  <c r="X736" i="15"/>
  <c r="C737" i="15"/>
  <c r="D737" i="15"/>
  <c r="E737" i="15"/>
  <c r="F737" i="15"/>
  <c r="G737" i="15"/>
  <c r="H737" i="15"/>
  <c r="I737" i="15"/>
  <c r="J737" i="15"/>
  <c r="K737" i="15"/>
  <c r="L737" i="15"/>
  <c r="M737" i="15"/>
  <c r="N737" i="15"/>
  <c r="O737" i="15"/>
  <c r="P737" i="15"/>
  <c r="Q737" i="15"/>
  <c r="X737" i="15"/>
  <c r="C738" i="15"/>
  <c r="D738" i="15"/>
  <c r="E738" i="15"/>
  <c r="F738" i="15"/>
  <c r="G738" i="15"/>
  <c r="H738" i="15"/>
  <c r="I738" i="15"/>
  <c r="J738" i="15"/>
  <c r="K738" i="15"/>
  <c r="L738" i="15"/>
  <c r="M738" i="15"/>
  <c r="N738" i="15"/>
  <c r="O738" i="15"/>
  <c r="P738" i="15"/>
  <c r="Q738" i="15"/>
  <c r="X738" i="15"/>
  <c r="C739" i="15"/>
  <c r="D739" i="15"/>
  <c r="E739" i="15"/>
  <c r="F739" i="15"/>
  <c r="G739" i="15"/>
  <c r="H739" i="15"/>
  <c r="I739" i="15"/>
  <c r="J739" i="15"/>
  <c r="K739" i="15"/>
  <c r="L739" i="15"/>
  <c r="M739" i="15"/>
  <c r="N739" i="15"/>
  <c r="O739" i="15"/>
  <c r="P739" i="15"/>
  <c r="Q739" i="15"/>
  <c r="X739" i="15"/>
  <c r="C740" i="15"/>
  <c r="D740" i="15"/>
  <c r="E740" i="15"/>
  <c r="F740" i="15"/>
  <c r="G740" i="15"/>
  <c r="H740" i="15"/>
  <c r="I740" i="15"/>
  <c r="J740" i="15"/>
  <c r="K740" i="15"/>
  <c r="L740" i="15"/>
  <c r="M740" i="15"/>
  <c r="N740" i="15"/>
  <c r="O740" i="15"/>
  <c r="P740" i="15"/>
  <c r="Q740" i="15"/>
  <c r="X740" i="15"/>
  <c r="C741" i="15"/>
  <c r="D741" i="15"/>
  <c r="E741" i="15"/>
  <c r="F741" i="15"/>
  <c r="G741" i="15"/>
  <c r="H741" i="15"/>
  <c r="I741" i="15"/>
  <c r="J741" i="15"/>
  <c r="K741" i="15"/>
  <c r="L741" i="15"/>
  <c r="M741" i="15"/>
  <c r="N741" i="15"/>
  <c r="O741" i="15"/>
  <c r="P741" i="15"/>
  <c r="Q741" i="15"/>
  <c r="X741" i="15"/>
  <c r="C742" i="15"/>
  <c r="D742" i="15"/>
  <c r="E742" i="15"/>
  <c r="F742" i="15"/>
  <c r="G742" i="15"/>
  <c r="H742" i="15"/>
  <c r="I742" i="15"/>
  <c r="J742" i="15"/>
  <c r="K742" i="15"/>
  <c r="L742" i="15"/>
  <c r="M742" i="15"/>
  <c r="N742" i="15"/>
  <c r="O742" i="15"/>
  <c r="P742" i="15"/>
  <c r="Q742" i="15"/>
  <c r="X742" i="15"/>
  <c r="C743" i="15"/>
  <c r="D743" i="15"/>
  <c r="E743" i="15"/>
  <c r="F743" i="15"/>
  <c r="G743" i="15"/>
  <c r="H743" i="15"/>
  <c r="I743" i="15"/>
  <c r="J743" i="15"/>
  <c r="K743" i="15"/>
  <c r="L743" i="15"/>
  <c r="M743" i="15"/>
  <c r="N743" i="15"/>
  <c r="O743" i="15"/>
  <c r="P743" i="15"/>
  <c r="Q743" i="15"/>
  <c r="X743" i="15"/>
  <c r="C744" i="15"/>
  <c r="D744" i="15"/>
  <c r="E744" i="15"/>
  <c r="F744" i="15"/>
  <c r="G744" i="15"/>
  <c r="H744" i="15"/>
  <c r="I744" i="15"/>
  <c r="J744" i="15"/>
  <c r="K744" i="15"/>
  <c r="L744" i="15"/>
  <c r="M744" i="15"/>
  <c r="N744" i="15"/>
  <c r="O744" i="15"/>
  <c r="P744" i="15"/>
  <c r="Q744" i="15"/>
  <c r="X744" i="15"/>
  <c r="C745" i="15"/>
  <c r="D745" i="15"/>
  <c r="E745" i="15"/>
  <c r="F745" i="15"/>
  <c r="G745" i="15"/>
  <c r="H745" i="15"/>
  <c r="I745" i="15"/>
  <c r="J745" i="15"/>
  <c r="K745" i="15"/>
  <c r="L745" i="15"/>
  <c r="M745" i="15"/>
  <c r="N745" i="15"/>
  <c r="O745" i="15"/>
  <c r="P745" i="15"/>
  <c r="Q745" i="15"/>
  <c r="X745" i="15"/>
  <c r="C746" i="15"/>
  <c r="D746" i="15"/>
  <c r="E746" i="15"/>
  <c r="F746" i="15"/>
  <c r="G746" i="15"/>
  <c r="H746" i="15"/>
  <c r="I746" i="15"/>
  <c r="J746" i="15"/>
  <c r="K746" i="15"/>
  <c r="L746" i="15"/>
  <c r="M746" i="15"/>
  <c r="N746" i="15"/>
  <c r="O746" i="15"/>
  <c r="P746" i="15"/>
  <c r="Q746" i="15"/>
  <c r="X746" i="15"/>
  <c r="C747" i="15"/>
  <c r="D747" i="15"/>
  <c r="E747" i="15"/>
  <c r="F747" i="15"/>
  <c r="G747" i="15"/>
  <c r="H747" i="15"/>
  <c r="I747" i="15"/>
  <c r="J747" i="15"/>
  <c r="K747" i="15"/>
  <c r="L747" i="15"/>
  <c r="M747" i="15"/>
  <c r="N747" i="15"/>
  <c r="O747" i="15"/>
  <c r="P747" i="15"/>
  <c r="Q747" i="15"/>
  <c r="X747" i="15"/>
  <c r="C748" i="15"/>
  <c r="D748" i="15"/>
  <c r="E748" i="15"/>
  <c r="F748" i="15"/>
  <c r="G748" i="15"/>
  <c r="H748" i="15"/>
  <c r="I748" i="15"/>
  <c r="J748" i="15"/>
  <c r="K748" i="15"/>
  <c r="L748" i="15"/>
  <c r="M748" i="15"/>
  <c r="N748" i="15"/>
  <c r="O748" i="15"/>
  <c r="P748" i="15"/>
  <c r="Q748" i="15"/>
  <c r="X748" i="15"/>
  <c r="G749" i="15"/>
  <c r="I749" i="15"/>
  <c r="L749" i="15"/>
  <c r="N749" i="15"/>
  <c r="Q749" i="15"/>
  <c r="G750" i="15"/>
  <c r="I750" i="15"/>
  <c r="L750" i="15"/>
  <c r="N750" i="15"/>
  <c r="Q750" i="15"/>
  <c r="C751" i="15"/>
  <c r="D751" i="15"/>
  <c r="E751" i="15"/>
  <c r="F751" i="15"/>
  <c r="G751" i="15"/>
  <c r="H751" i="15"/>
  <c r="I751" i="15"/>
  <c r="J751" i="15"/>
  <c r="K751" i="15"/>
  <c r="L751" i="15"/>
  <c r="M751" i="15"/>
  <c r="N751" i="15"/>
  <c r="O751" i="15"/>
  <c r="P751" i="15"/>
  <c r="Q751" i="15"/>
  <c r="X751" i="15"/>
  <c r="C752" i="15"/>
  <c r="D752" i="15"/>
  <c r="E752" i="15"/>
  <c r="F752" i="15"/>
  <c r="G752" i="15"/>
  <c r="H752" i="15"/>
  <c r="I752" i="15"/>
  <c r="J752" i="15"/>
  <c r="K752" i="15"/>
  <c r="L752" i="15"/>
  <c r="M752" i="15"/>
  <c r="N752" i="15"/>
  <c r="O752" i="15"/>
  <c r="P752" i="15"/>
  <c r="Q752" i="15"/>
  <c r="X752" i="15"/>
  <c r="C753" i="15"/>
  <c r="D753" i="15"/>
  <c r="E753" i="15"/>
  <c r="F753" i="15"/>
  <c r="G753" i="15"/>
  <c r="H753" i="15"/>
  <c r="I753" i="15"/>
  <c r="J753" i="15"/>
  <c r="K753" i="15"/>
  <c r="L753" i="15"/>
  <c r="M753" i="15"/>
  <c r="N753" i="15"/>
  <c r="O753" i="15"/>
  <c r="P753" i="15"/>
  <c r="Q753" i="15"/>
  <c r="X753" i="15"/>
  <c r="C754" i="15"/>
  <c r="D754" i="15"/>
  <c r="E754" i="15"/>
  <c r="F754" i="15"/>
  <c r="G754" i="15"/>
  <c r="H754" i="15"/>
  <c r="I754" i="15"/>
  <c r="J754" i="15"/>
  <c r="K754" i="15"/>
  <c r="L754" i="15"/>
  <c r="M754" i="15"/>
  <c r="N754" i="15"/>
  <c r="O754" i="15"/>
  <c r="P754" i="15"/>
  <c r="Q754" i="15"/>
  <c r="X754" i="15"/>
  <c r="C755" i="15"/>
  <c r="D755" i="15"/>
  <c r="E755" i="15"/>
  <c r="F755" i="15"/>
  <c r="G755" i="15"/>
  <c r="H755" i="15"/>
  <c r="I755" i="15"/>
  <c r="J755" i="15"/>
  <c r="K755" i="15"/>
  <c r="L755" i="15"/>
  <c r="M755" i="15"/>
  <c r="N755" i="15"/>
  <c r="O755" i="15"/>
  <c r="P755" i="15"/>
  <c r="Q755" i="15"/>
  <c r="X755" i="15"/>
  <c r="C756" i="15"/>
  <c r="D756" i="15"/>
  <c r="E756" i="15"/>
  <c r="F756" i="15"/>
  <c r="G756" i="15"/>
  <c r="H756" i="15"/>
  <c r="I756" i="15"/>
  <c r="J756" i="15"/>
  <c r="K756" i="15"/>
  <c r="L756" i="15"/>
  <c r="M756" i="15"/>
  <c r="N756" i="15"/>
  <c r="O756" i="15"/>
  <c r="P756" i="15"/>
  <c r="Q756" i="15"/>
  <c r="X756" i="15"/>
  <c r="C757" i="15"/>
  <c r="D757" i="15"/>
  <c r="E757" i="15"/>
  <c r="F757" i="15"/>
  <c r="G757" i="15"/>
  <c r="H757" i="15"/>
  <c r="I757" i="15"/>
  <c r="J757" i="15"/>
  <c r="K757" i="15"/>
  <c r="L757" i="15"/>
  <c r="M757" i="15"/>
  <c r="N757" i="15"/>
  <c r="O757" i="15"/>
  <c r="P757" i="15"/>
  <c r="Q757" i="15"/>
  <c r="X757" i="15"/>
  <c r="C758" i="15"/>
  <c r="D758" i="15"/>
  <c r="E758" i="15"/>
  <c r="F758" i="15"/>
  <c r="G758" i="15"/>
  <c r="H758" i="15"/>
  <c r="I758" i="15"/>
  <c r="J758" i="15"/>
  <c r="K758" i="15"/>
  <c r="L758" i="15"/>
  <c r="M758" i="15"/>
  <c r="N758" i="15"/>
  <c r="O758" i="15"/>
  <c r="P758" i="15"/>
  <c r="Q758" i="15"/>
  <c r="X758" i="15"/>
  <c r="C759" i="15"/>
  <c r="D759" i="15"/>
  <c r="E759" i="15"/>
  <c r="F759" i="15"/>
  <c r="G759" i="15"/>
  <c r="H759" i="15"/>
  <c r="I759" i="15"/>
  <c r="J759" i="15"/>
  <c r="K759" i="15"/>
  <c r="L759" i="15"/>
  <c r="M759" i="15"/>
  <c r="N759" i="15"/>
  <c r="O759" i="15"/>
  <c r="P759" i="15"/>
  <c r="Q759" i="15"/>
  <c r="X759" i="15"/>
  <c r="C760" i="15"/>
  <c r="D760" i="15"/>
  <c r="E760" i="15"/>
  <c r="F760" i="15"/>
  <c r="G760" i="15"/>
  <c r="H760" i="15"/>
  <c r="I760" i="15"/>
  <c r="J760" i="15"/>
  <c r="K760" i="15"/>
  <c r="L760" i="15"/>
  <c r="M760" i="15"/>
  <c r="N760" i="15"/>
  <c r="O760" i="15"/>
  <c r="P760" i="15"/>
  <c r="Q760" i="15"/>
  <c r="X760" i="15"/>
  <c r="C761" i="15"/>
  <c r="D761" i="15"/>
  <c r="E761" i="15"/>
  <c r="F761" i="15"/>
  <c r="G761" i="15"/>
  <c r="H761" i="15"/>
  <c r="I761" i="15"/>
  <c r="J761" i="15"/>
  <c r="K761" i="15"/>
  <c r="L761" i="15"/>
  <c r="M761" i="15"/>
  <c r="N761" i="15"/>
  <c r="O761" i="15"/>
  <c r="P761" i="15"/>
  <c r="Q761" i="15"/>
  <c r="X761" i="15"/>
  <c r="C762" i="15"/>
  <c r="D762" i="15"/>
  <c r="E762" i="15"/>
  <c r="F762" i="15"/>
  <c r="G762" i="15"/>
  <c r="H762" i="15"/>
  <c r="I762" i="15"/>
  <c r="J762" i="15"/>
  <c r="K762" i="15"/>
  <c r="L762" i="15"/>
  <c r="M762" i="15"/>
  <c r="N762" i="15"/>
  <c r="O762" i="15"/>
  <c r="P762" i="15"/>
  <c r="Q762" i="15"/>
  <c r="X762" i="15"/>
  <c r="C763" i="15"/>
  <c r="D763" i="15"/>
  <c r="E763" i="15"/>
  <c r="F763" i="15"/>
  <c r="G763" i="15"/>
  <c r="H763" i="15"/>
  <c r="I763" i="15"/>
  <c r="J763" i="15"/>
  <c r="K763" i="15"/>
  <c r="L763" i="15"/>
  <c r="M763" i="15"/>
  <c r="N763" i="15"/>
  <c r="O763" i="15"/>
  <c r="P763" i="15"/>
  <c r="Q763" i="15"/>
  <c r="X763" i="15"/>
  <c r="C764" i="15"/>
  <c r="D764" i="15"/>
  <c r="E764" i="15"/>
  <c r="F764" i="15"/>
  <c r="G764" i="15"/>
  <c r="H764" i="15"/>
  <c r="I764" i="15"/>
  <c r="J764" i="15"/>
  <c r="K764" i="15"/>
  <c r="L764" i="15"/>
  <c r="M764" i="15"/>
  <c r="N764" i="15"/>
  <c r="O764" i="15"/>
  <c r="P764" i="15"/>
  <c r="Q764" i="15"/>
  <c r="X764" i="15"/>
  <c r="C765" i="15"/>
  <c r="D765" i="15"/>
  <c r="E765" i="15"/>
  <c r="F765" i="15"/>
  <c r="G765" i="15"/>
  <c r="H765" i="15"/>
  <c r="I765" i="15"/>
  <c r="J765" i="15"/>
  <c r="K765" i="15"/>
  <c r="L765" i="15"/>
  <c r="M765" i="15"/>
  <c r="N765" i="15"/>
  <c r="O765" i="15"/>
  <c r="P765" i="15"/>
  <c r="Q765" i="15"/>
  <c r="X765" i="15"/>
  <c r="C766" i="15"/>
  <c r="D766" i="15"/>
  <c r="E766" i="15"/>
  <c r="F766" i="15"/>
  <c r="G766" i="15"/>
  <c r="H766" i="15"/>
  <c r="I766" i="15"/>
  <c r="J766" i="15"/>
  <c r="K766" i="15"/>
  <c r="L766" i="15"/>
  <c r="M766" i="15"/>
  <c r="N766" i="15"/>
  <c r="O766" i="15"/>
  <c r="P766" i="15"/>
  <c r="Q766" i="15"/>
  <c r="X766" i="15"/>
  <c r="C767" i="15"/>
  <c r="D767" i="15"/>
  <c r="E767" i="15"/>
  <c r="F767" i="15"/>
  <c r="G767" i="15"/>
  <c r="H767" i="15"/>
  <c r="I767" i="15"/>
  <c r="J767" i="15"/>
  <c r="K767" i="15"/>
  <c r="L767" i="15"/>
  <c r="M767" i="15"/>
  <c r="N767" i="15"/>
  <c r="O767" i="15"/>
  <c r="P767" i="15"/>
  <c r="Q767" i="15"/>
  <c r="X767" i="15"/>
  <c r="C768" i="15"/>
  <c r="D768" i="15"/>
  <c r="E768" i="15"/>
  <c r="F768" i="15"/>
  <c r="G768" i="15"/>
  <c r="H768" i="15"/>
  <c r="I768" i="15"/>
  <c r="J768" i="15"/>
  <c r="K768" i="15"/>
  <c r="L768" i="15"/>
  <c r="M768" i="15"/>
  <c r="N768" i="15"/>
  <c r="O768" i="15"/>
  <c r="P768" i="15"/>
  <c r="Q768" i="15"/>
  <c r="X768" i="15"/>
  <c r="C769" i="15"/>
  <c r="D769" i="15"/>
  <c r="E769" i="15"/>
  <c r="F769" i="15"/>
  <c r="G769" i="15"/>
  <c r="H769" i="15"/>
  <c r="I769" i="15"/>
  <c r="J769" i="15"/>
  <c r="K769" i="15"/>
  <c r="L769" i="15"/>
  <c r="M769" i="15"/>
  <c r="N769" i="15"/>
  <c r="O769" i="15"/>
  <c r="P769" i="15"/>
  <c r="Q769" i="15"/>
  <c r="X769" i="15"/>
  <c r="C770" i="15"/>
  <c r="D770" i="15"/>
  <c r="E770" i="15"/>
  <c r="F770" i="15"/>
  <c r="G770" i="15"/>
  <c r="H770" i="15"/>
  <c r="I770" i="15"/>
  <c r="J770" i="15"/>
  <c r="K770" i="15"/>
  <c r="L770" i="15"/>
  <c r="M770" i="15"/>
  <c r="N770" i="15"/>
  <c r="O770" i="15"/>
  <c r="P770" i="15"/>
  <c r="Q770" i="15"/>
  <c r="X770" i="15"/>
  <c r="C771" i="15"/>
  <c r="D771" i="15"/>
  <c r="E771" i="15"/>
  <c r="F771" i="15"/>
  <c r="G771" i="15"/>
  <c r="H771" i="15"/>
  <c r="I771" i="15"/>
  <c r="J771" i="15"/>
  <c r="K771" i="15"/>
  <c r="L771" i="15"/>
  <c r="M771" i="15"/>
  <c r="N771" i="15"/>
  <c r="O771" i="15"/>
  <c r="P771" i="15"/>
  <c r="Q771" i="15"/>
  <c r="X771" i="15"/>
  <c r="C772" i="15"/>
  <c r="D772" i="15"/>
  <c r="E772" i="15"/>
  <c r="F772" i="15"/>
  <c r="G772" i="15"/>
  <c r="H772" i="15"/>
  <c r="I772" i="15"/>
  <c r="J772" i="15"/>
  <c r="K772" i="15"/>
  <c r="L772" i="15"/>
  <c r="M772" i="15"/>
  <c r="N772" i="15"/>
  <c r="O772" i="15"/>
  <c r="P772" i="15"/>
  <c r="Q772" i="15"/>
  <c r="X772" i="15"/>
  <c r="C773" i="15"/>
  <c r="D773" i="15"/>
  <c r="E773" i="15"/>
  <c r="F773" i="15"/>
  <c r="G773" i="15"/>
  <c r="H773" i="15"/>
  <c r="I773" i="15"/>
  <c r="J773" i="15"/>
  <c r="K773" i="15"/>
  <c r="L773" i="15"/>
  <c r="M773" i="15"/>
  <c r="N773" i="15"/>
  <c r="O773" i="15"/>
  <c r="P773" i="15"/>
  <c r="Q773" i="15"/>
  <c r="X773" i="15"/>
  <c r="C774" i="15"/>
  <c r="D774" i="15"/>
  <c r="E774" i="15"/>
  <c r="F774" i="15"/>
  <c r="G774" i="15"/>
  <c r="H774" i="15"/>
  <c r="I774" i="15"/>
  <c r="J774" i="15"/>
  <c r="K774" i="15"/>
  <c r="L774" i="15"/>
  <c r="M774" i="15"/>
  <c r="N774" i="15"/>
  <c r="O774" i="15"/>
  <c r="P774" i="15"/>
  <c r="Q774" i="15"/>
  <c r="X774" i="15"/>
  <c r="C775" i="15"/>
  <c r="D775" i="15"/>
  <c r="E775" i="15"/>
  <c r="F775" i="15"/>
  <c r="G775" i="15"/>
  <c r="H775" i="15"/>
  <c r="I775" i="15"/>
  <c r="J775" i="15"/>
  <c r="K775" i="15"/>
  <c r="L775" i="15"/>
  <c r="M775" i="15"/>
  <c r="N775" i="15"/>
  <c r="O775" i="15"/>
  <c r="P775" i="15"/>
  <c r="Q775" i="15"/>
  <c r="X775" i="15"/>
  <c r="C776" i="15"/>
  <c r="D776" i="15"/>
  <c r="E776" i="15"/>
  <c r="F776" i="15"/>
  <c r="G776" i="15"/>
  <c r="H776" i="15"/>
  <c r="I776" i="15"/>
  <c r="J776" i="15"/>
  <c r="K776" i="15"/>
  <c r="L776" i="15"/>
  <c r="M776" i="15"/>
  <c r="N776" i="15"/>
  <c r="O776" i="15"/>
  <c r="P776" i="15"/>
  <c r="Q776" i="15"/>
  <c r="X776" i="15"/>
  <c r="C777" i="15"/>
  <c r="D777" i="15"/>
  <c r="E777" i="15"/>
  <c r="F777" i="15"/>
  <c r="G777" i="15"/>
  <c r="H777" i="15"/>
  <c r="I777" i="15"/>
  <c r="J777" i="15"/>
  <c r="K777" i="15"/>
  <c r="L777" i="15"/>
  <c r="M777" i="15"/>
  <c r="N777" i="15"/>
  <c r="O777" i="15"/>
  <c r="P777" i="15"/>
  <c r="Q777" i="15"/>
  <c r="X777" i="15"/>
  <c r="C778" i="15"/>
  <c r="D778" i="15"/>
  <c r="E778" i="15"/>
  <c r="F778" i="15"/>
  <c r="G778" i="15"/>
  <c r="H778" i="15"/>
  <c r="I778" i="15"/>
  <c r="J778" i="15"/>
  <c r="K778" i="15"/>
  <c r="L778" i="15"/>
  <c r="M778" i="15"/>
  <c r="N778" i="15"/>
  <c r="O778" i="15"/>
  <c r="P778" i="15"/>
  <c r="Q778" i="15"/>
  <c r="X778" i="15"/>
  <c r="C779" i="15"/>
  <c r="D779" i="15"/>
  <c r="E779" i="15"/>
  <c r="F779" i="15"/>
  <c r="G779" i="15"/>
  <c r="H779" i="15"/>
  <c r="I779" i="15"/>
  <c r="J779" i="15"/>
  <c r="K779" i="15"/>
  <c r="L779" i="15"/>
  <c r="M779" i="15"/>
  <c r="N779" i="15"/>
  <c r="O779" i="15"/>
  <c r="P779" i="15"/>
  <c r="Q779" i="15"/>
  <c r="X779" i="15"/>
  <c r="C780" i="15"/>
  <c r="D780" i="15"/>
  <c r="E780" i="15"/>
  <c r="F780" i="15"/>
  <c r="G780" i="15"/>
  <c r="H780" i="15"/>
  <c r="I780" i="15"/>
  <c r="J780" i="15"/>
  <c r="K780" i="15"/>
  <c r="L780" i="15"/>
  <c r="M780" i="15"/>
  <c r="N780" i="15"/>
  <c r="O780" i="15"/>
  <c r="P780" i="15"/>
  <c r="Q780" i="15"/>
  <c r="X780" i="15"/>
  <c r="C781" i="15"/>
  <c r="D781" i="15"/>
  <c r="E781" i="15"/>
  <c r="F781" i="15"/>
  <c r="G781" i="15"/>
  <c r="H781" i="15"/>
  <c r="I781" i="15"/>
  <c r="J781" i="15"/>
  <c r="K781" i="15"/>
  <c r="L781" i="15"/>
  <c r="M781" i="15"/>
  <c r="N781" i="15"/>
  <c r="O781" i="15"/>
  <c r="P781" i="15"/>
  <c r="Q781" i="15"/>
  <c r="X781" i="15"/>
  <c r="C782" i="15"/>
  <c r="D782" i="15"/>
  <c r="E782" i="15"/>
  <c r="F782" i="15"/>
  <c r="G782" i="15"/>
  <c r="H782" i="15"/>
  <c r="I782" i="15"/>
  <c r="J782" i="15"/>
  <c r="K782" i="15"/>
  <c r="L782" i="15"/>
  <c r="M782" i="15"/>
  <c r="N782" i="15"/>
  <c r="O782" i="15"/>
  <c r="P782" i="15"/>
  <c r="Q782" i="15"/>
  <c r="X782" i="15"/>
  <c r="C783" i="15"/>
  <c r="D783" i="15"/>
  <c r="E783" i="15"/>
  <c r="F783" i="15"/>
  <c r="G783" i="15"/>
  <c r="H783" i="15"/>
  <c r="I783" i="15"/>
  <c r="J783" i="15"/>
  <c r="K783" i="15"/>
  <c r="L783" i="15"/>
  <c r="M783" i="15"/>
  <c r="N783" i="15"/>
  <c r="O783" i="15"/>
  <c r="P783" i="15"/>
  <c r="Q783" i="15"/>
  <c r="X783" i="15"/>
  <c r="C784" i="15"/>
  <c r="D784" i="15"/>
  <c r="E784" i="15"/>
  <c r="F784" i="15"/>
  <c r="G784" i="15"/>
  <c r="H784" i="15"/>
  <c r="I784" i="15"/>
  <c r="J784" i="15"/>
  <c r="K784" i="15"/>
  <c r="L784" i="15"/>
  <c r="M784" i="15"/>
  <c r="N784" i="15"/>
  <c r="O784" i="15"/>
  <c r="P784" i="15"/>
  <c r="Q784" i="15"/>
  <c r="X784" i="15"/>
  <c r="C785" i="15"/>
  <c r="D785" i="15"/>
  <c r="E785" i="15"/>
  <c r="F785" i="15"/>
  <c r="G785" i="15"/>
  <c r="H785" i="15"/>
  <c r="I785" i="15"/>
  <c r="J785" i="15"/>
  <c r="K785" i="15"/>
  <c r="L785" i="15"/>
  <c r="M785" i="15"/>
  <c r="N785" i="15"/>
  <c r="O785" i="15"/>
  <c r="P785" i="15"/>
  <c r="Q785" i="15"/>
  <c r="X785" i="15"/>
  <c r="C786" i="15"/>
  <c r="D786" i="15"/>
  <c r="E786" i="15"/>
  <c r="F786" i="15"/>
  <c r="G786" i="15"/>
  <c r="H786" i="15"/>
  <c r="I786" i="15"/>
  <c r="J786" i="15"/>
  <c r="K786" i="15"/>
  <c r="L786" i="15"/>
  <c r="M786" i="15"/>
  <c r="N786" i="15"/>
  <c r="O786" i="15"/>
  <c r="P786" i="15"/>
  <c r="Q786" i="15"/>
  <c r="X786" i="15"/>
  <c r="C787" i="15"/>
  <c r="D787" i="15"/>
  <c r="E787" i="15"/>
  <c r="F787" i="15"/>
  <c r="G787" i="15"/>
  <c r="H787" i="15"/>
  <c r="I787" i="15"/>
  <c r="J787" i="15"/>
  <c r="K787" i="15"/>
  <c r="L787" i="15"/>
  <c r="M787" i="15"/>
  <c r="N787" i="15"/>
  <c r="O787" i="15"/>
  <c r="P787" i="15"/>
  <c r="Q787" i="15"/>
  <c r="X787" i="15"/>
  <c r="C788" i="15"/>
  <c r="D788" i="15"/>
  <c r="E788" i="15"/>
  <c r="F788" i="15"/>
  <c r="G788" i="15"/>
  <c r="H788" i="15"/>
  <c r="I788" i="15"/>
  <c r="J788" i="15"/>
  <c r="K788" i="15"/>
  <c r="L788" i="15"/>
  <c r="M788" i="15"/>
  <c r="N788" i="15"/>
  <c r="O788" i="15"/>
  <c r="P788" i="15"/>
  <c r="Q788" i="15"/>
  <c r="X788" i="15"/>
  <c r="C789" i="15"/>
  <c r="D789" i="15"/>
  <c r="E789" i="15"/>
  <c r="F789" i="15"/>
  <c r="G789" i="15"/>
  <c r="H789" i="15"/>
  <c r="I789" i="15"/>
  <c r="J789" i="15"/>
  <c r="K789" i="15"/>
  <c r="L789" i="15"/>
  <c r="M789" i="15"/>
  <c r="N789" i="15"/>
  <c r="O789" i="15"/>
  <c r="P789" i="15"/>
  <c r="Q789" i="15"/>
  <c r="X789" i="15"/>
  <c r="C790" i="15"/>
  <c r="D790" i="15"/>
  <c r="E790" i="15"/>
  <c r="F790" i="15"/>
  <c r="G790" i="15"/>
  <c r="H790" i="15"/>
  <c r="I790" i="15"/>
  <c r="J790" i="15"/>
  <c r="K790" i="15"/>
  <c r="L790" i="15"/>
  <c r="M790" i="15"/>
  <c r="N790" i="15"/>
  <c r="O790" i="15"/>
  <c r="P790" i="15"/>
  <c r="Q790" i="15"/>
  <c r="X790" i="15"/>
  <c r="C791" i="15"/>
  <c r="D791" i="15"/>
  <c r="E791" i="15"/>
  <c r="F791" i="15"/>
  <c r="G791" i="15"/>
  <c r="H791" i="15"/>
  <c r="I791" i="15"/>
  <c r="J791" i="15"/>
  <c r="K791" i="15"/>
  <c r="L791" i="15"/>
  <c r="M791" i="15"/>
  <c r="N791" i="15"/>
  <c r="O791" i="15"/>
  <c r="P791" i="15"/>
  <c r="Q791" i="15"/>
  <c r="X791" i="15"/>
  <c r="C792" i="15"/>
  <c r="D792" i="15"/>
  <c r="E792" i="15"/>
  <c r="F792" i="15"/>
  <c r="G792" i="15"/>
  <c r="H792" i="15"/>
  <c r="I792" i="15"/>
  <c r="J792" i="15"/>
  <c r="K792" i="15"/>
  <c r="L792" i="15"/>
  <c r="M792" i="15"/>
  <c r="N792" i="15"/>
  <c r="O792" i="15"/>
  <c r="P792" i="15"/>
  <c r="Q792" i="15"/>
  <c r="X792" i="15"/>
  <c r="C793" i="15"/>
  <c r="D793" i="15"/>
  <c r="E793" i="15"/>
  <c r="F793" i="15"/>
  <c r="G793" i="15"/>
  <c r="H793" i="15"/>
  <c r="I793" i="15"/>
  <c r="J793" i="15"/>
  <c r="K793" i="15"/>
  <c r="L793" i="15"/>
  <c r="M793" i="15"/>
  <c r="N793" i="15"/>
  <c r="O793" i="15"/>
  <c r="P793" i="15"/>
  <c r="Q793" i="15"/>
  <c r="X793" i="15"/>
  <c r="C794" i="15"/>
  <c r="D794" i="15"/>
  <c r="E794" i="15"/>
  <c r="F794" i="15"/>
  <c r="G794" i="15"/>
  <c r="H794" i="15"/>
  <c r="I794" i="15"/>
  <c r="J794" i="15"/>
  <c r="K794" i="15"/>
  <c r="L794" i="15"/>
  <c r="M794" i="15"/>
  <c r="N794" i="15"/>
  <c r="O794" i="15"/>
  <c r="P794" i="15"/>
  <c r="Q794" i="15"/>
  <c r="X794" i="15"/>
  <c r="C795" i="15"/>
  <c r="D795" i="15"/>
  <c r="E795" i="15"/>
  <c r="F795" i="15"/>
  <c r="G795" i="15"/>
  <c r="H795" i="15"/>
  <c r="I795" i="15"/>
  <c r="J795" i="15"/>
  <c r="K795" i="15"/>
  <c r="L795" i="15"/>
  <c r="M795" i="15"/>
  <c r="N795" i="15"/>
  <c r="O795" i="15"/>
  <c r="P795" i="15"/>
  <c r="Q795" i="15"/>
  <c r="X795" i="15"/>
  <c r="C796" i="15"/>
  <c r="D796" i="15"/>
  <c r="E796" i="15"/>
  <c r="F796" i="15"/>
  <c r="G796" i="15"/>
  <c r="H796" i="15"/>
  <c r="I796" i="15"/>
  <c r="J796" i="15"/>
  <c r="K796" i="15"/>
  <c r="L796" i="15"/>
  <c r="M796" i="15"/>
  <c r="N796" i="15"/>
  <c r="O796" i="15"/>
  <c r="P796" i="15"/>
  <c r="Q796" i="15"/>
  <c r="X796" i="15"/>
  <c r="G797" i="15"/>
  <c r="I797" i="15"/>
  <c r="L797" i="15"/>
  <c r="N797" i="15"/>
  <c r="Q797" i="15"/>
  <c r="C798" i="15"/>
  <c r="D798" i="15"/>
  <c r="E798" i="15"/>
  <c r="F798" i="15"/>
  <c r="G798" i="15"/>
  <c r="H798" i="15"/>
  <c r="I798" i="15"/>
  <c r="J798" i="15"/>
  <c r="K798" i="15"/>
  <c r="L798" i="15"/>
  <c r="M798" i="15"/>
  <c r="N798" i="15"/>
  <c r="O798" i="15"/>
  <c r="P798" i="15"/>
  <c r="Q798" i="15"/>
  <c r="X798" i="15"/>
  <c r="G799" i="15"/>
  <c r="I799" i="15"/>
  <c r="L799" i="15"/>
  <c r="N799" i="15"/>
  <c r="Q799" i="15"/>
  <c r="C800" i="15"/>
  <c r="D800" i="15"/>
  <c r="E800" i="15"/>
  <c r="F800" i="15"/>
  <c r="G800" i="15"/>
  <c r="H800" i="15"/>
  <c r="I800" i="15"/>
  <c r="J800" i="15"/>
  <c r="K800" i="15"/>
  <c r="L800" i="15"/>
  <c r="M800" i="15"/>
  <c r="N800" i="15"/>
  <c r="O800" i="15"/>
  <c r="P800" i="15"/>
  <c r="Q800" i="15"/>
  <c r="X800" i="15"/>
  <c r="C801" i="15"/>
  <c r="D801" i="15"/>
  <c r="E801" i="15"/>
  <c r="F801" i="15"/>
  <c r="G801" i="15"/>
  <c r="H801" i="15"/>
  <c r="I801" i="15"/>
  <c r="J801" i="15"/>
  <c r="K801" i="15"/>
  <c r="L801" i="15"/>
  <c r="M801" i="15"/>
  <c r="N801" i="15"/>
  <c r="O801" i="15"/>
  <c r="P801" i="15"/>
  <c r="Q801" i="15"/>
  <c r="X801" i="15"/>
  <c r="C802" i="15"/>
  <c r="D802" i="15"/>
  <c r="E802" i="15"/>
  <c r="F802" i="15"/>
  <c r="G802" i="15"/>
  <c r="H802" i="15"/>
  <c r="I802" i="15"/>
  <c r="J802" i="15"/>
  <c r="K802" i="15"/>
  <c r="L802" i="15"/>
  <c r="M802" i="15"/>
  <c r="N802" i="15"/>
  <c r="O802" i="15"/>
  <c r="P802" i="15"/>
  <c r="Q802" i="15"/>
  <c r="X802" i="15"/>
  <c r="C803" i="15"/>
  <c r="D803" i="15"/>
  <c r="E803" i="15"/>
  <c r="F803" i="15"/>
  <c r="G803" i="15"/>
  <c r="H803" i="15"/>
  <c r="I803" i="15"/>
  <c r="J803" i="15"/>
  <c r="K803" i="15"/>
  <c r="L803" i="15"/>
  <c r="M803" i="15"/>
  <c r="N803" i="15"/>
  <c r="O803" i="15"/>
  <c r="P803" i="15"/>
  <c r="Q803" i="15"/>
  <c r="X803" i="15"/>
  <c r="C804" i="15"/>
  <c r="D804" i="15"/>
  <c r="E804" i="15"/>
  <c r="F804" i="15"/>
  <c r="G804" i="15"/>
  <c r="H804" i="15"/>
  <c r="I804" i="15"/>
  <c r="J804" i="15"/>
  <c r="K804" i="15"/>
  <c r="L804" i="15"/>
  <c r="M804" i="15"/>
  <c r="N804" i="15"/>
  <c r="O804" i="15"/>
  <c r="P804" i="15"/>
  <c r="Q804" i="15"/>
  <c r="X804" i="15"/>
  <c r="G805" i="15"/>
  <c r="I805" i="15"/>
  <c r="L805" i="15"/>
  <c r="N805" i="15"/>
  <c r="Q805" i="15"/>
  <c r="G806" i="15"/>
  <c r="I806" i="15"/>
  <c r="L806" i="15"/>
  <c r="N806" i="15"/>
  <c r="Q806" i="15"/>
  <c r="G807" i="15"/>
  <c r="I807" i="15"/>
  <c r="L807" i="15"/>
  <c r="N807" i="15"/>
  <c r="Q807" i="15"/>
  <c r="C808" i="15"/>
  <c r="D808" i="15"/>
  <c r="E808" i="15"/>
  <c r="F808" i="15"/>
  <c r="G808" i="15"/>
  <c r="H808" i="15"/>
  <c r="I808" i="15"/>
  <c r="J808" i="15"/>
  <c r="K808" i="15"/>
  <c r="L808" i="15"/>
  <c r="M808" i="15"/>
  <c r="N808" i="15"/>
  <c r="O808" i="15"/>
  <c r="P808" i="15"/>
  <c r="Q808" i="15"/>
  <c r="X808" i="15"/>
  <c r="C809" i="15"/>
  <c r="D809" i="15"/>
  <c r="E809" i="15"/>
  <c r="F809" i="15"/>
  <c r="G809" i="15"/>
  <c r="H809" i="15"/>
  <c r="I809" i="15"/>
  <c r="J809" i="15"/>
  <c r="K809" i="15"/>
  <c r="L809" i="15"/>
  <c r="M809" i="15"/>
  <c r="N809" i="15"/>
  <c r="O809" i="15"/>
  <c r="P809" i="15"/>
  <c r="Q809" i="15"/>
  <c r="X809" i="15"/>
  <c r="C810" i="15"/>
  <c r="D810" i="15"/>
  <c r="E810" i="15"/>
  <c r="F810" i="15"/>
  <c r="G810" i="15"/>
  <c r="H810" i="15"/>
  <c r="I810" i="15"/>
  <c r="J810" i="15"/>
  <c r="K810" i="15"/>
  <c r="L810" i="15"/>
  <c r="M810" i="15"/>
  <c r="N810" i="15"/>
  <c r="O810" i="15"/>
  <c r="P810" i="15"/>
  <c r="Q810" i="15"/>
  <c r="X810" i="15"/>
  <c r="C811" i="15"/>
  <c r="D811" i="15"/>
  <c r="E811" i="15"/>
  <c r="F811" i="15"/>
  <c r="G811" i="15"/>
  <c r="H811" i="15"/>
  <c r="I811" i="15"/>
  <c r="J811" i="15"/>
  <c r="K811" i="15"/>
  <c r="L811" i="15"/>
  <c r="M811" i="15"/>
  <c r="N811" i="15"/>
  <c r="O811" i="15"/>
  <c r="P811" i="15"/>
  <c r="Q811" i="15"/>
  <c r="X811" i="15"/>
  <c r="C812" i="15"/>
  <c r="D812" i="15"/>
  <c r="E812" i="15"/>
  <c r="F812" i="15"/>
  <c r="G812" i="15"/>
  <c r="H812" i="15"/>
  <c r="I812" i="15"/>
  <c r="J812" i="15"/>
  <c r="K812" i="15"/>
  <c r="L812" i="15"/>
  <c r="M812" i="15"/>
  <c r="N812" i="15"/>
  <c r="O812" i="15"/>
  <c r="P812" i="15"/>
  <c r="Q812" i="15"/>
  <c r="X812" i="15"/>
  <c r="C813" i="15"/>
  <c r="D813" i="15"/>
  <c r="E813" i="15"/>
  <c r="F813" i="15"/>
  <c r="G813" i="15"/>
  <c r="H813" i="15"/>
  <c r="I813" i="15"/>
  <c r="J813" i="15"/>
  <c r="K813" i="15"/>
  <c r="L813" i="15"/>
  <c r="M813" i="15"/>
  <c r="N813" i="15"/>
  <c r="O813" i="15"/>
  <c r="P813" i="15"/>
  <c r="Q813" i="15"/>
  <c r="X813" i="15"/>
  <c r="C814" i="15"/>
  <c r="D814" i="15"/>
  <c r="E814" i="15"/>
  <c r="F814" i="15"/>
  <c r="G814" i="15"/>
  <c r="H814" i="15"/>
  <c r="I814" i="15"/>
  <c r="J814" i="15"/>
  <c r="K814" i="15"/>
  <c r="L814" i="15"/>
  <c r="M814" i="15"/>
  <c r="N814" i="15"/>
  <c r="O814" i="15"/>
  <c r="P814" i="15"/>
  <c r="Q814" i="15"/>
  <c r="X814" i="15"/>
  <c r="E815" i="15"/>
  <c r="F815" i="15"/>
  <c r="G815" i="15"/>
  <c r="H815" i="15"/>
  <c r="I815" i="15"/>
  <c r="J815" i="15"/>
  <c r="K815" i="15"/>
  <c r="L815" i="15"/>
  <c r="N815" i="15"/>
  <c r="O815" i="15"/>
  <c r="P815" i="15"/>
  <c r="Q815" i="15"/>
  <c r="E816" i="15"/>
  <c r="F816" i="15"/>
  <c r="G816" i="15"/>
  <c r="H816" i="15"/>
  <c r="I816" i="15"/>
  <c r="J816" i="15"/>
  <c r="K816" i="15"/>
  <c r="L816" i="15"/>
  <c r="N816" i="15"/>
  <c r="O816" i="15"/>
  <c r="P816" i="15"/>
  <c r="Q816" i="15"/>
  <c r="C817" i="15"/>
  <c r="D817" i="15"/>
  <c r="E817" i="15"/>
  <c r="F817" i="15"/>
  <c r="G817" i="15"/>
  <c r="H817" i="15"/>
  <c r="I817" i="15"/>
  <c r="J817" i="15"/>
  <c r="K817" i="15"/>
  <c r="L817" i="15"/>
  <c r="M817" i="15"/>
  <c r="N817" i="15"/>
  <c r="O817" i="15"/>
  <c r="P817" i="15"/>
  <c r="Q817" i="15"/>
  <c r="X817" i="15"/>
  <c r="C818" i="15"/>
  <c r="D818" i="15"/>
  <c r="E818" i="15"/>
  <c r="F818" i="15"/>
  <c r="G818" i="15"/>
  <c r="H818" i="15"/>
  <c r="I818" i="15"/>
  <c r="J818" i="15"/>
  <c r="K818" i="15"/>
  <c r="L818" i="15"/>
  <c r="M818" i="15"/>
  <c r="N818" i="15"/>
  <c r="O818" i="15"/>
  <c r="P818" i="15"/>
  <c r="Q818" i="15"/>
  <c r="X818" i="15"/>
  <c r="C819" i="15"/>
  <c r="D819" i="15"/>
  <c r="E819" i="15"/>
  <c r="F819" i="15"/>
  <c r="G819" i="15"/>
  <c r="H819" i="15"/>
  <c r="I819" i="15"/>
  <c r="J819" i="15"/>
  <c r="K819" i="15"/>
  <c r="L819" i="15"/>
  <c r="M819" i="15"/>
  <c r="N819" i="15"/>
  <c r="O819" i="15"/>
  <c r="P819" i="15"/>
  <c r="Q819" i="15"/>
  <c r="X819" i="15"/>
  <c r="C820" i="15"/>
  <c r="D820" i="15"/>
  <c r="E820" i="15"/>
  <c r="F820" i="15"/>
  <c r="G820" i="15"/>
  <c r="H820" i="15"/>
  <c r="I820" i="15"/>
  <c r="J820" i="15"/>
  <c r="K820" i="15"/>
  <c r="L820" i="15"/>
  <c r="M820" i="15"/>
  <c r="N820" i="15"/>
  <c r="O820" i="15"/>
  <c r="P820" i="15"/>
  <c r="Q820" i="15"/>
  <c r="X820" i="15"/>
  <c r="C821" i="15"/>
  <c r="D821" i="15"/>
  <c r="E821" i="15"/>
  <c r="F821" i="15"/>
  <c r="G821" i="15"/>
  <c r="H821" i="15"/>
  <c r="I821" i="15"/>
  <c r="J821" i="15"/>
  <c r="K821" i="15"/>
  <c r="L821" i="15"/>
  <c r="M821" i="15"/>
  <c r="N821" i="15"/>
  <c r="O821" i="15"/>
  <c r="P821" i="15"/>
  <c r="Q821" i="15"/>
  <c r="X821" i="15"/>
  <c r="C822" i="15"/>
  <c r="D822" i="15"/>
  <c r="E822" i="15"/>
  <c r="F822" i="15"/>
  <c r="G822" i="15"/>
  <c r="H822" i="15"/>
  <c r="I822" i="15"/>
  <c r="J822" i="15"/>
  <c r="K822" i="15"/>
  <c r="L822" i="15"/>
  <c r="M822" i="15"/>
  <c r="N822" i="15"/>
  <c r="O822" i="15"/>
  <c r="P822" i="15"/>
  <c r="Q822" i="15"/>
  <c r="X822" i="15"/>
  <c r="C823" i="15"/>
  <c r="D823" i="15"/>
  <c r="E823" i="15"/>
  <c r="F823" i="15"/>
  <c r="G823" i="15"/>
  <c r="H823" i="15"/>
  <c r="I823" i="15"/>
  <c r="J823" i="15"/>
  <c r="K823" i="15"/>
  <c r="L823" i="15"/>
  <c r="M823" i="15"/>
  <c r="N823" i="15"/>
  <c r="O823" i="15"/>
  <c r="P823" i="15"/>
  <c r="Q823" i="15"/>
  <c r="X823" i="15"/>
  <c r="C824" i="15"/>
  <c r="D824" i="15"/>
  <c r="E824" i="15"/>
  <c r="F824" i="15"/>
  <c r="G824" i="15"/>
  <c r="H824" i="15"/>
  <c r="I824" i="15"/>
  <c r="J824" i="15"/>
  <c r="K824" i="15"/>
  <c r="L824" i="15"/>
  <c r="M824" i="15"/>
  <c r="N824" i="15"/>
  <c r="O824" i="15"/>
  <c r="P824" i="15"/>
  <c r="Q824" i="15"/>
  <c r="X824" i="15"/>
  <c r="C825" i="15"/>
  <c r="D825" i="15"/>
  <c r="E825" i="15"/>
  <c r="F825" i="15"/>
  <c r="G825" i="15"/>
  <c r="H825" i="15"/>
  <c r="I825" i="15"/>
  <c r="M825" i="15"/>
  <c r="N825" i="15"/>
  <c r="X825" i="15"/>
  <c r="C826" i="15"/>
  <c r="D826" i="15"/>
  <c r="E826" i="15"/>
  <c r="F826" i="15"/>
  <c r="G826" i="15"/>
  <c r="H826" i="15"/>
  <c r="I826" i="15"/>
  <c r="J826" i="15"/>
  <c r="K826" i="15"/>
  <c r="L826" i="15"/>
  <c r="M826" i="15"/>
  <c r="N826" i="15"/>
  <c r="O826" i="15"/>
  <c r="P826" i="15"/>
  <c r="Q826" i="15"/>
  <c r="X826" i="15"/>
  <c r="C827" i="15"/>
  <c r="D827" i="15"/>
  <c r="E827" i="15"/>
  <c r="F827" i="15"/>
  <c r="G827" i="15"/>
  <c r="H827" i="15"/>
  <c r="I827" i="15"/>
  <c r="J827" i="15"/>
  <c r="K827" i="15"/>
  <c r="L827" i="15"/>
  <c r="M827" i="15"/>
  <c r="N827" i="15"/>
  <c r="O827" i="15"/>
  <c r="P827" i="15"/>
  <c r="Q827" i="15"/>
  <c r="X827" i="15"/>
  <c r="C828" i="15"/>
  <c r="D828" i="15"/>
  <c r="E828" i="15"/>
  <c r="F828" i="15"/>
  <c r="G828" i="15"/>
  <c r="H828" i="15"/>
  <c r="I828" i="15"/>
  <c r="J828" i="15"/>
  <c r="K828" i="15"/>
  <c r="L828" i="15"/>
  <c r="M828" i="15"/>
  <c r="N828" i="15"/>
  <c r="O828" i="15"/>
  <c r="P828" i="15"/>
  <c r="Q828" i="15"/>
  <c r="X828" i="15"/>
  <c r="C829" i="15"/>
  <c r="D829" i="15"/>
  <c r="E829" i="15"/>
  <c r="F829" i="15"/>
  <c r="G829" i="15"/>
  <c r="H829" i="15"/>
  <c r="I829" i="15"/>
  <c r="M829" i="15"/>
  <c r="N829" i="15"/>
  <c r="O829" i="15"/>
  <c r="P829" i="15"/>
  <c r="Q829" i="15"/>
  <c r="X829" i="15"/>
  <c r="C830" i="15"/>
  <c r="D830" i="15"/>
  <c r="E830" i="15"/>
  <c r="F830" i="15"/>
  <c r="G830" i="15"/>
  <c r="H830" i="15"/>
  <c r="I830" i="15"/>
  <c r="J830" i="15"/>
  <c r="K830" i="15"/>
  <c r="L830" i="15"/>
  <c r="M830" i="15"/>
  <c r="N830" i="15"/>
  <c r="O830" i="15"/>
  <c r="P830" i="15"/>
  <c r="Q830" i="15"/>
  <c r="X830" i="15"/>
  <c r="C831" i="15"/>
  <c r="D831" i="15"/>
  <c r="E831" i="15"/>
  <c r="F831" i="15"/>
  <c r="G831" i="15"/>
  <c r="H831" i="15"/>
  <c r="I831" i="15"/>
  <c r="J831" i="15"/>
  <c r="K831" i="15"/>
  <c r="L831" i="15"/>
  <c r="M831" i="15"/>
  <c r="N831" i="15"/>
  <c r="O831" i="15"/>
  <c r="P831" i="15"/>
  <c r="Q831" i="15"/>
  <c r="X831" i="15"/>
  <c r="C832" i="15"/>
  <c r="D832" i="15"/>
  <c r="E832" i="15"/>
  <c r="F832" i="15"/>
  <c r="G832" i="15"/>
  <c r="H832" i="15"/>
  <c r="I832" i="15"/>
  <c r="J832" i="15"/>
  <c r="K832" i="15"/>
  <c r="L832" i="15"/>
  <c r="M832" i="15"/>
  <c r="N832" i="15"/>
  <c r="O832" i="15"/>
  <c r="P832" i="15"/>
  <c r="Q832" i="15"/>
  <c r="X832" i="15"/>
  <c r="C833" i="15"/>
  <c r="D833" i="15"/>
  <c r="E833" i="15"/>
  <c r="F833" i="15"/>
  <c r="G833" i="15"/>
  <c r="H833" i="15"/>
  <c r="I833" i="15"/>
  <c r="J833" i="15"/>
  <c r="K833" i="15"/>
  <c r="L833" i="15"/>
  <c r="M833" i="15"/>
  <c r="N833" i="15"/>
  <c r="O833" i="15"/>
  <c r="P833" i="15"/>
  <c r="Q833" i="15"/>
  <c r="X833" i="15"/>
  <c r="C834" i="15"/>
  <c r="D834" i="15"/>
  <c r="E834" i="15"/>
  <c r="F834" i="15"/>
  <c r="G834" i="15"/>
  <c r="H834" i="15"/>
  <c r="I834" i="15"/>
  <c r="J834" i="15"/>
  <c r="K834" i="15"/>
  <c r="L834" i="15"/>
  <c r="M834" i="15"/>
  <c r="N834" i="15"/>
  <c r="O834" i="15"/>
  <c r="P834" i="15"/>
  <c r="Q834" i="15"/>
  <c r="X834" i="15"/>
  <c r="C835" i="15"/>
  <c r="D835" i="15"/>
  <c r="E835" i="15"/>
  <c r="F835" i="15"/>
  <c r="G835" i="15"/>
  <c r="I835" i="15"/>
  <c r="M835" i="15"/>
  <c r="N835" i="15"/>
  <c r="O835" i="15"/>
  <c r="P835" i="15"/>
  <c r="Q835" i="15"/>
  <c r="X835" i="15"/>
  <c r="C836" i="15"/>
  <c r="D836" i="15"/>
  <c r="E836" i="15"/>
  <c r="F836" i="15"/>
  <c r="G836" i="15"/>
  <c r="H836" i="15"/>
  <c r="I836" i="15"/>
  <c r="J836" i="15"/>
  <c r="K836" i="15"/>
  <c r="L836" i="15"/>
  <c r="M836" i="15"/>
  <c r="N836" i="15"/>
  <c r="O836" i="15"/>
  <c r="P836" i="15"/>
  <c r="Q836" i="15"/>
  <c r="X836" i="15"/>
  <c r="C837" i="15"/>
  <c r="D837" i="15"/>
  <c r="E837" i="15"/>
  <c r="F837" i="15"/>
  <c r="G837" i="15"/>
  <c r="I837" i="15"/>
  <c r="J837" i="15"/>
  <c r="K837" i="15"/>
  <c r="L837" i="15"/>
  <c r="M837" i="15"/>
  <c r="N837" i="15"/>
  <c r="O837" i="15"/>
  <c r="P837" i="15"/>
  <c r="Q837" i="15"/>
  <c r="X837" i="15"/>
  <c r="E838" i="15"/>
  <c r="F838" i="15"/>
  <c r="G838" i="15"/>
  <c r="H838" i="15"/>
  <c r="I838" i="15"/>
  <c r="J838" i="15"/>
  <c r="K838" i="15"/>
  <c r="L838" i="15"/>
  <c r="N838" i="15"/>
  <c r="O838" i="15"/>
  <c r="P838" i="15"/>
  <c r="Q838" i="15"/>
  <c r="G839" i="15"/>
  <c r="I839" i="15"/>
  <c r="L839" i="15"/>
  <c r="N839" i="15"/>
  <c r="Q839" i="15"/>
  <c r="C840" i="15"/>
  <c r="D840" i="15"/>
  <c r="E840" i="15"/>
  <c r="F840" i="15"/>
  <c r="G840" i="15"/>
  <c r="H840" i="15"/>
  <c r="I840" i="15"/>
  <c r="J840" i="15"/>
  <c r="K840" i="15"/>
  <c r="L840" i="15"/>
  <c r="M840" i="15"/>
  <c r="N840" i="15"/>
  <c r="O840" i="15"/>
  <c r="P840" i="15"/>
  <c r="Q840" i="15"/>
  <c r="X840" i="15"/>
  <c r="C841" i="15"/>
  <c r="D841" i="15"/>
  <c r="E841" i="15"/>
  <c r="F841" i="15"/>
  <c r="G841" i="15"/>
  <c r="H841" i="15"/>
  <c r="I841" i="15"/>
  <c r="J841" i="15"/>
  <c r="K841" i="15"/>
  <c r="L841" i="15"/>
  <c r="M841" i="15"/>
  <c r="N841" i="15"/>
  <c r="O841" i="15"/>
  <c r="P841" i="15"/>
  <c r="Q841" i="15"/>
  <c r="X841" i="15"/>
  <c r="C842" i="15"/>
  <c r="D842" i="15"/>
  <c r="E842" i="15"/>
  <c r="F842" i="15"/>
  <c r="G842" i="15"/>
  <c r="H842" i="15"/>
  <c r="I842" i="15"/>
  <c r="J842" i="15"/>
  <c r="K842" i="15"/>
  <c r="L842" i="15"/>
  <c r="M842" i="15"/>
  <c r="N842" i="15"/>
  <c r="O842" i="15"/>
  <c r="P842" i="15"/>
  <c r="Q842" i="15"/>
  <c r="X842" i="15"/>
  <c r="C843" i="15"/>
  <c r="D843" i="15"/>
  <c r="E843" i="15"/>
  <c r="F843" i="15"/>
  <c r="G843" i="15"/>
  <c r="H843" i="15"/>
  <c r="I843" i="15"/>
  <c r="J843" i="15"/>
  <c r="K843" i="15"/>
  <c r="L843" i="15"/>
  <c r="M843" i="15"/>
  <c r="N843" i="15"/>
  <c r="O843" i="15"/>
  <c r="P843" i="15"/>
  <c r="Q843" i="15"/>
  <c r="X843" i="15"/>
  <c r="C844" i="15"/>
  <c r="D844" i="15"/>
  <c r="E844" i="15"/>
  <c r="F844" i="15"/>
  <c r="G844" i="15"/>
  <c r="H844" i="15"/>
  <c r="I844" i="15"/>
  <c r="J844" i="15"/>
  <c r="K844" i="15"/>
  <c r="L844" i="15"/>
  <c r="M844" i="15"/>
  <c r="N844" i="15"/>
  <c r="O844" i="15"/>
  <c r="P844" i="15"/>
  <c r="Q844" i="15"/>
  <c r="X844" i="15"/>
  <c r="C845" i="15"/>
  <c r="D845" i="15"/>
  <c r="E845" i="15"/>
  <c r="F845" i="15"/>
  <c r="G845" i="15"/>
  <c r="H845" i="15"/>
  <c r="I845" i="15"/>
  <c r="J845" i="15"/>
  <c r="K845" i="15"/>
  <c r="L845" i="15"/>
  <c r="M845" i="15"/>
  <c r="N845" i="15"/>
  <c r="O845" i="15"/>
  <c r="P845" i="15"/>
  <c r="Q845" i="15"/>
  <c r="X845" i="15"/>
  <c r="C846" i="15"/>
  <c r="D846" i="15"/>
  <c r="E846" i="15"/>
  <c r="F846" i="15"/>
  <c r="G846" i="15"/>
  <c r="H846" i="15"/>
  <c r="I846" i="15"/>
  <c r="J846" i="15"/>
  <c r="K846" i="15"/>
  <c r="L846" i="15"/>
  <c r="M846" i="15"/>
  <c r="N846" i="15"/>
  <c r="O846" i="15"/>
  <c r="P846" i="15"/>
  <c r="Q846" i="15"/>
  <c r="X846" i="15"/>
  <c r="C847" i="15"/>
  <c r="D847" i="15"/>
  <c r="E847" i="15"/>
  <c r="F847" i="15"/>
  <c r="G847" i="15"/>
  <c r="H847" i="15"/>
  <c r="I847" i="15"/>
  <c r="J847" i="15"/>
  <c r="K847" i="15"/>
  <c r="L847" i="15"/>
  <c r="M847" i="15"/>
  <c r="N847" i="15"/>
  <c r="O847" i="15"/>
  <c r="P847" i="15"/>
  <c r="Q847" i="15"/>
  <c r="X847" i="15"/>
  <c r="C848" i="15"/>
  <c r="D848" i="15"/>
  <c r="E848" i="15"/>
  <c r="F848" i="15"/>
  <c r="G848" i="15"/>
  <c r="H848" i="15"/>
  <c r="I848" i="15"/>
  <c r="J848" i="15"/>
  <c r="K848" i="15"/>
  <c r="L848" i="15"/>
  <c r="M848" i="15"/>
  <c r="N848" i="15"/>
  <c r="O848" i="15"/>
  <c r="P848" i="15"/>
  <c r="Q848" i="15"/>
  <c r="X848" i="15"/>
  <c r="C849" i="15"/>
  <c r="D849" i="15"/>
  <c r="E849" i="15"/>
  <c r="F849" i="15"/>
  <c r="G849" i="15"/>
  <c r="H849" i="15"/>
  <c r="I849" i="15"/>
  <c r="J849" i="15"/>
  <c r="K849" i="15"/>
  <c r="L849" i="15"/>
  <c r="M849" i="15"/>
  <c r="N849" i="15"/>
  <c r="O849" i="15"/>
  <c r="P849" i="15"/>
  <c r="Q849" i="15"/>
  <c r="X849" i="15"/>
  <c r="C850" i="15"/>
  <c r="D850" i="15"/>
  <c r="E850" i="15"/>
  <c r="F850" i="15"/>
  <c r="G850" i="15"/>
  <c r="H850" i="15"/>
  <c r="I850" i="15"/>
  <c r="J850" i="15"/>
  <c r="K850" i="15"/>
  <c r="L850" i="15"/>
  <c r="M850" i="15"/>
  <c r="N850" i="15"/>
  <c r="O850" i="15"/>
  <c r="P850" i="15"/>
  <c r="Q850" i="15"/>
  <c r="X850" i="15"/>
  <c r="C851" i="15"/>
  <c r="D851" i="15"/>
  <c r="E851" i="15"/>
  <c r="F851" i="15"/>
  <c r="G851" i="15"/>
  <c r="H851" i="15"/>
  <c r="I851" i="15"/>
  <c r="J851" i="15"/>
  <c r="K851" i="15"/>
  <c r="L851" i="15"/>
  <c r="M851" i="15"/>
  <c r="N851" i="15"/>
  <c r="O851" i="15"/>
  <c r="P851" i="15"/>
  <c r="Q851" i="15"/>
  <c r="X851" i="15"/>
  <c r="C852" i="15"/>
  <c r="D852" i="15"/>
  <c r="E852" i="15"/>
  <c r="F852" i="15"/>
  <c r="G852" i="15"/>
  <c r="H852" i="15"/>
  <c r="I852" i="15"/>
  <c r="J852" i="15"/>
  <c r="K852" i="15"/>
  <c r="L852" i="15"/>
  <c r="M852" i="15"/>
  <c r="N852" i="15"/>
  <c r="O852" i="15"/>
  <c r="P852" i="15"/>
  <c r="Q852" i="15"/>
  <c r="X852" i="15"/>
  <c r="C853" i="15"/>
  <c r="D853" i="15"/>
  <c r="E853" i="15"/>
  <c r="F853" i="15"/>
  <c r="G853" i="15"/>
  <c r="H853" i="15"/>
  <c r="I853" i="15"/>
  <c r="J853" i="15"/>
  <c r="K853" i="15"/>
  <c r="L853" i="15"/>
  <c r="M853" i="15"/>
  <c r="N853" i="15"/>
  <c r="O853" i="15"/>
  <c r="P853" i="15"/>
  <c r="Q853" i="15"/>
  <c r="X853" i="15"/>
  <c r="C854" i="15"/>
  <c r="D854" i="15"/>
  <c r="E854" i="15"/>
  <c r="F854" i="15"/>
  <c r="G854" i="15"/>
  <c r="H854" i="15"/>
  <c r="I854" i="15"/>
  <c r="J854" i="15"/>
  <c r="K854" i="15"/>
  <c r="L854" i="15"/>
  <c r="M854" i="15"/>
  <c r="N854" i="15"/>
  <c r="O854" i="15"/>
  <c r="P854" i="15"/>
  <c r="Q854" i="15"/>
  <c r="X854" i="15"/>
  <c r="C855" i="15"/>
  <c r="D855" i="15"/>
  <c r="E855" i="15"/>
  <c r="F855" i="15"/>
  <c r="G855" i="15"/>
  <c r="H855" i="15"/>
  <c r="I855" i="15"/>
  <c r="J855" i="15"/>
  <c r="K855" i="15"/>
  <c r="L855" i="15"/>
  <c r="M855" i="15"/>
  <c r="N855" i="15"/>
  <c r="O855" i="15"/>
  <c r="P855" i="15"/>
  <c r="Q855" i="15"/>
  <c r="X855" i="15"/>
  <c r="C856" i="15"/>
  <c r="D856" i="15"/>
  <c r="E856" i="15"/>
  <c r="F856" i="15"/>
  <c r="G856" i="15"/>
  <c r="H856" i="15"/>
  <c r="I856" i="15"/>
  <c r="J856" i="15"/>
  <c r="K856" i="15"/>
  <c r="L856" i="15"/>
  <c r="M856" i="15"/>
  <c r="N856" i="15"/>
  <c r="O856" i="15"/>
  <c r="P856" i="15"/>
  <c r="Q856" i="15"/>
  <c r="X856" i="15"/>
  <c r="C857" i="15"/>
  <c r="D857" i="15"/>
  <c r="E857" i="15"/>
  <c r="F857" i="15"/>
  <c r="G857" i="15"/>
  <c r="H857" i="15"/>
  <c r="I857" i="15"/>
  <c r="J857" i="15"/>
  <c r="K857" i="15"/>
  <c r="L857" i="15"/>
  <c r="M857" i="15"/>
  <c r="N857" i="15"/>
  <c r="O857" i="15"/>
  <c r="P857" i="15"/>
  <c r="Q857" i="15"/>
  <c r="X857" i="15"/>
  <c r="C858" i="15"/>
  <c r="D858" i="15"/>
  <c r="E858" i="15"/>
  <c r="F858" i="15"/>
  <c r="G858" i="15"/>
  <c r="H858" i="15"/>
  <c r="I858" i="15"/>
  <c r="J858" i="15"/>
  <c r="K858" i="15"/>
  <c r="L858" i="15"/>
  <c r="M858" i="15"/>
  <c r="N858" i="15"/>
  <c r="O858" i="15"/>
  <c r="P858" i="15"/>
  <c r="Q858" i="15"/>
  <c r="X858" i="15"/>
  <c r="C859" i="15"/>
  <c r="D859" i="15"/>
  <c r="E859" i="15"/>
  <c r="F859" i="15"/>
  <c r="G859" i="15"/>
  <c r="H859" i="15"/>
  <c r="I859" i="15"/>
  <c r="J859" i="15"/>
  <c r="K859" i="15"/>
  <c r="L859" i="15"/>
  <c r="M859" i="15"/>
  <c r="N859" i="15"/>
  <c r="O859" i="15"/>
  <c r="P859" i="15"/>
  <c r="Q859" i="15"/>
  <c r="X859" i="15"/>
  <c r="C860" i="15"/>
  <c r="D860" i="15"/>
  <c r="E860" i="15"/>
  <c r="F860" i="15"/>
  <c r="G860" i="15"/>
  <c r="H860" i="15"/>
  <c r="I860" i="15"/>
  <c r="J860" i="15"/>
  <c r="K860" i="15"/>
  <c r="L860" i="15"/>
  <c r="M860" i="15"/>
  <c r="N860" i="15"/>
  <c r="O860" i="15"/>
  <c r="P860" i="15"/>
  <c r="Q860" i="15"/>
  <c r="X860" i="15"/>
  <c r="C861" i="15"/>
  <c r="D861" i="15"/>
  <c r="E861" i="15"/>
  <c r="F861" i="15"/>
  <c r="G861" i="15"/>
  <c r="H861" i="15"/>
  <c r="I861" i="15"/>
  <c r="J861" i="15"/>
  <c r="K861" i="15"/>
  <c r="L861" i="15"/>
  <c r="M861" i="15"/>
  <c r="N861" i="15"/>
  <c r="O861" i="15"/>
  <c r="P861" i="15"/>
  <c r="Q861" i="15"/>
  <c r="X861" i="15"/>
  <c r="C862" i="15"/>
  <c r="D862" i="15"/>
  <c r="E862" i="15"/>
  <c r="F862" i="15"/>
  <c r="G862" i="15"/>
  <c r="H862" i="15"/>
  <c r="I862" i="15"/>
  <c r="J862" i="15"/>
  <c r="K862" i="15"/>
  <c r="L862" i="15"/>
  <c r="M862" i="15"/>
  <c r="N862" i="15"/>
  <c r="O862" i="15"/>
  <c r="P862" i="15"/>
  <c r="Q862" i="15"/>
  <c r="X862" i="15"/>
  <c r="C863" i="15"/>
  <c r="D863" i="15"/>
  <c r="E863" i="15"/>
  <c r="F863" i="15"/>
  <c r="G863" i="15"/>
  <c r="H863" i="15"/>
  <c r="I863" i="15"/>
  <c r="J863" i="15"/>
  <c r="K863" i="15"/>
  <c r="L863" i="15"/>
  <c r="M863" i="15"/>
  <c r="N863" i="15"/>
  <c r="O863" i="15"/>
  <c r="P863" i="15"/>
  <c r="Q863" i="15"/>
  <c r="X863" i="15"/>
  <c r="C864" i="15"/>
  <c r="D864" i="15"/>
  <c r="E864" i="15"/>
  <c r="F864" i="15"/>
  <c r="G864" i="15"/>
  <c r="H864" i="15"/>
  <c r="I864" i="15"/>
  <c r="J864" i="15"/>
  <c r="K864" i="15"/>
  <c r="L864" i="15"/>
  <c r="M864" i="15"/>
  <c r="N864" i="15"/>
  <c r="O864" i="15"/>
  <c r="P864" i="15"/>
  <c r="Q864" i="15"/>
  <c r="X864" i="15"/>
  <c r="C865" i="15"/>
  <c r="D865" i="15"/>
  <c r="E865" i="15"/>
  <c r="F865" i="15"/>
  <c r="G865" i="15"/>
  <c r="H865" i="15"/>
  <c r="I865" i="15"/>
  <c r="J865" i="15"/>
  <c r="K865" i="15"/>
  <c r="L865" i="15"/>
  <c r="M865" i="15"/>
  <c r="N865" i="15"/>
  <c r="O865" i="15"/>
  <c r="P865" i="15"/>
  <c r="Q865" i="15"/>
  <c r="X865" i="15"/>
  <c r="C866" i="15"/>
  <c r="D866" i="15"/>
  <c r="E866" i="15"/>
  <c r="F866" i="15"/>
  <c r="G866" i="15"/>
  <c r="H866" i="15"/>
  <c r="I866" i="15"/>
  <c r="J866" i="15"/>
  <c r="K866" i="15"/>
  <c r="L866" i="15"/>
  <c r="M866" i="15"/>
  <c r="N866" i="15"/>
  <c r="O866" i="15"/>
  <c r="P866" i="15"/>
  <c r="Q866" i="15"/>
  <c r="X866" i="15"/>
  <c r="C867" i="15"/>
  <c r="D867" i="15"/>
  <c r="E867" i="15"/>
  <c r="F867" i="15"/>
  <c r="G867" i="15"/>
  <c r="H867" i="15"/>
  <c r="I867" i="15"/>
  <c r="J867" i="15"/>
  <c r="K867" i="15"/>
  <c r="L867" i="15"/>
  <c r="M867" i="15"/>
  <c r="N867" i="15"/>
  <c r="O867" i="15"/>
  <c r="P867" i="15"/>
  <c r="Q867" i="15"/>
  <c r="X867" i="15"/>
  <c r="C868" i="15"/>
  <c r="D868" i="15"/>
  <c r="E868" i="15"/>
  <c r="F868" i="15"/>
  <c r="G868" i="15"/>
  <c r="H868" i="15"/>
  <c r="I868" i="15"/>
  <c r="J868" i="15"/>
  <c r="K868" i="15"/>
  <c r="L868" i="15"/>
  <c r="M868" i="15"/>
  <c r="N868" i="15"/>
  <c r="O868" i="15"/>
  <c r="P868" i="15"/>
  <c r="Q868" i="15"/>
  <c r="X868" i="15"/>
  <c r="C869" i="15"/>
  <c r="D869" i="15"/>
  <c r="E869" i="15"/>
  <c r="F869" i="15"/>
  <c r="G869" i="15"/>
  <c r="H869" i="15"/>
  <c r="I869" i="15"/>
  <c r="J869" i="15"/>
  <c r="K869" i="15"/>
  <c r="L869" i="15"/>
  <c r="M869" i="15"/>
  <c r="N869" i="15"/>
  <c r="O869" i="15"/>
  <c r="P869" i="15"/>
  <c r="Q869" i="15"/>
  <c r="X869" i="15"/>
  <c r="C870" i="15"/>
  <c r="D870" i="15"/>
  <c r="E870" i="15"/>
  <c r="F870" i="15"/>
  <c r="G870" i="15"/>
  <c r="H870" i="15"/>
  <c r="I870" i="15"/>
  <c r="J870" i="15"/>
  <c r="K870" i="15"/>
  <c r="L870" i="15"/>
  <c r="M870" i="15"/>
  <c r="N870" i="15"/>
  <c r="O870" i="15"/>
  <c r="P870" i="15"/>
  <c r="Q870" i="15"/>
  <c r="X870" i="15"/>
  <c r="C871" i="15"/>
  <c r="D871" i="15"/>
  <c r="E871" i="15"/>
  <c r="F871" i="15"/>
  <c r="G871" i="15"/>
  <c r="H871" i="15"/>
  <c r="I871" i="15"/>
  <c r="J871" i="15"/>
  <c r="K871" i="15"/>
  <c r="L871" i="15"/>
  <c r="M871" i="15"/>
  <c r="N871" i="15"/>
  <c r="O871" i="15"/>
  <c r="P871" i="15"/>
  <c r="Q871" i="15"/>
  <c r="X871" i="15"/>
  <c r="C872" i="15"/>
  <c r="D872" i="15"/>
  <c r="E872" i="15"/>
  <c r="F872" i="15"/>
  <c r="G872" i="15"/>
  <c r="H872" i="15"/>
  <c r="I872" i="15"/>
  <c r="J872" i="15"/>
  <c r="K872" i="15"/>
  <c r="L872" i="15"/>
  <c r="M872" i="15"/>
  <c r="N872" i="15"/>
  <c r="O872" i="15"/>
  <c r="P872" i="15"/>
  <c r="Q872" i="15"/>
  <c r="X872" i="15"/>
  <c r="C873" i="15"/>
  <c r="D873" i="15"/>
  <c r="E873" i="15"/>
  <c r="F873" i="15"/>
  <c r="G873" i="15"/>
  <c r="H873" i="15"/>
  <c r="I873" i="15"/>
  <c r="J873" i="15"/>
  <c r="K873" i="15"/>
  <c r="L873" i="15"/>
  <c r="M873" i="15"/>
  <c r="N873" i="15"/>
  <c r="O873" i="15"/>
  <c r="P873" i="15"/>
  <c r="Q873" i="15"/>
  <c r="X873" i="15"/>
  <c r="C874" i="15"/>
  <c r="D874" i="15"/>
  <c r="E874" i="15"/>
  <c r="F874" i="15"/>
  <c r="G874" i="15"/>
  <c r="H874" i="15"/>
  <c r="I874" i="15"/>
  <c r="J874" i="15"/>
  <c r="K874" i="15"/>
  <c r="L874" i="15"/>
  <c r="M874" i="15"/>
  <c r="N874" i="15"/>
  <c r="O874" i="15"/>
  <c r="P874" i="15"/>
  <c r="Q874" i="15"/>
  <c r="X874" i="15"/>
  <c r="C875" i="15"/>
  <c r="D875" i="15"/>
  <c r="E875" i="15"/>
  <c r="F875" i="15"/>
  <c r="G875" i="15"/>
  <c r="H875" i="15"/>
  <c r="I875" i="15"/>
  <c r="J875" i="15"/>
  <c r="K875" i="15"/>
  <c r="L875" i="15"/>
  <c r="M875" i="15"/>
  <c r="N875" i="15"/>
  <c r="O875" i="15"/>
  <c r="P875" i="15"/>
  <c r="Q875" i="15"/>
  <c r="X875" i="15"/>
  <c r="C876" i="15"/>
  <c r="D876" i="15"/>
  <c r="E876" i="15"/>
  <c r="F876" i="15"/>
  <c r="G876" i="15"/>
  <c r="H876" i="15"/>
  <c r="I876" i="15"/>
  <c r="J876" i="15"/>
  <c r="K876" i="15"/>
  <c r="L876" i="15"/>
  <c r="M876" i="15"/>
  <c r="N876" i="15"/>
  <c r="O876" i="15"/>
  <c r="P876" i="15"/>
  <c r="Q876" i="15"/>
  <c r="X876" i="15"/>
  <c r="C877" i="15"/>
  <c r="D877" i="15"/>
  <c r="E877" i="15"/>
  <c r="F877" i="15"/>
  <c r="G877" i="15"/>
  <c r="H877" i="15"/>
  <c r="I877" i="15"/>
  <c r="J877" i="15"/>
  <c r="K877" i="15"/>
  <c r="L877" i="15"/>
  <c r="M877" i="15"/>
  <c r="N877" i="15"/>
  <c r="O877" i="15"/>
  <c r="P877" i="15"/>
  <c r="Q877" i="15"/>
  <c r="X877" i="15"/>
  <c r="C878" i="15"/>
  <c r="D878" i="15"/>
  <c r="E878" i="15"/>
  <c r="F878" i="15"/>
  <c r="G878" i="15"/>
  <c r="H878" i="15"/>
  <c r="I878" i="15"/>
  <c r="J878" i="15"/>
  <c r="K878" i="15"/>
  <c r="L878" i="15"/>
  <c r="M878" i="15"/>
  <c r="N878" i="15"/>
  <c r="O878" i="15"/>
  <c r="P878" i="15"/>
  <c r="Q878" i="15"/>
  <c r="X878" i="15"/>
  <c r="C879" i="15"/>
  <c r="D879" i="15"/>
  <c r="E879" i="15"/>
  <c r="F879" i="15"/>
  <c r="G879" i="15"/>
  <c r="H879" i="15"/>
  <c r="I879" i="15"/>
  <c r="J879" i="15"/>
  <c r="K879" i="15"/>
  <c r="L879" i="15"/>
  <c r="M879" i="15"/>
  <c r="N879" i="15"/>
  <c r="O879" i="15"/>
  <c r="P879" i="15"/>
  <c r="Q879" i="15"/>
  <c r="X879" i="15"/>
  <c r="C880" i="15"/>
  <c r="D880" i="15"/>
  <c r="E880" i="15"/>
  <c r="F880" i="15"/>
  <c r="G880" i="15"/>
  <c r="H880" i="15"/>
  <c r="I880" i="15"/>
  <c r="J880" i="15"/>
  <c r="K880" i="15"/>
  <c r="L880" i="15"/>
  <c r="M880" i="15"/>
  <c r="N880" i="15"/>
  <c r="O880" i="15"/>
  <c r="P880" i="15"/>
  <c r="Q880" i="15"/>
  <c r="X880" i="15"/>
  <c r="C881" i="15"/>
  <c r="D881" i="15"/>
  <c r="E881" i="15"/>
  <c r="F881" i="15"/>
  <c r="G881" i="15"/>
  <c r="H881" i="15"/>
  <c r="I881" i="15"/>
  <c r="J881" i="15"/>
  <c r="K881" i="15"/>
  <c r="L881" i="15"/>
  <c r="M881" i="15"/>
  <c r="N881" i="15"/>
  <c r="O881" i="15"/>
  <c r="P881" i="15"/>
  <c r="Q881" i="15"/>
  <c r="X881" i="15"/>
  <c r="C882" i="15"/>
  <c r="D882" i="15"/>
  <c r="E882" i="15"/>
  <c r="F882" i="15"/>
  <c r="G882" i="15"/>
  <c r="H882" i="15"/>
  <c r="I882" i="15"/>
  <c r="J882" i="15"/>
  <c r="K882" i="15"/>
  <c r="L882" i="15"/>
  <c r="M882" i="15"/>
  <c r="N882" i="15"/>
  <c r="O882" i="15"/>
  <c r="P882" i="15"/>
  <c r="Q882" i="15"/>
  <c r="X882" i="15"/>
  <c r="C883" i="15"/>
  <c r="D883" i="15"/>
  <c r="E883" i="15"/>
  <c r="F883" i="15"/>
  <c r="G883" i="15"/>
  <c r="H883" i="15"/>
  <c r="I883" i="15"/>
  <c r="J883" i="15"/>
  <c r="K883" i="15"/>
  <c r="L883" i="15"/>
  <c r="N883" i="15"/>
  <c r="O883" i="15"/>
  <c r="P883" i="15"/>
  <c r="Q883" i="15"/>
  <c r="X883" i="15"/>
  <c r="C884" i="15"/>
  <c r="D884" i="15"/>
  <c r="E884" i="15"/>
  <c r="F884" i="15"/>
  <c r="G884" i="15"/>
  <c r="H884" i="15"/>
  <c r="I884" i="15"/>
  <c r="J884" i="15"/>
  <c r="K884" i="15"/>
  <c r="L884" i="15"/>
  <c r="M884" i="15"/>
  <c r="N884" i="15"/>
  <c r="O884" i="15"/>
  <c r="P884" i="15"/>
  <c r="Q884" i="15"/>
  <c r="X884" i="15"/>
  <c r="C885" i="15"/>
  <c r="D885" i="15"/>
  <c r="E885" i="15"/>
  <c r="F885" i="15"/>
  <c r="G885" i="15"/>
  <c r="H885" i="15"/>
  <c r="I885" i="15"/>
  <c r="J885" i="15"/>
  <c r="K885" i="15"/>
  <c r="L885" i="15"/>
  <c r="M885" i="15"/>
  <c r="N885" i="15"/>
  <c r="O885" i="15"/>
  <c r="P885" i="15"/>
  <c r="Q885" i="15"/>
  <c r="X885" i="15"/>
  <c r="C886" i="15"/>
  <c r="D886" i="15"/>
  <c r="E886" i="15"/>
  <c r="F886" i="15"/>
  <c r="G886" i="15"/>
  <c r="H886" i="15"/>
  <c r="I886" i="15"/>
  <c r="J886" i="15"/>
  <c r="K886" i="15"/>
  <c r="L886" i="15"/>
  <c r="M886" i="15"/>
  <c r="N886" i="15"/>
  <c r="O886" i="15"/>
  <c r="P886" i="15"/>
  <c r="Q886" i="15"/>
  <c r="X886" i="15"/>
  <c r="C887" i="15"/>
  <c r="D887" i="15"/>
  <c r="E887" i="15"/>
  <c r="F887" i="15"/>
  <c r="G887" i="15"/>
  <c r="H887" i="15"/>
  <c r="I887" i="15"/>
  <c r="J887" i="15"/>
  <c r="K887" i="15"/>
  <c r="L887" i="15"/>
  <c r="M887" i="15"/>
  <c r="N887" i="15"/>
  <c r="O887" i="15"/>
  <c r="P887" i="15"/>
  <c r="Q887" i="15"/>
  <c r="X887" i="15"/>
  <c r="C888" i="15"/>
  <c r="D888" i="15"/>
  <c r="E888" i="15"/>
  <c r="F888" i="15"/>
  <c r="G888" i="15"/>
  <c r="H888" i="15"/>
  <c r="I888" i="15"/>
  <c r="J888" i="15"/>
  <c r="K888" i="15"/>
  <c r="L888" i="15"/>
  <c r="O888" i="15"/>
  <c r="P888" i="15"/>
  <c r="Q888" i="15"/>
  <c r="X888" i="15"/>
  <c r="C889" i="15"/>
  <c r="D889" i="15"/>
  <c r="E889" i="15"/>
  <c r="F889" i="15"/>
  <c r="G889" i="15"/>
  <c r="H889" i="15"/>
  <c r="I889" i="15"/>
  <c r="J889" i="15"/>
  <c r="K889" i="15"/>
  <c r="L889" i="15"/>
  <c r="O889" i="15"/>
  <c r="P889" i="15"/>
  <c r="Q889" i="15"/>
  <c r="X889" i="15"/>
  <c r="C890" i="15"/>
  <c r="D890" i="15"/>
  <c r="E890" i="15"/>
  <c r="F890" i="15"/>
  <c r="G890" i="15"/>
  <c r="H890" i="15"/>
  <c r="I890" i="15"/>
  <c r="J890" i="15"/>
  <c r="K890" i="15"/>
  <c r="L890" i="15"/>
  <c r="M890" i="15"/>
  <c r="N890" i="15"/>
  <c r="O890" i="15"/>
  <c r="P890" i="15"/>
  <c r="Q890" i="15"/>
  <c r="X890" i="15"/>
  <c r="C891" i="15"/>
  <c r="D891" i="15"/>
  <c r="E891" i="15"/>
  <c r="F891" i="15"/>
  <c r="G891" i="15"/>
  <c r="H891" i="15"/>
  <c r="I891" i="15"/>
  <c r="J891" i="15"/>
  <c r="K891" i="15"/>
  <c r="L891" i="15"/>
  <c r="M891" i="15"/>
  <c r="N891" i="15"/>
  <c r="O891" i="15"/>
  <c r="P891" i="15"/>
  <c r="Q891" i="15"/>
  <c r="X891" i="15"/>
  <c r="G892" i="15"/>
  <c r="I892" i="15"/>
  <c r="L892" i="15"/>
  <c r="N892" i="15"/>
  <c r="Q892" i="15"/>
  <c r="G893" i="15"/>
  <c r="I893" i="15"/>
  <c r="L893" i="15"/>
  <c r="N893" i="15"/>
  <c r="Q893" i="15"/>
  <c r="C894" i="15"/>
  <c r="D894" i="15"/>
  <c r="E894" i="15"/>
  <c r="F894" i="15"/>
  <c r="G894" i="15"/>
  <c r="H894" i="15"/>
  <c r="I894" i="15"/>
  <c r="J894" i="15"/>
  <c r="K894" i="15"/>
  <c r="L894" i="15"/>
  <c r="M894" i="15"/>
  <c r="N894" i="15"/>
  <c r="O894" i="15"/>
  <c r="P894" i="15"/>
  <c r="Q894" i="15"/>
  <c r="X894" i="15"/>
  <c r="C895" i="15"/>
  <c r="D895" i="15"/>
  <c r="E895" i="15"/>
  <c r="F895" i="15"/>
  <c r="G895" i="15"/>
  <c r="H895" i="15"/>
  <c r="I895" i="15"/>
  <c r="J895" i="15"/>
  <c r="K895" i="15"/>
  <c r="L895" i="15"/>
  <c r="M895" i="15"/>
  <c r="N895" i="15"/>
  <c r="O895" i="15"/>
  <c r="P895" i="15"/>
  <c r="Q895" i="15"/>
  <c r="X895" i="15"/>
  <c r="C896" i="15"/>
  <c r="D896" i="15"/>
  <c r="E896" i="15"/>
  <c r="F896" i="15"/>
  <c r="G896" i="15"/>
  <c r="H896" i="15"/>
  <c r="I896" i="15"/>
  <c r="J896" i="15"/>
  <c r="K896" i="15"/>
  <c r="L896" i="15"/>
  <c r="M896" i="15"/>
  <c r="N896" i="15"/>
  <c r="O896" i="15"/>
  <c r="P896" i="15"/>
  <c r="Q896" i="15"/>
  <c r="X896" i="15"/>
  <c r="C897" i="15"/>
  <c r="D897" i="15"/>
  <c r="E897" i="15"/>
  <c r="F897" i="15"/>
  <c r="G897" i="15"/>
  <c r="H897" i="15"/>
  <c r="I897" i="15"/>
  <c r="J897" i="15"/>
  <c r="K897" i="15"/>
  <c r="L897" i="15"/>
  <c r="M897" i="15"/>
  <c r="N897" i="15"/>
  <c r="O897" i="15"/>
  <c r="P897" i="15"/>
  <c r="Q897" i="15"/>
  <c r="X897" i="15"/>
  <c r="C898" i="15"/>
  <c r="D898" i="15"/>
  <c r="E898" i="15"/>
  <c r="F898" i="15"/>
  <c r="G898" i="15"/>
  <c r="H898" i="15"/>
  <c r="I898" i="15"/>
  <c r="J898" i="15"/>
  <c r="K898" i="15"/>
  <c r="L898" i="15"/>
  <c r="M898" i="15"/>
  <c r="N898" i="15"/>
  <c r="O898" i="15"/>
  <c r="P898" i="15"/>
  <c r="Q898" i="15"/>
  <c r="X898" i="15"/>
  <c r="C899" i="15"/>
  <c r="D899" i="15"/>
  <c r="E899" i="15"/>
  <c r="F899" i="15"/>
  <c r="G899" i="15"/>
  <c r="H899" i="15"/>
  <c r="I899" i="15"/>
  <c r="J899" i="15"/>
  <c r="K899" i="15"/>
  <c r="L899" i="15"/>
  <c r="M899" i="15"/>
  <c r="N899" i="15"/>
  <c r="O899" i="15"/>
  <c r="P899" i="15"/>
  <c r="Q899" i="15"/>
  <c r="X899" i="15"/>
  <c r="C900" i="15"/>
  <c r="D900" i="15"/>
  <c r="E900" i="15"/>
  <c r="F900" i="15"/>
  <c r="G900" i="15"/>
  <c r="H900" i="15"/>
  <c r="I900" i="15"/>
  <c r="L900" i="15"/>
  <c r="X900" i="15"/>
  <c r="C901" i="15"/>
  <c r="D901" i="15"/>
  <c r="E901" i="15"/>
  <c r="F901" i="15"/>
  <c r="G901" i="15"/>
  <c r="H901" i="15"/>
  <c r="I901" i="15"/>
  <c r="L901" i="15"/>
  <c r="X901" i="15"/>
  <c r="C902" i="15"/>
  <c r="D902" i="15"/>
  <c r="E902" i="15"/>
  <c r="F902" i="15"/>
  <c r="G902" i="15"/>
  <c r="H902" i="15"/>
  <c r="I902" i="15"/>
  <c r="L902" i="15"/>
  <c r="X902" i="15"/>
  <c r="C903" i="15"/>
  <c r="D903" i="15"/>
  <c r="E903" i="15"/>
  <c r="F903" i="15"/>
  <c r="G903" i="15"/>
  <c r="H903" i="15"/>
  <c r="I903" i="15"/>
  <c r="L903" i="15"/>
  <c r="X903" i="15"/>
  <c r="C904" i="15"/>
  <c r="D904" i="15"/>
  <c r="E904" i="15"/>
  <c r="F904" i="15"/>
  <c r="G904" i="15"/>
  <c r="H904" i="15"/>
  <c r="I904" i="15"/>
  <c r="L904" i="15"/>
  <c r="X904" i="15"/>
  <c r="C905" i="15"/>
  <c r="D905" i="15"/>
  <c r="E905" i="15"/>
  <c r="F905" i="15"/>
  <c r="G905" i="15"/>
  <c r="H905" i="15"/>
  <c r="I905" i="15"/>
  <c r="L905" i="15"/>
  <c r="X905" i="15"/>
  <c r="C906" i="15"/>
  <c r="D906" i="15"/>
  <c r="E906" i="15"/>
  <c r="F906" i="15"/>
  <c r="G906" i="15"/>
  <c r="H906" i="15"/>
  <c r="I906" i="15"/>
  <c r="L906" i="15"/>
  <c r="X906" i="15"/>
  <c r="C907" i="15"/>
  <c r="D907" i="15"/>
  <c r="E907" i="15"/>
  <c r="F907" i="15"/>
  <c r="G907" i="15"/>
  <c r="H907" i="15"/>
  <c r="I907" i="15"/>
  <c r="L907" i="15"/>
  <c r="X907" i="15"/>
  <c r="C908" i="15"/>
  <c r="D908" i="15"/>
  <c r="E908" i="15"/>
  <c r="F908" i="15"/>
  <c r="G908" i="15"/>
  <c r="H908" i="15"/>
  <c r="I908" i="15"/>
  <c r="L908" i="15"/>
  <c r="X908" i="15"/>
  <c r="C909" i="15"/>
  <c r="D909" i="15"/>
  <c r="E909" i="15"/>
  <c r="F909" i="15"/>
  <c r="G909" i="15"/>
  <c r="H909" i="15"/>
  <c r="I909" i="15"/>
  <c r="L909" i="15"/>
  <c r="X909" i="15"/>
  <c r="C910" i="15"/>
  <c r="D910" i="15"/>
  <c r="E910" i="15"/>
  <c r="F910" i="15"/>
  <c r="G910" i="15"/>
  <c r="H910" i="15"/>
  <c r="I910" i="15"/>
  <c r="L910" i="15"/>
  <c r="X910" i="15"/>
  <c r="C911" i="15"/>
  <c r="D911" i="15"/>
  <c r="E911" i="15"/>
  <c r="F911" i="15"/>
  <c r="G911" i="15"/>
  <c r="H911" i="15"/>
  <c r="I911" i="15"/>
  <c r="L911" i="15"/>
  <c r="X911" i="15"/>
  <c r="C912" i="15"/>
  <c r="D912" i="15"/>
  <c r="E912" i="15"/>
  <c r="F912" i="15"/>
  <c r="G912" i="15"/>
  <c r="H912" i="15"/>
  <c r="I912" i="15"/>
  <c r="L912" i="15"/>
  <c r="X912" i="15"/>
  <c r="C913" i="15"/>
  <c r="D913" i="15"/>
  <c r="E913" i="15"/>
  <c r="F913" i="15"/>
  <c r="G913" i="15"/>
  <c r="H913" i="15"/>
  <c r="I913" i="15"/>
  <c r="L913" i="15"/>
  <c r="X913" i="15"/>
  <c r="C914" i="15"/>
  <c r="D914" i="15"/>
  <c r="E914" i="15"/>
  <c r="F914" i="15"/>
  <c r="G914" i="15"/>
  <c r="H914" i="15"/>
  <c r="I914" i="15"/>
  <c r="L914" i="15"/>
  <c r="X914" i="15"/>
  <c r="C915" i="15"/>
  <c r="D915" i="15"/>
  <c r="E915" i="15"/>
  <c r="F915" i="15"/>
  <c r="G915" i="15"/>
  <c r="H915" i="15"/>
  <c r="I915" i="15"/>
  <c r="L915" i="15"/>
  <c r="X915" i="15"/>
  <c r="C916" i="15"/>
  <c r="D916" i="15"/>
  <c r="E916" i="15"/>
  <c r="F916" i="15"/>
  <c r="G916" i="15"/>
  <c r="H916" i="15"/>
  <c r="I916" i="15"/>
  <c r="L916" i="15"/>
  <c r="X916" i="15"/>
  <c r="C917" i="15"/>
  <c r="D917" i="15"/>
  <c r="E917" i="15"/>
  <c r="F917" i="15"/>
  <c r="G917" i="15"/>
  <c r="H917" i="15"/>
  <c r="I917" i="15"/>
  <c r="L917" i="15"/>
  <c r="X917" i="15"/>
  <c r="C918" i="15"/>
  <c r="D918" i="15"/>
  <c r="E918" i="15"/>
  <c r="F918" i="15"/>
  <c r="G918" i="15"/>
  <c r="H918" i="15"/>
  <c r="I918" i="15"/>
  <c r="L918" i="15"/>
  <c r="X918" i="15"/>
  <c r="C919" i="15"/>
  <c r="D919" i="15"/>
  <c r="E919" i="15"/>
  <c r="F919" i="15"/>
  <c r="G919" i="15"/>
  <c r="H919" i="15"/>
  <c r="I919" i="15"/>
  <c r="L919" i="15"/>
  <c r="X919" i="15"/>
  <c r="C920" i="15"/>
  <c r="D920" i="15"/>
  <c r="E920" i="15"/>
  <c r="F920" i="15"/>
  <c r="G920" i="15"/>
  <c r="H920" i="15"/>
  <c r="I920" i="15"/>
  <c r="L920" i="15"/>
  <c r="X920" i="15"/>
  <c r="C921" i="15"/>
  <c r="D921" i="15"/>
  <c r="E921" i="15"/>
  <c r="F921" i="15"/>
  <c r="G921" i="15"/>
  <c r="H921" i="15"/>
  <c r="I921" i="15"/>
  <c r="L921" i="15"/>
  <c r="X921" i="15"/>
  <c r="C922" i="15"/>
  <c r="D922" i="15"/>
  <c r="E922" i="15"/>
  <c r="F922" i="15"/>
  <c r="G922" i="15"/>
  <c r="H922" i="15"/>
  <c r="I922" i="15"/>
  <c r="L922" i="15"/>
  <c r="X922" i="15"/>
  <c r="C923" i="15"/>
  <c r="D923" i="15"/>
  <c r="E923" i="15"/>
  <c r="F923" i="15"/>
  <c r="G923" i="15"/>
  <c r="H923" i="15"/>
  <c r="I923" i="15"/>
  <c r="L923" i="15"/>
  <c r="X923" i="15"/>
  <c r="C924" i="15"/>
  <c r="D924" i="15"/>
  <c r="E924" i="15"/>
  <c r="F924" i="15"/>
  <c r="G924" i="15"/>
  <c r="H924" i="15"/>
  <c r="I924" i="15"/>
  <c r="L924" i="15"/>
  <c r="X924" i="15"/>
  <c r="C925" i="15"/>
  <c r="D925" i="15"/>
  <c r="E925" i="15"/>
  <c r="F925" i="15"/>
  <c r="G925" i="15"/>
  <c r="H925" i="15"/>
  <c r="I925" i="15"/>
  <c r="L925" i="15"/>
  <c r="X925" i="15"/>
  <c r="C926" i="15"/>
  <c r="D926" i="15"/>
  <c r="E926" i="15"/>
  <c r="F926" i="15"/>
  <c r="G926" i="15"/>
  <c r="H926" i="15"/>
  <c r="I926" i="15"/>
  <c r="L926" i="15"/>
  <c r="X926" i="15"/>
  <c r="C927" i="15"/>
  <c r="D927" i="15"/>
  <c r="E927" i="15"/>
  <c r="F927" i="15"/>
  <c r="G927" i="15"/>
  <c r="H927" i="15"/>
  <c r="I927" i="15"/>
  <c r="L927" i="15"/>
  <c r="X927" i="15"/>
  <c r="C928" i="15"/>
  <c r="D928" i="15"/>
  <c r="E928" i="15"/>
  <c r="F928" i="15"/>
  <c r="G928" i="15"/>
  <c r="H928" i="15"/>
  <c r="I928" i="15"/>
  <c r="L928" i="15"/>
  <c r="X928" i="15"/>
  <c r="C929" i="15"/>
  <c r="D929" i="15"/>
  <c r="E929" i="15"/>
  <c r="F929" i="15"/>
  <c r="G929" i="15"/>
  <c r="H929" i="15"/>
  <c r="I929" i="15"/>
  <c r="L929" i="15"/>
  <c r="X929" i="15"/>
  <c r="C930" i="15"/>
  <c r="D930" i="15"/>
  <c r="E930" i="15"/>
  <c r="F930" i="15"/>
  <c r="G930" i="15"/>
  <c r="H930" i="15"/>
  <c r="I930" i="15"/>
  <c r="J930" i="15"/>
  <c r="K930" i="15"/>
  <c r="L930" i="15"/>
  <c r="M930" i="15"/>
  <c r="N930" i="15"/>
  <c r="O930" i="15"/>
  <c r="P930" i="15"/>
  <c r="Q930" i="15"/>
  <c r="X930" i="15"/>
  <c r="C931" i="15"/>
  <c r="D931" i="15"/>
  <c r="E931" i="15"/>
  <c r="F931" i="15"/>
  <c r="G931" i="15"/>
  <c r="H931" i="15"/>
  <c r="I931" i="15"/>
  <c r="J931" i="15"/>
  <c r="K931" i="15"/>
  <c r="L931" i="15"/>
  <c r="M931" i="15"/>
  <c r="N931" i="15"/>
  <c r="O931" i="15"/>
  <c r="P931" i="15"/>
  <c r="Q931" i="15"/>
  <c r="X931" i="15"/>
  <c r="C932" i="15"/>
  <c r="D932" i="15"/>
  <c r="E932" i="15"/>
  <c r="F932" i="15"/>
  <c r="G932" i="15"/>
  <c r="H932" i="15"/>
  <c r="I932" i="15"/>
  <c r="J932" i="15"/>
  <c r="K932" i="15"/>
  <c r="L932" i="15"/>
  <c r="M932" i="15"/>
  <c r="N932" i="15"/>
  <c r="O932" i="15"/>
  <c r="P932" i="15"/>
  <c r="Q932" i="15"/>
  <c r="X932" i="15"/>
  <c r="C933" i="15"/>
  <c r="D933" i="15"/>
  <c r="E933" i="15"/>
  <c r="F933" i="15"/>
  <c r="G933" i="15"/>
  <c r="H933" i="15"/>
  <c r="I933" i="15"/>
  <c r="J933" i="15"/>
  <c r="K933" i="15"/>
  <c r="L933" i="15"/>
  <c r="M933" i="15"/>
  <c r="N933" i="15"/>
  <c r="O933" i="15"/>
  <c r="P933" i="15"/>
  <c r="Q933" i="15"/>
  <c r="X933" i="15"/>
  <c r="C934" i="15"/>
  <c r="D934" i="15"/>
  <c r="E934" i="15"/>
  <c r="F934" i="15"/>
  <c r="G934" i="15"/>
  <c r="H934" i="15"/>
  <c r="I934" i="15"/>
  <c r="J934" i="15"/>
  <c r="K934" i="15"/>
  <c r="L934" i="15"/>
  <c r="M934" i="15"/>
  <c r="N934" i="15"/>
  <c r="O934" i="15"/>
  <c r="P934" i="15"/>
  <c r="Q934" i="15"/>
  <c r="X934" i="15"/>
  <c r="C935" i="15"/>
  <c r="D935" i="15"/>
  <c r="E935" i="15"/>
  <c r="F935" i="15"/>
  <c r="G935" i="15"/>
  <c r="H935" i="15"/>
  <c r="I935" i="15"/>
  <c r="J935" i="15"/>
  <c r="K935" i="15"/>
  <c r="L935" i="15"/>
  <c r="M935" i="15"/>
  <c r="N935" i="15"/>
  <c r="O935" i="15"/>
  <c r="P935" i="15"/>
  <c r="Q935" i="15"/>
  <c r="X935" i="15"/>
  <c r="C936" i="15"/>
  <c r="D936" i="15"/>
  <c r="E936" i="15"/>
  <c r="F936" i="15"/>
  <c r="G936" i="15"/>
  <c r="H936" i="15"/>
  <c r="I936" i="15"/>
  <c r="J936" i="15"/>
  <c r="K936" i="15"/>
  <c r="L936" i="15"/>
  <c r="M936" i="15"/>
  <c r="N936" i="15"/>
  <c r="O936" i="15"/>
  <c r="P936" i="15"/>
  <c r="Q936" i="15"/>
  <c r="X936" i="15"/>
  <c r="C937" i="15"/>
  <c r="D937" i="15"/>
  <c r="E937" i="15"/>
  <c r="F937" i="15"/>
  <c r="G937" i="15"/>
  <c r="H937" i="15"/>
  <c r="I937" i="15"/>
  <c r="J937" i="15"/>
  <c r="K937" i="15"/>
  <c r="L937" i="15"/>
  <c r="M937" i="15"/>
  <c r="N937" i="15"/>
  <c r="O937" i="15"/>
  <c r="P937" i="15"/>
  <c r="Q937" i="15"/>
  <c r="X937" i="15"/>
  <c r="C938" i="15"/>
  <c r="D938" i="15"/>
  <c r="E938" i="15"/>
  <c r="F938" i="15"/>
  <c r="G938" i="15"/>
  <c r="H938" i="15"/>
  <c r="I938" i="15"/>
  <c r="J938" i="15"/>
  <c r="K938" i="15"/>
  <c r="L938" i="15"/>
  <c r="M938" i="15"/>
  <c r="N938" i="15"/>
  <c r="O938" i="15"/>
  <c r="P938" i="15"/>
  <c r="Q938" i="15"/>
  <c r="X938" i="15"/>
  <c r="C939" i="15"/>
  <c r="D939" i="15"/>
  <c r="E939" i="15"/>
  <c r="F939" i="15"/>
  <c r="G939" i="15"/>
  <c r="H939" i="15"/>
  <c r="I939" i="15"/>
  <c r="J939" i="15"/>
  <c r="K939" i="15"/>
  <c r="L939" i="15"/>
  <c r="M939" i="15"/>
  <c r="N939" i="15"/>
  <c r="O939" i="15"/>
  <c r="P939" i="15"/>
  <c r="Q939" i="15"/>
  <c r="X939" i="15"/>
  <c r="C940" i="15"/>
  <c r="D940" i="15"/>
  <c r="E940" i="15"/>
  <c r="F940" i="15"/>
  <c r="G940" i="15"/>
  <c r="H940" i="15"/>
  <c r="I940" i="15"/>
  <c r="J940" i="15"/>
  <c r="K940" i="15"/>
  <c r="L940" i="15"/>
  <c r="M940" i="15"/>
  <c r="N940" i="15"/>
  <c r="O940" i="15"/>
  <c r="P940" i="15"/>
  <c r="Q940" i="15"/>
  <c r="X940" i="15"/>
  <c r="C941" i="15"/>
  <c r="D941" i="15"/>
  <c r="E941" i="15"/>
  <c r="F941" i="15"/>
  <c r="G941" i="15"/>
  <c r="H941" i="15"/>
  <c r="I941" i="15"/>
  <c r="J941" i="15"/>
  <c r="K941" i="15"/>
  <c r="L941" i="15"/>
  <c r="M941" i="15"/>
  <c r="N941" i="15"/>
  <c r="O941" i="15"/>
  <c r="P941" i="15"/>
  <c r="Q941" i="15"/>
  <c r="X941" i="15"/>
  <c r="C942" i="15"/>
  <c r="D942" i="15"/>
  <c r="E942" i="15"/>
  <c r="F942" i="15"/>
  <c r="G942" i="15"/>
  <c r="H942" i="15"/>
  <c r="I942" i="15"/>
  <c r="J942" i="15"/>
  <c r="K942" i="15"/>
  <c r="L942" i="15"/>
  <c r="M942" i="15"/>
  <c r="N942" i="15"/>
  <c r="O942" i="15"/>
  <c r="P942" i="15"/>
  <c r="Q942" i="15"/>
  <c r="X942" i="15"/>
  <c r="C943" i="15"/>
  <c r="D943" i="15"/>
  <c r="E943" i="15"/>
  <c r="F943" i="15"/>
  <c r="G943" i="15"/>
  <c r="H943" i="15"/>
  <c r="I943" i="15"/>
  <c r="J943" i="15"/>
  <c r="K943" i="15"/>
  <c r="L943" i="15"/>
  <c r="M943" i="15"/>
  <c r="N943" i="15"/>
  <c r="O943" i="15"/>
  <c r="P943" i="15"/>
  <c r="Q943" i="15"/>
  <c r="X943" i="15"/>
  <c r="C944" i="15"/>
  <c r="D944" i="15"/>
  <c r="E944" i="15"/>
  <c r="F944" i="15"/>
  <c r="G944" i="15"/>
  <c r="H944" i="15"/>
  <c r="I944" i="15"/>
  <c r="J944" i="15"/>
  <c r="K944" i="15"/>
  <c r="L944" i="15"/>
  <c r="M944" i="15"/>
  <c r="N944" i="15"/>
  <c r="O944" i="15"/>
  <c r="P944" i="15"/>
  <c r="Q944" i="15"/>
  <c r="X944" i="15"/>
  <c r="C945" i="15"/>
  <c r="D945" i="15"/>
  <c r="E945" i="15"/>
  <c r="F945" i="15"/>
  <c r="G945" i="15"/>
  <c r="H945" i="15"/>
  <c r="I945" i="15"/>
  <c r="J945" i="15"/>
  <c r="K945" i="15"/>
  <c r="L945" i="15"/>
  <c r="M945" i="15"/>
  <c r="N945" i="15"/>
  <c r="O945" i="15"/>
  <c r="P945" i="15"/>
  <c r="Q945" i="15"/>
  <c r="X945" i="15"/>
  <c r="C946" i="15"/>
  <c r="D946" i="15"/>
  <c r="E946" i="15"/>
  <c r="F946" i="15"/>
  <c r="G946" i="15"/>
  <c r="H946" i="15"/>
  <c r="I946" i="15"/>
  <c r="J946" i="15"/>
  <c r="K946" i="15"/>
  <c r="L946" i="15"/>
  <c r="M946" i="15"/>
  <c r="N946" i="15"/>
  <c r="O946" i="15"/>
  <c r="P946" i="15"/>
  <c r="Q946" i="15"/>
  <c r="X946" i="15"/>
  <c r="C947" i="15"/>
  <c r="D947" i="15"/>
  <c r="E947" i="15"/>
  <c r="F947" i="15"/>
  <c r="G947" i="15"/>
  <c r="H947" i="15"/>
  <c r="I947" i="15"/>
  <c r="J947" i="15"/>
  <c r="K947" i="15"/>
  <c r="L947" i="15"/>
  <c r="M947" i="15"/>
  <c r="N947" i="15"/>
  <c r="O947" i="15"/>
  <c r="P947" i="15"/>
  <c r="Q947" i="15"/>
  <c r="X947" i="15"/>
  <c r="C948" i="15"/>
  <c r="D948" i="15"/>
  <c r="E948" i="15"/>
  <c r="F948" i="15"/>
  <c r="G948" i="15"/>
  <c r="H948" i="15"/>
  <c r="I948" i="15"/>
  <c r="J948" i="15"/>
  <c r="K948" i="15"/>
  <c r="L948" i="15"/>
  <c r="M948" i="15"/>
  <c r="N948" i="15"/>
  <c r="O948" i="15"/>
  <c r="P948" i="15"/>
  <c r="Q948" i="15"/>
  <c r="X948" i="15"/>
  <c r="C949" i="15"/>
  <c r="D949" i="15"/>
  <c r="E949" i="15"/>
  <c r="F949" i="15"/>
  <c r="G949" i="15"/>
  <c r="H949" i="15"/>
  <c r="I949" i="15"/>
  <c r="J949" i="15"/>
  <c r="K949" i="15"/>
  <c r="L949" i="15"/>
  <c r="M949" i="15"/>
  <c r="N949" i="15"/>
  <c r="O949" i="15"/>
  <c r="P949" i="15"/>
  <c r="Q949" i="15"/>
  <c r="X949" i="15"/>
  <c r="C950" i="15"/>
  <c r="D950" i="15"/>
  <c r="E950" i="15"/>
  <c r="F950" i="15"/>
  <c r="G950" i="15"/>
  <c r="H950" i="15"/>
  <c r="I950" i="15"/>
  <c r="J950" i="15"/>
  <c r="K950" i="15"/>
  <c r="L950" i="15"/>
  <c r="M950" i="15"/>
  <c r="N950" i="15"/>
  <c r="O950" i="15"/>
  <c r="P950" i="15"/>
  <c r="Q950" i="15"/>
  <c r="X950" i="15"/>
  <c r="C951" i="15"/>
  <c r="D951" i="15"/>
  <c r="E951" i="15"/>
  <c r="F951" i="15"/>
  <c r="G951" i="15"/>
  <c r="H951" i="15"/>
  <c r="I951" i="15"/>
  <c r="J951" i="15"/>
  <c r="K951" i="15"/>
  <c r="L951" i="15"/>
  <c r="M951" i="15"/>
  <c r="N951" i="15"/>
  <c r="O951" i="15"/>
  <c r="P951" i="15"/>
  <c r="Q951" i="15"/>
  <c r="X951" i="15"/>
  <c r="C952" i="15"/>
  <c r="D952" i="15"/>
  <c r="E952" i="15"/>
  <c r="F952" i="15"/>
  <c r="G952" i="15"/>
  <c r="H952" i="15"/>
  <c r="I952" i="15"/>
  <c r="J952" i="15"/>
  <c r="K952" i="15"/>
  <c r="L952" i="15"/>
  <c r="M952" i="15"/>
  <c r="N952" i="15"/>
  <c r="O952" i="15"/>
  <c r="P952" i="15"/>
  <c r="Q952" i="15"/>
  <c r="X952" i="15"/>
  <c r="C953" i="15"/>
  <c r="D953" i="15"/>
  <c r="E953" i="15"/>
  <c r="F953" i="15"/>
  <c r="G953" i="15"/>
  <c r="H953" i="15"/>
  <c r="I953" i="15"/>
  <c r="J953" i="15"/>
  <c r="K953" i="15"/>
  <c r="L953" i="15"/>
  <c r="M953" i="15"/>
  <c r="N953" i="15"/>
  <c r="O953" i="15"/>
  <c r="P953" i="15"/>
  <c r="Q953" i="15"/>
  <c r="X953" i="15"/>
  <c r="C954" i="15"/>
  <c r="D954" i="15"/>
  <c r="E954" i="15"/>
  <c r="F954" i="15"/>
  <c r="G954" i="15"/>
  <c r="H954" i="15"/>
  <c r="I954" i="15"/>
  <c r="J954" i="15"/>
  <c r="K954" i="15"/>
  <c r="L954" i="15"/>
  <c r="M954" i="15"/>
  <c r="N954" i="15"/>
  <c r="O954" i="15"/>
  <c r="P954" i="15"/>
  <c r="Q954" i="15"/>
  <c r="X954" i="15"/>
  <c r="C955" i="15"/>
  <c r="D955" i="15"/>
  <c r="E955" i="15"/>
  <c r="F955" i="15"/>
  <c r="G955" i="15"/>
  <c r="H955" i="15"/>
  <c r="I955" i="15"/>
  <c r="J955" i="15"/>
  <c r="K955" i="15"/>
  <c r="L955" i="15"/>
  <c r="M955" i="15"/>
  <c r="N955" i="15"/>
  <c r="O955" i="15"/>
  <c r="P955" i="15"/>
  <c r="Q955" i="15"/>
  <c r="X955" i="15"/>
  <c r="C956" i="15"/>
  <c r="D956" i="15"/>
  <c r="E956" i="15"/>
  <c r="F956" i="15"/>
  <c r="G956" i="15"/>
  <c r="H956" i="15"/>
  <c r="I956" i="15"/>
  <c r="J956" i="15"/>
  <c r="K956" i="15"/>
  <c r="L956" i="15"/>
  <c r="M956" i="15"/>
  <c r="N956" i="15"/>
  <c r="O956" i="15"/>
  <c r="P956" i="15"/>
  <c r="Q956" i="15"/>
  <c r="X956" i="15"/>
  <c r="C957" i="15"/>
  <c r="D957" i="15"/>
  <c r="E957" i="15"/>
  <c r="F957" i="15"/>
  <c r="G957" i="15"/>
  <c r="H957" i="15"/>
  <c r="I957" i="15"/>
  <c r="J957" i="15"/>
  <c r="K957" i="15"/>
  <c r="L957" i="15"/>
  <c r="M957" i="15"/>
  <c r="N957" i="15"/>
  <c r="O957" i="15"/>
  <c r="P957" i="15"/>
  <c r="Q957" i="15"/>
  <c r="X957" i="15"/>
  <c r="C958" i="15"/>
  <c r="D958" i="15"/>
  <c r="E958" i="15"/>
  <c r="F958" i="15"/>
  <c r="G958" i="15"/>
  <c r="H958" i="15"/>
  <c r="I958" i="15"/>
  <c r="J958" i="15"/>
  <c r="K958" i="15"/>
  <c r="L958" i="15"/>
  <c r="M958" i="15"/>
  <c r="N958" i="15"/>
  <c r="O958" i="15"/>
  <c r="P958" i="15"/>
  <c r="Q958" i="15"/>
  <c r="X958" i="15"/>
  <c r="C959" i="15"/>
  <c r="D959" i="15"/>
  <c r="E959" i="15"/>
  <c r="F959" i="15"/>
  <c r="G959" i="15"/>
  <c r="H959" i="15"/>
  <c r="I959" i="15"/>
  <c r="J959" i="15"/>
  <c r="K959" i="15"/>
  <c r="L959" i="15"/>
  <c r="M959" i="15"/>
  <c r="N959" i="15"/>
  <c r="O959" i="15"/>
  <c r="P959" i="15"/>
  <c r="Q959" i="15"/>
  <c r="X959" i="15"/>
  <c r="C960" i="15"/>
  <c r="D960" i="15"/>
  <c r="E960" i="15"/>
  <c r="F960" i="15"/>
  <c r="G960" i="15"/>
  <c r="H960" i="15"/>
  <c r="I960" i="15"/>
  <c r="J960" i="15"/>
  <c r="K960" i="15"/>
  <c r="L960" i="15"/>
  <c r="M960" i="15"/>
  <c r="N960" i="15"/>
  <c r="O960" i="15"/>
  <c r="P960" i="15"/>
  <c r="Q960" i="15"/>
  <c r="X960" i="15"/>
  <c r="C961" i="15"/>
  <c r="D961" i="15"/>
  <c r="E961" i="15"/>
  <c r="F961" i="15"/>
  <c r="G961" i="15"/>
  <c r="H961" i="15"/>
  <c r="I961" i="15"/>
  <c r="J961" i="15"/>
  <c r="K961" i="15"/>
  <c r="L961" i="15"/>
  <c r="M961" i="15"/>
  <c r="N961" i="15"/>
  <c r="O961" i="15"/>
  <c r="P961" i="15"/>
  <c r="Q961" i="15"/>
  <c r="X961" i="15"/>
  <c r="C962" i="15"/>
  <c r="D962" i="15"/>
  <c r="E962" i="15"/>
  <c r="F962" i="15"/>
  <c r="G962" i="15"/>
  <c r="J962" i="15"/>
  <c r="K962" i="15"/>
  <c r="L962" i="15"/>
  <c r="N962" i="15"/>
  <c r="O962" i="15"/>
  <c r="P962" i="15"/>
  <c r="Q962" i="15"/>
  <c r="X962" i="15"/>
  <c r="C963" i="15"/>
  <c r="D963" i="15"/>
  <c r="E963" i="15"/>
  <c r="F963" i="15"/>
  <c r="G963" i="15"/>
  <c r="H963" i="15"/>
  <c r="I963" i="15"/>
  <c r="J963" i="15"/>
  <c r="K963" i="15"/>
  <c r="L963" i="15"/>
  <c r="M963" i="15"/>
  <c r="N963" i="15"/>
  <c r="O963" i="15"/>
  <c r="P963" i="15"/>
  <c r="Q963" i="15"/>
  <c r="X963" i="15"/>
  <c r="C964" i="15"/>
  <c r="D964" i="15"/>
  <c r="E964" i="15"/>
  <c r="F964" i="15"/>
  <c r="G964" i="15"/>
  <c r="H964" i="15"/>
  <c r="I964" i="15"/>
  <c r="J964" i="15"/>
  <c r="K964" i="15"/>
  <c r="L964" i="15"/>
  <c r="M964" i="15"/>
  <c r="N964" i="15"/>
  <c r="O964" i="15"/>
  <c r="P964" i="15"/>
  <c r="Q964" i="15"/>
  <c r="X964" i="15"/>
  <c r="C965" i="15"/>
  <c r="D965" i="15"/>
  <c r="E965" i="15"/>
  <c r="F965" i="15"/>
  <c r="G965" i="15"/>
  <c r="H965" i="15"/>
  <c r="I965" i="15"/>
  <c r="J965" i="15"/>
  <c r="K965" i="15"/>
  <c r="L965" i="15"/>
  <c r="M965" i="15"/>
  <c r="N965" i="15"/>
  <c r="O965" i="15"/>
  <c r="P965" i="15"/>
  <c r="Q965" i="15"/>
  <c r="X965" i="15"/>
  <c r="C966" i="15"/>
  <c r="D966" i="15"/>
  <c r="E966" i="15"/>
  <c r="F966" i="15"/>
  <c r="G966" i="15"/>
  <c r="H966" i="15"/>
  <c r="I966" i="15"/>
  <c r="J966" i="15"/>
  <c r="K966" i="15"/>
  <c r="L966" i="15"/>
  <c r="M966" i="15"/>
  <c r="N966" i="15"/>
  <c r="O966" i="15"/>
  <c r="P966" i="15"/>
  <c r="Q966" i="15"/>
  <c r="X966" i="15"/>
  <c r="C967" i="15"/>
  <c r="D967" i="15"/>
  <c r="E967" i="15"/>
  <c r="F967" i="15"/>
  <c r="G967" i="15"/>
  <c r="H967" i="15"/>
  <c r="I967" i="15"/>
  <c r="J967" i="15"/>
  <c r="K967" i="15"/>
  <c r="L967" i="15"/>
  <c r="M967" i="15"/>
  <c r="N967" i="15"/>
  <c r="O967" i="15"/>
  <c r="P967" i="15"/>
  <c r="Q967" i="15"/>
  <c r="X967" i="15"/>
  <c r="C968" i="15"/>
  <c r="D968" i="15"/>
  <c r="E968" i="15"/>
  <c r="F968" i="15"/>
  <c r="G968" i="15"/>
  <c r="H968" i="15"/>
  <c r="I968" i="15"/>
  <c r="J968" i="15"/>
  <c r="K968" i="15"/>
  <c r="L968" i="15"/>
  <c r="M968" i="15"/>
  <c r="N968" i="15"/>
  <c r="O968" i="15"/>
  <c r="P968" i="15"/>
  <c r="Q968" i="15"/>
  <c r="X968" i="15"/>
  <c r="C969" i="15"/>
  <c r="D969" i="15"/>
  <c r="E969" i="15"/>
  <c r="F969" i="15"/>
  <c r="G969" i="15"/>
  <c r="H969" i="15"/>
  <c r="I969" i="15"/>
  <c r="J969" i="15"/>
  <c r="K969" i="15"/>
  <c r="L969" i="15"/>
  <c r="M969" i="15"/>
  <c r="N969" i="15"/>
  <c r="O969" i="15"/>
  <c r="P969" i="15"/>
  <c r="Q969" i="15"/>
  <c r="X969" i="15"/>
  <c r="C970" i="15"/>
  <c r="D970" i="15"/>
  <c r="E970" i="15"/>
  <c r="F970" i="15"/>
  <c r="G970" i="15"/>
  <c r="H970" i="15"/>
  <c r="I970" i="15"/>
  <c r="J970" i="15"/>
  <c r="K970" i="15"/>
  <c r="L970" i="15"/>
  <c r="M970" i="15"/>
  <c r="N970" i="15"/>
  <c r="O970" i="15"/>
  <c r="P970" i="15"/>
  <c r="Q970" i="15"/>
  <c r="X970" i="15"/>
  <c r="C971" i="15"/>
  <c r="D971" i="15"/>
  <c r="E971" i="15"/>
  <c r="F971" i="15"/>
  <c r="G971" i="15"/>
  <c r="H971" i="15"/>
  <c r="I971" i="15"/>
  <c r="J971" i="15"/>
  <c r="K971" i="15"/>
  <c r="L971" i="15"/>
  <c r="M971" i="15"/>
  <c r="N971" i="15"/>
  <c r="O971" i="15"/>
  <c r="P971" i="15"/>
  <c r="Q971" i="15"/>
  <c r="X971" i="15"/>
  <c r="C972" i="15"/>
  <c r="D972" i="15"/>
  <c r="E972" i="15"/>
  <c r="F972" i="15"/>
  <c r="G972" i="15"/>
  <c r="H972" i="15"/>
  <c r="I972" i="15"/>
  <c r="J972" i="15"/>
  <c r="K972" i="15"/>
  <c r="L972" i="15"/>
  <c r="M972" i="15"/>
  <c r="N972" i="15"/>
  <c r="O972" i="15"/>
  <c r="P972" i="15"/>
  <c r="Q972" i="15"/>
  <c r="X972" i="15"/>
  <c r="C973" i="15"/>
  <c r="D973" i="15"/>
  <c r="E973" i="15"/>
  <c r="F973" i="15"/>
  <c r="G973" i="15"/>
  <c r="H973" i="15"/>
  <c r="I973" i="15"/>
  <c r="J973" i="15"/>
  <c r="K973" i="15"/>
  <c r="L973" i="15"/>
  <c r="M973" i="15"/>
  <c r="N973" i="15"/>
  <c r="O973" i="15"/>
  <c r="P973" i="15"/>
  <c r="Q973" i="15"/>
  <c r="X973" i="15"/>
  <c r="C974" i="15"/>
  <c r="D974" i="15"/>
  <c r="E974" i="15"/>
  <c r="F974" i="15"/>
  <c r="G974" i="15"/>
  <c r="H974" i="15"/>
  <c r="I974" i="15"/>
  <c r="J974" i="15"/>
  <c r="K974" i="15"/>
  <c r="L974" i="15"/>
  <c r="M974" i="15"/>
  <c r="N974" i="15"/>
  <c r="O974" i="15"/>
  <c r="P974" i="15"/>
  <c r="Q974" i="15"/>
  <c r="X974" i="15"/>
  <c r="C975" i="15"/>
  <c r="D975" i="15"/>
  <c r="E975" i="15"/>
  <c r="F975" i="15"/>
  <c r="G975" i="15"/>
  <c r="H975" i="15"/>
  <c r="I975" i="15"/>
  <c r="J975" i="15"/>
  <c r="K975" i="15"/>
  <c r="L975" i="15"/>
  <c r="M975" i="15"/>
  <c r="N975" i="15"/>
  <c r="O975" i="15"/>
  <c r="P975" i="15"/>
  <c r="Q975" i="15"/>
  <c r="X975" i="15"/>
  <c r="C976" i="15"/>
  <c r="D976" i="15"/>
  <c r="E976" i="15"/>
  <c r="F976" i="15"/>
  <c r="G976" i="15"/>
  <c r="H976" i="15"/>
  <c r="I976" i="15"/>
  <c r="J976" i="15"/>
  <c r="K976" i="15"/>
  <c r="L976" i="15"/>
  <c r="M976" i="15"/>
  <c r="N976" i="15"/>
  <c r="O976" i="15"/>
  <c r="P976" i="15"/>
  <c r="Q976" i="15"/>
  <c r="X976" i="15"/>
  <c r="C977" i="15"/>
  <c r="D977" i="15"/>
  <c r="E977" i="15"/>
  <c r="F977" i="15"/>
  <c r="G977" i="15"/>
  <c r="H977" i="15"/>
  <c r="I977" i="15"/>
  <c r="J977" i="15"/>
  <c r="K977" i="15"/>
  <c r="L977" i="15"/>
  <c r="M977" i="15"/>
  <c r="N977" i="15"/>
  <c r="O977" i="15"/>
  <c r="P977" i="15"/>
  <c r="Q977" i="15"/>
  <c r="X977" i="15"/>
  <c r="C978" i="15"/>
  <c r="D978" i="15"/>
  <c r="E978" i="15"/>
  <c r="F978" i="15"/>
  <c r="G978" i="15"/>
  <c r="H978" i="15"/>
  <c r="I978" i="15"/>
  <c r="J978" i="15"/>
  <c r="K978" i="15"/>
  <c r="L978" i="15"/>
  <c r="M978" i="15"/>
  <c r="N978" i="15"/>
  <c r="O978" i="15"/>
  <c r="P978" i="15"/>
  <c r="Q978" i="15"/>
  <c r="X978" i="15"/>
  <c r="C979" i="15"/>
  <c r="D979" i="15"/>
  <c r="E979" i="15"/>
  <c r="F979" i="15"/>
  <c r="G979" i="15"/>
  <c r="H979" i="15"/>
  <c r="I979" i="15"/>
  <c r="J979" i="15"/>
  <c r="K979" i="15"/>
  <c r="L979" i="15"/>
  <c r="M979" i="15"/>
  <c r="N979" i="15"/>
  <c r="O979" i="15"/>
  <c r="P979" i="15"/>
  <c r="Q979" i="15"/>
  <c r="X979" i="15"/>
  <c r="C980" i="15"/>
  <c r="D980" i="15"/>
  <c r="E980" i="15"/>
  <c r="F980" i="15"/>
  <c r="G980" i="15"/>
  <c r="H980" i="15"/>
  <c r="I980" i="15"/>
  <c r="J980" i="15"/>
  <c r="K980" i="15"/>
  <c r="L980" i="15"/>
  <c r="N980" i="15"/>
  <c r="O980" i="15"/>
  <c r="P980" i="15"/>
  <c r="Q980" i="15"/>
  <c r="X980" i="15"/>
  <c r="G981" i="15"/>
  <c r="I981" i="15"/>
  <c r="L981" i="15"/>
  <c r="N981" i="15"/>
  <c r="Q981" i="15"/>
  <c r="C982" i="15"/>
  <c r="D982" i="15"/>
  <c r="E982" i="15"/>
  <c r="F982" i="15"/>
  <c r="G982" i="15"/>
  <c r="H982" i="15"/>
  <c r="I982" i="15"/>
  <c r="J982" i="15"/>
  <c r="K982" i="15"/>
  <c r="L982" i="15"/>
  <c r="N982" i="15"/>
  <c r="O982" i="15"/>
  <c r="P982" i="15"/>
  <c r="Q982" i="15"/>
  <c r="X982" i="15"/>
  <c r="C983" i="15"/>
  <c r="D983" i="15"/>
  <c r="E983" i="15"/>
  <c r="F983" i="15"/>
  <c r="G983" i="15"/>
  <c r="H983" i="15"/>
  <c r="I983" i="15"/>
  <c r="J983" i="15"/>
  <c r="K983" i="15"/>
  <c r="L983" i="15"/>
  <c r="N983" i="15"/>
  <c r="O983" i="15"/>
  <c r="P983" i="15"/>
  <c r="Q983" i="15"/>
  <c r="X983" i="15"/>
  <c r="C984" i="15"/>
  <c r="D984" i="15"/>
  <c r="E984" i="15"/>
  <c r="F984" i="15"/>
  <c r="G984" i="15"/>
  <c r="H984" i="15"/>
  <c r="I984" i="15"/>
  <c r="J984" i="15"/>
  <c r="K984" i="15"/>
  <c r="L984" i="15"/>
  <c r="N984" i="15"/>
  <c r="O984" i="15"/>
  <c r="P984" i="15"/>
  <c r="Q984" i="15"/>
  <c r="X984" i="15"/>
  <c r="C985" i="15"/>
  <c r="D985" i="15"/>
  <c r="E985" i="15"/>
  <c r="F985" i="15"/>
  <c r="G985" i="15"/>
  <c r="H985" i="15"/>
  <c r="I985" i="15"/>
  <c r="J985" i="15"/>
  <c r="K985" i="15"/>
  <c r="L985" i="15"/>
  <c r="N985" i="15"/>
  <c r="O985" i="15"/>
  <c r="P985" i="15"/>
  <c r="Q985" i="15"/>
  <c r="X985" i="15"/>
  <c r="C986" i="15"/>
  <c r="D986" i="15"/>
  <c r="E986" i="15"/>
  <c r="F986" i="15"/>
  <c r="G986" i="15"/>
  <c r="H986" i="15"/>
  <c r="I986" i="15"/>
  <c r="J986" i="15"/>
  <c r="K986" i="15"/>
  <c r="L986" i="15"/>
  <c r="M986" i="15"/>
  <c r="N986" i="15"/>
  <c r="O986" i="15"/>
  <c r="P986" i="15"/>
  <c r="Q986" i="15"/>
  <c r="X986" i="15"/>
  <c r="C987" i="15"/>
  <c r="D987" i="15"/>
  <c r="E987" i="15"/>
  <c r="F987" i="15"/>
  <c r="G987" i="15"/>
  <c r="H987" i="15"/>
  <c r="I987" i="15"/>
  <c r="J987" i="15"/>
  <c r="K987" i="15"/>
  <c r="L987" i="15"/>
  <c r="M987" i="15"/>
  <c r="N987" i="15"/>
  <c r="O987" i="15"/>
  <c r="P987" i="15"/>
  <c r="Q987" i="15"/>
  <c r="X987" i="15"/>
  <c r="C988" i="15"/>
  <c r="D988" i="15"/>
  <c r="E988" i="15"/>
  <c r="F988" i="15"/>
  <c r="G988" i="15"/>
  <c r="H988" i="15"/>
  <c r="I988" i="15"/>
  <c r="J988" i="15"/>
  <c r="K988" i="15"/>
  <c r="L988" i="15"/>
  <c r="N988" i="15"/>
  <c r="O988" i="15"/>
  <c r="P988" i="15"/>
  <c r="Q988" i="15"/>
  <c r="X988" i="15"/>
  <c r="C989" i="15"/>
  <c r="D989" i="15"/>
  <c r="E989" i="15"/>
  <c r="F989" i="15"/>
  <c r="G989" i="15"/>
  <c r="H989" i="15"/>
  <c r="I989" i="15"/>
  <c r="J989" i="15"/>
  <c r="K989" i="15"/>
  <c r="L989" i="15"/>
  <c r="M989" i="15"/>
  <c r="N989" i="15"/>
  <c r="O989" i="15"/>
  <c r="P989" i="15"/>
  <c r="Q989" i="15"/>
  <c r="X989" i="15"/>
  <c r="C990" i="15"/>
  <c r="D990" i="15"/>
  <c r="E990" i="15"/>
  <c r="F990" i="15"/>
  <c r="G990" i="15"/>
  <c r="H990" i="15"/>
  <c r="I990" i="15"/>
  <c r="J990" i="15"/>
  <c r="K990" i="15"/>
  <c r="L990" i="15"/>
  <c r="M990" i="15"/>
  <c r="N990" i="15"/>
  <c r="O990" i="15"/>
  <c r="P990" i="15"/>
  <c r="Q990" i="15"/>
  <c r="X990" i="15"/>
  <c r="C991" i="15"/>
  <c r="D991" i="15"/>
  <c r="E991" i="15"/>
  <c r="F991" i="15"/>
  <c r="G991" i="15"/>
  <c r="H991" i="15"/>
  <c r="I991" i="15"/>
  <c r="J991" i="15"/>
  <c r="K991" i="15"/>
  <c r="L991" i="15"/>
  <c r="M991" i="15"/>
  <c r="N991" i="15"/>
  <c r="O991" i="15"/>
  <c r="P991" i="15"/>
  <c r="Q991" i="15"/>
  <c r="X991" i="15"/>
  <c r="C992" i="15"/>
  <c r="D992" i="15"/>
  <c r="E992" i="15"/>
  <c r="F992" i="15"/>
  <c r="G992" i="15"/>
  <c r="H992" i="15"/>
  <c r="I992" i="15"/>
  <c r="J992" i="15"/>
  <c r="K992" i="15"/>
  <c r="L992" i="15"/>
  <c r="M992" i="15"/>
  <c r="N992" i="15"/>
  <c r="O992" i="15"/>
  <c r="P992" i="15"/>
  <c r="Q992" i="15"/>
  <c r="X992" i="15"/>
  <c r="C993" i="15"/>
  <c r="D993" i="15"/>
  <c r="E993" i="15"/>
  <c r="F993" i="15"/>
  <c r="G993" i="15"/>
  <c r="H993" i="15"/>
  <c r="I993" i="15"/>
  <c r="J993" i="15"/>
  <c r="K993" i="15"/>
  <c r="L993" i="15"/>
  <c r="M993" i="15"/>
  <c r="N993" i="15"/>
  <c r="O993" i="15"/>
  <c r="P993" i="15"/>
  <c r="Q993" i="15"/>
  <c r="X993" i="15"/>
  <c r="C994" i="15"/>
  <c r="D994" i="15"/>
  <c r="E994" i="15"/>
  <c r="F994" i="15"/>
  <c r="G994" i="15"/>
  <c r="H994" i="15"/>
  <c r="I994" i="15"/>
  <c r="J994" i="15"/>
  <c r="K994" i="15"/>
  <c r="L994" i="15"/>
  <c r="M994" i="15"/>
  <c r="N994" i="15"/>
  <c r="O994" i="15"/>
  <c r="P994" i="15"/>
  <c r="Q994" i="15"/>
  <c r="X994" i="15"/>
  <c r="C995" i="15"/>
  <c r="D995" i="15"/>
  <c r="E995" i="15"/>
  <c r="F995" i="15"/>
  <c r="G995" i="15"/>
  <c r="H995" i="15"/>
  <c r="I995" i="15"/>
  <c r="J995" i="15"/>
  <c r="K995" i="15"/>
  <c r="L995" i="15"/>
  <c r="M995" i="15"/>
  <c r="N995" i="15"/>
  <c r="O995" i="15"/>
  <c r="P995" i="15"/>
  <c r="Q995" i="15"/>
  <c r="X995" i="15"/>
  <c r="C996" i="15"/>
  <c r="D996" i="15"/>
  <c r="E996" i="15"/>
  <c r="F996" i="15"/>
  <c r="G996" i="15"/>
  <c r="H996" i="15"/>
  <c r="I996" i="15"/>
  <c r="J996" i="15"/>
  <c r="K996" i="15"/>
  <c r="L996" i="15"/>
  <c r="M996" i="15"/>
  <c r="N996" i="15"/>
  <c r="O996" i="15"/>
  <c r="P996" i="15"/>
  <c r="Q996" i="15"/>
  <c r="X996" i="15"/>
  <c r="C997" i="15"/>
  <c r="D997" i="15"/>
  <c r="E997" i="15"/>
  <c r="F997" i="15"/>
  <c r="G997" i="15"/>
  <c r="H997" i="15"/>
  <c r="I997" i="15"/>
  <c r="J997" i="15"/>
  <c r="K997" i="15"/>
  <c r="L997" i="15"/>
  <c r="M997" i="15"/>
  <c r="N997" i="15"/>
  <c r="O997" i="15"/>
  <c r="P997" i="15"/>
  <c r="Q997" i="15"/>
  <c r="X997" i="15"/>
  <c r="C998" i="15"/>
  <c r="D998" i="15"/>
  <c r="E998" i="15"/>
  <c r="F998" i="15"/>
  <c r="G998" i="15"/>
  <c r="H998" i="15"/>
  <c r="I998" i="15"/>
  <c r="J998" i="15"/>
  <c r="K998" i="15"/>
  <c r="L998" i="15"/>
  <c r="M998" i="15"/>
  <c r="N998" i="15"/>
  <c r="O998" i="15"/>
  <c r="P998" i="15"/>
  <c r="Q998" i="15"/>
  <c r="X998" i="15"/>
  <c r="C999" i="15"/>
  <c r="D999" i="15"/>
  <c r="E999" i="15"/>
  <c r="F999" i="15"/>
  <c r="G999" i="15"/>
  <c r="H999" i="15"/>
  <c r="I999" i="15"/>
  <c r="J999" i="15"/>
  <c r="K999" i="15"/>
  <c r="L999" i="15"/>
  <c r="M999" i="15"/>
  <c r="N999" i="15"/>
  <c r="O999" i="15"/>
  <c r="P999" i="15"/>
  <c r="Q999" i="15"/>
  <c r="X999" i="15"/>
  <c r="C1000" i="15"/>
  <c r="D1000" i="15"/>
  <c r="E1000" i="15"/>
  <c r="F1000" i="15"/>
  <c r="G1000" i="15"/>
  <c r="H1000" i="15"/>
  <c r="I1000" i="15"/>
  <c r="J1000" i="15"/>
  <c r="K1000" i="15"/>
  <c r="L1000" i="15"/>
  <c r="M1000" i="15"/>
  <c r="N1000" i="15"/>
  <c r="O1000" i="15"/>
  <c r="P1000" i="15"/>
  <c r="Q1000" i="15"/>
  <c r="X1000" i="15"/>
  <c r="C1001" i="15"/>
  <c r="D1001" i="15"/>
  <c r="E1001" i="15"/>
  <c r="F1001" i="15"/>
  <c r="G1001" i="15"/>
  <c r="H1001" i="15"/>
  <c r="I1001" i="15"/>
  <c r="J1001" i="15"/>
  <c r="K1001" i="15"/>
  <c r="L1001" i="15"/>
  <c r="M1001" i="15"/>
  <c r="N1001" i="15"/>
  <c r="O1001" i="15"/>
  <c r="P1001" i="15"/>
  <c r="Q1001" i="15"/>
  <c r="X1001" i="15"/>
  <c r="C1002" i="15"/>
  <c r="D1002" i="15"/>
  <c r="E1002" i="15"/>
  <c r="F1002" i="15"/>
  <c r="G1002" i="15"/>
  <c r="H1002" i="15"/>
  <c r="I1002" i="15"/>
  <c r="J1002" i="15"/>
  <c r="K1002" i="15"/>
  <c r="L1002" i="15"/>
  <c r="M1002" i="15"/>
  <c r="N1002" i="15"/>
  <c r="O1002" i="15"/>
  <c r="P1002" i="15"/>
  <c r="Q1002" i="15"/>
  <c r="X1002" i="15"/>
  <c r="C1003" i="15"/>
  <c r="D1003" i="15"/>
  <c r="E1003" i="15"/>
  <c r="F1003" i="15"/>
  <c r="G1003" i="15"/>
  <c r="H1003" i="15"/>
  <c r="I1003" i="15"/>
  <c r="J1003" i="15"/>
  <c r="K1003" i="15"/>
  <c r="L1003" i="15"/>
  <c r="M1003" i="15"/>
  <c r="N1003" i="15"/>
  <c r="O1003" i="15"/>
  <c r="P1003" i="15"/>
  <c r="Q1003" i="15"/>
  <c r="X1003" i="15"/>
  <c r="C1004" i="15"/>
  <c r="D1004" i="15"/>
  <c r="E1004" i="15"/>
  <c r="F1004" i="15"/>
  <c r="G1004" i="15"/>
  <c r="H1004" i="15"/>
  <c r="I1004" i="15"/>
  <c r="J1004" i="15"/>
  <c r="K1004" i="15"/>
  <c r="L1004" i="15"/>
  <c r="M1004" i="15"/>
  <c r="N1004" i="15"/>
  <c r="O1004" i="15"/>
  <c r="P1004" i="15"/>
  <c r="Q1004" i="15"/>
  <c r="X1004" i="15"/>
  <c r="C1005" i="15"/>
  <c r="D1005" i="15"/>
  <c r="E1005" i="15"/>
  <c r="F1005" i="15"/>
  <c r="G1005" i="15"/>
  <c r="H1005" i="15"/>
  <c r="I1005" i="15"/>
  <c r="J1005" i="15"/>
  <c r="K1005" i="15"/>
  <c r="L1005" i="15"/>
  <c r="M1005" i="15"/>
  <c r="N1005" i="15"/>
  <c r="O1005" i="15"/>
  <c r="P1005" i="15"/>
  <c r="Q1005" i="15"/>
  <c r="X1005" i="15"/>
  <c r="C1006" i="15"/>
  <c r="D1006" i="15"/>
  <c r="E1006" i="15"/>
  <c r="F1006" i="15"/>
  <c r="G1006" i="15"/>
  <c r="H1006" i="15"/>
  <c r="I1006" i="15"/>
  <c r="J1006" i="15"/>
  <c r="K1006" i="15"/>
  <c r="L1006" i="15"/>
  <c r="M1006" i="15"/>
  <c r="N1006" i="15"/>
  <c r="O1006" i="15"/>
  <c r="P1006" i="15"/>
  <c r="Q1006" i="15"/>
  <c r="X1006" i="15"/>
  <c r="C1007" i="15"/>
  <c r="D1007" i="15"/>
  <c r="E1007" i="15"/>
  <c r="F1007" i="15"/>
  <c r="G1007" i="15"/>
  <c r="I1007" i="15"/>
  <c r="J1007" i="15"/>
  <c r="K1007" i="15"/>
  <c r="L1007" i="15"/>
  <c r="M1007" i="15"/>
  <c r="N1007" i="15"/>
  <c r="O1007" i="15"/>
  <c r="P1007" i="15"/>
  <c r="Q1007" i="15"/>
  <c r="X1007" i="15"/>
  <c r="C1008" i="15"/>
  <c r="D1008" i="15"/>
  <c r="E1008" i="15"/>
  <c r="F1008" i="15"/>
  <c r="G1008" i="15"/>
  <c r="I1008" i="15"/>
  <c r="J1008" i="15"/>
  <c r="K1008" i="15"/>
  <c r="L1008" i="15"/>
  <c r="M1008" i="15"/>
  <c r="N1008" i="15"/>
  <c r="O1008" i="15"/>
  <c r="P1008" i="15"/>
  <c r="Q1008" i="15"/>
  <c r="X1008" i="15"/>
  <c r="C1009" i="15"/>
  <c r="D1009" i="15"/>
  <c r="E1009" i="15"/>
  <c r="F1009" i="15"/>
  <c r="G1009" i="15"/>
  <c r="H1009" i="15"/>
  <c r="I1009" i="15"/>
  <c r="J1009" i="15"/>
  <c r="K1009" i="15"/>
  <c r="L1009" i="15"/>
  <c r="M1009" i="15"/>
  <c r="N1009" i="15"/>
  <c r="O1009" i="15"/>
  <c r="P1009" i="15"/>
  <c r="Q1009" i="15"/>
  <c r="X1009" i="15"/>
  <c r="C1010" i="15"/>
  <c r="D1010" i="15"/>
  <c r="E1010" i="15"/>
  <c r="F1010" i="15"/>
  <c r="G1010" i="15"/>
  <c r="H1010" i="15"/>
  <c r="I1010" i="15"/>
  <c r="J1010" i="15"/>
  <c r="K1010" i="15"/>
  <c r="L1010" i="15"/>
  <c r="M1010" i="15"/>
  <c r="N1010" i="15"/>
  <c r="O1010" i="15"/>
  <c r="P1010" i="15"/>
  <c r="Q1010" i="15"/>
  <c r="X1010" i="15"/>
  <c r="C1011" i="15"/>
  <c r="D1011" i="15"/>
  <c r="E1011" i="15"/>
  <c r="F1011" i="15"/>
  <c r="G1011" i="15"/>
  <c r="H1011" i="15"/>
  <c r="I1011" i="15"/>
  <c r="J1011" i="15"/>
  <c r="K1011" i="15"/>
  <c r="L1011" i="15"/>
  <c r="M1011" i="15"/>
  <c r="N1011" i="15"/>
  <c r="O1011" i="15"/>
  <c r="P1011" i="15"/>
  <c r="Q1011" i="15"/>
  <c r="X1011" i="15"/>
  <c r="C1012" i="15"/>
  <c r="D1012" i="15"/>
  <c r="E1012" i="15"/>
  <c r="F1012" i="15"/>
  <c r="G1012" i="15"/>
  <c r="H1012" i="15"/>
  <c r="I1012" i="15"/>
  <c r="J1012" i="15"/>
  <c r="K1012" i="15"/>
  <c r="L1012" i="15"/>
  <c r="M1012" i="15"/>
  <c r="N1012" i="15"/>
  <c r="O1012" i="15"/>
  <c r="P1012" i="15"/>
  <c r="Q1012" i="15"/>
  <c r="X1012" i="15"/>
  <c r="C1013" i="15"/>
  <c r="D1013" i="15"/>
  <c r="E1013" i="15"/>
  <c r="F1013" i="15"/>
  <c r="G1013" i="15"/>
  <c r="H1013" i="15"/>
  <c r="I1013" i="15"/>
  <c r="J1013" i="15"/>
  <c r="K1013" i="15"/>
  <c r="L1013" i="15"/>
  <c r="M1013" i="15"/>
  <c r="N1013" i="15"/>
  <c r="O1013" i="15"/>
  <c r="P1013" i="15"/>
  <c r="Q1013" i="15"/>
  <c r="X1013" i="15"/>
  <c r="C1014" i="15"/>
  <c r="D1014" i="15"/>
  <c r="E1014" i="15"/>
  <c r="F1014" i="15"/>
  <c r="G1014" i="15"/>
  <c r="H1014" i="15"/>
  <c r="I1014" i="15"/>
  <c r="J1014" i="15"/>
  <c r="K1014" i="15"/>
  <c r="L1014" i="15"/>
  <c r="M1014" i="15"/>
  <c r="N1014" i="15"/>
  <c r="O1014" i="15"/>
  <c r="P1014" i="15"/>
  <c r="Q1014" i="15"/>
  <c r="X1014" i="15"/>
  <c r="C1015" i="15"/>
  <c r="D1015" i="15"/>
  <c r="E1015" i="15"/>
  <c r="F1015" i="15"/>
  <c r="G1015" i="15"/>
  <c r="H1015" i="15"/>
  <c r="I1015" i="15"/>
  <c r="J1015" i="15"/>
  <c r="K1015" i="15"/>
  <c r="L1015" i="15"/>
  <c r="M1015" i="15"/>
  <c r="N1015" i="15"/>
  <c r="O1015" i="15"/>
  <c r="P1015" i="15"/>
  <c r="Q1015" i="15"/>
  <c r="X1015" i="15"/>
  <c r="C1016" i="15"/>
  <c r="D1016" i="15"/>
  <c r="E1016" i="15"/>
  <c r="F1016" i="15"/>
  <c r="G1016" i="15"/>
  <c r="H1016" i="15"/>
  <c r="I1016" i="15"/>
  <c r="J1016" i="15"/>
  <c r="K1016" i="15"/>
  <c r="L1016" i="15"/>
  <c r="M1016" i="15"/>
  <c r="N1016" i="15"/>
  <c r="O1016" i="15"/>
  <c r="P1016" i="15"/>
  <c r="Q1016" i="15"/>
  <c r="X1016" i="15"/>
  <c r="C1017" i="15"/>
  <c r="D1017" i="15"/>
  <c r="E1017" i="15"/>
  <c r="F1017" i="15"/>
  <c r="G1017" i="15"/>
  <c r="H1017" i="15"/>
  <c r="I1017" i="15"/>
  <c r="J1017" i="15"/>
  <c r="K1017" i="15"/>
  <c r="L1017" i="15"/>
  <c r="M1017" i="15"/>
  <c r="N1017" i="15"/>
  <c r="O1017" i="15"/>
  <c r="P1017" i="15"/>
  <c r="Q1017" i="15"/>
  <c r="X1017" i="15"/>
  <c r="C1018" i="15"/>
  <c r="D1018" i="15"/>
  <c r="E1018" i="15"/>
  <c r="F1018" i="15"/>
  <c r="G1018" i="15"/>
  <c r="H1018" i="15"/>
  <c r="I1018" i="15"/>
  <c r="J1018" i="15"/>
  <c r="K1018" i="15"/>
  <c r="L1018" i="15"/>
  <c r="M1018" i="15"/>
  <c r="N1018" i="15"/>
  <c r="O1018" i="15"/>
  <c r="P1018" i="15"/>
  <c r="Q1018" i="15"/>
  <c r="X1018" i="15"/>
  <c r="C1019" i="15"/>
  <c r="D1019" i="15"/>
  <c r="E1019" i="15"/>
  <c r="F1019" i="15"/>
  <c r="G1019" i="15"/>
  <c r="H1019" i="15"/>
  <c r="I1019" i="15"/>
  <c r="J1019" i="15"/>
  <c r="K1019" i="15"/>
  <c r="L1019" i="15"/>
  <c r="M1019" i="15"/>
  <c r="N1019" i="15"/>
  <c r="O1019" i="15"/>
  <c r="P1019" i="15"/>
  <c r="Q1019" i="15"/>
  <c r="X1019" i="15"/>
  <c r="C1020" i="15"/>
  <c r="D1020" i="15"/>
  <c r="E1020" i="15"/>
  <c r="F1020" i="15"/>
  <c r="G1020" i="15"/>
  <c r="H1020" i="15"/>
  <c r="I1020" i="15"/>
  <c r="J1020" i="15"/>
  <c r="K1020" i="15"/>
  <c r="L1020" i="15"/>
  <c r="M1020" i="15"/>
  <c r="N1020" i="15"/>
  <c r="O1020" i="15"/>
  <c r="P1020" i="15"/>
  <c r="Q1020" i="15"/>
  <c r="X1020" i="15"/>
  <c r="C1021" i="15"/>
  <c r="D1021" i="15"/>
  <c r="E1021" i="15"/>
  <c r="F1021" i="15"/>
  <c r="G1021" i="15"/>
  <c r="H1021" i="15"/>
  <c r="I1021" i="15"/>
  <c r="J1021" i="15"/>
  <c r="K1021" i="15"/>
  <c r="L1021" i="15"/>
  <c r="M1021" i="15"/>
  <c r="N1021" i="15"/>
  <c r="O1021" i="15"/>
  <c r="P1021" i="15"/>
  <c r="Q1021" i="15"/>
  <c r="X1021" i="15"/>
  <c r="C1022" i="15"/>
  <c r="D1022" i="15"/>
  <c r="E1022" i="15"/>
  <c r="F1022" i="15"/>
  <c r="G1022" i="15"/>
  <c r="H1022" i="15"/>
  <c r="I1022" i="15"/>
  <c r="J1022" i="15"/>
  <c r="K1022" i="15"/>
  <c r="L1022" i="15"/>
  <c r="M1022" i="15"/>
  <c r="N1022" i="15"/>
  <c r="O1022" i="15"/>
  <c r="P1022" i="15"/>
  <c r="Q1022" i="15"/>
  <c r="X1022" i="15"/>
  <c r="C1023" i="15"/>
  <c r="D1023" i="15"/>
  <c r="E1023" i="15"/>
  <c r="F1023" i="15"/>
  <c r="G1023" i="15"/>
  <c r="H1023" i="15"/>
  <c r="I1023" i="15"/>
  <c r="J1023" i="15"/>
  <c r="K1023" i="15"/>
  <c r="L1023" i="15"/>
  <c r="M1023" i="15"/>
  <c r="N1023" i="15"/>
  <c r="O1023" i="15"/>
  <c r="P1023" i="15"/>
  <c r="Q1023" i="15"/>
  <c r="X1023" i="15"/>
  <c r="C1024" i="15"/>
  <c r="D1024" i="15"/>
  <c r="E1024" i="15"/>
  <c r="F1024" i="15"/>
  <c r="G1024" i="15"/>
  <c r="H1024" i="15"/>
  <c r="I1024" i="15"/>
  <c r="J1024" i="15"/>
  <c r="K1024" i="15"/>
  <c r="L1024" i="15"/>
  <c r="M1024" i="15"/>
  <c r="N1024" i="15"/>
  <c r="O1024" i="15"/>
  <c r="P1024" i="15"/>
  <c r="Q1024" i="15"/>
  <c r="X1024" i="15"/>
  <c r="C1025" i="15"/>
  <c r="D1025" i="15"/>
  <c r="E1025" i="15"/>
  <c r="F1025" i="15"/>
  <c r="G1025" i="15"/>
  <c r="H1025" i="15"/>
  <c r="I1025" i="15"/>
  <c r="J1025" i="15"/>
  <c r="K1025" i="15"/>
  <c r="L1025" i="15"/>
  <c r="M1025" i="15"/>
  <c r="N1025" i="15"/>
  <c r="O1025" i="15"/>
  <c r="P1025" i="15"/>
  <c r="Q1025" i="15"/>
  <c r="X1025" i="15"/>
  <c r="C1026" i="15"/>
  <c r="D1026" i="15"/>
  <c r="E1026" i="15"/>
  <c r="F1026" i="15"/>
  <c r="G1026" i="15"/>
  <c r="H1026" i="15"/>
  <c r="I1026" i="15"/>
  <c r="J1026" i="15"/>
  <c r="K1026" i="15"/>
  <c r="L1026" i="15"/>
  <c r="M1026" i="15"/>
  <c r="N1026" i="15"/>
  <c r="O1026" i="15"/>
  <c r="P1026" i="15"/>
  <c r="Q1026" i="15"/>
  <c r="X1026" i="15"/>
  <c r="C1027" i="15"/>
  <c r="D1027" i="15"/>
  <c r="E1027" i="15"/>
  <c r="F1027" i="15"/>
  <c r="G1027" i="15"/>
  <c r="H1027" i="15"/>
  <c r="I1027" i="15"/>
  <c r="J1027" i="15"/>
  <c r="K1027" i="15"/>
  <c r="L1027" i="15"/>
  <c r="M1027" i="15"/>
  <c r="N1027" i="15"/>
  <c r="O1027" i="15"/>
  <c r="P1027" i="15"/>
  <c r="Q1027" i="15"/>
  <c r="X1027" i="15"/>
  <c r="C1028" i="15"/>
  <c r="D1028" i="15"/>
  <c r="E1028" i="15"/>
  <c r="F1028" i="15"/>
  <c r="G1028" i="15"/>
  <c r="H1028" i="15"/>
  <c r="I1028" i="15"/>
  <c r="J1028" i="15"/>
  <c r="K1028" i="15"/>
  <c r="L1028" i="15"/>
  <c r="M1028" i="15"/>
  <c r="N1028" i="15"/>
  <c r="O1028" i="15"/>
  <c r="P1028" i="15"/>
  <c r="Q1028" i="15"/>
  <c r="X1028" i="15"/>
  <c r="C1029" i="15"/>
  <c r="D1029" i="15"/>
  <c r="E1029" i="15"/>
  <c r="F1029" i="15"/>
  <c r="G1029" i="15"/>
  <c r="H1029" i="15"/>
  <c r="I1029" i="15"/>
  <c r="J1029" i="15"/>
  <c r="K1029" i="15"/>
  <c r="L1029" i="15"/>
  <c r="M1029" i="15"/>
  <c r="N1029" i="15"/>
  <c r="O1029" i="15"/>
  <c r="P1029" i="15"/>
  <c r="Q1029" i="15"/>
  <c r="X1029" i="15"/>
  <c r="C1030" i="15"/>
  <c r="D1030" i="15"/>
  <c r="E1030" i="15"/>
  <c r="F1030" i="15"/>
  <c r="G1030" i="15"/>
  <c r="H1030" i="15"/>
  <c r="I1030" i="15"/>
  <c r="J1030" i="15"/>
  <c r="K1030" i="15"/>
  <c r="L1030" i="15"/>
  <c r="M1030" i="15"/>
  <c r="N1030" i="15"/>
  <c r="O1030" i="15"/>
  <c r="P1030" i="15"/>
  <c r="Q1030" i="15"/>
  <c r="X1030" i="15"/>
  <c r="C1031" i="15"/>
  <c r="D1031" i="15"/>
  <c r="E1031" i="15"/>
  <c r="F1031" i="15"/>
  <c r="G1031" i="15"/>
  <c r="H1031" i="15"/>
  <c r="I1031" i="15"/>
  <c r="J1031" i="15"/>
  <c r="K1031" i="15"/>
  <c r="L1031" i="15"/>
  <c r="M1031" i="15"/>
  <c r="N1031" i="15"/>
  <c r="O1031" i="15"/>
  <c r="P1031" i="15"/>
  <c r="Q1031" i="15"/>
  <c r="X1031" i="15"/>
  <c r="C1032" i="15"/>
  <c r="D1032" i="15"/>
  <c r="E1032" i="15"/>
  <c r="F1032" i="15"/>
  <c r="G1032" i="15"/>
  <c r="H1032" i="15"/>
  <c r="I1032" i="15"/>
  <c r="J1032" i="15"/>
  <c r="K1032" i="15"/>
  <c r="L1032" i="15"/>
  <c r="M1032" i="15"/>
  <c r="N1032" i="15"/>
  <c r="O1032" i="15"/>
  <c r="P1032" i="15"/>
  <c r="Q1032" i="15"/>
  <c r="X1032" i="15"/>
  <c r="C1033" i="15"/>
  <c r="D1033" i="15"/>
  <c r="E1033" i="15"/>
  <c r="F1033" i="15"/>
  <c r="G1033" i="15"/>
  <c r="H1033" i="15"/>
  <c r="I1033" i="15"/>
  <c r="J1033" i="15"/>
  <c r="K1033" i="15"/>
  <c r="L1033" i="15"/>
  <c r="M1033" i="15"/>
  <c r="N1033" i="15"/>
  <c r="O1033" i="15"/>
  <c r="P1033" i="15"/>
  <c r="Q1033" i="15"/>
  <c r="X1033" i="15"/>
  <c r="C1034" i="15"/>
  <c r="D1034" i="15"/>
  <c r="E1034" i="15"/>
  <c r="F1034" i="15"/>
  <c r="G1034" i="15"/>
  <c r="H1034" i="15"/>
  <c r="I1034" i="15"/>
  <c r="J1034" i="15"/>
  <c r="K1034" i="15"/>
  <c r="L1034" i="15"/>
  <c r="M1034" i="15"/>
  <c r="N1034" i="15"/>
  <c r="O1034" i="15"/>
  <c r="P1034" i="15"/>
  <c r="Q1034" i="15"/>
  <c r="X1034" i="15"/>
  <c r="C1035" i="15"/>
  <c r="D1035" i="15"/>
  <c r="E1035" i="15"/>
  <c r="F1035" i="15"/>
  <c r="G1035" i="15"/>
  <c r="H1035" i="15"/>
  <c r="I1035" i="15"/>
  <c r="J1035" i="15"/>
  <c r="K1035" i="15"/>
  <c r="L1035" i="15"/>
  <c r="M1035" i="15"/>
  <c r="N1035" i="15"/>
  <c r="O1035" i="15"/>
  <c r="P1035" i="15"/>
  <c r="Q1035" i="15"/>
  <c r="X1035" i="15"/>
  <c r="C1036" i="15"/>
  <c r="D1036" i="15"/>
  <c r="E1036" i="15"/>
  <c r="F1036" i="15"/>
  <c r="G1036" i="15"/>
  <c r="H1036" i="15"/>
  <c r="I1036" i="15"/>
  <c r="J1036" i="15"/>
  <c r="K1036" i="15"/>
  <c r="L1036" i="15"/>
  <c r="M1036" i="15"/>
  <c r="N1036" i="15"/>
  <c r="O1036" i="15"/>
  <c r="P1036" i="15"/>
  <c r="Q1036" i="15"/>
  <c r="X1036" i="15"/>
  <c r="E1037" i="15"/>
  <c r="F1037" i="15"/>
  <c r="I1037" i="15"/>
  <c r="J1037" i="15"/>
  <c r="K1037" i="15"/>
  <c r="N1037" i="15"/>
  <c r="O1037" i="15"/>
  <c r="P1037" i="15"/>
  <c r="C1038" i="15"/>
  <c r="D1038" i="15"/>
  <c r="E1038" i="15"/>
  <c r="F1038" i="15"/>
  <c r="G1038" i="15"/>
  <c r="H1038" i="15"/>
  <c r="I1038" i="15"/>
  <c r="J1038" i="15"/>
  <c r="K1038" i="15"/>
  <c r="L1038" i="15"/>
  <c r="M1038" i="15"/>
  <c r="N1038" i="15"/>
  <c r="O1038" i="15"/>
  <c r="P1038" i="15"/>
  <c r="Q1038" i="15"/>
  <c r="X1038" i="15"/>
  <c r="C1039" i="15"/>
  <c r="D1039" i="15"/>
  <c r="E1039" i="15"/>
  <c r="F1039" i="15"/>
  <c r="G1039" i="15"/>
  <c r="H1039" i="15"/>
  <c r="I1039" i="15"/>
  <c r="J1039" i="15"/>
  <c r="K1039" i="15"/>
  <c r="L1039" i="15"/>
  <c r="M1039" i="15"/>
  <c r="N1039" i="15"/>
  <c r="O1039" i="15"/>
  <c r="P1039" i="15"/>
  <c r="Q1039" i="15"/>
  <c r="X1039" i="15"/>
  <c r="C1040" i="15"/>
  <c r="D1040" i="15"/>
  <c r="E1040" i="15"/>
  <c r="F1040" i="15"/>
  <c r="G1040" i="15"/>
  <c r="H1040" i="15"/>
  <c r="I1040" i="15"/>
  <c r="J1040" i="15"/>
  <c r="K1040" i="15"/>
  <c r="L1040" i="15"/>
  <c r="M1040" i="15"/>
  <c r="N1040" i="15"/>
  <c r="O1040" i="15"/>
  <c r="P1040" i="15"/>
  <c r="Q1040" i="15"/>
  <c r="X1040" i="15"/>
  <c r="C1041" i="15"/>
  <c r="D1041" i="15"/>
  <c r="E1041" i="15"/>
  <c r="F1041" i="15"/>
  <c r="G1041" i="15"/>
  <c r="H1041" i="15"/>
  <c r="I1041" i="15"/>
  <c r="J1041" i="15"/>
  <c r="K1041" i="15"/>
  <c r="L1041" i="15"/>
  <c r="M1041" i="15"/>
  <c r="N1041" i="15"/>
  <c r="O1041" i="15"/>
  <c r="P1041" i="15"/>
  <c r="Q1041" i="15"/>
  <c r="X1041" i="15"/>
  <c r="C1042" i="15"/>
  <c r="D1042" i="15"/>
  <c r="E1042" i="15"/>
  <c r="F1042" i="15"/>
  <c r="G1042" i="15"/>
  <c r="H1042" i="15"/>
  <c r="I1042" i="15"/>
  <c r="J1042" i="15"/>
  <c r="K1042" i="15"/>
  <c r="L1042" i="15"/>
  <c r="M1042" i="15"/>
  <c r="N1042" i="15"/>
  <c r="O1042" i="15"/>
  <c r="P1042" i="15"/>
  <c r="Q1042" i="15"/>
  <c r="X1042" i="15"/>
  <c r="C1043" i="15"/>
  <c r="D1043" i="15"/>
  <c r="E1043" i="15"/>
  <c r="F1043" i="15"/>
  <c r="G1043" i="15"/>
  <c r="H1043" i="15"/>
  <c r="I1043" i="15"/>
  <c r="J1043" i="15"/>
  <c r="K1043" i="15"/>
  <c r="L1043" i="15"/>
  <c r="M1043" i="15"/>
  <c r="N1043" i="15"/>
  <c r="O1043" i="15"/>
  <c r="P1043" i="15"/>
  <c r="Q1043" i="15"/>
  <c r="X1043" i="15"/>
  <c r="C1044" i="15"/>
  <c r="D1044" i="15"/>
  <c r="E1044" i="15"/>
  <c r="F1044" i="15"/>
  <c r="G1044" i="15"/>
  <c r="H1044" i="15"/>
  <c r="I1044" i="15"/>
  <c r="J1044" i="15"/>
  <c r="K1044" i="15"/>
  <c r="L1044" i="15"/>
  <c r="M1044" i="15"/>
  <c r="N1044" i="15"/>
  <c r="O1044" i="15"/>
  <c r="P1044" i="15"/>
  <c r="Q1044" i="15"/>
  <c r="X1044" i="15"/>
  <c r="C1045" i="15"/>
  <c r="D1045" i="15"/>
  <c r="E1045" i="15"/>
  <c r="F1045" i="15"/>
  <c r="G1045" i="15"/>
  <c r="H1045" i="15"/>
  <c r="I1045" i="15"/>
  <c r="J1045" i="15"/>
  <c r="K1045" i="15"/>
  <c r="L1045" i="15"/>
  <c r="M1045" i="15"/>
  <c r="N1045" i="15"/>
  <c r="O1045" i="15"/>
  <c r="P1045" i="15"/>
  <c r="Q1045" i="15"/>
  <c r="X1045" i="15"/>
  <c r="G1046" i="15"/>
  <c r="I1046" i="15"/>
  <c r="L1046" i="15"/>
  <c r="N1046" i="15"/>
  <c r="Q1046" i="15"/>
  <c r="G1047" i="15"/>
  <c r="I1047" i="15"/>
  <c r="L1047" i="15"/>
  <c r="N1047" i="15"/>
  <c r="Q1047" i="15"/>
  <c r="G1048" i="15"/>
  <c r="I1048" i="15"/>
  <c r="L1048" i="15"/>
  <c r="N1048" i="15"/>
  <c r="Q1048" i="15"/>
  <c r="G1049" i="15"/>
  <c r="I1049" i="15"/>
  <c r="L1049" i="15"/>
  <c r="N1049" i="15"/>
  <c r="Q1049" i="15"/>
  <c r="G1050" i="15"/>
  <c r="I1050" i="15"/>
  <c r="L1050" i="15"/>
  <c r="N1050" i="15"/>
  <c r="Q1050" i="15"/>
  <c r="G1051" i="15"/>
  <c r="I1051" i="15"/>
  <c r="L1051" i="15"/>
  <c r="N1051" i="15"/>
  <c r="Q1051" i="15"/>
  <c r="G1052" i="15"/>
  <c r="I1052" i="15"/>
  <c r="L1052" i="15"/>
  <c r="N1052" i="15"/>
  <c r="Q1052" i="15"/>
  <c r="G1053" i="15"/>
  <c r="I1053" i="15"/>
  <c r="L1053" i="15"/>
  <c r="N1053" i="15"/>
  <c r="Q1053" i="15"/>
  <c r="G1054" i="15"/>
  <c r="I1054" i="15"/>
  <c r="L1054" i="15"/>
  <c r="N1054" i="15"/>
  <c r="Q1054" i="15"/>
  <c r="G1055" i="15"/>
  <c r="I1055" i="15"/>
  <c r="L1055" i="15"/>
  <c r="N1055" i="15"/>
  <c r="Q1055" i="15"/>
  <c r="G1056" i="15"/>
  <c r="I1056" i="15"/>
  <c r="L1056" i="15"/>
  <c r="N1056" i="15"/>
  <c r="Q1056" i="15"/>
  <c r="C1057" i="15"/>
  <c r="G1057" i="15"/>
  <c r="I1057" i="15"/>
  <c r="L1057" i="15"/>
  <c r="N1057" i="15"/>
  <c r="Q1057" i="15"/>
  <c r="C1058" i="15"/>
  <c r="D1058" i="15"/>
  <c r="E1058" i="15"/>
  <c r="F1058" i="15"/>
  <c r="G1058" i="15"/>
  <c r="H1058" i="15"/>
  <c r="I1058" i="15"/>
  <c r="J1058" i="15"/>
  <c r="K1058" i="15"/>
  <c r="L1058" i="15"/>
  <c r="M1058" i="15"/>
  <c r="N1058" i="15"/>
  <c r="O1058" i="15"/>
  <c r="P1058" i="15"/>
  <c r="Q1058" i="15"/>
  <c r="X1058" i="15"/>
  <c r="E1059" i="15"/>
  <c r="F1059" i="15"/>
  <c r="G1059" i="15"/>
  <c r="H1059" i="15"/>
  <c r="I1059" i="15"/>
  <c r="J1059" i="15"/>
  <c r="K1059" i="15"/>
  <c r="L1059" i="15"/>
  <c r="N1059" i="15"/>
  <c r="O1059" i="15"/>
  <c r="P1059" i="15"/>
  <c r="Q1059" i="15"/>
  <c r="Z467" i="15"/>
  <c r="Y467" i="15"/>
  <c r="Y808" i="15"/>
  <c r="Z808" i="15"/>
  <c r="Y809" i="15"/>
  <c r="Z809" i="15"/>
  <c r="Y1044" i="15"/>
  <c r="S1044" i="15"/>
  <c r="Z1044" i="15"/>
  <c r="T1044" i="15"/>
  <c r="Z208" i="15"/>
  <c r="T208" i="15"/>
  <c r="Z384" i="15"/>
  <c r="T384" i="15"/>
  <c r="Z731" i="15"/>
  <c r="T731" i="15"/>
  <c r="Y731" i="15"/>
  <c r="S731" i="15"/>
  <c r="Y384" i="15"/>
  <c r="S384" i="15"/>
  <c r="S208" i="15"/>
  <c r="Y208" i="15"/>
  <c r="Z52" i="15"/>
  <c r="T52" i="15"/>
  <c r="S52" i="15"/>
  <c r="Y52" i="15"/>
  <c r="S807" i="15"/>
  <c r="S808" i="15"/>
  <c r="S809" i="15"/>
  <c r="S446" i="15"/>
  <c r="S447" i="15"/>
  <c r="S448" i="15"/>
  <c r="S445" i="15"/>
  <c r="S172" i="15"/>
  <c r="S175" i="15"/>
  <c r="S238" i="15"/>
  <c r="C1499" i="15"/>
  <c r="X1499" i="15"/>
  <c r="M1499" i="15"/>
  <c r="D1499" i="15"/>
  <c r="C1498" i="15"/>
  <c r="X1498" i="15"/>
  <c r="M1498" i="15"/>
  <c r="D1498" i="15"/>
  <c r="C1509" i="15"/>
  <c r="X1509" i="15"/>
  <c r="M1509" i="15"/>
  <c r="D1509" i="15"/>
  <c r="C1506" i="15"/>
  <c r="X1506" i="15"/>
  <c r="M1506" i="15"/>
  <c r="D1506" i="15"/>
  <c r="C1504" i="15"/>
  <c r="X1504" i="15"/>
  <c r="M1504" i="15"/>
  <c r="D1504" i="15"/>
  <c r="C1513" i="15"/>
  <c r="X1513" i="15"/>
  <c r="M1513" i="15"/>
  <c r="D1513" i="15"/>
  <c r="C1511" i="15"/>
  <c r="X1511" i="15"/>
  <c r="M1511" i="15"/>
  <c r="D1511" i="15"/>
  <c r="C1486" i="15"/>
  <c r="X1486" i="15"/>
  <c r="C1487" i="15"/>
  <c r="X1487" i="15"/>
  <c r="C1488" i="15"/>
  <c r="X1488" i="15"/>
  <c r="C1489" i="15"/>
  <c r="X1489" i="15"/>
  <c r="C1490" i="15"/>
  <c r="X1490" i="15"/>
  <c r="C1491" i="15"/>
  <c r="X1491" i="15"/>
  <c r="C1492" i="15"/>
  <c r="X1492" i="15"/>
  <c r="C1493" i="15"/>
  <c r="X1493" i="15"/>
  <c r="C1494" i="15"/>
  <c r="X1494" i="15"/>
  <c r="C1495" i="15"/>
  <c r="X1495" i="15"/>
  <c r="C1496" i="15"/>
  <c r="X1496" i="15"/>
  <c r="C1497" i="15"/>
  <c r="X1497" i="15"/>
  <c r="C1500" i="15"/>
  <c r="X1500" i="15"/>
  <c r="C1501" i="15"/>
  <c r="X1501" i="15"/>
  <c r="C1502" i="15"/>
  <c r="X1502" i="15"/>
  <c r="C1503" i="15"/>
  <c r="X1503" i="15"/>
  <c r="C1505" i="15"/>
  <c r="X1505" i="15"/>
  <c r="C1507" i="15"/>
  <c r="X1507" i="15"/>
  <c r="C1508" i="15"/>
  <c r="X1508" i="15"/>
  <c r="C1510" i="15"/>
  <c r="X1510" i="15"/>
  <c r="C1512" i="15"/>
  <c r="X1512" i="15"/>
  <c r="C1514" i="15"/>
  <c r="X1514" i="15"/>
  <c r="C1515" i="15"/>
  <c r="X1515" i="15"/>
  <c r="AC1485" i="15"/>
  <c r="G1485" i="15"/>
  <c r="I1485" i="15"/>
  <c r="L1485" i="15"/>
  <c r="N1485" i="15"/>
  <c r="Q1485" i="15"/>
  <c r="U1485" i="15"/>
  <c r="W1485" i="15"/>
  <c r="AA1485" i="15"/>
  <c r="AG1485" i="15"/>
  <c r="AH1485" i="15"/>
  <c r="AI1485" i="15"/>
  <c r="AJ1485" i="15"/>
  <c r="AK1485" i="15"/>
  <c r="AL1485" i="15"/>
  <c r="AM1485" i="15"/>
  <c r="AQ1485" i="15"/>
  <c r="I1476" i="15"/>
  <c r="N1476" i="15"/>
  <c r="AC1476" i="15"/>
  <c r="AQ1476" i="15"/>
  <c r="I1477" i="15"/>
  <c r="N1477" i="15"/>
  <c r="AC1477" i="15"/>
  <c r="AQ1477" i="15"/>
  <c r="I1478" i="15"/>
  <c r="N1478" i="15"/>
  <c r="AC1478" i="15"/>
  <c r="AQ1478" i="15"/>
  <c r="I1479" i="15"/>
  <c r="N1479" i="15"/>
  <c r="AC1479" i="15"/>
  <c r="AQ1479" i="15"/>
  <c r="I1480" i="15"/>
  <c r="N1480" i="15"/>
  <c r="AC1480" i="15"/>
  <c r="AQ1480" i="15"/>
  <c r="C1481" i="15"/>
  <c r="D1481" i="15"/>
  <c r="E1481" i="15"/>
  <c r="F1481" i="15"/>
  <c r="G1481" i="15"/>
  <c r="H1481" i="15"/>
  <c r="I1481" i="15"/>
  <c r="J1481" i="15"/>
  <c r="K1481" i="15"/>
  <c r="L1481" i="15"/>
  <c r="M1481" i="15"/>
  <c r="N1481" i="15"/>
  <c r="O1481" i="15"/>
  <c r="P1481" i="15"/>
  <c r="Q1481" i="15"/>
  <c r="S1481" i="15"/>
  <c r="T1481" i="15"/>
  <c r="U1481" i="15"/>
  <c r="W1481" i="15"/>
  <c r="X1481" i="15"/>
  <c r="Y1481" i="15"/>
  <c r="Z1481" i="15"/>
  <c r="AA1481" i="15"/>
  <c r="AC1481" i="15"/>
  <c r="AG1481" i="15"/>
  <c r="AH1481" i="15"/>
  <c r="AI1481" i="15"/>
  <c r="AJ1481" i="15"/>
  <c r="AK1481" i="15"/>
  <c r="AL1481" i="15"/>
  <c r="AM1481" i="15"/>
  <c r="AQ1481" i="15"/>
  <c r="G1482" i="15"/>
  <c r="I1482" i="15"/>
  <c r="L1482" i="15"/>
  <c r="N1482" i="15"/>
  <c r="Q1482" i="15"/>
  <c r="U1482" i="15"/>
  <c r="W1482" i="15"/>
  <c r="AA1482" i="15"/>
  <c r="AC1482" i="15"/>
  <c r="AG1482" i="15"/>
  <c r="AH1482" i="15"/>
  <c r="AI1482" i="15"/>
  <c r="AJ1482" i="15"/>
  <c r="AK1482" i="15"/>
  <c r="AL1482" i="15"/>
  <c r="AM1482" i="15"/>
  <c r="AQ1482" i="15"/>
  <c r="G1483" i="15"/>
  <c r="I1483" i="15"/>
  <c r="L1483" i="15"/>
  <c r="N1483" i="15"/>
  <c r="Q1483" i="15"/>
  <c r="U1483" i="15"/>
  <c r="W1483" i="15"/>
  <c r="AA1483" i="15"/>
  <c r="AC1483" i="15"/>
  <c r="AG1483" i="15"/>
  <c r="AH1483" i="15"/>
  <c r="AI1483" i="15"/>
  <c r="AJ1483" i="15"/>
  <c r="AK1483" i="15"/>
  <c r="AL1483" i="15"/>
  <c r="AM1483" i="15"/>
  <c r="AQ1483" i="15"/>
  <c r="G1484" i="15"/>
  <c r="I1484" i="15"/>
  <c r="L1484" i="15"/>
  <c r="N1484" i="15"/>
  <c r="Q1484" i="15"/>
  <c r="U1484" i="15"/>
  <c r="W1484" i="15"/>
  <c r="AA1484" i="15"/>
  <c r="AC1484" i="15"/>
  <c r="AG1484" i="15"/>
  <c r="AH1484" i="15"/>
  <c r="AI1484" i="15"/>
  <c r="AJ1484" i="15"/>
  <c r="AK1484" i="15"/>
  <c r="AL1484" i="15"/>
  <c r="AM1484" i="15"/>
  <c r="AQ1484" i="15"/>
  <c r="Z94" i="15"/>
  <c r="T94" i="15"/>
  <c r="Z1006" i="15"/>
  <c r="T1006" i="15"/>
  <c r="Z1008" i="15"/>
  <c r="T1008" i="15"/>
  <c r="Z1014" i="15"/>
  <c r="T1014" i="15"/>
  <c r="Z1011" i="15"/>
  <c r="T1011" i="15"/>
  <c r="Z93" i="15"/>
  <c r="T93" i="15"/>
  <c r="Z54" i="15"/>
  <c r="T54" i="15"/>
  <c r="Z50" i="15"/>
  <c r="T50" i="15"/>
  <c r="Z56" i="15"/>
  <c r="T56" i="15"/>
  <c r="Z259" i="15"/>
  <c r="T259" i="15"/>
  <c r="T316" i="15"/>
  <c r="Z156" i="15"/>
  <c r="T156" i="15"/>
  <c r="Z1012" i="15"/>
  <c r="S316" i="15"/>
  <c r="Y93" i="15"/>
  <c r="S93" i="15"/>
  <c r="Y54" i="15"/>
  <c r="S54" i="15"/>
  <c r="Y50" i="15"/>
  <c r="S50" i="15"/>
  <c r="Y56" i="15"/>
  <c r="S56" i="15"/>
  <c r="Y259" i="15"/>
  <c r="S259" i="15"/>
  <c r="Y156" i="15"/>
  <c r="S156" i="15"/>
  <c r="Y1014" i="15"/>
  <c r="S1014" i="15"/>
  <c r="Y1006" i="15"/>
  <c r="S1006" i="15"/>
  <c r="Y1008" i="15"/>
  <c r="S1008" i="15"/>
  <c r="Y94" i="15"/>
  <c r="S94" i="15"/>
  <c r="Y1012" i="15"/>
  <c r="Y1011" i="15"/>
  <c r="S1011" i="15"/>
  <c r="S1012" i="15"/>
  <c r="AJ1012" i="15"/>
  <c r="Y1013" i="15"/>
  <c r="S1013" i="15"/>
  <c r="AJ1013" i="15"/>
  <c r="Y1004" i="15"/>
  <c r="Y1005" i="15"/>
  <c r="S1005" i="15"/>
  <c r="AJ1005" i="15"/>
  <c r="Z871" i="15"/>
  <c r="T871" i="15"/>
  <c r="W871" i="15"/>
  <c r="AK871" i="15"/>
  <c r="S977" i="15"/>
  <c r="T977" i="15"/>
  <c r="U977" i="15"/>
  <c r="W977" i="15"/>
  <c r="Y977" i="15"/>
  <c r="Z977" i="15"/>
  <c r="AA977" i="15"/>
  <c r="AC977" i="15"/>
  <c r="AG977" i="15"/>
  <c r="AH977" i="15"/>
  <c r="AI977" i="15"/>
  <c r="AJ977" i="15"/>
  <c r="AK977" i="15"/>
  <c r="AL977" i="15"/>
  <c r="AM977" i="15"/>
  <c r="AQ977" i="15"/>
  <c r="S978" i="15"/>
  <c r="T978" i="15"/>
  <c r="U978" i="15"/>
  <c r="W978" i="15"/>
  <c r="Y978" i="15"/>
  <c r="Z978" i="15"/>
  <c r="AA978" i="15"/>
  <c r="AC978" i="15"/>
  <c r="AG978" i="15"/>
  <c r="AH978" i="15"/>
  <c r="AI978" i="15"/>
  <c r="AJ978" i="15"/>
  <c r="AK978" i="15"/>
  <c r="AL978" i="15"/>
  <c r="AM978" i="15"/>
  <c r="AQ978" i="15"/>
  <c r="S979" i="15"/>
  <c r="T979" i="15"/>
  <c r="U979" i="15"/>
  <c r="W979" i="15"/>
  <c r="Y979" i="15"/>
  <c r="Z979" i="15"/>
  <c r="AA979" i="15"/>
  <c r="AC979" i="15"/>
  <c r="AG979" i="15"/>
  <c r="AH979" i="15"/>
  <c r="AI979" i="15"/>
  <c r="AJ979" i="15"/>
  <c r="AK979" i="15"/>
  <c r="AL979" i="15"/>
  <c r="AM979" i="15"/>
  <c r="AQ979" i="15"/>
  <c r="S980" i="15"/>
  <c r="T980" i="15"/>
  <c r="U980" i="15"/>
  <c r="W980" i="15"/>
  <c r="Y980" i="15"/>
  <c r="Z980" i="15"/>
  <c r="AA980" i="15"/>
  <c r="AC980" i="15"/>
  <c r="AG980" i="15"/>
  <c r="AH980" i="15"/>
  <c r="AI980" i="15"/>
  <c r="AJ980" i="15"/>
  <c r="AK980" i="15"/>
  <c r="AL980" i="15"/>
  <c r="AM980" i="15"/>
  <c r="AQ980" i="15"/>
  <c r="S981" i="15"/>
  <c r="T981" i="15"/>
  <c r="U981" i="15"/>
  <c r="W981" i="15"/>
  <c r="AA981" i="15"/>
  <c r="AC981" i="15"/>
  <c r="AG981" i="15"/>
  <c r="AH981" i="15"/>
  <c r="AI981" i="15"/>
  <c r="AJ981" i="15"/>
  <c r="AK981" i="15"/>
  <c r="AL981" i="15"/>
  <c r="AM981" i="15"/>
  <c r="AQ981" i="15"/>
  <c r="S982" i="15"/>
  <c r="T982" i="15"/>
  <c r="U982" i="15"/>
  <c r="W982" i="15"/>
  <c r="Y982" i="15"/>
  <c r="Z982" i="15"/>
  <c r="AA982" i="15"/>
  <c r="AC982" i="15"/>
  <c r="AG982" i="15"/>
  <c r="AH982" i="15"/>
  <c r="AI982" i="15"/>
  <c r="AJ982" i="15"/>
  <c r="AK982" i="15"/>
  <c r="AL982" i="15"/>
  <c r="AM982" i="15"/>
  <c r="AQ982" i="15"/>
  <c r="S983" i="15"/>
  <c r="T983" i="15"/>
  <c r="U983" i="15"/>
  <c r="W983" i="15"/>
  <c r="Y983" i="15"/>
  <c r="Z983" i="15"/>
  <c r="AA983" i="15"/>
  <c r="AC983" i="15"/>
  <c r="AG983" i="15"/>
  <c r="AH983" i="15"/>
  <c r="AI983" i="15"/>
  <c r="AJ983" i="15"/>
  <c r="AK983" i="15"/>
  <c r="AL983" i="15"/>
  <c r="AM983" i="15"/>
  <c r="AQ983" i="15"/>
  <c r="S984" i="15"/>
  <c r="T984" i="15"/>
  <c r="U984" i="15"/>
  <c r="W984" i="15"/>
  <c r="Y984" i="15"/>
  <c r="Z984" i="15"/>
  <c r="AA984" i="15"/>
  <c r="AC984" i="15"/>
  <c r="AG984" i="15"/>
  <c r="AH984" i="15"/>
  <c r="AI984" i="15"/>
  <c r="AJ984" i="15"/>
  <c r="AK984" i="15"/>
  <c r="AL984" i="15"/>
  <c r="AM984" i="15"/>
  <c r="AQ984" i="15"/>
  <c r="S985" i="15"/>
  <c r="T985" i="15"/>
  <c r="U985" i="15"/>
  <c r="W985" i="15"/>
  <c r="Y985" i="15"/>
  <c r="Z985" i="15"/>
  <c r="AA985" i="15"/>
  <c r="AC985" i="15"/>
  <c r="AG985" i="15"/>
  <c r="AH985" i="15"/>
  <c r="AI985" i="15"/>
  <c r="AJ985" i="15"/>
  <c r="AK985" i="15"/>
  <c r="AL985" i="15"/>
  <c r="AM985" i="15"/>
  <c r="AQ985" i="15"/>
  <c r="S986" i="15"/>
  <c r="T986" i="15"/>
  <c r="U986" i="15"/>
  <c r="W986" i="15"/>
  <c r="Y986" i="15"/>
  <c r="Z986" i="15"/>
  <c r="AA986" i="15"/>
  <c r="AC986" i="15"/>
  <c r="AG986" i="15"/>
  <c r="AH986" i="15"/>
  <c r="AI986" i="15"/>
  <c r="AJ986" i="15"/>
  <c r="AK986" i="15"/>
  <c r="AL986" i="15"/>
  <c r="AM986" i="15"/>
  <c r="AQ986" i="15"/>
  <c r="S987" i="15"/>
  <c r="T987" i="15"/>
  <c r="U987" i="15"/>
  <c r="W987" i="15"/>
  <c r="Y987" i="15"/>
  <c r="Z987" i="15"/>
  <c r="AA987" i="15"/>
  <c r="AC987" i="15"/>
  <c r="AG987" i="15"/>
  <c r="AH987" i="15"/>
  <c r="AI987" i="15"/>
  <c r="AJ987" i="15"/>
  <c r="AK987" i="15"/>
  <c r="AL987" i="15"/>
  <c r="AM987" i="15"/>
  <c r="AQ987" i="15"/>
  <c r="S988" i="15"/>
  <c r="T988" i="15"/>
  <c r="U988" i="15"/>
  <c r="W988" i="15"/>
  <c r="Y988" i="15"/>
  <c r="Z988" i="15"/>
  <c r="AA988" i="15"/>
  <c r="AC988" i="15"/>
  <c r="AG988" i="15"/>
  <c r="AH988" i="15"/>
  <c r="AI988" i="15"/>
  <c r="AJ988" i="15"/>
  <c r="AK988" i="15"/>
  <c r="AL988" i="15"/>
  <c r="AM988" i="15"/>
  <c r="AQ988" i="15"/>
  <c r="S989" i="15"/>
  <c r="T989" i="15"/>
  <c r="U989" i="15"/>
  <c r="W989" i="15"/>
  <c r="Y989" i="15"/>
  <c r="Z989" i="15"/>
  <c r="AA989" i="15"/>
  <c r="AC989" i="15"/>
  <c r="AG989" i="15"/>
  <c r="AH989" i="15"/>
  <c r="AI989" i="15"/>
  <c r="AJ989" i="15"/>
  <c r="AK989" i="15"/>
  <c r="AL989" i="15"/>
  <c r="AM989" i="15"/>
  <c r="AQ989" i="15"/>
  <c r="S990" i="15"/>
  <c r="T990" i="15"/>
  <c r="U990" i="15"/>
  <c r="W990" i="15"/>
  <c r="Y990" i="15"/>
  <c r="Z990" i="15"/>
  <c r="AA990" i="15"/>
  <c r="AC990" i="15"/>
  <c r="AG990" i="15"/>
  <c r="AH990" i="15"/>
  <c r="AI990" i="15"/>
  <c r="AJ990" i="15"/>
  <c r="AK990" i="15"/>
  <c r="AL990" i="15"/>
  <c r="AM990" i="15"/>
  <c r="AQ990" i="15"/>
  <c r="S991" i="15"/>
  <c r="T991" i="15"/>
  <c r="U991" i="15"/>
  <c r="W991" i="15"/>
  <c r="Y991" i="15"/>
  <c r="Z991" i="15"/>
  <c r="AA991" i="15"/>
  <c r="AC991" i="15"/>
  <c r="AG991" i="15"/>
  <c r="AH991" i="15"/>
  <c r="AI991" i="15"/>
  <c r="AJ991" i="15"/>
  <c r="AK991" i="15"/>
  <c r="AL991" i="15"/>
  <c r="AM991" i="15"/>
  <c r="AQ991" i="15"/>
  <c r="S992" i="15"/>
  <c r="T992" i="15"/>
  <c r="U992" i="15"/>
  <c r="W992" i="15"/>
  <c r="Y992" i="15"/>
  <c r="Z992" i="15"/>
  <c r="AA992" i="15"/>
  <c r="AC992" i="15"/>
  <c r="AG992" i="15"/>
  <c r="AH992" i="15"/>
  <c r="AI992" i="15"/>
  <c r="AJ992" i="15"/>
  <c r="AK992" i="15"/>
  <c r="AL992" i="15"/>
  <c r="AM992" i="15"/>
  <c r="AQ992" i="15"/>
  <c r="S993" i="15"/>
  <c r="T993" i="15"/>
  <c r="U993" i="15"/>
  <c r="W993" i="15"/>
  <c r="Y993" i="15"/>
  <c r="Z993" i="15"/>
  <c r="AA993" i="15"/>
  <c r="AC993" i="15"/>
  <c r="AG993" i="15"/>
  <c r="AH993" i="15"/>
  <c r="AI993" i="15"/>
  <c r="AJ993" i="15"/>
  <c r="AK993" i="15"/>
  <c r="AL993" i="15"/>
  <c r="AM993" i="15"/>
  <c r="AQ993" i="15"/>
  <c r="S994" i="15"/>
  <c r="T994" i="15"/>
  <c r="U994" i="15"/>
  <c r="W994" i="15"/>
  <c r="Y994" i="15"/>
  <c r="Z994" i="15"/>
  <c r="AA994" i="15"/>
  <c r="AC994" i="15"/>
  <c r="AG994" i="15"/>
  <c r="AH994" i="15"/>
  <c r="AI994" i="15"/>
  <c r="AJ994" i="15"/>
  <c r="AK994" i="15"/>
  <c r="AL994" i="15"/>
  <c r="AM994" i="15"/>
  <c r="AQ994" i="15"/>
  <c r="S995" i="15"/>
  <c r="T995" i="15"/>
  <c r="U995" i="15"/>
  <c r="W995" i="15"/>
  <c r="Y995" i="15"/>
  <c r="Z995" i="15"/>
  <c r="AA995" i="15"/>
  <c r="AC995" i="15"/>
  <c r="AG995" i="15"/>
  <c r="AH995" i="15"/>
  <c r="AI995" i="15"/>
  <c r="AJ995" i="15"/>
  <c r="AK995" i="15"/>
  <c r="AL995" i="15"/>
  <c r="AM995" i="15"/>
  <c r="AQ995" i="15"/>
  <c r="S996" i="15"/>
  <c r="T996" i="15"/>
  <c r="U996" i="15"/>
  <c r="W996" i="15"/>
  <c r="Y996" i="15"/>
  <c r="Z996" i="15"/>
  <c r="AA996" i="15"/>
  <c r="AC996" i="15"/>
  <c r="AG996" i="15"/>
  <c r="AH996" i="15"/>
  <c r="AI996" i="15"/>
  <c r="AJ996" i="15"/>
  <c r="AK996" i="15"/>
  <c r="AL996" i="15"/>
  <c r="AM996" i="15"/>
  <c r="AQ996" i="15"/>
  <c r="S997" i="15"/>
  <c r="T997" i="15"/>
  <c r="U997" i="15"/>
  <c r="W997" i="15"/>
  <c r="Y997" i="15"/>
  <c r="Z997" i="15"/>
  <c r="AA997" i="15"/>
  <c r="AC997" i="15"/>
  <c r="AG997" i="15"/>
  <c r="AH997" i="15"/>
  <c r="AI997" i="15"/>
  <c r="AJ997" i="15"/>
  <c r="AK997" i="15"/>
  <c r="AL997" i="15"/>
  <c r="AM997" i="15"/>
  <c r="AQ997" i="15"/>
  <c r="S998" i="15"/>
  <c r="T998" i="15"/>
  <c r="U998" i="15"/>
  <c r="W998" i="15"/>
  <c r="Y998" i="15"/>
  <c r="Z998" i="15"/>
  <c r="AA998" i="15"/>
  <c r="AC998" i="15"/>
  <c r="AG998" i="15"/>
  <c r="AH998" i="15"/>
  <c r="AI998" i="15"/>
  <c r="AJ998" i="15"/>
  <c r="AK998" i="15"/>
  <c r="AL998" i="15"/>
  <c r="AM998" i="15"/>
  <c r="AQ998" i="15"/>
  <c r="S999" i="15"/>
  <c r="T999" i="15"/>
  <c r="U999" i="15"/>
  <c r="W999" i="15"/>
  <c r="Y999" i="15"/>
  <c r="Z999" i="15"/>
  <c r="AA999" i="15"/>
  <c r="AC999" i="15"/>
  <c r="AG999" i="15"/>
  <c r="AH999" i="15"/>
  <c r="AI999" i="15"/>
  <c r="AJ999" i="15"/>
  <c r="AK999" i="15"/>
  <c r="AL999" i="15"/>
  <c r="AM999" i="15"/>
  <c r="AQ999" i="15"/>
  <c r="S1000" i="15"/>
  <c r="T1000" i="15"/>
  <c r="U1000" i="15"/>
  <c r="W1000" i="15"/>
  <c r="Y1000" i="15"/>
  <c r="Z1000" i="15"/>
  <c r="AA1000" i="15"/>
  <c r="AC1000" i="15"/>
  <c r="AG1000" i="15"/>
  <c r="AH1000" i="15"/>
  <c r="AI1000" i="15"/>
  <c r="AJ1000" i="15"/>
  <c r="AK1000" i="15"/>
  <c r="AL1000" i="15"/>
  <c r="AM1000" i="15"/>
  <c r="AQ1000" i="15"/>
  <c r="S1001" i="15"/>
  <c r="T1001" i="15"/>
  <c r="U1001" i="15"/>
  <c r="W1001" i="15"/>
  <c r="Y1001" i="15"/>
  <c r="Z1001" i="15"/>
  <c r="AA1001" i="15"/>
  <c r="AC1001" i="15"/>
  <c r="AG1001" i="15"/>
  <c r="AH1001" i="15"/>
  <c r="AI1001" i="15"/>
  <c r="AJ1001" i="15"/>
  <c r="AK1001" i="15"/>
  <c r="AL1001" i="15"/>
  <c r="AM1001" i="15"/>
  <c r="AQ1001" i="15"/>
  <c r="S1002" i="15"/>
  <c r="T1002" i="15"/>
  <c r="U1002" i="15"/>
  <c r="W1002" i="15"/>
  <c r="Y1002" i="15"/>
  <c r="Z1002" i="15"/>
  <c r="AA1002" i="15"/>
  <c r="AC1002" i="15"/>
  <c r="AG1002" i="15"/>
  <c r="AH1002" i="15"/>
  <c r="AI1002" i="15"/>
  <c r="AJ1002" i="15"/>
  <c r="AK1002" i="15"/>
  <c r="AL1002" i="15"/>
  <c r="AM1002" i="15"/>
  <c r="AQ1002" i="15"/>
  <c r="S1003" i="15"/>
  <c r="T1003" i="15"/>
  <c r="U1003" i="15"/>
  <c r="W1003" i="15"/>
  <c r="Y1003" i="15"/>
  <c r="Z1003" i="15"/>
  <c r="AA1003" i="15"/>
  <c r="AC1003" i="15"/>
  <c r="AG1003" i="15"/>
  <c r="AH1003" i="15"/>
  <c r="AI1003" i="15"/>
  <c r="AJ1003" i="15"/>
  <c r="AK1003" i="15"/>
  <c r="AL1003" i="15"/>
  <c r="AM1003" i="15"/>
  <c r="AQ1003" i="15"/>
  <c r="S1004" i="15"/>
  <c r="T1004" i="15"/>
  <c r="U1004" i="15"/>
  <c r="W1004" i="15"/>
  <c r="Z1004" i="15"/>
  <c r="AA1004" i="15"/>
  <c r="AC1004" i="15"/>
  <c r="AG1004" i="15"/>
  <c r="AH1004" i="15"/>
  <c r="AI1004" i="15"/>
  <c r="AJ1004" i="15"/>
  <c r="AK1004" i="15"/>
  <c r="AL1004" i="15"/>
  <c r="AM1004" i="15"/>
  <c r="AQ1004" i="15"/>
  <c r="T1005" i="15"/>
  <c r="U1005" i="15"/>
  <c r="W1005" i="15"/>
  <c r="Z1005" i="15"/>
  <c r="AA1005" i="15"/>
  <c r="AC1005" i="15"/>
  <c r="AG1005" i="15"/>
  <c r="AH1005" i="15"/>
  <c r="AI1005" i="15"/>
  <c r="AK1005" i="15"/>
  <c r="AL1005" i="15"/>
  <c r="AM1005" i="15"/>
  <c r="AQ1005" i="15"/>
  <c r="U1006" i="15"/>
  <c r="W1006" i="15"/>
  <c r="AA1006" i="15"/>
  <c r="AC1006" i="15"/>
  <c r="AG1006" i="15"/>
  <c r="AH1006" i="15"/>
  <c r="AI1006" i="15"/>
  <c r="AJ1006" i="15"/>
  <c r="AK1006" i="15"/>
  <c r="AL1006" i="15"/>
  <c r="AM1006" i="15"/>
  <c r="AQ1006" i="15"/>
  <c r="S1007" i="15"/>
  <c r="T1007" i="15"/>
  <c r="U1007" i="15"/>
  <c r="W1007" i="15"/>
  <c r="Y1007" i="15"/>
  <c r="Z1007" i="15"/>
  <c r="AA1007" i="15"/>
  <c r="AC1007" i="15"/>
  <c r="AG1007" i="15"/>
  <c r="AH1007" i="15"/>
  <c r="AI1007" i="15"/>
  <c r="AJ1007" i="15"/>
  <c r="AK1007" i="15"/>
  <c r="AL1007" i="15"/>
  <c r="AM1007" i="15"/>
  <c r="AQ1007" i="15"/>
  <c r="U1008" i="15"/>
  <c r="W1008" i="15"/>
  <c r="AA1008" i="15"/>
  <c r="AC1008" i="15"/>
  <c r="AG1008" i="15"/>
  <c r="AH1008" i="15"/>
  <c r="AI1008" i="15"/>
  <c r="AJ1008" i="15"/>
  <c r="AK1008" i="15"/>
  <c r="AL1008" i="15"/>
  <c r="AM1008" i="15"/>
  <c r="AQ1008" i="15"/>
  <c r="S1009" i="15"/>
  <c r="T1009" i="15"/>
  <c r="U1009" i="15"/>
  <c r="W1009" i="15"/>
  <c r="Y1009" i="15"/>
  <c r="Z1009" i="15"/>
  <c r="AA1009" i="15"/>
  <c r="AC1009" i="15"/>
  <c r="AG1009" i="15"/>
  <c r="AH1009" i="15"/>
  <c r="AI1009" i="15"/>
  <c r="AJ1009" i="15"/>
  <c r="AK1009" i="15"/>
  <c r="AL1009" i="15"/>
  <c r="AM1009" i="15"/>
  <c r="AQ1009" i="15"/>
  <c r="S1010" i="15"/>
  <c r="T1010" i="15"/>
  <c r="U1010" i="15"/>
  <c r="W1010" i="15"/>
  <c r="Y1010" i="15"/>
  <c r="Z1010" i="15"/>
  <c r="AA1010" i="15"/>
  <c r="AC1010" i="15"/>
  <c r="AG1010" i="15"/>
  <c r="AH1010" i="15"/>
  <c r="AI1010" i="15"/>
  <c r="AJ1010" i="15"/>
  <c r="AK1010" i="15"/>
  <c r="AL1010" i="15"/>
  <c r="AM1010" i="15"/>
  <c r="AQ1010" i="15"/>
  <c r="U1011" i="15"/>
  <c r="W1011" i="15"/>
  <c r="AA1011" i="15"/>
  <c r="AC1011" i="15"/>
  <c r="AG1011" i="15"/>
  <c r="AH1011" i="15"/>
  <c r="AI1011" i="15"/>
  <c r="AJ1011" i="15"/>
  <c r="AK1011" i="15"/>
  <c r="AL1011" i="15"/>
  <c r="AM1011" i="15"/>
  <c r="AQ1011" i="15"/>
  <c r="T1012" i="15"/>
  <c r="U1012" i="15"/>
  <c r="W1012" i="15"/>
  <c r="AA1012" i="15"/>
  <c r="AC1012" i="15"/>
  <c r="AG1012" i="15"/>
  <c r="AH1012" i="15"/>
  <c r="AI1012" i="15"/>
  <c r="AK1012" i="15"/>
  <c r="AL1012" i="15"/>
  <c r="AM1012" i="15"/>
  <c r="AQ1012" i="15"/>
  <c r="T1013" i="15"/>
  <c r="U1013" i="15"/>
  <c r="W1013" i="15"/>
  <c r="Z1013" i="15"/>
  <c r="AA1013" i="15"/>
  <c r="AC1013" i="15"/>
  <c r="AG1013" i="15"/>
  <c r="AH1013" i="15"/>
  <c r="AI1013" i="15"/>
  <c r="AK1013" i="15"/>
  <c r="AL1013" i="15"/>
  <c r="AM1013" i="15"/>
  <c r="AQ1013" i="15"/>
  <c r="U1014" i="15"/>
  <c r="W1014" i="15"/>
  <c r="AA1014" i="15"/>
  <c r="AC1014" i="15"/>
  <c r="AG1014" i="15"/>
  <c r="AH1014" i="15"/>
  <c r="AI1014" i="15"/>
  <c r="AJ1014" i="15"/>
  <c r="AK1014" i="15"/>
  <c r="AL1014" i="15"/>
  <c r="AM1014" i="15"/>
  <c r="AQ1014" i="15"/>
  <c r="S1015" i="15"/>
  <c r="T1015" i="15"/>
  <c r="U1015" i="15"/>
  <c r="W1015" i="15"/>
  <c r="Y1015" i="15"/>
  <c r="Z1015" i="15"/>
  <c r="AA1015" i="15"/>
  <c r="AC1015" i="15"/>
  <c r="AG1015" i="15"/>
  <c r="AH1015" i="15"/>
  <c r="AI1015" i="15"/>
  <c r="AJ1015" i="15"/>
  <c r="AK1015" i="15"/>
  <c r="AL1015" i="15"/>
  <c r="AM1015" i="15"/>
  <c r="AQ1015" i="15"/>
  <c r="S1016" i="15"/>
  <c r="T1016" i="15"/>
  <c r="U1016" i="15"/>
  <c r="W1016" i="15"/>
  <c r="Y1016" i="15"/>
  <c r="Z1016" i="15"/>
  <c r="AA1016" i="15"/>
  <c r="AC1016" i="15"/>
  <c r="AG1016" i="15"/>
  <c r="AH1016" i="15"/>
  <c r="AI1016" i="15"/>
  <c r="AJ1016" i="15"/>
  <c r="AK1016" i="15"/>
  <c r="AL1016" i="15"/>
  <c r="AM1016" i="15"/>
  <c r="AQ1016" i="15"/>
  <c r="S1017" i="15"/>
  <c r="T1017" i="15"/>
  <c r="U1017" i="15"/>
  <c r="W1017" i="15"/>
  <c r="Y1017" i="15"/>
  <c r="Z1017" i="15"/>
  <c r="AA1017" i="15"/>
  <c r="AC1017" i="15"/>
  <c r="AG1017" i="15"/>
  <c r="AH1017" i="15"/>
  <c r="AI1017" i="15"/>
  <c r="AJ1017" i="15"/>
  <c r="AK1017" i="15"/>
  <c r="AL1017" i="15"/>
  <c r="AM1017" i="15"/>
  <c r="AQ1017" i="15"/>
  <c r="S1018" i="15"/>
  <c r="T1018" i="15"/>
  <c r="U1018" i="15"/>
  <c r="W1018" i="15"/>
  <c r="Y1018" i="15"/>
  <c r="Z1018" i="15"/>
  <c r="AA1018" i="15"/>
  <c r="AC1018" i="15"/>
  <c r="AG1018" i="15"/>
  <c r="AH1018" i="15"/>
  <c r="AI1018" i="15"/>
  <c r="AJ1018" i="15"/>
  <c r="AK1018" i="15"/>
  <c r="AL1018" i="15"/>
  <c r="AM1018" i="15"/>
  <c r="AQ1018" i="15"/>
  <c r="S1019" i="15"/>
  <c r="T1019" i="15"/>
  <c r="U1019" i="15"/>
  <c r="W1019" i="15"/>
  <c r="Y1019" i="15"/>
  <c r="Z1019" i="15"/>
  <c r="AA1019" i="15"/>
  <c r="AC1019" i="15"/>
  <c r="AG1019" i="15"/>
  <c r="AH1019" i="15"/>
  <c r="AI1019" i="15"/>
  <c r="AJ1019" i="15"/>
  <c r="AK1019" i="15"/>
  <c r="AL1019" i="15"/>
  <c r="AM1019" i="15"/>
  <c r="AQ1019" i="15"/>
  <c r="S1020" i="15"/>
  <c r="T1020" i="15"/>
  <c r="U1020" i="15"/>
  <c r="W1020" i="15"/>
  <c r="Y1020" i="15"/>
  <c r="Z1020" i="15"/>
  <c r="AA1020" i="15"/>
  <c r="AC1020" i="15"/>
  <c r="AG1020" i="15"/>
  <c r="AH1020" i="15"/>
  <c r="AI1020" i="15"/>
  <c r="AJ1020" i="15"/>
  <c r="AK1020" i="15"/>
  <c r="AL1020" i="15"/>
  <c r="AM1020" i="15"/>
  <c r="AQ1020" i="15"/>
  <c r="S1021" i="15"/>
  <c r="T1021" i="15"/>
  <c r="U1021" i="15"/>
  <c r="W1021" i="15"/>
  <c r="Y1021" i="15"/>
  <c r="Z1021" i="15"/>
  <c r="AA1021" i="15"/>
  <c r="AC1021" i="15"/>
  <c r="AG1021" i="15"/>
  <c r="AH1021" i="15"/>
  <c r="AI1021" i="15"/>
  <c r="AJ1021" i="15"/>
  <c r="AK1021" i="15"/>
  <c r="AL1021" i="15"/>
  <c r="AM1021" i="15"/>
  <c r="AQ1021" i="15"/>
  <c r="S1022" i="15"/>
  <c r="T1022" i="15"/>
  <c r="U1022" i="15"/>
  <c r="W1022" i="15"/>
  <c r="Y1022" i="15"/>
  <c r="Z1022" i="15"/>
  <c r="AA1022" i="15"/>
  <c r="AC1022" i="15"/>
  <c r="AG1022" i="15"/>
  <c r="AH1022" i="15"/>
  <c r="AI1022" i="15"/>
  <c r="AJ1022" i="15"/>
  <c r="AK1022" i="15"/>
  <c r="AL1022" i="15"/>
  <c r="AM1022" i="15"/>
  <c r="AQ1022" i="15"/>
  <c r="S1023" i="15"/>
  <c r="T1023" i="15"/>
  <c r="U1023" i="15"/>
  <c r="W1023" i="15"/>
  <c r="Y1023" i="15"/>
  <c r="Z1023" i="15"/>
  <c r="AA1023" i="15"/>
  <c r="AC1023" i="15"/>
  <c r="AG1023" i="15"/>
  <c r="AH1023" i="15"/>
  <c r="AI1023" i="15"/>
  <c r="AJ1023" i="15"/>
  <c r="AK1023" i="15"/>
  <c r="AL1023" i="15"/>
  <c r="AM1023" i="15"/>
  <c r="AQ1023" i="15"/>
  <c r="S1024" i="15"/>
  <c r="T1024" i="15"/>
  <c r="U1024" i="15"/>
  <c r="W1024" i="15"/>
  <c r="Y1024" i="15"/>
  <c r="Z1024" i="15"/>
  <c r="AA1024" i="15"/>
  <c r="AC1024" i="15"/>
  <c r="AG1024" i="15"/>
  <c r="AH1024" i="15"/>
  <c r="AI1024" i="15"/>
  <c r="AJ1024" i="15"/>
  <c r="AK1024" i="15"/>
  <c r="AL1024" i="15"/>
  <c r="AM1024" i="15"/>
  <c r="AQ1024" i="15"/>
  <c r="S1025" i="15"/>
  <c r="T1025" i="15"/>
  <c r="U1025" i="15"/>
  <c r="W1025" i="15"/>
  <c r="Y1025" i="15"/>
  <c r="Z1025" i="15"/>
  <c r="AA1025" i="15"/>
  <c r="AC1025" i="15"/>
  <c r="AG1025" i="15"/>
  <c r="AH1025" i="15"/>
  <c r="AI1025" i="15"/>
  <c r="AJ1025" i="15"/>
  <c r="AK1025" i="15"/>
  <c r="AL1025" i="15"/>
  <c r="AM1025" i="15"/>
  <c r="AQ1025" i="15"/>
  <c r="S1026" i="15"/>
  <c r="T1026" i="15"/>
  <c r="U1026" i="15"/>
  <c r="W1026" i="15"/>
  <c r="Y1026" i="15"/>
  <c r="Z1026" i="15"/>
  <c r="AA1026" i="15"/>
  <c r="AC1026" i="15"/>
  <c r="AG1026" i="15"/>
  <c r="AH1026" i="15"/>
  <c r="AI1026" i="15"/>
  <c r="AJ1026" i="15"/>
  <c r="AK1026" i="15"/>
  <c r="AL1026" i="15"/>
  <c r="AM1026" i="15"/>
  <c r="AQ1026" i="15"/>
  <c r="S1027" i="15"/>
  <c r="T1027" i="15"/>
  <c r="U1027" i="15"/>
  <c r="W1027" i="15"/>
  <c r="Y1027" i="15"/>
  <c r="Z1027" i="15"/>
  <c r="AA1027" i="15"/>
  <c r="AC1027" i="15"/>
  <c r="AG1027" i="15"/>
  <c r="AH1027" i="15"/>
  <c r="AI1027" i="15"/>
  <c r="AJ1027" i="15"/>
  <c r="AK1027" i="15"/>
  <c r="AL1027" i="15"/>
  <c r="AM1027" i="15"/>
  <c r="AQ1027" i="15"/>
  <c r="S1028" i="15"/>
  <c r="T1028" i="15"/>
  <c r="U1028" i="15"/>
  <c r="W1028" i="15"/>
  <c r="Y1028" i="15"/>
  <c r="Z1028" i="15"/>
  <c r="AA1028" i="15"/>
  <c r="AC1028" i="15"/>
  <c r="AG1028" i="15"/>
  <c r="AH1028" i="15"/>
  <c r="AI1028" i="15"/>
  <c r="AJ1028" i="15"/>
  <c r="AK1028" i="15"/>
  <c r="AL1028" i="15"/>
  <c r="AM1028" i="15"/>
  <c r="AQ1028" i="15"/>
  <c r="S1029" i="15"/>
  <c r="T1029" i="15"/>
  <c r="U1029" i="15"/>
  <c r="W1029" i="15"/>
  <c r="Y1029" i="15"/>
  <c r="Z1029" i="15"/>
  <c r="AA1029" i="15"/>
  <c r="AC1029" i="15"/>
  <c r="AG1029" i="15"/>
  <c r="AH1029" i="15"/>
  <c r="AI1029" i="15"/>
  <c r="AJ1029" i="15"/>
  <c r="AK1029" i="15"/>
  <c r="AL1029" i="15"/>
  <c r="AM1029" i="15"/>
  <c r="AQ1029" i="15"/>
  <c r="S1030" i="15"/>
  <c r="T1030" i="15"/>
  <c r="U1030" i="15"/>
  <c r="W1030" i="15"/>
  <c r="Y1030" i="15"/>
  <c r="Z1030" i="15"/>
  <c r="AA1030" i="15"/>
  <c r="AC1030" i="15"/>
  <c r="AG1030" i="15"/>
  <c r="AH1030" i="15"/>
  <c r="AI1030" i="15"/>
  <c r="AJ1030" i="15"/>
  <c r="AK1030" i="15"/>
  <c r="AL1030" i="15"/>
  <c r="AM1030" i="15"/>
  <c r="AQ1030" i="15"/>
  <c r="S1031" i="15"/>
  <c r="T1031" i="15"/>
  <c r="U1031" i="15"/>
  <c r="W1031" i="15"/>
  <c r="Y1031" i="15"/>
  <c r="Z1031" i="15"/>
  <c r="AA1031" i="15"/>
  <c r="AC1031" i="15"/>
  <c r="AG1031" i="15"/>
  <c r="AH1031" i="15"/>
  <c r="AI1031" i="15"/>
  <c r="AJ1031" i="15"/>
  <c r="AK1031" i="15"/>
  <c r="AL1031" i="15"/>
  <c r="AM1031" i="15"/>
  <c r="AQ1031" i="15"/>
  <c r="S1032" i="15"/>
  <c r="T1032" i="15"/>
  <c r="U1032" i="15"/>
  <c r="W1032" i="15"/>
  <c r="Y1032" i="15"/>
  <c r="Z1032" i="15"/>
  <c r="AA1032" i="15"/>
  <c r="AC1032" i="15"/>
  <c r="AG1032" i="15"/>
  <c r="AH1032" i="15"/>
  <c r="AI1032" i="15"/>
  <c r="AJ1032" i="15"/>
  <c r="AK1032" i="15"/>
  <c r="AL1032" i="15"/>
  <c r="AM1032" i="15"/>
  <c r="AQ1032" i="15"/>
  <c r="S1033" i="15"/>
  <c r="T1033" i="15"/>
  <c r="U1033" i="15"/>
  <c r="W1033" i="15"/>
  <c r="Y1033" i="15"/>
  <c r="Z1033" i="15"/>
  <c r="AA1033" i="15"/>
  <c r="AC1033" i="15"/>
  <c r="AG1033" i="15"/>
  <c r="AH1033" i="15"/>
  <c r="AI1033" i="15"/>
  <c r="AJ1033" i="15"/>
  <c r="AK1033" i="15"/>
  <c r="AL1033" i="15"/>
  <c r="AM1033" i="15"/>
  <c r="AQ1033" i="15"/>
  <c r="S1034" i="15"/>
  <c r="T1034" i="15"/>
  <c r="U1034" i="15"/>
  <c r="W1034" i="15"/>
  <c r="Y1034" i="15"/>
  <c r="Z1034" i="15"/>
  <c r="AA1034" i="15"/>
  <c r="AC1034" i="15"/>
  <c r="AG1034" i="15"/>
  <c r="AH1034" i="15"/>
  <c r="AI1034" i="15"/>
  <c r="AJ1034" i="15"/>
  <c r="AK1034" i="15"/>
  <c r="AL1034" i="15"/>
  <c r="AM1034" i="15"/>
  <c r="AQ1034" i="15"/>
  <c r="S1035" i="15"/>
  <c r="T1035" i="15"/>
  <c r="U1035" i="15"/>
  <c r="W1035" i="15"/>
  <c r="Y1035" i="15"/>
  <c r="Z1035" i="15"/>
  <c r="AA1035" i="15"/>
  <c r="AC1035" i="15"/>
  <c r="AG1035" i="15"/>
  <c r="AH1035" i="15"/>
  <c r="AI1035" i="15"/>
  <c r="AJ1035" i="15"/>
  <c r="AK1035" i="15"/>
  <c r="AL1035" i="15"/>
  <c r="AM1035" i="15"/>
  <c r="AQ1035" i="15"/>
  <c r="S1036" i="15"/>
  <c r="T1036" i="15"/>
  <c r="U1036" i="15"/>
  <c r="W1036" i="15"/>
  <c r="Y1036" i="15"/>
  <c r="Z1036" i="15"/>
  <c r="AA1036" i="15"/>
  <c r="AC1036" i="15"/>
  <c r="AI1036" i="15"/>
  <c r="AL1036" i="15"/>
  <c r="AQ1036" i="15"/>
  <c r="S1037" i="15"/>
  <c r="T1037" i="15"/>
  <c r="W1037" i="15"/>
  <c r="Y1037" i="15"/>
  <c r="Z1037" i="15"/>
  <c r="AC1037" i="15"/>
  <c r="AQ1037" i="15"/>
  <c r="S1038" i="15"/>
  <c r="T1038" i="15"/>
  <c r="U1038" i="15"/>
  <c r="W1038" i="15"/>
  <c r="Y1038" i="15"/>
  <c r="Z1038" i="15"/>
  <c r="AA1038" i="15"/>
  <c r="AC1038" i="15"/>
  <c r="AG1038" i="15"/>
  <c r="AH1038" i="15"/>
  <c r="AI1038" i="15"/>
  <c r="AJ1038" i="15"/>
  <c r="AK1038" i="15"/>
  <c r="AL1038" i="15"/>
  <c r="AM1038" i="15"/>
  <c r="AQ1038" i="15"/>
  <c r="S1039" i="15"/>
  <c r="T1039" i="15"/>
  <c r="U1039" i="15"/>
  <c r="W1039" i="15"/>
  <c r="Y1039" i="15"/>
  <c r="Z1039" i="15"/>
  <c r="AA1039" i="15"/>
  <c r="AC1039" i="15"/>
  <c r="AG1039" i="15"/>
  <c r="AH1039" i="15"/>
  <c r="AI1039" i="15"/>
  <c r="AJ1039" i="15"/>
  <c r="AK1039" i="15"/>
  <c r="AL1039" i="15"/>
  <c r="AM1039" i="15"/>
  <c r="AQ1039" i="15"/>
  <c r="S1040" i="15"/>
  <c r="T1040" i="15"/>
  <c r="U1040" i="15"/>
  <c r="W1040" i="15"/>
  <c r="Y1040" i="15"/>
  <c r="Z1040" i="15"/>
  <c r="AA1040" i="15"/>
  <c r="AC1040" i="15"/>
  <c r="AG1040" i="15"/>
  <c r="AH1040" i="15"/>
  <c r="AI1040" i="15"/>
  <c r="AJ1040" i="15"/>
  <c r="AK1040" i="15"/>
  <c r="AL1040" i="15"/>
  <c r="AM1040" i="15"/>
  <c r="AQ1040" i="15"/>
  <c r="S1041" i="15"/>
  <c r="T1041" i="15"/>
  <c r="U1041" i="15"/>
  <c r="W1041" i="15"/>
  <c r="Y1041" i="15"/>
  <c r="Z1041" i="15"/>
  <c r="AA1041" i="15"/>
  <c r="AC1041" i="15"/>
  <c r="AG1041" i="15"/>
  <c r="AH1041" i="15"/>
  <c r="AI1041" i="15"/>
  <c r="AJ1041" i="15"/>
  <c r="AK1041" i="15"/>
  <c r="AL1041" i="15"/>
  <c r="AM1041" i="15"/>
  <c r="AQ1041" i="15"/>
  <c r="S1042" i="15"/>
  <c r="T1042" i="15"/>
  <c r="U1042" i="15"/>
  <c r="W1042" i="15"/>
  <c r="Y1042" i="15"/>
  <c r="Z1042" i="15"/>
  <c r="AA1042" i="15"/>
  <c r="AC1042" i="15"/>
  <c r="AG1042" i="15"/>
  <c r="AH1042" i="15"/>
  <c r="AI1042" i="15"/>
  <c r="AJ1042" i="15"/>
  <c r="AK1042" i="15"/>
  <c r="AL1042" i="15"/>
  <c r="AM1042" i="15"/>
  <c r="AQ1042" i="15"/>
  <c r="S1043" i="15"/>
  <c r="T1043" i="15"/>
  <c r="U1043" i="15"/>
  <c r="W1043" i="15"/>
  <c r="Y1043" i="15"/>
  <c r="Z1043" i="15"/>
  <c r="AA1043" i="15"/>
  <c r="AC1043" i="15"/>
  <c r="AG1043" i="15"/>
  <c r="AH1043" i="15"/>
  <c r="AI1043" i="15"/>
  <c r="AJ1043" i="15"/>
  <c r="AK1043" i="15"/>
  <c r="AL1043" i="15"/>
  <c r="AM1043" i="15"/>
  <c r="AQ1043" i="15"/>
  <c r="U1044" i="15"/>
  <c r="W1044" i="15"/>
  <c r="AA1044" i="15"/>
  <c r="AC1044" i="15"/>
  <c r="AG1044" i="15"/>
  <c r="AH1044" i="15"/>
  <c r="AI1044" i="15"/>
  <c r="AJ1044" i="15"/>
  <c r="AK1044" i="15"/>
  <c r="AL1044" i="15"/>
  <c r="AM1044" i="15"/>
  <c r="AQ1044" i="15"/>
  <c r="S1045" i="15"/>
  <c r="T1045" i="15"/>
  <c r="U1045" i="15"/>
  <c r="W1045" i="15"/>
  <c r="Y1045" i="15"/>
  <c r="Z1045" i="15"/>
  <c r="AA1045" i="15"/>
  <c r="AC1045" i="15"/>
  <c r="AG1045" i="15"/>
  <c r="AH1045" i="15"/>
  <c r="AI1045" i="15"/>
  <c r="AJ1045" i="15"/>
  <c r="AK1045" i="15"/>
  <c r="AL1045" i="15"/>
  <c r="AM1045" i="15"/>
  <c r="AQ1045" i="15"/>
  <c r="S1046" i="15"/>
  <c r="T1046" i="15"/>
  <c r="U1046" i="15"/>
  <c r="W1046" i="15"/>
  <c r="AA1046" i="15"/>
  <c r="AC1046" i="15"/>
  <c r="AI1046" i="15"/>
  <c r="AL1046" i="15"/>
  <c r="AQ1046" i="15"/>
  <c r="T1047" i="15"/>
  <c r="U1047" i="15"/>
  <c r="W1047" i="15"/>
  <c r="AA1047" i="15"/>
  <c r="AC1047" i="15"/>
  <c r="AH1047" i="15"/>
  <c r="AI1047" i="15"/>
  <c r="AK1047" i="15"/>
  <c r="AL1047" i="15"/>
  <c r="AM1047" i="15"/>
  <c r="AQ1047" i="15"/>
  <c r="S1048" i="15"/>
  <c r="T1048" i="15"/>
  <c r="U1048" i="15"/>
  <c r="W1048" i="15"/>
  <c r="AA1048" i="15"/>
  <c r="AC1048" i="15"/>
  <c r="AI1048" i="15"/>
  <c r="AL1048" i="15"/>
  <c r="AM1048" i="15"/>
  <c r="AQ1048" i="15"/>
  <c r="S1049" i="15"/>
  <c r="T1049" i="15"/>
  <c r="U1049" i="15"/>
  <c r="W1049" i="15"/>
  <c r="AA1049" i="15"/>
  <c r="AC1049" i="15"/>
  <c r="AG1049" i="15"/>
  <c r="AH1049" i="15"/>
  <c r="AI1049" i="15"/>
  <c r="AJ1049" i="15"/>
  <c r="AK1049" i="15"/>
  <c r="AL1049" i="15"/>
  <c r="AM1049" i="15"/>
  <c r="AQ1049" i="15"/>
  <c r="S1050" i="15"/>
  <c r="T1050" i="15"/>
  <c r="U1050" i="15"/>
  <c r="W1050" i="15"/>
  <c r="AA1050" i="15"/>
  <c r="AC1050" i="15"/>
  <c r="AI1050" i="15"/>
  <c r="AL1050" i="15"/>
  <c r="AM1050" i="15"/>
  <c r="AQ1050" i="15"/>
  <c r="S1051" i="15"/>
  <c r="T1051" i="15"/>
  <c r="U1051" i="15"/>
  <c r="W1051" i="15"/>
  <c r="AA1051" i="15"/>
  <c r="AC1051" i="15"/>
  <c r="AG1051" i="15"/>
  <c r="AH1051" i="15"/>
  <c r="AI1051" i="15"/>
  <c r="AJ1051" i="15"/>
  <c r="AK1051" i="15"/>
  <c r="AL1051" i="15"/>
  <c r="AM1051" i="15"/>
  <c r="AQ1051" i="15"/>
  <c r="S1052" i="15"/>
  <c r="T1052" i="15"/>
  <c r="U1052" i="15"/>
  <c r="W1052" i="15"/>
  <c r="AA1052" i="15"/>
  <c r="AC1052" i="15"/>
  <c r="AI1052" i="15"/>
  <c r="AL1052" i="15"/>
  <c r="AM1052" i="15"/>
  <c r="AQ1052" i="15"/>
  <c r="S1053" i="15"/>
  <c r="T1053" i="15"/>
  <c r="U1053" i="15"/>
  <c r="W1053" i="15"/>
  <c r="AA1053" i="15"/>
  <c r="AC1053" i="15"/>
  <c r="AG1053" i="15"/>
  <c r="AH1053" i="15"/>
  <c r="AI1053" i="15"/>
  <c r="AJ1053" i="15"/>
  <c r="AK1053" i="15"/>
  <c r="AL1053" i="15"/>
  <c r="AM1053" i="15"/>
  <c r="AQ1053" i="15"/>
  <c r="S1054" i="15"/>
  <c r="T1054" i="15"/>
  <c r="U1054" i="15"/>
  <c r="W1054" i="15"/>
  <c r="AA1054" i="15"/>
  <c r="AC1054" i="15"/>
  <c r="AG1054" i="15"/>
  <c r="AH1054" i="15"/>
  <c r="AI1054" i="15"/>
  <c r="AJ1054" i="15"/>
  <c r="AK1054" i="15"/>
  <c r="AL1054" i="15"/>
  <c r="AM1054" i="15"/>
  <c r="AQ1054" i="15"/>
  <c r="S1055" i="15"/>
  <c r="T1055" i="15"/>
  <c r="U1055" i="15"/>
  <c r="W1055" i="15"/>
  <c r="AA1055" i="15"/>
  <c r="AC1055" i="15"/>
  <c r="AG1055" i="15"/>
  <c r="AH1055" i="15"/>
  <c r="AI1055" i="15"/>
  <c r="AJ1055" i="15"/>
  <c r="AK1055" i="15"/>
  <c r="AL1055" i="15"/>
  <c r="AM1055" i="15"/>
  <c r="AQ1055" i="15"/>
  <c r="U1056" i="15"/>
  <c r="W1056" i="15"/>
  <c r="AA1056" i="15"/>
  <c r="AC1056" i="15"/>
  <c r="AG1056" i="15"/>
  <c r="AH1056" i="15"/>
  <c r="AI1056" i="15"/>
  <c r="AJ1056" i="15"/>
  <c r="AK1056" i="15"/>
  <c r="AL1056" i="15"/>
  <c r="AM1056" i="15"/>
  <c r="AQ1056" i="15"/>
  <c r="S1057" i="15"/>
  <c r="T1057" i="15"/>
  <c r="U1057" i="15"/>
  <c r="W1057" i="15"/>
  <c r="AC1057" i="15"/>
  <c r="AG1057" i="15"/>
  <c r="AH1057" i="15"/>
  <c r="AI1057" i="15"/>
  <c r="AJ1057" i="15"/>
  <c r="AK1057" i="15"/>
  <c r="AL1057" i="15"/>
  <c r="AM1057" i="15"/>
  <c r="AQ1057" i="15"/>
  <c r="S1058" i="15"/>
  <c r="T1058" i="15"/>
  <c r="U1058" i="15"/>
  <c r="W1058" i="15"/>
  <c r="Y1058" i="15"/>
  <c r="Z1058" i="15"/>
  <c r="AA1058" i="15"/>
  <c r="AC1058" i="15"/>
  <c r="AG1058" i="15"/>
  <c r="AH1058" i="15"/>
  <c r="AI1058" i="15"/>
  <c r="AJ1058" i="15"/>
  <c r="AK1058" i="15"/>
  <c r="AL1058" i="15"/>
  <c r="AM1058" i="15"/>
  <c r="AQ1058" i="15"/>
  <c r="S1059" i="15"/>
  <c r="T1059" i="15"/>
  <c r="U1059" i="15"/>
  <c r="W1059" i="15"/>
  <c r="Y1059" i="15"/>
  <c r="Z1059" i="15"/>
  <c r="AA1059" i="15"/>
  <c r="AC1059" i="15"/>
  <c r="AG1059" i="15"/>
  <c r="AH1059" i="15"/>
  <c r="AI1059" i="15"/>
  <c r="AJ1059" i="15"/>
  <c r="AK1059" i="15"/>
  <c r="AL1059" i="15"/>
  <c r="AM1059" i="15"/>
  <c r="AQ1059" i="15"/>
  <c r="N900" i="15"/>
  <c r="O900" i="15"/>
  <c r="P900" i="15"/>
  <c r="Q900" i="15"/>
  <c r="N901" i="15"/>
  <c r="O901" i="15"/>
  <c r="P901" i="15"/>
  <c r="Q901" i="15"/>
  <c r="N902" i="15"/>
  <c r="O902" i="15"/>
  <c r="P902" i="15"/>
  <c r="Q902" i="15"/>
  <c r="N903" i="15"/>
  <c r="O903" i="15"/>
  <c r="P903" i="15"/>
  <c r="Q903" i="15"/>
  <c r="N904" i="15"/>
  <c r="O904" i="15"/>
  <c r="P904" i="15"/>
  <c r="Q904" i="15"/>
  <c r="N905" i="15"/>
  <c r="O905" i="15"/>
  <c r="P905" i="15"/>
  <c r="Q905" i="15"/>
  <c r="N906" i="15"/>
  <c r="O906" i="15"/>
  <c r="P906" i="15"/>
  <c r="Q906" i="15"/>
  <c r="N907" i="15"/>
  <c r="O907" i="15"/>
  <c r="P907" i="15"/>
  <c r="Q907" i="15"/>
  <c r="N908" i="15"/>
  <c r="O908" i="15"/>
  <c r="P908" i="15"/>
  <c r="Q908" i="15"/>
  <c r="N909" i="15"/>
  <c r="O909" i="15"/>
  <c r="P909" i="15"/>
  <c r="Q909" i="15"/>
  <c r="N910" i="15"/>
  <c r="O910" i="15"/>
  <c r="P910" i="15"/>
  <c r="Q910" i="15"/>
  <c r="N911" i="15"/>
  <c r="O911" i="15"/>
  <c r="P911" i="15"/>
  <c r="Q911" i="15"/>
  <c r="N912" i="15"/>
  <c r="O912" i="15"/>
  <c r="P912" i="15"/>
  <c r="Q912" i="15"/>
  <c r="N913" i="15"/>
  <c r="O913" i="15"/>
  <c r="P913" i="15"/>
  <c r="Q913" i="15"/>
  <c r="N914" i="15"/>
  <c r="O914" i="15"/>
  <c r="P914" i="15"/>
  <c r="Q914" i="15"/>
  <c r="N915" i="15"/>
  <c r="O915" i="15"/>
  <c r="P915" i="15"/>
  <c r="Q915" i="15"/>
  <c r="N916" i="15"/>
  <c r="O916" i="15"/>
  <c r="P916" i="15"/>
  <c r="Q916" i="15"/>
  <c r="N917" i="15"/>
  <c r="O917" i="15"/>
  <c r="P917" i="15"/>
  <c r="Q917" i="15"/>
  <c r="N918" i="15"/>
  <c r="O918" i="15"/>
  <c r="P918" i="15"/>
  <c r="Q918" i="15"/>
  <c r="N919" i="15"/>
  <c r="O919" i="15"/>
  <c r="P919" i="15"/>
  <c r="Q919" i="15"/>
  <c r="N920" i="15"/>
  <c r="O920" i="15"/>
  <c r="P920" i="15"/>
  <c r="Q920" i="15"/>
  <c r="N921" i="15"/>
  <c r="O921" i="15"/>
  <c r="P921" i="15"/>
  <c r="Q921" i="15"/>
  <c r="N922" i="15"/>
  <c r="O922" i="15"/>
  <c r="P922" i="15"/>
  <c r="Q922" i="15"/>
  <c r="N923" i="15"/>
  <c r="O923" i="15"/>
  <c r="P923" i="15"/>
  <c r="Q923" i="15"/>
  <c r="N924" i="15"/>
  <c r="O924" i="15"/>
  <c r="P924" i="15"/>
  <c r="Q924" i="15"/>
  <c r="N925" i="15"/>
  <c r="O925" i="15"/>
  <c r="P925" i="15"/>
  <c r="Q925" i="15"/>
  <c r="N926" i="15"/>
  <c r="O926" i="15"/>
  <c r="P926" i="15"/>
  <c r="Q926" i="15"/>
  <c r="N927" i="15"/>
  <c r="O927" i="15"/>
  <c r="P927" i="15"/>
  <c r="Q927" i="15"/>
  <c r="N928" i="15"/>
  <c r="O928" i="15"/>
  <c r="P928" i="15"/>
  <c r="Q928" i="15"/>
  <c r="N929" i="15"/>
  <c r="O929" i="15"/>
  <c r="P929" i="15"/>
  <c r="Q929" i="15"/>
  <c r="I1466" i="15"/>
  <c r="Z819" i="15"/>
  <c r="W819" i="15"/>
  <c r="T819" i="15"/>
  <c r="AK819" i="15"/>
  <c r="AC1466" i="15"/>
  <c r="AC1467" i="15"/>
  <c r="AC1468" i="15"/>
  <c r="AC1469" i="15"/>
  <c r="AC1470" i="15"/>
  <c r="AC1471" i="15"/>
  <c r="AC1472" i="15"/>
  <c r="AC1473" i="15"/>
  <c r="AC1474" i="15"/>
  <c r="AC1475" i="15"/>
  <c r="N1466" i="15"/>
  <c r="AQ1466" i="15"/>
  <c r="I1467" i="15"/>
  <c r="N1467" i="15"/>
  <c r="AQ1467" i="15"/>
  <c r="I1468" i="15"/>
  <c r="N1468" i="15"/>
  <c r="AQ1468" i="15"/>
  <c r="I1469" i="15"/>
  <c r="N1469" i="15"/>
  <c r="AQ1469" i="15"/>
  <c r="I1470" i="15"/>
  <c r="N1470" i="15"/>
  <c r="AQ1470" i="15"/>
  <c r="I1471" i="15"/>
  <c r="N1471" i="15"/>
  <c r="AQ1471" i="15"/>
  <c r="I1472" i="15"/>
  <c r="N1472" i="15"/>
  <c r="AQ1472" i="15"/>
  <c r="I1473" i="15"/>
  <c r="N1473" i="15"/>
  <c r="AQ1473" i="15"/>
  <c r="I1474" i="15"/>
  <c r="N1474" i="15"/>
  <c r="AQ1474" i="15"/>
  <c r="I1475" i="15"/>
  <c r="N1475" i="15"/>
  <c r="AQ1475" i="15"/>
  <c r="D1488" i="15"/>
  <c r="E1488" i="15"/>
  <c r="F1488" i="15"/>
  <c r="G1488" i="15"/>
  <c r="H1488" i="15"/>
  <c r="I1488" i="15"/>
  <c r="J1488" i="15"/>
  <c r="K1488" i="15"/>
  <c r="L1488" i="15"/>
  <c r="M1488" i="15"/>
  <c r="N1488" i="15"/>
  <c r="O1488" i="15"/>
  <c r="P1488" i="15"/>
  <c r="Q1488" i="15"/>
  <c r="S1488" i="15"/>
  <c r="T1488" i="15"/>
  <c r="U1488" i="15"/>
  <c r="W1488" i="15"/>
  <c r="AC1488" i="15"/>
  <c r="AG1488" i="15"/>
  <c r="AH1488" i="15"/>
  <c r="AI1488" i="15"/>
  <c r="AJ1488" i="15"/>
  <c r="AK1488" i="15"/>
  <c r="AL1488" i="15"/>
  <c r="AM1488" i="15"/>
  <c r="AQ1488" i="15"/>
  <c r="D1489" i="15"/>
  <c r="E1489" i="15"/>
  <c r="F1489" i="15"/>
  <c r="G1489" i="15"/>
  <c r="H1489" i="15"/>
  <c r="I1489" i="15"/>
  <c r="J1489" i="15"/>
  <c r="K1489" i="15"/>
  <c r="L1489" i="15"/>
  <c r="M1489" i="15"/>
  <c r="N1489" i="15"/>
  <c r="O1489" i="15"/>
  <c r="P1489" i="15"/>
  <c r="Q1489" i="15"/>
  <c r="S1489" i="15"/>
  <c r="T1489" i="15"/>
  <c r="U1489" i="15"/>
  <c r="W1489" i="15"/>
  <c r="AC1489" i="15"/>
  <c r="AG1489" i="15"/>
  <c r="AH1489" i="15"/>
  <c r="AI1489" i="15"/>
  <c r="AJ1489" i="15"/>
  <c r="AK1489" i="15"/>
  <c r="AL1489" i="15"/>
  <c r="AM1489" i="15"/>
  <c r="AQ1489" i="15"/>
  <c r="D1490" i="15"/>
  <c r="E1490" i="15"/>
  <c r="F1490" i="15"/>
  <c r="G1490" i="15"/>
  <c r="H1490" i="15"/>
  <c r="I1490" i="15"/>
  <c r="J1490" i="15"/>
  <c r="K1490" i="15"/>
  <c r="L1490" i="15"/>
  <c r="M1490" i="15"/>
  <c r="N1490" i="15"/>
  <c r="O1490" i="15"/>
  <c r="P1490" i="15"/>
  <c r="Q1490" i="15"/>
  <c r="S1490" i="15"/>
  <c r="T1490" i="15"/>
  <c r="U1490" i="15"/>
  <c r="W1490" i="15"/>
  <c r="AC1490" i="15"/>
  <c r="AG1490" i="15"/>
  <c r="AH1490" i="15"/>
  <c r="AI1490" i="15"/>
  <c r="AJ1490" i="15"/>
  <c r="AK1490" i="15"/>
  <c r="AL1490" i="15"/>
  <c r="AM1490" i="15"/>
  <c r="AQ1490" i="15"/>
  <c r="D1491" i="15"/>
  <c r="E1491" i="15"/>
  <c r="F1491" i="15"/>
  <c r="G1491" i="15"/>
  <c r="H1491" i="15"/>
  <c r="I1491" i="15"/>
  <c r="J1491" i="15"/>
  <c r="K1491" i="15"/>
  <c r="L1491" i="15"/>
  <c r="M1491" i="15"/>
  <c r="N1491" i="15"/>
  <c r="O1491" i="15"/>
  <c r="P1491" i="15"/>
  <c r="Q1491" i="15"/>
  <c r="S1491" i="15"/>
  <c r="T1491" i="15"/>
  <c r="U1491" i="15"/>
  <c r="W1491" i="15"/>
  <c r="AC1491" i="15"/>
  <c r="AG1491" i="15"/>
  <c r="AH1491" i="15"/>
  <c r="AI1491" i="15"/>
  <c r="AJ1491" i="15"/>
  <c r="AK1491" i="15"/>
  <c r="AL1491" i="15"/>
  <c r="AM1491" i="15"/>
  <c r="AQ1491" i="15"/>
  <c r="D1492" i="15"/>
  <c r="E1492" i="15"/>
  <c r="F1492" i="15"/>
  <c r="G1492" i="15"/>
  <c r="H1492" i="15"/>
  <c r="I1492" i="15"/>
  <c r="J1492" i="15"/>
  <c r="K1492" i="15"/>
  <c r="L1492" i="15"/>
  <c r="M1492" i="15"/>
  <c r="N1492" i="15"/>
  <c r="O1492" i="15"/>
  <c r="P1492" i="15"/>
  <c r="Q1492" i="15"/>
  <c r="S1492" i="15"/>
  <c r="T1492" i="15"/>
  <c r="U1492" i="15"/>
  <c r="W1492" i="15"/>
  <c r="AC1492" i="15"/>
  <c r="AG1492" i="15"/>
  <c r="AH1492" i="15"/>
  <c r="AI1492" i="15"/>
  <c r="AJ1492" i="15"/>
  <c r="AK1492" i="15"/>
  <c r="AL1492" i="15"/>
  <c r="AM1492" i="15"/>
  <c r="AQ1492" i="15"/>
  <c r="D1493" i="15"/>
  <c r="E1493" i="15"/>
  <c r="F1493" i="15"/>
  <c r="G1493" i="15"/>
  <c r="H1493" i="15"/>
  <c r="I1493" i="15"/>
  <c r="J1493" i="15"/>
  <c r="K1493" i="15"/>
  <c r="L1493" i="15"/>
  <c r="M1493" i="15"/>
  <c r="N1493" i="15"/>
  <c r="O1493" i="15"/>
  <c r="P1493" i="15"/>
  <c r="Q1493" i="15"/>
  <c r="S1493" i="15"/>
  <c r="T1493" i="15"/>
  <c r="U1493" i="15"/>
  <c r="W1493" i="15"/>
  <c r="AC1493" i="15"/>
  <c r="AG1493" i="15"/>
  <c r="AH1493" i="15"/>
  <c r="AI1493" i="15"/>
  <c r="AJ1493" i="15"/>
  <c r="AK1493" i="15"/>
  <c r="AL1493" i="15"/>
  <c r="AM1493" i="15"/>
  <c r="AQ1493" i="15"/>
  <c r="D1494" i="15"/>
  <c r="E1494" i="15"/>
  <c r="F1494" i="15"/>
  <c r="G1494" i="15"/>
  <c r="H1494" i="15"/>
  <c r="I1494" i="15"/>
  <c r="J1494" i="15"/>
  <c r="K1494" i="15"/>
  <c r="L1494" i="15"/>
  <c r="M1494" i="15"/>
  <c r="N1494" i="15"/>
  <c r="O1494" i="15"/>
  <c r="P1494" i="15"/>
  <c r="Q1494" i="15"/>
  <c r="S1494" i="15"/>
  <c r="T1494" i="15"/>
  <c r="U1494" i="15"/>
  <c r="W1494" i="15"/>
  <c r="Y1494" i="15"/>
  <c r="Z1494" i="15"/>
  <c r="AA1494" i="15"/>
  <c r="AC1494" i="15"/>
  <c r="AG1494" i="15"/>
  <c r="AH1494" i="15"/>
  <c r="AI1494" i="15"/>
  <c r="AJ1494" i="15"/>
  <c r="AK1494" i="15"/>
  <c r="AL1494" i="15"/>
  <c r="AM1494" i="15"/>
  <c r="AQ1494" i="15"/>
  <c r="D1495" i="15"/>
  <c r="E1495" i="15"/>
  <c r="F1495" i="15"/>
  <c r="G1495" i="15"/>
  <c r="H1495" i="15"/>
  <c r="I1495" i="15"/>
  <c r="J1495" i="15"/>
  <c r="K1495" i="15"/>
  <c r="L1495" i="15"/>
  <c r="M1495" i="15"/>
  <c r="N1495" i="15"/>
  <c r="O1495" i="15"/>
  <c r="P1495" i="15"/>
  <c r="Q1495" i="15"/>
  <c r="S1495" i="15"/>
  <c r="T1495" i="15"/>
  <c r="U1495" i="15"/>
  <c r="W1495" i="15"/>
  <c r="Y1495" i="15"/>
  <c r="Z1495" i="15"/>
  <c r="AA1495" i="15"/>
  <c r="AC1495" i="15"/>
  <c r="AG1495" i="15"/>
  <c r="AH1495" i="15"/>
  <c r="AI1495" i="15"/>
  <c r="AJ1495" i="15"/>
  <c r="AK1495" i="15"/>
  <c r="AL1495" i="15"/>
  <c r="AM1495" i="15"/>
  <c r="AQ1495" i="15"/>
  <c r="D1496" i="15"/>
  <c r="E1496" i="15"/>
  <c r="F1496" i="15"/>
  <c r="G1496" i="15"/>
  <c r="H1496" i="15"/>
  <c r="I1496" i="15"/>
  <c r="J1496" i="15"/>
  <c r="K1496" i="15"/>
  <c r="L1496" i="15"/>
  <c r="M1496" i="15"/>
  <c r="N1496" i="15"/>
  <c r="O1496" i="15"/>
  <c r="P1496" i="15"/>
  <c r="Q1496" i="15"/>
  <c r="S1496" i="15"/>
  <c r="T1496" i="15"/>
  <c r="U1496" i="15"/>
  <c r="W1496" i="15"/>
  <c r="Y1496" i="15"/>
  <c r="Z1496" i="15"/>
  <c r="AA1496" i="15"/>
  <c r="AC1496" i="15"/>
  <c r="AG1496" i="15"/>
  <c r="AH1496" i="15"/>
  <c r="AI1496" i="15"/>
  <c r="AJ1496" i="15"/>
  <c r="AK1496" i="15"/>
  <c r="AL1496" i="15"/>
  <c r="AM1496" i="15"/>
  <c r="AQ1496" i="15"/>
  <c r="D1497" i="15"/>
  <c r="E1497" i="15"/>
  <c r="F1497" i="15"/>
  <c r="G1497" i="15"/>
  <c r="H1497" i="15"/>
  <c r="I1497" i="15"/>
  <c r="J1497" i="15"/>
  <c r="K1497" i="15"/>
  <c r="L1497" i="15"/>
  <c r="M1497" i="15"/>
  <c r="N1497" i="15"/>
  <c r="O1497" i="15"/>
  <c r="P1497" i="15"/>
  <c r="Q1497" i="15"/>
  <c r="S1497" i="15"/>
  <c r="T1497" i="15"/>
  <c r="U1497" i="15"/>
  <c r="W1497" i="15"/>
  <c r="Y1497" i="15"/>
  <c r="Z1497" i="15"/>
  <c r="AA1497" i="15"/>
  <c r="AC1497" i="15"/>
  <c r="AG1497" i="15"/>
  <c r="AH1497" i="15"/>
  <c r="AI1497" i="15"/>
  <c r="AJ1497" i="15"/>
  <c r="AK1497" i="15"/>
  <c r="AL1497" i="15"/>
  <c r="AM1497" i="15"/>
  <c r="AQ1497" i="15"/>
  <c r="E1498" i="15"/>
  <c r="F1498" i="15"/>
  <c r="G1498" i="15"/>
  <c r="H1498" i="15"/>
  <c r="I1498" i="15"/>
  <c r="J1498" i="15"/>
  <c r="K1498" i="15"/>
  <c r="L1498" i="15"/>
  <c r="N1498" i="15"/>
  <c r="O1498" i="15"/>
  <c r="P1498" i="15"/>
  <c r="Q1498" i="15"/>
  <c r="S1498" i="15"/>
  <c r="T1498" i="15"/>
  <c r="U1498" i="15"/>
  <c r="W1498" i="15"/>
  <c r="Y1498" i="15"/>
  <c r="Z1498" i="15"/>
  <c r="AA1498" i="15"/>
  <c r="AC1498" i="15"/>
  <c r="AG1498" i="15"/>
  <c r="AH1498" i="15"/>
  <c r="AI1498" i="15"/>
  <c r="AJ1498" i="15"/>
  <c r="AK1498" i="15"/>
  <c r="AL1498" i="15"/>
  <c r="AM1498" i="15"/>
  <c r="AQ1498" i="15"/>
  <c r="E1499" i="15"/>
  <c r="F1499" i="15"/>
  <c r="G1499" i="15"/>
  <c r="H1499" i="15"/>
  <c r="I1499" i="15"/>
  <c r="J1499" i="15"/>
  <c r="K1499" i="15"/>
  <c r="L1499" i="15"/>
  <c r="N1499" i="15"/>
  <c r="O1499" i="15"/>
  <c r="P1499" i="15"/>
  <c r="Q1499" i="15"/>
  <c r="S1499" i="15"/>
  <c r="T1499" i="15"/>
  <c r="U1499" i="15"/>
  <c r="W1499" i="15"/>
  <c r="Y1499" i="15"/>
  <c r="Z1499" i="15"/>
  <c r="AA1499" i="15"/>
  <c r="AC1499" i="15"/>
  <c r="AG1499" i="15"/>
  <c r="AH1499" i="15"/>
  <c r="AI1499" i="15"/>
  <c r="AJ1499" i="15"/>
  <c r="AK1499" i="15"/>
  <c r="AL1499" i="15"/>
  <c r="AM1499" i="15"/>
  <c r="AQ1499" i="15"/>
  <c r="D1500" i="15"/>
  <c r="E1500" i="15"/>
  <c r="F1500" i="15"/>
  <c r="G1500" i="15"/>
  <c r="H1500" i="15"/>
  <c r="I1500" i="15"/>
  <c r="J1500" i="15"/>
  <c r="K1500" i="15"/>
  <c r="L1500" i="15"/>
  <c r="M1500" i="15"/>
  <c r="N1500" i="15"/>
  <c r="O1500" i="15"/>
  <c r="P1500" i="15"/>
  <c r="Q1500" i="15"/>
  <c r="S1500" i="15"/>
  <c r="T1500" i="15"/>
  <c r="U1500" i="15"/>
  <c r="W1500" i="15"/>
  <c r="Y1500" i="15"/>
  <c r="Z1500" i="15"/>
  <c r="AA1500" i="15"/>
  <c r="AC1500" i="15"/>
  <c r="AG1500" i="15"/>
  <c r="AH1500" i="15"/>
  <c r="AI1500" i="15"/>
  <c r="AJ1500" i="15"/>
  <c r="AK1500" i="15"/>
  <c r="AL1500" i="15"/>
  <c r="AM1500" i="15"/>
  <c r="AQ1500" i="15"/>
  <c r="D1501" i="15"/>
  <c r="E1501" i="15"/>
  <c r="F1501" i="15"/>
  <c r="G1501" i="15"/>
  <c r="H1501" i="15"/>
  <c r="I1501" i="15"/>
  <c r="J1501" i="15"/>
  <c r="K1501" i="15"/>
  <c r="L1501" i="15"/>
  <c r="M1501" i="15"/>
  <c r="N1501" i="15"/>
  <c r="O1501" i="15"/>
  <c r="P1501" i="15"/>
  <c r="Q1501" i="15"/>
  <c r="S1501" i="15"/>
  <c r="T1501" i="15"/>
  <c r="U1501" i="15"/>
  <c r="W1501" i="15"/>
  <c r="Y1501" i="15"/>
  <c r="Z1501" i="15"/>
  <c r="AA1501" i="15"/>
  <c r="AC1501" i="15"/>
  <c r="AG1501" i="15"/>
  <c r="AH1501" i="15"/>
  <c r="AI1501" i="15"/>
  <c r="AJ1501" i="15"/>
  <c r="AK1501" i="15"/>
  <c r="AL1501" i="15"/>
  <c r="AM1501" i="15"/>
  <c r="AQ1501" i="15"/>
  <c r="D1502" i="15"/>
  <c r="E1502" i="15"/>
  <c r="F1502" i="15"/>
  <c r="G1502" i="15"/>
  <c r="H1502" i="15"/>
  <c r="I1502" i="15"/>
  <c r="J1502" i="15"/>
  <c r="K1502" i="15"/>
  <c r="L1502" i="15"/>
  <c r="M1502" i="15"/>
  <c r="N1502" i="15"/>
  <c r="O1502" i="15"/>
  <c r="P1502" i="15"/>
  <c r="Q1502" i="15"/>
  <c r="S1502" i="15"/>
  <c r="T1502" i="15"/>
  <c r="U1502" i="15"/>
  <c r="W1502" i="15"/>
  <c r="Y1502" i="15"/>
  <c r="Z1502" i="15"/>
  <c r="AA1502" i="15"/>
  <c r="AC1502" i="15"/>
  <c r="AG1502" i="15"/>
  <c r="AH1502" i="15"/>
  <c r="AI1502" i="15"/>
  <c r="AJ1502" i="15"/>
  <c r="AK1502" i="15"/>
  <c r="AL1502" i="15"/>
  <c r="AM1502" i="15"/>
  <c r="AQ1502" i="15"/>
  <c r="D1503" i="15"/>
  <c r="E1503" i="15"/>
  <c r="F1503" i="15"/>
  <c r="G1503" i="15"/>
  <c r="H1503" i="15"/>
  <c r="I1503" i="15"/>
  <c r="J1503" i="15"/>
  <c r="K1503" i="15"/>
  <c r="L1503" i="15"/>
  <c r="M1503" i="15"/>
  <c r="N1503" i="15"/>
  <c r="O1503" i="15"/>
  <c r="P1503" i="15"/>
  <c r="Q1503" i="15"/>
  <c r="S1503" i="15"/>
  <c r="T1503" i="15"/>
  <c r="U1503" i="15"/>
  <c r="W1503" i="15"/>
  <c r="Y1503" i="15"/>
  <c r="Z1503" i="15"/>
  <c r="AA1503" i="15"/>
  <c r="AC1503" i="15"/>
  <c r="AG1503" i="15"/>
  <c r="AH1503" i="15"/>
  <c r="AI1503" i="15"/>
  <c r="AJ1503" i="15"/>
  <c r="AK1503" i="15"/>
  <c r="AL1503" i="15"/>
  <c r="AM1503" i="15"/>
  <c r="AQ1503" i="15"/>
  <c r="E1504" i="15"/>
  <c r="F1504" i="15"/>
  <c r="G1504" i="15"/>
  <c r="H1504" i="15"/>
  <c r="I1504" i="15"/>
  <c r="J1504" i="15"/>
  <c r="K1504" i="15"/>
  <c r="L1504" i="15"/>
  <c r="N1504" i="15"/>
  <c r="O1504" i="15"/>
  <c r="P1504" i="15"/>
  <c r="Q1504" i="15"/>
  <c r="S1504" i="15"/>
  <c r="T1504" i="15"/>
  <c r="U1504" i="15"/>
  <c r="W1504" i="15"/>
  <c r="Y1504" i="15"/>
  <c r="Z1504" i="15"/>
  <c r="AA1504" i="15"/>
  <c r="AC1504" i="15"/>
  <c r="AG1504" i="15"/>
  <c r="AH1504" i="15"/>
  <c r="AI1504" i="15"/>
  <c r="AJ1504" i="15"/>
  <c r="AK1504" i="15"/>
  <c r="AL1504" i="15"/>
  <c r="AM1504" i="15"/>
  <c r="AQ1504" i="15"/>
  <c r="D1505" i="15"/>
  <c r="E1505" i="15"/>
  <c r="F1505" i="15"/>
  <c r="G1505" i="15"/>
  <c r="H1505" i="15"/>
  <c r="I1505" i="15"/>
  <c r="J1505" i="15"/>
  <c r="K1505" i="15"/>
  <c r="L1505" i="15"/>
  <c r="M1505" i="15"/>
  <c r="N1505" i="15"/>
  <c r="O1505" i="15"/>
  <c r="P1505" i="15"/>
  <c r="Q1505" i="15"/>
  <c r="S1505" i="15"/>
  <c r="T1505" i="15"/>
  <c r="U1505" i="15"/>
  <c r="W1505" i="15"/>
  <c r="Y1505" i="15"/>
  <c r="Z1505" i="15"/>
  <c r="AA1505" i="15"/>
  <c r="AC1505" i="15"/>
  <c r="AG1505" i="15"/>
  <c r="AH1505" i="15"/>
  <c r="AI1505" i="15"/>
  <c r="AJ1505" i="15"/>
  <c r="AK1505" i="15"/>
  <c r="AL1505" i="15"/>
  <c r="AM1505" i="15"/>
  <c r="AQ1505" i="15"/>
  <c r="E1506" i="15"/>
  <c r="F1506" i="15"/>
  <c r="G1506" i="15"/>
  <c r="H1506" i="15"/>
  <c r="I1506" i="15"/>
  <c r="J1506" i="15"/>
  <c r="K1506" i="15"/>
  <c r="L1506" i="15"/>
  <c r="N1506" i="15"/>
  <c r="O1506" i="15"/>
  <c r="P1506" i="15"/>
  <c r="Q1506" i="15"/>
  <c r="S1506" i="15"/>
  <c r="T1506" i="15"/>
  <c r="U1506" i="15"/>
  <c r="W1506" i="15"/>
  <c r="Y1506" i="15"/>
  <c r="Z1506" i="15"/>
  <c r="AA1506" i="15"/>
  <c r="AC1506" i="15"/>
  <c r="AG1506" i="15"/>
  <c r="AH1506" i="15"/>
  <c r="AI1506" i="15"/>
  <c r="AJ1506" i="15"/>
  <c r="AK1506" i="15"/>
  <c r="AL1506" i="15"/>
  <c r="AM1506" i="15"/>
  <c r="AQ1506" i="15"/>
  <c r="D1507" i="15"/>
  <c r="E1507" i="15"/>
  <c r="F1507" i="15"/>
  <c r="G1507" i="15"/>
  <c r="H1507" i="15"/>
  <c r="I1507" i="15"/>
  <c r="J1507" i="15"/>
  <c r="K1507" i="15"/>
  <c r="L1507" i="15"/>
  <c r="M1507" i="15"/>
  <c r="N1507" i="15"/>
  <c r="O1507" i="15"/>
  <c r="P1507" i="15"/>
  <c r="Q1507" i="15"/>
  <c r="S1507" i="15"/>
  <c r="T1507" i="15"/>
  <c r="U1507" i="15"/>
  <c r="W1507" i="15"/>
  <c r="Y1507" i="15"/>
  <c r="Z1507" i="15"/>
  <c r="AA1507" i="15"/>
  <c r="AC1507" i="15"/>
  <c r="AG1507" i="15"/>
  <c r="AH1507" i="15"/>
  <c r="AI1507" i="15"/>
  <c r="AJ1507" i="15"/>
  <c r="AK1507" i="15"/>
  <c r="AL1507" i="15"/>
  <c r="AM1507" i="15"/>
  <c r="AQ1507" i="15"/>
  <c r="D1508" i="15"/>
  <c r="E1508" i="15"/>
  <c r="F1508" i="15"/>
  <c r="G1508" i="15"/>
  <c r="H1508" i="15"/>
  <c r="I1508" i="15"/>
  <c r="J1508" i="15"/>
  <c r="K1508" i="15"/>
  <c r="L1508" i="15"/>
  <c r="M1508" i="15"/>
  <c r="N1508" i="15"/>
  <c r="O1508" i="15"/>
  <c r="P1508" i="15"/>
  <c r="Q1508" i="15"/>
  <c r="S1508" i="15"/>
  <c r="T1508" i="15"/>
  <c r="U1508" i="15"/>
  <c r="W1508" i="15"/>
  <c r="Y1508" i="15"/>
  <c r="Z1508" i="15"/>
  <c r="AA1508" i="15"/>
  <c r="AC1508" i="15"/>
  <c r="AG1508" i="15"/>
  <c r="AH1508" i="15"/>
  <c r="AI1508" i="15"/>
  <c r="AJ1508" i="15"/>
  <c r="AK1508" i="15"/>
  <c r="AL1508" i="15"/>
  <c r="AM1508" i="15"/>
  <c r="AQ1508" i="15"/>
  <c r="E1509" i="15"/>
  <c r="F1509" i="15"/>
  <c r="G1509" i="15"/>
  <c r="H1509" i="15"/>
  <c r="I1509" i="15"/>
  <c r="J1509" i="15"/>
  <c r="K1509" i="15"/>
  <c r="L1509" i="15"/>
  <c r="N1509" i="15"/>
  <c r="O1509" i="15"/>
  <c r="P1509" i="15"/>
  <c r="Q1509" i="15"/>
  <c r="S1509" i="15"/>
  <c r="T1509" i="15"/>
  <c r="U1509" i="15"/>
  <c r="W1509" i="15"/>
  <c r="Y1509" i="15"/>
  <c r="Z1509" i="15"/>
  <c r="AA1509" i="15"/>
  <c r="AC1509" i="15"/>
  <c r="AG1509" i="15"/>
  <c r="AH1509" i="15"/>
  <c r="AI1509" i="15"/>
  <c r="AJ1509" i="15"/>
  <c r="AK1509" i="15"/>
  <c r="AL1509" i="15"/>
  <c r="AM1509" i="15"/>
  <c r="AQ1509" i="15"/>
  <c r="D1510" i="15"/>
  <c r="E1510" i="15"/>
  <c r="F1510" i="15"/>
  <c r="G1510" i="15"/>
  <c r="H1510" i="15"/>
  <c r="I1510" i="15"/>
  <c r="J1510" i="15"/>
  <c r="K1510" i="15"/>
  <c r="L1510" i="15"/>
  <c r="M1510" i="15"/>
  <c r="N1510" i="15"/>
  <c r="O1510" i="15"/>
  <c r="P1510" i="15"/>
  <c r="Q1510" i="15"/>
  <c r="S1510" i="15"/>
  <c r="T1510" i="15"/>
  <c r="U1510" i="15"/>
  <c r="W1510" i="15"/>
  <c r="Y1510" i="15"/>
  <c r="Z1510" i="15"/>
  <c r="AA1510" i="15"/>
  <c r="AC1510" i="15"/>
  <c r="AG1510" i="15"/>
  <c r="AH1510" i="15"/>
  <c r="AI1510" i="15"/>
  <c r="AJ1510" i="15"/>
  <c r="AK1510" i="15"/>
  <c r="AL1510" i="15"/>
  <c r="AM1510" i="15"/>
  <c r="AQ1510" i="15"/>
  <c r="E1511" i="15"/>
  <c r="F1511" i="15"/>
  <c r="G1511" i="15"/>
  <c r="H1511" i="15"/>
  <c r="I1511" i="15"/>
  <c r="J1511" i="15"/>
  <c r="K1511" i="15"/>
  <c r="L1511" i="15"/>
  <c r="N1511" i="15"/>
  <c r="O1511" i="15"/>
  <c r="P1511" i="15"/>
  <c r="Q1511" i="15"/>
  <c r="S1511" i="15"/>
  <c r="T1511" i="15"/>
  <c r="U1511" i="15"/>
  <c r="W1511" i="15"/>
  <c r="Y1511" i="15"/>
  <c r="Z1511" i="15"/>
  <c r="AA1511" i="15"/>
  <c r="AC1511" i="15"/>
  <c r="AG1511" i="15"/>
  <c r="AH1511" i="15"/>
  <c r="AI1511" i="15"/>
  <c r="AJ1511" i="15"/>
  <c r="AK1511" i="15"/>
  <c r="AL1511" i="15"/>
  <c r="AM1511" i="15"/>
  <c r="AQ1511" i="15"/>
  <c r="D1512" i="15"/>
  <c r="E1512" i="15"/>
  <c r="F1512" i="15"/>
  <c r="G1512" i="15"/>
  <c r="H1512" i="15"/>
  <c r="I1512" i="15"/>
  <c r="J1512" i="15"/>
  <c r="K1512" i="15"/>
  <c r="L1512" i="15"/>
  <c r="M1512" i="15"/>
  <c r="N1512" i="15"/>
  <c r="O1512" i="15"/>
  <c r="P1512" i="15"/>
  <c r="Q1512" i="15"/>
  <c r="S1512" i="15"/>
  <c r="T1512" i="15"/>
  <c r="U1512" i="15"/>
  <c r="W1512" i="15"/>
  <c r="Y1512" i="15"/>
  <c r="Z1512" i="15"/>
  <c r="AA1512" i="15"/>
  <c r="AC1512" i="15"/>
  <c r="AG1512" i="15"/>
  <c r="AH1512" i="15"/>
  <c r="AI1512" i="15"/>
  <c r="AJ1512" i="15"/>
  <c r="AK1512" i="15"/>
  <c r="AL1512" i="15"/>
  <c r="AM1512" i="15"/>
  <c r="AQ1512" i="15"/>
  <c r="E1513" i="15"/>
  <c r="F1513" i="15"/>
  <c r="G1513" i="15"/>
  <c r="H1513" i="15"/>
  <c r="I1513" i="15"/>
  <c r="J1513" i="15"/>
  <c r="K1513" i="15"/>
  <c r="L1513" i="15"/>
  <c r="N1513" i="15"/>
  <c r="O1513" i="15"/>
  <c r="P1513" i="15"/>
  <c r="Q1513" i="15"/>
  <c r="S1513" i="15"/>
  <c r="T1513" i="15"/>
  <c r="U1513" i="15"/>
  <c r="W1513" i="15"/>
  <c r="Y1513" i="15"/>
  <c r="Z1513" i="15"/>
  <c r="AA1513" i="15"/>
  <c r="AC1513" i="15"/>
  <c r="AG1513" i="15"/>
  <c r="AH1513" i="15"/>
  <c r="AI1513" i="15"/>
  <c r="AJ1513" i="15"/>
  <c r="AK1513" i="15"/>
  <c r="AL1513" i="15"/>
  <c r="AM1513" i="15"/>
  <c r="AQ1513" i="15"/>
  <c r="D1514" i="15"/>
  <c r="E1514" i="15"/>
  <c r="F1514" i="15"/>
  <c r="G1514" i="15"/>
  <c r="H1514" i="15"/>
  <c r="I1514" i="15"/>
  <c r="J1514" i="15"/>
  <c r="K1514" i="15"/>
  <c r="L1514" i="15"/>
  <c r="M1514" i="15"/>
  <c r="N1514" i="15"/>
  <c r="O1514" i="15"/>
  <c r="P1514" i="15"/>
  <c r="Q1514" i="15"/>
  <c r="S1514" i="15"/>
  <c r="T1514" i="15"/>
  <c r="U1514" i="15"/>
  <c r="W1514" i="15"/>
  <c r="Y1514" i="15"/>
  <c r="Z1514" i="15"/>
  <c r="AA1514" i="15"/>
  <c r="AC1514" i="15"/>
  <c r="AG1514" i="15"/>
  <c r="AH1514" i="15"/>
  <c r="AI1514" i="15"/>
  <c r="AJ1514" i="15"/>
  <c r="AK1514" i="15"/>
  <c r="AL1514" i="15"/>
  <c r="AM1514" i="15"/>
  <c r="AQ1514" i="15"/>
  <c r="D1515" i="15"/>
  <c r="E1515" i="15"/>
  <c r="F1515" i="15"/>
  <c r="G1515" i="15"/>
  <c r="H1515" i="15"/>
  <c r="I1515" i="15"/>
  <c r="J1515" i="15"/>
  <c r="K1515" i="15"/>
  <c r="L1515" i="15"/>
  <c r="M1515" i="15"/>
  <c r="N1515" i="15"/>
  <c r="O1515" i="15"/>
  <c r="P1515" i="15"/>
  <c r="Q1515" i="15"/>
  <c r="S1515" i="15"/>
  <c r="T1515" i="15"/>
  <c r="U1515" i="15"/>
  <c r="W1515" i="15"/>
  <c r="Y1515" i="15"/>
  <c r="Z1515" i="15"/>
  <c r="AA1515" i="15"/>
  <c r="AC1515" i="15"/>
  <c r="AG1515" i="15"/>
  <c r="AH1515" i="15"/>
  <c r="AI1515" i="15"/>
  <c r="AJ1515" i="15"/>
  <c r="AK1515" i="15"/>
  <c r="AL1515" i="15"/>
  <c r="AM1515" i="15"/>
  <c r="AQ1515" i="15"/>
  <c r="AQ1487" i="15"/>
  <c r="M1487" i="15"/>
  <c r="AM1487" i="15"/>
  <c r="H1487" i="15"/>
  <c r="L1487" i="15"/>
  <c r="Q1487" i="15"/>
  <c r="D1487" i="15"/>
  <c r="G1487" i="15"/>
  <c r="U1487" i="15"/>
  <c r="AL1487" i="15"/>
  <c r="K1487" i="15"/>
  <c r="P1487" i="15"/>
  <c r="F1487" i="15"/>
  <c r="T1487" i="15"/>
  <c r="W1487" i="15"/>
  <c r="AK1487" i="15"/>
  <c r="J1487" i="15"/>
  <c r="O1487" i="15"/>
  <c r="E1487" i="15"/>
  <c r="S1487" i="15"/>
  <c r="AJ1487" i="15"/>
  <c r="AI1487" i="15"/>
  <c r="AH1487" i="15"/>
  <c r="AG1487" i="15"/>
  <c r="AC1487" i="15"/>
  <c r="N1487" i="15"/>
  <c r="I1487" i="15"/>
  <c r="AQ1486" i="15"/>
  <c r="M1486" i="15"/>
  <c r="AM1486" i="15"/>
  <c r="H1486" i="15"/>
  <c r="L1486" i="15"/>
  <c r="Q1486" i="15"/>
  <c r="D1486" i="15"/>
  <c r="G1486" i="15"/>
  <c r="U1486" i="15"/>
  <c r="AL1486" i="15"/>
  <c r="K1486" i="15"/>
  <c r="P1486" i="15"/>
  <c r="F1486" i="15"/>
  <c r="T1486" i="15"/>
  <c r="W1486" i="15"/>
  <c r="AK1486" i="15"/>
  <c r="J1486" i="15"/>
  <c r="O1486" i="15"/>
  <c r="E1486" i="15"/>
  <c r="S1486" i="15"/>
  <c r="AJ1486" i="15"/>
  <c r="AI1486" i="15"/>
  <c r="AH1486" i="15"/>
  <c r="AG1486" i="15"/>
  <c r="AC1486" i="15"/>
  <c r="N1486" i="15"/>
  <c r="I1486" i="15"/>
  <c r="S964" i="15"/>
  <c r="T964" i="15"/>
  <c r="U964" i="15"/>
  <c r="W964" i="15"/>
  <c r="Y964" i="15"/>
  <c r="Z964" i="15"/>
  <c r="AA964" i="15"/>
  <c r="AC964" i="15"/>
  <c r="AG964" i="15"/>
  <c r="AH964" i="15"/>
  <c r="AI964" i="15"/>
  <c r="AJ964" i="15"/>
  <c r="AK964" i="15"/>
  <c r="AL964" i="15"/>
  <c r="AM964" i="15"/>
  <c r="AQ964" i="15"/>
  <c r="S965" i="15"/>
  <c r="T965" i="15"/>
  <c r="U965" i="15"/>
  <c r="W965" i="15"/>
  <c r="Y965" i="15"/>
  <c r="Z965" i="15"/>
  <c r="AA965" i="15"/>
  <c r="AC965" i="15"/>
  <c r="AG965" i="15"/>
  <c r="AH965" i="15"/>
  <c r="AI965" i="15"/>
  <c r="AJ965" i="15"/>
  <c r="AK965" i="15"/>
  <c r="AL965" i="15"/>
  <c r="AM965" i="15"/>
  <c r="AQ965" i="15"/>
  <c r="S966" i="15"/>
  <c r="T966" i="15"/>
  <c r="U966" i="15"/>
  <c r="W966" i="15"/>
  <c r="Y966" i="15"/>
  <c r="Z966" i="15"/>
  <c r="AA966" i="15"/>
  <c r="AC966" i="15"/>
  <c r="AG966" i="15"/>
  <c r="AH966" i="15"/>
  <c r="AI966" i="15"/>
  <c r="AJ966" i="15"/>
  <c r="AK966" i="15"/>
  <c r="AL966" i="15"/>
  <c r="AM966" i="15"/>
  <c r="AQ966" i="15"/>
  <c r="S967" i="15"/>
  <c r="T967" i="15"/>
  <c r="U967" i="15"/>
  <c r="W967" i="15"/>
  <c r="Y967" i="15"/>
  <c r="Z967" i="15"/>
  <c r="AA967" i="15"/>
  <c r="AC967" i="15"/>
  <c r="AG967" i="15"/>
  <c r="AH967" i="15"/>
  <c r="AI967" i="15"/>
  <c r="AJ967" i="15"/>
  <c r="AK967" i="15"/>
  <c r="AL967" i="15"/>
  <c r="AM967" i="15"/>
  <c r="AQ967" i="15"/>
  <c r="S968" i="15"/>
  <c r="T968" i="15"/>
  <c r="U968" i="15"/>
  <c r="W968" i="15"/>
  <c r="Y968" i="15"/>
  <c r="Z968" i="15"/>
  <c r="AA968" i="15"/>
  <c r="AC968" i="15"/>
  <c r="AG968" i="15"/>
  <c r="AH968" i="15"/>
  <c r="AI968" i="15"/>
  <c r="AJ968" i="15"/>
  <c r="AK968" i="15"/>
  <c r="AL968" i="15"/>
  <c r="AM968" i="15"/>
  <c r="AQ968" i="15"/>
  <c r="S969" i="15"/>
  <c r="T969" i="15"/>
  <c r="U969" i="15"/>
  <c r="W969" i="15"/>
  <c r="Y969" i="15"/>
  <c r="Z969" i="15"/>
  <c r="AA969" i="15"/>
  <c r="AC969" i="15"/>
  <c r="AG969" i="15"/>
  <c r="AH969" i="15"/>
  <c r="AI969" i="15"/>
  <c r="AJ969" i="15"/>
  <c r="AK969" i="15"/>
  <c r="AL969" i="15"/>
  <c r="AM969" i="15"/>
  <c r="AQ969" i="15"/>
  <c r="S970" i="15"/>
  <c r="T970" i="15"/>
  <c r="U970" i="15"/>
  <c r="W970" i="15"/>
  <c r="Y970" i="15"/>
  <c r="Z970" i="15"/>
  <c r="AA970" i="15"/>
  <c r="AC970" i="15"/>
  <c r="AG970" i="15"/>
  <c r="AH970" i="15"/>
  <c r="AI970" i="15"/>
  <c r="AJ970" i="15"/>
  <c r="AK970" i="15"/>
  <c r="AL970" i="15"/>
  <c r="AM970" i="15"/>
  <c r="AQ970" i="15"/>
  <c r="S971" i="15"/>
  <c r="T971" i="15"/>
  <c r="U971" i="15"/>
  <c r="W971" i="15"/>
  <c r="Y971" i="15"/>
  <c r="Z971" i="15"/>
  <c r="AA971" i="15"/>
  <c r="AC971" i="15"/>
  <c r="AG971" i="15"/>
  <c r="AH971" i="15"/>
  <c r="AI971" i="15"/>
  <c r="AJ971" i="15"/>
  <c r="AK971" i="15"/>
  <c r="AL971" i="15"/>
  <c r="AM971" i="15"/>
  <c r="AQ971" i="15"/>
  <c r="S972" i="15"/>
  <c r="T972" i="15"/>
  <c r="U972" i="15"/>
  <c r="W972" i="15"/>
  <c r="Y972" i="15"/>
  <c r="Z972" i="15"/>
  <c r="AA972" i="15"/>
  <c r="AC972" i="15"/>
  <c r="AG972" i="15"/>
  <c r="AH972" i="15"/>
  <c r="AI972" i="15"/>
  <c r="AJ972" i="15"/>
  <c r="AK972" i="15"/>
  <c r="AL972" i="15"/>
  <c r="AM972" i="15"/>
  <c r="AQ972" i="15"/>
  <c r="S973" i="15"/>
  <c r="T973" i="15"/>
  <c r="U973" i="15"/>
  <c r="W973" i="15"/>
  <c r="Y973" i="15"/>
  <c r="Z973" i="15"/>
  <c r="AA973" i="15"/>
  <c r="AC973" i="15"/>
  <c r="AG973" i="15"/>
  <c r="AH973" i="15"/>
  <c r="AI973" i="15"/>
  <c r="AJ973" i="15"/>
  <c r="AK973" i="15"/>
  <c r="AL973" i="15"/>
  <c r="AM973" i="15"/>
  <c r="AQ973" i="15"/>
  <c r="S974" i="15"/>
  <c r="T974" i="15"/>
  <c r="U974" i="15"/>
  <c r="W974" i="15"/>
  <c r="Y974" i="15"/>
  <c r="Z974" i="15"/>
  <c r="AA974" i="15"/>
  <c r="AC974" i="15"/>
  <c r="AG974" i="15"/>
  <c r="AH974" i="15"/>
  <c r="AI974" i="15"/>
  <c r="AJ974" i="15"/>
  <c r="AK974" i="15"/>
  <c r="AL974" i="15"/>
  <c r="AM974" i="15"/>
  <c r="AQ974" i="15"/>
  <c r="S975" i="15"/>
  <c r="T975" i="15"/>
  <c r="U975" i="15"/>
  <c r="W975" i="15"/>
  <c r="Y975" i="15"/>
  <c r="Z975" i="15"/>
  <c r="AA975" i="15"/>
  <c r="AC975" i="15"/>
  <c r="AG975" i="15"/>
  <c r="AH975" i="15"/>
  <c r="AI975" i="15"/>
  <c r="AJ975" i="15"/>
  <c r="AK975" i="15"/>
  <c r="AL975" i="15"/>
  <c r="AM975" i="15"/>
  <c r="AQ975" i="15"/>
  <c r="S976" i="15"/>
  <c r="T976" i="15"/>
  <c r="U976" i="15"/>
  <c r="W976" i="15"/>
  <c r="Y976" i="15"/>
  <c r="Z976" i="15"/>
  <c r="AA976" i="15"/>
  <c r="AC976" i="15"/>
  <c r="AG976" i="15"/>
  <c r="AH976" i="15"/>
  <c r="AI976" i="15"/>
  <c r="AJ976" i="15"/>
  <c r="AK976" i="15"/>
  <c r="AL976" i="15"/>
  <c r="AM976" i="15"/>
  <c r="AQ976" i="15"/>
  <c r="S912" i="15"/>
  <c r="T912" i="15"/>
  <c r="U912" i="15"/>
  <c r="W912" i="15"/>
  <c r="Y912" i="15"/>
  <c r="Z912" i="15"/>
  <c r="AA912" i="15"/>
  <c r="AC912" i="15"/>
  <c r="AG912" i="15"/>
  <c r="AH912" i="15"/>
  <c r="AI912" i="15"/>
  <c r="AJ912" i="15"/>
  <c r="AK912" i="15"/>
  <c r="AL912" i="15"/>
  <c r="AM912" i="15"/>
  <c r="AQ912" i="15"/>
  <c r="S913" i="15"/>
  <c r="T913" i="15"/>
  <c r="U913" i="15"/>
  <c r="W913" i="15"/>
  <c r="Y913" i="15"/>
  <c r="Z913" i="15"/>
  <c r="AA913" i="15"/>
  <c r="AC913" i="15"/>
  <c r="AG913" i="15"/>
  <c r="AH913" i="15"/>
  <c r="AI913" i="15"/>
  <c r="AJ913" i="15"/>
  <c r="AK913" i="15"/>
  <c r="AL913" i="15"/>
  <c r="AM913" i="15"/>
  <c r="AQ913" i="15"/>
  <c r="S914" i="15"/>
  <c r="T914" i="15"/>
  <c r="U914" i="15"/>
  <c r="W914" i="15"/>
  <c r="Y914" i="15"/>
  <c r="Z914" i="15"/>
  <c r="AA914" i="15"/>
  <c r="AC914" i="15"/>
  <c r="AG914" i="15"/>
  <c r="AH914" i="15"/>
  <c r="AI914" i="15"/>
  <c r="AJ914" i="15"/>
  <c r="AK914" i="15"/>
  <c r="AL914" i="15"/>
  <c r="AM914" i="15"/>
  <c r="AQ914" i="15"/>
  <c r="S915" i="15"/>
  <c r="T915" i="15"/>
  <c r="U915" i="15"/>
  <c r="W915" i="15"/>
  <c r="Y915" i="15"/>
  <c r="Z915" i="15"/>
  <c r="AA915" i="15"/>
  <c r="AC915" i="15"/>
  <c r="AG915" i="15"/>
  <c r="AH915" i="15"/>
  <c r="AI915" i="15"/>
  <c r="AJ915" i="15"/>
  <c r="AK915" i="15"/>
  <c r="AL915" i="15"/>
  <c r="AM915" i="15"/>
  <c r="AQ915" i="15"/>
  <c r="S916" i="15"/>
  <c r="T916" i="15"/>
  <c r="U916" i="15"/>
  <c r="W916" i="15"/>
  <c r="Y916" i="15"/>
  <c r="Z916" i="15"/>
  <c r="AA916" i="15"/>
  <c r="AC916" i="15"/>
  <c r="AG916" i="15"/>
  <c r="AH916" i="15"/>
  <c r="AI916" i="15"/>
  <c r="AJ916" i="15"/>
  <c r="AK916" i="15"/>
  <c r="AL916" i="15"/>
  <c r="AM916" i="15"/>
  <c r="AQ916" i="15"/>
  <c r="S917" i="15"/>
  <c r="T917" i="15"/>
  <c r="U917" i="15"/>
  <c r="W917" i="15"/>
  <c r="Y917" i="15"/>
  <c r="Z917" i="15"/>
  <c r="AA917" i="15"/>
  <c r="AC917" i="15"/>
  <c r="AG917" i="15"/>
  <c r="AH917" i="15"/>
  <c r="AI917" i="15"/>
  <c r="AJ917" i="15"/>
  <c r="AK917" i="15"/>
  <c r="AL917" i="15"/>
  <c r="AM917" i="15"/>
  <c r="AQ917" i="15"/>
  <c r="S918" i="15"/>
  <c r="T918" i="15"/>
  <c r="U918" i="15"/>
  <c r="W918" i="15"/>
  <c r="Y918" i="15"/>
  <c r="Z918" i="15"/>
  <c r="AA918" i="15"/>
  <c r="AC918" i="15"/>
  <c r="AG918" i="15"/>
  <c r="AH918" i="15"/>
  <c r="AI918" i="15"/>
  <c r="AJ918" i="15"/>
  <c r="AK918" i="15"/>
  <c r="AL918" i="15"/>
  <c r="AM918" i="15"/>
  <c r="AQ918" i="15"/>
  <c r="S919" i="15"/>
  <c r="T919" i="15"/>
  <c r="U919" i="15"/>
  <c r="W919" i="15"/>
  <c r="Y919" i="15"/>
  <c r="Z919" i="15"/>
  <c r="AA919" i="15"/>
  <c r="AC919" i="15"/>
  <c r="AG919" i="15"/>
  <c r="AH919" i="15"/>
  <c r="AI919" i="15"/>
  <c r="AJ919" i="15"/>
  <c r="AK919" i="15"/>
  <c r="AL919" i="15"/>
  <c r="AM919" i="15"/>
  <c r="AQ919" i="15"/>
  <c r="S920" i="15"/>
  <c r="T920" i="15"/>
  <c r="U920" i="15"/>
  <c r="W920" i="15"/>
  <c r="Y920" i="15"/>
  <c r="Z920" i="15"/>
  <c r="AA920" i="15"/>
  <c r="AC920" i="15"/>
  <c r="AG920" i="15"/>
  <c r="AH920" i="15"/>
  <c r="AI920" i="15"/>
  <c r="AJ920" i="15"/>
  <c r="AK920" i="15"/>
  <c r="AL920" i="15"/>
  <c r="AM920" i="15"/>
  <c r="AQ920" i="15"/>
  <c r="S921" i="15"/>
  <c r="T921" i="15"/>
  <c r="U921" i="15"/>
  <c r="W921" i="15"/>
  <c r="Y921" i="15"/>
  <c r="Z921" i="15"/>
  <c r="AA921" i="15"/>
  <c r="AC921" i="15"/>
  <c r="AG921" i="15"/>
  <c r="AH921" i="15"/>
  <c r="AI921" i="15"/>
  <c r="AJ921" i="15"/>
  <c r="AK921" i="15"/>
  <c r="AL921" i="15"/>
  <c r="AM921" i="15"/>
  <c r="AQ921" i="15"/>
  <c r="S922" i="15"/>
  <c r="T922" i="15"/>
  <c r="U922" i="15"/>
  <c r="W922" i="15"/>
  <c r="Y922" i="15"/>
  <c r="Z922" i="15"/>
  <c r="AA922" i="15"/>
  <c r="AC922" i="15"/>
  <c r="AG922" i="15"/>
  <c r="AH922" i="15"/>
  <c r="AI922" i="15"/>
  <c r="AJ922" i="15"/>
  <c r="AK922" i="15"/>
  <c r="AL922" i="15"/>
  <c r="AM922" i="15"/>
  <c r="AQ922" i="15"/>
  <c r="S923" i="15"/>
  <c r="T923" i="15"/>
  <c r="U923" i="15"/>
  <c r="W923" i="15"/>
  <c r="Y923" i="15"/>
  <c r="Z923" i="15"/>
  <c r="AA923" i="15"/>
  <c r="AC923" i="15"/>
  <c r="AG923" i="15"/>
  <c r="AH923" i="15"/>
  <c r="AI923" i="15"/>
  <c r="AJ923" i="15"/>
  <c r="AK923" i="15"/>
  <c r="AL923" i="15"/>
  <c r="AM923" i="15"/>
  <c r="AQ923" i="15"/>
  <c r="S924" i="15"/>
  <c r="T924" i="15"/>
  <c r="U924" i="15"/>
  <c r="W924" i="15"/>
  <c r="Y924" i="15"/>
  <c r="Z924" i="15"/>
  <c r="AA924" i="15"/>
  <c r="AC924" i="15"/>
  <c r="AG924" i="15"/>
  <c r="AH924" i="15"/>
  <c r="AI924" i="15"/>
  <c r="AJ924" i="15"/>
  <c r="AK924" i="15"/>
  <c r="AL924" i="15"/>
  <c r="AM924" i="15"/>
  <c r="AQ924" i="15"/>
  <c r="S925" i="15"/>
  <c r="T925" i="15"/>
  <c r="U925" i="15"/>
  <c r="W925" i="15"/>
  <c r="Y925" i="15"/>
  <c r="Z925" i="15"/>
  <c r="AA925" i="15"/>
  <c r="AC925" i="15"/>
  <c r="AG925" i="15"/>
  <c r="AH925" i="15"/>
  <c r="AI925" i="15"/>
  <c r="AJ925" i="15"/>
  <c r="AK925" i="15"/>
  <c r="AL925" i="15"/>
  <c r="AM925" i="15"/>
  <c r="AQ925" i="15"/>
  <c r="S926" i="15"/>
  <c r="T926" i="15"/>
  <c r="U926" i="15"/>
  <c r="W926" i="15"/>
  <c r="Y926" i="15"/>
  <c r="Z926" i="15"/>
  <c r="AA926" i="15"/>
  <c r="AC926" i="15"/>
  <c r="AG926" i="15"/>
  <c r="AH926" i="15"/>
  <c r="AI926" i="15"/>
  <c r="AJ926" i="15"/>
  <c r="AK926" i="15"/>
  <c r="AL926" i="15"/>
  <c r="AM926" i="15"/>
  <c r="AQ926" i="15"/>
  <c r="S927" i="15"/>
  <c r="T927" i="15"/>
  <c r="U927" i="15"/>
  <c r="W927" i="15"/>
  <c r="Y927" i="15"/>
  <c r="Z927" i="15"/>
  <c r="AA927" i="15"/>
  <c r="AC927" i="15"/>
  <c r="AG927" i="15"/>
  <c r="AH927" i="15"/>
  <c r="AI927" i="15"/>
  <c r="AJ927" i="15"/>
  <c r="AK927" i="15"/>
  <c r="AL927" i="15"/>
  <c r="AM927" i="15"/>
  <c r="AQ927" i="15"/>
  <c r="S928" i="15"/>
  <c r="T928" i="15"/>
  <c r="U928" i="15"/>
  <c r="W928" i="15"/>
  <c r="Y928" i="15"/>
  <c r="Z928" i="15"/>
  <c r="AA928" i="15"/>
  <c r="AC928" i="15"/>
  <c r="AG928" i="15"/>
  <c r="AH928" i="15"/>
  <c r="AI928" i="15"/>
  <c r="AJ928" i="15"/>
  <c r="AK928" i="15"/>
  <c r="AL928" i="15"/>
  <c r="AM928" i="15"/>
  <c r="AQ928" i="15"/>
  <c r="S929" i="15"/>
  <c r="T929" i="15"/>
  <c r="U929" i="15"/>
  <c r="W929" i="15"/>
  <c r="Y929" i="15"/>
  <c r="Z929" i="15"/>
  <c r="AA929" i="15"/>
  <c r="AC929" i="15"/>
  <c r="AG929" i="15"/>
  <c r="AH929" i="15"/>
  <c r="AI929" i="15"/>
  <c r="AJ929" i="15"/>
  <c r="AK929" i="15"/>
  <c r="AL929" i="15"/>
  <c r="AM929" i="15"/>
  <c r="AQ929" i="15"/>
  <c r="S930" i="15"/>
  <c r="T930" i="15"/>
  <c r="U930" i="15"/>
  <c r="W930" i="15"/>
  <c r="Y930" i="15"/>
  <c r="Z930" i="15"/>
  <c r="AA930" i="15"/>
  <c r="AC930" i="15"/>
  <c r="AG930" i="15"/>
  <c r="AH930" i="15"/>
  <c r="AI930" i="15"/>
  <c r="AJ930" i="15"/>
  <c r="AK930" i="15"/>
  <c r="AL930" i="15"/>
  <c r="AM930" i="15"/>
  <c r="AQ930" i="15"/>
  <c r="S931" i="15"/>
  <c r="T931" i="15"/>
  <c r="U931" i="15"/>
  <c r="W931" i="15"/>
  <c r="Y931" i="15"/>
  <c r="Z931" i="15"/>
  <c r="AA931" i="15"/>
  <c r="AC931" i="15"/>
  <c r="AG931" i="15"/>
  <c r="AH931" i="15"/>
  <c r="AI931" i="15"/>
  <c r="AJ931" i="15"/>
  <c r="AK931" i="15"/>
  <c r="AL931" i="15"/>
  <c r="AM931" i="15"/>
  <c r="AQ931" i="15"/>
  <c r="S932" i="15"/>
  <c r="T932" i="15"/>
  <c r="U932" i="15"/>
  <c r="W932" i="15"/>
  <c r="Y932" i="15"/>
  <c r="Z932" i="15"/>
  <c r="AA932" i="15"/>
  <c r="AC932" i="15"/>
  <c r="AG932" i="15"/>
  <c r="AH932" i="15"/>
  <c r="AI932" i="15"/>
  <c r="AJ932" i="15"/>
  <c r="AK932" i="15"/>
  <c r="AL932" i="15"/>
  <c r="AM932" i="15"/>
  <c r="AQ932" i="15"/>
  <c r="S933" i="15"/>
  <c r="T933" i="15"/>
  <c r="U933" i="15"/>
  <c r="W933" i="15"/>
  <c r="Y933" i="15"/>
  <c r="Z933" i="15"/>
  <c r="AA933" i="15"/>
  <c r="AC933" i="15"/>
  <c r="AG933" i="15"/>
  <c r="AH933" i="15"/>
  <c r="AI933" i="15"/>
  <c r="AJ933" i="15"/>
  <c r="AK933" i="15"/>
  <c r="AL933" i="15"/>
  <c r="AM933" i="15"/>
  <c r="AQ933" i="15"/>
  <c r="S934" i="15"/>
  <c r="T934" i="15"/>
  <c r="U934" i="15"/>
  <c r="W934" i="15"/>
  <c r="Y934" i="15"/>
  <c r="Z934" i="15"/>
  <c r="AA934" i="15"/>
  <c r="AC934" i="15"/>
  <c r="AG934" i="15"/>
  <c r="AH934" i="15"/>
  <c r="AI934" i="15"/>
  <c r="AJ934" i="15"/>
  <c r="AK934" i="15"/>
  <c r="AL934" i="15"/>
  <c r="AM934" i="15"/>
  <c r="AQ934" i="15"/>
  <c r="S935" i="15"/>
  <c r="T935" i="15"/>
  <c r="U935" i="15"/>
  <c r="W935" i="15"/>
  <c r="Y935" i="15"/>
  <c r="Z935" i="15"/>
  <c r="AA935" i="15"/>
  <c r="AC935" i="15"/>
  <c r="AG935" i="15"/>
  <c r="AH935" i="15"/>
  <c r="AI935" i="15"/>
  <c r="AJ935" i="15"/>
  <c r="AK935" i="15"/>
  <c r="AL935" i="15"/>
  <c r="AM935" i="15"/>
  <c r="AQ935" i="15"/>
  <c r="S936" i="15"/>
  <c r="T936" i="15"/>
  <c r="U936" i="15"/>
  <c r="W936" i="15"/>
  <c r="Y936" i="15"/>
  <c r="Z936" i="15"/>
  <c r="AA936" i="15"/>
  <c r="AC936" i="15"/>
  <c r="AG936" i="15"/>
  <c r="AH936" i="15"/>
  <c r="AI936" i="15"/>
  <c r="AJ936" i="15"/>
  <c r="AK936" i="15"/>
  <c r="AL936" i="15"/>
  <c r="AM936" i="15"/>
  <c r="AQ936" i="15"/>
  <c r="S937" i="15"/>
  <c r="T937" i="15"/>
  <c r="U937" i="15"/>
  <c r="W937" i="15"/>
  <c r="Y937" i="15"/>
  <c r="Z937" i="15"/>
  <c r="AA937" i="15"/>
  <c r="AC937" i="15"/>
  <c r="AG937" i="15"/>
  <c r="AH937" i="15"/>
  <c r="AI937" i="15"/>
  <c r="AJ937" i="15"/>
  <c r="AK937" i="15"/>
  <c r="AL937" i="15"/>
  <c r="AM937" i="15"/>
  <c r="AQ937" i="15"/>
  <c r="S938" i="15"/>
  <c r="T938" i="15"/>
  <c r="U938" i="15"/>
  <c r="W938" i="15"/>
  <c r="Y938" i="15"/>
  <c r="Z938" i="15"/>
  <c r="AA938" i="15"/>
  <c r="AC938" i="15"/>
  <c r="AG938" i="15"/>
  <c r="AH938" i="15"/>
  <c r="AI938" i="15"/>
  <c r="AJ938" i="15"/>
  <c r="AK938" i="15"/>
  <c r="AL938" i="15"/>
  <c r="AM938" i="15"/>
  <c r="AQ938" i="15"/>
  <c r="S939" i="15"/>
  <c r="T939" i="15"/>
  <c r="U939" i="15"/>
  <c r="W939" i="15"/>
  <c r="Y939" i="15"/>
  <c r="Z939" i="15"/>
  <c r="AA939" i="15"/>
  <c r="AC939" i="15"/>
  <c r="AG939" i="15"/>
  <c r="AH939" i="15"/>
  <c r="AI939" i="15"/>
  <c r="AJ939" i="15"/>
  <c r="AK939" i="15"/>
  <c r="AL939" i="15"/>
  <c r="AM939" i="15"/>
  <c r="AQ939" i="15"/>
  <c r="S940" i="15"/>
  <c r="T940" i="15"/>
  <c r="U940" i="15"/>
  <c r="W940" i="15"/>
  <c r="Y940" i="15"/>
  <c r="Z940" i="15"/>
  <c r="AA940" i="15"/>
  <c r="AC940" i="15"/>
  <c r="AG940" i="15"/>
  <c r="AH940" i="15"/>
  <c r="AI940" i="15"/>
  <c r="AJ940" i="15"/>
  <c r="AK940" i="15"/>
  <c r="AL940" i="15"/>
  <c r="AM940" i="15"/>
  <c r="AQ940" i="15"/>
  <c r="S941" i="15"/>
  <c r="T941" i="15"/>
  <c r="U941" i="15"/>
  <c r="W941" i="15"/>
  <c r="Y941" i="15"/>
  <c r="Z941" i="15"/>
  <c r="AA941" i="15"/>
  <c r="AC941" i="15"/>
  <c r="AG941" i="15"/>
  <c r="AH941" i="15"/>
  <c r="AI941" i="15"/>
  <c r="AJ941" i="15"/>
  <c r="AK941" i="15"/>
  <c r="AL941" i="15"/>
  <c r="AM941" i="15"/>
  <c r="AQ941" i="15"/>
  <c r="S942" i="15"/>
  <c r="T942" i="15"/>
  <c r="U942" i="15"/>
  <c r="W942" i="15"/>
  <c r="Y942" i="15"/>
  <c r="Z942" i="15"/>
  <c r="AA942" i="15"/>
  <c r="AC942" i="15"/>
  <c r="AG942" i="15"/>
  <c r="AH942" i="15"/>
  <c r="AI942" i="15"/>
  <c r="AJ942" i="15"/>
  <c r="AK942" i="15"/>
  <c r="AL942" i="15"/>
  <c r="AM942" i="15"/>
  <c r="AQ942" i="15"/>
  <c r="S943" i="15"/>
  <c r="T943" i="15"/>
  <c r="U943" i="15"/>
  <c r="W943" i="15"/>
  <c r="Y943" i="15"/>
  <c r="Z943" i="15"/>
  <c r="AA943" i="15"/>
  <c r="AC943" i="15"/>
  <c r="AG943" i="15"/>
  <c r="AH943" i="15"/>
  <c r="AI943" i="15"/>
  <c r="AJ943" i="15"/>
  <c r="AK943" i="15"/>
  <c r="AL943" i="15"/>
  <c r="AM943" i="15"/>
  <c r="AQ943" i="15"/>
  <c r="S944" i="15"/>
  <c r="T944" i="15"/>
  <c r="U944" i="15"/>
  <c r="W944" i="15"/>
  <c r="Y944" i="15"/>
  <c r="Z944" i="15"/>
  <c r="AA944" i="15"/>
  <c r="AC944" i="15"/>
  <c r="AG944" i="15"/>
  <c r="AH944" i="15"/>
  <c r="AI944" i="15"/>
  <c r="AJ944" i="15"/>
  <c r="AK944" i="15"/>
  <c r="AL944" i="15"/>
  <c r="AM944" i="15"/>
  <c r="AQ944" i="15"/>
  <c r="S945" i="15"/>
  <c r="T945" i="15"/>
  <c r="U945" i="15"/>
  <c r="W945" i="15"/>
  <c r="Y945" i="15"/>
  <c r="Z945" i="15"/>
  <c r="AA945" i="15"/>
  <c r="AC945" i="15"/>
  <c r="AG945" i="15"/>
  <c r="AH945" i="15"/>
  <c r="AI945" i="15"/>
  <c r="AJ945" i="15"/>
  <c r="AK945" i="15"/>
  <c r="AL945" i="15"/>
  <c r="AM945" i="15"/>
  <c r="AQ945" i="15"/>
  <c r="S946" i="15"/>
  <c r="T946" i="15"/>
  <c r="U946" i="15"/>
  <c r="W946" i="15"/>
  <c r="Y946" i="15"/>
  <c r="Z946" i="15"/>
  <c r="AA946" i="15"/>
  <c r="AC946" i="15"/>
  <c r="AG946" i="15"/>
  <c r="AH946" i="15"/>
  <c r="AI946" i="15"/>
  <c r="AJ946" i="15"/>
  <c r="AK946" i="15"/>
  <c r="AL946" i="15"/>
  <c r="AM946" i="15"/>
  <c r="AQ946" i="15"/>
  <c r="S947" i="15"/>
  <c r="T947" i="15"/>
  <c r="U947" i="15"/>
  <c r="W947" i="15"/>
  <c r="Y947" i="15"/>
  <c r="Z947" i="15"/>
  <c r="AA947" i="15"/>
  <c r="AC947" i="15"/>
  <c r="AG947" i="15"/>
  <c r="AH947" i="15"/>
  <c r="AI947" i="15"/>
  <c r="AJ947" i="15"/>
  <c r="AK947" i="15"/>
  <c r="AL947" i="15"/>
  <c r="AM947" i="15"/>
  <c r="AQ947" i="15"/>
  <c r="S948" i="15"/>
  <c r="T948" i="15"/>
  <c r="U948" i="15"/>
  <c r="W948" i="15"/>
  <c r="Y948" i="15"/>
  <c r="Z948" i="15"/>
  <c r="AA948" i="15"/>
  <c r="AC948" i="15"/>
  <c r="AG948" i="15"/>
  <c r="AH948" i="15"/>
  <c r="AI948" i="15"/>
  <c r="AJ948" i="15"/>
  <c r="AK948" i="15"/>
  <c r="AL948" i="15"/>
  <c r="AM948" i="15"/>
  <c r="AQ948" i="15"/>
  <c r="S949" i="15"/>
  <c r="T949" i="15"/>
  <c r="U949" i="15"/>
  <c r="W949" i="15"/>
  <c r="Y949" i="15"/>
  <c r="Z949" i="15"/>
  <c r="AA949" i="15"/>
  <c r="AC949" i="15"/>
  <c r="AG949" i="15"/>
  <c r="AH949" i="15"/>
  <c r="AI949" i="15"/>
  <c r="AJ949" i="15"/>
  <c r="AK949" i="15"/>
  <c r="AL949" i="15"/>
  <c r="AM949" i="15"/>
  <c r="AQ949" i="15"/>
  <c r="S950" i="15"/>
  <c r="T950" i="15"/>
  <c r="U950" i="15"/>
  <c r="W950" i="15"/>
  <c r="Y950" i="15"/>
  <c r="Z950" i="15"/>
  <c r="AA950" i="15"/>
  <c r="AC950" i="15"/>
  <c r="AG950" i="15"/>
  <c r="AH950" i="15"/>
  <c r="AI950" i="15"/>
  <c r="AJ950" i="15"/>
  <c r="AK950" i="15"/>
  <c r="AL950" i="15"/>
  <c r="AM950" i="15"/>
  <c r="AQ950" i="15"/>
  <c r="S951" i="15"/>
  <c r="T951" i="15"/>
  <c r="U951" i="15"/>
  <c r="W951" i="15"/>
  <c r="Y951" i="15"/>
  <c r="Z951" i="15"/>
  <c r="AA951" i="15"/>
  <c r="AC951" i="15"/>
  <c r="AG951" i="15"/>
  <c r="AH951" i="15"/>
  <c r="AI951" i="15"/>
  <c r="AJ951" i="15"/>
  <c r="AK951" i="15"/>
  <c r="AL951" i="15"/>
  <c r="AM951" i="15"/>
  <c r="AQ951" i="15"/>
  <c r="S952" i="15"/>
  <c r="T952" i="15"/>
  <c r="U952" i="15"/>
  <c r="W952" i="15"/>
  <c r="Y952" i="15"/>
  <c r="Z952" i="15"/>
  <c r="AA952" i="15"/>
  <c r="AC952" i="15"/>
  <c r="AG952" i="15"/>
  <c r="AH952" i="15"/>
  <c r="AI952" i="15"/>
  <c r="AJ952" i="15"/>
  <c r="AK952" i="15"/>
  <c r="AL952" i="15"/>
  <c r="AM952" i="15"/>
  <c r="AQ952" i="15"/>
  <c r="S953" i="15"/>
  <c r="T953" i="15"/>
  <c r="U953" i="15"/>
  <c r="W953" i="15"/>
  <c r="Y953" i="15"/>
  <c r="Z953" i="15"/>
  <c r="AA953" i="15"/>
  <c r="AC953" i="15"/>
  <c r="AG953" i="15"/>
  <c r="AH953" i="15"/>
  <c r="AI953" i="15"/>
  <c r="AJ953" i="15"/>
  <c r="AK953" i="15"/>
  <c r="AL953" i="15"/>
  <c r="AM953" i="15"/>
  <c r="AQ953" i="15"/>
  <c r="S954" i="15"/>
  <c r="T954" i="15"/>
  <c r="U954" i="15"/>
  <c r="W954" i="15"/>
  <c r="Y954" i="15"/>
  <c r="Z954" i="15"/>
  <c r="AA954" i="15"/>
  <c r="AC954" i="15"/>
  <c r="AG954" i="15"/>
  <c r="AH954" i="15"/>
  <c r="AI954" i="15"/>
  <c r="AJ954" i="15"/>
  <c r="AK954" i="15"/>
  <c r="AL954" i="15"/>
  <c r="AM954" i="15"/>
  <c r="AQ954" i="15"/>
  <c r="S955" i="15"/>
  <c r="T955" i="15"/>
  <c r="U955" i="15"/>
  <c r="W955" i="15"/>
  <c r="Y955" i="15"/>
  <c r="Z955" i="15"/>
  <c r="AA955" i="15"/>
  <c r="AC955" i="15"/>
  <c r="AG955" i="15"/>
  <c r="AH955" i="15"/>
  <c r="AI955" i="15"/>
  <c r="AJ955" i="15"/>
  <c r="AK955" i="15"/>
  <c r="AL955" i="15"/>
  <c r="AM955" i="15"/>
  <c r="AQ955" i="15"/>
  <c r="S956" i="15"/>
  <c r="T956" i="15"/>
  <c r="U956" i="15"/>
  <c r="W956" i="15"/>
  <c r="Y956" i="15"/>
  <c r="Z956" i="15"/>
  <c r="AA956" i="15"/>
  <c r="AC956" i="15"/>
  <c r="AG956" i="15"/>
  <c r="AH956" i="15"/>
  <c r="AI956" i="15"/>
  <c r="AJ956" i="15"/>
  <c r="AK956" i="15"/>
  <c r="AL956" i="15"/>
  <c r="AM956" i="15"/>
  <c r="AQ956" i="15"/>
  <c r="S957" i="15"/>
  <c r="T957" i="15"/>
  <c r="U957" i="15"/>
  <c r="W957" i="15"/>
  <c r="Y957" i="15"/>
  <c r="Z957" i="15"/>
  <c r="AA957" i="15"/>
  <c r="AC957" i="15"/>
  <c r="AG957" i="15"/>
  <c r="AH957" i="15"/>
  <c r="AI957" i="15"/>
  <c r="AJ957" i="15"/>
  <c r="AK957" i="15"/>
  <c r="AL957" i="15"/>
  <c r="AM957" i="15"/>
  <c r="AQ957" i="15"/>
  <c r="S958" i="15"/>
  <c r="T958" i="15"/>
  <c r="U958" i="15"/>
  <c r="W958" i="15"/>
  <c r="Y958" i="15"/>
  <c r="Z958" i="15"/>
  <c r="AA958" i="15"/>
  <c r="AC958" i="15"/>
  <c r="AG958" i="15"/>
  <c r="AH958" i="15"/>
  <c r="AI958" i="15"/>
  <c r="AJ958" i="15"/>
  <c r="AK958" i="15"/>
  <c r="AL958" i="15"/>
  <c r="AM958" i="15"/>
  <c r="AQ958" i="15"/>
  <c r="S959" i="15"/>
  <c r="T959" i="15"/>
  <c r="U959" i="15"/>
  <c r="W959" i="15"/>
  <c r="Y959" i="15"/>
  <c r="Z959" i="15"/>
  <c r="AA959" i="15"/>
  <c r="AC959" i="15"/>
  <c r="AG959" i="15"/>
  <c r="AH959" i="15"/>
  <c r="AI959" i="15"/>
  <c r="AJ959" i="15"/>
  <c r="AK959" i="15"/>
  <c r="AL959" i="15"/>
  <c r="AM959" i="15"/>
  <c r="AQ959" i="15"/>
  <c r="S960" i="15"/>
  <c r="T960" i="15"/>
  <c r="U960" i="15"/>
  <c r="W960" i="15"/>
  <c r="Y960" i="15"/>
  <c r="Z960" i="15"/>
  <c r="AA960" i="15"/>
  <c r="AC960" i="15"/>
  <c r="AG960" i="15"/>
  <c r="AH960" i="15"/>
  <c r="AI960" i="15"/>
  <c r="AJ960" i="15"/>
  <c r="AK960" i="15"/>
  <c r="AL960" i="15"/>
  <c r="AM960" i="15"/>
  <c r="AQ960" i="15"/>
  <c r="S961" i="15"/>
  <c r="T961" i="15"/>
  <c r="U961" i="15"/>
  <c r="W961" i="15"/>
  <c r="Y961" i="15"/>
  <c r="Z961" i="15"/>
  <c r="AA961" i="15"/>
  <c r="AC961" i="15"/>
  <c r="AG961" i="15"/>
  <c r="AH961" i="15"/>
  <c r="AI961" i="15"/>
  <c r="AJ961" i="15"/>
  <c r="AK961" i="15"/>
  <c r="AL961" i="15"/>
  <c r="AM961" i="15"/>
  <c r="AQ961" i="15"/>
  <c r="S962" i="15"/>
  <c r="T962" i="15"/>
  <c r="U962" i="15"/>
  <c r="W962" i="15"/>
  <c r="Y962" i="15"/>
  <c r="Z962" i="15"/>
  <c r="AA962" i="15"/>
  <c r="AC962" i="15"/>
  <c r="AG962" i="15"/>
  <c r="AH962" i="15"/>
  <c r="AI962" i="15"/>
  <c r="AJ962" i="15"/>
  <c r="AK962" i="15"/>
  <c r="AL962" i="15"/>
  <c r="AM962" i="15"/>
  <c r="AQ962" i="15"/>
  <c r="S963" i="15"/>
  <c r="T963" i="15"/>
  <c r="U963" i="15"/>
  <c r="W963" i="15"/>
  <c r="Y963" i="15"/>
  <c r="Z963" i="15"/>
  <c r="AA963" i="15"/>
  <c r="AC963" i="15"/>
  <c r="AG963" i="15"/>
  <c r="AH963" i="15"/>
  <c r="AI963" i="15"/>
  <c r="AJ963" i="15"/>
  <c r="AK963" i="15"/>
  <c r="AL963" i="15"/>
  <c r="AM963" i="15"/>
  <c r="AQ963" i="15"/>
  <c r="S864" i="15"/>
  <c r="T864" i="15"/>
  <c r="U864" i="15"/>
  <c r="W864" i="15"/>
  <c r="Y864" i="15"/>
  <c r="Z864" i="15"/>
  <c r="AA864" i="15"/>
  <c r="AC864" i="15"/>
  <c r="AG864" i="15"/>
  <c r="AH864" i="15"/>
  <c r="AI864" i="15"/>
  <c r="AJ864" i="15"/>
  <c r="AK864" i="15"/>
  <c r="AL864" i="15"/>
  <c r="AM864" i="15"/>
  <c r="AQ864" i="15"/>
  <c r="S865" i="15"/>
  <c r="T865" i="15"/>
  <c r="U865" i="15"/>
  <c r="W865" i="15"/>
  <c r="Y865" i="15"/>
  <c r="Z865" i="15"/>
  <c r="AA865" i="15"/>
  <c r="AC865" i="15"/>
  <c r="AG865" i="15"/>
  <c r="AH865" i="15"/>
  <c r="AI865" i="15"/>
  <c r="AJ865" i="15"/>
  <c r="AK865" i="15"/>
  <c r="AL865" i="15"/>
  <c r="AM865" i="15"/>
  <c r="AQ865" i="15"/>
  <c r="S866" i="15"/>
  <c r="T866" i="15"/>
  <c r="U866" i="15"/>
  <c r="W866" i="15"/>
  <c r="Y866" i="15"/>
  <c r="Z866" i="15"/>
  <c r="AA866" i="15"/>
  <c r="AC866" i="15"/>
  <c r="AG866" i="15"/>
  <c r="AH866" i="15"/>
  <c r="AI866" i="15"/>
  <c r="AJ866" i="15"/>
  <c r="AK866" i="15"/>
  <c r="AL866" i="15"/>
  <c r="AM866" i="15"/>
  <c r="AQ866" i="15"/>
  <c r="S867" i="15"/>
  <c r="T867" i="15"/>
  <c r="U867" i="15"/>
  <c r="W867" i="15"/>
  <c r="Y867" i="15"/>
  <c r="Z867" i="15"/>
  <c r="AA867" i="15"/>
  <c r="AC867" i="15"/>
  <c r="AG867" i="15"/>
  <c r="AH867" i="15"/>
  <c r="AI867" i="15"/>
  <c r="AJ867" i="15"/>
  <c r="AK867" i="15"/>
  <c r="AL867" i="15"/>
  <c r="AM867" i="15"/>
  <c r="AQ867" i="15"/>
  <c r="S868" i="15"/>
  <c r="T868" i="15"/>
  <c r="U868" i="15"/>
  <c r="W868" i="15"/>
  <c r="Y868" i="15"/>
  <c r="Z868" i="15"/>
  <c r="AA868" i="15"/>
  <c r="AC868" i="15"/>
  <c r="AG868" i="15"/>
  <c r="AH868" i="15"/>
  <c r="AI868" i="15"/>
  <c r="AJ868" i="15"/>
  <c r="AK868" i="15"/>
  <c r="AL868" i="15"/>
  <c r="AM868" i="15"/>
  <c r="AQ868" i="15"/>
  <c r="S869" i="15"/>
  <c r="T869" i="15"/>
  <c r="U869" i="15"/>
  <c r="W869" i="15"/>
  <c r="Y869" i="15"/>
  <c r="Z869" i="15"/>
  <c r="AA869" i="15"/>
  <c r="AC869" i="15"/>
  <c r="AG869" i="15"/>
  <c r="AH869" i="15"/>
  <c r="AI869" i="15"/>
  <c r="AJ869" i="15"/>
  <c r="AK869" i="15"/>
  <c r="AL869" i="15"/>
  <c r="AM869" i="15"/>
  <c r="AQ869" i="15"/>
  <c r="S870" i="15"/>
  <c r="T870" i="15"/>
  <c r="U870" i="15"/>
  <c r="W870" i="15"/>
  <c r="Y870" i="15"/>
  <c r="Z870" i="15"/>
  <c r="AA870" i="15"/>
  <c r="AC870" i="15"/>
  <c r="AG870" i="15"/>
  <c r="AH870" i="15"/>
  <c r="AI870" i="15"/>
  <c r="AJ870" i="15"/>
  <c r="AK870" i="15"/>
  <c r="AL870" i="15"/>
  <c r="AM870" i="15"/>
  <c r="AQ870" i="15"/>
  <c r="S871" i="15"/>
  <c r="U871" i="15"/>
  <c r="Y871" i="15"/>
  <c r="AA871" i="15"/>
  <c r="AC871" i="15"/>
  <c r="AG871" i="15"/>
  <c r="AH871" i="15"/>
  <c r="AI871" i="15"/>
  <c r="AJ871" i="15"/>
  <c r="AL871" i="15"/>
  <c r="AM871" i="15"/>
  <c r="AQ871" i="15"/>
  <c r="S872" i="15"/>
  <c r="T872" i="15"/>
  <c r="U872" i="15"/>
  <c r="W872" i="15"/>
  <c r="Y872" i="15"/>
  <c r="Z872" i="15"/>
  <c r="AA872" i="15"/>
  <c r="AC872" i="15"/>
  <c r="AG872" i="15"/>
  <c r="AH872" i="15"/>
  <c r="AI872" i="15"/>
  <c r="AJ872" i="15"/>
  <c r="AK872" i="15"/>
  <c r="AL872" i="15"/>
  <c r="AM872" i="15"/>
  <c r="AQ872" i="15"/>
  <c r="S873" i="15"/>
  <c r="T873" i="15"/>
  <c r="U873" i="15"/>
  <c r="W873" i="15"/>
  <c r="Y873" i="15"/>
  <c r="Z873" i="15"/>
  <c r="AA873" i="15"/>
  <c r="AC873" i="15"/>
  <c r="AG873" i="15"/>
  <c r="AH873" i="15"/>
  <c r="AI873" i="15"/>
  <c r="AJ873" i="15"/>
  <c r="AK873" i="15"/>
  <c r="AL873" i="15"/>
  <c r="AM873" i="15"/>
  <c r="AQ873" i="15"/>
  <c r="S874" i="15"/>
  <c r="T874" i="15"/>
  <c r="U874" i="15"/>
  <c r="W874" i="15"/>
  <c r="Y874" i="15"/>
  <c r="Z874" i="15"/>
  <c r="AA874" i="15"/>
  <c r="AC874" i="15"/>
  <c r="AG874" i="15"/>
  <c r="AH874" i="15"/>
  <c r="AI874" i="15"/>
  <c r="AJ874" i="15"/>
  <c r="AK874" i="15"/>
  <c r="AL874" i="15"/>
  <c r="AM874" i="15"/>
  <c r="AQ874" i="15"/>
  <c r="S875" i="15"/>
  <c r="T875" i="15"/>
  <c r="U875" i="15"/>
  <c r="W875" i="15"/>
  <c r="Y875" i="15"/>
  <c r="Z875" i="15"/>
  <c r="AA875" i="15"/>
  <c r="AC875" i="15"/>
  <c r="AG875" i="15"/>
  <c r="AH875" i="15"/>
  <c r="AI875" i="15"/>
  <c r="AJ875" i="15"/>
  <c r="AK875" i="15"/>
  <c r="AL875" i="15"/>
  <c r="AM875" i="15"/>
  <c r="AQ875" i="15"/>
  <c r="S876" i="15"/>
  <c r="T876" i="15"/>
  <c r="U876" i="15"/>
  <c r="W876" i="15"/>
  <c r="Y876" i="15"/>
  <c r="Z876" i="15"/>
  <c r="AA876" i="15"/>
  <c r="AC876" i="15"/>
  <c r="AG876" i="15"/>
  <c r="AH876" i="15"/>
  <c r="AI876" i="15"/>
  <c r="AJ876" i="15"/>
  <c r="AK876" i="15"/>
  <c r="AL876" i="15"/>
  <c r="AM876" i="15"/>
  <c r="AQ876" i="15"/>
  <c r="S877" i="15"/>
  <c r="T877" i="15"/>
  <c r="U877" i="15"/>
  <c r="W877" i="15"/>
  <c r="Y877" i="15"/>
  <c r="Z877" i="15"/>
  <c r="AA877" i="15"/>
  <c r="AC877" i="15"/>
  <c r="AG877" i="15"/>
  <c r="AH877" i="15"/>
  <c r="AI877" i="15"/>
  <c r="AJ877" i="15"/>
  <c r="AK877" i="15"/>
  <c r="AL877" i="15"/>
  <c r="AM877" i="15"/>
  <c r="AQ877" i="15"/>
  <c r="S878" i="15"/>
  <c r="T878" i="15"/>
  <c r="U878" i="15"/>
  <c r="W878" i="15"/>
  <c r="Y878" i="15"/>
  <c r="Z878" i="15"/>
  <c r="AA878" i="15"/>
  <c r="AC878" i="15"/>
  <c r="AG878" i="15"/>
  <c r="AH878" i="15"/>
  <c r="AI878" i="15"/>
  <c r="AJ878" i="15"/>
  <c r="AK878" i="15"/>
  <c r="AL878" i="15"/>
  <c r="AM878" i="15"/>
  <c r="AQ878" i="15"/>
  <c r="S879" i="15"/>
  <c r="T879" i="15"/>
  <c r="U879" i="15"/>
  <c r="W879" i="15"/>
  <c r="Y879" i="15"/>
  <c r="Z879" i="15"/>
  <c r="AA879" i="15"/>
  <c r="AC879" i="15"/>
  <c r="AG879" i="15"/>
  <c r="AH879" i="15"/>
  <c r="AI879" i="15"/>
  <c r="AJ879" i="15"/>
  <c r="AK879" i="15"/>
  <c r="AL879" i="15"/>
  <c r="AM879" i="15"/>
  <c r="AQ879" i="15"/>
  <c r="S880" i="15"/>
  <c r="T880" i="15"/>
  <c r="U880" i="15"/>
  <c r="W880" i="15"/>
  <c r="Y880" i="15"/>
  <c r="Z880" i="15"/>
  <c r="AA880" i="15"/>
  <c r="AC880" i="15"/>
  <c r="AG880" i="15"/>
  <c r="AH880" i="15"/>
  <c r="AI880" i="15"/>
  <c r="AJ880" i="15"/>
  <c r="AK880" i="15"/>
  <c r="AL880" i="15"/>
  <c r="AM880" i="15"/>
  <c r="AQ880" i="15"/>
  <c r="S881" i="15"/>
  <c r="T881" i="15"/>
  <c r="U881" i="15"/>
  <c r="W881" i="15"/>
  <c r="Y881" i="15"/>
  <c r="Z881" i="15"/>
  <c r="AA881" i="15"/>
  <c r="AC881" i="15"/>
  <c r="AG881" i="15"/>
  <c r="AH881" i="15"/>
  <c r="AI881" i="15"/>
  <c r="AJ881" i="15"/>
  <c r="AK881" i="15"/>
  <c r="AL881" i="15"/>
  <c r="AM881" i="15"/>
  <c r="AQ881" i="15"/>
  <c r="S882" i="15"/>
  <c r="T882" i="15"/>
  <c r="U882" i="15"/>
  <c r="W882" i="15"/>
  <c r="Y882" i="15"/>
  <c r="Z882" i="15"/>
  <c r="AA882" i="15"/>
  <c r="AC882" i="15"/>
  <c r="AG882" i="15"/>
  <c r="AH882" i="15"/>
  <c r="AI882" i="15"/>
  <c r="AJ882" i="15"/>
  <c r="AK882" i="15"/>
  <c r="AL882" i="15"/>
  <c r="AM882" i="15"/>
  <c r="AQ882" i="15"/>
  <c r="S883" i="15"/>
  <c r="T883" i="15"/>
  <c r="U883" i="15"/>
  <c r="W883" i="15"/>
  <c r="Y883" i="15"/>
  <c r="Z883" i="15"/>
  <c r="AA883" i="15"/>
  <c r="AC883" i="15"/>
  <c r="AG883" i="15"/>
  <c r="AH883" i="15"/>
  <c r="AI883" i="15"/>
  <c r="AJ883" i="15"/>
  <c r="AK883" i="15"/>
  <c r="AL883" i="15"/>
  <c r="AM883" i="15"/>
  <c r="AQ883" i="15"/>
  <c r="S884" i="15"/>
  <c r="T884" i="15"/>
  <c r="U884" i="15"/>
  <c r="W884" i="15"/>
  <c r="Y884" i="15"/>
  <c r="Z884" i="15"/>
  <c r="AA884" i="15"/>
  <c r="AC884" i="15"/>
  <c r="AG884" i="15"/>
  <c r="AH884" i="15"/>
  <c r="AI884" i="15"/>
  <c r="AJ884" i="15"/>
  <c r="AK884" i="15"/>
  <c r="AL884" i="15"/>
  <c r="AM884" i="15"/>
  <c r="AQ884" i="15"/>
  <c r="S885" i="15"/>
  <c r="T885" i="15"/>
  <c r="U885" i="15"/>
  <c r="W885" i="15"/>
  <c r="Y885" i="15"/>
  <c r="Z885" i="15"/>
  <c r="AA885" i="15"/>
  <c r="AC885" i="15"/>
  <c r="AG885" i="15"/>
  <c r="AH885" i="15"/>
  <c r="AI885" i="15"/>
  <c r="AJ885" i="15"/>
  <c r="AK885" i="15"/>
  <c r="AL885" i="15"/>
  <c r="AM885" i="15"/>
  <c r="AQ885" i="15"/>
  <c r="S886" i="15"/>
  <c r="T886" i="15"/>
  <c r="U886" i="15"/>
  <c r="W886" i="15"/>
  <c r="Y886" i="15"/>
  <c r="Z886" i="15"/>
  <c r="AA886" i="15"/>
  <c r="AC886" i="15"/>
  <c r="AG886" i="15"/>
  <c r="AH886" i="15"/>
  <c r="AI886" i="15"/>
  <c r="AJ886" i="15"/>
  <c r="AK886" i="15"/>
  <c r="AL886" i="15"/>
  <c r="AM886" i="15"/>
  <c r="AQ886" i="15"/>
  <c r="S887" i="15"/>
  <c r="T887" i="15"/>
  <c r="U887" i="15"/>
  <c r="W887" i="15"/>
  <c r="Y887" i="15"/>
  <c r="Z887" i="15"/>
  <c r="AA887" i="15"/>
  <c r="AC887" i="15"/>
  <c r="AG887" i="15"/>
  <c r="AH887" i="15"/>
  <c r="AI887" i="15"/>
  <c r="AJ887" i="15"/>
  <c r="AK887" i="15"/>
  <c r="AL887" i="15"/>
  <c r="AM887" i="15"/>
  <c r="AQ887" i="15"/>
  <c r="S888" i="15"/>
  <c r="T888" i="15"/>
  <c r="U888" i="15"/>
  <c r="W888" i="15"/>
  <c r="Y888" i="15"/>
  <c r="Z888" i="15"/>
  <c r="AA888" i="15"/>
  <c r="AC888" i="15"/>
  <c r="AG888" i="15"/>
  <c r="AH888" i="15"/>
  <c r="AI888" i="15"/>
  <c r="AJ888" i="15"/>
  <c r="AK888" i="15"/>
  <c r="AL888" i="15"/>
  <c r="AM888" i="15"/>
  <c r="AQ888" i="15"/>
  <c r="S889" i="15"/>
  <c r="T889" i="15"/>
  <c r="U889" i="15"/>
  <c r="W889" i="15"/>
  <c r="Y889" i="15"/>
  <c r="Z889" i="15"/>
  <c r="AA889" i="15"/>
  <c r="AC889" i="15"/>
  <c r="AG889" i="15"/>
  <c r="AH889" i="15"/>
  <c r="AI889" i="15"/>
  <c r="AJ889" i="15"/>
  <c r="AK889" i="15"/>
  <c r="AL889" i="15"/>
  <c r="AM889" i="15"/>
  <c r="AQ889" i="15"/>
  <c r="S890" i="15"/>
  <c r="T890" i="15"/>
  <c r="U890" i="15"/>
  <c r="W890" i="15"/>
  <c r="Y890" i="15"/>
  <c r="Z890" i="15"/>
  <c r="AA890" i="15"/>
  <c r="AC890" i="15"/>
  <c r="AG890" i="15"/>
  <c r="AH890" i="15"/>
  <c r="AI890" i="15"/>
  <c r="AJ890" i="15"/>
  <c r="AK890" i="15"/>
  <c r="AL890" i="15"/>
  <c r="AM890" i="15"/>
  <c r="AQ890" i="15"/>
  <c r="S891" i="15"/>
  <c r="T891" i="15"/>
  <c r="U891" i="15"/>
  <c r="W891" i="15"/>
  <c r="Y891" i="15"/>
  <c r="Z891" i="15"/>
  <c r="AA891" i="15"/>
  <c r="AC891" i="15"/>
  <c r="AG891" i="15"/>
  <c r="AH891" i="15"/>
  <c r="AI891" i="15"/>
  <c r="AJ891" i="15"/>
  <c r="AK891" i="15"/>
  <c r="AL891" i="15"/>
  <c r="AM891" i="15"/>
  <c r="AQ891" i="15"/>
  <c r="U892" i="15"/>
  <c r="W892" i="15"/>
  <c r="AA892" i="15"/>
  <c r="AC892" i="15"/>
  <c r="AG892" i="15"/>
  <c r="AH892" i="15"/>
  <c r="AI892" i="15"/>
  <c r="AJ892" i="15"/>
  <c r="AK892" i="15"/>
  <c r="AL892" i="15"/>
  <c r="AM892" i="15"/>
  <c r="AQ892" i="15"/>
  <c r="U893" i="15"/>
  <c r="W893" i="15"/>
  <c r="AA893" i="15"/>
  <c r="AC893" i="15"/>
  <c r="AG893" i="15"/>
  <c r="AH893" i="15"/>
  <c r="AI893" i="15"/>
  <c r="AJ893" i="15"/>
  <c r="AK893" i="15"/>
  <c r="AL893" i="15"/>
  <c r="AM893" i="15"/>
  <c r="AQ893" i="15"/>
  <c r="S894" i="15"/>
  <c r="T894" i="15"/>
  <c r="U894" i="15"/>
  <c r="W894" i="15"/>
  <c r="Y894" i="15"/>
  <c r="Z894" i="15"/>
  <c r="AA894" i="15"/>
  <c r="AC894" i="15"/>
  <c r="AG894" i="15"/>
  <c r="AH894" i="15"/>
  <c r="AI894" i="15"/>
  <c r="AJ894" i="15"/>
  <c r="AK894" i="15"/>
  <c r="AL894" i="15"/>
  <c r="AM894" i="15"/>
  <c r="AQ894" i="15"/>
  <c r="S895" i="15"/>
  <c r="T895" i="15"/>
  <c r="U895" i="15"/>
  <c r="W895" i="15"/>
  <c r="Y895" i="15"/>
  <c r="Z895" i="15"/>
  <c r="AA895" i="15"/>
  <c r="AC895" i="15"/>
  <c r="AG895" i="15"/>
  <c r="AH895" i="15"/>
  <c r="AI895" i="15"/>
  <c r="AJ895" i="15"/>
  <c r="AK895" i="15"/>
  <c r="AL895" i="15"/>
  <c r="AM895" i="15"/>
  <c r="AQ895" i="15"/>
  <c r="S896" i="15"/>
  <c r="T896" i="15"/>
  <c r="U896" i="15"/>
  <c r="W896" i="15"/>
  <c r="Y896" i="15"/>
  <c r="Z896" i="15"/>
  <c r="AA896" i="15"/>
  <c r="AC896" i="15"/>
  <c r="AG896" i="15"/>
  <c r="AH896" i="15"/>
  <c r="AI896" i="15"/>
  <c r="AJ896" i="15"/>
  <c r="AK896" i="15"/>
  <c r="AL896" i="15"/>
  <c r="AM896" i="15"/>
  <c r="AQ896" i="15"/>
  <c r="S897" i="15"/>
  <c r="T897" i="15"/>
  <c r="U897" i="15"/>
  <c r="W897" i="15"/>
  <c r="Y897" i="15"/>
  <c r="Z897" i="15"/>
  <c r="AA897" i="15"/>
  <c r="AC897" i="15"/>
  <c r="AG897" i="15"/>
  <c r="AH897" i="15"/>
  <c r="AI897" i="15"/>
  <c r="AJ897" i="15"/>
  <c r="AK897" i="15"/>
  <c r="AL897" i="15"/>
  <c r="AM897" i="15"/>
  <c r="AQ897" i="15"/>
  <c r="S898" i="15"/>
  <c r="T898" i="15"/>
  <c r="U898" i="15"/>
  <c r="W898" i="15"/>
  <c r="Y898" i="15"/>
  <c r="Z898" i="15"/>
  <c r="AA898" i="15"/>
  <c r="AC898" i="15"/>
  <c r="AG898" i="15"/>
  <c r="AH898" i="15"/>
  <c r="AI898" i="15"/>
  <c r="AJ898" i="15"/>
  <c r="AK898" i="15"/>
  <c r="AL898" i="15"/>
  <c r="AM898" i="15"/>
  <c r="AQ898" i="15"/>
  <c r="S899" i="15"/>
  <c r="T899" i="15"/>
  <c r="U899" i="15"/>
  <c r="W899" i="15"/>
  <c r="Y899" i="15"/>
  <c r="Z899" i="15"/>
  <c r="AA899" i="15"/>
  <c r="AC899" i="15"/>
  <c r="AG899" i="15"/>
  <c r="AH899" i="15"/>
  <c r="AI899" i="15"/>
  <c r="AJ899" i="15"/>
  <c r="AK899" i="15"/>
  <c r="AL899" i="15"/>
  <c r="AM899" i="15"/>
  <c r="AQ899" i="15"/>
  <c r="S900" i="15"/>
  <c r="T900" i="15"/>
  <c r="U900" i="15"/>
  <c r="W900" i="15"/>
  <c r="Y900" i="15"/>
  <c r="Z900" i="15"/>
  <c r="AA900" i="15"/>
  <c r="AC900" i="15"/>
  <c r="AG900" i="15"/>
  <c r="AH900" i="15"/>
  <c r="AI900" i="15"/>
  <c r="AJ900" i="15"/>
  <c r="AK900" i="15"/>
  <c r="AL900" i="15"/>
  <c r="AM900" i="15"/>
  <c r="AQ900" i="15"/>
  <c r="S901" i="15"/>
  <c r="T901" i="15"/>
  <c r="U901" i="15"/>
  <c r="W901" i="15"/>
  <c r="Y901" i="15"/>
  <c r="Z901" i="15"/>
  <c r="AA901" i="15"/>
  <c r="AC901" i="15"/>
  <c r="AG901" i="15"/>
  <c r="AH901" i="15"/>
  <c r="AI901" i="15"/>
  <c r="AJ901" i="15"/>
  <c r="AK901" i="15"/>
  <c r="AL901" i="15"/>
  <c r="AM901" i="15"/>
  <c r="AQ901" i="15"/>
  <c r="S902" i="15"/>
  <c r="T902" i="15"/>
  <c r="U902" i="15"/>
  <c r="W902" i="15"/>
  <c r="Y902" i="15"/>
  <c r="Z902" i="15"/>
  <c r="AA902" i="15"/>
  <c r="AC902" i="15"/>
  <c r="AG902" i="15"/>
  <c r="AH902" i="15"/>
  <c r="AI902" i="15"/>
  <c r="AJ902" i="15"/>
  <c r="AK902" i="15"/>
  <c r="AL902" i="15"/>
  <c r="AM902" i="15"/>
  <c r="AQ902" i="15"/>
  <c r="S903" i="15"/>
  <c r="T903" i="15"/>
  <c r="U903" i="15"/>
  <c r="W903" i="15"/>
  <c r="Y903" i="15"/>
  <c r="Z903" i="15"/>
  <c r="AA903" i="15"/>
  <c r="AC903" i="15"/>
  <c r="AG903" i="15"/>
  <c r="AH903" i="15"/>
  <c r="AI903" i="15"/>
  <c r="AJ903" i="15"/>
  <c r="AK903" i="15"/>
  <c r="AL903" i="15"/>
  <c r="AM903" i="15"/>
  <c r="AQ903" i="15"/>
  <c r="S904" i="15"/>
  <c r="T904" i="15"/>
  <c r="U904" i="15"/>
  <c r="W904" i="15"/>
  <c r="Y904" i="15"/>
  <c r="Z904" i="15"/>
  <c r="AA904" i="15"/>
  <c r="AC904" i="15"/>
  <c r="AG904" i="15"/>
  <c r="AH904" i="15"/>
  <c r="AI904" i="15"/>
  <c r="AJ904" i="15"/>
  <c r="AK904" i="15"/>
  <c r="AL904" i="15"/>
  <c r="AM904" i="15"/>
  <c r="AQ904" i="15"/>
  <c r="S905" i="15"/>
  <c r="T905" i="15"/>
  <c r="U905" i="15"/>
  <c r="W905" i="15"/>
  <c r="Y905" i="15"/>
  <c r="Z905" i="15"/>
  <c r="AA905" i="15"/>
  <c r="AC905" i="15"/>
  <c r="AG905" i="15"/>
  <c r="AH905" i="15"/>
  <c r="AI905" i="15"/>
  <c r="AJ905" i="15"/>
  <c r="AK905" i="15"/>
  <c r="AL905" i="15"/>
  <c r="AM905" i="15"/>
  <c r="AQ905" i="15"/>
  <c r="S906" i="15"/>
  <c r="T906" i="15"/>
  <c r="U906" i="15"/>
  <c r="W906" i="15"/>
  <c r="Y906" i="15"/>
  <c r="Z906" i="15"/>
  <c r="AA906" i="15"/>
  <c r="AC906" i="15"/>
  <c r="AG906" i="15"/>
  <c r="AH906" i="15"/>
  <c r="AI906" i="15"/>
  <c r="AJ906" i="15"/>
  <c r="AK906" i="15"/>
  <c r="AL906" i="15"/>
  <c r="AM906" i="15"/>
  <c r="AQ906" i="15"/>
  <c r="S907" i="15"/>
  <c r="T907" i="15"/>
  <c r="U907" i="15"/>
  <c r="W907" i="15"/>
  <c r="Y907" i="15"/>
  <c r="Z907" i="15"/>
  <c r="AA907" i="15"/>
  <c r="AC907" i="15"/>
  <c r="AG907" i="15"/>
  <c r="AH907" i="15"/>
  <c r="AI907" i="15"/>
  <c r="AJ907" i="15"/>
  <c r="AK907" i="15"/>
  <c r="AL907" i="15"/>
  <c r="AM907" i="15"/>
  <c r="AQ907" i="15"/>
  <c r="S908" i="15"/>
  <c r="T908" i="15"/>
  <c r="U908" i="15"/>
  <c r="W908" i="15"/>
  <c r="Y908" i="15"/>
  <c r="Z908" i="15"/>
  <c r="AA908" i="15"/>
  <c r="AC908" i="15"/>
  <c r="AG908" i="15"/>
  <c r="AH908" i="15"/>
  <c r="AI908" i="15"/>
  <c r="AJ908" i="15"/>
  <c r="AK908" i="15"/>
  <c r="AL908" i="15"/>
  <c r="AM908" i="15"/>
  <c r="AQ908" i="15"/>
  <c r="S909" i="15"/>
  <c r="T909" i="15"/>
  <c r="U909" i="15"/>
  <c r="W909" i="15"/>
  <c r="Y909" i="15"/>
  <c r="Z909" i="15"/>
  <c r="AA909" i="15"/>
  <c r="AC909" i="15"/>
  <c r="AG909" i="15"/>
  <c r="AH909" i="15"/>
  <c r="AI909" i="15"/>
  <c r="AJ909" i="15"/>
  <c r="AK909" i="15"/>
  <c r="AL909" i="15"/>
  <c r="AM909" i="15"/>
  <c r="AQ909" i="15"/>
  <c r="S910" i="15"/>
  <c r="T910" i="15"/>
  <c r="U910" i="15"/>
  <c r="W910" i="15"/>
  <c r="Y910" i="15"/>
  <c r="Z910" i="15"/>
  <c r="AA910" i="15"/>
  <c r="AC910" i="15"/>
  <c r="AG910" i="15"/>
  <c r="AH910" i="15"/>
  <c r="AI910" i="15"/>
  <c r="AJ910" i="15"/>
  <c r="AK910" i="15"/>
  <c r="AL910" i="15"/>
  <c r="AM910" i="15"/>
  <c r="AQ910" i="15"/>
  <c r="S911" i="15"/>
  <c r="T911" i="15"/>
  <c r="U911" i="15"/>
  <c r="W911" i="15"/>
  <c r="Y911" i="15"/>
  <c r="Z911" i="15"/>
  <c r="AA911" i="15"/>
  <c r="AC911" i="15"/>
  <c r="AG911" i="15"/>
  <c r="AH911" i="15"/>
  <c r="AI911" i="15"/>
  <c r="AJ911" i="15"/>
  <c r="AK911" i="15"/>
  <c r="AL911" i="15"/>
  <c r="AM911" i="15"/>
  <c r="AQ911" i="15"/>
  <c r="J414" i="15"/>
  <c r="J413" i="15"/>
  <c r="I414" i="15"/>
  <c r="I413" i="15"/>
  <c r="S839" i="15"/>
  <c r="T839" i="15"/>
  <c r="U839" i="15"/>
  <c r="W839" i="15"/>
  <c r="AA839" i="15"/>
  <c r="AC839" i="15"/>
  <c r="AG839" i="15"/>
  <c r="AH839" i="15"/>
  <c r="AI839" i="15"/>
  <c r="AJ839" i="15"/>
  <c r="AK839" i="15"/>
  <c r="AL839" i="15"/>
  <c r="AM839" i="15"/>
  <c r="AQ839" i="15"/>
  <c r="S840" i="15"/>
  <c r="T840" i="15"/>
  <c r="U840" i="15"/>
  <c r="W840" i="15"/>
  <c r="Y840" i="15"/>
  <c r="Z840" i="15"/>
  <c r="AA840" i="15"/>
  <c r="AC840" i="15"/>
  <c r="AG840" i="15"/>
  <c r="AH840" i="15"/>
  <c r="AI840" i="15"/>
  <c r="AJ840" i="15"/>
  <c r="AK840" i="15"/>
  <c r="AL840" i="15"/>
  <c r="AM840" i="15"/>
  <c r="AQ840" i="15"/>
  <c r="S841" i="15"/>
  <c r="T841" i="15"/>
  <c r="U841" i="15"/>
  <c r="W841" i="15"/>
  <c r="Y841" i="15"/>
  <c r="Z841" i="15"/>
  <c r="AA841" i="15"/>
  <c r="AC841" i="15"/>
  <c r="AG841" i="15"/>
  <c r="AH841" i="15"/>
  <c r="AI841" i="15"/>
  <c r="AJ841" i="15"/>
  <c r="AK841" i="15"/>
  <c r="AL841" i="15"/>
  <c r="AM841" i="15"/>
  <c r="AQ841" i="15"/>
  <c r="S842" i="15"/>
  <c r="T842" i="15"/>
  <c r="U842" i="15"/>
  <c r="W842" i="15"/>
  <c r="Y842" i="15"/>
  <c r="Z842" i="15"/>
  <c r="AA842" i="15"/>
  <c r="AC842" i="15"/>
  <c r="AG842" i="15"/>
  <c r="AH842" i="15"/>
  <c r="AI842" i="15"/>
  <c r="AJ842" i="15"/>
  <c r="AK842" i="15"/>
  <c r="AL842" i="15"/>
  <c r="AM842" i="15"/>
  <c r="AQ842" i="15"/>
  <c r="S843" i="15"/>
  <c r="T843" i="15"/>
  <c r="U843" i="15"/>
  <c r="W843" i="15"/>
  <c r="Y843" i="15"/>
  <c r="Z843" i="15"/>
  <c r="AA843" i="15"/>
  <c r="AC843" i="15"/>
  <c r="AG843" i="15"/>
  <c r="AH843" i="15"/>
  <c r="AI843" i="15"/>
  <c r="AJ843" i="15"/>
  <c r="AK843" i="15"/>
  <c r="AL843" i="15"/>
  <c r="AM843" i="15"/>
  <c r="AQ843" i="15"/>
  <c r="S844" i="15"/>
  <c r="T844" i="15"/>
  <c r="U844" i="15"/>
  <c r="W844" i="15"/>
  <c r="Y844" i="15"/>
  <c r="Z844" i="15"/>
  <c r="AA844" i="15"/>
  <c r="AC844" i="15"/>
  <c r="AG844" i="15"/>
  <c r="AH844" i="15"/>
  <c r="AI844" i="15"/>
  <c r="AJ844" i="15"/>
  <c r="AK844" i="15"/>
  <c r="AL844" i="15"/>
  <c r="AM844" i="15"/>
  <c r="AQ844" i="15"/>
  <c r="S845" i="15"/>
  <c r="T845" i="15"/>
  <c r="U845" i="15"/>
  <c r="W845" i="15"/>
  <c r="Y845" i="15"/>
  <c r="Z845" i="15"/>
  <c r="AA845" i="15"/>
  <c r="AC845" i="15"/>
  <c r="AG845" i="15"/>
  <c r="AH845" i="15"/>
  <c r="AI845" i="15"/>
  <c r="AJ845" i="15"/>
  <c r="AK845" i="15"/>
  <c r="AL845" i="15"/>
  <c r="AM845" i="15"/>
  <c r="AQ845" i="15"/>
  <c r="S846" i="15"/>
  <c r="T846" i="15"/>
  <c r="U846" i="15"/>
  <c r="W846" i="15"/>
  <c r="Y846" i="15"/>
  <c r="Z846" i="15"/>
  <c r="AA846" i="15"/>
  <c r="AC846" i="15"/>
  <c r="AG846" i="15"/>
  <c r="AH846" i="15"/>
  <c r="AI846" i="15"/>
  <c r="AJ846" i="15"/>
  <c r="AK846" i="15"/>
  <c r="AL846" i="15"/>
  <c r="AM846" i="15"/>
  <c r="AQ846" i="15"/>
  <c r="S847" i="15"/>
  <c r="T847" i="15"/>
  <c r="U847" i="15"/>
  <c r="W847" i="15"/>
  <c r="Y847" i="15"/>
  <c r="Z847" i="15"/>
  <c r="AA847" i="15"/>
  <c r="AC847" i="15"/>
  <c r="AG847" i="15"/>
  <c r="AH847" i="15"/>
  <c r="AI847" i="15"/>
  <c r="AJ847" i="15"/>
  <c r="AK847" i="15"/>
  <c r="AL847" i="15"/>
  <c r="AM847" i="15"/>
  <c r="AQ847" i="15"/>
  <c r="S848" i="15"/>
  <c r="T848" i="15"/>
  <c r="U848" i="15"/>
  <c r="W848" i="15"/>
  <c r="Y848" i="15"/>
  <c r="Z848" i="15"/>
  <c r="AA848" i="15"/>
  <c r="AC848" i="15"/>
  <c r="AG848" i="15"/>
  <c r="AH848" i="15"/>
  <c r="AI848" i="15"/>
  <c r="AJ848" i="15"/>
  <c r="AK848" i="15"/>
  <c r="AL848" i="15"/>
  <c r="AM848" i="15"/>
  <c r="AQ848" i="15"/>
  <c r="S849" i="15"/>
  <c r="T849" i="15"/>
  <c r="U849" i="15"/>
  <c r="W849" i="15"/>
  <c r="Y849" i="15"/>
  <c r="Z849" i="15"/>
  <c r="AA849" i="15"/>
  <c r="AC849" i="15"/>
  <c r="AG849" i="15"/>
  <c r="AH849" i="15"/>
  <c r="AI849" i="15"/>
  <c r="AJ849" i="15"/>
  <c r="AK849" i="15"/>
  <c r="AL849" i="15"/>
  <c r="AM849" i="15"/>
  <c r="AQ849" i="15"/>
  <c r="S850" i="15"/>
  <c r="T850" i="15"/>
  <c r="U850" i="15"/>
  <c r="W850" i="15"/>
  <c r="Y850" i="15"/>
  <c r="Z850" i="15"/>
  <c r="AA850" i="15"/>
  <c r="AC850" i="15"/>
  <c r="AG850" i="15"/>
  <c r="AH850" i="15"/>
  <c r="AI850" i="15"/>
  <c r="AJ850" i="15"/>
  <c r="AK850" i="15"/>
  <c r="AL850" i="15"/>
  <c r="AM850" i="15"/>
  <c r="AQ850" i="15"/>
  <c r="S851" i="15"/>
  <c r="T851" i="15"/>
  <c r="U851" i="15"/>
  <c r="W851" i="15"/>
  <c r="Y851" i="15"/>
  <c r="Z851" i="15"/>
  <c r="AA851" i="15"/>
  <c r="AC851" i="15"/>
  <c r="AG851" i="15"/>
  <c r="AH851" i="15"/>
  <c r="AI851" i="15"/>
  <c r="AJ851" i="15"/>
  <c r="AK851" i="15"/>
  <c r="AL851" i="15"/>
  <c r="AM851" i="15"/>
  <c r="AQ851" i="15"/>
  <c r="S852" i="15"/>
  <c r="T852" i="15"/>
  <c r="U852" i="15"/>
  <c r="W852" i="15"/>
  <c r="Y852" i="15"/>
  <c r="Z852" i="15"/>
  <c r="AA852" i="15"/>
  <c r="AC852" i="15"/>
  <c r="AG852" i="15"/>
  <c r="AH852" i="15"/>
  <c r="AI852" i="15"/>
  <c r="AJ852" i="15"/>
  <c r="AK852" i="15"/>
  <c r="AL852" i="15"/>
  <c r="AM852" i="15"/>
  <c r="AQ852" i="15"/>
  <c r="S853" i="15"/>
  <c r="T853" i="15"/>
  <c r="U853" i="15"/>
  <c r="W853" i="15"/>
  <c r="Y853" i="15"/>
  <c r="Z853" i="15"/>
  <c r="AA853" i="15"/>
  <c r="AC853" i="15"/>
  <c r="AG853" i="15"/>
  <c r="AH853" i="15"/>
  <c r="AI853" i="15"/>
  <c r="AJ853" i="15"/>
  <c r="AK853" i="15"/>
  <c r="AL853" i="15"/>
  <c r="AM853" i="15"/>
  <c r="AQ853" i="15"/>
  <c r="S854" i="15"/>
  <c r="T854" i="15"/>
  <c r="U854" i="15"/>
  <c r="W854" i="15"/>
  <c r="Y854" i="15"/>
  <c r="Z854" i="15"/>
  <c r="AA854" i="15"/>
  <c r="AC854" i="15"/>
  <c r="AG854" i="15"/>
  <c r="AH854" i="15"/>
  <c r="AI854" i="15"/>
  <c r="AJ854" i="15"/>
  <c r="AK854" i="15"/>
  <c r="AL854" i="15"/>
  <c r="AM854" i="15"/>
  <c r="AQ854" i="15"/>
  <c r="S855" i="15"/>
  <c r="T855" i="15"/>
  <c r="U855" i="15"/>
  <c r="W855" i="15"/>
  <c r="Y855" i="15"/>
  <c r="Z855" i="15"/>
  <c r="AA855" i="15"/>
  <c r="AC855" i="15"/>
  <c r="AG855" i="15"/>
  <c r="AH855" i="15"/>
  <c r="AI855" i="15"/>
  <c r="AJ855" i="15"/>
  <c r="AK855" i="15"/>
  <c r="AL855" i="15"/>
  <c r="AM855" i="15"/>
  <c r="AQ855" i="15"/>
  <c r="S856" i="15"/>
  <c r="T856" i="15"/>
  <c r="U856" i="15"/>
  <c r="W856" i="15"/>
  <c r="Y856" i="15"/>
  <c r="Z856" i="15"/>
  <c r="AA856" i="15"/>
  <c r="AC856" i="15"/>
  <c r="AG856" i="15"/>
  <c r="AH856" i="15"/>
  <c r="AI856" i="15"/>
  <c r="AJ856" i="15"/>
  <c r="AK856" i="15"/>
  <c r="AL856" i="15"/>
  <c r="AM856" i="15"/>
  <c r="AQ856" i="15"/>
  <c r="S857" i="15"/>
  <c r="T857" i="15"/>
  <c r="U857" i="15"/>
  <c r="W857" i="15"/>
  <c r="Y857" i="15"/>
  <c r="Z857" i="15"/>
  <c r="AA857" i="15"/>
  <c r="AC857" i="15"/>
  <c r="AG857" i="15"/>
  <c r="AH857" i="15"/>
  <c r="AI857" i="15"/>
  <c r="AJ857" i="15"/>
  <c r="AK857" i="15"/>
  <c r="AL857" i="15"/>
  <c r="AM857" i="15"/>
  <c r="AQ857" i="15"/>
  <c r="S858" i="15"/>
  <c r="T858" i="15"/>
  <c r="U858" i="15"/>
  <c r="W858" i="15"/>
  <c r="Y858" i="15"/>
  <c r="Z858" i="15"/>
  <c r="AA858" i="15"/>
  <c r="AC858" i="15"/>
  <c r="AG858" i="15"/>
  <c r="AH858" i="15"/>
  <c r="AI858" i="15"/>
  <c r="AJ858" i="15"/>
  <c r="AK858" i="15"/>
  <c r="AL858" i="15"/>
  <c r="AM858" i="15"/>
  <c r="AQ858" i="15"/>
  <c r="S859" i="15"/>
  <c r="T859" i="15"/>
  <c r="U859" i="15"/>
  <c r="W859" i="15"/>
  <c r="Y859" i="15"/>
  <c r="Z859" i="15"/>
  <c r="AA859" i="15"/>
  <c r="AC859" i="15"/>
  <c r="AG859" i="15"/>
  <c r="AH859" i="15"/>
  <c r="AI859" i="15"/>
  <c r="AJ859" i="15"/>
  <c r="AK859" i="15"/>
  <c r="AL859" i="15"/>
  <c r="AM859" i="15"/>
  <c r="AQ859" i="15"/>
  <c r="S860" i="15"/>
  <c r="T860" i="15"/>
  <c r="U860" i="15"/>
  <c r="W860" i="15"/>
  <c r="Y860" i="15"/>
  <c r="Z860" i="15"/>
  <c r="AA860" i="15"/>
  <c r="AC860" i="15"/>
  <c r="AG860" i="15"/>
  <c r="AH860" i="15"/>
  <c r="AI860" i="15"/>
  <c r="AJ860" i="15"/>
  <c r="AK860" i="15"/>
  <c r="AL860" i="15"/>
  <c r="AM860" i="15"/>
  <c r="AQ860" i="15"/>
  <c r="S861" i="15"/>
  <c r="T861" i="15"/>
  <c r="U861" i="15"/>
  <c r="W861" i="15"/>
  <c r="Y861" i="15"/>
  <c r="Z861" i="15"/>
  <c r="AA861" i="15"/>
  <c r="AC861" i="15"/>
  <c r="AG861" i="15"/>
  <c r="AH861" i="15"/>
  <c r="AI861" i="15"/>
  <c r="AJ861" i="15"/>
  <c r="AK861" i="15"/>
  <c r="AL861" i="15"/>
  <c r="AM861" i="15"/>
  <c r="AQ861" i="15"/>
  <c r="S862" i="15"/>
  <c r="T862" i="15"/>
  <c r="U862" i="15"/>
  <c r="W862" i="15"/>
  <c r="Y862" i="15"/>
  <c r="Z862" i="15"/>
  <c r="AA862" i="15"/>
  <c r="AC862" i="15"/>
  <c r="AG862" i="15"/>
  <c r="AH862" i="15"/>
  <c r="AI862" i="15"/>
  <c r="AJ862" i="15"/>
  <c r="AK862" i="15"/>
  <c r="AL862" i="15"/>
  <c r="AM862" i="15"/>
  <c r="AQ862" i="15"/>
  <c r="S863" i="15"/>
  <c r="T863" i="15"/>
  <c r="U863" i="15"/>
  <c r="W863" i="15"/>
  <c r="Y863" i="15"/>
  <c r="Z863" i="15"/>
  <c r="AA863" i="15"/>
  <c r="AC863" i="15"/>
  <c r="AG863" i="15"/>
  <c r="AH863" i="15"/>
  <c r="AI863" i="15"/>
  <c r="AJ863" i="15"/>
  <c r="AK863" i="15"/>
  <c r="AL863" i="15"/>
  <c r="AM863" i="15"/>
  <c r="AQ863" i="15"/>
  <c r="S802" i="15"/>
  <c r="T802" i="15"/>
  <c r="U802" i="15"/>
  <c r="W802" i="15"/>
  <c r="Y802" i="15"/>
  <c r="Z802" i="15"/>
  <c r="AA802" i="15"/>
  <c r="AC802" i="15"/>
  <c r="AG802" i="15"/>
  <c r="AH802" i="15"/>
  <c r="AI802" i="15"/>
  <c r="AJ802" i="15"/>
  <c r="AK802" i="15"/>
  <c r="AL802" i="15"/>
  <c r="AM802" i="15"/>
  <c r="AQ802" i="15"/>
  <c r="S803" i="15"/>
  <c r="T803" i="15"/>
  <c r="U803" i="15"/>
  <c r="W803" i="15"/>
  <c r="Y803" i="15"/>
  <c r="Z803" i="15"/>
  <c r="AA803" i="15"/>
  <c r="AC803" i="15"/>
  <c r="AG803" i="15"/>
  <c r="AH803" i="15"/>
  <c r="AI803" i="15"/>
  <c r="AJ803" i="15"/>
  <c r="AK803" i="15"/>
  <c r="AL803" i="15"/>
  <c r="AM803" i="15"/>
  <c r="AQ803" i="15"/>
  <c r="S804" i="15"/>
  <c r="T804" i="15"/>
  <c r="U804" i="15"/>
  <c r="W804" i="15"/>
  <c r="Y804" i="15"/>
  <c r="Z804" i="15"/>
  <c r="AA804" i="15"/>
  <c r="AC804" i="15"/>
  <c r="AG804" i="15"/>
  <c r="AH804" i="15"/>
  <c r="AI804" i="15"/>
  <c r="AJ804" i="15"/>
  <c r="AK804" i="15"/>
  <c r="AL804" i="15"/>
  <c r="AM804" i="15"/>
  <c r="AQ804" i="15"/>
  <c r="U805" i="15"/>
  <c r="W805" i="15"/>
  <c r="AA805" i="15"/>
  <c r="AC805" i="15"/>
  <c r="AG805" i="15"/>
  <c r="AH805" i="15"/>
  <c r="AI805" i="15"/>
  <c r="AJ805" i="15"/>
  <c r="AK805" i="15"/>
  <c r="AL805" i="15"/>
  <c r="AM805" i="15"/>
  <c r="AQ805" i="15"/>
  <c r="U806" i="15"/>
  <c r="W806" i="15"/>
  <c r="AA806" i="15"/>
  <c r="AC806" i="15"/>
  <c r="AG806" i="15"/>
  <c r="AH806" i="15"/>
  <c r="AI806" i="15"/>
  <c r="AJ806" i="15"/>
  <c r="AK806" i="15"/>
  <c r="AL806" i="15"/>
  <c r="AM806" i="15"/>
  <c r="AQ806" i="15"/>
  <c r="T807" i="15"/>
  <c r="U807" i="15"/>
  <c r="W807" i="15"/>
  <c r="AA807" i="15"/>
  <c r="AC807" i="15"/>
  <c r="AG807" i="15"/>
  <c r="AH807" i="15"/>
  <c r="AI807" i="15"/>
  <c r="AJ807" i="15"/>
  <c r="AK807" i="15"/>
  <c r="AL807" i="15"/>
  <c r="AM807" i="15"/>
  <c r="AQ807" i="15"/>
  <c r="T808" i="15"/>
  <c r="U808" i="15"/>
  <c r="W808" i="15"/>
  <c r="AA808" i="15"/>
  <c r="AC808" i="15"/>
  <c r="AG808" i="15"/>
  <c r="AH808" i="15"/>
  <c r="AI808" i="15"/>
  <c r="AJ808" i="15"/>
  <c r="AK808" i="15"/>
  <c r="AL808" i="15"/>
  <c r="AM808" i="15"/>
  <c r="AQ808" i="15"/>
  <c r="T809" i="15"/>
  <c r="U809" i="15"/>
  <c r="W809" i="15"/>
  <c r="AA809" i="15"/>
  <c r="AC809" i="15"/>
  <c r="AG809" i="15"/>
  <c r="AH809" i="15"/>
  <c r="AI809" i="15"/>
  <c r="AJ809" i="15"/>
  <c r="AK809" i="15"/>
  <c r="AL809" i="15"/>
  <c r="AM809" i="15"/>
  <c r="AQ809" i="15"/>
  <c r="S810" i="15"/>
  <c r="T810" i="15"/>
  <c r="U810" i="15"/>
  <c r="W810" i="15"/>
  <c r="Y810" i="15"/>
  <c r="Z810" i="15"/>
  <c r="AA810" i="15"/>
  <c r="AC810" i="15"/>
  <c r="AG810" i="15"/>
  <c r="AH810" i="15"/>
  <c r="AI810" i="15"/>
  <c r="AJ810" i="15"/>
  <c r="AK810" i="15"/>
  <c r="AL810" i="15"/>
  <c r="AM810" i="15"/>
  <c r="AQ810" i="15"/>
  <c r="S811" i="15"/>
  <c r="T811" i="15"/>
  <c r="U811" i="15"/>
  <c r="W811" i="15"/>
  <c r="Y811" i="15"/>
  <c r="Z811" i="15"/>
  <c r="AA811" i="15"/>
  <c r="AC811" i="15"/>
  <c r="AG811" i="15"/>
  <c r="AH811" i="15"/>
  <c r="AI811" i="15"/>
  <c r="AJ811" i="15"/>
  <c r="AK811" i="15"/>
  <c r="AL811" i="15"/>
  <c r="AM811" i="15"/>
  <c r="AQ811" i="15"/>
  <c r="S812" i="15"/>
  <c r="T812" i="15"/>
  <c r="U812" i="15"/>
  <c r="W812" i="15"/>
  <c r="Y812" i="15"/>
  <c r="Z812" i="15"/>
  <c r="AA812" i="15"/>
  <c r="AC812" i="15"/>
  <c r="AG812" i="15"/>
  <c r="AH812" i="15"/>
  <c r="AI812" i="15"/>
  <c r="AJ812" i="15"/>
  <c r="AK812" i="15"/>
  <c r="AL812" i="15"/>
  <c r="AM812" i="15"/>
  <c r="AQ812" i="15"/>
  <c r="S813" i="15"/>
  <c r="T813" i="15"/>
  <c r="U813" i="15"/>
  <c r="W813" i="15"/>
  <c r="Y813" i="15"/>
  <c r="Z813" i="15"/>
  <c r="AA813" i="15"/>
  <c r="AC813" i="15"/>
  <c r="AG813" i="15"/>
  <c r="AH813" i="15"/>
  <c r="AI813" i="15"/>
  <c r="AJ813" i="15"/>
  <c r="AK813" i="15"/>
  <c r="AL813" i="15"/>
  <c r="AM813" i="15"/>
  <c r="AQ813" i="15"/>
  <c r="S814" i="15"/>
  <c r="T814" i="15"/>
  <c r="U814" i="15"/>
  <c r="W814" i="15"/>
  <c r="Y814" i="15"/>
  <c r="Z814" i="15"/>
  <c r="AA814" i="15"/>
  <c r="AC814" i="15"/>
  <c r="AG814" i="15"/>
  <c r="AH814" i="15"/>
  <c r="AI814" i="15"/>
  <c r="AJ814" i="15"/>
  <c r="AK814" i="15"/>
  <c r="AL814" i="15"/>
  <c r="AM814" i="15"/>
  <c r="AQ814" i="15"/>
  <c r="S815" i="15"/>
  <c r="T815" i="15"/>
  <c r="U815" i="15"/>
  <c r="W815" i="15"/>
  <c r="Y815" i="15"/>
  <c r="Z815" i="15"/>
  <c r="AA815" i="15"/>
  <c r="AC815" i="15"/>
  <c r="AG815" i="15"/>
  <c r="AH815" i="15"/>
  <c r="AI815" i="15"/>
  <c r="AJ815" i="15"/>
  <c r="AK815" i="15"/>
  <c r="AL815" i="15"/>
  <c r="AM815" i="15"/>
  <c r="AQ815" i="15"/>
  <c r="S816" i="15"/>
  <c r="T816" i="15"/>
  <c r="U816" i="15"/>
  <c r="W816" i="15"/>
  <c r="Y816" i="15"/>
  <c r="Z816" i="15"/>
  <c r="AA816" i="15"/>
  <c r="AC816" i="15"/>
  <c r="AG816" i="15"/>
  <c r="AH816" i="15"/>
  <c r="AI816" i="15"/>
  <c r="AJ816" i="15"/>
  <c r="AK816" i="15"/>
  <c r="AL816" i="15"/>
  <c r="AM816" i="15"/>
  <c r="AQ816" i="15"/>
  <c r="S817" i="15"/>
  <c r="T817" i="15"/>
  <c r="U817" i="15"/>
  <c r="W817" i="15"/>
  <c r="Y817" i="15"/>
  <c r="Z817" i="15"/>
  <c r="AA817" i="15"/>
  <c r="AC817" i="15"/>
  <c r="AG817" i="15"/>
  <c r="AH817" i="15"/>
  <c r="AI817" i="15"/>
  <c r="AJ817" i="15"/>
  <c r="AK817" i="15"/>
  <c r="AL817" i="15"/>
  <c r="AM817" i="15"/>
  <c r="AQ817" i="15"/>
  <c r="S818" i="15"/>
  <c r="T818" i="15"/>
  <c r="U818" i="15"/>
  <c r="W818" i="15"/>
  <c r="Y818" i="15"/>
  <c r="Z818" i="15"/>
  <c r="AA818" i="15"/>
  <c r="AC818" i="15"/>
  <c r="AG818" i="15"/>
  <c r="AH818" i="15"/>
  <c r="AI818" i="15"/>
  <c r="AJ818" i="15"/>
  <c r="AK818" i="15"/>
  <c r="AL818" i="15"/>
  <c r="AM818" i="15"/>
  <c r="AQ818" i="15"/>
  <c r="S819" i="15"/>
  <c r="U819" i="15"/>
  <c r="Y819" i="15"/>
  <c r="AA819" i="15"/>
  <c r="AC819" i="15"/>
  <c r="AG819" i="15"/>
  <c r="AH819" i="15"/>
  <c r="AI819" i="15"/>
  <c r="AJ819" i="15"/>
  <c r="AL819" i="15"/>
  <c r="AM819" i="15"/>
  <c r="AQ819" i="15"/>
  <c r="S820" i="15"/>
  <c r="T820" i="15"/>
  <c r="U820" i="15"/>
  <c r="W820" i="15"/>
  <c r="Y820" i="15"/>
  <c r="Z820" i="15"/>
  <c r="AA820" i="15"/>
  <c r="AC820" i="15"/>
  <c r="AG820" i="15"/>
  <c r="AH820" i="15"/>
  <c r="AI820" i="15"/>
  <c r="AJ820" i="15"/>
  <c r="AK820" i="15"/>
  <c r="AL820" i="15"/>
  <c r="AM820" i="15"/>
  <c r="AQ820" i="15"/>
  <c r="S821" i="15"/>
  <c r="T821" i="15"/>
  <c r="U821" i="15"/>
  <c r="W821" i="15"/>
  <c r="Y821" i="15"/>
  <c r="Z821" i="15"/>
  <c r="AA821" i="15"/>
  <c r="AC821" i="15"/>
  <c r="AG821" i="15"/>
  <c r="AH821" i="15"/>
  <c r="AI821" i="15"/>
  <c r="AJ821" i="15"/>
  <c r="AK821" i="15"/>
  <c r="AL821" i="15"/>
  <c r="AM821" i="15"/>
  <c r="AQ821" i="15"/>
  <c r="S822" i="15"/>
  <c r="T822" i="15"/>
  <c r="U822" i="15"/>
  <c r="W822" i="15"/>
  <c r="Y822" i="15"/>
  <c r="Z822" i="15"/>
  <c r="AA822" i="15"/>
  <c r="AC822" i="15"/>
  <c r="AG822" i="15"/>
  <c r="AH822" i="15"/>
  <c r="AI822" i="15"/>
  <c r="AJ822" i="15"/>
  <c r="AK822" i="15"/>
  <c r="AL822" i="15"/>
  <c r="AM822" i="15"/>
  <c r="AQ822" i="15"/>
  <c r="S823" i="15"/>
  <c r="T823" i="15"/>
  <c r="U823" i="15"/>
  <c r="W823" i="15"/>
  <c r="Y823" i="15"/>
  <c r="Z823" i="15"/>
  <c r="AA823" i="15"/>
  <c r="AC823" i="15"/>
  <c r="AG823" i="15"/>
  <c r="AH823" i="15"/>
  <c r="AI823" i="15"/>
  <c r="AJ823" i="15"/>
  <c r="AK823" i="15"/>
  <c r="AL823" i="15"/>
  <c r="AM823" i="15"/>
  <c r="AQ823" i="15"/>
  <c r="S824" i="15"/>
  <c r="T824" i="15"/>
  <c r="U824" i="15"/>
  <c r="W824" i="15"/>
  <c r="Y824" i="15"/>
  <c r="Z824" i="15"/>
  <c r="AA824" i="15"/>
  <c r="AC824" i="15"/>
  <c r="AG824" i="15"/>
  <c r="AH824" i="15"/>
  <c r="AI824" i="15"/>
  <c r="AJ824" i="15"/>
  <c r="AK824" i="15"/>
  <c r="AL824" i="15"/>
  <c r="AM824" i="15"/>
  <c r="AQ824" i="15"/>
  <c r="S825" i="15"/>
  <c r="T825" i="15"/>
  <c r="U825" i="15"/>
  <c r="W825" i="15"/>
  <c r="Y825" i="15"/>
  <c r="Z825" i="15"/>
  <c r="AA825" i="15"/>
  <c r="AC825" i="15"/>
  <c r="AG825" i="15"/>
  <c r="AH825" i="15"/>
  <c r="AI825" i="15"/>
  <c r="AJ825" i="15"/>
  <c r="AK825" i="15"/>
  <c r="AL825" i="15"/>
  <c r="AQ825" i="15"/>
  <c r="S826" i="15"/>
  <c r="T826" i="15"/>
  <c r="U826" i="15"/>
  <c r="W826" i="15"/>
  <c r="Y826" i="15"/>
  <c r="Z826" i="15"/>
  <c r="AA826" i="15"/>
  <c r="AC826" i="15"/>
  <c r="AG826" i="15"/>
  <c r="AH826" i="15"/>
  <c r="AI826" i="15"/>
  <c r="AJ826" i="15"/>
  <c r="AK826" i="15"/>
  <c r="AL826" i="15"/>
  <c r="AM826" i="15"/>
  <c r="AQ826" i="15"/>
  <c r="S827" i="15"/>
  <c r="T827" i="15"/>
  <c r="U827" i="15"/>
  <c r="W827" i="15"/>
  <c r="Y827" i="15"/>
  <c r="Z827" i="15"/>
  <c r="AA827" i="15"/>
  <c r="AC827" i="15"/>
  <c r="AG827" i="15"/>
  <c r="AH827" i="15"/>
  <c r="AI827" i="15"/>
  <c r="AJ827" i="15"/>
  <c r="AK827" i="15"/>
  <c r="AL827" i="15"/>
  <c r="AM827" i="15"/>
  <c r="AQ827" i="15"/>
  <c r="S828" i="15"/>
  <c r="T828" i="15"/>
  <c r="U828" i="15"/>
  <c r="W828" i="15"/>
  <c r="Y828" i="15"/>
  <c r="Z828" i="15"/>
  <c r="AA828" i="15"/>
  <c r="AC828" i="15"/>
  <c r="AG828" i="15"/>
  <c r="AH828" i="15"/>
  <c r="AI828" i="15"/>
  <c r="AJ828" i="15"/>
  <c r="AK828" i="15"/>
  <c r="AL828" i="15"/>
  <c r="AM828" i="15"/>
  <c r="AQ828" i="15"/>
  <c r="S829" i="15"/>
  <c r="T829" i="15"/>
  <c r="U829" i="15"/>
  <c r="W829" i="15"/>
  <c r="Y829" i="15"/>
  <c r="Z829" i="15"/>
  <c r="AA829" i="15"/>
  <c r="AC829" i="15"/>
  <c r="AG829" i="15"/>
  <c r="AH829" i="15"/>
  <c r="AI829" i="15"/>
  <c r="AJ829" i="15"/>
  <c r="AK829" i="15"/>
  <c r="AL829" i="15"/>
  <c r="AM829" i="15"/>
  <c r="AQ829" i="15"/>
  <c r="S830" i="15"/>
  <c r="T830" i="15"/>
  <c r="U830" i="15"/>
  <c r="W830" i="15"/>
  <c r="Y830" i="15"/>
  <c r="Z830" i="15"/>
  <c r="AA830" i="15"/>
  <c r="AC830" i="15"/>
  <c r="AG830" i="15"/>
  <c r="AH830" i="15"/>
  <c r="AI830" i="15"/>
  <c r="AJ830" i="15"/>
  <c r="AK830" i="15"/>
  <c r="AL830" i="15"/>
  <c r="AM830" i="15"/>
  <c r="AQ830" i="15"/>
  <c r="S831" i="15"/>
  <c r="T831" i="15"/>
  <c r="U831" i="15"/>
  <c r="W831" i="15"/>
  <c r="Y831" i="15"/>
  <c r="Z831" i="15"/>
  <c r="AA831" i="15"/>
  <c r="AC831" i="15"/>
  <c r="AG831" i="15"/>
  <c r="AH831" i="15"/>
  <c r="AI831" i="15"/>
  <c r="AJ831" i="15"/>
  <c r="AK831" i="15"/>
  <c r="AL831" i="15"/>
  <c r="AM831" i="15"/>
  <c r="AQ831" i="15"/>
  <c r="S832" i="15"/>
  <c r="T832" i="15"/>
  <c r="U832" i="15"/>
  <c r="W832" i="15"/>
  <c r="Y832" i="15"/>
  <c r="Z832" i="15"/>
  <c r="AA832" i="15"/>
  <c r="AC832" i="15"/>
  <c r="AG832" i="15"/>
  <c r="AH832" i="15"/>
  <c r="AI832" i="15"/>
  <c r="AJ832" i="15"/>
  <c r="AK832" i="15"/>
  <c r="AL832" i="15"/>
  <c r="AM832" i="15"/>
  <c r="AQ832" i="15"/>
  <c r="S833" i="15"/>
  <c r="T833" i="15"/>
  <c r="U833" i="15"/>
  <c r="W833" i="15"/>
  <c r="Y833" i="15"/>
  <c r="Z833" i="15"/>
  <c r="AA833" i="15"/>
  <c r="AC833" i="15"/>
  <c r="AG833" i="15"/>
  <c r="AH833" i="15"/>
  <c r="AI833" i="15"/>
  <c r="AJ833" i="15"/>
  <c r="AK833" i="15"/>
  <c r="AL833" i="15"/>
  <c r="AM833" i="15"/>
  <c r="AQ833" i="15"/>
  <c r="S834" i="15"/>
  <c r="T834" i="15"/>
  <c r="U834" i="15"/>
  <c r="W834" i="15"/>
  <c r="Y834" i="15"/>
  <c r="Z834" i="15"/>
  <c r="AA834" i="15"/>
  <c r="AC834" i="15"/>
  <c r="AG834" i="15"/>
  <c r="AH834" i="15"/>
  <c r="AI834" i="15"/>
  <c r="AJ834" i="15"/>
  <c r="AK834" i="15"/>
  <c r="AL834" i="15"/>
  <c r="AM834" i="15"/>
  <c r="AQ834" i="15"/>
  <c r="S835" i="15"/>
  <c r="T835" i="15"/>
  <c r="U835" i="15"/>
  <c r="W835" i="15"/>
  <c r="Y835" i="15"/>
  <c r="Z835" i="15"/>
  <c r="AA835" i="15"/>
  <c r="AC835" i="15"/>
  <c r="AG835" i="15"/>
  <c r="AH835" i="15"/>
  <c r="AI835" i="15"/>
  <c r="AJ835" i="15"/>
  <c r="AK835" i="15"/>
  <c r="AL835" i="15"/>
  <c r="AM835" i="15"/>
  <c r="AQ835" i="15"/>
  <c r="S836" i="15"/>
  <c r="T836" i="15"/>
  <c r="U836" i="15"/>
  <c r="W836" i="15"/>
  <c r="Y836" i="15"/>
  <c r="Z836" i="15"/>
  <c r="AA836" i="15"/>
  <c r="AC836" i="15"/>
  <c r="AG836" i="15"/>
  <c r="AH836" i="15"/>
  <c r="AI836" i="15"/>
  <c r="AJ836" i="15"/>
  <c r="AK836" i="15"/>
  <c r="AL836" i="15"/>
  <c r="AM836" i="15"/>
  <c r="AQ836" i="15"/>
  <c r="S837" i="15"/>
  <c r="T837" i="15"/>
  <c r="U837" i="15"/>
  <c r="W837" i="15"/>
  <c r="Y837" i="15"/>
  <c r="Z837" i="15"/>
  <c r="AA837" i="15"/>
  <c r="AC837" i="15"/>
  <c r="AG837" i="15"/>
  <c r="AH837" i="15"/>
  <c r="AI837" i="15"/>
  <c r="AJ837" i="15"/>
  <c r="AK837" i="15"/>
  <c r="AL837" i="15"/>
  <c r="AM837" i="15"/>
  <c r="AQ837" i="15"/>
  <c r="S838" i="15"/>
  <c r="T838" i="15"/>
  <c r="U838" i="15"/>
  <c r="W838" i="15"/>
  <c r="Y838" i="15"/>
  <c r="Z838" i="15"/>
  <c r="AA838" i="15"/>
  <c r="AC838" i="15"/>
  <c r="AG838" i="15"/>
  <c r="AH838" i="15"/>
  <c r="AI838" i="15"/>
  <c r="AJ838" i="15"/>
  <c r="AK838" i="15"/>
  <c r="AL838" i="15"/>
  <c r="AM838" i="15"/>
  <c r="AQ838" i="15"/>
  <c r="S800" i="15"/>
  <c r="T800" i="15"/>
  <c r="U800" i="15"/>
  <c r="W800" i="15"/>
  <c r="Y800" i="15"/>
  <c r="Z800" i="15"/>
  <c r="AA800" i="15"/>
  <c r="AC800" i="15"/>
  <c r="AG800" i="15"/>
  <c r="AH800" i="15"/>
  <c r="AI800" i="15"/>
  <c r="AJ800" i="15"/>
  <c r="AK800" i="15"/>
  <c r="AL800" i="15"/>
  <c r="AM800" i="15"/>
  <c r="AQ800" i="15"/>
  <c r="S801" i="15"/>
  <c r="T801" i="15"/>
  <c r="U801" i="15"/>
  <c r="W801" i="15"/>
  <c r="Y801" i="15"/>
  <c r="Z801" i="15"/>
  <c r="AA801" i="15"/>
  <c r="AC801" i="15"/>
  <c r="AG801" i="15"/>
  <c r="AH801" i="15"/>
  <c r="AI801" i="15"/>
  <c r="AJ801" i="15"/>
  <c r="AK801" i="15"/>
  <c r="AL801" i="15"/>
  <c r="AM801" i="15"/>
  <c r="AQ801" i="15"/>
  <c r="S772" i="15"/>
  <c r="T772" i="15"/>
  <c r="U772" i="15"/>
  <c r="W772" i="15"/>
  <c r="Y772" i="15"/>
  <c r="Z772" i="15"/>
  <c r="AA772" i="15"/>
  <c r="AC772" i="15"/>
  <c r="AG772" i="15"/>
  <c r="AH772" i="15"/>
  <c r="AI772" i="15"/>
  <c r="AJ772" i="15"/>
  <c r="AK772" i="15"/>
  <c r="AL772" i="15"/>
  <c r="AM772" i="15"/>
  <c r="AQ772" i="15"/>
  <c r="S773" i="15"/>
  <c r="T773" i="15"/>
  <c r="U773" i="15"/>
  <c r="W773" i="15"/>
  <c r="Y773" i="15"/>
  <c r="Z773" i="15"/>
  <c r="AA773" i="15"/>
  <c r="AC773" i="15"/>
  <c r="AG773" i="15"/>
  <c r="AH773" i="15"/>
  <c r="AI773" i="15"/>
  <c r="AJ773" i="15"/>
  <c r="AK773" i="15"/>
  <c r="AL773" i="15"/>
  <c r="AM773" i="15"/>
  <c r="AQ773" i="15"/>
  <c r="S774" i="15"/>
  <c r="T774" i="15"/>
  <c r="U774" i="15"/>
  <c r="W774" i="15"/>
  <c r="Y774" i="15"/>
  <c r="Z774" i="15"/>
  <c r="AA774" i="15"/>
  <c r="AC774" i="15"/>
  <c r="AG774" i="15"/>
  <c r="AH774" i="15"/>
  <c r="AI774" i="15"/>
  <c r="AJ774" i="15"/>
  <c r="AK774" i="15"/>
  <c r="AL774" i="15"/>
  <c r="AM774" i="15"/>
  <c r="AQ774" i="15"/>
  <c r="S775" i="15"/>
  <c r="T775" i="15"/>
  <c r="U775" i="15"/>
  <c r="W775" i="15"/>
  <c r="Y775" i="15"/>
  <c r="Z775" i="15"/>
  <c r="AA775" i="15"/>
  <c r="AC775" i="15"/>
  <c r="AG775" i="15"/>
  <c r="AH775" i="15"/>
  <c r="AI775" i="15"/>
  <c r="AJ775" i="15"/>
  <c r="AK775" i="15"/>
  <c r="AL775" i="15"/>
  <c r="AM775" i="15"/>
  <c r="AQ775" i="15"/>
  <c r="S776" i="15"/>
  <c r="T776" i="15"/>
  <c r="U776" i="15"/>
  <c r="W776" i="15"/>
  <c r="Y776" i="15"/>
  <c r="Z776" i="15"/>
  <c r="AA776" i="15"/>
  <c r="AC776" i="15"/>
  <c r="AG776" i="15"/>
  <c r="AH776" i="15"/>
  <c r="AI776" i="15"/>
  <c r="AJ776" i="15"/>
  <c r="AK776" i="15"/>
  <c r="AL776" i="15"/>
  <c r="AM776" i="15"/>
  <c r="AQ776" i="15"/>
  <c r="S777" i="15"/>
  <c r="T777" i="15"/>
  <c r="U777" i="15"/>
  <c r="W777" i="15"/>
  <c r="Y777" i="15"/>
  <c r="Z777" i="15"/>
  <c r="AA777" i="15"/>
  <c r="AC777" i="15"/>
  <c r="AG777" i="15"/>
  <c r="AH777" i="15"/>
  <c r="AI777" i="15"/>
  <c r="AJ777" i="15"/>
  <c r="AK777" i="15"/>
  <c r="AL777" i="15"/>
  <c r="AM777" i="15"/>
  <c r="AQ777" i="15"/>
  <c r="S778" i="15"/>
  <c r="T778" i="15"/>
  <c r="U778" i="15"/>
  <c r="W778" i="15"/>
  <c r="Y778" i="15"/>
  <c r="Z778" i="15"/>
  <c r="AA778" i="15"/>
  <c r="AC778" i="15"/>
  <c r="AG778" i="15"/>
  <c r="AH778" i="15"/>
  <c r="AI778" i="15"/>
  <c r="AJ778" i="15"/>
  <c r="AK778" i="15"/>
  <c r="AL778" i="15"/>
  <c r="AM778" i="15"/>
  <c r="AQ778" i="15"/>
  <c r="S779" i="15"/>
  <c r="T779" i="15"/>
  <c r="U779" i="15"/>
  <c r="W779" i="15"/>
  <c r="Y779" i="15"/>
  <c r="Z779" i="15"/>
  <c r="AA779" i="15"/>
  <c r="AC779" i="15"/>
  <c r="AG779" i="15"/>
  <c r="AH779" i="15"/>
  <c r="AI779" i="15"/>
  <c r="AJ779" i="15"/>
  <c r="AK779" i="15"/>
  <c r="AL779" i="15"/>
  <c r="AM779" i="15"/>
  <c r="AQ779" i="15"/>
  <c r="S780" i="15"/>
  <c r="T780" i="15"/>
  <c r="U780" i="15"/>
  <c r="W780" i="15"/>
  <c r="Y780" i="15"/>
  <c r="Z780" i="15"/>
  <c r="AA780" i="15"/>
  <c r="AC780" i="15"/>
  <c r="AG780" i="15"/>
  <c r="AH780" i="15"/>
  <c r="AI780" i="15"/>
  <c r="AJ780" i="15"/>
  <c r="AK780" i="15"/>
  <c r="AL780" i="15"/>
  <c r="AM780" i="15"/>
  <c r="AQ780" i="15"/>
  <c r="S781" i="15"/>
  <c r="T781" i="15"/>
  <c r="U781" i="15"/>
  <c r="W781" i="15"/>
  <c r="Y781" i="15"/>
  <c r="Z781" i="15"/>
  <c r="AA781" i="15"/>
  <c r="AC781" i="15"/>
  <c r="AG781" i="15"/>
  <c r="AH781" i="15"/>
  <c r="AI781" i="15"/>
  <c r="AJ781" i="15"/>
  <c r="AK781" i="15"/>
  <c r="AL781" i="15"/>
  <c r="AM781" i="15"/>
  <c r="AQ781" i="15"/>
  <c r="S782" i="15"/>
  <c r="T782" i="15"/>
  <c r="U782" i="15"/>
  <c r="W782" i="15"/>
  <c r="Y782" i="15"/>
  <c r="Z782" i="15"/>
  <c r="AA782" i="15"/>
  <c r="AC782" i="15"/>
  <c r="AG782" i="15"/>
  <c r="AH782" i="15"/>
  <c r="AI782" i="15"/>
  <c r="AJ782" i="15"/>
  <c r="AK782" i="15"/>
  <c r="AL782" i="15"/>
  <c r="AM782" i="15"/>
  <c r="AQ782" i="15"/>
  <c r="S783" i="15"/>
  <c r="T783" i="15"/>
  <c r="U783" i="15"/>
  <c r="W783" i="15"/>
  <c r="Y783" i="15"/>
  <c r="Z783" i="15"/>
  <c r="AA783" i="15"/>
  <c r="AC783" i="15"/>
  <c r="AG783" i="15"/>
  <c r="AH783" i="15"/>
  <c r="AI783" i="15"/>
  <c r="AJ783" i="15"/>
  <c r="AK783" i="15"/>
  <c r="AL783" i="15"/>
  <c r="AM783" i="15"/>
  <c r="AQ783" i="15"/>
  <c r="S784" i="15"/>
  <c r="T784" i="15"/>
  <c r="U784" i="15"/>
  <c r="W784" i="15"/>
  <c r="Y784" i="15"/>
  <c r="Z784" i="15"/>
  <c r="AA784" i="15"/>
  <c r="AC784" i="15"/>
  <c r="AG784" i="15"/>
  <c r="AH784" i="15"/>
  <c r="AI784" i="15"/>
  <c r="AJ784" i="15"/>
  <c r="AK784" i="15"/>
  <c r="AL784" i="15"/>
  <c r="AM784" i="15"/>
  <c r="AQ784" i="15"/>
  <c r="S785" i="15"/>
  <c r="T785" i="15"/>
  <c r="U785" i="15"/>
  <c r="W785" i="15"/>
  <c r="Y785" i="15"/>
  <c r="Z785" i="15"/>
  <c r="AA785" i="15"/>
  <c r="AC785" i="15"/>
  <c r="AG785" i="15"/>
  <c r="AH785" i="15"/>
  <c r="AI785" i="15"/>
  <c r="AJ785" i="15"/>
  <c r="AK785" i="15"/>
  <c r="AL785" i="15"/>
  <c r="AM785" i="15"/>
  <c r="AQ785" i="15"/>
  <c r="S786" i="15"/>
  <c r="T786" i="15"/>
  <c r="U786" i="15"/>
  <c r="W786" i="15"/>
  <c r="Y786" i="15"/>
  <c r="Z786" i="15"/>
  <c r="AA786" i="15"/>
  <c r="AC786" i="15"/>
  <c r="AG786" i="15"/>
  <c r="AH786" i="15"/>
  <c r="AI786" i="15"/>
  <c r="AJ786" i="15"/>
  <c r="AK786" i="15"/>
  <c r="AL786" i="15"/>
  <c r="AM786" i="15"/>
  <c r="AQ786" i="15"/>
  <c r="S787" i="15"/>
  <c r="T787" i="15"/>
  <c r="U787" i="15"/>
  <c r="W787" i="15"/>
  <c r="Y787" i="15"/>
  <c r="Z787" i="15"/>
  <c r="AA787" i="15"/>
  <c r="AC787" i="15"/>
  <c r="AG787" i="15"/>
  <c r="AH787" i="15"/>
  <c r="AI787" i="15"/>
  <c r="AJ787" i="15"/>
  <c r="AK787" i="15"/>
  <c r="AL787" i="15"/>
  <c r="AM787" i="15"/>
  <c r="AQ787" i="15"/>
  <c r="S788" i="15"/>
  <c r="T788" i="15"/>
  <c r="U788" i="15"/>
  <c r="W788" i="15"/>
  <c r="Y788" i="15"/>
  <c r="Z788" i="15"/>
  <c r="AA788" i="15"/>
  <c r="AC788" i="15"/>
  <c r="AG788" i="15"/>
  <c r="AH788" i="15"/>
  <c r="AI788" i="15"/>
  <c r="AJ788" i="15"/>
  <c r="AK788" i="15"/>
  <c r="AL788" i="15"/>
  <c r="AM788" i="15"/>
  <c r="AQ788" i="15"/>
  <c r="S789" i="15"/>
  <c r="T789" i="15"/>
  <c r="U789" i="15"/>
  <c r="W789" i="15"/>
  <c r="Y789" i="15"/>
  <c r="Z789" i="15"/>
  <c r="AA789" i="15"/>
  <c r="AC789" i="15"/>
  <c r="AG789" i="15"/>
  <c r="AH789" i="15"/>
  <c r="AI789" i="15"/>
  <c r="AJ789" i="15"/>
  <c r="AK789" i="15"/>
  <c r="AL789" i="15"/>
  <c r="AM789" i="15"/>
  <c r="AQ789" i="15"/>
  <c r="S790" i="15"/>
  <c r="T790" i="15"/>
  <c r="U790" i="15"/>
  <c r="W790" i="15"/>
  <c r="Y790" i="15"/>
  <c r="Z790" i="15"/>
  <c r="AA790" i="15"/>
  <c r="AC790" i="15"/>
  <c r="AG790" i="15"/>
  <c r="AH790" i="15"/>
  <c r="AI790" i="15"/>
  <c r="AJ790" i="15"/>
  <c r="AK790" i="15"/>
  <c r="AL790" i="15"/>
  <c r="AM790" i="15"/>
  <c r="AQ790" i="15"/>
  <c r="S791" i="15"/>
  <c r="T791" i="15"/>
  <c r="U791" i="15"/>
  <c r="W791" i="15"/>
  <c r="Y791" i="15"/>
  <c r="Z791" i="15"/>
  <c r="AA791" i="15"/>
  <c r="AC791" i="15"/>
  <c r="AG791" i="15"/>
  <c r="AH791" i="15"/>
  <c r="AI791" i="15"/>
  <c r="AJ791" i="15"/>
  <c r="AK791" i="15"/>
  <c r="AL791" i="15"/>
  <c r="AM791" i="15"/>
  <c r="AQ791" i="15"/>
  <c r="S792" i="15"/>
  <c r="T792" i="15"/>
  <c r="U792" i="15"/>
  <c r="W792" i="15"/>
  <c r="Y792" i="15"/>
  <c r="Z792" i="15"/>
  <c r="AA792" i="15"/>
  <c r="AC792" i="15"/>
  <c r="AG792" i="15"/>
  <c r="AH792" i="15"/>
  <c r="AI792" i="15"/>
  <c r="AJ792" i="15"/>
  <c r="AK792" i="15"/>
  <c r="AL792" i="15"/>
  <c r="AM792" i="15"/>
  <c r="AQ792" i="15"/>
  <c r="S793" i="15"/>
  <c r="T793" i="15"/>
  <c r="U793" i="15"/>
  <c r="W793" i="15"/>
  <c r="Y793" i="15"/>
  <c r="Z793" i="15"/>
  <c r="AA793" i="15"/>
  <c r="AC793" i="15"/>
  <c r="AG793" i="15"/>
  <c r="AH793" i="15"/>
  <c r="AI793" i="15"/>
  <c r="AJ793" i="15"/>
  <c r="AK793" i="15"/>
  <c r="AL793" i="15"/>
  <c r="AM793" i="15"/>
  <c r="AQ793" i="15"/>
  <c r="S794" i="15"/>
  <c r="T794" i="15"/>
  <c r="U794" i="15"/>
  <c r="W794" i="15"/>
  <c r="Y794" i="15"/>
  <c r="Z794" i="15"/>
  <c r="AA794" i="15"/>
  <c r="AC794" i="15"/>
  <c r="AG794" i="15"/>
  <c r="AH794" i="15"/>
  <c r="AI794" i="15"/>
  <c r="AJ794" i="15"/>
  <c r="AK794" i="15"/>
  <c r="AL794" i="15"/>
  <c r="AM794" i="15"/>
  <c r="AQ794" i="15"/>
  <c r="S795" i="15"/>
  <c r="T795" i="15"/>
  <c r="U795" i="15"/>
  <c r="W795" i="15"/>
  <c r="Y795" i="15"/>
  <c r="Z795" i="15"/>
  <c r="AA795" i="15"/>
  <c r="AC795" i="15"/>
  <c r="AG795" i="15"/>
  <c r="AH795" i="15"/>
  <c r="AI795" i="15"/>
  <c r="AJ795" i="15"/>
  <c r="AK795" i="15"/>
  <c r="AL795" i="15"/>
  <c r="AM795" i="15"/>
  <c r="AQ795" i="15"/>
  <c r="S796" i="15"/>
  <c r="T796" i="15"/>
  <c r="U796" i="15"/>
  <c r="W796" i="15"/>
  <c r="Y796" i="15"/>
  <c r="Z796" i="15"/>
  <c r="AA796" i="15"/>
  <c r="AC796" i="15"/>
  <c r="AG796" i="15"/>
  <c r="AH796" i="15"/>
  <c r="AI796" i="15"/>
  <c r="AJ796" i="15"/>
  <c r="AK796" i="15"/>
  <c r="AL796" i="15"/>
  <c r="AM796" i="15"/>
  <c r="AQ796" i="15"/>
  <c r="S797" i="15"/>
  <c r="T797" i="15"/>
  <c r="U797" i="15"/>
  <c r="W797" i="15"/>
  <c r="AA797" i="15"/>
  <c r="AC797" i="15"/>
  <c r="AG797" i="15"/>
  <c r="AH797" i="15"/>
  <c r="AI797" i="15"/>
  <c r="AJ797" i="15"/>
  <c r="AK797" i="15"/>
  <c r="AL797" i="15"/>
  <c r="AM797" i="15"/>
  <c r="AQ797" i="15"/>
  <c r="S798" i="15"/>
  <c r="T798" i="15"/>
  <c r="U798" i="15"/>
  <c r="W798" i="15"/>
  <c r="Y798" i="15"/>
  <c r="Z798" i="15"/>
  <c r="AA798" i="15"/>
  <c r="AC798" i="15"/>
  <c r="AG798" i="15"/>
  <c r="AH798" i="15"/>
  <c r="AI798" i="15"/>
  <c r="AJ798" i="15"/>
  <c r="AK798" i="15"/>
  <c r="AL798" i="15"/>
  <c r="AM798" i="15"/>
  <c r="AQ798" i="15"/>
  <c r="U799" i="15"/>
  <c r="W799" i="15"/>
  <c r="AA799" i="15"/>
  <c r="AC799" i="15"/>
  <c r="AG799" i="15"/>
  <c r="AH799" i="15"/>
  <c r="AI799" i="15"/>
  <c r="AJ799" i="15"/>
  <c r="AK799" i="15"/>
  <c r="AL799" i="15"/>
  <c r="AM799" i="15"/>
  <c r="AQ799" i="15"/>
  <c r="S716" i="15"/>
  <c r="T716" i="15"/>
  <c r="U716" i="15"/>
  <c r="W716" i="15"/>
  <c r="Y716" i="15"/>
  <c r="Z716" i="15"/>
  <c r="AA716" i="15"/>
  <c r="AC716" i="15"/>
  <c r="AG716" i="15"/>
  <c r="AH716" i="15"/>
  <c r="AI716" i="15"/>
  <c r="AJ716" i="15"/>
  <c r="AK716" i="15"/>
  <c r="AL716" i="15"/>
  <c r="AM716" i="15"/>
  <c r="AQ716" i="15"/>
  <c r="S717" i="15"/>
  <c r="T717" i="15"/>
  <c r="U717" i="15"/>
  <c r="W717" i="15"/>
  <c r="Y717" i="15"/>
  <c r="Z717" i="15"/>
  <c r="AA717" i="15"/>
  <c r="AC717" i="15"/>
  <c r="AG717" i="15"/>
  <c r="AH717" i="15"/>
  <c r="AI717" i="15"/>
  <c r="AJ717" i="15"/>
  <c r="AK717" i="15"/>
  <c r="AL717" i="15"/>
  <c r="AM717" i="15"/>
  <c r="AQ717" i="15"/>
  <c r="S718" i="15"/>
  <c r="T718" i="15"/>
  <c r="U718" i="15"/>
  <c r="W718" i="15"/>
  <c r="Y718" i="15"/>
  <c r="Z718" i="15"/>
  <c r="AA718" i="15"/>
  <c r="AC718" i="15"/>
  <c r="AG718" i="15"/>
  <c r="AH718" i="15"/>
  <c r="AI718" i="15"/>
  <c r="AJ718" i="15"/>
  <c r="AK718" i="15"/>
  <c r="AL718" i="15"/>
  <c r="AM718" i="15"/>
  <c r="AQ718" i="15"/>
  <c r="S719" i="15"/>
  <c r="T719" i="15"/>
  <c r="U719" i="15"/>
  <c r="W719" i="15"/>
  <c r="Y719" i="15"/>
  <c r="Z719" i="15"/>
  <c r="AA719" i="15"/>
  <c r="AC719" i="15"/>
  <c r="AG719" i="15"/>
  <c r="AH719" i="15"/>
  <c r="AI719" i="15"/>
  <c r="AJ719" i="15"/>
  <c r="AK719" i="15"/>
  <c r="AL719" i="15"/>
  <c r="AM719" i="15"/>
  <c r="AQ719" i="15"/>
  <c r="S720" i="15"/>
  <c r="T720" i="15"/>
  <c r="U720" i="15"/>
  <c r="W720" i="15"/>
  <c r="Y720" i="15"/>
  <c r="Z720" i="15"/>
  <c r="AA720" i="15"/>
  <c r="AC720" i="15"/>
  <c r="AG720" i="15"/>
  <c r="AH720" i="15"/>
  <c r="AI720" i="15"/>
  <c r="AJ720" i="15"/>
  <c r="AK720" i="15"/>
  <c r="AL720" i="15"/>
  <c r="AM720" i="15"/>
  <c r="AQ720" i="15"/>
  <c r="S721" i="15"/>
  <c r="T721" i="15"/>
  <c r="U721" i="15"/>
  <c r="W721" i="15"/>
  <c r="Y721" i="15"/>
  <c r="Z721" i="15"/>
  <c r="AA721" i="15"/>
  <c r="AC721" i="15"/>
  <c r="AG721" i="15"/>
  <c r="AH721" i="15"/>
  <c r="AI721" i="15"/>
  <c r="AJ721" i="15"/>
  <c r="AK721" i="15"/>
  <c r="AL721" i="15"/>
  <c r="AM721" i="15"/>
  <c r="AQ721" i="15"/>
  <c r="S722" i="15"/>
  <c r="T722" i="15"/>
  <c r="U722" i="15"/>
  <c r="W722" i="15"/>
  <c r="Y722" i="15"/>
  <c r="Z722" i="15"/>
  <c r="AA722" i="15"/>
  <c r="AC722" i="15"/>
  <c r="AG722" i="15"/>
  <c r="AH722" i="15"/>
  <c r="AI722" i="15"/>
  <c r="AJ722" i="15"/>
  <c r="AK722" i="15"/>
  <c r="AL722" i="15"/>
  <c r="AM722" i="15"/>
  <c r="AQ722" i="15"/>
  <c r="S723" i="15"/>
  <c r="T723" i="15"/>
  <c r="U723" i="15"/>
  <c r="W723" i="15"/>
  <c r="Y723" i="15"/>
  <c r="Z723" i="15"/>
  <c r="AA723" i="15"/>
  <c r="AC723" i="15"/>
  <c r="AG723" i="15"/>
  <c r="AH723" i="15"/>
  <c r="AI723" i="15"/>
  <c r="AJ723" i="15"/>
  <c r="AK723" i="15"/>
  <c r="AL723" i="15"/>
  <c r="AM723" i="15"/>
  <c r="AQ723" i="15"/>
  <c r="S724" i="15"/>
  <c r="T724" i="15"/>
  <c r="U724" i="15"/>
  <c r="W724" i="15"/>
  <c r="Y724" i="15"/>
  <c r="Z724" i="15"/>
  <c r="AA724" i="15"/>
  <c r="AC724" i="15"/>
  <c r="AG724" i="15"/>
  <c r="AH724" i="15"/>
  <c r="AI724" i="15"/>
  <c r="AJ724" i="15"/>
  <c r="AK724" i="15"/>
  <c r="AL724" i="15"/>
  <c r="AM724" i="15"/>
  <c r="AQ724" i="15"/>
  <c r="S725" i="15"/>
  <c r="T725" i="15"/>
  <c r="U725" i="15"/>
  <c r="W725" i="15"/>
  <c r="Y725" i="15"/>
  <c r="Z725" i="15"/>
  <c r="AA725" i="15"/>
  <c r="AC725" i="15"/>
  <c r="AG725" i="15"/>
  <c r="AH725" i="15"/>
  <c r="AI725" i="15"/>
  <c r="AJ725" i="15"/>
  <c r="AK725" i="15"/>
  <c r="AL725" i="15"/>
  <c r="AM725" i="15"/>
  <c r="AQ725" i="15"/>
  <c r="S726" i="15"/>
  <c r="T726" i="15"/>
  <c r="U726" i="15"/>
  <c r="W726" i="15"/>
  <c r="Y726" i="15"/>
  <c r="Z726" i="15"/>
  <c r="AA726" i="15"/>
  <c r="AC726" i="15"/>
  <c r="AG726" i="15"/>
  <c r="AH726" i="15"/>
  <c r="AI726" i="15"/>
  <c r="AJ726" i="15"/>
  <c r="AK726" i="15"/>
  <c r="AL726" i="15"/>
  <c r="AM726" i="15"/>
  <c r="AQ726" i="15"/>
  <c r="I727" i="15"/>
  <c r="J727" i="15"/>
  <c r="K727" i="15"/>
  <c r="L727" i="15"/>
  <c r="S727" i="15"/>
  <c r="T727" i="15"/>
  <c r="U727" i="15"/>
  <c r="W727" i="15"/>
  <c r="Y727" i="15"/>
  <c r="Z727" i="15"/>
  <c r="AA727" i="15"/>
  <c r="AC727" i="15"/>
  <c r="AG727" i="15"/>
  <c r="AH727" i="15"/>
  <c r="AI727" i="15"/>
  <c r="AJ727" i="15"/>
  <c r="AK727" i="15"/>
  <c r="AL727" i="15"/>
  <c r="AM727" i="15"/>
  <c r="AQ727" i="15"/>
  <c r="I728" i="15"/>
  <c r="J728" i="15"/>
  <c r="K728" i="15"/>
  <c r="L728" i="15"/>
  <c r="S728" i="15"/>
  <c r="T728" i="15"/>
  <c r="U728" i="15"/>
  <c r="W728" i="15"/>
  <c r="Y728" i="15"/>
  <c r="Z728" i="15"/>
  <c r="AA728" i="15"/>
  <c r="AC728" i="15"/>
  <c r="AG728" i="15"/>
  <c r="AH728" i="15"/>
  <c r="AI728" i="15"/>
  <c r="AJ728" i="15"/>
  <c r="AK728" i="15"/>
  <c r="AL728" i="15"/>
  <c r="AQ728" i="15"/>
  <c r="U729" i="15"/>
  <c r="W729" i="15"/>
  <c r="AA729" i="15"/>
  <c r="AC729" i="15"/>
  <c r="AG729" i="15"/>
  <c r="AH729" i="15"/>
  <c r="AI729" i="15"/>
  <c r="AJ729" i="15"/>
  <c r="AK729" i="15"/>
  <c r="AL729" i="15"/>
  <c r="AM729" i="15"/>
  <c r="AQ729" i="15"/>
  <c r="U730" i="15"/>
  <c r="W730" i="15"/>
  <c r="AA730" i="15"/>
  <c r="AC730" i="15"/>
  <c r="AG730" i="15"/>
  <c r="AH730" i="15"/>
  <c r="AI730" i="15"/>
  <c r="AJ730" i="15"/>
  <c r="AK730" i="15"/>
  <c r="AL730" i="15"/>
  <c r="AM730" i="15"/>
  <c r="AQ730" i="15"/>
  <c r="U731" i="15"/>
  <c r="W731" i="15"/>
  <c r="AA731" i="15"/>
  <c r="AC731" i="15"/>
  <c r="AG731" i="15"/>
  <c r="AH731" i="15"/>
  <c r="AI731" i="15"/>
  <c r="AJ731" i="15"/>
  <c r="AK731" i="15"/>
  <c r="AL731" i="15"/>
  <c r="AM731" i="15"/>
  <c r="AQ731" i="15"/>
  <c r="S732" i="15"/>
  <c r="T732" i="15"/>
  <c r="U732" i="15"/>
  <c r="W732" i="15"/>
  <c r="Y732" i="15"/>
  <c r="Z732" i="15"/>
  <c r="AA732" i="15"/>
  <c r="AC732" i="15"/>
  <c r="AG732" i="15"/>
  <c r="AH732" i="15"/>
  <c r="AI732" i="15"/>
  <c r="AJ732" i="15"/>
  <c r="AK732" i="15"/>
  <c r="AL732" i="15"/>
  <c r="AM732" i="15"/>
  <c r="AQ732" i="15"/>
  <c r="S733" i="15"/>
  <c r="T733" i="15"/>
  <c r="U733" i="15"/>
  <c r="W733" i="15"/>
  <c r="Y733" i="15"/>
  <c r="Z733" i="15"/>
  <c r="AA733" i="15"/>
  <c r="AC733" i="15"/>
  <c r="AG733" i="15"/>
  <c r="AH733" i="15"/>
  <c r="AI733" i="15"/>
  <c r="AJ733" i="15"/>
  <c r="AK733" i="15"/>
  <c r="AL733" i="15"/>
  <c r="AM733" i="15"/>
  <c r="AQ733" i="15"/>
  <c r="S734" i="15"/>
  <c r="T734" i="15"/>
  <c r="U734" i="15"/>
  <c r="W734" i="15"/>
  <c r="Y734" i="15"/>
  <c r="Z734" i="15"/>
  <c r="AA734" i="15"/>
  <c r="AC734" i="15"/>
  <c r="AG734" i="15"/>
  <c r="AH734" i="15"/>
  <c r="AI734" i="15"/>
  <c r="AJ734" i="15"/>
  <c r="AK734" i="15"/>
  <c r="AL734" i="15"/>
  <c r="AM734" i="15"/>
  <c r="AQ734" i="15"/>
  <c r="S735" i="15"/>
  <c r="T735" i="15"/>
  <c r="U735" i="15"/>
  <c r="W735" i="15"/>
  <c r="Y735" i="15"/>
  <c r="Z735" i="15"/>
  <c r="AA735" i="15"/>
  <c r="AC735" i="15"/>
  <c r="AG735" i="15"/>
  <c r="AH735" i="15"/>
  <c r="AI735" i="15"/>
  <c r="AJ735" i="15"/>
  <c r="AK735" i="15"/>
  <c r="AL735" i="15"/>
  <c r="AM735" i="15"/>
  <c r="AQ735" i="15"/>
  <c r="S736" i="15"/>
  <c r="T736" i="15"/>
  <c r="U736" i="15"/>
  <c r="W736" i="15"/>
  <c r="Y736" i="15"/>
  <c r="Z736" i="15"/>
  <c r="AA736" i="15"/>
  <c r="AC736" i="15"/>
  <c r="AG736" i="15"/>
  <c r="AH736" i="15"/>
  <c r="AI736" i="15"/>
  <c r="AJ736" i="15"/>
  <c r="AK736" i="15"/>
  <c r="AL736" i="15"/>
  <c r="AM736" i="15"/>
  <c r="AQ736" i="15"/>
  <c r="S737" i="15"/>
  <c r="T737" i="15"/>
  <c r="U737" i="15"/>
  <c r="W737" i="15"/>
  <c r="Y737" i="15"/>
  <c r="Z737" i="15"/>
  <c r="AA737" i="15"/>
  <c r="AC737" i="15"/>
  <c r="AG737" i="15"/>
  <c r="AH737" i="15"/>
  <c r="AI737" i="15"/>
  <c r="AJ737" i="15"/>
  <c r="AK737" i="15"/>
  <c r="AL737" i="15"/>
  <c r="AM737" i="15"/>
  <c r="AQ737" i="15"/>
  <c r="S738" i="15"/>
  <c r="T738" i="15"/>
  <c r="U738" i="15"/>
  <c r="W738" i="15"/>
  <c r="Y738" i="15"/>
  <c r="Z738" i="15"/>
  <c r="AA738" i="15"/>
  <c r="AC738" i="15"/>
  <c r="AG738" i="15"/>
  <c r="AH738" i="15"/>
  <c r="AI738" i="15"/>
  <c r="AJ738" i="15"/>
  <c r="AK738" i="15"/>
  <c r="AL738" i="15"/>
  <c r="AM738" i="15"/>
  <c r="AQ738" i="15"/>
  <c r="S739" i="15"/>
  <c r="T739" i="15"/>
  <c r="U739" i="15"/>
  <c r="W739" i="15"/>
  <c r="Y739" i="15"/>
  <c r="Z739" i="15"/>
  <c r="AA739" i="15"/>
  <c r="AC739" i="15"/>
  <c r="AG739" i="15"/>
  <c r="AH739" i="15"/>
  <c r="AI739" i="15"/>
  <c r="AJ739" i="15"/>
  <c r="AK739" i="15"/>
  <c r="AL739" i="15"/>
  <c r="AM739" i="15"/>
  <c r="AQ739" i="15"/>
  <c r="S740" i="15"/>
  <c r="T740" i="15"/>
  <c r="U740" i="15"/>
  <c r="W740" i="15"/>
  <c r="Y740" i="15"/>
  <c r="Z740" i="15"/>
  <c r="AA740" i="15"/>
  <c r="AC740" i="15"/>
  <c r="AG740" i="15"/>
  <c r="AH740" i="15"/>
  <c r="AI740" i="15"/>
  <c r="AJ740" i="15"/>
  <c r="AK740" i="15"/>
  <c r="AL740" i="15"/>
  <c r="AM740" i="15"/>
  <c r="AQ740" i="15"/>
  <c r="S741" i="15"/>
  <c r="T741" i="15"/>
  <c r="U741" i="15"/>
  <c r="W741" i="15"/>
  <c r="Y741" i="15"/>
  <c r="Z741" i="15"/>
  <c r="AA741" i="15"/>
  <c r="AC741" i="15"/>
  <c r="AG741" i="15"/>
  <c r="AH741" i="15"/>
  <c r="AI741" i="15"/>
  <c r="AJ741" i="15"/>
  <c r="AK741" i="15"/>
  <c r="AL741" i="15"/>
  <c r="AM741" i="15"/>
  <c r="AQ741" i="15"/>
  <c r="S742" i="15"/>
  <c r="T742" i="15"/>
  <c r="U742" i="15"/>
  <c r="W742" i="15"/>
  <c r="Y742" i="15"/>
  <c r="Z742" i="15"/>
  <c r="AA742" i="15"/>
  <c r="AC742" i="15"/>
  <c r="AG742" i="15"/>
  <c r="AH742" i="15"/>
  <c r="AI742" i="15"/>
  <c r="AJ742" i="15"/>
  <c r="AK742" i="15"/>
  <c r="AL742" i="15"/>
  <c r="AM742" i="15"/>
  <c r="AQ742" i="15"/>
  <c r="S743" i="15"/>
  <c r="T743" i="15"/>
  <c r="U743" i="15"/>
  <c r="W743" i="15"/>
  <c r="Y743" i="15"/>
  <c r="Z743" i="15"/>
  <c r="AA743" i="15"/>
  <c r="AC743" i="15"/>
  <c r="AG743" i="15"/>
  <c r="AH743" i="15"/>
  <c r="AI743" i="15"/>
  <c r="AJ743" i="15"/>
  <c r="AK743" i="15"/>
  <c r="AL743" i="15"/>
  <c r="AM743" i="15"/>
  <c r="AQ743" i="15"/>
  <c r="S744" i="15"/>
  <c r="T744" i="15"/>
  <c r="U744" i="15"/>
  <c r="W744" i="15"/>
  <c r="Y744" i="15"/>
  <c r="Z744" i="15"/>
  <c r="AA744" i="15"/>
  <c r="AC744" i="15"/>
  <c r="AG744" i="15"/>
  <c r="AH744" i="15"/>
  <c r="AI744" i="15"/>
  <c r="AJ744" i="15"/>
  <c r="AK744" i="15"/>
  <c r="AL744" i="15"/>
  <c r="AM744" i="15"/>
  <c r="AQ744" i="15"/>
  <c r="S745" i="15"/>
  <c r="T745" i="15"/>
  <c r="U745" i="15"/>
  <c r="W745" i="15"/>
  <c r="Y745" i="15"/>
  <c r="Z745" i="15"/>
  <c r="AA745" i="15"/>
  <c r="AC745" i="15"/>
  <c r="AG745" i="15"/>
  <c r="AH745" i="15"/>
  <c r="AI745" i="15"/>
  <c r="AJ745" i="15"/>
  <c r="AK745" i="15"/>
  <c r="AL745" i="15"/>
  <c r="AM745" i="15"/>
  <c r="AQ745" i="15"/>
  <c r="S746" i="15"/>
  <c r="T746" i="15"/>
  <c r="U746" i="15"/>
  <c r="W746" i="15"/>
  <c r="Y746" i="15"/>
  <c r="Z746" i="15"/>
  <c r="AA746" i="15"/>
  <c r="AC746" i="15"/>
  <c r="AG746" i="15"/>
  <c r="AH746" i="15"/>
  <c r="AI746" i="15"/>
  <c r="AJ746" i="15"/>
  <c r="AK746" i="15"/>
  <c r="AL746" i="15"/>
  <c r="AM746" i="15"/>
  <c r="AQ746" i="15"/>
  <c r="S747" i="15"/>
  <c r="T747" i="15"/>
  <c r="U747" i="15"/>
  <c r="W747" i="15"/>
  <c r="Y747" i="15"/>
  <c r="Z747" i="15"/>
  <c r="AA747" i="15"/>
  <c r="AC747" i="15"/>
  <c r="AG747" i="15"/>
  <c r="AH747" i="15"/>
  <c r="AI747" i="15"/>
  <c r="AJ747" i="15"/>
  <c r="AK747" i="15"/>
  <c r="AL747" i="15"/>
  <c r="AM747" i="15"/>
  <c r="AQ747" i="15"/>
  <c r="S748" i="15"/>
  <c r="T748" i="15"/>
  <c r="U748" i="15"/>
  <c r="W748" i="15"/>
  <c r="Y748" i="15"/>
  <c r="Z748" i="15"/>
  <c r="AA748" i="15"/>
  <c r="AC748" i="15"/>
  <c r="AG748" i="15"/>
  <c r="AH748" i="15"/>
  <c r="AI748" i="15"/>
  <c r="AJ748" i="15"/>
  <c r="AK748" i="15"/>
  <c r="AL748" i="15"/>
  <c r="AM748" i="15"/>
  <c r="AQ748" i="15"/>
  <c r="U749" i="15"/>
  <c r="W749" i="15"/>
  <c r="AA749" i="15"/>
  <c r="AC749" i="15"/>
  <c r="AG749" i="15"/>
  <c r="AH749" i="15"/>
  <c r="AI749" i="15"/>
  <c r="AJ749" i="15"/>
  <c r="AK749" i="15"/>
  <c r="AL749" i="15"/>
  <c r="AM749" i="15"/>
  <c r="AQ749" i="15"/>
  <c r="U750" i="15"/>
  <c r="W750" i="15"/>
  <c r="AA750" i="15"/>
  <c r="AC750" i="15"/>
  <c r="AG750" i="15"/>
  <c r="AH750" i="15"/>
  <c r="AI750" i="15"/>
  <c r="AJ750" i="15"/>
  <c r="AK750" i="15"/>
  <c r="AL750" i="15"/>
  <c r="AM750" i="15"/>
  <c r="AQ750" i="15"/>
  <c r="S751" i="15"/>
  <c r="T751" i="15"/>
  <c r="U751" i="15"/>
  <c r="W751" i="15"/>
  <c r="Y751" i="15"/>
  <c r="Z751" i="15"/>
  <c r="AA751" i="15"/>
  <c r="AC751" i="15"/>
  <c r="AG751" i="15"/>
  <c r="AH751" i="15"/>
  <c r="AI751" i="15"/>
  <c r="AJ751" i="15"/>
  <c r="AK751" i="15"/>
  <c r="AL751" i="15"/>
  <c r="AM751" i="15"/>
  <c r="AQ751" i="15"/>
  <c r="S752" i="15"/>
  <c r="T752" i="15"/>
  <c r="U752" i="15"/>
  <c r="W752" i="15"/>
  <c r="Y752" i="15"/>
  <c r="Z752" i="15"/>
  <c r="AA752" i="15"/>
  <c r="AC752" i="15"/>
  <c r="AG752" i="15"/>
  <c r="AH752" i="15"/>
  <c r="AI752" i="15"/>
  <c r="AJ752" i="15"/>
  <c r="AK752" i="15"/>
  <c r="AL752" i="15"/>
  <c r="AM752" i="15"/>
  <c r="AQ752" i="15"/>
  <c r="S753" i="15"/>
  <c r="T753" i="15"/>
  <c r="U753" i="15"/>
  <c r="W753" i="15"/>
  <c r="Y753" i="15"/>
  <c r="Z753" i="15"/>
  <c r="AA753" i="15"/>
  <c r="AC753" i="15"/>
  <c r="AG753" i="15"/>
  <c r="AH753" i="15"/>
  <c r="AI753" i="15"/>
  <c r="AJ753" i="15"/>
  <c r="AK753" i="15"/>
  <c r="AL753" i="15"/>
  <c r="AM753" i="15"/>
  <c r="AQ753" i="15"/>
  <c r="S754" i="15"/>
  <c r="T754" i="15"/>
  <c r="U754" i="15"/>
  <c r="W754" i="15"/>
  <c r="Y754" i="15"/>
  <c r="Z754" i="15"/>
  <c r="AA754" i="15"/>
  <c r="AC754" i="15"/>
  <c r="AG754" i="15"/>
  <c r="AH754" i="15"/>
  <c r="AI754" i="15"/>
  <c r="AJ754" i="15"/>
  <c r="AK754" i="15"/>
  <c r="AL754" i="15"/>
  <c r="AM754" i="15"/>
  <c r="AQ754" i="15"/>
  <c r="S755" i="15"/>
  <c r="T755" i="15"/>
  <c r="U755" i="15"/>
  <c r="W755" i="15"/>
  <c r="Y755" i="15"/>
  <c r="Z755" i="15"/>
  <c r="AA755" i="15"/>
  <c r="AC755" i="15"/>
  <c r="AG755" i="15"/>
  <c r="AH755" i="15"/>
  <c r="AI755" i="15"/>
  <c r="AJ755" i="15"/>
  <c r="AK755" i="15"/>
  <c r="AL755" i="15"/>
  <c r="AM755" i="15"/>
  <c r="AQ755" i="15"/>
  <c r="S756" i="15"/>
  <c r="T756" i="15"/>
  <c r="U756" i="15"/>
  <c r="W756" i="15"/>
  <c r="Y756" i="15"/>
  <c r="Z756" i="15"/>
  <c r="AA756" i="15"/>
  <c r="AC756" i="15"/>
  <c r="AG756" i="15"/>
  <c r="AH756" i="15"/>
  <c r="AI756" i="15"/>
  <c r="AJ756" i="15"/>
  <c r="AK756" i="15"/>
  <c r="AL756" i="15"/>
  <c r="AM756" i="15"/>
  <c r="AQ756" i="15"/>
  <c r="S757" i="15"/>
  <c r="T757" i="15"/>
  <c r="U757" i="15"/>
  <c r="W757" i="15"/>
  <c r="Y757" i="15"/>
  <c r="Z757" i="15"/>
  <c r="AA757" i="15"/>
  <c r="AC757" i="15"/>
  <c r="AG757" i="15"/>
  <c r="AH757" i="15"/>
  <c r="AI757" i="15"/>
  <c r="AJ757" i="15"/>
  <c r="AK757" i="15"/>
  <c r="AL757" i="15"/>
  <c r="AM757" i="15"/>
  <c r="AQ757" i="15"/>
  <c r="S758" i="15"/>
  <c r="T758" i="15"/>
  <c r="U758" i="15"/>
  <c r="W758" i="15"/>
  <c r="Y758" i="15"/>
  <c r="Z758" i="15"/>
  <c r="AA758" i="15"/>
  <c r="AC758" i="15"/>
  <c r="AG758" i="15"/>
  <c r="AH758" i="15"/>
  <c r="AI758" i="15"/>
  <c r="AJ758" i="15"/>
  <c r="AK758" i="15"/>
  <c r="AL758" i="15"/>
  <c r="AM758" i="15"/>
  <c r="AQ758" i="15"/>
  <c r="S759" i="15"/>
  <c r="T759" i="15"/>
  <c r="U759" i="15"/>
  <c r="W759" i="15"/>
  <c r="Y759" i="15"/>
  <c r="Z759" i="15"/>
  <c r="AA759" i="15"/>
  <c r="AC759" i="15"/>
  <c r="AG759" i="15"/>
  <c r="AH759" i="15"/>
  <c r="AI759" i="15"/>
  <c r="AJ759" i="15"/>
  <c r="AK759" i="15"/>
  <c r="AL759" i="15"/>
  <c r="AM759" i="15"/>
  <c r="AQ759" i="15"/>
  <c r="S760" i="15"/>
  <c r="T760" i="15"/>
  <c r="U760" i="15"/>
  <c r="W760" i="15"/>
  <c r="Y760" i="15"/>
  <c r="Z760" i="15"/>
  <c r="AA760" i="15"/>
  <c r="AC760" i="15"/>
  <c r="AG760" i="15"/>
  <c r="AH760" i="15"/>
  <c r="AI760" i="15"/>
  <c r="AJ760" i="15"/>
  <c r="AK760" i="15"/>
  <c r="AL760" i="15"/>
  <c r="AM760" i="15"/>
  <c r="AQ760" i="15"/>
  <c r="S761" i="15"/>
  <c r="T761" i="15"/>
  <c r="U761" i="15"/>
  <c r="W761" i="15"/>
  <c r="Y761" i="15"/>
  <c r="Z761" i="15"/>
  <c r="AA761" i="15"/>
  <c r="AC761" i="15"/>
  <c r="AG761" i="15"/>
  <c r="AH761" i="15"/>
  <c r="AI761" i="15"/>
  <c r="AJ761" i="15"/>
  <c r="AK761" i="15"/>
  <c r="AL761" i="15"/>
  <c r="AM761" i="15"/>
  <c r="AQ761" i="15"/>
  <c r="S762" i="15"/>
  <c r="T762" i="15"/>
  <c r="U762" i="15"/>
  <c r="W762" i="15"/>
  <c r="Y762" i="15"/>
  <c r="Z762" i="15"/>
  <c r="AA762" i="15"/>
  <c r="AC762" i="15"/>
  <c r="AG762" i="15"/>
  <c r="AH762" i="15"/>
  <c r="AI762" i="15"/>
  <c r="AJ762" i="15"/>
  <c r="AK762" i="15"/>
  <c r="AL762" i="15"/>
  <c r="AM762" i="15"/>
  <c r="AQ762" i="15"/>
  <c r="S763" i="15"/>
  <c r="T763" i="15"/>
  <c r="U763" i="15"/>
  <c r="W763" i="15"/>
  <c r="Y763" i="15"/>
  <c r="Z763" i="15"/>
  <c r="AA763" i="15"/>
  <c r="AC763" i="15"/>
  <c r="AG763" i="15"/>
  <c r="AH763" i="15"/>
  <c r="AI763" i="15"/>
  <c r="AJ763" i="15"/>
  <c r="AK763" i="15"/>
  <c r="AL763" i="15"/>
  <c r="AM763" i="15"/>
  <c r="AQ763" i="15"/>
  <c r="S764" i="15"/>
  <c r="T764" i="15"/>
  <c r="U764" i="15"/>
  <c r="W764" i="15"/>
  <c r="Y764" i="15"/>
  <c r="Z764" i="15"/>
  <c r="AA764" i="15"/>
  <c r="AC764" i="15"/>
  <c r="AG764" i="15"/>
  <c r="AH764" i="15"/>
  <c r="AI764" i="15"/>
  <c r="AJ764" i="15"/>
  <c r="AK764" i="15"/>
  <c r="AL764" i="15"/>
  <c r="AM764" i="15"/>
  <c r="AQ764" i="15"/>
  <c r="S765" i="15"/>
  <c r="T765" i="15"/>
  <c r="U765" i="15"/>
  <c r="W765" i="15"/>
  <c r="Y765" i="15"/>
  <c r="Z765" i="15"/>
  <c r="AA765" i="15"/>
  <c r="AC765" i="15"/>
  <c r="AG765" i="15"/>
  <c r="AH765" i="15"/>
  <c r="AI765" i="15"/>
  <c r="AJ765" i="15"/>
  <c r="AK765" i="15"/>
  <c r="AL765" i="15"/>
  <c r="AM765" i="15"/>
  <c r="AQ765" i="15"/>
  <c r="S766" i="15"/>
  <c r="T766" i="15"/>
  <c r="U766" i="15"/>
  <c r="W766" i="15"/>
  <c r="Y766" i="15"/>
  <c r="Z766" i="15"/>
  <c r="AA766" i="15"/>
  <c r="AC766" i="15"/>
  <c r="AG766" i="15"/>
  <c r="AH766" i="15"/>
  <c r="AI766" i="15"/>
  <c r="AJ766" i="15"/>
  <c r="AK766" i="15"/>
  <c r="AL766" i="15"/>
  <c r="AM766" i="15"/>
  <c r="AQ766" i="15"/>
  <c r="S767" i="15"/>
  <c r="T767" i="15"/>
  <c r="U767" i="15"/>
  <c r="W767" i="15"/>
  <c r="Y767" i="15"/>
  <c r="Z767" i="15"/>
  <c r="AA767" i="15"/>
  <c r="AC767" i="15"/>
  <c r="AG767" i="15"/>
  <c r="AH767" i="15"/>
  <c r="AI767" i="15"/>
  <c r="AJ767" i="15"/>
  <c r="AK767" i="15"/>
  <c r="AL767" i="15"/>
  <c r="AM767" i="15"/>
  <c r="AQ767" i="15"/>
  <c r="S768" i="15"/>
  <c r="T768" i="15"/>
  <c r="U768" i="15"/>
  <c r="W768" i="15"/>
  <c r="Y768" i="15"/>
  <c r="Z768" i="15"/>
  <c r="AA768" i="15"/>
  <c r="AC768" i="15"/>
  <c r="AG768" i="15"/>
  <c r="AH768" i="15"/>
  <c r="AI768" i="15"/>
  <c r="AJ768" i="15"/>
  <c r="AK768" i="15"/>
  <c r="AL768" i="15"/>
  <c r="AM768" i="15"/>
  <c r="AQ768" i="15"/>
  <c r="S769" i="15"/>
  <c r="T769" i="15"/>
  <c r="U769" i="15"/>
  <c r="W769" i="15"/>
  <c r="Y769" i="15"/>
  <c r="Z769" i="15"/>
  <c r="AA769" i="15"/>
  <c r="AC769" i="15"/>
  <c r="AG769" i="15"/>
  <c r="AH769" i="15"/>
  <c r="AI769" i="15"/>
  <c r="AJ769" i="15"/>
  <c r="AK769" i="15"/>
  <c r="AL769" i="15"/>
  <c r="AM769" i="15"/>
  <c r="AQ769" i="15"/>
  <c r="S770" i="15"/>
  <c r="T770" i="15"/>
  <c r="U770" i="15"/>
  <c r="W770" i="15"/>
  <c r="Y770" i="15"/>
  <c r="Z770" i="15"/>
  <c r="AA770" i="15"/>
  <c r="AC770" i="15"/>
  <c r="AG770" i="15"/>
  <c r="AH770" i="15"/>
  <c r="AI770" i="15"/>
  <c r="AJ770" i="15"/>
  <c r="AK770" i="15"/>
  <c r="AL770" i="15"/>
  <c r="AM770" i="15"/>
  <c r="AQ770" i="15"/>
  <c r="S771" i="15"/>
  <c r="T771" i="15"/>
  <c r="U771" i="15"/>
  <c r="W771" i="15"/>
  <c r="Y771" i="15"/>
  <c r="Z771" i="15"/>
  <c r="AA771" i="15"/>
  <c r="AC771" i="15"/>
  <c r="AG771" i="15"/>
  <c r="AH771" i="15"/>
  <c r="AI771" i="15"/>
  <c r="AJ771" i="15"/>
  <c r="AK771" i="15"/>
  <c r="AL771" i="15"/>
  <c r="AM771" i="15"/>
  <c r="AQ771" i="15"/>
  <c r="S620" i="15"/>
  <c r="T620" i="15"/>
  <c r="U620" i="15"/>
  <c r="W620" i="15"/>
  <c r="AA620" i="15"/>
  <c r="AC620" i="15"/>
  <c r="AG620" i="15"/>
  <c r="AH620" i="15"/>
  <c r="AI620" i="15"/>
  <c r="AJ620" i="15"/>
  <c r="AK620" i="15"/>
  <c r="AL620" i="15"/>
  <c r="AM620" i="15"/>
  <c r="AQ620" i="15"/>
  <c r="S621" i="15"/>
  <c r="T621" i="15"/>
  <c r="U621" i="15"/>
  <c r="W621" i="15"/>
  <c r="AC621" i="15"/>
  <c r="AG621" i="15"/>
  <c r="AH621" i="15"/>
  <c r="AI621" i="15"/>
  <c r="AJ621" i="15"/>
  <c r="AK621" i="15"/>
  <c r="AL621" i="15"/>
  <c r="AM621" i="15"/>
  <c r="AQ621" i="15"/>
  <c r="S622" i="15"/>
  <c r="T622" i="15"/>
  <c r="U622" i="15"/>
  <c r="W622" i="15"/>
  <c r="AC622" i="15"/>
  <c r="AG622" i="15"/>
  <c r="AH622" i="15"/>
  <c r="AI622" i="15"/>
  <c r="AJ622" i="15"/>
  <c r="AK622" i="15"/>
  <c r="AL622" i="15"/>
  <c r="AM622" i="15"/>
  <c r="AQ622" i="15"/>
  <c r="S623" i="15"/>
  <c r="T623" i="15"/>
  <c r="U623" i="15"/>
  <c r="W623" i="15"/>
  <c r="Y623" i="15"/>
  <c r="Z623" i="15"/>
  <c r="AA623" i="15"/>
  <c r="AC623" i="15"/>
  <c r="AG623" i="15"/>
  <c r="AH623" i="15"/>
  <c r="AI623" i="15"/>
  <c r="AJ623" i="15"/>
  <c r="AK623" i="15"/>
  <c r="AL623" i="15"/>
  <c r="AM623" i="15"/>
  <c r="AQ623" i="15"/>
  <c r="S624" i="15"/>
  <c r="T624" i="15"/>
  <c r="U624" i="15"/>
  <c r="W624" i="15"/>
  <c r="Y624" i="15"/>
  <c r="Z624" i="15"/>
  <c r="AA624" i="15"/>
  <c r="AC624" i="15"/>
  <c r="AG624" i="15"/>
  <c r="AH624" i="15"/>
  <c r="AI624" i="15"/>
  <c r="AJ624" i="15"/>
  <c r="AK624" i="15"/>
  <c r="AL624" i="15"/>
  <c r="AM624" i="15"/>
  <c r="AQ624" i="15"/>
  <c r="S625" i="15"/>
  <c r="T625" i="15"/>
  <c r="U625" i="15"/>
  <c r="W625" i="15"/>
  <c r="Y625" i="15"/>
  <c r="Z625" i="15"/>
  <c r="AA625" i="15"/>
  <c r="AC625" i="15"/>
  <c r="AG625" i="15"/>
  <c r="AH625" i="15"/>
  <c r="AI625" i="15"/>
  <c r="AJ625" i="15"/>
  <c r="AK625" i="15"/>
  <c r="AL625" i="15"/>
  <c r="AM625" i="15"/>
  <c r="AQ625" i="15"/>
  <c r="S626" i="15"/>
  <c r="T626" i="15"/>
  <c r="U626" i="15"/>
  <c r="W626" i="15"/>
  <c r="Y626" i="15"/>
  <c r="Z626" i="15"/>
  <c r="AA626" i="15"/>
  <c r="AC626" i="15"/>
  <c r="AG626" i="15"/>
  <c r="AH626" i="15"/>
  <c r="AI626" i="15"/>
  <c r="AJ626" i="15"/>
  <c r="AK626" i="15"/>
  <c r="AL626" i="15"/>
  <c r="AM626" i="15"/>
  <c r="AQ626" i="15"/>
  <c r="S627" i="15"/>
  <c r="T627" i="15"/>
  <c r="U627" i="15"/>
  <c r="W627" i="15"/>
  <c r="Y627" i="15"/>
  <c r="Z627" i="15"/>
  <c r="AA627" i="15"/>
  <c r="AC627" i="15"/>
  <c r="AG627" i="15"/>
  <c r="AH627" i="15"/>
  <c r="AI627" i="15"/>
  <c r="AJ627" i="15"/>
  <c r="AK627" i="15"/>
  <c r="AL627" i="15"/>
  <c r="AM627" i="15"/>
  <c r="AQ627" i="15"/>
  <c r="S628" i="15"/>
  <c r="T628" i="15"/>
  <c r="U628" i="15"/>
  <c r="W628" i="15"/>
  <c r="Y628" i="15"/>
  <c r="Z628" i="15"/>
  <c r="AA628" i="15"/>
  <c r="AC628" i="15"/>
  <c r="AG628" i="15"/>
  <c r="AH628" i="15"/>
  <c r="AI628" i="15"/>
  <c r="AJ628" i="15"/>
  <c r="AK628" i="15"/>
  <c r="AL628" i="15"/>
  <c r="AM628" i="15"/>
  <c r="AQ628" i="15"/>
  <c r="S629" i="15"/>
  <c r="T629" i="15"/>
  <c r="U629" i="15"/>
  <c r="W629" i="15"/>
  <c r="Y629" i="15"/>
  <c r="Z629" i="15"/>
  <c r="AA629" i="15"/>
  <c r="AC629" i="15"/>
  <c r="AG629" i="15"/>
  <c r="AH629" i="15"/>
  <c r="AI629" i="15"/>
  <c r="AJ629" i="15"/>
  <c r="AK629" i="15"/>
  <c r="AL629" i="15"/>
  <c r="AM629" i="15"/>
  <c r="AQ629" i="15"/>
  <c r="S630" i="15"/>
  <c r="T630" i="15"/>
  <c r="U630" i="15"/>
  <c r="W630" i="15"/>
  <c r="Y630" i="15"/>
  <c r="Z630" i="15"/>
  <c r="AA630" i="15"/>
  <c r="AC630" i="15"/>
  <c r="AG630" i="15"/>
  <c r="AH630" i="15"/>
  <c r="AI630" i="15"/>
  <c r="AJ630" i="15"/>
  <c r="AK630" i="15"/>
  <c r="AL630" i="15"/>
  <c r="AM630" i="15"/>
  <c r="AQ630" i="15"/>
  <c r="S631" i="15"/>
  <c r="T631" i="15"/>
  <c r="U631" i="15"/>
  <c r="W631" i="15"/>
  <c r="Y631" i="15"/>
  <c r="Z631" i="15"/>
  <c r="AA631" i="15"/>
  <c r="AC631" i="15"/>
  <c r="AG631" i="15"/>
  <c r="AH631" i="15"/>
  <c r="AI631" i="15"/>
  <c r="AJ631" i="15"/>
  <c r="AK631" i="15"/>
  <c r="AL631" i="15"/>
  <c r="AM631" i="15"/>
  <c r="AQ631" i="15"/>
  <c r="S632" i="15"/>
  <c r="T632" i="15"/>
  <c r="U632" i="15"/>
  <c r="W632" i="15"/>
  <c r="Y632" i="15"/>
  <c r="Z632" i="15"/>
  <c r="AA632" i="15"/>
  <c r="AC632" i="15"/>
  <c r="AG632" i="15"/>
  <c r="AH632" i="15"/>
  <c r="AI632" i="15"/>
  <c r="AJ632" i="15"/>
  <c r="AK632" i="15"/>
  <c r="AL632" i="15"/>
  <c r="AM632" i="15"/>
  <c r="AQ632" i="15"/>
  <c r="S633" i="15"/>
  <c r="T633" i="15"/>
  <c r="U633" i="15"/>
  <c r="W633" i="15"/>
  <c r="Y633" i="15"/>
  <c r="Z633" i="15"/>
  <c r="AA633" i="15"/>
  <c r="AC633" i="15"/>
  <c r="AG633" i="15"/>
  <c r="AH633" i="15"/>
  <c r="AI633" i="15"/>
  <c r="AJ633" i="15"/>
  <c r="AK633" i="15"/>
  <c r="AL633" i="15"/>
  <c r="AM633" i="15"/>
  <c r="AQ633" i="15"/>
  <c r="S634" i="15"/>
  <c r="T634" i="15"/>
  <c r="U634" i="15"/>
  <c r="W634" i="15"/>
  <c r="Y634" i="15"/>
  <c r="Z634" i="15"/>
  <c r="AA634" i="15"/>
  <c r="AC634" i="15"/>
  <c r="AG634" i="15"/>
  <c r="AH634" i="15"/>
  <c r="AI634" i="15"/>
  <c r="AJ634" i="15"/>
  <c r="AK634" i="15"/>
  <c r="AL634" i="15"/>
  <c r="AM634" i="15"/>
  <c r="AQ634" i="15"/>
  <c r="S635" i="15"/>
  <c r="T635" i="15"/>
  <c r="U635" i="15"/>
  <c r="W635" i="15"/>
  <c r="Y635" i="15"/>
  <c r="Z635" i="15"/>
  <c r="AA635" i="15"/>
  <c r="AC635" i="15"/>
  <c r="AG635" i="15"/>
  <c r="AH635" i="15"/>
  <c r="AI635" i="15"/>
  <c r="AJ635" i="15"/>
  <c r="AK635" i="15"/>
  <c r="AL635" i="15"/>
  <c r="AM635" i="15"/>
  <c r="AQ635" i="15"/>
  <c r="S636" i="15"/>
  <c r="T636" i="15"/>
  <c r="U636" i="15"/>
  <c r="W636" i="15"/>
  <c r="Y636" i="15"/>
  <c r="Z636" i="15"/>
  <c r="AA636" i="15"/>
  <c r="AC636" i="15"/>
  <c r="AG636" i="15"/>
  <c r="AH636" i="15"/>
  <c r="AI636" i="15"/>
  <c r="AJ636" i="15"/>
  <c r="AK636" i="15"/>
  <c r="AL636" i="15"/>
  <c r="AM636" i="15"/>
  <c r="AQ636" i="15"/>
  <c r="S637" i="15"/>
  <c r="T637" i="15"/>
  <c r="U637" i="15"/>
  <c r="W637" i="15"/>
  <c r="Y637" i="15"/>
  <c r="Z637" i="15"/>
  <c r="AA637" i="15"/>
  <c r="AC637" i="15"/>
  <c r="AG637" i="15"/>
  <c r="AH637" i="15"/>
  <c r="AI637" i="15"/>
  <c r="AJ637" i="15"/>
  <c r="AK637" i="15"/>
  <c r="AL637" i="15"/>
  <c r="AM637" i="15"/>
  <c r="AQ637" i="15"/>
  <c r="S638" i="15"/>
  <c r="T638" i="15"/>
  <c r="U638" i="15"/>
  <c r="W638" i="15"/>
  <c r="Y638" i="15"/>
  <c r="Z638" i="15"/>
  <c r="AA638" i="15"/>
  <c r="AC638" i="15"/>
  <c r="AG638" i="15"/>
  <c r="AH638" i="15"/>
  <c r="AI638" i="15"/>
  <c r="AJ638" i="15"/>
  <c r="AK638" i="15"/>
  <c r="AL638" i="15"/>
  <c r="AM638" i="15"/>
  <c r="AQ638" i="15"/>
  <c r="S639" i="15"/>
  <c r="T639" i="15"/>
  <c r="U639" i="15"/>
  <c r="W639" i="15"/>
  <c r="Y639" i="15"/>
  <c r="Z639" i="15"/>
  <c r="AA639" i="15"/>
  <c r="AC639" i="15"/>
  <c r="AG639" i="15"/>
  <c r="AH639" i="15"/>
  <c r="AI639" i="15"/>
  <c r="AJ639" i="15"/>
  <c r="AK639" i="15"/>
  <c r="AL639" i="15"/>
  <c r="AM639" i="15"/>
  <c r="AQ639" i="15"/>
  <c r="S640" i="15"/>
  <c r="T640" i="15"/>
  <c r="U640" i="15"/>
  <c r="W640" i="15"/>
  <c r="Y640" i="15"/>
  <c r="Z640" i="15"/>
  <c r="AA640" i="15"/>
  <c r="AC640" i="15"/>
  <c r="AG640" i="15"/>
  <c r="AH640" i="15"/>
  <c r="AI640" i="15"/>
  <c r="AJ640" i="15"/>
  <c r="AK640" i="15"/>
  <c r="AL640" i="15"/>
  <c r="AM640" i="15"/>
  <c r="AQ640" i="15"/>
  <c r="S641" i="15"/>
  <c r="T641" i="15"/>
  <c r="U641" i="15"/>
  <c r="W641" i="15"/>
  <c r="Y641" i="15"/>
  <c r="Z641" i="15"/>
  <c r="AA641" i="15"/>
  <c r="AC641" i="15"/>
  <c r="AG641" i="15"/>
  <c r="AH641" i="15"/>
  <c r="AI641" i="15"/>
  <c r="AJ641" i="15"/>
  <c r="AK641" i="15"/>
  <c r="AL641" i="15"/>
  <c r="AM641" i="15"/>
  <c r="AQ641" i="15"/>
  <c r="S642" i="15"/>
  <c r="T642" i="15"/>
  <c r="U642" i="15"/>
  <c r="W642" i="15"/>
  <c r="Y642" i="15"/>
  <c r="Z642" i="15"/>
  <c r="AA642" i="15"/>
  <c r="AC642" i="15"/>
  <c r="AG642" i="15"/>
  <c r="AH642" i="15"/>
  <c r="AI642" i="15"/>
  <c r="AJ642" i="15"/>
  <c r="AK642" i="15"/>
  <c r="AL642" i="15"/>
  <c r="AM642" i="15"/>
  <c r="AQ642" i="15"/>
  <c r="I643" i="15"/>
  <c r="J643" i="15"/>
  <c r="K643" i="15"/>
  <c r="L643" i="15"/>
  <c r="S643" i="15"/>
  <c r="T643" i="15"/>
  <c r="U643" i="15"/>
  <c r="W643" i="15"/>
  <c r="Y643" i="15"/>
  <c r="Z643" i="15"/>
  <c r="AA643" i="15"/>
  <c r="AC643" i="15"/>
  <c r="AG643" i="15"/>
  <c r="AH643" i="15"/>
  <c r="AI643" i="15"/>
  <c r="AJ643" i="15"/>
  <c r="AK643" i="15"/>
  <c r="AL643" i="15"/>
  <c r="AM643" i="15"/>
  <c r="AQ643" i="15"/>
  <c r="I644" i="15"/>
  <c r="J644" i="15"/>
  <c r="K644" i="15"/>
  <c r="L644" i="15"/>
  <c r="S644" i="15"/>
  <c r="T644" i="15"/>
  <c r="U644" i="15"/>
  <c r="W644" i="15"/>
  <c r="Y644" i="15"/>
  <c r="Z644" i="15"/>
  <c r="AA644" i="15"/>
  <c r="AC644" i="15"/>
  <c r="AG644" i="15"/>
  <c r="AH644" i="15"/>
  <c r="AI644" i="15"/>
  <c r="AJ644" i="15"/>
  <c r="AK644" i="15"/>
  <c r="AL644" i="15"/>
  <c r="AM644" i="15"/>
  <c r="AQ644" i="15"/>
  <c r="S645" i="15"/>
  <c r="T645" i="15"/>
  <c r="U645" i="15"/>
  <c r="W645" i="15"/>
  <c r="Y645" i="15"/>
  <c r="Z645" i="15"/>
  <c r="AA645" i="15"/>
  <c r="AC645" i="15"/>
  <c r="AG645" i="15"/>
  <c r="AH645" i="15"/>
  <c r="AI645" i="15"/>
  <c r="AJ645" i="15"/>
  <c r="AK645" i="15"/>
  <c r="AL645" i="15"/>
  <c r="AM645" i="15"/>
  <c r="AQ645" i="15"/>
  <c r="S646" i="15"/>
  <c r="T646" i="15"/>
  <c r="U646" i="15"/>
  <c r="W646" i="15"/>
  <c r="Y646" i="15"/>
  <c r="Z646" i="15"/>
  <c r="AA646" i="15"/>
  <c r="AC646" i="15"/>
  <c r="AG646" i="15"/>
  <c r="AH646" i="15"/>
  <c r="AI646" i="15"/>
  <c r="AJ646" i="15"/>
  <c r="AK646" i="15"/>
  <c r="AL646" i="15"/>
  <c r="AM646" i="15"/>
  <c r="AQ646" i="15"/>
  <c r="S647" i="15"/>
  <c r="T647" i="15"/>
  <c r="U647" i="15"/>
  <c r="W647" i="15"/>
  <c r="Y647" i="15"/>
  <c r="Z647" i="15"/>
  <c r="AA647" i="15"/>
  <c r="AC647" i="15"/>
  <c r="AG647" i="15"/>
  <c r="AH647" i="15"/>
  <c r="AI647" i="15"/>
  <c r="AJ647" i="15"/>
  <c r="AK647" i="15"/>
  <c r="AL647" i="15"/>
  <c r="AM647" i="15"/>
  <c r="AQ647" i="15"/>
  <c r="S648" i="15"/>
  <c r="T648" i="15"/>
  <c r="U648" i="15"/>
  <c r="W648" i="15"/>
  <c r="Y648" i="15"/>
  <c r="Z648" i="15"/>
  <c r="AA648" i="15"/>
  <c r="AC648" i="15"/>
  <c r="AG648" i="15"/>
  <c r="AH648" i="15"/>
  <c r="AI648" i="15"/>
  <c r="AJ648" i="15"/>
  <c r="AK648" i="15"/>
  <c r="AL648" i="15"/>
  <c r="AM648" i="15"/>
  <c r="AQ648" i="15"/>
  <c r="S649" i="15"/>
  <c r="T649" i="15"/>
  <c r="U649" i="15"/>
  <c r="W649" i="15"/>
  <c r="Y649" i="15"/>
  <c r="Z649" i="15"/>
  <c r="AA649" i="15"/>
  <c r="AC649" i="15"/>
  <c r="AG649" i="15"/>
  <c r="AH649" i="15"/>
  <c r="AI649" i="15"/>
  <c r="AJ649" i="15"/>
  <c r="AK649" i="15"/>
  <c r="AL649" i="15"/>
  <c r="AM649" i="15"/>
  <c r="AQ649" i="15"/>
  <c r="S650" i="15"/>
  <c r="T650" i="15"/>
  <c r="U650" i="15"/>
  <c r="W650" i="15"/>
  <c r="Y650" i="15"/>
  <c r="Z650" i="15"/>
  <c r="AA650" i="15"/>
  <c r="AC650" i="15"/>
  <c r="AG650" i="15"/>
  <c r="AH650" i="15"/>
  <c r="AI650" i="15"/>
  <c r="AJ650" i="15"/>
  <c r="AK650" i="15"/>
  <c r="AL650" i="15"/>
  <c r="AM650" i="15"/>
  <c r="AQ650" i="15"/>
  <c r="S651" i="15"/>
  <c r="T651" i="15"/>
  <c r="U651" i="15"/>
  <c r="W651" i="15"/>
  <c r="Y651" i="15"/>
  <c r="Z651" i="15"/>
  <c r="AA651" i="15"/>
  <c r="AC651" i="15"/>
  <c r="AG651" i="15"/>
  <c r="AH651" i="15"/>
  <c r="AI651" i="15"/>
  <c r="AJ651" i="15"/>
  <c r="AK651" i="15"/>
  <c r="AL651" i="15"/>
  <c r="AM651" i="15"/>
  <c r="AQ651" i="15"/>
  <c r="S652" i="15"/>
  <c r="T652" i="15"/>
  <c r="U652" i="15"/>
  <c r="W652" i="15"/>
  <c r="Y652" i="15"/>
  <c r="Z652" i="15"/>
  <c r="AA652" i="15"/>
  <c r="AC652" i="15"/>
  <c r="AG652" i="15"/>
  <c r="AH652" i="15"/>
  <c r="AI652" i="15"/>
  <c r="AJ652" i="15"/>
  <c r="AK652" i="15"/>
  <c r="AL652" i="15"/>
  <c r="AM652" i="15"/>
  <c r="AQ652" i="15"/>
  <c r="S653" i="15"/>
  <c r="T653" i="15"/>
  <c r="U653" i="15"/>
  <c r="W653" i="15"/>
  <c r="Y653" i="15"/>
  <c r="Z653" i="15"/>
  <c r="AA653" i="15"/>
  <c r="AC653" i="15"/>
  <c r="AG653" i="15"/>
  <c r="AH653" i="15"/>
  <c r="AI653" i="15"/>
  <c r="AJ653" i="15"/>
  <c r="AK653" i="15"/>
  <c r="AL653" i="15"/>
  <c r="AM653" i="15"/>
  <c r="AQ653" i="15"/>
  <c r="S654" i="15"/>
  <c r="T654" i="15"/>
  <c r="U654" i="15"/>
  <c r="W654" i="15"/>
  <c r="Y654" i="15"/>
  <c r="Z654" i="15"/>
  <c r="AA654" i="15"/>
  <c r="AC654" i="15"/>
  <c r="AG654" i="15"/>
  <c r="AH654" i="15"/>
  <c r="AI654" i="15"/>
  <c r="AJ654" i="15"/>
  <c r="AK654" i="15"/>
  <c r="AL654" i="15"/>
  <c r="AM654" i="15"/>
  <c r="AQ654" i="15"/>
  <c r="S655" i="15"/>
  <c r="T655" i="15"/>
  <c r="U655" i="15"/>
  <c r="W655" i="15"/>
  <c r="Y655" i="15"/>
  <c r="Z655" i="15"/>
  <c r="AA655" i="15"/>
  <c r="AC655" i="15"/>
  <c r="AG655" i="15"/>
  <c r="AH655" i="15"/>
  <c r="AI655" i="15"/>
  <c r="AJ655" i="15"/>
  <c r="AK655" i="15"/>
  <c r="AL655" i="15"/>
  <c r="AM655" i="15"/>
  <c r="AQ655" i="15"/>
  <c r="S656" i="15"/>
  <c r="T656" i="15"/>
  <c r="U656" i="15"/>
  <c r="W656" i="15"/>
  <c r="Y656" i="15"/>
  <c r="Z656" i="15"/>
  <c r="AA656" i="15"/>
  <c r="AC656" i="15"/>
  <c r="AG656" i="15"/>
  <c r="AH656" i="15"/>
  <c r="AI656" i="15"/>
  <c r="AJ656" i="15"/>
  <c r="AK656" i="15"/>
  <c r="AL656" i="15"/>
  <c r="AM656" i="15"/>
  <c r="AQ656" i="15"/>
  <c r="S657" i="15"/>
  <c r="T657" i="15"/>
  <c r="U657" i="15"/>
  <c r="W657" i="15"/>
  <c r="Y657" i="15"/>
  <c r="Z657" i="15"/>
  <c r="AA657" i="15"/>
  <c r="AC657" i="15"/>
  <c r="AG657" i="15"/>
  <c r="AH657" i="15"/>
  <c r="AI657" i="15"/>
  <c r="AJ657" i="15"/>
  <c r="AK657" i="15"/>
  <c r="AL657" i="15"/>
  <c r="AM657" i="15"/>
  <c r="AQ657" i="15"/>
  <c r="S658" i="15"/>
  <c r="T658" i="15"/>
  <c r="U658" i="15"/>
  <c r="W658" i="15"/>
  <c r="Y658" i="15"/>
  <c r="Z658" i="15"/>
  <c r="AA658" i="15"/>
  <c r="AC658" i="15"/>
  <c r="AG658" i="15"/>
  <c r="AH658" i="15"/>
  <c r="AI658" i="15"/>
  <c r="AJ658" i="15"/>
  <c r="AK658" i="15"/>
  <c r="AL658" i="15"/>
  <c r="AM658" i="15"/>
  <c r="AQ658" i="15"/>
  <c r="S659" i="15"/>
  <c r="T659" i="15"/>
  <c r="U659" i="15"/>
  <c r="W659" i="15"/>
  <c r="Y659" i="15"/>
  <c r="Z659" i="15"/>
  <c r="AA659" i="15"/>
  <c r="AC659" i="15"/>
  <c r="AG659" i="15"/>
  <c r="AH659" i="15"/>
  <c r="AI659" i="15"/>
  <c r="AJ659" i="15"/>
  <c r="AK659" i="15"/>
  <c r="AL659" i="15"/>
  <c r="AM659" i="15"/>
  <c r="AQ659" i="15"/>
  <c r="S660" i="15"/>
  <c r="T660" i="15"/>
  <c r="U660" i="15"/>
  <c r="W660" i="15"/>
  <c r="Y660" i="15"/>
  <c r="Z660" i="15"/>
  <c r="AA660" i="15"/>
  <c r="AC660" i="15"/>
  <c r="AG660" i="15"/>
  <c r="AH660" i="15"/>
  <c r="AI660" i="15"/>
  <c r="AJ660" i="15"/>
  <c r="AK660" i="15"/>
  <c r="AL660" i="15"/>
  <c r="AM660" i="15"/>
  <c r="AQ660" i="15"/>
  <c r="S661" i="15"/>
  <c r="T661" i="15"/>
  <c r="U661" i="15"/>
  <c r="W661" i="15"/>
  <c r="Y661" i="15"/>
  <c r="Z661" i="15"/>
  <c r="AA661" i="15"/>
  <c r="AC661" i="15"/>
  <c r="AG661" i="15"/>
  <c r="AH661" i="15"/>
  <c r="AI661" i="15"/>
  <c r="AJ661" i="15"/>
  <c r="AK661" i="15"/>
  <c r="AL661" i="15"/>
  <c r="AM661" i="15"/>
  <c r="AQ661" i="15"/>
  <c r="S662" i="15"/>
  <c r="T662" i="15"/>
  <c r="U662" i="15"/>
  <c r="W662" i="15"/>
  <c r="Y662" i="15"/>
  <c r="Z662" i="15"/>
  <c r="AA662" i="15"/>
  <c r="AC662" i="15"/>
  <c r="AG662" i="15"/>
  <c r="AH662" i="15"/>
  <c r="AI662" i="15"/>
  <c r="AJ662" i="15"/>
  <c r="AK662" i="15"/>
  <c r="AL662" i="15"/>
  <c r="AM662" i="15"/>
  <c r="AQ662" i="15"/>
  <c r="S663" i="15"/>
  <c r="T663" i="15"/>
  <c r="U663" i="15"/>
  <c r="W663" i="15"/>
  <c r="Y663" i="15"/>
  <c r="Z663" i="15"/>
  <c r="AA663" i="15"/>
  <c r="AC663" i="15"/>
  <c r="AG663" i="15"/>
  <c r="AH663" i="15"/>
  <c r="AI663" i="15"/>
  <c r="AJ663" i="15"/>
  <c r="AK663" i="15"/>
  <c r="AL663" i="15"/>
  <c r="AM663" i="15"/>
  <c r="AQ663" i="15"/>
  <c r="S664" i="15"/>
  <c r="T664" i="15"/>
  <c r="U664" i="15"/>
  <c r="W664" i="15"/>
  <c r="Y664" i="15"/>
  <c r="Z664" i="15"/>
  <c r="AA664" i="15"/>
  <c r="AC664" i="15"/>
  <c r="AG664" i="15"/>
  <c r="AH664" i="15"/>
  <c r="AI664" i="15"/>
  <c r="AJ664" i="15"/>
  <c r="AK664" i="15"/>
  <c r="AL664" i="15"/>
  <c r="AM664" i="15"/>
  <c r="AQ664" i="15"/>
  <c r="S665" i="15"/>
  <c r="T665" i="15"/>
  <c r="U665" i="15"/>
  <c r="W665" i="15"/>
  <c r="Y665" i="15"/>
  <c r="Z665" i="15"/>
  <c r="AA665" i="15"/>
  <c r="AC665" i="15"/>
  <c r="AG665" i="15"/>
  <c r="AH665" i="15"/>
  <c r="AI665" i="15"/>
  <c r="AJ665" i="15"/>
  <c r="AK665" i="15"/>
  <c r="AL665" i="15"/>
  <c r="AM665" i="15"/>
  <c r="AQ665" i="15"/>
  <c r="S666" i="15"/>
  <c r="T666" i="15"/>
  <c r="U666" i="15"/>
  <c r="W666" i="15"/>
  <c r="Y666" i="15"/>
  <c r="Z666" i="15"/>
  <c r="AA666" i="15"/>
  <c r="AC666" i="15"/>
  <c r="AG666" i="15"/>
  <c r="AH666" i="15"/>
  <c r="AI666" i="15"/>
  <c r="AJ666" i="15"/>
  <c r="AK666" i="15"/>
  <c r="AL666" i="15"/>
  <c r="AM666" i="15"/>
  <c r="AQ666" i="15"/>
  <c r="S667" i="15"/>
  <c r="T667" i="15"/>
  <c r="U667" i="15"/>
  <c r="W667" i="15"/>
  <c r="Y667" i="15"/>
  <c r="Z667" i="15"/>
  <c r="AA667" i="15"/>
  <c r="AC667" i="15"/>
  <c r="AG667" i="15"/>
  <c r="AH667" i="15"/>
  <c r="AI667" i="15"/>
  <c r="AJ667" i="15"/>
  <c r="AK667" i="15"/>
  <c r="AL667" i="15"/>
  <c r="AM667" i="15"/>
  <c r="AQ667" i="15"/>
  <c r="S668" i="15"/>
  <c r="T668" i="15"/>
  <c r="U668" i="15"/>
  <c r="W668" i="15"/>
  <c r="Y668" i="15"/>
  <c r="Z668" i="15"/>
  <c r="AA668" i="15"/>
  <c r="AC668" i="15"/>
  <c r="AG668" i="15"/>
  <c r="AH668" i="15"/>
  <c r="AI668" i="15"/>
  <c r="AJ668" i="15"/>
  <c r="AK668" i="15"/>
  <c r="AL668" i="15"/>
  <c r="AM668" i="15"/>
  <c r="AQ668" i="15"/>
  <c r="S669" i="15"/>
  <c r="T669" i="15"/>
  <c r="U669" i="15"/>
  <c r="W669" i="15"/>
  <c r="Y669" i="15"/>
  <c r="Z669" i="15"/>
  <c r="AA669" i="15"/>
  <c r="AC669" i="15"/>
  <c r="AG669" i="15"/>
  <c r="AH669" i="15"/>
  <c r="AI669" i="15"/>
  <c r="AJ669" i="15"/>
  <c r="AK669" i="15"/>
  <c r="AL669" i="15"/>
  <c r="AM669" i="15"/>
  <c r="AQ669" i="15"/>
  <c r="S670" i="15"/>
  <c r="T670" i="15"/>
  <c r="U670" i="15"/>
  <c r="W670" i="15"/>
  <c r="Y670" i="15"/>
  <c r="Z670" i="15"/>
  <c r="AA670" i="15"/>
  <c r="AC670" i="15"/>
  <c r="AG670" i="15"/>
  <c r="AH670" i="15"/>
  <c r="AI670" i="15"/>
  <c r="AJ670" i="15"/>
  <c r="AK670" i="15"/>
  <c r="AL670" i="15"/>
  <c r="AM670" i="15"/>
  <c r="AQ670" i="15"/>
  <c r="S671" i="15"/>
  <c r="T671" i="15"/>
  <c r="U671" i="15"/>
  <c r="W671" i="15"/>
  <c r="Y671" i="15"/>
  <c r="Z671" i="15"/>
  <c r="AA671" i="15"/>
  <c r="AC671" i="15"/>
  <c r="AG671" i="15"/>
  <c r="AH671" i="15"/>
  <c r="AI671" i="15"/>
  <c r="AJ671" i="15"/>
  <c r="AK671" i="15"/>
  <c r="AL671" i="15"/>
  <c r="AM671" i="15"/>
  <c r="AQ671" i="15"/>
  <c r="S672" i="15"/>
  <c r="T672" i="15"/>
  <c r="U672" i="15"/>
  <c r="W672" i="15"/>
  <c r="Y672" i="15"/>
  <c r="Z672" i="15"/>
  <c r="AA672" i="15"/>
  <c r="AC672" i="15"/>
  <c r="AG672" i="15"/>
  <c r="AH672" i="15"/>
  <c r="AI672" i="15"/>
  <c r="AJ672" i="15"/>
  <c r="AK672" i="15"/>
  <c r="AL672" i="15"/>
  <c r="AM672" i="15"/>
  <c r="AQ672" i="15"/>
  <c r="S673" i="15"/>
  <c r="T673" i="15"/>
  <c r="U673" i="15"/>
  <c r="W673" i="15"/>
  <c r="Y673" i="15"/>
  <c r="Z673" i="15"/>
  <c r="AA673" i="15"/>
  <c r="AC673" i="15"/>
  <c r="AG673" i="15"/>
  <c r="AH673" i="15"/>
  <c r="AI673" i="15"/>
  <c r="AJ673" i="15"/>
  <c r="AK673" i="15"/>
  <c r="AL673" i="15"/>
  <c r="AM673" i="15"/>
  <c r="AQ673" i="15"/>
  <c r="S674" i="15"/>
  <c r="T674" i="15"/>
  <c r="U674" i="15"/>
  <c r="W674" i="15"/>
  <c r="Y674" i="15"/>
  <c r="Z674" i="15"/>
  <c r="AA674" i="15"/>
  <c r="AC674" i="15"/>
  <c r="AG674" i="15"/>
  <c r="AH674" i="15"/>
  <c r="AI674" i="15"/>
  <c r="AJ674" i="15"/>
  <c r="AK674" i="15"/>
  <c r="AL674" i="15"/>
  <c r="AM674" i="15"/>
  <c r="AQ674" i="15"/>
  <c r="S675" i="15"/>
  <c r="T675" i="15"/>
  <c r="U675" i="15"/>
  <c r="W675" i="15"/>
  <c r="Y675" i="15"/>
  <c r="Z675" i="15"/>
  <c r="AA675" i="15"/>
  <c r="AC675" i="15"/>
  <c r="AG675" i="15"/>
  <c r="AH675" i="15"/>
  <c r="AI675" i="15"/>
  <c r="AJ675" i="15"/>
  <c r="AK675" i="15"/>
  <c r="AL675" i="15"/>
  <c r="AM675" i="15"/>
  <c r="AQ675" i="15"/>
  <c r="S676" i="15"/>
  <c r="T676" i="15"/>
  <c r="U676" i="15"/>
  <c r="W676" i="15"/>
  <c r="Y676" i="15"/>
  <c r="Z676" i="15"/>
  <c r="AA676" i="15"/>
  <c r="AC676" i="15"/>
  <c r="AG676" i="15"/>
  <c r="AH676" i="15"/>
  <c r="AI676" i="15"/>
  <c r="AJ676" i="15"/>
  <c r="AK676" i="15"/>
  <c r="AL676" i="15"/>
  <c r="AM676" i="15"/>
  <c r="AQ676" i="15"/>
  <c r="S677" i="15"/>
  <c r="T677" i="15"/>
  <c r="U677" i="15"/>
  <c r="W677" i="15"/>
  <c r="Y677" i="15"/>
  <c r="Z677" i="15"/>
  <c r="AA677" i="15"/>
  <c r="AC677" i="15"/>
  <c r="AG677" i="15"/>
  <c r="AH677" i="15"/>
  <c r="AI677" i="15"/>
  <c r="AJ677" i="15"/>
  <c r="AK677" i="15"/>
  <c r="AL677" i="15"/>
  <c r="AM677" i="15"/>
  <c r="AQ677" i="15"/>
  <c r="S678" i="15"/>
  <c r="T678" i="15"/>
  <c r="U678" i="15"/>
  <c r="W678" i="15"/>
  <c r="Y678" i="15"/>
  <c r="Z678" i="15"/>
  <c r="AA678" i="15"/>
  <c r="AC678" i="15"/>
  <c r="AG678" i="15"/>
  <c r="AH678" i="15"/>
  <c r="AI678" i="15"/>
  <c r="AJ678" i="15"/>
  <c r="AK678" i="15"/>
  <c r="AL678" i="15"/>
  <c r="AM678" i="15"/>
  <c r="AQ678" i="15"/>
  <c r="S679" i="15"/>
  <c r="T679" i="15"/>
  <c r="U679" i="15"/>
  <c r="W679" i="15"/>
  <c r="Y679" i="15"/>
  <c r="Z679" i="15"/>
  <c r="AA679" i="15"/>
  <c r="AC679" i="15"/>
  <c r="AG679" i="15"/>
  <c r="AH679" i="15"/>
  <c r="AI679" i="15"/>
  <c r="AJ679" i="15"/>
  <c r="AK679" i="15"/>
  <c r="AL679" i="15"/>
  <c r="AM679" i="15"/>
  <c r="AQ679" i="15"/>
  <c r="S680" i="15"/>
  <c r="T680" i="15"/>
  <c r="U680" i="15"/>
  <c r="W680" i="15"/>
  <c r="Y680" i="15"/>
  <c r="Z680" i="15"/>
  <c r="AA680" i="15"/>
  <c r="AC680" i="15"/>
  <c r="AG680" i="15"/>
  <c r="AH680" i="15"/>
  <c r="AI680" i="15"/>
  <c r="AJ680" i="15"/>
  <c r="AK680" i="15"/>
  <c r="AL680" i="15"/>
  <c r="AM680" i="15"/>
  <c r="AQ680" i="15"/>
  <c r="S681" i="15"/>
  <c r="T681" i="15"/>
  <c r="U681" i="15"/>
  <c r="W681" i="15"/>
  <c r="Y681" i="15"/>
  <c r="Z681" i="15"/>
  <c r="AA681" i="15"/>
  <c r="AC681" i="15"/>
  <c r="AG681" i="15"/>
  <c r="AH681" i="15"/>
  <c r="AI681" i="15"/>
  <c r="AJ681" i="15"/>
  <c r="AK681" i="15"/>
  <c r="AL681" i="15"/>
  <c r="AM681" i="15"/>
  <c r="AQ681" i="15"/>
  <c r="S682" i="15"/>
  <c r="T682" i="15"/>
  <c r="U682" i="15"/>
  <c r="W682" i="15"/>
  <c r="Y682" i="15"/>
  <c r="Z682" i="15"/>
  <c r="AA682" i="15"/>
  <c r="AC682" i="15"/>
  <c r="AG682" i="15"/>
  <c r="AH682" i="15"/>
  <c r="AI682" i="15"/>
  <c r="AJ682" i="15"/>
  <c r="AK682" i="15"/>
  <c r="AL682" i="15"/>
  <c r="AM682" i="15"/>
  <c r="AQ682" i="15"/>
  <c r="S683" i="15"/>
  <c r="T683" i="15"/>
  <c r="U683" i="15"/>
  <c r="W683" i="15"/>
  <c r="Y683" i="15"/>
  <c r="Z683" i="15"/>
  <c r="AA683" i="15"/>
  <c r="AC683" i="15"/>
  <c r="AG683" i="15"/>
  <c r="AH683" i="15"/>
  <c r="AI683" i="15"/>
  <c r="AJ683" i="15"/>
  <c r="AK683" i="15"/>
  <c r="AL683" i="15"/>
  <c r="AM683" i="15"/>
  <c r="AQ683" i="15"/>
  <c r="S684" i="15"/>
  <c r="T684" i="15"/>
  <c r="U684" i="15"/>
  <c r="W684" i="15"/>
  <c r="Y684" i="15"/>
  <c r="Z684" i="15"/>
  <c r="AA684" i="15"/>
  <c r="AC684" i="15"/>
  <c r="AG684" i="15"/>
  <c r="AH684" i="15"/>
  <c r="AI684" i="15"/>
  <c r="AJ684" i="15"/>
  <c r="AK684" i="15"/>
  <c r="AL684" i="15"/>
  <c r="AM684" i="15"/>
  <c r="AQ684" i="15"/>
  <c r="S685" i="15"/>
  <c r="T685" i="15"/>
  <c r="U685" i="15"/>
  <c r="W685" i="15"/>
  <c r="Y685" i="15"/>
  <c r="Z685" i="15"/>
  <c r="AA685" i="15"/>
  <c r="AC685" i="15"/>
  <c r="AG685" i="15"/>
  <c r="AH685" i="15"/>
  <c r="AI685" i="15"/>
  <c r="AJ685" i="15"/>
  <c r="AK685" i="15"/>
  <c r="AL685" i="15"/>
  <c r="AM685" i="15"/>
  <c r="AQ685" i="15"/>
  <c r="S686" i="15"/>
  <c r="T686" i="15"/>
  <c r="U686" i="15"/>
  <c r="W686" i="15"/>
  <c r="Y686" i="15"/>
  <c r="Z686" i="15"/>
  <c r="AA686" i="15"/>
  <c r="AC686" i="15"/>
  <c r="AG686" i="15"/>
  <c r="AH686" i="15"/>
  <c r="AI686" i="15"/>
  <c r="AJ686" i="15"/>
  <c r="AK686" i="15"/>
  <c r="AL686" i="15"/>
  <c r="AM686" i="15"/>
  <c r="AQ686" i="15"/>
  <c r="S687" i="15"/>
  <c r="T687" i="15"/>
  <c r="U687" i="15"/>
  <c r="W687" i="15"/>
  <c r="Y687" i="15"/>
  <c r="Z687" i="15"/>
  <c r="AA687" i="15"/>
  <c r="AC687" i="15"/>
  <c r="AG687" i="15"/>
  <c r="AH687" i="15"/>
  <c r="AI687" i="15"/>
  <c r="AJ687" i="15"/>
  <c r="AK687" i="15"/>
  <c r="AL687" i="15"/>
  <c r="AM687" i="15"/>
  <c r="AQ687" i="15"/>
  <c r="S688" i="15"/>
  <c r="T688" i="15"/>
  <c r="U688" i="15"/>
  <c r="W688" i="15"/>
  <c r="Y688" i="15"/>
  <c r="Z688" i="15"/>
  <c r="AA688" i="15"/>
  <c r="AC688" i="15"/>
  <c r="AG688" i="15"/>
  <c r="AH688" i="15"/>
  <c r="AI688" i="15"/>
  <c r="AJ688" i="15"/>
  <c r="AK688" i="15"/>
  <c r="AL688" i="15"/>
  <c r="AM688" i="15"/>
  <c r="AQ688" i="15"/>
  <c r="S689" i="15"/>
  <c r="T689" i="15"/>
  <c r="U689" i="15"/>
  <c r="W689" i="15"/>
  <c r="Y689" i="15"/>
  <c r="Z689" i="15"/>
  <c r="AA689" i="15"/>
  <c r="AC689" i="15"/>
  <c r="AG689" i="15"/>
  <c r="AH689" i="15"/>
  <c r="AI689" i="15"/>
  <c r="AJ689" i="15"/>
  <c r="AK689" i="15"/>
  <c r="AL689" i="15"/>
  <c r="AM689" i="15"/>
  <c r="AQ689" i="15"/>
  <c r="S690" i="15"/>
  <c r="T690" i="15"/>
  <c r="U690" i="15"/>
  <c r="W690" i="15"/>
  <c r="Y690" i="15"/>
  <c r="Z690" i="15"/>
  <c r="AA690" i="15"/>
  <c r="AC690" i="15"/>
  <c r="AG690" i="15"/>
  <c r="AH690" i="15"/>
  <c r="AI690" i="15"/>
  <c r="AJ690" i="15"/>
  <c r="AK690" i="15"/>
  <c r="AL690" i="15"/>
  <c r="AM690" i="15"/>
  <c r="AQ690" i="15"/>
  <c r="S691" i="15"/>
  <c r="T691" i="15"/>
  <c r="U691" i="15"/>
  <c r="W691" i="15"/>
  <c r="Y691" i="15"/>
  <c r="Z691" i="15"/>
  <c r="AA691" i="15"/>
  <c r="AC691" i="15"/>
  <c r="AG691" i="15"/>
  <c r="AH691" i="15"/>
  <c r="AI691" i="15"/>
  <c r="AJ691" i="15"/>
  <c r="AK691" i="15"/>
  <c r="AL691" i="15"/>
  <c r="AM691" i="15"/>
  <c r="AQ691" i="15"/>
  <c r="S692" i="15"/>
  <c r="T692" i="15"/>
  <c r="U692" i="15"/>
  <c r="W692" i="15"/>
  <c r="Y692" i="15"/>
  <c r="Z692" i="15"/>
  <c r="AA692" i="15"/>
  <c r="AC692" i="15"/>
  <c r="AG692" i="15"/>
  <c r="AH692" i="15"/>
  <c r="AI692" i="15"/>
  <c r="AJ692" i="15"/>
  <c r="AK692" i="15"/>
  <c r="AL692" i="15"/>
  <c r="AM692" i="15"/>
  <c r="AQ692" i="15"/>
  <c r="S693" i="15"/>
  <c r="T693" i="15"/>
  <c r="U693" i="15"/>
  <c r="W693" i="15"/>
  <c r="Y693" i="15"/>
  <c r="Z693" i="15"/>
  <c r="AA693" i="15"/>
  <c r="AC693" i="15"/>
  <c r="AG693" i="15"/>
  <c r="AH693" i="15"/>
  <c r="AI693" i="15"/>
  <c r="AJ693" i="15"/>
  <c r="AK693" i="15"/>
  <c r="AL693" i="15"/>
  <c r="AM693" i="15"/>
  <c r="AQ693" i="15"/>
  <c r="S694" i="15"/>
  <c r="T694" i="15"/>
  <c r="U694" i="15"/>
  <c r="W694" i="15"/>
  <c r="Y694" i="15"/>
  <c r="Z694" i="15"/>
  <c r="AA694" i="15"/>
  <c r="AC694" i="15"/>
  <c r="AG694" i="15"/>
  <c r="AH694" i="15"/>
  <c r="AI694" i="15"/>
  <c r="AJ694" i="15"/>
  <c r="AK694" i="15"/>
  <c r="AL694" i="15"/>
  <c r="AM694" i="15"/>
  <c r="AQ694" i="15"/>
  <c r="S695" i="15"/>
  <c r="T695" i="15"/>
  <c r="U695" i="15"/>
  <c r="W695" i="15"/>
  <c r="Y695" i="15"/>
  <c r="Z695" i="15"/>
  <c r="AA695" i="15"/>
  <c r="AC695" i="15"/>
  <c r="AG695" i="15"/>
  <c r="AH695" i="15"/>
  <c r="AI695" i="15"/>
  <c r="AJ695" i="15"/>
  <c r="AK695" i="15"/>
  <c r="AL695" i="15"/>
  <c r="AM695" i="15"/>
  <c r="AQ695" i="15"/>
  <c r="S696" i="15"/>
  <c r="T696" i="15"/>
  <c r="U696" i="15"/>
  <c r="W696" i="15"/>
  <c r="Y696" i="15"/>
  <c r="Z696" i="15"/>
  <c r="AA696" i="15"/>
  <c r="AC696" i="15"/>
  <c r="AG696" i="15"/>
  <c r="AH696" i="15"/>
  <c r="AI696" i="15"/>
  <c r="AJ696" i="15"/>
  <c r="AK696" i="15"/>
  <c r="AL696" i="15"/>
  <c r="AM696" i="15"/>
  <c r="AQ696" i="15"/>
  <c r="S697" i="15"/>
  <c r="T697" i="15"/>
  <c r="U697" i="15"/>
  <c r="W697" i="15"/>
  <c r="Y697" i="15"/>
  <c r="Z697" i="15"/>
  <c r="AA697" i="15"/>
  <c r="AC697" i="15"/>
  <c r="AG697" i="15"/>
  <c r="AH697" i="15"/>
  <c r="AI697" i="15"/>
  <c r="AJ697" i="15"/>
  <c r="AK697" i="15"/>
  <c r="AL697" i="15"/>
  <c r="AM697" i="15"/>
  <c r="AQ697" i="15"/>
  <c r="S698" i="15"/>
  <c r="T698" i="15"/>
  <c r="U698" i="15"/>
  <c r="W698" i="15"/>
  <c r="Y698" i="15"/>
  <c r="Z698" i="15"/>
  <c r="AA698" i="15"/>
  <c r="AC698" i="15"/>
  <c r="AG698" i="15"/>
  <c r="AH698" i="15"/>
  <c r="AI698" i="15"/>
  <c r="AJ698" i="15"/>
  <c r="AK698" i="15"/>
  <c r="AL698" i="15"/>
  <c r="AM698" i="15"/>
  <c r="AQ698" i="15"/>
  <c r="S699" i="15"/>
  <c r="T699" i="15"/>
  <c r="U699" i="15"/>
  <c r="W699" i="15"/>
  <c r="Y699" i="15"/>
  <c r="Z699" i="15"/>
  <c r="AA699" i="15"/>
  <c r="AC699" i="15"/>
  <c r="AG699" i="15"/>
  <c r="AH699" i="15"/>
  <c r="AI699" i="15"/>
  <c r="AJ699" i="15"/>
  <c r="AK699" i="15"/>
  <c r="AL699" i="15"/>
  <c r="AM699" i="15"/>
  <c r="AQ699" i="15"/>
  <c r="S700" i="15"/>
  <c r="T700" i="15"/>
  <c r="U700" i="15"/>
  <c r="W700" i="15"/>
  <c r="Y700" i="15"/>
  <c r="Z700" i="15"/>
  <c r="AA700" i="15"/>
  <c r="AC700" i="15"/>
  <c r="AG700" i="15"/>
  <c r="AH700" i="15"/>
  <c r="AI700" i="15"/>
  <c r="AJ700" i="15"/>
  <c r="AK700" i="15"/>
  <c r="AL700" i="15"/>
  <c r="AQ700" i="15"/>
  <c r="S701" i="15"/>
  <c r="T701" i="15"/>
  <c r="U701" i="15"/>
  <c r="W701" i="15"/>
  <c r="Y701" i="15"/>
  <c r="Z701" i="15"/>
  <c r="AA701" i="15"/>
  <c r="AC701" i="15"/>
  <c r="AG701" i="15"/>
  <c r="AH701" i="15"/>
  <c r="AI701" i="15"/>
  <c r="AJ701" i="15"/>
  <c r="AK701" i="15"/>
  <c r="AL701" i="15"/>
  <c r="AM701" i="15"/>
  <c r="AQ701" i="15"/>
  <c r="S702" i="15"/>
  <c r="T702" i="15"/>
  <c r="U702" i="15"/>
  <c r="W702" i="15"/>
  <c r="Y702" i="15"/>
  <c r="Z702" i="15"/>
  <c r="AA702" i="15"/>
  <c r="AC702" i="15"/>
  <c r="AG702" i="15"/>
  <c r="AH702" i="15"/>
  <c r="AI702" i="15"/>
  <c r="AJ702" i="15"/>
  <c r="AK702" i="15"/>
  <c r="AL702" i="15"/>
  <c r="AQ702" i="15"/>
  <c r="S703" i="15"/>
  <c r="T703" i="15"/>
  <c r="U703" i="15"/>
  <c r="W703" i="15"/>
  <c r="Y703" i="15"/>
  <c r="Z703" i="15"/>
  <c r="AA703" i="15"/>
  <c r="AC703" i="15"/>
  <c r="AG703" i="15"/>
  <c r="AH703" i="15"/>
  <c r="AI703" i="15"/>
  <c r="AJ703" i="15"/>
  <c r="AK703" i="15"/>
  <c r="AL703" i="15"/>
  <c r="AM703" i="15"/>
  <c r="AQ703" i="15"/>
  <c r="S704" i="15"/>
  <c r="T704" i="15"/>
  <c r="U704" i="15"/>
  <c r="W704" i="15"/>
  <c r="Y704" i="15"/>
  <c r="Z704" i="15"/>
  <c r="AA704" i="15"/>
  <c r="AC704" i="15"/>
  <c r="AG704" i="15"/>
  <c r="AH704" i="15"/>
  <c r="AI704" i="15"/>
  <c r="AJ704" i="15"/>
  <c r="AK704" i="15"/>
  <c r="AL704" i="15"/>
  <c r="AM704" i="15"/>
  <c r="AQ704" i="15"/>
  <c r="S705" i="15"/>
  <c r="T705" i="15"/>
  <c r="U705" i="15"/>
  <c r="W705" i="15"/>
  <c r="Y705" i="15"/>
  <c r="Z705" i="15"/>
  <c r="AA705" i="15"/>
  <c r="AC705" i="15"/>
  <c r="AG705" i="15"/>
  <c r="AH705" i="15"/>
  <c r="AI705" i="15"/>
  <c r="AJ705" i="15"/>
  <c r="AK705" i="15"/>
  <c r="AL705" i="15"/>
  <c r="AM705" i="15"/>
  <c r="AQ705" i="15"/>
  <c r="S706" i="15"/>
  <c r="T706" i="15"/>
  <c r="U706" i="15"/>
  <c r="W706" i="15"/>
  <c r="Y706" i="15"/>
  <c r="Z706" i="15"/>
  <c r="AA706" i="15"/>
  <c r="AC706" i="15"/>
  <c r="AG706" i="15"/>
  <c r="AH706" i="15"/>
  <c r="AI706" i="15"/>
  <c r="AJ706" i="15"/>
  <c r="AK706" i="15"/>
  <c r="AL706" i="15"/>
  <c r="AM706" i="15"/>
  <c r="AQ706" i="15"/>
  <c r="S707" i="15"/>
  <c r="T707" i="15"/>
  <c r="U707" i="15"/>
  <c r="W707" i="15"/>
  <c r="Y707" i="15"/>
  <c r="Z707" i="15"/>
  <c r="AA707" i="15"/>
  <c r="AC707" i="15"/>
  <c r="AG707" i="15"/>
  <c r="AH707" i="15"/>
  <c r="AI707" i="15"/>
  <c r="AJ707" i="15"/>
  <c r="AK707" i="15"/>
  <c r="AL707" i="15"/>
  <c r="AM707" i="15"/>
  <c r="AQ707" i="15"/>
  <c r="S708" i="15"/>
  <c r="T708" i="15"/>
  <c r="U708" i="15"/>
  <c r="W708" i="15"/>
  <c r="Y708" i="15"/>
  <c r="Z708" i="15"/>
  <c r="AA708" i="15"/>
  <c r="AC708" i="15"/>
  <c r="AG708" i="15"/>
  <c r="AH708" i="15"/>
  <c r="AI708" i="15"/>
  <c r="AJ708" i="15"/>
  <c r="AK708" i="15"/>
  <c r="AL708" i="15"/>
  <c r="AM708" i="15"/>
  <c r="AQ708" i="15"/>
  <c r="S709" i="15"/>
  <c r="T709" i="15"/>
  <c r="U709" i="15"/>
  <c r="W709" i="15"/>
  <c r="Y709" i="15"/>
  <c r="Z709" i="15"/>
  <c r="AA709" i="15"/>
  <c r="AC709" i="15"/>
  <c r="AG709" i="15"/>
  <c r="AH709" i="15"/>
  <c r="AI709" i="15"/>
  <c r="AJ709" i="15"/>
  <c r="AK709" i="15"/>
  <c r="AL709" i="15"/>
  <c r="AM709" i="15"/>
  <c r="AQ709" i="15"/>
  <c r="S710" i="15"/>
  <c r="T710" i="15"/>
  <c r="U710" i="15"/>
  <c r="W710" i="15"/>
  <c r="Y710" i="15"/>
  <c r="Z710" i="15"/>
  <c r="AA710" i="15"/>
  <c r="AC710" i="15"/>
  <c r="AG710" i="15"/>
  <c r="AH710" i="15"/>
  <c r="AI710" i="15"/>
  <c r="AJ710" i="15"/>
  <c r="AK710" i="15"/>
  <c r="AL710" i="15"/>
  <c r="AM710" i="15"/>
  <c r="AQ710" i="15"/>
  <c r="S711" i="15"/>
  <c r="T711" i="15"/>
  <c r="U711" i="15"/>
  <c r="W711" i="15"/>
  <c r="Y711" i="15"/>
  <c r="Z711" i="15"/>
  <c r="AA711" i="15"/>
  <c r="AC711" i="15"/>
  <c r="AG711" i="15"/>
  <c r="AH711" i="15"/>
  <c r="AI711" i="15"/>
  <c r="AJ711" i="15"/>
  <c r="AK711" i="15"/>
  <c r="AL711" i="15"/>
  <c r="AM711" i="15"/>
  <c r="AQ711" i="15"/>
  <c r="S712" i="15"/>
  <c r="T712" i="15"/>
  <c r="U712" i="15"/>
  <c r="W712" i="15"/>
  <c r="Y712" i="15"/>
  <c r="Z712" i="15"/>
  <c r="AA712" i="15"/>
  <c r="AC712" i="15"/>
  <c r="AG712" i="15"/>
  <c r="AH712" i="15"/>
  <c r="AI712" i="15"/>
  <c r="AJ712" i="15"/>
  <c r="AK712" i="15"/>
  <c r="AL712" i="15"/>
  <c r="AM712" i="15"/>
  <c r="AQ712" i="15"/>
  <c r="S713" i="15"/>
  <c r="T713" i="15"/>
  <c r="U713" i="15"/>
  <c r="W713" i="15"/>
  <c r="Y713" i="15"/>
  <c r="Z713" i="15"/>
  <c r="AA713" i="15"/>
  <c r="AC713" i="15"/>
  <c r="AG713" i="15"/>
  <c r="AH713" i="15"/>
  <c r="AI713" i="15"/>
  <c r="AJ713" i="15"/>
  <c r="AK713" i="15"/>
  <c r="AL713" i="15"/>
  <c r="AM713" i="15"/>
  <c r="AQ713" i="15"/>
  <c r="S714" i="15"/>
  <c r="T714" i="15"/>
  <c r="U714" i="15"/>
  <c r="W714" i="15"/>
  <c r="Y714" i="15"/>
  <c r="Z714" i="15"/>
  <c r="AA714" i="15"/>
  <c r="AC714" i="15"/>
  <c r="AG714" i="15"/>
  <c r="AH714" i="15"/>
  <c r="AI714" i="15"/>
  <c r="AJ714" i="15"/>
  <c r="AK714" i="15"/>
  <c r="AL714" i="15"/>
  <c r="AM714" i="15"/>
  <c r="AQ714" i="15"/>
  <c r="S715" i="15"/>
  <c r="T715" i="15"/>
  <c r="U715" i="15"/>
  <c r="W715" i="15"/>
  <c r="Y715" i="15"/>
  <c r="Z715" i="15"/>
  <c r="AA715" i="15"/>
  <c r="AC715" i="15"/>
  <c r="AG715" i="15"/>
  <c r="AH715" i="15"/>
  <c r="AI715" i="15"/>
  <c r="AJ715" i="15"/>
  <c r="AK715" i="15"/>
  <c r="AL715" i="15"/>
  <c r="AM715" i="15"/>
  <c r="AQ715" i="15"/>
  <c r="S616" i="15"/>
  <c r="T616" i="15"/>
  <c r="U616" i="15"/>
  <c r="W616" i="15"/>
  <c r="Y616" i="15"/>
  <c r="Z616" i="15"/>
  <c r="AA616" i="15"/>
  <c r="AC616" i="15"/>
  <c r="AG616" i="15"/>
  <c r="AH616" i="15"/>
  <c r="AI616" i="15"/>
  <c r="AJ616" i="15"/>
  <c r="AK616" i="15"/>
  <c r="AL616" i="15"/>
  <c r="AM616" i="15"/>
  <c r="AQ616" i="15"/>
  <c r="S617" i="15"/>
  <c r="T617" i="15"/>
  <c r="U617" i="15"/>
  <c r="W617" i="15"/>
  <c r="Y617" i="15"/>
  <c r="Z617" i="15"/>
  <c r="AA617" i="15"/>
  <c r="AC617" i="15"/>
  <c r="AG617" i="15"/>
  <c r="AH617" i="15"/>
  <c r="AI617" i="15"/>
  <c r="AJ617" i="15"/>
  <c r="AK617" i="15"/>
  <c r="AL617" i="15"/>
  <c r="AM617" i="15"/>
  <c r="AQ617" i="15"/>
  <c r="S618" i="15"/>
  <c r="T618" i="15"/>
  <c r="U618" i="15"/>
  <c r="W618" i="15"/>
  <c r="Y618" i="15"/>
  <c r="Z618" i="15"/>
  <c r="AA618" i="15"/>
  <c r="AC618" i="15"/>
  <c r="AG618" i="15"/>
  <c r="AH618" i="15"/>
  <c r="AI618" i="15"/>
  <c r="AJ618" i="15"/>
  <c r="AK618" i="15"/>
  <c r="AL618" i="15"/>
  <c r="AM618" i="15"/>
  <c r="AQ618" i="15"/>
  <c r="S619" i="15"/>
  <c r="T619" i="15"/>
  <c r="U619" i="15"/>
  <c r="W619" i="15"/>
  <c r="Y619" i="15"/>
  <c r="Z619" i="15"/>
  <c r="AA619" i="15"/>
  <c r="AC619" i="15"/>
  <c r="AG619" i="15"/>
  <c r="AH619" i="15"/>
  <c r="AI619" i="15"/>
  <c r="AJ619" i="15"/>
  <c r="AK619" i="15"/>
  <c r="AL619" i="15"/>
  <c r="AM619" i="15"/>
  <c r="AQ619" i="15"/>
  <c r="AQ615" i="15"/>
  <c r="AM615" i="15"/>
  <c r="AA615" i="15"/>
  <c r="L615" i="15"/>
  <c r="U615" i="15"/>
  <c r="AL615" i="15"/>
  <c r="Z615" i="15"/>
  <c r="K615" i="15"/>
  <c r="T615" i="15"/>
  <c r="W615" i="15"/>
  <c r="AK615" i="15"/>
  <c r="Y615" i="15"/>
  <c r="J615" i="15"/>
  <c r="S615" i="15"/>
  <c r="AJ615" i="15"/>
  <c r="AI615" i="15"/>
  <c r="AH615" i="15"/>
  <c r="AG615" i="15"/>
  <c r="AC615" i="15"/>
  <c r="I615" i="15"/>
  <c r="AQ614" i="15"/>
  <c r="AM614" i="15"/>
  <c r="AA614" i="15"/>
  <c r="L614" i="15"/>
  <c r="U614" i="15"/>
  <c r="AL614" i="15"/>
  <c r="Z614" i="15"/>
  <c r="K614" i="15"/>
  <c r="T614" i="15"/>
  <c r="W614" i="15"/>
  <c r="AK614" i="15"/>
  <c r="Y614" i="15"/>
  <c r="J614" i="15"/>
  <c r="S614" i="15"/>
  <c r="AJ614" i="15"/>
  <c r="AI614" i="15"/>
  <c r="AH614" i="15"/>
  <c r="AG614" i="15"/>
  <c r="AC614" i="15"/>
  <c r="I614" i="15"/>
  <c r="AQ613" i="15"/>
  <c r="AM613" i="15"/>
  <c r="AA613" i="15"/>
  <c r="L613" i="15"/>
  <c r="U613" i="15"/>
  <c r="AL613" i="15"/>
  <c r="Z613" i="15"/>
  <c r="K613" i="15"/>
  <c r="T613" i="15"/>
  <c r="W613" i="15"/>
  <c r="AK613" i="15"/>
  <c r="Y613" i="15"/>
  <c r="J613" i="15"/>
  <c r="S613" i="15"/>
  <c r="AJ613" i="15"/>
  <c r="AI613" i="15"/>
  <c r="AH613" i="15"/>
  <c r="AG613" i="15"/>
  <c r="AC613" i="15"/>
  <c r="I613" i="15"/>
  <c r="AQ612" i="15"/>
  <c r="AM612" i="15"/>
  <c r="AA612" i="15"/>
  <c r="L612" i="15"/>
  <c r="U612" i="15"/>
  <c r="AL612" i="15"/>
  <c r="Z612" i="15"/>
  <c r="K612" i="15"/>
  <c r="T612" i="15"/>
  <c r="W612" i="15"/>
  <c r="AK612" i="15"/>
  <c r="Y612" i="15"/>
  <c r="J612" i="15"/>
  <c r="S612" i="15"/>
  <c r="AJ612" i="15"/>
  <c r="AI612" i="15"/>
  <c r="AH612" i="15"/>
  <c r="AG612" i="15"/>
  <c r="AC612" i="15"/>
  <c r="I612" i="15"/>
  <c r="AQ611" i="15"/>
  <c r="AM611" i="15"/>
  <c r="AA611" i="15"/>
  <c r="L611" i="15"/>
  <c r="U611" i="15"/>
  <c r="AL611" i="15"/>
  <c r="Z611" i="15"/>
  <c r="K611" i="15"/>
  <c r="T611" i="15"/>
  <c r="W611" i="15"/>
  <c r="AK611" i="15"/>
  <c r="Y611" i="15"/>
  <c r="J611" i="15"/>
  <c r="S611" i="15"/>
  <c r="AJ611" i="15"/>
  <c r="AI611" i="15"/>
  <c r="AH611" i="15"/>
  <c r="AG611" i="15"/>
  <c r="AC611" i="15"/>
  <c r="I611" i="15"/>
  <c r="AQ610" i="15"/>
  <c r="AM610" i="15"/>
  <c r="AA610" i="15"/>
  <c r="L610" i="15"/>
  <c r="U610" i="15"/>
  <c r="AL610" i="15"/>
  <c r="Z610" i="15"/>
  <c r="K610" i="15"/>
  <c r="T610" i="15"/>
  <c r="W610" i="15"/>
  <c r="AK610" i="15"/>
  <c r="Y610" i="15"/>
  <c r="J610" i="15"/>
  <c r="S610" i="15"/>
  <c r="AJ610" i="15"/>
  <c r="AI610" i="15"/>
  <c r="AH610" i="15"/>
  <c r="AG610" i="15"/>
  <c r="AC610" i="15"/>
  <c r="I610" i="15"/>
  <c r="AQ609" i="15"/>
  <c r="AM609" i="15"/>
  <c r="AA609" i="15"/>
  <c r="L609" i="15"/>
  <c r="U609" i="15"/>
  <c r="AL609" i="15"/>
  <c r="Z609" i="15"/>
  <c r="K609" i="15"/>
  <c r="T609" i="15"/>
  <c r="W609" i="15"/>
  <c r="AK609" i="15"/>
  <c r="Y609" i="15"/>
  <c r="J609" i="15"/>
  <c r="S609" i="15"/>
  <c r="AJ609" i="15"/>
  <c r="AI609" i="15"/>
  <c r="AH609" i="15"/>
  <c r="AG609" i="15"/>
  <c r="AC609" i="15"/>
  <c r="I609" i="15"/>
  <c r="AQ608" i="15"/>
  <c r="AM608" i="15"/>
  <c r="AA608" i="15"/>
  <c r="L608" i="15"/>
  <c r="U608" i="15"/>
  <c r="AL608" i="15"/>
  <c r="Z608" i="15"/>
  <c r="K608" i="15"/>
  <c r="T608" i="15"/>
  <c r="W608" i="15"/>
  <c r="AK608" i="15"/>
  <c r="Y608" i="15"/>
  <c r="J608" i="15"/>
  <c r="S608" i="15"/>
  <c r="AJ608" i="15"/>
  <c r="AI608" i="15"/>
  <c r="AH608" i="15"/>
  <c r="AG608" i="15"/>
  <c r="AC608" i="15"/>
  <c r="I608" i="15"/>
  <c r="AQ607" i="15"/>
  <c r="AM607" i="15"/>
  <c r="AA607" i="15"/>
  <c r="U607" i="15"/>
  <c r="AL607" i="15"/>
  <c r="Z607" i="15"/>
  <c r="T607" i="15"/>
  <c r="W607" i="15"/>
  <c r="AK607" i="15"/>
  <c r="Y607" i="15"/>
  <c r="S607" i="15"/>
  <c r="AJ607" i="15"/>
  <c r="AI607" i="15"/>
  <c r="AH607" i="15"/>
  <c r="AG607" i="15"/>
  <c r="AC607" i="15"/>
  <c r="AQ606" i="15"/>
  <c r="AM606" i="15"/>
  <c r="AA606" i="15"/>
  <c r="U606" i="15"/>
  <c r="AL606" i="15"/>
  <c r="Z606" i="15"/>
  <c r="T606" i="15"/>
  <c r="W606" i="15"/>
  <c r="AK606" i="15"/>
  <c r="Y606" i="15"/>
  <c r="S606" i="15"/>
  <c r="AJ606" i="15"/>
  <c r="AI606" i="15"/>
  <c r="AH606" i="15"/>
  <c r="AG606" i="15"/>
  <c r="AC606" i="15"/>
  <c r="AQ605" i="15"/>
  <c r="AM605" i="15"/>
  <c r="AA605" i="15"/>
  <c r="U605" i="15"/>
  <c r="AL605" i="15"/>
  <c r="Z605" i="15"/>
  <c r="T605" i="15"/>
  <c r="W605" i="15"/>
  <c r="AK605" i="15"/>
  <c r="Y605" i="15"/>
  <c r="S605" i="15"/>
  <c r="AJ605" i="15"/>
  <c r="AI605" i="15"/>
  <c r="AH605" i="15"/>
  <c r="AG605" i="15"/>
  <c r="AC605" i="15"/>
  <c r="AQ604" i="15"/>
  <c r="AM604" i="15"/>
  <c r="AA604" i="15"/>
  <c r="U604" i="15"/>
  <c r="AL604" i="15"/>
  <c r="Z604" i="15"/>
  <c r="T604" i="15"/>
  <c r="W604" i="15"/>
  <c r="AK604" i="15"/>
  <c r="Y604" i="15"/>
  <c r="S604" i="15"/>
  <c r="AJ604" i="15"/>
  <c r="AI604" i="15"/>
  <c r="AH604" i="15"/>
  <c r="AG604" i="15"/>
  <c r="AC604" i="15"/>
  <c r="AQ603" i="15"/>
  <c r="AM603" i="15"/>
  <c r="AA603" i="15"/>
  <c r="U603" i="15"/>
  <c r="AL603" i="15"/>
  <c r="Z603" i="15"/>
  <c r="T603" i="15"/>
  <c r="W603" i="15"/>
  <c r="AK603" i="15"/>
  <c r="Y603" i="15"/>
  <c r="S603" i="15"/>
  <c r="AJ603" i="15"/>
  <c r="AI603" i="15"/>
  <c r="AH603" i="15"/>
  <c r="AG603" i="15"/>
  <c r="AC603" i="15"/>
  <c r="AQ602" i="15"/>
  <c r="AM602" i="15"/>
  <c r="AA602" i="15"/>
  <c r="U602" i="15"/>
  <c r="AL602" i="15"/>
  <c r="Z602" i="15"/>
  <c r="T602" i="15"/>
  <c r="W602" i="15"/>
  <c r="AK602" i="15"/>
  <c r="Y602" i="15"/>
  <c r="S602" i="15"/>
  <c r="AJ602" i="15"/>
  <c r="AI602" i="15"/>
  <c r="AH602" i="15"/>
  <c r="AG602" i="15"/>
  <c r="AC602" i="15"/>
  <c r="AQ601" i="15"/>
  <c r="AM601" i="15"/>
  <c r="AA601" i="15"/>
  <c r="U601" i="15"/>
  <c r="AL601" i="15"/>
  <c r="Z601" i="15"/>
  <c r="T601" i="15"/>
  <c r="W601" i="15"/>
  <c r="AK601" i="15"/>
  <c r="Y601" i="15"/>
  <c r="S601" i="15"/>
  <c r="AJ601" i="15"/>
  <c r="AI601" i="15"/>
  <c r="AH601" i="15"/>
  <c r="AG601" i="15"/>
  <c r="AC601" i="15"/>
  <c r="AQ600" i="15"/>
  <c r="AM600" i="15"/>
  <c r="AA600" i="15"/>
  <c r="U600" i="15"/>
  <c r="AL600" i="15"/>
  <c r="Z600" i="15"/>
  <c r="T600" i="15"/>
  <c r="W600" i="15"/>
  <c r="AK600" i="15"/>
  <c r="Y600" i="15"/>
  <c r="S600" i="15"/>
  <c r="AJ600" i="15"/>
  <c r="AI600" i="15"/>
  <c r="AH600" i="15"/>
  <c r="AG600" i="15"/>
  <c r="AC600" i="15"/>
  <c r="AQ599" i="15"/>
  <c r="AM599" i="15"/>
  <c r="AA599" i="15"/>
  <c r="U599" i="15"/>
  <c r="AL599" i="15"/>
  <c r="Z599" i="15"/>
  <c r="T599" i="15"/>
  <c r="W599" i="15"/>
  <c r="AK599" i="15"/>
  <c r="Y599" i="15"/>
  <c r="S599" i="15"/>
  <c r="AJ599" i="15"/>
  <c r="AI599" i="15"/>
  <c r="AH599" i="15"/>
  <c r="AG599" i="15"/>
  <c r="AC599" i="15"/>
  <c r="AQ598" i="15"/>
  <c r="AM598" i="15"/>
  <c r="AA598" i="15"/>
  <c r="U598" i="15"/>
  <c r="AL598" i="15"/>
  <c r="Z598" i="15"/>
  <c r="T598" i="15"/>
  <c r="W598" i="15"/>
  <c r="AK598" i="15"/>
  <c r="Y598" i="15"/>
  <c r="S598" i="15"/>
  <c r="AJ598" i="15"/>
  <c r="AI598" i="15"/>
  <c r="AH598" i="15"/>
  <c r="AG598" i="15"/>
  <c r="AC598" i="15"/>
  <c r="AQ597" i="15"/>
  <c r="AM597" i="15"/>
  <c r="AA597" i="15"/>
  <c r="U597" i="15"/>
  <c r="AL597" i="15"/>
  <c r="Z597" i="15"/>
  <c r="T597" i="15"/>
  <c r="W597" i="15"/>
  <c r="AK597" i="15"/>
  <c r="Y597" i="15"/>
  <c r="S597" i="15"/>
  <c r="AJ597" i="15"/>
  <c r="AI597" i="15"/>
  <c r="AH597" i="15"/>
  <c r="AG597" i="15"/>
  <c r="AC597" i="15"/>
  <c r="AQ596" i="15"/>
  <c r="AM596" i="15"/>
  <c r="AA596" i="15"/>
  <c r="U596" i="15"/>
  <c r="AL596" i="15"/>
  <c r="Z596" i="15"/>
  <c r="T596" i="15"/>
  <c r="W596" i="15"/>
  <c r="AK596" i="15"/>
  <c r="Y596" i="15"/>
  <c r="S596" i="15"/>
  <c r="AJ596" i="15"/>
  <c r="AI596" i="15"/>
  <c r="AH596" i="15"/>
  <c r="AG596" i="15"/>
  <c r="AC596" i="15"/>
  <c r="AQ595" i="15"/>
  <c r="AM595" i="15"/>
  <c r="AA595" i="15"/>
  <c r="U595" i="15"/>
  <c r="AL595" i="15"/>
  <c r="Z595" i="15"/>
  <c r="T595" i="15"/>
  <c r="W595" i="15"/>
  <c r="AK595" i="15"/>
  <c r="Y595" i="15"/>
  <c r="S595" i="15"/>
  <c r="AJ595" i="15"/>
  <c r="AI595" i="15"/>
  <c r="AH595" i="15"/>
  <c r="AG595" i="15"/>
  <c r="AC595" i="15"/>
  <c r="AQ594" i="15"/>
  <c r="AM594" i="15"/>
  <c r="AA594" i="15"/>
  <c r="U594" i="15"/>
  <c r="AL594" i="15"/>
  <c r="Z594" i="15"/>
  <c r="T594" i="15"/>
  <c r="W594" i="15"/>
  <c r="AK594" i="15"/>
  <c r="Y594" i="15"/>
  <c r="S594" i="15"/>
  <c r="AJ594" i="15"/>
  <c r="AI594" i="15"/>
  <c r="AH594" i="15"/>
  <c r="AG594" i="15"/>
  <c r="AC594" i="15"/>
  <c r="AQ593" i="15"/>
  <c r="AM593" i="15"/>
  <c r="AA593" i="15"/>
  <c r="U593" i="15"/>
  <c r="AL593" i="15"/>
  <c r="Z593" i="15"/>
  <c r="T593" i="15"/>
  <c r="W593" i="15"/>
  <c r="AK593" i="15"/>
  <c r="Y593" i="15"/>
  <c r="S593" i="15"/>
  <c r="AJ593" i="15"/>
  <c r="AI593" i="15"/>
  <c r="AH593" i="15"/>
  <c r="AG593" i="15"/>
  <c r="AC593" i="15"/>
  <c r="AQ592" i="15"/>
  <c r="AM592" i="15"/>
  <c r="AA592" i="15"/>
  <c r="U592" i="15"/>
  <c r="AL592" i="15"/>
  <c r="Z592" i="15"/>
  <c r="T592" i="15"/>
  <c r="W592" i="15"/>
  <c r="AK592" i="15"/>
  <c r="Y592" i="15"/>
  <c r="S592" i="15"/>
  <c r="AJ592" i="15"/>
  <c r="AI592" i="15"/>
  <c r="AH592" i="15"/>
  <c r="AG592" i="15"/>
  <c r="AC592" i="15"/>
  <c r="AQ591" i="15"/>
  <c r="AM591" i="15"/>
  <c r="AA591" i="15"/>
  <c r="U591" i="15"/>
  <c r="AL591" i="15"/>
  <c r="Z591" i="15"/>
  <c r="T591" i="15"/>
  <c r="W591" i="15"/>
  <c r="AK591" i="15"/>
  <c r="Y591" i="15"/>
  <c r="S591" i="15"/>
  <c r="AJ591" i="15"/>
  <c r="AI591" i="15"/>
  <c r="AH591" i="15"/>
  <c r="AG591" i="15"/>
  <c r="AC591" i="15"/>
  <c r="AQ590" i="15"/>
  <c r="AM590" i="15"/>
  <c r="AA590" i="15"/>
  <c r="U590" i="15"/>
  <c r="AL590" i="15"/>
  <c r="Z590" i="15"/>
  <c r="T590" i="15"/>
  <c r="W590" i="15"/>
  <c r="AK590" i="15"/>
  <c r="Y590" i="15"/>
  <c r="S590" i="15"/>
  <c r="AJ590" i="15"/>
  <c r="AI590" i="15"/>
  <c r="AH590" i="15"/>
  <c r="AG590" i="15"/>
  <c r="AC590" i="15"/>
  <c r="AQ589" i="15"/>
  <c r="AM589" i="15"/>
  <c r="AA589" i="15"/>
  <c r="U589" i="15"/>
  <c r="AL589" i="15"/>
  <c r="Z589" i="15"/>
  <c r="T589" i="15"/>
  <c r="W589" i="15"/>
  <c r="AK589" i="15"/>
  <c r="Y589" i="15"/>
  <c r="S589" i="15"/>
  <c r="AJ589" i="15"/>
  <c r="AI589" i="15"/>
  <c r="AH589" i="15"/>
  <c r="AG589" i="15"/>
  <c r="AC589" i="15"/>
  <c r="AQ588" i="15"/>
  <c r="AM588" i="15"/>
  <c r="AA588" i="15"/>
  <c r="U588" i="15"/>
  <c r="AL588" i="15"/>
  <c r="Z588" i="15"/>
  <c r="T588" i="15"/>
  <c r="W588" i="15"/>
  <c r="AK588" i="15"/>
  <c r="Y588" i="15"/>
  <c r="S588" i="15"/>
  <c r="AJ588" i="15"/>
  <c r="AI588" i="15"/>
  <c r="AH588" i="15"/>
  <c r="AG588" i="15"/>
  <c r="AC588" i="15"/>
  <c r="AQ587" i="15"/>
  <c r="AM587" i="15"/>
  <c r="AA587" i="15"/>
  <c r="U587" i="15"/>
  <c r="AL587" i="15"/>
  <c r="Z587" i="15"/>
  <c r="T587" i="15"/>
  <c r="W587" i="15"/>
  <c r="AK587" i="15"/>
  <c r="Y587" i="15"/>
  <c r="S587" i="15"/>
  <c r="AJ587" i="15"/>
  <c r="AI587" i="15"/>
  <c r="AH587" i="15"/>
  <c r="AG587" i="15"/>
  <c r="AC587" i="15"/>
  <c r="AQ586" i="15"/>
  <c r="AM586" i="15"/>
  <c r="AA586" i="15"/>
  <c r="U586" i="15"/>
  <c r="AL586" i="15"/>
  <c r="Z586" i="15"/>
  <c r="T586" i="15"/>
  <c r="W586" i="15"/>
  <c r="AK586" i="15"/>
  <c r="Y586" i="15"/>
  <c r="S586" i="15"/>
  <c r="AJ586" i="15"/>
  <c r="AI586" i="15"/>
  <c r="AH586" i="15"/>
  <c r="AG586" i="15"/>
  <c r="AC586" i="15"/>
  <c r="AQ585" i="15"/>
  <c r="AM585" i="15"/>
  <c r="AA585" i="15"/>
  <c r="U585" i="15"/>
  <c r="AL585" i="15"/>
  <c r="Z585" i="15"/>
  <c r="T585" i="15"/>
  <c r="W585" i="15"/>
  <c r="AK585" i="15"/>
  <c r="Y585" i="15"/>
  <c r="S585" i="15"/>
  <c r="AJ585" i="15"/>
  <c r="AI585" i="15"/>
  <c r="AH585" i="15"/>
  <c r="AG585" i="15"/>
  <c r="AC585" i="15"/>
  <c r="AQ584" i="15"/>
  <c r="AM584" i="15"/>
  <c r="AA584" i="15"/>
  <c r="U584" i="15"/>
  <c r="AL584" i="15"/>
  <c r="Z584" i="15"/>
  <c r="T584" i="15"/>
  <c r="W584" i="15"/>
  <c r="AK584" i="15"/>
  <c r="Y584" i="15"/>
  <c r="S584" i="15"/>
  <c r="AJ584" i="15"/>
  <c r="AI584" i="15"/>
  <c r="AH584" i="15"/>
  <c r="AG584" i="15"/>
  <c r="AC584" i="15"/>
  <c r="AQ583" i="15"/>
  <c r="AM583" i="15"/>
  <c r="AA583" i="15"/>
  <c r="U583" i="15"/>
  <c r="AL583" i="15"/>
  <c r="Z583" i="15"/>
  <c r="T583" i="15"/>
  <c r="W583" i="15"/>
  <c r="AK583" i="15"/>
  <c r="Y583" i="15"/>
  <c r="S583" i="15"/>
  <c r="AJ583" i="15"/>
  <c r="AI583" i="15"/>
  <c r="AH583" i="15"/>
  <c r="AG583" i="15"/>
  <c r="AC583" i="15"/>
  <c r="AQ582" i="15"/>
  <c r="AM582" i="15"/>
  <c r="AA582" i="15"/>
  <c r="U582" i="15"/>
  <c r="AL582" i="15"/>
  <c r="Z582" i="15"/>
  <c r="T582" i="15"/>
  <c r="W582" i="15"/>
  <c r="AK582" i="15"/>
  <c r="Y582" i="15"/>
  <c r="S582" i="15"/>
  <c r="AJ582" i="15"/>
  <c r="AI582" i="15"/>
  <c r="AH582" i="15"/>
  <c r="AG582" i="15"/>
  <c r="AC582" i="15"/>
  <c r="AQ581" i="15"/>
  <c r="AM581" i="15"/>
  <c r="AA581" i="15"/>
  <c r="U581" i="15"/>
  <c r="AL581" i="15"/>
  <c r="Z581" i="15"/>
  <c r="T581" i="15"/>
  <c r="W581" i="15"/>
  <c r="AK581" i="15"/>
  <c r="Y581" i="15"/>
  <c r="S581" i="15"/>
  <c r="AJ581" i="15"/>
  <c r="AI581" i="15"/>
  <c r="AH581" i="15"/>
  <c r="AG581" i="15"/>
  <c r="AC581" i="15"/>
  <c r="AQ580" i="15"/>
  <c r="AM580" i="15"/>
  <c r="AA580" i="15"/>
  <c r="U580" i="15"/>
  <c r="AL580" i="15"/>
  <c r="Z580" i="15"/>
  <c r="T580" i="15"/>
  <c r="W580" i="15"/>
  <c r="AK580" i="15"/>
  <c r="Y580" i="15"/>
  <c r="S580" i="15"/>
  <c r="AJ580" i="15"/>
  <c r="AI580" i="15"/>
  <c r="AH580" i="15"/>
  <c r="AG580" i="15"/>
  <c r="AC580" i="15"/>
  <c r="AQ579" i="15"/>
  <c r="AM579" i="15"/>
  <c r="AA579" i="15"/>
  <c r="U579" i="15"/>
  <c r="AL579" i="15"/>
  <c r="Z579" i="15"/>
  <c r="T579" i="15"/>
  <c r="W579" i="15"/>
  <c r="AK579" i="15"/>
  <c r="Y579" i="15"/>
  <c r="S579" i="15"/>
  <c r="AJ579" i="15"/>
  <c r="AI579" i="15"/>
  <c r="AH579" i="15"/>
  <c r="AG579" i="15"/>
  <c r="AC579" i="15"/>
  <c r="AQ578" i="15"/>
  <c r="AM578" i="15"/>
  <c r="AA578" i="15"/>
  <c r="U578" i="15"/>
  <c r="AL578" i="15"/>
  <c r="Z578" i="15"/>
  <c r="T578" i="15"/>
  <c r="W578" i="15"/>
  <c r="AK578" i="15"/>
  <c r="Y578" i="15"/>
  <c r="S578" i="15"/>
  <c r="AJ578" i="15"/>
  <c r="AI578" i="15"/>
  <c r="AH578" i="15"/>
  <c r="AG578" i="15"/>
  <c r="AC578" i="15"/>
  <c r="AQ577" i="15"/>
  <c r="AM577" i="15"/>
  <c r="AA577" i="15"/>
  <c r="U577" i="15"/>
  <c r="AL577" i="15"/>
  <c r="Z577" i="15"/>
  <c r="T577" i="15"/>
  <c r="W577" i="15"/>
  <c r="AK577" i="15"/>
  <c r="Y577" i="15"/>
  <c r="S577" i="15"/>
  <c r="AJ577" i="15"/>
  <c r="AI577" i="15"/>
  <c r="AH577" i="15"/>
  <c r="AG577" i="15"/>
  <c r="AC577" i="15"/>
  <c r="AQ576" i="15"/>
  <c r="AM576" i="15"/>
  <c r="AA576" i="15"/>
  <c r="U576" i="15"/>
  <c r="AL576" i="15"/>
  <c r="Z576" i="15"/>
  <c r="T576" i="15"/>
  <c r="W576" i="15"/>
  <c r="AK576" i="15"/>
  <c r="Y576" i="15"/>
  <c r="S576" i="15"/>
  <c r="AJ576" i="15"/>
  <c r="AI576" i="15"/>
  <c r="AH576" i="15"/>
  <c r="AG576" i="15"/>
  <c r="AC576" i="15"/>
  <c r="AQ575" i="15"/>
  <c r="AM575" i="15"/>
  <c r="AA575" i="15"/>
  <c r="U575" i="15"/>
  <c r="AL575" i="15"/>
  <c r="Z575" i="15"/>
  <c r="T575" i="15"/>
  <c r="W575" i="15"/>
  <c r="AK575" i="15"/>
  <c r="Y575" i="15"/>
  <c r="S575" i="15"/>
  <c r="AJ575" i="15"/>
  <c r="AI575" i="15"/>
  <c r="AH575" i="15"/>
  <c r="AG575" i="15"/>
  <c r="AC575" i="15"/>
  <c r="AQ574" i="15"/>
  <c r="AM574" i="15"/>
  <c r="AA574" i="15"/>
  <c r="U574" i="15"/>
  <c r="AL574" i="15"/>
  <c r="Z574" i="15"/>
  <c r="T574" i="15"/>
  <c r="W574" i="15"/>
  <c r="AK574" i="15"/>
  <c r="Y574" i="15"/>
  <c r="S574" i="15"/>
  <c r="AJ574" i="15"/>
  <c r="AI574" i="15"/>
  <c r="AH574" i="15"/>
  <c r="AG574" i="15"/>
  <c r="AC574" i="15"/>
  <c r="AQ573" i="15"/>
  <c r="AM573" i="15"/>
  <c r="AA573" i="15"/>
  <c r="U573" i="15"/>
  <c r="AL573" i="15"/>
  <c r="Z573" i="15"/>
  <c r="T573" i="15"/>
  <c r="W573" i="15"/>
  <c r="AK573" i="15"/>
  <c r="Y573" i="15"/>
  <c r="S573" i="15"/>
  <c r="AJ573" i="15"/>
  <c r="AI573" i="15"/>
  <c r="AH573" i="15"/>
  <c r="AG573" i="15"/>
  <c r="AC573" i="15"/>
  <c r="AQ572" i="15"/>
  <c r="AM572" i="15"/>
  <c r="AA572" i="15"/>
  <c r="U572" i="15"/>
  <c r="AL572" i="15"/>
  <c r="Z572" i="15"/>
  <c r="T572" i="15"/>
  <c r="W572" i="15"/>
  <c r="AK572" i="15"/>
  <c r="Y572" i="15"/>
  <c r="S572" i="15"/>
  <c r="AJ572" i="15"/>
  <c r="AI572" i="15"/>
  <c r="AH572" i="15"/>
  <c r="AG572" i="15"/>
  <c r="AC572" i="15"/>
  <c r="AQ571" i="15"/>
  <c r="AM571" i="15"/>
  <c r="AA571" i="15"/>
  <c r="U571" i="15"/>
  <c r="AL571" i="15"/>
  <c r="Z571" i="15"/>
  <c r="T571" i="15"/>
  <c r="W571" i="15"/>
  <c r="AK571" i="15"/>
  <c r="Y571" i="15"/>
  <c r="S571" i="15"/>
  <c r="AJ571" i="15"/>
  <c r="AI571" i="15"/>
  <c r="AH571" i="15"/>
  <c r="AG571" i="15"/>
  <c r="AC571" i="15"/>
  <c r="AQ570" i="15"/>
  <c r="AM570" i="15"/>
  <c r="AA570" i="15"/>
  <c r="U570" i="15"/>
  <c r="AL570" i="15"/>
  <c r="Z570" i="15"/>
  <c r="T570" i="15"/>
  <c r="W570" i="15"/>
  <c r="AK570" i="15"/>
  <c r="Y570" i="15"/>
  <c r="S570" i="15"/>
  <c r="AJ570" i="15"/>
  <c r="AI570" i="15"/>
  <c r="AH570" i="15"/>
  <c r="AG570" i="15"/>
  <c r="AC570" i="15"/>
  <c r="AQ569" i="15"/>
  <c r="AM569" i="15"/>
  <c r="AA569" i="15"/>
  <c r="U569" i="15"/>
  <c r="AL569" i="15"/>
  <c r="Z569" i="15"/>
  <c r="T569" i="15"/>
  <c r="W569" i="15"/>
  <c r="AK569" i="15"/>
  <c r="Y569" i="15"/>
  <c r="S569" i="15"/>
  <c r="AJ569" i="15"/>
  <c r="AI569" i="15"/>
  <c r="AH569" i="15"/>
  <c r="AG569" i="15"/>
  <c r="AC569" i="15"/>
  <c r="AQ568" i="15"/>
  <c r="AM568" i="15"/>
  <c r="AA568" i="15"/>
  <c r="U568" i="15"/>
  <c r="AL568" i="15"/>
  <c r="Z568" i="15"/>
  <c r="T568" i="15"/>
  <c r="W568" i="15"/>
  <c r="AK568" i="15"/>
  <c r="Y568" i="15"/>
  <c r="S568" i="15"/>
  <c r="AJ568" i="15"/>
  <c r="AI568" i="15"/>
  <c r="AH568" i="15"/>
  <c r="AG568" i="15"/>
  <c r="AC568" i="15"/>
  <c r="AQ567" i="15"/>
  <c r="AM567" i="15"/>
  <c r="AA567" i="15"/>
  <c r="U567" i="15"/>
  <c r="AL567" i="15"/>
  <c r="Z567" i="15"/>
  <c r="T567" i="15"/>
  <c r="W567" i="15"/>
  <c r="AK567" i="15"/>
  <c r="Y567" i="15"/>
  <c r="S567" i="15"/>
  <c r="AJ567" i="15"/>
  <c r="AI567" i="15"/>
  <c r="AH567" i="15"/>
  <c r="AG567" i="15"/>
  <c r="AC567" i="15"/>
  <c r="AQ566" i="15"/>
  <c r="AM566" i="15"/>
  <c r="AA566" i="15"/>
  <c r="U566" i="15"/>
  <c r="AL566" i="15"/>
  <c r="Z566" i="15"/>
  <c r="T566" i="15"/>
  <c r="W566" i="15"/>
  <c r="AK566" i="15"/>
  <c r="Y566" i="15"/>
  <c r="S566" i="15"/>
  <c r="AJ566" i="15"/>
  <c r="AI566" i="15"/>
  <c r="AH566" i="15"/>
  <c r="AG566" i="15"/>
  <c r="AC566" i="15"/>
  <c r="AQ565" i="15"/>
  <c r="AM565" i="15"/>
  <c r="AA565" i="15"/>
  <c r="U565" i="15"/>
  <c r="AL565" i="15"/>
  <c r="Z565" i="15"/>
  <c r="T565" i="15"/>
  <c r="W565" i="15"/>
  <c r="AK565" i="15"/>
  <c r="Y565" i="15"/>
  <c r="S565" i="15"/>
  <c r="AJ565" i="15"/>
  <c r="AI565" i="15"/>
  <c r="AH565" i="15"/>
  <c r="AG565" i="15"/>
  <c r="AC565" i="15"/>
  <c r="AQ564" i="15"/>
  <c r="AM564" i="15"/>
  <c r="U564" i="15"/>
  <c r="AL564" i="15"/>
  <c r="T564" i="15"/>
  <c r="W564" i="15"/>
  <c r="AK564" i="15"/>
  <c r="S564" i="15"/>
  <c r="AJ564" i="15"/>
  <c r="AI564" i="15"/>
  <c r="AH564" i="15"/>
  <c r="AG564" i="15"/>
  <c r="AC564" i="15"/>
  <c r="AQ563" i="15"/>
  <c r="AM563" i="15"/>
  <c r="U563" i="15"/>
  <c r="AL563" i="15"/>
  <c r="S563" i="15"/>
  <c r="AJ563" i="15"/>
  <c r="AI563" i="15"/>
  <c r="AH563" i="15"/>
  <c r="AG563" i="15"/>
  <c r="AC563" i="15"/>
  <c r="AQ562" i="15"/>
  <c r="AM562" i="15"/>
  <c r="U562" i="15"/>
  <c r="AL562" i="15"/>
  <c r="S562" i="15"/>
  <c r="AJ562" i="15"/>
  <c r="AI562" i="15"/>
  <c r="AH562" i="15"/>
  <c r="AG562" i="15"/>
  <c r="AC562" i="15"/>
  <c r="AQ561" i="15"/>
  <c r="AM561" i="15"/>
  <c r="U561" i="15"/>
  <c r="AL561" i="15"/>
  <c r="T561" i="15"/>
  <c r="W561" i="15"/>
  <c r="AK561" i="15"/>
  <c r="AJ561" i="15"/>
  <c r="AI561" i="15"/>
  <c r="AH561" i="15"/>
  <c r="AC561" i="15"/>
  <c r="Z528" i="15"/>
  <c r="T528" i="15"/>
  <c r="W528" i="15"/>
  <c r="AK528" i="15"/>
  <c r="K413" i="15"/>
  <c r="L413" i="15"/>
  <c r="K414" i="15"/>
  <c r="L414" i="15"/>
  <c r="Y528" i="15"/>
  <c r="S528" i="15"/>
  <c r="AJ528" i="15"/>
  <c r="Z529" i="15"/>
  <c r="T529" i="15"/>
  <c r="W529" i="15"/>
  <c r="AK529" i="15"/>
  <c r="AA538" i="15"/>
  <c r="U538" i="15"/>
  <c r="AL538" i="15"/>
  <c r="Z535" i="15"/>
  <c r="T535" i="15"/>
  <c r="W535" i="15"/>
  <c r="AK535" i="15"/>
  <c r="Z532" i="15"/>
  <c r="T532" i="15"/>
  <c r="W532" i="15"/>
  <c r="AK532" i="15"/>
  <c r="U530" i="15"/>
  <c r="T530" i="15"/>
  <c r="S530" i="15"/>
  <c r="S558" i="15"/>
  <c r="T558" i="15"/>
  <c r="U558" i="15"/>
  <c r="W558" i="15"/>
  <c r="Y558" i="15"/>
  <c r="Z558" i="15"/>
  <c r="AA558" i="15"/>
  <c r="AC558" i="15"/>
  <c r="AG558" i="15"/>
  <c r="AH558" i="15"/>
  <c r="AI558" i="15"/>
  <c r="AJ558" i="15"/>
  <c r="AK558" i="15"/>
  <c r="AL558" i="15"/>
  <c r="AM558" i="15"/>
  <c r="AQ558" i="15"/>
  <c r="S559" i="15"/>
  <c r="T559" i="15"/>
  <c r="U559" i="15"/>
  <c r="W559" i="15"/>
  <c r="Y559" i="15"/>
  <c r="Z559" i="15"/>
  <c r="AA559" i="15"/>
  <c r="AC559" i="15"/>
  <c r="AG559" i="15"/>
  <c r="AH559" i="15"/>
  <c r="AI559" i="15"/>
  <c r="AJ559" i="15"/>
  <c r="AK559" i="15"/>
  <c r="AL559" i="15"/>
  <c r="AM559" i="15"/>
  <c r="AQ559" i="15"/>
  <c r="S560" i="15"/>
  <c r="T560" i="15"/>
  <c r="U560" i="15"/>
  <c r="W560" i="15"/>
  <c r="Y560" i="15"/>
  <c r="Z560" i="15"/>
  <c r="AA560" i="15"/>
  <c r="AC560" i="15"/>
  <c r="AG560" i="15"/>
  <c r="AH560" i="15"/>
  <c r="AI560" i="15"/>
  <c r="AJ560" i="15"/>
  <c r="AK560" i="15"/>
  <c r="AL560" i="15"/>
  <c r="AM560" i="15"/>
  <c r="AQ560" i="15"/>
  <c r="S532" i="15"/>
  <c r="U532" i="15"/>
  <c r="Y532" i="15"/>
  <c r="AA532" i="15"/>
  <c r="AC532" i="15"/>
  <c r="AG532" i="15"/>
  <c r="AH532" i="15"/>
  <c r="AI532" i="15"/>
  <c r="AJ532" i="15"/>
  <c r="AL532" i="15"/>
  <c r="AM532" i="15"/>
  <c r="AQ532" i="15"/>
  <c r="S533" i="15"/>
  <c r="T533" i="15"/>
  <c r="U533" i="15"/>
  <c r="W533" i="15"/>
  <c r="Y533" i="15"/>
  <c r="Z533" i="15"/>
  <c r="AA533" i="15"/>
  <c r="AC533" i="15"/>
  <c r="AG533" i="15"/>
  <c r="AH533" i="15"/>
  <c r="AI533" i="15"/>
  <c r="AJ533" i="15"/>
  <c r="AK533" i="15"/>
  <c r="AL533" i="15"/>
  <c r="AM533" i="15"/>
  <c r="AQ533" i="15"/>
  <c r="S534" i="15"/>
  <c r="T534" i="15"/>
  <c r="U534" i="15"/>
  <c r="W534" i="15"/>
  <c r="Y534" i="15"/>
  <c r="Z534" i="15"/>
  <c r="AA534" i="15"/>
  <c r="AC534" i="15"/>
  <c r="AG534" i="15"/>
  <c r="AH534" i="15"/>
  <c r="AI534" i="15"/>
  <c r="AJ534" i="15"/>
  <c r="AK534" i="15"/>
  <c r="AL534" i="15"/>
  <c r="AM534" i="15"/>
  <c r="AQ534" i="15"/>
  <c r="S535" i="15"/>
  <c r="U535" i="15"/>
  <c r="Y535" i="15"/>
  <c r="AA535" i="15"/>
  <c r="AC535" i="15"/>
  <c r="AG535" i="15"/>
  <c r="AH535" i="15"/>
  <c r="AI535" i="15"/>
  <c r="AJ535" i="15"/>
  <c r="AL535" i="15"/>
  <c r="AM535" i="15"/>
  <c r="AQ535" i="15"/>
  <c r="S536" i="15"/>
  <c r="T536" i="15"/>
  <c r="U536" i="15"/>
  <c r="W536" i="15"/>
  <c r="Y536" i="15"/>
  <c r="Z536" i="15"/>
  <c r="AA536" i="15"/>
  <c r="AC536" i="15"/>
  <c r="AG536" i="15"/>
  <c r="AH536" i="15"/>
  <c r="AI536" i="15"/>
  <c r="AJ536" i="15"/>
  <c r="AK536" i="15"/>
  <c r="AL536" i="15"/>
  <c r="AM536" i="15"/>
  <c r="AQ536" i="15"/>
  <c r="S537" i="15"/>
  <c r="T537" i="15"/>
  <c r="U537" i="15"/>
  <c r="W537" i="15"/>
  <c r="Y537" i="15"/>
  <c r="Z537" i="15"/>
  <c r="AA537" i="15"/>
  <c r="AC537" i="15"/>
  <c r="AG537" i="15"/>
  <c r="AH537" i="15"/>
  <c r="AI537" i="15"/>
  <c r="AJ537" i="15"/>
  <c r="AK537" i="15"/>
  <c r="AL537" i="15"/>
  <c r="AM537" i="15"/>
  <c r="AQ537" i="15"/>
  <c r="S538" i="15"/>
  <c r="T538" i="15"/>
  <c r="W538" i="15"/>
  <c r="Y538" i="15"/>
  <c r="Z538" i="15"/>
  <c r="AC538" i="15"/>
  <c r="AG538" i="15"/>
  <c r="AH538" i="15"/>
  <c r="AI538" i="15"/>
  <c r="AJ538" i="15"/>
  <c r="AK538" i="15"/>
  <c r="AM538" i="15"/>
  <c r="AQ538" i="15"/>
  <c r="S539" i="15"/>
  <c r="T539" i="15"/>
  <c r="U539" i="15"/>
  <c r="W539" i="15"/>
  <c r="Y539" i="15"/>
  <c r="Z539" i="15"/>
  <c r="AA539" i="15"/>
  <c r="AC539" i="15"/>
  <c r="AG539" i="15"/>
  <c r="AH539" i="15"/>
  <c r="AI539" i="15"/>
  <c r="AJ539" i="15"/>
  <c r="AK539" i="15"/>
  <c r="AL539" i="15"/>
  <c r="AM539" i="15"/>
  <c r="AQ539" i="15"/>
  <c r="S540" i="15"/>
  <c r="T540" i="15"/>
  <c r="U540" i="15"/>
  <c r="W540" i="15"/>
  <c r="Y540" i="15"/>
  <c r="Z540" i="15"/>
  <c r="AA540" i="15"/>
  <c r="AC540" i="15"/>
  <c r="AG540" i="15"/>
  <c r="AH540" i="15"/>
  <c r="AI540" i="15"/>
  <c r="AJ540" i="15"/>
  <c r="AK540" i="15"/>
  <c r="AL540" i="15"/>
  <c r="AM540" i="15"/>
  <c r="AQ540" i="15"/>
  <c r="S541" i="15"/>
  <c r="T541" i="15"/>
  <c r="U541" i="15"/>
  <c r="W541" i="15"/>
  <c r="Y541" i="15"/>
  <c r="Z541" i="15"/>
  <c r="AA541" i="15"/>
  <c r="AC541" i="15"/>
  <c r="AG541" i="15"/>
  <c r="AH541" i="15"/>
  <c r="AI541" i="15"/>
  <c r="AJ541" i="15"/>
  <c r="AK541" i="15"/>
  <c r="AL541" i="15"/>
  <c r="AM541" i="15"/>
  <c r="AQ541" i="15"/>
  <c r="S542" i="15"/>
  <c r="T542" i="15"/>
  <c r="U542" i="15"/>
  <c r="W542" i="15"/>
  <c r="Y542" i="15"/>
  <c r="Z542" i="15"/>
  <c r="AA542" i="15"/>
  <c r="AC542" i="15"/>
  <c r="AG542" i="15"/>
  <c r="AH542" i="15"/>
  <c r="AI542" i="15"/>
  <c r="AJ542" i="15"/>
  <c r="AK542" i="15"/>
  <c r="AL542" i="15"/>
  <c r="AM542" i="15"/>
  <c r="AQ542" i="15"/>
  <c r="S543" i="15"/>
  <c r="T543" i="15"/>
  <c r="U543" i="15"/>
  <c r="W543" i="15"/>
  <c r="Y543" i="15"/>
  <c r="Z543" i="15"/>
  <c r="AA543" i="15"/>
  <c r="AC543" i="15"/>
  <c r="AG543" i="15"/>
  <c r="AH543" i="15"/>
  <c r="AI543" i="15"/>
  <c r="AJ543" i="15"/>
  <c r="AK543" i="15"/>
  <c r="AL543" i="15"/>
  <c r="AM543" i="15"/>
  <c r="AQ543" i="15"/>
  <c r="S544" i="15"/>
  <c r="T544" i="15"/>
  <c r="U544" i="15"/>
  <c r="W544" i="15"/>
  <c r="Y544" i="15"/>
  <c r="Z544" i="15"/>
  <c r="AA544" i="15"/>
  <c r="AC544" i="15"/>
  <c r="AG544" i="15"/>
  <c r="AH544" i="15"/>
  <c r="AI544" i="15"/>
  <c r="AJ544" i="15"/>
  <c r="AK544" i="15"/>
  <c r="AL544" i="15"/>
  <c r="AM544" i="15"/>
  <c r="AQ544" i="15"/>
  <c r="S545" i="15"/>
  <c r="T545" i="15"/>
  <c r="U545" i="15"/>
  <c r="W545" i="15"/>
  <c r="Y545" i="15"/>
  <c r="Z545" i="15"/>
  <c r="AA545" i="15"/>
  <c r="AC545" i="15"/>
  <c r="AG545" i="15"/>
  <c r="AH545" i="15"/>
  <c r="AI545" i="15"/>
  <c r="AJ545" i="15"/>
  <c r="AK545" i="15"/>
  <c r="AL545" i="15"/>
  <c r="AM545" i="15"/>
  <c r="AQ545" i="15"/>
  <c r="S546" i="15"/>
  <c r="T546" i="15"/>
  <c r="U546" i="15"/>
  <c r="W546" i="15"/>
  <c r="Y546" i="15"/>
  <c r="Z546" i="15"/>
  <c r="AA546" i="15"/>
  <c r="AC546" i="15"/>
  <c r="AG546" i="15"/>
  <c r="AH546" i="15"/>
  <c r="AI546" i="15"/>
  <c r="AJ546" i="15"/>
  <c r="AK546" i="15"/>
  <c r="AL546" i="15"/>
  <c r="AM546" i="15"/>
  <c r="AQ546" i="15"/>
  <c r="S547" i="15"/>
  <c r="T547" i="15"/>
  <c r="U547" i="15"/>
  <c r="W547" i="15"/>
  <c r="Y547" i="15"/>
  <c r="Z547" i="15"/>
  <c r="AA547" i="15"/>
  <c r="AC547" i="15"/>
  <c r="AG547" i="15"/>
  <c r="AH547" i="15"/>
  <c r="AI547" i="15"/>
  <c r="AJ547" i="15"/>
  <c r="AK547" i="15"/>
  <c r="AL547" i="15"/>
  <c r="AM547" i="15"/>
  <c r="AQ547" i="15"/>
  <c r="S548" i="15"/>
  <c r="T548" i="15"/>
  <c r="U548" i="15"/>
  <c r="W548" i="15"/>
  <c r="Y548" i="15"/>
  <c r="Z548" i="15"/>
  <c r="AA548" i="15"/>
  <c r="AC548" i="15"/>
  <c r="AG548" i="15"/>
  <c r="AH548" i="15"/>
  <c r="AI548" i="15"/>
  <c r="AJ548" i="15"/>
  <c r="AK548" i="15"/>
  <c r="AL548" i="15"/>
  <c r="AM548" i="15"/>
  <c r="AQ548" i="15"/>
  <c r="S549" i="15"/>
  <c r="T549" i="15"/>
  <c r="U549" i="15"/>
  <c r="W549" i="15"/>
  <c r="Y549" i="15"/>
  <c r="Z549" i="15"/>
  <c r="AA549" i="15"/>
  <c r="AC549" i="15"/>
  <c r="AG549" i="15"/>
  <c r="AH549" i="15"/>
  <c r="AI549" i="15"/>
  <c r="AJ549" i="15"/>
  <c r="AK549" i="15"/>
  <c r="AL549" i="15"/>
  <c r="AM549" i="15"/>
  <c r="AQ549" i="15"/>
  <c r="S550" i="15"/>
  <c r="T550" i="15"/>
  <c r="U550" i="15"/>
  <c r="W550" i="15"/>
  <c r="Y550" i="15"/>
  <c r="Z550" i="15"/>
  <c r="AA550" i="15"/>
  <c r="AC550" i="15"/>
  <c r="AG550" i="15"/>
  <c r="AH550" i="15"/>
  <c r="AI550" i="15"/>
  <c r="AJ550" i="15"/>
  <c r="AK550" i="15"/>
  <c r="AL550" i="15"/>
  <c r="AM550" i="15"/>
  <c r="AQ550" i="15"/>
  <c r="S551" i="15"/>
  <c r="T551" i="15"/>
  <c r="U551" i="15"/>
  <c r="W551" i="15"/>
  <c r="Y551" i="15"/>
  <c r="Z551" i="15"/>
  <c r="AA551" i="15"/>
  <c r="AC551" i="15"/>
  <c r="AG551" i="15"/>
  <c r="AH551" i="15"/>
  <c r="AI551" i="15"/>
  <c r="AJ551" i="15"/>
  <c r="AK551" i="15"/>
  <c r="AL551" i="15"/>
  <c r="AM551" i="15"/>
  <c r="AQ551" i="15"/>
  <c r="S552" i="15"/>
  <c r="T552" i="15"/>
  <c r="U552" i="15"/>
  <c r="W552" i="15"/>
  <c r="Y552" i="15"/>
  <c r="Z552" i="15"/>
  <c r="AA552" i="15"/>
  <c r="AC552" i="15"/>
  <c r="AG552" i="15"/>
  <c r="AH552" i="15"/>
  <c r="AI552" i="15"/>
  <c r="AJ552" i="15"/>
  <c r="AK552" i="15"/>
  <c r="AL552" i="15"/>
  <c r="AM552" i="15"/>
  <c r="AQ552" i="15"/>
  <c r="S553" i="15"/>
  <c r="T553" i="15"/>
  <c r="U553" i="15"/>
  <c r="W553" i="15"/>
  <c r="Y553" i="15"/>
  <c r="Z553" i="15"/>
  <c r="AA553" i="15"/>
  <c r="AC553" i="15"/>
  <c r="AG553" i="15"/>
  <c r="AH553" i="15"/>
  <c r="AI553" i="15"/>
  <c r="AJ553" i="15"/>
  <c r="AK553" i="15"/>
  <c r="AL553" i="15"/>
  <c r="AM553" i="15"/>
  <c r="AQ553" i="15"/>
  <c r="S554" i="15"/>
  <c r="T554" i="15"/>
  <c r="U554" i="15"/>
  <c r="W554" i="15"/>
  <c r="Y554" i="15"/>
  <c r="Z554" i="15"/>
  <c r="AA554" i="15"/>
  <c r="AC554" i="15"/>
  <c r="AG554" i="15"/>
  <c r="AH554" i="15"/>
  <c r="AI554" i="15"/>
  <c r="AJ554" i="15"/>
  <c r="AK554" i="15"/>
  <c r="AL554" i="15"/>
  <c r="AM554" i="15"/>
  <c r="AQ554" i="15"/>
  <c r="S555" i="15"/>
  <c r="T555" i="15"/>
  <c r="U555" i="15"/>
  <c r="W555" i="15"/>
  <c r="Y555" i="15"/>
  <c r="Z555" i="15"/>
  <c r="AA555" i="15"/>
  <c r="AC555" i="15"/>
  <c r="AG555" i="15"/>
  <c r="AH555" i="15"/>
  <c r="AI555" i="15"/>
  <c r="AJ555" i="15"/>
  <c r="AK555" i="15"/>
  <c r="AL555" i="15"/>
  <c r="AM555" i="15"/>
  <c r="AQ555" i="15"/>
  <c r="S556" i="15"/>
  <c r="T556" i="15"/>
  <c r="U556" i="15"/>
  <c r="W556" i="15"/>
  <c r="Y556" i="15"/>
  <c r="Z556" i="15"/>
  <c r="AA556" i="15"/>
  <c r="AC556" i="15"/>
  <c r="AG556" i="15"/>
  <c r="AH556" i="15"/>
  <c r="AI556" i="15"/>
  <c r="AJ556" i="15"/>
  <c r="AK556" i="15"/>
  <c r="AL556" i="15"/>
  <c r="AM556" i="15"/>
  <c r="AQ556" i="15"/>
  <c r="S557" i="15"/>
  <c r="T557" i="15"/>
  <c r="U557" i="15"/>
  <c r="W557" i="15"/>
  <c r="Y557" i="15"/>
  <c r="Z557" i="15"/>
  <c r="AA557" i="15"/>
  <c r="AC557" i="15"/>
  <c r="AG557" i="15"/>
  <c r="AH557" i="15"/>
  <c r="AI557" i="15"/>
  <c r="AJ557" i="15"/>
  <c r="AK557" i="15"/>
  <c r="AL557" i="15"/>
  <c r="AM557" i="15"/>
  <c r="AQ557" i="15"/>
  <c r="S525" i="15"/>
  <c r="T525" i="15"/>
  <c r="U525" i="15"/>
  <c r="W525" i="15"/>
  <c r="Y525" i="15"/>
  <c r="Z525" i="15"/>
  <c r="AA525" i="15"/>
  <c r="AC525" i="15"/>
  <c r="AG525" i="15"/>
  <c r="AH525" i="15"/>
  <c r="AI525" i="15"/>
  <c r="AJ525" i="15"/>
  <c r="AK525" i="15"/>
  <c r="AL525" i="15"/>
  <c r="AM525" i="15"/>
  <c r="AQ525" i="15"/>
  <c r="S526" i="15"/>
  <c r="T526" i="15"/>
  <c r="U526" i="15"/>
  <c r="W526" i="15"/>
  <c r="Y526" i="15"/>
  <c r="Z526" i="15"/>
  <c r="AA526" i="15"/>
  <c r="AC526" i="15"/>
  <c r="AG526" i="15"/>
  <c r="AH526" i="15"/>
  <c r="AI526" i="15"/>
  <c r="AJ526" i="15"/>
  <c r="AK526" i="15"/>
  <c r="AL526" i="15"/>
  <c r="AM526" i="15"/>
  <c r="AQ526" i="15"/>
  <c r="S527" i="15"/>
  <c r="T527" i="15"/>
  <c r="U527" i="15"/>
  <c r="W527" i="15"/>
  <c r="Y527" i="15"/>
  <c r="Z527" i="15"/>
  <c r="AA527" i="15"/>
  <c r="AC527" i="15"/>
  <c r="AG527" i="15"/>
  <c r="AH527" i="15"/>
  <c r="AI527" i="15"/>
  <c r="AJ527" i="15"/>
  <c r="AK527" i="15"/>
  <c r="AL527" i="15"/>
  <c r="AM527" i="15"/>
  <c r="AQ527" i="15"/>
  <c r="U528" i="15"/>
  <c r="AA528" i="15"/>
  <c r="AC528" i="15"/>
  <c r="AG528" i="15"/>
  <c r="AH528" i="15"/>
  <c r="AI528" i="15"/>
  <c r="AL528" i="15"/>
  <c r="AM528" i="15"/>
  <c r="AQ528" i="15"/>
  <c r="S529" i="15"/>
  <c r="U529" i="15"/>
  <c r="Y529" i="15"/>
  <c r="AA529" i="15"/>
  <c r="AC529" i="15"/>
  <c r="AG529" i="15"/>
  <c r="AH529" i="15"/>
  <c r="AI529" i="15"/>
  <c r="AJ529" i="15"/>
  <c r="AL529" i="15"/>
  <c r="AM529" i="15"/>
  <c r="AQ529" i="15"/>
  <c r="W530" i="15"/>
  <c r="Y530" i="15"/>
  <c r="Z530" i="15"/>
  <c r="AA530" i="15"/>
  <c r="AC530" i="15"/>
  <c r="AG530" i="15"/>
  <c r="AH530" i="15"/>
  <c r="AI530" i="15"/>
  <c r="AJ530" i="15"/>
  <c r="AK530" i="15"/>
  <c r="AL530" i="15"/>
  <c r="AM530" i="15"/>
  <c r="AQ530" i="15"/>
  <c r="S531" i="15"/>
  <c r="T531" i="15"/>
  <c r="U531" i="15"/>
  <c r="W531" i="15"/>
  <c r="Y531" i="15"/>
  <c r="Z531" i="15"/>
  <c r="AA531" i="15"/>
  <c r="AC531" i="15"/>
  <c r="AG531" i="15"/>
  <c r="AH531" i="15"/>
  <c r="AI531" i="15"/>
  <c r="AJ531" i="15"/>
  <c r="AK531" i="15"/>
  <c r="AL531" i="15"/>
  <c r="AM531" i="15"/>
  <c r="AQ531" i="15"/>
  <c r="I126" i="15"/>
  <c r="S519" i="15"/>
  <c r="T519" i="15"/>
  <c r="U519" i="15"/>
  <c r="W519" i="15"/>
  <c r="Y519" i="15"/>
  <c r="Z519" i="15"/>
  <c r="AA519" i="15"/>
  <c r="AC519" i="15"/>
  <c r="AG519" i="15"/>
  <c r="AH519" i="15"/>
  <c r="AI519" i="15"/>
  <c r="AJ519" i="15"/>
  <c r="AK519" i="15"/>
  <c r="AL519" i="15"/>
  <c r="AM519" i="15"/>
  <c r="AQ519" i="15"/>
  <c r="S520" i="15"/>
  <c r="T520" i="15"/>
  <c r="U520" i="15"/>
  <c r="W520" i="15"/>
  <c r="Y520" i="15"/>
  <c r="Z520" i="15"/>
  <c r="AA520" i="15"/>
  <c r="AC520" i="15"/>
  <c r="AG520" i="15"/>
  <c r="AH520" i="15"/>
  <c r="AI520" i="15"/>
  <c r="AJ520" i="15"/>
  <c r="AK520" i="15"/>
  <c r="AL520" i="15"/>
  <c r="AM520" i="15"/>
  <c r="AQ520" i="15"/>
  <c r="S521" i="15"/>
  <c r="T521" i="15"/>
  <c r="U521" i="15"/>
  <c r="W521" i="15"/>
  <c r="AC521" i="15"/>
  <c r="AG521" i="15"/>
  <c r="AH521" i="15"/>
  <c r="AI521" i="15"/>
  <c r="AJ521" i="15"/>
  <c r="AK521" i="15"/>
  <c r="AL521" i="15"/>
  <c r="AM521" i="15"/>
  <c r="AQ521" i="15"/>
  <c r="S522" i="15"/>
  <c r="T522" i="15"/>
  <c r="U522" i="15"/>
  <c r="W522" i="15"/>
  <c r="AC522" i="15"/>
  <c r="AG522" i="15"/>
  <c r="AH522" i="15"/>
  <c r="AI522" i="15"/>
  <c r="AJ522" i="15"/>
  <c r="AK522" i="15"/>
  <c r="AL522" i="15"/>
  <c r="AM522" i="15"/>
  <c r="AQ522" i="15"/>
  <c r="S523" i="15"/>
  <c r="T523" i="15"/>
  <c r="U523" i="15"/>
  <c r="W523" i="15"/>
  <c r="AC523" i="15"/>
  <c r="AG523" i="15"/>
  <c r="AH523" i="15"/>
  <c r="AI523" i="15"/>
  <c r="AJ523" i="15"/>
  <c r="AK523" i="15"/>
  <c r="AL523" i="15"/>
  <c r="AM523" i="15"/>
  <c r="AQ523" i="15"/>
  <c r="S524" i="15"/>
  <c r="T524" i="15"/>
  <c r="U524" i="15"/>
  <c r="W524" i="15"/>
  <c r="AC524" i="15"/>
  <c r="AG524" i="15"/>
  <c r="AH524" i="15"/>
  <c r="AI524" i="15"/>
  <c r="AJ524" i="15"/>
  <c r="AK524" i="15"/>
  <c r="AL524" i="15"/>
  <c r="AM524" i="15"/>
  <c r="AQ524" i="15"/>
  <c r="S509" i="15"/>
  <c r="T509" i="15"/>
  <c r="U509" i="15"/>
  <c r="W509" i="15"/>
  <c r="Y509" i="15"/>
  <c r="Z509" i="15"/>
  <c r="AA509" i="15"/>
  <c r="AC509" i="15"/>
  <c r="AG509" i="15"/>
  <c r="AH509" i="15"/>
  <c r="AI509" i="15"/>
  <c r="AJ509" i="15"/>
  <c r="AK509" i="15"/>
  <c r="AL509" i="15"/>
  <c r="AQ509" i="15"/>
  <c r="S510" i="15"/>
  <c r="T510" i="15"/>
  <c r="U510" i="15"/>
  <c r="W510" i="15"/>
  <c r="Y510" i="15"/>
  <c r="Z510" i="15"/>
  <c r="AA510" i="15"/>
  <c r="AC510" i="15"/>
  <c r="AG510" i="15"/>
  <c r="AH510" i="15"/>
  <c r="AI510" i="15"/>
  <c r="AJ510" i="15"/>
  <c r="AK510" i="15"/>
  <c r="AL510" i="15"/>
  <c r="AQ510" i="15"/>
  <c r="S511" i="15"/>
  <c r="T511" i="15"/>
  <c r="U511" i="15"/>
  <c r="W511" i="15"/>
  <c r="Y511" i="15"/>
  <c r="Z511" i="15"/>
  <c r="AA511" i="15"/>
  <c r="AC511" i="15"/>
  <c r="AG511" i="15"/>
  <c r="AH511" i="15"/>
  <c r="AI511" i="15"/>
  <c r="AJ511" i="15"/>
  <c r="AK511" i="15"/>
  <c r="AL511" i="15"/>
  <c r="AM511" i="15"/>
  <c r="AQ511" i="15"/>
  <c r="S512" i="15"/>
  <c r="T512" i="15"/>
  <c r="U512" i="15"/>
  <c r="W512" i="15"/>
  <c r="Y512" i="15"/>
  <c r="Z512" i="15"/>
  <c r="AA512" i="15"/>
  <c r="AC512" i="15"/>
  <c r="AG512" i="15"/>
  <c r="AH512" i="15"/>
  <c r="AI512" i="15"/>
  <c r="AJ512" i="15"/>
  <c r="AK512" i="15"/>
  <c r="AL512" i="15"/>
  <c r="AM512" i="15"/>
  <c r="AQ512" i="15"/>
  <c r="S513" i="15"/>
  <c r="T513" i="15"/>
  <c r="U513" i="15"/>
  <c r="W513" i="15"/>
  <c r="Y513" i="15"/>
  <c r="Z513" i="15"/>
  <c r="AA513" i="15"/>
  <c r="AC513" i="15"/>
  <c r="AG513" i="15"/>
  <c r="AH513" i="15"/>
  <c r="AI513" i="15"/>
  <c r="AJ513" i="15"/>
  <c r="AK513" i="15"/>
  <c r="AL513" i="15"/>
  <c r="AM513" i="15"/>
  <c r="AQ513" i="15"/>
  <c r="S514" i="15"/>
  <c r="T514" i="15"/>
  <c r="U514" i="15"/>
  <c r="W514" i="15"/>
  <c r="Y514" i="15"/>
  <c r="Z514" i="15"/>
  <c r="AA514" i="15"/>
  <c r="AC514" i="15"/>
  <c r="AG514" i="15"/>
  <c r="AH514" i="15"/>
  <c r="AI514" i="15"/>
  <c r="AJ514" i="15"/>
  <c r="AK514" i="15"/>
  <c r="AL514" i="15"/>
  <c r="AM514" i="15"/>
  <c r="AQ514" i="15"/>
  <c r="S515" i="15"/>
  <c r="T515" i="15"/>
  <c r="U515" i="15"/>
  <c r="W515" i="15"/>
  <c r="Y515" i="15"/>
  <c r="Z515" i="15"/>
  <c r="AA515" i="15"/>
  <c r="AC515" i="15"/>
  <c r="AG515" i="15"/>
  <c r="AH515" i="15"/>
  <c r="AI515" i="15"/>
  <c r="AJ515" i="15"/>
  <c r="AK515" i="15"/>
  <c r="AL515" i="15"/>
  <c r="AM515" i="15"/>
  <c r="AQ515" i="15"/>
  <c r="S516" i="15"/>
  <c r="T516" i="15"/>
  <c r="U516" i="15"/>
  <c r="W516" i="15"/>
  <c r="Y516" i="15"/>
  <c r="Z516" i="15"/>
  <c r="AA516" i="15"/>
  <c r="AC516" i="15"/>
  <c r="AG516" i="15"/>
  <c r="AH516" i="15"/>
  <c r="AI516" i="15"/>
  <c r="AJ516" i="15"/>
  <c r="AK516" i="15"/>
  <c r="AL516" i="15"/>
  <c r="AM516" i="15"/>
  <c r="AQ516" i="15"/>
  <c r="S517" i="15"/>
  <c r="T517" i="15"/>
  <c r="U517" i="15"/>
  <c r="W517" i="15"/>
  <c r="Y517" i="15"/>
  <c r="Z517" i="15"/>
  <c r="AA517" i="15"/>
  <c r="AC517" i="15"/>
  <c r="AG517" i="15"/>
  <c r="AH517" i="15"/>
  <c r="AI517" i="15"/>
  <c r="AJ517" i="15"/>
  <c r="AK517" i="15"/>
  <c r="AL517" i="15"/>
  <c r="AM517" i="15"/>
  <c r="AQ517" i="15"/>
  <c r="S518" i="15"/>
  <c r="T518" i="15"/>
  <c r="U518" i="15"/>
  <c r="W518" i="15"/>
  <c r="Y518" i="15"/>
  <c r="Z518" i="15"/>
  <c r="AA518" i="15"/>
  <c r="AC518" i="15"/>
  <c r="AG518" i="15"/>
  <c r="AH518" i="15"/>
  <c r="AI518" i="15"/>
  <c r="AJ518" i="15"/>
  <c r="AK518" i="15"/>
  <c r="AL518" i="15"/>
  <c r="AM518" i="15"/>
  <c r="AQ518" i="15"/>
  <c r="S492" i="15"/>
  <c r="T492" i="15"/>
  <c r="U492" i="15"/>
  <c r="W492" i="15"/>
  <c r="Y492" i="15"/>
  <c r="Z492" i="15"/>
  <c r="AA492" i="15"/>
  <c r="AC492" i="15"/>
  <c r="AG492" i="15"/>
  <c r="AH492" i="15"/>
  <c r="AI492" i="15"/>
  <c r="AJ492" i="15"/>
  <c r="AK492" i="15"/>
  <c r="AL492" i="15"/>
  <c r="AM492" i="15"/>
  <c r="AQ492" i="15"/>
  <c r="S493" i="15"/>
  <c r="T493" i="15"/>
  <c r="U493" i="15"/>
  <c r="W493" i="15"/>
  <c r="Y493" i="15"/>
  <c r="Z493" i="15"/>
  <c r="AA493" i="15"/>
  <c r="AC493" i="15"/>
  <c r="AG493" i="15"/>
  <c r="AH493" i="15"/>
  <c r="AI493" i="15"/>
  <c r="AJ493" i="15"/>
  <c r="AK493" i="15"/>
  <c r="AL493" i="15"/>
  <c r="AM493" i="15"/>
  <c r="AQ493" i="15"/>
  <c r="S494" i="15"/>
  <c r="T494" i="15"/>
  <c r="U494" i="15"/>
  <c r="W494" i="15"/>
  <c r="Y494" i="15"/>
  <c r="Z494" i="15"/>
  <c r="AA494" i="15"/>
  <c r="AC494" i="15"/>
  <c r="AG494" i="15"/>
  <c r="AH494" i="15"/>
  <c r="AI494" i="15"/>
  <c r="AJ494" i="15"/>
  <c r="AK494" i="15"/>
  <c r="AL494" i="15"/>
  <c r="AM494" i="15"/>
  <c r="AQ494" i="15"/>
  <c r="S495" i="15"/>
  <c r="T495" i="15"/>
  <c r="U495" i="15"/>
  <c r="W495" i="15"/>
  <c r="Y495" i="15"/>
  <c r="Z495" i="15"/>
  <c r="AA495" i="15"/>
  <c r="AC495" i="15"/>
  <c r="AG495" i="15"/>
  <c r="AH495" i="15"/>
  <c r="AI495" i="15"/>
  <c r="AJ495" i="15"/>
  <c r="AK495" i="15"/>
  <c r="AL495" i="15"/>
  <c r="AM495" i="15"/>
  <c r="AQ495" i="15"/>
  <c r="S496" i="15"/>
  <c r="T496" i="15"/>
  <c r="U496" i="15"/>
  <c r="W496" i="15"/>
  <c r="Y496" i="15"/>
  <c r="Z496" i="15"/>
  <c r="AA496" i="15"/>
  <c r="AC496" i="15"/>
  <c r="AG496" i="15"/>
  <c r="AH496" i="15"/>
  <c r="AI496" i="15"/>
  <c r="AJ496" i="15"/>
  <c r="AK496" i="15"/>
  <c r="AL496" i="15"/>
  <c r="AM496" i="15"/>
  <c r="AQ496" i="15"/>
  <c r="S497" i="15"/>
  <c r="T497" i="15"/>
  <c r="U497" i="15"/>
  <c r="W497" i="15"/>
  <c r="Y497" i="15"/>
  <c r="Z497" i="15"/>
  <c r="AA497" i="15"/>
  <c r="AC497" i="15"/>
  <c r="AG497" i="15"/>
  <c r="AH497" i="15"/>
  <c r="AI497" i="15"/>
  <c r="AJ497" i="15"/>
  <c r="AK497" i="15"/>
  <c r="AL497" i="15"/>
  <c r="AM497" i="15"/>
  <c r="AQ497" i="15"/>
  <c r="U498" i="15"/>
  <c r="W498" i="15"/>
  <c r="AA498" i="15"/>
  <c r="AC498" i="15"/>
  <c r="AG498" i="15"/>
  <c r="AH498" i="15"/>
  <c r="AI498" i="15"/>
  <c r="AJ498" i="15"/>
  <c r="AK498" i="15"/>
  <c r="AL498" i="15"/>
  <c r="AM498" i="15"/>
  <c r="AQ498" i="15"/>
  <c r="U499" i="15"/>
  <c r="W499" i="15"/>
  <c r="AA499" i="15"/>
  <c r="AC499" i="15"/>
  <c r="AG499" i="15"/>
  <c r="AH499" i="15"/>
  <c r="AI499" i="15"/>
  <c r="AJ499" i="15"/>
  <c r="AK499" i="15"/>
  <c r="AL499" i="15"/>
  <c r="AM499" i="15"/>
  <c r="AQ499" i="15"/>
  <c r="S500" i="15"/>
  <c r="T500" i="15"/>
  <c r="U500" i="15"/>
  <c r="W500" i="15"/>
  <c r="Y500" i="15"/>
  <c r="Z500" i="15"/>
  <c r="AA500" i="15"/>
  <c r="AC500" i="15"/>
  <c r="AG500" i="15"/>
  <c r="AH500" i="15"/>
  <c r="AI500" i="15"/>
  <c r="AJ500" i="15"/>
  <c r="AK500" i="15"/>
  <c r="AL500" i="15"/>
  <c r="AM500" i="15"/>
  <c r="AQ500" i="15"/>
  <c r="S501" i="15"/>
  <c r="T501" i="15"/>
  <c r="U501" i="15"/>
  <c r="W501" i="15"/>
  <c r="Y501" i="15"/>
  <c r="Z501" i="15"/>
  <c r="AA501" i="15"/>
  <c r="AC501" i="15"/>
  <c r="AG501" i="15"/>
  <c r="AH501" i="15"/>
  <c r="AI501" i="15"/>
  <c r="AJ501" i="15"/>
  <c r="AK501" i="15"/>
  <c r="AL501" i="15"/>
  <c r="AM501" i="15"/>
  <c r="AQ501" i="15"/>
  <c r="S502" i="15"/>
  <c r="T502" i="15"/>
  <c r="U502" i="15"/>
  <c r="W502" i="15"/>
  <c r="Y502" i="15"/>
  <c r="Z502" i="15"/>
  <c r="AA502" i="15"/>
  <c r="AC502" i="15"/>
  <c r="AG502" i="15"/>
  <c r="AH502" i="15"/>
  <c r="AI502" i="15"/>
  <c r="AJ502" i="15"/>
  <c r="AK502" i="15"/>
  <c r="AL502" i="15"/>
  <c r="AM502" i="15"/>
  <c r="AQ502" i="15"/>
  <c r="S503" i="15"/>
  <c r="T503" i="15"/>
  <c r="U503" i="15"/>
  <c r="W503" i="15"/>
  <c r="Y503" i="15"/>
  <c r="Z503" i="15"/>
  <c r="AA503" i="15"/>
  <c r="AC503" i="15"/>
  <c r="AG503" i="15"/>
  <c r="AH503" i="15"/>
  <c r="AI503" i="15"/>
  <c r="AJ503" i="15"/>
  <c r="AK503" i="15"/>
  <c r="AL503" i="15"/>
  <c r="AM503" i="15"/>
  <c r="AQ503" i="15"/>
  <c r="S504" i="15"/>
  <c r="T504" i="15"/>
  <c r="U504" i="15"/>
  <c r="W504" i="15"/>
  <c r="Y504" i="15"/>
  <c r="Z504" i="15"/>
  <c r="AA504" i="15"/>
  <c r="AC504" i="15"/>
  <c r="AG504" i="15"/>
  <c r="AH504" i="15"/>
  <c r="AI504" i="15"/>
  <c r="AJ504" i="15"/>
  <c r="AK504" i="15"/>
  <c r="AL504" i="15"/>
  <c r="AM504" i="15"/>
  <c r="AQ504" i="15"/>
  <c r="S505" i="15"/>
  <c r="T505" i="15"/>
  <c r="U505" i="15"/>
  <c r="W505" i="15"/>
  <c r="Y505" i="15"/>
  <c r="Z505" i="15"/>
  <c r="AA505" i="15"/>
  <c r="AC505" i="15"/>
  <c r="AG505" i="15"/>
  <c r="AH505" i="15"/>
  <c r="AI505" i="15"/>
  <c r="AJ505" i="15"/>
  <c r="AK505" i="15"/>
  <c r="AL505" i="15"/>
  <c r="AM505" i="15"/>
  <c r="AQ505" i="15"/>
  <c r="S506" i="15"/>
  <c r="T506" i="15"/>
  <c r="U506" i="15"/>
  <c r="W506" i="15"/>
  <c r="Y506" i="15"/>
  <c r="Z506" i="15"/>
  <c r="AA506" i="15"/>
  <c r="AC506" i="15"/>
  <c r="AG506" i="15"/>
  <c r="AH506" i="15"/>
  <c r="AI506" i="15"/>
  <c r="AJ506" i="15"/>
  <c r="AK506" i="15"/>
  <c r="AL506" i="15"/>
  <c r="AM506" i="15"/>
  <c r="AQ506" i="15"/>
  <c r="S507" i="15"/>
  <c r="T507" i="15"/>
  <c r="U507" i="15"/>
  <c r="W507" i="15"/>
  <c r="Y507" i="15"/>
  <c r="Z507" i="15"/>
  <c r="AA507" i="15"/>
  <c r="AC507" i="15"/>
  <c r="AG507" i="15"/>
  <c r="AH507" i="15"/>
  <c r="AI507" i="15"/>
  <c r="AJ507" i="15"/>
  <c r="AK507" i="15"/>
  <c r="AL507" i="15"/>
  <c r="AM507" i="15"/>
  <c r="AQ507" i="15"/>
  <c r="S508" i="15"/>
  <c r="T508" i="15"/>
  <c r="U508" i="15"/>
  <c r="W508" i="15"/>
  <c r="Y508" i="15"/>
  <c r="Z508" i="15"/>
  <c r="AA508" i="15"/>
  <c r="AC508" i="15"/>
  <c r="AG508" i="15"/>
  <c r="AH508" i="15"/>
  <c r="AI508" i="15"/>
  <c r="AJ508" i="15"/>
  <c r="AK508" i="15"/>
  <c r="AL508" i="15"/>
  <c r="AM508" i="15"/>
  <c r="AQ508" i="15"/>
  <c r="S491" i="15"/>
  <c r="T491" i="15"/>
  <c r="U491" i="15"/>
  <c r="W491" i="15"/>
  <c r="Y491" i="15"/>
  <c r="Z491" i="15"/>
  <c r="AA491" i="15"/>
  <c r="AC491" i="15"/>
  <c r="AG491" i="15"/>
  <c r="AH491" i="15"/>
  <c r="AI491" i="15"/>
  <c r="AJ491" i="15"/>
  <c r="AK491" i="15"/>
  <c r="AL491" i="15"/>
  <c r="AM491" i="15"/>
  <c r="AQ491" i="15"/>
  <c r="AM433" i="15"/>
  <c r="I122" i="15"/>
  <c r="J122" i="15"/>
  <c r="K122" i="15"/>
  <c r="L122" i="15"/>
  <c r="I123" i="15"/>
  <c r="J123" i="15"/>
  <c r="K123" i="15"/>
  <c r="L123" i="15"/>
  <c r="I124" i="15"/>
  <c r="J124" i="15"/>
  <c r="K124" i="15"/>
  <c r="L124" i="15"/>
  <c r="I125" i="15"/>
  <c r="J125" i="15"/>
  <c r="K125" i="15"/>
  <c r="L125" i="15"/>
  <c r="J126" i="15"/>
  <c r="K126" i="15"/>
  <c r="L126" i="15"/>
  <c r="AC409" i="15"/>
  <c r="S475" i="15"/>
  <c r="T475" i="15"/>
  <c r="U475" i="15"/>
  <c r="W475" i="15"/>
  <c r="Y475" i="15"/>
  <c r="Z475" i="15"/>
  <c r="AA475" i="15"/>
  <c r="AC475" i="15"/>
  <c r="AG475" i="15"/>
  <c r="AH475" i="15"/>
  <c r="AI475" i="15"/>
  <c r="AJ475" i="15"/>
  <c r="AK475" i="15"/>
  <c r="AL475" i="15"/>
  <c r="AM475" i="15"/>
  <c r="AQ475" i="15"/>
  <c r="S476" i="15"/>
  <c r="T476" i="15"/>
  <c r="U476" i="15"/>
  <c r="W476" i="15"/>
  <c r="Y476" i="15"/>
  <c r="Z476" i="15"/>
  <c r="AA476" i="15"/>
  <c r="AC476" i="15"/>
  <c r="AG476" i="15"/>
  <c r="AH476" i="15"/>
  <c r="AI476" i="15"/>
  <c r="AJ476" i="15"/>
  <c r="AK476" i="15"/>
  <c r="AL476" i="15"/>
  <c r="AM476" i="15"/>
  <c r="AQ476" i="15"/>
  <c r="S477" i="15"/>
  <c r="T477" i="15"/>
  <c r="U477" i="15"/>
  <c r="W477" i="15"/>
  <c r="Y477" i="15"/>
  <c r="Z477" i="15"/>
  <c r="AA477" i="15"/>
  <c r="AC477" i="15"/>
  <c r="AG477" i="15"/>
  <c r="AH477" i="15"/>
  <c r="AI477" i="15"/>
  <c r="AJ477" i="15"/>
  <c r="AK477" i="15"/>
  <c r="AL477" i="15"/>
  <c r="AM477" i="15"/>
  <c r="AQ477" i="15"/>
  <c r="S478" i="15"/>
  <c r="T478" i="15"/>
  <c r="U478" i="15"/>
  <c r="W478" i="15"/>
  <c r="Y478" i="15"/>
  <c r="Z478" i="15"/>
  <c r="AA478" i="15"/>
  <c r="AC478" i="15"/>
  <c r="AG478" i="15"/>
  <c r="AH478" i="15"/>
  <c r="AI478" i="15"/>
  <c r="AJ478" i="15"/>
  <c r="AK478" i="15"/>
  <c r="AL478" i="15"/>
  <c r="AM478" i="15"/>
  <c r="AQ478" i="15"/>
  <c r="S479" i="15"/>
  <c r="T479" i="15"/>
  <c r="U479" i="15"/>
  <c r="W479" i="15"/>
  <c r="Y479" i="15"/>
  <c r="Z479" i="15"/>
  <c r="AA479" i="15"/>
  <c r="AC479" i="15"/>
  <c r="AG479" i="15"/>
  <c r="AH479" i="15"/>
  <c r="AI479" i="15"/>
  <c r="AJ479" i="15"/>
  <c r="AK479" i="15"/>
  <c r="AL479" i="15"/>
  <c r="AM479" i="15"/>
  <c r="AQ479" i="15"/>
  <c r="S480" i="15"/>
  <c r="T480" i="15"/>
  <c r="U480" i="15"/>
  <c r="W480" i="15"/>
  <c r="Y480" i="15"/>
  <c r="Z480" i="15"/>
  <c r="AA480" i="15"/>
  <c r="AC480" i="15"/>
  <c r="AG480" i="15"/>
  <c r="AH480" i="15"/>
  <c r="AI480" i="15"/>
  <c r="AJ480" i="15"/>
  <c r="AK480" i="15"/>
  <c r="AL480" i="15"/>
  <c r="AM480" i="15"/>
  <c r="AQ480" i="15"/>
  <c r="S481" i="15"/>
  <c r="T481" i="15"/>
  <c r="U481" i="15"/>
  <c r="W481" i="15"/>
  <c r="Y481" i="15"/>
  <c r="Z481" i="15"/>
  <c r="AA481" i="15"/>
  <c r="AC481" i="15"/>
  <c r="AG481" i="15"/>
  <c r="AH481" i="15"/>
  <c r="AI481" i="15"/>
  <c r="AJ481" i="15"/>
  <c r="AK481" i="15"/>
  <c r="AL481" i="15"/>
  <c r="AM481" i="15"/>
  <c r="AQ481" i="15"/>
  <c r="S482" i="15"/>
  <c r="T482" i="15"/>
  <c r="U482" i="15"/>
  <c r="W482" i="15"/>
  <c r="Y482" i="15"/>
  <c r="Z482" i="15"/>
  <c r="AA482" i="15"/>
  <c r="AC482" i="15"/>
  <c r="AG482" i="15"/>
  <c r="AH482" i="15"/>
  <c r="AI482" i="15"/>
  <c r="AJ482" i="15"/>
  <c r="AK482" i="15"/>
  <c r="AL482" i="15"/>
  <c r="AM482" i="15"/>
  <c r="AQ482" i="15"/>
  <c r="S483" i="15"/>
  <c r="T483" i="15"/>
  <c r="U483" i="15"/>
  <c r="W483" i="15"/>
  <c r="Y483" i="15"/>
  <c r="Z483" i="15"/>
  <c r="AA483" i="15"/>
  <c r="AC483" i="15"/>
  <c r="AG483" i="15"/>
  <c r="AH483" i="15"/>
  <c r="AI483" i="15"/>
  <c r="AJ483" i="15"/>
  <c r="AK483" i="15"/>
  <c r="AL483" i="15"/>
  <c r="AM483" i="15"/>
  <c r="AQ483" i="15"/>
  <c r="S484" i="15"/>
  <c r="T484" i="15"/>
  <c r="U484" i="15"/>
  <c r="W484" i="15"/>
  <c r="Y484" i="15"/>
  <c r="Z484" i="15"/>
  <c r="AA484" i="15"/>
  <c r="AC484" i="15"/>
  <c r="AG484" i="15"/>
  <c r="AH484" i="15"/>
  <c r="AI484" i="15"/>
  <c r="AJ484" i="15"/>
  <c r="AK484" i="15"/>
  <c r="AL484" i="15"/>
  <c r="AM484" i="15"/>
  <c r="AQ484" i="15"/>
  <c r="S485" i="15"/>
  <c r="T485" i="15"/>
  <c r="U485" i="15"/>
  <c r="W485" i="15"/>
  <c r="AA485" i="15"/>
  <c r="AC485" i="15"/>
  <c r="AG485" i="15"/>
  <c r="AH485" i="15"/>
  <c r="AI485" i="15"/>
  <c r="AJ485" i="15"/>
  <c r="AK485" i="15"/>
  <c r="AL485" i="15"/>
  <c r="AM485" i="15"/>
  <c r="AQ485" i="15"/>
  <c r="S486" i="15"/>
  <c r="T486" i="15"/>
  <c r="U486" i="15"/>
  <c r="W486" i="15"/>
  <c r="Y486" i="15"/>
  <c r="Z486" i="15"/>
  <c r="AA486" i="15"/>
  <c r="AC486" i="15"/>
  <c r="AG486" i="15"/>
  <c r="AH486" i="15"/>
  <c r="AI486" i="15"/>
  <c r="AJ486" i="15"/>
  <c r="AK486" i="15"/>
  <c r="AL486" i="15"/>
  <c r="AM486" i="15"/>
  <c r="AQ486" i="15"/>
  <c r="S487" i="15"/>
  <c r="T487" i="15"/>
  <c r="U487" i="15"/>
  <c r="W487" i="15"/>
  <c r="Y487" i="15"/>
  <c r="Z487" i="15"/>
  <c r="AA487" i="15"/>
  <c r="AC487" i="15"/>
  <c r="AG487" i="15"/>
  <c r="AH487" i="15"/>
  <c r="AI487" i="15"/>
  <c r="AJ487" i="15"/>
  <c r="AK487" i="15"/>
  <c r="AL487" i="15"/>
  <c r="AM487" i="15"/>
  <c r="AQ487" i="15"/>
  <c r="S488" i="15"/>
  <c r="T488" i="15"/>
  <c r="U488" i="15"/>
  <c r="W488" i="15"/>
  <c r="Y488" i="15"/>
  <c r="Z488" i="15"/>
  <c r="AA488" i="15"/>
  <c r="AC488" i="15"/>
  <c r="AG488" i="15"/>
  <c r="AH488" i="15"/>
  <c r="AI488" i="15"/>
  <c r="AJ488" i="15"/>
  <c r="AK488" i="15"/>
  <c r="AL488" i="15"/>
  <c r="AM488" i="15"/>
  <c r="AQ488" i="15"/>
  <c r="S489" i="15"/>
  <c r="T489" i="15"/>
  <c r="U489" i="15"/>
  <c r="W489" i="15"/>
  <c r="Y489" i="15"/>
  <c r="Z489" i="15"/>
  <c r="AA489" i="15"/>
  <c r="AC489" i="15"/>
  <c r="AG489" i="15"/>
  <c r="AH489" i="15"/>
  <c r="AI489" i="15"/>
  <c r="AJ489" i="15"/>
  <c r="AK489" i="15"/>
  <c r="AL489" i="15"/>
  <c r="AM489" i="15"/>
  <c r="AQ489" i="15"/>
  <c r="S490" i="15"/>
  <c r="T490" i="15"/>
  <c r="U490" i="15"/>
  <c r="W490" i="15"/>
  <c r="Y490" i="15"/>
  <c r="Z490" i="15"/>
  <c r="AA490" i="15"/>
  <c r="AC490" i="15"/>
  <c r="AG490" i="15"/>
  <c r="AH490" i="15"/>
  <c r="AI490" i="15"/>
  <c r="AJ490" i="15"/>
  <c r="AK490" i="15"/>
  <c r="AL490" i="15"/>
  <c r="AM490" i="15"/>
  <c r="AQ490" i="15"/>
  <c r="S99" i="15"/>
  <c r="Y99" i="15"/>
  <c r="AG99" i="15"/>
  <c r="S472" i="15"/>
  <c r="T472" i="15"/>
  <c r="U472" i="15"/>
  <c r="W472" i="15"/>
  <c r="Y472" i="15"/>
  <c r="Z472" i="15"/>
  <c r="AA472" i="15"/>
  <c r="AC472" i="15"/>
  <c r="AG472" i="15"/>
  <c r="AH472" i="15"/>
  <c r="AI472" i="15"/>
  <c r="AJ472" i="15"/>
  <c r="AK472" i="15"/>
  <c r="AL472" i="15"/>
  <c r="AM472" i="15"/>
  <c r="AQ472" i="15"/>
  <c r="S473" i="15"/>
  <c r="T473" i="15"/>
  <c r="U473" i="15"/>
  <c r="W473" i="15"/>
  <c r="Y473" i="15"/>
  <c r="Z473" i="15"/>
  <c r="AA473" i="15"/>
  <c r="AC473" i="15"/>
  <c r="AG473" i="15"/>
  <c r="AH473" i="15"/>
  <c r="AI473" i="15"/>
  <c r="AJ473" i="15"/>
  <c r="AK473" i="15"/>
  <c r="AL473" i="15"/>
  <c r="AM473" i="15"/>
  <c r="AQ473" i="15"/>
  <c r="S474" i="15"/>
  <c r="T474" i="15"/>
  <c r="U474" i="15"/>
  <c r="W474" i="15"/>
  <c r="Y474" i="15"/>
  <c r="Z474" i="15"/>
  <c r="AA474" i="15"/>
  <c r="AC474" i="15"/>
  <c r="AG474" i="15"/>
  <c r="AH474" i="15"/>
  <c r="AI474" i="15"/>
  <c r="AJ474" i="15"/>
  <c r="AK474" i="15"/>
  <c r="AL474" i="15"/>
  <c r="AM474" i="15"/>
  <c r="AQ474" i="15"/>
  <c r="S461" i="15"/>
  <c r="T461" i="15"/>
  <c r="U461" i="15"/>
  <c r="W461" i="15"/>
  <c r="Y461" i="15"/>
  <c r="Z461" i="15"/>
  <c r="AA461" i="15"/>
  <c r="AC461" i="15"/>
  <c r="AG461" i="15"/>
  <c r="AH461" i="15"/>
  <c r="AI461" i="15"/>
  <c r="AJ461" i="15"/>
  <c r="AK461" i="15"/>
  <c r="AL461" i="15"/>
  <c r="AM461" i="15"/>
  <c r="AQ461" i="15"/>
  <c r="S462" i="15"/>
  <c r="T462" i="15"/>
  <c r="U462" i="15"/>
  <c r="W462" i="15"/>
  <c r="Y462" i="15"/>
  <c r="Z462" i="15"/>
  <c r="AA462" i="15"/>
  <c r="AC462" i="15"/>
  <c r="AG462" i="15"/>
  <c r="AH462" i="15"/>
  <c r="AI462" i="15"/>
  <c r="AJ462" i="15"/>
  <c r="AK462" i="15"/>
  <c r="AL462" i="15"/>
  <c r="AM462" i="15"/>
  <c r="AQ462" i="15"/>
  <c r="S463" i="15"/>
  <c r="T463" i="15"/>
  <c r="U463" i="15"/>
  <c r="W463" i="15"/>
  <c r="Y463" i="15"/>
  <c r="Z463" i="15"/>
  <c r="AA463" i="15"/>
  <c r="AC463" i="15"/>
  <c r="AG463" i="15"/>
  <c r="AH463" i="15"/>
  <c r="AI463" i="15"/>
  <c r="AJ463" i="15"/>
  <c r="AK463" i="15"/>
  <c r="AL463" i="15"/>
  <c r="AM463" i="15"/>
  <c r="AQ463" i="15"/>
  <c r="S464" i="15"/>
  <c r="T464" i="15"/>
  <c r="U464" i="15"/>
  <c r="W464" i="15"/>
  <c r="Y464" i="15"/>
  <c r="Z464" i="15"/>
  <c r="AA464" i="15"/>
  <c r="AC464" i="15"/>
  <c r="AG464" i="15"/>
  <c r="AH464" i="15"/>
  <c r="AI464" i="15"/>
  <c r="AJ464" i="15"/>
  <c r="AK464" i="15"/>
  <c r="AL464" i="15"/>
  <c r="AM464" i="15"/>
  <c r="AQ464" i="15"/>
  <c r="S465" i="15"/>
  <c r="T465" i="15"/>
  <c r="U465" i="15"/>
  <c r="W465" i="15"/>
  <c r="Y465" i="15"/>
  <c r="Z465" i="15"/>
  <c r="AA465" i="15"/>
  <c r="AC465" i="15"/>
  <c r="AG465" i="15"/>
  <c r="AH465" i="15"/>
  <c r="AI465" i="15"/>
  <c r="AJ465" i="15"/>
  <c r="AK465" i="15"/>
  <c r="AL465" i="15"/>
  <c r="AM465" i="15"/>
  <c r="AQ465" i="15"/>
  <c r="S466" i="15"/>
  <c r="T466" i="15"/>
  <c r="U466" i="15"/>
  <c r="W466" i="15"/>
  <c r="Y466" i="15"/>
  <c r="Z466" i="15"/>
  <c r="AA466" i="15"/>
  <c r="AC466" i="15"/>
  <c r="AG466" i="15"/>
  <c r="AH466" i="15"/>
  <c r="AI466" i="15"/>
  <c r="AJ466" i="15"/>
  <c r="AK466" i="15"/>
  <c r="AL466" i="15"/>
  <c r="AM466" i="15"/>
  <c r="AQ466" i="15"/>
  <c r="S467" i="15"/>
  <c r="T467" i="15"/>
  <c r="U467" i="15"/>
  <c r="W467" i="15"/>
  <c r="AA467" i="15"/>
  <c r="AC467" i="15"/>
  <c r="AG467" i="15"/>
  <c r="AH467" i="15"/>
  <c r="AI467" i="15"/>
  <c r="AJ467" i="15"/>
  <c r="AK467" i="15"/>
  <c r="AL467" i="15"/>
  <c r="AM467" i="15"/>
  <c r="AQ467" i="15"/>
  <c r="S468" i="15"/>
  <c r="T468" i="15"/>
  <c r="U468" i="15"/>
  <c r="W468" i="15"/>
  <c r="Y468" i="15"/>
  <c r="Z468" i="15"/>
  <c r="AA468" i="15"/>
  <c r="AC468" i="15"/>
  <c r="AG468" i="15"/>
  <c r="AH468" i="15"/>
  <c r="AI468" i="15"/>
  <c r="AJ468" i="15"/>
  <c r="AK468" i="15"/>
  <c r="AL468" i="15"/>
  <c r="AM468" i="15"/>
  <c r="AQ468" i="15"/>
  <c r="S469" i="15"/>
  <c r="T469" i="15"/>
  <c r="U469" i="15"/>
  <c r="W469" i="15"/>
  <c r="Y469" i="15"/>
  <c r="Z469" i="15"/>
  <c r="AA469" i="15"/>
  <c r="AC469" i="15"/>
  <c r="AG469" i="15"/>
  <c r="AH469" i="15"/>
  <c r="AI469" i="15"/>
  <c r="AJ469" i="15"/>
  <c r="AK469" i="15"/>
  <c r="AL469" i="15"/>
  <c r="AM469" i="15"/>
  <c r="AQ469" i="15"/>
  <c r="S470" i="15"/>
  <c r="T470" i="15"/>
  <c r="U470" i="15"/>
  <c r="W470" i="15"/>
  <c r="Y470" i="15"/>
  <c r="Z470" i="15"/>
  <c r="AA470" i="15"/>
  <c r="AC470" i="15"/>
  <c r="AG470" i="15"/>
  <c r="AH470" i="15"/>
  <c r="AI470" i="15"/>
  <c r="AJ470" i="15"/>
  <c r="AK470" i="15"/>
  <c r="AL470" i="15"/>
  <c r="AM470" i="15"/>
  <c r="AQ470" i="15"/>
  <c r="S471" i="15"/>
  <c r="T471" i="15"/>
  <c r="U471" i="15"/>
  <c r="W471" i="15"/>
  <c r="Y471" i="15"/>
  <c r="Z471" i="15"/>
  <c r="AA471" i="15"/>
  <c r="AC471" i="15"/>
  <c r="AG471" i="15"/>
  <c r="AH471" i="15"/>
  <c r="AI471" i="15"/>
  <c r="AJ471" i="15"/>
  <c r="AK471" i="15"/>
  <c r="AL471" i="15"/>
  <c r="AM471" i="15"/>
  <c r="AQ471" i="15"/>
  <c r="S453" i="15"/>
  <c r="T453" i="15"/>
  <c r="U453" i="15"/>
  <c r="W453" i="15"/>
  <c r="Y453" i="15"/>
  <c r="Z453" i="15"/>
  <c r="AA453" i="15"/>
  <c r="AC453" i="15"/>
  <c r="AG453" i="15"/>
  <c r="AH453" i="15"/>
  <c r="AI453" i="15"/>
  <c r="AJ453" i="15"/>
  <c r="AK453" i="15"/>
  <c r="AL453" i="15"/>
  <c r="AM453" i="15"/>
  <c r="AQ453" i="15"/>
  <c r="S454" i="15"/>
  <c r="T454" i="15"/>
  <c r="U454" i="15"/>
  <c r="W454" i="15"/>
  <c r="Y454" i="15"/>
  <c r="Z454" i="15"/>
  <c r="AA454" i="15"/>
  <c r="AC454" i="15"/>
  <c r="AG454" i="15"/>
  <c r="AH454" i="15"/>
  <c r="AI454" i="15"/>
  <c r="AJ454" i="15"/>
  <c r="AK454" i="15"/>
  <c r="AL454" i="15"/>
  <c r="AM454" i="15"/>
  <c r="AQ454" i="15"/>
  <c r="S455" i="15"/>
  <c r="T455" i="15"/>
  <c r="U455" i="15"/>
  <c r="W455" i="15"/>
  <c r="Y455" i="15"/>
  <c r="Z455" i="15"/>
  <c r="AA455" i="15"/>
  <c r="AC455" i="15"/>
  <c r="AG455" i="15"/>
  <c r="AH455" i="15"/>
  <c r="AI455" i="15"/>
  <c r="AJ455" i="15"/>
  <c r="AK455" i="15"/>
  <c r="AL455" i="15"/>
  <c r="AM455" i="15"/>
  <c r="AQ455" i="15"/>
  <c r="S456" i="15"/>
  <c r="T456" i="15"/>
  <c r="U456" i="15"/>
  <c r="W456" i="15"/>
  <c r="Y456" i="15"/>
  <c r="Z456" i="15"/>
  <c r="AA456" i="15"/>
  <c r="AC456" i="15"/>
  <c r="AG456" i="15"/>
  <c r="AH456" i="15"/>
  <c r="AI456" i="15"/>
  <c r="AJ456" i="15"/>
  <c r="AK456" i="15"/>
  <c r="AL456" i="15"/>
  <c r="AM456" i="15"/>
  <c r="AQ456" i="15"/>
  <c r="S457" i="15"/>
  <c r="T457" i="15"/>
  <c r="U457" i="15"/>
  <c r="W457" i="15"/>
  <c r="Y457" i="15"/>
  <c r="Z457" i="15"/>
  <c r="AA457" i="15"/>
  <c r="AC457" i="15"/>
  <c r="AG457" i="15"/>
  <c r="AH457" i="15"/>
  <c r="AI457" i="15"/>
  <c r="AJ457" i="15"/>
  <c r="AK457" i="15"/>
  <c r="AL457" i="15"/>
  <c r="AM457" i="15"/>
  <c r="AQ457" i="15"/>
  <c r="S458" i="15"/>
  <c r="T458" i="15"/>
  <c r="U458" i="15"/>
  <c r="W458" i="15"/>
  <c r="Y458" i="15"/>
  <c r="Z458" i="15"/>
  <c r="AA458" i="15"/>
  <c r="AC458" i="15"/>
  <c r="AG458" i="15"/>
  <c r="AH458" i="15"/>
  <c r="AI458" i="15"/>
  <c r="AJ458" i="15"/>
  <c r="AK458" i="15"/>
  <c r="AL458" i="15"/>
  <c r="AM458" i="15"/>
  <c r="AQ458" i="15"/>
  <c r="S459" i="15"/>
  <c r="T459" i="15"/>
  <c r="U459" i="15"/>
  <c r="W459" i="15"/>
  <c r="Y459" i="15"/>
  <c r="Z459" i="15"/>
  <c r="AA459" i="15"/>
  <c r="AC459" i="15"/>
  <c r="AG459" i="15"/>
  <c r="AH459" i="15"/>
  <c r="AI459" i="15"/>
  <c r="AJ459" i="15"/>
  <c r="AK459" i="15"/>
  <c r="AL459" i="15"/>
  <c r="AM459" i="15"/>
  <c r="AQ459" i="15"/>
  <c r="S460" i="15"/>
  <c r="T460" i="15"/>
  <c r="U460" i="15"/>
  <c r="W460" i="15"/>
  <c r="Y460" i="15"/>
  <c r="Z460" i="15"/>
  <c r="AA460" i="15"/>
  <c r="AC460" i="15"/>
  <c r="AG460" i="15"/>
  <c r="AH460" i="15"/>
  <c r="AI460" i="15"/>
  <c r="AJ460" i="15"/>
  <c r="AK460" i="15"/>
  <c r="AL460" i="15"/>
  <c r="AM460" i="15"/>
  <c r="AQ460" i="15"/>
  <c r="S440" i="15"/>
  <c r="T440" i="15"/>
  <c r="U440" i="15"/>
  <c r="W440" i="15"/>
  <c r="Y440" i="15"/>
  <c r="Z440" i="15"/>
  <c r="AA440" i="15"/>
  <c r="AC440" i="15"/>
  <c r="AG440" i="15"/>
  <c r="AH440" i="15"/>
  <c r="AI440" i="15"/>
  <c r="AJ440" i="15"/>
  <c r="AK440" i="15"/>
  <c r="AL440" i="15"/>
  <c r="AM440" i="15"/>
  <c r="AQ440" i="15"/>
  <c r="S441" i="15"/>
  <c r="T441" i="15"/>
  <c r="U441" i="15"/>
  <c r="W441" i="15"/>
  <c r="Y441" i="15"/>
  <c r="Z441" i="15"/>
  <c r="AA441" i="15"/>
  <c r="AC441" i="15"/>
  <c r="AG441" i="15"/>
  <c r="AH441" i="15"/>
  <c r="AI441" i="15"/>
  <c r="AJ441" i="15"/>
  <c r="AK441" i="15"/>
  <c r="AL441" i="15"/>
  <c r="AM441" i="15"/>
  <c r="AQ441" i="15"/>
  <c r="S442" i="15"/>
  <c r="T442" i="15"/>
  <c r="U442" i="15"/>
  <c r="W442" i="15"/>
  <c r="Y442" i="15"/>
  <c r="Z442" i="15"/>
  <c r="AA442" i="15"/>
  <c r="AC442" i="15"/>
  <c r="AG442" i="15"/>
  <c r="AH442" i="15"/>
  <c r="AI442" i="15"/>
  <c r="AJ442" i="15"/>
  <c r="AK442" i="15"/>
  <c r="AL442" i="15"/>
  <c r="AM442" i="15"/>
  <c r="AQ442" i="15"/>
  <c r="S443" i="15"/>
  <c r="T443" i="15"/>
  <c r="U443" i="15"/>
  <c r="W443" i="15"/>
  <c r="Y443" i="15"/>
  <c r="Z443" i="15"/>
  <c r="AA443" i="15"/>
  <c r="AC443" i="15"/>
  <c r="AG443" i="15"/>
  <c r="AH443" i="15"/>
  <c r="AI443" i="15"/>
  <c r="AJ443" i="15"/>
  <c r="AK443" i="15"/>
  <c r="AL443" i="15"/>
  <c r="AM443" i="15"/>
  <c r="AQ443" i="15"/>
  <c r="S444" i="15"/>
  <c r="T444" i="15"/>
  <c r="U444" i="15"/>
  <c r="W444" i="15"/>
  <c r="Y444" i="15"/>
  <c r="Z444" i="15"/>
  <c r="AA444" i="15"/>
  <c r="AC444" i="15"/>
  <c r="AG444" i="15"/>
  <c r="AH444" i="15"/>
  <c r="AI444" i="15"/>
  <c r="AJ444" i="15"/>
  <c r="AK444" i="15"/>
  <c r="AL444" i="15"/>
  <c r="AM444" i="15"/>
  <c r="AQ444" i="15"/>
  <c r="T445" i="15"/>
  <c r="U445" i="15"/>
  <c r="W445" i="15"/>
  <c r="Y445" i="15"/>
  <c r="Z445" i="15"/>
  <c r="AA445" i="15"/>
  <c r="AC445" i="15"/>
  <c r="AQ445" i="15"/>
  <c r="T446" i="15"/>
  <c r="U446" i="15"/>
  <c r="W446" i="15"/>
  <c r="Y446" i="15"/>
  <c r="Z446" i="15"/>
  <c r="AA446" i="15"/>
  <c r="AC446" i="15"/>
  <c r="AQ446" i="15"/>
  <c r="T447" i="15"/>
  <c r="U447" i="15"/>
  <c r="W447" i="15"/>
  <c r="Y447" i="15"/>
  <c r="Z447" i="15"/>
  <c r="AA447" i="15"/>
  <c r="AC447" i="15"/>
  <c r="AQ447" i="15"/>
  <c r="T448" i="15"/>
  <c r="U448" i="15"/>
  <c r="W448" i="15"/>
  <c r="Y448" i="15"/>
  <c r="Z448" i="15"/>
  <c r="AA448" i="15"/>
  <c r="AC448" i="15"/>
  <c r="AQ448" i="15"/>
  <c r="S449" i="15"/>
  <c r="T449" i="15"/>
  <c r="U449" i="15"/>
  <c r="W449" i="15"/>
  <c r="Y449" i="15"/>
  <c r="Z449" i="15"/>
  <c r="AA449" i="15"/>
  <c r="AC449" i="15"/>
  <c r="AG449" i="15"/>
  <c r="AH449" i="15"/>
  <c r="AI449" i="15"/>
  <c r="AJ449" i="15"/>
  <c r="AK449" i="15"/>
  <c r="AL449" i="15"/>
  <c r="AM449" i="15"/>
  <c r="AQ449" i="15"/>
  <c r="S450" i="15"/>
  <c r="T450" i="15"/>
  <c r="U450" i="15"/>
  <c r="W450" i="15"/>
  <c r="Y450" i="15"/>
  <c r="Z450" i="15"/>
  <c r="AA450" i="15"/>
  <c r="AC450" i="15"/>
  <c r="AG450" i="15"/>
  <c r="AH450" i="15"/>
  <c r="AI450" i="15"/>
  <c r="AJ450" i="15"/>
  <c r="AK450" i="15"/>
  <c r="AL450" i="15"/>
  <c r="AM450" i="15"/>
  <c r="AQ450" i="15"/>
  <c r="S451" i="15"/>
  <c r="T451" i="15"/>
  <c r="U451" i="15"/>
  <c r="W451" i="15"/>
  <c r="Y451" i="15"/>
  <c r="Z451" i="15"/>
  <c r="AA451" i="15"/>
  <c r="AC451" i="15"/>
  <c r="AG451" i="15"/>
  <c r="AH451" i="15"/>
  <c r="AI451" i="15"/>
  <c r="AJ451" i="15"/>
  <c r="AK451" i="15"/>
  <c r="AL451" i="15"/>
  <c r="AM451" i="15"/>
  <c r="AQ451" i="15"/>
  <c r="S452" i="15"/>
  <c r="T452" i="15"/>
  <c r="U452" i="15"/>
  <c r="W452" i="15"/>
  <c r="Y452" i="15"/>
  <c r="Z452" i="15"/>
  <c r="AA452" i="15"/>
  <c r="AC452" i="15"/>
  <c r="AG452" i="15"/>
  <c r="AH452" i="15"/>
  <c r="AI452" i="15"/>
  <c r="AJ452" i="15"/>
  <c r="AK452" i="15"/>
  <c r="AL452" i="15"/>
  <c r="AM452" i="15"/>
  <c r="AQ452" i="15"/>
  <c r="S431" i="15"/>
  <c r="T431" i="15"/>
  <c r="U431" i="15"/>
  <c r="W431" i="15"/>
  <c r="Y431" i="15"/>
  <c r="Z431" i="15"/>
  <c r="AA431" i="15"/>
  <c r="AC431" i="15"/>
  <c r="AG431" i="15"/>
  <c r="AH431" i="15"/>
  <c r="AI431" i="15"/>
  <c r="AJ431" i="15"/>
  <c r="AK431" i="15"/>
  <c r="AL431" i="15"/>
  <c r="AM431" i="15"/>
  <c r="AQ431" i="15"/>
  <c r="S432" i="15"/>
  <c r="T432" i="15"/>
  <c r="U432" i="15"/>
  <c r="W432" i="15"/>
  <c r="Y432" i="15"/>
  <c r="Z432" i="15"/>
  <c r="AA432" i="15"/>
  <c r="AC432" i="15"/>
  <c r="AG432" i="15"/>
  <c r="AH432" i="15"/>
  <c r="AI432" i="15"/>
  <c r="AJ432" i="15"/>
  <c r="AK432" i="15"/>
  <c r="AL432" i="15"/>
  <c r="AM432" i="15"/>
  <c r="AQ432" i="15"/>
  <c r="S433" i="15"/>
  <c r="T433" i="15"/>
  <c r="U433" i="15"/>
  <c r="W433" i="15"/>
  <c r="Y433" i="15"/>
  <c r="Z433" i="15"/>
  <c r="AA433" i="15"/>
  <c r="AC433" i="15"/>
  <c r="AG433" i="15"/>
  <c r="AH433" i="15"/>
  <c r="AI433" i="15"/>
  <c r="AJ433" i="15"/>
  <c r="AK433" i="15"/>
  <c r="AL433" i="15"/>
  <c r="AQ433" i="15"/>
  <c r="S434" i="15"/>
  <c r="T434" i="15"/>
  <c r="U434" i="15"/>
  <c r="W434" i="15"/>
  <c r="Y434" i="15"/>
  <c r="Z434" i="15"/>
  <c r="AA434" i="15"/>
  <c r="AC434" i="15"/>
  <c r="AG434" i="15"/>
  <c r="AH434" i="15"/>
  <c r="AI434" i="15"/>
  <c r="AJ434" i="15"/>
  <c r="AK434" i="15"/>
  <c r="AL434" i="15"/>
  <c r="AQ434" i="15"/>
  <c r="S435" i="15"/>
  <c r="T435" i="15"/>
  <c r="U435" i="15"/>
  <c r="W435" i="15"/>
  <c r="Y435" i="15"/>
  <c r="Z435" i="15"/>
  <c r="AA435" i="15"/>
  <c r="AC435" i="15"/>
  <c r="AG435" i="15"/>
  <c r="AH435" i="15"/>
  <c r="AI435" i="15"/>
  <c r="AJ435" i="15"/>
  <c r="AK435" i="15"/>
  <c r="AL435" i="15"/>
  <c r="AM435" i="15"/>
  <c r="AQ435" i="15"/>
  <c r="S436" i="15"/>
  <c r="T436" i="15"/>
  <c r="U436" i="15"/>
  <c r="W436" i="15"/>
  <c r="Y436" i="15"/>
  <c r="Z436" i="15"/>
  <c r="AA436" i="15"/>
  <c r="AC436" i="15"/>
  <c r="AG436" i="15"/>
  <c r="AH436" i="15"/>
  <c r="AI436" i="15"/>
  <c r="AJ436" i="15"/>
  <c r="AK436" i="15"/>
  <c r="AL436" i="15"/>
  <c r="AM436" i="15"/>
  <c r="AQ436" i="15"/>
  <c r="S437" i="15"/>
  <c r="T437" i="15"/>
  <c r="U437" i="15"/>
  <c r="W437" i="15"/>
  <c r="Y437" i="15"/>
  <c r="Z437" i="15"/>
  <c r="AA437" i="15"/>
  <c r="AC437" i="15"/>
  <c r="AG437" i="15"/>
  <c r="AH437" i="15"/>
  <c r="AI437" i="15"/>
  <c r="AJ437" i="15"/>
  <c r="AK437" i="15"/>
  <c r="AL437" i="15"/>
  <c r="AM437" i="15"/>
  <c r="AQ437" i="15"/>
  <c r="S438" i="15"/>
  <c r="T438" i="15"/>
  <c r="U438" i="15"/>
  <c r="W438" i="15"/>
  <c r="Y438" i="15"/>
  <c r="Z438" i="15"/>
  <c r="AA438" i="15"/>
  <c r="AC438" i="15"/>
  <c r="AG438" i="15"/>
  <c r="AH438" i="15"/>
  <c r="AI438" i="15"/>
  <c r="AJ438" i="15"/>
  <c r="AK438" i="15"/>
  <c r="AL438" i="15"/>
  <c r="AM438" i="15"/>
  <c r="AQ438" i="15"/>
  <c r="S439" i="15"/>
  <c r="T439" i="15"/>
  <c r="U439" i="15"/>
  <c r="W439" i="15"/>
  <c r="Y439" i="15"/>
  <c r="Z439" i="15"/>
  <c r="AA439" i="15"/>
  <c r="AC439" i="15"/>
  <c r="AG439" i="15"/>
  <c r="AH439" i="15"/>
  <c r="AI439" i="15"/>
  <c r="AJ439" i="15"/>
  <c r="AK439" i="15"/>
  <c r="AL439" i="15"/>
  <c r="AM439" i="15"/>
  <c r="AQ439" i="15"/>
  <c r="S415" i="15"/>
  <c r="T415" i="15"/>
  <c r="U415" i="15"/>
  <c r="W415" i="15"/>
  <c r="Y415" i="15"/>
  <c r="Z415" i="15"/>
  <c r="AA415" i="15"/>
  <c r="AC415" i="15"/>
  <c r="AQ415" i="15"/>
  <c r="S416" i="15"/>
  <c r="T416" i="15"/>
  <c r="U416" i="15"/>
  <c r="W416" i="15"/>
  <c r="Y416" i="15"/>
  <c r="Z416" i="15"/>
  <c r="AA416" i="15"/>
  <c r="AC416" i="15"/>
  <c r="AQ416" i="15"/>
  <c r="S417" i="15"/>
  <c r="T417" i="15"/>
  <c r="U417" i="15"/>
  <c r="W417" i="15"/>
  <c r="Y417" i="15"/>
  <c r="Z417" i="15"/>
  <c r="AA417" i="15"/>
  <c r="AC417" i="15"/>
  <c r="AQ417" i="15"/>
  <c r="S418" i="15"/>
  <c r="T418" i="15"/>
  <c r="U418" i="15"/>
  <c r="W418" i="15"/>
  <c r="Y418" i="15"/>
  <c r="Z418" i="15"/>
  <c r="AA418" i="15"/>
  <c r="AC418" i="15"/>
  <c r="AQ418" i="15"/>
  <c r="S419" i="15"/>
  <c r="T419" i="15"/>
  <c r="U419" i="15"/>
  <c r="W419" i="15"/>
  <c r="Y419" i="15"/>
  <c r="Z419" i="15"/>
  <c r="AA419" i="15"/>
  <c r="AC419" i="15"/>
  <c r="AG419" i="15"/>
  <c r="AH419" i="15"/>
  <c r="AI419" i="15"/>
  <c r="AJ419" i="15"/>
  <c r="AK419" i="15"/>
  <c r="AL419" i="15"/>
  <c r="AM419" i="15"/>
  <c r="AQ419" i="15"/>
  <c r="S420" i="15"/>
  <c r="T420" i="15"/>
  <c r="U420" i="15"/>
  <c r="W420" i="15"/>
  <c r="Y420" i="15"/>
  <c r="Z420" i="15"/>
  <c r="AA420" i="15"/>
  <c r="AC420" i="15"/>
  <c r="AG420" i="15"/>
  <c r="AH420" i="15"/>
  <c r="AI420" i="15"/>
  <c r="AJ420" i="15"/>
  <c r="AK420" i="15"/>
  <c r="AL420" i="15"/>
  <c r="AM420" i="15"/>
  <c r="AQ420" i="15"/>
  <c r="S421" i="15"/>
  <c r="T421" i="15"/>
  <c r="U421" i="15"/>
  <c r="W421" i="15"/>
  <c r="Y421" i="15"/>
  <c r="Z421" i="15"/>
  <c r="AA421" i="15"/>
  <c r="AC421" i="15"/>
  <c r="AG421" i="15"/>
  <c r="AH421" i="15"/>
  <c r="AI421" i="15"/>
  <c r="AJ421" i="15"/>
  <c r="AK421" i="15"/>
  <c r="AL421" i="15"/>
  <c r="AM421" i="15"/>
  <c r="AQ421" i="15"/>
  <c r="S422" i="15"/>
  <c r="T422" i="15"/>
  <c r="U422" i="15"/>
  <c r="W422" i="15"/>
  <c r="Y422" i="15"/>
  <c r="Z422" i="15"/>
  <c r="AA422" i="15"/>
  <c r="AC422" i="15"/>
  <c r="AG422" i="15"/>
  <c r="AH422" i="15"/>
  <c r="AI422" i="15"/>
  <c r="AJ422" i="15"/>
  <c r="AK422" i="15"/>
  <c r="AL422" i="15"/>
  <c r="AM422" i="15"/>
  <c r="AQ422" i="15"/>
  <c r="S423" i="15"/>
  <c r="T423" i="15"/>
  <c r="U423" i="15"/>
  <c r="W423" i="15"/>
  <c r="AC423" i="15"/>
  <c r="AG423" i="15"/>
  <c r="AH423" i="15"/>
  <c r="AI423" i="15"/>
  <c r="AJ423" i="15"/>
  <c r="AK423" i="15"/>
  <c r="AL423" i="15"/>
  <c r="AM423" i="15"/>
  <c r="AQ423" i="15"/>
  <c r="S424" i="15"/>
  <c r="T424" i="15"/>
  <c r="U424" i="15"/>
  <c r="W424" i="15"/>
  <c r="Y424" i="15"/>
  <c r="Z424" i="15"/>
  <c r="AA424" i="15"/>
  <c r="AC424" i="15"/>
  <c r="AG424" i="15"/>
  <c r="AH424" i="15"/>
  <c r="AI424" i="15"/>
  <c r="AJ424" i="15"/>
  <c r="AK424" i="15"/>
  <c r="AL424" i="15"/>
  <c r="AM424" i="15"/>
  <c r="AQ424" i="15"/>
  <c r="S425" i="15"/>
  <c r="T425" i="15"/>
  <c r="U425" i="15"/>
  <c r="W425" i="15"/>
  <c r="Y425" i="15"/>
  <c r="Z425" i="15"/>
  <c r="AA425" i="15"/>
  <c r="AC425" i="15"/>
  <c r="AG425" i="15"/>
  <c r="AH425" i="15"/>
  <c r="AI425" i="15"/>
  <c r="AJ425" i="15"/>
  <c r="AK425" i="15"/>
  <c r="AL425" i="15"/>
  <c r="AM425" i="15"/>
  <c r="AQ425" i="15"/>
  <c r="S426" i="15"/>
  <c r="T426" i="15"/>
  <c r="U426" i="15"/>
  <c r="W426" i="15"/>
  <c r="Y426" i="15"/>
  <c r="Z426" i="15"/>
  <c r="AA426" i="15"/>
  <c r="AC426" i="15"/>
  <c r="AG426" i="15"/>
  <c r="AH426" i="15"/>
  <c r="AI426" i="15"/>
  <c r="AJ426" i="15"/>
  <c r="AK426" i="15"/>
  <c r="AL426" i="15"/>
  <c r="AM426" i="15"/>
  <c r="AQ426" i="15"/>
  <c r="S427" i="15"/>
  <c r="T427" i="15"/>
  <c r="U427" i="15"/>
  <c r="W427" i="15"/>
  <c r="Y427" i="15"/>
  <c r="Z427" i="15"/>
  <c r="AA427" i="15"/>
  <c r="AC427" i="15"/>
  <c r="AG427" i="15"/>
  <c r="AH427" i="15"/>
  <c r="AI427" i="15"/>
  <c r="AJ427" i="15"/>
  <c r="AK427" i="15"/>
  <c r="AL427" i="15"/>
  <c r="AM427" i="15"/>
  <c r="AQ427" i="15"/>
  <c r="S428" i="15"/>
  <c r="T428" i="15"/>
  <c r="U428" i="15"/>
  <c r="W428" i="15"/>
  <c r="Y428" i="15"/>
  <c r="Z428" i="15"/>
  <c r="AA428" i="15"/>
  <c r="AC428" i="15"/>
  <c r="AG428" i="15"/>
  <c r="AH428" i="15"/>
  <c r="AI428" i="15"/>
  <c r="AJ428" i="15"/>
  <c r="AK428" i="15"/>
  <c r="AL428" i="15"/>
  <c r="AQ428" i="15"/>
  <c r="S429" i="15"/>
  <c r="T429" i="15"/>
  <c r="U429" i="15"/>
  <c r="W429" i="15"/>
  <c r="Y429" i="15"/>
  <c r="Z429" i="15"/>
  <c r="AA429" i="15"/>
  <c r="AC429" i="15"/>
  <c r="AG429" i="15"/>
  <c r="AH429" i="15"/>
  <c r="AI429" i="15"/>
  <c r="AJ429" i="15"/>
  <c r="AK429" i="15"/>
  <c r="AL429" i="15"/>
  <c r="AM429" i="15"/>
  <c r="AQ429" i="15"/>
  <c r="S430" i="15"/>
  <c r="T430" i="15"/>
  <c r="U430" i="15"/>
  <c r="W430" i="15"/>
  <c r="Y430" i="15"/>
  <c r="Z430" i="15"/>
  <c r="AA430" i="15"/>
  <c r="AC430" i="15"/>
  <c r="AG430" i="15"/>
  <c r="AH430" i="15"/>
  <c r="AI430" i="15"/>
  <c r="AJ430" i="15"/>
  <c r="AK430" i="15"/>
  <c r="AL430" i="15"/>
  <c r="AM430" i="15"/>
  <c r="AQ430" i="15"/>
  <c r="S409" i="15"/>
  <c r="T409" i="15"/>
  <c r="U409" i="15"/>
  <c r="W409" i="15"/>
  <c r="Y409" i="15"/>
  <c r="Z409" i="15"/>
  <c r="AA409" i="15"/>
  <c r="AG409" i="15"/>
  <c r="AH409" i="15"/>
  <c r="AI409" i="15"/>
  <c r="AJ409" i="15"/>
  <c r="AK409" i="15"/>
  <c r="AL409" i="15"/>
  <c r="AM409" i="15"/>
  <c r="AQ409" i="15"/>
  <c r="S410" i="15"/>
  <c r="T410" i="15"/>
  <c r="U410" i="15"/>
  <c r="W410" i="15"/>
  <c r="Y410" i="15"/>
  <c r="Z410" i="15"/>
  <c r="AA410" i="15"/>
  <c r="AC410" i="15"/>
  <c r="AG410" i="15"/>
  <c r="AH410" i="15"/>
  <c r="AI410" i="15"/>
  <c r="AJ410" i="15"/>
  <c r="AK410" i="15"/>
  <c r="AL410" i="15"/>
  <c r="AM410" i="15"/>
  <c r="AQ410" i="15"/>
  <c r="S411" i="15"/>
  <c r="T411" i="15"/>
  <c r="U411" i="15"/>
  <c r="W411" i="15"/>
  <c r="Y411" i="15"/>
  <c r="Z411" i="15"/>
  <c r="AA411" i="15"/>
  <c r="AC411" i="15"/>
  <c r="AG411" i="15"/>
  <c r="AH411" i="15"/>
  <c r="AI411" i="15"/>
  <c r="AJ411" i="15"/>
  <c r="AK411" i="15"/>
  <c r="AL411" i="15"/>
  <c r="AM411" i="15"/>
  <c r="AQ411" i="15"/>
  <c r="S412" i="15"/>
  <c r="T412" i="15"/>
  <c r="U412" i="15"/>
  <c r="W412" i="15"/>
  <c r="AA412" i="15"/>
  <c r="AC412" i="15"/>
  <c r="AG412" i="15"/>
  <c r="AH412" i="15"/>
  <c r="AI412" i="15"/>
  <c r="AJ412" i="15"/>
  <c r="AK412" i="15"/>
  <c r="AL412" i="15"/>
  <c r="AM412" i="15"/>
  <c r="AQ412" i="15"/>
  <c r="S413" i="15"/>
  <c r="T413" i="15"/>
  <c r="U413" i="15"/>
  <c r="W413" i="15"/>
  <c r="Y413" i="15"/>
  <c r="Z413" i="15"/>
  <c r="AA413" i="15"/>
  <c r="AC413" i="15"/>
  <c r="AG413" i="15"/>
  <c r="AH413" i="15"/>
  <c r="AI413" i="15"/>
  <c r="AJ413" i="15"/>
  <c r="AK413" i="15"/>
  <c r="AL413" i="15"/>
  <c r="AM413" i="15"/>
  <c r="AQ413" i="15"/>
  <c r="S414" i="15"/>
  <c r="T414" i="15"/>
  <c r="U414" i="15"/>
  <c r="W414" i="15"/>
  <c r="Y414" i="15"/>
  <c r="Z414" i="15"/>
  <c r="AA414" i="15"/>
  <c r="AC414" i="15"/>
  <c r="AG414" i="15"/>
  <c r="AH414" i="15"/>
  <c r="AI414" i="15"/>
  <c r="AJ414" i="15"/>
  <c r="AK414" i="15"/>
  <c r="AL414" i="15"/>
  <c r="AM414" i="15"/>
  <c r="AQ414" i="15"/>
  <c r="S388" i="15"/>
  <c r="T388" i="15"/>
  <c r="U388" i="15"/>
  <c r="W388" i="15"/>
  <c r="Y388" i="15"/>
  <c r="Z388" i="15"/>
  <c r="AA388" i="15"/>
  <c r="AC388" i="15"/>
  <c r="AG388" i="15"/>
  <c r="AH388" i="15"/>
  <c r="AI388" i="15"/>
  <c r="AJ388" i="15"/>
  <c r="AK388" i="15"/>
  <c r="AL388" i="15"/>
  <c r="AM388" i="15"/>
  <c r="AQ388" i="15"/>
  <c r="S389" i="15"/>
  <c r="T389" i="15"/>
  <c r="U389" i="15"/>
  <c r="W389" i="15"/>
  <c r="Y389" i="15"/>
  <c r="Z389" i="15"/>
  <c r="AA389" i="15"/>
  <c r="AC389" i="15"/>
  <c r="AG389" i="15"/>
  <c r="AH389" i="15"/>
  <c r="AI389" i="15"/>
  <c r="AJ389" i="15"/>
  <c r="AK389" i="15"/>
  <c r="AL389" i="15"/>
  <c r="AM389" i="15"/>
  <c r="AQ389" i="15"/>
  <c r="S390" i="15"/>
  <c r="T390" i="15"/>
  <c r="U390" i="15"/>
  <c r="W390" i="15"/>
  <c r="Y390" i="15"/>
  <c r="Z390" i="15"/>
  <c r="AA390" i="15"/>
  <c r="AC390" i="15"/>
  <c r="AG390" i="15"/>
  <c r="AH390" i="15"/>
  <c r="AI390" i="15"/>
  <c r="AJ390" i="15"/>
  <c r="AK390" i="15"/>
  <c r="AL390" i="15"/>
  <c r="AM390" i="15"/>
  <c r="AQ390" i="15"/>
  <c r="S391" i="15"/>
  <c r="T391" i="15"/>
  <c r="U391" i="15"/>
  <c r="W391" i="15"/>
  <c r="Y391" i="15"/>
  <c r="Z391" i="15"/>
  <c r="AA391" i="15"/>
  <c r="AC391" i="15"/>
  <c r="AG391" i="15"/>
  <c r="AH391" i="15"/>
  <c r="AI391" i="15"/>
  <c r="AJ391" i="15"/>
  <c r="AK391" i="15"/>
  <c r="AL391" i="15"/>
  <c r="AM391" i="15"/>
  <c r="AQ391" i="15"/>
  <c r="S392" i="15"/>
  <c r="T392" i="15"/>
  <c r="U392" i="15"/>
  <c r="W392" i="15"/>
  <c r="Y392" i="15"/>
  <c r="Z392" i="15"/>
  <c r="AA392" i="15"/>
  <c r="AC392" i="15"/>
  <c r="AG392" i="15"/>
  <c r="AH392" i="15"/>
  <c r="AI392" i="15"/>
  <c r="AJ392" i="15"/>
  <c r="AK392" i="15"/>
  <c r="AL392" i="15"/>
  <c r="AM392" i="15"/>
  <c r="AQ392" i="15"/>
  <c r="S393" i="15"/>
  <c r="T393" i="15"/>
  <c r="U393" i="15"/>
  <c r="W393" i="15"/>
  <c r="Y393" i="15"/>
  <c r="Z393" i="15"/>
  <c r="AA393" i="15"/>
  <c r="AC393" i="15"/>
  <c r="AG393" i="15"/>
  <c r="AH393" i="15"/>
  <c r="AI393" i="15"/>
  <c r="AJ393" i="15"/>
  <c r="AK393" i="15"/>
  <c r="AL393" i="15"/>
  <c r="AM393" i="15"/>
  <c r="AQ393" i="15"/>
  <c r="S394" i="15"/>
  <c r="T394" i="15"/>
  <c r="U394" i="15"/>
  <c r="W394" i="15"/>
  <c r="Y394" i="15"/>
  <c r="Z394" i="15"/>
  <c r="AA394" i="15"/>
  <c r="AC394" i="15"/>
  <c r="AG394" i="15"/>
  <c r="AH394" i="15"/>
  <c r="AI394" i="15"/>
  <c r="AJ394" i="15"/>
  <c r="AK394" i="15"/>
  <c r="AL394" i="15"/>
  <c r="AM394" i="15"/>
  <c r="AQ394" i="15"/>
  <c r="S395" i="15"/>
  <c r="T395" i="15"/>
  <c r="U395" i="15"/>
  <c r="W395" i="15"/>
  <c r="Y395" i="15"/>
  <c r="Z395" i="15"/>
  <c r="AA395" i="15"/>
  <c r="AC395" i="15"/>
  <c r="AG395" i="15"/>
  <c r="AH395" i="15"/>
  <c r="AI395" i="15"/>
  <c r="AJ395" i="15"/>
  <c r="AK395" i="15"/>
  <c r="AL395" i="15"/>
  <c r="AM395" i="15"/>
  <c r="AQ395" i="15"/>
  <c r="S396" i="15"/>
  <c r="T396" i="15"/>
  <c r="U396" i="15"/>
  <c r="W396" i="15"/>
  <c r="Y396" i="15"/>
  <c r="Z396" i="15"/>
  <c r="AA396" i="15"/>
  <c r="AC396" i="15"/>
  <c r="AG396" i="15"/>
  <c r="AH396" i="15"/>
  <c r="AI396" i="15"/>
  <c r="AJ396" i="15"/>
  <c r="AK396" i="15"/>
  <c r="AL396" i="15"/>
  <c r="AM396" i="15"/>
  <c r="AQ396" i="15"/>
  <c r="S397" i="15"/>
  <c r="T397" i="15"/>
  <c r="U397" i="15"/>
  <c r="W397" i="15"/>
  <c r="Y397" i="15"/>
  <c r="Z397" i="15"/>
  <c r="AA397" i="15"/>
  <c r="AC397" i="15"/>
  <c r="AG397" i="15"/>
  <c r="AH397" i="15"/>
  <c r="AI397" i="15"/>
  <c r="AJ397" i="15"/>
  <c r="AK397" i="15"/>
  <c r="AL397" i="15"/>
  <c r="AM397" i="15"/>
  <c r="AQ397" i="15"/>
  <c r="S398" i="15"/>
  <c r="T398" i="15"/>
  <c r="U398" i="15"/>
  <c r="W398" i="15"/>
  <c r="Y398" i="15"/>
  <c r="Z398" i="15"/>
  <c r="AA398" i="15"/>
  <c r="AC398" i="15"/>
  <c r="AG398" i="15"/>
  <c r="AH398" i="15"/>
  <c r="AI398" i="15"/>
  <c r="AJ398" i="15"/>
  <c r="AK398" i="15"/>
  <c r="AL398" i="15"/>
  <c r="AM398" i="15"/>
  <c r="AQ398" i="15"/>
  <c r="S399" i="15"/>
  <c r="T399" i="15"/>
  <c r="U399" i="15"/>
  <c r="W399" i="15"/>
  <c r="Y399" i="15"/>
  <c r="Z399" i="15"/>
  <c r="AA399" i="15"/>
  <c r="AC399" i="15"/>
  <c r="AG399" i="15"/>
  <c r="AH399" i="15"/>
  <c r="AI399" i="15"/>
  <c r="AJ399" i="15"/>
  <c r="AK399" i="15"/>
  <c r="AL399" i="15"/>
  <c r="AM399" i="15"/>
  <c r="AQ399" i="15"/>
  <c r="S400" i="15"/>
  <c r="T400" i="15"/>
  <c r="U400" i="15"/>
  <c r="W400" i="15"/>
  <c r="Y400" i="15"/>
  <c r="Z400" i="15"/>
  <c r="AA400" i="15"/>
  <c r="AC400" i="15"/>
  <c r="AG400" i="15"/>
  <c r="AH400" i="15"/>
  <c r="AI400" i="15"/>
  <c r="AJ400" i="15"/>
  <c r="AK400" i="15"/>
  <c r="AL400" i="15"/>
  <c r="AM400" i="15"/>
  <c r="AQ400" i="15"/>
  <c r="S401" i="15"/>
  <c r="T401" i="15"/>
  <c r="U401" i="15"/>
  <c r="W401" i="15"/>
  <c r="Y401" i="15"/>
  <c r="Z401" i="15"/>
  <c r="AA401" i="15"/>
  <c r="AC401" i="15"/>
  <c r="AG401" i="15"/>
  <c r="AH401" i="15"/>
  <c r="AI401" i="15"/>
  <c r="AJ401" i="15"/>
  <c r="AK401" i="15"/>
  <c r="AL401" i="15"/>
  <c r="AM401" i="15"/>
  <c r="AQ401" i="15"/>
  <c r="S402" i="15"/>
  <c r="T402" i="15"/>
  <c r="U402" i="15"/>
  <c r="W402" i="15"/>
  <c r="Y402" i="15"/>
  <c r="Z402" i="15"/>
  <c r="AA402" i="15"/>
  <c r="AC402" i="15"/>
  <c r="AG402" i="15"/>
  <c r="AH402" i="15"/>
  <c r="AI402" i="15"/>
  <c r="AJ402" i="15"/>
  <c r="AK402" i="15"/>
  <c r="AL402" i="15"/>
  <c r="AM402" i="15"/>
  <c r="AQ402" i="15"/>
  <c r="S403" i="15"/>
  <c r="T403" i="15"/>
  <c r="U403" i="15"/>
  <c r="W403" i="15"/>
  <c r="Y403" i="15"/>
  <c r="Z403" i="15"/>
  <c r="AA403" i="15"/>
  <c r="AC403" i="15"/>
  <c r="AG403" i="15"/>
  <c r="AH403" i="15"/>
  <c r="AI403" i="15"/>
  <c r="AJ403" i="15"/>
  <c r="AK403" i="15"/>
  <c r="AL403" i="15"/>
  <c r="AM403" i="15"/>
  <c r="AQ403" i="15"/>
  <c r="S404" i="15"/>
  <c r="T404" i="15"/>
  <c r="U404" i="15"/>
  <c r="W404" i="15"/>
  <c r="Y404" i="15"/>
  <c r="Z404" i="15"/>
  <c r="AA404" i="15"/>
  <c r="AC404" i="15"/>
  <c r="AG404" i="15"/>
  <c r="AH404" i="15"/>
  <c r="AI404" i="15"/>
  <c r="AJ404" i="15"/>
  <c r="AK404" i="15"/>
  <c r="AL404" i="15"/>
  <c r="AM404" i="15"/>
  <c r="AQ404" i="15"/>
  <c r="S405" i="15"/>
  <c r="T405" i="15"/>
  <c r="U405" i="15"/>
  <c r="W405" i="15"/>
  <c r="Y405" i="15"/>
  <c r="Z405" i="15"/>
  <c r="AA405" i="15"/>
  <c r="AC405" i="15"/>
  <c r="AG405" i="15"/>
  <c r="AH405" i="15"/>
  <c r="AI405" i="15"/>
  <c r="AJ405" i="15"/>
  <c r="AK405" i="15"/>
  <c r="AL405" i="15"/>
  <c r="AM405" i="15"/>
  <c r="AQ405" i="15"/>
  <c r="S406" i="15"/>
  <c r="T406" i="15"/>
  <c r="U406" i="15"/>
  <c r="W406" i="15"/>
  <c r="Y406" i="15"/>
  <c r="Z406" i="15"/>
  <c r="AA406" i="15"/>
  <c r="AC406" i="15"/>
  <c r="AG406" i="15"/>
  <c r="AH406" i="15"/>
  <c r="AI406" i="15"/>
  <c r="AJ406" i="15"/>
  <c r="AK406" i="15"/>
  <c r="AL406" i="15"/>
  <c r="AM406" i="15"/>
  <c r="AQ406" i="15"/>
  <c r="S407" i="15"/>
  <c r="T407" i="15"/>
  <c r="U407" i="15"/>
  <c r="W407" i="15"/>
  <c r="Y407" i="15"/>
  <c r="Z407" i="15"/>
  <c r="AA407" i="15"/>
  <c r="AC407" i="15"/>
  <c r="AG407" i="15"/>
  <c r="AH407" i="15"/>
  <c r="AI407" i="15"/>
  <c r="AJ407" i="15"/>
  <c r="AK407" i="15"/>
  <c r="AL407" i="15"/>
  <c r="AM407" i="15"/>
  <c r="AQ407" i="15"/>
  <c r="S408" i="15"/>
  <c r="T408" i="15"/>
  <c r="U408" i="15"/>
  <c r="W408" i="15"/>
  <c r="Y408" i="15"/>
  <c r="Z408" i="15"/>
  <c r="AA408" i="15"/>
  <c r="AC408" i="15"/>
  <c r="AG408" i="15"/>
  <c r="AH408" i="15"/>
  <c r="AI408" i="15"/>
  <c r="AJ408" i="15"/>
  <c r="AK408" i="15"/>
  <c r="AL408" i="15"/>
  <c r="AM408" i="15"/>
  <c r="AQ408" i="15"/>
  <c r="S371" i="15"/>
  <c r="T371" i="15"/>
  <c r="U371" i="15"/>
  <c r="W371" i="15"/>
  <c r="Y371" i="15"/>
  <c r="Z371" i="15"/>
  <c r="AA371" i="15"/>
  <c r="AC371" i="15"/>
  <c r="AG371" i="15"/>
  <c r="AH371" i="15"/>
  <c r="AI371" i="15"/>
  <c r="AJ371" i="15"/>
  <c r="AK371" i="15"/>
  <c r="AL371" i="15"/>
  <c r="AM371" i="15"/>
  <c r="AQ371" i="15"/>
  <c r="S372" i="15"/>
  <c r="T372" i="15"/>
  <c r="U372" i="15"/>
  <c r="W372" i="15"/>
  <c r="Y372" i="15"/>
  <c r="Z372" i="15"/>
  <c r="AA372" i="15"/>
  <c r="AC372" i="15"/>
  <c r="AG372" i="15"/>
  <c r="AH372" i="15"/>
  <c r="AI372" i="15"/>
  <c r="AJ372" i="15"/>
  <c r="AK372" i="15"/>
  <c r="AL372" i="15"/>
  <c r="AM372" i="15"/>
  <c r="AQ372" i="15"/>
  <c r="U373" i="15"/>
  <c r="W373" i="15"/>
  <c r="AA373" i="15"/>
  <c r="AC373" i="15"/>
  <c r="AG373" i="15"/>
  <c r="AH373" i="15"/>
  <c r="AI373" i="15"/>
  <c r="AJ373" i="15"/>
  <c r="AK373" i="15"/>
  <c r="AL373" i="15"/>
  <c r="AM373" i="15"/>
  <c r="AQ373" i="15"/>
  <c r="S374" i="15"/>
  <c r="T374" i="15"/>
  <c r="U374" i="15"/>
  <c r="W374" i="15"/>
  <c r="Y374" i="15"/>
  <c r="Z374" i="15"/>
  <c r="AA374" i="15"/>
  <c r="AC374" i="15"/>
  <c r="AG374" i="15"/>
  <c r="AH374" i="15"/>
  <c r="AI374" i="15"/>
  <c r="AJ374" i="15"/>
  <c r="AK374" i="15"/>
  <c r="AL374" i="15"/>
  <c r="AM374" i="15"/>
  <c r="AQ374" i="15"/>
  <c r="S375" i="15"/>
  <c r="T375" i="15"/>
  <c r="U375" i="15"/>
  <c r="W375" i="15"/>
  <c r="Y375" i="15"/>
  <c r="Z375" i="15"/>
  <c r="AA375" i="15"/>
  <c r="AC375" i="15"/>
  <c r="AG375" i="15"/>
  <c r="AH375" i="15"/>
  <c r="AI375" i="15"/>
  <c r="AJ375" i="15"/>
  <c r="AK375" i="15"/>
  <c r="AL375" i="15"/>
  <c r="AM375" i="15"/>
  <c r="AQ375" i="15"/>
  <c r="S376" i="15"/>
  <c r="T376" i="15"/>
  <c r="U376" i="15"/>
  <c r="W376" i="15"/>
  <c r="Y376" i="15"/>
  <c r="Z376" i="15"/>
  <c r="AA376" i="15"/>
  <c r="AC376" i="15"/>
  <c r="AG376" i="15"/>
  <c r="AH376" i="15"/>
  <c r="AI376" i="15"/>
  <c r="AJ376" i="15"/>
  <c r="AK376" i="15"/>
  <c r="AL376" i="15"/>
  <c r="AM376" i="15"/>
  <c r="AQ376" i="15"/>
  <c r="S377" i="15"/>
  <c r="T377" i="15"/>
  <c r="U377" i="15"/>
  <c r="W377" i="15"/>
  <c r="AC377" i="15"/>
  <c r="AG377" i="15"/>
  <c r="AH377" i="15"/>
  <c r="AI377" i="15"/>
  <c r="AJ377" i="15"/>
  <c r="AK377" i="15"/>
  <c r="AL377" i="15"/>
  <c r="AM377" i="15"/>
  <c r="AQ377" i="15"/>
  <c r="S378" i="15"/>
  <c r="T378" i="15"/>
  <c r="U378" i="15"/>
  <c r="W378" i="15"/>
  <c r="Y378" i="15"/>
  <c r="Z378" i="15"/>
  <c r="AA378" i="15"/>
  <c r="AC378" i="15"/>
  <c r="AG378" i="15"/>
  <c r="AH378" i="15"/>
  <c r="AI378" i="15"/>
  <c r="AJ378" i="15"/>
  <c r="AK378" i="15"/>
  <c r="AL378" i="15"/>
  <c r="AM378" i="15"/>
  <c r="AQ378" i="15"/>
  <c r="S379" i="15"/>
  <c r="T379" i="15"/>
  <c r="U379" i="15"/>
  <c r="W379" i="15"/>
  <c r="Y379" i="15"/>
  <c r="Z379" i="15"/>
  <c r="AA379" i="15"/>
  <c r="AC379" i="15"/>
  <c r="AG379" i="15"/>
  <c r="AH379" i="15"/>
  <c r="AI379" i="15"/>
  <c r="AJ379" i="15"/>
  <c r="AK379" i="15"/>
  <c r="AL379" i="15"/>
  <c r="AM379" i="15"/>
  <c r="AQ379" i="15"/>
  <c r="S380" i="15"/>
  <c r="T380" i="15"/>
  <c r="U380" i="15"/>
  <c r="W380" i="15"/>
  <c r="AA380" i="15"/>
  <c r="AC380" i="15"/>
  <c r="AG380" i="15"/>
  <c r="AH380" i="15"/>
  <c r="AI380" i="15"/>
  <c r="AJ380" i="15"/>
  <c r="AK380" i="15"/>
  <c r="AL380" i="15"/>
  <c r="AM380" i="15"/>
  <c r="AQ380" i="15"/>
  <c r="S381" i="15"/>
  <c r="T381" i="15"/>
  <c r="U381" i="15"/>
  <c r="W381" i="15"/>
  <c r="Y381" i="15"/>
  <c r="Z381" i="15"/>
  <c r="AA381" i="15"/>
  <c r="AC381" i="15"/>
  <c r="AG381" i="15"/>
  <c r="AH381" i="15"/>
  <c r="AI381" i="15"/>
  <c r="AJ381" i="15"/>
  <c r="AK381" i="15"/>
  <c r="AL381" i="15"/>
  <c r="AM381" i="15"/>
  <c r="AQ381" i="15"/>
  <c r="S382" i="15"/>
  <c r="T382" i="15"/>
  <c r="U382" i="15"/>
  <c r="W382" i="15"/>
  <c r="Y382" i="15"/>
  <c r="Z382" i="15"/>
  <c r="AA382" i="15"/>
  <c r="AC382" i="15"/>
  <c r="AG382" i="15"/>
  <c r="AH382" i="15"/>
  <c r="AI382" i="15"/>
  <c r="AJ382" i="15"/>
  <c r="AK382" i="15"/>
  <c r="AL382" i="15"/>
  <c r="AM382" i="15"/>
  <c r="AQ382" i="15"/>
  <c r="S383" i="15"/>
  <c r="T383" i="15"/>
  <c r="U383" i="15"/>
  <c r="W383" i="15"/>
  <c r="Y383" i="15"/>
  <c r="Z383" i="15"/>
  <c r="AA383" i="15"/>
  <c r="AC383" i="15"/>
  <c r="AG383" i="15"/>
  <c r="AH383" i="15"/>
  <c r="AI383" i="15"/>
  <c r="AJ383" i="15"/>
  <c r="AK383" i="15"/>
  <c r="AL383" i="15"/>
  <c r="AM383" i="15"/>
  <c r="AQ383" i="15"/>
  <c r="U384" i="15"/>
  <c r="W384" i="15"/>
  <c r="AA384" i="15"/>
  <c r="AC384" i="15"/>
  <c r="AG384" i="15"/>
  <c r="AH384" i="15"/>
  <c r="AI384" i="15"/>
  <c r="AJ384" i="15"/>
  <c r="AK384" i="15"/>
  <c r="AL384" i="15"/>
  <c r="AM384" i="15"/>
  <c r="AQ384" i="15"/>
  <c r="S385" i="15"/>
  <c r="T385" i="15"/>
  <c r="U385" i="15"/>
  <c r="W385" i="15"/>
  <c r="Y385" i="15"/>
  <c r="Z385" i="15"/>
  <c r="AA385" i="15"/>
  <c r="AC385" i="15"/>
  <c r="AG385" i="15"/>
  <c r="AH385" i="15"/>
  <c r="AI385" i="15"/>
  <c r="AJ385" i="15"/>
  <c r="AK385" i="15"/>
  <c r="AL385" i="15"/>
  <c r="AM385" i="15"/>
  <c r="AQ385" i="15"/>
  <c r="S386" i="15"/>
  <c r="T386" i="15"/>
  <c r="U386" i="15"/>
  <c r="W386" i="15"/>
  <c r="Y386" i="15"/>
  <c r="Z386" i="15"/>
  <c r="AA386" i="15"/>
  <c r="AC386" i="15"/>
  <c r="AG386" i="15"/>
  <c r="AH386" i="15"/>
  <c r="AI386" i="15"/>
  <c r="AJ386" i="15"/>
  <c r="AK386" i="15"/>
  <c r="AL386" i="15"/>
  <c r="AM386" i="15"/>
  <c r="AQ386" i="15"/>
  <c r="S387" i="15"/>
  <c r="T387" i="15"/>
  <c r="U387" i="15"/>
  <c r="W387" i="15"/>
  <c r="Y387" i="15"/>
  <c r="Z387" i="15"/>
  <c r="AA387" i="15"/>
  <c r="AC387" i="15"/>
  <c r="AG387" i="15"/>
  <c r="AH387" i="15"/>
  <c r="AI387" i="15"/>
  <c r="AJ387" i="15"/>
  <c r="AK387" i="15"/>
  <c r="AL387" i="15"/>
  <c r="AM387" i="15"/>
  <c r="AQ387" i="15"/>
  <c r="E4" i="29"/>
  <c r="E3" i="29"/>
  <c r="E2" i="29"/>
  <c r="E2" i="26"/>
  <c r="C4" i="26"/>
  <c r="E4" i="26"/>
  <c r="C5" i="26"/>
  <c r="E5" i="26"/>
  <c r="C6" i="26"/>
  <c r="E6" i="26"/>
  <c r="C7" i="26"/>
  <c r="E7" i="26"/>
  <c r="C8" i="26"/>
  <c r="E8" i="26"/>
  <c r="C9" i="26"/>
  <c r="E9" i="26"/>
  <c r="C10" i="26"/>
  <c r="E10" i="26"/>
  <c r="C11" i="26"/>
  <c r="E11" i="26"/>
  <c r="C12" i="26"/>
  <c r="E12" i="26"/>
  <c r="C13" i="26"/>
  <c r="E13" i="26"/>
  <c r="C14" i="26"/>
  <c r="E14" i="26"/>
  <c r="C15" i="26"/>
  <c r="E15" i="26"/>
  <c r="C16" i="26"/>
  <c r="E16" i="26"/>
  <c r="C17" i="26"/>
  <c r="E17" i="26"/>
  <c r="C18" i="26"/>
  <c r="E18" i="26"/>
  <c r="C19" i="26"/>
  <c r="E19" i="26"/>
  <c r="C20" i="26"/>
  <c r="E20" i="26"/>
  <c r="E21" i="26"/>
  <c r="C22" i="26"/>
  <c r="E22" i="26"/>
  <c r="C23" i="26"/>
  <c r="E23" i="26"/>
  <c r="C24" i="26"/>
  <c r="E24" i="26"/>
  <c r="C25" i="26"/>
  <c r="E25" i="26"/>
  <c r="C26" i="26"/>
  <c r="E26" i="26"/>
  <c r="C27" i="26"/>
  <c r="E27" i="26"/>
  <c r="C28" i="26"/>
  <c r="E28" i="26"/>
  <c r="C29" i="26"/>
  <c r="E29" i="26"/>
  <c r="C30" i="26"/>
  <c r="E30" i="26"/>
  <c r="C31" i="26"/>
  <c r="E31" i="26"/>
  <c r="C32" i="26"/>
  <c r="E32" i="26"/>
  <c r="C33" i="26"/>
  <c r="E33" i="26"/>
  <c r="C34" i="26"/>
  <c r="E34" i="26"/>
  <c r="C35" i="26"/>
  <c r="E35" i="26"/>
  <c r="C36" i="26"/>
  <c r="E36" i="26"/>
  <c r="C37" i="26"/>
  <c r="E37" i="26"/>
  <c r="C38" i="26"/>
  <c r="E38" i="26"/>
  <c r="C39" i="26"/>
  <c r="E39" i="26"/>
  <c r="C40" i="26"/>
  <c r="E40" i="26"/>
  <c r="C41" i="26"/>
  <c r="E41" i="26"/>
  <c r="C42" i="26"/>
  <c r="E42" i="26"/>
  <c r="C43" i="26"/>
  <c r="E43" i="26"/>
  <c r="C44" i="26"/>
  <c r="E44" i="26"/>
  <c r="C45" i="26"/>
  <c r="E45" i="26"/>
  <c r="C46" i="26"/>
  <c r="E46" i="26"/>
  <c r="C47" i="26"/>
  <c r="E47" i="26"/>
  <c r="C48" i="26"/>
  <c r="E48" i="26"/>
  <c r="C49" i="26"/>
  <c r="E49" i="26"/>
  <c r="C50" i="26"/>
  <c r="E50" i="26"/>
  <c r="E51" i="26"/>
  <c r="C52" i="26"/>
  <c r="E52" i="26"/>
  <c r="C53" i="26"/>
  <c r="E53" i="26"/>
  <c r="C54" i="26"/>
  <c r="E54" i="26"/>
  <c r="C55" i="26"/>
  <c r="E55" i="26"/>
  <c r="C56" i="26"/>
  <c r="E56" i="26"/>
  <c r="C57" i="26"/>
  <c r="E57" i="26"/>
  <c r="C58" i="26"/>
  <c r="E58" i="26"/>
  <c r="C59" i="26"/>
  <c r="E59" i="26"/>
  <c r="C60" i="26"/>
  <c r="E60" i="26"/>
  <c r="C61" i="26"/>
  <c r="E61" i="26"/>
  <c r="C62" i="26"/>
  <c r="E62" i="26"/>
  <c r="C63" i="26"/>
  <c r="E63" i="26"/>
  <c r="C64" i="26"/>
  <c r="E64" i="26"/>
  <c r="C65" i="26"/>
  <c r="E65" i="26"/>
  <c r="C66" i="26"/>
  <c r="E66" i="26"/>
  <c r="C67" i="26"/>
  <c r="E67" i="26"/>
  <c r="C68" i="26"/>
  <c r="E68" i="26"/>
  <c r="C69" i="26"/>
  <c r="E69" i="26"/>
  <c r="C70" i="26"/>
  <c r="E70" i="26"/>
  <c r="C71" i="26"/>
  <c r="E71" i="26"/>
  <c r="C72" i="26"/>
  <c r="E72" i="26"/>
  <c r="C73" i="26"/>
  <c r="E73" i="26"/>
  <c r="C74" i="26"/>
  <c r="E74" i="26"/>
  <c r="C75" i="26"/>
  <c r="E75" i="26"/>
  <c r="C76" i="26"/>
  <c r="E76" i="26"/>
  <c r="C77" i="26"/>
  <c r="E77" i="26"/>
  <c r="C78" i="26"/>
  <c r="E78" i="26"/>
  <c r="C79" i="26"/>
  <c r="E79" i="26"/>
  <c r="C80" i="26"/>
  <c r="E80" i="26"/>
  <c r="E81" i="26"/>
  <c r="C82" i="26"/>
  <c r="E82" i="26"/>
  <c r="C83" i="26"/>
  <c r="E83" i="26"/>
  <c r="C84" i="26"/>
  <c r="E84" i="26"/>
  <c r="C85" i="26"/>
  <c r="E85" i="26"/>
  <c r="E86" i="26"/>
  <c r="C87" i="26"/>
  <c r="E87" i="26"/>
  <c r="C88" i="26"/>
  <c r="E88" i="26"/>
  <c r="C89" i="26"/>
  <c r="E89" i="26"/>
  <c r="C90" i="26"/>
  <c r="E90" i="26"/>
  <c r="C91" i="26"/>
  <c r="E91" i="26"/>
  <c r="C92" i="26"/>
  <c r="E92" i="26"/>
  <c r="C93" i="26"/>
  <c r="E93" i="26"/>
  <c r="C94" i="26"/>
  <c r="E94" i="26"/>
  <c r="C95" i="26"/>
  <c r="E95" i="26"/>
  <c r="C96" i="26"/>
  <c r="E96" i="26"/>
  <c r="C97" i="26"/>
  <c r="E97" i="26"/>
  <c r="C98" i="26"/>
  <c r="E98" i="26"/>
  <c r="C99" i="26"/>
  <c r="E99" i="26"/>
  <c r="E100" i="26"/>
  <c r="E101" i="26"/>
  <c r="F3" i="26"/>
  <c r="E3" i="26"/>
  <c r="C3" i="26"/>
  <c r="AM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45" i="15"/>
  <c r="AM46" i="15"/>
  <c r="AM47" i="15"/>
  <c r="AM48" i="15"/>
  <c r="AM49" i="15"/>
  <c r="AM50" i="15"/>
  <c r="AM51" i="15"/>
  <c r="AM52" i="15"/>
  <c r="AM53" i="15"/>
  <c r="AM54" i="15"/>
  <c r="AM55" i="15"/>
  <c r="AM56" i="15"/>
  <c r="AM57" i="15"/>
  <c r="AM58" i="15"/>
  <c r="AM59" i="15"/>
  <c r="AM60" i="15"/>
  <c r="AM61" i="15"/>
  <c r="AM62" i="15"/>
  <c r="AM63" i="15"/>
  <c r="AM64" i="15"/>
  <c r="AM65" i="15"/>
  <c r="AM66" i="15"/>
  <c r="AM67" i="15"/>
  <c r="AM68" i="15"/>
  <c r="AM69" i="15"/>
  <c r="AM70" i="15"/>
  <c r="AM71" i="15"/>
  <c r="AM72" i="15"/>
  <c r="AM73" i="15"/>
  <c r="AM74" i="15"/>
  <c r="AM75" i="15"/>
  <c r="AM76" i="15"/>
  <c r="AM77" i="15"/>
  <c r="AM78" i="15"/>
  <c r="AM79" i="15"/>
  <c r="AM80" i="15"/>
  <c r="AM81" i="15"/>
  <c r="AM82" i="15"/>
  <c r="AM83" i="15"/>
  <c r="AM84" i="15"/>
  <c r="AM85" i="15"/>
  <c r="AM86" i="15"/>
  <c r="AM87" i="15"/>
  <c r="AM88" i="15"/>
  <c r="AM89" i="15"/>
  <c r="AM90" i="15"/>
  <c r="AM91" i="15"/>
  <c r="AM92" i="15"/>
  <c r="AM93" i="15"/>
  <c r="AM94" i="15"/>
  <c r="AM95" i="15"/>
  <c r="AM96" i="15"/>
  <c r="AM97" i="15"/>
  <c r="AM102" i="15"/>
  <c r="AM103" i="15"/>
  <c r="AM104" i="15"/>
  <c r="AM105" i="15"/>
  <c r="AM106" i="15"/>
  <c r="AM107" i="15"/>
  <c r="AM108" i="15"/>
  <c r="AM109" i="15"/>
  <c r="AM110" i="15"/>
  <c r="AM111" i="15"/>
  <c r="AM112" i="15"/>
  <c r="AM113" i="15"/>
  <c r="AM114" i="15"/>
  <c r="AM115" i="15"/>
  <c r="AM116" i="15"/>
  <c r="AM117" i="15"/>
  <c r="AM122" i="15"/>
  <c r="AM123" i="15"/>
  <c r="AM124" i="15"/>
  <c r="AM126" i="15"/>
  <c r="AM127" i="15"/>
  <c r="AM128" i="15"/>
  <c r="AM129" i="15"/>
  <c r="AM130" i="15"/>
  <c r="AM131" i="15"/>
  <c r="AM132" i="15"/>
  <c r="AM133" i="15"/>
  <c r="AM134" i="15"/>
  <c r="AM135" i="15"/>
  <c r="AM136" i="15"/>
  <c r="AM137" i="15"/>
  <c r="AM138" i="15"/>
  <c r="AM139" i="15"/>
  <c r="AM140" i="15"/>
  <c r="AM141" i="15"/>
  <c r="AM142" i="15"/>
  <c r="AM143" i="15"/>
  <c r="AM144" i="15"/>
  <c r="AM145" i="15"/>
  <c r="AM146" i="15"/>
  <c r="AM147" i="15"/>
  <c r="AM148" i="15"/>
  <c r="AM149" i="15"/>
  <c r="AM150" i="15"/>
  <c r="AM151" i="15"/>
  <c r="AM152" i="15"/>
  <c r="AM153" i="15"/>
  <c r="AM154" i="15"/>
  <c r="AM155" i="15"/>
  <c r="AM156" i="15"/>
  <c r="AM157" i="15"/>
  <c r="AM158" i="15"/>
  <c r="AM159" i="15"/>
  <c r="AM160" i="15"/>
  <c r="AM161" i="15"/>
  <c r="AM162" i="15"/>
  <c r="AM163" i="15"/>
  <c r="AM164" i="15"/>
  <c r="AM165" i="15"/>
  <c r="AM166" i="15"/>
  <c r="AM167" i="15"/>
  <c r="AM168" i="15"/>
  <c r="AM169" i="15"/>
  <c r="AM170" i="15"/>
  <c r="AM171" i="15"/>
  <c r="AM172" i="15"/>
  <c r="AM173" i="15"/>
  <c r="AM174" i="15"/>
  <c r="AM175" i="15"/>
  <c r="AM176" i="15"/>
  <c r="AM177" i="15"/>
  <c r="AM178" i="15"/>
  <c r="AM179" i="15"/>
  <c r="AM180" i="15"/>
  <c r="AM181" i="15"/>
  <c r="AM182" i="15"/>
  <c r="AM183" i="15"/>
  <c r="AM184" i="15"/>
  <c r="AM185" i="15"/>
  <c r="AM186" i="15"/>
  <c r="AM187" i="15"/>
  <c r="AM188" i="15"/>
  <c r="AM189" i="15"/>
  <c r="AM190" i="15"/>
  <c r="AM191" i="15"/>
  <c r="AM192" i="15"/>
  <c r="AM193" i="15"/>
  <c r="AM194" i="15"/>
  <c r="AM195" i="15"/>
  <c r="AM196" i="15"/>
  <c r="AM197" i="15"/>
  <c r="AM198" i="15"/>
  <c r="AM199" i="15"/>
  <c r="AM200" i="15"/>
  <c r="AM201" i="15"/>
  <c r="AM202" i="15"/>
  <c r="AM203" i="15"/>
  <c r="AM204" i="15"/>
  <c r="AM205" i="15"/>
  <c r="AM206" i="15"/>
  <c r="AM207" i="15"/>
  <c r="AM208" i="15"/>
  <c r="AM209" i="15"/>
  <c r="AM210" i="15"/>
  <c r="AM211" i="15"/>
  <c r="AM212" i="15"/>
  <c r="AM213" i="15"/>
  <c r="AM214" i="15"/>
  <c r="AM215" i="15"/>
  <c r="AM216" i="15"/>
  <c r="AM217" i="15"/>
  <c r="AM218" i="15"/>
  <c r="AM219" i="15"/>
  <c r="AM220" i="15"/>
  <c r="AM221" i="15"/>
  <c r="AM222" i="15"/>
  <c r="AM223" i="15"/>
  <c r="AM224" i="15"/>
  <c r="AM225" i="15"/>
  <c r="AM226" i="15"/>
  <c r="AM227" i="15"/>
  <c r="AM228" i="15"/>
  <c r="AM229" i="15"/>
  <c r="AM230" i="15"/>
  <c r="AM231" i="15"/>
  <c r="AM232" i="15"/>
  <c r="AM233" i="15"/>
  <c r="AM234" i="15"/>
  <c r="AM235" i="15"/>
  <c r="AM236" i="15"/>
  <c r="AM237" i="15"/>
  <c r="AM238" i="15"/>
  <c r="AM239" i="15"/>
  <c r="AM240" i="15"/>
  <c r="AM241" i="15"/>
  <c r="AM242" i="15"/>
  <c r="AM243" i="15"/>
  <c r="AM244" i="15"/>
  <c r="AM245" i="15"/>
  <c r="AM246" i="15"/>
  <c r="AM247" i="15"/>
  <c r="AM248" i="15"/>
  <c r="AM249" i="15"/>
  <c r="AM250" i="15"/>
  <c r="AM251" i="15"/>
  <c r="AM252" i="15"/>
  <c r="AM253" i="15"/>
  <c r="AM254" i="15"/>
  <c r="AM255" i="15"/>
  <c r="AM256" i="15"/>
  <c r="AM257" i="15"/>
  <c r="AM258" i="15"/>
  <c r="AM259" i="15"/>
  <c r="AM260" i="15"/>
  <c r="AM261" i="15"/>
  <c r="AM262" i="15"/>
  <c r="AM263" i="15"/>
  <c r="AM264" i="15"/>
  <c r="AM265" i="15"/>
  <c r="AM266" i="15"/>
  <c r="AM267" i="15"/>
  <c r="AM268" i="15"/>
  <c r="AM269" i="15"/>
  <c r="AM270" i="15"/>
  <c r="AM271" i="15"/>
  <c r="AM272" i="15"/>
  <c r="AM273" i="15"/>
  <c r="AM274" i="15"/>
  <c r="AM275" i="15"/>
  <c r="AM276" i="15"/>
  <c r="AM277" i="15"/>
  <c r="AM278" i="15"/>
  <c r="AM279" i="15"/>
  <c r="AM280" i="15"/>
  <c r="AM281" i="15"/>
  <c r="AM282" i="15"/>
  <c r="AM283" i="15"/>
  <c r="AM284" i="15"/>
  <c r="AM285" i="15"/>
  <c r="AM286" i="15"/>
  <c r="AM287" i="15"/>
  <c r="AM288" i="15"/>
  <c r="AM289" i="15"/>
  <c r="AM290" i="15"/>
  <c r="AM291" i="15"/>
  <c r="AM292" i="15"/>
  <c r="AM293" i="15"/>
  <c r="AM294" i="15"/>
  <c r="AM295" i="15"/>
  <c r="AM296" i="15"/>
  <c r="AM297" i="15"/>
  <c r="AM299" i="15"/>
  <c r="AM300" i="15"/>
  <c r="AM301" i="15"/>
  <c r="AM302" i="15"/>
  <c r="AM303" i="15"/>
  <c r="AM304" i="15"/>
  <c r="AM305" i="15"/>
  <c r="AM306" i="15"/>
  <c r="AM307" i="15"/>
  <c r="AM308" i="15"/>
  <c r="AM309" i="15"/>
  <c r="AM310" i="15"/>
  <c r="AM311" i="15"/>
  <c r="AM312" i="15"/>
  <c r="AM313" i="15"/>
  <c r="AM314" i="15"/>
  <c r="AM315" i="15"/>
  <c r="AM317" i="15"/>
  <c r="AM318" i="15"/>
  <c r="AM319" i="15"/>
  <c r="AM320" i="15"/>
  <c r="AM321" i="15"/>
  <c r="AM322" i="15"/>
  <c r="AM323" i="15"/>
  <c r="AM324" i="15"/>
  <c r="AM325" i="15"/>
  <c r="AM326" i="15"/>
  <c r="AM327" i="15"/>
  <c r="AM328" i="15"/>
  <c r="AM329" i="15"/>
  <c r="AM330" i="15"/>
  <c r="AM331" i="15"/>
  <c r="AM332" i="15"/>
  <c r="AM333" i="15"/>
  <c r="AM334" i="15"/>
  <c r="AM335" i="15"/>
  <c r="AM336" i="15"/>
  <c r="AM337" i="15"/>
  <c r="AM338" i="15"/>
  <c r="AM339" i="15"/>
  <c r="AM340" i="15"/>
  <c r="AM341" i="15"/>
  <c r="AM342" i="15"/>
  <c r="AM343" i="15"/>
  <c r="AM344" i="15"/>
  <c r="AM345" i="15"/>
  <c r="AM346" i="15"/>
  <c r="AM347" i="15"/>
  <c r="AM348" i="15"/>
  <c r="AM349" i="15"/>
  <c r="AM350" i="15"/>
  <c r="AM351" i="15"/>
  <c r="AM352" i="15"/>
  <c r="AM353" i="15"/>
  <c r="AM354" i="15"/>
  <c r="AM355" i="15"/>
  <c r="AM356" i="15"/>
  <c r="AM357" i="15"/>
  <c r="AM358" i="15"/>
  <c r="AM359" i="15"/>
  <c r="AM360" i="15"/>
  <c r="AM361" i="15"/>
  <c r="AM362" i="15"/>
  <c r="AM363" i="15"/>
  <c r="AM364" i="15"/>
  <c r="AM365" i="15"/>
  <c r="AM366" i="15"/>
  <c r="AM367" i="15"/>
  <c r="AM368" i="15"/>
  <c r="AM369" i="15"/>
  <c r="AM370" i="15"/>
  <c r="AQ194" i="15"/>
  <c r="AQ294" i="15"/>
  <c r="AQ293" i="15"/>
  <c r="AQ291" i="15"/>
  <c r="AQ292" i="15"/>
  <c r="AQ284" i="15"/>
  <c r="AQ287" i="15"/>
  <c r="AQ283" i="15"/>
  <c r="AQ267" i="15"/>
  <c r="AQ193" i="15"/>
  <c r="AQ279" i="15"/>
  <c r="AQ278" i="15"/>
  <c r="AQ277" i="15"/>
  <c r="AQ272" i="15"/>
  <c r="AQ271" i="15"/>
  <c r="AQ270" i="15"/>
  <c r="AQ276" i="15"/>
  <c r="AQ275" i="15"/>
  <c r="AQ273" i="15"/>
  <c r="AQ264" i="15"/>
  <c r="AQ320" i="15"/>
  <c r="AQ318" i="15"/>
  <c r="AQ258" i="15"/>
  <c r="AQ257" i="15"/>
  <c r="AQ255" i="15"/>
  <c r="AQ242" i="15"/>
  <c r="AQ234" i="15"/>
  <c r="AQ233" i="15"/>
  <c r="AQ232" i="15"/>
  <c r="AQ231" i="15"/>
  <c r="AQ230" i="15"/>
  <c r="AQ225" i="15"/>
  <c r="AQ220" i="15"/>
  <c r="AQ216" i="15"/>
  <c r="AQ213" i="15"/>
  <c r="AQ212" i="15"/>
  <c r="AQ207" i="15"/>
  <c r="AQ204" i="15"/>
  <c r="AQ203" i="15"/>
  <c r="AQ201" i="15"/>
  <c r="AQ200" i="15"/>
  <c r="AQ198" i="15"/>
  <c r="AQ195" i="15"/>
  <c r="AQ188" i="15"/>
  <c r="AQ186" i="15"/>
  <c r="AQ185" i="15"/>
  <c r="AQ183" i="15"/>
  <c r="AQ179" i="15"/>
  <c r="AQ173" i="15"/>
  <c r="AQ170" i="15"/>
  <c r="AQ165" i="15"/>
  <c r="AQ161" i="15"/>
  <c r="AQ158" i="15"/>
  <c r="AQ157" i="15"/>
  <c r="AQ155" i="15"/>
  <c r="AQ154" i="15"/>
  <c r="AQ153" i="15"/>
  <c r="AQ152" i="15"/>
  <c r="AQ150" i="15"/>
  <c r="AQ149" i="15"/>
  <c r="AQ147" i="15"/>
  <c r="AQ142" i="15"/>
  <c r="AQ140" i="15"/>
  <c r="AQ137" i="15"/>
  <c r="AQ135" i="15"/>
  <c r="AQ131" i="15"/>
  <c r="AQ129" i="15"/>
  <c r="AQ127" i="15"/>
  <c r="AQ90" i="15"/>
  <c r="AQ89" i="15"/>
  <c r="AQ87" i="15"/>
  <c r="AQ86" i="15"/>
  <c r="AQ84" i="15"/>
  <c r="AQ82" i="15"/>
  <c r="AQ80" i="15"/>
  <c r="AQ78" i="15"/>
  <c r="AQ77" i="15"/>
  <c r="AQ76" i="15"/>
  <c r="AQ75" i="15"/>
  <c r="AQ73" i="15"/>
  <c r="AQ72" i="15"/>
  <c r="AQ70" i="15"/>
  <c r="AQ68" i="15"/>
  <c r="AQ67" i="15"/>
  <c r="AQ65" i="15"/>
  <c r="AQ64" i="15"/>
  <c r="AQ62" i="15"/>
  <c r="AQ60" i="15"/>
  <c r="AQ58" i="15"/>
  <c r="AQ57" i="15"/>
  <c r="AQ56" i="15"/>
  <c r="AQ54" i="15"/>
  <c r="AQ52" i="15"/>
  <c r="AQ51" i="15"/>
  <c r="AQ50" i="15"/>
  <c r="AQ41" i="15"/>
  <c r="AQ40" i="15"/>
  <c r="AQ39" i="15"/>
  <c r="AQ38" i="15"/>
  <c r="AQ37" i="15"/>
  <c r="AQ36" i="15"/>
  <c r="AQ35" i="15"/>
  <c r="AQ34" i="15"/>
  <c r="AQ31" i="15"/>
  <c r="AQ29" i="15"/>
  <c r="S29" i="15"/>
  <c r="Y29" i="15"/>
  <c r="AJ29" i="15"/>
  <c r="S30" i="15"/>
  <c r="Y30" i="15"/>
  <c r="AJ30" i="15"/>
  <c r="S31" i="15"/>
  <c r="Y31" i="15"/>
  <c r="AJ31" i="15"/>
  <c r="AQ370" i="15"/>
  <c r="AQ369" i="15"/>
  <c r="AQ368" i="15"/>
  <c r="AQ367" i="15"/>
  <c r="AQ366" i="15"/>
  <c r="AQ365" i="15"/>
  <c r="AQ364" i="15"/>
  <c r="AQ363" i="15"/>
  <c r="AQ362" i="15"/>
  <c r="AQ361" i="15"/>
  <c r="AQ360" i="15"/>
  <c r="AQ359" i="15"/>
  <c r="AQ358" i="15"/>
  <c r="AQ357" i="15"/>
  <c r="AQ356" i="15"/>
  <c r="AQ355" i="15"/>
  <c r="AQ354" i="15"/>
  <c r="AQ353" i="15"/>
  <c r="AQ352" i="15"/>
  <c r="AQ351" i="15"/>
  <c r="AQ350" i="15"/>
  <c r="AQ349" i="15"/>
  <c r="AQ348" i="15"/>
  <c r="AQ347" i="15"/>
  <c r="AQ346" i="15"/>
  <c r="AQ345" i="15"/>
  <c r="AQ344" i="15"/>
  <c r="AQ343" i="15"/>
  <c r="AQ342" i="15"/>
  <c r="AQ341" i="15"/>
  <c r="AQ340" i="15"/>
  <c r="AQ339" i="15"/>
  <c r="AQ338" i="15"/>
  <c r="AQ337" i="15"/>
  <c r="AQ336" i="15"/>
  <c r="AQ335" i="15"/>
  <c r="AQ334" i="15"/>
  <c r="AQ333" i="15"/>
  <c r="AQ332" i="15"/>
  <c r="AQ331" i="15"/>
  <c r="AQ330" i="15"/>
  <c r="AQ329" i="15"/>
  <c r="AQ328" i="15"/>
  <c r="AQ327" i="15"/>
  <c r="AQ326" i="15"/>
  <c r="AQ325" i="15"/>
  <c r="AQ324" i="15"/>
  <c r="AQ323" i="15"/>
  <c r="AQ322" i="15"/>
  <c r="AQ321" i="15"/>
  <c r="AQ319" i="15"/>
  <c r="AQ317" i="15"/>
  <c r="AQ316" i="15"/>
  <c r="AQ315" i="15"/>
  <c r="AQ314" i="15"/>
  <c r="AQ313" i="15"/>
  <c r="AQ312" i="15"/>
  <c r="AQ311" i="15"/>
  <c r="AQ310" i="15"/>
  <c r="AQ309" i="15"/>
  <c r="AQ308" i="15"/>
  <c r="AQ307" i="15"/>
  <c r="AQ306" i="15"/>
  <c r="AQ305" i="15"/>
  <c r="AQ304" i="15"/>
  <c r="AQ303" i="15"/>
  <c r="AQ302" i="15"/>
  <c r="AQ301" i="15"/>
  <c r="AQ300" i="15"/>
  <c r="AQ299" i="15"/>
  <c r="AQ298" i="15"/>
  <c r="AQ297" i="15"/>
  <c r="AQ296" i="15"/>
  <c r="AQ295" i="15"/>
  <c r="AQ290" i="15"/>
  <c r="AQ289" i="15"/>
  <c r="AQ288" i="15"/>
  <c r="AQ286" i="15"/>
  <c r="AQ285" i="15"/>
  <c r="AQ282" i="15"/>
  <c r="AQ281" i="15"/>
  <c r="AQ280" i="15"/>
  <c r="AQ274" i="15"/>
  <c r="AQ269" i="15"/>
  <c r="AQ268" i="15"/>
  <c r="AQ266" i="15"/>
  <c r="AQ265" i="15"/>
  <c r="AQ263" i="15"/>
  <c r="AQ262" i="15"/>
  <c r="AQ261" i="15"/>
  <c r="AQ260" i="15"/>
  <c r="AQ259" i="15"/>
  <c r="AQ256" i="15"/>
  <c r="AQ254" i="15"/>
  <c r="AQ253" i="15"/>
  <c r="AQ252" i="15"/>
  <c r="AQ251" i="15"/>
  <c r="AQ250" i="15"/>
  <c r="AQ249" i="15"/>
  <c r="AQ248" i="15"/>
  <c r="AQ247" i="15"/>
  <c r="AQ246" i="15"/>
  <c r="AQ245" i="15"/>
  <c r="AQ244" i="15"/>
  <c r="AQ243" i="15"/>
  <c r="AQ241" i="15"/>
  <c r="AQ240" i="15"/>
  <c r="AQ239" i="15"/>
  <c r="AQ238" i="15"/>
  <c r="AQ237" i="15"/>
  <c r="AQ236" i="15"/>
  <c r="AQ235" i="15"/>
  <c r="AQ229" i="15"/>
  <c r="AQ228" i="15"/>
  <c r="AQ227" i="15"/>
  <c r="AQ226" i="15"/>
  <c r="AQ224" i="15"/>
  <c r="AQ223" i="15"/>
  <c r="AQ222" i="15"/>
  <c r="AQ221" i="15"/>
  <c r="AQ219" i="15"/>
  <c r="AQ218" i="15"/>
  <c r="AQ217" i="15"/>
  <c r="AQ215" i="15"/>
  <c r="AQ214" i="15"/>
  <c r="AQ211" i="15"/>
  <c r="AQ210" i="15"/>
  <c r="AQ209" i="15"/>
  <c r="AQ208" i="15"/>
  <c r="AQ206" i="15"/>
  <c r="AQ205" i="15"/>
  <c r="AQ202" i="15"/>
  <c r="AQ199" i="15"/>
  <c r="AQ197" i="15"/>
  <c r="AQ196" i="15"/>
  <c r="AQ192" i="15"/>
  <c r="AQ191" i="15"/>
  <c r="AQ190" i="15"/>
  <c r="AQ189" i="15"/>
  <c r="AQ187" i="15"/>
  <c r="AQ184" i="15"/>
  <c r="AQ182" i="15"/>
  <c r="AQ181" i="15"/>
  <c r="AQ180" i="15"/>
  <c r="AQ178" i="15"/>
  <c r="AQ177" i="15"/>
  <c r="AQ176" i="15"/>
  <c r="AQ175" i="15"/>
  <c r="AQ174" i="15"/>
  <c r="AQ172" i="15"/>
  <c r="AQ171" i="15"/>
  <c r="AQ169" i="15"/>
  <c r="AQ168" i="15"/>
  <c r="AQ167" i="15"/>
  <c r="AQ166" i="15"/>
  <c r="AQ164" i="15"/>
  <c r="AQ163" i="15"/>
  <c r="AQ162" i="15"/>
  <c r="AQ160" i="15"/>
  <c r="AQ159" i="15"/>
  <c r="AQ156" i="15"/>
  <c r="AQ151" i="15"/>
  <c r="AQ148" i="15"/>
  <c r="AQ146" i="15"/>
  <c r="AQ145" i="15"/>
  <c r="AQ144" i="15"/>
  <c r="AQ143" i="15"/>
  <c r="AQ141" i="15"/>
  <c r="AQ139" i="15"/>
  <c r="AQ138" i="15"/>
  <c r="AQ136" i="15"/>
  <c r="AQ134" i="15"/>
  <c r="AQ133" i="15"/>
  <c r="AQ132" i="15"/>
  <c r="AQ130" i="15"/>
  <c r="AQ128" i="15"/>
  <c r="AQ126" i="15"/>
  <c r="AQ125" i="15"/>
  <c r="AQ124" i="15"/>
  <c r="AQ123" i="15"/>
  <c r="AQ122" i="15"/>
  <c r="AQ121" i="15"/>
  <c r="AQ120" i="15"/>
  <c r="AQ119" i="15"/>
  <c r="AQ118" i="15"/>
  <c r="AQ117" i="15"/>
  <c r="AQ116" i="15"/>
  <c r="AQ115" i="15"/>
  <c r="AQ114" i="15"/>
  <c r="AQ113" i="15"/>
  <c r="AQ112" i="15"/>
  <c r="AQ111" i="15"/>
  <c r="AQ110" i="15"/>
  <c r="AQ109" i="15"/>
  <c r="AQ108" i="15"/>
  <c r="AQ107" i="15"/>
  <c r="AQ106" i="15"/>
  <c r="AQ105" i="15"/>
  <c r="AQ104" i="15"/>
  <c r="AQ103" i="15"/>
  <c r="AQ102" i="15"/>
  <c r="AQ101" i="15"/>
  <c r="AQ100" i="15"/>
  <c r="AQ99" i="15"/>
  <c r="AQ98" i="15"/>
  <c r="AQ97" i="15"/>
  <c r="AQ96" i="15"/>
  <c r="AQ95" i="15"/>
  <c r="AQ94" i="15"/>
  <c r="AQ93" i="15"/>
  <c r="AQ92" i="15"/>
  <c r="AQ91" i="15"/>
  <c r="AQ88" i="15"/>
  <c r="AQ85" i="15"/>
  <c r="AQ83" i="15"/>
  <c r="AQ81" i="15"/>
  <c r="AQ79" i="15"/>
  <c r="AQ74" i="15"/>
  <c r="AQ71" i="15"/>
  <c r="AQ69" i="15"/>
  <c r="AQ66" i="15"/>
  <c r="AQ63" i="15"/>
  <c r="AQ61" i="15"/>
  <c r="AQ59" i="15"/>
  <c r="AQ55" i="15"/>
  <c r="AQ53" i="15"/>
  <c r="AQ49" i="15"/>
  <c r="AQ48" i="15"/>
  <c r="AQ47" i="15"/>
  <c r="AQ46" i="15"/>
  <c r="AQ45" i="15"/>
  <c r="AQ44" i="15"/>
  <c r="AQ43" i="15"/>
  <c r="AQ42" i="15"/>
  <c r="AQ33" i="15"/>
  <c r="AQ32" i="15"/>
  <c r="AQ30" i="15"/>
  <c r="AQ28" i="15"/>
  <c r="AQ27" i="15"/>
  <c r="AQ26" i="15"/>
  <c r="AQ25" i="15"/>
  <c r="AQ24" i="15"/>
  <c r="AQ23" i="15"/>
  <c r="AQ22" i="15"/>
  <c r="AQ21" i="15"/>
  <c r="AQ20" i="15"/>
  <c r="AQ19" i="15"/>
  <c r="AQ18" i="15"/>
  <c r="AQ17" i="15"/>
  <c r="AQ16" i="15"/>
  <c r="AQ15" i="15"/>
  <c r="AQ14" i="15"/>
  <c r="AQ13" i="15"/>
  <c r="AQ12" i="15"/>
  <c r="AQ11" i="15"/>
  <c r="AQ10" i="15"/>
  <c r="AQ9" i="15"/>
  <c r="AQ8" i="15"/>
  <c r="AQ7" i="15"/>
  <c r="AQ6" i="15"/>
  <c r="AQ5" i="15"/>
  <c r="AQ4" i="15"/>
  <c r="AQ3" i="15"/>
  <c r="AC370" i="15"/>
  <c r="AC369" i="15"/>
  <c r="AC368" i="15"/>
  <c r="AC367" i="15"/>
  <c r="AC366" i="15"/>
  <c r="AC365" i="15"/>
  <c r="AC364" i="15"/>
  <c r="AC363" i="15"/>
  <c r="AC362" i="15"/>
  <c r="AC361" i="15"/>
  <c r="AC360" i="15"/>
  <c r="AC359" i="15"/>
  <c r="AC358" i="15"/>
  <c r="AC357" i="15"/>
  <c r="AC356" i="15"/>
  <c r="AC355" i="15"/>
  <c r="AC354" i="15"/>
  <c r="AC353" i="15"/>
  <c r="AC352" i="15"/>
  <c r="AC351" i="15"/>
  <c r="AC350" i="15"/>
  <c r="AC349" i="15"/>
  <c r="AC348" i="15"/>
  <c r="AC347" i="15"/>
  <c r="AC346" i="15"/>
  <c r="AC345" i="15"/>
  <c r="AC344" i="15"/>
  <c r="AC343" i="15"/>
  <c r="AC342" i="15"/>
  <c r="AC341" i="15"/>
  <c r="AC340" i="15"/>
  <c r="AC339" i="15"/>
  <c r="AC338" i="15"/>
  <c r="AC337" i="15"/>
  <c r="AC336" i="15"/>
  <c r="AC335" i="15"/>
  <c r="AC334" i="15"/>
  <c r="AC333" i="15"/>
  <c r="AC332" i="15"/>
  <c r="AC331" i="15"/>
  <c r="AC330" i="15"/>
  <c r="AC329" i="15"/>
  <c r="AC328" i="15"/>
  <c r="AC327" i="15"/>
  <c r="AC326" i="15"/>
  <c r="AC325" i="15"/>
  <c r="AC324" i="15"/>
  <c r="AC323" i="15"/>
  <c r="AC322" i="15"/>
  <c r="AC321" i="15"/>
  <c r="AC320" i="15"/>
  <c r="AC319" i="15"/>
  <c r="AC318" i="15"/>
  <c r="AC317" i="15"/>
  <c r="AC316" i="15"/>
  <c r="AC315" i="15"/>
  <c r="AC314" i="15"/>
  <c r="AC313" i="15"/>
  <c r="AC312" i="15"/>
  <c r="AC311" i="15"/>
  <c r="AC310" i="15"/>
  <c r="AC309" i="15"/>
  <c r="AC308" i="15"/>
  <c r="AC307" i="15"/>
  <c r="AC306" i="15"/>
  <c r="AC305" i="15"/>
  <c r="AC304" i="15"/>
  <c r="AC303" i="15"/>
  <c r="AC302" i="15"/>
  <c r="AC301" i="15"/>
  <c r="AC300" i="15"/>
  <c r="AC299" i="15"/>
  <c r="AC298" i="15"/>
  <c r="AC297" i="15"/>
  <c r="AC296" i="15"/>
  <c r="AC295" i="15"/>
  <c r="AC294" i="15"/>
  <c r="AC293" i="15"/>
  <c r="AC292" i="15"/>
  <c r="AC291" i="15"/>
  <c r="AC290" i="15"/>
  <c r="AC289" i="15"/>
  <c r="AC288" i="15"/>
  <c r="AC287" i="15"/>
  <c r="AC286" i="15"/>
  <c r="AC285" i="15"/>
  <c r="AC284" i="15"/>
  <c r="AC283" i="15"/>
  <c r="AC282" i="15"/>
  <c r="AC281" i="15"/>
  <c r="AC280" i="15"/>
  <c r="AC279" i="15"/>
  <c r="AC278" i="15"/>
  <c r="AC277" i="15"/>
  <c r="AC276" i="15"/>
  <c r="AC275" i="15"/>
  <c r="AC274" i="15"/>
  <c r="AC273" i="15"/>
  <c r="AC272" i="15"/>
  <c r="AC271" i="15"/>
  <c r="AC270" i="15"/>
  <c r="AC269" i="15"/>
  <c r="AC268" i="15"/>
  <c r="AC267" i="15"/>
  <c r="AC266" i="15"/>
  <c r="AC265" i="15"/>
  <c r="AC264" i="15"/>
  <c r="AC263" i="15"/>
  <c r="AC262" i="15"/>
  <c r="AC261" i="15"/>
  <c r="AC260" i="15"/>
  <c r="AC259" i="15"/>
  <c r="AC258" i="15"/>
  <c r="AC257" i="15"/>
  <c r="AC256" i="15"/>
  <c r="AC255" i="15"/>
  <c r="AC254" i="15"/>
  <c r="AC253" i="15"/>
  <c r="AC252" i="15"/>
  <c r="AC251" i="15"/>
  <c r="AC250" i="15"/>
  <c r="AC249" i="15"/>
  <c r="AC248" i="15"/>
  <c r="AC247" i="15"/>
  <c r="AC246" i="15"/>
  <c r="AC245" i="15"/>
  <c r="AC244" i="15"/>
  <c r="AC243" i="15"/>
  <c r="AC242" i="15"/>
  <c r="AC241" i="15"/>
  <c r="AC240" i="15"/>
  <c r="AC239" i="15"/>
  <c r="AC238" i="15"/>
  <c r="AC237" i="15"/>
  <c r="AC236" i="15"/>
  <c r="AC235" i="15"/>
  <c r="AC234" i="15"/>
  <c r="AC233" i="15"/>
  <c r="AC232" i="15"/>
  <c r="AC231" i="15"/>
  <c r="AC230" i="15"/>
  <c r="AC229" i="15"/>
  <c r="AC228" i="15"/>
  <c r="AC227" i="15"/>
  <c r="AC226" i="15"/>
  <c r="AC225" i="15"/>
  <c r="AC224" i="15"/>
  <c r="AC223" i="15"/>
  <c r="AC222" i="15"/>
  <c r="AC221" i="15"/>
  <c r="AC220" i="15"/>
  <c r="AC219" i="15"/>
  <c r="AC218" i="15"/>
  <c r="AC217" i="15"/>
  <c r="AC216" i="15"/>
  <c r="AC215" i="15"/>
  <c r="AC214" i="15"/>
  <c r="AC213" i="15"/>
  <c r="AC212" i="15"/>
  <c r="AC211" i="15"/>
  <c r="AC210" i="15"/>
  <c r="AC209" i="15"/>
  <c r="AC208" i="15"/>
  <c r="AC207" i="15"/>
  <c r="AC206" i="15"/>
  <c r="AC205" i="15"/>
  <c r="AC204" i="15"/>
  <c r="AC203" i="15"/>
  <c r="AC202" i="15"/>
  <c r="AC201" i="15"/>
  <c r="AC200" i="15"/>
  <c r="AC199" i="15"/>
  <c r="AC198" i="15"/>
  <c r="AC197" i="15"/>
  <c r="AC196" i="15"/>
  <c r="AC195" i="15"/>
  <c r="AC194" i="15"/>
  <c r="AC193" i="15"/>
  <c r="AC192" i="15"/>
  <c r="AC191" i="15"/>
  <c r="AC190" i="15"/>
  <c r="AC189" i="15"/>
  <c r="AC188" i="15"/>
  <c r="AC187" i="15"/>
  <c r="AC186" i="15"/>
  <c r="AC185" i="15"/>
  <c r="AC184" i="15"/>
  <c r="AC183" i="15"/>
  <c r="AC182" i="15"/>
  <c r="AC181" i="15"/>
  <c r="AC180" i="15"/>
  <c r="AC179" i="15"/>
  <c r="AC178" i="15"/>
  <c r="AC177" i="15"/>
  <c r="AC176" i="15"/>
  <c r="AC175" i="15"/>
  <c r="AC174" i="15"/>
  <c r="AC173" i="15"/>
  <c r="AC172" i="15"/>
  <c r="AC171" i="15"/>
  <c r="AC170" i="15"/>
  <c r="AC169" i="15"/>
  <c r="AC168" i="15"/>
  <c r="AC167" i="15"/>
  <c r="AC166" i="15"/>
  <c r="AC165" i="15"/>
  <c r="AC164" i="15"/>
  <c r="AC163" i="15"/>
  <c r="AC162" i="15"/>
  <c r="AC161" i="15"/>
  <c r="AC160" i="15"/>
  <c r="AC159" i="15"/>
  <c r="AC158" i="15"/>
  <c r="AC157" i="15"/>
  <c r="AC156" i="15"/>
  <c r="AC155" i="15"/>
  <c r="AC154" i="15"/>
  <c r="AC153" i="15"/>
  <c r="AC152" i="15"/>
  <c r="AC151" i="15"/>
  <c r="AC150" i="15"/>
  <c r="AC149" i="15"/>
  <c r="AC148" i="15"/>
  <c r="AC147" i="15"/>
  <c r="AC146" i="15"/>
  <c r="AC145" i="15"/>
  <c r="AC144" i="15"/>
  <c r="AC143" i="15"/>
  <c r="AC142" i="15"/>
  <c r="AC141" i="15"/>
  <c r="AC140" i="15"/>
  <c r="AC139" i="15"/>
  <c r="AC138" i="15"/>
  <c r="AC137" i="15"/>
  <c r="AC136" i="15"/>
  <c r="AC135" i="15"/>
  <c r="AC134" i="15"/>
  <c r="AC133" i="15"/>
  <c r="AC132" i="15"/>
  <c r="AC131" i="15"/>
  <c r="AC130" i="15"/>
  <c r="AC129" i="15"/>
  <c r="AC128" i="15"/>
  <c r="AC127" i="15"/>
  <c r="AC126" i="15"/>
  <c r="AC125" i="15"/>
  <c r="AC124" i="15"/>
  <c r="AC123" i="15"/>
  <c r="AC122" i="15"/>
  <c r="AC121" i="15"/>
  <c r="AC120" i="15"/>
  <c r="AC119" i="15"/>
  <c r="AC118" i="15"/>
  <c r="AC117" i="15"/>
  <c r="AC116" i="15"/>
  <c r="AC115" i="15"/>
  <c r="AC114" i="15"/>
  <c r="AC113" i="15"/>
  <c r="AC112" i="15"/>
  <c r="AC111" i="15"/>
  <c r="AC110" i="15"/>
  <c r="AC109" i="15"/>
  <c r="AC108" i="15"/>
  <c r="AC107" i="15"/>
  <c r="AC106" i="15"/>
  <c r="AC105" i="15"/>
  <c r="AC104" i="15"/>
  <c r="AC103" i="15"/>
  <c r="AC102" i="15"/>
  <c r="AC101" i="15"/>
  <c r="AC100" i="15"/>
  <c r="AC99" i="15"/>
  <c r="AC98" i="15"/>
  <c r="AC97" i="15"/>
  <c r="AC96" i="15"/>
  <c r="AC95" i="15"/>
  <c r="AC94" i="15"/>
  <c r="AC93" i="15"/>
  <c r="AC92" i="15"/>
  <c r="AC91" i="15"/>
  <c r="AC90" i="15"/>
  <c r="AC89" i="15"/>
  <c r="AC88" i="15"/>
  <c r="AC87" i="15"/>
  <c r="AC86" i="15"/>
  <c r="AC85" i="15"/>
  <c r="AC84" i="15"/>
  <c r="AC83" i="15"/>
  <c r="AC82" i="15"/>
  <c r="AC81" i="15"/>
  <c r="AC80" i="15"/>
  <c r="AC79" i="15"/>
  <c r="AC78" i="15"/>
  <c r="AC77" i="15"/>
  <c r="AC76" i="15"/>
  <c r="AC75" i="15"/>
  <c r="AC74" i="15"/>
  <c r="AC73" i="15"/>
  <c r="AC72" i="15"/>
  <c r="AC71" i="15"/>
  <c r="AC70" i="15"/>
  <c r="AC69" i="15"/>
  <c r="AC68" i="15"/>
  <c r="AC67" i="15"/>
  <c r="AC66" i="15"/>
  <c r="AC65" i="15"/>
  <c r="AC64" i="15"/>
  <c r="AC63" i="15"/>
  <c r="AC62" i="15"/>
  <c r="AC61" i="15"/>
  <c r="AC60" i="15"/>
  <c r="AC59" i="15"/>
  <c r="AC58" i="15"/>
  <c r="AC57" i="15"/>
  <c r="AC56" i="15"/>
  <c r="AC55" i="15"/>
  <c r="AC54" i="15"/>
  <c r="AC53" i="15"/>
  <c r="AC52" i="15"/>
  <c r="AC51" i="15"/>
  <c r="AC50" i="15"/>
  <c r="AC49" i="15"/>
  <c r="AC48" i="15"/>
  <c r="AC47" i="15"/>
  <c r="AC46" i="15"/>
  <c r="AC45" i="15"/>
  <c r="AC44" i="15"/>
  <c r="AC43" i="15"/>
  <c r="AC42" i="15"/>
  <c r="AC41" i="15"/>
  <c r="AC40" i="15"/>
  <c r="AC39" i="15"/>
  <c r="AC38" i="15"/>
  <c r="AC37" i="15"/>
  <c r="AC36" i="15"/>
  <c r="AC35" i="15"/>
  <c r="AC34" i="15"/>
  <c r="AC33" i="15"/>
  <c r="AC32" i="15"/>
  <c r="AC31" i="15"/>
  <c r="AC30" i="15"/>
  <c r="AC29" i="15"/>
  <c r="AC28" i="15"/>
  <c r="AC27" i="15"/>
  <c r="AC26" i="15"/>
  <c r="AC25" i="15"/>
  <c r="AC24" i="15"/>
  <c r="AC23" i="15"/>
  <c r="AC22" i="15"/>
  <c r="AC21" i="15"/>
  <c r="AC20" i="15"/>
  <c r="AC19" i="15"/>
  <c r="AC18" i="15"/>
  <c r="AC17" i="15"/>
  <c r="AC16" i="15"/>
  <c r="AC15" i="15"/>
  <c r="AC14" i="15"/>
  <c r="AC13" i="15"/>
  <c r="AC12" i="15"/>
  <c r="AC11" i="15"/>
  <c r="AC10" i="15"/>
  <c r="AC9" i="15"/>
  <c r="AC8" i="15"/>
  <c r="AC7" i="15"/>
  <c r="AC6" i="15"/>
  <c r="AC5" i="15"/>
  <c r="AC4" i="15"/>
  <c r="AC3" i="15"/>
  <c r="AA370" i="15"/>
  <c r="U370" i="15"/>
  <c r="AL370" i="15"/>
  <c r="Z370" i="15"/>
  <c r="T370" i="15"/>
  <c r="W370" i="15"/>
  <c r="AK370" i="15"/>
  <c r="S370" i="15"/>
  <c r="Y370" i="15"/>
  <c r="AJ370" i="15"/>
  <c r="AI370" i="15"/>
  <c r="AH370" i="15"/>
  <c r="AG370" i="15"/>
  <c r="AA369" i="15"/>
  <c r="U369" i="15"/>
  <c r="AL369" i="15"/>
  <c r="Z369" i="15"/>
  <c r="T369" i="15"/>
  <c r="W369" i="15"/>
  <c r="AK369" i="15"/>
  <c r="S369" i="15"/>
  <c r="Y369" i="15"/>
  <c r="AJ369" i="15"/>
  <c r="AI369" i="15"/>
  <c r="AH369" i="15"/>
  <c r="AG369" i="15"/>
  <c r="AA368" i="15"/>
  <c r="U368" i="15"/>
  <c r="AL368" i="15"/>
  <c r="Z368" i="15"/>
  <c r="T368" i="15"/>
  <c r="W368" i="15"/>
  <c r="AK368" i="15"/>
  <c r="S368" i="15"/>
  <c r="Y368" i="15"/>
  <c r="AJ368" i="15"/>
  <c r="AI368" i="15"/>
  <c r="AH368" i="15"/>
  <c r="AG368" i="15"/>
  <c r="AA367" i="15"/>
  <c r="U367" i="15"/>
  <c r="AL367" i="15"/>
  <c r="Z367" i="15"/>
  <c r="T367" i="15"/>
  <c r="W367" i="15"/>
  <c r="AK367" i="15"/>
  <c r="S367" i="15"/>
  <c r="Y367" i="15"/>
  <c r="AJ367" i="15"/>
  <c r="AI367" i="15"/>
  <c r="AH367" i="15"/>
  <c r="AG367" i="15"/>
  <c r="AA366" i="15"/>
  <c r="U366" i="15"/>
  <c r="AL366" i="15"/>
  <c r="Z366" i="15"/>
  <c r="T366" i="15"/>
  <c r="W366" i="15"/>
  <c r="AK366" i="15"/>
  <c r="S366" i="15"/>
  <c r="Y366" i="15"/>
  <c r="AJ366" i="15"/>
  <c r="AI366" i="15"/>
  <c r="AH366" i="15"/>
  <c r="AG366" i="15"/>
  <c r="AA365" i="15"/>
  <c r="U365" i="15"/>
  <c r="AL365" i="15"/>
  <c r="W365" i="15"/>
  <c r="AK365" i="15"/>
  <c r="AJ365" i="15"/>
  <c r="AI365" i="15"/>
  <c r="AH365" i="15"/>
  <c r="AG365" i="15"/>
  <c r="AA364" i="15"/>
  <c r="U364" i="15"/>
  <c r="AL364" i="15"/>
  <c r="Z364" i="15"/>
  <c r="T364" i="15"/>
  <c r="W364" i="15"/>
  <c r="AK364" i="15"/>
  <c r="S364" i="15"/>
  <c r="Y364" i="15"/>
  <c r="AJ364" i="15"/>
  <c r="AI364" i="15"/>
  <c r="AH364" i="15"/>
  <c r="AG364" i="15"/>
  <c r="AA363" i="15"/>
  <c r="U363" i="15"/>
  <c r="AL363" i="15"/>
  <c r="Z363" i="15"/>
  <c r="T363" i="15"/>
  <c r="W363" i="15"/>
  <c r="AK363" i="15"/>
  <c r="S363" i="15"/>
  <c r="Y363" i="15"/>
  <c r="AJ363" i="15"/>
  <c r="AI363" i="15"/>
  <c r="AH363" i="15"/>
  <c r="AG363" i="15"/>
  <c r="AA362" i="15"/>
  <c r="U362" i="15"/>
  <c r="AL362" i="15"/>
  <c r="Z362" i="15"/>
  <c r="T362" i="15"/>
  <c r="W362" i="15"/>
  <c r="AK362" i="15"/>
  <c r="S362" i="15"/>
  <c r="Y362" i="15"/>
  <c r="AJ362" i="15"/>
  <c r="AI362" i="15"/>
  <c r="AH362" i="15"/>
  <c r="AG362" i="15"/>
  <c r="AA361" i="15"/>
  <c r="U361" i="15"/>
  <c r="AL361" i="15"/>
  <c r="Z361" i="15"/>
  <c r="T361" i="15"/>
  <c r="W361" i="15"/>
  <c r="AK361" i="15"/>
  <c r="S361" i="15"/>
  <c r="Y361" i="15"/>
  <c r="AJ361" i="15"/>
  <c r="AI361" i="15"/>
  <c r="AH361" i="15"/>
  <c r="AG361" i="15"/>
  <c r="U360" i="15"/>
  <c r="AL360" i="15"/>
  <c r="T360" i="15"/>
  <c r="W360" i="15"/>
  <c r="AK360" i="15"/>
  <c r="S360" i="15"/>
  <c r="AJ360" i="15"/>
  <c r="AI360" i="15"/>
  <c r="AH360" i="15"/>
  <c r="AG360" i="15"/>
  <c r="U359" i="15"/>
  <c r="AL359" i="15"/>
  <c r="T359" i="15"/>
  <c r="W359" i="15"/>
  <c r="AK359" i="15"/>
  <c r="S359" i="15"/>
  <c r="AJ359" i="15"/>
  <c r="AI359" i="15"/>
  <c r="AH359" i="15"/>
  <c r="AG359" i="15"/>
  <c r="U358" i="15"/>
  <c r="AL358" i="15"/>
  <c r="T358" i="15"/>
  <c r="W358" i="15"/>
  <c r="AK358" i="15"/>
  <c r="S358" i="15"/>
  <c r="AJ358" i="15"/>
  <c r="AI358" i="15"/>
  <c r="AH358" i="15"/>
  <c r="AG358" i="15"/>
  <c r="U357" i="15"/>
  <c r="AL357" i="15"/>
  <c r="T357" i="15"/>
  <c r="W357" i="15"/>
  <c r="AK357" i="15"/>
  <c r="S357" i="15"/>
  <c r="AJ357" i="15"/>
  <c r="AI357" i="15"/>
  <c r="AH357" i="15"/>
  <c r="AG357" i="15"/>
  <c r="AA356" i="15"/>
  <c r="U356" i="15"/>
  <c r="AL356" i="15"/>
  <c r="Z356" i="15"/>
  <c r="T356" i="15"/>
  <c r="W356" i="15"/>
  <c r="AK356" i="15"/>
  <c r="S356" i="15"/>
  <c r="Y356" i="15"/>
  <c r="AJ356" i="15"/>
  <c r="AI356" i="15"/>
  <c r="AH356" i="15"/>
  <c r="AG356" i="15"/>
  <c r="AA355" i="15"/>
  <c r="U355" i="15"/>
  <c r="AL355" i="15"/>
  <c r="Z355" i="15"/>
  <c r="T355" i="15"/>
  <c r="W355" i="15"/>
  <c r="AK355" i="15"/>
  <c r="S355" i="15"/>
  <c r="Y355" i="15"/>
  <c r="AJ355" i="15"/>
  <c r="AI355" i="15"/>
  <c r="AH355" i="15"/>
  <c r="AG355" i="15"/>
  <c r="AA354" i="15"/>
  <c r="U354" i="15"/>
  <c r="AL354" i="15"/>
  <c r="Z354" i="15"/>
  <c r="T354" i="15"/>
  <c r="W354" i="15"/>
  <c r="AK354" i="15"/>
  <c r="S354" i="15"/>
  <c r="Y354" i="15"/>
  <c r="AJ354" i="15"/>
  <c r="AI354" i="15"/>
  <c r="AH354" i="15"/>
  <c r="AG354" i="15"/>
  <c r="AA353" i="15"/>
  <c r="U353" i="15"/>
  <c r="AL353" i="15"/>
  <c r="Z353" i="15"/>
  <c r="T353" i="15"/>
  <c r="W353" i="15"/>
  <c r="AK353" i="15"/>
  <c r="S353" i="15"/>
  <c r="Y353" i="15"/>
  <c r="AJ353" i="15"/>
  <c r="AI353" i="15"/>
  <c r="AH353" i="15"/>
  <c r="AG353" i="15"/>
  <c r="AA352" i="15"/>
  <c r="U352" i="15"/>
  <c r="AL352" i="15"/>
  <c r="AK352" i="15"/>
  <c r="S352" i="15"/>
  <c r="Y352" i="15"/>
  <c r="AJ352" i="15"/>
  <c r="AI352" i="15"/>
  <c r="AG352" i="15"/>
  <c r="AA351" i="15"/>
  <c r="U351" i="15"/>
  <c r="AL351" i="15"/>
  <c r="Z351" i="15"/>
  <c r="T351" i="15"/>
  <c r="W351" i="15"/>
  <c r="AK351" i="15"/>
  <c r="S351" i="15"/>
  <c r="Y351" i="15"/>
  <c r="AJ351" i="15"/>
  <c r="AI351" i="15"/>
  <c r="AH351" i="15"/>
  <c r="AG351" i="15"/>
  <c r="AA350" i="15"/>
  <c r="U350" i="15"/>
  <c r="AL350" i="15"/>
  <c r="Z350" i="15"/>
  <c r="T350" i="15"/>
  <c r="W350" i="15"/>
  <c r="AK350" i="15"/>
  <c r="AJ350" i="15"/>
  <c r="AI350" i="15"/>
  <c r="AH350" i="15"/>
  <c r="AA349" i="15"/>
  <c r="U349" i="15"/>
  <c r="AL349" i="15"/>
  <c r="Z349" i="15"/>
  <c r="T349" i="15"/>
  <c r="W349" i="15"/>
  <c r="AK349" i="15"/>
  <c r="AJ349" i="15"/>
  <c r="AI349" i="15"/>
  <c r="AH349" i="15"/>
  <c r="AA348" i="15"/>
  <c r="U348" i="15"/>
  <c r="AL348" i="15"/>
  <c r="Z348" i="15"/>
  <c r="T348" i="15"/>
  <c r="W348" i="15"/>
  <c r="AK348" i="15"/>
  <c r="S348" i="15"/>
  <c r="Y348" i="15"/>
  <c r="AJ348" i="15"/>
  <c r="AI348" i="15"/>
  <c r="AH348" i="15"/>
  <c r="AG348" i="15"/>
  <c r="AA347" i="15"/>
  <c r="U347" i="15"/>
  <c r="AL347" i="15"/>
  <c r="Z347" i="15"/>
  <c r="T347" i="15"/>
  <c r="W347" i="15"/>
  <c r="AK347" i="15"/>
  <c r="S347" i="15"/>
  <c r="Y347" i="15"/>
  <c r="AJ347" i="15"/>
  <c r="AI347" i="15"/>
  <c r="AH347" i="15"/>
  <c r="AG347" i="15"/>
  <c r="AA346" i="15"/>
  <c r="U346" i="15"/>
  <c r="AL346" i="15"/>
  <c r="Z346" i="15"/>
  <c r="T346" i="15"/>
  <c r="W346" i="15"/>
  <c r="AK346" i="15"/>
  <c r="S346" i="15"/>
  <c r="Y346" i="15"/>
  <c r="AJ346" i="15"/>
  <c r="AI346" i="15"/>
  <c r="AH346" i="15"/>
  <c r="AG346" i="15"/>
  <c r="AA345" i="15"/>
  <c r="U345" i="15"/>
  <c r="AL345" i="15"/>
  <c r="Z345" i="15"/>
  <c r="T345" i="15"/>
  <c r="W345" i="15"/>
  <c r="AK345" i="15"/>
  <c r="S345" i="15"/>
  <c r="Y345" i="15"/>
  <c r="AJ345" i="15"/>
  <c r="AI345" i="15"/>
  <c r="AH345" i="15"/>
  <c r="AG345" i="15"/>
  <c r="AA344" i="15"/>
  <c r="U344" i="15"/>
  <c r="AL344" i="15"/>
  <c r="Z344" i="15"/>
  <c r="T344" i="15"/>
  <c r="W344" i="15"/>
  <c r="AK344" i="15"/>
  <c r="S344" i="15"/>
  <c r="Y344" i="15"/>
  <c r="AJ344" i="15"/>
  <c r="AI344" i="15"/>
  <c r="AH344" i="15"/>
  <c r="AG344" i="15"/>
  <c r="AA343" i="15"/>
  <c r="U343" i="15"/>
  <c r="AL343" i="15"/>
  <c r="Z343" i="15"/>
  <c r="T343" i="15"/>
  <c r="W343" i="15"/>
  <c r="AK343" i="15"/>
  <c r="S343" i="15"/>
  <c r="Y343" i="15"/>
  <c r="AJ343" i="15"/>
  <c r="AI343" i="15"/>
  <c r="AH343" i="15"/>
  <c r="AG343" i="15"/>
  <c r="AA342" i="15"/>
  <c r="U342" i="15"/>
  <c r="AL342" i="15"/>
  <c r="Z342" i="15"/>
  <c r="T342" i="15"/>
  <c r="W342" i="15"/>
  <c r="AK342" i="15"/>
  <c r="S342" i="15"/>
  <c r="Y342" i="15"/>
  <c r="AJ342" i="15"/>
  <c r="AI342" i="15"/>
  <c r="AH342" i="15"/>
  <c r="AG342" i="15"/>
  <c r="AA341" i="15"/>
  <c r="U341" i="15"/>
  <c r="AL341" i="15"/>
  <c r="Z341" i="15"/>
  <c r="T341" i="15"/>
  <c r="W341" i="15"/>
  <c r="AK341" i="15"/>
  <c r="S341" i="15"/>
  <c r="Y341" i="15"/>
  <c r="AJ341" i="15"/>
  <c r="AI341" i="15"/>
  <c r="AH341" i="15"/>
  <c r="AG341" i="15"/>
  <c r="AA340" i="15"/>
  <c r="U340" i="15"/>
  <c r="AL340" i="15"/>
  <c r="Z340" i="15"/>
  <c r="T340" i="15"/>
  <c r="W340" i="15"/>
  <c r="AK340" i="15"/>
  <c r="S340" i="15"/>
  <c r="Y340" i="15"/>
  <c r="AJ340" i="15"/>
  <c r="AI340" i="15"/>
  <c r="AH340" i="15"/>
  <c r="AG340" i="15"/>
  <c r="AA339" i="15"/>
  <c r="U339" i="15"/>
  <c r="AL339" i="15"/>
  <c r="Z339" i="15"/>
  <c r="T339" i="15"/>
  <c r="W339" i="15"/>
  <c r="AK339" i="15"/>
  <c r="S339" i="15"/>
  <c r="Y339" i="15"/>
  <c r="AJ339" i="15"/>
  <c r="AI339" i="15"/>
  <c r="AH339" i="15"/>
  <c r="AG339" i="15"/>
  <c r="AA338" i="15"/>
  <c r="U338" i="15"/>
  <c r="AL338" i="15"/>
  <c r="Z338" i="15"/>
  <c r="T338" i="15"/>
  <c r="W338" i="15"/>
  <c r="AK338" i="15"/>
  <c r="S338" i="15"/>
  <c r="Y338" i="15"/>
  <c r="AJ338" i="15"/>
  <c r="AI338" i="15"/>
  <c r="AH338" i="15"/>
  <c r="AG338" i="15"/>
  <c r="AA337" i="15"/>
  <c r="U337" i="15"/>
  <c r="AL337" i="15"/>
  <c r="Z337" i="15"/>
  <c r="T337" i="15"/>
  <c r="W337" i="15"/>
  <c r="AK337" i="15"/>
  <c r="S337" i="15"/>
  <c r="Y337" i="15"/>
  <c r="AJ337" i="15"/>
  <c r="AI337" i="15"/>
  <c r="AH337" i="15"/>
  <c r="AG337" i="15"/>
  <c r="AA336" i="15"/>
  <c r="U336" i="15"/>
  <c r="AL336" i="15"/>
  <c r="Z336" i="15"/>
  <c r="T336" i="15"/>
  <c r="W336" i="15"/>
  <c r="AK336" i="15"/>
  <c r="S336" i="15"/>
  <c r="Y336" i="15"/>
  <c r="AJ336" i="15"/>
  <c r="AI336" i="15"/>
  <c r="AH336" i="15"/>
  <c r="AG336" i="15"/>
  <c r="AA335" i="15"/>
  <c r="U335" i="15"/>
  <c r="AL335" i="15"/>
  <c r="Z335" i="15"/>
  <c r="T335" i="15"/>
  <c r="W335" i="15"/>
  <c r="AK335" i="15"/>
  <c r="S335" i="15"/>
  <c r="Y335" i="15"/>
  <c r="AJ335" i="15"/>
  <c r="AI335" i="15"/>
  <c r="AH335" i="15"/>
  <c r="AG335" i="15"/>
  <c r="AA334" i="15"/>
  <c r="U334" i="15"/>
  <c r="AL334" i="15"/>
  <c r="Z334" i="15"/>
  <c r="T334" i="15"/>
  <c r="W334" i="15"/>
  <c r="AK334" i="15"/>
  <c r="S334" i="15"/>
  <c r="Y334" i="15"/>
  <c r="AJ334" i="15"/>
  <c r="AI334" i="15"/>
  <c r="AH334" i="15"/>
  <c r="AG334" i="15"/>
  <c r="AA333" i="15"/>
  <c r="U333" i="15"/>
  <c r="AL333" i="15"/>
  <c r="Z333" i="15"/>
  <c r="T333" i="15"/>
  <c r="W333" i="15"/>
  <c r="AK333" i="15"/>
  <c r="S333" i="15"/>
  <c r="Y333" i="15"/>
  <c r="AJ333" i="15"/>
  <c r="AI333" i="15"/>
  <c r="AH333" i="15"/>
  <c r="AG333" i="15"/>
  <c r="AA332" i="15"/>
  <c r="U332" i="15"/>
  <c r="AL332" i="15"/>
  <c r="Z332" i="15"/>
  <c r="T332" i="15"/>
  <c r="W332" i="15"/>
  <c r="AK332" i="15"/>
  <c r="S332" i="15"/>
  <c r="Y332" i="15"/>
  <c r="AJ332" i="15"/>
  <c r="AI332" i="15"/>
  <c r="AH332" i="15"/>
  <c r="AG332" i="15"/>
  <c r="U331" i="15"/>
  <c r="AL331" i="15"/>
  <c r="W331" i="15"/>
  <c r="AK331" i="15"/>
  <c r="AJ331" i="15"/>
  <c r="AI331" i="15"/>
  <c r="AH331" i="15"/>
  <c r="AG331" i="15"/>
  <c r="AA330" i="15"/>
  <c r="U330" i="15"/>
  <c r="AL330" i="15"/>
  <c r="Z330" i="15"/>
  <c r="T330" i="15"/>
  <c r="W330" i="15"/>
  <c r="AK330" i="15"/>
  <c r="S330" i="15"/>
  <c r="Y330" i="15"/>
  <c r="AJ330" i="15"/>
  <c r="AI330" i="15"/>
  <c r="AH330" i="15"/>
  <c r="AG330" i="15"/>
  <c r="AA329" i="15"/>
  <c r="U329" i="15"/>
  <c r="AL329" i="15"/>
  <c r="Z329" i="15"/>
  <c r="T329" i="15"/>
  <c r="W329" i="15"/>
  <c r="AK329" i="15"/>
  <c r="S329" i="15"/>
  <c r="Y329" i="15"/>
  <c r="AJ329" i="15"/>
  <c r="AI329" i="15"/>
  <c r="AH329" i="15"/>
  <c r="AG329" i="15"/>
  <c r="AA328" i="15"/>
  <c r="U328" i="15"/>
  <c r="AL328" i="15"/>
  <c r="Z328" i="15"/>
  <c r="T328" i="15"/>
  <c r="W328" i="15"/>
  <c r="AK328" i="15"/>
  <c r="S328" i="15"/>
  <c r="Y328" i="15"/>
  <c r="AJ328" i="15"/>
  <c r="AI328" i="15"/>
  <c r="AH328" i="15"/>
  <c r="AG328" i="15"/>
  <c r="AA327" i="15"/>
  <c r="U327" i="15"/>
  <c r="AL327" i="15"/>
  <c r="Z327" i="15"/>
  <c r="T327" i="15"/>
  <c r="W327" i="15"/>
  <c r="AK327" i="15"/>
  <c r="S327" i="15"/>
  <c r="Y327" i="15"/>
  <c r="AJ327" i="15"/>
  <c r="AI327" i="15"/>
  <c r="AH327" i="15"/>
  <c r="AG327" i="15"/>
  <c r="AA326" i="15"/>
  <c r="U326" i="15"/>
  <c r="AL326" i="15"/>
  <c r="Z326" i="15"/>
  <c r="T326" i="15"/>
  <c r="W326" i="15"/>
  <c r="AK326" i="15"/>
  <c r="S326" i="15"/>
  <c r="Y326" i="15"/>
  <c r="AJ326" i="15"/>
  <c r="AI326" i="15"/>
  <c r="AH326" i="15"/>
  <c r="AG326" i="15"/>
  <c r="AA325" i="15"/>
  <c r="U325" i="15"/>
  <c r="AL325" i="15"/>
  <c r="Z325" i="15"/>
  <c r="T325" i="15"/>
  <c r="W325" i="15"/>
  <c r="AK325" i="15"/>
  <c r="S325" i="15"/>
  <c r="Y325" i="15"/>
  <c r="AJ325" i="15"/>
  <c r="AI325" i="15"/>
  <c r="AH325" i="15"/>
  <c r="AG325" i="15"/>
  <c r="AA324" i="15"/>
  <c r="U324" i="15"/>
  <c r="AL324" i="15"/>
  <c r="Z324" i="15"/>
  <c r="T324" i="15"/>
  <c r="W324" i="15"/>
  <c r="AK324" i="15"/>
  <c r="S324" i="15"/>
  <c r="Y324" i="15"/>
  <c r="AJ324" i="15"/>
  <c r="AI324" i="15"/>
  <c r="AH324" i="15"/>
  <c r="AG324" i="15"/>
  <c r="AA323" i="15"/>
  <c r="U323" i="15"/>
  <c r="AL323" i="15"/>
  <c r="Z323" i="15"/>
  <c r="T323" i="15"/>
  <c r="W323" i="15"/>
  <c r="AK323" i="15"/>
  <c r="S323" i="15"/>
  <c r="Y323" i="15"/>
  <c r="AJ323" i="15"/>
  <c r="AI323" i="15"/>
  <c r="AH323" i="15"/>
  <c r="AG323" i="15"/>
  <c r="AA322" i="15"/>
  <c r="U322" i="15"/>
  <c r="AL322" i="15"/>
  <c r="W322" i="15"/>
  <c r="AK322" i="15"/>
  <c r="AJ322" i="15"/>
  <c r="AI322" i="15"/>
  <c r="AH322" i="15"/>
  <c r="AG322" i="15"/>
  <c r="AA321" i="15"/>
  <c r="U321" i="15"/>
  <c r="AL321" i="15"/>
  <c r="Z321" i="15"/>
  <c r="T321" i="15"/>
  <c r="W321" i="15"/>
  <c r="AK321" i="15"/>
  <c r="S321" i="15"/>
  <c r="Y321" i="15"/>
  <c r="AJ321" i="15"/>
  <c r="AI321" i="15"/>
  <c r="AH321" i="15"/>
  <c r="AG321" i="15"/>
  <c r="AA320" i="15"/>
  <c r="U320" i="15"/>
  <c r="AL320" i="15"/>
  <c r="Z320" i="15"/>
  <c r="T320" i="15"/>
  <c r="W320" i="15"/>
  <c r="AK320" i="15"/>
  <c r="S320" i="15"/>
  <c r="Y320" i="15"/>
  <c r="AJ320" i="15"/>
  <c r="AI320" i="15"/>
  <c r="AH320" i="15"/>
  <c r="AG320" i="15"/>
  <c r="AA319" i="15"/>
  <c r="U319" i="15"/>
  <c r="AL319" i="15"/>
  <c r="Z319" i="15"/>
  <c r="T319" i="15"/>
  <c r="W319" i="15"/>
  <c r="AK319" i="15"/>
  <c r="S319" i="15"/>
  <c r="Y319" i="15"/>
  <c r="AJ319" i="15"/>
  <c r="AI319" i="15"/>
  <c r="AH319" i="15"/>
  <c r="AG319" i="15"/>
  <c r="AA318" i="15"/>
  <c r="U318" i="15"/>
  <c r="AL318" i="15"/>
  <c r="Z318" i="15"/>
  <c r="T318" i="15"/>
  <c r="W318" i="15"/>
  <c r="AK318" i="15"/>
  <c r="S318" i="15"/>
  <c r="Y318" i="15"/>
  <c r="AJ318" i="15"/>
  <c r="AI318" i="15"/>
  <c r="AH318" i="15"/>
  <c r="AG318" i="15"/>
  <c r="AA317" i="15"/>
  <c r="U317" i="15"/>
  <c r="AL317" i="15"/>
  <c r="Z317" i="15"/>
  <c r="T317" i="15"/>
  <c r="W317" i="15"/>
  <c r="AK317" i="15"/>
  <c r="S317" i="15"/>
  <c r="Y317" i="15"/>
  <c r="AJ317" i="15"/>
  <c r="AI317" i="15"/>
  <c r="AH317" i="15"/>
  <c r="AG317" i="15"/>
  <c r="AA316" i="15"/>
  <c r="U316" i="15"/>
  <c r="AL316" i="15"/>
  <c r="W316" i="15"/>
  <c r="AK316" i="15"/>
  <c r="AJ316" i="15"/>
  <c r="AI316" i="15"/>
  <c r="AH316" i="15"/>
  <c r="AG316" i="15"/>
  <c r="AA315" i="15"/>
  <c r="U315" i="15"/>
  <c r="AL315" i="15"/>
  <c r="Z315" i="15"/>
  <c r="T315" i="15"/>
  <c r="W315" i="15"/>
  <c r="AK315" i="15"/>
  <c r="S315" i="15"/>
  <c r="Y315" i="15"/>
  <c r="AJ315" i="15"/>
  <c r="AI315" i="15"/>
  <c r="AH315" i="15"/>
  <c r="AG315" i="15"/>
  <c r="AA314" i="15"/>
  <c r="U314" i="15"/>
  <c r="AL314" i="15"/>
  <c r="Z314" i="15"/>
  <c r="T314" i="15"/>
  <c r="W314" i="15"/>
  <c r="AK314" i="15"/>
  <c r="S314" i="15"/>
  <c r="Y314" i="15"/>
  <c r="AJ314" i="15"/>
  <c r="AI314" i="15"/>
  <c r="AH314" i="15"/>
  <c r="AG314" i="15"/>
  <c r="AA313" i="15"/>
  <c r="U313" i="15"/>
  <c r="AL313" i="15"/>
  <c r="Z313" i="15"/>
  <c r="T313" i="15"/>
  <c r="W313" i="15"/>
  <c r="AK313" i="15"/>
  <c r="S313" i="15"/>
  <c r="Y313" i="15"/>
  <c r="AJ313" i="15"/>
  <c r="AI313" i="15"/>
  <c r="AH313" i="15"/>
  <c r="AG313" i="15"/>
  <c r="AA312" i="15"/>
  <c r="U312" i="15"/>
  <c r="AL312" i="15"/>
  <c r="Z312" i="15"/>
  <c r="T312" i="15"/>
  <c r="W312" i="15"/>
  <c r="AK312" i="15"/>
  <c r="S312" i="15"/>
  <c r="Y312" i="15"/>
  <c r="AJ312" i="15"/>
  <c r="AI312" i="15"/>
  <c r="AH312" i="15"/>
  <c r="AG312" i="15"/>
  <c r="AA311" i="15"/>
  <c r="U311" i="15"/>
  <c r="AL311" i="15"/>
  <c r="Z311" i="15"/>
  <c r="T311" i="15"/>
  <c r="W311" i="15"/>
  <c r="AK311" i="15"/>
  <c r="S311" i="15"/>
  <c r="Y311" i="15"/>
  <c r="AJ311" i="15"/>
  <c r="AI311" i="15"/>
  <c r="AH311" i="15"/>
  <c r="AG311" i="15"/>
  <c r="AA310" i="15"/>
  <c r="U310" i="15"/>
  <c r="AL310" i="15"/>
  <c r="Z310" i="15"/>
  <c r="T310" i="15"/>
  <c r="W310" i="15"/>
  <c r="AK310" i="15"/>
  <c r="S310" i="15"/>
  <c r="Y310" i="15"/>
  <c r="AJ310" i="15"/>
  <c r="AI310" i="15"/>
  <c r="AH310" i="15"/>
  <c r="AG310" i="15"/>
  <c r="AA309" i="15"/>
  <c r="U309" i="15"/>
  <c r="AL309" i="15"/>
  <c r="W309" i="15"/>
  <c r="AK309" i="15"/>
  <c r="AJ309" i="15"/>
  <c r="AI309" i="15"/>
  <c r="AH309" i="15"/>
  <c r="AG309" i="15"/>
  <c r="AA308" i="15"/>
  <c r="U308" i="15"/>
  <c r="AL308" i="15"/>
  <c r="Z308" i="15"/>
  <c r="T308" i="15"/>
  <c r="W308" i="15"/>
  <c r="AK308" i="15"/>
  <c r="S308" i="15"/>
  <c r="Y308" i="15"/>
  <c r="AJ308" i="15"/>
  <c r="AI308" i="15"/>
  <c r="AH308" i="15"/>
  <c r="AG308" i="15"/>
  <c r="AA307" i="15"/>
  <c r="U307" i="15"/>
  <c r="AL307" i="15"/>
  <c r="Z307" i="15"/>
  <c r="T307" i="15"/>
  <c r="W307" i="15"/>
  <c r="AK307" i="15"/>
  <c r="S307" i="15"/>
  <c r="Y307" i="15"/>
  <c r="AJ307" i="15"/>
  <c r="AI307" i="15"/>
  <c r="AH307" i="15"/>
  <c r="AG307" i="15"/>
  <c r="AA306" i="15"/>
  <c r="U306" i="15"/>
  <c r="AL306" i="15"/>
  <c r="Z306" i="15"/>
  <c r="T306" i="15"/>
  <c r="W306" i="15"/>
  <c r="AK306" i="15"/>
  <c r="S306" i="15"/>
  <c r="Y306" i="15"/>
  <c r="AJ306" i="15"/>
  <c r="AI306" i="15"/>
  <c r="AH306" i="15"/>
  <c r="AG306" i="15"/>
  <c r="AA305" i="15"/>
  <c r="U305" i="15"/>
  <c r="AL305" i="15"/>
  <c r="Z305" i="15"/>
  <c r="T305" i="15"/>
  <c r="W305" i="15"/>
  <c r="AK305" i="15"/>
  <c r="S305" i="15"/>
  <c r="Y305" i="15"/>
  <c r="AJ305" i="15"/>
  <c r="AI305" i="15"/>
  <c r="AH305" i="15"/>
  <c r="AG305" i="15"/>
  <c r="AA304" i="15"/>
  <c r="U304" i="15"/>
  <c r="AL304" i="15"/>
  <c r="Z304" i="15"/>
  <c r="T304" i="15"/>
  <c r="W304" i="15"/>
  <c r="AK304" i="15"/>
  <c r="S304" i="15"/>
  <c r="Y304" i="15"/>
  <c r="AJ304" i="15"/>
  <c r="AI304" i="15"/>
  <c r="AH304" i="15"/>
  <c r="AG304" i="15"/>
  <c r="AA303" i="15"/>
  <c r="U303" i="15"/>
  <c r="AL303" i="15"/>
  <c r="Z303" i="15"/>
  <c r="T303" i="15"/>
  <c r="W303" i="15"/>
  <c r="AK303" i="15"/>
  <c r="S303" i="15"/>
  <c r="Y303" i="15"/>
  <c r="AJ303" i="15"/>
  <c r="AI303" i="15"/>
  <c r="AH303" i="15"/>
  <c r="AG303" i="15"/>
  <c r="AA302" i="15"/>
  <c r="U302" i="15"/>
  <c r="AL302" i="15"/>
  <c r="Z302" i="15"/>
  <c r="T302" i="15"/>
  <c r="W302" i="15"/>
  <c r="AK302" i="15"/>
  <c r="S302" i="15"/>
  <c r="Y302" i="15"/>
  <c r="AJ302" i="15"/>
  <c r="AI302" i="15"/>
  <c r="AH302" i="15"/>
  <c r="AG302" i="15"/>
  <c r="AA301" i="15"/>
  <c r="U301" i="15"/>
  <c r="AL301" i="15"/>
  <c r="Z301" i="15"/>
  <c r="T301" i="15"/>
  <c r="W301" i="15"/>
  <c r="AK301" i="15"/>
  <c r="S301" i="15"/>
  <c r="Y301" i="15"/>
  <c r="AJ301" i="15"/>
  <c r="AI301" i="15"/>
  <c r="AH301" i="15"/>
  <c r="AG301" i="15"/>
  <c r="AA300" i="15"/>
  <c r="U300" i="15"/>
  <c r="AL300" i="15"/>
  <c r="Z300" i="15"/>
  <c r="T300" i="15"/>
  <c r="W300" i="15"/>
  <c r="AK300" i="15"/>
  <c r="S300" i="15"/>
  <c r="Y300" i="15"/>
  <c r="AJ300" i="15"/>
  <c r="AI300" i="15"/>
  <c r="AH300" i="15"/>
  <c r="AG300" i="15"/>
  <c r="AA299" i="15"/>
  <c r="U299" i="15"/>
  <c r="AL299" i="15"/>
  <c r="Z299" i="15"/>
  <c r="T299" i="15"/>
  <c r="W299" i="15"/>
  <c r="AK299" i="15"/>
  <c r="S299" i="15"/>
  <c r="Y299" i="15"/>
  <c r="AJ299" i="15"/>
  <c r="AI299" i="15"/>
  <c r="AH299" i="15"/>
  <c r="AG299" i="15"/>
  <c r="AA298" i="15"/>
  <c r="U298" i="15"/>
  <c r="AL298" i="15"/>
  <c r="Z298" i="15"/>
  <c r="T298" i="15"/>
  <c r="W298" i="15"/>
  <c r="AK298" i="15"/>
  <c r="S298" i="15"/>
  <c r="Y298" i="15"/>
  <c r="AJ298" i="15"/>
  <c r="AI298" i="15"/>
  <c r="AH298" i="15"/>
  <c r="AG298" i="15"/>
  <c r="AA297" i="15"/>
  <c r="U297" i="15"/>
  <c r="AL297" i="15"/>
  <c r="Z297" i="15"/>
  <c r="T297" i="15"/>
  <c r="W297" i="15"/>
  <c r="AK297" i="15"/>
  <c r="S297" i="15"/>
  <c r="Y297" i="15"/>
  <c r="AJ297" i="15"/>
  <c r="AI297" i="15"/>
  <c r="AH297" i="15"/>
  <c r="AG297" i="15"/>
  <c r="AA296" i="15"/>
  <c r="U296" i="15"/>
  <c r="AL296" i="15"/>
  <c r="Z296" i="15"/>
  <c r="T296" i="15"/>
  <c r="W296" i="15"/>
  <c r="AK296" i="15"/>
  <c r="S296" i="15"/>
  <c r="Y296" i="15"/>
  <c r="AJ296" i="15"/>
  <c r="AI296" i="15"/>
  <c r="AH296" i="15"/>
  <c r="AG296" i="15"/>
  <c r="AA295" i="15"/>
  <c r="U295" i="15"/>
  <c r="AL295" i="15"/>
  <c r="Z295" i="15"/>
  <c r="T295" i="15"/>
  <c r="W295" i="15"/>
  <c r="AK295" i="15"/>
  <c r="S295" i="15"/>
  <c r="Y295" i="15"/>
  <c r="AJ295" i="15"/>
  <c r="AI295" i="15"/>
  <c r="AH295" i="15"/>
  <c r="AG295" i="15"/>
  <c r="AA294" i="15"/>
  <c r="U294" i="15"/>
  <c r="AL294" i="15"/>
  <c r="Z294" i="15"/>
  <c r="T294" i="15"/>
  <c r="W294" i="15"/>
  <c r="AK294" i="15"/>
  <c r="S294" i="15"/>
  <c r="Y294" i="15"/>
  <c r="AJ294" i="15"/>
  <c r="AI294" i="15"/>
  <c r="AH294" i="15"/>
  <c r="AG294" i="15"/>
  <c r="AA293" i="15"/>
  <c r="U293" i="15"/>
  <c r="AL293" i="15"/>
  <c r="Z293" i="15"/>
  <c r="T293" i="15"/>
  <c r="W293" i="15"/>
  <c r="AK293" i="15"/>
  <c r="S293" i="15"/>
  <c r="Y293" i="15"/>
  <c r="AJ293" i="15"/>
  <c r="AI293" i="15"/>
  <c r="AH293" i="15"/>
  <c r="AG293" i="15"/>
  <c r="AA292" i="15"/>
  <c r="U292" i="15"/>
  <c r="AL292" i="15"/>
  <c r="Z292" i="15"/>
  <c r="T292" i="15"/>
  <c r="W292" i="15"/>
  <c r="AK292" i="15"/>
  <c r="S292" i="15"/>
  <c r="Y292" i="15"/>
  <c r="AJ292" i="15"/>
  <c r="AI292" i="15"/>
  <c r="AH292" i="15"/>
  <c r="AG292" i="15"/>
  <c r="AA291" i="15"/>
  <c r="U291" i="15"/>
  <c r="AL291" i="15"/>
  <c r="Z291" i="15"/>
  <c r="T291" i="15"/>
  <c r="W291" i="15"/>
  <c r="AK291" i="15"/>
  <c r="S291" i="15"/>
  <c r="Y291" i="15"/>
  <c r="AJ291" i="15"/>
  <c r="AI291" i="15"/>
  <c r="AH291" i="15"/>
  <c r="AG291" i="15"/>
  <c r="AA290" i="15"/>
  <c r="U290" i="15"/>
  <c r="AL290" i="15"/>
  <c r="Z290" i="15"/>
  <c r="T290" i="15"/>
  <c r="W290" i="15"/>
  <c r="AK290" i="15"/>
  <c r="S290" i="15"/>
  <c r="Y290" i="15"/>
  <c r="AJ290" i="15"/>
  <c r="AI290" i="15"/>
  <c r="AH290" i="15"/>
  <c r="AG290" i="15"/>
  <c r="AA289" i="15"/>
  <c r="U289" i="15"/>
  <c r="AL289" i="15"/>
  <c r="Z289" i="15"/>
  <c r="T289" i="15"/>
  <c r="W289" i="15"/>
  <c r="AK289" i="15"/>
  <c r="S289" i="15"/>
  <c r="Y289" i="15"/>
  <c r="AJ289" i="15"/>
  <c r="AI289" i="15"/>
  <c r="AH289" i="15"/>
  <c r="AG289" i="15"/>
  <c r="AA288" i="15"/>
  <c r="U288" i="15"/>
  <c r="AL288" i="15"/>
  <c r="Z288" i="15"/>
  <c r="T288" i="15"/>
  <c r="W288" i="15"/>
  <c r="AK288" i="15"/>
  <c r="S288" i="15"/>
  <c r="Y288" i="15"/>
  <c r="AJ288" i="15"/>
  <c r="AI288" i="15"/>
  <c r="AH288" i="15"/>
  <c r="AG288" i="15"/>
  <c r="AA287" i="15"/>
  <c r="U287" i="15"/>
  <c r="AL287" i="15"/>
  <c r="Z287" i="15"/>
  <c r="T287" i="15"/>
  <c r="W287" i="15"/>
  <c r="AK287" i="15"/>
  <c r="S287" i="15"/>
  <c r="Y287" i="15"/>
  <c r="AJ287" i="15"/>
  <c r="AI287" i="15"/>
  <c r="AH287" i="15"/>
  <c r="AG287" i="15"/>
  <c r="AA286" i="15"/>
  <c r="U286" i="15"/>
  <c r="AL286" i="15"/>
  <c r="Z286" i="15"/>
  <c r="T286" i="15"/>
  <c r="W286" i="15"/>
  <c r="AK286" i="15"/>
  <c r="S286" i="15"/>
  <c r="Y286" i="15"/>
  <c r="AJ286" i="15"/>
  <c r="AI286" i="15"/>
  <c r="AH286" i="15"/>
  <c r="AG286" i="15"/>
  <c r="AA285" i="15"/>
  <c r="U285" i="15"/>
  <c r="AL285" i="15"/>
  <c r="Z285" i="15"/>
  <c r="T285" i="15"/>
  <c r="W285" i="15"/>
  <c r="AK285" i="15"/>
  <c r="S285" i="15"/>
  <c r="Y285" i="15"/>
  <c r="AJ285" i="15"/>
  <c r="AI285" i="15"/>
  <c r="AH285" i="15"/>
  <c r="AG285" i="15"/>
  <c r="AA284" i="15"/>
  <c r="U284" i="15"/>
  <c r="AL284" i="15"/>
  <c r="Z284" i="15"/>
  <c r="T284" i="15"/>
  <c r="W284" i="15"/>
  <c r="AK284" i="15"/>
  <c r="S284" i="15"/>
  <c r="Y284" i="15"/>
  <c r="AJ284" i="15"/>
  <c r="AI284" i="15"/>
  <c r="AH284" i="15"/>
  <c r="AG284" i="15"/>
  <c r="AA283" i="15"/>
  <c r="U283" i="15"/>
  <c r="AL283" i="15"/>
  <c r="Z283" i="15"/>
  <c r="T283" i="15"/>
  <c r="W283" i="15"/>
  <c r="AK283" i="15"/>
  <c r="S283" i="15"/>
  <c r="Y283" i="15"/>
  <c r="AJ283" i="15"/>
  <c r="AI283" i="15"/>
  <c r="AH283" i="15"/>
  <c r="AG283" i="15"/>
  <c r="AA282" i="15"/>
  <c r="U282" i="15"/>
  <c r="AL282" i="15"/>
  <c r="Z282" i="15"/>
  <c r="T282" i="15"/>
  <c r="W282" i="15"/>
  <c r="AK282" i="15"/>
  <c r="S282" i="15"/>
  <c r="Y282" i="15"/>
  <c r="AJ282" i="15"/>
  <c r="AI282" i="15"/>
  <c r="AH282" i="15"/>
  <c r="AG282" i="15"/>
  <c r="AA281" i="15"/>
  <c r="U281" i="15"/>
  <c r="AL281" i="15"/>
  <c r="Z281" i="15"/>
  <c r="T281" i="15"/>
  <c r="W281" i="15"/>
  <c r="AK281" i="15"/>
  <c r="S281" i="15"/>
  <c r="Y281" i="15"/>
  <c r="AJ281" i="15"/>
  <c r="AI281" i="15"/>
  <c r="AH281" i="15"/>
  <c r="AG281" i="15"/>
  <c r="AA280" i="15"/>
  <c r="U280" i="15"/>
  <c r="AL280" i="15"/>
  <c r="Z280" i="15"/>
  <c r="T280" i="15"/>
  <c r="W280" i="15"/>
  <c r="AK280" i="15"/>
  <c r="S280" i="15"/>
  <c r="Y280" i="15"/>
  <c r="AJ280" i="15"/>
  <c r="AI280" i="15"/>
  <c r="AH280" i="15"/>
  <c r="AG280" i="15"/>
  <c r="AA279" i="15"/>
  <c r="U279" i="15"/>
  <c r="AL279" i="15"/>
  <c r="Z279" i="15"/>
  <c r="T279" i="15"/>
  <c r="W279" i="15"/>
  <c r="AK279" i="15"/>
  <c r="S279" i="15"/>
  <c r="Y279" i="15"/>
  <c r="AJ279" i="15"/>
  <c r="AI279" i="15"/>
  <c r="AH279" i="15"/>
  <c r="AG279" i="15"/>
  <c r="AA278" i="15"/>
  <c r="U278" i="15"/>
  <c r="AL278" i="15"/>
  <c r="Z278" i="15"/>
  <c r="T278" i="15"/>
  <c r="W278" i="15"/>
  <c r="AK278" i="15"/>
  <c r="S278" i="15"/>
  <c r="Y278" i="15"/>
  <c r="AJ278" i="15"/>
  <c r="AI278" i="15"/>
  <c r="AH278" i="15"/>
  <c r="AG278" i="15"/>
  <c r="AA277" i="15"/>
  <c r="U277" i="15"/>
  <c r="AL277" i="15"/>
  <c r="Z277" i="15"/>
  <c r="T277" i="15"/>
  <c r="W277" i="15"/>
  <c r="AK277" i="15"/>
  <c r="S277" i="15"/>
  <c r="Y277" i="15"/>
  <c r="AJ277" i="15"/>
  <c r="AI277" i="15"/>
  <c r="AH277" i="15"/>
  <c r="AG277" i="15"/>
  <c r="AA276" i="15"/>
  <c r="U276" i="15"/>
  <c r="AL276" i="15"/>
  <c r="Z276" i="15"/>
  <c r="T276" i="15"/>
  <c r="W276" i="15"/>
  <c r="AK276" i="15"/>
  <c r="S276" i="15"/>
  <c r="Y276" i="15"/>
  <c r="AJ276" i="15"/>
  <c r="AI276" i="15"/>
  <c r="AH276" i="15"/>
  <c r="AG276" i="15"/>
  <c r="AA275" i="15"/>
  <c r="U275" i="15"/>
  <c r="AL275" i="15"/>
  <c r="Z275" i="15"/>
  <c r="T275" i="15"/>
  <c r="W275" i="15"/>
  <c r="AK275" i="15"/>
  <c r="S275" i="15"/>
  <c r="Y275" i="15"/>
  <c r="AJ275" i="15"/>
  <c r="AI275" i="15"/>
  <c r="AH275" i="15"/>
  <c r="AG275" i="15"/>
  <c r="AA274" i="15"/>
  <c r="U274" i="15"/>
  <c r="AL274" i="15"/>
  <c r="Z274" i="15"/>
  <c r="T274" i="15"/>
  <c r="W274" i="15"/>
  <c r="AK274" i="15"/>
  <c r="S274" i="15"/>
  <c r="Y274" i="15"/>
  <c r="AJ274" i="15"/>
  <c r="AI274" i="15"/>
  <c r="AH274" i="15"/>
  <c r="AG274" i="15"/>
  <c r="AA273" i="15"/>
  <c r="U273" i="15"/>
  <c r="AL273" i="15"/>
  <c r="Z273" i="15"/>
  <c r="T273" i="15"/>
  <c r="W273" i="15"/>
  <c r="AK273" i="15"/>
  <c r="S273" i="15"/>
  <c r="Y273" i="15"/>
  <c r="AJ273" i="15"/>
  <c r="AI273" i="15"/>
  <c r="AH273" i="15"/>
  <c r="AG273" i="15"/>
  <c r="AA272" i="15"/>
  <c r="U272" i="15"/>
  <c r="AL272" i="15"/>
  <c r="Z272" i="15"/>
  <c r="T272" i="15"/>
  <c r="W272" i="15"/>
  <c r="AK272" i="15"/>
  <c r="S272" i="15"/>
  <c r="Y272" i="15"/>
  <c r="AJ272" i="15"/>
  <c r="AI272" i="15"/>
  <c r="AH272" i="15"/>
  <c r="AG272" i="15"/>
  <c r="AA271" i="15"/>
  <c r="U271" i="15"/>
  <c r="AL271" i="15"/>
  <c r="Z271" i="15"/>
  <c r="T271" i="15"/>
  <c r="W271" i="15"/>
  <c r="AK271" i="15"/>
  <c r="S271" i="15"/>
  <c r="Y271" i="15"/>
  <c r="AJ271" i="15"/>
  <c r="AI271" i="15"/>
  <c r="AH271" i="15"/>
  <c r="AG271" i="15"/>
  <c r="AA270" i="15"/>
  <c r="U270" i="15"/>
  <c r="AL270" i="15"/>
  <c r="Z270" i="15"/>
  <c r="T270" i="15"/>
  <c r="W270" i="15"/>
  <c r="AK270" i="15"/>
  <c r="S270" i="15"/>
  <c r="Y270" i="15"/>
  <c r="AJ270" i="15"/>
  <c r="AI270" i="15"/>
  <c r="AH270" i="15"/>
  <c r="AG270" i="15"/>
  <c r="AA269" i="15"/>
  <c r="U269" i="15"/>
  <c r="AL269" i="15"/>
  <c r="Z269" i="15"/>
  <c r="T269" i="15"/>
  <c r="W269" i="15"/>
  <c r="AK269" i="15"/>
  <c r="S269" i="15"/>
  <c r="Y269" i="15"/>
  <c r="AJ269" i="15"/>
  <c r="AI269" i="15"/>
  <c r="AH269" i="15"/>
  <c r="AG269" i="15"/>
  <c r="AA268" i="15"/>
  <c r="U268" i="15"/>
  <c r="AL268" i="15"/>
  <c r="Z268" i="15"/>
  <c r="T268" i="15"/>
  <c r="W268" i="15"/>
  <c r="AK268" i="15"/>
  <c r="S268" i="15"/>
  <c r="Y268" i="15"/>
  <c r="AJ268" i="15"/>
  <c r="AI268" i="15"/>
  <c r="AH268" i="15"/>
  <c r="AG268" i="15"/>
  <c r="AA267" i="15"/>
  <c r="U267" i="15"/>
  <c r="AL267" i="15"/>
  <c r="Z267" i="15"/>
  <c r="T267" i="15"/>
  <c r="W267" i="15"/>
  <c r="AK267" i="15"/>
  <c r="S267" i="15"/>
  <c r="Y267" i="15"/>
  <c r="AJ267" i="15"/>
  <c r="AI267" i="15"/>
  <c r="AH267" i="15"/>
  <c r="AG267" i="15"/>
  <c r="AA266" i="15"/>
  <c r="U266" i="15"/>
  <c r="AL266" i="15"/>
  <c r="Z266" i="15"/>
  <c r="T266" i="15"/>
  <c r="W266" i="15"/>
  <c r="AK266" i="15"/>
  <c r="S266" i="15"/>
  <c r="Y266" i="15"/>
  <c r="AJ266" i="15"/>
  <c r="AI266" i="15"/>
  <c r="AH266" i="15"/>
  <c r="AG266" i="15"/>
  <c r="AA265" i="15"/>
  <c r="U265" i="15"/>
  <c r="AL265" i="15"/>
  <c r="Z265" i="15"/>
  <c r="T265" i="15"/>
  <c r="W265" i="15"/>
  <c r="AK265" i="15"/>
  <c r="S265" i="15"/>
  <c r="Y265" i="15"/>
  <c r="AJ265" i="15"/>
  <c r="AI265" i="15"/>
  <c r="AH265" i="15"/>
  <c r="AG265" i="15"/>
  <c r="AA264" i="15"/>
  <c r="U264" i="15"/>
  <c r="AL264" i="15"/>
  <c r="Z264" i="15"/>
  <c r="T264" i="15"/>
  <c r="W264" i="15"/>
  <c r="AK264" i="15"/>
  <c r="S264" i="15"/>
  <c r="Y264" i="15"/>
  <c r="AJ264" i="15"/>
  <c r="AI264" i="15"/>
  <c r="AH264" i="15"/>
  <c r="AG264" i="15"/>
  <c r="AA263" i="15"/>
  <c r="U263" i="15"/>
  <c r="AL263" i="15"/>
  <c r="Z263" i="15"/>
  <c r="T263" i="15"/>
  <c r="W263" i="15"/>
  <c r="AK263" i="15"/>
  <c r="S263" i="15"/>
  <c r="Y263" i="15"/>
  <c r="AJ263" i="15"/>
  <c r="AI263" i="15"/>
  <c r="AH263" i="15"/>
  <c r="AG263" i="15"/>
  <c r="AA262" i="15"/>
  <c r="U262" i="15"/>
  <c r="AL262" i="15"/>
  <c r="Z262" i="15"/>
  <c r="T262" i="15"/>
  <c r="W262" i="15"/>
  <c r="AK262" i="15"/>
  <c r="S262" i="15"/>
  <c r="Y262" i="15"/>
  <c r="AJ262" i="15"/>
  <c r="AI262" i="15"/>
  <c r="AH262" i="15"/>
  <c r="AG262" i="15"/>
  <c r="AA261" i="15"/>
  <c r="U261" i="15"/>
  <c r="AL261" i="15"/>
  <c r="Z261" i="15"/>
  <c r="T261" i="15"/>
  <c r="W261" i="15"/>
  <c r="AK261" i="15"/>
  <c r="S261" i="15"/>
  <c r="Y261" i="15"/>
  <c r="AJ261" i="15"/>
  <c r="AI261" i="15"/>
  <c r="AH261" i="15"/>
  <c r="AG261" i="15"/>
  <c r="AA260" i="15"/>
  <c r="U260" i="15"/>
  <c r="AL260" i="15"/>
  <c r="Z260" i="15"/>
  <c r="T260" i="15"/>
  <c r="W260" i="15"/>
  <c r="AK260" i="15"/>
  <c r="S260" i="15"/>
  <c r="Y260" i="15"/>
  <c r="AJ260" i="15"/>
  <c r="AI260" i="15"/>
  <c r="AH260" i="15"/>
  <c r="AG260" i="15"/>
  <c r="AA259" i="15"/>
  <c r="U259" i="15"/>
  <c r="AL259" i="15"/>
  <c r="W259" i="15"/>
  <c r="AK259" i="15"/>
  <c r="AJ259" i="15"/>
  <c r="AI259" i="15"/>
  <c r="AH259" i="15"/>
  <c r="AG259" i="15"/>
  <c r="AA258" i="15"/>
  <c r="U258" i="15"/>
  <c r="AL258" i="15"/>
  <c r="Z258" i="15"/>
  <c r="T258" i="15"/>
  <c r="W258" i="15"/>
  <c r="AK258" i="15"/>
  <c r="S258" i="15"/>
  <c r="Y258" i="15"/>
  <c r="AJ258" i="15"/>
  <c r="AI258" i="15"/>
  <c r="AH258" i="15"/>
  <c r="AG258" i="15"/>
  <c r="AA257" i="15"/>
  <c r="U257" i="15"/>
  <c r="AL257" i="15"/>
  <c r="Z257" i="15"/>
  <c r="T257" i="15"/>
  <c r="W257" i="15"/>
  <c r="AK257" i="15"/>
  <c r="S257" i="15"/>
  <c r="Y257" i="15"/>
  <c r="AJ257" i="15"/>
  <c r="AI257" i="15"/>
  <c r="AH257" i="15"/>
  <c r="AG257" i="15"/>
  <c r="AA256" i="15"/>
  <c r="U256" i="15"/>
  <c r="AL256" i="15"/>
  <c r="Z256" i="15"/>
  <c r="T256" i="15"/>
  <c r="W256" i="15"/>
  <c r="AK256" i="15"/>
  <c r="S256" i="15"/>
  <c r="Y256" i="15"/>
  <c r="AJ256" i="15"/>
  <c r="AI256" i="15"/>
  <c r="AH256" i="15"/>
  <c r="AG256" i="15"/>
  <c r="AA255" i="15"/>
  <c r="U255" i="15"/>
  <c r="AL255" i="15"/>
  <c r="Z255" i="15"/>
  <c r="T255" i="15"/>
  <c r="W255" i="15"/>
  <c r="AK255" i="15"/>
  <c r="S255" i="15"/>
  <c r="Y255" i="15"/>
  <c r="AJ255" i="15"/>
  <c r="AI255" i="15"/>
  <c r="AH255" i="15"/>
  <c r="AG255" i="15"/>
  <c r="AA254" i="15"/>
  <c r="U254" i="15"/>
  <c r="AL254" i="15"/>
  <c r="Z254" i="15"/>
  <c r="T254" i="15"/>
  <c r="W254" i="15"/>
  <c r="AK254" i="15"/>
  <c r="S254" i="15"/>
  <c r="Y254" i="15"/>
  <c r="AJ254" i="15"/>
  <c r="AI254" i="15"/>
  <c r="AH254" i="15"/>
  <c r="AG254" i="15"/>
  <c r="AA253" i="15"/>
  <c r="U253" i="15"/>
  <c r="AL253" i="15"/>
  <c r="Z253" i="15"/>
  <c r="T253" i="15"/>
  <c r="W253" i="15"/>
  <c r="AK253" i="15"/>
  <c r="S253" i="15"/>
  <c r="Y253" i="15"/>
  <c r="AJ253" i="15"/>
  <c r="AI253" i="15"/>
  <c r="AH253" i="15"/>
  <c r="AG253" i="15"/>
  <c r="AA252" i="15"/>
  <c r="U252" i="15"/>
  <c r="AL252" i="15"/>
  <c r="Z252" i="15"/>
  <c r="T252" i="15"/>
  <c r="W252" i="15"/>
  <c r="AK252" i="15"/>
  <c r="S252" i="15"/>
  <c r="Y252" i="15"/>
  <c r="AJ252" i="15"/>
  <c r="AI252" i="15"/>
  <c r="AH252" i="15"/>
  <c r="AG252" i="15"/>
  <c r="AA251" i="15"/>
  <c r="U251" i="15"/>
  <c r="AL251" i="15"/>
  <c r="Z251" i="15"/>
  <c r="T251" i="15"/>
  <c r="W251" i="15"/>
  <c r="AK251" i="15"/>
  <c r="S251" i="15"/>
  <c r="Y251" i="15"/>
  <c r="AJ251" i="15"/>
  <c r="AI251" i="15"/>
  <c r="AH251" i="15"/>
  <c r="AG251" i="15"/>
  <c r="AA250" i="15"/>
  <c r="U250" i="15"/>
  <c r="AL250" i="15"/>
  <c r="Z250" i="15"/>
  <c r="T250" i="15"/>
  <c r="W250" i="15"/>
  <c r="AK250" i="15"/>
  <c r="S250" i="15"/>
  <c r="Y250" i="15"/>
  <c r="AJ250" i="15"/>
  <c r="AI250" i="15"/>
  <c r="AH250" i="15"/>
  <c r="AG250" i="15"/>
  <c r="AA249" i="15"/>
  <c r="U249" i="15"/>
  <c r="AL249" i="15"/>
  <c r="Z249" i="15"/>
  <c r="T249" i="15"/>
  <c r="W249" i="15"/>
  <c r="AK249" i="15"/>
  <c r="S249" i="15"/>
  <c r="Y249" i="15"/>
  <c r="AJ249" i="15"/>
  <c r="AI249" i="15"/>
  <c r="AH249" i="15"/>
  <c r="AG249" i="15"/>
  <c r="AA248" i="15"/>
  <c r="U248" i="15"/>
  <c r="AL248" i="15"/>
  <c r="Z248" i="15"/>
  <c r="T248" i="15"/>
  <c r="W248" i="15"/>
  <c r="AK248" i="15"/>
  <c r="S248" i="15"/>
  <c r="Y248" i="15"/>
  <c r="AJ248" i="15"/>
  <c r="AI248" i="15"/>
  <c r="AH248" i="15"/>
  <c r="AG248" i="15"/>
  <c r="AA247" i="15"/>
  <c r="U247" i="15"/>
  <c r="AL247" i="15"/>
  <c r="Z247" i="15"/>
  <c r="T247" i="15"/>
  <c r="W247" i="15"/>
  <c r="AK247" i="15"/>
  <c r="S247" i="15"/>
  <c r="Y247" i="15"/>
  <c r="AJ247" i="15"/>
  <c r="AI247" i="15"/>
  <c r="AH247" i="15"/>
  <c r="AG247" i="15"/>
  <c r="AA246" i="15"/>
  <c r="U246" i="15"/>
  <c r="AL246" i="15"/>
  <c r="Z246" i="15"/>
  <c r="T246" i="15"/>
  <c r="W246" i="15"/>
  <c r="AK246" i="15"/>
  <c r="S246" i="15"/>
  <c r="Y246" i="15"/>
  <c r="AJ246" i="15"/>
  <c r="AI246" i="15"/>
  <c r="AH246" i="15"/>
  <c r="AG246" i="15"/>
  <c r="AA245" i="15"/>
  <c r="U245" i="15"/>
  <c r="AL245" i="15"/>
  <c r="Z245" i="15"/>
  <c r="T245" i="15"/>
  <c r="W245" i="15"/>
  <c r="AK245" i="15"/>
  <c r="S245" i="15"/>
  <c r="Y245" i="15"/>
  <c r="AJ245" i="15"/>
  <c r="AI245" i="15"/>
  <c r="AH245" i="15"/>
  <c r="AG245" i="15"/>
  <c r="AA244" i="15"/>
  <c r="U244" i="15"/>
  <c r="AL244" i="15"/>
  <c r="Z244" i="15"/>
  <c r="T244" i="15"/>
  <c r="W244" i="15"/>
  <c r="AK244" i="15"/>
  <c r="S244" i="15"/>
  <c r="Y244" i="15"/>
  <c r="AJ244" i="15"/>
  <c r="AI244" i="15"/>
  <c r="AH244" i="15"/>
  <c r="AG244" i="15"/>
  <c r="AA243" i="15"/>
  <c r="U243" i="15"/>
  <c r="AL243" i="15"/>
  <c r="Z243" i="15"/>
  <c r="T243" i="15"/>
  <c r="W243" i="15"/>
  <c r="AK243" i="15"/>
  <c r="S243" i="15"/>
  <c r="Y243" i="15"/>
  <c r="AJ243" i="15"/>
  <c r="AI243" i="15"/>
  <c r="AH243" i="15"/>
  <c r="AG243" i="15"/>
  <c r="AA242" i="15"/>
  <c r="U242" i="15"/>
  <c r="AL242" i="15"/>
  <c r="Z242" i="15"/>
  <c r="T242" i="15"/>
  <c r="W242" i="15"/>
  <c r="AK242" i="15"/>
  <c r="S242" i="15"/>
  <c r="Y242" i="15"/>
  <c r="AJ242" i="15"/>
  <c r="AI242" i="15"/>
  <c r="AH242" i="15"/>
  <c r="AG242" i="15"/>
  <c r="AA241" i="15"/>
  <c r="U241" i="15"/>
  <c r="AL241" i="15"/>
  <c r="Z241" i="15"/>
  <c r="T241" i="15"/>
  <c r="W241" i="15"/>
  <c r="AK241" i="15"/>
  <c r="S241" i="15"/>
  <c r="Y241" i="15"/>
  <c r="AJ241" i="15"/>
  <c r="AI241" i="15"/>
  <c r="AH241" i="15"/>
  <c r="AG241" i="15"/>
  <c r="AA240" i="15"/>
  <c r="U240" i="15"/>
  <c r="AL240" i="15"/>
  <c r="Z240" i="15"/>
  <c r="T240" i="15"/>
  <c r="W240" i="15"/>
  <c r="AK240" i="15"/>
  <c r="S240" i="15"/>
  <c r="Y240" i="15"/>
  <c r="AJ240" i="15"/>
  <c r="AI240" i="15"/>
  <c r="AH240" i="15"/>
  <c r="AG240" i="15"/>
  <c r="AA239" i="15"/>
  <c r="U239" i="15"/>
  <c r="AL239" i="15"/>
  <c r="Z239" i="15"/>
  <c r="T239" i="15"/>
  <c r="W239" i="15"/>
  <c r="AK239" i="15"/>
  <c r="S239" i="15"/>
  <c r="Y239" i="15"/>
  <c r="AJ239" i="15"/>
  <c r="AI239" i="15"/>
  <c r="AH239" i="15"/>
  <c r="AG239" i="15"/>
  <c r="AA238" i="15"/>
  <c r="U238" i="15"/>
  <c r="AL238" i="15"/>
  <c r="Z238" i="15"/>
  <c r="T238" i="15"/>
  <c r="W238" i="15"/>
  <c r="AK238" i="15"/>
  <c r="Y238" i="15"/>
  <c r="AJ238" i="15"/>
  <c r="AI238" i="15"/>
  <c r="AH238" i="15"/>
  <c r="AG238" i="15"/>
  <c r="AA237" i="15"/>
  <c r="U237" i="15"/>
  <c r="AL237" i="15"/>
  <c r="Z237" i="15"/>
  <c r="T237" i="15"/>
  <c r="W237" i="15"/>
  <c r="AK237" i="15"/>
  <c r="S237" i="15"/>
  <c r="Y237" i="15"/>
  <c r="AJ237" i="15"/>
  <c r="AI237" i="15"/>
  <c r="AH237" i="15"/>
  <c r="AG237" i="15"/>
  <c r="AA236" i="15"/>
  <c r="U236" i="15"/>
  <c r="AL236" i="15"/>
  <c r="Z236" i="15"/>
  <c r="T236" i="15"/>
  <c r="W236" i="15"/>
  <c r="AK236" i="15"/>
  <c r="S236" i="15"/>
  <c r="Y236" i="15"/>
  <c r="AJ236" i="15"/>
  <c r="AI236" i="15"/>
  <c r="AH236" i="15"/>
  <c r="AG236" i="15"/>
  <c r="AA235" i="15"/>
  <c r="U235" i="15"/>
  <c r="AL235" i="15"/>
  <c r="Z235" i="15"/>
  <c r="T235" i="15"/>
  <c r="W235" i="15"/>
  <c r="AK235" i="15"/>
  <c r="S235" i="15"/>
  <c r="Y235" i="15"/>
  <c r="AJ235" i="15"/>
  <c r="AI235" i="15"/>
  <c r="AH235" i="15"/>
  <c r="AG235" i="15"/>
  <c r="AA234" i="15"/>
  <c r="U234" i="15"/>
  <c r="AL234" i="15"/>
  <c r="Z234" i="15"/>
  <c r="T234" i="15"/>
  <c r="W234" i="15"/>
  <c r="AK234" i="15"/>
  <c r="S234" i="15"/>
  <c r="Y234" i="15"/>
  <c r="AJ234" i="15"/>
  <c r="AI234" i="15"/>
  <c r="AH234" i="15"/>
  <c r="AG234" i="15"/>
  <c r="AA233" i="15"/>
  <c r="U233" i="15"/>
  <c r="AL233" i="15"/>
  <c r="Z233" i="15"/>
  <c r="T233" i="15"/>
  <c r="W233" i="15"/>
  <c r="AK233" i="15"/>
  <c r="S233" i="15"/>
  <c r="Y233" i="15"/>
  <c r="AJ233" i="15"/>
  <c r="AI233" i="15"/>
  <c r="AH233" i="15"/>
  <c r="AG233" i="15"/>
  <c r="AA232" i="15"/>
  <c r="U232" i="15"/>
  <c r="AL232" i="15"/>
  <c r="Z232" i="15"/>
  <c r="T232" i="15"/>
  <c r="W232" i="15"/>
  <c r="AK232" i="15"/>
  <c r="S232" i="15"/>
  <c r="Y232" i="15"/>
  <c r="AJ232" i="15"/>
  <c r="AI232" i="15"/>
  <c r="AH232" i="15"/>
  <c r="AG232" i="15"/>
  <c r="AA231" i="15"/>
  <c r="U231" i="15"/>
  <c r="AL231" i="15"/>
  <c r="Z231" i="15"/>
  <c r="T231" i="15"/>
  <c r="W231" i="15"/>
  <c r="AK231" i="15"/>
  <c r="S231" i="15"/>
  <c r="Y231" i="15"/>
  <c r="AJ231" i="15"/>
  <c r="AI231" i="15"/>
  <c r="AH231" i="15"/>
  <c r="AG231" i="15"/>
  <c r="AA230" i="15"/>
  <c r="U230" i="15"/>
  <c r="AL230" i="15"/>
  <c r="Z230" i="15"/>
  <c r="T230" i="15"/>
  <c r="W230" i="15"/>
  <c r="AK230" i="15"/>
  <c r="S230" i="15"/>
  <c r="Y230" i="15"/>
  <c r="AJ230" i="15"/>
  <c r="AI230" i="15"/>
  <c r="AH230" i="15"/>
  <c r="AG230" i="15"/>
  <c r="AA229" i="15"/>
  <c r="U229" i="15"/>
  <c r="AL229" i="15"/>
  <c r="Z229" i="15"/>
  <c r="T229" i="15"/>
  <c r="W229" i="15"/>
  <c r="AK229" i="15"/>
  <c r="S229" i="15"/>
  <c r="Y229" i="15"/>
  <c r="AJ229" i="15"/>
  <c r="AI229" i="15"/>
  <c r="AH229" i="15"/>
  <c r="AG229" i="15"/>
  <c r="AA228" i="15"/>
  <c r="U228" i="15"/>
  <c r="AL228" i="15"/>
  <c r="Z228" i="15"/>
  <c r="T228" i="15"/>
  <c r="W228" i="15"/>
  <c r="AK228" i="15"/>
  <c r="S228" i="15"/>
  <c r="Y228" i="15"/>
  <c r="AJ228" i="15"/>
  <c r="AI228" i="15"/>
  <c r="AH228" i="15"/>
  <c r="AG228" i="15"/>
  <c r="AA227" i="15"/>
  <c r="U227" i="15"/>
  <c r="AL227" i="15"/>
  <c r="Z227" i="15"/>
  <c r="T227" i="15"/>
  <c r="W227" i="15"/>
  <c r="AK227" i="15"/>
  <c r="S227" i="15"/>
  <c r="Y227" i="15"/>
  <c r="AJ227" i="15"/>
  <c r="AI227" i="15"/>
  <c r="AH227" i="15"/>
  <c r="AG227" i="15"/>
  <c r="AA226" i="15"/>
  <c r="U226" i="15"/>
  <c r="AL226" i="15"/>
  <c r="Z226" i="15"/>
  <c r="T226" i="15"/>
  <c r="W226" i="15"/>
  <c r="AK226" i="15"/>
  <c r="S226" i="15"/>
  <c r="Y226" i="15"/>
  <c r="AJ226" i="15"/>
  <c r="AI226" i="15"/>
  <c r="AH226" i="15"/>
  <c r="AG226" i="15"/>
  <c r="AA225" i="15"/>
  <c r="U225" i="15"/>
  <c r="AL225" i="15"/>
  <c r="Z225" i="15"/>
  <c r="T225" i="15"/>
  <c r="W225" i="15"/>
  <c r="AK225" i="15"/>
  <c r="S225" i="15"/>
  <c r="Y225" i="15"/>
  <c r="AJ225" i="15"/>
  <c r="AI225" i="15"/>
  <c r="AH225" i="15"/>
  <c r="AG225" i="15"/>
  <c r="AA224" i="15"/>
  <c r="U224" i="15"/>
  <c r="AL224" i="15"/>
  <c r="Z224" i="15"/>
  <c r="T224" i="15"/>
  <c r="W224" i="15"/>
  <c r="AK224" i="15"/>
  <c r="S224" i="15"/>
  <c r="Y224" i="15"/>
  <c r="AJ224" i="15"/>
  <c r="AI224" i="15"/>
  <c r="AH224" i="15"/>
  <c r="AG224" i="15"/>
  <c r="AA223" i="15"/>
  <c r="U223" i="15"/>
  <c r="AL223" i="15"/>
  <c r="Z223" i="15"/>
  <c r="T223" i="15"/>
  <c r="W223" i="15"/>
  <c r="AK223" i="15"/>
  <c r="S223" i="15"/>
  <c r="Y223" i="15"/>
  <c r="AJ223" i="15"/>
  <c r="AI223" i="15"/>
  <c r="AH223" i="15"/>
  <c r="AG223" i="15"/>
  <c r="AA222" i="15"/>
  <c r="U222" i="15"/>
  <c r="AL222" i="15"/>
  <c r="Z222" i="15"/>
  <c r="T222" i="15"/>
  <c r="W222" i="15"/>
  <c r="AK222" i="15"/>
  <c r="S222" i="15"/>
  <c r="Y222" i="15"/>
  <c r="AJ222" i="15"/>
  <c r="AI222" i="15"/>
  <c r="AH222" i="15"/>
  <c r="AG222" i="15"/>
  <c r="AA221" i="15"/>
  <c r="U221" i="15"/>
  <c r="AL221" i="15"/>
  <c r="W221" i="15"/>
  <c r="AK221" i="15"/>
  <c r="AJ221" i="15"/>
  <c r="AI221" i="15"/>
  <c r="AH221" i="15"/>
  <c r="AG221" i="15"/>
  <c r="AA220" i="15"/>
  <c r="U220" i="15"/>
  <c r="AL220" i="15"/>
  <c r="Z220" i="15"/>
  <c r="T220" i="15"/>
  <c r="W220" i="15"/>
  <c r="AK220" i="15"/>
  <c r="S220" i="15"/>
  <c r="Y220" i="15"/>
  <c r="AJ220" i="15"/>
  <c r="AI220" i="15"/>
  <c r="AH220" i="15"/>
  <c r="AG220" i="15"/>
  <c r="AA219" i="15"/>
  <c r="U219" i="15"/>
  <c r="AL219" i="15"/>
  <c r="Z219" i="15"/>
  <c r="T219" i="15"/>
  <c r="W219" i="15"/>
  <c r="AK219" i="15"/>
  <c r="S219" i="15"/>
  <c r="Y219" i="15"/>
  <c r="AJ219" i="15"/>
  <c r="AI219" i="15"/>
  <c r="AH219" i="15"/>
  <c r="AG219" i="15"/>
  <c r="AA218" i="15"/>
  <c r="U218" i="15"/>
  <c r="AL218" i="15"/>
  <c r="Z218" i="15"/>
  <c r="T218" i="15"/>
  <c r="W218" i="15"/>
  <c r="AK218" i="15"/>
  <c r="S218" i="15"/>
  <c r="Y218" i="15"/>
  <c r="AJ218" i="15"/>
  <c r="AI218" i="15"/>
  <c r="AH218" i="15"/>
  <c r="AG218" i="15"/>
  <c r="AA217" i="15"/>
  <c r="U217" i="15"/>
  <c r="AL217" i="15"/>
  <c r="Z217" i="15"/>
  <c r="T217" i="15"/>
  <c r="W217" i="15"/>
  <c r="AK217" i="15"/>
  <c r="S217" i="15"/>
  <c r="Y217" i="15"/>
  <c r="AJ217" i="15"/>
  <c r="AI217" i="15"/>
  <c r="AH217" i="15"/>
  <c r="AG217" i="15"/>
  <c r="AA216" i="15"/>
  <c r="U216" i="15"/>
  <c r="AL216" i="15"/>
  <c r="Z216" i="15"/>
  <c r="T216" i="15"/>
  <c r="W216" i="15"/>
  <c r="AK216" i="15"/>
  <c r="S216" i="15"/>
  <c r="Y216" i="15"/>
  <c r="AJ216" i="15"/>
  <c r="AI216" i="15"/>
  <c r="AH216" i="15"/>
  <c r="AG216" i="15"/>
  <c r="AA215" i="15"/>
  <c r="U215" i="15"/>
  <c r="AL215" i="15"/>
  <c r="Z215" i="15"/>
  <c r="T215" i="15"/>
  <c r="W215" i="15"/>
  <c r="AK215" i="15"/>
  <c r="S215" i="15"/>
  <c r="Y215" i="15"/>
  <c r="AJ215" i="15"/>
  <c r="AI215" i="15"/>
  <c r="AH215" i="15"/>
  <c r="AG215" i="15"/>
  <c r="AA214" i="15"/>
  <c r="U214" i="15"/>
  <c r="AL214" i="15"/>
  <c r="Z214" i="15"/>
  <c r="T214" i="15"/>
  <c r="W214" i="15"/>
  <c r="AK214" i="15"/>
  <c r="S214" i="15"/>
  <c r="Y214" i="15"/>
  <c r="AJ214" i="15"/>
  <c r="AI214" i="15"/>
  <c r="AH214" i="15"/>
  <c r="AG214" i="15"/>
  <c r="AA213" i="15"/>
  <c r="U213" i="15"/>
  <c r="AL213" i="15"/>
  <c r="Z213" i="15"/>
  <c r="T213" i="15"/>
  <c r="W213" i="15"/>
  <c r="AK213" i="15"/>
  <c r="S213" i="15"/>
  <c r="Y213" i="15"/>
  <c r="AJ213" i="15"/>
  <c r="AI213" i="15"/>
  <c r="AH213" i="15"/>
  <c r="AG213" i="15"/>
  <c r="AA212" i="15"/>
  <c r="U212" i="15"/>
  <c r="AL212" i="15"/>
  <c r="Z212" i="15"/>
  <c r="T212" i="15"/>
  <c r="W212" i="15"/>
  <c r="AK212" i="15"/>
  <c r="S212" i="15"/>
  <c r="Y212" i="15"/>
  <c r="AJ212" i="15"/>
  <c r="AI212" i="15"/>
  <c r="AH212" i="15"/>
  <c r="AG212" i="15"/>
  <c r="AA211" i="15"/>
  <c r="U211" i="15"/>
  <c r="AL211" i="15"/>
  <c r="Z211" i="15"/>
  <c r="T211" i="15"/>
  <c r="W211" i="15"/>
  <c r="AK211" i="15"/>
  <c r="S211" i="15"/>
  <c r="Y211" i="15"/>
  <c r="AJ211" i="15"/>
  <c r="AI211" i="15"/>
  <c r="AH211" i="15"/>
  <c r="AG211" i="15"/>
  <c r="AA210" i="15"/>
  <c r="U210" i="15"/>
  <c r="AL210" i="15"/>
  <c r="Z210" i="15"/>
  <c r="T210" i="15"/>
  <c r="W210" i="15"/>
  <c r="AK210" i="15"/>
  <c r="S210" i="15"/>
  <c r="Y210" i="15"/>
  <c r="AJ210" i="15"/>
  <c r="AI210" i="15"/>
  <c r="AH210" i="15"/>
  <c r="AG210" i="15"/>
  <c r="AA209" i="15"/>
  <c r="U209" i="15"/>
  <c r="AL209" i="15"/>
  <c r="Z209" i="15"/>
  <c r="T209" i="15"/>
  <c r="W209" i="15"/>
  <c r="AK209" i="15"/>
  <c r="S209" i="15"/>
  <c r="Y209" i="15"/>
  <c r="AJ209" i="15"/>
  <c r="AI209" i="15"/>
  <c r="AH209" i="15"/>
  <c r="AG209" i="15"/>
  <c r="AA208" i="15"/>
  <c r="U208" i="15"/>
  <c r="AL208" i="15"/>
  <c r="W208" i="15"/>
  <c r="AK208" i="15"/>
  <c r="AJ208" i="15"/>
  <c r="AI208" i="15"/>
  <c r="AH208" i="15"/>
  <c r="AG208" i="15"/>
  <c r="AA207" i="15"/>
  <c r="U207" i="15"/>
  <c r="AL207" i="15"/>
  <c r="Z207" i="15"/>
  <c r="T207" i="15"/>
  <c r="W207" i="15"/>
  <c r="AK207" i="15"/>
  <c r="S207" i="15"/>
  <c r="Y207" i="15"/>
  <c r="AJ207" i="15"/>
  <c r="AI207" i="15"/>
  <c r="AH207" i="15"/>
  <c r="AG207" i="15"/>
  <c r="AA206" i="15"/>
  <c r="U206" i="15"/>
  <c r="AL206" i="15"/>
  <c r="Z206" i="15"/>
  <c r="T206" i="15"/>
  <c r="W206" i="15"/>
  <c r="AK206" i="15"/>
  <c r="S206" i="15"/>
  <c r="Y206" i="15"/>
  <c r="AJ206" i="15"/>
  <c r="AI206" i="15"/>
  <c r="AH206" i="15"/>
  <c r="AG206" i="15"/>
  <c r="AA205" i="15"/>
  <c r="U205" i="15"/>
  <c r="AL205" i="15"/>
  <c r="Z205" i="15"/>
  <c r="T205" i="15"/>
  <c r="W205" i="15"/>
  <c r="AK205" i="15"/>
  <c r="S205" i="15"/>
  <c r="Y205" i="15"/>
  <c r="AJ205" i="15"/>
  <c r="AI205" i="15"/>
  <c r="AH205" i="15"/>
  <c r="AG205" i="15"/>
  <c r="AA204" i="15"/>
  <c r="U204" i="15"/>
  <c r="AL204" i="15"/>
  <c r="Z204" i="15"/>
  <c r="T204" i="15"/>
  <c r="W204" i="15"/>
  <c r="AK204" i="15"/>
  <c r="S204" i="15"/>
  <c r="Y204" i="15"/>
  <c r="AJ204" i="15"/>
  <c r="AI204" i="15"/>
  <c r="AH204" i="15"/>
  <c r="AG204" i="15"/>
  <c r="AA203" i="15"/>
  <c r="U203" i="15"/>
  <c r="AL203" i="15"/>
  <c r="Z203" i="15"/>
  <c r="T203" i="15"/>
  <c r="W203" i="15"/>
  <c r="AK203" i="15"/>
  <c r="S203" i="15"/>
  <c r="Y203" i="15"/>
  <c r="AJ203" i="15"/>
  <c r="AI203" i="15"/>
  <c r="AH203" i="15"/>
  <c r="AG203" i="15"/>
  <c r="AA202" i="15"/>
  <c r="U202" i="15"/>
  <c r="AL202" i="15"/>
  <c r="Z202" i="15"/>
  <c r="T202" i="15"/>
  <c r="W202" i="15"/>
  <c r="AK202" i="15"/>
  <c r="S202" i="15"/>
  <c r="Y202" i="15"/>
  <c r="AJ202" i="15"/>
  <c r="AI202" i="15"/>
  <c r="AH202" i="15"/>
  <c r="AG202" i="15"/>
  <c r="AA201" i="15"/>
  <c r="U201" i="15"/>
  <c r="AL201" i="15"/>
  <c r="W201" i="15"/>
  <c r="AK201" i="15"/>
  <c r="AJ201" i="15"/>
  <c r="AI201" i="15"/>
  <c r="AH201" i="15"/>
  <c r="AG201" i="15"/>
  <c r="AA200" i="15"/>
  <c r="U200" i="15"/>
  <c r="AL200" i="15"/>
  <c r="Z200" i="15"/>
  <c r="T200" i="15"/>
  <c r="W200" i="15"/>
  <c r="AK200" i="15"/>
  <c r="S200" i="15"/>
  <c r="Y200" i="15"/>
  <c r="AJ200" i="15"/>
  <c r="AI200" i="15"/>
  <c r="AH200" i="15"/>
  <c r="AG200" i="15"/>
  <c r="AA199" i="15"/>
  <c r="U199" i="15"/>
  <c r="AL199" i="15"/>
  <c r="Z199" i="15"/>
  <c r="T199" i="15"/>
  <c r="W199" i="15"/>
  <c r="AK199" i="15"/>
  <c r="S199" i="15"/>
  <c r="Y199" i="15"/>
  <c r="AJ199" i="15"/>
  <c r="AI199" i="15"/>
  <c r="AH199" i="15"/>
  <c r="AG199" i="15"/>
  <c r="AA198" i="15"/>
  <c r="U198" i="15"/>
  <c r="AL198" i="15"/>
  <c r="Z198" i="15"/>
  <c r="T198" i="15"/>
  <c r="W198" i="15"/>
  <c r="AK198" i="15"/>
  <c r="S198" i="15"/>
  <c r="Y198" i="15"/>
  <c r="AJ198" i="15"/>
  <c r="AI198" i="15"/>
  <c r="AH198" i="15"/>
  <c r="AG198" i="15"/>
  <c r="AA197" i="15"/>
  <c r="U197" i="15"/>
  <c r="AL197" i="15"/>
  <c r="Z197" i="15"/>
  <c r="T197" i="15"/>
  <c r="W197" i="15"/>
  <c r="AK197" i="15"/>
  <c r="S197" i="15"/>
  <c r="Y197" i="15"/>
  <c r="AJ197" i="15"/>
  <c r="AI197" i="15"/>
  <c r="AH197" i="15"/>
  <c r="AG197" i="15"/>
  <c r="AA196" i="15"/>
  <c r="U196" i="15"/>
  <c r="AL196" i="15"/>
  <c r="Z196" i="15"/>
  <c r="T196" i="15"/>
  <c r="W196" i="15"/>
  <c r="AK196" i="15"/>
  <c r="S196" i="15"/>
  <c r="Y196" i="15"/>
  <c r="AJ196" i="15"/>
  <c r="AI196" i="15"/>
  <c r="AH196" i="15"/>
  <c r="AG196" i="15"/>
  <c r="AA195" i="15"/>
  <c r="U195" i="15"/>
  <c r="AL195" i="15"/>
  <c r="Z195" i="15"/>
  <c r="T195" i="15"/>
  <c r="W195" i="15"/>
  <c r="AK195" i="15"/>
  <c r="S195" i="15"/>
  <c r="Y195" i="15"/>
  <c r="AJ195" i="15"/>
  <c r="AI195" i="15"/>
  <c r="AH195" i="15"/>
  <c r="AG195" i="15"/>
  <c r="AA194" i="15"/>
  <c r="U194" i="15"/>
  <c r="AL194" i="15"/>
  <c r="Z194" i="15"/>
  <c r="T194" i="15"/>
  <c r="W194" i="15"/>
  <c r="AK194" i="15"/>
  <c r="S194" i="15"/>
  <c r="Y194" i="15"/>
  <c r="AJ194" i="15"/>
  <c r="AI194" i="15"/>
  <c r="AH194" i="15"/>
  <c r="AG194" i="15"/>
  <c r="AA193" i="15"/>
  <c r="U193" i="15"/>
  <c r="AL193" i="15"/>
  <c r="Z193" i="15"/>
  <c r="T193" i="15"/>
  <c r="W193" i="15"/>
  <c r="AK193" i="15"/>
  <c r="S193" i="15"/>
  <c r="Y193" i="15"/>
  <c r="AJ193" i="15"/>
  <c r="AI193" i="15"/>
  <c r="AH193" i="15"/>
  <c r="AG193" i="15"/>
  <c r="AA192" i="15"/>
  <c r="U192" i="15"/>
  <c r="AL192" i="15"/>
  <c r="Z192" i="15"/>
  <c r="T192" i="15"/>
  <c r="W192" i="15"/>
  <c r="AK192" i="15"/>
  <c r="S192" i="15"/>
  <c r="Y192" i="15"/>
  <c r="AJ192" i="15"/>
  <c r="AI192" i="15"/>
  <c r="AH192" i="15"/>
  <c r="AG192" i="15"/>
  <c r="AA191" i="15"/>
  <c r="U191" i="15"/>
  <c r="AL191" i="15"/>
  <c r="Z191" i="15"/>
  <c r="T191" i="15"/>
  <c r="W191" i="15"/>
  <c r="AK191" i="15"/>
  <c r="S191" i="15"/>
  <c r="Y191" i="15"/>
  <c r="AJ191" i="15"/>
  <c r="AI191" i="15"/>
  <c r="AH191" i="15"/>
  <c r="AG191" i="15"/>
  <c r="AA190" i="15"/>
  <c r="U190" i="15"/>
  <c r="AL190" i="15"/>
  <c r="Z190" i="15"/>
  <c r="T190" i="15"/>
  <c r="W190" i="15"/>
  <c r="AK190" i="15"/>
  <c r="S190" i="15"/>
  <c r="Y190" i="15"/>
  <c r="AJ190" i="15"/>
  <c r="AI190" i="15"/>
  <c r="AH190" i="15"/>
  <c r="AG190" i="15"/>
  <c r="AA189" i="15"/>
  <c r="U189" i="15"/>
  <c r="AL189" i="15"/>
  <c r="Z189" i="15"/>
  <c r="T189" i="15"/>
  <c r="W189" i="15"/>
  <c r="AK189" i="15"/>
  <c r="S189" i="15"/>
  <c r="Y189" i="15"/>
  <c r="AJ189" i="15"/>
  <c r="AI189" i="15"/>
  <c r="AH189" i="15"/>
  <c r="AG189" i="15"/>
  <c r="AA188" i="15"/>
  <c r="U188" i="15"/>
  <c r="AL188" i="15"/>
  <c r="Z188" i="15"/>
  <c r="T188" i="15"/>
  <c r="W188" i="15"/>
  <c r="AK188" i="15"/>
  <c r="S188" i="15"/>
  <c r="Y188" i="15"/>
  <c r="AJ188" i="15"/>
  <c r="AI188" i="15"/>
  <c r="AH188" i="15"/>
  <c r="AG188" i="15"/>
  <c r="AA187" i="15"/>
  <c r="U187" i="15"/>
  <c r="AL187" i="15"/>
  <c r="Z187" i="15"/>
  <c r="T187" i="15"/>
  <c r="W187" i="15"/>
  <c r="AK187" i="15"/>
  <c r="S187" i="15"/>
  <c r="Y187" i="15"/>
  <c r="AJ187" i="15"/>
  <c r="AI187" i="15"/>
  <c r="AH187" i="15"/>
  <c r="AG187" i="15"/>
  <c r="AA186" i="15"/>
  <c r="U186" i="15"/>
  <c r="AL186" i="15"/>
  <c r="Z186" i="15"/>
  <c r="T186" i="15"/>
  <c r="W186" i="15"/>
  <c r="AK186" i="15"/>
  <c r="S186" i="15"/>
  <c r="Y186" i="15"/>
  <c r="AJ186" i="15"/>
  <c r="AI186" i="15"/>
  <c r="AH186" i="15"/>
  <c r="AG186" i="15"/>
  <c r="AA185" i="15"/>
  <c r="U185" i="15"/>
  <c r="AL185" i="15"/>
  <c r="Z185" i="15"/>
  <c r="T185" i="15"/>
  <c r="W185" i="15"/>
  <c r="AK185" i="15"/>
  <c r="S185" i="15"/>
  <c r="Y185" i="15"/>
  <c r="AJ185" i="15"/>
  <c r="AI185" i="15"/>
  <c r="AH185" i="15"/>
  <c r="AG185" i="15"/>
  <c r="AA184" i="15"/>
  <c r="U184" i="15"/>
  <c r="AL184" i="15"/>
  <c r="Z184" i="15"/>
  <c r="T184" i="15"/>
  <c r="W184" i="15"/>
  <c r="AK184" i="15"/>
  <c r="S184" i="15"/>
  <c r="Y184" i="15"/>
  <c r="AJ184" i="15"/>
  <c r="AI184" i="15"/>
  <c r="AH184" i="15"/>
  <c r="AG184" i="15"/>
  <c r="AA183" i="15"/>
  <c r="U183" i="15"/>
  <c r="AL183" i="15"/>
  <c r="Z183" i="15"/>
  <c r="T183" i="15"/>
  <c r="W183" i="15"/>
  <c r="AK183" i="15"/>
  <c r="S183" i="15"/>
  <c r="Y183" i="15"/>
  <c r="AJ183" i="15"/>
  <c r="AI183" i="15"/>
  <c r="AH183" i="15"/>
  <c r="AG183" i="15"/>
  <c r="AA182" i="15"/>
  <c r="U182" i="15"/>
  <c r="AL182" i="15"/>
  <c r="Z182" i="15"/>
  <c r="T182" i="15"/>
  <c r="W182" i="15"/>
  <c r="AK182" i="15"/>
  <c r="S182" i="15"/>
  <c r="Y182" i="15"/>
  <c r="AJ182" i="15"/>
  <c r="AI182" i="15"/>
  <c r="AH182" i="15"/>
  <c r="AG182" i="15"/>
  <c r="AA181" i="15"/>
  <c r="U181" i="15"/>
  <c r="AL181" i="15"/>
  <c r="Z181" i="15"/>
  <c r="T181" i="15"/>
  <c r="W181" i="15"/>
  <c r="AK181" i="15"/>
  <c r="S181" i="15"/>
  <c r="Y181" i="15"/>
  <c r="AJ181" i="15"/>
  <c r="AI181" i="15"/>
  <c r="AH181" i="15"/>
  <c r="AG181" i="15"/>
  <c r="AA180" i="15"/>
  <c r="U180" i="15"/>
  <c r="AL180" i="15"/>
  <c r="Z180" i="15"/>
  <c r="T180" i="15"/>
  <c r="W180" i="15"/>
  <c r="AK180" i="15"/>
  <c r="S180" i="15"/>
  <c r="Y180" i="15"/>
  <c r="AJ180" i="15"/>
  <c r="AI180" i="15"/>
  <c r="AH180" i="15"/>
  <c r="AG180" i="15"/>
  <c r="AA179" i="15"/>
  <c r="U179" i="15"/>
  <c r="AL179" i="15"/>
  <c r="Z179" i="15"/>
  <c r="T179" i="15"/>
  <c r="W179" i="15"/>
  <c r="AK179" i="15"/>
  <c r="S179" i="15"/>
  <c r="Y179" i="15"/>
  <c r="AJ179" i="15"/>
  <c r="AI179" i="15"/>
  <c r="AH179" i="15"/>
  <c r="AG179" i="15"/>
  <c r="AA178" i="15"/>
  <c r="U178" i="15"/>
  <c r="AL178" i="15"/>
  <c r="Z178" i="15"/>
  <c r="T178" i="15"/>
  <c r="W178" i="15"/>
  <c r="AK178" i="15"/>
  <c r="S178" i="15"/>
  <c r="Y178" i="15"/>
  <c r="AJ178" i="15"/>
  <c r="AI178" i="15"/>
  <c r="AH178" i="15"/>
  <c r="AG178" i="15"/>
  <c r="AA177" i="15"/>
  <c r="U177" i="15"/>
  <c r="AL177" i="15"/>
  <c r="Z177" i="15"/>
  <c r="T177" i="15"/>
  <c r="W177" i="15"/>
  <c r="AK177" i="15"/>
  <c r="S177" i="15"/>
  <c r="Y177" i="15"/>
  <c r="AJ177" i="15"/>
  <c r="AI177" i="15"/>
  <c r="AH177" i="15"/>
  <c r="AG177" i="15"/>
  <c r="AA176" i="15"/>
  <c r="U176" i="15"/>
  <c r="AL176" i="15"/>
  <c r="Z176" i="15"/>
  <c r="T176" i="15"/>
  <c r="W176" i="15"/>
  <c r="AK176" i="15"/>
  <c r="S176" i="15"/>
  <c r="Y176" i="15"/>
  <c r="AJ176" i="15"/>
  <c r="AI176" i="15"/>
  <c r="AH176" i="15"/>
  <c r="AG176" i="15"/>
  <c r="AA175" i="15"/>
  <c r="U175" i="15"/>
  <c r="AL175" i="15"/>
  <c r="Z175" i="15"/>
  <c r="T175" i="15"/>
  <c r="W175" i="15"/>
  <c r="AK175" i="15"/>
  <c r="Y175" i="15"/>
  <c r="AJ175" i="15"/>
  <c r="AI175" i="15"/>
  <c r="AH175" i="15"/>
  <c r="AG175" i="15"/>
  <c r="AA174" i="15"/>
  <c r="U174" i="15"/>
  <c r="AL174" i="15"/>
  <c r="Z174" i="15"/>
  <c r="T174" i="15"/>
  <c r="W174" i="15"/>
  <c r="AK174" i="15"/>
  <c r="S174" i="15"/>
  <c r="Y174" i="15"/>
  <c r="AJ174" i="15"/>
  <c r="AI174" i="15"/>
  <c r="AH174" i="15"/>
  <c r="AG174" i="15"/>
  <c r="AA173" i="15"/>
  <c r="U173" i="15"/>
  <c r="AL173" i="15"/>
  <c r="Z173" i="15"/>
  <c r="T173" i="15"/>
  <c r="W173" i="15"/>
  <c r="AK173" i="15"/>
  <c r="S173" i="15"/>
  <c r="Y173" i="15"/>
  <c r="AJ173" i="15"/>
  <c r="AI173" i="15"/>
  <c r="AH173" i="15"/>
  <c r="AG173" i="15"/>
  <c r="AA172" i="15"/>
  <c r="U172" i="15"/>
  <c r="AL172" i="15"/>
  <c r="Z172" i="15"/>
  <c r="T172" i="15"/>
  <c r="W172" i="15"/>
  <c r="AK172" i="15"/>
  <c r="Y172" i="15"/>
  <c r="AJ172" i="15"/>
  <c r="AI172" i="15"/>
  <c r="AH172" i="15"/>
  <c r="AG172" i="15"/>
  <c r="AA171" i="15"/>
  <c r="U171" i="15"/>
  <c r="AL171" i="15"/>
  <c r="Z171" i="15"/>
  <c r="T171" i="15"/>
  <c r="W171" i="15"/>
  <c r="AK171" i="15"/>
  <c r="S171" i="15"/>
  <c r="Y171" i="15"/>
  <c r="AJ171" i="15"/>
  <c r="AI171" i="15"/>
  <c r="AH171" i="15"/>
  <c r="AG171" i="15"/>
  <c r="AA170" i="15"/>
  <c r="U170" i="15"/>
  <c r="AL170" i="15"/>
  <c r="Z170" i="15"/>
  <c r="T170" i="15"/>
  <c r="W170" i="15"/>
  <c r="AK170" i="15"/>
  <c r="S170" i="15"/>
  <c r="Y170" i="15"/>
  <c r="AJ170" i="15"/>
  <c r="AI170" i="15"/>
  <c r="AH170" i="15"/>
  <c r="AG170" i="15"/>
  <c r="AA169" i="15"/>
  <c r="U169" i="15"/>
  <c r="AL169" i="15"/>
  <c r="W169" i="15"/>
  <c r="AK169" i="15"/>
  <c r="AJ169" i="15"/>
  <c r="AI169" i="15"/>
  <c r="AH169" i="15"/>
  <c r="AG169" i="15"/>
  <c r="AA168" i="15"/>
  <c r="U168" i="15"/>
  <c r="AL168" i="15"/>
  <c r="Z168" i="15"/>
  <c r="T168" i="15"/>
  <c r="W168" i="15"/>
  <c r="AK168" i="15"/>
  <c r="S168" i="15"/>
  <c r="Y168" i="15"/>
  <c r="AJ168" i="15"/>
  <c r="AI168" i="15"/>
  <c r="AH168" i="15"/>
  <c r="AG168" i="15"/>
  <c r="AA167" i="15"/>
  <c r="U167" i="15"/>
  <c r="AL167" i="15"/>
  <c r="Z167" i="15"/>
  <c r="T167" i="15"/>
  <c r="W167" i="15"/>
  <c r="AK167" i="15"/>
  <c r="S167" i="15"/>
  <c r="Y167" i="15"/>
  <c r="AJ167" i="15"/>
  <c r="AI167" i="15"/>
  <c r="AH167" i="15"/>
  <c r="AG167" i="15"/>
  <c r="AA166" i="15"/>
  <c r="U166" i="15"/>
  <c r="AL166" i="15"/>
  <c r="Z166" i="15"/>
  <c r="T166" i="15"/>
  <c r="W166" i="15"/>
  <c r="AK166" i="15"/>
  <c r="S166" i="15"/>
  <c r="Y166" i="15"/>
  <c r="AJ166" i="15"/>
  <c r="AI166" i="15"/>
  <c r="AH166" i="15"/>
  <c r="AG166" i="15"/>
  <c r="AA165" i="15"/>
  <c r="U165" i="15"/>
  <c r="AL165" i="15"/>
  <c r="Z165" i="15"/>
  <c r="T165" i="15"/>
  <c r="W165" i="15"/>
  <c r="AK165" i="15"/>
  <c r="S165" i="15"/>
  <c r="Y165" i="15"/>
  <c r="AJ165" i="15"/>
  <c r="AI165" i="15"/>
  <c r="AH165" i="15"/>
  <c r="AG165" i="15"/>
  <c r="AA164" i="15"/>
  <c r="U164" i="15"/>
  <c r="AL164" i="15"/>
  <c r="Z164" i="15"/>
  <c r="T164" i="15"/>
  <c r="W164" i="15"/>
  <c r="AK164" i="15"/>
  <c r="S164" i="15"/>
  <c r="Y164" i="15"/>
  <c r="AJ164" i="15"/>
  <c r="AI164" i="15"/>
  <c r="AH164" i="15"/>
  <c r="AG164" i="15"/>
  <c r="AA163" i="15"/>
  <c r="U163" i="15"/>
  <c r="AL163" i="15"/>
  <c r="Z163" i="15"/>
  <c r="T163" i="15"/>
  <c r="W163" i="15"/>
  <c r="AK163" i="15"/>
  <c r="S163" i="15"/>
  <c r="Y163" i="15"/>
  <c r="AJ163" i="15"/>
  <c r="AI163" i="15"/>
  <c r="AH163" i="15"/>
  <c r="AG163" i="15"/>
  <c r="AA162" i="15"/>
  <c r="U162" i="15"/>
  <c r="AL162" i="15"/>
  <c r="Z162" i="15"/>
  <c r="T162" i="15"/>
  <c r="W162" i="15"/>
  <c r="AK162" i="15"/>
  <c r="S162" i="15"/>
  <c r="Y162" i="15"/>
  <c r="AJ162" i="15"/>
  <c r="AI162" i="15"/>
  <c r="AH162" i="15"/>
  <c r="AG162" i="15"/>
  <c r="AA161" i="15"/>
  <c r="U161" i="15"/>
  <c r="AL161" i="15"/>
  <c r="Z161" i="15"/>
  <c r="T161" i="15"/>
  <c r="W161" i="15"/>
  <c r="AK161" i="15"/>
  <c r="S161" i="15"/>
  <c r="Y161" i="15"/>
  <c r="AJ161" i="15"/>
  <c r="AI161" i="15"/>
  <c r="AH161" i="15"/>
  <c r="AG161" i="15"/>
  <c r="AA160" i="15"/>
  <c r="U160" i="15"/>
  <c r="AL160" i="15"/>
  <c r="Z160" i="15"/>
  <c r="T160" i="15"/>
  <c r="W160" i="15"/>
  <c r="AK160" i="15"/>
  <c r="S160" i="15"/>
  <c r="Y160" i="15"/>
  <c r="AJ160" i="15"/>
  <c r="AI160" i="15"/>
  <c r="AH160" i="15"/>
  <c r="AG160" i="15"/>
  <c r="AA159" i="15"/>
  <c r="U159" i="15"/>
  <c r="AL159" i="15"/>
  <c r="Z159" i="15"/>
  <c r="T159" i="15"/>
  <c r="W159" i="15"/>
  <c r="AK159" i="15"/>
  <c r="S159" i="15"/>
  <c r="Y159" i="15"/>
  <c r="AJ159" i="15"/>
  <c r="AI159" i="15"/>
  <c r="AH159" i="15"/>
  <c r="AG159" i="15"/>
  <c r="AA158" i="15"/>
  <c r="U158" i="15"/>
  <c r="AL158" i="15"/>
  <c r="Z158" i="15"/>
  <c r="T158" i="15"/>
  <c r="W158" i="15"/>
  <c r="AK158" i="15"/>
  <c r="S158" i="15"/>
  <c r="Y158" i="15"/>
  <c r="AJ158" i="15"/>
  <c r="AI158" i="15"/>
  <c r="AH158" i="15"/>
  <c r="AG158" i="15"/>
  <c r="AA157" i="15"/>
  <c r="U157" i="15"/>
  <c r="AL157" i="15"/>
  <c r="Z157" i="15"/>
  <c r="T157" i="15"/>
  <c r="W157" i="15"/>
  <c r="AK157" i="15"/>
  <c r="S157" i="15"/>
  <c r="Y157" i="15"/>
  <c r="AJ157" i="15"/>
  <c r="AI157" i="15"/>
  <c r="AH157" i="15"/>
  <c r="AG157" i="15"/>
  <c r="AA156" i="15"/>
  <c r="U156" i="15"/>
  <c r="AL156" i="15"/>
  <c r="W156" i="15"/>
  <c r="AK156" i="15"/>
  <c r="AJ156" i="15"/>
  <c r="AI156" i="15"/>
  <c r="AH156" i="15"/>
  <c r="AG156" i="15"/>
  <c r="AA155" i="15"/>
  <c r="U155" i="15"/>
  <c r="AL155" i="15"/>
  <c r="Z155" i="15"/>
  <c r="T155" i="15"/>
  <c r="W155" i="15"/>
  <c r="AK155" i="15"/>
  <c r="S155" i="15"/>
  <c r="Y155" i="15"/>
  <c r="AJ155" i="15"/>
  <c r="AI155" i="15"/>
  <c r="AH155" i="15"/>
  <c r="AG155" i="15"/>
  <c r="AA154" i="15"/>
  <c r="U154" i="15"/>
  <c r="AL154" i="15"/>
  <c r="W154" i="15"/>
  <c r="AK154" i="15"/>
  <c r="AJ154" i="15"/>
  <c r="AI154" i="15"/>
  <c r="AH154" i="15"/>
  <c r="AG154" i="15"/>
  <c r="AA153" i="15"/>
  <c r="U153" i="15"/>
  <c r="AL153" i="15"/>
  <c r="Z153" i="15"/>
  <c r="T153" i="15"/>
  <c r="W153" i="15"/>
  <c r="AK153" i="15"/>
  <c r="S153" i="15"/>
  <c r="Y153" i="15"/>
  <c r="AJ153" i="15"/>
  <c r="AI153" i="15"/>
  <c r="AH153" i="15"/>
  <c r="AG153" i="15"/>
  <c r="AA152" i="15"/>
  <c r="U152" i="15"/>
  <c r="AL152" i="15"/>
  <c r="Z152" i="15"/>
  <c r="T152" i="15"/>
  <c r="W152" i="15"/>
  <c r="AK152" i="15"/>
  <c r="S152" i="15"/>
  <c r="Y152" i="15"/>
  <c r="AJ152" i="15"/>
  <c r="AI152" i="15"/>
  <c r="AH152" i="15"/>
  <c r="AG152" i="15"/>
  <c r="AA151" i="15"/>
  <c r="U151" i="15"/>
  <c r="AL151" i="15"/>
  <c r="Z151" i="15"/>
  <c r="T151" i="15"/>
  <c r="W151" i="15"/>
  <c r="AK151" i="15"/>
  <c r="S151" i="15"/>
  <c r="Y151" i="15"/>
  <c r="AJ151" i="15"/>
  <c r="AI151" i="15"/>
  <c r="AH151" i="15"/>
  <c r="AG151" i="15"/>
  <c r="AA150" i="15"/>
  <c r="U150" i="15"/>
  <c r="AL150" i="15"/>
  <c r="Z150" i="15"/>
  <c r="T150" i="15"/>
  <c r="W150" i="15"/>
  <c r="AK150" i="15"/>
  <c r="S150" i="15"/>
  <c r="Y150" i="15"/>
  <c r="AJ150" i="15"/>
  <c r="AI150" i="15"/>
  <c r="AH150" i="15"/>
  <c r="AG150" i="15"/>
  <c r="AA149" i="15"/>
  <c r="U149" i="15"/>
  <c r="AL149" i="15"/>
  <c r="Z149" i="15"/>
  <c r="T149" i="15"/>
  <c r="W149" i="15"/>
  <c r="AK149" i="15"/>
  <c r="S149" i="15"/>
  <c r="Y149" i="15"/>
  <c r="AJ149" i="15"/>
  <c r="AI149" i="15"/>
  <c r="AH149" i="15"/>
  <c r="AG149" i="15"/>
  <c r="AA148" i="15"/>
  <c r="U148" i="15"/>
  <c r="AL148" i="15"/>
  <c r="Z148" i="15"/>
  <c r="T148" i="15"/>
  <c r="W148" i="15"/>
  <c r="AK148" i="15"/>
  <c r="S148" i="15"/>
  <c r="Y148" i="15"/>
  <c r="AJ148" i="15"/>
  <c r="AI148" i="15"/>
  <c r="AH148" i="15"/>
  <c r="AG148" i="15"/>
  <c r="AA147" i="15"/>
  <c r="U147" i="15"/>
  <c r="AL147" i="15"/>
  <c r="Z147" i="15"/>
  <c r="T147" i="15"/>
  <c r="W147" i="15"/>
  <c r="AK147" i="15"/>
  <c r="S147" i="15"/>
  <c r="Y147" i="15"/>
  <c r="AJ147" i="15"/>
  <c r="AI147" i="15"/>
  <c r="AH147" i="15"/>
  <c r="AG147" i="15"/>
  <c r="AA146" i="15"/>
  <c r="U146" i="15"/>
  <c r="AL146" i="15"/>
  <c r="W146" i="15"/>
  <c r="AK146" i="15"/>
  <c r="AJ146" i="15"/>
  <c r="AI146" i="15"/>
  <c r="AH146" i="15"/>
  <c r="AG146" i="15"/>
  <c r="AA145" i="15"/>
  <c r="U145" i="15"/>
  <c r="AL145" i="15"/>
  <c r="Z145" i="15"/>
  <c r="T145" i="15"/>
  <c r="W145" i="15"/>
  <c r="AK145" i="15"/>
  <c r="S145" i="15"/>
  <c r="Y145" i="15"/>
  <c r="AJ145" i="15"/>
  <c r="AI145" i="15"/>
  <c r="AH145" i="15"/>
  <c r="AG145" i="15"/>
  <c r="AA144" i="15"/>
  <c r="U144" i="15"/>
  <c r="AL144" i="15"/>
  <c r="Z144" i="15"/>
  <c r="T144" i="15"/>
  <c r="W144" i="15"/>
  <c r="AK144" i="15"/>
  <c r="S144" i="15"/>
  <c r="Y144" i="15"/>
  <c r="AJ144" i="15"/>
  <c r="AI144" i="15"/>
  <c r="AH144" i="15"/>
  <c r="AG144" i="15"/>
  <c r="AA143" i="15"/>
  <c r="U143" i="15"/>
  <c r="AL143" i="15"/>
  <c r="Z143" i="15"/>
  <c r="T143" i="15"/>
  <c r="W143" i="15"/>
  <c r="AK143" i="15"/>
  <c r="S143" i="15"/>
  <c r="Y143" i="15"/>
  <c r="AJ143" i="15"/>
  <c r="AI143" i="15"/>
  <c r="AH143" i="15"/>
  <c r="AG143" i="15"/>
  <c r="AA142" i="15"/>
  <c r="U142" i="15"/>
  <c r="AL142" i="15"/>
  <c r="Z142" i="15"/>
  <c r="T142" i="15"/>
  <c r="W142" i="15"/>
  <c r="AK142" i="15"/>
  <c r="S142" i="15"/>
  <c r="Y142" i="15"/>
  <c r="AJ142" i="15"/>
  <c r="AI142" i="15"/>
  <c r="AH142" i="15"/>
  <c r="AG142" i="15"/>
  <c r="AA141" i="15"/>
  <c r="U141" i="15"/>
  <c r="AL141" i="15"/>
  <c r="Z141" i="15"/>
  <c r="T141" i="15"/>
  <c r="W141" i="15"/>
  <c r="AK141" i="15"/>
  <c r="S141" i="15"/>
  <c r="Y141" i="15"/>
  <c r="AJ141" i="15"/>
  <c r="AI141" i="15"/>
  <c r="AH141" i="15"/>
  <c r="AG141" i="15"/>
  <c r="AA140" i="15"/>
  <c r="U140" i="15"/>
  <c r="AL140" i="15"/>
  <c r="Z140" i="15"/>
  <c r="T140" i="15"/>
  <c r="W140" i="15"/>
  <c r="AK140" i="15"/>
  <c r="S140" i="15"/>
  <c r="Y140" i="15"/>
  <c r="AJ140" i="15"/>
  <c r="AI140" i="15"/>
  <c r="AH140" i="15"/>
  <c r="AG140" i="15"/>
  <c r="AA139" i="15"/>
  <c r="U139" i="15"/>
  <c r="AL139" i="15"/>
  <c r="Z139" i="15"/>
  <c r="T139" i="15"/>
  <c r="W139" i="15"/>
  <c r="AK139" i="15"/>
  <c r="S139" i="15"/>
  <c r="Y139" i="15"/>
  <c r="AJ139" i="15"/>
  <c r="AI139" i="15"/>
  <c r="AH139" i="15"/>
  <c r="AG139" i="15"/>
  <c r="AA138" i="15"/>
  <c r="U138" i="15"/>
  <c r="AL138" i="15"/>
  <c r="Z138" i="15"/>
  <c r="T138" i="15"/>
  <c r="W138" i="15"/>
  <c r="AK138" i="15"/>
  <c r="S138" i="15"/>
  <c r="Y138" i="15"/>
  <c r="AJ138" i="15"/>
  <c r="AI138" i="15"/>
  <c r="AH138" i="15"/>
  <c r="AG138" i="15"/>
  <c r="AA137" i="15"/>
  <c r="U137" i="15"/>
  <c r="AL137" i="15"/>
  <c r="Z137" i="15"/>
  <c r="T137" i="15"/>
  <c r="W137" i="15"/>
  <c r="AK137" i="15"/>
  <c r="S137" i="15"/>
  <c r="Y137" i="15"/>
  <c r="AJ137" i="15"/>
  <c r="AI137" i="15"/>
  <c r="AH137" i="15"/>
  <c r="AG137" i="15"/>
  <c r="AA136" i="15"/>
  <c r="U136" i="15"/>
  <c r="AL136" i="15"/>
  <c r="Z136" i="15"/>
  <c r="T136" i="15"/>
  <c r="W136" i="15"/>
  <c r="AK136" i="15"/>
  <c r="S136" i="15"/>
  <c r="Y136" i="15"/>
  <c r="AJ136" i="15"/>
  <c r="AI136" i="15"/>
  <c r="AH136" i="15"/>
  <c r="AG136" i="15"/>
  <c r="AA135" i="15"/>
  <c r="U135" i="15"/>
  <c r="AL135" i="15"/>
  <c r="Z135" i="15"/>
  <c r="T135" i="15"/>
  <c r="W135" i="15"/>
  <c r="AK135" i="15"/>
  <c r="S135" i="15"/>
  <c r="Y135" i="15"/>
  <c r="AJ135" i="15"/>
  <c r="AI135" i="15"/>
  <c r="AH135" i="15"/>
  <c r="AG135" i="15"/>
  <c r="AA134" i="15"/>
  <c r="U134" i="15"/>
  <c r="AL134" i="15"/>
  <c r="Z134" i="15"/>
  <c r="T134" i="15"/>
  <c r="W134" i="15"/>
  <c r="AK134" i="15"/>
  <c r="S134" i="15"/>
  <c r="Y134" i="15"/>
  <c r="AJ134" i="15"/>
  <c r="AI134" i="15"/>
  <c r="AH134" i="15"/>
  <c r="AG134" i="15"/>
  <c r="AA133" i="15"/>
  <c r="U133" i="15"/>
  <c r="AL133" i="15"/>
  <c r="Z133" i="15"/>
  <c r="T133" i="15"/>
  <c r="W133" i="15"/>
  <c r="AK133" i="15"/>
  <c r="S133" i="15"/>
  <c r="Y133" i="15"/>
  <c r="AJ133" i="15"/>
  <c r="AI133" i="15"/>
  <c r="AH133" i="15"/>
  <c r="AG133" i="15"/>
  <c r="AA132" i="15"/>
  <c r="U132" i="15"/>
  <c r="AL132" i="15"/>
  <c r="Z132" i="15"/>
  <c r="T132" i="15"/>
  <c r="W132" i="15"/>
  <c r="AK132" i="15"/>
  <c r="S132" i="15"/>
  <c r="Y132" i="15"/>
  <c r="AJ132" i="15"/>
  <c r="AI132" i="15"/>
  <c r="AH132" i="15"/>
  <c r="AG132" i="15"/>
  <c r="AA131" i="15"/>
  <c r="U131" i="15"/>
  <c r="AL131" i="15"/>
  <c r="Z131" i="15"/>
  <c r="T131" i="15"/>
  <c r="W131" i="15"/>
  <c r="AK131" i="15"/>
  <c r="S131" i="15"/>
  <c r="Y131" i="15"/>
  <c r="AJ131" i="15"/>
  <c r="AI131" i="15"/>
  <c r="AH131" i="15"/>
  <c r="AG131" i="15"/>
  <c r="AA130" i="15"/>
  <c r="U130" i="15"/>
  <c r="AL130" i="15"/>
  <c r="Z130" i="15"/>
  <c r="T130" i="15"/>
  <c r="W130" i="15"/>
  <c r="AK130" i="15"/>
  <c r="S130" i="15"/>
  <c r="Y130" i="15"/>
  <c r="AJ130" i="15"/>
  <c r="AI130" i="15"/>
  <c r="AH130" i="15"/>
  <c r="AG130" i="15"/>
  <c r="AA129" i="15"/>
  <c r="U129" i="15"/>
  <c r="AL129" i="15"/>
  <c r="Z129" i="15"/>
  <c r="T129" i="15"/>
  <c r="W129" i="15"/>
  <c r="AK129" i="15"/>
  <c r="S129" i="15"/>
  <c r="Y129" i="15"/>
  <c r="AJ129" i="15"/>
  <c r="AI129" i="15"/>
  <c r="AH129" i="15"/>
  <c r="AG129" i="15"/>
  <c r="AA128" i="15"/>
  <c r="U128" i="15"/>
  <c r="AL128" i="15"/>
  <c r="Z128" i="15"/>
  <c r="T128" i="15"/>
  <c r="W128" i="15"/>
  <c r="AK128" i="15"/>
  <c r="S128" i="15"/>
  <c r="Y128" i="15"/>
  <c r="AJ128" i="15"/>
  <c r="AI128" i="15"/>
  <c r="AH128" i="15"/>
  <c r="AG128" i="15"/>
  <c r="AA127" i="15"/>
  <c r="U127" i="15"/>
  <c r="AL127" i="15"/>
  <c r="Z127" i="15"/>
  <c r="T127" i="15"/>
  <c r="W127" i="15"/>
  <c r="AK127" i="15"/>
  <c r="S127" i="15"/>
  <c r="Y127" i="15"/>
  <c r="AJ127" i="15"/>
  <c r="AI127" i="15"/>
  <c r="AH127" i="15"/>
  <c r="AG127" i="15"/>
  <c r="AA126" i="15"/>
  <c r="U126" i="15"/>
  <c r="AL126" i="15"/>
  <c r="Z126" i="15"/>
  <c r="T126" i="15"/>
  <c r="W126" i="15"/>
  <c r="AK126" i="15"/>
  <c r="S126" i="15"/>
  <c r="Y126" i="15"/>
  <c r="AJ126" i="15"/>
  <c r="AI126" i="15"/>
  <c r="AH126" i="15"/>
  <c r="AG126" i="15"/>
  <c r="AA125" i="15"/>
  <c r="U125" i="15"/>
  <c r="AL125" i="15"/>
  <c r="Z125" i="15"/>
  <c r="T125" i="15"/>
  <c r="W125" i="15"/>
  <c r="AK125" i="15"/>
  <c r="S125" i="15"/>
  <c r="Y125" i="15"/>
  <c r="AJ125" i="15"/>
  <c r="AI125" i="15"/>
  <c r="AH125" i="15"/>
  <c r="AG125" i="15"/>
  <c r="AA124" i="15"/>
  <c r="U124" i="15"/>
  <c r="AL124" i="15"/>
  <c r="Z124" i="15"/>
  <c r="T124" i="15"/>
  <c r="W124" i="15"/>
  <c r="AK124" i="15"/>
  <c r="S124" i="15"/>
  <c r="Y124" i="15"/>
  <c r="AJ124" i="15"/>
  <c r="AI124" i="15"/>
  <c r="AH124" i="15"/>
  <c r="AG124" i="15"/>
  <c r="AA123" i="15"/>
  <c r="U123" i="15"/>
  <c r="AL123" i="15"/>
  <c r="Z123" i="15"/>
  <c r="T123" i="15"/>
  <c r="W123" i="15"/>
  <c r="AK123" i="15"/>
  <c r="S123" i="15"/>
  <c r="Y123" i="15"/>
  <c r="AJ123" i="15"/>
  <c r="AI123" i="15"/>
  <c r="AH123" i="15"/>
  <c r="AG123" i="15"/>
  <c r="AA122" i="15"/>
  <c r="U122" i="15"/>
  <c r="AL122" i="15"/>
  <c r="Z122" i="15"/>
  <c r="T122" i="15"/>
  <c r="W122" i="15"/>
  <c r="AK122" i="15"/>
  <c r="S122" i="15"/>
  <c r="Y122" i="15"/>
  <c r="AJ122" i="15"/>
  <c r="AI122" i="15"/>
  <c r="AH122" i="15"/>
  <c r="AG122" i="15"/>
  <c r="AA121" i="15"/>
  <c r="U121" i="15"/>
  <c r="AL121" i="15"/>
  <c r="Z121" i="15"/>
  <c r="T121" i="15"/>
  <c r="W121" i="15"/>
  <c r="AK121" i="15"/>
  <c r="S121" i="15"/>
  <c r="Y121" i="15"/>
  <c r="AJ121" i="15"/>
  <c r="AI121" i="15"/>
  <c r="AH121" i="15"/>
  <c r="AG121" i="15"/>
  <c r="AA120" i="15"/>
  <c r="U120" i="15"/>
  <c r="AL120" i="15"/>
  <c r="Z120" i="15"/>
  <c r="T120" i="15"/>
  <c r="W120" i="15"/>
  <c r="AK120" i="15"/>
  <c r="S120" i="15"/>
  <c r="Y120" i="15"/>
  <c r="AJ120" i="15"/>
  <c r="AI120" i="15"/>
  <c r="AH120" i="15"/>
  <c r="AG120" i="15"/>
  <c r="AA119" i="15"/>
  <c r="U119" i="15"/>
  <c r="AL119" i="15"/>
  <c r="Z119" i="15"/>
  <c r="T119" i="15"/>
  <c r="W119" i="15"/>
  <c r="AK119" i="15"/>
  <c r="S119" i="15"/>
  <c r="Y119" i="15"/>
  <c r="AJ119" i="15"/>
  <c r="AI119" i="15"/>
  <c r="AH119" i="15"/>
  <c r="AG119" i="15"/>
  <c r="AA118" i="15"/>
  <c r="U118" i="15"/>
  <c r="AL118" i="15"/>
  <c r="Z118" i="15"/>
  <c r="T118" i="15"/>
  <c r="W118" i="15"/>
  <c r="AK118" i="15"/>
  <c r="S118" i="15"/>
  <c r="Y118" i="15"/>
  <c r="AJ118" i="15"/>
  <c r="AI118" i="15"/>
  <c r="AH118" i="15"/>
  <c r="AG118" i="15"/>
  <c r="AA117" i="15"/>
  <c r="U117" i="15"/>
  <c r="AL117" i="15"/>
  <c r="Z117" i="15"/>
  <c r="T117" i="15"/>
  <c r="W117" i="15"/>
  <c r="AK117" i="15"/>
  <c r="S117" i="15"/>
  <c r="Y117" i="15"/>
  <c r="AJ117" i="15"/>
  <c r="AI117" i="15"/>
  <c r="AH117" i="15"/>
  <c r="AG117" i="15"/>
  <c r="AA116" i="15"/>
  <c r="U116" i="15"/>
  <c r="AL116" i="15"/>
  <c r="Z116" i="15"/>
  <c r="T116" i="15"/>
  <c r="W116" i="15"/>
  <c r="AK116" i="15"/>
  <c r="S116" i="15"/>
  <c r="Y116" i="15"/>
  <c r="AJ116" i="15"/>
  <c r="AI116" i="15"/>
  <c r="AH116" i="15"/>
  <c r="AG116" i="15"/>
  <c r="AA115" i="15"/>
  <c r="U115" i="15"/>
  <c r="AL115" i="15"/>
  <c r="Z115" i="15"/>
  <c r="T115" i="15"/>
  <c r="W115" i="15"/>
  <c r="AK115" i="15"/>
  <c r="S115" i="15"/>
  <c r="Y115" i="15"/>
  <c r="AJ115" i="15"/>
  <c r="AI115" i="15"/>
  <c r="AH115" i="15"/>
  <c r="AG115" i="15"/>
  <c r="AA114" i="15"/>
  <c r="U114" i="15"/>
  <c r="AL114" i="15"/>
  <c r="Z114" i="15"/>
  <c r="T114" i="15"/>
  <c r="W114" i="15"/>
  <c r="AK114" i="15"/>
  <c r="S114" i="15"/>
  <c r="Y114" i="15"/>
  <c r="AJ114" i="15"/>
  <c r="AI114" i="15"/>
  <c r="AH114" i="15"/>
  <c r="AG114" i="15"/>
  <c r="AA113" i="15"/>
  <c r="U113" i="15"/>
  <c r="AL113" i="15"/>
  <c r="Z113" i="15"/>
  <c r="T113" i="15"/>
  <c r="W113" i="15"/>
  <c r="AK113" i="15"/>
  <c r="S113" i="15"/>
  <c r="Y113" i="15"/>
  <c r="AJ113" i="15"/>
  <c r="AI113" i="15"/>
  <c r="AH113" i="15"/>
  <c r="AG113" i="15"/>
  <c r="AA112" i="15"/>
  <c r="U112" i="15"/>
  <c r="AL112" i="15"/>
  <c r="Z112" i="15"/>
  <c r="T112" i="15"/>
  <c r="W112" i="15"/>
  <c r="AK112" i="15"/>
  <c r="S112" i="15"/>
  <c r="Y112" i="15"/>
  <c r="AJ112" i="15"/>
  <c r="AI112" i="15"/>
  <c r="AH112" i="15"/>
  <c r="AG112" i="15"/>
  <c r="AA111" i="15"/>
  <c r="U111" i="15"/>
  <c r="AL111" i="15"/>
  <c r="Z111" i="15"/>
  <c r="T111" i="15"/>
  <c r="W111" i="15"/>
  <c r="AK111" i="15"/>
  <c r="S111" i="15"/>
  <c r="Y111" i="15"/>
  <c r="AJ111" i="15"/>
  <c r="AI111" i="15"/>
  <c r="AH111" i="15"/>
  <c r="AG111" i="15"/>
  <c r="AA110" i="15"/>
  <c r="U110" i="15"/>
  <c r="AL110" i="15"/>
  <c r="Z110" i="15"/>
  <c r="T110" i="15"/>
  <c r="W110" i="15"/>
  <c r="AK110" i="15"/>
  <c r="S110" i="15"/>
  <c r="Y110" i="15"/>
  <c r="AJ110" i="15"/>
  <c r="AI110" i="15"/>
  <c r="AH110" i="15"/>
  <c r="AG110" i="15"/>
  <c r="AA109" i="15"/>
  <c r="U109" i="15"/>
  <c r="AL109" i="15"/>
  <c r="Z109" i="15"/>
  <c r="T109" i="15"/>
  <c r="W109" i="15"/>
  <c r="AK109" i="15"/>
  <c r="S109" i="15"/>
  <c r="Y109" i="15"/>
  <c r="AJ109" i="15"/>
  <c r="AI109" i="15"/>
  <c r="AH109" i="15"/>
  <c r="AG109" i="15"/>
  <c r="AA108" i="15"/>
  <c r="U108" i="15"/>
  <c r="AL108" i="15"/>
  <c r="Z108" i="15"/>
  <c r="T108" i="15"/>
  <c r="W108" i="15"/>
  <c r="AK108" i="15"/>
  <c r="S108" i="15"/>
  <c r="Y108" i="15"/>
  <c r="AJ108" i="15"/>
  <c r="AI108" i="15"/>
  <c r="AH108" i="15"/>
  <c r="AG108" i="15"/>
  <c r="AA107" i="15"/>
  <c r="U107" i="15"/>
  <c r="AL107" i="15"/>
  <c r="Z107" i="15"/>
  <c r="T107" i="15"/>
  <c r="W107" i="15"/>
  <c r="AK107" i="15"/>
  <c r="S107" i="15"/>
  <c r="Y107" i="15"/>
  <c r="AJ107" i="15"/>
  <c r="AI107" i="15"/>
  <c r="AH107" i="15"/>
  <c r="AG107" i="15"/>
  <c r="AA106" i="15"/>
  <c r="U106" i="15"/>
  <c r="AL106" i="15"/>
  <c r="Z106" i="15"/>
  <c r="T106" i="15"/>
  <c r="W106" i="15"/>
  <c r="AK106" i="15"/>
  <c r="S106" i="15"/>
  <c r="Y106" i="15"/>
  <c r="AJ106" i="15"/>
  <c r="AI106" i="15"/>
  <c r="AH106" i="15"/>
  <c r="AG106" i="15"/>
  <c r="AA105" i="15"/>
  <c r="U105" i="15"/>
  <c r="AL105" i="15"/>
  <c r="Z105" i="15"/>
  <c r="T105" i="15"/>
  <c r="W105" i="15"/>
  <c r="AK105" i="15"/>
  <c r="S105" i="15"/>
  <c r="Y105" i="15"/>
  <c r="AJ105" i="15"/>
  <c r="AI105" i="15"/>
  <c r="AH105" i="15"/>
  <c r="AG105" i="15"/>
  <c r="AA104" i="15"/>
  <c r="U104" i="15"/>
  <c r="AL104" i="15"/>
  <c r="Z104" i="15"/>
  <c r="T104" i="15"/>
  <c r="W104" i="15"/>
  <c r="AK104" i="15"/>
  <c r="S104" i="15"/>
  <c r="Y104" i="15"/>
  <c r="AJ104" i="15"/>
  <c r="AI104" i="15"/>
  <c r="AH104" i="15"/>
  <c r="AG104" i="15"/>
  <c r="AA103" i="15"/>
  <c r="U103" i="15"/>
  <c r="AL103" i="15"/>
  <c r="Z103" i="15"/>
  <c r="T103" i="15"/>
  <c r="W103" i="15"/>
  <c r="AK103" i="15"/>
  <c r="S103" i="15"/>
  <c r="Y103" i="15"/>
  <c r="AJ103" i="15"/>
  <c r="AI103" i="15"/>
  <c r="AH103" i="15"/>
  <c r="AG103" i="15"/>
  <c r="AA102" i="15"/>
  <c r="U102" i="15"/>
  <c r="AL102" i="15"/>
  <c r="Z102" i="15"/>
  <c r="T102" i="15"/>
  <c r="W102" i="15"/>
  <c r="AK102" i="15"/>
  <c r="S102" i="15"/>
  <c r="Y102" i="15"/>
  <c r="AJ102" i="15"/>
  <c r="AI102" i="15"/>
  <c r="AH102" i="15"/>
  <c r="AG102" i="15"/>
  <c r="AA101" i="15"/>
  <c r="U101" i="15"/>
  <c r="AL101" i="15"/>
  <c r="Z101" i="15"/>
  <c r="T101" i="15"/>
  <c r="W101" i="15"/>
  <c r="AK101" i="15"/>
  <c r="S101" i="15"/>
  <c r="Y101" i="15"/>
  <c r="AJ101" i="15"/>
  <c r="AI101" i="15"/>
  <c r="AH101" i="15"/>
  <c r="AG101" i="15"/>
  <c r="AA100" i="15"/>
  <c r="U100" i="15"/>
  <c r="AL100" i="15"/>
  <c r="Z100" i="15"/>
  <c r="T100" i="15"/>
  <c r="W100" i="15"/>
  <c r="AK100" i="15"/>
  <c r="S100" i="15"/>
  <c r="Y100" i="15"/>
  <c r="AJ100" i="15"/>
  <c r="AI100" i="15"/>
  <c r="AH100" i="15"/>
  <c r="AG100" i="15"/>
  <c r="AA99" i="15"/>
  <c r="U99" i="15"/>
  <c r="AL99" i="15"/>
  <c r="Z99" i="15"/>
  <c r="T99" i="15"/>
  <c r="W99" i="15"/>
  <c r="AK99" i="15"/>
  <c r="AJ99" i="15"/>
  <c r="AI99" i="15"/>
  <c r="AH99" i="15"/>
  <c r="AA98" i="15"/>
  <c r="U98" i="15"/>
  <c r="AL98" i="15"/>
  <c r="Z98" i="15"/>
  <c r="T98" i="15"/>
  <c r="W98" i="15"/>
  <c r="AK98" i="15"/>
  <c r="S98" i="15"/>
  <c r="Y98" i="15"/>
  <c r="AJ98" i="15"/>
  <c r="AI98" i="15"/>
  <c r="AH98" i="15"/>
  <c r="AG98" i="15"/>
  <c r="AA97" i="15"/>
  <c r="U97" i="15"/>
  <c r="AL97" i="15"/>
  <c r="Z97" i="15"/>
  <c r="T97" i="15"/>
  <c r="W97" i="15"/>
  <c r="AK97" i="15"/>
  <c r="S97" i="15"/>
  <c r="Y97" i="15"/>
  <c r="AJ97" i="15"/>
  <c r="AI97" i="15"/>
  <c r="AH97" i="15"/>
  <c r="AG97" i="15"/>
  <c r="AA96" i="15"/>
  <c r="U96" i="15"/>
  <c r="AL96" i="15"/>
  <c r="Z96" i="15"/>
  <c r="T96" i="15"/>
  <c r="W96" i="15"/>
  <c r="AK96" i="15"/>
  <c r="S96" i="15"/>
  <c r="Y96" i="15"/>
  <c r="AJ96" i="15"/>
  <c r="AI96" i="15"/>
  <c r="AH96" i="15"/>
  <c r="AG96" i="15"/>
  <c r="AA95" i="15"/>
  <c r="U95" i="15"/>
  <c r="AL95" i="15"/>
  <c r="Z95" i="15"/>
  <c r="T95" i="15"/>
  <c r="W95" i="15"/>
  <c r="AK95" i="15"/>
  <c r="S95" i="15"/>
  <c r="Y95" i="15"/>
  <c r="AJ95" i="15"/>
  <c r="AI95" i="15"/>
  <c r="AH95" i="15"/>
  <c r="AG95" i="15"/>
  <c r="AA94" i="15"/>
  <c r="U94" i="15"/>
  <c r="AL94" i="15"/>
  <c r="W94" i="15"/>
  <c r="AK94" i="15"/>
  <c r="AJ94" i="15"/>
  <c r="AI94" i="15"/>
  <c r="AH94" i="15"/>
  <c r="AG94" i="15"/>
  <c r="AA93" i="15"/>
  <c r="U93" i="15"/>
  <c r="AL93" i="15"/>
  <c r="W93" i="15"/>
  <c r="AK93" i="15"/>
  <c r="AJ93" i="15"/>
  <c r="AI93" i="15"/>
  <c r="AH93" i="15"/>
  <c r="AG93" i="15"/>
  <c r="AA92" i="15"/>
  <c r="U92" i="15"/>
  <c r="AL92" i="15"/>
  <c r="Z92" i="15"/>
  <c r="T92" i="15"/>
  <c r="W92" i="15"/>
  <c r="AK92" i="15"/>
  <c r="S92" i="15"/>
  <c r="Y92" i="15"/>
  <c r="AJ92" i="15"/>
  <c r="AI92" i="15"/>
  <c r="AH92" i="15"/>
  <c r="AG92" i="15"/>
  <c r="AA91" i="15"/>
  <c r="U91" i="15"/>
  <c r="AL91" i="15"/>
  <c r="Z91" i="15"/>
  <c r="T91" i="15"/>
  <c r="W91" i="15"/>
  <c r="AK91" i="15"/>
  <c r="S91" i="15"/>
  <c r="Y91" i="15"/>
  <c r="AJ91" i="15"/>
  <c r="AI91" i="15"/>
  <c r="AH91" i="15"/>
  <c r="AG91" i="15"/>
  <c r="AA90" i="15"/>
  <c r="U90" i="15"/>
  <c r="AL90" i="15"/>
  <c r="Z90" i="15"/>
  <c r="T90" i="15"/>
  <c r="W90" i="15"/>
  <c r="AK90" i="15"/>
  <c r="S90" i="15"/>
  <c r="Y90" i="15"/>
  <c r="AJ90" i="15"/>
  <c r="AI90" i="15"/>
  <c r="AH90" i="15"/>
  <c r="AG90" i="15"/>
  <c r="AA89" i="15"/>
  <c r="U89" i="15"/>
  <c r="AL89" i="15"/>
  <c r="Z89" i="15"/>
  <c r="T89" i="15"/>
  <c r="W89" i="15"/>
  <c r="AK89" i="15"/>
  <c r="S89" i="15"/>
  <c r="Y89" i="15"/>
  <c r="AJ89" i="15"/>
  <c r="AI89" i="15"/>
  <c r="AH89" i="15"/>
  <c r="AG89" i="15"/>
  <c r="AA88" i="15"/>
  <c r="U88" i="15"/>
  <c r="AL88" i="15"/>
  <c r="Z88" i="15"/>
  <c r="T88" i="15"/>
  <c r="W88" i="15"/>
  <c r="AK88" i="15"/>
  <c r="S88" i="15"/>
  <c r="Y88" i="15"/>
  <c r="AJ88" i="15"/>
  <c r="AI88" i="15"/>
  <c r="AH88" i="15"/>
  <c r="AG88" i="15"/>
  <c r="AA87" i="15"/>
  <c r="U87" i="15"/>
  <c r="AL87" i="15"/>
  <c r="Z87" i="15"/>
  <c r="T87" i="15"/>
  <c r="W87" i="15"/>
  <c r="AK87" i="15"/>
  <c r="S87" i="15"/>
  <c r="Y87" i="15"/>
  <c r="AJ87" i="15"/>
  <c r="AI87" i="15"/>
  <c r="AH87" i="15"/>
  <c r="AG87" i="15"/>
  <c r="AA86" i="15"/>
  <c r="U86" i="15"/>
  <c r="AL86" i="15"/>
  <c r="Z86" i="15"/>
  <c r="T86" i="15"/>
  <c r="W86" i="15"/>
  <c r="AK86" i="15"/>
  <c r="S86" i="15"/>
  <c r="Y86" i="15"/>
  <c r="AJ86" i="15"/>
  <c r="AI86" i="15"/>
  <c r="AH86" i="15"/>
  <c r="AG86" i="15"/>
  <c r="AA85" i="15"/>
  <c r="U85" i="15"/>
  <c r="AL85" i="15"/>
  <c r="Z85" i="15"/>
  <c r="T85" i="15"/>
  <c r="W85" i="15"/>
  <c r="AK85" i="15"/>
  <c r="S85" i="15"/>
  <c r="Y85" i="15"/>
  <c r="AJ85" i="15"/>
  <c r="AI85" i="15"/>
  <c r="AH85" i="15"/>
  <c r="AG85" i="15"/>
  <c r="AA84" i="15"/>
  <c r="U84" i="15"/>
  <c r="AL84" i="15"/>
  <c r="Z84" i="15"/>
  <c r="T84" i="15"/>
  <c r="W84" i="15"/>
  <c r="AK84" i="15"/>
  <c r="S84" i="15"/>
  <c r="Y84" i="15"/>
  <c r="AJ84" i="15"/>
  <c r="AI84" i="15"/>
  <c r="AH84" i="15"/>
  <c r="AG84" i="15"/>
  <c r="AA83" i="15"/>
  <c r="U83" i="15"/>
  <c r="AL83" i="15"/>
  <c r="Z83" i="15"/>
  <c r="T83" i="15"/>
  <c r="W83" i="15"/>
  <c r="AK83" i="15"/>
  <c r="S83" i="15"/>
  <c r="Y83" i="15"/>
  <c r="AJ83" i="15"/>
  <c r="AI83" i="15"/>
  <c r="AH83" i="15"/>
  <c r="AG83" i="15"/>
  <c r="AA82" i="15"/>
  <c r="U82" i="15"/>
  <c r="AL82" i="15"/>
  <c r="Z82" i="15"/>
  <c r="T82" i="15"/>
  <c r="W82" i="15"/>
  <c r="AK82" i="15"/>
  <c r="S82" i="15"/>
  <c r="Y82" i="15"/>
  <c r="AJ82" i="15"/>
  <c r="AI82" i="15"/>
  <c r="AH82" i="15"/>
  <c r="AG82" i="15"/>
  <c r="AA81" i="15"/>
  <c r="U81" i="15"/>
  <c r="AL81" i="15"/>
  <c r="W81" i="15"/>
  <c r="AK81" i="15"/>
  <c r="AJ81" i="15"/>
  <c r="AI81" i="15"/>
  <c r="AH81" i="15"/>
  <c r="AG81" i="15"/>
  <c r="AA80" i="15"/>
  <c r="U80" i="15"/>
  <c r="AL80" i="15"/>
  <c r="Z80" i="15"/>
  <c r="T80" i="15"/>
  <c r="W80" i="15"/>
  <c r="AK80" i="15"/>
  <c r="S80" i="15"/>
  <c r="Y80" i="15"/>
  <c r="AJ80" i="15"/>
  <c r="AI80" i="15"/>
  <c r="AH80" i="15"/>
  <c r="AG80" i="15"/>
  <c r="AA79" i="15"/>
  <c r="U79" i="15"/>
  <c r="AL79" i="15"/>
  <c r="Z79" i="15"/>
  <c r="T79" i="15"/>
  <c r="W79" i="15"/>
  <c r="AK79" i="15"/>
  <c r="S79" i="15"/>
  <c r="Y79" i="15"/>
  <c r="AJ79" i="15"/>
  <c r="AI79" i="15"/>
  <c r="AH79" i="15"/>
  <c r="AG79" i="15"/>
  <c r="AA78" i="15"/>
  <c r="U78" i="15"/>
  <c r="AL78" i="15"/>
  <c r="Z78" i="15"/>
  <c r="T78" i="15"/>
  <c r="W78" i="15"/>
  <c r="AK78" i="15"/>
  <c r="S78" i="15"/>
  <c r="Y78" i="15"/>
  <c r="AJ78" i="15"/>
  <c r="AI78" i="15"/>
  <c r="AH78" i="15"/>
  <c r="AG78" i="15"/>
  <c r="AA77" i="15"/>
  <c r="U77" i="15"/>
  <c r="AL77" i="15"/>
  <c r="Z77" i="15"/>
  <c r="T77" i="15"/>
  <c r="W77" i="15"/>
  <c r="AK77" i="15"/>
  <c r="S77" i="15"/>
  <c r="Y77" i="15"/>
  <c r="AJ77" i="15"/>
  <c r="AI77" i="15"/>
  <c r="AH77" i="15"/>
  <c r="AG77" i="15"/>
  <c r="AA76" i="15"/>
  <c r="U76" i="15"/>
  <c r="AL76" i="15"/>
  <c r="Z76" i="15"/>
  <c r="T76" i="15"/>
  <c r="W76" i="15"/>
  <c r="AK76" i="15"/>
  <c r="S76" i="15"/>
  <c r="Y76" i="15"/>
  <c r="AJ76" i="15"/>
  <c r="AI76" i="15"/>
  <c r="AH76" i="15"/>
  <c r="AG76" i="15"/>
  <c r="AA75" i="15"/>
  <c r="U75" i="15"/>
  <c r="AL75" i="15"/>
  <c r="Z75" i="15"/>
  <c r="T75" i="15"/>
  <c r="W75" i="15"/>
  <c r="AK75" i="15"/>
  <c r="S75" i="15"/>
  <c r="Y75" i="15"/>
  <c r="AJ75" i="15"/>
  <c r="AI75" i="15"/>
  <c r="AH75" i="15"/>
  <c r="AG75" i="15"/>
  <c r="AA74" i="15"/>
  <c r="U74" i="15"/>
  <c r="AL74" i="15"/>
  <c r="Z74" i="15"/>
  <c r="T74" i="15"/>
  <c r="W74" i="15"/>
  <c r="AK74" i="15"/>
  <c r="S74" i="15"/>
  <c r="Y74" i="15"/>
  <c r="AJ74" i="15"/>
  <c r="AI74" i="15"/>
  <c r="AH74" i="15"/>
  <c r="AG74" i="15"/>
  <c r="AA73" i="15"/>
  <c r="U73" i="15"/>
  <c r="AL73" i="15"/>
  <c r="Z73" i="15"/>
  <c r="T73" i="15"/>
  <c r="W73" i="15"/>
  <c r="AK73" i="15"/>
  <c r="S73" i="15"/>
  <c r="Y73" i="15"/>
  <c r="AJ73" i="15"/>
  <c r="AI73" i="15"/>
  <c r="AH73" i="15"/>
  <c r="AG73" i="15"/>
  <c r="AA72" i="15"/>
  <c r="U72" i="15"/>
  <c r="AL72" i="15"/>
  <c r="Z72" i="15"/>
  <c r="T72" i="15"/>
  <c r="W72" i="15"/>
  <c r="AK72" i="15"/>
  <c r="S72" i="15"/>
  <c r="Y72" i="15"/>
  <c r="AJ72" i="15"/>
  <c r="AI72" i="15"/>
  <c r="AH72" i="15"/>
  <c r="AG72" i="15"/>
  <c r="AA71" i="15"/>
  <c r="U71" i="15"/>
  <c r="AL71" i="15"/>
  <c r="Z71" i="15"/>
  <c r="T71" i="15"/>
  <c r="W71" i="15"/>
  <c r="AK71" i="15"/>
  <c r="S71" i="15"/>
  <c r="Y71" i="15"/>
  <c r="AJ71" i="15"/>
  <c r="AI71" i="15"/>
  <c r="AH71" i="15"/>
  <c r="AG71" i="15"/>
  <c r="AA70" i="15"/>
  <c r="U70" i="15"/>
  <c r="AL70" i="15"/>
  <c r="Z70" i="15"/>
  <c r="T70" i="15"/>
  <c r="W70" i="15"/>
  <c r="AK70" i="15"/>
  <c r="S70" i="15"/>
  <c r="Y70" i="15"/>
  <c r="AJ70" i="15"/>
  <c r="AI70" i="15"/>
  <c r="AH70" i="15"/>
  <c r="AG70" i="15"/>
  <c r="AA69" i="15"/>
  <c r="U69" i="15"/>
  <c r="AL69" i="15"/>
  <c r="Z69" i="15"/>
  <c r="T69" i="15"/>
  <c r="W69" i="15"/>
  <c r="AK69" i="15"/>
  <c r="S69" i="15"/>
  <c r="Y69" i="15"/>
  <c r="AJ69" i="15"/>
  <c r="AI69" i="15"/>
  <c r="AH69" i="15"/>
  <c r="AG69" i="15"/>
  <c r="AA68" i="15"/>
  <c r="U68" i="15"/>
  <c r="AL68" i="15"/>
  <c r="Z68" i="15"/>
  <c r="T68" i="15"/>
  <c r="W68" i="15"/>
  <c r="AK68" i="15"/>
  <c r="S68" i="15"/>
  <c r="Y68" i="15"/>
  <c r="AJ68" i="15"/>
  <c r="AI68" i="15"/>
  <c r="AH68" i="15"/>
  <c r="AG68" i="15"/>
  <c r="AA67" i="15"/>
  <c r="U67" i="15"/>
  <c r="AL67" i="15"/>
  <c r="Z67" i="15"/>
  <c r="T67" i="15"/>
  <c r="W67" i="15"/>
  <c r="AK67" i="15"/>
  <c r="S67" i="15"/>
  <c r="Y67" i="15"/>
  <c r="AJ67" i="15"/>
  <c r="AI67" i="15"/>
  <c r="AH67" i="15"/>
  <c r="AG67" i="15"/>
  <c r="AA66" i="15"/>
  <c r="U66" i="15"/>
  <c r="AL66" i="15"/>
  <c r="Z66" i="15"/>
  <c r="T66" i="15"/>
  <c r="W66" i="15"/>
  <c r="AK66" i="15"/>
  <c r="S66" i="15"/>
  <c r="Y66" i="15"/>
  <c r="AJ66" i="15"/>
  <c r="AI66" i="15"/>
  <c r="AH66" i="15"/>
  <c r="AG66" i="15"/>
  <c r="AA65" i="15"/>
  <c r="U65" i="15"/>
  <c r="AL65" i="15"/>
  <c r="Z65" i="15"/>
  <c r="T65" i="15"/>
  <c r="W65" i="15"/>
  <c r="AK65" i="15"/>
  <c r="S65" i="15"/>
  <c r="Y65" i="15"/>
  <c r="AJ65" i="15"/>
  <c r="AI65" i="15"/>
  <c r="AH65" i="15"/>
  <c r="AG65" i="15"/>
  <c r="AA64" i="15"/>
  <c r="U64" i="15"/>
  <c r="AL64" i="15"/>
  <c r="Z64" i="15"/>
  <c r="T64" i="15"/>
  <c r="W64" i="15"/>
  <c r="AK64" i="15"/>
  <c r="S64" i="15"/>
  <c r="Y64" i="15"/>
  <c r="AJ64" i="15"/>
  <c r="AI64" i="15"/>
  <c r="AH64" i="15"/>
  <c r="AG64" i="15"/>
  <c r="AA63" i="15"/>
  <c r="U63" i="15"/>
  <c r="AL63" i="15"/>
  <c r="Z63" i="15"/>
  <c r="T63" i="15"/>
  <c r="W63" i="15"/>
  <c r="AK63" i="15"/>
  <c r="S63" i="15"/>
  <c r="Y63" i="15"/>
  <c r="AJ63" i="15"/>
  <c r="AI63" i="15"/>
  <c r="AH63" i="15"/>
  <c r="AG63" i="15"/>
  <c r="AA62" i="15"/>
  <c r="U62" i="15"/>
  <c r="AL62" i="15"/>
  <c r="Z62" i="15"/>
  <c r="T62" i="15"/>
  <c r="W62" i="15"/>
  <c r="AK62" i="15"/>
  <c r="S62" i="15"/>
  <c r="Y62" i="15"/>
  <c r="AJ62" i="15"/>
  <c r="AI62" i="15"/>
  <c r="AH62" i="15"/>
  <c r="AG62" i="15"/>
  <c r="AA61" i="15"/>
  <c r="U61" i="15"/>
  <c r="AL61" i="15"/>
  <c r="Z61" i="15"/>
  <c r="T61" i="15"/>
  <c r="W61" i="15"/>
  <c r="AK61" i="15"/>
  <c r="S61" i="15"/>
  <c r="Y61" i="15"/>
  <c r="AJ61" i="15"/>
  <c r="AI61" i="15"/>
  <c r="AH61" i="15"/>
  <c r="AG61" i="15"/>
  <c r="AA60" i="15"/>
  <c r="U60" i="15"/>
  <c r="AL60" i="15"/>
  <c r="Z60" i="15"/>
  <c r="T60" i="15"/>
  <c r="W60" i="15"/>
  <c r="AK60" i="15"/>
  <c r="S60" i="15"/>
  <c r="Y60" i="15"/>
  <c r="AJ60" i="15"/>
  <c r="AI60" i="15"/>
  <c r="AH60" i="15"/>
  <c r="AG60" i="15"/>
  <c r="AA59" i="15"/>
  <c r="U59" i="15"/>
  <c r="AL59" i="15"/>
  <c r="Z59" i="15"/>
  <c r="T59" i="15"/>
  <c r="W59" i="15"/>
  <c r="AK59" i="15"/>
  <c r="S59" i="15"/>
  <c r="Y59" i="15"/>
  <c r="AJ59" i="15"/>
  <c r="AI59" i="15"/>
  <c r="AH59" i="15"/>
  <c r="AG59" i="15"/>
  <c r="AA58" i="15"/>
  <c r="U58" i="15"/>
  <c r="AL58" i="15"/>
  <c r="Z58" i="15"/>
  <c r="T58" i="15"/>
  <c r="W58" i="15"/>
  <c r="AK58" i="15"/>
  <c r="S58" i="15"/>
  <c r="Y58" i="15"/>
  <c r="AJ58" i="15"/>
  <c r="AI58" i="15"/>
  <c r="AH58" i="15"/>
  <c r="AG58" i="15"/>
  <c r="AA57" i="15"/>
  <c r="U57" i="15"/>
  <c r="AL57" i="15"/>
  <c r="Z57" i="15"/>
  <c r="T57" i="15"/>
  <c r="W57" i="15"/>
  <c r="AK57" i="15"/>
  <c r="S57" i="15"/>
  <c r="Y57" i="15"/>
  <c r="AJ57" i="15"/>
  <c r="AI57" i="15"/>
  <c r="AH57" i="15"/>
  <c r="AG57" i="15"/>
  <c r="AA56" i="15"/>
  <c r="U56" i="15"/>
  <c r="AL56" i="15"/>
  <c r="W56" i="15"/>
  <c r="AK56" i="15"/>
  <c r="AJ56" i="15"/>
  <c r="AI56" i="15"/>
  <c r="AH56" i="15"/>
  <c r="AG56" i="15"/>
  <c r="AA55" i="15"/>
  <c r="U55" i="15"/>
  <c r="AL55" i="15"/>
  <c r="Z55" i="15"/>
  <c r="T55" i="15"/>
  <c r="W55" i="15"/>
  <c r="AK55" i="15"/>
  <c r="S55" i="15"/>
  <c r="Y55" i="15"/>
  <c r="AJ55" i="15"/>
  <c r="AI55" i="15"/>
  <c r="AH55" i="15"/>
  <c r="AG55" i="15"/>
  <c r="AA54" i="15"/>
  <c r="U54" i="15"/>
  <c r="AL54" i="15"/>
  <c r="W54" i="15"/>
  <c r="AK54" i="15"/>
  <c r="AJ54" i="15"/>
  <c r="AI54" i="15"/>
  <c r="AH54" i="15"/>
  <c r="AG54" i="15"/>
  <c r="AA53" i="15"/>
  <c r="U53" i="15"/>
  <c r="AL53" i="15"/>
  <c r="Z53" i="15"/>
  <c r="T53" i="15"/>
  <c r="W53" i="15"/>
  <c r="AK53" i="15"/>
  <c r="S53" i="15"/>
  <c r="Y53" i="15"/>
  <c r="AJ53" i="15"/>
  <c r="AI53" i="15"/>
  <c r="AH53" i="15"/>
  <c r="AG53" i="15"/>
  <c r="AA52" i="15"/>
  <c r="U52" i="15"/>
  <c r="AL52" i="15"/>
  <c r="W52" i="15"/>
  <c r="AK52" i="15"/>
  <c r="AJ52" i="15"/>
  <c r="AI52" i="15"/>
  <c r="AH52" i="15"/>
  <c r="AG52" i="15"/>
  <c r="AA51" i="15"/>
  <c r="U51" i="15"/>
  <c r="AL51" i="15"/>
  <c r="Z51" i="15"/>
  <c r="T51" i="15"/>
  <c r="W51" i="15"/>
  <c r="AK51" i="15"/>
  <c r="S51" i="15"/>
  <c r="Y51" i="15"/>
  <c r="AJ51" i="15"/>
  <c r="AI51" i="15"/>
  <c r="AH51" i="15"/>
  <c r="AG51" i="15"/>
  <c r="AA50" i="15"/>
  <c r="U50" i="15"/>
  <c r="AL50" i="15"/>
  <c r="W50" i="15"/>
  <c r="AK50" i="15"/>
  <c r="AJ50" i="15"/>
  <c r="AI50" i="15"/>
  <c r="AH50" i="15"/>
  <c r="AG50" i="15"/>
  <c r="AA49" i="15"/>
  <c r="U49" i="15"/>
  <c r="AL49" i="15"/>
  <c r="Z49" i="15"/>
  <c r="T49" i="15"/>
  <c r="W49" i="15"/>
  <c r="AK49" i="15"/>
  <c r="S49" i="15"/>
  <c r="Y49" i="15"/>
  <c r="AJ49" i="15"/>
  <c r="AI49" i="15"/>
  <c r="AH49" i="15"/>
  <c r="AG49" i="15"/>
  <c r="AA48" i="15"/>
  <c r="U48" i="15"/>
  <c r="AL48" i="15"/>
  <c r="Z48" i="15"/>
  <c r="T48" i="15"/>
  <c r="W48" i="15"/>
  <c r="AK48" i="15"/>
  <c r="S48" i="15"/>
  <c r="Y48" i="15"/>
  <c r="AJ48" i="15"/>
  <c r="AI48" i="15"/>
  <c r="AH48" i="15"/>
  <c r="AG48" i="15"/>
  <c r="AA47" i="15"/>
  <c r="U47" i="15"/>
  <c r="AL47" i="15"/>
  <c r="Z47" i="15"/>
  <c r="T47" i="15"/>
  <c r="W47" i="15"/>
  <c r="AK47" i="15"/>
  <c r="S47" i="15"/>
  <c r="Y47" i="15"/>
  <c r="AJ47" i="15"/>
  <c r="AI47" i="15"/>
  <c r="AH47" i="15"/>
  <c r="AG47" i="15"/>
  <c r="AA46" i="15"/>
  <c r="U46" i="15"/>
  <c r="AL46" i="15"/>
  <c r="Z46" i="15"/>
  <c r="T46" i="15"/>
  <c r="W46" i="15"/>
  <c r="AK46" i="15"/>
  <c r="S46" i="15"/>
  <c r="Y46" i="15"/>
  <c r="AJ46" i="15"/>
  <c r="AI46" i="15"/>
  <c r="AH46" i="15"/>
  <c r="AG46" i="15"/>
  <c r="AA45" i="15"/>
  <c r="U45" i="15"/>
  <c r="AL45" i="15"/>
  <c r="Z45" i="15"/>
  <c r="T45" i="15"/>
  <c r="W45" i="15"/>
  <c r="AK45" i="15"/>
  <c r="S45" i="15"/>
  <c r="Y45" i="15"/>
  <c r="AJ45" i="15"/>
  <c r="AI45" i="15"/>
  <c r="AH45" i="15"/>
  <c r="AG45" i="15"/>
  <c r="AA44" i="15"/>
  <c r="U44" i="15"/>
  <c r="AL44" i="15"/>
  <c r="Z44" i="15"/>
  <c r="T44" i="15"/>
  <c r="W44" i="15"/>
  <c r="AK44" i="15"/>
  <c r="S44" i="15"/>
  <c r="Y44" i="15"/>
  <c r="AJ44" i="15"/>
  <c r="AI44" i="15"/>
  <c r="AH44" i="15"/>
  <c r="AG44" i="15"/>
  <c r="AA43" i="15"/>
  <c r="U43" i="15"/>
  <c r="AL43" i="15"/>
  <c r="Z43" i="15"/>
  <c r="T43" i="15"/>
  <c r="W43" i="15"/>
  <c r="AK43" i="15"/>
  <c r="S43" i="15"/>
  <c r="Y43" i="15"/>
  <c r="AJ43" i="15"/>
  <c r="AI43" i="15"/>
  <c r="AH43" i="15"/>
  <c r="AG43" i="15"/>
  <c r="AA42" i="15"/>
  <c r="U42" i="15"/>
  <c r="AL42" i="15"/>
  <c r="Z42" i="15"/>
  <c r="T42" i="15"/>
  <c r="W42" i="15"/>
  <c r="AK42" i="15"/>
  <c r="S42" i="15"/>
  <c r="Y42" i="15"/>
  <c r="AJ42" i="15"/>
  <c r="AI42" i="15"/>
  <c r="AH42" i="15"/>
  <c r="AG42" i="15"/>
  <c r="AA41" i="15"/>
  <c r="U41" i="15"/>
  <c r="AL41" i="15"/>
  <c r="Z41" i="15"/>
  <c r="T41" i="15"/>
  <c r="W41" i="15"/>
  <c r="AK41" i="15"/>
  <c r="S41" i="15"/>
  <c r="Y41" i="15"/>
  <c r="AJ41" i="15"/>
  <c r="AI41" i="15"/>
  <c r="AH41" i="15"/>
  <c r="AG41" i="15"/>
  <c r="AA40" i="15"/>
  <c r="U40" i="15"/>
  <c r="AL40" i="15"/>
  <c r="Z40" i="15"/>
  <c r="T40" i="15"/>
  <c r="W40" i="15"/>
  <c r="AK40" i="15"/>
  <c r="S40" i="15"/>
  <c r="Y40" i="15"/>
  <c r="AJ40" i="15"/>
  <c r="AI40" i="15"/>
  <c r="AH40" i="15"/>
  <c r="AG40" i="15"/>
  <c r="AA39" i="15"/>
  <c r="U39" i="15"/>
  <c r="AL39" i="15"/>
  <c r="Z39" i="15"/>
  <c r="T39" i="15"/>
  <c r="W39" i="15"/>
  <c r="AK39" i="15"/>
  <c r="S39" i="15"/>
  <c r="Y39" i="15"/>
  <c r="AJ39" i="15"/>
  <c r="AI39" i="15"/>
  <c r="AH39" i="15"/>
  <c r="AG39" i="15"/>
  <c r="AA38" i="15"/>
  <c r="U38" i="15"/>
  <c r="AL38" i="15"/>
  <c r="Z38" i="15"/>
  <c r="T38" i="15"/>
  <c r="W38" i="15"/>
  <c r="AK38" i="15"/>
  <c r="S38" i="15"/>
  <c r="Y38" i="15"/>
  <c r="AJ38" i="15"/>
  <c r="AI38" i="15"/>
  <c r="AH38" i="15"/>
  <c r="AG38" i="15"/>
  <c r="AA37" i="15"/>
  <c r="U37" i="15"/>
  <c r="AL37" i="15"/>
  <c r="Z37" i="15"/>
  <c r="T37" i="15"/>
  <c r="W37" i="15"/>
  <c r="AK37" i="15"/>
  <c r="S37" i="15"/>
  <c r="Y37" i="15"/>
  <c r="AJ37" i="15"/>
  <c r="AI37" i="15"/>
  <c r="AH37" i="15"/>
  <c r="AG37" i="15"/>
  <c r="AA36" i="15"/>
  <c r="U36" i="15"/>
  <c r="AL36" i="15"/>
  <c r="Z36" i="15"/>
  <c r="T36" i="15"/>
  <c r="W36" i="15"/>
  <c r="AK36" i="15"/>
  <c r="S36" i="15"/>
  <c r="Y36" i="15"/>
  <c r="AJ36" i="15"/>
  <c r="AI36" i="15"/>
  <c r="AH36" i="15"/>
  <c r="AG36" i="15"/>
  <c r="AA35" i="15"/>
  <c r="U35" i="15"/>
  <c r="AL35" i="15"/>
  <c r="Z35" i="15"/>
  <c r="T35" i="15"/>
  <c r="W35" i="15"/>
  <c r="AK35" i="15"/>
  <c r="S35" i="15"/>
  <c r="Y35" i="15"/>
  <c r="AJ35" i="15"/>
  <c r="AI35" i="15"/>
  <c r="AH35" i="15"/>
  <c r="AG35" i="15"/>
  <c r="AA34" i="15"/>
  <c r="U34" i="15"/>
  <c r="AL34" i="15"/>
  <c r="Z34" i="15"/>
  <c r="T34" i="15"/>
  <c r="W34" i="15"/>
  <c r="AK34" i="15"/>
  <c r="S34" i="15"/>
  <c r="Y34" i="15"/>
  <c r="AJ34" i="15"/>
  <c r="AI34" i="15"/>
  <c r="AH34" i="15"/>
  <c r="AG34" i="15"/>
  <c r="AA33" i="15"/>
  <c r="U33" i="15"/>
  <c r="AL33" i="15"/>
  <c r="Z33" i="15"/>
  <c r="T33" i="15"/>
  <c r="W33" i="15"/>
  <c r="AK33" i="15"/>
  <c r="S33" i="15"/>
  <c r="Y33" i="15"/>
  <c r="AJ33" i="15"/>
  <c r="AI33" i="15"/>
  <c r="AH33" i="15"/>
  <c r="AG33" i="15"/>
  <c r="AA32" i="15"/>
  <c r="U32" i="15"/>
  <c r="AL32" i="15"/>
  <c r="Z32" i="15"/>
  <c r="T32" i="15"/>
  <c r="W32" i="15"/>
  <c r="AK32" i="15"/>
  <c r="S32" i="15"/>
  <c r="Y32" i="15"/>
  <c r="AJ32" i="15"/>
  <c r="AI32" i="15"/>
  <c r="AH32" i="15"/>
  <c r="AG32" i="15"/>
  <c r="AA31" i="15"/>
  <c r="U31" i="15"/>
  <c r="AL31" i="15"/>
  <c r="Z31" i="15"/>
  <c r="T31" i="15"/>
  <c r="W31" i="15"/>
  <c r="AK31" i="15"/>
  <c r="AI31" i="15"/>
  <c r="AH31" i="15"/>
  <c r="AG31" i="15"/>
  <c r="AA30" i="15"/>
  <c r="U30" i="15"/>
  <c r="AL30" i="15"/>
  <c r="Z30" i="15"/>
  <c r="T30" i="15"/>
  <c r="W30" i="15"/>
  <c r="AK30" i="15"/>
  <c r="AI30" i="15"/>
  <c r="AH30" i="15"/>
  <c r="AG30" i="15"/>
  <c r="AA29" i="15"/>
  <c r="U29" i="15"/>
  <c r="AL29" i="15"/>
  <c r="Z29" i="15"/>
  <c r="T29" i="15"/>
  <c r="W29" i="15"/>
  <c r="AK29" i="15"/>
  <c r="AI29" i="15"/>
  <c r="AH29" i="15"/>
  <c r="AG29" i="15"/>
  <c r="AA28" i="15"/>
  <c r="U28" i="15"/>
  <c r="AL28" i="15"/>
  <c r="Z28" i="15"/>
  <c r="T28" i="15"/>
  <c r="W28" i="15"/>
  <c r="AK28" i="15"/>
  <c r="S28" i="15"/>
  <c r="Y28" i="15"/>
  <c r="AJ28" i="15"/>
  <c r="AI28" i="15"/>
  <c r="AH28" i="15"/>
  <c r="AG28" i="15"/>
  <c r="AA27" i="15"/>
  <c r="U27" i="15"/>
  <c r="AL27" i="15"/>
  <c r="Z27" i="15"/>
  <c r="T27" i="15"/>
  <c r="W27" i="15"/>
  <c r="AK27" i="15"/>
  <c r="S27" i="15"/>
  <c r="Y27" i="15"/>
  <c r="AJ27" i="15"/>
  <c r="AI27" i="15"/>
  <c r="AH27" i="15"/>
  <c r="AG27" i="15"/>
  <c r="AA26" i="15"/>
  <c r="U26" i="15"/>
  <c r="AL26" i="15"/>
  <c r="Z26" i="15"/>
  <c r="T26" i="15"/>
  <c r="W26" i="15"/>
  <c r="AK26" i="15"/>
  <c r="S26" i="15"/>
  <c r="Y26" i="15"/>
  <c r="AJ26" i="15"/>
  <c r="AI26" i="15"/>
  <c r="AH26" i="15"/>
  <c r="AG26" i="15"/>
  <c r="AA25" i="15"/>
  <c r="U25" i="15"/>
  <c r="AL25" i="15"/>
  <c r="Z25" i="15"/>
  <c r="T25" i="15"/>
  <c r="W25" i="15"/>
  <c r="AK25" i="15"/>
  <c r="S25" i="15"/>
  <c r="Y25" i="15"/>
  <c r="AJ25" i="15"/>
  <c r="AI25" i="15"/>
  <c r="AH25" i="15"/>
  <c r="AG25" i="15"/>
  <c r="AA24" i="15"/>
  <c r="U24" i="15"/>
  <c r="AL24" i="15"/>
  <c r="Z24" i="15"/>
  <c r="T24" i="15"/>
  <c r="W24" i="15"/>
  <c r="AK24" i="15"/>
  <c r="S24" i="15"/>
  <c r="Y24" i="15"/>
  <c r="AJ24" i="15"/>
  <c r="AI24" i="15"/>
  <c r="AH24" i="15"/>
  <c r="AG24" i="15"/>
  <c r="AA23" i="15"/>
  <c r="U23" i="15"/>
  <c r="AL23" i="15"/>
  <c r="Z23" i="15"/>
  <c r="T23" i="15"/>
  <c r="W23" i="15"/>
  <c r="AK23" i="15"/>
  <c r="S23" i="15"/>
  <c r="Y23" i="15"/>
  <c r="AJ23" i="15"/>
  <c r="AI23" i="15"/>
  <c r="AH23" i="15"/>
  <c r="AG23" i="15"/>
  <c r="AA22" i="15"/>
  <c r="U22" i="15"/>
  <c r="AL22" i="15"/>
  <c r="Z22" i="15"/>
  <c r="T22" i="15"/>
  <c r="W22" i="15"/>
  <c r="AK22" i="15"/>
  <c r="S22" i="15"/>
  <c r="Y22" i="15"/>
  <c r="AJ22" i="15"/>
  <c r="AI22" i="15"/>
  <c r="AH22" i="15"/>
  <c r="AG22" i="15"/>
  <c r="AA21" i="15"/>
  <c r="U21" i="15"/>
  <c r="AL21" i="15"/>
  <c r="Z21" i="15"/>
  <c r="T21" i="15"/>
  <c r="W21" i="15"/>
  <c r="AK21" i="15"/>
  <c r="S21" i="15"/>
  <c r="Y21" i="15"/>
  <c r="AJ21" i="15"/>
  <c r="AI21" i="15"/>
  <c r="AH21" i="15"/>
  <c r="AG21" i="15"/>
  <c r="AA20" i="15"/>
  <c r="U20" i="15"/>
  <c r="AL20" i="15"/>
  <c r="Z20" i="15"/>
  <c r="T20" i="15"/>
  <c r="W20" i="15"/>
  <c r="AK20" i="15"/>
  <c r="S20" i="15"/>
  <c r="Y20" i="15"/>
  <c r="AJ20" i="15"/>
  <c r="AI20" i="15"/>
  <c r="AH20" i="15"/>
  <c r="AG20" i="15"/>
  <c r="AA19" i="15"/>
  <c r="U19" i="15"/>
  <c r="AL19" i="15"/>
  <c r="Z19" i="15"/>
  <c r="T19" i="15"/>
  <c r="W19" i="15"/>
  <c r="AK19" i="15"/>
  <c r="S19" i="15"/>
  <c r="Y19" i="15"/>
  <c r="AJ19" i="15"/>
  <c r="AI19" i="15"/>
  <c r="AH19" i="15"/>
  <c r="AG19" i="15"/>
  <c r="AA18" i="15"/>
  <c r="U18" i="15"/>
  <c r="AL18" i="15"/>
  <c r="Z18" i="15"/>
  <c r="T18" i="15"/>
  <c r="W18" i="15"/>
  <c r="AK18" i="15"/>
  <c r="S18" i="15"/>
  <c r="Y18" i="15"/>
  <c r="AJ18" i="15"/>
  <c r="AI18" i="15"/>
  <c r="AH18" i="15"/>
  <c r="AG18" i="15"/>
  <c r="AA17" i="15"/>
  <c r="U17" i="15"/>
  <c r="AL17" i="15"/>
  <c r="Z17" i="15"/>
  <c r="T17" i="15"/>
  <c r="W17" i="15"/>
  <c r="AK17" i="15"/>
  <c r="S17" i="15"/>
  <c r="Y17" i="15"/>
  <c r="AJ17" i="15"/>
  <c r="AI17" i="15"/>
  <c r="AH17" i="15"/>
  <c r="AG17" i="15"/>
  <c r="AA16" i="15"/>
  <c r="U16" i="15"/>
  <c r="AL16" i="15"/>
  <c r="Z16" i="15"/>
  <c r="T16" i="15"/>
  <c r="W16" i="15"/>
  <c r="AK16" i="15"/>
  <c r="S16" i="15"/>
  <c r="Y16" i="15"/>
  <c r="AJ16" i="15"/>
  <c r="AI16" i="15"/>
  <c r="AH16" i="15"/>
  <c r="AG16" i="15"/>
  <c r="AA15" i="15"/>
  <c r="U15" i="15"/>
  <c r="AL15" i="15"/>
  <c r="Z15" i="15"/>
  <c r="T15" i="15"/>
  <c r="W15" i="15"/>
  <c r="AK15" i="15"/>
  <c r="S15" i="15"/>
  <c r="Y15" i="15"/>
  <c r="AJ15" i="15"/>
  <c r="AI15" i="15"/>
  <c r="AH15" i="15"/>
  <c r="AG15" i="15"/>
  <c r="AA14" i="15"/>
  <c r="U14" i="15"/>
  <c r="AL14" i="15"/>
  <c r="Z14" i="15"/>
  <c r="T14" i="15"/>
  <c r="W14" i="15"/>
  <c r="AK14" i="15"/>
  <c r="S14" i="15"/>
  <c r="Y14" i="15"/>
  <c r="AJ14" i="15"/>
  <c r="AI14" i="15"/>
  <c r="AH14" i="15"/>
  <c r="AG14" i="15"/>
  <c r="AA13" i="15"/>
  <c r="U13" i="15"/>
  <c r="AL13" i="15"/>
  <c r="Z13" i="15"/>
  <c r="T13" i="15"/>
  <c r="W13" i="15"/>
  <c r="AK13" i="15"/>
  <c r="S13" i="15"/>
  <c r="Y13" i="15"/>
  <c r="AJ13" i="15"/>
  <c r="AI13" i="15"/>
  <c r="AH13" i="15"/>
  <c r="AG13" i="15"/>
  <c r="AA12" i="15"/>
  <c r="U12" i="15"/>
  <c r="AL12" i="15"/>
  <c r="Z12" i="15"/>
  <c r="T12" i="15"/>
  <c r="W12" i="15"/>
  <c r="AK12" i="15"/>
  <c r="S12" i="15"/>
  <c r="Y12" i="15"/>
  <c r="AJ12" i="15"/>
  <c r="AI12" i="15"/>
  <c r="AH12" i="15"/>
  <c r="AG12" i="15"/>
  <c r="AA11" i="15"/>
  <c r="U11" i="15"/>
  <c r="AL11" i="15"/>
  <c r="Z11" i="15"/>
  <c r="T11" i="15"/>
  <c r="W11" i="15"/>
  <c r="AK11" i="15"/>
  <c r="S11" i="15"/>
  <c r="Y11" i="15"/>
  <c r="AJ11" i="15"/>
  <c r="AI11" i="15"/>
  <c r="AH11" i="15"/>
  <c r="AG11" i="15"/>
  <c r="AA10" i="15"/>
  <c r="U10" i="15"/>
  <c r="AL10" i="15"/>
  <c r="Z10" i="15"/>
  <c r="T10" i="15"/>
  <c r="W10" i="15"/>
  <c r="AK10" i="15"/>
  <c r="S10" i="15"/>
  <c r="Y10" i="15"/>
  <c r="AJ10" i="15"/>
  <c r="AI10" i="15"/>
  <c r="AH10" i="15"/>
  <c r="AG10" i="15"/>
  <c r="AA9" i="15"/>
  <c r="U9" i="15"/>
  <c r="AL9" i="15"/>
  <c r="Z9" i="15"/>
  <c r="T9" i="15"/>
  <c r="W9" i="15"/>
  <c r="AK9" i="15"/>
  <c r="S9" i="15"/>
  <c r="Y9" i="15"/>
  <c r="AJ9" i="15"/>
  <c r="AI9" i="15"/>
  <c r="AH9" i="15"/>
  <c r="AG9" i="15"/>
  <c r="AA8" i="15"/>
  <c r="U8" i="15"/>
  <c r="AL8" i="15"/>
  <c r="Z8" i="15"/>
  <c r="T8" i="15"/>
  <c r="W8" i="15"/>
  <c r="AK8" i="15"/>
  <c r="S8" i="15"/>
  <c r="Y8" i="15"/>
  <c r="AJ8" i="15"/>
  <c r="AI8" i="15"/>
  <c r="AH8" i="15"/>
  <c r="AG8" i="15"/>
  <c r="AA7" i="15"/>
  <c r="U7" i="15"/>
  <c r="AL7" i="15"/>
  <c r="Z7" i="15"/>
  <c r="T7" i="15"/>
  <c r="W7" i="15"/>
  <c r="AK7" i="15"/>
  <c r="S7" i="15"/>
  <c r="Y7" i="15"/>
  <c r="AJ7" i="15"/>
  <c r="AI7" i="15"/>
  <c r="AH7" i="15"/>
  <c r="AG7" i="15"/>
  <c r="AA6" i="15"/>
  <c r="U6" i="15"/>
  <c r="AL6" i="15"/>
  <c r="Z6" i="15"/>
  <c r="T6" i="15"/>
  <c r="W6" i="15"/>
  <c r="AK6" i="15"/>
  <c r="S6" i="15"/>
  <c r="Y6" i="15"/>
  <c r="AJ6" i="15"/>
  <c r="AI6" i="15"/>
  <c r="AH6" i="15"/>
  <c r="AG6" i="15"/>
  <c r="AA5" i="15"/>
  <c r="U5" i="15"/>
  <c r="AL5" i="15"/>
  <c r="Z5" i="15"/>
  <c r="T5" i="15"/>
  <c r="W5" i="15"/>
  <c r="AK5" i="15"/>
  <c r="S5" i="15"/>
  <c r="Y5" i="15"/>
  <c r="AJ5" i="15"/>
  <c r="AI5" i="15"/>
  <c r="AH5" i="15"/>
  <c r="AG5" i="15"/>
  <c r="AA4" i="15"/>
  <c r="U4" i="15"/>
  <c r="AL4" i="15"/>
  <c r="W4" i="15"/>
  <c r="AK4" i="15"/>
  <c r="AJ4" i="15"/>
  <c r="AI4" i="15"/>
  <c r="AH4" i="15"/>
  <c r="AG4" i="15"/>
  <c r="AA3" i="15"/>
  <c r="U3" i="15"/>
  <c r="AL3" i="15"/>
  <c r="W3" i="15"/>
  <c r="AK3" i="15"/>
  <c r="AJ3" i="15"/>
  <c r="AI3" i="15"/>
  <c r="AH3" i="15"/>
  <c r="AG3" i="15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</calcChain>
</file>

<file path=xl/comments1.xml><?xml version="1.0" encoding="utf-8"?>
<comments xmlns="http://schemas.openxmlformats.org/spreadsheetml/2006/main">
  <authors>
    <author>吉澤 曜祐</author>
  </authors>
  <commentList>
    <comment ref="A2" authorId="0">
      <text>
        <r>
          <rPr>
            <b/>
            <sz val="10"/>
            <color indexed="81"/>
            <rFont val="ＭＳ Ｐゴシック"/>
            <family val="2"/>
            <charset val="128"/>
          </rPr>
          <t>初回起動時相当</t>
        </r>
      </text>
    </comment>
    <comment ref="A16" authorId="0">
      <text>
        <r>
          <rPr>
            <b/>
            <sz val="10"/>
            <color indexed="81"/>
            <rFont val="ＭＳ Ｐゴシック"/>
            <family val="2"/>
            <charset val="128"/>
          </rPr>
          <t>★2 Lv.MAX 相当</t>
        </r>
      </text>
    </comment>
    <comment ref="A31" authorId="0">
      <text>
        <r>
          <rPr>
            <b/>
            <sz val="10"/>
            <color indexed="81"/>
            <rFont val="ＭＳ Ｐゴシック"/>
            <family val="2"/>
            <charset val="128"/>
          </rPr>
          <t>★2 Lv.MAX 相当</t>
        </r>
      </text>
    </comment>
    <comment ref="A41" authorId="0">
      <text>
        <r>
          <rPr>
            <b/>
            <sz val="10"/>
            <color indexed="81"/>
            <rFont val="ＭＳ Ｐゴシック"/>
            <family val="2"/>
            <charset val="128"/>
          </rPr>
          <t>★3 Lv.MAX 相当</t>
        </r>
      </text>
    </comment>
    <comment ref="A61" authorId="0">
      <text>
        <r>
          <rPr>
            <b/>
            <sz val="10"/>
            <color indexed="81"/>
            <rFont val="ＭＳ Ｐゴシック"/>
            <family val="2"/>
            <charset val="128"/>
          </rPr>
          <t>★4 Lv.MAX 相当</t>
        </r>
      </text>
    </comment>
    <comment ref="A81" authorId="0">
      <text>
        <r>
          <rPr>
            <b/>
            <sz val="10"/>
            <color indexed="81"/>
            <rFont val="ＭＳ Ｐゴシック"/>
            <family val="2"/>
            <charset val="128"/>
          </rPr>
          <t>★5 Lv.MAX 相当</t>
        </r>
      </text>
    </comment>
  </commentList>
</comments>
</file>

<file path=xl/sharedStrings.xml><?xml version="1.0" encoding="utf-8"?>
<sst xmlns="http://schemas.openxmlformats.org/spreadsheetml/2006/main" count="3559" uniqueCount="181">
  <si>
    <t>monster_id</t>
  </si>
  <si>
    <t>size</t>
  </si>
  <si>
    <t>ターン数</t>
  </si>
  <si>
    <t>MiddleBoss</t>
  </si>
  <si>
    <t>Boss</t>
  </si>
  <si>
    <t>Normal</t>
  </si>
  <si>
    <t>monster_level</t>
  </si>
  <si>
    <t>hp</t>
  </si>
  <si>
    <t>attack</t>
  </si>
  <si>
    <t>defense</t>
  </si>
  <si>
    <t>speed</t>
  </si>
  <si>
    <t>mana</t>
  </si>
  <si>
    <t>ザコ</t>
  </si>
  <si>
    <t>中ボス</t>
  </si>
  <si>
    <t>BOSS</t>
  </si>
  <si>
    <t>戻り値</t>
  </si>
  <si>
    <t>MiddleBoss以上確定</t>
  </si>
  <si>
    <t>Boss以上確定</t>
  </si>
  <si>
    <t>超経験値_緑</t>
  </si>
  <si>
    <t>Normal</t>
    <phoneticPr fontId="8"/>
  </si>
  <si>
    <t>character_id</t>
  </si>
  <si>
    <t>character_id</t>
    <phoneticPr fontId="11"/>
  </si>
  <si>
    <t>level</t>
  </si>
  <si>
    <t>size</t>
    <phoneticPr fontId="11"/>
  </si>
  <si>
    <t>skill_set_id</t>
    <phoneticPr fontId="11"/>
  </si>
  <si>
    <t>DEF</t>
    <phoneticPr fontId="8"/>
  </si>
  <si>
    <t>ラベル</t>
    <phoneticPr fontId="8"/>
  </si>
  <si>
    <t>意味</t>
    <phoneticPr fontId="8"/>
  </si>
  <si>
    <t>HP</t>
    <phoneticPr fontId="8"/>
  </si>
  <si>
    <t>ATK</t>
    <phoneticPr fontId="8"/>
  </si>
  <si>
    <t>Boss以上確定</t>
    <rPh sb="4" eb="6">
      <t>イジョウ</t>
    </rPh>
    <rPh sb="6" eb="8">
      <t>カクテイ</t>
    </rPh>
    <phoneticPr fontId="8"/>
  </si>
  <si>
    <t>Normal</t>
    <phoneticPr fontId="8"/>
  </si>
  <si>
    <t>name</t>
    <phoneticPr fontId="8"/>
  </si>
  <si>
    <t>color</t>
    <phoneticPr fontId="11"/>
  </si>
  <si>
    <t>character_type_id</t>
    <phoneticPr fontId="11"/>
  </si>
  <si>
    <t>rare</t>
    <phoneticPr fontId="11"/>
  </si>
  <si>
    <t>攻撃係数</t>
    <rPh sb="0" eb="2">
      <t>コウゲキリョク</t>
    </rPh>
    <rPh sb="2" eb="4">
      <t>ケイスウ</t>
    </rPh>
    <phoneticPr fontId="11"/>
  </si>
  <si>
    <t>防御係数</t>
    <rPh sb="0" eb="2">
      <t>ボウギョリョク</t>
    </rPh>
    <rPh sb="2" eb="4">
      <t>ケイスウ</t>
    </rPh>
    <phoneticPr fontId="11"/>
  </si>
  <si>
    <t>HP係数</t>
    <rPh sb="2" eb="4">
      <t>ケイスウ</t>
    </rPh>
    <phoneticPr fontId="11"/>
  </si>
  <si>
    <t>name</t>
    <phoneticPr fontId="11"/>
  </si>
  <si>
    <t>character_main_tribe_id</t>
    <phoneticPr fontId="11"/>
  </si>
  <si>
    <t>name</t>
    <phoneticPr fontId="11"/>
  </si>
  <si>
    <t>ラベル</t>
    <phoneticPr fontId="11"/>
  </si>
  <si>
    <t>防御系数</t>
    <phoneticPr fontId="11"/>
  </si>
  <si>
    <t>size</t>
    <phoneticPr fontId="8"/>
  </si>
  <si>
    <t>level</t>
    <phoneticPr fontId="12"/>
  </si>
  <si>
    <t>base_hp</t>
  </si>
  <si>
    <t>base_hp</t>
    <phoneticPr fontId="12"/>
  </si>
  <si>
    <t>base_attack</t>
  </si>
  <si>
    <t>base_attack</t>
    <phoneticPr fontId="12"/>
  </si>
  <si>
    <t>base_defense</t>
  </si>
  <si>
    <t>base_defense</t>
    <phoneticPr fontId="12"/>
  </si>
  <si>
    <t>min_hp</t>
  </si>
  <si>
    <t>min_hp</t>
    <phoneticPr fontId="11"/>
  </si>
  <si>
    <t>min_attack</t>
  </si>
  <si>
    <t>min_attack</t>
    <phoneticPr fontId="11"/>
  </si>
  <si>
    <t>min_defense</t>
  </si>
  <si>
    <t>min_defense</t>
    <phoneticPr fontId="11"/>
  </si>
  <si>
    <t>max_hp</t>
  </si>
  <si>
    <t>max_hp</t>
    <phoneticPr fontId="11"/>
  </si>
  <si>
    <t>max_attack</t>
  </si>
  <si>
    <t>max_attack</t>
    <phoneticPr fontId="11"/>
  </si>
  <si>
    <t>max_defense</t>
  </si>
  <si>
    <t>max_defense</t>
    <phoneticPr fontId="11"/>
  </si>
  <si>
    <t>skip</t>
  </si>
  <si>
    <t>skip</t>
    <phoneticPr fontId="11"/>
  </si>
  <si>
    <t>level_test</t>
  </si>
  <si>
    <t>level_test</t>
    <phoneticPr fontId="8"/>
  </si>
  <si>
    <t>reward_exp_rate</t>
    <phoneticPr fontId="12"/>
  </si>
  <si>
    <t>reward_exp_rate</t>
    <phoneticPr fontId="20"/>
  </si>
  <si>
    <t>reward_bits_rate</t>
    <phoneticPr fontId="20"/>
  </si>
  <si>
    <t>reward_bits_rate</t>
    <phoneticPr fontId="12"/>
  </si>
  <si>
    <t>NULL</t>
    <phoneticPr fontId="11"/>
  </si>
  <si>
    <t>base_reward_bits</t>
  </si>
  <si>
    <t>base_reward_bits</t>
    <phoneticPr fontId="11"/>
  </si>
  <si>
    <t>base_reward_exp</t>
  </si>
  <si>
    <t>攻撃系数</t>
    <rPh sb="0" eb="4">
      <t>コウゲキケイスウ</t>
    </rPh>
    <phoneticPr fontId="11"/>
  </si>
  <si>
    <t>標準HP</t>
    <rPh sb="0" eb="2">
      <t>ヒョウジュン</t>
    </rPh>
    <phoneticPr fontId="12"/>
  </si>
  <si>
    <t>標準攻撃力</t>
    <rPh sb="0" eb="2">
      <t>ヒョウジュン</t>
    </rPh>
    <rPh sb="2" eb="5">
      <t>コウゲキリョク</t>
    </rPh>
    <phoneticPr fontId="12"/>
  </si>
  <si>
    <t>speed</t>
    <phoneticPr fontId="8"/>
  </si>
  <si>
    <t>skill_set_id</t>
    <phoneticPr fontId="8"/>
  </si>
  <si>
    <t>HP係数</t>
    <rPh sb="2" eb="4">
      <t>ケイスウ</t>
    </rPh>
    <phoneticPr fontId="8"/>
  </si>
  <si>
    <t>攻撃係数</t>
    <rPh sb="0" eb="2">
      <t>コウゲキリョク</t>
    </rPh>
    <rPh sb="2" eb="4">
      <t>ケイスウ</t>
    </rPh>
    <phoneticPr fontId="8"/>
  </si>
  <si>
    <t>防御係数</t>
    <rPh sb="0" eb="2">
      <t>ボウギョリョク</t>
    </rPh>
    <rPh sb="2" eb="4">
      <t>ケイスウ</t>
    </rPh>
    <phoneticPr fontId="8"/>
  </si>
  <si>
    <t>Boss_HPx1.5</t>
    <phoneticPr fontId="8"/>
  </si>
  <si>
    <t>Boss_HPx2.0</t>
    <phoneticPr fontId="8"/>
  </si>
  <si>
    <t>Boss_HPx2.0</t>
    <phoneticPr fontId="11"/>
  </si>
  <si>
    <t>Boss_HPx1.5</t>
    <phoneticPr fontId="11"/>
  </si>
  <si>
    <t>Boss_HPx1.5</t>
  </si>
  <si>
    <t>Boss_HPx2.0</t>
    <phoneticPr fontId="11"/>
  </si>
  <si>
    <t>Boss_HPx1.5</t>
    <phoneticPr fontId="11"/>
  </si>
  <si>
    <t>Boss_HPx1.5</t>
    <phoneticPr fontId="11"/>
  </si>
  <si>
    <t>comment</t>
    <phoneticPr fontId="11"/>
  </si>
  <si>
    <t>enemy_id</t>
    <phoneticPr fontId="11"/>
  </si>
  <si>
    <t>Boss_HPx2.5</t>
    <phoneticPr fontId="11"/>
  </si>
  <si>
    <t>Boss</t>
    <phoneticPr fontId="11"/>
  </si>
  <si>
    <t>Boss_HPx2.5</t>
    <phoneticPr fontId="8"/>
  </si>
  <si>
    <t>Boss_HPx2.5</t>
    <phoneticPr fontId="8"/>
  </si>
  <si>
    <t>Boss</t>
    <phoneticPr fontId="8"/>
  </si>
  <si>
    <t>base_hp</t>
    <phoneticPr fontId="12"/>
  </si>
  <si>
    <t>parameter↓</t>
    <phoneticPr fontId="12"/>
  </si>
  <si>
    <t>標準HP</t>
    <rPh sb="0" eb="2">
      <t>ヒョウジュン</t>
    </rPh>
    <phoneticPr fontId="12"/>
  </si>
  <si>
    <t>base_attack</t>
    <phoneticPr fontId="12"/>
  </si>
  <si>
    <t>標準攻撃力</t>
    <rPh sb="0" eb="2">
      <t>ヒョウジュン</t>
    </rPh>
    <rPh sb="2" eb="5">
      <t>コウゲキリョク</t>
    </rPh>
    <phoneticPr fontId="12"/>
  </si>
  <si>
    <t>base_defence</t>
    <phoneticPr fontId="12"/>
  </si>
  <si>
    <t>接頭語</t>
    <rPh sb="0" eb="3">
      <t>セットウゴ</t>
    </rPh>
    <phoneticPr fontId="20"/>
  </si>
  <si>
    <t>識別子</t>
    <rPh sb="0" eb="3">
      <t>シキベツシ</t>
    </rPh>
    <phoneticPr fontId="20"/>
  </si>
  <si>
    <t>形式</t>
    <rPh sb="0" eb="2">
      <t>ケイシキ</t>
    </rPh>
    <phoneticPr fontId="20"/>
  </si>
  <si>
    <t>出力ファイル名</t>
    <rPh sb="0" eb="2">
      <t>シュツリョク</t>
    </rPh>
    <rPh sb="6" eb="7">
      <t>メイ</t>
    </rPh>
    <phoneticPr fontId="20"/>
  </si>
  <si>
    <t>入力シート名</t>
    <rPh sb="0" eb="2">
      <t>ニュウリョク</t>
    </rPh>
    <rPh sb="5" eb="6">
      <t>メイ</t>
    </rPh>
    <phoneticPr fontId="20"/>
  </si>
  <si>
    <t>出力データ</t>
    <rPh sb="0" eb="2">
      <t>シュツリョク</t>
    </rPh>
    <phoneticPr fontId="20"/>
  </si>
  <si>
    <t>.csv</t>
    <phoneticPr fontId="20"/>
  </si>
  <si>
    <t>enemies</t>
    <phoneticPr fontId="20"/>
  </si>
  <si>
    <t>.dat</t>
    <phoneticPr fontId="20"/>
  </si>
  <si>
    <t>enemy_base_stats</t>
    <phoneticPr fontId="20"/>
  </si>
  <si>
    <t>.dat</t>
    <phoneticPr fontId="20"/>
  </si>
  <si>
    <t>enemies</t>
    <phoneticPr fontId="20"/>
  </si>
  <si>
    <t>enemy_base_stats</t>
    <phoneticPr fontId="20"/>
  </si>
  <si>
    <t>enemy_levels_calc</t>
    <phoneticPr fontId="20"/>
  </si>
  <si>
    <t>base_reward_exp</t>
    <phoneticPr fontId="11"/>
  </si>
  <si>
    <t>出力flg</t>
    <rPh sb="0" eb="2">
      <t>シュツリョク</t>
    </rPh>
    <phoneticPr fontId="20"/>
  </si>
  <si>
    <t>old</t>
    <phoneticPr fontId="20"/>
  </si>
  <si>
    <t>old</t>
    <phoneticPr fontId="20"/>
  </si>
  <si>
    <t>R</t>
    <phoneticPr fontId="8"/>
  </si>
  <si>
    <t>attack</t>
    <phoneticPr fontId="11"/>
  </si>
  <si>
    <t>hp</t>
    <phoneticPr fontId="11"/>
  </si>
  <si>
    <t>heal</t>
    <phoneticPr fontId="11"/>
  </si>
  <si>
    <t>technical</t>
  </si>
  <si>
    <t>balance</t>
  </si>
  <si>
    <t>Normal</t>
    <phoneticPr fontId="8"/>
  </si>
  <si>
    <t>Normal</t>
    <phoneticPr fontId="8"/>
  </si>
  <si>
    <t>attack</t>
    <phoneticPr fontId="11"/>
  </si>
  <si>
    <t>hp</t>
    <phoneticPr fontId="11"/>
  </si>
  <si>
    <t>heal</t>
    <phoneticPr fontId="11"/>
  </si>
  <si>
    <t>balance</t>
    <phoneticPr fontId="11"/>
  </si>
  <si>
    <t>Boss</t>
    <phoneticPr fontId="8"/>
  </si>
  <si>
    <t>Boss</t>
    <phoneticPr fontId="8"/>
  </si>
  <si>
    <t>hp</t>
    <phoneticPr fontId="11"/>
  </si>
  <si>
    <t>hp</t>
    <phoneticPr fontId="11"/>
  </si>
  <si>
    <t>attack</t>
    <phoneticPr fontId="11"/>
  </si>
  <si>
    <t>god</t>
    <phoneticPr fontId="11"/>
  </si>
  <si>
    <t>unknown</t>
    <phoneticPr fontId="11"/>
  </si>
  <si>
    <t>unknown</t>
    <phoneticPr fontId="11"/>
  </si>
  <si>
    <t>human</t>
    <phoneticPr fontId="11"/>
  </si>
  <si>
    <t>human</t>
    <phoneticPr fontId="11"/>
  </si>
  <si>
    <t>human</t>
    <phoneticPr fontId="11"/>
  </si>
  <si>
    <t>balance</t>
    <phoneticPr fontId="11"/>
  </si>
  <si>
    <t>red</t>
  </si>
  <si>
    <t>green</t>
  </si>
  <si>
    <t>blue</t>
  </si>
  <si>
    <t>yellow</t>
  </si>
  <si>
    <t>attack</t>
    <phoneticPr fontId="11"/>
  </si>
  <si>
    <t>ti</t>
    <phoneticPr fontId="11"/>
  </si>
  <si>
    <t>human</t>
    <phoneticPr fontId="11"/>
  </si>
  <si>
    <t>technical</t>
    <phoneticPr fontId="11"/>
  </si>
  <si>
    <t>technical</t>
    <phoneticPr fontId="11"/>
  </si>
  <si>
    <t>human</t>
    <phoneticPr fontId="11"/>
  </si>
  <si>
    <t>human</t>
  </si>
  <si>
    <t>human</t>
    <phoneticPr fontId="11"/>
  </si>
  <si>
    <t>technical</t>
    <phoneticPr fontId="11"/>
  </si>
  <si>
    <t>attack</t>
    <phoneticPr fontId="11"/>
  </si>
  <si>
    <t>balance</t>
    <phoneticPr fontId="11"/>
  </si>
  <si>
    <t>balance</t>
    <phoneticPr fontId="11"/>
  </si>
  <si>
    <t>animal</t>
    <phoneticPr fontId="11"/>
  </si>
  <si>
    <t>animal</t>
    <phoneticPr fontId="11"/>
  </si>
  <si>
    <t>human</t>
    <phoneticPr fontId="11"/>
  </si>
  <si>
    <t>heal</t>
    <phoneticPr fontId="11"/>
  </si>
  <si>
    <t>attack</t>
    <phoneticPr fontId="11"/>
  </si>
  <si>
    <t>balance</t>
    <phoneticPr fontId="11"/>
  </si>
  <si>
    <t>attack</t>
    <phoneticPr fontId="11"/>
  </si>
  <si>
    <t>technical</t>
    <phoneticPr fontId="11"/>
  </si>
  <si>
    <t>テクニカルタイプ</t>
    <phoneticPr fontId="11"/>
  </si>
  <si>
    <t>attack</t>
    <phoneticPr fontId="11"/>
  </si>
  <si>
    <t>god</t>
    <phoneticPr fontId="11"/>
  </si>
  <si>
    <t>heal</t>
    <phoneticPr fontId="11"/>
  </si>
  <si>
    <t>unknown</t>
    <phoneticPr fontId="11"/>
  </si>
  <si>
    <t>hp</t>
    <phoneticPr fontId="11"/>
  </si>
  <si>
    <t>blue</t>
    <phoneticPr fontId="11"/>
  </si>
  <si>
    <t>attack</t>
    <phoneticPr fontId="11"/>
  </si>
  <si>
    <t>human</t>
    <phoneticPr fontId="11"/>
  </si>
  <si>
    <t>attack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</si>
</sst>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8"/>
      <name val="Arial"/>
      <family val="2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theme="1"/>
      <name val="Arial"/>
      <family val="2"/>
    </font>
    <font>
      <b/>
      <sz val="10"/>
      <color indexed="8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1"/>
      <name val="MS PGothic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5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8000"/>
        <bgColor indexed="5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31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31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/>
      <right style="thin">
        <color indexed="8"/>
      </right>
      <top style="thin">
        <color auto="1"/>
      </top>
      <bottom/>
      <diagonal/>
    </border>
  </borders>
  <cellStyleXfs count="1045">
    <xf numFmtId="0" fontId="0" fillId="0" borderId="0"/>
    <xf numFmtId="0" fontId="6" fillId="0" borderId="0"/>
    <xf numFmtId="38" fontId="1" fillId="0" borderId="0" applyFill="0" applyBorder="0" applyAlignment="0" applyProtection="0"/>
    <xf numFmtId="0" fontId="10" fillId="2" borderId="0" applyNumberFormat="0" applyBorder="0" applyAlignment="0" applyProtection="0"/>
    <xf numFmtId="0" fontId="9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Font="1"/>
    <xf numFmtId="0" fontId="6" fillId="0" borderId="1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right" vertical="center"/>
    </xf>
    <xf numFmtId="0" fontId="13" fillId="6" borderId="3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right" vertical="center"/>
    </xf>
    <xf numFmtId="0" fontId="13" fillId="6" borderId="3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right" vertical="center"/>
    </xf>
    <xf numFmtId="0" fontId="13" fillId="0" borderId="3" xfId="0" applyFont="1" applyBorder="1" applyAlignment="1">
      <alignment horizontal="right" vertical="center"/>
    </xf>
    <xf numFmtId="0" fontId="13" fillId="6" borderId="0" xfId="0" applyFont="1" applyFill="1" applyAlignment="1">
      <alignment horizontal="left" vertical="center"/>
    </xf>
    <xf numFmtId="0" fontId="13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13" fillId="6" borderId="2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5" borderId="5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right" vertical="center"/>
    </xf>
    <xf numFmtId="0" fontId="13" fillId="7" borderId="3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5" fillId="7" borderId="9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5" fillId="7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6" borderId="9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8" borderId="3" xfId="0" applyFont="1" applyFill="1" applyBorder="1" applyAlignment="1">
      <alignment horizontal="right" vertical="center"/>
    </xf>
    <xf numFmtId="0" fontId="13" fillId="9" borderId="3" xfId="0" applyFont="1" applyFill="1" applyBorder="1" applyAlignment="1">
      <alignment horizontal="right" vertical="center"/>
    </xf>
    <xf numFmtId="0" fontId="17" fillId="10" borderId="3" xfId="0" applyFont="1" applyFill="1" applyBorder="1" applyAlignment="1">
      <alignment horizontal="center" vertical="center" wrapText="1"/>
    </xf>
    <xf numFmtId="0" fontId="13" fillId="6" borderId="10" xfId="0" applyFont="1" applyFill="1" applyBorder="1" applyAlignment="1">
      <alignment horizontal="left" vertical="center"/>
    </xf>
    <xf numFmtId="0" fontId="13" fillId="0" borderId="3" xfId="0" applyFont="1" applyBorder="1" applyAlignment="1">
      <alignment horizontal="right" vertical="center" wrapText="1"/>
    </xf>
    <xf numFmtId="0" fontId="5" fillId="7" borderId="12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11" borderId="1" xfId="0" applyFont="1" applyFill="1" applyBorder="1" applyAlignment="1">
      <alignment vertical="center"/>
    </xf>
    <xf numFmtId="0" fontId="13" fillId="11" borderId="3" xfId="0" applyFont="1" applyFill="1" applyBorder="1" applyAlignment="1">
      <alignment vertical="center"/>
    </xf>
    <xf numFmtId="0" fontId="5" fillId="11" borderId="0" xfId="0" applyFont="1" applyFill="1" applyAlignment="1">
      <alignment vertical="center"/>
    </xf>
    <xf numFmtId="0" fontId="5" fillId="11" borderId="3" xfId="0" applyFont="1" applyFill="1" applyBorder="1" applyAlignment="1">
      <alignment vertical="center"/>
    </xf>
    <xf numFmtId="0" fontId="13" fillId="6" borderId="3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0" fontId="21" fillId="14" borderId="3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vertical="center"/>
    </xf>
    <xf numFmtId="0" fontId="22" fillId="16" borderId="3" xfId="0" applyFont="1" applyFill="1" applyBorder="1" applyAlignment="1">
      <alignment horizontal="center" vertical="center"/>
    </xf>
    <xf numFmtId="0" fontId="22" fillId="15" borderId="3" xfId="0" applyFont="1" applyFill="1" applyBorder="1" applyAlignment="1">
      <alignment horizontal="center" vertical="center"/>
    </xf>
    <xf numFmtId="0" fontId="22" fillId="15" borderId="7" xfId="0" applyFont="1" applyFill="1" applyBorder="1" applyAlignment="1">
      <alignment horizontal="center" vertical="center" wrapText="1"/>
    </xf>
    <xf numFmtId="0" fontId="22" fillId="15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7" fillId="6" borderId="9" xfId="0" applyFont="1" applyFill="1" applyBorder="1" applyAlignment="1">
      <alignment vertical="center"/>
    </xf>
    <xf numFmtId="0" fontId="7" fillId="7" borderId="7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vertical="center"/>
    </xf>
    <xf numFmtId="0" fontId="15" fillId="0" borderId="3" xfId="0" applyFont="1" applyFill="1" applyBorder="1" applyAlignment="1">
      <alignment vertical="center"/>
    </xf>
    <xf numFmtId="2" fontId="5" fillId="0" borderId="11" xfId="0" applyNumberFormat="1" applyFont="1" applyFill="1" applyBorder="1" applyAlignment="1">
      <alignment vertical="center"/>
    </xf>
    <xf numFmtId="0" fontId="5" fillId="17" borderId="9" xfId="0" applyFont="1" applyFill="1" applyBorder="1" applyAlignment="1">
      <alignment vertical="center"/>
    </xf>
    <xf numFmtId="0" fontId="5" fillId="0" borderId="13" xfId="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24" fillId="0" borderId="3" xfId="0" applyFont="1" applyBorder="1"/>
    <xf numFmtId="0" fontId="24" fillId="0" borderId="10" xfId="0" applyFont="1" applyBorder="1"/>
    <xf numFmtId="0" fontId="25" fillId="0" borderId="10" xfId="0" applyFont="1" applyFill="1" applyBorder="1" applyAlignment="1">
      <alignment vertical="center"/>
    </xf>
    <xf numFmtId="0" fontId="16" fillId="0" borderId="15" xfId="0" applyFont="1" applyBorder="1" applyAlignment="1">
      <alignment vertical="center"/>
    </xf>
    <xf numFmtId="0" fontId="13" fillId="6" borderId="16" xfId="0" applyFont="1" applyFill="1" applyBorder="1" applyAlignment="1">
      <alignment horizontal="left" vertical="center"/>
    </xf>
    <xf numFmtId="0" fontId="26" fillId="18" borderId="3" xfId="0" applyFont="1" applyFill="1" applyBorder="1"/>
    <xf numFmtId="0" fontId="0" fillId="18" borderId="3" xfId="0" applyFill="1" applyBorder="1"/>
    <xf numFmtId="0" fontId="14" fillId="5" borderId="3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vertical="center"/>
    </xf>
    <xf numFmtId="0" fontId="26" fillId="13" borderId="3" xfId="0" applyFont="1" applyFill="1" applyBorder="1"/>
    <xf numFmtId="0" fontId="0" fillId="13" borderId="3" xfId="0" applyFill="1" applyBorder="1"/>
    <xf numFmtId="0" fontId="26" fillId="18" borderId="3" xfId="6" applyFont="1" applyFill="1" applyBorder="1" applyAlignment="1"/>
    <xf numFmtId="0" fontId="3" fillId="0" borderId="3" xfId="6" applyBorder="1" applyAlignment="1"/>
    <xf numFmtId="0" fontId="17" fillId="10" borderId="7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2" xfId="0" applyFont="1" applyFill="1" applyBorder="1" applyAlignment="1">
      <alignment horizontal="right" vertical="center"/>
    </xf>
    <xf numFmtId="0" fontId="13" fillId="6" borderId="2" xfId="0" applyFont="1" applyFill="1" applyBorder="1" applyAlignment="1">
      <alignment horizontal="right" vertical="center"/>
    </xf>
    <xf numFmtId="0" fontId="5" fillId="7" borderId="17" xfId="0" applyFont="1" applyFill="1" applyBorder="1" applyAlignment="1">
      <alignment vertical="center"/>
    </xf>
    <xf numFmtId="0" fontId="5" fillId="7" borderId="14" xfId="0" applyFont="1" applyFill="1" applyBorder="1" applyAlignment="1">
      <alignment vertical="center"/>
    </xf>
    <xf numFmtId="0" fontId="5" fillId="0" borderId="18" xfId="0" applyFont="1" applyFill="1" applyBorder="1" applyAlignment="1">
      <alignment vertical="center"/>
    </xf>
    <xf numFmtId="0" fontId="5" fillId="6" borderId="17" xfId="0" applyFont="1" applyFill="1" applyBorder="1" applyAlignment="1">
      <alignment vertical="center"/>
    </xf>
    <xf numFmtId="0" fontId="5" fillId="7" borderId="13" xfId="0" applyFont="1" applyFill="1" applyBorder="1" applyAlignment="1">
      <alignment vertical="center"/>
    </xf>
    <xf numFmtId="0" fontId="13" fillId="0" borderId="19" xfId="0" applyFont="1" applyBorder="1" applyAlignment="1">
      <alignment horizontal="right" vertical="center"/>
    </xf>
    <xf numFmtId="0" fontId="13" fillId="6" borderId="18" xfId="0" applyFont="1" applyFill="1" applyBorder="1" applyAlignment="1">
      <alignment horizontal="left" vertical="center"/>
    </xf>
    <xf numFmtId="0" fontId="24" fillId="0" borderId="2" xfId="0" applyFont="1" applyBorder="1"/>
    <xf numFmtId="0" fontId="5" fillId="0" borderId="20" xfId="0" applyFont="1" applyFill="1" applyBorder="1" applyAlignment="1">
      <alignment vertical="center"/>
    </xf>
    <xf numFmtId="0" fontId="0" fillId="0" borderId="2" xfId="0" applyBorder="1"/>
    <xf numFmtId="0" fontId="13" fillId="6" borderId="21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6" borderId="3" xfId="0" applyFont="1" applyFill="1" applyBorder="1" applyAlignment="1">
      <alignment vertical="center"/>
    </xf>
    <xf numFmtId="0" fontId="13" fillId="11" borderId="3" xfId="0" applyFont="1" applyFill="1" applyBorder="1" applyAlignment="1">
      <alignment horizontal="right" vertical="center"/>
    </xf>
    <xf numFmtId="0" fontId="5" fillId="17" borderId="1" xfId="0" applyFont="1" applyFill="1" applyBorder="1" applyAlignment="1">
      <alignment vertical="center"/>
    </xf>
    <xf numFmtId="0" fontId="5" fillId="17" borderId="3" xfId="0" applyFont="1" applyFill="1" applyBorder="1" applyAlignment="1">
      <alignment vertical="center"/>
    </xf>
    <xf numFmtId="0" fontId="5" fillId="19" borderId="3" xfId="0" applyFont="1" applyFill="1" applyBorder="1" applyAlignment="1">
      <alignment vertical="center"/>
    </xf>
    <xf numFmtId="0" fontId="5" fillId="11" borderId="9" xfId="0" applyFont="1" applyFill="1" applyBorder="1" applyAlignment="1">
      <alignment vertical="center"/>
    </xf>
    <xf numFmtId="0" fontId="13" fillId="20" borderId="3" xfId="0" applyFont="1" applyFill="1" applyBorder="1" applyAlignment="1">
      <alignment horizontal="right" vertical="center"/>
    </xf>
    <xf numFmtId="0" fontId="5" fillId="21" borderId="3" xfId="0" applyFont="1" applyFill="1" applyBorder="1" applyAlignment="1">
      <alignment vertical="center"/>
    </xf>
    <xf numFmtId="0" fontId="13" fillId="22" borderId="3" xfId="0" applyFont="1" applyFill="1" applyBorder="1" applyAlignment="1">
      <alignment horizontal="right" vertical="center"/>
    </xf>
    <xf numFmtId="0" fontId="13" fillId="11" borderId="2" xfId="0" applyFont="1" applyFill="1" applyBorder="1" applyAlignment="1">
      <alignment horizontal="left" vertical="center"/>
    </xf>
    <xf numFmtId="0" fontId="13" fillId="23" borderId="3" xfId="0" applyFont="1" applyFill="1" applyBorder="1" applyAlignment="1">
      <alignment horizontal="right" vertical="center"/>
    </xf>
    <xf numFmtId="0" fontId="5" fillId="24" borderId="3" xfId="0" applyFont="1" applyFill="1" applyBorder="1" applyAlignment="1">
      <alignment vertical="center"/>
    </xf>
    <xf numFmtId="0" fontId="13" fillId="25" borderId="3" xfId="0" applyFont="1" applyFill="1" applyBorder="1" applyAlignment="1">
      <alignment horizontal="right" vertical="center"/>
    </xf>
    <xf numFmtId="0" fontId="27" fillId="0" borderId="3" xfId="0" applyFont="1" applyFill="1" applyBorder="1"/>
  </cellXfs>
  <cellStyles count="1045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桁区切り 2" xfId="2"/>
    <cellStyle name="標準" xfId="0" builtinId="0"/>
    <cellStyle name="標準 2" xfId="5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赤字強調" xfId="4"/>
    <cellStyle name="青字強調" xfId="3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FFD320"/>
      <rgbColor rgb="00FFCC00"/>
      <rgbColor rgb="00FF950E"/>
      <rgbColor rgb="00FF6600"/>
      <rgbColor rgb="00666699"/>
      <rgbColor rgb="00969696"/>
      <rgbColor rgb="00003366"/>
      <rgbColor rgb="00339966"/>
      <rgbColor rgb="00003300"/>
      <rgbColor rgb="00333300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attack</v>
          </cell>
          <cell r="L1739" t="str">
            <v>攻撃タイプ</v>
          </cell>
          <cell r="M1739" t="str">
            <v>god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green</v>
          </cell>
          <cell r="I1852">
            <v>6</v>
          </cell>
          <cell r="J1852" t="str">
            <v>PremiumSS</v>
          </cell>
          <cell r="K1852" t="str">
            <v>technical</v>
          </cell>
          <cell r="L1852" t="str">
            <v>テクニカルタイプ</v>
          </cell>
          <cell r="M1852" t="str">
            <v>human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green</v>
          </cell>
          <cell r="I1853">
            <v>6</v>
          </cell>
          <cell r="J1853" t="str">
            <v>PremiumSS</v>
          </cell>
          <cell r="K1853" t="str">
            <v>technical</v>
          </cell>
          <cell r="L1853" t="str">
            <v>テクニカルタイプ</v>
          </cell>
          <cell r="M1853" t="str">
            <v>human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attack</v>
          </cell>
          <cell r="L1854" t="str">
            <v>攻撃タイプ</v>
          </cell>
          <cell r="M1854" t="str">
            <v>unknown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yellow</v>
          </cell>
          <cell r="I1855">
            <v>6</v>
          </cell>
          <cell r="J1855" t="str">
            <v>PremiumSSw</v>
          </cell>
          <cell r="K1855" t="str">
            <v>attack</v>
          </cell>
          <cell r="L1855" t="str">
            <v>攻撃タイプ</v>
          </cell>
          <cell r="M1855" t="str">
            <v>unknown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red</v>
          </cell>
          <cell r="I1856">
            <v>6</v>
          </cell>
          <cell r="J1856" t="str">
            <v>PremiumSS</v>
          </cell>
          <cell r="K1856" t="str">
            <v>technical</v>
          </cell>
          <cell r="L1856" t="str">
            <v>テクニカルタイプ</v>
          </cell>
          <cell r="M1856" t="str">
            <v>unknown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red</v>
          </cell>
          <cell r="I1857">
            <v>6</v>
          </cell>
          <cell r="J1857" t="str">
            <v>DropWizS</v>
          </cell>
          <cell r="K1857" t="str">
            <v>balance</v>
          </cell>
          <cell r="L1857" t="str">
            <v>バランスタイプ</v>
          </cell>
          <cell r="M1857" t="str">
            <v>human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red</v>
          </cell>
          <cell r="I1858">
            <v>6</v>
          </cell>
          <cell r="J1858" t="str">
            <v>DropWizS</v>
          </cell>
          <cell r="K1858" t="str">
            <v>balance</v>
          </cell>
          <cell r="L1858" t="str">
            <v>バランスタイプ</v>
          </cell>
          <cell r="M1858" t="str">
            <v>weapon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green</v>
          </cell>
          <cell r="I1859">
            <v>6</v>
          </cell>
          <cell r="J1859" t="str">
            <v>PremiumSSS</v>
          </cell>
          <cell r="K1859" t="str">
            <v>attack</v>
          </cell>
          <cell r="L1859" t="str">
            <v>攻撃タイプ</v>
          </cell>
          <cell r="M1859" t="str">
            <v>academia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blue</v>
          </cell>
          <cell r="I1863">
            <v>5</v>
          </cell>
          <cell r="J1863" t="str">
            <v>PremiumSS</v>
          </cell>
          <cell r="K1863" t="str">
            <v>technical</v>
          </cell>
          <cell r="L1863" t="str">
            <v>テクニカルタイプ</v>
          </cell>
          <cell r="M1863" t="str">
            <v>human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technical</v>
          </cell>
          <cell r="L1864" t="str">
            <v>テクニカルタイプ</v>
          </cell>
          <cell r="M1864" t="str">
            <v>human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yellow</v>
          </cell>
          <cell r="I1865">
            <v>5</v>
          </cell>
          <cell r="J1865" t="str">
            <v>PremiumSS</v>
          </cell>
          <cell r="K1865" t="str">
            <v>attack</v>
          </cell>
          <cell r="L1865" t="str">
            <v>攻撃タイプ</v>
          </cell>
          <cell r="M1865" t="str">
            <v>human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attack</v>
          </cell>
          <cell r="L1866" t="str">
            <v>攻撃タイプ</v>
          </cell>
          <cell r="M1866" t="str">
            <v>human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red</v>
          </cell>
          <cell r="I1868">
            <v>5</v>
          </cell>
          <cell r="J1868" t="str">
            <v>PremiumSS</v>
          </cell>
          <cell r="K1868" t="str">
            <v>attack</v>
          </cell>
          <cell r="L1868" t="str">
            <v>攻撃タイプ</v>
          </cell>
          <cell r="M1868" t="str">
            <v>dragon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red</v>
          </cell>
          <cell r="I1869">
            <v>6</v>
          </cell>
          <cell r="J1869" t="str">
            <v>PremiumSS</v>
          </cell>
          <cell r="K1869" t="str">
            <v>attack</v>
          </cell>
          <cell r="L1869" t="str">
            <v>攻撃タイプ</v>
          </cell>
          <cell r="M1869" t="str">
            <v>dragon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green</v>
          </cell>
          <cell r="I1870">
            <v>5</v>
          </cell>
          <cell r="J1870" t="str">
            <v>PremiumSS</v>
          </cell>
          <cell r="K1870" t="str">
            <v>attack</v>
          </cell>
          <cell r="L1870" t="str">
            <v>攻撃タイプ</v>
          </cell>
          <cell r="M1870" t="str">
            <v>unknown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green</v>
          </cell>
          <cell r="I1871">
            <v>6</v>
          </cell>
          <cell r="J1871" t="str">
            <v>PremiumSS</v>
          </cell>
          <cell r="K1871" t="str">
            <v>attack</v>
          </cell>
          <cell r="L1871" t="str">
            <v>攻撃タイプ</v>
          </cell>
          <cell r="M1871" t="str">
            <v>unknown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  <cell r="I1" t="str">
            <v>base_reward_bits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  <cell r="I3">
            <v>400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  <cell r="I4">
            <v>480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  <cell r="I5">
            <v>540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  <cell r="I6">
            <v>520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  <cell r="I7">
            <v>680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  <cell r="I8">
            <v>340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  <cell r="I9">
            <v>400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  <cell r="I10">
            <v>400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  <cell r="I11">
            <v>400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  <cell r="I12">
            <v>400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  <cell r="I13">
            <v>400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  <cell r="I14">
            <v>400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  <cell r="I15">
            <v>400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  <cell r="I16">
            <v>400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  <cell r="I17">
            <v>400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  <cell r="I18">
            <v>400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  <cell r="I19">
            <v>400</v>
          </cell>
        </row>
      </sheetData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A2" t="str">
            <v>0_0</v>
          </cell>
          <cell r="B2">
            <v>0</v>
          </cell>
        </row>
        <row r="3">
          <cell r="A3" t="str">
            <v>1001_100001</v>
          </cell>
        </row>
        <row r="4">
          <cell r="A4" t="str">
            <v>28_300002</v>
          </cell>
        </row>
        <row r="5">
          <cell r="A5" t="str">
            <v>30_300002</v>
          </cell>
        </row>
        <row r="6">
          <cell r="A6" t="str">
            <v>33_200002</v>
          </cell>
        </row>
        <row r="7">
          <cell r="A7" t="str">
            <v>34_200002</v>
          </cell>
        </row>
        <row r="8">
          <cell r="A8" t="str">
            <v>35_100002</v>
          </cell>
        </row>
        <row r="9">
          <cell r="A9" t="str">
            <v>35_240001</v>
          </cell>
        </row>
        <row r="10">
          <cell r="A10" t="str">
            <v>3501_100031</v>
          </cell>
        </row>
        <row r="11">
          <cell r="A11" t="str">
            <v>3501_240001</v>
          </cell>
        </row>
        <row r="12">
          <cell r="A12" t="str">
            <v>36_100011</v>
          </cell>
        </row>
        <row r="13">
          <cell r="A13" t="str">
            <v>36_240002</v>
          </cell>
        </row>
        <row r="14">
          <cell r="A14" t="str">
            <v>3601_100011</v>
          </cell>
        </row>
        <row r="15">
          <cell r="A15" t="str">
            <v>3601_240011</v>
          </cell>
        </row>
        <row r="16">
          <cell r="A16" t="str">
            <v>37_100003</v>
          </cell>
        </row>
        <row r="17">
          <cell r="A17" t="str">
            <v>37_210010</v>
          </cell>
        </row>
        <row r="18">
          <cell r="A18" t="str">
            <v>38_100003</v>
          </cell>
        </row>
        <row r="19">
          <cell r="A19" t="str">
            <v>38_210010</v>
          </cell>
        </row>
        <row r="20">
          <cell r="A20" t="str">
            <v>39_330002</v>
          </cell>
        </row>
        <row r="21">
          <cell r="A21" t="str">
            <v>40_330002</v>
          </cell>
        </row>
        <row r="22">
          <cell r="A22" t="str">
            <v>42_210004</v>
          </cell>
        </row>
        <row r="23">
          <cell r="A23" t="str">
            <v>4401_410017</v>
          </cell>
        </row>
        <row r="24">
          <cell r="A24" t="str">
            <v>4402_400023</v>
          </cell>
        </row>
        <row r="25">
          <cell r="A25" t="str">
            <v>46_400003</v>
          </cell>
        </row>
        <row r="26">
          <cell r="A26" t="str">
            <v>49_320001</v>
          </cell>
        </row>
        <row r="27">
          <cell r="A27" t="str">
            <v>50_320005</v>
          </cell>
        </row>
        <row r="28">
          <cell r="A28" t="str">
            <v>51_200001</v>
          </cell>
        </row>
        <row r="29">
          <cell r="A29" t="str">
            <v>53_340001</v>
          </cell>
        </row>
        <row r="30">
          <cell r="A30" t="str">
            <v>5401_200015</v>
          </cell>
        </row>
        <row r="31">
          <cell r="A31" t="str">
            <v>55_330001</v>
          </cell>
        </row>
        <row r="32">
          <cell r="A32" t="str">
            <v>56_330003</v>
          </cell>
        </row>
        <row r="33">
          <cell r="A33" t="str">
            <v>57_410001</v>
          </cell>
        </row>
        <row r="34">
          <cell r="A34" t="str">
            <v>59_300001</v>
          </cell>
        </row>
        <row r="35">
          <cell r="A35" t="str">
            <v>6001_300002</v>
          </cell>
        </row>
        <row r="36">
          <cell r="A36" t="str">
            <v>61_300001</v>
          </cell>
        </row>
        <row r="37">
          <cell r="A37" t="str">
            <v>62_300001</v>
          </cell>
        </row>
        <row r="38">
          <cell r="A38" t="str">
            <v>6201_510025</v>
          </cell>
        </row>
        <row r="39">
          <cell r="A39" t="str">
            <v>63_220001</v>
          </cell>
        </row>
        <row r="40">
          <cell r="A40" t="str">
            <v>64_220001</v>
          </cell>
        </row>
        <row r="41">
          <cell r="A41" t="str">
            <v>65_220004</v>
          </cell>
        </row>
        <row r="42">
          <cell r="A42" t="str">
            <v>66_220004</v>
          </cell>
        </row>
        <row r="43">
          <cell r="A43" t="str">
            <v>67_220005</v>
          </cell>
        </row>
        <row r="44">
          <cell r="A44" t="str">
            <v>68_210004</v>
          </cell>
        </row>
        <row r="45">
          <cell r="A45" t="str">
            <v>69_210004</v>
          </cell>
        </row>
        <row r="46">
          <cell r="A46" t="str">
            <v>71_400001</v>
          </cell>
        </row>
        <row r="47">
          <cell r="A47" t="str">
            <v>1071_400005</v>
          </cell>
        </row>
        <row r="48">
          <cell r="A48" t="str">
            <v>72_400002</v>
          </cell>
        </row>
        <row r="49">
          <cell r="A49" t="str">
            <v>74_510001</v>
          </cell>
        </row>
        <row r="50">
          <cell r="A50" t="str">
            <v>75_510001</v>
          </cell>
        </row>
        <row r="51">
          <cell r="A51" t="str">
            <v>76_510001</v>
          </cell>
        </row>
        <row r="52">
          <cell r="A52" t="str">
            <v>77_320004</v>
          </cell>
        </row>
        <row r="53">
          <cell r="A53" t="str">
            <v>79_100004</v>
          </cell>
        </row>
        <row r="54">
          <cell r="A54" t="str">
            <v>81_200005</v>
          </cell>
        </row>
        <row r="55">
          <cell r="A55" t="str">
            <v>83_220008</v>
          </cell>
        </row>
        <row r="56">
          <cell r="A56" t="str">
            <v>85_320002</v>
          </cell>
        </row>
        <row r="57">
          <cell r="A57" t="str">
            <v>86_320003</v>
          </cell>
        </row>
        <row r="58">
          <cell r="A58" t="str">
            <v>8601_320003</v>
          </cell>
        </row>
        <row r="59">
          <cell r="A59" t="str">
            <v>8602_500027</v>
          </cell>
        </row>
        <row r="60">
          <cell r="A60" t="str">
            <v>88_200003</v>
          </cell>
        </row>
        <row r="61">
          <cell r="A61" t="str">
            <v>89_230001</v>
          </cell>
        </row>
        <row r="62">
          <cell r="A62" t="str">
            <v>8901_230023</v>
          </cell>
        </row>
        <row r="63">
          <cell r="A63" t="str">
            <v>8902_420011</v>
          </cell>
        </row>
        <row r="64">
          <cell r="A64" t="str">
            <v>8902_230023</v>
          </cell>
        </row>
        <row r="65">
          <cell r="A65" t="str">
            <v>9501_250007</v>
          </cell>
        </row>
        <row r="66">
          <cell r="A66" t="str">
            <v>11701_100008</v>
          </cell>
        </row>
        <row r="67">
          <cell r="A67" t="str">
            <v>11701_240002</v>
          </cell>
        </row>
        <row r="68">
          <cell r="A68" t="str">
            <v>11702_240003</v>
          </cell>
        </row>
        <row r="69">
          <cell r="A69" t="str">
            <v>11703_240003</v>
          </cell>
        </row>
        <row r="70">
          <cell r="A70" t="str">
            <v>11704_240003</v>
          </cell>
        </row>
        <row r="71">
          <cell r="A71" t="str">
            <v>11801_240004</v>
          </cell>
        </row>
        <row r="72">
          <cell r="A72" t="str">
            <v>11802_240004</v>
          </cell>
        </row>
        <row r="73">
          <cell r="A73" t="str">
            <v>11803_240004</v>
          </cell>
        </row>
        <row r="74">
          <cell r="A74" t="str">
            <v>11901_240005</v>
          </cell>
        </row>
        <row r="75">
          <cell r="A75" t="str">
            <v>11902_240005</v>
          </cell>
        </row>
        <row r="76">
          <cell r="A76" t="str">
            <v>11903_240005</v>
          </cell>
        </row>
        <row r="77">
          <cell r="A77" t="str">
            <v>126_220002</v>
          </cell>
        </row>
        <row r="78">
          <cell r="A78" t="str">
            <v>12701_220002</v>
          </cell>
        </row>
        <row r="79">
          <cell r="A79" t="str">
            <v>128_410007</v>
          </cell>
        </row>
        <row r="80">
          <cell r="A80" t="str">
            <v>12801_410014</v>
          </cell>
        </row>
        <row r="81">
          <cell r="A81" t="str">
            <v>130_210001</v>
          </cell>
        </row>
        <row r="82">
          <cell r="A82" t="str">
            <v>13001_370001</v>
          </cell>
        </row>
        <row r="83">
          <cell r="A83" t="str">
            <v>13001_210001</v>
          </cell>
        </row>
        <row r="84">
          <cell r="A84" t="str">
            <v>13002_400021</v>
          </cell>
        </row>
        <row r="85">
          <cell r="A85" t="str">
            <v>13002_370005</v>
          </cell>
        </row>
        <row r="86">
          <cell r="A86" t="str">
            <v>13002_210001</v>
          </cell>
        </row>
        <row r="87">
          <cell r="A87" t="str">
            <v>13101_330008</v>
          </cell>
        </row>
        <row r="88">
          <cell r="A88" t="str">
            <v>13101_510022</v>
          </cell>
        </row>
        <row r="89">
          <cell r="A89" t="str">
            <v>13101_250004</v>
          </cell>
        </row>
        <row r="90">
          <cell r="A90" t="str">
            <v>132_220010</v>
          </cell>
        </row>
        <row r="91">
          <cell r="A91" t="str">
            <v>13301_220020</v>
          </cell>
        </row>
        <row r="92">
          <cell r="A92" t="str">
            <v>13301_220021</v>
          </cell>
        </row>
        <row r="93">
          <cell r="A93" t="str">
            <v>13301_220022</v>
          </cell>
        </row>
        <row r="94">
          <cell r="A94" t="str">
            <v>13301_400015</v>
          </cell>
        </row>
        <row r="95">
          <cell r="A95" t="str">
            <v>134_320007</v>
          </cell>
        </row>
        <row r="96">
          <cell r="A96" t="str">
            <v>136_300002</v>
          </cell>
        </row>
        <row r="97">
          <cell r="A97" t="str">
            <v>139_210015</v>
          </cell>
        </row>
        <row r="98">
          <cell r="A98" t="str">
            <v>140_400004</v>
          </cell>
        </row>
        <row r="99">
          <cell r="A99" t="str">
            <v>14001_400024</v>
          </cell>
        </row>
        <row r="100">
          <cell r="A100" t="str">
            <v>141_400004</v>
          </cell>
        </row>
        <row r="101">
          <cell r="A101" t="str">
            <v>10141_400006</v>
          </cell>
        </row>
        <row r="102">
          <cell r="A102" t="str">
            <v>14201_250002</v>
          </cell>
        </row>
        <row r="103">
          <cell r="A103" t="str">
            <v>14301_250002</v>
          </cell>
        </row>
        <row r="104">
          <cell r="A104" t="str">
            <v>14301_260004</v>
          </cell>
        </row>
        <row r="105">
          <cell r="A105" t="str">
            <v>14301_230016</v>
          </cell>
        </row>
        <row r="106">
          <cell r="A106" t="str">
            <v>146_310001</v>
          </cell>
        </row>
        <row r="107">
          <cell r="A107" t="str">
            <v>14601_340006</v>
          </cell>
        </row>
        <row r="108">
          <cell r="A108" t="str">
            <v>14601_350005</v>
          </cell>
        </row>
        <row r="109">
          <cell r="A109" t="str">
            <v>14601_510020</v>
          </cell>
        </row>
        <row r="110">
          <cell r="A110" t="str">
            <v>148_100009</v>
          </cell>
        </row>
        <row r="111">
          <cell r="A111" t="str">
            <v>148_210008</v>
          </cell>
        </row>
        <row r="112">
          <cell r="A112" t="str">
            <v>149_100010</v>
          </cell>
        </row>
        <row r="113">
          <cell r="A113" t="str">
            <v>149_210009</v>
          </cell>
        </row>
        <row r="114">
          <cell r="A114" t="str">
            <v>151_510004</v>
          </cell>
        </row>
        <row r="115">
          <cell r="A115" t="str">
            <v>151_510006</v>
          </cell>
        </row>
        <row r="116">
          <cell r="A116" t="str">
            <v>152_210013</v>
          </cell>
        </row>
        <row r="117">
          <cell r="A117" t="str">
            <v>152_220012</v>
          </cell>
        </row>
        <row r="118">
          <cell r="A118" t="str">
            <v>153_210013</v>
          </cell>
        </row>
        <row r="119">
          <cell r="A119" t="str">
            <v>153_220012</v>
          </cell>
        </row>
        <row r="120">
          <cell r="A120" t="str">
            <v>153_230008</v>
          </cell>
        </row>
        <row r="121">
          <cell r="A121" t="str">
            <v>154_300002</v>
          </cell>
        </row>
        <row r="122">
          <cell r="A122" t="str">
            <v>15501_420002</v>
          </cell>
        </row>
        <row r="123">
          <cell r="A123" t="str">
            <v>15501_510021</v>
          </cell>
        </row>
        <row r="124">
          <cell r="A124" t="str">
            <v>15501_210025</v>
          </cell>
        </row>
        <row r="125">
          <cell r="A125" t="str">
            <v>156_300002</v>
          </cell>
        </row>
        <row r="126">
          <cell r="A126" t="str">
            <v>156_100005</v>
          </cell>
        </row>
        <row r="127">
          <cell r="A127" t="str">
            <v>15601_300001</v>
          </cell>
        </row>
        <row r="128">
          <cell r="A128" t="str">
            <v>157_300002</v>
          </cell>
        </row>
        <row r="129">
          <cell r="A129" t="str">
            <v>160_510003</v>
          </cell>
        </row>
        <row r="130">
          <cell r="A130" t="str">
            <v>16101_330014</v>
          </cell>
        </row>
        <row r="131">
          <cell r="A131" t="str">
            <v>16101_330015</v>
          </cell>
        </row>
        <row r="132">
          <cell r="A132" t="str">
            <v>16101_230024</v>
          </cell>
        </row>
        <row r="133">
          <cell r="A133" t="str">
            <v>16101_520008</v>
          </cell>
        </row>
        <row r="134">
          <cell r="A134" t="str">
            <v>16201_550001</v>
          </cell>
        </row>
        <row r="135">
          <cell r="A135" t="str">
            <v>16301_230002</v>
          </cell>
        </row>
        <row r="136">
          <cell r="A136" t="str">
            <v>16302_550001</v>
          </cell>
        </row>
        <row r="137">
          <cell r="A137" t="str">
            <v>16302_250010</v>
          </cell>
        </row>
        <row r="138">
          <cell r="A138" t="str">
            <v>164_510008</v>
          </cell>
        </row>
        <row r="139">
          <cell r="A139" t="str">
            <v>164_410005</v>
          </cell>
        </row>
        <row r="140">
          <cell r="A140" t="str">
            <v>16501_500029</v>
          </cell>
        </row>
        <row r="141">
          <cell r="A141" t="str">
            <v>16502_330009</v>
          </cell>
        </row>
        <row r="142">
          <cell r="A142" t="str">
            <v>169_220003</v>
          </cell>
        </row>
        <row r="143">
          <cell r="A143" t="str">
            <v>172_510009</v>
          </cell>
        </row>
        <row r="144">
          <cell r="A144" t="str">
            <v>17001_260005</v>
          </cell>
        </row>
        <row r="145">
          <cell r="A145" t="str">
            <v>17001_260006</v>
          </cell>
        </row>
        <row r="146">
          <cell r="A146" t="str">
            <v>17001_260007</v>
          </cell>
        </row>
        <row r="147">
          <cell r="A147" t="str">
            <v>17001_260008</v>
          </cell>
        </row>
        <row r="148">
          <cell r="A148" t="str">
            <v>17101_220027</v>
          </cell>
        </row>
        <row r="149">
          <cell r="A149" t="str">
            <v>17102_220027</v>
          </cell>
        </row>
        <row r="150">
          <cell r="A150" t="str">
            <v>17102_410021</v>
          </cell>
        </row>
        <row r="151">
          <cell r="A151" t="str">
            <v>17102_370004</v>
          </cell>
        </row>
        <row r="152">
          <cell r="A152" t="str">
            <v>17102_540009</v>
          </cell>
        </row>
        <row r="153">
          <cell r="A153" t="str">
            <v>17601_520003</v>
          </cell>
        </row>
        <row r="154">
          <cell r="A154" t="str">
            <v>17601_510024</v>
          </cell>
        </row>
        <row r="155">
          <cell r="A155" t="str">
            <v>178_410003</v>
          </cell>
        </row>
        <row r="156">
          <cell r="A156" t="str">
            <v>17801_410023</v>
          </cell>
        </row>
        <row r="157">
          <cell r="A157" t="str">
            <v>182_230005</v>
          </cell>
        </row>
        <row r="158">
          <cell r="A158" t="str">
            <v>18201_230005</v>
          </cell>
        </row>
        <row r="159">
          <cell r="A159" t="str">
            <v>18201_250006</v>
          </cell>
        </row>
        <row r="160">
          <cell r="A160" t="str">
            <v>184_340002</v>
          </cell>
        </row>
        <row r="161">
          <cell r="A161" t="str">
            <v>185_340002</v>
          </cell>
        </row>
        <row r="162">
          <cell r="A162" t="str">
            <v>18501_340002</v>
          </cell>
        </row>
        <row r="163">
          <cell r="A163" t="str">
            <v>18501_210024</v>
          </cell>
        </row>
        <row r="164">
          <cell r="A164" t="str">
            <v>18502_340002</v>
          </cell>
        </row>
        <row r="165">
          <cell r="A165" t="str">
            <v>18502_250003</v>
          </cell>
        </row>
        <row r="166">
          <cell r="A166" t="str">
            <v>18502_210024</v>
          </cell>
        </row>
        <row r="167">
          <cell r="A167" t="str">
            <v>187_210014</v>
          </cell>
        </row>
        <row r="168">
          <cell r="A168" t="str">
            <v>18701_410008</v>
          </cell>
        </row>
        <row r="169">
          <cell r="A169" t="str">
            <v>18801_320012</v>
          </cell>
        </row>
        <row r="170">
          <cell r="A170" t="str">
            <v>18801_300008</v>
          </cell>
        </row>
        <row r="171">
          <cell r="A171" t="str">
            <v>18801_420003</v>
          </cell>
        </row>
        <row r="172">
          <cell r="A172" t="str">
            <v>18801_100022</v>
          </cell>
        </row>
        <row r="173">
          <cell r="A173" t="str">
            <v>18801_210026</v>
          </cell>
        </row>
        <row r="174">
          <cell r="A174" t="str">
            <v>193_220006</v>
          </cell>
        </row>
        <row r="175">
          <cell r="A175" t="str">
            <v>194_220007</v>
          </cell>
        </row>
        <row r="176">
          <cell r="A176" t="str">
            <v>197_300005</v>
          </cell>
        </row>
        <row r="177">
          <cell r="A177" t="str">
            <v>198_300005</v>
          </cell>
        </row>
        <row r="178">
          <cell r="A178" t="str">
            <v>197_210007</v>
          </cell>
        </row>
        <row r="179">
          <cell r="A179" t="str">
            <v>198_210007</v>
          </cell>
        </row>
        <row r="180">
          <cell r="A180" t="str">
            <v>10197_210016</v>
          </cell>
        </row>
        <row r="181">
          <cell r="A181" t="str">
            <v>199_230002</v>
          </cell>
        </row>
        <row r="182">
          <cell r="A182" t="str">
            <v>200_230002</v>
          </cell>
        </row>
        <row r="183">
          <cell r="A183" t="str">
            <v>20001_340010</v>
          </cell>
        </row>
        <row r="184">
          <cell r="A184" t="str">
            <v>20001_230002</v>
          </cell>
        </row>
        <row r="185">
          <cell r="A185" t="str">
            <v>202_350001</v>
          </cell>
        </row>
        <row r="186">
          <cell r="A186" t="str">
            <v>20201_400020</v>
          </cell>
        </row>
        <row r="187">
          <cell r="A187" t="str">
            <v>20201_410019</v>
          </cell>
        </row>
        <row r="188">
          <cell r="A188" t="str">
            <v>203_350002</v>
          </cell>
        </row>
        <row r="189">
          <cell r="A189" t="str">
            <v>20501_340011</v>
          </cell>
        </row>
        <row r="190">
          <cell r="A190" t="str">
            <v>20501_330010</v>
          </cell>
        </row>
        <row r="191">
          <cell r="A191" t="str">
            <v>206_510002</v>
          </cell>
        </row>
        <row r="192">
          <cell r="A192" t="str">
            <v>20801_370002</v>
          </cell>
        </row>
        <row r="193">
          <cell r="A193" t="str">
            <v>211_500001</v>
          </cell>
        </row>
        <row r="194">
          <cell r="A194" t="str">
            <v>212_500001</v>
          </cell>
        </row>
        <row r="195">
          <cell r="A195" t="str">
            <v>215_230006</v>
          </cell>
        </row>
        <row r="196">
          <cell r="A196" t="str">
            <v>215_320006</v>
          </cell>
        </row>
        <row r="197">
          <cell r="A197" t="str">
            <v>21701_300009</v>
          </cell>
        </row>
        <row r="198">
          <cell r="A198" t="str">
            <v>21702_340008</v>
          </cell>
        </row>
        <row r="199">
          <cell r="A199" t="str">
            <v>21801_300003</v>
          </cell>
        </row>
        <row r="200">
          <cell r="A200" t="str">
            <v>219_300003</v>
          </cell>
        </row>
        <row r="201">
          <cell r="A201" t="str">
            <v>22001_340013</v>
          </cell>
        </row>
        <row r="202">
          <cell r="A202" t="str">
            <v>22001_34014</v>
          </cell>
        </row>
        <row r="203">
          <cell r="A203" t="str">
            <v>22001_210030</v>
          </cell>
        </row>
        <row r="204">
          <cell r="A204" t="str">
            <v>22001_230030</v>
          </cell>
        </row>
        <row r="205">
          <cell r="A205" t="str">
            <v>22101_540010</v>
          </cell>
        </row>
        <row r="206">
          <cell r="A206" t="str">
            <v>224_410006</v>
          </cell>
        </row>
        <row r="207">
          <cell r="A207" t="str">
            <v>224_210006</v>
          </cell>
        </row>
        <row r="208">
          <cell r="A208" t="str">
            <v>22601_410024</v>
          </cell>
        </row>
        <row r="209">
          <cell r="A209" t="str">
            <v>22601_400019</v>
          </cell>
        </row>
        <row r="210">
          <cell r="A210" t="str">
            <v>229_210002</v>
          </cell>
        </row>
        <row r="211">
          <cell r="A211" t="str">
            <v>22901_210002</v>
          </cell>
        </row>
        <row r="212">
          <cell r="A212" t="str">
            <v>230_220011</v>
          </cell>
        </row>
        <row r="213">
          <cell r="A213" t="str">
            <v>231_220011</v>
          </cell>
        </row>
        <row r="214">
          <cell r="A214" t="str">
            <v>232_210003</v>
          </cell>
        </row>
        <row r="215">
          <cell r="A215" t="str">
            <v>233_210003</v>
          </cell>
        </row>
        <row r="216">
          <cell r="A216" t="str">
            <v>23601_250008</v>
          </cell>
        </row>
        <row r="217">
          <cell r="A217" t="str">
            <v>241_300001</v>
          </cell>
        </row>
        <row r="218">
          <cell r="A218" t="str">
            <v>24201_500025</v>
          </cell>
        </row>
        <row r="219">
          <cell r="A219" t="str">
            <v>24201_340009</v>
          </cell>
        </row>
        <row r="220">
          <cell r="A220" t="str">
            <v>24202_530002</v>
          </cell>
        </row>
        <row r="221">
          <cell r="A221" t="str">
            <v>24202_500026</v>
          </cell>
        </row>
        <row r="222">
          <cell r="A222" t="str">
            <v>24701_540001</v>
          </cell>
        </row>
        <row r="223">
          <cell r="A223" t="str">
            <v>24801_540002</v>
          </cell>
        </row>
        <row r="224">
          <cell r="A224" t="str">
            <v>24802_520009</v>
          </cell>
        </row>
        <row r="225">
          <cell r="A225" t="str">
            <v>25001_220026</v>
          </cell>
        </row>
        <row r="226">
          <cell r="A226" t="str">
            <v>25201_220025</v>
          </cell>
        </row>
        <row r="227">
          <cell r="A227" t="str">
            <v>25202_540005</v>
          </cell>
        </row>
        <row r="228">
          <cell r="A228" t="str">
            <v>25203_550003</v>
          </cell>
        </row>
        <row r="229">
          <cell r="A229" t="str">
            <v>254_200007</v>
          </cell>
        </row>
        <row r="230">
          <cell r="A230" t="str">
            <v>254_230007</v>
          </cell>
        </row>
        <row r="231">
          <cell r="A231" t="str">
            <v>256_200006</v>
          </cell>
        </row>
        <row r="232">
          <cell r="A232" t="str">
            <v>257_200006</v>
          </cell>
        </row>
        <row r="233">
          <cell r="A233" t="str">
            <v>317_220009</v>
          </cell>
        </row>
        <row r="234">
          <cell r="A234" t="str">
            <v>317_100006</v>
          </cell>
        </row>
        <row r="235">
          <cell r="A235" t="str">
            <v>317_330004</v>
          </cell>
        </row>
        <row r="236">
          <cell r="A236" t="str">
            <v>317_410004</v>
          </cell>
        </row>
        <row r="237">
          <cell r="A237" t="str">
            <v>317_210005</v>
          </cell>
        </row>
        <row r="238">
          <cell r="A238" t="str">
            <v>317_220010</v>
          </cell>
        </row>
        <row r="239">
          <cell r="A239" t="str">
            <v>317_300004</v>
          </cell>
        </row>
        <row r="240">
          <cell r="A240" t="str">
            <v>319_510007</v>
          </cell>
        </row>
        <row r="241">
          <cell r="A241" t="str">
            <v>319_230004</v>
          </cell>
        </row>
        <row r="242">
          <cell r="A242" t="str">
            <v>319_510006</v>
          </cell>
        </row>
        <row r="243">
          <cell r="A243" t="str">
            <v>319_230003</v>
          </cell>
        </row>
        <row r="244">
          <cell r="A244" t="str">
            <v>319_510005</v>
          </cell>
        </row>
        <row r="245">
          <cell r="A245" t="str">
            <v>319_340003</v>
          </cell>
        </row>
        <row r="246">
          <cell r="A246" t="str">
            <v>3571_230025</v>
          </cell>
        </row>
        <row r="247">
          <cell r="A247" t="str">
            <v>2666_330001</v>
          </cell>
        </row>
        <row r="248">
          <cell r="A248" t="str">
            <v>20011_210011</v>
          </cell>
        </row>
        <row r="249">
          <cell r="A249" t="str">
            <v>263_210012</v>
          </cell>
        </row>
        <row r="250">
          <cell r="A250" t="str">
            <v>266_330005</v>
          </cell>
        </row>
        <row r="251">
          <cell r="A251" t="str">
            <v>272_510010</v>
          </cell>
        </row>
        <row r="252">
          <cell r="A252" t="str">
            <v>272_100013</v>
          </cell>
        </row>
        <row r="253">
          <cell r="A253" t="str">
            <v>272_500002</v>
          </cell>
        </row>
        <row r="254">
          <cell r="A254" t="str">
            <v>272_500003</v>
          </cell>
        </row>
        <row r="255">
          <cell r="A255" t="str">
            <v>274_200008</v>
          </cell>
        </row>
        <row r="256">
          <cell r="A256" t="str">
            <v>275_200008</v>
          </cell>
        </row>
        <row r="257">
          <cell r="A257" t="str">
            <v>275_200009</v>
          </cell>
        </row>
        <row r="258">
          <cell r="A258" t="str">
            <v>268_230009</v>
          </cell>
        </row>
        <row r="259">
          <cell r="A259" t="str">
            <v>264_400007</v>
          </cell>
        </row>
        <row r="260">
          <cell r="A260" t="str">
            <v>270_230010</v>
          </cell>
        </row>
        <row r="261">
          <cell r="A261" t="str">
            <v>271_230010</v>
          </cell>
        </row>
        <row r="262">
          <cell r="A262" t="str">
            <v>271_410008</v>
          </cell>
        </row>
        <row r="263">
          <cell r="A263" t="str">
            <v>276_100014</v>
          </cell>
        </row>
        <row r="264">
          <cell r="A264" t="str">
            <v>276_400008</v>
          </cell>
        </row>
        <row r="265">
          <cell r="A265" t="str">
            <v>277_400008</v>
          </cell>
        </row>
        <row r="266">
          <cell r="A266" t="str">
            <v>277_410009</v>
          </cell>
        </row>
        <row r="267">
          <cell r="A267" t="str">
            <v>277_100014</v>
          </cell>
        </row>
        <row r="268">
          <cell r="A268" t="str">
            <v>1063_400009</v>
          </cell>
        </row>
        <row r="269">
          <cell r="A269" t="str">
            <v>1055_210017</v>
          </cell>
        </row>
        <row r="270">
          <cell r="A270" t="str">
            <v>2063_220013</v>
          </cell>
        </row>
        <row r="271">
          <cell r="A271" t="str">
            <v>1123_300002</v>
          </cell>
        </row>
        <row r="272">
          <cell r="A272" t="str">
            <v>1221_100012</v>
          </cell>
        </row>
        <row r="273">
          <cell r="A273" t="str">
            <v>1221_240006</v>
          </cell>
        </row>
        <row r="274">
          <cell r="A274" t="str">
            <v>1211_200010</v>
          </cell>
        </row>
        <row r="275">
          <cell r="A275" t="str">
            <v>1231_300006</v>
          </cell>
        </row>
        <row r="276">
          <cell r="A276" t="str">
            <v>1045_210018</v>
          </cell>
        </row>
        <row r="277">
          <cell r="A277" t="str">
            <v>278_420001</v>
          </cell>
        </row>
        <row r="278">
          <cell r="A278" t="str">
            <v>278_250001</v>
          </cell>
        </row>
        <row r="279">
          <cell r="A279" t="str">
            <v>279_420001</v>
          </cell>
        </row>
        <row r="280">
          <cell r="A280" t="str">
            <v>279_250001</v>
          </cell>
        </row>
        <row r="281">
          <cell r="A281" t="str">
            <v>13501_320008</v>
          </cell>
        </row>
        <row r="282">
          <cell r="A282" t="str">
            <v>13501_320009</v>
          </cell>
        </row>
        <row r="283">
          <cell r="A283" t="str">
            <v>13501_260001</v>
          </cell>
        </row>
        <row r="284">
          <cell r="A284" t="str">
            <v>13501_260002</v>
          </cell>
        </row>
        <row r="285">
          <cell r="A285" t="str">
            <v>13501_260003</v>
          </cell>
        </row>
        <row r="286">
          <cell r="A286" t="str">
            <v>192_350003</v>
          </cell>
        </row>
        <row r="287">
          <cell r="A287" t="str">
            <v>266_510011</v>
          </cell>
        </row>
        <row r="288">
          <cell r="A288" t="str">
            <v>266_510012</v>
          </cell>
        </row>
        <row r="289">
          <cell r="A289" t="str">
            <v>266_510013</v>
          </cell>
        </row>
        <row r="290">
          <cell r="A290" t="str">
            <v>266_510014</v>
          </cell>
        </row>
        <row r="291">
          <cell r="A291" t="str">
            <v>28201_220014</v>
          </cell>
        </row>
        <row r="292">
          <cell r="A292" t="str">
            <v>28202_220016</v>
          </cell>
        </row>
        <row r="293">
          <cell r="A293" t="str">
            <v>28201_400010</v>
          </cell>
        </row>
        <row r="294">
          <cell r="A294" t="str">
            <v>28202_400010</v>
          </cell>
        </row>
        <row r="295">
          <cell r="A295" t="str">
            <v>28202_23011</v>
          </cell>
        </row>
        <row r="296">
          <cell r="A296" t="str">
            <v>13201_230012</v>
          </cell>
        </row>
        <row r="297">
          <cell r="A297" t="str">
            <v>286_100015</v>
          </cell>
        </row>
        <row r="298">
          <cell r="A298" t="str">
            <v>286_100016</v>
          </cell>
        </row>
        <row r="299">
          <cell r="A299" t="str">
            <v>286_210019</v>
          </cell>
        </row>
        <row r="300">
          <cell r="A300" t="str">
            <v>22401_410012</v>
          </cell>
        </row>
        <row r="301">
          <cell r="A301" t="str">
            <v>22401_400011</v>
          </cell>
        </row>
        <row r="302">
          <cell r="A302" t="str">
            <v>22401_100017</v>
          </cell>
        </row>
        <row r="303">
          <cell r="A303" t="str">
            <v>22401_210020</v>
          </cell>
        </row>
        <row r="304">
          <cell r="A304" t="str">
            <v>20601_340004</v>
          </cell>
        </row>
        <row r="305">
          <cell r="A305" t="str">
            <v>20601_300007</v>
          </cell>
        </row>
        <row r="306">
          <cell r="A306" t="str">
            <v>20901_220015</v>
          </cell>
        </row>
        <row r="307">
          <cell r="A307" t="str">
            <v>20901_340005</v>
          </cell>
        </row>
        <row r="308">
          <cell r="A308" t="str">
            <v>20901_330006</v>
          </cell>
        </row>
        <row r="309">
          <cell r="A309" t="str">
            <v>20901_330007</v>
          </cell>
        </row>
        <row r="310">
          <cell r="A310" t="str">
            <v>20901_100019</v>
          </cell>
        </row>
        <row r="311">
          <cell r="A311" t="str">
            <v>19101_100020</v>
          </cell>
        </row>
        <row r="312">
          <cell r="A312" t="str">
            <v>19101_210023</v>
          </cell>
        </row>
        <row r="313">
          <cell r="A313" t="str">
            <v>19101_230014</v>
          </cell>
        </row>
        <row r="314">
          <cell r="A314" t="str">
            <v>19101_410010</v>
          </cell>
        </row>
        <row r="315">
          <cell r="A315" t="str">
            <v>19101_510015</v>
          </cell>
        </row>
        <row r="316">
          <cell r="A316" t="str">
            <v>19101_320010</v>
          </cell>
        </row>
        <row r="317">
          <cell r="A317" t="str">
            <v>12901_210021</v>
          </cell>
        </row>
        <row r="318">
          <cell r="A318" t="str">
            <v>12901_410013</v>
          </cell>
        </row>
        <row r="319">
          <cell r="A319" t="str">
            <v>29001_430001</v>
          </cell>
        </row>
        <row r="320">
          <cell r="A320" t="str">
            <v>29001_410011</v>
          </cell>
        </row>
        <row r="321">
          <cell r="A321" t="str">
            <v>29001_320013</v>
          </cell>
        </row>
        <row r="322">
          <cell r="A322" t="str">
            <v>29002_430001</v>
          </cell>
        </row>
        <row r="323">
          <cell r="A323" t="str">
            <v>29002_410011</v>
          </cell>
        </row>
        <row r="324">
          <cell r="A324" t="str">
            <v>29002_320011</v>
          </cell>
        </row>
        <row r="325">
          <cell r="A325" t="str">
            <v>29002_320013</v>
          </cell>
        </row>
        <row r="326">
          <cell r="A326" t="str">
            <v>292_100025</v>
          </cell>
        </row>
        <row r="327">
          <cell r="A327" t="str">
            <v>292_510016</v>
          </cell>
        </row>
        <row r="328">
          <cell r="A328" t="str">
            <v>29201_100025</v>
          </cell>
        </row>
        <row r="329">
          <cell r="A329" t="str">
            <v>29201_510018</v>
          </cell>
        </row>
        <row r="330">
          <cell r="A330" t="str">
            <v>29201_510016</v>
          </cell>
        </row>
        <row r="331">
          <cell r="A331" t="str">
            <v>293_100025</v>
          </cell>
        </row>
        <row r="332">
          <cell r="A332" t="str">
            <v>293_510018</v>
          </cell>
        </row>
        <row r="333">
          <cell r="A333" t="str">
            <v>293_510016</v>
          </cell>
        </row>
        <row r="334">
          <cell r="A334" t="str">
            <v>293_510017</v>
          </cell>
        </row>
        <row r="335">
          <cell r="A335" t="str">
            <v>297_400012</v>
          </cell>
        </row>
        <row r="336">
          <cell r="A336" t="str">
            <v>29701_360002</v>
          </cell>
        </row>
        <row r="337">
          <cell r="A337" t="str">
            <v>29701_51026</v>
          </cell>
        </row>
        <row r="338">
          <cell r="A338" t="str">
            <v>29701_220028</v>
          </cell>
        </row>
        <row r="339">
          <cell r="A339" t="str">
            <v>29701_230026</v>
          </cell>
        </row>
        <row r="340">
          <cell r="A340" t="str">
            <v>29702_100032</v>
          </cell>
        </row>
        <row r="341">
          <cell r="A341" t="str">
            <v>29702_360002</v>
          </cell>
        </row>
        <row r="342">
          <cell r="A342" t="str">
            <v>29702_51026</v>
          </cell>
        </row>
        <row r="343">
          <cell r="A343" t="str">
            <v>29702_220028</v>
          </cell>
        </row>
        <row r="344">
          <cell r="A344" t="str">
            <v>29702_230026</v>
          </cell>
        </row>
        <row r="345">
          <cell r="A345" t="str">
            <v>29703_550005</v>
          </cell>
        </row>
        <row r="346">
          <cell r="A346" t="str">
            <v>29703_220029</v>
          </cell>
        </row>
        <row r="347">
          <cell r="A347" t="str">
            <v>29703_230027</v>
          </cell>
        </row>
        <row r="348">
          <cell r="A348" t="str">
            <v>29704_310004</v>
          </cell>
        </row>
        <row r="349">
          <cell r="A349" t="str">
            <v>29704_410022</v>
          </cell>
        </row>
        <row r="350">
          <cell r="A350" t="str">
            <v>29704_250011</v>
          </cell>
        </row>
        <row r="351">
          <cell r="A351" t="str">
            <v>29704_230027</v>
          </cell>
        </row>
        <row r="352">
          <cell r="A352" t="str">
            <v>29704_100030</v>
          </cell>
        </row>
        <row r="353">
          <cell r="A353" t="str">
            <v>29704_210029</v>
          </cell>
        </row>
        <row r="354">
          <cell r="A354" t="str">
            <v>29705_310004</v>
          </cell>
        </row>
        <row r="355">
          <cell r="A355" t="str">
            <v>29705_410022</v>
          </cell>
        </row>
        <row r="356">
          <cell r="A356" t="str">
            <v>29705_250011</v>
          </cell>
        </row>
        <row r="357">
          <cell r="A357" t="str">
            <v>29705_230027</v>
          </cell>
        </row>
        <row r="358">
          <cell r="A358" t="str">
            <v>29705_100030</v>
          </cell>
        </row>
        <row r="359">
          <cell r="A359" t="str">
            <v>29705_210029</v>
          </cell>
        </row>
        <row r="360">
          <cell r="A360" t="str">
            <v>14101_360001</v>
          </cell>
        </row>
        <row r="361">
          <cell r="A361" t="str">
            <v>3301_200011</v>
          </cell>
        </row>
        <row r="362">
          <cell r="A362" t="str">
            <v>15101_510019</v>
          </cell>
        </row>
        <row r="363">
          <cell r="A363" t="str">
            <v>15101_230015</v>
          </cell>
        </row>
        <row r="364">
          <cell r="A364" t="str">
            <v>15101_100021</v>
          </cell>
        </row>
        <row r="365">
          <cell r="A365" t="str">
            <v>15101_240007</v>
          </cell>
        </row>
        <row r="366">
          <cell r="A366" t="str">
            <v>28701_400014</v>
          </cell>
        </row>
        <row r="367">
          <cell r="A367" t="str">
            <v>28701_100016</v>
          </cell>
        </row>
        <row r="368">
          <cell r="A368" t="str">
            <v>28701_210019</v>
          </cell>
        </row>
        <row r="369">
          <cell r="A369" t="str">
            <v>294_220017</v>
          </cell>
        </row>
        <row r="370">
          <cell r="A370" t="str">
            <v>29401_530001</v>
          </cell>
        </row>
        <row r="371">
          <cell r="A371" t="str">
            <v>29401_220018</v>
          </cell>
        </row>
        <row r="372">
          <cell r="A372" t="str">
            <v>295_530001</v>
          </cell>
        </row>
        <row r="373">
          <cell r="A373" t="str">
            <v>295_220019</v>
          </cell>
        </row>
        <row r="374">
          <cell r="A374" t="str">
            <v>30401_40025</v>
          </cell>
        </row>
        <row r="375">
          <cell r="A375" t="str">
            <v>30401_51027</v>
          </cell>
        </row>
        <row r="376">
          <cell r="A376" t="str">
            <v>30401_51029</v>
          </cell>
        </row>
        <row r="377">
          <cell r="A377" t="str">
            <v>30401_200016</v>
          </cell>
        </row>
        <row r="378">
          <cell r="A378" t="str">
            <v>30401_230029</v>
          </cell>
        </row>
        <row r="379">
          <cell r="A379" t="str">
            <v>30402_40025</v>
          </cell>
        </row>
        <row r="380">
          <cell r="A380" t="str">
            <v>30402_51027</v>
          </cell>
        </row>
        <row r="381">
          <cell r="A381" t="str">
            <v>30402_51029</v>
          </cell>
        </row>
        <row r="382">
          <cell r="A382" t="str">
            <v>30402_200016</v>
          </cell>
        </row>
        <row r="383">
          <cell r="A383" t="str">
            <v>30402_230029</v>
          </cell>
        </row>
        <row r="384">
          <cell r="A384" t="str">
            <v>30501_40025</v>
          </cell>
        </row>
        <row r="385">
          <cell r="A385" t="str">
            <v>30501_51027</v>
          </cell>
        </row>
        <row r="386">
          <cell r="A386" t="str">
            <v>30501_51028</v>
          </cell>
        </row>
        <row r="387">
          <cell r="A387" t="str">
            <v>30501_370006</v>
          </cell>
        </row>
        <row r="388">
          <cell r="A388" t="str">
            <v>30501_200016</v>
          </cell>
        </row>
        <row r="389">
          <cell r="A389" t="str">
            <v>30501_230029</v>
          </cell>
        </row>
        <row r="390">
          <cell r="A390" t="str">
            <v>284_520001</v>
          </cell>
        </row>
        <row r="391">
          <cell r="A391" t="str">
            <v>284_520010</v>
          </cell>
        </row>
        <row r="392">
          <cell r="A392" t="str">
            <v>14202_250005</v>
          </cell>
        </row>
        <row r="393">
          <cell r="A393" t="str">
            <v>12702_220002</v>
          </cell>
        </row>
        <row r="394">
          <cell r="A394" t="str">
            <v>12702_400017</v>
          </cell>
        </row>
        <row r="395">
          <cell r="A395" t="str">
            <v>14401_420004</v>
          </cell>
        </row>
        <row r="396">
          <cell r="A396" t="str">
            <v>15201_310003</v>
          </cell>
        </row>
        <row r="397">
          <cell r="A397" t="str">
            <v>15201_210027</v>
          </cell>
        </row>
        <row r="398">
          <cell r="A398" t="str">
            <v>15201_220023</v>
          </cell>
        </row>
        <row r="399">
          <cell r="A399" t="str">
            <v>15201_250009</v>
          </cell>
        </row>
        <row r="400">
          <cell r="A400" t="str">
            <v>21201_500004</v>
          </cell>
        </row>
        <row r="401">
          <cell r="A401" t="str">
            <v>21201_100023</v>
          </cell>
        </row>
        <row r="402">
          <cell r="A402" t="str">
            <v>21201_230017</v>
          </cell>
        </row>
        <row r="403">
          <cell r="A403" t="str">
            <v>18601_340007</v>
          </cell>
        </row>
        <row r="404">
          <cell r="A404" t="str">
            <v>18601_210028</v>
          </cell>
        </row>
        <row r="405">
          <cell r="A405" t="str">
            <v>18601_550002</v>
          </cell>
        </row>
        <row r="406">
          <cell r="A406" t="str">
            <v>18601_100024</v>
          </cell>
        </row>
        <row r="407">
          <cell r="A407" t="str">
            <v>18601_220024</v>
          </cell>
        </row>
        <row r="408">
          <cell r="A408" t="str">
            <v>348_520004</v>
          </cell>
        </row>
        <row r="409">
          <cell r="A409" t="str">
            <v>350_520005</v>
          </cell>
        </row>
        <row r="410">
          <cell r="A410" t="str">
            <v>352_520006</v>
          </cell>
        </row>
        <row r="411">
          <cell r="A411" t="str">
            <v>354_520007</v>
          </cell>
        </row>
        <row r="412">
          <cell r="A412" t="str">
            <v>360_550004</v>
          </cell>
        </row>
        <row r="413">
          <cell r="A413" t="str">
            <v>3611_410025</v>
          </cell>
        </row>
        <row r="414">
          <cell r="A414" t="str">
            <v>362_370003</v>
          </cell>
        </row>
        <row r="415">
          <cell r="A415" t="str">
            <v>3631_320014</v>
          </cell>
        </row>
        <row r="416">
          <cell r="A416" t="str">
            <v>364_540007</v>
          </cell>
        </row>
        <row r="417">
          <cell r="A417" t="str">
            <v>3651_340012</v>
          </cell>
        </row>
        <row r="418">
          <cell r="A418" t="str">
            <v>366_500006</v>
          </cell>
        </row>
        <row r="419">
          <cell r="A419" t="str">
            <v>3671_330016</v>
          </cell>
        </row>
        <row r="420">
          <cell r="A420" t="str">
            <v>369_520002</v>
          </cell>
        </row>
        <row r="421">
          <cell r="A421" t="str">
            <v>369_420005</v>
          </cell>
        </row>
        <row r="422">
          <cell r="A422" t="str">
            <v>369_400016</v>
          </cell>
        </row>
        <row r="423">
          <cell r="A423" t="str">
            <v>369_230018</v>
          </cell>
        </row>
        <row r="424">
          <cell r="A424" t="str">
            <v>369_200012</v>
          </cell>
        </row>
        <row r="425">
          <cell r="A425" t="str">
            <v>369_350007</v>
          </cell>
        </row>
        <row r="426">
          <cell r="A426" t="str">
            <v>16401_510023</v>
          </cell>
        </row>
        <row r="427">
          <cell r="A427" t="str">
            <v>16401_410015</v>
          </cell>
        </row>
        <row r="428">
          <cell r="A428" t="str">
            <v>28801_420008</v>
          </cell>
        </row>
        <row r="429">
          <cell r="A429" t="str">
            <v>28801_41016</v>
          </cell>
        </row>
        <row r="430">
          <cell r="A430" t="str">
            <v>28801_100028</v>
          </cell>
        </row>
        <row r="431">
          <cell r="A431" t="str">
            <v>28802_420009</v>
          </cell>
        </row>
        <row r="432">
          <cell r="A432" t="str">
            <v>28803_420010</v>
          </cell>
        </row>
        <row r="433">
          <cell r="A433" t="str">
            <v>28803_200013</v>
          </cell>
        </row>
        <row r="434">
          <cell r="A434" t="str">
            <v>28804_41016</v>
          </cell>
        </row>
        <row r="435">
          <cell r="A435" t="str">
            <v>28804_100028</v>
          </cell>
        </row>
        <row r="436">
          <cell r="A436" t="str">
            <v>28804_200013</v>
          </cell>
        </row>
        <row r="437">
          <cell r="A437" t="str">
            <v>28901_100026</v>
          </cell>
        </row>
        <row r="438">
          <cell r="A438" t="str">
            <v>28901_230019</v>
          </cell>
        </row>
        <row r="439">
          <cell r="A439" t="str">
            <v>28901_200014</v>
          </cell>
        </row>
        <row r="440">
          <cell r="A440" t="str">
            <v>2701_240008</v>
          </cell>
        </row>
        <row r="441">
          <cell r="A441" t="str">
            <v>2702_240009</v>
          </cell>
        </row>
        <row r="442">
          <cell r="A442" t="str">
            <v>2701_100027</v>
          </cell>
        </row>
        <row r="443">
          <cell r="A443" t="str">
            <v>2702_100027</v>
          </cell>
        </row>
        <row r="444">
          <cell r="A444" t="str">
            <v>28001_420006</v>
          </cell>
        </row>
        <row r="445">
          <cell r="A445" t="str">
            <v>28002_230020</v>
          </cell>
        </row>
        <row r="446">
          <cell r="A446" t="str">
            <v>28002_420006</v>
          </cell>
        </row>
        <row r="447">
          <cell r="A447" t="str">
            <v>28101_230020</v>
          </cell>
        </row>
        <row r="448">
          <cell r="A448" t="str">
            <v>28101_420007</v>
          </cell>
        </row>
        <row r="449">
          <cell r="A449" t="str">
            <v>6302_240010</v>
          </cell>
        </row>
        <row r="450">
          <cell r="A450" t="str">
            <v>6302_420012</v>
          </cell>
        </row>
        <row r="451">
          <cell r="A451" t="str">
            <v>6302_220001</v>
          </cell>
        </row>
        <row r="452">
          <cell r="A452" t="str">
            <v>1301_100029</v>
          </cell>
        </row>
        <row r="453">
          <cell r="A453" t="str">
            <v>4701_100029</v>
          </cell>
        </row>
        <row r="454">
          <cell r="A454" t="str">
            <v>3302_200002</v>
          </cell>
        </row>
        <row r="455">
          <cell r="A455" t="str">
            <v>3302_100029</v>
          </cell>
        </row>
        <row r="456">
          <cell r="A456" t="str">
            <v>6301_220001</v>
          </cell>
        </row>
        <row r="457">
          <cell r="A457" t="str">
            <v>6301_100029</v>
          </cell>
        </row>
        <row r="458">
          <cell r="A458" t="str">
            <v>5701_410001</v>
          </cell>
        </row>
        <row r="459">
          <cell r="A459" t="str">
            <v>5701_100029</v>
          </cell>
        </row>
        <row r="460">
          <cell r="A460" t="str">
            <v>31202_500028</v>
          </cell>
        </row>
        <row r="461">
          <cell r="A461" t="str">
            <v>31203_500028</v>
          </cell>
        </row>
        <row r="462">
          <cell r="A462" t="str">
            <v>31203_410020</v>
          </cell>
        </row>
        <row r="463">
          <cell r="A463" t="str">
            <v>31203_230022</v>
          </cell>
        </row>
        <row r="464">
          <cell r="A464" t="str">
            <v>31204_400022</v>
          </cell>
        </row>
        <row r="465">
          <cell r="A465" t="str">
            <v>31204_540008</v>
          </cell>
        </row>
        <row r="466">
          <cell r="A466" t="str">
            <v>31204_410028</v>
          </cell>
        </row>
        <row r="467">
          <cell r="A467" t="str">
            <v>31204_230022</v>
          </cell>
        </row>
        <row r="468">
          <cell r="A468" t="str">
            <v>15202_510029</v>
          </cell>
        </row>
        <row r="469">
          <cell r="A469" t="str">
            <v>15202_410027</v>
          </cell>
        </row>
        <row r="470">
          <cell r="A470" t="str">
            <v>15202_220012</v>
          </cell>
        </row>
        <row r="471">
          <cell r="A471" t="str">
            <v>13003_510029</v>
          </cell>
        </row>
        <row r="472">
          <cell r="A472" t="str">
            <v>13003_420013</v>
          </cell>
        </row>
        <row r="473">
          <cell r="A473" t="str">
            <v>13202_250013</v>
          </cell>
        </row>
        <row r="474">
          <cell r="A474" t="str">
            <v>30601_510030</v>
          </cell>
        </row>
        <row r="475">
          <cell r="A475" t="str">
            <v>30601_200017</v>
          </cell>
        </row>
        <row r="476">
          <cell r="A476" t="str">
            <v>30603_250012</v>
          </cell>
        </row>
        <row r="477">
          <cell r="A477" t="str">
            <v>30603_220030</v>
          </cell>
        </row>
        <row r="478">
          <cell r="A478" t="str">
            <v>30601_510031</v>
          </cell>
        </row>
        <row r="479">
          <cell r="A479" t="str">
            <v>30602_510030</v>
          </cell>
        </row>
        <row r="480">
          <cell r="A480" t="str">
            <v>30602_250012</v>
          </cell>
        </row>
        <row r="481">
          <cell r="A481" t="str">
            <v>30602_220030</v>
          </cell>
        </row>
        <row r="482">
          <cell r="A482" t="str">
            <v>30602_510031</v>
          </cell>
        </row>
        <row r="483">
          <cell r="A483" t="str">
            <v>560001_560001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4"/>
  <sheetViews>
    <sheetView topLeftCell="E1" workbookViewId="0">
      <selection activeCell="H14" sqref="H14"/>
    </sheetView>
  </sheetViews>
  <sheetFormatPr baseColWidth="12" defaultRowHeight="15" x14ac:dyDescent="0.15"/>
  <cols>
    <col min="2" max="2" width="16.33203125" bestFit="1" customWidth="1"/>
    <col min="5" max="5" width="36" customWidth="1"/>
    <col min="6" max="6" width="16.33203125" bestFit="1" customWidth="1"/>
  </cols>
  <sheetData>
    <row r="1" spans="1:17" x14ac:dyDescent="0.15">
      <c r="A1" s="79" t="s">
        <v>120</v>
      </c>
      <c r="B1" s="72" t="s">
        <v>105</v>
      </c>
      <c r="C1" s="72" t="s">
        <v>106</v>
      </c>
      <c r="D1" s="72" t="s">
        <v>107</v>
      </c>
      <c r="E1" s="72" t="s">
        <v>108</v>
      </c>
      <c r="F1" s="72" t="s">
        <v>109</v>
      </c>
      <c r="G1" s="77" t="s">
        <v>110</v>
      </c>
      <c r="H1" s="78"/>
      <c r="I1" s="78"/>
      <c r="J1" s="78"/>
      <c r="K1" s="78"/>
      <c r="L1" s="78"/>
      <c r="M1" s="78"/>
      <c r="N1" s="78"/>
      <c r="O1" s="78"/>
      <c r="P1" s="78"/>
      <c r="Q1" s="78"/>
    </row>
    <row r="2" spans="1:17" x14ac:dyDescent="0.15">
      <c r="A2" s="80" t="s">
        <v>121</v>
      </c>
      <c r="B2" s="58" t="s">
        <v>116</v>
      </c>
      <c r="C2" s="58"/>
      <c r="D2" s="58" t="s">
        <v>111</v>
      </c>
      <c r="E2" s="73" t="str">
        <f>B2&amp;C2&amp;D2</f>
        <v>enemies.csv</v>
      </c>
      <c r="F2" s="58" t="s">
        <v>112</v>
      </c>
      <c r="G2" s="74" t="s">
        <v>20</v>
      </c>
      <c r="H2" s="75" t="s">
        <v>23</v>
      </c>
      <c r="I2" s="75" t="s">
        <v>24</v>
      </c>
      <c r="J2" s="58"/>
      <c r="K2" s="58"/>
      <c r="L2" s="58"/>
      <c r="M2" s="58"/>
      <c r="N2" s="58"/>
      <c r="O2" s="58"/>
      <c r="P2" s="58"/>
      <c r="Q2" s="58"/>
    </row>
    <row r="3" spans="1:17" x14ac:dyDescent="0.15">
      <c r="A3" s="80" t="s">
        <v>122</v>
      </c>
      <c r="B3" s="58" t="s">
        <v>117</v>
      </c>
      <c r="C3" s="58"/>
      <c r="D3" s="58" t="s">
        <v>113</v>
      </c>
      <c r="E3" s="73" t="str">
        <f>B3&amp;C3&amp;D3</f>
        <v>enemy_base_stats.dat</v>
      </c>
      <c r="F3" s="58" t="s">
        <v>114</v>
      </c>
      <c r="G3" s="74" t="s">
        <v>22</v>
      </c>
      <c r="H3" s="75" t="s">
        <v>46</v>
      </c>
      <c r="I3" s="75" t="s">
        <v>48</v>
      </c>
      <c r="J3" s="76" t="s">
        <v>50</v>
      </c>
      <c r="K3" s="76" t="s">
        <v>70</v>
      </c>
      <c r="L3" s="76" t="s">
        <v>69</v>
      </c>
      <c r="M3" s="58"/>
      <c r="N3" s="58"/>
      <c r="O3" s="58"/>
      <c r="P3" s="58"/>
      <c r="Q3" s="58"/>
    </row>
    <row r="4" spans="1:17" x14ac:dyDescent="0.15">
      <c r="A4" s="80" t="s">
        <v>122</v>
      </c>
      <c r="B4" s="58" t="s">
        <v>118</v>
      </c>
      <c r="C4" s="58"/>
      <c r="D4" s="58" t="s">
        <v>115</v>
      </c>
      <c r="E4" s="73" t="str">
        <f>B4&amp;C4&amp;D4</f>
        <v>enemy_levels_calc.dat</v>
      </c>
      <c r="F4" s="58" t="s">
        <v>112</v>
      </c>
      <c r="G4" s="74" t="s">
        <v>20</v>
      </c>
      <c r="H4" s="75" t="s">
        <v>52</v>
      </c>
      <c r="I4" s="75" t="s">
        <v>54</v>
      </c>
      <c r="J4" s="76" t="s">
        <v>56</v>
      </c>
      <c r="K4" s="76" t="s">
        <v>58</v>
      </c>
      <c r="L4" s="76" t="s">
        <v>60</v>
      </c>
      <c r="M4" s="76" t="s">
        <v>62</v>
      </c>
      <c r="N4" s="76" t="s">
        <v>73</v>
      </c>
      <c r="O4" s="76" t="s">
        <v>75</v>
      </c>
      <c r="P4" s="76" t="s">
        <v>64</v>
      </c>
      <c r="Q4" s="76" t="s">
        <v>66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3366FF"/>
    <outlinePr summaryBelow="0" summaryRight="0"/>
  </sheetPr>
  <dimension ref="A1:BH1620"/>
  <sheetViews>
    <sheetView showGridLines="0" tabSelected="1" zoomScale="117" workbookViewId="0">
      <pane xSplit="4" ySplit="1" topLeftCell="AE1428" activePane="bottomRight" state="frozen"/>
      <selection pane="topRight" activeCell="E1" sqref="E1"/>
      <selection pane="bottomLeft" activeCell="A3" sqref="A3"/>
      <selection pane="bottomRight" activeCell="AE1452" sqref="AE1452"/>
    </sheetView>
  </sheetViews>
  <sheetFormatPr baseColWidth="12" defaultColWidth="8.83203125" defaultRowHeight="21" customHeight="1" outlineLevelCol="1" x14ac:dyDescent="0.15"/>
  <cols>
    <col min="1" max="1" width="15.33203125" style="3" bestFit="1" customWidth="1"/>
    <col min="2" max="2" width="21.5" style="11" bestFit="1" customWidth="1"/>
    <col min="3" max="3" width="9.5" style="11" bestFit="1" customWidth="1"/>
    <col min="4" max="4" width="10.5" style="11" bestFit="1" customWidth="1"/>
    <col min="5" max="5" width="12.33203125" style="11" customWidth="1" outlineLevel="1"/>
    <col min="6" max="7" width="13.6640625" style="11" customWidth="1" outlineLevel="1"/>
    <col min="8" max="8" width="13.5" style="11" bestFit="1" customWidth="1"/>
    <col min="9" max="9" width="11.83203125" style="11" customWidth="1"/>
    <col min="10" max="10" width="12.33203125" style="11" bestFit="1" customWidth="1" outlineLevel="1"/>
    <col min="11" max="12" width="13.6640625" style="11" bestFit="1" customWidth="1" outlineLevel="1"/>
    <col min="13" max="13" width="19" style="11" bestFit="1" customWidth="1"/>
    <col min="14" max="14" width="11.83203125" style="11" customWidth="1"/>
    <col min="15" max="15" width="12.33203125" style="11" customWidth="1" outlineLevel="1"/>
    <col min="16" max="17" width="13.6640625" style="11" customWidth="1" outlineLevel="1"/>
    <col min="18" max="18" width="11.5" style="18" bestFit="1" customWidth="1"/>
    <col min="19" max="19" width="12.33203125" style="11" bestFit="1" customWidth="1" outlineLevel="1"/>
    <col min="20" max="20" width="13.6640625" style="11" bestFit="1" customWidth="1" outlineLevel="1"/>
    <col min="21" max="21" width="13.6640625" style="12" bestFit="1" customWidth="1" outlineLevel="1"/>
    <col min="22" max="22" width="12.83203125" style="18" bestFit="1" customWidth="1"/>
    <col min="23" max="23" width="18" style="11" bestFit="1" customWidth="1" outlineLevel="1"/>
    <col min="24" max="24" width="9.6640625" style="3" bestFit="1" customWidth="1"/>
    <col min="25" max="25" width="12.33203125" style="11" bestFit="1" customWidth="1" outlineLevel="1"/>
    <col min="26" max="27" width="13.6640625" style="11" bestFit="1" customWidth="1" outlineLevel="1"/>
    <col min="28" max="28" width="15.6640625" style="3" bestFit="1" customWidth="1"/>
    <col min="29" max="29" width="20.6640625" style="3" customWidth="1" outlineLevel="1"/>
    <col min="30" max="30" width="12.33203125" style="18" bestFit="1" customWidth="1"/>
    <col min="31" max="32" width="13.6640625" style="18" bestFit="1" customWidth="1"/>
    <col min="33" max="33" width="11.5" style="11" bestFit="1" customWidth="1"/>
    <col min="34" max="34" width="14.1640625" style="11" bestFit="1" customWidth="1"/>
    <col min="35" max="35" width="15.33203125" style="11" bestFit="1" customWidth="1"/>
    <col min="36" max="36" width="11.83203125" style="11" bestFit="1" customWidth="1"/>
    <col min="37" max="37" width="14.6640625" style="11" bestFit="1" customWidth="1"/>
    <col min="38" max="38" width="15.6640625" style="11" bestFit="1" customWidth="1"/>
    <col min="39" max="39" width="18.5" style="13" bestFit="1" customWidth="1"/>
    <col min="40" max="40" width="18.33203125" style="13" bestFit="1" customWidth="1"/>
    <col min="41" max="41" width="14" style="20" bestFit="1" customWidth="1"/>
    <col min="42" max="42" width="13.5" style="18" bestFit="1" customWidth="1"/>
    <col min="43" max="43" width="13.1640625" style="3" bestFit="1" customWidth="1"/>
    <col min="44" max="44" width="9.1640625" style="18" customWidth="1"/>
    <col min="45" max="45" width="10.33203125" style="18" bestFit="1" customWidth="1"/>
    <col min="46" max="46" width="17.6640625" style="18" customWidth="1"/>
    <col min="47" max="47" width="10.5" style="18" customWidth="1"/>
    <col min="48" max="48" width="9.6640625" style="18" bestFit="1" customWidth="1"/>
    <col min="49" max="49" width="15.6640625" style="18" customWidth="1"/>
    <col min="50" max="50" width="11.83203125" style="18" bestFit="1" customWidth="1"/>
    <col min="51" max="51" width="11.33203125" style="18" bestFit="1" customWidth="1"/>
    <col min="52" max="52" width="8.83203125" style="18"/>
    <col min="53" max="55" width="8.33203125" style="18" customWidth="1"/>
    <col min="56" max="57" width="14.1640625" style="18" customWidth="1"/>
    <col min="58" max="63" width="11.83203125" style="18" customWidth="1"/>
    <col min="64" max="64" width="14" style="18" bestFit="1" customWidth="1"/>
    <col min="65" max="65" width="17.5" style="18" bestFit="1" customWidth="1"/>
    <col min="66" max="16384" width="8.83203125" style="18"/>
  </cols>
  <sheetData>
    <row r="1" spans="1:60" s="4" customFormat="1" ht="21" customHeight="1" x14ac:dyDescent="0.15">
      <c r="A1" s="16" t="s">
        <v>21</v>
      </c>
      <c r="B1" s="44" t="s">
        <v>32</v>
      </c>
      <c r="C1" s="43" t="s">
        <v>35</v>
      </c>
      <c r="D1" s="45" t="s">
        <v>33</v>
      </c>
      <c r="E1" s="22" t="s">
        <v>38</v>
      </c>
      <c r="F1" s="21" t="s">
        <v>36</v>
      </c>
      <c r="G1" s="21" t="s">
        <v>43</v>
      </c>
      <c r="H1" s="46" t="s">
        <v>34</v>
      </c>
      <c r="I1" s="8" t="s">
        <v>39</v>
      </c>
      <c r="J1" s="22" t="s">
        <v>38</v>
      </c>
      <c r="K1" s="21" t="s">
        <v>36</v>
      </c>
      <c r="L1" s="21" t="s">
        <v>37</v>
      </c>
      <c r="M1" s="46" t="s">
        <v>40</v>
      </c>
      <c r="N1" s="42" t="s">
        <v>41</v>
      </c>
      <c r="O1" s="22" t="s">
        <v>38</v>
      </c>
      <c r="P1" s="21" t="s">
        <v>36</v>
      </c>
      <c r="Q1" s="21" t="s">
        <v>37</v>
      </c>
      <c r="R1" s="49" t="s">
        <v>42</v>
      </c>
      <c r="S1" s="22" t="s">
        <v>38</v>
      </c>
      <c r="T1" s="21" t="s">
        <v>36</v>
      </c>
      <c r="U1" s="21" t="s">
        <v>37</v>
      </c>
      <c r="V1" s="50" t="s">
        <v>79</v>
      </c>
      <c r="W1" s="60" t="s">
        <v>76</v>
      </c>
      <c r="X1" s="47" t="s">
        <v>1</v>
      </c>
      <c r="Y1" s="22" t="s">
        <v>38</v>
      </c>
      <c r="Z1" s="21" t="s">
        <v>36</v>
      </c>
      <c r="AA1" s="21" t="s">
        <v>37</v>
      </c>
      <c r="AB1" s="48" t="s">
        <v>80</v>
      </c>
      <c r="AC1" s="17" t="s">
        <v>92</v>
      </c>
      <c r="AD1" s="51" t="s">
        <v>81</v>
      </c>
      <c r="AE1" s="51" t="s">
        <v>82</v>
      </c>
      <c r="AF1" s="51" t="s">
        <v>83</v>
      </c>
      <c r="AG1" s="56" t="s">
        <v>53</v>
      </c>
      <c r="AH1" s="57" t="s">
        <v>55</v>
      </c>
      <c r="AI1" s="57" t="s">
        <v>57</v>
      </c>
      <c r="AJ1" s="56" t="s">
        <v>59</v>
      </c>
      <c r="AK1" s="57" t="s">
        <v>61</v>
      </c>
      <c r="AL1" s="57" t="s">
        <v>63</v>
      </c>
      <c r="AM1" s="54" t="s">
        <v>74</v>
      </c>
      <c r="AN1" s="54" t="s">
        <v>119</v>
      </c>
      <c r="AO1" s="54" t="s">
        <v>65</v>
      </c>
      <c r="AP1" s="55" t="s">
        <v>67</v>
      </c>
      <c r="AQ1" s="17" t="s">
        <v>93</v>
      </c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</row>
    <row r="2" spans="1:60" s="3" customFormat="1" ht="21" customHeight="1" x14ac:dyDescent="0.15">
      <c r="A2" s="31">
        <f ca="1">INDIRECT(ADDRESS(ROW(),COLUMN(),1,TRUE,"[CharacterMasterData.xlsm]characters"))</f>
        <v>1</v>
      </c>
      <c r="B2" s="6" t="str">
        <f ca="1">VLOOKUP(A2,[2]characters!$A:$C,3,FALSE)</f>
        <v>ジェリー</v>
      </c>
      <c r="C2" s="9">
        <f ca="1">VLOOKUP(A2,[2]characters!$A:$I,9,FALSE)</f>
        <v>1</v>
      </c>
      <c r="D2" s="9" t="str">
        <f ca="1">VLOOKUP(A2,[2]characters!$A:$H,8,FALSE)</f>
        <v>red</v>
      </c>
      <c r="E2" s="24">
        <f ca="1">VLOOKUP(D2,[2]属性!$A:$E,2,FALSE)</f>
        <v>1</v>
      </c>
      <c r="F2" s="24">
        <f ca="1">VLOOKUP(D2,[2]属性!$A:$E,3,FALSE)</f>
        <v>1.02</v>
      </c>
      <c r="G2" s="24">
        <f ca="1">VLOOKUP(D2,[2]属性!$A:$F,4,FALSE)</f>
        <v>1</v>
      </c>
      <c r="H2" s="9" t="str">
        <f ca="1">VLOOKUP(A2,[2]characters!$A:$K,11,FALSE)</f>
        <v>attack</v>
      </c>
      <c r="I2" s="14" t="str">
        <f ca="1">VLOOKUP(H2,[2]character_type_i18n!$A:$F,3,FALSE)</f>
        <v>攻撃タイプ</v>
      </c>
      <c r="J2" s="36">
        <f ca="1">VLOOKUP(H2,[2]character_type_i18n!$A:$F,4,FALSE)</f>
        <v>1</v>
      </c>
      <c r="K2" s="36">
        <f ca="1">VLOOKUP(H2,[2]character_type_i18n!$A:$F,5,FALSE)</f>
        <v>1.33</v>
      </c>
      <c r="L2" s="36">
        <f ca="1">VLOOKUP(H2,[2]character_type_i18n!$A:$F,6,FALSE)</f>
        <v>1</v>
      </c>
      <c r="M2" s="9" t="str">
        <f ca="1">VLOOKUP(A2,[2]characters!$A:$M,13,FALSE)</f>
        <v>unknown</v>
      </c>
      <c r="N2" s="14" t="str">
        <f ca="1">VLOOKUP(M2,[2]character_tribe_i18n!$A:$F,3,FALSE)</f>
        <v>Unknown</v>
      </c>
      <c r="O2" s="24">
        <f ca="1">VLOOKUP(M2,[2]character_tribe_i18n!$A:$F,4,FALSE)</f>
        <v>1</v>
      </c>
      <c r="P2" s="24">
        <f ca="1">VLOOKUP(M2,[2]character_tribe_i18n!$A:$F,5,FALSE)</f>
        <v>1</v>
      </c>
      <c r="Q2" s="24">
        <f ca="1">VLOOKUP(M2,[2]character_tribe_i18n!$A:$F,6,FALSE)</f>
        <v>1</v>
      </c>
      <c r="R2" s="25" t="s">
        <v>19</v>
      </c>
      <c r="S2" s="24">
        <f>VLOOKUP($R2,ラベル別係数!$A$1:$E$7,3,FALSE)</f>
        <v>1</v>
      </c>
      <c r="T2" s="24">
        <f>VLOOKUP($R2,ラベル別係数!$A$1:$E$7,4,FALSE)</f>
        <v>1</v>
      </c>
      <c r="U2" s="24">
        <f>VLOOKUP($R2,ラベル別係数!$A$1:$E$7,5,FALSE)</f>
        <v>1</v>
      </c>
      <c r="V2" s="27">
        <v>1</v>
      </c>
      <c r="W2" s="59">
        <f>VLOOKUP(V2,ターン数別攻撃係数!$A$1:$B$1000,2,FALSE)</f>
        <v>0.55000000000000004</v>
      </c>
      <c r="X2" s="10">
        <v>15</v>
      </c>
      <c r="Y2" s="26">
        <f>VLOOKUP($X2,サイズ別係数!$B:$E,2,FALSE)</f>
        <v>1</v>
      </c>
      <c r="Z2" s="26">
        <f>VLOOKUP($X2,サイズ別係数!$B:$E,3,FALSE)</f>
        <v>1</v>
      </c>
      <c r="AA2" s="26">
        <f>VLOOKUP($X2,サイズ別係数!$B:$E,4,FALSE)</f>
        <v>1</v>
      </c>
      <c r="AB2" s="35">
        <v>0</v>
      </c>
      <c r="AC2" s="34" t="str">
        <f ca="1">VLOOKUP($AB2,OFFSET([3]enemy_skill_sets!$B$2,0,0,COUNTA([3]enemy_skill_sets!$A:$A),MATCH(AC$1,[3]enemy_skill_sets!$1:$1,0)-MATCH($AB$1,[3]enemy_skill_sets!$1:$1,0)+1),MATCH(AC$1,[3]enemy_skill_sets!$1:$1,0)-MATCH($AB$1,[3]enemy_skill_sets!$1:$1,0)+1,FALSE)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" s="37">
        <v>1</v>
      </c>
      <c r="AE2" s="37">
        <v>0.9</v>
      </c>
      <c r="AF2" s="37">
        <v>0</v>
      </c>
      <c r="AG2" s="28">
        <f ca="1">ROUND(VLOOKUP(1,enemy_base_stats!$A:$F,2,FALSE) * Y2* J2*O2*E2*S2*AD2*[2]ステータス!$B$2,0)</f>
        <v>500</v>
      </c>
      <c r="AH2" s="28">
        <f ca="1">ROUND(VLOOKUP(1,enemy_base_stats!$A:$F,3,FALSE) * Z2*K2*P2*F2*T2*AE2 * W2*[2]ステータス!$C$2,0)</f>
        <v>101</v>
      </c>
      <c r="AI2" s="28">
        <f ca="1">ROUND(VLOOKUP(1,enemy_base_stats!$A:$F,4,FALSE) * AA2*L2*Q2*G2*U2*AF2*[2]ステータス!$D$2,0)</f>
        <v>0</v>
      </c>
      <c r="AJ2" s="28">
        <f ca="1">ROUND(VLOOKUP(100,enemy_base_stats!$A:$F,2,FALSE) * Y2* J2*O2*E2*S2*AD2*[2]ステータス!$B$2,0)</f>
        <v>20300</v>
      </c>
      <c r="AK2" s="28">
        <f ca="1">ROUND(VLOOKUP(100,enemy_base_stats!$A:$F,3,FALSE)* Z2* K2*P2*F2*T2*AE2 * W2*[2]ステータス!$C$2,0)</f>
        <v>4090</v>
      </c>
      <c r="AL2" s="28">
        <f ca="1">ROUND(VLOOKUP(100,enemy_base_stats!$A:$F,4,FALSE)* AA2* L2*Q2*G2*U2*AF2*[2]ステータス!$D$2,0)</f>
        <v>0</v>
      </c>
      <c r="AM2" s="24">
        <f ca="1">VLOOKUP(M2,[2]character_tribe_i18n!$A:$I,9,FALSE)</f>
        <v>340</v>
      </c>
      <c r="AN2" s="36">
        <v>0</v>
      </c>
      <c r="AO2" s="53">
        <v>0</v>
      </c>
      <c r="AP2" s="58" t="s">
        <v>72</v>
      </c>
      <c r="AQ2" s="71">
        <f t="shared" ref="AQ2:AQ65" ca="1" si="0">A2</f>
        <v>1</v>
      </c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</row>
    <row r="3" spans="1:60" s="3" customFormat="1" ht="21" customHeight="1" x14ac:dyDescent="0.15">
      <c r="A3" s="31">
        <f t="shared" ref="A3:A66" ca="1" si="1">INDIRECT(ADDRESS(ROW(),COLUMN(),1,TRUE,"[CharacterMasterData.xlsm]characters"))</f>
        <v>2</v>
      </c>
      <c r="B3" s="6" t="str">
        <f ca="1">VLOOKUP(A3,[2]characters!$A:$C,3,FALSE)</f>
        <v>イレギュラー・ジェリー</v>
      </c>
      <c r="C3" s="9">
        <f ca="1">VLOOKUP(A3,[2]characters!$A:$I,9,FALSE)</f>
        <v>2</v>
      </c>
      <c r="D3" s="9" t="str">
        <f ca="1">VLOOKUP(A3,[2]characters!$A:$H,8,FALSE)</f>
        <v>red</v>
      </c>
      <c r="E3" s="24">
        <f ca="1">VLOOKUP(D3,[2]属性!$A:$E,2,FALSE)</f>
        <v>1</v>
      </c>
      <c r="F3" s="24">
        <f ca="1">VLOOKUP(D3,[2]属性!$A:$E,3,FALSE)</f>
        <v>1.02</v>
      </c>
      <c r="G3" s="24">
        <f ca="1">VLOOKUP(D3,[2]属性!$A:$F,4,FALSE)</f>
        <v>1</v>
      </c>
      <c r="H3" s="9" t="str">
        <f ca="1">VLOOKUP(A3,[2]characters!$A:$K,11,FALSE)</f>
        <v>attack</v>
      </c>
      <c r="I3" s="14" t="str">
        <f ca="1">VLOOKUP(H3,[2]character_type_i18n!$A:$F,3,FALSE)</f>
        <v>攻撃タイプ</v>
      </c>
      <c r="J3" s="36">
        <f ca="1">VLOOKUP(H3,[2]character_type_i18n!$A:$F,4,FALSE)</f>
        <v>1</v>
      </c>
      <c r="K3" s="36">
        <f ca="1">VLOOKUP(H3,[2]character_type_i18n!$A:$F,5,FALSE)</f>
        <v>1.33</v>
      </c>
      <c r="L3" s="36">
        <f ca="1">VLOOKUP(H3,[2]character_type_i18n!$A:$F,6,FALSE)</f>
        <v>1</v>
      </c>
      <c r="M3" s="9" t="str">
        <f ca="1">VLOOKUP(A3,[2]characters!$A:$M,13,FALSE)</f>
        <v>unknown</v>
      </c>
      <c r="N3" s="14" t="str">
        <f ca="1">VLOOKUP(M3,[2]character_tribe_i18n!$A:$F,3,FALSE)</f>
        <v>Unknown</v>
      </c>
      <c r="O3" s="24">
        <f ca="1">VLOOKUP(M3,[2]character_tribe_i18n!$A:$F,4,FALSE)</f>
        <v>1</v>
      </c>
      <c r="P3" s="24">
        <f ca="1">VLOOKUP(M3,[2]character_tribe_i18n!$A:$F,5,FALSE)</f>
        <v>1</v>
      </c>
      <c r="Q3" s="24">
        <f ca="1">VLOOKUP(M3,[2]character_tribe_i18n!$A:$F,6,FALSE)</f>
        <v>1</v>
      </c>
      <c r="R3" s="25" t="s">
        <v>19</v>
      </c>
      <c r="S3" s="24">
        <f>VLOOKUP($R3,ラベル別係数!$A$1:$E$7,3,FALSE)</f>
        <v>1</v>
      </c>
      <c r="T3" s="24">
        <f>VLOOKUP($R3,ラベル別係数!$A$1:$E$7,4,FALSE)</f>
        <v>1</v>
      </c>
      <c r="U3" s="24">
        <f>VLOOKUP($R3,ラベル別係数!$A$1:$E$7,5,FALSE)</f>
        <v>1</v>
      </c>
      <c r="V3" s="27">
        <v>1</v>
      </c>
      <c r="W3" s="28">
        <f>VLOOKUP(V3,ターン数別攻撃係数!$A$1:$B$1000,2,FALSE)</f>
        <v>0.55000000000000004</v>
      </c>
      <c r="X3" s="5">
        <v>15</v>
      </c>
      <c r="Y3" s="26">
        <f>VLOOKUP($X3,サイズ別係数!$B:$E,2,FALSE)</f>
        <v>1</v>
      </c>
      <c r="Z3" s="26">
        <f>VLOOKUP($X3,サイズ別係数!$B:$E,3,FALSE)</f>
        <v>1</v>
      </c>
      <c r="AA3" s="26">
        <f>VLOOKUP($X3,サイズ別係数!$B:$E,4,FALSE)</f>
        <v>1</v>
      </c>
      <c r="AB3" s="35">
        <v>0</v>
      </c>
      <c r="AC3" s="34" t="str">
        <f ca="1">VLOOKUP($AB3,OFFSET([3]enemy_skill_sets!$B$2,0,0,COUNTA([3]enemy_skill_sets!$A:$A),MATCH(AC$1,[3]enemy_skill_sets!$1:$1,0)-MATCH($AB$1,[3]enemy_skill_sets!$1:$1,0)+1),MATCH(AC$1,[3]enemy_skill_sets!$1:$1,0)-MATCH($AB$1,[3]enemy_skill_sets!$1:$1,0)+1,FALSE)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" s="37">
        <v>1</v>
      </c>
      <c r="AE3" s="37">
        <v>1</v>
      </c>
      <c r="AF3" s="37">
        <v>0</v>
      </c>
      <c r="AG3" s="28">
        <f ca="1">ROUND(VLOOKUP(1,enemy_base_stats!$A:$F,2,FALSE) * Y3* J3*O3*E3*S3*AD3*[2]ステータス!$B$2,0)</f>
        <v>500</v>
      </c>
      <c r="AH3" s="28">
        <f ca="1">ROUND(VLOOKUP(1,enemy_base_stats!$A:$F,3,FALSE) * Z3*K3*P3*F3*T3*AE3 * W3*[2]ステータス!$C$2,0)</f>
        <v>112</v>
      </c>
      <c r="AI3" s="28">
        <f ca="1">ROUND(VLOOKUP(1,enemy_base_stats!$A:$F,4,FALSE) * AA3*L3*Q3*G3*U3*AF3*[2]ステータス!$D$2,0)</f>
        <v>0</v>
      </c>
      <c r="AJ3" s="28">
        <f ca="1">ROUND(VLOOKUP(100,enemy_base_stats!$A:$F,2,FALSE) * Y3* J3*O3*E3*S3*AD3*[2]ステータス!$B$2,0)</f>
        <v>20300</v>
      </c>
      <c r="AK3" s="28">
        <f ca="1">ROUND(VLOOKUP(100,enemy_base_stats!$A:$F,3,FALSE)* Z3* K3*P3*F3*T3*AE3 * W3*[2]ステータス!$C$2,0)</f>
        <v>4544</v>
      </c>
      <c r="AL3" s="28">
        <f ca="1">ROUND(VLOOKUP(100,enemy_base_stats!$A:$F,4,FALSE)* AA3* L3*Q3*G3*U3*AF3*[2]ステータス!$D$2,0)</f>
        <v>0</v>
      </c>
      <c r="AM3" s="24">
        <f ca="1">VLOOKUP(M3,[2]character_tribe_i18n!$A:$I,9,FALSE)</f>
        <v>340</v>
      </c>
      <c r="AN3" s="36">
        <v>0</v>
      </c>
      <c r="AO3" s="53">
        <v>0</v>
      </c>
      <c r="AP3" s="58" t="s">
        <v>72</v>
      </c>
      <c r="AQ3" s="71">
        <f t="shared" ca="1" si="0"/>
        <v>2</v>
      </c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</row>
    <row r="4" spans="1:60" s="3" customFormat="1" ht="21" customHeight="1" x14ac:dyDescent="0.15">
      <c r="A4" s="31">
        <f t="shared" ca="1" si="1"/>
        <v>3</v>
      </c>
      <c r="B4" s="6" t="str">
        <f ca="1">VLOOKUP(A4,[2]characters!$A:$C,3,FALSE)</f>
        <v>エージェント ジョー</v>
      </c>
      <c r="C4" s="9">
        <f ca="1">VLOOKUP(A4,[2]characters!$A:$I,9,FALSE)</f>
        <v>1</v>
      </c>
      <c r="D4" s="9" t="str">
        <f ca="1">VLOOKUP(A4,[2]characters!$A:$H,8,FALSE)</f>
        <v>green</v>
      </c>
      <c r="E4" s="24">
        <f ca="1">VLOOKUP(D4,[2]属性!$A:$E,2,FALSE)</f>
        <v>1.02</v>
      </c>
      <c r="F4" s="24">
        <f ca="1">VLOOKUP(D4,[2]属性!$A:$E,3,FALSE)</f>
        <v>0.98</v>
      </c>
      <c r="G4" s="24">
        <f ca="1">VLOOKUP(D4,[2]属性!$A:$F,4,FALSE)</f>
        <v>1</v>
      </c>
      <c r="H4" s="9" t="str">
        <f ca="1">VLOOKUP(A4,[2]characters!$A:$K,11,FALSE)</f>
        <v>balance</v>
      </c>
      <c r="I4" s="14" t="str">
        <f ca="1">VLOOKUP(H4,[2]character_type_i18n!$A:$F,3,FALSE)</f>
        <v>バランスタイプ</v>
      </c>
      <c r="J4" s="36">
        <f ca="1">VLOOKUP(H4,[2]character_type_i18n!$A:$F,4,FALSE)</f>
        <v>1</v>
      </c>
      <c r="K4" s="36">
        <f ca="1">VLOOKUP(H4,[2]character_type_i18n!$A:$F,5,FALSE)</f>
        <v>1</v>
      </c>
      <c r="L4" s="36">
        <f ca="1">VLOOKUP(H4,[2]character_type_i18n!$A:$F,6,FALSE)</f>
        <v>1</v>
      </c>
      <c r="M4" s="9" t="str">
        <f ca="1">VLOOKUP(A4,[2]characters!$A:$M,13,FALSE)</f>
        <v>unknown</v>
      </c>
      <c r="N4" s="14" t="str">
        <f ca="1">VLOOKUP(M4,[2]character_tribe_i18n!$A:$F,3,FALSE)</f>
        <v>Unknown</v>
      </c>
      <c r="O4" s="24">
        <f ca="1">VLOOKUP(M4,[2]character_tribe_i18n!$A:$F,4,FALSE)</f>
        <v>1</v>
      </c>
      <c r="P4" s="24">
        <f ca="1">VLOOKUP(M4,[2]character_tribe_i18n!$A:$F,5,FALSE)</f>
        <v>1</v>
      </c>
      <c r="Q4" s="24">
        <f ca="1">VLOOKUP(M4,[2]character_tribe_i18n!$A:$F,6,FALSE)</f>
        <v>1</v>
      </c>
      <c r="R4" s="25" t="s">
        <v>19</v>
      </c>
      <c r="S4" s="24">
        <f>VLOOKUP($R4,ラベル別係数!$A$1:$E$7,3,FALSE)</f>
        <v>1</v>
      </c>
      <c r="T4" s="24">
        <f>VLOOKUP($R4,ラベル別係数!$A$1:$E$7,4,FALSE)</f>
        <v>1</v>
      </c>
      <c r="U4" s="24">
        <f>VLOOKUP($R4,ラベル別係数!$A$1:$E$7,5,FALSE)</f>
        <v>1</v>
      </c>
      <c r="V4" s="27">
        <v>2</v>
      </c>
      <c r="W4" s="28">
        <f>VLOOKUP(V4,ターン数別攻撃係数!$A$1:$B$1000,2,FALSE)</f>
        <v>0.75</v>
      </c>
      <c r="X4" s="10">
        <v>15</v>
      </c>
      <c r="Y4" s="26">
        <f>VLOOKUP($X4,サイズ別係数!$B:$E,2,FALSE)</f>
        <v>1</v>
      </c>
      <c r="Z4" s="26">
        <f>VLOOKUP($X4,サイズ別係数!$B:$E,3,FALSE)</f>
        <v>1</v>
      </c>
      <c r="AA4" s="26">
        <f>VLOOKUP($X4,サイズ別係数!$B:$E,4,FALSE)</f>
        <v>1</v>
      </c>
      <c r="AB4" s="35">
        <v>0</v>
      </c>
      <c r="AC4" s="34" t="str">
        <f ca="1">VLOOKUP($AB4,OFFSET([3]enemy_skill_sets!$B$2,0,0,COUNTA([3]enemy_skill_sets!$A:$A),MATCH(AC$1,[3]enemy_skill_sets!$1:$1,0)-MATCH($AB$1,[3]enemy_skill_sets!$1:$1,0)+1),MATCH(AC$1,[3]enemy_skill_sets!$1:$1,0)-MATCH($AB$1,[3]enemy_skill_sets!$1:$1,0)+1,FALSE)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" s="37">
        <v>1</v>
      </c>
      <c r="AE4" s="37">
        <v>1</v>
      </c>
      <c r="AF4" s="37">
        <v>0</v>
      </c>
      <c r="AG4" s="28">
        <f ca="1">ROUND(VLOOKUP(1,enemy_base_stats!$A:$F,2,FALSE) * Y4* J4*O4*E4*S4*AD4*[2]ステータス!$B$2,0)</f>
        <v>510</v>
      </c>
      <c r="AH4" s="28">
        <f ca="1">ROUND(VLOOKUP(1,enemy_base_stats!$A:$F,3,FALSE) * Z4*K4*P4*F4*T4*AE4 * W4*[2]ステータス!$C$2,0)</f>
        <v>110</v>
      </c>
      <c r="AI4" s="28">
        <f ca="1">ROUND(VLOOKUP(1,enemy_base_stats!$A:$F,4,FALSE) * AA4*L4*Q4*G4*U4*AF4*[2]ステータス!$D$2,0)</f>
        <v>0</v>
      </c>
      <c r="AJ4" s="28">
        <f ca="1">ROUND(VLOOKUP(100,enemy_base_stats!$A:$F,2,FALSE) * Y4* J4*O4*E4*S4*AD4*[2]ステータス!$B$2,0)</f>
        <v>20706</v>
      </c>
      <c r="AK4" s="28">
        <f ca="1">ROUND(VLOOKUP(100,enemy_base_stats!$A:$F,3,FALSE)* Z4* K4*P4*F4*T4*AE4 * W4*[2]ステータス!$C$2,0)</f>
        <v>4476</v>
      </c>
      <c r="AL4" s="28">
        <f ca="1">ROUND(VLOOKUP(100,enemy_base_stats!$A:$F,4,FALSE)* AA4* L4*Q4*G4*U4*AF4*[2]ステータス!$D$2,0)</f>
        <v>0</v>
      </c>
      <c r="AM4" s="24">
        <f ca="1">VLOOKUP(M4,[2]character_tribe_i18n!$A:$I,9,FALSE)</f>
        <v>340</v>
      </c>
      <c r="AN4" s="36">
        <v>0</v>
      </c>
      <c r="AO4" s="53">
        <v>0</v>
      </c>
      <c r="AP4" s="58" t="s">
        <v>72</v>
      </c>
      <c r="AQ4" s="71">
        <f t="shared" ca="1" si="0"/>
        <v>3</v>
      </c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</row>
    <row r="5" spans="1:60" s="3" customFormat="1" ht="21" customHeight="1" x14ac:dyDescent="0.15">
      <c r="A5" s="31">
        <f t="shared" ca="1" si="1"/>
        <v>4</v>
      </c>
      <c r="B5" s="6" t="str">
        <f ca="1">VLOOKUP(A5,[2]characters!$A:$C,3,FALSE)</f>
        <v>エースエージェント ジョー</v>
      </c>
      <c r="C5" s="9">
        <f ca="1">VLOOKUP(A5,[2]characters!$A:$I,9,FALSE)</f>
        <v>2</v>
      </c>
      <c r="D5" s="9" t="str">
        <f ca="1">VLOOKUP(A5,[2]characters!$A:$H,8,FALSE)</f>
        <v>green</v>
      </c>
      <c r="E5" s="24">
        <f ca="1">VLOOKUP(D5,[2]属性!$A:$E,2,FALSE)</f>
        <v>1.02</v>
      </c>
      <c r="F5" s="24">
        <f ca="1">VLOOKUP(D5,[2]属性!$A:$E,3,FALSE)</f>
        <v>0.98</v>
      </c>
      <c r="G5" s="24">
        <f ca="1">VLOOKUP(D5,[2]属性!$A:$F,4,FALSE)</f>
        <v>1</v>
      </c>
      <c r="H5" s="9" t="str">
        <f ca="1">VLOOKUP(A5,[2]characters!$A:$K,11,FALSE)</f>
        <v>balance</v>
      </c>
      <c r="I5" s="14" t="str">
        <f ca="1">VLOOKUP(H5,[2]character_type_i18n!$A:$F,3,FALSE)</f>
        <v>バランスタイプ</v>
      </c>
      <c r="J5" s="36">
        <f ca="1">VLOOKUP(H5,[2]character_type_i18n!$A:$F,4,FALSE)</f>
        <v>1</v>
      </c>
      <c r="K5" s="36">
        <f ca="1">VLOOKUP(H5,[2]character_type_i18n!$A:$F,5,FALSE)</f>
        <v>1</v>
      </c>
      <c r="L5" s="36">
        <f ca="1">VLOOKUP(H5,[2]character_type_i18n!$A:$F,6,FALSE)</f>
        <v>1</v>
      </c>
      <c r="M5" s="9" t="str">
        <f ca="1">VLOOKUP(A5,[2]characters!$A:$M,13,FALSE)</f>
        <v>unknown</v>
      </c>
      <c r="N5" s="14" t="str">
        <f ca="1">VLOOKUP(M5,[2]character_tribe_i18n!$A:$F,3,FALSE)</f>
        <v>Unknown</v>
      </c>
      <c r="O5" s="24">
        <f ca="1">VLOOKUP(M5,[2]character_tribe_i18n!$A:$F,4,FALSE)</f>
        <v>1</v>
      </c>
      <c r="P5" s="24">
        <f ca="1">VLOOKUP(M5,[2]character_tribe_i18n!$A:$F,5,FALSE)</f>
        <v>1</v>
      </c>
      <c r="Q5" s="24">
        <f ca="1">VLOOKUP(M5,[2]character_tribe_i18n!$A:$F,6,FALSE)</f>
        <v>1</v>
      </c>
      <c r="R5" s="25" t="s">
        <v>19</v>
      </c>
      <c r="S5" s="24">
        <f>VLOOKUP($R5,ラベル別係数!$A$1:$E$7,3,FALSE)</f>
        <v>1</v>
      </c>
      <c r="T5" s="24">
        <f>VLOOKUP($R5,ラベル別係数!$A$1:$E$7,4,FALSE)</f>
        <v>1</v>
      </c>
      <c r="U5" s="24">
        <f>VLOOKUP($R5,ラベル別係数!$A$1:$E$7,5,FALSE)</f>
        <v>1</v>
      </c>
      <c r="V5" s="27">
        <v>2</v>
      </c>
      <c r="W5" s="28">
        <f>VLOOKUP(V5,ターン数別攻撃係数!$A$1:$B$1000,2,FALSE)</f>
        <v>0.75</v>
      </c>
      <c r="X5" s="5">
        <v>15</v>
      </c>
      <c r="Y5" s="26">
        <f>VLOOKUP($X5,サイズ別係数!$B:$E,2,FALSE)</f>
        <v>1</v>
      </c>
      <c r="Z5" s="26">
        <f>VLOOKUP($X5,サイズ別係数!$B:$E,3,FALSE)</f>
        <v>1</v>
      </c>
      <c r="AA5" s="26">
        <f>VLOOKUP($X5,サイズ別係数!$B:$E,4,FALSE)</f>
        <v>1</v>
      </c>
      <c r="AB5" s="35">
        <v>0</v>
      </c>
      <c r="AC5" s="34" t="str">
        <f ca="1">VLOOKUP($AB5,OFFSET([3]enemy_skill_sets!$B$2,0,0,COUNTA([3]enemy_skill_sets!$A:$A),MATCH(AC$1,[3]enemy_skill_sets!$1:$1,0)-MATCH($AB$1,[3]enemy_skill_sets!$1:$1,0)+1),MATCH(AC$1,[3]enemy_skill_sets!$1:$1,0)-MATCH($AB$1,[3]enemy_skill_sets!$1:$1,0)+1,FALSE)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" s="37">
        <v>1</v>
      </c>
      <c r="AE5" s="37">
        <v>1</v>
      </c>
      <c r="AF5" s="37">
        <v>0</v>
      </c>
      <c r="AG5" s="28">
        <f ca="1">ROUND(VLOOKUP(1,enemy_base_stats!$A:$F,2,FALSE) * Y5* J5*O5*E5*S5*AD5*[2]ステータス!$B$2,0)</f>
        <v>510</v>
      </c>
      <c r="AH5" s="28">
        <f ca="1">ROUND(VLOOKUP(1,enemy_base_stats!$A:$F,3,FALSE) * Z5*K5*P5*F5*T5*AE5 * W5*[2]ステータス!$C$2,0)</f>
        <v>110</v>
      </c>
      <c r="AI5" s="28">
        <f ca="1">ROUND(VLOOKUP(1,enemy_base_stats!$A:$F,4,FALSE) * AA5*L5*Q5*G5*U5*AF5*[2]ステータス!$D$2,0)</f>
        <v>0</v>
      </c>
      <c r="AJ5" s="28">
        <f ca="1">ROUND(VLOOKUP(100,enemy_base_stats!$A:$F,2,FALSE) * Y5* J5*O5*E5*S5*AD5*[2]ステータス!$B$2,0)</f>
        <v>20706</v>
      </c>
      <c r="AK5" s="28">
        <f ca="1">ROUND(VLOOKUP(100,enemy_base_stats!$A:$F,3,FALSE)* Z5* K5*P5*F5*T5*AE5 * W5*[2]ステータス!$C$2,0)</f>
        <v>4476</v>
      </c>
      <c r="AL5" s="28">
        <f ca="1">ROUND(VLOOKUP(100,enemy_base_stats!$A:$F,4,FALSE)* AA5* L5*Q5*G5*U5*AF5*[2]ステータス!$D$2,0)</f>
        <v>0</v>
      </c>
      <c r="AM5" s="24">
        <f ca="1">VLOOKUP(M5,[2]character_tribe_i18n!$A:$I,9,FALSE)</f>
        <v>340</v>
      </c>
      <c r="AN5" s="36">
        <v>0</v>
      </c>
      <c r="AO5" s="53">
        <v>0</v>
      </c>
      <c r="AP5" s="58" t="s">
        <v>72</v>
      </c>
      <c r="AQ5" s="71">
        <f t="shared" ca="1" si="0"/>
        <v>4</v>
      </c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</row>
    <row r="6" spans="1:60" s="3" customFormat="1" ht="21" customHeight="1" x14ac:dyDescent="0.15">
      <c r="A6" s="31">
        <f t="shared" ca="1" si="1"/>
        <v>5</v>
      </c>
      <c r="B6" s="6" t="str">
        <f ca="1">VLOOKUP(A6,[2]characters!$A:$C,3,FALSE)</f>
        <v>パトドッグ ポチ</v>
      </c>
      <c r="C6" s="9">
        <f ca="1">VLOOKUP(A6,[2]characters!$A:$I,9,FALSE)</f>
        <v>1</v>
      </c>
      <c r="D6" s="9" t="str">
        <f ca="1">VLOOKUP(A6,[2]characters!$A:$H,8,FALSE)</f>
        <v>blue</v>
      </c>
      <c r="E6" s="24">
        <f ca="1">VLOOKUP(D6,[2]属性!$A:$E,2,FALSE)</f>
        <v>1</v>
      </c>
      <c r="F6" s="24">
        <f ca="1">VLOOKUP(D6,[2]属性!$A:$E,3,FALSE)</f>
        <v>0.98</v>
      </c>
      <c r="G6" s="24">
        <f ca="1">VLOOKUP(D6,[2]属性!$A:$F,4,FALSE)</f>
        <v>1</v>
      </c>
      <c r="H6" s="9" t="str">
        <f ca="1">VLOOKUP(A6,[2]characters!$A:$K,11,FALSE)</f>
        <v>heal</v>
      </c>
      <c r="I6" s="14" t="str">
        <f ca="1">VLOOKUP(H6,[2]character_type_i18n!$A:$F,3,FALSE)</f>
        <v>回復タイプ</v>
      </c>
      <c r="J6" s="36">
        <f ca="1">VLOOKUP(H6,[2]character_type_i18n!$A:$F,4,FALSE)</f>
        <v>0.8</v>
      </c>
      <c r="K6" s="36">
        <f ca="1">VLOOKUP(H6,[2]character_type_i18n!$A:$F,5,FALSE)</f>
        <v>0.78</v>
      </c>
      <c r="L6" s="36">
        <f ca="1">VLOOKUP(H6,[2]character_type_i18n!$A:$F,6,FALSE)</f>
        <v>1</v>
      </c>
      <c r="M6" s="9" t="str">
        <f ca="1">VLOOKUP(A6,[2]characters!$A:$M,13,FALSE)</f>
        <v>unknown</v>
      </c>
      <c r="N6" s="14" t="str">
        <f ca="1">VLOOKUP(M6,[2]character_tribe_i18n!$A:$F,3,FALSE)</f>
        <v>Unknown</v>
      </c>
      <c r="O6" s="24">
        <f ca="1">VLOOKUP(M6,[2]character_tribe_i18n!$A:$F,4,FALSE)</f>
        <v>1</v>
      </c>
      <c r="P6" s="24">
        <f ca="1">VLOOKUP(M6,[2]character_tribe_i18n!$A:$F,5,FALSE)</f>
        <v>1</v>
      </c>
      <c r="Q6" s="24">
        <f ca="1">VLOOKUP(M6,[2]character_tribe_i18n!$A:$F,6,FALSE)</f>
        <v>1</v>
      </c>
      <c r="R6" s="25" t="s">
        <v>19</v>
      </c>
      <c r="S6" s="24">
        <f>VLOOKUP($R6,ラベル別係数!$A$1:$E$7,3,FALSE)</f>
        <v>1</v>
      </c>
      <c r="T6" s="24">
        <f>VLOOKUP($R6,ラベル別係数!$A$1:$E$7,4,FALSE)</f>
        <v>1</v>
      </c>
      <c r="U6" s="24">
        <f>VLOOKUP($R6,ラベル別係数!$A$1:$E$7,5,FALSE)</f>
        <v>1</v>
      </c>
      <c r="V6" s="27">
        <v>3</v>
      </c>
      <c r="W6" s="28">
        <f>VLOOKUP(V6,ターン数別攻撃係数!$A$1:$B$1000,2,FALSE)</f>
        <v>1</v>
      </c>
      <c r="X6" s="10">
        <v>15</v>
      </c>
      <c r="Y6" s="26">
        <f>VLOOKUP($X6,サイズ別係数!$B:$E,2,FALSE)</f>
        <v>1</v>
      </c>
      <c r="Z6" s="26">
        <f>VLOOKUP($X6,サイズ別係数!$B:$E,3,FALSE)</f>
        <v>1</v>
      </c>
      <c r="AA6" s="26">
        <f>VLOOKUP($X6,サイズ別係数!$B:$E,4,FALSE)</f>
        <v>1</v>
      </c>
      <c r="AB6" s="35">
        <v>0</v>
      </c>
      <c r="AC6" s="34" t="str">
        <f ca="1">VLOOKUP($AB6,OFFSET([3]enemy_skill_sets!$B$2,0,0,COUNTA([3]enemy_skill_sets!$A:$A),MATCH(AC$1,[3]enemy_skill_sets!$1:$1,0)-MATCH($AB$1,[3]enemy_skill_sets!$1:$1,0)+1),MATCH(AC$1,[3]enemy_skill_sets!$1:$1,0)-MATCH($AB$1,[3]enemy_skill_sets!$1:$1,0)+1,FALSE)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" s="37">
        <v>1</v>
      </c>
      <c r="AE6" s="37">
        <v>1</v>
      </c>
      <c r="AF6" s="37">
        <v>0</v>
      </c>
      <c r="AG6" s="28">
        <f ca="1">ROUND(VLOOKUP(1,enemy_base_stats!$A:$F,2,FALSE) * Y6* J6*O6*E6*S6*AD6*[2]ステータス!$B$2,0)</f>
        <v>400</v>
      </c>
      <c r="AH6" s="28">
        <f ca="1">ROUND(VLOOKUP(1,enemy_base_stats!$A:$F,3,FALSE) * Z6*K6*P6*F6*T6*AE6 * W6*[2]ステータス!$C$2,0)</f>
        <v>115</v>
      </c>
      <c r="AI6" s="28">
        <f ca="1">ROUND(VLOOKUP(1,enemy_base_stats!$A:$F,4,FALSE) * AA6*L6*Q6*G6*U6*AF6*[2]ステータス!$D$2,0)</f>
        <v>0</v>
      </c>
      <c r="AJ6" s="28">
        <f ca="1">ROUND(VLOOKUP(100,enemy_base_stats!$A:$F,2,FALSE) * Y6* J6*O6*E6*S6*AD6*[2]ステータス!$B$2,0)</f>
        <v>16240</v>
      </c>
      <c r="AK6" s="28">
        <f ca="1">ROUND(VLOOKUP(100,enemy_base_stats!$A:$F,3,FALSE)* Z6* K6*P6*F6*T6*AE6 * W6*[2]ステータス!$C$2,0)</f>
        <v>4655</v>
      </c>
      <c r="AL6" s="28">
        <f ca="1">ROUND(VLOOKUP(100,enemy_base_stats!$A:$F,4,FALSE)* AA6* L6*Q6*G6*U6*AF6*[2]ステータス!$D$2,0)</f>
        <v>0</v>
      </c>
      <c r="AM6" s="24">
        <f ca="1">VLOOKUP(M6,[2]character_tribe_i18n!$A:$I,9,FALSE)</f>
        <v>340</v>
      </c>
      <c r="AN6" s="36">
        <v>0</v>
      </c>
      <c r="AO6" s="53">
        <v>0</v>
      </c>
      <c r="AP6" s="58" t="s">
        <v>72</v>
      </c>
      <c r="AQ6" s="71">
        <f t="shared" ca="1" si="0"/>
        <v>5</v>
      </c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</row>
    <row r="7" spans="1:60" s="3" customFormat="1" ht="21" customHeight="1" x14ac:dyDescent="0.15">
      <c r="A7" s="31">
        <f t="shared" ca="1" si="1"/>
        <v>6</v>
      </c>
      <c r="B7" s="6" t="str">
        <f ca="1">VLOOKUP(A7,[2]characters!$A:$C,3,FALSE)</f>
        <v>パトドッグリーダー ポチ</v>
      </c>
      <c r="C7" s="9">
        <f ca="1">VLOOKUP(A7,[2]characters!$A:$I,9,FALSE)</f>
        <v>2</v>
      </c>
      <c r="D7" s="9" t="str">
        <f ca="1">VLOOKUP(A7,[2]characters!$A:$H,8,FALSE)</f>
        <v>blue</v>
      </c>
      <c r="E7" s="24">
        <f ca="1">VLOOKUP(D7,[2]属性!$A:$E,2,FALSE)</f>
        <v>1</v>
      </c>
      <c r="F7" s="24">
        <f ca="1">VLOOKUP(D7,[2]属性!$A:$E,3,FALSE)</f>
        <v>0.98</v>
      </c>
      <c r="G7" s="24">
        <f ca="1">VLOOKUP(D7,[2]属性!$A:$F,4,FALSE)</f>
        <v>1</v>
      </c>
      <c r="H7" s="9" t="str">
        <f ca="1">VLOOKUP(A7,[2]characters!$A:$K,11,FALSE)</f>
        <v>heal</v>
      </c>
      <c r="I7" s="14" t="str">
        <f ca="1">VLOOKUP(H7,[2]character_type_i18n!$A:$F,3,FALSE)</f>
        <v>回復タイプ</v>
      </c>
      <c r="J7" s="36">
        <f ca="1">VLOOKUP(H7,[2]character_type_i18n!$A:$F,4,FALSE)</f>
        <v>0.8</v>
      </c>
      <c r="K7" s="36">
        <f ca="1">VLOOKUP(H7,[2]character_type_i18n!$A:$F,5,FALSE)</f>
        <v>0.78</v>
      </c>
      <c r="L7" s="36">
        <f ca="1">VLOOKUP(H7,[2]character_type_i18n!$A:$F,6,FALSE)</f>
        <v>1</v>
      </c>
      <c r="M7" s="9" t="str">
        <f ca="1">VLOOKUP(A7,[2]characters!$A:$M,13,FALSE)</f>
        <v>unknown</v>
      </c>
      <c r="N7" s="14" t="str">
        <f ca="1">VLOOKUP(M7,[2]character_tribe_i18n!$A:$F,3,FALSE)</f>
        <v>Unknown</v>
      </c>
      <c r="O7" s="24">
        <f ca="1">VLOOKUP(M7,[2]character_tribe_i18n!$A:$F,4,FALSE)</f>
        <v>1</v>
      </c>
      <c r="P7" s="24">
        <f ca="1">VLOOKUP(M7,[2]character_tribe_i18n!$A:$F,5,FALSE)</f>
        <v>1</v>
      </c>
      <c r="Q7" s="24">
        <f ca="1">VLOOKUP(M7,[2]character_tribe_i18n!$A:$F,6,FALSE)</f>
        <v>1</v>
      </c>
      <c r="R7" s="25" t="s">
        <v>19</v>
      </c>
      <c r="S7" s="24">
        <f>VLOOKUP($R7,ラベル別係数!$A$1:$E$7,3,FALSE)</f>
        <v>1</v>
      </c>
      <c r="T7" s="24">
        <f>VLOOKUP($R7,ラベル別係数!$A$1:$E$7,4,FALSE)</f>
        <v>1</v>
      </c>
      <c r="U7" s="24">
        <f>VLOOKUP($R7,ラベル別係数!$A$1:$E$7,5,FALSE)</f>
        <v>1</v>
      </c>
      <c r="V7" s="27">
        <v>3</v>
      </c>
      <c r="W7" s="28">
        <f>VLOOKUP(V7,ターン数別攻撃係数!$A$1:$B$1000,2,FALSE)</f>
        <v>1</v>
      </c>
      <c r="X7" s="5">
        <v>15</v>
      </c>
      <c r="Y7" s="26">
        <f>VLOOKUP($X7,サイズ別係数!$B:$E,2,FALSE)</f>
        <v>1</v>
      </c>
      <c r="Z7" s="26">
        <f>VLOOKUP($X7,サイズ別係数!$B:$E,3,FALSE)</f>
        <v>1</v>
      </c>
      <c r="AA7" s="26">
        <f>VLOOKUP($X7,サイズ別係数!$B:$E,4,FALSE)</f>
        <v>1</v>
      </c>
      <c r="AB7" s="35">
        <v>0</v>
      </c>
      <c r="AC7" s="34" t="str">
        <f ca="1">VLOOKUP($AB7,OFFSET([3]enemy_skill_sets!$B$2,0,0,COUNTA([3]enemy_skill_sets!$A:$A),MATCH(AC$1,[3]enemy_skill_sets!$1:$1,0)-MATCH($AB$1,[3]enemy_skill_sets!$1:$1,0)+1),MATCH(AC$1,[3]enemy_skill_sets!$1:$1,0)-MATCH($AB$1,[3]enemy_skill_sets!$1:$1,0)+1,FALSE)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" s="37">
        <v>1</v>
      </c>
      <c r="AE7" s="37">
        <v>1</v>
      </c>
      <c r="AF7" s="37">
        <v>0</v>
      </c>
      <c r="AG7" s="28">
        <f ca="1">ROUND(VLOOKUP(1,enemy_base_stats!$A:$F,2,FALSE) * Y7* J7*O7*E7*S7*AD7*[2]ステータス!$B$2,0)</f>
        <v>400</v>
      </c>
      <c r="AH7" s="28">
        <f ca="1">ROUND(VLOOKUP(1,enemy_base_stats!$A:$F,3,FALSE) * Z7*K7*P7*F7*T7*AE7 * W7*[2]ステータス!$C$2,0)</f>
        <v>115</v>
      </c>
      <c r="AI7" s="28">
        <f ca="1">ROUND(VLOOKUP(1,enemy_base_stats!$A:$F,4,FALSE) * AA7*L7*Q7*G7*U7*AF7*[2]ステータス!$D$2,0)</f>
        <v>0</v>
      </c>
      <c r="AJ7" s="28">
        <f ca="1">ROUND(VLOOKUP(100,enemy_base_stats!$A:$F,2,FALSE) * Y7* J7*O7*E7*S7*AD7*[2]ステータス!$B$2,0)</f>
        <v>16240</v>
      </c>
      <c r="AK7" s="28">
        <f ca="1">ROUND(VLOOKUP(100,enemy_base_stats!$A:$F,3,FALSE)* Z7* K7*P7*F7*T7*AE7 * W7*[2]ステータス!$C$2,0)</f>
        <v>4655</v>
      </c>
      <c r="AL7" s="28">
        <f ca="1">ROUND(VLOOKUP(100,enemy_base_stats!$A:$F,4,FALSE)* AA7* L7*Q7*G7*U7*AF7*[2]ステータス!$D$2,0)</f>
        <v>0</v>
      </c>
      <c r="AM7" s="24">
        <f ca="1">VLOOKUP(M7,[2]character_tribe_i18n!$A:$I,9,FALSE)</f>
        <v>340</v>
      </c>
      <c r="AN7" s="36">
        <v>0</v>
      </c>
      <c r="AO7" s="53">
        <v>0</v>
      </c>
      <c r="AP7" s="58" t="s">
        <v>72</v>
      </c>
      <c r="AQ7" s="71">
        <f t="shared" ca="1" si="0"/>
        <v>6</v>
      </c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</row>
    <row r="8" spans="1:60" s="3" customFormat="1" ht="21" customHeight="1" x14ac:dyDescent="0.15">
      <c r="A8" s="31">
        <f t="shared" ca="1" si="1"/>
        <v>7</v>
      </c>
      <c r="B8" s="6" t="str">
        <f ca="1">VLOOKUP(A8,[2]characters!$A:$C,3,FALSE)</f>
        <v>エレキポット</v>
      </c>
      <c r="C8" s="9">
        <f ca="1">VLOOKUP(A8,[2]characters!$A:$I,9,FALSE)</f>
        <v>1</v>
      </c>
      <c r="D8" s="9" t="str">
        <f ca="1">VLOOKUP(A8,[2]characters!$A:$H,8,FALSE)</f>
        <v>yellow</v>
      </c>
      <c r="E8" s="24">
        <f ca="1">VLOOKUP(D8,[2]属性!$A:$E,2,FALSE)</f>
        <v>0.98</v>
      </c>
      <c r="F8" s="24">
        <f ca="1">VLOOKUP(D8,[2]属性!$A:$E,3,FALSE)</f>
        <v>1.01</v>
      </c>
      <c r="G8" s="24">
        <f ca="1">VLOOKUP(D8,[2]属性!$A:$F,4,FALSE)</f>
        <v>1</v>
      </c>
      <c r="H8" s="9" t="str">
        <f ca="1">VLOOKUP(A8,[2]characters!$A:$K,11,FALSE)</f>
        <v>attack</v>
      </c>
      <c r="I8" s="14" t="str">
        <f ca="1">VLOOKUP(H8,[2]character_type_i18n!$A:$F,3,FALSE)</f>
        <v>攻撃タイプ</v>
      </c>
      <c r="J8" s="36">
        <f ca="1">VLOOKUP(H8,[2]character_type_i18n!$A:$F,4,FALSE)</f>
        <v>1</v>
      </c>
      <c r="K8" s="36">
        <f ca="1">VLOOKUP(H8,[2]character_type_i18n!$A:$F,5,FALSE)</f>
        <v>1.33</v>
      </c>
      <c r="L8" s="36">
        <f ca="1">VLOOKUP(H8,[2]character_type_i18n!$A:$F,6,FALSE)</f>
        <v>1</v>
      </c>
      <c r="M8" s="9" t="str">
        <f ca="1">VLOOKUP(A8,[2]characters!$A:$M,13,FALSE)</f>
        <v>unknown</v>
      </c>
      <c r="N8" s="14" t="str">
        <f ca="1">VLOOKUP(M8,[2]character_tribe_i18n!$A:$F,3,FALSE)</f>
        <v>Unknown</v>
      </c>
      <c r="O8" s="24">
        <f ca="1">VLOOKUP(M8,[2]character_tribe_i18n!$A:$F,4,FALSE)</f>
        <v>1</v>
      </c>
      <c r="P8" s="24">
        <f ca="1">VLOOKUP(M8,[2]character_tribe_i18n!$A:$F,5,FALSE)</f>
        <v>1</v>
      </c>
      <c r="Q8" s="24">
        <f ca="1">VLOOKUP(M8,[2]character_tribe_i18n!$A:$F,6,FALSE)</f>
        <v>1</v>
      </c>
      <c r="R8" s="25" t="s">
        <v>19</v>
      </c>
      <c r="S8" s="24">
        <f>VLOOKUP($R8,ラベル別係数!$A$1:$E$7,3,FALSE)</f>
        <v>1</v>
      </c>
      <c r="T8" s="24">
        <f>VLOOKUP($R8,ラベル別係数!$A$1:$E$7,4,FALSE)</f>
        <v>1</v>
      </c>
      <c r="U8" s="24">
        <f>VLOOKUP($R8,ラベル別係数!$A$1:$E$7,5,FALSE)</f>
        <v>1</v>
      </c>
      <c r="V8" s="27">
        <v>2</v>
      </c>
      <c r="W8" s="28">
        <f>VLOOKUP(V8,ターン数別攻撃係数!$A$1:$B$1000,2,FALSE)</f>
        <v>0.75</v>
      </c>
      <c r="X8" s="10">
        <v>15</v>
      </c>
      <c r="Y8" s="26">
        <f>VLOOKUP($X8,サイズ別係数!$B:$E,2,FALSE)</f>
        <v>1</v>
      </c>
      <c r="Z8" s="26">
        <f>VLOOKUP($X8,サイズ別係数!$B:$E,3,FALSE)</f>
        <v>1</v>
      </c>
      <c r="AA8" s="26">
        <f>VLOOKUP($X8,サイズ別係数!$B:$E,4,FALSE)</f>
        <v>1</v>
      </c>
      <c r="AB8" s="35">
        <v>0</v>
      </c>
      <c r="AC8" s="34" t="str">
        <f ca="1">VLOOKUP($AB8,OFFSET([3]enemy_skill_sets!$B$2,0,0,COUNTA([3]enemy_skill_sets!$A:$A),MATCH(AC$1,[3]enemy_skill_sets!$1:$1,0)-MATCH($AB$1,[3]enemy_skill_sets!$1:$1,0)+1),MATCH(AC$1,[3]enemy_skill_sets!$1:$1,0)-MATCH($AB$1,[3]enemy_skill_sets!$1:$1,0)+1,FALSE)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" s="37">
        <v>1</v>
      </c>
      <c r="AE8" s="37">
        <v>1</v>
      </c>
      <c r="AF8" s="37">
        <v>0</v>
      </c>
      <c r="AG8" s="28">
        <f ca="1">ROUND(VLOOKUP(1,enemy_base_stats!$A:$F,2,FALSE) * Y8* J8*O8*E8*S8*AD8*[2]ステータス!$B$2,0)</f>
        <v>490</v>
      </c>
      <c r="AH8" s="28">
        <f ca="1">ROUND(VLOOKUP(1,enemy_base_stats!$A:$F,3,FALSE) * Z8*K8*P8*F8*T8*AE8 * W8*[2]ステータス!$C$2,0)</f>
        <v>151</v>
      </c>
      <c r="AI8" s="28">
        <f ca="1">ROUND(VLOOKUP(1,enemy_base_stats!$A:$F,4,FALSE) * AA8*L8*Q8*G8*U8*AF8*[2]ステータス!$D$2,0)</f>
        <v>0</v>
      </c>
      <c r="AJ8" s="28">
        <f ca="1">ROUND(VLOOKUP(100,enemy_base_stats!$A:$F,2,FALSE) * Y8* J8*O8*E8*S8*AD8*[2]ステータス!$B$2,0)</f>
        <v>19894</v>
      </c>
      <c r="AK8" s="28">
        <f ca="1">ROUND(VLOOKUP(100,enemy_base_stats!$A:$F,3,FALSE)* Z8* K8*P8*F8*T8*AE8 * W8*[2]ステータス!$C$2,0)</f>
        <v>6136</v>
      </c>
      <c r="AL8" s="28">
        <f ca="1">ROUND(VLOOKUP(100,enemy_base_stats!$A:$F,4,FALSE)* AA8* L8*Q8*G8*U8*AF8*[2]ステータス!$D$2,0)</f>
        <v>0</v>
      </c>
      <c r="AM8" s="24">
        <f ca="1">VLOOKUP(M8,[2]character_tribe_i18n!$A:$I,9,FALSE)</f>
        <v>340</v>
      </c>
      <c r="AN8" s="36">
        <v>0</v>
      </c>
      <c r="AO8" s="53">
        <v>0</v>
      </c>
      <c r="AP8" s="58" t="s">
        <v>72</v>
      </c>
      <c r="AQ8" s="71">
        <f t="shared" ca="1" si="0"/>
        <v>7</v>
      </c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</row>
    <row r="9" spans="1:60" s="3" customFormat="1" ht="21" customHeight="1" x14ac:dyDescent="0.15">
      <c r="A9" s="31">
        <f t="shared" ca="1" si="1"/>
        <v>8</v>
      </c>
      <c r="B9" s="6" t="str">
        <f ca="1">VLOOKUP(A9,[2]characters!$A:$C,3,FALSE)</f>
        <v>ハイボルテージ エレキポット</v>
      </c>
      <c r="C9" s="9">
        <f ca="1">VLOOKUP(A9,[2]characters!$A:$I,9,FALSE)</f>
        <v>2</v>
      </c>
      <c r="D9" s="9" t="str">
        <f ca="1">VLOOKUP(A9,[2]characters!$A:$H,8,FALSE)</f>
        <v>yellow</v>
      </c>
      <c r="E9" s="24">
        <f ca="1">VLOOKUP(D9,[2]属性!$A:$E,2,FALSE)</f>
        <v>0.98</v>
      </c>
      <c r="F9" s="24">
        <f ca="1">VLOOKUP(D9,[2]属性!$A:$E,3,FALSE)</f>
        <v>1.01</v>
      </c>
      <c r="G9" s="24">
        <f ca="1">VLOOKUP(D9,[2]属性!$A:$F,4,FALSE)</f>
        <v>1</v>
      </c>
      <c r="H9" s="9" t="str">
        <f ca="1">VLOOKUP(A9,[2]characters!$A:$K,11,FALSE)</f>
        <v>attack</v>
      </c>
      <c r="I9" s="14" t="str">
        <f ca="1">VLOOKUP(H9,[2]character_type_i18n!$A:$F,3,FALSE)</f>
        <v>攻撃タイプ</v>
      </c>
      <c r="J9" s="36">
        <f ca="1">VLOOKUP(H9,[2]character_type_i18n!$A:$F,4,FALSE)</f>
        <v>1</v>
      </c>
      <c r="K9" s="36">
        <f ca="1">VLOOKUP(H9,[2]character_type_i18n!$A:$F,5,FALSE)</f>
        <v>1.33</v>
      </c>
      <c r="L9" s="36">
        <f ca="1">VLOOKUP(H9,[2]character_type_i18n!$A:$F,6,FALSE)</f>
        <v>1</v>
      </c>
      <c r="M9" s="9" t="str">
        <f ca="1">VLOOKUP(A9,[2]characters!$A:$M,13,FALSE)</f>
        <v>unknown</v>
      </c>
      <c r="N9" s="14" t="str">
        <f ca="1">VLOOKUP(M9,[2]character_tribe_i18n!$A:$F,3,FALSE)</f>
        <v>Unknown</v>
      </c>
      <c r="O9" s="24">
        <f ca="1">VLOOKUP(M9,[2]character_tribe_i18n!$A:$F,4,FALSE)</f>
        <v>1</v>
      </c>
      <c r="P9" s="24">
        <f ca="1">VLOOKUP(M9,[2]character_tribe_i18n!$A:$F,5,FALSE)</f>
        <v>1</v>
      </c>
      <c r="Q9" s="24">
        <f ca="1">VLOOKUP(M9,[2]character_tribe_i18n!$A:$F,6,FALSE)</f>
        <v>1</v>
      </c>
      <c r="R9" s="25" t="s">
        <v>19</v>
      </c>
      <c r="S9" s="24">
        <f>VLOOKUP($R9,ラベル別係数!$A$1:$E$7,3,FALSE)</f>
        <v>1</v>
      </c>
      <c r="T9" s="24">
        <f>VLOOKUP($R9,ラベル別係数!$A$1:$E$7,4,FALSE)</f>
        <v>1</v>
      </c>
      <c r="U9" s="24">
        <f>VLOOKUP($R9,ラベル別係数!$A$1:$E$7,5,FALSE)</f>
        <v>1</v>
      </c>
      <c r="V9" s="27">
        <v>2</v>
      </c>
      <c r="W9" s="28">
        <f>VLOOKUP(V9,ターン数別攻撃係数!$A$1:$B$1000,2,FALSE)</f>
        <v>0.75</v>
      </c>
      <c r="X9" s="5">
        <v>15</v>
      </c>
      <c r="Y9" s="26">
        <f>VLOOKUP($X9,サイズ別係数!$B:$E,2,FALSE)</f>
        <v>1</v>
      </c>
      <c r="Z9" s="26">
        <f>VLOOKUP($X9,サイズ別係数!$B:$E,3,FALSE)</f>
        <v>1</v>
      </c>
      <c r="AA9" s="26">
        <f>VLOOKUP($X9,サイズ別係数!$B:$E,4,FALSE)</f>
        <v>1</v>
      </c>
      <c r="AB9" s="35">
        <v>0</v>
      </c>
      <c r="AC9" s="34" t="str">
        <f ca="1">VLOOKUP($AB9,OFFSET([3]enemy_skill_sets!$B$2,0,0,COUNTA([3]enemy_skill_sets!$A:$A),MATCH(AC$1,[3]enemy_skill_sets!$1:$1,0)-MATCH($AB$1,[3]enemy_skill_sets!$1:$1,0)+1),MATCH(AC$1,[3]enemy_skill_sets!$1:$1,0)-MATCH($AB$1,[3]enemy_skill_sets!$1:$1,0)+1,FALSE)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" s="37">
        <v>1</v>
      </c>
      <c r="AE9" s="37">
        <v>1</v>
      </c>
      <c r="AF9" s="37">
        <v>0</v>
      </c>
      <c r="AG9" s="28">
        <f ca="1">ROUND(VLOOKUP(1,enemy_base_stats!$A:$F,2,FALSE) * Y9* J9*O9*E9*S9*AD9*[2]ステータス!$B$2,0)</f>
        <v>490</v>
      </c>
      <c r="AH9" s="28">
        <f ca="1">ROUND(VLOOKUP(1,enemy_base_stats!$A:$F,3,FALSE) * Z9*K9*P9*F9*T9*AE9 * W9*[2]ステータス!$C$2,0)</f>
        <v>151</v>
      </c>
      <c r="AI9" s="28">
        <f ca="1">ROUND(VLOOKUP(1,enemy_base_stats!$A:$F,4,FALSE) * AA9*L9*Q9*G9*U9*AF9*[2]ステータス!$D$2,0)</f>
        <v>0</v>
      </c>
      <c r="AJ9" s="28">
        <f ca="1">ROUND(VLOOKUP(100,enemy_base_stats!$A:$F,2,FALSE) * Y9* J9*O9*E9*S9*AD9*[2]ステータス!$B$2,0)</f>
        <v>19894</v>
      </c>
      <c r="AK9" s="28">
        <f ca="1">ROUND(VLOOKUP(100,enemy_base_stats!$A:$F,3,FALSE)* Z9* K9*P9*F9*T9*AE9 * W9*[2]ステータス!$C$2,0)</f>
        <v>6136</v>
      </c>
      <c r="AL9" s="28">
        <f ca="1">ROUND(VLOOKUP(100,enemy_base_stats!$A:$F,4,FALSE)* AA9* L9*Q9*G9*U9*AF9*[2]ステータス!$D$2,0)</f>
        <v>0</v>
      </c>
      <c r="AM9" s="24">
        <f ca="1">VLOOKUP(M9,[2]character_tribe_i18n!$A:$I,9,FALSE)</f>
        <v>340</v>
      </c>
      <c r="AN9" s="36">
        <v>0</v>
      </c>
      <c r="AO9" s="53">
        <v>0</v>
      </c>
      <c r="AP9" s="58" t="s">
        <v>72</v>
      </c>
      <c r="AQ9" s="71">
        <f t="shared" ca="1" si="0"/>
        <v>8</v>
      </c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</row>
    <row r="10" spans="1:60" s="3" customFormat="1" ht="21" customHeight="1" x14ac:dyDescent="0.15">
      <c r="A10" s="32">
        <f t="shared" ca="1" si="1"/>
        <v>9</v>
      </c>
      <c r="B10" s="6" t="str">
        <f ca="1">VLOOKUP(A10,[2]characters!$A:$C,3,FALSE)</f>
        <v>ブレット</v>
      </c>
      <c r="C10" s="9">
        <f ca="1">VLOOKUP(A10,[2]characters!$A:$I,9,FALSE)</f>
        <v>1</v>
      </c>
      <c r="D10" s="9" t="str">
        <f ca="1">VLOOKUP(A10,[2]characters!$A:$H,8,FALSE)</f>
        <v>red</v>
      </c>
      <c r="E10" s="24">
        <f ca="1">VLOOKUP(D10,[2]属性!$A:$E,2,FALSE)</f>
        <v>1</v>
      </c>
      <c r="F10" s="24">
        <f ca="1">VLOOKUP(D10,[2]属性!$A:$E,3,FALSE)</f>
        <v>1.02</v>
      </c>
      <c r="G10" s="24">
        <f ca="1">VLOOKUP(D10,[2]属性!$A:$F,4,FALSE)</f>
        <v>1</v>
      </c>
      <c r="H10" s="9" t="str">
        <f ca="1">VLOOKUP(A10,[2]characters!$A:$K,11,FALSE)</f>
        <v>attack</v>
      </c>
      <c r="I10" s="14" t="str">
        <f ca="1">VLOOKUP(H10,[2]character_type_i18n!$A:$F,3,FALSE)</f>
        <v>攻撃タイプ</v>
      </c>
      <c r="J10" s="36">
        <f ca="1">VLOOKUP(H10,[2]character_type_i18n!$A:$F,4,FALSE)</f>
        <v>1</v>
      </c>
      <c r="K10" s="36">
        <f ca="1">VLOOKUP(H10,[2]character_type_i18n!$A:$F,5,FALSE)</f>
        <v>1.33</v>
      </c>
      <c r="L10" s="36">
        <f ca="1">VLOOKUP(H10,[2]character_type_i18n!$A:$F,6,FALSE)</f>
        <v>1</v>
      </c>
      <c r="M10" s="9" t="str">
        <f ca="1">VLOOKUP(A10,[2]characters!$A:$M,13,FALSE)</f>
        <v>animal</v>
      </c>
      <c r="N10" s="14" t="str">
        <f ca="1">VLOOKUP(M10,[2]character_tribe_i18n!$A:$F,3,FALSE)</f>
        <v>アニマル</v>
      </c>
      <c r="O10" s="24">
        <f ca="1">VLOOKUP(M10,[2]character_tribe_i18n!$A:$F,4,FALSE)</f>
        <v>1</v>
      </c>
      <c r="P10" s="24">
        <f ca="1">VLOOKUP(M10,[2]character_tribe_i18n!$A:$F,5,FALSE)</f>
        <v>1.1000000000000001</v>
      </c>
      <c r="Q10" s="24">
        <f ca="1">VLOOKUP(M10,[2]character_tribe_i18n!$A:$F,6,FALSE)</f>
        <v>1</v>
      </c>
      <c r="R10" s="23" t="s">
        <v>19</v>
      </c>
      <c r="S10" s="24">
        <f>VLOOKUP($R10,ラベル別係数!$A$1:$E$7,3,FALSE)</f>
        <v>1</v>
      </c>
      <c r="T10" s="24">
        <f>VLOOKUP($R10,ラベル別係数!$A$1:$E$7,4,FALSE)</f>
        <v>1</v>
      </c>
      <c r="U10" s="24">
        <f>VLOOKUP($R10,ラベル別係数!$A$1:$E$7,5,FALSE)</f>
        <v>1</v>
      </c>
      <c r="V10" s="27">
        <v>2</v>
      </c>
      <c r="W10" s="28">
        <f>VLOOKUP(V10,ターン数別攻撃係数!$A$1:$B$1000,2,FALSE)</f>
        <v>0.75</v>
      </c>
      <c r="X10" s="10">
        <v>15</v>
      </c>
      <c r="Y10" s="26">
        <f>VLOOKUP($X10,サイズ別係数!$B:$E,2,FALSE)</f>
        <v>1</v>
      </c>
      <c r="Z10" s="26">
        <f>VLOOKUP($X10,サイズ別係数!$B:$E,3,FALSE)</f>
        <v>1</v>
      </c>
      <c r="AA10" s="26">
        <f>VLOOKUP($X10,サイズ別係数!$B:$E,4,FALSE)</f>
        <v>1</v>
      </c>
      <c r="AB10" s="35">
        <v>0</v>
      </c>
      <c r="AC10" s="34" t="str">
        <f ca="1">VLOOKUP($AB10,OFFSET([3]enemy_skill_sets!$B$2,0,0,COUNTA([3]enemy_skill_sets!$A:$A),MATCH(AC$1,[3]enemy_skill_sets!$1:$1,0)-MATCH($AB$1,[3]enemy_skill_sets!$1:$1,0)+1),MATCH(AC$1,[3]enemy_skill_sets!$1:$1,0)-MATCH($AB$1,[3]enemy_skill_sets!$1:$1,0)+1,FALSE)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" s="37">
        <v>1</v>
      </c>
      <c r="AE10" s="37">
        <v>1</v>
      </c>
      <c r="AF10" s="37">
        <v>0</v>
      </c>
      <c r="AG10" s="28">
        <f ca="1">ROUND(VLOOKUP(1,enemy_base_stats!$A:$F,2,FALSE) * Y10* J10*O10*E10*S10*AD10*[2]ステータス!$B$2,0)</f>
        <v>500</v>
      </c>
      <c r="AH10" s="28">
        <f ca="1">ROUND(VLOOKUP(1,enemy_base_stats!$A:$F,3,FALSE) * Z10*K10*P10*F10*T10*AE10 * W10*[2]ステータス!$C$2,0)</f>
        <v>168</v>
      </c>
      <c r="AI10" s="28">
        <f ca="1">ROUND(VLOOKUP(1,enemy_base_stats!$A:$F,4,FALSE) * AA10*L10*Q10*G10*U10*AF10*[2]ステータス!$D$2,0)</f>
        <v>0</v>
      </c>
      <c r="AJ10" s="28">
        <f ca="1">ROUND(VLOOKUP(100,enemy_base_stats!$A:$F,2,FALSE) * Y10* J10*O10*E10*S10*AD10*[2]ステータス!$B$2,0)</f>
        <v>20300</v>
      </c>
      <c r="AK10" s="28">
        <f ca="1">ROUND(VLOOKUP(100,enemy_base_stats!$A:$F,3,FALSE)* Z10* K10*P10*F10*T10*AE10 * W10*[2]ステータス!$C$2,0)</f>
        <v>6816</v>
      </c>
      <c r="AL10" s="28">
        <f ca="1">ROUND(VLOOKUP(100,enemy_base_stats!$A:$F,4,FALSE)* AA10* L10*Q10*G10*U10*AF10*[2]ステータス!$D$2,0)</f>
        <v>0</v>
      </c>
      <c r="AM10" s="24">
        <f ca="1">VLOOKUP(M10,[2]character_tribe_i18n!$A:$I,9,FALSE)</f>
        <v>480</v>
      </c>
      <c r="AN10" s="36">
        <v>0</v>
      </c>
      <c r="AO10" s="53">
        <v>0</v>
      </c>
      <c r="AP10" s="58" t="s">
        <v>72</v>
      </c>
      <c r="AQ10" s="71">
        <f t="shared" ca="1" si="0"/>
        <v>9</v>
      </c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</row>
    <row r="11" spans="1:60" s="3" customFormat="1" ht="21" customHeight="1" x14ac:dyDescent="0.15">
      <c r="A11" s="32">
        <f t="shared" ca="1" si="1"/>
        <v>10</v>
      </c>
      <c r="B11" s="6" t="str">
        <f ca="1">VLOOKUP(A11,[2]characters!$A:$C,3,FALSE)</f>
        <v>燃える悪戯魂 ブレット</v>
      </c>
      <c r="C11" s="9">
        <f ca="1">VLOOKUP(A11,[2]characters!$A:$I,9,FALSE)</f>
        <v>2</v>
      </c>
      <c r="D11" s="9" t="str">
        <f ca="1">VLOOKUP(A11,[2]characters!$A:$H,8,FALSE)</f>
        <v>red</v>
      </c>
      <c r="E11" s="24">
        <f ca="1">VLOOKUP(D11,[2]属性!$A:$E,2,FALSE)</f>
        <v>1</v>
      </c>
      <c r="F11" s="24">
        <f ca="1">VLOOKUP(D11,[2]属性!$A:$E,3,FALSE)</f>
        <v>1.02</v>
      </c>
      <c r="G11" s="24">
        <f ca="1">VLOOKUP(D11,[2]属性!$A:$F,4,FALSE)</f>
        <v>1</v>
      </c>
      <c r="H11" s="9" t="str">
        <f ca="1">VLOOKUP(A11,[2]characters!$A:$K,11,FALSE)</f>
        <v>attack</v>
      </c>
      <c r="I11" s="14" t="str">
        <f ca="1">VLOOKUP(H11,[2]character_type_i18n!$A:$F,3,FALSE)</f>
        <v>攻撃タイプ</v>
      </c>
      <c r="J11" s="36">
        <f ca="1">VLOOKUP(H11,[2]character_type_i18n!$A:$F,4,FALSE)</f>
        <v>1</v>
      </c>
      <c r="K11" s="36">
        <f ca="1">VLOOKUP(H11,[2]character_type_i18n!$A:$F,5,FALSE)</f>
        <v>1.33</v>
      </c>
      <c r="L11" s="36">
        <f ca="1">VLOOKUP(H11,[2]character_type_i18n!$A:$F,6,FALSE)</f>
        <v>1</v>
      </c>
      <c r="M11" s="9" t="str">
        <f ca="1">VLOOKUP(A11,[2]characters!$A:$M,13,FALSE)</f>
        <v>animal</v>
      </c>
      <c r="N11" s="14" t="str">
        <f ca="1">VLOOKUP(M11,[2]character_tribe_i18n!$A:$F,3,FALSE)</f>
        <v>アニマル</v>
      </c>
      <c r="O11" s="24">
        <f ca="1">VLOOKUP(M11,[2]character_tribe_i18n!$A:$F,4,FALSE)</f>
        <v>1</v>
      </c>
      <c r="P11" s="24">
        <f ca="1">VLOOKUP(M11,[2]character_tribe_i18n!$A:$F,5,FALSE)</f>
        <v>1.1000000000000001</v>
      </c>
      <c r="Q11" s="24">
        <f ca="1">VLOOKUP(M11,[2]character_tribe_i18n!$A:$F,6,FALSE)</f>
        <v>1</v>
      </c>
      <c r="R11" s="25" t="s">
        <v>19</v>
      </c>
      <c r="S11" s="24">
        <f>VLOOKUP($R11,ラベル別係数!$A$1:$E$7,3,FALSE)</f>
        <v>1</v>
      </c>
      <c r="T11" s="24">
        <f>VLOOKUP($R11,ラベル別係数!$A$1:$E$7,4,FALSE)</f>
        <v>1</v>
      </c>
      <c r="U11" s="24">
        <f>VLOOKUP($R11,ラベル別係数!$A$1:$E$7,5,FALSE)</f>
        <v>1</v>
      </c>
      <c r="V11" s="27">
        <v>2</v>
      </c>
      <c r="W11" s="28">
        <f>VLOOKUP(V11,ターン数別攻撃係数!$A$1:$B$1000,2,FALSE)</f>
        <v>0.75</v>
      </c>
      <c r="X11" s="5">
        <v>15</v>
      </c>
      <c r="Y11" s="26">
        <f>VLOOKUP($X11,サイズ別係数!$B:$E,2,FALSE)</f>
        <v>1</v>
      </c>
      <c r="Z11" s="26">
        <f>VLOOKUP($X11,サイズ別係数!$B:$E,3,FALSE)</f>
        <v>1</v>
      </c>
      <c r="AA11" s="26">
        <f>VLOOKUP($X11,サイズ別係数!$B:$E,4,FALSE)</f>
        <v>1</v>
      </c>
      <c r="AB11" s="35">
        <v>0</v>
      </c>
      <c r="AC11" s="34" t="str">
        <f ca="1">VLOOKUP($AB11,OFFSET([3]enemy_skill_sets!$B$2,0,0,COUNTA([3]enemy_skill_sets!$A:$A),MATCH(AC$1,[3]enemy_skill_sets!$1:$1,0)-MATCH($AB$1,[3]enemy_skill_sets!$1:$1,0)+1),MATCH(AC$1,[3]enemy_skill_sets!$1:$1,0)-MATCH($AB$1,[3]enemy_skill_sets!$1:$1,0)+1,FALSE)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" s="37">
        <v>1</v>
      </c>
      <c r="AE11" s="37">
        <v>1</v>
      </c>
      <c r="AF11" s="37">
        <v>0</v>
      </c>
      <c r="AG11" s="28">
        <f ca="1">ROUND(VLOOKUP(1,enemy_base_stats!$A:$F,2,FALSE) * Y11* J11*O11*E11*S11*AD11*[2]ステータス!$B$2,0)</f>
        <v>500</v>
      </c>
      <c r="AH11" s="28">
        <f ca="1">ROUND(VLOOKUP(1,enemy_base_stats!$A:$F,3,FALSE) * Z11*K11*P11*F11*T11*AE11 * W11*[2]ステータス!$C$2,0)</f>
        <v>168</v>
      </c>
      <c r="AI11" s="28">
        <f ca="1">ROUND(VLOOKUP(1,enemy_base_stats!$A:$F,4,FALSE) * AA11*L11*Q11*G11*U11*AF11*[2]ステータス!$D$2,0)</f>
        <v>0</v>
      </c>
      <c r="AJ11" s="28">
        <f ca="1">ROUND(VLOOKUP(100,enemy_base_stats!$A:$F,2,FALSE) * Y11* J11*O11*E11*S11*AD11*[2]ステータス!$B$2,0)</f>
        <v>20300</v>
      </c>
      <c r="AK11" s="28">
        <f ca="1">ROUND(VLOOKUP(100,enemy_base_stats!$A:$F,3,FALSE)* Z11* K11*P11*F11*T11*AE11 * W11*[2]ステータス!$C$2,0)</f>
        <v>6816</v>
      </c>
      <c r="AL11" s="28">
        <f ca="1">ROUND(VLOOKUP(100,enemy_base_stats!$A:$F,4,FALSE)* AA11* L11*Q11*G11*U11*AF11*[2]ステータス!$D$2,0)</f>
        <v>0</v>
      </c>
      <c r="AM11" s="24">
        <f ca="1">VLOOKUP(M11,[2]character_tribe_i18n!$A:$I,9,FALSE)</f>
        <v>480</v>
      </c>
      <c r="AN11" s="36">
        <v>0</v>
      </c>
      <c r="AO11" s="53">
        <v>0</v>
      </c>
      <c r="AP11" s="58" t="s">
        <v>72</v>
      </c>
      <c r="AQ11" s="71">
        <f t="shared" ca="1" si="0"/>
        <v>10</v>
      </c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</row>
    <row r="12" spans="1:60" s="3" customFormat="1" ht="21" customHeight="1" x14ac:dyDescent="0.15">
      <c r="A12" s="32">
        <f t="shared" ca="1" si="1"/>
        <v>11</v>
      </c>
      <c r="B12" s="6" t="str">
        <f ca="1">VLOOKUP(A12,[2]characters!$A:$C,3,FALSE)</f>
        <v>マグリット</v>
      </c>
      <c r="C12" s="9">
        <f ca="1">VLOOKUP(A12,[2]characters!$A:$I,9,FALSE)</f>
        <v>1</v>
      </c>
      <c r="D12" s="9" t="str">
        <f ca="1">VLOOKUP(A12,[2]characters!$A:$H,8,FALSE)</f>
        <v>green</v>
      </c>
      <c r="E12" s="24">
        <f ca="1">VLOOKUP(D12,[2]属性!$A:$E,2,FALSE)</f>
        <v>1.02</v>
      </c>
      <c r="F12" s="24">
        <f ca="1">VLOOKUP(D12,[2]属性!$A:$E,3,FALSE)</f>
        <v>0.98</v>
      </c>
      <c r="G12" s="24">
        <f ca="1">VLOOKUP(D12,[2]属性!$A:$F,4,FALSE)</f>
        <v>1</v>
      </c>
      <c r="H12" s="9" t="str">
        <f ca="1">VLOOKUP(A12,[2]characters!$A:$K,11,FALSE)</f>
        <v>heal</v>
      </c>
      <c r="I12" s="14" t="str">
        <f ca="1">VLOOKUP(H12,[2]character_type_i18n!$A:$F,3,FALSE)</f>
        <v>回復タイプ</v>
      </c>
      <c r="J12" s="36">
        <f ca="1">VLOOKUP(H12,[2]character_type_i18n!$A:$F,4,FALSE)</f>
        <v>0.8</v>
      </c>
      <c r="K12" s="36">
        <f ca="1">VLOOKUP(H12,[2]character_type_i18n!$A:$F,5,FALSE)</f>
        <v>0.78</v>
      </c>
      <c r="L12" s="36">
        <f ca="1">VLOOKUP(H12,[2]character_type_i18n!$A:$F,6,FALSE)</f>
        <v>1</v>
      </c>
      <c r="M12" s="9" t="str">
        <f ca="1">VLOOKUP(A12,[2]characters!$A:$M,13,FALSE)</f>
        <v>animal</v>
      </c>
      <c r="N12" s="14" t="str">
        <f ca="1">VLOOKUP(M12,[2]character_tribe_i18n!$A:$F,3,FALSE)</f>
        <v>アニマル</v>
      </c>
      <c r="O12" s="24">
        <f ca="1">VLOOKUP(M12,[2]character_tribe_i18n!$A:$F,4,FALSE)</f>
        <v>1</v>
      </c>
      <c r="P12" s="24">
        <f ca="1">VLOOKUP(M12,[2]character_tribe_i18n!$A:$F,5,FALSE)</f>
        <v>1.1000000000000001</v>
      </c>
      <c r="Q12" s="24">
        <f ca="1">VLOOKUP(M12,[2]character_tribe_i18n!$A:$F,6,FALSE)</f>
        <v>1</v>
      </c>
      <c r="R12" s="25" t="s">
        <v>19</v>
      </c>
      <c r="S12" s="24">
        <f>VLOOKUP($R12,ラベル別係数!$A$1:$E$7,3,FALSE)</f>
        <v>1</v>
      </c>
      <c r="T12" s="24">
        <f>VLOOKUP($R12,ラベル別係数!$A$1:$E$7,4,FALSE)</f>
        <v>1</v>
      </c>
      <c r="U12" s="24">
        <f>VLOOKUP($R12,ラベル別係数!$A$1:$E$7,5,FALSE)</f>
        <v>1</v>
      </c>
      <c r="V12" s="27">
        <v>3</v>
      </c>
      <c r="W12" s="28">
        <f>VLOOKUP(V12,ターン数別攻撃係数!$A$1:$B$1000,2,FALSE)</f>
        <v>1</v>
      </c>
      <c r="X12" s="10">
        <v>15</v>
      </c>
      <c r="Y12" s="26">
        <f>VLOOKUP($X12,サイズ別係数!$B:$E,2,FALSE)</f>
        <v>1</v>
      </c>
      <c r="Z12" s="26">
        <f>VLOOKUP($X12,サイズ別係数!$B:$E,3,FALSE)</f>
        <v>1</v>
      </c>
      <c r="AA12" s="26">
        <f>VLOOKUP($X12,サイズ別係数!$B:$E,4,FALSE)</f>
        <v>1</v>
      </c>
      <c r="AB12" s="35">
        <v>0</v>
      </c>
      <c r="AC12" s="34" t="str">
        <f ca="1">VLOOKUP($AB12,OFFSET([3]enemy_skill_sets!$B$2,0,0,COUNTA([3]enemy_skill_sets!$A:$A),MATCH(AC$1,[3]enemy_skill_sets!$1:$1,0)-MATCH($AB$1,[3]enemy_skill_sets!$1:$1,0)+1),MATCH(AC$1,[3]enemy_skill_sets!$1:$1,0)-MATCH($AB$1,[3]enemy_skill_sets!$1:$1,0)+1,FALSE)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" s="37">
        <v>1</v>
      </c>
      <c r="AE12" s="37">
        <v>1</v>
      </c>
      <c r="AF12" s="37">
        <v>0</v>
      </c>
      <c r="AG12" s="28">
        <f ca="1">ROUND(VLOOKUP(1,enemy_base_stats!$A:$F,2,FALSE) * Y12* J12*O12*E12*S12*AD12*[2]ステータス!$B$2,0)</f>
        <v>408</v>
      </c>
      <c r="AH12" s="28">
        <f ca="1">ROUND(VLOOKUP(1,enemy_base_stats!$A:$F,3,FALSE) * Z12*K12*P12*F12*T12*AE12 * W12*[2]ステータス!$C$2,0)</f>
        <v>126</v>
      </c>
      <c r="AI12" s="28">
        <f ca="1">ROUND(VLOOKUP(1,enemy_base_stats!$A:$F,4,FALSE) * AA12*L12*Q12*G12*U12*AF12*[2]ステータス!$D$2,0)</f>
        <v>0</v>
      </c>
      <c r="AJ12" s="28">
        <f ca="1">ROUND(VLOOKUP(100,enemy_base_stats!$A:$F,2,FALSE) * Y12* J12*O12*E12*S12*AD12*[2]ステータス!$B$2,0)</f>
        <v>16565</v>
      </c>
      <c r="AK12" s="28">
        <f ca="1">ROUND(VLOOKUP(100,enemy_base_stats!$A:$F,3,FALSE)* Z12* K12*P12*F12*T12*AE12 * W12*[2]ステータス!$C$2,0)</f>
        <v>5121</v>
      </c>
      <c r="AL12" s="28">
        <f ca="1">ROUND(VLOOKUP(100,enemy_base_stats!$A:$F,4,FALSE)* AA12* L12*Q12*G12*U12*AF12*[2]ステータス!$D$2,0)</f>
        <v>0</v>
      </c>
      <c r="AM12" s="24">
        <f ca="1">VLOOKUP(M12,[2]character_tribe_i18n!$A:$I,9,FALSE)</f>
        <v>480</v>
      </c>
      <c r="AN12" s="36">
        <v>0</v>
      </c>
      <c r="AO12" s="53">
        <v>0</v>
      </c>
      <c r="AP12" s="58" t="s">
        <v>72</v>
      </c>
      <c r="AQ12" s="71">
        <f t="shared" ca="1" si="0"/>
        <v>11</v>
      </c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</row>
    <row r="13" spans="1:60" s="3" customFormat="1" ht="21" customHeight="1" x14ac:dyDescent="0.15">
      <c r="A13" s="32">
        <f t="shared" ca="1" si="1"/>
        <v>12</v>
      </c>
      <c r="B13" s="6" t="str">
        <f ca="1">VLOOKUP(A13,[2]characters!$A:$C,3,FALSE)</f>
        <v>癒しのグラフィティ マグリット</v>
      </c>
      <c r="C13" s="9">
        <f ca="1">VLOOKUP(A13,[2]characters!$A:$I,9,FALSE)</f>
        <v>2</v>
      </c>
      <c r="D13" s="9" t="str">
        <f ca="1">VLOOKUP(A13,[2]characters!$A:$H,8,FALSE)</f>
        <v>green</v>
      </c>
      <c r="E13" s="24">
        <f ca="1">VLOOKUP(D13,[2]属性!$A:$E,2,FALSE)</f>
        <v>1.02</v>
      </c>
      <c r="F13" s="24">
        <f ca="1">VLOOKUP(D13,[2]属性!$A:$E,3,FALSE)</f>
        <v>0.98</v>
      </c>
      <c r="G13" s="24">
        <f ca="1">VLOOKUP(D13,[2]属性!$A:$F,4,FALSE)</f>
        <v>1</v>
      </c>
      <c r="H13" s="9" t="str">
        <f ca="1">VLOOKUP(A13,[2]characters!$A:$K,11,FALSE)</f>
        <v>heal</v>
      </c>
      <c r="I13" s="14" t="str">
        <f ca="1">VLOOKUP(H13,[2]character_type_i18n!$A:$F,3,FALSE)</f>
        <v>回復タイプ</v>
      </c>
      <c r="J13" s="36">
        <f ca="1">VLOOKUP(H13,[2]character_type_i18n!$A:$F,4,FALSE)</f>
        <v>0.8</v>
      </c>
      <c r="K13" s="36">
        <f ca="1">VLOOKUP(H13,[2]character_type_i18n!$A:$F,5,FALSE)</f>
        <v>0.78</v>
      </c>
      <c r="L13" s="36">
        <f ca="1">VLOOKUP(H13,[2]character_type_i18n!$A:$F,6,FALSE)</f>
        <v>1</v>
      </c>
      <c r="M13" s="9" t="str">
        <f ca="1">VLOOKUP(A13,[2]characters!$A:$M,13,FALSE)</f>
        <v>animal</v>
      </c>
      <c r="N13" s="14" t="str">
        <f ca="1">VLOOKUP(M13,[2]character_tribe_i18n!$A:$F,3,FALSE)</f>
        <v>アニマル</v>
      </c>
      <c r="O13" s="24">
        <f ca="1">VLOOKUP(M13,[2]character_tribe_i18n!$A:$F,4,FALSE)</f>
        <v>1</v>
      </c>
      <c r="P13" s="24">
        <f ca="1">VLOOKUP(M13,[2]character_tribe_i18n!$A:$F,5,FALSE)</f>
        <v>1.1000000000000001</v>
      </c>
      <c r="Q13" s="24">
        <f ca="1">VLOOKUP(M13,[2]character_tribe_i18n!$A:$F,6,FALSE)</f>
        <v>1</v>
      </c>
      <c r="R13" s="25" t="s">
        <v>19</v>
      </c>
      <c r="S13" s="24">
        <f>VLOOKUP($R13,ラベル別係数!$A$1:$E$7,3,FALSE)</f>
        <v>1</v>
      </c>
      <c r="T13" s="24">
        <f>VLOOKUP($R13,ラベル別係数!$A$1:$E$7,4,FALSE)</f>
        <v>1</v>
      </c>
      <c r="U13" s="24">
        <f>VLOOKUP($R13,ラベル別係数!$A$1:$E$7,5,FALSE)</f>
        <v>1</v>
      </c>
      <c r="V13" s="27">
        <v>3</v>
      </c>
      <c r="W13" s="28">
        <f>VLOOKUP(V13,ターン数別攻撃係数!$A$1:$B$1000,2,FALSE)</f>
        <v>1</v>
      </c>
      <c r="X13" s="5">
        <v>15</v>
      </c>
      <c r="Y13" s="26">
        <f>VLOOKUP($X13,サイズ別係数!$B:$E,2,FALSE)</f>
        <v>1</v>
      </c>
      <c r="Z13" s="26">
        <f>VLOOKUP($X13,サイズ別係数!$B:$E,3,FALSE)</f>
        <v>1</v>
      </c>
      <c r="AA13" s="26">
        <f>VLOOKUP($X13,サイズ別係数!$B:$E,4,FALSE)</f>
        <v>1</v>
      </c>
      <c r="AB13" s="35">
        <v>0</v>
      </c>
      <c r="AC13" s="34" t="str">
        <f ca="1">VLOOKUP($AB13,OFFSET([3]enemy_skill_sets!$B$2,0,0,COUNTA([3]enemy_skill_sets!$A:$A),MATCH(AC$1,[3]enemy_skill_sets!$1:$1,0)-MATCH($AB$1,[3]enemy_skill_sets!$1:$1,0)+1),MATCH(AC$1,[3]enemy_skill_sets!$1:$1,0)-MATCH($AB$1,[3]enemy_skill_sets!$1:$1,0)+1,FALSE)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" s="37">
        <v>1</v>
      </c>
      <c r="AE13" s="37">
        <v>1</v>
      </c>
      <c r="AF13" s="37">
        <v>0</v>
      </c>
      <c r="AG13" s="28">
        <f ca="1">ROUND(VLOOKUP(1,enemy_base_stats!$A:$F,2,FALSE) * Y13* J13*O13*E13*S13*AD13*[2]ステータス!$B$2,0)</f>
        <v>408</v>
      </c>
      <c r="AH13" s="28">
        <f ca="1">ROUND(VLOOKUP(1,enemy_base_stats!$A:$F,3,FALSE) * Z13*K13*P13*F13*T13*AE13 * W13*[2]ステータス!$C$2,0)</f>
        <v>126</v>
      </c>
      <c r="AI13" s="28">
        <f ca="1">ROUND(VLOOKUP(1,enemy_base_stats!$A:$F,4,FALSE) * AA13*L13*Q13*G13*U13*AF13*[2]ステータス!$D$2,0)</f>
        <v>0</v>
      </c>
      <c r="AJ13" s="28">
        <f ca="1">ROUND(VLOOKUP(100,enemy_base_stats!$A:$F,2,FALSE) * Y13* J13*O13*E13*S13*AD13*[2]ステータス!$B$2,0)</f>
        <v>16565</v>
      </c>
      <c r="AK13" s="28">
        <f ca="1">ROUND(VLOOKUP(100,enemy_base_stats!$A:$F,3,FALSE)* Z13* K13*P13*F13*T13*AE13 * W13*[2]ステータス!$C$2,0)</f>
        <v>5121</v>
      </c>
      <c r="AL13" s="28">
        <f ca="1">ROUND(VLOOKUP(100,enemy_base_stats!$A:$F,4,FALSE)* AA13* L13*Q13*G13*U13*AF13*[2]ステータス!$D$2,0)</f>
        <v>0</v>
      </c>
      <c r="AM13" s="24">
        <f ca="1">VLOOKUP(M13,[2]character_tribe_i18n!$A:$I,9,FALSE)</f>
        <v>480</v>
      </c>
      <c r="AN13" s="36">
        <v>0</v>
      </c>
      <c r="AO13" s="53">
        <v>0</v>
      </c>
      <c r="AP13" s="58" t="s">
        <v>72</v>
      </c>
      <c r="AQ13" s="71">
        <f t="shared" ca="1" si="0"/>
        <v>12</v>
      </c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</row>
    <row r="14" spans="1:60" s="3" customFormat="1" ht="21" customHeight="1" x14ac:dyDescent="0.15">
      <c r="A14" s="32">
        <f t="shared" ca="1" si="1"/>
        <v>13</v>
      </c>
      <c r="B14" s="6" t="str">
        <f ca="1">VLOOKUP(A14,[2]characters!$A:$C,3,FALSE)</f>
        <v>ミミ</v>
      </c>
      <c r="C14" s="9">
        <f ca="1">VLOOKUP(A14,[2]characters!$A:$I,9,FALSE)</f>
        <v>1</v>
      </c>
      <c r="D14" s="9" t="str">
        <f ca="1">VLOOKUP(A14,[2]characters!$A:$H,8,FALSE)</f>
        <v>yellow</v>
      </c>
      <c r="E14" s="24">
        <f ca="1">VLOOKUP(D14,[2]属性!$A:$E,2,FALSE)</f>
        <v>0.98</v>
      </c>
      <c r="F14" s="24">
        <f ca="1">VLOOKUP(D14,[2]属性!$A:$E,3,FALSE)</f>
        <v>1.01</v>
      </c>
      <c r="G14" s="24">
        <f ca="1">VLOOKUP(D14,[2]属性!$A:$F,4,FALSE)</f>
        <v>1</v>
      </c>
      <c r="H14" s="9" t="str">
        <f ca="1">VLOOKUP(A14,[2]characters!$A:$K,11,FALSE)</f>
        <v>attack</v>
      </c>
      <c r="I14" s="14" t="str">
        <f ca="1">VLOOKUP(H14,[2]character_type_i18n!$A:$F,3,FALSE)</f>
        <v>攻撃タイプ</v>
      </c>
      <c r="J14" s="36">
        <f ca="1">VLOOKUP(H14,[2]character_type_i18n!$A:$F,4,FALSE)</f>
        <v>1</v>
      </c>
      <c r="K14" s="36">
        <f ca="1">VLOOKUP(H14,[2]character_type_i18n!$A:$F,5,FALSE)</f>
        <v>1.33</v>
      </c>
      <c r="L14" s="36">
        <f ca="1">VLOOKUP(H14,[2]character_type_i18n!$A:$F,6,FALSE)</f>
        <v>1</v>
      </c>
      <c r="M14" s="9" t="str">
        <f ca="1">VLOOKUP(A14,[2]characters!$A:$M,13,FALSE)</f>
        <v>animal</v>
      </c>
      <c r="N14" s="14" t="str">
        <f ca="1">VLOOKUP(M14,[2]character_tribe_i18n!$A:$F,3,FALSE)</f>
        <v>アニマル</v>
      </c>
      <c r="O14" s="24">
        <f ca="1">VLOOKUP(M14,[2]character_tribe_i18n!$A:$F,4,FALSE)</f>
        <v>1</v>
      </c>
      <c r="P14" s="24">
        <f ca="1">VLOOKUP(M14,[2]character_tribe_i18n!$A:$F,5,FALSE)</f>
        <v>1.1000000000000001</v>
      </c>
      <c r="Q14" s="24">
        <f ca="1">VLOOKUP(M14,[2]character_tribe_i18n!$A:$F,6,FALSE)</f>
        <v>1</v>
      </c>
      <c r="R14" s="25" t="s">
        <v>19</v>
      </c>
      <c r="S14" s="24">
        <f>VLOOKUP($R14,ラベル別係数!$A$1:$E$7,3,FALSE)</f>
        <v>1</v>
      </c>
      <c r="T14" s="24">
        <f>VLOOKUP($R14,ラベル別係数!$A$1:$E$7,4,FALSE)</f>
        <v>1</v>
      </c>
      <c r="U14" s="24">
        <f>VLOOKUP($R14,ラベル別係数!$A$1:$E$7,5,FALSE)</f>
        <v>1</v>
      </c>
      <c r="V14" s="27">
        <v>2</v>
      </c>
      <c r="W14" s="28">
        <f>VLOOKUP(V14,ターン数別攻撃係数!$A$1:$B$1000,2,FALSE)</f>
        <v>0.75</v>
      </c>
      <c r="X14" s="10">
        <v>15</v>
      </c>
      <c r="Y14" s="26">
        <f>VLOOKUP($X14,サイズ別係数!$B:$E,2,FALSE)</f>
        <v>1</v>
      </c>
      <c r="Z14" s="26">
        <f>VLOOKUP($X14,サイズ別係数!$B:$E,3,FALSE)</f>
        <v>1</v>
      </c>
      <c r="AA14" s="26">
        <f>VLOOKUP($X14,サイズ別係数!$B:$E,4,FALSE)</f>
        <v>1</v>
      </c>
      <c r="AB14" s="35">
        <v>0</v>
      </c>
      <c r="AC14" s="34" t="str">
        <f ca="1">VLOOKUP($AB14,OFFSET([3]enemy_skill_sets!$B$2,0,0,COUNTA([3]enemy_skill_sets!$A:$A),MATCH(AC$1,[3]enemy_skill_sets!$1:$1,0)-MATCH($AB$1,[3]enemy_skill_sets!$1:$1,0)+1),MATCH(AC$1,[3]enemy_skill_sets!$1:$1,0)-MATCH($AB$1,[3]enemy_skill_sets!$1:$1,0)+1,FALSE)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" s="37">
        <v>1</v>
      </c>
      <c r="AE14" s="37">
        <v>1</v>
      </c>
      <c r="AF14" s="37">
        <v>0</v>
      </c>
      <c r="AG14" s="28">
        <f ca="1">ROUND(VLOOKUP(1,enemy_base_stats!$A:$F,2,FALSE) * Y14* J14*O14*E14*S14*AD14*[2]ステータス!$B$2,0)</f>
        <v>490</v>
      </c>
      <c r="AH14" s="28">
        <f ca="1">ROUND(VLOOKUP(1,enemy_base_stats!$A:$F,3,FALSE) * Z14*K14*P14*F14*T14*AE14 * W14*[2]ステータス!$C$2,0)</f>
        <v>166</v>
      </c>
      <c r="AI14" s="28">
        <f ca="1">ROUND(VLOOKUP(1,enemy_base_stats!$A:$F,4,FALSE) * AA14*L14*Q14*G14*U14*AF14*[2]ステータス!$D$2,0)</f>
        <v>0</v>
      </c>
      <c r="AJ14" s="28">
        <f ca="1">ROUND(VLOOKUP(100,enemy_base_stats!$A:$F,2,FALSE) * Y14* J14*O14*E14*S14*AD14*[2]ステータス!$B$2,0)</f>
        <v>19894</v>
      </c>
      <c r="AK14" s="28">
        <f ca="1">ROUND(VLOOKUP(100,enemy_base_stats!$A:$F,3,FALSE)* Z14* K14*P14*F14*T14*AE14 * W14*[2]ステータス!$C$2,0)</f>
        <v>6749</v>
      </c>
      <c r="AL14" s="28">
        <f ca="1">ROUND(VLOOKUP(100,enemy_base_stats!$A:$F,4,FALSE)* AA14* L14*Q14*G14*U14*AF14*[2]ステータス!$D$2,0)</f>
        <v>0</v>
      </c>
      <c r="AM14" s="24">
        <f ca="1">VLOOKUP(M14,[2]character_tribe_i18n!$A:$I,9,FALSE)</f>
        <v>480</v>
      </c>
      <c r="AN14" s="36">
        <v>0</v>
      </c>
      <c r="AO14" s="53">
        <v>0</v>
      </c>
      <c r="AP14" s="58" t="s">
        <v>72</v>
      </c>
      <c r="AQ14" s="71">
        <f t="shared" ca="1" si="0"/>
        <v>13</v>
      </c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</row>
    <row r="15" spans="1:60" s="3" customFormat="1" ht="21" customHeight="1" x14ac:dyDescent="0.15">
      <c r="A15" s="32">
        <f t="shared" ca="1" si="1"/>
        <v>14</v>
      </c>
      <c r="B15" s="6" t="str">
        <f ca="1">VLOOKUP(A15,[2]characters!$A:$C,3,FALSE)</f>
        <v>ミミ・ザ・ガンマンキャット</v>
      </c>
      <c r="C15" s="9">
        <f ca="1">VLOOKUP(A15,[2]characters!$A:$I,9,FALSE)</f>
        <v>2</v>
      </c>
      <c r="D15" s="9" t="str">
        <f ca="1">VLOOKUP(A15,[2]characters!$A:$H,8,FALSE)</f>
        <v>yellow</v>
      </c>
      <c r="E15" s="24">
        <f ca="1">VLOOKUP(D15,[2]属性!$A:$E,2,FALSE)</f>
        <v>0.98</v>
      </c>
      <c r="F15" s="24">
        <f ca="1">VLOOKUP(D15,[2]属性!$A:$E,3,FALSE)</f>
        <v>1.01</v>
      </c>
      <c r="G15" s="24">
        <f ca="1">VLOOKUP(D15,[2]属性!$A:$F,4,FALSE)</f>
        <v>1</v>
      </c>
      <c r="H15" s="9" t="str">
        <f ca="1">VLOOKUP(A15,[2]characters!$A:$K,11,FALSE)</f>
        <v>attack</v>
      </c>
      <c r="I15" s="14" t="str">
        <f ca="1">VLOOKUP(H15,[2]character_type_i18n!$A:$F,3,FALSE)</f>
        <v>攻撃タイプ</v>
      </c>
      <c r="J15" s="36">
        <f ca="1">VLOOKUP(H15,[2]character_type_i18n!$A:$F,4,FALSE)</f>
        <v>1</v>
      </c>
      <c r="K15" s="36">
        <f ca="1">VLOOKUP(H15,[2]character_type_i18n!$A:$F,5,FALSE)</f>
        <v>1.33</v>
      </c>
      <c r="L15" s="36">
        <f ca="1">VLOOKUP(H15,[2]character_type_i18n!$A:$F,6,FALSE)</f>
        <v>1</v>
      </c>
      <c r="M15" s="9" t="str">
        <f ca="1">VLOOKUP(A15,[2]characters!$A:$M,13,FALSE)</f>
        <v>animal</v>
      </c>
      <c r="N15" s="14" t="str">
        <f ca="1">VLOOKUP(M15,[2]character_tribe_i18n!$A:$F,3,FALSE)</f>
        <v>アニマル</v>
      </c>
      <c r="O15" s="24">
        <f ca="1">VLOOKUP(M15,[2]character_tribe_i18n!$A:$F,4,FALSE)</f>
        <v>1</v>
      </c>
      <c r="P15" s="24">
        <f ca="1">VLOOKUP(M15,[2]character_tribe_i18n!$A:$F,5,FALSE)</f>
        <v>1.1000000000000001</v>
      </c>
      <c r="Q15" s="24">
        <f ca="1">VLOOKUP(M15,[2]character_tribe_i18n!$A:$F,6,FALSE)</f>
        <v>1</v>
      </c>
      <c r="R15" s="25" t="s">
        <v>19</v>
      </c>
      <c r="S15" s="24">
        <f>VLOOKUP($R15,ラベル別係数!$A$1:$E$7,3,FALSE)</f>
        <v>1</v>
      </c>
      <c r="T15" s="24">
        <f>VLOOKUP($R15,ラベル別係数!$A$1:$E$7,4,FALSE)</f>
        <v>1</v>
      </c>
      <c r="U15" s="24">
        <f>VLOOKUP($R15,ラベル別係数!$A$1:$E$7,5,FALSE)</f>
        <v>1</v>
      </c>
      <c r="V15" s="27">
        <v>2</v>
      </c>
      <c r="W15" s="28">
        <f>VLOOKUP(V15,ターン数別攻撃係数!$A$1:$B$1000,2,FALSE)</f>
        <v>0.75</v>
      </c>
      <c r="X15" s="5">
        <v>15</v>
      </c>
      <c r="Y15" s="26">
        <f>VLOOKUP($X15,サイズ別係数!$B:$E,2,FALSE)</f>
        <v>1</v>
      </c>
      <c r="Z15" s="26">
        <f>VLOOKUP($X15,サイズ別係数!$B:$E,3,FALSE)</f>
        <v>1</v>
      </c>
      <c r="AA15" s="26">
        <f>VLOOKUP($X15,サイズ別係数!$B:$E,4,FALSE)</f>
        <v>1</v>
      </c>
      <c r="AB15" s="35">
        <v>0</v>
      </c>
      <c r="AC15" s="34" t="str">
        <f ca="1">VLOOKUP($AB15,OFFSET([3]enemy_skill_sets!$B$2,0,0,COUNTA([3]enemy_skill_sets!$A:$A),MATCH(AC$1,[3]enemy_skill_sets!$1:$1,0)-MATCH($AB$1,[3]enemy_skill_sets!$1:$1,0)+1),MATCH(AC$1,[3]enemy_skill_sets!$1:$1,0)-MATCH($AB$1,[3]enemy_skill_sets!$1:$1,0)+1,FALSE)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" s="37">
        <v>1</v>
      </c>
      <c r="AE15" s="37">
        <v>1</v>
      </c>
      <c r="AF15" s="37">
        <v>0</v>
      </c>
      <c r="AG15" s="28">
        <f ca="1">ROUND(VLOOKUP(1,enemy_base_stats!$A:$F,2,FALSE) * Y15* J15*O15*E15*S15*AD15*[2]ステータス!$B$2,0)</f>
        <v>490</v>
      </c>
      <c r="AH15" s="28">
        <f ca="1">ROUND(VLOOKUP(1,enemy_base_stats!$A:$F,3,FALSE) * Z15*K15*P15*F15*T15*AE15 * W15*[2]ステータス!$C$2,0)</f>
        <v>166</v>
      </c>
      <c r="AI15" s="28">
        <f ca="1">ROUND(VLOOKUP(1,enemy_base_stats!$A:$F,4,FALSE) * AA15*L15*Q15*G15*U15*AF15*[2]ステータス!$D$2,0)</f>
        <v>0</v>
      </c>
      <c r="AJ15" s="28">
        <f ca="1">ROUND(VLOOKUP(100,enemy_base_stats!$A:$F,2,FALSE) * Y15* J15*O15*E15*S15*AD15*[2]ステータス!$B$2,0)</f>
        <v>19894</v>
      </c>
      <c r="AK15" s="28">
        <f ca="1">ROUND(VLOOKUP(100,enemy_base_stats!$A:$F,3,FALSE)* Z15* K15*P15*F15*T15*AE15 * W15*[2]ステータス!$C$2,0)</f>
        <v>6749</v>
      </c>
      <c r="AL15" s="28">
        <f ca="1">ROUND(VLOOKUP(100,enemy_base_stats!$A:$F,4,FALSE)* AA15* L15*Q15*G15*U15*AF15*[2]ステータス!$D$2,0)</f>
        <v>0</v>
      </c>
      <c r="AM15" s="24">
        <f ca="1">VLOOKUP(M15,[2]character_tribe_i18n!$A:$I,9,FALSE)</f>
        <v>480</v>
      </c>
      <c r="AN15" s="36">
        <v>0</v>
      </c>
      <c r="AO15" s="53">
        <v>0</v>
      </c>
      <c r="AP15" s="58" t="s">
        <v>72</v>
      </c>
      <c r="AQ15" s="71">
        <f t="shared" ca="1" si="0"/>
        <v>14</v>
      </c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</row>
    <row r="16" spans="1:60" s="3" customFormat="1" ht="21" customHeight="1" x14ac:dyDescent="0.15">
      <c r="A16" s="31">
        <f t="shared" ca="1" si="1"/>
        <v>15</v>
      </c>
      <c r="B16" s="6" t="str">
        <f ca="1">VLOOKUP(A16,[2]characters!$A:$C,3,FALSE)</f>
        <v>アカネ</v>
      </c>
      <c r="C16" s="9">
        <f ca="1">VLOOKUP(A16,[2]characters!$A:$I,9,FALSE)</f>
        <v>1</v>
      </c>
      <c r="D16" s="9" t="str">
        <f ca="1">VLOOKUP(A16,[2]characters!$A:$H,8,FALSE)</f>
        <v>red</v>
      </c>
      <c r="E16" s="24">
        <f ca="1">VLOOKUP(D16,[2]属性!$A:$E,2,FALSE)</f>
        <v>1</v>
      </c>
      <c r="F16" s="24">
        <f ca="1">VLOOKUP(D16,[2]属性!$A:$E,3,FALSE)</f>
        <v>1.02</v>
      </c>
      <c r="G16" s="24">
        <f ca="1">VLOOKUP(D16,[2]属性!$A:$F,4,FALSE)</f>
        <v>1</v>
      </c>
      <c r="H16" s="9" t="str">
        <f ca="1">VLOOKUP(A16,[2]characters!$A:$K,11,FALSE)</f>
        <v>balance</v>
      </c>
      <c r="I16" s="14" t="str">
        <f ca="1">VLOOKUP(H16,[2]character_type_i18n!$A:$F,3,FALSE)</f>
        <v>バランスタイプ</v>
      </c>
      <c r="J16" s="36">
        <f ca="1">VLOOKUP(H16,[2]character_type_i18n!$A:$F,4,FALSE)</f>
        <v>1</v>
      </c>
      <c r="K16" s="36">
        <f ca="1">VLOOKUP(H16,[2]character_type_i18n!$A:$F,5,FALSE)</f>
        <v>1</v>
      </c>
      <c r="L16" s="36">
        <f ca="1">VLOOKUP(H16,[2]character_type_i18n!$A:$F,6,FALSE)</f>
        <v>1</v>
      </c>
      <c r="M16" s="9" t="str">
        <f ca="1">VLOOKUP(A16,[2]characters!$A:$M,13,FALSE)</f>
        <v>human</v>
      </c>
      <c r="N16" s="14" t="str">
        <f ca="1">VLOOKUP(M16,[2]character_tribe_i18n!$A:$F,3,FALSE)</f>
        <v>ヒューマン</v>
      </c>
      <c r="O16" s="24">
        <f ca="1">VLOOKUP(M16,[2]character_tribe_i18n!$A:$F,4,FALSE)</f>
        <v>0.94</v>
      </c>
      <c r="P16" s="24">
        <f ca="1">VLOOKUP(M16,[2]character_tribe_i18n!$A:$F,5,FALSE)</f>
        <v>0.99</v>
      </c>
      <c r="Q16" s="24">
        <f ca="1">VLOOKUP(M16,[2]character_tribe_i18n!$A:$F,6,FALSE)</f>
        <v>1</v>
      </c>
      <c r="R16" s="25" t="s">
        <v>19</v>
      </c>
      <c r="S16" s="24">
        <f>VLOOKUP($R16,ラベル別係数!$A$1:$E$7,3,FALSE)</f>
        <v>1</v>
      </c>
      <c r="T16" s="24">
        <f>VLOOKUP($R16,ラベル別係数!$A$1:$E$7,4,FALSE)</f>
        <v>1</v>
      </c>
      <c r="U16" s="24">
        <f>VLOOKUP($R16,ラベル別係数!$A$1:$E$7,5,FALSE)</f>
        <v>1</v>
      </c>
      <c r="V16" s="27">
        <v>3</v>
      </c>
      <c r="W16" s="28">
        <f>VLOOKUP(V16,ターン数別攻撃係数!$A$1:$B$1000,2,FALSE)</f>
        <v>1</v>
      </c>
      <c r="X16" s="10">
        <v>15</v>
      </c>
      <c r="Y16" s="26">
        <f>VLOOKUP($X16,サイズ別係数!$B:$E,2,FALSE)</f>
        <v>1</v>
      </c>
      <c r="Z16" s="26">
        <f>VLOOKUP($X16,サイズ別係数!$B:$E,3,FALSE)</f>
        <v>1</v>
      </c>
      <c r="AA16" s="26">
        <f>VLOOKUP($X16,サイズ別係数!$B:$E,4,FALSE)</f>
        <v>1</v>
      </c>
      <c r="AB16" s="35">
        <v>0</v>
      </c>
      <c r="AC16" s="34" t="str">
        <f ca="1">VLOOKUP($AB16,OFFSET([3]enemy_skill_sets!$B$2,0,0,COUNTA([3]enemy_skill_sets!$A:$A),MATCH(AC$1,[3]enemy_skill_sets!$1:$1,0)-MATCH($AB$1,[3]enemy_skill_sets!$1:$1,0)+1),MATCH(AC$1,[3]enemy_skill_sets!$1:$1,0)-MATCH($AB$1,[3]enemy_skill_sets!$1:$1,0)+1,FALSE)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" s="37">
        <v>1</v>
      </c>
      <c r="AE16" s="37">
        <v>1</v>
      </c>
      <c r="AF16" s="37">
        <v>0</v>
      </c>
      <c r="AG16" s="28">
        <f ca="1">ROUND(VLOOKUP(1,enemy_base_stats!$A:$F,2,FALSE) * Y16* J16*O16*E16*S16*AD16*[2]ステータス!$B$2,0)</f>
        <v>470</v>
      </c>
      <c r="AH16" s="28">
        <f ca="1">ROUND(VLOOKUP(1,enemy_base_stats!$A:$F,3,FALSE) * Z16*K16*P16*F16*T16*AE16 * W16*[2]ステータス!$C$2,0)</f>
        <v>151</v>
      </c>
      <c r="AI16" s="28">
        <f ca="1">ROUND(VLOOKUP(1,enemy_base_stats!$A:$F,4,FALSE) * AA16*L16*Q16*G16*U16*AF16*[2]ステータス!$D$2,0)</f>
        <v>0</v>
      </c>
      <c r="AJ16" s="28">
        <f ca="1">ROUND(VLOOKUP(100,enemy_base_stats!$A:$F,2,FALSE) * Y16* J16*O16*E16*S16*AD16*[2]ステータス!$B$2,0)</f>
        <v>19082</v>
      </c>
      <c r="AK16" s="28">
        <f ca="1">ROUND(VLOOKUP(100,enemy_base_stats!$A:$F,3,FALSE)* Z16* K16*P16*F16*T16*AE16 * W16*[2]ステータス!$C$2,0)</f>
        <v>6150</v>
      </c>
      <c r="AL16" s="28">
        <f ca="1">ROUND(VLOOKUP(100,enemy_base_stats!$A:$F,4,FALSE)* AA16* L16*Q16*G16*U16*AF16*[2]ステータス!$D$2,0)</f>
        <v>0</v>
      </c>
      <c r="AM16" s="24">
        <f ca="1">VLOOKUP(M16,[2]character_tribe_i18n!$A:$I,9,FALSE)</f>
        <v>400</v>
      </c>
      <c r="AN16" s="36">
        <v>0</v>
      </c>
      <c r="AO16" s="53">
        <v>0</v>
      </c>
      <c r="AP16" s="58" t="s">
        <v>72</v>
      </c>
      <c r="AQ16" s="71">
        <f t="shared" ca="1" si="0"/>
        <v>15</v>
      </c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</row>
    <row r="17" spans="1:60" s="3" customFormat="1" ht="21" customHeight="1" x14ac:dyDescent="0.15">
      <c r="A17" s="31">
        <f t="shared" ca="1" si="1"/>
        <v>16</v>
      </c>
      <c r="B17" s="6" t="str">
        <f ca="1">VLOOKUP(A17,[2]characters!$A:$C,3,FALSE)</f>
        <v>炎戦少女 アカネ</v>
      </c>
      <c r="C17" s="9">
        <f ca="1">VLOOKUP(A17,[2]characters!$A:$I,9,FALSE)</f>
        <v>2</v>
      </c>
      <c r="D17" s="9" t="str">
        <f ca="1">VLOOKUP(A17,[2]characters!$A:$H,8,FALSE)</f>
        <v>red</v>
      </c>
      <c r="E17" s="24">
        <f ca="1">VLOOKUP(D17,[2]属性!$A:$E,2,FALSE)</f>
        <v>1</v>
      </c>
      <c r="F17" s="24">
        <f ca="1">VLOOKUP(D17,[2]属性!$A:$E,3,FALSE)</f>
        <v>1.02</v>
      </c>
      <c r="G17" s="24">
        <f ca="1">VLOOKUP(D17,[2]属性!$A:$F,4,FALSE)</f>
        <v>1</v>
      </c>
      <c r="H17" s="9" t="str">
        <f ca="1">VLOOKUP(A17,[2]characters!$A:$K,11,FALSE)</f>
        <v>balance</v>
      </c>
      <c r="I17" s="14" t="str">
        <f ca="1">VLOOKUP(H17,[2]character_type_i18n!$A:$F,3,FALSE)</f>
        <v>バランスタイプ</v>
      </c>
      <c r="J17" s="36">
        <f ca="1">VLOOKUP(H17,[2]character_type_i18n!$A:$F,4,FALSE)</f>
        <v>1</v>
      </c>
      <c r="K17" s="36">
        <f ca="1">VLOOKUP(H17,[2]character_type_i18n!$A:$F,5,FALSE)</f>
        <v>1</v>
      </c>
      <c r="L17" s="36">
        <f ca="1">VLOOKUP(H17,[2]character_type_i18n!$A:$F,6,FALSE)</f>
        <v>1</v>
      </c>
      <c r="M17" s="9" t="str">
        <f ca="1">VLOOKUP(A17,[2]characters!$A:$M,13,FALSE)</f>
        <v>human</v>
      </c>
      <c r="N17" s="14" t="str">
        <f ca="1">VLOOKUP(M17,[2]character_tribe_i18n!$A:$F,3,FALSE)</f>
        <v>ヒューマン</v>
      </c>
      <c r="O17" s="24">
        <f ca="1">VLOOKUP(M17,[2]character_tribe_i18n!$A:$F,4,FALSE)</f>
        <v>0.94</v>
      </c>
      <c r="P17" s="24">
        <f ca="1">VLOOKUP(M17,[2]character_tribe_i18n!$A:$F,5,FALSE)</f>
        <v>0.99</v>
      </c>
      <c r="Q17" s="24">
        <f ca="1">VLOOKUP(M17,[2]character_tribe_i18n!$A:$F,6,FALSE)</f>
        <v>1</v>
      </c>
      <c r="R17" s="25" t="s">
        <v>19</v>
      </c>
      <c r="S17" s="24">
        <f>VLOOKUP($R17,ラベル別係数!$A$1:$E$7,3,FALSE)</f>
        <v>1</v>
      </c>
      <c r="T17" s="24">
        <f>VLOOKUP($R17,ラベル別係数!$A$1:$E$7,4,FALSE)</f>
        <v>1</v>
      </c>
      <c r="U17" s="24">
        <f>VLOOKUP($R17,ラベル別係数!$A$1:$E$7,5,FALSE)</f>
        <v>1</v>
      </c>
      <c r="V17" s="27">
        <v>3</v>
      </c>
      <c r="W17" s="28">
        <f>VLOOKUP(V17,ターン数別攻撃係数!$A$1:$B$1000,2,FALSE)</f>
        <v>1</v>
      </c>
      <c r="X17" s="5">
        <v>15</v>
      </c>
      <c r="Y17" s="26">
        <f>VLOOKUP($X17,サイズ別係数!$B:$E,2,FALSE)</f>
        <v>1</v>
      </c>
      <c r="Z17" s="26">
        <f>VLOOKUP($X17,サイズ別係数!$B:$E,3,FALSE)</f>
        <v>1</v>
      </c>
      <c r="AA17" s="26">
        <f>VLOOKUP($X17,サイズ別係数!$B:$E,4,FALSE)</f>
        <v>1</v>
      </c>
      <c r="AB17" s="35">
        <v>0</v>
      </c>
      <c r="AC17" s="34" t="str">
        <f ca="1">VLOOKUP($AB17,OFFSET([3]enemy_skill_sets!$B$2,0,0,COUNTA([3]enemy_skill_sets!$A:$A),MATCH(AC$1,[3]enemy_skill_sets!$1:$1,0)-MATCH($AB$1,[3]enemy_skill_sets!$1:$1,0)+1),MATCH(AC$1,[3]enemy_skill_sets!$1:$1,0)-MATCH($AB$1,[3]enemy_skill_sets!$1:$1,0)+1,FALSE)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" s="37">
        <v>1</v>
      </c>
      <c r="AE17" s="37">
        <v>1</v>
      </c>
      <c r="AF17" s="37">
        <v>0</v>
      </c>
      <c r="AG17" s="28">
        <f ca="1">ROUND(VLOOKUP(1,enemy_base_stats!$A:$F,2,FALSE) * Y17* J17*O17*E17*S17*AD17*[2]ステータス!$B$2,0)</f>
        <v>470</v>
      </c>
      <c r="AH17" s="28">
        <f ca="1">ROUND(VLOOKUP(1,enemy_base_stats!$A:$F,3,FALSE) * Z17*K17*P17*F17*T17*AE17 * W17*[2]ステータス!$C$2,0)</f>
        <v>151</v>
      </c>
      <c r="AI17" s="28">
        <f ca="1">ROUND(VLOOKUP(1,enemy_base_stats!$A:$F,4,FALSE) * AA17*L17*Q17*G17*U17*AF17*[2]ステータス!$D$2,0)</f>
        <v>0</v>
      </c>
      <c r="AJ17" s="28">
        <f ca="1">ROUND(VLOOKUP(100,enemy_base_stats!$A:$F,2,FALSE) * Y17* J17*O17*E17*S17*AD17*[2]ステータス!$B$2,0)</f>
        <v>19082</v>
      </c>
      <c r="AK17" s="28">
        <f ca="1">ROUND(VLOOKUP(100,enemy_base_stats!$A:$F,3,FALSE)* Z17* K17*P17*F17*T17*AE17 * W17*[2]ステータス!$C$2,0)</f>
        <v>6150</v>
      </c>
      <c r="AL17" s="28">
        <f ca="1">ROUND(VLOOKUP(100,enemy_base_stats!$A:$F,4,FALSE)* AA17* L17*Q17*G17*U17*AF17*[2]ステータス!$D$2,0)</f>
        <v>0</v>
      </c>
      <c r="AM17" s="24">
        <f ca="1">VLOOKUP(M17,[2]character_tribe_i18n!$A:$I,9,FALSE)</f>
        <v>400</v>
      </c>
      <c r="AN17" s="36">
        <v>0</v>
      </c>
      <c r="AO17" s="53">
        <v>0</v>
      </c>
      <c r="AP17" s="58" t="s">
        <v>72</v>
      </c>
      <c r="AQ17" s="71">
        <f t="shared" ca="1" si="0"/>
        <v>16</v>
      </c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</row>
    <row r="18" spans="1:60" s="3" customFormat="1" ht="21" customHeight="1" x14ac:dyDescent="0.15">
      <c r="A18" s="31">
        <f t="shared" ca="1" si="1"/>
        <v>17</v>
      </c>
      <c r="B18" s="6" t="str">
        <f ca="1">VLOOKUP(A18,[2]characters!$A:$C,3,FALSE)</f>
        <v>リム</v>
      </c>
      <c r="C18" s="9">
        <f ca="1">VLOOKUP(A18,[2]characters!$A:$I,9,FALSE)</f>
        <v>1</v>
      </c>
      <c r="D18" s="9" t="str">
        <f ca="1">VLOOKUP(A18,[2]characters!$A:$H,8,FALSE)</f>
        <v>blue</v>
      </c>
      <c r="E18" s="24">
        <f ca="1">VLOOKUP(D18,[2]属性!$A:$E,2,FALSE)</f>
        <v>1</v>
      </c>
      <c r="F18" s="24">
        <f ca="1">VLOOKUP(D18,[2]属性!$A:$E,3,FALSE)</f>
        <v>0.98</v>
      </c>
      <c r="G18" s="24">
        <f ca="1">VLOOKUP(D18,[2]属性!$A:$F,4,FALSE)</f>
        <v>1</v>
      </c>
      <c r="H18" s="9" t="str">
        <f ca="1">VLOOKUP(A18,[2]characters!$A:$K,11,FALSE)</f>
        <v>balance</v>
      </c>
      <c r="I18" s="14" t="str">
        <f ca="1">VLOOKUP(H18,[2]character_type_i18n!$A:$F,3,FALSE)</f>
        <v>バランスタイプ</v>
      </c>
      <c r="J18" s="36">
        <f ca="1">VLOOKUP(H18,[2]character_type_i18n!$A:$F,4,FALSE)</f>
        <v>1</v>
      </c>
      <c r="K18" s="36">
        <f ca="1">VLOOKUP(H18,[2]character_type_i18n!$A:$F,5,FALSE)</f>
        <v>1</v>
      </c>
      <c r="L18" s="36">
        <f ca="1">VLOOKUP(H18,[2]character_type_i18n!$A:$F,6,FALSE)</f>
        <v>1</v>
      </c>
      <c r="M18" s="9" t="str">
        <f ca="1">VLOOKUP(A18,[2]characters!$A:$M,13,FALSE)</f>
        <v>human</v>
      </c>
      <c r="N18" s="14" t="str">
        <f ca="1">VLOOKUP(M18,[2]character_tribe_i18n!$A:$F,3,FALSE)</f>
        <v>ヒューマン</v>
      </c>
      <c r="O18" s="24">
        <f ca="1">VLOOKUP(M18,[2]character_tribe_i18n!$A:$F,4,FALSE)</f>
        <v>0.94</v>
      </c>
      <c r="P18" s="24">
        <f ca="1">VLOOKUP(M18,[2]character_tribe_i18n!$A:$F,5,FALSE)</f>
        <v>0.99</v>
      </c>
      <c r="Q18" s="24">
        <f ca="1">VLOOKUP(M18,[2]character_tribe_i18n!$A:$F,6,FALSE)</f>
        <v>1</v>
      </c>
      <c r="R18" s="23" t="s">
        <v>129</v>
      </c>
      <c r="S18" s="24">
        <f>VLOOKUP($R18,ラベル別係数!$A$1:$E$7,3,FALSE)</f>
        <v>1</v>
      </c>
      <c r="T18" s="24">
        <f>VLOOKUP($R18,ラベル別係数!$A$1:$E$7,4,FALSE)</f>
        <v>1</v>
      </c>
      <c r="U18" s="24">
        <f>VLOOKUP($R18,ラベル別係数!$A$1:$E$7,5,FALSE)</f>
        <v>1</v>
      </c>
      <c r="V18" s="27">
        <v>2</v>
      </c>
      <c r="W18" s="28">
        <f>VLOOKUP(V18,ターン数別攻撃係数!$A$1:$B$1000,2,FALSE)</f>
        <v>0.75</v>
      </c>
      <c r="X18" s="10">
        <v>15</v>
      </c>
      <c r="Y18" s="26">
        <f>VLOOKUP($X18,サイズ別係数!$B:$E,2,FALSE)</f>
        <v>1</v>
      </c>
      <c r="Z18" s="26">
        <f>VLOOKUP($X18,サイズ別係数!$B:$E,3,FALSE)</f>
        <v>1</v>
      </c>
      <c r="AA18" s="26">
        <f>VLOOKUP($X18,サイズ別係数!$B:$E,4,FALSE)</f>
        <v>1</v>
      </c>
      <c r="AB18" s="35">
        <v>0</v>
      </c>
      <c r="AC18" s="34" t="str">
        <f ca="1">VLOOKUP($AB18,OFFSET([3]enemy_skill_sets!$B$2,0,0,COUNTA([3]enemy_skill_sets!$A:$A),MATCH(AC$1,[3]enemy_skill_sets!$1:$1,0)-MATCH($AB$1,[3]enemy_skill_sets!$1:$1,0)+1),MATCH(AC$1,[3]enemy_skill_sets!$1:$1,0)-MATCH($AB$1,[3]enemy_skill_sets!$1:$1,0)+1,FALSE)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8" s="37">
        <v>1</v>
      </c>
      <c r="AE18" s="37">
        <v>1</v>
      </c>
      <c r="AF18" s="37">
        <v>0</v>
      </c>
      <c r="AG18" s="28">
        <f ca="1">ROUND(VLOOKUP(1,enemy_base_stats!$A:$F,2,FALSE) * Y18* J18*O18*E18*S18*AD18*[2]ステータス!$B$2,0)</f>
        <v>470</v>
      </c>
      <c r="AH18" s="28">
        <f ca="1">ROUND(VLOOKUP(1,enemy_base_stats!$A:$F,3,FALSE) * Z18*K18*P18*F18*T18*AE18 * W18*[2]ステータス!$C$2,0)</f>
        <v>109</v>
      </c>
      <c r="AI18" s="28">
        <f ca="1">ROUND(VLOOKUP(1,enemy_base_stats!$A:$F,4,FALSE) * AA18*L18*Q18*G18*U18*AF18*[2]ステータス!$D$2,0)</f>
        <v>0</v>
      </c>
      <c r="AJ18" s="28">
        <f ca="1">ROUND(VLOOKUP(100,enemy_base_stats!$A:$F,2,FALSE) * Y18* J18*O18*E18*S18*AD18*[2]ステータス!$B$2,0)</f>
        <v>19082</v>
      </c>
      <c r="AK18" s="28">
        <f ca="1">ROUND(VLOOKUP(100,enemy_base_stats!$A:$F,3,FALSE)* Z18* K18*P18*F18*T18*AE18 * W18*[2]ステータス!$C$2,0)</f>
        <v>4431</v>
      </c>
      <c r="AL18" s="28">
        <f ca="1">ROUND(VLOOKUP(100,enemy_base_stats!$A:$F,4,FALSE)* AA18* L18*Q18*G18*U18*AF18*[2]ステータス!$D$2,0)</f>
        <v>0</v>
      </c>
      <c r="AM18" s="24">
        <f ca="1">VLOOKUP(M18,[2]character_tribe_i18n!$A:$I,9,FALSE)</f>
        <v>400</v>
      </c>
      <c r="AN18" s="36">
        <v>0</v>
      </c>
      <c r="AO18" s="53">
        <v>0</v>
      </c>
      <c r="AP18" s="58" t="s">
        <v>72</v>
      </c>
      <c r="AQ18" s="71">
        <f t="shared" ca="1" si="0"/>
        <v>17</v>
      </c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</row>
    <row r="19" spans="1:60" s="3" customFormat="1" ht="21" customHeight="1" x14ac:dyDescent="0.15">
      <c r="A19" s="31">
        <f t="shared" ca="1" si="1"/>
        <v>18</v>
      </c>
      <c r="B19" s="6" t="str">
        <f ca="1">VLOOKUP(A19,[2]characters!$A:$C,3,FALSE)</f>
        <v>戦闘案内人 リム</v>
      </c>
      <c r="C19" s="9">
        <f ca="1">VLOOKUP(A19,[2]characters!$A:$I,9,FALSE)</f>
        <v>2</v>
      </c>
      <c r="D19" s="9" t="str">
        <f ca="1">VLOOKUP(A19,[2]characters!$A:$H,8,FALSE)</f>
        <v>blue</v>
      </c>
      <c r="E19" s="24">
        <f ca="1">VLOOKUP(D19,[2]属性!$A:$E,2,FALSE)</f>
        <v>1</v>
      </c>
      <c r="F19" s="24">
        <f ca="1">VLOOKUP(D19,[2]属性!$A:$E,3,FALSE)</f>
        <v>0.98</v>
      </c>
      <c r="G19" s="24">
        <f ca="1">VLOOKUP(D19,[2]属性!$A:$F,4,FALSE)</f>
        <v>1</v>
      </c>
      <c r="H19" s="9" t="str">
        <f ca="1">VLOOKUP(A19,[2]characters!$A:$K,11,FALSE)</f>
        <v>balance</v>
      </c>
      <c r="I19" s="14" t="str">
        <f ca="1">VLOOKUP(H19,[2]character_type_i18n!$A:$F,3,FALSE)</f>
        <v>バランスタイプ</v>
      </c>
      <c r="J19" s="36">
        <f ca="1">VLOOKUP(H19,[2]character_type_i18n!$A:$F,4,FALSE)</f>
        <v>1</v>
      </c>
      <c r="K19" s="36">
        <f ca="1">VLOOKUP(H19,[2]character_type_i18n!$A:$F,5,FALSE)</f>
        <v>1</v>
      </c>
      <c r="L19" s="36">
        <f ca="1">VLOOKUP(H19,[2]character_type_i18n!$A:$F,6,FALSE)</f>
        <v>1</v>
      </c>
      <c r="M19" s="9" t="str">
        <f ca="1">VLOOKUP(A19,[2]characters!$A:$M,13,FALSE)</f>
        <v>human</v>
      </c>
      <c r="N19" s="14" t="str">
        <f ca="1">VLOOKUP(M19,[2]character_tribe_i18n!$A:$F,3,FALSE)</f>
        <v>ヒューマン</v>
      </c>
      <c r="O19" s="24">
        <f ca="1">VLOOKUP(M19,[2]character_tribe_i18n!$A:$F,4,FALSE)</f>
        <v>0.94</v>
      </c>
      <c r="P19" s="24">
        <f ca="1">VLOOKUP(M19,[2]character_tribe_i18n!$A:$F,5,FALSE)</f>
        <v>0.99</v>
      </c>
      <c r="Q19" s="24">
        <f ca="1">VLOOKUP(M19,[2]character_tribe_i18n!$A:$F,6,FALSE)</f>
        <v>1</v>
      </c>
      <c r="R19" s="25" t="s">
        <v>19</v>
      </c>
      <c r="S19" s="24">
        <f>VLOOKUP($R19,ラベル別係数!$A$1:$E$7,3,FALSE)</f>
        <v>1</v>
      </c>
      <c r="T19" s="24">
        <f>VLOOKUP($R19,ラベル別係数!$A$1:$E$7,4,FALSE)</f>
        <v>1</v>
      </c>
      <c r="U19" s="24">
        <f>VLOOKUP($R19,ラベル別係数!$A$1:$E$7,5,FALSE)</f>
        <v>1</v>
      </c>
      <c r="V19" s="27">
        <v>2</v>
      </c>
      <c r="W19" s="28">
        <f>VLOOKUP(V19,ターン数別攻撃係数!$A$1:$B$1000,2,FALSE)</f>
        <v>0.75</v>
      </c>
      <c r="X19" s="5">
        <v>15</v>
      </c>
      <c r="Y19" s="26">
        <f>VLOOKUP($X19,サイズ別係数!$B:$E,2,FALSE)</f>
        <v>1</v>
      </c>
      <c r="Z19" s="26">
        <f>VLOOKUP($X19,サイズ別係数!$B:$E,3,FALSE)</f>
        <v>1</v>
      </c>
      <c r="AA19" s="26">
        <f>VLOOKUP($X19,サイズ別係数!$B:$E,4,FALSE)</f>
        <v>1</v>
      </c>
      <c r="AB19" s="35">
        <v>0</v>
      </c>
      <c r="AC19" s="34" t="str">
        <f ca="1">VLOOKUP($AB19,OFFSET([3]enemy_skill_sets!$B$2,0,0,COUNTA([3]enemy_skill_sets!$A:$A),MATCH(AC$1,[3]enemy_skill_sets!$1:$1,0)-MATCH($AB$1,[3]enemy_skill_sets!$1:$1,0)+1),MATCH(AC$1,[3]enemy_skill_sets!$1:$1,0)-MATCH($AB$1,[3]enemy_skill_sets!$1:$1,0)+1,FALSE)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9" s="37">
        <v>1</v>
      </c>
      <c r="AE19" s="37">
        <v>1</v>
      </c>
      <c r="AF19" s="37">
        <v>0</v>
      </c>
      <c r="AG19" s="28">
        <f ca="1">ROUND(VLOOKUP(1,enemy_base_stats!$A:$F,2,FALSE) * Y19* J19*O19*E19*S19*AD19*[2]ステータス!$B$2,0)</f>
        <v>470</v>
      </c>
      <c r="AH19" s="28">
        <f ca="1">ROUND(VLOOKUP(1,enemy_base_stats!$A:$F,3,FALSE) * Z19*K19*P19*F19*T19*AE19 * W19*[2]ステータス!$C$2,0)</f>
        <v>109</v>
      </c>
      <c r="AI19" s="28">
        <f ca="1">ROUND(VLOOKUP(1,enemy_base_stats!$A:$F,4,FALSE) * AA19*L19*Q19*G19*U19*AF19*[2]ステータス!$D$2,0)</f>
        <v>0</v>
      </c>
      <c r="AJ19" s="28">
        <f ca="1">ROUND(VLOOKUP(100,enemy_base_stats!$A:$F,2,FALSE) * Y19* J19*O19*E19*S19*AD19*[2]ステータス!$B$2,0)</f>
        <v>19082</v>
      </c>
      <c r="AK19" s="28">
        <f ca="1">ROUND(VLOOKUP(100,enemy_base_stats!$A:$F,3,FALSE)* Z19* K19*P19*F19*T19*AE19 * W19*[2]ステータス!$C$2,0)</f>
        <v>4431</v>
      </c>
      <c r="AL19" s="28">
        <f ca="1">ROUND(VLOOKUP(100,enemy_base_stats!$A:$F,4,FALSE)* AA19* L19*Q19*G19*U19*AF19*[2]ステータス!$D$2,0)</f>
        <v>0</v>
      </c>
      <c r="AM19" s="24">
        <f ca="1">VLOOKUP(M19,[2]character_tribe_i18n!$A:$I,9,FALSE)</f>
        <v>400</v>
      </c>
      <c r="AN19" s="36">
        <v>0</v>
      </c>
      <c r="AO19" s="53">
        <v>0</v>
      </c>
      <c r="AP19" s="58" t="s">
        <v>72</v>
      </c>
      <c r="AQ19" s="71">
        <f t="shared" ca="1" si="0"/>
        <v>18</v>
      </c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</row>
    <row r="20" spans="1:60" s="3" customFormat="1" ht="21" customHeight="1" x14ac:dyDescent="0.15">
      <c r="A20" s="31">
        <f t="shared" ca="1" si="1"/>
        <v>19</v>
      </c>
      <c r="B20" s="6" t="str">
        <f ca="1">VLOOKUP(A20,[2]characters!$A:$C,3,FALSE)</f>
        <v>ティンク</v>
      </c>
      <c r="C20" s="9">
        <f ca="1">VLOOKUP(A20,[2]characters!$A:$I,9,FALSE)</f>
        <v>1</v>
      </c>
      <c r="D20" s="9" t="str">
        <f ca="1">VLOOKUP(A20,[2]characters!$A:$H,8,FALSE)</f>
        <v>yellow</v>
      </c>
      <c r="E20" s="24">
        <f ca="1">VLOOKUP(D20,[2]属性!$A:$E,2,FALSE)</f>
        <v>0.98</v>
      </c>
      <c r="F20" s="24">
        <f ca="1">VLOOKUP(D20,[2]属性!$A:$E,3,FALSE)</f>
        <v>1.01</v>
      </c>
      <c r="G20" s="24">
        <f ca="1">VLOOKUP(D20,[2]属性!$A:$F,4,FALSE)</f>
        <v>1</v>
      </c>
      <c r="H20" s="9" t="str">
        <f ca="1">VLOOKUP(A20,[2]characters!$A:$K,11,FALSE)</f>
        <v>balance</v>
      </c>
      <c r="I20" s="14" t="str">
        <f ca="1">VLOOKUP(H20,[2]character_type_i18n!$A:$F,3,FALSE)</f>
        <v>バランスタイプ</v>
      </c>
      <c r="J20" s="36">
        <f ca="1">VLOOKUP(H20,[2]character_type_i18n!$A:$F,4,FALSE)</f>
        <v>1</v>
      </c>
      <c r="K20" s="36">
        <f ca="1">VLOOKUP(H20,[2]character_type_i18n!$A:$F,5,FALSE)</f>
        <v>1</v>
      </c>
      <c r="L20" s="36">
        <f ca="1">VLOOKUP(H20,[2]character_type_i18n!$A:$F,6,FALSE)</f>
        <v>1</v>
      </c>
      <c r="M20" s="9" t="str">
        <f ca="1">VLOOKUP(A20,[2]characters!$A:$M,13,FALSE)</f>
        <v>human</v>
      </c>
      <c r="N20" s="14" t="str">
        <f ca="1">VLOOKUP(M20,[2]character_tribe_i18n!$A:$F,3,FALSE)</f>
        <v>ヒューマン</v>
      </c>
      <c r="O20" s="24">
        <f ca="1">VLOOKUP(M20,[2]character_tribe_i18n!$A:$F,4,FALSE)</f>
        <v>0.94</v>
      </c>
      <c r="P20" s="24">
        <f ca="1">VLOOKUP(M20,[2]character_tribe_i18n!$A:$F,5,FALSE)</f>
        <v>0.99</v>
      </c>
      <c r="Q20" s="24">
        <f ca="1">VLOOKUP(M20,[2]character_tribe_i18n!$A:$F,6,FALSE)</f>
        <v>1</v>
      </c>
      <c r="R20" s="25" t="s">
        <v>19</v>
      </c>
      <c r="S20" s="24">
        <f>VLOOKUP($R20,ラベル別係数!$A$1:$E$7,3,FALSE)</f>
        <v>1</v>
      </c>
      <c r="T20" s="24">
        <f>VLOOKUP($R20,ラベル別係数!$A$1:$E$7,4,FALSE)</f>
        <v>1</v>
      </c>
      <c r="U20" s="24">
        <f>VLOOKUP($R20,ラベル別係数!$A$1:$E$7,5,FALSE)</f>
        <v>1</v>
      </c>
      <c r="V20" s="27">
        <v>3</v>
      </c>
      <c r="W20" s="28">
        <f>VLOOKUP(V20,ターン数別攻撃係数!$A$1:$B$1000,2,FALSE)</f>
        <v>1</v>
      </c>
      <c r="X20" s="10">
        <v>15</v>
      </c>
      <c r="Y20" s="26">
        <f>VLOOKUP($X20,サイズ別係数!$B:$E,2,FALSE)</f>
        <v>1</v>
      </c>
      <c r="Z20" s="26">
        <f>VLOOKUP($X20,サイズ別係数!$B:$E,3,FALSE)</f>
        <v>1</v>
      </c>
      <c r="AA20" s="26">
        <f>VLOOKUP($X20,サイズ別係数!$B:$E,4,FALSE)</f>
        <v>1</v>
      </c>
      <c r="AB20" s="35">
        <v>0</v>
      </c>
      <c r="AC20" s="34" t="str">
        <f ca="1">VLOOKUP($AB20,OFFSET([3]enemy_skill_sets!$B$2,0,0,COUNTA([3]enemy_skill_sets!$A:$A),MATCH(AC$1,[3]enemy_skill_sets!$1:$1,0)-MATCH($AB$1,[3]enemy_skill_sets!$1:$1,0)+1),MATCH(AC$1,[3]enemy_skill_sets!$1:$1,0)-MATCH($AB$1,[3]enemy_skill_sets!$1:$1,0)+1,FALSE)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0" s="37">
        <v>1</v>
      </c>
      <c r="AE20" s="37">
        <v>1</v>
      </c>
      <c r="AF20" s="37">
        <v>0</v>
      </c>
      <c r="AG20" s="28">
        <f ca="1">ROUND(VLOOKUP(1,enemy_base_stats!$A:$F,2,FALSE) * Y20* J20*O20*E20*S20*AD20*[2]ステータス!$B$2,0)</f>
        <v>461</v>
      </c>
      <c r="AH20" s="28">
        <f ca="1">ROUND(VLOOKUP(1,enemy_base_stats!$A:$F,3,FALSE) * Z20*K20*P20*F20*T20*AE20 * W20*[2]ステータス!$C$2,0)</f>
        <v>150</v>
      </c>
      <c r="AI20" s="28">
        <f ca="1">ROUND(VLOOKUP(1,enemy_base_stats!$A:$F,4,FALSE) * AA20*L20*Q20*G20*U20*AF20*[2]ステータス!$D$2,0)</f>
        <v>0</v>
      </c>
      <c r="AJ20" s="28">
        <f ca="1">ROUND(VLOOKUP(100,enemy_base_stats!$A:$F,2,FALSE) * Y20* J20*O20*E20*S20*AD20*[2]ステータス!$B$2,0)</f>
        <v>18700</v>
      </c>
      <c r="AK20" s="28">
        <f ca="1">ROUND(VLOOKUP(100,enemy_base_stats!$A:$F,3,FALSE)* Z20* K20*P20*F20*T20*AE20 * W20*[2]ステータス!$C$2,0)</f>
        <v>6089</v>
      </c>
      <c r="AL20" s="28">
        <f ca="1">ROUND(VLOOKUP(100,enemy_base_stats!$A:$F,4,FALSE)* AA20* L20*Q20*G20*U20*AF20*[2]ステータス!$D$2,0)</f>
        <v>0</v>
      </c>
      <c r="AM20" s="24">
        <f ca="1">VLOOKUP(M20,[2]character_tribe_i18n!$A:$I,9,FALSE)</f>
        <v>400</v>
      </c>
      <c r="AN20" s="36">
        <v>0</v>
      </c>
      <c r="AO20" s="53">
        <v>0</v>
      </c>
      <c r="AP20" s="58" t="s">
        <v>72</v>
      </c>
      <c r="AQ20" s="71">
        <f t="shared" ca="1" si="0"/>
        <v>19</v>
      </c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</row>
    <row r="21" spans="1:60" s="3" customFormat="1" ht="21" customHeight="1" x14ac:dyDescent="0.15">
      <c r="A21" s="31">
        <f t="shared" ca="1" si="1"/>
        <v>20</v>
      </c>
      <c r="B21" s="6" t="str">
        <f ca="1">VLOOKUP(A21,[2]characters!$A:$C,3,FALSE)</f>
        <v>電子妖精 ティンク</v>
      </c>
      <c r="C21" s="9">
        <f ca="1">VLOOKUP(A21,[2]characters!$A:$I,9,FALSE)</f>
        <v>2</v>
      </c>
      <c r="D21" s="9" t="str">
        <f ca="1">VLOOKUP(A21,[2]characters!$A:$H,8,FALSE)</f>
        <v>yellow</v>
      </c>
      <c r="E21" s="24">
        <f ca="1">VLOOKUP(D21,[2]属性!$A:$E,2,FALSE)</f>
        <v>0.98</v>
      </c>
      <c r="F21" s="24">
        <f ca="1">VLOOKUP(D21,[2]属性!$A:$E,3,FALSE)</f>
        <v>1.01</v>
      </c>
      <c r="G21" s="24">
        <f ca="1">VLOOKUP(D21,[2]属性!$A:$F,4,FALSE)</f>
        <v>1</v>
      </c>
      <c r="H21" s="9" t="str">
        <f ca="1">VLOOKUP(A21,[2]characters!$A:$K,11,FALSE)</f>
        <v>balance</v>
      </c>
      <c r="I21" s="14" t="str">
        <f ca="1">VLOOKUP(H21,[2]character_type_i18n!$A:$F,3,FALSE)</f>
        <v>バランスタイプ</v>
      </c>
      <c r="J21" s="36">
        <f ca="1">VLOOKUP(H21,[2]character_type_i18n!$A:$F,4,FALSE)</f>
        <v>1</v>
      </c>
      <c r="K21" s="36">
        <f ca="1">VLOOKUP(H21,[2]character_type_i18n!$A:$F,5,FALSE)</f>
        <v>1</v>
      </c>
      <c r="L21" s="36">
        <f ca="1">VLOOKUP(H21,[2]character_type_i18n!$A:$F,6,FALSE)</f>
        <v>1</v>
      </c>
      <c r="M21" s="9" t="str">
        <f ca="1">VLOOKUP(A21,[2]characters!$A:$M,13,FALSE)</f>
        <v>human</v>
      </c>
      <c r="N21" s="14" t="str">
        <f ca="1">VLOOKUP(M21,[2]character_tribe_i18n!$A:$F,3,FALSE)</f>
        <v>ヒューマン</v>
      </c>
      <c r="O21" s="24">
        <f ca="1">VLOOKUP(M21,[2]character_tribe_i18n!$A:$F,4,FALSE)</f>
        <v>0.94</v>
      </c>
      <c r="P21" s="24">
        <f ca="1">VLOOKUP(M21,[2]character_tribe_i18n!$A:$F,5,FALSE)</f>
        <v>0.99</v>
      </c>
      <c r="Q21" s="24">
        <f ca="1">VLOOKUP(M21,[2]character_tribe_i18n!$A:$F,6,FALSE)</f>
        <v>1</v>
      </c>
      <c r="R21" s="25" t="s">
        <v>19</v>
      </c>
      <c r="S21" s="24">
        <f>VLOOKUP($R21,ラベル別係数!$A$1:$E$7,3,FALSE)</f>
        <v>1</v>
      </c>
      <c r="T21" s="24">
        <f>VLOOKUP($R21,ラベル別係数!$A$1:$E$7,4,FALSE)</f>
        <v>1</v>
      </c>
      <c r="U21" s="24">
        <f>VLOOKUP($R21,ラベル別係数!$A$1:$E$7,5,FALSE)</f>
        <v>1</v>
      </c>
      <c r="V21" s="27">
        <v>3</v>
      </c>
      <c r="W21" s="28">
        <f>VLOOKUP(V21,ターン数別攻撃係数!$A$1:$B$1000,2,FALSE)</f>
        <v>1</v>
      </c>
      <c r="X21" s="5">
        <v>15</v>
      </c>
      <c r="Y21" s="26">
        <f>VLOOKUP($X21,サイズ別係数!$B:$E,2,FALSE)</f>
        <v>1</v>
      </c>
      <c r="Z21" s="26">
        <f>VLOOKUP($X21,サイズ別係数!$B:$E,3,FALSE)</f>
        <v>1</v>
      </c>
      <c r="AA21" s="26">
        <f>VLOOKUP($X21,サイズ別係数!$B:$E,4,FALSE)</f>
        <v>1</v>
      </c>
      <c r="AB21" s="35">
        <v>0</v>
      </c>
      <c r="AC21" s="34" t="str">
        <f ca="1">VLOOKUP($AB21,OFFSET([3]enemy_skill_sets!$B$2,0,0,COUNTA([3]enemy_skill_sets!$A:$A),MATCH(AC$1,[3]enemy_skill_sets!$1:$1,0)-MATCH($AB$1,[3]enemy_skill_sets!$1:$1,0)+1),MATCH(AC$1,[3]enemy_skill_sets!$1:$1,0)-MATCH($AB$1,[3]enemy_skill_sets!$1:$1,0)+1,FALSE)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" s="37">
        <v>1</v>
      </c>
      <c r="AE21" s="37">
        <v>1</v>
      </c>
      <c r="AF21" s="37">
        <v>0</v>
      </c>
      <c r="AG21" s="28">
        <f ca="1">ROUND(VLOOKUP(1,enemy_base_stats!$A:$F,2,FALSE) * Y21* J21*O21*E21*S21*AD21*[2]ステータス!$B$2,0)</f>
        <v>461</v>
      </c>
      <c r="AH21" s="28">
        <f ca="1">ROUND(VLOOKUP(1,enemy_base_stats!$A:$F,3,FALSE) * Z21*K21*P21*F21*T21*AE21 * W21*[2]ステータス!$C$2,0)</f>
        <v>150</v>
      </c>
      <c r="AI21" s="28">
        <f ca="1">ROUND(VLOOKUP(1,enemy_base_stats!$A:$F,4,FALSE) * AA21*L21*Q21*G21*U21*AF21*[2]ステータス!$D$2,0)</f>
        <v>0</v>
      </c>
      <c r="AJ21" s="28">
        <f ca="1">ROUND(VLOOKUP(100,enemy_base_stats!$A:$F,2,FALSE) * Y21* J21*O21*E21*S21*AD21*[2]ステータス!$B$2,0)</f>
        <v>18700</v>
      </c>
      <c r="AK21" s="28">
        <f ca="1">ROUND(VLOOKUP(100,enemy_base_stats!$A:$F,3,FALSE)* Z21* K21*P21*F21*T21*AE21 * W21*[2]ステータス!$C$2,0)</f>
        <v>6089</v>
      </c>
      <c r="AL21" s="28">
        <f ca="1">ROUND(VLOOKUP(100,enemy_base_stats!$A:$F,4,FALSE)* AA21* L21*Q21*G21*U21*AF21*[2]ステータス!$D$2,0)</f>
        <v>0</v>
      </c>
      <c r="AM21" s="24">
        <f ca="1">VLOOKUP(M21,[2]character_tribe_i18n!$A:$I,9,FALSE)</f>
        <v>400</v>
      </c>
      <c r="AN21" s="36">
        <v>0</v>
      </c>
      <c r="AO21" s="53">
        <v>0</v>
      </c>
      <c r="AP21" s="58" t="s">
        <v>72</v>
      </c>
      <c r="AQ21" s="71">
        <f t="shared" ca="1" si="0"/>
        <v>20</v>
      </c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</row>
    <row r="22" spans="1:60" s="3" customFormat="1" ht="21" customHeight="1" x14ac:dyDescent="0.15">
      <c r="A22" s="32">
        <f t="shared" ca="1" si="1"/>
        <v>21</v>
      </c>
      <c r="B22" s="6" t="str">
        <f ca="1">VLOOKUP(A22,[2]characters!$A:$C,3,FALSE)</f>
        <v>ヴェロキー</v>
      </c>
      <c r="C22" s="9">
        <f ca="1">VLOOKUP(A22,[2]characters!$A:$I,9,FALSE)</f>
        <v>1</v>
      </c>
      <c r="D22" s="9" t="str">
        <f ca="1">VLOOKUP(A22,[2]characters!$A:$H,8,FALSE)</f>
        <v>red</v>
      </c>
      <c r="E22" s="24">
        <f ca="1">VLOOKUP(D22,[2]属性!$A:$E,2,FALSE)</f>
        <v>1</v>
      </c>
      <c r="F22" s="24">
        <f ca="1">VLOOKUP(D22,[2]属性!$A:$E,3,FALSE)</f>
        <v>1.02</v>
      </c>
      <c r="G22" s="24">
        <f ca="1">VLOOKUP(D22,[2]属性!$A:$F,4,FALSE)</f>
        <v>1</v>
      </c>
      <c r="H22" s="9" t="str">
        <f ca="1">VLOOKUP(A22,[2]characters!$A:$K,11,FALSE)</f>
        <v>hp</v>
      </c>
      <c r="I22" s="14" t="str">
        <f ca="1">VLOOKUP(H22,[2]character_type_i18n!$A:$F,3,FALSE)</f>
        <v>体力タイプ</v>
      </c>
      <c r="J22" s="36">
        <f ca="1">VLOOKUP(H22,[2]character_type_i18n!$A:$F,4,FALSE)</f>
        <v>1.45</v>
      </c>
      <c r="K22" s="36">
        <f ca="1">VLOOKUP(H22,[2]character_type_i18n!$A:$F,5,FALSE)</f>
        <v>0.85</v>
      </c>
      <c r="L22" s="36">
        <f ca="1">VLOOKUP(H22,[2]character_type_i18n!$A:$F,6,FALSE)</f>
        <v>1</v>
      </c>
      <c r="M22" s="9" t="str">
        <f ca="1">VLOOKUP(A22,[2]characters!$A:$M,13,FALSE)</f>
        <v>dragon</v>
      </c>
      <c r="N22" s="14" t="str">
        <f ca="1">VLOOKUP(M22,[2]character_tribe_i18n!$A:$F,3,FALSE)</f>
        <v>ドラゴン</v>
      </c>
      <c r="O22" s="24">
        <f ca="1">VLOOKUP(M22,[2]character_tribe_i18n!$A:$F,4,FALSE)</f>
        <v>1.1499999999999999</v>
      </c>
      <c r="P22" s="24">
        <f ca="1">VLOOKUP(M22,[2]character_tribe_i18n!$A:$F,5,FALSE)</f>
        <v>1.1000000000000001</v>
      </c>
      <c r="Q22" s="24">
        <f ca="1">VLOOKUP(M22,[2]character_tribe_i18n!$A:$F,6,FALSE)</f>
        <v>1</v>
      </c>
      <c r="R22" s="25" t="s">
        <v>19</v>
      </c>
      <c r="S22" s="24">
        <f>VLOOKUP($R22,ラベル別係数!$A$1:$E$7,3,FALSE)</f>
        <v>1</v>
      </c>
      <c r="T22" s="24">
        <f>VLOOKUP($R22,ラベル別係数!$A$1:$E$7,4,FALSE)</f>
        <v>1</v>
      </c>
      <c r="U22" s="24">
        <f>VLOOKUP($R22,ラベル別係数!$A$1:$E$7,5,FALSE)</f>
        <v>1</v>
      </c>
      <c r="V22" s="27">
        <v>2</v>
      </c>
      <c r="W22" s="28">
        <f>VLOOKUP(V22,ターン数別攻撃係数!$A$1:$B$1000,2,FALSE)</f>
        <v>0.75</v>
      </c>
      <c r="X22" s="10">
        <v>15</v>
      </c>
      <c r="Y22" s="26">
        <f>VLOOKUP($X22,サイズ別係数!$B:$E,2,FALSE)</f>
        <v>1</v>
      </c>
      <c r="Z22" s="26">
        <f>VLOOKUP($X22,サイズ別係数!$B:$E,3,FALSE)</f>
        <v>1</v>
      </c>
      <c r="AA22" s="26">
        <f>VLOOKUP($X22,サイズ別係数!$B:$E,4,FALSE)</f>
        <v>1</v>
      </c>
      <c r="AB22" s="35">
        <v>0</v>
      </c>
      <c r="AC22" s="34" t="str">
        <f ca="1">VLOOKUP($AB22,OFFSET([3]enemy_skill_sets!$B$2,0,0,COUNTA([3]enemy_skill_sets!$A:$A),MATCH(AC$1,[3]enemy_skill_sets!$1:$1,0)-MATCH($AB$1,[3]enemy_skill_sets!$1:$1,0)+1),MATCH(AC$1,[3]enemy_skill_sets!$1:$1,0)-MATCH($AB$1,[3]enemy_skill_sets!$1:$1,0)+1,FALSE)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" s="37">
        <v>1</v>
      </c>
      <c r="AE22" s="37">
        <v>1</v>
      </c>
      <c r="AF22" s="37">
        <v>0</v>
      </c>
      <c r="AG22" s="28">
        <f ca="1">ROUND(VLOOKUP(1,enemy_base_stats!$A:$F,2,FALSE) * Y22* J22*O22*E22*S22*AD22*[2]ステータス!$B$2,0)</f>
        <v>834</v>
      </c>
      <c r="AH22" s="28">
        <f ca="1">ROUND(VLOOKUP(1,enemy_base_stats!$A:$F,3,FALSE) * Z22*K22*P22*F22*T22*AE22 * W22*[2]ステータス!$C$2,0)</f>
        <v>107</v>
      </c>
      <c r="AI22" s="28">
        <f ca="1">ROUND(VLOOKUP(1,enemy_base_stats!$A:$F,4,FALSE) * AA22*L22*Q22*G22*U22*AF22*[2]ステータス!$D$2,0)</f>
        <v>0</v>
      </c>
      <c r="AJ22" s="28">
        <f ca="1">ROUND(VLOOKUP(100,enemy_base_stats!$A:$F,2,FALSE) * Y22* J22*O22*E22*S22*AD22*[2]ステータス!$B$2,0)</f>
        <v>33850</v>
      </c>
      <c r="AK22" s="28">
        <f ca="1">ROUND(VLOOKUP(100,enemy_base_stats!$A:$F,3,FALSE)* Z22* K22*P22*F22*T22*AE22 * W22*[2]ステータス!$C$2,0)</f>
        <v>4356</v>
      </c>
      <c r="AL22" s="28">
        <f ca="1">ROUND(VLOOKUP(100,enemy_base_stats!$A:$F,4,FALSE)* AA22* L22*Q22*G22*U22*AF22*[2]ステータス!$D$2,0)</f>
        <v>0</v>
      </c>
      <c r="AM22" s="24">
        <f ca="1">VLOOKUP(M22,[2]character_tribe_i18n!$A:$I,9,FALSE)</f>
        <v>540</v>
      </c>
      <c r="AN22" s="36">
        <v>0</v>
      </c>
      <c r="AO22" s="53">
        <v>0</v>
      </c>
      <c r="AP22" s="58" t="s">
        <v>72</v>
      </c>
      <c r="AQ22" s="71">
        <f t="shared" ca="1" si="0"/>
        <v>21</v>
      </c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</row>
    <row r="23" spans="1:60" s="3" customFormat="1" ht="21" customHeight="1" x14ac:dyDescent="0.15">
      <c r="A23" s="32">
        <f t="shared" ca="1" si="1"/>
        <v>22</v>
      </c>
      <c r="B23" s="6" t="str">
        <f ca="1">VLOOKUP(A23,[2]characters!$A:$C,3,FALSE)</f>
        <v>突然変異ヴェロキー</v>
      </c>
      <c r="C23" s="9">
        <f ca="1">VLOOKUP(A23,[2]characters!$A:$I,9,FALSE)</f>
        <v>2</v>
      </c>
      <c r="D23" s="9" t="str">
        <f ca="1">VLOOKUP(A23,[2]characters!$A:$H,8,FALSE)</f>
        <v>red</v>
      </c>
      <c r="E23" s="24">
        <f ca="1">VLOOKUP(D23,[2]属性!$A:$E,2,FALSE)</f>
        <v>1</v>
      </c>
      <c r="F23" s="24">
        <f ca="1">VLOOKUP(D23,[2]属性!$A:$E,3,FALSE)</f>
        <v>1.02</v>
      </c>
      <c r="G23" s="24">
        <f ca="1">VLOOKUP(D23,[2]属性!$A:$F,4,FALSE)</f>
        <v>1</v>
      </c>
      <c r="H23" s="9" t="str">
        <f ca="1">VLOOKUP(A23,[2]characters!$A:$K,11,FALSE)</f>
        <v>hp</v>
      </c>
      <c r="I23" s="14" t="str">
        <f ca="1">VLOOKUP(H23,[2]character_type_i18n!$A:$F,3,FALSE)</f>
        <v>体力タイプ</v>
      </c>
      <c r="J23" s="36">
        <f ca="1">VLOOKUP(H23,[2]character_type_i18n!$A:$F,4,FALSE)</f>
        <v>1.45</v>
      </c>
      <c r="K23" s="36">
        <f ca="1">VLOOKUP(H23,[2]character_type_i18n!$A:$F,5,FALSE)</f>
        <v>0.85</v>
      </c>
      <c r="L23" s="36">
        <f ca="1">VLOOKUP(H23,[2]character_type_i18n!$A:$F,6,FALSE)</f>
        <v>1</v>
      </c>
      <c r="M23" s="9" t="str">
        <f ca="1">VLOOKUP(A23,[2]characters!$A:$M,13,FALSE)</f>
        <v>dragon</v>
      </c>
      <c r="N23" s="14" t="str">
        <f ca="1">VLOOKUP(M23,[2]character_tribe_i18n!$A:$F,3,FALSE)</f>
        <v>ドラゴン</v>
      </c>
      <c r="O23" s="24">
        <f ca="1">VLOOKUP(M23,[2]character_tribe_i18n!$A:$F,4,FALSE)</f>
        <v>1.1499999999999999</v>
      </c>
      <c r="P23" s="24">
        <f ca="1">VLOOKUP(M23,[2]character_tribe_i18n!$A:$F,5,FALSE)</f>
        <v>1.1000000000000001</v>
      </c>
      <c r="Q23" s="24">
        <f ca="1">VLOOKUP(M23,[2]character_tribe_i18n!$A:$F,6,FALSE)</f>
        <v>1</v>
      </c>
      <c r="R23" s="25" t="s">
        <v>19</v>
      </c>
      <c r="S23" s="24">
        <f>VLOOKUP($R23,ラベル別係数!$A$1:$E$7,3,FALSE)</f>
        <v>1</v>
      </c>
      <c r="T23" s="24">
        <f>VLOOKUP($R23,ラベル別係数!$A$1:$E$7,4,FALSE)</f>
        <v>1</v>
      </c>
      <c r="U23" s="24">
        <f>VLOOKUP($R23,ラベル別係数!$A$1:$E$7,5,FALSE)</f>
        <v>1</v>
      </c>
      <c r="V23" s="27">
        <v>2</v>
      </c>
      <c r="W23" s="28">
        <f>VLOOKUP(V23,ターン数別攻撃係数!$A$1:$B$1000,2,FALSE)</f>
        <v>0.75</v>
      </c>
      <c r="X23" s="5">
        <v>15</v>
      </c>
      <c r="Y23" s="26">
        <f>VLOOKUP($X23,サイズ別係数!$B:$E,2,FALSE)</f>
        <v>1</v>
      </c>
      <c r="Z23" s="26">
        <f>VLOOKUP($X23,サイズ別係数!$B:$E,3,FALSE)</f>
        <v>1</v>
      </c>
      <c r="AA23" s="26">
        <f>VLOOKUP($X23,サイズ別係数!$B:$E,4,FALSE)</f>
        <v>1</v>
      </c>
      <c r="AB23" s="35">
        <v>0</v>
      </c>
      <c r="AC23" s="34" t="str">
        <f ca="1">VLOOKUP($AB23,OFFSET([3]enemy_skill_sets!$B$2,0,0,COUNTA([3]enemy_skill_sets!$A:$A),MATCH(AC$1,[3]enemy_skill_sets!$1:$1,0)-MATCH($AB$1,[3]enemy_skill_sets!$1:$1,0)+1),MATCH(AC$1,[3]enemy_skill_sets!$1:$1,0)-MATCH($AB$1,[3]enemy_skill_sets!$1:$1,0)+1,FALSE)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3" s="37">
        <v>1</v>
      </c>
      <c r="AE23" s="37">
        <v>1</v>
      </c>
      <c r="AF23" s="37">
        <v>0</v>
      </c>
      <c r="AG23" s="28">
        <f ca="1">ROUND(VLOOKUP(1,enemy_base_stats!$A:$F,2,FALSE) * Y23* J23*O23*E23*S23*AD23*[2]ステータス!$B$2,0)</f>
        <v>834</v>
      </c>
      <c r="AH23" s="28">
        <f ca="1">ROUND(VLOOKUP(1,enemy_base_stats!$A:$F,3,FALSE) * Z23*K23*P23*F23*T23*AE23 * W23*[2]ステータス!$C$2,0)</f>
        <v>107</v>
      </c>
      <c r="AI23" s="28">
        <f ca="1">ROUND(VLOOKUP(1,enemy_base_stats!$A:$F,4,FALSE) * AA23*L23*Q23*G23*U23*AF23*[2]ステータス!$D$2,0)</f>
        <v>0</v>
      </c>
      <c r="AJ23" s="28">
        <f ca="1">ROUND(VLOOKUP(100,enemy_base_stats!$A:$F,2,FALSE) * Y23* J23*O23*E23*S23*AD23*[2]ステータス!$B$2,0)</f>
        <v>33850</v>
      </c>
      <c r="AK23" s="28">
        <f ca="1">ROUND(VLOOKUP(100,enemy_base_stats!$A:$F,3,FALSE)* Z23* K23*P23*F23*T23*AE23 * W23*[2]ステータス!$C$2,0)</f>
        <v>4356</v>
      </c>
      <c r="AL23" s="28">
        <f ca="1">ROUND(VLOOKUP(100,enemy_base_stats!$A:$F,4,FALSE)* AA23* L23*Q23*G23*U23*AF23*[2]ステータス!$D$2,0)</f>
        <v>0</v>
      </c>
      <c r="AM23" s="24">
        <f ca="1">VLOOKUP(M23,[2]character_tribe_i18n!$A:$I,9,FALSE)</f>
        <v>540</v>
      </c>
      <c r="AN23" s="36">
        <v>0</v>
      </c>
      <c r="AO23" s="53">
        <v>0</v>
      </c>
      <c r="AP23" s="58" t="s">
        <v>72</v>
      </c>
      <c r="AQ23" s="71">
        <f t="shared" ca="1" si="0"/>
        <v>22</v>
      </c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</row>
    <row r="24" spans="1:60" s="3" customFormat="1" ht="21" customHeight="1" x14ac:dyDescent="0.15">
      <c r="A24" s="32">
        <f t="shared" ca="1" si="1"/>
        <v>23</v>
      </c>
      <c r="B24" s="6" t="str">
        <f ca="1">VLOOKUP(A24,[2]characters!$A:$C,3,FALSE)</f>
        <v>ミール</v>
      </c>
      <c r="C24" s="9">
        <f ca="1">VLOOKUP(A24,[2]characters!$A:$I,9,FALSE)</f>
        <v>1</v>
      </c>
      <c r="D24" s="9" t="str">
        <f ca="1">VLOOKUP(A24,[2]characters!$A:$H,8,FALSE)</f>
        <v>green</v>
      </c>
      <c r="E24" s="24">
        <f ca="1">VLOOKUP(D24,[2]属性!$A:$E,2,FALSE)</f>
        <v>1.02</v>
      </c>
      <c r="F24" s="24">
        <f ca="1">VLOOKUP(D24,[2]属性!$A:$E,3,FALSE)</f>
        <v>0.98</v>
      </c>
      <c r="G24" s="24">
        <f ca="1">VLOOKUP(D24,[2]属性!$A:$F,4,FALSE)</f>
        <v>1</v>
      </c>
      <c r="H24" s="9" t="str">
        <f ca="1">VLOOKUP(A24,[2]characters!$A:$K,11,FALSE)</f>
        <v>hp</v>
      </c>
      <c r="I24" s="14" t="str">
        <f ca="1">VLOOKUP(H24,[2]character_type_i18n!$A:$F,3,FALSE)</f>
        <v>体力タイプ</v>
      </c>
      <c r="J24" s="36">
        <f ca="1">VLOOKUP(H24,[2]character_type_i18n!$A:$F,4,FALSE)</f>
        <v>1.45</v>
      </c>
      <c r="K24" s="36">
        <f ca="1">VLOOKUP(H24,[2]character_type_i18n!$A:$F,5,FALSE)</f>
        <v>0.85</v>
      </c>
      <c r="L24" s="36">
        <f ca="1">VLOOKUP(H24,[2]character_type_i18n!$A:$F,6,FALSE)</f>
        <v>1</v>
      </c>
      <c r="M24" s="9" t="str">
        <f ca="1">VLOOKUP(A24,[2]characters!$A:$M,13,FALSE)</f>
        <v>animal</v>
      </c>
      <c r="N24" s="14" t="str">
        <f ca="1">VLOOKUP(M24,[2]character_tribe_i18n!$A:$F,3,FALSE)</f>
        <v>アニマル</v>
      </c>
      <c r="O24" s="24">
        <f ca="1">VLOOKUP(M24,[2]character_tribe_i18n!$A:$F,4,FALSE)</f>
        <v>1</v>
      </c>
      <c r="P24" s="24">
        <f ca="1">VLOOKUP(M24,[2]character_tribe_i18n!$A:$F,5,FALSE)</f>
        <v>1.1000000000000001</v>
      </c>
      <c r="Q24" s="24">
        <f ca="1">VLOOKUP(M24,[2]character_tribe_i18n!$A:$F,6,FALSE)</f>
        <v>1</v>
      </c>
      <c r="R24" s="25" t="s">
        <v>19</v>
      </c>
      <c r="S24" s="24">
        <f>VLOOKUP($R24,ラベル別係数!$A$1:$E$7,3,FALSE)</f>
        <v>1</v>
      </c>
      <c r="T24" s="24">
        <f>VLOOKUP($R24,ラベル別係数!$A$1:$E$7,4,FALSE)</f>
        <v>1</v>
      </c>
      <c r="U24" s="24">
        <f>VLOOKUP($R24,ラベル別係数!$A$1:$E$7,5,FALSE)</f>
        <v>1</v>
      </c>
      <c r="V24" s="27">
        <v>4</v>
      </c>
      <c r="W24" s="28">
        <f>VLOOKUP(V24,ターン数別攻撃係数!$A$1:$B$1000,2,FALSE)</f>
        <v>1.2</v>
      </c>
      <c r="X24" s="10">
        <v>15</v>
      </c>
      <c r="Y24" s="26">
        <f>VLOOKUP($X24,サイズ別係数!$B:$E,2,FALSE)</f>
        <v>1</v>
      </c>
      <c r="Z24" s="26">
        <f>VLOOKUP($X24,サイズ別係数!$B:$E,3,FALSE)</f>
        <v>1</v>
      </c>
      <c r="AA24" s="26">
        <f>VLOOKUP($X24,サイズ別係数!$B:$E,4,FALSE)</f>
        <v>1</v>
      </c>
      <c r="AB24" s="35">
        <v>0</v>
      </c>
      <c r="AC24" s="34" t="str">
        <f ca="1">VLOOKUP($AB24,OFFSET([3]enemy_skill_sets!$B$2,0,0,COUNTA([3]enemy_skill_sets!$A:$A),MATCH(AC$1,[3]enemy_skill_sets!$1:$1,0)-MATCH($AB$1,[3]enemy_skill_sets!$1:$1,0)+1),MATCH(AC$1,[3]enemy_skill_sets!$1:$1,0)-MATCH($AB$1,[3]enemy_skill_sets!$1:$1,0)+1,FALSE)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" s="37">
        <v>1</v>
      </c>
      <c r="AE24" s="37">
        <v>1</v>
      </c>
      <c r="AF24" s="37">
        <v>0</v>
      </c>
      <c r="AG24" s="28">
        <f ca="1">ROUND(VLOOKUP(1,enemy_base_stats!$A:$F,2,FALSE) * Y24* J24*O24*E24*S24*AD24*[2]ステータス!$B$2,0)</f>
        <v>740</v>
      </c>
      <c r="AH24" s="28">
        <f ca="1">ROUND(VLOOKUP(1,enemy_base_stats!$A:$F,3,FALSE) * Z24*K24*P24*F24*T24*AE24 * W24*[2]ステータス!$C$2,0)</f>
        <v>165</v>
      </c>
      <c r="AI24" s="28">
        <f ca="1">ROUND(VLOOKUP(1,enemy_base_stats!$A:$F,4,FALSE) * AA24*L24*Q24*G24*U24*AF24*[2]ステータス!$D$2,0)</f>
        <v>0</v>
      </c>
      <c r="AJ24" s="28">
        <f ca="1">ROUND(VLOOKUP(100,enemy_base_stats!$A:$F,2,FALSE) * Y24* J24*O24*E24*S24*AD24*[2]ステータス!$B$2,0)</f>
        <v>30024</v>
      </c>
      <c r="AK24" s="28">
        <f ca="1">ROUND(VLOOKUP(100,enemy_base_stats!$A:$F,3,FALSE)* Z24* K24*P24*F24*T24*AE24 * W24*[2]ステータス!$C$2,0)</f>
        <v>6696</v>
      </c>
      <c r="AL24" s="28">
        <f ca="1">ROUND(VLOOKUP(100,enemy_base_stats!$A:$F,4,FALSE)* AA24* L24*Q24*G24*U24*AF24*[2]ステータス!$D$2,0)</f>
        <v>0</v>
      </c>
      <c r="AM24" s="24">
        <f ca="1">VLOOKUP(M24,[2]character_tribe_i18n!$A:$I,9,FALSE)</f>
        <v>480</v>
      </c>
      <c r="AN24" s="36">
        <v>0</v>
      </c>
      <c r="AO24" s="53">
        <v>0</v>
      </c>
      <c r="AP24" s="58" t="s">
        <v>72</v>
      </c>
      <c r="AQ24" s="71">
        <f t="shared" ca="1" si="0"/>
        <v>23</v>
      </c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</row>
    <row r="25" spans="1:60" s="3" customFormat="1" ht="21" customHeight="1" x14ac:dyDescent="0.15">
      <c r="A25" s="32">
        <f t="shared" ca="1" si="1"/>
        <v>24</v>
      </c>
      <c r="B25" s="6" t="str">
        <f ca="1">VLOOKUP(A25,[2]characters!$A:$C,3,FALSE)</f>
        <v>天翔のミール</v>
      </c>
      <c r="C25" s="9">
        <f ca="1">VLOOKUP(A25,[2]characters!$A:$I,9,FALSE)</f>
        <v>2</v>
      </c>
      <c r="D25" s="9" t="str">
        <f ca="1">VLOOKUP(A25,[2]characters!$A:$H,8,FALSE)</f>
        <v>green</v>
      </c>
      <c r="E25" s="24">
        <f ca="1">VLOOKUP(D25,[2]属性!$A:$E,2,FALSE)</f>
        <v>1.02</v>
      </c>
      <c r="F25" s="24">
        <f ca="1">VLOOKUP(D25,[2]属性!$A:$E,3,FALSE)</f>
        <v>0.98</v>
      </c>
      <c r="G25" s="24">
        <f ca="1">VLOOKUP(D25,[2]属性!$A:$F,4,FALSE)</f>
        <v>1</v>
      </c>
      <c r="H25" s="9" t="str">
        <f ca="1">VLOOKUP(A25,[2]characters!$A:$K,11,FALSE)</f>
        <v>hp</v>
      </c>
      <c r="I25" s="14" t="str">
        <f ca="1">VLOOKUP(H25,[2]character_type_i18n!$A:$F,3,FALSE)</f>
        <v>体力タイプ</v>
      </c>
      <c r="J25" s="36">
        <f ca="1">VLOOKUP(H25,[2]character_type_i18n!$A:$F,4,FALSE)</f>
        <v>1.45</v>
      </c>
      <c r="K25" s="36">
        <f ca="1">VLOOKUP(H25,[2]character_type_i18n!$A:$F,5,FALSE)</f>
        <v>0.85</v>
      </c>
      <c r="L25" s="36">
        <f ca="1">VLOOKUP(H25,[2]character_type_i18n!$A:$F,6,FALSE)</f>
        <v>1</v>
      </c>
      <c r="M25" s="9" t="str">
        <f ca="1">VLOOKUP(A25,[2]characters!$A:$M,13,FALSE)</f>
        <v>animal</v>
      </c>
      <c r="N25" s="14" t="str">
        <f ca="1">VLOOKUP(M25,[2]character_tribe_i18n!$A:$F,3,FALSE)</f>
        <v>アニマル</v>
      </c>
      <c r="O25" s="24">
        <f ca="1">VLOOKUP(M25,[2]character_tribe_i18n!$A:$F,4,FALSE)</f>
        <v>1</v>
      </c>
      <c r="P25" s="24">
        <f ca="1">VLOOKUP(M25,[2]character_tribe_i18n!$A:$F,5,FALSE)</f>
        <v>1.1000000000000001</v>
      </c>
      <c r="Q25" s="24">
        <f ca="1">VLOOKUP(M25,[2]character_tribe_i18n!$A:$F,6,FALSE)</f>
        <v>1</v>
      </c>
      <c r="R25" s="25" t="s">
        <v>19</v>
      </c>
      <c r="S25" s="24">
        <f>VLOOKUP($R25,ラベル別係数!$A$1:$E$7,3,FALSE)</f>
        <v>1</v>
      </c>
      <c r="T25" s="24">
        <f>VLOOKUP($R25,ラベル別係数!$A$1:$E$7,4,FALSE)</f>
        <v>1</v>
      </c>
      <c r="U25" s="24">
        <f>VLOOKUP($R25,ラベル別係数!$A$1:$E$7,5,FALSE)</f>
        <v>1</v>
      </c>
      <c r="V25" s="27">
        <v>4</v>
      </c>
      <c r="W25" s="28">
        <f>VLOOKUP(V25,ターン数別攻撃係数!$A$1:$B$1000,2,FALSE)</f>
        <v>1.2</v>
      </c>
      <c r="X25" s="5">
        <v>15</v>
      </c>
      <c r="Y25" s="26">
        <f>VLOOKUP($X25,サイズ別係数!$B:$E,2,FALSE)</f>
        <v>1</v>
      </c>
      <c r="Z25" s="26">
        <f>VLOOKUP($X25,サイズ別係数!$B:$E,3,FALSE)</f>
        <v>1</v>
      </c>
      <c r="AA25" s="26">
        <f>VLOOKUP($X25,サイズ別係数!$B:$E,4,FALSE)</f>
        <v>1</v>
      </c>
      <c r="AB25" s="35">
        <v>0</v>
      </c>
      <c r="AC25" s="34" t="str">
        <f ca="1">VLOOKUP($AB25,OFFSET([3]enemy_skill_sets!$B$2,0,0,COUNTA([3]enemy_skill_sets!$A:$A),MATCH(AC$1,[3]enemy_skill_sets!$1:$1,0)-MATCH($AB$1,[3]enemy_skill_sets!$1:$1,0)+1),MATCH(AC$1,[3]enemy_skill_sets!$1:$1,0)-MATCH($AB$1,[3]enemy_skill_sets!$1:$1,0)+1,FALSE)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" s="37">
        <v>1</v>
      </c>
      <c r="AE25" s="37">
        <v>1</v>
      </c>
      <c r="AF25" s="37">
        <v>0</v>
      </c>
      <c r="AG25" s="28">
        <f ca="1">ROUND(VLOOKUP(1,enemy_base_stats!$A:$F,2,FALSE) * Y25* J25*O25*E25*S25*AD25*[2]ステータス!$B$2,0)</f>
        <v>740</v>
      </c>
      <c r="AH25" s="28">
        <f ca="1">ROUND(VLOOKUP(1,enemy_base_stats!$A:$F,3,FALSE) * Z25*K25*P25*F25*T25*AE25 * W25*[2]ステータス!$C$2,0)</f>
        <v>165</v>
      </c>
      <c r="AI25" s="28">
        <f ca="1">ROUND(VLOOKUP(1,enemy_base_stats!$A:$F,4,FALSE) * AA25*L25*Q25*G25*U25*AF25*[2]ステータス!$D$2,0)</f>
        <v>0</v>
      </c>
      <c r="AJ25" s="28">
        <f ca="1">ROUND(VLOOKUP(100,enemy_base_stats!$A:$F,2,FALSE) * Y25* J25*O25*E25*S25*AD25*[2]ステータス!$B$2,0)</f>
        <v>30024</v>
      </c>
      <c r="AK25" s="28">
        <f ca="1">ROUND(VLOOKUP(100,enemy_base_stats!$A:$F,3,FALSE)* Z25* K25*P25*F25*T25*AE25 * W25*[2]ステータス!$C$2,0)</f>
        <v>6696</v>
      </c>
      <c r="AL25" s="28">
        <f ca="1">ROUND(VLOOKUP(100,enemy_base_stats!$A:$F,4,FALSE)* AA25* L25*Q25*G25*U25*AF25*[2]ステータス!$D$2,0)</f>
        <v>0</v>
      </c>
      <c r="AM25" s="24">
        <f ca="1">VLOOKUP(M25,[2]character_tribe_i18n!$A:$I,9,FALSE)</f>
        <v>480</v>
      </c>
      <c r="AN25" s="36">
        <v>0</v>
      </c>
      <c r="AO25" s="53">
        <v>0</v>
      </c>
      <c r="AP25" s="58" t="s">
        <v>72</v>
      </c>
      <c r="AQ25" s="71">
        <f t="shared" ca="1" si="0"/>
        <v>24</v>
      </c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</row>
    <row r="26" spans="1:60" s="3" customFormat="1" ht="21" customHeight="1" x14ac:dyDescent="0.15">
      <c r="A26" s="32">
        <f t="shared" ca="1" si="1"/>
        <v>25</v>
      </c>
      <c r="B26" s="6" t="str">
        <f ca="1">VLOOKUP(A26,[2]characters!$A:$C,3,FALSE)</f>
        <v>ハチ</v>
      </c>
      <c r="C26" s="9">
        <f ca="1">VLOOKUP(A26,[2]characters!$A:$I,9,FALSE)</f>
        <v>1</v>
      </c>
      <c r="D26" s="9" t="str">
        <f ca="1">VLOOKUP(A26,[2]characters!$A:$H,8,FALSE)</f>
        <v>blue</v>
      </c>
      <c r="E26" s="24">
        <f ca="1">VLOOKUP(D26,[2]属性!$A:$E,2,FALSE)</f>
        <v>1</v>
      </c>
      <c r="F26" s="24">
        <f ca="1">VLOOKUP(D26,[2]属性!$A:$E,3,FALSE)</f>
        <v>0.98</v>
      </c>
      <c r="G26" s="24">
        <f ca="1">VLOOKUP(D26,[2]属性!$A:$F,4,FALSE)</f>
        <v>1</v>
      </c>
      <c r="H26" s="9" t="str">
        <f ca="1">VLOOKUP(A26,[2]characters!$A:$K,11,FALSE)</f>
        <v>hp</v>
      </c>
      <c r="I26" s="14" t="str">
        <f ca="1">VLOOKUP(H26,[2]character_type_i18n!$A:$F,3,FALSE)</f>
        <v>体力タイプ</v>
      </c>
      <c r="J26" s="36">
        <f ca="1">VLOOKUP(H26,[2]character_type_i18n!$A:$F,4,FALSE)</f>
        <v>1.45</v>
      </c>
      <c r="K26" s="36">
        <f ca="1">VLOOKUP(H26,[2]character_type_i18n!$A:$F,5,FALSE)</f>
        <v>0.85</v>
      </c>
      <c r="L26" s="36">
        <f ca="1">VLOOKUP(H26,[2]character_type_i18n!$A:$F,6,FALSE)</f>
        <v>1</v>
      </c>
      <c r="M26" s="9" t="str">
        <f ca="1">VLOOKUP(A26,[2]characters!$A:$M,13,FALSE)</f>
        <v>animal</v>
      </c>
      <c r="N26" s="14" t="str">
        <f ca="1">VLOOKUP(M26,[2]character_tribe_i18n!$A:$F,3,FALSE)</f>
        <v>アニマル</v>
      </c>
      <c r="O26" s="24">
        <f ca="1">VLOOKUP(M26,[2]character_tribe_i18n!$A:$F,4,FALSE)</f>
        <v>1</v>
      </c>
      <c r="P26" s="24">
        <f ca="1">VLOOKUP(M26,[2]character_tribe_i18n!$A:$F,5,FALSE)</f>
        <v>1.1000000000000001</v>
      </c>
      <c r="Q26" s="24">
        <f ca="1">VLOOKUP(M26,[2]character_tribe_i18n!$A:$F,6,FALSE)</f>
        <v>1</v>
      </c>
      <c r="R26" s="23" t="s">
        <v>19</v>
      </c>
      <c r="S26" s="24">
        <f>VLOOKUP($R26,ラベル別係数!$A$1:$E$7,3,FALSE)</f>
        <v>1</v>
      </c>
      <c r="T26" s="24">
        <f>VLOOKUP($R26,ラベル別係数!$A$1:$E$7,4,FALSE)</f>
        <v>1</v>
      </c>
      <c r="U26" s="24">
        <f>VLOOKUP($R26,ラベル別係数!$A$1:$E$7,5,FALSE)</f>
        <v>1</v>
      </c>
      <c r="V26" s="27">
        <v>3</v>
      </c>
      <c r="W26" s="28">
        <f>VLOOKUP(V26,ターン数別攻撃係数!$A$1:$B$1000,2,FALSE)</f>
        <v>1</v>
      </c>
      <c r="X26" s="10">
        <v>15</v>
      </c>
      <c r="Y26" s="26">
        <f>VLOOKUP($X26,サイズ別係数!$B:$E,2,FALSE)</f>
        <v>1</v>
      </c>
      <c r="Z26" s="26">
        <f>VLOOKUP($X26,サイズ別係数!$B:$E,3,FALSE)</f>
        <v>1</v>
      </c>
      <c r="AA26" s="26">
        <f>VLOOKUP($X26,サイズ別係数!$B:$E,4,FALSE)</f>
        <v>1</v>
      </c>
      <c r="AB26" s="35">
        <v>0</v>
      </c>
      <c r="AC26" s="34" t="str">
        <f ca="1">VLOOKUP($AB26,OFFSET([3]enemy_skill_sets!$B$2,0,0,COUNTA([3]enemy_skill_sets!$A:$A),MATCH(AC$1,[3]enemy_skill_sets!$1:$1,0)-MATCH($AB$1,[3]enemy_skill_sets!$1:$1,0)+1),MATCH(AC$1,[3]enemy_skill_sets!$1:$1,0)-MATCH($AB$1,[3]enemy_skill_sets!$1:$1,0)+1,FALSE)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" s="37">
        <v>1</v>
      </c>
      <c r="AE26" s="37">
        <v>1</v>
      </c>
      <c r="AF26" s="37">
        <v>0</v>
      </c>
      <c r="AG26" s="28">
        <f ca="1">ROUND(VLOOKUP(1,enemy_base_stats!$A:$F,2,FALSE) * Y26* J26*O26*E26*S26*AD26*[2]ステータス!$B$2,0)</f>
        <v>725</v>
      </c>
      <c r="AH26" s="28">
        <f ca="1">ROUND(VLOOKUP(1,enemy_base_stats!$A:$F,3,FALSE) * Z26*K26*P26*F26*T26*AE26 * W26*[2]ステータス!$C$2,0)</f>
        <v>137</v>
      </c>
      <c r="AI26" s="28">
        <f ca="1">ROUND(VLOOKUP(1,enemy_base_stats!$A:$F,4,FALSE) * AA26*L26*Q26*G26*U26*AF26*[2]ステータス!$D$2,0)</f>
        <v>0</v>
      </c>
      <c r="AJ26" s="28">
        <f ca="1">ROUND(VLOOKUP(100,enemy_base_stats!$A:$F,2,FALSE) * Y26* J26*O26*E26*S26*AD26*[2]ステータス!$B$2,0)</f>
        <v>29435</v>
      </c>
      <c r="AK26" s="28">
        <f ca="1">ROUND(VLOOKUP(100,enemy_base_stats!$A:$F,3,FALSE)* Z26* K26*P26*F26*T26*AE26 * W26*[2]ステータス!$C$2,0)</f>
        <v>5580</v>
      </c>
      <c r="AL26" s="28">
        <f ca="1">ROUND(VLOOKUP(100,enemy_base_stats!$A:$F,4,FALSE)* AA26* L26*Q26*G26*U26*AF26*[2]ステータス!$D$2,0)</f>
        <v>0</v>
      </c>
      <c r="AM26" s="24">
        <f ca="1">VLOOKUP(M26,[2]character_tribe_i18n!$A:$I,9,FALSE)</f>
        <v>480</v>
      </c>
      <c r="AN26" s="36">
        <v>0</v>
      </c>
      <c r="AO26" s="53">
        <v>0</v>
      </c>
      <c r="AP26" s="58" t="s">
        <v>72</v>
      </c>
      <c r="AQ26" s="71">
        <f t="shared" ca="1" si="0"/>
        <v>25</v>
      </c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</row>
    <row r="27" spans="1:60" s="3" customFormat="1" ht="21" customHeight="1" x14ac:dyDescent="0.15">
      <c r="A27" s="32">
        <f t="shared" ca="1" si="1"/>
        <v>26</v>
      </c>
      <c r="B27" s="6" t="str">
        <f ca="1">VLOOKUP(A27,[2]characters!$A:$C,3,FALSE)</f>
        <v>勇犬 ハチ</v>
      </c>
      <c r="C27" s="9">
        <f ca="1">VLOOKUP(A27,[2]characters!$A:$I,9,FALSE)</f>
        <v>2</v>
      </c>
      <c r="D27" s="9" t="str">
        <f ca="1">VLOOKUP(A27,[2]characters!$A:$H,8,FALSE)</f>
        <v>blue</v>
      </c>
      <c r="E27" s="24">
        <f ca="1">VLOOKUP(D27,[2]属性!$A:$E,2,FALSE)</f>
        <v>1</v>
      </c>
      <c r="F27" s="24">
        <f ca="1">VLOOKUP(D27,[2]属性!$A:$E,3,FALSE)</f>
        <v>0.98</v>
      </c>
      <c r="G27" s="24">
        <f ca="1">VLOOKUP(D27,[2]属性!$A:$F,4,FALSE)</f>
        <v>1</v>
      </c>
      <c r="H27" s="9" t="str">
        <f ca="1">VLOOKUP(A27,[2]characters!$A:$K,11,FALSE)</f>
        <v>hp</v>
      </c>
      <c r="I27" s="14" t="str">
        <f ca="1">VLOOKUP(H27,[2]character_type_i18n!$A:$F,3,FALSE)</f>
        <v>体力タイプ</v>
      </c>
      <c r="J27" s="36">
        <f ca="1">VLOOKUP(H27,[2]character_type_i18n!$A:$F,4,FALSE)</f>
        <v>1.45</v>
      </c>
      <c r="K27" s="36">
        <f ca="1">VLOOKUP(H27,[2]character_type_i18n!$A:$F,5,FALSE)</f>
        <v>0.85</v>
      </c>
      <c r="L27" s="36">
        <f ca="1">VLOOKUP(H27,[2]character_type_i18n!$A:$F,6,FALSE)</f>
        <v>1</v>
      </c>
      <c r="M27" s="9" t="str">
        <f ca="1">VLOOKUP(A27,[2]characters!$A:$M,13,FALSE)</f>
        <v>animal</v>
      </c>
      <c r="N27" s="14" t="str">
        <f ca="1">VLOOKUP(M27,[2]character_tribe_i18n!$A:$F,3,FALSE)</f>
        <v>アニマル</v>
      </c>
      <c r="O27" s="24">
        <f ca="1">VLOOKUP(M27,[2]character_tribe_i18n!$A:$F,4,FALSE)</f>
        <v>1</v>
      </c>
      <c r="P27" s="24">
        <f ca="1">VLOOKUP(M27,[2]character_tribe_i18n!$A:$F,5,FALSE)</f>
        <v>1.1000000000000001</v>
      </c>
      <c r="Q27" s="24">
        <f ca="1">VLOOKUP(M27,[2]character_tribe_i18n!$A:$F,6,FALSE)</f>
        <v>1</v>
      </c>
      <c r="R27" s="25" t="s">
        <v>19</v>
      </c>
      <c r="S27" s="24">
        <f>VLOOKUP($R27,ラベル別係数!$A$1:$E$7,3,FALSE)</f>
        <v>1</v>
      </c>
      <c r="T27" s="24">
        <f>VLOOKUP($R27,ラベル別係数!$A$1:$E$7,4,FALSE)</f>
        <v>1</v>
      </c>
      <c r="U27" s="24">
        <f>VLOOKUP($R27,ラベル別係数!$A$1:$E$7,5,FALSE)</f>
        <v>1</v>
      </c>
      <c r="V27" s="27">
        <v>3</v>
      </c>
      <c r="W27" s="28">
        <f>VLOOKUP(V27,ターン数別攻撃係数!$A$1:$B$1000,2,FALSE)</f>
        <v>1</v>
      </c>
      <c r="X27" s="5">
        <v>15</v>
      </c>
      <c r="Y27" s="26">
        <f>VLOOKUP($X27,サイズ別係数!$B:$E,2,FALSE)</f>
        <v>1</v>
      </c>
      <c r="Z27" s="26">
        <f>VLOOKUP($X27,サイズ別係数!$B:$E,3,FALSE)</f>
        <v>1</v>
      </c>
      <c r="AA27" s="26">
        <f>VLOOKUP($X27,サイズ別係数!$B:$E,4,FALSE)</f>
        <v>1</v>
      </c>
      <c r="AB27" s="35">
        <v>0</v>
      </c>
      <c r="AC27" s="34" t="str">
        <f ca="1">VLOOKUP($AB27,OFFSET([3]enemy_skill_sets!$B$2,0,0,COUNTA([3]enemy_skill_sets!$A:$A),MATCH(AC$1,[3]enemy_skill_sets!$1:$1,0)-MATCH($AB$1,[3]enemy_skill_sets!$1:$1,0)+1),MATCH(AC$1,[3]enemy_skill_sets!$1:$1,0)-MATCH($AB$1,[3]enemy_skill_sets!$1:$1,0)+1,FALSE)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7" s="37">
        <v>1</v>
      </c>
      <c r="AE27" s="37">
        <v>1</v>
      </c>
      <c r="AF27" s="37">
        <v>0</v>
      </c>
      <c r="AG27" s="28">
        <f ca="1">ROUND(VLOOKUP(1,enemy_base_stats!$A:$F,2,FALSE) * Y27* J27*O27*E27*S27*AD27*[2]ステータス!$B$2,0)</f>
        <v>725</v>
      </c>
      <c r="AH27" s="28">
        <f ca="1">ROUND(VLOOKUP(1,enemy_base_stats!$A:$F,3,FALSE) * Z27*K27*P27*F27*T27*AE27 * W27*[2]ステータス!$C$2,0)</f>
        <v>137</v>
      </c>
      <c r="AI27" s="28">
        <f ca="1">ROUND(VLOOKUP(1,enemy_base_stats!$A:$F,4,FALSE) * AA27*L27*Q27*G27*U27*AF27*[2]ステータス!$D$2,0)</f>
        <v>0</v>
      </c>
      <c r="AJ27" s="28">
        <f ca="1">ROUND(VLOOKUP(100,enemy_base_stats!$A:$F,2,FALSE) * Y27* J27*O27*E27*S27*AD27*[2]ステータス!$B$2,0)</f>
        <v>29435</v>
      </c>
      <c r="AK27" s="28">
        <f ca="1">ROUND(VLOOKUP(100,enemy_base_stats!$A:$F,3,FALSE)* Z27* K27*P27*F27*T27*AE27 * W27*[2]ステータス!$C$2,0)</f>
        <v>5580</v>
      </c>
      <c r="AL27" s="28">
        <f ca="1">ROUND(VLOOKUP(100,enemy_base_stats!$A:$F,4,FALSE)* AA27* L27*Q27*G27*U27*AF27*[2]ステータス!$D$2,0)</f>
        <v>0</v>
      </c>
      <c r="AM27" s="24">
        <f ca="1">VLOOKUP(M27,[2]character_tribe_i18n!$A:$I,9,FALSE)</f>
        <v>480</v>
      </c>
      <c r="AN27" s="36">
        <v>0</v>
      </c>
      <c r="AO27" s="53">
        <v>0</v>
      </c>
      <c r="AP27" s="58" t="s">
        <v>72</v>
      </c>
      <c r="AQ27" s="71">
        <f t="shared" ca="1" si="0"/>
        <v>26</v>
      </c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</row>
    <row r="28" spans="1:60" s="3" customFormat="1" ht="21" customHeight="1" x14ac:dyDescent="0.15">
      <c r="A28" s="31">
        <f t="shared" ca="1" si="1"/>
        <v>27</v>
      </c>
      <c r="B28" s="6" t="str">
        <f ca="1">VLOOKUP(A28,[2]characters!$A:$C,3,FALSE)</f>
        <v>パトライン</v>
      </c>
      <c r="C28" s="9">
        <f ca="1">VLOOKUP(A28,[2]characters!$A:$I,9,FALSE)</f>
        <v>1</v>
      </c>
      <c r="D28" s="9" t="str">
        <f ca="1">VLOOKUP(A28,[2]characters!$A:$H,8,FALSE)</f>
        <v>green</v>
      </c>
      <c r="E28" s="24">
        <f ca="1">VLOOKUP(D28,[2]属性!$A:$E,2,FALSE)</f>
        <v>1.02</v>
      </c>
      <c r="F28" s="24">
        <f ca="1">VLOOKUP(D28,[2]属性!$A:$E,3,FALSE)</f>
        <v>0.98</v>
      </c>
      <c r="G28" s="24">
        <f ca="1">VLOOKUP(D28,[2]属性!$A:$F,4,FALSE)</f>
        <v>1</v>
      </c>
      <c r="H28" s="9" t="str">
        <f ca="1">VLOOKUP(A28,[2]characters!$A:$K,11,FALSE)</f>
        <v>heal</v>
      </c>
      <c r="I28" s="14" t="str">
        <f ca="1">VLOOKUP(H28,[2]character_type_i18n!$A:$F,3,FALSE)</f>
        <v>回復タイプ</v>
      </c>
      <c r="J28" s="36">
        <f ca="1">VLOOKUP(H28,[2]character_type_i18n!$A:$F,4,FALSE)</f>
        <v>0.8</v>
      </c>
      <c r="K28" s="36">
        <f ca="1">VLOOKUP(H28,[2]character_type_i18n!$A:$F,5,FALSE)</f>
        <v>0.78</v>
      </c>
      <c r="L28" s="36">
        <f ca="1">VLOOKUP(H28,[2]character_type_i18n!$A:$F,6,FALSE)</f>
        <v>1</v>
      </c>
      <c r="M28" s="9" t="str">
        <f ca="1">VLOOKUP(A28,[2]characters!$A:$M,13,FALSE)</f>
        <v>machine</v>
      </c>
      <c r="N28" s="14" t="str">
        <f ca="1">VLOOKUP(M28,[2]character_tribe_i18n!$A:$F,3,FALSE)</f>
        <v>マシン</v>
      </c>
      <c r="O28" s="24">
        <f ca="1">VLOOKUP(M28,[2]character_tribe_i18n!$A:$F,4,FALSE)</f>
        <v>1</v>
      </c>
      <c r="P28" s="24">
        <f ca="1">VLOOKUP(M28,[2]character_tribe_i18n!$A:$F,5,FALSE)</f>
        <v>1</v>
      </c>
      <c r="Q28" s="24">
        <f ca="1">VLOOKUP(M28,[2]character_tribe_i18n!$A:$F,6,FALSE)</f>
        <v>1</v>
      </c>
      <c r="R28" s="25" t="s">
        <v>19</v>
      </c>
      <c r="S28" s="24">
        <f>VLOOKUP($R28,ラベル別係数!$A$1:$E$7,3,FALSE)</f>
        <v>1</v>
      </c>
      <c r="T28" s="24">
        <f>VLOOKUP($R28,ラベル別係数!$A$1:$E$7,4,FALSE)</f>
        <v>1</v>
      </c>
      <c r="U28" s="24">
        <f>VLOOKUP($R28,ラベル別係数!$A$1:$E$7,5,FALSE)</f>
        <v>1</v>
      </c>
      <c r="V28" s="27">
        <v>1</v>
      </c>
      <c r="W28" s="28">
        <f>VLOOKUP(V28,ターン数別攻撃係数!$A$1:$B$1000,2,FALSE)</f>
        <v>0.55000000000000004</v>
      </c>
      <c r="X28" s="10">
        <v>15</v>
      </c>
      <c r="Y28" s="26">
        <f>VLOOKUP($X28,サイズ別係数!$B:$E,2,FALSE)</f>
        <v>1</v>
      </c>
      <c r="Z28" s="26">
        <f>VLOOKUP($X28,サイズ別係数!$B:$E,3,FALSE)</f>
        <v>1</v>
      </c>
      <c r="AA28" s="26">
        <f>VLOOKUP($X28,サイズ別係数!$B:$E,4,FALSE)</f>
        <v>1</v>
      </c>
      <c r="AB28" s="35">
        <v>0</v>
      </c>
      <c r="AC28" s="34" t="str">
        <f ca="1">VLOOKUP($AB28,OFFSET([3]enemy_skill_sets!$B$2,0,0,COUNTA([3]enemy_skill_sets!$A:$A),MATCH(AC$1,[3]enemy_skill_sets!$1:$1,0)-MATCH($AB$1,[3]enemy_skill_sets!$1:$1,0)+1),MATCH(AC$1,[3]enemy_skill_sets!$1:$1,0)-MATCH($AB$1,[3]enemy_skill_sets!$1:$1,0)+1,FALSE)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8" s="37">
        <v>1</v>
      </c>
      <c r="AE28" s="37">
        <v>1</v>
      </c>
      <c r="AF28" s="37">
        <v>0</v>
      </c>
      <c r="AG28" s="28">
        <f ca="1">ROUND(VLOOKUP(1,enemy_base_stats!$A:$F,2,FALSE) * Y28* J28*O28*E28*S28*AD28*[2]ステータス!$B$2,0)</f>
        <v>408</v>
      </c>
      <c r="AH28" s="28">
        <f ca="1">ROUND(VLOOKUP(1,enemy_base_stats!$A:$F,3,FALSE) * Z28*K28*P28*F28*T28*AE28 * W28*[2]ステータス!$C$2,0)</f>
        <v>63</v>
      </c>
      <c r="AI28" s="28">
        <f ca="1">ROUND(VLOOKUP(1,enemy_base_stats!$A:$F,4,FALSE) * AA28*L28*Q28*G28*U28*AF28*[2]ステータス!$D$2,0)</f>
        <v>0</v>
      </c>
      <c r="AJ28" s="28">
        <f ca="1">ROUND(VLOOKUP(100,enemy_base_stats!$A:$F,2,FALSE) * Y28* J28*O28*E28*S28*AD28*[2]ステータス!$B$2,0)</f>
        <v>16565</v>
      </c>
      <c r="AK28" s="28">
        <f ca="1">ROUND(VLOOKUP(100,enemy_base_stats!$A:$F,3,FALSE)* Z28* K28*P28*F28*T28*AE28 * W28*[2]ステータス!$C$2,0)</f>
        <v>2560</v>
      </c>
      <c r="AL28" s="28">
        <f ca="1">ROUND(VLOOKUP(100,enemy_base_stats!$A:$F,4,FALSE)* AA28* L28*Q28*G28*U28*AF28*[2]ステータス!$D$2,0)</f>
        <v>0</v>
      </c>
      <c r="AM28" s="24">
        <f ca="1">VLOOKUP(M28,[2]character_tribe_i18n!$A:$I,9,FALSE)</f>
        <v>520</v>
      </c>
      <c r="AN28" s="36">
        <v>0</v>
      </c>
      <c r="AO28" s="53">
        <v>0</v>
      </c>
      <c r="AP28" s="58" t="s">
        <v>72</v>
      </c>
      <c r="AQ28" s="71">
        <f t="shared" ca="1" si="0"/>
        <v>27</v>
      </c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</row>
    <row r="29" spans="1:60" s="3" customFormat="1" ht="21" customHeight="1" x14ac:dyDescent="0.15">
      <c r="A29" s="31">
        <f t="shared" ca="1" si="1"/>
        <v>28</v>
      </c>
      <c r="B29" s="6" t="str">
        <f ca="1">VLOOKUP(A29,[2]characters!$A:$C,3,FALSE)</f>
        <v>現場急行 パトラインカスタム</v>
      </c>
      <c r="C29" s="9">
        <f ca="1">VLOOKUP(A29,[2]characters!$A:$I,9,FALSE)</f>
        <v>2</v>
      </c>
      <c r="D29" s="9" t="str">
        <f ca="1">VLOOKUP(A29,[2]characters!$A:$H,8,FALSE)</f>
        <v>green</v>
      </c>
      <c r="E29" s="24">
        <f ca="1">VLOOKUP(D29,[2]属性!$A:$E,2,FALSE)</f>
        <v>1.02</v>
      </c>
      <c r="F29" s="24">
        <f ca="1">VLOOKUP(D29,[2]属性!$A:$E,3,FALSE)</f>
        <v>0.98</v>
      </c>
      <c r="G29" s="24">
        <f ca="1">VLOOKUP(D29,[2]属性!$A:$F,4,FALSE)</f>
        <v>1</v>
      </c>
      <c r="H29" s="9" t="str">
        <f ca="1">VLOOKUP(A29,[2]characters!$A:$K,11,FALSE)</f>
        <v>heal</v>
      </c>
      <c r="I29" s="14" t="str">
        <f ca="1">VLOOKUP(H29,[2]character_type_i18n!$A:$F,3,FALSE)</f>
        <v>回復タイプ</v>
      </c>
      <c r="J29" s="36">
        <f ca="1">VLOOKUP(H29,[2]character_type_i18n!$A:$F,4,FALSE)</f>
        <v>0.8</v>
      </c>
      <c r="K29" s="36">
        <f ca="1">VLOOKUP(H29,[2]character_type_i18n!$A:$F,5,FALSE)</f>
        <v>0.78</v>
      </c>
      <c r="L29" s="36">
        <f ca="1">VLOOKUP(H29,[2]character_type_i18n!$A:$F,6,FALSE)</f>
        <v>1</v>
      </c>
      <c r="M29" s="9" t="str">
        <f ca="1">VLOOKUP(A29,[2]characters!$A:$M,13,FALSE)</f>
        <v>machine</v>
      </c>
      <c r="N29" s="14" t="str">
        <f ca="1">VLOOKUP(M29,[2]character_tribe_i18n!$A:$F,3,FALSE)</f>
        <v>マシン</v>
      </c>
      <c r="O29" s="24">
        <f ca="1">VLOOKUP(M29,[2]character_tribe_i18n!$A:$F,4,FALSE)</f>
        <v>1</v>
      </c>
      <c r="P29" s="24">
        <f ca="1">VLOOKUP(M29,[2]character_tribe_i18n!$A:$F,5,FALSE)</f>
        <v>1</v>
      </c>
      <c r="Q29" s="24">
        <f ca="1">VLOOKUP(M29,[2]character_tribe_i18n!$A:$F,6,FALSE)</f>
        <v>1</v>
      </c>
      <c r="R29" s="25" t="s">
        <v>19</v>
      </c>
      <c r="S29" s="24">
        <f>VLOOKUP($R29,ラベル別係数!$A$1:$E$7,3,FALSE)</f>
        <v>1</v>
      </c>
      <c r="T29" s="24">
        <f>VLOOKUP($R29,ラベル別係数!$A$1:$E$7,4,FALSE)</f>
        <v>1</v>
      </c>
      <c r="U29" s="24">
        <f>VLOOKUP($R29,ラベル別係数!$A$1:$E$7,5,FALSE)</f>
        <v>1</v>
      </c>
      <c r="V29" s="27">
        <v>1</v>
      </c>
      <c r="W29" s="28">
        <f>VLOOKUP(V29,ターン数別攻撃係数!$A$1:$B$1000,2,FALSE)</f>
        <v>0.55000000000000004</v>
      </c>
      <c r="X29" s="5">
        <v>15</v>
      </c>
      <c r="Y29" s="26">
        <f>VLOOKUP($X29,サイズ別係数!$B:$E,2,FALSE)</f>
        <v>1</v>
      </c>
      <c r="Z29" s="26">
        <f>VLOOKUP($X29,サイズ別係数!$B:$E,3,FALSE)</f>
        <v>1</v>
      </c>
      <c r="AA29" s="26">
        <f>VLOOKUP($X29,サイズ別係数!$B:$E,4,FALSE)</f>
        <v>1</v>
      </c>
      <c r="AB29" s="35">
        <v>28</v>
      </c>
      <c r="AC29" s="34" t="str">
        <f ca="1">VLOOKUP($AB29,OFFSET([3]enemy_skill_sets!$B$2,0,0,COUNTA([3]enemy_skill_sets!$A:$A),MATCH(AC$1,[3]enemy_skill_sets!$1:$1,0)-MATCH($AB$1,[3]enemy_skill_sets!$1:$1,0)+1),MATCH(AC$1,[3]enemy_skill_sets!$1:$1,0)-MATCH($AB$1,[3]enemy_skill_sets!$1:$1,0)+1,FALSE)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29" s="37">
        <v>1</v>
      </c>
      <c r="AE29" s="37">
        <v>1</v>
      </c>
      <c r="AF29" s="37">
        <v>0</v>
      </c>
      <c r="AG29" s="28">
        <f ca="1">ROUND(VLOOKUP(1,enemy_base_stats!$A:$F,2,FALSE) * Y29* J29*O29*E29*S29*AD29*[2]ステータス!$B$2,0)</f>
        <v>408</v>
      </c>
      <c r="AH29" s="28">
        <f ca="1">ROUND(VLOOKUP(1,enemy_base_stats!$A:$F,3,FALSE) * Z29*K29*P29*F29*T29*AE29 * W29*[2]ステータス!$C$2,0)</f>
        <v>63</v>
      </c>
      <c r="AI29" s="28">
        <f ca="1">ROUND(VLOOKUP(1,enemy_base_stats!$A:$F,4,FALSE) * AA29*L29*Q29*G29*U29*AF29*[2]ステータス!$D$2,0)</f>
        <v>0</v>
      </c>
      <c r="AJ29" s="28">
        <f ca="1">ROUND(VLOOKUP(100,enemy_base_stats!$A:$F,2,FALSE) * Y29* J29*O29*E29*S29*AD29*[2]ステータス!$B$2,0)</f>
        <v>16565</v>
      </c>
      <c r="AK29" s="28">
        <f ca="1">ROUND(VLOOKUP(100,enemy_base_stats!$A:$F,3,FALSE)* Z29* K29*P29*F29*T29*AE29 * W29*[2]ステータス!$C$2,0)</f>
        <v>2560</v>
      </c>
      <c r="AL29" s="28">
        <f ca="1">ROUND(VLOOKUP(100,enemy_base_stats!$A:$F,4,FALSE)* AA29* L29*Q29*G29*U29*AF29*[2]ステータス!$D$2,0)</f>
        <v>0</v>
      </c>
      <c r="AM29" s="24">
        <f ca="1">VLOOKUP(M29,[2]character_tribe_i18n!$A:$I,9,FALSE)</f>
        <v>520</v>
      </c>
      <c r="AN29" s="36">
        <v>0</v>
      </c>
      <c r="AO29" s="53">
        <v>0</v>
      </c>
      <c r="AP29" s="58" t="s">
        <v>72</v>
      </c>
      <c r="AQ29" s="71">
        <f t="shared" ca="1" si="0"/>
        <v>28</v>
      </c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</row>
    <row r="30" spans="1:60" s="3" customFormat="1" ht="21" customHeight="1" x14ac:dyDescent="0.15">
      <c r="A30" s="31">
        <f t="shared" ca="1" si="1"/>
        <v>29</v>
      </c>
      <c r="B30" s="6" t="str">
        <f ca="1">VLOOKUP(A30,[2]characters!$A:$C,3,FALSE)</f>
        <v>スケアクロウ</v>
      </c>
      <c r="C30" s="9">
        <f ca="1">VLOOKUP(A30,[2]characters!$A:$I,9,FALSE)</f>
        <v>1</v>
      </c>
      <c r="D30" s="9" t="str">
        <f ca="1">VLOOKUP(A30,[2]characters!$A:$H,8,FALSE)</f>
        <v>blue</v>
      </c>
      <c r="E30" s="24">
        <f ca="1">VLOOKUP(D30,[2]属性!$A:$E,2,FALSE)</f>
        <v>1</v>
      </c>
      <c r="F30" s="24">
        <f ca="1">VLOOKUP(D30,[2]属性!$A:$E,3,FALSE)</f>
        <v>0.98</v>
      </c>
      <c r="G30" s="24">
        <f ca="1">VLOOKUP(D30,[2]属性!$A:$F,4,FALSE)</f>
        <v>1</v>
      </c>
      <c r="H30" s="9" t="str">
        <f ca="1">VLOOKUP(A30,[2]characters!$A:$K,11,FALSE)</f>
        <v>heal</v>
      </c>
      <c r="I30" s="14" t="str">
        <f ca="1">VLOOKUP(H30,[2]character_type_i18n!$A:$F,3,FALSE)</f>
        <v>回復タイプ</v>
      </c>
      <c r="J30" s="36">
        <f ca="1">VLOOKUP(H30,[2]character_type_i18n!$A:$F,4,FALSE)</f>
        <v>0.8</v>
      </c>
      <c r="K30" s="36">
        <f ca="1">VLOOKUP(H30,[2]character_type_i18n!$A:$F,5,FALSE)</f>
        <v>0.78</v>
      </c>
      <c r="L30" s="36">
        <f ca="1">VLOOKUP(H30,[2]character_type_i18n!$A:$F,6,FALSE)</f>
        <v>1</v>
      </c>
      <c r="M30" s="9" t="str">
        <f ca="1">VLOOKUP(A30,[2]characters!$A:$M,13,FALSE)</f>
        <v>machine</v>
      </c>
      <c r="N30" s="14" t="str">
        <f ca="1">VLOOKUP(M30,[2]character_tribe_i18n!$A:$F,3,FALSE)</f>
        <v>マシン</v>
      </c>
      <c r="O30" s="24">
        <f ca="1">VLOOKUP(M30,[2]character_tribe_i18n!$A:$F,4,FALSE)</f>
        <v>1</v>
      </c>
      <c r="P30" s="24">
        <f ca="1">VLOOKUP(M30,[2]character_tribe_i18n!$A:$F,5,FALSE)</f>
        <v>1</v>
      </c>
      <c r="Q30" s="24">
        <f ca="1">VLOOKUP(M30,[2]character_tribe_i18n!$A:$F,6,FALSE)</f>
        <v>1</v>
      </c>
      <c r="R30" s="25" t="s">
        <v>19</v>
      </c>
      <c r="S30" s="24">
        <f>VLOOKUP($R30,ラベル別係数!$A$1:$E$7,3,FALSE)</f>
        <v>1</v>
      </c>
      <c r="T30" s="24">
        <f>VLOOKUP($R30,ラベル別係数!$A$1:$E$7,4,FALSE)</f>
        <v>1</v>
      </c>
      <c r="U30" s="24">
        <f>VLOOKUP($R30,ラベル別係数!$A$1:$E$7,5,FALSE)</f>
        <v>1</v>
      </c>
      <c r="V30" s="27">
        <v>2</v>
      </c>
      <c r="W30" s="28">
        <f>VLOOKUP(V30,ターン数別攻撃係数!$A$1:$B$1000,2,FALSE)</f>
        <v>0.75</v>
      </c>
      <c r="X30" s="10">
        <v>15</v>
      </c>
      <c r="Y30" s="26">
        <f>VLOOKUP($X30,サイズ別係数!$B:$E,2,FALSE)</f>
        <v>1</v>
      </c>
      <c r="Z30" s="26">
        <f>VLOOKUP($X30,サイズ別係数!$B:$E,3,FALSE)</f>
        <v>1</v>
      </c>
      <c r="AA30" s="26">
        <f>VLOOKUP($X30,サイズ別係数!$B:$E,4,FALSE)</f>
        <v>1</v>
      </c>
      <c r="AB30" s="35">
        <v>0</v>
      </c>
      <c r="AC30" s="34" t="str">
        <f ca="1">VLOOKUP($AB30,OFFSET([3]enemy_skill_sets!$B$2,0,0,COUNTA([3]enemy_skill_sets!$A:$A),MATCH(AC$1,[3]enemy_skill_sets!$1:$1,0)-MATCH($AB$1,[3]enemy_skill_sets!$1:$1,0)+1),MATCH(AC$1,[3]enemy_skill_sets!$1:$1,0)-MATCH($AB$1,[3]enemy_skill_sets!$1:$1,0)+1,FALSE)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" s="37">
        <v>1</v>
      </c>
      <c r="AE30" s="37">
        <v>1</v>
      </c>
      <c r="AF30" s="37">
        <v>0</v>
      </c>
      <c r="AG30" s="28">
        <f ca="1">ROUND(VLOOKUP(1,enemy_base_stats!$A:$F,2,FALSE) * Y30* J30*O30*E30*S30*AD30*[2]ステータス!$B$2,0)</f>
        <v>400</v>
      </c>
      <c r="AH30" s="28">
        <f ca="1">ROUND(VLOOKUP(1,enemy_base_stats!$A:$F,3,FALSE) * Z30*K30*P30*F30*T30*AE30 * W30*[2]ステータス!$C$2,0)</f>
        <v>86</v>
      </c>
      <c r="AI30" s="28">
        <f ca="1">ROUND(VLOOKUP(1,enemy_base_stats!$A:$F,4,FALSE) * AA30*L30*Q30*G30*U30*AF30*[2]ステータス!$D$2,0)</f>
        <v>0</v>
      </c>
      <c r="AJ30" s="28">
        <f ca="1">ROUND(VLOOKUP(100,enemy_base_stats!$A:$F,2,FALSE) * Y30* J30*O30*E30*S30*AD30*[2]ステータス!$B$2,0)</f>
        <v>16240</v>
      </c>
      <c r="AK30" s="28">
        <f ca="1">ROUND(VLOOKUP(100,enemy_base_stats!$A:$F,3,FALSE)* Z30* K30*P30*F30*T30*AE30 * W30*[2]ステータス!$C$2,0)</f>
        <v>3491</v>
      </c>
      <c r="AL30" s="28">
        <f ca="1">ROUND(VLOOKUP(100,enemy_base_stats!$A:$F,4,FALSE)* AA30* L30*Q30*G30*U30*AF30*[2]ステータス!$D$2,0)</f>
        <v>0</v>
      </c>
      <c r="AM30" s="24">
        <f ca="1">VLOOKUP(M30,[2]character_tribe_i18n!$A:$I,9,FALSE)</f>
        <v>520</v>
      </c>
      <c r="AN30" s="36">
        <v>0</v>
      </c>
      <c r="AO30" s="53">
        <v>0</v>
      </c>
      <c r="AP30" s="58" t="s">
        <v>72</v>
      </c>
      <c r="AQ30" s="71">
        <f t="shared" ca="1" si="0"/>
        <v>29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</row>
    <row r="31" spans="1:60" s="3" customFormat="1" ht="21" customHeight="1" x14ac:dyDescent="0.15">
      <c r="A31" s="31">
        <f t="shared" ca="1" si="1"/>
        <v>30</v>
      </c>
      <c r="B31" s="6" t="str">
        <f ca="1">VLOOKUP(A31,[2]characters!$A:$C,3,FALSE)</f>
        <v>護衛機人 スケアクロウ</v>
      </c>
      <c r="C31" s="9">
        <f ca="1">VLOOKUP(A31,[2]characters!$A:$I,9,FALSE)</f>
        <v>2</v>
      </c>
      <c r="D31" s="9" t="str">
        <f ca="1">VLOOKUP(A31,[2]characters!$A:$H,8,FALSE)</f>
        <v>blue</v>
      </c>
      <c r="E31" s="24">
        <f ca="1">VLOOKUP(D31,[2]属性!$A:$E,2,FALSE)</f>
        <v>1</v>
      </c>
      <c r="F31" s="24">
        <f ca="1">VLOOKUP(D31,[2]属性!$A:$E,3,FALSE)</f>
        <v>0.98</v>
      </c>
      <c r="G31" s="24">
        <f ca="1">VLOOKUP(D31,[2]属性!$A:$F,4,FALSE)</f>
        <v>1</v>
      </c>
      <c r="H31" s="9" t="str">
        <f ca="1">VLOOKUP(A31,[2]characters!$A:$K,11,FALSE)</f>
        <v>heal</v>
      </c>
      <c r="I31" s="14" t="str">
        <f ca="1">VLOOKUP(H31,[2]character_type_i18n!$A:$F,3,FALSE)</f>
        <v>回復タイプ</v>
      </c>
      <c r="J31" s="36">
        <f ca="1">VLOOKUP(H31,[2]character_type_i18n!$A:$F,4,FALSE)</f>
        <v>0.8</v>
      </c>
      <c r="K31" s="36">
        <f ca="1">VLOOKUP(H31,[2]character_type_i18n!$A:$F,5,FALSE)</f>
        <v>0.78</v>
      </c>
      <c r="L31" s="36">
        <f ca="1">VLOOKUP(H31,[2]character_type_i18n!$A:$F,6,FALSE)</f>
        <v>1</v>
      </c>
      <c r="M31" s="9" t="str">
        <f ca="1">VLOOKUP(A31,[2]characters!$A:$M,13,FALSE)</f>
        <v>machine</v>
      </c>
      <c r="N31" s="14" t="str">
        <f ca="1">VLOOKUP(M31,[2]character_tribe_i18n!$A:$F,3,FALSE)</f>
        <v>マシン</v>
      </c>
      <c r="O31" s="24">
        <f ca="1">VLOOKUP(M31,[2]character_tribe_i18n!$A:$F,4,FALSE)</f>
        <v>1</v>
      </c>
      <c r="P31" s="24">
        <f ca="1">VLOOKUP(M31,[2]character_tribe_i18n!$A:$F,5,FALSE)</f>
        <v>1</v>
      </c>
      <c r="Q31" s="24">
        <f ca="1">VLOOKUP(M31,[2]character_tribe_i18n!$A:$F,6,FALSE)</f>
        <v>1</v>
      </c>
      <c r="R31" s="25" t="s">
        <v>19</v>
      </c>
      <c r="S31" s="24">
        <f>VLOOKUP($R31,ラベル別係数!$A$1:$E$7,3,FALSE)</f>
        <v>1</v>
      </c>
      <c r="T31" s="24">
        <f>VLOOKUP($R31,ラベル別係数!$A$1:$E$7,4,FALSE)</f>
        <v>1</v>
      </c>
      <c r="U31" s="24">
        <f>VLOOKUP($R31,ラベル別係数!$A$1:$E$7,5,FALSE)</f>
        <v>1</v>
      </c>
      <c r="V31" s="27">
        <v>2</v>
      </c>
      <c r="W31" s="28">
        <f>VLOOKUP(V31,ターン数別攻撃係数!$A$1:$B$1000,2,FALSE)</f>
        <v>0.75</v>
      </c>
      <c r="X31" s="5">
        <v>15</v>
      </c>
      <c r="Y31" s="26">
        <f>VLOOKUP($X31,サイズ別係数!$B:$E,2,FALSE)</f>
        <v>1</v>
      </c>
      <c r="Z31" s="26">
        <f>VLOOKUP($X31,サイズ別係数!$B:$E,3,FALSE)</f>
        <v>1</v>
      </c>
      <c r="AA31" s="26">
        <f>VLOOKUP($X31,サイズ別係数!$B:$E,4,FALSE)</f>
        <v>1</v>
      </c>
      <c r="AB31" s="35">
        <v>30</v>
      </c>
      <c r="AC31" s="34" t="str">
        <f ca="1">VLOOKUP($AB31,OFFSET([3]enemy_skill_sets!$B$2,0,0,COUNTA([3]enemy_skill_sets!$A:$A),MATCH(AC$1,[3]enemy_skill_sets!$1:$1,0)-MATCH($AB$1,[3]enemy_skill_sets!$1:$1,0)+1),MATCH(AC$1,[3]enemy_skill_sets!$1:$1,0)-MATCH($AB$1,[3]enemy_skill_sets!$1:$1,0)+1,FALSE)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31" s="37">
        <v>1</v>
      </c>
      <c r="AE31" s="37">
        <v>1</v>
      </c>
      <c r="AF31" s="37">
        <v>0</v>
      </c>
      <c r="AG31" s="28">
        <f ca="1">ROUND(VLOOKUP(1,enemy_base_stats!$A:$F,2,FALSE) * Y31* J31*O31*E31*S31*AD31*[2]ステータス!$B$2,0)</f>
        <v>400</v>
      </c>
      <c r="AH31" s="28">
        <f ca="1">ROUND(VLOOKUP(1,enemy_base_stats!$A:$F,3,FALSE) * Z31*K31*P31*F31*T31*AE31 * W31*[2]ステータス!$C$2,0)</f>
        <v>86</v>
      </c>
      <c r="AI31" s="28">
        <f ca="1">ROUND(VLOOKUP(1,enemy_base_stats!$A:$F,4,FALSE) * AA31*L31*Q31*G31*U31*AF31*[2]ステータス!$D$2,0)</f>
        <v>0</v>
      </c>
      <c r="AJ31" s="28">
        <f ca="1">ROUND(VLOOKUP(100,enemy_base_stats!$A:$F,2,FALSE) * Y31* J31*O31*E31*S31*AD31*[2]ステータス!$B$2,0)</f>
        <v>16240</v>
      </c>
      <c r="AK31" s="28">
        <f ca="1">ROUND(VLOOKUP(100,enemy_base_stats!$A:$F,3,FALSE)* Z31* K31*P31*F31*T31*AE31 * W31*[2]ステータス!$C$2,0)</f>
        <v>3491</v>
      </c>
      <c r="AL31" s="28">
        <f ca="1">ROUND(VLOOKUP(100,enemy_base_stats!$A:$F,4,FALSE)* AA31* L31*Q31*G31*U31*AF31*[2]ステータス!$D$2,0)</f>
        <v>0</v>
      </c>
      <c r="AM31" s="24">
        <f ca="1">VLOOKUP(M31,[2]character_tribe_i18n!$A:$I,9,FALSE)</f>
        <v>520</v>
      </c>
      <c r="AN31" s="36">
        <v>0</v>
      </c>
      <c r="AO31" s="53">
        <v>0</v>
      </c>
      <c r="AP31" s="58" t="s">
        <v>72</v>
      </c>
      <c r="AQ31" s="71">
        <f t="shared" ca="1" si="0"/>
        <v>30</v>
      </c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</row>
    <row r="32" spans="1:60" s="3" customFormat="1" ht="21" customHeight="1" x14ac:dyDescent="0.15">
      <c r="A32" s="31">
        <f t="shared" ca="1" si="1"/>
        <v>31</v>
      </c>
      <c r="B32" s="6" t="str">
        <f ca="1">VLOOKUP(A32,[2]characters!$A:$C,3,FALSE)</f>
        <v>マービー</v>
      </c>
      <c r="C32" s="9">
        <f ca="1">VLOOKUP(A32,[2]characters!$A:$I,9,FALSE)</f>
        <v>1</v>
      </c>
      <c r="D32" s="9" t="str">
        <f ca="1">VLOOKUP(A32,[2]characters!$A:$H,8,FALSE)</f>
        <v>yellow</v>
      </c>
      <c r="E32" s="24">
        <f ca="1">VLOOKUP(D32,[2]属性!$A:$E,2,FALSE)</f>
        <v>0.98</v>
      </c>
      <c r="F32" s="24">
        <f ca="1">VLOOKUP(D32,[2]属性!$A:$E,3,FALSE)</f>
        <v>1.01</v>
      </c>
      <c r="G32" s="24">
        <f ca="1">VLOOKUP(D32,[2]属性!$A:$F,4,FALSE)</f>
        <v>1</v>
      </c>
      <c r="H32" s="9" t="str">
        <f ca="1">VLOOKUP(A32,[2]characters!$A:$K,11,FALSE)</f>
        <v>technical</v>
      </c>
      <c r="I32" s="14" t="str">
        <f ca="1">VLOOKUP(H32,[2]character_type_i18n!$A:$F,3,FALSE)</f>
        <v>テクニカルタイプ</v>
      </c>
      <c r="J32" s="36">
        <f ca="1">VLOOKUP(H32,[2]character_type_i18n!$A:$F,4,FALSE)</f>
        <v>0.9</v>
      </c>
      <c r="K32" s="36">
        <f ca="1">VLOOKUP(H32,[2]character_type_i18n!$A:$F,5,FALSE)</f>
        <v>0.9</v>
      </c>
      <c r="L32" s="36">
        <f ca="1">VLOOKUP(H32,[2]character_type_i18n!$A:$F,6,FALSE)</f>
        <v>1</v>
      </c>
      <c r="M32" s="9" t="str">
        <f ca="1">VLOOKUP(A32,[2]characters!$A:$M,13,FALSE)</f>
        <v>machine</v>
      </c>
      <c r="N32" s="14" t="str">
        <f ca="1">VLOOKUP(M32,[2]character_tribe_i18n!$A:$F,3,FALSE)</f>
        <v>マシン</v>
      </c>
      <c r="O32" s="24">
        <f ca="1">VLOOKUP(M32,[2]character_tribe_i18n!$A:$F,4,FALSE)</f>
        <v>1</v>
      </c>
      <c r="P32" s="24">
        <f ca="1">VLOOKUP(M32,[2]character_tribe_i18n!$A:$F,5,FALSE)</f>
        <v>1</v>
      </c>
      <c r="Q32" s="24">
        <f ca="1">VLOOKUP(M32,[2]character_tribe_i18n!$A:$F,6,FALSE)</f>
        <v>1</v>
      </c>
      <c r="R32" s="25" t="s">
        <v>19</v>
      </c>
      <c r="S32" s="24">
        <f>VLOOKUP($R32,ラベル別係数!$A$1:$E$7,3,FALSE)</f>
        <v>1</v>
      </c>
      <c r="T32" s="24">
        <f>VLOOKUP($R32,ラベル別係数!$A$1:$E$7,4,FALSE)</f>
        <v>1</v>
      </c>
      <c r="U32" s="24">
        <f>VLOOKUP($R32,ラベル別係数!$A$1:$E$7,5,FALSE)</f>
        <v>1</v>
      </c>
      <c r="V32" s="27">
        <v>2</v>
      </c>
      <c r="W32" s="28">
        <f>VLOOKUP(V32,ターン数別攻撃係数!$A$1:$B$1000,2,FALSE)</f>
        <v>0.75</v>
      </c>
      <c r="X32" s="10">
        <v>15</v>
      </c>
      <c r="Y32" s="26">
        <f>VLOOKUP($X32,サイズ別係数!$B:$E,2,FALSE)</f>
        <v>1</v>
      </c>
      <c r="Z32" s="26">
        <f>VLOOKUP($X32,サイズ別係数!$B:$E,3,FALSE)</f>
        <v>1</v>
      </c>
      <c r="AA32" s="26">
        <f>VLOOKUP($X32,サイズ別係数!$B:$E,4,FALSE)</f>
        <v>1</v>
      </c>
      <c r="AB32" s="35">
        <v>0</v>
      </c>
      <c r="AC32" s="34" t="str">
        <f ca="1">VLOOKUP($AB32,OFFSET([3]enemy_skill_sets!$B$2,0,0,COUNTA([3]enemy_skill_sets!$A:$A),MATCH(AC$1,[3]enemy_skill_sets!$1:$1,0)-MATCH($AB$1,[3]enemy_skill_sets!$1:$1,0)+1),MATCH(AC$1,[3]enemy_skill_sets!$1:$1,0)-MATCH($AB$1,[3]enemy_skill_sets!$1:$1,0)+1,FALSE)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" s="37">
        <v>1</v>
      </c>
      <c r="AE32" s="37">
        <v>1</v>
      </c>
      <c r="AF32" s="37">
        <v>0</v>
      </c>
      <c r="AG32" s="28">
        <f ca="1">ROUND(VLOOKUP(1,enemy_base_stats!$A:$F,2,FALSE) * Y32* J32*O32*E32*S32*AD32*[2]ステータス!$B$2,0)</f>
        <v>441</v>
      </c>
      <c r="AH32" s="28">
        <f ca="1">ROUND(VLOOKUP(1,enemy_base_stats!$A:$F,3,FALSE) * Z32*K32*P32*F32*T32*AE32 * W32*[2]ステータス!$C$2,0)</f>
        <v>102</v>
      </c>
      <c r="AI32" s="28">
        <f ca="1">ROUND(VLOOKUP(1,enemy_base_stats!$A:$F,4,FALSE) * AA32*L32*Q32*G32*U32*AF32*[2]ステータス!$D$2,0)</f>
        <v>0</v>
      </c>
      <c r="AJ32" s="28">
        <f ca="1">ROUND(VLOOKUP(100,enemy_base_stats!$A:$F,2,FALSE) * Y32* J32*O32*E32*S32*AD32*[2]ステータス!$B$2,0)</f>
        <v>17905</v>
      </c>
      <c r="AK32" s="28">
        <f ca="1">ROUND(VLOOKUP(100,enemy_base_stats!$A:$F,3,FALSE)* Z32* K32*P32*F32*T32*AE32 * W32*[2]ステータス!$C$2,0)</f>
        <v>4152</v>
      </c>
      <c r="AL32" s="28">
        <f ca="1">ROUND(VLOOKUP(100,enemy_base_stats!$A:$F,4,FALSE)* AA32* L32*Q32*G32*U32*AF32*[2]ステータス!$D$2,0)</f>
        <v>0</v>
      </c>
      <c r="AM32" s="24">
        <f ca="1">VLOOKUP(M32,[2]character_tribe_i18n!$A:$I,9,FALSE)</f>
        <v>520</v>
      </c>
      <c r="AN32" s="36">
        <v>0</v>
      </c>
      <c r="AO32" s="53">
        <v>0</v>
      </c>
      <c r="AP32" s="58" t="s">
        <v>72</v>
      </c>
      <c r="AQ32" s="71">
        <f t="shared" ca="1" si="0"/>
        <v>31</v>
      </c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</row>
    <row r="33" spans="1:60" s="3" customFormat="1" ht="21" customHeight="1" x14ac:dyDescent="0.15">
      <c r="A33" s="31">
        <f t="shared" ca="1" si="1"/>
        <v>32</v>
      </c>
      <c r="B33" s="6" t="str">
        <f ca="1">VLOOKUP(A33,[2]characters!$A:$C,3,FALSE)</f>
        <v>沈黙のジャミング マービー</v>
      </c>
      <c r="C33" s="9">
        <f ca="1">VLOOKUP(A33,[2]characters!$A:$I,9,FALSE)</f>
        <v>2</v>
      </c>
      <c r="D33" s="9" t="str">
        <f ca="1">VLOOKUP(A33,[2]characters!$A:$H,8,FALSE)</f>
        <v>yellow</v>
      </c>
      <c r="E33" s="24">
        <f ca="1">VLOOKUP(D33,[2]属性!$A:$E,2,FALSE)</f>
        <v>0.98</v>
      </c>
      <c r="F33" s="24">
        <f ca="1">VLOOKUP(D33,[2]属性!$A:$E,3,FALSE)</f>
        <v>1.01</v>
      </c>
      <c r="G33" s="24">
        <f ca="1">VLOOKUP(D33,[2]属性!$A:$F,4,FALSE)</f>
        <v>1</v>
      </c>
      <c r="H33" s="9" t="str">
        <f ca="1">VLOOKUP(A33,[2]characters!$A:$K,11,FALSE)</f>
        <v>technical</v>
      </c>
      <c r="I33" s="14" t="str">
        <f ca="1">VLOOKUP(H33,[2]character_type_i18n!$A:$F,3,FALSE)</f>
        <v>テクニカルタイプ</v>
      </c>
      <c r="J33" s="36">
        <f ca="1">VLOOKUP(H33,[2]character_type_i18n!$A:$F,4,FALSE)</f>
        <v>0.9</v>
      </c>
      <c r="K33" s="36">
        <f ca="1">VLOOKUP(H33,[2]character_type_i18n!$A:$F,5,FALSE)</f>
        <v>0.9</v>
      </c>
      <c r="L33" s="36">
        <f ca="1">VLOOKUP(H33,[2]character_type_i18n!$A:$F,6,FALSE)</f>
        <v>1</v>
      </c>
      <c r="M33" s="9" t="str">
        <f ca="1">VLOOKUP(A33,[2]characters!$A:$M,13,FALSE)</f>
        <v>machine</v>
      </c>
      <c r="N33" s="14" t="str">
        <f ca="1">VLOOKUP(M33,[2]character_tribe_i18n!$A:$F,3,FALSE)</f>
        <v>マシン</v>
      </c>
      <c r="O33" s="24">
        <f ca="1">VLOOKUP(M33,[2]character_tribe_i18n!$A:$F,4,FALSE)</f>
        <v>1</v>
      </c>
      <c r="P33" s="24">
        <f ca="1">VLOOKUP(M33,[2]character_tribe_i18n!$A:$F,5,FALSE)</f>
        <v>1</v>
      </c>
      <c r="Q33" s="24">
        <f ca="1">VLOOKUP(M33,[2]character_tribe_i18n!$A:$F,6,FALSE)</f>
        <v>1</v>
      </c>
      <c r="R33" s="25" t="s">
        <v>19</v>
      </c>
      <c r="S33" s="24">
        <f>VLOOKUP($R33,ラベル別係数!$A$1:$E$7,3,FALSE)</f>
        <v>1</v>
      </c>
      <c r="T33" s="24">
        <f>VLOOKUP($R33,ラベル別係数!$A$1:$E$7,4,FALSE)</f>
        <v>1</v>
      </c>
      <c r="U33" s="24">
        <f>VLOOKUP($R33,ラベル別係数!$A$1:$E$7,5,FALSE)</f>
        <v>1</v>
      </c>
      <c r="V33" s="27">
        <v>5</v>
      </c>
      <c r="W33" s="28">
        <f>VLOOKUP(V33,ターン数別攻撃係数!$A$1:$B$1000,2,FALSE)</f>
        <v>1.5</v>
      </c>
      <c r="X33" s="5">
        <v>15</v>
      </c>
      <c r="Y33" s="26">
        <f>VLOOKUP($X33,サイズ別係数!$B:$E,2,FALSE)</f>
        <v>1</v>
      </c>
      <c r="Z33" s="26">
        <f>VLOOKUP($X33,サイズ別係数!$B:$E,3,FALSE)</f>
        <v>1</v>
      </c>
      <c r="AA33" s="26">
        <f>VLOOKUP($X33,サイズ別係数!$B:$E,4,FALSE)</f>
        <v>1</v>
      </c>
      <c r="AB33" s="35">
        <v>0</v>
      </c>
      <c r="AC33" s="34" t="str">
        <f ca="1">VLOOKUP($AB33,OFFSET([3]enemy_skill_sets!$B$2,0,0,COUNTA([3]enemy_skill_sets!$A:$A),MATCH(AC$1,[3]enemy_skill_sets!$1:$1,0)-MATCH($AB$1,[3]enemy_skill_sets!$1:$1,0)+1),MATCH(AC$1,[3]enemy_skill_sets!$1:$1,0)-MATCH($AB$1,[3]enemy_skill_sets!$1:$1,0)+1,FALSE)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" s="37">
        <v>1</v>
      </c>
      <c r="AE33" s="37">
        <v>1</v>
      </c>
      <c r="AF33" s="37">
        <v>0</v>
      </c>
      <c r="AG33" s="28">
        <f ca="1">ROUND(VLOOKUP(1,enemy_base_stats!$A:$F,2,FALSE) * Y33* J33*O33*E33*S33*AD33*[2]ステータス!$B$2,0)</f>
        <v>441</v>
      </c>
      <c r="AH33" s="28">
        <f ca="1">ROUND(VLOOKUP(1,enemy_base_stats!$A:$F,3,FALSE) * Z33*K33*P33*F33*T33*AE33 * W33*[2]ステータス!$C$2,0)</f>
        <v>205</v>
      </c>
      <c r="AI33" s="28">
        <f ca="1">ROUND(VLOOKUP(1,enemy_base_stats!$A:$F,4,FALSE) * AA33*L33*Q33*G33*U33*AF33*[2]ステータス!$D$2,0)</f>
        <v>0</v>
      </c>
      <c r="AJ33" s="28">
        <f ca="1">ROUND(VLOOKUP(100,enemy_base_stats!$A:$F,2,FALSE) * Y33* J33*O33*E33*S33*AD33*[2]ステータス!$B$2,0)</f>
        <v>17905</v>
      </c>
      <c r="AK33" s="28">
        <f ca="1">ROUND(VLOOKUP(100,enemy_base_stats!$A:$F,3,FALSE)* Z33* K33*P33*F33*T33*AE33 * W33*[2]ステータス!$C$2,0)</f>
        <v>8304</v>
      </c>
      <c r="AL33" s="28">
        <f ca="1">ROUND(VLOOKUP(100,enemy_base_stats!$A:$F,4,FALSE)* AA33* L33*Q33*G33*U33*AF33*[2]ステータス!$D$2,0)</f>
        <v>0</v>
      </c>
      <c r="AM33" s="24">
        <f ca="1">VLOOKUP(M33,[2]character_tribe_i18n!$A:$I,9,FALSE)</f>
        <v>520</v>
      </c>
      <c r="AN33" s="36">
        <v>0</v>
      </c>
      <c r="AO33" s="53">
        <v>0</v>
      </c>
      <c r="AP33" s="58" t="s">
        <v>72</v>
      </c>
      <c r="AQ33" s="71">
        <f t="shared" ca="1" si="0"/>
        <v>32</v>
      </c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</row>
    <row r="34" spans="1:60" s="3" customFormat="1" ht="21" customHeight="1" x14ac:dyDescent="0.15">
      <c r="A34" s="32">
        <f t="shared" ca="1" si="1"/>
        <v>33</v>
      </c>
      <c r="B34" s="6" t="str">
        <f ca="1">VLOOKUP(A34,[2]characters!$A:$C,3,FALSE)</f>
        <v>ゴクウ</v>
      </c>
      <c r="C34" s="9">
        <f ca="1">VLOOKUP(A34,[2]characters!$A:$I,9,FALSE)</f>
        <v>2</v>
      </c>
      <c r="D34" s="9" t="str">
        <f ca="1">VLOOKUP(A34,[2]characters!$A:$H,8,FALSE)</f>
        <v>red</v>
      </c>
      <c r="E34" s="24">
        <f ca="1">VLOOKUP(D34,[2]属性!$A:$E,2,FALSE)</f>
        <v>1</v>
      </c>
      <c r="F34" s="24">
        <f ca="1">VLOOKUP(D34,[2]属性!$A:$E,3,FALSE)</f>
        <v>1.02</v>
      </c>
      <c r="G34" s="24">
        <f ca="1">VLOOKUP(D34,[2]属性!$A:$F,4,FALSE)</f>
        <v>1</v>
      </c>
      <c r="H34" s="9" t="str">
        <f ca="1">VLOOKUP(A34,[2]characters!$A:$K,11,FALSE)</f>
        <v>attack</v>
      </c>
      <c r="I34" s="14" t="str">
        <f ca="1">VLOOKUP(H34,[2]character_type_i18n!$A:$F,3,FALSE)</f>
        <v>攻撃タイプ</v>
      </c>
      <c r="J34" s="36">
        <f ca="1">VLOOKUP(H34,[2]character_type_i18n!$A:$F,4,FALSE)</f>
        <v>1</v>
      </c>
      <c r="K34" s="36">
        <f ca="1">VLOOKUP(H34,[2]character_type_i18n!$A:$F,5,FALSE)</f>
        <v>1.33</v>
      </c>
      <c r="L34" s="36">
        <f ca="1">VLOOKUP(H34,[2]character_type_i18n!$A:$F,6,FALSE)</f>
        <v>1</v>
      </c>
      <c r="M34" s="9" t="str">
        <f ca="1">VLOOKUP(A34,[2]characters!$A:$M,13,FALSE)</f>
        <v>animal</v>
      </c>
      <c r="N34" s="14" t="str">
        <f ca="1">VLOOKUP(M34,[2]character_tribe_i18n!$A:$F,3,FALSE)</f>
        <v>アニマル</v>
      </c>
      <c r="O34" s="24">
        <f ca="1">VLOOKUP(M34,[2]character_tribe_i18n!$A:$F,4,FALSE)</f>
        <v>1</v>
      </c>
      <c r="P34" s="24">
        <f ca="1">VLOOKUP(M34,[2]character_tribe_i18n!$A:$F,5,FALSE)</f>
        <v>1.1000000000000001</v>
      </c>
      <c r="Q34" s="24">
        <f ca="1">VLOOKUP(M34,[2]character_tribe_i18n!$A:$F,6,FALSE)</f>
        <v>1</v>
      </c>
      <c r="R34" s="23" t="s">
        <v>19</v>
      </c>
      <c r="S34" s="24">
        <f>VLOOKUP($R34,ラベル別係数!$A$1:$E$7,3,FALSE)</f>
        <v>1</v>
      </c>
      <c r="T34" s="24">
        <f>VLOOKUP($R34,ラベル別係数!$A$1:$E$7,4,FALSE)</f>
        <v>1</v>
      </c>
      <c r="U34" s="24">
        <f>VLOOKUP($R34,ラベル別係数!$A$1:$E$7,5,FALSE)</f>
        <v>1</v>
      </c>
      <c r="V34" s="27">
        <v>2</v>
      </c>
      <c r="W34" s="28">
        <f>VLOOKUP(V34,ターン数別攻撃係数!$A$1:$B$1000,2,FALSE)</f>
        <v>0.75</v>
      </c>
      <c r="X34" s="10">
        <v>15</v>
      </c>
      <c r="Y34" s="26">
        <f>VLOOKUP($X34,サイズ別係数!$B:$E,2,FALSE)</f>
        <v>1</v>
      </c>
      <c r="Z34" s="26">
        <f>VLOOKUP($X34,サイズ別係数!$B:$E,3,FALSE)</f>
        <v>1</v>
      </c>
      <c r="AA34" s="26">
        <f>VLOOKUP($X34,サイズ別係数!$B:$E,4,FALSE)</f>
        <v>1</v>
      </c>
      <c r="AB34" s="62">
        <v>33</v>
      </c>
      <c r="AC34" s="34" t="str">
        <f ca="1">VLOOKUP($AB34,OFFSET([3]enemy_skill_sets!$B$2,0,0,COUNTA([3]enemy_skill_sets!$A:$A),MATCH(AC$1,[3]enemy_skill_sets!$1:$1,0)-MATCH($AB$1,[3]enemy_skill_sets!$1:$1,0)+1),MATCH(AC$1,[3]enemy_skill_sets!$1:$1,0)-MATCH($AB$1,[3]enemy_skill_sets!$1:$1,0)+1,FALSE)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34" s="37">
        <v>1</v>
      </c>
      <c r="AE34" s="37">
        <v>1</v>
      </c>
      <c r="AF34" s="37">
        <v>0</v>
      </c>
      <c r="AG34" s="28">
        <f ca="1">ROUND(VLOOKUP(1,enemy_base_stats!$A:$F,2,FALSE) * Y34* J34*O34*E34*S34*AD34*[2]ステータス!$B$2,0)</f>
        <v>500</v>
      </c>
      <c r="AH34" s="28">
        <f ca="1">ROUND(VLOOKUP(1,enemy_base_stats!$A:$F,3,FALSE) * Z34*K34*P34*F34*T34*AE34 * W34*[2]ステータス!$C$2,0)</f>
        <v>168</v>
      </c>
      <c r="AI34" s="28">
        <f ca="1">ROUND(VLOOKUP(1,enemy_base_stats!$A:$F,4,FALSE) * AA34*L34*Q34*G34*U34*AF34*[2]ステータス!$D$2,0)</f>
        <v>0</v>
      </c>
      <c r="AJ34" s="28">
        <f ca="1">ROUND(VLOOKUP(100,enemy_base_stats!$A:$F,2,FALSE) * Y34* J34*O34*E34*S34*AD34*[2]ステータス!$B$2,0)</f>
        <v>20300</v>
      </c>
      <c r="AK34" s="28">
        <f ca="1">ROUND(VLOOKUP(100,enemy_base_stats!$A:$F,3,FALSE)* Z34* K34*P34*F34*T34*AE34 * W34*[2]ステータス!$C$2,0)</f>
        <v>6816</v>
      </c>
      <c r="AL34" s="28">
        <f ca="1">ROUND(VLOOKUP(100,enemy_base_stats!$A:$F,4,FALSE)* AA34* L34*Q34*G34*U34*AF34*[2]ステータス!$D$2,0)</f>
        <v>0</v>
      </c>
      <c r="AM34" s="24">
        <f ca="1">VLOOKUP(M34,[2]character_tribe_i18n!$A:$I,9,FALSE)</f>
        <v>480</v>
      </c>
      <c r="AN34" s="36">
        <v>0</v>
      </c>
      <c r="AO34" s="53">
        <v>0</v>
      </c>
      <c r="AP34" s="58" t="s">
        <v>72</v>
      </c>
      <c r="AQ34" s="71">
        <f t="shared" ca="1" si="0"/>
        <v>33</v>
      </c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</row>
    <row r="35" spans="1:60" s="3" customFormat="1" ht="21" customHeight="1" x14ac:dyDescent="0.15">
      <c r="A35" s="32">
        <f t="shared" ca="1" si="1"/>
        <v>34</v>
      </c>
      <c r="B35" s="6" t="str">
        <f ca="1">VLOOKUP(A35,[2]characters!$A:$C,3,FALSE)</f>
        <v>斉天大聖 ゴクウ</v>
      </c>
      <c r="C35" s="9">
        <f ca="1">VLOOKUP(A35,[2]characters!$A:$I,9,FALSE)</f>
        <v>3</v>
      </c>
      <c r="D35" s="9" t="str">
        <f ca="1">VLOOKUP(A35,[2]characters!$A:$H,8,FALSE)</f>
        <v>red</v>
      </c>
      <c r="E35" s="24">
        <f ca="1">VLOOKUP(D35,[2]属性!$A:$E,2,FALSE)</f>
        <v>1</v>
      </c>
      <c r="F35" s="24">
        <f ca="1">VLOOKUP(D35,[2]属性!$A:$E,3,FALSE)</f>
        <v>1.02</v>
      </c>
      <c r="G35" s="24">
        <f ca="1">VLOOKUP(D35,[2]属性!$A:$F,4,FALSE)</f>
        <v>1</v>
      </c>
      <c r="H35" s="9" t="str">
        <f ca="1">VLOOKUP(A35,[2]characters!$A:$K,11,FALSE)</f>
        <v>attack</v>
      </c>
      <c r="I35" s="14" t="str">
        <f ca="1">VLOOKUP(H35,[2]character_type_i18n!$A:$F,3,FALSE)</f>
        <v>攻撃タイプ</v>
      </c>
      <c r="J35" s="36">
        <f ca="1">VLOOKUP(H35,[2]character_type_i18n!$A:$F,4,FALSE)</f>
        <v>1</v>
      </c>
      <c r="K35" s="36">
        <f ca="1">VLOOKUP(H35,[2]character_type_i18n!$A:$F,5,FALSE)</f>
        <v>1.33</v>
      </c>
      <c r="L35" s="36">
        <f ca="1">VLOOKUP(H35,[2]character_type_i18n!$A:$F,6,FALSE)</f>
        <v>1</v>
      </c>
      <c r="M35" s="9" t="str">
        <f ca="1">VLOOKUP(A35,[2]characters!$A:$M,13,FALSE)</f>
        <v>animal</v>
      </c>
      <c r="N35" s="14" t="str">
        <f ca="1">VLOOKUP(M35,[2]character_tribe_i18n!$A:$F,3,FALSE)</f>
        <v>アニマル</v>
      </c>
      <c r="O35" s="24">
        <f ca="1">VLOOKUP(M35,[2]character_tribe_i18n!$A:$F,4,FALSE)</f>
        <v>1</v>
      </c>
      <c r="P35" s="24">
        <f ca="1">VLOOKUP(M35,[2]character_tribe_i18n!$A:$F,5,FALSE)</f>
        <v>1.1000000000000001</v>
      </c>
      <c r="Q35" s="24">
        <f ca="1">VLOOKUP(M35,[2]character_tribe_i18n!$A:$F,6,FALSE)</f>
        <v>1</v>
      </c>
      <c r="R35" s="25" t="s">
        <v>3</v>
      </c>
      <c r="S35" s="24">
        <f>VLOOKUP($R35,ラベル別係数!$A$1:$E$7,3,FALSE)</f>
        <v>3</v>
      </c>
      <c r="T35" s="24">
        <f>VLOOKUP($R35,ラベル別係数!$A$1:$E$7,4,FALSE)</f>
        <v>1.4</v>
      </c>
      <c r="U35" s="24">
        <f>VLOOKUP($R35,ラベル別係数!$A$1:$E$7,5,FALSE)</f>
        <v>0.8</v>
      </c>
      <c r="V35" s="27">
        <v>2</v>
      </c>
      <c r="W35" s="28">
        <f>VLOOKUP(V35,ターン数別攻撃係数!$A$1:$B$1000,2,FALSE)</f>
        <v>0.75</v>
      </c>
      <c r="X35" s="5">
        <v>20</v>
      </c>
      <c r="Y35" s="26">
        <f>VLOOKUP($X35,サイズ別係数!$B:$E,2,FALSE)</f>
        <v>1.1000000000000001</v>
      </c>
      <c r="Z35" s="26">
        <f>VLOOKUP($X35,サイズ別係数!$B:$E,3,FALSE)</f>
        <v>1.2</v>
      </c>
      <c r="AA35" s="26">
        <f>VLOOKUP($X35,サイズ別係数!$B:$E,4,FALSE)</f>
        <v>1.2</v>
      </c>
      <c r="AB35" s="62">
        <v>34</v>
      </c>
      <c r="AC35" s="34" t="str">
        <f ca="1">VLOOKUP($AB35,OFFSET([3]enemy_skill_sets!$B$2,0,0,COUNTA([3]enemy_skill_sets!$A:$A),MATCH(AC$1,[3]enemy_skill_sets!$1:$1,0)-MATCH($AB$1,[3]enemy_skill_sets!$1:$1,0)+1),MATCH(AC$1,[3]enemy_skill_sets!$1:$1,0)-MATCH($AB$1,[3]enemy_skill_sets!$1:$1,0)+1,FALSE)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35" s="37">
        <v>1</v>
      </c>
      <c r="AE35" s="37">
        <v>1</v>
      </c>
      <c r="AF35" s="37">
        <v>0</v>
      </c>
      <c r="AG35" s="28">
        <f ca="1">ROUND(VLOOKUP(1,enemy_base_stats!$A:$F,2,FALSE) * Y35* J35*O35*E35*S35*AD35*[2]ステータス!$B$2,0)</f>
        <v>1650</v>
      </c>
      <c r="AH35" s="28">
        <f ca="1">ROUND(VLOOKUP(1,enemy_base_stats!$A:$F,3,FALSE) * Z35*K35*P35*F35*T35*AE35 * W35*[2]ステータス!$C$2,0)</f>
        <v>282</v>
      </c>
      <c r="AI35" s="28">
        <f ca="1">ROUND(VLOOKUP(1,enemy_base_stats!$A:$F,4,FALSE) * AA35*L35*Q35*G35*U35*AF35*[2]ステータス!$D$2,0)</f>
        <v>0</v>
      </c>
      <c r="AJ35" s="28">
        <f ca="1">ROUND(VLOOKUP(100,enemy_base_stats!$A:$F,2,FALSE) * Y35* J35*O35*E35*S35*AD35*[2]ステータス!$B$2,0)</f>
        <v>66990</v>
      </c>
      <c r="AK35" s="28">
        <f ca="1">ROUND(VLOOKUP(100,enemy_base_stats!$A:$F,3,FALSE)* Z35* K35*P35*F35*T35*AE35 * W35*[2]ステータス!$C$2,0)</f>
        <v>11451</v>
      </c>
      <c r="AL35" s="28">
        <f ca="1">ROUND(VLOOKUP(100,enemy_base_stats!$A:$F,4,FALSE)* AA35* L35*Q35*G35*U35*AF35*[2]ステータス!$D$2,0)</f>
        <v>0</v>
      </c>
      <c r="AM35" s="24">
        <f ca="1">VLOOKUP(M35,[2]character_tribe_i18n!$A:$I,9,FALSE)</f>
        <v>480</v>
      </c>
      <c r="AN35" s="36">
        <v>0</v>
      </c>
      <c r="AO35" s="53">
        <v>0</v>
      </c>
      <c r="AP35" s="58" t="s">
        <v>72</v>
      </c>
      <c r="AQ35" s="71">
        <f t="shared" ca="1" si="0"/>
        <v>34</v>
      </c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</row>
    <row r="36" spans="1:60" s="3" customFormat="1" ht="21" customHeight="1" x14ac:dyDescent="0.15">
      <c r="A36" s="32">
        <f t="shared" ca="1" si="1"/>
        <v>35</v>
      </c>
      <c r="B36" s="6" t="str">
        <f ca="1">VLOOKUP(A36,[2]characters!$A:$C,3,FALSE)</f>
        <v>F2</v>
      </c>
      <c r="C36" s="9">
        <f ca="1">VLOOKUP(A36,[2]characters!$A:$I,9,FALSE)</f>
        <v>2</v>
      </c>
      <c r="D36" s="9" t="str">
        <f ca="1">VLOOKUP(A36,[2]characters!$A:$H,8,FALSE)</f>
        <v>green</v>
      </c>
      <c r="E36" s="24">
        <f ca="1">VLOOKUP(D36,[2]属性!$A:$E,2,FALSE)</f>
        <v>1.02</v>
      </c>
      <c r="F36" s="24">
        <f ca="1">VLOOKUP(D36,[2]属性!$A:$E,3,FALSE)</f>
        <v>0.98</v>
      </c>
      <c r="G36" s="24">
        <f ca="1">VLOOKUP(D36,[2]属性!$A:$F,4,FALSE)</f>
        <v>1</v>
      </c>
      <c r="H36" s="9" t="str">
        <f ca="1">VLOOKUP(A36,[2]characters!$A:$K,11,FALSE)</f>
        <v>technical</v>
      </c>
      <c r="I36" s="14" t="str">
        <f ca="1">VLOOKUP(H36,[2]character_type_i18n!$A:$F,3,FALSE)</f>
        <v>テクニカルタイプ</v>
      </c>
      <c r="J36" s="36">
        <f ca="1">VLOOKUP(H36,[2]character_type_i18n!$A:$F,4,FALSE)</f>
        <v>0.9</v>
      </c>
      <c r="K36" s="36">
        <f ca="1">VLOOKUP(H36,[2]character_type_i18n!$A:$F,5,FALSE)</f>
        <v>0.9</v>
      </c>
      <c r="L36" s="36">
        <f ca="1">VLOOKUP(H36,[2]character_type_i18n!$A:$F,6,FALSE)</f>
        <v>1</v>
      </c>
      <c r="M36" s="9" t="str">
        <f ca="1">VLOOKUP(A36,[2]characters!$A:$M,13,FALSE)</f>
        <v>machine</v>
      </c>
      <c r="N36" s="14" t="str">
        <f ca="1">VLOOKUP(M36,[2]character_tribe_i18n!$A:$F,3,FALSE)</f>
        <v>マシン</v>
      </c>
      <c r="O36" s="24">
        <f ca="1">VLOOKUP(M36,[2]character_tribe_i18n!$A:$F,4,FALSE)</f>
        <v>1</v>
      </c>
      <c r="P36" s="24">
        <f ca="1">VLOOKUP(M36,[2]character_tribe_i18n!$A:$F,5,FALSE)</f>
        <v>1</v>
      </c>
      <c r="Q36" s="24">
        <f ca="1">VLOOKUP(M36,[2]character_tribe_i18n!$A:$F,6,FALSE)</f>
        <v>1</v>
      </c>
      <c r="R36" s="25" t="s">
        <v>19</v>
      </c>
      <c r="S36" s="24">
        <f>VLOOKUP($R36,ラベル別係数!$A$1:$E$7,3,FALSE)</f>
        <v>1</v>
      </c>
      <c r="T36" s="24">
        <f>VLOOKUP($R36,ラベル別係数!$A$1:$E$7,4,FALSE)</f>
        <v>1</v>
      </c>
      <c r="U36" s="24">
        <f>VLOOKUP($R36,ラベル別係数!$A$1:$E$7,5,FALSE)</f>
        <v>1</v>
      </c>
      <c r="V36" s="27">
        <v>4</v>
      </c>
      <c r="W36" s="28">
        <f>VLOOKUP(V36,ターン数別攻撃係数!$A$1:$B$1000,2,FALSE)</f>
        <v>1.2</v>
      </c>
      <c r="X36" s="10">
        <v>15</v>
      </c>
      <c r="Y36" s="26">
        <f>VLOOKUP($X36,サイズ別係数!$B:$E,2,FALSE)</f>
        <v>1</v>
      </c>
      <c r="Z36" s="26">
        <f>VLOOKUP($X36,サイズ別係数!$B:$E,3,FALSE)</f>
        <v>1</v>
      </c>
      <c r="AA36" s="26">
        <f>VLOOKUP($X36,サイズ別係数!$B:$E,4,FALSE)</f>
        <v>1</v>
      </c>
      <c r="AB36" s="62">
        <v>35</v>
      </c>
      <c r="AC36" s="34" t="str">
        <f ca="1">VLOOKUP($AB36,OFFSET([3]enemy_skill_sets!$B$2,0,0,COUNTA([3]enemy_skill_sets!$A:$A),MATCH(AC$1,[3]enemy_skill_sets!$1:$1,0)-MATCH($AB$1,[3]enemy_skill_sets!$1:$1,0)+1),MATCH(AC$1,[3]enemy_skill_sets!$1:$1,0)-MATCH($AB$1,[3]enemy_skill_sets!$1:$1,0)+1,FALSE)</f>
        <v>じっとこちらを見ている</v>
      </c>
      <c r="AD36" s="37">
        <v>1</v>
      </c>
      <c r="AE36" s="37">
        <v>1</v>
      </c>
      <c r="AF36" s="37">
        <v>0</v>
      </c>
      <c r="AG36" s="28">
        <f ca="1">ROUND(VLOOKUP(1,enemy_base_stats!$A:$F,2,FALSE) * Y36* J36*O36*E36*S36*AD36*[2]ステータス!$B$2,0)</f>
        <v>459</v>
      </c>
      <c r="AH36" s="28">
        <f ca="1">ROUND(VLOOKUP(1,enemy_base_stats!$A:$F,3,FALSE) * Z36*K36*P36*F36*T36*AE36 * W36*[2]ステータス!$C$2,0)</f>
        <v>159</v>
      </c>
      <c r="AI36" s="28">
        <f ca="1">ROUND(VLOOKUP(1,enemy_base_stats!$A:$F,4,FALSE) * AA36*L36*Q36*G36*U36*AF36*[2]ステータス!$D$2,0)</f>
        <v>0</v>
      </c>
      <c r="AJ36" s="28">
        <f ca="1">ROUND(VLOOKUP(100,enemy_base_stats!$A:$F,2,FALSE) * Y36* J36*O36*E36*S36*AD36*[2]ステータス!$B$2,0)</f>
        <v>18635</v>
      </c>
      <c r="AK36" s="28">
        <f ca="1">ROUND(VLOOKUP(100,enemy_base_stats!$A:$F,3,FALSE)* Z36* K36*P36*F36*T36*AE36 * W36*[2]ステータス!$C$2,0)</f>
        <v>6446</v>
      </c>
      <c r="AL36" s="28">
        <f ca="1">ROUND(VLOOKUP(100,enemy_base_stats!$A:$F,4,FALSE)* AA36* L36*Q36*G36*U36*AF36*[2]ステータス!$D$2,0)</f>
        <v>0</v>
      </c>
      <c r="AM36" s="24">
        <f ca="1">VLOOKUP(M36,[2]character_tribe_i18n!$A:$I,9,FALSE)</f>
        <v>520</v>
      </c>
      <c r="AN36" s="36">
        <v>0</v>
      </c>
      <c r="AO36" s="53">
        <v>0</v>
      </c>
      <c r="AP36" s="58" t="s">
        <v>72</v>
      </c>
      <c r="AQ36" s="71">
        <f t="shared" ca="1" si="0"/>
        <v>35</v>
      </c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</row>
    <row r="37" spans="1:60" s="3" customFormat="1" ht="21" customHeight="1" x14ac:dyDescent="0.15">
      <c r="A37" s="32">
        <f t="shared" ca="1" si="1"/>
        <v>36</v>
      </c>
      <c r="B37" s="6" t="str">
        <f ca="1">VLOOKUP(A37,[2]characters!$A:$C,3,FALSE)</f>
        <v>オフィス追尾型移動地雷F3</v>
      </c>
      <c r="C37" s="9">
        <f ca="1">VLOOKUP(A37,[2]characters!$A:$I,9,FALSE)</f>
        <v>3</v>
      </c>
      <c r="D37" s="9" t="str">
        <f ca="1">VLOOKUP(A37,[2]characters!$A:$H,8,FALSE)</f>
        <v>green</v>
      </c>
      <c r="E37" s="24">
        <f ca="1">VLOOKUP(D37,[2]属性!$A:$E,2,FALSE)</f>
        <v>1.02</v>
      </c>
      <c r="F37" s="24">
        <f ca="1">VLOOKUP(D37,[2]属性!$A:$E,3,FALSE)</f>
        <v>0.98</v>
      </c>
      <c r="G37" s="24">
        <f ca="1">VLOOKUP(D37,[2]属性!$A:$F,4,FALSE)</f>
        <v>1</v>
      </c>
      <c r="H37" s="9" t="str">
        <f ca="1">VLOOKUP(A37,[2]characters!$A:$K,11,FALSE)</f>
        <v>technical</v>
      </c>
      <c r="I37" s="14" t="str">
        <f ca="1">VLOOKUP(H37,[2]character_type_i18n!$A:$F,3,FALSE)</f>
        <v>テクニカルタイプ</v>
      </c>
      <c r="J37" s="36">
        <f ca="1">VLOOKUP(H37,[2]character_type_i18n!$A:$F,4,FALSE)</f>
        <v>0.9</v>
      </c>
      <c r="K37" s="36">
        <f ca="1">VLOOKUP(H37,[2]character_type_i18n!$A:$F,5,FALSE)</f>
        <v>0.9</v>
      </c>
      <c r="L37" s="36">
        <f ca="1">VLOOKUP(H37,[2]character_type_i18n!$A:$F,6,FALSE)</f>
        <v>1</v>
      </c>
      <c r="M37" s="9" t="str">
        <f ca="1">VLOOKUP(A37,[2]characters!$A:$M,13,FALSE)</f>
        <v>machine</v>
      </c>
      <c r="N37" s="14" t="str">
        <f ca="1">VLOOKUP(M37,[2]character_tribe_i18n!$A:$F,3,FALSE)</f>
        <v>マシン</v>
      </c>
      <c r="O37" s="24">
        <f ca="1">VLOOKUP(M37,[2]character_tribe_i18n!$A:$F,4,FALSE)</f>
        <v>1</v>
      </c>
      <c r="P37" s="24">
        <f ca="1">VLOOKUP(M37,[2]character_tribe_i18n!$A:$F,5,FALSE)</f>
        <v>1</v>
      </c>
      <c r="Q37" s="24">
        <f ca="1">VLOOKUP(M37,[2]character_tribe_i18n!$A:$F,6,FALSE)</f>
        <v>1</v>
      </c>
      <c r="R37" s="25" t="s">
        <v>3</v>
      </c>
      <c r="S37" s="24">
        <f>VLOOKUP($R37,ラベル別係数!$A$1:$E$7,3,FALSE)</f>
        <v>3</v>
      </c>
      <c r="T37" s="24">
        <f>VLOOKUP($R37,ラベル別係数!$A$1:$E$7,4,FALSE)</f>
        <v>1.4</v>
      </c>
      <c r="U37" s="24">
        <f>VLOOKUP($R37,ラベル別係数!$A$1:$E$7,5,FALSE)</f>
        <v>0.8</v>
      </c>
      <c r="V37" s="27">
        <v>6</v>
      </c>
      <c r="W37" s="28">
        <f>VLOOKUP(V37,ターン数別攻撃係数!$A$1:$B$1000,2,FALSE)</f>
        <v>3</v>
      </c>
      <c r="X37" s="5">
        <v>20</v>
      </c>
      <c r="Y37" s="26">
        <f>VLOOKUP($X37,サイズ別係数!$B:$E,2,FALSE)</f>
        <v>1.1000000000000001</v>
      </c>
      <c r="Z37" s="26">
        <f>VLOOKUP($X37,サイズ別係数!$B:$E,3,FALSE)</f>
        <v>1.2</v>
      </c>
      <c r="AA37" s="26">
        <f>VLOOKUP($X37,サイズ別係数!$B:$E,4,FALSE)</f>
        <v>1.2</v>
      </c>
      <c r="AB37" s="62">
        <v>36</v>
      </c>
      <c r="AC37" s="34" t="str">
        <f ca="1">VLOOKUP($AB37,OFFSET([3]enemy_skill_sets!$B$2,0,0,COUNTA([3]enemy_skill_sets!$A:$A),MATCH(AC$1,[3]enemy_skill_sets!$1:$1,0)-MATCH($AB$1,[3]enemy_skill_sets!$1:$1,0)+1),MATCH(AC$1,[3]enemy_skill_sets!$1:$1,0)-MATCH($AB$1,[3]enemy_skill_sets!$1:$1,0)+1,FALSE)</f>
        <v>何やら様子がおかしい！</v>
      </c>
      <c r="AD37" s="37">
        <v>1</v>
      </c>
      <c r="AE37" s="37">
        <v>1</v>
      </c>
      <c r="AF37" s="37">
        <v>0</v>
      </c>
      <c r="AG37" s="28">
        <f ca="1">ROUND(VLOOKUP(1,enemy_base_stats!$A:$F,2,FALSE) * Y37* J37*O37*E37*S37*AD37*[2]ステータス!$B$2,0)</f>
        <v>1515</v>
      </c>
      <c r="AH37" s="28">
        <f ca="1">ROUND(VLOOKUP(1,enemy_base_stats!$A:$F,3,FALSE) * Z37*K37*P37*F37*T37*AE37 * W37*[2]ステータス!$C$2,0)</f>
        <v>667</v>
      </c>
      <c r="AI37" s="28">
        <f ca="1">ROUND(VLOOKUP(1,enemy_base_stats!$A:$F,4,FALSE) * AA37*L37*Q37*G37*U37*AF37*[2]ステータス!$D$2,0)</f>
        <v>0</v>
      </c>
      <c r="AJ37" s="28">
        <f ca="1">ROUND(VLOOKUP(100,enemy_base_stats!$A:$F,2,FALSE) * Y37* J37*O37*E37*S37*AD37*[2]ステータス!$B$2,0)</f>
        <v>61497</v>
      </c>
      <c r="AK37" s="28">
        <f ca="1">ROUND(VLOOKUP(100,enemy_base_stats!$A:$F,3,FALSE)* Z37* K37*P37*F37*T37*AE37 * W37*[2]ステータス!$C$2,0)</f>
        <v>27072</v>
      </c>
      <c r="AL37" s="28">
        <f ca="1">ROUND(VLOOKUP(100,enemy_base_stats!$A:$F,4,FALSE)* AA37* L37*Q37*G37*U37*AF37*[2]ステータス!$D$2,0)</f>
        <v>0</v>
      </c>
      <c r="AM37" s="24">
        <f ca="1">VLOOKUP(M37,[2]character_tribe_i18n!$A:$I,9,FALSE)</f>
        <v>520</v>
      </c>
      <c r="AN37" s="36">
        <v>0</v>
      </c>
      <c r="AO37" s="53">
        <v>0</v>
      </c>
      <c r="AP37" s="58" t="s">
        <v>72</v>
      </c>
      <c r="AQ37" s="71">
        <f t="shared" ca="1" si="0"/>
        <v>36</v>
      </c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</row>
    <row r="38" spans="1:60" s="3" customFormat="1" ht="21" customHeight="1" x14ac:dyDescent="0.15">
      <c r="A38" s="32">
        <f t="shared" ca="1" si="1"/>
        <v>37</v>
      </c>
      <c r="B38" s="6" t="str">
        <f ca="1">VLOOKUP(A38,[2]characters!$A:$C,3,FALSE)</f>
        <v>ガイル</v>
      </c>
      <c r="C38" s="9">
        <f ca="1">VLOOKUP(A38,[2]characters!$A:$I,9,FALSE)</f>
        <v>2</v>
      </c>
      <c r="D38" s="9" t="str">
        <f ca="1">VLOOKUP(A38,[2]characters!$A:$H,8,FALSE)</f>
        <v>blue</v>
      </c>
      <c r="E38" s="24">
        <f ca="1">VLOOKUP(D38,[2]属性!$A:$E,2,FALSE)</f>
        <v>1</v>
      </c>
      <c r="F38" s="24">
        <f ca="1">VLOOKUP(D38,[2]属性!$A:$E,3,FALSE)</f>
        <v>0.98</v>
      </c>
      <c r="G38" s="24">
        <f ca="1">VLOOKUP(D38,[2]属性!$A:$F,4,FALSE)</f>
        <v>1</v>
      </c>
      <c r="H38" s="9" t="str">
        <f ca="1">VLOOKUP(A38,[2]characters!$A:$K,11,FALSE)</f>
        <v>balance</v>
      </c>
      <c r="I38" s="14" t="str">
        <f ca="1">VLOOKUP(H38,[2]character_type_i18n!$A:$F,3,FALSE)</f>
        <v>バランスタイプ</v>
      </c>
      <c r="J38" s="36">
        <f ca="1">VLOOKUP(H38,[2]character_type_i18n!$A:$F,4,FALSE)</f>
        <v>1</v>
      </c>
      <c r="K38" s="36">
        <f ca="1">VLOOKUP(H38,[2]character_type_i18n!$A:$F,5,FALSE)</f>
        <v>1</v>
      </c>
      <c r="L38" s="36">
        <f ca="1">VLOOKUP(H38,[2]character_type_i18n!$A:$F,6,FALSE)</f>
        <v>1</v>
      </c>
      <c r="M38" s="9" t="str">
        <f ca="1">VLOOKUP(A38,[2]characters!$A:$M,13,FALSE)</f>
        <v>animal</v>
      </c>
      <c r="N38" s="14" t="str">
        <f ca="1">VLOOKUP(M38,[2]character_tribe_i18n!$A:$F,3,FALSE)</f>
        <v>アニマル</v>
      </c>
      <c r="O38" s="24">
        <f ca="1">VLOOKUP(M38,[2]character_tribe_i18n!$A:$F,4,FALSE)</f>
        <v>1</v>
      </c>
      <c r="P38" s="24">
        <f ca="1">VLOOKUP(M38,[2]character_tribe_i18n!$A:$F,5,FALSE)</f>
        <v>1.1000000000000001</v>
      </c>
      <c r="Q38" s="24">
        <f ca="1">VLOOKUP(M38,[2]character_tribe_i18n!$A:$F,6,FALSE)</f>
        <v>1</v>
      </c>
      <c r="R38" s="25" t="s">
        <v>19</v>
      </c>
      <c r="S38" s="24">
        <f>VLOOKUP($R38,ラベル別係数!$A$1:$E$7,3,FALSE)</f>
        <v>1</v>
      </c>
      <c r="T38" s="24">
        <f>VLOOKUP($R38,ラベル別係数!$A$1:$E$7,4,FALSE)</f>
        <v>1</v>
      </c>
      <c r="U38" s="24">
        <f>VLOOKUP($R38,ラベル別係数!$A$1:$E$7,5,FALSE)</f>
        <v>1</v>
      </c>
      <c r="V38" s="27">
        <v>3</v>
      </c>
      <c r="W38" s="28">
        <f>VLOOKUP(V38,ターン数別攻撃係数!$A$1:$B$1000,2,FALSE)</f>
        <v>1</v>
      </c>
      <c r="X38" s="10">
        <v>15</v>
      </c>
      <c r="Y38" s="26">
        <f>VLOOKUP($X38,サイズ別係数!$B:$E,2,FALSE)</f>
        <v>1</v>
      </c>
      <c r="Z38" s="26">
        <f>VLOOKUP($X38,サイズ別係数!$B:$E,3,FALSE)</f>
        <v>1</v>
      </c>
      <c r="AA38" s="26">
        <f>VLOOKUP($X38,サイズ別係数!$B:$E,4,FALSE)</f>
        <v>1</v>
      </c>
      <c r="AB38" s="62">
        <v>37</v>
      </c>
      <c r="AC38" s="34" t="str">
        <f ca="1">VLOOKUP($AB38,OFFSET([3]enemy_skill_sets!$B$2,0,0,COUNTA([3]enemy_skill_sets!$A:$A),MATCH(AC$1,[3]enemy_skill_sets!$1:$1,0)-MATCH($AB$1,[3]enemy_skill_sets!$1:$1,0)+1),MATCH(AC$1,[3]enemy_skill_sets!$1:$1,0)-MATCH($AB$1,[3]enemy_skill_sets!$1:$1,0)+1,FALSE)</f>
        <v>じっとこちらを見ている</v>
      </c>
      <c r="AD38" s="37">
        <v>1</v>
      </c>
      <c r="AE38" s="37">
        <v>1</v>
      </c>
      <c r="AF38" s="37">
        <v>0</v>
      </c>
      <c r="AG38" s="28">
        <f ca="1">ROUND(VLOOKUP(1,enemy_base_stats!$A:$F,2,FALSE) * Y38* J38*O38*E38*S38*AD38*[2]ステータス!$B$2,0)</f>
        <v>500</v>
      </c>
      <c r="AH38" s="28">
        <f ca="1">ROUND(VLOOKUP(1,enemy_base_stats!$A:$F,3,FALSE) * Z38*K38*P38*F38*T38*AE38 * W38*[2]ステータス!$C$2,0)</f>
        <v>162</v>
      </c>
      <c r="AI38" s="28">
        <f ca="1">ROUND(VLOOKUP(1,enemy_base_stats!$A:$F,4,FALSE) * AA38*L38*Q38*G38*U38*AF38*[2]ステータス!$D$2,0)</f>
        <v>0</v>
      </c>
      <c r="AJ38" s="28">
        <f ca="1">ROUND(VLOOKUP(100,enemy_base_stats!$A:$F,2,FALSE) * Y38* J38*O38*E38*S38*AD38*[2]ステータス!$B$2,0)</f>
        <v>20300</v>
      </c>
      <c r="AK38" s="28">
        <f ca="1">ROUND(VLOOKUP(100,enemy_base_stats!$A:$F,3,FALSE)* Z38* K38*P38*F38*T38*AE38 * W38*[2]ステータス!$C$2,0)</f>
        <v>6565</v>
      </c>
      <c r="AL38" s="28">
        <f ca="1">ROUND(VLOOKUP(100,enemy_base_stats!$A:$F,4,FALSE)* AA38* L38*Q38*G38*U38*AF38*[2]ステータス!$D$2,0)</f>
        <v>0</v>
      </c>
      <c r="AM38" s="24">
        <f ca="1">VLOOKUP(M38,[2]character_tribe_i18n!$A:$I,9,FALSE)</f>
        <v>480</v>
      </c>
      <c r="AN38" s="36">
        <v>0</v>
      </c>
      <c r="AO38" s="53">
        <v>0</v>
      </c>
      <c r="AP38" s="58" t="s">
        <v>72</v>
      </c>
      <c r="AQ38" s="71">
        <f t="shared" ca="1" si="0"/>
        <v>37</v>
      </c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</row>
    <row r="39" spans="1:60" s="3" customFormat="1" ht="21" customHeight="1" x14ac:dyDescent="0.15">
      <c r="A39" s="32">
        <f t="shared" ca="1" si="1"/>
        <v>38</v>
      </c>
      <c r="B39" s="6" t="str">
        <f ca="1">VLOOKUP(A39,[2]characters!$A:$C,3,FALSE)</f>
        <v>通話対応型 ガイル</v>
      </c>
      <c r="C39" s="9">
        <f ca="1">VLOOKUP(A39,[2]characters!$A:$I,9,FALSE)</f>
        <v>3</v>
      </c>
      <c r="D39" s="9" t="str">
        <f ca="1">VLOOKUP(A39,[2]characters!$A:$H,8,FALSE)</f>
        <v>blue</v>
      </c>
      <c r="E39" s="24">
        <f ca="1">VLOOKUP(D39,[2]属性!$A:$E,2,FALSE)</f>
        <v>1</v>
      </c>
      <c r="F39" s="24">
        <f ca="1">VLOOKUP(D39,[2]属性!$A:$E,3,FALSE)</f>
        <v>0.98</v>
      </c>
      <c r="G39" s="24">
        <f ca="1">VLOOKUP(D39,[2]属性!$A:$F,4,FALSE)</f>
        <v>1</v>
      </c>
      <c r="H39" s="9" t="str">
        <f ca="1">VLOOKUP(A39,[2]characters!$A:$K,11,FALSE)</f>
        <v>balance</v>
      </c>
      <c r="I39" s="14" t="str">
        <f ca="1">VLOOKUP(H39,[2]character_type_i18n!$A:$F,3,FALSE)</f>
        <v>バランスタイプ</v>
      </c>
      <c r="J39" s="36">
        <f ca="1">VLOOKUP(H39,[2]character_type_i18n!$A:$F,4,FALSE)</f>
        <v>1</v>
      </c>
      <c r="K39" s="36">
        <f ca="1">VLOOKUP(H39,[2]character_type_i18n!$A:$F,5,FALSE)</f>
        <v>1</v>
      </c>
      <c r="L39" s="36">
        <f ca="1">VLOOKUP(H39,[2]character_type_i18n!$A:$F,6,FALSE)</f>
        <v>1</v>
      </c>
      <c r="M39" s="9" t="str">
        <f ca="1">VLOOKUP(A39,[2]characters!$A:$M,13,FALSE)</f>
        <v>animal</v>
      </c>
      <c r="N39" s="14" t="str">
        <f ca="1">VLOOKUP(M39,[2]character_tribe_i18n!$A:$F,3,FALSE)</f>
        <v>アニマル</v>
      </c>
      <c r="O39" s="24">
        <f ca="1">VLOOKUP(M39,[2]character_tribe_i18n!$A:$F,4,FALSE)</f>
        <v>1</v>
      </c>
      <c r="P39" s="24">
        <f ca="1">VLOOKUP(M39,[2]character_tribe_i18n!$A:$F,5,FALSE)</f>
        <v>1.1000000000000001</v>
      </c>
      <c r="Q39" s="24">
        <f ca="1">VLOOKUP(M39,[2]character_tribe_i18n!$A:$F,6,FALSE)</f>
        <v>1</v>
      </c>
      <c r="R39" s="25" t="s">
        <v>3</v>
      </c>
      <c r="S39" s="24">
        <f>VLOOKUP($R39,ラベル別係数!$A$1:$E$7,3,FALSE)</f>
        <v>3</v>
      </c>
      <c r="T39" s="24">
        <f>VLOOKUP($R39,ラベル別係数!$A$1:$E$7,4,FALSE)</f>
        <v>1.4</v>
      </c>
      <c r="U39" s="24">
        <f>VLOOKUP($R39,ラベル別係数!$A$1:$E$7,5,FALSE)</f>
        <v>0.8</v>
      </c>
      <c r="V39" s="27">
        <v>3</v>
      </c>
      <c r="W39" s="28">
        <f>VLOOKUP(V39,ターン数別攻撃係数!$A$1:$B$1000,2,FALSE)</f>
        <v>1</v>
      </c>
      <c r="X39" s="5">
        <v>20</v>
      </c>
      <c r="Y39" s="26">
        <f>VLOOKUP($X39,サイズ別係数!$B:$E,2,FALSE)</f>
        <v>1.1000000000000001</v>
      </c>
      <c r="Z39" s="26">
        <f>VLOOKUP($X39,サイズ別係数!$B:$E,3,FALSE)</f>
        <v>1.2</v>
      </c>
      <c r="AA39" s="26">
        <f>VLOOKUP($X39,サイズ別係数!$B:$E,4,FALSE)</f>
        <v>1.2</v>
      </c>
      <c r="AB39" s="62">
        <v>38</v>
      </c>
      <c r="AC39" s="34" t="str">
        <f ca="1">VLOOKUP($AB39,OFFSET([3]enemy_skill_sets!$B$2,0,0,COUNTA([3]enemy_skill_sets!$A:$A),MATCH(AC$1,[3]enemy_skill_sets!$1:$1,0)-MATCH($AB$1,[3]enemy_skill_sets!$1:$1,0)+1),MATCH(AC$1,[3]enemy_skill_sets!$1:$1,0)-MATCH($AB$1,[3]enemy_skill_sets!$1:$1,0)+1,FALSE)</f>
        <v>じっとこちらを見ている</v>
      </c>
      <c r="AD39" s="37">
        <v>1</v>
      </c>
      <c r="AE39" s="37">
        <v>1</v>
      </c>
      <c r="AF39" s="37">
        <v>0</v>
      </c>
      <c r="AG39" s="28">
        <f ca="1">ROUND(VLOOKUP(1,enemy_base_stats!$A:$F,2,FALSE) * Y39* J39*O39*E39*S39*AD39*[2]ステータス!$B$2,0)</f>
        <v>1650</v>
      </c>
      <c r="AH39" s="28">
        <f ca="1">ROUND(VLOOKUP(1,enemy_base_stats!$A:$F,3,FALSE) * Z39*K39*P39*F39*T39*AE39 * W39*[2]ステータス!$C$2,0)</f>
        <v>272</v>
      </c>
      <c r="AI39" s="28">
        <f ca="1">ROUND(VLOOKUP(1,enemy_base_stats!$A:$F,4,FALSE) * AA39*L39*Q39*G39*U39*AF39*[2]ステータス!$D$2,0)</f>
        <v>0</v>
      </c>
      <c r="AJ39" s="28">
        <f ca="1">ROUND(VLOOKUP(100,enemy_base_stats!$A:$F,2,FALSE) * Y39* J39*O39*E39*S39*AD39*[2]ステータス!$B$2,0)</f>
        <v>66990</v>
      </c>
      <c r="AK39" s="28">
        <f ca="1">ROUND(VLOOKUP(100,enemy_base_stats!$A:$F,3,FALSE)* Z39* K39*P39*F39*T39*AE39 * W39*[2]ステータス!$C$2,0)</f>
        <v>11029</v>
      </c>
      <c r="AL39" s="28">
        <f ca="1">ROUND(VLOOKUP(100,enemy_base_stats!$A:$F,4,FALSE)* AA39* L39*Q39*G39*U39*AF39*[2]ステータス!$D$2,0)</f>
        <v>0</v>
      </c>
      <c r="AM39" s="24">
        <f ca="1">VLOOKUP(M39,[2]character_tribe_i18n!$A:$I,9,FALSE)</f>
        <v>480</v>
      </c>
      <c r="AN39" s="36">
        <v>0</v>
      </c>
      <c r="AO39" s="53">
        <v>0</v>
      </c>
      <c r="AP39" s="58" t="s">
        <v>72</v>
      </c>
      <c r="AQ39" s="71">
        <f t="shared" ca="1" si="0"/>
        <v>38</v>
      </c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</row>
    <row r="40" spans="1:60" s="3" customFormat="1" ht="21" customHeight="1" x14ac:dyDescent="0.15">
      <c r="A40" s="32">
        <f t="shared" ca="1" si="1"/>
        <v>39</v>
      </c>
      <c r="B40" s="6" t="str">
        <f ca="1">VLOOKUP(A40,[2]characters!$A:$C,3,FALSE)</f>
        <v>マーロン</v>
      </c>
      <c r="C40" s="9">
        <f ca="1">VLOOKUP(A40,[2]characters!$A:$I,9,FALSE)</f>
        <v>2</v>
      </c>
      <c r="D40" s="9" t="str">
        <f ca="1">VLOOKUP(A40,[2]characters!$A:$H,8,FALSE)</f>
        <v>yellow</v>
      </c>
      <c r="E40" s="24">
        <f ca="1">VLOOKUP(D40,[2]属性!$A:$E,2,FALSE)</f>
        <v>0.98</v>
      </c>
      <c r="F40" s="24">
        <f ca="1">VLOOKUP(D40,[2]属性!$A:$E,3,FALSE)</f>
        <v>1.01</v>
      </c>
      <c r="G40" s="24">
        <f ca="1">VLOOKUP(D40,[2]属性!$A:$F,4,FALSE)</f>
        <v>1</v>
      </c>
      <c r="H40" s="9" t="str">
        <f ca="1">VLOOKUP(A40,[2]characters!$A:$K,11,FALSE)</f>
        <v>balance</v>
      </c>
      <c r="I40" s="14" t="str">
        <f ca="1">VLOOKUP(H40,[2]character_type_i18n!$A:$F,3,FALSE)</f>
        <v>バランスタイプ</v>
      </c>
      <c r="J40" s="36">
        <f ca="1">VLOOKUP(H40,[2]character_type_i18n!$A:$F,4,FALSE)</f>
        <v>1</v>
      </c>
      <c r="K40" s="36">
        <f ca="1">VLOOKUP(H40,[2]character_type_i18n!$A:$F,5,FALSE)</f>
        <v>1</v>
      </c>
      <c r="L40" s="36">
        <f ca="1">VLOOKUP(H40,[2]character_type_i18n!$A:$F,6,FALSE)</f>
        <v>1</v>
      </c>
      <c r="M40" s="9" t="str">
        <f ca="1">VLOOKUP(A40,[2]characters!$A:$M,13,FALSE)</f>
        <v>human</v>
      </c>
      <c r="N40" s="14" t="str">
        <f ca="1">VLOOKUP(M40,[2]character_tribe_i18n!$A:$F,3,FALSE)</f>
        <v>ヒューマン</v>
      </c>
      <c r="O40" s="24">
        <f ca="1">VLOOKUP(M40,[2]character_tribe_i18n!$A:$F,4,FALSE)</f>
        <v>0.94</v>
      </c>
      <c r="P40" s="24">
        <f ca="1">VLOOKUP(M40,[2]character_tribe_i18n!$A:$F,5,FALSE)</f>
        <v>0.99</v>
      </c>
      <c r="Q40" s="24">
        <f ca="1">VLOOKUP(M40,[2]character_tribe_i18n!$A:$F,6,FALSE)</f>
        <v>1</v>
      </c>
      <c r="R40" s="25" t="s">
        <v>19</v>
      </c>
      <c r="S40" s="24">
        <f>VLOOKUP($R40,ラベル別係数!$A$1:$E$7,3,FALSE)</f>
        <v>1</v>
      </c>
      <c r="T40" s="24">
        <f>VLOOKUP($R40,ラベル別係数!$A$1:$E$7,4,FALSE)</f>
        <v>1</v>
      </c>
      <c r="U40" s="24">
        <f>VLOOKUP($R40,ラベル別係数!$A$1:$E$7,5,FALSE)</f>
        <v>1</v>
      </c>
      <c r="V40" s="27">
        <v>3</v>
      </c>
      <c r="W40" s="28">
        <f>VLOOKUP(V40,ターン数別攻撃係数!$A$1:$B$1000,2,FALSE)</f>
        <v>1</v>
      </c>
      <c r="X40" s="10">
        <v>15</v>
      </c>
      <c r="Y40" s="26">
        <f>VLOOKUP($X40,サイズ別係数!$B:$E,2,FALSE)</f>
        <v>1</v>
      </c>
      <c r="Z40" s="26">
        <f>VLOOKUP($X40,サイズ別係数!$B:$E,3,FALSE)</f>
        <v>1</v>
      </c>
      <c r="AA40" s="26">
        <f>VLOOKUP($X40,サイズ別係数!$B:$E,4,FALSE)</f>
        <v>1</v>
      </c>
      <c r="AB40" s="62">
        <v>39</v>
      </c>
      <c r="AC40" s="34" t="str">
        <f ca="1">VLOOKUP($AB40,OFFSET([3]enemy_skill_sets!$B$2,0,0,COUNTA([3]enemy_skill_sets!$A:$A),MATCH(AC$1,[3]enemy_skill_sets!$1:$1,0)-MATCH($AB$1,[3]enemy_skill_sets!$1:$1,0)+1),MATCH(AC$1,[3]enemy_skill_sets!$1:$1,0)-MATCH($AB$1,[3]enemy_skill_sets!$1:$1,0)+1,FALSE)</f>
        <v>3ターンスキルが使えない！</v>
      </c>
      <c r="AD40" s="37">
        <v>1</v>
      </c>
      <c r="AE40" s="37">
        <v>1</v>
      </c>
      <c r="AF40" s="37">
        <v>0</v>
      </c>
      <c r="AG40" s="28">
        <f ca="1">ROUND(VLOOKUP(1,enemy_base_stats!$A:$F,2,FALSE) * Y40* J40*O40*E40*S40*AD40*[2]ステータス!$B$2,0)</f>
        <v>461</v>
      </c>
      <c r="AH40" s="28">
        <f ca="1">ROUND(VLOOKUP(1,enemy_base_stats!$A:$F,3,FALSE) * Z40*K40*P40*F40*T40*AE40 * W40*[2]ステータス!$C$2,0)</f>
        <v>150</v>
      </c>
      <c r="AI40" s="28">
        <f ca="1">ROUND(VLOOKUP(1,enemy_base_stats!$A:$F,4,FALSE) * AA40*L40*Q40*G40*U40*AF40*[2]ステータス!$D$2,0)</f>
        <v>0</v>
      </c>
      <c r="AJ40" s="28">
        <f ca="1">ROUND(VLOOKUP(100,enemy_base_stats!$A:$F,2,FALSE) * Y40* J40*O40*E40*S40*AD40*[2]ステータス!$B$2,0)</f>
        <v>18700</v>
      </c>
      <c r="AK40" s="28">
        <f ca="1">ROUND(VLOOKUP(100,enemy_base_stats!$A:$F,3,FALSE)* Z40* K40*P40*F40*T40*AE40 * W40*[2]ステータス!$C$2,0)</f>
        <v>6089</v>
      </c>
      <c r="AL40" s="28">
        <f ca="1">ROUND(VLOOKUP(100,enemy_base_stats!$A:$F,4,FALSE)* AA40* L40*Q40*G40*U40*AF40*[2]ステータス!$D$2,0)</f>
        <v>0</v>
      </c>
      <c r="AM40" s="24">
        <f ca="1">VLOOKUP(M40,[2]character_tribe_i18n!$A:$I,9,FALSE)</f>
        <v>400</v>
      </c>
      <c r="AN40" s="36">
        <v>0</v>
      </c>
      <c r="AO40" s="53">
        <v>0</v>
      </c>
      <c r="AP40" s="58" t="s">
        <v>72</v>
      </c>
      <c r="AQ40" s="71">
        <f t="shared" ca="1" si="0"/>
        <v>39</v>
      </c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</row>
    <row r="41" spans="1:60" s="3" customFormat="1" ht="21" customHeight="1" x14ac:dyDescent="0.15">
      <c r="A41" s="32">
        <f t="shared" ca="1" si="1"/>
        <v>40</v>
      </c>
      <c r="B41" s="6" t="str">
        <f ca="1">VLOOKUP(A41,[2]characters!$A:$C,3,FALSE)</f>
        <v>デジタルマジシャン マーロン</v>
      </c>
      <c r="C41" s="9">
        <f ca="1">VLOOKUP(A41,[2]characters!$A:$I,9,FALSE)</f>
        <v>3</v>
      </c>
      <c r="D41" s="9" t="str">
        <f ca="1">VLOOKUP(A41,[2]characters!$A:$H,8,FALSE)</f>
        <v>yellow</v>
      </c>
      <c r="E41" s="24">
        <f ca="1">VLOOKUP(D41,[2]属性!$A:$E,2,FALSE)</f>
        <v>0.98</v>
      </c>
      <c r="F41" s="24">
        <f ca="1">VLOOKUP(D41,[2]属性!$A:$E,3,FALSE)</f>
        <v>1.01</v>
      </c>
      <c r="G41" s="24">
        <f ca="1">VLOOKUP(D41,[2]属性!$A:$F,4,FALSE)</f>
        <v>1</v>
      </c>
      <c r="H41" s="9" t="str">
        <f ca="1">VLOOKUP(A41,[2]characters!$A:$K,11,FALSE)</f>
        <v>balance</v>
      </c>
      <c r="I41" s="14" t="str">
        <f ca="1">VLOOKUP(H41,[2]character_type_i18n!$A:$F,3,FALSE)</f>
        <v>バランスタイプ</v>
      </c>
      <c r="J41" s="36">
        <f ca="1">VLOOKUP(H41,[2]character_type_i18n!$A:$F,4,FALSE)</f>
        <v>1</v>
      </c>
      <c r="K41" s="36">
        <f ca="1">VLOOKUP(H41,[2]character_type_i18n!$A:$F,5,FALSE)</f>
        <v>1</v>
      </c>
      <c r="L41" s="36">
        <f ca="1">VLOOKUP(H41,[2]character_type_i18n!$A:$F,6,FALSE)</f>
        <v>1</v>
      </c>
      <c r="M41" s="9" t="str">
        <f ca="1">VLOOKUP(A41,[2]characters!$A:$M,13,FALSE)</f>
        <v>human</v>
      </c>
      <c r="N41" s="14" t="str">
        <f ca="1">VLOOKUP(M41,[2]character_tribe_i18n!$A:$F,3,FALSE)</f>
        <v>ヒューマン</v>
      </c>
      <c r="O41" s="24">
        <f ca="1">VLOOKUP(M41,[2]character_tribe_i18n!$A:$F,4,FALSE)</f>
        <v>0.94</v>
      </c>
      <c r="P41" s="24">
        <f ca="1">VLOOKUP(M41,[2]character_tribe_i18n!$A:$F,5,FALSE)</f>
        <v>0.99</v>
      </c>
      <c r="Q41" s="24">
        <f ca="1">VLOOKUP(M41,[2]character_tribe_i18n!$A:$F,6,FALSE)</f>
        <v>1</v>
      </c>
      <c r="R41" s="25" t="s">
        <v>3</v>
      </c>
      <c r="S41" s="24">
        <f>VLOOKUP($R41,ラベル別係数!$A$1:$E$7,3,FALSE)</f>
        <v>3</v>
      </c>
      <c r="T41" s="24">
        <f>VLOOKUP($R41,ラベル別係数!$A$1:$E$7,4,FALSE)</f>
        <v>1.4</v>
      </c>
      <c r="U41" s="24">
        <f>VLOOKUP($R41,ラベル別係数!$A$1:$E$7,5,FALSE)</f>
        <v>0.8</v>
      </c>
      <c r="V41" s="27">
        <v>3</v>
      </c>
      <c r="W41" s="28">
        <f>VLOOKUP(V41,ターン数別攻撃係数!$A$1:$B$1000,2,FALSE)</f>
        <v>1</v>
      </c>
      <c r="X41" s="5">
        <v>20</v>
      </c>
      <c r="Y41" s="26">
        <f>VLOOKUP($X41,サイズ別係数!$B:$E,2,FALSE)</f>
        <v>1.1000000000000001</v>
      </c>
      <c r="Z41" s="26">
        <f>VLOOKUP($X41,サイズ別係数!$B:$E,3,FALSE)</f>
        <v>1.2</v>
      </c>
      <c r="AA41" s="26">
        <f>VLOOKUP($X41,サイズ別係数!$B:$E,4,FALSE)</f>
        <v>1.2</v>
      </c>
      <c r="AB41" s="62">
        <v>40</v>
      </c>
      <c r="AC41" s="34" t="str">
        <f ca="1">VLOOKUP($AB41,OFFSET([3]enemy_skill_sets!$B$2,0,0,COUNTA([3]enemy_skill_sets!$A:$A),MATCH(AC$1,[3]enemy_skill_sets!$1:$1,0)-MATCH($AB$1,[3]enemy_skill_sets!$1:$1,0)+1),MATCH(AC$1,[3]enemy_skill_sets!$1:$1,0)-MATCH($AB$1,[3]enemy_skill_sets!$1:$1,0)+1,FALSE)</f>
        <v>3ターンスキルが使えない！</v>
      </c>
      <c r="AD41" s="37">
        <v>1</v>
      </c>
      <c r="AE41" s="37">
        <v>1</v>
      </c>
      <c r="AF41" s="37">
        <v>0</v>
      </c>
      <c r="AG41" s="28">
        <f ca="1">ROUND(VLOOKUP(1,enemy_base_stats!$A:$F,2,FALSE) * Y41* J41*O41*E41*S41*AD41*[2]ステータス!$B$2,0)</f>
        <v>1520</v>
      </c>
      <c r="AH41" s="28">
        <f ca="1">ROUND(VLOOKUP(1,enemy_base_stats!$A:$F,3,FALSE) * Z41*K41*P41*F41*T41*AE41 * W41*[2]ステータス!$C$2,0)</f>
        <v>252</v>
      </c>
      <c r="AI41" s="28">
        <f ca="1">ROUND(VLOOKUP(1,enemy_base_stats!$A:$F,4,FALSE) * AA41*L41*Q41*G41*U41*AF41*[2]ステータス!$D$2,0)</f>
        <v>0</v>
      </c>
      <c r="AJ41" s="28">
        <f ca="1">ROUND(VLOOKUP(100,enemy_base_stats!$A:$F,2,FALSE) * Y41* J41*O41*E41*S41*AD41*[2]ステータス!$B$2,0)</f>
        <v>61711</v>
      </c>
      <c r="AK41" s="28">
        <f ca="1">ROUND(VLOOKUP(100,enemy_base_stats!$A:$F,3,FALSE)* Z41* K41*P41*F41*T41*AE41 * W41*[2]ステータス!$C$2,0)</f>
        <v>10230</v>
      </c>
      <c r="AL41" s="28">
        <f ca="1">ROUND(VLOOKUP(100,enemy_base_stats!$A:$F,4,FALSE)* AA41* L41*Q41*G41*U41*AF41*[2]ステータス!$D$2,0)</f>
        <v>0</v>
      </c>
      <c r="AM41" s="24">
        <f ca="1">VLOOKUP(M41,[2]character_tribe_i18n!$A:$I,9,FALSE)</f>
        <v>400</v>
      </c>
      <c r="AN41" s="36">
        <v>0</v>
      </c>
      <c r="AO41" s="53">
        <v>0</v>
      </c>
      <c r="AP41" s="58" t="s">
        <v>72</v>
      </c>
      <c r="AQ41" s="71">
        <f t="shared" ca="1" si="0"/>
        <v>40</v>
      </c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</row>
    <row r="42" spans="1:60" s="3" customFormat="1" ht="21" customHeight="1" x14ac:dyDescent="0.15">
      <c r="A42" s="31">
        <f t="shared" ca="1" si="1"/>
        <v>41</v>
      </c>
      <c r="B42" s="6" t="str">
        <f ca="1">VLOOKUP(A42,[2]characters!$A:$C,3,FALSE)</f>
        <v>ヒュウガ</v>
      </c>
      <c r="C42" s="9">
        <f ca="1">VLOOKUP(A42,[2]characters!$A:$I,9,FALSE)</f>
        <v>2</v>
      </c>
      <c r="D42" s="9" t="str">
        <f ca="1">VLOOKUP(A42,[2]characters!$A:$H,8,FALSE)</f>
        <v>red</v>
      </c>
      <c r="E42" s="24">
        <f ca="1">VLOOKUP(D42,[2]属性!$A:$E,2,FALSE)</f>
        <v>1</v>
      </c>
      <c r="F42" s="24">
        <f ca="1">VLOOKUP(D42,[2]属性!$A:$E,3,FALSE)</f>
        <v>1.02</v>
      </c>
      <c r="G42" s="24">
        <f ca="1">VLOOKUP(D42,[2]属性!$A:$F,4,FALSE)</f>
        <v>1</v>
      </c>
      <c r="H42" s="9" t="str">
        <f ca="1">VLOOKUP(A42,[2]characters!$A:$K,11,FALSE)</f>
        <v>attack</v>
      </c>
      <c r="I42" s="14" t="str">
        <f ca="1">VLOOKUP(H42,[2]character_type_i18n!$A:$F,3,FALSE)</f>
        <v>攻撃タイプ</v>
      </c>
      <c r="J42" s="36">
        <f ca="1">VLOOKUP(H42,[2]character_type_i18n!$A:$F,4,FALSE)</f>
        <v>1</v>
      </c>
      <c r="K42" s="36">
        <f ca="1">VLOOKUP(H42,[2]character_type_i18n!$A:$F,5,FALSE)</f>
        <v>1.33</v>
      </c>
      <c r="L42" s="36">
        <f ca="1">VLOOKUP(H42,[2]character_type_i18n!$A:$F,6,FALSE)</f>
        <v>1</v>
      </c>
      <c r="M42" s="9" t="str">
        <f ca="1">VLOOKUP(A42,[2]characters!$A:$M,13,FALSE)</f>
        <v>dragon</v>
      </c>
      <c r="N42" s="14" t="str">
        <f ca="1">VLOOKUP(M42,[2]character_tribe_i18n!$A:$F,3,FALSE)</f>
        <v>ドラゴン</v>
      </c>
      <c r="O42" s="24">
        <f ca="1">VLOOKUP(M42,[2]character_tribe_i18n!$A:$F,4,FALSE)</f>
        <v>1.1499999999999999</v>
      </c>
      <c r="P42" s="24">
        <f ca="1">VLOOKUP(M42,[2]character_tribe_i18n!$A:$F,5,FALSE)</f>
        <v>1.1000000000000001</v>
      </c>
      <c r="Q42" s="24">
        <f ca="1">VLOOKUP(M42,[2]character_tribe_i18n!$A:$F,6,FALSE)</f>
        <v>1</v>
      </c>
      <c r="R42" s="23" t="s">
        <v>19</v>
      </c>
      <c r="S42" s="24">
        <f>VLOOKUP($R42,ラベル別係数!$A$1:$E$7,3,FALSE)</f>
        <v>1</v>
      </c>
      <c r="T42" s="24">
        <f>VLOOKUP($R42,ラベル別係数!$A$1:$E$7,4,FALSE)</f>
        <v>1</v>
      </c>
      <c r="U42" s="24">
        <f>VLOOKUP($R42,ラベル別係数!$A$1:$E$7,5,FALSE)</f>
        <v>1</v>
      </c>
      <c r="V42" s="27">
        <v>1</v>
      </c>
      <c r="W42" s="28">
        <f>VLOOKUP(V42,ターン数別攻撃係数!$A$1:$B$1000,2,FALSE)</f>
        <v>0.55000000000000004</v>
      </c>
      <c r="X42" s="10">
        <v>15</v>
      </c>
      <c r="Y42" s="26">
        <f>VLOOKUP($X42,サイズ別係数!$B:$E,2,FALSE)</f>
        <v>1</v>
      </c>
      <c r="Z42" s="26">
        <f>VLOOKUP($X42,サイズ別係数!$B:$E,3,FALSE)</f>
        <v>1</v>
      </c>
      <c r="AA42" s="26">
        <f>VLOOKUP($X42,サイズ別係数!$B:$E,4,FALSE)</f>
        <v>1</v>
      </c>
      <c r="AB42" s="35">
        <v>0</v>
      </c>
      <c r="AC42" s="34" t="str">
        <f ca="1">VLOOKUP($AB42,OFFSET([3]enemy_skill_sets!$B$2,0,0,COUNTA([3]enemy_skill_sets!$A:$A),MATCH(AC$1,[3]enemy_skill_sets!$1:$1,0)-MATCH($AB$1,[3]enemy_skill_sets!$1:$1,0)+1),MATCH(AC$1,[3]enemy_skill_sets!$1:$1,0)-MATCH($AB$1,[3]enemy_skill_sets!$1:$1,0)+1,FALSE)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" s="37">
        <v>1</v>
      </c>
      <c r="AE42" s="37">
        <v>1</v>
      </c>
      <c r="AF42" s="37">
        <v>0</v>
      </c>
      <c r="AG42" s="28">
        <f ca="1">ROUND(VLOOKUP(1,enemy_base_stats!$A:$F,2,FALSE) * Y42* J42*O42*E42*S42*AD42*[2]ステータス!$B$2,0)</f>
        <v>575</v>
      </c>
      <c r="AH42" s="28">
        <f ca="1">ROUND(VLOOKUP(1,enemy_base_stats!$A:$F,3,FALSE) * Z42*K42*P42*F42*T42*AE42 * W42*[2]ステータス!$C$2,0)</f>
        <v>123</v>
      </c>
      <c r="AI42" s="28">
        <f ca="1">ROUND(VLOOKUP(1,enemy_base_stats!$A:$F,4,FALSE) * AA42*L42*Q42*G42*U42*AF42*[2]ステータス!$D$2,0)</f>
        <v>0</v>
      </c>
      <c r="AJ42" s="28">
        <f ca="1">ROUND(VLOOKUP(100,enemy_base_stats!$A:$F,2,FALSE) * Y42* J42*O42*E42*S42*AD42*[2]ステータス!$B$2,0)</f>
        <v>23345</v>
      </c>
      <c r="AK42" s="28">
        <f ca="1">ROUND(VLOOKUP(100,enemy_base_stats!$A:$F,3,FALSE)* Z42* K42*P42*F42*T42*AE42 * W42*[2]ステータス!$C$2,0)</f>
        <v>4998</v>
      </c>
      <c r="AL42" s="28">
        <f ca="1">ROUND(VLOOKUP(100,enemy_base_stats!$A:$F,4,FALSE)* AA42* L42*Q42*G42*U42*AF42*[2]ステータス!$D$2,0)</f>
        <v>0</v>
      </c>
      <c r="AM42" s="24">
        <f ca="1">VLOOKUP(M42,[2]character_tribe_i18n!$A:$I,9,FALSE)</f>
        <v>540</v>
      </c>
      <c r="AN42" s="36">
        <v>0</v>
      </c>
      <c r="AO42" s="53">
        <v>0</v>
      </c>
      <c r="AP42" s="58" t="s">
        <v>72</v>
      </c>
      <c r="AQ42" s="71">
        <f t="shared" ca="1" si="0"/>
        <v>41</v>
      </c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</row>
    <row r="43" spans="1:60" s="3" customFormat="1" ht="21" customHeight="1" x14ac:dyDescent="0.15">
      <c r="A43" s="31">
        <f t="shared" ca="1" si="1"/>
        <v>42</v>
      </c>
      <c r="B43" s="6" t="str">
        <f ca="1">VLOOKUP(A43,[2]characters!$A:$C,3,FALSE)</f>
        <v>燃えゆる吐息 ヒュウガ</v>
      </c>
      <c r="C43" s="9">
        <f ca="1">VLOOKUP(A43,[2]characters!$A:$I,9,FALSE)</f>
        <v>3</v>
      </c>
      <c r="D43" s="9" t="str">
        <f ca="1">VLOOKUP(A43,[2]characters!$A:$H,8,FALSE)</f>
        <v>red</v>
      </c>
      <c r="E43" s="24">
        <f ca="1">VLOOKUP(D43,[2]属性!$A:$E,2,FALSE)</f>
        <v>1</v>
      </c>
      <c r="F43" s="24">
        <f ca="1">VLOOKUP(D43,[2]属性!$A:$E,3,FALSE)</f>
        <v>1.02</v>
      </c>
      <c r="G43" s="24">
        <f ca="1">VLOOKUP(D43,[2]属性!$A:$F,4,FALSE)</f>
        <v>1</v>
      </c>
      <c r="H43" s="9" t="str">
        <f ca="1">VLOOKUP(A43,[2]characters!$A:$K,11,FALSE)</f>
        <v>attack</v>
      </c>
      <c r="I43" s="14" t="str">
        <f ca="1">VLOOKUP(H43,[2]character_type_i18n!$A:$F,3,FALSE)</f>
        <v>攻撃タイプ</v>
      </c>
      <c r="J43" s="36">
        <f ca="1">VLOOKUP(H43,[2]character_type_i18n!$A:$F,4,FALSE)</f>
        <v>1</v>
      </c>
      <c r="K43" s="36">
        <f ca="1">VLOOKUP(H43,[2]character_type_i18n!$A:$F,5,FALSE)</f>
        <v>1.33</v>
      </c>
      <c r="L43" s="36">
        <f ca="1">VLOOKUP(H43,[2]character_type_i18n!$A:$F,6,FALSE)</f>
        <v>1</v>
      </c>
      <c r="M43" s="9" t="str">
        <f ca="1">VLOOKUP(A43,[2]characters!$A:$M,13,FALSE)</f>
        <v>dragon</v>
      </c>
      <c r="N43" s="14" t="str">
        <f ca="1">VLOOKUP(M43,[2]character_tribe_i18n!$A:$F,3,FALSE)</f>
        <v>ドラゴン</v>
      </c>
      <c r="O43" s="24">
        <f ca="1">VLOOKUP(M43,[2]character_tribe_i18n!$A:$F,4,FALSE)</f>
        <v>1.1499999999999999</v>
      </c>
      <c r="P43" s="24">
        <f ca="1">VLOOKUP(M43,[2]character_tribe_i18n!$A:$F,5,FALSE)</f>
        <v>1.1000000000000001</v>
      </c>
      <c r="Q43" s="24">
        <f ca="1">VLOOKUP(M43,[2]character_tribe_i18n!$A:$F,6,FALSE)</f>
        <v>1</v>
      </c>
      <c r="R43" s="25" t="s">
        <v>3</v>
      </c>
      <c r="S43" s="24">
        <f>VLOOKUP($R43,ラベル別係数!$A$1:$E$7,3,FALSE)</f>
        <v>3</v>
      </c>
      <c r="T43" s="24">
        <f>VLOOKUP($R43,ラベル別係数!$A$1:$E$7,4,FALSE)</f>
        <v>1.4</v>
      </c>
      <c r="U43" s="24">
        <f>VLOOKUP($R43,ラベル別係数!$A$1:$E$7,5,FALSE)</f>
        <v>0.8</v>
      </c>
      <c r="V43" s="27">
        <v>1</v>
      </c>
      <c r="W43" s="28">
        <f>VLOOKUP(V43,ターン数別攻撃係数!$A$1:$B$1000,2,FALSE)</f>
        <v>0.55000000000000004</v>
      </c>
      <c r="X43" s="5">
        <v>20</v>
      </c>
      <c r="Y43" s="26">
        <f>VLOOKUP($X43,サイズ別係数!$B:$E,2,FALSE)</f>
        <v>1.1000000000000001</v>
      </c>
      <c r="Z43" s="26">
        <f>VLOOKUP($X43,サイズ別係数!$B:$E,3,FALSE)</f>
        <v>1.2</v>
      </c>
      <c r="AA43" s="26">
        <f>VLOOKUP($X43,サイズ別係数!$B:$E,4,FALSE)</f>
        <v>1.2</v>
      </c>
      <c r="AB43" s="35">
        <v>0</v>
      </c>
      <c r="AC43" s="34" t="str">
        <f ca="1">VLOOKUP($AB43,OFFSET([3]enemy_skill_sets!$B$2,0,0,COUNTA([3]enemy_skill_sets!$A:$A),MATCH(AC$1,[3]enemy_skill_sets!$1:$1,0)-MATCH($AB$1,[3]enemy_skill_sets!$1:$1,0)+1),MATCH(AC$1,[3]enemy_skill_sets!$1:$1,0)-MATCH($AB$1,[3]enemy_skill_sets!$1:$1,0)+1,FALSE)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" s="37">
        <v>1</v>
      </c>
      <c r="AE43" s="37">
        <v>1</v>
      </c>
      <c r="AF43" s="37">
        <v>0</v>
      </c>
      <c r="AG43" s="28">
        <f ca="1">ROUND(VLOOKUP(1,enemy_base_stats!$A:$F,2,FALSE) * Y43* J43*O43*E43*S43*AD43*[2]ステータス!$B$2,0)</f>
        <v>1898</v>
      </c>
      <c r="AH43" s="28">
        <f ca="1">ROUND(VLOOKUP(1,enemy_base_stats!$A:$F,3,FALSE) * Z43*K43*P43*F43*T43*AE43 * W43*[2]ステータス!$C$2,0)</f>
        <v>207</v>
      </c>
      <c r="AI43" s="28">
        <f ca="1">ROUND(VLOOKUP(1,enemy_base_stats!$A:$F,4,FALSE) * AA43*L43*Q43*G43*U43*AF43*[2]ステータス!$D$2,0)</f>
        <v>0</v>
      </c>
      <c r="AJ43" s="28">
        <f ca="1">ROUND(VLOOKUP(100,enemy_base_stats!$A:$F,2,FALSE) * Y43* J43*O43*E43*S43*AD43*[2]ステータス!$B$2,0)</f>
        <v>77039</v>
      </c>
      <c r="AK43" s="28">
        <f ca="1">ROUND(VLOOKUP(100,enemy_base_stats!$A:$F,3,FALSE)* Z43* K43*P43*F43*T43*AE43 * W43*[2]ステータス!$C$2,0)</f>
        <v>8397</v>
      </c>
      <c r="AL43" s="28">
        <f ca="1">ROUND(VLOOKUP(100,enemy_base_stats!$A:$F,4,FALSE)* AA43* L43*Q43*G43*U43*AF43*[2]ステータス!$D$2,0)</f>
        <v>0</v>
      </c>
      <c r="AM43" s="24">
        <f ca="1">VLOOKUP(M43,[2]character_tribe_i18n!$A:$I,9,FALSE)</f>
        <v>540</v>
      </c>
      <c r="AN43" s="36">
        <v>0</v>
      </c>
      <c r="AO43" s="53">
        <v>0</v>
      </c>
      <c r="AP43" s="58" t="s">
        <v>72</v>
      </c>
      <c r="AQ43" s="71">
        <f t="shared" ca="1" si="0"/>
        <v>42</v>
      </c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</row>
    <row r="44" spans="1:60" s="3" customFormat="1" ht="21" customHeight="1" x14ac:dyDescent="0.15">
      <c r="A44" s="31">
        <f t="shared" ca="1" si="1"/>
        <v>43</v>
      </c>
      <c r="B44" s="6" t="str">
        <f ca="1">VLOOKUP(A44,[2]characters!$A:$C,3,FALSE)</f>
        <v>ムゥ</v>
      </c>
      <c r="C44" s="9">
        <f ca="1">VLOOKUP(A44,[2]characters!$A:$I,9,FALSE)</f>
        <v>2</v>
      </c>
      <c r="D44" s="9" t="str">
        <f ca="1">VLOOKUP(A44,[2]characters!$A:$H,8,FALSE)</f>
        <v>green</v>
      </c>
      <c r="E44" s="24">
        <f ca="1">VLOOKUP(D44,[2]属性!$A:$E,2,FALSE)</f>
        <v>1.02</v>
      </c>
      <c r="F44" s="24">
        <f ca="1">VLOOKUP(D44,[2]属性!$A:$E,3,FALSE)</f>
        <v>0.98</v>
      </c>
      <c r="G44" s="24">
        <f ca="1">VLOOKUP(D44,[2]属性!$A:$F,4,FALSE)</f>
        <v>1</v>
      </c>
      <c r="H44" s="9" t="str">
        <f ca="1">VLOOKUP(A44,[2]characters!$A:$K,11,FALSE)</f>
        <v>technical</v>
      </c>
      <c r="I44" s="14" t="str">
        <f ca="1">VLOOKUP(H44,[2]character_type_i18n!$A:$F,3,FALSE)</f>
        <v>テクニカルタイプ</v>
      </c>
      <c r="J44" s="36">
        <f ca="1">VLOOKUP(H44,[2]character_type_i18n!$A:$F,4,FALSE)</f>
        <v>0.9</v>
      </c>
      <c r="K44" s="36">
        <f ca="1">VLOOKUP(H44,[2]character_type_i18n!$A:$F,5,FALSE)</f>
        <v>0.9</v>
      </c>
      <c r="L44" s="36">
        <f ca="1">VLOOKUP(H44,[2]character_type_i18n!$A:$F,6,FALSE)</f>
        <v>1</v>
      </c>
      <c r="M44" s="9" t="str">
        <f ca="1">VLOOKUP(A44,[2]characters!$A:$M,13,FALSE)</f>
        <v>dragon</v>
      </c>
      <c r="N44" s="14" t="str">
        <f ca="1">VLOOKUP(M44,[2]character_tribe_i18n!$A:$F,3,FALSE)</f>
        <v>ドラゴン</v>
      </c>
      <c r="O44" s="24">
        <f ca="1">VLOOKUP(M44,[2]character_tribe_i18n!$A:$F,4,FALSE)</f>
        <v>1.1499999999999999</v>
      </c>
      <c r="P44" s="24">
        <f ca="1">VLOOKUP(M44,[2]character_tribe_i18n!$A:$F,5,FALSE)</f>
        <v>1.1000000000000001</v>
      </c>
      <c r="Q44" s="24">
        <f ca="1">VLOOKUP(M44,[2]character_tribe_i18n!$A:$F,6,FALSE)</f>
        <v>1</v>
      </c>
      <c r="R44" s="25" t="s">
        <v>19</v>
      </c>
      <c r="S44" s="24">
        <f>VLOOKUP($R44,ラベル別係数!$A$1:$E$7,3,FALSE)</f>
        <v>1</v>
      </c>
      <c r="T44" s="24">
        <f>VLOOKUP($R44,ラベル別係数!$A$1:$E$7,4,FALSE)</f>
        <v>1</v>
      </c>
      <c r="U44" s="24">
        <f>VLOOKUP($R44,ラベル別係数!$A$1:$E$7,5,FALSE)</f>
        <v>1</v>
      </c>
      <c r="V44" s="27">
        <v>2</v>
      </c>
      <c r="W44" s="28">
        <f>VLOOKUP(V44,ターン数別攻撃係数!$A$1:$B$1000,2,FALSE)</f>
        <v>0.75</v>
      </c>
      <c r="X44" s="10">
        <v>15</v>
      </c>
      <c r="Y44" s="26">
        <f>VLOOKUP($X44,サイズ別係数!$B:$E,2,FALSE)</f>
        <v>1</v>
      </c>
      <c r="Z44" s="26">
        <f>VLOOKUP($X44,サイズ別係数!$B:$E,3,FALSE)</f>
        <v>1</v>
      </c>
      <c r="AA44" s="26">
        <f>VLOOKUP($X44,サイズ別係数!$B:$E,4,FALSE)</f>
        <v>1</v>
      </c>
      <c r="AB44" s="35">
        <v>0</v>
      </c>
      <c r="AC44" s="34" t="str">
        <f ca="1">VLOOKUP($AB44,OFFSET([3]enemy_skill_sets!$B$2,0,0,COUNTA([3]enemy_skill_sets!$A:$A),MATCH(AC$1,[3]enemy_skill_sets!$1:$1,0)-MATCH($AB$1,[3]enemy_skill_sets!$1:$1,0)+1),MATCH(AC$1,[3]enemy_skill_sets!$1:$1,0)-MATCH($AB$1,[3]enemy_skill_sets!$1:$1,0)+1,FALSE)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" s="37">
        <v>1</v>
      </c>
      <c r="AE44" s="37">
        <v>1</v>
      </c>
      <c r="AF44" s="37">
        <v>0</v>
      </c>
      <c r="AG44" s="28">
        <f ca="1">ROUND(VLOOKUP(1,enemy_base_stats!$A:$F,2,FALSE) * Y44* J44*O44*E44*S44*AD44*[2]ステータス!$B$2,0)</f>
        <v>528</v>
      </c>
      <c r="AH44" s="28">
        <f ca="1">ROUND(VLOOKUP(1,enemy_base_stats!$A:$F,3,FALSE) * Z44*K44*P44*F44*T44*AE44 * W44*[2]ステータス!$C$2,0)</f>
        <v>109</v>
      </c>
      <c r="AI44" s="28">
        <f ca="1">ROUND(VLOOKUP(1,enemy_base_stats!$A:$F,4,FALSE) * AA44*L44*Q44*G44*U44*AF44*[2]ステータス!$D$2,0)</f>
        <v>0</v>
      </c>
      <c r="AJ44" s="28">
        <f ca="1">ROUND(VLOOKUP(100,enemy_base_stats!$A:$F,2,FALSE) * Y44* J44*O44*E44*S44*AD44*[2]ステータス!$B$2,0)</f>
        <v>21431</v>
      </c>
      <c r="AK44" s="28">
        <f ca="1">ROUND(VLOOKUP(100,enemy_base_stats!$A:$F,3,FALSE)* Z44* K44*P44*F44*T44*AE44 * W44*[2]ステータス!$C$2,0)</f>
        <v>4431</v>
      </c>
      <c r="AL44" s="28">
        <f ca="1">ROUND(VLOOKUP(100,enemy_base_stats!$A:$F,4,FALSE)* AA44* L44*Q44*G44*U44*AF44*[2]ステータス!$D$2,0)</f>
        <v>0</v>
      </c>
      <c r="AM44" s="24">
        <f ca="1">VLOOKUP(M44,[2]character_tribe_i18n!$A:$I,9,FALSE)</f>
        <v>540</v>
      </c>
      <c r="AN44" s="36">
        <v>0</v>
      </c>
      <c r="AO44" s="53">
        <v>0</v>
      </c>
      <c r="AP44" s="58" t="s">
        <v>72</v>
      </c>
      <c r="AQ44" s="71">
        <f t="shared" ca="1" si="0"/>
        <v>43</v>
      </c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</row>
    <row r="45" spans="1:60" s="3" customFormat="1" ht="21" customHeight="1" x14ac:dyDescent="0.15">
      <c r="A45" s="31">
        <f t="shared" ca="1" si="1"/>
        <v>44</v>
      </c>
      <c r="B45" s="6" t="str">
        <f ca="1">VLOOKUP(A45,[2]characters!$A:$C,3,FALSE)</f>
        <v>遠い星からやってきたムゥ</v>
      </c>
      <c r="C45" s="9">
        <f ca="1">VLOOKUP(A45,[2]characters!$A:$I,9,FALSE)</f>
        <v>3</v>
      </c>
      <c r="D45" s="9" t="str">
        <f ca="1">VLOOKUP(A45,[2]characters!$A:$H,8,FALSE)</f>
        <v>green</v>
      </c>
      <c r="E45" s="24">
        <f ca="1">VLOOKUP(D45,[2]属性!$A:$E,2,FALSE)</f>
        <v>1.02</v>
      </c>
      <c r="F45" s="24">
        <f ca="1">VLOOKUP(D45,[2]属性!$A:$E,3,FALSE)</f>
        <v>0.98</v>
      </c>
      <c r="G45" s="24">
        <f ca="1">VLOOKUP(D45,[2]属性!$A:$F,4,FALSE)</f>
        <v>1</v>
      </c>
      <c r="H45" s="9" t="str">
        <f ca="1">VLOOKUP(A45,[2]characters!$A:$K,11,FALSE)</f>
        <v>technical</v>
      </c>
      <c r="I45" s="14" t="str">
        <f ca="1">VLOOKUP(H45,[2]character_type_i18n!$A:$F,3,FALSE)</f>
        <v>テクニカルタイプ</v>
      </c>
      <c r="J45" s="36">
        <f ca="1">VLOOKUP(H45,[2]character_type_i18n!$A:$F,4,FALSE)</f>
        <v>0.9</v>
      </c>
      <c r="K45" s="36">
        <f ca="1">VLOOKUP(H45,[2]character_type_i18n!$A:$F,5,FALSE)</f>
        <v>0.9</v>
      </c>
      <c r="L45" s="36">
        <f ca="1">VLOOKUP(H45,[2]character_type_i18n!$A:$F,6,FALSE)</f>
        <v>1</v>
      </c>
      <c r="M45" s="9" t="str">
        <f ca="1">VLOOKUP(A45,[2]characters!$A:$M,13,FALSE)</f>
        <v>dragon</v>
      </c>
      <c r="N45" s="14" t="str">
        <f ca="1">VLOOKUP(M45,[2]character_tribe_i18n!$A:$F,3,FALSE)</f>
        <v>ドラゴン</v>
      </c>
      <c r="O45" s="24">
        <f ca="1">VLOOKUP(M45,[2]character_tribe_i18n!$A:$F,4,FALSE)</f>
        <v>1.1499999999999999</v>
      </c>
      <c r="P45" s="24">
        <f ca="1">VLOOKUP(M45,[2]character_tribe_i18n!$A:$F,5,FALSE)</f>
        <v>1.1000000000000001</v>
      </c>
      <c r="Q45" s="24">
        <f ca="1">VLOOKUP(M45,[2]character_tribe_i18n!$A:$F,6,FALSE)</f>
        <v>1</v>
      </c>
      <c r="R45" s="25" t="s">
        <v>3</v>
      </c>
      <c r="S45" s="24">
        <f>VLOOKUP($R45,ラベル別係数!$A$1:$E$7,3,FALSE)</f>
        <v>3</v>
      </c>
      <c r="T45" s="24">
        <f>VLOOKUP($R45,ラベル別係数!$A$1:$E$7,4,FALSE)</f>
        <v>1.4</v>
      </c>
      <c r="U45" s="24">
        <f>VLOOKUP($R45,ラベル別係数!$A$1:$E$7,5,FALSE)</f>
        <v>0.8</v>
      </c>
      <c r="V45" s="27">
        <v>2</v>
      </c>
      <c r="W45" s="28">
        <f>VLOOKUP(V45,ターン数別攻撃係数!$A$1:$B$1000,2,FALSE)</f>
        <v>0.75</v>
      </c>
      <c r="X45" s="5">
        <v>20</v>
      </c>
      <c r="Y45" s="26">
        <f>VLOOKUP($X45,サイズ別係数!$B:$E,2,FALSE)</f>
        <v>1.1000000000000001</v>
      </c>
      <c r="Z45" s="26">
        <f>VLOOKUP($X45,サイズ別係数!$B:$E,3,FALSE)</f>
        <v>1.2</v>
      </c>
      <c r="AA45" s="26">
        <f>VLOOKUP($X45,サイズ別係数!$B:$E,4,FALSE)</f>
        <v>1.2</v>
      </c>
      <c r="AB45" s="35">
        <v>0</v>
      </c>
      <c r="AC45" s="34" t="str">
        <f ca="1">VLOOKUP($AB45,OFFSET([3]enemy_skill_sets!$B$2,0,0,COUNTA([3]enemy_skill_sets!$A:$A),MATCH(AC$1,[3]enemy_skill_sets!$1:$1,0)-MATCH($AB$1,[3]enemy_skill_sets!$1:$1,0)+1),MATCH(AC$1,[3]enemy_skill_sets!$1:$1,0)-MATCH($AB$1,[3]enemy_skill_sets!$1:$1,0)+1,FALSE)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" s="37">
        <v>1</v>
      </c>
      <c r="AE45" s="37">
        <v>1</v>
      </c>
      <c r="AF45" s="37">
        <v>0</v>
      </c>
      <c r="AG45" s="28">
        <f ca="1">ROUND(VLOOKUP(1,enemy_base_stats!$A:$F,2,FALSE) * Y45* J45*O45*E45*S45*AD45*[2]ステータス!$B$2,0)</f>
        <v>1742</v>
      </c>
      <c r="AH45" s="28">
        <f ca="1">ROUND(VLOOKUP(1,enemy_base_stats!$A:$F,3,FALSE) * Z45*K45*P45*F45*T45*AE45 * W45*[2]ステータス!$C$2,0)</f>
        <v>183</v>
      </c>
      <c r="AI45" s="28">
        <f ca="1">ROUND(VLOOKUP(1,enemy_base_stats!$A:$F,4,FALSE) * AA45*L45*Q45*G45*U45*AF45*[2]ステータス!$D$2,0)</f>
        <v>0</v>
      </c>
      <c r="AJ45" s="28">
        <f ca="1">ROUND(VLOOKUP(100,enemy_base_stats!$A:$F,2,FALSE) * Y45* J45*O45*E45*S45*AD45*[2]ステータス!$B$2,0)</f>
        <v>70721</v>
      </c>
      <c r="AK45" s="28">
        <f ca="1">ROUND(VLOOKUP(100,enemy_base_stats!$A:$F,3,FALSE)* Z45* K45*P45*F45*T45*AE45 * W45*[2]ステータス!$C$2,0)</f>
        <v>7445</v>
      </c>
      <c r="AL45" s="28">
        <f ca="1">ROUND(VLOOKUP(100,enemy_base_stats!$A:$F,4,FALSE)* AA45* L45*Q45*G45*U45*AF45*[2]ステータス!$D$2,0)</f>
        <v>0</v>
      </c>
      <c r="AM45" s="24">
        <f ca="1">VLOOKUP(M45,[2]character_tribe_i18n!$A:$I,9,FALSE)</f>
        <v>540</v>
      </c>
      <c r="AN45" s="36">
        <v>0</v>
      </c>
      <c r="AO45" s="53">
        <v>0</v>
      </c>
      <c r="AP45" s="58" t="s">
        <v>72</v>
      </c>
      <c r="AQ45" s="71">
        <f t="shared" ca="1" si="0"/>
        <v>44</v>
      </c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</row>
    <row r="46" spans="1:60" s="3" customFormat="1" ht="21" customHeight="1" x14ac:dyDescent="0.15">
      <c r="A46" s="31">
        <f t="shared" ca="1" si="1"/>
        <v>45</v>
      </c>
      <c r="B46" s="6" t="str">
        <f ca="1">VLOOKUP(A46,[2]characters!$A:$C,3,FALSE)</f>
        <v>ショウイン</v>
      </c>
      <c r="C46" s="9">
        <f ca="1">VLOOKUP(A46,[2]characters!$A:$I,9,FALSE)</f>
        <v>2</v>
      </c>
      <c r="D46" s="9" t="str">
        <f ca="1">VLOOKUP(A46,[2]characters!$A:$H,8,FALSE)</f>
        <v>blue</v>
      </c>
      <c r="E46" s="24">
        <f ca="1">VLOOKUP(D46,[2]属性!$A:$E,2,FALSE)</f>
        <v>1</v>
      </c>
      <c r="F46" s="24">
        <f ca="1">VLOOKUP(D46,[2]属性!$A:$E,3,FALSE)</f>
        <v>0.98</v>
      </c>
      <c r="G46" s="24">
        <f ca="1">VLOOKUP(D46,[2]属性!$A:$F,4,FALSE)</f>
        <v>1</v>
      </c>
      <c r="H46" s="9" t="str">
        <f ca="1">VLOOKUP(A46,[2]characters!$A:$K,11,FALSE)</f>
        <v>hp</v>
      </c>
      <c r="I46" s="14" t="str">
        <f ca="1">VLOOKUP(H46,[2]character_type_i18n!$A:$F,3,FALSE)</f>
        <v>体力タイプ</v>
      </c>
      <c r="J46" s="36">
        <f ca="1">VLOOKUP(H46,[2]character_type_i18n!$A:$F,4,FALSE)</f>
        <v>1.45</v>
      </c>
      <c r="K46" s="36">
        <f ca="1">VLOOKUP(H46,[2]character_type_i18n!$A:$F,5,FALSE)</f>
        <v>0.85</v>
      </c>
      <c r="L46" s="36">
        <f ca="1">VLOOKUP(H46,[2]character_type_i18n!$A:$F,6,FALSE)</f>
        <v>1</v>
      </c>
      <c r="M46" s="9" t="str">
        <f ca="1">VLOOKUP(A46,[2]characters!$A:$M,13,FALSE)</f>
        <v>animal</v>
      </c>
      <c r="N46" s="14" t="str">
        <f ca="1">VLOOKUP(M46,[2]character_tribe_i18n!$A:$F,3,FALSE)</f>
        <v>アニマル</v>
      </c>
      <c r="O46" s="24">
        <f ca="1">VLOOKUP(M46,[2]character_tribe_i18n!$A:$F,4,FALSE)</f>
        <v>1</v>
      </c>
      <c r="P46" s="24">
        <f ca="1">VLOOKUP(M46,[2]character_tribe_i18n!$A:$F,5,FALSE)</f>
        <v>1.1000000000000001</v>
      </c>
      <c r="Q46" s="24">
        <f ca="1">VLOOKUP(M46,[2]character_tribe_i18n!$A:$F,6,FALSE)</f>
        <v>1</v>
      </c>
      <c r="R46" s="25" t="s">
        <v>19</v>
      </c>
      <c r="S46" s="24">
        <f>VLOOKUP($R46,ラベル別係数!$A$1:$E$7,3,FALSE)</f>
        <v>1</v>
      </c>
      <c r="T46" s="24">
        <f>VLOOKUP($R46,ラベル別係数!$A$1:$E$7,4,FALSE)</f>
        <v>1</v>
      </c>
      <c r="U46" s="24">
        <f>VLOOKUP($R46,ラベル別係数!$A$1:$E$7,5,FALSE)</f>
        <v>1</v>
      </c>
      <c r="V46" s="27">
        <v>3</v>
      </c>
      <c r="W46" s="28">
        <f>VLOOKUP(V46,ターン数別攻撃係数!$A$1:$B$1000,2,FALSE)</f>
        <v>1</v>
      </c>
      <c r="X46" s="10">
        <v>15</v>
      </c>
      <c r="Y46" s="26">
        <f>VLOOKUP($X46,サイズ別係数!$B:$E,2,FALSE)</f>
        <v>1</v>
      </c>
      <c r="Z46" s="26">
        <f>VLOOKUP($X46,サイズ別係数!$B:$E,3,FALSE)</f>
        <v>1</v>
      </c>
      <c r="AA46" s="26">
        <f>VLOOKUP($X46,サイズ別係数!$B:$E,4,FALSE)</f>
        <v>1</v>
      </c>
      <c r="AB46" s="35">
        <v>0</v>
      </c>
      <c r="AC46" s="34" t="str">
        <f ca="1">VLOOKUP($AB46,OFFSET([3]enemy_skill_sets!$B$2,0,0,COUNTA([3]enemy_skill_sets!$A:$A),MATCH(AC$1,[3]enemy_skill_sets!$1:$1,0)-MATCH($AB$1,[3]enemy_skill_sets!$1:$1,0)+1),MATCH(AC$1,[3]enemy_skill_sets!$1:$1,0)-MATCH($AB$1,[3]enemy_skill_sets!$1:$1,0)+1,FALSE)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" s="37">
        <v>1</v>
      </c>
      <c r="AE46" s="37">
        <v>1</v>
      </c>
      <c r="AF46" s="37">
        <v>0</v>
      </c>
      <c r="AG46" s="28">
        <f ca="1">ROUND(VLOOKUP(1,enemy_base_stats!$A:$F,2,FALSE) * Y46* J46*O46*E46*S46*AD46*[2]ステータス!$B$2,0)</f>
        <v>725</v>
      </c>
      <c r="AH46" s="28">
        <f ca="1">ROUND(VLOOKUP(1,enemy_base_stats!$A:$F,3,FALSE) * Z46*K46*P46*F46*T46*AE46 * W46*[2]ステータス!$C$2,0)</f>
        <v>137</v>
      </c>
      <c r="AI46" s="28">
        <f ca="1">ROUND(VLOOKUP(1,enemy_base_stats!$A:$F,4,FALSE) * AA46*L46*Q46*G46*U46*AF46*[2]ステータス!$D$2,0)</f>
        <v>0</v>
      </c>
      <c r="AJ46" s="28">
        <f ca="1">ROUND(VLOOKUP(100,enemy_base_stats!$A:$F,2,FALSE) * Y46* J46*O46*E46*S46*AD46*[2]ステータス!$B$2,0)</f>
        <v>29435</v>
      </c>
      <c r="AK46" s="28">
        <f ca="1">ROUND(VLOOKUP(100,enemy_base_stats!$A:$F,3,FALSE)* Z46* K46*P46*F46*T46*AE46 * W46*[2]ステータス!$C$2,0)</f>
        <v>5580</v>
      </c>
      <c r="AL46" s="28">
        <f ca="1">ROUND(VLOOKUP(100,enemy_base_stats!$A:$F,4,FALSE)* AA46* L46*Q46*G46*U46*AF46*[2]ステータス!$D$2,0)</f>
        <v>0</v>
      </c>
      <c r="AM46" s="24">
        <f ca="1">VLOOKUP(M46,[2]character_tribe_i18n!$A:$I,9,FALSE)</f>
        <v>480</v>
      </c>
      <c r="AN46" s="36">
        <v>0</v>
      </c>
      <c r="AO46" s="53">
        <v>0</v>
      </c>
      <c r="AP46" s="58" t="s">
        <v>72</v>
      </c>
      <c r="AQ46" s="71">
        <f t="shared" ca="1" si="0"/>
        <v>45</v>
      </c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</row>
    <row r="47" spans="1:60" s="3" customFormat="1" ht="21" customHeight="1" x14ac:dyDescent="0.15">
      <c r="A47" s="31">
        <f t="shared" ca="1" si="1"/>
        <v>46</v>
      </c>
      <c r="B47" s="6" t="str">
        <f ca="1">VLOOKUP(A47,[2]characters!$A:$C,3,FALSE)</f>
        <v>微笑みの筆跡 ショウイン</v>
      </c>
      <c r="C47" s="9">
        <f ca="1">VLOOKUP(A47,[2]characters!$A:$I,9,FALSE)</f>
        <v>3</v>
      </c>
      <c r="D47" s="9" t="str">
        <f ca="1">VLOOKUP(A47,[2]characters!$A:$H,8,FALSE)</f>
        <v>blue</v>
      </c>
      <c r="E47" s="24">
        <f ca="1">VLOOKUP(D47,[2]属性!$A:$E,2,FALSE)</f>
        <v>1</v>
      </c>
      <c r="F47" s="24">
        <f ca="1">VLOOKUP(D47,[2]属性!$A:$E,3,FALSE)</f>
        <v>0.98</v>
      </c>
      <c r="G47" s="24">
        <f ca="1">VLOOKUP(D47,[2]属性!$A:$F,4,FALSE)</f>
        <v>1</v>
      </c>
      <c r="H47" s="9" t="str">
        <f ca="1">VLOOKUP(A47,[2]characters!$A:$K,11,FALSE)</f>
        <v>hp</v>
      </c>
      <c r="I47" s="14" t="str">
        <f ca="1">VLOOKUP(H47,[2]character_type_i18n!$A:$F,3,FALSE)</f>
        <v>体力タイプ</v>
      </c>
      <c r="J47" s="36">
        <f ca="1">VLOOKUP(H47,[2]character_type_i18n!$A:$F,4,FALSE)</f>
        <v>1.45</v>
      </c>
      <c r="K47" s="36">
        <f ca="1">VLOOKUP(H47,[2]character_type_i18n!$A:$F,5,FALSE)</f>
        <v>0.85</v>
      </c>
      <c r="L47" s="36">
        <f ca="1">VLOOKUP(H47,[2]character_type_i18n!$A:$F,6,FALSE)</f>
        <v>1</v>
      </c>
      <c r="M47" s="9" t="str">
        <f ca="1">VLOOKUP(A47,[2]characters!$A:$M,13,FALSE)</f>
        <v>animal</v>
      </c>
      <c r="N47" s="14" t="str">
        <f ca="1">VLOOKUP(M47,[2]character_tribe_i18n!$A:$F,3,FALSE)</f>
        <v>アニマル</v>
      </c>
      <c r="O47" s="24">
        <f ca="1">VLOOKUP(M47,[2]character_tribe_i18n!$A:$F,4,FALSE)</f>
        <v>1</v>
      </c>
      <c r="P47" s="24">
        <f ca="1">VLOOKUP(M47,[2]character_tribe_i18n!$A:$F,5,FALSE)</f>
        <v>1.1000000000000001</v>
      </c>
      <c r="Q47" s="24">
        <f ca="1">VLOOKUP(M47,[2]character_tribe_i18n!$A:$F,6,FALSE)</f>
        <v>1</v>
      </c>
      <c r="R47" s="25" t="s">
        <v>3</v>
      </c>
      <c r="S47" s="24">
        <f>VLOOKUP($R47,ラベル別係数!$A$1:$E$7,3,FALSE)</f>
        <v>3</v>
      </c>
      <c r="T47" s="24">
        <f>VLOOKUP($R47,ラベル別係数!$A$1:$E$7,4,FALSE)</f>
        <v>1.4</v>
      </c>
      <c r="U47" s="24">
        <f>VLOOKUP($R47,ラベル別係数!$A$1:$E$7,5,FALSE)</f>
        <v>0.8</v>
      </c>
      <c r="V47" s="27">
        <v>3</v>
      </c>
      <c r="W47" s="28">
        <f>VLOOKUP(V47,ターン数別攻撃係数!$A$1:$B$1000,2,FALSE)</f>
        <v>1</v>
      </c>
      <c r="X47" s="5">
        <v>20</v>
      </c>
      <c r="Y47" s="26">
        <f>VLOOKUP($X47,サイズ別係数!$B:$E,2,FALSE)</f>
        <v>1.1000000000000001</v>
      </c>
      <c r="Z47" s="26">
        <f>VLOOKUP($X47,サイズ別係数!$B:$E,3,FALSE)</f>
        <v>1.2</v>
      </c>
      <c r="AA47" s="26">
        <f>VLOOKUP($X47,サイズ別係数!$B:$E,4,FALSE)</f>
        <v>1.2</v>
      </c>
      <c r="AB47" s="35">
        <v>0</v>
      </c>
      <c r="AC47" s="34" t="str">
        <f ca="1">VLOOKUP($AB47,OFFSET([3]enemy_skill_sets!$B$2,0,0,COUNTA([3]enemy_skill_sets!$A:$A),MATCH(AC$1,[3]enemy_skill_sets!$1:$1,0)-MATCH($AB$1,[3]enemy_skill_sets!$1:$1,0)+1),MATCH(AC$1,[3]enemy_skill_sets!$1:$1,0)-MATCH($AB$1,[3]enemy_skill_sets!$1:$1,0)+1,FALSE)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" s="37">
        <v>1</v>
      </c>
      <c r="AE47" s="37">
        <v>1</v>
      </c>
      <c r="AF47" s="37">
        <v>0</v>
      </c>
      <c r="AG47" s="28">
        <f ca="1">ROUND(VLOOKUP(1,enemy_base_stats!$A:$F,2,FALSE) * Y47* J47*O47*E47*S47*AD47*[2]ステータス!$B$2,0)</f>
        <v>2393</v>
      </c>
      <c r="AH47" s="28">
        <f ca="1">ROUND(VLOOKUP(1,enemy_base_stats!$A:$F,3,FALSE) * Z47*K47*P47*F47*T47*AE47 * W47*[2]ステータス!$C$2,0)</f>
        <v>231</v>
      </c>
      <c r="AI47" s="28">
        <f ca="1">ROUND(VLOOKUP(1,enemy_base_stats!$A:$F,4,FALSE) * AA47*L47*Q47*G47*U47*AF47*[2]ステータス!$D$2,0)</f>
        <v>0</v>
      </c>
      <c r="AJ47" s="28">
        <f ca="1">ROUND(VLOOKUP(100,enemy_base_stats!$A:$F,2,FALSE) * Y47* J47*O47*E47*S47*AD47*[2]ステータス!$B$2,0)</f>
        <v>97136</v>
      </c>
      <c r="AK47" s="28">
        <f ca="1">ROUND(VLOOKUP(100,enemy_base_stats!$A:$F,3,FALSE)* Z47* K47*P47*F47*T47*AE47 * W47*[2]ステータス!$C$2,0)</f>
        <v>9375</v>
      </c>
      <c r="AL47" s="28">
        <f ca="1">ROUND(VLOOKUP(100,enemy_base_stats!$A:$F,4,FALSE)* AA47* L47*Q47*G47*U47*AF47*[2]ステータス!$D$2,0)</f>
        <v>0</v>
      </c>
      <c r="AM47" s="24">
        <f ca="1">VLOOKUP(M47,[2]character_tribe_i18n!$A:$I,9,FALSE)</f>
        <v>480</v>
      </c>
      <c r="AN47" s="36">
        <v>0</v>
      </c>
      <c r="AO47" s="53">
        <v>0</v>
      </c>
      <c r="AP47" s="58" t="s">
        <v>72</v>
      </c>
      <c r="AQ47" s="71">
        <f t="shared" ca="1" si="0"/>
        <v>46</v>
      </c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</row>
    <row r="48" spans="1:60" s="3" customFormat="1" ht="21" customHeight="1" x14ac:dyDescent="0.15">
      <c r="A48" s="31">
        <f t="shared" ca="1" si="1"/>
        <v>47</v>
      </c>
      <c r="B48" s="6" t="str">
        <f ca="1">VLOOKUP(A48,[2]characters!$A:$C,3,FALSE)</f>
        <v>ヒロ</v>
      </c>
      <c r="C48" s="9">
        <f ca="1">VLOOKUP(A48,[2]characters!$A:$I,9,FALSE)</f>
        <v>2</v>
      </c>
      <c r="D48" s="9" t="str">
        <f ca="1">VLOOKUP(A48,[2]characters!$A:$H,8,FALSE)</f>
        <v>yellow</v>
      </c>
      <c r="E48" s="24">
        <f ca="1">VLOOKUP(D48,[2]属性!$A:$E,2,FALSE)</f>
        <v>0.98</v>
      </c>
      <c r="F48" s="24">
        <f ca="1">VLOOKUP(D48,[2]属性!$A:$E,3,FALSE)</f>
        <v>1.01</v>
      </c>
      <c r="G48" s="24">
        <f ca="1">VLOOKUP(D48,[2]属性!$A:$F,4,FALSE)</f>
        <v>1</v>
      </c>
      <c r="H48" s="9" t="str">
        <f ca="1">VLOOKUP(A48,[2]characters!$A:$K,11,FALSE)</f>
        <v>attack</v>
      </c>
      <c r="I48" s="14" t="str">
        <f ca="1">VLOOKUP(H48,[2]character_type_i18n!$A:$F,3,FALSE)</f>
        <v>攻撃タイプ</v>
      </c>
      <c r="J48" s="36">
        <f ca="1">VLOOKUP(H48,[2]character_type_i18n!$A:$F,4,FALSE)</f>
        <v>1</v>
      </c>
      <c r="K48" s="36">
        <f ca="1">VLOOKUP(H48,[2]character_type_i18n!$A:$F,5,FALSE)</f>
        <v>1.33</v>
      </c>
      <c r="L48" s="36">
        <f ca="1">VLOOKUP(H48,[2]character_type_i18n!$A:$F,6,FALSE)</f>
        <v>1</v>
      </c>
      <c r="M48" s="9" t="str">
        <f ca="1">VLOOKUP(A48,[2]characters!$A:$M,13,FALSE)</f>
        <v>animal</v>
      </c>
      <c r="N48" s="14" t="str">
        <f ca="1">VLOOKUP(M48,[2]character_tribe_i18n!$A:$F,3,FALSE)</f>
        <v>アニマル</v>
      </c>
      <c r="O48" s="24">
        <f ca="1">VLOOKUP(M48,[2]character_tribe_i18n!$A:$F,4,FALSE)</f>
        <v>1</v>
      </c>
      <c r="P48" s="24">
        <f ca="1">VLOOKUP(M48,[2]character_tribe_i18n!$A:$F,5,FALSE)</f>
        <v>1.1000000000000001</v>
      </c>
      <c r="Q48" s="24">
        <f ca="1">VLOOKUP(M48,[2]character_tribe_i18n!$A:$F,6,FALSE)</f>
        <v>1</v>
      </c>
      <c r="R48" s="25" t="s">
        <v>19</v>
      </c>
      <c r="S48" s="24">
        <f>VLOOKUP($R48,ラベル別係数!$A$1:$E$7,3,FALSE)</f>
        <v>1</v>
      </c>
      <c r="T48" s="24">
        <f>VLOOKUP($R48,ラベル別係数!$A$1:$E$7,4,FALSE)</f>
        <v>1</v>
      </c>
      <c r="U48" s="24">
        <f>VLOOKUP($R48,ラベル別係数!$A$1:$E$7,5,FALSE)</f>
        <v>1</v>
      </c>
      <c r="V48" s="27">
        <v>1</v>
      </c>
      <c r="W48" s="28">
        <f>VLOOKUP(V48,ターン数別攻撃係数!$A$1:$B$1000,2,FALSE)</f>
        <v>0.55000000000000004</v>
      </c>
      <c r="X48" s="10">
        <v>15</v>
      </c>
      <c r="Y48" s="26">
        <f>VLOOKUP($X48,サイズ別係数!$B:$E,2,FALSE)</f>
        <v>1</v>
      </c>
      <c r="Z48" s="26">
        <f>VLOOKUP($X48,サイズ別係数!$B:$E,3,FALSE)</f>
        <v>1</v>
      </c>
      <c r="AA48" s="26">
        <f>VLOOKUP($X48,サイズ別係数!$B:$E,4,FALSE)</f>
        <v>1</v>
      </c>
      <c r="AB48" s="35">
        <v>0</v>
      </c>
      <c r="AC48" s="34" t="str">
        <f ca="1">VLOOKUP($AB48,OFFSET([3]enemy_skill_sets!$B$2,0,0,COUNTA([3]enemy_skill_sets!$A:$A),MATCH(AC$1,[3]enemy_skill_sets!$1:$1,0)-MATCH($AB$1,[3]enemy_skill_sets!$1:$1,0)+1),MATCH(AC$1,[3]enemy_skill_sets!$1:$1,0)-MATCH($AB$1,[3]enemy_skill_sets!$1:$1,0)+1,FALSE)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" s="37">
        <v>1</v>
      </c>
      <c r="AE48" s="37">
        <v>1</v>
      </c>
      <c r="AF48" s="37">
        <v>0</v>
      </c>
      <c r="AG48" s="28">
        <f ca="1">ROUND(VLOOKUP(1,enemy_base_stats!$A:$F,2,FALSE) * Y48* J48*O48*E48*S48*AD48*[2]ステータス!$B$2,0)</f>
        <v>490</v>
      </c>
      <c r="AH48" s="28">
        <f ca="1">ROUND(VLOOKUP(1,enemy_base_stats!$A:$F,3,FALSE) * Z48*K48*P48*F48*T48*AE48 * W48*[2]ステータス!$C$2,0)</f>
        <v>122</v>
      </c>
      <c r="AI48" s="28">
        <f ca="1">ROUND(VLOOKUP(1,enemy_base_stats!$A:$F,4,FALSE) * AA48*L48*Q48*G48*U48*AF48*[2]ステータス!$D$2,0)</f>
        <v>0</v>
      </c>
      <c r="AJ48" s="28">
        <f ca="1">ROUND(VLOOKUP(100,enemy_base_stats!$A:$F,2,FALSE) * Y48* J48*O48*E48*S48*AD48*[2]ステータス!$B$2,0)</f>
        <v>19894</v>
      </c>
      <c r="AK48" s="28">
        <f ca="1">ROUND(VLOOKUP(100,enemy_base_stats!$A:$F,3,FALSE)* Z48* K48*P48*F48*T48*AE48 * W48*[2]ステータス!$C$2,0)</f>
        <v>4949</v>
      </c>
      <c r="AL48" s="28">
        <f ca="1">ROUND(VLOOKUP(100,enemy_base_stats!$A:$F,4,FALSE)* AA48* L48*Q48*G48*U48*AF48*[2]ステータス!$D$2,0)</f>
        <v>0</v>
      </c>
      <c r="AM48" s="24">
        <f ca="1">VLOOKUP(M48,[2]character_tribe_i18n!$A:$I,9,FALSE)</f>
        <v>480</v>
      </c>
      <c r="AN48" s="36">
        <v>0</v>
      </c>
      <c r="AO48" s="53">
        <v>0</v>
      </c>
      <c r="AP48" s="58" t="s">
        <v>72</v>
      </c>
      <c r="AQ48" s="71">
        <f t="shared" ca="1" si="0"/>
        <v>47</v>
      </c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</row>
    <row r="49" spans="1:60" s="3" customFormat="1" ht="21" customHeight="1" x14ac:dyDescent="0.15">
      <c r="A49" s="31">
        <f t="shared" ca="1" si="1"/>
        <v>48</v>
      </c>
      <c r="B49" s="6" t="str">
        <f ca="1">VLOOKUP(A49,[2]characters!$A:$C,3,FALSE)</f>
        <v>サンダーステップのヒロ</v>
      </c>
      <c r="C49" s="9">
        <f ca="1">VLOOKUP(A49,[2]characters!$A:$I,9,FALSE)</f>
        <v>3</v>
      </c>
      <c r="D49" s="9" t="str">
        <f ca="1">VLOOKUP(A49,[2]characters!$A:$H,8,FALSE)</f>
        <v>yellow</v>
      </c>
      <c r="E49" s="24">
        <f ca="1">VLOOKUP(D49,[2]属性!$A:$E,2,FALSE)</f>
        <v>0.98</v>
      </c>
      <c r="F49" s="24">
        <f ca="1">VLOOKUP(D49,[2]属性!$A:$E,3,FALSE)</f>
        <v>1.01</v>
      </c>
      <c r="G49" s="24">
        <f ca="1">VLOOKUP(D49,[2]属性!$A:$F,4,FALSE)</f>
        <v>1</v>
      </c>
      <c r="H49" s="9" t="str">
        <f ca="1">VLOOKUP(A49,[2]characters!$A:$K,11,FALSE)</f>
        <v>attack</v>
      </c>
      <c r="I49" s="14" t="str">
        <f ca="1">VLOOKUP(H49,[2]character_type_i18n!$A:$F,3,FALSE)</f>
        <v>攻撃タイプ</v>
      </c>
      <c r="J49" s="36">
        <f ca="1">VLOOKUP(H49,[2]character_type_i18n!$A:$F,4,FALSE)</f>
        <v>1</v>
      </c>
      <c r="K49" s="36">
        <f ca="1">VLOOKUP(H49,[2]character_type_i18n!$A:$F,5,FALSE)</f>
        <v>1.33</v>
      </c>
      <c r="L49" s="36">
        <f ca="1">VLOOKUP(H49,[2]character_type_i18n!$A:$F,6,FALSE)</f>
        <v>1</v>
      </c>
      <c r="M49" s="9" t="str">
        <f ca="1">VLOOKUP(A49,[2]characters!$A:$M,13,FALSE)</f>
        <v>animal</v>
      </c>
      <c r="N49" s="14" t="str">
        <f ca="1">VLOOKUP(M49,[2]character_tribe_i18n!$A:$F,3,FALSE)</f>
        <v>アニマル</v>
      </c>
      <c r="O49" s="24">
        <f ca="1">VLOOKUP(M49,[2]character_tribe_i18n!$A:$F,4,FALSE)</f>
        <v>1</v>
      </c>
      <c r="P49" s="24">
        <f ca="1">VLOOKUP(M49,[2]character_tribe_i18n!$A:$F,5,FALSE)</f>
        <v>1.1000000000000001</v>
      </c>
      <c r="Q49" s="24">
        <f ca="1">VLOOKUP(M49,[2]character_tribe_i18n!$A:$F,6,FALSE)</f>
        <v>1</v>
      </c>
      <c r="R49" s="25" t="s">
        <v>3</v>
      </c>
      <c r="S49" s="24">
        <f>VLOOKUP($R49,ラベル別係数!$A$1:$E$7,3,FALSE)</f>
        <v>3</v>
      </c>
      <c r="T49" s="24">
        <f>VLOOKUP($R49,ラベル別係数!$A$1:$E$7,4,FALSE)</f>
        <v>1.4</v>
      </c>
      <c r="U49" s="24">
        <f>VLOOKUP($R49,ラベル別係数!$A$1:$E$7,5,FALSE)</f>
        <v>0.8</v>
      </c>
      <c r="V49" s="27">
        <v>1</v>
      </c>
      <c r="W49" s="28">
        <f>VLOOKUP(V49,ターン数別攻撃係数!$A$1:$B$1000,2,FALSE)</f>
        <v>0.55000000000000004</v>
      </c>
      <c r="X49" s="5">
        <v>20</v>
      </c>
      <c r="Y49" s="26">
        <f>VLOOKUP($X49,サイズ別係数!$B:$E,2,FALSE)</f>
        <v>1.1000000000000001</v>
      </c>
      <c r="Z49" s="26">
        <f>VLOOKUP($X49,サイズ別係数!$B:$E,3,FALSE)</f>
        <v>1.2</v>
      </c>
      <c r="AA49" s="26">
        <f>VLOOKUP($X49,サイズ別係数!$B:$E,4,FALSE)</f>
        <v>1.2</v>
      </c>
      <c r="AB49" s="35">
        <v>0</v>
      </c>
      <c r="AC49" s="34" t="str">
        <f ca="1">VLOOKUP($AB49,OFFSET([3]enemy_skill_sets!$B$2,0,0,COUNTA([3]enemy_skill_sets!$A:$A),MATCH(AC$1,[3]enemy_skill_sets!$1:$1,0)-MATCH($AB$1,[3]enemy_skill_sets!$1:$1,0)+1),MATCH(AC$1,[3]enemy_skill_sets!$1:$1,0)-MATCH($AB$1,[3]enemy_skill_sets!$1:$1,0)+1,FALSE)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" s="37">
        <v>1</v>
      </c>
      <c r="AE49" s="37">
        <v>1</v>
      </c>
      <c r="AF49" s="37">
        <v>0</v>
      </c>
      <c r="AG49" s="28">
        <f ca="1">ROUND(VLOOKUP(1,enemy_base_stats!$A:$F,2,FALSE) * Y49* J49*O49*E49*S49*AD49*[2]ステータス!$B$2,0)</f>
        <v>1617</v>
      </c>
      <c r="AH49" s="28">
        <f ca="1">ROUND(VLOOKUP(1,enemy_base_stats!$A:$F,3,FALSE) * Z49*K49*P49*F49*T49*AE49 * W49*[2]ステータス!$C$2,0)</f>
        <v>205</v>
      </c>
      <c r="AI49" s="28">
        <f ca="1">ROUND(VLOOKUP(1,enemy_base_stats!$A:$F,4,FALSE) * AA49*L49*Q49*G49*U49*AF49*[2]ステータス!$D$2,0)</f>
        <v>0</v>
      </c>
      <c r="AJ49" s="28">
        <f ca="1">ROUND(VLOOKUP(100,enemy_base_stats!$A:$F,2,FALSE) * Y49* J49*O49*E49*S49*AD49*[2]ステータス!$B$2,0)</f>
        <v>65650</v>
      </c>
      <c r="AK49" s="28">
        <f ca="1">ROUND(VLOOKUP(100,enemy_base_stats!$A:$F,3,FALSE)* Z49* K49*P49*F49*T49*AE49 * W49*[2]ステータス!$C$2,0)</f>
        <v>8315</v>
      </c>
      <c r="AL49" s="28">
        <f ca="1">ROUND(VLOOKUP(100,enemy_base_stats!$A:$F,4,FALSE)* AA49* L49*Q49*G49*U49*AF49*[2]ステータス!$D$2,0)</f>
        <v>0</v>
      </c>
      <c r="AM49" s="24">
        <f ca="1">VLOOKUP(M49,[2]character_tribe_i18n!$A:$I,9,FALSE)</f>
        <v>480</v>
      </c>
      <c r="AN49" s="36">
        <v>0</v>
      </c>
      <c r="AO49" s="53">
        <v>0</v>
      </c>
      <c r="AP49" s="58" t="s">
        <v>72</v>
      </c>
      <c r="AQ49" s="71">
        <f t="shared" ca="1" si="0"/>
        <v>48</v>
      </c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</row>
    <row r="50" spans="1:60" s="3" customFormat="1" ht="21" customHeight="1" x14ac:dyDescent="0.15">
      <c r="A50" s="32">
        <f t="shared" ca="1" si="1"/>
        <v>49</v>
      </c>
      <c r="B50" s="6" t="str">
        <f ca="1">VLOOKUP(A50,[2]characters!$A:$C,3,FALSE)</f>
        <v>ヨシタカ</v>
      </c>
      <c r="C50" s="9">
        <f ca="1">VLOOKUP(A50,[2]characters!$A:$I,9,FALSE)</f>
        <v>2</v>
      </c>
      <c r="D50" s="9" t="str">
        <f ca="1">VLOOKUP(A50,[2]characters!$A:$H,8,FALSE)</f>
        <v>red</v>
      </c>
      <c r="E50" s="24">
        <f ca="1">VLOOKUP(D50,[2]属性!$A:$E,2,FALSE)</f>
        <v>1</v>
      </c>
      <c r="F50" s="24">
        <f ca="1">VLOOKUP(D50,[2]属性!$A:$E,3,FALSE)</f>
        <v>1.02</v>
      </c>
      <c r="G50" s="24">
        <f ca="1">VLOOKUP(D50,[2]属性!$A:$F,4,FALSE)</f>
        <v>1</v>
      </c>
      <c r="H50" s="9" t="str">
        <f ca="1">VLOOKUP(A50,[2]characters!$A:$K,11,FALSE)</f>
        <v>hp</v>
      </c>
      <c r="I50" s="14" t="str">
        <f ca="1">VLOOKUP(H50,[2]character_type_i18n!$A:$F,3,FALSE)</f>
        <v>体力タイプ</v>
      </c>
      <c r="J50" s="36">
        <f ca="1">VLOOKUP(H50,[2]character_type_i18n!$A:$F,4,FALSE)</f>
        <v>1.45</v>
      </c>
      <c r="K50" s="36">
        <f ca="1">VLOOKUP(H50,[2]character_type_i18n!$A:$F,5,FALSE)</f>
        <v>0.85</v>
      </c>
      <c r="L50" s="36">
        <f ca="1">VLOOKUP(H50,[2]character_type_i18n!$A:$F,6,FALSE)</f>
        <v>1</v>
      </c>
      <c r="M50" s="9" t="str">
        <f ca="1">VLOOKUP(A50,[2]characters!$A:$M,13,FALSE)</f>
        <v>human</v>
      </c>
      <c r="N50" s="14" t="str">
        <f ca="1">VLOOKUP(M50,[2]character_tribe_i18n!$A:$F,3,FALSE)</f>
        <v>ヒューマン</v>
      </c>
      <c r="O50" s="24">
        <f ca="1">VLOOKUP(M50,[2]character_tribe_i18n!$A:$F,4,FALSE)</f>
        <v>0.94</v>
      </c>
      <c r="P50" s="24">
        <f ca="1">VLOOKUP(M50,[2]character_tribe_i18n!$A:$F,5,FALSE)</f>
        <v>0.99</v>
      </c>
      <c r="Q50" s="24">
        <f ca="1">VLOOKUP(M50,[2]character_tribe_i18n!$A:$F,6,FALSE)</f>
        <v>1</v>
      </c>
      <c r="R50" s="23" t="s">
        <v>19</v>
      </c>
      <c r="S50" s="24">
        <f>VLOOKUP($R50,ラベル別係数!$A$1:$E$7,3,FALSE)</f>
        <v>1</v>
      </c>
      <c r="T50" s="24">
        <f>VLOOKUP($R50,ラベル別係数!$A$1:$E$7,4,FALSE)</f>
        <v>1</v>
      </c>
      <c r="U50" s="24">
        <f>VLOOKUP($R50,ラベル別係数!$A$1:$E$7,5,FALSE)</f>
        <v>1</v>
      </c>
      <c r="V50" s="27">
        <v>2</v>
      </c>
      <c r="W50" s="28">
        <f>VLOOKUP(V50,ターン数別攻撃係数!$A$1:$B$1000,2,FALSE)</f>
        <v>0.75</v>
      </c>
      <c r="X50" s="10">
        <v>15</v>
      </c>
      <c r="Y50" s="26">
        <f>VLOOKUP($X50,サイズ別係数!$B:$E,2,FALSE)</f>
        <v>1</v>
      </c>
      <c r="Z50" s="26">
        <f>VLOOKUP($X50,サイズ別係数!$B:$E,3,FALSE)</f>
        <v>1</v>
      </c>
      <c r="AA50" s="26">
        <f>VLOOKUP($X50,サイズ別係数!$B:$E,4,FALSE)</f>
        <v>1</v>
      </c>
      <c r="AB50" s="35">
        <v>49</v>
      </c>
      <c r="AC50" s="34" t="str">
        <f ca="1">VLOOKUP($AB50,OFFSET([3]enemy_skill_sets!$B$2,0,0,COUNTA([3]enemy_skill_sets!$A:$A),MATCH(AC$1,[3]enemy_skill_sets!$1:$1,0)-MATCH($AB$1,[3]enemy_skill_sets!$1:$1,0)+1),MATCH(AC$1,[3]enemy_skill_sets!$1:$1,0)-MATCH($AB$1,[3]enemy_skill_sets!$1:$1,0)+1,FALSE)</f>
        <v>3ターンの間ダメージを受ける</v>
      </c>
      <c r="AD50" s="37">
        <v>1</v>
      </c>
      <c r="AE50" s="37">
        <v>1</v>
      </c>
      <c r="AF50" s="37">
        <v>0</v>
      </c>
      <c r="AG50" s="28">
        <f ca="1">ROUND(VLOOKUP(1,enemy_base_stats!$A:$F,2,FALSE) * Y50* J50*O50*E50*S50*AD50*[2]ステータス!$B$2,0)</f>
        <v>682</v>
      </c>
      <c r="AH50" s="28">
        <f ca="1">ROUND(VLOOKUP(1,enemy_base_stats!$A:$F,3,FALSE) * Z50*K50*P50*F50*T50*AE50 * W50*[2]ステータス!$C$2,0)</f>
        <v>97</v>
      </c>
      <c r="AI50" s="28">
        <f ca="1">ROUND(VLOOKUP(1,enemy_base_stats!$A:$F,4,FALSE) * AA50*L50*Q50*G50*U50*AF50*[2]ステータス!$D$2,0)</f>
        <v>0</v>
      </c>
      <c r="AJ50" s="28">
        <f ca="1">ROUND(VLOOKUP(100,enemy_base_stats!$A:$F,2,FALSE) * Y50* J50*O50*E50*S50*AD50*[2]ステータス!$B$2,0)</f>
        <v>27669</v>
      </c>
      <c r="AK50" s="28">
        <f ca="1">ROUND(VLOOKUP(100,enemy_base_stats!$A:$F,3,FALSE)* Z50* K50*P50*F50*T50*AE50 * W50*[2]ステータス!$C$2,0)</f>
        <v>3920</v>
      </c>
      <c r="AL50" s="28">
        <f ca="1">ROUND(VLOOKUP(100,enemy_base_stats!$A:$F,4,FALSE)* AA50* L50*Q50*G50*U50*AF50*[2]ステータス!$D$2,0)</f>
        <v>0</v>
      </c>
      <c r="AM50" s="24">
        <f ca="1">VLOOKUP(M50,[2]character_tribe_i18n!$A:$I,9,FALSE)</f>
        <v>400</v>
      </c>
      <c r="AN50" s="36">
        <v>0</v>
      </c>
      <c r="AO50" s="53">
        <v>0</v>
      </c>
      <c r="AP50" s="58" t="s">
        <v>72</v>
      </c>
      <c r="AQ50" s="71">
        <f t="shared" ca="1" si="0"/>
        <v>49</v>
      </c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</row>
    <row r="51" spans="1:60" s="3" customFormat="1" ht="21" customHeight="1" x14ac:dyDescent="0.15">
      <c r="A51" s="32">
        <f t="shared" ca="1" si="1"/>
        <v>50</v>
      </c>
      <c r="B51" s="6" t="str">
        <f ca="1">VLOOKUP(A51,[2]characters!$A:$C,3,FALSE)</f>
        <v>炎銃のレジスタンス ヨシタカ</v>
      </c>
      <c r="C51" s="9">
        <f ca="1">VLOOKUP(A51,[2]characters!$A:$I,9,FALSE)</f>
        <v>3</v>
      </c>
      <c r="D51" s="9" t="str">
        <f ca="1">VLOOKUP(A51,[2]characters!$A:$H,8,FALSE)</f>
        <v>red</v>
      </c>
      <c r="E51" s="24">
        <f ca="1">VLOOKUP(D51,[2]属性!$A:$E,2,FALSE)</f>
        <v>1</v>
      </c>
      <c r="F51" s="24">
        <f ca="1">VLOOKUP(D51,[2]属性!$A:$E,3,FALSE)</f>
        <v>1.02</v>
      </c>
      <c r="G51" s="24">
        <f ca="1">VLOOKUP(D51,[2]属性!$A:$F,4,FALSE)</f>
        <v>1</v>
      </c>
      <c r="H51" s="9" t="str">
        <f ca="1">VLOOKUP(A51,[2]characters!$A:$K,11,FALSE)</f>
        <v>hp</v>
      </c>
      <c r="I51" s="14" t="str">
        <f ca="1">VLOOKUP(H51,[2]character_type_i18n!$A:$F,3,FALSE)</f>
        <v>体力タイプ</v>
      </c>
      <c r="J51" s="36">
        <f ca="1">VLOOKUP(H51,[2]character_type_i18n!$A:$F,4,FALSE)</f>
        <v>1.45</v>
      </c>
      <c r="K51" s="36">
        <f ca="1">VLOOKUP(H51,[2]character_type_i18n!$A:$F,5,FALSE)</f>
        <v>0.85</v>
      </c>
      <c r="L51" s="36">
        <f ca="1">VLOOKUP(H51,[2]character_type_i18n!$A:$F,6,FALSE)</f>
        <v>1</v>
      </c>
      <c r="M51" s="9" t="str">
        <f ca="1">VLOOKUP(A51,[2]characters!$A:$M,13,FALSE)</f>
        <v>human</v>
      </c>
      <c r="N51" s="14" t="str">
        <f ca="1">VLOOKUP(M51,[2]character_tribe_i18n!$A:$F,3,FALSE)</f>
        <v>ヒューマン</v>
      </c>
      <c r="O51" s="24">
        <f ca="1">VLOOKUP(M51,[2]character_tribe_i18n!$A:$F,4,FALSE)</f>
        <v>0.94</v>
      </c>
      <c r="P51" s="24">
        <f ca="1">VLOOKUP(M51,[2]character_tribe_i18n!$A:$F,5,FALSE)</f>
        <v>0.99</v>
      </c>
      <c r="Q51" s="24">
        <f ca="1">VLOOKUP(M51,[2]character_tribe_i18n!$A:$F,6,FALSE)</f>
        <v>1</v>
      </c>
      <c r="R51" s="25" t="s">
        <v>3</v>
      </c>
      <c r="S51" s="24">
        <f>VLOOKUP($R51,ラベル別係数!$A$1:$E$7,3,FALSE)</f>
        <v>3</v>
      </c>
      <c r="T51" s="24">
        <f>VLOOKUP($R51,ラベル別係数!$A$1:$E$7,4,FALSE)</f>
        <v>1.4</v>
      </c>
      <c r="U51" s="24">
        <f>VLOOKUP($R51,ラベル別係数!$A$1:$E$7,5,FALSE)</f>
        <v>0.8</v>
      </c>
      <c r="V51" s="27">
        <v>2</v>
      </c>
      <c r="W51" s="28">
        <f>VLOOKUP(V51,ターン数別攻撃係数!$A$1:$B$1000,2,FALSE)</f>
        <v>0.75</v>
      </c>
      <c r="X51" s="5">
        <v>20</v>
      </c>
      <c r="Y51" s="26">
        <f>VLOOKUP($X51,サイズ別係数!$B:$E,2,FALSE)</f>
        <v>1.1000000000000001</v>
      </c>
      <c r="Z51" s="26">
        <f>VLOOKUP($X51,サイズ別係数!$B:$E,3,FALSE)</f>
        <v>1.2</v>
      </c>
      <c r="AA51" s="26">
        <f>VLOOKUP($X51,サイズ別係数!$B:$E,4,FALSE)</f>
        <v>1.2</v>
      </c>
      <c r="AB51" s="35">
        <v>50</v>
      </c>
      <c r="AC51" s="34" t="str">
        <f ca="1">VLOOKUP($AB51,OFFSET([3]enemy_skill_sets!$B$2,0,0,COUNTA([3]enemy_skill_sets!$A:$A),MATCH(AC$1,[3]enemy_skill_sets!$1:$1,0)-MATCH($AB$1,[3]enemy_skill_sets!$1:$1,0)+1),MATCH(AC$1,[3]enemy_skill_sets!$1:$1,0)-MATCH($AB$1,[3]enemy_skill_sets!$1:$1,0)+1,FALSE)</f>
        <v>5ターンの間ダメージを受ける</v>
      </c>
      <c r="AD51" s="37">
        <v>1</v>
      </c>
      <c r="AE51" s="37">
        <v>1</v>
      </c>
      <c r="AF51" s="37">
        <v>0</v>
      </c>
      <c r="AG51" s="28">
        <f ca="1">ROUND(VLOOKUP(1,enemy_base_stats!$A:$F,2,FALSE) * Y51* J51*O51*E51*S51*AD51*[2]ステータス!$B$2,0)</f>
        <v>2249</v>
      </c>
      <c r="AH51" s="28">
        <f ca="1">ROUND(VLOOKUP(1,enemy_base_stats!$A:$F,3,FALSE) * Z51*K51*P51*F51*T51*AE51 * W51*[2]ステータス!$C$2,0)</f>
        <v>162</v>
      </c>
      <c r="AI51" s="28">
        <f ca="1">ROUND(VLOOKUP(1,enemy_base_stats!$A:$F,4,FALSE) * AA51*L51*Q51*G51*U51*AF51*[2]ステータス!$D$2,0)</f>
        <v>0</v>
      </c>
      <c r="AJ51" s="28">
        <f ca="1">ROUND(VLOOKUP(100,enemy_base_stats!$A:$F,2,FALSE) * Y51* J51*O51*E51*S51*AD51*[2]ステータス!$B$2,0)</f>
        <v>91307</v>
      </c>
      <c r="AK51" s="28">
        <f ca="1">ROUND(VLOOKUP(100,enemy_base_stats!$A:$F,3,FALSE)* Z51* K51*P51*F51*T51*AE51 * W51*[2]ステータス!$C$2,0)</f>
        <v>6586</v>
      </c>
      <c r="AL51" s="28">
        <f ca="1">ROUND(VLOOKUP(100,enemy_base_stats!$A:$F,4,FALSE)* AA51* L51*Q51*G51*U51*AF51*[2]ステータス!$D$2,0)</f>
        <v>0</v>
      </c>
      <c r="AM51" s="24">
        <f ca="1">VLOOKUP(M51,[2]character_tribe_i18n!$A:$I,9,FALSE)</f>
        <v>400</v>
      </c>
      <c r="AN51" s="36">
        <v>0</v>
      </c>
      <c r="AO51" s="53">
        <v>0</v>
      </c>
      <c r="AP51" s="58" t="s">
        <v>72</v>
      </c>
      <c r="AQ51" s="71">
        <f t="shared" ca="1" si="0"/>
        <v>50</v>
      </c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</row>
    <row r="52" spans="1:60" s="3" customFormat="1" ht="21" customHeight="1" x14ac:dyDescent="0.15">
      <c r="A52" s="32">
        <f t="shared" ca="1" si="1"/>
        <v>51</v>
      </c>
      <c r="B52" s="6" t="str">
        <f ca="1">VLOOKUP(A52,[2]characters!$A:$C,3,FALSE)</f>
        <v>マイ</v>
      </c>
      <c r="C52" s="9">
        <f ca="1">VLOOKUP(A52,[2]characters!$A:$I,9,FALSE)</f>
        <v>2</v>
      </c>
      <c r="D52" s="9" t="str">
        <f ca="1">VLOOKUP(A52,[2]characters!$A:$H,8,FALSE)</f>
        <v>green</v>
      </c>
      <c r="E52" s="24">
        <f ca="1">VLOOKUP(D52,[2]属性!$A:$E,2,FALSE)</f>
        <v>1.02</v>
      </c>
      <c r="F52" s="24">
        <f ca="1">VLOOKUP(D52,[2]属性!$A:$E,3,FALSE)</f>
        <v>0.98</v>
      </c>
      <c r="G52" s="24">
        <f ca="1">VLOOKUP(D52,[2]属性!$A:$F,4,FALSE)</f>
        <v>1</v>
      </c>
      <c r="H52" s="9" t="str">
        <f ca="1">VLOOKUP(A52,[2]characters!$A:$K,11,FALSE)</f>
        <v>attack</v>
      </c>
      <c r="I52" s="14" t="str">
        <f ca="1">VLOOKUP(H52,[2]character_type_i18n!$A:$F,3,FALSE)</f>
        <v>攻撃タイプ</v>
      </c>
      <c r="J52" s="36">
        <f ca="1">VLOOKUP(H52,[2]character_type_i18n!$A:$F,4,FALSE)</f>
        <v>1</v>
      </c>
      <c r="K52" s="36">
        <f ca="1">VLOOKUP(H52,[2]character_type_i18n!$A:$F,5,FALSE)</f>
        <v>1.33</v>
      </c>
      <c r="L52" s="36">
        <f ca="1">VLOOKUP(H52,[2]character_type_i18n!$A:$F,6,FALSE)</f>
        <v>1</v>
      </c>
      <c r="M52" s="9" t="str">
        <f ca="1">VLOOKUP(A52,[2]characters!$A:$M,13,FALSE)</f>
        <v>human</v>
      </c>
      <c r="N52" s="14" t="str">
        <f ca="1">VLOOKUP(M52,[2]character_tribe_i18n!$A:$F,3,FALSE)</f>
        <v>ヒューマン</v>
      </c>
      <c r="O52" s="24">
        <f ca="1">VLOOKUP(M52,[2]character_tribe_i18n!$A:$F,4,FALSE)</f>
        <v>0.94</v>
      </c>
      <c r="P52" s="24">
        <f ca="1">VLOOKUP(M52,[2]character_tribe_i18n!$A:$F,5,FALSE)</f>
        <v>0.99</v>
      </c>
      <c r="Q52" s="24">
        <f ca="1">VLOOKUP(M52,[2]character_tribe_i18n!$A:$F,6,FALSE)</f>
        <v>1</v>
      </c>
      <c r="R52" s="25" t="s">
        <v>19</v>
      </c>
      <c r="S52" s="24">
        <f>VLOOKUP($R52,ラベル別係数!$A$1:$E$7,3,FALSE)</f>
        <v>1</v>
      </c>
      <c r="T52" s="24">
        <f>VLOOKUP($R52,ラベル別係数!$A$1:$E$7,4,FALSE)</f>
        <v>1</v>
      </c>
      <c r="U52" s="24">
        <f>VLOOKUP($R52,ラベル別係数!$A$1:$E$7,5,FALSE)</f>
        <v>1</v>
      </c>
      <c r="V52" s="27">
        <v>2</v>
      </c>
      <c r="W52" s="28">
        <f>VLOOKUP(V52,ターン数別攻撃係数!$A$1:$B$1000,2,FALSE)</f>
        <v>0.75</v>
      </c>
      <c r="X52" s="10">
        <v>15</v>
      </c>
      <c r="Y52" s="26">
        <f>VLOOKUP($X52,サイズ別係数!$B:$E,2,FALSE)</f>
        <v>1</v>
      </c>
      <c r="Z52" s="26">
        <f>VLOOKUP($X52,サイズ別係数!$B:$E,3,FALSE)</f>
        <v>1</v>
      </c>
      <c r="AA52" s="26">
        <f>VLOOKUP($X52,サイズ別係数!$B:$E,4,FALSE)</f>
        <v>1</v>
      </c>
      <c r="AB52" s="35">
        <v>51</v>
      </c>
      <c r="AC52" s="34" t="str">
        <f ca="1">VLOOKUP($AB52,OFFSET([3]enemy_skill_sets!$B$2,0,0,COUNTA([3]enemy_skill_sets!$A:$A),MATCH(AC$1,[3]enemy_skill_sets!$1:$1,0)-MATCH($AB$1,[3]enemy_skill_sets!$1:$1,0)+1),MATCH(AC$1,[3]enemy_skill_sets!$1:$1,0)-MATCH($AB$1,[3]enemy_skill_sets!$1:$1,0)+1,FALSE)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52" s="37">
        <v>1</v>
      </c>
      <c r="AE52" s="37">
        <v>1</v>
      </c>
      <c r="AF52" s="37">
        <v>0</v>
      </c>
      <c r="AG52" s="28">
        <f ca="1">ROUND(VLOOKUP(1,enemy_base_stats!$A:$F,2,FALSE) * Y52* J52*O52*E52*S52*AD52*[2]ステータス!$B$2,0)</f>
        <v>479</v>
      </c>
      <c r="AH52" s="28">
        <f ca="1">ROUND(VLOOKUP(1,enemy_base_stats!$A:$F,3,FALSE) * Z52*K52*P52*F52*T52*AE52 * W52*[2]ステータス!$C$2,0)</f>
        <v>145</v>
      </c>
      <c r="AI52" s="28">
        <f ca="1">ROUND(VLOOKUP(1,enemy_base_stats!$A:$F,4,FALSE) * AA52*L52*Q52*G52*U52*AF52*[2]ステータス!$D$2,0)</f>
        <v>0</v>
      </c>
      <c r="AJ52" s="28">
        <f ca="1">ROUND(VLOOKUP(100,enemy_base_stats!$A:$F,2,FALSE) * Y52* J52*O52*E52*S52*AD52*[2]ステータス!$B$2,0)</f>
        <v>19464</v>
      </c>
      <c r="AK52" s="28">
        <f ca="1">ROUND(VLOOKUP(100,enemy_base_stats!$A:$F,3,FALSE)* Z52* K52*P52*F52*T52*AE52 * W52*[2]ステータス!$C$2,0)</f>
        <v>5894</v>
      </c>
      <c r="AL52" s="28">
        <f ca="1">ROUND(VLOOKUP(100,enemy_base_stats!$A:$F,4,FALSE)* AA52* L52*Q52*G52*U52*AF52*[2]ステータス!$D$2,0)</f>
        <v>0</v>
      </c>
      <c r="AM52" s="24">
        <f ca="1">VLOOKUP(M52,[2]character_tribe_i18n!$A:$I,9,FALSE)</f>
        <v>400</v>
      </c>
      <c r="AN52" s="36">
        <v>0</v>
      </c>
      <c r="AO52" s="53">
        <v>0</v>
      </c>
      <c r="AP52" s="58" t="s">
        <v>72</v>
      </c>
      <c r="AQ52" s="71">
        <f t="shared" ca="1" si="0"/>
        <v>51</v>
      </c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</row>
    <row r="53" spans="1:60" s="3" customFormat="1" ht="21" customHeight="1" x14ac:dyDescent="0.15">
      <c r="A53" s="32">
        <f t="shared" ca="1" si="1"/>
        <v>52</v>
      </c>
      <c r="B53" s="6" t="str">
        <f ca="1">VLOOKUP(A53,[2]characters!$A:$C,3,FALSE)</f>
        <v>翠槍のレジスタンス マイ</v>
      </c>
      <c r="C53" s="9">
        <f ca="1">VLOOKUP(A53,[2]characters!$A:$I,9,FALSE)</f>
        <v>3</v>
      </c>
      <c r="D53" s="9" t="str">
        <f ca="1">VLOOKUP(A53,[2]characters!$A:$H,8,FALSE)</f>
        <v>green</v>
      </c>
      <c r="E53" s="24">
        <f ca="1">VLOOKUP(D53,[2]属性!$A:$E,2,FALSE)</f>
        <v>1.02</v>
      </c>
      <c r="F53" s="24">
        <f ca="1">VLOOKUP(D53,[2]属性!$A:$E,3,FALSE)</f>
        <v>0.98</v>
      </c>
      <c r="G53" s="24">
        <f ca="1">VLOOKUP(D53,[2]属性!$A:$F,4,FALSE)</f>
        <v>1</v>
      </c>
      <c r="H53" s="9" t="str">
        <f ca="1">VLOOKUP(A53,[2]characters!$A:$K,11,FALSE)</f>
        <v>attack</v>
      </c>
      <c r="I53" s="14" t="str">
        <f ca="1">VLOOKUP(H53,[2]character_type_i18n!$A:$F,3,FALSE)</f>
        <v>攻撃タイプ</v>
      </c>
      <c r="J53" s="36">
        <f ca="1">VLOOKUP(H53,[2]character_type_i18n!$A:$F,4,FALSE)</f>
        <v>1</v>
      </c>
      <c r="K53" s="36">
        <f ca="1">VLOOKUP(H53,[2]character_type_i18n!$A:$F,5,FALSE)</f>
        <v>1.33</v>
      </c>
      <c r="L53" s="36">
        <f ca="1">VLOOKUP(H53,[2]character_type_i18n!$A:$F,6,FALSE)</f>
        <v>1</v>
      </c>
      <c r="M53" s="9" t="str">
        <f ca="1">VLOOKUP(A53,[2]characters!$A:$M,13,FALSE)</f>
        <v>human</v>
      </c>
      <c r="N53" s="14" t="str">
        <f ca="1">VLOOKUP(M53,[2]character_tribe_i18n!$A:$F,3,FALSE)</f>
        <v>ヒューマン</v>
      </c>
      <c r="O53" s="24">
        <f ca="1">VLOOKUP(M53,[2]character_tribe_i18n!$A:$F,4,FALSE)</f>
        <v>0.94</v>
      </c>
      <c r="P53" s="24">
        <f ca="1">VLOOKUP(M53,[2]character_tribe_i18n!$A:$F,5,FALSE)</f>
        <v>0.99</v>
      </c>
      <c r="Q53" s="24">
        <f ca="1">VLOOKUP(M53,[2]character_tribe_i18n!$A:$F,6,FALSE)</f>
        <v>1</v>
      </c>
      <c r="R53" s="25" t="s">
        <v>3</v>
      </c>
      <c r="S53" s="24">
        <f>VLOOKUP($R53,ラベル別係数!$A$1:$E$7,3,FALSE)</f>
        <v>3</v>
      </c>
      <c r="T53" s="24">
        <f>VLOOKUP($R53,ラベル別係数!$A$1:$E$7,4,FALSE)</f>
        <v>1.4</v>
      </c>
      <c r="U53" s="24">
        <f>VLOOKUP($R53,ラベル別係数!$A$1:$E$7,5,FALSE)</f>
        <v>0.8</v>
      </c>
      <c r="V53" s="27">
        <v>2</v>
      </c>
      <c r="W53" s="28">
        <f>VLOOKUP(V53,ターン数別攻撃係数!$A$1:$B$1000,2,FALSE)</f>
        <v>0.75</v>
      </c>
      <c r="X53" s="5">
        <v>20</v>
      </c>
      <c r="Y53" s="26">
        <f>VLOOKUP($X53,サイズ別係数!$B:$E,2,FALSE)</f>
        <v>1.1000000000000001</v>
      </c>
      <c r="Z53" s="26">
        <f>VLOOKUP($X53,サイズ別係数!$B:$E,3,FALSE)</f>
        <v>1.2</v>
      </c>
      <c r="AA53" s="26">
        <f>VLOOKUP($X53,サイズ別係数!$B:$E,4,FALSE)</f>
        <v>1.2</v>
      </c>
      <c r="AB53" s="35">
        <v>51</v>
      </c>
      <c r="AC53" s="34" t="str">
        <f ca="1">VLOOKUP($AB53,OFFSET([3]enemy_skill_sets!$B$2,0,0,COUNTA([3]enemy_skill_sets!$A:$A),MATCH(AC$1,[3]enemy_skill_sets!$1:$1,0)-MATCH($AB$1,[3]enemy_skill_sets!$1:$1,0)+1),MATCH(AC$1,[3]enemy_skill_sets!$1:$1,0)-MATCH($AB$1,[3]enemy_skill_sets!$1:$1,0)+1,FALSE)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53" s="37">
        <v>1</v>
      </c>
      <c r="AE53" s="37">
        <v>1</v>
      </c>
      <c r="AF53" s="37">
        <v>0</v>
      </c>
      <c r="AG53" s="28">
        <f ca="1">ROUND(VLOOKUP(1,enemy_base_stats!$A:$F,2,FALSE) * Y53* J53*O53*E53*S53*AD53*[2]ステータス!$B$2,0)</f>
        <v>1582</v>
      </c>
      <c r="AH53" s="28">
        <f ca="1">ROUND(VLOOKUP(1,enemy_base_stats!$A:$F,3,FALSE) * Z53*K53*P53*F53*T53*AE53 * W53*[2]ステータス!$C$2,0)</f>
        <v>244</v>
      </c>
      <c r="AI53" s="28">
        <f ca="1">ROUND(VLOOKUP(1,enemy_base_stats!$A:$F,4,FALSE) * AA53*L53*Q53*G53*U53*AF53*[2]ステータス!$D$2,0)</f>
        <v>0</v>
      </c>
      <c r="AJ53" s="28">
        <f ca="1">ROUND(VLOOKUP(100,enemy_base_stats!$A:$F,2,FALSE) * Y53* J53*O53*E53*S53*AD53*[2]ステータス!$B$2,0)</f>
        <v>64230</v>
      </c>
      <c r="AK53" s="28">
        <f ca="1">ROUND(VLOOKUP(100,enemy_base_stats!$A:$F,3,FALSE)* Z53* K53*P53*F53*T53*AE53 * W53*[2]ステータス!$C$2,0)</f>
        <v>9901</v>
      </c>
      <c r="AL53" s="28">
        <f ca="1">ROUND(VLOOKUP(100,enemy_base_stats!$A:$F,4,FALSE)* AA53* L53*Q53*G53*U53*AF53*[2]ステータス!$D$2,0)</f>
        <v>0</v>
      </c>
      <c r="AM53" s="24">
        <f ca="1">VLOOKUP(M53,[2]character_tribe_i18n!$A:$I,9,FALSE)</f>
        <v>400</v>
      </c>
      <c r="AN53" s="36">
        <v>0</v>
      </c>
      <c r="AO53" s="53">
        <v>0</v>
      </c>
      <c r="AP53" s="58" t="s">
        <v>72</v>
      </c>
      <c r="AQ53" s="71">
        <f t="shared" ca="1" si="0"/>
        <v>52</v>
      </c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</row>
    <row r="54" spans="1:60" s="3" customFormat="1" ht="21" customHeight="1" x14ac:dyDescent="0.15">
      <c r="A54" s="32">
        <f t="shared" ca="1" si="1"/>
        <v>53</v>
      </c>
      <c r="B54" s="6" t="str">
        <f ca="1">VLOOKUP(A54,[2]characters!$A:$C,3,FALSE)</f>
        <v>ケンジ</v>
      </c>
      <c r="C54" s="9">
        <f ca="1">VLOOKUP(A54,[2]characters!$A:$I,9,FALSE)</f>
        <v>2</v>
      </c>
      <c r="D54" s="9" t="str">
        <f ca="1">VLOOKUP(A54,[2]characters!$A:$H,8,FALSE)</f>
        <v>blue</v>
      </c>
      <c r="E54" s="24">
        <f ca="1">VLOOKUP(D54,[2]属性!$A:$E,2,FALSE)</f>
        <v>1</v>
      </c>
      <c r="F54" s="24">
        <f ca="1">VLOOKUP(D54,[2]属性!$A:$E,3,FALSE)</f>
        <v>0.98</v>
      </c>
      <c r="G54" s="24">
        <f ca="1">VLOOKUP(D54,[2]属性!$A:$F,4,FALSE)</f>
        <v>1</v>
      </c>
      <c r="H54" s="9" t="str">
        <f ca="1">VLOOKUP(A54,[2]characters!$A:$K,11,FALSE)</f>
        <v>balance</v>
      </c>
      <c r="I54" s="14" t="str">
        <f ca="1">VLOOKUP(H54,[2]character_type_i18n!$A:$F,3,FALSE)</f>
        <v>バランスタイプ</v>
      </c>
      <c r="J54" s="36">
        <f ca="1">VLOOKUP(H54,[2]character_type_i18n!$A:$F,4,FALSE)</f>
        <v>1</v>
      </c>
      <c r="K54" s="36">
        <f ca="1">VLOOKUP(H54,[2]character_type_i18n!$A:$F,5,FALSE)</f>
        <v>1</v>
      </c>
      <c r="L54" s="36">
        <f ca="1">VLOOKUP(H54,[2]character_type_i18n!$A:$F,6,FALSE)</f>
        <v>1</v>
      </c>
      <c r="M54" s="9" t="str">
        <f ca="1">VLOOKUP(A54,[2]characters!$A:$M,13,FALSE)</f>
        <v>human</v>
      </c>
      <c r="N54" s="14" t="str">
        <f ca="1">VLOOKUP(M54,[2]character_tribe_i18n!$A:$F,3,FALSE)</f>
        <v>ヒューマン</v>
      </c>
      <c r="O54" s="24">
        <f ca="1">VLOOKUP(M54,[2]character_tribe_i18n!$A:$F,4,FALSE)</f>
        <v>0.94</v>
      </c>
      <c r="P54" s="24">
        <f ca="1">VLOOKUP(M54,[2]character_tribe_i18n!$A:$F,5,FALSE)</f>
        <v>0.99</v>
      </c>
      <c r="Q54" s="24">
        <f ca="1">VLOOKUP(M54,[2]character_tribe_i18n!$A:$F,6,FALSE)</f>
        <v>1</v>
      </c>
      <c r="R54" s="25" t="s">
        <v>19</v>
      </c>
      <c r="S54" s="24">
        <f>VLOOKUP($R54,ラベル別係数!$A$1:$E$7,3,FALSE)</f>
        <v>1</v>
      </c>
      <c r="T54" s="24">
        <f>VLOOKUP($R54,ラベル別係数!$A$1:$E$7,4,FALSE)</f>
        <v>1</v>
      </c>
      <c r="U54" s="24">
        <f>VLOOKUP($R54,ラベル別係数!$A$1:$E$7,5,FALSE)</f>
        <v>1</v>
      </c>
      <c r="V54" s="27">
        <v>2</v>
      </c>
      <c r="W54" s="28">
        <f>VLOOKUP(V54,ターン数別攻撃係数!$A$1:$B$1000,2,FALSE)</f>
        <v>0.75</v>
      </c>
      <c r="X54" s="10">
        <v>15</v>
      </c>
      <c r="Y54" s="26">
        <f>VLOOKUP($X54,サイズ別係数!$B:$E,2,FALSE)</f>
        <v>1</v>
      </c>
      <c r="Z54" s="26">
        <f>VLOOKUP($X54,サイズ別係数!$B:$E,3,FALSE)</f>
        <v>1</v>
      </c>
      <c r="AA54" s="26">
        <f>VLOOKUP($X54,サイズ別係数!$B:$E,4,FALSE)</f>
        <v>1</v>
      </c>
      <c r="AB54" s="35">
        <v>53</v>
      </c>
      <c r="AC54" s="34" t="str">
        <f ca="1">VLOOKUP($AB54,OFFSET([3]enemy_skill_sets!$B$2,0,0,COUNTA([3]enemy_skill_sets!$A:$A),MATCH(AC$1,[3]enemy_skill_sets!$1:$1,0)-MATCH($AB$1,[3]enemy_skill_sets!$1:$1,0)+1),MATCH(AC$1,[3]enemy_skill_sets!$1:$1,0)-MATCH($AB$1,[3]enemy_skill_sets!$1:$1,0)+1,FALSE)</f>
        <v>効いてしまうと２ターン行動できない</v>
      </c>
      <c r="AD54" s="37">
        <v>1</v>
      </c>
      <c r="AE54" s="37">
        <v>1</v>
      </c>
      <c r="AF54" s="37">
        <v>0</v>
      </c>
      <c r="AG54" s="28">
        <f ca="1">ROUND(VLOOKUP(1,enemy_base_stats!$A:$F,2,FALSE) * Y54* J54*O54*E54*S54*AD54*[2]ステータス!$B$2,0)</f>
        <v>470</v>
      </c>
      <c r="AH54" s="28">
        <f ca="1">ROUND(VLOOKUP(1,enemy_base_stats!$A:$F,3,FALSE) * Z54*K54*P54*F54*T54*AE54 * W54*[2]ステータス!$C$2,0)</f>
        <v>109</v>
      </c>
      <c r="AI54" s="28">
        <f ca="1">ROUND(VLOOKUP(1,enemy_base_stats!$A:$F,4,FALSE) * AA54*L54*Q54*G54*U54*AF54*[2]ステータス!$D$2,0)</f>
        <v>0</v>
      </c>
      <c r="AJ54" s="28">
        <f ca="1">ROUND(VLOOKUP(100,enemy_base_stats!$A:$F,2,FALSE) * Y54* J54*O54*E54*S54*AD54*[2]ステータス!$B$2,0)</f>
        <v>19082</v>
      </c>
      <c r="AK54" s="28">
        <f ca="1">ROUND(VLOOKUP(100,enemy_base_stats!$A:$F,3,FALSE)* Z54* K54*P54*F54*T54*AE54 * W54*[2]ステータス!$C$2,0)</f>
        <v>4431</v>
      </c>
      <c r="AL54" s="28">
        <f ca="1">ROUND(VLOOKUP(100,enemy_base_stats!$A:$F,4,FALSE)* AA54* L54*Q54*G54*U54*AF54*[2]ステータス!$D$2,0)</f>
        <v>0</v>
      </c>
      <c r="AM54" s="24">
        <f ca="1">VLOOKUP(M54,[2]character_tribe_i18n!$A:$I,9,FALSE)</f>
        <v>400</v>
      </c>
      <c r="AN54" s="36">
        <v>0</v>
      </c>
      <c r="AO54" s="53">
        <v>0</v>
      </c>
      <c r="AP54" s="58" t="s">
        <v>72</v>
      </c>
      <c r="AQ54" s="71">
        <f t="shared" ca="1" si="0"/>
        <v>53</v>
      </c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</row>
    <row r="55" spans="1:60" s="3" customFormat="1" ht="21" customHeight="1" x14ac:dyDescent="0.15">
      <c r="A55" s="32">
        <f t="shared" ca="1" si="1"/>
        <v>54</v>
      </c>
      <c r="B55" s="6" t="str">
        <f ca="1">VLOOKUP(A55,[2]characters!$A:$C,3,FALSE)</f>
        <v>蒼斬のレジスタンス ケンジ</v>
      </c>
      <c r="C55" s="9">
        <f ca="1">VLOOKUP(A55,[2]characters!$A:$I,9,FALSE)</f>
        <v>3</v>
      </c>
      <c r="D55" s="9" t="str">
        <f ca="1">VLOOKUP(A55,[2]characters!$A:$H,8,FALSE)</f>
        <v>blue</v>
      </c>
      <c r="E55" s="24">
        <f ca="1">VLOOKUP(D55,[2]属性!$A:$E,2,FALSE)</f>
        <v>1</v>
      </c>
      <c r="F55" s="24">
        <f ca="1">VLOOKUP(D55,[2]属性!$A:$E,3,FALSE)</f>
        <v>0.98</v>
      </c>
      <c r="G55" s="24">
        <f ca="1">VLOOKUP(D55,[2]属性!$A:$F,4,FALSE)</f>
        <v>1</v>
      </c>
      <c r="H55" s="9" t="str">
        <f ca="1">VLOOKUP(A55,[2]characters!$A:$K,11,FALSE)</f>
        <v>balance</v>
      </c>
      <c r="I55" s="14" t="str">
        <f ca="1">VLOOKUP(H55,[2]character_type_i18n!$A:$F,3,FALSE)</f>
        <v>バランスタイプ</v>
      </c>
      <c r="J55" s="36">
        <f ca="1">VLOOKUP(H55,[2]character_type_i18n!$A:$F,4,FALSE)</f>
        <v>1</v>
      </c>
      <c r="K55" s="36">
        <f ca="1">VLOOKUP(H55,[2]character_type_i18n!$A:$F,5,FALSE)</f>
        <v>1</v>
      </c>
      <c r="L55" s="36">
        <f ca="1">VLOOKUP(H55,[2]character_type_i18n!$A:$F,6,FALSE)</f>
        <v>1</v>
      </c>
      <c r="M55" s="9" t="str">
        <f ca="1">VLOOKUP(A55,[2]characters!$A:$M,13,FALSE)</f>
        <v>human</v>
      </c>
      <c r="N55" s="14" t="str">
        <f ca="1">VLOOKUP(M55,[2]character_tribe_i18n!$A:$F,3,FALSE)</f>
        <v>ヒューマン</v>
      </c>
      <c r="O55" s="24">
        <f ca="1">VLOOKUP(M55,[2]character_tribe_i18n!$A:$F,4,FALSE)</f>
        <v>0.94</v>
      </c>
      <c r="P55" s="24">
        <f ca="1">VLOOKUP(M55,[2]character_tribe_i18n!$A:$F,5,FALSE)</f>
        <v>0.99</v>
      </c>
      <c r="Q55" s="24">
        <f ca="1">VLOOKUP(M55,[2]character_tribe_i18n!$A:$F,6,FALSE)</f>
        <v>1</v>
      </c>
      <c r="R55" s="25" t="s">
        <v>3</v>
      </c>
      <c r="S55" s="24">
        <f>VLOOKUP($R55,ラベル別係数!$A$1:$E$7,3,FALSE)</f>
        <v>3</v>
      </c>
      <c r="T55" s="24">
        <f>VLOOKUP($R55,ラベル別係数!$A$1:$E$7,4,FALSE)</f>
        <v>1.4</v>
      </c>
      <c r="U55" s="24">
        <f>VLOOKUP($R55,ラベル別係数!$A$1:$E$7,5,FALSE)</f>
        <v>0.8</v>
      </c>
      <c r="V55" s="27">
        <v>2</v>
      </c>
      <c r="W55" s="28">
        <f>VLOOKUP(V55,ターン数別攻撃係数!$A$1:$B$1000,2,FALSE)</f>
        <v>0.75</v>
      </c>
      <c r="X55" s="5">
        <v>20</v>
      </c>
      <c r="Y55" s="26">
        <f>VLOOKUP($X55,サイズ別係数!$B:$E,2,FALSE)</f>
        <v>1.1000000000000001</v>
      </c>
      <c r="Z55" s="26">
        <f>VLOOKUP($X55,サイズ別係数!$B:$E,3,FALSE)</f>
        <v>1.2</v>
      </c>
      <c r="AA55" s="26">
        <f>VLOOKUP($X55,サイズ別係数!$B:$E,4,FALSE)</f>
        <v>1.2</v>
      </c>
      <c r="AB55" s="35">
        <v>53</v>
      </c>
      <c r="AC55" s="34" t="str">
        <f ca="1">VLOOKUP($AB55,OFFSET([3]enemy_skill_sets!$B$2,0,0,COUNTA([3]enemy_skill_sets!$A:$A),MATCH(AC$1,[3]enemy_skill_sets!$1:$1,0)-MATCH($AB$1,[3]enemy_skill_sets!$1:$1,0)+1),MATCH(AC$1,[3]enemy_skill_sets!$1:$1,0)-MATCH($AB$1,[3]enemy_skill_sets!$1:$1,0)+1,FALSE)</f>
        <v>効いてしまうと２ターン行動できない</v>
      </c>
      <c r="AD55" s="37">
        <v>1</v>
      </c>
      <c r="AE55" s="37">
        <v>1</v>
      </c>
      <c r="AF55" s="37">
        <v>0</v>
      </c>
      <c r="AG55" s="28">
        <f ca="1">ROUND(VLOOKUP(1,enemy_base_stats!$A:$F,2,FALSE) * Y55* J55*O55*E55*S55*AD55*[2]ステータス!$B$2,0)</f>
        <v>1551</v>
      </c>
      <c r="AH55" s="28">
        <f ca="1">ROUND(VLOOKUP(1,enemy_base_stats!$A:$F,3,FALSE) * Z55*K55*P55*F55*T55*AE55 * W55*[2]ステータス!$C$2,0)</f>
        <v>183</v>
      </c>
      <c r="AI55" s="28">
        <f ca="1">ROUND(VLOOKUP(1,enemy_base_stats!$A:$F,4,FALSE) * AA55*L55*Q55*G55*U55*AF55*[2]ステータス!$D$2,0)</f>
        <v>0</v>
      </c>
      <c r="AJ55" s="28">
        <f ca="1">ROUND(VLOOKUP(100,enemy_base_stats!$A:$F,2,FALSE) * Y55* J55*O55*E55*S55*AD55*[2]ステータス!$B$2,0)</f>
        <v>62971</v>
      </c>
      <c r="AK55" s="28">
        <f ca="1">ROUND(VLOOKUP(100,enemy_base_stats!$A:$F,3,FALSE)* Z55* K55*P55*F55*T55*AE55 * W55*[2]ステータス!$C$2,0)</f>
        <v>7445</v>
      </c>
      <c r="AL55" s="28">
        <f ca="1">ROUND(VLOOKUP(100,enemy_base_stats!$A:$F,4,FALSE)* AA55* L55*Q55*G55*U55*AF55*[2]ステータス!$D$2,0)</f>
        <v>0</v>
      </c>
      <c r="AM55" s="24">
        <f ca="1">VLOOKUP(M55,[2]character_tribe_i18n!$A:$I,9,FALSE)</f>
        <v>400</v>
      </c>
      <c r="AN55" s="36">
        <v>0</v>
      </c>
      <c r="AO55" s="53">
        <v>0</v>
      </c>
      <c r="AP55" s="58" t="s">
        <v>72</v>
      </c>
      <c r="AQ55" s="71">
        <f t="shared" ca="1" si="0"/>
        <v>54</v>
      </c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</row>
    <row r="56" spans="1:60" s="3" customFormat="1" ht="21" customHeight="1" x14ac:dyDescent="0.15">
      <c r="A56" s="32">
        <f t="shared" ca="1" si="1"/>
        <v>55</v>
      </c>
      <c r="B56" s="6" t="str">
        <f ca="1">VLOOKUP(A56,[2]characters!$A:$C,3,FALSE)</f>
        <v>マミコ</v>
      </c>
      <c r="C56" s="9">
        <f ca="1">VLOOKUP(A56,[2]characters!$A:$I,9,FALSE)</f>
        <v>2</v>
      </c>
      <c r="D56" s="9" t="str">
        <f ca="1">VLOOKUP(A56,[2]characters!$A:$H,8,FALSE)</f>
        <v>yellow</v>
      </c>
      <c r="E56" s="24">
        <f ca="1">VLOOKUP(D56,[2]属性!$A:$E,2,FALSE)</f>
        <v>0.98</v>
      </c>
      <c r="F56" s="24">
        <f ca="1">VLOOKUP(D56,[2]属性!$A:$E,3,FALSE)</f>
        <v>1.01</v>
      </c>
      <c r="G56" s="24">
        <f ca="1">VLOOKUP(D56,[2]属性!$A:$F,4,FALSE)</f>
        <v>1</v>
      </c>
      <c r="H56" s="9" t="str">
        <f ca="1">VLOOKUP(A56,[2]characters!$A:$K,11,FALSE)</f>
        <v>balance</v>
      </c>
      <c r="I56" s="14" t="str">
        <f ca="1">VLOOKUP(H56,[2]character_type_i18n!$A:$F,3,FALSE)</f>
        <v>バランスタイプ</v>
      </c>
      <c r="J56" s="36">
        <f ca="1">VLOOKUP(H56,[2]character_type_i18n!$A:$F,4,FALSE)</f>
        <v>1</v>
      </c>
      <c r="K56" s="36">
        <f ca="1">VLOOKUP(H56,[2]character_type_i18n!$A:$F,5,FALSE)</f>
        <v>1</v>
      </c>
      <c r="L56" s="36">
        <f ca="1">VLOOKUP(H56,[2]character_type_i18n!$A:$F,6,FALSE)</f>
        <v>1</v>
      </c>
      <c r="M56" s="9" t="str">
        <f ca="1">VLOOKUP(A56,[2]characters!$A:$M,13,FALSE)</f>
        <v>human</v>
      </c>
      <c r="N56" s="14" t="str">
        <f ca="1">VLOOKUP(M56,[2]character_tribe_i18n!$A:$F,3,FALSE)</f>
        <v>ヒューマン</v>
      </c>
      <c r="O56" s="24">
        <f ca="1">VLOOKUP(M56,[2]character_tribe_i18n!$A:$F,4,FALSE)</f>
        <v>0.94</v>
      </c>
      <c r="P56" s="24">
        <f ca="1">VLOOKUP(M56,[2]character_tribe_i18n!$A:$F,5,FALSE)</f>
        <v>0.99</v>
      </c>
      <c r="Q56" s="24">
        <f ca="1">VLOOKUP(M56,[2]character_tribe_i18n!$A:$F,6,FALSE)</f>
        <v>1</v>
      </c>
      <c r="R56" s="25" t="s">
        <v>19</v>
      </c>
      <c r="S56" s="24">
        <f>VLOOKUP($R56,ラベル別係数!$A$1:$E$7,3,FALSE)</f>
        <v>1</v>
      </c>
      <c r="T56" s="24">
        <f>VLOOKUP($R56,ラベル別係数!$A$1:$E$7,4,FALSE)</f>
        <v>1</v>
      </c>
      <c r="U56" s="24">
        <f>VLOOKUP($R56,ラベル別係数!$A$1:$E$7,5,FALSE)</f>
        <v>1</v>
      </c>
      <c r="V56" s="27">
        <v>4</v>
      </c>
      <c r="W56" s="28">
        <f>VLOOKUP(V56,ターン数別攻撃係数!$A$1:$B$1000,2,FALSE)</f>
        <v>1.2</v>
      </c>
      <c r="X56" s="10">
        <v>15</v>
      </c>
      <c r="Y56" s="26">
        <f>VLOOKUP($X56,サイズ別係数!$B:$E,2,FALSE)</f>
        <v>1</v>
      </c>
      <c r="Z56" s="26">
        <f>VLOOKUP($X56,サイズ別係数!$B:$E,3,FALSE)</f>
        <v>1</v>
      </c>
      <c r="AA56" s="26">
        <f>VLOOKUP($X56,サイズ別係数!$B:$E,4,FALSE)</f>
        <v>1</v>
      </c>
      <c r="AB56" s="35">
        <v>55</v>
      </c>
      <c r="AC56" s="34" t="str">
        <f ca="1">VLOOKUP($AB56,OFFSET([3]enemy_skill_sets!$B$2,0,0,COUNTA([3]enemy_skill_sets!$A:$A),MATCH(AC$1,[3]enemy_skill_sets!$1:$1,0)-MATCH($AB$1,[3]enemy_skill_sets!$1:$1,0)+1),MATCH(AC$1,[3]enemy_skill_sets!$1:$1,0)-MATCH($AB$1,[3]enemy_skill_sets!$1:$1,0)+1,FALSE)</f>
        <v>2ターンスキルが使えない！</v>
      </c>
      <c r="AD56" s="37">
        <v>1</v>
      </c>
      <c r="AE56" s="37">
        <v>1</v>
      </c>
      <c r="AF56" s="37">
        <v>0</v>
      </c>
      <c r="AG56" s="28">
        <f ca="1">ROUND(VLOOKUP(1,enemy_base_stats!$A:$F,2,FALSE) * Y56* J56*O56*E56*S56*AD56*[2]ステータス!$B$2,0)</f>
        <v>461</v>
      </c>
      <c r="AH56" s="28">
        <f ca="1">ROUND(VLOOKUP(1,enemy_base_stats!$A:$F,3,FALSE) * Z56*K56*P56*F56*T56*AE56 * W56*[2]ステータス!$C$2,0)</f>
        <v>180</v>
      </c>
      <c r="AI56" s="28">
        <f ca="1">ROUND(VLOOKUP(1,enemy_base_stats!$A:$F,4,FALSE) * AA56*L56*Q56*G56*U56*AF56*[2]ステータス!$D$2,0)</f>
        <v>0</v>
      </c>
      <c r="AJ56" s="28">
        <f ca="1">ROUND(VLOOKUP(100,enemy_base_stats!$A:$F,2,FALSE) * Y56* J56*O56*E56*S56*AD56*[2]ステータス!$B$2,0)</f>
        <v>18700</v>
      </c>
      <c r="AK56" s="28">
        <f ca="1">ROUND(VLOOKUP(100,enemy_base_stats!$A:$F,3,FALSE)* Z56* K56*P56*F56*T56*AE56 * W56*[2]ステータス!$C$2,0)</f>
        <v>7307</v>
      </c>
      <c r="AL56" s="28">
        <f ca="1">ROUND(VLOOKUP(100,enemy_base_stats!$A:$F,4,FALSE)* AA56* L56*Q56*G56*U56*AF56*[2]ステータス!$D$2,0)</f>
        <v>0</v>
      </c>
      <c r="AM56" s="24">
        <f ca="1">VLOOKUP(M56,[2]character_tribe_i18n!$A:$I,9,FALSE)</f>
        <v>400</v>
      </c>
      <c r="AN56" s="36">
        <v>0</v>
      </c>
      <c r="AO56" s="53">
        <v>0</v>
      </c>
      <c r="AP56" s="58" t="s">
        <v>72</v>
      </c>
      <c r="AQ56" s="71">
        <f t="shared" ca="1" si="0"/>
        <v>55</v>
      </c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</row>
    <row r="57" spans="1:60" s="3" customFormat="1" ht="21" customHeight="1" x14ac:dyDescent="0.15">
      <c r="A57" s="32">
        <f t="shared" ca="1" si="1"/>
        <v>56</v>
      </c>
      <c r="B57" s="6" t="str">
        <f ca="1">VLOOKUP(A57,[2]characters!$A:$C,3,FALSE)</f>
        <v>黄槌のレジスタンス マミコ</v>
      </c>
      <c r="C57" s="9">
        <f ca="1">VLOOKUP(A57,[2]characters!$A:$I,9,FALSE)</f>
        <v>3</v>
      </c>
      <c r="D57" s="9" t="str">
        <f ca="1">VLOOKUP(A57,[2]characters!$A:$H,8,FALSE)</f>
        <v>yellow</v>
      </c>
      <c r="E57" s="24">
        <f ca="1">VLOOKUP(D57,[2]属性!$A:$E,2,FALSE)</f>
        <v>0.98</v>
      </c>
      <c r="F57" s="24">
        <f ca="1">VLOOKUP(D57,[2]属性!$A:$E,3,FALSE)</f>
        <v>1.01</v>
      </c>
      <c r="G57" s="24">
        <f ca="1">VLOOKUP(D57,[2]属性!$A:$F,4,FALSE)</f>
        <v>1</v>
      </c>
      <c r="H57" s="9" t="str">
        <f ca="1">VLOOKUP(A57,[2]characters!$A:$K,11,FALSE)</f>
        <v>balance</v>
      </c>
      <c r="I57" s="14" t="str">
        <f ca="1">VLOOKUP(H57,[2]character_type_i18n!$A:$F,3,FALSE)</f>
        <v>バランスタイプ</v>
      </c>
      <c r="J57" s="36">
        <f ca="1">VLOOKUP(H57,[2]character_type_i18n!$A:$F,4,FALSE)</f>
        <v>1</v>
      </c>
      <c r="K57" s="36">
        <f ca="1">VLOOKUP(H57,[2]character_type_i18n!$A:$F,5,FALSE)</f>
        <v>1</v>
      </c>
      <c r="L57" s="36">
        <f ca="1">VLOOKUP(H57,[2]character_type_i18n!$A:$F,6,FALSE)</f>
        <v>1</v>
      </c>
      <c r="M57" s="9" t="str">
        <f ca="1">VLOOKUP(A57,[2]characters!$A:$M,13,FALSE)</f>
        <v>human</v>
      </c>
      <c r="N57" s="14" t="str">
        <f ca="1">VLOOKUP(M57,[2]character_tribe_i18n!$A:$F,3,FALSE)</f>
        <v>ヒューマン</v>
      </c>
      <c r="O57" s="24">
        <f ca="1">VLOOKUP(M57,[2]character_tribe_i18n!$A:$F,4,FALSE)</f>
        <v>0.94</v>
      </c>
      <c r="P57" s="24">
        <f ca="1">VLOOKUP(M57,[2]character_tribe_i18n!$A:$F,5,FALSE)</f>
        <v>0.99</v>
      </c>
      <c r="Q57" s="24">
        <f ca="1">VLOOKUP(M57,[2]character_tribe_i18n!$A:$F,6,FALSE)</f>
        <v>1</v>
      </c>
      <c r="R57" s="25" t="s">
        <v>3</v>
      </c>
      <c r="S57" s="24">
        <f>VLOOKUP($R57,ラベル別係数!$A$1:$E$7,3,FALSE)</f>
        <v>3</v>
      </c>
      <c r="T57" s="24">
        <f>VLOOKUP($R57,ラベル別係数!$A$1:$E$7,4,FALSE)</f>
        <v>1.4</v>
      </c>
      <c r="U57" s="24">
        <f>VLOOKUP($R57,ラベル別係数!$A$1:$E$7,5,FALSE)</f>
        <v>0.8</v>
      </c>
      <c r="V57" s="27">
        <v>4</v>
      </c>
      <c r="W57" s="28">
        <f>VLOOKUP(V57,ターン数別攻撃係数!$A$1:$B$1000,2,FALSE)</f>
        <v>1.2</v>
      </c>
      <c r="X57" s="5">
        <v>20</v>
      </c>
      <c r="Y57" s="26">
        <f>VLOOKUP($X57,サイズ別係数!$B:$E,2,FALSE)</f>
        <v>1.1000000000000001</v>
      </c>
      <c r="Z57" s="26">
        <f>VLOOKUP($X57,サイズ別係数!$B:$E,3,FALSE)</f>
        <v>1.2</v>
      </c>
      <c r="AA57" s="26">
        <f>VLOOKUP($X57,サイズ別係数!$B:$E,4,FALSE)</f>
        <v>1.2</v>
      </c>
      <c r="AB57" s="35">
        <v>56</v>
      </c>
      <c r="AC57" s="34" t="str">
        <f ca="1">VLOOKUP($AB57,OFFSET([3]enemy_skill_sets!$B$2,0,0,COUNTA([3]enemy_skill_sets!$A:$A),MATCH(AC$1,[3]enemy_skill_sets!$1:$1,0)-MATCH($AB$1,[3]enemy_skill_sets!$1:$1,0)+1),MATCH(AC$1,[3]enemy_skill_sets!$1:$1,0)-MATCH($AB$1,[3]enemy_skill_sets!$1:$1,0)+1,FALSE)</f>
        <v>4ターンスキルが使えない！</v>
      </c>
      <c r="AD57" s="37">
        <v>1</v>
      </c>
      <c r="AE57" s="37">
        <v>1</v>
      </c>
      <c r="AF57" s="37">
        <v>0</v>
      </c>
      <c r="AG57" s="28">
        <f ca="1">ROUND(VLOOKUP(1,enemy_base_stats!$A:$F,2,FALSE) * Y57* J57*O57*E57*S57*AD57*[2]ステータス!$B$2,0)</f>
        <v>1520</v>
      </c>
      <c r="AH57" s="28">
        <f ca="1">ROUND(VLOOKUP(1,enemy_base_stats!$A:$F,3,FALSE) * Z57*K57*P57*F57*T57*AE57 * W57*[2]ステータス!$C$2,0)</f>
        <v>302</v>
      </c>
      <c r="AI57" s="28">
        <f ca="1">ROUND(VLOOKUP(1,enemy_base_stats!$A:$F,4,FALSE) * AA57*L57*Q57*G57*U57*AF57*[2]ステータス!$D$2,0)</f>
        <v>0</v>
      </c>
      <c r="AJ57" s="28">
        <f ca="1">ROUND(VLOOKUP(100,enemy_base_stats!$A:$F,2,FALSE) * Y57* J57*O57*E57*S57*AD57*[2]ステータス!$B$2,0)</f>
        <v>61711</v>
      </c>
      <c r="AK57" s="28">
        <f ca="1">ROUND(VLOOKUP(100,enemy_base_stats!$A:$F,3,FALSE)* Z57* K57*P57*F57*T57*AE57 * W57*[2]ステータス!$C$2,0)</f>
        <v>12276</v>
      </c>
      <c r="AL57" s="28">
        <f ca="1">ROUND(VLOOKUP(100,enemy_base_stats!$A:$F,4,FALSE)* AA57* L57*Q57*G57*U57*AF57*[2]ステータス!$D$2,0)</f>
        <v>0</v>
      </c>
      <c r="AM57" s="24">
        <f ca="1">VLOOKUP(M57,[2]character_tribe_i18n!$A:$I,9,FALSE)</f>
        <v>400</v>
      </c>
      <c r="AN57" s="36">
        <v>0</v>
      </c>
      <c r="AO57" s="53">
        <v>0</v>
      </c>
      <c r="AP57" s="58" t="s">
        <v>72</v>
      </c>
      <c r="AQ57" s="71">
        <f t="shared" ca="1" si="0"/>
        <v>56</v>
      </c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</row>
    <row r="58" spans="1:60" s="3" customFormat="1" ht="21" customHeight="1" x14ac:dyDescent="0.15">
      <c r="A58" s="31">
        <f t="shared" ca="1" si="1"/>
        <v>57</v>
      </c>
      <c r="B58" s="6" t="str">
        <f ca="1">VLOOKUP(A58,[2]characters!$A:$C,3,FALSE)</f>
        <v>チェン・リー</v>
      </c>
      <c r="C58" s="9">
        <f ca="1">VLOOKUP(A58,[2]characters!$A:$I,9,FALSE)</f>
        <v>2</v>
      </c>
      <c r="D58" s="9" t="str">
        <f ca="1">VLOOKUP(A58,[2]characters!$A:$H,8,FALSE)</f>
        <v>red</v>
      </c>
      <c r="E58" s="24">
        <f ca="1">VLOOKUP(D58,[2]属性!$A:$E,2,FALSE)</f>
        <v>1</v>
      </c>
      <c r="F58" s="24">
        <f ca="1">VLOOKUP(D58,[2]属性!$A:$E,3,FALSE)</f>
        <v>1.02</v>
      </c>
      <c r="G58" s="24">
        <f ca="1">VLOOKUP(D58,[2]属性!$A:$F,4,FALSE)</f>
        <v>1</v>
      </c>
      <c r="H58" s="9" t="str">
        <f ca="1">VLOOKUP(A58,[2]characters!$A:$K,11,FALSE)</f>
        <v>balance</v>
      </c>
      <c r="I58" s="14" t="str">
        <f ca="1">VLOOKUP(H58,[2]character_type_i18n!$A:$F,3,FALSE)</f>
        <v>バランスタイプ</v>
      </c>
      <c r="J58" s="36">
        <f ca="1">VLOOKUP(H58,[2]character_type_i18n!$A:$F,4,FALSE)</f>
        <v>1</v>
      </c>
      <c r="K58" s="36">
        <f ca="1">VLOOKUP(H58,[2]character_type_i18n!$A:$F,5,FALSE)</f>
        <v>1</v>
      </c>
      <c r="L58" s="36">
        <f ca="1">VLOOKUP(H58,[2]character_type_i18n!$A:$F,6,FALSE)</f>
        <v>1</v>
      </c>
      <c r="M58" s="9" t="str">
        <f ca="1">VLOOKUP(A58,[2]characters!$A:$M,13,FALSE)</f>
        <v>animal</v>
      </c>
      <c r="N58" s="14" t="str">
        <f ca="1">VLOOKUP(M58,[2]character_tribe_i18n!$A:$F,3,FALSE)</f>
        <v>アニマル</v>
      </c>
      <c r="O58" s="24">
        <f ca="1">VLOOKUP(M58,[2]character_tribe_i18n!$A:$F,4,FALSE)</f>
        <v>1</v>
      </c>
      <c r="P58" s="24">
        <f ca="1">VLOOKUP(M58,[2]character_tribe_i18n!$A:$F,5,FALSE)</f>
        <v>1.1000000000000001</v>
      </c>
      <c r="Q58" s="24">
        <f ca="1">VLOOKUP(M58,[2]character_tribe_i18n!$A:$F,6,FALSE)</f>
        <v>1</v>
      </c>
      <c r="R58" s="23" t="s">
        <v>19</v>
      </c>
      <c r="S58" s="24">
        <f>VLOOKUP($R58,ラベル別係数!$A$1:$E$7,3,FALSE)</f>
        <v>1</v>
      </c>
      <c r="T58" s="24">
        <f>VLOOKUP($R58,ラベル別係数!$A$1:$E$7,4,FALSE)</f>
        <v>1</v>
      </c>
      <c r="U58" s="24">
        <f>VLOOKUP($R58,ラベル別係数!$A$1:$E$7,5,FALSE)</f>
        <v>1</v>
      </c>
      <c r="V58" s="27">
        <v>2</v>
      </c>
      <c r="W58" s="28">
        <f>VLOOKUP(V58,ターン数別攻撃係数!$A$1:$B$1000,2,FALSE)</f>
        <v>0.75</v>
      </c>
      <c r="X58" s="10">
        <v>15</v>
      </c>
      <c r="Y58" s="26">
        <f>VLOOKUP($X58,サイズ別係数!$B:$E,2,FALSE)</f>
        <v>1</v>
      </c>
      <c r="Z58" s="26">
        <f>VLOOKUP($X58,サイズ別係数!$B:$E,3,FALSE)</f>
        <v>1</v>
      </c>
      <c r="AA58" s="26">
        <f>VLOOKUP($X58,サイズ別係数!$B:$E,4,FALSE)</f>
        <v>1</v>
      </c>
      <c r="AB58" s="62">
        <v>57</v>
      </c>
      <c r="AC58" s="34" t="str">
        <f ca="1">VLOOKUP($AB58,OFFSET([3]enemy_skill_sets!$B$2,0,0,COUNTA([3]enemy_skill_sets!$A:$A),MATCH(AC$1,[3]enemy_skill_sets!$1:$1,0)-MATCH($AB$1,[3]enemy_skill_sets!$1:$1,0)+1),MATCH(AC$1,[3]enemy_skill_sets!$1:$1,0)-MATCH($AB$1,[3]enemy_skill_sets!$1:$1,0)+1,FALSE)</f>
        <v>3ターン攻撃力小UP</v>
      </c>
      <c r="AD58" s="37">
        <v>1</v>
      </c>
      <c r="AE58" s="37">
        <v>1</v>
      </c>
      <c r="AF58" s="37">
        <v>0</v>
      </c>
      <c r="AG58" s="28">
        <f ca="1">ROUND(VLOOKUP(1,enemy_base_stats!$A:$F,2,FALSE) * Y58* J58*O58*E58*S58*AD58*[2]ステータス!$B$2,0)</f>
        <v>500</v>
      </c>
      <c r="AH58" s="28">
        <f ca="1">ROUND(VLOOKUP(1,enemy_base_stats!$A:$F,3,FALSE) * Z58*K58*P58*F58*T58*AE58 * W58*[2]ステータス!$C$2,0)</f>
        <v>126</v>
      </c>
      <c r="AI58" s="28">
        <f ca="1">ROUND(VLOOKUP(1,enemy_base_stats!$A:$F,4,FALSE) * AA58*L58*Q58*G58*U58*AF58*[2]ステータス!$D$2,0)</f>
        <v>0</v>
      </c>
      <c r="AJ58" s="28">
        <f ca="1">ROUND(VLOOKUP(100,enemy_base_stats!$A:$F,2,FALSE) * Y58* J58*O58*E58*S58*AD58*[2]ステータス!$B$2,0)</f>
        <v>20300</v>
      </c>
      <c r="AK58" s="28">
        <f ca="1">ROUND(VLOOKUP(100,enemy_base_stats!$A:$F,3,FALSE)* Z58* K58*P58*F58*T58*AE58 * W58*[2]ステータス!$C$2,0)</f>
        <v>5125</v>
      </c>
      <c r="AL58" s="28">
        <f ca="1">ROUND(VLOOKUP(100,enemy_base_stats!$A:$F,4,FALSE)* AA58* L58*Q58*G58*U58*AF58*[2]ステータス!$D$2,0)</f>
        <v>0</v>
      </c>
      <c r="AM58" s="24">
        <f ca="1">VLOOKUP(M58,[2]character_tribe_i18n!$A:$I,9,FALSE)</f>
        <v>480</v>
      </c>
      <c r="AN58" s="36">
        <v>0</v>
      </c>
      <c r="AO58" s="53">
        <v>0</v>
      </c>
      <c r="AP58" s="58" t="s">
        <v>72</v>
      </c>
      <c r="AQ58" s="71">
        <f t="shared" ca="1" si="0"/>
        <v>57</v>
      </c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</row>
    <row r="59" spans="1:60" s="3" customFormat="1" ht="21" customHeight="1" x14ac:dyDescent="0.15">
      <c r="A59" s="31">
        <f t="shared" ca="1" si="1"/>
        <v>58</v>
      </c>
      <c r="B59" s="6" t="str">
        <f ca="1">VLOOKUP(A59,[2]characters!$A:$C,3,FALSE)</f>
        <v>ドランクマスター チェン・リー</v>
      </c>
      <c r="C59" s="9">
        <f ca="1">VLOOKUP(A59,[2]characters!$A:$I,9,FALSE)</f>
        <v>3</v>
      </c>
      <c r="D59" s="9" t="str">
        <f ca="1">VLOOKUP(A59,[2]characters!$A:$H,8,FALSE)</f>
        <v>red</v>
      </c>
      <c r="E59" s="24">
        <f ca="1">VLOOKUP(D59,[2]属性!$A:$E,2,FALSE)</f>
        <v>1</v>
      </c>
      <c r="F59" s="24">
        <f ca="1">VLOOKUP(D59,[2]属性!$A:$E,3,FALSE)</f>
        <v>1.02</v>
      </c>
      <c r="G59" s="24">
        <f ca="1">VLOOKUP(D59,[2]属性!$A:$F,4,FALSE)</f>
        <v>1</v>
      </c>
      <c r="H59" s="9" t="str">
        <f ca="1">VLOOKUP(A59,[2]characters!$A:$K,11,FALSE)</f>
        <v>balance</v>
      </c>
      <c r="I59" s="14" t="str">
        <f ca="1">VLOOKUP(H59,[2]character_type_i18n!$A:$F,3,FALSE)</f>
        <v>バランスタイプ</v>
      </c>
      <c r="J59" s="36">
        <f ca="1">VLOOKUP(H59,[2]character_type_i18n!$A:$F,4,FALSE)</f>
        <v>1</v>
      </c>
      <c r="K59" s="36">
        <f ca="1">VLOOKUP(H59,[2]character_type_i18n!$A:$F,5,FALSE)</f>
        <v>1</v>
      </c>
      <c r="L59" s="36">
        <f ca="1">VLOOKUP(H59,[2]character_type_i18n!$A:$F,6,FALSE)</f>
        <v>1</v>
      </c>
      <c r="M59" s="9" t="str">
        <f ca="1">VLOOKUP(A59,[2]characters!$A:$M,13,FALSE)</f>
        <v>animal</v>
      </c>
      <c r="N59" s="14" t="str">
        <f ca="1">VLOOKUP(M59,[2]character_tribe_i18n!$A:$F,3,FALSE)</f>
        <v>アニマル</v>
      </c>
      <c r="O59" s="24">
        <f ca="1">VLOOKUP(M59,[2]character_tribe_i18n!$A:$F,4,FALSE)</f>
        <v>1</v>
      </c>
      <c r="P59" s="24">
        <f ca="1">VLOOKUP(M59,[2]character_tribe_i18n!$A:$F,5,FALSE)</f>
        <v>1.1000000000000001</v>
      </c>
      <c r="Q59" s="24">
        <f ca="1">VLOOKUP(M59,[2]character_tribe_i18n!$A:$F,6,FALSE)</f>
        <v>1</v>
      </c>
      <c r="R59" s="25" t="s">
        <v>3</v>
      </c>
      <c r="S59" s="24">
        <f>VLOOKUP($R59,ラベル別係数!$A$1:$E$7,3,FALSE)</f>
        <v>3</v>
      </c>
      <c r="T59" s="24">
        <f>VLOOKUP($R59,ラベル別係数!$A$1:$E$7,4,FALSE)</f>
        <v>1.4</v>
      </c>
      <c r="U59" s="24">
        <f>VLOOKUP($R59,ラベル別係数!$A$1:$E$7,5,FALSE)</f>
        <v>0.8</v>
      </c>
      <c r="V59" s="27">
        <v>2</v>
      </c>
      <c r="W59" s="28">
        <f>VLOOKUP(V59,ターン数別攻撃係数!$A$1:$B$1000,2,FALSE)</f>
        <v>0.75</v>
      </c>
      <c r="X59" s="5">
        <v>20</v>
      </c>
      <c r="Y59" s="26">
        <f>VLOOKUP($X59,サイズ別係数!$B:$E,2,FALSE)</f>
        <v>1.1000000000000001</v>
      </c>
      <c r="Z59" s="26">
        <f>VLOOKUP($X59,サイズ別係数!$B:$E,3,FALSE)</f>
        <v>1.2</v>
      </c>
      <c r="AA59" s="26">
        <f>VLOOKUP($X59,サイズ別係数!$B:$E,4,FALSE)</f>
        <v>1.2</v>
      </c>
      <c r="AB59" s="35">
        <v>0</v>
      </c>
      <c r="AC59" s="34" t="str">
        <f ca="1">VLOOKUP($AB59,OFFSET([3]enemy_skill_sets!$B$2,0,0,COUNTA([3]enemy_skill_sets!$A:$A),MATCH(AC$1,[3]enemy_skill_sets!$1:$1,0)-MATCH($AB$1,[3]enemy_skill_sets!$1:$1,0)+1),MATCH(AC$1,[3]enemy_skill_sets!$1:$1,0)-MATCH($AB$1,[3]enemy_skill_sets!$1:$1,0)+1,FALSE)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" s="37">
        <v>1</v>
      </c>
      <c r="AE59" s="37">
        <v>1</v>
      </c>
      <c r="AF59" s="37">
        <v>0</v>
      </c>
      <c r="AG59" s="28">
        <f ca="1">ROUND(VLOOKUP(1,enemy_base_stats!$A:$F,2,FALSE) * Y59* J59*O59*E59*S59*AD59*[2]ステータス!$B$2,0)</f>
        <v>1650</v>
      </c>
      <c r="AH59" s="28">
        <f ca="1">ROUND(VLOOKUP(1,enemy_base_stats!$A:$F,3,FALSE) * Z59*K59*P59*F59*T59*AE59 * W59*[2]ステータス!$C$2,0)</f>
        <v>212</v>
      </c>
      <c r="AI59" s="28">
        <f ca="1">ROUND(VLOOKUP(1,enemy_base_stats!$A:$F,4,FALSE) * AA59*L59*Q59*G59*U59*AF59*[2]ステータス!$D$2,0)</f>
        <v>0</v>
      </c>
      <c r="AJ59" s="28">
        <f ca="1">ROUND(VLOOKUP(100,enemy_base_stats!$A:$F,2,FALSE) * Y59* J59*O59*E59*S59*AD59*[2]ステータス!$B$2,0)</f>
        <v>66990</v>
      </c>
      <c r="AK59" s="28">
        <f ca="1">ROUND(VLOOKUP(100,enemy_base_stats!$A:$F,3,FALSE)* Z59* K59*P59*F59*T59*AE59 * W59*[2]ステータス!$C$2,0)</f>
        <v>8610</v>
      </c>
      <c r="AL59" s="28">
        <f ca="1">ROUND(VLOOKUP(100,enemy_base_stats!$A:$F,4,FALSE)* AA59* L59*Q59*G59*U59*AF59*[2]ステータス!$D$2,0)</f>
        <v>0</v>
      </c>
      <c r="AM59" s="24">
        <f ca="1">VLOOKUP(M59,[2]character_tribe_i18n!$A:$I,9,FALSE)</f>
        <v>480</v>
      </c>
      <c r="AN59" s="36">
        <v>0</v>
      </c>
      <c r="AO59" s="53">
        <v>0</v>
      </c>
      <c r="AP59" s="58" t="s">
        <v>72</v>
      </c>
      <c r="AQ59" s="71">
        <f t="shared" ca="1" si="0"/>
        <v>58</v>
      </c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</row>
    <row r="60" spans="1:60" s="3" customFormat="1" ht="21" customHeight="1" x14ac:dyDescent="0.15">
      <c r="A60" s="31">
        <f t="shared" ca="1" si="1"/>
        <v>59</v>
      </c>
      <c r="B60" s="6" t="str">
        <f ca="1">VLOOKUP(A60,[2]characters!$A:$C,3,FALSE)</f>
        <v>マーチ</v>
      </c>
      <c r="C60" s="9">
        <f ca="1">VLOOKUP(A60,[2]characters!$A:$I,9,FALSE)</f>
        <v>2</v>
      </c>
      <c r="D60" s="9" t="str">
        <f ca="1">VLOOKUP(A60,[2]characters!$A:$H,8,FALSE)</f>
        <v>green</v>
      </c>
      <c r="E60" s="24">
        <f ca="1">VLOOKUP(D60,[2]属性!$A:$E,2,FALSE)</f>
        <v>1.02</v>
      </c>
      <c r="F60" s="24">
        <f ca="1">VLOOKUP(D60,[2]属性!$A:$E,3,FALSE)</f>
        <v>0.98</v>
      </c>
      <c r="G60" s="24">
        <f ca="1">VLOOKUP(D60,[2]属性!$A:$F,4,FALSE)</f>
        <v>1</v>
      </c>
      <c r="H60" s="9" t="str">
        <f ca="1">VLOOKUP(A60,[2]characters!$A:$K,11,FALSE)</f>
        <v>heal</v>
      </c>
      <c r="I60" s="14" t="str">
        <f ca="1">VLOOKUP(H60,[2]character_type_i18n!$A:$F,3,FALSE)</f>
        <v>回復タイプ</v>
      </c>
      <c r="J60" s="36">
        <f ca="1">VLOOKUP(H60,[2]character_type_i18n!$A:$F,4,FALSE)</f>
        <v>0.8</v>
      </c>
      <c r="K60" s="36">
        <f ca="1">VLOOKUP(H60,[2]character_type_i18n!$A:$F,5,FALSE)</f>
        <v>0.78</v>
      </c>
      <c r="L60" s="36">
        <f ca="1">VLOOKUP(H60,[2]character_type_i18n!$A:$F,6,FALSE)</f>
        <v>1</v>
      </c>
      <c r="M60" s="9" t="str">
        <f ca="1">VLOOKUP(A60,[2]characters!$A:$M,13,FALSE)</f>
        <v>animal</v>
      </c>
      <c r="N60" s="14" t="str">
        <f ca="1">VLOOKUP(M60,[2]character_tribe_i18n!$A:$F,3,FALSE)</f>
        <v>アニマル</v>
      </c>
      <c r="O60" s="24">
        <f ca="1">VLOOKUP(M60,[2]character_tribe_i18n!$A:$F,4,FALSE)</f>
        <v>1</v>
      </c>
      <c r="P60" s="24">
        <f ca="1">VLOOKUP(M60,[2]character_tribe_i18n!$A:$F,5,FALSE)</f>
        <v>1.1000000000000001</v>
      </c>
      <c r="Q60" s="24">
        <f ca="1">VLOOKUP(M60,[2]character_tribe_i18n!$A:$F,6,FALSE)</f>
        <v>1</v>
      </c>
      <c r="R60" s="25" t="s">
        <v>19</v>
      </c>
      <c r="S60" s="24">
        <f>VLOOKUP($R60,ラベル別係数!$A$1:$E$7,3,FALSE)</f>
        <v>1</v>
      </c>
      <c r="T60" s="24">
        <f>VLOOKUP($R60,ラベル別係数!$A$1:$E$7,4,FALSE)</f>
        <v>1</v>
      </c>
      <c r="U60" s="24">
        <f>VLOOKUP($R60,ラベル別係数!$A$1:$E$7,5,FALSE)</f>
        <v>1</v>
      </c>
      <c r="V60" s="27">
        <v>2</v>
      </c>
      <c r="W60" s="28">
        <f>VLOOKUP(V60,ターン数別攻撃係数!$A$1:$B$1000,2,FALSE)</f>
        <v>0.75</v>
      </c>
      <c r="X60" s="10">
        <v>15</v>
      </c>
      <c r="Y60" s="26">
        <f>VLOOKUP($X60,サイズ別係数!$B:$E,2,FALSE)</f>
        <v>1</v>
      </c>
      <c r="Z60" s="26">
        <f>VLOOKUP($X60,サイズ別係数!$B:$E,3,FALSE)</f>
        <v>1</v>
      </c>
      <c r="AA60" s="26">
        <f>VLOOKUP($X60,サイズ別係数!$B:$E,4,FALSE)</f>
        <v>1</v>
      </c>
      <c r="AB60" s="62">
        <v>59</v>
      </c>
      <c r="AC60" s="34" t="str">
        <f ca="1">VLOOKUP($AB60,OFFSET([3]enemy_skill_sets!$B$2,0,0,COUNTA([3]enemy_skill_sets!$A:$A),MATCH(AC$1,[3]enemy_skill_sets!$1:$1,0)-MATCH($AB$1,[3]enemy_skill_sets!$1:$1,0)+1),MATCH(AC$1,[3]enemy_skill_sets!$1:$1,0)-MATCH($AB$1,[3]enemy_skill_sets!$1:$1,0)+1,FALSE)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60" s="37">
        <v>1</v>
      </c>
      <c r="AE60" s="37">
        <v>1</v>
      </c>
      <c r="AF60" s="37">
        <v>0</v>
      </c>
      <c r="AG60" s="28">
        <f ca="1">ROUND(VLOOKUP(1,enemy_base_stats!$A:$F,2,FALSE) * Y60* J60*O60*E60*S60*AD60*[2]ステータス!$B$2,0)</f>
        <v>408</v>
      </c>
      <c r="AH60" s="28">
        <f ca="1">ROUND(VLOOKUP(1,enemy_base_stats!$A:$F,3,FALSE) * Z60*K60*P60*F60*T60*AE60 * W60*[2]ステータス!$C$2,0)</f>
        <v>95</v>
      </c>
      <c r="AI60" s="28">
        <f ca="1">ROUND(VLOOKUP(1,enemy_base_stats!$A:$F,4,FALSE) * AA60*L60*Q60*G60*U60*AF60*[2]ステータス!$D$2,0)</f>
        <v>0</v>
      </c>
      <c r="AJ60" s="28">
        <f ca="1">ROUND(VLOOKUP(100,enemy_base_stats!$A:$F,2,FALSE) * Y60* J60*O60*E60*S60*AD60*[2]ステータス!$B$2,0)</f>
        <v>16565</v>
      </c>
      <c r="AK60" s="28">
        <f ca="1">ROUND(VLOOKUP(100,enemy_base_stats!$A:$F,3,FALSE)* Z60* K60*P60*F60*T60*AE60 * W60*[2]ステータス!$C$2,0)</f>
        <v>3841</v>
      </c>
      <c r="AL60" s="28">
        <f ca="1">ROUND(VLOOKUP(100,enemy_base_stats!$A:$F,4,FALSE)* AA60* L60*Q60*G60*U60*AF60*[2]ステータス!$D$2,0)</f>
        <v>0</v>
      </c>
      <c r="AM60" s="24">
        <f ca="1">VLOOKUP(M60,[2]character_tribe_i18n!$A:$I,9,FALSE)</f>
        <v>480</v>
      </c>
      <c r="AN60" s="36">
        <v>0</v>
      </c>
      <c r="AO60" s="53">
        <v>0</v>
      </c>
      <c r="AP60" s="58" t="s">
        <v>72</v>
      </c>
      <c r="AQ60" s="71">
        <f t="shared" ca="1" si="0"/>
        <v>59</v>
      </c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</row>
    <row r="61" spans="1:60" s="3" customFormat="1" ht="21" customHeight="1" x14ac:dyDescent="0.15">
      <c r="A61" s="31">
        <f t="shared" ca="1" si="1"/>
        <v>60</v>
      </c>
      <c r="B61" s="6" t="str">
        <f ca="1">VLOOKUP(A61,[2]characters!$A:$C,3,FALSE)</f>
        <v>おでかけマーチ</v>
      </c>
      <c r="C61" s="9">
        <f ca="1">VLOOKUP(A61,[2]characters!$A:$I,9,FALSE)</f>
        <v>3</v>
      </c>
      <c r="D61" s="9" t="str">
        <f ca="1">VLOOKUP(A61,[2]characters!$A:$H,8,FALSE)</f>
        <v>green</v>
      </c>
      <c r="E61" s="24">
        <f ca="1">VLOOKUP(D61,[2]属性!$A:$E,2,FALSE)</f>
        <v>1.02</v>
      </c>
      <c r="F61" s="24">
        <f ca="1">VLOOKUP(D61,[2]属性!$A:$E,3,FALSE)</f>
        <v>0.98</v>
      </c>
      <c r="G61" s="24">
        <f ca="1">VLOOKUP(D61,[2]属性!$A:$F,4,FALSE)</f>
        <v>1</v>
      </c>
      <c r="H61" s="9" t="str">
        <f ca="1">VLOOKUP(A61,[2]characters!$A:$K,11,FALSE)</f>
        <v>heal</v>
      </c>
      <c r="I61" s="14" t="str">
        <f ca="1">VLOOKUP(H61,[2]character_type_i18n!$A:$F,3,FALSE)</f>
        <v>回復タイプ</v>
      </c>
      <c r="J61" s="36">
        <f ca="1">VLOOKUP(H61,[2]character_type_i18n!$A:$F,4,FALSE)</f>
        <v>0.8</v>
      </c>
      <c r="K61" s="36">
        <f ca="1">VLOOKUP(H61,[2]character_type_i18n!$A:$F,5,FALSE)</f>
        <v>0.78</v>
      </c>
      <c r="L61" s="36">
        <f ca="1">VLOOKUP(H61,[2]character_type_i18n!$A:$F,6,FALSE)</f>
        <v>1</v>
      </c>
      <c r="M61" s="9" t="str">
        <f ca="1">VLOOKUP(A61,[2]characters!$A:$M,13,FALSE)</f>
        <v>animal</v>
      </c>
      <c r="N61" s="14" t="str">
        <f ca="1">VLOOKUP(M61,[2]character_tribe_i18n!$A:$F,3,FALSE)</f>
        <v>アニマル</v>
      </c>
      <c r="O61" s="24">
        <f ca="1">VLOOKUP(M61,[2]character_tribe_i18n!$A:$F,4,FALSE)</f>
        <v>1</v>
      </c>
      <c r="P61" s="24">
        <f ca="1">VLOOKUP(M61,[2]character_tribe_i18n!$A:$F,5,FALSE)</f>
        <v>1.1000000000000001</v>
      </c>
      <c r="Q61" s="24">
        <f ca="1">VLOOKUP(M61,[2]character_tribe_i18n!$A:$F,6,FALSE)</f>
        <v>1</v>
      </c>
      <c r="R61" s="25" t="s">
        <v>3</v>
      </c>
      <c r="S61" s="24">
        <f>VLOOKUP($R61,ラベル別係数!$A$1:$E$7,3,FALSE)</f>
        <v>3</v>
      </c>
      <c r="T61" s="24">
        <f>VLOOKUP($R61,ラベル別係数!$A$1:$E$7,4,FALSE)</f>
        <v>1.4</v>
      </c>
      <c r="U61" s="24">
        <f>VLOOKUP($R61,ラベル別係数!$A$1:$E$7,5,FALSE)</f>
        <v>0.8</v>
      </c>
      <c r="V61" s="27">
        <v>2</v>
      </c>
      <c r="W61" s="28">
        <f>VLOOKUP(V61,ターン数別攻撃係数!$A$1:$B$1000,2,FALSE)</f>
        <v>0.75</v>
      </c>
      <c r="X61" s="5">
        <v>20</v>
      </c>
      <c r="Y61" s="26">
        <f>VLOOKUP($X61,サイズ別係数!$B:$E,2,FALSE)</f>
        <v>1.1000000000000001</v>
      </c>
      <c r="Z61" s="26">
        <f>VLOOKUP($X61,サイズ別係数!$B:$E,3,FALSE)</f>
        <v>1.2</v>
      </c>
      <c r="AA61" s="26">
        <f>VLOOKUP($X61,サイズ別係数!$B:$E,4,FALSE)</f>
        <v>1.2</v>
      </c>
      <c r="AB61" s="35">
        <v>0</v>
      </c>
      <c r="AC61" s="34" t="str">
        <f ca="1">VLOOKUP($AB61,OFFSET([3]enemy_skill_sets!$B$2,0,0,COUNTA([3]enemy_skill_sets!$A:$A),MATCH(AC$1,[3]enemy_skill_sets!$1:$1,0)-MATCH($AB$1,[3]enemy_skill_sets!$1:$1,0)+1),MATCH(AC$1,[3]enemy_skill_sets!$1:$1,0)-MATCH($AB$1,[3]enemy_skill_sets!$1:$1,0)+1,FALSE)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" s="37">
        <v>1</v>
      </c>
      <c r="AE61" s="37">
        <v>1</v>
      </c>
      <c r="AF61" s="37">
        <v>0</v>
      </c>
      <c r="AG61" s="28">
        <f ca="1">ROUND(VLOOKUP(1,enemy_base_stats!$A:$F,2,FALSE) * Y61* J61*O61*E61*S61*AD61*[2]ステータス!$B$2,0)</f>
        <v>1346</v>
      </c>
      <c r="AH61" s="28">
        <f ca="1">ROUND(VLOOKUP(1,enemy_base_stats!$A:$F,3,FALSE) * Z61*K61*P61*F61*T61*AE61 * W61*[2]ステータス!$C$2,0)</f>
        <v>159</v>
      </c>
      <c r="AI61" s="28">
        <f ca="1">ROUND(VLOOKUP(1,enemy_base_stats!$A:$F,4,FALSE) * AA61*L61*Q61*G61*U61*AF61*[2]ステータス!$D$2,0)</f>
        <v>0</v>
      </c>
      <c r="AJ61" s="28">
        <f ca="1">ROUND(VLOOKUP(100,enemy_base_stats!$A:$F,2,FALSE) * Y61* J61*O61*E61*S61*AD61*[2]ステータス!$B$2,0)</f>
        <v>54664</v>
      </c>
      <c r="AK61" s="28">
        <f ca="1">ROUND(VLOOKUP(100,enemy_base_stats!$A:$F,3,FALSE)* Z61* K61*P61*F61*T61*AE61 * W61*[2]ステータス!$C$2,0)</f>
        <v>6452</v>
      </c>
      <c r="AL61" s="28">
        <f ca="1">ROUND(VLOOKUP(100,enemy_base_stats!$A:$F,4,FALSE)* AA61* L61*Q61*G61*U61*AF61*[2]ステータス!$D$2,0)</f>
        <v>0</v>
      </c>
      <c r="AM61" s="24">
        <f ca="1">VLOOKUP(M61,[2]character_tribe_i18n!$A:$I,9,FALSE)</f>
        <v>480</v>
      </c>
      <c r="AN61" s="36">
        <v>0</v>
      </c>
      <c r="AO61" s="53">
        <v>0</v>
      </c>
      <c r="AP61" s="58" t="s">
        <v>72</v>
      </c>
      <c r="AQ61" s="71">
        <f t="shared" ca="1" si="0"/>
        <v>60</v>
      </c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</row>
    <row r="62" spans="1:60" s="3" customFormat="1" ht="21" customHeight="1" x14ac:dyDescent="0.15">
      <c r="A62" s="31">
        <f t="shared" ca="1" si="1"/>
        <v>61</v>
      </c>
      <c r="B62" s="6" t="str">
        <f ca="1">VLOOKUP(A62,[2]characters!$A:$C,3,FALSE)</f>
        <v>クロウ</v>
      </c>
      <c r="C62" s="9">
        <f ca="1">VLOOKUP(A62,[2]characters!$A:$I,9,FALSE)</f>
        <v>2</v>
      </c>
      <c r="D62" s="9" t="str">
        <f ca="1">VLOOKUP(A62,[2]characters!$A:$H,8,FALSE)</f>
        <v>blue</v>
      </c>
      <c r="E62" s="24">
        <f ca="1">VLOOKUP(D62,[2]属性!$A:$E,2,FALSE)</f>
        <v>1</v>
      </c>
      <c r="F62" s="24">
        <f ca="1">VLOOKUP(D62,[2]属性!$A:$E,3,FALSE)</f>
        <v>0.98</v>
      </c>
      <c r="G62" s="24">
        <f ca="1">VLOOKUP(D62,[2]属性!$A:$F,4,FALSE)</f>
        <v>1</v>
      </c>
      <c r="H62" s="9" t="str">
        <f ca="1">VLOOKUP(A62,[2]characters!$A:$K,11,FALSE)</f>
        <v>heal</v>
      </c>
      <c r="I62" s="14" t="str">
        <f ca="1">VLOOKUP(H62,[2]character_type_i18n!$A:$F,3,FALSE)</f>
        <v>回復タイプ</v>
      </c>
      <c r="J62" s="36">
        <f ca="1">VLOOKUP(H62,[2]character_type_i18n!$A:$F,4,FALSE)</f>
        <v>0.8</v>
      </c>
      <c r="K62" s="36">
        <f ca="1">VLOOKUP(H62,[2]character_type_i18n!$A:$F,5,FALSE)</f>
        <v>0.78</v>
      </c>
      <c r="L62" s="36">
        <f ca="1">VLOOKUP(H62,[2]character_type_i18n!$A:$F,6,FALSE)</f>
        <v>1</v>
      </c>
      <c r="M62" s="9" t="str">
        <f ca="1">VLOOKUP(A62,[2]characters!$A:$M,13,FALSE)</f>
        <v>animal</v>
      </c>
      <c r="N62" s="14" t="str">
        <f ca="1">VLOOKUP(M62,[2]character_tribe_i18n!$A:$F,3,FALSE)</f>
        <v>アニマル</v>
      </c>
      <c r="O62" s="24">
        <f ca="1">VLOOKUP(M62,[2]character_tribe_i18n!$A:$F,4,FALSE)</f>
        <v>1</v>
      </c>
      <c r="P62" s="24">
        <f ca="1">VLOOKUP(M62,[2]character_tribe_i18n!$A:$F,5,FALSE)</f>
        <v>1.1000000000000001</v>
      </c>
      <c r="Q62" s="24">
        <f ca="1">VLOOKUP(M62,[2]character_tribe_i18n!$A:$F,6,FALSE)</f>
        <v>1</v>
      </c>
      <c r="R62" s="25" t="s">
        <v>19</v>
      </c>
      <c r="S62" s="24">
        <f>VLOOKUP($R62,ラベル別係数!$A$1:$E$7,3,FALSE)</f>
        <v>1</v>
      </c>
      <c r="T62" s="24">
        <f>VLOOKUP($R62,ラベル別係数!$A$1:$E$7,4,FALSE)</f>
        <v>1</v>
      </c>
      <c r="U62" s="24">
        <f>VLOOKUP($R62,ラベル別係数!$A$1:$E$7,5,FALSE)</f>
        <v>1</v>
      </c>
      <c r="V62" s="27">
        <v>2</v>
      </c>
      <c r="W62" s="28">
        <f>VLOOKUP(V62,ターン数別攻撃係数!$A$1:$B$1000,2,FALSE)</f>
        <v>0.75</v>
      </c>
      <c r="X62" s="10">
        <v>15</v>
      </c>
      <c r="Y62" s="26">
        <f>VLOOKUP($X62,サイズ別係数!$B:$E,2,FALSE)</f>
        <v>1</v>
      </c>
      <c r="Z62" s="26">
        <f>VLOOKUP($X62,サイズ別係数!$B:$E,3,FALSE)</f>
        <v>1</v>
      </c>
      <c r="AA62" s="26">
        <f>VLOOKUP($X62,サイズ別係数!$B:$E,4,FALSE)</f>
        <v>1</v>
      </c>
      <c r="AB62" s="62">
        <v>61</v>
      </c>
      <c r="AC62" s="34" t="str">
        <f ca="1">VLOOKUP($AB62,OFFSET([3]enemy_skill_sets!$B$2,0,0,COUNTA([3]enemy_skill_sets!$A:$A),MATCH(AC$1,[3]enemy_skill_sets!$1:$1,0)-MATCH($AB$1,[3]enemy_skill_sets!$1:$1,0)+1),MATCH(AC$1,[3]enemy_skill_sets!$1:$1,0)-MATCH($AB$1,[3]enemy_skill_sets!$1:$1,0)+1,FALSE)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62" s="37">
        <v>1</v>
      </c>
      <c r="AE62" s="37">
        <v>1</v>
      </c>
      <c r="AF62" s="37">
        <v>0</v>
      </c>
      <c r="AG62" s="28">
        <f ca="1">ROUND(VLOOKUP(1,enemy_base_stats!$A:$F,2,FALSE) * Y62* J62*O62*E62*S62*AD62*[2]ステータス!$B$2,0)</f>
        <v>400</v>
      </c>
      <c r="AH62" s="28">
        <f ca="1">ROUND(VLOOKUP(1,enemy_base_stats!$A:$F,3,FALSE) * Z62*K62*P62*F62*T62*AE62 * W62*[2]ステータス!$C$2,0)</f>
        <v>95</v>
      </c>
      <c r="AI62" s="28">
        <f ca="1">ROUND(VLOOKUP(1,enemy_base_stats!$A:$F,4,FALSE) * AA62*L62*Q62*G62*U62*AF62*[2]ステータス!$D$2,0)</f>
        <v>0</v>
      </c>
      <c r="AJ62" s="28">
        <f ca="1">ROUND(VLOOKUP(100,enemy_base_stats!$A:$F,2,FALSE) * Y62* J62*O62*E62*S62*AD62*[2]ステータス!$B$2,0)</f>
        <v>16240</v>
      </c>
      <c r="AK62" s="28">
        <f ca="1">ROUND(VLOOKUP(100,enemy_base_stats!$A:$F,3,FALSE)* Z62* K62*P62*F62*T62*AE62 * W62*[2]ステータス!$C$2,0)</f>
        <v>3841</v>
      </c>
      <c r="AL62" s="28">
        <f ca="1">ROUND(VLOOKUP(100,enemy_base_stats!$A:$F,4,FALSE)* AA62* L62*Q62*G62*U62*AF62*[2]ステータス!$D$2,0)</f>
        <v>0</v>
      </c>
      <c r="AM62" s="24">
        <f ca="1">VLOOKUP(M62,[2]character_tribe_i18n!$A:$I,9,FALSE)</f>
        <v>480</v>
      </c>
      <c r="AN62" s="36">
        <v>0</v>
      </c>
      <c r="AO62" s="53">
        <v>0</v>
      </c>
      <c r="AP62" s="58" t="s">
        <v>72</v>
      </c>
      <c r="AQ62" s="71">
        <f t="shared" ca="1" si="0"/>
        <v>61</v>
      </c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</row>
    <row r="63" spans="1:60" s="3" customFormat="1" ht="21" customHeight="1" x14ac:dyDescent="0.15">
      <c r="A63" s="31">
        <f t="shared" ca="1" si="1"/>
        <v>62</v>
      </c>
      <c r="B63" s="6" t="str">
        <f ca="1">VLOOKUP(A63,[2]characters!$A:$C,3,FALSE)</f>
        <v>脈動旋律のクロウ</v>
      </c>
      <c r="C63" s="9">
        <f ca="1">VLOOKUP(A63,[2]characters!$A:$I,9,FALSE)</f>
        <v>3</v>
      </c>
      <c r="D63" s="9" t="str">
        <f ca="1">VLOOKUP(A63,[2]characters!$A:$H,8,FALSE)</f>
        <v>blue</v>
      </c>
      <c r="E63" s="24">
        <f ca="1">VLOOKUP(D63,[2]属性!$A:$E,2,FALSE)</f>
        <v>1</v>
      </c>
      <c r="F63" s="24">
        <f ca="1">VLOOKUP(D63,[2]属性!$A:$E,3,FALSE)</f>
        <v>0.98</v>
      </c>
      <c r="G63" s="24">
        <f ca="1">VLOOKUP(D63,[2]属性!$A:$F,4,FALSE)</f>
        <v>1</v>
      </c>
      <c r="H63" s="9" t="str">
        <f ca="1">VLOOKUP(A63,[2]characters!$A:$K,11,FALSE)</f>
        <v>heal</v>
      </c>
      <c r="I63" s="14" t="str">
        <f ca="1">VLOOKUP(H63,[2]character_type_i18n!$A:$F,3,FALSE)</f>
        <v>回復タイプ</v>
      </c>
      <c r="J63" s="36">
        <f ca="1">VLOOKUP(H63,[2]character_type_i18n!$A:$F,4,FALSE)</f>
        <v>0.8</v>
      </c>
      <c r="K63" s="36">
        <f ca="1">VLOOKUP(H63,[2]character_type_i18n!$A:$F,5,FALSE)</f>
        <v>0.78</v>
      </c>
      <c r="L63" s="36">
        <f ca="1">VLOOKUP(H63,[2]character_type_i18n!$A:$F,6,FALSE)</f>
        <v>1</v>
      </c>
      <c r="M63" s="9" t="str">
        <f ca="1">VLOOKUP(A63,[2]characters!$A:$M,13,FALSE)</f>
        <v>animal</v>
      </c>
      <c r="N63" s="14" t="str">
        <f ca="1">VLOOKUP(M63,[2]character_tribe_i18n!$A:$F,3,FALSE)</f>
        <v>アニマル</v>
      </c>
      <c r="O63" s="24">
        <f ca="1">VLOOKUP(M63,[2]character_tribe_i18n!$A:$F,4,FALSE)</f>
        <v>1</v>
      </c>
      <c r="P63" s="24">
        <f ca="1">VLOOKUP(M63,[2]character_tribe_i18n!$A:$F,5,FALSE)</f>
        <v>1.1000000000000001</v>
      </c>
      <c r="Q63" s="24">
        <f ca="1">VLOOKUP(M63,[2]character_tribe_i18n!$A:$F,6,FALSE)</f>
        <v>1</v>
      </c>
      <c r="R63" s="25" t="s">
        <v>3</v>
      </c>
      <c r="S63" s="24">
        <f>VLOOKUP($R63,ラベル別係数!$A$1:$E$7,3,FALSE)</f>
        <v>3</v>
      </c>
      <c r="T63" s="24">
        <f>VLOOKUP($R63,ラベル別係数!$A$1:$E$7,4,FALSE)</f>
        <v>1.4</v>
      </c>
      <c r="U63" s="24">
        <f>VLOOKUP($R63,ラベル別係数!$A$1:$E$7,5,FALSE)</f>
        <v>0.8</v>
      </c>
      <c r="V63" s="27">
        <v>2</v>
      </c>
      <c r="W63" s="28">
        <f>VLOOKUP(V63,ターン数別攻撃係数!$A$1:$B$1000,2,FALSE)</f>
        <v>0.75</v>
      </c>
      <c r="X63" s="5">
        <v>20</v>
      </c>
      <c r="Y63" s="26">
        <f>VLOOKUP($X63,サイズ別係数!$B:$E,2,FALSE)</f>
        <v>1.1000000000000001</v>
      </c>
      <c r="Z63" s="26">
        <f>VLOOKUP($X63,サイズ別係数!$B:$E,3,FALSE)</f>
        <v>1.2</v>
      </c>
      <c r="AA63" s="26">
        <f>VLOOKUP($X63,サイズ別係数!$B:$E,4,FALSE)</f>
        <v>1.2</v>
      </c>
      <c r="AB63" s="35">
        <v>0</v>
      </c>
      <c r="AC63" s="34" t="str">
        <f ca="1">VLOOKUP($AB63,OFFSET([3]enemy_skill_sets!$B$2,0,0,COUNTA([3]enemy_skill_sets!$A:$A),MATCH(AC$1,[3]enemy_skill_sets!$1:$1,0)-MATCH($AB$1,[3]enemy_skill_sets!$1:$1,0)+1),MATCH(AC$1,[3]enemy_skill_sets!$1:$1,0)-MATCH($AB$1,[3]enemy_skill_sets!$1:$1,0)+1,FALSE)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" s="37">
        <v>1</v>
      </c>
      <c r="AE63" s="37">
        <v>1</v>
      </c>
      <c r="AF63" s="37">
        <v>0</v>
      </c>
      <c r="AG63" s="28">
        <f ca="1">ROUND(VLOOKUP(1,enemy_base_stats!$A:$F,2,FALSE) * Y63* J63*O63*E63*S63*AD63*[2]ステータス!$B$2,0)</f>
        <v>1320</v>
      </c>
      <c r="AH63" s="28">
        <f ca="1">ROUND(VLOOKUP(1,enemy_base_stats!$A:$F,3,FALSE) * Z63*K63*P63*F63*T63*AE63 * W63*[2]ステータス!$C$2,0)</f>
        <v>159</v>
      </c>
      <c r="AI63" s="28">
        <f ca="1">ROUND(VLOOKUP(1,enemy_base_stats!$A:$F,4,FALSE) * AA63*L63*Q63*G63*U63*AF63*[2]ステータス!$D$2,0)</f>
        <v>0</v>
      </c>
      <c r="AJ63" s="28">
        <f ca="1">ROUND(VLOOKUP(100,enemy_base_stats!$A:$F,2,FALSE) * Y63* J63*O63*E63*S63*AD63*[2]ステータス!$B$2,0)</f>
        <v>53592</v>
      </c>
      <c r="AK63" s="28">
        <f ca="1">ROUND(VLOOKUP(100,enemy_base_stats!$A:$F,3,FALSE)* Z63* K63*P63*F63*T63*AE63 * W63*[2]ステータス!$C$2,0)</f>
        <v>6452</v>
      </c>
      <c r="AL63" s="28">
        <f ca="1">ROUND(VLOOKUP(100,enemy_base_stats!$A:$F,4,FALSE)* AA63* L63*Q63*G63*U63*AF63*[2]ステータス!$D$2,0)</f>
        <v>0</v>
      </c>
      <c r="AM63" s="24">
        <f ca="1">VLOOKUP(M63,[2]character_tribe_i18n!$A:$I,9,FALSE)</f>
        <v>480</v>
      </c>
      <c r="AN63" s="36">
        <v>0</v>
      </c>
      <c r="AO63" s="53">
        <v>0</v>
      </c>
      <c r="AP63" s="58" t="s">
        <v>72</v>
      </c>
      <c r="AQ63" s="71">
        <f t="shared" ca="1" si="0"/>
        <v>62</v>
      </c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</row>
    <row r="64" spans="1:60" s="3" customFormat="1" ht="21" customHeight="1" x14ac:dyDescent="0.15">
      <c r="A64" s="31">
        <f t="shared" ca="1" si="1"/>
        <v>63</v>
      </c>
      <c r="B64" s="6" t="str">
        <f ca="1">VLOOKUP(A64,[2]characters!$A:$C,3,FALSE)</f>
        <v>トニー</v>
      </c>
      <c r="C64" s="9">
        <f ca="1">VLOOKUP(A64,[2]characters!$A:$I,9,FALSE)</f>
        <v>2</v>
      </c>
      <c r="D64" s="9" t="str">
        <f ca="1">VLOOKUP(A64,[2]characters!$A:$H,8,FALSE)</f>
        <v>yellow</v>
      </c>
      <c r="E64" s="24">
        <f ca="1">VLOOKUP(D64,[2]属性!$A:$E,2,FALSE)</f>
        <v>0.98</v>
      </c>
      <c r="F64" s="24">
        <f ca="1">VLOOKUP(D64,[2]属性!$A:$E,3,FALSE)</f>
        <v>1.01</v>
      </c>
      <c r="G64" s="24">
        <f ca="1">VLOOKUP(D64,[2]属性!$A:$F,4,FALSE)</f>
        <v>1</v>
      </c>
      <c r="H64" s="9" t="str">
        <f ca="1">VLOOKUP(A64,[2]characters!$A:$K,11,FALSE)</f>
        <v>technical</v>
      </c>
      <c r="I64" s="14" t="str">
        <f ca="1">VLOOKUP(H64,[2]character_type_i18n!$A:$F,3,FALSE)</f>
        <v>テクニカルタイプ</v>
      </c>
      <c r="J64" s="36">
        <f ca="1">VLOOKUP(H64,[2]character_type_i18n!$A:$F,4,FALSE)</f>
        <v>0.9</v>
      </c>
      <c r="K64" s="36">
        <f ca="1">VLOOKUP(H64,[2]character_type_i18n!$A:$F,5,FALSE)</f>
        <v>0.9</v>
      </c>
      <c r="L64" s="36">
        <f ca="1">VLOOKUP(H64,[2]character_type_i18n!$A:$F,6,FALSE)</f>
        <v>1</v>
      </c>
      <c r="M64" s="9" t="str">
        <f ca="1">VLOOKUP(A64,[2]characters!$A:$M,13,FALSE)</f>
        <v>animal</v>
      </c>
      <c r="N64" s="14" t="str">
        <f ca="1">VLOOKUP(M64,[2]character_tribe_i18n!$A:$F,3,FALSE)</f>
        <v>アニマル</v>
      </c>
      <c r="O64" s="24">
        <f ca="1">VLOOKUP(M64,[2]character_tribe_i18n!$A:$F,4,FALSE)</f>
        <v>1</v>
      </c>
      <c r="P64" s="24">
        <f ca="1">VLOOKUP(M64,[2]character_tribe_i18n!$A:$F,5,FALSE)</f>
        <v>1.1000000000000001</v>
      </c>
      <c r="Q64" s="24">
        <f ca="1">VLOOKUP(M64,[2]character_tribe_i18n!$A:$F,6,FALSE)</f>
        <v>1</v>
      </c>
      <c r="R64" s="25" t="s">
        <v>19</v>
      </c>
      <c r="S64" s="24">
        <f>VLOOKUP($R64,ラベル別係数!$A$1:$E$7,3,FALSE)</f>
        <v>1</v>
      </c>
      <c r="T64" s="24">
        <f>VLOOKUP($R64,ラベル別係数!$A$1:$E$7,4,FALSE)</f>
        <v>1</v>
      </c>
      <c r="U64" s="24">
        <f>VLOOKUP($R64,ラベル別係数!$A$1:$E$7,5,FALSE)</f>
        <v>1</v>
      </c>
      <c r="V64" s="27">
        <v>2</v>
      </c>
      <c r="W64" s="28">
        <f>VLOOKUP(V64,ターン数別攻撃係数!$A$1:$B$1000,2,FALSE)</f>
        <v>0.75</v>
      </c>
      <c r="X64" s="10">
        <v>15</v>
      </c>
      <c r="Y64" s="26">
        <f>VLOOKUP($X64,サイズ別係数!$B:$E,2,FALSE)</f>
        <v>1</v>
      </c>
      <c r="Z64" s="26">
        <f>VLOOKUP($X64,サイズ別係数!$B:$E,3,FALSE)</f>
        <v>1</v>
      </c>
      <c r="AA64" s="26">
        <f>VLOOKUP($X64,サイズ別係数!$B:$E,4,FALSE)</f>
        <v>1</v>
      </c>
      <c r="AB64" s="62">
        <v>63</v>
      </c>
      <c r="AC64" s="34" t="str">
        <f ca="1">VLOOKUP($AB64,OFFSET([3]enemy_skill_sets!$B$2,0,0,COUNTA([3]enemy_skill_sets!$A:$A),MATCH(AC$1,[3]enemy_skill_sets!$1:$1,0)-MATCH($AB$1,[3]enemy_skill_sets!$1:$1,0)+1),MATCH(AC$1,[3]enemy_skill_sets!$1:$1,0)-MATCH($AB$1,[3]enemy_skill_sets!$1:$1,0)+1,FALSE)</f>
        <v>2回連続攻撃</v>
      </c>
      <c r="AD64" s="37">
        <v>1</v>
      </c>
      <c r="AE64" s="37">
        <v>1</v>
      </c>
      <c r="AF64" s="37">
        <v>0</v>
      </c>
      <c r="AG64" s="28">
        <f ca="1">ROUND(VLOOKUP(1,enemy_base_stats!$A:$F,2,FALSE) * Y64* J64*O64*E64*S64*AD64*[2]ステータス!$B$2,0)</f>
        <v>441</v>
      </c>
      <c r="AH64" s="28">
        <f ca="1">ROUND(VLOOKUP(1,enemy_base_stats!$A:$F,3,FALSE) * Z64*K64*P64*F64*T64*AE64 * W64*[2]ステータス!$C$2,0)</f>
        <v>112</v>
      </c>
      <c r="AI64" s="28">
        <f ca="1">ROUND(VLOOKUP(1,enemy_base_stats!$A:$F,4,FALSE) * AA64*L64*Q64*G64*U64*AF64*[2]ステータス!$D$2,0)</f>
        <v>0</v>
      </c>
      <c r="AJ64" s="28">
        <f ca="1">ROUND(VLOOKUP(100,enemy_base_stats!$A:$F,2,FALSE) * Y64* J64*O64*E64*S64*AD64*[2]ステータス!$B$2,0)</f>
        <v>17905</v>
      </c>
      <c r="AK64" s="28">
        <f ca="1">ROUND(VLOOKUP(100,enemy_base_stats!$A:$F,3,FALSE)* Z64* K64*P64*F64*T64*AE64 * W64*[2]ステータス!$C$2,0)</f>
        <v>4567</v>
      </c>
      <c r="AL64" s="28">
        <f ca="1">ROUND(VLOOKUP(100,enemy_base_stats!$A:$F,4,FALSE)* AA64* L64*Q64*G64*U64*AF64*[2]ステータス!$D$2,0)</f>
        <v>0</v>
      </c>
      <c r="AM64" s="24">
        <f ca="1">VLOOKUP(M64,[2]character_tribe_i18n!$A:$I,9,FALSE)</f>
        <v>480</v>
      </c>
      <c r="AN64" s="36">
        <v>0</v>
      </c>
      <c r="AO64" s="53">
        <v>0</v>
      </c>
      <c r="AP64" s="58" t="s">
        <v>72</v>
      </c>
      <c r="AQ64" s="71">
        <f t="shared" ca="1" si="0"/>
        <v>63</v>
      </c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</row>
    <row r="65" spans="1:60" s="3" customFormat="1" ht="21" customHeight="1" x14ac:dyDescent="0.15">
      <c r="A65" s="31">
        <f t="shared" ca="1" si="1"/>
        <v>64</v>
      </c>
      <c r="B65" s="6" t="str">
        <f ca="1">VLOOKUP(A65,[2]characters!$A:$C,3,FALSE)</f>
        <v>フレイムエッジ トニー</v>
      </c>
      <c r="C65" s="9">
        <f ca="1">VLOOKUP(A65,[2]characters!$A:$I,9,FALSE)</f>
        <v>3</v>
      </c>
      <c r="D65" s="9" t="str">
        <f ca="1">VLOOKUP(A65,[2]characters!$A:$H,8,FALSE)</f>
        <v>yellow</v>
      </c>
      <c r="E65" s="24">
        <f ca="1">VLOOKUP(D65,[2]属性!$A:$E,2,FALSE)</f>
        <v>0.98</v>
      </c>
      <c r="F65" s="24">
        <f ca="1">VLOOKUP(D65,[2]属性!$A:$E,3,FALSE)</f>
        <v>1.01</v>
      </c>
      <c r="G65" s="24">
        <f ca="1">VLOOKUP(D65,[2]属性!$A:$F,4,FALSE)</f>
        <v>1</v>
      </c>
      <c r="H65" s="9" t="str">
        <f ca="1">VLOOKUP(A65,[2]characters!$A:$K,11,FALSE)</f>
        <v>technical</v>
      </c>
      <c r="I65" s="14" t="str">
        <f ca="1">VLOOKUP(H65,[2]character_type_i18n!$A:$F,3,FALSE)</f>
        <v>テクニカルタイプ</v>
      </c>
      <c r="J65" s="36">
        <f ca="1">VLOOKUP(H65,[2]character_type_i18n!$A:$F,4,FALSE)</f>
        <v>0.9</v>
      </c>
      <c r="K65" s="36">
        <f ca="1">VLOOKUP(H65,[2]character_type_i18n!$A:$F,5,FALSE)</f>
        <v>0.9</v>
      </c>
      <c r="L65" s="36">
        <f ca="1">VLOOKUP(H65,[2]character_type_i18n!$A:$F,6,FALSE)</f>
        <v>1</v>
      </c>
      <c r="M65" s="9" t="str">
        <f ca="1">VLOOKUP(A65,[2]characters!$A:$M,13,FALSE)</f>
        <v>animal</v>
      </c>
      <c r="N65" s="14" t="str">
        <f ca="1">VLOOKUP(M65,[2]character_tribe_i18n!$A:$F,3,FALSE)</f>
        <v>アニマル</v>
      </c>
      <c r="O65" s="24">
        <f ca="1">VLOOKUP(M65,[2]character_tribe_i18n!$A:$F,4,FALSE)</f>
        <v>1</v>
      </c>
      <c r="P65" s="24">
        <f ca="1">VLOOKUP(M65,[2]character_tribe_i18n!$A:$F,5,FALSE)</f>
        <v>1.1000000000000001</v>
      </c>
      <c r="Q65" s="24">
        <f ca="1">VLOOKUP(M65,[2]character_tribe_i18n!$A:$F,6,FALSE)</f>
        <v>1</v>
      </c>
      <c r="R65" s="25" t="s">
        <v>3</v>
      </c>
      <c r="S65" s="24">
        <f>VLOOKUP($R65,ラベル別係数!$A$1:$E$7,3,FALSE)</f>
        <v>3</v>
      </c>
      <c r="T65" s="24">
        <f>VLOOKUP($R65,ラベル別係数!$A$1:$E$7,4,FALSE)</f>
        <v>1.4</v>
      </c>
      <c r="U65" s="24">
        <f>VLOOKUP($R65,ラベル別係数!$A$1:$E$7,5,FALSE)</f>
        <v>0.8</v>
      </c>
      <c r="V65" s="27">
        <v>1</v>
      </c>
      <c r="W65" s="28">
        <f>VLOOKUP(V65,ターン数別攻撃係数!$A$1:$B$1000,2,FALSE)</f>
        <v>0.55000000000000004</v>
      </c>
      <c r="X65" s="5">
        <v>20</v>
      </c>
      <c r="Y65" s="26">
        <f>VLOOKUP($X65,サイズ別係数!$B:$E,2,FALSE)</f>
        <v>1.1000000000000001</v>
      </c>
      <c r="Z65" s="26">
        <f>VLOOKUP($X65,サイズ別係数!$B:$E,3,FALSE)</f>
        <v>1.2</v>
      </c>
      <c r="AA65" s="26">
        <f>VLOOKUP($X65,サイズ別係数!$B:$E,4,FALSE)</f>
        <v>1.2</v>
      </c>
      <c r="AB65" s="62">
        <v>64</v>
      </c>
      <c r="AC65" s="34" t="str">
        <f ca="1">VLOOKUP($AB65,OFFSET([3]enemy_skill_sets!$B$2,0,0,COUNTA([3]enemy_skill_sets!$A:$A),MATCH(AC$1,[3]enemy_skill_sets!$1:$1,0)-MATCH($AB$1,[3]enemy_skill_sets!$1:$1,0)+1),MATCH(AC$1,[3]enemy_skill_sets!$1:$1,0)-MATCH($AB$1,[3]enemy_skill_sets!$1:$1,0)+1,FALSE)</f>
        <v>2回連続攻撃</v>
      </c>
      <c r="AD65" s="37">
        <v>1</v>
      </c>
      <c r="AE65" s="37">
        <v>1</v>
      </c>
      <c r="AF65" s="37">
        <v>0</v>
      </c>
      <c r="AG65" s="28">
        <f ca="1">ROUND(VLOOKUP(1,enemy_base_stats!$A:$F,2,FALSE) * Y65* J65*O65*E65*S65*AD65*[2]ステータス!$B$2,0)</f>
        <v>1455</v>
      </c>
      <c r="AH65" s="28">
        <f ca="1">ROUND(VLOOKUP(1,enemy_base_stats!$A:$F,3,FALSE) * Z65*K65*P65*F65*T65*AE65 * W65*[2]ステータス!$C$2,0)</f>
        <v>139</v>
      </c>
      <c r="AI65" s="28">
        <f ca="1">ROUND(VLOOKUP(1,enemy_base_stats!$A:$F,4,FALSE) * AA65*L65*Q65*G65*U65*AF65*[2]ステータス!$D$2,0)</f>
        <v>0</v>
      </c>
      <c r="AJ65" s="28">
        <f ca="1">ROUND(VLOOKUP(100,enemy_base_stats!$A:$F,2,FALSE) * Y65* J65*O65*E65*S65*AD65*[2]ステータス!$B$2,0)</f>
        <v>59085</v>
      </c>
      <c r="AK65" s="28">
        <f ca="1">ROUND(VLOOKUP(100,enemy_base_stats!$A:$F,3,FALSE)* Z65* K65*P65*F65*T65*AE65 * W65*[2]ステータス!$C$2,0)</f>
        <v>5627</v>
      </c>
      <c r="AL65" s="28">
        <f ca="1">ROUND(VLOOKUP(100,enemy_base_stats!$A:$F,4,FALSE)* AA65* L65*Q65*G65*U65*AF65*[2]ステータス!$D$2,0)</f>
        <v>0</v>
      </c>
      <c r="AM65" s="24">
        <f ca="1">VLOOKUP(M65,[2]character_tribe_i18n!$A:$I,9,FALSE)</f>
        <v>480</v>
      </c>
      <c r="AN65" s="36">
        <v>0</v>
      </c>
      <c r="AO65" s="53">
        <v>0</v>
      </c>
      <c r="AP65" s="58" t="s">
        <v>72</v>
      </c>
      <c r="AQ65" s="71">
        <f t="shared" ca="1" si="0"/>
        <v>64</v>
      </c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</row>
    <row r="66" spans="1:60" s="3" customFormat="1" ht="21" customHeight="1" x14ac:dyDescent="0.15">
      <c r="A66" s="32">
        <f t="shared" ca="1" si="1"/>
        <v>65</v>
      </c>
      <c r="B66" s="6" t="str">
        <f ca="1">VLOOKUP(A66,[2]characters!$A:$C,3,FALSE)</f>
        <v>ファイアフォックス</v>
      </c>
      <c r="C66" s="9">
        <f ca="1">VLOOKUP(A66,[2]characters!$A:$I,9,FALSE)</f>
        <v>2</v>
      </c>
      <c r="D66" s="9" t="str">
        <f ca="1">VLOOKUP(A66,[2]characters!$A:$H,8,FALSE)</f>
        <v>red</v>
      </c>
      <c r="E66" s="24">
        <f ca="1">VLOOKUP(D66,[2]属性!$A:$E,2,FALSE)</f>
        <v>1</v>
      </c>
      <c r="F66" s="24">
        <f ca="1">VLOOKUP(D66,[2]属性!$A:$E,3,FALSE)</f>
        <v>1.02</v>
      </c>
      <c r="G66" s="24">
        <f ca="1">VLOOKUP(D66,[2]属性!$A:$F,4,FALSE)</f>
        <v>1</v>
      </c>
      <c r="H66" s="9" t="str">
        <f ca="1">VLOOKUP(A66,[2]characters!$A:$K,11,FALSE)</f>
        <v>attack</v>
      </c>
      <c r="I66" s="14" t="str">
        <f ca="1">VLOOKUP(H66,[2]character_type_i18n!$A:$F,3,FALSE)</f>
        <v>攻撃タイプ</v>
      </c>
      <c r="J66" s="36">
        <f ca="1">VLOOKUP(H66,[2]character_type_i18n!$A:$F,4,FALSE)</f>
        <v>1</v>
      </c>
      <c r="K66" s="36">
        <f ca="1">VLOOKUP(H66,[2]character_type_i18n!$A:$F,5,FALSE)</f>
        <v>1.33</v>
      </c>
      <c r="L66" s="36">
        <f ca="1">VLOOKUP(H66,[2]character_type_i18n!$A:$F,6,FALSE)</f>
        <v>1</v>
      </c>
      <c r="M66" s="9" t="str">
        <f ca="1">VLOOKUP(A66,[2]characters!$A:$M,13,FALSE)</f>
        <v>animal</v>
      </c>
      <c r="N66" s="14" t="str">
        <f ca="1">VLOOKUP(M66,[2]character_tribe_i18n!$A:$F,3,FALSE)</f>
        <v>アニマル</v>
      </c>
      <c r="O66" s="24">
        <f ca="1">VLOOKUP(M66,[2]character_tribe_i18n!$A:$F,4,FALSE)</f>
        <v>1</v>
      </c>
      <c r="P66" s="24">
        <f ca="1">VLOOKUP(M66,[2]character_tribe_i18n!$A:$F,5,FALSE)</f>
        <v>1.1000000000000001</v>
      </c>
      <c r="Q66" s="24">
        <f ca="1">VLOOKUP(M66,[2]character_tribe_i18n!$A:$F,6,FALSE)</f>
        <v>1</v>
      </c>
      <c r="R66" s="23" t="s">
        <v>19</v>
      </c>
      <c r="S66" s="24">
        <f>VLOOKUP($R66,ラベル別係数!$A$1:$E$7,3,FALSE)</f>
        <v>1</v>
      </c>
      <c r="T66" s="24">
        <f>VLOOKUP($R66,ラベル別係数!$A$1:$E$7,4,FALSE)</f>
        <v>1</v>
      </c>
      <c r="U66" s="24">
        <f>VLOOKUP($R66,ラベル別係数!$A$1:$E$7,5,FALSE)</f>
        <v>1</v>
      </c>
      <c r="V66" s="27">
        <v>2</v>
      </c>
      <c r="W66" s="28">
        <f>VLOOKUP(V66,ターン数別攻撃係数!$A$1:$B$1000,2,FALSE)</f>
        <v>0.75</v>
      </c>
      <c r="X66" s="10">
        <v>15</v>
      </c>
      <c r="Y66" s="26">
        <f>VLOOKUP($X66,サイズ別係数!$B:$E,2,FALSE)</f>
        <v>1</v>
      </c>
      <c r="Z66" s="26">
        <f>VLOOKUP($X66,サイズ別係数!$B:$E,3,FALSE)</f>
        <v>1</v>
      </c>
      <c r="AA66" s="26">
        <f>VLOOKUP($X66,サイズ別係数!$B:$E,4,FALSE)</f>
        <v>1</v>
      </c>
      <c r="AB66" s="35">
        <v>0</v>
      </c>
      <c r="AC66" s="34" t="str">
        <f ca="1">VLOOKUP($AB66,OFFSET([3]enemy_skill_sets!$B$2,0,0,COUNTA([3]enemy_skill_sets!$A:$A),MATCH(AC$1,[3]enemy_skill_sets!$1:$1,0)-MATCH($AB$1,[3]enemy_skill_sets!$1:$1,0)+1),MATCH(AC$1,[3]enemy_skill_sets!$1:$1,0)-MATCH($AB$1,[3]enemy_skill_sets!$1:$1,0)+1,FALSE)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" s="37">
        <v>1</v>
      </c>
      <c r="AE66" s="37">
        <v>1</v>
      </c>
      <c r="AF66" s="37">
        <v>0</v>
      </c>
      <c r="AG66" s="28">
        <f ca="1">ROUND(VLOOKUP(1,enemy_base_stats!$A:$F,2,FALSE) * Y66* J66*O66*E66*S66*AD66*[2]ステータス!$B$2,0)</f>
        <v>500</v>
      </c>
      <c r="AH66" s="28">
        <f ca="1">ROUND(VLOOKUP(1,enemy_base_stats!$A:$F,3,FALSE) * Z66*K66*P66*F66*T66*AE66 * W66*[2]ステータス!$C$2,0)</f>
        <v>168</v>
      </c>
      <c r="AI66" s="28">
        <f ca="1">ROUND(VLOOKUP(1,enemy_base_stats!$A:$F,4,FALSE) * AA66*L66*Q66*G66*U66*AF66*[2]ステータス!$D$2,0)</f>
        <v>0</v>
      </c>
      <c r="AJ66" s="28">
        <f ca="1">ROUND(VLOOKUP(100,enemy_base_stats!$A:$F,2,FALSE) * Y66* J66*O66*E66*S66*AD66*[2]ステータス!$B$2,0)</f>
        <v>20300</v>
      </c>
      <c r="AK66" s="28">
        <f ca="1">ROUND(VLOOKUP(100,enemy_base_stats!$A:$F,3,FALSE)* Z66* K66*P66*F66*T66*AE66 * W66*[2]ステータス!$C$2,0)</f>
        <v>6816</v>
      </c>
      <c r="AL66" s="28">
        <f ca="1">ROUND(VLOOKUP(100,enemy_base_stats!$A:$F,4,FALSE)* AA66* L66*Q66*G66*U66*AF66*[2]ステータス!$D$2,0)</f>
        <v>0</v>
      </c>
      <c r="AM66" s="24">
        <f ca="1">VLOOKUP(M66,[2]character_tribe_i18n!$A:$I,9,FALSE)</f>
        <v>480</v>
      </c>
      <c r="AN66" s="36">
        <v>0</v>
      </c>
      <c r="AO66" s="53">
        <v>0</v>
      </c>
      <c r="AP66" s="58" t="s">
        <v>72</v>
      </c>
      <c r="AQ66" s="71">
        <f t="shared" ref="AQ66:AQ129" ca="1" si="2">A66</f>
        <v>65</v>
      </c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</row>
    <row r="67" spans="1:60" s="3" customFormat="1" ht="21" customHeight="1" x14ac:dyDescent="0.15">
      <c r="A67" s="32">
        <f t="shared" ref="A67:A130" ca="1" si="3">INDIRECT(ADDRESS(ROW(),COLUMN(),1,TRUE,"[CharacterMasterData.xlsm]characters"))</f>
        <v>66</v>
      </c>
      <c r="B67" s="6" t="str">
        <f ca="1">VLOOKUP(A67,[2]characters!$A:$C,3,FALSE)</f>
        <v>探索者 ファイアフォックス</v>
      </c>
      <c r="C67" s="9">
        <f ca="1">VLOOKUP(A67,[2]characters!$A:$I,9,FALSE)</f>
        <v>3</v>
      </c>
      <c r="D67" s="9" t="str">
        <f ca="1">VLOOKUP(A67,[2]characters!$A:$H,8,FALSE)</f>
        <v>red</v>
      </c>
      <c r="E67" s="24">
        <f ca="1">VLOOKUP(D67,[2]属性!$A:$E,2,FALSE)</f>
        <v>1</v>
      </c>
      <c r="F67" s="24">
        <f ca="1">VLOOKUP(D67,[2]属性!$A:$E,3,FALSE)</f>
        <v>1.02</v>
      </c>
      <c r="G67" s="24">
        <f ca="1">VLOOKUP(D67,[2]属性!$A:$F,4,FALSE)</f>
        <v>1</v>
      </c>
      <c r="H67" s="9" t="str">
        <f ca="1">VLOOKUP(A67,[2]characters!$A:$K,11,FALSE)</f>
        <v>attack</v>
      </c>
      <c r="I67" s="14" t="str">
        <f ca="1">VLOOKUP(H67,[2]character_type_i18n!$A:$F,3,FALSE)</f>
        <v>攻撃タイプ</v>
      </c>
      <c r="J67" s="36">
        <f ca="1">VLOOKUP(H67,[2]character_type_i18n!$A:$F,4,FALSE)</f>
        <v>1</v>
      </c>
      <c r="K67" s="36">
        <f ca="1">VLOOKUP(H67,[2]character_type_i18n!$A:$F,5,FALSE)</f>
        <v>1.33</v>
      </c>
      <c r="L67" s="36">
        <f ca="1">VLOOKUP(H67,[2]character_type_i18n!$A:$F,6,FALSE)</f>
        <v>1</v>
      </c>
      <c r="M67" s="9" t="str">
        <f ca="1">VLOOKUP(A67,[2]characters!$A:$M,13,FALSE)</f>
        <v>animal</v>
      </c>
      <c r="N67" s="14" t="str">
        <f ca="1">VLOOKUP(M67,[2]character_tribe_i18n!$A:$F,3,FALSE)</f>
        <v>アニマル</v>
      </c>
      <c r="O67" s="24">
        <f ca="1">VLOOKUP(M67,[2]character_tribe_i18n!$A:$F,4,FALSE)</f>
        <v>1</v>
      </c>
      <c r="P67" s="24">
        <f ca="1">VLOOKUP(M67,[2]character_tribe_i18n!$A:$F,5,FALSE)</f>
        <v>1.1000000000000001</v>
      </c>
      <c r="Q67" s="24">
        <f ca="1">VLOOKUP(M67,[2]character_tribe_i18n!$A:$F,6,FALSE)</f>
        <v>1</v>
      </c>
      <c r="R67" s="25" t="s">
        <v>3</v>
      </c>
      <c r="S67" s="24">
        <f>VLOOKUP($R67,ラベル別係数!$A$1:$E$7,3,FALSE)</f>
        <v>3</v>
      </c>
      <c r="T67" s="24">
        <f>VLOOKUP($R67,ラベル別係数!$A$1:$E$7,4,FALSE)</f>
        <v>1.4</v>
      </c>
      <c r="U67" s="24">
        <f>VLOOKUP($R67,ラベル別係数!$A$1:$E$7,5,FALSE)</f>
        <v>0.8</v>
      </c>
      <c r="V67" s="27">
        <v>2</v>
      </c>
      <c r="W67" s="28">
        <f>VLOOKUP(V67,ターン数別攻撃係数!$A$1:$B$1000,2,FALSE)</f>
        <v>0.75</v>
      </c>
      <c r="X67" s="5">
        <v>20</v>
      </c>
      <c r="Y67" s="26">
        <f>VLOOKUP($X67,サイズ別係数!$B:$E,2,FALSE)</f>
        <v>1.1000000000000001</v>
      </c>
      <c r="Z67" s="26">
        <f>VLOOKUP($X67,サイズ別係数!$B:$E,3,FALSE)</f>
        <v>1.2</v>
      </c>
      <c r="AA67" s="26">
        <f>VLOOKUP($X67,サイズ別係数!$B:$E,4,FALSE)</f>
        <v>1.2</v>
      </c>
      <c r="AB67" s="62">
        <v>66</v>
      </c>
      <c r="AC67" s="34" t="str">
        <f ca="1">VLOOKUP($AB67,OFFSET([3]enemy_skill_sets!$B$2,0,0,COUNTA([3]enemy_skill_sets!$A:$A),MATCH(AC$1,[3]enemy_skill_sets!$1:$1,0)-MATCH($AB$1,[3]enemy_skill_sets!$1:$1,0)+1),MATCH(AC$1,[3]enemy_skill_sets!$1:$1,0)-MATCH($AB$1,[3]enemy_skill_sets!$1:$1,0)+1,FALSE)</f>
        <v>3回連続攻撃</v>
      </c>
      <c r="AD67" s="37">
        <v>1</v>
      </c>
      <c r="AE67" s="37">
        <v>1</v>
      </c>
      <c r="AF67" s="37">
        <v>0</v>
      </c>
      <c r="AG67" s="28">
        <f ca="1">ROUND(VLOOKUP(1,enemy_base_stats!$A:$F,2,FALSE) * Y67* J67*O67*E67*S67*AD67*[2]ステータス!$B$2,0)</f>
        <v>1650</v>
      </c>
      <c r="AH67" s="28">
        <f ca="1">ROUND(VLOOKUP(1,enemy_base_stats!$A:$F,3,FALSE) * Z67*K67*P67*F67*T67*AE67 * W67*[2]ステータス!$C$2,0)</f>
        <v>282</v>
      </c>
      <c r="AI67" s="28">
        <f ca="1">ROUND(VLOOKUP(1,enemy_base_stats!$A:$F,4,FALSE) * AA67*L67*Q67*G67*U67*AF67*[2]ステータス!$D$2,0)</f>
        <v>0</v>
      </c>
      <c r="AJ67" s="28">
        <f ca="1">ROUND(VLOOKUP(100,enemy_base_stats!$A:$F,2,FALSE) * Y67* J67*O67*E67*S67*AD67*[2]ステータス!$B$2,0)</f>
        <v>66990</v>
      </c>
      <c r="AK67" s="28">
        <f ca="1">ROUND(VLOOKUP(100,enemy_base_stats!$A:$F,3,FALSE)* Z67* K67*P67*F67*T67*AE67 * W67*[2]ステータス!$C$2,0)</f>
        <v>11451</v>
      </c>
      <c r="AL67" s="28">
        <f ca="1">ROUND(VLOOKUP(100,enemy_base_stats!$A:$F,4,FALSE)* AA67* L67*Q67*G67*U67*AF67*[2]ステータス!$D$2,0)</f>
        <v>0</v>
      </c>
      <c r="AM67" s="24">
        <f ca="1">VLOOKUP(M67,[2]character_tribe_i18n!$A:$I,9,FALSE)</f>
        <v>480</v>
      </c>
      <c r="AN67" s="36">
        <v>0</v>
      </c>
      <c r="AO67" s="53">
        <v>0</v>
      </c>
      <c r="AP67" s="58" t="s">
        <v>72</v>
      </c>
      <c r="AQ67" s="71">
        <f t="shared" ca="1" si="2"/>
        <v>66</v>
      </c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</row>
    <row r="68" spans="1:60" s="3" customFormat="1" ht="21" customHeight="1" x14ac:dyDescent="0.15">
      <c r="A68" s="32">
        <f t="shared" ca="1" si="3"/>
        <v>67</v>
      </c>
      <c r="B68" s="6" t="str">
        <f ca="1">VLOOKUP(A68,[2]characters!$A:$C,3,FALSE)</f>
        <v>双炎の探索者 ファイアフォックス</v>
      </c>
      <c r="C68" s="9">
        <f ca="1">VLOOKUP(A68,[2]characters!$A:$I,9,FALSE)</f>
        <v>4</v>
      </c>
      <c r="D68" s="9" t="str">
        <f ca="1">VLOOKUP(A68,[2]characters!$A:$H,8,FALSE)</f>
        <v>red</v>
      </c>
      <c r="E68" s="24">
        <f ca="1">VLOOKUP(D68,[2]属性!$A:$E,2,FALSE)</f>
        <v>1</v>
      </c>
      <c r="F68" s="24">
        <f ca="1">VLOOKUP(D68,[2]属性!$A:$E,3,FALSE)</f>
        <v>1.02</v>
      </c>
      <c r="G68" s="24">
        <f ca="1">VLOOKUP(D68,[2]属性!$A:$F,4,FALSE)</f>
        <v>1</v>
      </c>
      <c r="H68" s="9" t="str">
        <f ca="1">VLOOKUP(A68,[2]characters!$A:$K,11,FALSE)</f>
        <v>attack</v>
      </c>
      <c r="I68" s="14" t="str">
        <f ca="1">VLOOKUP(H68,[2]character_type_i18n!$A:$F,3,FALSE)</f>
        <v>攻撃タイプ</v>
      </c>
      <c r="J68" s="36">
        <f ca="1">VLOOKUP(H68,[2]character_type_i18n!$A:$F,4,FALSE)</f>
        <v>1</v>
      </c>
      <c r="K68" s="36">
        <f ca="1">VLOOKUP(H68,[2]character_type_i18n!$A:$F,5,FALSE)</f>
        <v>1.33</v>
      </c>
      <c r="L68" s="36">
        <f ca="1">VLOOKUP(H68,[2]character_type_i18n!$A:$F,6,FALSE)</f>
        <v>1</v>
      </c>
      <c r="M68" s="9" t="str">
        <f ca="1">VLOOKUP(A68,[2]characters!$A:$M,13,FALSE)</f>
        <v>animal</v>
      </c>
      <c r="N68" s="14" t="str">
        <f ca="1">VLOOKUP(M68,[2]character_tribe_i18n!$A:$F,3,FALSE)</f>
        <v>アニマル</v>
      </c>
      <c r="O68" s="24">
        <f ca="1">VLOOKUP(M68,[2]character_tribe_i18n!$A:$F,4,FALSE)</f>
        <v>1</v>
      </c>
      <c r="P68" s="24">
        <f ca="1">VLOOKUP(M68,[2]character_tribe_i18n!$A:$F,5,FALSE)</f>
        <v>1.1000000000000001</v>
      </c>
      <c r="Q68" s="24">
        <f ca="1">VLOOKUP(M68,[2]character_tribe_i18n!$A:$F,6,FALSE)</f>
        <v>1</v>
      </c>
      <c r="R68" s="25" t="s">
        <v>4</v>
      </c>
      <c r="S68" s="24">
        <f>VLOOKUP($R68,ラベル別係数!$A$1:$E$7,3,FALSE)</f>
        <v>5</v>
      </c>
      <c r="T68" s="24">
        <f>VLOOKUP($R68,ラベル別係数!$A$1:$E$7,4,FALSE)</f>
        <v>1.3</v>
      </c>
      <c r="U68" s="24">
        <f>VLOOKUP($R68,ラベル別係数!$A$1:$E$7,5,FALSE)</f>
        <v>0.8</v>
      </c>
      <c r="V68" s="27">
        <v>2</v>
      </c>
      <c r="W68" s="28">
        <f>VLOOKUP(V68,ターン数別攻撃係数!$A$1:$B$1000,2,FALSE)</f>
        <v>0.75</v>
      </c>
      <c r="X68" s="10">
        <v>30</v>
      </c>
      <c r="Y68" s="26">
        <f>VLOOKUP($X68,サイズ別係数!$B:$E,2,FALSE)</f>
        <v>1.3</v>
      </c>
      <c r="Z68" s="26">
        <f>VLOOKUP($X68,サイズ別係数!$B:$E,3,FALSE)</f>
        <v>1.3</v>
      </c>
      <c r="AA68" s="26">
        <f>VLOOKUP($X68,サイズ別係数!$B:$E,4,FALSE)</f>
        <v>1.1000000000000001</v>
      </c>
      <c r="AB68" s="62">
        <v>67</v>
      </c>
      <c r="AC68" s="34" t="str">
        <f ca="1">VLOOKUP($AB68,OFFSET([3]enemy_skill_sets!$B$2,0,0,COUNTA([3]enemy_skill_sets!$A:$A),MATCH(AC$1,[3]enemy_skill_sets!$1:$1,0)-MATCH($AB$1,[3]enemy_skill_sets!$1:$1,0)+1),MATCH(AC$1,[3]enemy_skill_sets!$1:$1,0)-MATCH($AB$1,[3]enemy_skill_sets!$1:$1,0)+1,FALSE)</f>
        <v>4回連続攻撃</v>
      </c>
      <c r="AD68" s="37">
        <v>1</v>
      </c>
      <c r="AE68" s="37">
        <v>1</v>
      </c>
      <c r="AF68" s="37">
        <v>0</v>
      </c>
      <c r="AG68" s="28">
        <f ca="1">ROUND(VLOOKUP(1,enemy_base_stats!$A:$F,2,FALSE) * Y68* J68*O68*E68*S68*AD68*[2]ステータス!$B$2,0)</f>
        <v>3250</v>
      </c>
      <c r="AH68" s="28">
        <f ca="1">ROUND(VLOOKUP(1,enemy_base_stats!$A:$F,3,FALSE) * Z68*K68*P68*F68*T68*AE68 * W68*[2]ステータス!$C$2,0)</f>
        <v>284</v>
      </c>
      <c r="AI68" s="28">
        <f ca="1">ROUND(VLOOKUP(1,enemy_base_stats!$A:$F,4,FALSE) * AA68*L68*Q68*G68*U68*AF68*[2]ステータス!$D$2,0)</f>
        <v>0</v>
      </c>
      <c r="AJ68" s="28">
        <f ca="1">ROUND(VLOOKUP(100,enemy_base_stats!$A:$F,2,FALSE) * Y68* J68*O68*E68*S68*AD68*[2]ステータス!$B$2,0)</f>
        <v>131950</v>
      </c>
      <c r="AK68" s="28">
        <f ca="1">ROUND(VLOOKUP(100,enemy_base_stats!$A:$F,3,FALSE)* Z68* K68*P68*F68*T68*AE68 * W68*[2]ステータス!$C$2,0)</f>
        <v>11519</v>
      </c>
      <c r="AL68" s="28">
        <f ca="1">ROUND(VLOOKUP(100,enemy_base_stats!$A:$F,4,FALSE)* AA68* L68*Q68*G68*U68*AF68*[2]ステータス!$D$2,0)</f>
        <v>0</v>
      </c>
      <c r="AM68" s="24">
        <f ca="1">VLOOKUP(M68,[2]character_tribe_i18n!$A:$I,9,FALSE)</f>
        <v>480</v>
      </c>
      <c r="AN68" s="36">
        <v>0</v>
      </c>
      <c r="AO68" s="53">
        <v>0</v>
      </c>
      <c r="AP68" s="58" t="s">
        <v>72</v>
      </c>
      <c r="AQ68" s="71">
        <f t="shared" ca="1" si="2"/>
        <v>67</v>
      </c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</row>
    <row r="69" spans="1:60" s="3" customFormat="1" ht="21" customHeight="1" x14ac:dyDescent="0.15">
      <c r="A69" s="32">
        <f t="shared" ca="1" si="3"/>
        <v>68</v>
      </c>
      <c r="B69" s="6" t="str">
        <f ca="1">VLOOKUP(A69,[2]characters!$A:$C,3,FALSE)</f>
        <v>ストール</v>
      </c>
      <c r="C69" s="9">
        <f ca="1">VLOOKUP(A69,[2]characters!$A:$I,9,FALSE)</f>
        <v>2</v>
      </c>
      <c r="D69" s="9" t="str">
        <f ca="1">VLOOKUP(A69,[2]characters!$A:$H,8,FALSE)</f>
        <v>green</v>
      </c>
      <c r="E69" s="24">
        <f ca="1">VLOOKUP(D69,[2]属性!$A:$E,2,FALSE)</f>
        <v>1.02</v>
      </c>
      <c r="F69" s="24">
        <f ca="1">VLOOKUP(D69,[2]属性!$A:$E,3,FALSE)</f>
        <v>0.98</v>
      </c>
      <c r="G69" s="24">
        <f ca="1">VLOOKUP(D69,[2]属性!$A:$F,4,FALSE)</f>
        <v>1</v>
      </c>
      <c r="H69" s="9" t="str">
        <f ca="1">VLOOKUP(A69,[2]characters!$A:$K,11,FALSE)</f>
        <v>hp</v>
      </c>
      <c r="I69" s="14" t="str">
        <f ca="1">VLOOKUP(H69,[2]character_type_i18n!$A:$F,3,FALSE)</f>
        <v>体力タイプ</v>
      </c>
      <c r="J69" s="36">
        <f ca="1">VLOOKUP(H69,[2]character_type_i18n!$A:$F,4,FALSE)</f>
        <v>1.45</v>
      </c>
      <c r="K69" s="36">
        <f ca="1">VLOOKUP(H69,[2]character_type_i18n!$A:$F,5,FALSE)</f>
        <v>0.85</v>
      </c>
      <c r="L69" s="36">
        <f ca="1">VLOOKUP(H69,[2]character_type_i18n!$A:$F,6,FALSE)</f>
        <v>1</v>
      </c>
      <c r="M69" s="9" t="str">
        <f ca="1">VLOOKUP(A69,[2]characters!$A:$M,13,FALSE)</f>
        <v>animal</v>
      </c>
      <c r="N69" s="14" t="str">
        <f ca="1">VLOOKUP(M69,[2]character_tribe_i18n!$A:$F,3,FALSE)</f>
        <v>アニマル</v>
      </c>
      <c r="O69" s="24">
        <f ca="1">VLOOKUP(M69,[2]character_tribe_i18n!$A:$F,4,FALSE)</f>
        <v>1</v>
      </c>
      <c r="P69" s="24">
        <f ca="1">VLOOKUP(M69,[2]character_tribe_i18n!$A:$F,5,FALSE)</f>
        <v>1.1000000000000001</v>
      </c>
      <c r="Q69" s="24">
        <f ca="1">VLOOKUP(M69,[2]character_tribe_i18n!$A:$F,6,FALSE)</f>
        <v>1</v>
      </c>
      <c r="R69" s="25" t="s">
        <v>19</v>
      </c>
      <c r="S69" s="24">
        <f>VLOOKUP($R69,ラベル別係数!$A$1:$E$7,3,FALSE)</f>
        <v>1</v>
      </c>
      <c r="T69" s="24">
        <f>VLOOKUP($R69,ラベル別係数!$A$1:$E$7,4,FALSE)</f>
        <v>1</v>
      </c>
      <c r="U69" s="24">
        <f>VLOOKUP($R69,ラベル別係数!$A$1:$E$7,5,FALSE)</f>
        <v>1</v>
      </c>
      <c r="V69" s="27">
        <v>4</v>
      </c>
      <c r="W69" s="28">
        <f>VLOOKUP(V69,ターン数別攻撃係数!$A$1:$B$1000,2,FALSE)</f>
        <v>1.2</v>
      </c>
      <c r="X69" s="10">
        <v>15</v>
      </c>
      <c r="Y69" s="26">
        <f>VLOOKUP($X69,サイズ別係数!$B:$E,2,FALSE)</f>
        <v>1</v>
      </c>
      <c r="Z69" s="26">
        <f>VLOOKUP($X69,サイズ別係数!$B:$E,3,FALSE)</f>
        <v>1</v>
      </c>
      <c r="AA69" s="26">
        <f>VLOOKUP($X69,サイズ別係数!$B:$E,4,FALSE)</f>
        <v>1</v>
      </c>
      <c r="AB69" s="35">
        <v>0</v>
      </c>
      <c r="AC69" s="34" t="str">
        <f ca="1">VLOOKUP($AB69,OFFSET([3]enemy_skill_sets!$B$2,0,0,COUNTA([3]enemy_skill_sets!$A:$A),MATCH(AC$1,[3]enemy_skill_sets!$1:$1,0)-MATCH($AB$1,[3]enemy_skill_sets!$1:$1,0)+1),MATCH(AC$1,[3]enemy_skill_sets!$1:$1,0)-MATCH($AB$1,[3]enemy_skill_sets!$1:$1,0)+1,FALSE)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" s="37">
        <v>1</v>
      </c>
      <c r="AE69" s="37">
        <v>1</v>
      </c>
      <c r="AF69" s="37">
        <v>0</v>
      </c>
      <c r="AG69" s="28">
        <f ca="1">ROUND(VLOOKUP(1,enemy_base_stats!$A:$F,2,FALSE) * Y69* J69*O69*E69*S69*AD69*[2]ステータス!$B$2,0)</f>
        <v>740</v>
      </c>
      <c r="AH69" s="28">
        <f ca="1">ROUND(VLOOKUP(1,enemy_base_stats!$A:$F,3,FALSE) * Z69*K69*P69*F69*T69*AE69 * W69*[2]ステータス!$C$2,0)</f>
        <v>165</v>
      </c>
      <c r="AI69" s="28">
        <f ca="1">ROUND(VLOOKUP(1,enemy_base_stats!$A:$F,4,FALSE) * AA69*L69*Q69*G69*U69*AF69*[2]ステータス!$D$2,0)</f>
        <v>0</v>
      </c>
      <c r="AJ69" s="28">
        <f ca="1">ROUND(VLOOKUP(100,enemy_base_stats!$A:$F,2,FALSE) * Y69* J69*O69*E69*S69*AD69*[2]ステータス!$B$2,0)</f>
        <v>30024</v>
      </c>
      <c r="AK69" s="28">
        <f ca="1">ROUND(VLOOKUP(100,enemy_base_stats!$A:$F,3,FALSE)* Z69* K69*P69*F69*T69*AE69 * W69*[2]ステータス!$C$2,0)</f>
        <v>6696</v>
      </c>
      <c r="AL69" s="28">
        <f ca="1">ROUND(VLOOKUP(100,enemy_base_stats!$A:$F,4,FALSE)* AA69* L69*Q69*G69*U69*AF69*[2]ステータス!$D$2,0)</f>
        <v>0</v>
      </c>
      <c r="AM69" s="24">
        <f ca="1">VLOOKUP(M69,[2]character_tribe_i18n!$A:$I,9,FALSE)</f>
        <v>480</v>
      </c>
      <c r="AN69" s="36">
        <v>0</v>
      </c>
      <c r="AO69" s="53">
        <v>0</v>
      </c>
      <c r="AP69" s="58" t="s">
        <v>72</v>
      </c>
      <c r="AQ69" s="71">
        <f t="shared" ca="1" si="2"/>
        <v>68</v>
      </c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</row>
    <row r="70" spans="1:60" s="3" customFormat="1" ht="21" customHeight="1" x14ac:dyDescent="0.15">
      <c r="A70" s="32">
        <f t="shared" ca="1" si="3"/>
        <v>69</v>
      </c>
      <c r="B70" s="6" t="str">
        <f ca="1">VLOOKUP(A70,[2]characters!$A:$C,3,FALSE)</f>
        <v>思想家 ストール</v>
      </c>
      <c r="C70" s="9">
        <f ca="1">VLOOKUP(A70,[2]characters!$A:$I,9,FALSE)</f>
        <v>3</v>
      </c>
      <c r="D70" s="9" t="str">
        <f ca="1">VLOOKUP(A70,[2]characters!$A:$H,8,FALSE)</f>
        <v>green</v>
      </c>
      <c r="E70" s="24">
        <f ca="1">VLOOKUP(D70,[2]属性!$A:$E,2,FALSE)</f>
        <v>1.02</v>
      </c>
      <c r="F70" s="24">
        <f ca="1">VLOOKUP(D70,[2]属性!$A:$E,3,FALSE)</f>
        <v>0.98</v>
      </c>
      <c r="G70" s="24">
        <f ca="1">VLOOKUP(D70,[2]属性!$A:$F,4,FALSE)</f>
        <v>1</v>
      </c>
      <c r="H70" s="9" t="str">
        <f ca="1">VLOOKUP(A70,[2]characters!$A:$K,11,FALSE)</f>
        <v>hp</v>
      </c>
      <c r="I70" s="14" t="str">
        <f ca="1">VLOOKUP(H70,[2]character_type_i18n!$A:$F,3,FALSE)</f>
        <v>体力タイプ</v>
      </c>
      <c r="J70" s="36">
        <f ca="1">VLOOKUP(H70,[2]character_type_i18n!$A:$F,4,FALSE)</f>
        <v>1.45</v>
      </c>
      <c r="K70" s="36">
        <f ca="1">VLOOKUP(H70,[2]character_type_i18n!$A:$F,5,FALSE)</f>
        <v>0.85</v>
      </c>
      <c r="L70" s="36">
        <f ca="1">VLOOKUP(H70,[2]character_type_i18n!$A:$F,6,FALSE)</f>
        <v>1</v>
      </c>
      <c r="M70" s="9" t="str">
        <f ca="1">VLOOKUP(A70,[2]characters!$A:$M,13,FALSE)</f>
        <v>animal</v>
      </c>
      <c r="N70" s="14" t="str">
        <f ca="1">VLOOKUP(M70,[2]character_tribe_i18n!$A:$F,3,FALSE)</f>
        <v>アニマル</v>
      </c>
      <c r="O70" s="24">
        <f ca="1">VLOOKUP(M70,[2]character_tribe_i18n!$A:$F,4,FALSE)</f>
        <v>1</v>
      </c>
      <c r="P70" s="24">
        <f ca="1">VLOOKUP(M70,[2]character_tribe_i18n!$A:$F,5,FALSE)</f>
        <v>1.1000000000000001</v>
      </c>
      <c r="Q70" s="24">
        <f ca="1">VLOOKUP(M70,[2]character_tribe_i18n!$A:$F,6,FALSE)</f>
        <v>1</v>
      </c>
      <c r="R70" s="25" t="s">
        <v>3</v>
      </c>
      <c r="S70" s="24">
        <f>VLOOKUP($R70,ラベル別係数!$A$1:$E$7,3,FALSE)</f>
        <v>3</v>
      </c>
      <c r="T70" s="24">
        <f>VLOOKUP($R70,ラベル別係数!$A$1:$E$7,4,FALSE)</f>
        <v>1.4</v>
      </c>
      <c r="U70" s="24">
        <f>VLOOKUP($R70,ラベル別係数!$A$1:$E$7,5,FALSE)</f>
        <v>0.8</v>
      </c>
      <c r="V70" s="27">
        <v>4</v>
      </c>
      <c r="W70" s="28">
        <f>VLOOKUP(V70,ターン数別攻撃係数!$A$1:$B$1000,2,FALSE)</f>
        <v>1.2</v>
      </c>
      <c r="X70" s="5">
        <v>20</v>
      </c>
      <c r="Y70" s="26">
        <f>VLOOKUP($X70,サイズ別係数!$B:$E,2,FALSE)</f>
        <v>1.1000000000000001</v>
      </c>
      <c r="Z70" s="26">
        <f>VLOOKUP($X70,サイズ別係数!$B:$E,3,FALSE)</f>
        <v>1.2</v>
      </c>
      <c r="AA70" s="26">
        <f>VLOOKUP($X70,サイズ別係数!$B:$E,4,FALSE)</f>
        <v>1.2</v>
      </c>
      <c r="AB70" s="35">
        <v>69</v>
      </c>
      <c r="AC70" s="34" t="str">
        <f ca="1">VLOOKUP($AB70,OFFSET([3]enemy_skill_sets!$B$2,0,0,COUNTA([3]enemy_skill_sets!$A:$A),MATCH(AC$1,[3]enemy_skill_sets!$1:$1,0)-MATCH($AB$1,[3]enemy_skill_sets!$1:$1,0)+1),MATCH(AC$1,[3]enemy_skill_sets!$1:$1,0)-MATCH($AB$1,[3]enemy_skill_sets!$1:$1,0)+1,FALSE)</f>
        <v>攻撃力×1.5倍の攻撃</v>
      </c>
      <c r="AD70" s="37">
        <v>1</v>
      </c>
      <c r="AE70" s="37">
        <v>1</v>
      </c>
      <c r="AF70" s="37">
        <v>0</v>
      </c>
      <c r="AG70" s="28">
        <f ca="1">ROUND(VLOOKUP(1,enemy_base_stats!$A:$F,2,FALSE) * Y70* J70*O70*E70*S70*AD70*[2]ステータス!$B$2,0)</f>
        <v>2440</v>
      </c>
      <c r="AH70" s="28">
        <f ca="1">ROUND(VLOOKUP(1,enemy_base_stats!$A:$F,3,FALSE) * Z70*K70*P70*F70*T70*AE70 * W70*[2]ステータス!$C$2,0)</f>
        <v>277</v>
      </c>
      <c r="AI70" s="28">
        <f ca="1">ROUND(VLOOKUP(1,enemy_base_stats!$A:$F,4,FALSE) * AA70*L70*Q70*G70*U70*AF70*[2]ステータス!$D$2,0)</f>
        <v>0</v>
      </c>
      <c r="AJ70" s="28">
        <f ca="1">ROUND(VLOOKUP(100,enemy_base_stats!$A:$F,2,FALSE) * Y70* J70*O70*E70*S70*AD70*[2]ステータス!$B$2,0)</f>
        <v>99078</v>
      </c>
      <c r="AK70" s="28">
        <f ca="1">ROUND(VLOOKUP(100,enemy_base_stats!$A:$F,3,FALSE)* Z70* K70*P70*F70*T70*AE70 * W70*[2]ステータス!$C$2,0)</f>
        <v>11250</v>
      </c>
      <c r="AL70" s="28">
        <f ca="1">ROUND(VLOOKUP(100,enemy_base_stats!$A:$F,4,FALSE)* AA70* L70*Q70*G70*U70*AF70*[2]ステータス!$D$2,0)</f>
        <v>0</v>
      </c>
      <c r="AM70" s="24">
        <f ca="1">VLOOKUP(M70,[2]character_tribe_i18n!$A:$I,9,FALSE)</f>
        <v>480</v>
      </c>
      <c r="AN70" s="36">
        <v>0</v>
      </c>
      <c r="AO70" s="53">
        <v>0</v>
      </c>
      <c r="AP70" s="58" t="s">
        <v>72</v>
      </c>
      <c r="AQ70" s="71">
        <f t="shared" ca="1" si="2"/>
        <v>69</v>
      </c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</row>
    <row r="71" spans="1:60" s="3" customFormat="1" ht="21" customHeight="1" x14ac:dyDescent="0.15">
      <c r="A71" s="32">
        <f t="shared" ca="1" si="3"/>
        <v>70</v>
      </c>
      <c r="B71" s="6" t="str">
        <f ca="1">VLOOKUP(A71,[2]characters!$A:$C,3,FALSE)</f>
        <v>自由の思想家 ストール</v>
      </c>
      <c r="C71" s="9">
        <f ca="1">VLOOKUP(A71,[2]characters!$A:$I,9,FALSE)</f>
        <v>4</v>
      </c>
      <c r="D71" s="9" t="str">
        <f ca="1">VLOOKUP(A71,[2]characters!$A:$H,8,FALSE)</f>
        <v>green</v>
      </c>
      <c r="E71" s="24">
        <f ca="1">VLOOKUP(D71,[2]属性!$A:$E,2,FALSE)</f>
        <v>1.02</v>
      </c>
      <c r="F71" s="24">
        <f ca="1">VLOOKUP(D71,[2]属性!$A:$E,3,FALSE)</f>
        <v>0.98</v>
      </c>
      <c r="G71" s="24">
        <f ca="1">VLOOKUP(D71,[2]属性!$A:$F,4,FALSE)</f>
        <v>1</v>
      </c>
      <c r="H71" s="9" t="str">
        <f ca="1">VLOOKUP(A71,[2]characters!$A:$K,11,FALSE)</f>
        <v>hp</v>
      </c>
      <c r="I71" s="14" t="str">
        <f ca="1">VLOOKUP(H71,[2]character_type_i18n!$A:$F,3,FALSE)</f>
        <v>体力タイプ</v>
      </c>
      <c r="J71" s="36">
        <f ca="1">VLOOKUP(H71,[2]character_type_i18n!$A:$F,4,FALSE)</f>
        <v>1.45</v>
      </c>
      <c r="K71" s="36">
        <f ca="1">VLOOKUP(H71,[2]character_type_i18n!$A:$F,5,FALSE)</f>
        <v>0.85</v>
      </c>
      <c r="L71" s="36">
        <f ca="1">VLOOKUP(H71,[2]character_type_i18n!$A:$F,6,FALSE)</f>
        <v>1</v>
      </c>
      <c r="M71" s="9" t="str">
        <f ca="1">VLOOKUP(A71,[2]characters!$A:$M,13,FALSE)</f>
        <v>animal</v>
      </c>
      <c r="N71" s="14" t="str">
        <f ca="1">VLOOKUP(M71,[2]character_tribe_i18n!$A:$F,3,FALSE)</f>
        <v>アニマル</v>
      </c>
      <c r="O71" s="24">
        <f ca="1">VLOOKUP(M71,[2]character_tribe_i18n!$A:$F,4,FALSE)</f>
        <v>1</v>
      </c>
      <c r="P71" s="24">
        <f ca="1">VLOOKUP(M71,[2]character_tribe_i18n!$A:$F,5,FALSE)</f>
        <v>1.1000000000000001</v>
      </c>
      <c r="Q71" s="24">
        <f ca="1">VLOOKUP(M71,[2]character_tribe_i18n!$A:$F,6,FALSE)</f>
        <v>1</v>
      </c>
      <c r="R71" s="25" t="s">
        <v>4</v>
      </c>
      <c r="S71" s="24">
        <f>VLOOKUP($R71,ラベル別係数!$A$1:$E$7,3,FALSE)</f>
        <v>5</v>
      </c>
      <c r="T71" s="24">
        <f>VLOOKUP($R71,ラベル別係数!$A$1:$E$7,4,FALSE)</f>
        <v>1.3</v>
      </c>
      <c r="U71" s="24">
        <f>VLOOKUP($R71,ラベル別係数!$A$1:$E$7,5,FALSE)</f>
        <v>0.8</v>
      </c>
      <c r="V71" s="27">
        <v>4</v>
      </c>
      <c r="W71" s="28">
        <f>VLOOKUP(V71,ターン数別攻撃係数!$A$1:$B$1000,2,FALSE)</f>
        <v>1.2</v>
      </c>
      <c r="X71" s="10">
        <v>30</v>
      </c>
      <c r="Y71" s="26">
        <f>VLOOKUP($X71,サイズ別係数!$B:$E,2,FALSE)</f>
        <v>1.3</v>
      </c>
      <c r="Z71" s="26">
        <f>VLOOKUP($X71,サイズ別係数!$B:$E,3,FALSE)</f>
        <v>1.3</v>
      </c>
      <c r="AA71" s="26">
        <f>VLOOKUP($X71,サイズ別係数!$B:$E,4,FALSE)</f>
        <v>1.1000000000000001</v>
      </c>
      <c r="AB71" s="35">
        <v>0</v>
      </c>
      <c r="AC71" s="34" t="str">
        <f ca="1">VLOOKUP($AB71,OFFSET([3]enemy_skill_sets!$B$2,0,0,COUNTA([3]enemy_skill_sets!$A:$A),MATCH(AC$1,[3]enemy_skill_sets!$1:$1,0)-MATCH($AB$1,[3]enemy_skill_sets!$1:$1,0)+1),MATCH(AC$1,[3]enemy_skill_sets!$1:$1,0)-MATCH($AB$1,[3]enemy_skill_sets!$1:$1,0)+1,FALSE)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" s="37">
        <v>1</v>
      </c>
      <c r="AE71" s="37">
        <v>1</v>
      </c>
      <c r="AF71" s="37">
        <v>0</v>
      </c>
      <c r="AG71" s="28">
        <f ca="1">ROUND(VLOOKUP(1,enemy_base_stats!$A:$F,2,FALSE) * Y71* J71*O71*E71*S71*AD71*[2]ステータス!$B$2,0)</f>
        <v>4807</v>
      </c>
      <c r="AH71" s="28">
        <f ca="1">ROUND(VLOOKUP(1,enemy_base_stats!$A:$F,3,FALSE) * Z71*K71*P71*F71*T71*AE71 * W71*[2]ステータス!$C$2,0)</f>
        <v>279</v>
      </c>
      <c r="AI71" s="28">
        <f ca="1">ROUND(VLOOKUP(1,enemy_base_stats!$A:$F,4,FALSE) * AA71*L71*Q71*G71*U71*AF71*[2]ステータス!$D$2,0)</f>
        <v>0</v>
      </c>
      <c r="AJ71" s="28">
        <f ca="1">ROUND(VLOOKUP(100,enemy_base_stats!$A:$F,2,FALSE) * Y71* J71*O71*E71*S71*AD71*[2]ステータス!$B$2,0)</f>
        <v>195154</v>
      </c>
      <c r="AK71" s="28">
        <f ca="1">ROUND(VLOOKUP(100,enemy_base_stats!$A:$F,3,FALSE)* Z71* K71*P71*F71*T71*AE71 * W71*[2]ステータス!$C$2,0)</f>
        <v>11317</v>
      </c>
      <c r="AL71" s="28">
        <f ca="1">ROUND(VLOOKUP(100,enemy_base_stats!$A:$F,4,FALSE)* AA71* L71*Q71*G71*U71*AF71*[2]ステータス!$D$2,0)</f>
        <v>0</v>
      </c>
      <c r="AM71" s="24">
        <f ca="1">VLOOKUP(M71,[2]character_tribe_i18n!$A:$I,9,FALSE)</f>
        <v>480</v>
      </c>
      <c r="AN71" s="36">
        <v>0</v>
      </c>
      <c r="AO71" s="53">
        <v>0</v>
      </c>
      <c r="AP71" s="58" t="s">
        <v>72</v>
      </c>
      <c r="AQ71" s="71">
        <f t="shared" ca="1" si="2"/>
        <v>70</v>
      </c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</row>
    <row r="72" spans="1:60" s="3" customFormat="1" ht="21" customHeight="1" x14ac:dyDescent="0.15">
      <c r="A72" s="32">
        <f t="shared" ca="1" si="3"/>
        <v>71</v>
      </c>
      <c r="B72" s="6" t="str">
        <f ca="1">VLOOKUP(A72,[2]characters!$A:$C,3,FALSE)</f>
        <v>ダックス</v>
      </c>
      <c r="C72" s="9">
        <f ca="1">VLOOKUP(A72,[2]characters!$A:$I,9,FALSE)</f>
        <v>2</v>
      </c>
      <c r="D72" s="9" t="str">
        <f ca="1">VLOOKUP(A72,[2]characters!$A:$H,8,FALSE)</f>
        <v>blue</v>
      </c>
      <c r="E72" s="24">
        <f ca="1">VLOOKUP(D72,[2]属性!$A:$E,2,FALSE)</f>
        <v>1</v>
      </c>
      <c r="F72" s="24">
        <f ca="1">VLOOKUP(D72,[2]属性!$A:$E,3,FALSE)</f>
        <v>0.98</v>
      </c>
      <c r="G72" s="24">
        <f ca="1">VLOOKUP(D72,[2]属性!$A:$F,4,FALSE)</f>
        <v>1</v>
      </c>
      <c r="H72" s="9" t="str">
        <f ca="1">VLOOKUP(A72,[2]characters!$A:$K,11,FALSE)</f>
        <v>balance</v>
      </c>
      <c r="I72" s="14" t="str">
        <f ca="1">VLOOKUP(H72,[2]character_type_i18n!$A:$F,3,FALSE)</f>
        <v>バランスタイプ</v>
      </c>
      <c r="J72" s="36">
        <f ca="1">VLOOKUP(H72,[2]character_type_i18n!$A:$F,4,FALSE)</f>
        <v>1</v>
      </c>
      <c r="K72" s="36">
        <f ca="1">VLOOKUP(H72,[2]character_type_i18n!$A:$F,5,FALSE)</f>
        <v>1</v>
      </c>
      <c r="L72" s="36">
        <f ca="1">VLOOKUP(H72,[2]character_type_i18n!$A:$F,6,FALSE)</f>
        <v>1</v>
      </c>
      <c r="M72" s="9" t="str">
        <f ca="1">VLOOKUP(A72,[2]characters!$A:$M,13,FALSE)</f>
        <v>animal</v>
      </c>
      <c r="N72" s="14" t="str">
        <f ca="1">VLOOKUP(M72,[2]character_tribe_i18n!$A:$F,3,FALSE)</f>
        <v>アニマル</v>
      </c>
      <c r="O72" s="24">
        <f ca="1">VLOOKUP(M72,[2]character_tribe_i18n!$A:$F,4,FALSE)</f>
        <v>1</v>
      </c>
      <c r="P72" s="24">
        <f ca="1">VLOOKUP(M72,[2]character_tribe_i18n!$A:$F,5,FALSE)</f>
        <v>1.1000000000000001</v>
      </c>
      <c r="Q72" s="24">
        <f ca="1">VLOOKUP(M72,[2]character_tribe_i18n!$A:$F,6,FALSE)</f>
        <v>1</v>
      </c>
      <c r="R72" s="25" t="s">
        <v>19</v>
      </c>
      <c r="S72" s="24">
        <f>VLOOKUP($R72,ラベル別係数!$A$1:$E$7,3,FALSE)</f>
        <v>1</v>
      </c>
      <c r="T72" s="24">
        <f>VLOOKUP($R72,ラベル別係数!$A$1:$E$7,4,FALSE)</f>
        <v>1</v>
      </c>
      <c r="U72" s="24">
        <f>VLOOKUP($R72,ラベル別係数!$A$1:$E$7,5,FALSE)</f>
        <v>1</v>
      </c>
      <c r="V72" s="27">
        <v>4</v>
      </c>
      <c r="W72" s="28">
        <f>VLOOKUP(V72,ターン数別攻撃係数!$A$1:$B$1000,2,FALSE)</f>
        <v>1.2</v>
      </c>
      <c r="X72" s="10">
        <v>15</v>
      </c>
      <c r="Y72" s="26">
        <f>VLOOKUP($X72,サイズ別係数!$B:$E,2,FALSE)</f>
        <v>1</v>
      </c>
      <c r="Z72" s="26">
        <f>VLOOKUP($X72,サイズ別係数!$B:$E,3,FALSE)</f>
        <v>1</v>
      </c>
      <c r="AA72" s="26">
        <f>VLOOKUP($X72,サイズ別係数!$B:$E,4,FALSE)</f>
        <v>1</v>
      </c>
      <c r="AB72" s="62">
        <v>71</v>
      </c>
      <c r="AC72" s="34" t="str">
        <f ca="1">VLOOKUP($AB72,OFFSET([3]enemy_skill_sets!$B$2,0,0,COUNTA([3]enemy_skill_sets!$A:$A),MATCH(AC$1,[3]enemy_skill_sets!$1:$1,0)-MATCH($AB$1,[3]enemy_skill_sets!$1:$1,0)+1),MATCH(AC$1,[3]enemy_skill_sets!$1:$1,0)-MATCH($AB$1,[3]enemy_skill_sets!$1:$1,0)+1,FALSE)</f>
        <v>3ターン攻撃頻度が1ターンにUP</v>
      </c>
      <c r="AD72" s="37">
        <v>1</v>
      </c>
      <c r="AE72" s="37">
        <v>1</v>
      </c>
      <c r="AF72" s="37">
        <v>0</v>
      </c>
      <c r="AG72" s="28">
        <f ca="1">ROUND(VLOOKUP(1,enemy_base_stats!$A:$F,2,FALSE) * Y72* J72*O72*E72*S72*AD72*[2]ステータス!$B$2,0)</f>
        <v>500</v>
      </c>
      <c r="AH72" s="28">
        <f ca="1">ROUND(VLOOKUP(1,enemy_base_stats!$A:$F,3,FALSE) * Z72*K72*P72*F72*T72*AE72 * W72*[2]ステータス!$C$2,0)</f>
        <v>194</v>
      </c>
      <c r="AI72" s="28">
        <f ca="1">ROUND(VLOOKUP(1,enemy_base_stats!$A:$F,4,FALSE) * AA72*L72*Q72*G72*U72*AF72*[2]ステータス!$D$2,0)</f>
        <v>0</v>
      </c>
      <c r="AJ72" s="28">
        <f ca="1">ROUND(VLOOKUP(100,enemy_base_stats!$A:$F,2,FALSE) * Y72* J72*O72*E72*S72*AD72*[2]ステータス!$B$2,0)</f>
        <v>20300</v>
      </c>
      <c r="AK72" s="28">
        <f ca="1">ROUND(VLOOKUP(100,enemy_base_stats!$A:$F,3,FALSE)* Z72* K72*P72*F72*T72*AE72 * W72*[2]ステータス!$C$2,0)</f>
        <v>7878</v>
      </c>
      <c r="AL72" s="28">
        <f ca="1">ROUND(VLOOKUP(100,enemy_base_stats!$A:$F,4,FALSE)* AA72* L72*Q72*G72*U72*AF72*[2]ステータス!$D$2,0)</f>
        <v>0</v>
      </c>
      <c r="AM72" s="24">
        <f ca="1">VLOOKUP(M72,[2]character_tribe_i18n!$A:$I,9,FALSE)</f>
        <v>480</v>
      </c>
      <c r="AN72" s="36">
        <v>0</v>
      </c>
      <c r="AO72" s="53">
        <v>0</v>
      </c>
      <c r="AP72" s="58" t="s">
        <v>72</v>
      </c>
      <c r="AQ72" s="71">
        <f t="shared" ca="1" si="2"/>
        <v>71</v>
      </c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</row>
    <row r="73" spans="1:60" s="3" customFormat="1" ht="21" customHeight="1" x14ac:dyDescent="0.15">
      <c r="A73" s="32">
        <f t="shared" ca="1" si="3"/>
        <v>72</v>
      </c>
      <c r="B73" s="6" t="str">
        <f ca="1">VLOOKUP(A73,[2]characters!$A:$C,3,FALSE)</f>
        <v>探求者 ダックス</v>
      </c>
      <c r="C73" s="9">
        <f ca="1">VLOOKUP(A73,[2]characters!$A:$I,9,FALSE)</f>
        <v>3</v>
      </c>
      <c r="D73" s="9" t="str">
        <f ca="1">VLOOKUP(A73,[2]characters!$A:$H,8,FALSE)</f>
        <v>blue</v>
      </c>
      <c r="E73" s="24">
        <f ca="1">VLOOKUP(D73,[2]属性!$A:$E,2,FALSE)</f>
        <v>1</v>
      </c>
      <c r="F73" s="24">
        <f ca="1">VLOOKUP(D73,[2]属性!$A:$E,3,FALSE)</f>
        <v>0.98</v>
      </c>
      <c r="G73" s="24">
        <f ca="1">VLOOKUP(D73,[2]属性!$A:$F,4,FALSE)</f>
        <v>1</v>
      </c>
      <c r="H73" s="9" t="str">
        <f ca="1">VLOOKUP(A73,[2]characters!$A:$K,11,FALSE)</f>
        <v>balance</v>
      </c>
      <c r="I73" s="14" t="str">
        <f ca="1">VLOOKUP(H73,[2]character_type_i18n!$A:$F,3,FALSE)</f>
        <v>バランスタイプ</v>
      </c>
      <c r="J73" s="36">
        <f ca="1">VLOOKUP(H73,[2]character_type_i18n!$A:$F,4,FALSE)</f>
        <v>1</v>
      </c>
      <c r="K73" s="36">
        <f ca="1">VLOOKUP(H73,[2]character_type_i18n!$A:$F,5,FALSE)</f>
        <v>1</v>
      </c>
      <c r="L73" s="36">
        <f ca="1">VLOOKUP(H73,[2]character_type_i18n!$A:$F,6,FALSE)</f>
        <v>1</v>
      </c>
      <c r="M73" s="9" t="str">
        <f ca="1">VLOOKUP(A73,[2]characters!$A:$M,13,FALSE)</f>
        <v>animal</v>
      </c>
      <c r="N73" s="14" t="str">
        <f ca="1">VLOOKUP(M73,[2]character_tribe_i18n!$A:$F,3,FALSE)</f>
        <v>アニマル</v>
      </c>
      <c r="O73" s="24">
        <f ca="1">VLOOKUP(M73,[2]character_tribe_i18n!$A:$F,4,FALSE)</f>
        <v>1</v>
      </c>
      <c r="P73" s="24">
        <f ca="1">VLOOKUP(M73,[2]character_tribe_i18n!$A:$F,5,FALSE)</f>
        <v>1.1000000000000001</v>
      </c>
      <c r="Q73" s="24">
        <f ca="1">VLOOKUP(M73,[2]character_tribe_i18n!$A:$F,6,FALSE)</f>
        <v>1</v>
      </c>
      <c r="R73" s="25" t="s">
        <v>3</v>
      </c>
      <c r="S73" s="24">
        <f>VLOOKUP($R73,ラベル別係数!$A$1:$E$7,3,FALSE)</f>
        <v>3</v>
      </c>
      <c r="T73" s="24">
        <f>VLOOKUP($R73,ラベル別係数!$A$1:$E$7,4,FALSE)</f>
        <v>1.4</v>
      </c>
      <c r="U73" s="24">
        <f>VLOOKUP($R73,ラベル別係数!$A$1:$E$7,5,FALSE)</f>
        <v>0.8</v>
      </c>
      <c r="V73" s="27">
        <v>4</v>
      </c>
      <c r="W73" s="28">
        <f>VLOOKUP(V73,ターン数別攻撃係数!$A$1:$B$1000,2,FALSE)</f>
        <v>1.2</v>
      </c>
      <c r="X73" s="5">
        <v>20</v>
      </c>
      <c r="Y73" s="26">
        <f>VLOOKUP($X73,サイズ別係数!$B:$E,2,FALSE)</f>
        <v>1.1000000000000001</v>
      </c>
      <c r="Z73" s="26">
        <f>VLOOKUP($X73,サイズ別係数!$B:$E,3,FALSE)</f>
        <v>1.2</v>
      </c>
      <c r="AA73" s="26">
        <f>VLOOKUP($X73,サイズ別係数!$B:$E,4,FALSE)</f>
        <v>1.2</v>
      </c>
      <c r="AB73" s="62">
        <v>72</v>
      </c>
      <c r="AC73" s="34" t="str">
        <f ca="1">VLOOKUP($AB73,OFFSET([3]enemy_skill_sets!$B$2,0,0,COUNTA([3]enemy_skill_sets!$A:$A),MATCH(AC$1,[3]enemy_skill_sets!$1:$1,0)-MATCH($AB$1,[3]enemy_skill_sets!$1:$1,0)+1),MATCH(AC$1,[3]enemy_skill_sets!$1:$1,0)-MATCH($AB$1,[3]enemy_skill_sets!$1:$1,0)+1,FALSE)</f>
        <v>4ターン攻撃頻度が1ターンにUP</v>
      </c>
      <c r="AD73" s="37">
        <v>1</v>
      </c>
      <c r="AE73" s="37">
        <v>1</v>
      </c>
      <c r="AF73" s="37">
        <v>0</v>
      </c>
      <c r="AG73" s="28">
        <f ca="1">ROUND(VLOOKUP(1,enemy_base_stats!$A:$F,2,FALSE) * Y73* J73*O73*E73*S73*AD73*[2]ステータス!$B$2,0)</f>
        <v>1650</v>
      </c>
      <c r="AH73" s="28">
        <f ca="1">ROUND(VLOOKUP(1,enemy_base_stats!$A:$F,3,FALSE) * Z73*K73*P73*F73*T73*AE73 * W73*[2]ステータス!$C$2,0)</f>
        <v>326</v>
      </c>
      <c r="AI73" s="28">
        <f ca="1">ROUND(VLOOKUP(1,enemy_base_stats!$A:$F,4,FALSE) * AA73*L73*Q73*G73*U73*AF73*[2]ステータス!$D$2,0)</f>
        <v>0</v>
      </c>
      <c r="AJ73" s="28">
        <f ca="1">ROUND(VLOOKUP(100,enemy_base_stats!$A:$F,2,FALSE) * Y73* J73*O73*E73*S73*AD73*[2]ステータス!$B$2,0)</f>
        <v>66990</v>
      </c>
      <c r="AK73" s="28">
        <f ca="1">ROUND(VLOOKUP(100,enemy_base_stats!$A:$F,3,FALSE)* Z73* K73*P73*F73*T73*AE73 * W73*[2]ステータス!$C$2,0)</f>
        <v>13235</v>
      </c>
      <c r="AL73" s="28">
        <f ca="1">ROUND(VLOOKUP(100,enemy_base_stats!$A:$F,4,FALSE)* AA73* L73*Q73*G73*U73*AF73*[2]ステータス!$D$2,0)</f>
        <v>0</v>
      </c>
      <c r="AM73" s="24">
        <f ca="1">VLOOKUP(M73,[2]character_tribe_i18n!$A:$I,9,FALSE)</f>
        <v>480</v>
      </c>
      <c r="AN73" s="36">
        <v>0</v>
      </c>
      <c r="AO73" s="53">
        <v>0</v>
      </c>
      <c r="AP73" s="58" t="s">
        <v>72</v>
      </c>
      <c r="AQ73" s="71">
        <f t="shared" ca="1" si="2"/>
        <v>72</v>
      </c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</row>
    <row r="74" spans="1:60" s="3" customFormat="1" ht="21" customHeight="1" x14ac:dyDescent="0.15">
      <c r="A74" s="32">
        <f t="shared" ca="1" si="3"/>
        <v>73</v>
      </c>
      <c r="B74" s="6" t="str">
        <f ca="1">VLOOKUP(A74,[2]characters!$A:$C,3,FALSE)</f>
        <v>自由の探求者 ダックス</v>
      </c>
      <c r="C74" s="9">
        <f ca="1">VLOOKUP(A74,[2]characters!$A:$I,9,FALSE)</f>
        <v>4</v>
      </c>
      <c r="D74" s="9" t="str">
        <f ca="1">VLOOKUP(A74,[2]characters!$A:$H,8,FALSE)</f>
        <v>blue</v>
      </c>
      <c r="E74" s="24">
        <f ca="1">VLOOKUP(D74,[2]属性!$A:$E,2,FALSE)</f>
        <v>1</v>
      </c>
      <c r="F74" s="24">
        <f ca="1">VLOOKUP(D74,[2]属性!$A:$E,3,FALSE)</f>
        <v>0.98</v>
      </c>
      <c r="G74" s="24">
        <f ca="1">VLOOKUP(D74,[2]属性!$A:$F,4,FALSE)</f>
        <v>1</v>
      </c>
      <c r="H74" s="9" t="str">
        <f ca="1">VLOOKUP(A74,[2]characters!$A:$K,11,FALSE)</f>
        <v>balance</v>
      </c>
      <c r="I74" s="14" t="str">
        <f ca="1">VLOOKUP(H74,[2]character_type_i18n!$A:$F,3,FALSE)</f>
        <v>バランスタイプ</v>
      </c>
      <c r="J74" s="36">
        <f ca="1">VLOOKUP(H74,[2]character_type_i18n!$A:$F,4,FALSE)</f>
        <v>1</v>
      </c>
      <c r="K74" s="36">
        <f ca="1">VLOOKUP(H74,[2]character_type_i18n!$A:$F,5,FALSE)</f>
        <v>1</v>
      </c>
      <c r="L74" s="36">
        <f ca="1">VLOOKUP(H74,[2]character_type_i18n!$A:$F,6,FALSE)</f>
        <v>1</v>
      </c>
      <c r="M74" s="9" t="str">
        <f ca="1">VLOOKUP(A74,[2]characters!$A:$M,13,FALSE)</f>
        <v>animal</v>
      </c>
      <c r="N74" s="14" t="str">
        <f ca="1">VLOOKUP(M74,[2]character_tribe_i18n!$A:$F,3,FALSE)</f>
        <v>アニマル</v>
      </c>
      <c r="O74" s="24">
        <f ca="1">VLOOKUP(M74,[2]character_tribe_i18n!$A:$F,4,FALSE)</f>
        <v>1</v>
      </c>
      <c r="P74" s="24">
        <f ca="1">VLOOKUP(M74,[2]character_tribe_i18n!$A:$F,5,FALSE)</f>
        <v>1.1000000000000001</v>
      </c>
      <c r="Q74" s="24">
        <f ca="1">VLOOKUP(M74,[2]character_tribe_i18n!$A:$F,6,FALSE)</f>
        <v>1</v>
      </c>
      <c r="R74" s="25" t="s">
        <v>4</v>
      </c>
      <c r="S74" s="24">
        <f>VLOOKUP($R74,ラベル別係数!$A$1:$E$7,3,FALSE)</f>
        <v>5</v>
      </c>
      <c r="T74" s="24">
        <f>VLOOKUP($R74,ラベル別係数!$A$1:$E$7,4,FALSE)</f>
        <v>1.3</v>
      </c>
      <c r="U74" s="24">
        <f>VLOOKUP($R74,ラベル別係数!$A$1:$E$7,5,FALSE)</f>
        <v>0.8</v>
      </c>
      <c r="V74" s="27">
        <v>4</v>
      </c>
      <c r="W74" s="28">
        <f>VLOOKUP(V74,ターン数別攻撃係数!$A$1:$B$1000,2,FALSE)</f>
        <v>1.2</v>
      </c>
      <c r="X74" s="10">
        <v>30</v>
      </c>
      <c r="Y74" s="26">
        <f>VLOOKUP($X74,サイズ別係数!$B:$E,2,FALSE)</f>
        <v>1.3</v>
      </c>
      <c r="Z74" s="26">
        <f>VLOOKUP($X74,サイズ別係数!$B:$E,3,FALSE)</f>
        <v>1.3</v>
      </c>
      <c r="AA74" s="26">
        <f>VLOOKUP($X74,サイズ別係数!$B:$E,4,FALSE)</f>
        <v>1.1000000000000001</v>
      </c>
      <c r="AB74" s="35">
        <v>0</v>
      </c>
      <c r="AC74" s="34" t="str">
        <f ca="1">VLOOKUP($AB74,OFFSET([3]enemy_skill_sets!$B$2,0,0,COUNTA([3]enemy_skill_sets!$A:$A),MATCH(AC$1,[3]enemy_skill_sets!$1:$1,0)-MATCH($AB$1,[3]enemy_skill_sets!$1:$1,0)+1),MATCH(AC$1,[3]enemy_skill_sets!$1:$1,0)-MATCH($AB$1,[3]enemy_skill_sets!$1:$1,0)+1,FALSE)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" s="37">
        <v>1</v>
      </c>
      <c r="AE74" s="37">
        <v>1</v>
      </c>
      <c r="AF74" s="37">
        <v>0</v>
      </c>
      <c r="AG74" s="28">
        <f ca="1">ROUND(VLOOKUP(1,enemy_base_stats!$A:$F,2,FALSE) * Y74* J74*O74*E74*S74*AD74*[2]ステータス!$B$2,0)</f>
        <v>3250</v>
      </c>
      <c r="AH74" s="28">
        <f ca="1">ROUND(VLOOKUP(1,enemy_base_stats!$A:$F,3,FALSE) * Z74*K74*P74*F74*T74*AE74 * W74*[2]ステータス!$C$2,0)</f>
        <v>328</v>
      </c>
      <c r="AI74" s="28">
        <f ca="1">ROUND(VLOOKUP(1,enemy_base_stats!$A:$F,4,FALSE) * AA74*L74*Q74*G74*U74*AF74*[2]ステータス!$D$2,0)</f>
        <v>0</v>
      </c>
      <c r="AJ74" s="28">
        <f ca="1">ROUND(VLOOKUP(100,enemy_base_stats!$A:$F,2,FALSE) * Y74* J74*O74*E74*S74*AD74*[2]ステータス!$B$2,0)</f>
        <v>131950</v>
      </c>
      <c r="AK74" s="28">
        <f ca="1">ROUND(VLOOKUP(100,enemy_base_stats!$A:$F,3,FALSE)* Z74* K74*P74*F74*T74*AE74 * W74*[2]ステータス!$C$2,0)</f>
        <v>13314</v>
      </c>
      <c r="AL74" s="28">
        <f ca="1">ROUND(VLOOKUP(100,enemy_base_stats!$A:$F,4,FALSE)* AA74* L74*Q74*G74*U74*AF74*[2]ステータス!$D$2,0)</f>
        <v>0</v>
      </c>
      <c r="AM74" s="24">
        <f ca="1">VLOOKUP(M74,[2]character_tribe_i18n!$A:$I,9,FALSE)</f>
        <v>480</v>
      </c>
      <c r="AN74" s="36">
        <v>0</v>
      </c>
      <c r="AO74" s="53">
        <v>0</v>
      </c>
      <c r="AP74" s="58" t="s">
        <v>72</v>
      </c>
      <c r="AQ74" s="71">
        <f t="shared" ca="1" si="2"/>
        <v>73</v>
      </c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</row>
    <row r="75" spans="1:60" s="3" customFormat="1" ht="21" customHeight="1" x14ac:dyDescent="0.15">
      <c r="A75" s="32">
        <f t="shared" ca="1" si="3"/>
        <v>74</v>
      </c>
      <c r="B75" s="6" t="str">
        <f ca="1">VLOOKUP(A75,[2]characters!$A:$C,3,FALSE)</f>
        <v>サンダーバード</v>
      </c>
      <c r="C75" s="9">
        <f ca="1">VLOOKUP(A75,[2]characters!$A:$I,9,FALSE)</f>
        <v>2</v>
      </c>
      <c r="D75" s="9" t="str">
        <f ca="1">VLOOKUP(A75,[2]characters!$A:$H,8,FALSE)</f>
        <v>yellow</v>
      </c>
      <c r="E75" s="24">
        <f ca="1">VLOOKUP(D75,[2]属性!$A:$E,2,FALSE)</f>
        <v>0.98</v>
      </c>
      <c r="F75" s="24">
        <f ca="1">VLOOKUP(D75,[2]属性!$A:$E,3,FALSE)</f>
        <v>1.01</v>
      </c>
      <c r="G75" s="24">
        <f ca="1">VLOOKUP(D75,[2]属性!$A:$F,4,FALSE)</f>
        <v>1</v>
      </c>
      <c r="H75" s="9" t="str">
        <f ca="1">VLOOKUP(A75,[2]characters!$A:$K,11,FALSE)</f>
        <v>attack</v>
      </c>
      <c r="I75" s="14" t="str">
        <f ca="1">VLOOKUP(H75,[2]character_type_i18n!$A:$F,3,FALSE)</f>
        <v>攻撃タイプ</v>
      </c>
      <c r="J75" s="36">
        <f ca="1">VLOOKUP(H75,[2]character_type_i18n!$A:$F,4,FALSE)</f>
        <v>1</v>
      </c>
      <c r="K75" s="36">
        <f ca="1">VLOOKUP(H75,[2]character_type_i18n!$A:$F,5,FALSE)</f>
        <v>1.33</v>
      </c>
      <c r="L75" s="36">
        <f ca="1">VLOOKUP(H75,[2]character_type_i18n!$A:$F,6,FALSE)</f>
        <v>1</v>
      </c>
      <c r="M75" s="9" t="str">
        <f ca="1">VLOOKUP(A75,[2]characters!$A:$M,13,FALSE)</f>
        <v>animal</v>
      </c>
      <c r="N75" s="14" t="str">
        <f ca="1">VLOOKUP(M75,[2]character_tribe_i18n!$A:$F,3,FALSE)</f>
        <v>アニマル</v>
      </c>
      <c r="O75" s="24">
        <f ca="1">VLOOKUP(M75,[2]character_tribe_i18n!$A:$F,4,FALSE)</f>
        <v>1</v>
      </c>
      <c r="P75" s="24">
        <f ca="1">VLOOKUP(M75,[2]character_tribe_i18n!$A:$F,5,FALSE)</f>
        <v>1.1000000000000001</v>
      </c>
      <c r="Q75" s="24">
        <f ca="1">VLOOKUP(M75,[2]character_tribe_i18n!$A:$F,6,FALSE)</f>
        <v>1</v>
      </c>
      <c r="R75" s="25" t="s">
        <v>19</v>
      </c>
      <c r="S75" s="24">
        <f>VLOOKUP($R75,ラベル別係数!$A$1:$E$7,3,FALSE)</f>
        <v>1</v>
      </c>
      <c r="T75" s="24">
        <f>VLOOKUP($R75,ラベル別係数!$A$1:$E$7,4,FALSE)</f>
        <v>1</v>
      </c>
      <c r="U75" s="24">
        <f>VLOOKUP($R75,ラベル別係数!$A$1:$E$7,5,FALSE)</f>
        <v>1</v>
      </c>
      <c r="V75" s="27">
        <v>3</v>
      </c>
      <c r="W75" s="28">
        <f>VLOOKUP(V75,ターン数別攻撃係数!$A$1:$B$1000,2,FALSE)</f>
        <v>1</v>
      </c>
      <c r="X75" s="10">
        <v>15</v>
      </c>
      <c r="Y75" s="26">
        <f>VLOOKUP($X75,サイズ別係数!$B:$E,2,FALSE)</f>
        <v>1</v>
      </c>
      <c r="Z75" s="26">
        <f>VLOOKUP($X75,サイズ別係数!$B:$E,3,FALSE)</f>
        <v>1</v>
      </c>
      <c r="AA75" s="26">
        <f>VLOOKUP($X75,サイズ別係数!$B:$E,4,FALSE)</f>
        <v>1</v>
      </c>
      <c r="AB75" s="62">
        <v>74</v>
      </c>
      <c r="AC75" s="34" t="str">
        <f ca="1">VLOOKUP($AB75,OFFSET([3]enemy_skill_sets!$B$2,0,0,COUNTA([3]enemy_skill_sets!$A:$A),MATCH(AC$1,[3]enemy_skill_sets!$1:$1,0)-MATCH($AB$1,[3]enemy_skill_sets!$1:$1,0)+1),MATCH(AC$1,[3]enemy_skill_sets!$1:$1,0)-MATCH($AB$1,[3]enemy_skill_sets!$1:$1,0)+1,FALSE)</f>
        <v>少しだけお邪魔パネル出現</v>
      </c>
      <c r="AD75" s="37">
        <v>1</v>
      </c>
      <c r="AE75" s="37">
        <v>1</v>
      </c>
      <c r="AF75" s="37">
        <v>0</v>
      </c>
      <c r="AG75" s="28">
        <f ca="1">ROUND(VLOOKUP(1,enemy_base_stats!$A:$F,2,FALSE) * Y75* J75*O75*E75*S75*AD75*[2]ステータス!$B$2,0)</f>
        <v>490</v>
      </c>
      <c r="AH75" s="28">
        <f ca="1">ROUND(VLOOKUP(1,enemy_base_stats!$A:$F,3,FALSE) * Z75*K75*P75*F75*T75*AE75 * W75*[2]ステータス!$C$2,0)</f>
        <v>222</v>
      </c>
      <c r="AI75" s="28">
        <f ca="1">ROUND(VLOOKUP(1,enemy_base_stats!$A:$F,4,FALSE) * AA75*L75*Q75*G75*U75*AF75*[2]ステータス!$D$2,0)</f>
        <v>0</v>
      </c>
      <c r="AJ75" s="28">
        <f ca="1">ROUND(VLOOKUP(100,enemy_base_stats!$A:$F,2,FALSE) * Y75* J75*O75*E75*S75*AD75*[2]ステータス!$B$2,0)</f>
        <v>19894</v>
      </c>
      <c r="AK75" s="28">
        <f ca="1">ROUND(VLOOKUP(100,enemy_base_stats!$A:$F,3,FALSE)* Z75* K75*P75*F75*T75*AE75 * W75*[2]ステータス!$C$2,0)</f>
        <v>8999</v>
      </c>
      <c r="AL75" s="28">
        <f ca="1">ROUND(VLOOKUP(100,enemy_base_stats!$A:$F,4,FALSE)* AA75* L75*Q75*G75*U75*AF75*[2]ステータス!$D$2,0)</f>
        <v>0</v>
      </c>
      <c r="AM75" s="24">
        <f ca="1">VLOOKUP(M75,[2]character_tribe_i18n!$A:$I,9,FALSE)</f>
        <v>480</v>
      </c>
      <c r="AN75" s="36">
        <v>0</v>
      </c>
      <c r="AO75" s="53">
        <v>0</v>
      </c>
      <c r="AP75" s="58" t="s">
        <v>72</v>
      </c>
      <c r="AQ75" s="71">
        <f t="shared" ca="1" si="2"/>
        <v>74</v>
      </c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</row>
    <row r="76" spans="1:60" s="3" customFormat="1" ht="21" customHeight="1" x14ac:dyDescent="0.15">
      <c r="A76" s="32">
        <f t="shared" ca="1" si="3"/>
        <v>75</v>
      </c>
      <c r="B76" s="6" t="str">
        <f ca="1">VLOOKUP(A76,[2]characters!$A:$C,3,FALSE)</f>
        <v>伝令者 サンダーバード</v>
      </c>
      <c r="C76" s="9">
        <f ca="1">VLOOKUP(A76,[2]characters!$A:$I,9,FALSE)</f>
        <v>3</v>
      </c>
      <c r="D76" s="9" t="str">
        <f ca="1">VLOOKUP(A76,[2]characters!$A:$H,8,FALSE)</f>
        <v>yellow</v>
      </c>
      <c r="E76" s="24">
        <f ca="1">VLOOKUP(D76,[2]属性!$A:$E,2,FALSE)</f>
        <v>0.98</v>
      </c>
      <c r="F76" s="24">
        <f ca="1">VLOOKUP(D76,[2]属性!$A:$E,3,FALSE)</f>
        <v>1.01</v>
      </c>
      <c r="G76" s="24">
        <f ca="1">VLOOKUP(D76,[2]属性!$A:$F,4,FALSE)</f>
        <v>1</v>
      </c>
      <c r="H76" s="9" t="str">
        <f ca="1">VLOOKUP(A76,[2]characters!$A:$K,11,FALSE)</f>
        <v>attack</v>
      </c>
      <c r="I76" s="14" t="str">
        <f ca="1">VLOOKUP(H76,[2]character_type_i18n!$A:$F,3,FALSE)</f>
        <v>攻撃タイプ</v>
      </c>
      <c r="J76" s="36">
        <f ca="1">VLOOKUP(H76,[2]character_type_i18n!$A:$F,4,FALSE)</f>
        <v>1</v>
      </c>
      <c r="K76" s="36">
        <f ca="1">VLOOKUP(H76,[2]character_type_i18n!$A:$F,5,FALSE)</f>
        <v>1.33</v>
      </c>
      <c r="L76" s="36">
        <f ca="1">VLOOKUP(H76,[2]character_type_i18n!$A:$F,6,FALSE)</f>
        <v>1</v>
      </c>
      <c r="M76" s="9" t="str">
        <f ca="1">VLOOKUP(A76,[2]characters!$A:$M,13,FALSE)</f>
        <v>animal</v>
      </c>
      <c r="N76" s="14" t="str">
        <f ca="1">VLOOKUP(M76,[2]character_tribe_i18n!$A:$F,3,FALSE)</f>
        <v>アニマル</v>
      </c>
      <c r="O76" s="24">
        <f ca="1">VLOOKUP(M76,[2]character_tribe_i18n!$A:$F,4,FALSE)</f>
        <v>1</v>
      </c>
      <c r="P76" s="24">
        <f ca="1">VLOOKUP(M76,[2]character_tribe_i18n!$A:$F,5,FALSE)</f>
        <v>1.1000000000000001</v>
      </c>
      <c r="Q76" s="24">
        <f ca="1">VLOOKUP(M76,[2]character_tribe_i18n!$A:$F,6,FALSE)</f>
        <v>1</v>
      </c>
      <c r="R76" s="25" t="s">
        <v>3</v>
      </c>
      <c r="S76" s="24">
        <f>VLOOKUP($R76,ラベル別係数!$A$1:$E$7,3,FALSE)</f>
        <v>3</v>
      </c>
      <c r="T76" s="24">
        <f>VLOOKUP($R76,ラベル別係数!$A$1:$E$7,4,FALSE)</f>
        <v>1.4</v>
      </c>
      <c r="U76" s="24">
        <f>VLOOKUP($R76,ラベル別係数!$A$1:$E$7,5,FALSE)</f>
        <v>0.8</v>
      </c>
      <c r="V76" s="27">
        <v>3</v>
      </c>
      <c r="W76" s="28">
        <f>VLOOKUP(V76,ターン数別攻撃係数!$A$1:$B$1000,2,FALSE)</f>
        <v>1</v>
      </c>
      <c r="X76" s="5">
        <v>20</v>
      </c>
      <c r="Y76" s="26">
        <f>VLOOKUP($X76,サイズ別係数!$B:$E,2,FALSE)</f>
        <v>1.1000000000000001</v>
      </c>
      <c r="Z76" s="26">
        <f>VLOOKUP($X76,サイズ別係数!$B:$E,3,FALSE)</f>
        <v>1.2</v>
      </c>
      <c r="AA76" s="26">
        <f>VLOOKUP($X76,サイズ別係数!$B:$E,4,FALSE)</f>
        <v>1.2</v>
      </c>
      <c r="AB76" s="62">
        <v>75</v>
      </c>
      <c r="AC76" s="34" t="str">
        <f ca="1">VLOOKUP($AB76,OFFSET([3]enemy_skill_sets!$B$2,0,0,COUNTA([3]enemy_skill_sets!$A:$A),MATCH(AC$1,[3]enemy_skill_sets!$1:$1,0)-MATCH($AB$1,[3]enemy_skill_sets!$1:$1,0)+1),MATCH(AC$1,[3]enemy_skill_sets!$1:$1,0)-MATCH($AB$1,[3]enemy_skill_sets!$1:$1,0)+1,FALSE)</f>
        <v>少しだけお邪魔パネル出現</v>
      </c>
      <c r="AD76" s="37">
        <v>1</v>
      </c>
      <c r="AE76" s="37">
        <v>1</v>
      </c>
      <c r="AF76" s="37">
        <v>0</v>
      </c>
      <c r="AG76" s="28">
        <f ca="1">ROUND(VLOOKUP(1,enemy_base_stats!$A:$F,2,FALSE) * Y76* J76*O76*E76*S76*AD76*[2]ステータス!$B$2,0)</f>
        <v>1617</v>
      </c>
      <c r="AH76" s="28">
        <f ca="1">ROUND(VLOOKUP(1,enemy_base_stats!$A:$F,3,FALSE) * Z76*K76*P76*F76*T76*AE76 * W76*[2]ステータス!$C$2,0)</f>
        <v>372</v>
      </c>
      <c r="AI76" s="28">
        <f ca="1">ROUND(VLOOKUP(1,enemy_base_stats!$A:$F,4,FALSE) * AA76*L76*Q76*G76*U76*AF76*[2]ステータス!$D$2,0)</f>
        <v>0</v>
      </c>
      <c r="AJ76" s="28">
        <f ca="1">ROUND(VLOOKUP(100,enemy_base_stats!$A:$F,2,FALSE) * Y76* J76*O76*E76*S76*AD76*[2]ステータス!$B$2,0)</f>
        <v>65650</v>
      </c>
      <c r="AK76" s="28">
        <f ca="1">ROUND(VLOOKUP(100,enemy_base_stats!$A:$F,3,FALSE)* Z76* K76*P76*F76*T76*AE76 * W76*[2]ステータス!$C$2,0)</f>
        <v>15118</v>
      </c>
      <c r="AL76" s="28">
        <f ca="1">ROUND(VLOOKUP(100,enemy_base_stats!$A:$F,4,FALSE)* AA76* L76*Q76*G76*U76*AF76*[2]ステータス!$D$2,0)</f>
        <v>0</v>
      </c>
      <c r="AM76" s="24">
        <f ca="1">VLOOKUP(M76,[2]character_tribe_i18n!$A:$I,9,FALSE)</f>
        <v>480</v>
      </c>
      <c r="AN76" s="36">
        <v>0</v>
      </c>
      <c r="AO76" s="53">
        <v>0</v>
      </c>
      <c r="AP76" s="58" t="s">
        <v>72</v>
      </c>
      <c r="AQ76" s="71">
        <f t="shared" ca="1" si="2"/>
        <v>75</v>
      </c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</row>
    <row r="77" spans="1:60" s="3" customFormat="1" ht="21" customHeight="1" x14ac:dyDescent="0.15">
      <c r="A77" s="32">
        <f t="shared" ca="1" si="3"/>
        <v>76</v>
      </c>
      <c r="B77" s="6" t="str">
        <f ca="1">VLOOKUP(A77,[2]characters!$A:$C,3,FALSE)</f>
        <v>閃速の伝令者 サンダーバード</v>
      </c>
      <c r="C77" s="9">
        <f ca="1">VLOOKUP(A77,[2]characters!$A:$I,9,FALSE)</f>
        <v>4</v>
      </c>
      <c r="D77" s="9" t="str">
        <f ca="1">VLOOKUP(A77,[2]characters!$A:$H,8,FALSE)</f>
        <v>yellow</v>
      </c>
      <c r="E77" s="24">
        <f ca="1">VLOOKUP(D77,[2]属性!$A:$E,2,FALSE)</f>
        <v>0.98</v>
      </c>
      <c r="F77" s="24">
        <f ca="1">VLOOKUP(D77,[2]属性!$A:$E,3,FALSE)</f>
        <v>1.01</v>
      </c>
      <c r="G77" s="24">
        <f ca="1">VLOOKUP(D77,[2]属性!$A:$F,4,FALSE)</f>
        <v>1</v>
      </c>
      <c r="H77" s="9" t="str">
        <f ca="1">VLOOKUP(A77,[2]characters!$A:$K,11,FALSE)</f>
        <v>attack</v>
      </c>
      <c r="I77" s="14" t="str">
        <f ca="1">VLOOKUP(H77,[2]character_type_i18n!$A:$F,3,FALSE)</f>
        <v>攻撃タイプ</v>
      </c>
      <c r="J77" s="36">
        <f ca="1">VLOOKUP(H77,[2]character_type_i18n!$A:$F,4,FALSE)</f>
        <v>1</v>
      </c>
      <c r="K77" s="36">
        <f ca="1">VLOOKUP(H77,[2]character_type_i18n!$A:$F,5,FALSE)</f>
        <v>1.33</v>
      </c>
      <c r="L77" s="36">
        <f ca="1">VLOOKUP(H77,[2]character_type_i18n!$A:$F,6,FALSE)</f>
        <v>1</v>
      </c>
      <c r="M77" s="9" t="str">
        <f ca="1">VLOOKUP(A77,[2]characters!$A:$M,13,FALSE)</f>
        <v>animal</v>
      </c>
      <c r="N77" s="14" t="str">
        <f ca="1">VLOOKUP(M77,[2]character_tribe_i18n!$A:$F,3,FALSE)</f>
        <v>アニマル</v>
      </c>
      <c r="O77" s="24">
        <f ca="1">VLOOKUP(M77,[2]character_tribe_i18n!$A:$F,4,FALSE)</f>
        <v>1</v>
      </c>
      <c r="P77" s="24">
        <f ca="1">VLOOKUP(M77,[2]character_tribe_i18n!$A:$F,5,FALSE)</f>
        <v>1.1000000000000001</v>
      </c>
      <c r="Q77" s="24">
        <f ca="1">VLOOKUP(M77,[2]character_tribe_i18n!$A:$F,6,FALSE)</f>
        <v>1</v>
      </c>
      <c r="R77" s="25" t="s">
        <v>4</v>
      </c>
      <c r="S77" s="24">
        <f>VLOOKUP($R77,ラベル別係数!$A$1:$E$7,3,FALSE)</f>
        <v>5</v>
      </c>
      <c r="T77" s="24">
        <f>VLOOKUP($R77,ラベル別係数!$A$1:$E$7,4,FALSE)</f>
        <v>1.3</v>
      </c>
      <c r="U77" s="24">
        <f>VLOOKUP($R77,ラベル別係数!$A$1:$E$7,5,FALSE)</f>
        <v>0.8</v>
      </c>
      <c r="V77" s="27">
        <v>1</v>
      </c>
      <c r="W77" s="28">
        <f>VLOOKUP(V77,ターン数別攻撃係数!$A$1:$B$1000,2,FALSE)</f>
        <v>0.55000000000000004</v>
      </c>
      <c r="X77" s="10">
        <v>30</v>
      </c>
      <c r="Y77" s="26">
        <f>VLOOKUP($X77,サイズ別係数!$B:$E,2,FALSE)</f>
        <v>1.3</v>
      </c>
      <c r="Z77" s="26">
        <f>VLOOKUP($X77,サイズ別係数!$B:$E,3,FALSE)</f>
        <v>1.3</v>
      </c>
      <c r="AA77" s="26">
        <f>VLOOKUP($X77,サイズ別係数!$B:$E,4,FALSE)</f>
        <v>1.1000000000000001</v>
      </c>
      <c r="AB77" s="62">
        <v>76</v>
      </c>
      <c r="AC77" s="34" t="str">
        <f ca="1">VLOOKUP($AB77,OFFSET([3]enemy_skill_sets!$B$2,0,0,COUNTA([3]enemy_skill_sets!$A:$A),MATCH(AC$1,[3]enemy_skill_sets!$1:$1,0)-MATCH($AB$1,[3]enemy_skill_sets!$1:$1,0)+1),MATCH(AC$1,[3]enemy_skill_sets!$1:$1,0)-MATCH($AB$1,[3]enemy_skill_sets!$1:$1,0)+1,FALSE)</f>
        <v>少しだけお邪魔パネル出現</v>
      </c>
      <c r="AD77" s="37">
        <v>1</v>
      </c>
      <c r="AE77" s="37">
        <v>1</v>
      </c>
      <c r="AF77" s="37">
        <v>0</v>
      </c>
      <c r="AG77" s="28">
        <f ca="1">ROUND(VLOOKUP(1,enemy_base_stats!$A:$F,2,FALSE) * Y77* J77*O77*E77*S77*AD77*[2]ステータス!$B$2,0)</f>
        <v>3185</v>
      </c>
      <c r="AH77" s="28">
        <f ca="1">ROUND(VLOOKUP(1,enemy_base_stats!$A:$F,3,FALSE) * Z77*K77*P77*F77*T77*AE77 * W77*[2]ステータス!$C$2,0)</f>
        <v>206</v>
      </c>
      <c r="AI77" s="28">
        <f ca="1">ROUND(VLOOKUP(1,enemy_base_stats!$A:$F,4,FALSE) * AA77*L77*Q77*G77*U77*AF77*[2]ステータス!$D$2,0)</f>
        <v>0</v>
      </c>
      <c r="AJ77" s="28">
        <f ca="1">ROUND(VLOOKUP(100,enemy_base_stats!$A:$F,2,FALSE) * Y77* J77*O77*E77*S77*AD77*[2]ステータス!$B$2,0)</f>
        <v>129311</v>
      </c>
      <c r="AK77" s="28">
        <f ca="1">ROUND(VLOOKUP(100,enemy_base_stats!$A:$F,3,FALSE)* Z77* K77*P77*F77*T77*AE77 * W77*[2]ステータス!$C$2,0)</f>
        <v>8364</v>
      </c>
      <c r="AL77" s="28">
        <f ca="1">ROUND(VLOOKUP(100,enemy_base_stats!$A:$F,4,FALSE)* AA77* L77*Q77*G77*U77*AF77*[2]ステータス!$D$2,0)</f>
        <v>0</v>
      </c>
      <c r="AM77" s="24">
        <f ca="1">VLOOKUP(M77,[2]character_tribe_i18n!$A:$I,9,FALSE)</f>
        <v>480</v>
      </c>
      <c r="AN77" s="36">
        <v>0</v>
      </c>
      <c r="AO77" s="53">
        <v>0</v>
      </c>
      <c r="AP77" s="58" t="s">
        <v>72</v>
      </c>
      <c r="AQ77" s="71">
        <f t="shared" ca="1" si="2"/>
        <v>76</v>
      </c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</row>
    <row r="78" spans="1:60" s="3" customFormat="1" ht="21" customHeight="1" x14ac:dyDescent="0.15">
      <c r="A78" s="31">
        <f t="shared" ca="1" si="3"/>
        <v>77</v>
      </c>
      <c r="B78" s="6" t="str">
        <f ca="1">VLOOKUP(A78,[2]characters!$A:$C,3,FALSE)</f>
        <v>潜伏型メリッサ</v>
      </c>
      <c r="C78" s="9">
        <f ca="1">VLOOKUP(A78,[2]characters!$A:$I,9,FALSE)</f>
        <v>3</v>
      </c>
      <c r="D78" s="9" t="str">
        <f ca="1">VLOOKUP(A78,[2]characters!$A:$H,8,FALSE)</f>
        <v>red</v>
      </c>
      <c r="E78" s="24">
        <f ca="1">VLOOKUP(D78,[2]属性!$A:$E,2,FALSE)</f>
        <v>1</v>
      </c>
      <c r="F78" s="24">
        <f ca="1">VLOOKUP(D78,[2]属性!$A:$E,3,FALSE)</f>
        <v>1.02</v>
      </c>
      <c r="G78" s="24">
        <f ca="1">VLOOKUP(D78,[2]属性!$A:$F,4,FALSE)</f>
        <v>1</v>
      </c>
      <c r="H78" s="9" t="str">
        <f ca="1">VLOOKUP(A78,[2]characters!$A:$K,11,FALSE)</f>
        <v>technical</v>
      </c>
      <c r="I78" s="14" t="str">
        <f ca="1">VLOOKUP(H78,[2]character_type_i18n!$A:$F,3,FALSE)</f>
        <v>テクニカルタイプ</v>
      </c>
      <c r="J78" s="36">
        <f ca="1">VLOOKUP(H78,[2]character_type_i18n!$A:$F,4,FALSE)</f>
        <v>0.9</v>
      </c>
      <c r="K78" s="36">
        <f ca="1">VLOOKUP(H78,[2]character_type_i18n!$A:$F,5,FALSE)</f>
        <v>0.9</v>
      </c>
      <c r="L78" s="36">
        <f ca="1">VLOOKUP(H78,[2]character_type_i18n!$A:$F,6,FALSE)</f>
        <v>1</v>
      </c>
      <c r="M78" s="9" t="str">
        <f ca="1">VLOOKUP(A78,[2]characters!$A:$M,13,FALSE)</f>
        <v>unknown</v>
      </c>
      <c r="N78" s="14" t="str">
        <f ca="1">VLOOKUP(M78,[2]character_tribe_i18n!$A:$F,3,FALSE)</f>
        <v>Unknown</v>
      </c>
      <c r="O78" s="24">
        <f ca="1">VLOOKUP(M78,[2]character_tribe_i18n!$A:$F,4,FALSE)</f>
        <v>1</v>
      </c>
      <c r="P78" s="24">
        <f ca="1">VLOOKUP(M78,[2]character_tribe_i18n!$A:$F,5,FALSE)</f>
        <v>1</v>
      </c>
      <c r="Q78" s="24">
        <f ca="1">VLOOKUP(M78,[2]character_tribe_i18n!$A:$F,6,FALSE)</f>
        <v>1</v>
      </c>
      <c r="R78" s="25" t="s">
        <v>88</v>
      </c>
      <c r="S78" s="24">
        <f>VLOOKUP($R78,ラベル別係数!$A$1:$E$7,3,FALSE)</f>
        <v>7.5</v>
      </c>
      <c r="T78" s="24">
        <f>VLOOKUP($R78,ラベル別係数!$A$1:$E$7,4,FALSE)</f>
        <v>1</v>
      </c>
      <c r="U78" s="24">
        <f>VLOOKUP($R78,ラベル別係数!$A$1:$E$7,5,FALSE)</f>
        <v>0.8</v>
      </c>
      <c r="V78" s="27">
        <v>1</v>
      </c>
      <c r="W78" s="28">
        <f>VLOOKUP(V78,ターン数別攻撃係数!$A$1:$B$1000,2,FALSE)</f>
        <v>0.55000000000000004</v>
      </c>
      <c r="X78" s="10">
        <v>20</v>
      </c>
      <c r="Y78" s="26">
        <f>VLOOKUP($X78,サイズ別係数!$B:$E,2,FALSE)</f>
        <v>1.1000000000000001</v>
      </c>
      <c r="Z78" s="26">
        <f>VLOOKUP($X78,サイズ別係数!$B:$E,3,FALSE)</f>
        <v>1.2</v>
      </c>
      <c r="AA78" s="26">
        <f>VLOOKUP($X78,サイズ別係数!$B:$E,4,FALSE)</f>
        <v>1.2</v>
      </c>
      <c r="AB78" s="35">
        <v>77</v>
      </c>
      <c r="AC78" s="34" t="str">
        <f ca="1">VLOOKUP($AB78,OFFSET([3]enemy_skill_sets!$B$2,0,0,COUNTA([3]enemy_skill_sets!$A:$A),MATCH(AC$1,[3]enemy_skill_sets!$1:$1,0)-MATCH($AB$1,[3]enemy_skill_sets!$1:$1,0)+1),MATCH(AC$1,[3]enemy_skill_sets!$1:$1,0)-MATCH($AB$1,[3]enemy_skill_sets!$1:$1,0)+1,FALSE)</f>
        <v>5ターンの間ダメージを受ける</v>
      </c>
      <c r="AD78" s="37">
        <v>1</v>
      </c>
      <c r="AE78" s="37">
        <v>1</v>
      </c>
      <c r="AF78" s="37">
        <v>0</v>
      </c>
      <c r="AG78" s="28">
        <f ca="1">ROUND(VLOOKUP(1,enemy_base_stats!$A:$F,2,FALSE) * Y78* J78*O78*E78*S78*AD78*[2]ステータス!$B$2,0)</f>
        <v>3713</v>
      </c>
      <c r="AH78" s="28">
        <f ca="1">ROUND(VLOOKUP(1,enemy_base_stats!$A:$F,3,FALSE) * Z78*K78*P78*F78*T78*AE78 * W78*[2]ステータス!$C$2,0)</f>
        <v>91</v>
      </c>
      <c r="AI78" s="28">
        <f ca="1">ROUND(VLOOKUP(1,enemy_base_stats!$A:$F,4,FALSE) * AA78*L78*Q78*G78*U78*AF78*[2]ステータス!$D$2,0)</f>
        <v>0</v>
      </c>
      <c r="AJ78" s="28">
        <f ca="1">ROUND(VLOOKUP(100,enemy_base_stats!$A:$F,2,FALSE) * Y78* J78*O78*E78*S78*AD78*[2]ステータス!$B$2,0)</f>
        <v>150728</v>
      </c>
      <c r="AK78" s="28">
        <f ca="1">ROUND(VLOOKUP(100,enemy_base_stats!$A:$F,3,FALSE)* Z78* K78*P78*F78*T78*AE78 * W78*[2]ステータス!$C$2,0)</f>
        <v>3690</v>
      </c>
      <c r="AL78" s="28">
        <f ca="1">ROUND(VLOOKUP(100,enemy_base_stats!$A:$F,4,FALSE)* AA78* L78*Q78*G78*U78*AF78*[2]ステータス!$D$2,0)</f>
        <v>0</v>
      </c>
      <c r="AM78" s="24">
        <f ca="1">VLOOKUP(M78,[2]character_tribe_i18n!$A:$I,9,FALSE)</f>
        <v>340</v>
      </c>
      <c r="AN78" s="36">
        <v>0</v>
      </c>
      <c r="AO78" s="53">
        <v>0</v>
      </c>
      <c r="AP78" s="58" t="s">
        <v>72</v>
      </c>
      <c r="AQ78" s="71">
        <f t="shared" ca="1" si="2"/>
        <v>77</v>
      </c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</row>
    <row r="79" spans="1:60" s="3" customFormat="1" ht="21" customHeight="1" x14ac:dyDescent="0.15">
      <c r="A79" s="31">
        <f t="shared" ca="1" si="3"/>
        <v>78</v>
      </c>
      <c r="B79" s="6" t="str">
        <f ca="1">VLOOKUP(A79,[2]characters!$A:$C,3,FALSE)</f>
        <v>擬態潜伏型メリッサ2.0</v>
      </c>
      <c r="C79" s="9">
        <f ca="1">VLOOKUP(A79,[2]characters!$A:$I,9,FALSE)</f>
        <v>4</v>
      </c>
      <c r="D79" s="9" t="str">
        <f ca="1">VLOOKUP(A79,[2]characters!$A:$H,8,FALSE)</f>
        <v>red</v>
      </c>
      <c r="E79" s="24">
        <f ca="1">VLOOKUP(D79,[2]属性!$A:$E,2,FALSE)</f>
        <v>1</v>
      </c>
      <c r="F79" s="24">
        <f ca="1">VLOOKUP(D79,[2]属性!$A:$E,3,FALSE)</f>
        <v>1.02</v>
      </c>
      <c r="G79" s="24">
        <f ca="1">VLOOKUP(D79,[2]属性!$A:$F,4,FALSE)</f>
        <v>1</v>
      </c>
      <c r="H79" s="9" t="str">
        <f ca="1">VLOOKUP(A79,[2]characters!$A:$K,11,FALSE)</f>
        <v>technical</v>
      </c>
      <c r="I79" s="14" t="str">
        <f ca="1">VLOOKUP(H79,[2]character_type_i18n!$A:$F,3,FALSE)</f>
        <v>テクニカルタイプ</v>
      </c>
      <c r="J79" s="36">
        <f ca="1">VLOOKUP(H79,[2]character_type_i18n!$A:$F,4,FALSE)</f>
        <v>0.9</v>
      </c>
      <c r="K79" s="36">
        <f ca="1">VLOOKUP(H79,[2]character_type_i18n!$A:$F,5,FALSE)</f>
        <v>0.9</v>
      </c>
      <c r="L79" s="36">
        <f ca="1">VLOOKUP(H79,[2]character_type_i18n!$A:$F,6,FALSE)</f>
        <v>1</v>
      </c>
      <c r="M79" s="9" t="str">
        <f ca="1">VLOOKUP(A79,[2]characters!$A:$M,13,FALSE)</f>
        <v>unknown</v>
      </c>
      <c r="N79" s="14" t="str">
        <f ca="1">VLOOKUP(M79,[2]character_tribe_i18n!$A:$F,3,FALSE)</f>
        <v>Unknown</v>
      </c>
      <c r="O79" s="24">
        <f ca="1">VLOOKUP(M79,[2]character_tribe_i18n!$A:$F,4,FALSE)</f>
        <v>1</v>
      </c>
      <c r="P79" s="24">
        <f ca="1">VLOOKUP(M79,[2]character_tribe_i18n!$A:$F,5,FALSE)</f>
        <v>1</v>
      </c>
      <c r="Q79" s="24">
        <f ca="1">VLOOKUP(M79,[2]character_tribe_i18n!$A:$F,6,FALSE)</f>
        <v>1</v>
      </c>
      <c r="R79" s="25" t="s">
        <v>4</v>
      </c>
      <c r="S79" s="24">
        <f>VLOOKUP($R79,ラベル別係数!$A$1:$E$7,3,FALSE)</f>
        <v>5</v>
      </c>
      <c r="T79" s="24">
        <f>VLOOKUP($R79,ラベル別係数!$A$1:$E$7,4,FALSE)</f>
        <v>1.3</v>
      </c>
      <c r="U79" s="24">
        <f>VLOOKUP($R79,ラベル別係数!$A$1:$E$7,5,FALSE)</f>
        <v>0.8</v>
      </c>
      <c r="V79" s="27">
        <v>1</v>
      </c>
      <c r="W79" s="28">
        <f>VLOOKUP(V79,ターン数別攻撃係数!$A$1:$B$1000,2,FALSE)</f>
        <v>0.55000000000000004</v>
      </c>
      <c r="X79" s="10">
        <v>30</v>
      </c>
      <c r="Y79" s="26">
        <f>VLOOKUP($X79,サイズ別係数!$B:$E,2,FALSE)</f>
        <v>1.3</v>
      </c>
      <c r="Z79" s="26">
        <f>VLOOKUP($X79,サイズ別係数!$B:$E,3,FALSE)</f>
        <v>1.3</v>
      </c>
      <c r="AA79" s="26">
        <f>VLOOKUP($X79,サイズ別係数!$B:$E,4,FALSE)</f>
        <v>1.1000000000000001</v>
      </c>
      <c r="AB79" s="35">
        <v>0</v>
      </c>
      <c r="AC79" s="34" t="str">
        <f ca="1">VLOOKUP($AB79,OFFSET([3]enemy_skill_sets!$B$2,0,0,COUNTA([3]enemy_skill_sets!$A:$A),MATCH(AC$1,[3]enemy_skill_sets!$1:$1,0)-MATCH($AB$1,[3]enemy_skill_sets!$1:$1,0)+1),MATCH(AC$1,[3]enemy_skill_sets!$1:$1,0)-MATCH($AB$1,[3]enemy_skill_sets!$1:$1,0)+1,FALSE)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" s="37">
        <v>1</v>
      </c>
      <c r="AE79" s="37">
        <v>1</v>
      </c>
      <c r="AF79" s="37">
        <v>0</v>
      </c>
      <c r="AG79" s="28">
        <f ca="1">ROUND(VLOOKUP(1,enemy_base_stats!$A:$F,2,FALSE) * Y79* J79*O79*E79*S79*AD79*[2]ステータス!$B$2,0)</f>
        <v>2925</v>
      </c>
      <c r="AH79" s="28">
        <f ca="1">ROUND(VLOOKUP(1,enemy_base_stats!$A:$F,3,FALSE) * Z79*K79*P79*F79*T79*AE79 * W79*[2]ステータス!$C$2,0)</f>
        <v>128</v>
      </c>
      <c r="AI79" s="28">
        <f ca="1">ROUND(VLOOKUP(1,enemy_base_stats!$A:$F,4,FALSE) * AA79*L79*Q79*G79*U79*AF79*[2]ステータス!$D$2,0)</f>
        <v>0</v>
      </c>
      <c r="AJ79" s="28">
        <f ca="1">ROUND(VLOOKUP(100,enemy_base_stats!$A:$F,2,FALSE) * Y79* J79*O79*E79*S79*AD79*[2]ステータス!$B$2,0)</f>
        <v>118755</v>
      </c>
      <c r="AK79" s="28">
        <f ca="1">ROUND(VLOOKUP(100,enemy_base_stats!$A:$F,3,FALSE)* Z79* K79*P79*F79*T79*AE79 * W79*[2]ステータス!$C$2,0)</f>
        <v>5196</v>
      </c>
      <c r="AL79" s="28">
        <f ca="1">ROUND(VLOOKUP(100,enemy_base_stats!$A:$F,4,FALSE)* AA79* L79*Q79*G79*U79*AF79*[2]ステータス!$D$2,0)</f>
        <v>0</v>
      </c>
      <c r="AM79" s="24">
        <f ca="1">VLOOKUP(M79,[2]character_tribe_i18n!$A:$I,9,FALSE)</f>
        <v>340</v>
      </c>
      <c r="AN79" s="36">
        <v>0</v>
      </c>
      <c r="AO79" s="53">
        <v>0</v>
      </c>
      <c r="AP79" s="58" t="s">
        <v>72</v>
      </c>
      <c r="AQ79" s="71">
        <f t="shared" ca="1" si="2"/>
        <v>78</v>
      </c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</row>
    <row r="80" spans="1:60" s="3" customFormat="1" ht="21" customHeight="1" x14ac:dyDescent="0.15">
      <c r="A80" s="31">
        <f t="shared" ca="1" si="3"/>
        <v>79</v>
      </c>
      <c r="B80" s="6" t="str">
        <f ca="1">VLOOKUP(A80,[2]characters!$A:$C,3,FALSE)</f>
        <v>ハッピー100</v>
      </c>
      <c r="C80" s="9">
        <f ca="1">VLOOKUP(A80,[2]characters!$A:$I,9,FALSE)</f>
        <v>3</v>
      </c>
      <c r="D80" s="9" t="str">
        <f ca="1">VLOOKUP(A80,[2]characters!$A:$H,8,FALSE)</f>
        <v>green</v>
      </c>
      <c r="E80" s="24">
        <f ca="1">VLOOKUP(D80,[2]属性!$A:$E,2,FALSE)</f>
        <v>1.02</v>
      </c>
      <c r="F80" s="24">
        <f ca="1">VLOOKUP(D80,[2]属性!$A:$E,3,FALSE)</f>
        <v>0.98</v>
      </c>
      <c r="G80" s="24">
        <f ca="1">VLOOKUP(D80,[2]属性!$A:$F,4,FALSE)</f>
        <v>1</v>
      </c>
      <c r="H80" s="9" t="str">
        <f ca="1">VLOOKUP(A80,[2]characters!$A:$K,11,FALSE)</f>
        <v>heal</v>
      </c>
      <c r="I80" s="14" t="str">
        <f ca="1">VLOOKUP(H80,[2]character_type_i18n!$A:$F,3,FALSE)</f>
        <v>回復タイプ</v>
      </c>
      <c r="J80" s="36">
        <f ca="1">VLOOKUP(H80,[2]character_type_i18n!$A:$F,4,FALSE)</f>
        <v>0.8</v>
      </c>
      <c r="K80" s="36">
        <f ca="1">VLOOKUP(H80,[2]character_type_i18n!$A:$F,5,FALSE)</f>
        <v>0.78</v>
      </c>
      <c r="L80" s="36">
        <f ca="1">VLOOKUP(H80,[2]character_type_i18n!$A:$F,6,FALSE)</f>
        <v>1</v>
      </c>
      <c r="M80" s="9" t="str">
        <f ca="1">VLOOKUP(A80,[2]characters!$A:$M,13,FALSE)</f>
        <v>unknown</v>
      </c>
      <c r="N80" s="14" t="str">
        <f ca="1">VLOOKUP(M80,[2]character_tribe_i18n!$A:$F,3,FALSE)</f>
        <v>Unknown</v>
      </c>
      <c r="O80" s="24">
        <f ca="1">VLOOKUP(M80,[2]character_tribe_i18n!$A:$F,4,FALSE)</f>
        <v>1</v>
      </c>
      <c r="P80" s="24">
        <f ca="1">VLOOKUP(M80,[2]character_tribe_i18n!$A:$F,5,FALSE)</f>
        <v>1</v>
      </c>
      <c r="Q80" s="24">
        <f ca="1">VLOOKUP(M80,[2]character_tribe_i18n!$A:$F,6,FALSE)</f>
        <v>1</v>
      </c>
      <c r="R80" s="25" t="s">
        <v>4</v>
      </c>
      <c r="S80" s="24">
        <f>VLOOKUP($R80,ラベル別係数!$A$1:$E$7,3,FALSE)</f>
        <v>5</v>
      </c>
      <c r="T80" s="24">
        <f>VLOOKUP($R80,ラベル別係数!$A$1:$E$7,4,FALSE)</f>
        <v>1.3</v>
      </c>
      <c r="U80" s="24">
        <f>VLOOKUP($R80,ラベル別係数!$A$1:$E$7,5,FALSE)</f>
        <v>0.8</v>
      </c>
      <c r="V80" s="27">
        <v>2</v>
      </c>
      <c r="W80" s="28">
        <f>VLOOKUP(V80,ターン数別攻撃係数!$A$1:$B$1000,2,FALSE)</f>
        <v>0.75</v>
      </c>
      <c r="X80" s="10">
        <v>20</v>
      </c>
      <c r="Y80" s="26">
        <f>VLOOKUP($X80,サイズ別係数!$B:$E,2,FALSE)</f>
        <v>1.1000000000000001</v>
      </c>
      <c r="Z80" s="26">
        <f>VLOOKUP($X80,サイズ別係数!$B:$E,3,FALSE)</f>
        <v>1.2</v>
      </c>
      <c r="AA80" s="26">
        <f>VLOOKUP($X80,サイズ別係数!$B:$E,4,FALSE)</f>
        <v>1.2</v>
      </c>
      <c r="AB80" s="35">
        <v>79</v>
      </c>
      <c r="AC80" s="34" t="str">
        <f ca="1">VLOOKUP($AB80,OFFSET([3]enemy_skill_sets!$B$2,0,0,COUNTA([3]enemy_skill_sets!$A:$A),MATCH(AC$1,[3]enemy_skill_sets!$1:$1,0)-MATCH($AB$1,[3]enemy_skill_sets!$1:$1,0)+1),MATCH(AC$1,[3]enemy_skill_sets!$1:$1,0)-MATCH($AB$1,[3]enemy_skill_sets!$1:$1,0)+1,FALSE)</f>
        <v>とても幸せそうだ</v>
      </c>
      <c r="AD80" s="27">
        <v>1</v>
      </c>
      <c r="AE80" s="37">
        <v>1</v>
      </c>
      <c r="AF80" s="37">
        <v>0</v>
      </c>
      <c r="AG80" s="28">
        <f ca="1">ROUND(VLOOKUP(1,enemy_base_stats!$A:$F,2,FALSE) * Y80* J80*O80*E80*S80*AD80*[2]ステータス!$B$2,0)</f>
        <v>2244</v>
      </c>
      <c r="AH80" s="28">
        <f ca="1">ROUND(VLOOKUP(1,enemy_base_stats!$A:$F,3,FALSE) * Z80*K80*P80*F80*T80*AE80 * W80*[2]ステータス!$C$2,0)</f>
        <v>134</v>
      </c>
      <c r="AI80" s="28">
        <f ca="1">ROUND(VLOOKUP(1,enemy_base_stats!$A:$F,4,FALSE) * AA80*L80*Q80*G80*U80*AF80*[2]ステータス!$D$2,0)</f>
        <v>0</v>
      </c>
      <c r="AJ80" s="28">
        <f ca="1">ROUND(VLOOKUP(100,enemy_base_stats!$A:$F,2,FALSE) * Y80* J80*O80*E80*S80*AD80*[2]ステータス!$B$2,0)</f>
        <v>91106</v>
      </c>
      <c r="AK80" s="28">
        <f ca="1">ROUND(VLOOKUP(100,enemy_base_stats!$A:$F,3,FALSE)* Z80* K80*P80*F80*T80*AE80 * W80*[2]ステータス!$C$2,0)</f>
        <v>5447</v>
      </c>
      <c r="AL80" s="28">
        <f ca="1">ROUND(VLOOKUP(100,enemy_base_stats!$A:$F,4,FALSE)* AA80* L80*Q80*G80*U80*AF80*[2]ステータス!$D$2,0)</f>
        <v>0</v>
      </c>
      <c r="AM80" s="24">
        <f ca="1">VLOOKUP(M80,[2]character_tribe_i18n!$A:$I,9,FALSE)</f>
        <v>340</v>
      </c>
      <c r="AN80" s="36">
        <v>0</v>
      </c>
      <c r="AO80" s="53">
        <v>0</v>
      </c>
      <c r="AP80" s="58" t="s">
        <v>72</v>
      </c>
      <c r="AQ80" s="71">
        <f t="shared" ca="1" si="2"/>
        <v>79</v>
      </c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</row>
    <row r="81" spans="1:60" s="3" customFormat="1" ht="21" customHeight="1" x14ac:dyDescent="0.15">
      <c r="A81" s="31">
        <f t="shared" ca="1" si="3"/>
        <v>80</v>
      </c>
      <c r="B81" s="6" t="str">
        <f ca="1">VLOOKUP(A81,[2]characters!$A:$C,3,FALSE)</f>
        <v>ハッピー101</v>
      </c>
      <c r="C81" s="9">
        <f ca="1">VLOOKUP(A81,[2]characters!$A:$I,9,FALSE)</f>
        <v>4</v>
      </c>
      <c r="D81" s="9" t="str">
        <f ca="1">VLOOKUP(A81,[2]characters!$A:$H,8,FALSE)</f>
        <v>green</v>
      </c>
      <c r="E81" s="24">
        <f ca="1">VLOOKUP(D81,[2]属性!$A:$E,2,FALSE)</f>
        <v>1.02</v>
      </c>
      <c r="F81" s="24">
        <f ca="1">VLOOKUP(D81,[2]属性!$A:$E,3,FALSE)</f>
        <v>0.98</v>
      </c>
      <c r="G81" s="24">
        <f ca="1">VLOOKUP(D81,[2]属性!$A:$F,4,FALSE)</f>
        <v>1</v>
      </c>
      <c r="H81" s="9" t="str">
        <f ca="1">VLOOKUP(A81,[2]characters!$A:$K,11,FALSE)</f>
        <v>heal</v>
      </c>
      <c r="I81" s="14" t="str">
        <f ca="1">VLOOKUP(H81,[2]character_type_i18n!$A:$F,3,FALSE)</f>
        <v>回復タイプ</v>
      </c>
      <c r="J81" s="36">
        <f ca="1">VLOOKUP(H81,[2]character_type_i18n!$A:$F,4,FALSE)</f>
        <v>0.8</v>
      </c>
      <c r="K81" s="36">
        <f ca="1">VLOOKUP(H81,[2]character_type_i18n!$A:$F,5,FALSE)</f>
        <v>0.78</v>
      </c>
      <c r="L81" s="36">
        <f ca="1">VLOOKUP(H81,[2]character_type_i18n!$A:$F,6,FALSE)</f>
        <v>1</v>
      </c>
      <c r="M81" s="9" t="str">
        <f ca="1">VLOOKUP(A81,[2]characters!$A:$M,13,FALSE)</f>
        <v>unknown</v>
      </c>
      <c r="N81" s="14" t="str">
        <f ca="1">VLOOKUP(M81,[2]character_tribe_i18n!$A:$F,3,FALSE)</f>
        <v>Unknown</v>
      </c>
      <c r="O81" s="24">
        <f ca="1">VLOOKUP(M81,[2]character_tribe_i18n!$A:$F,4,FALSE)</f>
        <v>1</v>
      </c>
      <c r="P81" s="24">
        <f ca="1">VLOOKUP(M81,[2]character_tribe_i18n!$A:$F,5,FALSE)</f>
        <v>1</v>
      </c>
      <c r="Q81" s="24">
        <f ca="1">VLOOKUP(M81,[2]character_tribe_i18n!$A:$F,6,FALSE)</f>
        <v>1</v>
      </c>
      <c r="R81" s="25" t="s">
        <v>4</v>
      </c>
      <c r="S81" s="24">
        <f>VLOOKUP($R81,ラベル別係数!$A$1:$E$7,3,FALSE)</f>
        <v>5</v>
      </c>
      <c r="T81" s="24">
        <f>VLOOKUP($R81,ラベル別係数!$A$1:$E$7,4,FALSE)</f>
        <v>1.3</v>
      </c>
      <c r="U81" s="24">
        <f>VLOOKUP($R81,ラベル別係数!$A$1:$E$7,5,FALSE)</f>
        <v>0.8</v>
      </c>
      <c r="V81" s="27">
        <v>2</v>
      </c>
      <c r="W81" s="28">
        <f>VLOOKUP(V81,ターン数別攻撃係数!$A$1:$B$1000,2,FALSE)</f>
        <v>0.75</v>
      </c>
      <c r="X81" s="10">
        <v>30</v>
      </c>
      <c r="Y81" s="26">
        <f>VLOOKUP($X81,サイズ別係数!$B:$E,2,FALSE)</f>
        <v>1.3</v>
      </c>
      <c r="Z81" s="26">
        <f>VLOOKUP($X81,サイズ別係数!$B:$E,3,FALSE)</f>
        <v>1.3</v>
      </c>
      <c r="AA81" s="26">
        <f>VLOOKUP($X81,サイズ別係数!$B:$E,4,FALSE)</f>
        <v>1.1000000000000001</v>
      </c>
      <c r="AB81" s="35">
        <v>0</v>
      </c>
      <c r="AC81" s="34" t="str">
        <f ca="1">VLOOKUP($AB81,OFFSET([3]enemy_skill_sets!$B$2,0,0,COUNTA([3]enemy_skill_sets!$A:$A),MATCH(AC$1,[3]enemy_skill_sets!$1:$1,0)-MATCH($AB$1,[3]enemy_skill_sets!$1:$1,0)+1),MATCH(AC$1,[3]enemy_skill_sets!$1:$1,0)-MATCH($AB$1,[3]enemy_skill_sets!$1:$1,0)+1,FALSE)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" s="27">
        <v>1</v>
      </c>
      <c r="AE81" s="37">
        <v>1</v>
      </c>
      <c r="AF81" s="37">
        <v>0</v>
      </c>
      <c r="AG81" s="28">
        <f ca="1">ROUND(VLOOKUP(1,enemy_base_stats!$A:$F,2,FALSE) * Y81* J81*O81*E81*S81*AD81*[2]ステータス!$B$2,0)</f>
        <v>2652</v>
      </c>
      <c r="AH81" s="28">
        <f ca="1">ROUND(VLOOKUP(1,enemy_base_stats!$A:$F,3,FALSE) * Z81*K81*P81*F81*T81*AE81 * W81*[2]ステータス!$C$2,0)</f>
        <v>145</v>
      </c>
      <c r="AI81" s="28">
        <f ca="1">ROUND(VLOOKUP(1,enemy_base_stats!$A:$F,4,FALSE) * AA81*L81*Q81*G81*U81*AF81*[2]ステータス!$D$2,0)</f>
        <v>0</v>
      </c>
      <c r="AJ81" s="28">
        <f ca="1">ROUND(VLOOKUP(100,enemy_base_stats!$A:$F,2,FALSE) * Y81* J81*O81*E81*S81*AD81*[2]ステータス!$B$2,0)</f>
        <v>107671</v>
      </c>
      <c r="AK81" s="28">
        <f ca="1">ROUND(VLOOKUP(100,enemy_base_stats!$A:$F,3,FALSE)* Z81* K81*P81*F81*T81*AE81 * W81*[2]ステータス!$C$2,0)</f>
        <v>5900</v>
      </c>
      <c r="AL81" s="28">
        <f ca="1">ROUND(VLOOKUP(100,enemy_base_stats!$A:$F,4,FALSE)* AA81* L81*Q81*G81*U81*AF81*[2]ステータス!$D$2,0)</f>
        <v>0</v>
      </c>
      <c r="AM81" s="24">
        <f ca="1">VLOOKUP(M81,[2]character_tribe_i18n!$A:$I,9,FALSE)</f>
        <v>340</v>
      </c>
      <c r="AN81" s="36">
        <v>0</v>
      </c>
      <c r="AO81" s="53">
        <v>0</v>
      </c>
      <c r="AP81" s="58" t="s">
        <v>72</v>
      </c>
      <c r="AQ81" s="71">
        <f t="shared" ca="1" si="2"/>
        <v>80</v>
      </c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</row>
    <row r="82" spans="1:60" s="3" customFormat="1" ht="21" customHeight="1" x14ac:dyDescent="0.15">
      <c r="A82" s="31">
        <f t="shared" ca="1" si="3"/>
        <v>81</v>
      </c>
      <c r="B82" s="6" t="str">
        <f ca="1">VLOOKUP(A82,[2]characters!$A:$C,3,FALSE)</f>
        <v>増幅型モリス</v>
      </c>
      <c r="C82" s="9">
        <f ca="1">VLOOKUP(A82,[2]characters!$A:$I,9,FALSE)</f>
        <v>3</v>
      </c>
      <c r="D82" s="9" t="str">
        <f ca="1">VLOOKUP(A82,[2]characters!$A:$H,8,FALSE)</f>
        <v>blue</v>
      </c>
      <c r="E82" s="24">
        <f ca="1">VLOOKUP(D82,[2]属性!$A:$E,2,FALSE)</f>
        <v>1</v>
      </c>
      <c r="F82" s="24">
        <f ca="1">VLOOKUP(D82,[2]属性!$A:$E,3,FALSE)</f>
        <v>0.98</v>
      </c>
      <c r="G82" s="24">
        <f ca="1">VLOOKUP(D82,[2]属性!$A:$F,4,FALSE)</f>
        <v>1</v>
      </c>
      <c r="H82" s="9" t="str">
        <f ca="1">VLOOKUP(A82,[2]characters!$A:$K,11,FALSE)</f>
        <v>balance</v>
      </c>
      <c r="I82" s="14" t="str">
        <f ca="1">VLOOKUP(H82,[2]character_type_i18n!$A:$F,3,FALSE)</f>
        <v>バランスタイプ</v>
      </c>
      <c r="J82" s="36">
        <f ca="1">VLOOKUP(H82,[2]character_type_i18n!$A:$F,4,FALSE)</f>
        <v>1</v>
      </c>
      <c r="K82" s="36">
        <f ca="1">VLOOKUP(H82,[2]character_type_i18n!$A:$F,5,FALSE)</f>
        <v>1</v>
      </c>
      <c r="L82" s="36">
        <f ca="1">VLOOKUP(H82,[2]character_type_i18n!$A:$F,6,FALSE)</f>
        <v>1</v>
      </c>
      <c r="M82" s="9" t="str">
        <f ca="1">VLOOKUP(A82,[2]characters!$A:$M,13,FALSE)</f>
        <v>unknown</v>
      </c>
      <c r="N82" s="14" t="str">
        <f ca="1">VLOOKUP(M82,[2]character_tribe_i18n!$A:$F,3,FALSE)</f>
        <v>Unknown</v>
      </c>
      <c r="O82" s="24">
        <f ca="1">VLOOKUP(M82,[2]character_tribe_i18n!$A:$F,4,FALSE)</f>
        <v>1</v>
      </c>
      <c r="P82" s="24">
        <f ca="1">VLOOKUP(M82,[2]character_tribe_i18n!$A:$F,5,FALSE)</f>
        <v>1</v>
      </c>
      <c r="Q82" s="24">
        <f ca="1">VLOOKUP(M82,[2]character_tribe_i18n!$A:$F,6,FALSE)</f>
        <v>1</v>
      </c>
      <c r="R82" s="25" t="s">
        <v>90</v>
      </c>
      <c r="S82" s="24">
        <f>VLOOKUP($R82,ラベル別係数!$A$1:$E$7,3,FALSE)</f>
        <v>7.5</v>
      </c>
      <c r="T82" s="24">
        <f>VLOOKUP($R82,ラベル別係数!$A$1:$E$7,4,FALSE)</f>
        <v>1</v>
      </c>
      <c r="U82" s="24">
        <f>VLOOKUP($R82,ラベル別係数!$A$1:$E$7,5,FALSE)</f>
        <v>0.8</v>
      </c>
      <c r="V82" s="27">
        <v>5</v>
      </c>
      <c r="W82" s="28">
        <f>VLOOKUP(V82,ターン数別攻撃係数!$A$1:$B$1000,2,FALSE)</f>
        <v>1.5</v>
      </c>
      <c r="X82" s="10">
        <v>20</v>
      </c>
      <c r="Y82" s="26">
        <f>VLOOKUP($X82,サイズ別係数!$B:$E,2,FALSE)</f>
        <v>1.1000000000000001</v>
      </c>
      <c r="Z82" s="26">
        <f>VLOOKUP($X82,サイズ別係数!$B:$E,3,FALSE)</f>
        <v>1.2</v>
      </c>
      <c r="AA82" s="26">
        <f>VLOOKUP($X82,サイズ別係数!$B:$E,4,FALSE)</f>
        <v>1.2</v>
      </c>
      <c r="AB82" s="35">
        <v>81</v>
      </c>
      <c r="AC82" s="34" t="str">
        <f ca="1">VLOOKUP($AB82,OFFSET([3]enemy_skill_sets!$B$2,0,0,COUNTA([3]enemy_skill_sets!$A:$A),MATCH(AC$1,[3]enemy_skill_sets!$1:$1,0)-MATCH($AB$1,[3]enemy_skill_sets!$1:$1,0)+1),MATCH(AC$1,[3]enemy_skill_sets!$1:$1,0)-MATCH($AB$1,[3]enemy_skill_sets!$1:$1,0)+1,FALSE)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82" s="27">
        <v>1</v>
      </c>
      <c r="AE82" s="37">
        <v>1</v>
      </c>
      <c r="AF82" s="37">
        <v>0</v>
      </c>
      <c r="AG82" s="28">
        <f ca="1">ROUND(VLOOKUP(1,enemy_base_stats!$A:$F,2,FALSE) * Y82* J82*O82*E82*S82*AD82*[2]ステータス!$B$2,0)</f>
        <v>4125</v>
      </c>
      <c r="AH82" s="28">
        <f ca="1">ROUND(VLOOKUP(1,enemy_base_stats!$A:$F,3,FALSE) * Z82*K82*P82*F82*T82*AE82 * W82*[2]ステータス!$C$2,0)</f>
        <v>265</v>
      </c>
      <c r="AI82" s="28">
        <f ca="1">ROUND(VLOOKUP(1,enemy_base_stats!$A:$F,4,FALSE) * AA82*L82*Q82*G82*U82*AF82*[2]ステータス!$D$2,0)</f>
        <v>0</v>
      </c>
      <c r="AJ82" s="28">
        <f ca="1">ROUND(VLOOKUP(100,enemy_base_stats!$A:$F,2,FALSE) * Y82* J82*O82*E82*S82*AD82*[2]ステータス!$B$2,0)</f>
        <v>167475</v>
      </c>
      <c r="AK82" s="28">
        <f ca="1">ROUND(VLOOKUP(100,enemy_base_stats!$A:$F,3,FALSE)* Z82* K82*P82*F82*T82*AE82 * W82*[2]ステータス!$C$2,0)</f>
        <v>10743</v>
      </c>
      <c r="AL82" s="28">
        <f ca="1">ROUND(VLOOKUP(100,enemy_base_stats!$A:$F,4,FALSE)* AA82* L82*Q82*G82*U82*AF82*[2]ステータス!$D$2,0)</f>
        <v>0</v>
      </c>
      <c r="AM82" s="24">
        <f ca="1">VLOOKUP(M82,[2]character_tribe_i18n!$A:$I,9,FALSE)</f>
        <v>340</v>
      </c>
      <c r="AN82" s="36">
        <v>0</v>
      </c>
      <c r="AO82" s="53">
        <v>0</v>
      </c>
      <c r="AP82" s="58" t="s">
        <v>72</v>
      </c>
      <c r="AQ82" s="71">
        <f t="shared" ca="1" si="2"/>
        <v>81</v>
      </c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</row>
    <row r="83" spans="1:60" s="3" customFormat="1" ht="21" customHeight="1" x14ac:dyDescent="0.15">
      <c r="A83" s="31">
        <f t="shared" ca="1" si="3"/>
        <v>82</v>
      </c>
      <c r="B83" s="6" t="str">
        <f ca="1">VLOOKUP(A83,[2]characters!$A:$C,3,FALSE)</f>
        <v>偽装増幅型G・モリス</v>
      </c>
      <c r="C83" s="9">
        <f ca="1">VLOOKUP(A83,[2]characters!$A:$I,9,FALSE)</f>
        <v>4</v>
      </c>
      <c r="D83" s="9" t="str">
        <f ca="1">VLOOKUP(A83,[2]characters!$A:$H,8,FALSE)</f>
        <v>blue</v>
      </c>
      <c r="E83" s="24">
        <f ca="1">VLOOKUP(D83,[2]属性!$A:$E,2,FALSE)</f>
        <v>1</v>
      </c>
      <c r="F83" s="24">
        <f ca="1">VLOOKUP(D83,[2]属性!$A:$E,3,FALSE)</f>
        <v>0.98</v>
      </c>
      <c r="G83" s="24">
        <f ca="1">VLOOKUP(D83,[2]属性!$A:$F,4,FALSE)</f>
        <v>1</v>
      </c>
      <c r="H83" s="9" t="str">
        <f ca="1">VLOOKUP(A83,[2]characters!$A:$K,11,FALSE)</f>
        <v>balance</v>
      </c>
      <c r="I83" s="14" t="str">
        <f ca="1">VLOOKUP(H83,[2]character_type_i18n!$A:$F,3,FALSE)</f>
        <v>バランスタイプ</v>
      </c>
      <c r="J83" s="36">
        <f ca="1">VLOOKUP(H83,[2]character_type_i18n!$A:$F,4,FALSE)</f>
        <v>1</v>
      </c>
      <c r="K83" s="36">
        <f ca="1">VLOOKUP(H83,[2]character_type_i18n!$A:$F,5,FALSE)</f>
        <v>1</v>
      </c>
      <c r="L83" s="36">
        <f ca="1">VLOOKUP(H83,[2]character_type_i18n!$A:$F,6,FALSE)</f>
        <v>1</v>
      </c>
      <c r="M83" s="9" t="str">
        <f ca="1">VLOOKUP(A83,[2]characters!$A:$M,13,FALSE)</f>
        <v>unknown</v>
      </c>
      <c r="N83" s="14" t="str">
        <f ca="1">VLOOKUP(M83,[2]character_tribe_i18n!$A:$F,3,FALSE)</f>
        <v>Unknown</v>
      </c>
      <c r="O83" s="24">
        <f ca="1">VLOOKUP(M83,[2]character_tribe_i18n!$A:$F,4,FALSE)</f>
        <v>1</v>
      </c>
      <c r="P83" s="24">
        <f ca="1">VLOOKUP(M83,[2]character_tribe_i18n!$A:$F,5,FALSE)</f>
        <v>1</v>
      </c>
      <c r="Q83" s="24">
        <f ca="1">VLOOKUP(M83,[2]character_tribe_i18n!$A:$F,6,FALSE)</f>
        <v>1</v>
      </c>
      <c r="R83" s="25" t="s">
        <v>4</v>
      </c>
      <c r="S83" s="24">
        <f>VLOOKUP($R83,ラベル別係数!$A$1:$E$7,3,FALSE)</f>
        <v>5</v>
      </c>
      <c r="T83" s="24">
        <f>VLOOKUP($R83,ラベル別係数!$A$1:$E$7,4,FALSE)</f>
        <v>1.3</v>
      </c>
      <c r="U83" s="24">
        <f>VLOOKUP($R83,ラベル別係数!$A$1:$E$7,5,FALSE)</f>
        <v>0.8</v>
      </c>
      <c r="V83" s="27">
        <v>2</v>
      </c>
      <c r="W83" s="28">
        <f>VLOOKUP(V83,ターン数別攻撃係数!$A$1:$B$1000,2,FALSE)</f>
        <v>0.75</v>
      </c>
      <c r="X83" s="10">
        <v>30</v>
      </c>
      <c r="Y83" s="26">
        <f>VLOOKUP($X83,サイズ別係数!$B:$E,2,FALSE)</f>
        <v>1.3</v>
      </c>
      <c r="Z83" s="26">
        <f>VLOOKUP($X83,サイズ別係数!$B:$E,3,FALSE)</f>
        <v>1.3</v>
      </c>
      <c r="AA83" s="26">
        <f>VLOOKUP($X83,サイズ別係数!$B:$E,4,FALSE)</f>
        <v>1.1000000000000001</v>
      </c>
      <c r="AB83" s="35">
        <v>0</v>
      </c>
      <c r="AC83" s="34" t="str">
        <f ca="1">VLOOKUP($AB83,OFFSET([3]enemy_skill_sets!$B$2,0,0,COUNTA([3]enemy_skill_sets!$A:$A),MATCH(AC$1,[3]enemy_skill_sets!$1:$1,0)-MATCH($AB$1,[3]enemy_skill_sets!$1:$1,0)+1),MATCH(AC$1,[3]enemy_skill_sets!$1:$1,0)-MATCH($AB$1,[3]enemy_skill_sets!$1:$1,0)+1,FALSE)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" s="27">
        <v>1</v>
      </c>
      <c r="AE83" s="37">
        <v>1</v>
      </c>
      <c r="AF83" s="37">
        <v>0</v>
      </c>
      <c r="AG83" s="28">
        <f ca="1">ROUND(VLOOKUP(1,enemy_base_stats!$A:$F,2,FALSE) * Y83* J83*O83*E83*S83*AD83*[2]ステータス!$B$2,0)</f>
        <v>3250</v>
      </c>
      <c r="AH83" s="28">
        <f ca="1">ROUND(VLOOKUP(1,enemy_base_stats!$A:$F,3,FALSE) * Z83*K83*P83*F83*T83*AE83 * W83*[2]ステータス!$C$2,0)</f>
        <v>186</v>
      </c>
      <c r="AI83" s="28">
        <f ca="1">ROUND(VLOOKUP(1,enemy_base_stats!$A:$F,4,FALSE) * AA83*L83*Q83*G83*U83*AF83*[2]ステータス!$D$2,0)</f>
        <v>0</v>
      </c>
      <c r="AJ83" s="28">
        <f ca="1">ROUND(VLOOKUP(100,enemy_base_stats!$A:$F,2,FALSE) * Y83* J83*O83*E83*S83*AD83*[2]ステータス!$B$2,0)</f>
        <v>131950</v>
      </c>
      <c r="AK83" s="28">
        <f ca="1">ROUND(VLOOKUP(100,enemy_base_stats!$A:$F,3,FALSE)* Z83* K83*P83*F83*T83*AE83 * W83*[2]ステータス!$C$2,0)</f>
        <v>7565</v>
      </c>
      <c r="AL83" s="28">
        <f ca="1">ROUND(VLOOKUP(100,enemy_base_stats!$A:$F,4,FALSE)* AA83* L83*Q83*G83*U83*AF83*[2]ステータス!$D$2,0)</f>
        <v>0</v>
      </c>
      <c r="AM83" s="24">
        <f ca="1">VLOOKUP(M83,[2]character_tribe_i18n!$A:$I,9,FALSE)</f>
        <v>340</v>
      </c>
      <c r="AN83" s="36">
        <v>0</v>
      </c>
      <c r="AO83" s="53">
        <v>0</v>
      </c>
      <c r="AP83" s="58" t="s">
        <v>72</v>
      </c>
      <c r="AQ83" s="71">
        <f t="shared" ca="1" si="2"/>
        <v>82</v>
      </c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</row>
    <row r="84" spans="1:60" s="3" customFormat="1" ht="21" customHeight="1" x14ac:dyDescent="0.15">
      <c r="A84" s="31">
        <f t="shared" ca="1" si="3"/>
        <v>83</v>
      </c>
      <c r="B84" s="6" t="str">
        <f ca="1">VLOOKUP(A84,[2]characters!$A:$C,3,FALSE)</f>
        <v>拡散性ニムダ</v>
      </c>
      <c r="C84" s="9">
        <f ca="1">VLOOKUP(A84,[2]characters!$A:$I,9,FALSE)</f>
        <v>3</v>
      </c>
      <c r="D84" s="9" t="str">
        <f ca="1">VLOOKUP(A84,[2]characters!$A:$H,8,FALSE)</f>
        <v>yellow</v>
      </c>
      <c r="E84" s="24">
        <f ca="1">VLOOKUP(D84,[2]属性!$A:$E,2,FALSE)</f>
        <v>0.98</v>
      </c>
      <c r="F84" s="24">
        <f ca="1">VLOOKUP(D84,[2]属性!$A:$E,3,FALSE)</f>
        <v>1.01</v>
      </c>
      <c r="G84" s="24">
        <f ca="1">VLOOKUP(D84,[2]属性!$A:$F,4,FALSE)</f>
        <v>1</v>
      </c>
      <c r="H84" s="9" t="str">
        <f ca="1">VLOOKUP(A84,[2]characters!$A:$K,11,FALSE)</f>
        <v>heal</v>
      </c>
      <c r="I84" s="14" t="str">
        <f ca="1">VLOOKUP(H84,[2]character_type_i18n!$A:$F,3,FALSE)</f>
        <v>回復タイプ</v>
      </c>
      <c r="J84" s="36">
        <f ca="1">VLOOKUP(H84,[2]character_type_i18n!$A:$F,4,FALSE)</f>
        <v>0.8</v>
      </c>
      <c r="K84" s="36">
        <f ca="1">VLOOKUP(H84,[2]character_type_i18n!$A:$F,5,FALSE)</f>
        <v>0.78</v>
      </c>
      <c r="L84" s="36">
        <f ca="1">VLOOKUP(H84,[2]character_type_i18n!$A:$F,6,FALSE)</f>
        <v>1</v>
      </c>
      <c r="M84" s="9" t="str">
        <f ca="1">VLOOKUP(A84,[2]characters!$A:$M,13,FALSE)</f>
        <v>unknown</v>
      </c>
      <c r="N84" s="14" t="str">
        <f ca="1">VLOOKUP(M84,[2]character_tribe_i18n!$A:$F,3,FALSE)</f>
        <v>Unknown</v>
      </c>
      <c r="O84" s="24">
        <f ca="1">VLOOKUP(M84,[2]character_tribe_i18n!$A:$F,4,FALSE)</f>
        <v>1</v>
      </c>
      <c r="P84" s="24">
        <f ca="1">VLOOKUP(M84,[2]character_tribe_i18n!$A:$F,5,FALSE)</f>
        <v>1</v>
      </c>
      <c r="Q84" s="24">
        <f ca="1">VLOOKUP(M84,[2]character_tribe_i18n!$A:$F,6,FALSE)</f>
        <v>1</v>
      </c>
      <c r="R84" s="25" t="s">
        <v>4</v>
      </c>
      <c r="S84" s="24">
        <f>VLOOKUP($R84,ラベル別係数!$A$1:$E$7,3,FALSE)</f>
        <v>5</v>
      </c>
      <c r="T84" s="24">
        <f>VLOOKUP($R84,ラベル別係数!$A$1:$E$7,4,FALSE)</f>
        <v>1.3</v>
      </c>
      <c r="U84" s="24">
        <f>VLOOKUP($R84,ラベル別係数!$A$1:$E$7,5,FALSE)</f>
        <v>0.8</v>
      </c>
      <c r="V84" s="27">
        <v>2</v>
      </c>
      <c r="W84" s="28">
        <f>VLOOKUP(V84,ターン数別攻撃係数!$A$1:$B$1000,2,FALSE)</f>
        <v>0.75</v>
      </c>
      <c r="X84" s="10">
        <v>20</v>
      </c>
      <c r="Y84" s="26">
        <f>VLOOKUP($X84,サイズ別係数!$B:$E,2,FALSE)</f>
        <v>1.1000000000000001</v>
      </c>
      <c r="Z84" s="26">
        <f>VLOOKUP($X84,サイズ別係数!$B:$E,3,FALSE)</f>
        <v>1.2</v>
      </c>
      <c r="AA84" s="26">
        <f>VLOOKUP($X84,サイズ別係数!$B:$E,4,FALSE)</f>
        <v>1.2</v>
      </c>
      <c r="AB84" s="35">
        <v>83</v>
      </c>
      <c r="AC84" s="34" t="str">
        <f ca="1">VLOOKUP($AB84,OFFSET([3]enemy_skill_sets!$B$2,0,0,COUNTA([3]enemy_skill_sets!$A:$A),MATCH(AC$1,[3]enemy_skill_sets!$1:$1,0)-MATCH($AB$1,[3]enemy_skill_sets!$1:$1,0)+1),MATCH(AC$1,[3]enemy_skill_sets!$1:$1,0)-MATCH($AB$1,[3]enemy_skill_sets!$1:$1,0)+1,FALSE)</f>
        <v>3回連続攻撃</v>
      </c>
      <c r="AD84" s="27">
        <v>1</v>
      </c>
      <c r="AE84" s="37">
        <v>1</v>
      </c>
      <c r="AF84" s="37">
        <v>0</v>
      </c>
      <c r="AG84" s="28">
        <f ca="1">ROUND(VLOOKUP(1,enemy_base_stats!$A:$F,2,FALSE) * Y84* J84*O84*E84*S84*AD84*[2]ステータス!$B$2,0)</f>
        <v>2156</v>
      </c>
      <c r="AH84" s="28">
        <f ca="1">ROUND(VLOOKUP(1,enemy_base_stats!$A:$F,3,FALSE) * Z84*K84*P84*F84*T84*AE84 * W84*[2]ステータス!$C$2,0)</f>
        <v>138</v>
      </c>
      <c r="AI84" s="28">
        <f ca="1">ROUND(VLOOKUP(1,enemy_base_stats!$A:$F,4,FALSE) * AA84*L84*Q84*G84*U84*AF84*[2]ステータス!$D$2,0)</f>
        <v>0</v>
      </c>
      <c r="AJ84" s="28">
        <f ca="1">ROUND(VLOOKUP(100,enemy_base_stats!$A:$F,2,FALSE) * Y84* J84*O84*E84*S84*AD84*[2]ステータス!$B$2,0)</f>
        <v>87534</v>
      </c>
      <c r="AK84" s="28">
        <f ca="1">ROUND(VLOOKUP(100,enemy_base_stats!$A:$F,3,FALSE)* Z84* K84*P84*F84*T84*AE84 * W84*[2]ステータス!$C$2,0)</f>
        <v>5613</v>
      </c>
      <c r="AL84" s="28">
        <f ca="1">ROUND(VLOOKUP(100,enemy_base_stats!$A:$F,4,FALSE)* AA84* L84*Q84*G84*U84*AF84*[2]ステータス!$D$2,0)</f>
        <v>0</v>
      </c>
      <c r="AM84" s="24">
        <f ca="1">VLOOKUP(M84,[2]character_tribe_i18n!$A:$I,9,FALSE)</f>
        <v>340</v>
      </c>
      <c r="AN84" s="36">
        <v>0</v>
      </c>
      <c r="AO84" s="53">
        <v>0</v>
      </c>
      <c r="AP84" s="58" t="s">
        <v>72</v>
      </c>
      <c r="AQ84" s="71">
        <f t="shared" ca="1" si="2"/>
        <v>83</v>
      </c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</row>
    <row r="85" spans="1:60" s="3" customFormat="1" ht="21" customHeight="1" x14ac:dyDescent="0.15">
      <c r="A85" s="31">
        <f t="shared" ca="1" si="3"/>
        <v>84</v>
      </c>
      <c r="B85" s="6" t="str">
        <f ca="1">VLOOKUP(A85,[2]characters!$A:$C,3,FALSE)</f>
        <v>高速拡散性ニムダE</v>
      </c>
      <c r="C85" s="9">
        <f ca="1">VLOOKUP(A85,[2]characters!$A:$I,9,FALSE)</f>
        <v>4</v>
      </c>
      <c r="D85" s="9" t="str">
        <f ca="1">VLOOKUP(A85,[2]characters!$A:$H,8,FALSE)</f>
        <v>yellow</v>
      </c>
      <c r="E85" s="24">
        <f ca="1">VLOOKUP(D85,[2]属性!$A:$E,2,FALSE)</f>
        <v>0.98</v>
      </c>
      <c r="F85" s="24">
        <f ca="1">VLOOKUP(D85,[2]属性!$A:$E,3,FALSE)</f>
        <v>1.01</v>
      </c>
      <c r="G85" s="24">
        <f ca="1">VLOOKUP(D85,[2]属性!$A:$F,4,FALSE)</f>
        <v>1</v>
      </c>
      <c r="H85" s="9" t="str">
        <f ca="1">VLOOKUP(A85,[2]characters!$A:$K,11,FALSE)</f>
        <v>heal</v>
      </c>
      <c r="I85" s="14" t="str">
        <f ca="1">VLOOKUP(H85,[2]character_type_i18n!$A:$F,3,FALSE)</f>
        <v>回復タイプ</v>
      </c>
      <c r="J85" s="36">
        <f ca="1">VLOOKUP(H85,[2]character_type_i18n!$A:$F,4,FALSE)</f>
        <v>0.8</v>
      </c>
      <c r="K85" s="36">
        <f ca="1">VLOOKUP(H85,[2]character_type_i18n!$A:$F,5,FALSE)</f>
        <v>0.78</v>
      </c>
      <c r="L85" s="36">
        <f ca="1">VLOOKUP(H85,[2]character_type_i18n!$A:$F,6,FALSE)</f>
        <v>1</v>
      </c>
      <c r="M85" s="9" t="str">
        <f ca="1">VLOOKUP(A85,[2]characters!$A:$M,13,FALSE)</f>
        <v>unknown</v>
      </c>
      <c r="N85" s="14" t="str">
        <f ca="1">VLOOKUP(M85,[2]character_tribe_i18n!$A:$F,3,FALSE)</f>
        <v>Unknown</v>
      </c>
      <c r="O85" s="24">
        <f ca="1">VLOOKUP(M85,[2]character_tribe_i18n!$A:$F,4,FALSE)</f>
        <v>1</v>
      </c>
      <c r="P85" s="24">
        <f ca="1">VLOOKUP(M85,[2]character_tribe_i18n!$A:$F,5,FALSE)</f>
        <v>1</v>
      </c>
      <c r="Q85" s="24">
        <f ca="1">VLOOKUP(M85,[2]character_tribe_i18n!$A:$F,6,FALSE)</f>
        <v>1</v>
      </c>
      <c r="R85" s="25" t="s">
        <v>4</v>
      </c>
      <c r="S85" s="24">
        <f>VLOOKUP($R85,ラベル別係数!$A$1:$E$7,3,FALSE)</f>
        <v>5</v>
      </c>
      <c r="T85" s="24">
        <f>VLOOKUP($R85,ラベル別係数!$A$1:$E$7,4,FALSE)</f>
        <v>1.3</v>
      </c>
      <c r="U85" s="24">
        <f>VLOOKUP($R85,ラベル別係数!$A$1:$E$7,5,FALSE)</f>
        <v>0.8</v>
      </c>
      <c r="V85" s="27">
        <v>2</v>
      </c>
      <c r="W85" s="28">
        <f>VLOOKUP(V85,ターン数別攻撃係数!$A$1:$B$1000,2,FALSE)</f>
        <v>0.75</v>
      </c>
      <c r="X85" s="10">
        <v>30</v>
      </c>
      <c r="Y85" s="26">
        <f>VLOOKUP($X85,サイズ別係数!$B:$E,2,FALSE)</f>
        <v>1.3</v>
      </c>
      <c r="Z85" s="26">
        <f>VLOOKUP($X85,サイズ別係数!$B:$E,3,FALSE)</f>
        <v>1.3</v>
      </c>
      <c r="AA85" s="26">
        <f>VLOOKUP($X85,サイズ別係数!$B:$E,4,FALSE)</f>
        <v>1.1000000000000001</v>
      </c>
      <c r="AB85" s="35">
        <v>0</v>
      </c>
      <c r="AC85" s="34" t="str">
        <f ca="1">VLOOKUP($AB85,OFFSET([3]enemy_skill_sets!$B$2,0,0,COUNTA([3]enemy_skill_sets!$A:$A),MATCH(AC$1,[3]enemy_skill_sets!$1:$1,0)-MATCH($AB$1,[3]enemy_skill_sets!$1:$1,0)+1),MATCH(AC$1,[3]enemy_skill_sets!$1:$1,0)-MATCH($AB$1,[3]enemy_skill_sets!$1:$1,0)+1,FALSE)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" s="27">
        <v>1</v>
      </c>
      <c r="AE85" s="37">
        <v>1</v>
      </c>
      <c r="AF85" s="37">
        <v>0</v>
      </c>
      <c r="AG85" s="28">
        <f ca="1">ROUND(VLOOKUP(1,enemy_base_stats!$A:$F,2,FALSE) * Y85* J85*O85*E85*S85*AD85*[2]ステータス!$B$2,0)</f>
        <v>2548</v>
      </c>
      <c r="AH85" s="28">
        <f ca="1">ROUND(VLOOKUP(1,enemy_base_stats!$A:$F,3,FALSE) * Z85*K85*P85*F85*T85*AE85 * W85*[2]ステータス!$C$2,0)</f>
        <v>150</v>
      </c>
      <c r="AI85" s="28">
        <f ca="1">ROUND(VLOOKUP(1,enemy_base_stats!$A:$F,4,FALSE) * AA85*L85*Q85*G85*U85*AF85*[2]ステータス!$D$2,0)</f>
        <v>0</v>
      </c>
      <c r="AJ85" s="28">
        <f ca="1">ROUND(VLOOKUP(100,enemy_base_stats!$A:$F,2,FALSE) * Y85* J85*O85*E85*S85*AD85*[2]ステータス!$B$2,0)</f>
        <v>103449</v>
      </c>
      <c r="AK85" s="28">
        <f ca="1">ROUND(VLOOKUP(100,enemy_base_stats!$A:$F,3,FALSE)* Z85* K85*P85*F85*T85*AE85 * W85*[2]ステータス!$C$2,0)</f>
        <v>6081</v>
      </c>
      <c r="AL85" s="28">
        <f ca="1">ROUND(VLOOKUP(100,enemy_base_stats!$A:$F,4,FALSE)* AA85* L85*Q85*G85*U85*AF85*[2]ステータス!$D$2,0)</f>
        <v>0</v>
      </c>
      <c r="AM85" s="24">
        <f ca="1">VLOOKUP(M85,[2]character_tribe_i18n!$A:$I,9,FALSE)</f>
        <v>340</v>
      </c>
      <c r="AN85" s="36">
        <v>0</v>
      </c>
      <c r="AO85" s="53">
        <v>0</v>
      </c>
      <c r="AP85" s="58" t="s">
        <v>72</v>
      </c>
      <c r="AQ85" s="71">
        <f t="shared" ca="1" si="2"/>
        <v>84</v>
      </c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</row>
    <row r="86" spans="1:60" s="3" customFormat="1" ht="21" customHeight="1" x14ac:dyDescent="0.15">
      <c r="A86" s="32">
        <f t="shared" ca="1" si="3"/>
        <v>85</v>
      </c>
      <c r="B86" s="6" t="str">
        <f ca="1">VLOOKUP(A86,[2]characters!$A:$C,3,FALSE)</f>
        <v>朱雀</v>
      </c>
      <c r="C86" s="9">
        <f ca="1">VLOOKUP(A86,[2]characters!$A:$I,9,FALSE)</f>
        <v>3</v>
      </c>
      <c r="D86" s="9" t="str">
        <f ca="1">VLOOKUP(A86,[2]characters!$A:$H,8,FALSE)</f>
        <v>red</v>
      </c>
      <c r="E86" s="24">
        <f ca="1">VLOOKUP(D86,[2]属性!$A:$E,2,FALSE)</f>
        <v>1</v>
      </c>
      <c r="F86" s="24">
        <f ca="1">VLOOKUP(D86,[2]属性!$A:$E,3,FALSE)</f>
        <v>1.02</v>
      </c>
      <c r="G86" s="24">
        <f ca="1">VLOOKUP(D86,[2]属性!$A:$F,4,FALSE)</f>
        <v>1</v>
      </c>
      <c r="H86" s="9" t="str">
        <f ca="1">VLOOKUP(A86,[2]characters!$A:$K,11,FALSE)</f>
        <v>balance</v>
      </c>
      <c r="I86" s="14" t="str">
        <f ca="1">VLOOKUP(H86,[2]character_type_i18n!$A:$F,3,FALSE)</f>
        <v>バランスタイプ</v>
      </c>
      <c r="J86" s="36">
        <f ca="1">VLOOKUP(H86,[2]character_type_i18n!$A:$F,4,FALSE)</f>
        <v>1</v>
      </c>
      <c r="K86" s="36">
        <f ca="1">VLOOKUP(H86,[2]character_type_i18n!$A:$F,5,FALSE)</f>
        <v>1</v>
      </c>
      <c r="L86" s="36">
        <f ca="1">VLOOKUP(H86,[2]character_type_i18n!$A:$F,6,FALSE)</f>
        <v>1</v>
      </c>
      <c r="M86" s="9" t="str">
        <f ca="1">VLOOKUP(A86,[2]characters!$A:$M,13,FALSE)</f>
        <v>animal</v>
      </c>
      <c r="N86" s="14" t="str">
        <f ca="1">VLOOKUP(M86,[2]character_tribe_i18n!$A:$F,3,FALSE)</f>
        <v>アニマル</v>
      </c>
      <c r="O86" s="24">
        <f ca="1">VLOOKUP(M86,[2]character_tribe_i18n!$A:$F,4,FALSE)</f>
        <v>1</v>
      </c>
      <c r="P86" s="24">
        <f ca="1">VLOOKUP(M86,[2]character_tribe_i18n!$A:$F,5,FALSE)</f>
        <v>1.1000000000000001</v>
      </c>
      <c r="Q86" s="24">
        <f ca="1">VLOOKUP(M86,[2]character_tribe_i18n!$A:$F,6,FALSE)</f>
        <v>1</v>
      </c>
      <c r="R86" s="25" t="s">
        <v>4</v>
      </c>
      <c r="S86" s="24">
        <f>VLOOKUP($R86,ラベル別係数!$A$1:$E$7,3,FALSE)</f>
        <v>5</v>
      </c>
      <c r="T86" s="24">
        <f>VLOOKUP($R86,ラベル別係数!$A$1:$E$7,4,FALSE)</f>
        <v>1.3</v>
      </c>
      <c r="U86" s="24">
        <f>VLOOKUP($R86,ラベル別係数!$A$1:$E$7,5,FALSE)</f>
        <v>0.8</v>
      </c>
      <c r="V86" s="27">
        <v>2</v>
      </c>
      <c r="W86" s="28">
        <f>VLOOKUP(V86,ターン数別攻撃係数!$A$1:$B$1000,2,FALSE)</f>
        <v>0.75</v>
      </c>
      <c r="X86" s="10">
        <v>20</v>
      </c>
      <c r="Y86" s="26">
        <f>VLOOKUP($X86,サイズ別係数!$B:$E,2,FALSE)</f>
        <v>1.1000000000000001</v>
      </c>
      <c r="Z86" s="26">
        <f>VLOOKUP($X86,サイズ別係数!$B:$E,3,FALSE)</f>
        <v>1.2</v>
      </c>
      <c r="AA86" s="26">
        <f>VLOOKUP($X86,サイズ別係数!$B:$E,4,FALSE)</f>
        <v>1.2</v>
      </c>
      <c r="AB86" s="35">
        <v>85</v>
      </c>
      <c r="AC86" s="34" t="str">
        <f ca="1">VLOOKUP($AB86,OFFSET([3]enemy_skill_sets!$B$2,0,0,COUNTA([3]enemy_skill_sets!$A:$A),MATCH(AC$1,[3]enemy_skill_sets!$1:$1,0)-MATCH($AB$1,[3]enemy_skill_sets!$1:$1,0)+1),MATCH(AC$1,[3]enemy_skill_sets!$1:$1,0)-MATCH($AB$1,[3]enemy_skill_sets!$1:$1,0)+1,FALSE)</f>
        <v>3ターンの間ダメージを受ける</v>
      </c>
      <c r="AD86" s="27">
        <v>1.3</v>
      </c>
      <c r="AE86" s="37">
        <v>0.8</v>
      </c>
      <c r="AF86" s="37">
        <v>0</v>
      </c>
      <c r="AG86" s="28">
        <f ca="1">ROUND(VLOOKUP(1,enemy_base_stats!$A:$F,2,FALSE) * Y86* J86*O86*E86*S86*AD86*[2]ステータス!$B$2,0)</f>
        <v>3575</v>
      </c>
      <c r="AH86" s="28">
        <f ca="1">ROUND(VLOOKUP(1,enemy_base_stats!$A:$F,3,FALSE) * Z86*K86*P86*F86*T86*AE86 * W86*[2]ステータス!$C$2,0)</f>
        <v>158</v>
      </c>
      <c r="AI86" s="28">
        <f ca="1">ROUND(VLOOKUP(1,enemy_base_stats!$A:$F,4,FALSE) * AA86*L86*Q86*G86*U86*AF86*[2]ステータス!$D$2,0)</f>
        <v>0</v>
      </c>
      <c r="AJ86" s="28">
        <f ca="1">ROUND(VLOOKUP(100,enemy_base_stats!$A:$F,2,FALSE) * Y86* J86*O86*E86*S86*AD86*[2]ステータス!$B$2,0)</f>
        <v>145145</v>
      </c>
      <c r="AK86" s="28">
        <f ca="1">ROUND(VLOOKUP(100,enemy_base_stats!$A:$F,3,FALSE)* Z86* K86*P86*F86*T86*AE86 * W86*[2]ステータス!$C$2,0)</f>
        <v>6396</v>
      </c>
      <c r="AL86" s="28">
        <f ca="1">ROUND(VLOOKUP(100,enemy_base_stats!$A:$F,4,FALSE)* AA86* L86*Q86*G86*U86*AF86*[2]ステータス!$D$2,0)</f>
        <v>0</v>
      </c>
      <c r="AM86" s="24">
        <f ca="1">VLOOKUP(M86,[2]character_tribe_i18n!$A:$I,9,FALSE)</f>
        <v>480</v>
      </c>
      <c r="AN86" s="36">
        <v>0</v>
      </c>
      <c r="AO86" s="53">
        <v>0</v>
      </c>
      <c r="AP86" s="58" t="s">
        <v>72</v>
      </c>
      <c r="AQ86" s="71">
        <f t="shared" ca="1" si="2"/>
        <v>85</v>
      </c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</row>
    <row r="87" spans="1:60" s="3" customFormat="1" ht="21" customHeight="1" x14ac:dyDescent="0.15">
      <c r="A87" s="32">
        <f t="shared" ca="1" si="3"/>
        <v>86</v>
      </c>
      <c r="B87" s="6" t="str">
        <f ca="1">VLOOKUP(A87,[2]characters!$A:$C,3,FALSE)</f>
        <v>守護者 朱雀</v>
      </c>
      <c r="C87" s="9">
        <f ca="1">VLOOKUP(A87,[2]characters!$A:$I,9,FALSE)</f>
        <v>4</v>
      </c>
      <c r="D87" s="9" t="str">
        <f ca="1">VLOOKUP(A87,[2]characters!$A:$H,8,FALSE)</f>
        <v>red</v>
      </c>
      <c r="E87" s="24">
        <f ca="1">VLOOKUP(D87,[2]属性!$A:$E,2,FALSE)</f>
        <v>1</v>
      </c>
      <c r="F87" s="24">
        <f ca="1">VLOOKUP(D87,[2]属性!$A:$E,3,FALSE)</f>
        <v>1.02</v>
      </c>
      <c r="G87" s="24">
        <f ca="1">VLOOKUP(D87,[2]属性!$A:$F,4,FALSE)</f>
        <v>1</v>
      </c>
      <c r="H87" s="9" t="str">
        <f ca="1">VLOOKUP(A87,[2]characters!$A:$K,11,FALSE)</f>
        <v>balance</v>
      </c>
      <c r="I87" s="14" t="str">
        <f ca="1">VLOOKUP(H87,[2]character_type_i18n!$A:$F,3,FALSE)</f>
        <v>バランスタイプ</v>
      </c>
      <c r="J87" s="36">
        <f ca="1">VLOOKUP(H87,[2]character_type_i18n!$A:$F,4,FALSE)</f>
        <v>1</v>
      </c>
      <c r="K87" s="36">
        <f ca="1">VLOOKUP(H87,[2]character_type_i18n!$A:$F,5,FALSE)</f>
        <v>1</v>
      </c>
      <c r="L87" s="36">
        <f ca="1">VLOOKUP(H87,[2]character_type_i18n!$A:$F,6,FALSE)</f>
        <v>1</v>
      </c>
      <c r="M87" s="9" t="str">
        <f ca="1">VLOOKUP(A87,[2]characters!$A:$M,13,FALSE)</f>
        <v>animal</v>
      </c>
      <c r="N87" s="14" t="str">
        <f ca="1">VLOOKUP(M87,[2]character_tribe_i18n!$A:$F,3,FALSE)</f>
        <v>アニマル</v>
      </c>
      <c r="O87" s="24">
        <f ca="1">VLOOKUP(M87,[2]character_tribe_i18n!$A:$F,4,FALSE)</f>
        <v>1</v>
      </c>
      <c r="P87" s="24">
        <f ca="1">VLOOKUP(M87,[2]character_tribe_i18n!$A:$F,5,FALSE)</f>
        <v>1.1000000000000001</v>
      </c>
      <c r="Q87" s="24">
        <f ca="1">VLOOKUP(M87,[2]character_tribe_i18n!$A:$F,6,FALSE)</f>
        <v>1</v>
      </c>
      <c r="R87" s="25" t="s">
        <v>4</v>
      </c>
      <c r="S87" s="24">
        <f>VLOOKUP($R87,ラベル別係数!$A$1:$E$7,3,FALSE)</f>
        <v>5</v>
      </c>
      <c r="T87" s="24">
        <f>VLOOKUP($R87,ラベル別係数!$A$1:$E$7,4,FALSE)</f>
        <v>1.3</v>
      </c>
      <c r="U87" s="24">
        <f>VLOOKUP($R87,ラベル別係数!$A$1:$E$7,5,FALSE)</f>
        <v>0.8</v>
      </c>
      <c r="V87" s="27">
        <v>2</v>
      </c>
      <c r="W87" s="28">
        <f>VLOOKUP(V87,ターン数別攻撃係数!$A$1:$B$1000,2,FALSE)</f>
        <v>0.75</v>
      </c>
      <c r="X87" s="10">
        <v>30</v>
      </c>
      <c r="Y87" s="26">
        <f>VLOOKUP($X87,サイズ別係数!$B:$E,2,FALSE)</f>
        <v>1.3</v>
      </c>
      <c r="Z87" s="26">
        <f>VLOOKUP($X87,サイズ別係数!$B:$E,3,FALSE)</f>
        <v>1.3</v>
      </c>
      <c r="AA87" s="26">
        <f>VLOOKUP($X87,サイズ別係数!$B:$E,4,FALSE)</f>
        <v>1.1000000000000001</v>
      </c>
      <c r="AB87" s="35">
        <v>86</v>
      </c>
      <c r="AC87" s="34" t="str">
        <f ca="1">VLOOKUP($AB87,OFFSET([3]enemy_skill_sets!$B$2,0,0,COUNTA([3]enemy_skill_sets!$A:$A),MATCH(AC$1,[3]enemy_skill_sets!$1:$1,0)-MATCH($AB$1,[3]enemy_skill_sets!$1:$1,0)+1),MATCH(AC$1,[3]enemy_skill_sets!$1:$1,0)-MATCH($AB$1,[3]enemy_skill_sets!$1:$1,0)+1,FALSE)</f>
        <v>5ターンの間ダメージを受ける</v>
      </c>
      <c r="AD87" s="27">
        <v>1.3</v>
      </c>
      <c r="AE87" s="37">
        <v>0.8</v>
      </c>
      <c r="AF87" s="37">
        <v>0</v>
      </c>
      <c r="AG87" s="28">
        <f ca="1">ROUND(VLOOKUP(1,enemy_base_stats!$A:$F,2,FALSE) * Y87* J87*O87*E87*S87*AD87*[2]ステータス!$B$2,0)</f>
        <v>4225</v>
      </c>
      <c r="AH87" s="28">
        <f ca="1">ROUND(VLOOKUP(1,enemy_base_stats!$A:$F,3,FALSE) * Z87*K87*P87*F87*T87*AE87 * W87*[2]ステータス!$C$2,0)</f>
        <v>171</v>
      </c>
      <c r="AI87" s="28">
        <f ca="1">ROUND(VLOOKUP(1,enemy_base_stats!$A:$F,4,FALSE) * AA87*L87*Q87*G87*U87*AF87*[2]ステータス!$D$2,0)</f>
        <v>0</v>
      </c>
      <c r="AJ87" s="28">
        <f ca="1">ROUND(VLOOKUP(100,enemy_base_stats!$A:$F,2,FALSE) * Y87* J87*O87*E87*S87*AD87*[2]ステータス!$B$2,0)</f>
        <v>171535</v>
      </c>
      <c r="AK87" s="28">
        <f ca="1">ROUND(VLOOKUP(100,enemy_base_stats!$A:$F,3,FALSE)* Z87* K87*P87*F87*T87*AE87 * W87*[2]ステータス!$C$2,0)</f>
        <v>6929</v>
      </c>
      <c r="AL87" s="28">
        <f ca="1">ROUND(VLOOKUP(100,enemy_base_stats!$A:$F,4,FALSE)* AA87* L87*Q87*G87*U87*AF87*[2]ステータス!$D$2,0)</f>
        <v>0</v>
      </c>
      <c r="AM87" s="24">
        <f ca="1">VLOOKUP(M87,[2]character_tribe_i18n!$A:$I,9,FALSE)</f>
        <v>480</v>
      </c>
      <c r="AN87" s="36">
        <v>0</v>
      </c>
      <c r="AO87" s="53">
        <v>0</v>
      </c>
      <c r="AP87" s="58" t="s">
        <v>72</v>
      </c>
      <c r="AQ87" s="71">
        <f t="shared" ca="1" si="2"/>
        <v>86</v>
      </c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</row>
    <row r="88" spans="1:60" s="3" customFormat="1" ht="21" customHeight="1" x14ac:dyDescent="0.15">
      <c r="A88" s="32">
        <f t="shared" ca="1" si="3"/>
        <v>87</v>
      </c>
      <c r="B88" s="6" t="str">
        <f ca="1">VLOOKUP(A88,[2]characters!$A:$C,3,FALSE)</f>
        <v>朱南の守護神 朱雀</v>
      </c>
      <c r="C88" s="9">
        <f ca="1">VLOOKUP(A88,[2]characters!$A:$I,9,FALSE)</f>
        <v>5</v>
      </c>
      <c r="D88" s="9" t="str">
        <f ca="1">VLOOKUP(A88,[2]characters!$A:$H,8,FALSE)</f>
        <v>red</v>
      </c>
      <c r="E88" s="24">
        <f ca="1">VLOOKUP(D88,[2]属性!$A:$E,2,FALSE)</f>
        <v>1</v>
      </c>
      <c r="F88" s="24">
        <f ca="1">VLOOKUP(D88,[2]属性!$A:$E,3,FALSE)</f>
        <v>1.02</v>
      </c>
      <c r="G88" s="24">
        <f ca="1">VLOOKUP(D88,[2]属性!$A:$F,4,FALSE)</f>
        <v>1</v>
      </c>
      <c r="H88" s="9" t="str">
        <f ca="1">VLOOKUP(A88,[2]characters!$A:$K,11,FALSE)</f>
        <v>balance</v>
      </c>
      <c r="I88" s="14" t="str">
        <f ca="1">VLOOKUP(H88,[2]character_type_i18n!$A:$F,3,FALSE)</f>
        <v>バランスタイプ</v>
      </c>
      <c r="J88" s="36">
        <f ca="1">VLOOKUP(H88,[2]character_type_i18n!$A:$F,4,FALSE)</f>
        <v>1</v>
      </c>
      <c r="K88" s="36">
        <f ca="1">VLOOKUP(H88,[2]character_type_i18n!$A:$F,5,FALSE)</f>
        <v>1</v>
      </c>
      <c r="L88" s="36">
        <f ca="1">VLOOKUP(H88,[2]character_type_i18n!$A:$F,6,FALSE)</f>
        <v>1</v>
      </c>
      <c r="M88" s="9" t="str">
        <f ca="1">VLOOKUP(A88,[2]characters!$A:$M,13,FALSE)</f>
        <v>animal</v>
      </c>
      <c r="N88" s="14" t="str">
        <f ca="1">VLOOKUP(M88,[2]character_tribe_i18n!$A:$F,3,FALSE)</f>
        <v>アニマル</v>
      </c>
      <c r="O88" s="24">
        <f ca="1">VLOOKUP(M88,[2]character_tribe_i18n!$A:$F,4,FALSE)</f>
        <v>1</v>
      </c>
      <c r="P88" s="24">
        <f ca="1">VLOOKUP(M88,[2]character_tribe_i18n!$A:$F,5,FALSE)</f>
        <v>1.1000000000000001</v>
      </c>
      <c r="Q88" s="24">
        <f ca="1">VLOOKUP(M88,[2]character_tribe_i18n!$A:$F,6,FALSE)</f>
        <v>1</v>
      </c>
      <c r="R88" s="25" t="s">
        <v>4</v>
      </c>
      <c r="S88" s="24">
        <f>VLOOKUP($R88,ラベル別係数!$A$1:$E$7,3,FALSE)</f>
        <v>5</v>
      </c>
      <c r="T88" s="24">
        <f>VLOOKUP($R88,ラベル別係数!$A$1:$E$7,4,FALSE)</f>
        <v>1.3</v>
      </c>
      <c r="U88" s="24">
        <f>VLOOKUP($R88,ラベル別係数!$A$1:$E$7,5,FALSE)</f>
        <v>0.8</v>
      </c>
      <c r="V88" s="27">
        <v>2</v>
      </c>
      <c r="W88" s="28">
        <f>VLOOKUP(V88,ターン数別攻撃係数!$A$1:$B$1000,2,FALSE)</f>
        <v>0.75</v>
      </c>
      <c r="X88" s="10">
        <v>60</v>
      </c>
      <c r="Y88" s="26">
        <f>VLOOKUP($X88,サイズ別係数!$B:$E,2,FALSE)</f>
        <v>1.7</v>
      </c>
      <c r="Z88" s="26">
        <f>VLOOKUP($X88,サイズ別係数!$B:$E,3,FALSE)</f>
        <v>1.4</v>
      </c>
      <c r="AA88" s="26">
        <f>VLOOKUP($X88,サイズ別係数!$B:$E,4,FALSE)</f>
        <v>1</v>
      </c>
      <c r="AB88" s="35">
        <v>0</v>
      </c>
      <c r="AC88" s="34" t="str">
        <f ca="1">VLOOKUP($AB88,OFFSET([3]enemy_skill_sets!$B$2,0,0,COUNTA([3]enemy_skill_sets!$A:$A),MATCH(AC$1,[3]enemy_skill_sets!$1:$1,0)-MATCH($AB$1,[3]enemy_skill_sets!$1:$1,0)+1),MATCH(AC$1,[3]enemy_skill_sets!$1:$1,0)-MATCH($AB$1,[3]enemy_skill_sets!$1:$1,0)+1,FALSE)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" s="27">
        <v>1</v>
      </c>
      <c r="AE88" s="37">
        <v>1</v>
      </c>
      <c r="AF88" s="37">
        <v>0</v>
      </c>
      <c r="AG88" s="28">
        <f ca="1">ROUND(VLOOKUP(1,enemy_base_stats!$A:$F,2,FALSE) * Y88* J88*O88*E88*S88*AD88*[2]ステータス!$B$2,0)</f>
        <v>4250</v>
      </c>
      <c r="AH88" s="28">
        <f ca="1">ROUND(VLOOKUP(1,enemy_base_stats!$A:$F,3,FALSE) * Z88*K88*P88*F88*T88*AE88 * W88*[2]ステータス!$C$2,0)</f>
        <v>230</v>
      </c>
      <c r="AI88" s="28">
        <f ca="1">ROUND(VLOOKUP(1,enemy_base_stats!$A:$F,4,FALSE) * AA88*L88*Q88*G88*U88*AF88*[2]ステータス!$D$2,0)</f>
        <v>0</v>
      </c>
      <c r="AJ88" s="28">
        <f ca="1">ROUND(VLOOKUP(100,enemy_base_stats!$A:$F,2,FALSE) * Y88* J88*O88*E88*S88*AD88*[2]ステータス!$B$2,0)</f>
        <v>172550</v>
      </c>
      <c r="AK88" s="28">
        <f ca="1">ROUND(VLOOKUP(100,enemy_base_stats!$A:$F,3,FALSE)* Z88* K88*P88*F88*T88*AE88 * W88*[2]ステータス!$C$2,0)</f>
        <v>9327</v>
      </c>
      <c r="AL88" s="28">
        <f ca="1">ROUND(VLOOKUP(100,enemy_base_stats!$A:$F,4,FALSE)* AA88* L88*Q88*G88*U88*AF88*[2]ステータス!$D$2,0)</f>
        <v>0</v>
      </c>
      <c r="AM88" s="24">
        <f ca="1">VLOOKUP(M88,[2]character_tribe_i18n!$A:$I,9,FALSE)</f>
        <v>480</v>
      </c>
      <c r="AN88" s="36">
        <v>0</v>
      </c>
      <c r="AO88" s="53">
        <v>0</v>
      </c>
      <c r="AP88" s="58" t="s">
        <v>72</v>
      </c>
      <c r="AQ88" s="71">
        <f t="shared" ca="1" si="2"/>
        <v>87</v>
      </c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</row>
    <row r="89" spans="1:60" s="3" customFormat="1" ht="21" customHeight="1" x14ac:dyDescent="0.15">
      <c r="A89" s="32">
        <f t="shared" ca="1" si="3"/>
        <v>88</v>
      </c>
      <c r="B89" s="6" t="str">
        <f ca="1">VLOOKUP(A89,[2]characters!$A:$C,3,FALSE)</f>
        <v>玄武</v>
      </c>
      <c r="C89" s="9">
        <f ca="1">VLOOKUP(A89,[2]characters!$A:$I,9,FALSE)</f>
        <v>3</v>
      </c>
      <c r="D89" s="9" t="str">
        <f ca="1">VLOOKUP(A89,[2]characters!$A:$H,8,FALSE)</f>
        <v>green</v>
      </c>
      <c r="E89" s="24">
        <f ca="1">VLOOKUP(D89,[2]属性!$A:$E,2,FALSE)</f>
        <v>1.02</v>
      </c>
      <c r="F89" s="24">
        <f ca="1">VLOOKUP(D89,[2]属性!$A:$E,3,FALSE)</f>
        <v>0.98</v>
      </c>
      <c r="G89" s="24">
        <f ca="1">VLOOKUP(D89,[2]属性!$A:$F,4,FALSE)</f>
        <v>1</v>
      </c>
      <c r="H89" s="9" t="str">
        <f ca="1">VLOOKUP(A89,[2]characters!$A:$K,11,FALSE)</f>
        <v>technical</v>
      </c>
      <c r="I89" s="14" t="str">
        <f ca="1">VLOOKUP(H89,[2]character_type_i18n!$A:$F,3,FALSE)</f>
        <v>テクニカルタイプ</v>
      </c>
      <c r="J89" s="36">
        <f ca="1">VLOOKUP(H89,[2]character_type_i18n!$A:$F,4,FALSE)</f>
        <v>0.9</v>
      </c>
      <c r="K89" s="36">
        <f ca="1">VLOOKUP(H89,[2]character_type_i18n!$A:$F,5,FALSE)</f>
        <v>0.9</v>
      </c>
      <c r="L89" s="36">
        <f ca="1">VLOOKUP(H89,[2]character_type_i18n!$A:$F,6,FALSE)</f>
        <v>1</v>
      </c>
      <c r="M89" s="9" t="str">
        <f ca="1">VLOOKUP(A89,[2]characters!$A:$M,13,FALSE)</f>
        <v>dragon</v>
      </c>
      <c r="N89" s="14" t="str">
        <f ca="1">VLOOKUP(M89,[2]character_tribe_i18n!$A:$F,3,FALSE)</f>
        <v>ドラゴン</v>
      </c>
      <c r="O89" s="24">
        <f ca="1">VLOOKUP(M89,[2]character_tribe_i18n!$A:$F,4,FALSE)</f>
        <v>1.1499999999999999</v>
      </c>
      <c r="P89" s="24">
        <f ca="1">VLOOKUP(M89,[2]character_tribe_i18n!$A:$F,5,FALSE)</f>
        <v>1.1000000000000001</v>
      </c>
      <c r="Q89" s="24">
        <f ca="1">VLOOKUP(M89,[2]character_tribe_i18n!$A:$F,6,FALSE)</f>
        <v>1</v>
      </c>
      <c r="R89" s="25" t="s">
        <v>4</v>
      </c>
      <c r="S89" s="24">
        <f>VLOOKUP($R89,ラベル別係数!$A$1:$E$7,3,FALSE)</f>
        <v>5</v>
      </c>
      <c r="T89" s="24">
        <f>VLOOKUP($R89,ラベル別係数!$A$1:$E$7,4,FALSE)</f>
        <v>1.3</v>
      </c>
      <c r="U89" s="24">
        <f>VLOOKUP($R89,ラベル別係数!$A$1:$E$7,5,FALSE)</f>
        <v>0.8</v>
      </c>
      <c r="V89" s="27">
        <v>2</v>
      </c>
      <c r="W89" s="28">
        <f>VLOOKUP(V89,ターン数別攻撃係数!$A$1:$B$1000,2,FALSE)</f>
        <v>0.75</v>
      </c>
      <c r="X89" s="10">
        <v>20</v>
      </c>
      <c r="Y89" s="26">
        <f>VLOOKUP($X89,サイズ別係数!$B:$E,2,FALSE)</f>
        <v>1.1000000000000001</v>
      </c>
      <c r="Z89" s="26">
        <f>VLOOKUP($X89,サイズ別係数!$B:$E,3,FALSE)</f>
        <v>1.2</v>
      </c>
      <c r="AA89" s="26">
        <f>VLOOKUP($X89,サイズ別係数!$B:$E,4,FALSE)</f>
        <v>1.2</v>
      </c>
      <c r="AB89" s="35">
        <v>88</v>
      </c>
      <c r="AC89" s="34" t="str">
        <f ca="1">VLOOKUP($AB89,OFFSET([3]enemy_skill_sets!$B$2,0,0,COUNTA([3]enemy_skill_sets!$A:$A),MATCH(AC$1,[3]enemy_skill_sets!$1:$1,0)-MATCH($AB$1,[3]enemy_skill_sets!$1:$1,0)+1),MATCH(AC$1,[3]enemy_skill_sets!$1:$1,0)-MATCH($AB$1,[3]enemy_skill_sets!$1:$1,0)+1,FALSE)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89" s="27">
        <v>1</v>
      </c>
      <c r="AE89" s="37">
        <v>1</v>
      </c>
      <c r="AF89" s="37">
        <v>0</v>
      </c>
      <c r="AG89" s="28">
        <f ca="1">ROUND(VLOOKUP(1,enemy_base_stats!$A:$F,2,FALSE) * Y89* J89*O89*E89*S89*AD89*[2]ステータス!$B$2,0)</f>
        <v>2903</v>
      </c>
      <c r="AH89" s="28">
        <f ca="1">ROUND(VLOOKUP(1,enemy_base_stats!$A:$F,3,FALSE) * Z89*K89*P89*F89*T89*AE89 * W89*[2]ステータス!$C$2,0)</f>
        <v>170</v>
      </c>
      <c r="AI89" s="28">
        <f ca="1">ROUND(VLOOKUP(1,enemy_base_stats!$A:$F,4,FALSE) * AA89*L89*Q89*G89*U89*AF89*[2]ステータス!$D$2,0)</f>
        <v>0</v>
      </c>
      <c r="AJ89" s="28">
        <f ca="1">ROUND(VLOOKUP(100,enemy_base_stats!$A:$F,2,FALSE) * Y89* J89*O89*E89*S89*AD89*[2]ステータス!$B$2,0)</f>
        <v>117869</v>
      </c>
      <c r="AK89" s="28">
        <f ca="1">ROUND(VLOOKUP(100,enemy_base_stats!$A:$F,3,FALSE)* Z89* K89*P89*F89*T89*AE89 * W89*[2]ステータス!$C$2,0)</f>
        <v>6913</v>
      </c>
      <c r="AL89" s="28">
        <f ca="1">ROUND(VLOOKUP(100,enemy_base_stats!$A:$F,4,FALSE)* AA89* L89*Q89*G89*U89*AF89*[2]ステータス!$D$2,0)</f>
        <v>0</v>
      </c>
      <c r="AM89" s="24">
        <f ca="1">VLOOKUP(M89,[2]character_tribe_i18n!$A:$I,9,FALSE)</f>
        <v>540</v>
      </c>
      <c r="AN89" s="36">
        <v>0</v>
      </c>
      <c r="AO89" s="53">
        <v>0</v>
      </c>
      <c r="AP89" s="58" t="s">
        <v>72</v>
      </c>
      <c r="AQ89" s="71">
        <f t="shared" ca="1" si="2"/>
        <v>88</v>
      </c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</row>
    <row r="90" spans="1:60" s="3" customFormat="1" ht="21" customHeight="1" x14ac:dyDescent="0.15">
      <c r="A90" s="32">
        <f t="shared" ca="1" si="3"/>
        <v>89</v>
      </c>
      <c r="B90" s="6" t="str">
        <f ca="1">VLOOKUP(A90,[2]characters!$A:$C,3,FALSE)</f>
        <v>守護者 玄武</v>
      </c>
      <c r="C90" s="9">
        <f ca="1">VLOOKUP(A90,[2]characters!$A:$I,9,FALSE)</f>
        <v>4</v>
      </c>
      <c r="D90" s="9" t="str">
        <f ca="1">VLOOKUP(A90,[2]characters!$A:$H,8,FALSE)</f>
        <v>green</v>
      </c>
      <c r="E90" s="24">
        <f ca="1">VLOOKUP(D90,[2]属性!$A:$E,2,FALSE)</f>
        <v>1.02</v>
      </c>
      <c r="F90" s="24">
        <f ca="1">VLOOKUP(D90,[2]属性!$A:$E,3,FALSE)</f>
        <v>0.98</v>
      </c>
      <c r="G90" s="24">
        <f ca="1">VLOOKUP(D90,[2]属性!$A:$F,4,FALSE)</f>
        <v>1</v>
      </c>
      <c r="H90" s="9" t="str">
        <f ca="1">VLOOKUP(A90,[2]characters!$A:$K,11,FALSE)</f>
        <v>technical</v>
      </c>
      <c r="I90" s="14" t="str">
        <f ca="1">VLOOKUP(H90,[2]character_type_i18n!$A:$F,3,FALSE)</f>
        <v>テクニカルタイプ</v>
      </c>
      <c r="J90" s="36">
        <f ca="1">VLOOKUP(H90,[2]character_type_i18n!$A:$F,4,FALSE)</f>
        <v>0.9</v>
      </c>
      <c r="K90" s="36">
        <f ca="1">VLOOKUP(H90,[2]character_type_i18n!$A:$F,5,FALSE)</f>
        <v>0.9</v>
      </c>
      <c r="L90" s="36">
        <f ca="1">VLOOKUP(H90,[2]character_type_i18n!$A:$F,6,FALSE)</f>
        <v>1</v>
      </c>
      <c r="M90" s="9" t="str">
        <f ca="1">VLOOKUP(A90,[2]characters!$A:$M,13,FALSE)</f>
        <v>dragon</v>
      </c>
      <c r="N90" s="14" t="str">
        <f ca="1">VLOOKUP(M90,[2]character_tribe_i18n!$A:$F,3,FALSE)</f>
        <v>ドラゴン</v>
      </c>
      <c r="O90" s="24">
        <f ca="1">VLOOKUP(M90,[2]character_tribe_i18n!$A:$F,4,FALSE)</f>
        <v>1.1499999999999999</v>
      </c>
      <c r="P90" s="24">
        <f ca="1">VLOOKUP(M90,[2]character_tribe_i18n!$A:$F,5,FALSE)</f>
        <v>1.1000000000000001</v>
      </c>
      <c r="Q90" s="24">
        <f ca="1">VLOOKUP(M90,[2]character_tribe_i18n!$A:$F,6,FALSE)</f>
        <v>1</v>
      </c>
      <c r="R90" s="25" t="s">
        <v>4</v>
      </c>
      <c r="S90" s="24">
        <f>VLOOKUP($R90,ラベル別係数!$A$1:$E$7,3,FALSE)</f>
        <v>5</v>
      </c>
      <c r="T90" s="24">
        <f>VLOOKUP($R90,ラベル別係数!$A$1:$E$7,4,FALSE)</f>
        <v>1.3</v>
      </c>
      <c r="U90" s="24">
        <f>VLOOKUP($R90,ラベル別係数!$A$1:$E$7,5,FALSE)</f>
        <v>0.8</v>
      </c>
      <c r="V90" s="27">
        <v>2</v>
      </c>
      <c r="W90" s="28">
        <f>VLOOKUP(V90,ターン数別攻撃係数!$A$1:$B$1000,2,FALSE)</f>
        <v>0.75</v>
      </c>
      <c r="X90" s="10">
        <v>30</v>
      </c>
      <c r="Y90" s="26">
        <f>VLOOKUP($X90,サイズ別係数!$B:$E,2,FALSE)</f>
        <v>1.3</v>
      </c>
      <c r="Z90" s="26">
        <f>VLOOKUP($X90,サイズ別係数!$B:$E,3,FALSE)</f>
        <v>1.3</v>
      </c>
      <c r="AA90" s="26">
        <f>VLOOKUP($X90,サイズ別係数!$B:$E,4,FALSE)</f>
        <v>1.1000000000000001</v>
      </c>
      <c r="AB90" s="35">
        <v>89</v>
      </c>
      <c r="AC90" s="34" t="str">
        <f ca="1">VLOOKUP($AB90,OFFSET([3]enemy_skill_sets!$B$2,0,0,COUNTA([3]enemy_skill_sets!$A:$A),MATCH(AC$1,[3]enemy_skill_sets!$1:$1,0)-MATCH($AB$1,[3]enemy_skill_sets!$1:$1,0)+1),MATCH(AC$1,[3]enemy_skill_sets!$1:$1,0)-MATCH($AB$1,[3]enemy_skill_sets!$1:$1,0)+1,FALSE)</f>
        <v>全体攻撃</v>
      </c>
      <c r="AD90" s="27">
        <v>1</v>
      </c>
      <c r="AE90" s="37">
        <v>1</v>
      </c>
      <c r="AF90" s="37">
        <v>0</v>
      </c>
      <c r="AG90" s="28">
        <f ca="1">ROUND(VLOOKUP(1,enemy_base_stats!$A:$F,2,FALSE) * Y90* J90*O90*E90*S90*AD90*[2]ステータス!$B$2,0)</f>
        <v>3431</v>
      </c>
      <c r="AH90" s="28">
        <f ca="1">ROUND(VLOOKUP(1,enemy_base_stats!$A:$F,3,FALSE) * Z90*K90*P90*F90*T90*AE90 * W90*[2]ステータス!$C$2,0)</f>
        <v>184</v>
      </c>
      <c r="AI90" s="28">
        <f ca="1">ROUND(VLOOKUP(1,enemy_base_stats!$A:$F,4,FALSE) * AA90*L90*Q90*G90*U90*AF90*[2]ステータス!$D$2,0)</f>
        <v>0</v>
      </c>
      <c r="AJ90" s="28">
        <f ca="1">ROUND(VLOOKUP(100,enemy_base_stats!$A:$F,2,FALSE) * Y90* J90*O90*E90*S90*AD90*[2]ステータス!$B$2,0)</f>
        <v>139300</v>
      </c>
      <c r="AK90" s="28">
        <f ca="1">ROUND(VLOOKUP(100,enemy_base_stats!$A:$F,3,FALSE)* Z90* K90*P90*F90*T90*AE90 * W90*[2]ステータス!$C$2,0)</f>
        <v>7489</v>
      </c>
      <c r="AL90" s="28">
        <f ca="1">ROUND(VLOOKUP(100,enemy_base_stats!$A:$F,4,FALSE)* AA90* L90*Q90*G90*U90*AF90*[2]ステータス!$D$2,0)</f>
        <v>0</v>
      </c>
      <c r="AM90" s="24">
        <f ca="1">VLOOKUP(M90,[2]character_tribe_i18n!$A:$I,9,FALSE)</f>
        <v>540</v>
      </c>
      <c r="AN90" s="36">
        <v>0</v>
      </c>
      <c r="AO90" s="53">
        <v>0</v>
      </c>
      <c r="AP90" s="58" t="s">
        <v>72</v>
      </c>
      <c r="AQ90" s="71">
        <f t="shared" ca="1" si="2"/>
        <v>89</v>
      </c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</row>
    <row r="91" spans="1:60" s="3" customFormat="1" ht="21" customHeight="1" x14ac:dyDescent="0.15">
      <c r="A91" s="32">
        <f t="shared" ca="1" si="3"/>
        <v>90</v>
      </c>
      <c r="B91" s="6" t="str">
        <f ca="1">VLOOKUP(A91,[2]characters!$A:$C,3,FALSE)</f>
        <v>翠北の守護神 玄武</v>
      </c>
      <c r="C91" s="9">
        <f ca="1">VLOOKUP(A91,[2]characters!$A:$I,9,FALSE)</f>
        <v>5</v>
      </c>
      <c r="D91" s="9" t="str">
        <f ca="1">VLOOKUP(A91,[2]characters!$A:$H,8,FALSE)</f>
        <v>green</v>
      </c>
      <c r="E91" s="24">
        <f ca="1">VLOOKUP(D91,[2]属性!$A:$E,2,FALSE)</f>
        <v>1.02</v>
      </c>
      <c r="F91" s="24">
        <f ca="1">VLOOKUP(D91,[2]属性!$A:$E,3,FALSE)</f>
        <v>0.98</v>
      </c>
      <c r="G91" s="24">
        <f ca="1">VLOOKUP(D91,[2]属性!$A:$F,4,FALSE)</f>
        <v>1</v>
      </c>
      <c r="H91" s="9" t="str">
        <f ca="1">VLOOKUP(A91,[2]characters!$A:$K,11,FALSE)</f>
        <v>technical</v>
      </c>
      <c r="I91" s="14" t="str">
        <f ca="1">VLOOKUP(H91,[2]character_type_i18n!$A:$F,3,FALSE)</f>
        <v>テクニカルタイプ</v>
      </c>
      <c r="J91" s="36">
        <f ca="1">VLOOKUP(H91,[2]character_type_i18n!$A:$F,4,FALSE)</f>
        <v>0.9</v>
      </c>
      <c r="K91" s="36">
        <f ca="1">VLOOKUP(H91,[2]character_type_i18n!$A:$F,5,FALSE)</f>
        <v>0.9</v>
      </c>
      <c r="L91" s="36">
        <f ca="1">VLOOKUP(H91,[2]character_type_i18n!$A:$F,6,FALSE)</f>
        <v>1</v>
      </c>
      <c r="M91" s="9" t="str">
        <f ca="1">VLOOKUP(A91,[2]characters!$A:$M,13,FALSE)</f>
        <v>dragon</v>
      </c>
      <c r="N91" s="14" t="str">
        <f ca="1">VLOOKUP(M91,[2]character_tribe_i18n!$A:$F,3,FALSE)</f>
        <v>ドラゴン</v>
      </c>
      <c r="O91" s="24">
        <f ca="1">VLOOKUP(M91,[2]character_tribe_i18n!$A:$F,4,FALSE)</f>
        <v>1.1499999999999999</v>
      </c>
      <c r="P91" s="24">
        <f ca="1">VLOOKUP(M91,[2]character_tribe_i18n!$A:$F,5,FALSE)</f>
        <v>1.1000000000000001</v>
      </c>
      <c r="Q91" s="24">
        <f ca="1">VLOOKUP(M91,[2]character_tribe_i18n!$A:$F,6,FALSE)</f>
        <v>1</v>
      </c>
      <c r="R91" s="25" t="s">
        <v>4</v>
      </c>
      <c r="S91" s="24">
        <f>VLOOKUP($R91,ラベル別係数!$A$1:$E$7,3,FALSE)</f>
        <v>5</v>
      </c>
      <c r="T91" s="24">
        <f>VLOOKUP($R91,ラベル別係数!$A$1:$E$7,4,FALSE)</f>
        <v>1.3</v>
      </c>
      <c r="U91" s="24">
        <f>VLOOKUP($R91,ラベル別係数!$A$1:$E$7,5,FALSE)</f>
        <v>0.8</v>
      </c>
      <c r="V91" s="27">
        <v>2</v>
      </c>
      <c r="W91" s="28">
        <f>VLOOKUP(V91,ターン数別攻撃係数!$A$1:$B$1000,2,FALSE)</f>
        <v>0.75</v>
      </c>
      <c r="X91" s="10">
        <v>60</v>
      </c>
      <c r="Y91" s="26">
        <f>VLOOKUP($X91,サイズ別係数!$B:$E,2,FALSE)</f>
        <v>1.7</v>
      </c>
      <c r="Z91" s="26">
        <f>VLOOKUP($X91,サイズ別係数!$B:$E,3,FALSE)</f>
        <v>1.4</v>
      </c>
      <c r="AA91" s="26">
        <f>VLOOKUP($X91,サイズ別係数!$B:$E,4,FALSE)</f>
        <v>1</v>
      </c>
      <c r="AB91" s="35">
        <v>0</v>
      </c>
      <c r="AC91" s="34" t="str">
        <f ca="1">VLOOKUP($AB91,OFFSET([3]enemy_skill_sets!$B$2,0,0,COUNTA([3]enemy_skill_sets!$A:$A),MATCH(AC$1,[3]enemy_skill_sets!$1:$1,0)-MATCH($AB$1,[3]enemy_skill_sets!$1:$1,0)+1),MATCH(AC$1,[3]enemy_skill_sets!$1:$1,0)-MATCH($AB$1,[3]enemy_skill_sets!$1:$1,0)+1,FALSE)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" s="27">
        <v>1</v>
      </c>
      <c r="AE91" s="37">
        <v>1</v>
      </c>
      <c r="AF91" s="37">
        <v>0</v>
      </c>
      <c r="AG91" s="28">
        <f ca="1">ROUND(VLOOKUP(1,enemy_base_stats!$A:$F,2,FALSE) * Y91* J91*O91*E91*S91*AD91*[2]ステータス!$B$2,0)</f>
        <v>4487</v>
      </c>
      <c r="AH91" s="28">
        <f ca="1">ROUND(VLOOKUP(1,enemy_base_stats!$A:$F,3,FALSE) * Z91*K91*P91*F91*T91*AE91 * W91*[2]ステータス!$C$2,0)</f>
        <v>199</v>
      </c>
      <c r="AI91" s="28">
        <f ca="1">ROUND(VLOOKUP(1,enemy_base_stats!$A:$F,4,FALSE) * AA91*L91*Q91*G91*U91*AF91*[2]ステータス!$D$2,0)</f>
        <v>0</v>
      </c>
      <c r="AJ91" s="28">
        <f ca="1">ROUND(VLOOKUP(100,enemy_base_stats!$A:$F,2,FALSE) * Y91* J91*O91*E91*S91*AD91*[2]ステータス!$B$2,0)</f>
        <v>182161</v>
      </c>
      <c r="AK91" s="28">
        <f ca="1">ROUND(VLOOKUP(100,enemy_base_stats!$A:$F,3,FALSE)* Z91* K91*P91*F91*T91*AE91 * W91*[2]ステータス!$C$2,0)</f>
        <v>8065</v>
      </c>
      <c r="AL91" s="28">
        <f ca="1">ROUND(VLOOKUP(100,enemy_base_stats!$A:$F,4,FALSE)* AA91* L91*Q91*G91*U91*AF91*[2]ステータス!$D$2,0)</f>
        <v>0</v>
      </c>
      <c r="AM91" s="24">
        <f ca="1">VLOOKUP(M91,[2]character_tribe_i18n!$A:$I,9,FALSE)</f>
        <v>540</v>
      </c>
      <c r="AN91" s="36">
        <v>0</v>
      </c>
      <c r="AO91" s="53">
        <v>0</v>
      </c>
      <c r="AP91" s="58" t="s">
        <v>72</v>
      </c>
      <c r="AQ91" s="71">
        <f t="shared" ca="1" si="2"/>
        <v>90</v>
      </c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</row>
    <row r="92" spans="1:60" s="3" customFormat="1" ht="21" customHeight="1" x14ac:dyDescent="0.15">
      <c r="A92" s="32">
        <f t="shared" ca="1" si="3"/>
        <v>91</v>
      </c>
      <c r="B92" s="6" t="str">
        <f ca="1">VLOOKUP(A92,[2]characters!$A:$C,3,FALSE)</f>
        <v>青龍</v>
      </c>
      <c r="C92" s="9">
        <f ca="1">VLOOKUP(A92,[2]characters!$A:$I,9,FALSE)</f>
        <v>3</v>
      </c>
      <c r="D92" s="9" t="str">
        <f ca="1">VLOOKUP(A92,[2]characters!$A:$H,8,FALSE)</f>
        <v>blue</v>
      </c>
      <c r="E92" s="24">
        <f ca="1">VLOOKUP(D92,[2]属性!$A:$E,2,FALSE)</f>
        <v>1</v>
      </c>
      <c r="F92" s="24">
        <f ca="1">VLOOKUP(D92,[2]属性!$A:$E,3,FALSE)</f>
        <v>0.98</v>
      </c>
      <c r="G92" s="24">
        <f ca="1">VLOOKUP(D92,[2]属性!$A:$F,4,FALSE)</f>
        <v>1</v>
      </c>
      <c r="H92" s="9" t="str">
        <f ca="1">VLOOKUP(A92,[2]characters!$A:$K,11,FALSE)</f>
        <v>balance</v>
      </c>
      <c r="I92" s="14" t="str">
        <f ca="1">VLOOKUP(H92,[2]character_type_i18n!$A:$F,3,FALSE)</f>
        <v>バランスタイプ</v>
      </c>
      <c r="J92" s="36">
        <f ca="1">VLOOKUP(H92,[2]character_type_i18n!$A:$F,4,FALSE)</f>
        <v>1</v>
      </c>
      <c r="K92" s="36">
        <f ca="1">VLOOKUP(H92,[2]character_type_i18n!$A:$F,5,FALSE)</f>
        <v>1</v>
      </c>
      <c r="L92" s="36">
        <f ca="1">VLOOKUP(H92,[2]character_type_i18n!$A:$F,6,FALSE)</f>
        <v>1</v>
      </c>
      <c r="M92" s="9" t="str">
        <f ca="1">VLOOKUP(A92,[2]characters!$A:$M,13,FALSE)</f>
        <v>dragon</v>
      </c>
      <c r="N92" s="14" t="str">
        <f ca="1">VLOOKUP(M92,[2]character_tribe_i18n!$A:$F,3,FALSE)</f>
        <v>ドラゴン</v>
      </c>
      <c r="O92" s="24">
        <f ca="1">VLOOKUP(M92,[2]character_tribe_i18n!$A:$F,4,FALSE)</f>
        <v>1.1499999999999999</v>
      </c>
      <c r="P92" s="24">
        <f ca="1">VLOOKUP(M92,[2]character_tribe_i18n!$A:$F,5,FALSE)</f>
        <v>1.1000000000000001</v>
      </c>
      <c r="Q92" s="24">
        <f ca="1">VLOOKUP(M92,[2]character_tribe_i18n!$A:$F,6,FALSE)</f>
        <v>1</v>
      </c>
      <c r="R92" s="25" t="s">
        <v>4</v>
      </c>
      <c r="S92" s="24">
        <f>VLOOKUP($R92,ラベル別係数!$A$1:$E$7,3,FALSE)</f>
        <v>5</v>
      </c>
      <c r="T92" s="24">
        <f>VLOOKUP($R92,ラベル別係数!$A$1:$E$7,4,FALSE)</f>
        <v>1.3</v>
      </c>
      <c r="U92" s="24">
        <f>VLOOKUP($R92,ラベル別係数!$A$1:$E$7,5,FALSE)</f>
        <v>0.8</v>
      </c>
      <c r="V92" s="27">
        <v>3</v>
      </c>
      <c r="W92" s="28">
        <f>VLOOKUP(V92,ターン数別攻撃係数!$A$1:$B$1000,2,FALSE)</f>
        <v>1</v>
      </c>
      <c r="X92" s="10">
        <v>20</v>
      </c>
      <c r="Y92" s="26">
        <f>VLOOKUP($X92,サイズ別係数!$B:$E,2,FALSE)</f>
        <v>1.1000000000000001</v>
      </c>
      <c r="Z92" s="26">
        <f>VLOOKUP($X92,サイズ別係数!$B:$E,3,FALSE)</f>
        <v>1.2</v>
      </c>
      <c r="AA92" s="26">
        <f>VLOOKUP($X92,サイズ別係数!$B:$E,4,FALSE)</f>
        <v>1.2</v>
      </c>
      <c r="AB92" s="35">
        <v>0</v>
      </c>
      <c r="AC92" s="34" t="str">
        <f ca="1">VLOOKUP($AB92,OFFSET([3]enemy_skill_sets!$B$2,0,0,COUNTA([3]enemy_skill_sets!$A:$A),MATCH(AC$1,[3]enemy_skill_sets!$1:$1,0)-MATCH($AB$1,[3]enemy_skill_sets!$1:$1,0)+1),MATCH(AC$1,[3]enemy_skill_sets!$1:$1,0)-MATCH($AB$1,[3]enemy_skill_sets!$1:$1,0)+1,FALSE)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" s="27">
        <v>1</v>
      </c>
      <c r="AE92" s="37">
        <v>1</v>
      </c>
      <c r="AF92" s="37">
        <v>0</v>
      </c>
      <c r="AG92" s="28">
        <f ca="1">ROUND(VLOOKUP(1,enemy_base_stats!$A:$F,2,FALSE) * Y92* J92*O92*E92*S92*AD92*[2]ステータス!$B$2,0)</f>
        <v>3163</v>
      </c>
      <c r="AH92" s="28">
        <f ca="1">ROUND(VLOOKUP(1,enemy_base_stats!$A:$F,3,FALSE) * Z92*K92*P92*F92*T92*AE92 * W92*[2]ステータス!$C$2,0)</f>
        <v>252</v>
      </c>
      <c r="AI92" s="28">
        <f ca="1">ROUND(VLOOKUP(1,enemy_base_stats!$A:$F,4,FALSE) * AA92*L92*Q92*G92*U92*AF92*[2]ステータス!$D$2,0)</f>
        <v>0</v>
      </c>
      <c r="AJ92" s="28">
        <f ca="1">ROUND(VLOOKUP(100,enemy_base_stats!$A:$F,2,FALSE) * Y92* J92*O92*E92*S92*AD92*[2]ステータス!$B$2,0)</f>
        <v>128398</v>
      </c>
      <c r="AK92" s="28">
        <f ca="1">ROUND(VLOOKUP(100,enemy_base_stats!$A:$F,3,FALSE)* Z92* K92*P92*F92*T92*AE92 * W92*[2]ステータス!$C$2,0)</f>
        <v>10241</v>
      </c>
      <c r="AL92" s="28">
        <f ca="1">ROUND(VLOOKUP(100,enemy_base_stats!$A:$F,4,FALSE)* AA92* L92*Q92*G92*U92*AF92*[2]ステータス!$D$2,0)</f>
        <v>0</v>
      </c>
      <c r="AM92" s="24">
        <f ca="1">VLOOKUP(M92,[2]character_tribe_i18n!$A:$I,9,FALSE)</f>
        <v>540</v>
      </c>
      <c r="AN92" s="36">
        <v>0</v>
      </c>
      <c r="AO92" s="53">
        <v>0</v>
      </c>
      <c r="AP92" s="58" t="s">
        <v>72</v>
      </c>
      <c r="AQ92" s="71">
        <f t="shared" ca="1" si="2"/>
        <v>91</v>
      </c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</row>
    <row r="93" spans="1:60" s="3" customFormat="1" ht="21" customHeight="1" x14ac:dyDescent="0.15">
      <c r="A93" s="32">
        <f t="shared" ca="1" si="3"/>
        <v>92</v>
      </c>
      <c r="B93" s="6" t="str">
        <f ca="1">VLOOKUP(A93,[2]characters!$A:$C,3,FALSE)</f>
        <v>守護者 青龍</v>
      </c>
      <c r="C93" s="9">
        <f ca="1">VLOOKUP(A93,[2]characters!$A:$I,9,FALSE)</f>
        <v>4</v>
      </c>
      <c r="D93" s="9" t="str">
        <f ca="1">VLOOKUP(A93,[2]characters!$A:$H,8,FALSE)</f>
        <v>blue</v>
      </c>
      <c r="E93" s="24">
        <f ca="1">VLOOKUP(D93,[2]属性!$A:$E,2,FALSE)</f>
        <v>1</v>
      </c>
      <c r="F93" s="24">
        <f ca="1">VLOOKUP(D93,[2]属性!$A:$E,3,FALSE)</f>
        <v>0.98</v>
      </c>
      <c r="G93" s="24">
        <f ca="1">VLOOKUP(D93,[2]属性!$A:$F,4,FALSE)</f>
        <v>1</v>
      </c>
      <c r="H93" s="9" t="str">
        <f ca="1">VLOOKUP(A93,[2]characters!$A:$K,11,FALSE)</f>
        <v>balance</v>
      </c>
      <c r="I93" s="14" t="str">
        <f ca="1">VLOOKUP(H93,[2]character_type_i18n!$A:$F,3,FALSE)</f>
        <v>バランスタイプ</v>
      </c>
      <c r="J93" s="36">
        <f ca="1">VLOOKUP(H93,[2]character_type_i18n!$A:$F,4,FALSE)</f>
        <v>1</v>
      </c>
      <c r="K93" s="36">
        <f ca="1">VLOOKUP(H93,[2]character_type_i18n!$A:$F,5,FALSE)</f>
        <v>1</v>
      </c>
      <c r="L93" s="36">
        <f ca="1">VLOOKUP(H93,[2]character_type_i18n!$A:$F,6,FALSE)</f>
        <v>1</v>
      </c>
      <c r="M93" s="9" t="str">
        <f ca="1">VLOOKUP(A93,[2]characters!$A:$M,13,FALSE)</f>
        <v>dragon</v>
      </c>
      <c r="N93" s="14" t="str">
        <f ca="1">VLOOKUP(M93,[2]character_tribe_i18n!$A:$F,3,FALSE)</f>
        <v>ドラゴン</v>
      </c>
      <c r="O93" s="24">
        <f ca="1">VLOOKUP(M93,[2]character_tribe_i18n!$A:$F,4,FALSE)</f>
        <v>1.1499999999999999</v>
      </c>
      <c r="P93" s="24">
        <f ca="1">VLOOKUP(M93,[2]character_tribe_i18n!$A:$F,5,FALSE)</f>
        <v>1.1000000000000001</v>
      </c>
      <c r="Q93" s="24">
        <f ca="1">VLOOKUP(M93,[2]character_tribe_i18n!$A:$F,6,FALSE)</f>
        <v>1</v>
      </c>
      <c r="R93" s="25" t="s">
        <v>4</v>
      </c>
      <c r="S93" s="24">
        <f>VLOOKUP($R93,ラベル別係数!$A$1:$E$7,3,FALSE)</f>
        <v>5</v>
      </c>
      <c r="T93" s="24">
        <f>VLOOKUP($R93,ラベル別係数!$A$1:$E$7,4,FALSE)</f>
        <v>1.3</v>
      </c>
      <c r="U93" s="24">
        <f>VLOOKUP($R93,ラベル別係数!$A$1:$E$7,5,FALSE)</f>
        <v>0.8</v>
      </c>
      <c r="V93" s="27">
        <v>3</v>
      </c>
      <c r="W93" s="28">
        <f>VLOOKUP(V93,ターン数別攻撃係数!$A$1:$B$1000,2,FALSE)</f>
        <v>1</v>
      </c>
      <c r="X93" s="10">
        <v>30</v>
      </c>
      <c r="Y93" s="26">
        <f>VLOOKUP($X93,サイズ別係数!$B:$E,2,FALSE)</f>
        <v>1.3</v>
      </c>
      <c r="Z93" s="26">
        <f>VLOOKUP($X93,サイズ別係数!$B:$E,3,FALSE)</f>
        <v>1.3</v>
      </c>
      <c r="AA93" s="26">
        <f>VLOOKUP($X93,サイズ別係数!$B:$E,4,FALSE)</f>
        <v>1.1000000000000001</v>
      </c>
      <c r="AB93" s="35">
        <v>0</v>
      </c>
      <c r="AC93" s="34" t="str">
        <f ca="1">VLOOKUP($AB93,OFFSET([3]enemy_skill_sets!$B$2,0,0,COUNTA([3]enemy_skill_sets!$A:$A),MATCH(AC$1,[3]enemy_skill_sets!$1:$1,0)-MATCH($AB$1,[3]enemy_skill_sets!$1:$1,0)+1),MATCH(AC$1,[3]enemy_skill_sets!$1:$1,0)-MATCH($AB$1,[3]enemy_skill_sets!$1:$1,0)+1,FALSE)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" s="27">
        <v>1</v>
      </c>
      <c r="AE93" s="37">
        <v>1</v>
      </c>
      <c r="AF93" s="37">
        <v>0</v>
      </c>
      <c r="AG93" s="28">
        <f ca="1">ROUND(VLOOKUP(1,enemy_base_stats!$A:$F,2,FALSE) * Y93* J93*O93*E93*S93*AD93*[2]ステータス!$B$2,0)</f>
        <v>3738</v>
      </c>
      <c r="AH93" s="28">
        <f ca="1">ROUND(VLOOKUP(1,enemy_base_stats!$A:$F,3,FALSE) * Z93*K93*P93*F93*T93*AE93 * W93*[2]ステータス!$C$2,0)</f>
        <v>273</v>
      </c>
      <c r="AI93" s="28">
        <f ca="1">ROUND(VLOOKUP(1,enemy_base_stats!$A:$F,4,FALSE) * AA93*L93*Q93*G93*U93*AF93*[2]ステータス!$D$2,0)</f>
        <v>0</v>
      </c>
      <c r="AJ93" s="28">
        <f ca="1">ROUND(VLOOKUP(100,enemy_base_stats!$A:$F,2,FALSE) * Y93* J93*O93*E93*S93*AD93*[2]ステータス!$B$2,0)</f>
        <v>151743</v>
      </c>
      <c r="AK93" s="28">
        <f ca="1">ROUND(VLOOKUP(100,enemy_base_stats!$A:$F,3,FALSE)* Z93* K93*P93*F93*T93*AE93 * W93*[2]ステータス!$C$2,0)</f>
        <v>11095</v>
      </c>
      <c r="AL93" s="28">
        <f ca="1">ROUND(VLOOKUP(100,enemy_base_stats!$A:$F,4,FALSE)* AA93* L93*Q93*G93*U93*AF93*[2]ステータス!$D$2,0)</f>
        <v>0</v>
      </c>
      <c r="AM93" s="24">
        <f ca="1">VLOOKUP(M93,[2]character_tribe_i18n!$A:$I,9,FALSE)</f>
        <v>540</v>
      </c>
      <c r="AN93" s="36">
        <v>0</v>
      </c>
      <c r="AO93" s="53">
        <v>0</v>
      </c>
      <c r="AP93" s="58" t="s">
        <v>72</v>
      </c>
      <c r="AQ93" s="71">
        <f t="shared" ca="1" si="2"/>
        <v>92</v>
      </c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</row>
    <row r="94" spans="1:60" s="3" customFormat="1" ht="21" customHeight="1" x14ac:dyDescent="0.15">
      <c r="A94" s="32">
        <f t="shared" ca="1" si="3"/>
        <v>93</v>
      </c>
      <c r="B94" s="6" t="str">
        <f ca="1">VLOOKUP(A94,[2]characters!$A:$C,3,FALSE)</f>
        <v>碧東の守護神 青龍</v>
      </c>
      <c r="C94" s="9">
        <f ca="1">VLOOKUP(A94,[2]characters!$A:$I,9,FALSE)</f>
        <v>5</v>
      </c>
      <c r="D94" s="9" t="str">
        <f ca="1">VLOOKUP(A94,[2]characters!$A:$H,8,FALSE)</f>
        <v>blue</v>
      </c>
      <c r="E94" s="24">
        <f ca="1">VLOOKUP(D94,[2]属性!$A:$E,2,FALSE)</f>
        <v>1</v>
      </c>
      <c r="F94" s="24">
        <f ca="1">VLOOKUP(D94,[2]属性!$A:$E,3,FALSE)</f>
        <v>0.98</v>
      </c>
      <c r="G94" s="24">
        <f ca="1">VLOOKUP(D94,[2]属性!$A:$F,4,FALSE)</f>
        <v>1</v>
      </c>
      <c r="H94" s="9" t="str">
        <f ca="1">VLOOKUP(A94,[2]characters!$A:$K,11,FALSE)</f>
        <v>balance</v>
      </c>
      <c r="I94" s="14" t="str">
        <f ca="1">VLOOKUP(H94,[2]character_type_i18n!$A:$F,3,FALSE)</f>
        <v>バランスタイプ</v>
      </c>
      <c r="J94" s="36">
        <f ca="1">VLOOKUP(H94,[2]character_type_i18n!$A:$F,4,FALSE)</f>
        <v>1</v>
      </c>
      <c r="K94" s="36">
        <f ca="1">VLOOKUP(H94,[2]character_type_i18n!$A:$F,5,FALSE)</f>
        <v>1</v>
      </c>
      <c r="L94" s="36">
        <f ca="1">VLOOKUP(H94,[2]character_type_i18n!$A:$F,6,FALSE)</f>
        <v>1</v>
      </c>
      <c r="M94" s="9" t="str">
        <f ca="1">VLOOKUP(A94,[2]characters!$A:$M,13,FALSE)</f>
        <v>dragon</v>
      </c>
      <c r="N94" s="14" t="str">
        <f ca="1">VLOOKUP(M94,[2]character_tribe_i18n!$A:$F,3,FALSE)</f>
        <v>ドラゴン</v>
      </c>
      <c r="O94" s="24">
        <f ca="1">VLOOKUP(M94,[2]character_tribe_i18n!$A:$F,4,FALSE)</f>
        <v>1.1499999999999999</v>
      </c>
      <c r="P94" s="24">
        <f ca="1">VLOOKUP(M94,[2]character_tribe_i18n!$A:$F,5,FALSE)</f>
        <v>1.1000000000000001</v>
      </c>
      <c r="Q94" s="24">
        <f ca="1">VLOOKUP(M94,[2]character_tribe_i18n!$A:$F,6,FALSE)</f>
        <v>1</v>
      </c>
      <c r="R94" s="25" t="s">
        <v>4</v>
      </c>
      <c r="S94" s="24">
        <f>VLOOKUP($R94,ラベル別係数!$A$1:$E$7,3,FALSE)</f>
        <v>5</v>
      </c>
      <c r="T94" s="24">
        <f>VLOOKUP($R94,ラベル別係数!$A$1:$E$7,4,FALSE)</f>
        <v>1.3</v>
      </c>
      <c r="U94" s="24">
        <f>VLOOKUP($R94,ラベル別係数!$A$1:$E$7,5,FALSE)</f>
        <v>0.8</v>
      </c>
      <c r="V94" s="27">
        <v>3</v>
      </c>
      <c r="W94" s="28">
        <f>VLOOKUP(V94,ターン数別攻撃係数!$A$1:$B$1000,2,FALSE)</f>
        <v>1</v>
      </c>
      <c r="X94" s="10">
        <v>60</v>
      </c>
      <c r="Y94" s="26">
        <f>VLOOKUP($X94,サイズ別係数!$B:$E,2,FALSE)</f>
        <v>1.7</v>
      </c>
      <c r="Z94" s="26">
        <f>VLOOKUP($X94,サイズ別係数!$B:$E,3,FALSE)</f>
        <v>1.4</v>
      </c>
      <c r="AA94" s="26">
        <f>VLOOKUP($X94,サイズ別係数!$B:$E,4,FALSE)</f>
        <v>1</v>
      </c>
      <c r="AB94" s="35">
        <v>0</v>
      </c>
      <c r="AC94" s="34" t="str">
        <f ca="1">VLOOKUP($AB94,OFFSET([3]enemy_skill_sets!$B$2,0,0,COUNTA([3]enemy_skill_sets!$A:$A),MATCH(AC$1,[3]enemy_skill_sets!$1:$1,0)-MATCH($AB$1,[3]enemy_skill_sets!$1:$1,0)+1),MATCH(AC$1,[3]enemy_skill_sets!$1:$1,0)-MATCH($AB$1,[3]enemy_skill_sets!$1:$1,0)+1,FALSE)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" s="27">
        <v>1</v>
      </c>
      <c r="AE94" s="37">
        <v>1</v>
      </c>
      <c r="AF94" s="37">
        <v>0</v>
      </c>
      <c r="AG94" s="28">
        <f ca="1">ROUND(VLOOKUP(1,enemy_base_stats!$A:$F,2,FALSE) * Y94* J94*O94*E94*S94*AD94*[2]ステータス!$B$2,0)</f>
        <v>4888</v>
      </c>
      <c r="AH94" s="28">
        <f ca="1">ROUND(VLOOKUP(1,enemy_base_stats!$A:$F,3,FALSE) * Z94*K94*P94*F94*T94*AE94 * W94*[2]ステータス!$C$2,0)</f>
        <v>294</v>
      </c>
      <c r="AI94" s="28">
        <f ca="1">ROUND(VLOOKUP(1,enemy_base_stats!$A:$F,4,FALSE) * AA94*L94*Q94*G94*U94*AF94*[2]ステータス!$D$2,0)</f>
        <v>0</v>
      </c>
      <c r="AJ94" s="28">
        <f ca="1">ROUND(VLOOKUP(100,enemy_base_stats!$A:$F,2,FALSE) * Y94* J94*O94*E94*S94*AD94*[2]ステータス!$B$2,0)</f>
        <v>198433</v>
      </c>
      <c r="AK94" s="28">
        <f ca="1">ROUND(VLOOKUP(100,enemy_base_stats!$A:$F,3,FALSE)* Z94* K94*P94*F94*T94*AE94 * W94*[2]ステータス!$C$2,0)</f>
        <v>11948</v>
      </c>
      <c r="AL94" s="28">
        <f ca="1">ROUND(VLOOKUP(100,enemy_base_stats!$A:$F,4,FALSE)* AA94* L94*Q94*G94*U94*AF94*[2]ステータス!$D$2,0)</f>
        <v>0</v>
      </c>
      <c r="AM94" s="24">
        <f ca="1">VLOOKUP(M94,[2]character_tribe_i18n!$A:$I,9,FALSE)</f>
        <v>540</v>
      </c>
      <c r="AN94" s="36">
        <v>0</v>
      </c>
      <c r="AO94" s="53">
        <v>0</v>
      </c>
      <c r="AP94" s="58" t="s">
        <v>72</v>
      </c>
      <c r="AQ94" s="71">
        <f t="shared" ca="1" si="2"/>
        <v>93</v>
      </c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</row>
    <row r="95" spans="1:60" s="3" customFormat="1" ht="21" customHeight="1" x14ac:dyDescent="0.15">
      <c r="A95" s="32">
        <f t="shared" ca="1" si="3"/>
        <v>94</v>
      </c>
      <c r="B95" s="6" t="str">
        <f ca="1">VLOOKUP(A95,[2]characters!$A:$C,3,FALSE)</f>
        <v>白虎</v>
      </c>
      <c r="C95" s="9">
        <f ca="1">VLOOKUP(A95,[2]characters!$A:$I,9,FALSE)</f>
        <v>3</v>
      </c>
      <c r="D95" s="9" t="str">
        <f ca="1">VLOOKUP(A95,[2]characters!$A:$H,8,FALSE)</f>
        <v>yellow</v>
      </c>
      <c r="E95" s="24">
        <f ca="1">VLOOKUP(D95,[2]属性!$A:$E,2,FALSE)</f>
        <v>0.98</v>
      </c>
      <c r="F95" s="24">
        <f ca="1">VLOOKUP(D95,[2]属性!$A:$E,3,FALSE)</f>
        <v>1.01</v>
      </c>
      <c r="G95" s="24">
        <f ca="1">VLOOKUP(D95,[2]属性!$A:$F,4,FALSE)</f>
        <v>1</v>
      </c>
      <c r="H95" s="9" t="str">
        <f ca="1">VLOOKUP(A95,[2]characters!$A:$K,11,FALSE)</f>
        <v>attack</v>
      </c>
      <c r="I95" s="14" t="str">
        <f ca="1">VLOOKUP(H95,[2]character_type_i18n!$A:$F,3,FALSE)</f>
        <v>攻撃タイプ</v>
      </c>
      <c r="J95" s="36">
        <f ca="1">VLOOKUP(H95,[2]character_type_i18n!$A:$F,4,FALSE)</f>
        <v>1</v>
      </c>
      <c r="K95" s="36">
        <f ca="1">VLOOKUP(H95,[2]character_type_i18n!$A:$F,5,FALSE)</f>
        <v>1.33</v>
      </c>
      <c r="L95" s="36">
        <f ca="1">VLOOKUP(H95,[2]character_type_i18n!$A:$F,6,FALSE)</f>
        <v>1</v>
      </c>
      <c r="M95" s="9" t="str">
        <f ca="1">VLOOKUP(A95,[2]characters!$A:$M,13,FALSE)</f>
        <v>animal</v>
      </c>
      <c r="N95" s="14" t="str">
        <f ca="1">VLOOKUP(M95,[2]character_tribe_i18n!$A:$F,3,FALSE)</f>
        <v>アニマル</v>
      </c>
      <c r="O95" s="24">
        <f ca="1">VLOOKUP(M95,[2]character_tribe_i18n!$A:$F,4,FALSE)</f>
        <v>1</v>
      </c>
      <c r="P95" s="24">
        <f ca="1">VLOOKUP(M95,[2]character_tribe_i18n!$A:$F,5,FALSE)</f>
        <v>1.1000000000000001</v>
      </c>
      <c r="Q95" s="24">
        <f ca="1">VLOOKUP(M95,[2]character_tribe_i18n!$A:$F,6,FALSE)</f>
        <v>1</v>
      </c>
      <c r="R95" s="25" t="s">
        <v>4</v>
      </c>
      <c r="S95" s="24">
        <f>VLOOKUP($R95,ラベル別係数!$A$1:$E$7,3,FALSE)</f>
        <v>5</v>
      </c>
      <c r="T95" s="24">
        <f>VLOOKUP($R95,ラベル別係数!$A$1:$E$7,4,FALSE)</f>
        <v>1.3</v>
      </c>
      <c r="U95" s="24">
        <f>VLOOKUP($R95,ラベル別係数!$A$1:$E$7,5,FALSE)</f>
        <v>0.8</v>
      </c>
      <c r="V95" s="27">
        <v>6</v>
      </c>
      <c r="W95" s="28">
        <f>VLOOKUP(V95,ターン数別攻撃係数!$A$1:$B$1000,2,FALSE)</f>
        <v>3</v>
      </c>
      <c r="X95" s="10">
        <v>20</v>
      </c>
      <c r="Y95" s="26">
        <f>VLOOKUP($X95,サイズ別係数!$B:$E,2,FALSE)</f>
        <v>1.1000000000000001</v>
      </c>
      <c r="Z95" s="26">
        <f>VLOOKUP($X95,サイズ別係数!$B:$E,3,FALSE)</f>
        <v>1.2</v>
      </c>
      <c r="AA95" s="26">
        <f>VLOOKUP($X95,サイズ別係数!$B:$E,4,FALSE)</f>
        <v>1.2</v>
      </c>
      <c r="AB95" s="35">
        <v>0</v>
      </c>
      <c r="AC95" s="34" t="str">
        <f ca="1">VLOOKUP($AB95,OFFSET([3]enemy_skill_sets!$B$2,0,0,COUNTA([3]enemy_skill_sets!$A:$A),MATCH(AC$1,[3]enemy_skill_sets!$1:$1,0)-MATCH($AB$1,[3]enemy_skill_sets!$1:$1,0)+1),MATCH(AC$1,[3]enemy_skill_sets!$1:$1,0)-MATCH($AB$1,[3]enemy_skill_sets!$1:$1,0)+1,FALSE)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" s="27">
        <v>1</v>
      </c>
      <c r="AE95" s="37">
        <v>1</v>
      </c>
      <c r="AF95" s="37">
        <v>0</v>
      </c>
      <c r="AG95" s="28">
        <f ca="1">ROUND(VLOOKUP(1,enemy_base_stats!$A:$F,2,FALSE) * Y95* J95*O95*E95*S95*AD95*[2]ステータス!$B$2,0)</f>
        <v>2695</v>
      </c>
      <c r="AH95" s="28">
        <f ca="1">ROUND(VLOOKUP(1,enemy_base_stats!$A:$F,3,FALSE) * Z95*K95*P95*F95*T95*AE95 * W95*[2]ステータス!$C$2,0)</f>
        <v>1037</v>
      </c>
      <c r="AI95" s="28">
        <f ca="1">ROUND(VLOOKUP(1,enemy_base_stats!$A:$F,4,FALSE) * AA95*L95*Q95*G95*U95*AF95*[2]ステータス!$D$2,0)</f>
        <v>0</v>
      </c>
      <c r="AJ95" s="28">
        <f ca="1">ROUND(VLOOKUP(100,enemy_base_stats!$A:$F,2,FALSE) * Y95* J95*O95*E95*S95*AD95*[2]ステータス!$B$2,0)</f>
        <v>109417</v>
      </c>
      <c r="AK95" s="28">
        <f ca="1">ROUND(VLOOKUP(100,enemy_base_stats!$A:$F,3,FALSE)* Z95* K95*P95*F95*T95*AE95 * W95*[2]ステータス!$C$2,0)</f>
        <v>42114</v>
      </c>
      <c r="AL95" s="28">
        <f ca="1">ROUND(VLOOKUP(100,enemy_base_stats!$A:$F,4,FALSE)* AA95* L95*Q95*G95*U95*AF95*[2]ステータス!$D$2,0)</f>
        <v>0</v>
      </c>
      <c r="AM95" s="24">
        <f ca="1">VLOOKUP(M95,[2]character_tribe_i18n!$A:$I,9,FALSE)</f>
        <v>480</v>
      </c>
      <c r="AN95" s="36">
        <v>0</v>
      </c>
      <c r="AO95" s="53">
        <v>0</v>
      </c>
      <c r="AP95" s="58" t="s">
        <v>72</v>
      </c>
      <c r="AQ95" s="71">
        <f t="shared" ca="1" si="2"/>
        <v>94</v>
      </c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</row>
    <row r="96" spans="1:60" s="3" customFormat="1" ht="21" customHeight="1" x14ac:dyDescent="0.15">
      <c r="A96" s="32">
        <f t="shared" ca="1" si="3"/>
        <v>95</v>
      </c>
      <c r="B96" s="6" t="str">
        <f ca="1">VLOOKUP(A96,[2]characters!$A:$C,3,FALSE)</f>
        <v>守護者 白虎</v>
      </c>
      <c r="C96" s="9">
        <f ca="1">VLOOKUP(A96,[2]characters!$A:$I,9,FALSE)</f>
        <v>4</v>
      </c>
      <c r="D96" s="9" t="str">
        <f ca="1">VLOOKUP(A96,[2]characters!$A:$H,8,FALSE)</f>
        <v>yellow</v>
      </c>
      <c r="E96" s="24">
        <f ca="1">VLOOKUP(D96,[2]属性!$A:$E,2,FALSE)</f>
        <v>0.98</v>
      </c>
      <c r="F96" s="24">
        <f ca="1">VLOOKUP(D96,[2]属性!$A:$E,3,FALSE)</f>
        <v>1.01</v>
      </c>
      <c r="G96" s="24">
        <f ca="1">VLOOKUP(D96,[2]属性!$A:$F,4,FALSE)</f>
        <v>1</v>
      </c>
      <c r="H96" s="9" t="str">
        <f ca="1">VLOOKUP(A96,[2]characters!$A:$K,11,FALSE)</f>
        <v>attack</v>
      </c>
      <c r="I96" s="14" t="str">
        <f ca="1">VLOOKUP(H96,[2]character_type_i18n!$A:$F,3,FALSE)</f>
        <v>攻撃タイプ</v>
      </c>
      <c r="J96" s="36">
        <f ca="1">VLOOKUP(H96,[2]character_type_i18n!$A:$F,4,FALSE)</f>
        <v>1</v>
      </c>
      <c r="K96" s="36">
        <f ca="1">VLOOKUP(H96,[2]character_type_i18n!$A:$F,5,FALSE)</f>
        <v>1.33</v>
      </c>
      <c r="L96" s="36">
        <f ca="1">VLOOKUP(H96,[2]character_type_i18n!$A:$F,6,FALSE)</f>
        <v>1</v>
      </c>
      <c r="M96" s="9" t="str">
        <f ca="1">VLOOKUP(A96,[2]characters!$A:$M,13,FALSE)</f>
        <v>animal</v>
      </c>
      <c r="N96" s="14" t="str">
        <f ca="1">VLOOKUP(M96,[2]character_tribe_i18n!$A:$F,3,FALSE)</f>
        <v>アニマル</v>
      </c>
      <c r="O96" s="24">
        <f ca="1">VLOOKUP(M96,[2]character_tribe_i18n!$A:$F,4,FALSE)</f>
        <v>1</v>
      </c>
      <c r="P96" s="24">
        <f ca="1">VLOOKUP(M96,[2]character_tribe_i18n!$A:$F,5,FALSE)</f>
        <v>1.1000000000000001</v>
      </c>
      <c r="Q96" s="24">
        <f ca="1">VLOOKUP(M96,[2]character_tribe_i18n!$A:$F,6,FALSE)</f>
        <v>1</v>
      </c>
      <c r="R96" s="25" t="s">
        <v>4</v>
      </c>
      <c r="S96" s="24">
        <f>VLOOKUP($R96,ラベル別係数!$A$1:$E$7,3,FALSE)</f>
        <v>5</v>
      </c>
      <c r="T96" s="24">
        <f>VLOOKUP($R96,ラベル別係数!$A$1:$E$7,4,FALSE)</f>
        <v>1.3</v>
      </c>
      <c r="U96" s="24">
        <f>VLOOKUP($R96,ラベル別係数!$A$1:$E$7,5,FALSE)</f>
        <v>0.8</v>
      </c>
      <c r="V96" s="27">
        <v>6</v>
      </c>
      <c r="W96" s="28">
        <f>VLOOKUP(V96,ターン数別攻撃係数!$A$1:$B$1000,2,FALSE)</f>
        <v>3</v>
      </c>
      <c r="X96" s="10">
        <v>30</v>
      </c>
      <c r="Y96" s="26">
        <f>VLOOKUP($X96,サイズ別係数!$B:$E,2,FALSE)</f>
        <v>1.3</v>
      </c>
      <c r="Z96" s="26">
        <f>VLOOKUP($X96,サイズ別係数!$B:$E,3,FALSE)</f>
        <v>1.3</v>
      </c>
      <c r="AA96" s="26">
        <f>VLOOKUP($X96,サイズ別係数!$B:$E,4,FALSE)</f>
        <v>1.1000000000000001</v>
      </c>
      <c r="AB96" s="35">
        <v>0</v>
      </c>
      <c r="AC96" s="34" t="str">
        <f ca="1">VLOOKUP($AB96,OFFSET([3]enemy_skill_sets!$B$2,0,0,COUNTA([3]enemy_skill_sets!$A:$A),MATCH(AC$1,[3]enemy_skill_sets!$1:$1,0)-MATCH($AB$1,[3]enemy_skill_sets!$1:$1,0)+1),MATCH(AC$1,[3]enemy_skill_sets!$1:$1,0)-MATCH($AB$1,[3]enemy_skill_sets!$1:$1,0)+1,FALSE)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" s="27">
        <v>1</v>
      </c>
      <c r="AE96" s="37">
        <v>1</v>
      </c>
      <c r="AF96" s="37">
        <v>0</v>
      </c>
      <c r="AG96" s="28">
        <f ca="1">ROUND(VLOOKUP(1,enemy_base_stats!$A:$F,2,FALSE) * Y96* J96*O96*E96*S96*AD96*[2]ステータス!$B$2,0)</f>
        <v>3185</v>
      </c>
      <c r="AH96" s="28">
        <f ca="1">ROUND(VLOOKUP(1,enemy_base_stats!$A:$F,3,FALSE) * Z96*K96*P96*F96*T96*AE96 * W96*[2]ステータス!$C$2,0)</f>
        <v>1124</v>
      </c>
      <c r="AI96" s="28">
        <f ca="1">ROUND(VLOOKUP(1,enemy_base_stats!$A:$F,4,FALSE) * AA96*L96*Q96*G96*U96*AF96*[2]ステータス!$D$2,0)</f>
        <v>0</v>
      </c>
      <c r="AJ96" s="28">
        <f ca="1">ROUND(VLOOKUP(100,enemy_base_stats!$A:$F,2,FALSE) * Y96* J96*O96*E96*S96*AD96*[2]ステータス!$B$2,0)</f>
        <v>129311</v>
      </c>
      <c r="AK96" s="28">
        <f ca="1">ROUND(VLOOKUP(100,enemy_base_stats!$A:$F,3,FALSE)* Z96* K96*P96*F96*T96*AE96 * W96*[2]ステータス!$C$2,0)</f>
        <v>45624</v>
      </c>
      <c r="AL96" s="28">
        <f ca="1">ROUND(VLOOKUP(100,enemy_base_stats!$A:$F,4,FALSE)* AA96* L96*Q96*G96*U96*AF96*[2]ステータス!$D$2,0)</f>
        <v>0</v>
      </c>
      <c r="AM96" s="24">
        <f ca="1">VLOOKUP(M96,[2]character_tribe_i18n!$A:$I,9,FALSE)</f>
        <v>480</v>
      </c>
      <c r="AN96" s="36">
        <v>0</v>
      </c>
      <c r="AO96" s="53">
        <v>0</v>
      </c>
      <c r="AP96" s="58" t="s">
        <v>72</v>
      </c>
      <c r="AQ96" s="71">
        <f t="shared" ca="1" si="2"/>
        <v>95</v>
      </c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</row>
    <row r="97" spans="1:60" s="3" customFormat="1" ht="21" customHeight="1" x14ac:dyDescent="0.15">
      <c r="A97" s="32">
        <f t="shared" ca="1" si="3"/>
        <v>96</v>
      </c>
      <c r="B97" s="6" t="str">
        <f ca="1">VLOOKUP(A97,[2]characters!$A:$C,3,FALSE)</f>
        <v>金西の守護神 白虎</v>
      </c>
      <c r="C97" s="9">
        <f ca="1">VLOOKUP(A97,[2]characters!$A:$I,9,FALSE)</f>
        <v>5</v>
      </c>
      <c r="D97" s="9" t="str">
        <f ca="1">VLOOKUP(A97,[2]characters!$A:$H,8,FALSE)</f>
        <v>yellow</v>
      </c>
      <c r="E97" s="24">
        <f ca="1">VLOOKUP(D97,[2]属性!$A:$E,2,FALSE)</f>
        <v>0.98</v>
      </c>
      <c r="F97" s="24">
        <f ca="1">VLOOKUP(D97,[2]属性!$A:$E,3,FALSE)</f>
        <v>1.01</v>
      </c>
      <c r="G97" s="24">
        <f ca="1">VLOOKUP(D97,[2]属性!$A:$F,4,FALSE)</f>
        <v>1</v>
      </c>
      <c r="H97" s="9" t="str">
        <f ca="1">VLOOKUP(A97,[2]characters!$A:$K,11,FALSE)</f>
        <v>attack</v>
      </c>
      <c r="I97" s="14" t="str">
        <f ca="1">VLOOKUP(H97,[2]character_type_i18n!$A:$F,3,FALSE)</f>
        <v>攻撃タイプ</v>
      </c>
      <c r="J97" s="36">
        <f ca="1">VLOOKUP(H97,[2]character_type_i18n!$A:$F,4,FALSE)</f>
        <v>1</v>
      </c>
      <c r="K97" s="36">
        <f ca="1">VLOOKUP(H97,[2]character_type_i18n!$A:$F,5,FALSE)</f>
        <v>1.33</v>
      </c>
      <c r="L97" s="36">
        <f ca="1">VLOOKUP(H97,[2]character_type_i18n!$A:$F,6,FALSE)</f>
        <v>1</v>
      </c>
      <c r="M97" s="9" t="str">
        <f ca="1">VLOOKUP(A97,[2]characters!$A:$M,13,FALSE)</f>
        <v>animal</v>
      </c>
      <c r="N97" s="14" t="str">
        <f ca="1">VLOOKUP(M97,[2]character_tribe_i18n!$A:$F,3,FALSE)</f>
        <v>アニマル</v>
      </c>
      <c r="O97" s="24">
        <f ca="1">VLOOKUP(M97,[2]character_tribe_i18n!$A:$F,4,FALSE)</f>
        <v>1</v>
      </c>
      <c r="P97" s="24">
        <f ca="1">VLOOKUP(M97,[2]character_tribe_i18n!$A:$F,5,FALSE)</f>
        <v>1.1000000000000001</v>
      </c>
      <c r="Q97" s="24">
        <f ca="1">VLOOKUP(M97,[2]character_tribe_i18n!$A:$F,6,FALSE)</f>
        <v>1</v>
      </c>
      <c r="R97" s="25" t="s">
        <v>4</v>
      </c>
      <c r="S97" s="24">
        <f>VLOOKUP($R97,ラベル別係数!$A$1:$E$7,3,FALSE)</f>
        <v>5</v>
      </c>
      <c r="T97" s="24">
        <f>VLOOKUP($R97,ラベル別係数!$A$1:$E$7,4,FALSE)</f>
        <v>1.3</v>
      </c>
      <c r="U97" s="24">
        <f>VLOOKUP($R97,ラベル別係数!$A$1:$E$7,5,FALSE)</f>
        <v>0.8</v>
      </c>
      <c r="V97" s="27">
        <v>6</v>
      </c>
      <c r="W97" s="28">
        <f>VLOOKUP(V97,ターン数別攻撃係数!$A$1:$B$1000,2,FALSE)</f>
        <v>3</v>
      </c>
      <c r="X97" s="10">
        <v>60</v>
      </c>
      <c r="Y97" s="26">
        <f>VLOOKUP($X97,サイズ別係数!$B:$E,2,FALSE)</f>
        <v>1.7</v>
      </c>
      <c r="Z97" s="26">
        <f>VLOOKUP($X97,サイズ別係数!$B:$E,3,FALSE)</f>
        <v>1.4</v>
      </c>
      <c r="AA97" s="26">
        <f>VLOOKUP($X97,サイズ別係数!$B:$E,4,FALSE)</f>
        <v>1</v>
      </c>
      <c r="AB97" s="35">
        <v>0</v>
      </c>
      <c r="AC97" s="34" t="str">
        <f ca="1">VLOOKUP($AB97,OFFSET([3]enemy_skill_sets!$B$2,0,0,COUNTA([3]enemy_skill_sets!$A:$A),MATCH(AC$1,[3]enemy_skill_sets!$1:$1,0)-MATCH($AB$1,[3]enemy_skill_sets!$1:$1,0)+1),MATCH(AC$1,[3]enemy_skill_sets!$1:$1,0)-MATCH($AB$1,[3]enemy_skill_sets!$1:$1,0)+1,FALSE)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" s="27">
        <v>1</v>
      </c>
      <c r="AE97" s="37">
        <v>1</v>
      </c>
      <c r="AF97" s="37">
        <v>0</v>
      </c>
      <c r="AG97" s="28">
        <f ca="1">ROUND(VLOOKUP(1,enemy_base_stats!$A:$F,2,FALSE) * Y97* J97*O97*E97*S97*AD97*[2]ステータス!$B$2,0)</f>
        <v>4165</v>
      </c>
      <c r="AH97" s="28">
        <f ca="1">ROUND(VLOOKUP(1,enemy_base_stats!$A:$F,3,FALSE) * Z97*K97*P97*F97*T97*AE97 * W97*[2]ステータス!$C$2,0)</f>
        <v>1210</v>
      </c>
      <c r="AI97" s="28">
        <f ca="1">ROUND(VLOOKUP(1,enemy_base_stats!$A:$F,4,FALSE) * AA97*L97*Q97*G97*U97*AF97*[2]ステータス!$D$2,0)</f>
        <v>0</v>
      </c>
      <c r="AJ97" s="28">
        <f ca="1">ROUND(VLOOKUP(100,enemy_base_stats!$A:$F,2,FALSE) * Y97* J97*O97*E97*S97*AD97*[2]ステータス!$B$2,0)</f>
        <v>169099</v>
      </c>
      <c r="AK97" s="28">
        <f ca="1">ROUND(VLOOKUP(100,enemy_base_stats!$A:$F,3,FALSE)* Z97* K97*P97*F97*T97*AE97 * W97*[2]ステータス!$C$2,0)</f>
        <v>49133</v>
      </c>
      <c r="AL97" s="28">
        <f ca="1">ROUND(VLOOKUP(100,enemy_base_stats!$A:$F,4,FALSE)* AA97* L97*Q97*G97*U97*AF97*[2]ステータス!$D$2,0)</f>
        <v>0</v>
      </c>
      <c r="AM97" s="24">
        <f ca="1">VLOOKUP(M97,[2]character_tribe_i18n!$A:$I,9,FALSE)</f>
        <v>480</v>
      </c>
      <c r="AN97" s="36">
        <v>0</v>
      </c>
      <c r="AO97" s="53">
        <v>0</v>
      </c>
      <c r="AP97" s="58" t="s">
        <v>72</v>
      </c>
      <c r="AQ97" s="71">
        <f t="shared" ca="1" si="2"/>
        <v>96</v>
      </c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</row>
    <row r="98" spans="1:60" s="3" customFormat="1" ht="21" customHeight="1" x14ac:dyDescent="0.15">
      <c r="A98" s="7">
        <f t="shared" ca="1" si="3"/>
        <v>97</v>
      </c>
      <c r="B98" s="6" t="str">
        <f ca="1">VLOOKUP(A98,[2]characters!$A:$C,3,FALSE)</f>
        <v>炎のミリオンダック</v>
      </c>
      <c r="C98" s="9">
        <f ca="1">VLOOKUP(A98,[2]characters!$A:$I,9,FALSE)</f>
        <v>6</v>
      </c>
      <c r="D98" s="9" t="str">
        <f ca="1">VLOOKUP(A98,[2]characters!$A:$H,8,FALSE)</f>
        <v>red</v>
      </c>
      <c r="E98" s="24">
        <f ca="1">VLOOKUP(D98,[2]属性!$A:$E,2,FALSE)</f>
        <v>1</v>
      </c>
      <c r="F98" s="24">
        <f ca="1">VLOOKUP(D98,[2]属性!$A:$E,3,FALSE)</f>
        <v>1.02</v>
      </c>
      <c r="G98" s="24">
        <f ca="1">VLOOKUP(D98,[2]属性!$A:$F,4,FALSE)</f>
        <v>1</v>
      </c>
      <c r="H98" s="9" t="str">
        <f ca="1">VLOOKUP(A98,[2]characters!$A:$K,11,FALSE)</f>
        <v>exp</v>
      </c>
      <c r="I98" s="14" t="str">
        <f ca="1">VLOOKUP(H98,[2]character_type_i18n!$A:$F,3,FALSE)</f>
        <v>強化素材タイプ</v>
      </c>
      <c r="J98" s="36">
        <f ca="1">VLOOKUP(H98,[2]character_type_i18n!$A:$F,4,FALSE)</f>
        <v>0.1</v>
      </c>
      <c r="K98" s="36">
        <f ca="1">VLOOKUP(H98,[2]character_type_i18n!$A:$F,5,FALSE)</f>
        <v>0.05</v>
      </c>
      <c r="L98" s="36">
        <f ca="1">VLOOKUP(H98,[2]character_type_i18n!$A:$F,6,FALSE)</f>
        <v>1</v>
      </c>
      <c r="M98" s="9" t="str">
        <f ca="1">VLOOKUP(A98,[2]characters!$A:$M,13,FALSE)</f>
        <v>unknown</v>
      </c>
      <c r="N98" s="14" t="str">
        <f ca="1">VLOOKUP(M98,[2]character_tribe_i18n!$A:$F,3,FALSE)</f>
        <v>Unknown</v>
      </c>
      <c r="O98" s="24">
        <f ca="1">VLOOKUP(M98,[2]character_tribe_i18n!$A:$F,4,FALSE)</f>
        <v>1</v>
      </c>
      <c r="P98" s="24">
        <f ca="1">VLOOKUP(M98,[2]character_tribe_i18n!$A:$F,5,FALSE)</f>
        <v>1</v>
      </c>
      <c r="Q98" s="24">
        <f ca="1">VLOOKUP(M98,[2]character_tribe_i18n!$A:$F,6,FALSE)</f>
        <v>1</v>
      </c>
      <c r="R98" s="25" t="s">
        <v>31</v>
      </c>
      <c r="S98" s="24">
        <f>VLOOKUP($R98,ラベル別係数!$A$1:$E$7,3,FALSE)</f>
        <v>1</v>
      </c>
      <c r="T98" s="24">
        <f>VLOOKUP($R98,ラベル別係数!$A$1:$E$7,4,FALSE)</f>
        <v>1</v>
      </c>
      <c r="U98" s="24">
        <f>VLOOKUP($R98,ラベル別係数!$A$1:$E$7,5,FALSE)</f>
        <v>1</v>
      </c>
      <c r="V98" s="27">
        <v>1</v>
      </c>
      <c r="W98" s="28">
        <f>VLOOKUP(V98,ターン数別攻撃係数!$A$1:$B$1000,2,FALSE)</f>
        <v>0.55000000000000004</v>
      </c>
      <c r="X98" s="10">
        <v>20</v>
      </c>
      <c r="Y98" s="26">
        <f>VLOOKUP($X98,サイズ別係数!$B:$E,2,FALSE)</f>
        <v>1.1000000000000001</v>
      </c>
      <c r="Z98" s="26">
        <f>VLOOKUP($X98,サイズ別係数!$B:$E,3,FALSE)</f>
        <v>1.2</v>
      </c>
      <c r="AA98" s="26">
        <f>VLOOKUP($X98,サイズ別係数!$B:$E,4,FALSE)</f>
        <v>1.2</v>
      </c>
      <c r="AB98" s="35">
        <v>0</v>
      </c>
      <c r="AC98" s="34" t="str">
        <f ca="1">VLOOKUP($AB98,OFFSET([3]enemy_skill_sets!$B$2,0,0,COUNTA([3]enemy_skill_sets!$A:$A),MATCH(AC$1,[3]enemy_skill_sets!$1:$1,0)-MATCH($AB$1,[3]enemy_skill_sets!$1:$1,0)+1),MATCH(AC$1,[3]enemy_skill_sets!$1:$1,0)-MATCH($AB$1,[3]enemy_skill_sets!$1:$1,0)+1,FALSE)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" s="27">
        <v>1</v>
      </c>
      <c r="AE98" s="37">
        <v>1</v>
      </c>
      <c r="AF98" s="37">
        <v>0</v>
      </c>
      <c r="AG98" s="28">
        <f ca="1">ROUND(VLOOKUP(1,enemy_base_stats!$A:$F,2,FALSE) * Y98* J98*O98*E98*S98*AD98*[2]ステータス!$B$2,0)</f>
        <v>55</v>
      </c>
      <c r="AH98" s="28">
        <f ca="1">ROUND(VLOOKUP(1,enemy_base_stats!$A:$F,3,FALSE) * Z98*K98*P98*F98*T98*AE98 * W98*[2]ステータス!$C$2,0)</f>
        <v>5</v>
      </c>
      <c r="AI98" s="28">
        <f ca="1">ROUND(VLOOKUP(1,enemy_base_stats!$A:$F,4,FALSE) * AA98*L98*Q98*G98*U98*AF98*[2]ステータス!$D$2,0)</f>
        <v>0</v>
      </c>
      <c r="AJ98" s="28">
        <f ca="1">ROUND(VLOOKUP(100,enemy_base_stats!$A:$F,2,FALSE) * Y98* J98*O98*E98*S98*AD98*[2]ステータス!$B$2,0)</f>
        <v>2233</v>
      </c>
      <c r="AK98" s="28">
        <f ca="1">ROUND(VLOOKUP(100,enemy_base_stats!$A:$F,3,FALSE)* Z98* K98*P98*F98*T98*AE98 * W98*[2]ステータス!$C$2,0)</f>
        <v>205</v>
      </c>
      <c r="AL98" s="28">
        <f ca="1">ROUND(VLOOKUP(100,enemy_base_stats!$A:$F,4,FALSE)* AA98* L98*Q98*G98*U98*AF98*[2]ステータス!$D$2,0)</f>
        <v>0</v>
      </c>
      <c r="AM98" s="64">
        <v>474945</v>
      </c>
      <c r="AN98" s="36">
        <v>0</v>
      </c>
      <c r="AO98" s="53">
        <v>0</v>
      </c>
      <c r="AP98" s="58" t="s">
        <v>72</v>
      </c>
      <c r="AQ98" s="71">
        <f t="shared" ca="1" si="2"/>
        <v>97</v>
      </c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</row>
    <row r="99" spans="1:60" s="3" customFormat="1" ht="21" customHeight="1" x14ac:dyDescent="0.15">
      <c r="A99" s="7">
        <f t="shared" ca="1" si="3"/>
        <v>98</v>
      </c>
      <c r="B99" s="6" t="str">
        <f ca="1">VLOOKUP(A99,[2]characters!$A:$C,3,FALSE)</f>
        <v>森のミリオンダック</v>
      </c>
      <c r="C99" s="9">
        <f ca="1">VLOOKUP(A99,[2]characters!$A:$I,9,FALSE)</f>
        <v>6</v>
      </c>
      <c r="D99" s="9" t="str">
        <f ca="1">VLOOKUP(A99,[2]characters!$A:$H,8,FALSE)</f>
        <v>green</v>
      </c>
      <c r="E99" s="24">
        <f ca="1">VLOOKUP(D99,[2]属性!$A:$E,2,FALSE)</f>
        <v>1.02</v>
      </c>
      <c r="F99" s="24">
        <f ca="1">VLOOKUP(D99,[2]属性!$A:$E,3,FALSE)</f>
        <v>0.98</v>
      </c>
      <c r="G99" s="24">
        <f ca="1">VLOOKUP(D99,[2]属性!$A:$F,4,FALSE)</f>
        <v>1</v>
      </c>
      <c r="H99" s="9" t="str">
        <f ca="1">VLOOKUP(A99,[2]characters!$A:$K,11,FALSE)</f>
        <v>exp</v>
      </c>
      <c r="I99" s="14" t="str">
        <f ca="1">VLOOKUP(H99,[2]character_type_i18n!$A:$F,3,FALSE)</f>
        <v>強化素材タイプ</v>
      </c>
      <c r="J99" s="36">
        <f ca="1">VLOOKUP(H99,[2]character_type_i18n!$A:$F,4,FALSE)</f>
        <v>0.1</v>
      </c>
      <c r="K99" s="36">
        <f ca="1">VLOOKUP(H99,[2]character_type_i18n!$A:$F,5,FALSE)</f>
        <v>0.05</v>
      </c>
      <c r="L99" s="36">
        <f ca="1">VLOOKUP(H99,[2]character_type_i18n!$A:$F,6,FALSE)</f>
        <v>1</v>
      </c>
      <c r="M99" s="9" t="str">
        <f ca="1">VLOOKUP(A99,[2]characters!$A:$M,13,FALSE)</f>
        <v>unknown</v>
      </c>
      <c r="N99" s="14" t="str">
        <f ca="1">VLOOKUP(M99,[2]character_tribe_i18n!$A:$F,3,FALSE)</f>
        <v>Unknown</v>
      </c>
      <c r="O99" s="24">
        <f ca="1">VLOOKUP(M99,[2]character_tribe_i18n!$A:$F,4,FALSE)</f>
        <v>1</v>
      </c>
      <c r="P99" s="24">
        <f ca="1">VLOOKUP(M99,[2]character_tribe_i18n!$A:$F,5,FALSE)</f>
        <v>1</v>
      </c>
      <c r="Q99" s="24">
        <f ca="1">VLOOKUP(M99,[2]character_tribe_i18n!$A:$F,6,FALSE)</f>
        <v>1</v>
      </c>
      <c r="R99" s="25" t="s">
        <v>31</v>
      </c>
      <c r="S99" s="24">
        <f>VLOOKUP($R99,ラベル別係数!$A$1:$E$7,3,FALSE)</f>
        <v>1</v>
      </c>
      <c r="T99" s="24">
        <f>VLOOKUP($R99,ラベル別係数!$A$1:$E$7,4,FALSE)</f>
        <v>1</v>
      </c>
      <c r="U99" s="24">
        <f>VLOOKUP($R99,ラベル別係数!$A$1:$E$7,5,FALSE)</f>
        <v>1</v>
      </c>
      <c r="V99" s="27">
        <v>1</v>
      </c>
      <c r="W99" s="28">
        <f>VLOOKUP(V99,ターン数別攻撃係数!$A$1:$B$1000,2,FALSE)</f>
        <v>0.55000000000000004</v>
      </c>
      <c r="X99" s="10">
        <v>20</v>
      </c>
      <c r="Y99" s="26">
        <f>VLOOKUP($X99,サイズ別係数!$B:$E,2,FALSE)</f>
        <v>1.1000000000000001</v>
      </c>
      <c r="Z99" s="26">
        <f>VLOOKUP($X99,サイズ別係数!$B:$E,3,FALSE)</f>
        <v>1.2</v>
      </c>
      <c r="AA99" s="26">
        <f>VLOOKUP($X99,サイズ別係数!$B:$E,4,FALSE)</f>
        <v>1.2</v>
      </c>
      <c r="AB99" s="35">
        <v>0</v>
      </c>
      <c r="AC99" s="34" t="str">
        <f ca="1">VLOOKUP($AB99,OFFSET([3]enemy_skill_sets!$B$2,0,0,COUNTA([3]enemy_skill_sets!$A:$A),MATCH(AC$1,[3]enemy_skill_sets!$1:$1,0)-MATCH($AB$1,[3]enemy_skill_sets!$1:$1,0)+1),MATCH(AC$1,[3]enemy_skill_sets!$1:$1,0)-MATCH($AB$1,[3]enemy_skill_sets!$1:$1,0)+1,FALSE)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" s="27">
        <v>1</v>
      </c>
      <c r="AE99" s="37">
        <v>1</v>
      </c>
      <c r="AF99" s="37">
        <v>0</v>
      </c>
      <c r="AG99" s="28">
        <f ca="1">ROUND(VLOOKUP(1,enemy_base_stats!$A:$F,2,FALSE) * Y99* J99*O99*E99*S99*AD99*[2]ステータス!$B$2,0)</f>
        <v>56</v>
      </c>
      <c r="AH99" s="28">
        <f ca="1">ROUND(VLOOKUP(1,enemy_base_stats!$A:$F,3,FALSE) * Z99*K99*P99*F99*T99*AE99 * W99*[2]ステータス!$C$2,0)</f>
        <v>5</v>
      </c>
      <c r="AI99" s="28">
        <f ca="1">ROUND(VLOOKUP(1,enemy_base_stats!$A:$F,4,FALSE) * AA99*L99*Q99*G99*U99*AF99*[2]ステータス!$D$2,0)</f>
        <v>0</v>
      </c>
      <c r="AJ99" s="28">
        <f ca="1">ROUND(VLOOKUP(100,enemy_base_stats!$A:$F,2,FALSE) * Y99* J99*O99*E99*S99*AD99*[2]ステータス!$B$2,0)</f>
        <v>2278</v>
      </c>
      <c r="AK99" s="28">
        <f ca="1">ROUND(VLOOKUP(100,enemy_base_stats!$A:$F,3,FALSE)* Z99* K99*P99*F99*T99*AE99 * W99*[2]ステータス!$C$2,0)</f>
        <v>197</v>
      </c>
      <c r="AL99" s="28">
        <f ca="1">ROUND(VLOOKUP(100,enemy_base_stats!$A:$F,4,FALSE)* AA99* L99*Q99*G99*U99*AF99*[2]ステータス!$D$2,0)</f>
        <v>0</v>
      </c>
      <c r="AM99" s="64">
        <v>474945</v>
      </c>
      <c r="AN99" s="36">
        <v>0</v>
      </c>
      <c r="AO99" s="53">
        <v>0</v>
      </c>
      <c r="AP99" s="58" t="s">
        <v>72</v>
      </c>
      <c r="AQ99" s="71">
        <f t="shared" ca="1" si="2"/>
        <v>98</v>
      </c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</row>
    <row r="100" spans="1:60" s="3" customFormat="1" ht="21" customHeight="1" x14ac:dyDescent="0.15">
      <c r="A100" s="7">
        <f t="shared" ca="1" si="3"/>
        <v>99</v>
      </c>
      <c r="B100" s="6" t="str">
        <f ca="1">VLOOKUP(A100,[2]characters!$A:$C,3,FALSE)</f>
        <v>水のミリオンダック</v>
      </c>
      <c r="C100" s="9">
        <f ca="1">VLOOKUP(A100,[2]characters!$A:$I,9,FALSE)</f>
        <v>6</v>
      </c>
      <c r="D100" s="9" t="str">
        <f ca="1">VLOOKUP(A100,[2]characters!$A:$H,8,FALSE)</f>
        <v>blue</v>
      </c>
      <c r="E100" s="24">
        <f ca="1">VLOOKUP(D100,[2]属性!$A:$E,2,FALSE)</f>
        <v>1</v>
      </c>
      <c r="F100" s="24">
        <f ca="1">VLOOKUP(D100,[2]属性!$A:$E,3,FALSE)</f>
        <v>0.98</v>
      </c>
      <c r="G100" s="24">
        <f ca="1">VLOOKUP(D100,[2]属性!$A:$F,4,FALSE)</f>
        <v>1</v>
      </c>
      <c r="H100" s="9" t="str">
        <f ca="1">VLOOKUP(A100,[2]characters!$A:$K,11,FALSE)</f>
        <v>exp</v>
      </c>
      <c r="I100" s="14" t="str">
        <f ca="1">VLOOKUP(H100,[2]character_type_i18n!$A:$F,3,FALSE)</f>
        <v>強化素材タイプ</v>
      </c>
      <c r="J100" s="36">
        <f ca="1">VLOOKUP(H100,[2]character_type_i18n!$A:$F,4,FALSE)</f>
        <v>0.1</v>
      </c>
      <c r="K100" s="36">
        <f ca="1">VLOOKUP(H100,[2]character_type_i18n!$A:$F,5,FALSE)</f>
        <v>0.05</v>
      </c>
      <c r="L100" s="36">
        <f ca="1">VLOOKUP(H100,[2]character_type_i18n!$A:$F,6,FALSE)</f>
        <v>1</v>
      </c>
      <c r="M100" s="9" t="str">
        <f ca="1">VLOOKUP(A100,[2]characters!$A:$M,13,FALSE)</f>
        <v>unknown</v>
      </c>
      <c r="N100" s="14" t="str">
        <f ca="1">VLOOKUP(M100,[2]character_tribe_i18n!$A:$F,3,FALSE)</f>
        <v>Unknown</v>
      </c>
      <c r="O100" s="24">
        <f ca="1">VLOOKUP(M100,[2]character_tribe_i18n!$A:$F,4,FALSE)</f>
        <v>1</v>
      </c>
      <c r="P100" s="24">
        <f ca="1">VLOOKUP(M100,[2]character_tribe_i18n!$A:$F,5,FALSE)</f>
        <v>1</v>
      </c>
      <c r="Q100" s="24">
        <f ca="1">VLOOKUP(M100,[2]character_tribe_i18n!$A:$F,6,FALSE)</f>
        <v>1</v>
      </c>
      <c r="R100" s="25" t="s">
        <v>31</v>
      </c>
      <c r="S100" s="24">
        <f>VLOOKUP($R100,ラベル別係数!$A$1:$E$7,3,FALSE)</f>
        <v>1</v>
      </c>
      <c r="T100" s="24">
        <f>VLOOKUP($R100,ラベル別係数!$A$1:$E$7,4,FALSE)</f>
        <v>1</v>
      </c>
      <c r="U100" s="24">
        <f>VLOOKUP($R100,ラベル別係数!$A$1:$E$7,5,FALSE)</f>
        <v>1</v>
      </c>
      <c r="V100" s="27">
        <v>1</v>
      </c>
      <c r="W100" s="28">
        <f>VLOOKUP(V100,ターン数別攻撃係数!$A$1:$B$1000,2,FALSE)</f>
        <v>0.55000000000000004</v>
      </c>
      <c r="X100" s="10">
        <v>20</v>
      </c>
      <c r="Y100" s="26">
        <f>VLOOKUP($X100,サイズ別係数!$B:$E,2,FALSE)</f>
        <v>1.1000000000000001</v>
      </c>
      <c r="Z100" s="26">
        <f>VLOOKUP($X100,サイズ別係数!$B:$E,3,FALSE)</f>
        <v>1.2</v>
      </c>
      <c r="AA100" s="26">
        <f>VLOOKUP($X100,サイズ別係数!$B:$E,4,FALSE)</f>
        <v>1.2</v>
      </c>
      <c r="AB100" s="35">
        <v>0</v>
      </c>
      <c r="AC100" s="34" t="str">
        <f ca="1">VLOOKUP($AB100,OFFSET([3]enemy_skill_sets!$B$2,0,0,COUNTA([3]enemy_skill_sets!$A:$A),MATCH(AC$1,[3]enemy_skill_sets!$1:$1,0)-MATCH($AB$1,[3]enemy_skill_sets!$1:$1,0)+1),MATCH(AC$1,[3]enemy_skill_sets!$1:$1,0)-MATCH($AB$1,[3]enemy_skill_sets!$1:$1,0)+1,FALSE)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" s="27">
        <v>1</v>
      </c>
      <c r="AE100" s="37">
        <v>1</v>
      </c>
      <c r="AF100" s="37">
        <v>0</v>
      </c>
      <c r="AG100" s="28">
        <f ca="1">ROUND(VLOOKUP(1,enemy_base_stats!$A:$F,2,FALSE) * Y100* J100*O100*E100*S100*AD100*[2]ステータス!$B$2,0)</f>
        <v>55</v>
      </c>
      <c r="AH100" s="28">
        <f ca="1">ROUND(VLOOKUP(1,enemy_base_stats!$A:$F,3,FALSE) * Z100*K100*P100*F100*T100*AE100 * W100*[2]ステータス!$C$2,0)</f>
        <v>5</v>
      </c>
      <c r="AI100" s="28">
        <f ca="1">ROUND(VLOOKUP(1,enemy_base_stats!$A:$F,4,FALSE) * AA100*L100*Q100*G100*U100*AF100*[2]ステータス!$D$2,0)</f>
        <v>0</v>
      </c>
      <c r="AJ100" s="28">
        <f ca="1">ROUND(VLOOKUP(100,enemy_base_stats!$A:$F,2,FALSE) * Y100* J100*O100*E100*S100*AD100*[2]ステータス!$B$2,0)</f>
        <v>2233</v>
      </c>
      <c r="AK100" s="28">
        <f ca="1">ROUND(VLOOKUP(100,enemy_base_stats!$A:$F,3,FALSE)* Z100* K100*P100*F100*T100*AE100 * W100*[2]ステータス!$C$2,0)</f>
        <v>197</v>
      </c>
      <c r="AL100" s="28">
        <f ca="1">ROUND(VLOOKUP(100,enemy_base_stats!$A:$F,4,FALSE)* AA100* L100*Q100*G100*U100*AF100*[2]ステータス!$D$2,0)</f>
        <v>0</v>
      </c>
      <c r="AM100" s="64">
        <v>474945</v>
      </c>
      <c r="AN100" s="36">
        <v>0</v>
      </c>
      <c r="AO100" s="53">
        <v>0</v>
      </c>
      <c r="AP100" s="58" t="s">
        <v>72</v>
      </c>
      <c r="AQ100" s="71">
        <f t="shared" ca="1" si="2"/>
        <v>99</v>
      </c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</row>
    <row r="101" spans="1:60" s="3" customFormat="1" ht="21" customHeight="1" x14ac:dyDescent="0.15">
      <c r="A101" s="7">
        <f t="shared" ca="1" si="3"/>
        <v>100</v>
      </c>
      <c r="B101" s="6" t="str">
        <f ca="1">VLOOKUP(A101,[2]characters!$A:$C,3,FALSE)</f>
        <v>雷のミリオンダック</v>
      </c>
      <c r="C101" s="9">
        <f ca="1">VLOOKUP(A101,[2]characters!$A:$I,9,FALSE)</f>
        <v>6</v>
      </c>
      <c r="D101" s="9" t="str">
        <f ca="1">VLOOKUP(A101,[2]characters!$A:$H,8,FALSE)</f>
        <v>yellow</v>
      </c>
      <c r="E101" s="24">
        <f ca="1">VLOOKUP(D101,[2]属性!$A:$E,2,FALSE)</f>
        <v>0.98</v>
      </c>
      <c r="F101" s="24">
        <f ca="1">VLOOKUP(D101,[2]属性!$A:$E,3,FALSE)</f>
        <v>1.01</v>
      </c>
      <c r="G101" s="24">
        <f ca="1">VLOOKUP(D101,[2]属性!$A:$F,4,FALSE)</f>
        <v>1</v>
      </c>
      <c r="H101" s="9" t="str">
        <f ca="1">VLOOKUP(A101,[2]characters!$A:$K,11,FALSE)</f>
        <v>exp</v>
      </c>
      <c r="I101" s="14" t="str">
        <f ca="1">VLOOKUP(H101,[2]character_type_i18n!$A:$F,3,FALSE)</f>
        <v>強化素材タイプ</v>
      </c>
      <c r="J101" s="36">
        <f ca="1">VLOOKUP(H101,[2]character_type_i18n!$A:$F,4,FALSE)</f>
        <v>0.1</v>
      </c>
      <c r="K101" s="36">
        <f ca="1">VLOOKUP(H101,[2]character_type_i18n!$A:$F,5,FALSE)</f>
        <v>0.05</v>
      </c>
      <c r="L101" s="36">
        <f ca="1">VLOOKUP(H101,[2]character_type_i18n!$A:$F,6,FALSE)</f>
        <v>1</v>
      </c>
      <c r="M101" s="9" t="str">
        <f ca="1">VLOOKUP(A101,[2]characters!$A:$M,13,FALSE)</f>
        <v>unknown</v>
      </c>
      <c r="N101" s="14" t="str">
        <f ca="1">VLOOKUP(M101,[2]character_tribe_i18n!$A:$F,3,FALSE)</f>
        <v>Unknown</v>
      </c>
      <c r="O101" s="24">
        <f ca="1">VLOOKUP(M101,[2]character_tribe_i18n!$A:$F,4,FALSE)</f>
        <v>1</v>
      </c>
      <c r="P101" s="24">
        <f ca="1">VLOOKUP(M101,[2]character_tribe_i18n!$A:$F,5,FALSE)</f>
        <v>1</v>
      </c>
      <c r="Q101" s="24">
        <f ca="1">VLOOKUP(M101,[2]character_tribe_i18n!$A:$F,6,FALSE)</f>
        <v>1</v>
      </c>
      <c r="R101" s="25" t="s">
        <v>31</v>
      </c>
      <c r="S101" s="24">
        <f>VLOOKUP($R101,ラベル別係数!$A$1:$E$7,3,FALSE)</f>
        <v>1</v>
      </c>
      <c r="T101" s="24">
        <f>VLOOKUP($R101,ラベル別係数!$A$1:$E$7,4,FALSE)</f>
        <v>1</v>
      </c>
      <c r="U101" s="24">
        <f>VLOOKUP($R101,ラベル別係数!$A$1:$E$7,5,FALSE)</f>
        <v>1</v>
      </c>
      <c r="V101" s="27">
        <v>1</v>
      </c>
      <c r="W101" s="28">
        <f>VLOOKUP(V101,ターン数別攻撃係数!$A$1:$B$1000,2,FALSE)</f>
        <v>0.55000000000000004</v>
      </c>
      <c r="X101" s="10">
        <v>20</v>
      </c>
      <c r="Y101" s="26">
        <f>VLOOKUP($X101,サイズ別係数!$B:$E,2,FALSE)</f>
        <v>1.1000000000000001</v>
      </c>
      <c r="Z101" s="26">
        <f>VLOOKUP($X101,サイズ別係数!$B:$E,3,FALSE)</f>
        <v>1.2</v>
      </c>
      <c r="AA101" s="26">
        <f>VLOOKUP($X101,サイズ別係数!$B:$E,4,FALSE)</f>
        <v>1.2</v>
      </c>
      <c r="AB101" s="35">
        <v>0</v>
      </c>
      <c r="AC101" s="34" t="str">
        <f ca="1">VLOOKUP($AB101,OFFSET([3]enemy_skill_sets!$B$2,0,0,COUNTA([3]enemy_skill_sets!$A:$A),MATCH(AC$1,[3]enemy_skill_sets!$1:$1,0)-MATCH($AB$1,[3]enemy_skill_sets!$1:$1,0)+1),MATCH(AC$1,[3]enemy_skill_sets!$1:$1,0)-MATCH($AB$1,[3]enemy_skill_sets!$1:$1,0)+1,FALSE)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" s="27">
        <v>1</v>
      </c>
      <c r="AE101" s="37">
        <v>1</v>
      </c>
      <c r="AF101" s="37">
        <v>0</v>
      </c>
      <c r="AG101" s="28">
        <f ca="1">ROUND(VLOOKUP(1,enemy_base_stats!$A:$F,2,FALSE) * Y101* J101*O101*E101*S101*AD101*[2]ステータス!$B$2,0)</f>
        <v>54</v>
      </c>
      <c r="AH101" s="28">
        <f ca="1">ROUND(VLOOKUP(1,enemy_base_stats!$A:$F,3,FALSE) * Z101*K101*P101*F101*T101*AE101 * W101*[2]ステータス!$C$2,0)</f>
        <v>5</v>
      </c>
      <c r="AI101" s="28">
        <f ca="1">ROUND(VLOOKUP(1,enemy_base_stats!$A:$F,4,FALSE) * AA101*L101*Q101*G101*U101*AF101*[2]ステータス!$D$2,0)</f>
        <v>0</v>
      </c>
      <c r="AJ101" s="28">
        <f ca="1">ROUND(VLOOKUP(100,enemy_base_stats!$A:$F,2,FALSE) * Y101* J101*O101*E101*S101*AD101*[2]ステータス!$B$2,0)</f>
        <v>2188</v>
      </c>
      <c r="AK101" s="28">
        <f ca="1">ROUND(VLOOKUP(100,enemy_base_stats!$A:$F,3,FALSE)* Z101* K101*P101*F101*T101*AE101 * W101*[2]ステータス!$C$2,0)</f>
        <v>203</v>
      </c>
      <c r="AL101" s="28">
        <f ca="1">ROUND(VLOOKUP(100,enemy_base_stats!$A:$F,4,FALSE)* AA101* L101*Q101*G101*U101*AF101*[2]ステータス!$D$2,0)</f>
        <v>0</v>
      </c>
      <c r="AM101" s="64">
        <v>474945</v>
      </c>
      <c r="AN101" s="36">
        <v>0</v>
      </c>
      <c r="AO101" s="53">
        <v>0</v>
      </c>
      <c r="AP101" s="58" t="s">
        <v>72</v>
      </c>
      <c r="AQ101" s="71">
        <f t="shared" ca="1" si="2"/>
        <v>100</v>
      </c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</row>
    <row r="102" spans="1:60" s="3" customFormat="1" ht="21" customHeight="1" x14ac:dyDescent="0.15">
      <c r="A102" s="7">
        <f t="shared" ca="1" si="3"/>
        <v>101</v>
      </c>
      <c r="B102" s="6" t="str">
        <f ca="1">VLOOKUP(A102,[2]characters!$A:$C,3,FALSE)</f>
        <v>レッドチェシャ</v>
      </c>
      <c r="C102" s="9">
        <f ca="1">VLOOKUP(A102,[2]characters!$A:$I,9,FALSE)</f>
        <v>2</v>
      </c>
      <c r="D102" s="9" t="str">
        <f ca="1">VLOOKUP(A102,[2]characters!$A:$H,8,FALSE)</f>
        <v>red</v>
      </c>
      <c r="E102" s="24">
        <f ca="1">VLOOKUP(D102,[2]属性!$A:$E,2,FALSE)</f>
        <v>1</v>
      </c>
      <c r="F102" s="24">
        <f ca="1">VLOOKUP(D102,[2]属性!$A:$E,3,FALSE)</f>
        <v>1.02</v>
      </c>
      <c r="G102" s="24">
        <f ca="1">VLOOKUP(D102,[2]属性!$A:$F,4,FALSE)</f>
        <v>1</v>
      </c>
      <c r="H102" s="9" t="str">
        <f ca="1">VLOOKUP(A102,[2]characters!$A:$K,11,FALSE)</f>
        <v>evolution</v>
      </c>
      <c r="I102" s="14" t="str">
        <f ca="1">VLOOKUP(H102,[2]character_type_i18n!$A:$F,3,FALSE)</f>
        <v>覚醒素材タイプ</v>
      </c>
      <c r="J102" s="36">
        <f ca="1">VLOOKUP(H102,[2]character_type_i18n!$A:$F,4,FALSE)</f>
        <v>0.1</v>
      </c>
      <c r="K102" s="36">
        <f ca="1">VLOOKUP(H102,[2]character_type_i18n!$A:$F,5,FALSE)</f>
        <v>0.05</v>
      </c>
      <c r="L102" s="36">
        <f ca="1">VLOOKUP(H102,[2]character_type_i18n!$A:$F,6,FALSE)</f>
        <v>1</v>
      </c>
      <c r="M102" s="9" t="str">
        <f ca="1">VLOOKUP(A102,[2]characters!$A:$M,13,FALSE)</f>
        <v>unknown</v>
      </c>
      <c r="N102" s="14" t="str">
        <f ca="1">VLOOKUP(M102,[2]character_tribe_i18n!$A:$F,3,FALSE)</f>
        <v>Unknown</v>
      </c>
      <c r="O102" s="24">
        <f ca="1">VLOOKUP(M102,[2]character_tribe_i18n!$A:$F,4,FALSE)</f>
        <v>1</v>
      </c>
      <c r="P102" s="24">
        <f ca="1">VLOOKUP(M102,[2]character_tribe_i18n!$A:$F,5,FALSE)</f>
        <v>1</v>
      </c>
      <c r="Q102" s="24">
        <f ca="1">VLOOKUP(M102,[2]character_tribe_i18n!$A:$F,6,FALSE)</f>
        <v>1</v>
      </c>
      <c r="R102" s="25" t="s">
        <v>31</v>
      </c>
      <c r="S102" s="24">
        <f>VLOOKUP($R102,ラベル別係数!$A$1:$E$7,3,FALSE)</f>
        <v>1</v>
      </c>
      <c r="T102" s="24">
        <f>VLOOKUP($R102,ラベル別係数!$A$1:$E$7,4,FALSE)</f>
        <v>1</v>
      </c>
      <c r="U102" s="24">
        <f>VLOOKUP($R102,ラベル別係数!$A$1:$E$7,5,FALSE)</f>
        <v>1</v>
      </c>
      <c r="V102" s="27">
        <v>1</v>
      </c>
      <c r="W102" s="28">
        <f>VLOOKUP(V102,ターン数別攻撃係数!$A$1:$B$1000,2,FALSE)</f>
        <v>0.55000000000000004</v>
      </c>
      <c r="X102" s="10">
        <v>15</v>
      </c>
      <c r="Y102" s="26">
        <f>VLOOKUP($X102,サイズ別係数!$B:$E,2,FALSE)</f>
        <v>1</v>
      </c>
      <c r="Z102" s="26">
        <f>VLOOKUP($X102,サイズ別係数!$B:$E,3,FALSE)</f>
        <v>1</v>
      </c>
      <c r="AA102" s="26">
        <f>VLOOKUP($X102,サイズ別係数!$B:$E,4,FALSE)</f>
        <v>1</v>
      </c>
      <c r="AB102" s="35">
        <v>0</v>
      </c>
      <c r="AC102" s="34" t="str">
        <f ca="1">VLOOKUP($AB102,OFFSET([3]enemy_skill_sets!$B$2,0,0,COUNTA([3]enemy_skill_sets!$A:$A),MATCH(AC$1,[3]enemy_skill_sets!$1:$1,0)-MATCH($AB$1,[3]enemy_skill_sets!$1:$1,0)+1),MATCH(AC$1,[3]enemy_skill_sets!$1:$1,0)-MATCH($AB$1,[3]enemy_skill_sets!$1:$1,0)+1,FALSE)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" s="27">
        <v>10</v>
      </c>
      <c r="AE102" s="37">
        <v>25</v>
      </c>
      <c r="AF102" s="37">
        <v>0</v>
      </c>
      <c r="AG102" s="28">
        <f ca="1">ROUND(VLOOKUP(1,enemy_base_stats!$A:$F,2,FALSE) * Y102* J102*O102*E102*S102*AD102*[2]ステータス!$B$2,0)</f>
        <v>500</v>
      </c>
      <c r="AH102" s="28">
        <f ca="1">ROUND(VLOOKUP(1,enemy_base_stats!$A:$F,3,FALSE) * Z102*K102*P102*F102*T102*AE102 * W102*[2]ステータス!$C$2,0)</f>
        <v>105</v>
      </c>
      <c r="AI102" s="28">
        <f ca="1">ROUND(VLOOKUP(1,enemy_base_stats!$A:$F,4,FALSE) * AA102*L102*Q102*G102*U102*AF102*[2]ステータス!$D$2,0)</f>
        <v>0</v>
      </c>
      <c r="AJ102" s="28">
        <f ca="1">ROUND(VLOOKUP(100,enemy_base_stats!$A:$F,2,FALSE) * Y102* J102*O102*E102*S102*AD102*[2]ステータス!$B$2,0)</f>
        <v>20300</v>
      </c>
      <c r="AK102" s="28">
        <f ca="1">ROUND(VLOOKUP(100,enemy_base_stats!$A:$F,3,FALSE)* Z102* K102*P102*F102*T102*AE102 * W102*[2]ステータス!$C$2,0)</f>
        <v>4271</v>
      </c>
      <c r="AL102" s="28">
        <f ca="1">ROUND(VLOOKUP(100,enemy_base_stats!$A:$F,4,FALSE)* AA102* L102*Q102*G102*U102*AF102*[2]ステータス!$D$2,0)</f>
        <v>0</v>
      </c>
      <c r="AM102" s="24">
        <f ca="1">VLOOKUP(M102,[2]character_tribe_i18n!$A:$I,9,FALSE)</f>
        <v>340</v>
      </c>
      <c r="AN102" s="36">
        <v>0</v>
      </c>
      <c r="AO102" s="53">
        <v>0</v>
      </c>
      <c r="AP102" s="58" t="s">
        <v>72</v>
      </c>
      <c r="AQ102" s="71">
        <f t="shared" ca="1" si="2"/>
        <v>101</v>
      </c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</row>
    <row r="103" spans="1:60" s="3" customFormat="1" ht="21" customHeight="1" x14ac:dyDescent="0.15">
      <c r="A103" s="7">
        <f t="shared" ca="1" si="3"/>
        <v>102</v>
      </c>
      <c r="B103" s="6" t="str">
        <f ca="1">VLOOKUP(A103,[2]characters!$A:$C,3,FALSE)</f>
        <v>レッドラビット</v>
      </c>
      <c r="C103" s="9">
        <f ca="1">VLOOKUP(A103,[2]characters!$A:$I,9,FALSE)</f>
        <v>3</v>
      </c>
      <c r="D103" s="9" t="str">
        <f ca="1">VLOOKUP(A103,[2]characters!$A:$H,8,FALSE)</f>
        <v>red</v>
      </c>
      <c r="E103" s="24">
        <f ca="1">VLOOKUP(D103,[2]属性!$A:$E,2,FALSE)</f>
        <v>1</v>
      </c>
      <c r="F103" s="24">
        <f ca="1">VLOOKUP(D103,[2]属性!$A:$E,3,FALSE)</f>
        <v>1.02</v>
      </c>
      <c r="G103" s="24">
        <f ca="1">VLOOKUP(D103,[2]属性!$A:$F,4,FALSE)</f>
        <v>1</v>
      </c>
      <c r="H103" s="9" t="str">
        <f ca="1">VLOOKUP(A103,[2]characters!$A:$K,11,FALSE)</f>
        <v>evolution</v>
      </c>
      <c r="I103" s="14" t="str">
        <f ca="1">VLOOKUP(H103,[2]character_type_i18n!$A:$F,3,FALSE)</f>
        <v>覚醒素材タイプ</v>
      </c>
      <c r="J103" s="36">
        <f ca="1">VLOOKUP(H103,[2]character_type_i18n!$A:$F,4,FALSE)</f>
        <v>0.1</v>
      </c>
      <c r="K103" s="36">
        <f ca="1">VLOOKUP(H103,[2]character_type_i18n!$A:$F,5,FALSE)</f>
        <v>0.05</v>
      </c>
      <c r="L103" s="36">
        <f ca="1">VLOOKUP(H103,[2]character_type_i18n!$A:$F,6,FALSE)</f>
        <v>1</v>
      </c>
      <c r="M103" s="9" t="str">
        <f ca="1">VLOOKUP(A103,[2]characters!$A:$M,13,FALSE)</f>
        <v>unknown</v>
      </c>
      <c r="N103" s="14" t="str">
        <f ca="1">VLOOKUP(M103,[2]character_tribe_i18n!$A:$F,3,FALSE)</f>
        <v>Unknown</v>
      </c>
      <c r="O103" s="24">
        <f ca="1">VLOOKUP(M103,[2]character_tribe_i18n!$A:$F,4,FALSE)</f>
        <v>1</v>
      </c>
      <c r="P103" s="24">
        <f ca="1">VLOOKUP(M103,[2]character_tribe_i18n!$A:$F,5,FALSE)</f>
        <v>1</v>
      </c>
      <c r="Q103" s="24">
        <f ca="1">VLOOKUP(M103,[2]character_tribe_i18n!$A:$F,6,FALSE)</f>
        <v>1</v>
      </c>
      <c r="R103" s="25" t="s">
        <v>31</v>
      </c>
      <c r="S103" s="24">
        <f>VLOOKUP($R103,ラベル別係数!$A$1:$E$7,3,FALSE)</f>
        <v>1</v>
      </c>
      <c r="T103" s="24">
        <f>VLOOKUP($R103,ラベル別係数!$A$1:$E$7,4,FALSE)</f>
        <v>1</v>
      </c>
      <c r="U103" s="24">
        <f>VLOOKUP($R103,ラベル別係数!$A$1:$E$7,5,FALSE)</f>
        <v>1</v>
      </c>
      <c r="V103" s="27">
        <v>2</v>
      </c>
      <c r="W103" s="28">
        <f>VLOOKUP(V103,ターン数別攻撃係数!$A$1:$B$1000,2,FALSE)</f>
        <v>0.75</v>
      </c>
      <c r="X103" s="10">
        <v>15</v>
      </c>
      <c r="Y103" s="26">
        <f>VLOOKUP($X103,サイズ別係数!$B:$E,2,FALSE)</f>
        <v>1</v>
      </c>
      <c r="Z103" s="26">
        <f>VLOOKUP($X103,サイズ別係数!$B:$E,3,FALSE)</f>
        <v>1</v>
      </c>
      <c r="AA103" s="26">
        <f>VLOOKUP($X103,サイズ別係数!$B:$E,4,FALSE)</f>
        <v>1</v>
      </c>
      <c r="AB103" s="35">
        <v>0</v>
      </c>
      <c r="AC103" s="34" t="str">
        <f ca="1">VLOOKUP($AB103,OFFSET([3]enemy_skill_sets!$B$2,0,0,COUNTA([3]enemy_skill_sets!$A:$A),MATCH(AC$1,[3]enemy_skill_sets!$1:$1,0)-MATCH($AB$1,[3]enemy_skill_sets!$1:$1,0)+1),MATCH(AC$1,[3]enemy_skill_sets!$1:$1,0)-MATCH($AB$1,[3]enemy_skill_sets!$1:$1,0)+1,FALSE)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" s="27">
        <v>14</v>
      </c>
      <c r="AE103" s="37">
        <v>25</v>
      </c>
      <c r="AF103" s="37">
        <v>0</v>
      </c>
      <c r="AG103" s="28">
        <f ca="1">ROUND(VLOOKUP(1,enemy_base_stats!$A:$F,2,FALSE) * Y103* J103*O103*E103*S103*AD103*[2]ステータス!$B$2,0)</f>
        <v>700</v>
      </c>
      <c r="AH103" s="28">
        <f ca="1">ROUND(VLOOKUP(1,enemy_base_stats!$A:$F,3,FALSE) * Z103*K103*P103*F103*T103*AE103 * W103*[2]ステータス!$C$2,0)</f>
        <v>143</v>
      </c>
      <c r="AI103" s="28">
        <f ca="1">ROUND(VLOOKUP(1,enemy_base_stats!$A:$F,4,FALSE) * AA103*L103*Q103*G103*U103*AF103*[2]ステータス!$D$2,0)</f>
        <v>0</v>
      </c>
      <c r="AJ103" s="28">
        <f ca="1">ROUND(VLOOKUP(100,enemy_base_stats!$A:$F,2,FALSE) * Y103* J103*O103*E103*S103*AD103*[2]ステータス!$B$2,0)</f>
        <v>28420</v>
      </c>
      <c r="AK103" s="28">
        <f ca="1">ROUND(VLOOKUP(100,enemy_base_stats!$A:$F,3,FALSE)* Z103* K103*P103*F103*T103*AE103 * W103*[2]ステータス!$C$2,0)</f>
        <v>5824</v>
      </c>
      <c r="AL103" s="28">
        <f ca="1">ROUND(VLOOKUP(100,enemy_base_stats!$A:$F,4,FALSE)* AA103* L103*Q103*G103*U103*AF103*[2]ステータス!$D$2,0)</f>
        <v>0</v>
      </c>
      <c r="AM103" s="24">
        <f ca="1">VLOOKUP(M103,[2]character_tribe_i18n!$A:$I,9,FALSE)</f>
        <v>340</v>
      </c>
      <c r="AN103" s="36">
        <v>0</v>
      </c>
      <c r="AO103" s="53">
        <v>0</v>
      </c>
      <c r="AP103" s="58" t="s">
        <v>72</v>
      </c>
      <c r="AQ103" s="71">
        <f t="shared" ca="1" si="2"/>
        <v>102</v>
      </c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</row>
    <row r="104" spans="1:60" s="3" customFormat="1" ht="21" customHeight="1" x14ac:dyDescent="0.15">
      <c r="A104" s="7">
        <f t="shared" ca="1" si="3"/>
        <v>103</v>
      </c>
      <c r="B104" s="6" t="str">
        <f ca="1">VLOOKUP(A104,[2]characters!$A:$C,3,FALSE)</f>
        <v>レッドキャタップ</v>
      </c>
      <c r="C104" s="9">
        <f ca="1">VLOOKUP(A104,[2]characters!$A:$I,9,FALSE)</f>
        <v>4</v>
      </c>
      <c r="D104" s="9" t="str">
        <f ca="1">VLOOKUP(A104,[2]characters!$A:$H,8,FALSE)</f>
        <v>red</v>
      </c>
      <c r="E104" s="24">
        <f ca="1">VLOOKUP(D104,[2]属性!$A:$E,2,FALSE)</f>
        <v>1</v>
      </c>
      <c r="F104" s="24">
        <f ca="1">VLOOKUP(D104,[2]属性!$A:$E,3,FALSE)</f>
        <v>1.02</v>
      </c>
      <c r="G104" s="24">
        <f ca="1">VLOOKUP(D104,[2]属性!$A:$F,4,FALSE)</f>
        <v>1</v>
      </c>
      <c r="H104" s="9" t="str">
        <f ca="1">VLOOKUP(A104,[2]characters!$A:$K,11,FALSE)</f>
        <v>evolution</v>
      </c>
      <c r="I104" s="14" t="str">
        <f ca="1">VLOOKUP(H104,[2]character_type_i18n!$A:$F,3,FALSE)</f>
        <v>覚醒素材タイプ</v>
      </c>
      <c r="J104" s="36">
        <f ca="1">VLOOKUP(H104,[2]character_type_i18n!$A:$F,4,FALSE)</f>
        <v>0.1</v>
      </c>
      <c r="K104" s="36">
        <f ca="1">VLOOKUP(H104,[2]character_type_i18n!$A:$F,5,FALSE)</f>
        <v>0.05</v>
      </c>
      <c r="L104" s="36">
        <f ca="1">VLOOKUP(H104,[2]character_type_i18n!$A:$F,6,FALSE)</f>
        <v>1</v>
      </c>
      <c r="M104" s="9" t="str">
        <f ca="1">VLOOKUP(A104,[2]characters!$A:$M,13,FALSE)</f>
        <v>unknown</v>
      </c>
      <c r="N104" s="14" t="str">
        <f ca="1">VLOOKUP(M104,[2]character_tribe_i18n!$A:$F,3,FALSE)</f>
        <v>Unknown</v>
      </c>
      <c r="O104" s="24">
        <f ca="1">VLOOKUP(M104,[2]character_tribe_i18n!$A:$F,4,FALSE)</f>
        <v>1</v>
      </c>
      <c r="P104" s="24">
        <f ca="1">VLOOKUP(M104,[2]character_tribe_i18n!$A:$F,5,FALSE)</f>
        <v>1</v>
      </c>
      <c r="Q104" s="24">
        <f ca="1">VLOOKUP(M104,[2]character_tribe_i18n!$A:$F,6,FALSE)</f>
        <v>1</v>
      </c>
      <c r="R104" s="25" t="s">
        <v>31</v>
      </c>
      <c r="S104" s="24">
        <f>VLOOKUP($R104,ラベル別係数!$A$1:$E$7,3,FALSE)</f>
        <v>1</v>
      </c>
      <c r="T104" s="24">
        <f>VLOOKUP($R104,ラベル別係数!$A$1:$E$7,4,FALSE)</f>
        <v>1</v>
      </c>
      <c r="U104" s="24">
        <f>VLOOKUP($R104,ラベル別係数!$A$1:$E$7,5,FALSE)</f>
        <v>1</v>
      </c>
      <c r="V104" s="27">
        <v>3</v>
      </c>
      <c r="W104" s="28">
        <f>VLOOKUP(V104,ターン数別攻撃係数!$A$1:$B$1000,2,FALSE)</f>
        <v>1</v>
      </c>
      <c r="X104" s="10">
        <v>15</v>
      </c>
      <c r="Y104" s="26">
        <f>VLOOKUP($X104,サイズ別係数!$B:$E,2,FALSE)</f>
        <v>1</v>
      </c>
      <c r="Z104" s="26">
        <f>VLOOKUP($X104,サイズ別係数!$B:$E,3,FALSE)</f>
        <v>1</v>
      </c>
      <c r="AA104" s="26">
        <f>VLOOKUP($X104,サイズ別係数!$B:$E,4,FALSE)</f>
        <v>1</v>
      </c>
      <c r="AB104" s="35">
        <v>0</v>
      </c>
      <c r="AC104" s="34" t="str">
        <f ca="1">VLOOKUP($AB104,OFFSET([3]enemy_skill_sets!$B$2,0,0,COUNTA([3]enemy_skill_sets!$A:$A),MATCH(AC$1,[3]enemy_skill_sets!$1:$1,0)-MATCH($AB$1,[3]enemy_skill_sets!$1:$1,0)+1),MATCH(AC$1,[3]enemy_skill_sets!$1:$1,0)-MATCH($AB$1,[3]enemy_skill_sets!$1:$1,0)+1,FALSE)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" s="27">
        <v>18</v>
      </c>
      <c r="AE104" s="37">
        <v>25</v>
      </c>
      <c r="AF104" s="37">
        <v>0</v>
      </c>
      <c r="AG104" s="28">
        <f ca="1">ROUND(VLOOKUP(1,enemy_base_stats!$A:$F,2,FALSE) * Y104* J104*O104*E104*S104*AD104*[2]ステータス!$B$2,0)</f>
        <v>900</v>
      </c>
      <c r="AH104" s="28">
        <f ca="1">ROUND(VLOOKUP(1,enemy_base_stats!$A:$F,3,FALSE) * Z104*K104*P104*F104*T104*AE104 * W104*[2]ステータス!$C$2,0)</f>
        <v>191</v>
      </c>
      <c r="AI104" s="28">
        <f ca="1">ROUND(VLOOKUP(1,enemy_base_stats!$A:$F,4,FALSE) * AA104*L104*Q104*G104*U104*AF104*[2]ステータス!$D$2,0)</f>
        <v>0</v>
      </c>
      <c r="AJ104" s="28">
        <f ca="1">ROUND(VLOOKUP(100,enemy_base_stats!$A:$F,2,FALSE) * Y104* J104*O104*E104*S104*AD104*[2]ステータス!$B$2,0)</f>
        <v>36540</v>
      </c>
      <c r="AK104" s="28">
        <f ca="1">ROUND(VLOOKUP(100,enemy_base_stats!$A:$F,3,FALSE)* Z104* K104*P104*F104*T104*AE104 * W104*[2]ステータス!$C$2,0)</f>
        <v>7765</v>
      </c>
      <c r="AL104" s="28">
        <f ca="1">ROUND(VLOOKUP(100,enemy_base_stats!$A:$F,4,FALSE)* AA104* L104*Q104*G104*U104*AF104*[2]ステータス!$D$2,0)</f>
        <v>0</v>
      </c>
      <c r="AM104" s="24">
        <f ca="1">VLOOKUP(M104,[2]character_tribe_i18n!$A:$I,9,FALSE)</f>
        <v>340</v>
      </c>
      <c r="AN104" s="36">
        <v>0</v>
      </c>
      <c r="AO104" s="53">
        <v>0</v>
      </c>
      <c r="AP104" s="58" t="s">
        <v>72</v>
      </c>
      <c r="AQ104" s="71">
        <f t="shared" ca="1" si="2"/>
        <v>103</v>
      </c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</row>
    <row r="105" spans="1:60" s="3" customFormat="1" ht="21" customHeight="1" x14ac:dyDescent="0.15">
      <c r="A105" s="7">
        <f t="shared" ca="1" si="3"/>
        <v>104</v>
      </c>
      <c r="B105" s="6" t="str">
        <f ca="1">VLOOKUP(A105,[2]characters!$A:$C,3,FALSE)</f>
        <v>炎のマッドハッター</v>
      </c>
      <c r="C105" s="9">
        <f ca="1">VLOOKUP(A105,[2]characters!$A:$I,9,FALSE)</f>
        <v>5</v>
      </c>
      <c r="D105" s="9" t="str">
        <f ca="1">VLOOKUP(A105,[2]characters!$A:$H,8,FALSE)</f>
        <v>red</v>
      </c>
      <c r="E105" s="24">
        <f ca="1">VLOOKUP(D105,[2]属性!$A:$E,2,FALSE)</f>
        <v>1</v>
      </c>
      <c r="F105" s="24">
        <f ca="1">VLOOKUP(D105,[2]属性!$A:$E,3,FALSE)</f>
        <v>1.02</v>
      </c>
      <c r="G105" s="24">
        <f ca="1">VLOOKUP(D105,[2]属性!$A:$F,4,FALSE)</f>
        <v>1</v>
      </c>
      <c r="H105" s="9" t="str">
        <f ca="1">VLOOKUP(A105,[2]characters!$A:$K,11,FALSE)</f>
        <v>evolution</v>
      </c>
      <c r="I105" s="14" t="str">
        <f ca="1">VLOOKUP(H105,[2]character_type_i18n!$A:$F,3,FALSE)</f>
        <v>覚醒素材タイプ</v>
      </c>
      <c r="J105" s="36">
        <f ca="1">VLOOKUP(H105,[2]character_type_i18n!$A:$F,4,FALSE)</f>
        <v>0.1</v>
      </c>
      <c r="K105" s="36">
        <f ca="1">VLOOKUP(H105,[2]character_type_i18n!$A:$F,5,FALSE)</f>
        <v>0.05</v>
      </c>
      <c r="L105" s="36">
        <f ca="1">VLOOKUP(H105,[2]character_type_i18n!$A:$F,6,FALSE)</f>
        <v>1</v>
      </c>
      <c r="M105" s="9" t="str">
        <f ca="1">VLOOKUP(A105,[2]characters!$A:$M,13,FALSE)</f>
        <v>unknown</v>
      </c>
      <c r="N105" s="14" t="str">
        <f ca="1">VLOOKUP(M105,[2]character_tribe_i18n!$A:$F,3,FALSE)</f>
        <v>Unknown</v>
      </c>
      <c r="O105" s="24">
        <f ca="1">VLOOKUP(M105,[2]character_tribe_i18n!$A:$F,4,FALSE)</f>
        <v>1</v>
      </c>
      <c r="P105" s="24">
        <f ca="1">VLOOKUP(M105,[2]character_tribe_i18n!$A:$F,5,FALSE)</f>
        <v>1</v>
      </c>
      <c r="Q105" s="24">
        <f ca="1">VLOOKUP(M105,[2]character_tribe_i18n!$A:$F,6,FALSE)</f>
        <v>1</v>
      </c>
      <c r="R105" s="25" t="s">
        <v>31</v>
      </c>
      <c r="S105" s="24">
        <f>VLOOKUP($R105,ラベル別係数!$A$1:$E$7,3,FALSE)</f>
        <v>1</v>
      </c>
      <c r="T105" s="24">
        <f>VLOOKUP($R105,ラベル別係数!$A$1:$E$7,4,FALSE)</f>
        <v>1</v>
      </c>
      <c r="U105" s="24">
        <f>VLOOKUP($R105,ラベル別係数!$A$1:$E$7,5,FALSE)</f>
        <v>1</v>
      </c>
      <c r="V105" s="27">
        <v>2</v>
      </c>
      <c r="W105" s="28">
        <f>VLOOKUP(V105,ターン数別攻撃係数!$A$1:$B$1000,2,FALSE)</f>
        <v>0.75</v>
      </c>
      <c r="X105" s="10">
        <v>20</v>
      </c>
      <c r="Y105" s="26">
        <f>VLOOKUP($X105,サイズ別係数!$B:$E,2,FALSE)</f>
        <v>1.1000000000000001</v>
      </c>
      <c r="Z105" s="26">
        <f>VLOOKUP($X105,サイズ別係数!$B:$E,3,FALSE)</f>
        <v>1.2</v>
      </c>
      <c r="AA105" s="26">
        <f>VLOOKUP($X105,サイズ別係数!$B:$E,4,FALSE)</f>
        <v>1.2</v>
      </c>
      <c r="AB105" s="35">
        <v>0</v>
      </c>
      <c r="AC105" s="34" t="str">
        <f ca="1">VLOOKUP($AB105,OFFSET([3]enemy_skill_sets!$B$2,0,0,COUNTA([3]enemy_skill_sets!$A:$A),MATCH(AC$1,[3]enemy_skill_sets!$1:$1,0)-MATCH($AB$1,[3]enemy_skill_sets!$1:$1,0)+1),MATCH(AC$1,[3]enemy_skill_sets!$1:$1,0)-MATCH($AB$1,[3]enemy_skill_sets!$1:$1,0)+1,FALSE)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" s="37">
        <v>50</v>
      </c>
      <c r="AE105" s="37">
        <v>50</v>
      </c>
      <c r="AF105" s="37">
        <v>0</v>
      </c>
      <c r="AG105" s="28">
        <f ca="1">ROUND(VLOOKUP(1,enemy_base_stats!$A:$F,2,FALSE) * Y105* J105*O105*E105*S105*AD105*[2]ステータス!$B$2,0)</f>
        <v>2750</v>
      </c>
      <c r="AH105" s="28">
        <f ca="1">ROUND(VLOOKUP(1,enemy_base_stats!$A:$F,3,FALSE) * Z105*K105*P105*F105*T105*AE105 * W105*[2]ステータス!$C$2,0)</f>
        <v>344</v>
      </c>
      <c r="AI105" s="28">
        <f ca="1">ROUND(VLOOKUP(1,enemy_base_stats!$A:$F,4,FALSE) * AA105*L105*Q105*G105*U105*AF105*[2]ステータス!$D$2,0)</f>
        <v>0</v>
      </c>
      <c r="AJ105" s="28">
        <f ca="1">ROUND(VLOOKUP(100,enemy_base_stats!$A:$F,2,FALSE) * Y105* J105*O105*E105*S105*AD105*[2]ステータス!$B$2,0)</f>
        <v>111650</v>
      </c>
      <c r="AK105" s="28">
        <f ca="1">ROUND(VLOOKUP(100,enemy_base_stats!$A:$F,3,FALSE)* Z105* K105*P105*F105*T105*AE105 * W105*[2]ステータス!$C$2,0)</f>
        <v>13977</v>
      </c>
      <c r="AL105" s="28">
        <f ca="1">ROUND(VLOOKUP(100,enemy_base_stats!$A:$F,4,FALSE)* AA105* L105*Q105*G105*U105*AF105*[2]ステータス!$D$2,0)</f>
        <v>0</v>
      </c>
      <c r="AM105" s="24">
        <f ca="1">VLOOKUP(M105,[2]character_tribe_i18n!$A:$I,9,FALSE)</f>
        <v>340</v>
      </c>
      <c r="AN105" s="36">
        <v>0</v>
      </c>
      <c r="AO105" s="53">
        <v>0</v>
      </c>
      <c r="AP105" s="58" t="s">
        <v>72</v>
      </c>
      <c r="AQ105" s="71">
        <f t="shared" ca="1" si="2"/>
        <v>104</v>
      </c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</row>
    <row r="106" spans="1:60" s="3" customFormat="1" ht="21" customHeight="1" x14ac:dyDescent="0.15">
      <c r="A106" s="7">
        <f t="shared" ca="1" si="3"/>
        <v>105</v>
      </c>
      <c r="B106" s="6" t="str">
        <f ca="1">VLOOKUP(A106,[2]characters!$A:$C,3,FALSE)</f>
        <v>グリーンチェシャ</v>
      </c>
      <c r="C106" s="9">
        <f ca="1">VLOOKUP(A106,[2]characters!$A:$I,9,FALSE)</f>
        <v>2</v>
      </c>
      <c r="D106" s="9" t="str">
        <f ca="1">VLOOKUP(A106,[2]characters!$A:$H,8,FALSE)</f>
        <v>green</v>
      </c>
      <c r="E106" s="24">
        <f ca="1">VLOOKUP(D106,[2]属性!$A:$E,2,FALSE)</f>
        <v>1.02</v>
      </c>
      <c r="F106" s="24">
        <f ca="1">VLOOKUP(D106,[2]属性!$A:$E,3,FALSE)</f>
        <v>0.98</v>
      </c>
      <c r="G106" s="24">
        <f ca="1">VLOOKUP(D106,[2]属性!$A:$F,4,FALSE)</f>
        <v>1</v>
      </c>
      <c r="H106" s="9" t="str">
        <f ca="1">VLOOKUP(A106,[2]characters!$A:$K,11,FALSE)</f>
        <v>evolution</v>
      </c>
      <c r="I106" s="14" t="str">
        <f ca="1">VLOOKUP(H106,[2]character_type_i18n!$A:$F,3,FALSE)</f>
        <v>覚醒素材タイプ</v>
      </c>
      <c r="J106" s="36">
        <f ca="1">VLOOKUP(H106,[2]character_type_i18n!$A:$F,4,FALSE)</f>
        <v>0.1</v>
      </c>
      <c r="K106" s="36">
        <f ca="1">VLOOKUP(H106,[2]character_type_i18n!$A:$F,5,FALSE)</f>
        <v>0.05</v>
      </c>
      <c r="L106" s="36">
        <f ca="1">VLOOKUP(H106,[2]character_type_i18n!$A:$F,6,FALSE)</f>
        <v>1</v>
      </c>
      <c r="M106" s="9" t="str">
        <f ca="1">VLOOKUP(A106,[2]characters!$A:$M,13,FALSE)</f>
        <v>unknown</v>
      </c>
      <c r="N106" s="14" t="str">
        <f ca="1">VLOOKUP(M106,[2]character_tribe_i18n!$A:$F,3,FALSE)</f>
        <v>Unknown</v>
      </c>
      <c r="O106" s="24">
        <f ca="1">VLOOKUP(M106,[2]character_tribe_i18n!$A:$F,4,FALSE)</f>
        <v>1</v>
      </c>
      <c r="P106" s="24">
        <f ca="1">VLOOKUP(M106,[2]character_tribe_i18n!$A:$F,5,FALSE)</f>
        <v>1</v>
      </c>
      <c r="Q106" s="24">
        <f ca="1">VLOOKUP(M106,[2]character_tribe_i18n!$A:$F,6,FALSE)</f>
        <v>1</v>
      </c>
      <c r="R106" s="25" t="s">
        <v>31</v>
      </c>
      <c r="S106" s="24">
        <f>VLOOKUP($R106,ラベル別係数!$A$1:$E$7,3,FALSE)</f>
        <v>1</v>
      </c>
      <c r="T106" s="24">
        <f>VLOOKUP($R106,ラベル別係数!$A$1:$E$7,4,FALSE)</f>
        <v>1</v>
      </c>
      <c r="U106" s="24">
        <f>VLOOKUP($R106,ラベル別係数!$A$1:$E$7,5,FALSE)</f>
        <v>1</v>
      </c>
      <c r="V106" s="27">
        <v>1</v>
      </c>
      <c r="W106" s="28">
        <f>VLOOKUP(V106,ターン数別攻撃係数!$A$1:$B$1000,2,FALSE)</f>
        <v>0.55000000000000004</v>
      </c>
      <c r="X106" s="10">
        <v>15</v>
      </c>
      <c r="Y106" s="26">
        <f>VLOOKUP($X106,サイズ別係数!$B:$E,2,FALSE)</f>
        <v>1</v>
      </c>
      <c r="Z106" s="26">
        <f>VLOOKUP($X106,サイズ別係数!$B:$E,3,FALSE)</f>
        <v>1</v>
      </c>
      <c r="AA106" s="26">
        <f>VLOOKUP($X106,サイズ別係数!$B:$E,4,FALSE)</f>
        <v>1</v>
      </c>
      <c r="AB106" s="35">
        <v>0</v>
      </c>
      <c r="AC106" s="34" t="str">
        <f ca="1">VLOOKUP($AB106,OFFSET([3]enemy_skill_sets!$B$2,0,0,COUNTA([3]enemy_skill_sets!$A:$A),MATCH(AC$1,[3]enemy_skill_sets!$1:$1,0)-MATCH($AB$1,[3]enemy_skill_sets!$1:$1,0)+1),MATCH(AC$1,[3]enemy_skill_sets!$1:$1,0)-MATCH($AB$1,[3]enemy_skill_sets!$1:$1,0)+1,FALSE)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" s="27">
        <v>10</v>
      </c>
      <c r="AE106" s="37">
        <v>25</v>
      </c>
      <c r="AF106" s="37">
        <v>0</v>
      </c>
      <c r="AG106" s="28">
        <f ca="1">ROUND(VLOOKUP(1,enemy_base_stats!$A:$F,2,FALSE) * Y106* J106*O106*E106*S106*AD106*[2]ステータス!$B$2,0)</f>
        <v>510</v>
      </c>
      <c r="AH106" s="28">
        <f ca="1">ROUND(VLOOKUP(1,enemy_base_stats!$A:$F,3,FALSE) * Z106*K106*P106*F106*T106*AE106 * W106*[2]ステータス!$C$2,0)</f>
        <v>101</v>
      </c>
      <c r="AI106" s="28">
        <f ca="1">ROUND(VLOOKUP(1,enemy_base_stats!$A:$F,4,FALSE) * AA106*L106*Q106*G106*U106*AF106*[2]ステータス!$D$2,0)</f>
        <v>0</v>
      </c>
      <c r="AJ106" s="28">
        <f ca="1">ROUND(VLOOKUP(100,enemy_base_stats!$A:$F,2,FALSE) * Y106* J106*O106*E106*S106*AD106*[2]ステータス!$B$2,0)</f>
        <v>20706</v>
      </c>
      <c r="AK106" s="28">
        <f ca="1">ROUND(VLOOKUP(100,enemy_base_stats!$A:$F,3,FALSE)* Z106* K106*P106*F106*T106*AE106 * W106*[2]ステータス!$C$2,0)</f>
        <v>4103</v>
      </c>
      <c r="AL106" s="28">
        <f ca="1">ROUND(VLOOKUP(100,enemy_base_stats!$A:$F,4,FALSE)* AA106* L106*Q106*G106*U106*AF106*[2]ステータス!$D$2,0)</f>
        <v>0</v>
      </c>
      <c r="AM106" s="24">
        <f ca="1">VLOOKUP(M106,[2]character_tribe_i18n!$A:$I,9,FALSE)</f>
        <v>340</v>
      </c>
      <c r="AN106" s="36">
        <v>0</v>
      </c>
      <c r="AO106" s="53">
        <v>0</v>
      </c>
      <c r="AP106" s="58" t="s">
        <v>72</v>
      </c>
      <c r="AQ106" s="71">
        <f t="shared" ca="1" si="2"/>
        <v>105</v>
      </c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</row>
    <row r="107" spans="1:60" s="3" customFormat="1" ht="21" customHeight="1" x14ac:dyDescent="0.15">
      <c r="A107" s="7">
        <f t="shared" ca="1" si="3"/>
        <v>106</v>
      </c>
      <c r="B107" s="6" t="str">
        <f ca="1">VLOOKUP(A107,[2]characters!$A:$C,3,FALSE)</f>
        <v>グリーンラビット</v>
      </c>
      <c r="C107" s="9">
        <f ca="1">VLOOKUP(A107,[2]characters!$A:$I,9,FALSE)</f>
        <v>3</v>
      </c>
      <c r="D107" s="9" t="str">
        <f ca="1">VLOOKUP(A107,[2]characters!$A:$H,8,FALSE)</f>
        <v>green</v>
      </c>
      <c r="E107" s="24">
        <f ca="1">VLOOKUP(D107,[2]属性!$A:$E,2,FALSE)</f>
        <v>1.02</v>
      </c>
      <c r="F107" s="24">
        <f ca="1">VLOOKUP(D107,[2]属性!$A:$E,3,FALSE)</f>
        <v>0.98</v>
      </c>
      <c r="G107" s="24">
        <f ca="1">VLOOKUP(D107,[2]属性!$A:$F,4,FALSE)</f>
        <v>1</v>
      </c>
      <c r="H107" s="9" t="str">
        <f ca="1">VLOOKUP(A107,[2]characters!$A:$K,11,FALSE)</f>
        <v>evolution</v>
      </c>
      <c r="I107" s="14" t="str">
        <f ca="1">VLOOKUP(H107,[2]character_type_i18n!$A:$F,3,FALSE)</f>
        <v>覚醒素材タイプ</v>
      </c>
      <c r="J107" s="36">
        <f ca="1">VLOOKUP(H107,[2]character_type_i18n!$A:$F,4,FALSE)</f>
        <v>0.1</v>
      </c>
      <c r="K107" s="36">
        <f ca="1">VLOOKUP(H107,[2]character_type_i18n!$A:$F,5,FALSE)</f>
        <v>0.05</v>
      </c>
      <c r="L107" s="36">
        <f ca="1">VLOOKUP(H107,[2]character_type_i18n!$A:$F,6,FALSE)</f>
        <v>1</v>
      </c>
      <c r="M107" s="9" t="str">
        <f ca="1">VLOOKUP(A107,[2]characters!$A:$M,13,FALSE)</f>
        <v>unknown</v>
      </c>
      <c r="N107" s="14" t="str">
        <f ca="1">VLOOKUP(M107,[2]character_tribe_i18n!$A:$F,3,FALSE)</f>
        <v>Unknown</v>
      </c>
      <c r="O107" s="24">
        <f ca="1">VLOOKUP(M107,[2]character_tribe_i18n!$A:$F,4,FALSE)</f>
        <v>1</v>
      </c>
      <c r="P107" s="24">
        <f ca="1">VLOOKUP(M107,[2]character_tribe_i18n!$A:$F,5,FALSE)</f>
        <v>1</v>
      </c>
      <c r="Q107" s="24">
        <f ca="1">VLOOKUP(M107,[2]character_tribe_i18n!$A:$F,6,FALSE)</f>
        <v>1</v>
      </c>
      <c r="R107" s="25" t="s">
        <v>31</v>
      </c>
      <c r="S107" s="24">
        <f>VLOOKUP($R107,ラベル別係数!$A$1:$E$7,3,FALSE)</f>
        <v>1</v>
      </c>
      <c r="T107" s="24">
        <f>VLOOKUP($R107,ラベル別係数!$A$1:$E$7,4,FALSE)</f>
        <v>1</v>
      </c>
      <c r="U107" s="24">
        <f>VLOOKUP($R107,ラベル別係数!$A$1:$E$7,5,FALSE)</f>
        <v>1</v>
      </c>
      <c r="V107" s="27">
        <v>2</v>
      </c>
      <c r="W107" s="28">
        <f>VLOOKUP(V107,ターン数別攻撃係数!$A$1:$B$1000,2,FALSE)</f>
        <v>0.75</v>
      </c>
      <c r="X107" s="10">
        <v>15</v>
      </c>
      <c r="Y107" s="26">
        <f>VLOOKUP($X107,サイズ別係数!$B:$E,2,FALSE)</f>
        <v>1</v>
      </c>
      <c r="Z107" s="26">
        <f>VLOOKUP($X107,サイズ別係数!$B:$E,3,FALSE)</f>
        <v>1</v>
      </c>
      <c r="AA107" s="26">
        <f>VLOOKUP($X107,サイズ別係数!$B:$E,4,FALSE)</f>
        <v>1</v>
      </c>
      <c r="AB107" s="35">
        <v>0</v>
      </c>
      <c r="AC107" s="34" t="str">
        <f ca="1">VLOOKUP($AB107,OFFSET([3]enemy_skill_sets!$B$2,0,0,COUNTA([3]enemy_skill_sets!$A:$A),MATCH(AC$1,[3]enemy_skill_sets!$1:$1,0)-MATCH($AB$1,[3]enemy_skill_sets!$1:$1,0)+1),MATCH(AC$1,[3]enemy_skill_sets!$1:$1,0)-MATCH($AB$1,[3]enemy_skill_sets!$1:$1,0)+1,FALSE)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" s="27">
        <v>14</v>
      </c>
      <c r="AE107" s="37">
        <v>25</v>
      </c>
      <c r="AF107" s="37">
        <v>0</v>
      </c>
      <c r="AG107" s="28">
        <f ca="1">ROUND(VLOOKUP(1,enemy_base_stats!$A:$F,2,FALSE) * Y107* J107*O107*E107*S107*AD107*[2]ステータス!$B$2,0)</f>
        <v>714</v>
      </c>
      <c r="AH107" s="28">
        <f ca="1">ROUND(VLOOKUP(1,enemy_base_stats!$A:$F,3,FALSE) * Z107*K107*P107*F107*T107*AE107 * W107*[2]ステータス!$C$2,0)</f>
        <v>138</v>
      </c>
      <c r="AI107" s="28">
        <f ca="1">ROUND(VLOOKUP(1,enemy_base_stats!$A:$F,4,FALSE) * AA107*L107*Q107*G107*U107*AF107*[2]ステータス!$D$2,0)</f>
        <v>0</v>
      </c>
      <c r="AJ107" s="28">
        <f ca="1">ROUND(VLOOKUP(100,enemy_base_stats!$A:$F,2,FALSE) * Y107* J107*O107*E107*S107*AD107*[2]ステータス!$B$2,0)</f>
        <v>28988</v>
      </c>
      <c r="AK107" s="28">
        <f ca="1">ROUND(VLOOKUP(100,enemy_base_stats!$A:$F,3,FALSE)* Z107* K107*P107*F107*T107*AE107 * W107*[2]ステータス!$C$2,0)</f>
        <v>5595</v>
      </c>
      <c r="AL107" s="28">
        <f ca="1">ROUND(VLOOKUP(100,enemy_base_stats!$A:$F,4,FALSE)* AA107* L107*Q107*G107*U107*AF107*[2]ステータス!$D$2,0)</f>
        <v>0</v>
      </c>
      <c r="AM107" s="24">
        <f ca="1">VLOOKUP(M107,[2]character_tribe_i18n!$A:$I,9,FALSE)</f>
        <v>340</v>
      </c>
      <c r="AN107" s="36">
        <v>0</v>
      </c>
      <c r="AO107" s="53">
        <v>0</v>
      </c>
      <c r="AP107" s="58" t="s">
        <v>72</v>
      </c>
      <c r="AQ107" s="71">
        <f t="shared" ca="1" si="2"/>
        <v>106</v>
      </c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</row>
    <row r="108" spans="1:60" s="3" customFormat="1" ht="21" customHeight="1" x14ac:dyDescent="0.15">
      <c r="A108" s="7">
        <f t="shared" ca="1" si="3"/>
        <v>107</v>
      </c>
      <c r="B108" s="6" t="str">
        <f ca="1">VLOOKUP(A108,[2]characters!$A:$C,3,FALSE)</f>
        <v>グリーンキャタップ</v>
      </c>
      <c r="C108" s="9">
        <f ca="1">VLOOKUP(A108,[2]characters!$A:$I,9,FALSE)</f>
        <v>4</v>
      </c>
      <c r="D108" s="9" t="str">
        <f ca="1">VLOOKUP(A108,[2]characters!$A:$H,8,FALSE)</f>
        <v>green</v>
      </c>
      <c r="E108" s="24">
        <f ca="1">VLOOKUP(D108,[2]属性!$A:$E,2,FALSE)</f>
        <v>1.02</v>
      </c>
      <c r="F108" s="24">
        <f ca="1">VLOOKUP(D108,[2]属性!$A:$E,3,FALSE)</f>
        <v>0.98</v>
      </c>
      <c r="G108" s="24">
        <f ca="1">VLOOKUP(D108,[2]属性!$A:$F,4,FALSE)</f>
        <v>1</v>
      </c>
      <c r="H108" s="9" t="str">
        <f ca="1">VLOOKUP(A108,[2]characters!$A:$K,11,FALSE)</f>
        <v>evolution</v>
      </c>
      <c r="I108" s="14" t="str">
        <f ca="1">VLOOKUP(H108,[2]character_type_i18n!$A:$F,3,FALSE)</f>
        <v>覚醒素材タイプ</v>
      </c>
      <c r="J108" s="36">
        <f ca="1">VLOOKUP(H108,[2]character_type_i18n!$A:$F,4,FALSE)</f>
        <v>0.1</v>
      </c>
      <c r="K108" s="36">
        <f ca="1">VLOOKUP(H108,[2]character_type_i18n!$A:$F,5,FALSE)</f>
        <v>0.05</v>
      </c>
      <c r="L108" s="36">
        <f ca="1">VLOOKUP(H108,[2]character_type_i18n!$A:$F,6,FALSE)</f>
        <v>1</v>
      </c>
      <c r="M108" s="9" t="str">
        <f ca="1">VLOOKUP(A108,[2]characters!$A:$M,13,FALSE)</f>
        <v>unknown</v>
      </c>
      <c r="N108" s="14" t="str">
        <f ca="1">VLOOKUP(M108,[2]character_tribe_i18n!$A:$F,3,FALSE)</f>
        <v>Unknown</v>
      </c>
      <c r="O108" s="24">
        <f ca="1">VLOOKUP(M108,[2]character_tribe_i18n!$A:$F,4,FALSE)</f>
        <v>1</v>
      </c>
      <c r="P108" s="24">
        <f ca="1">VLOOKUP(M108,[2]character_tribe_i18n!$A:$F,5,FALSE)</f>
        <v>1</v>
      </c>
      <c r="Q108" s="24">
        <f ca="1">VLOOKUP(M108,[2]character_tribe_i18n!$A:$F,6,FALSE)</f>
        <v>1</v>
      </c>
      <c r="R108" s="25" t="s">
        <v>31</v>
      </c>
      <c r="S108" s="24">
        <f>VLOOKUP($R108,ラベル別係数!$A$1:$E$7,3,FALSE)</f>
        <v>1</v>
      </c>
      <c r="T108" s="24">
        <f>VLOOKUP($R108,ラベル別係数!$A$1:$E$7,4,FALSE)</f>
        <v>1</v>
      </c>
      <c r="U108" s="24">
        <f>VLOOKUP($R108,ラベル別係数!$A$1:$E$7,5,FALSE)</f>
        <v>1</v>
      </c>
      <c r="V108" s="27">
        <v>1</v>
      </c>
      <c r="W108" s="28">
        <f>VLOOKUP(V108,ターン数別攻撃係数!$A$1:$B$1000,2,FALSE)</f>
        <v>0.55000000000000004</v>
      </c>
      <c r="X108" s="10">
        <v>15</v>
      </c>
      <c r="Y108" s="26">
        <f>VLOOKUP($X108,サイズ別係数!$B:$E,2,FALSE)</f>
        <v>1</v>
      </c>
      <c r="Z108" s="26">
        <f>VLOOKUP($X108,サイズ別係数!$B:$E,3,FALSE)</f>
        <v>1</v>
      </c>
      <c r="AA108" s="26">
        <f>VLOOKUP($X108,サイズ別係数!$B:$E,4,FALSE)</f>
        <v>1</v>
      </c>
      <c r="AB108" s="35">
        <v>0</v>
      </c>
      <c r="AC108" s="34" t="str">
        <f ca="1">VLOOKUP($AB108,OFFSET([3]enemy_skill_sets!$B$2,0,0,COUNTA([3]enemy_skill_sets!$A:$A),MATCH(AC$1,[3]enemy_skill_sets!$1:$1,0)-MATCH($AB$1,[3]enemy_skill_sets!$1:$1,0)+1),MATCH(AC$1,[3]enemy_skill_sets!$1:$1,0)-MATCH($AB$1,[3]enemy_skill_sets!$1:$1,0)+1,FALSE)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" s="27">
        <v>18</v>
      </c>
      <c r="AE108" s="37">
        <v>25</v>
      </c>
      <c r="AF108" s="37">
        <v>0</v>
      </c>
      <c r="AG108" s="28">
        <f ca="1">ROUND(VLOOKUP(1,enemy_base_stats!$A:$F,2,FALSE) * Y108* J108*O108*E108*S108*AD108*[2]ステータス!$B$2,0)</f>
        <v>918</v>
      </c>
      <c r="AH108" s="28">
        <f ca="1">ROUND(VLOOKUP(1,enemy_base_stats!$A:$F,3,FALSE) * Z108*K108*P108*F108*T108*AE108 * W108*[2]ステータス!$C$2,0)</f>
        <v>101</v>
      </c>
      <c r="AI108" s="28">
        <f ca="1">ROUND(VLOOKUP(1,enemy_base_stats!$A:$F,4,FALSE) * AA108*L108*Q108*G108*U108*AF108*[2]ステータス!$D$2,0)</f>
        <v>0</v>
      </c>
      <c r="AJ108" s="28">
        <f ca="1">ROUND(VLOOKUP(100,enemy_base_stats!$A:$F,2,FALSE) * Y108* J108*O108*E108*S108*AD108*[2]ステータス!$B$2,0)</f>
        <v>37271</v>
      </c>
      <c r="AK108" s="28">
        <f ca="1">ROUND(VLOOKUP(100,enemy_base_stats!$A:$F,3,FALSE)* Z108* K108*P108*F108*T108*AE108 * W108*[2]ステータス!$C$2,0)</f>
        <v>4103</v>
      </c>
      <c r="AL108" s="28">
        <f ca="1">ROUND(VLOOKUP(100,enemy_base_stats!$A:$F,4,FALSE)* AA108* L108*Q108*G108*U108*AF108*[2]ステータス!$D$2,0)</f>
        <v>0</v>
      </c>
      <c r="AM108" s="24">
        <f ca="1">VLOOKUP(M108,[2]character_tribe_i18n!$A:$I,9,FALSE)</f>
        <v>340</v>
      </c>
      <c r="AN108" s="36">
        <v>0</v>
      </c>
      <c r="AO108" s="53">
        <v>0</v>
      </c>
      <c r="AP108" s="58" t="s">
        <v>72</v>
      </c>
      <c r="AQ108" s="71">
        <f t="shared" ca="1" si="2"/>
        <v>107</v>
      </c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</row>
    <row r="109" spans="1:60" s="3" customFormat="1" ht="21" customHeight="1" x14ac:dyDescent="0.15">
      <c r="A109" s="7">
        <f t="shared" ca="1" si="3"/>
        <v>108</v>
      </c>
      <c r="B109" s="6" t="str">
        <f ca="1">VLOOKUP(A109,[2]characters!$A:$C,3,FALSE)</f>
        <v>森のマッドハッター</v>
      </c>
      <c r="C109" s="9">
        <f ca="1">VLOOKUP(A109,[2]characters!$A:$I,9,FALSE)</f>
        <v>5</v>
      </c>
      <c r="D109" s="9" t="str">
        <f ca="1">VLOOKUP(A109,[2]characters!$A:$H,8,FALSE)</f>
        <v>green</v>
      </c>
      <c r="E109" s="24">
        <f ca="1">VLOOKUP(D109,[2]属性!$A:$E,2,FALSE)</f>
        <v>1.02</v>
      </c>
      <c r="F109" s="24">
        <f ca="1">VLOOKUP(D109,[2]属性!$A:$E,3,FALSE)</f>
        <v>0.98</v>
      </c>
      <c r="G109" s="24">
        <f ca="1">VLOOKUP(D109,[2]属性!$A:$F,4,FALSE)</f>
        <v>1</v>
      </c>
      <c r="H109" s="9" t="str">
        <f ca="1">VLOOKUP(A109,[2]characters!$A:$K,11,FALSE)</f>
        <v>evolution</v>
      </c>
      <c r="I109" s="14" t="str">
        <f ca="1">VLOOKUP(H109,[2]character_type_i18n!$A:$F,3,FALSE)</f>
        <v>覚醒素材タイプ</v>
      </c>
      <c r="J109" s="36">
        <f ca="1">VLOOKUP(H109,[2]character_type_i18n!$A:$F,4,FALSE)</f>
        <v>0.1</v>
      </c>
      <c r="K109" s="36">
        <f ca="1">VLOOKUP(H109,[2]character_type_i18n!$A:$F,5,FALSE)</f>
        <v>0.05</v>
      </c>
      <c r="L109" s="36">
        <f ca="1">VLOOKUP(H109,[2]character_type_i18n!$A:$F,6,FALSE)</f>
        <v>1</v>
      </c>
      <c r="M109" s="9" t="str">
        <f ca="1">VLOOKUP(A109,[2]characters!$A:$M,13,FALSE)</f>
        <v>unknown</v>
      </c>
      <c r="N109" s="14" t="str">
        <f ca="1">VLOOKUP(M109,[2]character_tribe_i18n!$A:$F,3,FALSE)</f>
        <v>Unknown</v>
      </c>
      <c r="O109" s="24">
        <f ca="1">VLOOKUP(M109,[2]character_tribe_i18n!$A:$F,4,FALSE)</f>
        <v>1</v>
      </c>
      <c r="P109" s="24">
        <f ca="1">VLOOKUP(M109,[2]character_tribe_i18n!$A:$F,5,FALSE)</f>
        <v>1</v>
      </c>
      <c r="Q109" s="24">
        <f ca="1">VLOOKUP(M109,[2]character_tribe_i18n!$A:$F,6,FALSE)</f>
        <v>1</v>
      </c>
      <c r="R109" s="25" t="s">
        <v>31</v>
      </c>
      <c r="S109" s="24">
        <f>VLOOKUP($R109,ラベル別係数!$A$1:$E$7,3,FALSE)</f>
        <v>1</v>
      </c>
      <c r="T109" s="24">
        <f>VLOOKUP($R109,ラベル別係数!$A$1:$E$7,4,FALSE)</f>
        <v>1</v>
      </c>
      <c r="U109" s="24">
        <f>VLOOKUP($R109,ラベル別係数!$A$1:$E$7,5,FALSE)</f>
        <v>1</v>
      </c>
      <c r="V109" s="27">
        <v>2</v>
      </c>
      <c r="W109" s="28">
        <f>VLOOKUP(V109,ターン数別攻撃係数!$A$1:$B$1000,2,FALSE)</f>
        <v>0.75</v>
      </c>
      <c r="X109" s="10">
        <v>20</v>
      </c>
      <c r="Y109" s="26">
        <f>VLOOKUP($X109,サイズ別係数!$B:$E,2,FALSE)</f>
        <v>1.1000000000000001</v>
      </c>
      <c r="Z109" s="26">
        <f>VLOOKUP($X109,サイズ別係数!$B:$E,3,FALSE)</f>
        <v>1.2</v>
      </c>
      <c r="AA109" s="26">
        <f>VLOOKUP($X109,サイズ別係数!$B:$E,4,FALSE)</f>
        <v>1.2</v>
      </c>
      <c r="AB109" s="35">
        <v>0</v>
      </c>
      <c r="AC109" s="34" t="str">
        <f ca="1">VLOOKUP($AB109,OFFSET([3]enemy_skill_sets!$B$2,0,0,COUNTA([3]enemy_skill_sets!$A:$A),MATCH(AC$1,[3]enemy_skill_sets!$1:$1,0)-MATCH($AB$1,[3]enemy_skill_sets!$1:$1,0)+1),MATCH(AC$1,[3]enemy_skill_sets!$1:$1,0)-MATCH($AB$1,[3]enemy_skill_sets!$1:$1,0)+1,FALSE)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" s="37">
        <v>50</v>
      </c>
      <c r="AE109" s="37">
        <v>50</v>
      </c>
      <c r="AF109" s="37">
        <v>0</v>
      </c>
      <c r="AG109" s="28">
        <f ca="1">ROUND(VLOOKUP(1,enemy_base_stats!$A:$F,2,FALSE) * Y109* J109*O109*E109*S109*AD109*[2]ステータス!$B$2,0)</f>
        <v>2805</v>
      </c>
      <c r="AH109" s="28">
        <f ca="1">ROUND(VLOOKUP(1,enemy_base_stats!$A:$F,3,FALSE) * Z109*K109*P109*F109*T109*AE109 * W109*[2]ステータス!$C$2,0)</f>
        <v>331</v>
      </c>
      <c r="AI109" s="28">
        <f ca="1">ROUND(VLOOKUP(1,enemy_base_stats!$A:$F,4,FALSE) * AA109*L109*Q109*G109*U109*AF109*[2]ステータス!$D$2,0)</f>
        <v>0</v>
      </c>
      <c r="AJ109" s="28">
        <f ca="1">ROUND(VLOOKUP(100,enemy_base_stats!$A:$F,2,FALSE) * Y109* J109*O109*E109*S109*AD109*[2]ステータス!$B$2,0)</f>
        <v>113883</v>
      </c>
      <c r="AK109" s="28">
        <f ca="1">ROUND(VLOOKUP(100,enemy_base_stats!$A:$F,3,FALSE)* Z109* K109*P109*F109*T109*AE109 * W109*[2]ステータス!$C$2,0)</f>
        <v>13428</v>
      </c>
      <c r="AL109" s="28">
        <f ca="1">ROUND(VLOOKUP(100,enemy_base_stats!$A:$F,4,FALSE)* AA109* L109*Q109*G109*U109*AF109*[2]ステータス!$D$2,0)</f>
        <v>0</v>
      </c>
      <c r="AM109" s="24">
        <f ca="1">VLOOKUP(M109,[2]character_tribe_i18n!$A:$I,9,FALSE)</f>
        <v>340</v>
      </c>
      <c r="AN109" s="36">
        <v>0</v>
      </c>
      <c r="AO109" s="53">
        <v>0</v>
      </c>
      <c r="AP109" s="58" t="s">
        <v>72</v>
      </c>
      <c r="AQ109" s="71">
        <f t="shared" ca="1" si="2"/>
        <v>108</v>
      </c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</row>
    <row r="110" spans="1:60" s="3" customFormat="1" ht="21" customHeight="1" x14ac:dyDescent="0.15">
      <c r="A110" s="7">
        <f t="shared" ca="1" si="3"/>
        <v>109</v>
      </c>
      <c r="B110" s="6" t="str">
        <f ca="1">VLOOKUP(A110,[2]characters!$A:$C,3,FALSE)</f>
        <v>ブルーチェシャ</v>
      </c>
      <c r="C110" s="9">
        <f ca="1">VLOOKUP(A110,[2]characters!$A:$I,9,FALSE)</f>
        <v>2</v>
      </c>
      <c r="D110" s="9" t="str">
        <f ca="1">VLOOKUP(A110,[2]characters!$A:$H,8,FALSE)</f>
        <v>blue</v>
      </c>
      <c r="E110" s="24">
        <f ca="1">VLOOKUP(D110,[2]属性!$A:$E,2,FALSE)</f>
        <v>1</v>
      </c>
      <c r="F110" s="24">
        <f ca="1">VLOOKUP(D110,[2]属性!$A:$E,3,FALSE)</f>
        <v>0.98</v>
      </c>
      <c r="G110" s="24">
        <f ca="1">VLOOKUP(D110,[2]属性!$A:$F,4,FALSE)</f>
        <v>1</v>
      </c>
      <c r="H110" s="9" t="str">
        <f ca="1">VLOOKUP(A110,[2]characters!$A:$K,11,FALSE)</f>
        <v>evolution</v>
      </c>
      <c r="I110" s="14" t="str">
        <f ca="1">VLOOKUP(H110,[2]character_type_i18n!$A:$F,3,FALSE)</f>
        <v>覚醒素材タイプ</v>
      </c>
      <c r="J110" s="36">
        <f ca="1">VLOOKUP(H110,[2]character_type_i18n!$A:$F,4,FALSE)</f>
        <v>0.1</v>
      </c>
      <c r="K110" s="36">
        <f ca="1">VLOOKUP(H110,[2]character_type_i18n!$A:$F,5,FALSE)</f>
        <v>0.05</v>
      </c>
      <c r="L110" s="36">
        <f ca="1">VLOOKUP(H110,[2]character_type_i18n!$A:$F,6,FALSE)</f>
        <v>1</v>
      </c>
      <c r="M110" s="9" t="str">
        <f ca="1">VLOOKUP(A110,[2]characters!$A:$M,13,FALSE)</f>
        <v>unknown</v>
      </c>
      <c r="N110" s="14" t="str">
        <f ca="1">VLOOKUP(M110,[2]character_tribe_i18n!$A:$F,3,FALSE)</f>
        <v>Unknown</v>
      </c>
      <c r="O110" s="24">
        <f ca="1">VLOOKUP(M110,[2]character_tribe_i18n!$A:$F,4,FALSE)</f>
        <v>1</v>
      </c>
      <c r="P110" s="24">
        <f ca="1">VLOOKUP(M110,[2]character_tribe_i18n!$A:$F,5,FALSE)</f>
        <v>1</v>
      </c>
      <c r="Q110" s="24">
        <f ca="1">VLOOKUP(M110,[2]character_tribe_i18n!$A:$F,6,FALSE)</f>
        <v>1</v>
      </c>
      <c r="R110" s="25" t="s">
        <v>31</v>
      </c>
      <c r="S110" s="24">
        <f>VLOOKUP($R110,ラベル別係数!$A$1:$E$7,3,FALSE)</f>
        <v>1</v>
      </c>
      <c r="T110" s="24">
        <f>VLOOKUP($R110,ラベル別係数!$A$1:$E$7,4,FALSE)</f>
        <v>1</v>
      </c>
      <c r="U110" s="24">
        <f>VLOOKUP($R110,ラベル別係数!$A$1:$E$7,5,FALSE)</f>
        <v>1</v>
      </c>
      <c r="V110" s="27">
        <v>2</v>
      </c>
      <c r="W110" s="28">
        <f>VLOOKUP(V110,ターン数別攻撃係数!$A$1:$B$1000,2,FALSE)</f>
        <v>0.75</v>
      </c>
      <c r="X110" s="10">
        <v>15</v>
      </c>
      <c r="Y110" s="26">
        <f>VLOOKUP($X110,サイズ別係数!$B:$E,2,FALSE)</f>
        <v>1</v>
      </c>
      <c r="Z110" s="26">
        <f>VLOOKUP($X110,サイズ別係数!$B:$E,3,FALSE)</f>
        <v>1</v>
      </c>
      <c r="AA110" s="26">
        <f>VLOOKUP($X110,サイズ別係数!$B:$E,4,FALSE)</f>
        <v>1</v>
      </c>
      <c r="AB110" s="35">
        <v>0</v>
      </c>
      <c r="AC110" s="34" t="str">
        <f ca="1">VLOOKUP($AB110,OFFSET([3]enemy_skill_sets!$B$2,0,0,COUNTA([3]enemy_skill_sets!$A:$A),MATCH(AC$1,[3]enemy_skill_sets!$1:$1,0)-MATCH($AB$1,[3]enemy_skill_sets!$1:$1,0)+1),MATCH(AC$1,[3]enemy_skill_sets!$1:$1,0)-MATCH($AB$1,[3]enemy_skill_sets!$1:$1,0)+1,FALSE)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" s="27">
        <v>10</v>
      </c>
      <c r="AE110" s="37">
        <v>25</v>
      </c>
      <c r="AF110" s="37">
        <v>0</v>
      </c>
      <c r="AG110" s="28">
        <f ca="1">ROUND(VLOOKUP(1,enemy_base_stats!$A:$F,2,FALSE) * Y110* J110*O110*E110*S110*AD110*[2]ステータス!$B$2,0)</f>
        <v>500</v>
      </c>
      <c r="AH110" s="28">
        <f ca="1">ROUND(VLOOKUP(1,enemy_base_stats!$A:$F,3,FALSE) * Z110*K110*P110*F110*T110*AE110 * W110*[2]ステータス!$C$2,0)</f>
        <v>138</v>
      </c>
      <c r="AI110" s="28">
        <f ca="1">ROUND(VLOOKUP(1,enemy_base_stats!$A:$F,4,FALSE) * AA110*L110*Q110*G110*U110*AF110*[2]ステータス!$D$2,0)</f>
        <v>0</v>
      </c>
      <c r="AJ110" s="28">
        <f ca="1">ROUND(VLOOKUP(100,enemy_base_stats!$A:$F,2,FALSE) * Y110* J110*O110*E110*S110*AD110*[2]ステータス!$B$2,0)</f>
        <v>20300</v>
      </c>
      <c r="AK110" s="28">
        <f ca="1">ROUND(VLOOKUP(100,enemy_base_stats!$A:$F,3,FALSE)* Z110* K110*P110*F110*T110*AE110 * W110*[2]ステータス!$C$2,0)</f>
        <v>5595</v>
      </c>
      <c r="AL110" s="28">
        <f ca="1">ROUND(VLOOKUP(100,enemy_base_stats!$A:$F,4,FALSE)* AA110* L110*Q110*G110*U110*AF110*[2]ステータス!$D$2,0)</f>
        <v>0</v>
      </c>
      <c r="AM110" s="24">
        <f ca="1">VLOOKUP(M110,[2]character_tribe_i18n!$A:$I,9,FALSE)</f>
        <v>340</v>
      </c>
      <c r="AN110" s="36">
        <v>0</v>
      </c>
      <c r="AO110" s="53">
        <v>0</v>
      </c>
      <c r="AP110" s="58" t="s">
        <v>72</v>
      </c>
      <c r="AQ110" s="71">
        <f t="shared" ca="1" si="2"/>
        <v>109</v>
      </c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</row>
    <row r="111" spans="1:60" s="3" customFormat="1" ht="21" customHeight="1" x14ac:dyDescent="0.15">
      <c r="A111" s="7">
        <f t="shared" ca="1" si="3"/>
        <v>110</v>
      </c>
      <c r="B111" s="6" t="str">
        <f ca="1">VLOOKUP(A111,[2]characters!$A:$C,3,FALSE)</f>
        <v>ブルーラビット</v>
      </c>
      <c r="C111" s="9">
        <f ca="1">VLOOKUP(A111,[2]characters!$A:$I,9,FALSE)</f>
        <v>3</v>
      </c>
      <c r="D111" s="9" t="str">
        <f ca="1">VLOOKUP(A111,[2]characters!$A:$H,8,FALSE)</f>
        <v>blue</v>
      </c>
      <c r="E111" s="24">
        <f ca="1">VLOOKUP(D111,[2]属性!$A:$E,2,FALSE)</f>
        <v>1</v>
      </c>
      <c r="F111" s="24">
        <f ca="1">VLOOKUP(D111,[2]属性!$A:$E,3,FALSE)</f>
        <v>0.98</v>
      </c>
      <c r="G111" s="24">
        <f ca="1">VLOOKUP(D111,[2]属性!$A:$F,4,FALSE)</f>
        <v>1</v>
      </c>
      <c r="H111" s="9" t="str">
        <f ca="1">VLOOKUP(A111,[2]characters!$A:$K,11,FALSE)</f>
        <v>evolution</v>
      </c>
      <c r="I111" s="14" t="str">
        <f ca="1">VLOOKUP(H111,[2]character_type_i18n!$A:$F,3,FALSE)</f>
        <v>覚醒素材タイプ</v>
      </c>
      <c r="J111" s="36">
        <f ca="1">VLOOKUP(H111,[2]character_type_i18n!$A:$F,4,FALSE)</f>
        <v>0.1</v>
      </c>
      <c r="K111" s="36">
        <f ca="1">VLOOKUP(H111,[2]character_type_i18n!$A:$F,5,FALSE)</f>
        <v>0.05</v>
      </c>
      <c r="L111" s="36">
        <f ca="1">VLOOKUP(H111,[2]character_type_i18n!$A:$F,6,FALSE)</f>
        <v>1</v>
      </c>
      <c r="M111" s="9" t="str">
        <f ca="1">VLOOKUP(A111,[2]characters!$A:$M,13,FALSE)</f>
        <v>unknown</v>
      </c>
      <c r="N111" s="14" t="str">
        <f ca="1">VLOOKUP(M111,[2]character_tribe_i18n!$A:$F,3,FALSE)</f>
        <v>Unknown</v>
      </c>
      <c r="O111" s="24">
        <f ca="1">VLOOKUP(M111,[2]character_tribe_i18n!$A:$F,4,FALSE)</f>
        <v>1</v>
      </c>
      <c r="P111" s="24">
        <f ca="1">VLOOKUP(M111,[2]character_tribe_i18n!$A:$F,5,FALSE)</f>
        <v>1</v>
      </c>
      <c r="Q111" s="24">
        <f ca="1">VLOOKUP(M111,[2]character_tribe_i18n!$A:$F,6,FALSE)</f>
        <v>1</v>
      </c>
      <c r="R111" s="25" t="s">
        <v>31</v>
      </c>
      <c r="S111" s="24">
        <f>VLOOKUP($R111,ラベル別係数!$A$1:$E$7,3,FALSE)</f>
        <v>1</v>
      </c>
      <c r="T111" s="24">
        <f>VLOOKUP($R111,ラベル別係数!$A$1:$E$7,4,FALSE)</f>
        <v>1</v>
      </c>
      <c r="U111" s="24">
        <f>VLOOKUP($R111,ラベル別係数!$A$1:$E$7,5,FALSE)</f>
        <v>1</v>
      </c>
      <c r="V111" s="27">
        <v>4</v>
      </c>
      <c r="W111" s="28">
        <f>VLOOKUP(V111,ターン数別攻撃係数!$A$1:$B$1000,2,FALSE)</f>
        <v>1.2</v>
      </c>
      <c r="X111" s="10">
        <v>15</v>
      </c>
      <c r="Y111" s="26">
        <f>VLOOKUP($X111,サイズ別係数!$B:$E,2,FALSE)</f>
        <v>1</v>
      </c>
      <c r="Z111" s="26">
        <f>VLOOKUP($X111,サイズ別係数!$B:$E,3,FALSE)</f>
        <v>1</v>
      </c>
      <c r="AA111" s="26">
        <f>VLOOKUP($X111,サイズ別係数!$B:$E,4,FALSE)</f>
        <v>1</v>
      </c>
      <c r="AB111" s="35">
        <v>0</v>
      </c>
      <c r="AC111" s="34" t="str">
        <f ca="1">VLOOKUP($AB111,OFFSET([3]enemy_skill_sets!$B$2,0,0,COUNTA([3]enemy_skill_sets!$A:$A),MATCH(AC$1,[3]enemy_skill_sets!$1:$1,0)-MATCH($AB$1,[3]enemy_skill_sets!$1:$1,0)+1),MATCH(AC$1,[3]enemy_skill_sets!$1:$1,0)-MATCH($AB$1,[3]enemy_skill_sets!$1:$1,0)+1,FALSE)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" s="27">
        <v>14</v>
      </c>
      <c r="AE111" s="37">
        <v>25</v>
      </c>
      <c r="AF111" s="37">
        <v>0</v>
      </c>
      <c r="AG111" s="28">
        <f ca="1">ROUND(VLOOKUP(1,enemy_base_stats!$A:$F,2,FALSE) * Y111* J111*O111*E111*S111*AD111*[2]ステータス!$B$2,0)</f>
        <v>700</v>
      </c>
      <c r="AH111" s="28">
        <f ca="1">ROUND(VLOOKUP(1,enemy_base_stats!$A:$F,3,FALSE) * Z111*K111*P111*F111*T111*AE111 * W111*[2]ステータス!$C$2,0)</f>
        <v>221</v>
      </c>
      <c r="AI111" s="28">
        <f ca="1">ROUND(VLOOKUP(1,enemy_base_stats!$A:$F,4,FALSE) * AA111*L111*Q111*G111*U111*AF111*[2]ステータス!$D$2,0)</f>
        <v>0</v>
      </c>
      <c r="AJ111" s="28">
        <f ca="1">ROUND(VLOOKUP(100,enemy_base_stats!$A:$F,2,FALSE) * Y111* J111*O111*E111*S111*AD111*[2]ステータス!$B$2,0)</f>
        <v>28420</v>
      </c>
      <c r="AK111" s="28">
        <f ca="1">ROUND(VLOOKUP(100,enemy_base_stats!$A:$F,3,FALSE)* Z111* K111*P111*F111*T111*AE111 * W111*[2]ステータス!$C$2,0)</f>
        <v>8952</v>
      </c>
      <c r="AL111" s="28">
        <f ca="1">ROUND(VLOOKUP(100,enemy_base_stats!$A:$F,4,FALSE)* AA111* L111*Q111*G111*U111*AF111*[2]ステータス!$D$2,0)</f>
        <v>0</v>
      </c>
      <c r="AM111" s="24">
        <f ca="1">VLOOKUP(M111,[2]character_tribe_i18n!$A:$I,9,FALSE)</f>
        <v>340</v>
      </c>
      <c r="AN111" s="36">
        <v>0</v>
      </c>
      <c r="AO111" s="53">
        <v>0</v>
      </c>
      <c r="AP111" s="58" t="s">
        <v>72</v>
      </c>
      <c r="AQ111" s="71">
        <f t="shared" ca="1" si="2"/>
        <v>110</v>
      </c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</row>
    <row r="112" spans="1:60" s="3" customFormat="1" ht="21" customHeight="1" x14ac:dyDescent="0.15">
      <c r="A112" s="7">
        <f t="shared" ca="1" si="3"/>
        <v>111</v>
      </c>
      <c r="B112" s="6" t="str">
        <f ca="1">VLOOKUP(A112,[2]characters!$A:$C,3,FALSE)</f>
        <v>ブルーキャタップ</v>
      </c>
      <c r="C112" s="9">
        <f ca="1">VLOOKUP(A112,[2]characters!$A:$I,9,FALSE)</f>
        <v>4</v>
      </c>
      <c r="D112" s="9" t="str">
        <f ca="1">VLOOKUP(A112,[2]characters!$A:$H,8,FALSE)</f>
        <v>blue</v>
      </c>
      <c r="E112" s="24">
        <f ca="1">VLOOKUP(D112,[2]属性!$A:$E,2,FALSE)</f>
        <v>1</v>
      </c>
      <c r="F112" s="24">
        <f ca="1">VLOOKUP(D112,[2]属性!$A:$E,3,FALSE)</f>
        <v>0.98</v>
      </c>
      <c r="G112" s="24">
        <f ca="1">VLOOKUP(D112,[2]属性!$A:$F,4,FALSE)</f>
        <v>1</v>
      </c>
      <c r="H112" s="9" t="str">
        <f ca="1">VLOOKUP(A112,[2]characters!$A:$K,11,FALSE)</f>
        <v>evolution</v>
      </c>
      <c r="I112" s="14" t="str">
        <f ca="1">VLOOKUP(H112,[2]character_type_i18n!$A:$F,3,FALSE)</f>
        <v>覚醒素材タイプ</v>
      </c>
      <c r="J112" s="36">
        <f ca="1">VLOOKUP(H112,[2]character_type_i18n!$A:$F,4,FALSE)</f>
        <v>0.1</v>
      </c>
      <c r="K112" s="36">
        <f ca="1">VLOOKUP(H112,[2]character_type_i18n!$A:$F,5,FALSE)</f>
        <v>0.05</v>
      </c>
      <c r="L112" s="36">
        <f ca="1">VLOOKUP(H112,[2]character_type_i18n!$A:$F,6,FALSE)</f>
        <v>1</v>
      </c>
      <c r="M112" s="9" t="str">
        <f ca="1">VLOOKUP(A112,[2]characters!$A:$M,13,FALSE)</f>
        <v>unknown</v>
      </c>
      <c r="N112" s="14" t="str">
        <f ca="1">VLOOKUP(M112,[2]character_tribe_i18n!$A:$F,3,FALSE)</f>
        <v>Unknown</v>
      </c>
      <c r="O112" s="24">
        <f ca="1">VLOOKUP(M112,[2]character_tribe_i18n!$A:$F,4,FALSE)</f>
        <v>1</v>
      </c>
      <c r="P112" s="24">
        <f ca="1">VLOOKUP(M112,[2]character_tribe_i18n!$A:$F,5,FALSE)</f>
        <v>1</v>
      </c>
      <c r="Q112" s="24">
        <f ca="1">VLOOKUP(M112,[2]character_tribe_i18n!$A:$F,6,FALSE)</f>
        <v>1</v>
      </c>
      <c r="R112" s="25" t="s">
        <v>31</v>
      </c>
      <c r="S112" s="24">
        <f>VLOOKUP($R112,ラベル別係数!$A$1:$E$7,3,FALSE)</f>
        <v>1</v>
      </c>
      <c r="T112" s="24">
        <f>VLOOKUP($R112,ラベル別係数!$A$1:$E$7,4,FALSE)</f>
        <v>1</v>
      </c>
      <c r="U112" s="24">
        <f>VLOOKUP($R112,ラベル別係数!$A$1:$E$7,5,FALSE)</f>
        <v>1</v>
      </c>
      <c r="V112" s="27">
        <v>1</v>
      </c>
      <c r="W112" s="28">
        <f>VLOOKUP(V112,ターン数別攻撃係数!$A$1:$B$1000,2,FALSE)</f>
        <v>0.55000000000000004</v>
      </c>
      <c r="X112" s="10">
        <v>15</v>
      </c>
      <c r="Y112" s="26">
        <f>VLOOKUP($X112,サイズ別係数!$B:$E,2,FALSE)</f>
        <v>1</v>
      </c>
      <c r="Z112" s="26">
        <f>VLOOKUP($X112,サイズ別係数!$B:$E,3,FALSE)</f>
        <v>1</v>
      </c>
      <c r="AA112" s="26">
        <f>VLOOKUP($X112,サイズ別係数!$B:$E,4,FALSE)</f>
        <v>1</v>
      </c>
      <c r="AB112" s="35">
        <v>0</v>
      </c>
      <c r="AC112" s="34" t="str">
        <f ca="1">VLOOKUP($AB112,OFFSET([3]enemy_skill_sets!$B$2,0,0,COUNTA([3]enemy_skill_sets!$A:$A),MATCH(AC$1,[3]enemy_skill_sets!$1:$1,0)-MATCH($AB$1,[3]enemy_skill_sets!$1:$1,0)+1),MATCH(AC$1,[3]enemy_skill_sets!$1:$1,0)-MATCH($AB$1,[3]enemy_skill_sets!$1:$1,0)+1,FALSE)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" s="27">
        <v>18</v>
      </c>
      <c r="AE112" s="37">
        <v>25</v>
      </c>
      <c r="AF112" s="37">
        <v>0</v>
      </c>
      <c r="AG112" s="28">
        <f ca="1">ROUND(VLOOKUP(1,enemy_base_stats!$A:$F,2,FALSE) * Y112* J112*O112*E112*S112*AD112*[2]ステータス!$B$2,0)</f>
        <v>900</v>
      </c>
      <c r="AH112" s="28">
        <f ca="1">ROUND(VLOOKUP(1,enemy_base_stats!$A:$F,3,FALSE) * Z112*K112*P112*F112*T112*AE112 * W112*[2]ステータス!$C$2,0)</f>
        <v>101</v>
      </c>
      <c r="AI112" s="28">
        <f ca="1">ROUND(VLOOKUP(1,enemy_base_stats!$A:$F,4,FALSE) * AA112*L112*Q112*G112*U112*AF112*[2]ステータス!$D$2,0)</f>
        <v>0</v>
      </c>
      <c r="AJ112" s="28">
        <f ca="1">ROUND(VLOOKUP(100,enemy_base_stats!$A:$F,2,FALSE) * Y112* J112*O112*E112*S112*AD112*[2]ステータス!$B$2,0)</f>
        <v>36540</v>
      </c>
      <c r="AK112" s="28">
        <f ca="1">ROUND(VLOOKUP(100,enemy_base_stats!$A:$F,3,FALSE)* Z112* K112*P112*F112*T112*AE112 * W112*[2]ステータス!$C$2,0)</f>
        <v>4103</v>
      </c>
      <c r="AL112" s="28">
        <f ca="1">ROUND(VLOOKUP(100,enemy_base_stats!$A:$F,4,FALSE)* AA112* L112*Q112*G112*U112*AF112*[2]ステータス!$D$2,0)</f>
        <v>0</v>
      </c>
      <c r="AM112" s="24">
        <f ca="1">VLOOKUP(M112,[2]character_tribe_i18n!$A:$I,9,FALSE)</f>
        <v>340</v>
      </c>
      <c r="AN112" s="36">
        <v>0</v>
      </c>
      <c r="AO112" s="53">
        <v>0</v>
      </c>
      <c r="AP112" s="58" t="s">
        <v>72</v>
      </c>
      <c r="AQ112" s="71">
        <f t="shared" ca="1" si="2"/>
        <v>111</v>
      </c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</row>
    <row r="113" spans="1:60" s="3" customFormat="1" ht="21" customHeight="1" x14ac:dyDescent="0.15">
      <c r="A113" s="7">
        <f t="shared" ca="1" si="3"/>
        <v>112</v>
      </c>
      <c r="B113" s="6" t="str">
        <f ca="1">VLOOKUP(A113,[2]characters!$A:$C,3,FALSE)</f>
        <v>水のマッドハッター</v>
      </c>
      <c r="C113" s="9">
        <f ca="1">VLOOKUP(A113,[2]characters!$A:$I,9,FALSE)</f>
        <v>5</v>
      </c>
      <c r="D113" s="9" t="str">
        <f ca="1">VLOOKUP(A113,[2]characters!$A:$H,8,FALSE)</f>
        <v>blue</v>
      </c>
      <c r="E113" s="24">
        <f ca="1">VLOOKUP(D113,[2]属性!$A:$E,2,FALSE)</f>
        <v>1</v>
      </c>
      <c r="F113" s="24">
        <f ca="1">VLOOKUP(D113,[2]属性!$A:$E,3,FALSE)</f>
        <v>0.98</v>
      </c>
      <c r="G113" s="24">
        <f ca="1">VLOOKUP(D113,[2]属性!$A:$F,4,FALSE)</f>
        <v>1</v>
      </c>
      <c r="H113" s="9" t="str">
        <f ca="1">VLOOKUP(A113,[2]characters!$A:$K,11,FALSE)</f>
        <v>evolution</v>
      </c>
      <c r="I113" s="14" t="str">
        <f ca="1">VLOOKUP(H113,[2]character_type_i18n!$A:$F,3,FALSE)</f>
        <v>覚醒素材タイプ</v>
      </c>
      <c r="J113" s="36">
        <f ca="1">VLOOKUP(H113,[2]character_type_i18n!$A:$F,4,FALSE)</f>
        <v>0.1</v>
      </c>
      <c r="K113" s="36">
        <f ca="1">VLOOKUP(H113,[2]character_type_i18n!$A:$F,5,FALSE)</f>
        <v>0.05</v>
      </c>
      <c r="L113" s="36">
        <f ca="1">VLOOKUP(H113,[2]character_type_i18n!$A:$F,6,FALSE)</f>
        <v>1</v>
      </c>
      <c r="M113" s="9" t="str">
        <f ca="1">VLOOKUP(A113,[2]characters!$A:$M,13,FALSE)</f>
        <v>unknown</v>
      </c>
      <c r="N113" s="14" t="str">
        <f ca="1">VLOOKUP(M113,[2]character_tribe_i18n!$A:$F,3,FALSE)</f>
        <v>Unknown</v>
      </c>
      <c r="O113" s="24">
        <f ca="1">VLOOKUP(M113,[2]character_tribe_i18n!$A:$F,4,FALSE)</f>
        <v>1</v>
      </c>
      <c r="P113" s="24">
        <f ca="1">VLOOKUP(M113,[2]character_tribe_i18n!$A:$F,5,FALSE)</f>
        <v>1</v>
      </c>
      <c r="Q113" s="24">
        <f ca="1">VLOOKUP(M113,[2]character_tribe_i18n!$A:$F,6,FALSE)</f>
        <v>1</v>
      </c>
      <c r="R113" s="25" t="s">
        <v>31</v>
      </c>
      <c r="S113" s="24">
        <f>VLOOKUP($R113,ラベル別係数!$A$1:$E$7,3,FALSE)</f>
        <v>1</v>
      </c>
      <c r="T113" s="24">
        <f>VLOOKUP($R113,ラベル別係数!$A$1:$E$7,4,FALSE)</f>
        <v>1</v>
      </c>
      <c r="U113" s="24">
        <f>VLOOKUP($R113,ラベル別係数!$A$1:$E$7,5,FALSE)</f>
        <v>1</v>
      </c>
      <c r="V113" s="27">
        <v>2</v>
      </c>
      <c r="W113" s="28">
        <f>VLOOKUP(V113,ターン数別攻撃係数!$A$1:$B$1000,2,FALSE)</f>
        <v>0.75</v>
      </c>
      <c r="X113" s="10">
        <v>20</v>
      </c>
      <c r="Y113" s="26">
        <f>VLOOKUP($X113,サイズ別係数!$B:$E,2,FALSE)</f>
        <v>1.1000000000000001</v>
      </c>
      <c r="Z113" s="26">
        <f>VLOOKUP($X113,サイズ別係数!$B:$E,3,FALSE)</f>
        <v>1.2</v>
      </c>
      <c r="AA113" s="26">
        <f>VLOOKUP($X113,サイズ別係数!$B:$E,4,FALSE)</f>
        <v>1.2</v>
      </c>
      <c r="AB113" s="35">
        <v>0</v>
      </c>
      <c r="AC113" s="34" t="str">
        <f ca="1">VLOOKUP($AB113,OFFSET([3]enemy_skill_sets!$B$2,0,0,COUNTA([3]enemy_skill_sets!$A:$A),MATCH(AC$1,[3]enemy_skill_sets!$1:$1,0)-MATCH($AB$1,[3]enemy_skill_sets!$1:$1,0)+1),MATCH(AC$1,[3]enemy_skill_sets!$1:$1,0)-MATCH($AB$1,[3]enemy_skill_sets!$1:$1,0)+1,FALSE)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" s="37">
        <v>50</v>
      </c>
      <c r="AE113" s="37">
        <v>50</v>
      </c>
      <c r="AF113" s="37">
        <v>0</v>
      </c>
      <c r="AG113" s="28">
        <f ca="1">ROUND(VLOOKUP(1,enemy_base_stats!$A:$F,2,FALSE) * Y113* J113*O113*E113*S113*AD113*[2]ステータス!$B$2,0)</f>
        <v>2750</v>
      </c>
      <c r="AH113" s="28">
        <f ca="1">ROUND(VLOOKUP(1,enemy_base_stats!$A:$F,3,FALSE) * Z113*K113*P113*F113*T113*AE113 * W113*[2]ステータス!$C$2,0)</f>
        <v>331</v>
      </c>
      <c r="AI113" s="28">
        <f ca="1">ROUND(VLOOKUP(1,enemy_base_stats!$A:$F,4,FALSE) * AA113*L113*Q113*G113*U113*AF113*[2]ステータス!$D$2,0)</f>
        <v>0</v>
      </c>
      <c r="AJ113" s="28">
        <f ca="1">ROUND(VLOOKUP(100,enemy_base_stats!$A:$F,2,FALSE) * Y113* J113*O113*E113*S113*AD113*[2]ステータス!$B$2,0)</f>
        <v>111650</v>
      </c>
      <c r="AK113" s="28">
        <f ca="1">ROUND(VLOOKUP(100,enemy_base_stats!$A:$F,3,FALSE)* Z113* K113*P113*F113*T113*AE113 * W113*[2]ステータス!$C$2,0)</f>
        <v>13428</v>
      </c>
      <c r="AL113" s="28">
        <f ca="1">ROUND(VLOOKUP(100,enemy_base_stats!$A:$F,4,FALSE)* AA113* L113*Q113*G113*U113*AF113*[2]ステータス!$D$2,0)</f>
        <v>0</v>
      </c>
      <c r="AM113" s="24">
        <f ca="1">VLOOKUP(M113,[2]character_tribe_i18n!$A:$I,9,FALSE)</f>
        <v>340</v>
      </c>
      <c r="AN113" s="36">
        <v>0</v>
      </c>
      <c r="AO113" s="53">
        <v>0</v>
      </c>
      <c r="AP113" s="58" t="s">
        <v>72</v>
      </c>
      <c r="AQ113" s="71">
        <f t="shared" ca="1" si="2"/>
        <v>112</v>
      </c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</row>
    <row r="114" spans="1:60" s="3" customFormat="1" ht="21" customHeight="1" x14ac:dyDescent="0.15">
      <c r="A114" s="7">
        <f t="shared" ca="1" si="3"/>
        <v>113</v>
      </c>
      <c r="B114" s="6" t="str">
        <f ca="1">VLOOKUP(A114,[2]characters!$A:$C,3,FALSE)</f>
        <v>イエローチェシャ</v>
      </c>
      <c r="C114" s="9">
        <f ca="1">VLOOKUP(A114,[2]characters!$A:$I,9,FALSE)</f>
        <v>2</v>
      </c>
      <c r="D114" s="9" t="str">
        <f ca="1">VLOOKUP(A114,[2]characters!$A:$H,8,FALSE)</f>
        <v>yellow</v>
      </c>
      <c r="E114" s="24">
        <f ca="1">VLOOKUP(D114,[2]属性!$A:$E,2,FALSE)</f>
        <v>0.98</v>
      </c>
      <c r="F114" s="24">
        <f ca="1">VLOOKUP(D114,[2]属性!$A:$E,3,FALSE)</f>
        <v>1.01</v>
      </c>
      <c r="G114" s="24">
        <f ca="1">VLOOKUP(D114,[2]属性!$A:$F,4,FALSE)</f>
        <v>1</v>
      </c>
      <c r="H114" s="9" t="str">
        <f ca="1">VLOOKUP(A114,[2]characters!$A:$K,11,FALSE)</f>
        <v>evolution</v>
      </c>
      <c r="I114" s="14" t="str">
        <f ca="1">VLOOKUP(H114,[2]character_type_i18n!$A:$F,3,FALSE)</f>
        <v>覚醒素材タイプ</v>
      </c>
      <c r="J114" s="36">
        <f ca="1">VLOOKUP(H114,[2]character_type_i18n!$A:$F,4,FALSE)</f>
        <v>0.1</v>
      </c>
      <c r="K114" s="36">
        <f ca="1">VLOOKUP(H114,[2]character_type_i18n!$A:$F,5,FALSE)</f>
        <v>0.05</v>
      </c>
      <c r="L114" s="36">
        <f ca="1">VLOOKUP(H114,[2]character_type_i18n!$A:$F,6,FALSE)</f>
        <v>1</v>
      </c>
      <c r="M114" s="9" t="str">
        <f ca="1">VLOOKUP(A114,[2]characters!$A:$M,13,FALSE)</f>
        <v>unknown</v>
      </c>
      <c r="N114" s="14" t="str">
        <f ca="1">VLOOKUP(M114,[2]character_tribe_i18n!$A:$F,3,FALSE)</f>
        <v>Unknown</v>
      </c>
      <c r="O114" s="24">
        <f ca="1">VLOOKUP(M114,[2]character_tribe_i18n!$A:$F,4,FALSE)</f>
        <v>1</v>
      </c>
      <c r="P114" s="24">
        <f ca="1">VLOOKUP(M114,[2]character_tribe_i18n!$A:$F,5,FALSE)</f>
        <v>1</v>
      </c>
      <c r="Q114" s="24">
        <f ca="1">VLOOKUP(M114,[2]character_tribe_i18n!$A:$F,6,FALSE)</f>
        <v>1</v>
      </c>
      <c r="R114" s="25" t="s">
        <v>31</v>
      </c>
      <c r="S114" s="24">
        <f>VLOOKUP($R114,ラベル別係数!$A$1:$E$7,3,FALSE)</f>
        <v>1</v>
      </c>
      <c r="T114" s="24">
        <f>VLOOKUP($R114,ラベル別係数!$A$1:$E$7,4,FALSE)</f>
        <v>1</v>
      </c>
      <c r="U114" s="24">
        <f>VLOOKUP($R114,ラベル別係数!$A$1:$E$7,5,FALSE)</f>
        <v>1</v>
      </c>
      <c r="V114" s="27">
        <v>1</v>
      </c>
      <c r="W114" s="28">
        <f>VLOOKUP(V114,ターン数別攻撃係数!$A$1:$B$1000,2,FALSE)</f>
        <v>0.55000000000000004</v>
      </c>
      <c r="X114" s="10">
        <v>15</v>
      </c>
      <c r="Y114" s="26">
        <f>VLOOKUP($X114,サイズ別係数!$B:$E,2,FALSE)</f>
        <v>1</v>
      </c>
      <c r="Z114" s="26">
        <f>VLOOKUP($X114,サイズ別係数!$B:$E,3,FALSE)</f>
        <v>1</v>
      </c>
      <c r="AA114" s="26">
        <f>VLOOKUP($X114,サイズ別係数!$B:$E,4,FALSE)</f>
        <v>1</v>
      </c>
      <c r="AB114" s="35">
        <v>0</v>
      </c>
      <c r="AC114" s="34" t="str">
        <f ca="1">VLOOKUP($AB114,OFFSET([3]enemy_skill_sets!$B$2,0,0,COUNTA([3]enemy_skill_sets!$A:$A),MATCH(AC$1,[3]enemy_skill_sets!$1:$1,0)-MATCH($AB$1,[3]enemy_skill_sets!$1:$1,0)+1),MATCH(AC$1,[3]enemy_skill_sets!$1:$1,0)-MATCH($AB$1,[3]enemy_skill_sets!$1:$1,0)+1,FALSE)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" s="27">
        <v>10</v>
      </c>
      <c r="AE114" s="37">
        <v>25</v>
      </c>
      <c r="AF114" s="37">
        <v>0</v>
      </c>
      <c r="AG114" s="28">
        <f ca="1">ROUND(VLOOKUP(1,enemy_base_stats!$A:$F,2,FALSE) * Y114* J114*O114*E114*S114*AD114*[2]ステータス!$B$2,0)</f>
        <v>490</v>
      </c>
      <c r="AH114" s="28">
        <f ca="1">ROUND(VLOOKUP(1,enemy_base_stats!$A:$F,3,FALSE) * Z114*K114*P114*F114*T114*AE114 * W114*[2]ステータス!$C$2,0)</f>
        <v>104</v>
      </c>
      <c r="AI114" s="28">
        <f ca="1">ROUND(VLOOKUP(1,enemy_base_stats!$A:$F,4,FALSE) * AA114*L114*Q114*G114*U114*AF114*[2]ステータス!$D$2,0)</f>
        <v>0</v>
      </c>
      <c r="AJ114" s="28">
        <f ca="1">ROUND(VLOOKUP(100,enemy_base_stats!$A:$F,2,FALSE) * Y114* J114*O114*E114*S114*AD114*[2]ステータス!$B$2,0)</f>
        <v>19894</v>
      </c>
      <c r="AK114" s="28">
        <f ca="1">ROUND(VLOOKUP(100,enemy_base_stats!$A:$F,3,FALSE)* Z114* K114*P114*F114*T114*AE114 * W114*[2]ステータス!$C$2,0)</f>
        <v>4229</v>
      </c>
      <c r="AL114" s="28">
        <f ca="1">ROUND(VLOOKUP(100,enemy_base_stats!$A:$F,4,FALSE)* AA114* L114*Q114*G114*U114*AF114*[2]ステータス!$D$2,0)</f>
        <v>0</v>
      </c>
      <c r="AM114" s="24">
        <f ca="1">VLOOKUP(M114,[2]character_tribe_i18n!$A:$I,9,FALSE)</f>
        <v>340</v>
      </c>
      <c r="AN114" s="36">
        <v>0</v>
      </c>
      <c r="AO114" s="53">
        <v>0</v>
      </c>
      <c r="AP114" s="58" t="s">
        <v>72</v>
      </c>
      <c r="AQ114" s="71">
        <f t="shared" ca="1" si="2"/>
        <v>113</v>
      </c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</row>
    <row r="115" spans="1:60" s="3" customFormat="1" ht="21" customHeight="1" x14ac:dyDescent="0.15">
      <c r="A115" s="7">
        <f t="shared" ca="1" si="3"/>
        <v>114</v>
      </c>
      <c r="B115" s="6" t="str">
        <f ca="1">VLOOKUP(A115,[2]characters!$A:$C,3,FALSE)</f>
        <v>イエローラビット</v>
      </c>
      <c r="C115" s="9">
        <f ca="1">VLOOKUP(A115,[2]characters!$A:$I,9,FALSE)</f>
        <v>3</v>
      </c>
      <c r="D115" s="9" t="str">
        <f ca="1">VLOOKUP(A115,[2]characters!$A:$H,8,FALSE)</f>
        <v>yellow</v>
      </c>
      <c r="E115" s="24">
        <f ca="1">VLOOKUP(D115,[2]属性!$A:$E,2,FALSE)</f>
        <v>0.98</v>
      </c>
      <c r="F115" s="24">
        <f ca="1">VLOOKUP(D115,[2]属性!$A:$E,3,FALSE)</f>
        <v>1.01</v>
      </c>
      <c r="G115" s="24">
        <f ca="1">VLOOKUP(D115,[2]属性!$A:$F,4,FALSE)</f>
        <v>1</v>
      </c>
      <c r="H115" s="9" t="str">
        <f ca="1">VLOOKUP(A115,[2]characters!$A:$K,11,FALSE)</f>
        <v>evolution</v>
      </c>
      <c r="I115" s="14" t="str">
        <f ca="1">VLOOKUP(H115,[2]character_type_i18n!$A:$F,3,FALSE)</f>
        <v>覚醒素材タイプ</v>
      </c>
      <c r="J115" s="36">
        <f ca="1">VLOOKUP(H115,[2]character_type_i18n!$A:$F,4,FALSE)</f>
        <v>0.1</v>
      </c>
      <c r="K115" s="36">
        <f ca="1">VLOOKUP(H115,[2]character_type_i18n!$A:$F,5,FALSE)</f>
        <v>0.05</v>
      </c>
      <c r="L115" s="36">
        <f ca="1">VLOOKUP(H115,[2]character_type_i18n!$A:$F,6,FALSE)</f>
        <v>1</v>
      </c>
      <c r="M115" s="9" t="str">
        <f ca="1">VLOOKUP(A115,[2]characters!$A:$M,13,FALSE)</f>
        <v>unknown</v>
      </c>
      <c r="N115" s="14" t="str">
        <f ca="1">VLOOKUP(M115,[2]character_tribe_i18n!$A:$F,3,FALSE)</f>
        <v>Unknown</v>
      </c>
      <c r="O115" s="24">
        <f ca="1">VLOOKUP(M115,[2]character_tribe_i18n!$A:$F,4,FALSE)</f>
        <v>1</v>
      </c>
      <c r="P115" s="24">
        <f ca="1">VLOOKUP(M115,[2]character_tribe_i18n!$A:$F,5,FALSE)</f>
        <v>1</v>
      </c>
      <c r="Q115" s="24">
        <f ca="1">VLOOKUP(M115,[2]character_tribe_i18n!$A:$F,6,FALSE)</f>
        <v>1</v>
      </c>
      <c r="R115" s="25" t="s">
        <v>31</v>
      </c>
      <c r="S115" s="24">
        <f>VLOOKUP($R115,ラベル別係数!$A$1:$E$7,3,FALSE)</f>
        <v>1</v>
      </c>
      <c r="T115" s="24">
        <f>VLOOKUP($R115,ラベル別係数!$A$1:$E$7,4,FALSE)</f>
        <v>1</v>
      </c>
      <c r="U115" s="24">
        <f>VLOOKUP($R115,ラベル別係数!$A$1:$E$7,5,FALSE)</f>
        <v>1</v>
      </c>
      <c r="V115" s="27">
        <v>2</v>
      </c>
      <c r="W115" s="28">
        <f>VLOOKUP(V115,ターン数別攻撃係数!$A$1:$B$1000,2,FALSE)</f>
        <v>0.75</v>
      </c>
      <c r="X115" s="10">
        <v>15</v>
      </c>
      <c r="Y115" s="26">
        <f>VLOOKUP($X115,サイズ別係数!$B:$E,2,FALSE)</f>
        <v>1</v>
      </c>
      <c r="Z115" s="26">
        <f>VLOOKUP($X115,サイズ別係数!$B:$E,3,FALSE)</f>
        <v>1</v>
      </c>
      <c r="AA115" s="26">
        <f>VLOOKUP($X115,サイズ別係数!$B:$E,4,FALSE)</f>
        <v>1</v>
      </c>
      <c r="AB115" s="35">
        <v>0</v>
      </c>
      <c r="AC115" s="34" t="str">
        <f ca="1">VLOOKUP($AB115,OFFSET([3]enemy_skill_sets!$B$2,0,0,COUNTA([3]enemy_skill_sets!$A:$A),MATCH(AC$1,[3]enemy_skill_sets!$1:$1,0)-MATCH($AB$1,[3]enemy_skill_sets!$1:$1,0)+1),MATCH(AC$1,[3]enemy_skill_sets!$1:$1,0)-MATCH($AB$1,[3]enemy_skill_sets!$1:$1,0)+1,FALSE)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" s="27">
        <v>14</v>
      </c>
      <c r="AE115" s="37">
        <v>25</v>
      </c>
      <c r="AF115" s="37">
        <v>0</v>
      </c>
      <c r="AG115" s="28">
        <f ca="1">ROUND(VLOOKUP(1,enemy_base_stats!$A:$F,2,FALSE) * Y115* J115*O115*E115*S115*AD115*[2]ステータス!$B$2,0)</f>
        <v>686</v>
      </c>
      <c r="AH115" s="28">
        <f ca="1">ROUND(VLOOKUP(1,enemy_base_stats!$A:$F,3,FALSE) * Z115*K115*P115*F115*T115*AE115 * W115*[2]ステータス!$C$2,0)</f>
        <v>142</v>
      </c>
      <c r="AI115" s="28">
        <f ca="1">ROUND(VLOOKUP(1,enemy_base_stats!$A:$F,4,FALSE) * AA115*L115*Q115*G115*U115*AF115*[2]ステータス!$D$2,0)</f>
        <v>0</v>
      </c>
      <c r="AJ115" s="28">
        <f ca="1">ROUND(VLOOKUP(100,enemy_base_stats!$A:$F,2,FALSE) * Y115* J115*O115*E115*S115*AD115*[2]ステータス!$B$2,0)</f>
        <v>27852</v>
      </c>
      <c r="AK115" s="28">
        <f ca="1">ROUND(VLOOKUP(100,enemy_base_stats!$A:$F,3,FALSE)* Z115* K115*P115*F115*T115*AE115 * W115*[2]ステータス!$C$2,0)</f>
        <v>5766</v>
      </c>
      <c r="AL115" s="28">
        <f ca="1">ROUND(VLOOKUP(100,enemy_base_stats!$A:$F,4,FALSE)* AA115* L115*Q115*G115*U115*AF115*[2]ステータス!$D$2,0)</f>
        <v>0</v>
      </c>
      <c r="AM115" s="24">
        <f ca="1">VLOOKUP(M115,[2]character_tribe_i18n!$A:$I,9,FALSE)</f>
        <v>340</v>
      </c>
      <c r="AN115" s="36">
        <v>0</v>
      </c>
      <c r="AO115" s="53">
        <v>0</v>
      </c>
      <c r="AP115" s="58" t="s">
        <v>72</v>
      </c>
      <c r="AQ115" s="71">
        <f t="shared" ca="1" si="2"/>
        <v>114</v>
      </c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</row>
    <row r="116" spans="1:60" s="3" customFormat="1" ht="21" customHeight="1" x14ac:dyDescent="0.15">
      <c r="A116" s="7">
        <f t="shared" ca="1" si="3"/>
        <v>115</v>
      </c>
      <c r="B116" s="6" t="str">
        <f ca="1">VLOOKUP(A116,[2]characters!$A:$C,3,FALSE)</f>
        <v>イエローキャタップ</v>
      </c>
      <c r="C116" s="9">
        <f ca="1">VLOOKUP(A116,[2]characters!$A:$I,9,FALSE)</f>
        <v>4</v>
      </c>
      <c r="D116" s="9" t="str">
        <f ca="1">VLOOKUP(A116,[2]characters!$A:$H,8,FALSE)</f>
        <v>yellow</v>
      </c>
      <c r="E116" s="24">
        <f ca="1">VLOOKUP(D116,[2]属性!$A:$E,2,FALSE)</f>
        <v>0.98</v>
      </c>
      <c r="F116" s="24">
        <f ca="1">VLOOKUP(D116,[2]属性!$A:$E,3,FALSE)</f>
        <v>1.01</v>
      </c>
      <c r="G116" s="24">
        <f ca="1">VLOOKUP(D116,[2]属性!$A:$F,4,FALSE)</f>
        <v>1</v>
      </c>
      <c r="H116" s="9" t="str">
        <f ca="1">VLOOKUP(A116,[2]characters!$A:$K,11,FALSE)</f>
        <v>evolution</v>
      </c>
      <c r="I116" s="14" t="str">
        <f ca="1">VLOOKUP(H116,[2]character_type_i18n!$A:$F,3,FALSE)</f>
        <v>覚醒素材タイプ</v>
      </c>
      <c r="J116" s="36">
        <f ca="1">VLOOKUP(H116,[2]character_type_i18n!$A:$F,4,FALSE)</f>
        <v>0.1</v>
      </c>
      <c r="K116" s="36">
        <f ca="1">VLOOKUP(H116,[2]character_type_i18n!$A:$F,5,FALSE)</f>
        <v>0.05</v>
      </c>
      <c r="L116" s="36">
        <f ca="1">VLOOKUP(H116,[2]character_type_i18n!$A:$F,6,FALSE)</f>
        <v>1</v>
      </c>
      <c r="M116" s="9" t="str">
        <f ca="1">VLOOKUP(A116,[2]characters!$A:$M,13,FALSE)</f>
        <v>unknown</v>
      </c>
      <c r="N116" s="14" t="str">
        <f ca="1">VLOOKUP(M116,[2]character_tribe_i18n!$A:$F,3,FALSE)</f>
        <v>Unknown</v>
      </c>
      <c r="O116" s="24">
        <f ca="1">VLOOKUP(M116,[2]character_tribe_i18n!$A:$F,4,FALSE)</f>
        <v>1</v>
      </c>
      <c r="P116" s="24">
        <f ca="1">VLOOKUP(M116,[2]character_tribe_i18n!$A:$F,5,FALSE)</f>
        <v>1</v>
      </c>
      <c r="Q116" s="24">
        <f ca="1">VLOOKUP(M116,[2]character_tribe_i18n!$A:$F,6,FALSE)</f>
        <v>1</v>
      </c>
      <c r="R116" s="25" t="s">
        <v>31</v>
      </c>
      <c r="S116" s="24">
        <f>VLOOKUP($R116,ラベル別係数!$A$1:$E$7,3,FALSE)</f>
        <v>1</v>
      </c>
      <c r="T116" s="24">
        <f>VLOOKUP($R116,ラベル別係数!$A$1:$E$7,4,FALSE)</f>
        <v>1</v>
      </c>
      <c r="U116" s="24">
        <f>VLOOKUP($R116,ラベル別係数!$A$1:$E$7,5,FALSE)</f>
        <v>1</v>
      </c>
      <c r="V116" s="27">
        <v>2</v>
      </c>
      <c r="W116" s="28">
        <f>VLOOKUP(V116,ターン数別攻撃係数!$A$1:$B$1000,2,FALSE)</f>
        <v>0.75</v>
      </c>
      <c r="X116" s="10">
        <v>15</v>
      </c>
      <c r="Y116" s="26">
        <f>VLOOKUP($X116,サイズ別係数!$B:$E,2,FALSE)</f>
        <v>1</v>
      </c>
      <c r="Z116" s="26">
        <f>VLOOKUP($X116,サイズ別係数!$B:$E,3,FALSE)</f>
        <v>1</v>
      </c>
      <c r="AA116" s="26">
        <f>VLOOKUP($X116,サイズ別係数!$B:$E,4,FALSE)</f>
        <v>1</v>
      </c>
      <c r="AB116" s="35">
        <v>0</v>
      </c>
      <c r="AC116" s="34" t="str">
        <f ca="1">VLOOKUP($AB116,OFFSET([3]enemy_skill_sets!$B$2,0,0,COUNTA([3]enemy_skill_sets!$A:$A),MATCH(AC$1,[3]enemy_skill_sets!$1:$1,0)-MATCH($AB$1,[3]enemy_skill_sets!$1:$1,0)+1),MATCH(AC$1,[3]enemy_skill_sets!$1:$1,0)-MATCH($AB$1,[3]enemy_skill_sets!$1:$1,0)+1,FALSE)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" s="27">
        <v>18</v>
      </c>
      <c r="AE116" s="37">
        <v>25</v>
      </c>
      <c r="AF116" s="37">
        <v>0</v>
      </c>
      <c r="AG116" s="28">
        <f ca="1">ROUND(VLOOKUP(1,enemy_base_stats!$A:$F,2,FALSE) * Y116* J116*O116*E116*S116*AD116*[2]ステータス!$B$2,0)</f>
        <v>882</v>
      </c>
      <c r="AH116" s="28">
        <f ca="1">ROUND(VLOOKUP(1,enemy_base_stats!$A:$F,3,FALSE) * Z116*K116*P116*F116*T116*AE116 * W116*[2]ステータス!$C$2,0)</f>
        <v>142</v>
      </c>
      <c r="AI116" s="28">
        <f ca="1">ROUND(VLOOKUP(1,enemy_base_stats!$A:$F,4,FALSE) * AA116*L116*Q116*G116*U116*AF116*[2]ステータス!$D$2,0)</f>
        <v>0</v>
      </c>
      <c r="AJ116" s="28">
        <f ca="1">ROUND(VLOOKUP(100,enemy_base_stats!$A:$F,2,FALSE) * Y116* J116*O116*E116*S116*AD116*[2]ステータス!$B$2,0)</f>
        <v>35809</v>
      </c>
      <c r="AK116" s="28">
        <f ca="1">ROUND(VLOOKUP(100,enemy_base_stats!$A:$F,3,FALSE)* Z116* K116*P116*F116*T116*AE116 * W116*[2]ステータス!$C$2,0)</f>
        <v>5766</v>
      </c>
      <c r="AL116" s="28">
        <f ca="1">ROUND(VLOOKUP(100,enemy_base_stats!$A:$F,4,FALSE)* AA116* L116*Q116*G116*U116*AF116*[2]ステータス!$D$2,0)</f>
        <v>0</v>
      </c>
      <c r="AM116" s="24">
        <f ca="1">VLOOKUP(M116,[2]character_tribe_i18n!$A:$I,9,FALSE)</f>
        <v>340</v>
      </c>
      <c r="AN116" s="36">
        <v>0</v>
      </c>
      <c r="AO116" s="53">
        <v>0</v>
      </c>
      <c r="AP116" s="58" t="s">
        <v>72</v>
      </c>
      <c r="AQ116" s="71">
        <f t="shared" ca="1" si="2"/>
        <v>115</v>
      </c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</row>
    <row r="117" spans="1:60" s="3" customFormat="1" ht="21" customHeight="1" x14ac:dyDescent="0.15">
      <c r="A117" s="7">
        <f t="shared" ca="1" si="3"/>
        <v>116</v>
      </c>
      <c r="B117" s="6" t="str">
        <f ca="1">VLOOKUP(A117,[2]characters!$A:$C,3,FALSE)</f>
        <v>雷のマッドハッター</v>
      </c>
      <c r="C117" s="9">
        <f ca="1">VLOOKUP(A117,[2]characters!$A:$I,9,FALSE)</f>
        <v>5</v>
      </c>
      <c r="D117" s="9" t="str">
        <f ca="1">VLOOKUP(A117,[2]characters!$A:$H,8,FALSE)</f>
        <v>yellow</v>
      </c>
      <c r="E117" s="24">
        <f ca="1">VLOOKUP(D117,[2]属性!$A:$E,2,FALSE)</f>
        <v>0.98</v>
      </c>
      <c r="F117" s="24">
        <f ca="1">VLOOKUP(D117,[2]属性!$A:$E,3,FALSE)</f>
        <v>1.01</v>
      </c>
      <c r="G117" s="24">
        <f ca="1">VLOOKUP(D117,[2]属性!$A:$F,4,FALSE)</f>
        <v>1</v>
      </c>
      <c r="H117" s="9" t="str">
        <f ca="1">VLOOKUP(A117,[2]characters!$A:$K,11,FALSE)</f>
        <v>evolution</v>
      </c>
      <c r="I117" s="14" t="str">
        <f ca="1">VLOOKUP(H117,[2]character_type_i18n!$A:$F,3,FALSE)</f>
        <v>覚醒素材タイプ</v>
      </c>
      <c r="J117" s="36">
        <f ca="1">VLOOKUP(H117,[2]character_type_i18n!$A:$F,4,FALSE)</f>
        <v>0.1</v>
      </c>
      <c r="K117" s="36">
        <f ca="1">VLOOKUP(H117,[2]character_type_i18n!$A:$F,5,FALSE)</f>
        <v>0.05</v>
      </c>
      <c r="L117" s="36">
        <f ca="1">VLOOKUP(H117,[2]character_type_i18n!$A:$F,6,FALSE)</f>
        <v>1</v>
      </c>
      <c r="M117" s="9" t="str">
        <f ca="1">VLOOKUP(A117,[2]characters!$A:$M,13,FALSE)</f>
        <v>unknown</v>
      </c>
      <c r="N117" s="14" t="str">
        <f ca="1">VLOOKUP(M117,[2]character_tribe_i18n!$A:$F,3,FALSE)</f>
        <v>Unknown</v>
      </c>
      <c r="O117" s="24">
        <f ca="1">VLOOKUP(M117,[2]character_tribe_i18n!$A:$F,4,FALSE)</f>
        <v>1</v>
      </c>
      <c r="P117" s="24">
        <f ca="1">VLOOKUP(M117,[2]character_tribe_i18n!$A:$F,5,FALSE)</f>
        <v>1</v>
      </c>
      <c r="Q117" s="24">
        <f ca="1">VLOOKUP(M117,[2]character_tribe_i18n!$A:$F,6,FALSE)</f>
        <v>1</v>
      </c>
      <c r="R117" s="25" t="s">
        <v>31</v>
      </c>
      <c r="S117" s="24">
        <f>VLOOKUP($R117,ラベル別係数!$A$1:$E$7,3,FALSE)</f>
        <v>1</v>
      </c>
      <c r="T117" s="24">
        <f>VLOOKUP($R117,ラベル別係数!$A$1:$E$7,4,FALSE)</f>
        <v>1</v>
      </c>
      <c r="U117" s="24">
        <f>VLOOKUP($R117,ラベル別係数!$A$1:$E$7,5,FALSE)</f>
        <v>1</v>
      </c>
      <c r="V117" s="27">
        <v>2</v>
      </c>
      <c r="W117" s="28">
        <f>VLOOKUP(V117,ターン数別攻撃係数!$A$1:$B$1000,2,FALSE)</f>
        <v>0.75</v>
      </c>
      <c r="X117" s="10">
        <v>20</v>
      </c>
      <c r="Y117" s="26">
        <f>VLOOKUP($X117,サイズ別係数!$B:$E,2,FALSE)</f>
        <v>1.1000000000000001</v>
      </c>
      <c r="Z117" s="26">
        <f>VLOOKUP($X117,サイズ別係数!$B:$E,3,FALSE)</f>
        <v>1.2</v>
      </c>
      <c r="AA117" s="26">
        <f>VLOOKUP($X117,サイズ別係数!$B:$E,4,FALSE)</f>
        <v>1.2</v>
      </c>
      <c r="AB117" s="35">
        <v>0</v>
      </c>
      <c r="AC117" s="34" t="str">
        <f ca="1">VLOOKUP($AB117,OFFSET([3]enemy_skill_sets!$B$2,0,0,COUNTA([3]enemy_skill_sets!$A:$A),MATCH(AC$1,[3]enemy_skill_sets!$1:$1,0)-MATCH($AB$1,[3]enemy_skill_sets!$1:$1,0)+1),MATCH(AC$1,[3]enemy_skill_sets!$1:$1,0)-MATCH($AB$1,[3]enemy_skill_sets!$1:$1,0)+1,FALSE)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" s="37">
        <v>50</v>
      </c>
      <c r="AE117" s="37">
        <v>50</v>
      </c>
      <c r="AF117" s="37">
        <v>0</v>
      </c>
      <c r="AG117" s="28">
        <f ca="1">ROUND(VLOOKUP(1,enemy_base_stats!$A:$F,2,FALSE) * Y117* J117*O117*E117*S117*AD117*[2]ステータス!$B$2,0)</f>
        <v>2695</v>
      </c>
      <c r="AH117" s="28">
        <f ca="1">ROUND(VLOOKUP(1,enemy_base_stats!$A:$F,3,FALSE) * Z117*K117*P117*F117*T117*AE117 * W117*[2]ステータス!$C$2,0)</f>
        <v>341</v>
      </c>
      <c r="AI117" s="28">
        <f ca="1">ROUND(VLOOKUP(1,enemy_base_stats!$A:$F,4,FALSE) * AA117*L117*Q117*G117*U117*AF117*[2]ステータス!$D$2,0)</f>
        <v>0</v>
      </c>
      <c r="AJ117" s="28">
        <f ca="1">ROUND(VLOOKUP(100,enemy_base_stats!$A:$F,2,FALSE) * Y117* J117*O117*E117*S117*AD117*[2]ステータス!$B$2,0)</f>
        <v>109417</v>
      </c>
      <c r="AK117" s="28">
        <f ca="1">ROUND(VLOOKUP(100,enemy_base_stats!$A:$F,3,FALSE)* Z117* K117*P117*F117*T117*AE117 * W117*[2]ステータス!$C$2,0)</f>
        <v>13840</v>
      </c>
      <c r="AL117" s="28">
        <f ca="1">ROUND(VLOOKUP(100,enemy_base_stats!$A:$F,4,FALSE)* AA117* L117*Q117*G117*U117*AF117*[2]ステータス!$D$2,0)</f>
        <v>0</v>
      </c>
      <c r="AM117" s="24">
        <f ca="1">VLOOKUP(M117,[2]character_tribe_i18n!$A:$I,9,FALSE)</f>
        <v>340</v>
      </c>
      <c r="AN117" s="36">
        <v>0</v>
      </c>
      <c r="AO117" s="53">
        <v>0</v>
      </c>
      <c r="AP117" s="58" t="s">
        <v>72</v>
      </c>
      <c r="AQ117" s="71">
        <f t="shared" ca="1" si="2"/>
        <v>116</v>
      </c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</row>
    <row r="118" spans="1:60" s="3" customFormat="1" ht="21" customHeight="1" x14ac:dyDescent="0.15">
      <c r="A118" s="7">
        <f t="shared" ca="1" si="3"/>
        <v>117</v>
      </c>
      <c r="B118" s="6" t="str">
        <f ca="1">VLOOKUP(A118,[2]characters!$A:$C,3,FALSE)</f>
        <v>ゴールドピヨピヨ</v>
      </c>
      <c r="C118" s="9">
        <f ca="1">VLOOKUP(A118,[2]characters!$A:$I,9,FALSE)</f>
        <v>3</v>
      </c>
      <c r="D118" s="9" t="str">
        <f ca="1">VLOOKUP(A118,[2]characters!$A:$H,8,FALSE)</f>
        <v>yellow</v>
      </c>
      <c r="E118" s="24">
        <f ca="1">VLOOKUP(D118,[2]属性!$A:$E,2,FALSE)</f>
        <v>0.98</v>
      </c>
      <c r="F118" s="24">
        <f ca="1">VLOOKUP(D118,[2]属性!$A:$E,3,FALSE)</f>
        <v>1.01</v>
      </c>
      <c r="G118" s="24">
        <f ca="1">VLOOKUP(D118,[2]属性!$A:$F,4,FALSE)</f>
        <v>1</v>
      </c>
      <c r="H118" s="9" t="str">
        <f ca="1">VLOOKUP(A118,[2]characters!$A:$K,11,FALSE)</f>
        <v>coin</v>
      </c>
      <c r="I118" s="14" t="str">
        <f ca="1">VLOOKUP(H118,[2]character_type_i18n!$A:$F,3,FALSE)</f>
        <v>コインタイプ</v>
      </c>
      <c r="J118" s="36">
        <f ca="1">VLOOKUP(H118,[2]character_type_i18n!$A:$F,4,FALSE)</f>
        <v>0.1</v>
      </c>
      <c r="K118" s="36">
        <f ca="1">VLOOKUP(H118,[2]character_type_i18n!$A:$F,5,FALSE)</f>
        <v>0.05</v>
      </c>
      <c r="L118" s="36">
        <f ca="1">VLOOKUP(H118,[2]character_type_i18n!$A:$F,6,FALSE)</f>
        <v>1</v>
      </c>
      <c r="M118" s="9" t="str">
        <f ca="1">VLOOKUP(A118,[2]characters!$A:$M,13,FALSE)</f>
        <v>unknown</v>
      </c>
      <c r="N118" s="14" t="str">
        <f ca="1">VLOOKUP(M118,[2]character_tribe_i18n!$A:$F,3,FALSE)</f>
        <v>Unknown</v>
      </c>
      <c r="O118" s="24">
        <f ca="1">VLOOKUP(M118,[2]character_tribe_i18n!$A:$F,4,FALSE)</f>
        <v>1</v>
      </c>
      <c r="P118" s="24">
        <f ca="1">VLOOKUP(M118,[2]character_tribe_i18n!$A:$F,5,FALSE)</f>
        <v>1</v>
      </c>
      <c r="Q118" s="24">
        <f ca="1">VLOOKUP(M118,[2]character_tribe_i18n!$A:$F,6,FALSE)</f>
        <v>1</v>
      </c>
      <c r="R118" s="25" t="s">
        <v>31</v>
      </c>
      <c r="S118" s="24">
        <f>VLOOKUP($R118,ラベル別係数!$A$1:$E$7,3,FALSE)</f>
        <v>1</v>
      </c>
      <c r="T118" s="24">
        <f>VLOOKUP($R118,ラベル別係数!$A$1:$E$7,4,FALSE)</f>
        <v>1</v>
      </c>
      <c r="U118" s="24">
        <f>VLOOKUP($R118,ラベル別係数!$A$1:$E$7,5,FALSE)</f>
        <v>1</v>
      </c>
      <c r="V118" s="27">
        <v>1</v>
      </c>
      <c r="W118" s="28">
        <f>VLOOKUP(V118,ターン数別攻撃係数!$A$1:$B$1000,2,FALSE)</f>
        <v>0.55000000000000004</v>
      </c>
      <c r="X118" s="10">
        <v>15</v>
      </c>
      <c r="Y118" s="26">
        <f>VLOOKUP($X118,サイズ別係数!$B:$E,2,FALSE)</f>
        <v>1</v>
      </c>
      <c r="Z118" s="26">
        <f>VLOOKUP($X118,サイズ別係数!$B:$E,3,FALSE)</f>
        <v>1</v>
      </c>
      <c r="AA118" s="26">
        <f>VLOOKUP($X118,サイズ別係数!$B:$E,4,FALSE)</f>
        <v>1</v>
      </c>
      <c r="AB118" s="35">
        <v>0</v>
      </c>
      <c r="AC118" s="34" t="str">
        <f ca="1">VLOOKUP($AB118,OFFSET([3]enemy_skill_sets!$B$2,0,0,COUNTA([3]enemy_skill_sets!$A:$A),MATCH(AC$1,[3]enemy_skill_sets!$1:$1,0)-MATCH($AB$1,[3]enemy_skill_sets!$1:$1,0)+1),MATCH(AC$1,[3]enemy_skill_sets!$1:$1,0)-MATCH($AB$1,[3]enemy_skill_sets!$1:$1,0)+1,FALSE)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" s="27">
        <v>1</v>
      </c>
      <c r="AE118" s="37">
        <v>1</v>
      </c>
      <c r="AF118" s="37">
        <v>0</v>
      </c>
      <c r="AG118" s="28">
        <f ca="1">ROUND(VLOOKUP(1,enemy_base_stats!$A:$F,2,FALSE) * Y118* J118*O118*E118*S118*AD118*[2]ステータス!$B$2,0)</f>
        <v>49</v>
      </c>
      <c r="AH118" s="28">
        <f ca="1">ROUND(VLOOKUP(1,enemy_base_stats!$A:$F,3,FALSE) * Z118*K118*P118*F118*T118*AE118 * W118*[2]ステータス!$C$2,0)</f>
        <v>4</v>
      </c>
      <c r="AI118" s="28">
        <f ca="1">ROUND(VLOOKUP(1,enemy_base_stats!$A:$F,4,FALSE) * AA118*L118*Q118*G118*U118*AF118*[2]ステータス!$D$2,0)</f>
        <v>0</v>
      </c>
      <c r="AJ118" s="28">
        <f ca="1">ROUND(VLOOKUP(100,enemy_base_stats!$A:$F,2,FALSE) * Y118* J118*O118*E118*S118*AD118*[2]ステータス!$B$2,0)</f>
        <v>1989</v>
      </c>
      <c r="AK118" s="28">
        <f ca="1">ROUND(VLOOKUP(100,enemy_base_stats!$A:$F,3,FALSE)* Z118* K118*P118*F118*T118*AE118 * W118*[2]ステータス!$C$2,0)</f>
        <v>169</v>
      </c>
      <c r="AL118" s="28">
        <f ca="1">ROUND(VLOOKUP(100,enemy_base_stats!$A:$F,4,FALSE)* AA118* L118*Q118*G118*U118*AF118*[2]ステータス!$D$2,0)</f>
        <v>0</v>
      </c>
      <c r="AM118" s="64">
        <v>600</v>
      </c>
      <c r="AN118" s="36">
        <v>0</v>
      </c>
      <c r="AO118" s="53">
        <v>0</v>
      </c>
      <c r="AP118" s="58" t="s">
        <v>72</v>
      </c>
      <c r="AQ118" s="71">
        <f t="shared" ca="1" si="2"/>
        <v>117</v>
      </c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</row>
    <row r="119" spans="1:60" s="3" customFormat="1" ht="21" customHeight="1" x14ac:dyDescent="0.15">
      <c r="A119" s="7">
        <f t="shared" ca="1" si="3"/>
        <v>118</v>
      </c>
      <c r="B119" s="6" t="str">
        <f ca="1">VLOOKUP(A119,[2]characters!$A:$C,3,FALSE)</f>
        <v>ゴールドチック</v>
      </c>
      <c r="C119" s="9">
        <f ca="1">VLOOKUP(A119,[2]characters!$A:$I,9,FALSE)</f>
        <v>4</v>
      </c>
      <c r="D119" s="9" t="str">
        <f ca="1">VLOOKUP(A119,[2]characters!$A:$H,8,FALSE)</f>
        <v>yellow</v>
      </c>
      <c r="E119" s="24">
        <f ca="1">VLOOKUP(D119,[2]属性!$A:$E,2,FALSE)</f>
        <v>0.98</v>
      </c>
      <c r="F119" s="24">
        <f ca="1">VLOOKUP(D119,[2]属性!$A:$E,3,FALSE)</f>
        <v>1.01</v>
      </c>
      <c r="G119" s="24">
        <f ca="1">VLOOKUP(D119,[2]属性!$A:$F,4,FALSE)</f>
        <v>1</v>
      </c>
      <c r="H119" s="9" t="str">
        <f ca="1">VLOOKUP(A119,[2]characters!$A:$K,11,FALSE)</f>
        <v>coin</v>
      </c>
      <c r="I119" s="14" t="str">
        <f ca="1">VLOOKUP(H119,[2]character_type_i18n!$A:$F,3,FALSE)</f>
        <v>コインタイプ</v>
      </c>
      <c r="J119" s="36">
        <f ca="1">VLOOKUP(H119,[2]character_type_i18n!$A:$F,4,FALSE)</f>
        <v>0.1</v>
      </c>
      <c r="K119" s="36">
        <f ca="1">VLOOKUP(H119,[2]character_type_i18n!$A:$F,5,FALSE)</f>
        <v>0.05</v>
      </c>
      <c r="L119" s="36">
        <f ca="1">VLOOKUP(H119,[2]character_type_i18n!$A:$F,6,FALSE)</f>
        <v>1</v>
      </c>
      <c r="M119" s="9" t="str">
        <f ca="1">VLOOKUP(A119,[2]characters!$A:$M,13,FALSE)</f>
        <v>unknown</v>
      </c>
      <c r="N119" s="14" t="str">
        <f ca="1">VLOOKUP(M119,[2]character_tribe_i18n!$A:$F,3,FALSE)</f>
        <v>Unknown</v>
      </c>
      <c r="O119" s="24">
        <f ca="1">VLOOKUP(M119,[2]character_tribe_i18n!$A:$F,4,FALSE)</f>
        <v>1</v>
      </c>
      <c r="P119" s="24">
        <f ca="1">VLOOKUP(M119,[2]character_tribe_i18n!$A:$F,5,FALSE)</f>
        <v>1</v>
      </c>
      <c r="Q119" s="24">
        <f ca="1">VLOOKUP(M119,[2]character_tribe_i18n!$A:$F,6,FALSE)</f>
        <v>1</v>
      </c>
      <c r="R119" s="25" t="s">
        <v>31</v>
      </c>
      <c r="S119" s="24">
        <f>VLOOKUP($R119,ラベル別係数!$A$1:$E$7,3,FALSE)</f>
        <v>1</v>
      </c>
      <c r="T119" s="24">
        <f>VLOOKUP($R119,ラベル別係数!$A$1:$E$7,4,FALSE)</f>
        <v>1</v>
      </c>
      <c r="U119" s="24">
        <f>VLOOKUP($R119,ラベル別係数!$A$1:$E$7,5,FALSE)</f>
        <v>1</v>
      </c>
      <c r="V119" s="27">
        <v>2</v>
      </c>
      <c r="W119" s="28">
        <f>VLOOKUP(V119,ターン数別攻撃係数!$A$1:$B$1000,2,FALSE)</f>
        <v>0.75</v>
      </c>
      <c r="X119" s="10">
        <v>15</v>
      </c>
      <c r="Y119" s="26">
        <f>VLOOKUP($X119,サイズ別係数!$B:$E,2,FALSE)</f>
        <v>1</v>
      </c>
      <c r="Z119" s="26">
        <f>VLOOKUP($X119,サイズ別係数!$B:$E,3,FALSE)</f>
        <v>1</v>
      </c>
      <c r="AA119" s="26">
        <f>VLOOKUP($X119,サイズ別係数!$B:$E,4,FALSE)</f>
        <v>1</v>
      </c>
      <c r="AB119" s="35">
        <v>0</v>
      </c>
      <c r="AC119" s="34" t="str">
        <f ca="1">VLOOKUP($AB119,OFFSET([3]enemy_skill_sets!$B$2,0,0,COUNTA([3]enemy_skill_sets!$A:$A),MATCH(AC$1,[3]enemy_skill_sets!$1:$1,0)-MATCH($AB$1,[3]enemy_skill_sets!$1:$1,0)+1),MATCH(AC$1,[3]enemy_skill_sets!$1:$1,0)-MATCH($AB$1,[3]enemy_skill_sets!$1:$1,0)+1,FALSE)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" s="27">
        <v>1</v>
      </c>
      <c r="AE119" s="37">
        <v>1</v>
      </c>
      <c r="AF119" s="37">
        <v>0</v>
      </c>
      <c r="AG119" s="28">
        <f ca="1">ROUND(VLOOKUP(1,enemy_base_stats!$A:$F,2,FALSE) * Y119* J119*O119*E119*S119*AD119*[2]ステータス!$B$2,0)</f>
        <v>49</v>
      </c>
      <c r="AH119" s="28">
        <f ca="1">ROUND(VLOOKUP(1,enemy_base_stats!$A:$F,3,FALSE) * Z119*K119*P119*F119*T119*AE119 * W119*[2]ステータス!$C$2,0)</f>
        <v>6</v>
      </c>
      <c r="AI119" s="28">
        <f ca="1">ROUND(VLOOKUP(1,enemy_base_stats!$A:$F,4,FALSE) * AA119*L119*Q119*G119*U119*AF119*[2]ステータス!$D$2,0)</f>
        <v>0</v>
      </c>
      <c r="AJ119" s="28">
        <f ca="1">ROUND(VLOOKUP(100,enemy_base_stats!$A:$F,2,FALSE) * Y119* J119*O119*E119*S119*AD119*[2]ステータス!$B$2,0)</f>
        <v>1989</v>
      </c>
      <c r="AK119" s="28">
        <f ca="1">ROUND(VLOOKUP(100,enemy_base_stats!$A:$F,3,FALSE)* Z119* K119*P119*F119*T119*AE119 * W119*[2]ステータス!$C$2,0)</f>
        <v>231</v>
      </c>
      <c r="AL119" s="28">
        <f ca="1">ROUND(VLOOKUP(100,enemy_base_stats!$A:$F,4,FALSE)* AA119* L119*Q119*G119*U119*AF119*[2]ステータス!$D$2,0)</f>
        <v>0</v>
      </c>
      <c r="AM119" s="64">
        <v>3000</v>
      </c>
      <c r="AN119" s="36">
        <v>0</v>
      </c>
      <c r="AO119" s="53">
        <v>0</v>
      </c>
      <c r="AP119" s="58" t="s">
        <v>72</v>
      </c>
      <c r="AQ119" s="71">
        <f t="shared" ca="1" si="2"/>
        <v>118</v>
      </c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</row>
    <row r="120" spans="1:60" s="3" customFormat="1" ht="21" customHeight="1" x14ac:dyDescent="0.15">
      <c r="A120" s="7">
        <f t="shared" ca="1" si="3"/>
        <v>119</v>
      </c>
      <c r="B120" s="6" t="str">
        <f ca="1">VLOOKUP(A120,[2]characters!$A:$C,3,FALSE)</f>
        <v>ゴールドダック</v>
      </c>
      <c r="C120" s="9">
        <f ca="1">VLOOKUP(A120,[2]characters!$A:$I,9,FALSE)</f>
        <v>5</v>
      </c>
      <c r="D120" s="9" t="str">
        <f ca="1">VLOOKUP(A120,[2]characters!$A:$H,8,FALSE)</f>
        <v>yellow</v>
      </c>
      <c r="E120" s="24">
        <f ca="1">VLOOKUP(D120,[2]属性!$A:$E,2,FALSE)</f>
        <v>0.98</v>
      </c>
      <c r="F120" s="24">
        <f ca="1">VLOOKUP(D120,[2]属性!$A:$E,3,FALSE)</f>
        <v>1.01</v>
      </c>
      <c r="G120" s="24">
        <f ca="1">VLOOKUP(D120,[2]属性!$A:$F,4,FALSE)</f>
        <v>1</v>
      </c>
      <c r="H120" s="9" t="str">
        <f ca="1">VLOOKUP(A120,[2]characters!$A:$K,11,FALSE)</f>
        <v>coin</v>
      </c>
      <c r="I120" s="14" t="str">
        <f ca="1">VLOOKUP(H120,[2]character_type_i18n!$A:$F,3,FALSE)</f>
        <v>コインタイプ</v>
      </c>
      <c r="J120" s="36">
        <f ca="1">VLOOKUP(H120,[2]character_type_i18n!$A:$F,4,FALSE)</f>
        <v>0.1</v>
      </c>
      <c r="K120" s="36">
        <f ca="1">VLOOKUP(H120,[2]character_type_i18n!$A:$F,5,FALSE)</f>
        <v>0.05</v>
      </c>
      <c r="L120" s="36">
        <f ca="1">VLOOKUP(H120,[2]character_type_i18n!$A:$F,6,FALSE)</f>
        <v>1</v>
      </c>
      <c r="M120" s="9" t="str">
        <f ca="1">VLOOKUP(A120,[2]characters!$A:$M,13,FALSE)</f>
        <v>unknown</v>
      </c>
      <c r="N120" s="14" t="str">
        <f ca="1">VLOOKUP(M120,[2]character_tribe_i18n!$A:$F,3,FALSE)</f>
        <v>Unknown</v>
      </c>
      <c r="O120" s="24">
        <f ca="1">VLOOKUP(M120,[2]character_tribe_i18n!$A:$F,4,FALSE)</f>
        <v>1</v>
      </c>
      <c r="P120" s="24">
        <f ca="1">VLOOKUP(M120,[2]character_tribe_i18n!$A:$F,5,FALSE)</f>
        <v>1</v>
      </c>
      <c r="Q120" s="24">
        <f ca="1">VLOOKUP(M120,[2]character_tribe_i18n!$A:$F,6,FALSE)</f>
        <v>1</v>
      </c>
      <c r="R120" s="25" t="s">
        <v>31</v>
      </c>
      <c r="S120" s="24">
        <f>VLOOKUP($R120,ラベル別係数!$A$1:$E$7,3,FALSE)</f>
        <v>1</v>
      </c>
      <c r="T120" s="24">
        <f>VLOOKUP($R120,ラベル別係数!$A$1:$E$7,4,FALSE)</f>
        <v>1</v>
      </c>
      <c r="U120" s="24">
        <f>VLOOKUP($R120,ラベル別係数!$A$1:$E$7,5,FALSE)</f>
        <v>1</v>
      </c>
      <c r="V120" s="27">
        <v>3</v>
      </c>
      <c r="W120" s="28">
        <f>VLOOKUP(V120,ターン数別攻撃係数!$A$1:$B$1000,2,FALSE)</f>
        <v>1</v>
      </c>
      <c r="X120" s="10">
        <v>20</v>
      </c>
      <c r="Y120" s="26">
        <f>VLOOKUP($X120,サイズ別係数!$B:$E,2,FALSE)</f>
        <v>1.1000000000000001</v>
      </c>
      <c r="Z120" s="26">
        <f>VLOOKUP($X120,サイズ別係数!$B:$E,3,FALSE)</f>
        <v>1.2</v>
      </c>
      <c r="AA120" s="26">
        <f>VLOOKUP($X120,サイズ別係数!$B:$E,4,FALSE)</f>
        <v>1.2</v>
      </c>
      <c r="AB120" s="35">
        <v>0</v>
      </c>
      <c r="AC120" s="34" t="str">
        <f ca="1">VLOOKUP($AB120,OFFSET([3]enemy_skill_sets!$B$2,0,0,COUNTA([3]enemy_skill_sets!$A:$A),MATCH(AC$1,[3]enemy_skill_sets!$1:$1,0)-MATCH($AB$1,[3]enemy_skill_sets!$1:$1,0)+1),MATCH(AC$1,[3]enemy_skill_sets!$1:$1,0)-MATCH($AB$1,[3]enemy_skill_sets!$1:$1,0)+1,FALSE)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" s="27">
        <v>1</v>
      </c>
      <c r="AE120" s="37">
        <v>1</v>
      </c>
      <c r="AF120" s="37">
        <v>0</v>
      </c>
      <c r="AG120" s="28">
        <f ca="1">ROUND(VLOOKUP(1,enemy_base_stats!$A:$F,2,FALSE) * Y120* J120*O120*E120*S120*AD120*[2]ステータス!$B$2,0)</f>
        <v>54</v>
      </c>
      <c r="AH120" s="28">
        <f ca="1">ROUND(VLOOKUP(1,enemy_base_stats!$A:$F,3,FALSE) * Z120*K120*P120*F120*T120*AE120 * W120*[2]ステータス!$C$2,0)</f>
        <v>9</v>
      </c>
      <c r="AI120" s="28">
        <f ca="1">ROUND(VLOOKUP(1,enemy_base_stats!$A:$F,4,FALSE) * AA120*L120*Q120*G120*U120*AF120*[2]ステータス!$D$2,0)</f>
        <v>0</v>
      </c>
      <c r="AJ120" s="28">
        <f ca="1">ROUND(VLOOKUP(100,enemy_base_stats!$A:$F,2,FALSE) * Y120* J120*O120*E120*S120*AD120*[2]ステータス!$B$2,0)</f>
        <v>2188</v>
      </c>
      <c r="AK120" s="28">
        <f ca="1">ROUND(VLOOKUP(100,enemy_base_stats!$A:$F,3,FALSE)* Z120* K120*P120*F120*T120*AE120 * W120*[2]ステータス!$C$2,0)</f>
        <v>369</v>
      </c>
      <c r="AL120" s="28">
        <f ca="1">ROUND(VLOOKUP(100,enemy_base_stats!$A:$F,4,FALSE)* AA120* L120*Q120*G120*U120*AF120*[2]ステータス!$D$2,0)</f>
        <v>0</v>
      </c>
      <c r="AM120" s="64">
        <v>9000</v>
      </c>
      <c r="AN120" s="36">
        <v>0</v>
      </c>
      <c r="AO120" s="53">
        <v>0</v>
      </c>
      <c r="AP120" s="58" t="s">
        <v>72</v>
      </c>
      <c r="AQ120" s="71">
        <f t="shared" ca="1" si="2"/>
        <v>119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</row>
    <row r="121" spans="1:60" s="3" customFormat="1" ht="21" customHeight="1" x14ac:dyDescent="0.15">
      <c r="A121" s="7">
        <f t="shared" ca="1" si="3"/>
        <v>120</v>
      </c>
      <c r="B121" s="6" t="str">
        <f ca="1">VLOOKUP(A121,[2]characters!$A:$C,3,FALSE)</f>
        <v>ゴールドキング</v>
      </c>
      <c r="C121" s="9">
        <f ca="1">VLOOKUP(A121,[2]characters!$A:$I,9,FALSE)</f>
        <v>6</v>
      </c>
      <c r="D121" s="9" t="str">
        <f ca="1">VLOOKUP(A121,[2]characters!$A:$H,8,FALSE)</f>
        <v>yellow</v>
      </c>
      <c r="E121" s="24">
        <f ca="1">VLOOKUP(D121,[2]属性!$A:$E,2,FALSE)</f>
        <v>0.98</v>
      </c>
      <c r="F121" s="24">
        <f ca="1">VLOOKUP(D121,[2]属性!$A:$E,3,FALSE)</f>
        <v>1.01</v>
      </c>
      <c r="G121" s="24">
        <f ca="1">VLOOKUP(D121,[2]属性!$A:$F,4,FALSE)</f>
        <v>1</v>
      </c>
      <c r="H121" s="9" t="str">
        <f ca="1">VLOOKUP(A121,[2]characters!$A:$K,11,FALSE)</f>
        <v>coin</v>
      </c>
      <c r="I121" s="14" t="str">
        <f ca="1">VLOOKUP(H121,[2]character_type_i18n!$A:$F,3,FALSE)</f>
        <v>コインタイプ</v>
      </c>
      <c r="J121" s="36">
        <f ca="1">VLOOKUP(H121,[2]character_type_i18n!$A:$F,4,FALSE)</f>
        <v>0.1</v>
      </c>
      <c r="K121" s="36">
        <f ca="1">VLOOKUP(H121,[2]character_type_i18n!$A:$F,5,FALSE)</f>
        <v>0.05</v>
      </c>
      <c r="L121" s="36">
        <f ca="1">VLOOKUP(H121,[2]character_type_i18n!$A:$F,6,FALSE)</f>
        <v>1</v>
      </c>
      <c r="M121" s="9" t="str">
        <f ca="1">VLOOKUP(A121,[2]characters!$A:$M,13,FALSE)</f>
        <v>unknown</v>
      </c>
      <c r="N121" s="14" t="str">
        <f ca="1">VLOOKUP(M121,[2]character_tribe_i18n!$A:$F,3,FALSE)</f>
        <v>Unknown</v>
      </c>
      <c r="O121" s="24">
        <f ca="1">VLOOKUP(M121,[2]character_tribe_i18n!$A:$F,4,FALSE)</f>
        <v>1</v>
      </c>
      <c r="P121" s="24">
        <f ca="1">VLOOKUP(M121,[2]character_tribe_i18n!$A:$F,5,FALSE)</f>
        <v>1</v>
      </c>
      <c r="Q121" s="24">
        <f ca="1">VLOOKUP(M121,[2]character_tribe_i18n!$A:$F,6,FALSE)</f>
        <v>1</v>
      </c>
      <c r="R121" s="25" t="s">
        <v>31</v>
      </c>
      <c r="S121" s="24">
        <f>VLOOKUP($R121,ラベル別係数!$A$1:$E$7,3,FALSE)</f>
        <v>1</v>
      </c>
      <c r="T121" s="24">
        <f>VLOOKUP($R121,ラベル別係数!$A$1:$E$7,4,FALSE)</f>
        <v>1</v>
      </c>
      <c r="U121" s="24">
        <f>VLOOKUP($R121,ラベル別係数!$A$1:$E$7,5,FALSE)</f>
        <v>1</v>
      </c>
      <c r="V121" s="27">
        <v>4</v>
      </c>
      <c r="W121" s="28">
        <f>VLOOKUP(V121,ターン数別攻撃係数!$A$1:$B$1000,2,FALSE)</f>
        <v>1.2</v>
      </c>
      <c r="X121" s="10">
        <v>20</v>
      </c>
      <c r="Y121" s="26">
        <f>VLOOKUP($X121,サイズ別係数!$B:$E,2,FALSE)</f>
        <v>1.1000000000000001</v>
      </c>
      <c r="Z121" s="26">
        <f>VLOOKUP($X121,サイズ別係数!$B:$E,3,FALSE)</f>
        <v>1.2</v>
      </c>
      <c r="AA121" s="26">
        <f>VLOOKUP($X121,サイズ別係数!$B:$E,4,FALSE)</f>
        <v>1.2</v>
      </c>
      <c r="AB121" s="35">
        <v>0</v>
      </c>
      <c r="AC121" s="34" t="str">
        <f ca="1">VLOOKUP($AB121,OFFSET([3]enemy_skill_sets!$B$2,0,0,COUNTA([3]enemy_skill_sets!$A:$A),MATCH(AC$1,[3]enemy_skill_sets!$1:$1,0)-MATCH($AB$1,[3]enemy_skill_sets!$1:$1,0)+1),MATCH(AC$1,[3]enemy_skill_sets!$1:$1,0)-MATCH($AB$1,[3]enemy_skill_sets!$1:$1,0)+1,FALSE)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" s="27">
        <v>1</v>
      </c>
      <c r="AE121" s="37">
        <v>1</v>
      </c>
      <c r="AF121" s="37">
        <v>0</v>
      </c>
      <c r="AG121" s="28">
        <f ca="1">ROUND(VLOOKUP(1,enemy_base_stats!$A:$F,2,FALSE) * Y121* J121*O121*E121*S121*AD121*[2]ステータス!$B$2,0)</f>
        <v>54</v>
      </c>
      <c r="AH121" s="28">
        <f ca="1">ROUND(VLOOKUP(1,enemy_base_stats!$A:$F,3,FALSE) * Z121*K121*P121*F121*T121*AE121 * W121*[2]ステータス!$C$2,0)</f>
        <v>11</v>
      </c>
      <c r="AI121" s="28">
        <f ca="1">ROUND(VLOOKUP(1,enemy_base_stats!$A:$F,4,FALSE) * AA121*L121*Q121*G121*U121*AF121*[2]ステータス!$D$2,0)</f>
        <v>0</v>
      </c>
      <c r="AJ121" s="28">
        <f ca="1">ROUND(VLOOKUP(100,enemy_base_stats!$A:$F,2,FALSE) * Y121* J121*O121*E121*S121*AD121*[2]ステータス!$B$2,0)</f>
        <v>2188</v>
      </c>
      <c r="AK121" s="28">
        <f ca="1">ROUND(VLOOKUP(100,enemy_base_stats!$A:$F,3,FALSE)* Z121* K121*P121*F121*T121*AE121 * W121*[2]ステータス!$C$2,0)</f>
        <v>443</v>
      </c>
      <c r="AL121" s="28">
        <f ca="1">ROUND(VLOOKUP(100,enemy_base_stats!$A:$F,4,FALSE)* AA121* L121*Q121*G121*U121*AF121*[2]ステータス!$D$2,0)</f>
        <v>0</v>
      </c>
      <c r="AM121" s="64">
        <v>24000</v>
      </c>
      <c r="AN121" s="36">
        <v>0</v>
      </c>
      <c r="AO121" s="53">
        <v>0</v>
      </c>
      <c r="AP121" s="58" t="s">
        <v>72</v>
      </c>
      <c r="AQ121" s="71">
        <f t="shared" ca="1" si="2"/>
        <v>120</v>
      </c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</row>
    <row r="122" spans="1:60" s="3" customFormat="1" ht="21" customHeight="1" x14ac:dyDescent="0.15">
      <c r="A122" s="7">
        <f t="shared" ca="1" si="3"/>
        <v>121</v>
      </c>
      <c r="B122" s="6" t="str">
        <f ca="1">VLOOKUP(A122,[2]characters!$A:$C,3,FALSE)</f>
        <v>攻めの果実</v>
      </c>
      <c r="C122" s="9">
        <f ca="1">VLOOKUP(A122,[2]characters!$A:$I,9,FALSE)</f>
        <v>3</v>
      </c>
      <c r="D122" s="9" t="str">
        <f ca="1">VLOOKUP(A122,[2]characters!$A:$H,8,FALSE)</f>
        <v>red</v>
      </c>
      <c r="E122" s="24">
        <f ca="1">VLOOKUP(D122,[2]属性!$A:$E,2,FALSE)</f>
        <v>1</v>
      </c>
      <c r="F122" s="24">
        <f ca="1">VLOOKUP(D122,[2]属性!$A:$E,3,FALSE)</f>
        <v>1.02</v>
      </c>
      <c r="G122" s="24">
        <f ca="1">VLOOKUP(D122,[2]属性!$A:$F,4,FALSE)</f>
        <v>1</v>
      </c>
      <c r="H122" s="100" t="s">
        <v>124</v>
      </c>
      <c r="I122" s="14" t="str">
        <f>VLOOKUP(H122,[2]character_type_i18n!$A:$F,3,FALSE)</f>
        <v>攻撃タイプ</v>
      </c>
      <c r="J122" s="36">
        <f>VLOOKUP(H122,[2]character_type_i18n!$A:$F,4,FALSE)</f>
        <v>1</v>
      </c>
      <c r="K122" s="36">
        <f>VLOOKUP(H122,[2]character_type_i18n!$A:$F,5,FALSE)</f>
        <v>1.33</v>
      </c>
      <c r="L122" s="36">
        <f>VLOOKUP(H122,[2]character_type_i18n!$A:$F,6,FALSE)</f>
        <v>1</v>
      </c>
      <c r="M122" s="9" t="str">
        <f ca="1">VLOOKUP(A122,[2]characters!$A:$M,13,FALSE)</f>
        <v>unknown</v>
      </c>
      <c r="N122" s="14" t="str">
        <f ca="1">VLOOKUP(M122,[2]character_tribe_i18n!$A:$F,3,FALSE)</f>
        <v>Unknown</v>
      </c>
      <c r="O122" s="24">
        <f ca="1">VLOOKUP(M122,[2]character_tribe_i18n!$A:$F,4,FALSE)</f>
        <v>1</v>
      </c>
      <c r="P122" s="24">
        <f ca="1">VLOOKUP(M122,[2]character_tribe_i18n!$A:$F,5,FALSE)</f>
        <v>1</v>
      </c>
      <c r="Q122" s="24">
        <f ca="1">VLOOKUP(M122,[2]character_tribe_i18n!$A:$F,6,FALSE)</f>
        <v>1</v>
      </c>
      <c r="R122" s="25" t="s">
        <v>31</v>
      </c>
      <c r="S122" s="24">
        <f>VLOOKUP($R122,ラベル別係数!$A$1:$E$7,3,FALSE)</f>
        <v>1</v>
      </c>
      <c r="T122" s="24">
        <f>VLOOKUP($R122,ラベル別係数!$A$1:$E$7,4,FALSE)</f>
        <v>1</v>
      </c>
      <c r="U122" s="24">
        <f>VLOOKUP($R122,ラベル別係数!$A$1:$E$7,5,FALSE)</f>
        <v>1</v>
      </c>
      <c r="V122" s="27">
        <v>1</v>
      </c>
      <c r="W122" s="28">
        <f>VLOOKUP(V122,ターン数別攻撃係数!$A$1:$B$1000,2,FALSE)</f>
        <v>0.55000000000000004</v>
      </c>
      <c r="X122" s="10">
        <v>20</v>
      </c>
      <c r="Y122" s="26">
        <f>VLOOKUP($X122,サイズ別係数!$B:$E,2,FALSE)</f>
        <v>1.1000000000000001</v>
      </c>
      <c r="Z122" s="26">
        <f>VLOOKUP($X122,サイズ別係数!$B:$E,3,FALSE)</f>
        <v>1.2</v>
      </c>
      <c r="AA122" s="26">
        <f>VLOOKUP($X122,サイズ別係数!$B:$E,4,FALSE)</f>
        <v>1.2</v>
      </c>
      <c r="AB122" s="35">
        <v>0</v>
      </c>
      <c r="AC122" s="34" t="str">
        <f ca="1">VLOOKUP($AB122,OFFSET([3]enemy_skill_sets!$B$2,0,0,COUNTA([3]enemy_skill_sets!$A:$A),MATCH(AC$1,[3]enemy_skill_sets!$1:$1,0)-MATCH($AB$1,[3]enemy_skill_sets!$1:$1,0)+1),MATCH(AC$1,[3]enemy_skill_sets!$1:$1,0)-MATCH($AB$1,[3]enemy_skill_sets!$1:$1,0)+1,FALSE)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" s="27">
        <v>1</v>
      </c>
      <c r="AE122" s="37">
        <v>1</v>
      </c>
      <c r="AF122" s="37">
        <v>0</v>
      </c>
      <c r="AG122" s="28">
        <f ca="1">ROUND(VLOOKUP(1,enemy_base_stats!$A:$F,2,FALSE) * Y122* J122*O122*E122*S122*AD122*[2]ステータス!$B$2,0)</f>
        <v>550</v>
      </c>
      <c r="AH122" s="28">
        <f ca="1">ROUND(VLOOKUP(1,enemy_base_stats!$A:$F,3,FALSE) * Z122*K122*P122*F122*T122*AE122 * W122*[2]ステータス!$C$2,0)</f>
        <v>134</v>
      </c>
      <c r="AI122" s="28">
        <f ca="1">ROUND(VLOOKUP(1,enemy_base_stats!$A:$F,4,FALSE) * AA122*L122*Q122*G122*U122*AF122*[2]ステータス!$D$2,0)</f>
        <v>0</v>
      </c>
      <c r="AJ122" s="28">
        <f ca="1">ROUND(VLOOKUP(100,enemy_base_stats!$A:$F,2,FALSE) * Y122* J122*O122*E122*S122*AD122*[2]ステータス!$B$2,0)</f>
        <v>22330</v>
      </c>
      <c r="AK122" s="28">
        <f ca="1">ROUND(VLOOKUP(100,enemy_base_stats!$A:$F,3,FALSE)* Z122* K122*P122*F122*T122*AE122 * W122*[2]ステータス!$C$2,0)</f>
        <v>5453</v>
      </c>
      <c r="AL122" s="28">
        <f ca="1">ROUND(VLOOKUP(100,enemy_base_stats!$A:$F,4,FALSE)* AA122* L122*Q122*G122*U122*AF122*[2]ステータス!$D$2,0)</f>
        <v>0</v>
      </c>
      <c r="AM122" s="24">
        <f ca="1">VLOOKUP(M122,[2]character_tribe_i18n!$A:$I,9,FALSE)</f>
        <v>340</v>
      </c>
      <c r="AN122" s="36">
        <v>0</v>
      </c>
      <c r="AO122" s="53">
        <v>0</v>
      </c>
      <c r="AP122" s="58" t="s">
        <v>72</v>
      </c>
      <c r="AQ122" s="71">
        <f t="shared" ca="1" si="2"/>
        <v>121</v>
      </c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</row>
    <row r="123" spans="1:60" s="3" customFormat="1" ht="21" customHeight="1" x14ac:dyDescent="0.15">
      <c r="A123" s="7">
        <f t="shared" ca="1" si="3"/>
        <v>122</v>
      </c>
      <c r="B123" s="6" t="str">
        <f ca="1">VLOOKUP(A123,[2]characters!$A:$C,3,FALSE)</f>
        <v>生命の果実</v>
      </c>
      <c r="C123" s="9">
        <f ca="1">VLOOKUP(A123,[2]characters!$A:$I,9,FALSE)</f>
        <v>3</v>
      </c>
      <c r="D123" s="9" t="str">
        <f ca="1">VLOOKUP(A123,[2]characters!$A:$H,8,FALSE)</f>
        <v>green</v>
      </c>
      <c r="E123" s="24">
        <f ca="1">VLOOKUP(D123,[2]属性!$A:$E,2,FALSE)</f>
        <v>1.02</v>
      </c>
      <c r="F123" s="24">
        <f ca="1">VLOOKUP(D123,[2]属性!$A:$E,3,FALSE)</f>
        <v>0.98</v>
      </c>
      <c r="G123" s="24">
        <f ca="1">VLOOKUP(D123,[2]属性!$A:$F,4,FALSE)</f>
        <v>1</v>
      </c>
      <c r="H123" s="100" t="s">
        <v>125</v>
      </c>
      <c r="I123" s="14" t="str">
        <f>VLOOKUP(H123,[2]character_type_i18n!$A:$F,3,FALSE)</f>
        <v>体力タイプ</v>
      </c>
      <c r="J123" s="36">
        <f>VLOOKUP(H123,[2]character_type_i18n!$A:$F,4,FALSE)</f>
        <v>1.45</v>
      </c>
      <c r="K123" s="36">
        <f>VLOOKUP(H123,[2]character_type_i18n!$A:$F,5,FALSE)</f>
        <v>0.85</v>
      </c>
      <c r="L123" s="36">
        <f>VLOOKUP(H123,[2]character_type_i18n!$A:$F,6,FALSE)</f>
        <v>1</v>
      </c>
      <c r="M123" s="9" t="str">
        <f ca="1">VLOOKUP(A123,[2]characters!$A:$M,13,FALSE)</f>
        <v>unknown</v>
      </c>
      <c r="N123" s="14" t="str">
        <f ca="1">VLOOKUP(M123,[2]character_tribe_i18n!$A:$F,3,FALSE)</f>
        <v>Unknown</v>
      </c>
      <c r="O123" s="24">
        <f ca="1">VLOOKUP(M123,[2]character_tribe_i18n!$A:$F,4,FALSE)</f>
        <v>1</v>
      </c>
      <c r="P123" s="24">
        <f ca="1">VLOOKUP(M123,[2]character_tribe_i18n!$A:$F,5,FALSE)</f>
        <v>1</v>
      </c>
      <c r="Q123" s="24">
        <f ca="1">VLOOKUP(M123,[2]character_tribe_i18n!$A:$F,6,FALSE)</f>
        <v>1</v>
      </c>
      <c r="R123" s="25" t="s">
        <v>31</v>
      </c>
      <c r="S123" s="24">
        <f>VLOOKUP($R123,ラベル別係数!$A$1:$E$7,3,FALSE)</f>
        <v>1</v>
      </c>
      <c r="T123" s="24">
        <f>VLOOKUP($R123,ラベル別係数!$A$1:$E$7,4,FALSE)</f>
        <v>1</v>
      </c>
      <c r="U123" s="24">
        <f>VLOOKUP($R123,ラベル別係数!$A$1:$E$7,5,FALSE)</f>
        <v>1</v>
      </c>
      <c r="V123" s="27">
        <v>3</v>
      </c>
      <c r="W123" s="28">
        <f>VLOOKUP(V123,ターン数別攻撃係数!$A$1:$B$1000,2,FALSE)</f>
        <v>1</v>
      </c>
      <c r="X123" s="10">
        <v>20</v>
      </c>
      <c r="Y123" s="26">
        <f>VLOOKUP($X123,サイズ別係数!$B:$E,2,FALSE)</f>
        <v>1.1000000000000001</v>
      </c>
      <c r="Z123" s="26">
        <f>VLOOKUP($X123,サイズ別係数!$B:$E,3,FALSE)</f>
        <v>1.2</v>
      </c>
      <c r="AA123" s="26">
        <f>VLOOKUP($X123,サイズ別係数!$B:$E,4,FALSE)</f>
        <v>1.2</v>
      </c>
      <c r="AB123" s="35">
        <v>0</v>
      </c>
      <c r="AC123" s="34" t="str">
        <f ca="1">VLOOKUP($AB123,OFFSET([3]enemy_skill_sets!$B$2,0,0,COUNTA([3]enemy_skill_sets!$A:$A),MATCH(AC$1,[3]enemy_skill_sets!$1:$1,0)-MATCH($AB$1,[3]enemy_skill_sets!$1:$1,0)+1),MATCH(AC$1,[3]enemy_skill_sets!$1:$1,0)-MATCH($AB$1,[3]enemy_skill_sets!$1:$1,0)+1,FALSE)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" s="27">
        <v>1</v>
      </c>
      <c r="AE123" s="37">
        <v>1</v>
      </c>
      <c r="AF123" s="37">
        <v>0</v>
      </c>
      <c r="AG123" s="28">
        <f ca="1">ROUND(VLOOKUP(1,enemy_base_stats!$A:$F,2,FALSE) * Y123* J123*O123*E123*S123*AD123*[2]ステータス!$B$2,0)</f>
        <v>813</v>
      </c>
      <c r="AH123" s="28">
        <f ca="1">ROUND(VLOOKUP(1,enemy_base_stats!$A:$F,3,FALSE) * Z123*K123*P123*F123*T123*AE123 * W123*[2]ステータス!$C$2,0)</f>
        <v>150</v>
      </c>
      <c r="AI123" s="28">
        <f ca="1">ROUND(VLOOKUP(1,enemy_base_stats!$A:$F,4,FALSE) * AA123*L123*Q123*G123*U123*AF123*[2]ステータス!$D$2,0)</f>
        <v>0</v>
      </c>
      <c r="AJ123" s="28">
        <f ca="1">ROUND(VLOOKUP(100,enemy_base_stats!$A:$F,2,FALSE) * Y123* J123*O123*E123*S123*AD123*[2]ステータス!$B$2,0)</f>
        <v>33026</v>
      </c>
      <c r="AK123" s="28">
        <f ca="1">ROUND(VLOOKUP(100,enemy_base_stats!$A:$F,3,FALSE)* Z123* K123*P123*F123*T123*AE123 * W123*[2]ステータス!$C$2,0)</f>
        <v>6088</v>
      </c>
      <c r="AL123" s="28">
        <f ca="1">ROUND(VLOOKUP(100,enemy_base_stats!$A:$F,4,FALSE)* AA123* L123*Q123*G123*U123*AF123*[2]ステータス!$D$2,0)</f>
        <v>0</v>
      </c>
      <c r="AM123" s="24">
        <f ca="1">VLOOKUP(M123,[2]character_tribe_i18n!$A:$I,9,FALSE)</f>
        <v>340</v>
      </c>
      <c r="AN123" s="36">
        <v>0</v>
      </c>
      <c r="AO123" s="53">
        <v>0</v>
      </c>
      <c r="AP123" s="58" t="s">
        <v>72</v>
      </c>
      <c r="AQ123" s="71">
        <f t="shared" ca="1" si="2"/>
        <v>122</v>
      </c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</row>
    <row r="124" spans="1:60" s="3" customFormat="1" ht="21" customHeight="1" x14ac:dyDescent="0.15">
      <c r="A124" s="7">
        <f t="shared" ca="1" si="3"/>
        <v>123</v>
      </c>
      <c r="B124" s="6" t="str">
        <f ca="1">VLOOKUP(A124,[2]characters!$A:$C,3,FALSE)</f>
        <v>癒しの果実</v>
      </c>
      <c r="C124" s="9">
        <f ca="1">VLOOKUP(A124,[2]characters!$A:$I,9,FALSE)</f>
        <v>3</v>
      </c>
      <c r="D124" s="9" t="str">
        <f ca="1">VLOOKUP(A124,[2]characters!$A:$H,8,FALSE)</f>
        <v>blue</v>
      </c>
      <c r="E124" s="24">
        <f ca="1">VLOOKUP(D124,[2]属性!$A:$E,2,FALSE)</f>
        <v>1</v>
      </c>
      <c r="F124" s="24">
        <f ca="1">VLOOKUP(D124,[2]属性!$A:$E,3,FALSE)</f>
        <v>0.98</v>
      </c>
      <c r="G124" s="24">
        <f ca="1">VLOOKUP(D124,[2]属性!$A:$F,4,FALSE)</f>
        <v>1</v>
      </c>
      <c r="H124" s="100" t="s">
        <v>126</v>
      </c>
      <c r="I124" s="14" t="str">
        <f>VLOOKUP(H124,[2]character_type_i18n!$A:$F,3,FALSE)</f>
        <v>回復タイプ</v>
      </c>
      <c r="J124" s="36">
        <f>VLOOKUP(H124,[2]character_type_i18n!$A:$F,4,FALSE)</f>
        <v>0.8</v>
      </c>
      <c r="K124" s="36">
        <f>VLOOKUP(H124,[2]character_type_i18n!$A:$F,5,FALSE)</f>
        <v>0.78</v>
      </c>
      <c r="L124" s="36">
        <f>VLOOKUP(H124,[2]character_type_i18n!$A:$F,6,FALSE)</f>
        <v>1</v>
      </c>
      <c r="M124" s="9" t="str">
        <f ca="1">VLOOKUP(A124,[2]characters!$A:$M,13,FALSE)</f>
        <v>unknown</v>
      </c>
      <c r="N124" s="14" t="str">
        <f ca="1">VLOOKUP(M124,[2]character_tribe_i18n!$A:$F,3,FALSE)</f>
        <v>Unknown</v>
      </c>
      <c r="O124" s="24">
        <f ca="1">VLOOKUP(M124,[2]character_tribe_i18n!$A:$F,4,FALSE)</f>
        <v>1</v>
      </c>
      <c r="P124" s="24">
        <f ca="1">VLOOKUP(M124,[2]character_tribe_i18n!$A:$F,5,FALSE)</f>
        <v>1</v>
      </c>
      <c r="Q124" s="24">
        <f ca="1">VLOOKUP(M124,[2]character_tribe_i18n!$A:$F,6,FALSE)</f>
        <v>1</v>
      </c>
      <c r="R124" s="25" t="s">
        <v>31</v>
      </c>
      <c r="S124" s="24">
        <f>VLOOKUP($R124,ラベル別係数!$A$1:$E$7,3,FALSE)</f>
        <v>1</v>
      </c>
      <c r="T124" s="24">
        <f>VLOOKUP($R124,ラベル別係数!$A$1:$E$7,4,FALSE)</f>
        <v>1</v>
      </c>
      <c r="U124" s="24">
        <f>VLOOKUP($R124,ラベル別係数!$A$1:$E$7,5,FALSE)</f>
        <v>1</v>
      </c>
      <c r="V124" s="27">
        <v>2</v>
      </c>
      <c r="W124" s="28">
        <f>VLOOKUP(V124,ターン数別攻撃係数!$A$1:$B$1000,2,FALSE)</f>
        <v>0.75</v>
      </c>
      <c r="X124" s="10">
        <v>20</v>
      </c>
      <c r="Y124" s="26">
        <f>VLOOKUP($X124,サイズ別係数!$B:$E,2,FALSE)</f>
        <v>1.1000000000000001</v>
      </c>
      <c r="Z124" s="26">
        <f>VLOOKUP($X124,サイズ別係数!$B:$E,3,FALSE)</f>
        <v>1.2</v>
      </c>
      <c r="AA124" s="26">
        <f>VLOOKUP($X124,サイズ別係数!$B:$E,4,FALSE)</f>
        <v>1.2</v>
      </c>
      <c r="AB124" s="35">
        <v>0</v>
      </c>
      <c r="AC124" s="34" t="str">
        <f ca="1">VLOOKUP($AB124,OFFSET([3]enemy_skill_sets!$B$2,0,0,COUNTA([3]enemy_skill_sets!$A:$A),MATCH(AC$1,[3]enemy_skill_sets!$1:$1,0)-MATCH($AB$1,[3]enemy_skill_sets!$1:$1,0)+1),MATCH(AC$1,[3]enemy_skill_sets!$1:$1,0)-MATCH($AB$1,[3]enemy_skill_sets!$1:$1,0)+1,FALSE)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" s="27">
        <v>1</v>
      </c>
      <c r="AE124" s="37">
        <v>1</v>
      </c>
      <c r="AF124" s="37">
        <v>0</v>
      </c>
      <c r="AG124" s="28">
        <f ca="1">ROUND(VLOOKUP(1,enemy_base_stats!$A:$F,2,FALSE) * Y124* J124*O124*E124*S124*AD124*[2]ステータス!$B$2,0)</f>
        <v>440</v>
      </c>
      <c r="AH124" s="28">
        <f ca="1">ROUND(VLOOKUP(1,enemy_base_stats!$A:$F,3,FALSE) * Z124*K124*P124*F124*T124*AE124 * W124*[2]ステータス!$C$2,0)</f>
        <v>103</v>
      </c>
      <c r="AI124" s="28">
        <f ca="1">ROUND(VLOOKUP(1,enemy_base_stats!$A:$F,4,FALSE) * AA124*L124*Q124*G124*U124*AF124*[2]ステータス!$D$2,0)</f>
        <v>0</v>
      </c>
      <c r="AJ124" s="28">
        <f ca="1">ROUND(VLOOKUP(100,enemy_base_stats!$A:$F,2,FALSE) * Y124* J124*O124*E124*S124*AD124*[2]ステータス!$B$2,0)</f>
        <v>17864</v>
      </c>
      <c r="AK124" s="28">
        <f ca="1">ROUND(VLOOKUP(100,enemy_base_stats!$A:$F,3,FALSE)* Z124* K124*P124*F124*T124*AE124 * W124*[2]ステータス!$C$2,0)</f>
        <v>4190</v>
      </c>
      <c r="AL124" s="28">
        <f ca="1">ROUND(VLOOKUP(100,enemy_base_stats!$A:$F,4,FALSE)* AA124* L124*Q124*G124*U124*AF124*[2]ステータス!$D$2,0)</f>
        <v>0</v>
      </c>
      <c r="AM124" s="24">
        <f ca="1">VLOOKUP(M124,[2]character_tribe_i18n!$A:$I,9,FALSE)</f>
        <v>340</v>
      </c>
      <c r="AN124" s="36">
        <v>0</v>
      </c>
      <c r="AO124" s="53">
        <v>0</v>
      </c>
      <c r="AP124" s="58" t="s">
        <v>72</v>
      </c>
      <c r="AQ124" s="71">
        <f t="shared" ca="1" si="2"/>
        <v>123</v>
      </c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</row>
    <row r="125" spans="1:60" s="3" customFormat="1" ht="21" customHeight="1" x14ac:dyDescent="0.15">
      <c r="A125" s="7">
        <f t="shared" ca="1" si="3"/>
        <v>124</v>
      </c>
      <c r="B125" s="6" t="str">
        <f ca="1">VLOOKUP(A125,[2]characters!$A:$C,3,FALSE)</f>
        <v>黄金の果実</v>
      </c>
      <c r="C125" s="9">
        <f ca="1">VLOOKUP(A125,[2]characters!$A:$I,9,FALSE)</f>
        <v>3</v>
      </c>
      <c r="D125" s="9" t="str">
        <f ca="1">VLOOKUP(A125,[2]characters!$A:$H,8,FALSE)</f>
        <v>yellow</v>
      </c>
      <c r="E125" s="24">
        <f ca="1">VLOOKUP(D125,[2]属性!$A:$E,2,FALSE)</f>
        <v>0.98</v>
      </c>
      <c r="F125" s="24">
        <f ca="1">VLOOKUP(D125,[2]属性!$A:$E,3,FALSE)</f>
        <v>1.01</v>
      </c>
      <c r="G125" s="24">
        <f ca="1">VLOOKUP(D125,[2]属性!$A:$F,4,FALSE)</f>
        <v>1</v>
      </c>
      <c r="H125" s="100" t="s">
        <v>127</v>
      </c>
      <c r="I125" s="14" t="str">
        <f>VLOOKUP(H125,[2]character_type_i18n!$A:$F,3,FALSE)</f>
        <v>テクニカルタイプ</v>
      </c>
      <c r="J125" s="36">
        <f>VLOOKUP(H125,[2]character_type_i18n!$A:$F,4,FALSE)</f>
        <v>0.9</v>
      </c>
      <c r="K125" s="36">
        <f>VLOOKUP(H125,[2]character_type_i18n!$A:$F,5,FALSE)</f>
        <v>0.9</v>
      </c>
      <c r="L125" s="36">
        <f>VLOOKUP(H125,[2]character_type_i18n!$A:$F,6,FALSE)</f>
        <v>1</v>
      </c>
      <c r="M125" s="9" t="str">
        <f ca="1">VLOOKUP(A125,[2]characters!$A:$M,13,FALSE)</f>
        <v>unknown</v>
      </c>
      <c r="N125" s="14" t="str">
        <f ca="1">VLOOKUP(M125,[2]character_tribe_i18n!$A:$F,3,FALSE)</f>
        <v>Unknown</v>
      </c>
      <c r="O125" s="24">
        <f ca="1">VLOOKUP(M125,[2]character_tribe_i18n!$A:$F,4,FALSE)</f>
        <v>1</v>
      </c>
      <c r="P125" s="24">
        <f ca="1">VLOOKUP(M125,[2]character_tribe_i18n!$A:$F,5,FALSE)</f>
        <v>1</v>
      </c>
      <c r="Q125" s="24">
        <f ca="1">VLOOKUP(M125,[2]character_tribe_i18n!$A:$F,6,FALSE)</f>
        <v>1</v>
      </c>
      <c r="R125" s="25" t="s">
        <v>31</v>
      </c>
      <c r="S125" s="24">
        <f>VLOOKUP($R125,ラベル別係数!$A$1:$E$7,3,FALSE)</f>
        <v>1</v>
      </c>
      <c r="T125" s="24">
        <f>VLOOKUP($R125,ラベル別係数!$A$1:$E$7,4,FALSE)</f>
        <v>1</v>
      </c>
      <c r="U125" s="24">
        <f>VLOOKUP($R125,ラベル別係数!$A$1:$E$7,5,FALSE)</f>
        <v>1</v>
      </c>
      <c r="V125" s="27">
        <v>2</v>
      </c>
      <c r="W125" s="28">
        <f>VLOOKUP(V125,ターン数別攻撃係数!$A$1:$B$1000,2,FALSE)</f>
        <v>0.75</v>
      </c>
      <c r="X125" s="10">
        <v>20</v>
      </c>
      <c r="Y125" s="26">
        <f>VLOOKUP($X125,サイズ別係数!$B:$E,2,FALSE)</f>
        <v>1.1000000000000001</v>
      </c>
      <c r="Z125" s="26">
        <f>VLOOKUP($X125,サイズ別係数!$B:$E,3,FALSE)</f>
        <v>1.2</v>
      </c>
      <c r="AA125" s="26">
        <f>VLOOKUP($X125,サイズ別係数!$B:$E,4,FALSE)</f>
        <v>1.2</v>
      </c>
      <c r="AB125" s="35">
        <v>0</v>
      </c>
      <c r="AC125" s="34" t="str">
        <f ca="1">VLOOKUP($AB125,OFFSET([3]enemy_skill_sets!$B$2,0,0,COUNTA([3]enemy_skill_sets!$A:$A),MATCH(AC$1,[3]enemy_skill_sets!$1:$1,0)-MATCH($AB$1,[3]enemy_skill_sets!$1:$1,0)+1),MATCH(AC$1,[3]enemy_skill_sets!$1:$1,0)-MATCH($AB$1,[3]enemy_skill_sets!$1:$1,0)+1,FALSE)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" s="27">
        <v>1</v>
      </c>
      <c r="AE125" s="37">
        <v>1</v>
      </c>
      <c r="AF125" s="37">
        <v>0</v>
      </c>
      <c r="AG125" s="28">
        <f ca="1">ROUND(VLOOKUP(1,enemy_base_stats!$A:$F,2,FALSE) * Y125* J125*O125*E125*S125*AD125*[2]ステータス!$B$2,0)</f>
        <v>485</v>
      </c>
      <c r="AH125" s="28">
        <f ca="1">ROUND(VLOOKUP(1,enemy_base_stats!$A:$F,3,FALSE) * Z125*K125*P125*F125*T125*AE125 * W125*[2]ステータス!$C$2,0)</f>
        <v>123</v>
      </c>
      <c r="AI125" s="28">
        <f ca="1">ROUND(VLOOKUP(1,enemy_base_stats!$A:$F,4,FALSE) * AA125*L125*Q125*G125*U125*AF125*[2]ステータス!$D$2,0)</f>
        <v>0</v>
      </c>
      <c r="AJ125" s="28">
        <f ca="1">ROUND(VLOOKUP(100,enemy_base_stats!$A:$F,2,FALSE) * Y125* J125*O125*E125*S125*AD125*[2]ステータス!$B$2,0)</f>
        <v>19695</v>
      </c>
      <c r="AK125" s="28">
        <f ca="1">ROUND(VLOOKUP(100,enemy_base_stats!$A:$F,3,FALSE)* Z125* K125*P125*F125*T125*AE125 * W125*[2]ステータス!$C$2,0)</f>
        <v>4982</v>
      </c>
      <c r="AL125" s="28">
        <f ca="1">ROUND(VLOOKUP(100,enemy_base_stats!$A:$F,4,FALSE)* AA125* L125*Q125*G125*U125*AF125*[2]ステータス!$D$2,0)</f>
        <v>0</v>
      </c>
      <c r="AM125" s="64">
        <v>155554</v>
      </c>
      <c r="AN125" s="36">
        <v>0</v>
      </c>
      <c r="AO125" s="53">
        <v>0</v>
      </c>
      <c r="AP125" s="58" t="s">
        <v>72</v>
      </c>
      <c r="AQ125" s="71">
        <f t="shared" ca="1" si="2"/>
        <v>124</v>
      </c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</row>
    <row r="126" spans="1:60" s="3" customFormat="1" ht="21" customHeight="1" x14ac:dyDescent="0.15">
      <c r="A126" s="7">
        <f t="shared" ca="1" si="3"/>
        <v>125</v>
      </c>
      <c r="B126" s="6" t="str">
        <f ca="1">VLOOKUP(A126,[2]characters!$A:$C,3,FALSE)</f>
        <v>秘術の果実</v>
      </c>
      <c r="C126" s="9">
        <f ca="1">VLOOKUP(A126,[2]characters!$A:$I,9,FALSE)</f>
        <v>3</v>
      </c>
      <c r="D126" s="9" t="str">
        <f ca="1">VLOOKUP(A126,[2]characters!$A:$H,8,FALSE)</f>
        <v>blue</v>
      </c>
      <c r="E126" s="24">
        <f ca="1">VLOOKUP(D126,[2]属性!$A:$E,2,FALSE)</f>
        <v>1</v>
      </c>
      <c r="F126" s="24">
        <f ca="1">VLOOKUP(D126,[2]属性!$A:$E,3,FALSE)</f>
        <v>0.98</v>
      </c>
      <c r="G126" s="24">
        <f ca="1">VLOOKUP(D126,[2]属性!$A:$F,4,FALSE)</f>
        <v>1</v>
      </c>
      <c r="H126" s="100" t="s">
        <v>128</v>
      </c>
      <c r="I126" s="14" t="str">
        <f>VLOOKUP(H126,[2]character_type_i18n!$A:$F,3,FALSE)</f>
        <v>バランスタイプ</v>
      </c>
      <c r="J126" s="36">
        <f>VLOOKUP(H126,[2]character_type_i18n!$A:$F,4,FALSE)</f>
        <v>1</v>
      </c>
      <c r="K126" s="36">
        <f>VLOOKUP(H126,[2]character_type_i18n!$A:$F,5,FALSE)</f>
        <v>1</v>
      </c>
      <c r="L126" s="36">
        <f>VLOOKUP(H126,[2]character_type_i18n!$A:$F,6,FALSE)</f>
        <v>1</v>
      </c>
      <c r="M126" s="9" t="str">
        <f ca="1">VLOOKUP(A126,[2]characters!$A:$M,13,FALSE)</f>
        <v>unknown</v>
      </c>
      <c r="N126" s="14" t="str">
        <f ca="1">VLOOKUP(M126,[2]character_tribe_i18n!$A:$F,3,FALSE)</f>
        <v>Unknown</v>
      </c>
      <c r="O126" s="24">
        <f ca="1">VLOOKUP(M126,[2]character_tribe_i18n!$A:$F,4,FALSE)</f>
        <v>1</v>
      </c>
      <c r="P126" s="24">
        <f ca="1">VLOOKUP(M126,[2]character_tribe_i18n!$A:$F,5,FALSE)</f>
        <v>1</v>
      </c>
      <c r="Q126" s="24">
        <f ca="1">VLOOKUP(M126,[2]character_tribe_i18n!$A:$F,6,FALSE)</f>
        <v>1</v>
      </c>
      <c r="R126" s="25" t="s">
        <v>31</v>
      </c>
      <c r="S126" s="24">
        <f>VLOOKUP($R126,ラベル別係数!$A$1:$E$7,3,FALSE)</f>
        <v>1</v>
      </c>
      <c r="T126" s="24">
        <f>VLOOKUP($R126,ラベル別係数!$A$1:$E$7,4,FALSE)</f>
        <v>1</v>
      </c>
      <c r="U126" s="24">
        <f>VLOOKUP($R126,ラベル別係数!$A$1:$E$7,5,FALSE)</f>
        <v>1</v>
      </c>
      <c r="V126" s="27">
        <v>4</v>
      </c>
      <c r="W126" s="28">
        <f>VLOOKUP(V126,ターン数別攻撃係数!$A$1:$B$1000,2,FALSE)</f>
        <v>1.2</v>
      </c>
      <c r="X126" s="10">
        <v>20</v>
      </c>
      <c r="Y126" s="26">
        <f>VLOOKUP($X126,サイズ別係数!$B:$E,2,FALSE)</f>
        <v>1.1000000000000001</v>
      </c>
      <c r="Z126" s="26">
        <f>VLOOKUP($X126,サイズ別係数!$B:$E,3,FALSE)</f>
        <v>1.2</v>
      </c>
      <c r="AA126" s="26">
        <f>VLOOKUP($X126,サイズ別係数!$B:$E,4,FALSE)</f>
        <v>1.2</v>
      </c>
      <c r="AB126" s="35">
        <v>0</v>
      </c>
      <c r="AC126" s="34" t="str">
        <f ca="1">VLOOKUP($AB126,OFFSET([3]enemy_skill_sets!$B$2,0,0,COUNTA([3]enemy_skill_sets!$A:$A),MATCH(AC$1,[3]enemy_skill_sets!$1:$1,0)-MATCH($AB$1,[3]enemy_skill_sets!$1:$1,0)+1),MATCH(AC$1,[3]enemy_skill_sets!$1:$1,0)-MATCH($AB$1,[3]enemy_skill_sets!$1:$1,0)+1,FALSE)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" s="27">
        <v>1</v>
      </c>
      <c r="AE126" s="37">
        <v>1</v>
      </c>
      <c r="AF126" s="37">
        <v>0</v>
      </c>
      <c r="AG126" s="28">
        <f ca="1">ROUND(VLOOKUP(1,enemy_base_stats!$A:$F,2,FALSE) * Y126* J126*O126*E126*S126*AD126*[2]ステータス!$B$2,0)</f>
        <v>550</v>
      </c>
      <c r="AH126" s="28">
        <f ca="1">ROUND(VLOOKUP(1,enemy_base_stats!$A:$F,3,FALSE) * Z126*K126*P126*F126*T126*AE126 * W126*[2]ステータス!$C$2,0)</f>
        <v>212</v>
      </c>
      <c r="AI126" s="28">
        <f ca="1">ROUND(VLOOKUP(1,enemy_base_stats!$A:$F,4,FALSE) * AA126*L126*Q126*G126*U126*AF126*[2]ステータス!$D$2,0)</f>
        <v>0</v>
      </c>
      <c r="AJ126" s="28">
        <f ca="1">ROUND(VLOOKUP(100,enemy_base_stats!$A:$F,2,FALSE) * Y126* J126*O126*E126*S126*AD126*[2]ステータス!$B$2,0)</f>
        <v>22330</v>
      </c>
      <c r="AK126" s="28">
        <f ca="1">ROUND(VLOOKUP(100,enemy_base_stats!$A:$F,3,FALSE)* Z126* K126*P126*F126*T126*AE126 * W126*[2]ステータス!$C$2,0)</f>
        <v>8594</v>
      </c>
      <c r="AL126" s="28">
        <f ca="1">ROUND(VLOOKUP(100,enemy_base_stats!$A:$F,4,FALSE)* AA126* L126*Q126*G126*U126*AF126*[2]ステータス!$D$2,0)</f>
        <v>0</v>
      </c>
      <c r="AM126" s="24">
        <f ca="1">VLOOKUP(M126,[2]character_tribe_i18n!$A:$I,9,FALSE)</f>
        <v>340</v>
      </c>
      <c r="AN126" s="36">
        <v>0</v>
      </c>
      <c r="AO126" s="53">
        <v>0</v>
      </c>
      <c r="AP126" s="58" t="s">
        <v>72</v>
      </c>
      <c r="AQ126" s="71">
        <f t="shared" ca="1" si="2"/>
        <v>125</v>
      </c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</row>
    <row r="127" spans="1:60" s="3" customFormat="1" ht="15" x14ac:dyDescent="0.15">
      <c r="A127" s="7">
        <f t="shared" ca="1" si="3"/>
        <v>126</v>
      </c>
      <c r="B127" s="6" t="str">
        <f ca="1">VLOOKUP(A127,[2]characters!$A:$C,3,FALSE)</f>
        <v>骨器使い ユノ</v>
      </c>
      <c r="C127" s="9">
        <f ca="1">VLOOKUP(A127,[2]characters!$A:$I,9,FALSE)</f>
        <v>3</v>
      </c>
      <c r="D127" s="9" t="str">
        <f ca="1">VLOOKUP(A127,[2]characters!$A:$H,8,FALSE)</f>
        <v>red</v>
      </c>
      <c r="E127" s="24">
        <f ca="1">VLOOKUP(D127,[2]属性!$A:$E,2,FALSE)</f>
        <v>1</v>
      </c>
      <c r="F127" s="24">
        <f ca="1">VLOOKUP(D127,[2]属性!$A:$E,3,FALSE)</f>
        <v>1.02</v>
      </c>
      <c r="G127" s="24">
        <f ca="1">VLOOKUP(D127,[2]属性!$A:$F,4,FALSE)</f>
        <v>1</v>
      </c>
      <c r="H127" s="9" t="str">
        <f ca="1">VLOOKUP(A127,[2]characters!$A:$K,11,FALSE)</f>
        <v>attack</v>
      </c>
      <c r="I127" s="14" t="str">
        <f ca="1">VLOOKUP(H127,[2]character_type_i18n!$A:$F,3,FALSE)</f>
        <v>攻撃タイプ</v>
      </c>
      <c r="J127" s="36">
        <f ca="1">VLOOKUP(H127,[2]character_type_i18n!$A:$F,4,FALSE)</f>
        <v>1</v>
      </c>
      <c r="K127" s="36">
        <f ca="1">VLOOKUP(H127,[2]character_type_i18n!$A:$F,5,FALSE)</f>
        <v>1.33</v>
      </c>
      <c r="L127" s="36">
        <f ca="1">VLOOKUP(H127,[2]character_type_i18n!$A:$F,6,FALSE)</f>
        <v>1</v>
      </c>
      <c r="M127" s="9" t="str">
        <f ca="1">VLOOKUP(A127,[2]characters!$A:$M,13,FALSE)</f>
        <v>human</v>
      </c>
      <c r="N127" s="14" t="str">
        <f ca="1">VLOOKUP(M127,[2]character_tribe_i18n!$A:$F,3,FALSE)</f>
        <v>ヒューマン</v>
      </c>
      <c r="O127" s="24">
        <f ca="1">VLOOKUP(M127,[2]character_tribe_i18n!$A:$F,4,FALSE)</f>
        <v>0.94</v>
      </c>
      <c r="P127" s="24">
        <f ca="1">VLOOKUP(M127,[2]character_tribe_i18n!$A:$F,5,FALSE)</f>
        <v>0.99</v>
      </c>
      <c r="Q127" s="24">
        <f ca="1">VLOOKUP(M127,[2]character_tribe_i18n!$A:$F,6,FALSE)</f>
        <v>1</v>
      </c>
      <c r="R127" s="25" t="s">
        <v>4</v>
      </c>
      <c r="S127" s="24">
        <f>VLOOKUP($R127,ラベル別係数!$A$1:$E$7,3,FALSE)</f>
        <v>5</v>
      </c>
      <c r="T127" s="24">
        <f>VLOOKUP($R127,ラベル別係数!$A$1:$E$7,4,FALSE)</f>
        <v>1.3</v>
      </c>
      <c r="U127" s="24">
        <f>VLOOKUP($R127,ラベル別係数!$A$1:$E$7,5,FALSE)</f>
        <v>0.8</v>
      </c>
      <c r="V127" s="27">
        <v>1</v>
      </c>
      <c r="W127" s="28">
        <f>VLOOKUP(V127,ターン数別攻撃係数!$A$1:$B$1000,2,FALSE)</f>
        <v>0.55000000000000004</v>
      </c>
      <c r="X127" s="10">
        <v>20</v>
      </c>
      <c r="Y127" s="26">
        <f>VLOOKUP($X127,サイズ別係数!$B:$E,2,FALSE)</f>
        <v>1.1000000000000001</v>
      </c>
      <c r="Z127" s="26">
        <f>VLOOKUP($X127,サイズ別係数!$B:$E,3,FALSE)</f>
        <v>1.2</v>
      </c>
      <c r="AA127" s="26">
        <f>VLOOKUP($X127,サイズ別係数!$B:$E,4,FALSE)</f>
        <v>1.2</v>
      </c>
      <c r="AB127" s="35">
        <v>126</v>
      </c>
      <c r="AC127" s="34" t="str">
        <f ca="1">VLOOKUP($AB127,OFFSET([3]enemy_skill_sets!$B$2,0,0,COUNTA([3]enemy_skill_sets!$A:$A),MATCH(AC$1,[3]enemy_skill_sets!$1:$1,0)-MATCH($AB$1,[3]enemy_skill_sets!$1:$1,0)+1),MATCH(AC$1,[3]enemy_skill_sets!$1:$1,0)-MATCH($AB$1,[3]enemy_skill_sets!$1:$1,0)+1,FALSE)</f>
        <v>2回連続攻撃</v>
      </c>
      <c r="AD127" s="27">
        <v>1</v>
      </c>
      <c r="AE127" s="37">
        <v>1</v>
      </c>
      <c r="AF127" s="37">
        <v>0</v>
      </c>
      <c r="AG127" s="28">
        <f ca="1">ROUND(VLOOKUP(1,enemy_base_stats!$A:$F,2,FALSE) * Y127* J127*O127*E127*S127*AD127*[2]ステータス!$B$2,0)</f>
        <v>2585</v>
      </c>
      <c r="AH127" s="28">
        <f ca="1">ROUND(VLOOKUP(1,enemy_base_stats!$A:$F,3,FALSE) * Z127*K127*P127*F127*T127*AE127 * W127*[2]ステータス!$C$2,0)</f>
        <v>173</v>
      </c>
      <c r="AI127" s="28">
        <f ca="1">ROUND(VLOOKUP(1,enemy_base_stats!$A:$F,4,FALSE) * AA127*L127*Q127*G127*U127*AF127*[2]ステータス!$D$2,0)</f>
        <v>0</v>
      </c>
      <c r="AJ127" s="28">
        <f ca="1">ROUND(VLOOKUP(100,enemy_base_stats!$A:$F,2,FALSE) * Y127* J127*O127*E127*S127*AD127*[2]ステータス!$B$2,0)</f>
        <v>104951</v>
      </c>
      <c r="AK127" s="28">
        <f ca="1">ROUND(VLOOKUP(100,enemy_base_stats!$A:$F,3,FALSE)* Z127* K127*P127*F127*T127*AE127 * W127*[2]ステータス!$C$2,0)</f>
        <v>7018</v>
      </c>
      <c r="AL127" s="28">
        <f ca="1">ROUND(VLOOKUP(100,enemy_base_stats!$A:$F,4,FALSE)* AA127* L127*Q127*G127*U127*AF127*[2]ステータス!$D$2,0)</f>
        <v>0</v>
      </c>
      <c r="AM127" s="24">
        <f ca="1">VLOOKUP(M127,[2]character_tribe_i18n!$A:$I,9,FALSE)</f>
        <v>400</v>
      </c>
      <c r="AN127" s="36">
        <v>0</v>
      </c>
      <c r="AO127" s="53">
        <v>0</v>
      </c>
      <c r="AP127" s="58" t="s">
        <v>72</v>
      </c>
      <c r="AQ127" s="71">
        <f t="shared" ca="1" si="2"/>
        <v>126</v>
      </c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</row>
    <row r="128" spans="1:60" s="3" customFormat="1" ht="21" customHeight="1" x14ac:dyDescent="0.15">
      <c r="A128" s="7">
        <f t="shared" ca="1" si="3"/>
        <v>127</v>
      </c>
      <c r="B128" s="6" t="str">
        <f ca="1">VLOOKUP(A128,[2]characters!$A:$C,3,FALSE)</f>
        <v>狂喜の賢者 ユノ</v>
      </c>
      <c r="C128" s="9">
        <f ca="1">VLOOKUP(A128,[2]characters!$A:$I,9,FALSE)</f>
        <v>4</v>
      </c>
      <c r="D128" s="9" t="str">
        <f ca="1">VLOOKUP(A128,[2]characters!$A:$H,8,FALSE)</f>
        <v>red</v>
      </c>
      <c r="E128" s="24">
        <f ca="1">VLOOKUP(D128,[2]属性!$A:$E,2,FALSE)</f>
        <v>1</v>
      </c>
      <c r="F128" s="24">
        <f ca="1">VLOOKUP(D128,[2]属性!$A:$E,3,FALSE)</f>
        <v>1.02</v>
      </c>
      <c r="G128" s="24">
        <f ca="1">VLOOKUP(D128,[2]属性!$A:$F,4,FALSE)</f>
        <v>1</v>
      </c>
      <c r="H128" s="9" t="str">
        <f ca="1">VLOOKUP(A128,[2]characters!$A:$K,11,FALSE)</f>
        <v>attack</v>
      </c>
      <c r="I128" s="14" t="str">
        <f ca="1">VLOOKUP(H128,[2]character_type_i18n!$A:$F,3,FALSE)</f>
        <v>攻撃タイプ</v>
      </c>
      <c r="J128" s="36">
        <f ca="1">VLOOKUP(H128,[2]character_type_i18n!$A:$F,4,FALSE)</f>
        <v>1</v>
      </c>
      <c r="K128" s="36">
        <f ca="1">VLOOKUP(H128,[2]character_type_i18n!$A:$F,5,FALSE)</f>
        <v>1.33</v>
      </c>
      <c r="L128" s="36">
        <f ca="1">VLOOKUP(H128,[2]character_type_i18n!$A:$F,6,FALSE)</f>
        <v>1</v>
      </c>
      <c r="M128" s="9" t="str">
        <f ca="1">VLOOKUP(A128,[2]characters!$A:$M,13,FALSE)</f>
        <v>human</v>
      </c>
      <c r="N128" s="14" t="str">
        <f ca="1">VLOOKUP(M128,[2]character_tribe_i18n!$A:$F,3,FALSE)</f>
        <v>ヒューマン</v>
      </c>
      <c r="O128" s="24">
        <f ca="1">VLOOKUP(M128,[2]character_tribe_i18n!$A:$F,4,FALSE)</f>
        <v>0.94</v>
      </c>
      <c r="P128" s="24">
        <f ca="1">VLOOKUP(M128,[2]character_tribe_i18n!$A:$F,5,FALSE)</f>
        <v>0.99</v>
      </c>
      <c r="Q128" s="24">
        <f ca="1">VLOOKUP(M128,[2]character_tribe_i18n!$A:$F,6,FALSE)</f>
        <v>1</v>
      </c>
      <c r="R128" s="25" t="s">
        <v>4</v>
      </c>
      <c r="S128" s="24">
        <f>VLOOKUP($R128,ラベル別係数!$A$1:$E$7,3,FALSE)</f>
        <v>5</v>
      </c>
      <c r="T128" s="24">
        <f>VLOOKUP($R128,ラベル別係数!$A$1:$E$7,4,FALSE)</f>
        <v>1.3</v>
      </c>
      <c r="U128" s="24">
        <f>VLOOKUP($R128,ラベル別係数!$A$1:$E$7,5,FALSE)</f>
        <v>0.8</v>
      </c>
      <c r="V128" s="27">
        <v>1</v>
      </c>
      <c r="W128" s="28">
        <f>VLOOKUP(V128,ターン数別攻撃係数!$A$1:$B$1000,2,FALSE)</f>
        <v>0.55000000000000004</v>
      </c>
      <c r="X128" s="10">
        <v>30</v>
      </c>
      <c r="Y128" s="26">
        <f>VLOOKUP($X128,サイズ別係数!$B:$E,2,FALSE)</f>
        <v>1.3</v>
      </c>
      <c r="Z128" s="26">
        <f>VLOOKUP($X128,サイズ別係数!$B:$E,3,FALSE)</f>
        <v>1.3</v>
      </c>
      <c r="AA128" s="26">
        <f>VLOOKUP($X128,サイズ別係数!$B:$E,4,FALSE)</f>
        <v>1.1000000000000001</v>
      </c>
      <c r="AB128" s="5">
        <v>0</v>
      </c>
      <c r="AC128" s="34" t="str">
        <f ca="1">VLOOKUP($AB128,OFFSET([3]enemy_skill_sets!$B$2,0,0,COUNTA([3]enemy_skill_sets!$A:$A),MATCH(AC$1,[3]enemy_skill_sets!$1:$1,0)-MATCH($AB$1,[3]enemy_skill_sets!$1:$1,0)+1),MATCH(AC$1,[3]enemy_skill_sets!$1:$1,0)-MATCH($AB$1,[3]enemy_skill_sets!$1:$1,0)+1,FALSE)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" s="27">
        <v>1</v>
      </c>
      <c r="AE128" s="37">
        <v>1</v>
      </c>
      <c r="AF128" s="37">
        <v>0</v>
      </c>
      <c r="AG128" s="28">
        <f ca="1">ROUND(VLOOKUP(1,enemy_base_stats!$A:$F,2,FALSE) * Y128* J128*O128*E128*S128*AD128*[2]ステータス!$B$2,0)</f>
        <v>3055</v>
      </c>
      <c r="AH128" s="28">
        <f ca="1">ROUND(VLOOKUP(1,enemy_base_stats!$A:$F,3,FALSE) * Z128*K128*P128*F128*T128*AE128 * W128*[2]ステータス!$C$2,0)</f>
        <v>187</v>
      </c>
      <c r="AI128" s="28">
        <f ca="1">ROUND(VLOOKUP(1,enemy_base_stats!$A:$F,4,FALSE) * AA128*L128*Q128*G128*U128*AF128*[2]ステータス!$D$2,0)</f>
        <v>0</v>
      </c>
      <c r="AJ128" s="28">
        <f ca="1">ROUND(VLOOKUP(100,enemy_base_stats!$A:$F,2,FALSE) * Y128* J128*O128*E128*S128*AD128*[2]ステータス!$B$2,0)</f>
        <v>124033</v>
      </c>
      <c r="AK128" s="28">
        <f ca="1">ROUND(VLOOKUP(100,enemy_base_stats!$A:$F,3,FALSE)* Z128* K128*P128*F128*T128*AE128 * W128*[2]ステータス!$C$2,0)</f>
        <v>7602</v>
      </c>
      <c r="AL128" s="28">
        <f ca="1">ROUND(VLOOKUP(100,enemy_base_stats!$A:$F,4,FALSE)* AA128* L128*Q128*G128*U128*AF128*[2]ステータス!$D$2,0)</f>
        <v>0</v>
      </c>
      <c r="AM128" s="24">
        <f ca="1">VLOOKUP(M128,[2]character_tribe_i18n!$A:$I,9,FALSE)</f>
        <v>400</v>
      </c>
      <c r="AN128" s="36">
        <v>0</v>
      </c>
      <c r="AO128" s="53">
        <v>0</v>
      </c>
      <c r="AP128" s="58" t="s">
        <v>72</v>
      </c>
      <c r="AQ128" s="71">
        <f t="shared" ca="1" si="2"/>
        <v>127</v>
      </c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BF128" s="18"/>
      <c r="BG128" s="18"/>
      <c r="BH128" s="18"/>
    </row>
    <row r="129" spans="1:60" s="3" customFormat="1" ht="21" customHeight="1" x14ac:dyDescent="0.15">
      <c r="A129" s="7">
        <f t="shared" ca="1" si="3"/>
        <v>128</v>
      </c>
      <c r="B129" s="6" t="str">
        <f ca="1">VLOOKUP(A129,[2]characters!$A:$C,3,FALSE)</f>
        <v>野生児 アマラ</v>
      </c>
      <c r="C129" s="9">
        <f ca="1">VLOOKUP(A129,[2]characters!$A:$I,9,FALSE)</f>
        <v>3</v>
      </c>
      <c r="D129" s="9" t="str">
        <f ca="1">VLOOKUP(A129,[2]characters!$A:$H,8,FALSE)</f>
        <v>green</v>
      </c>
      <c r="E129" s="24">
        <f ca="1">VLOOKUP(D129,[2]属性!$A:$E,2,FALSE)</f>
        <v>1.02</v>
      </c>
      <c r="F129" s="24">
        <f ca="1">VLOOKUP(D129,[2]属性!$A:$E,3,FALSE)</f>
        <v>0.98</v>
      </c>
      <c r="G129" s="24">
        <f ca="1">VLOOKUP(D129,[2]属性!$A:$F,4,FALSE)</f>
        <v>1</v>
      </c>
      <c r="H129" s="9" t="str">
        <f ca="1">VLOOKUP(A129,[2]characters!$A:$K,11,FALSE)</f>
        <v>attack</v>
      </c>
      <c r="I129" s="14" t="str">
        <f ca="1">VLOOKUP(H129,[2]character_type_i18n!$A:$F,3,FALSE)</f>
        <v>攻撃タイプ</v>
      </c>
      <c r="J129" s="36">
        <f ca="1">VLOOKUP(H129,[2]character_type_i18n!$A:$F,4,FALSE)</f>
        <v>1</v>
      </c>
      <c r="K129" s="36">
        <f ca="1">VLOOKUP(H129,[2]character_type_i18n!$A:$F,5,FALSE)</f>
        <v>1.33</v>
      </c>
      <c r="L129" s="36">
        <f ca="1">VLOOKUP(H129,[2]character_type_i18n!$A:$F,6,FALSE)</f>
        <v>1</v>
      </c>
      <c r="M129" s="9" t="str">
        <f ca="1">VLOOKUP(A129,[2]characters!$A:$M,13,FALSE)</f>
        <v>human</v>
      </c>
      <c r="N129" s="14" t="str">
        <f ca="1">VLOOKUP(M129,[2]character_tribe_i18n!$A:$F,3,FALSE)</f>
        <v>ヒューマン</v>
      </c>
      <c r="O129" s="24">
        <f ca="1">VLOOKUP(M129,[2]character_tribe_i18n!$A:$F,4,FALSE)</f>
        <v>0.94</v>
      </c>
      <c r="P129" s="24">
        <f ca="1">VLOOKUP(M129,[2]character_tribe_i18n!$A:$F,5,FALSE)</f>
        <v>0.99</v>
      </c>
      <c r="Q129" s="24">
        <f ca="1">VLOOKUP(M129,[2]character_tribe_i18n!$A:$F,6,FALSE)</f>
        <v>1</v>
      </c>
      <c r="R129" s="25" t="s">
        <v>87</v>
      </c>
      <c r="S129" s="24">
        <f>VLOOKUP($R129,ラベル別係数!$A$1:$E$7,3,FALSE)</f>
        <v>7.5</v>
      </c>
      <c r="T129" s="24">
        <f>VLOOKUP($R129,ラベル別係数!$A$1:$E$7,4,FALSE)</f>
        <v>1</v>
      </c>
      <c r="U129" s="24">
        <f>VLOOKUP($R129,ラベル別係数!$A$1:$E$7,5,FALSE)</f>
        <v>0.8</v>
      </c>
      <c r="V129" s="27">
        <v>2</v>
      </c>
      <c r="W129" s="28">
        <f>VLOOKUP(V129,ターン数別攻撃係数!$A$1:$B$1000,2,FALSE)</f>
        <v>0.75</v>
      </c>
      <c r="X129" s="10">
        <v>20</v>
      </c>
      <c r="Y129" s="26">
        <f>VLOOKUP($X129,サイズ別係数!$B:$E,2,FALSE)</f>
        <v>1.1000000000000001</v>
      </c>
      <c r="Z129" s="26">
        <f>VLOOKUP($X129,サイズ別係数!$B:$E,3,FALSE)</f>
        <v>1.2</v>
      </c>
      <c r="AA129" s="26">
        <f>VLOOKUP($X129,サイズ別係数!$B:$E,4,FALSE)</f>
        <v>1.2</v>
      </c>
      <c r="AB129" s="5">
        <v>128</v>
      </c>
      <c r="AC129" s="34" t="str">
        <f ca="1">VLOOKUP($AB129,OFFSET([3]enemy_skill_sets!$B$2,0,0,COUNTA([3]enemy_skill_sets!$A:$A),MATCH(AC$1,[3]enemy_skill_sets!$1:$1,0)-MATCH($AB$1,[3]enemy_skill_sets!$1:$1,0)+1),MATCH(AC$1,[3]enemy_skill_sets!$1:$1,0)-MATCH($AB$1,[3]enemy_skill_sets!$1:$1,0)+1,FALSE)</f>
        <v>5ターン攻撃力小UP</v>
      </c>
      <c r="AD129" s="27">
        <v>1</v>
      </c>
      <c r="AE129" s="37">
        <v>1</v>
      </c>
      <c r="AF129" s="37">
        <v>0</v>
      </c>
      <c r="AG129" s="28">
        <f ca="1">ROUND(VLOOKUP(1,enemy_base_stats!$A:$F,2,FALSE) * Y129* J129*O129*E129*S129*AD129*[2]ステータス!$B$2,0)</f>
        <v>3955</v>
      </c>
      <c r="AH129" s="28">
        <f ca="1">ROUND(VLOOKUP(1,enemy_base_stats!$A:$F,3,FALSE) * Z129*K129*P129*F129*T129*AE129 * W129*[2]ステータス!$C$2,0)</f>
        <v>174</v>
      </c>
      <c r="AI129" s="28">
        <f ca="1">ROUND(VLOOKUP(1,enemy_base_stats!$A:$F,4,FALSE) * AA129*L129*Q129*G129*U129*AF129*[2]ステータス!$D$2,0)</f>
        <v>0</v>
      </c>
      <c r="AJ129" s="28">
        <f ca="1">ROUND(VLOOKUP(100,enemy_base_stats!$A:$F,2,FALSE) * Y129* J129*O129*E129*S129*AD129*[2]ステータス!$B$2,0)</f>
        <v>160575</v>
      </c>
      <c r="AK129" s="28">
        <f ca="1">ROUND(VLOOKUP(100,enemy_base_stats!$A:$F,3,FALSE)* Z129* K129*P129*F129*T129*AE129 * W129*[2]ステータス!$C$2,0)</f>
        <v>7072</v>
      </c>
      <c r="AL129" s="28">
        <f ca="1">ROUND(VLOOKUP(100,enemy_base_stats!$A:$F,4,FALSE)* AA129* L129*Q129*G129*U129*AF129*[2]ステータス!$D$2,0)</f>
        <v>0</v>
      </c>
      <c r="AM129" s="24">
        <f ca="1">VLOOKUP(M129,[2]character_tribe_i18n!$A:$I,9,FALSE)</f>
        <v>400</v>
      </c>
      <c r="AN129" s="36">
        <v>0</v>
      </c>
      <c r="AO129" s="53">
        <v>0</v>
      </c>
      <c r="AP129" s="58" t="s">
        <v>72</v>
      </c>
      <c r="AQ129" s="71">
        <f t="shared" ca="1" si="2"/>
        <v>128</v>
      </c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</row>
    <row r="130" spans="1:60" s="3" customFormat="1" ht="21" customHeight="1" x14ac:dyDescent="0.15">
      <c r="A130" s="7">
        <f t="shared" ca="1" si="3"/>
        <v>129</v>
      </c>
      <c r="B130" s="6" t="str">
        <f ca="1">VLOOKUP(A130,[2]characters!$A:$C,3,FALSE)</f>
        <v>孤高の狼憑き アマラ</v>
      </c>
      <c r="C130" s="9">
        <f ca="1">VLOOKUP(A130,[2]characters!$A:$I,9,FALSE)</f>
        <v>4</v>
      </c>
      <c r="D130" s="9" t="str">
        <f ca="1">VLOOKUP(A130,[2]characters!$A:$H,8,FALSE)</f>
        <v>green</v>
      </c>
      <c r="E130" s="24">
        <f ca="1">VLOOKUP(D130,[2]属性!$A:$E,2,FALSE)</f>
        <v>1.02</v>
      </c>
      <c r="F130" s="24">
        <f ca="1">VLOOKUP(D130,[2]属性!$A:$E,3,FALSE)</f>
        <v>0.98</v>
      </c>
      <c r="G130" s="24">
        <f ca="1">VLOOKUP(D130,[2]属性!$A:$F,4,FALSE)</f>
        <v>1</v>
      </c>
      <c r="H130" s="9" t="str">
        <f ca="1">VLOOKUP(A130,[2]characters!$A:$K,11,FALSE)</f>
        <v>attack</v>
      </c>
      <c r="I130" s="14" t="str">
        <f ca="1">VLOOKUP(H130,[2]character_type_i18n!$A:$F,3,FALSE)</f>
        <v>攻撃タイプ</v>
      </c>
      <c r="J130" s="36">
        <f ca="1">VLOOKUP(H130,[2]character_type_i18n!$A:$F,4,FALSE)</f>
        <v>1</v>
      </c>
      <c r="K130" s="36">
        <f ca="1">VLOOKUP(H130,[2]character_type_i18n!$A:$F,5,FALSE)</f>
        <v>1.33</v>
      </c>
      <c r="L130" s="36">
        <f ca="1">VLOOKUP(H130,[2]character_type_i18n!$A:$F,6,FALSE)</f>
        <v>1</v>
      </c>
      <c r="M130" s="9" t="str">
        <f ca="1">VLOOKUP(A130,[2]characters!$A:$M,13,FALSE)</f>
        <v>human</v>
      </c>
      <c r="N130" s="14" t="str">
        <f ca="1">VLOOKUP(M130,[2]character_tribe_i18n!$A:$F,3,FALSE)</f>
        <v>ヒューマン</v>
      </c>
      <c r="O130" s="24">
        <f ca="1">VLOOKUP(M130,[2]character_tribe_i18n!$A:$F,4,FALSE)</f>
        <v>0.94</v>
      </c>
      <c r="P130" s="24">
        <f ca="1">VLOOKUP(M130,[2]character_tribe_i18n!$A:$F,5,FALSE)</f>
        <v>0.99</v>
      </c>
      <c r="Q130" s="24">
        <f ca="1">VLOOKUP(M130,[2]character_tribe_i18n!$A:$F,6,FALSE)</f>
        <v>1</v>
      </c>
      <c r="R130" s="25" t="s">
        <v>86</v>
      </c>
      <c r="S130" s="24">
        <f>VLOOKUP($R130,ラベル別係数!$A$1:$E$7,3,FALSE)</f>
        <v>10</v>
      </c>
      <c r="T130" s="24">
        <f>VLOOKUP($R130,ラベル別係数!$A$1:$E$7,4,FALSE)</f>
        <v>1</v>
      </c>
      <c r="U130" s="24">
        <f>VLOOKUP($R130,ラベル別係数!$A$1:$E$7,5,FALSE)</f>
        <v>0.8</v>
      </c>
      <c r="V130" s="27">
        <v>3</v>
      </c>
      <c r="W130" s="28">
        <f>VLOOKUP(V130,ターン数別攻撃係数!$A$1:$B$1000,2,FALSE)</f>
        <v>1</v>
      </c>
      <c r="X130" s="10">
        <v>30</v>
      </c>
      <c r="Y130" s="26">
        <f>VLOOKUP($X130,サイズ別係数!$B:$E,2,FALSE)</f>
        <v>1.3</v>
      </c>
      <c r="Z130" s="26">
        <f>VLOOKUP($X130,サイズ別係数!$B:$E,3,FALSE)</f>
        <v>1.3</v>
      </c>
      <c r="AA130" s="26">
        <f>VLOOKUP($X130,サイズ別係数!$B:$E,4,FALSE)</f>
        <v>1.1000000000000001</v>
      </c>
      <c r="AB130" s="5">
        <v>0</v>
      </c>
      <c r="AC130" s="34" t="str">
        <f ca="1">VLOOKUP($AB130,OFFSET([3]enemy_skill_sets!$B$2,0,0,COUNTA([3]enemy_skill_sets!$A:$A),MATCH(AC$1,[3]enemy_skill_sets!$1:$1,0)-MATCH($AB$1,[3]enemy_skill_sets!$1:$1,0)+1),MATCH(AC$1,[3]enemy_skill_sets!$1:$1,0)-MATCH($AB$1,[3]enemy_skill_sets!$1:$1,0)+1,FALSE)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" s="27">
        <v>1</v>
      </c>
      <c r="AE130" s="37">
        <v>1</v>
      </c>
      <c r="AF130" s="37">
        <v>0</v>
      </c>
      <c r="AG130" s="28">
        <f ca="1">ROUND(VLOOKUP(1,enemy_base_stats!$A:$F,2,FALSE) * Y130* J130*O130*E130*S130*AD130*[2]ステータス!$B$2,0)</f>
        <v>6232</v>
      </c>
      <c r="AH130" s="28">
        <f ca="1">ROUND(VLOOKUP(1,enemy_base_stats!$A:$F,3,FALSE) * Z130*K130*P130*F130*T130*AE130 * W130*[2]ステータス!$C$2,0)</f>
        <v>252</v>
      </c>
      <c r="AI130" s="28">
        <f ca="1">ROUND(VLOOKUP(1,enemy_base_stats!$A:$F,4,FALSE) * AA130*L130*Q130*G130*U130*AF130*[2]ステータス!$D$2,0)</f>
        <v>0</v>
      </c>
      <c r="AJ130" s="28">
        <f ca="1">ROUND(VLOOKUP(100,enemy_base_stats!$A:$F,2,FALSE) * Y130* J130*O130*E130*S130*AD130*[2]ステータス!$B$2,0)</f>
        <v>253027</v>
      </c>
      <c r="AK130" s="28">
        <f ca="1">ROUND(VLOOKUP(100,enemy_base_stats!$A:$F,3,FALSE)* Z130* K130*P130*F130*T130*AE130 * W130*[2]ステータス!$C$2,0)</f>
        <v>10216</v>
      </c>
      <c r="AL130" s="28">
        <f ca="1">ROUND(VLOOKUP(100,enemy_base_stats!$A:$F,4,FALSE)* AA130* L130*Q130*G130*U130*AF130*[2]ステータス!$D$2,0)</f>
        <v>0</v>
      </c>
      <c r="AM130" s="24">
        <f ca="1">VLOOKUP(M130,[2]character_tribe_i18n!$A:$I,9,FALSE)</f>
        <v>400</v>
      </c>
      <c r="AN130" s="36">
        <v>0</v>
      </c>
      <c r="AO130" s="53">
        <v>0</v>
      </c>
      <c r="AP130" s="58" t="s">
        <v>72</v>
      </c>
      <c r="AQ130" s="71">
        <f t="shared" ref="AQ130:AQ193" ca="1" si="4">A130</f>
        <v>129</v>
      </c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</row>
    <row r="131" spans="1:60" s="3" customFormat="1" ht="21" customHeight="1" x14ac:dyDescent="0.15">
      <c r="A131" s="7">
        <f t="shared" ref="A131:A194" ca="1" si="5">INDIRECT(ADDRESS(ROW(),COLUMN(),1,TRUE,"[CharacterMasterData.xlsm]characters"))</f>
        <v>130</v>
      </c>
      <c r="B131" s="6" t="str">
        <f ca="1">VLOOKUP(A131,[2]characters!$A:$C,3,FALSE)</f>
        <v>狼男 ローレンス</v>
      </c>
      <c r="C131" s="9">
        <f ca="1">VLOOKUP(A131,[2]characters!$A:$I,9,FALSE)</f>
        <v>3</v>
      </c>
      <c r="D131" s="9" t="str">
        <f ca="1">VLOOKUP(A131,[2]characters!$A:$H,8,FALSE)</f>
        <v>blue</v>
      </c>
      <c r="E131" s="24">
        <f ca="1">VLOOKUP(D131,[2]属性!$A:$E,2,FALSE)</f>
        <v>1</v>
      </c>
      <c r="F131" s="24">
        <f ca="1">VLOOKUP(D131,[2]属性!$A:$E,3,FALSE)</f>
        <v>0.98</v>
      </c>
      <c r="G131" s="24">
        <f ca="1">VLOOKUP(D131,[2]属性!$A:$F,4,FALSE)</f>
        <v>1</v>
      </c>
      <c r="H131" s="9" t="str">
        <f ca="1">VLOOKUP(A131,[2]characters!$A:$K,11,FALSE)</f>
        <v>attack</v>
      </c>
      <c r="I131" s="14" t="str">
        <f ca="1">VLOOKUP(H131,[2]character_type_i18n!$A:$F,3,FALSE)</f>
        <v>攻撃タイプ</v>
      </c>
      <c r="J131" s="36">
        <f ca="1">VLOOKUP(H131,[2]character_type_i18n!$A:$F,4,FALSE)</f>
        <v>1</v>
      </c>
      <c r="K131" s="36">
        <f ca="1">VLOOKUP(H131,[2]character_type_i18n!$A:$F,5,FALSE)</f>
        <v>1.33</v>
      </c>
      <c r="L131" s="36">
        <f ca="1">VLOOKUP(H131,[2]character_type_i18n!$A:$F,6,FALSE)</f>
        <v>1</v>
      </c>
      <c r="M131" s="9" t="str">
        <f ca="1">VLOOKUP(A131,[2]characters!$A:$M,13,FALSE)</f>
        <v>animal</v>
      </c>
      <c r="N131" s="14" t="str">
        <f ca="1">VLOOKUP(M131,[2]character_tribe_i18n!$A:$F,3,FALSE)</f>
        <v>アニマル</v>
      </c>
      <c r="O131" s="24">
        <f ca="1">VLOOKUP(M131,[2]character_tribe_i18n!$A:$F,4,FALSE)</f>
        <v>1</v>
      </c>
      <c r="P131" s="24">
        <f ca="1">VLOOKUP(M131,[2]character_tribe_i18n!$A:$F,5,FALSE)</f>
        <v>1.1000000000000001</v>
      </c>
      <c r="Q131" s="24">
        <f ca="1">VLOOKUP(M131,[2]character_tribe_i18n!$A:$F,6,FALSE)</f>
        <v>1</v>
      </c>
      <c r="R131" s="25" t="s">
        <v>4</v>
      </c>
      <c r="S131" s="24">
        <f>VLOOKUP($R131,ラベル別係数!$A$1:$E$7,3,FALSE)</f>
        <v>5</v>
      </c>
      <c r="T131" s="24">
        <f>VLOOKUP($R131,ラベル別係数!$A$1:$E$7,4,FALSE)</f>
        <v>1.3</v>
      </c>
      <c r="U131" s="24">
        <f>VLOOKUP($R131,ラベル別係数!$A$1:$E$7,5,FALSE)</f>
        <v>0.8</v>
      </c>
      <c r="V131" s="27">
        <v>3</v>
      </c>
      <c r="W131" s="28">
        <f>VLOOKUP(V131,ターン数別攻撃係数!$A$1:$B$1000,2,FALSE)</f>
        <v>1</v>
      </c>
      <c r="X131" s="10">
        <v>20</v>
      </c>
      <c r="Y131" s="26">
        <f>VLOOKUP($X131,サイズ別係数!$B:$E,2,FALSE)</f>
        <v>1.1000000000000001</v>
      </c>
      <c r="Z131" s="26">
        <f>VLOOKUP($X131,サイズ別係数!$B:$E,3,FALSE)</f>
        <v>1.2</v>
      </c>
      <c r="AA131" s="26">
        <f>VLOOKUP($X131,サイズ別係数!$B:$E,4,FALSE)</f>
        <v>1.2</v>
      </c>
      <c r="AB131" s="5">
        <v>130</v>
      </c>
      <c r="AC131" s="34" t="str">
        <f ca="1">VLOOKUP($AB131,OFFSET([3]enemy_skill_sets!$B$2,0,0,COUNTA([3]enemy_skill_sets!$A:$A),MATCH(AC$1,[3]enemy_skill_sets!$1:$1,0)-MATCH($AB$1,[3]enemy_skill_sets!$1:$1,0)+1),MATCH(AC$1,[3]enemy_skill_sets!$1:$1,0)-MATCH($AB$1,[3]enemy_skill_sets!$1:$1,0)+1,FALSE)</f>
        <v>攻撃力×1.5倍の攻撃</v>
      </c>
      <c r="AD131" s="27">
        <v>1</v>
      </c>
      <c r="AE131" s="37">
        <v>1</v>
      </c>
      <c r="AF131" s="37">
        <v>0</v>
      </c>
      <c r="AG131" s="28">
        <f ca="1">ROUND(VLOOKUP(1,enemy_base_stats!$A:$F,2,FALSE) * Y131* J131*O131*E131*S131*AD131*[2]ステータス!$B$2,0)</f>
        <v>2750</v>
      </c>
      <c r="AH131" s="28">
        <f ca="1">ROUND(VLOOKUP(1,enemy_base_stats!$A:$F,3,FALSE) * Z131*K131*P131*F131*T131*AE131 * W131*[2]ステータス!$C$2,0)</f>
        <v>335</v>
      </c>
      <c r="AI131" s="28">
        <f ca="1">ROUND(VLOOKUP(1,enemy_base_stats!$A:$F,4,FALSE) * AA131*L131*Q131*G131*U131*AF131*[2]ステータス!$D$2,0)</f>
        <v>0</v>
      </c>
      <c r="AJ131" s="28">
        <f ca="1">ROUND(VLOOKUP(100,enemy_base_stats!$A:$F,2,FALSE) * Y131* J131*O131*E131*S131*AD131*[2]ステータス!$B$2,0)</f>
        <v>111650</v>
      </c>
      <c r="AK131" s="28">
        <f ca="1">ROUND(VLOOKUP(100,enemy_base_stats!$A:$F,3,FALSE)* Z131* K131*P131*F131*T131*AE131 * W131*[2]ステータス!$C$2,0)</f>
        <v>13621</v>
      </c>
      <c r="AL131" s="28">
        <f ca="1">ROUND(VLOOKUP(100,enemy_base_stats!$A:$F,4,FALSE)* AA131* L131*Q131*G131*U131*AF131*[2]ステータス!$D$2,0)</f>
        <v>0</v>
      </c>
      <c r="AM131" s="24">
        <f ca="1">VLOOKUP(M131,[2]character_tribe_i18n!$A:$I,9,FALSE)</f>
        <v>480</v>
      </c>
      <c r="AN131" s="36">
        <v>0</v>
      </c>
      <c r="AO131" s="53">
        <v>0</v>
      </c>
      <c r="AP131" s="58" t="s">
        <v>72</v>
      </c>
      <c r="AQ131" s="71">
        <f t="shared" ca="1" si="4"/>
        <v>130</v>
      </c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</row>
    <row r="132" spans="1:60" s="3" customFormat="1" ht="21" customHeight="1" x14ac:dyDescent="0.15">
      <c r="A132" s="7">
        <f t="shared" ca="1" si="5"/>
        <v>131</v>
      </c>
      <c r="B132" s="6" t="str">
        <f ca="1">VLOOKUP(A132,[2]characters!$A:$C,3,FALSE)</f>
        <v>月下の人狼 ローレンス</v>
      </c>
      <c r="C132" s="9">
        <f ca="1">VLOOKUP(A132,[2]characters!$A:$I,9,FALSE)</f>
        <v>4</v>
      </c>
      <c r="D132" s="9" t="str">
        <f ca="1">VLOOKUP(A132,[2]characters!$A:$H,8,FALSE)</f>
        <v>blue</v>
      </c>
      <c r="E132" s="24">
        <f ca="1">VLOOKUP(D132,[2]属性!$A:$E,2,FALSE)</f>
        <v>1</v>
      </c>
      <c r="F132" s="24">
        <f ca="1">VLOOKUP(D132,[2]属性!$A:$E,3,FALSE)</f>
        <v>0.98</v>
      </c>
      <c r="G132" s="24">
        <f ca="1">VLOOKUP(D132,[2]属性!$A:$F,4,FALSE)</f>
        <v>1</v>
      </c>
      <c r="H132" s="9" t="str">
        <f ca="1">VLOOKUP(A132,[2]characters!$A:$K,11,FALSE)</f>
        <v>attack</v>
      </c>
      <c r="I132" s="14" t="str">
        <f ca="1">VLOOKUP(H132,[2]character_type_i18n!$A:$F,3,FALSE)</f>
        <v>攻撃タイプ</v>
      </c>
      <c r="J132" s="36">
        <f ca="1">VLOOKUP(H132,[2]character_type_i18n!$A:$F,4,FALSE)</f>
        <v>1</v>
      </c>
      <c r="K132" s="36">
        <f ca="1">VLOOKUP(H132,[2]character_type_i18n!$A:$F,5,FALSE)</f>
        <v>1.33</v>
      </c>
      <c r="L132" s="36">
        <f ca="1">VLOOKUP(H132,[2]character_type_i18n!$A:$F,6,FALSE)</f>
        <v>1</v>
      </c>
      <c r="M132" s="9" t="str">
        <f ca="1">VLOOKUP(A132,[2]characters!$A:$M,13,FALSE)</f>
        <v>animal</v>
      </c>
      <c r="N132" s="14" t="str">
        <f ca="1">VLOOKUP(M132,[2]character_tribe_i18n!$A:$F,3,FALSE)</f>
        <v>アニマル</v>
      </c>
      <c r="O132" s="24">
        <f ca="1">VLOOKUP(M132,[2]character_tribe_i18n!$A:$F,4,FALSE)</f>
        <v>1</v>
      </c>
      <c r="P132" s="24">
        <f ca="1">VLOOKUP(M132,[2]character_tribe_i18n!$A:$F,5,FALSE)</f>
        <v>1.1000000000000001</v>
      </c>
      <c r="Q132" s="24">
        <f ca="1">VLOOKUP(M132,[2]character_tribe_i18n!$A:$F,6,FALSE)</f>
        <v>1</v>
      </c>
      <c r="R132" s="25" t="s">
        <v>4</v>
      </c>
      <c r="S132" s="24">
        <f>VLOOKUP($R132,ラベル別係数!$A$1:$E$7,3,FALSE)</f>
        <v>5</v>
      </c>
      <c r="T132" s="24">
        <f>VLOOKUP($R132,ラベル別係数!$A$1:$E$7,4,FALSE)</f>
        <v>1.3</v>
      </c>
      <c r="U132" s="24">
        <f>VLOOKUP($R132,ラベル別係数!$A$1:$E$7,5,FALSE)</f>
        <v>0.8</v>
      </c>
      <c r="V132" s="27">
        <v>3</v>
      </c>
      <c r="W132" s="28">
        <f>VLOOKUP(V132,ターン数別攻撃係数!$A$1:$B$1000,2,FALSE)</f>
        <v>1</v>
      </c>
      <c r="X132" s="10">
        <v>30</v>
      </c>
      <c r="Y132" s="26">
        <f>VLOOKUP($X132,サイズ別係数!$B:$E,2,FALSE)</f>
        <v>1.3</v>
      </c>
      <c r="Z132" s="26">
        <f>VLOOKUP($X132,サイズ別係数!$B:$E,3,FALSE)</f>
        <v>1.3</v>
      </c>
      <c r="AA132" s="26">
        <f>VLOOKUP($X132,サイズ別係数!$B:$E,4,FALSE)</f>
        <v>1.1000000000000001</v>
      </c>
      <c r="AB132" s="5">
        <v>130</v>
      </c>
      <c r="AC132" s="34" t="str">
        <f ca="1">VLOOKUP($AB132,OFFSET([3]enemy_skill_sets!$B$2,0,0,COUNTA([3]enemy_skill_sets!$A:$A),MATCH(AC$1,[3]enemy_skill_sets!$1:$1,0)-MATCH($AB$1,[3]enemy_skill_sets!$1:$1,0)+1),MATCH(AC$1,[3]enemy_skill_sets!$1:$1,0)-MATCH($AB$1,[3]enemy_skill_sets!$1:$1,0)+1,FALSE)</f>
        <v>攻撃力×1.5倍の攻撃</v>
      </c>
      <c r="AD132" s="27">
        <v>1</v>
      </c>
      <c r="AE132" s="37">
        <v>1</v>
      </c>
      <c r="AF132" s="37">
        <v>0</v>
      </c>
      <c r="AG132" s="28">
        <f ca="1">ROUND(VLOOKUP(1,enemy_base_stats!$A:$F,2,FALSE) * Y132* J132*O132*E132*S132*AD132*[2]ステータス!$B$2,0)</f>
        <v>3250</v>
      </c>
      <c r="AH132" s="28">
        <f ca="1">ROUND(VLOOKUP(1,enemy_base_stats!$A:$F,3,FALSE) * Z132*K132*P132*F132*T132*AE132 * W132*[2]ステータス!$C$2,0)</f>
        <v>363</v>
      </c>
      <c r="AI132" s="28">
        <f ca="1">ROUND(VLOOKUP(1,enemy_base_stats!$A:$F,4,FALSE) * AA132*L132*Q132*G132*U132*AF132*[2]ステータス!$D$2,0)</f>
        <v>0</v>
      </c>
      <c r="AJ132" s="28">
        <f ca="1">ROUND(VLOOKUP(100,enemy_base_stats!$A:$F,2,FALSE) * Y132* J132*O132*E132*S132*AD132*[2]ステータス!$B$2,0)</f>
        <v>131950</v>
      </c>
      <c r="AK132" s="28">
        <f ca="1">ROUND(VLOOKUP(100,enemy_base_stats!$A:$F,3,FALSE)* Z132* K132*P132*F132*T132*AE132 * W132*[2]ステータス!$C$2,0)</f>
        <v>14756</v>
      </c>
      <c r="AL132" s="28">
        <f ca="1">ROUND(VLOOKUP(100,enemy_base_stats!$A:$F,4,FALSE)* AA132* L132*Q132*G132*U132*AF132*[2]ステータス!$D$2,0)</f>
        <v>0</v>
      </c>
      <c r="AM132" s="24">
        <f ca="1">VLOOKUP(M132,[2]character_tribe_i18n!$A:$I,9,FALSE)</f>
        <v>480</v>
      </c>
      <c r="AN132" s="36">
        <v>0</v>
      </c>
      <c r="AO132" s="53">
        <v>0</v>
      </c>
      <c r="AP132" s="58" t="s">
        <v>72</v>
      </c>
      <c r="AQ132" s="71">
        <f t="shared" ca="1" si="4"/>
        <v>131</v>
      </c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</row>
    <row r="133" spans="1:60" s="3" customFormat="1" ht="21" customHeight="1" x14ac:dyDescent="0.15">
      <c r="A133" s="7">
        <f t="shared" ca="1" si="5"/>
        <v>132</v>
      </c>
      <c r="B133" s="6" t="str">
        <f ca="1">VLOOKUP(A133,[2]characters!$A:$C,3,FALSE)</f>
        <v>鳥人ハヤト</v>
      </c>
      <c r="C133" s="9">
        <f ca="1">VLOOKUP(A133,[2]characters!$A:$I,9,FALSE)</f>
        <v>3</v>
      </c>
      <c r="D133" s="9" t="str">
        <f ca="1">VLOOKUP(A133,[2]characters!$A:$H,8,FALSE)</f>
        <v>yellow</v>
      </c>
      <c r="E133" s="24">
        <f ca="1">VLOOKUP(D133,[2]属性!$A:$E,2,FALSE)</f>
        <v>0.98</v>
      </c>
      <c r="F133" s="24">
        <f ca="1">VLOOKUP(D133,[2]属性!$A:$E,3,FALSE)</f>
        <v>1.01</v>
      </c>
      <c r="G133" s="24">
        <f ca="1">VLOOKUP(D133,[2]属性!$A:$F,4,FALSE)</f>
        <v>1</v>
      </c>
      <c r="H133" s="9" t="str">
        <f ca="1">VLOOKUP(A133,[2]characters!$A:$K,11,FALSE)</f>
        <v>attack</v>
      </c>
      <c r="I133" s="14" t="str">
        <f ca="1">VLOOKUP(H133,[2]character_type_i18n!$A:$F,3,FALSE)</f>
        <v>攻撃タイプ</v>
      </c>
      <c r="J133" s="36">
        <f ca="1">VLOOKUP(H133,[2]character_type_i18n!$A:$F,4,FALSE)</f>
        <v>1</v>
      </c>
      <c r="K133" s="36">
        <f ca="1">VLOOKUP(H133,[2]character_type_i18n!$A:$F,5,FALSE)</f>
        <v>1.33</v>
      </c>
      <c r="L133" s="36">
        <f ca="1">VLOOKUP(H133,[2]character_type_i18n!$A:$F,6,FALSE)</f>
        <v>1</v>
      </c>
      <c r="M133" s="9" t="str">
        <f ca="1">VLOOKUP(A133,[2]characters!$A:$M,13,FALSE)</f>
        <v>human</v>
      </c>
      <c r="N133" s="14" t="str">
        <f ca="1">VLOOKUP(M133,[2]character_tribe_i18n!$A:$F,3,FALSE)</f>
        <v>ヒューマン</v>
      </c>
      <c r="O133" s="24">
        <f ca="1">VLOOKUP(M133,[2]character_tribe_i18n!$A:$F,4,FALSE)</f>
        <v>0.94</v>
      </c>
      <c r="P133" s="24">
        <f ca="1">VLOOKUP(M133,[2]character_tribe_i18n!$A:$F,5,FALSE)</f>
        <v>0.99</v>
      </c>
      <c r="Q133" s="24">
        <f ca="1">VLOOKUP(M133,[2]character_tribe_i18n!$A:$F,6,FALSE)</f>
        <v>1</v>
      </c>
      <c r="R133" s="25" t="s">
        <v>4</v>
      </c>
      <c r="S133" s="24">
        <f>VLOOKUP($R133,ラベル別係数!$A$1:$E$7,3,FALSE)</f>
        <v>5</v>
      </c>
      <c r="T133" s="24">
        <f>VLOOKUP($R133,ラベル別係数!$A$1:$E$7,4,FALSE)</f>
        <v>1.3</v>
      </c>
      <c r="U133" s="24">
        <f>VLOOKUP($R133,ラベル別係数!$A$1:$E$7,5,FALSE)</f>
        <v>0.8</v>
      </c>
      <c r="V133" s="27">
        <v>3</v>
      </c>
      <c r="W133" s="28">
        <f>VLOOKUP(V133,ターン数別攻撃係数!$A$1:$B$1000,2,FALSE)</f>
        <v>1</v>
      </c>
      <c r="X133" s="10">
        <v>20</v>
      </c>
      <c r="Y133" s="26">
        <f>VLOOKUP($X133,サイズ別係数!$B:$E,2,FALSE)</f>
        <v>1.1000000000000001</v>
      </c>
      <c r="Z133" s="26">
        <f>VLOOKUP($X133,サイズ別係数!$B:$E,3,FALSE)</f>
        <v>1.2</v>
      </c>
      <c r="AA133" s="26">
        <f>VLOOKUP($X133,サイズ別係数!$B:$E,4,FALSE)</f>
        <v>1.2</v>
      </c>
      <c r="AB133" s="5">
        <v>0</v>
      </c>
      <c r="AC133" s="34" t="str">
        <f ca="1">VLOOKUP($AB133,OFFSET([3]enemy_skill_sets!$B$2,0,0,COUNTA([3]enemy_skill_sets!$A:$A),MATCH(AC$1,[3]enemy_skill_sets!$1:$1,0)-MATCH($AB$1,[3]enemy_skill_sets!$1:$1,0)+1),MATCH(AC$1,[3]enemy_skill_sets!$1:$1,0)-MATCH($AB$1,[3]enemy_skill_sets!$1:$1,0)+1,FALSE)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" s="27">
        <v>1</v>
      </c>
      <c r="AE133" s="37">
        <v>1</v>
      </c>
      <c r="AF133" s="37">
        <v>0</v>
      </c>
      <c r="AG133" s="28">
        <f ca="1">ROUND(VLOOKUP(1,enemy_base_stats!$A:$F,2,FALSE) * Y133* J133*O133*E133*S133*AD133*[2]ステータス!$B$2,0)</f>
        <v>2533</v>
      </c>
      <c r="AH133" s="28">
        <f ca="1">ROUND(VLOOKUP(1,enemy_base_stats!$A:$F,3,FALSE) * Z133*K133*P133*F133*T133*AE133 * W133*[2]ステータス!$C$2,0)</f>
        <v>311</v>
      </c>
      <c r="AI133" s="28">
        <f ca="1">ROUND(VLOOKUP(1,enemy_base_stats!$A:$F,4,FALSE) * AA133*L133*Q133*G133*U133*AF133*[2]ステータス!$D$2,0)</f>
        <v>0</v>
      </c>
      <c r="AJ133" s="28">
        <f ca="1">ROUND(VLOOKUP(100,enemy_base_stats!$A:$F,2,FALSE) * Y133* J133*O133*E133*S133*AD133*[2]ステータス!$B$2,0)</f>
        <v>102852</v>
      </c>
      <c r="AK133" s="28">
        <f ca="1">ROUND(VLOOKUP(100,enemy_base_stats!$A:$F,3,FALSE)* Z133* K133*P133*F133*T133*AE133 * W133*[2]ステータス!$C$2,0)</f>
        <v>12634</v>
      </c>
      <c r="AL133" s="28">
        <f ca="1">ROUND(VLOOKUP(100,enemy_base_stats!$A:$F,4,FALSE)* AA133* L133*Q133*G133*U133*AF133*[2]ステータス!$D$2,0)</f>
        <v>0</v>
      </c>
      <c r="AM133" s="24">
        <f ca="1">VLOOKUP(M133,[2]character_tribe_i18n!$A:$I,9,FALSE)</f>
        <v>400</v>
      </c>
      <c r="AN133" s="36">
        <v>0</v>
      </c>
      <c r="AO133" s="53">
        <v>0</v>
      </c>
      <c r="AP133" s="58" t="s">
        <v>72</v>
      </c>
      <c r="AQ133" s="71">
        <f t="shared" ca="1" si="4"/>
        <v>132</v>
      </c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</row>
    <row r="134" spans="1:60" s="3" customFormat="1" ht="21" customHeight="1" x14ac:dyDescent="0.15">
      <c r="A134" s="7">
        <f t="shared" ca="1" si="5"/>
        <v>133</v>
      </c>
      <c r="B134" s="6" t="str">
        <f ca="1">VLOOKUP(A134,[2]characters!$A:$C,3,FALSE)</f>
        <v>迅雷の刀剣 ハヤト</v>
      </c>
      <c r="C134" s="9">
        <f ca="1">VLOOKUP(A134,[2]characters!$A:$I,9,FALSE)</f>
        <v>4</v>
      </c>
      <c r="D134" s="9" t="str">
        <f ca="1">VLOOKUP(A134,[2]characters!$A:$H,8,FALSE)</f>
        <v>yellow</v>
      </c>
      <c r="E134" s="24">
        <f ca="1">VLOOKUP(D134,[2]属性!$A:$E,2,FALSE)</f>
        <v>0.98</v>
      </c>
      <c r="F134" s="24">
        <f ca="1">VLOOKUP(D134,[2]属性!$A:$E,3,FALSE)</f>
        <v>1.01</v>
      </c>
      <c r="G134" s="24">
        <f ca="1">VLOOKUP(D134,[2]属性!$A:$F,4,FALSE)</f>
        <v>1</v>
      </c>
      <c r="H134" s="9" t="str">
        <f ca="1">VLOOKUP(A134,[2]characters!$A:$K,11,FALSE)</f>
        <v>attack</v>
      </c>
      <c r="I134" s="14" t="str">
        <f ca="1">VLOOKUP(H134,[2]character_type_i18n!$A:$F,3,FALSE)</f>
        <v>攻撃タイプ</v>
      </c>
      <c r="J134" s="36">
        <f ca="1">VLOOKUP(H134,[2]character_type_i18n!$A:$F,4,FALSE)</f>
        <v>1</v>
      </c>
      <c r="K134" s="36">
        <f ca="1">VLOOKUP(H134,[2]character_type_i18n!$A:$F,5,FALSE)</f>
        <v>1.33</v>
      </c>
      <c r="L134" s="36">
        <f ca="1">VLOOKUP(H134,[2]character_type_i18n!$A:$F,6,FALSE)</f>
        <v>1</v>
      </c>
      <c r="M134" s="9" t="str">
        <f ca="1">VLOOKUP(A134,[2]characters!$A:$M,13,FALSE)</f>
        <v>human</v>
      </c>
      <c r="N134" s="14" t="str">
        <f ca="1">VLOOKUP(M134,[2]character_tribe_i18n!$A:$F,3,FALSE)</f>
        <v>ヒューマン</v>
      </c>
      <c r="O134" s="24">
        <f ca="1">VLOOKUP(M134,[2]character_tribe_i18n!$A:$F,4,FALSE)</f>
        <v>0.94</v>
      </c>
      <c r="P134" s="24">
        <f ca="1">VLOOKUP(M134,[2]character_tribe_i18n!$A:$F,5,FALSE)</f>
        <v>0.99</v>
      </c>
      <c r="Q134" s="24">
        <f ca="1">VLOOKUP(M134,[2]character_tribe_i18n!$A:$F,6,FALSE)</f>
        <v>1</v>
      </c>
      <c r="R134" s="25" t="s">
        <v>4</v>
      </c>
      <c r="S134" s="24">
        <f>VLOOKUP($R134,ラベル別係数!$A$1:$E$7,3,FALSE)</f>
        <v>5</v>
      </c>
      <c r="T134" s="24">
        <f>VLOOKUP($R134,ラベル別係数!$A$1:$E$7,4,FALSE)</f>
        <v>1.3</v>
      </c>
      <c r="U134" s="24">
        <f>VLOOKUP($R134,ラベル別係数!$A$1:$E$7,5,FALSE)</f>
        <v>0.8</v>
      </c>
      <c r="V134" s="27">
        <v>3</v>
      </c>
      <c r="W134" s="28">
        <f>VLOOKUP(V134,ターン数別攻撃係数!$A$1:$B$1000,2,FALSE)</f>
        <v>1</v>
      </c>
      <c r="X134" s="10">
        <v>30</v>
      </c>
      <c r="Y134" s="26">
        <f>VLOOKUP($X134,サイズ別係数!$B:$E,2,FALSE)</f>
        <v>1.3</v>
      </c>
      <c r="Z134" s="26">
        <f>VLOOKUP($X134,サイズ別係数!$B:$E,3,FALSE)</f>
        <v>1.3</v>
      </c>
      <c r="AA134" s="26">
        <f>VLOOKUP($X134,サイズ別係数!$B:$E,4,FALSE)</f>
        <v>1.1000000000000001</v>
      </c>
      <c r="AB134" s="5">
        <v>0</v>
      </c>
      <c r="AC134" s="34" t="str">
        <f ca="1">VLOOKUP($AB134,OFFSET([3]enemy_skill_sets!$B$2,0,0,COUNTA([3]enemy_skill_sets!$A:$A),MATCH(AC$1,[3]enemy_skill_sets!$1:$1,0)-MATCH($AB$1,[3]enemy_skill_sets!$1:$1,0)+1),MATCH(AC$1,[3]enemy_skill_sets!$1:$1,0)-MATCH($AB$1,[3]enemy_skill_sets!$1:$1,0)+1,FALSE)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" s="27">
        <v>1</v>
      </c>
      <c r="AE134" s="37">
        <v>1</v>
      </c>
      <c r="AF134" s="37">
        <v>0</v>
      </c>
      <c r="AG134" s="28">
        <f ca="1">ROUND(VLOOKUP(1,enemy_base_stats!$A:$F,2,FALSE) * Y134* J134*O134*E134*S134*AD134*[2]ステータス!$B$2,0)</f>
        <v>2994</v>
      </c>
      <c r="AH134" s="28">
        <f ca="1">ROUND(VLOOKUP(1,enemy_base_stats!$A:$F,3,FALSE) * Z134*K134*P134*F134*T134*AE134 * W134*[2]ステータス!$C$2,0)</f>
        <v>337</v>
      </c>
      <c r="AI134" s="28">
        <f ca="1">ROUND(VLOOKUP(1,enemy_base_stats!$A:$F,4,FALSE) * AA134*L134*Q134*G134*U134*AF134*[2]ステータス!$D$2,0)</f>
        <v>0</v>
      </c>
      <c r="AJ134" s="28">
        <f ca="1">ROUND(VLOOKUP(100,enemy_base_stats!$A:$F,2,FALSE) * Y134* J134*O134*E134*S134*AD134*[2]ステータス!$B$2,0)</f>
        <v>121552</v>
      </c>
      <c r="AK134" s="28">
        <f ca="1">ROUND(VLOOKUP(100,enemy_base_stats!$A:$F,3,FALSE)* Z134* K134*P134*F134*T134*AE134 * W134*[2]ステータス!$C$2,0)</f>
        <v>13687</v>
      </c>
      <c r="AL134" s="28">
        <f ca="1">ROUND(VLOOKUP(100,enemy_base_stats!$A:$F,4,FALSE)* AA134* L134*Q134*G134*U134*AF134*[2]ステータス!$D$2,0)</f>
        <v>0</v>
      </c>
      <c r="AM134" s="24">
        <f ca="1">VLOOKUP(M134,[2]character_tribe_i18n!$A:$I,9,FALSE)</f>
        <v>400</v>
      </c>
      <c r="AN134" s="36">
        <v>0</v>
      </c>
      <c r="AO134" s="53">
        <v>0</v>
      </c>
      <c r="AP134" s="58" t="s">
        <v>72</v>
      </c>
      <c r="AQ134" s="71">
        <f t="shared" ca="1" si="4"/>
        <v>133</v>
      </c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</row>
    <row r="135" spans="1:60" s="3" customFormat="1" ht="21" customHeight="1" x14ac:dyDescent="0.15">
      <c r="A135" s="7">
        <f t="shared" ca="1" si="5"/>
        <v>134</v>
      </c>
      <c r="B135" s="6" t="str">
        <f ca="1">VLOOKUP(A135,[2]characters!$A:$C,3,FALSE)</f>
        <v>妖炎の夕霧</v>
      </c>
      <c r="C135" s="9">
        <f ca="1">VLOOKUP(A135,[2]characters!$A:$I,9,FALSE)</f>
        <v>3</v>
      </c>
      <c r="D135" s="9" t="str">
        <f ca="1">VLOOKUP(A135,[2]characters!$A:$H,8,FALSE)</f>
        <v>red</v>
      </c>
      <c r="E135" s="24">
        <f ca="1">VLOOKUP(D135,[2]属性!$A:$E,2,FALSE)</f>
        <v>1</v>
      </c>
      <c r="F135" s="24">
        <f ca="1">VLOOKUP(D135,[2]属性!$A:$E,3,FALSE)</f>
        <v>1.02</v>
      </c>
      <c r="G135" s="24">
        <f ca="1">VLOOKUP(D135,[2]属性!$A:$F,4,FALSE)</f>
        <v>1</v>
      </c>
      <c r="H135" s="9" t="str">
        <f ca="1">VLOOKUP(A135,[2]characters!$A:$K,11,FALSE)</f>
        <v>balance</v>
      </c>
      <c r="I135" s="14" t="str">
        <f ca="1">VLOOKUP(H135,[2]character_type_i18n!$A:$F,3,FALSE)</f>
        <v>バランスタイプ</v>
      </c>
      <c r="J135" s="36">
        <f ca="1">VLOOKUP(H135,[2]character_type_i18n!$A:$F,4,FALSE)</f>
        <v>1</v>
      </c>
      <c r="K135" s="36">
        <f ca="1">VLOOKUP(H135,[2]character_type_i18n!$A:$F,5,FALSE)</f>
        <v>1</v>
      </c>
      <c r="L135" s="36">
        <f ca="1">VLOOKUP(H135,[2]character_type_i18n!$A:$F,6,FALSE)</f>
        <v>1</v>
      </c>
      <c r="M135" s="9" t="str">
        <f ca="1">VLOOKUP(A135,[2]characters!$A:$M,13,FALSE)</f>
        <v>human</v>
      </c>
      <c r="N135" s="14" t="str">
        <f ca="1">VLOOKUP(M135,[2]character_tribe_i18n!$A:$F,3,FALSE)</f>
        <v>ヒューマン</v>
      </c>
      <c r="O135" s="24">
        <f ca="1">VLOOKUP(M135,[2]character_tribe_i18n!$A:$F,4,FALSE)</f>
        <v>0.94</v>
      </c>
      <c r="P135" s="24">
        <f ca="1">VLOOKUP(M135,[2]character_tribe_i18n!$A:$F,5,FALSE)</f>
        <v>0.99</v>
      </c>
      <c r="Q135" s="24">
        <f ca="1">VLOOKUP(M135,[2]character_tribe_i18n!$A:$F,6,FALSE)</f>
        <v>1</v>
      </c>
      <c r="R135" s="25" t="s">
        <v>4</v>
      </c>
      <c r="S135" s="24">
        <f>VLOOKUP($R135,ラベル別係数!$A$1:$E$7,3,FALSE)</f>
        <v>5</v>
      </c>
      <c r="T135" s="24">
        <f>VLOOKUP($R135,ラベル別係数!$A$1:$E$7,4,FALSE)</f>
        <v>1.3</v>
      </c>
      <c r="U135" s="24">
        <f>VLOOKUP($R135,ラベル別係数!$A$1:$E$7,5,FALSE)</f>
        <v>0.8</v>
      </c>
      <c r="V135" s="27">
        <v>3</v>
      </c>
      <c r="W135" s="28">
        <f>VLOOKUP(V135,ターン数別攻撃係数!$A$1:$B$1000,2,FALSE)</f>
        <v>1</v>
      </c>
      <c r="X135" s="10">
        <v>20</v>
      </c>
      <c r="Y135" s="26">
        <f>VLOOKUP($X135,サイズ別係数!$B:$E,2,FALSE)</f>
        <v>1.1000000000000001</v>
      </c>
      <c r="Z135" s="26">
        <f>VLOOKUP($X135,サイズ別係数!$B:$E,3,FALSE)</f>
        <v>1.2</v>
      </c>
      <c r="AA135" s="26">
        <f>VLOOKUP($X135,サイズ別係数!$B:$E,4,FALSE)</f>
        <v>1.2</v>
      </c>
      <c r="AB135" s="5">
        <v>134</v>
      </c>
      <c r="AC135" s="34" t="str">
        <f ca="1">VLOOKUP($AB135,OFFSET([3]enemy_skill_sets!$B$2,0,0,COUNTA([3]enemy_skill_sets!$A:$A),MATCH(AC$1,[3]enemy_skill_sets!$1:$1,0)-MATCH($AB$1,[3]enemy_skill_sets!$1:$1,0)+1),MATCH(AC$1,[3]enemy_skill_sets!$1:$1,0)-MATCH($AB$1,[3]enemy_skill_sets!$1:$1,0)+1,FALSE)</f>
        <v>3ターンの間ダメージを受ける</v>
      </c>
      <c r="AD135" s="27">
        <v>1</v>
      </c>
      <c r="AE135" s="37">
        <v>1</v>
      </c>
      <c r="AF135" s="37">
        <v>0</v>
      </c>
      <c r="AG135" s="28">
        <f ca="1">ROUND(VLOOKUP(1,enemy_base_stats!$A:$F,2,FALSE) * Y135* J135*O135*E135*S135*AD135*[2]ステータス!$B$2,0)</f>
        <v>2585</v>
      </c>
      <c r="AH135" s="28">
        <f ca="1">ROUND(VLOOKUP(1,enemy_base_stats!$A:$F,3,FALSE) * Z135*K135*P135*F135*T135*AE135 * W135*[2]ステータス!$C$2,0)</f>
        <v>236</v>
      </c>
      <c r="AI135" s="28">
        <f ca="1">ROUND(VLOOKUP(1,enemy_base_stats!$A:$F,4,FALSE) * AA135*L135*Q135*G135*U135*AF135*[2]ステータス!$D$2,0)</f>
        <v>0</v>
      </c>
      <c r="AJ135" s="28">
        <f ca="1">ROUND(VLOOKUP(100,enemy_base_stats!$A:$F,2,FALSE) * Y135* J135*O135*E135*S135*AD135*[2]ステータス!$B$2,0)</f>
        <v>104951</v>
      </c>
      <c r="AK135" s="28">
        <f ca="1">ROUND(VLOOKUP(100,enemy_base_stats!$A:$F,3,FALSE)* Z135* K135*P135*F135*T135*AE135 * W135*[2]ステータス!$C$2,0)</f>
        <v>9594</v>
      </c>
      <c r="AL135" s="28">
        <f ca="1">ROUND(VLOOKUP(100,enemy_base_stats!$A:$F,4,FALSE)* AA135* L135*Q135*G135*U135*AF135*[2]ステータス!$D$2,0)</f>
        <v>0</v>
      </c>
      <c r="AM135" s="24">
        <f ca="1">VLOOKUP(M135,[2]character_tribe_i18n!$A:$I,9,FALSE)</f>
        <v>400</v>
      </c>
      <c r="AN135" s="36">
        <v>0</v>
      </c>
      <c r="AO135" s="53">
        <v>0</v>
      </c>
      <c r="AP135" s="58" t="s">
        <v>72</v>
      </c>
      <c r="AQ135" s="71">
        <f t="shared" ca="1" si="4"/>
        <v>134</v>
      </c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</row>
    <row r="136" spans="1:60" s="3" customFormat="1" ht="21" customHeight="1" x14ac:dyDescent="0.15">
      <c r="A136" s="7">
        <f t="shared" ca="1" si="5"/>
        <v>135</v>
      </c>
      <c r="B136" s="6" t="str">
        <f ca="1">VLOOKUP(A136,[2]characters!$A:$C,3,FALSE)</f>
        <v>京の炎華夕霧</v>
      </c>
      <c r="C136" s="9">
        <f ca="1">VLOOKUP(A136,[2]characters!$A:$I,9,FALSE)</f>
        <v>4</v>
      </c>
      <c r="D136" s="9" t="str">
        <f ca="1">VLOOKUP(A136,[2]characters!$A:$H,8,FALSE)</f>
        <v>red</v>
      </c>
      <c r="E136" s="24">
        <f ca="1">VLOOKUP(D136,[2]属性!$A:$E,2,FALSE)</f>
        <v>1</v>
      </c>
      <c r="F136" s="24">
        <f ca="1">VLOOKUP(D136,[2]属性!$A:$E,3,FALSE)</f>
        <v>1.02</v>
      </c>
      <c r="G136" s="24">
        <f ca="1">VLOOKUP(D136,[2]属性!$A:$F,4,FALSE)</f>
        <v>1</v>
      </c>
      <c r="H136" s="9" t="str">
        <f ca="1">VLOOKUP(A136,[2]characters!$A:$K,11,FALSE)</f>
        <v>balance</v>
      </c>
      <c r="I136" s="14" t="str">
        <f ca="1">VLOOKUP(H136,[2]character_type_i18n!$A:$F,3,FALSE)</f>
        <v>バランスタイプ</v>
      </c>
      <c r="J136" s="36">
        <f ca="1">VLOOKUP(H136,[2]character_type_i18n!$A:$F,4,FALSE)</f>
        <v>1</v>
      </c>
      <c r="K136" s="36">
        <f ca="1">VLOOKUP(H136,[2]character_type_i18n!$A:$F,5,FALSE)</f>
        <v>1</v>
      </c>
      <c r="L136" s="36">
        <f ca="1">VLOOKUP(H136,[2]character_type_i18n!$A:$F,6,FALSE)</f>
        <v>1</v>
      </c>
      <c r="M136" s="9" t="str">
        <f ca="1">VLOOKUP(A136,[2]characters!$A:$M,13,FALSE)</f>
        <v>human</v>
      </c>
      <c r="N136" s="14" t="str">
        <f ca="1">VLOOKUP(M136,[2]character_tribe_i18n!$A:$F,3,FALSE)</f>
        <v>ヒューマン</v>
      </c>
      <c r="O136" s="24">
        <f ca="1">VLOOKUP(M136,[2]character_tribe_i18n!$A:$F,4,FALSE)</f>
        <v>0.94</v>
      </c>
      <c r="P136" s="24">
        <f ca="1">VLOOKUP(M136,[2]character_tribe_i18n!$A:$F,5,FALSE)</f>
        <v>0.99</v>
      </c>
      <c r="Q136" s="24">
        <f ca="1">VLOOKUP(M136,[2]character_tribe_i18n!$A:$F,6,FALSE)</f>
        <v>1</v>
      </c>
      <c r="R136" s="25" t="s">
        <v>87</v>
      </c>
      <c r="S136" s="24">
        <f>VLOOKUP($R136,ラベル別係数!$A$1:$E$7,3,FALSE)</f>
        <v>7.5</v>
      </c>
      <c r="T136" s="24">
        <f>VLOOKUP($R136,ラベル別係数!$A$1:$E$7,4,FALSE)</f>
        <v>1</v>
      </c>
      <c r="U136" s="24">
        <f>VLOOKUP($R136,ラベル別係数!$A$1:$E$7,5,FALSE)</f>
        <v>0.8</v>
      </c>
      <c r="V136" s="27">
        <v>3</v>
      </c>
      <c r="W136" s="28">
        <f>VLOOKUP(V136,ターン数別攻撃係数!$A$1:$B$1000,2,FALSE)</f>
        <v>1</v>
      </c>
      <c r="X136" s="10">
        <v>30</v>
      </c>
      <c r="Y136" s="26">
        <f>VLOOKUP($X136,サイズ別係数!$B:$E,2,FALSE)</f>
        <v>1.3</v>
      </c>
      <c r="Z136" s="26">
        <f>VLOOKUP($X136,サイズ別係数!$B:$E,3,FALSE)</f>
        <v>1.3</v>
      </c>
      <c r="AA136" s="26">
        <f>VLOOKUP($X136,サイズ別係数!$B:$E,4,FALSE)</f>
        <v>1.1000000000000001</v>
      </c>
      <c r="AB136" s="5">
        <v>134</v>
      </c>
      <c r="AC136" s="34" t="str">
        <f ca="1">VLOOKUP($AB136,OFFSET([3]enemy_skill_sets!$B$2,0,0,COUNTA([3]enemy_skill_sets!$A:$A),MATCH(AC$1,[3]enemy_skill_sets!$1:$1,0)-MATCH($AB$1,[3]enemy_skill_sets!$1:$1,0)+1),MATCH(AC$1,[3]enemy_skill_sets!$1:$1,0)-MATCH($AB$1,[3]enemy_skill_sets!$1:$1,0)+1,FALSE)</f>
        <v>3ターンの間ダメージを受ける</v>
      </c>
      <c r="AD136" s="27">
        <v>1</v>
      </c>
      <c r="AE136" s="37">
        <v>1</v>
      </c>
      <c r="AF136" s="37">
        <v>0</v>
      </c>
      <c r="AG136" s="28">
        <f ca="1">ROUND(VLOOKUP(1,enemy_base_stats!$A:$F,2,FALSE) * Y136* J136*O136*E136*S136*AD136*[2]ステータス!$B$2,0)</f>
        <v>4583</v>
      </c>
      <c r="AH136" s="28">
        <f ca="1">ROUND(VLOOKUP(1,enemy_base_stats!$A:$F,3,FALSE) * Z136*K136*P136*F136*T136*AE136 * W136*[2]ステータス!$C$2,0)</f>
        <v>197</v>
      </c>
      <c r="AI136" s="28">
        <f ca="1">ROUND(VLOOKUP(1,enemy_base_stats!$A:$F,4,FALSE) * AA136*L136*Q136*G136*U136*AF136*[2]ステータス!$D$2,0)</f>
        <v>0</v>
      </c>
      <c r="AJ136" s="28">
        <f ca="1">ROUND(VLOOKUP(100,enemy_base_stats!$A:$F,2,FALSE) * Y136* J136*O136*E136*S136*AD136*[2]ステータス!$B$2,0)</f>
        <v>186050</v>
      </c>
      <c r="AK136" s="28">
        <f ca="1">ROUND(VLOOKUP(100,enemy_base_stats!$A:$F,3,FALSE)* Z136* K136*P136*F136*T136*AE136 * W136*[2]ステータス!$C$2,0)</f>
        <v>7995</v>
      </c>
      <c r="AL136" s="28">
        <f ca="1">ROUND(VLOOKUP(100,enemy_base_stats!$A:$F,4,FALSE)* AA136* L136*Q136*G136*U136*AF136*[2]ステータス!$D$2,0)</f>
        <v>0</v>
      </c>
      <c r="AM136" s="24">
        <f ca="1">VLOOKUP(M136,[2]character_tribe_i18n!$A:$I,9,FALSE)</f>
        <v>400</v>
      </c>
      <c r="AN136" s="36">
        <v>0</v>
      </c>
      <c r="AO136" s="53">
        <v>0</v>
      </c>
      <c r="AP136" s="58" t="s">
        <v>72</v>
      </c>
      <c r="AQ136" s="71">
        <f t="shared" ca="1" si="4"/>
        <v>135</v>
      </c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</row>
    <row r="137" spans="1:60" s="3" customFormat="1" ht="21" customHeight="1" x14ac:dyDescent="0.15">
      <c r="A137" s="7">
        <f t="shared" ca="1" si="5"/>
        <v>136</v>
      </c>
      <c r="B137" s="6" t="str">
        <f ca="1">VLOOKUP(A137,[2]characters!$A:$C,3,FALSE)</f>
        <v>お針子チハヤ</v>
      </c>
      <c r="C137" s="9">
        <f ca="1">VLOOKUP(A137,[2]characters!$A:$I,9,FALSE)</f>
        <v>3</v>
      </c>
      <c r="D137" s="9" t="str">
        <f ca="1">VLOOKUP(A137,[2]characters!$A:$H,8,FALSE)</f>
        <v>green</v>
      </c>
      <c r="E137" s="24">
        <f ca="1">VLOOKUP(D137,[2]属性!$A:$E,2,FALSE)</f>
        <v>1.02</v>
      </c>
      <c r="F137" s="24">
        <f ca="1">VLOOKUP(D137,[2]属性!$A:$E,3,FALSE)</f>
        <v>0.98</v>
      </c>
      <c r="G137" s="24">
        <f ca="1">VLOOKUP(D137,[2]属性!$A:$F,4,FALSE)</f>
        <v>1</v>
      </c>
      <c r="H137" s="9" t="str">
        <f ca="1">VLOOKUP(A137,[2]characters!$A:$K,11,FALSE)</f>
        <v>balance</v>
      </c>
      <c r="I137" s="14" t="str">
        <f ca="1">VLOOKUP(H137,[2]character_type_i18n!$A:$F,3,FALSE)</f>
        <v>バランスタイプ</v>
      </c>
      <c r="J137" s="36">
        <f ca="1">VLOOKUP(H137,[2]character_type_i18n!$A:$F,4,FALSE)</f>
        <v>1</v>
      </c>
      <c r="K137" s="36">
        <f ca="1">VLOOKUP(H137,[2]character_type_i18n!$A:$F,5,FALSE)</f>
        <v>1</v>
      </c>
      <c r="L137" s="36">
        <f ca="1">VLOOKUP(H137,[2]character_type_i18n!$A:$F,6,FALSE)</f>
        <v>1</v>
      </c>
      <c r="M137" s="9" t="str">
        <f ca="1">VLOOKUP(A137,[2]characters!$A:$M,13,FALSE)</f>
        <v>human</v>
      </c>
      <c r="N137" s="14" t="str">
        <f ca="1">VLOOKUP(M137,[2]character_tribe_i18n!$A:$F,3,FALSE)</f>
        <v>ヒューマン</v>
      </c>
      <c r="O137" s="24">
        <f ca="1">VLOOKUP(M137,[2]character_tribe_i18n!$A:$F,4,FALSE)</f>
        <v>0.94</v>
      </c>
      <c r="P137" s="24">
        <f ca="1">VLOOKUP(M137,[2]character_tribe_i18n!$A:$F,5,FALSE)</f>
        <v>0.99</v>
      </c>
      <c r="Q137" s="24">
        <f ca="1">VLOOKUP(M137,[2]character_tribe_i18n!$A:$F,6,FALSE)</f>
        <v>1</v>
      </c>
      <c r="R137" s="25" t="s">
        <v>4</v>
      </c>
      <c r="S137" s="24">
        <f>VLOOKUP($R137,ラベル別係数!$A$1:$E$7,3,FALSE)</f>
        <v>5</v>
      </c>
      <c r="T137" s="24">
        <f>VLOOKUP($R137,ラベル別係数!$A$1:$E$7,4,FALSE)</f>
        <v>1.3</v>
      </c>
      <c r="U137" s="24">
        <f>VLOOKUP($R137,ラベル別係数!$A$1:$E$7,5,FALSE)</f>
        <v>0.8</v>
      </c>
      <c r="V137" s="27">
        <v>4</v>
      </c>
      <c r="W137" s="28">
        <f>VLOOKUP(V137,ターン数別攻撃係数!$A$1:$B$1000,2,FALSE)</f>
        <v>1.2</v>
      </c>
      <c r="X137" s="10">
        <v>20</v>
      </c>
      <c r="Y137" s="26">
        <f>VLOOKUP($X137,サイズ別係数!$B:$E,2,FALSE)</f>
        <v>1.1000000000000001</v>
      </c>
      <c r="Z137" s="26">
        <f>VLOOKUP($X137,サイズ別係数!$B:$E,3,FALSE)</f>
        <v>1.2</v>
      </c>
      <c r="AA137" s="26">
        <f>VLOOKUP($X137,サイズ別係数!$B:$E,4,FALSE)</f>
        <v>1.2</v>
      </c>
      <c r="AB137" s="5">
        <v>136</v>
      </c>
      <c r="AC137" s="34" t="str">
        <f ca="1">VLOOKUP($AB137,OFFSET([3]enemy_skill_sets!$B$2,0,0,COUNTA([3]enemy_skill_sets!$A:$A),MATCH(AC$1,[3]enemy_skill_sets!$1:$1,0)-MATCH($AB$1,[3]enemy_skill_sets!$1:$1,0)+1),MATCH(AC$1,[3]enemy_skill_sets!$1:$1,0)-MATCH($AB$1,[3]enemy_skill_sets!$1:$1,0)+1,FALSE)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37" s="27">
        <v>1</v>
      </c>
      <c r="AE137" s="37">
        <v>1</v>
      </c>
      <c r="AF137" s="37">
        <v>0</v>
      </c>
      <c r="AG137" s="28">
        <f ca="1">ROUND(VLOOKUP(1,enemy_base_stats!$A:$F,2,FALSE) * Y137* J137*O137*E137*S137*AD137*[2]ステータス!$B$2,0)</f>
        <v>2637</v>
      </c>
      <c r="AH137" s="28">
        <f ca="1">ROUND(VLOOKUP(1,enemy_base_stats!$A:$F,3,FALSE) * Z137*K137*P137*F137*T137*AE137 * W137*[2]ステータス!$C$2,0)</f>
        <v>272</v>
      </c>
      <c r="AI137" s="28">
        <f ca="1">ROUND(VLOOKUP(1,enemy_base_stats!$A:$F,4,FALSE) * AA137*L137*Q137*G137*U137*AF137*[2]ステータス!$D$2,0)</f>
        <v>0</v>
      </c>
      <c r="AJ137" s="28">
        <f ca="1">ROUND(VLOOKUP(100,enemy_base_stats!$A:$F,2,FALSE) * Y137* J137*O137*E137*S137*AD137*[2]ステータス!$B$2,0)</f>
        <v>107050</v>
      </c>
      <c r="AK137" s="28">
        <f ca="1">ROUND(VLOOKUP(100,enemy_base_stats!$A:$F,3,FALSE)* Z137* K137*P137*F137*T137*AE137 * W137*[2]ステータス!$C$2,0)</f>
        <v>11061</v>
      </c>
      <c r="AL137" s="28">
        <f ca="1">ROUND(VLOOKUP(100,enemy_base_stats!$A:$F,4,FALSE)* AA137* L137*Q137*G137*U137*AF137*[2]ステータス!$D$2,0)</f>
        <v>0</v>
      </c>
      <c r="AM137" s="24">
        <f ca="1">VLOOKUP(M137,[2]character_tribe_i18n!$A:$I,9,FALSE)</f>
        <v>400</v>
      </c>
      <c r="AN137" s="36">
        <v>0</v>
      </c>
      <c r="AO137" s="53">
        <v>0</v>
      </c>
      <c r="AP137" s="58" t="s">
        <v>72</v>
      </c>
      <c r="AQ137" s="71">
        <f t="shared" ca="1" si="4"/>
        <v>136</v>
      </c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8"/>
      <c r="BC137" s="18"/>
      <c r="BD137" s="18"/>
      <c r="BE137" s="18"/>
      <c r="BF137" s="18"/>
      <c r="BG137" s="18"/>
      <c r="BH137" s="18"/>
    </row>
    <row r="138" spans="1:60" s="3" customFormat="1" ht="21" customHeight="1" x14ac:dyDescent="0.15">
      <c r="A138" s="7">
        <f t="shared" ca="1" si="5"/>
        <v>137</v>
      </c>
      <c r="B138" s="6" t="str">
        <f ca="1">VLOOKUP(A138,[2]characters!$A:$C,3,FALSE)</f>
        <v>清福の仕立屋 チハヤ</v>
      </c>
      <c r="C138" s="9">
        <f ca="1">VLOOKUP(A138,[2]characters!$A:$I,9,FALSE)</f>
        <v>4</v>
      </c>
      <c r="D138" s="9" t="str">
        <f ca="1">VLOOKUP(A138,[2]characters!$A:$H,8,FALSE)</f>
        <v>green</v>
      </c>
      <c r="E138" s="24">
        <f ca="1">VLOOKUP(D138,[2]属性!$A:$E,2,FALSE)</f>
        <v>1.02</v>
      </c>
      <c r="F138" s="24">
        <f ca="1">VLOOKUP(D138,[2]属性!$A:$E,3,FALSE)</f>
        <v>0.98</v>
      </c>
      <c r="G138" s="24">
        <f ca="1">VLOOKUP(D138,[2]属性!$A:$F,4,FALSE)</f>
        <v>1</v>
      </c>
      <c r="H138" s="9" t="str">
        <f ca="1">VLOOKUP(A138,[2]characters!$A:$K,11,FALSE)</f>
        <v>balance</v>
      </c>
      <c r="I138" s="14" t="str">
        <f ca="1">VLOOKUP(H138,[2]character_type_i18n!$A:$F,3,FALSE)</f>
        <v>バランスタイプ</v>
      </c>
      <c r="J138" s="36">
        <f ca="1">VLOOKUP(H138,[2]character_type_i18n!$A:$F,4,FALSE)</f>
        <v>1</v>
      </c>
      <c r="K138" s="36">
        <f ca="1">VLOOKUP(H138,[2]character_type_i18n!$A:$F,5,FALSE)</f>
        <v>1</v>
      </c>
      <c r="L138" s="36">
        <f ca="1">VLOOKUP(H138,[2]character_type_i18n!$A:$F,6,FALSE)</f>
        <v>1</v>
      </c>
      <c r="M138" s="9" t="str">
        <f ca="1">VLOOKUP(A138,[2]characters!$A:$M,13,FALSE)</f>
        <v>human</v>
      </c>
      <c r="N138" s="14" t="str">
        <f ca="1">VLOOKUP(M138,[2]character_tribe_i18n!$A:$F,3,FALSE)</f>
        <v>ヒューマン</v>
      </c>
      <c r="O138" s="24">
        <f ca="1">VLOOKUP(M138,[2]character_tribe_i18n!$A:$F,4,FALSE)</f>
        <v>0.94</v>
      </c>
      <c r="P138" s="24">
        <f ca="1">VLOOKUP(M138,[2]character_tribe_i18n!$A:$F,5,FALSE)</f>
        <v>0.99</v>
      </c>
      <c r="Q138" s="24">
        <f ca="1">VLOOKUP(M138,[2]character_tribe_i18n!$A:$F,6,FALSE)</f>
        <v>1</v>
      </c>
      <c r="R138" s="25" t="s">
        <v>4</v>
      </c>
      <c r="S138" s="24">
        <f>VLOOKUP($R138,ラベル別係数!$A$1:$E$7,3,FALSE)</f>
        <v>5</v>
      </c>
      <c r="T138" s="24">
        <f>VLOOKUP($R138,ラベル別係数!$A$1:$E$7,4,FALSE)</f>
        <v>1.3</v>
      </c>
      <c r="U138" s="24">
        <f>VLOOKUP($R138,ラベル別係数!$A$1:$E$7,5,FALSE)</f>
        <v>0.8</v>
      </c>
      <c r="V138" s="27">
        <v>4</v>
      </c>
      <c r="W138" s="28">
        <f>VLOOKUP(V138,ターン数別攻撃係数!$A$1:$B$1000,2,FALSE)</f>
        <v>1.2</v>
      </c>
      <c r="X138" s="10">
        <v>30</v>
      </c>
      <c r="Y138" s="26">
        <f>VLOOKUP($X138,サイズ別係数!$B:$E,2,FALSE)</f>
        <v>1.3</v>
      </c>
      <c r="Z138" s="26">
        <f>VLOOKUP($X138,サイズ別係数!$B:$E,3,FALSE)</f>
        <v>1.3</v>
      </c>
      <c r="AA138" s="26">
        <f>VLOOKUP($X138,サイズ別係数!$B:$E,4,FALSE)</f>
        <v>1.1000000000000001</v>
      </c>
      <c r="AB138" s="5">
        <v>136</v>
      </c>
      <c r="AC138" s="34" t="str">
        <f ca="1">VLOOKUP($AB138,OFFSET([3]enemy_skill_sets!$B$2,0,0,COUNTA([3]enemy_skill_sets!$A:$A),MATCH(AC$1,[3]enemy_skill_sets!$1:$1,0)-MATCH($AB$1,[3]enemy_skill_sets!$1:$1,0)+1),MATCH(AC$1,[3]enemy_skill_sets!$1:$1,0)-MATCH($AB$1,[3]enemy_skill_sets!$1:$1,0)+1,FALSE)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38" s="27">
        <v>1</v>
      </c>
      <c r="AE138" s="37">
        <v>1</v>
      </c>
      <c r="AF138" s="37">
        <v>0</v>
      </c>
      <c r="AG138" s="28">
        <f ca="1">ROUND(VLOOKUP(1,enemy_base_stats!$A:$F,2,FALSE) * Y138* J138*O138*E138*S138*AD138*[2]ステータス!$B$2,0)</f>
        <v>3116</v>
      </c>
      <c r="AH138" s="28">
        <f ca="1">ROUND(VLOOKUP(1,enemy_base_stats!$A:$F,3,FALSE) * Z138*K138*P138*F138*T138*AE138 * W138*[2]ステータス!$C$2,0)</f>
        <v>295</v>
      </c>
      <c r="AI138" s="28">
        <f ca="1">ROUND(VLOOKUP(1,enemy_base_stats!$A:$F,4,FALSE) * AA138*L138*Q138*G138*U138*AF138*[2]ステータス!$D$2,0)</f>
        <v>0</v>
      </c>
      <c r="AJ138" s="28">
        <f ca="1">ROUND(VLOOKUP(100,enemy_base_stats!$A:$F,2,FALSE) * Y138* J138*O138*E138*S138*AD138*[2]ステータス!$B$2,0)</f>
        <v>126514</v>
      </c>
      <c r="AK138" s="28">
        <f ca="1">ROUND(VLOOKUP(100,enemy_base_stats!$A:$F,3,FALSE)* Z138* K138*P138*F138*T138*AE138 * W138*[2]ステータス!$C$2,0)</f>
        <v>11982</v>
      </c>
      <c r="AL138" s="28">
        <f ca="1">ROUND(VLOOKUP(100,enemy_base_stats!$A:$F,4,FALSE)* AA138* L138*Q138*G138*U138*AF138*[2]ステータス!$D$2,0)</f>
        <v>0</v>
      </c>
      <c r="AM138" s="24">
        <f ca="1">VLOOKUP(M138,[2]character_tribe_i18n!$A:$I,9,FALSE)</f>
        <v>400</v>
      </c>
      <c r="AN138" s="36">
        <v>0</v>
      </c>
      <c r="AO138" s="53">
        <v>0</v>
      </c>
      <c r="AP138" s="58" t="s">
        <v>72</v>
      </c>
      <c r="AQ138" s="71">
        <f t="shared" ca="1" si="4"/>
        <v>137</v>
      </c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</row>
    <row r="139" spans="1:60" s="3" customFormat="1" ht="21" customHeight="1" x14ac:dyDescent="0.15">
      <c r="A139" s="7">
        <f t="shared" ca="1" si="5"/>
        <v>138</v>
      </c>
      <c r="B139" s="6" t="str">
        <f ca="1">VLOOKUP(A139,[2]characters!$A:$C,3,FALSE)</f>
        <v>蒼薙のトモエ</v>
      </c>
      <c r="C139" s="9">
        <f ca="1">VLOOKUP(A139,[2]characters!$A:$I,9,FALSE)</f>
        <v>3</v>
      </c>
      <c r="D139" s="9" t="str">
        <f ca="1">VLOOKUP(A139,[2]characters!$A:$H,8,FALSE)</f>
        <v>blue</v>
      </c>
      <c r="E139" s="24">
        <f ca="1">VLOOKUP(D139,[2]属性!$A:$E,2,FALSE)</f>
        <v>1</v>
      </c>
      <c r="F139" s="24">
        <f ca="1">VLOOKUP(D139,[2]属性!$A:$E,3,FALSE)</f>
        <v>0.98</v>
      </c>
      <c r="G139" s="24">
        <f ca="1">VLOOKUP(D139,[2]属性!$A:$F,4,FALSE)</f>
        <v>1</v>
      </c>
      <c r="H139" s="9" t="str">
        <f ca="1">VLOOKUP(A139,[2]characters!$A:$K,11,FALSE)</f>
        <v>balance</v>
      </c>
      <c r="I139" s="14" t="str">
        <f ca="1">VLOOKUP(H139,[2]character_type_i18n!$A:$F,3,FALSE)</f>
        <v>バランスタイプ</v>
      </c>
      <c r="J139" s="36">
        <f ca="1">VLOOKUP(H139,[2]character_type_i18n!$A:$F,4,FALSE)</f>
        <v>1</v>
      </c>
      <c r="K139" s="36">
        <f ca="1">VLOOKUP(H139,[2]character_type_i18n!$A:$F,5,FALSE)</f>
        <v>1</v>
      </c>
      <c r="L139" s="36">
        <f ca="1">VLOOKUP(H139,[2]character_type_i18n!$A:$F,6,FALSE)</f>
        <v>1</v>
      </c>
      <c r="M139" s="9" t="str">
        <f ca="1">VLOOKUP(A139,[2]characters!$A:$M,13,FALSE)</f>
        <v>human</v>
      </c>
      <c r="N139" s="14" t="str">
        <f ca="1">VLOOKUP(M139,[2]character_tribe_i18n!$A:$F,3,FALSE)</f>
        <v>ヒューマン</v>
      </c>
      <c r="O139" s="24">
        <f ca="1">VLOOKUP(M139,[2]character_tribe_i18n!$A:$F,4,FALSE)</f>
        <v>0.94</v>
      </c>
      <c r="P139" s="24">
        <f ca="1">VLOOKUP(M139,[2]character_tribe_i18n!$A:$F,5,FALSE)</f>
        <v>0.99</v>
      </c>
      <c r="Q139" s="24">
        <f ca="1">VLOOKUP(M139,[2]character_tribe_i18n!$A:$F,6,FALSE)</f>
        <v>1</v>
      </c>
      <c r="R139" s="25" t="s">
        <v>4</v>
      </c>
      <c r="S139" s="24">
        <f>VLOOKUP($R139,ラベル別係数!$A$1:$E$7,3,FALSE)</f>
        <v>5</v>
      </c>
      <c r="T139" s="24">
        <f>VLOOKUP($R139,ラベル別係数!$A$1:$E$7,4,FALSE)</f>
        <v>1.3</v>
      </c>
      <c r="U139" s="24">
        <f>VLOOKUP($R139,ラベル別係数!$A$1:$E$7,5,FALSE)</f>
        <v>0.8</v>
      </c>
      <c r="V139" s="27">
        <v>2</v>
      </c>
      <c r="W139" s="28">
        <f>VLOOKUP(V139,ターン数別攻撃係数!$A$1:$B$1000,2,FALSE)</f>
        <v>0.75</v>
      </c>
      <c r="X139" s="10">
        <v>20</v>
      </c>
      <c r="Y139" s="26">
        <f>VLOOKUP($X139,サイズ別係数!$B:$E,2,FALSE)</f>
        <v>1.1000000000000001</v>
      </c>
      <c r="Z139" s="26">
        <f>VLOOKUP($X139,サイズ別係数!$B:$E,3,FALSE)</f>
        <v>1.2</v>
      </c>
      <c r="AA139" s="26">
        <f>VLOOKUP($X139,サイズ別係数!$B:$E,4,FALSE)</f>
        <v>1.2</v>
      </c>
      <c r="AB139" s="5">
        <v>0</v>
      </c>
      <c r="AC139" s="34" t="str">
        <f ca="1">VLOOKUP($AB139,OFFSET([3]enemy_skill_sets!$B$2,0,0,COUNTA([3]enemy_skill_sets!$A:$A),MATCH(AC$1,[3]enemy_skill_sets!$1:$1,0)-MATCH($AB$1,[3]enemy_skill_sets!$1:$1,0)+1),MATCH(AC$1,[3]enemy_skill_sets!$1:$1,0)-MATCH($AB$1,[3]enemy_skill_sets!$1:$1,0)+1,FALSE)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" s="27">
        <v>1</v>
      </c>
      <c r="AE139" s="37">
        <v>1</v>
      </c>
      <c r="AF139" s="37">
        <v>0</v>
      </c>
      <c r="AG139" s="28">
        <f ca="1">ROUND(VLOOKUP(1,enemy_base_stats!$A:$F,2,FALSE) * Y139* J139*O139*E139*S139*AD139*[2]ステータス!$B$2,0)</f>
        <v>2585</v>
      </c>
      <c r="AH139" s="28">
        <f ca="1">ROUND(VLOOKUP(1,enemy_base_stats!$A:$F,3,FALSE) * Z139*K139*P139*F139*T139*AE139 * W139*[2]ステータス!$C$2,0)</f>
        <v>170</v>
      </c>
      <c r="AI139" s="28">
        <f ca="1">ROUND(VLOOKUP(1,enemy_base_stats!$A:$F,4,FALSE) * AA139*L139*Q139*G139*U139*AF139*[2]ステータス!$D$2,0)</f>
        <v>0</v>
      </c>
      <c r="AJ139" s="28">
        <f ca="1">ROUND(VLOOKUP(100,enemy_base_stats!$A:$F,2,FALSE) * Y139* J139*O139*E139*S139*AD139*[2]ステータス!$B$2,0)</f>
        <v>104951</v>
      </c>
      <c r="AK139" s="28">
        <f ca="1">ROUND(VLOOKUP(100,enemy_base_stats!$A:$F,3,FALSE)* Z139* K139*P139*F139*T139*AE139 * W139*[2]ステータス!$C$2,0)</f>
        <v>6913</v>
      </c>
      <c r="AL139" s="28">
        <f ca="1">ROUND(VLOOKUP(100,enemy_base_stats!$A:$F,4,FALSE)* AA139* L139*Q139*G139*U139*AF139*[2]ステータス!$D$2,0)</f>
        <v>0</v>
      </c>
      <c r="AM139" s="24">
        <f ca="1">VLOOKUP(M139,[2]character_tribe_i18n!$A:$I,9,FALSE)</f>
        <v>400</v>
      </c>
      <c r="AN139" s="36">
        <v>0</v>
      </c>
      <c r="AO139" s="53">
        <v>0</v>
      </c>
      <c r="AP139" s="58" t="s">
        <v>72</v>
      </c>
      <c r="AQ139" s="71">
        <f t="shared" ca="1" si="4"/>
        <v>138</v>
      </c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</row>
    <row r="140" spans="1:60" s="3" customFormat="1" ht="21" customHeight="1" x14ac:dyDescent="0.15">
      <c r="A140" s="7">
        <f t="shared" ca="1" si="5"/>
        <v>139</v>
      </c>
      <c r="B140" s="6" t="str">
        <f ca="1">VLOOKUP(A140,[2]characters!$A:$C,3,FALSE)</f>
        <v>蒼昇刃姫 トモエ</v>
      </c>
      <c r="C140" s="9">
        <f ca="1">VLOOKUP(A140,[2]characters!$A:$I,9,FALSE)</f>
        <v>4</v>
      </c>
      <c r="D140" s="9" t="str">
        <f ca="1">VLOOKUP(A140,[2]characters!$A:$H,8,FALSE)</f>
        <v>blue</v>
      </c>
      <c r="E140" s="24">
        <f ca="1">VLOOKUP(D140,[2]属性!$A:$E,2,FALSE)</f>
        <v>1</v>
      </c>
      <c r="F140" s="24">
        <f ca="1">VLOOKUP(D140,[2]属性!$A:$E,3,FALSE)</f>
        <v>0.98</v>
      </c>
      <c r="G140" s="24">
        <f ca="1">VLOOKUP(D140,[2]属性!$A:$F,4,FALSE)</f>
        <v>1</v>
      </c>
      <c r="H140" s="9" t="str">
        <f ca="1">VLOOKUP(A140,[2]characters!$A:$K,11,FALSE)</f>
        <v>balance</v>
      </c>
      <c r="I140" s="14" t="str">
        <f ca="1">VLOOKUP(H140,[2]character_type_i18n!$A:$F,3,FALSE)</f>
        <v>バランスタイプ</v>
      </c>
      <c r="J140" s="36">
        <f ca="1">VLOOKUP(H140,[2]character_type_i18n!$A:$F,4,FALSE)</f>
        <v>1</v>
      </c>
      <c r="K140" s="36">
        <f ca="1">VLOOKUP(H140,[2]character_type_i18n!$A:$F,5,FALSE)</f>
        <v>1</v>
      </c>
      <c r="L140" s="36">
        <f ca="1">VLOOKUP(H140,[2]character_type_i18n!$A:$F,6,FALSE)</f>
        <v>1</v>
      </c>
      <c r="M140" s="9" t="str">
        <f ca="1">VLOOKUP(A140,[2]characters!$A:$M,13,FALSE)</f>
        <v>human</v>
      </c>
      <c r="N140" s="14" t="str">
        <f ca="1">VLOOKUP(M140,[2]character_tribe_i18n!$A:$F,3,FALSE)</f>
        <v>ヒューマン</v>
      </c>
      <c r="O140" s="24">
        <f ca="1">VLOOKUP(M140,[2]character_tribe_i18n!$A:$F,4,FALSE)</f>
        <v>0.94</v>
      </c>
      <c r="P140" s="24">
        <f ca="1">VLOOKUP(M140,[2]character_tribe_i18n!$A:$F,5,FALSE)</f>
        <v>0.99</v>
      </c>
      <c r="Q140" s="24">
        <f ca="1">VLOOKUP(M140,[2]character_tribe_i18n!$A:$F,6,FALSE)</f>
        <v>1</v>
      </c>
      <c r="R140" s="25" t="s">
        <v>4</v>
      </c>
      <c r="S140" s="24">
        <f>VLOOKUP($R140,ラベル別係数!$A$1:$E$7,3,FALSE)</f>
        <v>5</v>
      </c>
      <c r="T140" s="24">
        <f>VLOOKUP($R140,ラベル別係数!$A$1:$E$7,4,FALSE)</f>
        <v>1.3</v>
      </c>
      <c r="U140" s="24">
        <f>VLOOKUP($R140,ラベル別係数!$A$1:$E$7,5,FALSE)</f>
        <v>0.8</v>
      </c>
      <c r="V140" s="27">
        <v>2</v>
      </c>
      <c r="W140" s="28">
        <f>VLOOKUP(V140,ターン数別攻撃係数!$A$1:$B$1000,2,FALSE)</f>
        <v>0.75</v>
      </c>
      <c r="X140" s="10">
        <v>30</v>
      </c>
      <c r="Y140" s="26">
        <f>VLOOKUP($X140,サイズ別係数!$B:$E,2,FALSE)</f>
        <v>1.3</v>
      </c>
      <c r="Z140" s="26">
        <f>VLOOKUP($X140,サイズ別係数!$B:$E,3,FALSE)</f>
        <v>1.3</v>
      </c>
      <c r="AA140" s="26">
        <f>VLOOKUP($X140,サイズ別係数!$B:$E,4,FALSE)</f>
        <v>1.1000000000000001</v>
      </c>
      <c r="AB140" s="5">
        <v>139</v>
      </c>
      <c r="AC140" s="34" t="str">
        <f ca="1">VLOOKUP($AB140,OFFSET([3]enemy_skill_sets!$B$2,0,0,COUNTA([3]enemy_skill_sets!$A:$A),MATCH(AC$1,[3]enemy_skill_sets!$1:$1,0)-MATCH($AB$1,[3]enemy_skill_sets!$1:$1,0)+1),MATCH(AC$1,[3]enemy_skill_sets!$1:$1,0)-MATCH($AB$1,[3]enemy_skill_sets!$1:$1,0)+1,FALSE)</f>
        <v>攻撃力×1.5倍の攻撃</v>
      </c>
      <c r="AD140" s="27">
        <v>1</v>
      </c>
      <c r="AE140" s="37">
        <v>1</v>
      </c>
      <c r="AF140" s="37">
        <v>0</v>
      </c>
      <c r="AG140" s="28">
        <f ca="1">ROUND(VLOOKUP(1,enemy_base_stats!$A:$F,2,FALSE) * Y140* J140*O140*E140*S140*AD140*[2]ステータス!$B$2,0)</f>
        <v>3055</v>
      </c>
      <c r="AH140" s="28">
        <f ca="1">ROUND(VLOOKUP(1,enemy_base_stats!$A:$F,3,FALSE) * Z140*K140*P140*F140*T140*AE140 * W140*[2]ステータス!$C$2,0)</f>
        <v>184</v>
      </c>
      <c r="AI140" s="28">
        <f ca="1">ROUND(VLOOKUP(1,enemy_base_stats!$A:$F,4,FALSE) * AA140*L140*Q140*G140*U140*AF140*[2]ステータス!$D$2,0)</f>
        <v>0</v>
      </c>
      <c r="AJ140" s="28">
        <f ca="1">ROUND(VLOOKUP(100,enemy_base_stats!$A:$F,2,FALSE) * Y140* J140*O140*E140*S140*AD140*[2]ステータス!$B$2,0)</f>
        <v>124033</v>
      </c>
      <c r="AK140" s="28">
        <f ca="1">ROUND(VLOOKUP(100,enemy_base_stats!$A:$F,3,FALSE)* Z140* K140*P140*F140*T140*AE140 * W140*[2]ステータス!$C$2,0)</f>
        <v>7489</v>
      </c>
      <c r="AL140" s="28">
        <f ca="1">ROUND(VLOOKUP(100,enemy_base_stats!$A:$F,4,FALSE)* AA140* L140*Q140*G140*U140*AF140*[2]ステータス!$D$2,0)</f>
        <v>0</v>
      </c>
      <c r="AM140" s="24">
        <f ca="1">VLOOKUP(M140,[2]character_tribe_i18n!$A:$I,9,FALSE)</f>
        <v>400</v>
      </c>
      <c r="AN140" s="36">
        <v>0</v>
      </c>
      <c r="AO140" s="53">
        <v>0</v>
      </c>
      <c r="AP140" s="58" t="s">
        <v>72</v>
      </c>
      <c r="AQ140" s="71">
        <f t="shared" ca="1" si="4"/>
        <v>139</v>
      </c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</row>
    <row r="141" spans="1:60" s="3" customFormat="1" ht="21" customHeight="1" x14ac:dyDescent="0.15">
      <c r="A141" s="7">
        <f t="shared" ca="1" si="5"/>
        <v>140</v>
      </c>
      <c r="B141" s="6" t="str">
        <f ca="1">VLOOKUP(A141,[2]characters!$A:$C,3,FALSE)</f>
        <v>秋祭のタマモ</v>
      </c>
      <c r="C141" s="9">
        <f ca="1">VLOOKUP(A141,[2]characters!$A:$I,9,FALSE)</f>
        <v>3</v>
      </c>
      <c r="D141" s="9" t="str">
        <f ca="1">VLOOKUP(A141,[2]characters!$A:$H,8,FALSE)</f>
        <v>yellow</v>
      </c>
      <c r="E141" s="24">
        <f ca="1">VLOOKUP(D141,[2]属性!$A:$E,2,FALSE)</f>
        <v>0.98</v>
      </c>
      <c r="F141" s="24">
        <f ca="1">VLOOKUP(D141,[2]属性!$A:$E,3,FALSE)</f>
        <v>1.01</v>
      </c>
      <c r="G141" s="24">
        <f ca="1">VLOOKUP(D141,[2]属性!$A:$F,4,FALSE)</f>
        <v>1</v>
      </c>
      <c r="H141" s="9" t="str">
        <f ca="1">VLOOKUP(A141,[2]characters!$A:$K,11,FALSE)</f>
        <v>balance</v>
      </c>
      <c r="I141" s="14" t="str">
        <f ca="1">VLOOKUP(H141,[2]character_type_i18n!$A:$F,3,FALSE)</f>
        <v>バランスタイプ</v>
      </c>
      <c r="J141" s="36">
        <f ca="1">VLOOKUP(H141,[2]character_type_i18n!$A:$F,4,FALSE)</f>
        <v>1</v>
      </c>
      <c r="K141" s="36">
        <f ca="1">VLOOKUP(H141,[2]character_type_i18n!$A:$F,5,FALSE)</f>
        <v>1</v>
      </c>
      <c r="L141" s="36">
        <f ca="1">VLOOKUP(H141,[2]character_type_i18n!$A:$F,6,FALSE)</f>
        <v>1</v>
      </c>
      <c r="M141" s="9" t="str">
        <f ca="1">VLOOKUP(A141,[2]characters!$A:$M,13,FALSE)</f>
        <v>animal</v>
      </c>
      <c r="N141" s="14" t="str">
        <f ca="1">VLOOKUP(M141,[2]character_tribe_i18n!$A:$F,3,FALSE)</f>
        <v>アニマル</v>
      </c>
      <c r="O141" s="24">
        <f ca="1">VLOOKUP(M141,[2]character_tribe_i18n!$A:$F,4,FALSE)</f>
        <v>1</v>
      </c>
      <c r="P141" s="24">
        <f ca="1">VLOOKUP(M141,[2]character_tribe_i18n!$A:$F,5,FALSE)</f>
        <v>1.1000000000000001</v>
      </c>
      <c r="Q141" s="24">
        <f ca="1">VLOOKUP(M141,[2]character_tribe_i18n!$A:$F,6,FALSE)</f>
        <v>1</v>
      </c>
      <c r="R141" s="25" t="s">
        <v>4</v>
      </c>
      <c r="S141" s="24">
        <f>VLOOKUP($R141,ラベル別係数!$A$1:$E$7,3,FALSE)</f>
        <v>5</v>
      </c>
      <c r="T141" s="24">
        <f>VLOOKUP($R141,ラベル別係数!$A$1:$E$7,4,FALSE)</f>
        <v>1.3</v>
      </c>
      <c r="U141" s="24">
        <f>VLOOKUP($R141,ラベル別係数!$A$1:$E$7,5,FALSE)</f>
        <v>0.8</v>
      </c>
      <c r="V141" s="27">
        <v>2</v>
      </c>
      <c r="W141" s="28">
        <f>VLOOKUP(V141,ターン数別攻撃係数!$A$1:$B$1000,2,FALSE)</f>
        <v>0.75</v>
      </c>
      <c r="X141" s="10">
        <v>20</v>
      </c>
      <c r="Y141" s="26">
        <f>VLOOKUP($X141,サイズ別係数!$B:$E,2,FALSE)</f>
        <v>1.1000000000000001</v>
      </c>
      <c r="Z141" s="26">
        <f>VLOOKUP($X141,サイズ別係数!$B:$E,3,FALSE)</f>
        <v>1.2</v>
      </c>
      <c r="AA141" s="26">
        <f>VLOOKUP($X141,サイズ別係数!$B:$E,4,FALSE)</f>
        <v>1.2</v>
      </c>
      <c r="AB141" s="5">
        <v>0</v>
      </c>
      <c r="AC141" s="34" t="str">
        <f ca="1">VLOOKUP($AB141,OFFSET([3]enemy_skill_sets!$B$2,0,0,COUNTA([3]enemy_skill_sets!$A:$A),MATCH(AC$1,[3]enemy_skill_sets!$1:$1,0)-MATCH($AB$1,[3]enemy_skill_sets!$1:$1,0)+1),MATCH(AC$1,[3]enemy_skill_sets!$1:$1,0)-MATCH($AB$1,[3]enemy_skill_sets!$1:$1,0)+1,FALSE)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" s="27">
        <v>1</v>
      </c>
      <c r="AE141" s="37">
        <v>1</v>
      </c>
      <c r="AF141" s="37">
        <v>0</v>
      </c>
      <c r="AG141" s="28">
        <f ca="1">ROUND(VLOOKUP(1,enemy_base_stats!$A:$F,2,FALSE) * Y141* J141*O141*E141*S141*AD141*[2]ステータス!$B$2,0)</f>
        <v>2695</v>
      </c>
      <c r="AH141" s="28">
        <f ca="1">ROUND(VLOOKUP(1,enemy_base_stats!$A:$F,3,FALSE) * Z141*K141*P141*F141*T141*AE141 * W141*[2]ステータス!$C$2,0)</f>
        <v>195</v>
      </c>
      <c r="AI141" s="28">
        <f ca="1">ROUND(VLOOKUP(1,enemy_base_stats!$A:$F,4,FALSE) * AA141*L141*Q141*G141*U141*AF141*[2]ステータス!$D$2,0)</f>
        <v>0</v>
      </c>
      <c r="AJ141" s="28">
        <f ca="1">ROUND(VLOOKUP(100,enemy_base_stats!$A:$F,2,FALSE) * Y141* J141*O141*E141*S141*AD141*[2]ステータス!$B$2,0)</f>
        <v>109417</v>
      </c>
      <c r="AK141" s="28">
        <f ca="1">ROUND(VLOOKUP(100,enemy_base_stats!$A:$F,3,FALSE)* Z141* K141*P141*F141*T141*AE141 * W141*[2]ステータス!$C$2,0)</f>
        <v>7916</v>
      </c>
      <c r="AL141" s="28">
        <f ca="1">ROUND(VLOOKUP(100,enemy_base_stats!$A:$F,4,FALSE)* AA141* L141*Q141*G141*U141*AF141*[2]ステータス!$D$2,0)</f>
        <v>0</v>
      </c>
      <c r="AM141" s="24">
        <f ca="1">VLOOKUP(M141,[2]character_tribe_i18n!$A:$I,9,FALSE)</f>
        <v>480</v>
      </c>
      <c r="AN141" s="36">
        <v>0</v>
      </c>
      <c r="AO141" s="53">
        <v>0</v>
      </c>
      <c r="AP141" s="58" t="s">
        <v>72</v>
      </c>
      <c r="AQ141" s="71">
        <f t="shared" ca="1" si="4"/>
        <v>140</v>
      </c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8"/>
      <c r="BC141" s="18"/>
      <c r="BD141" s="18"/>
      <c r="BE141" s="18"/>
      <c r="BF141" s="18"/>
      <c r="BG141" s="18"/>
      <c r="BH141" s="18"/>
    </row>
    <row r="142" spans="1:60" s="3" customFormat="1" ht="21" customHeight="1" x14ac:dyDescent="0.15">
      <c r="A142" s="7">
        <f t="shared" ca="1" si="5"/>
        <v>141</v>
      </c>
      <c r="B142" s="6" t="str">
        <f ca="1">VLOOKUP(A142,[2]characters!$A:$C,3,FALSE)</f>
        <v>妖狐演舞 タマモ</v>
      </c>
      <c r="C142" s="9">
        <f ca="1">VLOOKUP(A142,[2]characters!$A:$I,9,FALSE)</f>
        <v>4</v>
      </c>
      <c r="D142" s="9" t="str">
        <f ca="1">VLOOKUP(A142,[2]characters!$A:$H,8,FALSE)</f>
        <v>yellow</v>
      </c>
      <c r="E142" s="24">
        <f ca="1">VLOOKUP(D142,[2]属性!$A:$E,2,FALSE)</f>
        <v>0.98</v>
      </c>
      <c r="F142" s="24">
        <f ca="1">VLOOKUP(D142,[2]属性!$A:$E,3,FALSE)</f>
        <v>1.01</v>
      </c>
      <c r="G142" s="24">
        <f ca="1">VLOOKUP(D142,[2]属性!$A:$F,4,FALSE)</f>
        <v>1</v>
      </c>
      <c r="H142" s="9" t="str">
        <f ca="1">VLOOKUP(A142,[2]characters!$A:$K,11,FALSE)</f>
        <v>balance</v>
      </c>
      <c r="I142" s="14" t="str">
        <f ca="1">VLOOKUP(H142,[2]character_type_i18n!$A:$F,3,FALSE)</f>
        <v>バランスタイプ</v>
      </c>
      <c r="J142" s="36">
        <f ca="1">VLOOKUP(H142,[2]character_type_i18n!$A:$F,4,FALSE)</f>
        <v>1</v>
      </c>
      <c r="K142" s="36">
        <f ca="1">VLOOKUP(H142,[2]character_type_i18n!$A:$F,5,FALSE)</f>
        <v>1</v>
      </c>
      <c r="L142" s="36">
        <f ca="1">VLOOKUP(H142,[2]character_type_i18n!$A:$F,6,FALSE)</f>
        <v>1</v>
      </c>
      <c r="M142" s="9" t="str">
        <f ca="1">VLOOKUP(A142,[2]characters!$A:$M,13,FALSE)</f>
        <v>animal</v>
      </c>
      <c r="N142" s="14" t="str">
        <f ca="1">VLOOKUP(M142,[2]character_tribe_i18n!$A:$F,3,FALSE)</f>
        <v>アニマル</v>
      </c>
      <c r="O142" s="24">
        <f ca="1">VLOOKUP(M142,[2]character_tribe_i18n!$A:$F,4,FALSE)</f>
        <v>1</v>
      </c>
      <c r="P142" s="24">
        <f ca="1">VLOOKUP(M142,[2]character_tribe_i18n!$A:$F,5,FALSE)</f>
        <v>1.1000000000000001</v>
      </c>
      <c r="Q142" s="24">
        <f ca="1">VLOOKUP(M142,[2]character_tribe_i18n!$A:$F,6,FALSE)</f>
        <v>1</v>
      </c>
      <c r="R142" s="25" t="s">
        <v>87</v>
      </c>
      <c r="S142" s="24">
        <f>VLOOKUP($R142,ラベル別係数!$A$1:$E$7,3,FALSE)</f>
        <v>7.5</v>
      </c>
      <c r="T142" s="24">
        <f>VLOOKUP($R142,ラベル別係数!$A$1:$E$7,4,FALSE)</f>
        <v>1</v>
      </c>
      <c r="U142" s="24">
        <f>VLOOKUP($R142,ラベル別係数!$A$1:$E$7,5,FALSE)</f>
        <v>0.8</v>
      </c>
      <c r="V142" s="27">
        <v>2</v>
      </c>
      <c r="W142" s="28">
        <f>VLOOKUP(V142,ターン数別攻撃係数!$A$1:$B$1000,2,FALSE)</f>
        <v>0.75</v>
      </c>
      <c r="X142" s="10">
        <v>30</v>
      </c>
      <c r="Y142" s="26">
        <f>VLOOKUP($X142,サイズ別係数!$B:$E,2,FALSE)</f>
        <v>1.3</v>
      </c>
      <c r="Z142" s="26">
        <f>VLOOKUP($X142,サイズ別係数!$B:$E,3,FALSE)</f>
        <v>1.3</v>
      </c>
      <c r="AA142" s="26">
        <f>VLOOKUP($X142,サイズ別係数!$B:$E,4,FALSE)</f>
        <v>1.1000000000000001</v>
      </c>
      <c r="AB142" s="5">
        <v>141</v>
      </c>
      <c r="AC142" s="34" t="str">
        <f ca="1">VLOOKUP($AB142,OFFSET([3]enemy_skill_sets!$B$2,0,0,COUNTA([3]enemy_skill_sets!$A:$A),MATCH(AC$1,[3]enemy_skill_sets!$1:$1,0)-MATCH($AB$1,[3]enemy_skill_sets!$1:$1,0)+1),MATCH(AC$1,[3]enemy_skill_sets!$1:$1,0)-MATCH($AB$1,[3]enemy_skill_sets!$1:$1,0)+1,FALSE)</f>
        <v>2ターン攻撃頻度が1ターンにUP</v>
      </c>
      <c r="AD142" s="27">
        <v>1</v>
      </c>
      <c r="AE142" s="37">
        <v>1</v>
      </c>
      <c r="AF142" s="37">
        <v>0</v>
      </c>
      <c r="AG142" s="28">
        <f ca="1">ROUND(VLOOKUP(1,enemy_base_stats!$A:$F,2,FALSE) * Y142* J142*O142*E142*S142*AD142*[2]ステータス!$B$2,0)</f>
        <v>4778</v>
      </c>
      <c r="AH142" s="28">
        <f ca="1">ROUND(VLOOKUP(1,enemy_base_stats!$A:$F,3,FALSE) * Z142*K142*P142*F142*T142*AE142 * W142*[2]ステータス!$C$2,0)</f>
        <v>162</v>
      </c>
      <c r="AI142" s="28">
        <f ca="1">ROUND(VLOOKUP(1,enemy_base_stats!$A:$F,4,FALSE) * AA142*L142*Q142*G142*U142*AF142*[2]ステータス!$D$2,0)</f>
        <v>0</v>
      </c>
      <c r="AJ142" s="28">
        <f ca="1">ROUND(VLOOKUP(100,enemy_base_stats!$A:$F,2,FALSE) * Y142* J142*O142*E142*S142*AD142*[2]ステータス!$B$2,0)</f>
        <v>193967</v>
      </c>
      <c r="AK142" s="28">
        <f ca="1">ROUND(VLOOKUP(100,enemy_base_stats!$A:$F,3,FALSE)* Z142* K142*P142*F142*T142*AE142 * W142*[2]ステータス!$C$2,0)</f>
        <v>6597</v>
      </c>
      <c r="AL142" s="28">
        <f ca="1">ROUND(VLOOKUP(100,enemy_base_stats!$A:$F,4,FALSE)* AA142* L142*Q142*G142*U142*AF142*[2]ステータス!$D$2,0)</f>
        <v>0</v>
      </c>
      <c r="AM142" s="24">
        <f ca="1">VLOOKUP(M142,[2]character_tribe_i18n!$A:$I,9,FALSE)</f>
        <v>480</v>
      </c>
      <c r="AN142" s="36">
        <v>0</v>
      </c>
      <c r="AO142" s="53">
        <v>0</v>
      </c>
      <c r="AP142" s="58" t="s">
        <v>72</v>
      </c>
      <c r="AQ142" s="71">
        <f t="shared" ca="1" si="4"/>
        <v>141</v>
      </c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8"/>
      <c r="BC142" s="18"/>
      <c r="BD142" s="18"/>
      <c r="BE142" s="18"/>
      <c r="BF142" s="18"/>
      <c r="BG142" s="18"/>
      <c r="BH142" s="18"/>
    </row>
    <row r="143" spans="1:60" s="3" customFormat="1" ht="21" customHeight="1" x14ac:dyDescent="0.15">
      <c r="A143" s="7">
        <f t="shared" ca="1" si="5"/>
        <v>142</v>
      </c>
      <c r="B143" s="6" t="str">
        <f ca="1">VLOOKUP(A143,[2]characters!$A:$C,3,FALSE)</f>
        <v>赤ずきん</v>
      </c>
      <c r="C143" s="9">
        <f ca="1">VLOOKUP(A143,[2]characters!$A:$I,9,FALSE)</f>
        <v>3</v>
      </c>
      <c r="D143" s="9" t="str">
        <f ca="1">VLOOKUP(A143,[2]characters!$A:$H,8,FALSE)</f>
        <v>red</v>
      </c>
      <c r="E143" s="24">
        <f ca="1">VLOOKUP(D143,[2]属性!$A:$E,2,FALSE)</f>
        <v>1</v>
      </c>
      <c r="F143" s="24">
        <f ca="1">VLOOKUP(D143,[2]属性!$A:$E,3,FALSE)</f>
        <v>1.02</v>
      </c>
      <c r="G143" s="24">
        <f ca="1">VLOOKUP(D143,[2]属性!$A:$F,4,FALSE)</f>
        <v>1</v>
      </c>
      <c r="H143" s="9" t="str">
        <f ca="1">VLOOKUP(A143,[2]characters!$A:$K,11,FALSE)</f>
        <v>balance</v>
      </c>
      <c r="I143" s="14" t="str">
        <f ca="1">VLOOKUP(H143,[2]character_type_i18n!$A:$F,3,FALSE)</f>
        <v>バランスタイプ</v>
      </c>
      <c r="J143" s="36">
        <f ca="1">VLOOKUP(H143,[2]character_type_i18n!$A:$F,4,FALSE)</f>
        <v>1</v>
      </c>
      <c r="K143" s="36">
        <f ca="1">VLOOKUP(H143,[2]character_type_i18n!$A:$F,5,FALSE)</f>
        <v>1</v>
      </c>
      <c r="L143" s="36">
        <f ca="1">VLOOKUP(H143,[2]character_type_i18n!$A:$F,6,FALSE)</f>
        <v>1</v>
      </c>
      <c r="M143" s="9" t="str">
        <f ca="1">VLOOKUP(A143,[2]characters!$A:$M,13,FALSE)</f>
        <v>human</v>
      </c>
      <c r="N143" s="14" t="str">
        <f ca="1">VLOOKUP(M143,[2]character_tribe_i18n!$A:$F,3,FALSE)</f>
        <v>ヒューマン</v>
      </c>
      <c r="O143" s="24">
        <f ca="1">VLOOKUP(M143,[2]character_tribe_i18n!$A:$F,4,FALSE)</f>
        <v>0.94</v>
      </c>
      <c r="P143" s="24">
        <f ca="1">VLOOKUP(M143,[2]character_tribe_i18n!$A:$F,5,FALSE)</f>
        <v>0.99</v>
      </c>
      <c r="Q143" s="24">
        <f ca="1">VLOOKUP(M143,[2]character_tribe_i18n!$A:$F,6,FALSE)</f>
        <v>1</v>
      </c>
      <c r="R143" s="25" t="s">
        <v>4</v>
      </c>
      <c r="S143" s="24">
        <f>VLOOKUP($R143,ラベル別係数!$A$1:$E$7,3,FALSE)</f>
        <v>5</v>
      </c>
      <c r="T143" s="24">
        <f>VLOOKUP($R143,ラベル別係数!$A$1:$E$7,4,FALSE)</f>
        <v>1.3</v>
      </c>
      <c r="U143" s="24">
        <f>VLOOKUP($R143,ラベル別係数!$A$1:$E$7,5,FALSE)</f>
        <v>0.8</v>
      </c>
      <c r="V143" s="27">
        <v>2</v>
      </c>
      <c r="W143" s="28">
        <f>VLOOKUP(V143,ターン数別攻撃係数!$A$1:$B$1000,2,FALSE)</f>
        <v>0.75</v>
      </c>
      <c r="X143" s="10">
        <v>20</v>
      </c>
      <c r="Y143" s="26">
        <f>VLOOKUP($X143,サイズ別係数!$B:$E,2,FALSE)</f>
        <v>1.1000000000000001</v>
      </c>
      <c r="Z143" s="26">
        <f>VLOOKUP($X143,サイズ別係数!$B:$E,3,FALSE)</f>
        <v>1.2</v>
      </c>
      <c r="AA143" s="26">
        <f>VLOOKUP($X143,サイズ別係数!$B:$E,4,FALSE)</f>
        <v>1.2</v>
      </c>
      <c r="AB143" s="5">
        <v>0</v>
      </c>
      <c r="AC143" s="34" t="str">
        <f ca="1">VLOOKUP($AB143,OFFSET([3]enemy_skill_sets!$B$2,0,0,COUNTA([3]enemy_skill_sets!$A:$A),MATCH(AC$1,[3]enemy_skill_sets!$1:$1,0)-MATCH($AB$1,[3]enemy_skill_sets!$1:$1,0)+1),MATCH(AC$1,[3]enemy_skill_sets!$1:$1,0)-MATCH($AB$1,[3]enemy_skill_sets!$1:$1,0)+1,FALSE)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" s="27">
        <v>1</v>
      </c>
      <c r="AE143" s="37">
        <v>1</v>
      </c>
      <c r="AF143" s="37">
        <v>0</v>
      </c>
      <c r="AG143" s="28">
        <f ca="1">ROUND(VLOOKUP(1,enemy_base_stats!$A:$F,2,FALSE) * Y143* J143*O143*E143*S143*AD143*[2]ステータス!$B$2,0)</f>
        <v>2585</v>
      </c>
      <c r="AH143" s="28">
        <f ca="1">ROUND(VLOOKUP(1,enemy_base_stats!$A:$F,3,FALSE) * Z143*K143*P143*F143*T143*AE143 * W143*[2]ステータス!$C$2,0)</f>
        <v>177</v>
      </c>
      <c r="AI143" s="28">
        <f ca="1">ROUND(VLOOKUP(1,enemy_base_stats!$A:$F,4,FALSE) * AA143*L143*Q143*G143*U143*AF143*[2]ステータス!$D$2,0)</f>
        <v>0</v>
      </c>
      <c r="AJ143" s="28">
        <f ca="1">ROUND(VLOOKUP(100,enemy_base_stats!$A:$F,2,FALSE) * Y143* J143*O143*E143*S143*AD143*[2]ステータス!$B$2,0)</f>
        <v>104951</v>
      </c>
      <c r="AK143" s="28">
        <f ca="1">ROUND(VLOOKUP(100,enemy_base_stats!$A:$F,3,FALSE)* Z143* K143*P143*F143*T143*AE143 * W143*[2]ステータス!$C$2,0)</f>
        <v>7195</v>
      </c>
      <c r="AL143" s="28">
        <f ca="1">ROUND(VLOOKUP(100,enemy_base_stats!$A:$F,4,FALSE)* AA143* L143*Q143*G143*U143*AF143*[2]ステータス!$D$2,0)</f>
        <v>0</v>
      </c>
      <c r="AM143" s="24">
        <f ca="1">VLOOKUP(M143,[2]character_tribe_i18n!$A:$I,9,FALSE)</f>
        <v>400</v>
      </c>
      <c r="AN143" s="36">
        <v>0</v>
      </c>
      <c r="AO143" s="53">
        <v>0</v>
      </c>
      <c r="AP143" s="58" t="s">
        <v>72</v>
      </c>
      <c r="AQ143" s="71">
        <f t="shared" ca="1" si="4"/>
        <v>142</v>
      </c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8"/>
      <c r="BC143" s="18"/>
      <c r="BD143" s="18"/>
      <c r="BE143" s="18"/>
      <c r="BF143" s="18"/>
      <c r="BG143" s="18"/>
      <c r="BH143" s="18"/>
    </row>
    <row r="144" spans="1:60" s="3" customFormat="1" ht="21" customHeight="1" x14ac:dyDescent="0.15">
      <c r="A144" s="7">
        <f t="shared" ca="1" si="5"/>
        <v>143</v>
      </c>
      <c r="B144" s="6" t="str">
        <f ca="1">VLOOKUP(A144,[2]characters!$A:$C,3,FALSE)</f>
        <v>深紅の死神 赤ずきん</v>
      </c>
      <c r="C144" s="9">
        <f ca="1">VLOOKUP(A144,[2]characters!$A:$I,9,FALSE)</f>
        <v>4</v>
      </c>
      <c r="D144" s="9" t="str">
        <f ca="1">VLOOKUP(A144,[2]characters!$A:$H,8,FALSE)</f>
        <v>red</v>
      </c>
      <c r="E144" s="24">
        <f ca="1">VLOOKUP(D144,[2]属性!$A:$E,2,FALSE)</f>
        <v>1</v>
      </c>
      <c r="F144" s="24">
        <f ca="1">VLOOKUP(D144,[2]属性!$A:$E,3,FALSE)</f>
        <v>1.02</v>
      </c>
      <c r="G144" s="24">
        <f ca="1">VLOOKUP(D144,[2]属性!$A:$F,4,FALSE)</f>
        <v>1</v>
      </c>
      <c r="H144" s="9" t="str">
        <f ca="1">VLOOKUP(A144,[2]characters!$A:$K,11,FALSE)</f>
        <v>balance</v>
      </c>
      <c r="I144" s="14" t="str">
        <f ca="1">VLOOKUP(H144,[2]character_type_i18n!$A:$F,3,FALSE)</f>
        <v>バランスタイプ</v>
      </c>
      <c r="J144" s="36">
        <f ca="1">VLOOKUP(H144,[2]character_type_i18n!$A:$F,4,FALSE)</f>
        <v>1</v>
      </c>
      <c r="K144" s="36">
        <f ca="1">VLOOKUP(H144,[2]character_type_i18n!$A:$F,5,FALSE)</f>
        <v>1</v>
      </c>
      <c r="L144" s="36">
        <f ca="1">VLOOKUP(H144,[2]character_type_i18n!$A:$F,6,FALSE)</f>
        <v>1</v>
      </c>
      <c r="M144" s="9" t="str">
        <f ca="1">VLOOKUP(A144,[2]characters!$A:$M,13,FALSE)</f>
        <v>human</v>
      </c>
      <c r="N144" s="14" t="str">
        <f ca="1">VLOOKUP(M144,[2]character_tribe_i18n!$A:$F,3,FALSE)</f>
        <v>ヒューマン</v>
      </c>
      <c r="O144" s="24">
        <f ca="1">VLOOKUP(M144,[2]character_tribe_i18n!$A:$F,4,FALSE)</f>
        <v>0.94</v>
      </c>
      <c r="P144" s="24">
        <f ca="1">VLOOKUP(M144,[2]character_tribe_i18n!$A:$F,5,FALSE)</f>
        <v>0.99</v>
      </c>
      <c r="Q144" s="24">
        <f ca="1">VLOOKUP(M144,[2]character_tribe_i18n!$A:$F,6,FALSE)</f>
        <v>1</v>
      </c>
      <c r="R144" s="25" t="s">
        <v>4</v>
      </c>
      <c r="S144" s="24">
        <f>VLOOKUP($R144,ラベル別係数!$A$1:$E$7,3,FALSE)</f>
        <v>5</v>
      </c>
      <c r="T144" s="24">
        <f>VLOOKUP($R144,ラベル別係数!$A$1:$E$7,4,FALSE)</f>
        <v>1.3</v>
      </c>
      <c r="U144" s="24">
        <f>VLOOKUP($R144,ラベル別係数!$A$1:$E$7,5,FALSE)</f>
        <v>0.8</v>
      </c>
      <c r="V144" s="27">
        <v>2</v>
      </c>
      <c r="W144" s="28">
        <f>VLOOKUP(V144,ターン数別攻撃係数!$A$1:$B$1000,2,FALSE)</f>
        <v>0.75</v>
      </c>
      <c r="X144" s="10">
        <v>30</v>
      </c>
      <c r="Y144" s="26">
        <f>VLOOKUP($X144,サイズ別係数!$B:$E,2,FALSE)</f>
        <v>1.3</v>
      </c>
      <c r="Z144" s="26">
        <f>VLOOKUP($X144,サイズ別係数!$B:$E,3,FALSE)</f>
        <v>1.3</v>
      </c>
      <c r="AA144" s="26">
        <f>VLOOKUP($X144,サイズ別係数!$B:$E,4,FALSE)</f>
        <v>1.1000000000000001</v>
      </c>
      <c r="AB144" s="5">
        <v>0</v>
      </c>
      <c r="AC144" s="34" t="str">
        <f ca="1">VLOOKUP($AB144,OFFSET([3]enemy_skill_sets!$B$2,0,0,COUNTA([3]enemy_skill_sets!$A:$A),MATCH(AC$1,[3]enemy_skill_sets!$1:$1,0)-MATCH($AB$1,[3]enemy_skill_sets!$1:$1,0)+1),MATCH(AC$1,[3]enemy_skill_sets!$1:$1,0)-MATCH($AB$1,[3]enemy_skill_sets!$1:$1,0)+1,FALSE)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" s="27">
        <v>1</v>
      </c>
      <c r="AE144" s="37">
        <v>1</v>
      </c>
      <c r="AF144" s="37">
        <v>0</v>
      </c>
      <c r="AG144" s="28">
        <f ca="1">ROUND(VLOOKUP(1,enemy_base_stats!$A:$F,2,FALSE) * Y144* J144*O144*E144*S144*AD144*[2]ステータス!$B$2,0)</f>
        <v>3055</v>
      </c>
      <c r="AH144" s="28">
        <f ca="1">ROUND(VLOOKUP(1,enemy_base_stats!$A:$F,3,FALSE) * Z144*K144*P144*F144*T144*AE144 * W144*[2]ステータス!$C$2,0)</f>
        <v>192</v>
      </c>
      <c r="AI144" s="28">
        <f ca="1">ROUND(VLOOKUP(1,enemy_base_stats!$A:$F,4,FALSE) * AA144*L144*Q144*G144*U144*AF144*[2]ステータス!$D$2,0)</f>
        <v>0</v>
      </c>
      <c r="AJ144" s="28">
        <f ca="1">ROUND(VLOOKUP(100,enemy_base_stats!$A:$F,2,FALSE) * Y144* J144*O144*E144*S144*AD144*[2]ステータス!$B$2,0)</f>
        <v>124033</v>
      </c>
      <c r="AK144" s="28">
        <f ca="1">ROUND(VLOOKUP(100,enemy_base_stats!$A:$F,3,FALSE)* Z144* K144*P144*F144*T144*AE144 * W144*[2]ステータス!$C$2,0)</f>
        <v>7795</v>
      </c>
      <c r="AL144" s="28">
        <f ca="1">ROUND(VLOOKUP(100,enemy_base_stats!$A:$F,4,FALSE)* AA144* L144*Q144*G144*U144*AF144*[2]ステータス!$D$2,0)</f>
        <v>0</v>
      </c>
      <c r="AM144" s="24">
        <f ca="1">VLOOKUP(M144,[2]character_tribe_i18n!$A:$I,9,FALSE)</f>
        <v>400</v>
      </c>
      <c r="AN144" s="36">
        <v>0</v>
      </c>
      <c r="AO144" s="53">
        <v>0</v>
      </c>
      <c r="AP144" s="58" t="s">
        <v>72</v>
      </c>
      <c r="AQ144" s="71">
        <f t="shared" ca="1" si="4"/>
        <v>143</v>
      </c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8"/>
      <c r="BC144" s="18"/>
      <c r="BD144" s="18"/>
      <c r="BE144" s="18"/>
      <c r="BF144" s="18"/>
      <c r="BG144" s="18"/>
      <c r="BH144" s="18"/>
    </row>
    <row r="145" spans="1:60" s="3" customFormat="1" ht="21" customHeight="1" x14ac:dyDescent="0.15">
      <c r="A145" s="7">
        <f t="shared" ca="1" si="5"/>
        <v>144</v>
      </c>
      <c r="B145" s="6" t="str">
        <f ca="1">VLOOKUP(A145,[2]characters!$A:$C,3,FALSE)</f>
        <v>かぐや</v>
      </c>
      <c r="C145" s="9">
        <f ca="1">VLOOKUP(A145,[2]characters!$A:$I,9,FALSE)</f>
        <v>3</v>
      </c>
      <c r="D145" s="9" t="str">
        <f ca="1">VLOOKUP(A145,[2]characters!$A:$H,8,FALSE)</f>
        <v>green</v>
      </c>
      <c r="E145" s="24">
        <f ca="1">VLOOKUP(D145,[2]属性!$A:$E,2,FALSE)</f>
        <v>1.02</v>
      </c>
      <c r="F145" s="24">
        <f ca="1">VLOOKUP(D145,[2]属性!$A:$E,3,FALSE)</f>
        <v>0.98</v>
      </c>
      <c r="G145" s="24">
        <f ca="1">VLOOKUP(D145,[2]属性!$A:$F,4,FALSE)</f>
        <v>1</v>
      </c>
      <c r="H145" s="9" t="str">
        <f ca="1">VLOOKUP(A145,[2]characters!$A:$K,11,FALSE)</f>
        <v>hp</v>
      </c>
      <c r="I145" s="14" t="str">
        <f ca="1">VLOOKUP(H145,[2]character_type_i18n!$A:$F,3,FALSE)</f>
        <v>体力タイプ</v>
      </c>
      <c r="J145" s="36">
        <f ca="1">VLOOKUP(H145,[2]character_type_i18n!$A:$F,4,FALSE)</f>
        <v>1.45</v>
      </c>
      <c r="K145" s="36">
        <f ca="1">VLOOKUP(H145,[2]character_type_i18n!$A:$F,5,FALSE)</f>
        <v>0.85</v>
      </c>
      <c r="L145" s="36">
        <f ca="1">VLOOKUP(H145,[2]character_type_i18n!$A:$F,6,FALSE)</f>
        <v>1</v>
      </c>
      <c r="M145" s="9" t="str">
        <f ca="1">VLOOKUP(A145,[2]characters!$A:$M,13,FALSE)</f>
        <v>human</v>
      </c>
      <c r="N145" s="14" t="str">
        <f ca="1">VLOOKUP(M145,[2]character_tribe_i18n!$A:$F,3,FALSE)</f>
        <v>ヒューマン</v>
      </c>
      <c r="O145" s="24">
        <f ca="1">VLOOKUP(M145,[2]character_tribe_i18n!$A:$F,4,FALSE)</f>
        <v>0.94</v>
      </c>
      <c r="P145" s="24">
        <f ca="1">VLOOKUP(M145,[2]character_tribe_i18n!$A:$F,5,FALSE)</f>
        <v>0.99</v>
      </c>
      <c r="Q145" s="24">
        <f ca="1">VLOOKUP(M145,[2]character_tribe_i18n!$A:$F,6,FALSE)</f>
        <v>1</v>
      </c>
      <c r="R145" s="25" t="s">
        <v>4</v>
      </c>
      <c r="S145" s="24">
        <f>VLOOKUP($R145,ラベル別係数!$A$1:$E$7,3,FALSE)</f>
        <v>5</v>
      </c>
      <c r="T145" s="24">
        <f>VLOOKUP($R145,ラベル別係数!$A$1:$E$7,4,FALSE)</f>
        <v>1.3</v>
      </c>
      <c r="U145" s="24">
        <f>VLOOKUP($R145,ラベル別係数!$A$1:$E$7,5,FALSE)</f>
        <v>0.8</v>
      </c>
      <c r="V145" s="27">
        <v>2</v>
      </c>
      <c r="W145" s="28">
        <f>VLOOKUP(V145,ターン数別攻撃係数!$A$1:$B$1000,2,FALSE)</f>
        <v>0.75</v>
      </c>
      <c r="X145" s="10">
        <v>20</v>
      </c>
      <c r="Y145" s="26">
        <f>VLOOKUP($X145,サイズ別係数!$B:$E,2,FALSE)</f>
        <v>1.1000000000000001</v>
      </c>
      <c r="Z145" s="26">
        <f>VLOOKUP($X145,サイズ別係数!$B:$E,3,FALSE)</f>
        <v>1.2</v>
      </c>
      <c r="AA145" s="26">
        <f>VLOOKUP($X145,サイズ別係数!$B:$E,4,FALSE)</f>
        <v>1.2</v>
      </c>
      <c r="AB145" s="5">
        <v>0</v>
      </c>
      <c r="AC145" s="34" t="str">
        <f ca="1">VLOOKUP($AB145,OFFSET([3]enemy_skill_sets!$B$2,0,0,COUNTA([3]enemy_skill_sets!$A:$A),MATCH(AC$1,[3]enemy_skill_sets!$1:$1,0)-MATCH($AB$1,[3]enemy_skill_sets!$1:$1,0)+1),MATCH(AC$1,[3]enemy_skill_sets!$1:$1,0)-MATCH($AB$1,[3]enemy_skill_sets!$1:$1,0)+1,FALSE)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" s="27">
        <v>1</v>
      </c>
      <c r="AE145" s="37">
        <v>1</v>
      </c>
      <c r="AF145" s="37">
        <v>0</v>
      </c>
      <c r="AG145" s="28">
        <f ca="1">ROUND(VLOOKUP(1,enemy_base_stats!$A:$F,2,FALSE) * Y145* J145*O145*E145*S145*AD145*[2]ステータス!$B$2,0)</f>
        <v>3823</v>
      </c>
      <c r="AH145" s="28">
        <f ca="1">ROUND(VLOOKUP(1,enemy_base_stats!$A:$F,3,FALSE) * Z145*K145*P145*F145*T145*AE145 * W145*[2]ステータス!$C$2,0)</f>
        <v>145</v>
      </c>
      <c r="AI145" s="28">
        <f ca="1">ROUND(VLOOKUP(1,enemy_base_stats!$A:$F,4,FALSE) * AA145*L145*Q145*G145*U145*AF145*[2]ステータス!$D$2,0)</f>
        <v>0</v>
      </c>
      <c r="AJ145" s="28">
        <f ca="1">ROUND(VLOOKUP(100,enemy_base_stats!$A:$F,2,FALSE) * Y145* J145*O145*E145*S145*AD145*[2]ステータス!$B$2,0)</f>
        <v>155223</v>
      </c>
      <c r="AK145" s="28">
        <f ca="1">ROUND(VLOOKUP(100,enemy_base_stats!$A:$F,3,FALSE)* Z145* K145*P145*F145*T145*AE145 * W145*[2]ステータス!$C$2,0)</f>
        <v>5876</v>
      </c>
      <c r="AL145" s="28">
        <f ca="1">ROUND(VLOOKUP(100,enemy_base_stats!$A:$F,4,FALSE)* AA145* L145*Q145*G145*U145*AF145*[2]ステータス!$D$2,0)</f>
        <v>0</v>
      </c>
      <c r="AM145" s="24">
        <f ca="1">VLOOKUP(M145,[2]character_tribe_i18n!$A:$I,9,FALSE)</f>
        <v>400</v>
      </c>
      <c r="AN145" s="36">
        <v>0</v>
      </c>
      <c r="AO145" s="53">
        <v>0</v>
      </c>
      <c r="AP145" s="58" t="s">
        <v>72</v>
      </c>
      <c r="AQ145" s="71">
        <f t="shared" ca="1" si="4"/>
        <v>144</v>
      </c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8"/>
      <c r="BC145" s="18"/>
      <c r="BD145" s="18"/>
      <c r="BE145" s="18"/>
      <c r="BF145" s="18"/>
      <c r="BG145" s="18"/>
      <c r="BH145" s="18"/>
    </row>
    <row r="146" spans="1:60" s="3" customFormat="1" ht="21" customHeight="1" x14ac:dyDescent="0.15">
      <c r="A146" s="7">
        <f t="shared" ca="1" si="5"/>
        <v>145</v>
      </c>
      <c r="B146" s="6" t="str">
        <f ca="1">VLOOKUP(A146,[2]characters!$A:$C,3,FALSE)</f>
        <v>魔性妖艶 かぐや</v>
      </c>
      <c r="C146" s="9">
        <f ca="1">VLOOKUP(A146,[2]characters!$A:$I,9,FALSE)</f>
        <v>4</v>
      </c>
      <c r="D146" s="9" t="str">
        <f ca="1">VLOOKUP(A146,[2]characters!$A:$H,8,FALSE)</f>
        <v>green</v>
      </c>
      <c r="E146" s="24">
        <f ca="1">VLOOKUP(D146,[2]属性!$A:$E,2,FALSE)</f>
        <v>1.02</v>
      </c>
      <c r="F146" s="24">
        <f ca="1">VLOOKUP(D146,[2]属性!$A:$E,3,FALSE)</f>
        <v>0.98</v>
      </c>
      <c r="G146" s="24">
        <f ca="1">VLOOKUP(D146,[2]属性!$A:$F,4,FALSE)</f>
        <v>1</v>
      </c>
      <c r="H146" s="9" t="str">
        <f ca="1">VLOOKUP(A146,[2]characters!$A:$K,11,FALSE)</f>
        <v>hp</v>
      </c>
      <c r="I146" s="14" t="str">
        <f ca="1">VLOOKUP(H146,[2]character_type_i18n!$A:$F,3,FALSE)</f>
        <v>体力タイプ</v>
      </c>
      <c r="J146" s="36">
        <f ca="1">VLOOKUP(H146,[2]character_type_i18n!$A:$F,4,FALSE)</f>
        <v>1.45</v>
      </c>
      <c r="K146" s="36">
        <f ca="1">VLOOKUP(H146,[2]character_type_i18n!$A:$F,5,FALSE)</f>
        <v>0.85</v>
      </c>
      <c r="L146" s="36">
        <f ca="1">VLOOKUP(H146,[2]character_type_i18n!$A:$F,6,FALSE)</f>
        <v>1</v>
      </c>
      <c r="M146" s="9" t="str">
        <f ca="1">VLOOKUP(A146,[2]characters!$A:$M,13,FALSE)</f>
        <v>human</v>
      </c>
      <c r="N146" s="14" t="str">
        <f ca="1">VLOOKUP(M146,[2]character_tribe_i18n!$A:$F,3,FALSE)</f>
        <v>ヒューマン</v>
      </c>
      <c r="O146" s="24">
        <f ca="1">VLOOKUP(M146,[2]character_tribe_i18n!$A:$F,4,FALSE)</f>
        <v>0.94</v>
      </c>
      <c r="P146" s="24">
        <f ca="1">VLOOKUP(M146,[2]character_tribe_i18n!$A:$F,5,FALSE)</f>
        <v>0.99</v>
      </c>
      <c r="Q146" s="24">
        <f ca="1">VLOOKUP(M146,[2]character_tribe_i18n!$A:$F,6,FALSE)</f>
        <v>1</v>
      </c>
      <c r="R146" s="25" t="s">
        <v>4</v>
      </c>
      <c r="S146" s="24">
        <f>VLOOKUP($R146,ラベル別係数!$A$1:$E$7,3,FALSE)</f>
        <v>5</v>
      </c>
      <c r="T146" s="24">
        <f>VLOOKUP($R146,ラベル別係数!$A$1:$E$7,4,FALSE)</f>
        <v>1.3</v>
      </c>
      <c r="U146" s="24">
        <f>VLOOKUP($R146,ラベル別係数!$A$1:$E$7,5,FALSE)</f>
        <v>0.8</v>
      </c>
      <c r="V146" s="27">
        <v>2</v>
      </c>
      <c r="W146" s="28">
        <f>VLOOKUP(V146,ターン数別攻撃係数!$A$1:$B$1000,2,FALSE)</f>
        <v>0.75</v>
      </c>
      <c r="X146" s="10">
        <v>30</v>
      </c>
      <c r="Y146" s="26">
        <f>VLOOKUP($X146,サイズ別係数!$B:$E,2,FALSE)</f>
        <v>1.3</v>
      </c>
      <c r="Z146" s="26">
        <f>VLOOKUP($X146,サイズ別係数!$B:$E,3,FALSE)</f>
        <v>1.3</v>
      </c>
      <c r="AA146" s="26">
        <f>VLOOKUP($X146,サイズ別係数!$B:$E,4,FALSE)</f>
        <v>1.1000000000000001</v>
      </c>
      <c r="AB146" s="5">
        <v>0</v>
      </c>
      <c r="AC146" s="34" t="str">
        <f ca="1">VLOOKUP($AB146,OFFSET([3]enemy_skill_sets!$B$2,0,0,COUNTA([3]enemy_skill_sets!$A:$A),MATCH(AC$1,[3]enemy_skill_sets!$1:$1,0)-MATCH($AB$1,[3]enemy_skill_sets!$1:$1,0)+1),MATCH(AC$1,[3]enemy_skill_sets!$1:$1,0)-MATCH($AB$1,[3]enemy_skill_sets!$1:$1,0)+1,FALSE)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" s="27">
        <v>1</v>
      </c>
      <c r="AE146" s="37">
        <v>1</v>
      </c>
      <c r="AF146" s="37">
        <v>0</v>
      </c>
      <c r="AG146" s="28">
        <f ca="1">ROUND(VLOOKUP(1,enemy_base_stats!$A:$F,2,FALSE) * Y146* J146*O146*E146*S146*AD146*[2]ステータス!$B$2,0)</f>
        <v>4518</v>
      </c>
      <c r="AH146" s="28">
        <f ca="1">ROUND(VLOOKUP(1,enemy_base_stats!$A:$F,3,FALSE) * Z146*K146*P146*F146*T146*AE146 * W146*[2]ステータス!$C$2,0)</f>
        <v>157</v>
      </c>
      <c r="AI146" s="28">
        <f ca="1">ROUND(VLOOKUP(1,enemy_base_stats!$A:$F,4,FALSE) * AA146*L146*Q146*G146*U146*AF146*[2]ステータス!$D$2,0)</f>
        <v>0</v>
      </c>
      <c r="AJ146" s="28">
        <f ca="1">ROUND(VLOOKUP(100,enemy_base_stats!$A:$F,2,FALSE) * Y146* J146*O146*E146*S146*AD146*[2]ステータス!$B$2,0)</f>
        <v>183445</v>
      </c>
      <c r="AK146" s="28">
        <f ca="1">ROUND(VLOOKUP(100,enemy_base_stats!$A:$F,3,FALSE)* Z146* K146*P146*F146*T146*AE146 * W146*[2]ステータス!$C$2,0)</f>
        <v>6366</v>
      </c>
      <c r="AL146" s="28">
        <f ca="1">ROUND(VLOOKUP(100,enemy_base_stats!$A:$F,4,FALSE)* AA146* L146*Q146*G146*U146*AF146*[2]ステータス!$D$2,0)</f>
        <v>0</v>
      </c>
      <c r="AM146" s="24">
        <f ca="1">VLOOKUP(M146,[2]character_tribe_i18n!$A:$I,9,FALSE)</f>
        <v>400</v>
      </c>
      <c r="AN146" s="36">
        <v>0</v>
      </c>
      <c r="AO146" s="53">
        <v>0</v>
      </c>
      <c r="AP146" s="58" t="s">
        <v>72</v>
      </c>
      <c r="AQ146" s="71">
        <f t="shared" ca="1" si="4"/>
        <v>145</v>
      </c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</row>
    <row r="147" spans="1:60" s="3" customFormat="1" ht="21" customHeight="1" x14ac:dyDescent="0.15">
      <c r="A147" s="7">
        <f t="shared" ca="1" si="5"/>
        <v>146</v>
      </c>
      <c r="B147" s="6" t="str">
        <f ca="1">VLOOKUP(A147,[2]characters!$A:$C,3,FALSE)</f>
        <v>マーメイド</v>
      </c>
      <c r="C147" s="9">
        <f ca="1">VLOOKUP(A147,[2]characters!$A:$I,9,FALSE)</f>
        <v>3</v>
      </c>
      <c r="D147" s="9" t="str">
        <f ca="1">VLOOKUP(A147,[2]characters!$A:$H,8,FALSE)</f>
        <v>blue</v>
      </c>
      <c r="E147" s="24">
        <f ca="1">VLOOKUP(D147,[2]属性!$A:$E,2,FALSE)</f>
        <v>1</v>
      </c>
      <c r="F147" s="24">
        <f ca="1">VLOOKUP(D147,[2]属性!$A:$E,3,FALSE)</f>
        <v>0.98</v>
      </c>
      <c r="G147" s="24">
        <f ca="1">VLOOKUP(D147,[2]属性!$A:$F,4,FALSE)</f>
        <v>1</v>
      </c>
      <c r="H147" s="9" t="str">
        <f ca="1">VLOOKUP(A147,[2]characters!$A:$K,11,FALSE)</f>
        <v>hp</v>
      </c>
      <c r="I147" s="14" t="str">
        <f ca="1">VLOOKUP(H147,[2]character_type_i18n!$A:$F,3,FALSE)</f>
        <v>体力タイプ</v>
      </c>
      <c r="J147" s="36">
        <f ca="1">VLOOKUP(H147,[2]character_type_i18n!$A:$F,4,FALSE)</f>
        <v>1.45</v>
      </c>
      <c r="K147" s="36">
        <f ca="1">VLOOKUP(H147,[2]character_type_i18n!$A:$F,5,FALSE)</f>
        <v>0.85</v>
      </c>
      <c r="L147" s="36">
        <f ca="1">VLOOKUP(H147,[2]character_type_i18n!$A:$F,6,FALSE)</f>
        <v>1</v>
      </c>
      <c r="M147" s="9" t="str">
        <f ca="1">VLOOKUP(A147,[2]characters!$A:$M,13,FALSE)</f>
        <v>human</v>
      </c>
      <c r="N147" s="14" t="str">
        <f ca="1">VLOOKUP(M147,[2]character_tribe_i18n!$A:$F,3,FALSE)</f>
        <v>ヒューマン</v>
      </c>
      <c r="O147" s="24">
        <f ca="1">VLOOKUP(M147,[2]character_tribe_i18n!$A:$F,4,FALSE)</f>
        <v>0.94</v>
      </c>
      <c r="P147" s="24">
        <f ca="1">VLOOKUP(M147,[2]character_tribe_i18n!$A:$F,5,FALSE)</f>
        <v>0.99</v>
      </c>
      <c r="Q147" s="24">
        <f ca="1">VLOOKUP(M147,[2]character_tribe_i18n!$A:$F,6,FALSE)</f>
        <v>1</v>
      </c>
      <c r="R147" s="25" t="s">
        <v>4</v>
      </c>
      <c r="S147" s="24">
        <f>VLOOKUP($R147,ラベル別係数!$A$1:$E$7,3,FALSE)</f>
        <v>5</v>
      </c>
      <c r="T147" s="24">
        <f>VLOOKUP($R147,ラベル別係数!$A$1:$E$7,4,FALSE)</f>
        <v>1.3</v>
      </c>
      <c r="U147" s="24">
        <f>VLOOKUP($R147,ラベル別係数!$A$1:$E$7,5,FALSE)</f>
        <v>0.8</v>
      </c>
      <c r="V147" s="27">
        <v>3</v>
      </c>
      <c r="W147" s="28">
        <f>VLOOKUP(V147,ターン数別攻撃係数!$A$1:$B$1000,2,FALSE)</f>
        <v>1</v>
      </c>
      <c r="X147" s="10">
        <v>20</v>
      </c>
      <c r="Y147" s="26">
        <f>VLOOKUP($X147,サイズ別係数!$B:$E,2,FALSE)</f>
        <v>1.1000000000000001</v>
      </c>
      <c r="Z147" s="26">
        <f>VLOOKUP($X147,サイズ別係数!$B:$E,3,FALSE)</f>
        <v>1.2</v>
      </c>
      <c r="AA147" s="26">
        <f>VLOOKUP($X147,サイズ別係数!$B:$E,4,FALSE)</f>
        <v>1.2</v>
      </c>
      <c r="AB147" s="5">
        <v>146</v>
      </c>
      <c r="AC147" s="34" t="str">
        <f ca="1">VLOOKUP($AB147,OFFSET([3]enemy_skill_sets!$B$2,0,0,COUNTA([3]enemy_skill_sets!$A:$A),MATCH(AC$1,[3]enemy_skill_sets!$1:$1,0)-MATCH($AB$1,[3]enemy_skill_sets!$1:$1,0)+1),MATCH(AC$1,[3]enemy_skill_sets!$1:$1,0)-MATCH($AB$1,[3]enemy_skill_sets!$1:$1,0)+1,FALSE)</f>
        <v>ハートパネルで回復できない</v>
      </c>
      <c r="AD147" s="27">
        <v>1</v>
      </c>
      <c r="AE147" s="37">
        <v>1</v>
      </c>
      <c r="AF147" s="37">
        <v>0</v>
      </c>
      <c r="AG147" s="28">
        <f ca="1">ROUND(VLOOKUP(1,enemy_base_stats!$A:$F,2,FALSE) * Y147* J147*O147*E147*S147*AD147*[2]ステータス!$B$2,0)</f>
        <v>3748</v>
      </c>
      <c r="AH147" s="28">
        <f ca="1">ROUND(VLOOKUP(1,enemy_base_stats!$A:$F,3,FALSE) * Z147*K147*P147*F147*T147*AE147 * W147*[2]ステータス!$C$2,0)</f>
        <v>193</v>
      </c>
      <c r="AI147" s="28">
        <f ca="1">ROUND(VLOOKUP(1,enemy_base_stats!$A:$F,4,FALSE) * AA147*L147*Q147*G147*U147*AF147*[2]ステータス!$D$2,0)</f>
        <v>0</v>
      </c>
      <c r="AJ147" s="28">
        <f ca="1">ROUND(VLOOKUP(100,enemy_base_stats!$A:$F,2,FALSE) * Y147* J147*O147*E147*S147*AD147*[2]ステータス!$B$2,0)</f>
        <v>152179</v>
      </c>
      <c r="AK147" s="28">
        <f ca="1">ROUND(VLOOKUP(100,enemy_base_stats!$A:$F,3,FALSE)* Z147* K147*P147*F147*T147*AE147 * W147*[2]ステータス!$C$2,0)</f>
        <v>7835</v>
      </c>
      <c r="AL147" s="28">
        <f ca="1">ROUND(VLOOKUP(100,enemy_base_stats!$A:$F,4,FALSE)* AA147* L147*Q147*G147*U147*AF147*[2]ステータス!$D$2,0)</f>
        <v>0</v>
      </c>
      <c r="AM147" s="24">
        <f ca="1">VLOOKUP(M147,[2]character_tribe_i18n!$A:$I,9,FALSE)</f>
        <v>400</v>
      </c>
      <c r="AN147" s="36">
        <v>0</v>
      </c>
      <c r="AO147" s="53">
        <v>0</v>
      </c>
      <c r="AP147" s="58" t="s">
        <v>72</v>
      </c>
      <c r="AQ147" s="71">
        <f t="shared" ca="1" si="4"/>
        <v>146</v>
      </c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</row>
    <row r="148" spans="1:60" s="3" customFormat="1" ht="21" customHeight="1" x14ac:dyDescent="0.15">
      <c r="A148" s="7">
        <f t="shared" ca="1" si="5"/>
        <v>147</v>
      </c>
      <c r="B148" s="6" t="str">
        <f ca="1">VLOOKUP(A148,[2]characters!$A:$C,3,FALSE)</f>
        <v>蒼き閃光 元マーメイド</v>
      </c>
      <c r="C148" s="9">
        <f ca="1">VLOOKUP(A148,[2]characters!$A:$I,9,FALSE)</f>
        <v>4</v>
      </c>
      <c r="D148" s="9" t="str">
        <f ca="1">VLOOKUP(A148,[2]characters!$A:$H,8,FALSE)</f>
        <v>blue</v>
      </c>
      <c r="E148" s="24">
        <f ca="1">VLOOKUP(D148,[2]属性!$A:$E,2,FALSE)</f>
        <v>1</v>
      </c>
      <c r="F148" s="24">
        <f ca="1">VLOOKUP(D148,[2]属性!$A:$E,3,FALSE)</f>
        <v>0.98</v>
      </c>
      <c r="G148" s="24">
        <f ca="1">VLOOKUP(D148,[2]属性!$A:$F,4,FALSE)</f>
        <v>1</v>
      </c>
      <c r="H148" s="9" t="str">
        <f ca="1">VLOOKUP(A148,[2]characters!$A:$K,11,FALSE)</f>
        <v>hp</v>
      </c>
      <c r="I148" s="14" t="str">
        <f ca="1">VLOOKUP(H148,[2]character_type_i18n!$A:$F,3,FALSE)</f>
        <v>体力タイプ</v>
      </c>
      <c r="J148" s="36">
        <f ca="1">VLOOKUP(H148,[2]character_type_i18n!$A:$F,4,FALSE)</f>
        <v>1.45</v>
      </c>
      <c r="K148" s="36">
        <f ca="1">VLOOKUP(H148,[2]character_type_i18n!$A:$F,5,FALSE)</f>
        <v>0.85</v>
      </c>
      <c r="L148" s="36">
        <f ca="1">VLOOKUP(H148,[2]character_type_i18n!$A:$F,6,FALSE)</f>
        <v>1</v>
      </c>
      <c r="M148" s="9" t="str">
        <f ca="1">VLOOKUP(A148,[2]characters!$A:$M,13,FALSE)</f>
        <v>human</v>
      </c>
      <c r="N148" s="14" t="str">
        <f ca="1">VLOOKUP(M148,[2]character_tribe_i18n!$A:$F,3,FALSE)</f>
        <v>ヒューマン</v>
      </c>
      <c r="O148" s="24">
        <f ca="1">VLOOKUP(M148,[2]character_tribe_i18n!$A:$F,4,FALSE)</f>
        <v>0.94</v>
      </c>
      <c r="P148" s="24">
        <f ca="1">VLOOKUP(M148,[2]character_tribe_i18n!$A:$F,5,FALSE)</f>
        <v>0.99</v>
      </c>
      <c r="Q148" s="24">
        <f ca="1">VLOOKUP(M148,[2]character_tribe_i18n!$A:$F,6,FALSE)</f>
        <v>1</v>
      </c>
      <c r="R148" s="25" t="s">
        <v>4</v>
      </c>
      <c r="S148" s="24">
        <f>VLOOKUP($R148,ラベル別係数!$A$1:$E$7,3,FALSE)</f>
        <v>5</v>
      </c>
      <c r="T148" s="24">
        <f>VLOOKUP($R148,ラベル別係数!$A$1:$E$7,4,FALSE)</f>
        <v>1.3</v>
      </c>
      <c r="U148" s="24">
        <f>VLOOKUP($R148,ラベル別係数!$A$1:$E$7,5,FALSE)</f>
        <v>0.8</v>
      </c>
      <c r="V148" s="27">
        <v>3</v>
      </c>
      <c r="W148" s="28">
        <f>VLOOKUP(V148,ターン数別攻撃係数!$A$1:$B$1000,2,FALSE)</f>
        <v>1</v>
      </c>
      <c r="X148" s="10">
        <v>30</v>
      </c>
      <c r="Y148" s="26">
        <f>VLOOKUP($X148,サイズ別係数!$B:$E,2,FALSE)</f>
        <v>1.3</v>
      </c>
      <c r="Z148" s="26">
        <f>VLOOKUP($X148,サイズ別係数!$B:$E,3,FALSE)</f>
        <v>1.3</v>
      </c>
      <c r="AA148" s="26">
        <f>VLOOKUP($X148,サイズ別係数!$B:$E,4,FALSE)</f>
        <v>1.1000000000000001</v>
      </c>
      <c r="AB148" s="5">
        <v>146</v>
      </c>
      <c r="AC148" s="34" t="str">
        <f ca="1">VLOOKUP($AB148,OFFSET([3]enemy_skill_sets!$B$2,0,0,COUNTA([3]enemy_skill_sets!$A:$A),MATCH(AC$1,[3]enemy_skill_sets!$1:$1,0)-MATCH($AB$1,[3]enemy_skill_sets!$1:$1,0)+1),MATCH(AC$1,[3]enemy_skill_sets!$1:$1,0)-MATCH($AB$1,[3]enemy_skill_sets!$1:$1,0)+1,FALSE)</f>
        <v>ハートパネルで回復できない</v>
      </c>
      <c r="AD148" s="27">
        <v>1</v>
      </c>
      <c r="AE148" s="37">
        <v>1</v>
      </c>
      <c r="AF148" s="37">
        <v>0</v>
      </c>
      <c r="AG148" s="28">
        <f ca="1">ROUND(VLOOKUP(1,enemy_base_stats!$A:$F,2,FALSE) * Y148* J148*O148*E148*S148*AD148*[2]ステータス!$B$2,0)</f>
        <v>4430</v>
      </c>
      <c r="AH148" s="28">
        <f ca="1">ROUND(VLOOKUP(1,enemy_base_stats!$A:$F,3,FALSE) * Z148*K148*P148*F148*T148*AE148 * W148*[2]ステータス!$C$2,0)</f>
        <v>209</v>
      </c>
      <c r="AI148" s="28">
        <f ca="1">ROUND(VLOOKUP(1,enemy_base_stats!$A:$F,4,FALSE) * AA148*L148*Q148*G148*U148*AF148*[2]ステータス!$D$2,0)</f>
        <v>0</v>
      </c>
      <c r="AJ148" s="28">
        <f ca="1">ROUND(VLOOKUP(100,enemy_base_stats!$A:$F,2,FALSE) * Y148* J148*O148*E148*S148*AD148*[2]ステータス!$B$2,0)</f>
        <v>179848</v>
      </c>
      <c r="AK148" s="28">
        <f ca="1">ROUND(VLOOKUP(100,enemy_base_stats!$A:$F,3,FALSE)* Z148* K148*P148*F148*T148*AE148 * W148*[2]ステータス!$C$2,0)</f>
        <v>8488</v>
      </c>
      <c r="AL148" s="28">
        <f ca="1">ROUND(VLOOKUP(100,enemy_base_stats!$A:$F,4,FALSE)* AA148* L148*Q148*G148*U148*AF148*[2]ステータス!$D$2,0)</f>
        <v>0</v>
      </c>
      <c r="AM148" s="24">
        <f ca="1">VLOOKUP(M148,[2]character_tribe_i18n!$A:$I,9,FALSE)</f>
        <v>400</v>
      </c>
      <c r="AN148" s="36">
        <v>0</v>
      </c>
      <c r="AO148" s="53">
        <v>0</v>
      </c>
      <c r="AP148" s="58" t="s">
        <v>72</v>
      </c>
      <c r="AQ148" s="71">
        <f t="shared" ca="1" si="4"/>
        <v>147</v>
      </c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</row>
    <row r="149" spans="1:60" s="3" customFormat="1" ht="21" customHeight="1" x14ac:dyDescent="0.15">
      <c r="A149" s="7">
        <f t="shared" ca="1" si="5"/>
        <v>148</v>
      </c>
      <c r="B149" s="6" t="str">
        <f ca="1">VLOOKUP(A149,[2]characters!$A:$C,3,FALSE)</f>
        <v>シンデレラ</v>
      </c>
      <c r="C149" s="9">
        <f ca="1">VLOOKUP(A149,[2]characters!$A:$I,9,FALSE)</f>
        <v>3</v>
      </c>
      <c r="D149" s="9" t="str">
        <f ca="1">VLOOKUP(A149,[2]characters!$A:$H,8,FALSE)</f>
        <v>yellow</v>
      </c>
      <c r="E149" s="24">
        <f ca="1">VLOOKUP(D149,[2]属性!$A:$E,2,FALSE)</f>
        <v>0.98</v>
      </c>
      <c r="F149" s="24">
        <f ca="1">VLOOKUP(D149,[2]属性!$A:$E,3,FALSE)</f>
        <v>1.01</v>
      </c>
      <c r="G149" s="24">
        <f ca="1">VLOOKUP(D149,[2]属性!$A:$F,4,FALSE)</f>
        <v>1</v>
      </c>
      <c r="H149" s="9" t="str">
        <f ca="1">VLOOKUP(A149,[2]characters!$A:$K,11,FALSE)</f>
        <v>balance</v>
      </c>
      <c r="I149" s="14" t="str">
        <f ca="1">VLOOKUP(H149,[2]character_type_i18n!$A:$F,3,FALSE)</f>
        <v>バランスタイプ</v>
      </c>
      <c r="J149" s="36">
        <f ca="1">VLOOKUP(H149,[2]character_type_i18n!$A:$F,4,FALSE)</f>
        <v>1</v>
      </c>
      <c r="K149" s="36">
        <f ca="1">VLOOKUP(H149,[2]character_type_i18n!$A:$F,5,FALSE)</f>
        <v>1</v>
      </c>
      <c r="L149" s="36">
        <f ca="1">VLOOKUP(H149,[2]character_type_i18n!$A:$F,6,FALSE)</f>
        <v>1</v>
      </c>
      <c r="M149" s="9" t="str">
        <f ca="1">VLOOKUP(A149,[2]characters!$A:$M,13,FALSE)</f>
        <v>human</v>
      </c>
      <c r="N149" s="14" t="str">
        <f ca="1">VLOOKUP(M149,[2]character_tribe_i18n!$A:$F,3,FALSE)</f>
        <v>ヒューマン</v>
      </c>
      <c r="O149" s="24">
        <f ca="1">VLOOKUP(M149,[2]character_tribe_i18n!$A:$F,4,FALSE)</f>
        <v>0.94</v>
      </c>
      <c r="P149" s="24">
        <f ca="1">VLOOKUP(M149,[2]character_tribe_i18n!$A:$F,5,FALSE)</f>
        <v>0.99</v>
      </c>
      <c r="Q149" s="24">
        <f ca="1">VLOOKUP(M149,[2]character_tribe_i18n!$A:$F,6,FALSE)</f>
        <v>1</v>
      </c>
      <c r="R149" s="25" t="s">
        <v>4</v>
      </c>
      <c r="S149" s="24">
        <f>VLOOKUP($R149,ラベル別係数!$A$1:$E$7,3,FALSE)</f>
        <v>5</v>
      </c>
      <c r="T149" s="24">
        <f>VLOOKUP($R149,ラベル別係数!$A$1:$E$7,4,FALSE)</f>
        <v>1.3</v>
      </c>
      <c r="U149" s="24">
        <f>VLOOKUP($R149,ラベル別係数!$A$1:$E$7,5,FALSE)</f>
        <v>0.8</v>
      </c>
      <c r="V149" s="27">
        <v>2</v>
      </c>
      <c r="W149" s="28">
        <f>VLOOKUP(V149,ターン数別攻撃係数!$A$1:$B$1000,2,FALSE)</f>
        <v>0.75</v>
      </c>
      <c r="X149" s="10">
        <v>20</v>
      </c>
      <c r="Y149" s="26">
        <f>VLOOKUP($X149,サイズ別係数!$B:$E,2,FALSE)</f>
        <v>1.1000000000000001</v>
      </c>
      <c r="Z149" s="26">
        <f>VLOOKUP($X149,サイズ別係数!$B:$E,3,FALSE)</f>
        <v>1.2</v>
      </c>
      <c r="AA149" s="26">
        <f>VLOOKUP($X149,サイズ別係数!$B:$E,4,FALSE)</f>
        <v>1.2</v>
      </c>
      <c r="AB149" s="5">
        <v>148</v>
      </c>
      <c r="AC149" s="34" t="str">
        <f ca="1">VLOOKUP($AB149,OFFSET([3]enemy_skill_sets!$B$2,0,0,COUNTA([3]enemy_skill_sets!$A:$A),MATCH(AC$1,[3]enemy_skill_sets!$1:$1,0)-MATCH($AB$1,[3]enemy_skill_sets!$1:$1,0)+1),MATCH(AC$1,[3]enemy_skill_sets!$1:$1,0)-MATCH($AB$1,[3]enemy_skill_sets!$1:$1,0)+1,FALSE)</f>
        <v>舞踏会に想いを馳せている</v>
      </c>
      <c r="AD149" s="27">
        <v>1</v>
      </c>
      <c r="AE149" s="37">
        <v>1</v>
      </c>
      <c r="AF149" s="37">
        <v>0</v>
      </c>
      <c r="AG149" s="28">
        <f ca="1">ROUND(VLOOKUP(1,enemy_base_stats!$A:$F,2,FALSE) * Y149* J149*O149*E149*S149*AD149*[2]ステータス!$B$2,0)</f>
        <v>2533</v>
      </c>
      <c r="AH149" s="28">
        <f ca="1">ROUND(VLOOKUP(1,enemy_base_stats!$A:$F,3,FALSE) * Z149*K149*P149*F149*T149*AE149 * W149*[2]ステータス!$C$2,0)</f>
        <v>175</v>
      </c>
      <c r="AI149" s="28">
        <f ca="1">ROUND(VLOOKUP(1,enemy_base_stats!$A:$F,4,FALSE) * AA149*L149*Q149*G149*U149*AF149*[2]ステータス!$D$2,0)</f>
        <v>0</v>
      </c>
      <c r="AJ149" s="28">
        <f ca="1">ROUND(VLOOKUP(100,enemy_base_stats!$A:$F,2,FALSE) * Y149* J149*O149*E149*S149*AD149*[2]ステータス!$B$2,0)</f>
        <v>102852</v>
      </c>
      <c r="AK149" s="28">
        <f ca="1">ROUND(VLOOKUP(100,enemy_base_stats!$A:$F,3,FALSE)* Z149* K149*P149*F149*T149*AE149 * W149*[2]ステータス!$C$2,0)</f>
        <v>7125</v>
      </c>
      <c r="AL149" s="28">
        <f ca="1">ROUND(VLOOKUP(100,enemy_base_stats!$A:$F,4,FALSE)* AA149* L149*Q149*G149*U149*AF149*[2]ステータス!$D$2,0)</f>
        <v>0</v>
      </c>
      <c r="AM149" s="24">
        <f ca="1">VLOOKUP(M149,[2]character_tribe_i18n!$A:$I,9,FALSE)</f>
        <v>400</v>
      </c>
      <c r="AN149" s="36">
        <v>0</v>
      </c>
      <c r="AO149" s="53">
        <v>0</v>
      </c>
      <c r="AP149" s="58" t="s">
        <v>72</v>
      </c>
      <c r="AQ149" s="71">
        <f t="shared" ca="1" si="4"/>
        <v>148</v>
      </c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18"/>
      <c r="BG149" s="18"/>
      <c r="BH149" s="18"/>
    </row>
    <row r="150" spans="1:60" s="3" customFormat="1" ht="21" customHeight="1" x14ac:dyDescent="0.15">
      <c r="A150" s="7">
        <f t="shared" ca="1" si="5"/>
        <v>149</v>
      </c>
      <c r="B150" s="6" t="str">
        <f ca="1">VLOOKUP(A150,[2]characters!$A:$C,3,FALSE)</f>
        <v>雷撃蹴技を極めし者 シンデレラ</v>
      </c>
      <c r="C150" s="9">
        <f ca="1">VLOOKUP(A150,[2]characters!$A:$I,9,FALSE)</f>
        <v>4</v>
      </c>
      <c r="D150" s="9" t="str">
        <f ca="1">VLOOKUP(A150,[2]characters!$A:$H,8,FALSE)</f>
        <v>yellow</v>
      </c>
      <c r="E150" s="24">
        <f ca="1">VLOOKUP(D150,[2]属性!$A:$E,2,FALSE)</f>
        <v>0.98</v>
      </c>
      <c r="F150" s="24">
        <f ca="1">VLOOKUP(D150,[2]属性!$A:$E,3,FALSE)</f>
        <v>1.01</v>
      </c>
      <c r="G150" s="24">
        <f ca="1">VLOOKUP(D150,[2]属性!$A:$F,4,FALSE)</f>
        <v>1</v>
      </c>
      <c r="H150" s="9" t="str">
        <f ca="1">VLOOKUP(A150,[2]characters!$A:$K,11,FALSE)</f>
        <v>balance</v>
      </c>
      <c r="I150" s="14" t="str">
        <f ca="1">VLOOKUP(H150,[2]character_type_i18n!$A:$F,3,FALSE)</f>
        <v>バランスタイプ</v>
      </c>
      <c r="J150" s="36">
        <f ca="1">VLOOKUP(H150,[2]character_type_i18n!$A:$F,4,FALSE)</f>
        <v>1</v>
      </c>
      <c r="K150" s="36">
        <f ca="1">VLOOKUP(H150,[2]character_type_i18n!$A:$F,5,FALSE)</f>
        <v>1</v>
      </c>
      <c r="L150" s="36">
        <f ca="1">VLOOKUP(H150,[2]character_type_i18n!$A:$F,6,FALSE)</f>
        <v>1</v>
      </c>
      <c r="M150" s="9" t="str">
        <f ca="1">VLOOKUP(A150,[2]characters!$A:$M,13,FALSE)</f>
        <v>human</v>
      </c>
      <c r="N150" s="14" t="str">
        <f ca="1">VLOOKUP(M150,[2]character_tribe_i18n!$A:$F,3,FALSE)</f>
        <v>ヒューマン</v>
      </c>
      <c r="O150" s="24">
        <f ca="1">VLOOKUP(M150,[2]character_tribe_i18n!$A:$F,4,FALSE)</f>
        <v>0.94</v>
      </c>
      <c r="P150" s="24">
        <f ca="1">VLOOKUP(M150,[2]character_tribe_i18n!$A:$F,5,FALSE)</f>
        <v>0.99</v>
      </c>
      <c r="Q150" s="24">
        <f ca="1">VLOOKUP(M150,[2]character_tribe_i18n!$A:$F,6,FALSE)</f>
        <v>1</v>
      </c>
      <c r="R150" s="25" t="s">
        <v>4</v>
      </c>
      <c r="S150" s="24">
        <f>VLOOKUP($R150,ラベル別係数!$A$1:$E$7,3,FALSE)</f>
        <v>5</v>
      </c>
      <c r="T150" s="24">
        <f>VLOOKUP($R150,ラベル別係数!$A$1:$E$7,4,FALSE)</f>
        <v>1.3</v>
      </c>
      <c r="U150" s="24">
        <f>VLOOKUP($R150,ラベル別係数!$A$1:$E$7,5,FALSE)</f>
        <v>0.8</v>
      </c>
      <c r="V150" s="27">
        <v>1</v>
      </c>
      <c r="W150" s="28">
        <f>VLOOKUP(V150,ターン数別攻撃係数!$A$1:$B$1000,2,FALSE)</f>
        <v>0.55000000000000004</v>
      </c>
      <c r="X150" s="10">
        <v>30</v>
      </c>
      <c r="Y150" s="26">
        <f>VLOOKUP($X150,サイズ別係数!$B:$E,2,FALSE)</f>
        <v>1.3</v>
      </c>
      <c r="Z150" s="26">
        <f>VLOOKUP($X150,サイズ別係数!$B:$E,3,FALSE)</f>
        <v>1.3</v>
      </c>
      <c r="AA150" s="26">
        <f>VLOOKUP($X150,サイズ別係数!$B:$E,4,FALSE)</f>
        <v>1.1000000000000001</v>
      </c>
      <c r="AB150" s="5">
        <v>149</v>
      </c>
      <c r="AC150" s="34" t="str">
        <f ca="1">VLOOKUP($AB150,OFFSET([3]enemy_skill_sets!$B$2,0,0,COUNTA([3]enemy_skill_sets!$A:$A),MATCH(AC$1,[3]enemy_skill_sets!$1:$1,0)-MATCH($AB$1,[3]enemy_skill_sets!$1:$1,0)+1),MATCH(AC$1,[3]enemy_skill_sets!$1:$1,0)-MATCH($AB$1,[3]enemy_skill_sets!$1:$1,0)+1,FALSE)</f>
        <v>ガラスの靴に夢中だ</v>
      </c>
      <c r="AD150" s="27">
        <v>1</v>
      </c>
      <c r="AE150" s="37">
        <v>1</v>
      </c>
      <c r="AF150" s="37">
        <v>0</v>
      </c>
      <c r="AG150" s="28">
        <f ca="1">ROUND(VLOOKUP(1,enemy_base_stats!$A:$F,2,FALSE) * Y150* J150*O150*E150*S150*AD150*[2]ステータス!$B$2,0)</f>
        <v>2994</v>
      </c>
      <c r="AH150" s="28">
        <f ca="1">ROUND(VLOOKUP(1,enemy_base_stats!$A:$F,3,FALSE) * Z150*K150*P150*F150*T150*AE150 * W150*[2]ステータス!$C$2,0)</f>
        <v>139</v>
      </c>
      <c r="AI150" s="28">
        <f ca="1">ROUND(VLOOKUP(1,enemy_base_stats!$A:$F,4,FALSE) * AA150*L150*Q150*G150*U150*AF150*[2]ステータス!$D$2,0)</f>
        <v>0</v>
      </c>
      <c r="AJ150" s="28">
        <f ca="1">ROUND(VLOOKUP(100,enemy_base_stats!$A:$F,2,FALSE) * Y150* J150*O150*E150*S150*AD150*[2]ステータス!$B$2,0)</f>
        <v>121552</v>
      </c>
      <c r="AK150" s="28">
        <f ca="1">ROUND(VLOOKUP(100,enemy_base_stats!$A:$F,3,FALSE)* Z150* K150*P150*F150*T150*AE150 * W150*[2]ステータス!$C$2,0)</f>
        <v>5660</v>
      </c>
      <c r="AL150" s="28">
        <f ca="1">ROUND(VLOOKUP(100,enemy_base_stats!$A:$F,4,FALSE)* AA150* L150*Q150*G150*U150*AF150*[2]ステータス!$D$2,0)</f>
        <v>0</v>
      </c>
      <c r="AM150" s="24">
        <f ca="1">VLOOKUP(M150,[2]character_tribe_i18n!$A:$I,9,FALSE)</f>
        <v>400</v>
      </c>
      <c r="AN150" s="36">
        <v>0</v>
      </c>
      <c r="AO150" s="53">
        <v>0</v>
      </c>
      <c r="AP150" s="58" t="s">
        <v>72</v>
      </c>
      <c r="AQ150" s="71">
        <f t="shared" ca="1" si="4"/>
        <v>149</v>
      </c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</row>
    <row r="151" spans="1:60" s="3" customFormat="1" ht="21" customHeight="1" x14ac:dyDescent="0.15">
      <c r="A151" s="7">
        <f t="shared" ca="1" si="5"/>
        <v>150</v>
      </c>
      <c r="B151" s="6" t="str">
        <f ca="1">VLOOKUP(A151,[2]characters!$A:$C,3,FALSE)</f>
        <v>ポイズンマスターサキ</v>
      </c>
      <c r="C151" s="9">
        <f ca="1">VLOOKUP(A151,[2]characters!$A:$I,9,FALSE)</f>
        <v>3</v>
      </c>
      <c r="D151" s="9" t="str">
        <f ca="1">VLOOKUP(A151,[2]characters!$A:$H,8,FALSE)</f>
        <v>red</v>
      </c>
      <c r="E151" s="24">
        <f ca="1">VLOOKUP(D151,[2]属性!$A:$E,2,FALSE)</f>
        <v>1</v>
      </c>
      <c r="F151" s="24">
        <f ca="1">VLOOKUP(D151,[2]属性!$A:$E,3,FALSE)</f>
        <v>1.02</v>
      </c>
      <c r="G151" s="24">
        <f ca="1">VLOOKUP(D151,[2]属性!$A:$F,4,FALSE)</f>
        <v>1</v>
      </c>
      <c r="H151" s="9" t="str">
        <f ca="1">VLOOKUP(A151,[2]characters!$A:$K,11,FALSE)</f>
        <v>technical</v>
      </c>
      <c r="I151" s="14" t="str">
        <f ca="1">VLOOKUP(H151,[2]character_type_i18n!$A:$F,3,FALSE)</f>
        <v>テクニカルタイプ</v>
      </c>
      <c r="J151" s="36">
        <f ca="1">VLOOKUP(H151,[2]character_type_i18n!$A:$F,4,FALSE)</f>
        <v>0.9</v>
      </c>
      <c r="K151" s="36">
        <f ca="1">VLOOKUP(H151,[2]character_type_i18n!$A:$F,5,FALSE)</f>
        <v>0.9</v>
      </c>
      <c r="L151" s="36">
        <f ca="1">VLOOKUP(H151,[2]character_type_i18n!$A:$F,6,FALSE)</f>
        <v>1</v>
      </c>
      <c r="M151" s="9" t="str">
        <f ca="1">VLOOKUP(A151,[2]characters!$A:$M,13,FALSE)</f>
        <v>human</v>
      </c>
      <c r="N151" s="14" t="str">
        <f ca="1">VLOOKUP(M151,[2]character_tribe_i18n!$A:$F,3,FALSE)</f>
        <v>ヒューマン</v>
      </c>
      <c r="O151" s="24">
        <f ca="1">VLOOKUP(M151,[2]character_tribe_i18n!$A:$F,4,FALSE)</f>
        <v>0.94</v>
      </c>
      <c r="P151" s="24">
        <f ca="1">VLOOKUP(M151,[2]character_tribe_i18n!$A:$F,5,FALSE)</f>
        <v>0.99</v>
      </c>
      <c r="Q151" s="24">
        <f ca="1">VLOOKUP(M151,[2]character_tribe_i18n!$A:$F,6,FALSE)</f>
        <v>1</v>
      </c>
      <c r="R151" s="25" t="s">
        <v>4</v>
      </c>
      <c r="S151" s="24">
        <f>VLOOKUP($R151,ラベル別係数!$A$1:$E$7,3,FALSE)</f>
        <v>5</v>
      </c>
      <c r="T151" s="24">
        <f>VLOOKUP($R151,ラベル別係数!$A$1:$E$7,4,FALSE)</f>
        <v>1.3</v>
      </c>
      <c r="U151" s="24">
        <f>VLOOKUP($R151,ラベル別係数!$A$1:$E$7,5,FALSE)</f>
        <v>0.8</v>
      </c>
      <c r="V151" s="27">
        <v>2</v>
      </c>
      <c r="W151" s="28">
        <f>VLOOKUP(V151,ターン数別攻撃係数!$A$1:$B$1000,2,FALSE)</f>
        <v>0.75</v>
      </c>
      <c r="X151" s="10">
        <v>20</v>
      </c>
      <c r="Y151" s="26">
        <f>VLOOKUP($X151,サイズ別係数!$B:$E,2,FALSE)</f>
        <v>1.1000000000000001</v>
      </c>
      <c r="Z151" s="26">
        <f>VLOOKUP($X151,サイズ別係数!$B:$E,3,FALSE)</f>
        <v>1.2</v>
      </c>
      <c r="AA151" s="26">
        <f>VLOOKUP($X151,サイズ別係数!$B:$E,4,FALSE)</f>
        <v>1.2</v>
      </c>
      <c r="AB151" s="5">
        <v>0</v>
      </c>
      <c r="AC151" s="34" t="str">
        <f ca="1">VLOOKUP($AB151,OFFSET([3]enemy_skill_sets!$B$2,0,0,COUNTA([3]enemy_skill_sets!$A:$A),MATCH(AC$1,[3]enemy_skill_sets!$1:$1,0)-MATCH($AB$1,[3]enemy_skill_sets!$1:$1,0)+1),MATCH(AC$1,[3]enemy_skill_sets!$1:$1,0)-MATCH($AB$1,[3]enemy_skill_sets!$1:$1,0)+1,FALSE)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" s="27">
        <v>1</v>
      </c>
      <c r="AE151" s="37">
        <v>1</v>
      </c>
      <c r="AF151" s="37">
        <v>0</v>
      </c>
      <c r="AG151" s="28">
        <f ca="1">ROUND(VLOOKUP(1,enemy_base_stats!$A:$F,2,FALSE) * Y151* J151*O151*E151*S151*AD151*[2]ステータス!$B$2,0)</f>
        <v>2327</v>
      </c>
      <c r="AH151" s="28">
        <f ca="1">ROUND(VLOOKUP(1,enemy_base_stats!$A:$F,3,FALSE) * Z151*K151*P151*F151*T151*AE151 * W151*[2]ステータス!$C$2,0)</f>
        <v>159</v>
      </c>
      <c r="AI151" s="28">
        <f ca="1">ROUND(VLOOKUP(1,enemy_base_stats!$A:$F,4,FALSE) * AA151*L151*Q151*G151*U151*AF151*[2]ステータス!$D$2,0)</f>
        <v>0</v>
      </c>
      <c r="AJ151" s="28">
        <f ca="1">ROUND(VLOOKUP(100,enemy_base_stats!$A:$F,2,FALSE) * Y151* J151*O151*E151*S151*AD151*[2]ステータス!$B$2,0)</f>
        <v>94456</v>
      </c>
      <c r="AK151" s="28">
        <f ca="1">ROUND(VLOOKUP(100,enemy_base_stats!$A:$F,3,FALSE)* Z151* K151*P151*F151*T151*AE151 * W151*[2]ステータス!$C$2,0)</f>
        <v>6476</v>
      </c>
      <c r="AL151" s="28">
        <f ca="1">ROUND(VLOOKUP(100,enemy_base_stats!$A:$F,4,FALSE)* AA151* L151*Q151*G151*U151*AF151*[2]ステータス!$D$2,0)</f>
        <v>0</v>
      </c>
      <c r="AM151" s="24">
        <f ca="1">VLOOKUP(M151,[2]character_tribe_i18n!$A:$I,9,FALSE)</f>
        <v>400</v>
      </c>
      <c r="AN151" s="36">
        <v>0</v>
      </c>
      <c r="AO151" s="53">
        <v>0</v>
      </c>
      <c r="AP151" s="58" t="s">
        <v>72</v>
      </c>
      <c r="AQ151" s="71">
        <f t="shared" ca="1" si="4"/>
        <v>150</v>
      </c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8"/>
      <c r="BC151" s="18"/>
      <c r="BD151" s="18"/>
      <c r="BE151" s="18"/>
      <c r="BF151" s="18"/>
      <c r="BG151" s="18"/>
      <c r="BH151" s="18"/>
    </row>
    <row r="152" spans="1:60" s="3" customFormat="1" ht="21" customHeight="1" x14ac:dyDescent="0.15">
      <c r="A152" s="7">
        <f t="shared" ca="1" si="5"/>
        <v>151</v>
      </c>
      <c r="B152" s="6" t="str">
        <f ca="1">VLOOKUP(A152,[2]characters!$A:$C,3,FALSE)</f>
        <v>毒煙の処刑人サキ</v>
      </c>
      <c r="C152" s="9">
        <f ca="1">VLOOKUP(A152,[2]characters!$A:$I,9,FALSE)</f>
        <v>4</v>
      </c>
      <c r="D152" s="9" t="str">
        <f ca="1">VLOOKUP(A152,[2]characters!$A:$H,8,FALSE)</f>
        <v>red</v>
      </c>
      <c r="E152" s="24">
        <f ca="1">VLOOKUP(D152,[2]属性!$A:$E,2,FALSE)</f>
        <v>1</v>
      </c>
      <c r="F152" s="24">
        <f ca="1">VLOOKUP(D152,[2]属性!$A:$E,3,FALSE)</f>
        <v>1.02</v>
      </c>
      <c r="G152" s="24">
        <f ca="1">VLOOKUP(D152,[2]属性!$A:$F,4,FALSE)</f>
        <v>1</v>
      </c>
      <c r="H152" s="9" t="str">
        <f ca="1">VLOOKUP(A152,[2]characters!$A:$K,11,FALSE)</f>
        <v>technical</v>
      </c>
      <c r="I152" s="14" t="str">
        <f ca="1">VLOOKUP(H152,[2]character_type_i18n!$A:$F,3,FALSE)</f>
        <v>テクニカルタイプ</v>
      </c>
      <c r="J152" s="36">
        <f ca="1">VLOOKUP(H152,[2]character_type_i18n!$A:$F,4,FALSE)</f>
        <v>0.9</v>
      </c>
      <c r="K152" s="36">
        <f ca="1">VLOOKUP(H152,[2]character_type_i18n!$A:$F,5,FALSE)</f>
        <v>0.9</v>
      </c>
      <c r="L152" s="36">
        <f ca="1">VLOOKUP(H152,[2]character_type_i18n!$A:$F,6,FALSE)</f>
        <v>1</v>
      </c>
      <c r="M152" s="9" t="str">
        <f ca="1">VLOOKUP(A152,[2]characters!$A:$M,13,FALSE)</f>
        <v>human</v>
      </c>
      <c r="N152" s="14" t="str">
        <f ca="1">VLOOKUP(M152,[2]character_tribe_i18n!$A:$F,3,FALSE)</f>
        <v>ヒューマン</v>
      </c>
      <c r="O152" s="24">
        <f ca="1">VLOOKUP(M152,[2]character_tribe_i18n!$A:$F,4,FALSE)</f>
        <v>0.94</v>
      </c>
      <c r="P152" s="24">
        <f ca="1">VLOOKUP(M152,[2]character_tribe_i18n!$A:$F,5,FALSE)</f>
        <v>0.99</v>
      </c>
      <c r="Q152" s="24">
        <f ca="1">VLOOKUP(M152,[2]character_tribe_i18n!$A:$F,6,FALSE)</f>
        <v>1</v>
      </c>
      <c r="R152" s="25" t="s">
        <v>4</v>
      </c>
      <c r="S152" s="24">
        <f>VLOOKUP($R152,ラベル別係数!$A$1:$E$7,3,FALSE)</f>
        <v>5</v>
      </c>
      <c r="T152" s="24">
        <f>VLOOKUP($R152,ラベル別係数!$A$1:$E$7,4,FALSE)</f>
        <v>1.3</v>
      </c>
      <c r="U152" s="24">
        <f>VLOOKUP($R152,ラベル別係数!$A$1:$E$7,5,FALSE)</f>
        <v>0.8</v>
      </c>
      <c r="V152" s="27">
        <v>2</v>
      </c>
      <c r="W152" s="28">
        <f>VLOOKUP(V152,ターン数別攻撃係数!$A$1:$B$1000,2,FALSE)</f>
        <v>0.75</v>
      </c>
      <c r="X152" s="10">
        <v>30</v>
      </c>
      <c r="Y152" s="26">
        <f>VLOOKUP($X152,サイズ別係数!$B:$E,2,FALSE)</f>
        <v>1.3</v>
      </c>
      <c r="Z152" s="26">
        <f>VLOOKUP($X152,サイズ別係数!$B:$E,3,FALSE)</f>
        <v>1.3</v>
      </c>
      <c r="AA152" s="26">
        <f>VLOOKUP($X152,サイズ別係数!$B:$E,4,FALSE)</f>
        <v>1.1000000000000001</v>
      </c>
      <c r="AB152" s="5">
        <v>151</v>
      </c>
      <c r="AC152" s="34" t="str">
        <f ca="1">VLOOKUP($AB152,OFFSET([3]enemy_skill_sets!$B$2,0,0,COUNTA([3]enemy_skill_sets!$A:$A),MATCH(AC$1,[3]enemy_skill_sets!$1:$1,0)-MATCH($AB$1,[3]enemy_skill_sets!$1:$1,0)+1),MATCH(AC$1,[3]enemy_skill_sets!$1:$1,0)-MATCH($AB$1,[3]enemy_skill_sets!$1:$1,0)+1,FALSE)</f>
        <v>ハートパネルを時限式ダメージパネルに変換</v>
      </c>
      <c r="AD152" s="27">
        <v>1</v>
      </c>
      <c r="AE152" s="37">
        <v>1</v>
      </c>
      <c r="AF152" s="37">
        <v>0</v>
      </c>
      <c r="AG152" s="28">
        <f ca="1">ROUND(VLOOKUP(1,enemy_base_stats!$A:$F,2,FALSE) * Y152* J152*O152*E152*S152*AD152*[2]ステータス!$B$2,0)</f>
        <v>2750</v>
      </c>
      <c r="AH152" s="28">
        <f ca="1">ROUND(VLOOKUP(1,enemy_base_stats!$A:$F,3,FALSE) * Z152*K152*P152*F152*T152*AE152 * W152*[2]ステータス!$C$2,0)</f>
        <v>173</v>
      </c>
      <c r="AI152" s="28">
        <f ca="1">ROUND(VLOOKUP(1,enemy_base_stats!$A:$F,4,FALSE) * AA152*L152*Q152*G152*U152*AF152*[2]ステータス!$D$2,0)</f>
        <v>0</v>
      </c>
      <c r="AJ152" s="28">
        <f ca="1">ROUND(VLOOKUP(100,enemy_base_stats!$A:$F,2,FALSE) * Y152* J152*O152*E152*S152*AD152*[2]ステータス!$B$2,0)</f>
        <v>111630</v>
      </c>
      <c r="AK152" s="28">
        <f ca="1">ROUND(VLOOKUP(100,enemy_base_stats!$A:$F,3,FALSE)* Z152* K152*P152*F152*T152*AE152 * W152*[2]ステータス!$C$2,0)</f>
        <v>7015</v>
      </c>
      <c r="AL152" s="28">
        <f ca="1">ROUND(VLOOKUP(100,enemy_base_stats!$A:$F,4,FALSE)* AA152* L152*Q152*G152*U152*AF152*[2]ステータス!$D$2,0)</f>
        <v>0</v>
      </c>
      <c r="AM152" s="24">
        <f ca="1">VLOOKUP(M152,[2]character_tribe_i18n!$A:$I,9,FALSE)</f>
        <v>400</v>
      </c>
      <c r="AN152" s="36">
        <v>0</v>
      </c>
      <c r="AO152" s="53">
        <v>0</v>
      </c>
      <c r="AP152" s="58" t="s">
        <v>72</v>
      </c>
      <c r="AQ152" s="71">
        <f t="shared" ca="1" si="4"/>
        <v>151</v>
      </c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</row>
    <row r="153" spans="1:60" s="3" customFormat="1" ht="21" customHeight="1" x14ac:dyDescent="0.15">
      <c r="A153" s="7">
        <f t="shared" ca="1" si="5"/>
        <v>152</v>
      </c>
      <c r="B153" s="6" t="str">
        <f ca="1">VLOOKUP(A153,[2]characters!$A:$C,3,FALSE)</f>
        <v>功夫少女ランラン</v>
      </c>
      <c r="C153" s="9">
        <f ca="1">VLOOKUP(A153,[2]characters!$A:$I,9,FALSE)</f>
        <v>3</v>
      </c>
      <c r="D153" s="9" t="str">
        <f ca="1">VLOOKUP(A153,[2]characters!$A:$H,8,FALSE)</f>
        <v>green</v>
      </c>
      <c r="E153" s="24">
        <f ca="1">VLOOKUP(D153,[2]属性!$A:$E,2,FALSE)</f>
        <v>1.02</v>
      </c>
      <c r="F153" s="24">
        <f ca="1">VLOOKUP(D153,[2]属性!$A:$E,3,FALSE)</f>
        <v>0.98</v>
      </c>
      <c r="G153" s="24">
        <f ca="1">VLOOKUP(D153,[2]属性!$A:$F,4,FALSE)</f>
        <v>1</v>
      </c>
      <c r="H153" s="9" t="str">
        <f ca="1">VLOOKUP(A153,[2]characters!$A:$K,11,FALSE)</f>
        <v>heal</v>
      </c>
      <c r="I153" s="14" t="str">
        <f ca="1">VLOOKUP(H153,[2]character_type_i18n!$A:$F,3,FALSE)</f>
        <v>回復タイプ</v>
      </c>
      <c r="J153" s="36">
        <f ca="1">VLOOKUP(H153,[2]character_type_i18n!$A:$F,4,FALSE)</f>
        <v>0.8</v>
      </c>
      <c r="K153" s="36">
        <f ca="1">VLOOKUP(H153,[2]character_type_i18n!$A:$F,5,FALSE)</f>
        <v>0.78</v>
      </c>
      <c r="L153" s="36">
        <f ca="1">VLOOKUP(H153,[2]character_type_i18n!$A:$F,6,FALSE)</f>
        <v>1</v>
      </c>
      <c r="M153" s="9" t="str">
        <f ca="1">VLOOKUP(A153,[2]characters!$A:$M,13,FALSE)</f>
        <v>human</v>
      </c>
      <c r="N153" s="14" t="str">
        <f ca="1">VLOOKUP(M153,[2]character_tribe_i18n!$A:$F,3,FALSE)</f>
        <v>ヒューマン</v>
      </c>
      <c r="O153" s="24">
        <f ca="1">VLOOKUP(M153,[2]character_tribe_i18n!$A:$F,4,FALSE)</f>
        <v>0.94</v>
      </c>
      <c r="P153" s="24">
        <f ca="1">VLOOKUP(M153,[2]character_tribe_i18n!$A:$F,5,FALSE)</f>
        <v>0.99</v>
      </c>
      <c r="Q153" s="24">
        <f ca="1">VLOOKUP(M153,[2]character_tribe_i18n!$A:$F,6,FALSE)</f>
        <v>1</v>
      </c>
      <c r="R153" s="25" t="s">
        <v>4</v>
      </c>
      <c r="S153" s="24">
        <f>VLOOKUP($R153,ラベル別係数!$A$1:$E$7,3,FALSE)</f>
        <v>5</v>
      </c>
      <c r="T153" s="24">
        <f>VLOOKUP($R153,ラベル別係数!$A$1:$E$7,4,FALSE)</f>
        <v>1.3</v>
      </c>
      <c r="U153" s="24">
        <f>VLOOKUP($R153,ラベル別係数!$A$1:$E$7,5,FALSE)</f>
        <v>0.8</v>
      </c>
      <c r="V153" s="27">
        <v>1</v>
      </c>
      <c r="W153" s="28">
        <f>VLOOKUP(V153,ターン数別攻撃係数!$A$1:$B$1000,2,FALSE)</f>
        <v>0.55000000000000004</v>
      </c>
      <c r="X153" s="10">
        <v>20</v>
      </c>
      <c r="Y153" s="26">
        <f>VLOOKUP($X153,サイズ別係数!$B:$E,2,FALSE)</f>
        <v>1.1000000000000001</v>
      </c>
      <c r="Z153" s="26">
        <f>VLOOKUP($X153,サイズ別係数!$B:$E,3,FALSE)</f>
        <v>1.2</v>
      </c>
      <c r="AA153" s="26">
        <f>VLOOKUP($X153,サイズ別係数!$B:$E,4,FALSE)</f>
        <v>1.2</v>
      </c>
      <c r="AB153" s="5">
        <v>152</v>
      </c>
      <c r="AC153" s="34" t="str">
        <f ca="1">VLOOKUP($AB153,OFFSET([3]enemy_skill_sets!$B$2,0,0,COUNTA([3]enemy_skill_sets!$A:$A),MATCH(AC$1,[3]enemy_skill_sets!$1:$1,0)-MATCH($AB$1,[3]enemy_skill_sets!$1:$1,0)+1),MATCH(AC$1,[3]enemy_skill_sets!$1:$1,0)-MATCH($AB$1,[3]enemy_skill_sets!$1:$1,0)+1,FALSE)</f>
        <v>攻撃力×1.3倍の攻撃</v>
      </c>
      <c r="AD153" s="27">
        <v>1</v>
      </c>
      <c r="AE153" s="37">
        <v>1</v>
      </c>
      <c r="AF153" s="37">
        <v>0</v>
      </c>
      <c r="AG153" s="28">
        <f ca="1">ROUND(VLOOKUP(1,enemy_base_stats!$A:$F,2,FALSE) * Y153* J153*O153*E153*S153*AD153*[2]ステータス!$B$2,0)</f>
        <v>2109</v>
      </c>
      <c r="AH153" s="28">
        <f ca="1">ROUND(VLOOKUP(1,enemy_base_stats!$A:$F,3,FALSE) * Z153*K153*P153*F153*T153*AE153 * W153*[2]ステータス!$C$2,0)</f>
        <v>97</v>
      </c>
      <c r="AI153" s="28">
        <f ca="1">ROUND(VLOOKUP(1,enemy_base_stats!$A:$F,4,FALSE) * AA153*L153*Q153*G153*U153*AF153*[2]ステータス!$D$2,0)</f>
        <v>0</v>
      </c>
      <c r="AJ153" s="28">
        <f ca="1">ROUND(VLOOKUP(100,enemy_base_stats!$A:$F,2,FALSE) * Y153* J153*O153*E153*S153*AD153*[2]ステータス!$B$2,0)</f>
        <v>85640</v>
      </c>
      <c r="AK153" s="28">
        <f ca="1">ROUND(VLOOKUP(100,enemy_base_stats!$A:$F,3,FALSE)* Z153* K153*P153*F153*T153*AE153 * W153*[2]ステータス!$C$2,0)</f>
        <v>3954</v>
      </c>
      <c r="AL153" s="28">
        <f ca="1">ROUND(VLOOKUP(100,enemy_base_stats!$A:$F,4,FALSE)* AA153* L153*Q153*G153*U153*AF153*[2]ステータス!$D$2,0)</f>
        <v>0</v>
      </c>
      <c r="AM153" s="24">
        <f ca="1">VLOOKUP(M153,[2]character_tribe_i18n!$A:$I,9,FALSE)</f>
        <v>400</v>
      </c>
      <c r="AN153" s="36">
        <v>0</v>
      </c>
      <c r="AO153" s="53">
        <v>0</v>
      </c>
      <c r="AP153" s="58" t="s">
        <v>72</v>
      </c>
      <c r="AQ153" s="71">
        <f t="shared" ca="1" si="4"/>
        <v>152</v>
      </c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  <c r="BD153" s="18"/>
      <c r="BE153" s="18"/>
      <c r="BF153" s="18"/>
      <c r="BG153" s="18"/>
      <c r="BH153" s="18"/>
    </row>
    <row r="154" spans="1:60" s="3" customFormat="1" ht="21" customHeight="1" x14ac:dyDescent="0.15">
      <c r="A154" s="7">
        <f t="shared" ca="1" si="5"/>
        <v>153</v>
      </c>
      <c r="B154" s="6" t="str">
        <f ca="1">VLOOKUP(A154,[2]characters!$A:$C,3,FALSE)</f>
        <v>拳聖ランラン</v>
      </c>
      <c r="C154" s="9">
        <f ca="1">VLOOKUP(A154,[2]characters!$A:$I,9,FALSE)</f>
        <v>4</v>
      </c>
      <c r="D154" s="9" t="str">
        <f ca="1">VLOOKUP(A154,[2]characters!$A:$H,8,FALSE)</f>
        <v>green</v>
      </c>
      <c r="E154" s="24">
        <f ca="1">VLOOKUP(D154,[2]属性!$A:$E,2,FALSE)</f>
        <v>1.02</v>
      </c>
      <c r="F154" s="24">
        <f ca="1">VLOOKUP(D154,[2]属性!$A:$E,3,FALSE)</f>
        <v>0.98</v>
      </c>
      <c r="G154" s="24">
        <f ca="1">VLOOKUP(D154,[2]属性!$A:$F,4,FALSE)</f>
        <v>1</v>
      </c>
      <c r="H154" s="9" t="str">
        <f ca="1">VLOOKUP(A154,[2]characters!$A:$K,11,FALSE)</f>
        <v>heal</v>
      </c>
      <c r="I154" s="14" t="str">
        <f ca="1">VLOOKUP(H154,[2]character_type_i18n!$A:$F,3,FALSE)</f>
        <v>回復タイプ</v>
      </c>
      <c r="J154" s="36">
        <f ca="1">VLOOKUP(H154,[2]character_type_i18n!$A:$F,4,FALSE)</f>
        <v>0.8</v>
      </c>
      <c r="K154" s="36">
        <f ca="1">VLOOKUP(H154,[2]character_type_i18n!$A:$F,5,FALSE)</f>
        <v>0.78</v>
      </c>
      <c r="L154" s="36">
        <f ca="1">VLOOKUP(H154,[2]character_type_i18n!$A:$F,6,FALSE)</f>
        <v>1</v>
      </c>
      <c r="M154" s="9" t="str">
        <f ca="1">VLOOKUP(A154,[2]characters!$A:$M,13,FALSE)</f>
        <v>human</v>
      </c>
      <c r="N154" s="14" t="str">
        <f ca="1">VLOOKUP(M154,[2]character_tribe_i18n!$A:$F,3,FALSE)</f>
        <v>ヒューマン</v>
      </c>
      <c r="O154" s="24">
        <f ca="1">VLOOKUP(M154,[2]character_tribe_i18n!$A:$F,4,FALSE)</f>
        <v>0.94</v>
      </c>
      <c r="P154" s="24">
        <f ca="1">VLOOKUP(M154,[2]character_tribe_i18n!$A:$F,5,FALSE)</f>
        <v>0.99</v>
      </c>
      <c r="Q154" s="24">
        <f ca="1">VLOOKUP(M154,[2]character_tribe_i18n!$A:$F,6,FALSE)</f>
        <v>1</v>
      </c>
      <c r="R154" s="25" t="s">
        <v>4</v>
      </c>
      <c r="S154" s="24">
        <f>VLOOKUP($R154,ラベル別係数!$A$1:$E$7,3,FALSE)</f>
        <v>5</v>
      </c>
      <c r="T154" s="24">
        <f>VLOOKUP($R154,ラベル別係数!$A$1:$E$7,4,FALSE)</f>
        <v>1.3</v>
      </c>
      <c r="U154" s="24">
        <f>VLOOKUP($R154,ラベル別係数!$A$1:$E$7,5,FALSE)</f>
        <v>0.8</v>
      </c>
      <c r="V154" s="27">
        <v>1</v>
      </c>
      <c r="W154" s="28">
        <f>VLOOKUP(V154,ターン数別攻撃係数!$A$1:$B$1000,2,FALSE)</f>
        <v>0.55000000000000004</v>
      </c>
      <c r="X154" s="10">
        <v>30</v>
      </c>
      <c r="Y154" s="26">
        <f>VLOOKUP($X154,サイズ別係数!$B:$E,2,FALSE)</f>
        <v>1.3</v>
      </c>
      <c r="Z154" s="26">
        <f>VLOOKUP($X154,サイズ別係数!$B:$E,3,FALSE)</f>
        <v>1.3</v>
      </c>
      <c r="AA154" s="26">
        <f>VLOOKUP($X154,サイズ別係数!$B:$E,4,FALSE)</f>
        <v>1.1000000000000001</v>
      </c>
      <c r="AB154" s="62">
        <v>153</v>
      </c>
      <c r="AC154" s="34" t="str">
        <f ca="1">VLOOKUP($AB154,OFFSET([3]enemy_skill_sets!$B$2,0,0,COUNTA([3]enemy_skill_sets!$A:$A),MATCH(AC$1,[3]enemy_skill_sets!$1:$1,0)-MATCH($AB$1,[3]enemy_skill_sets!$1:$1,0)+1),MATCH(AC$1,[3]enemy_skill_sets!$1:$1,0)-MATCH($AB$1,[3]enemy_skill_sets!$1:$1,0)+1,FALSE)</f>
        <v>攻撃力×1.3倍の攻撃</v>
      </c>
      <c r="AD154" s="27">
        <v>1</v>
      </c>
      <c r="AE154" s="37">
        <v>1</v>
      </c>
      <c r="AF154" s="37">
        <v>0</v>
      </c>
      <c r="AG154" s="28">
        <f ca="1">ROUND(VLOOKUP(1,enemy_base_stats!$A:$F,2,FALSE) * Y154* J154*O154*E154*S154*AD154*[2]ステータス!$B$2,0)</f>
        <v>2493</v>
      </c>
      <c r="AH154" s="28">
        <f ca="1">ROUND(VLOOKUP(1,enemy_base_stats!$A:$F,3,FALSE) * Z154*K154*P154*F154*T154*AE154 * W154*[2]ステータス!$C$2,0)</f>
        <v>106</v>
      </c>
      <c r="AI154" s="28">
        <f ca="1">ROUND(VLOOKUP(1,enemy_base_stats!$A:$F,4,FALSE) * AA154*L154*Q154*G154*U154*AF154*[2]ステータス!$D$2,0)</f>
        <v>0</v>
      </c>
      <c r="AJ154" s="28">
        <f ca="1">ROUND(VLOOKUP(100,enemy_base_stats!$A:$F,2,FALSE) * Y154* J154*O154*E154*S154*AD154*[2]ステータス!$B$2,0)</f>
        <v>101211</v>
      </c>
      <c r="AK154" s="28">
        <f ca="1">ROUND(VLOOKUP(100,enemy_base_stats!$A:$F,3,FALSE)* Z154* K154*P154*F154*T154*AE154 * W154*[2]ステータス!$C$2,0)</f>
        <v>4284</v>
      </c>
      <c r="AL154" s="28">
        <f ca="1">ROUND(VLOOKUP(100,enemy_base_stats!$A:$F,4,FALSE)* AA154* L154*Q154*G154*U154*AF154*[2]ステータス!$D$2,0)</f>
        <v>0</v>
      </c>
      <c r="AM154" s="24">
        <f ca="1">VLOOKUP(M154,[2]character_tribe_i18n!$A:$I,9,FALSE)</f>
        <v>400</v>
      </c>
      <c r="AN154" s="36">
        <v>0</v>
      </c>
      <c r="AO154" s="53">
        <v>0</v>
      </c>
      <c r="AP154" s="58" t="s">
        <v>72</v>
      </c>
      <c r="AQ154" s="71">
        <f t="shared" ca="1" si="4"/>
        <v>153</v>
      </c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</row>
    <row r="155" spans="1:60" s="3" customFormat="1" ht="21" customHeight="1" x14ac:dyDescent="0.15">
      <c r="A155" s="7">
        <f t="shared" ca="1" si="5"/>
        <v>154</v>
      </c>
      <c r="B155" s="6" t="str">
        <f ca="1">VLOOKUP(A155,[2]characters!$A:$C,3,FALSE)</f>
        <v>始末屋 ハンナ</v>
      </c>
      <c r="C155" s="9">
        <f ca="1">VLOOKUP(A155,[2]characters!$A:$I,9,FALSE)</f>
        <v>3</v>
      </c>
      <c r="D155" s="9" t="str">
        <f ca="1">VLOOKUP(A155,[2]characters!$A:$H,8,FALSE)</f>
        <v>blue</v>
      </c>
      <c r="E155" s="24">
        <f ca="1">VLOOKUP(D155,[2]属性!$A:$E,2,FALSE)</f>
        <v>1</v>
      </c>
      <c r="F155" s="24">
        <f ca="1">VLOOKUP(D155,[2]属性!$A:$E,3,FALSE)</f>
        <v>0.98</v>
      </c>
      <c r="G155" s="24">
        <f ca="1">VLOOKUP(D155,[2]属性!$A:$F,4,FALSE)</f>
        <v>1</v>
      </c>
      <c r="H155" s="9" t="str">
        <f ca="1">VLOOKUP(A155,[2]characters!$A:$K,11,FALSE)</f>
        <v>heal</v>
      </c>
      <c r="I155" s="14" t="str">
        <f ca="1">VLOOKUP(H155,[2]character_type_i18n!$A:$F,3,FALSE)</f>
        <v>回復タイプ</v>
      </c>
      <c r="J155" s="36">
        <f ca="1">VLOOKUP(H155,[2]character_type_i18n!$A:$F,4,FALSE)</f>
        <v>0.8</v>
      </c>
      <c r="K155" s="36">
        <f ca="1">VLOOKUP(H155,[2]character_type_i18n!$A:$F,5,FALSE)</f>
        <v>0.78</v>
      </c>
      <c r="L155" s="36">
        <f ca="1">VLOOKUP(H155,[2]character_type_i18n!$A:$F,6,FALSE)</f>
        <v>1</v>
      </c>
      <c r="M155" s="9" t="str">
        <f ca="1">VLOOKUP(A155,[2]characters!$A:$M,13,FALSE)</f>
        <v>human</v>
      </c>
      <c r="N155" s="14" t="str">
        <f ca="1">VLOOKUP(M155,[2]character_tribe_i18n!$A:$F,3,FALSE)</f>
        <v>ヒューマン</v>
      </c>
      <c r="O155" s="24">
        <f ca="1">VLOOKUP(M155,[2]character_tribe_i18n!$A:$F,4,FALSE)</f>
        <v>0.94</v>
      </c>
      <c r="P155" s="24">
        <f ca="1">VLOOKUP(M155,[2]character_tribe_i18n!$A:$F,5,FALSE)</f>
        <v>0.99</v>
      </c>
      <c r="Q155" s="24">
        <f ca="1">VLOOKUP(M155,[2]character_tribe_i18n!$A:$F,6,FALSE)</f>
        <v>1</v>
      </c>
      <c r="R155" s="25" t="s">
        <v>4</v>
      </c>
      <c r="S155" s="24">
        <f>VLOOKUP($R155,ラベル別係数!$A$1:$E$7,3,FALSE)</f>
        <v>5</v>
      </c>
      <c r="T155" s="24">
        <f>VLOOKUP($R155,ラベル別係数!$A$1:$E$7,4,FALSE)</f>
        <v>1.3</v>
      </c>
      <c r="U155" s="24">
        <f>VLOOKUP($R155,ラベル別係数!$A$1:$E$7,5,FALSE)</f>
        <v>0.8</v>
      </c>
      <c r="V155" s="27">
        <v>3</v>
      </c>
      <c r="W155" s="28">
        <f>VLOOKUP(V155,ターン数別攻撃係数!$A$1:$B$1000,2,FALSE)</f>
        <v>1</v>
      </c>
      <c r="X155" s="10">
        <v>20</v>
      </c>
      <c r="Y155" s="26">
        <f>VLOOKUP($X155,サイズ別係数!$B:$E,2,FALSE)</f>
        <v>1.1000000000000001</v>
      </c>
      <c r="Z155" s="26">
        <f>VLOOKUP($X155,サイズ別係数!$B:$E,3,FALSE)</f>
        <v>1.2</v>
      </c>
      <c r="AA155" s="26">
        <f>VLOOKUP($X155,サイズ別係数!$B:$E,4,FALSE)</f>
        <v>1.2</v>
      </c>
      <c r="AB155" s="5">
        <v>154</v>
      </c>
      <c r="AC155" s="34" t="str">
        <f ca="1">VLOOKUP($AB155,OFFSET([3]enemy_skill_sets!$B$2,0,0,COUNTA([3]enemy_skill_sets!$A:$A),MATCH(AC$1,[3]enemy_skill_sets!$1:$1,0)-MATCH($AB$1,[3]enemy_skill_sets!$1:$1,0)+1),MATCH(AC$1,[3]enemy_skill_sets!$1:$1,0)-MATCH($AB$1,[3]enemy_skill_sets!$1:$1,0)+1,FALSE)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55" s="27">
        <v>1</v>
      </c>
      <c r="AE155" s="37">
        <v>1</v>
      </c>
      <c r="AF155" s="37">
        <v>0</v>
      </c>
      <c r="AG155" s="28">
        <f ca="1">ROUND(VLOOKUP(1,enemy_base_stats!$A:$F,2,FALSE) * Y155* J155*O155*E155*S155*AD155*[2]ステータス!$B$2,0)</f>
        <v>2068</v>
      </c>
      <c r="AH155" s="28">
        <f ca="1">ROUND(VLOOKUP(1,enemy_base_stats!$A:$F,3,FALSE) * Z155*K155*P155*F155*T155*AE155 * W155*[2]ステータス!$C$2,0)</f>
        <v>177</v>
      </c>
      <c r="AI155" s="28">
        <f ca="1">ROUND(VLOOKUP(1,enemy_base_stats!$A:$F,4,FALSE) * AA155*L155*Q155*G155*U155*AF155*[2]ステータス!$D$2,0)</f>
        <v>0</v>
      </c>
      <c r="AJ155" s="28">
        <f ca="1">ROUND(VLOOKUP(100,enemy_base_stats!$A:$F,2,FALSE) * Y155* J155*O155*E155*S155*AD155*[2]ステータス!$B$2,0)</f>
        <v>83961</v>
      </c>
      <c r="AK155" s="28">
        <f ca="1">ROUND(VLOOKUP(100,enemy_base_stats!$A:$F,3,FALSE)* Z155* K155*P155*F155*T155*AE155 * W155*[2]ステータス!$C$2,0)</f>
        <v>7189</v>
      </c>
      <c r="AL155" s="28">
        <f ca="1">ROUND(VLOOKUP(100,enemy_base_stats!$A:$F,4,FALSE)* AA155* L155*Q155*G155*U155*AF155*[2]ステータス!$D$2,0)</f>
        <v>0</v>
      </c>
      <c r="AM155" s="24">
        <f ca="1">VLOOKUP(M155,[2]character_tribe_i18n!$A:$I,9,FALSE)</f>
        <v>400</v>
      </c>
      <c r="AN155" s="36">
        <v>0</v>
      </c>
      <c r="AO155" s="53">
        <v>0</v>
      </c>
      <c r="AP155" s="58" t="s">
        <v>72</v>
      </c>
      <c r="AQ155" s="71">
        <f t="shared" ca="1" si="4"/>
        <v>154</v>
      </c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8"/>
      <c r="BC155" s="18"/>
      <c r="BD155" s="18"/>
      <c r="BE155" s="18"/>
      <c r="BF155" s="18"/>
      <c r="BG155" s="18"/>
      <c r="BH155" s="18"/>
    </row>
    <row r="156" spans="1:60" s="3" customFormat="1" ht="21" customHeight="1" x14ac:dyDescent="0.15">
      <c r="A156" s="7">
        <f t="shared" ca="1" si="5"/>
        <v>155</v>
      </c>
      <c r="B156" s="6" t="str">
        <f ca="1">VLOOKUP(A156,[2]characters!$A:$C,3,FALSE)</f>
        <v>隻眼の掃除屋 ハンナ</v>
      </c>
      <c r="C156" s="9">
        <f ca="1">VLOOKUP(A156,[2]characters!$A:$I,9,FALSE)</f>
        <v>4</v>
      </c>
      <c r="D156" s="9" t="str">
        <f ca="1">VLOOKUP(A156,[2]characters!$A:$H,8,FALSE)</f>
        <v>blue</v>
      </c>
      <c r="E156" s="24">
        <f ca="1">VLOOKUP(D156,[2]属性!$A:$E,2,FALSE)</f>
        <v>1</v>
      </c>
      <c r="F156" s="24">
        <f ca="1">VLOOKUP(D156,[2]属性!$A:$E,3,FALSE)</f>
        <v>0.98</v>
      </c>
      <c r="G156" s="24">
        <f ca="1">VLOOKUP(D156,[2]属性!$A:$F,4,FALSE)</f>
        <v>1</v>
      </c>
      <c r="H156" s="9" t="str">
        <f ca="1">VLOOKUP(A156,[2]characters!$A:$K,11,FALSE)</f>
        <v>heal</v>
      </c>
      <c r="I156" s="14" t="str">
        <f ca="1">VLOOKUP(H156,[2]character_type_i18n!$A:$F,3,FALSE)</f>
        <v>回復タイプ</v>
      </c>
      <c r="J156" s="36">
        <f ca="1">VLOOKUP(H156,[2]character_type_i18n!$A:$F,4,FALSE)</f>
        <v>0.8</v>
      </c>
      <c r="K156" s="36">
        <f ca="1">VLOOKUP(H156,[2]character_type_i18n!$A:$F,5,FALSE)</f>
        <v>0.78</v>
      </c>
      <c r="L156" s="36">
        <f ca="1">VLOOKUP(H156,[2]character_type_i18n!$A:$F,6,FALSE)</f>
        <v>1</v>
      </c>
      <c r="M156" s="9" t="str">
        <f ca="1">VLOOKUP(A156,[2]characters!$A:$M,13,FALSE)</f>
        <v>human</v>
      </c>
      <c r="N156" s="14" t="str">
        <f ca="1">VLOOKUP(M156,[2]character_tribe_i18n!$A:$F,3,FALSE)</f>
        <v>ヒューマン</v>
      </c>
      <c r="O156" s="24">
        <f ca="1">VLOOKUP(M156,[2]character_tribe_i18n!$A:$F,4,FALSE)</f>
        <v>0.94</v>
      </c>
      <c r="P156" s="24">
        <f ca="1">VLOOKUP(M156,[2]character_tribe_i18n!$A:$F,5,FALSE)</f>
        <v>0.99</v>
      </c>
      <c r="Q156" s="24">
        <f ca="1">VLOOKUP(M156,[2]character_tribe_i18n!$A:$F,6,FALSE)</f>
        <v>1</v>
      </c>
      <c r="R156" s="25" t="s">
        <v>4</v>
      </c>
      <c r="S156" s="24">
        <f>VLOOKUP($R156,ラベル別係数!$A$1:$E$7,3,FALSE)</f>
        <v>5</v>
      </c>
      <c r="T156" s="24">
        <f>VLOOKUP($R156,ラベル別係数!$A$1:$E$7,4,FALSE)</f>
        <v>1.3</v>
      </c>
      <c r="U156" s="24">
        <f>VLOOKUP($R156,ラベル別係数!$A$1:$E$7,5,FALSE)</f>
        <v>0.8</v>
      </c>
      <c r="V156" s="27">
        <v>3</v>
      </c>
      <c r="W156" s="28">
        <f>VLOOKUP(V156,ターン数別攻撃係数!$A$1:$B$1000,2,FALSE)</f>
        <v>1</v>
      </c>
      <c r="X156" s="10">
        <v>30</v>
      </c>
      <c r="Y156" s="26">
        <f>VLOOKUP($X156,サイズ別係数!$B:$E,2,FALSE)</f>
        <v>1.3</v>
      </c>
      <c r="Z156" s="26">
        <f>VLOOKUP($X156,サイズ別係数!$B:$E,3,FALSE)</f>
        <v>1.3</v>
      </c>
      <c r="AA156" s="26">
        <f>VLOOKUP($X156,サイズ別係数!$B:$E,4,FALSE)</f>
        <v>1.1000000000000001</v>
      </c>
      <c r="AB156" s="5">
        <v>154</v>
      </c>
      <c r="AC156" s="34" t="str">
        <f ca="1">VLOOKUP($AB156,OFFSET([3]enemy_skill_sets!$B$2,0,0,COUNTA([3]enemy_skill_sets!$A:$A),MATCH(AC$1,[3]enemy_skill_sets!$1:$1,0)-MATCH($AB$1,[3]enemy_skill_sets!$1:$1,0)+1),MATCH(AC$1,[3]enemy_skill_sets!$1:$1,0)-MATCH($AB$1,[3]enemy_skill_sets!$1:$1,0)+1,FALSE)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56" s="27">
        <v>1</v>
      </c>
      <c r="AE156" s="37">
        <v>1</v>
      </c>
      <c r="AF156" s="37">
        <v>0</v>
      </c>
      <c r="AG156" s="28">
        <f ca="1">ROUND(VLOOKUP(1,enemy_base_stats!$A:$F,2,FALSE) * Y156* J156*O156*E156*S156*AD156*[2]ステータス!$B$2,0)</f>
        <v>2444</v>
      </c>
      <c r="AH156" s="28">
        <f ca="1">ROUND(VLOOKUP(1,enemy_base_stats!$A:$F,3,FALSE) * Z156*K156*P156*F156*T156*AE156 * W156*[2]ステータス!$C$2,0)</f>
        <v>192</v>
      </c>
      <c r="AI156" s="28">
        <f ca="1">ROUND(VLOOKUP(1,enemy_base_stats!$A:$F,4,FALSE) * AA156*L156*Q156*G156*U156*AF156*[2]ステータス!$D$2,0)</f>
        <v>0</v>
      </c>
      <c r="AJ156" s="28">
        <f ca="1">ROUND(VLOOKUP(100,enemy_base_stats!$A:$F,2,FALSE) * Y156* J156*O156*E156*S156*AD156*[2]ステータス!$B$2,0)</f>
        <v>99226</v>
      </c>
      <c r="AK156" s="28">
        <f ca="1">ROUND(VLOOKUP(100,enemy_base_stats!$A:$F,3,FALSE)* Z156* K156*P156*F156*T156*AE156 * W156*[2]ステータス!$C$2,0)</f>
        <v>7789</v>
      </c>
      <c r="AL156" s="28">
        <f ca="1">ROUND(VLOOKUP(100,enemy_base_stats!$A:$F,4,FALSE)* AA156* L156*Q156*G156*U156*AF156*[2]ステータス!$D$2,0)</f>
        <v>0</v>
      </c>
      <c r="AM156" s="24">
        <f ca="1">VLOOKUP(M156,[2]character_tribe_i18n!$A:$I,9,FALSE)</f>
        <v>400</v>
      </c>
      <c r="AN156" s="36">
        <v>0</v>
      </c>
      <c r="AO156" s="53">
        <v>0</v>
      </c>
      <c r="AP156" s="58" t="s">
        <v>72</v>
      </c>
      <c r="AQ156" s="71">
        <f t="shared" ca="1" si="4"/>
        <v>155</v>
      </c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</row>
    <row r="157" spans="1:60" s="3" customFormat="1" ht="21" customHeight="1" x14ac:dyDescent="0.15">
      <c r="A157" s="7">
        <f t="shared" ca="1" si="5"/>
        <v>156</v>
      </c>
      <c r="B157" s="6" t="str">
        <f ca="1">VLOOKUP(A157,[2]characters!$A:$C,3,FALSE)</f>
        <v>踊り子 エレナ</v>
      </c>
      <c r="C157" s="9">
        <f ca="1">VLOOKUP(A157,[2]characters!$A:$I,9,FALSE)</f>
        <v>3</v>
      </c>
      <c r="D157" s="9" t="str">
        <f ca="1">VLOOKUP(A157,[2]characters!$A:$H,8,FALSE)</f>
        <v>yellow</v>
      </c>
      <c r="E157" s="24">
        <f ca="1">VLOOKUP(D157,[2]属性!$A:$E,2,FALSE)</f>
        <v>0.98</v>
      </c>
      <c r="F157" s="24">
        <f ca="1">VLOOKUP(D157,[2]属性!$A:$E,3,FALSE)</f>
        <v>1.01</v>
      </c>
      <c r="G157" s="24">
        <f ca="1">VLOOKUP(D157,[2]属性!$A:$F,4,FALSE)</f>
        <v>1</v>
      </c>
      <c r="H157" s="9" t="str">
        <f ca="1">VLOOKUP(A157,[2]characters!$A:$K,11,FALSE)</f>
        <v>heal</v>
      </c>
      <c r="I157" s="14" t="str">
        <f ca="1">VLOOKUP(H157,[2]character_type_i18n!$A:$F,3,FALSE)</f>
        <v>回復タイプ</v>
      </c>
      <c r="J157" s="36">
        <f ca="1">VLOOKUP(H157,[2]character_type_i18n!$A:$F,4,FALSE)</f>
        <v>0.8</v>
      </c>
      <c r="K157" s="36">
        <f ca="1">VLOOKUP(H157,[2]character_type_i18n!$A:$F,5,FALSE)</f>
        <v>0.78</v>
      </c>
      <c r="L157" s="36">
        <f ca="1">VLOOKUP(H157,[2]character_type_i18n!$A:$F,6,FALSE)</f>
        <v>1</v>
      </c>
      <c r="M157" s="9" t="str">
        <f ca="1">VLOOKUP(A157,[2]characters!$A:$M,13,FALSE)</f>
        <v>human</v>
      </c>
      <c r="N157" s="14" t="str">
        <f ca="1">VLOOKUP(M157,[2]character_tribe_i18n!$A:$F,3,FALSE)</f>
        <v>ヒューマン</v>
      </c>
      <c r="O157" s="24">
        <f ca="1">VLOOKUP(M157,[2]character_tribe_i18n!$A:$F,4,FALSE)</f>
        <v>0.94</v>
      </c>
      <c r="P157" s="24">
        <f ca="1">VLOOKUP(M157,[2]character_tribe_i18n!$A:$F,5,FALSE)</f>
        <v>0.99</v>
      </c>
      <c r="Q157" s="24">
        <f ca="1">VLOOKUP(M157,[2]character_tribe_i18n!$A:$F,6,FALSE)</f>
        <v>1</v>
      </c>
      <c r="R157" s="25" t="s">
        <v>4</v>
      </c>
      <c r="S157" s="24">
        <f>VLOOKUP($R157,ラベル別係数!$A$1:$E$7,3,FALSE)</f>
        <v>5</v>
      </c>
      <c r="T157" s="24">
        <f>VLOOKUP($R157,ラベル別係数!$A$1:$E$7,4,FALSE)</f>
        <v>1.3</v>
      </c>
      <c r="U157" s="24">
        <f>VLOOKUP($R157,ラベル別係数!$A$1:$E$7,5,FALSE)</f>
        <v>0.8</v>
      </c>
      <c r="V157" s="27">
        <v>2</v>
      </c>
      <c r="W157" s="28">
        <f>VLOOKUP(V157,ターン数別攻撃係数!$A$1:$B$1000,2,FALSE)</f>
        <v>0.75</v>
      </c>
      <c r="X157" s="10">
        <v>20</v>
      </c>
      <c r="Y157" s="26">
        <f>VLOOKUP($X157,サイズ別係数!$B:$E,2,FALSE)</f>
        <v>1.1000000000000001</v>
      </c>
      <c r="Z157" s="26">
        <f>VLOOKUP($X157,サイズ別係数!$B:$E,3,FALSE)</f>
        <v>1.2</v>
      </c>
      <c r="AA157" s="26">
        <f>VLOOKUP($X157,サイズ別係数!$B:$E,4,FALSE)</f>
        <v>1.2</v>
      </c>
      <c r="AB157" s="5">
        <v>156</v>
      </c>
      <c r="AC157" s="34" t="str">
        <f ca="1">VLOOKUP($AB157,OFFSET([3]enemy_skill_sets!$B$2,0,0,COUNTA([3]enemy_skill_sets!$A:$A),MATCH(AC$1,[3]enemy_skill_sets!$1:$1,0)-MATCH($AB$1,[3]enemy_skill_sets!$1:$1,0)+1),MATCH(AC$1,[3]enemy_skill_sets!$1:$1,0)-MATCH($AB$1,[3]enemy_skill_sets!$1:$1,0)+1,FALSE)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57" s="27">
        <v>1</v>
      </c>
      <c r="AE157" s="37">
        <v>1</v>
      </c>
      <c r="AF157" s="37">
        <v>0</v>
      </c>
      <c r="AG157" s="28">
        <f ca="1">ROUND(VLOOKUP(1,enemy_base_stats!$A:$F,2,FALSE) * Y157* J157*O157*E157*S157*AD157*[2]ステータス!$B$2,0)</f>
        <v>2027</v>
      </c>
      <c r="AH157" s="28">
        <f ca="1">ROUND(VLOOKUP(1,enemy_base_stats!$A:$F,3,FALSE) * Z157*K157*P157*F157*T157*AE157 * W157*[2]ステータス!$C$2,0)</f>
        <v>137</v>
      </c>
      <c r="AI157" s="28">
        <f ca="1">ROUND(VLOOKUP(1,enemy_base_stats!$A:$F,4,FALSE) * AA157*L157*Q157*G157*U157*AF157*[2]ステータス!$D$2,0)</f>
        <v>0</v>
      </c>
      <c r="AJ157" s="28">
        <f ca="1">ROUND(VLOOKUP(100,enemy_base_stats!$A:$F,2,FALSE) * Y157* J157*O157*E157*S157*AD157*[2]ステータス!$B$2,0)</f>
        <v>82282</v>
      </c>
      <c r="AK157" s="28">
        <f ca="1">ROUND(VLOOKUP(100,enemy_base_stats!$A:$F,3,FALSE)* Z157* K157*P157*F157*T157*AE157 * W157*[2]ステータス!$C$2,0)</f>
        <v>5557</v>
      </c>
      <c r="AL157" s="28">
        <f ca="1">ROUND(VLOOKUP(100,enemy_base_stats!$A:$F,4,FALSE)* AA157* L157*Q157*G157*U157*AF157*[2]ステータス!$D$2,0)</f>
        <v>0</v>
      </c>
      <c r="AM157" s="24">
        <f ca="1">VLOOKUP(M157,[2]character_tribe_i18n!$A:$I,9,FALSE)</f>
        <v>400</v>
      </c>
      <c r="AN157" s="36">
        <v>0</v>
      </c>
      <c r="AO157" s="53">
        <v>0</v>
      </c>
      <c r="AP157" s="58" t="s">
        <v>72</v>
      </c>
      <c r="AQ157" s="71">
        <f t="shared" ca="1" si="4"/>
        <v>156</v>
      </c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</row>
    <row r="158" spans="1:60" s="3" customFormat="1" ht="21" customHeight="1" x14ac:dyDescent="0.15">
      <c r="A158" s="7">
        <f t="shared" ca="1" si="5"/>
        <v>157</v>
      </c>
      <c r="B158" s="6" t="str">
        <f ca="1">VLOOKUP(A158,[2]characters!$A:$C,3,FALSE)</f>
        <v>雷光舞姫 エレナ</v>
      </c>
      <c r="C158" s="9">
        <f ca="1">VLOOKUP(A158,[2]characters!$A:$I,9,FALSE)</f>
        <v>4</v>
      </c>
      <c r="D158" s="9" t="str">
        <f ca="1">VLOOKUP(A158,[2]characters!$A:$H,8,FALSE)</f>
        <v>yellow</v>
      </c>
      <c r="E158" s="24">
        <f ca="1">VLOOKUP(D158,[2]属性!$A:$E,2,FALSE)</f>
        <v>0.98</v>
      </c>
      <c r="F158" s="24">
        <f ca="1">VLOOKUP(D158,[2]属性!$A:$E,3,FALSE)</f>
        <v>1.01</v>
      </c>
      <c r="G158" s="24">
        <f ca="1">VLOOKUP(D158,[2]属性!$A:$F,4,FALSE)</f>
        <v>1</v>
      </c>
      <c r="H158" s="9" t="str">
        <f ca="1">VLOOKUP(A158,[2]characters!$A:$K,11,FALSE)</f>
        <v>heal</v>
      </c>
      <c r="I158" s="14" t="str">
        <f ca="1">VLOOKUP(H158,[2]character_type_i18n!$A:$F,3,FALSE)</f>
        <v>回復タイプ</v>
      </c>
      <c r="J158" s="36">
        <f ca="1">VLOOKUP(H158,[2]character_type_i18n!$A:$F,4,FALSE)</f>
        <v>0.8</v>
      </c>
      <c r="K158" s="36">
        <f ca="1">VLOOKUP(H158,[2]character_type_i18n!$A:$F,5,FALSE)</f>
        <v>0.78</v>
      </c>
      <c r="L158" s="36">
        <f ca="1">VLOOKUP(H158,[2]character_type_i18n!$A:$F,6,FALSE)</f>
        <v>1</v>
      </c>
      <c r="M158" s="9" t="str">
        <f ca="1">VLOOKUP(A158,[2]characters!$A:$M,13,FALSE)</f>
        <v>human</v>
      </c>
      <c r="N158" s="14" t="str">
        <f ca="1">VLOOKUP(M158,[2]character_tribe_i18n!$A:$F,3,FALSE)</f>
        <v>ヒューマン</v>
      </c>
      <c r="O158" s="24">
        <f ca="1">VLOOKUP(M158,[2]character_tribe_i18n!$A:$F,4,FALSE)</f>
        <v>0.94</v>
      </c>
      <c r="P158" s="24">
        <f ca="1">VLOOKUP(M158,[2]character_tribe_i18n!$A:$F,5,FALSE)</f>
        <v>0.99</v>
      </c>
      <c r="Q158" s="24">
        <f ca="1">VLOOKUP(M158,[2]character_tribe_i18n!$A:$F,6,FALSE)</f>
        <v>1</v>
      </c>
      <c r="R158" s="25" t="s">
        <v>86</v>
      </c>
      <c r="S158" s="24">
        <f>VLOOKUP($R158,ラベル別係数!$A$1:$E$7,3,FALSE)</f>
        <v>10</v>
      </c>
      <c r="T158" s="24">
        <f>VLOOKUP($R158,ラベル別係数!$A$1:$E$7,4,FALSE)</f>
        <v>1</v>
      </c>
      <c r="U158" s="24">
        <f>VLOOKUP($R158,ラベル別係数!$A$1:$E$7,5,FALSE)</f>
        <v>0.8</v>
      </c>
      <c r="V158" s="27">
        <v>1</v>
      </c>
      <c r="W158" s="28">
        <f>VLOOKUP(V158,ターン数別攻撃係数!$A$1:$B$1000,2,FALSE)</f>
        <v>0.55000000000000004</v>
      </c>
      <c r="X158" s="10">
        <v>30</v>
      </c>
      <c r="Y158" s="26">
        <f>VLOOKUP($X158,サイズ別係数!$B:$E,2,FALSE)</f>
        <v>1.3</v>
      </c>
      <c r="Z158" s="26">
        <f>VLOOKUP($X158,サイズ別係数!$B:$E,3,FALSE)</f>
        <v>1.3</v>
      </c>
      <c r="AA158" s="26">
        <f>VLOOKUP($X158,サイズ別係数!$B:$E,4,FALSE)</f>
        <v>1.1000000000000001</v>
      </c>
      <c r="AB158" s="5">
        <v>157</v>
      </c>
      <c r="AC158" s="34" t="str">
        <f ca="1">VLOOKUP($AB158,OFFSET([3]enemy_skill_sets!$B$2,0,0,COUNTA([3]enemy_skill_sets!$A:$A),MATCH(AC$1,[3]enemy_skill_sets!$1:$1,0)-MATCH($AB$1,[3]enemy_skill_sets!$1:$1,0)+1),MATCH(AC$1,[3]enemy_skill_sets!$1:$1,0)-MATCH($AB$1,[3]enemy_skill_sets!$1:$1,0)+1,FALSE)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58" s="27">
        <v>1</v>
      </c>
      <c r="AE158" s="37">
        <v>1</v>
      </c>
      <c r="AF158" s="37">
        <v>0</v>
      </c>
      <c r="AG158" s="28">
        <f ca="1">ROUND(VLOOKUP(1,enemy_base_stats!$A:$F,2,FALSE) * Y158* J158*O158*E158*S158*AD158*[2]ステータス!$B$2,0)</f>
        <v>4790</v>
      </c>
      <c r="AH158" s="28">
        <f ca="1">ROUND(VLOOKUP(1,enemy_base_stats!$A:$F,3,FALSE) * Z158*K158*P158*F158*T158*AE158 * W158*[2]ステータス!$C$2,0)</f>
        <v>84</v>
      </c>
      <c r="AI158" s="28">
        <f ca="1">ROUND(VLOOKUP(1,enemy_base_stats!$A:$F,4,FALSE) * AA158*L158*Q158*G158*U158*AF158*[2]ステータス!$D$2,0)</f>
        <v>0</v>
      </c>
      <c r="AJ158" s="28">
        <f ca="1">ROUND(VLOOKUP(100,enemy_base_stats!$A:$F,2,FALSE) * Y158* J158*O158*E158*S158*AD158*[2]ステータス!$B$2,0)</f>
        <v>194484</v>
      </c>
      <c r="AK158" s="28">
        <f ca="1">ROUND(VLOOKUP(100,enemy_base_stats!$A:$F,3,FALSE)* Z158* K158*P158*F158*T158*AE158 * W158*[2]ステータス!$C$2,0)</f>
        <v>3396</v>
      </c>
      <c r="AL158" s="28">
        <f ca="1">ROUND(VLOOKUP(100,enemy_base_stats!$A:$F,4,FALSE)* AA158* L158*Q158*G158*U158*AF158*[2]ステータス!$D$2,0)</f>
        <v>0</v>
      </c>
      <c r="AM158" s="24">
        <f ca="1">VLOOKUP(M158,[2]character_tribe_i18n!$A:$I,9,FALSE)</f>
        <v>400</v>
      </c>
      <c r="AN158" s="36">
        <v>0</v>
      </c>
      <c r="AO158" s="53">
        <v>0</v>
      </c>
      <c r="AP158" s="58" t="s">
        <v>72</v>
      </c>
      <c r="AQ158" s="71">
        <f t="shared" ca="1" si="4"/>
        <v>157</v>
      </c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E158" s="18"/>
      <c r="BF158" s="18"/>
      <c r="BG158" s="18"/>
      <c r="BH158" s="18"/>
    </row>
    <row r="159" spans="1:60" s="3" customFormat="1" ht="21" customHeight="1" x14ac:dyDescent="0.15">
      <c r="A159" s="7">
        <f t="shared" ca="1" si="5"/>
        <v>158</v>
      </c>
      <c r="B159" s="6" t="str">
        <f ca="1">VLOOKUP(A159,[2]characters!$A:$C,3,FALSE)</f>
        <v>シスター シャルロッテ</v>
      </c>
      <c r="C159" s="9">
        <f ca="1">VLOOKUP(A159,[2]characters!$A:$I,9,FALSE)</f>
        <v>3</v>
      </c>
      <c r="D159" s="9" t="str">
        <f ca="1">VLOOKUP(A159,[2]characters!$A:$H,8,FALSE)</f>
        <v>red</v>
      </c>
      <c r="E159" s="24">
        <f ca="1">VLOOKUP(D159,[2]属性!$A:$E,2,FALSE)</f>
        <v>1</v>
      </c>
      <c r="F159" s="24">
        <f ca="1">VLOOKUP(D159,[2]属性!$A:$E,3,FALSE)</f>
        <v>1.02</v>
      </c>
      <c r="G159" s="24">
        <f ca="1">VLOOKUP(D159,[2]属性!$A:$F,4,FALSE)</f>
        <v>1</v>
      </c>
      <c r="H159" s="9" t="str">
        <f ca="1">VLOOKUP(A159,[2]characters!$A:$K,11,FALSE)</f>
        <v>heal</v>
      </c>
      <c r="I159" s="14" t="str">
        <f ca="1">VLOOKUP(H159,[2]character_type_i18n!$A:$F,3,FALSE)</f>
        <v>回復タイプ</v>
      </c>
      <c r="J159" s="36">
        <f ca="1">VLOOKUP(H159,[2]character_type_i18n!$A:$F,4,FALSE)</f>
        <v>0.8</v>
      </c>
      <c r="K159" s="36">
        <f ca="1">VLOOKUP(H159,[2]character_type_i18n!$A:$F,5,FALSE)</f>
        <v>0.78</v>
      </c>
      <c r="L159" s="36">
        <f ca="1">VLOOKUP(H159,[2]character_type_i18n!$A:$F,6,FALSE)</f>
        <v>1</v>
      </c>
      <c r="M159" s="9" t="str">
        <f ca="1">VLOOKUP(A159,[2]characters!$A:$M,13,FALSE)</f>
        <v>human</v>
      </c>
      <c r="N159" s="14" t="str">
        <f ca="1">VLOOKUP(M159,[2]character_tribe_i18n!$A:$F,3,FALSE)</f>
        <v>ヒューマン</v>
      </c>
      <c r="O159" s="24">
        <f ca="1">VLOOKUP(M159,[2]character_tribe_i18n!$A:$F,4,FALSE)</f>
        <v>0.94</v>
      </c>
      <c r="P159" s="24">
        <f ca="1">VLOOKUP(M159,[2]character_tribe_i18n!$A:$F,5,FALSE)</f>
        <v>0.99</v>
      </c>
      <c r="Q159" s="24">
        <f ca="1">VLOOKUP(M159,[2]character_tribe_i18n!$A:$F,6,FALSE)</f>
        <v>1</v>
      </c>
      <c r="R159" s="25" t="s">
        <v>4</v>
      </c>
      <c r="S159" s="24">
        <f>VLOOKUP($R159,ラベル別係数!$A$1:$E$7,3,FALSE)</f>
        <v>5</v>
      </c>
      <c r="T159" s="24">
        <f>VLOOKUP($R159,ラベル別係数!$A$1:$E$7,4,FALSE)</f>
        <v>1.3</v>
      </c>
      <c r="U159" s="24">
        <f>VLOOKUP($R159,ラベル別係数!$A$1:$E$7,5,FALSE)</f>
        <v>0.8</v>
      </c>
      <c r="V159" s="27">
        <v>2</v>
      </c>
      <c r="W159" s="28">
        <f>VLOOKUP(V159,ターン数別攻撃係数!$A$1:$B$1000,2,FALSE)</f>
        <v>0.75</v>
      </c>
      <c r="X159" s="10">
        <v>20</v>
      </c>
      <c r="Y159" s="26">
        <f>VLOOKUP($X159,サイズ別係数!$B:$E,2,FALSE)</f>
        <v>1.1000000000000001</v>
      </c>
      <c r="Z159" s="26">
        <f>VLOOKUP($X159,サイズ別係数!$B:$E,3,FALSE)</f>
        <v>1.2</v>
      </c>
      <c r="AA159" s="26">
        <f>VLOOKUP($X159,サイズ別係数!$B:$E,4,FALSE)</f>
        <v>1.2</v>
      </c>
      <c r="AB159" s="5">
        <v>0</v>
      </c>
      <c r="AC159" s="34" t="str">
        <f ca="1">VLOOKUP($AB159,OFFSET([3]enemy_skill_sets!$B$2,0,0,COUNTA([3]enemy_skill_sets!$A:$A),MATCH(AC$1,[3]enemy_skill_sets!$1:$1,0)-MATCH($AB$1,[3]enemy_skill_sets!$1:$1,0)+1),MATCH(AC$1,[3]enemy_skill_sets!$1:$1,0)-MATCH($AB$1,[3]enemy_skill_sets!$1:$1,0)+1,FALSE)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" s="27">
        <v>1</v>
      </c>
      <c r="AE159" s="37">
        <v>1</v>
      </c>
      <c r="AF159" s="37">
        <v>0</v>
      </c>
      <c r="AG159" s="28">
        <f ca="1">ROUND(VLOOKUP(1,enemy_base_stats!$A:$F,2,FALSE) * Y159* J159*O159*E159*S159*AD159*[2]ステータス!$B$2,0)</f>
        <v>2068</v>
      </c>
      <c r="AH159" s="28">
        <f ca="1">ROUND(VLOOKUP(1,enemy_base_stats!$A:$F,3,FALSE) * Z159*K159*P159*F159*T159*AE159 * W159*[2]ステータス!$C$2,0)</f>
        <v>138</v>
      </c>
      <c r="AI159" s="28">
        <f ca="1">ROUND(VLOOKUP(1,enemy_base_stats!$A:$F,4,FALSE) * AA159*L159*Q159*G159*U159*AF159*[2]ステータス!$D$2,0)</f>
        <v>0</v>
      </c>
      <c r="AJ159" s="28">
        <f ca="1">ROUND(VLOOKUP(100,enemy_base_stats!$A:$F,2,FALSE) * Y159* J159*O159*E159*S159*AD159*[2]ステータス!$B$2,0)</f>
        <v>83961</v>
      </c>
      <c r="AK159" s="28">
        <f ca="1">ROUND(VLOOKUP(100,enemy_base_stats!$A:$F,3,FALSE)* Z159* K159*P159*F159*T159*AE159 * W159*[2]ステータス!$C$2,0)</f>
        <v>5612</v>
      </c>
      <c r="AL159" s="28">
        <f ca="1">ROUND(VLOOKUP(100,enemy_base_stats!$A:$F,4,FALSE)* AA159* L159*Q159*G159*U159*AF159*[2]ステータス!$D$2,0)</f>
        <v>0</v>
      </c>
      <c r="AM159" s="24">
        <f ca="1">VLOOKUP(M159,[2]character_tribe_i18n!$A:$I,9,FALSE)</f>
        <v>400</v>
      </c>
      <c r="AN159" s="36">
        <v>0</v>
      </c>
      <c r="AO159" s="53">
        <v>0</v>
      </c>
      <c r="AP159" s="58" t="s">
        <v>72</v>
      </c>
      <c r="AQ159" s="71">
        <f t="shared" ca="1" si="4"/>
        <v>158</v>
      </c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</row>
    <row r="160" spans="1:60" s="3" customFormat="1" ht="21" customHeight="1" x14ac:dyDescent="0.15">
      <c r="A160" s="7">
        <f t="shared" ca="1" si="5"/>
        <v>159</v>
      </c>
      <c r="B160" s="6" t="str">
        <f ca="1">VLOOKUP(A160,[2]characters!$A:$C,3,FALSE)</f>
        <v>邪を狩りし者 シャルロッテ</v>
      </c>
      <c r="C160" s="9">
        <f ca="1">VLOOKUP(A160,[2]characters!$A:$I,9,FALSE)</f>
        <v>4</v>
      </c>
      <c r="D160" s="9" t="str">
        <f ca="1">VLOOKUP(A160,[2]characters!$A:$H,8,FALSE)</f>
        <v>red</v>
      </c>
      <c r="E160" s="24">
        <f ca="1">VLOOKUP(D160,[2]属性!$A:$E,2,FALSE)</f>
        <v>1</v>
      </c>
      <c r="F160" s="24">
        <f ca="1">VLOOKUP(D160,[2]属性!$A:$E,3,FALSE)</f>
        <v>1.02</v>
      </c>
      <c r="G160" s="24">
        <f ca="1">VLOOKUP(D160,[2]属性!$A:$F,4,FALSE)</f>
        <v>1</v>
      </c>
      <c r="H160" s="9" t="str">
        <f ca="1">VLOOKUP(A160,[2]characters!$A:$K,11,FALSE)</f>
        <v>heal</v>
      </c>
      <c r="I160" s="14" t="str">
        <f ca="1">VLOOKUP(H160,[2]character_type_i18n!$A:$F,3,FALSE)</f>
        <v>回復タイプ</v>
      </c>
      <c r="J160" s="36">
        <f ca="1">VLOOKUP(H160,[2]character_type_i18n!$A:$F,4,FALSE)</f>
        <v>0.8</v>
      </c>
      <c r="K160" s="36">
        <f ca="1">VLOOKUP(H160,[2]character_type_i18n!$A:$F,5,FALSE)</f>
        <v>0.78</v>
      </c>
      <c r="L160" s="36">
        <f ca="1">VLOOKUP(H160,[2]character_type_i18n!$A:$F,6,FALSE)</f>
        <v>1</v>
      </c>
      <c r="M160" s="9" t="str">
        <f ca="1">VLOOKUP(A160,[2]characters!$A:$M,13,FALSE)</f>
        <v>human</v>
      </c>
      <c r="N160" s="14" t="str">
        <f ca="1">VLOOKUP(M160,[2]character_tribe_i18n!$A:$F,3,FALSE)</f>
        <v>ヒューマン</v>
      </c>
      <c r="O160" s="24">
        <f ca="1">VLOOKUP(M160,[2]character_tribe_i18n!$A:$F,4,FALSE)</f>
        <v>0.94</v>
      </c>
      <c r="P160" s="24">
        <f ca="1">VLOOKUP(M160,[2]character_tribe_i18n!$A:$F,5,FALSE)</f>
        <v>0.99</v>
      </c>
      <c r="Q160" s="24">
        <f ca="1">VLOOKUP(M160,[2]character_tribe_i18n!$A:$F,6,FALSE)</f>
        <v>1</v>
      </c>
      <c r="R160" s="25" t="s">
        <v>4</v>
      </c>
      <c r="S160" s="24">
        <f>VLOOKUP($R160,ラベル別係数!$A$1:$E$7,3,FALSE)</f>
        <v>5</v>
      </c>
      <c r="T160" s="24">
        <f>VLOOKUP($R160,ラベル別係数!$A$1:$E$7,4,FALSE)</f>
        <v>1.3</v>
      </c>
      <c r="U160" s="24">
        <f>VLOOKUP($R160,ラベル別係数!$A$1:$E$7,5,FALSE)</f>
        <v>0.8</v>
      </c>
      <c r="V160" s="27">
        <v>2</v>
      </c>
      <c r="W160" s="28">
        <f>VLOOKUP(V160,ターン数別攻撃係数!$A$1:$B$1000,2,FALSE)</f>
        <v>0.75</v>
      </c>
      <c r="X160" s="10">
        <v>30</v>
      </c>
      <c r="Y160" s="26">
        <f>VLOOKUP($X160,サイズ別係数!$B:$E,2,FALSE)</f>
        <v>1.3</v>
      </c>
      <c r="Z160" s="26">
        <f>VLOOKUP($X160,サイズ別係数!$B:$E,3,FALSE)</f>
        <v>1.3</v>
      </c>
      <c r="AA160" s="26">
        <f>VLOOKUP($X160,サイズ別係数!$B:$E,4,FALSE)</f>
        <v>1.1000000000000001</v>
      </c>
      <c r="AB160" s="5">
        <v>0</v>
      </c>
      <c r="AC160" s="34" t="str">
        <f ca="1">VLOOKUP($AB160,OFFSET([3]enemy_skill_sets!$B$2,0,0,COUNTA([3]enemy_skill_sets!$A:$A),MATCH(AC$1,[3]enemy_skill_sets!$1:$1,0)-MATCH($AB$1,[3]enemy_skill_sets!$1:$1,0)+1),MATCH(AC$1,[3]enemy_skill_sets!$1:$1,0)-MATCH($AB$1,[3]enemy_skill_sets!$1:$1,0)+1,FALSE)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" s="27">
        <v>1</v>
      </c>
      <c r="AE160" s="37">
        <v>1</v>
      </c>
      <c r="AF160" s="37">
        <v>0</v>
      </c>
      <c r="AG160" s="28">
        <f ca="1">ROUND(VLOOKUP(1,enemy_base_stats!$A:$F,2,FALSE) * Y160* J160*O160*E160*S160*AD160*[2]ステータス!$B$2,0)</f>
        <v>2444</v>
      </c>
      <c r="AH160" s="28">
        <f ca="1">ROUND(VLOOKUP(1,enemy_base_stats!$A:$F,3,FALSE) * Z160*K160*P160*F160*T160*AE160 * W160*[2]ステータス!$C$2,0)</f>
        <v>150</v>
      </c>
      <c r="AI160" s="28">
        <f ca="1">ROUND(VLOOKUP(1,enemy_base_stats!$A:$F,4,FALSE) * AA160*L160*Q160*G160*U160*AF160*[2]ステータス!$D$2,0)</f>
        <v>0</v>
      </c>
      <c r="AJ160" s="28">
        <f ca="1">ROUND(VLOOKUP(100,enemy_base_stats!$A:$F,2,FALSE) * Y160* J160*O160*E160*S160*AD160*[2]ステータス!$B$2,0)</f>
        <v>99226</v>
      </c>
      <c r="AK160" s="28">
        <f ca="1">ROUND(VLOOKUP(100,enemy_base_stats!$A:$F,3,FALSE)* Z160* K160*P160*F160*T160*AE160 * W160*[2]ステータス!$C$2,0)</f>
        <v>6080</v>
      </c>
      <c r="AL160" s="28">
        <f ca="1">ROUND(VLOOKUP(100,enemy_base_stats!$A:$F,4,FALSE)* AA160* L160*Q160*G160*U160*AF160*[2]ステータス!$D$2,0)</f>
        <v>0</v>
      </c>
      <c r="AM160" s="24">
        <f ca="1">VLOOKUP(M160,[2]character_tribe_i18n!$A:$I,9,FALSE)</f>
        <v>400</v>
      </c>
      <c r="AN160" s="36">
        <v>0</v>
      </c>
      <c r="AO160" s="53">
        <v>0</v>
      </c>
      <c r="AP160" s="58" t="s">
        <v>72</v>
      </c>
      <c r="AQ160" s="71">
        <f t="shared" ca="1" si="4"/>
        <v>159</v>
      </c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</row>
    <row r="161" spans="1:60" s="3" customFormat="1" ht="21" customHeight="1" x14ac:dyDescent="0.15">
      <c r="A161" s="7">
        <f t="shared" ca="1" si="5"/>
        <v>160</v>
      </c>
      <c r="B161" s="6" t="str">
        <f ca="1">VLOOKUP(A161,[2]characters!$A:$C,3,FALSE)</f>
        <v>反逆者 クリエ</v>
      </c>
      <c r="C161" s="9">
        <f ca="1">VLOOKUP(A161,[2]characters!$A:$I,9,FALSE)</f>
        <v>3</v>
      </c>
      <c r="D161" s="9" t="str">
        <f ca="1">VLOOKUP(A161,[2]characters!$A:$H,8,FALSE)</f>
        <v>green</v>
      </c>
      <c r="E161" s="24">
        <f ca="1">VLOOKUP(D161,[2]属性!$A:$E,2,FALSE)</f>
        <v>1.02</v>
      </c>
      <c r="F161" s="24">
        <f ca="1">VLOOKUP(D161,[2]属性!$A:$E,3,FALSE)</f>
        <v>0.98</v>
      </c>
      <c r="G161" s="24">
        <f ca="1">VLOOKUP(D161,[2]属性!$A:$F,4,FALSE)</f>
        <v>1</v>
      </c>
      <c r="H161" s="9" t="str">
        <f ca="1">VLOOKUP(A161,[2]characters!$A:$K,11,FALSE)</f>
        <v>balance</v>
      </c>
      <c r="I161" s="14" t="str">
        <f ca="1">VLOOKUP(H161,[2]character_type_i18n!$A:$F,3,FALSE)</f>
        <v>バランスタイプ</v>
      </c>
      <c r="J161" s="36">
        <f ca="1">VLOOKUP(H161,[2]character_type_i18n!$A:$F,4,FALSE)</f>
        <v>1</v>
      </c>
      <c r="K161" s="36">
        <f ca="1">VLOOKUP(H161,[2]character_type_i18n!$A:$F,5,FALSE)</f>
        <v>1</v>
      </c>
      <c r="L161" s="36">
        <f ca="1">VLOOKUP(H161,[2]character_type_i18n!$A:$F,6,FALSE)</f>
        <v>1</v>
      </c>
      <c r="M161" s="9" t="str">
        <f ca="1">VLOOKUP(A161,[2]characters!$A:$M,13,FALSE)</f>
        <v>human</v>
      </c>
      <c r="N161" s="14" t="str">
        <f ca="1">VLOOKUP(M161,[2]character_tribe_i18n!$A:$F,3,FALSE)</f>
        <v>ヒューマン</v>
      </c>
      <c r="O161" s="24">
        <f ca="1">VLOOKUP(M161,[2]character_tribe_i18n!$A:$F,4,FALSE)</f>
        <v>0.94</v>
      </c>
      <c r="P161" s="24">
        <f ca="1">VLOOKUP(M161,[2]character_tribe_i18n!$A:$F,5,FALSE)</f>
        <v>0.99</v>
      </c>
      <c r="Q161" s="24">
        <f ca="1">VLOOKUP(M161,[2]character_tribe_i18n!$A:$F,6,FALSE)</f>
        <v>1</v>
      </c>
      <c r="R161" s="69" t="s">
        <v>4</v>
      </c>
      <c r="S161" s="24">
        <f>VLOOKUP($R161,ラベル別係数!$A$1:$E$7,3,FALSE)</f>
        <v>5</v>
      </c>
      <c r="T161" s="24">
        <f>VLOOKUP($R161,ラベル別係数!$A$1:$E$7,4,FALSE)</f>
        <v>1.3</v>
      </c>
      <c r="U161" s="24">
        <f>VLOOKUP($R161,ラベル別係数!$A$1:$E$7,5,FALSE)</f>
        <v>0.8</v>
      </c>
      <c r="V161" s="27">
        <v>1</v>
      </c>
      <c r="W161" s="28">
        <f>VLOOKUP(V161,ターン数別攻撃係数!$A$1:$B$1000,2,FALSE)</f>
        <v>0.55000000000000004</v>
      </c>
      <c r="X161" s="10">
        <v>20</v>
      </c>
      <c r="Y161" s="26">
        <f>VLOOKUP($X161,サイズ別係数!$B:$E,2,FALSE)</f>
        <v>1.1000000000000001</v>
      </c>
      <c r="Z161" s="26">
        <f>VLOOKUP($X161,サイズ別係数!$B:$E,3,FALSE)</f>
        <v>1.2</v>
      </c>
      <c r="AA161" s="26">
        <f>VLOOKUP($X161,サイズ別係数!$B:$E,4,FALSE)</f>
        <v>1.2</v>
      </c>
      <c r="AB161" s="5">
        <v>160</v>
      </c>
      <c r="AC161" s="34" t="str">
        <f ca="1">VLOOKUP($AB161,OFFSET([3]enemy_skill_sets!$B$2,0,0,COUNTA([3]enemy_skill_sets!$A:$A),MATCH(AC$1,[3]enemy_skill_sets!$1:$1,0)-MATCH($AB$1,[3]enemy_skill_sets!$1:$1,0)+1),MATCH(AC$1,[3]enemy_skill_sets!$1:$1,0)-MATCH($AB$1,[3]enemy_skill_sets!$1:$1,0)+1,FALSE)</f>
        <v>少しだけお邪魔パネル出現</v>
      </c>
      <c r="AD161" s="27">
        <v>1</v>
      </c>
      <c r="AE161" s="37">
        <v>1</v>
      </c>
      <c r="AF161" s="37">
        <v>0</v>
      </c>
      <c r="AG161" s="28">
        <f ca="1">ROUND(VLOOKUP(1,enemy_base_stats!$A:$F,2,FALSE) * Y161* J161*O161*E161*S161*AD161*[2]ステータス!$B$2,0)</f>
        <v>2637</v>
      </c>
      <c r="AH161" s="28">
        <f ca="1">ROUND(VLOOKUP(1,enemy_base_stats!$A:$F,3,FALSE) * Z161*K161*P161*F161*T161*AE161 * W161*[2]ステータス!$C$2,0)</f>
        <v>125</v>
      </c>
      <c r="AI161" s="28">
        <f ca="1">ROUND(VLOOKUP(1,enemy_base_stats!$A:$F,4,FALSE) * AA161*L161*Q161*G161*U161*AF161*[2]ステータス!$D$2,0)</f>
        <v>0</v>
      </c>
      <c r="AJ161" s="28">
        <f ca="1">ROUND(VLOOKUP(100,enemy_base_stats!$A:$F,2,FALSE) * Y161* J161*O161*E161*S161*AD161*[2]ステータス!$B$2,0)</f>
        <v>107050</v>
      </c>
      <c r="AK161" s="28">
        <f ca="1">ROUND(VLOOKUP(100,enemy_base_stats!$A:$F,3,FALSE)* Z161* K161*P161*F161*T161*AE161 * W161*[2]ステータス!$C$2,0)</f>
        <v>5070</v>
      </c>
      <c r="AL161" s="28">
        <f ca="1">ROUND(VLOOKUP(100,enemy_base_stats!$A:$F,4,FALSE)* AA161* L161*Q161*G161*U161*AF161*[2]ステータス!$D$2,0)</f>
        <v>0</v>
      </c>
      <c r="AM161" s="24">
        <f ca="1">VLOOKUP(M161,[2]character_tribe_i18n!$A:$I,9,FALSE)</f>
        <v>400</v>
      </c>
      <c r="AN161" s="36">
        <v>0</v>
      </c>
      <c r="AO161" s="53">
        <v>0</v>
      </c>
      <c r="AP161" s="58" t="s">
        <v>72</v>
      </c>
      <c r="AQ161" s="71">
        <f t="shared" ca="1" si="4"/>
        <v>160</v>
      </c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</row>
    <row r="162" spans="1:60" s="3" customFormat="1" ht="21" customHeight="1" x14ac:dyDescent="0.15">
      <c r="A162" s="7">
        <f t="shared" ca="1" si="5"/>
        <v>161</v>
      </c>
      <c r="B162" s="6" t="str">
        <f ca="1">VLOOKUP(A162,[2]characters!$A:$C,3,FALSE)</f>
        <v>咆哮の先導者 クリエ</v>
      </c>
      <c r="C162" s="9">
        <f ca="1">VLOOKUP(A162,[2]characters!$A:$I,9,FALSE)</f>
        <v>4</v>
      </c>
      <c r="D162" s="9" t="str">
        <f ca="1">VLOOKUP(A162,[2]characters!$A:$H,8,FALSE)</f>
        <v>green</v>
      </c>
      <c r="E162" s="24">
        <f ca="1">VLOOKUP(D162,[2]属性!$A:$E,2,FALSE)</f>
        <v>1.02</v>
      </c>
      <c r="F162" s="24">
        <f ca="1">VLOOKUP(D162,[2]属性!$A:$E,3,FALSE)</f>
        <v>0.98</v>
      </c>
      <c r="G162" s="24">
        <f ca="1">VLOOKUP(D162,[2]属性!$A:$F,4,FALSE)</f>
        <v>1</v>
      </c>
      <c r="H162" s="9" t="str">
        <f ca="1">VLOOKUP(A162,[2]characters!$A:$K,11,FALSE)</f>
        <v>balance</v>
      </c>
      <c r="I162" s="14" t="str">
        <f ca="1">VLOOKUP(H162,[2]character_type_i18n!$A:$F,3,FALSE)</f>
        <v>バランスタイプ</v>
      </c>
      <c r="J162" s="36">
        <f ca="1">VLOOKUP(H162,[2]character_type_i18n!$A:$F,4,FALSE)</f>
        <v>1</v>
      </c>
      <c r="K162" s="36">
        <f ca="1">VLOOKUP(H162,[2]character_type_i18n!$A:$F,5,FALSE)</f>
        <v>1</v>
      </c>
      <c r="L162" s="36">
        <f ca="1">VLOOKUP(H162,[2]character_type_i18n!$A:$F,6,FALSE)</f>
        <v>1</v>
      </c>
      <c r="M162" s="9" t="str">
        <f ca="1">VLOOKUP(A162,[2]characters!$A:$M,13,FALSE)</f>
        <v>human</v>
      </c>
      <c r="N162" s="14" t="str">
        <f ca="1">VLOOKUP(M162,[2]character_tribe_i18n!$A:$F,3,FALSE)</f>
        <v>ヒューマン</v>
      </c>
      <c r="O162" s="24">
        <f ca="1">VLOOKUP(M162,[2]character_tribe_i18n!$A:$F,4,FALSE)</f>
        <v>0.94</v>
      </c>
      <c r="P162" s="24">
        <f ca="1">VLOOKUP(M162,[2]character_tribe_i18n!$A:$F,5,FALSE)</f>
        <v>0.99</v>
      </c>
      <c r="Q162" s="24">
        <f ca="1">VLOOKUP(M162,[2]character_tribe_i18n!$A:$F,6,FALSE)</f>
        <v>1</v>
      </c>
      <c r="R162" s="70" t="s">
        <v>91</v>
      </c>
      <c r="S162" s="24">
        <f>VLOOKUP($R162,ラベル別係数!$A$1:$E$7,3,FALSE)</f>
        <v>7.5</v>
      </c>
      <c r="T162" s="24">
        <f>VLOOKUP($R162,ラベル別係数!$A$1:$E$7,4,FALSE)</f>
        <v>1</v>
      </c>
      <c r="U162" s="24">
        <f>VLOOKUP($R162,ラベル別係数!$A$1:$E$7,5,FALSE)</f>
        <v>0.8</v>
      </c>
      <c r="V162" s="27">
        <v>1</v>
      </c>
      <c r="W162" s="28">
        <f>VLOOKUP(V162,ターン数別攻撃係数!$A$1:$B$1000,2,FALSE)</f>
        <v>0.55000000000000004</v>
      </c>
      <c r="X162" s="10">
        <v>30</v>
      </c>
      <c r="Y162" s="26">
        <f>VLOOKUP($X162,サイズ別係数!$B:$E,2,FALSE)</f>
        <v>1.3</v>
      </c>
      <c r="Z162" s="26">
        <f>VLOOKUP($X162,サイズ別係数!$B:$E,3,FALSE)</f>
        <v>1.3</v>
      </c>
      <c r="AA162" s="26">
        <f>VLOOKUP($X162,サイズ別係数!$B:$E,4,FALSE)</f>
        <v>1.1000000000000001</v>
      </c>
      <c r="AB162" s="5">
        <v>0</v>
      </c>
      <c r="AC162" s="34" t="str">
        <f ca="1">VLOOKUP($AB162,OFFSET([3]enemy_skill_sets!$B$2,0,0,COUNTA([3]enemy_skill_sets!$A:$A),MATCH(AC$1,[3]enemy_skill_sets!$1:$1,0)-MATCH($AB$1,[3]enemy_skill_sets!$1:$1,0)+1),MATCH(AC$1,[3]enemy_skill_sets!$1:$1,0)-MATCH($AB$1,[3]enemy_skill_sets!$1:$1,0)+1,FALSE)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2" s="27">
        <v>1</v>
      </c>
      <c r="AE162" s="37">
        <v>1</v>
      </c>
      <c r="AF162" s="37">
        <v>0</v>
      </c>
      <c r="AG162" s="28">
        <f ca="1">ROUND(VLOOKUP(1,enemy_base_stats!$A:$F,2,FALSE) * Y162* J162*O162*E162*S162*AD162*[2]ステータス!$B$2,0)</f>
        <v>4674</v>
      </c>
      <c r="AH162" s="28">
        <f ca="1">ROUND(VLOOKUP(1,enemy_base_stats!$A:$F,3,FALSE) * Z162*K162*P162*F162*T162*AE162 * W162*[2]ステータス!$C$2,0)</f>
        <v>104</v>
      </c>
      <c r="AI162" s="28">
        <f ca="1">ROUND(VLOOKUP(1,enemy_base_stats!$A:$F,4,FALSE) * AA162*L162*Q162*G162*U162*AF162*[2]ステータス!$D$2,0)</f>
        <v>0</v>
      </c>
      <c r="AJ162" s="28">
        <f ca="1">ROUND(VLOOKUP(100,enemy_base_stats!$A:$F,2,FALSE) * Y162* J162*O162*E162*S162*AD162*[2]ステータス!$B$2,0)</f>
        <v>189770</v>
      </c>
      <c r="AK162" s="28">
        <f ca="1">ROUND(VLOOKUP(100,enemy_base_stats!$A:$F,3,FALSE)* Z162* K162*P162*F162*T162*AE162 * W162*[2]ステータス!$C$2,0)</f>
        <v>4225</v>
      </c>
      <c r="AL162" s="28">
        <f ca="1">ROUND(VLOOKUP(100,enemy_base_stats!$A:$F,4,FALSE)* AA162* L162*Q162*G162*U162*AF162*[2]ステータス!$D$2,0)</f>
        <v>0</v>
      </c>
      <c r="AM162" s="24">
        <f ca="1">VLOOKUP(M162,[2]character_tribe_i18n!$A:$I,9,FALSE)</f>
        <v>400</v>
      </c>
      <c r="AN162" s="36">
        <v>0</v>
      </c>
      <c r="AO162" s="53">
        <v>0</v>
      </c>
      <c r="AP162" s="58" t="s">
        <v>72</v>
      </c>
      <c r="AQ162" s="71">
        <f t="shared" ca="1" si="4"/>
        <v>161</v>
      </c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</row>
    <row r="163" spans="1:60" s="3" customFormat="1" ht="21" customHeight="1" x14ac:dyDescent="0.15">
      <c r="A163" s="7">
        <f t="shared" ca="1" si="5"/>
        <v>162</v>
      </c>
      <c r="B163" s="6" t="str">
        <f ca="1">VLOOKUP(A163,[2]characters!$A:$C,3,FALSE)</f>
        <v>狂女 クララ</v>
      </c>
      <c r="C163" s="9">
        <f ca="1">VLOOKUP(A163,[2]characters!$A:$I,9,FALSE)</f>
        <v>3</v>
      </c>
      <c r="D163" s="9" t="str">
        <f ca="1">VLOOKUP(A163,[2]characters!$A:$H,8,FALSE)</f>
        <v>blue</v>
      </c>
      <c r="E163" s="24">
        <f ca="1">VLOOKUP(D163,[2]属性!$A:$E,2,FALSE)</f>
        <v>1</v>
      </c>
      <c r="F163" s="24">
        <f ca="1">VLOOKUP(D163,[2]属性!$A:$E,3,FALSE)</f>
        <v>0.98</v>
      </c>
      <c r="G163" s="24">
        <f ca="1">VLOOKUP(D163,[2]属性!$A:$F,4,FALSE)</f>
        <v>1</v>
      </c>
      <c r="H163" s="9" t="str">
        <f ca="1">VLOOKUP(A163,[2]characters!$A:$K,11,FALSE)</f>
        <v>attack</v>
      </c>
      <c r="I163" s="14" t="str">
        <f ca="1">VLOOKUP(H163,[2]character_type_i18n!$A:$F,3,FALSE)</f>
        <v>攻撃タイプ</v>
      </c>
      <c r="J163" s="36">
        <f ca="1">VLOOKUP(H163,[2]character_type_i18n!$A:$F,4,FALSE)</f>
        <v>1</v>
      </c>
      <c r="K163" s="36">
        <f ca="1">VLOOKUP(H163,[2]character_type_i18n!$A:$F,5,FALSE)</f>
        <v>1.33</v>
      </c>
      <c r="L163" s="36">
        <f ca="1">VLOOKUP(H163,[2]character_type_i18n!$A:$F,6,FALSE)</f>
        <v>1</v>
      </c>
      <c r="M163" s="9" t="str">
        <f ca="1">VLOOKUP(A163,[2]characters!$A:$M,13,FALSE)</f>
        <v>human</v>
      </c>
      <c r="N163" s="14" t="str">
        <f ca="1">VLOOKUP(M163,[2]character_tribe_i18n!$A:$F,3,FALSE)</f>
        <v>ヒューマン</v>
      </c>
      <c r="O163" s="24">
        <f ca="1">VLOOKUP(M163,[2]character_tribe_i18n!$A:$F,4,FALSE)</f>
        <v>0.94</v>
      </c>
      <c r="P163" s="24">
        <f ca="1">VLOOKUP(M163,[2]character_tribe_i18n!$A:$F,5,FALSE)</f>
        <v>0.99</v>
      </c>
      <c r="Q163" s="24">
        <f ca="1">VLOOKUP(M163,[2]character_tribe_i18n!$A:$F,6,FALSE)</f>
        <v>1</v>
      </c>
      <c r="R163" s="25" t="s">
        <v>4</v>
      </c>
      <c r="S163" s="24">
        <f>VLOOKUP($R163,ラベル別係数!$A$1:$E$7,3,FALSE)</f>
        <v>5</v>
      </c>
      <c r="T163" s="24">
        <f>VLOOKUP($R163,ラベル別係数!$A$1:$E$7,4,FALSE)</f>
        <v>1.3</v>
      </c>
      <c r="U163" s="24">
        <f>VLOOKUP($R163,ラベル別係数!$A$1:$E$7,5,FALSE)</f>
        <v>0.8</v>
      </c>
      <c r="V163" s="27">
        <v>2</v>
      </c>
      <c r="W163" s="28">
        <f>VLOOKUP(V163,ターン数別攻撃係数!$A$1:$B$1000,2,FALSE)</f>
        <v>0.75</v>
      </c>
      <c r="X163" s="10">
        <v>20</v>
      </c>
      <c r="Y163" s="26">
        <f>VLOOKUP($X163,サイズ別係数!$B:$E,2,FALSE)</f>
        <v>1.1000000000000001</v>
      </c>
      <c r="Z163" s="26">
        <f>VLOOKUP($X163,サイズ別係数!$B:$E,3,FALSE)</f>
        <v>1.2</v>
      </c>
      <c r="AA163" s="26">
        <f>VLOOKUP($X163,サイズ別係数!$B:$E,4,FALSE)</f>
        <v>1.2</v>
      </c>
      <c r="AB163" s="5">
        <v>0</v>
      </c>
      <c r="AC163" s="34" t="str">
        <f ca="1">VLOOKUP($AB163,OFFSET([3]enemy_skill_sets!$B$2,0,0,COUNTA([3]enemy_skill_sets!$A:$A),MATCH(AC$1,[3]enemy_skill_sets!$1:$1,0)-MATCH($AB$1,[3]enemy_skill_sets!$1:$1,0)+1),MATCH(AC$1,[3]enemy_skill_sets!$1:$1,0)-MATCH($AB$1,[3]enemy_skill_sets!$1:$1,0)+1,FALSE)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3" s="27">
        <v>1</v>
      </c>
      <c r="AE163" s="37">
        <v>1</v>
      </c>
      <c r="AF163" s="37">
        <v>0</v>
      </c>
      <c r="AG163" s="28">
        <f ca="1">ROUND(VLOOKUP(1,enemy_base_stats!$A:$F,2,FALSE) * Y163* J163*O163*E163*S163*AD163*[2]ステータス!$B$2,0)</f>
        <v>2585</v>
      </c>
      <c r="AH163" s="28">
        <f ca="1">ROUND(VLOOKUP(1,enemy_base_stats!$A:$F,3,FALSE) * Z163*K163*P163*F163*T163*AE163 * W163*[2]ステータス!$C$2,0)</f>
        <v>226</v>
      </c>
      <c r="AI163" s="28">
        <f ca="1">ROUND(VLOOKUP(1,enemy_base_stats!$A:$F,4,FALSE) * AA163*L163*Q163*G163*U163*AF163*[2]ステータス!$D$2,0)</f>
        <v>0</v>
      </c>
      <c r="AJ163" s="28">
        <f ca="1">ROUND(VLOOKUP(100,enemy_base_stats!$A:$F,2,FALSE) * Y163* J163*O163*E163*S163*AD163*[2]ステータス!$B$2,0)</f>
        <v>104951</v>
      </c>
      <c r="AK163" s="28">
        <f ca="1">ROUND(VLOOKUP(100,enemy_base_stats!$A:$F,3,FALSE)* Z163* K163*P163*F163*T163*AE163 * W163*[2]ステータス!$C$2,0)</f>
        <v>9194</v>
      </c>
      <c r="AL163" s="28">
        <f ca="1">ROUND(VLOOKUP(100,enemy_base_stats!$A:$F,4,FALSE)* AA163* L163*Q163*G163*U163*AF163*[2]ステータス!$D$2,0)</f>
        <v>0</v>
      </c>
      <c r="AM163" s="24">
        <f ca="1">VLOOKUP(M163,[2]character_tribe_i18n!$A:$I,9,FALSE)</f>
        <v>400</v>
      </c>
      <c r="AN163" s="36">
        <v>0</v>
      </c>
      <c r="AO163" s="53">
        <v>0</v>
      </c>
      <c r="AP163" s="58" t="s">
        <v>72</v>
      </c>
      <c r="AQ163" s="71">
        <f t="shared" ca="1" si="4"/>
        <v>162</v>
      </c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</row>
    <row r="164" spans="1:60" s="3" customFormat="1" ht="21" customHeight="1" x14ac:dyDescent="0.15">
      <c r="A164" s="7">
        <f t="shared" ca="1" si="5"/>
        <v>163</v>
      </c>
      <c r="B164" s="6" t="str">
        <f ca="1">VLOOKUP(A164,[2]characters!$A:$C,3,FALSE)</f>
        <v>冷酷な狂嬢 クララ</v>
      </c>
      <c r="C164" s="9">
        <f ca="1">VLOOKUP(A164,[2]characters!$A:$I,9,FALSE)</f>
        <v>4</v>
      </c>
      <c r="D164" s="9" t="str">
        <f ca="1">VLOOKUP(A164,[2]characters!$A:$H,8,FALSE)</f>
        <v>blue</v>
      </c>
      <c r="E164" s="24">
        <f ca="1">VLOOKUP(D164,[2]属性!$A:$E,2,FALSE)</f>
        <v>1</v>
      </c>
      <c r="F164" s="24">
        <f ca="1">VLOOKUP(D164,[2]属性!$A:$E,3,FALSE)</f>
        <v>0.98</v>
      </c>
      <c r="G164" s="24">
        <f ca="1">VLOOKUP(D164,[2]属性!$A:$F,4,FALSE)</f>
        <v>1</v>
      </c>
      <c r="H164" s="9" t="str">
        <f ca="1">VLOOKUP(A164,[2]characters!$A:$K,11,FALSE)</f>
        <v>attack</v>
      </c>
      <c r="I164" s="14" t="str">
        <f ca="1">VLOOKUP(H164,[2]character_type_i18n!$A:$F,3,FALSE)</f>
        <v>攻撃タイプ</v>
      </c>
      <c r="J164" s="36">
        <f ca="1">VLOOKUP(H164,[2]character_type_i18n!$A:$F,4,FALSE)</f>
        <v>1</v>
      </c>
      <c r="K164" s="36">
        <f ca="1">VLOOKUP(H164,[2]character_type_i18n!$A:$F,5,FALSE)</f>
        <v>1.33</v>
      </c>
      <c r="L164" s="36">
        <f ca="1">VLOOKUP(H164,[2]character_type_i18n!$A:$F,6,FALSE)</f>
        <v>1</v>
      </c>
      <c r="M164" s="9" t="str">
        <f ca="1">VLOOKUP(A164,[2]characters!$A:$M,13,FALSE)</f>
        <v>human</v>
      </c>
      <c r="N164" s="14" t="str">
        <f ca="1">VLOOKUP(M164,[2]character_tribe_i18n!$A:$F,3,FALSE)</f>
        <v>ヒューマン</v>
      </c>
      <c r="O164" s="24">
        <f ca="1">VLOOKUP(M164,[2]character_tribe_i18n!$A:$F,4,FALSE)</f>
        <v>0.94</v>
      </c>
      <c r="P164" s="24">
        <f ca="1">VLOOKUP(M164,[2]character_tribe_i18n!$A:$F,5,FALSE)</f>
        <v>0.99</v>
      </c>
      <c r="Q164" s="24">
        <f ca="1">VLOOKUP(M164,[2]character_tribe_i18n!$A:$F,6,FALSE)</f>
        <v>1</v>
      </c>
      <c r="R164" s="25" t="s">
        <v>4</v>
      </c>
      <c r="S164" s="24">
        <f>VLOOKUP($R164,ラベル別係数!$A$1:$E$7,3,FALSE)</f>
        <v>5</v>
      </c>
      <c r="T164" s="24">
        <f>VLOOKUP($R164,ラベル別係数!$A$1:$E$7,4,FALSE)</f>
        <v>1.3</v>
      </c>
      <c r="U164" s="24">
        <f>VLOOKUP($R164,ラベル別係数!$A$1:$E$7,5,FALSE)</f>
        <v>0.8</v>
      </c>
      <c r="V164" s="27">
        <v>2</v>
      </c>
      <c r="W164" s="28">
        <f>VLOOKUP(V164,ターン数別攻撃係数!$A$1:$B$1000,2,FALSE)</f>
        <v>0.75</v>
      </c>
      <c r="X164" s="10">
        <v>30</v>
      </c>
      <c r="Y164" s="26">
        <f>VLOOKUP($X164,サイズ別係数!$B:$E,2,FALSE)</f>
        <v>1.3</v>
      </c>
      <c r="Z164" s="26">
        <f>VLOOKUP($X164,サイズ別係数!$B:$E,3,FALSE)</f>
        <v>1.3</v>
      </c>
      <c r="AA164" s="26">
        <f>VLOOKUP($X164,サイズ別係数!$B:$E,4,FALSE)</f>
        <v>1.1000000000000001</v>
      </c>
      <c r="AB164" s="5">
        <v>0</v>
      </c>
      <c r="AC164" s="34" t="str">
        <f ca="1">VLOOKUP($AB164,OFFSET([3]enemy_skill_sets!$B$2,0,0,COUNTA([3]enemy_skill_sets!$A:$A),MATCH(AC$1,[3]enemy_skill_sets!$1:$1,0)-MATCH($AB$1,[3]enemy_skill_sets!$1:$1,0)+1),MATCH(AC$1,[3]enemy_skill_sets!$1:$1,0)-MATCH($AB$1,[3]enemy_skill_sets!$1:$1,0)+1,FALSE)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4" s="27">
        <v>1</v>
      </c>
      <c r="AE164" s="37">
        <v>1</v>
      </c>
      <c r="AF164" s="37">
        <v>0</v>
      </c>
      <c r="AG164" s="28">
        <f ca="1">ROUND(VLOOKUP(1,enemy_base_stats!$A:$F,2,FALSE) * Y164* J164*O164*E164*S164*AD164*[2]ステータス!$B$2,0)</f>
        <v>3055</v>
      </c>
      <c r="AH164" s="28">
        <f ca="1">ROUND(VLOOKUP(1,enemy_base_stats!$A:$F,3,FALSE) * Z164*K164*P164*F164*T164*AE164 * W164*[2]ステータス!$C$2,0)</f>
        <v>245</v>
      </c>
      <c r="AI164" s="28">
        <f ca="1">ROUND(VLOOKUP(1,enemy_base_stats!$A:$F,4,FALSE) * AA164*L164*Q164*G164*U164*AF164*[2]ステータス!$D$2,0)</f>
        <v>0</v>
      </c>
      <c r="AJ164" s="28">
        <f ca="1">ROUND(VLOOKUP(100,enemy_base_stats!$A:$F,2,FALSE) * Y164* J164*O164*E164*S164*AD164*[2]ステータス!$B$2,0)</f>
        <v>124033</v>
      </c>
      <c r="AK164" s="28">
        <f ca="1">ROUND(VLOOKUP(100,enemy_base_stats!$A:$F,3,FALSE)* Z164* K164*P164*F164*T164*AE164 * W164*[2]ステータス!$C$2,0)</f>
        <v>9960</v>
      </c>
      <c r="AL164" s="28">
        <f ca="1">ROUND(VLOOKUP(100,enemy_base_stats!$A:$F,4,FALSE)* AA164* L164*Q164*G164*U164*AF164*[2]ステータス!$D$2,0)</f>
        <v>0</v>
      </c>
      <c r="AM164" s="24">
        <f ca="1">VLOOKUP(M164,[2]character_tribe_i18n!$A:$I,9,FALSE)</f>
        <v>400</v>
      </c>
      <c r="AN164" s="36">
        <v>0</v>
      </c>
      <c r="AO164" s="53">
        <v>0</v>
      </c>
      <c r="AP164" s="58" t="s">
        <v>72</v>
      </c>
      <c r="AQ164" s="71">
        <f t="shared" ca="1" si="4"/>
        <v>163</v>
      </c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</row>
    <row r="165" spans="1:60" s="3" customFormat="1" ht="21" customHeight="1" x14ac:dyDescent="0.15">
      <c r="A165" s="7">
        <f t="shared" ca="1" si="5"/>
        <v>164</v>
      </c>
      <c r="B165" s="6" t="str">
        <f ca="1">VLOOKUP(A165,[2]characters!$A:$C,3,FALSE)</f>
        <v>イブとトモダチ</v>
      </c>
      <c r="C165" s="9">
        <f ca="1">VLOOKUP(A165,[2]characters!$A:$I,9,FALSE)</f>
        <v>3</v>
      </c>
      <c r="D165" s="9" t="str">
        <f ca="1">VLOOKUP(A165,[2]characters!$A:$H,8,FALSE)</f>
        <v>yellow</v>
      </c>
      <c r="E165" s="24">
        <f ca="1">VLOOKUP(D165,[2]属性!$A:$E,2,FALSE)</f>
        <v>0.98</v>
      </c>
      <c r="F165" s="24">
        <f ca="1">VLOOKUP(D165,[2]属性!$A:$E,3,FALSE)</f>
        <v>1.01</v>
      </c>
      <c r="G165" s="24">
        <f ca="1">VLOOKUP(D165,[2]属性!$A:$F,4,FALSE)</f>
        <v>1</v>
      </c>
      <c r="H165" s="9" t="str">
        <f ca="1">VLOOKUP(A165,[2]characters!$A:$K,11,FALSE)</f>
        <v>technical</v>
      </c>
      <c r="I165" s="14" t="str">
        <f ca="1">VLOOKUP(H165,[2]character_type_i18n!$A:$F,3,FALSE)</f>
        <v>テクニカルタイプ</v>
      </c>
      <c r="J165" s="36">
        <f ca="1">VLOOKUP(H165,[2]character_type_i18n!$A:$F,4,FALSE)</f>
        <v>0.9</v>
      </c>
      <c r="K165" s="36">
        <f ca="1">VLOOKUP(H165,[2]character_type_i18n!$A:$F,5,FALSE)</f>
        <v>0.9</v>
      </c>
      <c r="L165" s="36">
        <f ca="1">VLOOKUP(H165,[2]character_type_i18n!$A:$F,6,FALSE)</f>
        <v>1</v>
      </c>
      <c r="M165" s="9" t="str">
        <f ca="1">VLOOKUP(A165,[2]characters!$A:$M,13,FALSE)</f>
        <v>human</v>
      </c>
      <c r="N165" s="14" t="str">
        <f ca="1">VLOOKUP(M165,[2]character_tribe_i18n!$A:$F,3,FALSE)</f>
        <v>ヒューマン</v>
      </c>
      <c r="O165" s="24">
        <f ca="1">VLOOKUP(M165,[2]character_tribe_i18n!$A:$F,4,FALSE)</f>
        <v>0.94</v>
      </c>
      <c r="P165" s="24">
        <f ca="1">VLOOKUP(M165,[2]character_tribe_i18n!$A:$F,5,FALSE)</f>
        <v>0.99</v>
      </c>
      <c r="Q165" s="24">
        <f ca="1">VLOOKUP(M165,[2]character_tribe_i18n!$A:$F,6,FALSE)</f>
        <v>1</v>
      </c>
      <c r="R165" s="70" t="s">
        <v>91</v>
      </c>
      <c r="S165" s="24">
        <f>VLOOKUP($R165,ラベル別係数!$A$1:$E$7,3,FALSE)</f>
        <v>7.5</v>
      </c>
      <c r="T165" s="24">
        <f>VLOOKUP($R165,ラベル別係数!$A$1:$E$7,4,FALSE)</f>
        <v>1</v>
      </c>
      <c r="U165" s="24">
        <f>VLOOKUP($R165,ラベル別係数!$A$1:$E$7,5,FALSE)</f>
        <v>0.8</v>
      </c>
      <c r="V165" s="27">
        <v>3</v>
      </c>
      <c r="W165" s="28">
        <f>VLOOKUP(V165,ターン数別攻撃係数!$A$1:$B$1000,2,FALSE)</f>
        <v>1</v>
      </c>
      <c r="X165" s="10">
        <v>20</v>
      </c>
      <c r="Y165" s="26">
        <f>VLOOKUP($X165,サイズ別係数!$B:$E,2,FALSE)</f>
        <v>1.1000000000000001</v>
      </c>
      <c r="Z165" s="26">
        <f>VLOOKUP($X165,サイズ別係数!$B:$E,3,FALSE)</f>
        <v>1.2</v>
      </c>
      <c r="AA165" s="26">
        <f>VLOOKUP($X165,サイズ別係数!$B:$E,4,FALSE)</f>
        <v>1.2</v>
      </c>
      <c r="AB165" s="5">
        <v>164</v>
      </c>
      <c r="AC165" s="34" t="str">
        <f ca="1">VLOOKUP($AB165,OFFSET([3]enemy_skill_sets!$B$2,0,0,COUNTA([3]enemy_skill_sets!$A:$A),MATCH(AC$1,[3]enemy_skill_sets!$1:$1,0)-MATCH($AB$1,[3]enemy_skill_sets!$1:$1,0)+1),MATCH(AC$1,[3]enemy_skill_sets!$1:$1,0)-MATCH($AB$1,[3]enemy_skill_sets!$1:$1,0)+1,FALSE)</f>
        <v>少しだけお邪魔パネル出現</v>
      </c>
      <c r="AD165" s="27">
        <v>1</v>
      </c>
      <c r="AE165" s="37">
        <v>1</v>
      </c>
      <c r="AF165" s="37">
        <v>0</v>
      </c>
      <c r="AG165" s="28">
        <f ca="1">ROUND(VLOOKUP(1,enemy_base_stats!$A:$F,2,FALSE) * Y165* J165*O165*E165*S165*AD165*[2]ステータス!$B$2,0)</f>
        <v>3420</v>
      </c>
      <c r="AH165" s="28">
        <f ca="1">ROUND(VLOOKUP(1,enemy_base_stats!$A:$F,3,FALSE) * Z165*K165*P165*F165*T165*AE165 * W165*[2]ステータス!$C$2,0)</f>
        <v>162</v>
      </c>
      <c r="AI165" s="28">
        <f ca="1">ROUND(VLOOKUP(1,enemy_base_stats!$A:$F,4,FALSE) * AA165*L165*Q165*G165*U165*AF165*[2]ステータス!$D$2,0)</f>
        <v>0</v>
      </c>
      <c r="AJ165" s="28">
        <f ca="1">ROUND(VLOOKUP(100,enemy_base_stats!$A:$F,2,FALSE) * Y165* J165*O165*E165*S165*AD165*[2]ステータス!$B$2,0)</f>
        <v>138850</v>
      </c>
      <c r="AK165" s="28">
        <f ca="1">ROUND(VLOOKUP(100,enemy_base_stats!$A:$F,3,FALSE)* Z165* K165*P165*F165*T165*AE165 * W165*[2]ステータス!$C$2,0)</f>
        <v>6577</v>
      </c>
      <c r="AL165" s="28">
        <f ca="1">ROUND(VLOOKUP(100,enemy_base_stats!$A:$F,4,FALSE)* AA165* L165*Q165*G165*U165*AF165*[2]ステータス!$D$2,0)</f>
        <v>0</v>
      </c>
      <c r="AM165" s="24">
        <f ca="1">VLOOKUP(M165,[2]character_tribe_i18n!$A:$I,9,FALSE)</f>
        <v>400</v>
      </c>
      <c r="AN165" s="36">
        <v>0</v>
      </c>
      <c r="AO165" s="53">
        <v>0</v>
      </c>
      <c r="AP165" s="58" t="s">
        <v>72</v>
      </c>
      <c r="AQ165" s="71">
        <f t="shared" ca="1" si="4"/>
        <v>164</v>
      </c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</row>
    <row r="166" spans="1:60" s="3" customFormat="1" ht="21" customHeight="1" x14ac:dyDescent="0.15">
      <c r="A166" s="7">
        <f t="shared" ca="1" si="5"/>
        <v>165</v>
      </c>
      <c r="B166" s="6" t="str">
        <f ca="1">VLOOKUP(A166,[2]characters!$A:$C,3,FALSE)</f>
        <v>イブとたったひとりのトモダチ</v>
      </c>
      <c r="C166" s="9">
        <f ca="1">VLOOKUP(A166,[2]characters!$A:$I,9,FALSE)</f>
        <v>4</v>
      </c>
      <c r="D166" s="9" t="str">
        <f ca="1">VLOOKUP(A166,[2]characters!$A:$H,8,FALSE)</f>
        <v>yellow</v>
      </c>
      <c r="E166" s="24">
        <f ca="1">VLOOKUP(D166,[2]属性!$A:$E,2,FALSE)</f>
        <v>0.98</v>
      </c>
      <c r="F166" s="24">
        <f ca="1">VLOOKUP(D166,[2]属性!$A:$E,3,FALSE)</f>
        <v>1.01</v>
      </c>
      <c r="G166" s="24">
        <f ca="1">VLOOKUP(D166,[2]属性!$A:$F,4,FALSE)</f>
        <v>1</v>
      </c>
      <c r="H166" s="9" t="str">
        <f ca="1">VLOOKUP(A166,[2]characters!$A:$K,11,FALSE)</f>
        <v>technical</v>
      </c>
      <c r="I166" s="14" t="str">
        <f ca="1">VLOOKUP(H166,[2]character_type_i18n!$A:$F,3,FALSE)</f>
        <v>テクニカルタイプ</v>
      </c>
      <c r="J166" s="36">
        <f ca="1">VLOOKUP(H166,[2]character_type_i18n!$A:$F,4,FALSE)</f>
        <v>0.9</v>
      </c>
      <c r="K166" s="36">
        <f ca="1">VLOOKUP(H166,[2]character_type_i18n!$A:$F,5,FALSE)</f>
        <v>0.9</v>
      </c>
      <c r="L166" s="36">
        <f ca="1">VLOOKUP(H166,[2]character_type_i18n!$A:$F,6,FALSE)</f>
        <v>1</v>
      </c>
      <c r="M166" s="9" t="str">
        <f ca="1">VLOOKUP(A166,[2]characters!$A:$M,13,FALSE)</f>
        <v>human</v>
      </c>
      <c r="N166" s="14" t="str">
        <f ca="1">VLOOKUP(M166,[2]character_tribe_i18n!$A:$F,3,FALSE)</f>
        <v>ヒューマン</v>
      </c>
      <c r="O166" s="24">
        <f ca="1">VLOOKUP(M166,[2]character_tribe_i18n!$A:$F,4,FALSE)</f>
        <v>0.94</v>
      </c>
      <c r="P166" s="24">
        <f ca="1">VLOOKUP(M166,[2]character_tribe_i18n!$A:$F,5,FALSE)</f>
        <v>0.99</v>
      </c>
      <c r="Q166" s="24">
        <f ca="1">VLOOKUP(M166,[2]character_tribe_i18n!$A:$F,6,FALSE)</f>
        <v>1</v>
      </c>
      <c r="R166" s="25" t="s">
        <v>4</v>
      </c>
      <c r="S166" s="24">
        <f>VLOOKUP($R166,ラベル別係数!$A$1:$E$7,3,FALSE)</f>
        <v>5</v>
      </c>
      <c r="T166" s="24">
        <f>VLOOKUP($R166,ラベル別係数!$A$1:$E$7,4,FALSE)</f>
        <v>1.3</v>
      </c>
      <c r="U166" s="24">
        <f>VLOOKUP($R166,ラベル別係数!$A$1:$E$7,5,FALSE)</f>
        <v>0.8</v>
      </c>
      <c r="V166" s="27">
        <v>3</v>
      </c>
      <c r="W166" s="28">
        <f>VLOOKUP(V166,ターン数別攻撃係数!$A$1:$B$1000,2,FALSE)</f>
        <v>1</v>
      </c>
      <c r="X166" s="10">
        <v>30</v>
      </c>
      <c r="Y166" s="26">
        <f>VLOOKUP($X166,サイズ別係数!$B:$E,2,FALSE)</f>
        <v>1.3</v>
      </c>
      <c r="Z166" s="26">
        <f>VLOOKUP($X166,サイズ別係数!$B:$E,3,FALSE)</f>
        <v>1.3</v>
      </c>
      <c r="AA166" s="26">
        <f>VLOOKUP($X166,サイズ別係数!$B:$E,4,FALSE)</f>
        <v>1.1000000000000001</v>
      </c>
      <c r="AB166" s="5">
        <v>0</v>
      </c>
      <c r="AC166" s="34" t="str">
        <f ca="1">VLOOKUP($AB166,OFFSET([3]enemy_skill_sets!$B$2,0,0,COUNTA([3]enemy_skill_sets!$A:$A),MATCH(AC$1,[3]enemy_skill_sets!$1:$1,0)-MATCH($AB$1,[3]enemy_skill_sets!$1:$1,0)+1),MATCH(AC$1,[3]enemy_skill_sets!$1:$1,0)-MATCH($AB$1,[3]enemy_skill_sets!$1:$1,0)+1,FALSE)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6" s="27">
        <v>1</v>
      </c>
      <c r="AE166" s="37">
        <v>1</v>
      </c>
      <c r="AF166" s="37">
        <v>0</v>
      </c>
      <c r="AG166" s="28">
        <f ca="1">ROUND(VLOOKUP(1,enemy_base_stats!$A:$F,2,FALSE) * Y166* J166*O166*E166*S166*AD166*[2]ステータス!$B$2,0)</f>
        <v>2695</v>
      </c>
      <c r="AH166" s="28">
        <f ca="1">ROUND(VLOOKUP(1,enemy_base_stats!$A:$F,3,FALSE) * Z166*K166*P166*F166*T166*AE166 * W166*[2]ステータス!$C$2,0)</f>
        <v>228</v>
      </c>
      <c r="AI166" s="28">
        <f ca="1">ROUND(VLOOKUP(1,enemy_base_stats!$A:$F,4,FALSE) * AA166*L166*Q166*G166*U166*AF166*[2]ステータス!$D$2,0)</f>
        <v>0</v>
      </c>
      <c r="AJ166" s="28">
        <f ca="1">ROUND(VLOOKUP(100,enemy_base_stats!$A:$F,2,FALSE) * Y166* J166*O166*E166*S166*AD166*[2]ステータス!$B$2,0)</f>
        <v>109397</v>
      </c>
      <c r="AK166" s="28">
        <f ca="1">ROUND(VLOOKUP(100,enemy_base_stats!$A:$F,3,FALSE)* Z166* K166*P166*F166*T166*AE166 * W166*[2]ステータス!$C$2,0)</f>
        <v>9262</v>
      </c>
      <c r="AL166" s="28">
        <f ca="1">ROUND(VLOOKUP(100,enemy_base_stats!$A:$F,4,FALSE)* AA166* L166*Q166*G166*U166*AF166*[2]ステータス!$D$2,0)</f>
        <v>0</v>
      </c>
      <c r="AM166" s="24">
        <f ca="1">VLOOKUP(M166,[2]character_tribe_i18n!$A:$I,9,FALSE)</f>
        <v>400</v>
      </c>
      <c r="AN166" s="36">
        <v>0</v>
      </c>
      <c r="AO166" s="53">
        <v>0</v>
      </c>
      <c r="AP166" s="58" t="s">
        <v>72</v>
      </c>
      <c r="AQ166" s="71">
        <f t="shared" ca="1" si="4"/>
        <v>165</v>
      </c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</row>
    <row r="167" spans="1:60" s="3" customFormat="1" ht="21" customHeight="1" x14ac:dyDescent="0.15">
      <c r="A167" s="7">
        <f t="shared" ca="1" si="5"/>
        <v>166</v>
      </c>
      <c r="B167" s="6" t="str">
        <f ca="1">VLOOKUP(A167,[2]characters!$A:$C,3,FALSE)</f>
        <v>ベリアル</v>
      </c>
      <c r="C167" s="9">
        <f ca="1">VLOOKUP(A167,[2]characters!$A:$I,9,FALSE)</f>
        <v>3</v>
      </c>
      <c r="D167" s="9" t="str">
        <f ca="1">VLOOKUP(A167,[2]characters!$A:$H,8,FALSE)</f>
        <v>red</v>
      </c>
      <c r="E167" s="24">
        <f ca="1">VLOOKUP(D167,[2]属性!$A:$E,2,FALSE)</f>
        <v>1</v>
      </c>
      <c r="F167" s="24">
        <f ca="1">VLOOKUP(D167,[2]属性!$A:$E,3,FALSE)</f>
        <v>1.02</v>
      </c>
      <c r="G167" s="24">
        <f ca="1">VLOOKUP(D167,[2]属性!$A:$F,4,FALSE)</f>
        <v>1</v>
      </c>
      <c r="H167" s="9" t="str">
        <f ca="1">VLOOKUP(A167,[2]characters!$A:$K,11,FALSE)</f>
        <v>attack</v>
      </c>
      <c r="I167" s="14" t="str">
        <f ca="1">VLOOKUP(H167,[2]character_type_i18n!$A:$F,3,FALSE)</f>
        <v>攻撃タイプ</v>
      </c>
      <c r="J167" s="36">
        <f ca="1">VLOOKUP(H167,[2]character_type_i18n!$A:$F,4,FALSE)</f>
        <v>1</v>
      </c>
      <c r="K167" s="36">
        <f ca="1">VLOOKUP(H167,[2]character_type_i18n!$A:$F,5,FALSE)</f>
        <v>1.33</v>
      </c>
      <c r="L167" s="36">
        <f ca="1">VLOOKUP(H167,[2]character_type_i18n!$A:$F,6,FALSE)</f>
        <v>1</v>
      </c>
      <c r="M167" s="9" t="str">
        <f ca="1">VLOOKUP(A167,[2]characters!$A:$M,13,FALSE)</f>
        <v>god</v>
      </c>
      <c r="N167" s="14" t="str">
        <f ca="1">VLOOKUP(M167,[2]character_tribe_i18n!$A:$F,3,FALSE)</f>
        <v>ゴッド</v>
      </c>
      <c r="O167" s="24">
        <f ca="1">VLOOKUP(M167,[2]character_tribe_i18n!$A:$F,4,FALSE)</f>
        <v>0.96</v>
      </c>
      <c r="P167" s="24">
        <f ca="1">VLOOKUP(M167,[2]character_tribe_i18n!$A:$F,5,FALSE)</f>
        <v>1.02</v>
      </c>
      <c r="Q167" s="24">
        <f ca="1">VLOOKUP(M167,[2]character_tribe_i18n!$A:$F,6,FALSE)</f>
        <v>1</v>
      </c>
      <c r="R167" s="25" t="s">
        <v>4</v>
      </c>
      <c r="S167" s="24">
        <f>VLOOKUP($R167,ラベル別係数!$A$1:$E$7,3,FALSE)</f>
        <v>5</v>
      </c>
      <c r="T167" s="24">
        <f>VLOOKUP($R167,ラベル別係数!$A$1:$E$7,4,FALSE)</f>
        <v>1.3</v>
      </c>
      <c r="U167" s="24">
        <f>VLOOKUP($R167,ラベル別係数!$A$1:$E$7,5,FALSE)</f>
        <v>0.8</v>
      </c>
      <c r="V167" s="27">
        <v>2</v>
      </c>
      <c r="W167" s="28">
        <f>VLOOKUP(V167,ターン数別攻撃係数!$A$1:$B$1000,2,FALSE)</f>
        <v>0.75</v>
      </c>
      <c r="X167" s="10">
        <v>20</v>
      </c>
      <c r="Y167" s="26">
        <f>VLOOKUP($X167,サイズ別係数!$B:$E,2,FALSE)</f>
        <v>1.1000000000000001</v>
      </c>
      <c r="Z167" s="26">
        <f>VLOOKUP($X167,サイズ別係数!$B:$E,3,FALSE)</f>
        <v>1.2</v>
      </c>
      <c r="AA167" s="26">
        <f>VLOOKUP($X167,サイズ別係数!$B:$E,4,FALSE)</f>
        <v>1.2</v>
      </c>
      <c r="AB167" s="5">
        <v>0</v>
      </c>
      <c r="AC167" s="34" t="str">
        <f ca="1">VLOOKUP($AB167,OFFSET([3]enemy_skill_sets!$B$2,0,0,COUNTA([3]enemy_skill_sets!$A:$A),MATCH(AC$1,[3]enemy_skill_sets!$1:$1,0)-MATCH($AB$1,[3]enemy_skill_sets!$1:$1,0)+1),MATCH(AC$1,[3]enemy_skill_sets!$1:$1,0)-MATCH($AB$1,[3]enemy_skill_sets!$1:$1,0)+1,FALSE)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7" s="27">
        <v>0.3</v>
      </c>
      <c r="AE167" s="37">
        <v>1</v>
      </c>
      <c r="AF167" s="37">
        <v>0.4</v>
      </c>
      <c r="AG167" s="28">
        <f ca="1">ROUND(VLOOKUP(1,enemy_base_stats!$A:$F,2,FALSE) * Y167* J167*O167*E167*S167*AD167*[2]ステータス!$B$2,0)</f>
        <v>792</v>
      </c>
      <c r="AH167" s="28">
        <f ca="1">ROUND(VLOOKUP(1,enemy_base_stats!$A:$F,3,FALSE) * Z167*K167*P167*F167*T167*AE167 * W167*[2]ステータス!$C$2,0)</f>
        <v>243</v>
      </c>
      <c r="AI167" s="28">
        <f ca="1">ROUND(VLOOKUP(1,enemy_base_stats!$A:$F,4,FALSE) * AA167*L167*Q167*G167*U167*AF167*[2]ステータス!$D$2,0)</f>
        <v>384</v>
      </c>
      <c r="AJ167" s="28">
        <f ca="1">ROUND(VLOOKUP(100,enemy_base_stats!$A:$F,2,FALSE) * Y167* J167*O167*E167*S167*AD167*[2]ステータス!$B$2,0)</f>
        <v>32155</v>
      </c>
      <c r="AK167" s="28">
        <f ca="1">ROUND(VLOOKUP(100,enemy_base_stats!$A:$F,3,FALSE)* Z167* K167*P167*F167*T167*AE167 * W167*[2]ステータス!$C$2,0)</f>
        <v>9860</v>
      </c>
      <c r="AL167" s="28">
        <f ca="1">ROUND(VLOOKUP(100,enemy_base_stats!$A:$F,4,FALSE)* AA167* L167*Q167*G167*U167*AF167*[2]ステータス!$D$2,0)</f>
        <v>7987</v>
      </c>
      <c r="AM167" s="24">
        <f ca="1">VLOOKUP(M167,[2]character_tribe_i18n!$A:$I,9,FALSE)</f>
        <v>680</v>
      </c>
      <c r="AN167" s="36">
        <v>0</v>
      </c>
      <c r="AO167" s="53">
        <v>0</v>
      </c>
      <c r="AP167" s="58" t="s">
        <v>72</v>
      </c>
      <c r="AQ167" s="71">
        <f t="shared" ca="1" si="4"/>
        <v>166</v>
      </c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</row>
    <row r="168" spans="1:60" s="3" customFormat="1" ht="21" customHeight="1" x14ac:dyDescent="0.15">
      <c r="A168" s="7">
        <f t="shared" ca="1" si="5"/>
        <v>167</v>
      </c>
      <c r="B168" s="6" t="str">
        <f ca="1">VLOOKUP(A168,[2]characters!$A:$C,3,FALSE)</f>
        <v>逆徒 ベリアル</v>
      </c>
      <c r="C168" s="9">
        <f ca="1">VLOOKUP(A168,[2]characters!$A:$I,9,FALSE)</f>
        <v>4</v>
      </c>
      <c r="D168" s="9" t="str">
        <f ca="1">VLOOKUP(A168,[2]characters!$A:$H,8,FALSE)</f>
        <v>red</v>
      </c>
      <c r="E168" s="24">
        <f ca="1">VLOOKUP(D168,[2]属性!$A:$E,2,FALSE)</f>
        <v>1</v>
      </c>
      <c r="F168" s="24">
        <f ca="1">VLOOKUP(D168,[2]属性!$A:$E,3,FALSE)</f>
        <v>1.02</v>
      </c>
      <c r="G168" s="24">
        <f ca="1">VLOOKUP(D168,[2]属性!$A:$F,4,FALSE)</f>
        <v>1</v>
      </c>
      <c r="H168" s="9" t="str">
        <f ca="1">VLOOKUP(A168,[2]characters!$A:$K,11,FALSE)</f>
        <v>attack</v>
      </c>
      <c r="I168" s="14" t="str">
        <f ca="1">VLOOKUP(H168,[2]character_type_i18n!$A:$F,3,FALSE)</f>
        <v>攻撃タイプ</v>
      </c>
      <c r="J168" s="36">
        <f ca="1">VLOOKUP(H168,[2]character_type_i18n!$A:$F,4,FALSE)</f>
        <v>1</v>
      </c>
      <c r="K168" s="36">
        <f ca="1">VLOOKUP(H168,[2]character_type_i18n!$A:$F,5,FALSE)</f>
        <v>1.33</v>
      </c>
      <c r="L168" s="36">
        <f ca="1">VLOOKUP(H168,[2]character_type_i18n!$A:$F,6,FALSE)</f>
        <v>1</v>
      </c>
      <c r="M168" s="9" t="str">
        <f ca="1">VLOOKUP(A168,[2]characters!$A:$M,13,FALSE)</f>
        <v>god</v>
      </c>
      <c r="N168" s="14" t="str">
        <f ca="1">VLOOKUP(M168,[2]character_tribe_i18n!$A:$F,3,FALSE)</f>
        <v>ゴッド</v>
      </c>
      <c r="O168" s="24">
        <f ca="1">VLOOKUP(M168,[2]character_tribe_i18n!$A:$F,4,FALSE)</f>
        <v>0.96</v>
      </c>
      <c r="P168" s="24">
        <f ca="1">VLOOKUP(M168,[2]character_tribe_i18n!$A:$F,5,FALSE)</f>
        <v>1.02</v>
      </c>
      <c r="Q168" s="24">
        <f ca="1">VLOOKUP(M168,[2]character_tribe_i18n!$A:$F,6,FALSE)</f>
        <v>1</v>
      </c>
      <c r="R168" s="25" t="s">
        <v>4</v>
      </c>
      <c r="S168" s="24">
        <f>VLOOKUP($R168,ラベル別係数!$A$1:$E$7,3,FALSE)</f>
        <v>5</v>
      </c>
      <c r="T168" s="24">
        <f>VLOOKUP($R168,ラベル別係数!$A$1:$E$7,4,FALSE)</f>
        <v>1.3</v>
      </c>
      <c r="U168" s="24">
        <f>VLOOKUP($R168,ラベル別係数!$A$1:$E$7,5,FALSE)</f>
        <v>0.8</v>
      </c>
      <c r="V168" s="27">
        <v>2</v>
      </c>
      <c r="W168" s="28">
        <f>VLOOKUP(V168,ターン数別攻撃係数!$A$1:$B$1000,2,FALSE)</f>
        <v>0.75</v>
      </c>
      <c r="X168" s="10">
        <v>30</v>
      </c>
      <c r="Y168" s="26">
        <f>VLOOKUP($X168,サイズ別係数!$B:$E,2,FALSE)</f>
        <v>1.3</v>
      </c>
      <c r="Z168" s="26">
        <f>VLOOKUP($X168,サイズ別係数!$B:$E,3,FALSE)</f>
        <v>1.3</v>
      </c>
      <c r="AA168" s="26">
        <f>VLOOKUP($X168,サイズ別係数!$B:$E,4,FALSE)</f>
        <v>1.1000000000000001</v>
      </c>
      <c r="AB168" s="5">
        <v>0</v>
      </c>
      <c r="AC168" s="34" t="str">
        <f ca="1">VLOOKUP($AB168,OFFSET([3]enemy_skill_sets!$B$2,0,0,COUNTA([3]enemy_skill_sets!$A:$A),MATCH(AC$1,[3]enemy_skill_sets!$1:$1,0)-MATCH($AB$1,[3]enemy_skill_sets!$1:$1,0)+1),MATCH(AC$1,[3]enemy_skill_sets!$1:$1,0)-MATCH($AB$1,[3]enemy_skill_sets!$1:$1,0)+1,FALSE)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8" s="27">
        <v>0.3</v>
      </c>
      <c r="AE168" s="37">
        <v>1</v>
      </c>
      <c r="AF168" s="37">
        <v>0.5</v>
      </c>
      <c r="AG168" s="28">
        <f ca="1">ROUND(VLOOKUP(1,enemy_base_stats!$A:$F,2,FALSE) * Y168* J168*O168*E168*S168*AD168*[2]ステータス!$B$2,0)</f>
        <v>936</v>
      </c>
      <c r="AH168" s="28">
        <f ca="1">ROUND(VLOOKUP(1,enemy_base_stats!$A:$F,3,FALSE) * Z168*K168*P168*F168*T168*AE168 * W168*[2]ステータス!$C$2,0)</f>
        <v>263</v>
      </c>
      <c r="AI168" s="28">
        <f ca="1">ROUND(VLOOKUP(1,enemy_base_stats!$A:$F,4,FALSE) * AA168*L168*Q168*G168*U168*AF168*[2]ステータス!$D$2,0)</f>
        <v>440</v>
      </c>
      <c r="AJ168" s="28">
        <f ca="1">ROUND(VLOOKUP(100,enemy_base_stats!$A:$F,2,FALSE) * Y168* J168*O168*E168*S168*AD168*[2]ステータス!$B$2,0)</f>
        <v>38002</v>
      </c>
      <c r="AK168" s="28">
        <f ca="1">ROUND(VLOOKUP(100,enemy_base_stats!$A:$F,3,FALSE)* Z168* K168*P168*F168*T168*AE168 * W168*[2]ステータス!$C$2,0)</f>
        <v>10681</v>
      </c>
      <c r="AL168" s="28">
        <f ca="1">ROUND(VLOOKUP(100,enemy_base_stats!$A:$F,4,FALSE)* AA168* L168*Q168*G168*U168*AF168*[2]ステータス!$D$2,0)</f>
        <v>9152</v>
      </c>
      <c r="AM168" s="24">
        <f ca="1">VLOOKUP(M168,[2]character_tribe_i18n!$A:$I,9,FALSE)</f>
        <v>680</v>
      </c>
      <c r="AN168" s="36">
        <v>0</v>
      </c>
      <c r="AO168" s="53">
        <v>0</v>
      </c>
      <c r="AP168" s="58" t="s">
        <v>72</v>
      </c>
      <c r="AQ168" s="71">
        <f t="shared" ca="1" si="4"/>
        <v>167</v>
      </c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</row>
    <row r="169" spans="1:60" s="3" customFormat="1" ht="21" customHeight="1" x14ac:dyDescent="0.15">
      <c r="A169" s="7">
        <f t="shared" ca="1" si="5"/>
        <v>168</v>
      </c>
      <c r="B169" s="6" t="str">
        <f ca="1">VLOOKUP(A169,[2]characters!$A:$C,3,FALSE)</f>
        <v>猛進の大逆者 ベリアル</v>
      </c>
      <c r="C169" s="9">
        <f ca="1">VLOOKUP(A169,[2]characters!$A:$I,9,FALSE)</f>
        <v>5</v>
      </c>
      <c r="D169" s="9" t="str">
        <f ca="1">VLOOKUP(A169,[2]characters!$A:$H,8,FALSE)</f>
        <v>red</v>
      </c>
      <c r="E169" s="24">
        <f ca="1">VLOOKUP(D169,[2]属性!$A:$E,2,FALSE)</f>
        <v>1</v>
      </c>
      <c r="F169" s="24">
        <f ca="1">VLOOKUP(D169,[2]属性!$A:$E,3,FALSE)</f>
        <v>1.02</v>
      </c>
      <c r="G169" s="24">
        <f ca="1">VLOOKUP(D169,[2]属性!$A:$F,4,FALSE)</f>
        <v>1</v>
      </c>
      <c r="H169" s="9" t="str">
        <f ca="1">VLOOKUP(A169,[2]characters!$A:$K,11,FALSE)</f>
        <v>attack</v>
      </c>
      <c r="I169" s="14" t="str">
        <f ca="1">VLOOKUP(H169,[2]character_type_i18n!$A:$F,3,FALSE)</f>
        <v>攻撃タイプ</v>
      </c>
      <c r="J169" s="36">
        <f ca="1">VLOOKUP(H169,[2]character_type_i18n!$A:$F,4,FALSE)</f>
        <v>1</v>
      </c>
      <c r="K169" s="36">
        <f ca="1">VLOOKUP(H169,[2]character_type_i18n!$A:$F,5,FALSE)</f>
        <v>1.33</v>
      </c>
      <c r="L169" s="36">
        <f ca="1">VLOOKUP(H169,[2]character_type_i18n!$A:$F,6,FALSE)</f>
        <v>1</v>
      </c>
      <c r="M169" s="9" t="str">
        <f ca="1">VLOOKUP(A169,[2]characters!$A:$M,13,FALSE)</f>
        <v>god</v>
      </c>
      <c r="N169" s="14" t="str">
        <f ca="1">VLOOKUP(M169,[2]character_tribe_i18n!$A:$F,3,FALSE)</f>
        <v>ゴッド</v>
      </c>
      <c r="O169" s="24">
        <f ca="1">VLOOKUP(M169,[2]character_tribe_i18n!$A:$F,4,FALSE)</f>
        <v>0.96</v>
      </c>
      <c r="P169" s="24">
        <f ca="1">VLOOKUP(M169,[2]character_tribe_i18n!$A:$F,5,FALSE)</f>
        <v>1.02</v>
      </c>
      <c r="Q169" s="24">
        <f ca="1">VLOOKUP(M169,[2]character_tribe_i18n!$A:$F,6,FALSE)</f>
        <v>1</v>
      </c>
      <c r="R169" s="25" t="s">
        <v>4</v>
      </c>
      <c r="S169" s="24">
        <f>VLOOKUP($R169,ラベル別係数!$A$1:$E$7,3,FALSE)</f>
        <v>5</v>
      </c>
      <c r="T169" s="24">
        <f>VLOOKUP($R169,ラベル別係数!$A$1:$E$7,4,FALSE)</f>
        <v>1.3</v>
      </c>
      <c r="U169" s="24">
        <f>VLOOKUP($R169,ラベル別係数!$A$1:$E$7,5,FALSE)</f>
        <v>0.8</v>
      </c>
      <c r="V169" s="27">
        <v>2</v>
      </c>
      <c r="W169" s="28">
        <f>VLOOKUP(V169,ターン数別攻撃係数!$A$1:$B$1000,2,FALSE)</f>
        <v>0.75</v>
      </c>
      <c r="X169" s="10">
        <v>60</v>
      </c>
      <c r="Y169" s="26">
        <f>VLOOKUP($X169,サイズ別係数!$B:$E,2,FALSE)</f>
        <v>1.7</v>
      </c>
      <c r="Z169" s="26">
        <f>VLOOKUP($X169,サイズ別係数!$B:$E,3,FALSE)</f>
        <v>1.4</v>
      </c>
      <c r="AA169" s="26">
        <f>VLOOKUP($X169,サイズ別係数!$B:$E,4,FALSE)</f>
        <v>1</v>
      </c>
      <c r="AB169" s="5">
        <v>0</v>
      </c>
      <c r="AC169" s="34" t="str">
        <f ca="1">VLOOKUP($AB169,OFFSET([3]enemy_skill_sets!$B$2,0,0,COUNTA([3]enemy_skill_sets!$A:$A),MATCH(AC$1,[3]enemy_skill_sets!$1:$1,0)-MATCH($AB$1,[3]enemy_skill_sets!$1:$1,0)+1),MATCH(AC$1,[3]enemy_skill_sets!$1:$1,0)-MATCH($AB$1,[3]enemy_skill_sets!$1:$1,0)+1,FALSE)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9" s="27">
        <v>1</v>
      </c>
      <c r="AE169" s="37">
        <v>1</v>
      </c>
      <c r="AF169" s="37">
        <v>0</v>
      </c>
      <c r="AG169" s="28">
        <f ca="1">ROUND(VLOOKUP(1,enemy_base_stats!$A:$F,2,FALSE) * Y169* J169*O169*E169*S169*AD169*[2]ステータス!$B$2,0)</f>
        <v>4080</v>
      </c>
      <c r="AH169" s="28">
        <f ca="1">ROUND(VLOOKUP(1,enemy_base_stats!$A:$F,3,FALSE) * Z169*K169*P169*F169*T169*AE169 * W169*[2]ステータス!$C$2,0)</f>
        <v>283</v>
      </c>
      <c r="AI169" s="28">
        <f ca="1">ROUND(VLOOKUP(1,enemy_base_stats!$A:$F,4,FALSE) * AA169*L169*Q169*G169*U169*AF169*[2]ステータス!$D$2,0)</f>
        <v>0</v>
      </c>
      <c r="AJ169" s="28">
        <f ca="1">ROUND(VLOOKUP(100,enemy_base_stats!$A:$F,2,FALSE) * Y169* J169*O169*E169*S169*AD169*[2]ステータス!$B$2,0)</f>
        <v>165648</v>
      </c>
      <c r="AK169" s="28">
        <f ca="1">ROUND(VLOOKUP(100,enemy_base_stats!$A:$F,3,FALSE)* Z169* K169*P169*F169*T169*AE169 * W169*[2]ステータス!$C$2,0)</f>
        <v>11503</v>
      </c>
      <c r="AL169" s="28">
        <f ca="1">ROUND(VLOOKUP(100,enemy_base_stats!$A:$F,4,FALSE)* AA169* L169*Q169*G169*U169*AF169*[2]ステータス!$D$2,0)</f>
        <v>0</v>
      </c>
      <c r="AM169" s="24">
        <f ca="1">VLOOKUP(M169,[2]character_tribe_i18n!$A:$I,9,FALSE)</f>
        <v>680</v>
      </c>
      <c r="AN169" s="36">
        <v>0</v>
      </c>
      <c r="AO169" s="53">
        <v>0</v>
      </c>
      <c r="AP169" s="58" t="s">
        <v>72</v>
      </c>
      <c r="AQ169" s="71">
        <f t="shared" ca="1" si="4"/>
        <v>168</v>
      </c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</row>
    <row r="170" spans="1:60" s="3" customFormat="1" ht="21" customHeight="1" x14ac:dyDescent="0.15">
      <c r="A170" s="7">
        <f t="shared" ca="1" si="5"/>
        <v>169</v>
      </c>
      <c r="B170" s="6" t="str">
        <f ca="1">VLOOKUP(A170,[2]characters!$A:$C,3,FALSE)</f>
        <v>オセ</v>
      </c>
      <c r="C170" s="9">
        <f ca="1">VLOOKUP(A170,[2]characters!$A:$I,9,FALSE)</f>
        <v>3</v>
      </c>
      <c r="D170" s="9" t="str">
        <f ca="1">VLOOKUP(A170,[2]characters!$A:$H,8,FALSE)</f>
        <v>green</v>
      </c>
      <c r="E170" s="24">
        <f ca="1">VLOOKUP(D170,[2]属性!$A:$E,2,FALSE)</f>
        <v>1.02</v>
      </c>
      <c r="F170" s="24">
        <f ca="1">VLOOKUP(D170,[2]属性!$A:$E,3,FALSE)</f>
        <v>0.98</v>
      </c>
      <c r="G170" s="24">
        <f ca="1">VLOOKUP(D170,[2]属性!$A:$F,4,FALSE)</f>
        <v>1</v>
      </c>
      <c r="H170" s="9" t="str">
        <f ca="1">VLOOKUP(A170,[2]characters!$A:$K,11,FALSE)</f>
        <v>attack</v>
      </c>
      <c r="I170" s="14" t="str">
        <f ca="1">VLOOKUP(H170,[2]character_type_i18n!$A:$F,3,FALSE)</f>
        <v>攻撃タイプ</v>
      </c>
      <c r="J170" s="36">
        <f ca="1">VLOOKUP(H170,[2]character_type_i18n!$A:$F,4,FALSE)</f>
        <v>1</v>
      </c>
      <c r="K170" s="36">
        <f ca="1">VLOOKUP(H170,[2]character_type_i18n!$A:$F,5,FALSE)</f>
        <v>1.33</v>
      </c>
      <c r="L170" s="36">
        <f ca="1">VLOOKUP(H170,[2]character_type_i18n!$A:$F,6,FALSE)</f>
        <v>1</v>
      </c>
      <c r="M170" s="9" t="str">
        <f ca="1">VLOOKUP(A170,[2]characters!$A:$M,13,FALSE)</f>
        <v>god</v>
      </c>
      <c r="N170" s="14" t="str">
        <f ca="1">VLOOKUP(M170,[2]character_tribe_i18n!$A:$F,3,FALSE)</f>
        <v>ゴッド</v>
      </c>
      <c r="O170" s="24">
        <f ca="1">VLOOKUP(M170,[2]character_tribe_i18n!$A:$F,4,FALSE)</f>
        <v>0.96</v>
      </c>
      <c r="P170" s="24">
        <f ca="1">VLOOKUP(M170,[2]character_tribe_i18n!$A:$F,5,FALSE)</f>
        <v>1.02</v>
      </c>
      <c r="Q170" s="24">
        <f ca="1">VLOOKUP(M170,[2]character_tribe_i18n!$A:$F,6,FALSE)</f>
        <v>1</v>
      </c>
      <c r="R170" s="25" t="s">
        <v>4</v>
      </c>
      <c r="S170" s="24">
        <f>VLOOKUP($R170,ラベル別係数!$A$1:$E$7,3,FALSE)</f>
        <v>5</v>
      </c>
      <c r="T170" s="24">
        <f>VLOOKUP($R170,ラベル別係数!$A$1:$E$7,4,FALSE)</f>
        <v>1.3</v>
      </c>
      <c r="U170" s="24">
        <f>VLOOKUP($R170,ラベル別係数!$A$1:$E$7,5,FALSE)</f>
        <v>0.8</v>
      </c>
      <c r="V170" s="27">
        <v>2</v>
      </c>
      <c r="W170" s="28">
        <f>VLOOKUP(V170,ターン数別攻撃係数!$A$1:$B$1000,2,FALSE)</f>
        <v>0.75</v>
      </c>
      <c r="X170" s="10">
        <v>20</v>
      </c>
      <c r="Y170" s="26">
        <f>VLOOKUP($X170,サイズ別係数!$B:$E,2,FALSE)</f>
        <v>1.1000000000000001</v>
      </c>
      <c r="Z170" s="26">
        <f>VLOOKUP($X170,サイズ別係数!$B:$E,3,FALSE)</f>
        <v>1.2</v>
      </c>
      <c r="AA170" s="26">
        <f>VLOOKUP($X170,サイズ別係数!$B:$E,4,FALSE)</f>
        <v>1.2</v>
      </c>
      <c r="AB170" s="5">
        <v>169</v>
      </c>
      <c r="AC170" s="34" t="str">
        <f ca="1">VLOOKUP($AB170,OFFSET([3]enemy_skill_sets!$B$2,0,0,COUNTA([3]enemy_skill_sets!$A:$A),MATCH(AC$1,[3]enemy_skill_sets!$1:$1,0)-MATCH($AB$1,[3]enemy_skill_sets!$1:$1,0)+1),MATCH(AC$1,[3]enemy_skill_sets!$1:$1,0)-MATCH($AB$1,[3]enemy_skill_sets!$1:$1,0)+1,FALSE)</f>
        <v>2回連続攻撃</v>
      </c>
      <c r="AD170" s="27">
        <v>1</v>
      </c>
      <c r="AE170" s="37">
        <v>1</v>
      </c>
      <c r="AF170" s="37">
        <v>0</v>
      </c>
      <c r="AG170" s="28">
        <f ca="1">ROUND(VLOOKUP(1,enemy_base_stats!$A:$F,2,FALSE) * Y170* J170*O170*E170*S170*AD170*[2]ステータス!$B$2,0)</f>
        <v>2693</v>
      </c>
      <c r="AH170" s="28">
        <f ca="1">ROUND(VLOOKUP(1,enemy_base_stats!$A:$F,3,FALSE) * Z170*K170*P170*F170*T170*AE170 * W170*[2]ステータス!$C$2,0)</f>
        <v>233</v>
      </c>
      <c r="AI170" s="28">
        <f ca="1">ROUND(VLOOKUP(1,enemy_base_stats!$A:$F,4,FALSE) * AA170*L170*Q170*G170*U170*AF170*[2]ステータス!$D$2,0)</f>
        <v>0</v>
      </c>
      <c r="AJ170" s="28">
        <f ca="1">ROUND(VLOOKUP(100,enemy_base_stats!$A:$F,2,FALSE) * Y170* J170*O170*E170*S170*AD170*[2]ステータス!$B$2,0)</f>
        <v>109328</v>
      </c>
      <c r="AK170" s="28">
        <f ca="1">ROUND(VLOOKUP(100,enemy_base_stats!$A:$F,3,FALSE)* Z170* K170*P170*F170*T170*AE170 * W170*[2]ステータス!$C$2,0)</f>
        <v>9473</v>
      </c>
      <c r="AL170" s="28">
        <f ca="1">ROUND(VLOOKUP(100,enemy_base_stats!$A:$F,4,FALSE)* AA170* L170*Q170*G170*U170*AF170*[2]ステータス!$D$2,0)</f>
        <v>0</v>
      </c>
      <c r="AM170" s="24">
        <f ca="1">VLOOKUP(M170,[2]character_tribe_i18n!$A:$I,9,FALSE)</f>
        <v>680</v>
      </c>
      <c r="AN170" s="36">
        <v>0</v>
      </c>
      <c r="AO170" s="53">
        <v>0</v>
      </c>
      <c r="AP170" s="58" t="s">
        <v>72</v>
      </c>
      <c r="AQ170" s="71">
        <f t="shared" ca="1" si="4"/>
        <v>169</v>
      </c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</row>
    <row r="171" spans="1:60" s="3" customFormat="1" ht="21" customHeight="1" x14ac:dyDescent="0.15">
      <c r="A171" s="7">
        <f t="shared" ca="1" si="5"/>
        <v>170</v>
      </c>
      <c r="B171" s="6" t="str">
        <f ca="1">VLOOKUP(A171,[2]characters!$A:$C,3,FALSE)</f>
        <v>識徒 オセ</v>
      </c>
      <c r="C171" s="9">
        <f ca="1">VLOOKUP(A171,[2]characters!$A:$I,9,FALSE)</f>
        <v>4</v>
      </c>
      <c r="D171" s="9" t="str">
        <f ca="1">VLOOKUP(A171,[2]characters!$A:$H,8,FALSE)</f>
        <v>green</v>
      </c>
      <c r="E171" s="24">
        <f ca="1">VLOOKUP(D171,[2]属性!$A:$E,2,FALSE)</f>
        <v>1.02</v>
      </c>
      <c r="F171" s="24">
        <f ca="1">VLOOKUP(D171,[2]属性!$A:$E,3,FALSE)</f>
        <v>0.98</v>
      </c>
      <c r="G171" s="24">
        <f ca="1">VLOOKUP(D171,[2]属性!$A:$F,4,FALSE)</f>
        <v>1</v>
      </c>
      <c r="H171" s="9" t="str">
        <f ca="1">VLOOKUP(A171,[2]characters!$A:$K,11,FALSE)</f>
        <v>attack</v>
      </c>
      <c r="I171" s="14" t="str">
        <f ca="1">VLOOKUP(H171,[2]character_type_i18n!$A:$F,3,FALSE)</f>
        <v>攻撃タイプ</v>
      </c>
      <c r="J171" s="36">
        <f ca="1">VLOOKUP(H171,[2]character_type_i18n!$A:$F,4,FALSE)</f>
        <v>1</v>
      </c>
      <c r="K171" s="36">
        <f ca="1">VLOOKUP(H171,[2]character_type_i18n!$A:$F,5,FALSE)</f>
        <v>1.33</v>
      </c>
      <c r="L171" s="36">
        <f ca="1">VLOOKUP(H171,[2]character_type_i18n!$A:$F,6,FALSE)</f>
        <v>1</v>
      </c>
      <c r="M171" s="9" t="str">
        <f ca="1">VLOOKUP(A171,[2]characters!$A:$M,13,FALSE)</f>
        <v>god</v>
      </c>
      <c r="N171" s="14" t="str">
        <f ca="1">VLOOKUP(M171,[2]character_tribe_i18n!$A:$F,3,FALSE)</f>
        <v>ゴッド</v>
      </c>
      <c r="O171" s="24">
        <f ca="1">VLOOKUP(M171,[2]character_tribe_i18n!$A:$F,4,FALSE)</f>
        <v>0.96</v>
      </c>
      <c r="P171" s="24">
        <f ca="1">VLOOKUP(M171,[2]character_tribe_i18n!$A:$F,5,FALSE)</f>
        <v>1.02</v>
      </c>
      <c r="Q171" s="24">
        <f ca="1">VLOOKUP(M171,[2]character_tribe_i18n!$A:$F,6,FALSE)</f>
        <v>1</v>
      </c>
      <c r="R171" s="25" t="s">
        <v>4</v>
      </c>
      <c r="S171" s="24">
        <f>VLOOKUP($R171,ラベル別係数!$A$1:$E$7,3,FALSE)</f>
        <v>5</v>
      </c>
      <c r="T171" s="24">
        <f>VLOOKUP($R171,ラベル別係数!$A$1:$E$7,4,FALSE)</f>
        <v>1.3</v>
      </c>
      <c r="U171" s="24">
        <f>VLOOKUP($R171,ラベル別係数!$A$1:$E$7,5,FALSE)</f>
        <v>0.8</v>
      </c>
      <c r="V171" s="27">
        <v>2</v>
      </c>
      <c r="W171" s="28">
        <f>VLOOKUP(V171,ターン数別攻撃係数!$A$1:$B$1000,2,FALSE)</f>
        <v>0.75</v>
      </c>
      <c r="X171" s="10">
        <v>30</v>
      </c>
      <c r="Y171" s="26">
        <f>VLOOKUP($X171,サイズ別係数!$B:$E,2,FALSE)</f>
        <v>1.3</v>
      </c>
      <c r="Z171" s="26">
        <f>VLOOKUP($X171,サイズ別係数!$B:$E,3,FALSE)</f>
        <v>1.3</v>
      </c>
      <c r="AA171" s="26">
        <f>VLOOKUP($X171,サイズ別係数!$B:$E,4,FALSE)</f>
        <v>1.1000000000000001</v>
      </c>
      <c r="AB171" s="5">
        <v>0</v>
      </c>
      <c r="AC171" s="34" t="str">
        <f ca="1">VLOOKUP($AB171,OFFSET([3]enemy_skill_sets!$B$2,0,0,COUNTA([3]enemy_skill_sets!$A:$A),MATCH(AC$1,[3]enemy_skill_sets!$1:$1,0)-MATCH($AB$1,[3]enemy_skill_sets!$1:$1,0)+1),MATCH(AC$1,[3]enemy_skill_sets!$1:$1,0)-MATCH($AB$1,[3]enemy_skill_sets!$1:$1,0)+1,FALSE)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1" s="27">
        <v>1</v>
      </c>
      <c r="AE171" s="37">
        <v>1</v>
      </c>
      <c r="AF171" s="37">
        <v>0</v>
      </c>
      <c r="AG171" s="28">
        <f ca="1">ROUND(VLOOKUP(1,enemy_base_stats!$A:$F,2,FALSE) * Y171* J171*O171*E171*S171*AD171*[2]ステータス!$B$2,0)</f>
        <v>3182</v>
      </c>
      <c r="AH171" s="28">
        <f ca="1">ROUND(VLOOKUP(1,enemy_base_stats!$A:$F,3,FALSE) * Z171*K171*P171*F171*T171*AE171 * W171*[2]ステータス!$C$2,0)</f>
        <v>253</v>
      </c>
      <c r="AI171" s="28">
        <f ca="1">ROUND(VLOOKUP(1,enemy_base_stats!$A:$F,4,FALSE) * AA171*L171*Q171*G171*U171*AF171*[2]ステータス!$D$2,0)</f>
        <v>0</v>
      </c>
      <c r="AJ171" s="28">
        <f ca="1">ROUND(VLOOKUP(100,enemy_base_stats!$A:$F,2,FALSE) * Y171* J171*O171*E171*S171*AD171*[2]ステータス!$B$2,0)</f>
        <v>129205</v>
      </c>
      <c r="AK171" s="28">
        <f ca="1">ROUND(VLOOKUP(100,enemy_base_stats!$A:$F,3,FALSE)* Z171* K171*P171*F171*T171*AE171 * W171*[2]ステータス!$C$2,0)</f>
        <v>10262</v>
      </c>
      <c r="AL171" s="28">
        <f ca="1">ROUND(VLOOKUP(100,enemy_base_stats!$A:$F,4,FALSE)* AA171* L171*Q171*G171*U171*AF171*[2]ステータス!$D$2,0)</f>
        <v>0</v>
      </c>
      <c r="AM171" s="24">
        <f ca="1">VLOOKUP(M171,[2]character_tribe_i18n!$A:$I,9,FALSE)</f>
        <v>680</v>
      </c>
      <c r="AN171" s="36">
        <v>0</v>
      </c>
      <c r="AO171" s="53">
        <v>0</v>
      </c>
      <c r="AP171" s="58" t="s">
        <v>72</v>
      </c>
      <c r="AQ171" s="71">
        <f t="shared" ca="1" si="4"/>
        <v>170</v>
      </c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</row>
    <row r="172" spans="1:60" s="3" customFormat="1" ht="21" customHeight="1" x14ac:dyDescent="0.15">
      <c r="A172" s="7">
        <f t="shared" ca="1" si="5"/>
        <v>171</v>
      </c>
      <c r="B172" s="6" t="str">
        <f ca="1">VLOOKUP(A172,[2]characters!$A:$C,3,FALSE)</f>
        <v>精解の預知者 オセ</v>
      </c>
      <c r="C172" s="9">
        <f ca="1">VLOOKUP(A172,[2]characters!$A:$I,9,FALSE)</f>
        <v>5</v>
      </c>
      <c r="D172" s="9" t="str">
        <f ca="1">VLOOKUP(A172,[2]characters!$A:$H,8,FALSE)</f>
        <v>green</v>
      </c>
      <c r="E172" s="24">
        <f ca="1">VLOOKUP(D172,[2]属性!$A:$E,2,FALSE)</f>
        <v>1.02</v>
      </c>
      <c r="F172" s="24">
        <f ca="1">VLOOKUP(D172,[2]属性!$A:$E,3,FALSE)</f>
        <v>0.98</v>
      </c>
      <c r="G172" s="24">
        <f ca="1">VLOOKUP(D172,[2]属性!$A:$F,4,FALSE)</f>
        <v>1</v>
      </c>
      <c r="H172" s="9" t="str">
        <f ca="1">VLOOKUP(A172,[2]characters!$A:$K,11,FALSE)</f>
        <v>attack</v>
      </c>
      <c r="I172" s="14" t="str">
        <f ca="1">VLOOKUP(H172,[2]character_type_i18n!$A:$F,3,FALSE)</f>
        <v>攻撃タイプ</v>
      </c>
      <c r="J172" s="36">
        <f ca="1">VLOOKUP(H172,[2]character_type_i18n!$A:$F,4,FALSE)</f>
        <v>1</v>
      </c>
      <c r="K172" s="36">
        <f ca="1">VLOOKUP(H172,[2]character_type_i18n!$A:$F,5,FALSE)</f>
        <v>1.33</v>
      </c>
      <c r="L172" s="36">
        <f ca="1">VLOOKUP(H172,[2]character_type_i18n!$A:$F,6,FALSE)</f>
        <v>1</v>
      </c>
      <c r="M172" s="9" t="str">
        <f ca="1">VLOOKUP(A172,[2]characters!$A:$M,13,FALSE)</f>
        <v>god</v>
      </c>
      <c r="N172" s="14" t="str">
        <f ca="1">VLOOKUP(M172,[2]character_tribe_i18n!$A:$F,3,FALSE)</f>
        <v>ゴッド</v>
      </c>
      <c r="O172" s="24">
        <f ca="1">VLOOKUP(M172,[2]character_tribe_i18n!$A:$F,4,FALSE)</f>
        <v>0.96</v>
      </c>
      <c r="P172" s="24">
        <f ca="1">VLOOKUP(M172,[2]character_tribe_i18n!$A:$F,5,FALSE)</f>
        <v>1.02</v>
      </c>
      <c r="Q172" s="24">
        <f ca="1">VLOOKUP(M172,[2]character_tribe_i18n!$A:$F,6,FALSE)</f>
        <v>1</v>
      </c>
      <c r="R172" s="25" t="s">
        <v>4</v>
      </c>
      <c r="S172" s="24">
        <f>VLOOKUP($R172,ラベル別係数!$A$1:$E$7,3,FALSE)</f>
        <v>5</v>
      </c>
      <c r="T172" s="24">
        <f>VLOOKUP($R172,ラベル別係数!$A$1:$E$7,4,FALSE)</f>
        <v>1.3</v>
      </c>
      <c r="U172" s="24">
        <f>VLOOKUP($R172,ラベル別係数!$A$1:$E$7,5,FALSE)</f>
        <v>0.8</v>
      </c>
      <c r="V172" s="27">
        <v>2</v>
      </c>
      <c r="W172" s="28">
        <f>VLOOKUP(V172,ターン数別攻撃係数!$A$1:$B$1000,2,FALSE)</f>
        <v>0.75</v>
      </c>
      <c r="X172" s="10">
        <v>60</v>
      </c>
      <c r="Y172" s="26">
        <f>VLOOKUP($X172,サイズ別係数!$B:$E,2,FALSE)</f>
        <v>1.7</v>
      </c>
      <c r="Z172" s="26">
        <f>VLOOKUP($X172,サイズ別係数!$B:$E,3,FALSE)</f>
        <v>1.4</v>
      </c>
      <c r="AA172" s="26">
        <f>VLOOKUP($X172,サイズ別係数!$B:$E,4,FALSE)</f>
        <v>1</v>
      </c>
      <c r="AB172" s="5">
        <v>0</v>
      </c>
      <c r="AC172" s="34" t="str">
        <f ca="1">VLOOKUP($AB172,OFFSET([3]enemy_skill_sets!$B$2,0,0,COUNTA([3]enemy_skill_sets!$A:$A),MATCH(AC$1,[3]enemy_skill_sets!$1:$1,0)-MATCH($AB$1,[3]enemy_skill_sets!$1:$1,0)+1),MATCH(AC$1,[3]enemy_skill_sets!$1:$1,0)-MATCH($AB$1,[3]enemy_skill_sets!$1:$1,0)+1,FALSE)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2" s="27">
        <v>1</v>
      </c>
      <c r="AE172" s="37">
        <v>1</v>
      </c>
      <c r="AF172" s="37">
        <v>0</v>
      </c>
      <c r="AG172" s="28">
        <f ca="1">ROUND(VLOOKUP(1,enemy_base_stats!$A:$F,2,FALSE) * Y172* J172*O172*E172*S172*AD172*[2]ステータス!$B$2,0)</f>
        <v>4162</v>
      </c>
      <c r="AH172" s="28">
        <f ca="1">ROUND(VLOOKUP(1,enemy_base_stats!$A:$F,3,FALSE) * Z172*K172*P172*F172*T172*AE172 * W172*[2]ステータス!$C$2,0)</f>
        <v>272</v>
      </c>
      <c r="AI172" s="28">
        <f ca="1">ROUND(VLOOKUP(1,enemy_base_stats!$A:$F,4,FALSE) * AA172*L172*Q172*G172*U172*AF172*[2]ステータス!$D$2,0)</f>
        <v>0</v>
      </c>
      <c r="AJ172" s="28">
        <f ca="1">ROUND(VLOOKUP(100,enemy_base_stats!$A:$F,2,FALSE) * Y172* J172*O172*E172*S172*AD172*[2]ステータス!$B$2,0)</f>
        <v>168961</v>
      </c>
      <c r="AK172" s="28">
        <f ca="1">ROUND(VLOOKUP(100,enemy_base_stats!$A:$F,3,FALSE)* Z172* K172*P172*F172*T172*AE172 * W172*[2]ステータス!$C$2,0)</f>
        <v>11052</v>
      </c>
      <c r="AL172" s="28">
        <f ca="1">ROUND(VLOOKUP(100,enemy_base_stats!$A:$F,4,FALSE)* AA172* L172*Q172*G172*U172*AF172*[2]ステータス!$D$2,0)</f>
        <v>0</v>
      </c>
      <c r="AM172" s="24">
        <f ca="1">VLOOKUP(M172,[2]character_tribe_i18n!$A:$I,9,FALSE)</f>
        <v>680</v>
      </c>
      <c r="AN172" s="36">
        <v>0</v>
      </c>
      <c r="AO172" s="53">
        <v>0</v>
      </c>
      <c r="AP172" s="58" t="s">
        <v>72</v>
      </c>
      <c r="AQ172" s="71">
        <f t="shared" ca="1" si="4"/>
        <v>171</v>
      </c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</row>
    <row r="173" spans="1:60" s="3" customFormat="1" ht="21" customHeight="1" x14ac:dyDescent="0.15">
      <c r="A173" s="7">
        <f t="shared" ca="1" si="5"/>
        <v>172</v>
      </c>
      <c r="B173" s="6" t="str">
        <f ca="1">VLOOKUP(A173,[2]characters!$A:$C,3,FALSE)</f>
        <v>フォルネウス</v>
      </c>
      <c r="C173" s="9">
        <f ca="1">VLOOKUP(A173,[2]characters!$A:$I,9,FALSE)</f>
        <v>3</v>
      </c>
      <c r="D173" s="9" t="str">
        <f ca="1">VLOOKUP(A173,[2]characters!$A:$H,8,FALSE)</f>
        <v>blue</v>
      </c>
      <c r="E173" s="24">
        <f ca="1">VLOOKUP(D173,[2]属性!$A:$E,2,FALSE)</f>
        <v>1</v>
      </c>
      <c r="F173" s="24">
        <f ca="1">VLOOKUP(D173,[2]属性!$A:$E,3,FALSE)</f>
        <v>0.98</v>
      </c>
      <c r="G173" s="24">
        <f ca="1">VLOOKUP(D173,[2]属性!$A:$F,4,FALSE)</f>
        <v>1</v>
      </c>
      <c r="H173" s="9" t="str">
        <f ca="1">VLOOKUP(A173,[2]characters!$A:$K,11,FALSE)</f>
        <v>attack</v>
      </c>
      <c r="I173" s="14" t="str">
        <f ca="1">VLOOKUP(H173,[2]character_type_i18n!$A:$F,3,FALSE)</f>
        <v>攻撃タイプ</v>
      </c>
      <c r="J173" s="36">
        <f ca="1">VLOOKUP(H173,[2]character_type_i18n!$A:$F,4,FALSE)</f>
        <v>1</v>
      </c>
      <c r="K173" s="36">
        <f ca="1">VLOOKUP(H173,[2]character_type_i18n!$A:$F,5,FALSE)</f>
        <v>1.33</v>
      </c>
      <c r="L173" s="36">
        <f ca="1">VLOOKUP(H173,[2]character_type_i18n!$A:$F,6,FALSE)</f>
        <v>1</v>
      </c>
      <c r="M173" s="9" t="str">
        <f ca="1">VLOOKUP(A173,[2]characters!$A:$M,13,FALSE)</f>
        <v>god</v>
      </c>
      <c r="N173" s="14" t="str">
        <f ca="1">VLOOKUP(M173,[2]character_tribe_i18n!$A:$F,3,FALSE)</f>
        <v>ゴッド</v>
      </c>
      <c r="O173" s="24">
        <f ca="1">VLOOKUP(M173,[2]character_tribe_i18n!$A:$F,4,FALSE)</f>
        <v>0.96</v>
      </c>
      <c r="P173" s="24">
        <f ca="1">VLOOKUP(M173,[2]character_tribe_i18n!$A:$F,5,FALSE)</f>
        <v>1.02</v>
      </c>
      <c r="Q173" s="24">
        <f ca="1">VLOOKUP(M173,[2]character_tribe_i18n!$A:$F,6,FALSE)</f>
        <v>1</v>
      </c>
      <c r="R173" s="25" t="s">
        <v>4</v>
      </c>
      <c r="S173" s="24">
        <f>VLOOKUP($R173,ラベル別係数!$A$1:$E$7,3,FALSE)</f>
        <v>5</v>
      </c>
      <c r="T173" s="24">
        <f>VLOOKUP($R173,ラベル別係数!$A$1:$E$7,4,FALSE)</f>
        <v>1.3</v>
      </c>
      <c r="U173" s="24">
        <f>VLOOKUP($R173,ラベル別係数!$A$1:$E$7,5,FALSE)</f>
        <v>0.8</v>
      </c>
      <c r="V173" s="27">
        <v>2</v>
      </c>
      <c r="W173" s="28">
        <f>VLOOKUP(V173,ターン数別攻撃係数!$A$1:$B$1000,2,FALSE)</f>
        <v>0.75</v>
      </c>
      <c r="X173" s="10">
        <v>20</v>
      </c>
      <c r="Y173" s="26">
        <f>VLOOKUP($X173,サイズ別係数!$B:$E,2,FALSE)</f>
        <v>1.1000000000000001</v>
      </c>
      <c r="Z173" s="26">
        <f>VLOOKUP($X173,サイズ別係数!$B:$E,3,FALSE)</f>
        <v>1.2</v>
      </c>
      <c r="AA173" s="26">
        <f>VLOOKUP($X173,サイズ別係数!$B:$E,4,FALSE)</f>
        <v>1.2</v>
      </c>
      <c r="AB173" s="5">
        <v>172</v>
      </c>
      <c r="AC173" s="34" t="str">
        <f ca="1">VLOOKUP($AB173,OFFSET([3]enemy_skill_sets!$B$2,0,0,COUNTA([3]enemy_skill_sets!$A:$A),MATCH(AC$1,[3]enemy_skill_sets!$1:$1,0)-MATCH($AB$1,[3]enemy_skill_sets!$1:$1,0)+1),MATCH(AC$1,[3]enemy_skill_sets!$1:$1,0)-MATCH($AB$1,[3]enemy_skill_sets!$1:$1,0)+1,FALSE)</f>
        <v>少しだけお邪魔パネル出現</v>
      </c>
      <c r="AD173" s="27">
        <v>1</v>
      </c>
      <c r="AE173" s="37">
        <v>1</v>
      </c>
      <c r="AF173" s="37">
        <v>0</v>
      </c>
      <c r="AG173" s="28">
        <f ca="1">ROUND(VLOOKUP(1,enemy_base_stats!$A:$F,2,FALSE) * Y173* J173*O173*E173*S173*AD173*[2]ステータス!$B$2,0)</f>
        <v>2640</v>
      </c>
      <c r="AH173" s="28">
        <f ca="1">ROUND(VLOOKUP(1,enemy_base_stats!$A:$F,3,FALSE) * Z173*K173*P173*F173*T173*AE173 * W173*[2]ステータス!$C$2,0)</f>
        <v>233</v>
      </c>
      <c r="AI173" s="28">
        <f ca="1">ROUND(VLOOKUP(1,enemy_base_stats!$A:$F,4,FALSE) * AA173*L173*Q173*G173*U173*AF173*[2]ステータス!$D$2,0)</f>
        <v>0</v>
      </c>
      <c r="AJ173" s="28">
        <f ca="1">ROUND(VLOOKUP(100,enemy_base_stats!$A:$F,2,FALSE) * Y173* J173*O173*E173*S173*AD173*[2]ステータス!$B$2,0)</f>
        <v>107184</v>
      </c>
      <c r="AK173" s="28">
        <f ca="1">ROUND(VLOOKUP(100,enemy_base_stats!$A:$F,3,FALSE)* Z173* K173*P173*F173*T173*AE173 * W173*[2]ステータス!$C$2,0)</f>
        <v>9473</v>
      </c>
      <c r="AL173" s="28">
        <f ca="1">ROUND(VLOOKUP(100,enemy_base_stats!$A:$F,4,FALSE)* AA173* L173*Q173*G173*U173*AF173*[2]ステータス!$D$2,0)</f>
        <v>0</v>
      </c>
      <c r="AM173" s="24">
        <f ca="1">VLOOKUP(M173,[2]character_tribe_i18n!$A:$I,9,FALSE)</f>
        <v>680</v>
      </c>
      <c r="AN173" s="36">
        <v>0</v>
      </c>
      <c r="AO173" s="53">
        <v>0</v>
      </c>
      <c r="AP173" s="58" t="s">
        <v>72</v>
      </c>
      <c r="AQ173" s="71">
        <f t="shared" ca="1" si="4"/>
        <v>172</v>
      </c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</row>
    <row r="174" spans="1:60" s="3" customFormat="1" ht="21" customHeight="1" x14ac:dyDescent="0.15">
      <c r="A174" s="7">
        <f t="shared" ca="1" si="5"/>
        <v>173</v>
      </c>
      <c r="B174" s="6" t="str">
        <f ca="1">VLOOKUP(A174,[2]characters!$A:$C,3,FALSE)</f>
        <v>公爵 フォルネウス</v>
      </c>
      <c r="C174" s="9">
        <f ca="1">VLOOKUP(A174,[2]characters!$A:$I,9,FALSE)</f>
        <v>4</v>
      </c>
      <c r="D174" s="9" t="str">
        <f ca="1">VLOOKUP(A174,[2]characters!$A:$H,8,FALSE)</f>
        <v>blue</v>
      </c>
      <c r="E174" s="24">
        <f ca="1">VLOOKUP(D174,[2]属性!$A:$E,2,FALSE)</f>
        <v>1</v>
      </c>
      <c r="F174" s="24">
        <f ca="1">VLOOKUP(D174,[2]属性!$A:$E,3,FALSE)</f>
        <v>0.98</v>
      </c>
      <c r="G174" s="24">
        <f ca="1">VLOOKUP(D174,[2]属性!$A:$F,4,FALSE)</f>
        <v>1</v>
      </c>
      <c r="H174" s="9" t="str">
        <f ca="1">VLOOKUP(A174,[2]characters!$A:$K,11,FALSE)</f>
        <v>attack</v>
      </c>
      <c r="I174" s="14" t="str">
        <f ca="1">VLOOKUP(H174,[2]character_type_i18n!$A:$F,3,FALSE)</f>
        <v>攻撃タイプ</v>
      </c>
      <c r="J174" s="36">
        <f ca="1">VLOOKUP(H174,[2]character_type_i18n!$A:$F,4,FALSE)</f>
        <v>1</v>
      </c>
      <c r="K174" s="36">
        <f ca="1">VLOOKUP(H174,[2]character_type_i18n!$A:$F,5,FALSE)</f>
        <v>1.33</v>
      </c>
      <c r="L174" s="36">
        <f ca="1">VLOOKUP(H174,[2]character_type_i18n!$A:$F,6,FALSE)</f>
        <v>1</v>
      </c>
      <c r="M174" s="9" t="str">
        <f ca="1">VLOOKUP(A174,[2]characters!$A:$M,13,FALSE)</f>
        <v>god</v>
      </c>
      <c r="N174" s="14" t="str">
        <f ca="1">VLOOKUP(M174,[2]character_tribe_i18n!$A:$F,3,FALSE)</f>
        <v>ゴッド</v>
      </c>
      <c r="O174" s="24">
        <f ca="1">VLOOKUP(M174,[2]character_tribe_i18n!$A:$F,4,FALSE)</f>
        <v>0.96</v>
      </c>
      <c r="P174" s="24">
        <f ca="1">VLOOKUP(M174,[2]character_tribe_i18n!$A:$F,5,FALSE)</f>
        <v>1.02</v>
      </c>
      <c r="Q174" s="24">
        <f ca="1">VLOOKUP(M174,[2]character_tribe_i18n!$A:$F,6,FALSE)</f>
        <v>1</v>
      </c>
      <c r="R174" s="25" t="s">
        <v>4</v>
      </c>
      <c r="S174" s="24">
        <f>VLOOKUP($R174,ラベル別係数!$A$1:$E$7,3,FALSE)</f>
        <v>5</v>
      </c>
      <c r="T174" s="24">
        <f>VLOOKUP($R174,ラベル別係数!$A$1:$E$7,4,FALSE)</f>
        <v>1.3</v>
      </c>
      <c r="U174" s="24">
        <f>VLOOKUP($R174,ラベル別係数!$A$1:$E$7,5,FALSE)</f>
        <v>0.8</v>
      </c>
      <c r="V174" s="27">
        <v>2</v>
      </c>
      <c r="W174" s="28">
        <f>VLOOKUP(V174,ターン数別攻撃係数!$A$1:$B$1000,2,FALSE)</f>
        <v>0.75</v>
      </c>
      <c r="X174" s="10">
        <v>30</v>
      </c>
      <c r="Y174" s="26">
        <f>VLOOKUP($X174,サイズ別係数!$B:$E,2,FALSE)</f>
        <v>1.3</v>
      </c>
      <c r="Z174" s="26">
        <f>VLOOKUP($X174,サイズ別係数!$B:$E,3,FALSE)</f>
        <v>1.3</v>
      </c>
      <c r="AA174" s="26">
        <f>VLOOKUP($X174,サイズ別係数!$B:$E,4,FALSE)</f>
        <v>1.1000000000000001</v>
      </c>
      <c r="AB174" s="5">
        <v>0</v>
      </c>
      <c r="AC174" s="34" t="str">
        <f ca="1">VLOOKUP($AB174,OFFSET([3]enemy_skill_sets!$B$2,0,0,COUNTA([3]enemy_skill_sets!$A:$A),MATCH(AC$1,[3]enemy_skill_sets!$1:$1,0)-MATCH($AB$1,[3]enemy_skill_sets!$1:$1,0)+1),MATCH(AC$1,[3]enemy_skill_sets!$1:$1,0)-MATCH($AB$1,[3]enemy_skill_sets!$1:$1,0)+1,FALSE)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4" s="27">
        <v>1</v>
      </c>
      <c r="AE174" s="37">
        <v>1</v>
      </c>
      <c r="AF174" s="37">
        <v>0</v>
      </c>
      <c r="AG174" s="28">
        <f ca="1">ROUND(VLOOKUP(1,enemy_base_stats!$A:$F,2,FALSE) * Y174* J174*O174*E174*S174*AD174*[2]ステータス!$B$2,0)</f>
        <v>3120</v>
      </c>
      <c r="AH174" s="28">
        <f ca="1">ROUND(VLOOKUP(1,enemy_base_stats!$A:$F,3,FALSE) * Z174*K174*P174*F174*T174*AE174 * W174*[2]ステータス!$C$2,0)</f>
        <v>253</v>
      </c>
      <c r="AI174" s="28">
        <f ca="1">ROUND(VLOOKUP(1,enemy_base_stats!$A:$F,4,FALSE) * AA174*L174*Q174*G174*U174*AF174*[2]ステータス!$D$2,0)</f>
        <v>0</v>
      </c>
      <c r="AJ174" s="28">
        <f ca="1">ROUND(VLOOKUP(100,enemy_base_stats!$A:$F,2,FALSE) * Y174* J174*O174*E174*S174*AD174*[2]ステータス!$B$2,0)</f>
        <v>126672</v>
      </c>
      <c r="AK174" s="28">
        <f ca="1">ROUND(VLOOKUP(100,enemy_base_stats!$A:$F,3,FALSE)* Z174* K174*P174*F174*T174*AE174 * W174*[2]ステータス!$C$2,0)</f>
        <v>10262</v>
      </c>
      <c r="AL174" s="28">
        <f ca="1">ROUND(VLOOKUP(100,enemy_base_stats!$A:$F,4,FALSE)* AA174* L174*Q174*G174*U174*AF174*[2]ステータス!$D$2,0)</f>
        <v>0</v>
      </c>
      <c r="AM174" s="24">
        <f ca="1">VLOOKUP(M174,[2]character_tribe_i18n!$A:$I,9,FALSE)</f>
        <v>680</v>
      </c>
      <c r="AN174" s="36">
        <v>0</v>
      </c>
      <c r="AO174" s="53">
        <v>0</v>
      </c>
      <c r="AP174" s="58" t="s">
        <v>72</v>
      </c>
      <c r="AQ174" s="71">
        <f t="shared" ca="1" si="4"/>
        <v>173</v>
      </c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8"/>
      <c r="BC174" s="18"/>
      <c r="BD174" s="18"/>
      <c r="BE174" s="18"/>
      <c r="BF174" s="18"/>
      <c r="BG174" s="18"/>
      <c r="BH174" s="18"/>
    </row>
    <row r="175" spans="1:60" s="3" customFormat="1" ht="21" customHeight="1" x14ac:dyDescent="0.15">
      <c r="A175" s="7">
        <f t="shared" ca="1" si="5"/>
        <v>174</v>
      </c>
      <c r="B175" s="6" t="str">
        <f ca="1">VLOOKUP(A175,[2]characters!$A:$C,3,FALSE)</f>
        <v>偽愛の大公爵 フォルネウス</v>
      </c>
      <c r="C175" s="9">
        <f ca="1">VLOOKUP(A175,[2]characters!$A:$I,9,FALSE)</f>
        <v>5</v>
      </c>
      <c r="D175" s="9" t="str">
        <f ca="1">VLOOKUP(A175,[2]characters!$A:$H,8,FALSE)</f>
        <v>blue</v>
      </c>
      <c r="E175" s="24">
        <f ca="1">VLOOKUP(D175,[2]属性!$A:$E,2,FALSE)</f>
        <v>1</v>
      </c>
      <c r="F175" s="24">
        <f ca="1">VLOOKUP(D175,[2]属性!$A:$E,3,FALSE)</f>
        <v>0.98</v>
      </c>
      <c r="G175" s="24">
        <f ca="1">VLOOKUP(D175,[2]属性!$A:$F,4,FALSE)</f>
        <v>1</v>
      </c>
      <c r="H175" s="9" t="str">
        <f ca="1">VLOOKUP(A175,[2]characters!$A:$K,11,FALSE)</f>
        <v>attack</v>
      </c>
      <c r="I175" s="14" t="str">
        <f ca="1">VLOOKUP(H175,[2]character_type_i18n!$A:$F,3,FALSE)</f>
        <v>攻撃タイプ</v>
      </c>
      <c r="J175" s="36">
        <f ca="1">VLOOKUP(H175,[2]character_type_i18n!$A:$F,4,FALSE)</f>
        <v>1</v>
      </c>
      <c r="K175" s="36">
        <f ca="1">VLOOKUP(H175,[2]character_type_i18n!$A:$F,5,FALSE)</f>
        <v>1.33</v>
      </c>
      <c r="L175" s="36">
        <f ca="1">VLOOKUP(H175,[2]character_type_i18n!$A:$F,6,FALSE)</f>
        <v>1</v>
      </c>
      <c r="M175" s="9" t="str">
        <f ca="1">VLOOKUP(A175,[2]characters!$A:$M,13,FALSE)</f>
        <v>god</v>
      </c>
      <c r="N175" s="14" t="str">
        <f ca="1">VLOOKUP(M175,[2]character_tribe_i18n!$A:$F,3,FALSE)</f>
        <v>ゴッド</v>
      </c>
      <c r="O175" s="24">
        <f ca="1">VLOOKUP(M175,[2]character_tribe_i18n!$A:$F,4,FALSE)</f>
        <v>0.96</v>
      </c>
      <c r="P175" s="24">
        <f ca="1">VLOOKUP(M175,[2]character_tribe_i18n!$A:$F,5,FALSE)</f>
        <v>1.02</v>
      </c>
      <c r="Q175" s="24">
        <f ca="1">VLOOKUP(M175,[2]character_tribe_i18n!$A:$F,6,FALSE)</f>
        <v>1</v>
      </c>
      <c r="R175" s="25" t="s">
        <v>4</v>
      </c>
      <c r="S175" s="24">
        <f>VLOOKUP($R175,ラベル別係数!$A$1:$E$7,3,FALSE)</f>
        <v>5</v>
      </c>
      <c r="T175" s="24">
        <f>VLOOKUP($R175,ラベル別係数!$A$1:$E$7,4,FALSE)</f>
        <v>1.3</v>
      </c>
      <c r="U175" s="24">
        <f>VLOOKUP($R175,ラベル別係数!$A$1:$E$7,5,FALSE)</f>
        <v>0.8</v>
      </c>
      <c r="V175" s="27">
        <v>2</v>
      </c>
      <c r="W175" s="28">
        <f>VLOOKUP(V175,ターン数別攻撃係数!$A$1:$B$1000,2,FALSE)</f>
        <v>0.75</v>
      </c>
      <c r="X175" s="10">
        <v>60</v>
      </c>
      <c r="Y175" s="26">
        <f>VLOOKUP($X175,サイズ別係数!$B:$E,2,FALSE)</f>
        <v>1.7</v>
      </c>
      <c r="Z175" s="26">
        <f>VLOOKUP($X175,サイズ別係数!$B:$E,3,FALSE)</f>
        <v>1.4</v>
      </c>
      <c r="AA175" s="26">
        <f>VLOOKUP($X175,サイズ別係数!$B:$E,4,FALSE)</f>
        <v>1</v>
      </c>
      <c r="AB175" s="5">
        <v>0</v>
      </c>
      <c r="AC175" s="34" t="str">
        <f ca="1">VLOOKUP($AB175,OFFSET([3]enemy_skill_sets!$B$2,0,0,COUNTA([3]enemy_skill_sets!$A:$A),MATCH(AC$1,[3]enemy_skill_sets!$1:$1,0)-MATCH($AB$1,[3]enemy_skill_sets!$1:$1,0)+1),MATCH(AC$1,[3]enemy_skill_sets!$1:$1,0)-MATCH($AB$1,[3]enemy_skill_sets!$1:$1,0)+1,FALSE)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5" s="27">
        <v>1</v>
      </c>
      <c r="AE175" s="37">
        <v>1</v>
      </c>
      <c r="AF175" s="37">
        <v>0</v>
      </c>
      <c r="AG175" s="28">
        <f ca="1">ROUND(VLOOKUP(1,enemy_base_stats!$A:$F,2,FALSE) * Y175* J175*O175*E175*S175*AD175*[2]ステータス!$B$2,0)</f>
        <v>4080</v>
      </c>
      <c r="AH175" s="28">
        <f ca="1">ROUND(VLOOKUP(1,enemy_base_stats!$A:$F,3,FALSE) * Z175*K175*P175*F175*T175*AE175 * W175*[2]ステータス!$C$2,0)</f>
        <v>272</v>
      </c>
      <c r="AI175" s="28">
        <f ca="1">ROUND(VLOOKUP(1,enemy_base_stats!$A:$F,4,FALSE) * AA175*L175*Q175*G175*U175*AF175*[2]ステータス!$D$2,0)</f>
        <v>0</v>
      </c>
      <c r="AJ175" s="28">
        <f ca="1">ROUND(VLOOKUP(100,enemy_base_stats!$A:$F,2,FALSE) * Y175* J175*O175*E175*S175*AD175*[2]ステータス!$B$2,0)</f>
        <v>165648</v>
      </c>
      <c r="AK175" s="28">
        <f ca="1">ROUND(VLOOKUP(100,enemy_base_stats!$A:$F,3,FALSE)* Z175* K175*P175*F175*T175*AE175 * W175*[2]ステータス!$C$2,0)</f>
        <v>11052</v>
      </c>
      <c r="AL175" s="28">
        <f ca="1">ROUND(VLOOKUP(100,enemy_base_stats!$A:$F,4,FALSE)* AA175* L175*Q175*G175*U175*AF175*[2]ステータス!$D$2,0)</f>
        <v>0</v>
      </c>
      <c r="AM175" s="24">
        <f ca="1">VLOOKUP(M175,[2]character_tribe_i18n!$A:$I,9,FALSE)</f>
        <v>680</v>
      </c>
      <c r="AN175" s="36">
        <v>0</v>
      </c>
      <c r="AO175" s="53">
        <v>0</v>
      </c>
      <c r="AP175" s="58" t="s">
        <v>72</v>
      </c>
      <c r="AQ175" s="71">
        <f t="shared" ca="1" si="4"/>
        <v>174</v>
      </c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</row>
    <row r="176" spans="1:60" s="3" customFormat="1" ht="21" customHeight="1" x14ac:dyDescent="0.15">
      <c r="A176" s="7">
        <f t="shared" ca="1" si="5"/>
        <v>175</v>
      </c>
      <c r="B176" s="6" t="str">
        <f ca="1">VLOOKUP(A176,[2]characters!$A:$C,3,FALSE)</f>
        <v>バフォメット</v>
      </c>
      <c r="C176" s="9">
        <f ca="1">VLOOKUP(A176,[2]characters!$A:$I,9,FALSE)</f>
        <v>3</v>
      </c>
      <c r="D176" s="9" t="str">
        <f ca="1">VLOOKUP(A176,[2]characters!$A:$H,8,FALSE)</f>
        <v>yellow</v>
      </c>
      <c r="E176" s="24">
        <f ca="1">VLOOKUP(D176,[2]属性!$A:$E,2,FALSE)</f>
        <v>0.98</v>
      </c>
      <c r="F176" s="24">
        <f ca="1">VLOOKUP(D176,[2]属性!$A:$E,3,FALSE)</f>
        <v>1.01</v>
      </c>
      <c r="G176" s="24">
        <f ca="1">VLOOKUP(D176,[2]属性!$A:$F,4,FALSE)</f>
        <v>1</v>
      </c>
      <c r="H176" s="9" t="str">
        <f ca="1">VLOOKUP(A176,[2]characters!$A:$K,11,FALSE)</f>
        <v>attack</v>
      </c>
      <c r="I176" s="14" t="str">
        <f ca="1">VLOOKUP(H176,[2]character_type_i18n!$A:$F,3,FALSE)</f>
        <v>攻撃タイプ</v>
      </c>
      <c r="J176" s="36">
        <f ca="1">VLOOKUP(H176,[2]character_type_i18n!$A:$F,4,FALSE)</f>
        <v>1</v>
      </c>
      <c r="K176" s="36">
        <f ca="1">VLOOKUP(H176,[2]character_type_i18n!$A:$F,5,FALSE)</f>
        <v>1.33</v>
      </c>
      <c r="L176" s="36">
        <f ca="1">VLOOKUP(H176,[2]character_type_i18n!$A:$F,6,FALSE)</f>
        <v>1</v>
      </c>
      <c r="M176" s="9" t="str">
        <f ca="1">VLOOKUP(A176,[2]characters!$A:$M,13,FALSE)</f>
        <v>god</v>
      </c>
      <c r="N176" s="14" t="str">
        <f ca="1">VLOOKUP(M176,[2]character_tribe_i18n!$A:$F,3,FALSE)</f>
        <v>ゴッド</v>
      </c>
      <c r="O176" s="24">
        <f ca="1">VLOOKUP(M176,[2]character_tribe_i18n!$A:$F,4,FALSE)</f>
        <v>0.96</v>
      </c>
      <c r="P176" s="24">
        <f ca="1">VLOOKUP(M176,[2]character_tribe_i18n!$A:$F,5,FALSE)</f>
        <v>1.02</v>
      </c>
      <c r="Q176" s="24">
        <f ca="1">VLOOKUP(M176,[2]character_tribe_i18n!$A:$F,6,FALSE)</f>
        <v>1</v>
      </c>
      <c r="R176" s="25" t="s">
        <v>4</v>
      </c>
      <c r="S176" s="24">
        <f>VLOOKUP($R176,ラベル別係数!$A$1:$E$7,3,FALSE)</f>
        <v>5</v>
      </c>
      <c r="T176" s="24">
        <f>VLOOKUP($R176,ラベル別係数!$A$1:$E$7,4,FALSE)</f>
        <v>1.3</v>
      </c>
      <c r="U176" s="24">
        <f>VLOOKUP($R176,ラベル別係数!$A$1:$E$7,5,FALSE)</f>
        <v>0.8</v>
      </c>
      <c r="V176" s="27">
        <v>2</v>
      </c>
      <c r="W176" s="28">
        <f>VLOOKUP(V176,ターン数別攻撃係数!$A$1:$B$1000,2,FALSE)</f>
        <v>0.75</v>
      </c>
      <c r="X176" s="10">
        <v>20</v>
      </c>
      <c r="Y176" s="26">
        <f>VLOOKUP($X176,サイズ別係数!$B:$E,2,FALSE)</f>
        <v>1.1000000000000001</v>
      </c>
      <c r="Z176" s="26">
        <f>VLOOKUP($X176,サイズ別係数!$B:$E,3,FALSE)</f>
        <v>1.2</v>
      </c>
      <c r="AA176" s="26">
        <f>VLOOKUP($X176,サイズ別係数!$B:$E,4,FALSE)</f>
        <v>1.2</v>
      </c>
      <c r="AB176" s="5">
        <v>0</v>
      </c>
      <c r="AC176" s="34" t="str">
        <f ca="1">VLOOKUP($AB176,OFFSET([3]enemy_skill_sets!$B$2,0,0,COUNTA([3]enemy_skill_sets!$A:$A),MATCH(AC$1,[3]enemy_skill_sets!$1:$1,0)-MATCH($AB$1,[3]enemy_skill_sets!$1:$1,0)+1),MATCH(AC$1,[3]enemy_skill_sets!$1:$1,0)-MATCH($AB$1,[3]enemy_skill_sets!$1:$1,0)+1,FALSE)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6" s="27">
        <v>1</v>
      </c>
      <c r="AE176" s="37">
        <v>1</v>
      </c>
      <c r="AF176" s="37">
        <v>0</v>
      </c>
      <c r="AG176" s="28">
        <f ca="1">ROUND(VLOOKUP(1,enemy_base_stats!$A:$F,2,FALSE) * Y176* J176*O176*E176*S176*AD176*[2]ステータス!$B$2,0)</f>
        <v>2587</v>
      </c>
      <c r="AH176" s="28">
        <f ca="1">ROUND(VLOOKUP(1,enemy_base_stats!$A:$F,3,FALSE) * Z176*K176*P176*F176*T176*AE176 * W176*[2]ステータス!$C$2,0)</f>
        <v>240</v>
      </c>
      <c r="AI176" s="28">
        <f ca="1">ROUND(VLOOKUP(1,enemy_base_stats!$A:$F,4,FALSE) * AA176*L176*Q176*G176*U176*AF176*[2]ステータス!$D$2,0)</f>
        <v>0</v>
      </c>
      <c r="AJ176" s="28">
        <f ca="1">ROUND(VLOOKUP(100,enemy_base_stats!$A:$F,2,FALSE) * Y176* J176*O176*E176*S176*AD176*[2]ステータス!$B$2,0)</f>
        <v>105040</v>
      </c>
      <c r="AK176" s="28">
        <f ca="1">ROUND(VLOOKUP(100,enemy_base_stats!$A:$F,3,FALSE)* Z176* K176*P176*F176*T176*AE176 * W176*[2]ステータス!$C$2,0)</f>
        <v>9763</v>
      </c>
      <c r="AL176" s="28">
        <f ca="1">ROUND(VLOOKUP(100,enemy_base_stats!$A:$F,4,FALSE)* AA176* L176*Q176*G176*U176*AF176*[2]ステータス!$D$2,0)</f>
        <v>0</v>
      </c>
      <c r="AM176" s="24">
        <f ca="1">VLOOKUP(M176,[2]character_tribe_i18n!$A:$I,9,FALSE)</f>
        <v>680</v>
      </c>
      <c r="AN176" s="36">
        <v>0</v>
      </c>
      <c r="AO176" s="53">
        <v>0</v>
      </c>
      <c r="AP176" s="58" t="s">
        <v>72</v>
      </c>
      <c r="AQ176" s="71">
        <f t="shared" ca="1" si="4"/>
        <v>175</v>
      </c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8"/>
      <c r="BC176" s="18"/>
      <c r="BD176" s="18"/>
      <c r="BE176" s="18"/>
      <c r="BF176" s="18"/>
      <c r="BG176" s="18"/>
      <c r="BH176" s="18"/>
    </row>
    <row r="177" spans="1:60" s="3" customFormat="1" ht="21" customHeight="1" x14ac:dyDescent="0.15">
      <c r="A177" s="7">
        <f t="shared" ca="1" si="5"/>
        <v>176</v>
      </c>
      <c r="B177" s="6" t="str">
        <f ca="1">VLOOKUP(A177,[2]characters!$A:$C,3,FALSE)</f>
        <v>異教徒 バフォメット</v>
      </c>
      <c r="C177" s="9">
        <f ca="1">VLOOKUP(A177,[2]characters!$A:$I,9,FALSE)</f>
        <v>4</v>
      </c>
      <c r="D177" s="9" t="str">
        <f ca="1">VLOOKUP(A177,[2]characters!$A:$H,8,FALSE)</f>
        <v>yellow</v>
      </c>
      <c r="E177" s="24">
        <f ca="1">VLOOKUP(D177,[2]属性!$A:$E,2,FALSE)</f>
        <v>0.98</v>
      </c>
      <c r="F177" s="24">
        <f ca="1">VLOOKUP(D177,[2]属性!$A:$E,3,FALSE)</f>
        <v>1.01</v>
      </c>
      <c r="G177" s="24">
        <f ca="1">VLOOKUP(D177,[2]属性!$A:$F,4,FALSE)</f>
        <v>1</v>
      </c>
      <c r="H177" s="9" t="str">
        <f ca="1">VLOOKUP(A177,[2]characters!$A:$K,11,FALSE)</f>
        <v>attack</v>
      </c>
      <c r="I177" s="14" t="str">
        <f ca="1">VLOOKUP(H177,[2]character_type_i18n!$A:$F,3,FALSE)</f>
        <v>攻撃タイプ</v>
      </c>
      <c r="J177" s="36">
        <f ca="1">VLOOKUP(H177,[2]character_type_i18n!$A:$F,4,FALSE)</f>
        <v>1</v>
      </c>
      <c r="K177" s="36">
        <f ca="1">VLOOKUP(H177,[2]character_type_i18n!$A:$F,5,FALSE)</f>
        <v>1.33</v>
      </c>
      <c r="L177" s="36">
        <f ca="1">VLOOKUP(H177,[2]character_type_i18n!$A:$F,6,FALSE)</f>
        <v>1</v>
      </c>
      <c r="M177" s="9" t="str">
        <f ca="1">VLOOKUP(A177,[2]characters!$A:$M,13,FALSE)</f>
        <v>god</v>
      </c>
      <c r="N177" s="14" t="str">
        <f ca="1">VLOOKUP(M177,[2]character_tribe_i18n!$A:$F,3,FALSE)</f>
        <v>ゴッド</v>
      </c>
      <c r="O177" s="24">
        <f ca="1">VLOOKUP(M177,[2]character_tribe_i18n!$A:$F,4,FALSE)</f>
        <v>0.96</v>
      </c>
      <c r="P177" s="24">
        <f ca="1">VLOOKUP(M177,[2]character_tribe_i18n!$A:$F,5,FALSE)</f>
        <v>1.02</v>
      </c>
      <c r="Q177" s="24">
        <f ca="1">VLOOKUP(M177,[2]character_tribe_i18n!$A:$F,6,FALSE)</f>
        <v>1</v>
      </c>
      <c r="R177" s="25" t="s">
        <v>4</v>
      </c>
      <c r="S177" s="24">
        <f>VLOOKUP($R177,ラベル別係数!$A$1:$E$7,3,FALSE)</f>
        <v>5</v>
      </c>
      <c r="T177" s="24">
        <f>VLOOKUP($R177,ラベル別係数!$A$1:$E$7,4,FALSE)</f>
        <v>1.3</v>
      </c>
      <c r="U177" s="24">
        <f>VLOOKUP($R177,ラベル別係数!$A$1:$E$7,5,FALSE)</f>
        <v>0.8</v>
      </c>
      <c r="V177" s="27">
        <v>2</v>
      </c>
      <c r="W177" s="28">
        <f>VLOOKUP(V177,ターン数別攻撃係数!$A$1:$B$1000,2,FALSE)</f>
        <v>0.75</v>
      </c>
      <c r="X177" s="10">
        <v>30</v>
      </c>
      <c r="Y177" s="26">
        <f>VLOOKUP($X177,サイズ別係数!$B:$E,2,FALSE)</f>
        <v>1.3</v>
      </c>
      <c r="Z177" s="26">
        <f>VLOOKUP($X177,サイズ別係数!$B:$E,3,FALSE)</f>
        <v>1.3</v>
      </c>
      <c r="AA177" s="26">
        <f>VLOOKUP($X177,サイズ別係数!$B:$E,4,FALSE)</f>
        <v>1.1000000000000001</v>
      </c>
      <c r="AB177" s="5">
        <v>0</v>
      </c>
      <c r="AC177" s="34" t="str">
        <f ca="1">VLOOKUP($AB177,OFFSET([3]enemy_skill_sets!$B$2,0,0,COUNTA([3]enemy_skill_sets!$A:$A),MATCH(AC$1,[3]enemy_skill_sets!$1:$1,0)-MATCH($AB$1,[3]enemy_skill_sets!$1:$1,0)+1),MATCH(AC$1,[3]enemy_skill_sets!$1:$1,0)-MATCH($AB$1,[3]enemy_skill_sets!$1:$1,0)+1,FALSE)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7" s="27">
        <v>1</v>
      </c>
      <c r="AE177" s="37">
        <v>1</v>
      </c>
      <c r="AF177" s="37">
        <v>0</v>
      </c>
      <c r="AG177" s="28">
        <f ca="1">ROUND(VLOOKUP(1,enemy_base_stats!$A:$F,2,FALSE) * Y177* J177*O177*E177*S177*AD177*[2]ステータス!$B$2,0)</f>
        <v>3058</v>
      </c>
      <c r="AH177" s="28">
        <f ca="1">ROUND(VLOOKUP(1,enemy_base_stats!$A:$F,3,FALSE) * Z177*K177*P177*F177*T177*AE177 * W177*[2]ステータス!$C$2,0)</f>
        <v>261</v>
      </c>
      <c r="AI177" s="28">
        <f ca="1">ROUND(VLOOKUP(1,enemy_base_stats!$A:$F,4,FALSE) * AA177*L177*Q177*G177*U177*AF177*[2]ステータス!$D$2,0)</f>
        <v>0</v>
      </c>
      <c r="AJ177" s="28">
        <f ca="1">ROUND(VLOOKUP(100,enemy_base_stats!$A:$F,2,FALSE) * Y177* J177*O177*E177*S177*AD177*[2]ステータス!$B$2,0)</f>
        <v>124139</v>
      </c>
      <c r="AK177" s="28">
        <f ca="1">ROUND(VLOOKUP(100,enemy_base_stats!$A:$F,3,FALSE)* Z177* K177*P177*F177*T177*AE177 * W177*[2]ステータス!$C$2,0)</f>
        <v>10576</v>
      </c>
      <c r="AL177" s="28">
        <f ca="1">ROUND(VLOOKUP(100,enemy_base_stats!$A:$F,4,FALSE)* AA177* L177*Q177*G177*U177*AF177*[2]ステータス!$D$2,0)</f>
        <v>0</v>
      </c>
      <c r="AM177" s="24">
        <f ca="1">VLOOKUP(M177,[2]character_tribe_i18n!$A:$I,9,FALSE)</f>
        <v>680</v>
      </c>
      <c r="AN177" s="36">
        <v>0</v>
      </c>
      <c r="AO177" s="53">
        <v>0</v>
      </c>
      <c r="AP177" s="58" t="s">
        <v>72</v>
      </c>
      <c r="AQ177" s="71">
        <f t="shared" ca="1" si="4"/>
        <v>176</v>
      </c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</row>
    <row r="178" spans="1:60" s="3" customFormat="1" ht="21" customHeight="1" x14ac:dyDescent="0.15">
      <c r="A178" s="7">
        <f t="shared" ca="1" si="5"/>
        <v>177</v>
      </c>
      <c r="B178" s="6" t="str">
        <f ca="1">VLOOKUP(A178,[2]characters!$A:$C,3,FALSE)</f>
        <v>黒魔の異端師 バフォメット</v>
      </c>
      <c r="C178" s="9">
        <f ca="1">VLOOKUP(A178,[2]characters!$A:$I,9,FALSE)</f>
        <v>5</v>
      </c>
      <c r="D178" s="9" t="str">
        <f ca="1">VLOOKUP(A178,[2]characters!$A:$H,8,FALSE)</f>
        <v>yellow</v>
      </c>
      <c r="E178" s="24">
        <f ca="1">VLOOKUP(D178,[2]属性!$A:$E,2,FALSE)</f>
        <v>0.98</v>
      </c>
      <c r="F178" s="24">
        <f ca="1">VLOOKUP(D178,[2]属性!$A:$E,3,FALSE)</f>
        <v>1.01</v>
      </c>
      <c r="G178" s="24">
        <f ca="1">VLOOKUP(D178,[2]属性!$A:$F,4,FALSE)</f>
        <v>1</v>
      </c>
      <c r="H178" s="9" t="str">
        <f ca="1">VLOOKUP(A178,[2]characters!$A:$K,11,FALSE)</f>
        <v>attack</v>
      </c>
      <c r="I178" s="14" t="str">
        <f ca="1">VLOOKUP(H178,[2]character_type_i18n!$A:$F,3,FALSE)</f>
        <v>攻撃タイプ</v>
      </c>
      <c r="J178" s="36">
        <f ca="1">VLOOKUP(H178,[2]character_type_i18n!$A:$F,4,FALSE)</f>
        <v>1</v>
      </c>
      <c r="K178" s="36">
        <f ca="1">VLOOKUP(H178,[2]character_type_i18n!$A:$F,5,FALSE)</f>
        <v>1.33</v>
      </c>
      <c r="L178" s="36">
        <f ca="1">VLOOKUP(H178,[2]character_type_i18n!$A:$F,6,FALSE)</f>
        <v>1</v>
      </c>
      <c r="M178" s="9" t="str">
        <f ca="1">VLOOKUP(A178,[2]characters!$A:$M,13,FALSE)</f>
        <v>god</v>
      </c>
      <c r="N178" s="14" t="str">
        <f ca="1">VLOOKUP(M178,[2]character_tribe_i18n!$A:$F,3,FALSE)</f>
        <v>ゴッド</v>
      </c>
      <c r="O178" s="24">
        <f ca="1">VLOOKUP(M178,[2]character_tribe_i18n!$A:$F,4,FALSE)</f>
        <v>0.96</v>
      </c>
      <c r="P178" s="24">
        <f ca="1">VLOOKUP(M178,[2]character_tribe_i18n!$A:$F,5,FALSE)</f>
        <v>1.02</v>
      </c>
      <c r="Q178" s="24">
        <f ca="1">VLOOKUP(M178,[2]character_tribe_i18n!$A:$F,6,FALSE)</f>
        <v>1</v>
      </c>
      <c r="R178" s="25" t="s">
        <v>4</v>
      </c>
      <c r="S178" s="24">
        <f>VLOOKUP($R178,ラベル別係数!$A$1:$E$7,3,FALSE)</f>
        <v>5</v>
      </c>
      <c r="T178" s="24">
        <f>VLOOKUP($R178,ラベル別係数!$A$1:$E$7,4,FALSE)</f>
        <v>1.3</v>
      </c>
      <c r="U178" s="24">
        <f>VLOOKUP($R178,ラベル別係数!$A$1:$E$7,5,FALSE)</f>
        <v>0.8</v>
      </c>
      <c r="V178" s="27">
        <v>2</v>
      </c>
      <c r="W178" s="28">
        <f>VLOOKUP(V178,ターン数別攻撃係数!$A$1:$B$1000,2,FALSE)</f>
        <v>0.75</v>
      </c>
      <c r="X178" s="10">
        <v>60</v>
      </c>
      <c r="Y178" s="26">
        <f>VLOOKUP($X178,サイズ別係数!$B:$E,2,FALSE)</f>
        <v>1.7</v>
      </c>
      <c r="Z178" s="26">
        <f>VLOOKUP($X178,サイズ別係数!$B:$E,3,FALSE)</f>
        <v>1.4</v>
      </c>
      <c r="AA178" s="26">
        <f>VLOOKUP($X178,サイズ別係数!$B:$E,4,FALSE)</f>
        <v>1</v>
      </c>
      <c r="AB178" s="5">
        <v>0</v>
      </c>
      <c r="AC178" s="34" t="str">
        <f ca="1">VLOOKUP($AB178,OFFSET([3]enemy_skill_sets!$B$2,0,0,COUNTA([3]enemy_skill_sets!$A:$A),MATCH(AC$1,[3]enemy_skill_sets!$1:$1,0)-MATCH($AB$1,[3]enemy_skill_sets!$1:$1,0)+1),MATCH(AC$1,[3]enemy_skill_sets!$1:$1,0)-MATCH($AB$1,[3]enemy_skill_sets!$1:$1,0)+1,FALSE)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78" s="27">
        <v>1</v>
      </c>
      <c r="AE178" s="37">
        <v>1</v>
      </c>
      <c r="AF178" s="37">
        <v>0</v>
      </c>
      <c r="AG178" s="28">
        <f ca="1">ROUND(VLOOKUP(1,enemy_base_stats!$A:$F,2,FALSE) * Y178* J178*O178*E178*S178*AD178*[2]ステータス!$B$2,0)</f>
        <v>3998</v>
      </c>
      <c r="AH178" s="28">
        <f ca="1">ROUND(VLOOKUP(1,enemy_base_stats!$A:$F,3,FALSE) * Z178*K178*P178*F178*T178*AE178 * W178*[2]ステータス!$C$2,0)</f>
        <v>281</v>
      </c>
      <c r="AI178" s="28">
        <f ca="1">ROUND(VLOOKUP(1,enemy_base_stats!$A:$F,4,FALSE) * AA178*L178*Q178*G178*U178*AF178*[2]ステータス!$D$2,0)</f>
        <v>0</v>
      </c>
      <c r="AJ178" s="28">
        <f ca="1">ROUND(VLOOKUP(100,enemy_base_stats!$A:$F,2,FALSE) * Y178* J178*O178*E178*S178*AD178*[2]ステータス!$B$2,0)</f>
        <v>162335</v>
      </c>
      <c r="AK178" s="28">
        <f ca="1">ROUND(VLOOKUP(100,enemy_base_stats!$A:$F,3,FALSE)* Z178* K178*P178*F178*T178*AE178 * W178*[2]ステータス!$C$2,0)</f>
        <v>11390</v>
      </c>
      <c r="AL178" s="28">
        <f ca="1">ROUND(VLOOKUP(100,enemy_base_stats!$A:$F,4,FALSE)* AA178* L178*Q178*G178*U178*AF178*[2]ステータス!$D$2,0)</f>
        <v>0</v>
      </c>
      <c r="AM178" s="24">
        <f ca="1">VLOOKUP(M178,[2]character_tribe_i18n!$A:$I,9,FALSE)</f>
        <v>680</v>
      </c>
      <c r="AN178" s="36">
        <v>0</v>
      </c>
      <c r="AO178" s="53">
        <v>0</v>
      </c>
      <c r="AP178" s="58" t="s">
        <v>72</v>
      </c>
      <c r="AQ178" s="71">
        <f t="shared" ca="1" si="4"/>
        <v>177</v>
      </c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</row>
    <row r="179" spans="1:60" s="3" customFormat="1" ht="21" customHeight="1" x14ac:dyDescent="0.15">
      <c r="A179" s="7">
        <f t="shared" ca="1" si="5"/>
        <v>178</v>
      </c>
      <c r="B179" s="6" t="str">
        <f ca="1">VLOOKUP(A179,[2]characters!$A:$C,3,FALSE)</f>
        <v>ケルベロス</v>
      </c>
      <c r="C179" s="9">
        <f ca="1">VLOOKUP(A179,[2]characters!$A:$I,9,FALSE)</f>
        <v>3</v>
      </c>
      <c r="D179" s="9" t="str">
        <f ca="1">VLOOKUP(A179,[2]characters!$A:$H,8,FALSE)</f>
        <v>red</v>
      </c>
      <c r="E179" s="24">
        <f ca="1">VLOOKUP(D179,[2]属性!$A:$E,2,FALSE)</f>
        <v>1</v>
      </c>
      <c r="F179" s="24">
        <f ca="1">VLOOKUP(D179,[2]属性!$A:$E,3,FALSE)</f>
        <v>1.02</v>
      </c>
      <c r="G179" s="24">
        <f ca="1">VLOOKUP(D179,[2]属性!$A:$F,4,FALSE)</f>
        <v>1</v>
      </c>
      <c r="H179" s="9" t="str">
        <f ca="1">VLOOKUP(A179,[2]characters!$A:$K,11,FALSE)</f>
        <v>balance</v>
      </c>
      <c r="I179" s="14" t="str">
        <f ca="1">VLOOKUP(H179,[2]character_type_i18n!$A:$F,3,FALSE)</f>
        <v>バランスタイプ</v>
      </c>
      <c r="J179" s="36">
        <f ca="1">VLOOKUP(H179,[2]character_type_i18n!$A:$F,4,FALSE)</f>
        <v>1</v>
      </c>
      <c r="K179" s="36">
        <f ca="1">VLOOKUP(H179,[2]character_type_i18n!$A:$F,5,FALSE)</f>
        <v>1</v>
      </c>
      <c r="L179" s="36">
        <f ca="1">VLOOKUP(H179,[2]character_type_i18n!$A:$F,6,FALSE)</f>
        <v>1</v>
      </c>
      <c r="M179" s="9" t="str">
        <f ca="1">VLOOKUP(A179,[2]characters!$A:$M,13,FALSE)</f>
        <v>animal</v>
      </c>
      <c r="N179" s="14" t="str">
        <f ca="1">VLOOKUP(M179,[2]character_tribe_i18n!$A:$F,3,FALSE)</f>
        <v>アニマル</v>
      </c>
      <c r="O179" s="24">
        <f ca="1">VLOOKUP(M179,[2]character_tribe_i18n!$A:$F,4,FALSE)</f>
        <v>1</v>
      </c>
      <c r="P179" s="24">
        <f ca="1">VLOOKUP(M179,[2]character_tribe_i18n!$A:$F,5,FALSE)</f>
        <v>1.1000000000000001</v>
      </c>
      <c r="Q179" s="24">
        <f ca="1">VLOOKUP(M179,[2]character_tribe_i18n!$A:$F,6,FALSE)</f>
        <v>1</v>
      </c>
      <c r="R179" s="25" t="s">
        <v>4</v>
      </c>
      <c r="S179" s="24">
        <f>VLOOKUP($R179,ラベル別係数!$A$1:$E$7,3,FALSE)</f>
        <v>5</v>
      </c>
      <c r="T179" s="24">
        <f>VLOOKUP($R179,ラベル別係数!$A$1:$E$7,4,FALSE)</f>
        <v>1.3</v>
      </c>
      <c r="U179" s="24">
        <f>VLOOKUP($R179,ラベル別係数!$A$1:$E$7,5,FALSE)</f>
        <v>0.8</v>
      </c>
      <c r="V179" s="27">
        <v>3</v>
      </c>
      <c r="W179" s="28">
        <f>VLOOKUP(V179,ターン数別攻撃係数!$A$1:$B$1000,2,FALSE)</f>
        <v>1</v>
      </c>
      <c r="X179" s="10">
        <v>20</v>
      </c>
      <c r="Y179" s="26">
        <f>VLOOKUP($X179,サイズ別係数!$B:$E,2,FALSE)</f>
        <v>1.1000000000000001</v>
      </c>
      <c r="Z179" s="26">
        <f>VLOOKUP($X179,サイズ別係数!$B:$E,3,FALSE)</f>
        <v>1.2</v>
      </c>
      <c r="AA179" s="26">
        <f>VLOOKUP($X179,サイズ別係数!$B:$E,4,FALSE)</f>
        <v>1.2</v>
      </c>
      <c r="AB179" s="5">
        <v>178</v>
      </c>
      <c r="AC179" s="34" t="str">
        <f ca="1">VLOOKUP($AB179,OFFSET([3]enemy_skill_sets!$B$2,0,0,COUNTA([3]enemy_skill_sets!$A:$A),MATCH(AC$1,[3]enemy_skill_sets!$1:$1,0)-MATCH($AB$1,[3]enemy_skill_sets!$1:$1,0)+1),MATCH(AC$1,[3]enemy_skill_sets!$1:$1,0)-MATCH($AB$1,[3]enemy_skill_sets!$1:$1,0)+1,FALSE)</f>
        <v>5ターン攻撃力小UP</v>
      </c>
      <c r="AD179" s="27">
        <v>1</v>
      </c>
      <c r="AE179" s="37">
        <v>1</v>
      </c>
      <c r="AF179" s="37">
        <v>0</v>
      </c>
      <c r="AG179" s="28">
        <f ca="1">ROUND(VLOOKUP(1,enemy_base_stats!$A:$F,2,FALSE) * Y179* J179*O179*E179*S179*AD179*[2]ステータス!$B$2,0)</f>
        <v>2750</v>
      </c>
      <c r="AH179" s="28">
        <f ca="1">ROUND(VLOOKUP(1,enemy_base_stats!$A:$F,3,FALSE) * Z179*K179*P179*F179*T179*AE179 * W179*[2]ステータス!$C$2,0)</f>
        <v>263</v>
      </c>
      <c r="AI179" s="28">
        <f ca="1">ROUND(VLOOKUP(1,enemy_base_stats!$A:$F,4,FALSE) * AA179*L179*Q179*G179*U179*AF179*[2]ステータス!$D$2,0)</f>
        <v>0</v>
      </c>
      <c r="AJ179" s="28">
        <f ca="1">ROUND(VLOOKUP(100,enemy_base_stats!$A:$F,2,FALSE) * Y179* J179*O179*E179*S179*AD179*[2]ステータス!$B$2,0)</f>
        <v>111650</v>
      </c>
      <c r="AK179" s="28">
        <f ca="1">ROUND(VLOOKUP(100,enemy_base_stats!$A:$F,3,FALSE)* Z179* K179*P179*F179*T179*AE179 * W179*[2]ステータス!$C$2,0)</f>
        <v>10659</v>
      </c>
      <c r="AL179" s="28">
        <f ca="1">ROUND(VLOOKUP(100,enemy_base_stats!$A:$F,4,FALSE)* AA179* L179*Q179*G179*U179*AF179*[2]ステータス!$D$2,0)</f>
        <v>0</v>
      </c>
      <c r="AM179" s="24">
        <f ca="1">VLOOKUP(M179,[2]character_tribe_i18n!$A:$I,9,FALSE)</f>
        <v>480</v>
      </c>
      <c r="AN179" s="36">
        <v>0</v>
      </c>
      <c r="AO179" s="53">
        <v>0</v>
      </c>
      <c r="AP179" s="58" t="s">
        <v>72</v>
      </c>
      <c r="AQ179" s="71">
        <f t="shared" ca="1" si="4"/>
        <v>178</v>
      </c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</row>
    <row r="180" spans="1:60" s="3" customFormat="1" ht="21" customHeight="1" x14ac:dyDescent="0.15">
      <c r="A180" s="7">
        <f t="shared" ca="1" si="5"/>
        <v>179</v>
      </c>
      <c r="B180" s="6" t="str">
        <f ca="1">VLOOKUP(A180,[2]characters!$A:$C,3,FALSE)</f>
        <v>番犬 ケルベロス</v>
      </c>
      <c r="C180" s="9">
        <f ca="1">VLOOKUP(A180,[2]characters!$A:$I,9,FALSE)</f>
        <v>4</v>
      </c>
      <c r="D180" s="9" t="str">
        <f ca="1">VLOOKUP(A180,[2]characters!$A:$H,8,FALSE)</f>
        <v>red</v>
      </c>
      <c r="E180" s="24">
        <f ca="1">VLOOKUP(D180,[2]属性!$A:$E,2,FALSE)</f>
        <v>1</v>
      </c>
      <c r="F180" s="24">
        <f ca="1">VLOOKUP(D180,[2]属性!$A:$E,3,FALSE)</f>
        <v>1.02</v>
      </c>
      <c r="G180" s="24">
        <f ca="1">VLOOKUP(D180,[2]属性!$A:$F,4,FALSE)</f>
        <v>1</v>
      </c>
      <c r="H180" s="9" t="str">
        <f ca="1">VLOOKUP(A180,[2]characters!$A:$K,11,FALSE)</f>
        <v>balance</v>
      </c>
      <c r="I180" s="14" t="str">
        <f ca="1">VLOOKUP(H180,[2]character_type_i18n!$A:$F,3,FALSE)</f>
        <v>バランスタイプ</v>
      </c>
      <c r="J180" s="36">
        <f ca="1">VLOOKUP(H180,[2]character_type_i18n!$A:$F,4,FALSE)</f>
        <v>1</v>
      </c>
      <c r="K180" s="36">
        <f ca="1">VLOOKUP(H180,[2]character_type_i18n!$A:$F,5,FALSE)</f>
        <v>1</v>
      </c>
      <c r="L180" s="36">
        <f ca="1">VLOOKUP(H180,[2]character_type_i18n!$A:$F,6,FALSE)</f>
        <v>1</v>
      </c>
      <c r="M180" s="9" t="str">
        <f ca="1">VLOOKUP(A180,[2]characters!$A:$M,13,FALSE)</f>
        <v>animal</v>
      </c>
      <c r="N180" s="14" t="str">
        <f ca="1">VLOOKUP(M180,[2]character_tribe_i18n!$A:$F,3,FALSE)</f>
        <v>アニマル</v>
      </c>
      <c r="O180" s="24">
        <f ca="1">VLOOKUP(M180,[2]character_tribe_i18n!$A:$F,4,FALSE)</f>
        <v>1</v>
      </c>
      <c r="P180" s="24">
        <f ca="1">VLOOKUP(M180,[2]character_tribe_i18n!$A:$F,5,FALSE)</f>
        <v>1.1000000000000001</v>
      </c>
      <c r="Q180" s="24">
        <f ca="1">VLOOKUP(M180,[2]character_tribe_i18n!$A:$F,6,FALSE)</f>
        <v>1</v>
      </c>
      <c r="R180" s="25" t="s">
        <v>4</v>
      </c>
      <c r="S180" s="24">
        <f>VLOOKUP($R180,ラベル別係数!$A$1:$E$7,3,FALSE)</f>
        <v>5</v>
      </c>
      <c r="T180" s="24">
        <f>VLOOKUP($R180,ラベル別係数!$A$1:$E$7,4,FALSE)</f>
        <v>1.3</v>
      </c>
      <c r="U180" s="24">
        <f>VLOOKUP($R180,ラベル別係数!$A$1:$E$7,5,FALSE)</f>
        <v>0.8</v>
      </c>
      <c r="V180" s="27">
        <v>3</v>
      </c>
      <c r="W180" s="28">
        <f>VLOOKUP(V180,ターン数別攻撃係数!$A$1:$B$1000,2,FALSE)</f>
        <v>1</v>
      </c>
      <c r="X180" s="10">
        <v>30</v>
      </c>
      <c r="Y180" s="26">
        <f>VLOOKUP($X180,サイズ別係数!$B:$E,2,FALSE)</f>
        <v>1.3</v>
      </c>
      <c r="Z180" s="26">
        <f>VLOOKUP($X180,サイズ別係数!$B:$E,3,FALSE)</f>
        <v>1.3</v>
      </c>
      <c r="AA180" s="26">
        <f>VLOOKUP($X180,サイズ別係数!$B:$E,4,FALSE)</f>
        <v>1.1000000000000001</v>
      </c>
      <c r="AB180" s="5">
        <v>178</v>
      </c>
      <c r="AC180" s="34" t="str">
        <f ca="1">VLOOKUP($AB180,OFFSET([3]enemy_skill_sets!$B$2,0,0,COUNTA([3]enemy_skill_sets!$A:$A),MATCH(AC$1,[3]enemy_skill_sets!$1:$1,0)-MATCH($AB$1,[3]enemy_skill_sets!$1:$1,0)+1),MATCH(AC$1,[3]enemy_skill_sets!$1:$1,0)-MATCH($AB$1,[3]enemy_skill_sets!$1:$1,0)+1,FALSE)</f>
        <v>5ターン攻撃力小UP</v>
      </c>
      <c r="AD180" s="27">
        <v>1</v>
      </c>
      <c r="AE180" s="37">
        <v>1</v>
      </c>
      <c r="AF180" s="37">
        <v>0</v>
      </c>
      <c r="AG180" s="28">
        <f ca="1">ROUND(VLOOKUP(1,enemy_base_stats!$A:$F,2,FALSE) * Y180* J180*O180*E180*S180*AD180*[2]ステータス!$B$2,0)</f>
        <v>3250</v>
      </c>
      <c r="AH180" s="28">
        <f ca="1">ROUND(VLOOKUP(1,enemy_base_stats!$A:$F,3,FALSE) * Z180*K180*P180*F180*T180*AE180 * W180*[2]ステータス!$C$2,0)</f>
        <v>284</v>
      </c>
      <c r="AI180" s="28">
        <f ca="1">ROUND(VLOOKUP(1,enemy_base_stats!$A:$F,4,FALSE) * AA180*L180*Q180*G180*U180*AF180*[2]ステータス!$D$2,0)</f>
        <v>0</v>
      </c>
      <c r="AJ180" s="28">
        <f ca="1">ROUND(VLOOKUP(100,enemy_base_stats!$A:$F,2,FALSE) * Y180* J180*O180*E180*S180*AD180*[2]ステータス!$B$2,0)</f>
        <v>131950</v>
      </c>
      <c r="AK180" s="28">
        <f ca="1">ROUND(VLOOKUP(100,enemy_base_stats!$A:$F,3,FALSE)* Z180* K180*P180*F180*T180*AE180 * W180*[2]ステータス!$C$2,0)</f>
        <v>11548</v>
      </c>
      <c r="AL180" s="28">
        <f ca="1">ROUND(VLOOKUP(100,enemy_base_stats!$A:$F,4,FALSE)* AA180* L180*Q180*G180*U180*AF180*[2]ステータス!$D$2,0)</f>
        <v>0</v>
      </c>
      <c r="AM180" s="24">
        <f ca="1">VLOOKUP(M180,[2]character_tribe_i18n!$A:$I,9,FALSE)</f>
        <v>480</v>
      </c>
      <c r="AN180" s="36">
        <v>0</v>
      </c>
      <c r="AO180" s="53">
        <v>0</v>
      </c>
      <c r="AP180" s="58" t="s">
        <v>72</v>
      </c>
      <c r="AQ180" s="71">
        <f t="shared" ca="1" si="4"/>
        <v>179</v>
      </c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</row>
    <row r="181" spans="1:60" s="3" customFormat="1" ht="21" customHeight="1" x14ac:dyDescent="0.15">
      <c r="A181" s="7">
        <f t="shared" ca="1" si="5"/>
        <v>180</v>
      </c>
      <c r="B181" s="6" t="str">
        <f ca="1">VLOOKUP(A181,[2]characters!$A:$C,3,FALSE)</f>
        <v>地獄の大門番 ケルベロス</v>
      </c>
      <c r="C181" s="9">
        <f ca="1">VLOOKUP(A181,[2]characters!$A:$I,9,FALSE)</f>
        <v>5</v>
      </c>
      <c r="D181" s="9" t="str">
        <f ca="1">VLOOKUP(A181,[2]characters!$A:$H,8,FALSE)</f>
        <v>red</v>
      </c>
      <c r="E181" s="24">
        <f ca="1">VLOOKUP(D181,[2]属性!$A:$E,2,FALSE)</f>
        <v>1</v>
      </c>
      <c r="F181" s="24">
        <f ca="1">VLOOKUP(D181,[2]属性!$A:$E,3,FALSE)</f>
        <v>1.02</v>
      </c>
      <c r="G181" s="24">
        <f ca="1">VLOOKUP(D181,[2]属性!$A:$F,4,FALSE)</f>
        <v>1</v>
      </c>
      <c r="H181" s="9" t="str">
        <f ca="1">VLOOKUP(A181,[2]characters!$A:$K,11,FALSE)</f>
        <v>balance</v>
      </c>
      <c r="I181" s="14" t="str">
        <f ca="1">VLOOKUP(H181,[2]character_type_i18n!$A:$F,3,FALSE)</f>
        <v>バランスタイプ</v>
      </c>
      <c r="J181" s="36">
        <f ca="1">VLOOKUP(H181,[2]character_type_i18n!$A:$F,4,FALSE)</f>
        <v>1</v>
      </c>
      <c r="K181" s="36">
        <f ca="1">VLOOKUP(H181,[2]character_type_i18n!$A:$F,5,FALSE)</f>
        <v>1</v>
      </c>
      <c r="L181" s="36">
        <f ca="1">VLOOKUP(H181,[2]character_type_i18n!$A:$F,6,FALSE)</f>
        <v>1</v>
      </c>
      <c r="M181" s="9" t="str">
        <f ca="1">VLOOKUP(A181,[2]characters!$A:$M,13,FALSE)</f>
        <v>animal</v>
      </c>
      <c r="N181" s="14" t="str">
        <f ca="1">VLOOKUP(M181,[2]character_tribe_i18n!$A:$F,3,FALSE)</f>
        <v>アニマル</v>
      </c>
      <c r="O181" s="24">
        <f ca="1">VLOOKUP(M181,[2]character_tribe_i18n!$A:$F,4,FALSE)</f>
        <v>1</v>
      </c>
      <c r="P181" s="24">
        <f ca="1">VLOOKUP(M181,[2]character_tribe_i18n!$A:$F,5,FALSE)</f>
        <v>1.1000000000000001</v>
      </c>
      <c r="Q181" s="24">
        <f ca="1">VLOOKUP(M181,[2]character_tribe_i18n!$A:$F,6,FALSE)</f>
        <v>1</v>
      </c>
      <c r="R181" s="25" t="s">
        <v>4</v>
      </c>
      <c r="S181" s="24">
        <f>VLOOKUP($R181,ラベル別係数!$A$1:$E$7,3,FALSE)</f>
        <v>5</v>
      </c>
      <c r="T181" s="24">
        <f>VLOOKUP($R181,ラベル別係数!$A$1:$E$7,4,FALSE)</f>
        <v>1.3</v>
      </c>
      <c r="U181" s="24">
        <f>VLOOKUP($R181,ラベル別係数!$A$1:$E$7,5,FALSE)</f>
        <v>0.8</v>
      </c>
      <c r="V181" s="27">
        <v>3</v>
      </c>
      <c r="W181" s="28">
        <f>VLOOKUP(V181,ターン数別攻撃係数!$A$1:$B$1000,2,FALSE)</f>
        <v>1</v>
      </c>
      <c r="X181" s="10">
        <v>60</v>
      </c>
      <c r="Y181" s="26">
        <f>VLOOKUP($X181,サイズ別係数!$B:$E,2,FALSE)</f>
        <v>1.7</v>
      </c>
      <c r="Z181" s="26">
        <f>VLOOKUP($X181,サイズ別係数!$B:$E,3,FALSE)</f>
        <v>1.4</v>
      </c>
      <c r="AA181" s="26">
        <f>VLOOKUP($X181,サイズ別係数!$B:$E,4,FALSE)</f>
        <v>1</v>
      </c>
      <c r="AB181" s="5">
        <v>0</v>
      </c>
      <c r="AC181" s="34" t="str">
        <f ca="1">VLOOKUP($AB181,OFFSET([3]enemy_skill_sets!$B$2,0,0,COUNTA([3]enemy_skill_sets!$A:$A),MATCH(AC$1,[3]enemy_skill_sets!$1:$1,0)-MATCH($AB$1,[3]enemy_skill_sets!$1:$1,0)+1),MATCH(AC$1,[3]enemy_skill_sets!$1:$1,0)-MATCH($AB$1,[3]enemy_skill_sets!$1:$1,0)+1,FALSE)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81" s="27">
        <v>1</v>
      </c>
      <c r="AE181" s="37">
        <v>1</v>
      </c>
      <c r="AF181" s="37">
        <v>0</v>
      </c>
      <c r="AG181" s="28">
        <f ca="1">ROUND(VLOOKUP(1,enemy_base_stats!$A:$F,2,FALSE) * Y181* J181*O181*E181*S181*AD181*[2]ステータス!$B$2,0)</f>
        <v>4250</v>
      </c>
      <c r="AH181" s="28">
        <f ca="1">ROUND(VLOOKUP(1,enemy_base_stats!$A:$F,3,FALSE) * Z181*K181*P181*F181*T181*AE181 * W181*[2]ステータス!$C$2,0)</f>
        <v>306</v>
      </c>
      <c r="AI181" s="28">
        <f ca="1">ROUND(VLOOKUP(1,enemy_base_stats!$A:$F,4,FALSE) * AA181*L181*Q181*G181*U181*AF181*[2]ステータス!$D$2,0)</f>
        <v>0</v>
      </c>
      <c r="AJ181" s="28">
        <f ca="1">ROUND(VLOOKUP(100,enemy_base_stats!$A:$F,2,FALSE) * Y181* J181*O181*E181*S181*AD181*[2]ステータス!$B$2,0)</f>
        <v>172550</v>
      </c>
      <c r="AK181" s="28">
        <f ca="1">ROUND(VLOOKUP(100,enemy_base_stats!$A:$F,3,FALSE)* Z181* K181*P181*F181*T181*AE181 * W181*[2]ステータス!$C$2,0)</f>
        <v>12436</v>
      </c>
      <c r="AL181" s="28">
        <f ca="1">ROUND(VLOOKUP(100,enemy_base_stats!$A:$F,4,FALSE)* AA181* L181*Q181*G181*U181*AF181*[2]ステータス!$D$2,0)</f>
        <v>0</v>
      </c>
      <c r="AM181" s="24">
        <f ca="1">VLOOKUP(M181,[2]character_tribe_i18n!$A:$I,9,FALSE)</f>
        <v>480</v>
      </c>
      <c r="AN181" s="36">
        <v>0</v>
      </c>
      <c r="AO181" s="53">
        <v>0</v>
      </c>
      <c r="AP181" s="58" t="s">
        <v>72</v>
      </c>
      <c r="AQ181" s="71">
        <f t="shared" ca="1" si="4"/>
        <v>180</v>
      </c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</row>
    <row r="182" spans="1:60" s="3" customFormat="1" ht="21" customHeight="1" x14ac:dyDescent="0.15">
      <c r="A182" s="7">
        <f t="shared" ca="1" si="5"/>
        <v>181</v>
      </c>
      <c r="B182" s="6" t="str">
        <f ca="1">VLOOKUP(A182,[2]characters!$A:$C,3,FALSE)</f>
        <v>ベヒモス</v>
      </c>
      <c r="C182" s="9">
        <f ca="1">VLOOKUP(A182,[2]characters!$A:$I,9,FALSE)</f>
        <v>3</v>
      </c>
      <c r="D182" s="9" t="str">
        <f ca="1">VLOOKUP(A182,[2]characters!$A:$H,8,FALSE)</f>
        <v>green</v>
      </c>
      <c r="E182" s="24">
        <f ca="1">VLOOKUP(D182,[2]属性!$A:$E,2,FALSE)</f>
        <v>1.02</v>
      </c>
      <c r="F182" s="24">
        <f ca="1">VLOOKUP(D182,[2]属性!$A:$E,3,FALSE)</f>
        <v>0.98</v>
      </c>
      <c r="G182" s="24">
        <f ca="1">VLOOKUP(D182,[2]属性!$A:$F,4,FALSE)</f>
        <v>1</v>
      </c>
      <c r="H182" s="9" t="str">
        <f ca="1">VLOOKUP(A182,[2]characters!$A:$K,11,FALSE)</f>
        <v>hp</v>
      </c>
      <c r="I182" s="14" t="str">
        <f ca="1">VLOOKUP(H182,[2]character_type_i18n!$A:$F,3,FALSE)</f>
        <v>体力タイプ</v>
      </c>
      <c r="J182" s="36">
        <f ca="1">VLOOKUP(H182,[2]character_type_i18n!$A:$F,4,FALSE)</f>
        <v>1.45</v>
      </c>
      <c r="K182" s="36">
        <f ca="1">VLOOKUP(H182,[2]character_type_i18n!$A:$F,5,FALSE)</f>
        <v>0.85</v>
      </c>
      <c r="L182" s="36">
        <f ca="1">VLOOKUP(H182,[2]character_type_i18n!$A:$F,6,FALSE)</f>
        <v>1</v>
      </c>
      <c r="M182" s="9" t="str">
        <f ca="1">VLOOKUP(A182,[2]characters!$A:$M,13,FALSE)</f>
        <v>animal</v>
      </c>
      <c r="N182" s="14" t="str">
        <f ca="1">VLOOKUP(M182,[2]character_tribe_i18n!$A:$F,3,FALSE)</f>
        <v>アニマル</v>
      </c>
      <c r="O182" s="24">
        <f ca="1">VLOOKUP(M182,[2]character_tribe_i18n!$A:$F,4,FALSE)</f>
        <v>1</v>
      </c>
      <c r="P182" s="24">
        <f ca="1">VLOOKUP(M182,[2]character_tribe_i18n!$A:$F,5,FALSE)</f>
        <v>1.1000000000000001</v>
      </c>
      <c r="Q182" s="24">
        <f ca="1">VLOOKUP(M182,[2]character_tribe_i18n!$A:$F,6,FALSE)</f>
        <v>1</v>
      </c>
      <c r="R182" s="25" t="s">
        <v>4</v>
      </c>
      <c r="S182" s="24">
        <f>VLOOKUP($R182,ラベル別係数!$A$1:$E$7,3,FALSE)</f>
        <v>5</v>
      </c>
      <c r="T182" s="24">
        <f>VLOOKUP($R182,ラベル別係数!$A$1:$E$7,4,FALSE)</f>
        <v>1.3</v>
      </c>
      <c r="U182" s="24">
        <f>VLOOKUP($R182,ラベル別係数!$A$1:$E$7,5,FALSE)</f>
        <v>0.8</v>
      </c>
      <c r="V182" s="27">
        <v>2</v>
      </c>
      <c r="W182" s="28">
        <f>VLOOKUP(V182,ターン数別攻撃係数!$A$1:$B$1000,2,FALSE)</f>
        <v>0.75</v>
      </c>
      <c r="X182" s="10">
        <v>20</v>
      </c>
      <c r="Y182" s="26">
        <f>VLOOKUP($X182,サイズ別係数!$B:$E,2,FALSE)</f>
        <v>1.1000000000000001</v>
      </c>
      <c r="Z182" s="26">
        <f>VLOOKUP($X182,サイズ別係数!$B:$E,3,FALSE)</f>
        <v>1.2</v>
      </c>
      <c r="AA182" s="26">
        <f>VLOOKUP($X182,サイズ別係数!$B:$E,4,FALSE)</f>
        <v>1.2</v>
      </c>
      <c r="AB182" s="5">
        <v>0</v>
      </c>
      <c r="AC182" s="34" t="str">
        <f ca="1">VLOOKUP($AB182,OFFSET([3]enemy_skill_sets!$B$2,0,0,COUNTA([3]enemy_skill_sets!$A:$A),MATCH(AC$1,[3]enemy_skill_sets!$1:$1,0)-MATCH($AB$1,[3]enemy_skill_sets!$1:$1,0)+1),MATCH(AC$1,[3]enemy_skill_sets!$1:$1,0)-MATCH($AB$1,[3]enemy_skill_sets!$1:$1,0)+1,FALSE)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82" s="27">
        <v>1</v>
      </c>
      <c r="AE182" s="37">
        <v>1</v>
      </c>
      <c r="AF182" s="37">
        <v>0</v>
      </c>
      <c r="AG182" s="28">
        <f ca="1">ROUND(VLOOKUP(1,enemy_base_stats!$A:$F,2,FALSE) * Y182* J182*O182*E182*S182*AD182*[2]ステータス!$B$2,0)</f>
        <v>4067</v>
      </c>
      <c r="AH182" s="28">
        <f ca="1">ROUND(VLOOKUP(1,enemy_base_stats!$A:$F,3,FALSE) * Z182*K182*P182*F182*T182*AE182 * W182*[2]ステータス!$C$2,0)</f>
        <v>161</v>
      </c>
      <c r="AI182" s="28">
        <f ca="1">ROUND(VLOOKUP(1,enemy_base_stats!$A:$F,4,FALSE) * AA182*L182*Q182*G182*U182*AF182*[2]ステータス!$D$2,0)</f>
        <v>0</v>
      </c>
      <c r="AJ182" s="28">
        <f ca="1">ROUND(VLOOKUP(100,enemy_base_stats!$A:$F,2,FALSE) * Y182* J182*O182*E182*S182*AD182*[2]ステータス!$B$2,0)</f>
        <v>165130</v>
      </c>
      <c r="AK182" s="28">
        <f ca="1">ROUND(VLOOKUP(100,enemy_base_stats!$A:$F,3,FALSE)* Z182* K182*P182*F182*T182*AE182 * W182*[2]ステータス!$C$2,0)</f>
        <v>6529</v>
      </c>
      <c r="AL182" s="28">
        <f ca="1">ROUND(VLOOKUP(100,enemy_base_stats!$A:$F,4,FALSE)* AA182* L182*Q182*G182*U182*AF182*[2]ステータス!$D$2,0)</f>
        <v>0</v>
      </c>
      <c r="AM182" s="24">
        <f ca="1">VLOOKUP(M182,[2]character_tribe_i18n!$A:$I,9,FALSE)</f>
        <v>480</v>
      </c>
      <c r="AN182" s="36">
        <v>0</v>
      </c>
      <c r="AO182" s="53">
        <v>0</v>
      </c>
      <c r="AP182" s="58" t="s">
        <v>72</v>
      </c>
      <c r="AQ182" s="71">
        <f t="shared" ca="1" si="4"/>
        <v>181</v>
      </c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</row>
    <row r="183" spans="1:60" s="3" customFormat="1" ht="21" customHeight="1" x14ac:dyDescent="0.15">
      <c r="A183" s="7">
        <f t="shared" ca="1" si="5"/>
        <v>182</v>
      </c>
      <c r="B183" s="6" t="str">
        <f ca="1">VLOOKUP(A183,[2]characters!$A:$C,3,FALSE)</f>
        <v>放蕩者 ベヒモス</v>
      </c>
      <c r="C183" s="9">
        <f ca="1">VLOOKUP(A183,[2]characters!$A:$I,9,FALSE)</f>
        <v>4</v>
      </c>
      <c r="D183" s="9" t="str">
        <f ca="1">VLOOKUP(A183,[2]characters!$A:$H,8,FALSE)</f>
        <v>green</v>
      </c>
      <c r="E183" s="24">
        <f ca="1">VLOOKUP(D183,[2]属性!$A:$E,2,FALSE)</f>
        <v>1.02</v>
      </c>
      <c r="F183" s="24">
        <f ca="1">VLOOKUP(D183,[2]属性!$A:$E,3,FALSE)</f>
        <v>0.98</v>
      </c>
      <c r="G183" s="24">
        <f ca="1">VLOOKUP(D183,[2]属性!$A:$F,4,FALSE)</f>
        <v>1</v>
      </c>
      <c r="H183" s="9" t="str">
        <f ca="1">VLOOKUP(A183,[2]characters!$A:$K,11,FALSE)</f>
        <v>hp</v>
      </c>
      <c r="I183" s="14" t="str">
        <f ca="1">VLOOKUP(H183,[2]character_type_i18n!$A:$F,3,FALSE)</f>
        <v>体力タイプ</v>
      </c>
      <c r="J183" s="36">
        <f ca="1">VLOOKUP(H183,[2]character_type_i18n!$A:$F,4,FALSE)</f>
        <v>1.45</v>
      </c>
      <c r="K183" s="36">
        <f ca="1">VLOOKUP(H183,[2]character_type_i18n!$A:$F,5,FALSE)</f>
        <v>0.85</v>
      </c>
      <c r="L183" s="36">
        <f ca="1">VLOOKUP(H183,[2]character_type_i18n!$A:$F,6,FALSE)</f>
        <v>1</v>
      </c>
      <c r="M183" s="9" t="str">
        <f ca="1">VLOOKUP(A183,[2]characters!$A:$M,13,FALSE)</f>
        <v>animal</v>
      </c>
      <c r="N183" s="14" t="str">
        <f ca="1">VLOOKUP(M183,[2]character_tribe_i18n!$A:$F,3,FALSE)</f>
        <v>アニマル</v>
      </c>
      <c r="O183" s="24">
        <f ca="1">VLOOKUP(M183,[2]character_tribe_i18n!$A:$F,4,FALSE)</f>
        <v>1</v>
      </c>
      <c r="P183" s="24">
        <f ca="1">VLOOKUP(M183,[2]character_tribe_i18n!$A:$F,5,FALSE)</f>
        <v>1.1000000000000001</v>
      </c>
      <c r="Q183" s="24">
        <f ca="1">VLOOKUP(M183,[2]character_tribe_i18n!$A:$F,6,FALSE)</f>
        <v>1</v>
      </c>
      <c r="R183" s="25" t="s">
        <v>4</v>
      </c>
      <c r="S183" s="24">
        <f>VLOOKUP($R183,ラベル別係数!$A$1:$E$7,3,FALSE)</f>
        <v>5</v>
      </c>
      <c r="T183" s="24">
        <f>VLOOKUP($R183,ラベル別係数!$A$1:$E$7,4,FALSE)</f>
        <v>1.3</v>
      </c>
      <c r="U183" s="24">
        <f>VLOOKUP($R183,ラベル別係数!$A$1:$E$7,5,FALSE)</f>
        <v>0.8</v>
      </c>
      <c r="V183" s="27">
        <v>2</v>
      </c>
      <c r="W183" s="28">
        <f>VLOOKUP(V183,ターン数別攻撃係数!$A$1:$B$1000,2,FALSE)</f>
        <v>0.75</v>
      </c>
      <c r="X183" s="10">
        <v>30</v>
      </c>
      <c r="Y183" s="26">
        <f>VLOOKUP($X183,サイズ別係数!$B:$E,2,FALSE)</f>
        <v>1.3</v>
      </c>
      <c r="Z183" s="26">
        <f>VLOOKUP($X183,サイズ別係数!$B:$E,3,FALSE)</f>
        <v>1.3</v>
      </c>
      <c r="AA183" s="26">
        <f>VLOOKUP($X183,サイズ別係数!$B:$E,4,FALSE)</f>
        <v>1.1000000000000001</v>
      </c>
      <c r="AB183" s="5">
        <v>182</v>
      </c>
      <c r="AC183" s="34" t="str">
        <f ca="1">VLOOKUP($AB183,OFFSET([3]enemy_skill_sets!$B$2,0,0,COUNTA([3]enemy_skill_sets!$A:$A),MATCH(AC$1,[3]enemy_skill_sets!$1:$1,0)-MATCH($AB$1,[3]enemy_skill_sets!$1:$1,0)+1),MATCH(AC$1,[3]enemy_skill_sets!$1:$1,0)-MATCH($AB$1,[3]enemy_skill_sets!$1:$1,0)+1,FALSE)</f>
        <v>全体攻撃</v>
      </c>
      <c r="AD183" s="27">
        <v>1</v>
      </c>
      <c r="AE183" s="37">
        <v>1</v>
      </c>
      <c r="AF183" s="37">
        <v>0</v>
      </c>
      <c r="AG183" s="28">
        <f ca="1">ROUND(VLOOKUP(1,enemy_base_stats!$A:$F,2,FALSE) * Y183* J183*O183*E183*S183*AD183*[2]ステータス!$B$2,0)</f>
        <v>4807</v>
      </c>
      <c r="AH183" s="28">
        <f ca="1">ROUND(VLOOKUP(1,enemy_base_stats!$A:$F,3,FALSE) * Z183*K183*P183*F183*T183*AE183 * W183*[2]ステータス!$C$2,0)</f>
        <v>174</v>
      </c>
      <c r="AI183" s="28">
        <f ca="1">ROUND(VLOOKUP(1,enemy_base_stats!$A:$F,4,FALSE) * AA183*L183*Q183*G183*U183*AF183*[2]ステータス!$D$2,0)</f>
        <v>0</v>
      </c>
      <c r="AJ183" s="28">
        <f ca="1">ROUND(VLOOKUP(100,enemy_base_stats!$A:$F,2,FALSE) * Y183* J183*O183*E183*S183*AD183*[2]ステータス!$B$2,0)</f>
        <v>195154</v>
      </c>
      <c r="AK183" s="28">
        <f ca="1">ROUND(VLOOKUP(100,enemy_base_stats!$A:$F,3,FALSE)* Z183* K183*P183*F183*T183*AE183 * W183*[2]ステータス!$C$2,0)</f>
        <v>7073</v>
      </c>
      <c r="AL183" s="28">
        <f ca="1">ROUND(VLOOKUP(100,enemy_base_stats!$A:$F,4,FALSE)* AA183* L183*Q183*G183*U183*AF183*[2]ステータス!$D$2,0)</f>
        <v>0</v>
      </c>
      <c r="AM183" s="24">
        <f ca="1">VLOOKUP(M183,[2]character_tribe_i18n!$A:$I,9,FALSE)</f>
        <v>480</v>
      </c>
      <c r="AN183" s="36">
        <v>0</v>
      </c>
      <c r="AO183" s="53">
        <v>0</v>
      </c>
      <c r="AP183" s="58" t="s">
        <v>72</v>
      </c>
      <c r="AQ183" s="71">
        <f t="shared" ca="1" si="4"/>
        <v>182</v>
      </c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8"/>
      <c r="BC183" s="18"/>
      <c r="BD183" s="18"/>
      <c r="BE183" s="18"/>
      <c r="BF183" s="18"/>
      <c r="BG183" s="18"/>
      <c r="BH183" s="18"/>
    </row>
    <row r="184" spans="1:60" s="3" customFormat="1" ht="21" customHeight="1" x14ac:dyDescent="0.15">
      <c r="A184" s="7">
        <f t="shared" ca="1" si="5"/>
        <v>183</v>
      </c>
      <c r="B184" s="6" t="str">
        <f ca="1">VLOOKUP(A184,[2]characters!$A:$C,3,FALSE)</f>
        <v>鈍重な彷徨者 ベヒモス</v>
      </c>
      <c r="C184" s="9">
        <f ca="1">VLOOKUP(A184,[2]characters!$A:$I,9,FALSE)</f>
        <v>5</v>
      </c>
      <c r="D184" s="9" t="str">
        <f ca="1">VLOOKUP(A184,[2]characters!$A:$H,8,FALSE)</f>
        <v>green</v>
      </c>
      <c r="E184" s="24">
        <f ca="1">VLOOKUP(D184,[2]属性!$A:$E,2,FALSE)</f>
        <v>1.02</v>
      </c>
      <c r="F184" s="24">
        <f ca="1">VLOOKUP(D184,[2]属性!$A:$E,3,FALSE)</f>
        <v>0.98</v>
      </c>
      <c r="G184" s="24">
        <f ca="1">VLOOKUP(D184,[2]属性!$A:$F,4,FALSE)</f>
        <v>1</v>
      </c>
      <c r="H184" s="9" t="str">
        <f ca="1">VLOOKUP(A184,[2]characters!$A:$K,11,FALSE)</f>
        <v>hp</v>
      </c>
      <c r="I184" s="14" t="str">
        <f ca="1">VLOOKUP(H184,[2]character_type_i18n!$A:$F,3,FALSE)</f>
        <v>体力タイプ</v>
      </c>
      <c r="J184" s="36">
        <f ca="1">VLOOKUP(H184,[2]character_type_i18n!$A:$F,4,FALSE)</f>
        <v>1.45</v>
      </c>
      <c r="K184" s="36">
        <f ca="1">VLOOKUP(H184,[2]character_type_i18n!$A:$F,5,FALSE)</f>
        <v>0.85</v>
      </c>
      <c r="L184" s="36">
        <f ca="1">VLOOKUP(H184,[2]character_type_i18n!$A:$F,6,FALSE)</f>
        <v>1</v>
      </c>
      <c r="M184" s="9" t="str">
        <f ca="1">VLOOKUP(A184,[2]characters!$A:$M,13,FALSE)</f>
        <v>animal</v>
      </c>
      <c r="N184" s="14" t="str">
        <f ca="1">VLOOKUP(M184,[2]character_tribe_i18n!$A:$F,3,FALSE)</f>
        <v>アニマル</v>
      </c>
      <c r="O184" s="24">
        <f ca="1">VLOOKUP(M184,[2]character_tribe_i18n!$A:$F,4,FALSE)</f>
        <v>1</v>
      </c>
      <c r="P184" s="24">
        <f ca="1">VLOOKUP(M184,[2]character_tribe_i18n!$A:$F,5,FALSE)</f>
        <v>1.1000000000000001</v>
      </c>
      <c r="Q184" s="24">
        <f ca="1">VLOOKUP(M184,[2]character_tribe_i18n!$A:$F,6,FALSE)</f>
        <v>1</v>
      </c>
      <c r="R184" s="25" t="s">
        <v>4</v>
      </c>
      <c r="S184" s="24">
        <f>VLOOKUP($R184,ラベル別係数!$A$1:$E$7,3,FALSE)</f>
        <v>5</v>
      </c>
      <c r="T184" s="24">
        <f>VLOOKUP($R184,ラベル別係数!$A$1:$E$7,4,FALSE)</f>
        <v>1.3</v>
      </c>
      <c r="U184" s="24">
        <f>VLOOKUP($R184,ラベル別係数!$A$1:$E$7,5,FALSE)</f>
        <v>0.8</v>
      </c>
      <c r="V184" s="27">
        <v>2</v>
      </c>
      <c r="W184" s="28">
        <f>VLOOKUP(V184,ターン数別攻撃係数!$A$1:$B$1000,2,FALSE)</f>
        <v>0.75</v>
      </c>
      <c r="X184" s="10">
        <v>60</v>
      </c>
      <c r="Y184" s="26">
        <f>VLOOKUP($X184,サイズ別係数!$B:$E,2,FALSE)</f>
        <v>1.7</v>
      </c>
      <c r="Z184" s="26">
        <f>VLOOKUP($X184,サイズ別係数!$B:$E,3,FALSE)</f>
        <v>1.4</v>
      </c>
      <c r="AA184" s="26">
        <f>VLOOKUP($X184,サイズ別係数!$B:$E,4,FALSE)</f>
        <v>1</v>
      </c>
      <c r="AB184" s="5">
        <v>0</v>
      </c>
      <c r="AC184" s="34" t="str">
        <f ca="1">VLOOKUP($AB184,OFFSET([3]enemy_skill_sets!$B$2,0,0,COUNTA([3]enemy_skill_sets!$A:$A),MATCH(AC$1,[3]enemy_skill_sets!$1:$1,0)-MATCH($AB$1,[3]enemy_skill_sets!$1:$1,0)+1),MATCH(AC$1,[3]enemy_skill_sets!$1:$1,0)-MATCH($AB$1,[3]enemy_skill_sets!$1:$1,0)+1,FALSE)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84" s="27">
        <v>1</v>
      </c>
      <c r="AE184" s="37">
        <v>1</v>
      </c>
      <c r="AF184" s="37">
        <v>0</v>
      </c>
      <c r="AG184" s="28">
        <f ca="1">ROUND(VLOOKUP(1,enemy_base_stats!$A:$F,2,FALSE) * Y184* J184*O184*E184*S184*AD184*[2]ステータス!$B$2,0)</f>
        <v>6286</v>
      </c>
      <c r="AH184" s="28">
        <f ca="1">ROUND(VLOOKUP(1,enemy_base_stats!$A:$F,3,FALSE) * Z184*K184*P184*F184*T184*AE184 * W184*[2]ステータス!$C$2,0)</f>
        <v>188</v>
      </c>
      <c r="AI184" s="28">
        <f ca="1">ROUND(VLOOKUP(1,enemy_base_stats!$A:$F,4,FALSE) * AA184*L184*Q184*G184*U184*AF184*[2]ステータス!$D$2,0)</f>
        <v>0</v>
      </c>
      <c r="AJ184" s="28">
        <f ca="1">ROUND(VLOOKUP(100,enemy_base_stats!$A:$F,2,FALSE) * Y184* J184*O184*E184*S184*AD184*[2]ステータス!$B$2,0)</f>
        <v>255201</v>
      </c>
      <c r="AK184" s="28">
        <f ca="1">ROUND(VLOOKUP(100,enemy_base_stats!$A:$F,3,FALSE)* Z184* K184*P184*F184*T184*AE184 * W184*[2]ステータス!$C$2,0)</f>
        <v>7617</v>
      </c>
      <c r="AL184" s="28">
        <f ca="1">ROUND(VLOOKUP(100,enemy_base_stats!$A:$F,4,FALSE)* AA184* L184*Q184*G184*U184*AF184*[2]ステータス!$D$2,0)</f>
        <v>0</v>
      </c>
      <c r="AM184" s="24">
        <f ca="1">VLOOKUP(M184,[2]character_tribe_i18n!$A:$I,9,FALSE)</f>
        <v>480</v>
      </c>
      <c r="AN184" s="36">
        <v>0</v>
      </c>
      <c r="AO184" s="53">
        <v>0</v>
      </c>
      <c r="AP184" s="58" t="s">
        <v>72</v>
      </c>
      <c r="AQ184" s="71">
        <f t="shared" ca="1" si="4"/>
        <v>183</v>
      </c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8"/>
      <c r="BC184" s="18"/>
      <c r="BD184" s="18"/>
      <c r="BE184" s="18"/>
      <c r="BF184" s="18"/>
      <c r="BG184" s="18"/>
      <c r="BH184" s="18"/>
    </row>
    <row r="185" spans="1:60" s="3" customFormat="1" ht="21" customHeight="1" x14ac:dyDescent="0.15">
      <c r="A185" s="7">
        <f t="shared" ca="1" si="5"/>
        <v>184</v>
      </c>
      <c r="B185" s="6" t="str">
        <f ca="1">VLOOKUP(A185,[2]characters!$A:$C,3,FALSE)</f>
        <v>クラーケン</v>
      </c>
      <c r="C185" s="9">
        <f ca="1">VLOOKUP(A185,[2]characters!$A:$I,9,FALSE)</f>
        <v>3</v>
      </c>
      <c r="D185" s="9" t="str">
        <f ca="1">VLOOKUP(A185,[2]characters!$A:$H,8,FALSE)</f>
        <v>blue</v>
      </c>
      <c r="E185" s="24">
        <f ca="1">VLOOKUP(D185,[2]属性!$A:$E,2,FALSE)</f>
        <v>1</v>
      </c>
      <c r="F185" s="24">
        <f ca="1">VLOOKUP(D185,[2]属性!$A:$E,3,FALSE)</f>
        <v>0.98</v>
      </c>
      <c r="G185" s="24">
        <f ca="1">VLOOKUP(D185,[2]属性!$A:$F,4,FALSE)</f>
        <v>1</v>
      </c>
      <c r="H185" s="9" t="str">
        <f ca="1">VLOOKUP(A185,[2]characters!$A:$K,11,FALSE)</f>
        <v>heal</v>
      </c>
      <c r="I185" s="14" t="str">
        <f ca="1">VLOOKUP(H185,[2]character_type_i18n!$A:$F,3,FALSE)</f>
        <v>回復タイプ</v>
      </c>
      <c r="J185" s="36">
        <f ca="1">VLOOKUP(H185,[2]character_type_i18n!$A:$F,4,FALSE)</f>
        <v>0.8</v>
      </c>
      <c r="K185" s="36">
        <f ca="1">VLOOKUP(H185,[2]character_type_i18n!$A:$F,5,FALSE)</f>
        <v>0.78</v>
      </c>
      <c r="L185" s="36">
        <f ca="1">VLOOKUP(H185,[2]character_type_i18n!$A:$F,6,FALSE)</f>
        <v>1</v>
      </c>
      <c r="M185" s="9" t="str">
        <f ca="1">VLOOKUP(A185,[2]characters!$A:$M,13,FALSE)</f>
        <v>animal</v>
      </c>
      <c r="N185" s="14" t="str">
        <f ca="1">VLOOKUP(M185,[2]character_tribe_i18n!$A:$F,3,FALSE)</f>
        <v>アニマル</v>
      </c>
      <c r="O185" s="24">
        <f ca="1">VLOOKUP(M185,[2]character_tribe_i18n!$A:$F,4,FALSE)</f>
        <v>1</v>
      </c>
      <c r="P185" s="24">
        <f ca="1">VLOOKUP(M185,[2]character_tribe_i18n!$A:$F,5,FALSE)</f>
        <v>1.1000000000000001</v>
      </c>
      <c r="Q185" s="24">
        <f ca="1">VLOOKUP(M185,[2]character_tribe_i18n!$A:$F,6,FALSE)</f>
        <v>1</v>
      </c>
      <c r="R185" s="25" t="s">
        <v>4</v>
      </c>
      <c r="S185" s="24">
        <f>VLOOKUP($R185,ラベル別係数!$A$1:$E$7,3,FALSE)</f>
        <v>5</v>
      </c>
      <c r="T185" s="24">
        <f>VLOOKUP($R185,ラベル別係数!$A$1:$E$7,4,FALSE)</f>
        <v>1.3</v>
      </c>
      <c r="U185" s="24">
        <f>VLOOKUP($R185,ラベル別係数!$A$1:$E$7,5,FALSE)</f>
        <v>0.8</v>
      </c>
      <c r="V185" s="27">
        <v>3</v>
      </c>
      <c r="W185" s="28">
        <f>VLOOKUP(V185,ターン数別攻撃係数!$A$1:$B$1000,2,FALSE)</f>
        <v>1</v>
      </c>
      <c r="X185" s="10">
        <v>20</v>
      </c>
      <c r="Y185" s="26">
        <f>VLOOKUP($X185,サイズ別係数!$B:$E,2,FALSE)</f>
        <v>1.1000000000000001</v>
      </c>
      <c r="Z185" s="26">
        <f>VLOOKUP($X185,サイズ別係数!$B:$E,3,FALSE)</f>
        <v>1.2</v>
      </c>
      <c r="AA185" s="26">
        <f>VLOOKUP($X185,サイズ別係数!$B:$E,4,FALSE)</f>
        <v>1.2</v>
      </c>
      <c r="AB185" s="5">
        <v>184</v>
      </c>
      <c r="AC185" s="34" t="str">
        <f ca="1">VLOOKUP($AB185,OFFSET([3]enemy_skill_sets!$B$2,0,0,COUNTA([3]enemy_skill_sets!$A:$A),MATCH(AC$1,[3]enemy_skill_sets!$1:$1,0)-MATCH($AB$1,[3]enemy_skill_sets!$1:$1,0)+1),MATCH(AC$1,[3]enemy_skill_sets!$1:$1,0)-MATCH($AB$1,[3]enemy_skill_sets!$1:$1,0)+1,FALSE)</f>
        <v>3ターンの間行動できない</v>
      </c>
      <c r="AD185" s="27">
        <v>1</v>
      </c>
      <c r="AE185" s="37">
        <v>1</v>
      </c>
      <c r="AF185" s="37">
        <v>0</v>
      </c>
      <c r="AG185" s="28">
        <f ca="1">ROUND(VLOOKUP(1,enemy_base_stats!$A:$F,2,FALSE) * Y185* J185*O185*E185*S185*AD185*[2]ステータス!$B$2,0)</f>
        <v>2200</v>
      </c>
      <c r="AH185" s="28">
        <f ca="1">ROUND(VLOOKUP(1,enemy_base_stats!$A:$F,3,FALSE) * Z185*K185*P185*F185*T185*AE185 * W185*[2]ステータス!$C$2,0)</f>
        <v>197</v>
      </c>
      <c r="AI185" s="28">
        <f ca="1">ROUND(VLOOKUP(1,enemy_base_stats!$A:$F,4,FALSE) * AA185*L185*Q185*G185*U185*AF185*[2]ステータス!$D$2,0)</f>
        <v>0</v>
      </c>
      <c r="AJ185" s="28">
        <f ca="1">ROUND(VLOOKUP(100,enemy_base_stats!$A:$F,2,FALSE) * Y185* J185*O185*E185*S185*AD185*[2]ステータス!$B$2,0)</f>
        <v>89320</v>
      </c>
      <c r="AK185" s="28">
        <f ca="1">ROUND(VLOOKUP(100,enemy_base_stats!$A:$F,3,FALSE)* Z185* K185*P185*F185*T185*AE185 * W185*[2]ステータス!$C$2,0)</f>
        <v>7988</v>
      </c>
      <c r="AL185" s="28">
        <f ca="1">ROUND(VLOOKUP(100,enemy_base_stats!$A:$F,4,FALSE)* AA185* L185*Q185*G185*U185*AF185*[2]ステータス!$D$2,0)</f>
        <v>0</v>
      </c>
      <c r="AM185" s="24">
        <f ca="1">VLOOKUP(M185,[2]character_tribe_i18n!$A:$I,9,FALSE)</f>
        <v>480</v>
      </c>
      <c r="AN185" s="36">
        <v>0</v>
      </c>
      <c r="AO185" s="53">
        <v>0</v>
      </c>
      <c r="AP185" s="58" t="s">
        <v>72</v>
      </c>
      <c r="AQ185" s="71">
        <f t="shared" ca="1" si="4"/>
        <v>184</v>
      </c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</row>
    <row r="186" spans="1:60" s="3" customFormat="1" ht="21" customHeight="1" x14ac:dyDescent="0.15">
      <c r="A186" s="7">
        <f t="shared" ca="1" si="5"/>
        <v>185</v>
      </c>
      <c r="B186" s="6" t="str">
        <f ca="1">VLOOKUP(A186,[2]characters!$A:$C,3,FALSE)</f>
        <v>海姫 クラーケン</v>
      </c>
      <c r="C186" s="9">
        <f ca="1">VLOOKUP(A186,[2]characters!$A:$I,9,FALSE)</f>
        <v>4</v>
      </c>
      <c r="D186" s="9" t="str">
        <f ca="1">VLOOKUP(A186,[2]characters!$A:$H,8,FALSE)</f>
        <v>blue</v>
      </c>
      <c r="E186" s="24">
        <f ca="1">VLOOKUP(D186,[2]属性!$A:$E,2,FALSE)</f>
        <v>1</v>
      </c>
      <c r="F186" s="24">
        <f ca="1">VLOOKUP(D186,[2]属性!$A:$E,3,FALSE)</f>
        <v>0.98</v>
      </c>
      <c r="G186" s="24">
        <f ca="1">VLOOKUP(D186,[2]属性!$A:$F,4,FALSE)</f>
        <v>1</v>
      </c>
      <c r="H186" s="9" t="str">
        <f ca="1">VLOOKUP(A186,[2]characters!$A:$K,11,FALSE)</f>
        <v>heal</v>
      </c>
      <c r="I186" s="14" t="str">
        <f ca="1">VLOOKUP(H186,[2]character_type_i18n!$A:$F,3,FALSE)</f>
        <v>回復タイプ</v>
      </c>
      <c r="J186" s="36">
        <f ca="1">VLOOKUP(H186,[2]character_type_i18n!$A:$F,4,FALSE)</f>
        <v>0.8</v>
      </c>
      <c r="K186" s="36">
        <f ca="1">VLOOKUP(H186,[2]character_type_i18n!$A:$F,5,FALSE)</f>
        <v>0.78</v>
      </c>
      <c r="L186" s="36">
        <f ca="1">VLOOKUP(H186,[2]character_type_i18n!$A:$F,6,FALSE)</f>
        <v>1</v>
      </c>
      <c r="M186" s="9" t="str">
        <f ca="1">VLOOKUP(A186,[2]characters!$A:$M,13,FALSE)</f>
        <v>animal</v>
      </c>
      <c r="N186" s="14" t="str">
        <f ca="1">VLOOKUP(M186,[2]character_tribe_i18n!$A:$F,3,FALSE)</f>
        <v>アニマル</v>
      </c>
      <c r="O186" s="24">
        <f ca="1">VLOOKUP(M186,[2]character_tribe_i18n!$A:$F,4,FALSE)</f>
        <v>1</v>
      </c>
      <c r="P186" s="24">
        <f ca="1">VLOOKUP(M186,[2]character_tribe_i18n!$A:$F,5,FALSE)</f>
        <v>1.1000000000000001</v>
      </c>
      <c r="Q186" s="24">
        <f ca="1">VLOOKUP(M186,[2]character_tribe_i18n!$A:$F,6,FALSE)</f>
        <v>1</v>
      </c>
      <c r="R186" s="25" t="s">
        <v>87</v>
      </c>
      <c r="S186" s="24">
        <f>VLOOKUP($R186,ラベル別係数!$A$1:$E$7,3,FALSE)</f>
        <v>7.5</v>
      </c>
      <c r="T186" s="24">
        <f>VLOOKUP($R186,ラベル別係数!$A$1:$E$7,4,FALSE)</f>
        <v>1</v>
      </c>
      <c r="U186" s="24">
        <f>VLOOKUP($R186,ラベル別係数!$A$1:$E$7,5,FALSE)</f>
        <v>0.8</v>
      </c>
      <c r="V186" s="27">
        <v>3</v>
      </c>
      <c r="W186" s="28">
        <f>VLOOKUP(V186,ターン数別攻撃係数!$A$1:$B$1000,2,FALSE)</f>
        <v>1</v>
      </c>
      <c r="X186" s="10">
        <v>30</v>
      </c>
      <c r="Y186" s="26">
        <f>VLOOKUP($X186,サイズ別係数!$B:$E,2,FALSE)</f>
        <v>1.3</v>
      </c>
      <c r="Z186" s="26">
        <f>VLOOKUP($X186,サイズ別係数!$B:$E,3,FALSE)</f>
        <v>1.3</v>
      </c>
      <c r="AA186" s="26">
        <f>VLOOKUP($X186,サイズ別係数!$B:$E,4,FALSE)</f>
        <v>1.1000000000000001</v>
      </c>
      <c r="AB186" s="5">
        <v>185</v>
      </c>
      <c r="AC186" s="34" t="str">
        <f ca="1">VLOOKUP($AB186,OFFSET([3]enemy_skill_sets!$B$2,0,0,COUNTA([3]enemy_skill_sets!$A:$A),MATCH(AC$1,[3]enemy_skill_sets!$1:$1,0)-MATCH($AB$1,[3]enemy_skill_sets!$1:$1,0)+1),MATCH(AC$1,[3]enemy_skill_sets!$1:$1,0)-MATCH($AB$1,[3]enemy_skill_sets!$1:$1,0)+1,FALSE)</f>
        <v>3ターンの間行動できない</v>
      </c>
      <c r="AD186" s="27">
        <v>1</v>
      </c>
      <c r="AE186" s="37">
        <v>1</v>
      </c>
      <c r="AF186" s="37">
        <v>0</v>
      </c>
      <c r="AG186" s="28">
        <f ca="1">ROUND(VLOOKUP(1,enemy_base_stats!$A:$F,2,FALSE) * Y186* J186*O186*E186*S186*AD186*[2]ステータス!$B$2,0)</f>
        <v>3900</v>
      </c>
      <c r="AH186" s="28">
        <f ca="1">ROUND(VLOOKUP(1,enemy_base_stats!$A:$F,3,FALSE) * Z186*K186*P186*F186*T186*AE186 * W186*[2]ステータス!$C$2,0)</f>
        <v>164</v>
      </c>
      <c r="AI186" s="28">
        <f ca="1">ROUND(VLOOKUP(1,enemy_base_stats!$A:$F,4,FALSE) * AA186*L186*Q186*G186*U186*AF186*[2]ステータス!$D$2,0)</f>
        <v>0</v>
      </c>
      <c r="AJ186" s="28">
        <f ca="1">ROUND(VLOOKUP(100,enemy_base_stats!$A:$F,2,FALSE) * Y186* J186*O186*E186*S186*AD186*[2]ステータス!$B$2,0)</f>
        <v>158340</v>
      </c>
      <c r="AK186" s="28">
        <f ca="1">ROUND(VLOOKUP(100,enemy_base_stats!$A:$F,3,FALSE)* Z186* K186*P186*F186*T186*AE186 * W186*[2]ステータス!$C$2,0)</f>
        <v>6657</v>
      </c>
      <c r="AL186" s="28">
        <f ca="1">ROUND(VLOOKUP(100,enemy_base_stats!$A:$F,4,FALSE)* AA186* L186*Q186*G186*U186*AF186*[2]ステータス!$D$2,0)</f>
        <v>0</v>
      </c>
      <c r="AM186" s="24">
        <f ca="1">VLOOKUP(M186,[2]character_tribe_i18n!$A:$I,9,FALSE)</f>
        <v>480</v>
      </c>
      <c r="AN186" s="36">
        <v>0</v>
      </c>
      <c r="AO186" s="53">
        <v>0</v>
      </c>
      <c r="AP186" s="58" t="s">
        <v>72</v>
      </c>
      <c r="AQ186" s="71">
        <f t="shared" ca="1" si="4"/>
        <v>185</v>
      </c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</row>
    <row r="187" spans="1:60" s="3" customFormat="1" ht="21" customHeight="1" x14ac:dyDescent="0.15">
      <c r="A187" s="7">
        <f t="shared" ca="1" si="5"/>
        <v>186</v>
      </c>
      <c r="B187" s="6" t="str">
        <f ca="1">VLOOKUP(A187,[2]characters!$A:$C,3,FALSE)</f>
        <v>誇り高き多触姫・クラーケン</v>
      </c>
      <c r="C187" s="9">
        <f ca="1">VLOOKUP(A187,[2]characters!$A:$I,9,FALSE)</f>
        <v>5</v>
      </c>
      <c r="D187" s="9" t="str">
        <f ca="1">VLOOKUP(A187,[2]characters!$A:$H,8,FALSE)</f>
        <v>blue</v>
      </c>
      <c r="E187" s="24">
        <f ca="1">VLOOKUP(D187,[2]属性!$A:$E,2,FALSE)</f>
        <v>1</v>
      </c>
      <c r="F187" s="24">
        <f ca="1">VLOOKUP(D187,[2]属性!$A:$E,3,FALSE)</f>
        <v>0.98</v>
      </c>
      <c r="G187" s="24">
        <f ca="1">VLOOKUP(D187,[2]属性!$A:$F,4,FALSE)</f>
        <v>1</v>
      </c>
      <c r="H187" s="9" t="str">
        <f ca="1">VLOOKUP(A187,[2]characters!$A:$K,11,FALSE)</f>
        <v>heal</v>
      </c>
      <c r="I187" s="14" t="str">
        <f ca="1">VLOOKUP(H187,[2]character_type_i18n!$A:$F,3,FALSE)</f>
        <v>回復タイプ</v>
      </c>
      <c r="J187" s="36">
        <f ca="1">VLOOKUP(H187,[2]character_type_i18n!$A:$F,4,FALSE)</f>
        <v>0.8</v>
      </c>
      <c r="K187" s="36">
        <f ca="1">VLOOKUP(H187,[2]character_type_i18n!$A:$F,5,FALSE)</f>
        <v>0.78</v>
      </c>
      <c r="L187" s="36">
        <f ca="1">VLOOKUP(H187,[2]character_type_i18n!$A:$F,6,FALSE)</f>
        <v>1</v>
      </c>
      <c r="M187" s="9" t="str">
        <f ca="1">VLOOKUP(A187,[2]characters!$A:$M,13,FALSE)</f>
        <v>animal</v>
      </c>
      <c r="N187" s="14" t="str">
        <f ca="1">VLOOKUP(M187,[2]character_tribe_i18n!$A:$F,3,FALSE)</f>
        <v>アニマル</v>
      </c>
      <c r="O187" s="24">
        <f ca="1">VLOOKUP(M187,[2]character_tribe_i18n!$A:$F,4,FALSE)</f>
        <v>1</v>
      </c>
      <c r="P187" s="24">
        <f ca="1">VLOOKUP(M187,[2]character_tribe_i18n!$A:$F,5,FALSE)</f>
        <v>1.1000000000000001</v>
      </c>
      <c r="Q187" s="24">
        <f ca="1">VLOOKUP(M187,[2]character_tribe_i18n!$A:$F,6,FALSE)</f>
        <v>1</v>
      </c>
      <c r="R187" s="25" t="s">
        <v>4</v>
      </c>
      <c r="S187" s="24">
        <f>VLOOKUP($R187,ラベル別係数!$A$1:$E$7,3,FALSE)</f>
        <v>5</v>
      </c>
      <c r="T187" s="24">
        <f>VLOOKUP($R187,ラベル別係数!$A$1:$E$7,4,FALSE)</f>
        <v>1.3</v>
      </c>
      <c r="U187" s="24">
        <f>VLOOKUP($R187,ラベル別係数!$A$1:$E$7,5,FALSE)</f>
        <v>0.8</v>
      </c>
      <c r="V187" s="27">
        <v>3</v>
      </c>
      <c r="W187" s="28">
        <f>VLOOKUP(V187,ターン数別攻撃係数!$A$1:$B$1000,2,FALSE)</f>
        <v>1</v>
      </c>
      <c r="X187" s="10">
        <v>60</v>
      </c>
      <c r="Y187" s="26">
        <f>VLOOKUP($X187,サイズ別係数!$B:$E,2,FALSE)</f>
        <v>1.7</v>
      </c>
      <c r="Z187" s="26">
        <f>VLOOKUP($X187,サイズ別係数!$B:$E,3,FALSE)</f>
        <v>1.4</v>
      </c>
      <c r="AA187" s="26">
        <f>VLOOKUP($X187,サイズ別係数!$B:$E,4,FALSE)</f>
        <v>1</v>
      </c>
      <c r="AB187" s="5">
        <v>0</v>
      </c>
      <c r="AC187" s="34" t="str">
        <f ca="1">VLOOKUP($AB187,OFFSET([3]enemy_skill_sets!$B$2,0,0,COUNTA([3]enemy_skill_sets!$A:$A),MATCH(AC$1,[3]enemy_skill_sets!$1:$1,0)-MATCH($AB$1,[3]enemy_skill_sets!$1:$1,0)+1),MATCH(AC$1,[3]enemy_skill_sets!$1:$1,0)-MATCH($AB$1,[3]enemy_skill_sets!$1:$1,0)+1,FALSE)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87" s="27">
        <v>1</v>
      </c>
      <c r="AE187" s="37">
        <v>1</v>
      </c>
      <c r="AF187" s="37">
        <v>0</v>
      </c>
      <c r="AG187" s="28">
        <f ca="1">ROUND(VLOOKUP(1,enemy_base_stats!$A:$F,2,FALSE) * Y187* J187*O187*E187*S187*AD187*[2]ステータス!$B$2,0)</f>
        <v>3400</v>
      </c>
      <c r="AH187" s="28">
        <f ca="1">ROUND(VLOOKUP(1,enemy_base_stats!$A:$F,3,FALSE) * Z187*K187*P187*F187*T187*AE187 * W187*[2]ステータス!$C$2,0)</f>
        <v>230</v>
      </c>
      <c r="AI187" s="28">
        <f ca="1">ROUND(VLOOKUP(1,enemy_base_stats!$A:$F,4,FALSE) * AA187*L187*Q187*G187*U187*AF187*[2]ステータス!$D$2,0)</f>
        <v>0</v>
      </c>
      <c r="AJ187" s="28">
        <f ca="1">ROUND(VLOOKUP(100,enemy_base_stats!$A:$F,2,FALSE) * Y187* J187*O187*E187*S187*AD187*[2]ステータス!$B$2,0)</f>
        <v>138040</v>
      </c>
      <c r="AK187" s="28">
        <f ca="1">ROUND(VLOOKUP(100,enemy_base_stats!$A:$F,3,FALSE)* Z187* K187*P187*F187*T187*AE187 * W187*[2]ステータス!$C$2,0)</f>
        <v>9320</v>
      </c>
      <c r="AL187" s="28">
        <f ca="1">ROUND(VLOOKUP(100,enemy_base_stats!$A:$F,4,FALSE)* AA187* L187*Q187*G187*U187*AF187*[2]ステータス!$D$2,0)</f>
        <v>0</v>
      </c>
      <c r="AM187" s="24">
        <f ca="1">VLOOKUP(M187,[2]character_tribe_i18n!$A:$I,9,FALSE)</f>
        <v>480</v>
      </c>
      <c r="AN187" s="36">
        <v>0</v>
      </c>
      <c r="AO187" s="53">
        <v>0</v>
      </c>
      <c r="AP187" s="58" t="s">
        <v>72</v>
      </c>
      <c r="AQ187" s="71">
        <f t="shared" ca="1" si="4"/>
        <v>186</v>
      </c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</row>
    <row r="188" spans="1:60" s="3" customFormat="1" ht="21" customHeight="1" x14ac:dyDescent="0.15">
      <c r="A188" s="7">
        <f t="shared" ca="1" si="5"/>
        <v>187</v>
      </c>
      <c r="B188" s="6" t="str">
        <f ca="1">VLOOKUP(A188,[2]characters!$A:$C,3,FALSE)</f>
        <v>ホルス</v>
      </c>
      <c r="C188" s="9">
        <f ca="1">VLOOKUP(A188,[2]characters!$A:$I,9,FALSE)</f>
        <v>3</v>
      </c>
      <c r="D188" s="9" t="str">
        <f ca="1">VLOOKUP(A188,[2]characters!$A:$H,8,FALSE)</f>
        <v>yellow</v>
      </c>
      <c r="E188" s="24">
        <f ca="1">VLOOKUP(D188,[2]属性!$A:$E,2,FALSE)</f>
        <v>0.98</v>
      </c>
      <c r="F188" s="24">
        <f ca="1">VLOOKUP(D188,[2]属性!$A:$E,3,FALSE)</f>
        <v>1.01</v>
      </c>
      <c r="G188" s="24">
        <f ca="1">VLOOKUP(D188,[2]属性!$A:$F,4,FALSE)</f>
        <v>1</v>
      </c>
      <c r="H188" s="9" t="str">
        <f ca="1">VLOOKUP(A188,[2]characters!$A:$K,11,FALSE)</f>
        <v>attack</v>
      </c>
      <c r="I188" s="14" t="str">
        <f ca="1">VLOOKUP(H188,[2]character_type_i18n!$A:$F,3,FALSE)</f>
        <v>攻撃タイプ</v>
      </c>
      <c r="J188" s="36">
        <f ca="1">VLOOKUP(H188,[2]character_type_i18n!$A:$F,4,FALSE)</f>
        <v>1</v>
      </c>
      <c r="K188" s="36">
        <f ca="1">VLOOKUP(H188,[2]character_type_i18n!$A:$F,5,FALSE)</f>
        <v>1.33</v>
      </c>
      <c r="L188" s="36">
        <f ca="1">VLOOKUP(H188,[2]character_type_i18n!$A:$F,6,FALSE)</f>
        <v>1</v>
      </c>
      <c r="M188" s="9" t="str">
        <f ca="1">VLOOKUP(A188,[2]characters!$A:$M,13,FALSE)</f>
        <v>animal</v>
      </c>
      <c r="N188" s="14" t="str">
        <f ca="1">VLOOKUP(M188,[2]character_tribe_i18n!$A:$F,3,FALSE)</f>
        <v>アニマル</v>
      </c>
      <c r="O188" s="24">
        <f ca="1">VLOOKUP(M188,[2]character_tribe_i18n!$A:$F,4,FALSE)</f>
        <v>1</v>
      </c>
      <c r="P188" s="24">
        <f ca="1">VLOOKUP(M188,[2]character_tribe_i18n!$A:$F,5,FALSE)</f>
        <v>1.1000000000000001</v>
      </c>
      <c r="Q188" s="24">
        <f ca="1">VLOOKUP(M188,[2]character_tribe_i18n!$A:$F,6,FALSE)</f>
        <v>1</v>
      </c>
      <c r="R188" s="25" t="s">
        <v>4</v>
      </c>
      <c r="S188" s="24">
        <f>VLOOKUP($R188,ラベル別係数!$A$1:$E$7,3,FALSE)</f>
        <v>5</v>
      </c>
      <c r="T188" s="24">
        <f>VLOOKUP($R188,ラベル別係数!$A$1:$E$7,4,FALSE)</f>
        <v>1.3</v>
      </c>
      <c r="U188" s="24">
        <f>VLOOKUP($R188,ラベル別係数!$A$1:$E$7,5,FALSE)</f>
        <v>0.8</v>
      </c>
      <c r="V188" s="27">
        <v>1</v>
      </c>
      <c r="W188" s="28">
        <f>VLOOKUP(V188,ターン数別攻撃係数!$A$1:$B$1000,2,FALSE)</f>
        <v>0.55000000000000004</v>
      </c>
      <c r="X188" s="10">
        <v>20</v>
      </c>
      <c r="Y188" s="26">
        <f>VLOOKUP($X188,サイズ別係数!$B:$E,2,FALSE)</f>
        <v>1.1000000000000001</v>
      </c>
      <c r="Z188" s="26">
        <f>VLOOKUP($X188,サイズ別係数!$B:$E,3,FALSE)</f>
        <v>1.2</v>
      </c>
      <c r="AA188" s="26">
        <f>VLOOKUP($X188,サイズ別係数!$B:$E,4,FALSE)</f>
        <v>1.2</v>
      </c>
      <c r="AB188" s="5">
        <v>187</v>
      </c>
      <c r="AC188" s="34" t="str">
        <f ca="1">VLOOKUP($AB188,OFFSET([3]enemy_skill_sets!$B$2,0,0,COUNTA([3]enemy_skill_sets!$A:$A),MATCH(AC$1,[3]enemy_skill_sets!$1:$1,0)-MATCH($AB$1,[3]enemy_skill_sets!$1:$1,0)+1),MATCH(AC$1,[3]enemy_skill_sets!$1:$1,0)-MATCH($AB$1,[3]enemy_skill_sets!$1:$1,0)+1,FALSE)</f>
        <v>攻撃力×1.5倍の攻撃</v>
      </c>
      <c r="AD188" s="27">
        <v>1</v>
      </c>
      <c r="AE188" s="37">
        <v>1</v>
      </c>
      <c r="AF188" s="37">
        <v>0</v>
      </c>
      <c r="AG188" s="28">
        <f ca="1">ROUND(VLOOKUP(1,enemy_base_stats!$A:$F,2,FALSE) * Y188* J188*O188*E188*S188*AD188*[2]ステータス!$B$2,0)</f>
        <v>2695</v>
      </c>
      <c r="AH188" s="28">
        <f ca="1">ROUND(VLOOKUP(1,enemy_base_stats!$A:$F,3,FALSE) * Z188*K188*P188*F188*T188*AE188 * W188*[2]ステータス!$C$2,0)</f>
        <v>190</v>
      </c>
      <c r="AI188" s="28">
        <f ca="1">ROUND(VLOOKUP(1,enemy_base_stats!$A:$F,4,FALSE) * AA188*L188*Q188*G188*U188*AF188*[2]ステータス!$D$2,0)</f>
        <v>0</v>
      </c>
      <c r="AJ188" s="28">
        <f ca="1">ROUND(VLOOKUP(100,enemy_base_stats!$A:$F,2,FALSE) * Y188* J188*O188*E188*S188*AD188*[2]ステータス!$B$2,0)</f>
        <v>109417</v>
      </c>
      <c r="AK188" s="28">
        <f ca="1">ROUND(VLOOKUP(100,enemy_base_stats!$A:$F,3,FALSE)* Z188* K188*P188*F188*T188*AE188 * W188*[2]ステータス!$C$2,0)</f>
        <v>7721</v>
      </c>
      <c r="AL188" s="28">
        <f ca="1">ROUND(VLOOKUP(100,enemy_base_stats!$A:$F,4,FALSE)* AA188* L188*Q188*G188*U188*AF188*[2]ステータス!$D$2,0)</f>
        <v>0</v>
      </c>
      <c r="AM188" s="24">
        <f ca="1">VLOOKUP(M188,[2]character_tribe_i18n!$A:$I,9,FALSE)</f>
        <v>480</v>
      </c>
      <c r="AN188" s="36">
        <v>0</v>
      </c>
      <c r="AO188" s="53">
        <v>0</v>
      </c>
      <c r="AP188" s="58" t="s">
        <v>72</v>
      </c>
      <c r="AQ188" s="71">
        <f t="shared" ca="1" si="4"/>
        <v>187</v>
      </c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8"/>
      <c r="BC188" s="18"/>
      <c r="BD188" s="18"/>
      <c r="BE188" s="18"/>
      <c r="BF188" s="18"/>
      <c r="BG188" s="18"/>
      <c r="BH188" s="18"/>
    </row>
    <row r="189" spans="1:60" s="3" customFormat="1" ht="21" customHeight="1" x14ac:dyDescent="0.15">
      <c r="A189" s="7">
        <f t="shared" ca="1" si="5"/>
        <v>188</v>
      </c>
      <c r="B189" s="6" t="str">
        <f ca="1">VLOOKUP(A189,[2]characters!$A:$C,3,FALSE)</f>
        <v>猛禽 ホルス</v>
      </c>
      <c r="C189" s="9">
        <f ca="1">VLOOKUP(A189,[2]characters!$A:$I,9,FALSE)</f>
        <v>4</v>
      </c>
      <c r="D189" s="9" t="str">
        <f ca="1">VLOOKUP(A189,[2]characters!$A:$H,8,FALSE)</f>
        <v>yellow</v>
      </c>
      <c r="E189" s="24">
        <f ca="1">VLOOKUP(D189,[2]属性!$A:$E,2,FALSE)</f>
        <v>0.98</v>
      </c>
      <c r="F189" s="24">
        <f ca="1">VLOOKUP(D189,[2]属性!$A:$E,3,FALSE)</f>
        <v>1.01</v>
      </c>
      <c r="G189" s="24">
        <f ca="1">VLOOKUP(D189,[2]属性!$A:$F,4,FALSE)</f>
        <v>1</v>
      </c>
      <c r="H189" s="9" t="str">
        <f ca="1">VLOOKUP(A189,[2]characters!$A:$K,11,FALSE)</f>
        <v>attack</v>
      </c>
      <c r="I189" s="14" t="str">
        <f ca="1">VLOOKUP(H189,[2]character_type_i18n!$A:$F,3,FALSE)</f>
        <v>攻撃タイプ</v>
      </c>
      <c r="J189" s="36">
        <f ca="1">VLOOKUP(H189,[2]character_type_i18n!$A:$F,4,FALSE)</f>
        <v>1</v>
      </c>
      <c r="K189" s="36">
        <f ca="1">VLOOKUP(H189,[2]character_type_i18n!$A:$F,5,FALSE)</f>
        <v>1.33</v>
      </c>
      <c r="L189" s="36">
        <f ca="1">VLOOKUP(H189,[2]character_type_i18n!$A:$F,6,FALSE)</f>
        <v>1</v>
      </c>
      <c r="M189" s="9" t="str">
        <f ca="1">VLOOKUP(A189,[2]characters!$A:$M,13,FALSE)</f>
        <v>animal</v>
      </c>
      <c r="N189" s="14" t="str">
        <f ca="1">VLOOKUP(M189,[2]character_tribe_i18n!$A:$F,3,FALSE)</f>
        <v>アニマル</v>
      </c>
      <c r="O189" s="24">
        <f ca="1">VLOOKUP(M189,[2]character_tribe_i18n!$A:$F,4,FALSE)</f>
        <v>1</v>
      </c>
      <c r="P189" s="24">
        <f ca="1">VLOOKUP(M189,[2]character_tribe_i18n!$A:$F,5,FALSE)</f>
        <v>1.1000000000000001</v>
      </c>
      <c r="Q189" s="24">
        <f ca="1">VLOOKUP(M189,[2]character_tribe_i18n!$A:$F,6,FALSE)</f>
        <v>1</v>
      </c>
      <c r="R189" s="25" t="s">
        <v>4</v>
      </c>
      <c r="S189" s="24">
        <f>VLOOKUP($R189,ラベル別係数!$A$1:$E$7,3,FALSE)</f>
        <v>5</v>
      </c>
      <c r="T189" s="24">
        <f>VLOOKUP($R189,ラベル別係数!$A$1:$E$7,4,FALSE)</f>
        <v>1.3</v>
      </c>
      <c r="U189" s="24">
        <f>VLOOKUP($R189,ラベル別係数!$A$1:$E$7,5,FALSE)</f>
        <v>0.8</v>
      </c>
      <c r="V189" s="27">
        <v>1</v>
      </c>
      <c r="W189" s="28">
        <f>VLOOKUP(V189,ターン数別攻撃係数!$A$1:$B$1000,2,FALSE)</f>
        <v>0.55000000000000004</v>
      </c>
      <c r="X189" s="10">
        <v>30</v>
      </c>
      <c r="Y189" s="26">
        <f>VLOOKUP($X189,サイズ別係数!$B:$E,2,FALSE)</f>
        <v>1.3</v>
      </c>
      <c r="Z189" s="26">
        <f>VLOOKUP($X189,サイズ別係数!$B:$E,3,FALSE)</f>
        <v>1.3</v>
      </c>
      <c r="AA189" s="26">
        <f>VLOOKUP($X189,サイズ別係数!$B:$E,4,FALSE)</f>
        <v>1.1000000000000001</v>
      </c>
      <c r="AB189" s="5">
        <v>0</v>
      </c>
      <c r="AC189" s="34" t="str">
        <f ca="1">VLOOKUP($AB189,OFFSET([3]enemy_skill_sets!$B$2,0,0,COUNTA([3]enemy_skill_sets!$A:$A),MATCH(AC$1,[3]enemy_skill_sets!$1:$1,0)-MATCH($AB$1,[3]enemy_skill_sets!$1:$1,0)+1),MATCH(AC$1,[3]enemy_skill_sets!$1:$1,0)-MATCH($AB$1,[3]enemy_skill_sets!$1:$1,0)+1,FALSE)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89" s="27">
        <v>1</v>
      </c>
      <c r="AE189" s="37">
        <v>1</v>
      </c>
      <c r="AF189" s="37">
        <v>0</v>
      </c>
      <c r="AG189" s="28">
        <f ca="1">ROUND(VLOOKUP(1,enemy_base_stats!$A:$F,2,FALSE) * Y189* J189*O189*E189*S189*AD189*[2]ステータス!$B$2,0)</f>
        <v>3185</v>
      </c>
      <c r="AH189" s="28">
        <f ca="1">ROUND(VLOOKUP(1,enemy_base_stats!$A:$F,3,FALSE) * Z189*K189*P189*F189*T189*AE189 * W189*[2]ステータス!$C$2,0)</f>
        <v>206</v>
      </c>
      <c r="AI189" s="28">
        <f ca="1">ROUND(VLOOKUP(1,enemy_base_stats!$A:$F,4,FALSE) * AA189*L189*Q189*G189*U189*AF189*[2]ステータス!$D$2,0)</f>
        <v>0</v>
      </c>
      <c r="AJ189" s="28">
        <f ca="1">ROUND(VLOOKUP(100,enemy_base_stats!$A:$F,2,FALSE) * Y189* J189*O189*E189*S189*AD189*[2]ステータス!$B$2,0)</f>
        <v>129311</v>
      </c>
      <c r="AK189" s="28">
        <f ca="1">ROUND(VLOOKUP(100,enemy_base_stats!$A:$F,3,FALSE)* Z189* K189*P189*F189*T189*AE189 * W189*[2]ステータス!$C$2,0)</f>
        <v>8364</v>
      </c>
      <c r="AL189" s="28">
        <f ca="1">ROUND(VLOOKUP(100,enemy_base_stats!$A:$F,4,FALSE)* AA189* L189*Q189*G189*U189*AF189*[2]ステータス!$D$2,0)</f>
        <v>0</v>
      </c>
      <c r="AM189" s="24">
        <f ca="1">VLOOKUP(M189,[2]character_tribe_i18n!$A:$I,9,FALSE)</f>
        <v>480</v>
      </c>
      <c r="AN189" s="36">
        <v>0</v>
      </c>
      <c r="AO189" s="53">
        <v>0</v>
      </c>
      <c r="AP189" s="58" t="s">
        <v>72</v>
      </c>
      <c r="AQ189" s="71">
        <f t="shared" ca="1" si="4"/>
        <v>188</v>
      </c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</row>
    <row r="190" spans="1:60" s="3" customFormat="1" ht="21" customHeight="1" x14ac:dyDescent="0.15">
      <c r="A190" s="7">
        <f t="shared" ca="1" si="5"/>
        <v>189</v>
      </c>
      <c r="B190" s="6" t="str">
        <f ca="1">VLOOKUP(A190,[2]characters!$A:$C,3,FALSE)</f>
        <v>迅雷の王禽 ホルス</v>
      </c>
      <c r="C190" s="9">
        <f ca="1">VLOOKUP(A190,[2]characters!$A:$I,9,FALSE)</f>
        <v>5</v>
      </c>
      <c r="D190" s="9" t="str">
        <f ca="1">VLOOKUP(A190,[2]characters!$A:$H,8,FALSE)</f>
        <v>yellow</v>
      </c>
      <c r="E190" s="24">
        <f ca="1">VLOOKUP(D190,[2]属性!$A:$E,2,FALSE)</f>
        <v>0.98</v>
      </c>
      <c r="F190" s="24">
        <f ca="1">VLOOKUP(D190,[2]属性!$A:$E,3,FALSE)</f>
        <v>1.01</v>
      </c>
      <c r="G190" s="24">
        <f ca="1">VLOOKUP(D190,[2]属性!$A:$F,4,FALSE)</f>
        <v>1</v>
      </c>
      <c r="H190" s="9" t="str">
        <f ca="1">VLOOKUP(A190,[2]characters!$A:$K,11,FALSE)</f>
        <v>attack</v>
      </c>
      <c r="I190" s="14" t="str">
        <f ca="1">VLOOKUP(H190,[2]character_type_i18n!$A:$F,3,FALSE)</f>
        <v>攻撃タイプ</v>
      </c>
      <c r="J190" s="36">
        <f ca="1">VLOOKUP(H190,[2]character_type_i18n!$A:$F,4,FALSE)</f>
        <v>1</v>
      </c>
      <c r="K190" s="36">
        <f ca="1">VLOOKUP(H190,[2]character_type_i18n!$A:$F,5,FALSE)</f>
        <v>1.33</v>
      </c>
      <c r="L190" s="36">
        <f ca="1">VLOOKUP(H190,[2]character_type_i18n!$A:$F,6,FALSE)</f>
        <v>1</v>
      </c>
      <c r="M190" s="9" t="str">
        <f ca="1">VLOOKUP(A190,[2]characters!$A:$M,13,FALSE)</f>
        <v>animal</v>
      </c>
      <c r="N190" s="14" t="str">
        <f ca="1">VLOOKUP(M190,[2]character_tribe_i18n!$A:$F,3,FALSE)</f>
        <v>アニマル</v>
      </c>
      <c r="O190" s="24">
        <f ca="1">VLOOKUP(M190,[2]character_tribe_i18n!$A:$F,4,FALSE)</f>
        <v>1</v>
      </c>
      <c r="P190" s="24">
        <f ca="1">VLOOKUP(M190,[2]character_tribe_i18n!$A:$F,5,FALSE)</f>
        <v>1.1000000000000001</v>
      </c>
      <c r="Q190" s="24">
        <f ca="1">VLOOKUP(M190,[2]character_tribe_i18n!$A:$F,6,FALSE)</f>
        <v>1</v>
      </c>
      <c r="R190" s="25" t="s">
        <v>4</v>
      </c>
      <c r="S190" s="24">
        <f>VLOOKUP($R190,ラベル別係数!$A$1:$E$7,3,FALSE)</f>
        <v>5</v>
      </c>
      <c r="T190" s="24">
        <f>VLOOKUP($R190,ラベル別係数!$A$1:$E$7,4,FALSE)</f>
        <v>1.3</v>
      </c>
      <c r="U190" s="24">
        <f>VLOOKUP($R190,ラベル別係数!$A$1:$E$7,5,FALSE)</f>
        <v>0.8</v>
      </c>
      <c r="V190" s="27">
        <v>2</v>
      </c>
      <c r="W190" s="28">
        <f>VLOOKUP(V190,ターン数別攻撃係数!$A$1:$B$1000,2,FALSE)</f>
        <v>0.75</v>
      </c>
      <c r="X190" s="10">
        <v>60</v>
      </c>
      <c r="Y190" s="26">
        <f>VLOOKUP($X190,サイズ別係数!$B:$E,2,FALSE)</f>
        <v>1.7</v>
      </c>
      <c r="Z190" s="26">
        <f>VLOOKUP($X190,サイズ別係数!$B:$E,3,FALSE)</f>
        <v>1.4</v>
      </c>
      <c r="AA190" s="26">
        <f>VLOOKUP($X190,サイズ別係数!$B:$E,4,FALSE)</f>
        <v>1</v>
      </c>
      <c r="AB190" s="5">
        <v>0</v>
      </c>
      <c r="AC190" s="34" t="str">
        <f ca="1">VLOOKUP($AB190,OFFSET([3]enemy_skill_sets!$B$2,0,0,COUNTA([3]enemy_skill_sets!$A:$A),MATCH(AC$1,[3]enemy_skill_sets!$1:$1,0)-MATCH($AB$1,[3]enemy_skill_sets!$1:$1,0)+1),MATCH(AC$1,[3]enemy_skill_sets!$1:$1,0)-MATCH($AB$1,[3]enemy_skill_sets!$1:$1,0)+1,FALSE)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90" s="27">
        <v>1</v>
      </c>
      <c r="AE190" s="37">
        <v>1</v>
      </c>
      <c r="AF190" s="37">
        <v>0</v>
      </c>
      <c r="AG190" s="28">
        <f ca="1">ROUND(VLOOKUP(1,enemy_base_stats!$A:$F,2,FALSE) * Y190* J190*O190*E190*S190*AD190*[2]ステータス!$B$2,0)</f>
        <v>4165</v>
      </c>
      <c r="AH190" s="28">
        <f ca="1">ROUND(VLOOKUP(1,enemy_base_stats!$A:$F,3,FALSE) * Z190*K190*P190*F190*T190*AE190 * W190*[2]ステータス!$C$2,0)</f>
        <v>303</v>
      </c>
      <c r="AI190" s="28">
        <f ca="1">ROUND(VLOOKUP(1,enemy_base_stats!$A:$F,4,FALSE) * AA190*L190*Q190*G190*U190*AF190*[2]ステータス!$D$2,0)</f>
        <v>0</v>
      </c>
      <c r="AJ190" s="28">
        <f ca="1">ROUND(VLOOKUP(100,enemy_base_stats!$A:$F,2,FALSE) * Y190* J190*O190*E190*S190*AD190*[2]ステータス!$B$2,0)</f>
        <v>169099</v>
      </c>
      <c r="AK190" s="28">
        <f ca="1">ROUND(VLOOKUP(100,enemy_base_stats!$A:$F,3,FALSE)* Z190* K190*P190*F190*T190*AE190 * W190*[2]ステータス!$C$2,0)</f>
        <v>12283</v>
      </c>
      <c r="AL190" s="28">
        <f ca="1">ROUND(VLOOKUP(100,enemy_base_stats!$A:$F,4,FALSE)* AA190* L190*Q190*G190*U190*AF190*[2]ステータス!$D$2,0)</f>
        <v>0</v>
      </c>
      <c r="AM190" s="24">
        <f ca="1">VLOOKUP(M190,[2]character_tribe_i18n!$A:$I,9,FALSE)</f>
        <v>480</v>
      </c>
      <c r="AN190" s="36">
        <v>0</v>
      </c>
      <c r="AO190" s="53">
        <v>0</v>
      </c>
      <c r="AP190" s="58" t="s">
        <v>72</v>
      </c>
      <c r="AQ190" s="71">
        <f t="shared" ca="1" si="4"/>
        <v>189</v>
      </c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</row>
    <row r="191" spans="1:60" s="3" customFormat="1" ht="21" customHeight="1" x14ac:dyDescent="0.15">
      <c r="A191" s="7">
        <f t="shared" ca="1" si="5"/>
        <v>190</v>
      </c>
      <c r="B191" s="6" t="str">
        <f ca="1">VLOOKUP(A191,[2]characters!$A:$C,3,FALSE)</f>
        <v>卑弥呼</v>
      </c>
      <c r="C191" s="9">
        <f ca="1">VLOOKUP(A191,[2]characters!$A:$I,9,FALSE)</f>
        <v>3</v>
      </c>
      <c r="D191" s="9" t="str">
        <f ca="1">VLOOKUP(A191,[2]characters!$A:$H,8,FALSE)</f>
        <v>red</v>
      </c>
      <c r="E191" s="24">
        <f ca="1">VLOOKUP(D191,[2]属性!$A:$E,2,FALSE)</f>
        <v>1</v>
      </c>
      <c r="F191" s="24">
        <f ca="1">VLOOKUP(D191,[2]属性!$A:$E,3,FALSE)</f>
        <v>1.02</v>
      </c>
      <c r="G191" s="24">
        <f ca="1">VLOOKUP(D191,[2]属性!$A:$F,4,FALSE)</f>
        <v>1</v>
      </c>
      <c r="H191" s="9" t="str">
        <f ca="1">VLOOKUP(A191,[2]characters!$A:$K,11,FALSE)</f>
        <v>balance</v>
      </c>
      <c r="I191" s="14" t="str">
        <f ca="1">VLOOKUP(H191,[2]character_type_i18n!$A:$F,3,FALSE)</f>
        <v>バランスタイプ</v>
      </c>
      <c r="J191" s="36">
        <f ca="1">VLOOKUP(H191,[2]character_type_i18n!$A:$F,4,FALSE)</f>
        <v>1</v>
      </c>
      <c r="K191" s="36">
        <f ca="1">VLOOKUP(H191,[2]character_type_i18n!$A:$F,5,FALSE)</f>
        <v>1</v>
      </c>
      <c r="L191" s="36">
        <f ca="1">VLOOKUP(H191,[2]character_type_i18n!$A:$F,6,FALSE)</f>
        <v>1</v>
      </c>
      <c r="M191" s="9" t="str">
        <f ca="1">VLOOKUP(A191,[2]characters!$A:$M,13,FALSE)</f>
        <v>human</v>
      </c>
      <c r="N191" s="14" t="str">
        <f ca="1">VLOOKUP(M191,[2]character_tribe_i18n!$A:$F,3,FALSE)</f>
        <v>ヒューマン</v>
      </c>
      <c r="O191" s="24">
        <f ca="1">VLOOKUP(M191,[2]character_tribe_i18n!$A:$F,4,FALSE)</f>
        <v>0.94</v>
      </c>
      <c r="P191" s="24">
        <f ca="1">VLOOKUP(M191,[2]character_tribe_i18n!$A:$F,5,FALSE)</f>
        <v>0.99</v>
      </c>
      <c r="Q191" s="24">
        <f ca="1">VLOOKUP(M191,[2]character_tribe_i18n!$A:$F,6,FALSE)</f>
        <v>1</v>
      </c>
      <c r="R191" s="25" t="s">
        <v>4</v>
      </c>
      <c r="S191" s="24">
        <f>VLOOKUP($R191,ラベル別係数!$A$1:$E$7,3,FALSE)</f>
        <v>5</v>
      </c>
      <c r="T191" s="24">
        <f>VLOOKUP($R191,ラベル別係数!$A$1:$E$7,4,FALSE)</f>
        <v>1.3</v>
      </c>
      <c r="U191" s="24">
        <f>VLOOKUP($R191,ラベル別係数!$A$1:$E$7,5,FALSE)</f>
        <v>0.8</v>
      </c>
      <c r="V191" s="27">
        <v>3</v>
      </c>
      <c r="W191" s="28">
        <f>VLOOKUP(V191,ターン数別攻撃係数!$A$1:$B$1000,2,FALSE)</f>
        <v>1</v>
      </c>
      <c r="X191" s="10">
        <v>20</v>
      </c>
      <c r="Y191" s="26">
        <f>VLOOKUP($X191,サイズ別係数!$B:$E,2,FALSE)</f>
        <v>1.1000000000000001</v>
      </c>
      <c r="Z191" s="26">
        <f>VLOOKUP($X191,サイズ別係数!$B:$E,3,FALSE)</f>
        <v>1.2</v>
      </c>
      <c r="AA191" s="26">
        <f>VLOOKUP($X191,サイズ別係数!$B:$E,4,FALSE)</f>
        <v>1.2</v>
      </c>
      <c r="AB191" s="5">
        <v>0</v>
      </c>
      <c r="AC191" s="34" t="str">
        <f ca="1">VLOOKUP($AB191,OFFSET([3]enemy_skill_sets!$B$2,0,0,COUNTA([3]enemy_skill_sets!$A:$A),MATCH(AC$1,[3]enemy_skill_sets!$1:$1,0)-MATCH($AB$1,[3]enemy_skill_sets!$1:$1,0)+1),MATCH(AC$1,[3]enemy_skill_sets!$1:$1,0)-MATCH($AB$1,[3]enemy_skill_sets!$1:$1,0)+1,FALSE)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91" s="27">
        <v>1</v>
      </c>
      <c r="AE191" s="37">
        <v>1</v>
      </c>
      <c r="AF191" s="37">
        <v>0</v>
      </c>
      <c r="AG191" s="28">
        <f ca="1">ROUND(VLOOKUP(1,enemy_base_stats!$A:$F,2,FALSE) * Y191* J191*O191*E191*S191*AD191*[2]ステータス!$B$2,0)</f>
        <v>2585</v>
      </c>
      <c r="AH191" s="28">
        <f ca="1">ROUND(VLOOKUP(1,enemy_base_stats!$A:$F,3,FALSE) * Z191*K191*P191*F191*T191*AE191 * W191*[2]ステータス!$C$2,0)</f>
        <v>236</v>
      </c>
      <c r="AI191" s="28">
        <f ca="1">ROUND(VLOOKUP(1,enemy_base_stats!$A:$F,4,FALSE) * AA191*L191*Q191*G191*U191*AF191*[2]ステータス!$D$2,0)</f>
        <v>0</v>
      </c>
      <c r="AJ191" s="28">
        <f ca="1">ROUND(VLOOKUP(100,enemy_base_stats!$A:$F,2,FALSE) * Y191* J191*O191*E191*S191*AD191*[2]ステータス!$B$2,0)</f>
        <v>104951</v>
      </c>
      <c r="AK191" s="28">
        <f ca="1">ROUND(VLOOKUP(100,enemy_base_stats!$A:$F,3,FALSE)* Z191* K191*P191*F191*T191*AE191 * W191*[2]ステータス!$C$2,0)</f>
        <v>9594</v>
      </c>
      <c r="AL191" s="28">
        <f ca="1">ROUND(VLOOKUP(100,enemy_base_stats!$A:$F,4,FALSE)* AA191* L191*Q191*G191*U191*AF191*[2]ステータス!$D$2,0)</f>
        <v>0</v>
      </c>
      <c r="AM191" s="24">
        <f ca="1">VLOOKUP(M191,[2]character_tribe_i18n!$A:$I,9,FALSE)</f>
        <v>400</v>
      </c>
      <c r="AN191" s="36">
        <v>0</v>
      </c>
      <c r="AO191" s="53">
        <v>0</v>
      </c>
      <c r="AP191" s="58" t="s">
        <v>72</v>
      </c>
      <c r="AQ191" s="71">
        <f t="shared" ca="1" si="4"/>
        <v>190</v>
      </c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</row>
    <row r="192" spans="1:60" s="3" customFormat="1" ht="21" customHeight="1" x14ac:dyDescent="0.15">
      <c r="A192" s="7">
        <f t="shared" ca="1" si="5"/>
        <v>191</v>
      </c>
      <c r="B192" s="6" t="str">
        <f ca="1">VLOOKUP(A192,[2]characters!$A:$C,3,FALSE)</f>
        <v>始祖 卑弥呼</v>
      </c>
      <c r="C192" s="9">
        <f ca="1">VLOOKUP(A192,[2]characters!$A:$I,9,FALSE)</f>
        <v>4</v>
      </c>
      <c r="D192" s="9" t="str">
        <f ca="1">VLOOKUP(A192,[2]characters!$A:$H,8,FALSE)</f>
        <v>red</v>
      </c>
      <c r="E192" s="24">
        <f ca="1">VLOOKUP(D192,[2]属性!$A:$E,2,FALSE)</f>
        <v>1</v>
      </c>
      <c r="F192" s="24">
        <f ca="1">VLOOKUP(D192,[2]属性!$A:$E,3,FALSE)</f>
        <v>1.02</v>
      </c>
      <c r="G192" s="24">
        <f ca="1">VLOOKUP(D192,[2]属性!$A:$F,4,FALSE)</f>
        <v>1</v>
      </c>
      <c r="H192" s="9" t="str">
        <f ca="1">VLOOKUP(A192,[2]characters!$A:$K,11,FALSE)</f>
        <v>balance</v>
      </c>
      <c r="I192" s="14" t="str">
        <f ca="1">VLOOKUP(H192,[2]character_type_i18n!$A:$F,3,FALSE)</f>
        <v>バランスタイプ</v>
      </c>
      <c r="J192" s="36">
        <f ca="1">VLOOKUP(H192,[2]character_type_i18n!$A:$F,4,FALSE)</f>
        <v>1</v>
      </c>
      <c r="K192" s="36">
        <f ca="1">VLOOKUP(H192,[2]character_type_i18n!$A:$F,5,FALSE)</f>
        <v>1</v>
      </c>
      <c r="L192" s="36">
        <f ca="1">VLOOKUP(H192,[2]character_type_i18n!$A:$F,6,FALSE)</f>
        <v>1</v>
      </c>
      <c r="M192" s="9" t="str">
        <f ca="1">VLOOKUP(A192,[2]characters!$A:$M,13,FALSE)</f>
        <v>human</v>
      </c>
      <c r="N192" s="14" t="str">
        <f ca="1">VLOOKUP(M192,[2]character_tribe_i18n!$A:$F,3,FALSE)</f>
        <v>ヒューマン</v>
      </c>
      <c r="O192" s="24">
        <f ca="1">VLOOKUP(M192,[2]character_tribe_i18n!$A:$F,4,FALSE)</f>
        <v>0.94</v>
      </c>
      <c r="P192" s="24">
        <f ca="1">VLOOKUP(M192,[2]character_tribe_i18n!$A:$F,5,FALSE)</f>
        <v>0.99</v>
      </c>
      <c r="Q192" s="24">
        <f ca="1">VLOOKUP(M192,[2]character_tribe_i18n!$A:$F,6,FALSE)</f>
        <v>1</v>
      </c>
      <c r="R192" s="25" t="s">
        <v>4</v>
      </c>
      <c r="S192" s="24">
        <f>VLOOKUP($R192,ラベル別係数!$A$1:$E$7,3,FALSE)</f>
        <v>5</v>
      </c>
      <c r="T192" s="24">
        <f>VLOOKUP($R192,ラベル別係数!$A$1:$E$7,4,FALSE)</f>
        <v>1.3</v>
      </c>
      <c r="U192" s="24">
        <f>VLOOKUP($R192,ラベル別係数!$A$1:$E$7,5,FALSE)</f>
        <v>0.8</v>
      </c>
      <c r="V192" s="27">
        <v>3</v>
      </c>
      <c r="W192" s="28">
        <f>VLOOKUP(V192,ターン数別攻撃係数!$A$1:$B$1000,2,FALSE)</f>
        <v>1</v>
      </c>
      <c r="X192" s="10">
        <v>30</v>
      </c>
      <c r="Y192" s="26">
        <f>VLOOKUP($X192,サイズ別係数!$B:$E,2,FALSE)</f>
        <v>1.3</v>
      </c>
      <c r="Z192" s="26">
        <f>VLOOKUP($X192,サイズ別係数!$B:$E,3,FALSE)</f>
        <v>1.3</v>
      </c>
      <c r="AA192" s="26">
        <f>VLOOKUP($X192,サイズ別係数!$B:$E,4,FALSE)</f>
        <v>1.1000000000000001</v>
      </c>
      <c r="AB192" s="5">
        <v>0</v>
      </c>
      <c r="AC192" s="34" t="str">
        <f ca="1">VLOOKUP($AB192,OFFSET([3]enemy_skill_sets!$B$2,0,0,COUNTA([3]enemy_skill_sets!$A:$A),MATCH(AC$1,[3]enemy_skill_sets!$1:$1,0)-MATCH($AB$1,[3]enemy_skill_sets!$1:$1,0)+1),MATCH(AC$1,[3]enemy_skill_sets!$1:$1,0)-MATCH($AB$1,[3]enemy_skill_sets!$1:$1,0)+1,FALSE)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92" s="27">
        <v>1</v>
      </c>
      <c r="AE192" s="37">
        <v>1</v>
      </c>
      <c r="AF192" s="37">
        <v>0</v>
      </c>
      <c r="AG192" s="28">
        <f ca="1">ROUND(VLOOKUP(1,enemy_base_stats!$A:$F,2,FALSE) * Y192* J192*O192*E192*S192*AD192*[2]ステータス!$B$2,0)</f>
        <v>3055</v>
      </c>
      <c r="AH192" s="28">
        <f ca="1">ROUND(VLOOKUP(1,enemy_base_stats!$A:$F,3,FALSE) * Z192*K192*P192*F192*T192*AE192 * W192*[2]ステータス!$C$2,0)</f>
        <v>256</v>
      </c>
      <c r="AI192" s="28">
        <f ca="1">ROUND(VLOOKUP(1,enemy_base_stats!$A:$F,4,FALSE) * AA192*L192*Q192*G192*U192*AF192*[2]ステータス!$D$2,0)</f>
        <v>0</v>
      </c>
      <c r="AJ192" s="28">
        <f ca="1">ROUND(VLOOKUP(100,enemy_base_stats!$A:$F,2,FALSE) * Y192* J192*O192*E192*S192*AD192*[2]ステータス!$B$2,0)</f>
        <v>124033</v>
      </c>
      <c r="AK192" s="28">
        <f ca="1">ROUND(VLOOKUP(100,enemy_base_stats!$A:$F,3,FALSE)* Z192* K192*P192*F192*T192*AE192 * W192*[2]ステータス!$C$2,0)</f>
        <v>10393</v>
      </c>
      <c r="AL192" s="28">
        <f ca="1">ROUND(VLOOKUP(100,enemy_base_stats!$A:$F,4,FALSE)* AA192* L192*Q192*G192*U192*AF192*[2]ステータス!$D$2,0)</f>
        <v>0</v>
      </c>
      <c r="AM192" s="24">
        <f ca="1">VLOOKUP(M192,[2]character_tribe_i18n!$A:$I,9,FALSE)</f>
        <v>400</v>
      </c>
      <c r="AN192" s="36">
        <v>0</v>
      </c>
      <c r="AO192" s="53">
        <v>0</v>
      </c>
      <c r="AP192" s="58" t="s">
        <v>72</v>
      </c>
      <c r="AQ192" s="71">
        <f t="shared" ca="1" si="4"/>
        <v>191</v>
      </c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</row>
    <row r="193" spans="1:60" s="3" customFormat="1" ht="21" customHeight="1" x14ac:dyDescent="0.15">
      <c r="A193" s="7">
        <f t="shared" ca="1" si="5"/>
        <v>192</v>
      </c>
      <c r="B193" s="6" t="str">
        <f ca="1">VLOOKUP(A193,[2]characters!$A:$C,3,FALSE)</f>
        <v>荘厳なる始祖帝 卑弥呼</v>
      </c>
      <c r="C193" s="9">
        <f ca="1">VLOOKUP(A193,[2]characters!$A:$I,9,FALSE)</f>
        <v>5</v>
      </c>
      <c r="D193" s="9" t="str">
        <f ca="1">VLOOKUP(A193,[2]characters!$A:$H,8,FALSE)</f>
        <v>red</v>
      </c>
      <c r="E193" s="24">
        <f ca="1">VLOOKUP(D193,[2]属性!$A:$E,2,FALSE)</f>
        <v>1</v>
      </c>
      <c r="F193" s="24">
        <f ca="1">VLOOKUP(D193,[2]属性!$A:$E,3,FALSE)</f>
        <v>1.02</v>
      </c>
      <c r="G193" s="24">
        <f ca="1">VLOOKUP(D193,[2]属性!$A:$F,4,FALSE)</f>
        <v>1</v>
      </c>
      <c r="H193" s="9" t="str">
        <f ca="1">VLOOKUP(A193,[2]characters!$A:$K,11,FALSE)</f>
        <v>balance</v>
      </c>
      <c r="I193" s="14" t="str">
        <f ca="1">VLOOKUP(H193,[2]character_type_i18n!$A:$F,3,FALSE)</f>
        <v>バランスタイプ</v>
      </c>
      <c r="J193" s="36">
        <f ca="1">VLOOKUP(H193,[2]character_type_i18n!$A:$F,4,FALSE)</f>
        <v>1</v>
      </c>
      <c r="K193" s="36">
        <f ca="1">VLOOKUP(H193,[2]character_type_i18n!$A:$F,5,FALSE)</f>
        <v>1</v>
      </c>
      <c r="L193" s="36">
        <f ca="1">VLOOKUP(H193,[2]character_type_i18n!$A:$F,6,FALSE)</f>
        <v>1</v>
      </c>
      <c r="M193" s="9" t="str">
        <f ca="1">VLOOKUP(A193,[2]characters!$A:$M,13,FALSE)</f>
        <v>human</v>
      </c>
      <c r="N193" s="14" t="str">
        <f ca="1">VLOOKUP(M193,[2]character_tribe_i18n!$A:$F,3,FALSE)</f>
        <v>ヒューマン</v>
      </c>
      <c r="O193" s="24">
        <f ca="1">VLOOKUP(M193,[2]character_tribe_i18n!$A:$F,4,FALSE)</f>
        <v>0.94</v>
      </c>
      <c r="P193" s="24">
        <f ca="1">VLOOKUP(M193,[2]character_tribe_i18n!$A:$F,5,FALSE)</f>
        <v>0.99</v>
      </c>
      <c r="Q193" s="24">
        <f ca="1">VLOOKUP(M193,[2]character_tribe_i18n!$A:$F,6,FALSE)</f>
        <v>1</v>
      </c>
      <c r="R193" s="25" t="s">
        <v>4</v>
      </c>
      <c r="S193" s="24">
        <f>VLOOKUP($R193,ラベル別係数!$A$1:$E$7,3,FALSE)</f>
        <v>5</v>
      </c>
      <c r="T193" s="24">
        <f>VLOOKUP($R193,ラベル別係数!$A$1:$E$7,4,FALSE)</f>
        <v>1.3</v>
      </c>
      <c r="U193" s="24">
        <f>VLOOKUP($R193,ラベル別係数!$A$1:$E$7,5,FALSE)</f>
        <v>0.8</v>
      </c>
      <c r="V193" s="27">
        <v>3</v>
      </c>
      <c r="W193" s="28">
        <f>VLOOKUP(V193,ターン数別攻撃係数!$A$1:$B$1000,2,FALSE)</f>
        <v>1</v>
      </c>
      <c r="X193" s="10">
        <v>60</v>
      </c>
      <c r="Y193" s="26">
        <f>VLOOKUP($X193,サイズ別係数!$B:$E,2,FALSE)</f>
        <v>1.7</v>
      </c>
      <c r="Z193" s="26">
        <f>VLOOKUP($X193,サイズ別係数!$B:$E,3,FALSE)</f>
        <v>1.4</v>
      </c>
      <c r="AA193" s="26">
        <f>VLOOKUP($X193,サイズ別係数!$B:$E,4,FALSE)</f>
        <v>1</v>
      </c>
      <c r="AB193" s="5">
        <v>192</v>
      </c>
      <c r="AC193" s="34" t="str">
        <f ca="1">VLOOKUP($AB193,OFFSET([3]enemy_skill_sets!$B$2,0,0,COUNTA([3]enemy_skill_sets!$A:$A),MATCH(AC$1,[3]enemy_skill_sets!$1:$1,0)-MATCH($AB$1,[3]enemy_skill_sets!$1:$1,0)+1),MATCH(AC$1,[3]enemy_skill_sets!$1:$1,0)-MATCH($AB$1,[3]enemy_skill_sets!$1:$1,0)+1,FALSE)</f>
        <v>解除するまで回復力が100%DOWN</v>
      </c>
      <c r="AD193" s="27">
        <v>1</v>
      </c>
      <c r="AE193" s="37">
        <v>1</v>
      </c>
      <c r="AF193" s="37">
        <v>0</v>
      </c>
      <c r="AG193" s="28">
        <f ca="1">ROUND(VLOOKUP(1,enemy_base_stats!$A:$F,2,FALSE) * Y193* J193*O193*E193*S193*AD193*[2]ステータス!$B$2,0)</f>
        <v>3995</v>
      </c>
      <c r="AH193" s="28">
        <f ca="1">ROUND(VLOOKUP(1,enemy_base_stats!$A:$F,3,FALSE) * Z193*K193*P193*F193*T193*AE193 * W193*[2]ステータス!$C$2,0)</f>
        <v>276</v>
      </c>
      <c r="AI193" s="28">
        <f ca="1">ROUND(VLOOKUP(1,enemy_base_stats!$A:$F,4,FALSE) * AA193*L193*Q193*G193*U193*AF193*[2]ステータス!$D$2,0)</f>
        <v>0</v>
      </c>
      <c r="AJ193" s="28">
        <f ca="1">ROUND(VLOOKUP(100,enemy_base_stats!$A:$F,2,FALSE) * Y193* J193*O193*E193*S193*AD193*[2]ステータス!$B$2,0)</f>
        <v>162197</v>
      </c>
      <c r="AK193" s="28">
        <f ca="1">ROUND(VLOOKUP(100,enemy_base_stats!$A:$F,3,FALSE)* Z193* K193*P193*F193*T193*AE193 * W193*[2]ステータス!$C$2,0)</f>
        <v>11192</v>
      </c>
      <c r="AL193" s="28">
        <f ca="1">ROUND(VLOOKUP(100,enemy_base_stats!$A:$F,4,FALSE)* AA193* L193*Q193*G193*U193*AF193*[2]ステータス!$D$2,0)</f>
        <v>0</v>
      </c>
      <c r="AM193" s="24">
        <f ca="1">VLOOKUP(M193,[2]character_tribe_i18n!$A:$I,9,FALSE)</f>
        <v>400</v>
      </c>
      <c r="AN193" s="36">
        <v>0</v>
      </c>
      <c r="AO193" s="53">
        <v>0</v>
      </c>
      <c r="AP193" s="58" t="s">
        <v>72</v>
      </c>
      <c r="AQ193" s="71">
        <f t="shared" ca="1" si="4"/>
        <v>192</v>
      </c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8"/>
      <c r="BC193" s="18"/>
      <c r="BD193" s="18"/>
      <c r="BE193" s="18"/>
      <c r="BF193" s="18"/>
      <c r="BG193" s="18"/>
      <c r="BH193" s="18"/>
    </row>
    <row r="194" spans="1:60" s="3" customFormat="1" ht="21" customHeight="1" x14ac:dyDescent="0.15">
      <c r="A194" s="7">
        <f t="shared" ca="1" si="5"/>
        <v>193</v>
      </c>
      <c r="B194" s="6" t="str">
        <f ca="1">VLOOKUP(A194,[2]characters!$A:$C,3,FALSE)</f>
        <v>ロビンフッド</v>
      </c>
      <c r="C194" s="9">
        <f ca="1">VLOOKUP(A194,[2]characters!$A:$I,9,FALSE)</f>
        <v>3</v>
      </c>
      <c r="D194" s="9" t="str">
        <f ca="1">VLOOKUP(A194,[2]characters!$A:$H,8,FALSE)</f>
        <v>green</v>
      </c>
      <c r="E194" s="24">
        <f ca="1">VLOOKUP(D194,[2]属性!$A:$E,2,FALSE)</f>
        <v>1.02</v>
      </c>
      <c r="F194" s="24">
        <f ca="1">VLOOKUP(D194,[2]属性!$A:$E,3,FALSE)</f>
        <v>0.98</v>
      </c>
      <c r="G194" s="24">
        <f ca="1">VLOOKUP(D194,[2]属性!$A:$F,4,FALSE)</f>
        <v>1</v>
      </c>
      <c r="H194" s="9" t="str">
        <f ca="1">VLOOKUP(A194,[2]characters!$A:$K,11,FALSE)</f>
        <v>balance</v>
      </c>
      <c r="I194" s="14" t="str">
        <f ca="1">VLOOKUP(H194,[2]character_type_i18n!$A:$F,3,FALSE)</f>
        <v>バランスタイプ</v>
      </c>
      <c r="J194" s="36">
        <f ca="1">VLOOKUP(H194,[2]character_type_i18n!$A:$F,4,FALSE)</f>
        <v>1</v>
      </c>
      <c r="K194" s="36">
        <f ca="1">VLOOKUP(H194,[2]character_type_i18n!$A:$F,5,FALSE)</f>
        <v>1</v>
      </c>
      <c r="L194" s="36">
        <f ca="1">VLOOKUP(H194,[2]character_type_i18n!$A:$F,6,FALSE)</f>
        <v>1</v>
      </c>
      <c r="M194" s="9" t="str">
        <f ca="1">VLOOKUP(A194,[2]characters!$A:$M,13,FALSE)</f>
        <v>human</v>
      </c>
      <c r="N194" s="14" t="str">
        <f ca="1">VLOOKUP(M194,[2]character_tribe_i18n!$A:$F,3,FALSE)</f>
        <v>ヒューマン</v>
      </c>
      <c r="O194" s="24">
        <f ca="1">VLOOKUP(M194,[2]character_tribe_i18n!$A:$F,4,FALSE)</f>
        <v>0.94</v>
      </c>
      <c r="P194" s="24">
        <f ca="1">VLOOKUP(M194,[2]character_tribe_i18n!$A:$F,5,FALSE)</f>
        <v>0.99</v>
      </c>
      <c r="Q194" s="24">
        <f ca="1">VLOOKUP(M194,[2]character_tribe_i18n!$A:$F,6,FALSE)</f>
        <v>1</v>
      </c>
      <c r="R194" s="25" t="s">
        <v>86</v>
      </c>
      <c r="S194" s="24">
        <f>VLOOKUP($R194,ラベル別係数!$A$1:$E$7,3,FALSE)</f>
        <v>10</v>
      </c>
      <c r="T194" s="24">
        <f>VLOOKUP($R194,ラベル別係数!$A$1:$E$7,4,FALSE)</f>
        <v>1</v>
      </c>
      <c r="U194" s="24">
        <f>VLOOKUP($R194,ラベル別係数!$A$1:$E$7,5,FALSE)</f>
        <v>0.8</v>
      </c>
      <c r="V194" s="27">
        <v>3</v>
      </c>
      <c r="W194" s="28">
        <f>VLOOKUP(V194,ターン数別攻撃係数!$A$1:$B$1000,2,FALSE)</f>
        <v>1</v>
      </c>
      <c r="X194" s="10">
        <v>20</v>
      </c>
      <c r="Y194" s="26">
        <f>VLOOKUP($X194,サイズ別係数!$B:$E,2,FALSE)</f>
        <v>1.1000000000000001</v>
      </c>
      <c r="Z194" s="26">
        <f>VLOOKUP($X194,サイズ別係数!$B:$E,3,FALSE)</f>
        <v>1.2</v>
      </c>
      <c r="AA194" s="26">
        <f>VLOOKUP($X194,サイズ別係数!$B:$E,4,FALSE)</f>
        <v>1.2</v>
      </c>
      <c r="AB194" s="5">
        <v>193</v>
      </c>
      <c r="AC194" s="34" t="str">
        <f ca="1">VLOOKUP($AB194,OFFSET([3]enemy_skill_sets!$B$2,0,0,COUNTA([3]enemy_skill_sets!$A:$A),MATCH(AC$1,[3]enemy_skill_sets!$1:$1,0)-MATCH($AB$1,[3]enemy_skill_sets!$1:$1,0)+1),MATCH(AC$1,[3]enemy_skill_sets!$1:$1,0)-MATCH($AB$1,[3]enemy_skill_sets!$1:$1,0)+1,FALSE)</f>
        <v>5回連続攻撃</v>
      </c>
      <c r="AD194" s="27">
        <v>1</v>
      </c>
      <c r="AE194" s="37">
        <v>1</v>
      </c>
      <c r="AF194" s="37">
        <v>0</v>
      </c>
      <c r="AG194" s="28">
        <f ca="1">ROUND(VLOOKUP(1,enemy_base_stats!$A:$F,2,FALSE) * Y194* J194*O194*E194*S194*AD194*[2]ステータス!$B$2,0)</f>
        <v>5273</v>
      </c>
      <c r="AH194" s="28">
        <f ca="1">ROUND(VLOOKUP(1,enemy_base_stats!$A:$F,3,FALSE) * Z194*K194*P194*F194*T194*AE194 * W194*[2]ステータス!$C$2,0)</f>
        <v>175</v>
      </c>
      <c r="AI194" s="28">
        <f ca="1">ROUND(VLOOKUP(1,enemy_base_stats!$A:$F,4,FALSE) * AA194*L194*Q194*G194*U194*AF194*[2]ステータス!$D$2,0)</f>
        <v>0</v>
      </c>
      <c r="AJ194" s="28">
        <f ca="1">ROUND(VLOOKUP(100,enemy_base_stats!$A:$F,2,FALSE) * Y194* J194*O194*E194*S194*AD194*[2]ステータス!$B$2,0)</f>
        <v>214100</v>
      </c>
      <c r="AK194" s="28">
        <f ca="1">ROUND(VLOOKUP(100,enemy_base_stats!$A:$F,3,FALSE)* Z194* K194*P194*F194*T194*AE194 * W194*[2]ステータス!$C$2,0)</f>
        <v>7090</v>
      </c>
      <c r="AL194" s="28">
        <f ca="1">ROUND(VLOOKUP(100,enemy_base_stats!$A:$F,4,FALSE)* AA194* L194*Q194*G194*U194*AF194*[2]ステータス!$D$2,0)</f>
        <v>0</v>
      </c>
      <c r="AM194" s="24">
        <f ca="1">VLOOKUP(M194,[2]character_tribe_i18n!$A:$I,9,FALSE)</f>
        <v>400</v>
      </c>
      <c r="AN194" s="36">
        <v>0</v>
      </c>
      <c r="AO194" s="53">
        <v>0</v>
      </c>
      <c r="AP194" s="58" t="s">
        <v>72</v>
      </c>
      <c r="AQ194" s="71">
        <f t="shared" ref="AQ194:AQ257" ca="1" si="6">A194</f>
        <v>193</v>
      </c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</row>
    <row r="195" spans="1:60" s="3" customFormat="1" ht="21" customHeight="1" x14ac:dyDescent="0.15">
      <c r="A195" s="7">
        <f t="shared" ref="A195:A258" ca="1" si="7">INDIRECT(ADDRESS(ROW(),COLUMN(),1,TRUE,"[CharacterMasterData.xlsm]characters"))</f>
        <v>194</v>
      </c>
      <c r="B195" s="6" t="str">
        <f ca="1">VLOOKUP(A195,[2]characters!$A:$C,3,FALSE)</f>
        <v>スナイパー ロビンフッド</v>
      </c>
      <c r="C195" s="9">
        <f ca="1">VLOOKUP(A195,[2]characters!$A:$I,9,FALSE)</f>
        <v>4</v>
      </c>
      <c r="D195" s="9" t="str">
        <f ca="1">VLOOKUP(A195,[2]characters!$A:$H,8,FALSE)</f>
        <v>green</v>
      </c>
      <c r="E195" s="24">
        <f ca="1">VLOOKUP(D195,[2]属性!$A:$E,2,FALSE)</f>
        <v>1.02</v>
      </c>
      <c r="F195" s="24">
        <f ca="1">VLOOKUP(D195,[2]属性!$A:$E,3,FALSE)</f>
        <v>0.98</v>
      </c>
      <c r="G195" s="24">
        <f ca="1">VLOOKUP(D195,[2]属性!$A:$F,4,FALSE)</f>
        <v>1</v>
      </c>
      <c r="H195" s="9" t="str">
        <f ca="1">VLOOKUP(A195,[2]characters!$A:$K,11,FALSE)</f>
        <v>balance</v>
      </c>
      <c r="I195" s="14" t="str">
        <f ca="1">VLOOKUP(H195,[2]character_type_i18n!$A:$F,3,FALSE)</f>
        <v>バランスタイプ</v>
      </c>
      <c r="J195" s="36">
        <f ca="1">VLOOKUP(H195,[2]character_type_i18n!$A:$F,4,FALSE)</f>
        <v>1</v>
      </c>
      <c r="K195" s="36">
        <f ca="1">VLOOKUP(H195,[2]character_type_i18n!$A:$F,5,FALSE)</f>
        <v>1</v>
      </c>
      <c r="L195" s="36">
        <f ca="1">VLOOKUP(H195,[2]character_type_i18n!$A:$F,6,FALSE)</f>
        <v>1</v>
      </c>
      <c r="M195" s="9" t="str">
        <f ca="1">VLOOKUP(A195,[2]characters!$A:$M,13,FALSE)</f>
        <v>human</v>
      </c>
      <c r="N195" s="14" t="str">
        <f ca="1">VLOOKUP(M195,[2]character_tribe_i18n!$A:$F,3,FALSE)</f>
        <v>ヒューマン</v>
      </c>
      <c r="O195" s="24">
        <f ca="1">VLOOKUP(M195,[2]character_tribe_i18n!$A:$F,4,FALSE)</f>
        <v>0.94</v>
      </c>
      <c r="P195" s="24">
        <f ca="1">VLOOKUP(M195,[2]character_tribe_i18n!$A:$F,5,FALSE)</f>
        <v>0.99</v>
      </c>
      <c r="Q195" s="24">
        <f ca="1">VLOOKUP(M195,[2]character_tribe_i18n!$A:$F,6,FALSE)</f>
        <v>1</v>
      </c>
      <c r="R195" s="25" t="s">
        <v>4</v>
      </c>
      <c r="S195" s="24">
        <f>VLOOKUP($R195,ラベル別係数!$A$1:$E$7,3,FALSE)</f>
        <v>5</v>
      </c>
      <c r="T195" s="24">
        <f>VLOOKUP($R195,ラベル別係数!$A$1:$E$7,4,FALSE)</f>
        <v>1.3</v>
      </c>
      <c r="U195" s="24">
        <f>VLOOKUP($R195,ラベル別係数!$A$1:$E$7,5,FALSE)</f>
        <v>0.8</v>
      </c>
      <c r="V195" s="27">
        <v>3</v>
      </c>
      <c r="W195" s="28">
        <f>VLOOKUP(V195,ターン数別攻撃係数!$A$1:$B$1000,2,FALSE)</f>
        <v>1</v>
      </c>
      <c r="X195" s="10">
        <v>30</v>
      </c>
      <c r="Y195" s="26">
        <f>VLOOKUP($X195,サイズ別係数!$B:$E,2,FALSE)</f>
        <v>1.3</v>
      </c>
      <c r="Z195" s="26">
        <f>VLOOKUP($X195,サイズ別係数!$B:$E,3,FALSE)</f>
        <v>1.3</v>
      </c>
      <c r="AA195" s="26">
        <f>VLOOKUP($X195,サイズ別係数!$B:$E,4,FALSE)</f>
        <v>1.1000000000000001</v>
      </c>
      <c r="AB195" s="5">
        <v>194</v>
      </c>
      <c r="AC195" s="34" t="str">
        <f ca="1">VLOOKUP($AB195,OFFSET([3]enemy_skill_sets!$B$2,0,0,COUNTA([3]enemy_skill_sets!$A:$A),MATCH(AC$1,[3]enemy_skill_sets!$1:$1,0)-MATCH($AB$1,[3]enemy_skill_sets!$1:$1,0)+1),MATCH(AC$1,[3]enemy_skill_sets!$1:$1,0)-MATCH($AB$1,[3]enemy_skill_sets!$1:$1,0)+1,FALSE)</f>
        <v>8回連続攻撃</v>
      </c>
      <c r="AD195" s="27">
        <v>1</v>
      </c>
      <c r="AE195" s="37">
        <v>1</v>
      </c>
      <c r="AF195" s="37">
        <v>0</v>
      </c>
      <c r="AG195" s="28">
        <f ca="1">ROUND(VLOOKUP(1,enemy_base_stats!$A:$F,2,FALSE) * Y195* J195*O195*E195*S195*AD195*[2]ステータス!$B$2,0)</f>
        <v>3116</v>
      </c>
      <c r="AH195" s="28">
        <f ca="1">ROUND(VLOOKUP(1,enemy_base_stats!$A:$F,3,FALSE) * Z195*K195*P195*F195*T195*AE195 * W195*[2]ステータス!$C$2,0)</f>
        <v>246</v>
      </c>
      <c r="AI195" s="28">
        <f ca="1">ROUND(VLOOKUP(1,enemy_base_stats!$A:$F,4,FALSE) * AA195*L195*Q195*G195*U195*AF195*[2]ステータス!$D$2,0)</f>
        <v>0</v>
      </c>
      <c r="AJ195" s="28">
        <f ca="1">ROUND(VLOOKUP(100,enemy_base_stats!$A:$F,2,FALSE) * Y195* J195*O195*E195*S195*AD195*[2]ステータス!$B$2,0)</f>
        <v>126514</v>
      </c>
      <c r="AK195" s="28">
        <f ca="1">ROUND(VLOOKUP(100,enemy_base_stats!$A:$F,3,FALSE)* Z195* K195*P195*F195*T195*AE195 * W195*[2]ステータス!$C$2,0)</f>
        <v>9985</v>
      </c>
      <c r="AL195" s="28">
        <f ca="1">ROUND(VLOOKUP(100,enemy_base_stats!$A:$F,4,FALSE)* AA195* L195*Q195*G195*U195*AF195*[2]ステータス!$D$2,0)</f>
        <v>0</v>
      </c>
      <c r="AM195" s="24">
        <f ca="1">VLOOKUP(M195,[2]character_tribe_i18n!$A:$I,9,FALSE)</f>
        <v>400</v>
      </c>
      <c r="AN195" s="36">
        <v>0</v>
      </c>
      <c r="AO195" s="53">
        <v>0</v>
      </c>
      <c r="AP195" s="58" t="s">
        <v>72</v>
      </c>
      <c r="AQ195" s="71">
        <f t="shared" ca="1" si="6"/>
        <v>194</v>
      </c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</row>
    <row r="196" spans="1:60" s="3" customFormat="1" ht="21" customHeight="1" x14ac:dyDescent="0.15">
      <c r="A196" s="7">
        <f t="shared" ca="1" si="7"/>
        <v>195</v>
      </c>
      <c r="B196" s="6" t="str">
        <f ca="1">VLOOKUP(A196,[2]characters!$A:$C,3,FALSE)</f>
        <v>グランドハンター ロビンフッド</v>
      </c>
      <c r="C196" s="9">
        <f ca="1">VLOOKUP(A196,[2]characters!$A:$I,9,FALSE)</f>
        <v>5</v>
      </c>
      <c r="D196" s="9" t="str">
        <f ca="1">VLOOKUP(A196,[2]characters!$A:$H,8,FALSE)</f>
        <v>green</v>
      </c>
      <c r="E196" s="24">
        <f ca="1">VLOOKUP(D196,[2]属性!$A:$E,2,FALSE)</f>
        <v>1.02</v>
      </c>
      <c r="F196" s="24">
        <f ca="1">VLOOKUP(D196,[2]属性!$A:$E,3,FALSE)</f>
        <v>0.98</v>
      </c>
      <c r="G196" s="24">
        <f ca="1">VLOOKUP(D196,[2]属性!$A:$F,4,FALSE)</f>
        <v>1</v>
      </c>
      <c r="H196" s="9" t="str">
        <f ca="1">VLOOKUP(A196,[2]characters!$A:$K,11,FALSE)</f>
        <v>balance</v>
      </c>
      <c r="I196" s="14" t="str">
        <f ca="1">VLOOKUP(H196,[2]character_type_i18n!$A:$F,3,FALSE)</f>
        <v>バランスタイプ</v>
      </c>
      <c r="J196" s="36">
        <f ca="1">VLOOKUP(H196,[2]character_type_i18n!$A:$F,4,FALSE)</f>
        <v>1</v>
      </c>
      <c r="K196" s="36">
        <f ca="1">VLOOKUP(H196,[2]character_type_i18n!$A:$F,5,FALSE)</f>
        <v>1</v>
      </c>
      <c r="L196" s="36">
        <f ca="1">VLOOKUP(H196,[2]character_type_i18n!$A:$F,6,FALSE)</f>
        <v>1</v>
      </c>
      <c r="M196" s="9" t="str">
        <f ca="1">VLOOKUP(A196,[2]characters!$A:$M,13,FALSE)</f>
        <v>human</v>
      </c>
      <c r="N196" s="14" t="str">
        <f ca="1">VLOOKUP(M196,[2]character_tribe_i18n!$A:$F,3,FALSE)</f>
        <v>ヒューマン</v>
      </c>
      <c r="O196" s="24">
        <f ca="1">VLOOKUP(M196,[2]character_tribe_i18n!$A:$F,4,FALSE)</f>
        <v>0.94</v>
      </c>
      <c r="P196" s="24">
        <f ca="1">VLOOKUP(M196,[2]character_tribe_i18n!$A:$F,5,FALSE)</f>
        <v>0.99</v>
      </c>
      <c r="Q196" s="24">
        <f ca="1">VLOOKUP(M196,[2]character_tribe_i18n!$A:$F,6,FALSE)</f>
        <v>1</v>
      </c>
      <c r="R196" s="25" t="s">
        <v>4</v>
      </c>
      <c r="S196" s="24">
        <f>VLOOKUP($R196,ラベル別係数!$A$1:$E$7,3,FALSE)</f>
        <v>5</v>
      </c>
      <c r="T196" s="24">
        <f>VLOOKUP($R196,ラベル別係数!$A$1:$E$7,4,FALSE)</f>
        <v>1.3</v>
      </c>
      <c r="U196" s="24">
        <f>VLOOKUP($R196,ラベル別係数!$A$1:$E$7,5,FALSE)</f>
        <v>0.8</v>
      </c>
      <c r="V196" s="27">
        <v>3</v>
      </c>
      <c r="W196" s="28">
        <f>VLOOKUP(V196,ターン数別攻撃係数!$A$1:$B$1000,2,FALSE)</f>
        <v>1</v>
      </c>
      <c r="X196" s="10">
        <v>60</v>
      </c>
      <c r="Y196" s="26">
        <f>VLOOKUP($X196,サイズ別係数!$B:$E,2,FALSE)</f>
        <v>1.7</v>
      </c>
      <c r="Z196" s="26">
        <f>VLOOKUP($X196,サイズ別係数!$B:$E,3,FALSE)</f>
        <v>1.4</v>
      </c>
      <c r="AA196" s="26">
        <f>VLOOKUP($X196,サイズ別係数!$B:$E,4,FALSE)</f>
        <v>1</v>
      </c>
      <c r="AB196" s="5">
        <v>0</v>
      </c>
      <c r="AC196" s="34" t="str">
        <f ca="1">VLOOKUP($AB196,OFFSET([3]enemy_skill_sets!$B$2,0,0,COUNTA([3]enemy_skill_sets!$A:$A),MATCH(AC$1,[3]enemy_skill_sets!$1:$1,0)-MATCH($AB$1,[3]enemy_skill_sets!$1:$1,0)+1),MATCH(AC$1,[3]enemy_skill_sets!$1:$1,0)-MATCH($AB$1,[3]enemy_skill_sets!$1:$1,0)+1,FALSE)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96" s="27">
        <v>1</v>
      </c>
      <c r="AE196" s="37">
        <v>1</v>
      </c>
      <c r="AF196" s="37">
        <v>0</v>
      </c>
      <c r="AG196" s="28">
        <f ca="1">ROUND(VLOOKUP(1,enemy_base_stats!$A:$F,2,FALSE) * Y196* J196*O196*E196*S196*AD196*[2]ステータス!$B$2,0)</f>
        <v>4075</v>
      </c>
      <c r="AH196" s="28">
        <f ca="1">ROUND(VLOOKUP(1,enemy_base_stats!$A:$F,3,FALSE) * Z196*K196*P196*F196*T196*AE196 * W196*[2]ステータス!$C$2,0)</f>
        <v>265</v>
      </c>
      <c r="AI196" s="28">
        <f ca="1">ROUND(VLOOKUP(1,enemy_base_stats!$A:$F,4,FALSE) * AA196*L196*Q196*G196*U196*AF196*[2]ステータス!$D$2,0)</f>
        <v>0</v>
      </c>
      <c r="AJ196" s="28">
        <f ca="1">ROUND(VLOOKUP(100,enemy_base_stats!$A:$F,2,FALSE) * Y196* J196*O196*E196*S196*AD196*[2]ステータス!$B$2,0)</f>
        <v>165441</v>
      </c>
      <c r="AK196" s="28">
        <f ca="1">ROUND(VLOOKUP(100,enemy_base_stats!$A:$F,3,FALSE)* Z196* K196*P196*F196*T196*AE196 * W196*[2]ステータス!$C$2,0)</f>
        <v>10754</v>
      </c>
      <c r="AL196" s="28">
        <f ca="1">ROUND(VLOOKUP(100,enemy_base_stats!$A:$F,4,FALSE)* AA196* L196*Q196*G196*U196*AF196*[2]ステータス!$D$2,0)</f>
        <v>0</v>
      </c>
      <c r="AM196" s="24">
        <f ca="1">VLOOKUP(M196,[2]character_tribe_i18n!$A:$I,9,FALSE)</f>
        <v>400</v>
      </c>
      <c r="AN196" s="36">
        <v>0</v>
      </c>
      <c r="AO196" s="53">
        <v>0</v>
      </c>
      <c r="AP196" s="58" t="s">
        <v>72</v>
      </c>
      <c r="AQ196" s="71">
        <f t="shared" ca="1" si="6"/>
        <v>195</v>
      </c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</row>
    <row r="197" spans="1:60" s="3" customFormat="1" ht="21" customHeight="1" x14ac:dyDescent="0.15">
      <c r="A197" s="7">
        <f t="shared" ca="1" si="7"/>
        <v>196</v>
      </c>
      <c r="B197" s="6" t="str">
        <f ca="1">VLOOKUP(A197,[2]characters!$A:$C,3,FALSE)</f>
        <v>アキレス</v>
      </c>
      <c r="C197" s="9">
        <f ca="1">VLOOKUP(A197,[2]characters!$A:$I,9,FALSE)</f>
        <v>3</v>
      </c>
      <c r="D197" s="9" t="str">
        <f ca="1">VLOOKUP(A197,[2]characters!$A:$H,8,FALSE)</f>
        <v>yellow</v>
      </c>
      <c r="E197" s="24">
        <f ca="1">VLOOKUP(D197,[2]属性!$A:$E,2,FALSE)</f>
        <v>0.98</v>
      </c>
      <c r="F197" s="24">
        <f ca="1">VLOOKUP(D197,[2]属性!$A:$E,3,FALSE)</f>
        <v>1.01</v>
      </c>
      <c r="G197" s="24">
        <f ca="1">VLOOKUP(D197,[2]属性!$A:$F,4,FALSE)</f>
        <v>1</v>
      </c>
      <c r="H197" s="9" t="str">
        <f ca="1">VLOOKUP(A197,[2]characters!$A:$K,11,FALSE)</f>
        <v>balance</v>
      </c>
      <c r="I197" s="14" t="str">
        <f ca="1">VLOOKUP(H197,[2]character_type_i18n!$A:$F,3,FALSE)</f>
        <v>バランスタイプ</v>
      </c>
      <c r="J197" s="36">
        <f ca="1">VLOOKUP(H197,[2]character_type_i18n!$A:$F,4,FALSE)</f>
        <v>1</v>
      </c>
      <c r="K197" s="36">
        <f ca="1">VLOOKUP(H197,[2]character_type_i18n!$A:$F,5,FALSE)</f>
        <v>1</v>
      </c>
      <c r="L197" s="36">
        <f ca="1">VLOOKUP(H197,[2]character_type_i18n!$A:$F,6,FALSE)</f>
        <v>1</v>
      </c>
      <c r="M197" s="9" t="str">
        <f ca="1">VLOOKUP(A197,[2]characters!$A:$M,13,FALSE)</f>
        <v>human</v>
      </c>
      <c r="N197" s="14" t="str">
        <f ca="1">VLOOKUP(M197,[2]character_tribe_i18n!$A:$F,3,FALSE)</f>
        <v>ヒューマン</v>
      </c>
      <c r="O197" s="24">
        <f ca="1">VLOOKUP(M197,[2]character_tribe_i18n!$A:$F,4,FALSE)</f>
        <v>0.94</v>
      </c>
      <c r="P197" s="24">
        <f ca="1">VLOOKUP(M197,[2]character_tribe_i18n!$A:$F,5,FALSE)</f>
        <v>0.99</v>
      </c>
      <c r="Q197" s="24">
        <f ca="1">VLOOKUP(M197,[2]character_tribe_i18n!$A:$F,6,FALSE)</f>
        <v>1</v>
      </c>
      <c r="R197" s="25" t="s">
        <v>4</v>
      </c>
      <c r="S197" s="24">
        <f>VLOOKUP($R197,ラベル別係数!$A$1:$E$7,3,FALSE)</f>
        <v>5</v>
      </c>
      <c r="T197" s="24">
        <f>VLOOKUP($R197,ラベル別係数!$A$1:$E$7,4,FALSE)</f>
        <v>1.3</v>
      </c>
      <c r="U197" s="24">
        <f>VLOOKUP($R197,ラベル別係数!$A$1:$E$7,5,FALSE)</f>
        <v>0.8</v>
      </c>
      <c r="V197" s="27">
        <v>2</v>
      </c>
      <c r="W197" s="28">
        <f>VLOOKUP(V197,ターン数別攻撃係数!$A$1:$B$1000,2,FALSE)</f>
        <v>0.75</v>
      </c>
      <c r="X197" s="10">
        <v>20</v>
      </c>
      <c r="Y197" s="26">
        <f>VLOOKUP($X197,サイズ別係数!$B:$E,2,FALSE)</f>
        <v>1.1000000000000001</v>
      </c>
      <c r="Z197" s="26">
        <f>VLOOKUP($X197,サイズ別係数!$B:$E,3,FALSE)</f>
        <v>1.2</v>
      </c>
      <c r="AA197" s="26">
        <f>VLOOKUP($X197,サイズ別係数!$B:$E,4,FALSE)</f>
        <v>1.2</v>
      </c>
      <c r="AB197" s="5">
        <v>0</v>
      </c>
      <c r="AC197" s="34" t="str">
        <f ca="1">VLOOKUP($AB197,OFFSET([3]enemy_skill_sets!$B$2,0,0,COUNTA([3]enemy_skill_sets!$A:$A),MATCH(AC$1,[3]enemy_skill_sets!$1:$1,0)-MATCH($AB$1,[3]enemy_skill_sets!$1:$1,0)+1),MATCH(AC$1,[3]enemy_skill_sets!$1:$1,0)-MATCH($AB$1,[3]enemy_skill_sets!$1:$1,0)+1,FALSE)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97" s="27">
        <v>1</v>
      </c>
      <c r="AE197" s="37">
        <v>1</v>
      </c>
      <c r="AF197" s="37">
        <v>0</v>
      </c>
      <c r="AG197" s="28">
        <f ca="1">ROUND(VLOOKUP(1,enemy_base_stats!$A:$F,2,FALSE) * Y197* J197*O197*E197*S197*AD197*[2]ステータス!$B$2,0)</f>
        <v>2533</v>
      </c>
      <c r="AH197" s="28">
        <f ca="1">ROUND(VLOOKUP(1,enemy_base_stats!$A:$F,3,FALSE) * Z197*K197*P197*F197*T197*AE197 * W197*[2]ステータス!$C$2,0)</f>
        <v>175</v>
      </c>
      <c r="AI197" s="28">
        <f ca="1">ROUND(VLOOKUP(1,enemy_base_stats!$A:$F,4,FALSE) * AA197*L197*Q197*G197*U197*AF197*[2]ステータス!$D$2,0)</f>
        <v>0</v>
      </c>
      <c r="AJ197" s="28">
        <f ca="1">ROUND(VLOOKUP(100,enemy_base_stats!$A:$F,2,FALSE) * Y197* J197*O197*E197*S197*AD197*[2]ステータス!$B$2,0)</f>
        <v>102852</v>
      </c>
      <c r="AK197" s="28">
        <f ca="1">ROUND(VLOOKUP(100,enemy_base_stats!$A:$F,3,FALSE)* Z197* K197*P197*F197*T197*AE197 * W197*[2]ステータス!$C$2,0)</f>
        <v>7125</v>
      </c>
      <c r="AL197" s="28">
        <f ca="1">ROUND(VLOOKUP(100,enemy_base_stats!$A:$F,4,FALSE)* AA197* L197*Q197*G197*U197*AF197*[2]ステータス!$D$2,0)</f>
        <v>0</v>
      </c>
      <c r="AM197" s="24">
        <f ca="1">VLOOKUP(M197,[2]character_tribe_i18n!$A:$I,9,FALSE)</f>
        <v>400</v>
      </c>
      <c r="AN197" s="36">
        <v>0</v>
      </c>
      <c r="AO197" s="53">
        <v>0</v>
      </c>
      <c r="AP197" s="58" t="s">
        <v>72</v>
      </c>
      <c r="AQ197" s="71">
        <f t="shared" ca="1" si="6"/>
        <v>196</v>
      </c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8"/>
      <c r="BC197" s="18"/>
      <c r="BD197" s="18"/>
      <c r="BE197" s="18"/>
      <c r="BF197" s="18"/>
      <c r="BG197" s="18"/>
      <c r="BH197" s="18"/>
    </row>
    <row r="198" spans="1:60" s="3" customFormat="1" ht="21" customHeight="1" x14ac:dyDescent="0.15">
      <c r="A198" s="7">
        <f t="shared" ca="1" si="7"/>
        <v>197</v>
      </c>
      <c r="B198" s="6" t="str">
        <f ca="1">VLOOKUP(A198,[2]characters!$A:$C,3,FALSE)</f>
        <v>鉄腕 アキレス</v>
      </c>
      <c r="C198" s="9">
        <f ca="1">VLOOKUP(A198,[2]characters!$A:$I,9,FALSE)</f>
        <v>4</v>
      </c>
      <c r="D198" s="9" t="str">
        <f ca="1">VLOOKUP(A198,[2]characters!$A:$H,8,FALSE)</f>
        <v>yellow</v>
      </c>
      <c r="E198" s="24">
        <f ca="1">VLOOKUP(D198,[2]属性!$A:$E,2,FALSE)</f>
        <v>0.98</v>
      </c>
      <c r="F198" s="24">
        <f ca="1">VLOOKUP(D198,[2]属性!$A:$E,3,FALSE)</f>
        <v>1.01</v>
      </c>
      <c r="G198" s="24">
        <f ca="1">VLOOKUP(D198,[2]属性!$A:$F,4,FALSE)</f>
        <v>1</v>
      </c>
      <c r="H198" s="9" t="str">
        <f ca="1">VLOOKUP(A198,[2]characters!$A:$K,11,FALSE)</f>
        <v>balance</v>
      </c>
      <c r="I198" s="14" t="str">
        <f ca="1">VLOOKUP(H198,[2]character_type_i18n!$A:$F,3,FALSE)</f>
        <v>バランスタイプ</v>
      </c>
      <c r="J198" s="36">
        <f ca="1">VLOOKUP(H198,[2]character_type_i18n!$A:$F,4,FALSE)</f>
        <v>1</v>
      </c>
      <c r="K198" s="36">
        <f ca="1">VLOOKUP(H198,[2]character_type_i18n!$A:$F,5,FALSE)</f>
        <v>1</v>
      </c>
      <c r="L198" s="36">
        <f ca="1">VLOOKUP(H198,[2]character_type_i18n!$A:$F,6,FALSE)</f>
        <v>1</v>
      </c>
      <c r="M198" s="9" t="str">
        <f ca="1">VLOOKUP(A198,[2]characters!$A:$M,13,FALSE)</f>
        <v>human</v>
      </c>
      <c r="N198" s="14" t="str">
        <f ca="1">VLOOKUP(M198,[2]character_tribe_i18n!$A:$F,3,FALSE)</f>
        <v>ヒューマン</v>
      </c>
      <c r="O198" s="24">
        <f ca="1">VLOOKUP(M198,[2]character_tribe_i18n!$A:$F,4,FALSE)</f>
        <v>0.94</v>
      </c>
      <c r="P198" s="24">
        <f ca="1">VLOOKUP(M198,[2]character_tribe_i18n!$A:$F,5,FALSE)</f>
        <v>0.99</v>
      </c>
      <c r="Q198" s="24">
        <f ca="1">VLOOKUP(M198,[2]character_tribe_i18n!$A:$F,6,FALSE)</f>
        <v>1</v>
      </c>
      <c r="R198" s="25" t="s">
        <v>87</v>
      </c>
      <c r="S198" s="24">
        <f>VLOOKUP($R198,ラベル別係数!$A$1:$E$7,3,FALSE)</f>
        <v>7.5</v>
      </c>
      <c r="T198" s="24">
        <f>VLOOKUP($R198,ラベル別係数!$A$1:$E$7,4,FALSE)</f>
        <v>1</v>
      </c>
      <c r="U198" s="24">
        <f>VLOOKUP($R198,ラベル別係数!$A$1:$E$7,5,FALSE)</f>
        <v>0.8</v>
      </c>
      <c r="V198" s="27">
        <v>2</v>
      </c>
      <c r="W198" s="28">
        <f>VLOOKUP(V198,ターン数別攻撃係数!$A$1:$B$1000,2,FALSE)</f>
        <v>0.75</v>
      </c>
      <c r="X198" s="10">
        <v>30</v>
      </c>
      <c r="Y198" s="26">
        <f>VLOOKUP($X198,サイズ別係数!$B:$E,2,FALSE)</f>
        <v>1.3</v>
      </c>
      <c r="Z198" s="26">
        <f>VLOOKUP($X198,サイズ別係数!$B:$E,3,FALSE)</f>
        <v>1.3</v>
      </c>
      <c r="AA198" s="26">
        <f>VLOOKUP($X198,サイズ別係数!$B:$E,4,FALSE)</f>
        <v>1.1000000000000001</v>
      </c>
      <c r="AB198" s="5">
        <v>198</v>
      </c>
      <c r="AC198" s="34" t="str">
        <f ca="1">VLOOKUP($AB198,OFFSET([3]enemy_skill_sets!$B$2,0,0,COUNTA([3]enemy_skill_sets!$A:$A),MATCH(AC$1,[3]enemy_skill_sets!$1:$1,0)-MATCH($AB$1,[3]enemy_skill_sets!$1:$1,0)+1),MATCH(AC$1,[3]enemy_skill_sets!$1:$1,0)-MATCH($AB$1,[3]enemy_skill_sets!$1:$1,0)+1,FALSE)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98" s="27">
        <v>1</v>
      </c>
      <c r="AE198" s="37">
        <v>1</v>
      </c>
      <c r="AF198" s="37">
        <v>0</v>
      </c>
      <c r="AG198" s="28">
        <f ca="1">ROUND(VLOOKUP(1,enemy_base_stats!$A:$F,2,FALSE) * Y198* J198*O198*E198*S198*AD198*[2]ステータス!$B$2,0)</f>
        <v>4491</v>
      </c>
      <c r="AH198" s="28">
        <f ca="1">ROUND(VLOOKUP(1,enemy_base_stats!$A:$F,3,FALSE) * Z198*K198*P198*F198*T198*AE198 * W198*[2]ステータス!$C$2,0)</f>
        <v>146</v>
      </c>
      <c r="AI198" s="28">
        <f ca="1">ROUND(VLOOKUP(1,enemy_base_stats!$A:$F,4,FALSE) * AA198*L198*Q198*G198*U198*AF198*[2]ステータス!$D$2,0)</f>
        <v>0</v>
      </c>
      <c r="AJ198" s="28">
        <f ca="1">ROUND(VLOOKUP(100,enemy_base_stats!$A:$F,2,FALSE) * Y198* J198*O198*E198*S198*AD198*[2]ステータス!$B$2,0)</f>
        <v>182329</v>
      </c>
      <c r="AK198" s="28">
        <f ca="1">ROUND(VLOOKUP(100,enemy_base_stats!$A:$F,3,FALSE)* Z198* K198*P198*F198*T198*AE198 * W198*[2]ステータス!$C$2,0)</f>
        <v>5937</v>
      </c>
      <c r="AL198" s="28">
        <f ca="1">ROUND(VLOOKUP(100,enemy_base_stats!$A:$F,4,FALSE)* AA198* L198*Q198*G198*U198*AF198*[2]ステータス!$D$2,0)</f>
        <v>0</v>
      </c>
      <c r="AM198" s="24">
        <f ca="1">VLOOKUP(M198,[2]character_tribe_i18n!$A:$I,9,FALSE)</f>
        <v>400</v>
      </c>
      <c r="AN198" s="36">
        <v>0</v>
      </c>
      <c r="AO198" s="53">
        <v>0</v>
      </c>
      <c r="AP198" s="58" t="s">
        <v>72</v>
      </c>
      <c r="AQ198" s="71">
        <f t="shared" ca="1" si="6"/>
        <v>197</v>
      </c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8"/>
      <c r="BC198" s="18"/>
      <c r="BD198" s="18"/>
      <c r="BE198" s="18"/>
      <c r="BF198" s="18"/>
      <c r="BG198" s="18"/>
      <c r="BH198" s="18"/>
    </row>
    <row r="199" spans="1:60" s="3" customFormat="1" ht="21" customHeight="1" x14ac:dyDescent="0.15">
      <c r="A199" s="7">
        <f t="shared" ca="1" si="7"/>
        <v>198</v>
      </c>
      <c r="B199" s="6" t="str">
        <f ca="1">VLOOKUP(A199,[2]characters!$A:$C,3,FALSE)</f>
        <v>砕骨の剛腕 アキレス</v>
      </c>
      <c r="C199" s="9">
        <f ca="1">VLOOKUP(A199,[2]characters!$A:$I,9,FALSE)</f>
        <v>5</v>
      </c>
      <c r="D199" s="9" t="str">
        <f ca="1">VLOOKUP(A199,[2]characters!$A:$H,8,FALSE)</f>
        <v>yellow</v>
      </c>
      <c r="E199" s="24">
        <f ca="1">VLOOKUP(D199,[2]属性!$A:$E,2,FALSE)</f>
        <v>0.98</v>
      </c>
      <c r="F199" s="24">
        <f ca="1">VLOOKUP(D199,[2]属性!$A:$E,3,FALSE)</f>
        <v>1.01</v>
      </c>
      <c r="G199" s="24">
        <f ca="1">VLOOKUP(D199,[2]属性!$A:$F,4,FALSE)</f>
        <v>1</v>
      </c>
      <c r="H199" s="9" t="str">
        <f ca="1">VLOOKUP(A199,[2]characters!$A:$K,11,FALSE)</f>
        <v>balance</v>
      </c>
      <c r="I199" s="14" t="str">
        <f ca="1">VLOOKUP(H199,[2]character_type_i18n!$A:$F,3,FALSE)</f>
        <v>バランスタイプ</v>
      </c>
      <c r="J199" s="36">
        <f ca="1">VLOOKUP(H199,[2]character_type_i18n!$A:$F,4,FALSE)</f>
        <v>1</v>
      </c>
      <c r="K199" s="36">
        <f ca="1">VLOOKUP(H199,[2]character_type_i18n!$A:$F,5,FALSE)</f>
        <v>1</v>
      </c>
      <c r="L199" s="36">
        <f ca="1">VLOOKUP(H199,[2]character_type_i18n!$A:$F,6,FALSE)</f>
        <v>1</v>
      </c>
      <c r="M199" s="9" t="str">
        <f ca="1">VLOOKUP(A199,[2]characters!$A:$M,13,FALSE)</f>
        <v>human</v>
      </c>
      <c r="N199" s="14" t="str">
        <f ca="1">VLOOKUP(M199,[2]character_tribe_i18n!$A:$F,3,FALSE)</f>
        <v>ヒューマン</v>
      </c>
      <c r="O199" s="24">
        <f ca="1">VLOOKUP(M199,[2]character_tribe_i18n!$A:$F,4,FALSE)</f>
        <v>0.94</v>
      </c>
      <c r="P199" s="24">
        <f ca="1">VLOOKUP(M199,[2]character_tribe_i18n!$A:$F,5,FALSE)</f>
        <v>0.99</v>
      </c>
      <c r="Q199" s="24">
        <f ca="1">VLOOKUP(M199,[2]character_tribe_i18n!$A:$F,6,FALSE)</f>
        <v>1</v>
      </c>
      <c r="R199" s="25" t="s">
        <v>4</v>
      </c>
      <c r="S199" s="24">
        <f>VLOOKUP($R199,ラベル別係数!$A$1:$E$7,3,FALSE)</f>
        <v>5</v>
      </c>
      <c r="T199" s="24">
        <f>VLOOKUP($R199,ラベル別係数!$A$1:$E$7,4,FALSE)</f>
        <v>1.3</v>
      </c>
      <c r="U199" s="24">
        <f>VLOOKUP($R199,ラベル別係数!$A$1:$E$7,5,FALSE)</f>
        <v>0.8</v>
      </c>
      <c r="V199" s="27">
        <v>2</v>
      </c>
      <c r="W199" s="28">
        <f>VLOOKUP(V199,ターン数別攻撃係数!$A$1:$B$1000,2,FALSE)</f>
        <v>0.75</v>
      </c>
      <c r="X199" s="10">
        <v>60</v>
      </c>
      <c r="Y199" s="26">
        <f>VLOOKUP($X199,サイズ別係数!$B:$E,2,FALSE)</f>
        <v>1.7</v>
      </c>
      <c r="Z199" s="26">
        <f>VLOOKUP($X199,サイズ別係数!$B:$E,3,FALSE)</f>
        <v>1.4</v>
      </c>
      <c r="AA199" s="26">
        <f>VLOOKUP($X199,サイズ別係数!$B:$E,4,FALSE)</f>
        <v>1</v>
      </c>
      <c r="AB199" s="5">
        <v>198</v>
      </c>
      <c r="AC199" s="34" t="str">
        <f ca="1">VLOOKUP($AB199,OFFSET([3]enemy_skill_sets!$B$2,0,0,COUNTA([3]enemy_skill_sets!$A:$A),MATCH(AC$1,[3]enemy_skill_sets!$1:$1,0)-MATCH($AB$1,[3]enemy_skill_sets!$1:$1,0)+1),MATCH(AC$1,[3]enemy_skill_sets!$1:$1,0)-MATCH($AB$1,[3]enemy_skill_sets!$1:$1,0)+1,FALSE)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199" s="27">
        <v>1</v>
      </c>
      <c r="AE199" s="37">
        <v>1</v>
      </c>
      <c r="AF199" s="37">
        <v>0</v>
      </c>
      <c r="AG199" s="28">
        <f ca="1">ROUND(VLOOKUP(1,enemy_base_stats!$A:$F,2,FALSE) * Y199* J199*O199*E199*S199*AD199*[2]ステータス!$B$2,0)</f>
        <v>3915</v>
      </c>
      <c r="AH199" s="28">
        <f ca="1">ROUND(VLOOKUP(1,enemy_base_stats!$A:$F,3,FALSE) * Z199*K199*P199*F199*T199*AE199 * W199*[2]ステータス!$C$2,0)</f>
        <v>205</v>
      </c>
      <c r="AI199" s="28">
        <f ca="1">ROUND(VLOOKUP(1,enemy_base_stats!$A:$F,4,FALSE) * AA199*L199*Q199*G199*U199*AF199*[2]ステータス!$D$2,0)</f>
        <v>0</v>
      </c>
      <c r="AJ199" s="28">
        <f ca="1">ROUND(VLOOKUP(100,enemy_base_stats!$A:$F,2,FALSE) * Y199* J199*O199*E199*S199*AD199*[2]ステータス!$B$2,0)</f>
        <v>158953</v>
      </c>
      <c r="AK199" s="28">
        <f ca="1">ROUND(VLOOKUP(100,enemy_base_stats!$A:$F,3,FALSE)* Z199* K199*P199*F199*T199*AE199 * W199*[2]ステータス!$C$2,0)</f>
        <v>8312</v>
      </c>
      <c r="AL199" s="28">
        <f ca="1">ROUND(VLOOKUP(100,enemy_base_stats!$A:$F,4,FALSE)* AA199* L199*Q199*G199*U199*AF199*[2]ステータス!$D$2,0)</f>
        <v>0</v>
      </c>
      <c r="AM199" s="24">
        <f ca="1">VLOOKUP(M199,[2]character_tribe_i18n!$A:$I,9,FALSE)</f>
        <v>400</v>
      </c>
      <c r="AN199" s="36">
        <v>0</v>
      </c>
      <c r="AO199" s="53">
        <v>0</v>
      </c>
      <c r="AP199" s="58" t="s">
        <v>72</v>
      </c>
      <c r="AQ199" s="71">
        <f t="shared" ca="1" si="6"/>
        <v>198</v>
      </c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8"/>
      <c r="BC199" s="18"/>
      <c r="BD199" s="18"/>
      <c r="BE199" s="18"/>
      <c r="BF199" s="18"/>
      <c r="BG199" s="18"/>
      <c r="BH199" s="18"/>
    </row>
    <row r="200" spans="1:60" s="3" customFormat="1" ht="21" customHeight="1" x14ac:dyDescent="0.15">
      <c r="A200" s="7">
        <f t="shared" ca="1" si="7"/>
        <v>199</v>
      </c>
      <c r="B200" s="6" t="str">
        <f ca="1">VLOOKUP(A200,[2]characters!$A:$C,3,FALSE)</f>
        <v>ジークフリート</v>
      </c>
      <c r="C200" s="9">
        <f ca="1">VLOOKUP(A200,[2]characters!$A:$I,9,FALSE)</f>
        <v>3</v>
      </c>
      <c r="D200" s="9" t="str">
        <f ca="1">VLOOKUP(A200,[2]characters!$A:$H,8,FALSE)</f>
        <v>blue</v>
      </c>
      <c r="E200" s="24">
        <f ca="1">VLOOKUP(D200,[2]属性!$A:$E,2,FALSE)</f>
        <v>1</v>
      </c>
      <c r="F200" s="24">
        <f ca="1">VLOOKUP(D200,[2]属性!$A:$E,3,FALSE)</f>
        <v>0.98</v>
      </c>
      <c r="G200" s="24">
        <f ca="1">VLOOKUP(D200,[2]属性!$A:$F,4,FALSE)</f>
        <v>1</v>
      </c>
      <c r="H200" s="9" t="str">
        <f ca="1">VLOOKUP(A200,[2]characters!$A:$K,11,FALSE)</f>
        <v>balance</v>
      </c>
      <c r="I200" s="14" t="str">
        <f ca="1">VLOOKUP(H200,[2]character_type_i18n!$A:$F,3,FALSE)</f>
        <v>バランスタイプ</v>
      </c>
      <c r="J200" s="36">
        <f ca="1">VLOOKUP(H200,[2]character_type_i18n!$A:$F,4,FALSE)</f>
        <v>1</v>
      </c>
      <c r="K200" s="36">
        <f ca="1">VLOOKUP(H200,[2]character_type_i18n!$A:$F,5,FALSE)</f>
        <v>1</v>
      </c>
      <c r="L200" s="36">
        <f ca="1">VLOOKUP(H200,[2]character_type_i18n!$A:$F,6,FALSE)</f>
        <v>1</v>
      </c>
      <c r="M200" s="9" t="str">
        <f ca="1">VLOOKUP(A200,[2]characters!$A:$M,13,FALSE)</f>
        <v>human</v>
      </c>
      <c r="N200" s="14" t="str">
        <f ca="1">VLOOKUP(M200,[2]character_tribe_i18n!$A:$F,3,FALSE)</f>
        <v>ヒューマン</v>
      </c>
      <c r="O200" s="24">
        <f ca="1">VLOOKUP(M200,[2]character_tribe_i18n!$A:$F,4,FALSE)</f>
        <v>0.94</v>
      </c>
      <c r="P200" s="24">
        <f ca="1">VLOOKUP(M200,[2]character_tribe_i18n!$A:$F,5,FALSE)</f>
        <v>0.99</v>
      </c>
      <c r="Q200" s="24">
        <f ca="1">VLOOKUP(M200,[2]character_tribe_i18n!$A:$F,6,FALSE)</f>
        <v>1</v>
      </c>
      <c r="R200" s="70" t="s">
        <v>88</v>
      </c>
      <c r="S200" s="24">
        <f>VLOOKUP($R200,ラベル別係数!$A$1:$E$7,3,FALSE)</f>
        <v>7.5</v>
      </c>
      <c r="T200" s="24">
        <f>VLOOKUP($R200,ラベル別係数!$A$1:$E$7,4,FALSE)</f>
        <v>1</v>
      </c>
      <c r="U200" s="24">
        <f>VLOOKUP($R200,ラベル別係数!$A$1:$E$7,5,FALSE)</f>
        <v>0.8</v>
      </c>
      <c r="V200" s="27">
        <v>2</v>
      </c>
      <c r="W200" s="28">
        <f>VLOOKUP(V200,ターン数別攻撃係数!$A$1:$B$1000,2,FALSE)</f>
        <v>0.75</v>
      </c>
      <c r="X200" s="10">
        <v>20</v>
      </c>
      <c r="Y200" s="26">
        <f>VLOOKUP($X200,サイズ別係数!$B:$E,2,FALSE)</f>
        <v>1.1000000000000001</v>
      </c>
      <c r="Z200" s="26">
        <f>VLOOKUP($X200,サイズ別係数!$B:$E,3,FALSE)</f>
        <v>1.2</v>
      </c>
      <c r="AA200" s="26">
        <f>VLOOKUP($X200,サイズ別係数!$B:$E,4,FALSE)</f>
        <v>1.2</v>
      </c>
      <c r="AB200" s="5">
        <v>199</v>
      </c>
      <c r="AC200" s="34" t="str">
        <f ca="1">VLOOKUP($AB200,OFFSET([3]enemy_skill_sets!$B$2,0,0,COUNTA([3]enemy_skill_sets!$A:$A),MATCH(AC$1,[3]enemy_skill_sets!$1:$1,0)-MATCH($AB$1,[3]enemy_skill_sets!$1:$1,0)+1),MATCH(AC$1,[3]enemy_skill_sets!$1:$1,0)-MATCH($AB$1,[3]enemy_skill_sets!$1:$1,0)+1,FALSE)</f>
        <v>全体攻撃</v>
      </c>
      <c r="AD200" s="27">
        <v>1</v>
      </c>
      <c r="AE200" s="37">
        <v>1</v>
      </c>
      <c r="AF200" s="37">
        <v>0</v>
      </c>
      <c r="AG200" s="28">
        <f ca="1">ROUND(VLOOKUP(1,enemy_base_stats!$A:$F,2,FALSE) * Y200* J200*O200*E200*S200*AD200*[2]ステータス!$B$2,0)</f>
        <v>3878</v>
      </c>
      <c r="AH200" s="28">
        <f ca="1">ROUND(VLOOKUP(1,enemy_base_stats!$A:$F,3,FALSE) * Z200*K200*P200*F200*T200*AE200 * W200*[2]ステータス!$C$2,0)</f>
        <v>131</v>
      </c>
      <c r="AI200" s="28">
        <f ca="1">ROUND(VLOOKUP(1,enemy_base_stats!$A:$F,4,FALSE) * AA200*L200*Q200*G200*U200*AF200*[2]ステータス!$D$2,0)</f>
        <v>0</v>
      </c>
      <c r="AJ200" s="28">
        <f ca="1">ROUND(VLOOKUP(100,enemy_base_stats!$A:$F,2,FALSE) * Y200* J200*O200*E200*S200*AD200*[2]ステータス!$B$2,0)</f>
        <v>157427</v>
      </c>
      <c r="AK200" s="28">
        <f ca="1">ROUND(VLOOKUP(100,enemy_base_stats!$A:$F,3,FALSE)* Z200* K200*P200*F200*T200*AE200 * W200*[2]ステータス!$C$2,0)</f>
        <v>5318</v>
      </c>
      <c r="AL200" s="28">
        <f ca="1">ROUND(VLOOKUP(100,enemy_base_stats!$A:$F,4,FALSE)* AA200* L200*Q200*G200*U200*AF200*[2]ステータス!$D$2,0)</f>
        <v>0</v>
      </c>
      <c r="AM200" s="24">
        <f ca="1">VLOOKUP(M200,[2]character_tribe_i18n!$A:$I,9,FALSE)</f>
        <v>400</v>
      </c>
      <c r="AN200" s="36">
        <v>0</v>
      </c>
      <c r="AO200" s="53">
        <v>0</v>
      </c>
      <c r="AP200" s="58" t="s">
        <v>72</v>
      </c>
      <c r="AQ200" s="71">
        <f t="shared" ca="1" si="6"/>
        <v>199</v>
      </c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18"/>
      <c r="BG200" s="18"/>
      <c r="BH200" s="18"/>
    </row>
    <row r="201" spans="1:60" s="3" customFormat="1" ht="21" customHeight="1" x14ac:dyDescent="0.15">
      <c r="A201" s="7">
        <f t="shared" ca="1" si="7"/>
        <v>200</v>
      </c>
      <c r="B201" s="6" t="str">
        <f ca="1">VLOOKUP(A201,[2]characters!$A:$C,3,FALSE)</f>
        <v>大剣士 ジークフリート</v>
      </c>
      <c r="C201" s="9">
        <f ca="1">VLOOKUP(A201,[2]characters!$A:$I,9,FALSE)</f>
        <v>4</v>
      </c>
      <c r="D201" s="9" t="str">
        <f ca="1">VLOOKUP(A201,[2]characters!$A:$H,8,FALSE)</f>
        <v>blue</v>
      </c>
      <c r="E201" s="24">
        <f ca="1">VLOOKUP(D201,[2]属性!$A:$E,2,FALSE)</f>
        <v>1</v>
      </c>
      <c r="F201" s="24">
        <f ca="1">VLOOKUP(D201,[2]属性!$A:$E,3,FALSE)</f>
        <v>0.98</v>
      </c>
      <c r="G201" s="24">
        <f ca="1">VLOOKUP(D201,[2]属性!$A:$F,4,FALSE)</f>
        <v>1</v>
      </c>
      <c r="H201" s="9" t="str">
        <f ca="1">VLOOKUP(A201,[2]characters!$A:$K,11,FALSE)</f>
        <v>balance</v>
      </c>
      <c r="I201" s="14" t="str">
        <f ca="1">VLOOKUP(H201,[2]character_type_i18n!$A:$F,3,FALSE)</f>
        <v>バランスタイプ</v>
      </c>
      <c r="J201" s="36">
        <f ca="1">VLOOKUP(H201,[2]character_type_i18n!$A:$F,4,FALSE)</f>
        <v>1</v>
      </c>
      <c r="K201" s="36">
        <f ca="1">VLOOKUP(H201,[2]character_type_i18n!$A:$F,5,FALSE)</f>
        <v>1</v>
      </c>
      <c r="L201" s="36">
        <f ca="1">VLOOKUP(H201,[2]character_type_i18n!$A:$F,6,FALSE)</f>
        <v>1</v>
      </c>
      <c r="M201" s="9" t="str">
        <f ca="1">VLOOKUP(A201,[2]characters!$A:$M,13,FALSE)</f>
        <v>human</v>
      </c>
      <c r="N201" s="14" t="str">
        <f ca="1">VLOOKUP(M201,[2]character_tribe_i18n!$A:$F,3,FALSE)</f>
        <v>ヒューマン</v>
      </c>
      <c r="O201" s="24">
        <f ca="1">VLOOKUP(M201,[2]character_tribe_i18n!$A:$F,4,FALSE)</f>
        <v>0.94</v>
      </c>
      <c r="P201" s="24">
        <f ca="1">VLOOKUP(M201,[2]character_tribe_i18n!$A:$F,5,FALSE)</f>
        <v>0.99</v>
      </c>
      <c r="Q201" s="24">
        <f ca="1">VLOOKUP(M201,[2]character_tribe_i18n!$A:$F,6,FALSE)</f>
        <v>1</v>
      </c>
      <c r="R201" s="25" t="s">
        <v>4</v>
      </c>
      <c r="S201" s="24">
        <f>VLOOKUP($R201,ラベル別係数!$A$1:$E$7,3,FALSE)</f>
        <v>5</v>
      </c>
      <c r="T201" s="24">
        <f>VLOOKUP($R201,ラベル別係数!$A$1:$E$7,4,FALSE)</f>
        <v>1.3</v>
      </c>
      <c r="U201" s="24">
        <f>VLOOKUP($R201,ラベル別係数!$A$1:$E$7,5,FALSE)</f>
        <v>0.8</v>
      </c>
      <c r="V201" s="27">
        <v>2</v>
      </c>
      <c r="W201" s="28">
        <f>VLOOKUP(V201,ターン数別攻撃係数!$A$1:$B$1000,2,FALSE)</f>
        <v>0.75</v>
      </c>
      <c r="X201" s="10">
        <v>30</v>
      </c>
      <c r="Y201" s="26">
        <f>VLOOKUP($X201,サイズ別係数!$B:$E,2,FALSE)</f>
        <v>1.3</v>
      </c>
      <c r="Z201" s="26">
        <f>VLOOKUP($X201,サイズ別係数!$B:$E,3,FALSE)</f>
        <v>1.3</v>
      </c>
      <c r="AA201" s="26">
        <f>VLOOKUP($X201,サイズ別係数!$B:$E,4,FALSE)</f>
        <v>1.1000000000000001</v>
      </c>
      <c r="AB201" s="5">
        <v>200</v>
      </c>
      <c r="AC201" s="34" t="str">
        <f ca="1">VLOOKUP($AB201,OFFSET([3]enemy_skill_sets!$B$2,0,0,COUNTA([3]enemy_skill_sets!$A:$A),MATCH(AC$1,[3]enemy_skill_sets!$1:$1,0)-MATCH($AB$1,[3]enemy_skill_sets!$1:$1,0)+1),MATCH(AC$1,[3]enemy_skill_sets!$1:$1,0)-MATCH($AB$1,[3]enemy_skill_sets!$1:$1,0)+1,FALSE)</f>
        <v>全体攻撃</v>
      </c>
      <c r="AD201" s="27">
        <v>1</v>
      </c>
      <c r="AE201" s="37">
        <v>1</v>
      </c>
      <c r="AF201" s="37">
        <v>0</v>
      </c>
      <c r="AG201" s="28">
        <f ca="1">ROUND(VLOOKUP(1,enemy_base_stats!$A:$F,2,FALSE) * Y201* J201*O201*E201*S201*AD201*[2]ステータス!$B$2,0)</f>
        <v>3055</v>
      </c>
      <c r="AH201" s="28">
        <f ca="1">ROUND(VLOOKUP(1,enemy_base_stats!$A:$F,3,FALSE) * Z201*K201*P201*F201*T201*AE201 * W201*[2]ステータス!$C$2,0)</f>
        <v>184</v>
      </c>
      <c r="AI201" s="28">
        <f ca="1">ROUND(VLOOKUP(1,enemy_base_stats!$A:$F,4,FALSE) * AA201*L201*Q201*G201*U201*AF201*[2]ステータス!$D$2,0)</f>
        <v>0</v>
      </c>
      <c r="AJ201" s="28">
        <f ca="1">ROUND(VLOOKUP(100,enemy_base_stats!$A:$F,2,FALSE) * Y201* J201*O201*E201*S201*AD201*[2]ステータス!$B$2,0)</f>
        <v>124033</v>
      </c>
      <c r="AK201" s="28">
        <f ca="1">ROUND(VLOOKUP(100,enemy_base_stats!$A:$F,3,FALSE)* Z201* K201*P201*F201*T201*AE201 * W201*[2]ステータス!$C$2,0)</f>
        <v>7489</v>
      </c>
      <c r="AL201" s="28">
        <f ca="1">ROUND(VLOOKUP(100,enemy_base_stats!$A:$F,4,FALSE)* AA201* L201*Q201*G201*U201*AF201*[2]ステータス!$D$2,0)</f>
        <v>0</v>
      </c>
      <c r="AM201" s="24">
        <f ca="1">VLOOKUP(M201,[2]character_tribe_i18n!$A:$I,9,FALSE)</f>
        <v>400</v>
      </c>
      <c r="AN201" s="36">
        <v>0</v>
      </c>
      <c r="AO201" s="53">
        <v>0</v>
      </c>
      <c r="AP201" s="58" t="s">
        <v>72</v>
      </c>
      <c r="AQ201" s="71">
        <f t="shared" ca="1" si="6"/>
        <v>200</v>
      </c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8"/>
      <c r="BC201" s="18"/>
      <c r="BD201" s="18"/>
      <c r="BE201" s="18"/>
      <c r="BF201" s="18"/>
      <c r="BG201" s="18"/>
      <c r="BH201" s="18"/>
    </row>
    <row r="202" spans="1:60" s="3" customFormat="1" ht="21" customHeight="1" x14ac:dyDescent="0.15">
      <c r="A202" s="7">
        <f t="shared" ca="1" si="7"/>
        <v>201</v>
      </c>
      <c r="B202" s="6" t="str">
        <f ca="1">VLOOKUP(A202,[2]characters!$A:$C,3,FALSE)</f>
        <v>斬空の大破剣 ジークフリート</v>
      </c>
      <c r="C202" s="9">
        <f ca="1">VLOOKUP(A202,[2]characters!$A:$I,9,FALSE)</f>
        <v>5</v>
      </c>
      <c r="D202" s="9" t="str">
        <f ca="1">VLOOKUP(A202,[2]characters!$A:$H,8,FALSE)</f>
        <v>blue</v>
      </c>
      <c r="E202" s="24">
        <f ca="1">VLOOKUP(D202,[2]属性!$A:$E,2,FALSE)</f>
        <v>1</v>
      </c>
      <c r="F202" s="24">
        <f ca="1">VLOOKUP(D202,[2]属性!$A:$E,3,FALSE)</f>
        <v>0.98</v>
      </c>
      <c r="G202" s="24">
        <f ca="1">VLOOKUP(D202,[2]属性!$A:$F,4,FALSE)</f>
        <v>1</v>
      </c>
      <c r="H202" s="9" t="str">
        <f ca="1">VLOOKUP(A202,[2]characters!$A:$K,11,FALSE)</f>
        <v>balance</v>
      </c>
      <c r="I202" s="14" t="str">
        <f ca="1">VLOOKUP(H202,[2]character_type_i18n!$A:$F,3,FALSE)</f>
        <v>バランスタイプ</v>
      </c>
      <c r="J202" s="36">
        <f ca="1">VLOOKUP(H202,[2]character_type_i18n!$A:$F,4,FALSE)</f>
        <v>1</v>
      </c>
      <c r="K202" s="36">
        <f ca="1">VLOOKUP(H202,[2]character_type_i18n!$A:$F,5,FALSE)</f>
        <v>1</v>
      </c>
      <c r="L202" s="36">
        <f ca="1">VLOOKUP(H202,[2]character_type_i18n!$A:$F,6,FALSE)</f>
        <v>1</v>
      </c>
      <c r="M202" s="9" t="str">
        <f ca="1">VLOOKUP(A202,[2]characters!$A:$M,13,FALSE)</f>
        <v>human</v>
      </c>
      <c r="N202" s="14" t="str">
        <f ca="1">VLOOKUP(M202,[2]character_tribe_i18n!$A:$F,3,FALSE)</f>
        <v>ヒューマン</v>
      </c>
      <c r="O202" s="24">
        <f ca="1">VLOOKUP(M202,[2]character_tribe_i18n!$A:$F,4,FALSE)</f>
        <v>0.94</v>
      </c>
      <c r="P202" s="24">
        <f ca="1">VLOOKUP(M202,[2]character_tribe_i18n!$A:$F,5,FALSE)</f>
        <v>0.99</v>
      </c>
      <c r="Q202" s="24">
        <f ca="1">VLOOKUP(M202,[2]character_tribe_i18n!$A:$F,6,FALSE)</f>
        <v>1</v>
      </c>
      <c r="R202" s="25" t="s">
        <v>4</v>
      </c>
      <c r="S202" s="24">
        <f>VLOOKUP($R202,ラベル別係数!$A$1:$E$7,3,FALSE)</f>
        <v>5</v>
      </c>
      <c r="T202" s="24">
        <f>VLOOKUP($R202,ラベル別係数!$A$1:$E$7,4,FALSE)</f>
        <v>1.3</v>
      </c>
      <c r="U202" s="24">
        <f>VLOOKUP($R202,ラベル別係数!$A$1:$E$7,5,FALSE)</f>
        <v>0.8</v>
      </c>
      <c r="V202" s="27">
        <v>2</v>
      </c>
      <c r="W202" s="28">
        <f>VLOOKUP(V202,ターン数別攻撃係数!$A$1:$B$1000,2,FALSE)</f>
        <v>0.75</v>
      </c>
      <c r="X202" s="10">
        <v>60</v>
      </c>
      <c r="Y202" s="26">
        <f>VLOOKUP($X202,サイズ別係数!$B:$E,2,FALSE)</f>
        <v>1.7</v>
      </c>
      <c r="Z202" s="26">
        <f>VLOOKUP($X202,サイズ別係数!$B:$E,3,FALSE)</f>
        <v>1.4</v>
      </c>
      <c r="AA202" s="26">
        <f>VLOOKUP($X202,サイズ別係数!$B:$E,4,FALSE)</f>
        <v>1</v>
      </c>
      <c r="AB202" s="5">
        <v>0</v>
      </c>
      <c r="AC202" s="34" t="str">
        <f ca="1">VLOOKUP($AB202,OFFSET([3]enemy_skill_sets!$B$2,0,0,COUNTA([3]enemy_skill_sets!$A:$A),MATCH(AC$1,[3]enemy_skill_sets!$1:$1,0)-MATCH($AB$1,[3]enemy_skill_sets!$1:$1,0)+1),MATCH(AC$1,[3]enemy_skill_sets!$1:$1,0)-MATCH($AB$1,[3]enemy_skill_sets!$1:$1,0)+1,FALSE)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02" s="27">
        <v>1</v>
      </c>
      <c r="AE202" s="37">
        <v>1</v>
      </c>
      <c r="AF202" s="37">
        <v>0</v>
      </c>
      <c r="AG202" s="28">
        <f ca="1">ROUND(VLOOKUP(1,enemy_base_stats!$A:$F,2,FALSE) * Y202* J202*O202*E202*S202*AD202*[2]ステータス!$B$2,0)</f>
        <v>3995</v>
      </c>
      <c r="AH202" s="28">
        <f ca="1">ROUND(VLOOKUP(1,enemy_base_stats!$A:$F,3,FALSE) * Z202*K202*P202*F202*T202*AE202 * W202*[2]ステータス!$C$2,0)</f>
        <v>199</v>
      </c>
      <c r="AI202" s="28">
        <f ca="1">ROUND(VLOOKUP(1,enemy_base_stats!$A:$F,4,FALSE) * AA202*L202*Q202*G202*U202*AF202*[2]ステータス!$D$2,0)</f>
        <v>0</v>
      </c>
      <c r="AJ202" s="28">
        <f ca="1">ROUND(VLOOKUP(100,enemy_base_stats!$A:$F,2,FALSE) * Y202* J202*O202*E202*S202*AD202*[2]ステータス!$B$2,0)</f>
        <v>162197</v>
      </c>
      <c r="AK202" s="28">
        <f ca="1">ROUND(VLOOKUP(100,enemy_base_stats!$A:$F,3,FALSE)* Z202* K202*P202*F202*T202*AE202 * W202*[2]ステータス!$C$2,0)</f>
        <v>8065</v>
      </c>
      <c r="AL202" s="28">
        <f ca="1">ROUND(VLOOKUP(100,enemy_base_stats!$A:$F,4,FALSE)* AA202* L202*Q202*G202*U202*AF202*[2]ステータス!$D$2,0)</f>
        <v>0</v>
      </c>
      <c r="AM202" s="24">
        <f ca="1">VLOOKUP(M202,[2]character_tribe_i18n!$A:$I,9,FALSE)</f>
        <v>400</v>
      </c>
      <c r="AN202" s="36">
        <v>0</v>
      </c>
      <c r="AO202" s="53">
        <v>0</v>
      </c>
      <c r="AP202" s="58" t="s">
        <v>72</v>
      </c>
      <c r="AQ202" s="71">
        <f t="shared" ca="1" si="6"/>
        <v>201</v>
      </c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8"/>
      <c r="BC202" s="18"/>
      <c r="BD202" s="18"/>
      <c r="BE202" s="18"/>
      <c r="BF202" s="18"/>
      <c r="BG202" s="18"/>
      <c r="BH202" s="18"/>
    </row>
    <row r="203" spans="1:60" s="3" customFormat="1" ht="21" customHeight="1" x14ac:dyDescent="0.15">
      <c r="A203" s="7">
        <f t="shared" ca="1" si="7"/>
        <v>202</v>
      </c>
      <c r="B203" s="6" t="str">
        <f ca="1">VLOOKUP(A203,[2]characters!$A:$C,3,FALSE)</f>
        <v>プロメテウス</v>
      </c>
      <c r="C203" s="9">
        <f ca="1">VLOOKUP(A203,[2]characters!$A:$I,9,FALSE)</f>
        <v>3</v>
      </c>
      <c r="D203" s="9" t="str">
        <f ca="1">VLOOKUP(A203,[2]characters!$A:$H,8,FALSE)</f>
        <v>red</v>
      </c>
      <c r="E203" s="24">
        <f ca="1">VLOOKUP(D203,[2]属性!$A:$E,2,FALSE)</f>
        <v>1</v>
      </c>
      <c r="F203" s="24">
        <f ca="1">VLOOKUP(D203,[2]属性!$A:$E,3,FALSE)</f>
        <v>1.02</v>
      </c>
      <c r="G203" s="24">
        <f ca="1">VLOOKUP(D203,[2]属性!$A:$F,4,FALSE)</f>
        <v>1</v>
      </c>
      <c r="H203" s="9" t="str">
        <f ca="1">VLOOKUP(A203,[2]characters!$A:$K,11,FALSE)</f>
        <v>hp</v>
      </c>
      <c r="I203" s="14" t="str">
        <f ca="1">VLOOKUP(H203,[2]character_type_i18n!$A:$F,3,FALSE)</f>
        <v>体力タイプ</v>
      </c>
      <c r="J203" s="36">
        <f ca="1">VLOOKUP(H203,[2]character_type_i18n!$A:$F,4,FALSE)</f>
        <v>1.45</v>
      </c>
      <c r="K203" s="36">
        <f ca="1">VLOOKUP(H203,[2]character_type_i18n!$A:$F,5,FALSE)</f>
        <v>0.85</v>
      </c>
      <c r="L203" s="36">
        <f ca="1">VLOOKUP(H203,[2]character_type_i18n!$A:$F,6,FALSE)</f>
        <v>1</v>
      </c>
      <c r="M203" s="9" t="str">
        <f ca="1">VLOOKUP(A203,[2]characters!$A:$M,13,FALSE)</f>
        <v>god</v>
      </c>
      <c r="N203" s="14" t="str">
        <f ca="1">VLOOKUP(M203,[2]character_tribe_i18n!$A:$F,3,FALSE)</f>
        <v>ゴッド</v>
      </c>
      <c r="O203" s="24">
        <f ca="1">VLOOKUP(M203,[2]character_tribe_i18n!$A:$F,4,FALSE)</f>
        <v>0.96</v>
      </c>
      <c r="P203" s="24">
        <f ca="1">VLOOKUP(M203,[2]character_tribe_i18n!$A:$F,5,FALSE)</f>
        <v>1.02</v>
      </c>
      <c r="Q203" s="24">
        <f ca="1">VLOOKUP(M203,[2]character_tribe_i18n!$A:$F,6,FALSE)</f>
        <v>1</v>
      </c>
      <c r="R203" s="25" t="s">
        <v>4</v>
      </c>
      <c r="S203" s="24">
        <f>VLOOKUP($R203,ラベル別係数!$A$1:$E$7,3,FALSE)</f>
        <v>5</v>
      </c>
      <c r="T203" s="24">
        <f>VLOOKUP($R203,ラベル別係数!$A$1:$E$7,4,FALSE)</f>
        <v>1.3</v>
      </c>
      <c r="U203" s="24">
        <f>VLOOKUP($R203,ラベル別係数!$A$1:$E$7,5,FALSE)</f>
        <v>0.8</v>
      </c>
      <c r="V203" s="27">
        <v>3</v>
      </c>
      <c r="W203" s="28">
        <f>VLOOKUP(V203,ターン数別攻撃係数!$A$1:$B$1000,2,FALSE)</f>
        <v>1</v>
      </c>
      <c r="X203" s="10">
        <v>20</v>
      </c>
      <c r="Y203" s="26">
        <f>VLOOKUP($X203,サイズ別係数!$B:$E,2,FALSE)</f>
        <v>1.1000000000000001</v>
      </c>
      <c r="Z203" s="26">
        <f>VLOOKUP($X203,サイズ別係数!$B:$E,3,FALSE)</f>
        <v>1.2</v>
      </c>
      <c r="AA203" s="26">
        <f>VLOOKUP($X203,サイズ別係数!$B:$E,4,FALSE)</f>
        <v>1.2</v>
      </c>
      <c r="AB203" s="5">
        <v>202</v>
      </c>
      <c r="AC203" s="34" t="str">
        <f ca="1">VLOOKUP($AB203,OFFSET([3]enemy_skill_sets!$B$2,0,0,COUNTA([3]enemy_skill_sets!$A:$A),MATCH(AC$1,[3]enemy_skill_sets!$1:$1,0)-MATCH($AB$1,[3]enemy_skill_sets!$1:$1,0)+1),MATCH(AC$1,[3]enemy_skill_sets!$1:$1,0)-MATCH($AB$1,[3]enemy_skill_sets!$1:$1,0)+1,FALSE)</f>
        <v>5ターン回復力が100%DOWN</v>
      </c>
      <c r="AD203" s="27">
        <v>1</v>
      </c>
      <c r="AE203" s="37">
        <v>1</v>
      </c>
      <c r="AF203" s="37">
        <v>0</v>
      </c>
      <c r="AG203" s="28">
        <f ca="1">ROUND(VLOOKUP(1,enemy_base_stats!$A:$F,2,FALSE) * Y203* J203*O203*E203*S203*AD203*[2]ステータス!$B$2,0)</f>
        <v>3828</v>
      </c>
      <c r="AH203" s="28">
        <f ca="1">ROUND(VLOOKUP(1,enemy_base_stats!$A:$F,3,FALSE) * Z203*K203*P203*F203*T203*AE203 * W203*[2]ステータス!$C$2,0)</f>
        <v>207</v>
      </c>
      <c r="AI203" s="28">
        <f ca="1">ROUND(VLOOKUP(1,enemy_base_stats!$A:$F,4,FALSE) * AA203*L203*Q203*G203*U203*AF203*[2]ステータス!$D$2,0)</f>
        <v>0</v>
      </c>
      <c r="AJ203" s="28">
        <f ca="1">ROUND(VLOOKUP(100,enemy_base_stats!$A:$F,2,FALSE) * Y203* J203*O203*E203*S203*AD203*[2]ステータス!$B$2,0)</f>
        <v>155417</v>
      </c>
      <c r="AK203" s="28">
        <f ca="1">ROUND(VLOOKUP(100,enemy_base_stats!$A:$F,3,FALSE)* Z203* K203*P203*F203*T203*AE203 * W203*[2]ステータス!$C$2,0)</f>
        <v>8402</v>
      </c>
      <c r="AL203" s="28">
        <f ca="1">ROUND(VLOOKUP(100,enemy_base_stats!$A:$F,4,FALSE)* AA203* L203*Q203*G203*U203*AF203*[2]ステータス!$D$2,0)</f>
        <v>0</v>
      </c>
      <c r="AM203" s="24">
        <f ca="1">VLOOKUP(M203,[2]character_tribe_i18n!$A:$I,9,FALSE)</f>
        <v>680</v>
      </c>
      <c r="AN203" s="36">
        <v>0</v>
      </c>
      <c r="AO203" s="53">
        <v>0</v>
      </c>
      <c r="AP203" s="58" t="s">
        <v>72</v>
      </c>
      <c r="AQ203" s="71">
        <f t="shared" ca="1" si="6"/>
        <v>202</v>
      </c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</row>
    <row r="204" spans="1:60" s="3" customFormat="1" ht="21" customHeight="1" x14ac:dyDescent="0.15">
      <c r="A204" s="7">
        <f t="shared" ca="1" si="7"/>
        <v>203</v>
      </c>
      <c r="B204" s="6" t="str">
        <f ca="1">VLOOKUP(A204,[2]characters!$A:$C,3,FALSE)</f>
        <v>焔神 プロメテウス</v>
      </c>
      <c r="C204" s="9">
        <f ca="1">VLOOKUP(A204,[2]characters!$A:$I,9,FALSE)</f>
        <v>4</v>
      </c>
      <c r="D204" s="9" t="str">
        <f ca="1">VLOOKUP(A204,[2]characters!$A:$H,8,FALSE)</f>
        <v>red</v>
      </c>
      <c r="E204" s="24">
        <f ca="1">VLOOKUP(D204,[2]属性!$A:$E,2,FALSE)</f>
        <v>1</v>
      </c>
      <c r="F204" s="24">
        <f ca="1">VLOOKUP(D204,[2]属性!$A:$E,3,FALSE)</f>
        <v>1.02</v>
      </c>
      <c r="G204" s="24">
        <f ca="1">VLOOKUP(D204,[2]属性!$A:$F,4,FALSE)</f>
        <v>1</v>
      </c>
      <c r="H204" s="9" t="str">
        <f ca="1">VLOOKUP(A204,[2]characters!$A:$K,11,FALSE)</f>
        <v>hp</v>
      </c>
      <c r="I204" s="14" t="str">
        <f ca="1">VLOOKUP(H204,[2]character_type_i18n!$A:$F,3,FALSE)</f>
        <v>体力タイプ</v>
      </c>
      <c r="J204" s="36">
        <f ca="1">VLOOKUP(H204,[2]character_type_i18n!$A:$F,4,FALSE)</f>
        <v>1.45</v>
      </c>
      <c r="K204" s="36">
        <f ca="1">VLOOKUP(H204,[2]character_type_i18n!$A:$F,5,FALSE)</f>
        <v>0.85</v>
      </c>
      <c r="L204" s="36">
        <f ca="1">VLOOKUP(H204,[2]character_type_i18n!$A:$F,6,FALSE)</f>
        <v>1</v>
      </c>
      <c r="M204" s="9" t="str">
        <f ca="1">VLOOKUP(A204,[2]characters!$A:$M,13,FALSE)</f>
        <v>god</v>
      </c>
      <c r="N204" s="14" t="str">
        <f ca="1">VLOOKUP(M204,[2]character_tribe_i18n!$A:$F,3,FALSE)</f>
        <v>ゴッド</v>
      </c>
      <c r="O204" s="24">
        <f ca="1">VLOOKUP(M204,[2]character_tribe_i18n!$A:$F,4,FALSE)</f>
        <v>0.96</v>
      </c>
      <c r="P204" s="24">
        <f ca="1">VLOOKUP(M204,[2]character_tribe_i18n!$A:$F,5,FALSE)</f>
        <v>1.02</v>
      </c>
      <c r="Q204" s="24">
        <f ca="1">VLOOKUP(M204,[2]character_tribe_i18n!$A:$F,6,FALSE)</f>
        <v>1</v>
      </c>
      <c r="R204" s="70" t="s">
        <v>88</v>
      </c>
      <c r="S204" s="24">
        <f>VLOOKUP($R204,ラベル別係数!$A$1:$E$7,3,FALSE)</f>
        <v>7.5</v>
      </c>
      <c r="T204" s="24">
        <f>VLOOKUP($R204,ラベル別係数!$A$1:$E$7,4,FALSE)</f>
        <v>1</v>
      </c>
      <c r="U204" s="24">
        <f>VLOOKUP($R204,ラベル別係数!$A$1:$E$7,5,FALSE)</f>
        <v>0.8</v>
      </c>
      <c r="V204" s="27">
        <v>3</v>
      </c>
      <c r="W204" s="28">
        <f>VLOOKUP(V204,ターン数別攻撃係数!$A$1:$B$1000,2,FALSE)</f>
        <v>1</v>
      </c>
      <c r="X204" s="10">
        <v>30</v>
      </c>
      <c r="Y204" s="26">
        <f>VLOOKUP($X204,サイズ別係数!$B:$E,2,FALSE)</f>
        <v>1.3</v>
      </c>
      <c r="Z204" s="26">
        <f>VLOOKUP($X204,サイズ別係数!$B:$E,3,FALSE)</f>
        <v>1.3</v>
      </c>
      <c r="AA204" s="26">
        <f>VLOOKUP($X204,サイズ別係数!$B:$E,4,FALSE)</f>
        <v>1.1000000000000001</v>
      </c>
      <c r="AB204" s="5">
        <v>203</v>
      </c>
      <c r="AC204" s="34" t="str">
        <f ca="1">VLOOKUP($AB204,OFFSET([3]enemy_skill_sets!$B$2,0,0,COUNTA([3]enemy_skill_sets!$A:$A),MATCH(AC$1,[3]enemy_skill_sets!$1:$1,0)-MATCH($AB$1,[3]enemy_skill_sets!$1:$1,0)+1),MATCH(AC$1,[3]enemy_skill_sets!$1:$1,0)-MATCH($AB$1,[3]enemy_skill_sets!$1:$1,0)+1,FALSE)</f>
        <v>解除するまで回復力が100%DOWN</v>
      </c>
      <c r="AD204" s="27">
        <v>1</v>
      </c>
      <c r="AE204" s="37">
        <v>1</v>
      </c>
      <c r="AF204" s="37">
        <v>0</v>
      </c>
      <c r="AG204" s="28">
        <f ca="1">ROUND(VLOOKUP(1,enemy_base_stats!$A:$F,2,FALSE) * Y204* J204*O204*E204*S204*AD204*[2]ステータス!$B$2,0)</f>
        <v>6786</v>
      </c>
      <c r="AH204" s="28">
        <f ca="1">ROUND(VLOOKUP(1,enemy_base_stats!$A:$F,3,FALSE) * Z204*K204*P204*F204*T204*AE204 * W204*[2]ステータス!$C$2,0)</f>
        <v>172</v>
      </c>
      <c r="AI204" s="28">
        <f ca="1">ROUND(VLOOKUP(1,enemy_base_stats!$A:$F,4,FALSE) * AA204*L204*Q204*G204*U204*AF204*[2]ステータス!$D$2,0)</f>
        <v>0</v>
      </c>
      <c r="AJ204" s="28">
        <f ca="1">ROUND(VLOOKUP(100,enemy_base_stats!$A:$F,2,FALSE) * Y204* J204*O204*E204*S204*AD204*[2]ステータス!$B$2,0)</f>
        <v>275512</v>
      </c>
      <c r="AK204" s="28">
        <f ca="1">ROUND(VLOOKUP(100,enemy_base_stats!$A:$F,3,FALSE)* Z204* K204*P204*F204*T204*AE204 * W204*[2]ステータス!$C$2,0)</f>
        <v>7001</v>
      </c>
      <c r="AL204" s="28">
        <f ca="1">ROUND(VLOOKUP(100,enemy_base_stats!$A:$F,4,FALSE)* AA204* L204*Q204*G204*U204*AF204*[2]ステータス!$D$2,0)</f>
        <v>0</v>
      </c>
      <c r="AM204" s="24">
        <f ca="1">VLOOKUP(M204,[2]character_tribe_i18n!$A:$I,9,FALSE)</f>
        <v>680</v>
      </c>
      <c r="AN204" s="36">
        <v>0</v>
      </c>
      <c r="AO204" s="53">
        <v>0</v>
      </c>
      <c r="AP204" s="58" t="s">
        <v>72</v>
      </c>
      <c r="AQ204" s="71">
        <f t="shared" ca="1" si="6"/>
        <v>203</v>
      </c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8"/>
      <c r="BC204" s="18"/>
      <c r="BD204" s="18"/>
      <c r="BE204" s="18"/>
      <c r="BF204" s="18"/>
      <c r="BG204" s="18"/>
      <c r="BH204" s="18"/>
    </row>
    <row r="205" spans="1:60" s="3" customFormat="1" ht="21" customHeight="1" x14ac:dyDescent="0.15">
      <c r="A205" s="7">
        <f t="shared" ca="1" si="7"/>
        <v>204</v>
      </c>
      <c r="B205" s="6" t="str">
        <f ca="1">VLOOKUP(A205,[2]characters!$A:$C,3,FALSE)</f>
        <v>慟哭の巨焔 プロメテウス</v>
      </c>
      <c r="C205" s="9">
        <f ca="1">VLOOKUP(A205,[2]characters!$A:$I,9,FALSE)</f>
        <v>5</v>
      </c>
      <c r="D205" s="9" t="str">
        <f ca="1">VLOOKUP(A205,[2]characters!$A:$H,8,FALSE)</f>
        <v>red</v>
      </c>
      <c r="E205" s="24">
        <f ca="1">VLOOKUP(D205,[2]属性!$A:$E,2,FALSE)</f>
        <v>1</v>
      </c>
      <c r="F205" s="24">
        <f ca="1">VLOOKUP(D205,[2]属性!$A:$E,3,FALSE)</f>
        <v>1.02</v>
      </c>
      <c r="G205" s="24">
        <f ca="1">VLOOKUP(D205,[2]属性!$A:$F,4,FALSE)</f>
        <v>1</v>
      </c>
      <c r="H205" s="9" t="str">
        <f ca="1">VLOOKUP(A205,[2]characters!$A:$K,11,FALSE)</f>
        <v>hp</v>
      </c>
      <c r="I205" s="14" t="str">
        <f ca="1">VLOOKUP(H205,[2]character_type_i18n!$A:$F,3,FALSE)</f>
        <v>体力タイプ</v>
      </c>
      <c r="J205" s="36">
        <f ca="1">VLOOKUP(H205,[2]character_type_i18n!$A:$F,4,FALSE)</f>
        <v>1.45</v>
      </c>
      <c r="K205" s="36">
        <f ca="1">VLOOKUP(H205,[2]character_type_i18n!$A:$F,5,FALSE)</f>
        <v>0.85</v>
      </c>
      <c r="L205" s="36">
        <f ca="1">VLOOKUP(H205,[2]character_type_i18n!$A:$F,6,FALSE)</f>
        <v>1</v>
      </c>
      <c r="M205" s="9" t="str">
        <f ca="1">VLOOKUP(A205,[2]characters!$A:$M,13,FALSE)</f>
        <v>god</v>
      </c>
      <c r="N205" s="14" t="str">
        <f ca="1">VLOOKUP(M205,[2]character_tribe_i18n!$A:$F,3,FALSE)</f>
        <v>ゴッド</v>
      </c>
      <c r="O205" s="24">
        <f ca="1">VLOOKUP(M205,[2]character_tribe_i18n!$A:$F,4,FALSE)</f>
        <v>0.96</v>
      </c>
      <c r="P205" s="24">
        <f ca="1">VLOOKUP(M205,[2]character_tribe_i18n!$A:$F,5,FALSE)</f>
        <v>1.02</v>
      </c>
      <c r="Q205" s="24">
        <f ca="1">VLOOKUP(M205,[2]character_tribe_i18n!$A:$F,6,FALSE)</f>
        <v>1</v>
      </c>
      <c r="R205" s="25" t="s">
        <v>4</v>
      </c>
      <c r="S205" s="24">
        <f>VLOOKUP($R205,ラベル別係数!$A$1:$E$7,3,FALSE)</f>
        <v>5</v>
      </c>
      <c r="T205" s="24">
        <f>VLOOKUP($R205,ラベル別係数!$A$1:$E$7,4,FALSE)</f>
        <v>1.3</v>
      </c>
      <c r="U205" s="24">
        <f>VLOOKUP($R205,ラベル別係数!$A$1:$E$7,5,FALSE)</f>
        <v>0.8</v>
      </c>
      <c r="V205" s="27">
        <v>3</v>
      </c>
      <c r="W205" s="28">
        <f>VLOOKUP(V205,ターン数別攻撃係数!$A$1:$B$1000,2,FALSE)</f>
        <v>1</v>
      </c>
      <c r="X205" s="10">
        <v>60</v>
      </c>
      <c r="Y205" s="26">
        <f>VLOOKUP($X205,サイズ別係数!$B:$E,2,FALSE)</f>
        <v>1.7</v>
      </c>
      <c r="Z205" s="26">
        <f>VLOOKUP($X205,サイズ別係数!$B:$E,3,FALSE)</f>
        <v>1.4</v>
      </c>
      <c r="AA205" s="26">
        <f>VLOOKUP($X205,サイズ別係数!$B:$E,4,FALSE)</f>
        <v>1</v>
      </c>
      <c r="AB205" s="5">
        <v>0</v>
      </c>
      <c r="AC205" s="34" t="str">
        <f ca="1">VLOOKUP($AB205,OFFSET([3]enemy_skill_sets!$B$2,0,0,COUNTA([3]enemy_skill_sets!$A:$A),MATCH(AC$1,[3]enemy_skill_sets!$1:$1,0)-MATCH($AB$1,[3]enemy_skill_sets!$1:$1,0)+1),MATCH(AC$1,[3]enemy_skill_sets!$1:$1,0)-MATCH($AB$1,[3]enemy_skill_sets!$1:$1,0)+1,FALSE)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05" s="27">
        <v>1</v>
      </c>
      <c r="AE205" s="37">
        <v>1</v>
      </c>
      <c r="AF205" s="37">
        <v>0</v>
      </c>
      <c r="AG205" s="28">
        <f ca="1">ROUND(VLOOKUP(1,enemy_base_stats!$A:$F,2,FALSE) * Y205* J205*O205*E205*S205*AD205*[2]ステータス!$B$2,0)</f>
        <v>5916</v>
      </c>
      <c r="AH205" s="28">
        <f ca="1">ROUND(VLOOKUP(1,enemy_base_stats!$A:$F,3,FALSE) * Z205*K205*P205*F205*T205*AE205 * W205*[2]ステータス!$C$2,0)</f>
        <v>241</v>
      </c>
      <c r="AI205" s="28">
        <f ca="1">ROUND(VLOOKUP(1,enemy_base_stats!$A:$F,4,FALSE) * AA205*L205*Q205*G205*U205*AF205*[2]ステータス!$D$2,0)</f>
        <v>0</v>
      </c>
      <c r="AJ205" s="28">
        <f ca="1">ROUND(VLOOKUP(100,enemy_base_stats!$A:$F,2,FALSE) * Y205* J205*O205*E205*S205*AD205*[2]ステータス!$B$2,0)</f>
        <v>240190</v>
      </c>
      <c r="AK205" s="28">
        <f ca="1">ROUND(VLOOKUP(100,enemy_base_stats!$A:$F,3,FALSE)* Z205* K205*P205*F205*T205*AE205 * W205*[2]ステータス!$C$2,0)</f>
        <v>9802</v>
      </c>
      <c r="AL205" s="28">
        <f ca="1">ROUND(VLOOKUP(100,enemy_base_stats!$A:$F,4,FALSE)* AA205* L205*Q205*G205*U205*AF205*[2]ステータス!$D$2,0)</f>
        <v>0</v>
      </c>
      <c r="AM205" s="24">
        <f ca="1">VLOOKUP(M205,[2]character_tribe_i18n!$A:$I,9,FALSE)</f>
        <v>680</v>
      </c>
      <c r="AN205" s="36">
        <v>0</v>
      </c>
      <c r="AO205" s="53">
        <v>0</v>
      </c>
      <c r="AP205" s="58" t="s">
        <v>72</v>
      </c>
      <c r="AQ205" s="71">
        <f t="shared" ca="1" si="6"/>
        <v>204</v>
      </c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8"/>
      <c r="BC205" s="18"/>
      <c r="BD205" s="18"/>
      <c r="BE205" s="18"/>
      <c r="BF205" s="18"/>
      <c r="BG205" s="18"/>
      <c r="BH205" s="18"/>
    </row>
    <row r="206" spans="1:60" s="3" customFormat="1" ht="21" customHeight="1" x14ac:dyDescent="0.15">
      <c r="A206" s="7">
        <f t="shared" ca="1" si="7"/>
        <v>205</v>
      </c>
      <c r="B206" s="6" t="str">
        <f ca="1">VLOOKUP(A206,[2]characters!$A:$C,3,FALSE)</f>
        <v>アフロディーテ</v>
      </c>
      <c r="C206" s="9">
        <f ca="1">VLOOKUP(A206,[2]characters!$A:$I,9,FALSE)</f>
        <v>3</v>
      </c>
      <c r="D206" s="9" t="str">
        <f ca="1">VLOOKUP(A206,[2]characters!$A:$H,8,FALSE)</f>
        <v>green</v>
      </c>
      <c r="E206" s="24">
        <f ca="1">VLOOKUP(D206,[2]属性!$A:$E,2,FALSE)</f>
        <v>1.02</v>
      </c>
      <c r="F206" s="24">
        <f ca="1">VLOOKUP(D206,[2]属性!$A:$E,3,FALSE)</f>
        <v>0.98</v>
      </c>
      <c r="G206" s="24">
        <f ca="1">VLOOKUP(D206,[2]属性!$A:$F,4,FALSE)</f>
        <v>1</v>
      </c>
      <c r="H206" s="9" t="str">
        <f ca="1">VLOOKUP(A206,[2]characters!$A:$K,11,FALSE)</f>
        <v>hp</v>
      </c>
      <c r="I206" s="14" t="str">
        <f ca="1">VLOOKUP(H206,[2]character_type_i18n!$A:$F,3,FALSE)</f>
        <v>体力タイプ</v>
      </c>
      <c r="J206" s="36">
        <f ca="1">VLOOKUP(H206,[2]character_type_i18n!$A:$F,4,FALSE)</f>
        <v>1.45</v>
      </c>
      <c r="K206" s="36">
        <f ca="1">VLOOKUP(H206,[2]character_type_i18n!$A:$F,5,FALSE)</f>
        <v>0.85</v>
      </c>
      <c r="L206" s="36">
        <f ca="1">VLOOKUP(H206,[2]character_type_i18n!$A:$F,6,FALSE)</f>
        <v>1</v>
      </c>
      <c r="M206" s="9" t="str">
        <f ca="1">VLOOKUP(A206,[2]characters!$A:$M,13,FALSE)</f>
        <v>god</v>
      </c>
      <c r="N206" s="14" t="str">
        <f ca="1">VLOOKUP(M206,[2]character_tribe_i18n!$A:$F,3,FALSE)</f>
        <v>ゴッド</v>
      </c>
      <c r="O206" s="24">
        <f ca="1">VLOOKUP(M206,[2]character_tribe_i18n!$A:$F,4,FALSE)</f>
        <v>0.96</v>
      </c>
      <c r="P206" s="24">
        <f ca="1">VLOOKUP(M206,[2]character_tribe_i18n!$A:$F,5,FALSE)</f>
        <v>1.02</v>
      </c>
      <c r="Q206" s="24">
        <f ca="1">VLOOKUP(M206,[2]character_tribe_i18n!$A:$F,6,FALSE)</f>
        <v>1</v>
      </c>
      <c r="R206" s="25" t="s">
        <v>4</v>
      </c>
      <c r="S206" s="24">
        <f>VLOOKUP($R206,ラベル別係数!$A$1:$E$7,3,FALSE)</f>
        <v>5</v>
      </c>
      <c r="T206" s="24">
        <f>VLOOKUP($R206,ラベル別係数!$A$1:$E$7,4,FALSE)</f>
        <v>1.3</v>
      </c>
      <c r="U206" s="24">
        <f>VLOOKUP($R206,ラベル別係数!$A$1:$E$7,5,FALSE)</f>
        <v>0.8</v>
      </c>
      <c r="V206" s="27">
        <v>3</v>
      </c>
      <c r="W206" s="28">
        <f>VLOOKUP(V206,ターン数別攻撃係数!$A$1:$B$1000,2,FALSE)</f>
        <v>1</v>
      </c>
      <c r="X206" s="10">
        <v>20</v>
      </c>
      <c r="Y206" s="26">
        <f>VLOOKUP($X206,サイズ別係数!$B:$E,2,FALSE)</f>
        <v>1.1000000000000001</v>
      </c>
      <c r="Z206" s="26">
        <f>VLOOKUP($X206,サイズ別係数!$B:$E,3,FALSE)</f>
        <v>1.2</v>
      </c>
      <c r="AA206" s="26">
        <f>VLOOKUP($X206,サイズ別係数!$B:$E,4,FALSE)</f>
        <v>1.2</v>
      </c>
      <c r="AB206" s="5">
        <v>0</v>
      </c>
      <c r="AC206" s="34" t="str">
        <f ca="1">VLOOKUP($AB206,OFFSET([3]enemy_skill_sets!$B$2,0,0,COUNTA([3]enemy_skill_sets!$A:$A),MATCH(AC$1,[3]enemy_skill_sets!$1:$1,0)-MATCH($AB$1,[3]enemy_skill_sets!$1:$1,0)+1),MATCH(AC$1,[3]enemy_skill_sets!$1:$1,0)-MATCH($AB$1,[3]enemy_skill_sets!$1:$1,0)+1,FALSE)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06" s="27">
        <v>1</v>
      </c>
      <c r="AE206" s="37">
        <v>1</v>
      </c>
      <c r="AF206" s="37">
        <v>0</v>
      </c>
      <c r="AG206" s="28">
        <f ca="1">ROUND(VLOOKUP(1,enemy_base_stats!$A:$F,2,FALSE) * Y206* J206*O206*E206*S206*AD206*[2]ステータス!$B$2,0)</f>
        <v>3905</v>
      </c>
      <c r="AH206" s="28">
        <f ca="1">ROUND(VLOOKUP(1,enemy_base_stats!$A:$F,3,FALSE) * Z206*K206*P206*F206*T206*AE206 * W206*[2]ステータス!$C$2,0)</f>
        <v>199</v>
      </c>
      <c r="AI206" s="28">
        <f ca="1">ROUND(VLOOKUP(1,enemy_base_stats!$A:$F,4,FALSE) * AA206*L206*Q206*G206*U206*AF206*[2]ステータス!$D$2,0)</f>
        <v>0</v>
      </c>
      <c r="AJ206" s="28">
        <f ca="1">ROUND(VLOOKUP(100,enemy_base_stats!$A:$F,2,FALSE) * Y206* J206*O206*E206*S206*AD206*[2]ステータス!$B$2,0)</f>
        <v>158525</v>
      </c>
      <c r="AK206" s="28">
        <f ca="1">ROUND(VLOOKUP(100,enemy_base_stats!$A:$F,3,FALSE)* Z206* K206*P206*F206*T206*AE206 * W206*[2]ステータス!$C$2,0)</f>
        <v>8072</v>
      </c>
      <c r="AL206" s="28">
        <f ca="1">ROUND(VLOOKUP(100,enemy_base_stats!$A:$F,4,FALSE)* AA206* L206*Q206*G206*U206*AF206*[2]ステータス!$D$2,0)</f>
        <v>0</v>
      </c>
      <c r="AM206" s="24">
        <f ca="1">VLOOKUP(M206,[2]character_tribe_i18n!$A:$I,9,FALSE)</f>
        <v>680</v>
      </c>
      <c r="AN206" s="36">
        <v>0</v>
      </c>
      <c r="AO206" s="53">
        <v>0</v>
      </c>
      <c r="AP206" s="58" t="s">
        <v>72</v>
      </c>
      <c r="AQ206" s="71">
        <f t="shared" ca="1" si="6"/>
        <v>205</v>
      </c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8"/>
      <c r="BC206" s="18"/>
      <c r="BD206" s="18"/>
      <c r="BE206" s="18"/>
      <c r="BF206" s="18"/>
      <c r="BG206" s="18"/>
      <c r="BH206" s="18"/>
    </row>
    <row r="207" spans="1:60" s="3" customFormat="1" ht="21" customHeight="1" x14ac:dyDescent="0.15">
      <c r="A207" s="7">
        <f t="shared" ca="1" si="7"/>
        <v>206</v>
      </c>
      <c r="B207" s="6" t="str">
        <f ca="1">VLOOKUP(A207,[2]characters!$A:$C,3,FALSE)</f>
        <v>美神 アフロディーテ</v>
      </c>
      <c r="C207" s="9">
        <f ca="1">VLOOKUP(A207,[2]characters!$A:$I,9,FALSE)</f>
        <v>4</v>
      </c>
      <c r="D207" s="9" t="str">
        <f ca="1">VLOOKUP(A207,[2]characters!$A:$H,8,FALSE)</f>
        <v>green</v>
      </c>
      <c r="E207" s="24">
        <f ca="1">VLOOKUP(D207,[2]属性!$A:$E,2,FALSE)</f>
        <v>1.02</v>
      </c>
      <c r="F207" s="24">
        <f ca="1">VLOOKUP(D207,[2]属性!$A:$E,3,FALSE)</f>
        <v>0.98</v>
      </c>
      <c r="G207" s="24">
        <f ca="1">VLOOKUP(D207,[2]属性!$A:$F,4,FALSE)</f>
        <v>1</v>
      </c>
      <c r="H207" s="9" t="str">
        <f ca="1">VLOOKUP(A207,[2]characters!$A:$K,11,FALSE)</f>
        <v>hp</v>
      </c>
      <c r="I207" s="14" t="str">
        <f ca="1">VLOOKUP(H207,[2]character_type_i18n!$A:$F,3,FALSE)</f>
        <v>体力タイプ</v>
      </c>
      <c r="J207" s="36">
        <f ca="1">VLOOKUP(H207,[2]character_type_i18n!$A:$F,4,FALSE)</f>
        <v>1.45</v>
      </c>
      <c r="K207" s="36">
        <f ca="1">VLOOKUP(H207,[2]character_type_i18n!$A:$F,5,FALSE)</f>
        <v>0.85</v>
      </c>
      <c r="L207" s="36">
        <f ca="1">VLOOKUP(H207,[2]character_type_i18n!$A:$F,6,FALSE)</f>
        <v>1</v>
      </c>
      <c r="M207" s="9" t="str">
        <f ca="1">VLOOKUP(A207,[2]characters!$A:$M,13,FALSE)</f>
        <v>god</v>
      </c>
      <c r="N207" s="14" t="str">
        <f ca="1">VLOOKUP(M207,[2]character_tribe_i18n!$A:$F,3,FALSE)</f>
        <v>ゴッド</v>
      </c>
      <c r="O207" s="24">
        <f ca="1">VLOOKUP(M207,[2]character_tribe_i18n!$A:$F,4,FALSE)</f>
        <v>0.96</v>
      </c>
      <c r="P207" s="24">
        <f ca="1">VLOOKUP(M207,[2]character_tribe_i18n!$A:$F,5,FALSE)</f>
        <v>1.02</v>
      </c>
      <c r="Q207" s="24">
        <f ca="1">VLOOKUP(M207,[2]character_tribe_i18n!$A:$F,6,FALSE)</f>
        <v>1</v>
      </c>
      <c r="R207" s="25" t="s">
        <v>4</v>
      </c>
      <c r="S207" s="24">
        <f>VLOOKUP($R207,ラベル別係数!$A$1:$E$7,3,FALSE)</f>
        <v>5</v>
      </c>
      <c r="T207" s="24">
        <f>VLOOKUP($R207,ラベル別係数!$A$1:$E$7,4,FALSE)</f>
        <v>1.3</v>
      </c>
      <c r="U207" s="24">
        <f>VLOOKUP($R207,ラベル別係数!$A$1:$E$7,5,FALSE)</f>
        <v>0.8</v>
      </c>
      <c r="V207" s="27">
        <v>3</v>
      </c>
      <c r="W207" s="28">
        <f>VLOOKUP(V207,ターン数別攻撃係数!$A$1:$B$1000,2,FALSE)</f>
        <v>1</v>
      </c>
      <c r="X207" s="10">
        <v>30</v>
      </c>
      <c r="Y207" s="26">
        <f>VLOOKUP($X207,サイズ別係数!$B:$E,2,FALSE)</f>
        <v>1.3</v>
      </c>
      <c r="Z207" s="26">
        <f>VLOOKUP($X207,サイズ別係数!$B:$E,3,FALSE)</f>
        <v>1.3</v>
      </c>
      <c r="AA207" s="26">
        <f>VLOOKUP($X207,サイズ別係数!$B:$E,4,FALSE)</f>
        <v>1.1000000000000001</v>
      </c>
      <c r="AB207" s="5">
        <v>206</v>
      </c>
      <c r="AC207" s="34" t="str">
        <f ca="1">VLOOKUP($AB207,OFFSET([3]enemy_skill_sets!$B$2,0,0,COUNTA([3]enemy_skill_sets!$A:$A),MATCH(AC$1,[3]enemy_skill_sets!$1:$1,0)-MATCH($AB$1,[3]enemy_skill_sets!$1:$1,0)+1),MATCH(AC$1,[3]enemy_skill_sets!$1:$1,0)-MATCH($AB$1,[3]enemy_skill_sets!$1:$1,0)+1,FALSE)</f>
        <v>お邪魔パネル出現</v>
      </c>
      <c r="AD207" s="27">
        <v>1</v>
      </c>
      <c r="AE207" s="37">
        <v>1</v>
      </c>
      <c r="AF207" s="37">
        <v>0</v>
      </c>
      <c r="AG207" s="28">
        <f ca="1">ROUND(VLOOKUP(1,enemy_base_stats!$A:$F,2,FALSE) * Y207* J207*O207*E207*S207*AD207*[2]ステータス!$B$2,0)</f>
        <v>4614</v>
      </c>
      <c r="AH207" s="28">
        <f ca="1">ROUND(VLOOKUP(1,enemy_base_stats!$A:$F,3,FALSE) * Z207*K207*P207*F207*T207*AE207 * W207*[2]ステータス!$C$2,0)</f>
        <v>215</v>
      </c>
      <c r="AI207" s="28">
        <f ca="1">ROUND(VLOOKUP(1,enemy_base_stats!$A:$F,4,FALSE) * AA207*L207*Q207*G207*U207*AF207*[2]ステータス!$D$2,0)</f>
        <v>0</v>
      </c>
      <c r="AJ207" s="28">
        <f ca="1">ROUND(VLOOKUP(100,enemy_base_stats!$A:$F,2,FALSE) * Y207* J207*O207*E207*S207*AD207*[2]ステータス!$B$2,0)</f>
        <v>187348</v>
      </c>
      <c r="AK207" s="28">
        <f ca="1">ROUND(VLOOKUP(100,enemy_base_stats!$A:$F,3,FALSE)* Z207* K207*P207*F207*T207*AE207 * W207*[2]ステータス!$C$2,0)</f>
        <v>8745</v>
      </c>
      <c r="AL207" s="28">
        <f ca="1">ROUND(VLOOKUP(100,enemy_base_stats!$A:$F,4,FALSE)* AA207* L207*Q207*G207*U207*AF207*[2]ステータス!$D$2,0)</f>
        <v>0</v>
      </c>
      <c r="AM207" s="24">
        <f ca="1">VLOOKUP(M207,[2]character_tribe_i18n!$A:$I,9,FALSE)</f>
        <v>680</v>
      </c>
      <c r="AN207" s="36">
        <v>0</v>
      </c>
      <c r="AO207" s="53">
        <v>0</v>
      </c>
      <c r="AP207" s="58" t="s">
        <v>72</v>
      </c>
      <c r="AQ207" s="71">
        <f t="shared" ca="1" si="6"/>
        <v>206</v>
      </c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8"/>
      <c r="BC207" s="18"/>
      <c r="BD207" s="18"/>
      <c r="BE207" s="18"/>
      <c r="BF207" s="18"/>
      <c r="BG207" s="18"/>
      <c r="BH207" s="18"/>
    </row>
    <row r="208" spans="1:60" s="3" customFormat="1" ht="21" customHeight="1" x14ac:dyDescent="0.15">
      <c r="A208" s="7">
        <f t="shared" ca="1" si="7"/>
        <v>207</v>
      </c>
      <c r="B208" s="6" t="str">
        <f ca="1">VLOOKUP(A208,[2]characters!$A:$C,3,FALSE)</f>
        <v>豊穣の麗神・アフロディーテ</v>
      </c>
      <c r="C208" s="9">
        <f ca="1">VLOOKUP(A208,[2]characters!$A:$I,9,FALSE)</f>
        <v>5</v>
      </c>
      <c r="D208" s="9" t="str">
        <f ca="1">VLOOKUP(A208,[2]characters!$A:$H,8,FALSE)</f>
        <v>green</v>
      </c>
      <c r="E208" s="24">
        <f ca="1">VLOOKUP(D208,[2]属性!$A:$E,2,FALSE)</f>
        <v>1.02</v>
      </c>
      <c r="F208" s="24">
        <f ca="1">VLOOKUP(D208,[2]属性!$A:$E,3,FALSE)</f>
        <v>0.98</v>
      </c>
      <c r="G208" s="24">
        <f ca="1">VLOOKUP(D208,[2]属性!$A:$F,4,FALSE)</f>
        <v>1</v>
      </c>
      <c r="H208" s="9" t="str">
        <f ca="1">VLOOKUP(A208,[2]characters!$A:$K,11,FALSE)</f>
        <v>hp</v>
      </c>
      <c r="I208" s="14" t="str">
        <f ca="1">VLOOKUP(H208,[2]character_type_i18n!$A:$F,3,FALSE)</f>
        <v>体力タイプ</v>
      </c>
      <c r="J208" s="36">
        <f ca="1">VLOOKUP(H208,[2]character_type_i18n!$A:$F,4,FALSE)</f>
        <v>1.45</v>
      </c>
      <c r="K208" s="36">
        <f ca="1">VLOOKUP(H208,[2]character_type_i18n!$A:$F,5,FALSE)</f>
        <v>0.85</v>
      </c>
      <c r="L208" s="36">
        <f ca="1">VLOOKUP(H208,[2]character_type_i18n!$A:$F,6,FALSE)</f>
        <v>1</v>
      </c>
      <c r="M208" s="9" t="str">
        <f ca="1">VLOOKUP(A208,[2]characters!$A:$M,13,FALSE)</f>
        <v>god</v>
      </c>
      <c r="N208" s="14" t="str">
        <f ca="1">VLOOKUP(M208,[2]character_tribe_i18n!$A:$F,3,FALSE)</f>
        <v>ゴッド</v>
      </c>
      <c r="O208" s="24">
        <f ca="1">VLOOKUP(M208,[2]character_tribe_i18n!$A:$F,4,FALSE)</f>
        <v>0.96</v>
      </c>
      <c r="P208" s="24">
        <f ca="1">VLOOKUP(M208,[2]character_tribe_i18n!$A:$F,5,FALSE)</f>
        <v>1.02</v>
      </c>
      <c r="Q208" s="24">
        <f ca="1">VLOOKUP(M208,[2]character_tribe_i18n!$A:$F,6,FALSE)</f>
        <v>1</v>
      </c>
      <c r="R208" s="25" t="s">
        <v>4</v>
      </c>
      <c r="S208" s="24">
        <f>VLOOKUP($R208,ラベル別係数!$A$1:$E$7,3,FALSE)</f>
        <v>5</v>
      </c>
      <c r="T208" s="24">
        <f>VLOOKUP($R208,ラベル別係数!$A$1:$E$7,4,FALSE)</f>
        <v>1.3</v>
      </c>
      <c r="U208" s="24">
        <f>VLOOKUP($R208,ラベル別係数!$A$1:$E$7,5,FALSE)</f>
        <v>0.8</v>
      </c>
      <c r="V208" s="27">
        <v>3</v>
      </c>
      <c r="W208" s="28">
        <f>VLOOKUP(V208,ターン数別攻撃係数!$A$1:$B$1000,2,FALSE)</f>
        <v>1</v>
      </c>
      <c r="X208" s="10">
        <v>60</v>
      </c>
      <c r="Y208" s="26">
        <f>VLOOKUP($X208,サイズ別係数!$B:$E,2,FALSE)</f>
        <v>1.7</v>
      </c>
      <c r="Z208" s="26">
        <f>VLOOKUP($X208,サイズ別係数!$B:$E,3,FALSE)</f>
        <v>1.4</v>
      </c>
      <c r="AA208" s="26">
        <f>VLOOKUP($X208,サイズ別係数!$B:$E,4,FALSE)</f>
        <v>1</v>
      </c>
      <c r="AB208" s="5">
        <v>0</v>
      </c>
      <c r="AC208" s="34" t="str">
        <f ca="1">VLOOKUP($AB208,OFFSET([3]enemy_skill_sets!$B$2,0,0,COUNTA([3]enemy_skill_sets!$A:$A),MATCH(AC$1,[3]enemy_skill_sets!$1:$1,0)-MATCH($AB$1,[3]enemy_skill_sets!$1:$1,0)+1),MATCH(AC$1,[3]enemy_skill_sets!$1:$1,0)-MATCH($AB$1,[3]enemy_skill_sets!$1:$1,0)+1,FALSE)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08" s="27">
        <v>1</v>
      </c>
      <c r="AE208" s="37">
        <v>1</v>
      </c>
      <c r="AF208" s="37">
        <v>0</v>
      </c>
      <c r="AG208" s="28">
        <f ca="1">ROUND(VLOOKUP(1,enemy_base_stats!$A:$F,2,FALSE) * Y208* J208*O208*E208*S208*AD208*[2]ステータス!$B$2,0)</f>
        <v>6034</v>
      </c>
      <c r="AH208" s="28">
        <f ca="1">ROUND(VLOOKUP(1,enemy_base_stats!$A:$F,3,FALSE) * Z208*K208*P208*F208*T208*AE208 * W208*[2]ステータス!$C$2,0)</f>
        <v>232</v>
      </c>
      <c r="AI208" s="28">
        <f ca="1">ROUND(VLOOKUP(1,enemy_base_stats!$A:$F,4,FALSE) * AA208*L208*Q208*G208*U208*AF208*[2]ステータス!$D$2,0)</f>
        <v>0</v>
      </c>
      <c r="AJ208" s="28">
        <f ca="1">ROUND(VLOOKUP(100,enemy_base_stats!$A:$F,2,FALSE) * Y208* J208*O208*E208*S208*AD208*[2]ステータス!$B$2,0)</f>
        <v>244993</v>
      </c>
      <c r="AK208" s="28">
        <f ca="1">ROUND(VLOOKUP(100,enemy_base_stats!$A:$F,3,FALSE)* Z208* K208*P208*F208*T208*AE208 * W208*[2]ステータス!$C$2,0)</f>
        <v>9417</v>
      </c>
      <c r="AL208" s="28">
        <f ca="1">ROUND(VLOOKUP(100,enemy_base_stats!$A:$F,4,FALSE)* AA208* L208*Q208*G208*U208*AF208*[2]ステータス!$D$2,0)</f>
        <v>0</v>
      </c>
      <c r="AM208" s="24">
        <f ca="1">VLOOKUP(M208,[2]character_tribe_i18n!$A:$I,9,FALSE)</f>
        <v>680</v>
      </c>
      <c r="AN208" s="36">
        <v>0</v>
      </c>
      <c r="AO208" s="53">
        <v>0</v>
      </c>
      <c r="AP208" s="58" t="s">
        <v>72</v>
      </c>
      <c r="AQ208" s="71">
        <f t="shared" ca="1" si="6"/>
        <v>207</v>
      </c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8"/>
      <c r="BC208" s="18"/>
      <c r="BD208" s="18"/>
      <c r="BE208" s="18"/>
      <c r="BF208" s="18"/>
      <c r="BG208" s="18"/>
      <c r="BH208" s="18"/>
    </row>
    <row r="209" spans="1:60" s="3" customFormat="1" ht="21" customHeight="1" x14ac:dyDescent="0.15">
      <c r="A209" s="7">
        <f t="shared" ca="1" si="7"/>
        <v>208</v>
      </c>
      <c r="B209" s="6" t="str">
        <f ca="1">VLOOKUP(A209,[2]characters!$A:$C,3,FALSE)</f>
        <v>テティス</v>
      </c>
      <c r="C209" s="9">
        <f ca="1">VLOOKUP(A209,[2]characters!$A:$I,9,FALSE)</f>
        <v>3</v>
      </c>
      <c r="D209" s="9" t="str">
        <f ca="1">VLOOKUP(A209,[2]characters!$A:$H,8,FALSE)</f>
        <v>blue</v>
      </c>
      <c r="E209" s="24">
        <f ca="1">VLOOKUP(D209,[2]属性!$A:$E,2,FALSE)</f>
        <v>1</v>
      </c>
      <c r="F209" s="24">
        <f ca="1">VLOOKUP(D209,[2]属性!$A:$E,3,FALSE)</f>
        <v>0.98</v>
      </c>
      <c r="G209" s="24">
        <f ca="1">VLOOKUP(D209,[2]属性!$A:$F,4,FALSE)</f>
        <v>1</v>
      </c>
      <c r="H209" s="9" t="str">
        <f ca="1">VLOOKUP(A209,[2]characters!$A:$K,11,FALSE)</f>
        <v>hp</v>
      </c>
      <c r="I209" s="14" t="str">
        <f ca="1">VLOOKUP(H209,[2]character_type_i18n!$A:$F,3,FALSE)</f>
        <v>体力タイプ</v>
      </c>
      <c r="J209" s="36">
        <f ca="1">VLOOKUP(H209,[2]character_type_i18n!$A:$F,4,FALSE)</f>
        <v>1.45</v>
      </c>
      <c r="K209" s="36">
        <f ca="1">VLOOKUP(H209,[2]character_type_i18n!$A:$F,5,FALSE)</f>
        <v>0.85</v>
      </c>
      <c r="L209" s="36">
        <f ca="1">VLOOKUP(H209,[2]character_type_i18n!$A:$F,6,FALSE)</f>
        <v>1</v>
      </c>
      <c r="M209" s="9" t="str">
        <f ca="1">VLOOKUP(A209,[2]characters!$A:$M,13,FALSE)</f>
        <v>god</v>
      </c>
      <c r="N209" s="14" t="str">
        <f ca="1">VLOOKUP(M209,[2]character_tribe_i18n!$A:$F,3,FALSE)</f>
        <v>ゴッド</v>
      </c>
      <c r="O209" s="24">
        <f ca="1">VLOOKUP(M209,[2]character_tribe_i18n!$A:$F,4,FALSE)</f>
        <v>0.96</v>
      </c>
      <c r="P209" s="24">
        <f ca="1">VLOOKUP(M209,[2]character_tribe_i18n!$A:$F,5,FALSE)</f>
        <v>1.02</v>
      </c>
      <c r="Q209" s="24">
        <f ca="1">VLOOKUP(M209,[2]character_tribe_i18n!$A:$F,6,FALSE)</f>
        <v>1</v>
      </c>
      <c r="R209" s="25" t="s">
        <v>4</v>
      </c>
      <c r="S209" s="24">
        <f>VLOOKUP($R209,ラベル別係数!$A$1:$E$7,3,FALSE)</f>
        <v>5</v>
      </c>
      <c r="T209" s="24">
        <f>VLOOKUP($R209,ラベル別係数!$A$1:$E$7,4,FALSE)</f>
        <v>1.3</v>
      </c>
      <c r="U209" s="24">
        <f>VLOOKUP($R209,ラベル別係数!$A$1:$E$7,5,FALSE)</f>
        <v>0.8</v>
      </c>
      <c r="V209" s="27">
        <v>2</v>
      </c>
      <c r="W209" s="28">
        <f>VLOOKUP(V209,ターン数別攻撃係数!$A$1:$B$1000,2,FALSE)</f>
        <v>0.75</v>
      </c>
      <c r="X209" s="10">
        <v>20</v>
      </c>
      <c r="Y209" s="26">
        <f>VLOOKUP($X209,サイズ別係数!$B:$E,2,FALSE)</f>
        <v>1.1000000000000001</v>
      </c>
      <c r="Z209" s="26">
        <f>VLOOKUP($X209,サイズ別係数!$B:$E,3,FALSE)</f>
        <v>1.2</v>
      </c>
      <c r="AA209" s="26">
        <f>VLOOKUP($X209,サイズ別係数!$B:$E,4,FALSE)</f>
        <v>1.2</v>
      </c>
      <c r="AB209" s="5">
        <v>0</v>
      </c>
      <c r="AC209" s="34" t="str">
        <f ca="1">VLOOKUP($AB209,OFFSET([3]enemy_skill_sets!$B$2,0,0,COUNTA([3]enemy_skill_sets!$A:$A),MATCH(AC$1,[3]enemy_skill_sets!$1:$1,0)-MATCH($AB$1,[3]enemy_skill_sets!$1:$1,0)+1),MATCH(AC$1,[3]enemy_skill_sets!$1:$1,0)-MATCH($AB$1,[3]enemy_skill_sets!$1:$1,0)+1,FALSE)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09" s="27">
        <v>1</v>
      </c>
      <c r="AE209" s="37">
        <v>1</v>
      </c>
      <c r="AF209" s="37">
        <v>0</v>
      </c>
      <c r="AG209" s="28">
        <f ca="1">ROUND(VLOOKUP(1,enemy_base_stats!$A:$F,2,FALSE) * Y209* J209*O209*E209*S209*AD209*[2]ステータス!$B$2,0)</f>
        <v>3828</v>
      </c>
      <c r="AH209" s="28">
        <f ca="1">ROUND(VLOOKUP(1,enemy_base_stats!$A:$F,3,FALSE) * Z209*K209*P209*F209*T209*AE209 * W209*[2]ステータス!$C$2,0)</f>
        <v>149</v>
      </c>
      <c r="AI209" s="28">
        <f ca="1">ROUND(VLOOKUP(1,enemy_base_stats!$A:$F,4,FALSE) * AA209*L209*Q209*G209*U209*AF209*[2]ステータス!$D$2,0)</f>
        <v>0</v>
      </c>
      <c r="AJ209" s="28">
        <f ca="1">ROUND(VLOOKUP(100,enemy_base_stats!$A:$F,2,FALSE) * Y209* J209*O209*E209*S209*AD209*[2]ステータス!$B$2,0)</f>
        <v>155417</v>
      </c>
      <c r="AK209" s="28">
        <f ca="1">ROUND(VLOOKUP(100,enemy_base_stats!$A:$F,3,FALSE)* Z209* K209*P209*F209*T209*AE209 * W209*[2]ステータス!$C$2,0)</f>
        <v>6054</v>
      </c>
      <c r="AL209" s="28">
        <f ca="1">ROUND(VLOOKUP(100,enemy_base_stats!$A:$F,4,FALSE)* AA209* L209*Q209*G209*U209*AF209*[2]ステータス!$D$2,0)</f>
        <v>0</v>
      </c>
      <c r="AM209" s="24">
        <f ca="1">VLOOKUP(M209,[2]character_tribe_i18n!$A:$I,9,FALSE)</f>
        <v>680</v>
      </c>
      <c r="AN209" s="36">
        <v>0</v>
      </c>
      <c r="AO209" s="53">
        <v>0</v>
      </c>
      <c r="AP209" s="58" t="s">
        <v>72</v>
      </c>
      <c r="AQ209" s="71">
        <f t="shared" ca="1" si="6"/>
        <v>208</v>
      </c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8"/>
      <c r="BC209" s="18"/>
      <c r="BD209" s="18"/>
      <c r="BE209" s="18"/>
      <c r="BF209" s="18"/>
      <c r="BG209" s="18"/>
      <c r="BH209" s="18"/>
    </row>
    <row r="210" spans="1:60" s="3" customFormat="1" ht="21" customHeight="1" x14ac:dyDescent="0.15">
      <c r="A210" s="7">
        <f t="shared" ca="1" si="7"/>
        <v>209</v>
      </c>
      <c r="B210" s="6" t="str">
        <f ca="1">VLOOKUP(A210,[2]characters!$A:$C,3,FALSE)</f>
        <v>孤神 テティス</v>
      </c>
      <c r="C210" s="9">
        <f ca="1">VLOOKUP(A210,[2]characters!$A:$I,9,FALSE)</f>
        <v>4</v>
      </c>
      <c r="D210" s="9" t="str">
        <f ca="1">VLOOKUP(A210,[2]characters!$A:$H,8,FALSE)</f>
        <v>blue</v>
      </c>
      <c r="E210" s="24">
        <f ca="1">VLOOKUP(D210,[2]属性!$A:$E,2,FALSE)</f>
        <v>1</v>
      </c>
      <c r="F210" s="24">
        <f ca="1">VLOOKUP(D210,[2]属性!$A:$E,3,FALSE)</f>
        <v>0.98</v>
      </c>
      <c r="G210" s="24">
        <f ca="1">VLOOKUP(D210,[2]属性!$A:$F,4,FALSE)</f>
        <v>1</v>
      </c>
      <c r="H210" s="9" t="str">
        <f ca="1">VLOOKUP(A210,[2]characters!$A:$K,11,FALSE)</f>
        <v>hp</v>
      </c>
      <c r="I210" s="14" t="str">
        <f ca="1">VLOOKUP(H210,[2]character_type_i18n!$A:$F,3,FALSE)</f>
        <v>体力タイプ</v>
      </c>
      <c r="J210" s="36">
        <f ca="1">VLOOKUP(H210,[2]character_type_i18n!$A:$F,4,FALSE)</f>
        <v>1.45</v>
      </c>
      <c r="K210" s="36">
        <f ca="1">VLOOKUP(H210,[2]character_type_i18n!$A:$F,5,FALSE)</f>
        <v>0.85</v>
      </c>
      <c r="L210" s="36">
        <f ca="1">VLOOKUP(H210,[2]character_type_i18n!$A:$F,6,FALSE)</f>
        <v>1</v>
      </c>
      <c r="M210" s="9" t="str">
        <f ca="1">VLOOKUP(A210,[2]characters!$A:$M,13,FALSE)</f>
        <v>god</v>
      </c>
      <c r="N210" s="14" t="str">
        <f ca="1">VLOOKUP(M210,[2]character_tribe_i18n!$A:$F,3,FALSE)</f>
        <v>ゴッド</v>
      </c>
      <c r="O210" s="24">
        <f ca="1">VLOOKUP(M210,[2]character_tribe_i18n!$A:$F,4,FALSE)</f>
        <v>0.96</v>
      </c>
      <c r="P210" s="24">
        <f ca="1">VLOOKUP(M210,[2]character_tribe_i18n!$A:$F,5,FALSE)</f>
        <v>1.02</v>
      </c>
      <c r="Q210" s="24">
        <f ca="1">VLOOKUP(M210,[2]character_tribe_i18n!$A:$F,6,FALSE)</f>
        <v>1</v>
      </c>
      <c r="R210" s="25" t="s">
        <v>4</v>
      </c>
      <c r="S210" s="24">
        <f>VLOOKUP($R210,ラベル別係数!$A$1:$E$7,3,FALSE)</f>
        <v>5</v>
      </c>
      <c r="T210" s="24">
        <f>VLOOKUP($R210,ラベル別係数!$A$1:$E$7,4,FALSE)</f>
        <v>1.3</v>
      </c>
      <c r="U210" s="24">
        <f>VLOOKUP($R210,ラベル別係数!$A$1:$E$7,5,FALSE)</f>
        <v>0.8</v>
      </c>
      <c r="V210" s="27">
        <v>2</v>
      </c>
      <c r="W210" s="28">
        <f>VLOOKUP(V210,ターン数別攻撃係数!$A$1:$B$1000,2,FALSE)</f>
        <v>0.75</v>
      </c>
      <c r="X210" s="10">
        <v>30</v>
      </c>
      <c r="Y210" s="26">
        <f>VLOOKUP($X210,サイズ別係数!$B:$E,2,FALSE)</f>
        <v>1.3</v>
      </c>
      <c r="Z210" s="26">
        <f>VLOOKUP($X210,サイズ別係数!$B:$E,3,FALSE)</f>
        <v>1.3</v>
      </c>
      <c r="AA210" s="26">
        <f>VLOOKUP($X210,サイズ別係数!$B:$E,4,FALSE)</f>
        <v>1.1000000000000001</v>
      </c>
      <c r="AB210" s="5">
        <v>0</v>
      </c>
      <c r="AC210" s="34" t="str">
        <f ca="1">VLOOKUP($AB210,OFFSET([3]enemy_skill_sets!$B$2,0,0,COUNTA([3]enemy_skill_sets!$A:$A),MATCH(AC$1,[3]enemy_skill_sets!$1:$1,0)-MATCH($AB$1,[3]enemy_skill_sets!$1:$1,0)+1),MATCH(AC$1,[3]enemy_skill_sets!$1:$1,0)-MATCH($AB$1,[3]enemy_skill_sets!$1:$1,0)+1,FALSE)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0" s="27">
        <v>1</v>
      </c>
      <c r="AE210" s="37">
        <v>1</v>
      </c>
      <c r="AF210" s="37">
        <v>0</v>
      </c>
      <c r="AG210" s="28">
        <f ca="1">ROUND(VLOOKUP(1,enemy_base_stats!$A:$F,2,FALSE) * Y210* J210*O210*E210*S210*AD210*[2]ステータス!$B$2,0)</f>
        <v>4524</v>
      </c>
      <c r="AH210" s="28">
        <f ca="1">ROUND(VLOOKUP(1,enemy_base_stats!$A:$F,3,FALSE) * Z210*K210*P210*F210*T210*AE210 * W210*[2]ステータス!$C$2,0)</f>
        <v>162</v>
      </c>
      <c r="AI210" s="28">
        <f ca="1">ROUND(VLOOKUP(1,enemy_base_stats!$A:$F,4,FALSE) * AA210*L210*Q210*G210*U210*AF210*[2]ステータス!$D$2,0)</f>
        <v>0</v>
      </c>
      <c r="AJ210" s="28">
        <f ca="1">ROUND(VLOOKUP(100,enemy_base_stats!$A:$F,2,FALSE) * Y210* J210*O210*E210*S210*AD210*[2]ステータス!$B$2,0)</f>
        <v>183674</v>
      </c>
      <c r="AK210" s="28">
        <f ca="1">ROUND(VLOOKUP(100,enemy_base_stats!$A:$F,3,FALSE)* Z210* K210*P210*F210*T210*AE210 * W210*[2]ステータス!$C$2,0)</f>
        <v>6559</v>
      </c>
      <c r="AL210" s="28">
        <f ca="1">ROUND(VLOOKUP(100,enemy_base_stats!$A:$F,4,FALSE)* AA210* L210*Q210*G210*U210*AF210*[2]ステータス!$D$2,0)</f>
        <v>0</v>
      </c>
      <c r="AM210" s="24">
        <f ca="1">VLOOKUP(M210,[2]character_tribe_i18n!$A:$I,9,FALSE)</f>
        <v>680</v>
      </c>
      <c r="AN210" s="36">
        <v>0</v>
      </c>
      <c r="AO210" s="53">
        <v>0</v>
      </c>
      <c r="AP210" s="58" t="s">
        <v>72</v>
      </c>
      <c r="AQ210" s="71">
        <f t="shared" ca="1" si="6"/>
        <v>209</v>
      </c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</row>
    <row r="211" spans="1:60" s="3" customFormat="1" ht="21" customHeight="1" x14ac:dyDescent="0.15">
      <c r="A211" s="7">
        <f t="shared" ca="1" si="7"/>
        <v>210</v>
      </c>
      <c r="B211" s="6" t="str">
        <f ca="1">VLOOKUP(A211,[2]characters!$A:$C,3,FALSE)</f>
        <v>海底の孤高神 テティス</v>
      </c>
      <c r="C211" s="9">
        <f ca="1">VLOOKUP(A211,[2]characters!$A:$I,9,FALSE)</f>
        <v>5</v>
      </c>
      <c r="D211" s="9" t="str">
        <f ca="1">VLOOKUP(A211,[2]characters!$A:$H,8,FALSE)</f>
        <v>blue</v>
      </c>
      <c r="E211" s="24">
        <f ca="1">VLOOKUP(D211,[2]属性!$A:$E,2,FALSE)</f>
        <v>1</v>
      </c>
      <c r="F211" s="24">
        <f ca="1">VLOOKUP(D211,[2]属性!$A:$E,3,FALSE)</f>
        <v>0.98</v>
      </c>
      <c r="G211" s="24">
        <f ca="1">VLOOKUP(D211,[2]属性!$A:$F,4,FALSE)</f>
        <v>1</v>
      </c>
      <c r="H211" s="9" t="str">
        <f ca="1">VLOOKUP(A211,[2]characters!$A:$K,11,FALSE)</f>
        <v>hp</v>
      </c>
      <c r="I211" s="14" t="str">
        <f ca="1">VLOOKUP(H211,[2]character_type_i18n!$A:$F,3,FALSE)</f>
        <v>体力タイプ</v>
      </c>
      <c r="J211" s="36">
        <f ca="1">VLOOKUP(H211,[2]character_type_i18n!$A:$F,4,FALSE)</f>
        <v>1.45</v>
      </c>
      <c r="K211" s="36">
        <f ca="1">VLOOKUP(H211,[2]character_type_i18n!$A:$F,5,FALSE)</f>
        <v>0.85</v>
      </c>
      <c r="L211" s="36">
        <f ca="1">VLOOKUP(H211,[2]character_type_i18n!$A:$F,6,FALSE)</f>
        <v>1</v>
      </c>
      <c r="M211" s="9" t="str">
        <f ca="1">VLOOKUP(A211,[2]characters!$A:$M,13,FALSE)</f>
        <v>god</v>
      </c>
      <c r="N211" s="14" t="str">
        <f ca="1">VLOOKUP(M211,[2]character_tribe_i18n!$A:$F,3,FALSE)</f>
        <v>ゴッド</v>
      </c>
      <c r="O211" s="24">
        <f ca="1">VLOOKUP(M211,[2]character_tribe_i18n!$A:$F,4,FALSE)</f>
        <v>0.96</v>
      </c>
      <c r="P211" s="24">
        <f ca="1">VLOOKUP(M211,[2]character_tribe_i18n!$A:$F,5,FALSE)</f>
        <v>1.02</v>
      </c>
      <c r="Q211" s="24">
        <f ca="1">VLOOKUP(M211,[2]character_tribe_i18n!$A:$F,6,FALSE)</f>
        <v>1</v>
      </c>
      <c r="R211" s="25" t="s">
        <v>4</v>
      </c>
      <c r="S211" s="24">
        <f>VLOOKUP($R211,ラベル別係数!$A$1:$E$7,3,FALSE)</f>
        <v>5</v>
      </c>
      <c r="T211" s="24">
        <f>VLOOKUP($R211,ラベル別係数!$A$1:$E$7,4,FALSE)</f>
        <v>1.3</v>
      </c>
      <c r="U211" s="24">
        <f>VLOOKUP($R211,ラベル別係数!$A$1:$E$7,5,FALSE)</f>
        <v>0.8</v>
      </c>
      <c r="V211" s="27">
        <v>2</v>
      </c>
      <c r="W211" s="28">
        <f>VLOOKUP(V211,ターン数別攻撃係数!$A$1:$B$1000,2,FALSE)</f>
        <v>0.75</v>
      </c>
      <c r="X211" s="10">
        <v>60</v>
      </c>
      <c r="Y211" s="26">
        <f>VLOOKUP($X211,サイズ別係数!$B:$E,2,FALSE)</f>
        <v>1.7</v>
      </c>
      <c r="Z211" s="26">
        <f>VLOOKUP($X211,サイズ別係数!$B:$E,3,FALSE)</f>
        <v>1.4</v>
      </c>
      <c r="AA211" s="26">
        <f>VLOOKUP($X211,サイズ別係数!$B:$E,4,FALSE)</f>
        <v>1</v>
      </c>
      <c r="AB211" s="5">
        <v>0</v>
      </c>
      <c r="AC211" s="34" t="str">
        <f ca="1">VLOOKUP($AB211,OFFSET([3]enemy_skill_sets!$B$2,0,0,COUNTA([3]enemy_skill_sets!$A:$A),MATCH(AC$1,[3]enemy_skill_sets!$1:$1,0)-MATCH($AB$1,[3]enemy_skill_sets!$1:$1,0)+1),MATCH(AC$1,[3]enemy_skill_sets!$1:$1,0)-MATCH($AB$1,[3]enemy_skill_sets!$1:$1,0)+1,FALSE)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1" s="27">
        <v>1</v>
      </c>
      <c r="AE211" s="37">
        <v>1</v>
      </c>
      <c r="AF211" s="37">
        <v>0</v>
      </c>
      <c r="AG211" s="28">
        <f ca="1">ROUND(VLOOKUP(1,enemy_base_stats!$A:$F,2,FALSE) * Y211* J211*O211*E211*S211*AD211*[2]ステータス!$B$2,0)</f>
        <v>5916</v>
      </c>
      <c r="AH211" s="28">
        <f ca="1">ROUND(VLOOKUP(1,enemy_base_stats!$A:$F,3,FALSE) * Z211*K211*P211*F211*T211*AE211 * W211*[2]ステータス!$C$2,0)</f>
        <v>174</v>
      </c>
      <c r="AI211" s="28">
        <f ca="1">ROUND(VLOOKUP(1,enemy_base_stats!$A:$F,4,FALSE) * AA211*L211*Q211*G211*U211*AF211*[2]ステータス!$D$2,0)</f>
        <v>0</v>
      </c>
      <c r="AJ211" s="28">
        <f ca="1">ROUND(VLOOKUP(100,enemy_base_stats!$A:$F,2,FALSE) * Y211* J211*O211*E211*S211*AD211*[2]ステータス!$B$2,0)</f>
        <v>240190</v>
      </c>
      <c r="AK211" s="28">
        <f ca="1">ROUND(VLOOKUP(100,enemy_base_stats!$A:$F,3,FALSE)* Z211* K211*P211*F211*T211*AE211 * W211*[2]ステータス!$C$2,0)</f>
        <v>7063</v>
      </c>
      <c r="AL211" s="28">
        <f ca="1">ROUND(VLOOKUP(100,enemy_base_stats!$A:$F,4,FALSE)* AA211* L211*Q211*G211*U211*AF211*[2]ステータス!$D$2,0)</f>
        <v>0</v>
      </c>
      <c r="AM211" s="24">
        <f ca="1">VLOOKUP(M211,[2]character_tribe_i18n!$A:$I,9,FALSE)</f>
        <v>680</v>
      </c>
      <c r="AN211" s="36">
        <v>0</v>
      </c>
      <c r="AO211" s="53">
        <v>0</v>
      </c>
      <c r="AP211" s="58" t="s">
        <v>72</v>
      </c>
      <c r="AQ211" s="71">
        <f t="shared" ca="1" si="6"/>
        <v>210</v>
      </c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8"/>
      <c r="BC211" s="18"/>
      <c r="BD211" s="18"/>
      <c r="BE211" s="18"/>
      <c r="BF211" s="18"/>
      <c r="BG211" s="18"/>
      <c r="BH211" s="18"/>
    </row>
    <row r="212" spans="1:60" s="3" customFormat="1" ht="21" customHeight="1" x14ac:dyDescent="0.15">
      <c r="A212" s="7">
        <f t="shared" ca="1" si="7"/>
        <v>211</v>
      </c>
      <c r="B212" s="6" t="str">
        <f ca="1">VLOOKUP(A212,[2]characters!$A:$C,3,FALSE)</f>
        <v>アストライアー</v>
      </c>
      <c r="C212" s="9">
        <f ca="1">VLOOKUP(A212,[2]characters!$A:$I,9,FALSE)</f>
        <v>3</v>
      </c>
      <c r="D212" s="9" t="str">
        <f ca="1">VLOOKUP(A212,[2]characters!$A:$H,8,FALSE)</f>
        <v>yellow</v>
      </c>
      <c r="E212" s="24">
        <f ca="1">VLOOKUP(D212,[2]属性!$A:$E,2,FALSE)</f>
        <v>0.98</v>
      </c>
      <c r="F212" s="24">
        <f ca="1">VLOOKUP(D212,[2]属性!$A:$E,3,FALSE)</f>
        <v>1.01</v>
      </c>
      <c r="G212" s="24">
        <f ca="1">VLOOKUP(D212,[2]属性!$A:$F,4,FALSE)</f>
        <v>1</v>
      </c>
      <c r="H212" s="9" t="str">
        <f ca="1">VLOOKUP(A212,[2]characters!$A:$K,11,FALSE)</f>
        <v>balance</v>
      </c>
      <c r="I212" s="14" t="str">
        <f ca="1">VLOOKUP(H212,[2]character_type_i18n!$A:$F,3,FALSE)</f>
        <v>バランスタイプ</v>
      </c>
      <c r="J212" s="36">
        <f ca="1">VLOOKUP(H212,[2]character_type_i18n!$A:$F,4,FALSE)</f>
        <v>1</v>
      </c>
      <c r="K212" s="36">
        <f ca="1">VLOOKUP(H212,[2]character_type_i18n!$A:$F,5,FALSE)</f>
        <v>1</v>
      </c>
      <c r="L212" s="36">
        <f ca="1">VLOOKUP(H212,[2]character_type_i18n!$A:$F,6,FALSE)</f>
        <v>1</v>
      </c>
      <c r="M212" s="9" t="str">
        <f ca="1">VLOOKUP(A212,[2]characters!$A:$M,13,FALSE)</f>
        <v>god</v>
      </c>
      <c r="N212" s="14" t="str">
        <f ca="1">VLOOKUP(M212,[2]character_tribe_i18n!$A:$F,3,FALSE)</f>
        <v>ゴッド</v>
      </c>
      <c r="O212" s="24">
        <f ca="1">VLOOKUP(M212,[2]character_tribe_i18n!$A:$F,4,FALSE)</f>
        <v>0.96</v>
      </c>
      <c r="P212" s="24">
        <f ca="1">VLOOKUP(M212,[2]character_tribe_i18n!$A:$F,5,FALSE)</f>
        <v>1.02</v>
      </c>
      <c r="Q212" s="24">
        <f ca="1">VLOOKUP(M212,[2]character_tribe_i18n!$A:$F,6,FALSE)</f>
        <v>1</v>
      </c>
      <c r="R212" s="25" t="s">
        <v>4</v>
      </c>
      <c r="S212" s="24">
        <f>VLOOKUP($R212,ラベル別係数!$A$1:$E$7,3,FALSE)</f>
        <v>5</v>
      </c>
      <c r="T212" s="24">
        <f>VLOOKUP($R212,ラベル別係数!$A$1:$E$7,4,FALSE)</f>
        <v>1.3</v>
      </c>
      <c r="U212" s="24">
        <f>VLOOKUP($R212,ラベル別係数!$A$1:$E$7,5,FALSE)</f>
        <v>0.8</v>
      </c>
      <c r="V212" s="27">
        <v>2</v>
      </c>
      <c r="W212" s="28">
        <f>VLOOKUP(V212,ターン数別攻撃係数!$A$1:$B$1000,2,FALSE)</f>
        <v>0.75</v>
      </c>
      <c r="X212" s="10">
        <v>20</v>
      </c>
      <c r="Y212" s="26">
        <f>VLOOKUP($X212,サイズ別係数!$B:$E,2,FALSE)</f>
        <v>1.1000000000000001</v>
      </c>
      <c r="Z212" s="26">
        <f>VLOOKUP($X212,サイズ別係数!$B:$E,3,FALSE)</f>
        <v>1.2</v>
      </c>
      <c r="AA212" s="26">
        <f>VLOOKUP($X212,サイズ別係数!$B:$E,4,FALSE)</f>
        <v>1.2</v>
      </c>
      <c r="AB212" s="5">
        <v>211</v>
      </c>
      <c r="AC212" s="34" t="str">
        <f ca="1">VLOOKUP($AB212,OFFSET([3]enemy_skill_sets!$B$2,0,0,COUNTA([3]enemy_skill_sets!$A:$A),MATCH(AC$1,[3]enemy_skill_sets!$1:$1,0)-MATCH($AB$1,[3]enemy_skill_sets!$1:$1,0)+1),MATCH(AC$1,[3]enemy_skill_sets!$1:$1,0)-MATCH($AB$1,[3]enemy_skill_sets!$1:$1,0)+1,FALSE)</f>
        <v>時限式ダメージパネル出現</v>
      </c>
      <c r="AD212" s="27">
        <v>1</v>
      </c>
      <c r="AE212" s="37">
        <v>1</v>
      </c>
      <c r="AF212" s="37">
        <v>0</v>
      </c>
      <c r="AG212" s="28">
        <f ca="1">ROUND(VLOOKUP(1,enemy_base_stats!$A:$F,2,FALSE) * Y212* J212*O212*E212*S212*AD212*[2]ステータス!$B$2,0)</f>
        <v>2587</v>
      </c>
      <c r="AH212" s="28">
        <f ca="1">ROUND(VLOOKUP(1,enemy_base_stats!$A:$F,3,FALSE) * Z212*K212*P212*F212*T212*AE212 * W212*[2]ステータス!$C$2,0)</f>
        <v>181</v>
      </c>
      <c r="AI212" s="28">
        <f ca="1">ROUND(VLOOKUP(1,enemy_base_stats!$A:$F,4,FALSE) * AA212*L212*Q212*G212*U212*AF212*[2]ステータス!$D$2,0)</f>
        <v>0</v>
      </c>
      <c r="AJ212" s="28">
        <f ca="1">ROUND(VLOOKUP(100,enemy_base_stats!$A:$F,2,FALSE) * Y212* J212*O212*E212*S212*AD212*[2]ステータス!$B$2,0)</f>
        <v>105040</v>
      </c>
      <c r="AK212" s="28">
        <f ca="1">ROUND(VLOOKUP(100,enemy_base_stats!$A:$F,3,FALSE)* Z212* K212*P212*F212*T212*AE212 * W212*[2]ステータス!$C$2,0)</f>
        <v>7340</v>
      </c>
      <c r="AL212" s="28">
        <f ca="1">ROUND(VLOOKUP(100,enemy_base_stats!$A:$F,4,FALSE)* AA212* L212*Q212*G212*U212*AF212*[2]ステータス!$D$2,0)</f>
        <v>0</v>
      </c>
      <c r="AM212" s="24">
        <f ca="1">VLOOKUP(M212,[2]character_tribe_i18n!$A:$I,9,FALSE)</f>
        <v>680</v>
      </c>
      <c r="AN212" s="36">
        <v>0</v>
      </c>
      <c r="AO212" s="53">
        <v>0</v>
      </c>
      <c r="AP212" s="58" t="s">
        <v>72</v>
      </c>
      <c r="AQ212" s="71">
        <f t="shared" ca="1" si="6"/>
        <v>211</v>
      </c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8"/>
      <c r="BC212" s="18"/>
      <c r="BD212" s="18"/>
      <c r="BE212" s="18"/>
      <c r="BF212" s="18"/>
      <c r="BG212" s="18"/>
      <c r="BH212" s="18"/>
    </row>
    <row r="213" spans="1:60" s="3" customFormat="1" ht="21" customHeight="1" x14ac:dyDescent="0.15">
      <c r="A213" s="7">
        <f t="shared" ca="1" si="7"/>
        <v>212</v>
      </c>
      <c r="B213" s="6" t="str">
        <f ca="1">VLOOKUP(A213,[2]characters!$A:$C,3,FALSE)</f>
        <v>星神 アストライアー</v>
      </c>
      <c r="C213" s="9">
        <f ca="1">VLOOKUP(A213,[2]characters!$A:$I,9,FALSE)</f>
        <v>4</v>
      </c>
      <c r="D213" s="9" t="str">
        <f ca="1">VLOOKUP(A213,[2]characters!$A:$H,8,FALSE)</f>
        <v>yellow</v>
      </c>
      <c r="E213" s="24">
        <f ca="1">VLOOKUP(D213,[2]属性!$A:$E,2,FALSE)</f>
        <v>0.98</v>
      </c>
      <c r="F213" s="24">
        <f ca="1">VLOOKUP(D213,[2]属性!$A:$E,3,FALSE)</f>
        <v>1.01</v>
      </c>
      <c r="G213" s="24">
        <f ca="1">VLOOKUP(D213,[2]属性!$A:$F,4,FALSE)</f>
        <v>1</v>
      </c>
      <c r="H213" s="9" t="str">
        <f ca="1">VLOOKUP(A213,[2]characters!$A:$K,11,FALSE)</f>
        <v>balance</v>
      </c>
      <c r="I213" s="14" t="str">
        <f ca="1">VLOOKUP(H213,[2]character_type_i18n!$A:$F,3,FALSE)</f>
        <v>バランスタイプ</v>
      </c>
      <c r="J213" s="36">
        <f ca="1">VLOOKUP(H213,[2]character_type_i18n!$A:$F,4,FALSE)</f>
        <v>1</v>
      </c>
      <c r="K213" s="36">
        <f ca="1">VLOOKUP(H213,[2]character_type_i18n!$A:$F,5,FALSE)</f>
        <v>1</v>
      </c>
      <c r="L213" s="36">
        <f ca="1">VLOOKUP(H213,[2]character_type_i18n!$A:$F,6,FALSE)</f>
        <v>1</v>
      </c>
      <c r="M213" s="9" t="str">
        <f ca="1">VLOOKUP(A213,[2]characters!$A:$M,13,FALSE)</f>
        <v>god</v>
      </c>
      <c r="N213" s="14" t="str">
        <f ca="1">VLOOKUP(M213,[2]character_tribe_i18n!$A:$F,3,FALSE)</f>
        <v>ゴッド</v>
      </c>
      <c r="O213" s="24">
        <f ca="1">VLOOKUP(M213,[2]character_tribe_i18n!$A:$F,4,FALSE)</f>
        <v>0.96</v>
      </c>
      <c r="P213" s="24">
        <f ca="1">VLOOKUP(M213,[2]character_tribe_i18n!$A:$F,5,FALSE)</f>
        <v>1.02</v>
      </c>
      <c r="Q213" s="24">
        <f ca="1">VLOOKUP(M213,[2]character_tribe_i18n!$A:$F,6,FALSE)</f>
        <v>1</v>
      </c>
      <c r="R213" s="25" t="s">
        <v>4</v>
      </c>
      <c r="S213" s="24">
        <f>VLOOKUP($R213,ラベル別係数!$A$1:$E$7,3,FALSE)</f>
        <v>5</v>
      </c>
      <c r="T213" s="24">
        <f>VLOOKUP($R213,ラベル別係数!$A$1:$E$7,4,FALSE)</f>
        <v>1.3</v>
      </c>
      <c r="U213" s="24">
        <f>VLOOKUP($R213,ラベル別係数!$A$1:$E$7,5,FALSE)</f>
        <v>0.8</v>
      </c>
      <c r="V213" s="27">
        <v>1</v>
      </c>
      <c r="W213" s="28">
        <f>VLOOKUP(V213,ターン数別攻撃係数!$A$1:$B$1000,2,FALSE)</f>
        <v>0.55000000000000004</v>
      </c>
      <c r="X213" s="10">
        <v>30</v>
      </c>
      <c r="Y213" s="26">
        <f>VLOOKUP($X213,サイズ別係数!$B:$E,2,FALSE)</f>
        <v>1.3</v>
      </c>
      <c r="Z213" s="26">
        <f>VLOOKUP($X213,サイズ別係数!$B:$E,3,FALSE)</f>
        <v>1.3</v>
      </c>
      <c r="AA213" s="26">
        <f>VLOOKUP($X213,サイズ別係数!$B:$E,4,FALSE)</f>
        <v>1.1000000000000001</v>
      </c>
      <c r="AB213" s="5">
        <v>212</v>
      </c>
      <c r="AC213" s="34" t="str">
        <f ca="1">VLOOKUP($AB213,OFFSET([3]enemy_skill_sets!$B$2,0,0,COUNTA([3]enemy_skill_sets!$A:$A),MATCH(AC$1,[3]enemy_skill_sets!$1:$1,0)-MATCH($AB$1,[3]enemy_skill_sets!$1:$1,0)+1),MATCH(AC$1,[3]enemy_skill_sets!$1:$1,0)-MATCH($AB$1,[3]enemy_skill_sets!$1:$1,0)+1,FALSE)</f>
        <v>時限式ダメージパネル出現</v>
      </c>
      <c r="AD213" s="27">
        <v>1</v>
      </c>
      <c r="AE213" s="37">
        <v>1</v>
      </c>
      <c r="AF213" s="37">
        <v>0</v>
      </c>
      <c r="AG213" s="28">
        <f ca="1">ROUND(VLOOKUP(1,enemy_base_stats!$A:$F,2,FALSE) * Y213* J213*O213*E213*S213*AD213*[2]ステータス!$B$2,0)</f>
        <v>3058</v>
      </c>
      <c r="AH213" s="28">
        <f ca="1">ROUND(VLOOKUP(1,enemy_base_stats!$A:$F,3,FALSE) * Z213*K213*P213*F213*T213*AE213 * W213*[2]ステータス!$C$2,0)</f>
        <v>144</v>
      </c>
      <c r="AI213" s="28">
        <f ca="1">ROUND(VLOOKUP(1,enemy_base_stats!$A:$F,4,FALSE) * AA213*L213*Q213*G213*U213*AF213*[2]ステータス!$D$2,0)</f>
        <v>0</v>
      </c>
      <c r="AJ213" s="28">
        <f ca="1">ROUND(VLOOKUP(100,enemy_base_stats!$A:$F,2,FALSE) * Y213* J213*O213*E213*S213*AD213*[2]ステータス!$B$2,0)</f>
        <v>124139</v>
      </c>
      <c r="AK213" s="28">
        <f ca="1">ROUND(VLOOKUP(100,enemy_base_stats!$A:$F,3,FALSE)* Z213* K213*P213*F213*T213*AE213 * W213*[2]ステータス!$C$2,0)</f>
        <v>5832</v>
      </c>
      <c r="AL213" s="28">
        <f ca="1">ROUND(VLOOKUP(100,enemy_base_stats!$A:$F,4,FALSE)* AA213* L213*Q213*G213*U213*AF213*[2]ステータス!$D$2,0)</f>
        <v>0</v>
      </c>
      <c r="AM213" s="24">
        <f ca="1">VLOOKUP(M213,[2]character_tribe_i18n!$A:$I,9,FALSE)</f>
        <v>680</v>
      </c>
      <c r="AN213" s="36">
        <v>0</v>
      </c>
      <c r="AO213" s="53">
        <v>0</v>
      </c>
      <c r="AP213" s="58" t="s">
        <v>72</v>
      </c>
      <c r="AQ213" s="71">
        <f t="shared" ca="1" si="6"/>
        <v>212</v>
      </c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8"/>
      <c r="BC213" s="18"/>
      <c r="BD213" s="18"/>
      <c r="BE213" s="18"/>
      <c r="BF213" s="18"/>
      <c r="BG213" s="18"/>
      <c r="BH213" s="18"/>
    </row>
    <row r="214" spans="1:60" s="3" customFormat="1" ht="21" customHeight="1" x14ac:dyDescent="0.15">
      <c r="A214" s="7">
        <f t="shared" ca="1" si="7"/>
        <v>213</v>
      </c>
      <c r="B214" s="6" t="str">
        <f ca="1">VLOOKUP(A214,[2]characters!$A:$C,3,FALSE)</f>
        <v>満天の星降神 アストライアー</v>
      </c>
      <c r="C214" s="9">
        <f ca="1">VLOOKUP(A214,[2]characters!$A:$I,9,FALSE)</f>
        <v>5</v>
      </c>
      <c r="D214" s="9" t="str">
        <f ca="1">VLOOKUP(A214,[2]characters!$A:$H,8,FALSE)</f>
        <v>yellow</v>
      </c>
      <c r="E214" s="24">
        <f ca="1">VLOOKUP(D214,[2]属性!$A:$E,2,FALSE)</f>
        <v>0.98</v>
      </c>
      <c r="F214" s="24">
        <f ca="1">VLOOKUP(D214,[2]属性!$A:$E,3,FALSE)</f>
        <v>1.01</v>
      </c>
      <c r="G214" s="24">
        <f ca="1">VLOOKUP(D214,[2]属性!$A:$F,4,FALSE)</f>
        <v>1</v>
      </c>
      <c r="H214" s="9" t="str">
        <f ca="1">VLOOKUP(A214,[2]characters!$A:$K,11,FALSE)</f>
        <v>balance</v>
      </c>
      <c r="I214" s="14" t="str">
        <f ca="1">VLOOKUP(H214,[2]character_type_i18n!$A:$F,3,FALSE)</f>
        <v>バランスタイプ</v>
      </c>
      <c r="J214" s="36">
        <f ca="1">VLOOKUP(H214,[2]character_type_i18n!$A:$F,4,FALSE)</f>
        <v>1</v>
      </c>
      <c r="K214" s="36">
        <f ca="1">VLOOKUP(H214,[2]character_type_i18n!$A:$F,5,FALSE)</f>
        <v>1</v>
      </c>
      <c r="L214" s="36">
        <f ca="1">VLOOKUP(H214,[2]character_type_i18n!$A:$F,6,FALSE)</f>
        <v>1</v>
      </c>
      <c r="M214" s="9" t="str">
        <f ca="1">VLOOKUP(A214,[2]characters!$A:$M,13,FALSE)</f>
        <v>god</v>
      </c>
      <c r="N214" s="14" t="str">
        <f ca="1">VLOOKUP(M214,[2]character_tribe_i18n!$A:$F,3,FALSE)</f>
        <v>ゴッド</v>
      </c>
      <c r="O214" s="24">
        <f ca="1">VLOOKUP(M214,[2]character_tribe_i18n!$A:$F,4,FALSE)</f>
        <v>0.96</v>
      </c>
      <c r="P214" s="24">
        <f ca="1">VLOOKUP(M214,[2]character_tribe_i18n!$A:$F,5,FALSE)</f>
        <v>1.02</v>
      </c>
      <c r="Q214" s="24">
        <f ca="1">VLOOKUP(M214,[2]character_tribe_i18n!$A:$F,6,FALSE)</f>
        <v>1</v>
      </c>
      <c r="R214" s="25" t="s">
        <v>4</v>
      </c>
      <c r="S214" s="24">
        <f>VLOOKUP($R214,ラベル別係数!$A$1:$E$7,3,FALSE)</f>
        <v>5</v>
      </c>
      <c r="T214" s="24">
        <f>VLOOKUP($R214,ラベル別係数!$A$1:$E$7,4,FALSE)</f>
        <v>1.3</v>
      </c>
      <c r="U214" s="24">
        <f>VLOOKUP($R214,ラベル別係数!$A$1:$E$7,5,FALSE)</f>
        <v>0.8</v>
      </c>
      <c r="V214" s="27">
        <v>1</v>
      </c>
      <c r="W214" s="28">
        <f>VLOOKUP(V214,ターン数別攻撃係数!$A$1:$B$1000,2,FALSE)</f>
        <v>0.55000000000000004</v>
      </c>
      <c r="X214" s="10">
        <v>60</v>
      </c>
      <c r="Y214" s="26">
        <f>VLOOKUP($X214,サイズ別係数!$B:$E,2,FALSE)</f>
        <v>1.7</v>
      </c>
      <c r="Z214" s="26">
        <f>VLOOKUP($X214,サイズ別係数!$B:$E,3,FALSE)</f>
        <v>1.4</v>
      </c>
      <c r="AA214" s="26">
        <f>VLOOKUP($X214,サイズ別係数!$B:$E,4,FALSE)</f>
        <v>1</v>
      </c>
      <c r="AB214" s="5">
        <v>0</v>
      </c>
      <c r="AC214" s="34" t="str">
        <f ca="1">VLOOKUP($AB214,OFFSET([3]enemy_skill_sets!$B$2,0,0,COUNTA([3]enemy_skill_sets!$A:$A),MATCH(AC$1,[3]enemy_skill_sets!$1:$1,0)-MATCH($AB$1,[3]enemy_skill_sets!$1:$1,0)+1),MATCH(AC$1,[3]enemy_skill_sets!$1:$1,0)-MATCH($AB$1,[3]enemy_skill_sets!$1:$1,0)+1,FALSE)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4" s="27">
        <v>1</v>
      </c>
      <c r="AE214" s="37">
        <v>1</v>
      </c>
      <c r="AF214" s="37">
        <v>0</v>
      </c>
      <c r="AG214" s="28">
        <f ca="1">ROUND(VLOOKUP(1,enemy_base_stats!$A:$F,2,FALSE) * Y214* J214*O214*E214*S214*AD214*[2]ステータス!$B$2,0)</f>
        <v>3998</v>
      </c>
      <c r="AH214" s="28">
        <f ca="1">ROUND(VLOOKUP(1,enemy_base_stats!$A:$F,3,FALSE) * Z214*K214*P214*F214*T214*AE214 * W214*[2]ステータス!$C$2,0)</f>
        <v>155</v>
      </c>
      <c r="AI214" s="28">
        <f ca="1">ROUND(VLOOKUP(1,enemy_base_stats!$A:$F,4,FALSE) * AA214*L214*Q214*G214*U214*AF214*[2]ステータス!$D$2,0)</f>
        <v>0</v>
      </c>
      <c r="AJ214" s="28">
        <f ca="1">ROUND(VLOOKUP(100,enemy_base_stats!$A:$F,2,FALSE) * Y214* J214*O214*E214*S214*AD214*[2]ステータス!$B$2,0)</f>
        <v>162335</v>
      </c>
      <c r="AK214" s="28">
        <f ca="1">ROUND(VLOOKUP(100,enemy_base_stats!$A:$F,3,FALSE)* Z214* K214*P214*F214*T214*AE214 * W214*[2]ステータス!$C$2,0)</f>
        <v>6280</v>
      </c>
      <c r="AL214" s="28">
        <f ca="1">ROUND(VLOOKUP(100,enemy_base_stats!$A:$F,4,FALSE)* AA214* L214*Q214*G214*U214*AF214*[2]ステータス!$D$2,0)</f>
        <v>0</v>
      </c>
      <c r="AM214" s="24">
        <f ca="1">VLOOKUP(M214,[2]character_tribe_i18n!$A:$I,9,FALSE)</f>
        <v>680</v>
      </c>
      <c r="AN214" s="36">
        <v>0</v>
      </c>
      <c r="AO214" s="53">
        <v>0</v>
      </c>
      <c r="AP214" s="58" t="s">
        <v>72</v>
      </c>
      <c r="AQ214" s="71">
        <f t="shared" ca="1" si="6"/>
        <v>213</v>
      </c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8"/>
      <c r="BC214" s="18"/>
      <c r="BD214" s="18"/>
      <c r="BE214" s="18"/>
      <c r="BF214" s="18"/>
      <c r="BG214" s="18"/>
      <c r="BH214" s="18"/>
    </row>
    <row r="215" spans="1:60" s="3" customFormat="1" ht="21" customHeight="1" x14ac:dyDescent="0.15">
      <c r="A215" s="7">
        <f t="shared" ca="1" si="7"/>
        <v>214</v>
      </c>
      <c r="B215" s="6" t="str">
        <f ca="1">VLOOKUP(A215,[2]characters!$A:$C,3,FALSE)</f>
        <v>アズラエル</v>
      </c>
      <c r="C215" s="9">
        <f ca="1">VLOOKUP(A215,[2]characters!$A:$I,9,FALSE)</f>
        <v>3</v>
      </c>
      <c r="D215" s="9" t="str">
        <f ca="1">VLOOKUP(A215,[2]characters!$A:$H,8,FALSE)</f>
        <v>red</v>
      </c>
      <c r="E215" s="24">
        <f ca="1">VLOOKUP(D215,[2]属性!$A:$E,2,FALSE)</f>
        <v>1</v>
      </c>
      <c r="F215" s="24">
        <f ca="1">VLOOKUP(D215,[2]属性!$A:$E,3,FALSE)</f>
        <v>1.02</v>
      </c>
      <c r="G215" s="24">
        <f ca="1">VLOOKUP(D215,[2]属性!$A:$F,4,FALSE)</f>
        <v>1</v>
      </c>
      <c r="H215" s="9" t="str">
        <f ca="1">VLOOKUP(A215,[2]characters!$A:$K,11,FALSE)</f>
        <v>balance</v>
      </c>
      <c r="I215" s="14" t="str">
        <f ca="1">VLOOKUP(H215,[2]character_type_i18n!$A:$F,3,FALSE)</f>
        <v>バランスタイプ</v>
      </c>
      <c r="J215" s="36">
        <f ca="1">VLOOKUP(H215,[2]character_type_i18n!$A:$F,4,FALSE)</f>
        <v>1</v>
      </c>
      <c r="K215" s="36">
        <f ca="1">VLOOKUP(H215,[2]character_type_i18n!$A:$F,5,FALSE)</f>
        <v>1</v>
      </c>
      <c r="L215" s="36">
        <f ca="1">VLOOKUP(H215,[2]character_type_i18n!$A:$F,6,FALSE)</f>
        <v>1</v>
      </c>
      <c r="M215" s="9" t="str">
        <f ca="1">VLOOKUP(A215,[2]characters!$A:$M,13,FALSE)</f>
        <v>god</v>
      </c>
      <c r="N215" s="14" t="str">
        <f ca="1">VLOOKUP(M215,[2]character_tribe_i18n!$A:$F,3,FALSE)</f>
        <v>ゴッド</v>
      </c>
      <c r="O215" s="24">
        <f ca="1">VLOOKUP(M215,[2]character_tribe_i18n!$A:$F,4,FALSE)</f>
        <v>0.96</v>
      </c>
      <c r="P215" s="24">
        <f ca="1">VLOOKUP(M215,[2]character_tribe_i18n!$A:$F,5,FALSE)</f>
        <v>1.02</v>
      </c>
      <c r="Q215" s="24">
        <f ca="1">VLOOKUP(M215,[2]character_tribe_i18n!$A:$F,6,FALSE)</f>
        <v>1</v>
      </c>
      <c r="R215" s="25" t="s">
        <v>4</v>
      </c>
      <c r="S215" s="24">
        <f>VLOOKUP($R215,ラベル別係数!$A$1:$E$7,3,FALSE)</f>
        <v>5</v>
      </c>
      <c r="T215" s="24">
        <f>VLOOKUP($R215,ラベル別係数!$A$1:$E$7,4,FALSE)</f>
        <v>1.3</v>
      </c>
      <c r="U215" s="24">
        <f>VLOOKUP($R215,ラベル別係数!$A$1:$E$7,5,FALSE)</f>
        <v>0.8</v>
      </c>
      <c r="V215" s="27">
        <v>2</v>
      </c>
      <c r="W215" s="28">
        <f>VLOOKUP(V215,ターン数別攻撃係数!$A$1:$B$1000,2,FALSE)</f>
        <v>0.75</v>
      </c>
      <c r="X215" s="10">
        <v>20</v>
      </c>
      <c r="Y215" s="26">
        <f>VLOOKUP($X215,サイズ別係数!$B:$E,2,FALSE)</f>
        <v>1.1000000000000001</v>
      </c>
      <c r="Z215" s="26">
        <f>VLOOKUP($X215,サイズ別係数!$B:$E,3,FALSE)</f>
        <v>1.2</v>
      </c>
      <c r="AA215" s="26">
        <f>VLOOKUP($X215,サイズ別係数!$B:$E,4,FALSE)</f>
        <v>1.2</v>
      </c>
      <c r="AB215" s="5">
        <v>0</v>
      </c>
      <c r="AC215" s="34" t="str">
        <f ca="1">VLOOKUP($AB215,OFFSET([3]enemy_skill_sets!$B$2,0,0,COUNTA([3]enemy_skill_sets!$A:$A),MATCH(AC$1,[3]enemy_skill_sets!$1:$1,0)-MATCH($AB$1,[3]enemy_skill_sets!$1:$1,0)+1),MATCH(AC$1,[3]enemy_skill_sets!$1:$1,0)-MATCH($AB$1,[3]enemy_skill_sets!$1:$1,0)+1,FALSE)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5" s="27">
        <v>1</v>
      </c>
      <c r="AE215" s="37">
        <v>1</v>
      </c>
      <c r="AF215" s="37">
        <v>0</v>
      </c>
      <c r="AG215" s="28">
        <f ca="1">ROUND(VLOOKUP(1,enemy_base_stats!$A:$F,2,FALSE) * Y215* J215*O215*E215*S215*AD215*[2]ステータス!$B$2,0)</f>
        <v>2640</v>
      </c>
      <c r="AH215" s="28">
        <f ca="1">ROUND(VLOOKUP(1,enemy_base_stats!$A:$F,3,FALSE) * Z215*K215*P215*F215*T215*AE215 * W215*[2]ステータス!$C$2,0)</f>
        <v>183</v>
      </c>
      <c r="AI215" s="28">
        <f ca="1">ROUND(VLOOKUP(1,enemy_base_stats!$A:$F,4,FALSE) * AA215*L215*Q215*G215*U215*AF215*[2]ステータス!$D$2,0)</f>
        <v>0</v>
      </c>
      <c r="AJ215" s="28">
        <f ca="1">ROUND(VLOOKUP(100,enemy_base_stats!$A:$F,2,FALSE) * Y215* J215*O215*E215*S215*AD215*[2]ステータス!$B$2,0)</f>
        <v>107184</v>
      </c>
      <c r="AK215" s="28">
        <f ca="1">ROUND(VLOOKUP(100,enemy_base_stats!$A:$F,3,FALSE)* Z215* K215*P215*F215*T215*AE215 * W215*[2]ステータス!$C$2,0)</f>
        <v>7413</v>
      </c>
      <c r="AL215" s="28">
        <f ca="1">ROUND(VLOOKUP(100,enemy_base_stats!$A:$F,4,FALSE)* AA215* L215*Q215*G215*U215*AF215*[2]ステータス!$D$2,0)</f>
        <v>0</v>
      </c>
      <c r="AM215" s="24">
        <f ca="1">VLOOKUP(M215,[2]character_tribe_i18n!$A:$I,9,FALSE)</f>
        <v>680</v>
      </c>
      <c r="AN215" s="36">
        <v>0</v>
      </c>
      <c r="AO215" s="53">
        <v>0</v>
      </c>
      <c r="AP215" s="58" t="s">
        <v>72</v>
      </c>
      <c r="AQ215" s="71">
        <f t="shared" ca="1" si="6"/>
        <v>214</v>
      </c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8"/>
      <c r="BC215" s="18"/>
      <c r="BD215" s="18"/>
      <c r="BE215" s="18"/>
      <c r="BF215" s="18"/>
      <c r="BG215" s="18"/>
      <c r="BH215" s="18"/>
    </row>
    <row r="216" spans="1:60" s="3" customFormat="1" ht="21" customHeight="1" x14ac:dyDescent="0.15">
      <c r="A216" s="7">
        <f t="shared" ca="1" si="7"/>
        <v>215</v>
      </c>
      <c r="B216" s="6" t="str">
        <f ca="1">VLOOKUP(A216,[2]characters!$A:$C,3,FALSE)</f>
        <v>死導者 アズラエル</v>
      </c>
      <c r="C216" s="9">
        <f ca="1">VLOOKUP(A216,[2]characters!$A:$I,9,FALSE)</f>
        <v>4</v>
      </c>
      <c r="D216" s="9" t="str">
        <f ca="1">VLOOKUP(A216,[2]characters!$A:$H,8,FALSE)</f>
        <v>red</v>
      </c>
      <c r="E216" s="24">
        <f ca="1">VLOOKUP(D216,[2]属性!$A:$E,2,FALSE)</f>
        <v>1</v>
      </c>
      <c r="F216" s="24">
        <f ca="1">VLOOKUP(D216,[2]属性!$A:$E,3,FALSE)</f>
        <v>1.02</v>
      </c>
      <c r="G216" s="24">
        <f ca="1">VLOOKUP(D216,[2]属性!$A:$F,4,FALSE)</f>
        <v>1</v>
      </c>
      <c r="H216" s="9" t="str">
        <f ca="1">VLOOKUP(A216,[2]characters!$A:$K,11,FALSE)</f>
        <v>balance</v>
      </c>
      <c r="I216" s="14" t="str">
        <f ca="1">VLOOKUP(H216,[2]character_type_i18n!$A:$F,3,FALSE)</f>
        <v>バランスタイプ</v>
      </c>
      <c r="J216" s="36">
        <f ca="1">VLOOKUP(H216,[2]character_type_i18n!$A:$F,4,FALSE)</f>
        <v>1</v>
      </c>
      <c r="K216" s="36">
        <f ca="1">VLOOKUP(H216,[2]character_type_i18n!$A:$F,5,FALSE)</f>
        <v>1</v>
      </c>
      <c r="L216" s="36">
        <f ca="1">VLOOKUP(H216,[2]character_type_i18n!$A:$F,6,FALSE)</f>
        <v>1</v>
      </c>
      <c r="M216" s="9" t="str">
        <f ca="1">VLOOKUP(A216,[2]characters!$A:$M,13,FALSE)</f>
        <v>god</v>
      </c>
      <c r="N216" s="14" t="str">
        <f ca="1">VLOOKUP(M216,[2]character_tribe_i18n!$A:$F,3,FALSE)</f>
        <v>ゴッド</v>
      </c>
      <c r="O216" s="24">
        <f ca="1">VLOOKUP(M216,[2]character_tribe_i18n!$A:$F,4,FALSE)</f>
        <v>0.96</v>
      </c>
      <c r="P216" s="24">
        <f ca="1">VLOOKUP(M216,[2]character_tribe_i18n!$A:$F,5,FALSE)</f>
        <v>1.02</v>
      </c>
      <c r="Q216" s="24">
        <f ca="1">VLOOKUP(M216,[2]character_tribe_i18n!$A:$F,6,FALSE)</f>
        <v>1</v>
      </c>
      <c r="R216" s="25" t="s">
        <v>87</v>
      </c>
      <c r="S216" s="24">
        <f>VLOOKUP($R216,ラベル別係数!$A$1:$E$7,3,FALSE)</f>
        <v>7.5</v>
      </c>
      <c r="T216" s="24">
        <f>VLOOKUP($R216,ラベル別係数!$A$1:$E$7,4,FALSE)</f>
        <v>1</v>
      </c>
      <c r="U216" s="24">
        <f>VLOOKUP($R216,ラベル別係数!$A$1:$E$7,5,FALSE)</f>
        <v>0.8</v>
      </c>
      <c r="V216" s="27">
        <v>2</v>
      </c>
      <c r="W216" s="28">
        <f>VLOOKUP(V216,ターン数別攻撃係数!$A$1:$B$1000,2,FALSE)</f>
        <v>0.75</v>
      </c>
      <c r="X216" s="10">
        <v>30</v>
      </c>
      <c r="Y216" s="26">
        <f>VLOOKUP($X216,サイズ別係数!$B:$E,2,FALSE)</f>
        <v>1.3</v>
      </c>
      <c r="Z216" s="26">
        <f>VLOOKUP($X216,サイズ別係数!$B:$E,3,FALSE)</f>
        <v>1.3</v>
      </c>
      <c r="AA216" s="26">
        <f>VLOOKUP($X216,サイズ別係数!$B:$E,4,FALSE)</f>
        <v>1.1000000000000001</v>
      </c>
      <c r="AB216" s="5">
        <v>215</v>
      </c>
      <c r="AC216" s="34" t="str">
        <f ca="1">VLOOKUP($AB216,OFFSET([3]enemy_skill_sets!$B$2,0,0,COUNTA([3]enemy_skill_sets!$A:$A),MATCH(AC$1,[3]enemy_skill_sets!$1:$1,0)-MATCH($AB$1,[3]enemy_skill_sets!$1:$1,0)+1),MATCH(AC$1,[3]enemy_skill_sets!$1:$1,0)-MATCH($AB$1,[3]enemy_skill_sets!$1:$1,0)+1,FALSE)</f>
        <v>全体攻撃</v>
      </c>
      <c r="AD216" s="27">
        <v>1</v>
      </c>
      <c r="AE216" s="37">
        <v>1</v>
      </c>
      <c r="AF216" s="37">
        <v>0</v>
      </c>
      <c r="AG216" s="28">
        <f ca="1">ROUND(VLOOKUP(1,enemy_base_stats!$A:$F,2,FALSE) * Y216* J216*O216*E216*S216*AD216*[2]ステータス!$B$2,0)</f>
        <v>4680</v>
      </c>
      <c r="AH216" s="28">
        <f ca="1">ROUND(VLOOKUP(1,enemy_base_stats!$A:$F,3,FALSE) * Z216*K216*P216*F216*T216*AE216 * W216*[2]ステータス!$C$2,0)</f>
        <v>152</v>
      </c>
      <c r="AI216" s="28">
        <f ca="1">ROUND(VLOOKUP(1,enemy_base_stats!$A:$F,4,FALSE) * AA216*L216*Q216*G216*U216*AF216*[2]ステータス!$D$2,0)</f>
        <v>0</v>
      </c>
      <c r="AJ216" s="28">
        <f ca="1">ROUND(VLOOKUP(100,enemy_base_stats!$A:$F,2,FALSE) * Y216* J216*O216*E216*S216*AD216*[2]ステータス!$B$2,0)</f>
        <v>190008</v>
      </c>
      <c r="AK216" s="28">
        <f ca="1">ROUND(VLOOKUP(100,enemy_base_stats!$A:$F,3,FALSE)* Z216* K216*P216*F216*T216*AE216 * W216*[2]ステータス!$C$2,0)</f>
        <v>6178</v>
      </c>
      <c r="AL216" s="28">
        <f ca="1">ROUND(VLOOKUP(100,enemy_base_stats!$A:$F,4,FALSE)* AA216* L216*Q216*G216*U216*AF216*[2]ステータス!$D$2,0)</f>
        <v>0</v>
      </c>
      <c r="AM216" s="24">
        <f ca="1">VLOOKUP(M216,[2]character_tribe_i18n!$A:$I,9,FALSE)</f>
        <v>680</v>
      </c>
      <c r="AN216" s="36">
        <v>0</v>
      </c>
      <c r="AO216" s="53">
        <v>0</v>
      </c>
      <c r="AP216" s="58" t="s">
        <v>72</v>
      </c>
      <c r="AQ216" s="71">
        <f t="shared" ca="1" si="6"/>
        <v>215</v>
      </c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8"/>
      <c r="BC216" s="18"/>
      <c r="BD216" s="18"/>
      <c r="BE216" s="18"/>
      <c r="BF216" s="18"/>
      <c r="BG216" s="18"/>
      <c r="BH216" s="18"/>
    </row>
    <row r="217" spans="1:60" s="3" customFormat="1" ht="21" customHeight="1" x14ac:dyDescent="0.15">
      <c r="A217" s="7">
        <f t="shared" ca="1" si="7"/>
        <v>216</v>
      </c>
      <c r="B217" s="6" t="str">
        <f ca="1">VLOOKUP(A217,[2]characters!$A:$C,3,FALSE)</f>
        <v>百読の死導司書 アズラエル</v>
      </c>
      <c r="C217" s="9">
        <f ca="1">VLOOKUP(A217,[2]characters!$A:$I,9,FALSE)</f>
        <v>5</v>
      </c>
      <c r="D217" s="9" t="str">
        <f ca="1">VLOOKUP(A217,[2]characters!$A:$H,8,FALSE)</f>
        <v>red</v>
      </c>
      <c r="E217" s="24">
        <f ca="1">VLOOKUP(D217,[2]属性!$A:$E,2,FALSE)</f>
        <v>1</v>
      </c>
      <c r="F217" s="24">
        <f ca="1">VLOOKUP(D217,[2]属性!$A:$E,3,FALSE)</f>
        <v>1.02</v>
      </c>
      <c r="G217" s="24">
        <f ca="1">VLOOKUP(D217,[2]属性!$A:$F,4,FALSE)</f>
        <v>1</v>
      </c>
      <c r="H217" s="9" t="str">
        <f ca="1">VLOOKUP(A217,[2]characters!$A:$K,11,FALSE)</f>
        <v>balance</v>
      </c>
      <c r="I217" s="14" t="str">
        <f ca="1">VLOOKUP(H217,[2]character_type_i18n!$A:$F,3,FALSE)</f>
        <v>バランスタイプ</v>
      </c>
      <c r="J217" s="36">
        <f ca="1">VLOOKUP(H217,[2]character_type_i18n!$A:$F,4,FALSE)</f>
        <v>1</v>
      </c>
      <c r="K217" s="36">
        <f ca="1">VLOOKUP(H217,[2]character_type_i18n!$A:$F,5,FALSE)</f>
        <v>1</v>
      </c>
      <c r="L217" s="36">
        <f ca="1">VLOOKUP(H217,[2]character_type_i18n!$A:$F,6,FALSE)</f>
        <v>1</v>
      </c>
      <c r="M217" s="9" t="str">
        <f ca="1">VLOOKUP(A217,[2]characters!$A:$M,13,FALSE)</f>
        <v>god</v>
      </c>
      <c r="N217" s="14" t="str">
        <f ca="1">VLOOKUP(M217,[2]character_tribe_i18n!$A:$F,3,FALSE)</f>
        <v>ゴッド</v>
      </c>
      <c r="O217" s="24">
        <f ca="1">VLOOKUP(M217,[2]character_tribe_i18n!$A:$F,4,FALSE)</f>
        <v>0.96</v>
      </c>
      <c r="P217" s="24">
        <f ca="1">VLOOKUP(M217,[2]character_tribe_i18n!$A:$F,5,FALSE)</f>
        <v>1.02</v>
      </c>
      <c r="Q217" s="24">
        <f ca="1">VLOOKUP(M217,[2]character_tribe_i18n!$A:$F,6,FALSE)</f>
        <v>1</v>
      </c>
      <c r="R217" s="25" t="s">
        <v>4</v>
      </c>
      <c r="S217" s="24">
        <f>VLOOKUP($R217,ラベル別係数!$A$1:$E$7,3,FALSE)</f>
        <v>5</v>
      </c>
      <c r="T217" s="24">
        <f>VLOOKUP($R217,ラベル別係数!$A$1:$E$7,4,FALSE)</f>
        <v>1.3</v>
      </c>
      <c r="U217" s="24">
        <f>VLOOKUP($R217,ラベル別係数!$A$1:$E$7,5,FALSE)</f>
        <v>0.8</v>
      </c>
      <c r="V217" s="27">
        <v>2</v>
      </c>
      <c r="W217" s="28">
        <f>VLOOKUP(V217,ターン数別攻撃係数!$A$1:$B$1000,2,FALSE)</f>
        <v>0.75</v>
      </c>
      <c r="X217" s="10">
        <v>60</v>
      </c>
      <c r="Y217" s="26">
        <f>VLOOKUP($X217,サイズ別係数!$B:$E,2,FALSE)</f>
        <v>1.7</v>
      </c>
      <c r="Z217" s="26">
        <f>VLOOKUP($X217,サイズ別係数!$B:$E,3,FALSE)</f>
        <v>1.4</v>
      </c>
      <c r="AA217" s="26">
        <f>VLOOKUP($X217,サイズ別係数!$B:$E,4,FALSE)</f>
        <v>1</v>
      </c>
      <c r="AB217" s="5">
        <v>0</v>
      </c>
      <c r="AC217" s="34" t="str">
        <f ca="1">VLOOKUP($AB217,OFFSET([3]enemy_skill_sets!$B$2,0,0,COUNTA([3]enemy_skill_sets!$A:$A),MATCH(AC$1,[3]enemy_skill_sets!$1:$1,0)-MATCH($AB$1,[3]enemy_skill_sets!$1:$1,0)+1),MATCH(AC$1,[3]enemy_skill_sets!$1:$1,0)-MATCH($AB$1,[3]enemy_skill_sets!$1:$1,0)+1,FALSE)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7" s="27">
        <v>1</v>
      </c>
      <c r="AE217" s="37">
        <v>1</v>
      </c>
      <c r="AF217" s="37">
        <v>0</v>
      </c>
      <c r="AG217" s="28">
        <f ca="1">ROUND(VLOOKUP(1,enemy_base_stats!$A:$F,2,FALSE) * Y217* J217*O217*E217*S217*AD217*[2]ステータス!$B$2,0)</f>
        <v>4080</v>
      </c>
      <c r="AH217" s="28">
        <f ca="1">ROUND(VLOOKUP(1,enemy_base_stats!$A:$F,3,FALSE) * Z217*K217*P217*F217*T217*AE217 * W217*[2]ステータス!$C$2,0)</f>
        <v>213</v>
      </c>
      <c r="AI217" s="28">
        <f ca="1">ROUND(VLOOKUP(1,enemy_base_stats!$A:$F,4,FALSE) * AA217*L217*Q217*G217*U217*AF217*[2]ステータス!$D$2,0)</f>
        <v>0</v>
      </c>
      <c r="AJ217" s="28">
        <f ca="1">ROUND(VLOOKUP(100,enemy_base_stats!$A:$F,2,FALSE) * Y217* J217*O217*E217*S217*AD217*[2]ステータス!$B$2,0)</f>
        <v>165648</v>
      </c>
      <c r="AK217" s="28">
        <f ca="1">ROUND(VLOOKUP(100,enemy_base_stats!$A:$F,3,FALSE)* Z217* K217*P217*F217*T217*AE217 * W217*[2]ステータス!$C$2,0)</f>
        <v>8649</v>
      </c>
      <c r="AL217" s="28">
        <f ca="1">ROUND(VLOOKUP(100,enemy_base_stats!$A:$F,4,FALSE)* AA217* L217*Q217*G217*U217*AF217*[2]ステータス!$D$2,0)</f>
        <v>0</v>
      </c>
      <c r="AM217" s="24">
        <f ca="1">VLOOKUP(M217,[2]character_tribe_i18n!$A:$I,9,FALSE)</f>
        <v>680</v>
      </c>
      <c r="AN217" s="36">
        <v>0</v>
      </c>
      <c r="AO217" s="53">
        <v>0</v>
      </c>
      <c r="AP217" s="58" t="s">
        <v>72</v>
      </c>
      <c r="AQ217" s="71">
        <f t="shared" ca="1" si="6"/>
        <v>216</v>
      </c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8"/>
      <c r="BC217" s="18"/>
      <c r="BD217" s="18"/>
      <c r="BE217" s="18"/>
      <c r="BF217" s="18"/>
      <c r="BG217" s="18"/>
      <c r="BH217" s="18"/>
    </row>
    <row r="218" spans="1:60" s="3" customFormat="1" ht="21" customHeight="1" x14ac:dyDescent="0.15">
      <c r="A218" s="7">
        <f t="shared" ca="1" si="7"/>
        <v>217</v>
      </c>
      <c r="B218" s="6" t="str">
        <f ca="1">VLOOKUP(A218,[2]characters!$A:$C,3,FALSE)</f>
        <v>ケツァクアトル</v>
      </c>
      <c r="C218" s="9">
        <f ca="1">VLOOKUP(A218,[2]characters!$A:$I,9,FALSE)</f>
        <v>3</v>
      </c>
      <c r="D218" s="9" t="str">
        <f ca="1">VLOOKUP(A218,[2]characters!$A:$H,8,FALSE)</f>
        <v>green</v>
      </c>
      <c r="E218" s="24">
        <f ca="1">VLOOKUP(D218,[2]属性!$A:$E,2,FALSE)</f>
        <v>1.02</v>
      </c>
      <c r="F218" s="24">
        <f ca="1">VLOOKUP(D218,[2]属性!$A:$E,3,FALSE)</f>
        <v>0.98</v>
      </c>
      <c r="G218" s="24">
        <f ca="1">VLOOKUP(D218,[2]属性!$A:$F,4,FALSE)</f>
        <v>1</v>
      </c>
      <c r="H218" s="9" t="str">
        <f ca="1">VLOOKUP(A218,[2]characters!$A:$K,11,FALSE)</f>
        <v>hp</v>
      </c>
      <c r="I218" s="14" t="str">
        <f ca="1">VLOOKUP(H218,[2]character_type_i18n!$A:$F,3,FALSE)</f>
        <v>体力タイプ</v>
      </c>
      <c r="J218" s="36">
        <f ca="1">VLOOKUP(H218,[2]character_type_i18n!$A:$F,4,FALSE)</f>
        <v>1.45</v>
      </c>
      <c r="K218" s="36">
        <f ca="1">VLOOKUP(H218,[2]character_type_i18n!$A:$F,5,FALSE)</f>
        <v>0.85</v>
      </c>
      <c r="L218" s="36">
        <f ca="1">VLOOKUP(H218,[2]character_type_i18n!$A:$F,6,FALSE)</f>
        <v>1</v>
      </c>
      <c r="M218" s="9" t="str">
        <f ca="1">VLOOKUP(A218,[2]characters!$A:$M,13,FALSE)</f>
        <v>dragon</v>
      </c>
      <c r="N218" s="14" t="str">
        <f ca="1">VLOOKUP(M218,[2]character_tribe_i18n!$A:$F,3,FALSE)</f>
        <v>ドラゴン</v>
      </c>
      <c r="O218" s="24">
        <f ca="1">VLOOKUP(M218,[2]character_tribe_i18n!$A:$F,4,FALSE)</f>
        <v>1.1499999999999999</v>
      </c>
      <c r="P218" s="24">
        <f ca="1">VLOOKUP(M218,[2]character_tribe_i18n!$A:$F,5,FALSE)</f>
        <v>1.1000000000000001</v>
      </c>
      <c r="Q218" s="24">
        <f ca="1">VLOOKUP(M218,[2]character_tribe_i18n!$A:$F,6,FALSE)</f>
        <v>1</v>
      </c>
      <c r="R218" s="25" t="s">
        <v>4</v>
      </c>
      <c r="S218" s="24">
        <f>VLOOKUP($R218,ラベル別係数!$A$1:$E$7,3,FALSE)</f>
        <v>5</v>
      </c>
      <c r="T218" s="24">
        <f>VLOOKUP($R218,ラベル別係数!$A$1:$E$7,4,FALSE)</f>
        <v>1.3</v>
      </c>
      <c r="U218" s="24">
        <f>VLOOKUP($R218,ラベル別係数!$A$1:$E$7,5,FALSE)</f>
        <v>0.8</v>
      </c>
      <c r="V218" s="27">
        <v>3</v>
      </c>
      <c r="W218" s="28">
        <f>VLOOKUP(V218,ターン数別攻撃係数!$A$1:$B$1000,2,FALSE)</f>
        <v>1</v>
      </c>
      <c r="X218" s="10">
        <v>20</v>
      </c>
      <c r="Y218" s="26">
        <f>VLOOKUP($X218,サイズ別係数!$B:$E,2,FALSE)</f>
        <v>1.1000000000000001</v>
      </c>
      <c r="Z218" s="26">
        <f>VLOOKUP($X218,サイズ別係数!$B:$E,3,FALSE)</f>
        <v>1.2</v>
      </c>
      <c r="AA218" s="26">
        <f>VLOOKUP($X218,サイズ別係数!$B:$E,4,FALSE)</f>
        <v>1.2</v>
      </c>
      <c r="AB218" s="5">
        <v>0</v>
      </c>
      <c r="AC218" s="34" t="str">
        <f ca="1">VLOOKUP($AB218,OFFSET([3]enemy_skill_sets!$B$2,0,0,COUNTA([3]enemy_skill_sets!$A:$A),MATCH(AC$1,[3]enemy_skill_sets!$1:$1,0)-MATCH($AB$1,[3]enemy_skill_sets!$1:$1,0)+1),MATCH(AC$1,[3]enemy_skill_sets!$1:$1,0)-MATCH($AB$1,[3]enemy_skill_sets!$1:$1,0)+1,FALSE)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8" s="27">
        <v>1</v>
      </c>
      <c r="AE218" s="37">
        <v>1</v>
      </c>
      <c r="AF218" s="37">
        <v>0</v>
      </c>
      <c r="AG218" s="28">
        <f ca="1">ROUND(VLOOKUP(1,enemy_base_stats!$A:$F,2,FALSE) * Y218* J218*O218*E218*S218*AD218*[2]ステータス!$B$2,0)</f>
        <v>4677</v>
      </c>
      <c r="AH218" s="28">
        <f ca="1">ROUND(VLOOKUP(1,enemy_base_stats!$A:$F,3,FALSE) * Z218*K218*P218*F218*T218*AE218 * W218*[2]ステータス!$C$2,0)</f>
        <v>214</v>
      </c>
      <c r="AI218" s="28">
        <f ca="1">ROUND(VLOOKUP(1,enemy_base_stats!$A:$F,4,FALSE) * AA218*L218*Q218*G218*U218*AF218*[2]ステータス!$D$2,0)</f>
        <v>0</v>
      </c>
      <c r="AJ218" s="28">
        <f ca="1">ROUND(VLOOKUP(100,enemy_base_stats!$A:$F,2,FALSE) * Y218* J218*O218*E218*S218*AD218*[2]ステータス!$B$2,0)</f>
        <v>189900</v>
      </c>
      <c r="AK218" s="28">
        <f ca="1">ROUND(VLOOKUP(100,enemy_base_stats!$A:$F,3,FALSE)* Z218* K218*P218*F218*T218*AE218 * W218*[2]ステータス!$C$2,0)</f>
        <v>8705</v>
      </c>
      <c r="AL218" s="28">
        <f ca="1">ROUND(VLOOKUP(100,enemy_base_stats!$A:$F,4,FALSE)* AA218* L218*Q218*G218*U218*AF218*[2]ステータス!$D$2,0)</f>
        <v>0</v>
      </c>
      <c r="AM218" s="24">
        <f ca="1">VLOOKUP(M218,[2]character_tribe_i18n!$A:$I,9,FALSE)</f>
        <v>540</v>
      </c>
      <c r="AN218" s="36">
        <v>0</v>
      </c>
      <c r="AO218" s="53">
        <v>0</v>
      </c>
      <c r="AP218" s="58" t="s">
        <v>72</v>
      </c>
      <c r="AQ218" s="71">
        <f t="shared" ca="1" si="6"/>
        <v>217</v>
      </c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8"/>
      <c r="BC218" s="18"/>
      <c r="BD218" s="18"/>
      <c r="BE218" s="18"/>
      <c r="BF218" s="18"/>
      <c r="BG218" s="18"/>
      <c r="BH218" s="18"/>
    </row>
    <row r="219" spans="1:60" s="3" customFormat="1" ht="21" customHeight="1" x14ac:dyDescent="0.15">
      <c r="A219" s="7">
        <f t="shared" ca="1" si="7"/>
        <v>218</v>
      </c>
      <c r="B219" s="6" t="str">
        <f ca="1">VLOOKUP(A219,[2]characters!$A:$C,3,FALSE)</f>
        <v>聖蛇 ケツァクアトル</v>
      </c>
      <c r="C219" s="9">
        <f ca="1">VLOOKUP(A219,[2]characters!$A:$I,9,FALSE)</f>
        <v>4</v>
      </c>
      <c r="D219" s="9" t="str">
        <f ca="1">VLOOKUP(A219,[2]characters!$A:$H,8,FALSE)</f>
        <v>green</v>
      </c>
      <c r="E219" s="24">
        <f ca="1">VLOOKUP(D219,[2]属性!$A:$E,2,FALSE)</f>
        <v>1.02</v>
      </c>
      <c r="F219" s="24">
        <f ca="1">VLOOKUP(D219,[2]属性!$A:$E,3,FALSE)</f>
        <v>0.98</v>
      </c>
      <c r="G219" s="24">
        <f ca="1">VLOOKUP(D219,[2]属性!$A:$F,4,FALSE)</f>
        <v>1</v>
      </c>
      <c r="H219" s="9" t="str">
        <f ca="1">VLOOKUP(A219,[2]characters!$A:$K,11,FALSE)</f>
        <v>hp</v>
      </c>
      <c r="I219" s="14" t="str">
        <f ca="1">VLOOKUP(H219,[2]character_type_i18n!$A:$F,3,FALSE)</f>
        <v>体力タイプ</v>
      </c>
      <c r="J219" s="36">
        <f ca="1">VLOOKUP(H219,[2]character_type_i18n!$A:$F,4,FALSE)</f>
        <v>1.45</v>
      </c>
      <c r="K219" s="36">
        <f ca="1">VLOOKUP(H219,[2]character_type_i18n!$A:$F,5,FALSE)</f>
        <v>0.85</v>
      </c>
      <c r="L219" s="36">
        <f ca="1">VLOOKUP(H219,[2]character_type_i18n!$A:$F,6,FALSE)</f>
        <v>1</v>
      </c>
      <c r="M219" s="9" t="str">
        <f ca="1">VLOOKUP(A219,[2]characters!$A:$M,13,FALSE)</f>
        <v>dragon</v>
      </c>
      <c r="N219" s="14" t="str">
        <f ca="1">VLOOKUP(M219,[2]character_tribe_i18n!$A:$F,3,FALSE)</f>
        <v>ドラゴン</v>
      </c>
      <c r="O219" s="24">
        <f ca="1">VLOOKUP(M219,[2]character_tribe_i18n!$A:$F,4,FALSE)</f>
        <v>1.1499999999999999</v>
      </c>
      <c r="P219" s="24">
        <f ca="1">VLOOKUP(M219,[2]character_tribe_i18n!$A:$F,5,FALSE)</f>
        <v>1.1000000000000001</v>
      </c>
      <c r="Q219" s="24">
        <f ca="1">VLOOKUP(M219,[2]character_tribe_i18n!$A:$F,6,FALSE)</f>
        <v>1</v>
      </c>
      <c r="R219" s="25" t="s">
        <v>4</v>
      </c>
      <c r="S219" s="24">
        <f>VLOOKUP($R219,ラベル別係数!$A$1:$E$7,3,FALSE)</f>
        <v>5</v>
      </c>
      <c r="T219" s="24">
        <f>VLOOKUP($R219,ラベル別係数!$A$1:$E$7,4,FALSE)</f>
        <v>1.3</v>
      </c>
      <c r="U219" s="24">
        <f>VLOOKUP($R219,ラベル別係数!$A$1:$E$7,5,FALSE)</f>
        <v>0.8</v>
      </c>
      <c r="V219" s="27">
        <v>3</v>
      </c>
      <c r="W219" s="28">
        <f>VLOOKUP(V219,ターン数別攻撃係数!$A$1:$B$1000,2,FALSE)</f>
        <v>1</v>
      </c>
      <c r="X219" s="10">
        <v>30</v>
      </c>
      <c r="Y219" s="26">
        <f>VLOOKUP($X219,サイズ別係数!$B:$E,2,FALSE)</f>
        <v>1.3</v>
      </c>
      <c r="Z219" s="26">
        <f>VLOOKUP($X219,サイズ別係数!$B:$E,3,FALSE)</f>
        <v>1.3</v>
      </c>
      <c r="AA219" s="26">
        <f>VLOOKUP($X219,サイズ別係数!$B:$E,4,FALSE)</f>
        <v>1.1000000000000001</v>
      </c>
      <c r="AB219" s="5">
        <v>0</v>
      </c>
      <c r="AC219" s="34" t="str">
        <f ca="1">VLOOKUP($AB219,OFFSET([3]enemy_skill_sets!$B$2,0,0,COUNTA([3]enemy_skill_sets!$A:$A),MATCH(AC$1,[3]enemy_skill_sets!$1:$1,0)-MATCH($AB$1,[3]enemy_skill_sets!$1:$1,0)+1),MATCH(AC$1,[3]enemy_skill_sets!$1:$1,0)-MATCH($AB$1,[3]enemy_skill_sets!$1:$1,0)+1,FALSE)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19" s="27">
        <v>1</v>
      </c>
      <c r="AE219" s="37">
        <v>1</v>
      </c>
      <c r="AF219" s="37">
        <v>0</v>
      </c>
      <c r="AG219" s="28">
        <f ca="1">ROUND(VLOOKUP(1,enemy_base_stats!$A:$F,2,FALSE) * Y219* J219*O219*E219*S219*AD219*[2]ステータス!$B$2,0)</f>
        <v>5528</v>
      </c>
      <c r="AH219" s="28">
        <f ca="1">ROUND(VLOOKUP(1,enemy_base_stats!$A:$F,3,FALSE) * Z219*K219*P219*F219*T219*AE219 * W219*[2]ステータス!$C$2,0)</f>
        <v>232</v>
      </c>
      <c r="AI219" s="28">
        <f ca="1">ROUND(VLOOKUP(1,enemy_base_stats!$A:$F,4,FALSE) * AA219*L219*Q219*G219*U219*AF219*[2]ステータス!$D$2,0)</f>
        <v>0</v>
      </c>
      <c r="AJ219" s="28">
        <f ca="1">ROUND(VLOOKUP(100,enemy_base_stats!$A:$F,2,FALSE) * Y219* J219*O219*E219*S219*AD219*[2]ステータス!$B$2,0)</f>
        <v>224427</v>
      </c>
      <c r="AK219" s="28">
        <f ca="1">ROUND(VLOOKUP(100,enemy_base_stats!$A:$F,3,FALSE)* Z219* K219*P219*F219*T219*AE219 * W219*[2]ステータス!$C$2,0)</f>
        <v>9431</v>
      </c>
      <c r="AL219" s="28">
        <f ca="1">ROUND(VLOOKUP(100,enemy_base_stats!$A:$F,4,FALSE)* AA219* L219*Q219*G219*U219*AF219*[2]ステータス!$D$2,0)</f>
        <v>0</v>
      </c>
      <c r="AM219" s="24">
        <f ca="1">VLOOKUP(M219,[2]character_tribe_i18n!$A:$I,9,FALSE)</f>
        <v>540</v>
      </c>
      <c r="AN219" s="36">
        <v>0</v>
      </c>
      <c r="AO219" s="53">
        <v>0</v>
      </c>
      <c r="AP219" s="58" t="s">
        <v>72</v>
      </c>
      <c r="AQ219" s="71">
        <f t="shared" ca="1" si="6"/>
        <v>218</v>
      </c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8"/>
      <c r="BC219" s="18"/>
      <c r="BD219" s="18"/>
      <c r="BE219" s="18"/>
      <c r="BF219" s="18"/>
      <c r="BG219" s="18"/>
      <c r="BH219" s="18"/>
    </row>
    <row r="220" spans="1:60" s="3" customFormat="1" ht="21" customHeight="1" x14ac:dyDescent="0.15">
      <c r="A220" s="7">
        <f t="shared" ca="1" si="7"/>
        <v>219</v>
      </c>
      <c r="B220" s="6" t="str">
        <f ca="1">VLOOKUP(A220,[2]characters!$A:$C,3,FALSE)</f>
        <v>覇翼の聖蛇竜 ケツァクアトル</v>
      </c>
      <c r="C220" s="9">
        <f ca="1">VLOOKUP(A220,[2]characters!$A:$I,9,FALSE)</f>
        <v>5</v>
      </c>
      <c r="D220" s="9" t="str">
        <f ca="1">VLOOKUP(A220,[2]characters!$A:$H,8,FALSE)</f>
        <v>green</v>
      </c>
      <c r="E220" s="24">
        <f ca="1">VLOOKUP(D220,[2]属性!$A:$E,2,FALSE)</f>
        <v>1.02</v>
      </c>
      <c r="F220" s="24">
        <f ca="1">VLOOKUP(D220,[2]属性!$A:$E,3,FALSE)</f>
        <v>0.98</v>
      </c>
      <c r="G220" s="24">
        <f ca="1">VLOOKUP(D220,[2]属性!$A:$F,4,FALSE)</f>
        <v>1</v>
      </c>
      <c r="H220" s="9" t="str">
        <f ca="1">VLOOKUP(A220,[2]characters!$A:$K,11,FALSE)</f>
        <v>hp</v>
      </c>
      <c r="I220" s="14" t="str">
        <f ca="1">VLOOKUP(H220,[2]character_type_i18n!$A:$F,3,FALSE)</f>
        <v>体力タイプ</v>
      </c>
      <c r="J220" s="36">
        <f ca="1">VLOOKUP(H220,[2]character_type_i18n!$A:$F,4,FALSE)</f>
        <v>1.45</v>
      </c>
      <c r="K220" s="36">
        <f ca="1">VLOOKUP(H220,[2]character_type_i18n!$A:$F,5,FALSE)</f>
        <v>0.85</v>
      </c>
      <c r="L220" s="36">
        <f ca="1">VLOOKUP(H220,[2]character_type_i18n!$A:$F,6,FALSE)</f>
        <v>1</v>
      </c>
      <c r="M220" s="9" t="str">
        <f ca="1">VLOOKUP(A220,[2]characters!$A:$M,13,FALSE)</f>
        <v>dragon</v>
      </c>
      <c r="N220" s="14" t="str">
        <f ca="1">VLOOKUP(M220,[2]character_tribe_i18n!$A:$F,3,FALSE)</f>
        <v>ドラゴン</v>
      </c>
      <c r="O220" s="24">
        <f ca="1">VLOOKUP(M220,[2]character_tribe_i18n!$A:$F,4,FALSE)</f>
        <v>1.1499999999999999</v>
      </c>
      <c r="P220" s="24">
        <f ca="1">VLOOKUP(M220,[2]character_tribe_i18n!$A:$F,5,FALSE)</f>
        <v>1.1000000000000001</v>
      </c>
      <c r="Q220" s="24">
        <f ca="1">VLOOKUP(M220,[2]character_tribe_i18n!$A:$F,6,FALSE)</f>
        <v>1</v>
      </c>
      <c r="R220" s="25" t="s">
        <v>4</v>
      </c>
      <c r="S220" s="24">
        <f>VLOOKUP($R220,ラベル別係数!$A$1:$E$7,3,FALSE)</f>
        <v>5</v>
      </c>
      <c r="T220" s="24">
        <f>VLOOKUP($R220,ラベル別係数!$A$1:$E$7,4,FALSE)</f>
        <v>1.3</v>
      </c>
      <c r="U220" s="24">
        <f>VLOOKUP($R220,ラベル別係数!$A$1:$E$7,5,FALSE)</f>
        <v>0.8</v>
      </c>
      <c r="V220" s="27">
        <v>3</v>
      </c>
      <c r="W220" s="28">
        <f>VLOOKUP(V220,ターン数別攻撃係数!$A$1:$B$1000,2,FALSE)</f>
        <v>1</v>
      </c>
      <c r="X220" s="10">
        <v>60</v>
      </c>
      <c r="Y220" s="26">
        <f>VLOOKUP($X220,サイズ別係数!$B:$E,2,FALSE)</f>
        <v>1.7</v>
      </c>
      <c r="Z220" s="26">
        <f>VLOOKUP($X220,サイズ別係数!$B:$E,3,FALSE)</f>
        <v>1.4</v>
      </c>
      <c r="AA220" s="26">
        <f>VLOOKUP($X220,サイズ別係数!$B:$E,4,FALSE)</f>
        <v>1</v>
      </c>
      <c r="AB220" s="5">
        <v>219</v>
      </c>
      <c r="AC220" s="34" t="str">
        <f ca="1">VLOOKUP($AB220,OFFSET([3]enemy_skill_sets!$B$2,0,0,COUNTA([3]enemy_skill_sets!$A:$A),MATCH(AC$1,[3]enemy_skill_sets!$1:$1,0)-MATCH($AB$1,[3]enemy_skill_sets!$1:$1,0)+1),MATCH(AC$1,[3]enemy_skill_sets!$1:$1,0)-MATCH($AB$1,[3]enemy_skill_sets!$1:$1,0)+1,FALSE)</f>
        <v>一度だけ全回復！</v>
      </c>
      <c r="AD220" s="27">
        <v>1</v>
      </c>
      <c r="AE220" s="37">
        <v>1</v>
      </c>
      <c r="AF220" s="37">
        <v>0</v>
      </c>
      <c r="AG220" s="28">
        <f ca="1">ROUND(VLOOKUP(1,enemy_base_stats!$A:$F,2,FALSE) * Y220* J220*O220*E220*S220*AD220*[2]ステータス!$B$2,0)</f>
        <v>7229</v>
      </c>
      <c r="AH220" s="28">
        <f ca="1">ROUND(VLOOKUP(1,enemy_base_stats!$A:$F,3,FALSE) * Z220*K220*P220*F220*T220*AE220 * W220*[2]ステータス!$C$2,0)</f>
        <v>250</v>
      </c>
      <c r="AI220" s="28">
        <f ca="1">ROUND(VLOOKUP(1,enemy_base_stats!$A:$F,4,FALSE) * AA220*L220*Q220*G220*U220*AF220*[2]ステータス!$D$2,0)</f>
        <v>0</v>
      </c>
      <c r="AJ220" s="28">
        <f ca="1">ROUND(VLOOKUP(100,enemy_base_stats!$A:$F,2,FALSE) * Y220* J220*O220*E220*S220*AD220*[2]ステータス!$B$2,0)</f>
        <v>293482</v>
      </c>
      <c r="AK220" s="28">
        <f ca="1">ROUND(VLOOKUP(100,enemy_base_stats!$A:$F,3,FALSE)* Z220* K220*P220*F220*T220*AE220 * W220*[2]ステータス!$C$2,0)</f>
        <v>10156</v>
      </c>
      <c r="AL220" s="28">
        <f ca="1">ROUND(VLOOKUP(100,enemy_base_stats!$A:$F,4,FALSE)* AA220* L220*Q220*G220*U220*AF220*[2]ステータス!$D$2,0)</f>
        <v>0</v>
      </c>
      <c r="AM220" s="24">
        <f ca="1">VLOOKUP(M220,[2]character_tribe_i18n!$A:$I,9,FALSE)</f>
        <v>540</v>
      </c>
      <c r="AN220" s="36">
        <v>0</v>
      </c>
      <c r="AO220" s="53">
        <v>0</v>
      </c>
      <c r="AP220" s="58" t="s">
        <v>72</v>
      </c>
      <c r="AQ220" s="71">
        <f t="shared" ca="1" si="6"/>
        <v>219</v>
      </c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8"/>
      <c r="BC220" s="18"/>
      <c r="BD220" s="18"/>
      <c r="BE220" s="18"/>
      <c r="BF220" s="18"/>
      <c r="BG220" s="18"/>
      <c r="BH220" s="18"/>
    </row>
    <row r="221" spans="1:60" s="3" customFormat="1" ht="21" customHeight="1" x14ac:dyDescent="0.15">
      <c r="A221" s="7">
        <f t="shared" ca="1" si="7"/>
        <v>220</v>
      </c>
      <c r="B221" s="6" t="str">
        <f ca="1">VLOOKUP(A221,[2]characters!$A:$C,3,FALSE)</f>
        <v>ルキフグス</v>
      </c>
      <c r="C221" s="9">
        <f ca="1">VLOOKUP(A221,[2]characters!$A:$I,9,FALSE)</f>
        <v>3</v>
      </c>
      <c r="D221" s="9" t="str">
        <f ca="1">VLOOKUP(A221,[2]characters!$A:$H,8,FALSE)</f>
        <v>blue</v>
      </c>
      <c r="E221" s="24">
        <f ca="1">VLOOKUP(D221,[2]属性!$A:$E,2,FALSE)</f>
        <v>1</v>
      </c>
      <c r="F221" s="24">
        <f ca="1">VLOOKUP(D221,[2]属性!$A:$E,3,FALSE)</f>
        <v>0.98</v>
      </c>
      <c r="G221" s="24">
        <f ca="1">VLOOKUP(D221,[2]属性!$A:$F,4,FALSE)</f>
        <v>1</v>
      </c>
      <c r="H221" s="9" t="str">
        <f ca="1">VLOOKUP(A221,[2]characters!$A:$K,11,FALSE)</f>
        <v>balance</v>
      </c>
      <c r="I221" s="14" t="str">
        <f ca="1">VLOOKUP(H221,[2]character_type_i18n!$A:$F,3,FALSE)</f>
        <v>バランスタイプ</v>
      </c>
      <c r="J221" s="36">
        <f ca="1">VLOOKUP(H221,[2]character_type_i18n!$A:$F,4,FALSE)</f>
        <v>1</v>
      </c>
      <c r="K221" s="36">
        <f ca="1">VLOOKUP(H221,[2]character_type_i18n!$A:$F,5,FALSE)</f>
        <v>1</v>
      </c>
      <c r="L221" s="36">
        <f ca="1">VLOOKUP(H221,[2]character_type_i18n!$A:$F,6,FALSE)</f>
        <v>1</v>
      </c>
      <c r="M221" s="9" t="str">
        <f ca="1">VLOOKUP(A221,[2]characters!$A:$M,13,FALSE)</f>
        <v>god</v>
      </c>
      <c r="N221" s="14" t="str">
        <f ca="1">VLOOKUP(M221,[2]character_tribe_i18n!$A:$F,3,FALSE)</f>
        <v>ゴッド</v>
      </c>
      <c r="O221" s="24">
        <f ca="1">VLOOKUP(M221,[2]character_tribe_i18n!$A:$F,4,FALSE)</f>
        <v>0.96</v>
      </c>
      <c r="P221" s="24">
        <f ca="1">VLOOKUP(M221,[2]character_tribe_i18n!$A:$F,5,FALSE)</f>
        <v>1.02</v>
      </c>
      <c r="Q221" s="24">
        <f ca="1">VLOOKUP(M221,[2]character_tribe_i18n!$A:$F,6,FALSE)</f>
        <v>1</v>
      </c>
      <c r="R221" s="25" t="s">
        <v>4</v>
      </c>
      <c r="S221" s="24">
        <f>VLOOKUP($R221,ラベル別係数!$A$1:$E$7,3,FALSE)</f>
        <v>5</v>
      </c>
      <c r="T221" s="24">
        <f>VLOOKUP($R221,ラベル別係数!$A$1:$E$7,4,FALSE)</f>
        <v>1.3</v>
      </c>
      <c r="U221" s="24">
        <f>VLOOKUP($R221,ラベル別係数!$A$1:$E$7,5,FALSE)</f>
        <v>0.8</v>
      </c>
      <c r="V221" s="27">
        <v>2</v>
      </c>
      <c r="W221" s="28">
        <f>VLOOKUP(V221,ターン数別攻撃係数!$A$1:$B$1000,2,FALSE)</f>
        <v>0.75</v>
      </c>
      <c r="X221" s="10">
        <v>20</v>
      </c>
      <c r="Y221" s="26">
        <f>VLOOKUP($X221,サイズ別係数!$B:$E,2,FALSE)</f>
        <v>1.1000000000000001</v>
      </c>
      <c r="Z221" s="26">
        <f>VLOOKUP($X221,サイズ別係数!$B:$E,3,FALSE)</f>
        <v>1.2</v>
      </c>
      <c r="AA221" s="26">
        <f>VLOOKUP($X221,サイズ別係数!$B:$E,4,FALSE)</f>
        <v>1.2</v>
      </c>
      <c r="AB221" s="5">
        <v>0</v>
      </c>
      <c r="AC221" s="34" t="str">
        <f ca="1">VLOOKUP($AB221,OFFSET([3]enemy_skill_sets!$B$2,0,0,COUNTA([3]enemy_skill_sets!$A:$A),MATCH(AC$1,[3]enemy_skill_sets!$1:$1,0)-MATCH($AB$1,[3]enemy_skill_sets!$1:$1,0)+1),MATCH(AC$1,[3]enemy_skill_sets!$1:$1,0)-MATCH($AB$1,[3]enemy_skill_sets!$1:$1,0)+1,FALSE)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1" s="27">
        <v>1</v>
      </c>
      <c r="AE221" s="37">
        <v>1</v>
      </c>
      <c r="AF221" s="37">
        <v>0</v>
      </c>
      <c r="AG221" s="28">
        <f ca="1">ROUND(VLOOKUP(1,enemy_base_stats!$A:$F,2,FALSE) * Y221* J221*O221*E221*S221*AD221*[2]ステータス!$B$2,0)</f>
        <v>2640</v>
      </c>
      <c r="AH221" s="28">
        <f ca="1">ROUND(VLOOKUP(1,enemy_base_stats!$A:$F,3,FALSE) * Z221*K221*P221*F221*T221*AE221 * W221*[2]ステータス!$C$2,0)</f>
        <v>175</v>
      </c>
      <c r="AI221" s="28">
        <f ca="1">ROUND(VLOOKUP(1,enemy_base_stats!$A:$F,4,FALSE) * AA221*L221*Q221*G221*U221*AF221*[2]ステータス!$D$2,0)</f>
        <v>0</v>
      </c>
      <c r="AJ221" s="28">
        <f ca="1">ROUND(VLOOKUP(100,enemy_base_stats!$A:$F,2,FALSE) * Y221* J221*O221*E221*S221*AD221*[2]ステータス!$B$2,0)</f>
        <v>107184</v>
      </c>
      <c r="AK221" s="28">
        <f ca="1">ROUND(VLOOKUP(100,enemy_base_stats!$A:$F,3,FALSE)* Z221* K221*P221*F221*T221*AE221 * W221*[2]ステータス!$C$2,0)</f>
        <v>7122</v>
      </c>
      <c r="AL221" s="28">
        <f ca="1">ROUND(VLOOKUP(100,enemy_base_stats!$A:$F,4,FALSE)* AA221* L221*Q221*G221*U221*AF221*[2]ステータス!$D$2,0)</f>
        <v>0</v>
      </c>
      <c r="AM221" s="24">
        <f ca="1">VLOOKUP(M221,[2]character_tribe_i18n!$A:$I,9,FALSE)</f>
        <v>680</v>
      </c>
      <c r="AN221" s="36">
        <v>0</v>
      </c>
      <c r="AO221" s="53">
        <v>0</v>
      </c>
      <c r="AP221" s="58" t="s">
        <v>72</v>
      </c>
      <c r="AQ221" s="71">
        <f t="shared" ca="1" si="6"/>
        <v>220</v>
      </c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8"/>
      <c r="BC221" s="18"/>
      <c r="BD221" s="18"/>
      <c r="BE221" s="18"/>
      <c r="BF221" s="18"/>
      <c r="BG221" s="18"/>
      <c r="BH221" s="18"/>
    </row>
    <row r="222" spans="1:60" s="3" customFormat="1" ht="21" customHeight="1" x14ac:dyDescent="0.15">
      <c r="A222" s="7">
        <f t="shared" ca="1" si="7"/>
        <v>221</v>
      </c>
      <c r="B222" s="6" t="str">
        <f ca="1">VLOOKUP(A222,[2]characters!$A:$C,3,FALSE)</f>
        <v>宰相 ルキフグス</v>
      </c>
      <c r="C222" s="9">
        <f ca="1">VLOOKUP(A222,[2]characters!$A:$I,9,FALSE)</f>
        <v>4</v>
      </c>
      <c r="D222" s="9" t="str">
        <f ca="1">VLOOKUP(A222,[2]characters!$A:$H,8,FALSE)</f>
        <v>blue</v>
      </c>
      <c r="E222" s="24">
        <f ca="1">VLOOKUP(D222,[2]属性!$A:$E,2,FALSE)</f>
        <v>1</v>
      </c>
      <c r="F222" s="24">
        <f ca="1">VLOOKUP(D222,[2]属性!$A:$E,3,FALSE)</f>
        <v>0.98</v>
      </c>
      <c r="G222" s="24">
        <f ca="1">VLOOKUP(D222,[2]属性!$A:$F,4,FALSE)</f>
        <v>1</v>
      </c>
      <c r="H222" s="9" t="str">
        <f ca="1">VLOOKUP(A222,[2]characters!$A:$K,11,FALSE)</f>
        <v>balance</v>
      </c>
      <c r="I222" s="14" t="str">
        <f ca="1">VLOOKUP(H222,[2]character_type_i18n!$A:$F,3,FALSE)</f>
        <v>バランスタイプ</v>
      </c>
      <c r="J222" s="36">
        <f ca="1">VLOOKUP(H222,[2]character_type_i18n!$A:$F,4,FALSE)</f>
        <v>1</v>
      </c>
      <c r="K222" s="36">
        <f ca="1">VLOOKUP(H222,[2]character_type_i18n!$A:$F,5,FALSE)</f>
        <v>1</v>
      </c>
      <c r="L222" s="36">
        <f ca="1">VLOOKUP(H222,[2]character_type_i18n!$A:$F,6,FALSE)</f>
        <v>1</v>
      </c>
      <c r="M222" s="9" t="str">
        <f ca="1">VLOOKUP(A222,[2]characters!$A:$M,13,FALSE)</f>
        <v>god</v>
      </c>
      <c r="N222" s="14" t="str">
        <f ca="1">VLOOKUP(M222,[2]character_tribe_i18n!$A:$F,3,FALSE)</f>
        <v>ゴッド</v>
      </c>
      <c r="O222" s="24">
        <f ca="1">VLOOKUP(M222,[2]character_tribe_i18n!$A:$F,4,FALSE)</f>
        <v>0.96</v>
      </c>
      <c r="P222" s="24">
        <f ca="1">VLOOKUP(M222,[2]character_tribe_i18n!$A:$F,5,FALSE)</f>
        <v>1.02</v>
      </c>
      <c r="Q222" s="24">
        <f ca="1">VLOOKUP(M222,[2]character_tribe_i18n!$A:$F,6,FALSE)</f>
        <v>1</v>
      </c>
      <c r="R222" s="25" t="s">
        <v>4</v>
      </c>
      <c r="S222" s="24">
        <f>VLOOKUP($R222,ラベル別係数!$A$1:$E$7,3,FALSE)</f>
        <v>5</v>
      </c>
      <c r="T222" s="24">
        <f>VLOOKUP($R222,ラベル別係数!$A$1:$E$7,4,FALSE)</f>
        <v>1.3</v>
      </c>
      <c r="U222" s="24">
        <f>VLOOKUP($R222,ラベル別係数!$A$1:$E$7,5,FALSE)</f>
        <v>0.8</v>
      </c>
      <c r="V222" s="27">
        <v>2</v>
      </c>
      <c r="W222" s="28">
        <f>VLOOKUP(V222,ターン数別攻撃係数!$A$1:$B$1000,2,FALSE)</f>
        <v>0.75</v>
      </c>
      <c r="X222" s="10">
        <v>30</v>
      </c>
      <c r="Y222" s="26">
        <f>VLOOKUP($X222,サイズ別係数!$B:$E,2,FALSE)</f>
        <v>1.3</v>
      </c>
      <c r="Z222" s="26">
        <f>VLOOKUP($X222,サイズ別係数!$B:$E,3,FALSE)</f>
        <v>1.3</v>
      </c>
      <c r="AA222" s="26">
        <f>VLOOKUP($X222,サイズ別係数!$B:$E,4,FALSE)</f>
        <v>1.1000000000000001</v>
      </c>
      <c r="AB222" s="5">
        <v>0</v>
      </c>
      <c r="AC222" s="34" t="str">
        <f ca="1">VLOOKUP($AB222,OFFSET([3]enemy_skill_sets!$B$2,0,0,COUNTA([3]enemy_skill_sets!$A:$A),MATCH(AC$1,[3]enemy_skill_sets!$1:$1,0)-MATCH($AB$1,[3]enemy_skill_sets!$1:$1,0)+1),MATCH(AC$1,[3]enemy_skill_sets!$1:$1,0)-MATCH($AB$1,[3]enemy_skill_sets!$1:$1,0)+1,FALSE)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2" s="27">
        <v>1</v>
      </c>
      <c r="AE222" s="37">
        <v>1</v>
      </c>
      <c r="AF222" s="37">
        <v>0</v>
      </c>
      <c r="AG222" s="28">
        <f ca="1">ROUND(VLOOKUP(1,enemy_base_stats!$A:$F,2,FALSE) * Y222* J222*O222*E222*S222*AD222*[2]ステータス!$B$2,0)</f>
        <v>3120</v>
      </c>
      <c r="AH222" s="28">
        <f ca="1">ROUND(VLOOKUP(1,enemy_base_stats!$A:$F,3,FALSE) * Z222*K222*P222*F222*T222*AE222 * W222*[2]ステータス!$C$2,0)</f>
        <v>190</v>
      </c>
      <c r="AI222" s="28">
        <f ca="1">ROUND(VLOOKUP(1,enemy_base_stats!$A:$F,4,FALSE) * AA222*L222*Q222*G222*U222*AF222*[2]ステータス!$D$2,0)</f>
        <v>0</v>
      </c>
      <c r="AJ222" s="28">
        <f ca="1">ROUND(VLOOKUP(100,enemy_base_stats!$A:$F,2,FALSE) * Y222* J222*O222*E222*S222*AD222*[2]ステータス!$B$2,0)</f>
        <v>126672</v>
      </c>
      <c r="AK222" s="28">
        <f ca="1">ROUND(VLOOKUP(100,enemy_base_stats!$A:$F,3,FALSE)* Z222* K222*P222*F222*T222*AE222 * W222*[2]ステータス!$C$2,0)</f>
        <v>7716</v>
      </c>
      <c r="AL222" s="28">
        <f ca="1">ROUND(VLOOKUP(100,enemy_base_stats!$A:$F,4,FALSE)* AA222* L222*Q222*G222*U222*AF222*[2]ステータス!$D$2,0)</f>
        <v>0</v>
      </c>
      <c r="AM222" s="24">
        <f ca="1">VLOOKUP(M222,[2]character_tribe_i18n!$A:$I,9,FALSE)</f>
        <v>680</v>
      </c>
      <c r="AN222" s="36">
        <v>0</v>
      </c>
      <c r="AO222" s="53">
        <v>0</v>
      </c>
      <c r="AP222" s="58" t="s">
        <v>72</v>
      </c>
      <c r="AQ222" s="71">
        <f t="shared" ca="1" si="6"/>
        <v>221</v>
      </c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8"/>
      <c r="BC222" s="18"/>
      <c r="BD222" s="18"/>
      <c r="BE222" s="18"/>
      <c r="BF222" s="18"/>
      <c r="BG222" s="18"/>
      <c r="BH222" s="18"/>
    </row>
    <row r="223" spans="1:60" s="3" customFormat="1" ht="21" customHeight="1" x14ac:dyDescent="0.15">
      <c r="A223" s="7">
        <f t="shared" ca="1" si="7"/>
        <v>222</v>
      </c>
      <c r="B223" s="6" t="str">
        <f ca="1">VLOOKUP(A223,[2]characters!$A:$C,3,FALSE)</f>
        <v>避光の鉄鎖宰相 ルキフグス</v>
      </c>
      <c r="C223" s="9">
        <f ca="1">VLOOKUP(A223,[2]characters!$A:$I,9,FALSE)</f>
        <v>5</v>
      </c>
      <c r="D223" s="9" t="str">
        <f ca="1">VLOOKUP(A223,[2]characters!$A:$H,8,FALSE)</f>
        <v>blue</v>
      </c>
      <c r="E223" s="24">
        <f ca="1">VLOOKUP(D223,[2]属性!$A:$E,2,FALSE)</f>
        <v>1</v>
      </c>
      <c r="F223" s="24">
        <f ca="1">VLOOKUP(D223,[2]属性!$A:$E,3,FALSE)</f>
        <v>0.98</v>
      </c>
      <c r="G223" s="24">
        <f ca="1">VLOOKUP(D223,[2]属性!$A:$F,4,FALSE)</f>
        <v>1</v>
      </c>
      <c r="H223" s="9" t="str">
        <f ca="1">VLOOKUP(A223,[2]characters!$A:$K,11,FALSE)</f>
        <v>balance</v>
      </c>
      <c r="I223" s="14" t="str">
        <f ca="1">VLOOKUP(H223,[2]character_type_i18n!$A:$F,3,FALSE)</f>
        <v>バランスタイプ</v>
      </c>
      <c r="J223" s="36">
        <f ca="1">VLOOKUP(H223,[2]character_type_i18n!$A:$F,4,FALSE)</f>
        <v>1</v>
      </c>
      <c r="K223" s="36">
        <f ca="1">VLOOKUP(H223,[2]character_type_i18n!$A:$F,5,FALSE)</f>
        <v>1</v>
      </c>
      <c r="L223" s="36">
        <f ca="1">VLOOKUP(H223,[2]character_type_i18n!$A:$F,6,FALSE)</f>
        <v>1</v>
      </c>
      <c r="M223" s="9" t="str">
        <f ca="1">VLOOKUP(A223,[2]characters!$A:$M,13,FALSE)</f>
        <v>god</v>
      </c>
      <c r="N223" s="14" t="str">
        <f ca="1">VLOOKUP(M223,[2]character_tribe_i18n!$A:$F,3,FALSE)</f>
        <v>ゴッド</v>
      </c>
      <c r="O223" s="24">
        <f ca="1">VLOOKUP(M223,[2]character_tribe_i18n!$A:$F,4,FALSE)</f>
        <v>0.96</v>
      </c>
      <c r="P223" s="24">
        <f ca="1">VLOOKUP(M223,[2]character_tribe_i18n!$A:$F,5,FALSE)</f>
        <v>1.02</v>
      </c>
      <c r="Q223" s="24">
        <f ca="1">VLOOKUP(M223,[2]character_tribe_i18n!$A:$F,6,FALSE)</f>
        <v>1</v>
      </c>
      <c r="R223" s="25" t="s">
        <v>4</v>
      </c>
      <c r="S223" s="24">
        <f>VLOOKUP($R223,ラベル別係数!$A$1:$E$7,3,FALSE)</f>
        <v>5</v>
      </c>
      <c r="T223" s="24">
        <f>VLOOKUP($R223,ラベル別係数!$A$1:$E$7,4,FALSE)</f>
        <v>1.3</v>
      </c>
      <c r="U223" s="24">
        <f>VLOOKUP($R223,ラベル別係数!$A$1:$E$7,5,FALSE)</f>
        <v>0.8</v>
      </c>
      <c r="V223" s="27">
        <v>2</v>
      </c>
      <c r="W223" s="28">
        <f>VLOOKUP(V223,ターン数別攻撃係数!$A$1:$B$1000,2,FALSE)</f>
        <v>0.75</v>
      </c>
      <c r="X223" s="10">
        <v>60</v>
      </c>
      <c r="Y223" s="26">
        <f>VLOOKUP($X223,サイズ別係数!$B:$E,2,FALSE)</f>
        <v>1.7</v>
      </c>
      <c r="Z223" s="26">
        <f>VLOOKUP($X223,サイズ別係数!$B:$E,3,FALSE)</f>
        <v>1.4</v>
      </c>
      <c r="AA223" s="26">
        <f>VLOOKUP($X223,サイズ別係数!$B:$E,4,FALSE)</f>
        <v>1</v>
      </c>
      <c r="AB223" s="5">
        <v>0</v>
      </c>
      <c r="AC223" s="34" t="str">
        <f ca="1">VLOOKUP($AB223,OFFSET([3]enemy_skill_sets!$B$2,0,0,COUNTA([3]enemy_skill_sets!$A:$A),MATCH(AC$1,[3]enemy_skill_sets!$1:$1,0)-MATCH($AB$1,[3]enemy_skill_sets!$1:$1,0)+1),MATCH(AC$1,[3]enemy_skill_sets!$1:$1,0)-MATCH($AB$1,[3]enemy_skill_sets!$1:$1,0)+1,FALSE)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3" s="27">
        <v>1</v>
      </c>
      <c r="AE223" s="37">
        <v>1</v>
      </c>
      <c r="AF223" s="37">
        <v>0</v>
      </c>
      <c r="AG223" s="28">
        <f ca="1">ROUND(VLOOKUP(1,enemy_base_stats!$A:$F,2,FALSE) * Y223* J223*O223*E223*S223*AD223*[2]ステータス!$B$2,0)</f>
        <v>4080</v>
      </c>
      <c r="AH223" s="28">
        <f ca="1">ROUND(VLOOKUP(1,enemy_base_stats!$A:$F,3,FALSE) * Z223*K223*P223*F223*T223*AE223 * W223*[2]ステータス!$C$2,0)</f>
        <v>205</v>
      </c>
      <c r="AI223" s="28">
        <f ca="1">ROUND(VLOOKUP(1,enemy_base_stats!$A:$F,4,FALSE) * AA223*L223*Q223*G223*U223*AF223*[2]ステータス!$D$2,0)</f>
        <v>0</v>
      </c>
      <c r="AJ223" s="28">
        <f ca="1">ROUND(VLOOKUP(100,enemy_base_stats!$A:$F,2,FALSE) * Y223* J223*O223*E223*S223*AD223*[2]ステータス!$B$2,0)</f>
        <v>165648</v>
      </c>
      <c r="AK223" s="28">
        <f ca="1">ROUND(VLOOKUP(100,enemy_base_stats!$A:$F,3,FALSE)* Z223* K223*P223*F223*T223*AE223 * W223*[2]ステータス!$C$2,0)</f>
        <v>8310</v>
      </c>
      <c r="AL223" s="28">
        <f ca="1">ROUND(VLOOKUP(100,enemy_base_stats!$A:$F,4,FALSE)* AA223* L223*Q223*G223*U223*AF223*[2]ステータス!$D$2,0)</f>
        <v>0</v>
      </c>
      <c r="AM223" s="24">
        <f ca="1">VLOOKUP(M223,[2]character_tribe_i18n!$A:$I,9,FALSE)</f>
        <v>680</v>
      </c>
      <c r="AN223" s="36">
        <v>0</v>
      </c>
      <c r="AO223" s="53">
        <v>0</v>
      </c>
      <c r="AP223" s="58" t="s">
        <v>72</v>
      </c>
      <c r="AQ223" s="71">
        <f t="shared" ca="1" si="6"/>
        <v>222</v>
      </c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8"/>
      <c r="BC223" s="18"/>
      <c r="BD223" s="18"/>
      <c r="BE223" s="18"/>
      <c r="BF223" s="18"/>
      <c r="BG223" s="18"/>
      <c r="BH223" s="18"/>
    </row>
    <row r="224" spans="1:60" s="3" customFormat="1" ht="21" customHeight="1" x14ac:dyDescent="0.15">
      <c r="A224" s="7">
        <f t="shared" ca="1" si="7"/>
        <v>223</v>
      </c>
      <c r="B224" s="6" t="str">
        <f ca="1">VLOOKUP(A224,[2]characters!$A:$C,3,FALSE)</f>
        <v>ヘラクレス</v>
      </c>
      <c r="C224" s="9">
        <f ca="1">VLOOKUP(A224,[2]characters!$A:$I,9,FALSE)</f>
        <v>3</v>
      </c>
      <c r="D224" s="9" t="str">
        <f ca="1">VLOOKUP(A224,[2]characters!$A:$H,8,FALSE)</f>
        <v>yellow</v>
      </c>
      <c r="E224" s="24">
        <f ca="1">VLOOKUP(D224,[2]属性!$A:$E,2,FALSE)</f>
        <v>0.98</v>
      </c>
      <c r="F224" s="24">
        <f ca="1">VLOOKUP(D224,[2]属性!$A:$E,3,FALSE)</f>
        <v>1.01</v>
      </c>
      <c r="G224" s="24">
        <f ca="1">VLOOKUP(D224,[2]属性!$A:$F,4,FALSE)</f>
        <v>1</v>
      </c>
      <c r="H224" s="9" t="str">
        <f ca="1">VLOOKUP(A224,[2]characters!$A:$K,11,FALSE)</f>
        <v>balance</v>
      </c>
      <c r="I224" s="14" t="str">
        <f ca="1">VLOOKUP(H224,[2]character_type_i18n!$A:$F,3,FALSE)</f>
        <v>バランスタイプ</v>
      </c>
      <c r="J224" s="36">
        <f ca="1">VLOOKUP(H224,[2]character_type_i18n!$A:$F,4,FALSE)</f>
        <v>1</v>
      </c>
      <c r="K224" s="36">
        <f ca="1">VLOOKUP(H224,[2]character_type_i18n!$A:$F,5,FALSE)</f>
        <v>1</v>
      </c>
      <c r="L224" s="36">
        <f ca="1">VLOOKUP(H224,[2]character_type_i18n!$A:$F,6,FALSE)</f>
        <v>1</v>
      </c>
      <c r="M224" s="9" t="str">
        <f ca="1">VLOOKUP(A224,[2]characters!$A:$M,13,FALSE)</f>
        <v>human</v>
      </c>
      <c r="N224" s="14" t="str">
        <f ca="1">VLOOKUP(M224,[2]character_tribe_i18n!$A:$F,3,FALSE)</f>
        <v>ヒューマン</v>
      </c>
      <c r="O224" s="24">
        <f ca="1">VLOOKUP(M224,[2]character_tribe_i18n!$A:$F,4,FALSE)</f>
        <v>0.94</v>
      </c>
      <c r="P224" s="24">
        <f ca="1">VLOOKUP(M224,[2]character_tribe_i18n!$A:$F,5,FALSE)</f>
        <v>0.99</v>
      </c>
      <c r="Q224" s="24">
        <f ca="1">VLOOKUP(M224,[2]character_tribe_i18n!$A:$F,6,FALSE)</f>
        <v>1</v>
      </c>
      <c r="R224" s="25" t="s">
        <v>4</v>
      </c>
      <c r="S224" s="24">
        <f>VLOOKUP($R224,ラベル別係数!$A$1:$E$7,3,FALSE)</f>
        <v>5</v>
      </c>
      <c r="T224" s="24">
        <f>VLOOKUP($R224,ラベル別係数!$A$1:$E$7,4,FALSE)</f>
        <v>1.3</v>
      </c>
      <c r="U224" s="24">
        <f>VLOOKUP($R224,ラベル別係数!$A$1:$E$7,5,FALSE)</f>
        <v>0.8</v>
      </c>
      <c r="V224" s="27">
        <v>2</v>
      </c>
      <c r="W224" s="28">
        <f>VLOOKUP(V224,ターン数別攻撃係数!$A$1:$B$1000,2,FALSE)</f>
        <v>0.75</v>
      </c>
      <c r="X224" s="10">
        <v>20</v>
      </c>
      <c r="Y224" s="26">
        <f>VLOOKUP($X224,サイズ別係数!$B:$E,2,FALSE)</f>
        <v>1.1000000000000001</v>
      </c>
      <c r="Z224" s="26">
        <f>VLOOKUP($X224,サイズ別係数!$B:$E,3,FALSE)</f>
        <v>1.2</v>
      </c>
      <c r="AA224" s="26">
        <f>VLOOKUP($X224,サイズ別係数!$B:$E,4,FALSE)</f>
        <v>1.2</v>
      </c>
      <c r="AB224" s="5">
        <v>0</v>
      </c>
      <c r="AC224" s="34" t="str">
        <f ca="1">VLOOKUP($AB224,OFFSET([3]enemy_skill_sets!$B$2,0,0,COUNTA([3]enemy_skill_sets!$A:$A),MATCH(AC$1,[3]enemy_skill_sets!$1:$1,0)-MATCH($AB$1,[3]enemy_skill_sets!$1:$1,0)+1),MATCH(AC$1,[3]enemy_skill_sets!$1:$1,0)-MATCH($AB$1,[3]enemy_skill_sets!$1:$1,0)+1,FALSE)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4" s="27">
        <v>1</v>
      </c>
      <c r="AE224" s="37">
        <v>1</v>
      </c>
      <c r="AF224" s="37">
        <v>0</v>
      </c>
      <c r="AG224" s="28">
        <f ca="1">ROUND(VLOOKUP(1,enemy_base_stats!$A:$F,2,FALSE) * Y224* J224*O224*E224*S224*AD224*[2]ステータス!$B$2,0)</f>
        <v>2533</v>
      </c>
      <c r="AH224" s="28">
        <f ca="1">ROUND(VLOOKUP(1,enemy_base_stats!$A:$F,3,FALSE) * Z224*K224*P224*F224*T224*AE224 * W224*[2]ステータス!$C$2,0)</f>
        <v>175</v>
      </c>
      <c r="AI224" s="28">
        <f ca="1">ROUND(VLOOKUP(1,enemy_base_stats!$A:$F,4,FALSE) * AA224*L224*Q224*G224*U224*AF224*[2]ステータス!$D$2,0)</f>
        <v>0</v>
      </c>
      <c r="AJ224" s="28">
        <f ca="1">ROUND(VLOOKUP(100,enemy_base_stats!$A:$F,2,FALSE) * Y224* J224*O224*E224*S224*AD224*[2]ステータス!$B$2,0)</f>
        <v>102852</v>
      </c>
      <c r="AK224" s="28">
        <f ca="1">ROUND(VLOOKUP(100,enemy_base_stats!$A:$F,3,FALSE)* Z224* K224*P224*F224*T224*AE224 * W224*[2]ステータス!$C$2,0)</f>
        <v>7125</v>
      </c>
      <c r="AL224" s="28">
        <f ca="1">ROUND(VLOOKUP(100,enemy_base_stats!$A:$F,4,FALSE)* AA224* L224*Q224*G224*U224*AF224*[2]ステータス!$D$2,0)</f>
        <v>0</v>
      </c>
      <c r="AM224" s="24">
        <f ca="1">VLOOKUP(M224,[2]character_tribe_i18n!$A:$I,9,FALSE)</f>
        <v>400</v>
      </c>
      <c r="AN224" s="36">
        <v>0</v>
      </c>
      <c r="AO224" s="53">
        <v>0</v>
      </c>
      <c r="AP224" s="58" t="s">
        <v>72</v>
      </c>
      <c r="AQ224" s="71">
        <f t="shared" ca="1" si="6"/>
        <v>223</v>
      </c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</row>
    <row r="225" spans="1:60" s="3" customFormat="1" ht="21" customHeight="1" x14ac:dyDescent="0.15">
      <c r="A225" s="7">
        <f t="shared" ca="1" si="7"/>
        <v>224</v>
      </c>
      <c r="B225" s="6" t="str">
        <f ca="1">VLOOKUP(A225,[2]characters!$A:$C,3,FALSE)</f>
        <v>巨腕 ヘラクレス</v>
      </c>
      <c r="C225" s="9">
        <f ca="1">VLOOKUP(A225,[2]characters!$A:$I,9,FALSE)</f>
        <v>4</v>
      </c>
      <c r="D225" s="9" t="str">
        <f ca="1">VLOOKUP(A225,[2]characters!$A:$H,8,FALSE)</f>
        <v>yellow</v>
      </c>
      <c r="E225" s="24">
        <f ca="1">VLOOKUP(D225,[2]属性!$A:$E,2,FALSE)</f>
        <v>0.98</v>
      </c>
      <c r="F225" s="24">
        <f ca="1">VLOOKUP(D225,[2]属性!$A:$E,3,FALSE)</f>
        <v>1.01</v>
      </c>
      <c r="G225" s="24">
        <f ca="1">VLOOKUP(D225,[2]属性!$A:$F,4,FALSE)</f>
        <v>1</v>
      </c>
      <c r="H225" s="9" t="str">
        <f ca="1">VLOOKUP(A225,[2]characters!$A:$K,11,FALSE)</f>
        <v>balance</v>
      </c>
      <c r="I225" s="14" t="str">
        <f ca="1">VLOOKUP(H225,[2]character_type_i18n!$A:$F,3,FALSE)</f>
        <v>バランスタイプ</v>
      </c>
      <c r="J225" s="36">
        <f ca="1">VLOOKUP(H225,[2]character_type_i18n!$A:$F,4,FALSE)</f>
        <v>1</v>
      </c>
      <c r="K225" s="36">
        <f ca="1">VLOOKUP(H225,[2]character_type_i18n!$A:$F,5,FALSE)</f>
        <v>1</v>
      </c>
      <c r="L225" s="36">
        <f ca="1">VLOOKUP(H225,[2]character_type_i18n!$A:$F,6,FALSE)</f>
        <v>1</v>
      </c>
      <c r="M225" s="9" t="str">
        <f ca="1">VLOOKUP(A225,[2]characters!$A:$M,13,FALSE)</f>
        <v>human</v>
      </c>
      <c r="N225" s="14" t="str">
        <f ca="1">VLOOKUP(M225,[2]character_tribe_i18n!$A:$F,3,FALSE)</f>
        <v>ヒューマン</v>
      </c>
      <c r="O225" s="24">
        <f ca="1">VLOOKUP(M225,[2]character_tribe_i18n!$A:$F,4,FALSE)</f>
        <v>0.94</v>
      </c>
      <c r="P225" s="24">
        <f ca="1">VLOOKUP(M225,[2]character_tribe_i18n!$A:$F,5,FALSE)</f>
        <v>0.99</v>
      </c>
      <c r="Q225" s="24">
        <f ca="1">VLOOKUP(M225,[2]character_tribe_i18n!$A:$F,6,FALSE)</f>
        <v>1</v>
      </c>
      <c r="R225" s="25" t="s">
        <v>4</v>
      </c>
      <c r="S225" s="24">
        <f>VLOOKUP($R225,ラベル別係数!$A$1:$E$7,3,FALSE)</f>
        <v>5</v>
      </c>
      <c r="T225" s="24">
        <f>VLOOKUP($R225,ラベル別係数!$A$1:$E$7,4,FALSE)</f>
        <v>1.3</v>
      </c>
      <c r="U225" s="24">
        <f>VLOOKUP($R225,ラベル別係数!$A$1:$E$7,5,FALSE)</f>
        <v>0.8</v>
      </c>
      <c r="V225" s="27">
        <v>2</v>
      </c>
      <c r="W225" s="28">
        <f>VLOOKUP(V225,ターン数別攻撃係数!$A$1:$B$1000,2,FALSE)</f>
        <v>0.75</v>
      </c>
      <c r="X225" s="10">
        <v>30</v>
      </c>
      <c r="Y225" s="26">
        <f>VLOOKUP($X225,サイズ別係数!$B:$E,2,FALSE)</f>
        <v>1.3</v>
      </c>
      <c r="Z225" s="26">
        <f>VLOOKUP($X225,サイズ別係数!$B:$E,3,FALSE)</f>
        <v>1.3</v>
      </c>
      <c r="AA225" s="26">
        <f>VLOOKUP($X225,サイズ別係数!$B:$E,4,FALSE)</f>
        <v>1.1000000000000001</v>
      </c>
      <c r="AB225" s="5">
        <v>224</v>
      </c>
      <c r="AC225" s="34" t="str">
        <f ca="1">VLOOKUP($AB225,OFFSET([3]enemy_skill_sets!$B$2,0,0,COUNTA([3]enemy_skill_sets!$A:$A),MATCH(AC$1,[3]enemy_skill_sets!$1:$1,0)-MATCH($AB$1,[3]enemy_skill_sets!$1:$1,0)+1),MATCH(AC$1,[3]enemy_skill_sets!$1:$1,0)-MATCH($AB$1,[3]enemy_skill_sets!$1:$1,0)+1,FALSE)</f>
        <v>3ターン攻撃力大UP</v>
      </c>
      <c r="AD225" s="27">
        <v>1</v>
      </c>
      <c r="AE225" s="37">
        <v>1</v>
      </c>
      <c r="AF225" s="37">
        <v>0</v>
      </c>
      <c r="AG225" s="28">
        <f ca="1">ROUND(VLOOKUP(1,enemy_base_stats!$A:$F,2,FALSE) * Y225* J225*O225*E225*S225*AD225*[2]ステータス!$B$2,0)</f>
        <v>2994</v>
      </c>
      <c r="AH225" s="28">
        <f ca="1">ROUND(VLOOKUP(1,enemy_base_stats!$A:$F,3,FALSE) * Z225*K225*P225*F225*T225*AE225 * W225*[2]ステータス!$C$2,0)</f>
        <v>190</v>
      </c>
      <c r="AI225" s="28">
        <f ca="1">ROUND(VLOOKUP(1,enemy_base_stats!$A:$F,4,FALSE) * AA225*L225*Q225*G225*U225*AF225*[2]ステータス!$D$2,0)</f>
        <v>0</v>
      </c>
      <c r="AJ225" s="28">
        <f ca="1">ROUND(VLOOKUP(100,enemy_base_stats!$A:$F,2,FALSE) * Y225* J225*O225*E225*S225*AD225*[2]ステータス!$B$2,0)</f>
        <v>121552</v>
      </c>
      <c r="AK225" s="28">
        <f ca="1">ROUND(VLOOKUP(100,enemy_base_stats!$A:$F,3,FALSE)* Z225* K225*P225*F225*T225*AE225 * W225*[2]ステータス!$C$2,0)</f>
        <v>7718</v>
      </c>
      <c r="AL225" s="28">
        <f ca="1">ROUND(VLOOKUP(100,enemy_base_stats!$A:$F,4,FALSE)* AA225* L225*Q225*G225*U225*AF225*[2]ステータス!$D$2,0)</f>
        <v>0</v>
      </c>
      <c r="AM225" s="24">
        <f ca="1">VLOOKUP(M225,[2]character_tribe_i18n!$A:$I,9,FALSE)</f>
        <v>400</v>
      </c>
      <c r="AN225" s="36">
        <v>0</v>
      </c>
      <c r="AO225" s="53">
        <v>0</v>
      </c>
      <c r="AP225" s="58" t="s">
        <v>72</v>
      </c>
      <c r="AQ225" s="71">
        <f t="shared" ca="1" si="6"/>
        <v>224</v>
      </c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</row>
    <row r="226" spans="1:60" s="3" customFormat="1" ht="21" customHeight="1" x14ac:dyDescent="0.15">
      <c r="A226" s="7">
        <f t="shared" ca="1" si="7"/>
        <v>225</v>
      </c>
      <c r="B226" s="6" t="str">
        <f ca="1">VLOOKUP(A226,[2]characters!$A:$C,3,FALSE)</f>
        <v>咆哮の巨獅腕 ヘラクレス</v>
      </c>
      <c r="C226" s="9">
        <f ca="1">VLOOKUP(A226,[2]characters!$A:$I,9,FALSE)</f>
        <v>5</v>
      </c>
      <c r="D226" s="9" t="str">
        <f ca="1">VLOOKUP(A226,[2]characters!$A:$H,8,FALSE)</f>
        <v>yellow</v>
      </c>
      <c r="E226" s="24">
        <f ca="1">VLOOKUP(D226,[2]属性!$A:$E,2,FALSE)</f>
        <v>0.98</v>
      </c>
      <c r="F226" s="24">
        <f ca="1">VLOOKUP(D226,[2]属性!$A:$E,3,FALSE)</f>
        <v>1.01</v>
      </c>
      <c r="G226" s="24">
        <f ca="1">VLOOKUP(D226,[2]属性!$A:$F,4,FALSE)</f>
        <v>1</v>
      </c>
      <c r="H226" s="9" t="str">
        <f ca="1">VLOOKUP(A226,[2]characters!$A:$K,11,FALSE)</f>
        <v>balance</v>
      </c>
      <c r="I226" s="14" t="str">
        <f ca="1">VLOOKUP(H226,[2]character_type_i18n!$A:$F,3,FALSE)</f>
        <v>バランスタイプ</v>
      </c>
      <c r="J226" s="36">
        <f ca="1">VLOOKUP(H226,[2]character_type_i18n!$A:$F,4,FALSE)</f>
        <v>1</v>
      </c>
      <c r="K226" s="36">
        <f ca="1">VLOOKUP(H226,[2]character_type_i18n!$A:$F,5,FALSE)</f>
        <v>1</v>
      </c>
      <c r="L226" s="36">
        <f ca="1">VLOOKUP(H226,[2]character_type_i18n!$A:$F,6,FALSE)</f>
        <v>1</v>
      </c>
      <c r="M226" s="9" t="str">
        <f ca="1">VLOOKUP(A226,[2]characters!$A:$M,13,FALSE)</f>
        <v>human</v>
      </c>
      <c r="N226" s="14" t="str">
        <f ca="1">VLOOKUP(M226,[2]character_tribe_i18n!$A:$F,3,FALSE)</f>
        <v>ヒューマン</v>
      </c>
      <c r="O226" s="24">
        <f ca="1">VLOOKUP(M226,[2]character_tribe_i18n!$A:$F,4,FALSE)</f>
        <v>0.94</v>
      </c>
      <c r="P226" s="24">
        <f ca="1">VLOOKUP(M226,[2]character_tribe_i18n!$A:$F,5,FALSE)</f>
        <v>0.99</v>
      </c>
      <c r="Q226" s="24">
        <f ca="1">VLOOKUP(M226,[2]character_tribe_i18n!$A:$F,6,FALSE)</f>
        <v>1</v>
      </c>
      <c r="R226" s="25" t="s">
        <v>4</v>
      </c>
      <c r="S226" s="24">
        <f>VLOOKUP($R226,ラベル別係数!$A$1:$E$7,3,FALSE)</f>
        <v>5</v>
      </c>
      <c r="T226" s="24">
        <f>VLOOKUP($R226,ラベル別係数!$A$1:$E$7,4,FALSE)</f>
        <v>1.3</v>
      </c>
      <c r="U226" s="24">
        <f>VLOOKUP($R226,ラベル別係数!$A$1:$E$7,5,FALSE)</f>
        <v>0.8</v>
      </c>
      <c r="V226" s="27">
        <v>2</v>
      </c>
      <c r="W226" s="28">
        <f>VLOOKUP(V226,ターン数別攻撃係数!$A$1:$B$1000,2,FALSE)</f>
        <v>0.75</v>
      </c>
      <c r="X226" s="10">
        <v>60</v>
      </c>
      <c r="Y226" s="26">
        <f>VLOOKUP($X226,サイズ別係数!$B:$E,2,FALSE)</f>
        <v>1.7</v>
      </c>
      <c r="Z226" s="26">
        <f>VLOOKUP($X226,サイズ別係数!$B:$E,3,FALSE)</f>
        <v>1.4</v>
      </c>
      <c r="AA226" s="26">
        <f>VLOOKUP($X226,サイズ別係数!$B:$E,4,FALSE)</f>
        <v>1</v>
      </c>
      <c r="AB226" s="5">
        <v>0</v>
      </c>
      <c r="AC226" s="34" t="str">
        <f ca="1">VLOOKUP($AB226,OFFSET([3]enemy_skill_sets!$B$2,0,0,COUNTA([3]enemy_skill_sets!$A:$A),MATCH(AC$1,[3]enemy_skill_sets!$1:$1,0)-MATCH($AB$1,[3]enemy_skill_sets!$1:$1,0)+1),MATCH(AC$1,[3]enemy_skill_sets!$1:$1,0)-MATCH($AB$1,[3]enemy_skill_sets!$1:$1,0)+1,FALSE)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6" s="27">
        <v>1</v>
      </c>
      <c r="AE226" s="37">
        <v>1</v>
      </c>
      <c r="AF226" s="37">
        <v>0</v>
      </c>
      <c r="AG226" s="28">
        <f ca="1">ROUND(VLOOKUP(1,enemy_base_stats!$A:$F,2,FALSE) * Y226* J226*O226*E226*S226*AD226*[2]ステータス!$B$2,0)</f>
        <v>3915</v>
      </c>
      <c r="AH226" s="28">
        <f ca="1">ROUND(VLOOKUP(1,enemy_base_stats!$A:$F,3,FALSE) * Z226*K226*P226*F226*T226*AE226 * W226*[2]ステータス!$C$2,0)</f>
        <v>205</v>
      </c>
      <c r="AI226" s="28">
        <f ca="1">ROUND(VLOOKUP(1,enemy_base_stats!$A:$F,4,FALSE) * AA226*L226*Q226*G226*U226*AF226*[2]ステータス!$D$2,0)</f>
        <v>0</v>
      </c>
      <c r="AJ226" s="28">
        <f ca="1">ROUND(VLOOKUP(100,enemy_base_stats!$A:$F,2,FALSE) * Y226* J226*O226*E226*S226*AD226*[2]ステータス!$B$2,0)</f>
        <v>158953</v>
      </c>
      <c r="AK226" s="28">
        <f ca="1">ROUND(VLOOKUP(100,enemy_base_stats!$A:$F,3,FALSE)* Z226* K226*P226*F226*T226*AE226 * W226*[2]ステータス!$C$2,0)</f>
        <v>8312</v>
      </c>
      <c r="AL226" s="28">
        <f ca="1">ROUND(VLOOKUP(100,enemy_base_stats!$A:$F,4,FALSE)* AA226* L226*Q226*G226*U226*AF226*[2]ステータス!$D$2,0)</f>
        <v>0</v>
      </c>
      <c r="AM226" s="24">
        <f ca="1">VLOOKUP(M226,[2]character_tribe_i18n!$A:$I,9,FALSE)</f>
        <v>400</v>
      </c>
      <c r="AN226" s="36">
        <v>0</v>
      </c>
      <c r="AO226" s="53">
        <v>0</v>
      </c>
      <c r="AP226" s="58" t="s">
        <v>72</v>
      </c>
      <c r="AQ226" s="71">
        <f t="shared" ca="1" si="6"/>
        <v>225</v>
      </c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</row>
    <row r="227" spans="1:60" s="3" customFormat="1" ht="21" customHeight="1" x14ac:dyDescent="0.15">
      <c r="A227" s="7">
        <f t="shared" ca="1" si="7"/>
        <v>226</v>
      </c>
      <c r="B227" s="6" t="str">
        <f ca="1">VLOOKUP(A227,[2]characters!$A:$C,3,FALSE)</f>
        <v>アレス</v>
      </c>
      <c r="C227" s="9">
        <f ca="1">VLOOKUP(A227,[2]characters!$A:$I,9,FALSE)</f>
        <v>3</v>
      </c>
      <c r="D227" s="9" t="str">
        <f ca="1">VLOOKUP(A227,[2]characters!$A:$H,8,FALSE)</f>
        <v>red</v>
      </c>
      <c r="E227" s="24">
        <f ca="1">VLOOKUP(D227,[2]属性!$A:$E,2,FALSE)</f>
        <v>1</v>
      </c>
      <c r="F227" s="24">
        <f ca="1">VLOOKUP(D227,[2]属性!$A:$E,3,FALSE)</f>
        <v>1.02</v>
      </c>
      <c r="G227" s="24">
        <f ca="1">VLOOKUP(D227,[2]属性!$A:$F,4,FALSE)</f>
        <v>1</v>
      </c>
      <c r="H227" s="9" t="str">
        <f ca="1">VLOOKUP(A227,[2]characters!$A:$K,11,FALSE)</f>
        <v>attack</v>
      </c>
      <c r="I227" s="14" t="str">
        <f ca="1">VLOOKUP(H227,[2]character_type_i18n!$A:$F,3,FALSE)</f>
        <v>攻撃タイプ</v>
      </c>
      <c r="J227" s="36">
        <f ca="1">VLOOKUP(H227,[2]character_type_i18n!$A:$F,4,FALSE)</f>
        <v>1</v>
      </c>
      <c r="K227" s="36">
        <f ca="1">VLOOKUP(H227,[2]character_type_i18n!$A:$F,5,FALSE)</f>
        <v>1.33</v>
      </c>
      <c r="L227" s="36">
        <f ca="1">VLOOKUP(H227,[2]character_type_i18n!$A:$F,6,FALSE)</f>
        <v>1</v>
      </c>
      <c r="M227" s="9" t="str">
        <f ca="1">VLOOKUP(A227,[2]characters!$A:$M,13,FALSE)</f>
        <v>god</v>
      </c>
      <c r="N227" s="14" t="str">
        <f ca="1">VLOOKUP(M227,[2]character_tribe_i18n!$A:$F,3,FALSE)</f>
        <v>ゴッド</v>
      </c>
      <c r="O227" s="24">
        <f ca="1">VLOOKUP(M227,[2]character_tribe_i18n!$A:$F,4,FALSE)</f>
        <v>0.96</v>
      </c>
      <c r="P227" s="24">
        <f ca="1">VLOOKUP(M227,[2]character_tribe_i18n!$A:$F,5,FALSE)</f>
        <v>1.02</v>
      </c>
      <c r="Q227" s="24">
        <f ca="1">VLOOKUP(M227,[2]character_tribe_i18n!$A:$F,6,FALSE)</f>
        <v>1</v>
      </c>
      <c r="R227" s="25" t="s">
        <v>87</v>
      </c>
      <c r="S227" s="24">
        <f>VLOOKUP($R227,ラベル別係数!$A$1:$E$7,3,FALSE)</f>
        <v>7.5</v>
      </c>
      <c r="T227" s="24">
        <f>VLOOKUP($R227,ラベル別係数!$A$1:$E$7,4,FALSE)</f>
        <v>1</v>
      </c>
      <c r="U227" s="24">
        <f>VLOOKUP($R227,ラベル別係数!$A$1:$E$7,5,FALSE)</f>
        <v>0.8</v>
      </c>
      <c r="V227" s="27">
        <v>1</v>
      </c>
      <c r="W227" s="28">
        <f>VLOOKUP(V227,ターン数別攻撃係数!$A$1:$B$1000,2,FALSE)</f>
        <v>0.55000000000000004</v>
      </c>
      <c r="X227" s="10">
        <v>20</v>
      </c>
      <c r="Y227" s="26">
        <f>VLOOKUP($X227,サイズ別係数!$B:$E,2,FALSE)</f>
        <v>1.1000000000000001</v>
      </c>
      <c r="Z227" s="26">
        <f>VLOOKUP($X227,サイズ別係数!$B:$E,3,FALSE)</f>
        <v>1.2</v>
      </c>
      <c r="AA227" s="26">
        <f>VLOOKUP($X227,サイズ別係数!$B:$E,4,FALSE)</f>
        <v>1.2</v>
      </c>
      <c r="AB227" s="5">
        <v>0</v>
      </c>
      <c r="AC227" s="34" t="str">
        <f ca="1">VLOOKUP($AB227,OFFSET([3]enemy_skill_sets!$B$2,0,0,COUNTA([3]enemy_skill_sets!$A:$A),MATCH(AC$1,[3]enemy_skill_sets!$1:$1,0)-MATCH($AB$1,[3]enemy_skill_sets!$1:$1,0)+1),MATCH(AC$1,[3]enemy_skill_sets!$1:$1,0)-MATCH($AB$1,[3]enemy_skill_sets!$1:$1,0)+1,FALSE)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7" s="27">
        <v>1</v>
      </c>
      <c r="AE227" s="37">
        <v>1</v>
      </c>
      <c r="AF227" s="37">
        <v>0</v>
      </c>
      <c r="AG227" s="28">
        <f ca="1">ROUND(VLOOKUP(1,enemy_base_stats!$A:$F,2,FALSE) * Y227* J227*O227*E227*S227*AD227*[2]ステータス!$B$2,0)</f>
        <v>3960</v>
      </c>
      <c r="AH227" s="28">
        <f ca="1">ROUND(VLOOKUP(1,enemy_base_stats!$A:$F,3,FALSE) * Z227*K227*P227*F227*T227*AE227 * W227*[2]ステータス!$C$2,0)</f>
        <v>137</v>
      </c>
      <c r="AI227" s="28">
        <f ca="1">ROUND(VLOOKUP(1,enemy_base_stats!$A:$F,4,FALSE) * AA227*L227*Q227*G227*U227*AF227*[2]ステータス!$D$2,0)</f>
        <v>0</v>
      </c>
      <c r="AJ227" s="28">
        <f ca="1">ROUND(VLOOKUP(100,enemy_base_stats!$A:$F,2,FALSE) * Y227* J227*O227*E227*S227*AD227*[2]ステータス!$B$2,0)</f>
        <v>160776</v>
      </c>
      <c r="AK227" s="28">
        <f ca="1">ROUND(VLOOKUP(100,enemy_base_stats!$A:$F,3,FALSE)* Z227* K227*P227*F227*T227*AE227 * W227*[2]ステータス!$C$2,0)</f>
        <v>5562</v>
      </c>
      <c r="AL227" s="28">
        <f ca="1">ROUND(VLOOKUP(100,enemy_base_stats!$A:$F,4,FALSE)* AA227* L227*Q227*G227*U227*AF227*[2]ステータス!$D$2,0)</f>
        <v>0</v>
      </c>
      <c r="AM227" s="24">
        <f ca="1">VLOOKUP(M227,[2]character_tribe_i18n!$A:$I,9,FALSE)</f>
        <v>680</v>
      </c>
      <c r="AN227" s="36">
        <v>0</v>
      </c>
      <c r="AO227" s="53">
        <v>0</v>
      </c>
      <c r="AP227" s="58" t="s">
        <v>72</v>
      </c>
      <c r="AQ227" s="71">
        <f t="shared" ca="1" si="6"/>
        <v>226</v>
      </c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</row>
    <row r="228" spans="1:60" s="3" customFormat="1" ht="21" customHeight="1" x14ac:dyDescent="0.15">
      <c r="A228" s="7">
        <f t="shared" ca="1" si="7"/>
        <v>227</v>
      </c>
      <c r="B228" s="6" t="str">
        <f ca="1">VLOOKUP(A228,[2]characters!$A:$C,3,FALSE)</f>
        <v>滅弾 アレス</v>
      </c>
      <c r="C228" s="9">
        <f ca="1">VLOOKUP(A228,[2]characters!$A:$I,9,FALSE)</f>
        <v>4</v>
      </c>
      <c r="D228" s="9" t="str">
        <f ca="1">VLOOKUP(A228,[2]characters!$A:$H,8,FALSE)</f>
        <v>red</v>
      </c>
      <c r="E228" s="24">
        <f ca="1">VLOOKUP(D228,[2]属性!$A:$E,2,FALSE)</f>
        <v>1</v>
      </c>
      <c r="F228" s="24">
        <f ca="1">VLOOKUP(D228,[2]属性!$A:$E,3,FALSE)</f>
        <v>1.02</v>
      </c>
      <c r="G228" s="24">
        <f ca="1">VLOOKUP(D228,[2]属性!$A:$F,4,FALSE)</f>
        <v>1</v>
      </c>
      <c r="H228" s="9" t="str">
        <f ca="1">VLOOKUP(A228,[2]characters!$A:$K,11,FALSE)</f>
        <v>attack</v>
      </c>
      <c r="I228" s="14" t="str">
        <f ca="1">VLOOKUP(H228,[2]character_type_i18n!$A:$F,3,FALSE)</f>
        <v>攻撃タイプ</v>
      </c>
      <c r="J228" s="36">
        <f ca="1">VLOOKUP(H228,[2]character_type_i18n!$A:$F,4,FALSE)</f>
        <v>1</v>
      </c>
      <c r="K228" s="36">
        <f ca="1">VLOOKUP(H228,[2]character_type_i18n!$A:$F,5,FALSE)</f>
        <v>1.33</v>
      </c>
      <c r="L228" s="36">
        <f ca="1">VLOOKUP(H228,[2]character_type_i18n!$A:$F,6,FALSE)</f>
        <v>1</v>
      </c>
      <c r="M228" s="9" t="str">
        <f ca="1">VLOOKUP(A228,[2]characters!$A:$M,13,FALSE)</f>
        <v>god</v>
      </c>
      <c r="N228" s="14" t="str">
        <f ca="1">VLOOKUP(M228,[2]character_tribe_i18n!$A:$F,3,FALSE)</f>
        <v>ゴッド</v>
      </c>
      <c r="O228" s="24">
        <f ca="1">VLOOKUP(M228,[2]character_tribe_i18n!$A:$F,4,FALSE)</f>
        <v>0.96</v>
      </c>
      <c r="P228" s="24">
        <f ca="1">VLOOKUP(M228,[2]character_tribe_i18n!$A:$F,5,FALSE)</f>
        <v>1.02</v>
      </c>
      <c r="Q228" s="24">
        <f ca="1">VLOOKUP(M228,[2]character_tribe_i18n!$A:$F,6,FALSE)</f>
        <v>1</v>
      </c>
      <c r="R228" s="25" t="s">
        <v>4</v>
      </c>
      <c r="S228" s="24">
        <f>VLOOKUP($R228,ラベル別係数!$A$1:$E$7,3,FALSE)</f>
        <v>5</v>
      </c>
      <c r="T228" s="24">
        <f>VLOOKUP($R228,ラベル別係数!$A$1:$E$7,4,FALSE)</f>
        <v>1.3</v>
      </c>
      <c r="U228" s="24">
        <f>VLOOKUP($R228,ラベル別係数!$A$1:$E$7,5,FALSE)</f>
        <v>0.8</v>
      </c>
      <c r="V228" s="27">
        <v>1</v>
      </c>
      <c r="W228" s="28">
        <f>VLOOKUP(V228,ターン数別攻撃係数!$A$1:$B$1000,2,FALSE)</f>
        <v>0.55000000000000004</v>
      </c>
      <c r="X228" s="10">
        <v>30</v>
      </c>
      <c r="Y228" s="26">
        <f>VLOOKUP($X228,サイズ別係数!$B:$E,2,FALSE)</f>
        <v>1.3</v>
      </c>
      <c r="Z228" s="26">
        <f>VLOOKUP($X228,サイズ別係数!$B:$E,3,FALSE)</f>
        <v>1.3</v>
      </c>
      <c r="AA228" s="26">
        <f>VLOOKUP($X228,サイズ別係数!$B:$E,4,FALSE)</f>
        <v>1.1000000000000001</v>
      </c>
      <c r="AB228" s="5">
        <v>0</v>
      </c>
      <c r="AC228" s="34" t="str">
        <f ca="1">VLOOKUP($AB228,OFFSET([3]enemy_skill_sets!$B$2,0,0,COUNTA([3]enemy_skill_sets!$A:$A),MATCH(AC$1,[3]enemy_skill_sets!$1:$1,0)-MATCH($AB$1,[3]enemy_skill_sets!$1:$1,0)+1),MATCH(AC$1,[3]enemy_skill_sets!$1:$1,0)-MATCH($AB$1,[3]enemy_skill_sets!$1:$1,0)+1,FALSE)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8" s="27">
        <v>1</v>
      </c>
      <c r="AE228" s="37">
        <v>1</v>
      </c>
      <c r="AF228" s="37">
        <v>0</v>
      </c>
      <c r="AG228" s="28">
        <f ca="1">ROUND(VLOOKUP(1,enemy_base_stats!$A:$F,2,FALSE) * Y228* J228*O228*E228*S228*AD228*[2]ステータス!$B$2,0)</f>
        <v>3120</v>
      </c>
      <c r="AH228" s="28">
        <f ca="1">ROUND(VLOOKUP(1,enemy_base_stats!$A:$F,3,FALSE) * Z228*K228*P228*F228*T228*AE228 * W228*[2]ステータス!$C$2,0)</f>
        <v>193</v>
      </c>
      <c r="AI228" s="28">
        <f ca="1">ROUND(VLOOKUP(1,enemy_base_stats!$A:$F,4,FALSE) * AA228*L228*Q228*G228*U228*AF228*[2]ステータス!$D$2,0)</f>
        <v>0</v>
      </c>
      <c r="AJ228" s="28">
        <f ca="1">ROUND(VLOOKUP(100,enemy_base_stats!$A:$F,2,FALSE) * Y228* J228*O228*E228*S228*AD228*[2]ステータス!$B$2,0)</f>
        <v>126672</v>
      </c>
      <c r="AK228" s="28">
        <f ca="1">ROUND(VLOOKUP(100,enemy_base_stats!$A:$F,3,FALSE)* Z228* K228*P228*F228*T228*AE228 * W228*[2]ステータス!$C$2,0)</f>
        <v>7833</v>
      </c>
      <c r="AL228" s="28">
        <f ca="1">ROUND(VLOOKUP(100,enemy_base_stats!$A:$F,4,FALSE)* AA228* L228*Q228*G228*U228*AF228*[2]ステータス!$D$2,0)</f>
        <v>0</v>
      </c>
      <c r="AM228" s="24">
        <f ca="1">VLOOKUP(M228,[2]character_tribe_i18n!$A:$I,9,FALSE)</f>
        <v>680</v>
      </c>
      <c r="AN228" s="36">
        <v>0</v>
      </c>
      <c r="AO228" s="53">
        <v>0</v>
      </c>
      <c r="AP228" s="58" t="s">
        <v>72</v>
      </c>
      <c r="AQ228" s="71">
        <f t="shared" ca="1" si="6"/>
        <v>227</v>
      </c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</row>
    <row r="229" spans="1:60" s="3" customFormat="1" ht="21" customHeight="1" x14ac:dyDescent="0.15">
      <c r="A229" s="7">
        <f t="shared" ca="1" si="7"/>
        <v>228</v>
      </c>
      <c r="B229" s="6" t="str">
        <f ca="1">VLOOKUP(A229,[2]characters!$A:$C,3,FALSE)</f>
        <v>殲滅の掃射砲 アレス</v>
      </c>
      <c r="C229" s="9">
        <f ca="1">VLOOKUP(A229,[2]characters!$A:$I,9,FALSE)</f>
        <v>5</v>
      </c>
      <c r="D229" s="9" t="str">
        <f ca="1">VLOOKUP(A229,[2]characters!$A:$H,8,FALSE)</f>
        <v>red</v>
      </c>
      <c r="E229" s="24">
        <f ca="1">VLOOKUP(D229,[2]属性!$A:$E,2,FALSE)</f>
        <v>1</v>
      </c>
      <c r="F229" s="24">
        <f ca="1">VLOOKUP(D229,[2]属性!$A:$E,3,FALSE)</f>
        <v>1.02</v>
      </c>
      <c r="G229" s="24">
        <f ca="1">VLOOKUP(D229,[2]属性!$A:$F,4,FALSE)</f>
        <v>1</v>
      </c>
      <c r="H229" s="9" t="str">
        <f ca="1">VLOOKUP(A229,[2]characters!$A:$K,11,FALSE)</f>
        <v>attack</v>
      </c>
      <c r="I229" s="14" t="str">
        <f ca="1">VLOOKUP(H229,[2]character_type_i18n!$A:$F,3,FALSE)</f>
        <v>攻撃タイプ</v>
      </c>
      <c r="J229" s="36">
        <f ca="1">VLOOKUP(H229,[2]character_type_i18n!$A:$F,4,FALSE)</f>
        <v>1</v>
      </c>
      <c r="K229" s="36">
        <f ca="1">VLOOKUP(H229,[2]character_type_i18n!$A:$F,5,FALSE)</f>
        <v>1.33</v>
      </c>
      <c r="L229" s="36">
        <f ca="1">VLOOKUP(H229,[2]character_type_i18n!$A:$F,6,FALSE)</f>
        <v>1</v>
      </c>
      <c r="M229" s="9" t="str">
        <f ca="1">VLOOKUP(A229,[2]characters!$A:$M,13,FALSE)</f>
        <v>god</v>
      </c>
      <c r="N229" s="14" t="str">
        <f ca="1">VLOOKUP(M229,[2]character_tribe_i18n!$A:$F,3,FALSE)</f>
        <v>ゴッド</v>
      </c>
      <c r="O229" s="24">
        <f ca="1">VLOOKUP(M229,[2]character_tribe_i18n!$A:$F,4,FALSE)</f>
        <v>0.96</v>
      </c>
      <c r="P229" s="24">
        <f ca="1">VLOOKUP(M229,[2]character_tribe_i18n!$A:$F,5,FALSE)</f>
        <v>1.02</v>
      </c>
      <c r="Q229" s="24">
        <f ca="1">VLOOKUP(M229,[2]character_tribe_i18n!$A:$F,6,FALSE)</f>
        <v>1</v>
      </c>
      <c r="R229" s="25" t="s">
        <v>4</v>
      </c>
      <c r="S229" s="24">
        <f>VLOOKUP($R229,ラベル別係数!$A$1:$E$7,3,FALSE)</f>
        <v>5</v>
      </c>
      <c r="T229" s="24">
        <f>VLOOKUP($R229,ラベル別係数!$A$1:$E$7,4,FALSE)</f>
        <v>1.3</v>
      </c>
      <c r="U229" s="24">
        <f>VLOOKUP($R229,ラベル別係数!$A$1:$E$7,5,FALSE)</f>
        <v>0.8</v>
      </c>
      <c r="V229" s="27">
        <v>1</v>
      </c>
      <c r="W229" s="28">
        <f>VLOOKUP(V229,ターン数別攻撃係数!$A$1:$B$1000,2,FALSE)</f>
        <v>0.55000000000000004</v>
      </c>
      <c r="X229" s="10">
        <v>60</v>
      </c>
      <c r="Y229" s="26">
        <f>VLOOKUP($X229,サイズ別係数!$B:$E,2,FALSE)</f>
        <v>1.7</v>
      </c>
      <c r="Z229" s="26">
        <f>VLOOKUP($X229,サイズ別係数!$B:$E,3,FALSE)</f>
        <v>1.4</v>
      </c>
      <c r="AA229" s="26">
        <f>VLOOKUP($X229,サイズ別係数!$B:$E,4,FALSE)</f>
        <v>1</v>
      </c>
      <c r="AB229" s="5">
        <v>0</v>
      </c>
      <c r="AC229" s="34" t="str">
        <f ca="1">VLOOKUP($AB229,OFFSET([3]enemy_skill_sets!$B$2,0,0,COUNTA([3]enemy_skill_sets!$A:$A),MATCH(AC$1,[3]enemy_skill_sets!$1:$1,0)-MATCH($AB$1,[3]enemy_skill_sets!$1:$1,0)+1),MATCH(AC$1,[3]enemy_skill_sets!$1:$1,0)-MATCH($AB$1,[3]enemy_skill_sets!$1:$1,0)+1,FALSE)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29" s="27">
        <v>1</v>
      </c>
      <c r="AE229" s="37">
        <v>1</v>
      </c>
      <c r="AF229" s="37">
        <v>0</v>
      </c>
      <c r="AG229" s="28">
        <f ca="1">ROUND(VLOOKUP(1,enemy_base_stats!$A:$F,2,FALSE) * Y229* J229*O229*E229*S229*AD229*[2]ステータス!$B$2,0)</f>
        <v>4080</v>
      </c>
      <c r="AH229" s="28">
        <f ca="1">ROUND(VLOOKUP(1,enemy_base_stats!$A:$F,3,FALSE) * Z229*K229*P229*F229*T229*AE229 * W229*[2]ステータス!$C$2,0)</f>
        <v>208</v>
      </c>
      <c r="AI229" s="28">
        <f ca="1">ROUND(VLOOKUP(1,enemy_base_stats!$A:$F,4,FALSE) * AA229*L229*Q229*G229*U229*AF229*[2]ステータス!$D$2,0)</f>
        <v>0</v>
      </c>
      <c r="AJ229" s="28">
        <f ca="1">ROUND(VLOOKUP(100,enemy_base_stats!$A:$F,2,FALSE) * Y229* J229*O229*E229*S229*AD229*[2]ステータス!$B$2,0)</f>
        <v>165648</v>
      </c>
      <c r="AK229" s="28">
        <f ca="1">ROUND(VLOOKUP(100,enemy_base_stats!$A:$F,3,FALSE)* Z229* K229*P229*F229*T229*AE229 * W229*[2]ステータス!$C$2,0)</f>
        <v>8435</v>
      </c>
      <c r="AL229" s="28">
        <f ca="1">ROUND(VLOOKUP(100,enemy_base_stats!$A:$F,4,FALSE)* AA229* L229*Q229*G229*U229*AF229*[2]ステータス!$D$2,0)</f>
        <v>0</v>
      </c>
      <c r="AM229" s="24">
        <f ca="1">VLOOKUP(M229,[2]character_tribe_i18n!$A:$I,9,FALSE)</f>
        <v>680</v>
      </c>
      <c r="AN229" s="36">
        <v>0</v>
      </c>
      <c r="AO229" s="53">
        <v>0</v>
      </c>
      <c r="AP229" s="58" t="s">
        <v>72</v>
      </c>
      <c r="AQ229" s="71">
        <f t="shared" ca="1" si="6"/>
        <v>228</v>
      </c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8"/>
      <c r="BC229" s="18"/>
      <c r="BD229" s="18"/>
      <c r="BE229" s="18"/>
      <c r="BF229" s="18"/>
      <c r="BG229" s="18"/>
      <c r="BH229" s="18"/>
    </row>
    <row r="230" spans="1:60" s="3" customFormat="1" ht="21" customHeight="1" x14ac:dyDescent="0.15">
      <c r="A230" s="7">
        <f t="shared" ca="1" si="7"/>
        <v>229</v>
      </c>
      <c r="B230" s="6" t="str">
        <f ca="1">VLOOKUP(A230,[2]characters!$A:$C,3,FALSE)</f>
        <v>ヨルムンガンド</v>
      </c>
      <c r="C230" s="9">
        <f ca="1">VLOOKUP(A230,[2]characters!$A:$I,9,FALSE)</f>
        <v>3</v>
      </c>
      <c r="D230" s="9" t="str">
        <f ca="1">VLOOKUP(A230,[2]characters!$A:$H,8,FALSE)</f>
        <v>green</v>
      </c>
      <c r="E230" s="24">
        <f ca="1">VLOOKUP(D230,[2]属性!$A:$E,2,FALSE)</f>
        <v>1.02</v>
      </c>
      <c r="F230" s="24">
        <f ca="1">VLOOKUP(D230,[2]属性!$A:$E,3,FALSE)</f>
        <v>0.98</v>
      </c>
      <c r="G230" s="24">
        <f ca="1">VLOOKUP(D230,[2]属性!$A:$F,4,FALSE)</f>
        <v>1</v>
      </c>
      <c r="H230" s="9" t="str">
        <f ca="1">VLOOKUP(A230,[2]characters!$A:$K,11,FALSE)</f>
        <v>technical</v>
      </c>
      <c r="I230" s="14" t="str">
        <f ca="1">VLOOKUP(H230,[2]character_type_i18n!$A:$F,3,FALSE)</f>
        <v>テクニカルタイプ</v>
      </c>
      <c r="J230" s="36">
        <f ca="1">VLOOKUP(H230,[2]character_type_i18n!$A:$F,4,FALSE)</f>
        <v>0.9</v>
      </c>
      <c r="K230" s="36">
        <f ca="1">VLOOKUP(H230,[2]character_type_i18n!$A:$F,5,FALSE)</f>
        <v>0.9</v>
      </c>
      <c r="L230" s="36">
        <f ca="1">VLOOKUP(H230,[2]character_type_i18n!$A:$F,6,FALSE)</f>
        <v>1</v>
      </c>
      <c r="M230" s="9" t="str">
        <f ca="1">VLOOKUP(A230,[2]characters!$A:$M,13,FALSE)</f>
        <v>dragon</v>
      </c>
      <c r="N230" s="14" t="str">
        <f ca="1">VLOOKUP(M230,[2]character_tribe_i18n!$A:$F,3,FALSE)</f>
        <v>ドラゴン</v>
      </c>
      <c r="O230" s="24">
        <f ca="1">VLOOKUP(M230,[2]character_tribe_i18n!$A:$F,4,FALSE)</f>
        <v>1.1499999999999999</v>
      </c>
      <c r="P230" s="24">
        <f ca="1">VLOOKUP(M230,[2]character_tribe_i18n!$A:$F,5,FALSE)</f>
        <v>1.1000000000000001</v>
      </c>
      <c r="Q230" s="24">
        <f ca="1">VLOOKUP(M230,[2]character_tribe_i18n!$A:$F,6,FALSE)</f>
        <v>1</v>
      </c>
      <c r="R230" s="25" t="s">
        <v>4</v>
      </c>
      <c r="S230" s="24">
        <f>VLOOKUP($R230,ラベル別係数!$A$1:$E$7,3,FALSE)</f>
        <v>5</v>
      </c>
      <c r="T230" s="24">
        <f>VLOOKUP($R230,ラベル別係数!$A$1:$E$7,4,FALSE)</f>
        <v>1.3</v>
      </c>
      <c r="U230" s="24">
        <f>VLOOKUP($R230,ラベル別係数!$A$1:$E$7,5,FALSE)</f>
        <v>0.8</v>
      </c>
      <c r="V230" s="27">
        <v>2</v>
      </c>
      <c r="W230" s="28">
        <f>VLOOKUP(V230,ターン数別攻撃係数!$A$1:$B$1000,2,FALSE)</f>
        <v>0.75</v>
      </c>
      <c r="X230" s="10">
        <v>20</v>
      </c>
      <c r="Y230" s="26">
        <f>VLOOKUP($X230,サイズ別係数!$B:$E,2,FALSE)</f>
        <v>1.1000000000000001</v>
      </c>
      <c r="Z230" s="26">
        <f>VLOOKUP($X230,サイズ別係数!$B:$E,3,FALSE)</f>
        <v>1.2</v>
      </c>
      <c r="AA230" s="26">
        <f>VLOOKUP($X230,サイズ別係数!$B:$E,4,FALSE)</f>
        <v>1.2</v>
      </c>
      <c r="AB230" s="5">
        <v>229</v>
      </c>
      <c r="AC230" s="34" t="str">
        <f ca="1">VLOOKUP($AB230,OFFSET([3]enemy_skill_sets!$B$2,0,0,COUNTA([3]enemy_skill_sets!$A:$A),MATCH(AC$1,[3]enemy_skill_sets!$1:$1,0)-MATCH($AB$1,[3]enemy_skill_sets!$1:$1,0)+1),MATCH(AC$1,[3]enemy_skill_sets!$1:$1,0)-MATCH($AB$1,[3]enemy_skill_sets!$1:$1,0)+1,FALSE)</f>
        <v>攻撃力×1.8倍の攻撃</v>
      </c>
      <c r="AD230" s="27">
        <v>1</v>
      </c>
      <c r="AE230" s="37">
        <v>1</v>
      </c>
      <c r="AF230" s="37">
        <v>0</v>
      </c>
      <c r="AG230" s="28">
        <f ca="1">ROUND(VLOOKUP(1,enemy_base_stats!$A:$F,2,FALSE) * Y230* J230*O230*E230*S230*AD230*[2]ステータス!$B$2,0)</f>
        <v>2903</v>
      </c>
      <c r="AH230" s="28">
        <f ca="1">ROUND(VLOOKUP(1,enemy_base_stats!$A:$F,3,FALSE) * Z230*K230*P230*F230*T230*AE230 * W230*[2]ステータス!$C$2,0)</f>
        <v>170</v>
      </c>
      <c r="AI230" s="28">
        <f ca="1">ROUND(VLOOKUP(1,enemy_base_stats!$A:$F,4,FALSE) * AA230*L230*Q230*G230*U230*AF230*[2]ステータス!$D$2,0)</f>
        <v>0</v>
      </c>
      <c r="AJ230" s="28">
        <f ca="1">ROUND(VLOOKUP(100,enemy_base_stats!$A:$F,2,FALSE) * Y230* J230*O230*E230*S230*AD230*[2]ステータス!$B$2,0)</f>
        <v>117869</v>
      </c>
      <c r="AK230" s="28">
        <f ca="1">ROUND(VLOOKUP(100,enemy_base_stats!$A:$F,3,FALSE)* Z230* K230*P230*F230*T230*AE230 * W230*[2]ステータス!$C$2,0)</f>
        <v>6913</v>
      </c>
      <c r="AL230" s="28">
        <f ca="1">ROUND(VLOOKUP(100,enemy_base_stats!$A:$F,4,FALSE)* AA230* L230*Q230*G230*U230*AF230*[2]ステータス!$D$2,0)</f>
        <v>0</v>
      </c>
      <c r="AM230" s="24">
        <f ca="1">VLOOKUP(M230,[2]character_tribe_i18n!$A:$I,9,FALSE)</f>
        <v>540</v>
      </c>
      <c r="AN230" s="36">
        <v>0</v>
      </c>
      <c r="AO230" s="53">
        <v>0</v>
      </c>
      <c r="AP230" s="58" t="s">
        <v>72</v>
      </c>
      <c r="AQ230" s="71">
        <f t="shared" ca="1" si="6"/>
        <v>229</v>
      </c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</row>
    <row r="231" spans="1:60" s="3" customFormat="1" ht="21" customHeight="1" x14ac:dyDescent="0.15">
      <c r="A231" s="7">
        <f t="shared" ca="1" si="7"/>
        <v>230</v>
      </c>
      <c r="B231" s="6" t="str">
        <f ca="1">VLOOKUP(A231,[2]characters!$A:$C,3,FALSE)</f>
        <v>毒銃 ヨルムンガンド</v>
      </c>
      <c r="C231" s="9">
        <f ca="1">VLOOKUP(A231,[2]characters!$A:$I,9,FALSE)</f>
        <v>4</v>
      </c>
      <c r="D231" s="9" t="str">
        <f ca="1">VLOOKUP(A231,[2]characters!$A:$H,8,FALSE)</f>
        <v>green</v>
      </c>
      <c r="E231" s="24">
        <f ca="1">VLOOKUP(D231,[2]属性!$A:$E,2,FALSE)</f>
        <v>1.02</v>
      </c>
      <c r="F231" s="24">
        <f ca="1">VLOOKUP(D231,[2]属性!$A:$E,3,FALSE)</f>
        <v>0.98</v>
      </c>
      <c r="G231" s="24">
        <f ca="1">VLOOKUP(D231,[2]属性!$A:$F,4,FALSE)</f>
        <v>1</v>
      </c>
      <c r="H231" s="9" t="str">
        <f ca="1">VLOOKUP(A231,[2]characters!$A:$K,11,FALSE)</f>
        <v>technical</v>
      </c>
      <c r="I231" s="14" t="str">
        <f ca="1">VLOOKUP(H231,[2]character_type_i18n!$A:$F,3,FALSE)</f>
        <v>テクニカルタイプ</v>
      </c>
      <c r="J231" s="36">
        <f ca="1">VLOOKUP(H231,[2]character_type_i18n!$A:$F,4,FALSE)</f>
        <v>0.9</v>
      </c>
      <c r="K231" s="36">
        <f ca="1">VLOOKUP(H231,[2]character_type_i18n!$A:$F,5,FALSE)</f>
        <v>0.9</v>
      </c>
      <c r="L231" s="36">
        <f ca="1">VLOOKUP(H231,[2]character_type_i18n!$A:$F,6,FALSE)</f>
        <v>1</v>
      </c>
      <c r="M231" s="9" t="str">
        <f ca="1">VLOOKUP(A231,[2]characters!$A:$M,13,FALSE)</f>
        <v>dragon</v>
      </c>
      <c r="N231" s="14" t="str">
        <f ca="1">VLOOKUP(M231,[2]character_tribe_i18n!$A:$F,3,FALSE)</f>
        <v>ドラゴン</v>
      </c>
      <c r="O231" s="24">
        <f ca="1">VLOOKUP(M231,[2]character_tribe_i18n!$A:$F,4,FALSE)</f>
        <v>1.1499999999999999</v>
      </c>
      <c r="P231" s="24">
        <f ca="1">VLOOKUP(M231,[2]character_tribe_i18n!$A:$F,5,FALSE)</f>
        <v>1.1000000000000001</v>
      </c>
      <c r="Q231" s="24">
        <f ca="1">VLOOKUP(M231,[2]character_tribe_i18n!$A:$F,6,FALSE)</f>
        <v>1</v>
      </c>
      <c r="R231" s="25" t="s">
        <v>87</v>
      </c>
      <c r="S231" s="24">
        <f>VLOOKUP($R231,ラベル別係数!$A$1:$E$7,3,FALSE)</f>
        <v>7.5</v>
      </c>
      <c r="T231" s="24">
        <f>VLOOKUP($R231,ラベル別係数!$A$1:$E$7,4,FALSE)</f>
        <v>1</v>
      </c>
      <c r="U231" s="24">
        <f>VLOOKUP($R231,ラベル別係数!$A$1:$E$7,5,FALSE)</f>
        <v>0.8</v>
      </c>
      <c r="V231" s="27">
        <v>5</v>
      </c>
      <c r="W231" s="28">
        <f>VLOOKUP(V231,ターン数別攻撃係数!$A$1:$B$1000,2,FALSE)</f>
        <v>1.5</v>
      </c>
      <c r="X231" s="10">
        <v>30</v>
      </c>
      <c r="Y231" s="26">
        <f>VLOOKUP($X231,サイズ別係数!$B:$E,2,FALSE)</f>
        <v>1.3</v>
      </c>
      <c r="Z231" s="26">
        <f>VLOOKUP($X231,サイズ別係数!$B:$E,3,FALSE)</f>
        <v>1.3</v>
      </c>
      <c r="AA231" s="26">
        <f>VLOOKUP($X231,サイズ別係数!$B:$E,4,FALSE)</f>
        <v>1.1000000000000001</v>
      </c>
      <c r="AB231" s="5">
        <v>230</v>
      </c>
      <c r="AC231" s="34" t="str">
        <f ca="1">VLOOKUP($AB231,OFFSET([3]enemy_skill_sets!$B$2,0,0,COUNTA([3]enemy_skill_sets!$A:$A),MATCH(AC$1,[3]enemy_skill_sets!$1:$1,0)-MATCH($AB$1,[3]enemy_skill_sets!$1:$1,0)+1),MATCH(AC$1,[3]enemy_skill_sets!$1:$1,0)-MATCH($AB$1,[3]enemy_skill_sets!$1:$1,0)+1,FALSE)</f>
        <v>5回連続攻撃</v>
      </c>
      <c r="AD231" s="27">
        <v>1</v>
      </c>
      <c r="AE231" s="37">
        <v>1</v>
      </c>
      <c r="AF231" s="37">
        <v>0</v>
      </c>
      <c r="AG231" s="28">
        <f ca="1">ROUND(VLOOKUP(1,enemy_base_stats!$A:$F,2,FALSE) * Y231* J231*O231*E231*S231*AD231*[2]ステータス!$B$2,0)</f>
        <v>5147</v>
      </c>
      <c r="AH231" s="28">
        <f ca="1">ROUND(VLOOKUP(1,enemy_base_stats!$A:$F,3,FALSE) * Z231*K231*P231*F231*T231*AE231 * W231*[2]ステータス!$C$2,0)</f>
        <v>284</v>
      </c>
      <c r="AI231" s="28">
        <f ca="1">ROUND(VLOOKUP(1,enemy_base_stats!$A:$F,4,FALSE) * AA231*L231*Q231*G231*U231*AF231*[2]ステータス!$D$2,0)</f>
        <v>0</v>
      </c>
      <c r="AJ231" s="28">
        <f ca="1">ROUND(VLOOKUP(100,enemy_base_stats!$A:$F,2,FALSE) * Y231* J231*O231*E231*S231*AD231*[2]ステータス!$B$2,0)</f>
        <v>208949</v>
      </c>
      <c r="AK231" s="28">
        <f ca="1">ROUND(VLOOKUP(100,enemy_base_stats!$A:$F,3,FALSE)* Z231* K231*P231*F231*T231*AE231 * W231*[2]ステータス!$C$2,0)</f>
        <v>11522</v>
      </c>
      <c r="AL231" s="28">
        <f ca="1">ROUND(VLOOKUP(100,enemy_base_stats!$A:$F,4,FALSE)* AA231* L231*Q231*G231*U231*AF231*[2]ステータス!$D$2,0)</f>
        <v>0</v>
      </c>
      <c r="AM231" s="24">
        <f ca="1">VLOOKUP(M231,[2]character_tribe_i18n!$A:$I,9,FALSE)</f>
        <v>540</v>
      </c>
      <c r="AN231" s="36">
        <v>0</v>
      </c>
      <c r="AO231" s="53">
        <v>0</v>
      </c>
      <c r="AP231" s="58" t="s">
        <v>72</v>
      </c>
      <c r="AQ231" s="71">
        <f t="shared" ca="1" si="6"/>
        <v>230</v>
      </c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</row>
    <row r="232" spans="1:60" s="3" customFormat="1" ht="21" customHeight="1" x14ac:dyDescent="0.15">
      <c r="A232" s="7">
        <f t="shared" ca="1" si="7"/>
        <v>231</v>
      </c>
      <c r="B232" s="6" t="str">
        <f ca="1">VLOOKUP(A232,[2]characters!$A:$C,3,FALSE)</f>
        <v>必中の咬銃 ヨルムンガンド</v>
      </c>
      <c r="C232" s="9">
        <f ca="1">VLOOKUP(A232,[2]characters!$A:$I,9,FALSE)</f>
        <v>5</v>
      </c>
      <c r="D232" s="9" t="str">
        <f ca="1">VLOOKUP(A232,[2]characters!$A:$H,8,FALSE)</f>
        <v>green</v>
      </c>
      <c r="E232" s="24">
        <f ca="1">VLOOKUP(D232,[2]属性!$A:$E,2,FALSE)</f>
        <v>1.02</v>
      </c>
      <c r="F232" s="24">
        <f ca="1">VLOOKUP(D232,[2]属性!$A:$E,3,FALSE)</f>
        <v>0.98</v>
      </c>
      <c r="G232" s="24">
        <f ca="1">VLOOKUP(D232,[2]属性!$A:$F,4,FALSE)</f>
        <v>1</v>
      </c>
      <c r="H232" s="9" t="str">
        <f ca="1">VLOOKUP(A232,[2]characters!$A:$K,11,FALSE)</f>
        <v>technical</v>
      </c>
      <c r="I232" s="14" t="str">
        <f ca="1">VLOOKUP(H232,[2]character_type_i18n!$A:$F,3,FALSE)</f>
        <v>テクニカルタイプ</v>
      </c>
      <c r="J232" s="36">
        <f ca="1">VLOOKUP(H232,[2]character_type_i18n!$A:$F,4,FALSE)</f>
        <v>0.9</v>
      </c>
      <c r="K232" s="36">
        <f ca="1">VLOOKUP(H232,[2]character_type_i18n!$A:$F,5,FALSE)</f>
        <v>0.9</v>
      </c>
      <c r="L232" s="36">
        <f ca="1">VLOOKUP(H232,[2]character_type_i18n!$A:$F,6,FALSE)</f>
        <v>1</v>
      </c>
      <c r="M232" s="9" t="str">
        <f ca="1">VLOOKUP(A232,[2]characters!$A:$M,13,FALSE)</f>
        <v>dragon</v>
      </c>
      <c r="N232" s="14" t="str">
        <f ca="1">VLOOKUP(M232,[2]character_tribe_i18n!$A:$F,3,FALSE)</f>
        <v>ドラゴン</v>
      </c>
      <c r="O232" s="24">
        <f ca="1">VLOOKUP(M232,[2]character_tribe_i18n!$A:$F,4,FALSE)</f>
        <v>1.1499999999999999</v>
      </c>
      <c r="P232" s="24">
        <f ca="1">VLOOKUP(M232,[2]character_tribe_i18n!$A:$F,5,FALSE)</f>
        <v>1.1000000000000001</v>
      </c>
      <c r="Q232" s="24">
        <f ca="1">VLOOKUP(M232,[2]character_tribe_i18n!$A:$F,6,FALSE)</f>
        <v>1</v>
      </c>
      <c r="R232" s="25" t="s">
        <v>4</v>
      </c>
      <c r="S232" s="24">
        <f>VLOOKUP($R232,ラベル別係数!$A$1:$E$7,3,FALSE)</f>
        <v>5</v>
      </c>
      <c r="T232" s="24">
        <f>VLOOKUP($R232,ラベル別係数!$A$1:$E$7,4,FALSE)</f>
        <v>1.3</v>
      </c>
      <c r="U232" s="24">
        <f>VLOOKUP($R232,ラベル別係数!$A$1:$E$7,5,FALSE)</f>
        <v>0.8</v>
      </c>
      <c r="V232" s="27">
        <v>2</v>
      </c>
      <c r="W232" s="28">
        <f>VLOOKUP(V232,ターン数別攻撃係数!$A$1:$B$1000,2,FALSE)</f>
        <v>0.75</v>
      </c>
      <c r="X232" s="10">
        <v>60</v>
      </c>
      <c r="Y232" s="26">
        <f>VLOOKUP($X232,サイズ別係数!$B:$E,2,FALSE)</f>
        <v>1.7</v>
      </c>
      <c r="Z232" s="26">
        <f>VLOOKUP($X232,サイズ別係数!$B:$E,3,FALSE)</f>
        <v>1.4</v>
      </c>
      <c r="AA232" s="26">
        <f>VLOOKUP($X232,サイズ別係数!$B:$E,4,FALSE)</f>
        <v>1</v>
      </c>
      <c r="AB232" s="5">
        <v>231</v>
      </c>
      <c r="AC232" s="34" t="str">
        <f ca="1">VLOOKUP($AB232,OFFSET([3]enemy_skill_sets!$B$2,0,0,COUNTA([3]enemy_skill_sets!$A:$A),MATCH(AC$1,[3]enemy_skill_sets!$1:$1,0)-MATCH($AB$1,[3]enemy_skill_sets!$1:$1,0)+1),MATCH(AC$1,[3]enemy_skill_sets!$1:$1,0)-MATCH($AB$1,[3]enemy_skill_sets!$1:$1,0)+1,FALSE)</f>
        <v>5回連続攻撃</v>
      </c>
      <c r="AD232" s="27">
        <v>1</v>
      </c>
      <c r="AE232" s="37">
        <v>1</v>
      </c>
      <c r="AF232" s="37">
        <v>0</v>
      </c>
      <c r="AG232" s="28">
        <f ca="1">ROUND(VLOOKUP(1,enemy_base_stats!$A:$F,2,FALSE) * Y232* J232*O232*E232*S232*AD232*[2]ステータス!$B$2,0)</f>
        <v>4487</v>
      </c>
      <c r="AH232" s="28">
        <f ca="1">ROUND(VLOOKUP(1,enemy_base_stats!$A:$F,3,FALSE) * Z232*K232*P232*F232*T232*AE232 * W232*[2]ステータス!$C$2,0)</f>
        <v>199</v>
      </c>
      <c r="AI232" s="28">
        <f ca="1">ROUND(VLOOKUP(1,enemy_base_stats!$A:$F,4,FALSE) * AA232*L232*Q232*G232*U232*AF232*[2]ステータス!$D$2,0)</f>
        <v>0</v>
      </c>
      <c r="AJ232" s="28">
        <f ca="1">ROUND(VLOOKUP(100,enemy_base_stats!$A:$F,2,FALSE) * Y232* J232*O232*E232*S232*AD232*[2]ステータス!$B$2,0)</f>
        <v>182161</v>
      </c>
      <c r="AK232" s="28">
        <f ca="1">ROUND(VLOOKUP(100,enemy_base_stats!$A:$F,3,FALSE)* Z232* K232*P232*F232*T232*AE232 * W232*[2]ステータス!$C$2,0)</f>
        <v>8065</v>
      </c>
      <c r="AL232" s="28">
        <f ca="1">ROUND(VLOOKUP(100,enemy_base_stats!$A:$F,4,FALSE)* AA232* L232*Q232*G232*U232*AF232*[2]ステータス!$D$2,0)</f>
        <v>0</v>
      </c>
      <c r="AM232" s="24">
        <f ca="1">VLOOKUP(M232,[2]character_tribe_i18n!$A:$I,9,FALSE)</f>
        <v>540</v>
      </c>
      <c r="AN232" s="36">
        <v>0</v>
      </c>
      <c r="AO232" s="53">
        <v>0</v>
      </c>
      <c r="AP232" s="58" t="s">
        <v>72</v>
      </c>
      <c r="AQ232" s="71">
        <f t="shared" ca="1" si="6"/>
        <v>231</v>
      </c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8"/>
      <c r="BC232" s="18"/>
      <c r="BD232" s="18"/>
      <c r="BE232" s="18"/>
      <c r="BF232" s="18"/>
      <c r="BG232" s="18"/>
      <c r="BH232" s="18"/>
    </row>
    <row r="233" spans="1:60" s="3" customFormat="1" ht="21" customHeight="1" x14ac:dyDescent="0.15">
      <c r="A233" s="7">
        <f t="shared" ca="1" si="7"/>
        <v>232</v>
      </c>
      <c r="B233" s="6" t="str">
        <f ca="1">VLOOKUP(A233,[2]characters!$A:$C,3,FALSE)</f>
        <v>パーシヴァル</v>
      </c>
      <c r="C233" s="9">
        <f ca="1">VLOOKUP(A233,[2]characters!$A:$I,9,FALSE)</f>
        <v>3</v>
      </c>
      <c r="D233" s="9" t="str">
        <f ca="1">VLOOKUP(A233,[2]characters!$A:$H,8,FALSE)</f>
        <v>blue</v>
      </c>
      <c r="E233" s="24">
        <f ca="1">VLOOKUP(D233,[2]属性!$A:$E,2,FALSE)</f>
        <v>1</v>
      </c>
      <c r="F233" s="24">
        <f ca="1">VLOOKUP(D233,[2]属性!$A:$E,3,FALSE)</f>
        <v>0.98</v>
      </c>
      <c r="G233" s="24">
        <f ca="1">VLOOKUP(D233,[2]属性!$A:$F,4,FALSE)</f>
        <v>1</v>
      </c>
      <c r="H233" s="9" t="str">
        <f ca="1">VLOOKUP(A233,[2]characters!$A:$K,11,FALSE)</f>
        <v>technical</v>
      </c>
      <c r="I233" s="14" t="str">
        <f ca="1">VLOOKUP(H233,[2]character_type_i18n!$A:$F,3,FALSE)</f>
        <v>テクニカルタイプ</v>
      </c>
      <c r="J233" s="36">
        <f ca="1">VLOOKUP(H233,[2]character_type_i18n!$A:$F,4,FALSE)</f>
        <v>0.9</v>
      </c>
      <c r="K233" s="36">
        <f ca="1">VLOOKUP(H233,[2]character_type_i18n!$A:$F,5,FALSE)</f>
        <v>0.9</v>
      </c>
      <c r="L233" s="36">
        <f ca="1">VLOOKUP(H233,[2]character_type_i18n!$A:$F,6,FALSE)</f>
        <v>1</v>
      </c>
      <c r="M233" s="9" t="str">
        <f ca="1">VLOOKUP(A233,[2]characters!$A:$M,13,FALSE)</f>
        <v>human</v>
      </c>
      <c r="N233" s="14" t="str">
        <f ca="1">VLOOKUP(M233,[2]character_tribe_i18n!$A:$F,3,FALSE)</f>
        <v>ヒューマン</v>
      </c>
      <c r="O233" s="24">
        <f ca="1">VLOOKUP(M233,[2]character_tribe_i18n!$A:$F,4,FALSE)</f>
        <v>0.94</v>
      </c>
      <c r="P233" s="24">
        <f ca="1">VLOOKUP(M233,[2]character_tribe_i18n!$A:$F,5,FALSE)</f>
        <v>0.99</v>
      </c>
      <c r="Q233" s="24">
        <f ca="1">VLOOKUP(M233,[2]character_tribe_i18n!$A:$F,6,FALSE)</f>
        <v>1</v>
      </c>
      <c r="R233" s="25" t="s">
        <v>4</v>
      </c>
      <c r="S233" s="24">
        <f>VLOOKUP($R233,ラベル別係数!$A$1:$E$7,3,FALSE)</f>
        <v>5</v>
      </c>
      <c r="T233" s="24">
        <f>VLOOKUP($R233,ラベル別係数!$A$1:$E$7,4,FALSE)</f>
        <v>1.3</v>
      </c>
      <c r="U233" s="24">
        <f>VLOOKUP($R233,ラベル別係数!$A$1:$E$7,5,FALSE)</f>
        <v>0.8</v>
      </c>
      <c r="V233" s="27">
        <v>2</v>
      </c>
      <c r="W233" s="28">
        <f>VLOOKUP(V233,ターン数別攻撃係数!$A$1:$B$1000,2,FALSE)</f>
        <v>0.75</v>
      </c>
      <c r="X233" s="10">
        <v>20</v>
      </c>
      <c r="Y233" s="26">
        <f>VLOOKUP($X233,サイズ別係数!$B:$E,2,FALSE)</f>
        <v>1.1000000000000001</v>
      </c>
      <c r="Z233" s="26">
        <f>VLOOKUP($X233,サイズ別係数!$B:$E,3,FALSE)</f>
        <v>1.2</v>
      </c>
      <c r="AA233" s="26">
        <f>VLOOKUP($X233,サイズ別係数!$B:$E,4,FALSE)</f>
        <v>1.2</v>
      </c>
      <c r="AB233" s="5">
        <v>232</v>
      </c>
      <c r="AC233" s="34" t="str">
        <f ca="1">VLOOKUP($AB233,OFFSET([3]enemy_skill_sets!$B$2,0,0,COUNTA([3]enemy_skill_sets!$A:$A),MATCH(AC$1,[3]enemy_skill_sets!$1:$1,0)-MATCH($AB$1,[3]enemy_skill_sets!$1:$1,0)+1),MATCH(AC$1,[3]enemy_skill_sets!$1:$1,0)-MATCH($AB$1,[3]enemy_skill_sets!$1:$1,0)+1,FALSE)</f>
        <v>攻撃力×2.5倍の攻撃</v>
      </c>
      <c r="AD233" s="27">
        <v>1</v>
      </c>
      <c r="AE233" s="37">
        <v>1</v>
      </c>
      <c r="AF233" s="37">
        <v>0</v>
      </c>
      <c r="AG233" s="28">
        <f ca="1">ROUND(VLOOKUP(1,enemy_base_stats!$A:$F,2,FALSE) * Y233* J233*O233*E233*S233*AD233*[2]ステータス!$B$2,0)</f>
        <v>2327</v>
      </c>
      <c r="AH233" s="28">
        <f ca="1">ROUND(VLOOKUP(1,enemy_base_stats!$A:$F,3,FALSE) * Z233*K233*P233*F233*T233*AE233 * W233*[2]ステータス!$C$2,0)</f>
        <v>153</v>
      </c>
      <c r="AI233" s="28">
        <f ca="1">ROUND(VLOOKUP(1,enemy_base_stats!$A:$F,4,FALSE) * AA233*L233*Q233*G233*U233*AF233*[2]ステータス!$D$2,0)</f>
        <v>0</v>
      </c>
      <c r="AJ233" s="28">
        <f ca="1">ROUND(VLOOKUP(100,enemy_base_stats!$A:$F,2,FALSE) * Y233* J233*O233*E233*S233*AD233*[2]ステータス!$B$2,0)</f>
        <v>94456</v>
      </c>
      <c r="AK233" s="28">
        <f ca="1">ROUND(VLOOKUP(100,enemy_base_stats!$A:$F,3,FALSE)* Z233* K233*P233*F233*T233*AE233 * W233*[2]ステータス!$C$2,0)</f>
        <v>6222</v>
      </c>
      <c r="AL233" s="28">
        <f ca="1">ROUND(VLOOKUP(100,enemy_base_stats!$A:$F,4,FALSE)* AA233* L233*Q233*G233*U233*AF233*[2]ステータス!$D$2,0)</f>
        <v>0</v>
      </c>
      <c r="AM233" s="24">
        <f ca="1">VLOOKUP(M233,[2]character_tribe_i18n!$A:$I,9,FALSE)</f>
        <v>400</v>
      </c>
      <c r="AN233" s="36">
        <v>0</v>
      </c>
      <c r="AO233" s="53">
        <v>0</v>
      </c>
      <c r="AP233" s="58" t="s">
        <v>72</v>
      </c>
      <c r="AQ233" s="71">
        <f t="shared" ca="1" si="6"/>
        <v>232</v>
      </c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</row>
    <row r="234" spans="1:60" s="3" customFormat="1" ht="21" customHeight="1" x14ac:dyDescent="0.15">
      <c r="A234" s="7">
        <f t="shared" ca="1" si="7"/>
        <v>233</v>
      </c>
      <c r="B234" s="6" t="str">
        <f ca="1">VLOOKUP(A234,[2]characters!$A:$C,3,FALSE)</f>
        <v>遂行 パーシヴァル</v>
      </c>
      <c r="C234" s="9">
        <f ca="1">VLOOKUP(A234,[2]characters!$A:$I,9,FALSE)</f>
        <v>4</v>
      </c>
      <c r="D234" s="9" t="str">
        <f ca="1">VLOOKUP(A234,[2]characters!$A:$H,8,FALSE)</f>
        <v>blue</v>
      </c>
      <c r="E234" s="24">
        <f ca="1">VLOOKUP(D234,[2]属性!$A:$E,2,FALSE)</f>
        <v>1</v>
      </c>
      <c r="F234" s="24">
        <f ca="1">VLOOKUP(D234,[2]属性!$A:$E,3,FALSE)</f>
        <v>0.98</v>
      </c>
      <c r="G234" s="24">
        <f ca="1">VLOOKUP(D234,[2]属性!$A:$F,4,FALSE)</f>
        <v>1</v>
      </c>
      <c r="H234" s="9" t="str">
        <f ca="1">VLOOKUP(A234,[2]characters!$A:$K,11,FALSE)</f>
        <v>technical</v>
      </c>
      <c r="I234" s="14" t="str">
        <f ca="1">VLOOKUP(H234,[2]character_type_i18n!$A:$F,3,FALSE)</f>
        <v>テクニカルタイプ</v>
      </c>
      <c r="J234" s="36">
        <f ca="1">VLOOKUP(H234,[2]character_type_i18n!$A:$F,4,FALSE)</f>
        <v>0.9</v>
      </c>
      <c r="K234" s="36">
        <f ca="1">VLOOKUP(H234,[2]character_type_i18n!$A:$F,5,FALSE)</f>
        <v>0.9</v>
      </c>
      <c r="L234" s="36">
        <f ca="1">VLOOKUP(H234,[2]character_type_i18n!$A:$F,6,FALSE)</f>
        <v>1</v>
      </c>
      <c r="M234" s="9" t="str">
        <f ca="1">VLOOKUP(A234,[2]characters!$A:$M,13,FALSE)</f>
        <v>human</v>
      </c>
      <c r="N234" s="14" t="str">
        <f ca="1">VLOOKUP(M234,[2]character_tribe_i18n!$A:$F,3,FALSE)</f>
        <v>ヒューマン</v>
      </c>
      <c r="O234" s="24">
        <f ca="1">VLOOKUP(M234,[2]character_tribe_i18n!$A:$F,4,FALSE)</f>
        <v>0.94</v>
      </c>
      <c r="P234" s="24">
        <f ca="1">VLOOKUP(M234,[2]character_tribe_i18n!$A:$F,5,FALSE)</f>
        <v>0.99</v>
      </c>
      <c r="Q234" s="24">
        <f ca="1">VLOOKUP(M234,[2]character_tribe_i18n!$A:$F,6,FALSE)</f>
        <v>1</v>
      </c>
      <c r="R234" s="25" t="s">
        <v>4</v>
      </c>
      <c r="S234" s="24">
        <f>VLOOKUP($R234,ラベル別係数!$A$1:$E$7,3,FALSE)</f>
        <v>5</v>
      </c>
      <c r="T234" s="24">
        <f>VLOOKUP($R234,ラベル別係数!$A$1:$E$7,4,FALSE)</f>
        <v>1.3</v>
      </c>
      <c r="U234" s="24">
        <f>VLOOKUP($R234,ラベル別係数!$A$1:$E$7,5,FALSE)</f>
        <v>0.8</v>
      </c>
      <c r="V234" s="27">
        <v>2</v>
      </c>
      <c r="W234" s="28">
        <f>VLOOKUP(V234,ターン数別攻撃係数!$A$1:$B$1000,2,FALSE)</f>
        <v>0.75</v>
      </c>
      <c r="X234" s="10">
        <v>30</v>
      </c>
      <c r="Y234" s="26">
        <f>VLOOKUP($X234,サイズ別係数!$B:$E,2,FALSE)</f>
        <v>1.3</v>
      </c>
      <c r="Z234" s="26">
        <f>VLOOKUP($X234,サイズ別係数!$B:$E,3,FALSE)</f>
        <v>1.3</v>
      </c>
      <c r="AA234" s="26">
        <f>VLOOKUP($X234,サイズ別係数!$B:$E,4,FALSE)</f>
        <v>1.1000000000000001</v>
      </c>
      <c r="AB234" s="5">
        <v>233</v>
      </c>
      <c r="AC234" s="34" t="str">
        <f ca="1">VLOOKUP($AB234,OFFSET([3]enemy_skill_sets!$B$2,0,0,COUNTA([3]enemy_skill_sets!$A:$A),MATCH(AC$1,[3]enemy_skill_sets!$1:$1,0)-MATCH($AB$1,[3]enemy_skill_sets!$1:$1,0)+1),MATCH(AC$1,[3]enemy_skill_sets!$1:$1,0)-MATCH($AB$1,[3]enemy_skill_sets!$1:$1,0)+1,FALSE)</f>
        <v>攻撃力×2.5倍の攻撃</v>
      </c>
      <c r="AD234" s="27">
        <v>1</v>
      </c>
      <c r="AE234" s="37">
        <v>1</v>
      </c>
      <c r="AF234" s="37">
        <v>0</v>
      </c>
      <c r="AG234" s="28">
        <f ca="1">ROUND(VLOOKUP(1,enemy_base_stats!$A:$F,2,FALSE) * Y234* J234*O234*E234*S234*AD234*[2]ステータス!$B$2,0)</f>
        <v>2750</v>
      </c>
      <c r="AH234" s="28">
        <f ca="1">ROUND(VLOOKUP(1,enemy_base_stats!$A:$F,3,FALSE) * Z234*K234*P234*F234*T234*AE234 * W234*[2]ステータス!$C$2,0)</f>
        <v>166</v>
      </c>
      <c r="AI234" s="28">
        <f ca="1">ROUND(VLOOKUP(1,enemy_base_stats!$A:$F,4,FALSE) * AA234*L234*Q234*G234*U234*AF234*[2]ステータス!$D$2,0)</f>
        <v>0</v>
      </c>
      <c r="AJ234" s="28">
        <f ca="1">ROUND(VLOOKUP(100,enemy_base_stats!$A:$F,2,FALSE) * Y234* J234*O234*E234*S234*AD234*[2]ステータス!$B$2,0)</f>
        <v>111630</v>
      </c>
      <c r="AK234" s="28">
        <f ca="1">ROUND(VLOOKUP(100,enemy_base_stats!$A:$F,3,FALSE)* Z234* K234*P234*F234*T234*AE234 * W234*[2]ステータス!$C$2,0)</f>
        <v>6740</v>
      </c>
      <c r="AL234" s="28">
        <f ca="1">ROUND(VLOOKUP(100,enemy_base_stats!$A:$F,4,FALSE)* AA234* L234*Q234*G234*U234*AF234*[2]ステータス!$D$2,0)</f>
        <v>0</v>
      </c>
      <c r="AM234" s="24">
        <f ca="1">VLOOKUP(M234,[2]character_tribe_i18n!$A:$I,9,FALSE)</f>
        <v>400</v>
      </c>
      <c r="AN234" s="36">
        <v>0</v>
      </c>
      <c r="AO234" s="53">
        <v>0</v>
      </c>
      <c r="AP234" s="58" t="s">
        <v>72</v>
      </c>
      <c r="AQ234" s="71">
        <f t="shared" ca="1" si="6"/>
        <v>233</v>
      </c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</row>
    <row r="235" spans="1:60" s="3" customFormat="1" ht="21" customHeight="1" x14ac:dyDescent="0.15">
      <c r="A235" s="7">
        <f t="shared" ca="1" si="7"/>
        <v>234</v>
      </c>
      <c r="B235" s="6" t="str">
        <f ca="1">VLOOKUP(A235,[2]characters!$A:$C,3,FALSE)</f>
        <v>精密なる照準 パーシヴァル</v>
      </c>
      <c r="C235" s="9">
        <f ca="1">VLOOKUP(A235,[2]characters!$A:$I,9,FALSE)</f>
        <v>5</v>
      </c>
      <c r="D235" s="9" t="str">
        <f ca="1">VLOOKUP(A235,[2]characters!$A:$H,8,FALSE)</f>
        <v>blue</v>
      </c>
      <c r="E235" s="24">
        <f ca="1">VLOOKUP(D235,[2]属性!$A:$E,2,FALSE)</f>
        <v>1</v>
      </c>
      <c r="F235" s="24">
        <f ca="1">VLOOKUP(D235,[2]属性!$A:$E,3,FALSE)</f>
        <v>0.98</v>
      </c>
      <c r="G235" s="24">
        <f ca="1">VLOOKUP(D235,[2]属性!$A:$F,4,FALSE)</f>
        <v>1</v>
      </c>
      <c r="H235" s="9" t="str">
        <f ca="1">VLOOKUP(A235,[2]characters!$A:$K,11,FALSE)</f>
        <v>technical</v>
      </c>
      <c r="I235" s="14" t="str">
        <f ca="1">VLOOKUP(H235,[2]character_type_i18n!$A:$F,3,FALSE)</f>
        <v>テクニカルタイプ</v>
      </c>
      <c r="J235" s="36">
        <f ca="1">VLOOKUP(H235,[2]character_type_i18n!$A:$F,4,FALSE)</f>
        <v>0.9</v>
      </c>
      <c r="K235" s="36">
        <f ca="1">VLOOKUP(H235,[2]character_type_i18n!$A:$F,5,FALSE)</f>
        <v>0.9</v>
      </c>
      <c r="L235" s="36">
        <f ca="1">VLOOKUP(H235,[2]character_type_i18n!$A:$F,6,FALSE)</f>
        <v>1</v>
      </c>
      <c r="M235" s="9" t="str">
        <f ca="1">VLOOKUP(A235,[2]characters!$A:$M,13,FALSE)</f>
        <v>human</v>
      </c>
      <c r="N235" s="14" t="str">
        <f ca="1">VLOOKUP(M235,[2]character_tribe_i18n!$A:$F,3,FALSE)</f>
        <v>ヒューマン</v>
      </c>
      <c r="O235" s="24">
        <f ca="1">VLOOKUP(M235,[2]character_tribe_i18n!$A:$F,4,FALSE)</f>
        <v>0.94</v>
      </c>
      <c r="P235" s="24">
        <f ca="1">VLOOKUP(M235,[2]character_tribe_i18n!$A:$F,5,FALSE)</f>
        <v>0.99</v>
      </c>
      <c r="Q235" s="24">
        <f ca="1">VLOOKUP(M235,[2]character_tribe_i18n!$A:$F,6,FALSE)</f>
        <v>1</v>
      </c>
      <c r="R235" s="25" t="s">
        <v>4</v>
      </c>
      <c r="S235" s="24">
        <f>VLOOKUP($R235,ラベル別係数!$A$1:$E$7,3,FALSE)</f>
        <v>5</v>
      </c>
      <c r="T235" s="24">
        <f>VLOOKUP($R235,ラベル別係数!$A$1:$E$7,4,FALSE)</f>
        <v>1.3</v>
      </c>
      <c r="U235" s="24">
        <f>VLOOKUP($R235,ラベル別係数!$A$1:$E$7,5,FALSE)</f>
        <v>0.8</v>
      </c>
      <c r="V235" s="27">
        <v>2</v>
      </c>
      <c r="W235" s="28">
        <f>VLOOKUP(V235,ターン数別攻撃係数!$A$1:$B$1000,2,FALSE)</f>
        <v>0.75</v>
      </c>
      <c r="X235" s="10">
        <v>60</v>
      </c>
      <c r="Y235" s="26">
        <f>VLOOKUP($X235,サイズ別係数!$B:$E,2,FALSE)</f>
        <v>1.7</v>
      </c>
      <c r="Z235" s="26">
        <f>VLOOKUP($X235,サイズ別係数!$B:$E,3,FALSE)</f>
        <v>1.4</v>
      </c>
      <c r="AA235" s="26">
        <f>VLOOKUP($X235,サイズ別係数!$B:$E,4,FALSE)</f>
        <v>1</v>
      </c>
      <c r="AB235" s="5">
        <v>0</v>
      </c>
      <c r="AC235" s="34" t="str">
        <f ca="1">VLOOKUP($AB235,OFFSET([3]enemy_skill_sets!$B$2,0,0,COUNTA([3]enemy_skill_sets!$A:$A),MATCH(AC$1,[3]enemy_skill_sets!$1:$1,0)-MATCH($AB$1,[3]enemy_skill_sets!$1:$1,0)+1),MATCH(AC$1,[3]enemy_skill_sets!$1:$1,0)-MATCH($AB$1,[3]enemy_skill_sets!$1:$1,0)+1,FALSE)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35" s="27">
        <v>1</v>
      </c>
      <c r="AE235" s="37">
        <v>1</v>
      </c>
      <c r="AF235" s="37">
        <v>0</v>
      </c>
      <c r="AG235" s="28">
        <f ca="1">ROUND(VLOOKUP(1,enemy_base_stats!$A:$F,2,FALSE) * Y235* J235*O235*E235*S235*AD235*[2]ステータス!$B$2,0)</f>
        <v>3596</v>
      </c>
      <c r="AH235" s="28">
        <f ca="1">ROUND(VLOOKUP(1,enemy_base_stats!$A:$F,3,FALSE) * Z235*K235*P235*F235*T235*AE235 * W235*[2]ステータス!$C$2,0)</f>
        <v>179</v>
      </c>
      <c r="AI235" s="28">
        <f ca="1">ROUND(VLOOKUP(1,enemy_base_stats!$A:$F,4,FALSE) * AA235*L235*Q235*G235*U235*AF235*[2]ステータス!$D$2,0)</f>
        <v>0</v>
      </c>
      <c r="AJ235" s="28">
        <f ca="1">ROUND(VLOOKUP(100,enemy_base_stats!$A:$F,2,FALSE) * Y235* J235*O235*E235*S235*AD235*[2]ステータス!$B$2,0)</f>
        <v>145977</v>
      </c>
      <c r="AK235" s="28">
        <f ca="1">ROUND(VLOOKUP(100,enemy_base_stats!$A:$F,3,FALSE)* Z235* K235*P235*F235*T235*AE235 * W235*[2]ステータス!$C$2,0)</f>
        <v>7259</v>
      </c>
      <c r="AL235" s="28">
        <f ca="1">ROUND(VLOOKUP(100,enemy_base_stats!$A:$F,4,FALSE)* AA235* L235*Q235*G235*U235*AF235*[2]ステータス!$D$2,0)</f>
        <v>0</v>
      </c>
      <c r="AM235" s="24">
        <f ca="1">VLOOKUP(M235,[2]character_tribe_i18n!$A:$I,9,FALSE)</f>
        <v>400</v>
      </c>
      <c r="AN235" s="36">
        <v>0</v>
      </c>
      <c r="AO235" s="53">
        <v>0</v>
      </c>
      <c r="AP235" s="58" t="s">
        <v>72</v>
      </c>
      <c r="AQ235" s="71">
        <f t="shared" ca="1" si="6"/>
        <v>234</v>
      </c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</row>
    <row r="236" spans="1:60" s="3" customFormat="1" ht="21" customHeight="1" x14ac:dyDescent="0.15">
      <c r="A236" s="7">
        <f t="shared" ca="1" si="7"/>
        <v>235</v>
      </c>
      <c r="B236" s="6" t="str">
        <f ca="1">VLOOKUP(A236,[2]characters!$A:$C,3,FALSE)</f>
        <v>イザナミ</v>
      </c>
      <c r="C236" s="9">
        <f ca="1">VLOOKUP(A236,[2]characters!$A:$I,9,FALSE)</f>
        <v>3</v>
      </c>
      <c r="D236" s="9" t="str">
        <f ca="1">VLOOKUP(A236,[2]characters!$A:$H,8,FALSE)</f>
        <v>yellow</v>
      </c>
      <c r="E236" s="24">
        <f ca="1">VLOOKUP(D236,[2]属性!$A:$E,2,FALSE)</f>
        <v>0.98</v>
      </c>
      <c r="F236" s="24">
        <f ca="1">VLOOKUP(D236,[2]属性!$A:$E,3,FALSE)</f>
        <v>1.01</v>
      </c>
      <c r="G236" s="24">
        <f ca="1">VLOOKUP(D236,[2]属性!$A:$F,4,FALSE)</f>
        <v>1</v>
      </c>
      <c r="H236" s="9" t="str">
        <f ca="1">VLOOKUP(A236,[2]characters!$A:$K,11,FALSE)</f>
        <v>attack</v>
      </c>
      <c r="I236" s="14" t="str">
        <f ca="1">VLOOKUP(H236,[2]character_type_i18n!$A:$F,3,FALSE)</f>
        <v>攻撃タイプ</v>
      </c>
      <c r="J236" s="36">
        <f ca="1">VLOOKUP(H236,[2]character_type_i18n!$A:$F,4,FALSE)</f>
        <v>1</v>
      </c>
      <c r="K236" s="36">
        <f ca="1">VLOOKUP(H236,[2]character_type_i18n!$A:$F,5,FALSE)</f>
        <v>1.33</v>
      </c>
      <c r="L236" s="36">
        <f ca="1">VLOOKUP(H236,[2]character_type_i18n!$A:$F,6,FALSE)</f>
        <v>1</v>
      </c>
      <c r="M236" s="9" t="str">
        <f ca="1">VLOOKUP(A236,[2]characters!$A:$M,13,FALSE)</f>
        <v>god</v>
      </c>
      <c r="N236" s="14" t="str">
        <f ca="1">VLOOKUP(M236,[2]character_tribe_i18n!$A:$F,3,FALSE)</f>
        <v>ゴッド</v>
      </c>
      <c r="O236" s="24">
        <f ca="1">VLOOKUP(M236,[2]character_tribe_i18n!$A:$F,4,FALSE)</f>
        <v>0.96</v>
      </c>
      <c r="P236" s="24">
        <f ca="1">VLOOKUP(M236,[2]character_tribe_i18n!$A:$F,5,FALSE)</f>
        <v>1.02</v>
      </c>
      <c r="Q236" s="24">
        <f ca="1">VLOOKUP(M236,[2]character_tribe_i18n!$A:$F,6,FALSE)</f>
        <v>1</v>
      </c>
      <c r="R236" s="25" t="s">
        <v>4</v>
      </c>
      <c r="S236" s="24">
        <f>VLOOKUP($R236,ラベル別係数!$A$1:$E$7,3,FALSE)</f>
        <v>5</v>
      </c>
      <c r="T236" s="24">
        <f>VLOOKUP($R236,ラベル別係数!$A$1:$E$7,4,FALSE)</f>
        <v>1.3</v>
      </c>
      <c r="U236" s="24">
        <f>VLOOKUP($R236,ラベル別係数!$A$1:$E$7,5,FALSE)</f>
        <v>0.8</v>
      </c>
      <c r="V236" s="27">
        <v>2</v>
      </c>
      <c r="W236" s="28">
        <f>VLOOKUP(V236,ターン数別攻撃係数!$A$1:$B$1000,2,FALSE)</f>
        <v>0.75</v>
      </c>
      <c r="X236" s="10">
        <v>20</v>
      </c>
      <c r="Y236" s="26">
        <f>VLOOKUP($X236,サイズ別係数!$B:$E,2,FALSE)</f>
        <v>1.1000000000000001</v>
      </c>
      <c r="Z236" s="26">
        <f>VLOOKUP($X236,サイズ別係数!$B:$E,3,FALSE)</f>
        <v>1.2</v>
      </c>
      <c r="AA236" s="26">
        <f>VLOOKUP($X236,サイズ別係数!$B:$E,4,FALSE)</f>
        <v>1.2</v>
      </c>
      <c r="AB236" s="5">
        <v>0</v>
      </c>
      <c r="AC236" s="34" t="str">
        <f ca="1">VLOOKUP($AB236,OFFSET([3]enemy_skill_sets!$B$2,0,0,COUNTA([3]enemy_skill_sets!$A:$A),MATCH(AC$1,[3]enemy_skill_sets!$1:$1,0)-MATCH($AB$1,[3]enemy_skill_sets!$1:$1,0)+1),MATCH(AC$1,[3]enemy_skill_sets!$1:$1,0)-MATCH($AB$1,[3]enemy_skill_sets!$1:$1,0)+1,FALSE)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36" s="27">
        <v>1</v>
      </c>
      <c r="AE236" s="37">
        <v>1</v>
      </c>
      <c r="AF236" s="37">
        <v>0</v>
      </c>
      <c r="AG236" s="28">
        <f ca="1">ROUND(VLOOKUP(1,enemy_base_stats!$A:$F,2,FALSE) * Y236* J236*O236*E236*S236*AD236*[2]ステータス!$B$2,0)</f>
        <v>2587</v>
      </c>
      <c r="AH236" s="28">
        <f ca="1">ROUND(VLOOKUP(1,enemy_base_stats!$A:$F,3,FALSE) * Z236*K236*P236*F236*T236*AE236 * W236*[2]ステータス!$C$2,0)</f>
        <v>240</v>
      </c>
      <c r="AI236" s="28">
        <f ca="1">ROUND(VLOOKUP(1,enemy_base_stats!$A:$F,4,FALSE) * AA236*L236*Q236*G236*U236*AF236*[2]ステータス!$D$2,0)</f>
        <v>0</v>
      </c>
      <c r="AJ236" s="28">
        <f ca="1">ROUND(VLOOKUP(100,enemy_base_stats!$A:$F,2,FALSE) * Y236* J236*O236*E236*S236*AD236*[2]ステータス!$B$2,0)</f>
        <v>105040</v>
      </c>
      <c r="AK236" s="28">
        <f ca="1">ROUND(VLOOKUP(100,enemy_base_stats!$A:$F,3,FALSE)* Z236* K236*P236*F236*T236*AE236 * W236*[2]ステータス!$C$2,0)</f>
        <v>9763</v>
      </c>
      <c r="AL236" s="28">
        <f ca="1">ROUND(VLOOKUP(100,enemy_base_stats!$A:$F,4,FALSE)* AA236* L236*Q236*G236*U236*AF236*[2]ステータス!$D$2,0)</f>
        <v>0</v>
      </c>
      <c r="AM236" s="24">
        <f ca="1">VLOOKUP(M236,[2]character_tribe_i18n!$A:$I,9,FALSE)</f>
        <v>680</v>
      </c>
      <c r="AN236" s="36">
        <v>0</v>
      </c>
      <c r="AO236" s="53">
        <v>0</v>
      </c>
      <c r="AP236" s="58" t="s">
        <v>72</v>
      </c>
      <c r="AQ236" s="71">
        <f t="shared" ca="1" si="6"/>
        <v>235</v>
      </c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</row>
    <row r="237" spans="1:60" s="3" customFormat="1" ht="21" customHeight="1" x14ac:dyDescent="0.15">
      <c r="A237" s="7">
        <f t="shared" ca="1" si="7"/>
        <v>236</v>
      </c>
      <c r="B237" s="6" t="str">
        <f ca="1">VLOOKUP(A237,[2]characters!$A:$C,3,FALSE)</f>
        <v>神産 イザナミ</v>
      </c>
      <c r="C237" s="9">
        <f ca="1">VLOOKUP(A237,[2]characters!$A:$I,9,FALSE)</f>
        <v>4</v>
      </c>
      <c r="D237" s="9" t="str">
        <f ca="1">VLOOKUP(A237,[2]characters!$A:$H,8,FALSE)</f>
        <v>yellow</v>
      </c>
      <c r="E237" s="24">
        <f ca="1">VLOOKUP(D237,[2]属性!$A:$E,2,FALSE)</f>
        <v>0.98</v>
      </c>
      <c r="F237" s="24">
        <f ca="1">VLOOKUP(D237,[2]属性!$A:$E,3,FALSE)</f>
        <v>1.01</v>
      </c>
      <c r="G237" s="24">
        <f ca="1">VLOOKUP(D237,[2]属性!$A:$F,4,FALSE)</f>
        <v>1</v>
      </c>
      <c r="H237" s="9" t="str">
        <f ca="1">VLOOKUP(A237,[2]characters!$A:$K,11,FALSE)</f>
        <v>attack</v>
      </c>
      <c r="I237" s="14" t="str">
        <f ca="1">VLOOKUP(H237,[2]character_type_i18n!$A:$F,3,FALSE)</f>
        <v>攻撃タイプ</v>
      </c>
      <c r="J237" s="36">
        <f ca="1">VLOOKUP(H237,[2]character_type_i18n!$A:$F,4,FALSE)</f>
        <v>1</v>
      </c>
      <c r="K237" s="36">
        <f ca="1">VLOOKUP(H237,[2]character_type_i18n!$A:$F,5,FALSE)</f>
        <v>1.33</v>
      </c>
      <c r="L237" s="36">
        <f ca="1">VLOOKUP(H237,[2]character_type_i18n!$A:$F,6,FALSE)</f>
        <v>1</v>
      </c>
      <c r="M237" s="9" t="str">
        <f ca="1">VLOOKUP(A237,[2]characters!$A:$M,13,FALSE)</f>
        <v>god</v>
      </c>
      <c r="N237" s="14" t="str">
        <f ca="1">VLOOKUP(M237,[2]character_tribe_i18n!$A:$F,3,FALSE)</f>
        <v>ゴッド</v>
      </c>
      <c r="O237" s="24">
        <f ca="1">VLOOKUP(M237,[2]character_tribe_i18n!$A:$F,4,FALSE)</f>
        <v>0.96</v>
      </c>
      <c r="P237" s="24">
        <f ca="1">VLOOKUP(M237,[2]character_tribe_i18n!$A:$F,5,FALSE)</f>
        <v>1.02</v>
      </c>
      <c r="Q237" s="24">
        <f ca="1">VLOOKUP(M237,[2]character_tribe_i18n!$A:$F,6,FALSE)</f>
        <v>1</v>
      </c>
      <c r="R237" s="25" t="s">
        <v>4</v>
      </c>
      <c r="S237" s="24">
        <f>VLOOKUP($R237,ラベル別係数!$A$1:$E$7,3,FALSE)</f>
        <v>5</v>
      </c>
      <c r="T237" s="24">
        <f>VLOOKUP($R237,ラベル別係数!$A$1:$E$7,4,FALSE)</f>
        <v>1.3</v>
      </c>
      <c r="U237" s="24">
        <f>VLOOKUP($R237,ラベル別係数!$A$1:$E$7,5,FALSE)</f>
        <v>0.8</v>
      </c>
      <c r="V237" s="27">
        <v>2</v>
      </c>
      <c r="W237" s="28">
        <f>VLOOKUP(V237,ターン数別攻撃係数!$A$1:$B$1000,2,FALSE)</f>
        <v>0.75</v>
      </c>
      <c r="X237" s="10">
        <v>30</v>
      </c>
      <c r="Y237" s="26">
        <f>VLOOKUP($X237,サイズ別係数!$B:$E,2,FALSE)</f>
        <v>1.3</v>
      </c>
      <c r="Z237" s="26">
        <f>VLOOKUP($X237,サイズ別係数!$B:$E,3,FALSE)</f>
        <v>1.3</v>
      </c>
      <c r="AA237" s="26">
        <f>VLOOKUP($X237,サイズ別係数!$B:$E,4,FALSE)</f>
        <v>1.1000000000000001</v>
      </c>
      <c r="AB237" s="5">
        <v>0</v>
      </c>
      <c r="AC237" s="34" t="str">
        <f ca="1">VLOOKUP($AB237,OFFSET([3]enemy_skill_sets!$B$2,0,0,COUNTA([3]enemy_skill_sets!$A:$A),MATCH(AC$1,[3]enemy_skill_sets!$1:$1,0)-MATCH($AB$1,[3]enemy_skill_sets!$1:$1,0)+1),MATCH(AC$1,[3]enemy_skill_sets!$1:$1,0)-MATCH($AB$1,[3]enemy_skill_sets!$1:$1,0)+1,FALSE)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37" s="27">
        <v>1</v>
      </c>
      <c r="AE237" s="37">
        <v>1</v>
      </c>
      <c r="AF237" s="37">
        <v>0</v>
      </c>
      <c r="AG237" s="28">
        <f ca="1">ROUND(VLOOKUP(1,enemy_base_stats!$A:$F,2,FALSE) * Y237* J237*O237*E237*S237*AD237*[2]ステータス!$B$2,0)</f>
        <v>3058</v>
      </c>
      <c r="AH237" s="28">
        <f ca="1">ROUND(VLOOKUP(1,enemy_base_stats!$A:$F,3,FALSE) * Z237*K237*P237*F237*T237*AE237 * W237*[2]ステータス!$C$2,0)</f>
        <v>261</v>
      </c>
      <c r="AI237" s="28">
        <f ca="1">ROUND(VLOOKUP(1,enemy_base_stats!$A:$F,4,FALSE) * AA237*L237*Q237*G237*U237*AF237*[2]ステータス!$D$2,0)</f>
        <v>0</v>
      </c>
      <c r="AJ237" s="28">
        <f ca="1">ROUND(VLOOKUP(100,enemy_base_stats!$A:$F,2,FALSE) * Y237* J237*O237*E237*S237*AD237*[2]ステータス!$B$2,0)</f>
        <v>124139</v>
      </c>
      <c r="AK237" s="28">
        <f ca="1">ROUND(VLOOKUP(100,enemy_base_stats!$A:$F,3,FALSE)* Z237* K237*P237*F237*T237*AE237 * W237*[2]ステータス!$C$2,0)</f>
        <v>10576</v>
      </c>
      <c r="AL237" s="28">
        <f ca="1">ROUND(VLOOKUP(100,enemy_base_stats!$A:$F,4,FALSE)* AA237* L237*Q237*G237*U237*AF237*[2]ステータス!$D$2,0)</f>
        <v>0</v>
      </c>
      <c r="AM237" s="24">
        <f ca="1">VLOOKUP(M237,[2]character_tribe_i18n!$A:$I,9,FALSE)</f>
        <v>680</v>
      </c>
      <c r="AN237" s="36">
        <v>0</v>
      </c>
      <c r="AO237" s="53">
        <v>0</v>
      </c>
      <c r="AP237" s="58" t="s">
        <v>72</v>
      </c>
      <c r="AQ237" s="71">
        <f t="shared" ca="1" si="6"/>
        <v>236</v>
      </c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</row>
    <row r="238" spans="1:60" s="3" customFormat="1" ht="21" customHeight="1" x14ac:dyDescent="0.15">
      <c r="A238" s="7">
        <f t="shared" ca="1" si="7"/>
        <v>237</v>
      </c>
      <c r="B238" s="6" t="str">
        <f ca="1">VLOOKUP(A238,[2]characters!$A:$C,3,FALSE)</f>
        <v>森羅万象の神母 イザナミ</v>
      </c>
      <c r="C238" s="9">
        <f ca="1">VLOOKUP(A238,[2]characters!$A:$I,9,FALSE)</f>
        <v>5</v>
      </c>
      <c r="D238" s="9" t="str">
        <f ca="1">VLOOKUP(A238,[2]characters!$A:$H,8,FALSE)</f>
        <v>yellow</v>
      </c>
      <c r="E238" s="24">
        <f ca="1">VLOOKUP(D238,[2]属性!$A:$E,2,FALSE)</f>
        <v>0.98</v>
      </c>
      <c r="F238" s="24">
        <f ca="1">VLOOKUP(D238,[2]属性!$A:$E,3,FALSE)</f>
        <v>1.01</v>
      </c>
      <c r="G238" s="24">
        <f ca="1">VLOOKUP(D238,[2]属性!$A:$F,4,FALSE)</f>
        <v>1</v>
      </c>
      <c r="H238" s="9" t="str">
        <f ca="1">VLOOKUP(A238,[2]characters!$A:$K,11,FALSE)</f>
        <v>attack</v>
      </c>
      <c r="I238" s="14" t="str">
        <f ca="1">VLOOKUP(H238,[2]character_type_i18n!$A:$F,3,FALSE)</f>
        <v>攻撃タイプ</v>
      </c>
      <c r="J238" s="36">
        <f ca="1">VLOOKUP(H238,[2]character_type_i18n!$A:$F,4,FALSE)</f>
        <v>1</v>
      </c>
      <c r="K238" s="36">
        <f ca="1">VLOOKUP(H238,[2]character_type_i18n!$A:$F,5,FALSE)</f>
        <v>1.33</v>
      </c>
      <c r="L238" s="36">
        <f ca="1">VLOOKUP(H238,[2]character_type_i18n!$A:$F,6,FALSE)</f>
        <v>1</v>
      </c>
      <c r="M238" s="9" t="str">
        <f ca="1">VLOOKUP(A238,[2]characters!$A:$M,13,FALSE)</f>
        <v>god</v>
      </c>
      <c r="N238" s="14" t="str">
        <f ca="1">VLOOKUP(M238,[2]character_tribe_i18n!$A:$F,3,FALSE)</f>
        <v>ゴッド</v>
      </c>
      <c r="O238" s="24">
        <f ca="1">VLOOKUP(M238,[2]character_tribe_i18n!$A:$F,4,FALSE)</f>
        <v>0.96</v>
      </c>
      <c r="P238" s="24">
        <f ca="1">VLOOKUP(M238,[2]character_tribe_i18n!$A:$F,5,FALSE)</f>
        <v>1.02</v>
      </c>
      <c r="Q238" s="24">
        <f ca="1">VLOOKUP(M238,[2]character_tribe_i18n!$A:$F,6,FALSE)</f>
        <v>1</v>
      </c>
      <c r="R238" s="25" t="s">
        <v>4</v>
      </c>
      <c r="S238" s="24">
        <f>VLOOKUP($R238,ラベル別係数!$A$1:$E$7,3,FALSE)</f>
        <v>5</v>
      </c>
      <c r="T238" s="24">
        <f>VLOOKUP($R238,ラベル別係数!$A$1:$E$7,4,FALSE)</f>
        <v>1.3</v>
      </c>
      <c r="U238" s="24">
        <f>VLOOKUP($R238,ラベル別係数!$A$1:$E$7,5,FALSE)</f>
        <v>0.8</v>
      </c>
      <c r="V238" s="27">
        <v>2</v>
      </c>
      <c r="W238" s="28">
        <f>VLOOKUP(V238,ターン数別攻撃係数!$A$1:$B$1000,2,FALSE)</f>
        <v>0.75</v>
      </c>
      <c r="X238" s="10">
        <v>60</v>
      </c>
      <c r="Y238" s="26">
        <f>VLOOKUP($X238,サイズ別係数!$B:$E,2,FALSE)</f>
        <v>1.7</v>
      </c>
      <c r="Z238" s="26">
        <f>VLOOKUP($X238,サイズ別係数!$B:$E,3,FALSE)</f>
        <v>1.4</v>
      </c>
      <c r="AA238" s="26">
        <f>VLOOKUP($X238,サイズ別係数!$B:$E,4,FALSE)</f>
        <v>1</v>
      </c>
      <c r="AB238" s="5">
        <v>0</v>
      </c>
      <c r="AC238" s="34" t="str">
        <f ca="1">VLOOKUP($AB238,OFFSET([3]enemy_skill_sets!$B$2,0,0,COUNTA([3]enemy_skill_sets!$A:$A),MATCH(AC$1,[3]enemy_skill_sets!$1:$1,0)-MATCH($AB$1,[3]enemy_skill_sets!$1:$1,0)+1),MATCH(AC$1,[3]enemy_skill_sets!$1:$1,0)-MATCH($AB$1,[3]enemy_skill_sets!$1:$1,0)+1,FALSE)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38" s="27">
        <v>1</v>
      </c>
      <c r="AE238" s="37">
        <v>1</v>
      </c>
      <c r="AF238" s="37">
        <v>0</v>
      </c>
      <c r="AG238" s="28">
        <f ca="1">ROUND(VLOOKUP(1,enemy_base_stats!$A:$F,2,FALSE) * Y238* J238*O238*E238*S238*AD238*[2]ステータス!$B$2,0)</f>
        <v>3998</v>
      </c>
      <c r="AH238" s="28">
        <f ca="1">ROUND(VLOOKUP(1,enemy_base_stats!$A:$F,3,FALSE) * Z238*K238*P238*F238*T238*AE238 * W238*[2]ステータス!$C$2,0)</f>
        <v>281</v>
      </c>
      <c r="AI238" s="28">
        <f ca="1">ROUND(VLOOKUP(1,enemy_base_stats!$A:$F,4,FALSE) * AA238*L238*Q238*G238*U238*AF238*[2]ステータス!$D$2,0)</f>
        <v>0</v>
      </c>
      <c r="AJ238" s="28">
        <f ca="1">ROUND(VLOOKUP(100,enemy_base_stats!$A:$F,2,FALSE) * Y238* J238*O238*E238*S238*AD238*[2]ステータス!$B$2,0)</f>
        <v>162335</v>
      </c>
      <c r="AK238" s="28">
        <f ca="1">ROUND(VLOOKUP(100,enemy_base_stats!$A:$F,3,FALSE)* Z238* K238*P238*F238*T238*AE238 * W238*[2]ステータス!$C$2,0)</f>
        <v>11390</v>
      </c>
      <c r="AL238" s="28">
        <f ca="1">ROUND(VLOOKUP(100,enemy_base_stats!$A:$F,4,FALSE)* AA238* L238*Q238*G238*U238*AF238*[2]ステータス!$D$2,0)</f>
        <v>0</v>
      </c>
      <c r="AM238" s="24">
        <f ca="1">VLOOKUP(M238,[2]character_tribe_i18n!$A:$I,9,FALSE)</f>
        <v>680</v>
      </c>
      <c r="AN238" s="36">
        <v>0</v>
      </c>
      <c r="AO238" s="53">
        <v>0</v>
      </c>
      <c r="AP238" s="58" t="s">
        <v>72</v>
      </c>
      <c r="AQ238" s="71">
        <f t="shared" ca="1" si="6"/>
        <v>237</v>
      </c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</row>
    <row r="239" spans="1:60" s="3" customFormat="1" ht="21" customHeight="1" x14ac:dyDescent="0.15">
      <c r="A239" s="7">
        <f t="shared" ca="1" si="7"/>
        <v>238</v>
      </c>
      <c r="B239" s="6" t="str">
        <f ca="1">VLOOKUP(A239,[2]characters!$A:$C,3,FALSE)</f>
        <v>ウリエル</v>
      </c>
      <c r="C239" s="9">
        <f ca="1">VLOOKUP(A239,[2]characters!$A:$I,9,FALSE)</f>
        <v>3</v>
      </c>
      <c r="D239" s="9" t="str">
        <f ca="1">VLOOKUP(A239,[2]characters!$A:$H,8,FALSE)</f>
        <v>red</v>
      </c>
      <c r="E239" s="24">
        <f ca="1">VLOOKUP(D239,[2]属性!$A:$E,2,FALSE)</f>
        <v>1</v>
      </c>
      <c r="F239" s="24">
        <f ca="1">VLOOKUP(D239,[2]属性!$A:$E,3,FALSE)</f>
        <v>1.02</v>
      </c>
      <c r="G239" s="24">
        <f ca="1">VLOOKUP(D239,[2]属性!$A:$F,4,FALSE)</f>
        <v>1</v>
      </c>
      <c r="H239" s="9" t="str">
        <f ca="1">VLOOKUP(A239,[2]characters!$A:$K,11,FALSE)</f>
        <v>hp</v>
      </c>
      <c r="I239" s="14" t="str">
        <f ca="1">VLOOKUP(H239,[2]character_type_i18n!$A:$F,3,FALSE)</f>
        <v>体力タイプ</v>
      </c>
      <c r="J239" s="36">
        <f ca="1">VLOOKUP(H239,[2]character_type_i18n!$A:$F,4,FALSE)</f>
        <v>1.45</v>
      </c>
      <c r="K239" s="36">
        <f ca="1">VLOOKUP(H239,[2]character_type_i18n!$A:$F,5,FALSE)</f>
        <v>0.85</v>
      </c>
      <c r="L239" s="36">
        <f ca="1">VLOOKUP(H239,[2]character_type_i18n!$A:$F,6,FALSE)</f>
        <v>1</v>
      </c>
      <c r="M239" s="9" t="str">
        <f ca="1">VLOOKUP(A239,[2]characters!$A:$M,13,FALSE)</f>
        <v>machine</v>
      </c>
      <c r="N239" s="14" t="str">
        <f ca="1">VLOOKUP(M239,[2]character_tribe_i18n!$A:$F,3,FALSE)</f>
        <v>マシン</v>
      </c>
      <c r="O239" s="24">
        <f ca="1">VLOOKUP(M239,[2]character_tribe_i18n!$A:$F,4,FALSE)</f>
        <v>1</v>
      </c>
      <c r="P239" s="24">
        <f ca="1">VLOOKUP(M239,[2]character_tribe_i18n!$A:$F,5,FALSE)</f>
        <v>1</v>
      </c>
      <c r="Q239" s="24">
        <f ca="1">VLOOKUP(M239,[2]character_tribe_i18n!$A:$F,6,FALSE)</f>
        <v>1</v>
      </c>
      <c r="R239" s="25" t="s">
        <v>4</v>
      </c>
      <c r="S239" s="24">
        <f>VLOOKUP($R239,ラベル別係数!$A$1:$E$7,3,FALSE)</f>
        <v>5</v>
      </c>
      <c r="T239" s="24">
        <f>VLOOKUP($R239,ラベル別係数!$A$1:$E$7,4,FALSE)</f>
        <v>1.3</v>
      </c>
      <c r="U239" s="24">
        <f>VLOOKUP($R239,ラベル別係数!$A$1:$E$7,5,FALSE)</f>
        <v>0.8</v>
      </c>
      <c r="V239" s="27">
        <v>1</v>
      </c>
      <c r="W239" s="28">
        <f>VLOOKUP(V239,ターン数別攻撃係数!$A$1:$B$1000,2,FALSE)</f>
        <v>0.55000000000000004</v>
      </c>
      <c r="X239" s="10">
        <v>20</v>
      </c>
      <c r="Y239" s="26">
        <f>VLOOKUP($X239,サイズ別係数!$B:$E,2,FALSE)</f>
        <v>1.1000000000000001</v>
      </c>
      <c r="Z239" s="26">
        <f>VLOOKUP($X239,サイズ別係数!$B:$E,3,FALSE)</f>
        <v>1.2</v>
      </c>
      <c r="AA239" s="26">
        <f>VLOOKUP($X239,サイズ別係数!$B:$E,4,FALSE)</f>
        <v>1.2</v>
      </c>
      <c r="AB239" s="5">
        <v>0</v>
      </c>
      <c r="AC239" s="34" t="str">
        <f ca="1">VLOOKUP($AB239,OFFSET([3]enemy_skill_sets!$B$2,0,0,COUNTA([3]enemy_skill_sets!$A:$A),MATCH(AC$1,[3]enemy_skill_sets!$1:$1,0)-MATCH($AB$1,[3]enemy_skill_sets!$1:$1,0)+1),MATCH(AC$1,[3]enemy_skill_sets!$1:$1,0)-MATCH($AB$1,[3]enemy_skill_sets!$1:$1,0)+1,FALSE)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39" s="27">
        <v>1</v>
      </c>
      <c r="AE239" s="37">
        <v>1</v>
      </c>
      <c r="AF239" s="37">
        <v>0</v>
      </c>
      <c r="AG239" s="28">
        <f ca="1">ROUND(VLOOKUP(1,enemy_base_stats!$A:$F,2,FALSE) * Y239* J239*O239*E239*S239*AD239*[2]ステータス!$B$2,0)</f>
        <v>3988</v>
      </c>
      <c r="AH239" s="28">
        <f ca="1">ROUND(VLOOKUP(1,enemy_base_stats!$A:$F,3,FALSE) * Z239*K239*P239*F239*T239*AE239 * W239*[2]ステータス!$C$2,0)</f>
        <v>112</v>
      </c>
      <c r="AI239" s="28">
        <f ca="1">ROUND(VLOOKUP(1,enemy_base_stats!$A:$F,4,FALSE) * AA239*L239*Q239*G239*U239*AF239*[2]ステータス!$D$2,0)</f>
        <v>0</v>
      </c>
      <c r="AJ239" s="28">
        <f ca="1">ROUND(VLOOKUP(100,enemy_base_stats!$A:$F,2,FALSE) * Y239* J239*O239*E239*S239*AD239*[2]ステータス!$B$2,0)</f>
        <v>161893</v>
      </c>
      <c r="AK239" s="28">
        <f ca="1">ROUND(VLOOKUP(100,enemy_base_stats!$A:$F,3,FALSE)* Z239* K239*P239*F239*T239*AE239 * W239*[2]ステータス!$C$2,0)</f>
        <v>4530</v>
      </c>
      <c r="AL239" s="28">
        <f ca="1">ROUND(VLOOKUP(100,enemy_base_stats!$A:$F,4,FALSE)* AA239* L239*Q239*G239*U239*AF239*[2]ステータス!$D$2,0)</f>
        <v>0</v>
      </c>
      <c r="AM239" s="24">
        <f ca="1">VLOOKUP(M239,[2]character_tribe_i18n!$A:$I,9,FALSE)</f>
        <v>520</v>
      </c>
      <c r="AN239" s="36">
        <v>0</v>
      </c>
      <c r="AO239" s="53">
        <v>0</v>
      </c>
      <c r="AP239" s="58" t="s">
        <v>72</v>
      </c>
      <c r="AQ239" s="71">
        <f t="shared" ca="1" si="6"/>
        <v>238</v>
      </c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</row>
    <row r="240" spans="1:60" s="3" customFormat="1" ht="21" customHeight="1" x14ac:dyDescent="0.15">
      <c r="A240" s="7">
        <f t="shared" ca="1" si="7"/>
        <v>239</v>
      </c>
      <c r="B240" s="6" t="str">
        <f ca="1">VLOOKUP(A240,[2]characters!$A:$C,3,FALSE)</f>
        <v>豪炎の天使 ウリエル</v>
      </c>
      <c r="C240" s="9">
        <f ca="1">VLOOKUP(A240,[2]characters!$A:$I,9,FALSE)</f>
        <v>4</v>
      </c>
      <c r="D240" s="9" t="str">
        <f ca="1">VLOOKUP(A240,[2]characters!$A:$H,8,FALSE)</f>
        <v>red</v>
      </c>
      <c r="E240" s="24">
        <f ca="1">VLOOKUP(D240,[2]属性!$A:$E,2,FALSE)</f>
        <v>1</v>
      </c>
      <c r="F240" s="24">
        <f ca="1">VLOOKUP(D240,[2]属性!$A:$E,3,FALSE)</f>
        <v>1.02</v>
      </c>
      <c r="G240" s="24">
        <f ca="1">VLOOKUP(D240,[2]属性!$A:$F,4,FALSE)</f>
        <v>1</v>
      </c>
      <c r="H240" s="9" t="str">
        <f ca="1">VLOOKUP(A240,[2]characters!$A:$K,11,FALSE)</f>
        <v>hp</v>
      </c>
      <c r="I240" s="14" t="str">
        <f ca="1">VLOOKUP(H240,[2]character_type_i18n!$A:$F,3,FALSE)</f>
        <v>体力タイプ</v>
      </c>
      <c r="J240" s="36">
        <f ca="1">VLOOKUP(H240,[2]character_type_i18n!$A:$F,4,FALSE)</f>
        <v>1.45</v>
      </c>
      <c r="K240" s="36">
        <f ca="1">VLOOKUP(H240,[2]character_type_i18n!$A:$F,5,FALSE)</f>
        <v>0.85</v>
      </c>
      <c r="L240" s="36">
        <f ca="1">VLOOKUP(H240,[2]character_type_i18n!$A:$F,6,FALSE)</f>
        <v>1</v>
      </c>
      <c r="M240" s="9" t="str">
        <f ca="1">VLOOKUP(A240,[2]characters!$A:$M,13,FALSE)</f>
        <v>machine</v>
      </c>
      <c r="N240" s="14" t="str">
        <f ca="1">VLOOKUP(M240,[2]character_tribe_i18n!$A:$F,3,FALSE)</f>
        <v>マシン</v>
      </c>
      <c r="O240" s="24">
        <f ca="1">VLOOKUP(M240,[2]character_tribe_i18n!$A:$F,4,FALSE)</f>
        <v>1</v>
      </c>
      <c r="P240" s="24">
        <f ca="1">VLOOKUP(M240,[2]character_tribe_i18n!$A:$F,5,FALSE)</f>
        <v>1</v>
      </c>
      <c r="Q240" s="24">
        <f ca="1">VLOOKUP(M240,[2]character_tribe_i18n!$A:$F,6,FALSE)</f>
        <v>1</v>
      </c>
      <c r="R240" s="25" t="s">
        <v>4</v>
      </c>
      <c r="S240" s="24">
        <f>VLOOKUP($R240,ラベル別係数!$A$1:$E$7,3,FALSE)</f>
        <v>5</v>
      </c>
      <c r="T240" s="24">
        <f>VLOOKUP($R240,ラベル別係数!$A$1:$E$7,4,FALSE)</f>
        <v>1.3</v>
      </c>
      <c r="U240" s="24">
        <f>VLOOKUP($R240,ラベル別係数!$A$1:$E$7,5,FALSE)</f>
        <v>0.8</v>
      </c>
      <c r="V240" s="27">
        <v>1</v>
      </c>
      <c r="W240" s="28">
        <f>VLOOKUP(V240,ターン数別攻撃係数!$A$1:$B$1000,2,FALSE)</f>
        <v>0.55000000000000004</v>
      </c>
      <c r="X240" s="10">
        <v>30</v>
      </c>
      <c r="Y240" s="26">
        <f>VLOOKUP($X240,サイズ別係数!$B:$E,2,FALSE)</f>
        <v>1.3</v>
      </c>
      <c r="Z240" s="26">
        <f>VLOOKUP($X240,サイズ別係数!$B:$E,3,FALSE)</f>
        <v>1.3</v>
      </c>
      <c r="AA240" s="26">
        <f>VLOOKUP($X240,サイズ別係数!$B:$E,4,FALSE)</f>
        <v>1.1000000000000001</v>
      </c>
      <c r="AB240" s="5">
        <v>0</v>
      </c>
      <c r="AC240" s="34" t="str">
        <f ca="1">VLOOKUP($AB240,OFFSET([3]enemy_skill_sets!$B$2,0,0,COUNTA([3]enemy_skill_sets!$A:$A),MATCH(AC$1,[3]enemy_skill_sets!$1:$1,0)-MATCH($AB$1,[3]enemy_skill_sets!$1:$1,0)+1),MATCH(AC$1,[3]enemy_skill_sets!$1:$1,0)-MATCH($AB$1,[3]enemy_skill_sets!$1:$1,0)+1,FALSE)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0" s="27">
        <v>1</v>
      </c>
      <c r="AE240" s="37">
        <v>1</v>
      </c>
      <c r="AF240" s="37">
        <v>0</v>
      </c>
      <c r="AG240" s="28">
        <f ca="1">ROUND(VLOOKUP(1,enemy_base_stats!$A:$F,2,FALSE) * Y240* J240*O240*E240*S240*AD240*[2]ステータス!$B$2,0)</f>
        <v>4713</v>
      </c>
      <c r="AH240" s="28">
        <f ca="1">ROUND(VLOOKUP(1,enemy_base_stats!$A:$F,3,FALSE) * Z240*K240*P240*F240*T240*AE240 * W240*[2]ステータス!$C$2,0)</f>
        <v>121</v>
      </c>
      <c r="AI240" s="28">
        <f ca="1">ROUND(VLOOKUP(1,enemy_base_stats!$A:$F,4,FALSE) * AA240*L240*Q240*G240*U240*AF240*[2]ステータス!$D$2,0)</f>
        <v>0</v>
      </c>
      <c r="AJ240" s="28">
        <f ca="1">ROUND(VLOOKUP(100,enemy_base_stats!$A:$F,2,FALSE) * Y240* J240*O240*E240*S240*AD240*[2]ステータス!$B$2,0)</f>
        <v>191328</v>
      </c>
      <c r="AK240" s="28">
        <f ca="1">ROUND(VLOOKUP(100,enemy_base_stats!$A:$F,3,FALSE)* Z240* K240*P240*F240*T240*AE240 * W240*[2]ステータス!$C$2,0)</f>
        <v>4908</v>
      </c>
      <c r="AL240" s="28">
        <f ca="1">ROUND(VLOOKUP(100,enemy_base_stats!$A:$F,4,FALSE)* AA240* L240*Q240*G240*U240*AF240*[2]ステータス!$D$2,0)</f>
        <v>0</v>
      </c>
      <c r="AM240" s="24">
        <f ca="1">VLOOKUP(M240,[2]character_tribe_i18n!$A:$I,9,FALSE)</f>
        <v>520</v>
      </c>
      <c r="AN240" s="36">
        <v>0</v>
      </c>
      <c r="AO240" s="53">
        <v>0</v>
      </c>
      <c r="AP240" s="58" t="s">
        <v>72</v>
      </c>
      <c r="AQ240" s="71">
        <f t="shared" ca="1" si="6"/>
        <v>239</v>
      </c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8"/>
      <c r="BC240" s="18"/>
      <c r="BD240" s="18"/>
      <c r="BE240" s="18"/>
      <c r="BF240" s="18"/>
      <c r="BG240" s="18"/>
      <c r="BH240" s="18"/>
    </row>
    <row r="241" spans="1:60" s="3" customFormat="1" ht="21" customHeight="1" x14ac:dyDescent="0.15">
      <c r="A241" s="7">
        <f t="shared" ca="1" si="7"/>
        <v>240</v>
      </c>
      <c r="B241" s="6" t="str">
        <f ca="1">VLOOKUP(A241,[2]characters!$A:$C,3,FALSE)</f>
        <v>轟炎の天使 ウリエル・スレイヤー</v>
      </c>
      <c r="C241" s="9">
        <f ca="1">VLOOKUP(A241,[2]characters!$A:$I,9,FALSE)</f>
        <v>5</v>
      </c>
      <c r="D241" s="9" t="str">
        <f ca="1">VLOOKUP(A241,[2]characters!$A:$H,8,FALSE)</f>
        <v>red</v>
      </c>
      <c r="E241" s="24">
        <f ca="1">VLOOKUP(D241,[2]属性!$A:$E,2,FALSE)</f>
        <v>1</v>
      </c>
      <c r="F241" s="24">
        <f ca="1">VLOOKUP(D241,[2]属性!$A:$E,3,FALSE)</f>
        <v>1.02</v>
      </c>
      <c r="G241" s="24">
        <f ca="1">VLOOKUP(D241,[2]属性!$A:$F,4,FALSE)</f>
        <v>1</v>
      </c>
      <c r="H241" s="9" t="str">
        <f ca="1">VLOOKUP(A241,[2]characters!$A:$K,11,FALSE)</f>
        <v>hp</v>
      </c>
      <c r="I241" s="14" t="str">
        <f ca="1">VLOOKUP(H241,[2]character_type_i18n!$A:$F,3,FALSE)</f>
        <v>体力タイプ</v>
      </c>
      <c r="J241" s="36">
        <f ca="1">VLOOKUP(H241,[2]character_type_i18n!$A:$F,4,FALSE)</f>
        <v>1.45</v>
      </c>
      <c r="K241" s="36">
        <f ca="1">VLOOKUP(H241,[2]character_type_i18n!$A:$F,5,FALSE)</f>
        <v>0.85</v>
      </c>
      <c r="L241" s="36">
        <f ca="1">VLOOKUP(H241,[2]character_type_i18n!$A:$F,6,FALSE)</f>
        <v>1</v>
      </c>
      <c r="M241" s="9" t="str">
        <f ca="1">VLOOKUP(A241,[2]characters!$A:$M,13,FALSE)</f>
        <v>machine</v>
      </c>
      <c r="N241" s="14" t="str">
        <f ca="1">VLOOKUP(M241,[2]character_tribe_i18n!$A:$F,3,FALSE)</f>
        <v>マシン</v>
      </c>
      <c r="O241" s="24">
        <f ca="1">VLOOKUP(M241,[2]character_tribe_i18n!$A:$F,4,FALSE)</f>
        <v>1</v>
      </c>
      <c r="P241" s="24">
        <f ca="1">VLOOKUP(M241,[2]character_tribe_i18n!$A:$F,5,FALSE)</f>
        <v>1</v>
      </c>
      <c r="Q241" s="24">
        <f ca="1">VLOOKUP(M241,[2]character_tribe_i18n!$A:$F,6,FALSE)</f>
        <v>1</v>
      </c>
      <c r="R241" s="25" t="s">
        <v>4</v>
      </c>
      <c r="S241" s="24">
        <f>VLOOKUP($R241,ラベル別係数!$A$1:$E$7,3,FALSE)</f>
        <v>5</v>
      </c>
      <c r="T241" s="24">
        <f>VLOOKUP($R241,ラベル別係数!$A$1:$E$7,4,FALSE)</f>
        <v>1.3</v>
      </c>
      <c r="U241" s="24">
        <f>VLOOKUP($R241,ラベル別係数!$A$1:$E$7,5,FALSE)</f>
        <v>0.8</v>
      </c>
      <c r="V241" s="27">
        <v>1</v>
      </c>
      <c r="W241" s="28">
        <f>VLOOKUP(V241,ターン数別攻撃係数!$A$1:$B$1000,2,FALSE)</f>
        <v>0.55000000000000004</v>
      </c>
      <c r="X241" s="10">
        <v>60</v>
      </c>
      <c r="Y241" s="26">
        <f>VLOOKUP($X241,サイズ別係数!$B:$E,2,FALSE)</f>
        <v>1.7</v>
      </c>
      <c r="Z241" s="26">
        <f>VLOOKUP($X241,サイズ別係数!$B:$E,3,FALSE)</f>
        <v>1.4</v>
      </c>
      <c r="AA241" s="26">
        <f>VLOOKUP($X241,サイズ別係数!$B:$E,4,FALSE)</f>
        <v>1</v>
      </c>
      <c r="AB241" s="5">
        <v>0</v>
      </c>
      <c r="AC241" s="34" t="str">
        <f ca="1">VLOOKUP($AB241,OFFSET([3]enemy_skill_sets!$B$2,0,0,COUNTA([3]enemy_skill_sets!$A:$A),MATCH(AC$1,[3]enemy_skill_sets!$1:$1,0)-MATCH($AB$1,[3]enemy_skill_sets!$1:$1,0)+1),MATCH(AC$1,[3]enemy_skill_sets!$1:$1,0)-MATCH($AB$1,[3]enemy_skill_sets!$1:$1,0)+1,FALSE)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1" s="27">
        <v>1</v>
      </c>
      <c r="AE241" s="37">
        <v>1</v>
      </c>
      <c r="AF241" s="37">
        <v>0</v>
      </c>
      <c r="AG241" s="28">
        <f ca="1">ROUND(VLOOKUP(1,enemy_base_stats!$A:$F,2,FALSE) * Y241* J241*O241*E241*S241*AD241*[2]ステータス!$B$2,0)</f>
        <v>6163</v>
      </c>
      <c r="AH241" s="28">
        <f ca="1">ROUND(VLOOKUP(1,enemy_base_stats!$A:$F,3,FALSE) * Z241*K241*P241*F241*T241*AE241 * W241*[2]ステータス!$C$2,0)</f>
        <v>130</v>
      </c>
      <c r="AI241" s="28">
        <f ca="1">ROUND(VLOOKUP(1,enemy_base_stats!$A:$F,4,FALSE) * AA241*L241*Q241*G241*U241*AF241*[2]ステータス!$D$2,0)</f>
        <v>0</v>
      </c>
      <c r="AJ241" s="28">
        <f ca="1">ROUND(VLOOKUP(100,enemy_base_stats!$A:$F,2,FALSE) * Y241* J241*O241*E241*S241*AD241*[2]ステータス!$B$2,0)</f>
        <v>250198</v>
      </c>
      <c r="AK241" s="28">
        <f ca="1">ROUND(VLOOKUP(100,enemy_base_stats!$A:$F,3,FALSE)* Z241* K241*P241*F241*T241*AE241 * W241*[2]ステータス!$C$2,0)</f>
        <v>5285</v>
      </c>
      <c r="AL241" s="28">
        <f ca="1">ROUND(VLOOKUP(100,enemy_base_stats!$A:$F,4,FALSE)* AA241* L241*Q241*G241*U241*AF241*[2]ステータス!$D$2,0)</f>
        <v>0</v>
      </c>
      <c r="AM241" s="24">
        <f ca="1">VLOOKUP(M241,[2]character_tribe_i18n!$A:$I,9,FALSE)</f>
        <v>520</v>
      </c>
      <c r="AN241" s="36">
        <v>0</v>
      </c>
      <c r="AO241" s="53">
        <v>0</v>
      </c>
      <c r="AP241" s="58" t="s">
        <v>72</v>
      </c>
      <c r="AQ241" s="71">
        <f t="shared" ca="1" si="6"/>
        <v>240</v>
      </c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8"/>
      <c r="BC241" s="18"/>
      <c r="BD241" s="18"/>
      <c r="BE241" s="18"/>
      <c r="BF241" s="18"/>
      <c r="BG241" s="18"/>
      <c r="BH241" s="18"/>
    </row>
    <row r="242" spans="1:60" s="3" customFormat="1" ht="21" customHeight="1" x14ac:dyDescent="0.15">
      <c r="A242" s="7">
        <f t="shared" ca="1" si="7"/>
        <v>241</v>
      </c>
      <c r="B242" s="6" t="str">
        <f ca="1">VLOOKUP(A242,[2]characters!$A:$C,3,FALSE)</f>
        <v>ガブリエル</v>
      </c>
      <c r="C242" s="9">
        <f ca="1">VLOOKUP(A242,[2]characters!$A:$I,9,FALSE)</f>
        <v>3</v>
      </c>
      <c r="D242" s="9" t="str">
        <f ca="1">VLOOKUP(A242,[2]characters!$A:$H,8,FALSE)</f>
        <v>green</v>
      </c>
      <c r="E242" s="24">
        <f ca="1">VLOOKUP(D242,[2]属性!$A:$E,2,FALSE)</f>
        <v>1.02</v>
      </c>
      <c r="F242" s="24">
        <f ca="1">VLOOKUP(D242,[2]属性!$A:$E,3,FALSE)</f>
        <v>0.98</v>
      </c>
      <c r="G242" s="24">
        <f ca="1">VLOOKUP(D242,[2]属性!$A:$F,4,FALSE)</f>
        <v>1</v>
      </c>
      <c r="H242" s="9" t="str">
        <f ca="1">VLOOKUP(A242,[2]characters!$A:$K,11,FALSE)</f>
        <v>balance</v>
      </c>
      <c r="I242" s="14" t="str">
        <f ca="1">VLOOKUP(H242,[2]character_type_i18n!$A:$F,3,FALSE)</f>
        <v>バランスタイプ</v>
      </c>
      <c r="J242" s="36">
        <f ca="1">VLOOKUP(H242,[2]character_type_i18n!$A:$F,4,FALSE)</f>
        <v>1</v>
      </c>
      <c r="K242" s="36">
        <f ca="1">VLOOKUP(H242,[2]character_type_i18n!$A:$F,5,FALSE)</f>
        <v>1</v>
      </c>
      <c r="L242" s="36">
        <f ca="1">VLOOKUP(H242,[2]character_type_i18n!$A:$F,6,FALSE)</f>
        <v>1</v>
      </c>
      <c r="M242" s="9" t="str">
        <f ca="1">VLOOKUP(A242,[2]characters!$A:$M,13,FALSE)</f>
        <v>machine</v>
      </c>
      <c r="N242" s="14" t="str">
        <f ca="1">VLOOKUP(M242,[2]character_tribe_i18n!$A:$F,3,FALSE)</f>
        <v>マシン</v>
      </c>
      <c r="O242" s="24">
        <f ca="1">VLOOKUP(M242,[2]character_tribe_i18n!$A:$F,4,FALSE)</f>
        <v>1</v>
      </c>
      <c r="P242" s="24">
        <f ca="1">VLOOKUP(M242,[2]character_tribe_i18n!$A:$F,5,FALSE)</f>
        <v>1</v>
      </c>
      <c r="Q242" s="24">
        <f ca="1">VLOOKUP(M242,[2]character_tribe_i18n!$A:$F,6,FALSE)</f>
        <v>1</v>
      </c>
      <c r="R242" s="25" t="s">
        <v>4</v>
      </c>
      <c r="S242" s="24">
        <f>VLOOKUP($R242,ラベル別係数!$A$1:$E$7,3,FALSE)</f>
        <v>5</v>
      </c>
      <c r="T242" s="24">
        <f>VLOOKUP($R242,ラベル別係数!$A$1:$E$7,4,FALSE)</f>
        <v>1.3</v>
      </c>
      <c r="U242" s="24">
        <f>VLOOKUP($R242,ラベル別係数!$A$1:$E$7,5,FALSE)</f>
        <v>0.8</v>
      </c>
      <c r="V242" s="27">
        <v>3</v>
      </c>
      <c r="W242" s="28">
        <f>VLOOKUP(V242,ターン数別攻撃係数!$A$1:$B$1000,2,FALSE)</f>
        <v>1</v>
      </c>
      <c r="X242" s="10">
        <v>20</v>
      </c>
      <c r="Y242" s="26">
        <f>VLOOKUP($X242,サイズ別係数!$B:$E,2,FALSE)</f>
        <v>1.1000000000000001</v>
      </c>
      <c r="Z242" s="26">
        <f>VLOOKUP($X242,サイズ別係数!$B:$E,3,FALSE)</f>
        <v>1.2</v>
      </c>
      <c r="AA242" s="26">
        <f>VLOOKUP($X242,サイズ別係数!$B:$E,4,FALSE)</f>
        <v>1.2</v>
      </c>
      <c r="AB242" s="5">
        <v>241</v>
      </c>
      <c r="AC242" s="34" t="str">
        <f ca="1">VLOOKUP($AB242,OFFSET([3]enemy_skill_sets!$B$2,0,0,COUNTA([3]enemy_skill_sets!$A:$A),MATCH(AC$1,[3]enemy_skill_sets!$1:$1,0)-MATCH($AB$1,[3]enemy_skill_sets!$1:$1,0)+1),MATCH(AC$1,[3]enemy_skill_sets!$1:$1,0)-MATCH($AB$1,[3]enemy_skill_sets!$1:$1,0)+1,FALSE)</f>
        <v>回復</v>
      </c>
      <c r="AD242" s="27">
        <v>1</v>
      </c>
      <c r="AE242" s="37">
        <v>1</v>
      </c>
      <c r="AF242" s="37">
        <v>0</v>
      </c>
      <c r="AG242" s="28">
        <f ca="1">ROUND(VLOOKUP(1,enemy_base_stats!$A:$F,2,FALSE) * Y242* J242*O242*E242*S242*AD242*[2]ステータス!$B$2,0)</f>
        <v>2805</v>
      </c>
      <c r="AH242" s="28">
        <f ca="1">ROUND(VLOOKUP(1,enemy_base_stats!$A:$F,3,FALSE) * Z242*K242*P242*F242*T242*AE242 * W242*[2]ステータス!$C$2,0)</f>
        <v>229</v>
      </c>
      <c r="AI242" s="28">
        <f ca="1">ROUND(VLOOKUP(1,enemy_base_stats!$A:$F,4,FALSE) * AA242*L242*Q242*G242*U242*AF242*[2]ステータス!$D$2,0)</f>
        <v>0</v>
      </c>
      <c r="AJ242" s="28">
        <f ca="1">ROUND(VLOOKUP(100,enemy_base_stats!$A:$F,2,FALSE) * Y242* J242*O242*E242*S242*AD242*[2]ステータス!$B$2,0)</f>
        <v>113883</v>
      </c>
      <c r="AK242" s="28">
        <f ca="1">ROUND(VLOOKUP(100,enemy_base_stats!$A:$F,3,FALSE)* Z242* K242*P242*F242*T242*AE242 * W242*[2]ステータス!$C$2,0)</f>
        <v>9310</v>
      </c>
      <c r="AL242" s="28">
        <f ca="1">ROUND(VLOOKUP(100,enemy_base_stats!$A:$F,4,FALSE)* AA242* L242*Q242*G242*U242*AF242*[2]ステータス!$D$2,0)</f>
        <v>0</v>
      </c>
      <c r="AM242" s="24">
        <f ca="1">VLOOKUP(M242,[2]character_tribe_i18n!$A:$I,9,FALSE)</f>
        <v>520</v>
      </c>
      <c r="AN242" s="36">
        <v>0</v>
      </c>
      <c r="AO242" s="53">
        <v>0</v>
      </c>
      <c r="AP242" s="58" t="s">
        <v>72</v>
      </c>
      <c r="AQ242" s="71">
        <f t="shared" ca="1" si="6"/>
        <v>241</v>
      </c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</row>
    <row r="243" spans="1:60" s="3" customFormat="1" ht="21" customHeight="1" x14ac:dyDescent="0.15">
      <c r="A243" s="7">
        <f t="shared" ca="1" si="7"/>
        <v>242</v>
      </c>
      <c r="B243" s="6" t="str">
        <f ca="1">VLOOKUP(A243,[2]characters!$A:$C,3,FALSE)</f>
        <v>百花の天使 ガブリエル</v>
      </c>
      <c r="C243" s="9">
        <f ca="1">VLOOKUP(A243,[2]characters!$A:$I,9,FALSE)</f>
        <v>4</v>
      </c>
      <c r="D243" s="9" t="str">
        <f ca="1">VLOOKUP(A243,[2]characters!$A:$H,8,FALSE)</f>
        <v>green</v>
      </c>
      <c r="E243" s="24">
        <f ca="1">VLOOKUP(D243,[2]属性!$A:$E,2,FALSE)</f>
        <v>1.02</v>
      </c>
      <c r="F243" s="24">
        <f ca="1">VLOOKUP(D243,[2]属性!$A:$E,3,FALSE)</f>
        <v>0.98</v>
      </c>
      <c r="G243" s="24">
        <f ca="1">VLOOKUP(D243,[2]属性!$A:$F,4,FALSE)</f>
        <v>1</v>
      </c>
      <c r="H243" s="9" t="str">
        <f ca="1">VLOOKUP(A243,[2]characters!$A:$K,11,FALSE)</f>
        <v>balance</v>
      </c>
      <c r="I243" s="14" t="str">
        <f ca="1">VLOOKUP(H243,[2]character_type_i18n!$A:$F,3,FALSE)</f>
        <v>バランスタイプ</v>
      </c>
      <c r="J243" s="36">
        <f ca="1">VLOOKUP(H243,[2]character_type_i18n!$A:$F,4,FALSE)</f>
        <v>1</v>
      </c>
      <c r="K243" s="36">
        <f ca="1">VLOOKUP(H243,[2]character_type_i18n!$A:$F,5,FALSE)</f>
        <v>1</v>
      </c>
      <c r="L243" s="36">
        <f ca="1">VLOOKUP(H243,[2]character_type_i18n!$A:$F,6,FALSE)</f>
        <v>1</v>
      </c>
      <c r="M243" s="9" t="str">
        <f ca="1">VLOOKUP(A243,[2]characters!$A:$M,13,FALSE)</f>
        <v>machine</v>
      </c>
      <c r="N243" s="14" t="str">
        <f ca="1">VLOOKUP(M243,[2]character_tribe_i18n!$A:$F,3,FALSE)</f>
        <v>マシン</v>
      </c>
      <c r="O243" s="24">
        <f ca="1">VLOOKUP(M243,[2]character_tribe_i18n!$A:$F,4,FALSE)</f>
        <v>1</v>
      </c>
      <c r="P243" s="24">
        <f ca="1">VLOOKUP(M243,[2]character_tribe_i18n!$A:$F,5,FALSE)</f>
        <v>1</v>
      </c>
      <c r="Q243" s="24">
        <f ca="1">VLOOKUP(M243,[2]character_tribe_i18n!$A:$F,6,FALSE)</f>
        <v>1</v>
      </c>
      <c r="R243" s="25" t="s">
        <v>4</v>
      </c>
      <c r="S243" s="24">
        <f>VLOOKUP($R243,ラベル別係数!$A$1:$E$7,3,FALSE)</f>
        <v>5</v>
      </c>
      <c r="T243" s="24">
        <f>VLOOKUP($R243,ラベル別係数!$A$1:$E$7,4,FALSE)</f>
        <v>1.3</v>
      </c>
      <c r="U243" s="24">
        <f>VLOOKUP($R243,ラベル別係数!$A$1:$E$7,5,FALSE)</f>
        <v>0.8</v>
      </c>
      <c r="V243" s="27">
        <v>4</v>
      </c>
      <c r="W243" s="28">
        <f>VLOOKUP(V243,ターン数別攻撃係数!$A$1:$B$1000,2,FALSE)</f>
        <v>1.2</v>
      </c>
      <c r="X243" s="10">
        <v>30</v>
      </c>
      <c r="Y243" s="26">
        <f>VLOOKUP($X243,サイズ別係数!$B:$E,2,FALSE)</f>
        <v>1.3</v>
      </c>
      <c r="Z243" s="26">
        <f>VLOOKUP($X243,サイズ別係数!$B:$E,3,FALSE)</f>
        <v>1.3</v>
      </c>
      <c r="AA243" s="26">
        <f>VLOOKUP($X243,サイズ別係数!$B:$E,4,FALSE)</f>
        <v>1.1000000000000001</v>
      </c>
      <c r="AB243" s="5">
        <v>0</v>
      </c>
      <c r="AC243" s="34" t="str">
        <f ca="1">VLOOKUP($AB243,OFFSET([3]enemy_skill_sets!$B$2,0,0,COUNTA([3]enemy_skill_sets!$A:$A),MATCH(AC$1,[3]enemy_skill_sets!$1:$1,0)-MATCH($AB$1,[3]enemy_skill_sets!$1:$1,0)+1),MATCH(AC$1,[3]enemy_skill_sets!$1:$1,0)-MATCH($AB$1,[3]enemy_skill_sets!$1:$1,0)+1,FALSE)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3" s="27">
        <v>1</v>
      </c>
      <c r="AE243" s="37">
        <v>1</v>
      </c>
      <c r="AF243" s="37">
        <v>0</v>
      </c>
      <c r="AG243" s="28">
        <f ca="1">ROUND(VLOOKUP(1,enemy_base_stats!$A:$F,2,FALSE) * Y243* J243*O243*E243*S243*AD243*[2]ステータス!$B$2,0)</f>
        <v>3315</v>
      </c>
      <c r="AH243" s="28">
        <f ca="1">ROUND(VLOOKUP(1,enemy_base_stats!$A:$F,3,FALSE) * Z243*K243*P243*F243*T243*AE243 * W243*[2]ステータス!$C$2,0)</f>
        <v>298</v>
      </c>
      <c r="AI243" s="28">
        <f ca="1">ROUND(VLOOKUP(1,enemy_base_stats!$A:$F,4,FALSE) * AA243*L243*Q243*G243*U243*AF243*[2]ステータス!$D$2,0)</f>
        <v>0</v>
      </c>
      <c r="AJ243" s="28">
        <f ca="1">ROUND(VLOOKUP(100,enemy_base_stats!$A:$F,2,FALSE) * Y243* J243*O243*E243*S243*AD243*[2]ステータス!$B$2,0)</f>
        <v>134589</v>
      </c>
      <c r="AK243" s="28">
        <f ca="1">ROUND(VLOOKUP(100,enemy_base_stats!$A:$F,3,FALSE)* Z243* K243*P243*F243*T243*AE243 * W243*[2]ステータス!$C$2,0)</f>
        <v>12104</v>
      </c>
      <c r="AL243" s="28">
        <f ca="1">ROUND(VLOOKUP(100,enemy_base_stats!$A:$F,4,FALSE)* AA243* L243*Q243*G243*U243*AF243*[2]ステータス!$D$2,0)</f>
        <v>0</v>
      </c>
      <c r="AM243" s="24">
        <f ca="1">VLOOKUP(M243,[2]character_tribe_i18n!$A:$I,9,FALSE)</f>
        <v>520</v>
      </c>
      <c r="AN243" s="36">
        <v>0</v>
      </c>
      <c r="AO243" s="53">
        <v>0</v>
      </c>
      <c r="AP243" s="58" t="s">
        <v>72</v>
      </c>
      <c r="AQ243" s="71">
        <f t="shared" ca="1" si="6"/>
        <v>242</v>
      </c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</row>
    <row r="244" spans="1:60" s="3" customFormat="1" ht="21" customHeight="1" x14ac:dyDescent="0.15">
      <c r="A244" s="7">
        <f t="shared" ca="1" si="7"/>
        <v>243</v>
      </c>
      <c r="B244" s="6" t="str">
        <f ca="1">VLOOKUP(A244,[2]characters!$A:$C,3,FALSE)</f>
        <v>万花の天使 ガブリエル・ブルーム</v>
      </c>
      <c r="C244" s="9">
        <f ca="1">VLOOKUP(A244,[2]characters!$A:$I,9,FALSE)</f>
        <v>5</v>
      </c>
      <c r="D244" s="9" t="str">
        <f ca="1">VLOOKUP(A244,[2]characters!$A:$H,8,FALSE)</f>
        <v>green</v>
      </c>
      <c r="E244" s="24">
        <f ca="1">VLOOKUP(D244,[2]属性!$A:$E,2,FALSE)</f>
        <v>1.02</v>
      </c>
      <c r="F244" s="24">
        <f ca="1">VLOOKUP(D244,[2]属性!$A:$E,3,FALSE)</f>
        <v>0.98</v>
      </c>
      <c r="G244" s="24">
        <f ca="1">VLOOKUP(D244,[2]属性!$A:$F,4,FALSE)</f>
        <v>1</v>
      </c>
      <c r="H244" s="9" t="str">
        <f ca="1">VLOOKUP(A244,[2]characters!$A:$K,11,FALSE)</f>
        <v>balance</v>
      </c>
      <c r="I244" s="14" t="str">
        <f ca="1">VLOOKUP(H244,[2]character_type_i18n!$A:$F,3,FALSE)</f>
        <v>バランスタイプ</v>
      </c>
      <c r="J244" s="36">
        <f ca="1">VLOOKUP(H244,[2]character_type_i18n!$A:$F,4,FALSE)</f>
        <v>1</v>
      </c>
      <c r="K244" s="36">
        <f ca="1">VLOOKUP(H244,[2]character_type_i18n!$A:$F,5,FALSE)</f>
        <v>1</v>
      </c>
      <c r="L244" s="36">
        <f ca="1">VLOOKUP(H244,[2]character_type_i18n!$A:$F,6,FALSE)</f>
        <v>1</v>
      </c>
      <c r="M244" s="9" t="str">
        <f ca="1">VLOOKUP(A244,[2]characters!$A:$M,13,FALSE)</f>
        <v>machine</v>
      </c>
      <c r="N244" s="14" t="str">
        <f ca="1">VLOOKUP(M244,[2]character_tribe_i18n!$A:$F,3,FALSE)</f>
        <v>マシン</v>
      </c>
      <c r="O244" s="24">
        <f ca="1">VLOOKUP(M244,[2]character_tribe_i18n!$A:$F,4,FALSE)</f>
        <v>1</v>
      </c>
      <c r="P244" s="24">
        <f ca="1">VLOOKUP(M244,[2]character_tribe_i18n!$A:$F,5,FALSE)</f>
        <v>1</v>
      </c>
      <c r="Q244" s="24">
        <f ca="1">VLOOKUP(M244,[2]character_tribe_i18n!$A:$F,6,FALSE)</f>
        <v>1</v>
      </c>
      <c r="R244" s="25" t="s">
        <v>4</v>
      </c>
      <c r="S244" s="24">
        <f>VLOOKUP($R244,ラベル別係数!$A$1:$E$7,3,FALSE)</f>
        <v>5</v>
      </c>
      <c r="T244" s="24">
        <f>VLOOKUP($R244,ラベル別係数!$A$1:$E$7,4,FALSE)</f>
        <v>1.3</v>
      </c>
      <c r="U244" s="24">
        <f>VLOOKUP($R244,ラベル別係数!$A$1:$E$7,5,FALSE)</f>
        <v>0.8</v>
      </c>
      <c r="V244" s="27">
        <v>4</v>
      </c>
      <c r="W244" s="28">
        <f>VLOOKUP(V244,ターン数別攻撃係数!$A$1:$B$1000,2,FALSE)</f>
        <v>1.2</v>
      </c>
      <c r="X244" s="10">
        <v>60</v>
      </c>
      <c r="Y244" s="26">
        <f>VLOOKUP($X244,サイズ別係数!$B:$E,2,FALSE)</f>
        <v>1.7</v>
      </c>
      <c r="Z244" s="26">
        <f>VLOOKUP($X244,サイズ別係数!$B:$E,3,FALSE)</f>
        <v>1.4</v>
      </c>
      <c r="AA244" s="26">
        <f>VLOOKUP($X244,サイズ別係数!$B:$E,4,FALSE)</f>
        <v>1</v>
      </c>
      <c r="AB244" s="5">
        <v>0</v>
      </c>
      <c r="AC244" s="34" t="str">
        <f ca="1">VLOOKUP($AB244,OFFSET([3]enemy_skill_sets!$B$2,0,0,COUNTA([3]enemy_skill_sets!$A:$A),MATCH(AC$1,[3]enemy_skill_sets!$1:$1,0)-MATCH($AB$1,[3]enemy_skill_sets!$1:$1,0)+1),MATCH(AC$1,[3]enemy_skill_sets!$1:$1,0)-MATCH($AB$1,[3]enemy_skill_sets!$1:$1,0)+1,FALSE)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4" s="27">
        <v>1</v>
      </c>
      <c r="AE244" s="37">
        <v>1</v>
      </c>
      <c r="AF244" s="37">
        <v>0</v>
      </c>
      <c r="AG244" s="28">
        <f ca="1">ROUND(VLOOKUP(1,enemy_base_stats!$A:$F,2,FALSE) * Y244* J244*O244*E244*S244*AD244*[2]ステータス!$B$2,0)</f>
        <v>4335</v>
      </c>
      <c r="AH244" s="28">
        <f ca="1">ROUND(VLOOKUP(1,enemy_base_stats!$A:$F,3,FALSE) * Z244*K244*P244*F244*T244*AE244 * W244*[2]ステータス!$C$2,0)</f>
        <v>321</v>
      </c>
      <c r="AI244" s="28">
        <f ca="1">ROUND(VLOOKUP(1,enemy_base_stats!$A:$F,4,FALSE) * AA244*L244*Q244*G244*U244*AF244*[2]ステータス!$D$2,0)</f>
        <v>0</v>
      </c>
      <c r="AJ244" s="28">
        <f ca="1">ROUND(VLOOKUP(100,enemy_base_stats!$A:$F,2,FALSE) * Y244* J244*O244*E244*S244*AD244*[2]ステータス!$B$2,0)</f>
        <v>176001</v>
      </c>
      <c r="AK244" s="28">
        <f ca="1">ROUND(VLOOKUP(100,enemy_base_stats!$A:$F,3,FALSE)* Z244* K244*P244*F244*T244*AE244 * W244*[2]ステータス!$C$2,0)</f>
        <v>13035</v>
      </c>
      <c r="AL244" s="28">
        <f ca="1">ROUND(VLOOKUP(100,enemy_base_stats!$A:$F,4,FALSE)* AA244* L244*Q244*G244*U244*AF244*[2]ステータス!$D$2,0)</f>
        <v>0</v>
      </c>
      <c r="AM244" s="24">
        <f ca="1">VLOOKUP(M244,[2]character_tribe_i18n!$A:$I,9,FALSE)</f>
        <v>520</v>
      </c>
      <c r="AN244" s="36">
        <v>0</v>
      </c>
      <c r="AO244" s="53">
        <v>0</v>
      </c>
      <c r="AP244" s="58" t="s">
        <v>72</v>
      </c>
      <c r="AQ244" s="71">
        <f t="shared" ca="1" si="6"/>
        <v>243</v>
      </c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</row>
    <row r="245" spans="1:60" s="3" customFormat="1" ht="21" customHeight="1" x14ac:dyDescent="0.15">
      <c r="A245" s="7">
        <f t="shared" ca="1" si="7"/>
        <v>244</v>
      </c>
      <c r="B245" s="6" t="str">
        <f ca="1">VLOOKUP(A245,[2]characters!$A:$C,3,FALSE)</f>
        <v>ラファエル</v>
      </c>
      <c r="C245" s="9">
        <f ca="1">VLOOKUP(A245,[2]characters!$A:$I,9,FALSE)</f>
        <v>3</v>
      </c>
      <c r="D245" s="9" t="str">
        <f ca="1">VLOOKUP(A245,[2]characters!$A:$H,8,FALSE)</f>
        <v>blue</v>
      </c>
      <c r="E245" s="24">
        <f ca="1">VLOOKUP(D245,[2]属性!$A:$E,2,FALSE)</f>
        <v>1</v>
      </c>
      <c r="F245" s="24">
        <f ca="1">VLOOKUP(D245,[2]属性!$A:$E,3,FALSE)</f>
        <v>0.98</v>
      </c>
      <c r="G245" s="24">
        <f ca="1">VLOOKUP(D245,[2]属性!$A:$F,4,FALSE)</f>
        <v>1</v>
      </c>
      <c r="H245" s="9" t="str">
        <f ca="1">VLOOKUP(A245,[2]characters!$A:$K,11,FALSE)</f>
        <v>balance</v>
      </c>
      <c r="I245" s="14" t="str">
        <f ca="1">VLOOKUP(H245,[2]character_type_i18n!$A:$F,3,FALSE)</f>
        <v>バランスタイプ</v>
      </c>
      <c r="J245" s="36">
        <f ca="1">VLOOKUP(H245,[2]character_type_i18n!$A:$F,4,FALSE)</f>
        <v>1</v>
      </c>
      <c r="K245" s="36">
        <f ca="1">VLOOKUP(H245,[2]character_type_i18n!$A:$F,5,FALSE)</f>
        <v>1</v>
      </c>
      <c r="L245" s="36">
        <f ca="1">VLOOKUP(H245,[2]character_type_i18n!$A:$F,6,FALSE)</f>
        <v>1</v>
      </c>
      <c r="M245" s="9" t="str">
        <f ca="1">VLOOKUP(A245,[2]characters!$A:$M,13,FALSE)</f>
        <v>machine</v>
      </c>
      <c r="N245" s="14" t="str">
        <f ca="1">VLOOKUP(M245,[2]character_tribe_i18n!$A:$F,3,FALSE)</f>
        <v>マシン</v>
      </c>
      <c r="O245" s="24">
        <f ca="1">VLOOKUP(M245,[2]character_tribe_i18n!$A:$F,4,FALSE)</f>
        <v>1</v>
      </c>
      <c r="P245" s="24">
        <f ca="1">VLOOKUP(M245,[2]character_tribe_i18n!$A:$F,5,FALSE)</f>
        <v>1</v>
      </c>
      <c r="Q245" s="24">
        <f ca="1">VLOOKUP(M245,[2]character_tribe_i18n!$A:$F,6,FALSE)</f>
        <v>1</v>
      </c>
      <c r="R245" s="25" t="s">
        <v>4</v>
      </c>
      <c r="S245" s="24">
        <f>VLOOKUP($R245,ラベル別係数!$A$1:$E$7,3,FALSE)</f>
        <v>5</v>
      </c>
      <c r="T245" s="24">
        <f>VLOOKUP($R245,ラベル別係数!$A$1:$E$7,4,FALSE)</f>
        <v>1.3</v>
      </c>
      <c r="U245" s="24">
        <f>VLOOKUP($R245,ラベル別係数!$A$1:$E$7,5,FALSE)</f>
        <v>0.8</v>
      </c>
      <c r="V245" s="27">
        <v>2</v>
      </c>
      <c r="W245" s="28">
        <f>VLOOKUP(V245,ターン数別攻撃係数!$A$1:$B$1000,2,FALSE)</f>
        <v>0.75</v>
      </c>
      <c r="X245" s="10">
        <v>20</v>
      </c>
      <c r="Y245" s="26">
        <f>VLOOKUP($X245,サイズ別係数!$B:$E,2,FALSE)</f>
        <v>1.1000000000000001</v>
      </c>
      <c r="Z245" s="26">
        <f>VLOOKUP($X245,サイズ別係数!$B:$E,3,FALSE)</f>
        <v>1.2</v>
      </c>
      <c r="AA245" s="26">
        <f>VLOOKUP($X245,サイズ別係数!$B:$E,4,FALSE)</f>
        <v>1.2</v>
      </c>
      <c r="AB245" s="5">
        <v>0</v>
      </c>
      <c r="AC245" s="34" t="str">
        <f ca="1">VLOOKUP($AB245,OFFSET([3]enemy_skill_sets!$B$2,0,0,COUNTA([3]enemy_skill_sets!$A:$A),MATCH(AC$1,[3]enemy_skill_sets!$1:$1,0)-MATCH($AB$1,[3]enemy_skill_sets!$1:$1,0)+1),MATCH(AC$1,[3]enemy_skill_sets!$1:$1,0)-MATCH($AB$1,[3]enemy_skill_sets!$1:$1,0)+1,FALSE)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5" s="27">
        <v>1</v>
      </c>
      <c r="AE245" s="37">
        <v>1</v>
      </c>
      <c r="AF245" s="37">
        <v>0</v>
      </c>
      <c r="AG245" s="28">
        <f ca="1">ROUND(VLOOKUP(1,enemy_base_stats!$A:$F,2,FALSE) * Y245* J245*O245*E245*S245*AD245*[2]ステータス!$B$2,0)</f>
        <v>2750</v>
      </c>
      <c r="AH245" s="28">
        <f ca="1">ROUND(VLOOKUP(1,enemy_base_stats!$A:$F,3,FALSE) * Z245*K245*P245*F245*T245*AE245 * W245*[2]ステータス!$C$2,0)</f>
        <v>172</v>
      </c>
      <c r="AI245" s="28">
        <f ca="1">ROUND(VLOOKUP(1,enemy_base_stats!$A:$F,4,FALSE) * AA245*L245*Q245*G245*U245*AF245*[2]ステータス!$D$2,0)</f>
        <v>0</v>
      </c>
      <c r="AJ245" s="28">
        <f ca="1">ROUND(VLOOKUP(100,enemy_base_stats!$A:$F,2,FALSE) * Y245* J245*O245*E245*S245*AD245*[2]ステータス!$B$2,0)</f>
        <v>111650</v>
      </c>
      <c r="AK245" s="28">
        <f ca="1">ROUND(VLOOKUP(100,enemy_base_stats!$A:$F,3,FALSE)* Z245* K245*P245*F245*T245*AE245 * W245*[2]ステータス!$C$2,0)</f>
        <v>6983</v>
      </c>
      <c r="AL245" s="28">
        <f ca="1">ROUND(VLOOKUP(100,enemy_base_stats!$A:$F,4,FALSE)* AA245* L245*Q245*G245*U245*AF245*[2]ステータス!$D$2,0)</f>
        <v>0</v>
      </c>
      <c r="AM245" s="24">
        <f ca="1">VLOOKUP(M245,[2]character_tribe_i18n!$A:$I,9,FALSE)</f>
        <v>520</v>
      </c>
      <c r="AN245" s="36">
        <v>0</v>
      </c>
      <c r="AO245" s="53">
        <v>0</v>
      </c>
      <c r="AP245" s="58" t="s">
        <v>72</v>
      </c>
      <c r="AQ245" s="71">
        <f t="shared" ca="1" si="6"/>
        <v>244</v>
      </c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</row>
    <row r="246" spans="1:60" s="3" customFormat="1" ht="21" customHeight="1" x14ac:dyDescent="0.15">
      <c r="A246" s="7">
        <f t="shared" ca="1" si="7"/>
        <v>245</v>
      </c>
      <c r="B246" s="6" t="str">
        <f ca="1">VLOOKUP(A246,[2]characters!$A:$C,3,FALSE)</f>
        <v>鎮癒の天使 ラファエル</v>
      </c>
      <c r="C246" s="9">
        <f ca="1">VLOOKUP(A246,[2]characters!$A:$I,9,FALSE)</f>
        <v>4</v>
      </c>
      <c r="D246" s="9" t="str">
        <f ca="1">VLOOKUP(A246,[2]characters!$A:$H,8,FALSE)</f>
        <v>blue</v>
      </c>
      <c r="E246" s="24">
        <f ca="1">VLOOKUP(D246,[2]属性!$A:$E,2,FALSE)</f>
        <v>1</v>
      </c>
      <c r="F246" s="24">
        <f ca="1">VLOOKUP(D246,[2]属性!$A:$E,3,FALSE)</f>
        <v>0.98</v>
      </c>
      <c r="G246" s="24">
        <f ca="1">VLOOKUP(D246,[2]属性!$A:$F,4,FALSE)</f>
        <v>1</v>
      </c>
      <c r="H246" s="9" t="str">
        <f ca="1">VLOOKUP(A246,[2]characters!$A:$K,11,FALSE)</f>
        <v>balance</v>
      </c>
      <c r="I246" s="14" t="str">
        <f ca="1">VLOOKUP(H246,[2]character_type_i18n!$A:$F,3,FALSE)</f>
        <v>バランスタイプ</v>
      </c>
      <c r="J246" s="36">
        <f ca="1">VLOOKUP(H246,[2]character_type_i18n!$A:$F,4,FALSE)</f>
        <v>1</v>
      </c>
      <c r="K246" s="36">
        <f ca="1">VLOOKUP(H246,[2]character_type_i18n!$A:$F,5,FALSE)</f>
        <v>1</v>
      </c>
      <c r="L246" s="36">
        <f ca="1">VLOOKUP(H246,[2]character_type_i18n!$A:$F,6,FALSE)</f>
        <v>1</v>
      </c>
      <c r="M246" s="9" t="str">
        <f ca="1">VLOOKUP(A246,[2]characters!$A:$M,13,FALSE)</f>
        <v>machine</v>
      </c>
      <c r="N246" s="14" t="str">
        <f ca="1">VLOOKUP(M246,[2]character_tribe_i18n!$A:$F,3,FALSE)</f>
        <v>マシン</v>
      </c>
      <c r="O246" s="24">
        <f ca="1">VLOOKUP(M246,[2]character_tribe_i18n!$A:$F,4,FALSE)</f>
        <v>1</v>
      </c>
      <c r="P246" s="24">
        <f ca="1">VLOOKUP(M246,[2]character_tribe_i18n!$A:$F,5,FALSE)</f>
        <v>1</v>
      </c>
      <c r="Q246" s="24">
        <f ca="1">VLOOKUP(M246,[2]character_tribe_i18n!$A:$F,6,FALSE)</f>
        <v>1</v>
      </c>
      <c r="R246" s="25" t="s">
        <v>4</v>
      </c>
      <c r="S246" s="24">
        <f>VLOOKUP($R246,ラベル別係数!$A$1:$E$7,3,FALSE)</f>
        <v>5</v>
      </c>
      <c r="T246" s="24">
        <f>VLOOKUP($R246,ラベル別係数!$A$1:$E$7,4,FALSE)</f>
        <v>1.3</v>
      </c>
      <c r="U246" s="24">
        <f>VLOOKUP($R246,ラベル別係数!$A$1:$E$7,5,FALSE)</f>
        <v>0.8</v>
      </c>
      <c r="V246" s="27">
        <v>2</v>
      </c>
      <c r="W246" s="28">
        <f>VLOOKUP(V246,ターン数別攻撃係数!$A$1:$B$1000,2,FALSE)</f>
        <v>0.75</v>
      </c>
      <c r="X246" s="10">
        <v>30</v>
      </c>
      <c r="Y246" s="26">
        <f>VLOOKUP($X246,サイズ別係数!$B:$E,2,FALSE)</f>
        <v>1.3</v>
      </c>
      <c r="Z246" s="26">
        <f>VLOOKUP($X246,サイズ別係数!$B:$E,3,FALSE)</f>
        <v>1.3</v>
      </c>
      <c r="AA246" s="26">
        <f>VLOOKUP($X246,サイズ別係数!$B:$E,4,FALSE)</f>
        <v>1.1000000000000001</v>
      </c>
      <c r="AB246" s="5">
        <v>0</v>
      </c>
      <c r="AC246" s="34" t="str">
        <f ca="1">VLOOKUP($AB246,OFFSET([3]enemy_skill_sets!$B$2,0,0,COUNTA([3]enemy_skill_sets!$A:$A),MATCH(AC$1,[3]enemy_skill_sets!$1:$1,0)-MATCH($AB$1,[3]enemy_skill_sets!$1:$1,0)+1),MATCH(AC$1,[3]enemy_skill_sets!$1:$1,0)-MATCH($AB$1,[3]enemy_skill_sets!$1:$1,0)+1,FALSE)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6" s="27">
        <v>1</v>
      </c>
      <c r="AE246" s="37">
        <v>1</v>
      </c>
      <c r="AF246" s="37">
        <v>0</v>
      </c>
      <c r="AG246" s="28">
        <f ca="1">ROUND(VLOOKUP(1,enemy_base_stats!$A:$F,2,FALSE) * Y246* J246*O246*E246*S246*AD246*[2]ステータス!$B$2,0)</f>
        <v>3250</v>
      </c>
      <c r="AH246" s="28">
        <f ca="1">ROUND(VLOOKUP(1,enemy_base_stats!$A:$F,3,FALSE) * Z246*K246*P246*F246*T246*AE246 * W246*[2]ステータス!$C$2,0)</f>
        <v>186</v>
      </c>
      <c r="AI246" s="28">
        <f ca="1">ROUND(VLOOKUP(1,enemy_base_stats!$A:$F,4,FALSE) * AA246*L246*Q246*G246*U246*AF246*[2]ステータス!$D$2,0)</f>
        <v>0</v>
      </c>
      <c r="AJ246" s="28">
        <f ca="1">ROUND(VLOOKUP(100,enemy_base_stats!$A:$F,2,FALSE) * Y246* J246*O246*E246*S246*AD246*[2]ステータス!$B$2,0)</f>
        <v>131950</v>
      </c>
      <c r="AK246" s="28">
        <f ca="1">ROUND(VLOOKUP(100,enemy_base_stats!$A:$F,3,FALSE)* Z246* K246*P246*F246*T246*AE246 * W246*[2]ステータス!$C$2,0)</f>
        <v>7565</v>
      </c>
      <c r="AL246" s="28">
        <f ca="1">ROUND(VLOOKUP(100,enemy_base_stats!$A:$F,4,FALSE)* AA246* L246*Q246*G246*U246*AF246*[2]ステータス!$D$2,0)</f>
        <v>0</v>
      </c>
      <c r="AM246" s="24">
        <f ca="1">VLOOKUP(M246,[2]character_tribe_i18n!$A:$I,9,FALSE)</f>
        <v>520</v>
      </c>
      <c r="AN246" s="36">
        <v>0</v>
      </c>
      <c r="AO246" s="53">
        <v>0</v>
      </c>
      <c r="AP246" s="58" t="s">
        <v>72</v>
      </c>
      <c r="AQ246" s="71">
        <f t="shared" ca="1" si="6"/>
        <v>245</v>
      </c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</row>
    <row r="247" spans="1:60" s="3" customFormat="1" ht="21" customHeight="1" x14ac:dyDescent="0.15">
      <c r="A247" s="7">
        <f t="shared" ca="1" si="7"/>
        <v>246</v>
      </c>
      <c r="B247" s="6" t="str">
        <f ca="1">VLOOKUP(A247,[2]characters!$A:$C,3,FALSE)</f>
        <v>真癒の天使 ラファエル・メディカ</v>
      </c>
      <c r="C247" s="9">
        <f ca="1">VLOOKUP(A247,[2]characters!$A:$I,9,FALSE)</f>
        <v>5</v>
      </c>
      <c r="D247" s="9" t="str">
        <f ca="1">VLOOKUP(A247,[2]characters!$A:$H,8,FALSE)</f>
        <v>blue</v>
      </c>
      <c r="E247" s="24">
        <f ca="1">VLOOKUP(D247,[2]属性!$A:$E,2,FALSE)</f>
        <v>1</v>
      </c>
      <c r="F247" s="24">
        <f ca="1">VLOOKUP(D247,[2]属性!$A:$E,3,FALSE)</f>
        <v>0.98</v>
      </c>
      <c r="G247" s="24">
        <f ca="1">VLOOKUP(D247,[2]属性!$A:$F,4,FALSE)</f>
        <v>1</v>
      </c>
      <c r="H247" s="9" t="str">
        <f ca="1">VLOOKUP(A247,[2]characters!$A:$K,11,FALSE)</f>
        <v>balance</v>
      </c>
      <c r="I247" s="14" t="str">
        <f ca="1">VLOOKUP(H247,[2]character_type_i18n!$A:$F,3,FALSE)</f>
        <v>バランスタイプ</v>
      </c>
      <c r="J247" s="36">
        <f ca="1">VLOOKUP(H247,[2]character_type_i18n!$A:$F,4,FALSE)</f>
        <v>1</v>
      </c>
      <c r="K247" s="36">
        <f ca="1">VLOOKUP(H247,[2]character_type_i18n!$A:$F,5,FALSE)</f>
        <v>1</v>
      </c>
      <c r="L247" s="36">
        <f ca="1">VLOOKUP(H247,[2]character_type_i18n!$A:$F,6,FALSE)</f>
        <v>1</v>
      </c>
      <c r="M247" s="9" t="str">
        <f ca="1">VLOOKUP(A247,[2]characters!$A:$M,13,FALSE)</f>
        <v>machine</v>
      </c>
      <c r="N247" s="14" t="str">
        <f ca="1">VLOOKUP(M247,[2]character_tribe_i18n!$A:$F,3,FALSE)</f>
        <v>マシン</v>
      </c>
      <c r="O247" s="24">
        <f ca="1">VLOOKUP(M247,[2]character_tribe_i18n!$A:$F,4,FALSE)</f>
        <v>1</v>
      </c>
      <c r="P247" s="24">
        <f ca="1">VLOOKUP(M247,[2]character_tribe_i18n!$A:$F,5,FALSE)</f>
        <v>1</v>
      </c>
      <c r="Q247" s="24">
        <f ca="1">VLOOKUP(M247,[2]character_tribe_i18n!$A:$F,6,FALSE)</f>
        <v>1</v>
      </c>
      <c r="R247" s="25" t="s">
        <v>4</v>
      </c>
      <c r="S247" s="24">
        <f>VLOOKUP($R247,ラベル別係数!$A$1:$E$7,3,FALSE)</f>
        <v>5</v>
      </c>
      <c r="T247" s="24">
        <f>VLOOKUP($R247,ラベル別係数!$A$1:$E$7,4,FALSE)</f>
        <v>1.3</v>
      </c>
      <c r="U247" s="24">
        <f>VLOOKUP($R247,ラベル別係数!$A$1:$E$7,5,FALSE)</f>
        <v>0.8</v>
      </c>
      <c r="V247" s="27">
        <v>2</v>
      </c>
      <c r="W247" s="28">
        <f>VLOOKUP(V247,ターン数別攻撃係数!$A$1:$B$1000,2,FALSE)</f>
        <v>0.75</v>
      </c>
      <c r="X247" s="10">
        <v>60</v>
      </c>
      <c r="Y247" s="26">
        <f>VLOOKUP($X247,サイズ別係数!$B:$E,2,FALSE)</f>
        <v>1.7</v>
      </c>
      <c r="Z247" s="26">
        <f>VLOOKUP($X247,サイズ別係数!$B:$E,3,FALSE)</f>
        <v>1.4</v>
      </c>
      <c r="AA247" s="26">
        <f>VLOOKUP($X247,サイズ別係数!$B:$E,4,FALSE)</f>
        <v>1</v>
      </c>
      <c r="AB247" s="5">
        <v>0</v>
      </c>
      <c r="AC247" s="34" t="str">
        <f ca="1">VLOOKUP($AB247,OFFSET([3]enemy_skill_sets!$B$2,0,0,COUNTA([3]enemy_skill_sets!$A:$A),MATCH(AC$1,[3]enemy_skill_sets!$1:$1,0)-MATCH($AB$1,[3]enemy_skill_sets!$1:$1,0)+1),MATCH(AC$1,[3]enemy_skill_sets!$1:$1,0)-MATCH($AB$1,[3]enemy_skill_sets!$1:$1,0)+1,FALSE)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7" s="27">
        <v>1</v>
      </c>
      <c r="AE247" s="37">
        <v>1</v>
      </c>
      <c r="AF247" s="37">
        <v>0</v>
      </c>
      <c r="AG247" s="28">
        <f ca="1">ROUND(VLOOKUP(1,enemy_base_stats!$A:$F,2,FALSE) * Y247* J247*O247*E247*S247*AD247*[2]ステータス!$B$2,0)</f>
        <v>4250</v>
      </c>
      <c r="AH247" s="28">
        <f ca="1">ROUND(VLOOKUP(1,enemy_base_stats!$A:$F,3,FALSE) * Z247*K247*P247*F247*T247*AE247 * W247*[2]ステータス!$C$2,0)</f>
        <v>201</v>
      </c>
      <c r="AI247" s="28">
        <f ca="1">ROUND(VLOOKUP(1,enemy_base_stats!$A:$F,4,FALSE) * AA247*L247*Q247*G247*U247*AF247*[2]ステータス!$D$2,0)</f>
        <v>0</v>
      </c>
      <c r="AJ247" s="28">
        <f ca="1">ROUND(VLOOKUP(100,enemy_base_stats!$A:$F,2,FALSE) * Y247* J247*O247*E247*S247*AD247*[2]ステータス!$B$2,0)</f>
        <v>172550</v>
      </c>
      <c r="AK247" s="28">
        <f ca="1">ROUND(VLOOKUP(100,enemy_base_stats!$A:$F,3,FALSE)* Z247* K247*P247*F247*T247*AE247 * W247*[2]ステータス!$C$2,0)</f>
        <v>8147</v>
      </c>
      <c r="AL247" s="28">
        <f ca="1">ROUND(VLOOKUP(100,enemy_base_stats!$A:$F,4,FALSE)* AA247* L247*Q247*G247*U247*AF247*[2]ステータス!$D$2,0)</f>
        <v>0</v>
      </c>
      <c r="AM247" s="24">
        <f ca="1">VLOOKUP(M247,[2]character_tribe_i18n!$A:$I,9,FALSE)</f>
        <v>520</v>
      </c>
      <c r="AN247" s="36">
        <v>0</v>
      </c>
      <c r="AO247" s="53">
        <v>0</v>
      </c>
      <c r="AP247" s="58" t="s">
        <v>72</v>
      </c>
      <c r="AQ247" s="71">
        <f t="shared" ca="1" si="6"/>
        <v>246</v>
      </c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</row>
    <row r="248" spans="1:60" s="3" customFormat="1" ht="21" customHeight="1" x14ac:dyDescent="0.15">
      <c r="A248" s="7">
        <f t="shared" ca="1" si="7"/>
        <v>247</v>
      </c>
      <c r="B248" s="6" t="str">
        <f ca="1">VLOOKUP(A248,[2]characters!$A:$C,3,FALSE)</f>
        <v>ミカエル</v>
      </c>
      <c r="C248" s="9">
        <f ca="1">VLOOKUP(A248,[2]characters!$A:$I,9,FALSE)</f>
        <v>3</v>
      </c>
      <c r="D248" s="9" t="str">
        <f ca="1">VLOOKUP(A248,[2]characters!$A:$H,8,FALSE)</f>
        <v>yellow</v>
      </c>
      <c r="E248" s="24">
        <f ca="1">VLOOKUP(D248,[2]属性!$A:$E,2,FALSE)</f>
        <v>0.98</v>
      </c>
      <c r="F248" s="24">
        <f ca="1">VLOOKUP(D248,[2]属性!$A:$E,3,FALSE)</f>
        <v>1.01</v>
      </c>
      <c r="G248" s="24">
        <f ca="1">VLOOKUP(D248,[2]属性!$A:$F,4,FALSE)</f>
        <v>1</v>
      </c>
      <c r="H248" s="9" t="str">
        <f ca="1">VLOOKUP(A248,[2]characters!$A:$K,11,FALSE)</f>
        <v>attack</v>
      </c>
      <c r="I248" s="14" t="str">
        <f ca="1">VLOOKUP(H248,[2]character_type_i18n!$A:$F,3,FALSE)</f>
        <v>攻撃タイプ</v>
      </c>
      <c r="J248" s="36">
        <f ca="1">VLOOKUP(H248,[2]character_type_i18n!$A:$F,4,FALSE)</f>
        <v>1</v>
      </c>
      <c r="K248" s="36">
        <f ca="1">VLOOKUP(H248,[2]character_type_i18n!$A:$F,5,FALSE)</f>
        <v>1.33</v>
      </c>
      <c r="L248" s="36">
        <f ca="1">VLOOKUP(H248,[2]character_type_i18n!$A:$F,6,FALSE)</f>
        <v>1</v>
      </c>
      <c r="M248" s="9" t="str">
        <f ca="1">VLOOKUP(A248,[2]characters!$A:$M,13,FALSE)</f>
        <v>machine</v>
      </c>
      <c r="N248" s="14" t="str">
        <f ca="1">VLOOKUP(M248,[2]character_tribe_i18n!$A:$F,3,FALSE)</f>
        <v>マシン</v>
      </c>
      <c r="O248" s="24">
        <f ca="1">VLOOKUP(M248,[2]character_tribe_i18n!$A:$F,4,FALSE)</f>
        <v>1</v>
      </c>
      <c r="P248" s="24">
        <f ca="1">VLOOKUP(M248,[2]character_tribe_i18n!$A:$F,5,FALSE)</f>
        <v>1</v>
      </c>
      <c r="Q248" s="24">
        <f ca="1">VLOOKUP(M248,[2]character_tribe_i18n!$A:$F,6,FALSE)</f>
        <v>1</v>
      </c>
      <c r="R248" s="25" t="s">
        <v>4</v>
      </c>
      <c r="S248" s="24">
        <f>VLOOKUP($R248,ラベル別係数!$A$1:$E$7,3,FALSE)</f>
        <v>5</v>
      </c>
      <c r="T248" s="24">
        <f>VLOOKUP($R248,ラベル別係数!$A$1:$E$7,4,FALSE)</f>
        <v>1.3</v>
      </c>
      <c r="U248" s="24">
        <f>VLOOKUP($R248,ラベル別係数!$A$1:$E$7,5,FALSE)</f>
        <v>0.8</v>
      </c>
      <c r="V248" s="27">
        <v>2</v>
      </c>
      <c r="W248" s="28">
        <f>VLOOKUP(V248,ターン数別攻撃係数!$A$1:$B$1000,2,FALSE)</f>
        <v>0.75</v>
      </c>
      <c r="X248" s="10">
        <v>20</v>
      </c>
      <c r="Y248" s="26">
        <f>VLOOKUP($X248,サイズ別係数!$B:$E,2,FALSE)</f>
        <v>1.1000000000000001</v>
      </c>
      <c r="Z248" s="26">
        <f>VLOOKUP($X248,サイズ別係数!$B:$E,3,FALSE)</f>
        <v>1.2</v>
      </c>
      <c r="AA248" s="26">
        <f>VLOOKUP($X248,サイズ別係数!$B:$E,4,FALSE)</f>
        <v>1.2</v>
      </c>
      <c r="AB248" s="5">
        <v>0</v>
      </c>
      <c r="AC248" s="34" t="str">
        <f ca="1">VLOOKUP($AB248,OFFSET([3]enemy_skill_sets!$B$2,0,0,COUNTA([3]enemy_skill_sets!$A:$A),MATCH(AC$1,[3]enemy_skill_sets!$1:$1,0)-MATCH($AB$1,[3]enemy_skill_sets!$1:$1,0)+1),MATCH(AC$1,[3]enemy_skill_sets!$1:$1,0)-MATCH($AB$1,[3]enemy_skill_sets!$1:$1,0)+1,FALSE)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8" s="27">
        <v>1</v>
      </c>
      <c r="AE248" s="37">
        <v>1</v>
      </c>
      <c r="AF248" s="37">
        <v>0</v>
      </c>
      <c r="AG248" s="28">
        <f ca="1">ROUND(VLOOKUP(1,enemy_base_stats!$A:$F,2,FALSE) * Y248* J248*O248*E248*S248*AD248*[2]ステータス!$B$2,0)</f>
        <v>2695</v>
      </c>
      <c r="AH248" s="28">
        <f ca="1">ROUND(VLOOKUP(1,enemy_base_stats!$A:$F,3,FALSE) * Z248*K248*P248*F248*T248*AE248 * W248*[2]ステータス!$C$2,0)</f>
        <v>236</v>
      </c>
      <c r="AI248" s="28">
        <f ca="1">ROUND(VLOOKUP(1,enemy_base_stats!$A:$F,4,FALSE) * AA248*L248*Q248*G248*U248*AF248*[2]ステータス!$D$2,0)</f>
        <v>0</v>
      </c>
      <c r="AJ248" s="28">
        <f ca="1">ROUND(VLOOKUP(100,enemy_base_stats!$A:$F,2,FALSE) * Y248* J248*O248*E248*S248*AD248*[2]ステータス!$B$2,0)</f>
        <v>109417</v>
      </c>
      <c r="AK248" s="28">
        <f ca="1">ROUND(VLOOKUP(100,enemy_base_stats!$A:$F,3,FALSE)* Z248* K248*P248*F248*T248*AE248 * W248*[2]ステータス!$C$2,0)</f>
        <v>9571</v>
      </c>
      <c r="AL248" s="28">
        <f ca="1">ROUND(VLOOKUP(100,enemy_base_stats!$A:$F,4,FALSE)* AA248* L248*Q248*G248*U248*AF248*[2]ステータス!$D$2,0)</f>
        <v>0</v>
      </c>
      <c r="AM248" s="24">
        <f ca="1">VLOOKUP(M248,[2]character_tribe_i18n!$A:$I,9,FALSE)</f>
        <v>520</v>
      </c>
      <c r="AN248" s="36">
        <v>0</v>
      </c>
      <c r="AO248" s="53">
        <v>0</v>
      </c>
      <c r="AP248" s="58" t="s">
        <v>72</v>
      </c>
      <c r="AQ248" s="71">
        <f t="shared" ca="1" si="6"/>
        <v>247</v>
      </c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</row>
    <row r="249" spans="1:60" s="3" customFormat="1" ht="21" customHeight="1" x14ac:dyDescent="0.15">
      <c r="A249" s="7">
        <f t="shared" ca="1" si="7"/>
        <v>248</v>
      </c>
      <c r="B249" s="6" t="str">
        <f ca="1">VLOOKUP(A249,[2]characters!$A:$C,3,FALSE)</f>
        <v>彩電の天使 ミカエル</v>
      </c>
      <c r="C249" s="9">
        <f ca="1">VLOOKUP(A249,[2]characters!$A:$I,9,FALSE)</f>
        <v>4</v>
      </c>
      <c r="D249" s="9" t="str">
        <f ca="1">VLOOKUP(A249,[2]characters!$A:$H,8,FALSE)</f>
        <v>yellow</v>
      </c>
      <c r="E249" s="24">
        <f ca="1">VLOOKUP(D249,[2]属性!$A:$E,2,FALSE)</f>
        <v>0.98</v>
      </c>
      <c r="F249" s="24">
        <f ca="1">VLOOKUP(D249,[2]属性!$A:$E,3,FALSE)</f>
        <v>1.01</v>
      </c>
      <c r="G249" s="24">
        <f ca="1">VLOOKUP(D249,[2]属性!$A:$F,4,FALSE)</f>
        <v>1</v>
      </c>
      <c r="H249" s="9" t="str">
        <f ca="1">VLOOKUP(A249,[2]characters!$A:$K,11,FALSE)</f>
        <v>attack</v>
      </c>
      <c r="I249" s="14" t="str">
        <f ca="1">VLOOKUP(H249,[2]character_type_i18n!$A:$F,3,FALSE)</f>
        <v>攻撃タイプ</v>
      </c>
      <c r="J249" s="36">
        <f ca="1">VLOOKUP(H249,[2]character_type_i18n!$A:$F,4,FALSE)</f>
        <v>1</v>
      </c>
      <c r="K249" s="36">
        <f ca="1">VLOOKUP(H249,[2]character_type_i18n!$A:$F,5,FALSE)</f>
        <v>1.33</v>
      </c>
      <c r="L249" s="36">
        <f ca="1">VLOOKUP(H249,[2]character_type_i18n!$A:$F,6,FALSE)</f>
        <v>1</v>
      </c>
      <c r="M249" s="9" t="str">
        <f ca="1">VLOOKUP(A249,[2]characters!$A:$M,13,FALSE)</f>
        <v>machine</v>
      </c>
      <c r="N249" s="14" t="str">
        <f ca="1">VLOOKUP(M249,[2]character_tribe_i18n!$A:$F,3,FALSE)</f>
        <v>マシン</v>
      </c>
      <c r="O249" s="24">
        <f ca="1">VLOOKUP(M249,[2]character_tribe_i18n!$A:$F,4,FALSE)</f>
        <v>1</v>
      </c>
      <c r="P249" s="24">
        <f ca="1">VLOOKUP(M249,[2]character_tribe_i18n!$A:$F,5,FALSE)</f>
        <v>1</v>
      </c>
      <c r="Q249" s="24">
        <f ca="1">VLOOKUP(M249,[2]character_tribe_i18n!$A:$F,6,FALSE)</f>
        <v>1</v>
      </c>
      <c r="R249" s="25" t="s">
        <v>4</v>
      </c>
      <c r="S249" s="24">
        <f>VLOOKUP($R249,ラベル別係数!$A$1:$E$7,3,FALSE)</f>
        <v>5</v>
      </c>
      <c r="T249" s="24">
        <f>VLOOKUP($R249,ラベル別係数!$A$1:$E$7,4,FALSE)</f>
        <v>1.3</v>
      </c>
      <c r="U249" s="24">
        <f>VLOOKUP($R249,ラベル別係数!$A$1:$E$7,5,FALSE)</f>
        <v>0.8</v>
      </c>
      <c r="V249" s="27">
        <v>2</v>
      </c>
      <c r="W249" s="28">
        <f>VLOOKUP(V249,ターン数別攻撃係数!$A$1:$B$1000,2,FALSE)</f>
        <v>0.75</v>
      </c>
      <c r="X249" s="10">
        <v>30</v>
      </c>
      <c r="Y249" s="26">
        <f>VLOOKUP($X249,サイズ別係数!$B:$E,2,FALSE)</f>
        <v>1.3</v>
      </c>
      <c r="Z249" s="26">
        <f>VLOOKUP($X249,サイズ別係数!$B:$E,3,FALSE)</f>
        <v>1.3</v>
      </c>
      <c r="AA249" s="26">
        <f>VLOOKUP($X249,サイズ別係数!$B:$E,4,FALSE)</f>
        <v>1.1000000000000001</v>
      </c>
      <c r="AB249" s="5">
        <v>0</v>
      </c>
      <c r="AC249" s="34" t="str">
        <f ca="1">VLOOKUP($AB249,OFFSET([3]enemy_skill_sets!$B$2,0,0,COUNTA([3]enemy_skill_sets!$A:$A),MATCH(AC$1,[3]enemy_skill_sets!$1:$1,0)-MATCH($AB$1,[3]enemy_skill_sets!$1:$1,0)+1),MATCH(AC$1,[3]enemy_skill_sets!$1:$1,0)-MATCH($AB$1,[3]enemy_skill_sets!$1:$1,0)+1,FALSE)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49" s="27">
        <v>1</v>
      </c>
      <c r="AE249" s="37">
        <v>1</v>
      </c>
      <c r="AF249" s="37">
        <v>0</v>
      </c>
      <c r="AG249" s="28">
        <f ca="1">ROUND(VLOOKUP(1,enemy_base_stats!$A:$F,2,FALSE) * Y249* J249*O249*E249*S249*AD249*[2]ステータス!$B$2,0)</f>
        <v>3185</v>
      </c>
      <c r="AH249" s="28">
        <f ca="1">ROUND(VLOOKUP(1,enemy_base_stats!$A:$F,3,FALSE) * Z249*K249*P249*F249*T249*AE249 * W249*[2]ステータス!$C$2,0)</f>
        <v>255</v>
      </c>
      <c r="AI249" s="28">
        <f ca="1">ROUND(VLOOKUP(1,enemy_base_stats!$A:$F,4,FALSE) * AA249*L249*Q249*G249*U249*AF249*[2]ステータス!$D$2,0)</f>
        <v>0</v>
      </c>
      <c r="AJ249" s="28">
        <f ca="1">ROUND(VLOOKUP(100,enemy_base_stats!$A:$F,2,FALSE) * Y249* J249*O249*E249*S249*AD249*[2]ステータス!$B$2,0)</f>
        <v>129311</v>
      </c>
      <c r="AK249" s="28">
        <f ca="1">ROUND(VLOOKUP(100,enemy_base_stats!$A:$F,3,FALSE)* Z249* K249*P249*F249*T249*AE249 * W249*[2]ステータス!$C$2,0)</f>
        <v>10369</v>
      </c>
      <c r="AL249" s="28">
        <f ca="1">ROUND(VLOOKUP(100,enemy_base_stats!$A:$F,4,FALSE)* AA249* L249*Q249*G249*U249*AF249*[2]ステータス!$D$2,0)</f>
        <v>0</v>
      </c>
      <c r="AM249" s="24">
        <f ca="1">VLOOKUP(M249,[2]character_tribe_i18n!$A:$I,9,FALSE)</f>
        <v>520</v>
      </c>
      <c r="AN249" s="36">
        <v>0</v>
      </c>
      <c r="AO249" s="53">
        <v>0</v>
      </c>
      <c r="AP249" s="58" t="s">
        <v>72</v>
      </c>
      <c r="AQ249" s="71">
        <f t="shared" ca="1" si="6"/>
        <v>248</v>
      </c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8"/>
      <c r="BC249" s="18"/>
      <c r="BD249" s="18"/>
      <c r="BE249" s="18"/>
      <c r="BF249" s="18"/>
      <c r="BG249" s="18"/>
      <c r="BH249" s="18"/>
    </row>
    <row r="250" spans="1:60" s="3" customFormat="1" ht="21" customHeight="1" x14ac:dyDescent="0.15">
      <c r="A250" s="7">
        <f t="shared" ca="1" si="7"/>
        <v>249</v>
      </c>
      <c r="B250" s="6" t="str">
        <f ca="1">VLOOKUP(A250,[2]characters!$A:$C,3,FALSE)</f>
        <v>雷電の天使 ミカエル・ゲイナー</v>
      </c>
      <c r="C250" s="9">
        <f ca="1">VLOOKUP(A250,[2]characters!$A:$I,9,FALSE)</f>
        <v>5</v>
      </c>
      <c r="D250" s="9" t="str">
        <f ca="1">VLOOKUP(A250,[2]characters!$A:$H,8,FALSE)</f>
        <v>yellow</v>
      </c>
      <c r="E250" s="24">
        <f ca="1">VLOOKUP(D250,[2]属性!$A:$E,2,FALSE)</f>
        <v>0.98</v>
      </c>
      <c r="F250" s="24">
        <f ca="1">VLOOKUP(D250,[2]属性!$A:$E,3,FALSE)</f>
        <v>1.01</v>
      </c>
      <c r="G250" s="24">
        <f ca="1">VLOOKUP(D250,[2]属性!$A:$F,4,FALSE)</f>
        <v>1</v>
      </c>
      <c r="H250" s="9" t="str">
        <f ca="1">VLOOKUP(A250,[2]characters!$A:$K,11,FALSE)</f>
        <v>attack</v>
      </c>
      <c r="I250" s="14" t="str">
        <f ca="1">VLOOKUP(H250,[2]character_type_i18n!$A:$F,3,FALSE)</f>
        <v>攻撃タイプ</v>
      </c>
      <c r="J250" s="36">
        <f ca="1">VLOOKUP(H250,[2]character_type_i18n!$A:$F,4,FALSE)</f>
        <v>1</v>
      </c>
      <c r="K250" s="36">
        <f ca="1">VLOOKUP(H250,[2]character_type_i18n!$A:$F,5,FALSE)</f>
        <v>1.33</v>
      </c>
      <c r="L250" s="36">
        <f ca="1">VLOOKUP(H250,[2]character_type_i18n!$A:$F,6,FALSE)</f>
        <v>1</v>
      </c>
      <c r="M250" s="9" t="str">
        <f ca="1">VLOOKUP(A250,[2]characters!$A:$M,13,FALSE)</f>
        <v>machine</v>
      </c>
      <c r="N250" s="14" t="str">
        <f ca="1">VLOOKUP(M250,[2]character_tribe_i18n!$A:$F,3,FALSE)</f>
        <v>マシン</v>
      </c>
      <c r="O250" s="24">
        <f ca="1">VLOOKUP(M250,[2]character_tribe_i18n!$A:$F,4,FALSE)</f>
        <v>1</v>
      </c>
      <c r="P250" s="24">
        <f ca="1">VLOOKUP(M250,[2]character_tribe_i18n!$A:$F,5,FALSE)</f>
        <v>1</v>
      </c>
      <c r="Q250" s="24">
        <f ca="1">VLOOKUP(M250,[2]character_tribe_i18n!$A:$F,6,FALSE)</f>
        <v>1</v>
      </c>
      <c r="R250" s="25" t="s">
        <v>4</v>
      </c>
      <c r="S250" s="24">
        <f>VLOOKUP($R250,ラベル別係数!$A$1:$E$7,3,FALSE)</f>
        <v>5</v>
      </c>
      <c r="T250" s="24">
        <f>VLOOKUP($R250,ラベル別係数!$A$1:$E$7,4,FALSE)</f>
        <v>1.3</v>
      </c>
      <c r="U250" s="24">
        <f>VLOOKUP($R250,ラベル別係数!$A$1:$E$7,5,FALSE)</f>
        <v>0.8</v>
      </c>
      <c r="V250" s="27">
        <v>2</v>
      </c>
      <c r="W250" s="28">
        <f>VLOOKUP(V250,ターン数別攻撃係数!$A$1:$B$1000,2,FALSE)</f>
        <v>0.75</v>
      </c>
      <c r="X250" s="10">
        <v>60</v>
      </c>
      <c r="Y250" s="26">
        <f>VLOOKUP($X250,サイズ別係数!$B:$E,2,FALSE)</f>
        <v>1.7</v>
      </c>
      <c r="Z250" s="26">
        <f>VLOOKUP($X250,サイズ別係数!$B:$E,3,FALSE)</f>
        <v>1.4</v>
      </c>
      <c r="AA250" s="26">
        <f>VLOOKUP($X250,サイズ別係数!$B:$E,4,FALSE)</f>
        <v>1</v>
      </c>
      <c r="AB250" s="5">
        <v>0</v>
      </c>
      <c r="AC250" s="34" t="str">
        <f ca="1">VLOOKUP($AB250,OFFSET([3]enemy_skill_sets!$B$2,0,0,COUNTA([3]enemy_skill_sets!$A:$A),MATCH(AC$1,[3]enemy_skill_sets!$1:$1,0)-MATCH($AB$1,[3]enemy_skill_sets!$1:$1,0)+1),MATCH(AC$1,[3]enemy_skill_sets!$1:$1,0)-MATCH($AB$1,[3]enemy_skill_sets!$1:$1,0)+1,FALSE)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0" s="27">
        <v>1</v>
      </c>
      <c r="AE250" s="37">
        <v>1</v>
      </c>
      <c r="AF250" s="37">
        <v>0</v>
      </c>
      <c r="AG250" s="28">
        <f ca="1">ROUND(VLOOKUP(1,enemy_base_stats!$A:$F,2,FALSE) * Y250* J250*O250*E250*S250*AD250*[2]ステータス!$B$2,0)</f>
        <v>4165</v>
      </c>
      <c r="AH250" s="28">
        <f ca="1">ROUND(VLOOKUP(1,enemy_base_stats!$A:$F,3,FALSE) * Z250*K250*P250*F250*T250*AE250 * W250*[2]ステータス!$C$2,0)</f>
        <v>275</v>
      </c>
      <c r="AI250" s="28">
        <f ca="1">ROUND(VLOOKUP(1,enemy_base_stats!$A:$F,4,FALSE) * AA250*L250*Q250*G250*U250*AF250*[2]ステータス!$D$2,0)</f>
        <v>0</v>
      </c>
      <c r="AJ250" s="28">
        <f ca="1">ROUND(VLOOKUP(100,enemy_base_stats!$A:$F,2,FALSE) * Y250* J250*O250*E250*S250*AD250*[2]ステータス!$B$2,0)</f>
        <v>169099</v>
      </c>
      <c r="AK250" s="28">
        <f ca="1">ROUND(VLOOKUP(100,enemy_base_stats!$A:$F,3,FALSE)* Z250* K250*P250*F250*T250*AE250 * W250*[2]ステータス!$C$2,0)</f>
        <v>11167</v>
      </c>
      <c r="AL250" s="28">
        <f ca="1">ROUND(VLOOKUP(100,enemy_base_stats!$A:$F,4,FALSE)* AA250* L250*Q250*G250*U250*AF250*[2]ステータス!$D$2,0)</f>
        <v>0</v>
      </c>
      <c r="AM250" s="24">
        <f ca="1">VLOOKUP(M250,[2]character_tribe_i18n!$A:$I,9,FALSE)</f>
        <v>520</v>
      </c>
      <c r="AN250" s="36">
        <v>0</v>
      </c>
      <c r="AO250" s="53">
        <v>0</v>
      </c>
      <c r="AP250" s="58" t="s">
        <v>72</v>
      </c>
      <c r="AQ250" s="71">
        <f t="shared" ca="1" si="6"/>
        <v>249</v>
      </c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8"/>
      <c r="BC250" s="18"/>
      <c r="BD250" s="18"/>
      <c r="BE250" s="18"/>
      <c r="BF250" s="18"/>
      <c r="BG250" s="18"/>
      <c r="BH250" s="18"/>
    </row>
    <row r="251" spans="1:60" s="3" customFormat="1" ht="21" customHeight="1" x14ac:dyDescent="0.15">
      <c r="A251" s="7">
        <f t="shared" ca="1" si="7"/>
        <v>250</v>
      </c>
      <c r="B251" s="6" t="str">
        <f ca="1">VLOOKUP(A251,[2]characters!$A:$C,3,FALSE)</f>
        <v>マンモン</v>
      </c>
      <c r="C251" s="9">
        <f ca="1">VLOOKUP(A251,[2]characters!$A:$I,9,FALSE)</f>
        <v>3</v>
      </c>
      <c r="D251" s="9" t="str">
        <f ca="1">VLOOKUP(A251,[2]characters!$A:$H,8,FALSE)</f>
        <v>red</v>
      </c>
      <c r="E251" s="24">
        <f ca="1">VLOOKUP(D251,[2]属性!$A:$E,2,FALSE)</f>
        <v>1</v>
      </c>
      <c r="F251" s="24">
        <f ca="1">VLOOKUP(D251,[2]属性!$A:$E,3,FALSE)</f>
        <v>1.02</v>
      </c>
      <c r="G251" s="24">
        <f ca="1">VLOOKUP(D251,[2]属性!$A:$F,4,FALSE)</f>
        <v>1</v>
      </c>
      <c r="H251" s="9" t="str">
        <f ca="1">VLOOKUP(A251,[2]characters!$A:$K,11,FALSE)</f>
        <v>balance</v>
      </c>
      <c r="I251" s="14" t="str">
        <f ca="1">VLOOKUP(H251,[2]character_type_i18n!$A:$F,3,FALSE)</f>
        <v>バランスタイプ</v>
      </c>
      <c r="J251" s="36">
        <f ca="1">VLOOKUP(H251,[2]character_type_i18n!$A:$F,4,FALSE)</f>
        <v>1</v>
      </c>
      <c r="K251" s="36">
        <f ca="1">VLOOKUP(H251,[2]character_type_i18n!$A:$F,5,FALSE)</f>
        <v>1</v>
      </c>
      <c r="L251" s="36">
        <f ca="1">VLOOKUP(H251,[2]character_type_i18n!$A:$F,6,FALSE)</f>
        <v>1</v>
      </c>
      <c r="M251" s="9" t="str">
        <f ca="1">VLOOKUP(A251,[2]characters!$A:$M,13,FALSE)</f>
        <v>god</v>
      </c>
      <c r="N251" s="14" t="str">
        <f ca="1">VLOOKUP(M251,[2]character_tribe_i18n!$A:$F,3,FALSE)</f>
        <v>ゴッド</v>
      </c>
      <c r="O251" s="24">
        <f ca="1">VLOOKUP(M251,[2]character_tribe_i18n!$A:$F,4,FALSE)</f>
        <v>0.96</v>
      </c>
      <c r="P251" s="24">
        <f ca="1">VLOOKUP(M251,[2]character_tribe_i18n!$A:$F,5,FALSE)</f>
        <v>1.02</v>
      </c>
      <c r="Q251" s="24">
        <f ca="1">VLOOKUP(M251,[2]character_tribe_i18n!$A:$F,6,FALSE)</f>
        <v>1</v>
      </c>
      <c r="R251" s="25" t="s">
        <v>4</v>
      </c>
      <c r="S251" s="24">
        <f>VLOOKUP($R251,ラベル別係数!$A$1:$E$7,3,FALSE)</f>
        <v>5</v>
      </c>
      <c r="T251" s="24">
        <f>VLOOKUP($R251,ラベル別係数!$A$1:$E$7,4,FALSE)</f>
        <v>1.3</v>
      </c>
      <c r="U251" s="24">
        <f>VLOOKUP($R251,ラベル別係数!$A$1:$E$7,5,FALSE)</f>
        <v>0.8</v>
      </c>
      <c r="V251" s="27">
        <v>2</v>
      </c>
      <c r="W251" s="28">
        <f>VLOOKUP(V251,ターン数別攻撃係数!$A$1:$B$1000,2,FALSE)</f>
        <v>0.75</v>
      </c>
      <c r="X251" s="10">
        <v>20</v>
      </c>
      <c r="Y251" s="26">
        <f>VLOOKUP($X251,サイズ別係数!$B:$E,2,FALSE)</f>
        <v>1.1000000000000001</v>
      </c>
      <c r="Z251" s="26">
        <f>VLOOKUP($X251,サイズ別係数!$B:$E,3,FALSE)</f>
        <v>1.2</v>
      </c>
      <c r="AA251" s="26">
        <f>VLOOKUP($X251,サイズ別係数!$B:$E,4,FALSE)</f>
        <v>1.2</v>
      </c>
      <c r="AB251" s="5">
        <v>0</v>
      </c>
      <c r="AC251" s="34" t="str">
        <f ca="1">VLOOKUP($AB251,OFFSET([3]enemy_skill_sets!$B$2,0,0,COUNTA([3]enemy_skill_sets!$A:$A),MATCH(AC$1,[3]enemy_skill_sets!$1:$1,0)-MATCH($AB$1,[3]enemy_skill_sets!$1:$1,0)+1),MATCH(AC$1,[3]enemy_skill_sets!$1:$1,0)-MATCH($AB$1,[3]enemy_skill_sets!$1:$1,0)+1,FALSE)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1" s="27">
        <v>1</v>
      </c>
      <c r="AE251" s="37">
        <v>1</v>
      </c>
      <c r="AF251" s="37">
        <v>0</v>
      </c>
      <c r="AG251" s="28">
        <f ca="1">ROUND(VLOOKUP(1,enemy_base_stats!$A:$F,2,FALSE) * Y251* J251*O251*E251*S251*AD251*[2]ステータス!$B$2,0)</f>
        <v>2640</v>
      </c>
      <c r="AH251" s="28">
        <f ca="1">ROUND(VLOOKUP(1,enemy_base_stats!$A:$F,3,FALSE) * Z251*K251*P251*F251*T251*AE251 * W251*[2]ステータス!$C$2,0)</f>
        <v>183</v>
      </c>
      <c r="AI251" s="28">
        <f ca="1">ROUND(VLOOKUP(1,enemy_base_stats!$A:$F,4,FALSE) * AA251*L251*Q251*G251*U251*AF251*[2]ステータス!$D$2,0)</f>
        <v>0</v>
      </c>
      <c r="AJ251" s="28">
        <f ca="1">ROUND(VLOOKUP(100,enemy_base_stats!$A:$F,2,FALSE) * Y251* J251*O251*E251*S251*AD251*[2]ステータス!$B$2,0)</f>
        <v>107184</v>
      </c>
      <c r="AK251" s="28">
        <f ca="1">ROUND(VLOOKUP(100,enemy_base_stats!$A:$F,3,FALSE)* Z251* K251*P251*F251*T251*AE251 * W251*[2]ステータス!$C$2,0)</f>
        <v>7413</v>
      </c>
      <c r="AL251" s="28">
        <f ca="1">ROUND(VLOOKUP(100,enemy_base_stats!$A:$F,4,FALSE)* AA251* L251*Q251*G251*U251*AF251*[2]ステータス!$D$2,0)</f>
        <v>0</v>
      </c>
      <c r="AM251" s="24">
        <f ca="1">VLOOKUP(M251,[2]character_tribe_i18n!$A:$I,9,FALSE)</f>
        <v>680</v>
      </c>
      <c r="AN251" s="36">
        <v>0</v>
      </c>
      <c r="AO251" s="53">
        <v>0</v>
      </c>
      <c r="AP251" s="58" t="s">
        <v>72</v>
      </c>
      <c r="AQ251" s="71">
        <f t="shared" ca="1" si="6"/>
        <v>250</v>
      </c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</row>
    <row r="252" spans="1:60" s="3" customFormat="1" ht="21" customHeight="1" x14ac:dyDescent="0.15">
      <c r="A252" s="7">
        <f t="shared" ca="1" si="7"/>
        <v>251</v>
      </c>
      <c r="B252" s="6" t="str">
        <f ca="1">VLOOKUP(A252,[2]characters!$A:$C,3,FALSE)</f>
        <v>強欲 マンモン</v>
      </c>
      <c r="C252" s="9">
        <f ca="1">VLOOKUP(A252,[2]characters!$A:$I,9,FALSE)</f>
        <v>4</v>
      </c>
      <c r="D252" s="9" t="str">
        <f ca="1">VLOOKUP(A252,[2]characters!$A:$H,8,FALSE)</f>
        <v>red</v>
      </c>
      <c r="E252" s="24">
        <f ca="1">VLOOKUP(D252,[2]属性!$A:$E,2,FALSE)</f>
        <v>1</v>
      </c>
      <c r="F252" s="24">
        <f ca="1">VLOOKUP(D252,[2]属性!$A:$E,3,FALSE)</f>
        <v>1.02</v>
      </c>
      <c r="G252" s="24">
        <f ca="1">VLOOKUP(D252,[2]属性!$A:$F,4,FALSE)</f>
        <v>1</v>
      </c>
      <c r="H252" s="9" t="str">
        <f ca="1">VLOOKUP(A252,[2]characters!$A:$K,11,FALSE)</f>
        <v>balance</v>
      </c>
      <c r="I252" s="14" t="str">
        <f ca="1">VLOOKUP(H252,[2]character_type_i18n!$A:$F,3,FALSE)</f>
        <v>バランスタイプ</v>
      </c>
      <c r="J252" s="36">
        <f ca="1">VLOOKUP(H252,[2]character_type_i18n!$A:$F,4,FALSE)</f>
        <v>1</v>
      </c>
      <c r="K252" s="36">
        <f ca="1">VLOOKUP(H252,[2]character_type_i18n!$A:$F,5,FALSE)</f>
        <v>1</v>
      </c>
      <c r="L252" s="36">
        <f ca="1">VLOOKUP(H252,[2]character_type_i18n!$A:$F,6,FALSE)</f>
        <v>1</v>
      </c>
      <c r="M252" s="9" t="str">
        <f ca="1">VLOOKUP(A252,[2]characters!$A:$M,13,FALSE)</f>
        <v>god</v>
      </c>
      <c r="N252" s="14" t="str">
        <f ca="1">VLOOKUP(M252,[2]character_tribe_i18n!$A:$F,3,FALSE)</f>
        <v>ゴッド</v>
      </c>
      <c r="O252" s="24">
        <f ca="1">VLOOKUP(M252,[2]character_tribe_i18n!$A:$F,4,FALSE)</f>
        <v>0.96</v>
      </c>
      <c r="P252" s="24">
        <f ca="1">VLOOKUP(M252,[2]character_tribe_i18n!$A:$F,5,FALSE)</f>
        <v>1.02</v>
      </c>
      <c r="Q252" s="24">
        <f ca="1">VLOOKUP(M252,[2]character_tribe_i18n!$A:$F,6,FALSE)</f>
        <v>1</v>
      </c>
      <c r="R252" s="25" t="s">
        <v>4</v>
      </c>
      <c r="S252" s="24">
        <f>VLOOKUP($R252,ラベル別係数!$A$1:$E$7,3,FALSE)</f>
        <v>5</v>
      </c>
      <c r="T252" s="24">
        <f>VLOOKUP($R252,ラベル別係数!$A$1:$E$7,4,FALSE)</f>
        <v>1.3</v>
      </c>
      <c r="U252" s="24">
        <f>VLOOKUP($R252,ラベル別係数!$A$1:$E$7,5,FALSE)</f>
        <v>0.8</v>
      </c>
      <c r="V252" s="27">
        <v>2</v>
      </c>
      <c r="W252" s="28">
        <f>VLOOKUP(V252,ターン数別攻撃係数!$A$1:$B$1000,2,FALSE)</f>
        <v>0.75</v>
      </c>
      <c r="X252" s="10">
        <v>30</v>
      </c>
      <c r="Y252" s="26">
        <f>VLOOKUP($X252,サイズ別係数!$B:$E,2,FALSE)</f>
        <v>1.3</v>
      </c>
      <c r="Z252" s="26">
        <f>VLOOKUP($X252,サイズ別係数!$B:$E,3,FALSE)</f>
        <v>1.3</v>
      </c>
      <c r="AA252" s="26">
        <f>VLOOKUP($X252,サイズ別係数!$B:$E,4,FALSE)</f>
        <v>1.1000000000000001</v>
      </c>
      <c r="AB252" s="5">
        <v>0</v>
      </c>
      <c r="AC252" s="34" t="str">
        <f ca="1">VLOOKUP($AB252,OFFSET([3]enemy_skill_sets!$B$2,0,0,COUNTA([3]enemy_skill_sets!$A:$A),MATCH(AC$1,[3]enemy_skill_sets!$1:$1,0)-MATCH($AB$1,[3]enemy_skill_sets!$1:$1,0)+1),MATCH(AC$1,[3]enemy_skill_sets!$1:$1,0)-MATCH($AB$1,[3]enemy_skill_sets!$1:$1,0)+1,FALSE)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2" s="27">
        <v>1</v>
      </c>
      <c r="AE252" s="37">
        <v>1</v>
      </c>
      <c r="AF252" s="37">
        <v>0</v>
      </c>
      <c r="AG252" s="28">
        <f ca="1">ROUND(VLOOKUP(1,enemy_base_stats!$A:$F,2,FALSE) * Y252* J252*O252*E252*S252*AD252*[2]ステータス!$B$2,0)</f>
        <v>3120</v>
      </c>
      <c r="AH252" s="28">
        <f ca="1">ROUND(VLOOKUP(1,enemy_base_stats!$A:$F,3,FALSE) * Z252*K252*P252*F252*T252*AE252 * W252*[2]ステータス!$C$2,0)</f>
        <v>198</v>
      </c>
      <c r="AI252" s="28">
        <f ca="1">ROUND(VLOOKUP(1,enemy_base_stats!$A:$F,4,FALSE) * AA252*L252*Q252*G252*U252*AF252*[2]ステータス!$D$2,0)</f>
        <v>0</v>
      </c>
      <c r="AJ252" s="28">
        <f ca="1">ROUND(VLOOKUP(100,enemy_base_stats!$A:$F,2,FALSE) * Y252* J252*O252*E252*S252*AD252*[2]ステータス!$B$2,0)</f>
        <v>126672</v>
      </c>
      <c r="AK252" s="28">
        <f ca="1">ROUND(VLOOKUP(100,enemy_base_stats!$A:$F,3,FALSE)* Z252* K252*P252*F252*T252*AE252 * W252*[2]ステータス!$C$2,0)</f>
        <v>8031</v>
      </c>
      <c r="AL252" s="28">
        <f ca="1">ROUND(VLOOKUP(100,enemy_base_stats!$A:$F,4,FALSE)* AA252* L252*Q252*G252*U252*AF252*[2]ステータス!$D$2,0)</f>
        <v>0</v>
      </c>
      <c r="AM252" s="24">
        <f ca="1">VLOOKUP(M252,[2]character_tribe_i18n!$A:$I,9,FALSE)</f>
        <v>680</v>
      </c>
      <c r="AN252" s="36">
        <v>0</v>
      </c>
      <c r="AO252" s="53">
        <v>0</v>
      </c>
      <c r="AP252" s="58" t="s">
        <v>72</v>
      </c>
      <c r="AQ252" s="71">
        <f t="shared" ca="1" si="6"/>
        <v>251</v>
      </c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</row>
    <row r="253" spans="1:60" s="3" customFormat="1" ht="21" customHeight="1" x14ac:dyDescent="0.15">
      <c r="A253" s="7">
        <f t="shared" ca="1" si="7"/>
        <v>252</v>
      </c>
      <c r="B253" s="6" t="str">
        <f ca="1">VLOOKUP(A253,[2]characters!$A:$C,3,FALSE)</f>
        <v>強欲の沸騰 マンモン</v>
      </c>
      <c r="C253" s="9">
        <f ca="1">VLOOKUP(A253,[2]characters!$A:$I,9,FALSE)</f>
        <v>5</v>
      </c>
      <c r="D253" s="9" t="str">
        <f ca="1">VLOOKUP(A253,[2]characters!$A:$H,8,FALSE)</f>
        <v>red</v>
      </c>
      <c r="E253" s="24">
        <f ca="1">VLOOKUP(D253,[2]属性!$A:$E,2,FALSE)</f>
        <v>1</v>
      </c>
      <c r="F253" s="24">
        <f ca="1">VLOOKUP(D253,[2]属性!$A:$E,3,FALSE)</f>
        <v>1.02</v>
      </c>
      <c r="G253" s="24">
        <f ca="1">VLOOKUP(D253,[2]属性!$A:$F,4,FALSE)</f>
        <v>1</v>
      </c>
      <c r="H253" s="9" t="str">
        <f ca="1">VLOOKUP(A253,[2]characters!$A:$K,11,FALSE)</f>
        <v>balance</v>
      </c>
      <c r="I253" s="14" t="str">
        <f ca="1">VLOOKUP(H253,[2]character_type_i18n!$A:$F,3,FALSE)</f>
        <v>バランスタイプ</v>
      </c>
      <c r="J253" s="36">
        <f ca="1">VLOOKUP(H253,[2]character_type_i18n!$A:$F,4,FALSE)</f>
        <v>1</v>
      </c>
      <c r="K253" s="36">
        <f ca="1">VLOOKUP(H253,[2]character_type_i18n!$A:$F,5,FALSE)</f>
        <v>1</v>
      </c>
      <c r="L253" s="36">
        <f ca="1">VLOOKUP(H253,[2]character_type_i18n!$A:$F,6,FALSE)</f>
        <v>1</v>
      </c>
      <c r="M253" s="9" t="str">
        <f ca="1">VLOOKUP(A253,[2]characters!$A:$M,13,FALSE)</f>
        <v>god</v>
      </c>
      <c r="N253" s="14" t="str">
        <f ca="1">VLOOKUP(M253,[2]character_tribe_i18n!$A:$F,3,FALSE)</f>
        <v>ゴッド</v>
      </c>
      <c r="O253" s="24">
        <f ca="1">VLOOKUP(M253,[2]character_tribe_i18n!$A:$F,4,FALSE)</f>
        <v>0.96</v>
      </c>
      <c r="P253" s="24">
        <f ca="1">VLOOKUP(M253,[2]character_tribe_i18n!$A:$F,5,FALSE)</f>
        <v>1.02</v>
      </c>
      <c r="Q253" s="24">
        <f ca="1">VLOOKUP(M253,[2]character_tribe_i18n!$A:$F,6,FALSE)</f>
        <v>1</v>
      </c>
      <c r="R253" s="25" t="s">
        <v>4</v>
      </c>
      <c r="S253" s="24">
        <f>VLOOKUP($R253,ラベル別係数!$A$1:$E$7,3,FALSE)</f>
        <v>5</v>
      </c>
      <c r="T253" s="24">
        <f>VLOOKUP($R253,ラベル別係数!$A$1:$E$7,4,FALSE)</f>
        <v>1.3</v>
      </c>
      <c r="U253" s="24">
        <f>VLOOKUP($R253,ラベル別係数!$A$1:$E$7,5,FALSE)</f>
        <v>0.8</v>
      </c>
      <c r="V253" s="27">
        <v>2</v>
      </c>
      <c r="W253" s="28">
        <f>VLOOKUP(V253,ターン数別攻撃係数!$A$1:$B$1000,2,FALSE)</f>
        <v>0.75</v>
      </c>
      <c r="X253" s="10">
        <v>60</v>
      </c>
      <c r="Y253" s="26">
        <f>VLOOKUP($X253,サイズ別係数!$B:$E,2,FALSE)</f>
        <v>1.7</v>
      </c>
      <c r="Z253" s="26">
        <f>VLOOKUP($X253,サイズ別係数!$B:$E,3,FALSE)</f>
        <v>1.4</v>
      </c>
      <c r="AA253" s="26">
        <f>VLOOKUP($X253,サイズ別係数!$B:$E,4,FALSE)</f>
        <v>1</v>
      </c>
      <c r="AB253" s="5">
        <v>0</v>
      </c>
      <c r="AC253" s="34" t="str">
        <f ca="1">VLOOKUP($AB253,OFFSET([3]enemy_skill_sets!$B$2,0,0,COUNTA([3]enemy_skill_sets!$A:$A),MATCH(AC$1,[3]enemy_skill_sets!$1:$1,0)-MATCH($AB$1,[3]enemy_skill_sets!$1:$1,0)+1),MATCH(AC$1,[3]enemy_skill_sets!$1:$1,0)-MATCH($AB$1,[3]enemy_skill_sets!$1:$1,0)+1,FALSE)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3" s="27">
        <v>1</v>
      </c>
      <c r="AE253" s="37">
        <v>1</v>
      </c>
      <c r="AF253" s="37">
        <v>0</v>
      </c>
      <c r="AG253" s="28">
        <f ca="1">ROUND(VLOOKUP(1,enemy_base_stats!$A:$F,2,FALSE) * Y253* J253*O253*E253*S253*AD253*[2]ステータス!$B$2,0)</f>
        <v>4080</v>
      </c>
      <c r="AH253" s="28">
        <f ca="1">ROUND(VLOOKUP(1,enemy_base_stats!$A:$F,3,FALSE) * Z253*K253*P253*F253*T253*AE253 * W253*[2]ステータス!$C$2,0)</f>
        <v>213</v>
      </c>
      <c r="AI253" s="28">
        <f ca="1">ROUND(VLOOKUP(1,enemy_base_stats!$A:$F,4,FALSE) * AA253*L253*Q253*G253*U253*AF253*[2]ステータス!$D$2,0)</f>
        <v>0</v>
      </c>
      <c r="AJ253" s="28">
        <f ca="1">ROUND(VLOOKUP(100,enemy_base_stats!$A:$F,2,FALSE) * Y253* J253*O253*E253*S253*AD253*[2]ステータス!$B$2,0)</f>
        <v>165648</v>
      </c>
      <c r="AK253" s="28">
        <f ca="1">ROUND(VLOOKUP(100,enemy_base_stats!$A:$F,3,FALSE)* Z253* K253*P253*F253*T253*AE253 * W253*[2]ステータス!$C$2,0)</f>
        <v>8649</v>
      </c>
      <c r="AL253" s="28">
        <f ca="1">ROUND(VLOOKUP(100,enemy_base_stats!$A:$F,4,FALSE)* AA253* L253*Q253*G253*U253*AF253*[2]ステータス!$D$2,0)</f>
        <v>0</v>
      </c>
      <c r="AM253" s="24">
        <f ca="1">VLOOKUP(M253,[2]character_tribe_i18n!$A:$I,9,FALSE)</f>
        <v>680</v>
      </c>
      <c r="AN253" s="36">
        <v>0</v>
      </c>
      <c r="AO253" s="53">
        <v>0</v>
      </c>
      <c r="AP253" s="58" t="s">
        <v>72</v>
      </c>
      <c r="AQ253" s="71">
        <f t="shared" ca="1" si="6"/>
        <v>252</v>
      </c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</row>
    <row r="254" spans="1:60" s="3" customFormat="1" ht="21" customHeight="1" x14ac:dyDescent="0.15">
      <c r="A254" s="7">
        <f t="shared" ca="1" si="7"/>
        <v>253</v>
      </c>
      <c r="B254" s="6" t="str">
        <f ca="1">VLOOKUP(A254,[2]characters!$A:$C,3,FALSE)</f>
        <v>ベルフェゴール</v>
      </c>
      <c r="C254" s="9">
        <f ca="1">VLOOKUP(A254,[2]characters!$A:$I,9,FALSE)</f>
        <v>3</v>
      </c>
      <c r="D254" s="9" t="str">
        <f ca="1">VLOOKUP(A254,[2]characters!$A:$H,8,FALSE)</f>
        <v>green</v>
      </c>
      <c r="E254" s="24">
        <f ca="1">VLOOKUP(D254,[2]属性!$A:$E,2,FALSE)</f>
        <v>1.02</v>
      </c>
      <c r="F254" s="24">
        <f ca="1">VLOOKUP(D254,[2]属性!$A:$E,3,FALSE)</f>
        <v>0.98</v>
      </c>
      <c r="G254" s="24">
        <f ca="1">VLOOKUP(D254,[2]属性!$A:$F,4,FALSE)</f>
        <v>1</v>
      </c>
      <c r="H254" s="9" t="str">
        <f ca="1">VLOOKUP(A254,[2]characters!$A:$K,11,FALSE)</f>
        <v>technical</v>
      </c>
      <c r="I254" s="14" t="str">
        <f ca="1">VLOOKUP(H254,[2]character_type_i18n!$A:$F,3,FALSE)</f>
        <v>テクニカルタイプ</v>
      </c>
      <c r="J254" s="36">
        <f ca="1">VLOOKUP(H254,[2]character_type_i18n!$A:$F,4,FALSE)</f>
        <v>0.9</v>
      </c>
      <c r="K254" s="36">
        <f ca="1">VLOOKUP(H254,[2]character_type_i18n!$A:$F,5,FALSE)</f>
        <v>0.9</v>
      </c>
      <c r="L254" s="36">
        <f ca="1">VLOOKUP(H254,[2]character_type_i18n!$A:$F,6,FALSE)</f>
        <v>1</v>
      </c>
      <c r="M254" s="9" t="str">
        <f ca="1">VLOOKUP(A254,[2]characters!$A:$M,13,FALSE)</f>
        <v>god</v>
      </c>
      <c r="N254" s="14" t="str">
        <f ca="1">VLOOKUP(M254,[2]character_tribe_i18n!$A:$F,3,FALSE)</f>
        <v>ゴッド</v>
      </c>
      <c r="O254" s="24">
        <f ca="1">VLOOKUP(M254,[2]character_tribe_i18n!$A:$F,4,FALSE)</f>
        <v>0.96</v>
      </c>
      <c r="P254" s="24">
        <f ca="1">VLOOKUP(M254,[2]character_tribe_i18n!$A:$F,5,FALSE)</f>
        <v>1.02</v>
      </c>
      <c r="Q254" s="24">
        <f ca="1">VLOOKUP(M254,[2]character_tribe_i18n!$A:$F,6,FALSE)</f>
        <v>1</v>
      </c>
      <c r="R254" s="70" t="s">
        <v>88</v>
      </c>
      <c r="S254" s="24">
        <f>VLOOKUP($R254,ラベル別係数!$A$1:$E$7,3,FALSE)</f>
        <v>7.5</v>
      </c>
      <c r="T254" s="24">
        <f>VLOOKUP($R254,ラベル別係数!$A$1:$E$7,4,FALSE)</f>
        <v>1</v>
      </c>
      <c r="U254" s="24">
        <f>VLOOKUP($R254,ラベル別係数!$A$1:$E$7,5,FALSE)</f>
        <v>0.8</v>
      </c>
      <c r="V254" s="27">
        <v>4</v>
      </c>
      <c r="W254" s="28">
        <f>VLOOKUP(V254,ターン数別攻撃係数!$A$1:$B$1000,2,FALSE)</f>
        <v>1.2</v>
      </c>
      <c r="X254" s="10">
        <v>20</v>
      </c>
      <c r="Y254" s="26">
        <f>VLOOKUP($X254,サイズ別係数!$B:$E,2,FALSE)</f>
        <v>1.1000000000000001</v>
      </c>
      <c r="Z254" s="26">
        <f>VLOOKUP($X254,サイズ別係数!$B:$E,3,FALSE)</f>
        <v>1.2</v>
      </c>
      <c r="AA254" s="26">
        <f>VLOOKUP($X254,サイズ別係数!$B:$E,4,FALSE)</f>
        <v>1.2</v>
      </c>
      <c r="AB254" s="5">
        <v>0</v>
      </c>
      <c r="AC254" s="34" t="str">
        <f ca="1">VLOOKUP($AB254,OFFSET([3]enemy_skill_sets!$B$2,0,0,COUNTA([3]enemy_skill_sets!$A:$A),MATCH(AC$1,[3]enemy_skill_sets!$1:$1,0)-MATCH($AB$1,[3]enemy_skill_sets!$1:$1,0)+1),MATCH(AC$1,[3]enemy_skill_sets!$1:$1,0)-MATCH($AB$1,[3]enemy_skill_sets!$1:$1,0)+1,FALSE)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4" s="27">
        <v>1</v>
      </c>
      <c r="AE254" s="37">
        <v>1</v>
      </c>
      <c r="AF254" s="37">
        <v>0</v>
      </c>
      <c r="AG254" s="28">
        <f ca="1">ROUND(VLOOKUP(1,enemy_base_stats!$A:$F,2,FALSE) * Y254* J254*O254*E254*S254*AD254*[2]ステータス!$B$2,0)</f>
        <v>3635</v>
      </c>
      <c r="AH254" s="28">
        <f ca="1">ROUND(VLOOKUP(1,enemy_base_stats!$A:$F,3,FALSE) * Z254*K254*P254*F254*T254*AE254 * W254*[2]ステータス!$C$2,0)</f>
        <v>194</v>
      </c>
      <c r="AI254" s="28">
        <f ca="1">ROUND(VLOOKUP(1,enemy_base_stats!$A:$F,4,FALSE) * AA254*L254*Q254*G254*U254*AF254*[2]ステータス!$D$2,0)</f>
        <v>0</v>
      </c>
      <c r="AJ254" s="28">
        <f ca="1">ROUND(VLOOKUP(100,enemy_base_stats!$A:$F,2,FALSE) * Y254* J254*O254*E254*S254*AD254*[2]ステータス!$B$2,0)</f>
        <v>147592</v>
      </c>
      <c r="AK254" s="28">
        <f ca="1">ROUND(VLOOKUP(100,enemy_base_stats!$A:$F,3,FALSE)* Z254* K254*P254*F254*T254*AE254 * W254*[2]ステータス!$C$2,0)</f>
        <v>7889</v>
      </c>
      <c r="AL254" s="28">
        <f ca="1">ROUND(VLOOKUP(100,enemy_base_stats!$A:$F,4,FALSE)* AA254* L254*Q254*G254*U254*AF254*[2]ステータス!$D$2,0)</f>
        <v>0</v>
      </c>
      <c r="AM254" s="24">
        <f ca="1">VLOOKUP(M254,[2]character_tribe_i18n!$A:$I,9,FALSE)</f>
        <v>680</v>
      </c>
      <c r="AN254" s="36">
        <v>0</v>
      </c>
      <c r="AO254" s="53">
        <v>0</v>
      </c>
      <c r="AP254" s="58" t="s">
        <v>72</v>
      </c>
      <c r="AQ254" s="71">
        <f t="shared" ca="1" si="6"/>
        <v>253</v>
      </c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</row>
    <row r="255" spans="1:60" s="3" customFormat="1" ht="21" customHeight="1" x14ac:dyDescent="0.15">
      <c r="A255" s="7">
        <f t="shared" ca="1" si="7"/>
        <v>254</v>
      </c>
      <c r="B255" s="6" t="str">
        <f ca="1">VLOOKUP(A255,[2]characters!$A:$C,3,FALSE)</f>
        <v>怠惰 ベルフェゴール</v>
      </c>
      <c r="C255" s="9">
        <f ca="1">VLOOKUP(A255,[2]characters!$A:$I,9,FALSE)</f>
        <v>4</v>
      </c>
      <c r="D255" s="9" t="str">
        <f ca="1">VLOOKUP(A255,[2]characters!$A:$H,8,FALSE)</f>
        <v>green</v>
      </c>
      <c r="E255" s="24">
        <f ca="1">VLOOKUP(D255,[2]属性!$A:$E,2,FALSE)</f>
        <v>1.02</v>
      </c>
      <c r="F255" s="24">
        <f ca="1">VLOOKUP(D255,[2]属性!$A:$E,3,FALSE)</f>
        <v>0.98</v>
      </c>
      <c r="G255" s="24">
        <f ca="1">VLOOKUP(D255,[2]属性!$A:$F,4,FALSE)</f>
        <v>1</v>
      </c>
      <c r="H255" s="9" t="str">
        <f ca="1">VLOOKUP(A255,[2]characters!$A:$K,11,FALSE)</f>
        <v>technical</v>
      </c>
      <c r="I255" s="14" t="str">
        <f ca="1">VLOOKUP(H255,[2]character_type_i18n!$A:$F,3,FALSE)</f>
        <v>テクニカルタイプ</v>
      </c>
      <c r="J255" s="36">
        <f ca="1">VLOOKUP(H255,[2]character_type_i18n!$A:$F,4,FALSE)</f>
        <v>0.9</v>
      </c>
      <c r="K255" s="36">
        <f ca="1">VLOOKUP(H255,[2]character_type_i18n!$A:$F,5,FALSE)</f>
        <v>0.9</v>
      </c>
      <c r="L255" s="36">
        <f ca="1">VLOOKUP(H255,[2]character_type_i18n!$A:$F,6,FALSE)</f>
        <v>1</v>
      </c>
      <c r="M255" s="9" t="str">
        <f ca="1">VLOOKUP(A255,[2]characters!$A:$M,13,FALSE)</f>
        <v>god</v>
      </c>
      <c r="N255" s="14" t="str">
        <f ca="1">VLOOKUP(M255,[2]character_tribe_i18n!$A:$F,3,FALSE)</f>
        <v>ゴッド</v>
      </c>
      <c r="O255" s="24">
        <f ca="1">VLOOKUP(M255,[2]character_tribe_i18n!$A:$F,4,FALSE)</f>
        <v>0.96</v>
      </c>
      <c r="P255" s="24">
        <f ca="1">VLOOKUP(M255,[2]character_tribe_i18n!$A:$F,5,FALSE)</f>
        <v>1.02</v>
      </c>
      <c r="Q255" s="24">
        <f ca="1">VLOOKUP(M255,[2]character_tribe_i18n!$A:$F,6,FALSE)</f>
        <v>1</v>
      </c>
      <c r="R255" s="25" t="s">
        <v>87</v>
      </c>
      <c r="S255" s="24">
        <f>VLOOKUP($R255,ラベル別係数!$A$1:$E$7,3,FALSE)</f>
        <v>7.5</v>
      </c>
      <c r="T255" s="24">
        <f>VLOOKUP($R255,ラベル別係数!$A$1:$E$7,4,FALSE)</f>
        <v>1</v>
      </c>
      <c r="U255" s="24">
        <f>VLOOKUP($R255,ラベル別係数!$A$1:$E$7,5,FALSE)</f>
        <v>0.8</v>
      </c>
      <c r="V255" s="27">
        <v>4</v>
      </c>
      <c r="W255" s="28">
        <f>VLOOKUP(V255,ターン数別攻撃係数!$A$1:$B$1000,2,FALSE)</f>
        <v>1.2</v>
      </c>
      <c r="X255" s="10">
        <v>30</v>
      </c>
      <c r="Y255" s="26">
        <f>VLOOKUP($X255,サイズ別係数!$B:$E,2,FALSE)</f>
        <v>1.3</v>
      </c>
      <c r="Z255" s="26">
        <f>VLOOKUP($X255,サイズ別係数!$B:$E,3,FALSE)</f>
        <v>1.3</v>
      </c>
      <c r="AA255" s="26">
        <f>VLOOKUP($X255,サイズ別係数!$B:$E,4,FALSE)</f>
        <v>1.1000000000000001</v>
      </c>
      <c r="AB255" s="5">
        <v>254</v>
      </c>
      <c r="AC255" s="34" t="str">
        <f ca="1">VLOOKUP($AB255,OFFSET([3]enemy_skill_sets!$B$2,0,0,COUNTA([3]enemy_skill_sets!$A:$A),MATCH(AC$1,[3]enemy_skill_sets!$1:$1,0)-MATCH($AB$1,[3]enemy_skill_sets!$1:$1,0)+1),MATCH(AC$1,[3]enemy_skill_sets!$1:$1,0)-MATCH($AB$1,[3]enemy_skill_sets!$1:$1,0)+1,FALSE)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255" s="27">
        <v>1</v>
      </c>
      <c r="AE255" s="37">
        <v>1</v>
      </c>
      <c r="AF255" s="37">
        <v>0</v>
      </c>
      <c r="AG255" s="28">
        <f ca="1">ROUND(VLOOKUP(1,enemy_base_stats!$A:$F,2,FALSE) * Y255* J255*O255*E255*S255*AD255*[2]ステータス!$B$2,0)</f>
        <v>4296</v>
      </c>
      <c r="AH255" s="28">
        <f ca="1">ROUND(VLOOKUP(1,enemy_base_stats!$A:$F,3,FALSE) * Z255*K255*P255*F255*T255*AE255 * W255*[2]ステータス!$C$2,0)</f>
        <v>211</v>
      </c>
      <c r="AI255" s="28">
        <f ca="1">ROUND(VLOOKUP(1,enemy_base_stats!$A:$F,4,FALSE) * AA255*L255*Q255*G255*U255*AF255*[2]ステータス!$D$2,0)</f>
        <v>0</v>
      </c>
      <c r="AJ255" s="28">
        <f ca="1">ROUND(VLOOKUP(100,enemy_base_stats!$A:$F,2,FALSE) * Y255* J255*O255*E255*S255*AD255*[2]ステータス!$B$2,0)</f>
        <v>174427</v>
      </c>
      <c r="AK255" s="28">
        <f ca="1">ROUND(VLOOKUP(100,enemy_base_stats!$A:$F,3,FALSE)* Z255* K255*P255*F255*T255*AE255 * W255*[2]ステータス!$C$2,0)</f>
        <v>8547</v>
      </c>
      <c r="AL255" s="28">
        <f ca="1">ROUND(VLOOKUP(100,enemy_base_stats!$A:$F,4,FALSE)* AA255* L255*Q255*G255*U255*AF255*[2]ステータス!$D$2,0)</f>
        <v>0</v>
      </c>
      <c r="AM255" s="24">
        <f ca="1">VLOOKUP(M255,[2]character_tribe_i18n!$A:$I,9,FALSE)</f>
        <v>680</v>
      </c>
      <c r="AN255" s="36">
        <v>0</v>
      </c>
      <c r="AO255" s="53">
        <v>0</v>
      </c>
      <c r="AP255" s="58" t="s">
        <v>72</v>
      </c>
      <c r="AQ255" s="71">
        <f t="shared" ca="1" si="6"/>
        <v>254</v>
      </c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</row>
    <row r="256" spans="1:60" s="3" customFormat="1" ht="21" customHeight="1" x14ac:dyDescent="0.15">
      <c r="A256" s="7">
        <f t="shared" ca="1" si="7"/>
        <v>255</v>
      </c>
      <c r="B256" s="6" t="str">
        <f ca="1">VLOOKUP(A256,[2]characters!$A:$C,3,FALSE)</f>
        <v>怠惰の頂点 ベルフェゴール</v>
      </c>
      <c r="C256" s="9">
        <f ca="1">VLOOKUP(A256,[2]characters!$A:$I,9,FALSE)</f>
        <v>5</v>
      </c>
      <c r="D256" s="9" t="str">
        <f ca="1">VLOOKUP(A256,[2]characters!$A:$H,8,FALSE)</f>
        <v>green</v>
      </c>
      <c r="E256" s="24">
        <f ca="1">VLOOKUP(D256,[2]属性!$A:$E,2,FALSE)</f>
        <v>1.02</v>
      </c>
      <c r="F256" s="24">
        <f ca="1">VLOOKUP(D256,[2]属性!$A:$E,3,FALSE)</f>
        <v>0.98</v>
      </c>
      <c r="G256" s="24">
        <f ca="1">VLOOKUP(D256,[2]属性!$A:$F,4,FALSE)</f>
        <v>1</v>
      </c>
      <c r="H256" s="9" t="str">
        <f ca="1">VLOOKUP(A256,[2]characters!$A:$K,11,FALSE)</f>
        <v>technical</v>
      </c>
      <c r="I256" s="14" t="str">
        <f ca="1">VLOOKUP(H256,[2]character_type_i18n!$A:$F,3,FALSE)</f>
        <v>テクニカルタイプ</v>
      </c>
      <c r="J256" s="36">
        <f ca="1">VLOOKUP(H256,[2]character_type_i18n!$A:$F,4,FALSE)</f>
        <v>0.9</v>
      </c>
      <c r="K256" s="36">
        <f ca="1">VLOOKUP(H256,[2]character_type_i18n!$A:$F,5,FALSE)</f>
        <v>0.9</v>
      </c>
      <c r="L256" s="36">
        <f ca="1">VLOOKUP(H256,[2]character_type_i18n!$A:$F,6,FALSE)</f>
        <v>1</v>
      </c>
      <c r="M256" s="9" t="str">
        <f ca="1">VLOOKUP(A256,[2]characters!$A:$M,13,FALSE)</f>
        <v>god</v>
      </c>
      <c r="N256" s="14" t="str">
        <f ca="1">VLOOKUP(M256,[2]character_tribe_i18n!$A:$F,3,FALSE)</f>
        <v>ゴッド</v>
      </c>
      <c r="O256" s="24">
        <f ca="1">VLOOKUP(M256,[2]character_tribe_i18n!$A:$F,4,FALSE)</f>
        <v>0.96</v>
      </c>
      <c r="P256" s="24">
        <f ca="1">VLOOKUP(M256,[2]character_tribe_i18n!$A:$F,5,FALSE)</f>
        <v>1.02</v>
      </c>
      <c r="Q256" s="24">
        <f ca="1">VLOOKUP(M256,[2]character_tribe_i18n!$A:$F,6,FALSE)</f>
        <v>1</v>
      </c>
      <c r="R256" s="25" t="s">
        <v>4</v>
      </c>
      <c r="S256" s="24">
        <f>VLOOKUP($R256,ラベル別係数!$A$1:$E$7,3,FALSE)</f>
        <v>5</v>
      </c>
      <c r="T256" s="24">
        <f>VLOOKUP($R256,ラベル別係数!$A$1:$E$7,4,FALSE)</f>
        <v>1.3</v>
      </c>
      <c r="U256" s="24">
        <f>VLOOKUP($R256,ラベル別係数!$A$1:$E$7,5,FALSE)</f>
        <v>0.8</v>
      </c>
      <c r="V256" s="27">
        <v>4</v>
      </c>
      <c r="W256" s="28">
        <f>VLOOKUP(V256,ターン数別攻撃係数!$A$1:$B$1000,2,FALSE)</f>
        <v>1.2</v>
      </c>
      <c r="X256" s="10">
        <v>60</v>
      </c>
      <c r="Y256" s="26">
        <f>VLOOKUP($X256,サイズ別係数!$B:$E,2,FALSE)</f>
        <v>1.7</v>
      </c>
      <c r="Z256" s="26">
        <f>VLOOKUP($X256,サイズ別係数!$B:$E,3,FALSE)</f>
        <v>1.4</v>
      </c>
      <c r="AA256" s="26">
        <f>VLOOKUP($X256,サイズ別係数!$B:$E,4,FALSE)</f>
        <v>1</v>
      </c>
      <c r="AB256" s="5">
        <v>0</v>
      </c>
      <c r="AC256" s="34" t="str">
        <f ca="1">VLOOKUP($AB256,OFFSET([3]enemy_skill_sets!$B$2,0,0,COUNTA([3]enemy_skill_sets!$A:$A),MATCH(AC$1,[3]enemy_skill_sets!$1:$1,0)-MATCH($AB$1,[3]enemy_skill_sets!$1:$1,0)+1),MATCH(AC$1,[3]enemy_skill_sets!$1:$1,0)-MATCH($AB$1,[3]enemy_skill_sets!$1:$1,0)+1,FALSE)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6" s="27">
        <v>1</v>
      </c>
      <c r="AE256" s="37">
        <v>1</v>
      </c>
      <c r="AF256" s="37">
        <v>0</v>
      </c>
      <c r="AG256" s="28">
        <f ca="1">ROUND(VLOOKUP(1,enemy_base_stats!$A:$F,2,FALSE) * Y256* J256*O256*E256*S256*AD256*[2]ステータス!$B$2,0)</f>
        <v>3745</v>
      </c>
      <c r="AH256" s="28">
        <f ca="1">ROUND(VLOOKUP(1,enemy_base_stats!$A:$F,3,FALSE) * Z256*K256*P256*F256*T256*AE256 * W256*[2]ステータス!$C$2,0)</f>
        <v>295</v>
      </c>
      <c r="AI256" s="28">
        <f ca="1">ROUND(VLOOKUP(1,enemy_base_stats!$A:$F,4,FALSE) * AA256*L256*Q256*G256*U256*AF256*[2]ステータス!$D$2,0)</f>
        <v>0</v>
      </c>
      <c r="AJ256" s="28">
        <f ca="1">ROUND(VLOOKUP(100,enemy_base_stats!$A:$F,2,FALSE) * Y256* J256*O256*E256*S256*AD256*[2]ステータス!$B$2,0)</f>
        <v>152065</v>
      </c>
      <c r="AK256" s="28">
        <f ca="1">ROUND(VLOOKUP(100,enemy_base_stats!$A:$F,3,FALSE)* Z256* K256*P256*F256*T256*AE256 * W256*[2]ステータス!$C$2,0)</f>
        <v>11966</v>
      </c>
      <c r="AL256" s="28">
        <f ca="1">ROUND(VLOOKUP(100,enemy_base_stats!$A:$F,4,FALSE)* AA256* L256*Q256*G256*U256*AF256*[2]ステータス!$D$2,0)</f>
        <v>0</v>
      </c>
      <c r="AM256" s="24">
        <f ca="1">VLOOKUP(M256,[2]character_tribe_i18n!$A:$I,9,FALSE)</f>
        <v>680</v>
      </c>
      <c r="AN256" s="36">
        <v>0</v>
      </c>
      <c r="AO256" s="53">
        <v>0</v>
      </c>
      <c r="AP256" s="58" t="s">
        <v>72</v>
      </c>
      <c r="AQ256" s="71">
        <f t="shared" ca="1" si="6"/>
        <v>255</v>
      </c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8"/>
      <c r="BC256" s="18"/>
      <c r="BD256" s="18"/>
      <c r="BE256" s="18"/>
      <c r="BF256" s="18"/>
      <c r="BG256" s="18"/>
      <c r="BH256" s="18"/>
    </row>
    <row r="257" spans="1:60" s="3" customFormat="1" ht="21" customHeight="1" x14ac:dyDescent="0.15">
      <c r="A257" s="7">
        <f t="shared" ca="1" si="7"/>
        <v>256</v>
      </c>
      <c r="B257" s="6" t="str">
        <f ca="1">VLOOKUP(A257,[2]characters!$A:$C,3,FALSE)</f>
        <v>アスモデウス</v>
      </c>
      <c r="C257" s="9">
        <f ca="1">VLOOKUP(A257,[2]characters!$A:$I,9,FALSE)</f>
        <v>3</v>
      </c>
      <c r="D257" s="9" t="str">
        <f ca="1">VLOOKUP(A257,[2]characters!$A:$H,8,FALSE)</f>
        <v>blue</v>
      </c>
      <c r="E257" s="24">
        <f ca="1">VLOOKUP(D257,[2]属性!$A:$E,2,FALSE)</f>
        <v>1</v>
      </c>
      <c r="F257" s="24">
        <f ca="1">VLOOKUP(D257,[2]属性!$A:$E,3,FALSE)</f>
        <v>0.98</v>
      </c>
      <c r="G257" s="24">
        <f ca="1">VLOOKUP(D257,[2]属性!$A:$F,4,FALSE)</f>
        <v>1</v>
      </c>
      <c r="H257" s="9" t="str">
        <f ca="1">VLOOKUP(A257,[2]characters!$A:$K,11,FALSE)</f>
        <v>attack</v>
      </c>
      <c r="I257" s="14" t="str">
        <f ca="1">VLOOKUP(H257,[2]character_type_i18n!$A:$F,3,FALSE)</f>
        <v>攻撃タイプ</v>
      </c>
      <c r="J257" s="36">
        <f ca="1">VLOOKUP(H257,[2]character_type_i18n!$A:$F,4,FALSE)</f>
        <v>1</v>
      </c>
      <c r="K257" s="36">
        <f ca="1">VLOOKUP(H257,[2]character_type_i18n!$A:$F,5,FALSE)</f>
        <v>1.33</v>
      </c>
      <c r="L257" s="36">
        <f ca="1">VLOOKUP(H257,[2]character_type_i18n!$A:$F,6,FALSE)</f>
        <v>1</v>
      </c>
      <c r="M257" s="9" t="str">
        <f ca="1">VLOOKUP(A257,[2]characters!$A:$M,13,FALSE)</f>
        <v>god</v>
      </c>
      <c r="N257" s="14" t="str">
        <f ca="1">VLOOKUP(M257,[2]character_tribe_i18n!$A:$F,3,FALSE)</f>
        <v>ゴッド</v>
      </c>
      <c r="O257" s="24">
        <f ca="1">VLOOKUP(M257,[2]character_tribe_i18n!$A:$F,4,FALSE)</f>
        <v>0.96</v>
      </c>
      <c r="P257" s="24">
        <f ca="1">VLOOKUP(M257,[2]character_tribe_i18n!$A:$F,5,FALSE)</f>
        <v>1.02</v>
      </c>
      <c r="Q257" s="24">
        <f ca="1">VLOOKUP(M257,[2]character_tribe_i18n!$A:$F,6,FALSE)</f>
        <v>1</v>
      </c>
      <c r="R257" s="25" t="s">
        <v>4</v>
      </c>
      <c r="S257" s="24">
        <f>VLOOKUP($R257,ラベル別係数!$A$1:$E$7,3,FALSE)</f>
        <v>5</v>
      </c>
      <c r="T257" s="24">
        <f>VLOOKUP($R257,ラベル別係数!$A$1:$E$7,4,FALSE)</f>
        <v>1.3</v>
      </c>
      <c r="U257" s="24">
        <f>VLOOKUP($R257,ラベル別係数!$A$1:$E$7,5,FALSE)</f>
        <v>0.8</v>
      </c>
      <c r="V257" s="27">
        <v>3</v>
      </c>
      <c r="W257" s="28">
        <f>VLOOKUP(V257,ターン数別攻撃係数!$A$1:$B$1000,2,FALSE)</f>
        <v>1</v>
      </c>
      <c r="X257" s="10">
        <v>20</v>
      </c>
      <c r="Y257" s="26">
        <f>VLOOKUP($X257,サイズ別係数!$B:$E,2,FALSE)</f>
        <v>1.1000000000000001</v>
      </c>
      <c r="Z257" s="26">
        <f>VLOOKUP($X257,サイズ別係数!$B:$E,3,FALSE)</f>
        <v>1.2</v>
      </c>
      <c r="AA257" s="26">
        <f>VLOOKUP($X257,サイズ別係数!$B:$E,4,FALSE)</f>
        <v>1.2</v>
      </c>
      <c r="AB257" s="5">
        <v>256</v>
      </c>
      <c r="AC257" s="34" t="str">
        <f ca="1">VLOOKUP($AB257,OFFSET([3]enemy_skill_sets!$B$2,0,0,COUNTA([3]enemy_skill_sets!$A:$A),MATCH(AC$1,[3]enemy_skill_sets!$1:$1,0)-MATCH($AB$1,[3]enemy_skill_sets!$1:$1,0)+1),MATCH(AC$1,[3]enemy_skill_sets!$1:$1,0)-MATCH($AB$1,[3]enemy_skill_sets!$1:$1,0)+1,FALSE)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257" s="27">
        <v>1</v>
      </c>
      <c r="AE257" s="37">
        <v>1</v>
      </c>
      <c r="AF257" s="37">
        <v>0</v>
      </c>
      <c r="AG257" s="28">
        <f ca="1">ROUND(VLOOKUP(1,enemy_base_stats!$A:$F,2,FALSE) * Y257* J257*O257*E257*S257*AD257*[2]ステータス!$B$2,0)</f>
        <v>2640</v>
      </c>
      <c r="AH257" s="28">
        <f ca="1">ROUND(VLOOKUP(1,enemy_base_stats!$A:$F,3,FALSE) * Z257*K257*P257*F257*T257*AE257 * W257*[2]ステータス!$C$2,0)</f>
        <v>311</v>
      </c>
      <c r="AI257" s="28">
        <f ca="1">ROUND(VLOOKUP(1,enemy_base_stats!$A:$F,4,FALSE) * AA257*L257*Q257*G257*U257*AF257*[2]ステータス!$D$2,0)</f>
        <v>0</v>
      </c>
      <c r="AJ257" s="28">
        <f ca="1">ROUND(VLOOKUP(100,enemy_base_stats!$A:$F,2,FALSE) * Y257* J257*O257*E257*S257*AD257*[2]ステータス!$B$2,0)</f>
        <v>107184</v>
      </c>
      <c r="AK257" s="28">
        <f ca="1">ROUND(VLOOKUP(100,enemy_base_stats!$A:$F,3,FALSE)* Z257* K257*P257*F257*T257*AE257 * W257*[2]ステータス!$C$2,0)</f>
        <v>12630</v>
      </c>
      <c r="AL257" s="28">
        <f ca="1">ROUND(VLOOKUP(100,enemy_base_stats!$A:$F,4,FALSE)* AA257* L257*Q257*G257*U257*AF257*[2]ステータス!$D$2,0)</f>
        <v>0</v>
      </c>
      <c r="AM257" s="24">
        <f ca="1">VLOOKUP(M257,[2]character_tribe_i18n!$A:$I,9,FALSE)</f>
        <v>680</v>
      </c>
      <c r="AN257" s="36">
        <v>0</v>
      </c>
      <c r="AO257" s="53">
        <v>0</v>
      </c>
      <c r="AP257" s="58" t="s">
        <v>72</v>
      </c>
      <c r="AQ257" s="71">
        <f t="shared" ca="1" si="6"/>
        <v>256</v>
      </c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8"/>
      <c r="BC257" s="18"/>
      <c r="BD257" s="18"/>
      <c r="BE257" s="18"/>
      <c r="BF257" s="18"/>
      <c r="BG257" s="18"/>
      <c r="BH257" s="18"/>
    </row>
    <row r="258" spans="1:60" s="3" customFormat="1" ht="21" customHeight="1" x14ac:dyDescent="0.15">
      <c r="A258" s="7">
        <f t="shared" ca="1" si="7"/>
        <v>257</v>
      </c>
      <c r="B258" s="6" t="str">
        <f ca="1">VLOOKUP(A258,[2]characters!$A:$C,3,FALSE)</f>
        <v>色欲 アスモデウス</v>
      </c>
      <c r="C258" s="9">
        <f ca="1">VLOOKUP(A258,[2]characters!$A:$I,9,FALSE)</f>
        <v>4</v>
      </c>
      <c r="D258" s="9" t="str">
        <f ca="1">VLOOKUP(A258,[2]characters!$A:$H,8,FALSE)</f>
        <v>blue</v>
      </c>
      <c r="E258" s="24">
        <f ca="1">VLOOKUP(D258,[2]属性!$A:$E,2,FALSE)</f>
        <v>1</v>
      </c>
      <c r="F258" s="24">
        <f ca="1">VLOOKUP(D258,[2]属性!$A:$E,3,FALSE)</f>
        <v>0.98</v>
      </c>
      <c r="G258" s="24">
        <f ca="1">VLOOKUP(D258,[2]属性!$A:$F,4,FALSE)</f>
        <v>1</v>
      </c>
      <c r="H258" s="9" t="str">
        <f ca="1">VLOOKUP(A258,[2]characters!$A:$K,11,FALSE)</f>
        <v>attack</v>
      </c>
      <c r="I258" s="14" t="str">
        <f ca="1">VLOOKUP(H258,[2]character_type_i18n!$A:$F,3,FALSE)</f>
        <v>攻撃タイプ</v>
      </c>
      <c r="J258" s="36">
        <f ca="1">VLOOKUP(H258,[2]character_type_i18n!$A:$F,4,FALSE)</f>
        <v>1</v>
      </c>
      <c r="K258" s="36">
        <f ca="1">VLOOKUP(H258,[2]character_type_i18n!$A:$F,5,FALSE)</f>
        <v>1.33</v>
      </c>
      <c r="L258" s="36">
        <f ca="1">VLOOKUP(H258,[2]character_type_i18n!$A:$F,6,FALSE)</f>
        <v>1</v>
      </c>
      <c r="M258" s="9" t="str">
        <f ca="1">VLOOKUP(A258,[2]characters!$A:$M,13,FALSE)</f>
        <v>god</v>
      </c>
      <c r="N258" s="14" t="str">
        <f ca="1">VLOOKUP(M258,[2]character_tribe_i18n!$A:$F,3,FALSE)</f>
        <v>ゴッド</v>
      </c>
      <c r="O258" s="24">
        <f ca="1">VLOOKUP(M258,[2]character_tribe_i18n!$A:$F,4,FALSE)</f>
        <v>0.96</v>
      </c>
      <c r="P258" s="24">
        <f ca="1">VLOOKUP(M258,[2]character_tribe_i18n!$A:$F,5,FALSE)</f>
        <v>1.02</v>
      </c>
      <c r="Q258" s="24">
        <f ca="1">VLOOKUP(M258,[2]character_tribe_i18n!$A:$F,6,FALSE)</f>
        <v>1</v>
      </c>
      <c r="R258" s="25" t="s">
        <v>89</v>
      </c>
      <c r="S258" s="24">
        <f>VLOOKUP($R258,ラベル別係数!$A$1:$E$7,3,FALSE)</f>
        <v>10</v>
      </c>
      <c r="T258" s="24">
        <f>VLOOKUP($R258,ラベル別係数!$A$1:$E$7,4,FALSE)</f>
        <v>1</v>
      </c>
      <c r="U258" s="24">
        <f>VLOOKUP($R258,ラベル別係数!$A$1:$E$7,5,FALSE)</f>
        <v>0.8</v>
      </c>
      <c r="V258" s="27">
        <v>3</v>
      </c>
      <c r="W258" s="28">
        <f>VLOOKUP(V258,ターン数別攻撃係数!$A$1:$B$1000,2,FALSE)</f>
        <v>1</v>
      </c>
      <c r="X258" s="10">
        <v>30</v>
      </c>
      <c r="Y258" s="26">
        <f>VLOOKUP($X258,サイズ別係数!$B:$E,2,FALSE)</f>
        <v>1.3</v>
      </c>
      <c r="Z258" s="26">
        <f>VLOOKUP($X258,サイズ別係数!$B:$E,3,FALSE)</f>
        <v>1.3</v>
      </c>
      <c r="AA258" s="26">
        <f>VLOOKUP($X258,サイズ別係数!$B:$E,4,FALSE)</f>
        <v>1.1000000000000001</v>
      </c>
      <c r="AB258" s="5">
        <v>257</v>
      </c>
      <c r="AC258" s="34" t="str">
        <f ca="1">VLOOKUP($AB258,OFFSET([3]enemy_skill_sets!$B$2,0,0,COUNTA([3]enemy_skill_sets!$A:$A),MATCH(AC$1,[3]enemy_skill_sets!$1:$1,0)-MATCH($AB$1,[3]enemy_skill_sets!$1:$1,0)+1),MATCH(AC$1,[3]enemy_skill_sets!$1:$1,0)-MATCH($AB$1,[3]enemy_skill_sets!$1:$1,0)+1,FALSE)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258" s="27">
        <v>1</v>
      </c>
      <c r="AE258" s="37">
        <v>1</v>
      </c>
      <c r="AF258" s="37">
        <v>0</v>
      </c>
      <c r="AG258" s="28">
        <f ca="1">ROUND(VLOOKUP(1,enemy_base_stats!$A:$F,2,FALSE) * Y258* J258*O258*E258*S258*AD258*[2]ステータス!$B$2,0)</f>
        <v>6240</v>
      </c>
      <c r="AH258" s="28">
        <f ca="1">ROUND(VLOOKUP(1,enemy_base_stats!$A:$F,3,FALSE) * Z258*K258*P258*F258*T258*AE258 * W258*[2]ステータス!$C$2,0)</f>
        <v>259</v>
      </c>
      <c r="AI258" s="28">
        <f ca="1">ROUND(VLOOKUP(1,enemy_base_stats!$A:$F,4,FALSE) * AA258*L258*Q258*G258*U258*AF258*[2]ステータス!$D$2,0)</f>
        <v>0</v>
      </c>
      <c r="AJ258" s="28">
        <f ca="1">ROUND(VLOOKUP(100,enemy_base_stats!$A:$F,2,FALSE) * Y258* J258*O258*E258*S258*AD258*[2]ステータス!$B$2,0)</f>
        <v>253344</v>
      </c>
      <c r="AK258" s="28">
        <f ca="1">ROUND(VLOOKUP(100,enemy_base_stats!$A:$F,3,FALSE)* Z258* K258*P258*F258*T258*AE258 * W258*[2]ステータス!$C$2,0)</f>
        <v>10525</v>
      </c>
      <c r="AL258" s="28">
        <f ca="1">ROUND(VLOOKUP(100,enemy_base_stats!$A:$F,4,FALSE)* AA258* L258*Q258*G258*U258*AF258*[2]ステータス!$D$2,0)</f>
        <v>0</v>
      </c>
      <c r="AM258" s="24">
        <f ca="1">VLOOKUP(M258,[2]character_tribe_i18n!$A:$I,9,FALSE)</f>
        <v>680</v>
      </c>
      <c r="AN258" s="36">
        <v>0</v>
      </c>
      <c r="AO258" s="53">
        <v>0</v>
      </c>
      <c r="AP258" s="58" t="s">
        <v>72</v>
      </c>
      <c r="AQ258" s="71">
        <f t="shared" ref="AQ258:AQ321" ca="1" si="8">A258</f>
        <v>257</v>
      </c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8"/>
      <c r="BC258" s="18"/>
      <c r="BD258" s="18"/>
      <c r="BE258" s="18"/>
      <c r="BF258" s="18"/>
      <c r="BG258" s="18"/>
      <c r="BH258" s="18"/>
    </row>
    <row r="259" spans="1:60" s="3" customFormat="1" ht="21" customHeight="1" x14ac:dyDescent="0.15">
      <c r="A259" s="7">
        <f t="shared" ref="A259:A322" ca="1" si="9">INDIRECT(ADDRESS(ROW(),COLUMN(),1,TRUE,"[CharacterMasterData.xlsm]characters"))</f>
        <v>258</v>
      </c>
      <c r="B259" s="6" t="str">
        <f ca="1">VLOOKUP(A259,[2]characters!$A:$C,3,FALSE)</f>
        <v>色欲の源流 アスモデウス</v>
      </c>
      <c r="C259" s="9">
        <f ca="1">VLOOKUP(A259,[2]characters!$A:$I,9,FALSE)</f>
        <v>5</v>
      </c>
      <c r="D259" s="9" t="str">
        <f ca="1">VLOOKUP(A259,[2]characters!$A:$H,8,FALSE)</f>
        <v>blue</v>
      </c>
      <c r="E259" s="24">
        <f ca="1">VLOOKUP(D259,[2]属性!$A:$E,2,FALSE)</f>
        <v>1</v>
      </c>
      <c r="F259" s="24">
        <f ca="1">VLOOKUP(D259,[2]属性!$A:$E,3,FALSE)</f>
        <v>0.98</v>
      </c>
      <c r="G259" s="24">
        <f ca="1">VLOOKUP(D259,[2]属性!$A:$F,4,FALSE)</f>
        <v>1</v>
      </c>
      <c r="H259" s="9" t="str">
        <f ca="1">VLOOKUP(A259,[2]characters!$A:$K,11,FALSE)</f>
        <v>attack</v>
      </c>
      <c r="I259" s="14" t="str">
        <f ca="1">VLOOKUP(H259,[2]character_type_i18n!$A:$F,3,FALSE)</f>
        <v>攻撃タイプ</v>
      </c>
      <c r="J259" s="36">
        <f ca="1">VLOOKUP(H259,[2]character_type_i18n!$A:$F,4,FALSE)</f>
        <v>1</v>
      </c>
      <c r="K259" s="36">
        <f ca="1">VLOOKUP(H259,[2]character_type_i18n!$A:$F,5,FALSE)</f>
        <v>1.33</v>
      </c>
      <c r="L259" s="36">
        <f ca="1">VLOOKUP(H259,[2]character_type_i18n!$A:$F,6,FALSE)</f>
        <v>1</v>
      </c>
      <c r="M259" s="9" t="str">
        <f ca="1">VLOOKUP(A259,[2]characters!$A:$M,13,FALSE)</f>
        <v>god</v>
      </c>
      <c r="N259" s="14" t="str">
        <f ca="1">VLOOKUP(M259,[2]character_tribe_i18n!$A:$F,3,FALSE)</f>
        <v>ゴッド</v>
      </c>
      <c r="O259" s="24">
        <f ca="1">VLOOKUP(M259,[2]character_tribe_i18n!$A:$F,4,FALSE)</f>
        <v>0.96</v>
      </c>
      <c r="P259" s="24">
        <f ca="1">VLOOKUP(M259,[2]character_tribe_i18n!$A:$F,5,FALSE)</f>
        <v>1.02</v>
      </c>
      <c r="Q259" s="24">
        <f ca="1">VLOOKUP(M259,[2]character_tribe_i18n!$A:$F,6,FALSE)</f>
        <v>1</v>
      </c>
      <c r="R259" s="25" t="s">
        <v>4</v>
      </c>
      <c r="S259" s="24">
        <f>VLOOKUP($R259,ラベル別係数!$A$1:$E$7,3,FALSE)</f>
        <v>5</v>
      </c>
      <c r="T259" s="24">
        <f>VLOOKUP($R259,ラベル別係数!$A$1:$E$7,4,FALSE)</f>
        <v>1.3</v>
      </c>
      <c r="U259" s="24">
        <f>VLOOKUP($R259,ラベル別係数!$A$1:$E$7,5,FALSE)</f>
        <v>0.8</v>
      </c>
      <c r="V259" s="27">
        <v>3</v>
      </c>
      <c r="W259" s="28">
        <f>VLOOKUP(V259,ターン数別攻撃係数!$A$1:$B$1000,2,FALSE)</f>
        <v>1</v>
      </c>
      <c r="X259" s="10">
        <v>60</v>
      </c>
      <c r="Y259" s="26">
        <f>VLOOKUP($X259,サイズ別係数!$B:$E,2,FALSE)</f>
        <v>1.7</v>
      </c>
      <c r="Z259" s="26">
        <f>VLOOKUP($X259,サイズ別係数!$B:$E,3,FALSE)</f>
        <v>1.4</v>
      </c>
      <c r="AA259" s="26">
        <f>VLOOKUP($X259,サイズ別係数!$B:$E,4,FALSE)</f>
        <v>1</v>
      </c>
      <c r="AB259" s="5">
        <v>0</v>
      </c>
      <c r="AC259" s="34" t="str">
        <f ca="1">VLOOKUP($AB259,OFFSET([3]enemy_skill_sets!$B$2,0,0,COUNTA([3]enemy_skill_sets!$A:$A),MATCH(AC$1,[3]enemy_skill_sets!$1:$1,0)-MATCH($AB$1,[3]enemy_skill_sets!$1:$1,0)+1),MATCH(AC$1,[3]enemy_skill_sets!$1:$1,0)-MATCH($AB$1,[3]enemy_skill_sets!$1:$1,0)+1,FALSE)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59" s="27">
        <v>1</v>
      </c>
      <c r="AE259" s="37">
        <v>1</v>
      </c>
      <c r="AF259" s="37">
        <v>0</v>
      </c>
      <c r="AG259" s="28">
        <f ca="1">ROUND(VLOOKUP(1,enemy_base_stats!$A:$F,2,FALSE) * Y259* J259*O259*E259*S259*AD259*[2]ステータス!$B$2,0)</f>
        <v>4080</v>
      </c>
      <c r="AH259" s="28">
        <f ca="1">ROUND(VLOOKUP(1,enemy_base_stats!$A:$F,3,FALSE) * Z259*K259*P259*F259*T259*AE259 * W259*[2]ステータス!$C$2,0)</f>
        <v>363</v>
      </c>
      <c r="AI259" s="28">
        <f ca="1">ROUND(VLOOKUP(1,enemy_base_stats!$A:$F,4,FALSE) * AA259*L259*Q259*G259*U259*AF259*[2]ステータス!$D$2,0)</f>
        <v>0</v>
      </c>
      <c r="AJ259" s="28">
        <f ca="1">ROUND(VLOOKUP(100,enemy_base_stats!$A:$F,2,FALSE) * Y259* J259*O259*E259*S259*AD259*[2]ステータス!$B$2,0)</f>
        <v>165648</v>
      </c>
      <c r="AK259" s="28">
        <f ca="1">ROUND(VLOOKUP(100,enemy_base_stats!$A:$F,3,FALSE)* Z259* K259*P259*F259*T259*AE259 * W259*[2]ステータス!$C$2,0)</f>
        <v>14736</v>
      </c>
      <c r="AL259" s="28">
        <f ca="1">ROUND(VLOOKUP(100,enemy_base_stats!$A:$F,4,FALSE)* AA259* L259*Q259*G259*U259*AF259*[2]ステータス!$D$2,0)</f>
        <v>0</v>
      </c>
      <c r="AM259" s="24">
        <f ca="1">VLOOKUP(M259,[2]character_tribe_i18n!$A:$I,9,FALSE)</f>
        <v>680</v>
      </c>
      <c r="AN259" s="36">
        <v>0</v>
      </c>
      <c r="AO259" s="53">
        <v>0</v>
      </c>
      <c r="AP259" s="58" t="s">
        <v>72</v>
      </c>
      <c r="AQ259" s="71">
        <f t="shared" ca="1" si="8"/>
        <v>258</v>
      </c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</row>
    <row r="260" spans="1:60" s="3" customFormat="1" ht="21" customHeight="1" x14ac:dyDescent="0.15">
      <c r="A260" s="7">
        <f t="shared" ca="1" si="9"/>
        <v>259</v>
      </c>
      <c r="B260" s="6" t="str">
        <f ca="1">VLOOKUP(A260,[2]characters!$A:$C,3,FALSE)</f>
        <v>ウロボロス</v>
      </c>
      <c r="C260" s="9">
        <f ca="1">VLOOKUP(A260,[2]characters!$A:$I,9,FALSE)</f>
        <v>3</v>
      </c>
      <c r="D260" s="9" t="str">
        <f ca="1">VLOOKUP(A260,[2]characters!$A:$H,8,FALSE)</f>
        <v>yellow</v>
      </c>
      <c r="E260" s="24">
        <f ca="1">VLOOKUP(D260,[2]属性!$A:$E,2,FALSE)</f>
        <v>0.98</v>
      </c>
      <c r="F260" s="24">
        <f ca="1">VLOOKUP(D260,[2]属性!$A:$E,3,FALSE)</f>
        <v>1.01</v>
      </c>
      <c r="G260" s="24">
        <f ca="1">VLOOKUP(D260,[2]属性!$A:$F,4,FALSE)</f>
        <v>1</v>
      </c>
      <c r="H260" s="9" t="str">
        <f ca="1">VLOOKUP(A260,[2]characters!$A:$K,11,FALSE)</f>
        <v>balance</v>
      </c>
      <c r="I260" s="14" t="str">
        <f ca="1">VLOOKUP(H260,[2]character_type_i18n!$A:$F,3,FALSE)</f>
        <v>バランスタイプ</v>
      </c>
      <c r="J260" s="36">
        <f ca="1">VLOOKUP(H260,[2]character_type_i18n!$A:$F,4,FALSE)</f>
        <v>1</v>
      </c>
      <c r="K260" s="36">
        <f ca="1">VLOOKUP(H260,[2]character_type_i18n!$A:$F,5,FALSE)</f>
        <v>1</v>
      </c>
      <c r="L260" s="36">
        <f ca="1">VLOOKUP(H260,[2]character_type_i18n!$A:$F,6,FALSE)</f>
        <v>1</v>
      </c>
      <c r="M260" s="9" t="str">
        <f ca="1">VLOOKUP(A260,[2]characters!$A:$M,13,FALSE)</f>
        <v>dragon</v>
      </c>
      <c r="N260" s="14" t="str">
        <f ca="1">VLOOKUP(M260,[2]character_tribe_i18n!$A:$F,3,FALSE)</f>
        <v>ドラゴン</v>
      </c>
      <c r="O260" s="24">
        <f ca="1">VLOOKUP(M260,[2]character_tribe_i18n!$A:$F,4,FALSE)</f>
        <v>1.1499999999999999</v>
      </c>
      <c r="P260" s="24">
        <f ca="1">VLOOKUP(M260,[2]character_tribe_i18n!$A:$F,5,FALSE)</f>
        <v>1.1000000000000001</v>
      </c>
      <c r="Q260" s="24">
        <f ca="1">VLOOKUP(M260,[2]character_tribe_i18n!$A:$F,6,FALSE)</f>
        <v>1</v>
      </c>
      <c r="R260" s="25" t="s">
        <v>4</v>
      </c>
      <c r="S260" s="24">
        <f>VLOOKUP($R260,ラベル別係数!$A$1:$E$7,3,FALSE)</f>
        <v>5</v>
      </c>
      <c r="T260" s="24">
        <f>VLOOKUP($R260,ラベル別係数!$A$1:$E$7,4,FALSE)</f>
        <v>1.3</v>
      </c>
      <c r="U260" s="24">
        <f>VLOOKUP($R260,ラベル別係数!$A$1:$E$7,5,FALSE)</f>
        <v>0.8</v>
      </c>
      <c r="V260" s="27">
        <v>2</v>
      </c>
      <c r="W260" s="28">
        <f>VLOOKUP(V260,ターン数別攻撃係数!$A$1:$B$1000,2,FALSE)</f>
        <v>0.75</v>
      </c>
      <c r="X260" s="10">
        <v>20</v>
      </c>
      <c r="Y260" s="26">
        <f>VLOOKUP($X260,サイズ別係数!$B:$E,2,FALSE)</f>
        <v>1.1000000000000001</v>
      </c>
      <c r="Z260" s="26">
        <f>VLOOKUP($X260,サイズ別係数!$B:$E,3,FALSE)</f>
        <v>1.2</v>
      </c>
      <c r="AA260" s="26">
        <f>VLOOKUP($X260,サイズ別係数!$B:$E,4,FALSE)</f>
        <v>1.2</v>
      </c>
      <c r="AB260" s="5">
        <v>0</v>
      </c>
      <c r="AC260" s="34" t="str">
        <f ca="1">VLOOKUP($AB260,OFFSET([3]enemy_skill_sets!$B$2,0,0,COUNTA([3]enemy_skill_sets!$A:$A),MATCH(AC$1,[3]enemy_skill_sets!$1:$1,0)-MATCH($AB$1,[3]enemy_skill_sets!$1:$1,0)+1),MATCH(AC$1,[3]enemy_skill_sets!$1:$1,0)-MATCH($AB$1,[3]enemy_skill_sets!$1:$1,0)+1,FALSE)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0" s="27">
        <v>1</v>
      </c>
      <c r="AE260" s="37">
        <v>1</v>
      </c>
      <c r="AF260" s="37">
        <v>0</v>
      </c>
      <c r="AG260" s="28">
        <f ca="1">ROUND(VLOOKUP(1,enemy_base_stats!$A:$F,2,FALSE) * Y260* J260*O260*E260*S260*AD260*[2]ステータス!$B$2,0)</f>
        <v>3099</v>
      </c>
      <c r="AH260" s="28">
        <f ca="1">ROUND(VLOOKUP(1,enemy_base_stats!$A:$F,3,FALSE) * Z260*K260*P260*F260*T260*AE260 * W260*[2]ステータス!$C$2,0)</f>
        <v>195</v>
      </c>
      <c r="AI260" s="28">
        <f ca="1">ROUND(VLOOKUP(1,enemy_base_stats!$A:$F,4,FALSE) * AA260*L260*Q260*G260*U260*AF260*[2]ステータス!$D$2,0)</f>
        <v>0</v>
      </c>
      <c r="AJ260" s="28">
        <f ca="1">ROUND(VLOOKUP(100,enemy_base_stats!$A:$F,2,FALSE) * Y260* J260*O260*E260*S260*AD260*[2]ステータス!$B$2,0)</f>
        <v>125830</v>
      </c>
      <c r="AK260" s="28">
        <f ca="1">ROUND(VLOOKUP(100,enemy_base_stats!$A:$F,3,FALSE)* Z260* K260*P260*F260*T260*AE260 * W260*[2]ステータス!$C$2,0)</f>
        <v>7916</v>
      </c>
      <c r="AL260" s="28">
        <f ca="1">ROUND(VLOOKUP(100,enemy_base_stats!$A:$F,4,FALSE)* AA260* L260*Q260*G260*U260*AF260*[2]ステータス!$D$2,0)</f>
        <v>0</v>
      </c>
      <c r="AM260" s="24">
        <f ca="1">VLOOKUP(M260,[2]character_tribe_i18n!$A:$I,9,FALSE)</f>
        <v>540</v>
      </c>
      <c r="AN260" s="36">
        <v>0</v>
      </c>
      <c r="AO260" s="53">
        <v>0</v>
      </c>
      <c r="AP260" s="58" t="s">
        <v>72</v>
      </c>
      <c r="AQ260" s="71">
        <f t="shared" ca="1" si="8"/>
        <v>259</v>
      </c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</row>
    <row r="261" spans="1:60" s="3" customFormat="1" ht="21" customHeight="1" x14ac:dyDescent="0.15">
      <c r="A261" s="7">
        <f t="shared" ca="1" si="9"/>
        <v>260</v>
      </c>
      <c r="B261" s="6" t="str">
        <f ca="1">VLOOKUP(A261,[2]characters!$A:$C,3,FALSE)</f>
        <v>輪廻 ウロボロス</v>
      </c>
      <c r="C261" s="9">
        <f ca="1">VLOOKUP(A261,[2]characters!$A:$I,9,FALSE)</f>
        <v>4</v>
      </c>
      <c r="D261" s="9" t="str">
        <f ca="1">VLOOKUP(A261,[2]characters!$A:$H,8,FALSE)</f>
        <v>yellow</v>
      </c>
      <c r="E261" s="24">
        <f ca="1">VLOOKUP(D261,[2]属性!$A:$E,2,FALSE)</f>
        <v>0.98</v>
      </c>
      <c r="F261" s="24">
        <f ca="1">VLOOKUP(D261,[2]属性!$A:$E,3,FALSE)</f>
        <v>1.01</v>
      </c>
      <c r="G261" s="24">
        <f ca="1">VLOOKUP(D261,[2]属性!$A:$F,4,FALSE)</f>
        <v>1</v>
      </c>
      <c r="H261" s="9" t="str">
        <f ca="1">VLOOKUP(A261,[2]characters!$A:$K,11,FALSE)</f>
        <v>balance</v>
      </c>
      <c r="I261" s="14" t="str">
        <f ca="1">VLOOKUP(H261,[2]character_type_i18n!$A:$F,3,FALSE)</f>
        <v>バランスタイプ</v>
      </c>
      <c r="J261" s="36">
        <f ca="1">VLOOKUP(H261,[2]character_type_i18n!$A:$F,4,FALSE)</f>
        <v>1</v>
      </c>
      <c r="K261" s="36">
        <f ca="1">VLOOKUP(H261,[2]character_type_i18n!$A:$F,5,FALSE)</f>
        <v>1</v>
      </c>
      <c r="L261" s="36">
        <f ca="1">VLOOKUP(H261,[2]character_type_i18n!$A:$F,6,FALSE)</f>
        <v>1</v>
      </c>
      <c r="M261" s="9" t="str">
        <f ca="1">VLOOKUP(A261,[2]characters!$A:$M,13,FALSE)</f>
        <v>dragon</v>
      </c>
      <c r="N261" s="14" t="str">
        <f ca="1">VLOOKUP(M261,[2]character_tribe_i18n!$A:$F,3,FALSE)</f>
        <v>ドラゴン</v>
      </c>
      <c r="O261" s="24">
        <f ca="1">VLOOKUP(M261,[2]character_tribe_i18n!$A:$F,4,FALSE)</f>
        <v>1.1499999999999999</v>
      </c>
      <c r="P261" s="24">
        <f ca="1">VLOOKUP(M261,[2]character_tribe_i18n!$A:$F,5,FALSE)</f>
        <v>1.1000000000000001</v>
      </c>
      <c r="Q261" s="24">
        <f ca="1">VLOOKUP(M261,[2]character_tribe_i18n!$A:$F,6,FALSE)</f>
        <v>1</v>
      </c>
      <c r="R261" s="25" t="s">
        <v>4</v>
      </c>
      <c r="S261" s="24">
        <f>VLOOKUP($R261,ラベル別係数!$A$1:$E$7,3,FALSE)</f>
        <v>5</v>
      </c>
      <c r="T261" s="24">
        <f>VLOOKUP($R261,ラベル別係数!$A$1:$E$7,4,FALSE)</f>
        <v>1.3</v>
      </c>
      <c r="U261" s="24">
        <f>VLOOKUP($R261,ラベル別係数!$A$1:$E$7,5,FALSE)</f>
        <v>0.8</v>
      </c>
      <c r="V261" s="27">
        <v>2</v>
      </c>
      <c r="W261" s="28">
        <f>VLOOKUP(V261,ターン数別攻撃係数!$A$1:$B$1000,2,FALSE)</f>
        <v>0.75</v>
      </c>
      <c r="X261" s="10">
        <v>30</v>
      </c>
      <c r="Y261" s="26">
        <f>VLOOKUP($X261,サイズ別係数!$B:$E,2,FALSE)</f>
        <v>1.3</v>
      </c>
      <c r="Z261" s="26">
        <f>VLOOKUP($X261,サイズ別係数!$B:$E,3,FALSE)</f>
        <v>1.3</v>
      </c>
      <c r="AA261" s="26">
        <f>VLOOKUP($X261,サイズ別係数!$B:$E,4,FALSE)</f>
        <v>1.1000000000000001</v>
      </c>
      <c r="AB261" s="5">
        <v>0</v>
      </c>
      <c r="AC261" s="34" t="str">
        <f ca="1">VLOOKUP($AB261,OFFSET([3]enemy_skill_sets!$B$2,0,0,COUNTA([3]enemy_skill_sets!$A:$A),MATCH(AC$1,[3]enemy_skill_sets!$1:$1,0)-MATCH($AB$1,[3]enemy_skill_sets!$1:$1,0)+1),MATCH(AC$1,[3]enemy_skill_sets!$1:$1,0)-MATCH($AB$1,[3]enemy_skill_sets!$1:$1,0)+1,FALSE)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1" s="27">
        <v>1</v>
      </c>
      <c r="AE261" s="37">
        <v>1</v>
      </c>
      <c r="AF261" s="37">
        <v>0</v>
      </c>
      <c r="AG261" s="28">
        <f ca="1">ROUND(VLOOKUP(1,enemy_base_stats!$A:$F,2,FALSE) * Y261* J261*O261*E261*S261*AD261*[2]ステータス!$B$2,0)</f>
        <v>3663</v>
      </c>
      <c r="AH261" s="28">
        <f ca="1">ROUND(VLOOKUP(1,enemy_base_stats!$A:$F,3,FALSE) * Z261*K261*P261*F261*T261*AE261 * W261*[2]ステータス!$C$2,0)</f>
        <v>211</v>
      </c>
      <c r="AI261" s="28">
        <f ca="1">ROUND(VLOOKUP(1,enemy_base_stats!$A:$F,4,FALSE) * AA261*L261*Q261*G261*U261*AF261*[2]ステータス!$D$2,0)</f>
        <v>0</v>
      </c>
      <c r="AJ261" s="28">
        <f ca="1">ROUND(VLOOKUP(100,enemy_base_stats!$A:$F,2,FALSE) * Y261* J261*O261*E261*S261*AD261*[2]ステータス!$B$2,0)</f>
        <v>148708</v>
      </c>
      <c r="AK261" s="28">
        <f ca="1">ROUND(VLOOKUP(100,enemy_base_stats!$A:$F,3,FALSE)* Z261* K261*P261*F261*T261*AE261 * W261*[2]ステータス!$C$2,0)</f>
        <v>8576</v>
      </c>
      <c r="AL261" s="28">
        <f ca="1">ROUND(VLOOKUP(100,enemy_base_stats!$A:$F,4,FALSE)* AA261* L261*Q261*G261*U261*AF261*[2]ステータス!$D$2,0)</f>
        <v>0</v>
      </c>
      <c r="AM261" s="24">
        <f ca="1">VLOOKUP(M261,[2]character_tribe_i18n!$A:$I,9,FALSE)</f>
        <v>540</v>
      </c>
      <c r="AN261" s="36">
        <v>0</v>
      </c>
      <c r="AO261" s="53">
        <v>0</v>
      </c>
      <c r="AP261" s="58" t="s">
        <v>72</v>
      </c>
      <c r="AQ261" s="71">
        <f t="shared" ca="1" si="8"/>
        <v>260</v>
      </c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</row>
    <row r="262" spans="1:60" s="3" customFormat="1" ht="21" customHeight="1" x14ac:dyDescent="0.15">
      <c r="A262" s="7">
        <f t="shared" ca="1" si="9"/>
        <v>261</v>
      </c>
      <c r="B262" s="6" t="str">
        <f ca="1">VLOOKUP(A262,[2]characters!$A:$C,3,FALSE)</f>
        <v>輪廻の蛇龍 ウロボロス</v>
      </c>
      <c r="C262" s="9">
        <f ca="1">VLOOKUP(A262,[2]characters!$A:$I,9,FALSE)</f>
        <v>5</v>
      </c>
      <c r="D262" s="9" t="str">
        <f ca="1">VLOOKUP(A262,[2]characters!$A:$H,8,FALSE)</f>
        <v>yellow</v>
      </c>
      <c r="E262" s="24">
        <f ca="1">VLOOKUP(D262,[2]属性!$A:$E,2,FALSE)</f>
        <v>0.98</v>
      </c>
      <c r="F262" s="24">
        <f ca="1">VLOOKUP(D262,[2]属性!$A:$E,3,FALSE)</f>
        <v>1.01</v>
      </c>
      <c r="G262" s="24">
        <f ca="1">VLOOKUP(D262,[2]属性!$A:$F,4,FALSE)</f>
        <v>1</v>
      </c>
      <c r="H262" s="9" t="str">
        <f ca="1">VLOOKUP(A262,[2]characters!$A:$K,11,FALSE)</f>
        <v>balance</v>
      </c>
      <c r="I262" s="14" t="str">
        <f ca="1">VLOOKUP(H262,[2]character_type_i18n!$A:$F,3,FALSE)</f>
        <v>バランスタイプ</v>
      </c>
      <c r="J262" s="36">
        <f ca="1">VLOOKUP(H262,[2]character_type_i18n!$A:$F,4,FALSE)</f>
        <v>1</v>
      </c>
      <c r="K262" s="36">
        <f ca="1">VLOOKUP(H262,[2]character_type_i18n!$A:$F,5,FALSE)</f>
        <v>1</v>
      </c>
      <c r="L262" s="36">
        <f ca="1">VLOOKUP(H262,[2]character_type_i18n!$A:$F,6,FALSE)</f>
        <v>1</v>
      </c>
      <c r="M262" s="9" t="str">
        <f ca="1">VLOOKUP(A262,[2]characters!$A:$M,13,FALSE)</f>
        <v>dragon</v>
      </c>
      <c r="N262" s="14" t="str">
        <f ca="1">VLOOKUP(M262,[2]character_tribe_i18n!$A:$F,3,FALSE)</f>
        <v>ドラゴン</v>
      </c>
      <c r="O262" s="24">
        <f ca="1">VLOOKUP(M262,[2]character_tribe_i18n!$A:$F,4,FALSE)</f>
        <v>1.1499999999999999</v>
      </c>
      <c r="P262" s="24">
        <f ca="1">VLOOKUP(M262,[2]character_tribe_i18n!$A:$F,5,FALSE)</f>
        <v>1.1000000000000001</v>
      </c>
      <c r="Q262" s="24">
        <f ca="1">VLOOKUP(M262,[2]character_tribe_i18n!$A:$F,6,FALSE)</f>
        <v>1</v>
      </c>
      <c r="R262" s="25" t="s">
        <v>4</v>
      </c>
      <c r="S262" s="24">
        <f>VLOOKUP($R262,ラベル別係数!$A$1:$E$7,3,FALSE)</f>
        <v>5</v>
      </c>
      <c r="T262" s="24">
        <f>VLOOKUP($R262,ラベル別係数!$A$1:$E$7,4,FALSE)</f>
        <v>1.3</v>
      </c>
      <c r="U262" s="24">
        <f>VLOOKUP($R262,ラベル別係数!$A$1:$E$7,5,FALSE)</f>
        <v>0.8</v>
      </c>
      <c r="V262" s="27">
        <v>2</v>
      </c>
      <c r="W262" s="28">
        <f>VLOOKUP(V262,ターン数別攻撃係数!$A$1:$B$1000,2,FALSE)</f>
        <v>0.75</v>
      </c>
      <c r="X262" s="10">
        <v>60</v>
      </c>
      <c r="Y262" s="26">
        <f>VLOOKUP($X262,サイズ別係数!$B:$E,2,FALSE)</f>
        <v>1.7</v>
      </c>
      <c r="Z262" s="26">
        <f>VLOOKUP($X262,サイズ別係数!$B:$E,3,FALSE)</f>
        <v>1.4</v>
      </c>
      <c r="AA262" s="26">
        <f>VLOOKUP($X262,サイズ別係数!$B:$E,4,FALSE)</f>
        <v>1</v>
      </c>
      <c r="AB262" s="5">
        <v>0</v>
      </c>
      <c r="AC262" s="34" t="str">
        <f ca="1">VLOOKUP($AB262,OFFSET([3]enemy_skill_sets!$B$2,0,0,COUNTA([3]enemy_skill_sets!$A:$A),MATCH(AC$1,[3]enemy_skill_sets!$1:$1,0)-MATCH($AB$1,[3]enemy_skill_sets!$1:$1,0)+1),MATCH(AC$1,[3]enemy_skill_sets!$1:$1,0)-MATCH($AB$1,[3]enemy_skill_sets!$1:$1,0)+1,FALSE)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2" s="27">
        <v>1</v>
      </c>
      <c r="AE262" s="37">
        <v>1</v>
      </c>
      <c r="AF262" s="37">
        <v>0</v>
      </c>
      <c r="AG262" s="28">
        <f ca="1">ROUND(VLOOKUP(1,enemy_base_stats!$A:$F,2,FALSE) * Y262* J262*O262*E262*S262*AD262*[2]ステータス!$B$2,0)</f>
        <v>4790</v>
      </c>
      <c r="AH262" s="28">
        <f ca="1">ROUND(VLOOKUP(1,enemy_base_stats!$A:$F,3,FALSE) * Z262*K262*P262*F262*T262*AE262 * W262*[2]ステータス!$C$2,0)</f>
        <v>227</v>
      </c>
      <c r="AI262" s="28">
        <f ca="1">ROUND(VLOOKUP(1,enemy_base_stats!$A:$F,4,FALSE) * AA262*L262*Q262*G262*U262*AF262*[2]ステータス!$D$2,0)</f>
        <v>0</v>
      </c>
      <c r="AJ262" s="28">
        <f ca="1">ROUND(VLOOKUP(100,enemy_base_stats!$A:$F,2,FALSE) * Y262* J262*O262*E262*S262*AD262*[2]ステータス!$B$2,0)</f>
        <v>194464</v>
      </c>
      <c r="AK262" s="28">
        <f ca="1">ROUND(VLOOKUP(100,enemy_base_stats!$A:$F,3,FALSE)* Z262* K262*P262*F262*T262*AE262 * W262*[2]ステータス!$C$2,0)</f>
        <v>9236</v>
      </c>
      <c r="AL262" s="28">
        <f ca="1">ROUND(VLOOKUP(100,enemy_base_stats!$A:$F,4,FALSE)* AA262* L262*Q262*G262*U262*AF262*[2]ステータス!$D$2,0)</f>
        <v>0</v>
      </c>
      <c r="AM262" s="24">
        <f ca="1">VLOOKUP(M262,[2]character_tribe_i18n!$A:$I,9,FALSE)</f>
        <v>540</v>
      </c>
      <c r="AN262" s="36">
        <v>0</v>
      </c>
      <c r="AO262" s="53">
        <v>0</v>
      </c>
      <c r="AP262" s="58" t="s">
        <v>72</v>
      </c>
      <c r="AQ262" s="71">
        <f t="shared" ca="1" si="8"/>
        <v>261</v>
      </c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</row>
    <row r="263" spans="1:60" s="3" customFormat="1" ht="21" customHeight="1" x14ac:dyDescent="0.15">
      <c r="A263" s="7">
        <f t="shared" ca="1" si="9"/>
        <v>262</v>
      </c>
      <c r="B263" s="6" t="str">
        <f ca="1">VLOOKUP(A263,[2]characters!$A:$C,3,FALSE)</f>
        <v>アシュリー</v>
      </c>
      <c r="C263" s="9">
        <f ca="1">VLOOKUP(A263,[2]characters!$A:$I,9,FALSE)</f>
        <v>3</v>
      </c>
      <c r="D263" s="9" t="str">
        <f ca="1">VLOOKUP(A263,[2]characters!$A:$H,8,FALSE)</f>
        <v>red</v>
      </c>
      <c r="E263" s="24">
        <f ca="1">VLOOKUP(D263,[2]属性!$A:$E,2,FALSE)</f>
        <v>1</v>
      </c>
      <c r="F263" s="24">
        <f ca="1">VLOOKUP(D263,[2]属性!$A:$E,3,FALSE)</f>
        <v>1.02</v>
      </c>
      <c r="G263" s="24">
        <f ca="1">VLOOKUP(D263,[2]属性!$A:$F,4,FALSE)</f>
        <v>1</v>
      </c>
      <c r="H263" s="9" t="str">
        <f ca="1">VLOOKUP(A263,[2]characters!$A:$K,11,FALSE)</f>
        <v>attack</v>
      </c>
      <c r="I263" s="14" t="str">
        <f ca="1">VLOOKUP(H263,[2]character_type_i18n!$A:$F,3,FALSE)</f>
        <v>攻撃タイプ</v>
      </c>
      <c r="J263" s="36">
        <f ca="1">VLOOKUP(H263,[2]character_type_i18n!$A:$F,4,FALSE)</f>
        <v>1</v>
      </c>
      <c r="K263" s="36">
        <f ca="1">VLOOKUP(H263,[2]character_type_i18n!$A:$F,5,FALSE)</f>
        <v>1.33</v>
      </c>
      <c r="L263" s="36">
        <f ca="1">VLOOKUP(H263,[2]character_type_i18n!$A:$F,6,FALSE)</f>
        <v>1</v>
      </c>
      <c r="M263" s="9" t="str">
        <f ca="1">VLOOKUP(A263,[2]characters!$A:$M,13,FALSE)</f>
        <v>animal</v>
      </c>
      <c r="N263" s="14" t="str">
        <f ca="1">VLOOKUP(M263,[2]character_tribe_i18n!$A:$F,3,FALSE)</f>
        <v>アニマル</v>
      </c>
      <c r="O263" s="24">
        <f ca="1">VLOOKUP(M263,[2]character_tribe_i18n!$A:$F,4,FALSE)</f>
        <v>1</v>
      </c>
      <c r="P263" s="24">
        <f ca="1">VLOOKUP(M263,[2]character_tribe_i18n!$A:$F,5,FALSE)</f>
        <v>1.1000000000000001</v>
      </c>
      <c r="Q263" s="24">
        <f ca="1">VLOOKUP(M263,[2]character_tribe_i18n!$A:$F,6,FALSE)</f>
        <v>1</v>
      </c>
      <c r="R263" s="25" t="s">
        <v>4</v>
      </c>
      <c r="S263" s="24">
        <f>VLOOKUP($R263,ラベル別係数!$A$1:$E$7,3,FALSE)</f>
        <v>5</v>
      </c>
      <c r="T263" s="24">
        <f>VLOOKUP($R263,ラベル別係数!$A$1:$E$7,4,FALSE)</f>
        <v>1.3</v>
      </c>
      <c r="U263" s="24">
        <f>VLOOKUP($R263,ラベル別係数!$A$1:$E$7,5,FALSE)</f>
        <v>0.8</v>
      </c>
      <c r="V263" s="27">
        <v>2</v>
      </c>
      <c r="W263" s="28">
        <f>VLOOKUP(V263,ターン数別攻撃係数!$A$1:$B$1000,2,FALSE)</f>
        <v>0.75</v>
      </c>
      <c r="X263" s="10">
        <v>20</v>
      </c>
      <c r="Y263" s="26">
        <f>VLOOKUP($X263,サイズ別係数!$B:$E,2,FALSE)</f>
        <v>1.1000000000000001</v>
      </c>
      <c r="Z263" s="26">
        <f>VLOOKUP($X263,サイズ別係数!$B:$E,3,FALSE)</f>
        <v>1.2</v>
      </c>
      <c r="AA263" s="26">
        <f>VLOOKUP($X263,サイズ別係数!$B:$E,4,FALSE)</f>
        <v>1.2</v>
      </c>
      <c r="AB263" s="5">
        <v>0</v>
      </c>
      <c r="AC263" s="34" t="str">
        <f ca="1">VLOOKUP($AB263,OFFSET([3]enemy_skill_sets!$B$2,0,0,COUNTA([3]enemy_skill_sets!$A:$A),MATCH(AC$1,[3]enemy_skill_sets!$1:$1,0)-MATCH($AB$1,[3]enemy_skill_sets!$1:$1,0)+1),MATCH(AC$1,[3]enemy_skill_sets!$1:$1,0)-MATCH($AB$1,[3]enemy_skill_sets!$1:$1,0)+1,FALSE)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3" s="27">
        <v>1</v>
      </c>
      <c r="AE263" s="37">
        <v>1</v>
      </c>
      <c r="AF263" s="37">
        <v>0</v>
      </c>
      <c r="AG263" s="28">
        <f ca="1">ROUND(VLOOKUP(1,enemy_base_stats!$A:$F,2,FALSE) * Y263* J263*O263*E263*S263*AD263*[2]ステータス!$B$2,0)</f>
        <v>2750</v>
      </c>
      <c r="AH263" s="28">
        <f ca="1">ROUND(VLOOKUP(1,enemy_base_stats!$A:$F,3,FALSE) * Z263*K263*P263*F263*T263*AE263 * W263*[2]ステータス!$C$2,0)</f>
        <v>262</v>
      </c>
      <c r="AI263" s="28">
        <f ca="1">ROUND(VLOOKUP(1,enemy_base_stats!$A:$F,4,FALSE) * AA263*L263*Q263*G263*U263*AF263*[2]ステータス!$D$2,0)</f>
        <v>0</v>
      </c>
      <c r="AJ263" s="28">
        <f ca="1">ROUND(VLOOKUP(100,enemy_base_stats!$A:$F,2,FALSE) * Y263* J263*O263*E263*S263*AD263*[2]ステータス!$B$2,0)</f>
        <v>111650</v>
      </c>
      <c r="AK263" s="28">
        <f ca="1">ROUND(VLOOKUP(100,enemy_base_stats!$A:$F,3,FALSE)* Z263* K263*P263*F263*T263*AE263 * W263*[2]ステータス!$C$2,0)</f>
        <v>10633</v>
      </c>
      <c r="AL263" s="28">
        <f ca="1">ROUND(VLOOKUP(100,enemy_base_stats!$A:$F,4,FALSE)* AA263* L263*Q263*G263*U263*AF263*[2]ステータス!$D$2,0)</f>
        <v>0</v>
      </c>
      <c r="AM263" s="24">
        <f ca="1">VLOOKUP(M263,[2]character_tribe_i18n!$A:$I,9,FALSE)</f>
        <v>480</v>
      </c>
      <c r="AN263" s="36">
        <v>0</v>
      </c>
      <c r="AO263" s="53">
        <v>0</v>
      </c>
      <c r="AP263" s="58" t="s">
        <v>72</v>
      </c>
      <c r="AQ263" s="71">
        <f t="shared" ca="1" si="8"/>
        <v>262</v>
      </c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</row>
    <row r="264" spans="1:60" s="3" customFormat="1" ht="21" customHeight="1" x14ac:dyDescent="0.15">
      <c r="A264" s="7">
        <f t="shared" ca="1" si="9"/>
        <v>263</v>
      </c>
      <c r="B264" s="6" t="str">
        <f ca="1">VLOOKUP(A264,[2]characters!$A:$C,3,FALSE)</f>
        <v>鉤爪姫 アシュリー</v>
      </c>
      <c r="C264" s="9">
        <f ca="1">VLOOKUP(A264,[2]characters!$A:$I,9,FALSE)</f>
        <v>4</v>
      </c>
      <c r="D264" s="9" t="str">
        <f ca="1">VLOOKUP(A264,[2]characters!$A:$H,8,FALSE)</f>
        <v>red</v>
      </c>
      <c r="E264" s="24">
        <f ca="1">VLOOKUP(D264,[2]属性!$A:$E,2,FALSE)</f>
        <v>1</v>
      </c>
      <c r="F264" s="24">
        <f ca="1">VLOOKUP(D264,[2]属性!$A:$E,3,FALSE)</f>
        <v>1.02</v>
      </c>
      <c r="G264" s="24">
        <f ca="1">VLOOKUP(D264,[2]属性!$A:$F,4,FALSE)</f>
        <v>1</v>
      </c>
      <c r="H264" s="9" t="str">
        <f ca="1">VLOOKUP(A264,[2]characters!$A:$K,11,FALSE)</f>
        <v>attack</v>
      </c>
      <c r="I264" s="14" t="str">
        <f ca="1">VLOOKUP(H264,[2]character_type_i18n!$A:$F,3,FALSE)</f>
        <v>攻撃タイプ</v>
      </c>
      <c r="J264" s="36">
        <f ca="1">VLOOKUP(H264,[2]character_type_i18n!$A:$F,4,FALSE)</f>
        <v>1</v>
      </c>
      <c r="K264" s="36">
        <f ca="1">VLOOKUP(H264,[2]character_type_i18n!$A:$F,5,FALSE)</f>
        <v>1.33</v>
      </c>
      <c r="L264" s="36">
        <f ca="1">VLOOKUP(H264,[2]character_type_i18n!$A:$F,6,FALSE)</f>
        <v>1</v>
      </c>
      <c r="M264" s="9" t="str">
        <f ca="1">VLOOKUP(A264,[2]characters!$A:$M,13,FALSE)</f>
        <v>animal</v>
      </c>
      <c r="N264" s="14" t="str">
        <f ca="1">VLOOKUP(M264,[2]character_tribe_i18n!$A:$F,3,FALSE)</f>
        <v>アニマル</v>
      </c>
      <c r="O264" s="24">
        <f ca="1">VLOOKUP(M264,[2]character_tribe_i18n!$A:$F,4,FALSE)</f>
        <v>1</v>
      </c>
      <c r="P264" s="24">
        <f ca="1">VLOOKUP(M264,[2]character_tribe_i18n!$A:$F,5,FALSE)</f>
        <v>1.1000000000000001</v>
      </c>
      <c r="Q264" s="24">
        <f ca="1">VLOOKUP(M264,[2]character_tribe_i18n!$A:$F,6,FALSE)</f>
        <v>1</v>
      </c>
      <c r="R264" s="25" t="s">
        <v>4</v>
      </c>
      <c r="S264" s="24">
        <f>VLOOKUP($R264,ラベル別係数!$A$1:$E$7,3,FALSE)</f>
        <v>5</v>
      </c>
      <c r="T264" s="24">
        <f>VLOOKUP($R264,ラベル別係数!$A$1:$E$7,4,FALSE)</f>
        <v>1.3</v>
      </c>
      <c r="U264" s="24">
        <f>VLOOKUP($R264,ラベル別係数!$A$1:$E$7,5,FALSE)</f>
        <v>0.8</v>
      </c>
      <c r="V264" s="27">
        <v>2</v>
      </c>
      <c r="W264" s="28">
        <f>VLOOKUP(V264,ターン数別攻撃係数!$A$1:$B$1000,2,FALSE)</f>
        <v>0.75</v>
      </c>
      <c r="X264" s="10">
        <v>30</v>
      </c>
      <c r="Y264" s="26">
        <f>VLOOKUP($X264,サイズ別係数!$B:$E,2,FALSE)</f>
        <v>1.3</v>
      </c>
      <c r="Z264" s="26">
        <f>VLOOKUP($X264,サイズ別係数!$B:$E,3,FALSE)</f>
        <v>1.3</v>
      </c>
      <c r="AA264" s="26">
        <f>VLOOKUP($X264,サイズ別係数!$B:$E,4,FALSE)</f>
        <v>1.1000000000000001</v>
      </c>
      <c r="AB264" s="5">
        <v>263</v>
      </c>
      <c r="AC264" s="34" t="str">
        <f ca="1">VLOOKUP($AB264,OFFSET([3]enemy_skill_sets!$B$2,0,0,COUNTA([3]enemy_skill_sets!$A:$A),MATCH(AC$1,[3]enemy_skill_sets!$1:$1,0)-MATCH($AB$1,[3]enemy_skill_sets!$1:$1,0)+1),MATCH(AC$1,[3]enemy_skill_sets!$1:$1,0)-MATCH($AB$1,[3]enemy_skill_sets!$1:$1,0)+1,FALSE)</f>
        <v>攻撃力×2.0倍の攻撃</v>
      </c>
      <c r="AD264" s="27">
        <v>1</v>
      </c>
      <c r="AE264" s="37">
        <v>1</v>
      </c>
      <c r="AF264" s="37">
        <v>0</v>
      </c>
      <c r="AG264" s="28">
        <f ca="1">ROUND(VLOOKUP(1,enemy_base_stats!$A:$F,2,FALSE) * Y264* J264*O264*E264*S264*AD264*[2]ステータス!$B$2,0)</f>
        <v>3250</v>
      </c>
      <c r="AH264" s="28">
        <f ca="1">ROUND(VLOOKUP(1,enemy_base_stats!$A:$F,3,FALSE) * Z264*K264*P264*F264*T264*AE264 * W264*[2]ステータス!$C$2,0)</f>
        <v>284</v>
      </c>
      <c r="AI264" s="28">
        <f ca="1">ROUND(VLOOKUP(1,enemy_base_stats!$A:$F,4,FALSE) * AA264*L264*Q264*G264*U264*AF264*[2]ステータス!$D$2,0)</f>
        <v>0</v>
      </c>
      <c r="AJ264" s="28">
        <f ca="1">ROUND(VLOOKUP(100,enemy_base_stats!$A:$F,2,FALSE) * Y264* J264*O264*E264*S264*AD264*[2]ステータス!$B$2,0)</f>
        <v>131950</v>
      </c>
      <c r="AK264" s="28">
        <f ca="1">ROUND(VLOOKUP(100,enemy_base_stats!$A:$F,3,FALSE)* Z264* K264*P264*F264*T264*AE264 * W264*[2]ステータス!$C$2,0)</f>
        <v>11519</v>
      </c>
      <c r="AL264" s="28">
        <f ca="1">ROUND(VLOOKUP(100,enemy_base_stats!$A:$F,4,FALSE)* AA264* L264*Q264*G264*U264*AF264*[2]ステータス!$D$2,0)</f>
        <v>0</v>
      </c>
      <c r="AM264" s="24">
        <f ca="1">VLOOKUP(M264,[2]character_tribe_i18n!$A:$I,9,FALSE)</f>
        <v>480</v>
      </c>
      <c r="AN264" s="36">
        <v>0</v>
      </c>
      <c r="AO264" s="53">
        <v>0</v>
      </c>
      <c r="AP264" s="58" t="s">
        <v>72</v>
      </c>
      <c r="AQ264" s="71">
        <f t="shared" ca="1" si="8"/>
        <v>263</v>
      </c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8"/>
      <c r="BC264" s="18"/>
      <c r="BD264" s="18"/>
      <c r="BE264" s="18"/>
      <c r="BF264" s="18"/>
      <c r="BG264" s="18"/>
      <c r="BH264" s="18"/>
    </row>
    <row r="265" spans="1:60" s="3" customFormat="1" ht="21" customHeight="1" x14ac:dyDescent="0.15">
      <c r="A265" s="7">
        <f t="shared" ca="1" si="9"/>
        <v>264</v>
      </c>
      <c r="B265" s="6" t="str">
        <f ca="1">VLOOKUP(A265,[2]characters!$A:$C,3,FALSE)</f>
        <v>ユニコーン</v>
      </c>
      <c r="C265" s="9">
        <f ca="1">VLOOKUP(A265,[2]characters!$A:$I,9,FALSE)</f>
        <v>3</v>
      </c>
      <c r="D265" s="9" t="str">
        <f ca="1">VLOOKUP(A265,[2]characters!$A:$H,8,FALSE)</f>
        <v>green</v>
      </c>
      <c r="E265" s="24">
        <f ca="1">VLOOKUP(D265,[2]属性!$A:$E,2,FALSE)</f>
        <v>1.02</v>
      </c>
      <c r="F265" s="24">
        <f ca="1">VLOOKUP(D265,[2]属性!$A:$E,3,FALSE)</f>
        <v>0.98</v>
      </c>
      <c r="G265" s="24">
        <f ca="1">VLOOKUP(D265,[2]属性!$A:$F,4,FALSE)</f>
        <v>1</v>
      </c>
      <c r="H265" s="9" t="str">
        <f ca="1">VLOOKUP(A265,[2]characters!$A:$K,11,FALSE)</f>
        <v>hp</v>
      </c>
      <c r="I265" s="14" t="str">
        <f ca="1">VLOOKUP(H265,[2]character_type_i18n!$A:$F,3,FALSE)</f>
        <v>体力タイプ</v>
      </c>
      <c r="J265" s="36">
        <f ca="1">VLOOKUP(H265,[2]character_type_i18n!$A:$F,4,FALSE)</f>
        <v>1.45</v>
      </c>
      <c r="K265" s="36">
        <f ca="1">VLOOKUP(H265,[2]character_type_i18n!$A:$F,5,FALSE)</f>
        <v>0.85</v>
      </c>
      <c r="L265" s="36">
        <f ca="1">VLOOKUP(H265,[2]character_type_i18n!$A:$F,6,FALSE)</f>
        <v>1</v>
      </c>
      <c r="M265" s="9" t="str">
        <f ca="1">VLOOKUP(A265,[2]characters!$A:$M,13,FALSE)</f>
        <v>animal</v>
      </c>
      <c r="N265" s="14" t="str">
        <f ca="1">VLOOKUP(M265,[2]character_tribe_i18n!$A:$F,3,FALSE)</f>
        <v>アニマル</v>
      </c>
      <c r="O265" s="24">
        <f ca="1">VLOOKUP(M265,[2]character_tribe_i18n!$A:$F,4,FALSE)</f>
        <v>1</v>
      </c>
      <c r="P265" s="24">
        <f ca="1">VLOOKUP(M265,[2]character_tribe_i18n!$A:$F,5,FALSE)</f>
        <v>1.1000000000000001</v>
      </c>
      <c r="Q265" s="24">
        <f ca="1">VLOOKUP(M265,[2]character_tribe_i18n!$A:$F,6,FALSE)</f>
        <v>1</v>
      </c>
      <c r="R265" s="25" t="s">
        <v>4</v>
      </c>
      <c r="S265" s="24">
        <f>VLOOKUP($R265,ラベル別係数!$A$1:$E$7,3,FALSE)</f>
        <v>5</v>
      </c>
      <c r="T265" s="24">
        <f>VLOOKUP($R265,ラベル別係数!$A$1:$E$7,4,FALSE)</f>
        <v>1.3</v>
      </c>
      <c r="U265" s="24">
        <f>VLOOKUP($R265,ラベル別係数!$A$1:$E$7,5,FALSE)</f>
        <v>0.8</v>
      </c>
      <c r="V265" s="27">
        <v>2</v>
      </c>
      <c r="W265" s="28">
        <f>VLOOKUP(V265,ターン数別攻撃係数!$A$1:$B$1000,2,FALSE)</f>
        <v>0.75</v>
      </c>
      <c r="X265" s="10">
        <v>20</v>
      </c>
      <c r="Y265" s="26">
        <f>VLOOKUP($X265,サイズ別係数!$B:$E,2,FALSE)</f>
        <v>1.1000000000000001</v>
      </c>
      <c r="Z265" s="26">
        <f>VLOOKUP($X265,サイズ別係数!$B:$E,3,FALSE)</f>
        <v>1.2</v>
      </c>
      <c r="AA265" s="26">
        <f>VLOOKUP($X265,サイズ別係数!$B:$E,4,FALSE)</f>
        <v>1.2</v>
      </c>
      <c r="AB265" s="5">
        <v>0</v>
      </c>
      <c r="AC265" s="34" t="str">
        <f ca="1">VLOOKUP($AB265,OFFSET([3]enemy_skill_sets!$B$2,0,0,COUNTA([3]enemy_skill_sets!$A:$A),MATCH(AC$1,[3]enemy_skill_sets!$1:$1,0)-MATCH($AB$1,[3]enemy_skill_sets!$1:$1,0)+1),MATCH(AC$1,[3]enemy_skill_sets!$1:$1,0)-MATCH($AB$1,[3]enemy_skill_sets!$1:$1,0)+1,FALSE)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5" s="27">
        <v>1</v>
      </c>
      <c r="AE265" s="37">
        <v>1</v>
      </c>
      <c r="AF265" s="37">
        <v>0</v>
      </c>
      <c r="AG265" s="28">
        <f ca="1">ROUND(VLOOKUP(1,enemy_base_stats!$A:$F,2,FALSE) * Y265* J265*O265*E265*S265*AD265*[2]ステータス!$B$2,0)</f>
        <v>4067</v>
      </c>
      <c r="AH265" s="28">
        <f ca="1">ROUND(VLOOKUP(1,enemy_base_stats!$A:$F,3,FALSE) * Z265*K265*P265*F265*T265*AE265 * W265*[2]ステータス!$C$2,0)</f>
        <v>161</v>
      </c>
      <c r="AI265" s="28">
        <f ca="1">ROUND(VLOOKUP(1,enemy_base_stats!$A:$F,4,FALSE) * AA265*L265*Q265*G265*U265*AF265*[2]ステータス!$D$2,0)</f>
        <v>0</v>
      </c>
      <c r="AJ265" s="28">
        <f ca="1">ROUND(VLOOKUP(100,enemy_base_stats!$A:$F,2,FALSE) * Y265* J265*O265*E265*S265*AD265*[2]ステータス!$B$2,0)</f>
        <v>165130</v>
      </c>
      <c r="AK265" s="28">
        <f ca="1">ROUND(VLOOKUP(100,enemy_base_stats!$A:$F,3,FALSE)* Z265* K265*P265*F265*T265*AE265 * W265*[2]ステータス!$C$2,0)</f>
        <v>6529</v>
      </c>
      <c r="AL265" s="28">
        <f ca="1">ROUND(VLOOKUP(100,enemy_base_stats!$A:$F,4,FALSE)* AA265* L265*Q265*G265*U265*AF265*[2]ステータス!$D$2,0)</f>
        <v>0</v>
      </c>
      <c r="AM265" s="24">
        <f ca="1">VLOOKUP(M265,[2]character_tribe_i18n!$A:$I,9,FALSE)</f>
        <v>480</v>
      </c>
      <c r="AN265" s="36">
        <v>0</v>
      </c>
      <c r="AO265" s="53">
        <v>0</v>
      </c>
      <c r="AP265" s="58" t="s">
        <v>72</v>
      </c>
      <c r="AQ265" s="71">
        <f t="shared" ca="1" si="8"/>
        <v>264</v>
      </c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</row>
    <row r="266" spans="1:60" s="3" customFormat="1" ht="21" customHeight="1" x14ac:dyDescent="0.15">
      <c r="A266" s="7">
        <f t="shared" ca="1" si="9"/>
        <v>265</v>
      </c>
      <c r="B266" s="6" t="str">
        <f ca="1">VLOOKUP(A266,[2]characters!$A:$C,3,FALSE)</f>
        <v>翠角馬 ユニコーン</v>
      </c>
      <c r="C266" s="9">
        <f ca="1">VLOOKUP(A266,[2]characters!$A:$I,9,FALSE)</f>
        <v>4</v>
      </c>
      <c r="D266" s="9" t="str">
        <f ca="1">VLOOKUP(A266,[2]characters!$A:$H,8,FALSE)</f>
        <v>green</v>
      </c>
      <c r="E266" s="24">
        <f ca="1">VLOOKUP(D266,[2]属性!$A:$E,2,FALSE)</f>
        <v>1.02</v>
      </c>
      <c r="F266" s="24">
        <f ca="1">VLOOKUP(D266,[2]属性!$A:$E,3,FALSE)</f>
        <v>0.98</v>
      </c>
      <c r="G266" s="24">
        <f ca="1">VLOOKUP(D266,[2]属性!$A:$F,4,FALSE)</f>
        <v>1</v>
      </c>
      <c r="H266" s="9" t="str">
        <f ca="1">VLOOKUP(A266,[2]characters!$A:$K,11,FALSE)</f>
        <v>hp</v>
      </c>
      <c r="I266" s="14" t="str">
        <f ca="1">VLOOKUP(H266,[2]character_type_i18n!$A:$F,3,FALSE)</f>
        <v>体力タイプ</v>
      </c>
      <c r="J266" s="36">
        <f ca="1">VLOOKUP(H266,[2]character_type_i18n!$A:$F,4,FALSE)</f>
        <v>1.45</v>
      </c>
      <c r="K266" s="36">
        <f ca="1">VLOOKUP(H266,[2]character_type_i18n!$A:$F,5,FALSE)</f>
        <v>0.85</v>
      </c>
      <c r="L266" s="36">
        <f ca="1">VLOOKUP(H266,[2]character_type_i18n!$A:$F,6,FALSE)</f>
        <v>1</v>
      </c>
      <c r="M266" s="9" t="str">
        <f ca="1">VLOOKUP(A266,[2]characters!$A:$M,13,FALSE)</f>
        <v>animal</v>
      </c>
      <c r="N266" s="14" t="str">
        <f ca="1">VLOOKUP(M266,[2]character_tribe_i18n!$A:$F,3,FALSE)</f>
        <v>アニマル</v>
      </c>
      <c r="O266" s="24">
        <f ca="1">VLOOKUP(M266,[2]character_tribe_i18n!$A:$F,4,FALSE)</f>
        <v>1</v>
      </c>
      <c r="P266" s="24">
        <f ca="1">VLOOKUP(M266,[2]character_tribe_i18n!$A:$F,5,FALSE)</f>
        <v>1.1000000000000001</v>
      </c>
      <c r="Q266" s="24">
        <f ca="1">VLOOKUP(M266,[2]character_tribe_i18n!$A:$F,6,FALSE)</f>
        <v>1</v>
      </c>
      <c r="R266" s="25" t="s">
        <v>4</v>
      </c>
      <c r="S266" s="24">
        <f>VLOOKUP($R266,ラベル別係数!$A$1:$E$7,3,FALSE)</f>
        <v>5</v>
      </c>
      <c r="T266" s="24">
        <f>VLOOKUP($R266,ラベル別係数!$A$1:$E$7,4,FALSE)</f>
        <v>1.3</v>
      </c>
      <c r="U266" s="24">
        <f>VLOOKUP($R266,ラベル別係数!$A$1:$E$7,5,FALSE)</f>
        <v>0.8</v>
      </c>
      <c r="V266" s="27">
        <v>2</v>
      </c>
      <c r="W266" s="28">
        <f>VLOOKUP(V266,ターン数別攻撃係数!$A$1:$B$1000,2,FALSE)</f>
        <v>0.75</v>
      </c>
      <c r="X266" s="10">
        <v>30</v>
      </c>
      <c r="Y266" s="26">
        <f>VLOOKUP($X266,サイズ別係数!$B:$E,2,FALSE)</f>
        <v>1.3</v>
      </c>
      <c r="Z266" s="26">
        <f>VLOOKUP($X266,サイズ別係数!$B:$E,3,FALSE)</f>
        <v>1.3</v>
      </c>
      <c r="AA266" s="26">
        <f>VLOOKUP($X266,サイズ別係数!$B:$E,4,FALSE)</f>
        <v>1.1000000000000001</v>
      </c>
      <c r="AB266" s="5">
        <v>0</v>
      </c>
      <c r="AC266" s="34" t="str">
        <f ca="1">VLOOKUP($AB266,OFFSET([3]enemy_skill_sets!$B$2,0,0,COUNTA([3]enemy_skill_sets!$A:$A),MATCH(AC$1,[3]enemy_skill_sets!$1:$1,0)-MATCH($AB$1,[3]enemy_skill_sets!$1:$1,0)+1),MATCH(AC$1,[3]enemy_skill_sets!$1:$1,0)-MATCH($AB$1,[3]enemy_skill_sets!$1:$1,0)+1,FALSE)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6" s="27">
        <v>1</v>
      </c>
      <c r="AE266" s="37">
        <v>1</v>
      </c>
      <c r="AF266" s="37">
        <v>0</v>
      </c>
      <c r="AG266" s="28">
        <f ca="1">ROUND(VLOOKUP(1,enemy_base_stats!$A:$F,2,FALSE) * Y266* J266*O266*E266*S266*AD266*[2]ステータス!$B$2,0)</f>
        <v>4807</v>
      </c>
      <c r="AH266" s="28">
        <f ca="1">ROUND(VLOOKUP(1,enemy_base_stats!$A:$F,3,FALSE) * Z266*K266*P266*F266*T266*AE266 * W266*[2]ステータス!$C$2,0)</f>
        <v>174</v>
      </c>
      <c r="AI266" s="28">
        <f ca="1">ROUND(VLOOKUP(1,enemy_base_stats!$A:$F,4,FALSE) * AA266*L266*Q266*G266*U266*AF266*[2]ステータス!$D$2,0)</f>
        <v>0</v>
      </c>
      <c r="AJ266" s="28">
        <f ca="1">ROUND(VLOOKUP(100,enemy_base_stats!$A:$F,2,FALSE) * Y266* J266*O266*E266*S266*AD266*[2]ステータス!$B$2,0)</f>
        <v>195154</v>
      </c>
      <c r="AK266" s="28">
        <f ca="1">ROUND(VLOOKUP(100,enemy_base_stats!$A:$F,3,FALSE)* Z266* K266*P266*F266*T266*AE266 * W266*[2]ステータス!$C$2,0)</f>
        <v>7073</v>
      </c>
      <c r="AL266" s="28">
        <f ca="1">ROUND(VLOOKUP(100,enemy_base_stats!$A:$F,4,FALSE)* AA266* L266*Q266*G266*U266*AF266*[2]ステータス!$D$2,0)</f>
        <v>0</v>
      </c>
      <c r="AM266" s="24">
        <f ca="1">VLOOKUP(M266,[2]character_tribe_i18n!$A:$I,9,FALSE)</f>
        <v>480</v>
      </c>
      <c r="AN266" s="36">
        <v>0</v>
      </c>
      <c r="AO266" s="53">
        <v>0</v>
      </c>
      <c r="AP266" s="58" t="s">
        <v>72</v>
      </c>
      <c r="AQ266" s="71">
        <f t="shared" ca="1" si="8"/>
        <v>265</v>
      </c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</row>
    <row r="267" spans="1:60" s="3" customFormat="1" ht="21" customHeight="1" x14ac:dyDescent="0.15">
      <c r="A267" s="7">
        <f t="shared" ca="1" si="9"/>
        <v>266</v>
      </c>
      <c r="B267" s="6" t="str">
        <f ca="1">VLOOKUP(A267,[2]characters!$A:$C,3,FALSE)</f>
        <v>リリアンブルー</v>
      </c>
      <c r="C267" s="9">
        <f ca="1">VLOOKUP(A267,[2]characters!$A:$I,9,FALSE)</f>
        <v>3</v>
      </c>
      <c r="D267" s="9" t="str">
        <f ca="1">VLOOKUP(A267,[2]characters!$A:$H,8,FALSE)</f>
        <v>blue</v>
      </c>
      <c r="E267" s="24">
        <f ca="1">VLOOKUP(D267,[2]属性!$A:$E,2,FALSE)</f>
        <v>1</v>
      </c>
      <c r="F267" s="24">
        <f ca="1">VLOOKUP(D267,[2]属性!$A:$E,3,FALSE)</f>
        <v>0.98</v>
      </c>
      <c r="G267" s="24">
        <f ca="1">VLOOKUP(D267,[2]属性!$A:$F,4,FALSE)</f>
        <v>1</v>
      </c>
      <c r="H267" s="9" t="str">
        <f ca="1">VLOOKUP(A267,[2]characters!$A:$K,11,FALSE)</f>
        <v>balance</v>
      </c>
      <c r="I267" s="14" t="str">
        <f ca="1">VLOOKUP(H267,[2]character_type_i18n!$A:$F,3,FALSE)</f>
        <v>バランスタイプ</v>
      </c>
      <c r="J267" s="36">
        <f ca="1">VLOOKUP(H267,[2]character_type_i18n!$A:$F,4,FALSE)</f>
        <v>1</v>
      </c>
      <c r="K267" s="36">
        <f ca="1">VLOOKUP(H267,[2]character_type_i18n!$A:$F,5,FALSE)</f>
        <v>1</v>
      </c>
      <c r="L267" s="36">
        <f ca="1">VLOOKUP(H267,[2]character_type_i18n!$A:$F,6,FALSE)</f>
        <v>1</v>
      </c>
      <c r="M267" s="9" t="str">
        <f ca="1">VLOOKUP(A267,[2]characters!$A:$M,13,FALSE)</f>
        <v>animal</v>
      </c>
      <c r="N267" s="14" t="str">
        <f ca="1">VLOOKUP(M267,[2]character_tribe_i18n!$A:$F,3,FALSE)</f>
        <v>アニマル</v>
      </c>
      <c r="O267" s="24">
        <f ca="1">VLOOKUP(M267,[2]character_tribe_i18n!$A:$F,4,FALSE)</f>
        <v>1</v>
      </c>
      <c r="P267" s="24">
        <f ca="1">VLOOKUP(M267,[2]character_tribe_i18n!$A:$F,5,FALSE)</f>
        <v>1.1000000000000001</v>
      </c>
      <c r="Q267" s="24">
        <f ca="1">VLOOKUP(M267,[2]character_tribe_i18n!$A:$F,6,FALSE)</f>
        <v>1</v>
      </c>
      <c r="R267" s="25" t="s">
        <v>4</v>
      </c>
      <c r="S267" s="24">
        <f>VLOOKUP($R267,ラベル別係数!$A$1:$E$7,3,FALSE)</f>
        <v>5</v>
      </c>
      <c r="T267" s="24">
        <f>VLOOKUP($R267,ラベル別係数!$A$1:$E$7,4,FALSE)</f>
        <v>1.3</v>
      </c>
      <c r="U267" s="24">
        <f>VLOOKUP($R267,ラベル別係数!$A$1:$E$7,5,FALSE)</f>
        <v>0.8</v>
      </c>
      <c r="V267" s="27">
        <v>2</v>
      </c>
      <c r="W267" s="28">
        <f>VLOOKUP(V267,ターン数別攻撃係数!$A$1:$B$1000,2,FALSE)</f>
        <v>0.75</v>
      </c>
      <c r="X267" s="10">
        <v>20</v>
      </c>
      <c r="Y267" s="26">
        <f>VLOOKUP($X267,サイズ別係数!$B:$E,2,FALSE)</f>
        <v>1.1000000000000001</v>
      </c>
      <c r="Z267" s="26">
        <f>VLOOKUP($X267,サイズ別係数!$B:$E,3,FALSE)</f>
        <v>1.2</v>
      </c>
      <c r="AA267" s="26">
        <f>VLOOKUP($X267,サイズ別係数!$B:$E,4,FALSE)</f>
        <v>1.2</v>
      </c>
      <c r="AB267" s="5">
        <v>266</v>
      </c>
      <c r="AC267" s="34" t="str">
        <f ca="1">VLOOKUP($AB267,OFFSET([3]enemy_skill_sets!$B$2,0,0,COUNTA([3]enemy_skill_sets!$A:$A),MATCH(AC$1,[3]enemy_skill_sets!$1:$1,0)-MATCH($AB$1,[3]enemy_skill_sets!$1:$1,0)+1),MATCH(AC$1,[3]enemy_skill_sets!$1:$1,0)-MATCH($AB$1,[3]enemy_skill_sets!$1:$1,0)+1,FALSE)</f>
        <v>この戦闘ではスキルが使えない！</v>
      </c>
      <c r="AD267" s="27">
        <v>1</v>
      </c>
      <c r="AE267" s="37">
        <v>1</v>
      </c>
      <c r="AF267" s="37">
        <v>0</v>
      </c>
      <c r="AG267" s="28">
        <f ca="1">ROUND(VLOOKUP(1,enemy_base_stats!$A:$F,2,FALSE) * Y267* J267*O267*E267*S267*AD267*[2]ステータス!$B$2,0)</f>
        <v>2750</v>
      </c>
      <c r="AH267" s="28">
        <f ca="1">ROUND(VLOOKUP(1,enemy_base_stats!$A:$F,3,FALSE) * Z267*K267*P267*F267*T267*AE267 * W267*[2]ステータス!$C$2,0)</f>
        <v>189</v>
      </c>
      <c r="AI267" s="28">
        <f ca="1">ROUND(VLOOKUP(1,enemy_base_stats!$A:$F,4,FALSE) * AA267*L267*Q267*G267*U267*AF267*[2]ステータス!$D$2,0)</f>
        <v>0</v>
      </c>
      <c r="AJ267" s="28">
        <f ca="1">ROUND(VLOOKUP(100,enemy_base_stats!$A:$F,2,FALSE) * Y267* J267*O267*E267*S267*AD267*[2]ステータス!$B$2,0)</f>
        <v>111650</v>
      </c>
      <c r="AK267" s="28">
        <f ca="1">ROUND(VLOOKUP(100,enemy_base_stats!$A:$F,3,FALSE)* Z267* K267*P267*F267*T267*AE267 * W267*[2]ステータス!$C$2,0)</f>
        <v>7681</v>
      </c>
      <c r="AL267" s="28">
        <f ca="1">ROUND(VLOOKUP(100,enemy_base_stats!$A:$F,4,FALSE)* AA267* L267*Q267*G267*U267*AF267*[2]ステータス!$D$2,0)</f>
        <v>0</v>
      </c>
      <c r="AM267" s="24">
        <f ca="1">VLOOKUP(M267,[2]character_tribe_i18n!$A:$I,9,FALSE)</f>
        <v>480</v>
      </c>
      <c r="AN267" s="36">
        <v>0</v>
      </c>
      <c r="AO267" s="53">
        <v>0</v>
      </c>
      <c r="AP267" s="58" t="s">
        <v>72</v>
      </c>
      <c r="AQ267" s="71">
        <f t="shared" ca="1" si="8"/>
        <v>266</v>
      </c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</row>
    <row r="268" spans="1:60" s="3" customFormat="1" ht="21" customHeight="1" x14ac:dyDescent="0.15">
      <c r="A268" s="7">
        <f t="shared" ca="1" si="9"/>
        <v>267</v>
      </c>
      <c r="B268" s="6" t="str">
        <f ca="1">VLOOKUP(A268,[2]characters!$A:$C,3,FALSE)</f>
        <v>奇術猫 リリアンブルー</v>
      </c>
      <c r="C268" s="9">
        <f ca="1">VLOOKUP(A268,[2]characters!$A:$I,9,FALSE)</f>
        <v>4</v>
      </c>
      <c r="D268" s="9" t="str">
        <f ca="1">VLOOKUP(A268,[2]characters!$A:$H,8,FALSE)</f>
        <v>blue</v>
      </c>
      <c r="E268" s="24">
        <f ca="1">VLOOKUP(D268,[2]属性!$A:$E,2,FALSE)</f>
        <v>1</v>
      </c>
      <c r="F268" s="24">
        <f ca="1">VLOOKUP(D268,[2]属性!$A:$E,3,FALSE)</f>
        <v>0.98</v>
      </c>
      <c r="G268" s="24">
        <f ca="1">VLOOKUP(D268,[2]属性!$A:$F,4,FALSE)</f>
        <v>1</v>
      </c>
      <c r="H268" s="9" t="str">
        <f ca="1">VLOOKUP(A268,[2]characters!$A:$K,11,FALSE)</f>
        <v>balance</v>
      </c>
      <c r="I268" s="14" t="str">
        <f ca="1">VLOOKUP(H268,[2]character_type_i18n!$A:$F,3,FALSE)</f>
        <v>バランスタイプ</v>
      </c>
      <c r="J268" s="36">
        <f ca="1">VLOOKUP(H268,[2]character_type_i18n!$A:$F,4,FALSE)</f>
        <v>1</v>
      </c>
      <c r="K268" s="36">
        <f ca="1">VLOOKUP(H268,[2]character_type_i18n!$A:$F,5,FALSE)</f>
        <v>1</v>
      </c>
      <c r="L268" s="36">
        <f ca="1">VLOOKUP(H268,[2]character_type_i18n!$A:$F,6,FALSE)</f>
        <v>1</v>
      </c>
      <c r="M268" s="9" t="str">
        <f ca="1">VLOOKUP(A268,[2]characters!$A:$M,13,FALSE)</f>
        <v>animal</v>
      </c>
      <c r="N268" s="14" t="str">
        <f ca="1">VLOOKUP(M268,[2]character_tribe_i18n!$A:$F,3,FALSE)</f>
        <v>アニマル</v>
      </c>
      <c r="O268" s="24">
        <f ca="1">VLOOKUP(M268,[2]character_tribe_i18n!$A:$F,4,FALSE)</f>
        <v>1</v>
      </c>
      <c r="P268" s="24">
        <f ca="1">VLOOKUP(M268,[2]character_tribe_i18n!$A:$F,5,FALSE)</f>
        <v>1.1000000000000001</v>
      </c>
      <c r="Q268" s="24">
        <f ca="1">VLOOKUP(M268,[2]character_tribe_i18n!$A:$F,6,FALSE)</f>
        <v>1</v>
      </c>
      <c r="R268" s="25" t="s">
        <v>4</v>
      </c>
      <c r="S268" s="24">
        <f>VLOOKUP($R268,ラベル別係数!$A$1:$E$7,3,FALSE)</f>
        <v>5</v>
      </c>
      <c r="T268" s="24">
        <f>VLOOKUP($R268,ラベル別係数!$A$1:$E$7,4,FALSE)</f>
        <v>1.3</v>
      </c>
      <c r="U268" s="24">
        <f>VLOOKUP($R268,ラベル別係数!$A$1:$E$7,5,FALSE)</f>
        <v>0.8</v>
      </c>
      <c r="V268" s="27">
        <v>2</v>
      </c>
      <c r="W268" s="28">
        <f>VLOOKUP(V268,ターン数別攻撃係数!$A$1:$B$1000,2,FALSE)</f>
        <v>0.75</v>
      </c>
      <c r="X268" s="10">
        <v>30</v>
      </c>
      <c r="Y268" s="26">
        <f>VLOOKUP($X268,サイズ別係数!$B:$E,2,FALSE)</f>
        <v>1.3</v>
      </c>
      <c r="Z268" s="26">
        <f>VLOOKUP($X268,サイズ別係数!$B:$E,3,FALSE)</f>
        <v>1.3</v>
      </c>
      <c r="AA268" s="26">
        <f>VLOOKUP($X268,サイズ別係数!$B:$E,4,FALSE)</f>
        <v>1.1000000000000001</v>
      </c>
      <c r="AB268" s="5">
        <v>266</v>
      </c>
      <c r="AC268" s="34" t="str">
        <f ca="1">VLOOKUP($AB268,OFFSET([3]enemy_skill_sets!$B$2,0,0,COUNTA([3]enemy_skill_sets!$A:$A),MATCH(AC$1,[3]enemy_skill_sets!$1:$1,0)-MATCH($AB$1,[3]enemy_skill_sets!$1:$1,0)+1),MATCH(AC$1,[3]enemy_skill_sets!$1:$1,0)-MATCH($AB$1,[3]enemy_skill_sets!$1:$1,0)+1,FALSE)</f>
        <v>この戦闘ではスキルが使えない！</v>
      </c>
      <c r="AD268" s="27">
        <v>1</v>
      </c>
      <c r="AE268" s="37">
        <v>1</v>
      </c>
      <c r="AF268" s="37">
        <v>0</v>
      </c>
      <c r="AG268" s="28">
        <f ca="1">ROUND(VLOOKUP(1,enemy_base_stats!$A:$F,2,FALSE) * Y268* J268*O268*E268*S268*AD268*[2]ステータス!$B$2,0)</f>
        <v>3250</v>
      </c>
      <c r="AH268" s="28">
        <f ca="1">ROUND(VLOOKUP(1,enemy_base_stats!$A:$F,3,FALSE) * Z268*K268*P268*F268*T268*AE268 * W268*[2]ステータス!$C$2,0)</f>
        <v>205</v>
      </c>
      <c r="AI268" s="28">
        <f ca="1">ROUND(VLOOKUP(1,enemy_base_stats!$A:$F,4,FALSE) * AA268*L268*Q268*G268*U268*AF268*[2]ステータス!$D$2,0)</f>
        <v>0</v>
      </c>
      <c r="AJ268" s="28">
        <f ca="1">ROUND(VLOOKUP(100,enemy_base_stats!$A:$F,2,FALSE) * Y268* J268*O268*E268*S268*AD268*[2]ステータス!$B$2,0)</f>
        <v>131950</v>
      </c>
      <c r="AK268" s="28">
        <f ca="1">ROUND(VLOOKUP(100,enemy_base_stats!$A:$F,3,FALSE)* Z268* K268*P268*F268*T268*AE268 * W268*[2]ステータス!$C$2,0)</f>
        <v>8321</v>
      </c>
      <c r="AL268" s="28">
        <f ca="1">ROUND(VLOOKUP(100,enemy_base_stats!$A:$F,4,FALSE)* AA268* L268*Q268*G268*U268*AF268*[2]ステータス!$D$2,0)</f>
        <v>0</v>
      </c>
      <c r="AM268" s="24">
        <f ca="1">VLOOKUP(M268,[2]character_tribe_i18n!$A:$I,9,FALSE)</f>
        <v>480</v>
      </c>
      <c r="AN268" s="36">
        <v>0</v>
      </c>
      <c r="AO268" s="53">
        <v>0</v>
      </c>
      <c r="AP268" s="58" t="s">
        <v>72</v>
      </c>
      <c r="AQ268" s="71">
        <f t="shared" ca="1" si="8"/>
        <v>267</v>
      </c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</row>
    <row r="269" spans="1:60" s="3" customFormat="1" ht="21" customHeight="1" x14ac:dyDescent="0.15">
      <c r="A269" s="7">
        <f t="shared" ca="1" si="9"/>
        <v>268</v>
      </c>
      <c r="B269" s="6" t="str">
        <f ca="1">VLOOKUP(A269,[2]characters!$A:$C,3,FALSE)</f>
        <v>鵺</v>
      </c>
      <c r="C269" s="9">
        <f ca="1">VLOOKUP(A269,[2]characters!$A:$I,9,FALSE)</f>
        <v>3</v>
      </c>
      <c r="D269" s="9" t="str">
        <f ca="1">VLOOKUP(A269,[2]characters!$A:$H,8,FALSE)</f>
        <v>yellow</v>
      </c>
      <c r="E269" s="24">
        <f ca="1">VLOOKUP(D269,[2]属性!$A:$E,2,FALSE)</f>
        <v>0.98</v>
      </c>
      <c r="F269" s="24">
        <f ca="1">VLOOKUP(D269,[2]属性!$A:$E,3,FALSE)</f>
        <v>1.01</v>
      </c>
      <c r="G269" s="24">
        <f ca="1">VLOOKUP(D269,[2]属性!$A:$F,4,FALSE)</f>
        <v>1</v>
      </c>
      <c r="H269" s="9" t="str">
        <f ca="1">VLOOKUP(A269,[2]characters!$A:$K,11,FALSE)</f>
        <v>technical</v>
      </c>
      <c r="I269" s="14" t="str">
        <f ca="1">VLOOKUP(H269,[2]character_type_i18n!$A:$F,3,FALSE)</f>
        <v>テクニカルタイプ</v>
      </c>
      <c r="J269" s="36">
        <f ca="1">VLOOKUP(H269,[2]character_type_i18n!$A:$F,4,FALSE)</f>
        <v>0.9</v>
      </c>
      <c r="K269" s="36">
        <f ca="1">VLOOKUP(H269,[2]character_type_i18n!$A:$F,5,FALSE)</f>
        <v>0.9</v>
      </c>
      <c r="L269" s="36">
        <f ca="1">VLOOKUP(H269,[2]character_type_i18n!$A:$F,6,FALSE)</f>
        <v>1</v>
      </c>
      <c r="M269" s="9" t="str">
        <f ca="1">VLOOKUP(A269,[2]characters!$A:$M,13,FALSE)</f>
        <v>animal</v>
      </c>
      <c r="N269" s="14" t="str">
        <f ca="1">VLOOKUP(M269,[2]character_tribe_i18n!$A:$F,3,FALSE)</f>
        <v>アニマル</v>
      </c>
      <c r="O269" s="24">
        <f ca="1">VLOOKUP(M269,[2]character_tribe_i18n!$A:$F,4,FALSE)</f>
        <v>1</v>
      </c>
      <c r="P269" s="24">
        <f ca="1">VLOOKUP(M269,[2]character_tribe_i18n!$A:$F,5,FALSE)</f>
        <v>1.1000000000000001</v>
      </c>
      <c r="Q269" s="24">
        <f ca="1">VLOOKUP(M269,[2]character_tribe_i18n!$A:$F,6,FALSE)</f>
        <v>1</v>
      </c>
      <c r="R269" s="25" t="s">
        <v>4</v>
      </c>
      <c r="S269" s="24">
        <f>VLOOKUP($R269,ラベル別係数!$A$1:$E$7,3,FALSE)</f>
        <v>5</v>
      </c>
      <c r="T269" s="24">
        <f>VLOOKUP($R269,ラベル別係数!$A$1:$E$7,4,FALSE)</f>
        <v>1.3</v>
      </c>
      <c r="U269" s="24">
        <f>VLOOKUP($R269,ラベル別係数!$A$1:$E$7,5,FALSE)</f>
        <v>0.8</v>
      </c>
      <c r="V269" s="27">
        <v>4</v>
      </c>
      <c r="W269" s="28">
        <f>VLOOKUP(V269,ターン数別攻撃係数!$A$1:$B$1000,2,FALSE)</f>
        <v>1.2</v>
      </c>
      <c r="X269" s="10">
        <v>20</v>
      </c>
      <c r="Y269" s="26">
        <f>VLOOKUP($X269,サイズ別係数!$B:$E,2,FALSE)</f>
        <v>1.1000000000000001</v>
      </c>
      <c r="Z269" s="26">
        <f>VLOOKUP($X269,サイズ別係数!$B:$E,3,FALSE)</f>
        <v>1.2</v>
      </c>
      <c r="AA269" s="26">
        <f>VLOOKUP($X269,サイズ別係数!$B:$E,4,FALSE)</f>
        <v>1.2</v>
      </c>
      <c r="AB269" s="5">
        <v>0</v>
      </c>
      <c r="AC269" s="34" t="str">
        <f ca="1">VLOOKUP($AB269,OFFSET([3]enemy_skill_sets!$B$2,0,0,COUNTA([3]enemy_skill_sets!$A:$A),MATCH(AC$1,[3]enemy_skill_sets!$1:$1,0)-MATCH($AB$1,[3]enemy_skill_sets!$1:$1,0)+1),MATCH(AC$1,[3]enemy_skill_sets!$1:$1,0)-MATCH($AB$1,[3]enemy_skill_sets!$1:$1,0)+1,FALSE)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69" s="27">
        <v>1</v>
      </c>
      <c r="AE269" s="37">
        <v>1</v>
      </c>
      <c r="AF269" s="37">
        <v>0</v>
      </c>
      <c r="AG269" s="28">
        <f ca="1">ROUND(VLOOKUP(1,enemy_base_stats!$A:$F,2,FALSE) * Y269* J269*O269*E269*S269*AD269*[2]ステータス!$B$2,0)</f>
        <v>2426</v>
      </c>
      <c r="AH269" s="28">
        <f ca="1">ROUND(VLOOKUP(1,enemy_base_stats!$A:$F,3,FALSE) * Z269*K269*P269*F269*T269*AE269 * W269*[2]ステータス!$C$2,0)</f>
        <v>281</v>
      </c>
      <c r="AI269" s="28">
        <f ca="1">ROUND(VLOOKUP(1,enemy_base_stats!$A:$F,4,FALSE) * AA269*L269*Q269*G269*U269*AF269*[2]ステータス!$D$2,0)</f>
        <v>0</v>
      </c>
      <c r="AJ269" s="28">
        <f ca="1">ROUND(VLOOKUP(100,enemy_base_stats!$A:$F,2,FALSE) * Y269* J269*O269*E269*S269*AD269*[2]ステータス!$B$2,0)</f>
        <v>98475</v>
      </c>
      <c r="AK269" s="28">
        <f ca="1">ROUND(VLOOKUP(100,enemy_base_stats!$A:$F,3,FALSE)* Z269* K269*P269*F269*T269*AE269 * W269*[2]ステータス!$C$2,0)</f>
        <v>11399</v>
      </c>
      <c r="AL269" s="28">
        <f ca="1">ROUND(VLOOKUP(100,enemy_base_stats!$A:$F,4,FALSE)* AA269* L269*Q269*G269*U269*AF269*[2]ステータス!$D$2,0)</f>
        <v>0</v>
      </c>
      <c r="AM269" s="24">
        <f ca="1">VLOOKUP(M269,[2]character_tribe_i18n!$A:$I,9,FALSE)</f>
        <v>480</v>
      </c>
      <c r="AN269" s="36">
        <v>0</v>
      </c>
      <c r="AO269" s="53">
        <v>0</v>
      </c>
      <c r="AP269" s="58" t="s">
        <v>72</v>
      </c>
      <c r="AQ269" s="71">
        <f t="shared" ca="1" si="8"/>
        <v>268</v>
      </c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</row>
    <row r="270" spans="1:60" s="3" customFormat="1" ht="21" customHeight="1" x14ac:dyDescent="0.15">
      <c r="A270" s="7">
        <f t="shared" ca="1" si="9"/>
        <v>269</v>
      </c>
      <c r="B270" s="6" t="str">
        <f ca="1">VLOOKUP(A270,[2]characters!$A:$C,3,FALSE)</f>
        <v>合雷獣 鵺</v>
      </c>
      <c r="C270" s="9">
        <f ca="1">VLOOKUP(A270,[2]characters!$A:$I,9,FALSE)</f>
        <v>4</v>
      </c>
      <c r="D270" s="9" t="str">
        <f ca="1">VLOOKUP(A270,[2]characters!$A:$H,8,FALSE)</f>
        <v>yellow</v>
      </c>
      <c r="E270" s="24">
        <f ca="1">VLOOKUP(D270,[2]属性!$A:$E,2,FALSE)</f>
        <v>0.98</v>
      </c>
      <c r="F270" s="24">
        <f ca="1">VLOOKUP(D270,[2]属性!$A:$E,3,FALSE)</f>
        <v>1.01</v>
      </c>
      <c r="G270" s="24">
        <f ca="1">VLOOKUP(D270,[2]属性!$A:$F,4,FALSE)</f>
        <v>1</v>
      </c>
      <c r="H270" s="9" t="str">
        <f ca="1">VLOOKUP(A270,[2]characters!$A:$K,11,FALSE)</f>
        <v>technical</v>
      </c>
      <c r="I270" s="14" t="str">
        <f ca="1">VLOOKUP(H270,[2]character_type_i18n!$A:$F,3,FALSE)</f>
        <v>テクニカルタイプ</v>
      </c>
      <c r="J270" s="36">
        <f ca="1">VLOOKUP(H270,[2]character_type_i18n!$A:$F,4,FALSE)</f>
        <v>0.9</v>
      </c>
      <c r="K270" s="36">
        <f ca="1">VLOOKUP(H270,[2]character_type_i18n!$A:$F,5,FALSE)</f>
        <v>0.9</v>
      </c>
      <c r="L270" s="36">
        <f ca="1">VLOOKUP(H270,[2]character_type_i18n!$A:$F,6,FALSE)</f>
        <v>1</v>
      </c>
      <c r="M270" s="9" t="str">
        <f ca="1">VLOOKUP(A270,[2]characters!$A:$M,13,FALSE)</f>
        <v>animal</v>
      </c>
      <c r="N270" s="14" t="str">
        <f ca="1">VLOOKUP(M270,[2]character_tribe_i18n!$A:$F,3,FALSE)</f>
        <v>アニマル</v>
      </c>
      <c r="O270" s="24">
        <f ca="1">VLOOKUP(M270,[2]character_tribe_i18n!$A:$F,4,FALSE)</f>
        <v>1</v>
      </c>
      <c r="P270" s="24">
        <f ca="1">VLOOKUP(M270,[2]character_tribe_i18n!$A:$F,5,FALSE)</f>
        <v>1.1000000000000001</v>
      </c>
      <c r="Q270" s="24">
        <f ca="1">VLOOKUP(M270,[2]character_tribe_i18n!$A:$F,6,FALSE)</f>
        <v>1</v>
      </c>
      <c r="R270" s="25" t="s">
        <v>4</v>
      </c>
      <c r="S270" s="24">
        <f>VLOOKUP($R270,ラベル別係数!$A$1:$E$7,3,FALSE)</f>
        <v>5</v>
      </c>
      <c r="T270" s="24">
        <f>VLOOKUP($R270,ラベル別係数!$A$1:$E$7,4,FALSE)</f>
        <v>1.3</v>
      </c>
      <c r="U270" s="24">
        <f>VLOOKUP($R270,ラベル別係数!$A$1:$E$7,5,FALSE)</f>
        <v>0.8</v>
      </c>
      <c r="V270" s="27">
        <v>4</v>
      </c>
      <c r="W270" s="28">
        <f>VLOOKUP(V270,ターン数別攻撃係数!$A$1:$B$1000,2,FALSE)</f>
        <v>1.2</v>
      </c>
      <c r="X270" s="10">
        <v>30</v>
      </c>
      <c r="Y270" s="26">
        <f>VLOOKUP($X270,サイズ別係数!$B:$E,2,FALSE)</f>
        <v>1.3</v>
      </c>
      <c r="Z270" s="26">
        <f>VLOOKUP($X270,サイズ別係数!$B:$E,3,FALSE)</f>
        <v>1.3</v>
      </c>
      <c r="AA270" s="26">
        <f>VLOOKUP($X270,サイズ別係数!$B:$E,4,FALSE)</f>
        <v>1.1000000000000001</v>
      </c>
      <c r="AB270" s="5">
        <v>268</v>
      </c>
      <c r="AC270" s="34" t="str">
        <f ca="1">VLOOKUP($AB270,OFFSET([3]enemy_skill_sets!$B$2,0,0,COUNTA([3]enemy_skill_sets!$A:$A),MATCH(AC$1,[3]enemy_skill_sets!$1:$1,0)-MATCH($AB$1,[3]enemy_skill_sets!$1:$1,0)+1),MATCH(AC$1,[3]enemy_skill_sets!$1:$1,0)-MATCH($AB$1,[3]enemy_skill_sets!$1:$1,0)+1,FALSE)</f>
        <v>全体攻撃</v>
      </c>
      <c r="AD270" s="27">
        <v>1</v>
      </c>
      <c r="AE270" s="37">
        <v>1</v>
      </c>
      <c r="AF270" s="37">
        <v>0</v>
      </c>
      <c r="AG270" s="28">
        <f ca="1">ROUND(VLOOKUP(1,enemy_base_stats!$A:$F,2,FALSE) * Y270* J270*O270*E270*S270*AD270*[2]ステータス!$B$2,0)</f>
        <v>2867</v>
      </c>
      <c r="AH270" s="28">
        <f ca="1">ROUND(VLOOKUP(1,enemy_base_stats!$A:$F,3,FALSE) * Z270*K270*P270*F270*T270*AE270 * W270*[2]ステータス!$C$2,0)</f>
        <v>304</v>
      </c>
      <c r="AI270" s="28">
        <f ca="1">ROUND(VLOOKUP(1,enemy_base_stats!$A:$F,4,FALSE) * AA270*L270*Q270*G270*U270*AF270*[2]ステータス!$D$2,0)</f>
        <v>0</v>
      </c>
      <c r="AJ270" s="28">
        <f ca="1">ROUND(VLOOKUP(100,enemy_base_stats!$A:$F,2,FALSE) * Y270* J270*O270*E270*S270*AD270*[2]ステータス!$B$2,0)</f>
        <v>116380</v>
      </c>
      <c r="AK270" s="28">
        <f ca="1">ROUND(VLOOKUP(100,enemy_base_stats!$A:$F,3,FALSE)* Z270* K270*P270*F270*T270*AE270 * W270*[2]ステータス!$C$2,0)</f>
        <v>12349</v>
      </c>
      <c r="AL270" s="28">
        <f ca="1">ROUND(VLOOKUP(100,enemy_base_stats!$A:$F,4,FALSE)* AA270* L270*Q270*G270*U270*AF270*[2]ステータス!$D$2,0)</f>
        <v>0</v>
      </c>
      <c r="AM270" s="24">
        <f ca="1">VLOOKUP(M270,[2]character_tribe_i18n!$A:$I,9,FALSE)</f>
        <v>480</v>
      </c>
      <c r="AN270" s="36">
        <v>0</v>
      </c>
      <c r="AO270" s="53">
        <v>0</v>
      </c>
      <c r="AP270" s="58" t="s">
        <v>72</v>
      </c>
      <c r="AQ270" s="71">
        <f t="shared" ca="1" si="8"/>
        <v>269</v>
      </c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</row>
    <row r="271" spans="1:60" s="3" customFormat="1" ht="21" customHeight="1" x14ac:dyDescent="0.15">
      <c r="A271" s="7">
        <f t="shared" ca="1" si="9"/>
        <v>270</v>
      </c>
      <c r="B271" s="6" t="str">
        <f ca="1">VLOOKUP(A271,[2]characters!$A:$C,3,FALSE)</f>
        <v>風爪のミリー</v>
      </c>
      <c r="C271" s="9">
        <f ca="1">VLOOKUP(A271,[2]characters!$A:$I,9,FALSE)</f>
        <v>4</v>
      </c>
      <c r="D271" s="9" t="str">
        <f ca="1">VLOOKUP(A271,[2]characters!$A:$H,8,FALSE)</f>
        <v>green</v>
      </c>
      <c r="E271" s="24">
        <f ca="1">VLOOKUP(D271,[2]属性!$A:$E,2,FALSE)</f>
        <v>1.02</v>
      </c>
      <c r="F271" s="24">
        <f ca="1">VLOOKUP(D271,[2]属性!$A:$E,3,FALSE)</f>
        <v>0.98</v>
      </c>
      <c r="G271" s="24">
        <f ca="1">VLOOKUP(D271,[2]属性!$A:$F,4,FALSE)</f>
        <v>1</v>
      </c>
      <c r="H271" s="9" t="str">
        <f ca="1">VLOOKUP(A271,[2]characters!$A:$K,11,FALSE)</f>
        <v>attack</v>
      </c>
      <c r="I271" s="14" t="str">
        <f ca="1">VLOOKUP(H271,[2]character_type_i18n!$A:$F,3,FALSE)</f>
        <v>攻撃タイプ</v>
      </c>
      <c r="J271" s="36">
        <f ca="1">VLOOKUP(H271,[2]character_type_i18n!$A:$F,4,FALSE)</f>
        <v>1</v>
      </c>
      <c r="K271" s="36">
        <f ca="1">VLOOKUP(H271,[2]character_type_i18n!$A:$F,5,FALSE)</f>
        <v>1.33</v>
      </c>
      <c r="L271" s="36">
        <f ca="1">VLOOKUP(H271,[2]character_type_i18n!$A:$F,6,FALSE)</f>
        <v>1</v>
      </c>
      <c r="M271" s="9" t="str">
        <f ca="1">VLOOKUP(A271,[2]characters!$A:$M,13,FALSE)</f>
        <v>human</v>
      </c>
      <c r="N271" s="14" t="str">
        <f ca="1">VLOOKUP(M271,[2]character_tribe_i18n!$A:$F,3,FALSE)</f>
        <v>ヒューマン</v>
      </c>
      <c r="O271" s="24">
        <f ca="1">VLOOKUP(M271,[2]character_tribe_i18n!$A:$F,4,FALSE)</f>
        <v>0.94</v>
      </c>
      <c r="P271" s="24">
        <f ca="1">VLOOKUP(M271,[2]character_tribe_i18n!$A:$F,5,FALSE)</f>
        <v>0.99</v>
      </c>
      <c r="Q271" s="24">
        <f ca="1">VLOOKUP(M271,[2]character_tribe_i18n!$A:$F,6,FALSE)</f>
        <v>1</v>
      </c>
      <c r="R271" s="25" t="s">
        <v>4</v>
      </c>
      <c r="S271" s="24">
        <f>VLOOKUP($R271,ラベル別係数!$A$1:$E$7,3,FALSE)</f>
        <v>5</v>
      </c>
      <c r="T271" s="24">
        <f>VLOOKUP($R271,ラベル別係数!$A$1:$E$7,4,FALSE)</f>
        <v>1.3</v>
      </c>
      <c r="U271" s="24">
        <f>VLOOKUP($R271,ラベル別係数!$A$1:$E$7,5,FALSE)</f>
        <v>0.8</v>
      </c>
      <c r="V271" s="27">
        <v>2</v>
      </c>
      <c r="W271" s="28">
        <f>VLOOKUP(V271,ターン数別攻撃係数!$A$1:$B$1000,2,FALSE)</f>
        <v>0.75</v>
      </c>
      <c r="X271" s="10">
        <v>30</v>
      </c>
      <c r="Y271" s="26">
        <f>VLOOKUP($X271,サイズ別係数!$B:$E,2,FALSE)</f>
        <v>1.3</v>
      </c>
      <c r="Z271" s="26">
        <f>VLOOKUP($X271,サイズ別係数!$B:$E,3,FALSE)</f>
        <v>1.3</v>
      </c>
      <c r="AA271" s="26">
        <f>VLOOKUP($X271,サイズ別係数!$B:$E,4,FALSE)</f>
        <v>1.1000000000000001</v>
      </c>
      <c r="AB271" s="5">
        <v>270</v>
      </c>
      <c r="AC271" s="34" t="str">
        <f ca="1">VLOOKUP($AB271,OFFSET([3]enemy_skill_sets!$B$2,0,0,COUNTA([3]enemy_skill_sets!$A:$A),MATCH(AC$1,[3]enemy_skill_sets!$1:$1,0)-MATCH($AB$1,[3]enemy_skill_sets!$1:$1,0)+1),MATCH(AC$1,[3]enemy_skill_sets!$1:$1,0)-MATCH($AB$1,[3]enemy_skill_sets!$1:$1,0)+1,FALSE)</f>
        <v>先制全体攻撃</v>
      </c>
      <c r="AD271" s="27">
        <v>1</v>
      </c>
      <c r="AE271" s="37">
        <v>1</v>
      </c>
      <c r="AF271" s="37">
        <v>0</v>
      </c>
      <c r="AG271" s="28">
        <f ca="1">ROUND(VLOOKUP(1,enemy_base_stats!$A:$F,2,FALSE) * Y271* J271*O271*E271*S271*AD271*[2]ステータス!$B$2,0)</f>
        <v>3116</v>
      </c>
      <c r="AH271" s="28">
        <f ca="1">ROUND(VLOOKUP(1,enemy_base_stats!$A:$F,3,FALSE) * Z271*K271*P271*F271*T271*AE271 * W271*[2]ステータス!$C$2,0)</f>
        <v>245</v>
      </c>
      <c r="AI271" s="28">
        <f ca="1">ROUND(VLOOKUP(1,enemy_base_stats!$A:$F,4,FALSE) * AA271*L271*Q271*G271*U271*AF271*[2]ステータス!$D$2,0)</f>
        <v>0</v>
      </c>
      <c r="AJ271" s="28">
        <f ca="1">ROUND(VLOOKUP(100,enemy_base_stats!$A:$F,2,FALSE) * Y271* J271*O271*E271*S271*AD271*[2]ステータス!$B$2,0)</f>
        <v>126514</v>
      </c>
      <c r="AK271" s="28">
        <f ca="1">ROUND(VLOOKUP(100,enemy_base_stats!$A:$F,3,FALSE)* Z271* K271*P271*F271*T271*AE271 * W271*[2]ステータス!$C$2,0)</f>
        <v>9960</v>
      </c>
      <c r="AL271" s="28">
        <f ca="1">ROUND(VLOOKUP(100,enemy_base_stats!$A:$F,4,FALSE)* AA271* L271*Q271*G271*U271*AF271*[2]ステータス!$D$2,0)</f>
        <v>0</v>
      </c>
      <c r="AM271" s="24">
        <f ca="1">VLOOKUP(M271,[2]character_tribe_i18n!$A:$I,9,FALSE)</f>
        <v>400</v>
      </c>
      <c r="AN271" s="36">
        <v>0</v>
      </c>
      <c r="AO271" s="53">
        <v>0</v>
      </c>
      <c r="AP271" s="58" t="s">
        <v>72</v>
      </c>
      <c r="AQ271" s="71">
        <f t="shared" ca="1" si="8"/>
        <v>270</v>
      </c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</row>
    <row r="272" spans="1:60" s="3" customFormat="1" ht="21" customHeight="1" x14ac:dyDescent="0.15">
      <c r="A272" s="7">
        <f t="shared" ca="1" si="9"/>
        <v>271</v>
      </c>
      <c r="B272" s="6" t="str">
        <f ca="1">VLOOKUP(A272,[2]characters!$A:$C,3,FALSE)</f>
        <v>疾風五花 ミリー</v>
      </c>
      <c r="C272" s="9">
        <f ca="1">VLOOKUP(A272,[2]characters!$A:$I,9,FALSE)</f>
        <v>5</v>
      </c>
      <c r="D272" s="9" t="str">
        <f ca="1">VLOOKUP(A272,[2]characters!$A:$H,8,FALSE)</f>
        <v>green</v>
      </c>
      <c r="E272" s="24">
        <f ca="1">VLOOKUP(D272,[2]属性!$A:$E,2,FALSE)</f>
        <v>1.02</v>
      </c>
      <c r="F272" s="24">
        <f ca="1">VLOOKUP(D272,[2]属性!$A:$E,3,FALSE)</f>
        <v>0.98</v>
      </c>
      <c r="G272" s="24">
        <f ca="1">VLOOKUP(D272,[2]属性!$A:$F,4,FALSE)</f>
        <v>1</v>
      </c>
      <c r="H272" s="9" t="str">
        <f ca="1">VLOOKUP(A272,[2]characters!$A:$K,11,FALSE)</f>
        <v>attack</v>
      </c>
      <c r="I272" s="14" t="str">
        <f ca="1">VLOOKUP(H272,[2]character_type_i18n!$A:$F,3,FALSE)</f>
        <v>攻撃タイプ</v>
      </c>
      <c r="J272" s="36">
        <f ca="1">VLOOKUP(H272,[2]character_type_i18n!$A:$F,4,FALSE)</f>
        <v>1</v>
      </c>
      <c r="K272" s="36">
        <f ca="1">VLOOKUP(H272,[2]character_type_i18n!$A:$F,5,FALSE)</f>
        <v>1.33</v>
      </c>
      <c r="L272" s="36">
        <f ca="1">VLOOKUP(H272,[2]character_type_i18n!$A:$F,6,FALSE)</f>
        <v>1</v>
      </c>
      <c r="M272" s="9" t="str">
        <f ca="1">VLOOKUP(A272,[2]characters!$A:$M,13,FALSE)</f>
        <v>human</v>
      </c>
      <c r="N272" s="14" t="str">
        <f ca="1">VLOOKUP(M272,[2]character_tribe_i18n!$A:$F,3,FALSE)</f>
        <v>ヒューマン</v>
      </c>
      <c r="O272" s="24">
        <f ca="1">VLOOKUP(M272,[2]character_tribe_i18n!$A:$F,4,FALSE)</f>
        <v>0.94</v>
      </c>
      <c r="P272" s="24">
        <f ca="1">VLOOKUP(M272,[2]character_tribe_i18n!$A:$F,5,FALSE)</f>
        <v>0.99</v>
      </c>
      <c r="Q272" s="24">
        <f ca="1">VLOOKUP(M272,[2]character_tribe_i18n!$A:$F,6,FALSE)</f>
        <v>1</v>
      </c>
      <c r="R272" s="25" t="s">
        <v>4</v>
      </c>
      <c r="S272" s="24">
        <f>VLOOKUP($R272,ラベル別係数!$A$1:$E$7,3,FALSE)</f>
        <v>5</v>
      </c>
      <c r="T272" s="24">
        <f>VLOOKUP($R272,ラベル別係数!$A$1:$E$7,4,FALSE)</f>
        <v>1.3</v>
      </c>
      <c r="U272" s="24">
        <f>VLOOKUP($R272,ラベル別係数!$A$1:$E$7,5,FALSE)</f>
        <v>0.8</v>
      </c>
      <c r="V272" s="27">
        <v>2</v>
      </c>
      <c r="W272" s="28">
        <f>VLOOKUP(V272,ターン数別攻撃係数!$A$1:$B$1000,2,FALSE)</f>
        <v>0.75</v>
      </c>
      <c r="X272" s="10">
        <v>60</v>
      </c>
      <c r="Y272" s="26">
        <f>VLOOKUP($X272,サイズ別係数!$B:$E,2,FALSE)</f>
        <v>1.7</v>
      </c>
      <c r="Z272" s="26">
        <f>VLOOKUP($X272,サイズ別係数!$B:$E,3,FALSE)</f>
        <v>1.4</v>
      </c>
      <c r="AA272" s="26">
        <f>VLOOKUP($X272,サイズ別係数!$B:$E,4,FALSE)</f>
        <v>1</v>
      </c>
      <c r="AB272" s="5">
        <v>271</v>
      </c>
      <c r="AC272" s="34" t="str">
        <f ca="1">VLOOKUP($AB272,OFFSET([3]enemy_skill_sets!$B$2,0,0,COUNTA([3]enemy_skill_sets!$A:$A),MATCH(AC$1,[3]enemy_skill_sets!$1:$1,0)-MATCH($AB$1,[3]enemy_skill_sets!$1:$1,0)+1),MATCH(AC$1,[3]enemy_skill_sets!$1:$1,0)-MATCH($AB$1,[3]enemy_skill_sets!$1:$1,0)+1,FALSE)</f>
        <v>先制全体攻撃</v>
      </c>
      <c r="AD272" s="27">
        <v>1</v>
      </c>
      <c r="AE272" s="37">
        <v>1</v>
      </c>
      <c r="AF272" s="37">
        <v>0</v>
      </c>
      <c r="AG272" s="28">
        <f ca="1">ROUND(VLOOKUP(1,enemy_base_stats!$A:$F,2,FALSE) * Y272* J272*O272*E272*S272*AD272*[2]ステータス!$B$2,0)</f>
        <v>4075</v>
      </c>
      <c r="AH272" s="28">
        <f ca="1">ROUND(VLOOKUP(1,enemy_base_stats!$A:$F,3,FALSE) * Z272*K272*P272*F272*T272*AE272 * W272*[2]ステータス!$C$2,0)</f>
        <v>264</v>
      </c>
      <c r="AI272" s="28">
        <f ca="1">ROUND(VLOOKUP(1,enemy_base_stats!$A:$F,4,FALSE) * AA272*L272*Q272*G272*U272*AF272*[2]ステータス!$D$2,0)</f>
        <v>0</v>
      </c>
      <c r="AJ272" s="28">
        <f ca="1">ROUND(VLOOKUP(100,enemy_base_stats!$A:$F,2,FALSE) * Y272* J272*O272*E272*S272*AD272*[2]ステータス!$B$2,0)</f>
        <v>165441</v>
      </c>
      <c r="AK272" s="28">
        <f ca="1">ROUND(VLOOKUP(100,enemy_base_stats!$A:$F,3,FALSE)* Z272* K272*P272*F272*T272*AE272 * W272*[2]ステータス!$C$2,0)</f>
        <v>10727</v>
      </c>
      <c r="AL272" s="28">
        <f ca="1">ROUND(VLOOKUP(100,enemy_base_stats!$A:$F,4,FALSE)* AA272* L272*Q272*G272*U272*AF272*[2]ステータス!$D$2,0)</f>
        <v>0</v>
      </c>
      <c r="AM272" s="24">
        <f ca="1">VLOOKUP(M272,[2]character_tribe_i18n!$A:$I,9,FALSE)</f>
        <v>400</v>
      </c>
      <c r="AN272" s="36">
        <v>0</v>
      </c>
      <c r="AO272" s="53">
        <v>0</v>
      </c>
      <c r="AP272" s="58" t="s">
        <v>72</v>
      </c>
      <c r="AQ272" s="71">
        <f t="shared" ca="1" si="8"/>
        <v>271</v>
      </c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</row>
    <row r="273" spans="1:60" s="3" customFormat="1" ht="21" customHeight="1" x14ac:dyDescent="0.15">
      <c r="A273" s="7">
        <f t="shared" ca="1" si="9"/>
        <v>272</v>
      </c>
      <c r="B273" s="6" t="str">
        <f ca="1">VLOOKUP(A273,[2]characters!$A:$C,3,FALSE)</f>
        <v>魔札のシルベール</v>
      </c>
      <c r="C273" s="9">
        <f ca="1">VLOOKUP(A273,[2]characters!$A:$I,9,FALSE)</f>
        <v>4</v>
      </c>
      <c r="D273" s="9" t="str">
        <f ca="1">VLOOKUP(A273,[2]characters!$A:$H,8,FALSE)</f>
        <v>blue</v>
      </c>
      <c r="E273" s="24">
        <f ca="1">VLOOKUP(D273,[2]属性!$A:$E,2,FALSE)</f>
        <v>1</v>
      </c>
      <c r="F273" s="24">
        <f ca="1">VLOOKUP(D273,[2]属性!$A:$E,3,FALSE)</f>
        <v>0.98</v>
      </c>
      <c r="G273" s="24">
        <f ca="1">VLOOKUP(D273,[2]属性!$A:$F,4,FALSE)</f>
        <v>1</v>
      </c>
      <c r="H273" s="9" t="str">
        <f ca="1">VLOOKUP(A273,[2]characters!$A:$K,11,FALSE)</f>
        <v>technical</v>
      </c>
      <c r="I273" s="14" t="str">
        <f ca="1">VLOOKUP(H273,[2]character_type_i18n!$A:$F,3,FALSE)</f>
        <v>テクニカルタイプ</v>
      </c>
      <c r="J273" s="36">
        <f ca="1">VLOOKUP(H273,[2]character_type_i18n!$A:$F,4,FALSE)</f>
        <v>0.9</v>
      </c>
      <c r="K273" s="36">
        <f ca="1">VLOOKUP(H273,[2]character_type_i18n!$A:$F,5,FALSE)</f>
        <v>0.9</v>
      </c>
      <c r="L273" s="36">
        <f ca="1">VLOOKUP(H273,[2]character_type_i18n!$A:$F,6,FALSE)</f>
        <v>1</v>
      </c>
      <c r="M273" s="9" t="str">
        <f ca="1">VLOOKUP(A273,[2]characters!$A:$M,13,FALSE)</f>
        <v>human</v>
      </c>
      <c r="N273" s="14" t="str">
        <f ca="1">VLOOKUP(M273,[2]character_tribe_i18n!$A:$F,3,FALSE)</f>
        <v>ヒューマン</v>
      </c>
      <c r="O273" s="24">
        <f ca="1">VLOOKUP(M273,[2]character_tribe_i18n!$A:$F,4,FALSE)</f>
        <v>0.94</v>
      </c>
      <c r="P273" s="24">
        <f ca="1">VLOOKUP(M273,[2]character_tribe_i18n!$A:$F,5,FALSE)</f>
        <v>0.99</v>
      </c>
      <c r="Q273" s="24">
        <f ca="1">VLOOKUP(M273,[2]character_tribe_i18n!$A:$F,6,FALSE)</f>
        <v>1</v>
      </c>
      <c r="R273" s="25" t="s">
        <v>4</v>
      </c>
      <c r="S273" s="24">
        <f>VLOOKUP($R273,ラベル別係数!$A$1:$E$7,3,FALSE)</f>
        <v>5</v>
      </c>
      <c r="T273" s="24">
        <f>VLOOKUP($R273,ラベル別係数!$A$1:$E$7,4,FALSE)</f>
        <v>1.3</v>
      </c>
      <c r="U273" s="24">
        <f>VLOOKUP($R273,ラベル別係数!$A$1:$E$7,5,FALSE)</f>
        <v>0.8</v>
      </c>
      <c r="V273" s="27">
        <v>2</v>
      </c>
      <c r="W273" s="28">
        <f>VLOOKUP(V273,ターン数別攻撃係数!$A$1:$B$1000,2,FALSE)</f>
        <v>0.75</v>
      </c>
      <c r="X273" s="10">
        <v>30</v>
      </c>
      <c r="Y273" s="26">
        <f>VLOOKUP($X273,サイズ別係数!$B:$E,2,FALSE)</f>
        <v>1.3</v>
      </c>
      <c r="Z273" s="26">
        <f>VLOOKUP($X273,サイズ別係数!$B:$E,3,FALSE)</f>
        <v>1.3</v>
      </c>
      <c r="AA273" s="26">
        <f>VLOOKUP($X273,サイズ別係数!$B:$E,4,FALSE)</f>
        <v>1.1000000000000001</v>
      </c>
      <c r="AB273" s="5">
        <v>272</v>
      </c>
      <c r="AC273" s="34" t="str">
        <f ca="1">VLOOKUP($AB273,OFFSET([3]enemy_skill_sets!$B$2,0,0,COUNTA([3]enemy_skill_sets!$A:$A),MATCH(AC$1,[3]enemy_skill_sets!$1:$1,0)-MATCH($AB$1,[3]enemy_skill_sets!$1:$1,0)+1),MATCH(AC$1,[3]enemy_skill_sets!$1:$1,0)-MATCH($AB$1,[3]enemy_skill_sets!$1:$1,0)+1,FALSE)</f>
        <v>お邪魔パネル出現</v>
      </c>
      <c r="AD273" s="27">
        <v>1</v>
      </c>
      <c r="AE273" s="37">
        <v>1</v>
      </c>
      <c r="AF273" s="37">
        <v>0</v>
      </c>
      <c r="AG273" s="28">
        <f ca="1">ROUND(VLOOKUP(1,enemy_base_stats!$A:$F,2,FALSE) * Y273* J273*O273*E273*S273*AD273*[2]ステータス!$B$2,0)</f>
        <v>2750</v>
      </c>
      <c r="AH273" s="28">
        <f ca="1">ROUND(VLOOKUP(1,enemy_base_stats!$A:$F,3,FALSE) * Z273*K273*P273*F273*T273*AE273 * W273*[2]ステータス!$C$2,0)</f>
        <v>166</v>
      </c>
      <c r="AI273" s="28">
        <f ca="1">ROUND(VLOOKUP(1,enemy_base_stats!$A:$F,4,FALSE) * AA273*L273*Q273*G273*U273*AF273*[2]ステータス!$D$2,0)</f>
        <v>0</v>
      </c>
      <c r="AJ273" s="28">
        <f ca="1">ROUND(VLOOKUP(100,enemy_base_stats!$A:$F,2,FALSE) * Y273* J273*O273*E273*S273*AD273*[2]ステータス!$B$2,0)</f>
        <v>111630</v>
      </c>
      <c r="AK273" s="28">
        <f ca="1">ROUND(VLOOKUP(100,enemy_base_stats!$A:$F,3,FALSE)* Z273* K273*P273*F273*T273*AE273 * W273*[2]ステータス!$C$2,0)</f>
        <v>6740</v>
      </c>
      <c r="AL273" s="28">
        <f ca="1">ROUND(VLOOKUP(100,enemy_base_stats!$A:$F,4,FALSE)* AA273* L273*Q273*G273*U273*AF273*[2]ステータス!$D$2,0)</f>
        <v>0</v>
      </c>
      <c r="AM273" s="24">
        <f ca="1">VLOOKUP(M273,[2]character_tribe_i18n!$A:$I,9,FALSE)</f>
        <v>400</v>
      </c>
      <c r="AN273" s="36">
        <v>0</v>
      </c>
      <c r="AO273" s="53">
        <v>0</v>
      </c>
      <c r="AP273" s="58" t="s">
        <v>72</v>
      </c>
      <c r="AQ273" s="71">
        <f t="shared" ca="1" si="8"/>
        <v>272</v>
      </c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</row>
    <row r="274" spans="1:60" s="3" customFormat="1" ht="21" customHeight="1" x14ac:dyDescent="0.15">
      <c r="A274" s="7">
        <f t="shared" ca="1" si="9"/>
        <v>273</v>
      </c>
      <c r="B274" s="6" t="str">
        <f ca="1">VLOOKUP(A274,[2]characters!$A:$C,3,FALSE)</f>
        <v>円環魔道 シルベール</v>
      </c>
      <c r="C274" s="9">
        <f ca="1">VLOOKUP(A274,[2]characters!$A:$I,9,FALSE)</f>
        <v>5</v>
      </c>
      <c r="D274" s="9" t="str">
        <f ca="1">VLOOKUP(A274,[2]characters!$A:$H,8,FALSE)</f>
        <v>blue</v>
      </c>
      <c r="E274" s="24">
        <f ca="1">VLOOKUP(D274,[2]属性!$A:$E,2,FALSE)</f>
        <v>1</v>
      </c>
      <c r="F274" s="24">
        <f ca="1">VLOOKUP(D274,[2]属性!$A:$E,3,FALSE)</f>
        <v>0.98</v>
      </c>
      <c r="G274" s="24">
        <f ca="1">VLOOKUP(D274,[2]属性!$A:$F,4,FALSE)</f>
        <v>1</v>
      </c>
      <c r="H274" s="9" t="str">
        <f ca="1">VLOOKUP(A274,[2]characters!$A:$K,11,FALSE)</f>
        <v>technical</v>
      </c>
      <c r="I274" s="14" t="str">
        <f ca="1">VLOOKUP(H274,[2]character_type_i18n!$A:$F,3,FALSE)</f>
        <v>テクニカルタイプ</v>
      </c>
      <c r="J274" s="36">
        <f ca="1">VLOOKUP(H274,[2]character_type_i18n!$A:$F,4,FALSE)</f>
        <v>0.9</v>
      </c>
      <c r="K274" s="36">
        <f ca="1">VLOOKUP(H274,[2]character_type_i18n!$A:$F,5,FALSE)</f>
        <v>0.9</v>
      </c>
      <c r="L274" s="36">
        <f ca="1">VLOOKUP(H274,[2]character_type_i18n!$A:$F,6,FALSE)</f>
        <v>1</v>
      </c>
      <c r="M274" s="9" t="str">
        <f ca="1">VLOOKUP(A274,[2]characters!$A:$M,13,FALSE)</f>
        <v>human</v>
      </c>
      <c r="N274" s="14" t="str">
        <f ca="1">VLOOKUP(M274,[2]character_tribe_i18n!$A:$F,3,FALSE)</f>
        <v>ヒューマン</v>
      </c>
      <c r="O274" s="24">
        <f ca="1">VLOOKUP(M274,[2]character_tribe_i18n!$A:$F,4,FALSE)</f>
        <v>0.94</v>
      </c>
      <c r="P274" s="24">
        <f ca="1">VLOOKUP(M274,[2]character_tribe_i18n!$A:$F,5,FALSE)</f>
        <v>0.99</v>
      </c>
      <c r="Q274" s="24">
        <f ca="1">VLOOKUP(M274,[2]character_tribe_i18n!$A:$F,6,FALSE)</f>
        <v>1</v>
      </c>
      <c r="R274" s="25" t="s">
        <v>4</v>
      </c>
      <c r="S274" s="24">
        <f>VLOOKUP($R274,ラベル別係数!$A$1:$E$7,3,FALSE)</f>
        <v>5</v>
      </c>
      <c r="T274" s="24">
        <f>VLOOKUP($R274,ラベル別係数!$A$1:$E$7,4,FALSE)</f>
        <v>1.3</v>
      </c>
      <c r="U274" s="24">
        <f>VLOOKUP($R274,ラベル別係数!$A$1:$E$7,5,FALSE)</f>
        <v>0.8</v>
      </c>
      <c r="V274" s="27">
        <v>2</v>
      </c>
      <c r="W274" s="28">
        <f>VLOOKUP(V274,ターン数別攻撃係数!$A$1:$B$1000,2,FALSE)</f>
        <v>0.75</v>
      </c>
      <c r="X274" s="10">
        <v>60</v>
      </c>
      <c r="Y274" s="26">
        <f>VLOOKUP($X274,サイズ別係数!$B:$E,2,FALSE)</f>
        <v>1.7</v>
      </c>
      <c r="Z274" s="26">
        <f>VLOOKUP($X274,サイズ別係数!$B:$E,3,FALSE)</f>
        <v>1.4</v>
      </c>
      <c r="AA274" s="26">
        <f>VLOOKUP($X274,サイズ別係数!$B:$E,4,FALSE)</f>
        <v>1</v>
      </c>
      <c r="AB274" s="5">
        <v>272</v>
      </c>
      <c r="AC274" s="34" t="str">
        <f ca="1">VLOOKUP($AB274,OFFSET([3]enemy_skill_sets!$B$2,0,0,COUNTA([3]enemy_skill_sets!$A:$A),MATCH(AC$1,[3]enemy_skill_sets!$1:$1,0)-MATCH($AB$1,[3]enemy_skill_sets!$1:$1,0)+1),MATCH(AC$1,[3]enemy_skill_sets!$1:$1,0)-MATCH($AB$1,[3]enemy_skill_sets!$1:$1,0)+1,FALSE)</f>
        <v>お邪魔パネル出現</v>
      </c>
      <c r="AD274" s="27">
        <v>1</v>
      </c>
      <c r="AE274" s="37">
        <v>1</v>
      </c>
      <c r="AF274" s="37">
        <v>0</v>
      </c>
      <c r="AG274" s="28">
        <f ca="1">ROUND(VLOOKUP(1,enemy_base_stats!$A:$F,2,FALSE) * Y274* J274*O274*E274*S274*AD274*[2]ステータス!$B$2,0)</f>
        <v>3596</v>
      </c>
      <c r="AH274" s="28">
        <f ca="1">ROUND(VLOOKUP(1,enemy_base_stats!$A:$F,3,FALSE) * Z274*K274*P274*F274*T274*AE274 * W274*[2]ステータス!$C$2,0)</f>
        <v>179</v>
      </c>
      <c r="AI274" s="28">
        <f ca="1">ROUND(VLOOKUP(1,enemy_base_stats!$A:$F,4,FALSE) * AA274*L274*Q274*G274*U274*AF274*[2]ステータス!$D$2,0)</f>
        <v>0</v>
      </c>
      <c r="AJ274" s="28">
        <f ca="1">ROUND(VLOOKUP(100,enemy_base_stats!$A:$F,2,FALSE) * Y274* J274*O274*E274*S274*AD274*[2]ステータス!$B$2,0)</f>
        <v>145977</v>
      </c>
      <c r="AK274" s="28">
        <f ca="1">ROUND(VLOOKUP(100,enemy_base_stats!$A:$F,3,FALSE)* Z274* K274*P274*F274*T274*AE274 * W274*[2]ステータス!$C$2,0)</f>
        <v>7259</v>
      </c>
      <c r="AL274" s="28">
        <f ca="1">ROUND(VLOOKUP(100,enemy_base_stats!$A:$F,4,FALSE)* AA274* L274*Q274*G274*U274*AF274*[2]ステータス!$D$2,0)</f>
        <v>0</v>
      </c>
      <c r="AM274" s="24">
        <f ca="1">VLOOKUP(M274,[2]character_tribe_i18n!$A:$I,9,FALSE)</f>
        <v>400</v>
      </c>
      <c r="AN274" s="36">
        <v>0</v>
      </c>
      <c r="AO274" s="53">
        <v>0</v>
      </c>
      <c r="AP274" s="58" t="s">
        <v>72</v>
      </c>
      <c r="AQ274" s="71">
        <f t="shared" ca="1" si="8"/>
        <v>273</v>
      </c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8"/>
      <c r="BC274" s="18"/>
      <c r="BD274" s="18"/>
      <c r="BE274" s="18"/>
      <c r="BF274" s="18"/>
      <c r="BG274" s="18"/>
      <c r="BH274" s="18"/>
    </row>
    <row r="275" spans="1:60" s="3" customFormat="1" ht="21" customHeight="1" x14ac:dyDescent="0.15">
      <c r="A275" s="7">
        <f t="shared" ca="1" si="9"/>
        <v>274</v>
      </c>
      <c r="B275" s="6" t="str">
        <f ca="1">VLOOKUP(A275,[2]characters!$A:$C,3,FALSE)</f>
        <v>砕棒のガエル</v>
      </c>
      <c r="C275" s="9">
        <f ca="1">VLOOKUP(A275,[2]characters!$A:$I,9,FALSE)</f>
        <v>4</v>
      </c>
      <c r="D275" s="9" t="str">
        <f ca="1">VLOOKUP(A275,[2]characters!$A:$H,8,FALSE)</f>
        <v>yellow</v>
      </c>
      <c r="E275" s="24">
        <f ca="1">VLOOKUP(D275,[2]属性!$A:$E,2,FALSE)</f>
        <v>0.98</v>
      </c>
      <c r="F275" s="24">
        <f ca="1">VLOOKUP(D275,[2]属性!$A:$E,3,FALSE)</f>
        <v>1.01</v>
      </c>
      <c r="G275" s="24">
        <f ca="1">VLOOKUP(D275,[2]属性!$A:$F,4,FALSE)</f>
        <v>1</v>
      </c>
      <c r="H275" s="9" t="str">
        <f ca="1">VLOOKUP(A275,[2]characters!$A:$K,11,FALSE)</f>
        <v>attack</v>
      </c>
      <c r="I275" s="14" t="str">
        <f ca="1">VLOOKUP(H275,[2]character_type_i18n!$A:$F,3,FALSE)</f>
        <v>攻撃タイプ</v>
      </c>
      <c r="J275" s="36">
        <f ca="1">VLOOKUP(H275,[2]character_type_i18n!$A:$F,4,FALSE)</f>
        <v>1</v>
      </c>
      <c r="K275" s="36">
        <f ca="1">VLOOKUP(H275,[2]character_type_i18n!$A:$F,5,FALSE)</f>
        <v>1.33</v>
      </c>
      <c r="L275" s="36">
        <f ca="1">VLOOKUP(H275,[2]character_type_i18n!$A:$F,6,FALSE)</f>
        <v>1</v>
      </c>
      <c r="M275" s="9" t="str">
        <f ca="1">VLOOKUP(A275,[2]characters!$A:$M,13,FALSE)</f>
        <v>human</v>
      </c>
      <c r="N275" s="14" t="str">
        <f ca="1">VLOOKUP(M275,[2]character_tribe_i18n!$A:$F,3,FALSE)</f>
        <v>ヒューマン</v>
      </c>
      <c r="O275" s="24">
        <f ca="1">VLOOKUP(M275,[2]character_tribe_i18n!$A:$F,4,FALSE)</f>
        <v>0.94</v>
      </c>
      <c r="P275" s="24">
        <f ca="1">VLOOKUP(M275,[2]character_tribe_i18n!$A:$F,5,FALSE)</f>
        <v>0.99</v>
      </c>
      <c r="Q275" s="24">
        <f ca="1">VLOOKUP(M275,[2]character_tribe_i18n!$A:$F,6,FALSE)</f>
        <v>1</v>
      </c>
      <c r="R275" s="25" t="s">
        <v>4</v>
      </c>
      <c r="S275" s="24">
        <f>VLOOKUP($R275,ラベル別係数!$A$1:$E$7,3,FALSE)</f>
        <v>5</v>
      </c>
      <c r="T275" s="24">
        <f>VLOOKUP($R275,ラベル別係数!$A$1:$E$7,4,FALSE)</f>
        <v>1.3</v>
      </c>
      <c r="U275" s="24">
        <f>VLOOKUP($R275,ラベル別係数!$A$1:$E$7,5,FALSE)</f>
        <v>0.8</v>
      </c>
      <c r="V275" s="27">
        <v>2</v>
      </c>
      <c r="W275" s="28">
        <f>VLOOKUP(V275,ターン数別攻撃係数!$A$1:$B$1000,2,FALSE)</f>
        <v>0.75</v>
      </c>
      <c r="X275" s="10">
        <v>30</v>
      </c>
      <c r="Y275" s="26">
        <f>VLOOKUP($X275,サイズ別係数!$B:$E,2,FALSE)</f>
        <v>1.3</v>
      </c>
      <c r="Z275" s="26">
        <f>VLOOKUP($X275,サイズ別係数!$B:$E,3,FALSE)</f>
        <v>1.3</v>
      </c>
      <c r="AA275" s="26">
        <f>VLOOKUP($X275,サイズ別係数!$B:$E,4,FALSE)</f>
        <v>1.1000000000000001</v>
      </c>
      <c r="AB275" s="5">
        <v>274</v>
      </c>
      <c r="AC275" s="34" t="str">
        <f ca="1">VLOOKUP($AB275,OFFSET([3]enemy_skill_sets!$B$2,0,0,COUNTA([3]enemy_skill_sets!$A:$A),MATCH(AC$1,[3]enemy_skill_sets!$1:$1,0)-MATCH($AB$1,[3]enemy_skill_sets!$1:$1,0)+1),MATCH(AC$1,[3]enemy_skill_sets!$1:$1,0)-MATCH($AB$1,[3]enemy_skill_sets!$1:$1,0)+1,FALSE)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275" s="27">
        <v>1</v>
      </c>
      <c r="AE275" s="37">
        <v>1</v>
      </c>
      <c r="AF275" s="37">
        <v>0</v>
      </c>
      <c r="AG275" s="28">
        <f ca="1">ROUND(VLOOKUP(1,enemy_base_stats!$A:$F,2,FALSE) * Y275* J275*O275*E275*S275*AD275*[2]ステータス!$B$2,0)</f>
        <v>2994</v>
      </c>
      <c r="AH275" s="28">
        <f ca="1">ROUND(VLOOKUP(1,enemy_base_stats!$A:$F,3,FALSE) * Z275*K275*P275*F275*T275*AE275 * W275*[2]ステータス!$C$2,0)</f>
        <v>253</v>
      </c>
      <c r="AI275" s="28">
        <f ca="1">ROUND(VLOOKUP(1,enemy_base_stats!$A:$F,4,FALSE) * AA275*L275*Q275*G275*U275*AF275*[2]ステータス!$D$2,0)</f>
        <v>0</v>
      </c>
      <c r="AJ275" s="28">
        <f ca="1">ROUND(VLOOKUP(100,enemy_base_stats!$A:$F,2,FALSE) * Y275* J275*O275*E275*S275*AD275*[2]ステータス!$B$2,0)</f>
        <v>121552</v>
      </c>
      <c r="AK275" s="28">
        <f ca="1">ROUND(VLOOKUP(100,enemy_base_stats!$A:$F,3,FALSE)* Z275* K275*P275*F275*T275*AE275 * W275*[2]ステータス!$C$2,0)</f>
        <v>10265</v>
      </c>
      <c r="AL275" s="28">
        <f ca="1">ROUND(VLOOKUP(100,enemy_base_stats!$A:$F,4,FALSE)* AA275* L275*Q275*G275*U275*AF275*[2]ステータス!$D$2,0)</f>
        <v>0</v>
      </c>
      <c r="AM275" s="24">
        <f ca="1">VLOOKUP(M275,[2]character_tribe_i18n!$A:$I,9,FALSE)</f>
        <v>400</v>
      </c>
      <c r="AN275" s="36">
        <v>0</v>
      </c>
      <c r="AO275" s="53">
        <v>0</v>
      </c>
      <c r="AP275" s="58" t="s">
        <v>72</v>
      </c>
      <c r="AQ275" s="71">
        <f t="shared" ca="1" si="8"/>
        <v>274</v>
      </c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8"/>
      <c r="BC275" s="18"/>
      <c r="BD275" s="18"/>
      <c r="BE275" s="18"/>
      <c r="BF275" s="18"/>
      <c r="BG275" s="18"/>
      <c r="BH275" s="18"/>
    </row>
    <row r="276" spans="1:60" s="3" customFormat="1" ht="21" customHeight="1" x14ac:dyDescent="0.15">
      <c r="A276" s="7">
        <f t="shared" ca="1" si="9"/>
        <v>275</v>
      </c>
      <c r="B276" s="6" t="str">
        <f ca="1">VLOOKUP(A276,[2]characters!$A:$C,3,FALSE)</f>
        <v>轟雷砕棒 ガエル</v>
      </c>
      <c r="C276" s="9">
        <f ca="1">VLOOKUP(A276,[2]characters!$A:$I,9,FALSE)</f>
        <v>5</v>
      </c>
      <c r="D276" s="9" t="str">
        <f ca="1">VLOOKUP(A276,[2]characters!$A:$H,8,FALSE)</f>
        <v>yellow</v>
      </c>
      <c r="E276" s="24">
        <f ca="1">VLOOKUP(D276,[2]属性!$A:$E,2,FALSE)</f>
        <v>0.98</v>
      </c>
      <c r="F276" s="24">
        <f ca="1">VLOOKUP(D276,[2]属性!$A:$E,3,FALSE)</f>
        <v>1.01</v>
      </c>
      <c r="G276" s="24">
        <f ca="1">VLOOKUP(D276,[2]属性!$A:$F,4,FALSE)</f>
        <v>1</v>
      </c>
      <c r="H276" s="9" t="str">
        <f ca="1">VLOOKUP(A276,[2]characters!$A:$K,11,FALSE)</f>
        <v>attack</v>
      </c>
      <c r="I276" s="14" t="str">
        <f ca="1">VLOOKUP(H276,[2]character_type_i18n!$A:$F,3,FALSE)</f>
        <v>攻撃タイプ</v>
      </c>
      <c r="J276" s="36">
        <f ca="1">VLOOKUP(H276,[2]character_type_i18n!$A:$F,4,FALSE)</f>
        <v>1</v>
      </c>
      <c r="K276" s="36">
        <f ca="1">VLOOKUP(H276,[2]character_type_i18n!$A:$F,5,FALSE)</f>
        <v>1.33</v>
      </c>
      <c r="L276" s="36">
        <f ca="1">VLOOKUP(H276,[2]character_type_i18n!$A:$F,6,FALSE)</f>
        <v>1</v>
      </c>
      <c r="M276" s="9" t="str">
        <f ca="1">VLOOKUP(A276,[2]characters!$A:$M,13,FALSE)</f>
        <v>human</v>
      </c>
      <c r="N276" s="14" t="str">
        <f ca="1">VLOOKUP(M276,[2]character_tribe_i18n!$A:$F,3,FALSE)</f>
        <v>ヒューマン</v>
      </c>
      <c r="O276" s="24">
        <f ca="1">VLOOKUP(M276,[2]character_tribe_i18n!$A:$F,4,FALSE)</f>
        <v>0.94</v>
      </c>
      <c r="P276" s="24">
        <f ca="1">VLOOKUP(M276,[2]character_tribe_i18n!$A:$F,5,FALSE)</f>
        <v>0.99</v>
      </c>
      <c r="Q276" s="24">
        <f ca="1">VLOOKUP(M276,[2]character_tribe_i18n!$A:$F,6,FALSE)</f>
        <v>1</v>
      </c>
      <c r="R276" s="25" t="s">
        <v>4</v>
      </c>
      <c r="S276" s="24">
        <f>VLOOKUP($R276,ラベル別係数!$A$1:$E$7,3,FALSE)</f>
        <v>5</v>
      </c>
      <c r="T276" s="24">
        <f>VLOOKUP($R276,ラベル別係数!$A$1:$E$7,4,FALSE)</f>
        <v>1.3</v>
      </c>
      <c r="U276" s="24">
        <f>VLOOKUP($R276,ラベル別係数!$A$1:$E$7,5,FALSE)</f>
        <v>0.8</v>
      </c>
      <c r="V276" s="27">
        <v>2</v>
      </c>
      <c r="W276" s="28">
        <f>VLOOKUP(V276,ターン数別攻撃係数!$A$1:$B$1000,2,FALSE)</f>
        <v>0.75</v>
      </c>
      <c r="X276" s="10">
        <v>60</v>
      </c>
      <c r="Y276" s="26">
        <f>VLOOKUP($X276,サイズ別係数!$B:$E,2,FALSE)</f>
        <v>1.7</v>
      </c>
      <c r="Z276" s="26">
        <f>VLOOKUP($X276,サイズ別係数!$B:$E,3,FALSE)</f>
        <v>1.4</v>
      </c>
      <c r="AA276" s="26">
        <f>VLOOKUP($X276,サイズ別係数!$B:$E,4,FALSE)</f>
        <v>1</v>
      </c>
      <c r="AB276" s="5">
        <v>275</v>
      </c>
      <c r="AC276" s="34" t="str">
        <f ca="1">VLOOKUP($AB276,OFFSET([3]enemy_skill_sets!$B$2,0,0,COUNTA([3]enemy_skill_sets!$A:$A),MATCH(AC$1,[3]enemy_skill_sets!$1:$1,0)-MATCH($AB$1,[3]enemy_skill_sets!$1:$1,0)+1),MATCH(AC$1,[3]enemy_skill_sets!$1:$1,0)-MATCH($AB$1,[3]enemy_skill_sets!$1:$1,0)+1,FALSE)</f>
        <v>次のターン強力な攻撃</v>
      </c>
      <c r="AD276" s="27">
        <v>1</v>
      </c>
      <c r="AE276" s="37">
        <v>1</v>
      </c>
      <c r="AF276" s="37">
        <v>0</v>
      </c>
      <c r="AG276" s="28">
        <f ca="1">ROUND(VLOOKUP(1,enemy_base_stats!$A:$F,2,FALSE) * Y276* J276*O276*E276*S276*AD276*[2]ステータス!$B$2,0)</f>
        <v>3915</v>
      </c>
      <c r="AH276" s="28">
        <f ca="1">ROUND(VLOOKUP(1,enemy_base_stats!$A:$F,3,FALSE) * Z276*K276*P276*F276*T276*AE276 * W276*[2]ステータス!$C$2,0)</f>
        <v>272</v>
      </c>
      <c r="AI276" s="28">
        <f ca="1">ROUND(VLOOKUP(1,enemy_base_stats!$A:$F,4,FALSE) * AA276*L276*Q276*G276*U276*AF276*[2]ステータス!$D$2,0)</f>
        <v>0</v>
      </c>
      <c r="AJ276" s="28">
        <f ca="1">ROUND(VLOOKUP(100,enemy_base_stats!$A:$F,2,FALSE) * Y276* J276*O276*E276*S276*AD276*[2]ステータス!$B$2,0)</f>
        <v>158953</v>
      </c>
      <c r="AK276" s="28">
        <f ca="1">ROUND(VLOOKUP(100,enemy_base_stats!$A:$F,3,FALSE)* Z276* K276*P276*F276*T276*AE276 * W276*[2]ステータス!$C$2,0)</f>
        <v>11055</v>
      </c>
      <c r="AL276" s="28">
        <f ca="1">ROUND(VLOOKUP(100,enemy_base_stats!$A:$F,4,FALSE)* AA276* L276*Q276*G276*U276*AF276*[2]ステータス!$D$2,0)</f>
        <v>0</v>
      </c>
      <c r="AM276" s="24">
        <f ca="1">VLOOKUP(M276,[2]character_tribe_i18n!$A:$I,9,FALSE)</f>
        <v>400</v>
      </c>
      <c r="AN276" s="36">
        <v>0</v>
      </c>
      <c r="AO276" s="53">
        <v>0</v>
      </c>
      <c r="AP276" s="58" t="s">
        <v>72</v>
      </c>
      <c r="AQ276" s="71">
        <f t="shared" ca="1" si="8"/>
        <v>275</v>
      </c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</row>
    <row r="277" spans="1:60" s="3" customFormat="1" ht="21" customHeight="1" x14ac:dyDescent="0.15">
      <c r="A277" s="7">
        <f t="shared" ca="1" si="9"/>
        <v>276</v>
      </c>
      <c r="B277" s="6" t="str">
        <f ca="1">VLOOKUP(A277,[2]characters!$A:$C,3,FALSE)</f>
        <v>機拳のイリア</v>
      </c>
      <c r="C277" s="9">
        <f ca="1">VLOOKUP(A277,[2]characters!$A:$I,9,FALSE)</f>
        <v>4</v>
      </c>
      <c r="D277" s="9" t="str">
        <f ca="1">VLOOKUP(A277,[2]characters!$A:$H,8,FALSE)</f>
        <v>red</v>
      </c>
      <c r="E277" s="24">
        <f ca="1">VLOOKUP(D277,[2]属性!$A:$E,2,FALSE)</f>
        <v>1</v>
      </c>
      <c r="F277" s="24">
        <f ca="1">VLOOKUP(D277,[2]属性!$A:$E,3,FALSE)</f>
        <v>1.02</v>
      </c>
      <c r="G277" s="24">
        <f ca="1">VLOOKUP(D277,[2]属性!$A:$F,4,FALSE)</f>
        <v>1</v>
      </c>
      <c r="H277" s="9" t="str">
        <f ca="1">VLOOKUP(A277,[2]characters!$A:$K,11,FALSE)</f>
        <v>balance</v>
      </c>
      <c r="I277" s="14" t="str">
        <f ca="1">VLOOKUP(H277,[2]character_type_i18n!$A:$F,3,FALSE)</f>
        <v>バランスタイプ</v>
      </c>
      <c r="J277" s="36">
        <f ca="1">VLOOKUP(H277,[2]character_type_i18n!$A:$F,4,FALSE)</f>
        <v>1</v>
      </c>
      <c r="K277" s="36">
        <f ca="1">VLOOKUP(H277,[2]character_type_i18n!$A:$F,5,FALSE)</f>
        <v>1</v>
      </c>
      <c r="L277" s="36">
        <f ca="1">VLOOKUP(H277,[2]character_type_i18n!$A:$F,6,FALSE)</f>
        <v>1</v>
      </c>
      <c r="M277" s="9" t="str">
        <f ca="1">VLOOKUP(A277,[2]characters!$A:$M,13,FALSE)</f>
        <v>human</v>
      </c>
      <c r="N277" s="14" t="str">
        <f ca="1">VLOOKUP(M277,[2]character_tribe_i18n!$A:$F,3,FALSE)</f>
        <v>ヒューマン</v>
      </c>
      <c r="O277" s="24">
        <f ca="1">VLOOKUP(M277,[2]character_tribe_i18n!$A:$F,4,FALSE)</f>
        <v>0.94</v>
      </c>
      <c r="P277" s="24">
        <f ca="1">VLOOKUP(M277,[2]character_tribe_i18n!$A:$F,5,FALSE)</f>
        <v>0.99</v>
      </c>
      <c r="Q277" s="24">
        <f ca="1">VLOOKUP(M277,[2]character_tribe_i18n!$A:$F,6,FALSE)</f>
        <v>1</v>
      </c>
      <c r="R277" s="25" t="s">
        <v>4</v>
      </c>
      <c r="S277" s="24">
        <f>VLOOKUP($R277,ラベル別係数!$A$1:$E$7,3,FALSE)</f>
        <v>5</v>
      </c>
      <c r="T277" s="24">
        <f>VLOOKUP($R277,ラベル別係数!$A$1:$E$7,4,FALSE)</f>
        <v>1.3</v>
      </c>
      <c r="U277" s="24">
        <f>VLOOKUP($R277,ラベル別係数!$A$1:$E$7,5,FALSE)</f>
        <v>0.8</v>
      </c>
      <c r="V277" s="27">
        <v>2</v>
      </c>
      <c r="W277" s="28">
        <f>VLOOKUP(V277,ターン数別攻撃係数!$A$1:$B$1000,2,FALSE)</f>
        <v>0.75</v>
      </c>
      <c r="X277" s="10">
        <v>30</v>
      </c>
      <c r="Y277" s="26">
        <f>VLOOKUP($X277,サイズ別係数!$B:$E,2,FALSE)</f>
        <v>1.3</v>
      </c>
      <c r="Z277" s="26">
        <f>VLOOKUP($X277,サイズ別係数!$B:$E,3,FALSE)</f>
        <v>1.3</v>
      </c>
      <c r="AA277" s="26">
        <f>VLOOKUP($X277,サイズ別係数!$B:$E,4,FALSE)</f>
        <v>1.1000000000000001</v>
      </c>
      <c r="AB277" s="5">
        <v>276</v>
      </c>
      <c r="AC277" s="34" t="str">
        <f ca="1">VLOOKUP($AB277,OFFSET([3]enemy_skill_sets!$B$2,0,0,COUNTA([3]enemy_skill_sets!$A:$A),MATCH(AC$1,[3]enemy_skill_sets!$1:$1,0)-MATCH($AB$1,[3]enemy_skill_sets!$1:$1,0)+1),MATCH(AC$1,[3]enemy_skill_sets!$1:$1,0)-MATCH($AB$1,[3]enemy_skill_sets!$1:$1,0)+1,FALSE)</f>
        <v>どうしたらよいのか分からないようだ</v>
      </c>
      <c r="AD277" s="27">
        <v>1</v>
      </c>
      <c r="AE277" s="37">
        <v>1</v>
      </c>
      <c r="AF277" s="37">
        <v>0</v>
      </c>
      <c r="AG277" s="28">
        <f ca="1">ROUND(VLOOKUP(1,enemy_base_stats!$A:$F,2,FALSE) * Y277* J277*O277*E277*S277*AD277*[2]ステータス!$B$2,0)</f>
        <v>3055</v>
      </c>
      <c r="AH277" s="28">
        <f ca="1">ROUND(VLOOKUP(1,enemy_base_stats!$A:$F,3,FALSE) * Z277*K277*P277*F277*T277*AE277 * W277*[2]ステータス!$C$2,0)</f>
        <v>192</v>
      </c>
      <c r="AI277" s="28">
        <f ca="1">ROUND(VLOOKUP(1,enemy_base_stats!$A:$F,4,FALSE) * AA277*L277*Q277*G277*U277*AF277*[2]ステータス!$D$2,0)</f>
        <v>0</v>
      </c>
      <c r="AJ277" s="28">
        <f ca="1">ROUND(VLOOKUP(100,enemy_base_stats!$A:$F,2,FALSE) * Y277* J277*O277*E277*S277*AD277*[2]ステータス!$B$2,0)</f>
        <v>124033</v>
      </c>
      <c r="AK277" s="28">
        <f ca="1">ROUND(VLOOKUP(100,enemy_base_stats!$A:$F,3,FALSE)* Z277* K277*P277*F277*T277*AE277 * W277*[2]ステータス!$C$2,0)</f>
        <v>7795</v>
      </c>
      <c r="AL277" s="28">
        <f ca="1">ROUND(VLOOKUP(100,enemy_base_stats!$A:$F,4,FALSE)* AA277* L277*Q277*G277*U277*AF277*[2]ステータス!$D$2,0)</f>
        <v>0</v>
      </c>
      <c r="AM277" s="24">
        <f ca="1">VLOOKUP(M277,[2]character_tribe_i18n!$A:$I,9,FALSE)</f>
        <v>400</v>
      </c>
      <c r="AN277" s="36">
        <v>0</v>
      </c>
      <c r="AO277" s="53">
        <v>0</v>
      </c>
      <c r="AP277" s="58" t="s">
        <v>72</v>
      </c>
      <c r="AQ277" s="71">
        <f t="shared" ca="1" si="8"/>
        <v>276</v>
      </c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</row>
    <row r="278" spans="1:60" s="3" customFormat="1" ht="21" customHeight="1" x14ac:dyDescent="0.15">
      <c r="A278" s="7">
        <f t="shared" ca="1" si="9"/>
        <v>277</v>
      </c>
      <c r="B278" s="6" t="str">
        <f ca="1">VLOOKUP(A278,[2]characters!$A:$C,3,FALSE)</f>
        <v>機拳恐慌 イリア</v>
      </c>
      <c r="C278" s="9">
        <f ca="1">VLOOKUP(A278,[2]characters!$A:$I,9,FALSE)</f>
        <v>5</v>
      </c>
      <c r="D278" s="9" t="str">
        <f ca="1">VLOOKUP(A278,[2]characters!$A:$H,8,FALSE)</f>
        <v>red</v>
      </c>
      <c r="E278" s="24">
        <f ca="1">VLOOKUP(D278,[2]属性!$A:$E,2,FALSE)</f>
        <v>1</v>
      </c>
      <c r="F278" s="24">
        <f ca="1">VLOOKUP(D278,[2]属性!$A:$E,3,FALSE)</f>
        <v>1.02</v>
      </c>
      <c r="G278" s="24">
        <f ca="1">VLOOKUP(D278,[2]属性!$A:$F,4,FALSE)</f>
        <v>1</v>
      </c>
      <c r="H278" s="9" t="str">
        <f ca="1">VLOOKUP(A278,[2]characters!$A:$K,11,FALSE)</f>
        <v>balance</v>
      </c>
      <c r="I278" s="14" t="str">
        <f ca="1">VLOOKUP(H278,[2]character_type_i18n!$A:$F,3,FALSE)</f>
        <v>バランスタイプ</v>
      </c>
      <c r="J278" s="36">
        <f ca="1">VLOOKUP(H278,[2]character_type_i18n!$A:$F,4,FALSE)</f>
        <v>1</v>
      </c>
      <c r="K278" s="36">
        <f ca="1">VLOOKUP(H278,[2]character_type_i18n!$A:$F,5,FALSE)</f>
        <v>1</v>
      </c>
      <c r="L278" s="36">
        <f ca="1">VLOOKUP(H278,[2]character_type_i18n!$A:$F,6,FALSE)</f>
        <v>1</v>
      </c>
      <c r="M278" s="9" t="str">
        <f ca="1">VLOOKUP(A278,[2]characters!$A:$M,13,FALSE)</f>
        <v>human</v>
      </c>
      <c r="N278" s="14" t="str">
        <f ca="1">VLOOKUP(M278,[2]character_tribe_i18n!$A:$F,3,FALSE)</f>
        <v>ヒューマン</v>
      </c>
      <c r="O278" s="24">
        <f ca="1">VLOOKUP(M278,[2]character_tribe_i18n!$A:$F,4,FALSE)</f>
        <v>0.94</v>
      </c>
      <c r="P278" s="24">
        <f ca="1">VLOOKUP(M278,[2]character_tribe_i18n!$A:$F,5,FALSE)</f>
        <v>0.99</v>
      </c>
      <c r="Q278" s="24">
        <f ca="1">VLOOKUP(M278,[2]character_tribe_i18n!$A:$F,6,FALSE)</f>
        <v>1</v>
      </c>
      <c r="R278" s="25" t="s">
        <v>4</v>
      </c>
      <c r="S278" s="24">
        <f>VLOOKUP($R278,ラベル別係数!$A$1:$E$7,3,FALSE)</f>
        <v>5</v>
      </c>
      <c r="T278" s="24">
        <f>VLOOKUP($R278,ラベル別係数!$A$1:$E$7,4,FALSE)</f>
        <v>1.3</v>
      </c>
      <c r="U278" s="24">
        <f>VLOOKUP($R278,ラベル別係数!$A$1:$E$7,5,FALSE)</f>
        <v>0.8</v>
      </c>
      <c r="V278" s="27">
        <v>2</v>
      </c>
      <c r="W278" s="28">
        <f>VLOOKUP(V278,ターン数別攻撃係数!$A$1:$B$1000,2,FALSE)</f>
        <v>0.75</v>
      </c>
      <c r="X278" s="10">
        <v>60</v>
      </c>
      <c r="Y278" s="26">
        <f>VLOOKUP($X278,サイズ別係数!$B:$E,2,FALSE)</f>
        <v>1.7</v>
      </c>
      <c r="Z278" s="26">
        <f>VLOOKUP($X278,サイズ別係数!$B:$E,3,FALSE)</f>
        <v>1.4</v>
      </c>
      <c r="AA278" s="26">
        <f>VLOOKUP($X278,サイズ別係数!$B:$E,4,FALSE)</f>
        <v>1</v>
      </c>
      <c r="AB278" s="5">
        <v>277</v>
      </c>
      <c r="AC278" s="34" t="str">
        <f ca="1">VLOOKUP($AB278,OFFSET([3]enemy_skill_sets!$B$2,0,0,COUNTA([3]enemy_skill_sets!$A:$A),MATCH(AC$1,[3]enemy_skill_sets!$1:$1,0)-MATCH($AB$1,[3]enemy_skill_sets!$1:$1,0)+1),MATCH(AC$1,[3]enemy_skill_sets!$1:$1,0)-MATCH($AB$1,[3]enemy_skill_sets!$1:$1,0)+1,FALSE)</f>
        <v>攻撃頻度が1ターンにUP</v>
      </c>
      <c r="AD278" s="27">
        <v>1</v>
      </c>
      <c r="AE278" s="37">
        <v>1</v>
      </c>
      <c r="AF278" s="37">
        <v>0</v>
      </c>
      <c r="AG278" s="28">
        <f ca="1">ROUND(VLOOKUP(1,enemy_base_stats!$A:$F,2,FALSE) * Y278* J278*O278*E278*S278*AD278*[2]ステータス!$B$2,0)</f>
        <v>3995</v>
      </c>
      <c r="AH278" s="28">
        <f ca="1">ROUND(VLOOKUP(1,enemy_base_stats!$A:$F,3,FALSE) * Z278*K278*P278*F278*T278*AE278 * W278*[2]ステータス!$C$2,0)</f>
        <v>207</v>
      </c>
      <c r="AI278" s="28">
        <f ca="1">ROUND(VLOOKUP(1,enemy_base_stats!$A:$F,4,FALSE) * AA278*L278*Q278*G278*U278*AF278*[2]ステータス!$D$2,0)</f>
        <v>0</v>
      </c>
      <c r="AJ278" s="28">
        <f ca="1">ROUND(VLOOKUP(100,enemy_base_stats!$A:$F,2,FALSE) * Y278* J278*O278*E278*S278*AD278*[2]ステータス!$B$2,0)</f>
        <v>162197</v>
      </c>
      <c r="AK278" s="28">
        <f ca="1">ROUND(VLOOKUP(100,enemy_base_stats!$A:$F,3,FALSE)* Z278* K278*P278*F278*T278*AE278 * W278*[2]ステータス!$C$2,0)</f>
        <v>8394</v>
      </c>
      <c r="AL278" s="28">
        <f ca="1">ROUND(VLOOKUP(100,enemy_base_stats!$A:$F,4,FALSE)* AA278* L278*Q278*G278*U278*AF278*[2]ステータス!$D$2,0)</f>
        <v>0</v>
      </c>
      <c r="AM278" s="24">
        <f ca="1">VLOOKUP(M278,[2]character_tribe_i18n!$A:$I,9,FALSE)</f>
        <v>400</v>
      </c>
      <c r="AN278" s="36">
        <v>0</v>
      </c>
      <c r="AO278" s="53">
        <v>0</v>
      </c>
      <c r="AP278" s="58" t="s">
        <v>72</v>
      </c>
      <c r="AQ278" s="71">
        <f t="shared" ca="1" si="8"/>
        <v>277</v>
      </c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8"/>
      <c r="BC278" s="18"/>
      <c r="BD278" s="18"/>
      <c r="BE278" s="18"/>
      <c r="BF278" s="18"/>
      <c r="BG278" s="18"/>
      <c r="BH278" s="18"/>
    </row>
    <row r="279" spans="1:60" s="3" customFormat="1" ht="21" customHeight="1" x14ac:dyDescent="0.15">
      <c r="A279" s="7">
        <f t="shared" ca="1" si="9"/>
        <v>278</v>
      </c>
      <c r="B279" s="6" t="str">
        <f ca="1">VLOOKUP(A279,[2]characters!$A:$C,3,FALSE)</f>
        <v>アマテラス</v>
      </c>
      <c r="C279" s="9">
        <f ca="1">VLOOKUP(A279,[2]characters!$A:$I,9,FALSE)</f>
        <v>4</v>
      </c>
      <c r="D279" s="9" t="str">
        <f ca="1">VLOOKUP(A279,[2]characters!$A:$H,8,FALSE)</f>
        <v>red</v>
      </c>
      <c r="E279" s="24">
        <f ca="1">VLOOKUP(D279,[2]属性!$A:$E,2,FALSE)</f>
        <v>1</v>
      </c>
      <c r="F279" s="24">
        <f ca="1">VLOOKUP(D279,[2]属性!$A:$E,3,FALSE)</f>
        <v>1.02</v>
      </c>
      <c r="G279" s="24">
        <f ca="1">VLOOKUP(D279,[2]属性!$A:$F,4,FALSE)</f>
        <v>1</v>
      </c>
      <c r="H279" s="9" t="str">
        <f ca="1">VLOOKUP(A279,[2]characters!$A:$K,11,FALSE)</f>
        <v>attack</v>
      </c>
      <c r="I279" s="14" t="str">
        <f ca="1">VLOOKUP(H279,[2]character_type_i18n!$A:$F,3,FALSE)</f>
        <v>攻撃タイプ</v>
      </c>
      <c r="J279" s="36">
        <f ca="1">VLOOKUP(H279,[2]character_type_i18n!$A:$F,4,FALSE)</f>
        <v>1</v>
      </c>
      <c r="K279" s="36">
        <f ca="1">VLOOKUP(H279,[2]character_type_i18n!$A:$F,5,FALSE)</f>
        <v>1.33</v>
      </c>
      <c r="L279" s="36">
        <f ca="1">VLOOKUP(H279,[2]character_type_i18n!$A:$F,6,FALSE)</f>
        <v>1</v>
      </c>
      <c r="M279" s="9" t="str">
        <f ca="1">VLOOKUP(A279,[2]characters!$A:$M,13,FALSE)</f>
        <v>god</v>
      </c>
      <c r="N279" s="14" t="str">
        <f ca="1">VLOOKUP(M279,[2]character_tribe_i18n!$A:$F,3,FALSE)</f>
        <v>ゴッド</v>
      </c>
      <c r="O279" s="24">
        <f ca="1">VLOOKUP(M279,[2]character_tribe_i18n!$A:$F,4,FALSE)</f>
        <v>0.96</v>
      </c>
      <c r="P279" s="24">
        <f ca="1">VLOOKUP(M279,[2]character_tribe_i18n!$A:$F,5,FALSE)</f>
        <v>1.02</v>
      </c>
      <c r="Q279" s="24">
        <f ca="1">VLOOKUP(M279,[2]character_tribe_i18n!$A:$F,6,FALSE)</f>
        <v>1</v>
      </c>
      <c r="R279" s="25" t="s">
        <v>4</v>
      </c>
      <c r="S279" s="24">
        <f>VLOOKUP($R279,ラベル別係数!$A$1:$E$7,3,FALSE)</f>
        <v>5</v>
      </c>
      <c r="T279" s="24">
        <f>VLOOKUP($R279,ラベル別係数!$A$1:$E$7,4,FALSE)</f>
        <v>1.3</v>
      </c>
      <c r="U279" s="24">
        <f>VLOOKUP($R279,ラベル別係数!$A$1:$E$7,5,FALSE)</f>
        <v>0.8</v>
      </c>
      <c r="V279" s="27">
        <v>2</v>
      </c>
      <c r="W279" s="28">
        <f>VLOOKUP(V279,ターン数別攻撃係数!$A$1:$B$1000,2,FALSE)</f>
        <v>0.75</v>
      </c>
      <c r="X279" s="10">
        <v>30</v>
      </c>
      <c r="Y279" s="26">
        <f>VLOOKUP($X279,サイズ別係数!$B:$E,2,FALSE)</f>
        <v>1.3</v>
      </c>
      <c r="Z279" s="26">
        <f>VLOOKUP($X279,サイズ別係数!$B:$E,3,FALSE)</f>
        <v>1.3</v>
      </c>
      <c r="AA279" s="26">
        <f>VLOOKUP($X279,サイズ別係数!$B:$E,4,FALSE)</f>
        <v>1.1000000000000001</v>
      </c>
      <c r="AB279" s="5">
        <v>278</v>
      </c>
      <c r="AC279" s="34" t="str">
        <f ca="1">VLOOKUP($AB279,OFFSET([3]enemy_skill_sets!$B$2,0,0,COUNTA([3]enemy_skill_sets!$A:$A),MATCH(AC$1,[3]enemy_skill_sets!$1:$1,0)-MATCH($AB$1,[3]enemy_skill_sets!$1:$1,0)+1),MATCH(AC$1,[3]enemy_skill_sets!$1:$1,0)-MATCH($AB$1,[3]enemy_skill_sets!$1:$1,0)+1,FALSE)</f>
        <v>解除するまで防御力超絶UP＆攻撃力UP</v>
      </c>
      <c r="AD279" s="27">
        <v>1</v>
      </c>
      <c r="AE279" s="37">
        <v>1</v>
      </c>
      <c r="AF279" s="37">
        <v>0</v>
      </c>
      <c r="AG279" s="28">
        <f ca="1">ROUND(VLOOKUP(1,enemy_base_stats!$A:$F,2,FALSE) * Y279* J279*O279*E279*S279*AD279*[2]ステータス!$B$2,0)</f>
        <v>3120</v>
      </c>
      <c r="AH279" s="28">
        <f ca="1">ROUND(VLOOKUP(1,enemy_base_stats!$A:$F,3,FALSE) * Z279*K279*P279*F279*T279*AE279 * W279*[2]ステータス!$C$2,0)</f>
        <v>263</v>
      </c>
      <c r="AI279" s="28">
        <f ca="1">ROUND(VLOOKUP(1,enemy_base_stats!$A:$F,4,FALSE) * AA279*L279*Q279*G279*U279*AF279*[2]ステータス!$D$2,0)</f>
        <v>0</v>
      </c>
      <c r="AJ279" s="28">
        <f ca="1">ROUND(VLOOKUP(100,enemy_base_stats!$A:$F,2,FALSE) * Y279* J279*O279*E279*S279*AD279*[2]ステータス!$B$2,0)</f>
        <v>126672</v>
      </c>
      <c r="AK279" s="28">
        <f ca="1">ROUND(VLOOKUP(100,enemy_base_stats!$A:$F,3,FALSE)* Z279* K279*P279*F279*T279*AE279 * W279*[2]ステータス!$C$2,0)</f>
        <v>10681</v>
      </c>
      <c r="AL279" s="28">
        <f ca="1">ROUND(VLOOKUP(100,enemy_base_stats!$A:$F,4,FALSE)* AA279* L279*Q279*G279*U279*AF279*[2]ステータス!$D$2,0)</f>
        <v>0</v>
      </c>
      <c r="AM279" s="24">
        <f ca="1">VLOOKUP(M279,[2]character_tribe_i18n!$A:$I,9,FALSE)</f>
        <v>680</v>
      </c>
      <c r="AN279" s="36">
        <v>0</v>
      </c>
      <c r="AO279" s="53">
        <v>0</v>
      </c>
      <c r="AP279" s="58" t="s">
        <v>72</v>
      </c>
      <c r="AQ279" s="71">
        <f t="shared" ca="1" si="8"/>
        <v>278</v>
      </c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</row>
    <row r="280" spans="1:60" s="3" customFormat="1" ht="21" customHeight="1" x14ac:dyDescent="0.15">
      <c r="A280" s="7">
        <f t="shared" ca="1" si="9"/>
        <v>279</v>
      </c>
      <c r="B280" s="6" t="str">
        <f ca="1">VLOOKUP(A280,[2]characters!$A:$C,3,FALSE)</f>
        <v>統空大神 アマテラス</v>
      </c>
      <c r="C280" s="9">
        <f ca="1">VLOOKUP(A280,[2]characters!$A:$I,9,FALSE)</f>
        <v>5</v>
      </c>
      <c r="D280" s="9" t="str">
        <f ca="1">VLOOKUP(A280,[2]characters!$A:$H,8,FALSE)</f>
        <v>red</v>
      </c>
      <c r="E280" s="24">
        <f ca="1">VLOOKUP(D280,[2]属性!$A:$E,2,FALSE)</f>
        <v>1</v>
      </c>
      <c r="F280" s="24">
        <f ca="1">VLOOKUP(D280,[2]属性!$A:$E,3,FALSE)</f>
        <v>1.02</v>
      </c>
      <c r="G280" s="24">
        <f ca="1">VLOOKUP(D280,[2]属性!$A:$F,4,FALSE)</f>
        <v>1</v>
      </c>
      <c r="H280" s="9" t="str">
        <f ca="1">VLOOKUP(A280,[2]characters!$A:$K,11,FALSE)</f>
        <v>attack</v>
      </c>
      <c r="I280" s="14" t="str">
        <f ca="1">VLOOKUP(H280,[2]character_type_i18n!$A:$F,3,FALSE)</f>
        <v>攻撃タイプ</v>
      </c>
      <c r="J280" s="36">
        <f ca="1">VLOOKUP(H280,[2]character_type_i18n!$A:$F,4,FALSE)</f>
        <v>1</v>
      </c>
      <c r="K280" s="36">
        <f ca="1">VLOOKUP(H280,[2]character_type_i18n!$A:$F,5,FALSE)</f>
        <v>1.33</v>
      </c>
      <c r="L280" s="36">
        <f ca="1">VLOOKUP(H280,[2]character_type_i18n!$A:$F,6,FALSE)</f>
        <v>1</v>
      </c>
      <c r="M280" s="9" t="str">
        <f ca="1">VLOOKUP(A280,[2]characters!$A:$M,13,FALSE)</f>
        <v>god</v>
      </c>
      <c r="N280" s="14" t="str">
        <f ca="1">VLOOKUP(M280,[2]character_tribe_i18n!$A:$F,3,FALSE)</f>
        <v>ゴッド</v>
      </c>
      <c r="O280" s="24">
        <f ca="1">VLOOKUP(M280,[2]character_tribe_i18n!$A:$F,4,FALSE)</f>
        <v>0.96</v>
      </c>
      <c r="P280" s="24">
        <f ca="1">VLOOKUP(M280,[2]character_tribe_i18n!$A:$F,5,FALSE)</f>
        <v>1.02</v>
      </c>
      <c r="Q280" s="24">
        <f ca="1">VLOOKUP(M280,[2]character_tribe_i18n!$A:$F,6,FALSE)</f>
        <v>1</v>
      </c>
      <c r="R280" s="25" t="s">
        <v>4</v>
      </c>
      <c r="S280" s="24">
        <f>VLOOKUP($R280,ラベル別係数!$A$1:$E$7,3,FALSE)</f>
        <v>5</v>
      </c>
      <c r="T280" s="24">
        <f>VLOOKUP($R280,ラベル別係数!$A$1:$E$7,4,FALSE)</f>
        <v>1.3</v>
      </c>
      <c r="U280" s="24">
        <f>VLOOKUP($R280,ラベル別係数!$A$1:$E$7,5,FALSE)</f>
        <v>0.8</v>
      </c>
      <c r="V280" s="27">
        <v>2</v>
      </c>
      <c r="W280" s="28">
        <f>VLOOKUP(V280,ターン数別攻撃係数!$A$1:$B$1000,2,FALSE)</f>
        <v>0.75</v>
      </c>
      <c r="X280" s="10">
        <v>60</v>
      </c>
      <c r="Y280" s="26">
        <f>VLOOKUP($X280,サイズ別係数!$B:$E,2,FALSE)</f>
        <v>1.7</v>
      </c>
      <c r="Z280" s="26">
        <f>VLOOKUP($X280,サイズ別係数!$B:$E,3,FALSE)</f>
        <v>1.4</v>
      </c>
      <c r="AA280" s="26">
        <f>VLOOKUP($X280,サイズ別係数!$B:$E,4,FALSE)</f>
        <v>1</v>
      </c>
      <c r="AB280" s="5">
        <v>278</v>
      </c>
      <c r="AC280" s="34" t="str">
        <f ca="1">VLOOKUP($AB280,OFFSET([3]enemy_skill_sets!$B$2,0,0,COUNTA([3]enemy_skill_sets!$A:$A),MATCH(AC$1,[3]enemy_skill_sets!$1:$1,0)-MATCH($AB$1,[3]enemy_skill_sets!$1:$1,0)+1),MATCH(AC$1,[3]enemy_skill_sets!$1:$1,0)-MATCH($AB$1,[3]enemy_skill_sets!$1:$1,0)+1,FALSE)</f>
        <v>解除するまで防御力超絶UP＆攻撃力UP</v>
      </c>
      <c r="AD280" s="27">
        <v>1</v>
      </c>
      <c r="AE280" s="37">
        <v>1</v>
      </c>
      <c r="AF280" s="37">
        <v>0</v>
      </c>
      <c r="AG280" s="28">
        <f ca="1">ROUND(VLOOKUP(1,enemy_base_stats!$A:$F,2,FALSE) * Y280* J280*O280*E280*S280*AD280*[2]ステータス!$B$2,0)</f>
        <v>4080</v>
      </c>
      <c r="AH280" s="28">
        <f ca="1">ROUND(VLOOKUP(1,enemy_base_stats!$A:$F,3,FALSE) * Z280*K280*P280*F280*T280*AE280 * W280*[2]ステータス!$C$2,0)</f>
        <v>283</v>
      </c>
      <c r="AI280" s="28">
        <f ca="1">ROUND(VLOOKUP(1,enemy_base_stats!$A:$F,4,FALSE) * AA280*L280*Q280*G280*U280*AF280*[2]ステータス!$D$2,0)</f>
        <v>0</v>
      </c>
      <c r="AJ280" s="28">
        <f ca="1">ROUND(VLOOKUP(100,enemy_base_stats!$A:$F,2,FALSE) * Y280* J280*O280*E280*S280*AD280*[2]ステータス!$B$2,0)</f>
        <v>165648</v>
      </c>
      <c r="AK280" s="28">
        <f ca="1">ROUND(VLOOKUP(100,enemy_base_stats!$A:$F,3,FALSE)* Z280* K280*P280*F280*T280*AE280 * W280*[2]ステータス!$C$2,0)</f>
        <v>11503</v>
      </c>
      <c r="AL280" s="28">
        <f ca="1">ROUND(VLOOKUP(100,enemy_base_stats!$A:$F,4,FALSE)* AA280* L280*Q280*G280*U280*AF280*[2]ステータス!$D$2,0)</f>
        <v>0</v>
      </c>
      <c r="AM280" s="24">
        <f ca="1">VLOOKUP(M280,[2]character_tribe_i18n!$A:$I,9,FALSE)</f>
        <v>680</v>
      </c>
      <c r="AN280" s="36">
        <v>0</v>
      </c>
      <c r="AO280" s="53">
        <v>0</v>
      </c>
      <c r="AP280" s="58" t="s">
        <v>72</v>
      </c>
      <c r="AQ280" s="71">
        <f t="shared" ca="1" si="8"/>
        <v>279</v>
      </c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</row>
    <row r="281" spans="1:60" s="3" customFormat="1" ht="21" customHeight="1" x14ac:dyDescent="0.15">
      <c r="A281" s="7">
        <f t="shared" ca="1" si="9"/>
        <v>280</v>
      </c>
      <c r="B281" s="6" t="str">
        <f ca="1">VLOOKUP(A281,[2]characters!$A:$C,3,FALSE)</f>
        <v>リンドブルム</v>
      </c>
      <c r="C281" s="9">
        <f ca="1">VLOOKUP(A281,[2]characters!$A:$I,9,FALSE)</f>
        <v>3</v>
      </c>
      <c r="D281" s="9" t="str">
        <f ca="1">VLOOKUP(A281,[2]characters!$A:$H,8,FALSE)</f>
        <v>green</v>
      </c>
      <c r="E281" s="24">
        <f ca="1">VLOOKUP(D281,[2]属性!$A:$E,2,FALSE)</f>
        <v>1.02</v>
      </c>
      <c r="F281" s="24">
        <f ca="1">VLOOKUP(D281,[2]属性!$A:$E,3,FALSE)</f>
        <v>0.98</v>
      </c>
      <c r="G281" s="24">
        <f ca="1">VLOOKUP(D281,[2]属性!$A:$F,4,FALSE)</f>
        <v>1</v>
      </c>
      <c r="H281" s="9" t="str">
        <f ca="1">VLOOKUP(A281,[2]characters!$A:$K,11,FALSE)</f>
        <v>attack</v>
      </c>
      <c r="I281" s="14" t="str">
        <f ca="1">VLOOKUP(H281,[2]character_type_i18n!$A:$F,3,FALSE)</f>
        <v>攻撃タイプ</v>
      </c>
      <c r="J281" s="36">
        <f ca="1">VLOOKUP(H281,[2]character_type_i18n!$A:$F,4,FALSE)</f>
        <v>1</v>
      </c>
      <c r="K281" s="36">
        <f ca="1">VLOOKUP(H281,[2]character_type_i18n!$A:$F,5,FALSE)</f>
        <v>1.33</v>
      </c>
      <c r="L281" s="36">
        <f ca="1">VLOOKUP(H281,[2]character_type_i18n!$A:$F,6,FALSE)</f>
        <v>1</v>
      </c>
      <c r="M281" s="9" t="str">
        <f ca="1">VLOOKUP(A281,[2]characters!$A:$M,13,FALSE)</f>
        <v>dragon</v>
      </c>
      <c r="N281" s="14" t="str">
        <f ca="1">VLOOKUP(M281,[2]character_tribe_i18n!$A:$F,3,FALSE)</f>
        <v>ドラゴン</v>
      </c>
      <c r="O281" s="24">
        <f ca="1">VLOOKUP(M281,[2]character_tribe_i18n!$A:$F,4,FALSE)</f>
        <v>1.1499999999999999</v>
      </c>
      <c r="P281" s="24">
        <f ca="1">VLOOKUP(M281,[2]character_tribe_i18n!$A:$F,5,FALSE)</f>
        <v>1.1000000000000001</v>
      </c>
      <c r="Q281" s="24">
        <f ca="1">VLOOKUP(M281,[2]character_tribe_i18n!$A:$F,6,FALSE)</f>
        <v>1</v>
      </c>
      <c r="R281" s="25" t="s">
        <v>4</v>
      </c>
      <c r="S281" s="24">
        <f>VLOOKUP($R281,ラベル別係数!$A$1:$E$7,3,FALSE)</f>
        <v>5</v>
      </c>
      <c r="T281" s="24">
        <f>VLOOKUP($R281,ラベル別係数!$A$1:$E$7,4,FALSE)</f>
        <v>1.3</v>
      </c>
      <c r="U281" s="24">
        <f>VLOOKUP($R281,ラベル別係数!$A$1:$E$7,5,FALSE)</f>
        <v>0.8</v>
      </c>
      <c r="V281" s="27">
        <v>2</v>
      </c>
      <c r="W281" s="28">
        <f>VLOOKUP(V281,ターン数別攻撃係数!$A$1:$B$1000,2,FALSE)</f>
        <v>0.75</v>
      </c>
      <c r="X281" s="10">
        <v>20</v>
      </c>
      <c r="Y281" s="26">
        <f>VLOOKUP($X281,サイズ別係数!$B:$E,2,FALSE)</f>
        <v>1.1000000000000001</v>
      </c>
      <c r="Z281" s="26">
        <f>VLOOKUP($X281,サイズ別係数!$B:$E,3,FALSE)</f>
        <v>1.2</v>
      </c>
      <c r="AA281" s="26">
        <f>VLOOKUP($X281,サイズ別係数!$B:$E,4,FALSE)</f>
        <v>1.2</v>
      </c>
      <c r="AB281" s="5">
        <v>0</v>
      </c>
      <c r="AC281" s="34" t="str">
        <f ca="1">VLOOKUP($AB281,OFFSET([3]enemy_skill_sets!$B$2,0,0,COUNTA([3]enemy_skill_sets!$A:$A),MATCH(AC$1,[3]enemy_skill_sets!$1:$1,0)-MATCH($AB$1,[3]enemy_skill_sets!$1:$1,0)+1),MATCH(AC$1,[3]enemy_skill_sets!$1:$1,0)-MATCH($AB$1,[3]enemy_skill_sets!$1:$1,0)+1,FALSE)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81" s="27">
        <v>1</v>
      </c>
      <c r="AE281" s="37">
        <v>1</v>
      </c>
      <c r="AF281" s="37">
        <v>0</v>
      </c>
      <c r="AG281" s="28">
        <f ca="1">ROUND(VLOOKUP(1,enemy_base_stats!$A:$F,2,FALSE) * Y281* J281*O281*E281*S281*AD281*[2]ステータス!$B$2,0)</f>
        <v>3226</v>
      </c>
      <c r="AH281" s="28">
        <f ca="1">ROUND(VLOOKUP(1,enemy_base_stats!$A:$F,3,FALSE) * Z281*K281*P281*F281*T281*AE281 * W281*[2]ステータス!$C$2,0)</f>
        <v>252</v>
      </c>
      <c r="AI281" s="28">
        <f ca="1">ROUND(VLOOKUP(1,enemy_base_stats!$A:$F,4,FALSE) * AA281*L281*Q281*G281*U281*AF281*[2]ステータス!$D$2,0)</f>
        <v>0</v>
      </c>
      <c r="AJ281" s="28">
        <f ca="1">ROUND(VLOOKUP(100,enemy_base_stats!$A:$F,2,FALSE) * Y281* J281*O281*E281*S281*AD281*[2]ステータス!$B$2,0)</f>
        <v>130965</v>
      </c>
      <c r="AK281" s="28">
        <f ca="1">ROUND(VLOOKUP(100,enemy_base_stats!$A:$F,3,FALSE)* Z281* K281*P281*F281*T281*AE281 * W281*[2]ステータス!$C$2,0)</f>
        <v>10216</v>
      </c>
      <c r="AL281" s="28">
        <f ca="1">ROUND(VLOOKUP(100,enemy_base_stats!$A:$F,4,FALSE)* AA281* L281*Q281*G281*U281*AF281*[2]ステータス!$D$2,0)</f>
        <v>0</v>
      </c>
      <c r="AM281" s="24">
        <f ca="1">VLOOKUP(M281,[2]character_tribe_i18n!$A:$I,9,FALSE)</f>
        <v>540</v>
      </c>
      <c r="AN281" s="36">
        <v>0</v>
      </c>
      <c r="AO281" s="53">
        <v>0</v>
      </c>
      <c r="AP281" s="58" t="s">
        <v>72</v>
      </c>
      <c r="AQ281" s="71">
        <f t="shared" ca="1" si="8"/>
        <v>280</v>
      </c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</row>
    <row r="282" spans="1:60" s="3" customFormat="1" ht="21" customHeight="1" x14ac:dyDescent="0.15">
      <c r="A282" s="7">
        <f t="shared" ca="1" si="9"/>
        <v>281</v>
      </c>
      <c r="B282" s="6" t="str">
        <f ca="1">VLOOKUP(A282,[2]characters!$A:$C,3,FALSE)</f>
        <v>リンドブルム・コンデンス</v>
      </c>
      <c r="C282" s="9">
        <f ca="1">VLOOKUP(A282,[2]characters!$A:$I,9,FALSE)</f>
        <v>4</v>
      </c>
      <c r="D282" s="9" t="str">
        <f ca="1">VLOOKUP(A282,[2]characters!$A:$H,8,FALSE)</f>
        <v>green</v>
      </c>
      <c r="E282" s="24">
        <f ca="1">VLOOKUP(D282,[2]属性!$A:$E,2,FALSE)</f>
        <v>1.02</v>
      </c>
      <c r="F282" s="24">
        <f ca="1">VLOOKUP(D282,[2]属性!$A:$E,3,FALSE)</f>
        <v>0.98</v>
      </c>
      <c r="G282" s="24">
        <f ca="1">VLOOKUP(D282,[2]属性!$A:$F,4,FALSE)</f>
        <v>1</v>
      </c>
      <c r="H282" s="9" t="str">
        <f ca="1">VLOOKUP(A282,[2]characters!$A:$K,11,FALSE)</f>
        <v>attack</v>
      </c>
      <c r="I282" s="14" t="str">
        <f ca="1">VLOOKUP(H282,[2]character_type_i18n!$A:$F,3,FALSE)</f>
        <v>攻撃タイプ</v>
      </c>
      <c r="J282" s="36">
        <f ca="1">VLOOKUP(H282,[2]character_type_i18n!$A:$F,4,FALSE)</f>
        <v>1</v>
      </c>
      <c r="K282" s="36">
        <f ca="1">VLOOKUP(H282,[2]character_type_i18n!$A:$F,5,FALSE)</f>
        <v>1.33</v>
      </c>
      <c r="L282" s="36">
        <f ca="1">VLOOKUP(H282,[2]character_type_i18n!$A:$F,6,FALSE)</f>
        <v>1</v>
      </c>
      <c r="M282" s="9" t="str">
        <f ca="1">VLOOKUP(A282,[2]characters!$A:$M,13,FALSE)</f>
        <v>dragon</v>
      </c>
      <c r="N282" s="14" t="str">
        <f ca="1">VLOOKUP(M282,[2]character_tribe_i18n!$A:$F,3,FALSE)</f>
        <v>ドラゴン</v>
      </c>
      <c r="O282" s="24">
        <f ca="1">VLOOKUP(M282,[2]character_tribe_i18n!$A:$F,4,FALSE)</f>
        <v>1.1499999999999999</v>
      </c>
      <c r="P282" s="24">
        <f ca="1">VLOOKUP(M282,[2]character_tribe_i18n!$A:$F,5,FALSE)</f>
        <v>1.1000000000000001</v>
      </c>
      <c r="Q282" s="24">
        <f ca="1">VLOOKUP(M282,[2]character_tribe_i18n!$A:$F,6,FALSE)</f>
        <v>1</v>
      </c>
      <c r="R282" s="25" t="s">
        <v>4</v>
      </c>
      <c r="S282" s="24">
        <f>VLOOKUP($R282,ラベル別係数!$A$1:$E$7,3,FALSE)</f>
        <v>5</v>
      </c>
      <c r="T282" s="24">
        <f>VLOOKUP($R282,ラベル別係数!$A$1:$E$7,4,FALSE)</f>
        <v>1.3</v>
      </c>
      <c r="U282" s="24">
        <f>VLOOKUP($R282,ラベル別係数!$A$1:$E$7,5,FALSE)</f>
        <v>0.8</v>
      </c>
      <c r="V282" s="27">
        <v>2</v>
      </c>
      <c r="W282" s="28">
        <f>VLOOKUP(V282,ターン数別攻撃係数!$A$1:$B$1000,2,FALSE)</f>
        <v>0.75</v>
      </c>
      <c r="X282" s="10">
        <v>30</v>
      </c>
      <c r="Y282" s="26">
        <f>VLOOKUP($X282,サイズ別係数!$B:$E,2,FALSE)</f>
        <v>1.3</v>
      </c>
      <c r="Z282" s="26">
        <f>VLOOKUP($X282,サイズ別係数!$B:$E,3,FALSE)</f>
        <v>1.3</v>
      </c>
      <c r="AA282" s="26">
        <f>VLOOKUP($X282,サイズ別係数!$B:$E,4,FALSE)</f>
        <v>1.1000000000000001</v>
      </c>
      <c r="AB282" s="5">
        <v>0</v>
      </c>
      <c r="AC282" s="34" t="str">
        <f ca="1">VLOOKUP($AB282,OFFSET([3]enemy_skill_sets!$B$2,0,0,COUNTA([3]enemy_skill_sets!$A:$A),MATCH(AC$1,[3]enemy_skill_sets!$1:$1,0)-MATCH($AB$1,[3]enemy_skill_sets!$1:$1,0)+1),MATCH(AC$1,[3]enemy_skill_sets!$1:$1,0)-MATCH($AB$1,[3]enemy_skill_sets!$1:$1,0)+1,FALSE)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82" s="27">
        <v>1</v>
      </c>
      <c r="AE282" s="37">
        <v>1</v>
      </c>
      <c r="AF282" s="37">
        <v>0</v>
      </c>
      <c r="AG282" s="28">
        <f ca="1">ROUND(VLOOKUP(1,enemy_base_stats!$A:$F,2,FALSE) * Y282* J282*O282*E282*S282*AD282*[2]ステータス!$B$2,0)</f>
        <v>3812</v>
      </c>
      <c r="AH282" s="28">
        <f ca="1">ROUND(VLOOKUP(1,enemy_base_stats!$A:$F,3,FALSE) * Z282*K282*P282*F282*T282*AE282 * W282*[2]ステータス!$C$2,0)</f>
        <v>273</v>
      </c>
      <c r="AI282" s="28">
        <f ca="1">ROUND(VLOOKUP(1,enemy_base_stats!$A:$F,4,FALSE) * AA282*L282*Q282*G282*U282*AF282*[2]ステータス!$D$2,0)</f>
        <v>0</v>
      </c>
      <c r="AJ282" s="28">
        <f ca="1">ROUND(VLOOKUP(100,enemy_base_stats!$A:$F,2,FALSE) * Y282* J282*O282*E282*S282*AD282*[2]ステータス!$B$2,0)</f>
        <v>154777</v>
      </c>
      <c r="AK282" s="28">
        <f ca="1">ROUND(VLOOKUP(100,enemy_base_stats!$A:$F,3,FALSE)* Z282* K282*P282*F282*T282*AE282 * W282*[2]ステータス!$C$2,0)</f>
        <v>11067</v>
      </c>
      <c r="AL282" s="28">
        <f ca="1">ROUND(VLOOKUP(100,enemy_base_stats!$A:$F,4,FALSE)* AA282* L282*Q282*G282*U282*AF282*[2]ステータス!$D$2,0)</f>
        <v>0</v>
      </c>
      <c r="AM282" s="24">
        <f ca="1">VLOOKUP(M282,[2]character_tribe_i18n!$A:$I,9,FALSE)</f>
        <v>540</v>
      </c>
      <c r="AN282" s="36">
        <v>0</v>
      </c>
      <c r="AO282" s="53">
        <v>0</v>
      </c>
      <c r="AP282" s="58" t="s">
        <v>72</v>
      </c>
      <c r="AQ282" s="71">
        <f t="shared" ca="1" si="8"/>
        <v>281</v>
      </c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</row>
    <row r="283" spans="1:60" s="3" customFormat="1" ht="21" customHeight="1" x14ac:dyDescent="0.15">
      <c r="A283" s="7">
        <f t="shared" ca="1" si="9"/>
        <v>282</v>
      </c>
      <c r="B283" s="6" t="str">
        <f ca="1">VLOOKUP(A283,[2]characters!$A:$C,3,FALSE)</f>
        <v>ラーフ</v>
      </c>
      <c r="C283" s="9">
        <f ca="1">VLOOKUP(A283,[2]characters!$A:$I,9,FALSE)</f>
        <v>3</v>
      </c>
      <c r="D283" s="9" t="str">
        <f ca="1">VLOOKUP(A283,[2]characters!$A:$H,8,FALSE)</f>
        <v>blue</v>
      </c>
      <c r="E283" s="24">
        <f ca="1">VLOOKUP(D283,[2]属性!$A:$E,2,FALSE)</f>
        <v>1</v>
      </c>
      <c r="F283" s="24">
        <f ca="1">VLOOKUP(D283,[2]属性!$A:$E,3,FALSE)</f>
        <v>0.98</v>
      </c>
      <c r="G283" s="24">
        <f ca="1">VLOOKUP(D283,[2]属性!$A:$F,4,FALSE)</f>
        <v>1</v>
      </c>
      <c r="H283" s="9" t="str">
        <f ca="1">VLOOKUP(A283,[2]characters!$A:$K,11,FALSE)</f>
        <v>balance</v>
      </c>
      <c r="I283" s="14" t="str">
        <f ca="1">VLOOKUP(H283,[2]character_type_i18n!$A:$F,3,FALSE)</f>
        <v>バランスタイプ</v>
      </c>
      <c r="J283" s="36">
        <f ca="1">VLOOKUP(H283,[2]character_type_i18n!$A:$F,4,FALSE)</f>
        <v>1</v>
      </c>
      <c r="K283" s="36">
        <f ca="1">VLOOKUP(H283,[2]character_type_i18n!$A:$F,5,FALSE)</f>
        <v>1</v>
      </c>
      <c r="L283" s="36">
        <f ca="1">VLOOKUP(H283,[2]character_type_i18n!$A:$F,6,FALSE)</f>
        <v>1</v>
      </c>
      <c r="M283" s="9" t="str">
        <f ca="1">VLOOKUP(A283,[2]characters!$A:$M,13,FALSE)</f>
        <v>dragon</v>
      </c>
      <c r="N283" s="14" t="str">
        <f ca="1">VLOOKUP(M283,[2]character_tribe_i18n!$A:$F,3,FALSE)</f>
        <v>ドラゴン</v>
      </c>
      <c r="O283" s="24">
        <f ca="1">VLOOKUP(M283,[2]character_tribe_i18n!$A:$F,4,FALSE)</f>
        <v>1.1499999999999999</v>
      </c>
      <c r="P283" s="24">
        <f ca="1">VLOOKUP(M283,[2]character_tribe_i18n!$A:$F,5,FALSE)</f>
        <v>1.1000000000000001</v>
      </c>
      <c r="Q283" s="24">
        <f ca="1">VLOOKUP(M283,[2]character_tribe_i18n!$A:$F,6,FALSE)</f>
        <v>1</v>
      </c>
      <c r="R283" s="25" t="s">
        <v>4</v>
      </c>
      <c r="S283" s="24">
        <f>VLOOKUP($R283,ラベル別係数!$A$1:$E$7,3,FALSE)</f>
        <v>5</v>
      </c>
      <c r="T283" s="24">
        <f>VLOOKUP($R283,ラベル別係数!$A$1:$E$7,4,FALSE)</f>
        <v>1.3</v>
      </c>
      <c r="U283" s="24">
        <f>VLOOKUP($R283,ラベル別係数!$A$1:$E$7,5,FALSE)</f>
        <v>0.8</v>
      </c>
      <c r="V283" s="27">
        <v>2</v>
      </c>
      <c r="W283" s="28">
        <f>VLOOKUP(V283,ターン数別攻撃係数!$A$1:$B$1000,2,FALSE)</f>
        <v>0.75</v>
      </c>
      <c r="X283" s="10">
        <v>20</v>
      </c>
      <c r="Y283" s="26">
        <f>VLOOKUP($X283,サイズ別係数!$B:$E,2,FALSE)</f>
        <v>1.1000000000000001</v>
      </c>
      <c r="Z283" s="26">
        <f>VLOOKUP($X283,サイズ別係数!$B:$E,3,FALSE)</f>
        <v>1.2</v>
      </c>
      <c r="AA283" s="26">
        <f>VLOOKUP($X283,サイズ別係数!$B:$E,4,FALSE)</f>
        <v>1.2</v>
      </c>
      <c r="AB283" s="5">
        <v>28201</v>
      </c>
      <c r="AC283" s="34" t="str">
        <f ca="1">VLOOKUP($AB283,OFFSET([3]enemy_skill_sets!$B$2,0,0,COUNTA([3]enemy_skill_sets!$A:$A),MATCH(AC$1,[3]enemy_skill_sets!$1:$1,0)-MATCH($AB$1,[3]enemy_skill_sets!$1:$1,0)+1),MATCH(AC$1,[3]enemy_skill_sets!$1:$1,0)-MATCH($AB$1,[3]enemy_skill_sets!$1:$1,0)+1,FALSE)</f>
        <v>8回連続攻撃</v>
      </c>
      <c r="AD283" s="27">
        <v>1</v>
      </c>
      <c r="AE283" s="37">
        <v>1</v>
      </c>
      <c r="AF283" s="37">
        <v>0</v>
      </c>
      <c r="AG283" s="28">
        <f ca="1">ROUND(VLOOKUP(1,enemy_base_stats!$A:$F,2,FALSE) * Y283* J283*O283*E283*S283*AD283*[2]ステータス!$B$2,0)</f>
        <v>3163</v>
      </c>
      <c r="AH283" s="28">
        <f ca="1">ROUND(VLOOKUP(1,enemy_base_stats!$A:$F,3,FALSE) * Z283*K283*P283*F283*T283*AE283 * W283*[2]ステータス!$C$2,0)</f>
        <v>189</v>
      </c>
      <c r="AI283" s="28">
        <f ca="1">ROUND(VLOOKUP(1,enemy_base_stats!$A:$F,4,FALSE) * AA283*L283*Q283*G283*U283*AF283*[2]ステータス!$D$2,0)</f>
        <v>0</v>
      </c>
      <c r="AJ283" s="28">
        <f ca="1">ROUND(VLOOKUP(100,enemy_base_stats!$A:$F,2,FALSE) * Y283* J283*O283*E283*S283*AD283*[2]ステータス!$B$2,0)</f>
        <v>128398</v>
      </c>
      <c r="AK283" s="28">
        <f ca="1">ROUND(VLOOKUP(100,enemy_base_stats!$A:$F,3,FALSE)* Z283* K283*P283*F283*T283*AE283 * W283*[2]ステータス!$C$2,0)</f>
        <v>7681</v>
      </c>
      <c r="AL283" s="28">
        <f ca="1">ROUND(VLOOKUP(100,enemy_base_stats!$A:$F,4,FALSE)* AA283* L283*Q283*G283*U283*AF283*[2]ステータス!$D$2,0)</f>
        <v>0</v>
      </c>
      <c r="AM283" s="24">
        <f ca="1">VLOOKUP(M283,[2]character_tribe_i18n!$A:$I,9,FALSE)</f>
        <v>540</v>
      </c>
      <c r="AN283" s="36">
        <v>0</v>
      </c>
      <c r="AO283" s="53">
        <v>0</v>
      </c>
      <c r="AP283" s="58" t="s">
        <v>72</v>
      </c>
      <c r="AQ283" s="71">
        <f t="shared" ca="1" si="8"/>
        <v>282</v>
      </c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8"/>
      <c r="BC283" s="18"/>
      <c r="BD283" s="18"/>
      <c r="BE283" s="18"/>
      <c r="BF283" s="18"/>
      <c r="BG283" s="18"/>
      <c r="BH283" s="18"/>
    </row>
    <row r="284" spans="1:60" s="3" customFormat="1" ht="21" customHeight="1" x14ac:dyDescent="0.15">
      <c r="A284" s="7">
        <f t="shared" ca="1" si="9"/>
        <v>283</v>
      </c>
      <c r="B284" s="6" t="str">
        <f ca="1">VLOOKUP(A284,[2]characters!$A:$C,3,FALSE)</f>
        <v>ラーフ・メテオ</v>
      </c>
      <c r="C284" s="9">
        <f ca="1">VLOOKUP(A284,[2]characters!$A:$I,9,FALSE)</f>
        <v>4</v>
      </c>
      <c r="D284" s="9" t="str">
        <f ca="1">VLOOKUP(A284,[2]characters!$A:$H,8,FALSE)</f>
        <v>blue</v>
      </c>
      <c r="E284" s="24">
        <f ca="1">VLOOKUP(D284,[2]属性!$A:$E,2,FALSE)</f>
        <v>1</v>
      </c>
      <c r="F284" s="24">
        <f ca="1">VLOOKUP(D284,[2]属性!$A:$E,3,FALSE)</f>
        <v>0.98</v>
      </c>
      <c r="G284" s="24">
        <f ca="1">VLOOKUP(D284,[2]属性!$A:$F,4,FALSE)</f>
        <v>1</v>
      </c>
      <c r="H284" s="9" t="str">
        <f ca="1">VLOOKUP(A284,[2]characters!$A:$K,11,FALSE)</f>
        <v>balance</v>
      </c>
      <c r="I284" s="14" t="str">
        <f ca="1">VLOOKUP(H284,[2]character_type_i18n!$A:$F,3,FALSE)</f>
        <v>バランスタイプ</v>
      </c>
      <c r="J284" s="36">
        <f ca="1">VLOOKUP(H284,[2]character_type_i18n!$A:$F,4,FALSE)</f>
        <v>1</v>
      </c>
      <c r="K284" s="36">
        <f ca="1">VLOOKUP(H284,[2]character_type_i18n!$A:$F,5,FALSE)</f>
        <v>1</v>
      </c>
      <c r="L284" s="36">
        <f ca="1">VLOOKUP(H284,[2]character_type_i18n!$A:$F,6,FALSE)</f>
        <v>1</v>
      </c>
      <c r="M284" s="9" t="str">
        <f ca="1">VLOOKUP(A284,[2]characters!$A:$M,13,FALSE)</f>
        <v>dragon</v>
      </c>
      <c r="N284" s="14" t="str">
        <f ca="1">VLOOKUP(M284,[2]character_tribe_i18n!$A:$F,3,FALSE)</f>
        <v>ドラゴン</v>
      </c>
      <c r="O284" s="24">
        <f ca="1">VLOOKUP(M284,[2]character_tribe_i18n!$A:$F,4,FALSE)</f>
        <v>1.1499999999999999</v>
      </c>
      <c r="P284" s="24">
        <f ca="1">VLOOKUP(M284,[2]character_tribe_i18n!$A:$F,5,FALSE)</f>
        <v>1.1000000000000001</v>
      </c>
      <c r="Q284" s="24">
        <f ca="1">VLOOKUP(M284,[2]character_tribe_i18n!$A:$F,6,FALSE)</f>
        <v>1</v>
      </c>
      <c r="R284" s="25" t="s">
        <v>4</v>
      </c>
      <c r="S284" s="24">
        <f>VLOOKUP($R284,ラベル別係数!$A$1:$E$7,3,FALSE)</f>
        <v>5</v>
      </c>
      <c r="T284" s="24">
        <f>VLOOKUP($R284,ラベル別係数!$A$1:$E$7,4,FALSE)</f>
        <v>1.3</v>
      </c>
      <c r="U284" s="24">
        <f>VLOOKUP($R284,ラベル別係数!$A$1:$E$7,5,FALSE)</f>
        <v>0.8</v>
      </c>
      <c r="V284" s="27">
        <v>2</v>
      </c>
      <c r="W284" s="28">
        <f>VLOOKUP(V284,ターン数別攻撃係数!$A$1:$B$1000,2,FALSE)</f>
        <v>0.75</v>
      </c>
      <c r="X284" s="10">
        <v>30</v>
      </c>
      <c r="Y284" s="26">
        <f>VLOOKUP($X284,サイズ別係数!$B:$E,2,FALSE)</f>
        <v>1.3</v>
      </c>
      <c r="Z284" s="26">
        <f>VLOOKUP($X284,サイズ別係数!$B:$E,3,FALSE)</f>
        <v>1.3</v>
      </c>
      <c r="AA284" s="26">
        <f>VLOOKUP($X284,サイズ別係数!$B:$E,4,FALSE)</f>
        <v>1.1000000000000001</v>
      </c>
      <c r="AB284" s="5">
        <v>28202</v>
      </c>
      <c r="AC284" s="34" t="str">
        <f ca="1">VLOOKUP($AB284,OFFSET([3]enemy_skill_sets!$B$2,0,0,COUNTA([3]enemy_skill_sets!$A:$A),MATCH(AC$1,[3]enemy_skill_sets!$1:$1,0)-MATCH($AB$1,[3]enemy_skill_sets!$1:$1,0)+1),MATCH(AC$1,[3]enemy_skill_sets!$1:$1,0)-MATCH($AB$1,[3]enemy_skill_sets!$1:$1,0)+1,FALSE)</f>
        <v>8回連続攻撃</v>
      </c>
      <c r="AD284" s="27">
        <v>1</v>
      </c>
      <c r="AE284" s="37">
        <v>1</v>
      </c>
      <c r="AF284" s="37">
        <v>0</v>
      </c>
      <c r="AG284" s="28">
        <f ca="1">ROUND(VLOOKUP(1,enemy_base_stats!$A:$F,2,FALSE) * Y284* J284*O284*E284*S284*AD284*[2]ステータス!$B$2,0)</f>
        <v>3738</v>
      </c>
      <c r="AH284" s="28">
        <f ca="1">ROUND(VLOOKUP(1,enemy_base_stats!$A:$F,3,FALSE) * Z284*K284*P284*F284*T284*AE284 * W284*[2]ステータス!$C$2,0)</f>
        <v>205</v>
      </c>
      <c r="AI284" s="28">
        <f ca="1">ROUND(VLOOKUP(1,enemy_base_stats!$A:$F,4,FALSE) * AA284*L284*Q284*G284*U284*AF284*[2]ステータス!$D$2,0)</f>
        <v>0</v>
      </c>
      <c r="AJ284" s="28">
        <f ca="1">ROUND(VLOOKUP(100,enemy_base_stats!$A:$F,2,FALSE) * Y284* J284*O284*E284*S284*AD284*[2]ステータス!$B$2,0)</f>
        <v>151743</v>
      </c>
      <c r="AK284" s="28">
        <f ca="1">ROUND(VLOOKUP(100,enemy_base_stats!$A:$F,3,FALSE)* Z284* K284*P284*F284*T284*AE284 * W284*[2]ステータス!$C$2,0)</f>
        <v>8321</v>
      </c>
      <c r="AL284" s="28">
        <f ca="1">ROUND(VLOOKUP(100,enemy_base_stats!$A:$F,4,FALSE)* AA284* L284*Q284*G284*U284*AF284*[2]ステータス!$D$2,0)</f>
        <v>0</v>
      </c>
      <c r="AM284" s="24">
        <f ca="1">VLOOKUP(M284,[2]character_tribe_i18n!$A:$I,9,FALSE)</f>
        <v>540</v>
      </c>
      <c r="AN284" s="36">
        <v>0</v>
      </c>
      <c r="AO284" s="53">
        <v>0</v>
      </c>
      <c r="AP284" s="58" t="s">
        <v>72</v>
      </c>
      <c r="AQ284" s="71">
        <f t="shared" ca="1" si="8"/>
        <v>283</v>
      </c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</row>
    <row r="285" spans="1:60" s="3" customFormat="1" ht="21" customHeight="1" x14ac:dyDescent="0.15">
      <c r="A285" s="7">
        <f t="shared" ca="1" si="9"/>
        <v>284</v>
      </c>
      <c r="B285" s="6" t="str">
        <f ca="1">VLOOKUP(A285,[2]characters!$A:$C,3,FALSE)</f>
        <v>フェルニゲシュ</v>
      </c>
      <c r="C285" s="9">
        <f ca="1">VLOOKUP(A285,[2]characters!$A:$I,9,FALSE)</f>
        <v>3</v>
      </c>
      <c r="D285" s="9" t="str">
        <f ca="1">VLOOKUP(A285,[2]characters!$A:$H,8,FALSE)</f>
        <v>yellow</v>
      </c>
      <c r="E285" s="24">
        <f ca="1">VLOOKUP(D285,[2]属性!$A:$E,2,FALSE)</f>
        <v>0.98</v>
      </c>
      <c r="F285" s="24">
        <f ca="1">VLOOKUP(D285,[2]属性!$A:$E,3,FALSE)</f>
        <v>1.01</v>
      </c>
      <c r="G285" s="24">
        <f ca="1">VLOOKUP(D285,[2]属性!$A:$F,4,FALSE)</f>
        <v>1</v>
      </c>
      <c r="H285" s="9" t="str">
        <f ca="1">VLOOKUP(A285,[2]characters!$A:$K,11,FALSE)</f>
        <v>technical</v>
      </c>
      <c r="I285" s="14" t="str">
        <f ca="1">VLOOKUP(H285,[2]character_type_i18n!$A:$F,3,FALSE)</f>
        <v>テクニカルタイプ</v>
      </c>
      <c r="J285" s="36">
        <f ca="1">VLOOKUP(H285,[2]character_type_i18n!$A:$F,4,FALSE)</f>
        <v>0.9</v>
      </c>
      <c r="K285" s="36">
        <f ca="1">VLOOKUP(H285,[2]character_type_i18n!$A:$F,5,FALSE)</f>
        <v>0.9</v>
      </c>
      <c r="L285" s="36">
        <f ca="1">VLOOKUP(H285,[2]character_type_i18n!$A:$F,6,FALSE)</f>
        <v>1</v>
      </c>
      <c r="M285" s="9" t="str">
        <f ca="1">VLOOKUP(A285,[2]characters!$A:$M,13,FALSE)</f>
        <v>dragon</v>
      </c>
      <c r="N285" s="14" t="str">
        <f ca="1">VLOOKUP(M285,[2]character_tribe_i18n!$A:$F,3,FALSE)</f>
        <v>ドラゴン</v>
      </c>
      <c r="O285" s="24">
        <f ca="1">VLOOKUP(M285,[2]character_tribe_i18n!$A:$F,4,FALSE)</f>
        <v>1.1499999999999999</v>
      </c>
      <c r="P285" s="24">
        <f ca="1">VLOOKUP(M285,[2]character_tribe_i18n!$A:$F,5,FALSE)</f>
        <v>1.1000000000000001</v>
      </c>
      <c r="Q285" s="24">
        <f ca="1">VLOOKUP(M285,[2]character_tribe_i18n!$A:$F,6,FALSE)</f>
        <v>1</v>
      </c>
      <c r="R285" s="25" t="s">
        <v>4</v>
      </c>
      <c r="S285" s="24">
        <f>VLOOKUP($R285,ラベル別係数!$A$1:$E$7,3,FALSE)</f>
        <v>5</v>
      </c>
      <c r="T285" s="24">
        <f>VLOOKUP($R285,ラベル別係数!$A$1:$E$7,4,FALSE)</f>
        <v>1.3</v>
      </c>
      <c r="U285" s="24">
        <f>VLOOKUP($R285,ラベル別係数!$A$1:$E$7,5,FALSE)</f>
        <v>0.8</v>
      </c>
      <c r="V285" s="27">
        <v>2</v>
      </c>
      <c r="W285" s="28">
        <f>VLOOKUP(V285,ターン数別攻撃係数!$A$1:$B$1000,2,FALSE)</f>
        <v>0.75</v>
      </c>
      <c r="X285" s="10">
        <v>20</v>
      </c>
      <c r="Y285" s="26">
        <f>VLOOKUP($X285,サイズ別係数!$B:$E,2,FALSE)</f>
        <v>1.1000000000000001</v>
      </c>
      <c r="Z285" s="26">
        <f>VLOOKUP($X285,サイズ別係数!$B:$E,3,FALSE)</f>
        <v>1.2</v>
      </c>
      <c r="AA285" s="26">
        <f>VLOOKUP($X285,サイズ別係数!$B:$E,4,FALSE)</f>
        <v>1.2</v>
      </c>
      <c r="AB285" s="5">
        <v>0</v>
      </c>
      <c r="AC285" s="34" t="str">
        <f ca="1">VLOOKUP($AB285,OFFSET([3]enemy_skill_sets!$B$2,0,0,COUNTA([3]enemy_skill_sets!$A:$A),MATCH(AC$1,[3]enemy_skill_sets!$1:$1,0)-MATCH($AB$1,[3]enemy_skill_sets!$1:$1,0)+1),MATCH(AC$1,[3]enemy_skill_sets!$1:$1,0)-MATCH($AB$1,[3]enemy_skill_sets!$1:$1,0)+1,FALSE)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85" s="27">
        <v>1</v>
      </c>
      <c r="AE285" s="37">
        <v>1</v>
      </c>
      <c r="AF285" s="37">
        <v>0</v>
      </c>
      <c r="AG285" s="28">
        <f ca="1">ROUND(VLOOKUP(1,enemy_base_stats!$A:$F,2,FALSE) * Y285* J285*O285*E285*S285*AD285*[2]ステータス!$B$2,0)</f>
        <v>2789</v>
      </c>
      <c r="AH285" s="28">
        <f ca="1">ROUND(VLOOKUP(1,enemy_base_stats!$A:$F,3,FALSE) * Z285*K285*P285*F285*T285*AE285 * W285*[2]ステータス!$C$2,0)</f>
        <v>175</v>
      </c>
      <c r="AI285" s="28">
        <f ca="1">ROUND(VLOOKUP(1,enemy_base_stats!$A:$F,4,FALSE) * AA285*L285*Q285*G285*U285*AF285*[2]ステータス!$D$2,0)</f>
        <v>0</v>
      </c>
      <c r="AJ285" s="28">
        <f ca="1">ROUND(VLOOKUP(100,enemy_base_stats!$A:$F,2,FALSE) * Y285* J285*O285*E285*S285*AD285*[2]ステータス!$B$2,0)</f>
        <v>113247</v>
      </c>
      <c r="AK285" s="28">
        <f ca="1">ROUND(VLOOKUP(100,enemy_base_stats!$A:$F,3,FALSE)* Z285* K285*P285*F285*T285*AE285 * W285*[2]ステータス!$C$2,0)</f>
        <v>7125</v>
      </c>
      <c r="AL285" s="28">
        <f ca="1">ROUND(VLOOKUP(100,enemy_base_stats!$A:$F,4,FALSE)* AA285* L285*Q285*G285*U285*AF285*[2]ステータス!$D$2,0)</f>
        <v>0</v>
      </c>
      <c r="AM285" s="24">
        <f ca="1">VLOOKUP(M285,[2]character_tribe_i18n!$A:$I,9,FALSE)</f>
        <v>540</v>
      </c>
      <c r="AN285" s="36">
        <v>0</v>
      </c>
      <c r="AO285" s="53">
        <v>0</v>
      </c>
      <c r="AP285" s="58" t="s">
        <v>72</v>
      </c>
      <c r="AQ285" s="71">
        <f t="shared" ca="1" si="8"/>
        <v>284</v>
      </c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</row>
    <row r="286" spans="1:60" s="3" customFormat="1" ht="21" customHeight="1" x14ac:dyDescent="0.15">
      <c r="A286" s="7">
        <f t="shared" ca="1" si="9"/>
        <v>285</v>
      </c>
      <c r="B286" s="6" t="str">
        <f ca="1">VLOOKUP(A286,[2]characters!$A:$C,3,FALSE)</f>
        <v>フェルニゲシュ・オーバードライヴ</v>
      </c>
      <c r="C286" s="9">
        <f ca="1">VLOOKUP(A286,[2]characters!$A:$I,9,FALSE)</f>
        <v>4</v>
      </c>
      <c r="D286" s="9" t="str">
        <f ca="1">VLOOKUP(A286,[2]characters!$A:$H,8,FALSE)</f>
        <v>yellow</v>
      </c>
      <c r="E286" s="24">
        <f ca="1">VLOOKUP(D286,[2]属性!$A:$E,2,FALSE)</f>
        <v>0.98</v>
      </c>
      <c r="F286" s="24">
        <f ca="1">VLOOKUP(D286,[2]属性!$A:$E,3,FALSE)</f>
        <v>1.01</v>
      </c>
      <c r="G286" s="24">
        <f ca="1">VLOOKUP(D286,[2]属性!$A:$F,4,FALSE)</f>
        <v>1</v>
      </c>
      <c r="H286" s="9" t="str">
        <f ca="1">VLOOKUP(A286,[2]characters!$A:$K,11,FALSE)</f>
        <v>technical</v>
      </c>
      <c r="I286" s="14" t="str">
        <f ca="1">VLOOKUP(H286,[2]character_type_i18n!$A:$F,3,FALSE)</f>
        <v>テクニカルタイプ</v>
      </c>
      <c r="J286" s="36">
        <f ca="1">VLOOKUP(H286,[2]character_type_i18n!$A:$F,4,FALSE)</f>
        <v>0.9</v>
      </c>
      <c r="K286" s="36">
        <f ca="1">VLOOKUP(H286,[2]character_type_i18n!$A:$F,5,FALSE)</f>
        <v>0.9</v>
      </c>
      <c r="L286" s="36">
        <f ca="1">VLOOKUP(H286,[2]character_type_i18n!$A:$F,6,FALSE)</f>
        <v>1</v>
      </c>
      <c r="M286" s="9" t="str">
        <f ca="1">VLOOKUP(A286,[2]characters!$A:$M,13,FALSE)</f>
        <v>dragon</v>
      </c>
      <c r="N286" s="14" t="str">
        <f ca="1">VLOOKUP(M286,[2]character_tribe_i18n!$A:$F,3,FALSE)</f>
        <v>ドラゴン</v>
      </c>
      <c r="O286" s="24">
        <f ca="1">VLOOKUP(M286,[2]character_tribe_i18n!$A:$F,4,FALSE)</f>
        <v>1.1499999999999999</v>
      </c>
      <c r="P286" s="24">
        <f ca="1">VLOOKUP(M286,[2]character_tribe_i18n!$A:$F,5,FALSE)</f>
        <v>1.1000000000000001</v>
      </c>
      <c r="Q286" s="24">
        <f ca="1">VLOOKUP(M286,[2]character_tribe_i18n!$A:$F,6,FALSE)</f>
        <v>1</v>
      </c>
      <c r="R286" s="25" t="s">
        <v>4</v>
      </c>
      <c r="S286" s="24">
        <f>VLOOKUP($R286,ラベル別係数!$A$1:$E$7,3,FALSE)</f>
        <v>5</v>
      </c>
      <c r="T286" s="24">
        <f>VLOOKUP($R286,ラベル別係数!$A$1:$E$7,4,FALSE)</f>
        <v>1.3</v>
      </c>
      <c r="U286" s="24">
        <f>VLOOKUP($R286,ラベル別係数!$A$1:$E$7,5,FALSE)</f>
        <v>0.8</v>
      </c>
      <c r="V286" s="27">
        <v>2</v>
      </c>
      <c r="W286" s="28">
        <f>VLOOKUP(V286,ターン数別攻撃係数!$A$1:$B$1000,2,FALSE)</f>
        <v>0.75</v>
      </c>
      <c r="X286" s="10">
        <v>30</v>
      </c>
      <c r="Y286" s="26">
        <f>VLOOKUP($X286,サイズ別係数!$B:$E,2,FALSE)</f>
        <v>1.3</v>
      </c>
      <c r="Z286" s="26">
        <f>VLOOKUP($X286,サイズ別係数!$B:$E,3,FALSE)</f>
        <v>1.3</v>
      </c>
      <c r="AA286" s="26">
        <f>VLOOKUP($X286,サイズ別係数!$B:$E,4,FALSE)</f>
        <v>1.1000000000000001</v>
      </c>
      <c r="AB286" s="5">
        <v>0</v>
      </c>
      <c r="AC286" s="34" t="str">
        <f ca="1">VLOOKUP($AB286,OFFSET([3]enemy_skill_sets!$B$2,0,0,COUNTA([3]enemy_skill_sets!$A:$A),MATCH(AC$1,[3]enemy_skill_sets!$1:$1,0)-MATCH($AB$1,[3]enemy_skill_sets!$1:$1,0)+1),MATCH(AC$1,[3]enemy_skill_sets!$1:$1,0)-MATCH($AB$1,[3]enemy_skill_sets!$1:$1,0)+1,FALSE)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86" s="27">
        <v>1</v>
      </c>
      <c r="AE286" s="37">
        <v>1</v>
      </c>
      <c r="AF286" s="37">
        <v>0</v>
      </c>
      <c r="AG286" s="28">
        <f ca="1">ROUND(VLOOKUP(1,enemy_base_stats!$A:$F,2,FALSE) * Y286* J286*O286*E286*S286*AD286*[2]ステータス!$B$2,0)</f>
        <v>3296</v>
      </c>
      <c r="AH286" s="28">
        <f ca="1">ROUND(VLOOKUP(1,enemy_base_stats!$A:$F,3,FALSE) * Z286*K286*P286*F286*T286*AE286 * W286*[2]ステータス!$C$2,0)</f>
        <v>190</v>
      </c>
      <c r="AI286" s="28">
        <f ca="1">ROUND(VLOOKUP(1,enemy_base_stats!$A:$F,4,FALSE) * AA286*L286*Q286*G286*U286*AF286*[2]ステータス!$D$2,0)</f>
        <v>0</v>
      </c>
      <c r="AJ286" s="28">
        <f ca="1">ROUND(VLOOKUP(100,enemy_base_stats!$A:$F,2,FALSE) * Y286* J286*O286*E286*S286*AD286*[2]ステータス!$B$2,0)</f>
        <v>133837</v>
      </c>
      <c r="AK286" s="28">
        <f ca="1">ROUND(VLOOKUP(100,enemy_base_stats!$A:$F,3,FALSE)* Z286* K286*P286*F286*T286*AE286 * W286*[2]ステータス!$C$2,0)</f>
        <v>7718</v>
      </c>
      <c r="AL286" s="28">
        <f ca="1">ROUND(VLOOKUP(100,enemy_base_stats!$A:$F,4,FALSE)* AA286* L286*Q286*G286*U286*AF286*[2]ステータス!$D$2,0)</f>
        <v>0</v>
      </c>
      <c r="AM286" s="24">
        <f ca="1">VLOOKUP(M286,[2]character_tribe_i18n!$A:$I,9,FALSE)</f>
        <v>540</v>
      </c>
      <c r="AN286" s="36">
        <v>0</v>
      </c>
      <c r="AO286" s="53">
        <v>0</v>
      </c>
      <c r="AP286" s="58" t="s">
        <v>72</v>
      </c>
      <c r="AQ286" s="71">
        <f t="shared" ca="1" si="8"/>
        <v>285</v>
      </c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</row>
    <row r="287" spans="1:60" s="3" customFormat="1" ht="21" customHeight="1" x14ac:dyDescent="0.15">
      <c r="A287" s="7">
        <f t="shared" ca="1" si="9"/>
        <v>286</v>
      </c>
      <c r="B287" s="6" t="str">
        <f ca="1">VLOOKUP(A287,[2]characters!$A:$C,3,FALSE)</f>
        <v>ヒュドラ</v>
      </c>
      <c r="C287" s="9">
        <f ca="1">VLOOKUP(A287,[2]characters!$A:$I,9,FALSE)</f>
        <v>3</v>
      </c>
      <c r="D287" s="9" t="str">
        <f ca="1">VLOOKUP(A287,[2]characters!$A:$H,8,FALSE)</f>
        <v>red</v>
      </c>
      <c r="E287" s="24">
        <f ca="1">VLOOKUP(D287,[2]属性!$A:$E,2,FALSE)</f>
        <v>1</v>
      </c>
      <c r="F287" s="24">
        <f ca="1">VLOOKUP(D287,[2]属性!$A:$E,3,FALSE)</f>
        <v>1.02</v>
      </c>
      <c r="G287" s="24">
        <f ca="1">VLOOKUP(D287,[2]属性!$A:$F,4,FALSE)</f>
        <v>1</v>
      </c>
      <c r="H287" s="9" t="str">
        <f ca="1">VLOOKUP(A287,[2]characters!$A:$K,11,FALSE)</f>
        <v>attack</v>
      </c>
      <c r="I287" s="14" t="str">
        <f ca="1">VLOOKUP(H287,[2]character_type_i18n!$A:$F,3,FALSE)</f>
        <v>攻撃タイプ</v>
      </c>
      <c r="J287" s="36">
        <f ca="1">VLOOKUP(H287,[2]character_type_i18n!$A:$F,4,FALSE)</f>
        <v>1</v>
      </c>
      <c r="K287" s="36">
        <f ca="1">VLOOKUP(H287,[2]character_type_i18n!$A:$F,5,FALSE)</f>
        <v>1.33</v>
      </c>
      <c r="L287" s="36">
        <f ca="1">VLOOKUP(H287,[2]character_type_i18n!$A:$F,6,FALSE)</f>
        <v>1</v>
      </c>
      <c r="M287" s="9" t="str">
        <f ca="1">VLOOKUP(A287,[2]characters!$A:$M,13,FALSE)</f>
        <v>dragon</v>
      </c>
      <c r="N287" s="14" t="str">
        <f ca="1">VLOOKUP(M287,[2]character_tribe_i18n!$A:$F,3,FALSE)</f>
        <v>ドラゴン</v>
      </c>
      <c r="O287" s="24">
        <f ca="1">VLOOKUP(M287,[2]character_tribe_i18n!$A:$F,4,FALSE)</f>
        <v>1.1499999999999999</v>
      </c>
      <c r="P287" s="24">
        <f ca="1">VLOOKUP(M287,[2]character_tribe_i18n!$A:$F,5,FALSE)</f>
        <v>1.1000000000000001</v>
      </c>
      <c r="Q287" s="24">
        <f ca="1">VLOOKUP(M287,[2]character_tribe_i18n!$A:$F,6,FALSE)</f>
        <v>1</v>
      </c>
      <c r="R287" s="25" t="s">
        <v>4</v>
      </c>
      <c r="S287" s="24">
        <f>VLOOKUP($R287,ラベル別係数!$A$1:$E$7,3,FALSE)</f>
        <v>5</v>
      </c>
      <c r="T287" s="24">
        <f>VLOOKUP($R287,ラベル別係数!$A$1:$E$7,4,FALSE)</f>
        <v>1.3</v>
      </c>
      <c r="U287" s="24">
        <f>VLOOKUP($R287,ラベル別係数!$A$1:$E$7,5,FALSE)</f>
        <v>0.8</v>
      </c>
      <c r="V287" s="27">
        <v>2</v>
      </c>
      <c r="W287" s="28">
        <f>VLOOKUP(V287,ターン数別攻撃係数!$A$1:$B$1000,2,FALSE)</f>
        <v>0.75</v>
      </c>
      <c r="X287" s="10">
        <v>20</v>
      </c>
      <c r="Y287" s="26">
        <f>VLOOKUP($X287,サイズ別係数!$B:$E,2,FALSE)</f>
        <v>1.1000000000000001</v>
      </c>
      <c r="Z287" s="26">
        <f>VLOOKUP($X287,サイズ別係数!$B:$E,3,FALSE)</f>
        <v>1.2</v>
      </c>
      <c r="AA287" s="26">
        <f>VLOOKUP($X287,サイズ別係数!$B:$E,4,FALSE)</f>
        <v>1.2</v>
      </c>
      <c r="AB287" s="5">
        <v>286</v>
      </c>
      <c r="AC287" s="34" t="str">
        <f ca="1">VLOOKUP($AB287,OFFSET([3]enemy_skill_sets!$B$2,0,0,COUNTA([3]enemy_skill_sets!$A:$A),MATCH(AC$1,[3]enemy_skill_sets!$1:$1,0)-MATCH($AB$1,[3]enemy_skill_sets!$1:$1,0)+1),MATCH(AC$1,[3]enemy_skill_sets!$1:$1,0)-MATCH($AB$1,[3]enemy_skill_sets!$1:$1,0)+1,FALSE)</f>
        <v>発射準備開始</v>
      </c>
      <c r="AD287" s="27">
        <v>1</v>
      </c>
      <c r="AE287" s="37">
        <v>1</v>
      </c>
      <c r="AF287" s="37">
        <v>0</v>
      </c>
      <c r="AG287" s="28">
        <f ca="1">ROUND(VLOOKUP(1,enemy_base_stats!$A:$F,2,FALSE) * Y287* J287*O287*E287*S287*AD287*[2]ステータス!$B$2,0)</f>
        <v>3163</v>
      </c>
      <c r="AH287" s="28">
        <f ca="1">ROUND(VLOOKUP(1,enemy_base_stats!$A:$F,3,FALSE) * Z287*K287*P287*F287*T287*AE287 * W287*[2]ステータス!$C$2,0)</f>
        <v>262</v>
      </c>
      <c r="AI287" s="28">
        <f ca="1">ROUND(VLOOKUP(1,enemy_base_stats!$A:$F,4,FALSE) * AA287*L287*Q287*G287*U287*AF287*[2]ステータス!$D$2,0)</f>
        <v>0</v>
      </c>
      <c r="AJ287" s="28">
        <f ca="1">ROUND(VLOOKUP(100,enemy_base_stats!$A:$F,2,FALSE) * Y287* J287*O287*E287*S287*AD287*[2]ステータス!$B$2,0)</f>
        <v>128398</v>
      </c>
      <c r="AK287" s="28">
        <f ca="1">ROUND(VLOOKUP(100,enemy_base_stats!$A:$F,3,FALSE)* Z287* K287*P287*F287*T287*AE287 * W287*[2]ステータス!$C$2,0)</f>
        <v>10633</v>
      </c>
      <c r="AL287" s="28">
        <f ca="1">ROUND(VLOOKUP(100,enemy_base_stats!$A:$F,4,FALSE)* AA287* L287*Q287*G287*U287*AF287*[2]ステータス!$D$2,0)</f>
        <v>0</v>
      </c>
      <c r="AM287" s="24">
        <f ca="1">VLOOKUP(M287,[2]character_tribe_i18n!$A:$I,9,FALSE)</f>
        <v>540</v>
      </c>
      <c r="AN287" s="36">
        <v>0</v>
      </c>
      <c r="AO287" s="53">
        <v>0</v>
      </c>
      <c r="AP287" s="58" t="s">
        <v>72</v>
      </c>
      <c r="AQ287" s="71">
        <f t="shared" ca="1" si="8"/>
        <v>286</v>
      </c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</row>
    <row r="288" spans="1:60" s="3" customFormat="1" ht="21" customHeight="1" x14ac:dyDescent="0.15">
      <c r="A288" s="7">
        <f t="shared" ca="1" si="9"/>
        <v>287</v>
      </c>
      <c r="B288" s="6" t="str">
        <f ca="1">VLOOKUP(A288,[2]characters!$A:$C,3,FALSE)</f>
        <v>ヒュドラ・フルオープン</v>
      </c>
      <c r="C288" s="9">
        <f ca="1">VLOOKUP(A288,[2]characters!$A:$I,9,FALSE)</f>
        <v>4</v>
      </c>
      <c r="D288" s="9" t="str">
        <f ca="1">VLOOKUP(A288,[2]characters!$A:$H,8,FALSE)</f>
        <v>red</v>
      </c>
      <c r="E288" s="24">
        <f ca="1">VLOOKUP(D288,[2]属性!$A:$E,2,FALSE)</f>
        <v>1</v>
      </c>
      <c r="F288" s="24">
        <f ca="1">VLOOKUP(D288,[2]属性!$A:$E,3,FALSE)</f>
        <v>1.02</v>
      </c>
      <c r="G288" s="24">
        <f ca="1">VLOOKUP(D288,[2]属性!$A:$F,4,FALSE)</f>
        <v>1</v>
      </c>
      <c r="H288" s="9" t="str">
        <f ca="1">VLOOKUP(A288,[2]characters!$A:$K,11,FALSE)</f>
        <v>attack</v>
      </c>
      <c r="I288" s="14" t="str">
        <f ca="1">VLOOKUP(H288,[2]character_type_i18n!$A:$F,3,FALSE)</f>
        <v>攻撃タイプ</v>
      </c>
      <c r="J288" s="36">
        <f ca="1">VLOOKUP(H288,[2]character_type_i18n!$A:$F,4,FALSE)</f>
        <v>1</v>
      </c>
      <c r="K288" s="36">
        <f ca="1">VLOOKUP(H288,[2]character_type_i18n!$A:$F,5,FALSE)</f>
        <v>1.33</v>
      </c>
      <c r="L288" s="36">
        <f ca="1">VLOOKUP(H288,[2]character_type_i18n!$A:$F,6,FALSE)</f>
        <v>1</v>
      </c>
      <c r="M288" s="9" t="str">
        <f ca="1">VLOOKUP(A288,[2]characters!$A:$M,13,FALSE)</f>
        <v>dragon</v>
      </c>
      <c r="N288" s="14" t="str">
        <f ca="1">VLOOKUP(M288,[2]character_tribe_i18n!$A:$F,3,FALSE)</f>
        <v>ドラゴン</v>
      </c>
      <c r="O288" s="24">
        <f ca="1">VLOOKUP(M288,[2]character_tribe_i18n!$A:$F,4,FALSE)</f>
        <v>1.1499999999999999</v>
      </c>
      <c r="P288" s="24">
        <f ca="1">VLOOKUP(M288,[2]character_tribe_i18n!$A:$F,5,FALSE)</f>
        <v>1.1000000000000001</v>
      </c>
      <c r="Q288" s="24">
        <f ca="1">VLOOKUP(M288,[2]character_tribe_i18n!$A:$F,6,FALSE)</f>
        <v>1</v>
      </c>
      <c r="R288" s="25" t="s">
        <v>4</v>
      </c>
      <c r="S288" s="24">
        <f>VLOOKUP($R288,ラベル別係数!$A$1:$E$7,3,FALSE)</f>
        <v>5</v>
      </c>
      <c r="T288" s="24">
        <f>VLOOKUP($R288,ラベル別係数!$A$1:$E$7,4,FALSE)</f>
        <v>1.3</v>
      </c>
      <c r="U288" s="24">
        <f>VLOOKUP($R288,ラベル別係数!$A$1:$E$7,5,FALSE)</f>
        <v>0.8</v>
      </c>
      <c r="V288" s="27">
        <v>2</v>
      </c>
      <c r="W288" s="28">
        <f>VLOOKUP(V288,ターン数別攻撃係数!$A$1:$B$1000,2,FALSE)</f>
        <v>0.75</v>
      </c>
      <c r="X288" s="10">
        <v>30</v>
      </c>
      <c r="Y288" s="26">
        <f>VLOOKUP($X288,サイズ別係数!$B:$E,2,FALSE)</f>
        <v>1.3</v>
      </c>
      <c r="Z288" s="26">
        <f>VLOOKUP($X288,サイズ別係数!$B:$E,3,FALSE)</f>
        <v>1.3</v>
      </c>
      <c r="AA288" s="26">
        <f>VLOOKUP($X288,サイズ別係数!$B:$E,4,FALSE)</f>
        <v>1.1000000000000001</v>
      </c>
      <c r="AB288" s="5">
        <v>286</v>
      </c>
      <c r="AC288" s="34" t="str">
        <f ca="1">VLOOKUP($AB288,OFFSET([3]enemy_skill_sets!$B$2,0,0,COUNTA([3]enemy_skill_sets!$A:$A),MATCH(AC$1,[3]enemy_skill_sets!$1:$1,0)-MATCH($AB$1,[3]enemy_skill_sets!$1:$1,0)+1),MATCH(AC$1,[3]enemy_skill_sets!$1:$1,0)-MATCH($AB$1,[3]enemy_skill_sets!$1:$1,0)+1,FALSE)</f>
        <v>発射準備開始</v>
      </c>
      <c r="AD288" s="27">
        <v>1</v>
      </c>
      <c r="AE288" s="37">
        <v>1</v>
      </c>
      <c r="AF288" s="37">
        <v>0</v>
      </c>
      <c r="AG288" s="28">
        <f ca="1">ROUND(VLOOKUP(1,enemy_base_stats!$A:$F,2,FALSE) * Y288* J288*O288*E288*S288*AD288*[2]ステータス!$B$2,0)</f>
        <v>3738</v>
      </c>
      <c r="AH288" s="28">
        <f ca="1">ROUND(VLOOKUP(1,enemy_base_stats!$A:$F,3,FALSE) * Z288*K288*P288*F288*T288*AE288 * W288*[2]ステータス!$C$2,0)</f>
        <v>284</v>
      </c>
      <c r="AI288" s="28">
        <f ca="1">ROUND(VLOOKUP(1,enemy_base_stats!$A:$F,4,FALSE) * AA288*L288*Q288*G288*U288*AF288*[2]ステータス!$D$2,0)</f>
        <v>0</v>
      </c>
      <c r="AJ288" s="28">
        <f ca="1">ROUND(VLOOKUP(100,enemy_base_stats!$A:$F,2,FALSE) * Y288* J288*O288*E288*S288*AD288*[2]ステータス!$B$2,0)</f>
        <v>151743</v>
      </c>
      <c r="AK288" s="28">
        <f ca="1">ROUND(VLOOKUP(100,enemy_base_stats!$A:$F,3,FALSE)* Z288* K288*P288*F288*T288*AE288 * W288*[2]ステータス!$C$2,0)</f>
        <v>11519</v>
      </c>
      <c r="AL288" s="28">
        <f ca="1">ROUND(VLOOKUP(100,enemy_base_stats!$A:$F,4,FALSE)* AA288* L288*Q288*G288*U288*AF288*[2]ステータス!$D$2,0)</f>
        <v>0</v>
      </c>
      <c r="AM288" s="24">
        <f ca="1">VLOOKUP(M288,[2]character_tribe_i18n!$A:$I,9,FALSE)</f>
        <v>540</v>
      </c>
      <c r="AN288" s="36">
        <v>0</v>
      </c>
      <c r="AO288" s="53">
        <v>0</v>
      </c>
      <c r="AP288" s="58" t="s">
        <v>72</v>
      </c>
      <c r="AQ288" s="71">
        <f t="shared" ca="1" si="8"/>
        <v>287</v>
      </c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</row>
    <row r="289" spans="1:60" s="3" customFormat="1" ht="21" customHeight="1" x14ac:dyDescent="0.15">
      <c r="A289" s="7">
        <f t="shared" ca="1" si="9"/>
        <v>288</v>
      </c>
      <c r="B289" s="6" t="str">
        <f ca="1">VLOOKUP(A289,[2]characters!$A:$C,3,FALSE)</f>
        <v>ミカド</v>
      </c>
      <c r="C289" s="9">
        <f ca="1">VLOOKUP(A289,[2]characters!$A:$I,9,FALSE)</f>
        <v>4</v>
      </c>
      <c r="D289" s="9" t="str">
        <f ca="1">VLOOKUP(A289,[2]characters!$A:$H,8,FALSE)</f>
        <v>yellow</v>
      </c>
      <c r="E289" s="24">
        <f ca="1">VLOOKUP(D289,[2]属性!$A:$E,2,FALSE)</f>
        <v>0.98</v>
      </c>
      <c r="F289" s="24">
        <f ca="1">VLOOKUP(D289,[2]属性!$A:$E,3,FALSE)</f>
        <v>1.01</v>
      </c>
      <c r="G289" s="24">
        <f ca="1">VLOOKUP(D289,[2]属性!$A:$F,4,FALSE)</f>
        <v>1</v>
      </c>
      <c r="H289" s="9" t="str">
        <f ca="1">VLOOKUP(A289,[2]characters!$A:$K,11,FALSE)</f>
        <v>balance</v>
      </c>
      <c r="I289" s="14" t="str">
        <f ca="1">VLOOKUP(H289,[2]character_type_i18n!$A:$F,3,FALSE)</f>
        <v>バランスタイプ</v>
      </c>
      <c r="J289" s="36">
        <f ca="1">VLOOKUP(H289,[2]character_type_i18n!$A:$F,4,FALSE)</f>
        <v>1</v>
      </c>
      <c r="K289" s="36">
        <f ca="1">VLOOKUP(H289,[2]character_type_i18n!$A:$F,5,FALSE)</f>
        <v>1</v>
      </c>
      <c r="L289" s="36">
        <f ca="1">VLOOKUP(H289,[2]character_type_i18n!$A:$F,6,FALSE)</f>
        <v>1</v>
      </c>
      <c r="M289" s="9" t="str">
        <f ca="1">VLOOKUP(A289,[2]characters!$A:$M,13,FALSE)</f>
        <v>human</v>
      </c>
      <c r="N289" s="14" t="str">
        <f ca="1">VLOOKUP(M289,[2]character_tribe_i18n!$A:$F,3,FALSE)</f>
        <v>ヒューマン</v>
      </c>
      <c r="O289" s="24">
        <f ca="1">VLOOKUP(M289,[2]character_tribe_i18n!$A:$F,4,FALSE)</f>
        <v>0.94</v>
      </c>
      <c r="P289" s="24">
        <f ca="1">VLOOKUP(M289,[2]character_tribe_i18n!$A:$F,5,FALSE)</f>
        <v>0.99</v>
      </c>
      <c r="Q289" s="24">
        <f ca="1">VLOOKUP(M289,[2]character_tribe_i18n!$A:$F,6,FALSE)</f>
        <v>1</v>
      </c>
      <c r="R289" s="25" t="s">
        <v>4</v>
      </c>
      <c r="S289" s="24">
        <f>VLOOKUP($R289,ラベル別係数!$A$1:$E$7,3,FALSE)</f>
        <v>5</v>
      </c>
      <c r="T289" s="24">
        <f>VLOOKUP($R289,ラベル別係数!$A$1:$E$7,4,FALSE)</f>
        <v>1.3</v>
      </c>
      <c r="U289" s="24">
        <f>VLOOKUP($R289,ラベル別係数!$A$1:$E$7,5,FALSE)</f>
        <v>0.8</v>
      </c>
      <c r="V289" s="27">
        <v>2</v>
      </c>
      <c r="W289" s="28">
        <f>VLOOKUP(V289,ターン数別攻撃係数!$A$1:$B$1000,2,FALSE)</f>
        <v>0.75</v>
      </c>
      <c r="X289" s="10">
        <v>30</v>
      </c>
      <c r="Y289" s="26">
        <f>VLOOKUP($X289,サイズ別係数!$B:$E,2,FALSE)</f>
        <v>1.3</v>
      </c>
      <c r="Z289" s="26">
        <f>VLOOKUP($X289,サイズ別係数!$B:$E,3,FALSE)</f>
        <v>1.3</v>
      </c>
      <c r="AA289" s="26">
        <f>VLOOKUP($X289,サイズ別係数!$B:$E,4,FALSE)</f>
        <v>1.1000000000000001</v>
      </c>
      <c r="AB289" s="5">
        <v>0</v>
      </c>
      <c r="AC289" s="34" t="str">
        <f ca="1">VLOOKUP($AB289,OFFSET([3]enemy_skill_sets!$B$2,0,0,COUNTA([3]enemy_skill_sets!$A:$A),MATCH(AC$1,[3]enemy_skill_sets!$1:$1,0)-MATCH($AB$1,[3]enemy_skill_sets!$1:$1,0)+1),MATCH(AC$1,[3]enemy_skill_sets!$1:$1,0)-MATCH($AB$1,[3]enemy_skill_sets!$1:$1,0)+1,FALSE)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89" s="27">
        <v>1</v>
      </c>
      <c r="AE289" s="37">
        <v>1</v>
      </c>
      <c r="AF289" s="37">
        <v>0</v>
      </c>
      <c r="AG289" s="28">
        <f ca="1">ROUND(VLOOKUP(1,enemy_base_stats!$A:$F,2,FALSE) * Y289* J289*O289*E289*S289*AD289*[2]ステータス!$B$2,0)</f>
        <v>2994</v>
      </c>
      <c r="AH289" s="28">
        <f ca="1">ROUND(VLOOKUP(1,enemy_base_stats!$A:$F,3,FALSE) * Z289*K289*P289*F289*T289*AE289 * W289*[2]ステータス!$C$2,0)</f>
        <v>190</v>
      </c>
      <c r="AI289" s="28">
        <f ca="1">ROUND(VLOOKUP(1,enemy_base_stats!$A:$F,4,FALSE) * AA289*L289*Q289*G289*U289*AF289*[2]ステータス!$D$2,0)</f>
        <v>0</v>
      </c>
      <c r="AJ289" s="28">
        <f ca="1">ROUND(VLOOKUP(100,enemy_base_stats!$A:$F,2,FALSE) * Y289* J289*O289*E289*S289*AD289*[2]ステータス!$B$2,0)</f>
        <v>121552</v>
      </c>
      <c r="AK289" s="28">
        <f ca="1">ROUND(VLOOKUP(100,enemy_base_stats!$A:$F,3,FALSE)* Z289* K289*P289*F289*T289*AE289 * W289*[2]ステータス!$C$2,0)</f>
        <v>7718</v>
      </c>
      <c r="AL289" s="28">
        <f ca="1">ROUND(VLOOKUP(100,enemy_base_stats!$A:$F,4,FALSE)* AA289* L289*Q289*G289*U289*AF289*[2]ステータス!$D$2,0)</f>
        <v>0</v>
      </c>
      <c r="AM289" s="24">
        <f ca="1">VLOOKUP(M289,[2]character_tribe_i18n!$A:$I,9,FALSE)</f>
        <v>400</v>
      </c>
      <c r="AN289" s="36">
        <v>0</v>
      </c>
      <c r="AO289" s="53">
        <v>0</v>
      </c>
      <c r="AP289" s="58" t="s">
        <v>72</v>
      </c>
      <c r="AQ289" s="71">
        <f t="shared" ca="1" si="8"/>
        <v>288</v>
      </c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</row>
    <row r="290" spans="1:60" s="3" customFormat="1" ht="21" customHeight="1" x14ac:dyDescent="0.15">
      <c r="A290" s="7">
        <f t="shared" ca="1" si="9"/>
        <v>289</v>
      </c>
      <c r="B290" s="6" t="str">
        <f ca="1">VLOOKUP(A290,[2]characters!$A:$C,3,FALSE)</f>
        <v>高圧なるミカド</v>
      </c>
      <c r="C290" s="9">
        <f ca="1">VLOOKUP(A290,[2]characters!$A:$I,9,FALSE)</f>
        <v>5</v>
      </c>
      <c r="D290" s="9" t="str">
        <f ca="1">VLOOKUP(A290,[2]characters!$A:$H,8,FALSE)</f>
        <v>yellow</v>
      </c>
      <c r="E290" s="24">
        <f ca="1">VLOOKUP(D290,[2]属性!$A:$E,2,FALSE)</f>
        <v>0.98</v>
      </c>
      <c r="F290" s="24">
        <f ca="1">VLOOKUP(D290,[2]属性!$A:$E,3,FALSE)</f>
        <v>1.01</v>
      </c>
      <c r="G290" s="24">
        <f ca="1">VLOOKUP(D290,[2]属性!$A:$F,4,FALSE)</f>
        <v>1</v>
      </c>
      <c r="H290" s="9" t="str">
        <f ca="1">VLOOKUP(A290,[2]characters!$A:$K,11,FALSE)</f>
        <v>balance</v>
      </c>
      <c r="I290" s="14" t="str">
        <f ca="1">VLOOKUP(H290,[2]character_type_i18n!$A:$F,3,FALSE)</f>
        <v>バランスタイプ</v>
      </c>
      <c r="J290" s="36">
        <f ca="1">VLOOKUP(H290,[2]character_type_i18n!$A:$F,4,FALSE)</f>
        <v>1</v>
      </c>
      <c r="K290" s="36">
        <f ca="1">VLOOKUP(H290,[2]character_type_i18n!$A:$F,5,FALSE)</f>
        <v>1</v>
      </c>
      <c r="L290" s="36">
        <f ca="1">VLOOKUP(H290,[2]character_type_i18n!$A:$F,6,FALSE)</f>
        <v>1</v>
      </c>
      <c r="M290" s="9" t="str">
        <f ca="1">VLOOKUP(A290,[2]characters!$A:$M,13,FALSE)</f>
        <v>human</v>
      </c>
      <c r="N290" s="14" t="str">
        <f ca="1">VLOOKUP(M290,[2]character_tribe_i18n!$A:$F,3,FALSE)</f>
        <v>ヒューマン</v>
      </c>
      <c r="O290" s="24">
        <f ca="1">VLOOKUP(M290,[2]character_tribe_i18n!$A:$F,4,FALSE)</f>
        <v>0.94</v>
      </c>
      <c r="P290" s="24">
        <f ca="1">VLOOKUP(M290,[2]character_tribe_i18n!$A:$F,5,FALSE)</f>
        <v>0.99</v>
      </c>
      <c r="Q290" s="24">
        <f ca="1">VLOOKUP(M290,[2]character_tribe_i18n!$A:$F,6,FALSE)</f>
        <v>1</v>
      </c>
      <c r="R290" s="25" t="s">
        <v>4</v>
      </c>
      <c r="S290" s="24">
        <f>VLOOKUP($R290,ラベル別係数!$A$1:$E$7,3,FALSE)</f>
        <v>5</v>
      </c>
      <c r="T290" s="24">
        <f>VLOOKUP($R290,ラベル別係数!$A$1:$E$7,4,FALSE)</f>
        <v>1.3</v>
      </c>
      <c r="U290" s="24">
        <f>VLOOKUP($R290,ラベル別係数!$A$1:$E$7,5,FALSE)</f>
        <v>0.8</v>
      </c>
      <c r="V290" s="27">
        <v>2</v>
      </c>
      <c r="W290" s="28">
        <f>VLOOKUP(V290,ターン数別攻撃係数!$A$1:$B$1000,2,FALSE)</f>
        <v>0.75</v>
      </c>
      <c r="X290" s="10">
        <v>60</v>
      </c>
      <c r="Y290" s="26">
        <f>VLOOKUP($X290,サイズ別係数!$B:$E,2,FALSE)</f>
        <v>1.7</v>
      </c>
      <c r="Z290" s="26">
        <f>VLOOKUP($X290,サイズ別係数!$B:$E,3,FALSE)</f>
        <v>1.4</v>
      </c>
      <c r="AA290" s="26">
        <f>VLOOKUP($X290,サイズ別係数!$B:$E,4,FALSE)</f>
        <v>1</v>
      </c>
      <c r="AB290" s="5">
        <v>0</v>
      </c>
      <c r="AC290" s="34" t="str">
        <f ca="1">VLOOKUP($AB290,OFFSET([3]enemy_skill_sets!$B$2,0,0,COUNTA([3]enemy_skill_sets!$A:$A),MATCH(AC$1,[3]enemy_skill_sets!$1:$1,0)-MATCH($AB$1,[3]enemy_skill_sets!$1:$1,0)+1),MATCH(AC$1,[3]enemy_skill_sets!$1:$1,0)-MATCH($AB$1,[3]enemy_skill_sets!$1:$1,0)+1,FALSE)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90" s="27">
        <v>1</v>
      </c>
      <c r="AE290" s="37">
        <v>1</v>
      </c>
      <c r="AF290" s="37">
        <v>0</v>
      </c>
      <c r="AG290" s="28">
        <f ca="1">ROUND(VLOOKUP(1,enemy_base_stats!$A:$F,2,FALSE) * Y290* J290*O290*E290*S290*AD290*[2]ステータス!$B$2,0)</f>
        <v>3915</v>
      </c>
      <c r="AH290" s="28">
        <f ca="1">ROUND(VLOOKUP(1,enemy_base_stats!$A:$F,3,FALSE) * Z290*K290*P290*F290*T290*AE290 * W290*[2]ステータス!$C$2,0)</f>
        <v>205</v>
      </c>
      <c r="AI290" s="28">
        <f ca="1">ROUND(VLOOKUP(1,enemy_base_stats!$A:$F,4,FALSE) * AA290*L290*Q290*G290*U290*AF290*[2]ステータス!$D$2,0)</f>
        <v>0</v>
      </c>
      <c r="AJ290" s="28">
        <f ca="1">ROUND(VLOOKUP(100,enemy_base_stats!$A:$F,2,FALSE) * Y290* J290*O290*E290*S290*AD290*[2]ステータス!$B$2,0)</f>
        <v>158953</v>
      </c>
      <c r="AK290" s="28">
        <f ca="1">ROUND(VLOOKUP(100,enemy_base_stats!$A:$F,3,FALSE)* Z290* K290*P290*F290*T290*AE290 * W290*[2]ステータス!$C$2,0)</f>
        <v>8312</v>
      </c>
      <c r="AL290" s="28">
        <f ca="1">ROUND(VLOOKUP(100,enemy_base_stats!$A:$F,4,FALSE)* AA290* L290*Q290*G290*U290*AF290*[2]ステータス!$D$2,0)</f>
        <v>0</v>
      </c>
      <c r="AM290" s="24">
        <f ca="1">VLOOKUP(M290,[2]character_tribe_i18n!$A:$I,9,FALSE)</f>
        <v>400</v>
      </c>
      <c r="AN290" s="36">
        <v>0</v>
      </c>
      <c r="AO290" s="53">
        <v>0</v>
      </c>
      <c r="AP290" s="58" t="s">
        <v>72</v>
      </c>
      <c r="AQ290" s="71">
        <f t="shared" ca="1" si="8"/>
        <v>289</v>
      </c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8"/>
      <c r="BC290" s="18"/>
      <c r="BD290" s="18"/>
      <c r="BE290" s="18"/>
      <c r="BF290" s="18"/>
      <c r="BG290" s="18"/>
      <c r="BH290" s="18"/>
    </row>
    <row r="291" spans="1:60" s="3" customFormat="1" ht="21" customHeight="1" x14ac:dyDescent="0.15">
      <c r="A291" s="7">
        <f t="shared" ca="1" si="9"/>
        <v>290</v>
      </c>
      <c r="B291" s="6" t="str">
        <f ca="1">VLOOKUP(A291,[2]characters!$A:$C,3,FALSE)</f>
        <v>ウィッチ・オクトパス</v>
      </c>
      <c r="C291" s="9">
        <f ca="1">VLOOKUP(A291,[2]characters!$A:$I,9,FALSE)</f>
        <v>4</v>
      </c>
      <c r="D291" s="9" t="str">
        <f ca="1">VLOOKUP(A291,[2]characters!$A:$H,8,FALSE)</f>
        <v>red</v>
      </c>
      <c r="E291" s="24">
        <f ca="1">VLOOKUP(D291,[2]属性!$A:$E,2,FALSE)</f>
        <v>1</v>
      </c>
      <c r="F291" s="24">
        <f ca="1">VLOOKUP(D291,[2]属性!$A:$E,3,FALSE)</f>
        <v>1.02</v>
      </c>
      <c r="G291" s="24">
        <f ca="1">VLOOKUP(D291,[2]属性!$A:$F,4,FALSE)</f>
        <v>1</v>
      </c>
      <c r="H291" s="9" t="str">
        <f ca="1">VLOOKUP(A291,[2]characters!$A:$K,11,FALSE)</f>
        <v>technical</v>
      </c>
      <c r="I291" s="14" t="str">
        <f ca="1">VLOOKUP(H291,[2]character_type_i18n!$A:$F,3,FALSE)</f>
        <v>テクニカルタイプ</v>
      </c>
      <c r="J291" s="36">
        <f ca="1">VLOOKUP(H291,[2]character_type_i18n!$A:$F,4,FALSE)</f>
        <v>0.9</v>
      </c>
      <c r="K291" s="36">
        <f ca="1">VLOOKUP(H291,[2]character_type_i18n!$A:$F,5,FALSE)</f>
        <v>0.9</v>
      </c>
      <c r="L291" s="36">
        <f ca="1">VLOOKUP(H291,[2]character_type_i18n!$A:$F,6,FALSE)</f>
        <v>1</v>
      </c>
      <c r="M291" s="9" t="str">
        <f ca="1">VLOOKUP(A291,[2]characters!$A:$M,13,FALSE)</f>
        <v>human</v>
      </c>
      <c r="N291" s="14" t="str">
        <f ca="1">VLOOKUP(M291,[2]character_tribe_i18n!$A:$F,3,FALSE)</f>
        <v>ヒューマン</v>
      </c>
      <c r="O291" s="24">
        <f ca="1">VLOOKUP(M291,[2]character_tribe_i18n!$A:$F,4,FALSE)</f>
        <v>0.94</v>
      </c>
      <c r="P291" s="24">
        <f ca="1">VLOOKUP(M291,[2]character_tribe_i18n!$A:$F,5,FALSE)</f>
        <v>0.99</v>
      </c>
      <c r="Q291" s="24">
        <f ca="1">VLOOKUP(M291,[2]character_tribe_i18n!$A:$F,6,FALSE)</f>
        <v>1</v>
      </c>
      <c r="R291" s="25" t="s">
        <v>4</v>
      </c>
      <c r="S291" s="24">
        <f>VLOOKUP($R291,ラベル別係数!$A$1:$E$7,3,FALSE)</f>
        <v>5</v>
      </c>
      <c r="T291" s="24">
        <f>VLOOKUP($R291,ラベル別係数!$A$1:$E$7,4,FALSE)</f>
        <v>1.3</v>
      </c>
      <c r="U291" s="24">
        <f>VLOOKUP($R291,ラベル別係数!$A$1:$E$7,5,FALSE)</f>
        <v>0.8</v>
      </c>
      <c r="V291" s="27">
        <v>2</v>
      </c>
      <c r="W291" s="28">
        <f>VLOOKUP(V291,ターン数別攻撃係数!$A$1:$B$1000,2,FALSE)</f>
        <v>0.75</v>
      </c>
      <c r="X291" s="10">
        <v>30</v>
      </c>
      <c r="Y291" s="26">
        <f>VLOOKUP($X291,サイズ別係数!$B:$E,2,FALSE)</f>
        <v>1.3</v>
      </c>
      <c r="Z291" s="26">
        <f>VLOOKUP($X291,サイズ別係数!$B:$E,3,FALSE)</f>
        <v>1.3</v>
      </c>
      <c r="AA291" s="26">
        <f>VLOOKUP($X291,サイズ別係数!$B:$E,4,FALSE)</f>
        <v>1.1000000000000001</v>
      </c>
      <c r="AB291" s="5">
        <v>29001</v>
      </c>
      <c r="AC291" s="34" t="str">
        <f ca="1">VLOOKUP($AB291,OFFSET([3]enemy_skill_sets!$B$2,0,0,COUNTA([3]enemy_skill_sets!$A:$A),MATCH(AC$1,[3]enemy_skill_sets!$1:$1,0)-MATCH($AB$1,[3]enemy_skill_sets!$1:$1,0)+1),MATCH(AC$1,[3]enemy_skill_sets!$1:$1,0)-MATCH($AB$1,[3]enemy_skill_sets!$1:$1,0)+1,FALSE)</f>
        <v>余裕の笑みを浮かべている</v>
      </c>
      <c r="AD291" s="27">
        <v>1</v>
      </c>
      <c r="AE291" s="37">
        <v>1</v>
      </c>
      <c r="AF291" s="37">
        <v>0</v>
      </c>
      <c r="AG291" s="28">
        <f ca="1">ROUND(VLOOKUP(1,enemy_base_stats!$A:$F,2,FALSE) * Y291* J291*O291*E291*S291*AD291*[2]ステータス!$B$2,0)</f>
        <v>2750</v>
      </c>
      <c r="AH291" s="28">
        <f ca="1">ROUND(VLOOKUP(1,enemy_base_stats!$A:$F,3,FALSE) * Z291*K291*P291*F291*T291*AE291 * W291*[2]ステータス!$C$2,0)</f>
        <v>173</v>
      </c>
      <c r="AI291" s="28">
        <f ca="1">ROUND(VLOOKUP(1,enemy_base_stats!$A:$F,4,FALSE) * AA291*L291*Q291*G291*U291*AF291*[2]ステータス!$D$2,0)</f>
        <v>0</v>
      </c>
      <c r="AJ291" s="28">
        <f ca="1">ROUND(VLOOKUP(100,enemy_base_stats!$A:$F,2,FALSE) * Y291* J291*O291*E291*S291*AD291*[2]ステータス!$B$2,0)</f>
        <v>111630</v>
      </c>
      <c r="AK291" s="28">
        <f ca="1">ROUND(VLOOKUP(100,enemy_base_stats!$A:$F,3,FALSE)* Z291* K291*P291*F291*T291*AE291 * W291*[2]ステータス!$C$2,0)</f>
        <v>7015</v>
      </c>
      <c r="AL291" s="28">
        <f ca="1">ROUND(VLOOKUP(100,enemy_base_stats!$A:$F,4,FALSE)* AA291* L291*Q291*G291*U291*AF291*[2]ステータス!$D$2,0)</f>
        <v>0</v>
      </c>
      <c r="AM291" s="24">
        <f ca="1">VLOOKUP(M291,[2]character_tribe_i18n!$A:$I,9,FALSE)</f>
        <v>400</v>
      </c>
      <c r="AN291" s="36">
        <v>0</v>
      </c>
      <c r="AO291" s="53">
        <v>0</v>
      </c>
      <c r="AP291" s="58" t="s">
        <v>72</v>
      </c>
      <c r="AQ291" s="71">
        <f t="shared" ca="1" si="8"/>
        <v>290</v>
      </c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</row>
    <row r="292" spans="1:60" s="3" customFormat="1" ht="21" customHeight="1" x14ac:dyDescent="0.15">
      <c r="A292" s="7">
        <f t="shared" ca="1" si="9"/>
        <v>291</v>
      </c>
      <c r="B292" s="6" t="str">
        <f ca="1">VLOOKUP(A292,[2]characters!$A:$C,3,FALSE)</f>
        <v>魔改造のウィッチ・オクトパス</v>
      </c>
      <c r="C292" s="9">
        <f ca="1">VLOOKUP(A292,[2]characters!$A:$I,9,FALSE)</f>
        <v>5</v>
      </c>
      <c r="D292" s="9" t="str">
        <f ca="1">VLOOKUP(A292,[2]characters!$A:$H,8,FALSE)</f>
        <v>red</v>
      </c>
      <c r="E292" s="24">
        <f ca="1">VLOOKUP(D292,[2]属性!$A:$E,2,FALSE)</f>
        <v>1</v>
      </c>
      <c r="F292" s="24">
        <f ca="1">VLOOKUP(D292,[2]属性!$A:$E,3,FALSE)</f>
        <v>1.02</v>
      </c>
      <c r="G292" s="24">
        <f ca="1">VLOOKUP(D292,[2]属性!$A:$F,4,FALSE)</f>
        <v>1</v>
      </c>
      <c r="H292" s="9" t="str">
        <f ca="1">VLOOKUP(A292,[2]characters!$A:$K,11,FALSE)</f>
        <v>technical</v>
      </c>
      <c r="I292" s="14" t="str">
        <f ca="1">VLOOKUP(H292,[2]character_type_i18n!$A:$F,3,FALSE)</f>
        <v>テクニカルタイプ</v>
      </c>
      <c r="J292" s="36">
        <f ca="1">VLOOKUP(H292,[2]character_type_i18n!$A:$F,4,FALSE)</f>
        <v>0.9</v>
      </c>
      <c r="K292" s="36">
        <f ca="1">VLOOKUP(H292,[2]character_type_i18n!$A:$F,5,FALSE)</f>
        <v>0.9</v>
      </c>
      <c r="L292" s="36">
        <f ca="1">VLOOKUP(H292,[2]character_type_i18n!$A:$F,6,FALSE)</f>
        <v>1</v>
      </c>
      <c r="M292" s="9" t="str">
        <f ca="1">VLOOKUP(A292,[2]characters!$A:$M,13,FALSE)</f>
        <v>human</v>
      </c>
      <c r="N292" s="14" t="str">
        <f ca="1">VLOOKUP(M292,[2]character_tribe_i18n!$A:$F,3,FALSE)</f>
        <v>ヒューマン</v>
      </c>
      <c r="O292" s="24">
        <f ca="1">VLOOKUP(M292,[2]character_tribe_i18n!$A:$F,4,FALSE)</f>
        <v>0.94</v>
      </c>
      <c r="P292" s="24">
        <f ca="1">VLOOKUP(M292,[2]character_tribe_i18n!$A:$F,5,FALSE)</f>
        <v>0.99</v>
      </c>
      <c r="Q292" s="24">
        <f ca="1">VLOOKUP(M292,[2]character_tribe_i18n!$A:$F,6,FALSE)</f>
        <v>1</v>
      </c>
      <c r="R292" s="25" t="s">
        <v>4</v>
      </c>
      <c r="S292" s="24">
        <f>VLOOKUP($R292,ラベル別係数!$A$1:$E$7,3,FALSE)</f>
        <v>5</v>
      </c>
      <c r="T292" s="24">
        <f>VLOOKUP($R292,ラベル別係数!$A$1:$E$7,4,FALSE)</f>
        <v>1.3</v>
      </c>
      <c r="U292" s="24">
        <f>VLOOKUP($R292,ラベル別係数!$A$1:$E$7,5,FALSE)</f>
        <v>0.8</v>
      </c>
      <c r="V292" s="27">
        <v>2</v>
      </c>
      <c r="W292" s="28">
        <f>VLOOKUP(V292,ターン数別攻撃係数!$A$1:$B$1000,2,FALSE)</f>
        <v>0.75</v>
      </c>
      <c r="X292" s="10">
        <v>60</v>
      </c>
      <c r="Y292" s="26">
        <f>VLOOKUP($X292,サイズ別係数!$B:$E,2,FALSE)</f>
        <v>1.7</v>
      </c>
      <c r="Z292" s="26">
        <f>VLOOKUP($X292,サイズ別係数!$B:$E,3,FALSE)</f>
        <v>1.4</v>
      </c>
      <c r="AA292" s="26">
        <f>VLOOKUP($X292,サイズ別係数!$B:$E,4,FALSE)</f>
        <v>1</v>
      </c>
      <c r="AB292" s="5">
        <v>29002</v>
      </c>
      <c r="AC292" s="34" t="str">
        <f ca="1">VLOOKUP($AB292,OFFSET([3]enemy_skill_sets!$B$2,0,0,COUNTA([3]enemy_skill_sets!$A:$A),MATCH(AC$1,[3]enemy_skill_sets!$1:$1,0)-MATCH($AB$1,[3]enemy_skill_sets!$1:$1,0)+1),MATCH(AC$1,[3]enemy_skill_sets!$1:$1,0)-MATCH($AB$1,[3]enemy_skill_sets!$1:$1,0)+1,FALSE)</f>
        <v>余裕の笑みを浮かべている</v>
      </c>
      <c r="AD292" s="27">
        <v>1</v>
      </c>
      <c r="AE292" s="37">
        <v>1</v>
      </c>
      <c r="AF292" s="37">
        <v>0</v>
      </c>
      <c r="AG292" s="28">
        <f ca="1">ROUND(VLOOKUP(1,enemy_base_stats!$A:$F,2,FALSE) * Y292* J292*O292*E292*S292*AD292*[2]ステータス!$B$2,0)</f>
        <v>3596</v>
      </c>
      <c r="AH292" s="28">
        <f ca="1">ROUND(VLOOKUP(1,enemy_base_stats!$A:$F,3,FALSE) * Z292*K292*P292*F292*T292*AE292 * W292*[2]ステータス!$C$2,0)</f>
        <v>186</v>
      </c>
      <c r="AI292" s="28">
        <f ca="1">ROUND(VLOOKUP(1,enemy_base_stats!$A:$F,4,FALSE) * AA292*L292*Q292*G292*U292*AF292*[2]ステータス!$D$2,0)</f>
        <v>0</v>
      </c>
      <c r="AJ292" s="28">
        <f ca="1">ROUND(VLOOKUP(100,enemy_base_stats!$A:$F,2,FALSE) * Y292* J292*O292*E292*S292*AD292*[2]ステータス!$B$2,0)</f>
        <v>145977</v>
      </c>
      <c r="AK292" s="28">
        <f ca="1">ROUND(VLOOKUP(100,enemy_base_stats!$A:$F,3,FALSE)* Z292* K292*P292*F292*T292*AE292 * W292*[2]ステータス!$C$2,0)</f>
        <v>7555</v>
      </c>
      <c r="AL292" s="28">
        <f ca="1">ROUND(VLOOKUP(100,enemy_base_stats!$A:$F,4,FALSE)* AA292* L292*Q292*G292*U292*AF292*[2]ステータス!$D$2,0)</f>
        <v>0</v>
      </c>
      <c r="AM292" s="24">
        <f ca="1">VLOOKUP(M292,[2]character_tribe_i18n!$A:$I,9,FALSE)</f>
        <v>400</v>
      </c>
      <c r="AN292" s="36">
        <v>0</v>
      </c>
      <c r="AO292" s="53">
        <v>0</v>
      </c>
      <c r="AP292" s="58" t="s">
        <v>72</v>
      </c>
      <c r="AQ292" s="71">
        <f t="shared" ca="1" si="8"/>
        <v>291</v>
      </c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</row>
    <row r="293" spans="1:60" s="3" customFormat="1" ht="21" customHeight="1" x14ac:dyDescent="0.15">
      <c r="A293" s="7">
        <f t="shared" ca="1" si="9"/>
        <v>292</v>
      </c>
      <c r="B293" s="6" t="str">
        <f ca="1">VLOOKUP(A293,[2]characters!$A:$C,3,FALSE)</f>
        <v>アナスタシア</v>
      </c>
      <c r="C293" s="9">
        <f ca="1">VLOOKUP(A293,[2]characters!$A:$I,9,FALSE)</f>
        <v>4</v>
      </c>
      <c r="D293" s="9" t="str">
        <f ca="1">VLOOKUP(A293,[2]characters!$A:$H,8,FALSE)</f>
        <v>blue</v>
      </c>
      <c r="E293" s="24">
        <f ca="1">VLOOKUP(D293,[2]属性!$A:$E,2,FALSE)</f>
        <v>1</v>
      </c>
      <c r="F293" s="24">
        <f ca="1">VLOOKUP(D293,[2]属性!$A:$E,3,FALSE)</f>
        <v>0.98</v>
      </c>
      <c r="G293" s="24">
        <f ca="1">VLOOKUP(D293,[2]属性!$A:$F,4,FALSE)</f>
        <v>1</v>
      </c>
      <c r="H293" s="9" t="str">
        <f ca="1">VLOOKUP(A293,[2]characters!$A:$K,11,FALSE)</f>
        <v>balance</v>
      </c>
      <c r="I293" s="14" t="str">
        <f ca="1">VLOOKUP(H293,[2]character_type_i18n!$A:$F,3,FALSE)</f>
        <v>バランスタイプ</v>
      </c>
      <c r="J293" s="36">
        <f ca="1">VLOOKUP(H293,[2]character_type_i18n!$A:$F,4,FALSE)</f>
        <v>1</v>
      </c>
      <c r="K293" s="36">
        <f ca="1">VLOOKUP(H293,[2]character_type_i18n!$A:$F,5,FALSE)</f>
        <v>1</v>
      </c>
      <c r="L293" s="36">
        <f ca="1">VLOOKUP(H293,[2]character_type_i18n!$A:$F,6,FALSE)</f>
        <v>1</v>
      </c>
      <c r="M293" s="9" t="str">
        <f ca="1">VLOOKUP(A293,[2]characters!$A:$M,13,FALSE)</f>
        <v>human</v>
      </c>
      <c r="N293" s="14" t="str">
        <f ca="1">VLOOKUP(M293,[2]character_tribe_i18n!$A:$F,3,FALSE)</f>
        <v>ヒューマン</v>
      </c>
      <c r="O293" s="24">
        <f ca="1">VLOOKUP(M293,[2]character_tribe_i18n!$A:$F,4,FALSE)</f>
        <v>0.94</v>
      </c>
      <c r="P293" s="24">
        <f ca="1">VLOOKUP(M293,[2]character_tribe_i18n!$A:$F,5,FALSE)</f>
        <v>0.99</v>
      </c>
      <c r="Q293" s="24">
        <f ca="1">VLOOKUP(M293,[2]character_tribe_i18n!$A:$F,6,FALSE)</f>
        <v>1</v>
      </c>
      <c r="R293" s="25" t="s">
        <v>4</v>
      </c>
      <c r="S293" s="24">
        <f>VLOOKUP($R293,ラベル別係数!$A$1:$E$7,3,FALSE)</f>
        <v>5</v>
      </c>
      <c r="T293" s="24">
        <f>VLOOKUP($R293,ラベル別係数!$A$1:$E$7,4,FALSE)</f>
        <v>1.3</v>
      </c>
      <c r="U293" s="24">
        <f>VLOOKUP($R293,ラベル別係数!$A$1:$E$7,5,FALSE)</f>
        <v>0.8</v>
      </c>
      <c r="V293" s="27">
        <v>2</v>
      </c>
      <c r="W293" s="28">
        <f>VLOOKUP(V293,ターン数別攻撃係数!$A$1:$B$1000,2,FALSE)</f>
        <v>0.75</v>
      </c>
      <c r="X293" s="10">
        <v>30</v>
      </c>
      <c r="Y293" s="26">
        <f>VLOOKUP($X293,サイズ別係数!$B:$E,2,FALSE)</f>
        <v>1.3</v>
      </c>
      <c r="Z293" s="26">
        <f>VLOOKUP($X293,サイズ別係数!$B:$E,3,FALSE)</f>
        <v>1.3</v>
      </c>
      <c r="AA293" s="26">
        <f>VLOOKUP($X293,サイズ別係数!$B:$E,4,FALSE)</f>
        <v>1.1000000000000001</v>
      </c>
      <c r="AB293" s="5">
        <v>292</v>
      </c>
      <c r="AC293" s="34" t="str">
        <f ca="1">VLOOKUP($AB293,OFFSET([3]enemy_skill_sets!$B$2,0,0,COUNTA([3]enemy_skill_sets!$A:$A),MATCH(AC$1,[3]enemy_skill_sets!$1:$1,0)-MATCH($AB$1,[3]enemy_skill_sets!$1:$1,0)+1),MATCH(AC$1,[3]enemy_skill_sets!$1:$1,0)-MATCH($AB$1,[3]enemy_skill_sets!$1:$1,0)+1,FALSE)</f>
        <v>凄まじい気迫を感じる…！</v>
      </c>
      <c r="AD293" s="27">
        <v>1</v>
      </c>
      <c r="AE293" s="37">
        <v>1</v>
      </c>
      <c r="AF293" s="37">
        <v>0</v>
      </c>
      <c r="AG293" s="28">
        <f ca="1">ROUND(VLOOKUP(1,enemy_base_stats!$A:$F,2,FALSE) * Y293* J293*O293*E293*S293*AD293*[2]ステータス!$B$2,0)</f>
        <v>3055</v>
      </c>
      <c r="AH293" s="28">
        <f ca="1">ROUND(VLOOKUP(1,enemy_base_stats!$A:$F,3,FALSE) * Z293*K293*P293*F293*T293*AE293 * W293*[2]ステータス!$C$2,0)</f>
        <v>184</v>
      </c>
      <c r="AI293" s="28">
        <f ca="1">ROUND(VLOOKUP(1,enemy_base_stats!$A:$F,4,FALSE) * AA293*L293*Q293*G293*U293*AF293*[2]ステータス!$D$2,0)</f>
        <v>0</v>
      </c>
      <c r="AJ293" s="28">
        <f ca="1">ROUND(VLOOKUP(100,enemy_base_stats!$A:$F,2,FALSE) * Y293* J293*O293*E293*S293*AD293*[2]ステータス!$B$2,0)</f>
        <v>124033</v>
      </c>
      <c r="AK293" s="28">
        <f ca="1">ROUND(VLOOKUP(100,enemy_base_stats!$A:$F,3,FALSE)* Z293* K293*P293*F293*T293*AE293 * W293*[2]ステータス!$C$2,0)</f>
        <v>7489</v>
      </c>
      <c r="AL293" s="28">
        <f ca="1">ROUND(VLOOKUP(100,enemy_base_stats!$A:$F,4,FALSE)* AA293* L293*Q293*G293*U293*AF293*[2]ステータス!$D$2,0)</f>
        <v>0</v>
      </c>
      <c r="AM293" s="24">
        <f ca="1">VLOOKUP(M293,[2]character_tribe_i18n!$A:$I,9,FALSE)</f>
        <v>400</v>
      </c>
      <c r="AN293" s="36">
        <v>0</v>
      </c>
      <c r="AO293" s="53">
        <v>0</v>
      </c>
      <c r="AP293" s="58" t="s">
        <v>72</v>
      </c>
      <c r="AQ293" s="71">
        <f t="shared" ca="1" si="8"/>
        <v>292</v>
      </c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</row>
    <row r="294" spans="1:60" s="3" customFormat="1" ht="21" customHeight="1" x14ac:dyDescent="0.15">
      <c r="A294" s="7">
        <f t="shared" ca="1" si="9"/>
        <v>293</v>
      </c>
      <c r="B294" s="6" t="str">
        <f ca="1">VLOOKUP(A294,[2]characters!$A:$C,3,FALSE)</f>
        <v>激流拳技を極めし者 アナスタシア</v>
      </c>
      <c r="C294" s="9">
        <f ca="1">VLOOKUP(A294,[2]characters!$A:$I,9,FALSE)</f>
        <v>5</v>
      </c>
      <c r="D294" s="9" t="str">
        <f ca="1">VLOOKUP(A294,[2]characters!$A:$H,8,FALSE)</f>
        <v>blue</v>
      </c>
      <c r="E294" s="24">
        <f ca="1">VLOOKUP(D294,[2]属性!$A:$E,2,FALSE)</f>
        <v>1</v>
      </c>
      <c r="F294" s="24">
        <f ca="1">VLOOKUP(D294,[2]属性!$A:$E,3,FALSE)</f>
        <v>0.98</v>
      </c>
      <c r="G294" s="24">
        <f ca="1">VLOOKUP(D294,[2]属性!$A:$F,4,FALSE)</f>
        <v>1</v>
      </c>
      <c r="H294" s="9" t="str">
        <f ca="1">VLOOKUP(A294,[2]characters!$A:$K,11,FALSE)</f>
        <v>balance</v>
      </c>
      <c r="I294" s="14" t="str">
        <f ca="1">VLOOKUP(H294,[2]character_type_i18n!$A:$F,3,FALSE)</f>
        <v>バランスタイプ</v>
      </c>
      <c r="J294" s="36">
        <f ca="1">VLOOKUP(H294,[2]character_type_i18n!$A:$F,4,FALSE)</f>
        <v>1</v>
      </c>
      <c r="K294" s="36">
        <f ca="1">VLOOKUP(H294,[2]character_type_i18n!$A:$F,5,FALSE)</f>
        <v>1</v>
      </c>
      <c r="L294" s="36">
        <f ca="1">VLOOKUP(H294,[2]character_type_i18n!$A:$F,6,FALSE)</f>
        <v>1</v>
      </c>
      <c r="M294" s="9" t="str">
        <f ca="1">VLOOKUP(A294,[2]characters!$A:$M,13,FALSE)</f>
        <v>human</v>
      </c>
      <c r="N294" s="14" t="str">
        <f ca="1">VLOOKUP(M294,[2]character_tribe_i18n!$A:$F,3,FALSE)</f>
        <v>ヒューマン</v>
      </c>
      <c r="O294" s="24">
        <f ca="1">VLOOKUP(M294,[2]character_tribe_i18n!$A:$F,4,FALSE)</f>
        <v>0.94</v>
      </c>
      <c r="P294" s="24">
        <f ca="1">VLOOKUP(M294,[2]character_tribe_i18n!$A:$F,5,FALSE)</f>
        <v>0.99</v>
      </c>
      <c r="Q294" s="24">
        <f ca="1">VLOOKUP(M294,[2]character_tribe_i18n!$A:$F,6,FALSE)</f>
        <v>1</v>
      </c>
      <c r="R294" s="25" t="s">
        <v>4</v>
      </c>
      <c r="S294" s="24">
        <f>VLOOKUP($R294,ラベル別係数!$A$1:$E$7,3,FALSE)</f>
        <v>5</v>
      </c>
      <c r="T294" s="24">
        <f>VLOOKUP($R294,ラベル別係数!$A$1:$E$7,4,FALSE)</f>
        <v>1.3</v>
      </c>
      <c r="U294" s="24">
        <f>VLOOKUP($R294,ラベル別係数!$A$1:$E$7,5,FALSE)</f>
        <v>0.8</v>
      </c>
      <c r="V294" s="27">
        <v>2</v>
      </c>
      <c r="W294" s="28">
        <f>VLOOKUP(V294,ターン数別攻撃係数!$A$1:$B$1000,2,FALSE)</f>
        <v>0.75</v>
      </c>
      <c r="X294" s="10">
        <v>60</v>
      </c>
      <c r="Y294" s="26">
        <f>VLOOKUP($X294,サイズ別係数!$B:$E,2,FALSE)</f>
        <v>1.7</v>
      </c>
      <c r="Z294" s="26">
        <f>VLOOKUP($X294,サイズ別係数!$B:$E,3,FALSE)</f>
        <v>1.4</v>
      </c>
      <c r="AA294" s="26">
        <f>VLOOKUP($X294,サイズ別係数!$B:$E,4,FALSE)</f>
        <v>1</v>
      </c>
      <c r="AB294" s="5">
        <v>293</v>
      </c>
      <c r="AC294" s="34" t="str">
        <f ca="1">VLOOKUP($AB294,OFFSET([3]enemy_skill_sets!$B$2,0,0,COUNTA([3]enemy_skill_sets!$A:$A),MATCH(AC$1,[3]enemy_skill_sets!$1:$1,0)-MATCH($AB$1,[3]enemy_skill_sets!$1:$1,0)+1),MATCH(AC$1,[3]enemy_skill_sets!$1:$1,0)-MATCH($AB$1,[3]enemy_skill_sets!$1:$1,0)+1,FALSE)</f>
        <v>凄まじい気迫を感じる…！</v>
      </c>
      <c r="AD294" s="27">
        <v>1</v>
      </c>
      <c r="AE294" s="37">
        <v>1</v>
      </c>
      <c r="AF294" s="37">
        <v>0</v>
      </c>
      <c r="AG294" s="28">
        <f ca="1">ROUND(VLOOKUP(1,enemy_base_stats!$A:$F,2,FALSE) * Y294* J294*O294*E294*S294*AD294*[2]ステータス!$B$2,0)</f>
        <v>3995</v>
      </c>
      <c r="AH294" s="28">
        <f ca="1">ROUND(VLOOKUP(1,enemy_base_stats!$A:$F,3,FALSE) * Z294*K294*P294*F294*T294*AE294 * W294*[2]ステータス!$C$2,0)</f>
        <v>199</v>
      </c>
      <c r="AI294" s="28">
        <f ca="1">ROUND(VLOOKUP(1,enemy_base_stats!$A:$F,4,FALSE) * AA294*L294*Q294*G294*U294*AF294*[2]ステータス!$D$2,0)</f>
        <v>0</v>
      </c>
      <c r="AJ294" s="28">
        <f ca="1">ROUND(VLOOKUP(100,enemy_base_stats!$A:$F,2,FALSE) * Y294* J294*O294*E294*S294*AD294*[2]ステータス!$B$2,0)</f>
        <v>162197</v>
      </c>
      <c r="AK294" s="28">
        <f ca="1">ROUND(VLOOKUP(100,enemy_base_stats!$A:$F,3,FALSE)* Z294* K294*P294*F294*T294*AE294 * W294*[2]ステータス!$C$2,0)</f>
        <v>8065</v>
      </c>
      <c r="AL294" s="28">
        <f ca="1">ROUND(VLOOKUP(100,enemy_base_stats!$A:$F,4,FALSE)* AA294* L294*Q294*G294*U294*AF294*[2]ステータス!$D$2,0)</f>
        <v>0</v>
      </c>
      <c r="AM294" s="24">
        <f ca="1">VLOOKUP(M294,[2]character_tribe_i18n!$A:$I,9,FALSE)</f>
        <v>400</v>
      </c>
      <c r="AN294" s="36">
        <v>0</v>
      </c>
      <c r="AO294" s="53">
        <v>0</v>
      </c>
      <c r="AP294" s="58" t="s">
        <v>72</v>
      </c>
      <c r="AQ294" s="71">
        <f t="shared" ca="1" si="8"/>
        <v>293</v>
      </c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</row>
    <row r="295" spans="1:60" s="3" customFormat="1" ht="21" customHeight="1" x14ac:dyDescent="0.15">
      <c r="A295" s="7">
        <f t="shared" ca="1" si="9"/>
        <v>294</v>
      </c>
      <c r="B295" s="6" t="str">
        <f ca="1">VLOOKUP(A295,[2]characters!$A:$C,3,FALSE)</f>
        <v>ウルフ・ザ・レッドイーター</v>
      </c>
      <c r="C295" s="9">
        <f ca="1">VLOOKUP(A295,[2]characters!$A:$I,9,FALSE)</f>
        <v>4</v>
      </c>
      <c r="D295" s="9" t="str">
        <f ca="1">VLOOKUP(A295,[2]characters!$A:$H,8,FALSE)</f>
        <v>green</v>
      </c>
      <c r="E295" s="24">
        <f ca="1">VLOOKUP(D295,[2]属性!$A:$E,2,FALSE)</f>
        <v>1.02</v>
      </c>
      <c r="F295" s="24">
        <f ca="1">VLOOKUP(D295,[2]属性!$A:$E,3,FALSE)</f>
        <v>0.98</v>
      </c>
      <c r="G295" s="24">
        <f ca="1">VLOOKUP(D295,[2]属性!$A:$F,4,FALSE)</f>
        <v>1</v>
      </c>
      <c r="H295" s="9" t="str">
        <f ca="1">VLOOKUP(A295,[2]characters!$A:$K,11,FALSE)</f>
        <v>attack</v>
      </c>
      <c r="I295" s="14" t="str">
        <f ca="1">VLOOKUP(H295,[2]character_type_i18n!$A:$F,3,FALSE)</f>
        <v>攻撃タイプ</v>
      </c>
      <c r="J295" s="36">
        <f ca="1">VLOOKUP(H295,[2]character_type_i18n!$A:$F,4,FALSE)</f>
        <v>1</v>
      </c>
      <c r="K295" s="36">
        <f ca="1">VLOOKUP(H295,[2]character_type_i18n!$A:$F,5,FALSE)</f>
        <v>1.33</v>
      </c>
      <c r="L295" s="36">
        <f ca="1">VLOOKUP(H295,[2]character_type_i18n!$A:$F,6,FALSE)</f>
        <v>1</v>
      </c>
      <c r="M295" s="9" t="str">
        <f ca="1">VLOOKUP(A295,[2]characters!$A:$M,13,FALSE)</f>
        <v>animal</v>
      </c>
      <c r="N295" s="14" t="str">
        <f ca="1">VLOOKUP(M295,[2]character_tribe_i18n!$A:$F,3,FALSE)</f>
        <v>アニマル</v>
      </c>
      <c r="O295" s="24">
        <f ca="1">VLOOKUP(M295,[2]character_tribe_i18n!$A:$F,4,FALSE)</f>
        <v>1</v>
      </c>
      <c r="P295" s="24">
        <f ca="1">VLOOKUP(M295,[2]character_tribe_i18n!$A:$F,5,FALSE)</f>
        <v>1.1000000000000001</v>
      </c>
      <c r="Q295" s="24">
        <f ca="1">VLOOKUP(M295,[2]character_tribe_i18n!$A:$F,6,FALSE)</f>
        <v>1</v>
      </c>
      <c r="R295" s="25" t="s">
        <v>4</v>
      </c>
      <c r="S295" s="24">
        <f>VLOOKUP($R295,ラベル別係数!$A$1:$E$7,3,FALSE)</f>
        <v>5</v>
      </c>
      <c r="T295" s="24">
        <f>VLOOKUP($R295,ラベル別係数!$A$1:$E$7,4,FALSE)</f>
        <v>1.3</v>
      </c>
      <c r="U295" s="24">
        <f>VLOOKUP($R295,ラベル別係数!$A$1:$E$7,5,FALSE)</f>
        <v>0.8</v>
      </c>
      <c r="V295" s="27">
        <v>2</v>
      </c>
      <c r="W295" s="28">
        <f>VLOOKUP(V295,ターン数別攻撃係数!$A$1:$B$1000,2,FALSE)</f>
        <v>0.75</v>
      </c>
      <c r="X295" s="10">
        <v>30</v>
      </c>
      <c r="Y295" s="26">
        <f>VLOOKUP($X295,サイズ別係数!$B:$E,2,FALSE)</f>
        <v>1.3</v>
      </c>
      <c r="Z295" s="26">
        <f>VLOOKUP($X295,サイズ別係数!$B:$E,3,FALSE)</f>
        <v>1.3</v>
      </c>
      <c r="AA295" s="26">
        <f>VLOOKUP($X295,サイズ別係数!$B:$E,4,FALSE)</f>
        <v>1.1000000000000001</v>
      </c>
      <c r="AB295" s="5">
        <v>0</v>
      </c>
      <c r="AC295" s="34" t="str">
        <f ca="1">VLOOKUP($AB295,OFFSET([3]enemy_skill_sets!$B$2,0,0,COUNTA([3]enemy_skill_sets!$A:$A),MATCH(AC$1,[3]enemy_skill_sets!$1:$1,0)-MATCH($AB$1,[3]enemy_skill_sets!$1:$1,0)+1),MATCH(AC$1,[3]enemy_skill_sets!$1:$1,0)-MATCH($AB$1,[3]enemy_skill_sets!$1:$1,0)+1,FALSE)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95" s="27">
        <v>1</v>
      </c>
      <c r="AE295" s="37">
        <v>1</v>
      </c>
      <c r="AF295" s="37">
        <v>0</v>
      </c>
      <c r="AG295" s="28">
        <f ca="1">ROUND(VLOOKUP(1,enemy_base_stats!$A:$F,2,FALSE) * Y295* J295*O295*E295*S295*AD295*[2]ステータス!$B$2,0)</f>
        <v>3315</v>
      </c>
      <c r="AH295" s="28">
        <f ca="1">ROUND(VLOOKUP(1,enemy_base_stats!$A:$F,3,FALSE) * Z295*K295*P295*F295*T295*AE295 * W295*[2]ステータス!$C$2,0)</f>
        <v>273</v>
      </c>
      <c r="AI295" s="28">
        <f ca="1">ROUND(VLOOKUP(1,enemy_base_stats!$A:$F,4,FALSE) * AA295*L295*Q295*G295*U295*AF295*[2]ステータス!$D$2,0)</f>
        <v>0</v>
      </c>
      <c r="AJ295" s="28">
        <f ca="1">ROUND(VLOOKUP(100,enemy_base_stats!$A:$F,2,FALSE) * Y295* J295*O295*E295*S295*AD295*[2]ステータス!$B$2,0)</f>
        <v>134589</v>
      </c>
      <c r="AK295" s="28">
        <f ca="1">ROUND(VLOOKUP(100,enemy_base_stats!$A:$F,3,FALSE)* Z295* K295*P295*F295*T295*AE295 * W295*[2]ステータス!$C$2,0)</f>
        <v>11067</v>
      </c>
      <c r="AL295" s="28">
        <f ca="1">ROUND(VLOOKUP(100,enemy_base_stats!$A:$F,4,FALSE)* AA295* L295*Q295*G295*U295*AF295*[2]ステータス!$D$2,0)</f>
        <v>0</v>
      </c>
      <c r="AM295" s="24">
        <f ca="1">VLOOKUP(M295,[2]character_tribe_i18n!$A:$I,9,FALSE)</f>
        <v>480</v>
      </c>
      <c r="AN295" s="36">
        <v>0</v>
      </c>
      <c r="AO295" s="53">
        <v>0</v>
      </c>
      <c r="AP295" s="58" t="s">
        <v>72</v>
      </c>
      <c r="AQ295" s="71">
        <f t="shared" ca="1" si="8"/>
        <v>294</v>
      </c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</row>
    <row r="296" spans="1:60" s="3" customFormat="1" ht="21" customHeight="1" x14ac:dyDescent="0.15">
      <c r="A296" s="7">
        <f t="shared" ca="1" si="9"/>
        <v>295</v>
      </c>
      <c r="B296" s="6" t="str">
        <f ca="1">VLOOKUP(A296,[2]characters!$A:$C,3,FALSE)</f>
        <v>ウルフ・ザ・レッドクラッシャー</v>
      </c>
      <c r="C296" s="9">
        <f ca="1">VLOOKUP(A296,[2]characters!$A:$I,9,FALSE)</f>
        <v>5</v>
      </c>
      <c r="D296" s="9" t="str">
        <f ca="1">VLOOKUP(A296,[2]characters!$A:$H,8,FALSE)</f>
        <v>green</v>
      </c>
      <c r="E296" s="24">
        <f ca="1">VLOOKUP(D296,[2]属性!$A:$E,2,FALSE)</f>
        <v>1.02</v>
      </c>
      <c r="F296" s="24">
        <f ca="1">VLOOKUP(D296,[2]属性!$A:$E,3,FALSE)</f>
        <v>0.98</v>
      </c>
      <c r="G296" s="24">
        <f ca="1">VLOOKUP(D296,[2]属性!$A:$F,4,FALSE)</f>
        <v>1</v>
      </c>
      <c r="H296" s="9" t="str">
        <f ca="1">VLOOKUP(A296,[2]characters!$A:$K,11,FALSE)</f>
        <v>attack</v>
      </c>
      <c r="I296" s="14" t="str">
        <f ca="1">VLOOKUP(H296,[2]character_type_i18n!$A:$F,3,FALSE)</f>
        <v>攻撃タイプ</v>
      </c>
      <c r="J296" s="36">
        <f ca="1">VLOOKUP(H296,[2]character_type_i18n!$A:$F,4,FALSE)</f>
        <v>1</v>
      </c>
      <c r="K296" s="36">
        <f ca="1">VLOOKUP(H296,[2]character_type_i18n!$A:$F,5,FALSE)</f>
        <v>1.33</v>
      </c>
      <c r="L296" s="36">
        <f ca="1">VLOOKUP(H296,[2]character_type_i18n!$A:$F,6,FALSE)</f>
        <v>1</v>
      </c>
      <c r="M296" s="9" t="str">
        <f ca="1">VLOOKUP(A296,[2]characters!$A:$M,13,FALSE)</f>
        <v>animal</v>
      </c>
      <c r="N296" s="14" t="str">
        <f ca="1">VLOOKUP(M296,[2]character_tribe_i18n!$A:$F,3,FALSE)</f>
        <v>アニマル</v>
      </c>
      <c r="O296" s="24">
        <f ca="1">VLOOKUP(M296,[2]character_tribe_i18n!$A:$F,4,FALSE)</f>
        <v>1</v>
      </c>
      <c r="P296" s="24">
        <f ca="1">VLOOKUP(M296,[2]character_tribe_i18n!$A:$F,5,FALSE)</f>
        <v>1.1000000000000001</v>
      </c>
      <c r="Q296" s="24">
        <f ca="1">VLOOKUP(M296,[2]character_tribe_i18n!$A:$F,6,FALSE)</f>
        <v>1</v>
      </c>
      <c r="R296" s="25" t="s">
        <v>4</v>
      </c>
      <c r="S296" s="24">
        <f>VLOOKUP($R296,ラベル別係数!$A$1:$E$7,3,FALSE)</f>
        <v>5</v>
      </c>
      <c r="T296" s="24">
        <f>VLOOKUP($R296,ラベル別係数!$A$1:$E$7,4,FALSE)</f>
        <v>1.3</v>
      </c>
      <c r="U296" s="24">
        <f>VLOOKUP($R296,ラベル別係数!$A$1:$E$7,5,FALSE)</f>
        <v>0.8</v>
      </c>
      <c r="V296" s="27">
        <v>2</v>
      </c>
      <c r="W296" s="28">
        <f>VLOOKUP(V296,ターン数別攻撃係数!$A$1:$B$1000,2,FALSE)</f>
        <v>0.75</v>
      </c>
      <c r="X296" s="10">
        <v>60</v>
      </c>
      <c r="Y296" s="26">
        <f>VLOOKUP($X296,サイズ別係数!$B:$E,2,FALSE)</f>
        <v>1.7</v>
      </c>
      <c r="Z296" s="26">
        <f>VLOOKUP($X296,サイズ別係数!$B:$E,3,FALSE)</f>
        <v>1.4</v>
      </c>
      <c r="AA296" s="26">
        <f>VLOOKUP($X296,サイズ別係数!$B:$E,4,FALSE)</f>
        <v>1</v>
      </c>
      <c r="AB296" s="5">
        <v>0</v>
      </c>
      <c r="AC296" s="34" t="str">
        <f ca="1">VLOOKUP($AB296,OFFSET([3]enemy_skill_sets!$B$2,0,0,COUNTA([3]enemy_skill_sets!$A:$A),MATCH(AC$1,[3]enemy_skill_sets!$1:$1,0)-MATCH($AB$1,[3]enemy_skill_sets!$1:$1,0)+1),MATCH(AC$1,[3]enemy_skill_sets!$1:$1,0)-MATCH($AB$1,[3]enemy_skill_sets!$1:$1,0)+1,FALSE)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96" s="27">
        <v>1</v>
      </c>
      <c r="AE296" s="37">
        <v>1</v>
      </c>
      <c r="AF296" s="37">
        <v>0</v>
      </c>
      <c r="AG296" s="28">
        <f ca="1">ROUND(VLOOKUP(1,enemy_base_stats!$A:$F,2,FALSE) * Y296* J296*O296*E296*S296*AD296*[2]ステータス!$B$2,0)</f>
        <v>4335</v>
      </c>
      <c r="AH296" s="28">
        <f ca="1">ROUND(VLOOKUP(1,enemy_base_stats!$A:$F,3,FALSE) * Z296*K296*P296*F296*T296*AE296 * W296*[2]ステータス!$C$2,0)</f>
        <v>294</v>
      </c>
      <c r="AI296" s="28">
        <f ca="1">ROUND(VLOOKUP(1,enemy_base_stats!$A:$F,4,FALSE) * AA296*L296*Q296*G296*U296*AF296*[2]ステータス!$D$2,0)</f>
        <v>0</v>
      </c>
      <c r="AJ296" s="28">
        <f ca="1">ROUND(VLOOKUP(100,enemy_base_stats!$A:$F,2,FALSE) * Y296* J296*O296*E296*S296*AD296*[2]ステータス!$B$2,0)</f>
        <v>176001</v>
      </c>
      <c r="AK296" s="28">
        <f ca="1">ROUND(VLOOKUP(100,enemy_base_stats!$A:$F,3,FALSE)* Z296* K296*P296*F296*T296*AE296 * W296*[2]ステータス!$C$2,0)</f>
        <v>11918</v>
      </c>
      <c r="AL296" s="28">
        <f ca="1">ROUND(VLOOKUP(100,enemy_base_stats!$A:$F,4,FALSE)* AA296* L296*Q296*G296*U296*AF296*[2]ステータス!$D$2,0)</f>
        <v>0</v>
      </c>
      <c r="AM296" s="24">
        <f ca="1">VLOOKUP(M296,[2]character_tribe_i18n!$A:$I,9,FALSE)</f>
        <v>480</v>
      </c>
      <c r="AN296" s="36">
        <v>0</v>
      </c>
      <c r="AO296" s="53">
        <v>0</v>
      </c>
      <c r="AP296" s="58" t="s">
        <v>72</v>
      </c>
      <c r="AQ296" s="71">
        <f t="shared" ca="1" si="8"/>
        <v>295</v>
      </c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8"/>
      <c r="BC296" s="18"/>
      <c r="BD296" s="18"/>
      <c r="BE296" s="18"/>
      <c r="BF296" s="18"/>
      <c r="BG296" s="18"/>
      <c r="BH296" s="18"/>
    </row>
    <row r="297" spans="1:60" s="3" customFormat="1" ht="21" customHeight="1" x14ac:dyDescent="0.15">
      <c r="A297" s="7">
        <f t="shared" ca="1" si="9"/>
        <v>296</v>
      </c>
      <c r="B297" s="6" t="str">
        <f ca="1">VLOOKUP(A297,[2]characters!$A:$C,3,FALSE)</f>
        <v>アザゼル</v>
      </c>
      <c r="C297" s="9">
        <f ca="1">VLOOKUP(A297,[2]characters!$A:$I,9,FALSE)</f>
        <v>4</v>
      </c>
      <c r="D297" s="9" t="str">
        <f ca="1">VLOOKUP(A297,[2]characters!$A:$H,8,FALSE)</f>
        <v>green</v>
      </c>
      <c r="E297" s="24">
        <f ca="1">VLOOKUP(D297,[2]属性!$A:$E,2,FALSE)</f>
        <v>1.02</v>
      </c>
      <c r="F297" s="24">
        <f ca="1">VLOOKUP(D297,[2]属性!$A:$E,3,FALSE)</f>
        <v>0.98</v>
      </c>
      <c r="G297" s="24">
        <f ca="1">VLOOKUP(D297,[2]属性!$A:$F,4,FALSE)</f>
        <v>1</v>
      </c>
      <c r="H297" s="9" t="str">
        <f ca="1">VLOOKUP(A297,[2]characters!$A:$K,11,FALSE)</f>
        <v>technical</v>
      </c>
      <c r="I297" s="14" t="str">
        <f ca="1">VLOOKUP(H297,[2]character_type_i18n!$A:$F,3,FALSE)</f>
        <v>テクニカルタイプ</v>
      </c>
      <c r="J297" s="36">
        <f ca="1">VLOOKUP(H297,[2]character_type_i18n!$A:$F,4,FALSE)</f>
        <v>0.9</v>
      </c>
      <c r="K297" s="36">
        <f ca="1">VLOOKUP(H297,[2]character_type_i18n!$A:$F,5,FALSE)</f>
        <v>0.9</v>
      </c>
      <c r="L297" s="36">
        <f ca="1">VLOOKUP(H297,[2]character_type_i18n!$A:$F,6,FALSE)</f>
        <v>1</v>
      </c>
      <c r="M297" s="9" t="str">
        <f ca="1">VLOOKUP(A297,[2]characters!$A:$M,13,FALSE)</f>
        <v>god</v>
      </c>
      <c r="N297" s="14" t="str">
        <f ca="1">VLOOKUP(M297,[2]character_tribe_i18n!$A:$F,3,FALSE)</f>
        <v>ゴッド</v>
      </c>
      <c r="O297" s="24">
        <f ca="1">VLOOKUP(M297,[2]character_tribe_i18n!$A:$F,4,FALSE)</f>
        <v>0.96</v>
      </c>
      <c r="P297" s="24">
        <f ca="1">VLOOKUP(M297,[2]character_tribe_i18n!$A:$F,5,FALSE)</f>
        <v>1.02</v>
      </c>
      <c r="Q297" s="24">
        <f ca="1">VLOOKUP(M297,[2]character_tribe_i18n!$A:$F,6,FALSE)</f>
        <v>1</v>
      </c>
      <c r="R297" s="25" t="s">
        <v>4</v>
      </c>
      <c r="S297" s="24">
        <f>VLOOKUP($R297,ラベル別係数!$A$1:$E$7,3,FALSE)</f>
        <v>5</v>
      </c>
      <c r="T297" s="24">
        <f>VLOOKUP($R297,ラベル別係数!$A$1:$E$7,4,FALSE)</f>
        <v>1.3</v>
      </c>
      <c r="U297" s="24">
        <f>VLOOKUP($R297,ラベル別係数!$A$1:$E$7,5,FALSE)</f>
        <v>0.8</v>
      </c>
      <c r="V297" s="27">
        <v>2</v>
      </c>
      <c r="W297" s="28">
        <f>VLOOKUP(V297,ターン数別攻撃係数!$A$1:$B$1000,2,FALSE)</f>
        <v>0.75</v>
      </c>
      <c r="X297" s="10">
        <v>30</v>
      </c>
      <c r="Y297" s="26">
        <f>VLOOKUP($X297,サイズ別係数!$B:$E,2,FALSE)</f>
        <v>1.3</v>
      </c>
      <c r="Z297" s="26">
        <f>VLOOKUP($X297,サイズ別係数!$B:$E,3,FALSE)</f>
        <v>1.3</v>
      </c>
      <c r="AA297" s="26">
        <f>VLOOKUP($X297,サイズ別係数!$B:$E,4,FALSE)</f>
        <v>1.1000000000000001</v>
      </c>
      <c r="AB297" s="5">
        <v>0</v>
      </c>
      <c r="AC297" s="34" t="str">
        <f ca="1">VLOOKUP($AB297,OFFSET([3]enemy_skill_sets!$B$2,0,0,COUNTA([3]enemy_skill_sets!$A:$A),MATCH(AC$1,[3]enemy_skill_sets!$1:$1,0)-MATCH($AB$1,[3]enemy_skill_sets!$1:$1,0)+1),MATCH(AC$1,[3]enemy_skill_sets!$1:$1,0)-MATCH($AB$1,[3]enemy_skill_sets!$1:$1,0)+1,FALSE)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97" s="27">
        <v>1</v>
      </c>
      <c r="AE297" s="37">
        <v>1</v>
      </c>
      <c r="AF297" s="37">
        <v>0</v>
      </c>
      <c r="AG297" s="28">
        <f ca="1">ROUND(VLOOKUP(1,enemy_base_stats!$A:$F,2,FALSE) * Y297* J297*O297*E297*S297*AD297*[2]ステータス!$B$2,0)</f>
        <v>2864</v>
      </c>
      <c r="AH297" s="28">
        <f ca="1">ROUND(VLOOKUP(1,enemy_base_stats!$A:$F,3,FALSE) * Z297*K297*P297*F297*T297*AE297 * W297*[2]ステータス!$C$2,0)</f>
        <v>171</v>
      </c>
      <c r="AI297" s="28">
        <f ca="1">ROUND(VLOOKUP(1,enemy_base_stats!$A:$F,4,FALSE) * AA297*L297*Q297*G297*U297*AF297*[2]ステータス!$D$2,0)</f>
        <v>0</v>
      </c>
      <c r="AJ297" s="28">
        <f ca="1">ROUND(VLOOKUP(100,enemy_base_stats!$A:$F,2,FALSE) * Y297* J297*O297*E297*S297*AD297*[2]ステータス!$B$2,0)</f>
        <v>116285</v>
      </c>
      <c r="AK297" s="28">
        <f ca="1">ROUND(VLOOKUP(100,enemy_base_stats!$A:$F,3,FALSE)* Z297* K297*P297*F297*T297*AE297 * W297*[2]ステータス!$C$2,0)</f>
        <v>6944</v>
      </c>
      <c r="AL297" s="28">
        <f ca="1">ROUND(VLOOKUP(100,enemy_base_stats!$A:$F,4,FALSE)* AA297* L297*Q297*G297*U297*AF297*[2]ステータス!$D$2,0)</f>
        <v>0</v>
      </c>
      <c r="AM297" s="24">
        <f ca="1">VLOOKUP(M297,[2]character_tribe_i18n!$A:$I,9,FALSE)</f>
        <v>680</v>
      </c>
      <c r="AN297" s="36">
        <v>0</v>
      </c>
      <c r="AO297" s="53">
        <v>0</v>
      </c>
      <c r="AP297" s="58" t="s">
        <v>72</v>
      </c>
      <c r="AQ297" s="71">
        <f t="shared" ca="1" si="8"/>
        <v>296</v>
      </c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8"/>
      <c r="BC297" s="18"/>
      <c r="BD297" s="18"/>
      <c r="BE297" s="18"/>
      <c r="BF297" s="18"/>
      <c r="BG297" s="18"/>
      <c r="BH297" s="18"/>
    </row>
    <row r="298" spans="1:60" s="3" customFormat="1" ht="21" customHeight="1" x14ac:dyDescent="0.15">
      <c r="A298" s="7">
        <f t="shared" ca="1" si="9"/>
        <v>297</v>
      </c>
      <c r="B298" s="6" t="str">
        <f ca="1">VLOOKUP(A298,[2]characters!$A:$C,3,FALSE)</f>
        <v>狂靭なる双撃 アザゼル</v>
      </c>
      <c r="C298" s="9">
        <f ca="1">VLOOKUP(A298,[2]characters!$A:$I,9,FALSE)</f>
        <v>5</v>
      </c>
      <c r="D298" s="9" t="str">
        <f ca="1">VLOOKUP(A298,[2]characters!$A:$H,8,FALSE)</f>
        <v>green</v>
      </c>
      <c r="E298" s="24">
        <f ca="1">VLOOKUP(D298,[2]属性!$A:$E,2,FALSE)</f>
        <v>1.02</v>
      </c>
      <c r="F298" s="24">
        <f ca="1">VLOOKUP(D298,[2]属性!$A:$E,3,FALSE)</f>
        <v>0.98</v>
      </c>
      <c r="G298" s="24">
        <f ca="1">VLOOKUP(D298,[2]属性!$A:$F,4,FALSE)</f>
        <v>1</v>
      </c>
      <c r="H298" s="9" t="str">
        <f ca="1">VLOOKUP(A298,[2]characters!$A:$K,11,FALSE)</f>
        <v>technical</v>
      </c>
      <c r="I298" s="14" t="str">
        <f ca="1">VLOOKUP(H298,[2]character_type_i18n!$A:$F,3,FALSE)</f>
        <v>テクニカルタイプ</v>
      </c>
      <c r="J298" s="36">
        <f ca="1">VLOOKUP(H298,[2]character_type_i18n!$A:$F,4,FALSE)</f>
        <v>0.9</v>
      </c>
      <c r="K298" s="36">
        <f ca="1">VLOOKUP(H298,[2]character_type_i18n!$A:$F,5,FALSE)</f>
        <v>0.9</v>
      </c>
      <c r="L298" s="36">
        <f ca="1">VLOOKUP(H298,[2]character_type_i18n!$A:$F,6,FALSE)</f>
        <v>1</v>
      </c>
      <c r="M298" s="9" t="str">
        <f ca="1">VLOOKUP(A298,[2]characters!$A:$M,13,FALSE)</f>
        <v>god</v>
      </c>
      <c r="N298" s="14" t="str">
        <f ca="1">VLOOKUP(M298,[2]character_tribe_i18n!$A:$F,3,FALSE)</f>
        <v>ゴッド</v>
      </c>
      <c r="O298" s="24">
        <f ca="1">VLOOKUP(M298,[2]character_tribe_i18n!$A:$F,4,FALSE)</f>
        <v>0.96</v>
      </c>
      <c r="P298" s="24">
        <f ca="1">VLOOKUP(M298,[2]character_tribe_i18n!$A:$F,5,FALSE)</f>
        <v>1.02</v>
      </c>
      <c r="Q298" s="24">
        <f ca="1">VLOOKUP(M298,[2]character_tribe_i18n!$A:$F,6,FALSE)</f>
        <v>1</v>
      </c>
      <c r="R298" s="25" t="s">
        <v>4</v>
      </c>
      <c r="S298" s="24">
        <f>VLOOKUP($R298,ラベル別係数!$A$1:$E$7,3,FALSE)</f>
        <v>5</v>
      </c>
      <c r="T298" s="24">
        <f>VLOOKUP($R298,ラベル別係数!$A$1:$E$7,4,FALSE)</f>
        <v>1.3</v>
      </c>
      <c r="U298" s="24">
        <f>VLOOKUP($R298,ラベル別係数!$A$1:$E$7,5,FALSE)</f>
        <v>0.8</v>
      </c>
      <c r="V298" s="27">
        <v>2</v>
      </c>
      <c r="W298" s="28">
        <f>VLOOKUP(V298,ターン数別攻撃係数!$A$1:$B$1000,2,FALSE)</f>
        <v>0.75</v>
      </c>
      <c r="X298" s="10">
        <v>60</v>
      </c>
      <c r="Y298" s="26">
        <f>VLOOKUP($X298,サイズ別係数!$B:$E,2,FALSE)</f>
        <v>1.7</v>
      </c>
      <c r="Z298" s="26">
        <f>VLOOKUP($X298,サイズ別係数!$B:$E,3,FALSE)</f>
        <v>1.4</v>
      </c>
      <c r="AA298" s="26">
        <f>VLOOKUP($X298,サイズ別係数!$B:$E,4,FALSE)</f>
        <v>1</v>
      </c>
      <c r="AB298" s="5">
        <v>0</v>
      </c>
      <c r="AC298" s="34" t="str">
        <f ca="1">VLOOKUP($AB298,OFFSET([3]enemy_skill_sets!$B$2,0,0,COUNTA([3]enemy_skill_sets!$A:$A),MATCH(AC$1,[3]enemy_skill_sets!$1:$1,0)-MATCH($AB$1,[3]enemy_skill_sets!$1:$1,0)+1),MATCH(AC$1,[3]enemy_skill_sets!$1:$1,0)-MATCH($AB$1,[3]enemy_skill_sets!$1:$1,0)+1,FALSE)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98" s="27">
        <v>1</v>
      </c>
      <c r="AE298" s="37">
        <v>1</v>
      </c>
      <c r="AF298" s="37">
        <v>0</v>
      </c>
      <c r="AG298" s="28">
        <f ca="1">ROUND(VLOOKUP(1,enemy_base_stats!$A:$F,2,FALSE) * Y298* J298*O298*E298*S298*AD298*[2]ステータス!$B$2,0)</f>
        <v>3745</v>
      </c>
      <c r="AH298" s="28">
        <f ca="1">ROUND(VLOOKUP(1,enemy_base_stats!$A:$F,3,FALSE) * Z298*K298*P298*F298*T298*AE298 * W298*[2]ステータス!$C$2,0)</f>
        <v>184</v>
      </c>
      <c r="AI298" s="28">
        <f ca="1">ROUND(VLOOKUP(1,enemy_base_stats!$A:$F,4,FALSE) * AA298*L298*Q298*G298*U298*AF298*[2]ステータス!$D$2,0)</f>
        <v>0</v>
      </c>
      <c r="AJ298" s="28">
        <f ca="1">ROUND(VLOOKUP(100,enemy_base_stats!$A:$F,2,FALSE) * Y298* J298*O298*E298*S298*AD298*[2]ステータス!$B$2,0)</f>
        <v>152065</v>
      </c>
      <c r="AK298" s="28">
        <f ca="1">ROUND(VLOOKUP(100,enemy_base_stats!$A:$F,3,FALSE)* Z298* K298*P298*F298*T298*AE298 * W298*[2]ステータス!$C$2,0)</f>
        <v>7479</v>
      </c>
      <c r="AL298" s="28">
        <f ca="1">ROUND(VLOOKUP(100,enemy_base_stats!$A:$F,4,FALSE)* AA298* L298*Q298*G298*U298*AF298*[2]ステータス!$D$2,0)</f>
        <v>0</v>
      </c>
      <c r="AM298" s="64">
        <v>50000</v>
      </c>
      <c r="AN298" s="36">
        <v>0</v>
      </c>
      <c r="AO298" s="53">
        <v>0</v>
      </c>
      <c r="AP298" s="58" t="s">
        <v>72</v>
      </c>
      <c r="AQ298" s="71">
        <f t="shared" ca="1" si="8"/>
        <v>297</v>
      </c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</row>
    <row r="299" spans="1:60" s="3" customFormat="1" ht="21" customHeight="1" x14ac:dyDescent="0.15">
      <c r="A299" s="7">
        <f t="shared" ca="1" si="9"/>
        <v>298</v>
      </c>
      <c r="B299" s="6" t="str">
        <f ca="1">VLOOKUP(A299,[2]characters!$A:$C,3,FALSE)</f>
        <v>炎殺のミサコ</v>
      </c>
      <c r="C299" s="9">
        <f ca="1">VLOOKUP(A299,[2]characters!$A:$I,9,FALSE)</f>
        <v>3</v>
      </c>
      <c r="D299" s="9" t="str">
        <f ca="1">VLOOKUP(A299,[2]characters!$A:$H,8,FALSE)</f>
        <v>red</v>
      </c>
      <c r="E299" s="24">
        <f ca="1">VLOOKUP(D299,[2]属性!$A:$E,2,FALSE)</f>
        <v>1</v>
      </c>
      <c r="F299" s="24">
        <f ca="1">VLOOKUP(D299,[2]属性!$A:$E,3,FALSE)</f>
        <v>1.02</v>
      </c>
      <c r="G299" s="24">
        <f ca="1">VLOOKUP(D299,[2]属性!$A:$F,4,FALSE)</f>
        <v>1</v>
      </c>
      <c r="H299" s="9" t="str">
        <f ca="1">VLOOKUP(A299,[2]characters!$A:$K,11,FALSE)</f>
        <v>hp</v>
      </c>
      <c r="I299" s="14" t="str">
        <f ca="1">VLOOKUP(H299,[2]character_type_i18n!$A:$F,3,FALSE)</f>
        <v>体力タイプ</v>
      </c>
      <c r="J299" s="36">
        <f ca="1">VLOOKUP(H299,[2]character_type_i18n!$A:$F,4,FALSE)</f>
        <v>1.45</v>
      </c>
      <c r="K299" s="36">
        <f ca="1">VLOOKUP(H299,[2]character_type_i18n!$A:$F,5,FALSE)</f>
        <v>0.85</v>
      </c>
      <c r="L299" s="36">
        <f ca="1">VLOOKUP(H299,[2]character_type_i18n!$A:$F,6,FALSE)</f>
        <v>1</v>
      </c>
      <c r="M299" s="9" t="str">
        <f ca="1">VLOOKUP(A299,[2]characters!$A:$M,13,FALSE)</f>
        <v>human</v>
      </c>
      <c r="N299" s="14" t="str">
        <f ca="1">VLOOKUP(M299,[2]character_tribe_i18n!$A:$F,3,FALSE)</f>
        <v>ヒューマン</v>
      </c>
      <c r="O299" s="24">
        <f ca="1">VLOOKUP(M299,[2]character_tribe_i18n!$A:$F,4,FALSE)</f>
        <v>0.94</v>
      </c>
      <c r="P299" s="24">
        <f ca="1">VLOOKUP(M299,[2]character_tribe_i18n!$A:$F,5,FALSE)</f>
        <v>0.99</v>
      </c>
      <c r="Q299" s="24">
        <f ca="1">VLOOKUP(M299,[2]character_tribe_i18n!$A:$F,6,FALSE)</f>
        <v>1</v>
      </c>
      <c r="R299" s="25" t="s">
        <v>4</v>
      </c>
      <c r="S299" s="24">
        <f>VLOOKUP($R299,ラベル別係数!$A$1:$E$7,3,FALSE)</f>
        <v>5</v>
      </c>
      <c r="T299" s="24">
        <f>VLOOKUP($R299,ラベル別係数!$A$1:$E$7,4,FALSE)</f>
        <v>1.3</v>
      </c>
      <c r="U299" s="24">
        <f>VLOOKUP($R299,ラベル別係数!$A$1:$E$7,5,FALSE)</f>
        <v>0.8</v>
      </c>
      <c r="V299" s="27">
        <v>2</v>
      </c>
      <c r="W299" s="28">
        <f>VLOOKUP(V299,ターン数別攻撃係数!$A$1:$B$1000,2,FALSE)</f>
        <v>0.75</v>
      </c>
      <c r="X299" s="10">
        <v>20</v>
      </c>
      <c r="Y299" s="26">
        <f>VLOOKUP($X299,サイズ別係数!$B:$E,2,FALSE)</f>
        <v>1.1000000000000001</v>
      </c>
      <c r="Z299" s="26">
        <f>VLOOKUP($X299,サイズ別係数!$B:$E,3,FALSE)</f>
        <v>1.2</v>
      </c>
      <c r="AA299" s="26">
        <f>VLOOKUP($X299,サイズ別係数!$B:$E,4,FALSE)</f>
        <v>1.2</v>
      </c>
      <c r="AB299" s="5">
        <v>0</v>
      </c>
      <c r="AC299" s="34" t="str">
        <f ca="1">VLOOKUP($AB299,OFFSET([3]enemy_skill_sets!$B$2,0,0,COUNTA([3]enemy_skill_sets!$A:$A),MATCH(AC$1,[3]enemy_skill_sets!$1:$1,0)-MATCH($AB$1,[3]enemy_skill_sets!$1:$1,0)+1),MATCH(AC$1,[3]enemy_skill_sets!$1:$1,0)-MATCH($AB$1,[3]enemy_skill_sets!$1:$1,0)+1,FALSE)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299" s="27">
        <v>1</v>
      </c>
      <c r="AE299" s="37">
        <v>1</v>
      </c>
      <c r="AF299" s="37">
        <v>0</v>
      </c>
      <c r="AG299" s="28">
        <f ca="1">ROUND(VLOOKUP(1,enemy_base_stats!$A:$F,2,FALSE) * Y299* J299*O299*E299*S299*AD299*[2]ステータス!$B$2,0)</f>
        <v>3748</v>
      </c>
      <c r="AH299" s="28">
        <f ca="1">ROUND(VLOOKUP(1,enemy_base_stats!$A:$F,3,FALSE) * Z299*K299*P299*F299*T299*AE299 * W299*[2]ステータス!$C$2,0)</f>
        <v>151</v>
      </c>
      <c r="AI299" s="28">
        <f ca="1">ROUND(VLOOKUP(1,enemy_base_stats!$A:$F,4,FALSE) * AA299*L299*Q299*G299*U299*AF299*[2]ステータス!$D$2,0)</f>
        <v>0</v>
      </c>
      <c r="AJ299" s="28">
        <f ca="1">ROUND(VLOOKUP(100,enemy_base_stats!$A:$F,2,FALSE) * Y299* J299*O299*E299*S299*AD299*[2]ステータス!$B$2,0)</f>
        <v>152179</v>
      </c>
      <c r="AK299" s="28">
        <f ca="1">ROUND(VLOOKUP(100,enemy_base_stats!$A:$F,3,FALSE)* Z299* K299*P299*F299*T299*AE299 * W299*[2]ステータス!$C$2,0)</f>
        <v>6116</v>
      </c>
      <c r="AL299" s="28">
        <f ca="1">ROUND(VLOOKUP(100,enemy_base_stats!$A:$F,4,FALSE)* AA299* L299*Q299*G299*U299*AF299*[2]ステータス!$D$2,0)</f>
        <v>0</v>
      </c>
      <c r="AM299" s="24">
        <f ca="1">VLOOKUP(M299,[2]character_tribe_i18n!$A:$I,9,FALSE)</f>
        <v>400</v>
      </c>
      <c r="AN299" s="36">
        <v>0</v>
      </c>
      <c r="AO299" s="53">
        <v>0</v>
      </c>
      <c r="AP299" s="58" t="s">
        <v>72</v>
      </c>
      <c r="AQ299" s="71">
        <f t="shared" ca="1" si="8"/>
        <v>298</v>
      </c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</row>
    <row r="300" spans="1:60" s="3" customFormat="1" ht="21" customHeight="1" x14ac:dyDescent="0.15">
      <c r="A300" s="7">
        <f t="shared" ca="1" si="9"/>
        <v>299</v>
      </c>
      <c r="B300" s="6" t="str">
        <f ca="1">VLOOKUP(A300,[2]characters!$A:$C,3,FALSE)</f>
        <v>狂気の炎風 ミサコ</v>
      </c>
      <c r="C300" s="9">
        <f ca="1">VLOOKUP(A300,[2]characters!$A:$I,9,FALSE)</f>
        <v>4</v>
      </c>
      <c r="D300" s="9" t="str">
        <f ca="1">VLOOKUP(A300,[2]characters!$A:$H,8,FALSE)</f>
        <v>red</v>
      </c>
      <c r="E300" s="24">
        <f ca="1">VLOOKUP(D300,[2]属性!$A:$E,2,FALSE)</f>
        <v>1</v>
      </c>
      <c r="F300" s="24">
        <f ca="1">VLOOKUP(D300,[2]属性!$A:$E,3,FALSE)</f>
        <v>1.02</v>
      </c>
      <c r="G300" s="24">
        <f ca="1">VLOOKUP(D300,[2]属性!$A:$F,4,FALSE)</f>
        <v>1</v>
      </c>
      <c r="H300" s="9" t="str">
        <f ca="1">VLOOKUP(A300,[2]characters!$A:$K,11,FALSE)</f>
        <v>hp</v>
      </c>
      <c r="I300" s="14" t="str">
        <f ca="1">VLOOKUP(H300,[2]character_type_i18n!$A:$F,3,FALSE)</f>
        <v>体力タイプ</v>
      </c>
      <c r="J300" s="36">
        <f ca="1">VLOOKUP(H300,[2]character_type_i18n!$A:$F,4,FALSE)</f>
        <v>1.45</v>
      </c>
      <c r="K300" s="36">
        <f ca="1">VLOOKUP(H300,[2]character_type_i18n!$A:$F,5,FALSE)</f>
        <v>0.85</v>
      </c>
      <c r="L300" s="36">
        <f ca="1">VLOOKUP(H300,[2]character_type_i18n!$A:$F,6,FALSE)</f>
        <v>1</v>
      </c>
      <c r="M300" s="9" t="str">
        <f ca="1">VLOOKUP(A300,[2]characters!$A:$M,13,FALSE)</f>
        <v>human</v>
      </c>
      <c r="N300" s="14" t="str">
        <f ca="1">VLOOKUP(M300,[2]character_tribe_i18n!$A:$F,3,FALSE)</f>
        <v>ヒューマン</v>
      </c>
      <c r="O300" s="24">
        <f ca="1">VLOOKUP(M300,[2]character_tribe_i18n!$A:$F,4,FALSE)</f>
        <v>0.94</v>
      </c>
      <c r="P300" s="24">
        <f ca="1">VLOOKUP(M300,[2]character_tribe_i18n!$A:$F,5,FALSE)</f>
        <v>0.99</v>
      </c>
      <c r="Q300" s="24">
        <f ca="1">VLOOKUP(M300,[2]character_tribe_i18n!$A:$F,6,FALSE)</f>
        <v>1</v>
      </c>
      <c r="R300" s="25" t="s">
        <v>4</v>
      </c>
      <c r="S300" s="24">
        <f>VLOOKUP($R300,ラベル別係数!$A$1:$E$7,3,FALSE)</f>
        <v>5</v>
      </c>
      <c r="T300" s="24">
        <f>VLOOKUP($R300,ラベル別係数!$A$1:$E$7,4,FALSE)</f>
        <v>1.3</v>
      </c>
      <c r="U300" s="24">
        <f>VLOOKUP($R300,ラベル別係数!$A$1:$E$7,5,FALSE)</f>
        <v>0.8</v>
      </c>
      <c r="V300" s="27">
        <v>2</v>
      </c>
      <c r="W300" s="28">
        <f>VLOOKUP(V300,ターン数別攻撃係数!$A$1:$B$1000,2,FALSE)</f>
        <v>0.75</v>
      </c>
      <c r="X300" s="10">
        <v>30</v>
      </c>
      <c r="Y300" s="26">
        <f>VLOOKUP($X300,サイズ別係数!$B:$E,2,FALSE)</f>
        <v>1.3</v>
      </c>
      <c r="Z300" s="26">
        <f>VLOOKUP($X300,サイズ別係数!$B:$E,3,FALSE)</f>
        <v>1.3</v>
      </c>
      <c r="AA300" s="26">
        <f>VLOOKUP($X300,サイズ別係数!$B:$E,4,FALSE)</f>
        <v>1.1000000000000001</v>
      </c>
      <c r="AB300" s="5">
        <v>0</v>
      </c>
      <c r="AC300" s="34" t="str">
        <f ca="1">VLOOKUP($AB300,OFFSET([3]enemy_skill_sets!$B$2,0,0,COUNTA([3]enemy_skill_sets!$A:$A),MATCH(AC$1,[3]enemy_skill_sets!$1:$1,0)-MATCH($AB$1,[3]enemy_skill_sets!$1:$1,0)+1),MATCH(AC$1,[3]enemy_skill_sets!$1:$1,0)-MATCH($AB$1,[3]enemy_skill_sets!$1:$1,0)+1,FALSE)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0" s="27">
        <v>1</v>
      </c>
      <c r="AE300" s="37">
        <v>1</v>
      </c>
      <c r="AF300" s="37">
        <v>0</v>
      </c>
      <c r="AG300" s="28">
        <f ca="1">ROUND(VLOOKUP(1,enemy_base_stats!$A:$F,2,FALSE) * Y300* J300*O300*E300*S300*AD300*[2]ステータス!$B$2,0)</f>
        <v>4430</v>
      </c>
      <c r="AH300" s="28">
        <f ca="1">ROUND(VLOOKUP(1,enemy_base_stats!$A:$F,3,FALSE) * Z300*K300*P300*F300*T300*AE300 * W300*[2]ステータス!$C$2,0)</f>
        <v>163</v>
      </c>
      <c r="AI300" s="28">
        <f ca="1">ROUND(VLOOKUP(1,enemy_base_stats!$A:$F,4,FALSE) * AA300*L300*Q300*G300*U300*AF300*[2]ステータス!$D$2,0)</f>
        <v>0</v>
      </c>
      <c r="AJ300" s="28">
        <f ca="1">ROUND(VLOOKUP(100,enemy_base_stats!$A:$F,2,FALSE) * Y300* J300*O300*E300*S300*AD300*[2]ステータス!$B$2,0)</f>
        <v>179848</v>
      </c>
      <c r="AK300" s="28">
        <f ca="1">ROUND(VLOOKUP(100,enemy_base_stats!$A:$F,3,FALSE)* Z300* K300*P300*F300*T300*AE300 * W300*[2]ステータス!$C$2,0)</f>
        <v>6626</v>
      </c>
      <c r="AL300" s="28">
        <f ca="1">ROUND(VLOOKUP(100,enemy_base_stats!$A:$F,4,FALSE)* AA300* L300*Q300*G300*U300*AF300*[2]ステータス!$D$2,0)</f>
        <v>0</v>
      </c>
      <c r="AM300" s="24">
        <f ca="1">VLOOKUP(M300,[2]character_tribe_i18n!$A:$I,9,FALSE)</f>
        <v>400</v>
      </c>
      <c r="AN300" s="36">
        <v>0</v>
      </c>
      <c r="AO300" s="53">
        <v>0</v>
      </c>
      <c r="AP300" s="58" t="s">
        <v>72</v>
      </c>
      <c r="AQ300" s="71">
        <f t="shared" ca="1" si="8"/>
        <v>299</v>
      </c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</row>
    <row r="301" spans="1:60" s="3" customFormat="1" ht="21" customHeight="1" x14ac:dyDescent="0.15">
      <c r="A301" s="7">
        <f t="shared" ca="1" si="9"/>
        <v>300</v>
      </c>
      <c r="B301" s="6" t="str">
        <f ca="1">VLOOKUP(A301,[2]characters!$A:$C,3,FALSE)</f>
        <v>毒殺のチカ</v>
      </c>
      <c r="C301" s="9">
        <f ca="1">VLOOKUP(A301,[2]characters!$A:$I,9,FALSE)</f>
        <v>3</v>
      </c>
      <c r="D301" s="9" t="str">
        <f ca="1">VLOOKUP(A301,[2]characters!$A:$H,8,FALSE)</f>
        <v>green</v>
      </c>
      <c r="E301" s="24">
        <f ca="1">VLOOKUP(D301,[2]属性!$A:$E,2,FALSE)</f>
        <v>1.02</v>
      </c>
      <c r="F301" s="24">
        <f ca="1">VLOOKUP(D301,[2]属性!$A:$E,3,FALSE)</f>
        <v>0.98</v>
      </c>
      <c r="G301" s="24">
        <f ca="1">VLOOKUP(D301,[2]属性!$A:$F,4,FALSE)</f>
        <v>1</v>
      </c>
      <c r="H301" s="9" t="str">
        <f ca="1">VLOOKUP(A301,[2]characters!$A:$K,11,FALSE)</f>
        <v>balance</v>
      </c>
      <c r="I301" s="14" t="str">
        <f ca="1">VLOOKUP(H301,[2]character_type_i18n!$A:$F,3,FALSE)</f>
        <v>バランスタイプ</v>
      </c>
      <c r="J301" s="36">
        <f ca="1">VLOOKUP(H301,[2]character_type_i18n!$A:$F,4,FALSE)</f>
        <v>1</v>
      </c>
      <c r="K301" s="36">
        <f ca="1">VLOOKUP(H301,[2]character_type_i18n!$A:$F,5,FALSE)</f>
        <v>1</v>
      </c>
      <c r="L301" s="36">
        <f ca="1">VLOOKUP(H301,[2]character_type_i18n!$A:$F,6,FALSE)</f>
        <v>1</v>
      </c>
      <c r="M301" s="9" t="str">
        <f ca="1">VLOOKUP(A301,[2]characters!$A:$M,13,FALSE)</f>
        <v>human</v>
      </c>
      <c r="N301" s="14" t="str">
        <f ca="1">VLOOKUP(M301,[2]character_tribe_i18n!$A:$F,3,FALSE)</f>
        <v>ヒューマン</v>
      </c>
      <c r="O301" s="24">
        <f ca="1">VLOOKUP(M301,[2]character_tribe_i18n!$A:$F,4,FALSE)</f>
        <v>0.94</v>
      </c>
      <c r="P301" s="24">
        <f ca="1">VLOOKUP(M301,[2]character_tribe_i18n!$A:$F,5,FALSE)</f>
        <v>0.99</v>
      </c>
      <c r="Q301" s="24">
        <f ca="1">VLOOKUP(M301,[2]character_tribe_i18n!$A:$F,6,FALSE)</f>
        <v>1</v>
      </c>
      <c r="R301" s="25" t="s">
        <v>4</v>
      </c>
      <c r="S301" s="24">
        <f>VLOOKUP($R301,ラベル別係数!$A$1:$E$7,3,FALSE)</f>
        <v>5</v>
      </c>
      <c r="T301" s="24">
        <f>VLOOKUP($R301,ラベル別係数!$A$1:$E$7,4,FALSE)</f>
        <v>1.3</v>
      </c>
      <c r="U301" s="24">
        <f>VLOOKUP($R301,ラベル別係数!$A$1:$E$7,5,FALSE)</f>
        <v>0.8</v>
      </c>
      <c r="V301" s="27">
        <v>2</v>
      </c>
      <c r="W301" s="28">
        <f>VLOOKUP(V301,ターン数別攻撃係数!$A$1:$B$1000,2,FALSE)</f>
        <v>0.75</v>
      </c>
      <c r="X301" s="10">
        <v>20</v>
      </c>
      <c r="Y301" s="26">
        <f>VLOOKUP($X301,サイズ別係数!$B:$E,2,FALSE)</f>
        <v>1.1000000000000001</v>
      </c>
      <c r="Z301" s="26">
        <f>VLOOKUP($X301,サイズ別係数!$B:$E,3,FALSE)</f>
        <v>1.2</v>
      </c>
      <c r="AA301" s="26">
        <f>VLOOKUP($X301,サイズ別係数!$B:$E,4,FALSE)</f>
        <v>1.2</v>
      </c>
      <c r="AB301" s="5">
        <v>0</v>
      </c>
      <c r="AC301" s="34" t="str">
        <f ca="1">VLOOKUP($AB301,OFFSET([3]enemy_skill_sets!$B$2,0,0,COUNTA([3]enemy_skill_sets!$A:$A),MATCH(AC$1,[3]enemy_skill_sets!$1:$1,0)-MATCH($AB$1,[3]enemy_skill_sets!$1:$1,0)+1),MATCH(AC$1,[3]enemy_skill_sets!$1:$1,0)-MATCH($AB$1,[3]enemy_skill_sets!$1:$1,0)+1,FALSE)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1" s="27">
        <v>1</v>
      </c>
      <c r="AE301" s="37">
        <v>1</v>
      </c>
      <c r="AF301" s="37">
        <v>0</v>
      </c>
      <c r="AG301" s="28">
        <f ca="1">ROUND(VLOOKUP(1,enemy_base_stats!$A:$F,2,FALSE) * Y301* J301*O301*E301*S301*AD301*[2]ステータス!$B$2,0)</f>
        <v>2637</v>
      </c>
      <c r="AH301" s="28">
        <f ca="1">ROUND(VLOOKUP(1,enemy_base_stats!$A:$F,3,FALSE) * Z301*K301*P301*F301*T301*AE301 * W301*[2]ステータス!$C$2,0)</f>
        <v>170</v>
      </c>
      <c r="AI301" s="28">
        <f ca="1">ROUND(VLOOKUP(1,enemy_base_stats!$A:$F,4,FALSE) * AA301*L301*Q301*G301*U301*AF301*[2]ステータス!$D$2,0)</f>
        <v>0</v>
      </c>
      <c r="AJ301" s="28">
        <f ca="1">ROUND(VLOOKUP(100,enemy_base_stats!$A:$F,2,FALSE) * Y301* J301*O301*E301*S301*AD301*[2]ステータス!$B$2,0)</f>
        <v>107050</v>
      </c>
      <c r="AK301" s="28">
        <f ca="1">ROUND(VLOOKUP(100,enemy_base_stats!$A:$F,3,FALSE)* Z301* K301*P301*F301*T301*AE301 * W301*[2]ステータス!$C$2,0)</f>
        <v>6913</v>
      </c>
      <c r="AL301" s="28">
        <f ca="1">ROUND(VLOOKUP(100,enemy_base_stats!$A:$F,4,FALSE)* AA301* L301*Q301*G301*U301*AF301*[2]ステータス!$D$2,0)</f>
        <v>0</v>
      </c>
      <c r="AM301" s="24">
        <f ca="1">VLOOKUP(M301,[2]character_tribe_i18n!$A:$I,9,FALSE)</f>
        <v>400</v>
      </c>
      <c r="AN301" s="36">
        <v>0</v>
      </c>
      <c r="AO301" s="53">
        <v>0</v>
      </c>
      <c r="AP301" s="58" t="s">
        <v>72</v>
      </c>
      <c r="AQ301" s="71">
        <f t="shared" ca="1" si="8"/>
        <v>300</v>
      </c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</row>
    <row r="302" spans="1:60" s="3" customFormat="1" ht="21" customHeight="1" x14ac:dyDescent="0.15">
      <c r="A302" s="7">
        <f t="shared" ca="1" si="9"/>
        <v>301</v>
      </c>
      <c r="B302" s="6" t="str">
        <f ca="1">VLOOKUP(A302,[2]characters!$A:$C,3,FALSE)</f>
        <v>宿痾の葬送 チカ</v>
      </c>
      <c r="C302" s="9">
        <f ca="1">VLOOKUP(A302,[2]characters!$A:$I,9,FALSE)</f>
        <v>4</v>
      </c>
      <c r="D302" s="9" t="str">
        <f ca="1">VLOOKUP(A302,[2]characters!$A:$H,8,FALSE)</f>
        <v>green</v>
      </c>
      <c r="E302" s="24">
        <f ca="1">VLOOKUP(D302,[2]属性!$A:$E,2,FALSE)</f>
        <v>1.02</v>
      </c>
      <c r="F302" s="24">
        <f ca="1">VLOOKUP(D302,[2]属性!$A:$E,3,FALSE)</f>
        <v>0.98</v>
      </c>
      <c r="G302" s="24">
        <f ca="1">VLOOKUP(D302,[2]属性!$A:$F,4,FALSE)</f>
        <v>1</v>
      </c>
      <c r="H302" s="9" t="str">
        <f ca="1">VLOOKUP(A302,[2]characters!$A:$K,11,FALSE)</f>
        <v>balance</v>
      </c>
      <c r="I302" s="14" t="str">
        <f ca="1">VLOOKUP(H302,[2]character_type_i18n!$A:$F,3,FALSE)</f>
        <v>バランスタイプ</v>
      </c>
      <c r="J302" s="36">
        <f ca="1">VLOOKUP(H302,[2]character_type_i18n!$A:$F,4,FALSE)</f>
        <v>1</v>
      </c>
      <c r="K302" s="36">
        <f ca="1">VLOOKUP(H302,[2]character_type_i18n!$A:$F,5,FALSE)</f>
        <v>1</v>
      </c>
      <c r="L302" s="36">
        <f ca="1">VLOOKUP(H302,[2]character_type_i18n!$A:$F,6,FALSE)</f>
        <v>1</v>
      </c>
      <c r="M302" s="9" t="str">
        <f ca="1">VLOOKUP(A302,[2]characters!$A:$M,13,FALSE)</f>
        <v>human</v>
      </c>
      <c r="N302" s="14" t="str">
        <f ca="1">VLOOKUP(M302,[2]character_tribe_i18n!$A:$F,3,FALSE)</f>
        <v>ヒューマン</v>
      </c>
      <c r="O302" s="24">
        <f ca="1">VLOOKUP(M302,[2]character_tribe_i18n!$A:$F,4,FALSE)</f>
        <v>0.94</v>
      </c>
      <c r="P302" s="24">
        <f ca="1">VLOOKUP(M302,[2]character_tribe_i18n!$A:$F,5,FALSE)</f>
        <v>0.99</v>
      </c>
      <c r="Q302" s="24">
        <f ca="1">VLOOKUP(M302,[2]character_tribe_i18n!$A:$F,6,FALSE)</f>
        <v>1</v>
      </c>
      <c r="R302" s="25" t="s">
        <v>4</v>
      </c>
      <c r="S302" s="24">
        <f>VLOOKUP($R302,ラベル別係数!$A$1:$E$7,3,FALSE)</f>
        <v>5</v>
      </c>
      <c r="T302" s="24">
        <f>VLOOKUP($R302,ラベル別係数!$A$1:$E$7,4,FALSE)</f>
        <v>1.3</v>
      </c>
      <c r="U302" s="24">
        <f>VLOOKUP($R302,ラベル別係数!$A$1:$E$7,5,FALSE)</f>
        <v>0.8</v>
      </c>
      <c r="V302" s="27">
        <v>2</v>
      </c>
      <c r="W302" s="28">
        <f>VLOOKUP(V302,ターン数別攻撃係数!$A$1:$B$1000,2,FALSE)</f>
        <v>0.75</v>
      </c>
      <c r="X302" s="10">
        <v>30</v>
      </c>
      <c r="Y302" s="26">
        <f>VLOOKUP($X302,サイズ別係数!$B:$E,2,FALSE)</f>
        <v>1.3</v>
      </c>
      <c r="Z302" s="26">
        <f>VLOOKUP($X302,サイズ別係数!$B:$E,3,FALSE)</f>
        <v>1.3</v>
      </c>
      <c r="AA302" s="26">
        <f>VLOOKUP($X302,サイズ別係数!$B:$E,4,FALSE)</f>
        <v>1.1000000000000001</v>
      </c>
      <c r="AB302" s="5">
        <v>0</v>
      </c>
      <c r="AC302" s="34" t="str">
        <f ca="1">VLOOKUP($AB302,OFFSET([3]enemy_skill_sets!$B$2,0,0,COUNTA([3]enemy_skill_sets!$A:$A),MATCH(AC$1,[3]enemy_skill_sets!$1:$1,0)-MATCH($AB$1,[3]enemy_skill_sets!$1:$1,0)+1),MATCH(AC$1,[3]enemy_skill_sets!$1:$1,0)-MATCH($AB$1,[3]enemy_skill_sets!$1:$1,0)+1,FALSE)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2" s="27">
        <v>1</v>
      </c>
      <c r="AE302" s="37">
        <v>1</v>
      </c>
      <c r="AF302" s="37">
        <v>0</v>
      </c>
      <c r="AG302" s="28">
        <f ca="1">ROUND(VLOOKUP(1,enemy_base_stats!$A:$F,2,FALSE) * Y302* J302*O302*E302*S302*AD302*[2]ステータス!$B$2,0)</f>
        <v>3116</v>
      </c>
      <c r="AH302" s="28">
        <f ca="1">ROUND(VLOOKUP(1,enemy_base_stats!$A:$F,3,FALSE) * Z302*K302*P302*F302*T302*AE302 * W302*[2]ステータス!$C$2,0)</f>
        <v>184</v>
      </c>
      <c r="AI302" s="28">
        <f ca="1">ROUND(VLOOKUP(1,enemy_base_stats!$A:$F,4,FALSE) * AA302*L302*Q302*G302*U302*AF302*[2]ステータス!$D$2,0)</f>
        <v>0</v>
      </c>
      <c r="AJ302" s="28">
        <f ca="1">ROUND(VLOOKUP(100,enemy_base_stats!$A:$F,2,FALSE) * Y302* J302*O302*E302*S302*AD302*[2]ステータス!$B$2,0)</f>
        <v>126514</v>
      </c>
      <c r="AK302" s="28">
        <f ca="1">ROUND(VLOOKUP(100,enemy_base_stats!$A:$F,3,FALSE)* Z302* K302*P302*F302*T302*AE302 * W302*[2]ステータス!$C$2,0)</f>
        <v>7489</v>
      </c>
      <c r="AL302" s="28">
        <f ca="1">ROUND(VLOOKUP(100,enemy_base_stats!$A:$F,4,FALSE)* AA302* L302*Q302*G302*U302*AF302*[2]ステータス!$D$2,0)</f>
        <v>0</v>
      </c>
      <c r="AM302" s="24">
        <f ca="1">VLOOKUP(M302,[2]character_tribe_i18n!$A:$I,9,FALSE)</f>
        <v>400</v>
      </c>
      <c r="AN302" s="36">
        <v>0</v>
      </c>
      <c r="AO302" s="53">
        <v>0</v>
      </c>
      <c r="AP302" s="58" t="s">
        <v>72</v>
      </c>
      <c r="AQ302" s="71">
        <f t="shared" ca="1" si="8"/>
        <v>301</v>
      </c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</row>
    <row r="303" spans="1:60" s="3" customFormat="1" ht="21" customHeight="1" x14ac:dyDescent="0.15">
      <c r="A303" s="7">
        <f t="shared" ca="1" si="9"/>
        <v>302</v>
      </c>
      <c r="B303" s="6" t="str">
        <f ca="1">VLOOKUP(A303,[2]characters!$A:$C,3,FALSE)</f>
        <v>絞殺のリサ</v>
      </c>
      <c r="C303" s="9">
        <f ca="1">VLOOKUP(A303,[2]characters!$A:$I,9,FALSE)</f>
        <v>3</v>
      </c>
      <c r="D303" s="9" t="str">
        <f ca="1">VLOOKUP(A303,[2]characters!$A:$H,8,FALSE)</f>
        <v>blue</v>
      </c>
      <c r="E303" s="24">
        <f ca="1">VLOOKUP(D303,[2]属性!$A:$E,2,FALSE)</f>
        <v>1</v>
      </c>
      <c r="F303" s="24">
        <f ca="1">VLOOKUP(D303,[2]属性!$A:$E,3,FALSE)</f>
        <v>0.98</v>
      </c>
      <c r="G303" s="24">
        <f ca="1">VLOOKUP(D303,[2]属性!$A:$F,4,FALSE)</f>
        <v>1</v>
      </c>
      <c r="H303" s="9" t="str">
        <f ca="1">VLOOKUP(A303,[2]characters!$A:$K,11,FALSE)</f>
        <v>heal</v>
      </c>
      <c r="I303" s="14" t="str">
        <f ca="1">VLOOKUP(H303,[2]character_type_i18n!$A:$F,3,FALSE)</f>
        <v>回復タイプ</v>
      </c>
      <c r="J303" s="36">
        <f ca="1">VLOOKUP(H303,[2]character_type_i18n!$A:$F,4,FALSE)</f>
        <v>0.8</v>
      </c>
      <c r="K303" s="36">
        <f ca="1">VLOOKUP(H303,[2]character_type_i18n!$A:$F,5,FALSE)</f>
        <v>0.78</v>
      </c>
      <c r="L303" s="36">
        <f ca="1">VLOOKUP(H303,[2]character_type_i18n!$A:$F,6,FALSE)</f>
        <v>1</v>
      </c>
      <c r="M303" s="9" t="str">
        <f ca="1">VLOOKUP(A303,[2]characters!$A:$M,13,FALSE)</f>
        <v>human</v>
      </c>
      <c r="N303" s="14" t="str">
        <f ca="1">VLOOKUP(M303,[2]character_tribe_i18n!$A:$F,3,FALSE)</f>
        <v>ヒューマン</v>
      </c>
      <c r="O303" s="24">
        <f ca="1">VLOOKUP(M303,[2]character_tribe_i18n!$A:$F,4,FALSE)</f>
        <v>0.94</v>
      </c>
      <c r="P303" s="24">
        <f ca="1">VLOOKUP(M303,[2]character_tribe_i18n!$A:$F,5,FALSE)</f>
        <v>0.99</v>
      </c>
      <c r="Q303" s="24">
        <f ca="1">VLOOKUP(M303,[2]character_tribe_i18n!$A:$F,6,FALSE)</f>
        <v>1</v>
      </c>
      <c r="R303" s="25" t="s">
        <v>4</v>
      </c>
      <c r="S303" s="24">
        <f>VLOOKUP($R303,ラベル別係数!$A$1:$E$7,3,FALSE)</f>
        <v>5</v>
      </c>
      <c r="T303" s="24">
        <f>VLOOKUP($R303,ラベル別係数!$A$1:$E$7,4,FALSE)</f>
        <v>1.3</v>
      </c>
      <c r="U303" s="24">
        <f>VLOOKUP($R303,ラベル別係数!$A$1:$E$7,5,FALSE)</f>
        <v>0.8</v>
      </c>
      <c r="V303" s="27">
        <v>2</v>
      </c>
      <c r="W303" s="28">
        <f>VLOOKUP(V303,ターン数別攻撃係数!$A$1:$B$1000,2,FALSE)</f>
        <v>0.75</v>
      </c>
      <c r="X303" s="10">
        <v>20</v>
      </c>
      <c r="Y303" s="26">
        <f>VLOOKUP($X303,サイズ別係数!$B:$E,2,FALSE)</f>
        <v>1.1000000000000001</v>
      </c>
      <c r="Z303" s="26">
        <f>VLOOKUP($X303,サイズ別係数!$B:$E,3,FALSE)</f>
        <v>1.2</v>
      </c>
      <c r="AA303" s="26">
        <f>VLOOKUP($X303,サイズ別係数!$B:$E,4,FALSE)</f>
        <v>1.2</v>
      </c>
      <c r="AB303" s="5">
        <v>0</v>
      </c>
      <c r="AC303" s="34" t="str">
        <f ca="1">VLOOKUP($AB303,OFFSET([3]enemy_skill_sets!$B$2,0,0,COUNTA([3]enemy_skill_sets!$A:$A),MATCH(AC$1,[3]enemy_skill_sets!$1:$1,0)-MATCH($AB$1,[3]enemy_skill_sets!$1:$1,0)+1),MATCH(AC$1,[3]enemy_skill_sets!$1:$1,0)-MATCH($AB$1,[3]enemy_skill_sets!$1:$1,0)+1,FALSE)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3" s="27">
        <v>1</v>
      </c>
      <c r="AE303" s="37">
        <v>1</v>
      </c>
      <c r="AF303" s="37">
        <v>0</v>
      </c>
      <c r="AG303" s="28">
        <f ca="1">ROUND(VLOOKUP(1,enemy_base_stats!$A:$F,2,FALSE) * Y303* J303*O303*E303*S303*AD303*[2]ステータス!$B$2,0)</f>
        <v>2068</v>
      </c>
      <c r="AH303" s="28">
        <f ca="1">ROUND(VLOOKUP(1,enemy_base_stats!$A:$F,3,FALSE) * Z303*K303*P303*F303*T303*AE303 * W303*[2]ステータス!$C$2,0)</f>
        <v>133</v>
      </c>
      <c r="AI303" s="28">
        <f ca="1">ROUND(VLOOKUP(1,enemy_base_stats!$A:$F,4,FALSE) * AA303*L303*Q303*G303*U303*AF303*[2]ステータス!$D$2,0)</f>
        <v>0</v>
      </c>
      <c r="AJ303" s="28">
        <f ca="1">ROUND(VLOOKUP(100,enemy_base_stats!$A:$F,2,FALSE) * Y303* J303*O303*E303*S303*AD303*[2]ステータス!$B$2,0)</f>
        <v>83961</v>
      </c>
      <c r="AK303" s="28">
        <f ca="1">ROUND(VLOOKUP(100,enemy_base_stats!$A:$F,3,FALSE)* Z303* K303*P303*F303*T303*AE303 * W303*[2]ステータス!$C$2,0)</f>
        <v>5392</v>
      </c>
      <c r="AL303" s="28">
        <f ca="1">ROUND(VLOOKUP(100,enemy_base_stats!$A:$F,4,FALSE)* AA303* L303*Q303*G303*U303*AF303*[2]ステータス!$D$2,0)</f>
        <v>0</v>
      </c>
      <c r="AM303" s="24">
        <f ca="1">VLOOKUP(M303,[2]character_tribe_i18n!$A:$I,9,FALSE)</f>
        <v>400</v>
      </c>
      <c r="AN303" s="36">
        <v>0</v>
      </c>
      <c r="AO303" s="53">
        <v>0</v>
      </c>
      <c r="AP303" s="58" t="s">
        <v>72</v>
      </c>
      <c r="AQ303" s="71">
        <f t="shared" ca="1" si="8"/>
        <v>302</v>
      </c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8"/>
      <c r="BC303" s="18"/>
      <c r="BD303" s="18"/>
      <c r="BE303" s="18"/>
      <c r="BF303" s="18"/>
      <c r="BG303" s="18"/>
      <c r="BH303" s="18"/>
    </row>
    <row r="304" spans="1:60" s="3" customFormat="1" ht="21" customHeight="1" x14ac:dyDescent="0.15">
      <c r="A304" s="7">
        <f t="shared" ca="1" si="9"/>
        <v>303</v>
      </c>
      <c r="B304" s="6" t="str">
        <f ca="1">VLOOKUP(A304,[2]characters!$A:$C,3,FALSE)</f>
        <v>哄笑の禁縛 リサ</v>
      </c>
      <c r="C304" s="9">
        <f ca="1">VLOOKUP(A304,[2]characters!$A:$I,9,FALSE)</f>
        <v>4</v>
      </c>
      <c r="D304" s="9" t="str">
        <f ca="1">VLOOKUP(A304,[2]characters!$A:$H,8,FALSE)</f>
        <v>blue</v>
      </c>
      <c r="E304" s="24">
        <f ca="1">VLOOKUP(D304,[2]属性!$A:$E,2,FALSE)</f>
        <v>1</v>
      </c>
      <c r="F304" s="24">
        <f ca="1">VLOOKUP(D304,[2]属性!$A:$E,3,FALSE)</f>
        <v>0.98</v>
      </c>
      <c r="G304" s="24">
        <f ca="1">VLOOKUP(D304,[2]属性!$A:$F,4,FALSE)</f>
        <v>1</v>
      </c>
      <c r="H304" s="9" t="str">
        <f ca="1">VLOOKUP(A304,[2]characters!$A:$K,11,FALSE)</f>
        <v>heal</v>
      </c>
      <c r="I304" s="14" t="str">
        <f ca="1">VLOOKUP(H304,[2]character_type_i18n!$A:$F,3,FALSE)</f>
        <v>回復タイプ</v>
      </c>
      <c r="J304" s="36">
        <f ca="1">VLOOKUP(H304,[2]character_type_i18n!$A:$F,4,FALSE)</f>
        <v>0.8</v>
      </c>
      <c r="K304" s="36">
        <f ca="1">VLOOKUP(H304,[2]character_type_i18n!$A:$F,5,FALSE)</f>
        <v>0.78</v>
      </c>
      <c r="L304" s="36">
        <f ca="1">VLOOKUP(H304,[2]character_type_i18n!$A:$F,6,FALSE)</f>
        <v>1</v>
      </c>
      <c r="M304" s="9" t="str">
        <f ca="1">VLOOKUP(A304,[2]characters!$A:$M,13,FALSE)</f>
        <v>human</v>
      </c>
      <c r="N304" s="14" t="str">
        <f ca="1">VLOOKUP(M304,[2]character_tribe_i18n!$A:$F,3,FALSE)</f>
        <v>ヒューマン</v>
      </c>
      <c r="O304" s="24">
        <f ca="1">VLOOKUP(M304,[2]character_tribe_i18n!$A:$F,4,FALSE)</f>
        <v>0.94</v>
      </c>
      <c r="P304" s="24">
        <f ca="1">VLOOKUP(M304,[2]character_tribe_i18n!$A:$F,5,FALSE)</f>
        <v>0.99</v>
      </c>
      <c r="Q304" s="24">
        <f ca="1">VLOOKUP(M304,[2]character_tribe_i18n!$A:$F,6,FALSE)</f>
        <v>1</v>
      </c>
      <c r="R304" s="25" t="s">
        <v>4</v>
      </c>
      <c r="S304" s="24">
        <f>VLOOKUP($R304,ラベル別係数!$A$1:$E$7,3,FALSE)</f>
        <v>5</v>
      </c>
      <c r="T304" s="24">
        <f>VLOOKUP($R304,ラベル別係数!$A$1:$E$7,4,FALSE)</f>
        <v>1.3</v>
      </c>
      <c r="U304" s="24">
        <f>VLOOKUP($R304,ラベル別係数!$A$1:$E$7,5,FALSE)</f>
        <v>0.8</v>
      </c>
      <c r="V304" s="27">
        <v>2</v>
      </c>
      <c r="W304" s="28">
        <f>VLOOKUP(V304,ターン数別攻撃係数!$A$1:$B$1000,2,FALSE)</f>
        <v>0.75</v>
      </c>
      <c r="X304" s="10">
        <v>30</v>
      </c>
      <c r="Y304" s="26">
        <f>VLOOKUP($X304,サイズ別係数!$B:$E,2,FALSE)</f>
        <v>1.3</v>
      </c>
      <c r="Z304" s="26">
        <f>VLOOKUP($X304,サイズ別係数!$B:$E,3,FALSE)</f>
        <v>1.3</v>
      </c>
      <c r="AA304" s="26">
        <f>VLOOKUP($X304,サイズ別係数!$B:$E,4,FALSE)</f>
        <v>1.1000000000000001</v>
      </c>
      <c r="AB304" s="5">
        <v>0</v>
      </c>
      <c r="AC304" s="34" t="str">
        <f ca="1">VLOOKUP($AB304,OFFSET([3]enemy_skill_sets!$B$2,0,0,COUNTA([3]enemy_skill_sets!$A:$A),MATCH(AC$1,[3]enemy_skill_sets!$1:$1,0)-MATCH($AB$1,[3]enemy_skill_sets!$1:$1,0)+1),MATCH(AC$1,[3]enemy_skill_sets!$1:$1,0)-MATCH($AB$1,[3]enemy_skill_sets!$1:$1,0)+1,FALSE)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4" s="27">
        <v>1</v>
      </c>
      <c r="AE304" s="37">
        <v>1</v>
      </c>
      <c r="AF304" s="37">
        <v>0</v>
      </c>
      <c r="AG304" s="28">
        <f ca="1">ROUND(VLOOKUP(1,enemy_base_stats!$A:$F,2,FALSE) * Y304* J304*O304*E304*S304*AD304*[2]ステータス!$B$2,0)</f>
        <v>2444</v>
      </c>
      <c r="AH304" s="28">
        <f ca="1">ROUND(VLOOKUP(1,enemy_base_stats!$A:$F,3,FALSE) * Z304*K304*P304*F304*T304*AE304 * W304*[2]ステータス!$C$2,0)</f>
        <v>144</v>
      </c>
      <c r="AI304" s="28">
        <f ca="1">ROUND(VLOOKUP(1,enemy_base_stats!$A:$F,4,FALSE) * AA304*L304*Q304*G304*U304*AF304*[2]ステータス!$D$2,0)</f>
        <v>0</v>
      </c>
      <c r="AJ304" s="28">
        <f ca="1">ROUND(VLOOKUP(100,enemy_base_stats!$A:$F,2,FALSE) * Y304* J304*O304*E304*S304*AD304*[2]ステータス!$B$2,0)</f>
        <v>99226</v>
      </c>
      <c r="AK304" s="28">
        <f ca="1">ROUND(VLOOKUP(100,enemy_base_stats!$A:$F,3,FALSE)* Z304* K304*P304*F304*T304*AE304 * W304*[2]ステータス!$C$2,0)</f>
        <v>5841</v>
      </c>
      <c r="AL304" s="28">
        <f ca="1">ROUND(VLOOKUP(100,enemy_base_stats!$A:$F,4,FALSE)* AA304* L304*Q304*G304*U304*AF304*[2]ステータス!$D$2,0)</f>
        <v>0</v>
      </c>
      <c r="AM304" s="24">
        <f ca="1">VLOOKUP(M304,[2]character_tribe_i18n!$A:$I,9,FALSE)</f>
        <v>400</v>
      </c>
      <c r="AN304" s="36">
        <v>0</v>
      </c>
      <c r="AO304" s="53">
        <v>0</v>
      </c>
      <c r="AP304" s="58" t="s">
        <v>72</v>
      </c>
      <c r="AQ304" s="71">
        <f t="shared" ca="1" si="8"/>
        <v>303</v>
      </c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8"/>
      <c r="BC304" s="18"/>
      <c r="BD304" s="18"/>
      <c r="BE304" s="18"/>
      <c r="BF304" s="18"/>
      <c r="BG304" s="18"/>
      <c r="BH304" s="18"/>
    </row>
    <row r="305" spans="1:60" s="3" customFormat="1" ht="21" customHeight="1" x14ac:dyDescent="0.15">
      <c r="A305" s="7">
        <f t="shared" ca="1" si="9"/>
        <v>304</v>
      </c>
      <c r="B305" s="6" t="str">
        <f ca="1">VLOOKUP(A305,[2]characters!$A:$C,3,FALSE)</f>
        <v>電殺のチエミ</v>
      </c>
      <c r="C305" s="9">
        <f ca="1">VLOOKUP(A305,[2]characters!$A:$I,9,FALSE)</f>
        <v>3</v>
      </c>
      <c r="D305" s="9" t="str">
        <f ca="1">VLOOKUP(A305,[2]characters!$A:$H,8,FALSE)</f>
        <v>yellow</v>
      </c>
      <c r="E305" s="24">
        <f ca="1">VLOOKUP(D305,[2]属性!$A:$E,2,FALSE)</f>
        <v>0.98</v>
      </c>
      <c r="F305" s="24">
        <f ca="1">VLOOKUP(D305,[2]属性!$A:$E,3,FALSE)</f>
        <v>1.01</v>
      </c>
      <c r="G305" s="24">
        <f ca="1">VLOOKUP(D305,[2]属性!$A:$F,4,FALSE)</f>
        <v>1</v>
      </c>
      <c r="H305" s="9" t="str">
        <f ca="1">VLOOKUP(A305,[2]characters!$A:$K,11,FALSE)</f>
        <v>attack</v>
      </c>
      <c r="I305" s="14" t="str">
        <f ca="1">VLOOKUP(H305,[2]character_type_i18n!$A:$F,3,FALSE)</f>
        <v>攻撃タイプ</v>
      </c>
      <c r="J305" s="36">
        <f ca="1">VLOOKUP(H305,[2]character_type_i18n!$A:$F,4,FALSE)</f>
        <v>1</v>
      </c>
      <c r="K305" s="36">
        <f ca="1">VLOOKUP(H305,[2]character_type_i18n!$A:$F,5,FALSE)</f>
        <v>1.33</v>
      </c>
      <c r="L305" s="36">
        <f ca="1">VLOOKUP(H305,[2]character_type_i18n!$A:$F,6,FALSE)</f>
        <v>1</v>
      </c>
      <c r="M305" s="9" t="str">
        <f ca="1">VLOOKUP(A305,[2]characters!$A:$M,13,FALSE)</f>
        <v>human</v>
      </c>
      <c r="N305" s="14" t="str">
        <f ca="1">VLOOKUP(M305,[2]character_tribe_i18n!$A:$F,3,FALSE)</f>
        <v>ヒューマン</v>
      </c>
      <c r="O305" s="24">
        <f ca="1">VLOOKUP(M305,[2]character_tribe_i18n!$A:$F,4,FALSE)</f>
        <v>0.94</v>
      </c>
      <c r="P305" s="24">
        <f ca="1">VLOOKUP(M305,[2]character_tribe_i18n!$A:$F,5,FALSE)</f>
        <v>0.99</v>
      </c>
      <c r="Q305" s="24">
        <f ca="1">VLOOKUP(M305,[2]character_tribe_i18n!$A:$F,6,FALSE)</f>
        <v>1</v>
      </c>
      <c r="R305" s="25" t="s">
        <v>4</v>
      </c>
      <c r="S305" s="24">
        <f>VLOOKUP($R305,ラベル別係数!$A$1:$E$7,3,FALSE)</f>
        <v>5</v>
      </c>
      <c r="T305" s="24">
        <f>VLOOKUP($R305,ラベル別係数!$A$1:$E$7,4,FALSE)</f>
        <v>1.3</v>
      </c>
      <c r="U305" s="24">
        <f>VLOOKUP($R305,ラベル別係数!$A$1:$E$7,5,FALSE)</f>
        <v>0.8</v>
      </c>
      <c r="V305" s="27">
        <v>2</v>
      </c>
      <c r="W305" s="28">
        <f>VLOOKUP(V305,ターン数別攻撃係数!$A$1:$B$1000,2,FALSE)</f>
        <v>0.75</v>
      </c>
      <c r="X305" s="10">
        <v>20</v>
      </c>
      <c r="Y305" s="26">
        <f>VLOOKUP($X305,サイズ別係数!$B:$E,2,FALSE)</f>
        <v>1.1000000000000001</v>
      </c>
      <c r="Z305" s="26">
        <f>VLOOKUP($X305,サイズ別係数!$B:$E,3,FALSE)</f>
        <v>1.2</v>
      </c>
      <c r="AA305" s="26">
        <f>VLOOKUP($X305,サイズ別係数!$B:$E,4,FALSE)</f>
        <v>1.2</v>
      </c>
      <c r="AB305" s="5">
        <v>0</v>
      </c>
      <c r="AC305" s="34" t="str">
        <f ca="1">VLOOKUP($AB305,OFFSET([3]enemy_skill_sets!$B$2,0,0,COUNTA([3]enemy_skill_sets!$A:$A),MATCH(AC$1,[3]enemy_skill_sets!$1:$1,0)-MATCH($AB$1,[3]enemy_skill_sets!$1:$1,0)+1),MATCH(AC$1,[3]enemy_skill_sets!$1:$1,0)-MATCH($AB$1,[3]enemy_skill_sets!$1:$1,0)+1,FALSE)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5" s="27">
        <v>1</v>
      </c>
      <c r="AE305" s="37">
        <v>1</v>
      </c>
      <c r="AF305" s="37">
        <v>0</v>
      </c>
      <c r="AG305" s="28">
        <f ca="1">ROUND(VLOOKUP(1,enemy_base_stats!$A:$F,2,FALSE) * Y305* J305*O305*E305*S305*AD305*[2]ステータス!$B$2,0)</f>
        <v>2533</v>
      </c>
      <c r="AH305" s="28">
        <f ca="1">ROUND(VLOOKUP(1,enemy_base_stats!$A:$F,3,FALSE) * Z305*K305*P305*F305*T305*AE305 * W305*[2]ステータス!$C$2,0)</f>
        <v>233</v>
      </c>
      <c r="AI305" s="28">
        <f ca="1">ROUND(VLOOKUP(1,enemy_base_stats!$A:$F,4,FALSE) * AA305*L305*Q305*G305*U305*AF305*[2]ステータス!$D$2,0)</f>
        <v>0</v>
      </c>
      <c r="AJ305" s="28">
        <f ca="1">ROUND(VLOOKUP(100,enemy_base_stats!$A:$F,2,FALSE) * Y305* J305*O305*E305*S305*AD305*[2]ステータス!$B$2,0)</f>
        <v>102852</v>
      </c>
      <c r="AK305" s="28">
        <f ca="1">ROUND(VLOOKUP(100,enemy_base_stats!$A:$F,3,FALSE)* Z305* K305*P305*F305*T305*AE305 * W305*[2]ステータス!$C$2,0)</f>
        <v>9476</v>
      </c>
      <c r="AL305" s="28">
        <f ca="1">ROUND(VLOOKUP(100,enemy_base_stats!$A:$F,4,FALSE)* AA305* L305*Q305*G305*U305*AF305*[2]ステータス!$D$2,0)</f>
        <v>0</v>
      </c>
      <c r="AM305" s="24">
        <f ca="1">VLOOKUP(M305,[2]character_tribe_i18n!$A:$I,9,FALSE)</f>
        <v>400</v>
      </c>
      <c r="AN305" s="36">
        <v>0</v>
      </c>
      <c r="AO305" s="53">
        <v>0</v>
      </c>
      <c r="AP305" s="58" t="s">
        <v>72</v>
      </c>
      <c r="AQ305" s="71">
        <f t="shared" ca="1" si="8"/>
        <v>304</v>
      </c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</row>
    <row r="306" spans="1:60" s="3" customFormat="1" ht="21" customHeight="1" x14ac:dyDescent="0.15">
      <c r="A306" s="7">
        <f t="shared" ca="1" si="9"/>
        <v>305</v>
      </c>
      <c r="B306" s="6" t="str">
        <f ca="1">VLOOKUP(A306,[2]characters!$A:$C,3,FALSE)</f>
        <v>螺旋の雷電 チエミ</v>
      </c>
      <c r="C306" s="9">
        <f ca="1">VLOOKUP(A306,[2]characters!$A:$I,9,FALSE)</f>
        <v>4</v>
      </c>
      <c r="D306" s="9" t="str">
        <f ca="1">VLOOKUP(A306,[2]characters!$A:$H,8,FALSE)</f>
        <v>yellow</v>
      </c>
      <c r="E306" s="24">
        <f ca="1">VLOOKUP(D306,[2]属性!$A:$E,2,FALSE)</f>
        <v>0.98</v>
      </c>
      <c r="F306" s="24">
        <f ca="1">VLOOKUP(D306,[2]属性!$A:$E,3,FALSE)</f>
        <v>1.01</v>
      </c>
      <c r="G306" s="24">
        <f ca="1">VLOOKUP(D306,[2]属性!$A:$F,4,FALSE)</f>
        <v>1</v>
      </c>
      <c r="H306" s="9" t="str">
        <f ca="1">VLOOKUP(A306,[2]characters!$A:$K,11,FALSE)</f>
        <v>attack</v>
      </c>
      <c r="I306" s="14" t="str">
        <f ca="1">VLOOKUP(H306,[2]character_type_i18n!$A:$F,3,FALSE)</f>
        <v>攻撃タイプ</v>
      </c>
      <c r="J306" s="36">
        <f ca="1">VLOOKUP(H306,[2]character_type_i18n!$A:$F,4,FALSE)</f>
        <v>1</v>
      </c>
      <c r="K306" s="36">
        <f ca="1">VLOOKUP(H306,[2]character_type_i18n!$A:$F,5,FALSE)</f>
        <v>1.33</v>
      </c>
      <c r="L306" s="36">
        <f ca="1">VLOOKUP(H306,[2]character_type_i18n!$A:$F,6,FALSE)</f>
        <v>1</v>
      </c>
      <c r="M306" s="9" t="str">
        <f ca="1">VLOOKUP(A306,[2]characters!$A:$M,13,FALSE)</f>
        <v>human</v>
      </c>
      <c r="N306" s="14" t="str">
        <f ca="1">VLOOKUP(M306,[2]character_tribe_i18n!$A:$F,3,FALSE)</f>
        <v>ヒューマン</v>
      </c>
      <c r="O306" s="24">
        <f ca="1">VLOOKUP(M306,[2]character_tribe_i18n!$A:$F,4,FALSE)</f>
        <v>0.94</v>
      </c>
      <c r="P306" s="24">
        <f ca="1">VLOOKUP(M306,[2]character_tribe_i18n!$A:$F,5,FALSE)</f>
        <v>0.99</v>
      </c>
      <c r="Q306" s="24">
        <f ca="1">VLOOKUP(M306,[2]character_tribe_i18n!$A:$F,6,FALSE)</f>
        <v>1</v>
      </c>
      <c r="R306" s="25" t="s">
        <v>4</v>
      </c>
      <c r="S306" s="24">
        <f>VLOOKUP($R306,ラベル別係数!$A$1:$E$7,3,FALSE)</f>
        <v>5</v>
      </c>
      <c r="T306" s="24">
        <f>VLOOKUP($R306,ラベル別係数!$A$1:$E$7,4,FALSE)</f>
        <v>1.3</v>
      </c>
      <c r="U306" s="24">
        <f>VLOOKUP($R306,ラベル別係数!$A$1:$E$7,5,FALSE)</f>
        <v>0.8</v>
      </c>
      <c r="V306" s="27">
        <v>2</v>
      </c>
      <c r="W306" s="28">
        <f>VLOOKUP(V306,ターン数別攻撃係数!$A$1:$B$1000,2,FALSE)</f>
        <v>0.75</v>
      </c>
      <c r="X306" s="10">
        <v>30</v>
      </c>
      <c r="Y306" s="26">
        <f>VLOOKUP($X306,サイズ別係数!$B:$E,2,FALSE)</f>
        <v>1.3</v>
      </c>
      <c r="Z306" s="26">
        <f>VLOOKUP($X306,サイズ別係数!$B:$E,3,FALSE)</f>
        <v>1.3</v>
      </c>
      <c r="AA306" s="26">
        <f>VLOOKUP($X306,サイズ別係数!$B:$E,4,FALSE)</f>
        <v>1.1000000000000001</v>
      </c>
      <c r="AB306" s="5">
        <v>0</v>
      </c>
      <c r="AC306" s="34" t="str">
        <f ca="1">VLOOKUP($AB306,OFFSET([3]enemy_skill_sets!$B$2,0,0,COUNTA([3]enemy_skill_sets!$A:$A),MATCH(AC$1,[3]enemy_skill_sets!$1:$1,0)-MATCH($AB$1,[3]enemy_skill_sets!$1:$1,0)+1),MATCH(AC$1,[3]enemy_skill_sets!$1:$1,0)-MATCH($AB$1,[3]enemy_skill_sets!$1:$1,0)+1,FALSE)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6" s="27">
        <v>1</v>
      </c>
      <c r="AE306" s="37">
        <v>1</v>
      </c>
      <c r="AF306" s="37">
        <v>0</v>
      </c>
      <c r="AG306" s="28">
        <f ca="1">ROUND(VLOOKUP(1,enemy_base_stats!$A:$F,2,FALSE) * Y306* J306*O306*E306*S306*AD306*[2]ステータス!$B$2,0)</f>
        <v>2994</v>
      </c>
      <c r="AH306" s="28">
        <f ca="1">ROUND(VLOOKUP(1,enemy_base_stats!$A:$F,3,FALSE) * Z306*K306*P306*F306*T306*AE306 * W306*[2]ステータス!$C$2,0)</f>
        <v>253</v>
      </c>
      <c r="AI306" s="28">
        <f ca="1">ROUND(VLOOKUP(1,enemy_base_stats!$A:$F,4,FALSE) * AA306*L306*Q306*G306*U306*AF306*[2]ステータス!$D$2,0)</f>
        <v>0</v>
      </c>
      <c r="AJ306" s="28">
        <f ca="1">ROUND(VLOOKUP(100,enemy_base_stats!$A:$F,2,FALSE) * Y306* J306*O306*E306*S306*AD306*[2]ステータス!$B$2,0)</f>
        <v>121552</v>
      </c>
      <c r="AK306" s="28">
        <f ca="1">ROUND(VLOOKUP(100,enemy_base_stats!$A:$F,3,FALSE)* Z306* K306*P306*F306*T306*AE306 * W306*[2]ステータス!$C$2,0)</f>
        <v>10265</v>
      </c>
      <c r="AL306" s="28">
        <f ca="1">ROUND(VLOOKUP(100,enemy_base_stats!$A:$F,4,FALSE)* AA306* L306*Q306*G306*U306*AF306*[2]ステータス!$D$2,0)</f>
        <v>0</v>
      </c>
      <c r="AM306" s="24">
        <f ca="1">VLOOKUP(M306,[2]character_tribe_i18n!$A:$I,9,FALSE)</f>
        <v>400</v>
      </c>
      <c r="AN306" s="36">
        <v>0</v>
      </c>
      <c r="AO306" s="53">
        <v>0</v>
      </c>
      <c r="AP306" s="58" t="s">
        <v>72</v>
      </c>
      <c r="AQ306" s="71">
        <f t="shared" ca="1" si="8"/>
        <v>305</v>
      </c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8"/>
      <c r="BC306" s="18"/>
      <c r="BD306" s="18"/>
      <c r="BE306" s="18"/>
      <c r="BF306" s="18"/>
      <c r="BG306" s="18"/>
      <c r="BH306" s="18"/>
    </row>
    <row r="307" spans="1:60" s="3" customFormat="1" ht="21" customHeight="1" x14ac:dyDescent="0.15">
      <c r="A307" s="7">
        <f t="shared" ca="1" si="9"/>
        <v>306</v>
      </c>
      <c r="B307" s="6" t="str">
        <f ca="1">VLOOKUP(A307,[2]characters!$A:$C,3,FALSE)</f>
        <v>メガロドン</v>
      </c>
      <c r="C307" s="9">
        <f ca="1">VLOOKUP(A307,[2]characters!$A:$I,9,FALSE)</f>
        <v>4</v>
      </c>
      <c r="D307" s="9" t="str">
        <f ca="1">VLOOKUP(A307,[2]characters!$A:$H,8,FALSE)</f>
        <v>red</v>
      </c>
      <c r="E307" s="24">
        <f ca="1">VLOOKUP(D307,[2]属性!$A:$E,2,FALSE)</f>
        <v>1</v>
      </c>
      <c r="F307" s="24">
        <f ca="1">VLOOKUP(D307,[2]属性!$A:$E,3,FALSE)</f>
        <v>1.02</v>
      </c>
      <c r="G307" s="24">
        <f ca="1">VLOOKUP(D307,[2]属性!$A:$F,4,FALSE)</f>
        <v>1</v>
      </c>
      <c r="H307" s="9" t="str">
        <f ca="1">VLOOKUP(A307,[2]characters!$A:$K,11,FALSE)</f>
        <v>attack</v>
      </c>
      <c r="I307" s="14" t="str">
        <f ca="1">VLOOKUP(H307,[2]character_type_i18n!$A:$F,3,FALSE)</f>
        <v>攻撃タイプ</v>
      </c>
      <c r="J307" s="36">
        <f ca="1">VLOOKUP(H307,[2]character_type_i18n!$A:$F,4,FALSE)</f>
        <v>1</v>
      </c>
      <c r="K307" s="36">
        <f ca="1">VLOOKUP(H307,[2]character_type_i18n!$A:$F,5,FALSE)</f>
        <v>1.33</v>
      </c>
      <c r="L307" s="36">
        <f ca="1">VLOOKUP(H307,[2]character_type_i18n!$A:$F,6,FALSE)</f>
        <v>1</v>
      </c>
      <c r="M307" s="9" t="str">
        <f ca="1">VLOOKUP(A307,[2]characters!$A:$M,13,FALSE)</f>
        <v>animal</v>
      </c>
      <c r="N307" s="14" t="str">
        <f ca="1">VLOOKUP(M307,[2]character_tribe_i18n!$A:$F,3,FALSE)</f>
        <v>アニマル</v>
      </c>
      <c r="O307" s="24">
        <f ca="1">VLOOKUP(M307,[2]character_tribe_i18n!$A:$F,4,FALSE)</f>
        <v>1</v>
      </c>
      <c r="P307" s="24">
        <f ca="1">VLOOKUP(M307,[2]character_tribe_i18n!$A:$F,5,FALSE)</f>
        <v>1.1000000000000001</v>
      </c>
      <c r="Q307" s="24">
        <f ca="1">VLOOKUP(M307,[2]character_tribe_i18n!$A:$F,6,FALSE)</f>
        <v>1</v>
      </c>
      <c r="R307" s="25" t="s">
        <v>4</v>
      </c>
      <c r="S307" s="24">
        <f>VLOOKUP($R307,ラベル別係数!$A$1:$E$7,3,FALSE)</f>
        <v>5</v>
      </c>
      <c r="T307" s="24">
        <f>VLOOKUP($R307,ラベル別係数!$A$1:$E$7,4,FALSE)</f>
        <v>1.3</v>
      </c>
      <c r="U307" s="24">
        <f>VLOOKUP($R307,ラベル別係数!$A$1:$E$7,5,FALSE)</f>
        <v>0.8</v>
      </c>
      <c r="V307" s="27">
        <v>2</v>
      </c>
      <c r="W307" s="28">
        <f>VLOOKUP(V307,ターン数別攻撃係数!$A$1:$B$1000,2,FALSE)</f>
        <v>0.75</v>
      </c>
      <c r="X307" s="10">
        <v>30</v>
      </c>
      <c r="Y307" s="26">
        <f>VLOOKUP($X307,サイズ別係数!$B:$E,2,FALSE)</f>
        <v>1.3</v>
      </c>
      <c r="Z307" s="26">
        <f>VLOOKUP($X307,サイズ別係数!$B:$E,3,FALSE)</f>
        <v>1.3</v>
      </c>
      <c r="AA307" s="26">
        <f>VLOOKUP($X307,サイズ別係数!$B:$E,4,FALSE)</f>
        <v>1.1000000000000001</v>
      </c>
      <c r="AB307" s="5">
        <v>0</v>
      </c>
      <c r="AC307" s="34" t="str">
        <f ca="1">VLOOKUP($AB307,OFFSET([3]enemy_skill_sets!$B$2,0,0,COUNTA([3]enemy_skill_sets!$A:$A),MATCH(AC$1,[3]enemy_skill_sets!$1:$1,0)-MATCH($AB$1,[3]enemy_skill_sets!$1:$1,0)+1),MATCH(AC$1,[3]enemy_skill_sets!$1:$1,0)-MATCH($AB$1,[3]enemy_skill_sets!$1:$1,0)+1,FALSE)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7" s="27">
        <v>1</v>
      </c>
      <c r="AE307" s="37">
        <v>1</v>
      </c>
      <c r="AF307" s="37">
        <v>0</v>
      </c>
      <c r="AG307" s="28">
        <f ca="1">ROUND(VLOOKUP(1,enemy_base_stats!$A:$F,2,FALSE) * Y307* J307*O307*E307*S307*AD307*[2]ステータス!$B$2,0)</f>
        <v>3250</v>
      </c>
      <c r="AH307" s="28">
        <f ca="1">ROUND(VLOOKUP(1,enemy_base_stats!$A:$F,3,FALSE) * Z307*K307*P307*F307*T307*AE307 * W307*[2]ステータス!$C$2,0)</f>
        <v>284</v>
      </c>
      <c r="AI307" s="28">
        <f ca="1">ROUND(VLOOKUP(1,enemy_base_stats!$A:$F,4,FALSE) * AA307*L307*Q307*G307*U307*AF307*[2]ステータス!$D$2,0)</f>
        <v>0</v>
      </c>
      <c r="AJ307" s="28">
        <f ca="1">ROUND(VLOOKUP(100,enemy_base_stats!$A:$F,2,FALSE) * Y307* J307*O307*E307*S307*AD307*[2]ステータス!$B$2,0)</f>
        <v>131950</v>
      </c>
      <c r="AK307" s="28">
        <f ca="1">ROUND(VLOOKUP(100,enemy_base_stats!$A:$F,3,FALSE)* Z307* K307*P307*F307*T307*AE307 * W307*[2]ステータス!$C$2,0)</f>
        <v>11519</v>
      </c>
      <c r="AL307" s="28">
        <f ca="1">ROUND(VLOOKUP(100,enemy_base_stats!$A:$F,4,FALSE)* AA307* L307*Q307*G307*U307*AF307*[2]ステータス!$D$2,0)</f>
        <v>0</v>
      </c>
      <c r="AM307" s="24">
        <f ca="1">VLOOKUP(M307,[2]character_tribe_i18n!$A:$I,9,FALSE)</f>
        <v>480</v>
      </c>
      <c r="AN307" s="36">
        <v>0</v>
      </c>
      <c r="AO307" s="53">
        <v>0</v>
      </c>
      <c r="AP307" s="58" t="s">
        <v>72</v>
      </c>
      <c r="AQ307" s="71">
        <f t="shared" ca="1" si="8"/>
        <v>306</v>
      </c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8"/>
      <c r="BC307" s="18"/>
      <c r="BD307" s="18"/>
      <c r="BE307" s="18"/>
      <c r="BF307" s="18"/>
      <c r="BG307" s="18"/>
      <c r="BH307" s="18"/>
    </row>
    <row r="308" spans="1:60" s="3" customFormat="1" ht="21" customHeight="1" x14ac:dyDescent="0.15">
      <c r="A308" s="7">
        <f t="shared" ca="1" si="9"/>
        <v>307</v>
      </c>
      <c r="B308" s="6" t="str">
        <f ca="1">VLOOKUP(A308,[2]characters!$A:$C,3,FALSE)</f>
        <v>古の鋼拳 メガロドン</v>
      </c>
      <c r="C308" s="9">
        <f ca="1">VLOOKUP(A308,[2]characters!$A:$I,9,FALSE)</f>
        <v>5</v>
      </c>
      <c r="D308" s="9" t="str">
        <f ca="1">VLOOKUP(A308,[2]characters!$A:$H,8,FALSE)</f>
        <v>red</v>
      </c>
      <c r="E308" s="24">
        <f ca="1">VLOOKUP(D308,[2]属性!$A:$E,2,FALSE)</f>
        <v>1</v>
      </c>
      <c r="F308" s="24">
        <f ca="1">VLOOKUP(D308,[2]属性!$A:$E,3,FALSE)</f>
        <v>1.02</v>
      </c>
      <c r="G308" s="24">
        <f ca="1">VLOOKUP(D308,[2]属性!$A:$F,4,FALSE)</f>
        <v>1</v>
      </c>
      <c r="H308" s="9" t="str">
        <f ca="1">VLOOKUP(A308,[2]characters!$A:$K,11,FALSE)</f>
        <v>attack</v>
      </c>
      <c r="I308" s="14" t="str">
        <f ca="1">VLOOKUP(H308,[2]character_type_i18n!$A:$F,3,FALSE)</f>
        <v>攻撃タイプ</v>
      </c>
      <c r="J308" s="36">
        <f ca="1">VLOOKUP(H308,[2]character_type_i18n!$A:$F,4,FALSE)</f>
        <v>1</v>
      </c>
      <c r="K308" s="36">
        <f ca="1">VLOOKUP(H308,[2]character_type_i18n!$A:$F,5,FALSE)</f>
        <v>1.33</v>
      </c>
      <c r="L308" s="36">
        <f ca="1">VLOOKUP(H308,[2]character_type_i18n!$A:$F,6,FALSE)</f>
        <v>1</v>
      </c>
      <c r="M308" s="9" t="str">
        <f ca="1">VLOOKUP(A308,[2]characters!$A:$M,13,FALSE)</f>
        <v>animal</v>
      </c>
      <c r="N308" s="14" t="str">
        <f ca="1">VLOOKUP(M308,[2]character_tribe_i18n!$A:$F,3,FALSE)</f>
        <v>アニマル</v>
      </c>
      <c r="O308" s="24">
        <f ca="1">VLOOKUP(M308,[2]character_tribe_i18n!$A:$F,4,FALSE)</f>
        <v>1</v>
      </c>
      <c r="P308" s="24">
        <f ca="1">VLOOKUP(M308,[2]character_tribe_i18n!$A:$F,5,FALSE)</f>
        <v>1.1000000000000001</v>
      </c>
      <c r="Q308" s="24">
        <f ca="1">VLOOKUP(M308,[2]character_tribe_i18n!$A:$F,6,FALSE)</f>
        <v>1</v>
      </c>
      <c r="R308" s="25" t="s">
        <v>4</v>
      </c>
      <c r="S308" s="24">
        <f>VLOOKUP($R308,ラベル別係数!$A$1:$E$7,3,FALSE)</f>
        <v>5</v>
      </c>
      <c r="T308" s="24">
        <f>VLOOKUP($R308,ラベル別係数!$A$1:$E$7,4,FALSE)</f>
        <v>1.3</v>
      </c>
      <c r="U308" s="24">
        <f>VLOOKUP($R308,ラベル別係数!$A$1:$E$7,5,FALSE)</f>
        <v>0.8</v>
      </c>
      <c r="V308" s="27">
        <v>2</v>
      </c>
      <c r="W308" s="28">
        <f>VLOOKUP(V308,ターン数別攻撃係数!$A$1:$B$1000,2,FALSE)</f>
        <v>0.75</v>
      </c>
      <c r="X308" s="10">
        <v>60</v>
      </c>
      <c r="Y308" s="26">
        <f>VLOOKUP($X308,サイズ別係数!$B:$E,2,FALSE)</f>
        <v>1.7</v>
      </c>
      <c r="Z308" s="26">
        <f>VLOOKUP($X308,サイズ別係数!$B:$E,3,FALSE)</f>
        <v>1.4</v>
      </c>
      <c r="AA308" s="26">
        <f>VLOOKUP($X308,サイズ別係数!$B:$E,4,FALSE)</f>
        <v>1</v>
      </c>
      <c r="AB308" s="5">
        <v>0</v>
      </c>
      <c r="AC308" s="34" t="str">
        <f ca="1">VLOOKUP($AB308,OFFSET([3]enemy_skill_sets!$B$2,0,0,COUNTA([3]enemy_skill_sets!$A:$A),MATCH(AC$1,[3]enemy_skill_sets!$1:$1,0)-MATCH($AB$1,[3]enemy_skill_sets!$1:$1,0)+1),MATCH(AC$1,[3]enemy_skill_sets!$1:$1,0)-MATCH($AB$1,[3]enemy_skill_sets!$1:$1,0)+1,FALSE)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8" s="27">
        <v>1</v>
      </c>
      <c r="AE308" s="37">
        <v>1</v>
      </c>
      <c r="AF308" s="37">
        <v>0</v>
      </c>
      <c r="AG308" s="28">
        <f ca="1">ROUND(VLOOKUP(1,enemy_base_stats!$A:$F,2,FALSE) * Y308* J308*O308*E308*S308*AD308*[2]ステータス!$B$2,0)</f>
        <v>4250</v>
      </c>
      <c r="AH308" s="28">
        <f ca="1">ROUND(VLOOKUP(1,enemy_base_stats!$A:$F,3,FALSE) * Z308*K308*P308*F308*T308*AE308 * W308*[2]ステータス!$C$2,0)</f>
        <v>306</v>
      </c>
      <c r="AI308" s="28">
        <f ca="1">ROUND(VLOOKUP(1,enemy_base_stats!$A:$F,4,FALSE) * AA308*L308*Q308*G308*U308*AF308*[2]ステータス!$D$2,0)</f>
        <v>0</v>
      </c>
      <c r="AJ308" s="28">
        <f ca="1">ROUND(VLOOKUP(100,enemy_base_stats!$A:$F,2,FALSE) * Y308* J308*O308*E308*S308*AD308*[2]ステータス!$B$2,0)</f>
        <v>172550</v>
      </c>
      <c r="AK308" s="28">
        <f ca="1">ROUND(VLOOKUP(100,enemy_base_stats!$A:$F,3,FALSE)* Z308* K308*P308*F308*T308*AE308 * W308*[2]ステータス!$C$2,0)</f>
        <v>12405</v>
      </c>
      <c r="AL308" s="28">
        <f ca="1">ROUND(VLOOKUP(100,enemy_base_stats!$A:$F,4,FALSE)* AA308* L308*Q308*G308*U308*AF308*[2]ステータス!$D$2,0)</f>
        <v>0</v>
      </c>
      <c r="AM308" s="24">
        <f ca="1">VLOOKUP(M308,[2]character_tribe_i18n!$A:$I,9,FALSE)</f>
        <v>480</v>
      </c>
      <c r="AN308" s="36">
        <v>0</v>
      </c>
      <c r="AO308" s="53">
        <v>0</v>
      </c>
      <c r="AP308" s="58" t="s">
        <v>72</v>
      </c>
      <c r="AQ308" s="71">
        <f t="shared" ca="1" si="8"/>
        <v>307</v>
      </c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8"/>
      <c r="BC308" s="18"/>
      <c r="BD308" s="18"/>
      <c r="BE308" s="18"/>
      <c r="BF308" s="18"/>
      <c r="BG308" s="18"/>
      <c r="BH308" s="18"/>
    </row>
    <row r="309" spans="1:60" s="3" customFormat="1" ht="21" customHeight="1" x14ac:dyDescent="0.15">
      <c r="A309" s="7">
        <f t="shared" ca="1" si="9"/>
        <v>308</v>
      </c>
      <c r="B309" s="6" t="str">
        <f ca="1">VLOOKUP(A309,[2]characters!$A:$C,3,FALSE)</f>
        <v>アーケロン</v>
      </c>
      <c r="C309" s="9">
        <f ca="1">VLOOKUP(A309,[2]characters!$A:$I,9,FALSE)</f>
        <v>4</v>
      </c>
      <c r="D309" s="9" t="str">
        <f ca="1">VLOOKUP(A309,[2]characters!$A:$H,8,FALSE)</f>
        <v>green</v>
      </c>
      <c r="E309" s="24">
        <f ca="1">VLOOKUP(D309,[2]属性!$A:$E,2,FALSE)</f>
        <v>1.02</v>
      </c>
      <c r="F309" s="24">
        <f ca="1">VLOOKUP(D309,[2]属性!$A:$E,3,FALSE)</f>
        <v>0.98</v>
      </c>
      <c r="G309" s="24">
        <f ca="1">VLOOKUP(D309,[2]属性!$A:$F,4,FALSE)</f>
        <v>1</v>
      </c>
      <c r="H309" s="9" t="str">
        <f ca="1">VLOOKUP(A309,[2]characters!$A:$K,11,FALSE)</f>
        <v>hp</v>
      </c>
      <c r="I309" s="14" t="str">
        <f ca="1">VLOOKUP(H309,[2]character_type_i18n!$A:$F,3,FALSE)</f>
        <v>体力タイプ</v>
      </c>
      <c r="J309" s="36">
        <f ca="1">VLOOKUP(H309,[2]character_type_i18n!$A:$F,4,FALSE)</f>
        <v>1.45</v>
      </c>
      <c r="K309" s="36">
        <f ca="1">VLOOKUP(H309,[2]character_type_i18n!$A:$F,5,FALSE)</f>
        <v>0.85</v>
      </c>
      <c r="L309" s="36">
        <f ca="1">VLOOKUP(H309,[2]character_type_i18n!$A:$F,6,FALSE)</f>
        <v>1</v>
      </c>
      <c r="M309" s="9" t="str">
        <f ca="1">VLOOKUP(A309,[2]characters!$A:$M,13,FALSE)</f>
        <v>animal</v>
      </c>
      <c r="N309" s="14" t="str">
        <f ca="1">VLOOKUP(M309,[2]character_tribe_i18n!$A:$F,3,FALSE)</f>
        <v>アニマル</v>
      </c>
      <c r="O309" s="24">
        <f ca="1">VLOOKUP(M309,[2]character_tribe_i18n!$A:$F,4,FALSE)</f>
        <v>1</v>
      </c>
      <c r="P309" s="24">
        <f ca="1">VLOOKUP(M309,[2]character_tribe_i18n!$A:$F,5,FALSE)</f>
        <v>1.1000000000000001</v>
      </c>
      <c r="Q309" s="24">
        <f ca="1">VLOOKUP(M309,[2]character_tribe_i18n!$A:$F,6,FALSE)</f>
        <v>1</v>
      </c>
      <c r="R309" s="25" t="s">
        <v>4</v>
      </c>
      <c r="S309" s="24">
        <f>VLOOKUP($R309,ラベル別係数!$A$1:$E$7,3,FALSE)</f>
        <v>5</v>
      </c>
      <c r="T309" s="24">
        <f>VLOOKUP($R309,ラベル別係数!$A$1:$E$7,4,FALSE)</f>
        <v>1.3</v>
      </c>
      <c r="U309" s="24">
        <f>VLOOKUP($R309,ラベル別係数!$A$1:$E$7,5,FALSE)</f>
        <v>0.8</v>
      </c>
      <c r="V309" s="27">
        <v>2</v>
      </c>
      <c r="W309" s="28">
        <f>VLOOKUP(V309,ターン数別攻撃係数!$A$1:$B$1000,2,FALSE)</f>
        <v>0.75</v>
      </c>
      <c r="X309" s="10">
        <v>30</v>
      </c>
      <c r="Y309" s="26">
        <f>VLOOKUP($X309,サイズ別係数!$B:$E,2,FALSE)</f>
        <v>1.3</v>
      </c>
      <c r="Z309" s="26">
        <f>VLOOKUP($X309,サイズ別係数!$B:$E,3,FALSE)</f>
        <v>1.3</v>
      </c>
      <c r="AA309" s="26">
        <f>VLOOKUP($X309,サイズ別係数!$B:$E,4,FALSE)</f>
        <v>1.1000000000000001</v>
      </c>
      <c r="AB309" s="5">
        <v>0</v>
      </c>
      <c r="AC309" s="34" t="str">
        <f ca="1">VLOOKUP($AB309,OFFSET([3]enemy_skill_sets!$B$2,0,0,COUNTA([3]enemy_skill_sets!$A:$A),MATCH(AC$1,[3]enemy_skill_sets!$1:$1,0)-MATCH($AB$1,[3]enemy_skill_sets!$1:$1,0)+1),MATCH(AC$1,[3]enemy_skill_sets!$1:$1,0)-MATCH($AB$1,[3]enemy_skill_sets!$1:$1,0)+1,FALSE)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09" s="27">
        <v>1</v>
      </c>
      <c r="AE309" s="37">
        <v>1</v>
      </c>
      <c r="AF309" s="37">
        <v>0</v>
      </c>
      <c r="AG309" s="28">
        <f ca="1">ROUND(VLOOKUP(1,enemy_base_stats!$A:$F,2,FALSE) * Y309* J309*O309*E309*S309*AD309*[2]ステータス!$B$2,0)</f>
        <v>4807</v>
      </c>
      <c r="AH309" s="28">
        <f ca="1">ROUND(VLOOKUP(1,enemy_base_stats!$A:$F,3,FALSE) * Z309*K309*P309*F309*T309*AE309 * W309*[2]ステータス!$C$2,0)</f>
        <v>174</v>
      </c>
      <c r="AI309" s="28">
        <f ca="1">ROUND(VLOOKUP(1,enemy_base_stats!$A:$F,4,FALSE) * AA309*L309*Q309*G309*U309*AF309*[2]ステータス!$D$2,0)</f>
        <v>0</v>
      </c>
      <c r="AJ309" s="28">
        <f ca="1">ROUND(VLOOKUP(100,enemy_base_stats!$A:$F,2,FALSE) * Y309* J309*O309*E309*S309*AD309*[2]ステータス!$B$2,0)</f>
        <v>195154</v>
      </c>
      <c r="AK309" s="28">
        <f ca="1">ROUND(VLOOKUP(100,enemy_base_stats!$A:$F,3,FALSE)* Z309* K309*P309*F309*T309*AE309 * W309*[2]ステータス!$C$2,0)</f>
        <v>7073</v>
      </c>
      <c r="AL309" s="28">
        <f ca="1">ROUND(VLOOKUP(100,enemy_base_stats!$A:$F,4,FALSE)* AA309* L309*Q309*G309*U309*AF309*[2]ステータス!$D$2,0)</f>
        <v>0</v>
      </c>
      <c r="AM309" s="24">
        <f ca="1">VLOOKUP(M309,[2]character_tribe_i18n!$A:$I,9,FALSE)</f>
        <v>480</v>
      </c>
      <c r="AN309" s="36">
        <v>0</v>
      </c>
      <c r="AO309" s="53">
        <v>0</v>
      </c>
      <c r="AP309" s="58" t="s">
        <v>72</v>
      </c>
      <c r="AQ309" s="71">
        <f t="shared" ca="1" si="8"/>
        <v>308</v>
      </c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8"/>
      <c r="BC309" s="18"/>
      <c r="BD309" s="18"/>
      <c r="BE309" s="18"/>
      <c r="BF309" s="18"/>
      <c r="BG309" s="18"/>
      <c r="BH309" s="18"/>
    </row>
    <row r="310" spans="1:60" s="3" customFormat="1" ht="21" customHeight="1" x14ac:dyDescent="0.15">
      <c r="A310" s="7">
        <f t="shared" ca="1" si="9"/>
        <v>309</v>
      </c>
      <c r="B310" s="6" t="str">
        <f ca="1">VLOOKUP(A310,[2]characters!$A:$C,3,FALSE)</f>
        <v>古の博学 アーケロン</v>
      </c>
      <c r="C310" s="9">
        <f ca="1">VLOOKUP(A310,[2]characters!$A:$I,9,FALSE)</f>
        <v>5</v>
      </c>
      <c r="D310" s="9" t="str">
        <f ca="1">VLOOKUP(A310,[2]characters!$A:$H,8,FALSE)</f>
        <v>green</v>
      </c>
      <c r="E310" s="24">
        <f ca="1">VLOOKUP(D310,[2]属性!$A:$E,2,FALSE)</f>
        <v>1.02</v>
      </c>
      <c r="F310" s="24">
        <f ca="1">VLOOKUP(D310,[2]属性!$A:$E,3,FALSE)</f>
        <v>0.98</v>
      </c>
      <c r="G310" s="24">
        <f ca="1">VLOOKUP(D310,[2]属性!$A:$F,4,FALSE)</f>
        <v>1</v>
      </c>
      <c r="H310" s="9" t="str">
        <f ca="1">VLOOKUP(A310,[2]characters!$A:$K,11,FALSE)</f>
        <v>hp</v>
      </c>
      <c r="I310" s="14" t="str">
        <f ca="1">VLOOKUP(H310,[2]character_type_i18n!$A:$F,3,FALSE)</f>
        <v>体力タイプ</v>
      </c>
      <c r="J310" s="36">
        <f ca="1">VLOOKUP(H310,[2]character_type_i18n!$A:$F,4,FALSE)</f>
        <v>1.45</v>
      </c>
      <c r="K310" s="36">
        <f ca="1">VLOOKUP(H310,[2]character_type_i18n!$A:$F,5,FALSE)</f>
        <v>0.85</v>
      </c>
      <c r="L310" s="36">
        <f ca="1">VLOOKUP(H310,[2]character_type_i18n!$A:$F,6,FALSE)</f>
        <v>1</v>
      </c>
      <c r="M310" s="9" t="str">
        <f ca="1">VLOOKUP(A310,[2]characters!$A:$M,13,FALSE)</f>
        <v>animal</v>
      </c>
      <c r="N310" s="14" t="str">
        <f ca="1">VLOOKUP(M310,[2]character_tribe_i18n!$A:$F,3,FALSE)</f>
        <v>アニマル</v>
      </c>
      <c r="O310" s="24">
        <f ca="1">VLOOKUP(M310,[2]character_tribe_i18n!$A:$F,4,FALSE)</f>
        <v>1</v>
      </c>
      <c r="P310" s="24">
        <f ca="1">VLOOKUP(M310,[2]character_tribe_i18n!$A:$F,5,FALSE)</f>
        <v>1.1000000000000001</v>
      </c>
      <c r="Q310" s="24">
        <f ca="1">VLOOKUP(M310,[2]character_tribe_i18n!$A:$F,6,FALSE)</f>
        <v>1</v>
      </c>
      <c r="R310" s="25" t="s">
        <v>4</v>
      </c>
      <c r="S310" s="24">
        <f>VLOOKUP($R310,ラベル別係数!$A$1:$E$7,3,FALSE)</f>
        <v>5</v>
      </c>
      <c r="T310" s="24">
        <f>VLOOKUP($R310,ラベル別係数!$A$1:$E$7,4,FALSE)</f>
        <v>1.3</v>
      </c>
      <c r="U310" s="24">
        <f>VLOOKUP($R310,ラベル別係数!$A$1:$E$7,5,FALSE)</f>
        <v>0.8</v>
      </c>
      <c r="V310" s="27">
        <v>2</v>
      </c>
      <c r="W310" s="28">
        <f>VLOOKUP(V310,ターン数別攻撃係数!$A$1:$B$1000,2,FALSE)</f>
        <v>0.75</v>
      </c>
      <c r="X310" s="10">
        <v>60</v>
      </c>
      <c r="Y310" s="26">
        <f>VLOOKUP($X310,サイズ別係数!$B:$E,2,FALSE)</f>
        <v>1.7</v>
      </c>
      <c r="Z310" s="26">
        <f>VLOOKUP($X310,サイズ別係数!$B:$E,3,FALSE)</f>
        <v>1.4</v>
      </c>
      <c r="AA310" s="26">
        <f>VLOOKUP($X310,サイズ別係数!$B:$E,4,FALSE)</f>
        <v>1</v>
      </c>
      <c r="AB310" s="5">
        <v>0</v>
      </c>
      <c r="AC310" s="34" t="str">
        <f ca="1">VLOOKUP($AB310,OFFSET([3]enemy_skill_sets!$B$2,0,0,COUNTA([3]enemy_skill_sets!$A:$A),MATCH(AC$1,[3]enemy_skill_sets!$1:$1,0)-MATCH($AB$1,[3]enemy_skill_sets!$1:$1,0)+1),MATCH(AC$1,[3]enemy_skill_sets!$1:$1,0)-MATCH($AB$1,[3]enemy_skill_sets!$1:$1,0)+1,FALSE)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0" s="27">
        <v>1</v>
      </c>
      <c r="AE310" s="37">
        <v>1</v>
      </c>
      <c r="AF310" s="37">
        <v>0</v>
      </c>
      <c r="AG310" s="28">
        <f ca="1">ROUND(VLOOKUP(1,enemy_base_stats!$A:$F,2,FALSE) * Y310* J310*O310*E310*S310*AD310*[2]ステータス!$B$2,0)</f>
        <v>6286</v>
      </c>
      <c r="AH310" s="28">
        <f ca="1">ROUND(VLOOKUP(1,enemy_base_stats!$A:$F,3,FALSE) * Z310*K310*P310*F310*T310*AE310 * W310*[2]ステータス!$C$2,0)</f>
        <v>188</v>
      </c>
      <c r="AI310" s="28">
        <f ca="1">ROUND(VLOOKUP(1,enemy_base_stats!$A:$F,4,FALSE) * AA310*L310*Q310*G310*U310*AF310*[2]ステータス!$D$2,0)</f>
        <v>0</v>
      </c>
      <c r="AJ310" s="28">
        <f ca="1">ROUND(VLOOKUP(100,enemy_base_stats!$A:$F,2,FALSE) * Y310* J310*O310*E310*S310*AD310*[2]ステータス!$B$2,0)</f>
        <v>255201</v>
      </c>
      <c r="AK310" s="28">
        <f ca="1">ROUND(VLOOKUP(100,enemy_base_stats!$A:$F,3,FALSE)* Z310* K310*P310*F310*T310*AE310 * W310*[2]ステータス!$C$2,0)</f>
        <v>7617</v>
      </c>
      <c r="AL310" s="28">
        <f ca="1">ROUND(VLOOKUP(100,enemy_base_stats!$A:$F,4,FALSE)* AA310* L310*Q310*G310*U310*AF310*[2]ステータス!$D$2,0)</f>
        <v>0</v>
      </c>
      <c r="AM310" s="24">
        <f ca="1">VLOOKUP(M310,[2]character_tribe_i18n!$A:$I,9,FALSE)</f>
        <v>480</v>
      </c>
      <c r="AN310" s="36">
        <v>0</v>
      </c>
      <c r="AO310" s="53">
        <v>0</v>
      </c>
      <c r="AP310" s="58" t="s">
        <v>72</v>
      </c>
      <c r="AQ310" s="71">
        <f t="shared" ca="1" si="8"/>
        <v>309</v>
      </c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8"/>
      <c r="BC310" s="18"/>
      <c r="BD310" s="18"/>
      <c r="BE310" s="18"/>
      <c r="BF310" s="18"/>
      <c r="BG310" s="18"/>
      <c r="BH310" s="18"/>
    </row>
    <row r="311" spans="1:60" s="3" customFormat="1" ht="21" customHeight="1" x14ac:dyDescent="0.15">
      <c r="A311" s="7">
        <f t="shared" ca="1" si="9"/>
        <v>310</v>
      </c>
      <c r="B311" s="6" t="str">
        <f ca="1">VLOOKUP(A311,[2]characters!$A:$C,3,FALSE)</f>
        <v>リードシクティス</v>
      </c>
      <c r="C311" s="9">
        <f ca="1">VLOOKUP(A311,[2]characters!$A:$I,9,FALSE)</f>
        <v>4</v>
      </c>
      <c r="D311" s="9" t="str">
        <f ca="1">VLOOKUP(A311,[2]characters!$A:$H,8,FALSE)</f>
        <v>blue</v>
      </c>
      <c r="E311" s="24">
        <f ca="1">VLOOKUP(D311,[2]属性!$A:$E,2,FALSE)</f>
        <v>1</v>
      </c>
      <c r="F311" s="24">
        <f ca="1">VLOOKUP(D311,[2]属性!$A:$E,3,FALSE)</f>
        <v>0.98</v>
      </c>
      <c r="G311" s="24">
        <f ca="1">VLOOKUP(D311,[2]属性!$A:$F,4,FALSE)</f>
        <v>1</v>
      </c>
      <c r="H311" s="9" t="str">
        <f ca="1">VLOOKUP(A311,[2]characters!$A:$K,11,FALSE)</f>
        <v>heal</v>
      </c>
      <c r="I311" s="14" t="str">
        <f ca="1">VLOOKUP(H311,[2]character_type_i18n!$A:$F,3,FALSE)</f>
        <v>回復タイプ</v>
      </c>
      <c r="J311" s="36">
        <f ca="1">VLOOKUP(H311,[2]character_type_i18n!$A:$F,4,FALSE)</f>
        <v>0.8</v>
      </c>
      <c r="K311" s="36">
        <f ca="1">VLOOKUP(H311,[2]character_type_i18n!$A:$F,5,FALSE)</f>
        <v>0.78</v>
      </c>
      <c r="L311" s="36">
        <f ca="1">VLOOKUP(H311,[2]character_type_i18n!$A:$F,6,FALSE)</f>
        <v>1</v>
      </c>
      <c r="M311" s="9" t="str">
        <f ca="1">VLOOKUP(A311,[2]characters!$A:$M,13,FALSE)</f>
        <v>animal</v>
      </c>
      <c r="N311" s="14" t="str">
        <f ca="1">VLOOKUP(M311,[2]character_tribe_i18n!$A:$F,3,FALSE)</f>
        <v>アニマル</v>
      </c>
      <c r="O311" s="24">
        <f ca="1">VLOOKUP(M311,[2]character_tribe_i18n!$A:$F,4,FALSE)</f>
        <v>1</v>
      </c>
      <c r="P311" s="24">
        <f ca="1">VLOOKUP(M311,[2]character_tribe_i18n!$A:$F,5,FALSE)</f>
        <v>1.1000000000000001</v>
      </c>
      <c r="Q311" s="24">
        <f ca="1">VLOOKUP(M311,[2]character_tribe_i18n!$A:$F,6,FALSE)</f>
        <v>1</v>
      </c>
      <c r="R311" s="25" t="s">
        <v>4</v>
      </c>
      <c r="S311" s="24">
        <f>VLOOKUP($R311,ラベル別係数!$A$1:$E$7,3,FALSE)</f>
        <v>5</v>
      </c>
      <c r="T311" s="24">
        <f>VLOOKUP($R311,ラベル別係数!$A$1:$E$7,4,FALSE)</f>
        <v>1.3</v>
      </c>
      <c r="U311" s="24">
        <f>VLOOKUP($R311,ラベル別係数!$A$1:$E$7,5,FALSE)</f>
        <v>0.8</v>
      </c>
      <c r="V311" s="27">
        <v>2</v>
      </c>
      <c r="W311" s="28">
        <f>VLOOKUP(V311,ターン数別攻撃係数!$A$1:$B$1000,2,FALSE)</f>
        <v>0.75</v>
      </c>
      <c r="X311" s="10">
        <v>30</v>
      </c>
      <c r="Y311" s="26">
        <f>VLOOKUP($X311,サイズ別係数!$B:$E,2,FALSE)</f>
        <v>1.3</v>
      </c>
      <c r="Z311" s="26">
        <f>VLOOKUP($X311,サイズ別係数!$B:$E,3,FALSE)</f>
        <v>1.3</v>
      </c>
      <c r="AA311" s="26">
        <f>VLOOKUP($X311,サイズ別係数!$B:$E,4,FALSE)</f>
        <v>1.1000000000000001</v>
      </c>
      <c r="AB311" s="5">
        <v>0</v>
      </c>
      <c r="AC311" s="34" t="str">
        <f ca="1">VLOOKUP($AB311,OFFSET([3]enemy_skill_sets!$B$2,0,0,COUNTA([3]enemy_skill_sets!$A:$A),MATCH(AC$1,[3]enemy_skill_sets!$1:$1,0)-MATCH($AB$1,[3]enemy_skill_sets!$1:$1,0)+1),MATCH(AC$1,[3]enemy_skill_sets!$1:$1,0)-MATCH($AB$1,[3]enemy_skill_sets!$1:$1,0)+1,FALSE)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1" s="27">
        <v>1</v>
      </c>
      <c r="AE311" s="37">
        <v>1</v>
      </c>
      <c r="AF311" s="37">
        <v>0</v>
      </c>
      <c r="AG311" s="28">
        <f ca="1">ROUND(VLOOKUP(1,enemy_base_stats!$A:$F,2,FALSE) * Y311* J311*O311*E311*S311*AD311*[2]ステータス!$B$2,0)</f>
        <v>2600</v>
      </c>
      <c r="AH311" s="28">
        <f ca="1">ROUND(VLOOKUP(1,enemy_base_stats!$A:$F,3,FALSE) * Z311*K311*P311*F311*T311*AE311 * W311*[2]ステータス!$C$2,0)</f>
        <v>160</v>
      </c>
      <c r="AI311" s="28">
        <f ca="1">ROUND(VLOOKUP(1,enemy_base_stats!$A:$F,4,FALSE) * AA311*L311*Q311*G311*U311*AF311*[2]ステータス!$D$2,0)</f>
        <v>0</v>
      </c>
      <c r="AJ311" s="28">
        <f ca="1">ROUND(VLOOKUP(100,enemy_base_stats!$A:$F,2,FALSE) * Y311* J311*O311*E311*S311*AD311*[2]ステータス!$B$2,0)</f>
        <v>105560</v>
      </c>
      <c r="AK311" s="28">
        <f ca="1">ROUND(VLOOKUP(100,enemy_base_stats!$A:$F,3,FALSE)* Z311* K311*P311*F311*T311*AE311 * W311*[2]ステータス!$C$2,0)</f>
        <v>6491</v>
      </c>
      <c r="AL311" s="28">
        <f ca="1">ROUND(VLOOKUP(100,enemy_base_stats!$A:$F,4,FALSE)* AA311* L311*Q311*G311*U311*AF311*[2]ステータス!$D$2,0)</f>
        <v>0</v>
      </c>
      <c r="AM311" s="24">
        <f ca="1">VLOOKUP(M311,[2]character_tribe_i18n!$A:$I,9,FALSE)</f>
        <v>480</v>
      </c>
      <c r="AN311" s="36">
        <v>0</v>
      </c>
      <c r="AO311" s="53">
        <v>0</v>
      </c>
      <c r="AP311" s="58" t="s">
        <v>72</v>
      </c>
      <c r="AQ311" s="71">
        <f t="shared" ca="1" si="8"/>
        <v>310</v>
      </c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</row>
    <row r="312" spans="1:60" s="3" customFormat="1" ht="21" customHeight="1" x14ac:dyDescent="0.15">
      <c r="A312" s="7">
        <f t="shared" ca="1" si="9"/>
        <v>311</v>
      </c>
      <c r="B312" s="6" t="str">
        <f ca="1">VLOOKUP(A312,[2]characters!$A:$C,3,FALSE)</f>
        <v>古の暴食 リードシクティス</v>
      </c>
      <c r="C312" s="9">
        <f ca="1">VLOOKUP(A312,[2]characters!$A:$I,9,FALSE)</f>
        <v>5</v>
      </c>
      <c r="D312" s="9" t="str">
        <f ca="1">VLOOKUP(A312,[2]characters!$A:$H,8,FALSE)</f>
        <v>blue</v>
      </c>
      <c r="E312" s="24">
        <f ca="1">VLOOKUP(D312,[2]属性!$A:$E,2,FALSE)</f>
        <v>1</v>
      </c>
      <c r="F312" s="24">
        <f ca="1">VLOOKUP(D312,[2]属性!$A:$E,3,FALSE)</f>
        <v>0.98</v>
      </c>
      <c r="G312" s="24">
        <f ca="1">VLOOKUP(D312,[2]属性!$A:$F,4,FALSE)</f>
        <v>1</v>
      </c>
      <c r="H312" s="9" t="str">
        <f ca="1">VLOOKUP(A312,[2]characters!$A:$K,11,FALSE)</f>
        <v>heal</v>
      </c>
      <c r="I312" s="14" t="str">
        <f ca="1">VLOOKUP(H312,[2]character_type_i18n!$A:$F,3,FALSE)</f>
        <v>回復タイプ</v>
      </c>
      <c r="J312" s="36">
        <f ca="1">VLOOKUP(H312,[2]character_type_i18n!$A:$F,4,FALSE)</f>
        <v>0.8</v>
      </c>
      <c r="K312" s="36">
        <f ca="1">VLOOKUP(H312,[2]character_type_i18n!$A:$F,5,FALSE)</f>
        <v>0.78</v>
      </c>
      <c r="L312" s="36">
        <f ca="1">VLOOKUP(H312,[2]character_type_i18n!$A:$F,6,FALSE)</f>
        <v>1</v>
      </c>
      <c r="M312" s="9" t="str">
        <f ca="1">VLOOKUP(A312,[2]characters!$A:$M,13,FALSE)</f>
        <v>animal</v>
      </c>
      <c r="N312" s="14" t="str">
        <f ca="1">VLOOKUP(M312,[2]character_tribe_i18n!$A:$F,3,FALSE)</f>
        <v>アニマル</v>
      </c>
      <c r="O312" s="24">
        <f ca="1">VLOOKUP(M312,[2]character_tribe_i18n!$A:$F,4,FALSE)</f>
        <v>1</v>
      </c>
      <c r="P312" s="24">
        <f ca="1">VLOOKUP(M312,[2]character_tribe_i18n!$A:$F,5,FALSE)</f>
        <v>1.1000000000000001</v>
      </c>
      <c r="Q312" s="24">
        <f ca="1">VLOOKUP(M312,[2]character_tribe_i18n!$A:$F,6,FALSE)</f>
        <v>1</v>
      </c>
      <c r="R312" s="25" t="s">
        <v>4</v>
      </c>
      <c r="S312" s="24">
        <f>VLOOKUP($R312,ラベル別係数!$A$1:$E$7,3,FALSE)</f>
        <v>5</v>
      </c>
      <c r="T312" s="24">
        <f>VLOOKUP($R312,ラベル別係数!$A$1:$E$7,4,FALSE)</f>
        <v>1.3</v>
      </c>
      <c r="U312" s="24">
        <f>VLOOKUP($R312,ラベル別係数!$A$1:$E$7,5,FALSE)</f>
        <v>0.8</v>
      </c>
      <c r="V312" s="27">
        <v>2</v>
      </c>
      <c r="W312" s="28">
        <f>VLOOKUP(V312,ターン数別攻撃係数!$A$1:$B$1000,2,FALSE)</f>
        <v>0.75</v>
      </c>
      <c r="X312" s="10">
        <v>60</v>
      </c>
      <c r="Y312" s="26">
        <f>VLOOKUP($X312,サイズ別係数!$B:$E,2,FALSE)</f>
        <v>1.7</v>
      </c>
      <c r="Z312" s="26">
        <f>VLOOKUP($X312,サイズ別係数!$B:$E,3,FALSE)</f>
        <v>1.4</v>
      </c>
      <c r="AA312" s="26">
        <f>VLOOKUP($X312,サイズ別係数!$B:$E,4,FALSE)</f>
        <v>1</v>
      </c>
      <c r="AB312" s="5">
        <v>0</v>
      </c>
      <c r="AC312" s="34" t="str">
        <f ca="1">VLOOKUP($AB312,OFFSET([3]enemy_skill_sets!$B$2,0,0,COUNTA([3]enemy_skill_sets!$A:$A),MATCH(AC$1,[3]enemy_skill_sets!$1:$1,0)-MATCH($AB$1,[3]enemy_skill_sets!$1:$1,0)+1),MATCH(AC$1,[3]enemy_skill_sets!$1:$1,0)-MATCH($AB$1,[3]enemy_skill_sets!$1:$1,0)+1,FALSE)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2" s="27">
        <v>1</v>
      </c>
      <c r="AE312" s="37">
        <v>1</v>
      </c>
      <c r="AF312" s="37">
        <v>0</v>
      </c>
      <c r="AG312" s="28">
        <f ca="1">ROUND(VLOOKUP(1,enemy_base_stats!$A:$F,2,FALSE) * Y312* J312*O312*E312*S312*AD312*[2]ステータス!$B$2,0)</f>
        <v>3400</v>
      </c>
      <c r="AH312" s="28">
        <f ca="1">ROUND(VLOOKUP(1,enemy_base_stats!$A:$F,3,FALSE) * Z312*K312*P312*F312*T312*AE312 * W312*[2]ステータス!$C$2,0)</f>
        <v>172</v>
      </c>
      <c r="AI312" s="28">
        <f ca="1">ROUND(VLOOKUP(1,enemy_base_stats!$A:$F,4,FALSE) * AA312*L312*Q312*G312*U312*AF312*[2]ステータス!$D$2,0)</f>
        <v>0</v>
      </c>
      <c r="AJ312" s="28">
        <f ca="1">ROUND(VLOOKUP(100,enemy_base_stats!$A:$F,2,FALSE) * Y312* J312*O312*E312*S312*AD312*[2]ステータス!$B$2,0)</f>
        <v>138040</v>
      </c>
      <c r="AK312" s="28">
        <f ca="1">ROUND(VLOOKUP(100,enemy_base_stats!$A:$F,3,FALSE)* Z312* K312*P312*F312*T312*AE312 * W312*[2]ステータス!$C$2,0)</f>
        <v>6990</v>
      </c>
      <c r="AL312" s="28">
        <f ca="1">ROUND(VLOOKUP(100,enemy_base_stats!$A:$F,4,FALSE)* AA312* L312*Q312*G312*U312*AF312*[2]ステータス!$D$2,0)</f>
        <v>0</v>
      </c>
      <c r="AM312" s="24">
        <f ca="1">VLOOKUP(M312,[2]character_tribe_i18n!$A:$I,9,FALSE)</f>
        <v>480</v>
      </c>
      <c r="AN312" s="36">
        <v>0</v>
      </c>
      <c r="AO312" s="53">
        <v>0</v>
      </c>
      <c r="AP312" s="58" t="s">
        <v>72</v>
      </c>
      <c r="AQ312" s="71">
        <f t="shared" ca="1" si="8"/>
        <v>311</v>
      </c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8"/>
      <c r="BC312" s="18"/>
      <c r="BD312" s="18"/>
      <c r="BE312" s="18"/>
      <c r="BF312" s="18"/>
      <c r="BG312" s="18"/>
      <c r="BH312" s="18"/>
    </row>
    <row r="313" spans="1:60" s="3" customFormat="1" ht="21" customHeight="1" x14ac:dyDescent="0.15">
      <c r="A313" s="7">
        <f t="shared" ca="1" si="9"/>
        <v>312</v>
      </c>
      <c r="B313" s="6" t="str">
        <f ca="1">VLOOKUP(A313,[2]characters!$A:$C,3,FALSE)</f>
        <v>アノマロカリス</v>
      </c>
      <c r="C313" s="9">
        <f ca="1">VLOOKUP(A313,[2]characters!$A:$I,9,FALSE)</f>
        <v>4</v>
      </c>
      <c r="D313" s="9" t="str">
        <f ca="1">VLOOKUP(A313,[2]characters!$A:$H,8,FALSE)</f>
        <v>yellow</v>
      </c>
      <c r="E313" s="24">
        <f ca="1">VLOOKUP(D313,[2]属性!$A:$E,2,FALSE)</f>
        <v>0.98</v>
      </c>
      <c r="F313" s="24">
        <f ca="1">VLOOKUP(D313,[2]属性!$A:$E,3,FALSE)</f>
        <v>1.01</v>
      </c>
      <c r="G313" s="24">
        <f ca="1">VLOOKUP(D313,[2]属性!$A:$F,4,FALSE)</f>
        <v>1</v>
      </c>
      <c r="H313" s="9" t="str">
        <f ca="1">VLOOKUP(A313,[2]characters!$A:$K,11,FALSE)</f>
        <v>balance</v>
      </c>
      <c r="I313" s="14" t="str">
        <f ca="1">VLOOKUP(H313,[2]character_type_i18n!$A:$F,3,FALSE)</f>
        <v>バランスタイプ</v>
      </c>
      <c r="J313" s="36">
        <f ca="1">VLOOKUP(H313,[2]character_type_i18n!$A:$F,4,FALSE)</f>
        <v>1</v>
      </c>
      <c r="K313" s="36">
        <f ca="1">VLOOKUP(H313,[2]character_type_i18n!$A:$F,5,FALSE)</f>
        <v>1</v>
      </c>
      <c r="L313" s="36">
        <f ca="1">VLOOKUP(H313,[2]character_type_i18n!$A:$F,6,FALSE)</f>
        <v>1</v>
      </c>
      <c r="M313" s="9" t="str">
        <f ca="1">VLOOKUP(A313,[2]characters!$A:$M,13,FALSE)</f>
        <v>animal</v>
      </c>
      <c r="N313" s="14" t="str">
        <f ca="1">VLOOKUP(M313,[2]character_tribe_i18n!$A:$F,3,FALSE)</f>
        <v>アニマル</v>
      </c>
      <c r="O313" s="24">
        <f ca="1">VLOOKUP(M313,[2]character_tribe_i18n!$A:$F,4,FALSE)</f>
        <v>1</v>
      </c>
      <c r="P313" s="24">
        <f ca="1">VLOOKUP(M313,[2]character_tribe_i18n!$A:$F,5,FALSE)</f>
        <v>1.1000000000000001</v>
      </c>
      <c r="Q313" s="24">
        <f ca="1">VLOOKUP(M313,[2]character_tribe_i18n!$A:$F,6,FALSE)</f>
        <v>1</v>
      </c>
      <c r="R313" s="25" t="s">
        <v>4</v>
      </c>
      <c r="S313" s="24">
        <f>VLOOKUP($R313,ラベル別係数!$A$1:$E$7,3,FALSE)</f>
        <v>5</v>
      </c>
      <c r="T313" s="24">
        <f>VLOOKUP($R313,ラベル別係数!$A$1:$E$7,4,FALSE)</f>
        <v>1.3</v>
      </c>
      <c r="U313" s="24">
        <f>VLOOKUP($R313,ラベル別係数!$A$1:$E$7,5,FALSE)</f>
        <v>0.8</v>
      </c>
      <c r="V313" s="27">
        <v>2</v>
      </c>
      <c r="W313" s="28">
        <f>VLOOKUP(V313,ターン数別攻撃係数!$A$1:$B$1000,2,FALSE)</f>
        <v>0.75</v>
      </c>
      <c r="X313" s="10">
        <v>30</v>
      </c>
      <c r="Y313" s="26">
        <f>VLOOKUP($X313,サイズ別係数!$B:$E,2,FALSE)</f>
        <v>1.3</v>
      </c>
      <c r="Z313" s="26">
        <f>VLOOKUP($X313,サイズ別係数!$B:$E,3,FALSE)</f>
        <v>1.3</v>
      </c>
      <c r="AA313" s="26">
        <f>VLOOKUP($X313,サイズ別係数!$B:$E,4,FALSE)</f>
        <v>1.1000000000000001</v>
      </c>
      <c r="AB313" s="5">
        <v>0</v>
      </c>
      <c r="AC313" s="34" t="str">
        <f ca="1">VLOOKUP($AB313,OFFSET([3]enemy_skill_sets!$B$2,0,0,COUNTA([3]enemy_skill_sets!$A:$A),MATCH(AC$1,[3]enemy_skill_sets!$1:$1,0)-MATCH($AB$1,[3]enemy_skill_sets!$1:$1,0)+1),MATCH(AC$1,[3]enemy_skill_sets!$1:$1,0)-MATCH($AB$1,[3]enemy_skill_sets!$1:$1,0)+1,FALSE)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3" s="27">
        <v>1</v>
      </c>
      <c r="AE313" s="37">
        <v>1</v>
      </c>
      <c r="AF313" s="37">
        <v>0</v>
      </c>
      <c r="AG313" s="28">
        <f ca="1">ROUND(VLOOKUP(1,enemy_base_stats!$A:$F,2,FALSE) * Y313* J313*O313*E313*S313*AD313*[2]ステータス!$B$2,0)</f>
        <v>3185</v>
      </c>
      <c r="AH313" s="28">
        <f ca="1">ROUND(VLOOKUP(1,enemy_base_stats!$A:$F,3,FALSE) * Z313*K313*P313*F313*T313*AE313 * W313*[2]ステータス!$C$2,0)</f>
        <v>211</v>
      </c>
      <c r="AI313" s="28">
        <f ca="1">ROUND(VLOOKUP(1,enemy_base_stats!$A:$F,4,FALSE) * AA313*L313*Q313*G313*U313*AF313*[2]ステータス!$D$2,0)</f>
        <v>0</v>
      </c>
      <c r="AJ313" s="28">
        <f ca="1">ROUND(VLOOKUP(100,enemy_base_stats!$A:$F,2,FALSE) * Y313* J313*O313*E313*S313*AD313*[2]ステータス!$B$2,0)</f>
        <v>129311</v>
      </c>
      <c r="AK313" s="28">
        <f ca="1">ROUND(VLOOKUP(100,enemy_base_stats!$A:$F,3,FALSE)* Z313* K313*P313*F313*T313*AE313 * W313*[2]ステータス!$C$2,0)</f>
        <v>8576</v>
      </c>
      <c r="AL313" s="28">
        <f ca="1">ROUND(VLOOKUP(100,enemy_base_stats!$A:$F,4,FALSE)* AA313* L313*Q313*G313*U313*AF313*[2]ステータス!$D$2,0)</f>
        <v>0</v>
      </c>
      <c r="AM313" s="24">
        <f ca="1">VLOOKUP(M313,[2]character_tribe_i18n!$A:$I,9,FALSE)</f>
        <v>480</v>
      </c>
      <c r="AN313" s="36">
        <v>0</v>
      </c>
      <c r="AO313" s="53">
        <v>0</v>
      </c>
      <c r="AP313" s="58" t="s">
        <v>72</v>
      </c>
      <c r="AQ313" s="71">
        <f t="shared" ca="1" si="8"/>
        <v>312</v>
      </c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8"/>
      <c r="BC313" s="18"/>
      <c r="BD313" s="18"/>
      <c r="BE313" s="18"/>
      <c r="BF313" s="18"/>
      <c r="BG313" s="18"/>
      <c r="BH313" s="18"/>
    </row>
    <row r="314" spans="1:60" s="3" customFormat="1" ht="21" customHeight="1" x14ac:dyDescent="0.15">
      <c r="A314" s="7">
        <f t="shared" ca="1" si="9"/>
        <v>313</v>
      </c>
      <c r="B314" s="6" t="str">
        <f ca="1">VLOOKUP(A314,[2]characters!$A:$C,3,FALSE)</f>
        <v>古の先鋭 アノマロカリス</v>
      </c>
      <c r="C314" s="9">
        <f ca="1">VLOOKUP(A314,[2]characters!$A:$I,9,FALSE)</f>
        <v>5</v>
      </c>
      <c r="D314" s="9" t="str">
        <f ca="1">VLOOKUP(A314,[2]characters!$A:$H,8,FALSE)</f>
        <v>yellow</v>
      </c>
      <c r="E314" s="24">
        <f ca="1">VLOOKUP(D314,[2]属性!$A:$E,2,FALSE)</f>
        <v>0.98</v>
      </c>
      <c r="F314" s="24">
        <f ca="1">VLOOKUP(D314,[2]属性!$A:$E,3,FALSE)</f>
        <v>1.01</v>
      </c>
      <c r="G314" s="24">
        <f ca="1">VLOOKUP(D314,[2]属性!$A:$F,4,FALSE)</f>
        <v>1</v>
      </c>
      <c r="H314" s="9" t="str">
        <f ca="1">VLOOKUP(A314,[2]characters!$A:$K,11,FALSE)</f>
        <v>balance</v>
      </c>
      <c r="I314" s="14" t="str">
        <f ca="1">VLOOKUP(H314,[2]character_type_i18n!$A:$F,3,FALSE)</f>
        <v>バランスタイプ</v>
      </c>
      <c r="J314" s="36">
        <f ca="1">VLOOKUP(H314,[2]character_type_i18n!$A:$F,4,FALSE)</f>
        <v>1</v>
      </c>
      <c r="K314" s="36">
        <f ca="1">VLOOKUP(H314,[2]character_type_i18n!$A:$F,5,FALSE)</f>
        <v>1</v>
      </c>
      <c r="L314" s="36">
        <f ca="1">VLOOKUP(H314,[2]character_type_i18n!$A:$F,6,FALSE)</f>
        <v>1</v>
      </c>
      <c r="M314" s="9" t="str">
        <f ca="1">VLOOKUP(A314,[2]characters!$A:$M,13,FALSE)</f>
        <v>animal</v>
      </c>
      <c r="N314" s="14" t="str">
        <f ca="1">VLOOKUP(M314,[2]character_tribe_i18n!$A:$F,3,FALSE)</f>
        <v>アニマル</v>
      </c>
      <c r="O314" s="24">
        <f ca="1">VLOOKUP(M314,[2]character_tribe_i18n!$A:$F,4,FALSE)</f>
        <v>1</v>
      </c>
      <c r="P314" s="24">
        <f ca="1">VLOOKUP(M314,[2]character_tribe_i18n!$A:$F,5,FALSE)</f>
        <v>1.1000000000000001</v>
      </c>
      <c r="Q314" s="24">
        <f ca="1">VLOOKUP(M314,[2]character_tribe_i18n!$A:$F,6,FALSE)</f>
        <v>1</v>
      </c>
      <c r="R314" s="25" t="s">
        <v>4</v>
      </c>
      <c r="S314" s="24">
        <f>VLOOKUP($R314,ラベル別係数!$A$1:$E$7,3,FALSE)</f>
        <v>5</v>
      </c>
      <c r="T314" s="24">
        <f>VLOOKUP($R314,ラベル別係数!$A$1:$E$7,4,FALSE)</f>
        <v>1.3</v>
      </c>
      <c r="U314" s="24">
        <f>VLOOKUP($R314,ラベル別係数!$A$1:$E$7,5,FALSE)</f>
        <v>0.8</v>
      </c>
      <c r="V314" s="27">
        <v>2</v>
      </c>
      <c r="W314" s="28">
        <f>VLOOKUP(V314,ターン数別攻撃係数!$A$1:$B$1000,2,FALSE)</f>
        <v>0.75</v>
      </c>
      <c r="X314" s="10">
        <v>60</v>
      </c>
      <c r="Y314" s="26">
        <f>VLOOKUP($X314,サイズ別係数!$B:$E,2,FALSE)</f>
        <v>1.7</v>
      </c>
      <c r="Z314" s="26">
        <f>VLOOKUP($X314,サイズ別係数!$B:$E,3,FALSE)</f>
        <v>1.4</v>
      </c>
      <c r="AA314" s="26">
        <f>VLOOKUP($X314,サイズ別係数!$B:$E,4,FALSE)</f>
        <v>1</v>
      </c>
      <c r="AB314" s="5">
        <v>0</v>
      </c>
      <c r="AC314" s="34" t="str">
        <f ca="1">VLOOKUP($AB314,OFFSET([3]enemy_skill_sets!$B$2,0,0,COUNTA([3]enemy_skill_sets!$A:$A),MATCH(AC$1,[3]enemy_skill_sets!$1:$1,0)-MATCH($AB$1,[3]enemy_skill_sets!$1:$1,0)+1),MATCH(AC$1,[3]enemy_skill_sets!$1:$1,0)-MATCH($AB$1,[3]enemy_skill_sets!$1:$1,0)+1,FALSE)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4" s="27">
        <v>1</v>
      </c>
      <c r="AE314" s="37">
        <v>1</v>
      </c>
      <c r="AF314" s="37">
        <v>0</v>
      </c>
      <c r="AG314" s="28">
        <f ca="1">ROUND(VLOOKUP(1,enemy_base_stats!$A:$F,2,FALSE) * Y314* J314*O314*E314*S314*AD314*[2]ステータス!$B$2,0)</f>
        <v>4165</v>
      </c>
      <c r="AH314" s="28">
        <f ca="1">ROUND(VLOOKUP(1,enemy_base_stats!$A:$F,3,FALSE) * Z314*K314*P314*F314*T314*AE314 * W314*[2]ステータス!$C$2,0)</f>
        <v>227</v>
      </c>
      <c r="AI314" s="28">
        <f ca="1">ROUND(VLOOKUP(1,enemy_base_stats!$A:$F,4,FALSE) * AA314*L314*Q314*G314*U314*AF314*[2]ステータス!$D$2,0)</f>
        <v>0</v>
      </c>
      <c r="AJ314" s="28">
        <f ca="1">ROUND(VLOOKUP(100,enemy_base_stats!$A:$F,2,FALSE) * Y314* J314*O314*E314*S314*AD314*[2]ステータス!$B$2,0)</f>
        <v>169099</v>
      </c>
      <c r="AK314" s="28">
        <f ca="1">ROUND(VLOOKUP(100,enemy_base_stats!$A:$F,3,FALSE)* Z314* K314*P314*F314*T314*AE314 * W314*[2]ステータス!$C$2,0)</f>
        <v>9236</v>
      </c>
      <c r="AL314" s="28">
        <f ca="1">ROUND(VLOOKUP(100,enemy_base_stats!$A:$F,4,FALSE)* AA314* L314*Q314*G314*U314*AF314*[2]ステータス!$D$2,0)</f>
        <v>0</v>
      </c>
      <c r="AM314" s="24">
        <f ca="1">VLOOKUP(M314,[2]character_tribe_i18n!$A:$I,9,FALSE)</f>
        <v>480</v>
      </c>
      <c r="AN314" s="36">
        <v>0</v>
      </c>
      <c r="AO314" s="53">
        <v>0</v>
      </c>
      <c r="AP314" s="58" t="s">
        <v>72</v>
      </c>
      <c r="AQ314" s="71">
        <f t="shared" ca="1" si="8"/>
        <v>313</v>
      </c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8"/>
      <c r="BC314" s="18"/>
      <c r="BD314" s="18"/>
      <c r="BE314" s="18"/>
      <c r="BF314" s="18"/>
      <c r="BG314" s="18"/>
      <c r="BH314" s="18"/>
    </row>
    <row r="315" spans="1:60" s="3" customFormat="1" ht="21" customHeight="1" x14ac:dyDescent="0.15">
      <c r="A315" s="7">
        <f t="shared" ca="1" si="9"/>
        <v>314</v>
      </c>
      <c r="B315" s="6" t="str">
        <f ca="1">VLOOKUP(A315,[2]characters!$A:$C,3,FALSE)</f>
        <v>ジャンヌ</v>
      </c>
      <c r="C315" s="9">
        <f ca="1">VLOOKUP(A315,[2]characters!$A:$I,9,FALSE)</f>
        <v>4</v>
      </c>
      <c r="D315" s="9" t="str">
        <f ca="1">VLOOKUP(A315,[2]characters!$A:$H,8,FALSE)</f>
        <v>blue</v>
      </c>
      <c r="E315" s="24">
        <f ca="1">VLOOKUP(D315,[2]属性!$A:$E,2,FALSE)</f>
        <v>1</v>
      </c>
      <c r="F315" s="24">
        <f ca="1">VLOOKUP(D315,[2]属性!$A:$E,3,FALSE)</f>
        <v>0.98</v>
      </c>
      <c r="G315" s="24">
        <f ca="1">VLOOKUP(D315,[2]属性!$A:$F,4,FALSE)</f>
        <v>1</v>
      </c>
      <c r="H315" s="9" t="str">
        <f ca="1">VLOOKUP(A315,[2]characters!$A:$K,11,FALSE)</f>
        <v>heal</v>
      </c>
      <c r="I315" s="14" t="str">
        <f ca="1">VLOOKUP(H315,[2]character_type_i18n!$A:$F,3,FALSE)</f>
        <v>回復タイプ</v>
      </c>
      <c r="J315" s="36">
        <f ca="1">VLOOKUP(H315,[2]character_type_i18n!$A:$F,4,FALSE)</f>
        <v>0.8</v>
      </c>
      <c r="K315" s="36">
        <f ca="1">VLOOKUP(H315,[2]character_type_i18n!$A:$F,5,FALSE)</f>
        <v>0.78</v>
      </c>
      <c r="L315" s="36">
        <f ca="1">VLOOKUP(H315,[2]character_type_i18n!$A:$F,6,FALSE)</f>
        <v>1</v>
      </c>
      <c r="M315" s="9" t="str">
        <f ca="1">VLOOKUP(A315,[2]characters!$A:$M,13,FALSE)</f>
        <v>human</v>
      </c>
      <c r="N315" s="14" t="str">
        <f ca="1">VLOOKUP(M315,[2]character_tribe_i18n!$A:$F,3,FALSE)</f>
        <v>ヒューマン</v>
      </c>
      <c r="O315" s="24">
        <f ca="1">VLOOKUP(M315,[2]character_tribe_i18n!$A:$F,4,FALSE)</f>
        <v>0.94</v>
      </c>
      <c r="P315" s="24">
        <f ca="1">VLOOKUP(M315,[2]character_tribe_i18n!$A:$F,5,FALSE)</f>
        <v>0.99</v>
      </c>
      <c r="Q315" s="24">
        <f ca="1">VLOOKUP(M315,[2]character_tribe_i18n!$A:$F,6,FALSE)</f>
        <v>1</v>
      </c>
      <c r="R315" s="25" t="s">
        <v>4</v>
      </c>
      <c r="S315" s="24">
        <f>VLOOKUP($R315,ラベル別係数!$A$1:$E$7,3,FALSE)</f>
        <v>5</v>
      </c>
      <c r="T315" s="24">
        <f>VLOOKUP($R315,ラベル別係数!$A$1:$E$7,4,FALSE)</f>
        <v>1.3</v>
      </c>
      <c r="U315" s="24">
        <f>VLOOKUP($R315,ラベル別係数!$A$1:$E$7,5,FALSE)</f>
        <v>0.8</v>
      </c>
      <c r="V315" s="27">
        <v>2</v>
      </c>
      <c r="W315" s="28">
        <f>VLOOKUP(V315,ターン数別攻撃係数!$A$1:$B$1000,2,FALSE)</f>
        <v>0.75</v>
      </c>
      <c r="X315" s="10">
        <v>30</v>
      </c>
      <c r="Y315" s="26">
        <f>VLOOKUP($X315,サイズ別係数!$B:$E,2,FALSE)</f>
        <v>1.3</v>
      </c>
      <c r="Z315" s="26">
        <f>VLOOKUP($X315,サイズ別係数!$B:$E,3,FALSE)</f>
        <v>1.3</v>
      </c>
      <c r="AA315" s="26">
        <f>VLOOKUP($X315,サイズ別係数!$B:$E,4,FALSE)</f>
        <v>1.1000000000000001</v>
      </c>
      <c r="AB315" s="5">
        <v>0</v>
      </c>
      <c r="AC315" s="34" t="str">
        <f ca="1">VLOOKUP($AB315,OFFSET([3]enemy_skill_sets!$B$2,0,0,COUNTA([3]enemy_skill_sets!$A:$A),MATCH(AC$1,[3]enemy_skill_sets!$1:$1,0)-MATCH($AB$1,[3]enemy_skill_sets!$1:$1,0)+1),MATCH(AC$1,[3]enemy_skill_sets!$1:$1,0)-MATCH($AB$1,[3]enemy_skill_sets!$1:$1,0)+1,FALSE)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5" s="27">
        <v>1</v>
      </c>
      <c r="AE315" s="37">
        <v>1</v>
      </c>
      <c r="AF315" s="37">
        <v>0</v>
      </c>
      <c r="AG315" s="28">
        <f ca="1">ROUND(VLOOKUP(1,enemy_base_stats!$A:$F,2,FALSE) * Y315* J315*O315*E315*S315*AD315*[2]ステータス!$B$2,0)</f>
        <v>2444</v>
      </c>
      <c r="AH315" s="28">
        <f ca="1">ROUND(VLOOKUP(1,enemy_base_stats!$A:$F,3,FALSE) * Z315*K315*P315*F315*T315*AE315 * W315*[2]ステータス!$C$2,0)</f>
        <v>144</v>
      </c>
      <c r="AI315" s="28">
        <f ca="1">ROUND(VLOOKUP(1,enemy_base_stats!$A:$F,4,FALSE) * AA315*L315*Q315*G315*U315*AF315*[2]ステータス!$D$2,0)</f>
        <v>0</v>
      </c>
      <c r="AJ315" s="28">
        <f ca="1">ROUND(VLOOKUP(100,enemy_base_stats!$A:$F,2,FALSE) * Y315* J315*O315*E315*S315*AD315*[2]ステータス!$B$2,0)</f>
        <v>99226</v>
      </c>
      <c r="AK315" s="28">
        <f ca="1">ROUND(VLOOKUP(100,enemy_base_stats!$A:$F,3,FALSE)* Z315* K315*P315*F315*T315*AE315 * W315*[2]ステータス!$C$2,0)</f>
        <v>5841</v>
      </c>
      <c r="AL315" s="28">
        <f ca="1">ROUND(VLOOKUP(100,enemy_base_stats!$A:$F,4,FALSE)* AA315* L315*Q315*G315*U315*AF315*[2]ステータス!$D$2,0)</f>
        <v>0</v>
      </c>
      <c r="AM315" s="24">
        <f ca="1">VLOOKUP(M315,[2]character_tribe_i18n!$A:$I,9,FALSE)</f>
        <v>400</v>
      </c>
      <c r="AN315" s="36">
        <v>0</v>
      </c>
      <c r="AO315" s="53">
        <v>0</v>
      </c>
      <c r="AP315" s="58" t="s">
        <v>72</v>
      </c>
      <c r="AQ315" s="71">
        <f t="shared" ca="1" si="8"/>
        <v>314</v>
      </c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8"/>
      <c r="BC315" s="18"/>
      <c r="BD315" s="18"/>
      <c r="BE315" s="18"/>
      <c r="BF315" s="18"/>
      <c r="BG315" s="18"/>
      <c r="BH315" s="18"/>
    </row>
    <row r="316" spans="1:60" s="3" customFormat="1" ht="21" customHeight="1" x14ac:dyDescent="0.15">
      <c r="A316" s="7">
        <f t="shared" ca="1" si="9"/>
        <v>315</v>
      </c>
      <c r="B316" s="6" t="str">
        <f ca="1">VLOOKUP(A316,[2]characters!$A:$C,3,FALSE)</f>
        <v>鉄馬駆る聖女 ジャンヌ</v>
      </c>
      <c r="C316" s="9">
        <f ca="1">VLOOKUP(A316,[2]characters!$A:$I,9,FALSE)</f>
        <v>5</v>
      </c>
      <c r="D316" s="9" t="str">
        <f ca="1">VLOOKUP(A316,[2]characters!$A:$H,8,FALSE)</f>
        <v>blue</v>
      </c>
      <c r="E316" s="24">
        <f ca="1">VLOOKUP(D316,[2]属性!$A:$E,2,FALSE)</f>
        <v>1</v>
      </c>
      <c r="F316" s="24">
        <f ca="1">VLOOKUP(D316,[2]属性!$A:$E,3,FALSE)</f>
        <v>0.98</v>
      </c>
      <c r="G316" s="24">
        <f ca="1">VLOOKUP(D316,[2]属性!$A:$F,4,FALSE)</f>
        <v>1</v>
      </c>
      <c r="H316" s="9" t="str">
        <f ca="1">VLOOKUP(A316,[2]characters!$A:$K,11,FALSE)</f>
        <v>heal</v>
      </c>
      <c r="I316" s="14" t="str">
        <f ca="1">VLOOKUP(H316,[2]character_type_i18n!$A:$F,3,FALSE)</f>
        <v>回復タイプ</v>
      </c>
      <c r="J316" s="36">
        <f ca="1">VLOOKUP(H316,[2]character_type_i18n!$A:$F,4,FALSE)</f>
        <v>0.8</v>
      </c>
      <c r="K316" s="36">
        <f ca="1">VLOOKUP(H316,[2]character_type_i18n!$A:$F,5,FALSE)</f>
        <v>0.78</v>
      </c>
      <c r="L316" s="36">
        <f ca="1">VLOOKUP(H316,[2]character_type_i18n!$A:$F,6,FALSE)</f>
        <v>1</v>
      </c>
      <c r="M316" s="9" t="str">
        <f ca="1">VLOOKUP(A316,[2]characters!$A:$M,13,FALSE)</f>
        <v>human</v>
      </c>
      <c r="N316" s="14" t="str">
        <f ca="1">VLOOKUP(M316,[2]character_tribe_i18n!$A:$F,3,FALSE)</f>
        <v>ヒューマン</v>
      </c>
      <c r="O316" s="24">
        <f ca="1">VLOOKUP(M316,[2]character_tribe_i18n!$A:$F,4,FALSE)</f>
        <v>0.94</v>
      </c>
      <c r="P316" s="24">
        <f ca="1">VLOOKUP(M316,[2]character_tribe_i18n!$A:$F,5,FALSE)</f>
        <v>0.99</v>
      </c>
      <c r="Q316" s="24">
        <f ca="1">VLOOKUP(M316,[2]character_tribe_i18n!$A:$F,6,FALSE)</f>
        <v>1</v>
      </c>
      <c r="R316" s="25" t="s">
        <v>4</v>
      </c>
      <c r="S316" s="24">
        <f>VLOOKUP($R316,ラベル別係数!$A$1:$E$7,3,FALSE)</f>
        <v>5</v>
      </c>
      <c r="T316" s="24">
        <f>VLOOKUP($R316,ラベル別係数!$A$1:$E$7,4,FALSE)</f>
        <v>1.3</v>
      </c>
      <c r="U316" s="24">
        <f>VLOOKUP($R316,ラベル別係数!$A$1:$E$7,5,FALSE)</f>
        <v>0.8</v>
      </c>
      <c r="V316" s="27">
        <v>2</v>
      </c>
      <c r="W316" s="28">
        <f>VLOOKUP(V316,ターン数別攻撃係数!$A$1:$B$1000,2,FALSE)</f>
        <v>0.75</v>
      </c>
      <c r="X316" s="9">
        <f ca="1">VLOOKUP(C316,サイズ別係数!A$2:B$8,2,FALSE)</f>
        <v>60</v>
      </c>
      <c r="Y316" s="26">
        <f ca="1">VLOOKUP($X316,サイズ別係数!$B:$E,2,FALSE)</f>
        <v>1.7</v>
      </c>
      <c r="Z316" s="26">
        <f ca="1">VLOOKUP($X316,サイズ別係数!$B:$E,3,FALSE)</f>
        <v>1.4</v>
      </c>
      <c r="AA316" s="26">
        <f ca="1">VLOOKUP($X316,サイズ別係数!$B:$E,4,FALSE)</f>
        <v>1</v>
      </c>
      <c r="AB316" s="5">
        <v>0</v>
      </c>
      <c r="AC316" s="34" t="str">
        <f ca="1">VLOOKUP($AB316,OFFSET([3]enemy_skill_sets!$B$2,0,0,COUNTA([3]enemy_skill_sets!$A:$A),MATCH(AC$1,[3]enemy_skill_sets!$1:$1,0)-MATCH($AB$1,[3]enemy_skill_sets!$1:$1,0)+1),MATCH(AC$1,[3]enemy_skill_sets!$1:$1,0)-MATCH($AB$1,[3]enemy_skill_sets!$1:$1,0)+1,FALSE)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6" s="27">
        <v>1</v>
      </c>
      <c r="AE316" s="37">
        <v>1</v>
      </c>
      <c r="AF316" s="37">
        <v>0</v>
      </c>
      <c r="AG316" s="28">
        <f ca="1">ROUND(VLOOKUP(1,enemy_base_stats!$A:$F,2,FALSE) * Y316* J316*O316*E316*S316*AD316*[2]ステータス!$B$2,0)</f>
        <v>3196</v>
      </c>
      <c r="AH316" s="28">
        <f ca="1">ROUND(VLOOKUP(1,enemy_base_stats!$A:$F,3,FALSE) * Z316*K316*P316*F316*T316*AE316 * W316*[2]ステータス!$C$2,0)</f>
        <v>155</v>
      </c>
      <c r="AI316" s="28">
        <f ca="1">ROUND(VLOOKUP(1,enemy_base_stats!$A:$F,4,FALSE) * AA316*L316*Q316*G316*U316*AF316*[2]ステータス!$D$2,0)</f>
        <v>0</v>
      </c>
      <c r="AJ316" s="28">
        <f ca="1">ROUND(VLOOKUP(100,enemy_base_stats!$A:$F,2,FALSE) * Y316* J316*O316*E316*S316*AD316*[2]ステータス!$B$2,0)</f>
        <v>129758</v>
      </c>
      <c r="AK316" s="28">
        <f ca="1">ROUND(VLOOKUP(100,enemy_base_stats!$A:$F,3,FALSE)* Z316* K316*P316*F316*T316*AE316 * W316*[2]ステータス!$C$2,0)</f>
        <v>6291</v>
      </c>
      <c r="AL316" s="28">
        <f ca="1">ROUND(VLOOKUP(100,enemy_base_stats!$A:$F,4,FALSE)* AA316* L316*Q316*G316*U316*AF316*[2]ステータス!$D$2,0)</f>
        <v>0</v>
      </c>
      <c r="AM316" s="64">
        <v>50000</v>
      </c>
      <c r="AN316" s="36">
        <v>0</v>
      </c>
      <c r="AO316" s="53">
        <v>0</v>
      </c>
      <c r="AP316" s="58" t="s">
        <v>72</v>
      </c>
      <c r="AQ316" s="71">
        <f t="shared" ca="1" si="8"/>
        <v>315</v>
      </c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8"/>
      <c r="BC316" s="18"/>
      <c r="BD316" s="18"/>
      <c r="BE316" s="18"/>
      <c r="BF316" s="18"/>
      <c r="BG316" s="18"/>
      <c r="BH316" s="18"/>
    </row>
    <row r="317" spans="1:60" s="3" customFormat="1" ht="21" customHeight="1" x14ac:dyDescent="0.15">
      <c r="A317" s="7">
        <f t="shared" ca="1" si="9"/>
        <v>316</v>
      </c>
      <c r="B317" s="6" t="str">
        <f ca="1">VLOOKUP(A317,[2]characters!$A:$C,3,FALSE)</f>
        <v>テスラ</v>
      </c>
      <c r="C317" s="9">
        <f ca="1">VLOOKUP(A317,[2]characters!$A:$I,9,FALSE)</f>
        <v>4</v>
      </c>
      <c r="D317" s="9" t="str">
        <f ca="1">VLOOKUP(A317,[2]characters!$A:$H,8,FALSE)</f>
        <v>yellow</v>
      </c>
      <c r="E317" s="24">
        <f ca="1">VLOOKUP(D317,[2]属性!$A:$E,2,FALSE)</f>
        <v>0.98</v>
      </c>
      <c r="F317" s="24">
        <f ca="1">VLOOKUP(D317,[2]属性!$A:$E,3,FALSE)</f>
        <v>1.01</v>
      </c>
      <c r="G317" s="24">
        <f ca="1">VLOOKUP(D317,[2]属性!$A:$F,4,FALSE)</f>
        <v>1</v>
      </c>
      <c r="H317" s="9" t="str">
        <f ca="1">VLOOKUP(A317,[2]characters!$A:$K,11,FALSE)</f>
        <v>balance</v>
      </c>
      <c r="I317" s="14" t="str">
        <f ca="1">VLOOKUP(H317,[2]character_type_i18n!$A:$F,3,FALSE)</f>
        <v>バランスタイプ</v>
      </c>
      <c r="J317" s="36">
        <f ca="1">VLOOKUP(H317,[2]character_type_i18n!$A:$F,4,FALSE)</f>
        <v>1</v>
      </c>
      <c r="K317" s="36">
        <f ca="1">VLOOKUP(H317,[2]character_type_i18n!$A:$F,5,FALSE)</f>
        <v>1</v>
      </c>
      <c r="L317" s="36">
        <f ca="1">VLOOKUP(H317,[2]character_type_i18n!$A:$F,6,FALSE)</f>
        <v>1</v>
      </c>
      <c r="M317" s="9" t="str">
        <f ca="1">VLOOKUP(A317,[2]characters!$A:$M,13,FALSE)</f>
        <v>human</v>
      </c>
      <c r="N317" s="14" t="str">
        <f ca="1">VLOOKUP(M317,[2]character_tribe_i18n!$A:$F,3,FALSE)</f>
        <v>ヒューマン</v>
      </c>
      <c r="O317" s="24">
        <f ca="1">VLOOKUP(M317,[2]character_tribe_i18n!$A:$F,4,FALSE)</f>
        <v>0.94</v>
      </c>
      <c r="P317" s="24">
        <f ca="1">VLOOKUP(M317,[2]character_tribe_i18n!$A:$F,5,FALSE)</f>
        <v>0.99</v>
      </c>
      <c r="Q317" s="24">
        <f ca="1">VLOOKUP(M317,[2]character_tribe_i18n!$A:$F,6,FALSE)</f>
        <v>1</v>
      </c>
      <c r="R317" s="25" t="s">
        <v>4</v>
      </c>
      <c r="S317" s="24">
        <f>VLOOKUP($R317,ラベル別係数!$A$1:$E$7,3,FALSE)</f>
        <v>5</v>
      </c>
      <c r="T317" s="24">
        <f>VLOOKUP($R317,ラベル別係数!$A$1:$E$7,4,FALSE)</f>
        <v>1.3</v>
      </c>
      <c r="U317" s="24">
        <f>VLOOKUP($R317,ラベル別係数!$A$1:$E$7,5,FALSE)</f>
        <v>0.8</v>
      </c>
      <c r="V317" s="27">
        <v>2</v>
      </c>
      <c r="W317" s="28">
        <f>VLOOKUP(V317,ターン数別攻撃係数!$A$1:$B$1000,2,FALSE)</f>
        <v>0.75</v>
      </c>
      <c r="X317" s="9">
        <f ca="1">VLOOKUP(C317,サイズ別係数!A$2:B$8,2,FALSE)</f>
        <v>30</v>
      </c>
      <c r="Y317" s="26">
        <f ca="1">VLOOKUP($X317,サイズ別係数!$B:$E,2,FALSE)</f>
        <v>1.3</v>
      </c>
      <c r="Z317" s="26">
        <f ca="1">VLOOKUP($X317,サイズ別係数!$B:$E,3,FALSE)</f>
        <v>1.3</v>
      </c>
      <c r="AA317" s="26">
        <f ca="1">VLOOKUP($X317,サイズ別係数!$B:$E,4,FALSE)</f>
        <v>1.1000000000000001</v>
      </c>
      <c r="AB317" s="5">
        <v>0</v>
      </c>
      <c r="AC317" s="34" t="str">
        <f ca="1">VLOOKUP($AB317,OFFSET([3]enemy_skill_sets!$B$2,0,0,COUNTA([3]enemy_skill_sets!$A:$A),MATCH(AC$1,[3]enemy_skill_sets!$1:$1,0)-MATCH($AB$1,[3]enemy_skill_sets!$1:$1,0)+1),MATCH(AC$1,[3]enemy_skill_sets!$1:$1,0)-MATCH($AB$1,[3]enemy_skill_sets!$1:$1,0)+1,FALSE)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7" s="27">
        <v>1</v>
      </c>
      <c r="AE317" s="37">
        <v>1</v>
      </c>
      <c r="AF317" s="37">
        <v>0</v>
      </c>
      <c r="AG317" s="28">
        <f ca="1">ROUND(VLOOKUP(1,enemy_base_stats!$A:$F,2,FALSE) * Y317* J317*O317*E317*S317*AD317*[2]ステータス!$B$2,0)</f>
        <v>2994</v>
      </c>
      <c r="AH317" s="28">
        <f ca="1">ROUND(VLOOKUP(1,enemy_base_stats!$A:$F,3,FALSE) * Z317*K317*P317*F317*T317*AE317 * W317*[2]ステータス!$C$2,0)</f>
        <v>190</v>
      </c>
      <c r="AI317" s="28">
        <f ca="1">ROUND(VLOOKUP(1,enemy_base_stats!$A:$F,4,FALSE) * AA317*L317*Q317*G317*U317*AF317*[2]ステータス!$D$2,0)</f>
        <v>0</v>
      </c>
      <c r="AJ317" s="28">
        <f ca="1">ROUND(VLOOKUP(100,enemy_base_stats!$A:$F,2,FALSE) * Y317* J317*O317*E317*S317*AD317*[2]ステータス!$B$2,0)</f>
        <v>121552</v>
      </c>
      <c r="AK317" s="28">
        <f ca="1">ROUND(VLOOKUP(100,enemy_base_stats!$A:$F,3,FALSE)* Z317* K317*P317*F317*T317*AE317 * W317*[2]ステータス!$C$2,0)</f>
        <v>7718</v>
      </c>
      <c r="AL317" s="28">
        <f ca="1">ROUND(VLOOKUP(100,enemy_base_stats!$A:$F,4,FALSE)* AA317* L317*Q317*G317*U317*AF317*[2]ステータス!$D$2,0)</f>
        <v>0</v>
      </c>
      <c r="AM317" s="24">
        <f ca="1">VLOOKUP(M317,[2]character_tribe_i18n!$A:$I,9,FALSE)</f>
        <v>400</v>
      </c>
      <c r="AN317" s="36">
        <v>0</v>
      </c>
      <c r="AO317" s="53">
        <v>0</v>
      </c>
      <c r="AP317" s="58" t="s">
        <v>72</v>
      </c>
      <c r="AQ317" s="71">
        <f t="shared" ca="1" si="8"/>
        <v>316</v>
      </c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8"/>
      <c r="BC317" s="18"/>
      <c r="BD317" s="18"/>
      <c r="BE317" s="18"/>
      <c r="BF317" s="18"/>
      <c r="BG317" s="18"/>
      <c r="BH317" s="18"/>
    </row>
    <row r="318" spans="1:60" s="3" customFormat="1" ht="21" customHeight="1" x14ac:dyDescent="0.15">
      <c r="A318" s="7">
        <f t="shared" ca="1" si="9"/>
        <v>317</v>
      </c>
      <c r="B318" s="6" t="str">
        <f ca="1">VLOOKUP(A318,[2]characters!$A:$C,3,FALSE)</f>
        <v>異能の電気師 テスラ</v>
      </c>
      <c r="C318" s="9">
        <f ca="1">VLOOKUP(A318,[2]characters!$A:$I,9,FALSE)</f>
        <v>5</v>
      </c>
      <c r="D318" s="9" t="str">
        <f ca="1">VLOOKUP(A318,[2]characters!$A:$H,8,FALSE)</f>
        <v>yellow</v>
      </c>
      <c r="E318" s="24">
        <f ca="1">VLOOKUP(D318,[2]属性!$A:$E,2,FALSE)</f>
        <v>0.98</v>
      </c>
      <c r="F318" s="24">
        <f ca="1">VLOOKUP(D318,[2]属性!$A:$E,3,FALSE)</f>
        <v>1.01</v>
      </c>
      <c r="G318" s="24">
        <f ca="1">VLOOKUP(D318,[2]属性!$A:$F,4,FALSE)</f>
        <v>1</v>
      </c>
      <c r="H318" s="9" t="str">
        <f ca="1">VLOOKUP(A318,[2]characters!$A:$K,11,FALSE)</f>
        <v>balance</v>
      </c>
      <c r="I318" s="14" t="str">
        <f ca="1">VLOOKUP(H318,[2]character_type_i18n!$A:$F,3,FALSE)</f>
        <v>バランスタイプ</v>
      </c>
      <c r="J318" s="36">
        <f ca="1">VLOOKUP(H318,[2]character_type_i18n!$A:$F,4,FALSE)</f>
        <v>1</v>
      </c>
      <c r="K318" s="36">
        <f ca="1">VLOOKUP(H318,[2]character_type_i18n!$A:$F,5,FALSE)</f>
        <v>1</v>
      </c>
      <c r="L318" s="36">
        <f ca="1">VLOOKUP(H318,[2]character_type_i18n!$A:$F,6,FALSE)</f>
        <v>1</v>
      </c>
      <c r="M318" s="9" t="str">
        <f ca="1">VLOOKUP(A318,[2]characters!$A:$M,13,FALSE)</f>
        <v>human</v>
      </c>
      <c r="N318" s="14" t="str">
        <f ca="1">VLOOKUP(M318,[2]character_tribe_i18n!$A:$F,3,FALSE)</f>
        <v>ヒューマン</v>
      </c>
      <c r="O318" s="24">
        <f ca="1">VLOOKUP(M318,[2]character_tribe_i18n!$A:$F,4,FALSE)</f>
        <v>0.94</v>
      </c>
      <c r="P318" s="24">
        <f ca="1">VLOOKUP(M318,[2]character_tribe_i18n!$A:$F,5,FALSE)</f>
        <v>0.99</v>
      </c>
      <c r="Q318" s="24">
        <f ca="1">VLOOKUP(M318,[2]character_tribe_i18n!$A:$F,6,FALSE)</f>
        <v>1</v>
      </c>
      <c r="R318" s="25" t="s">
        <v>86</v>
      </c>
      <c r="S318" s="24">
        <f>VLOOKUP($R318,ラベル別係数!$A$1:$E$7,3,FALSE)</f>
        <v>10</v>
      </c>
      <c r="T318" s="24">
        <f>VLOOKUP($R318,ラベル別係数!$A$1:$E$7,4,FALSE)</f>
        <v>1</v>
      </c>
      <c r="U318" s="24">
        <f>VLOOKUP($R318,ラベル別係数!$A$1:$E$7,5,FALSE)</f>
        <v>0.8</v>
      </c>
      <c r="V318" s="27">
        <v>2</v>
      </c>
      <c r="W318" s="28">
        <f>VLOOKUP(V318,ターン数別攻撃係数!$A$1:$B$1000,2,FALSE)</f>
        <v>0.75</v>
      </c>
      <c r="X318" s="9">
        <f ca="1">VLOOKUP(C318,サイズ別係数!A$2:B$8,2,FALSE)</f>
        <v>60</v>
      </c>
      <c r="Y318" s="26">
        <f ca="1">VLOOKUP($X318,サイズ別係数!$B:$E,2,FALSE)</f>
        <v>1.7</v>
      </c>
      <c r="Z318" s="26">
        <f ca="1">VLOOKUP($X318,サイズ別係数!$B:$E,3,FALSE)</f>
        <v>1.4</v>
      </c>
      <c r="AA318" s="26">
        <f ca="1">VLOOKUP($X318,サイズ別係数!$B:$E,4,FALSE)</f>
        <v>1</v>
      </c>
      <c r="AB318" s="5">
        <v>317</v>
      </c>
      <c r="AC318" s="34" t="str">
        <f ca="1">VLOOKUP($AB318,OFFSET([3]enemy_skill_sets!$B$2,0,0,COUNTA([3]enemy_skill_sets!$A:$A),MATCH(AC$1,[3]enemy_skill_sets!$1:$1,0)-MATCH($AB$1,[3]enemy_skill_sets!$1:$1,0)+1),MATCH(AC$1,[3]enemy_skill_sets!$1:$1,0)-MATCH($AB$1,[3]enemy_skill_sets!$1:$1,0)+1,FALSE)</f>
        <v>2回連続攻撃</v>
      </c>
      <c r="AD318" s="27">
        <v>1</v>
      </c>
      <c r="AE318" s="37">
        <v>1</v>
      </c>
      <c r="AF318" s="37">
        <v>0</v>
      </c>
      <c r="AG318" s="28">
        <f ca="1">ROUND(VLOOKUP(1,enemy_base_stats!$A:$F,2,FALSE) * Y318* J318*O318*E318*S318*AD318*[2]ステータス!$B$2,0)</f>
        <v>7830</v>
      </c>
      <c r="AH318" s="28">
        <f ca="1">ROUND(VLOOKUP(1,enemy_base_stats!$A:$F,3,FALSE) * Z318*K318*P318*F318*T318*AE318 * W318*[2]ステータス!$C$2,0)</f>
        <v>157</v>
      </c>
      <c r="AI318" s="28">
        <f ca="1">ROUND(VLOOKUP(1,enemy_base_stats!$A:$F,4,FALSE) * AA318*L318*Q318*G318*U318*AF318*[2]ステータス!$D$2,0)</f>
        <v>0</v>
      </c>
      <c r="AJ318" s="28">
        <f ca="1">ROUND(VLOOKUP(100,enemy_base_stats!$A:$F,2,FALSE) * Y318* J318*O318*E318*S318*AD318*[2]ステータス!$B$2,0)</f>
        <v>317906</v>
      </c>
      <c r="AK318" s="28">
        <f ca="1">ROUND(VLOOKUP(100,enemy_base_stats!$A:$F,3,FALSE)* Z318* K318*P318*F318*T318*AE318 * W318*[2]ステータス!$C$2,0)</f>
        <v>6394</v>
      </c>
      <c r="AL318" s="28">
        <f ca="1">ROUND(VLOOKUP(100,enemy_base_stats!$A:$F,4,FALSE)* AA318* L318*Q318*G318*U318*AF318*[2]ステータス!$D$2,0)</f>
        <v>0</v>
      </c>
      <c r="AM318" s="24">
        <f ca="1">VLOOKUP(M318,[2]character_tribe_i18n!$A:$I,9,FALSE)</f>
        <v>400</v>
      </c>
      <c r="AN318" s="36">
        <v>0</v>
      </c>
      <c r="AO318" s="53">
        <v>0</v>
      </c>
      <c r="AP318" s="58" t="s">
        <v>72</v>
      </c>
      <c r="AQ318" s="71">
        <f t="shared" ca="1" si="8"/>
        <v>317</v>
      </c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</row>
    <row r="319" spans="1:60" s="3" customFormat="1" ht="21" customHeight="1" x14ac:dyDescent="0.15">
      <c r="A319" s="7">
        <f t="shared" ca="1" si="9"/>
        <v>318</v>
      </c>
      <c r="B319" s="6" t="str">
        <f ca="1">VLOOKUP(A319,[2]characters!$A:$C,3,FALSE)</f>
        <v>シャルル</v>
      </c>
      <c r="C319" s="9">
        <f ca="1">VLOOKUP(A319,[2]characters!$A:$I,9,FALSE)</f>
        <v>4</v>
      </c>
      <c r="D319" s="9" t="str">
        <f ca="1">VLOOKUP(A319,[2]characters!$A:$H,8,FALSE)</f>
        <v>blue</v>
      </c>
      <c r="E319" s="24">
        <f ca="1">VLOOKUP(D319,[2]属性!$A:$E,2,FALSE)</f>
        <v>1</v>
      </c>
      <c r="F319" s="24">
        <f ca="1">VLOOKUP(D319,[2]属性!$A:$E,3,FALSE)</f>
        <v>0.98</v>
      </c>
      <c r="G319" s="24">
        <f ca="1">VLOOKUP(D319,[2]属性!$A:$F,4,FALSE)</f>
        <v>1</v>
      </c>
      <c r="H319" s="9" t="str">
        <f ca="1">VLOOKUP(A319,[2]characters!$A:$K,11,FALSE)</f>
        <v>heal</v>
      </c>
      <c r="I319" s="14" t="str">
        <f ca="1">VLOOKUP(H319,[2]character_type_i18n!$A:$F,3,FALSE)</f>
        <v>回復タイプ</v>
      </c>
      <c r="J319" s="36">
        <f ca="1">VLOOKUP(H319,[2]character_type_i18n!$A:$F,4,FALSE)</f>
        <v>0.8</v>
      </c>
      <c r="K319" s="36">
        <f ca="1">VLOOKUP(H319,[2]character_type_i18n!$A:$F,5,FALSE)</f>
        <v>0.78</v>
      </c>
      <c r="L319" s="36">
        <f ca="1">VLOOKUP(H319,[2]character_type_i18n!$A:$F,6,FALSE)</f>
        <v>1</v>
      </c>
      <c r="M319" s="9" t="str">
        <f ca="1">VLOOKUP(A319,[2]characters!$A:$M,13,FALSE)</f>
        <v>human</v>
      </c>
      <c r="N319" s="14" t="str">
        <f ca="1">VLOOKUP(M319,[2]character_tribe_i18n!$A:$F,3,FALSE)</f>
        <v>ヒューマン</v>
      </c>
      <c r="O319" s="24">
        <f ca="1">VLOOKUP(M319,[2]character_tribe_i18n!$A:$F,4,FALSE)</f>
        <v>0.94</v>
      </c>
      <c r="P319" s="24">
        <f ca="1">VLOOKUP(M319,[2]character_tribe_i18n!$A:$F,5,FALSE)</f>
        <v>0.99</v>
      </c>
      <c r="Q319" s="24">
        <f ca="1">VLOOKUP(M319,[2]character_tribe_i18n!$A:$F,6,FALSE)</f>
        <v>1</v>
      </c>
      <c r="R319" s="25" t="s">
        <v>4</v>
      </c>
      <c r="S319" s="24">
        <f>VLOOKUP($R319,ラベル別係数!$A$1:$E$7,3,FALSE)</f>
        <v>5</v>
      </c>
      <c r="T319" s="24">
        <f>VLOOKUP($R319,ラベル別係数!$A$1:$E$7,4,FALSE)</f>
        <v>1.3</v>
      </c>
      <c r="U319" s="24">
        <f>VLOOKUP($R319,ラベル別係数!$A$1:$E$7,5,FALSE)</f>
        <v>0.8</v>
      </c>
      <c r="V319" s="27">
        <v>3</v>
      </c>
      <c r="W319" s="28">
        <f>VLOOKUP(V319,ターン数別攻撃係数!$A$1:$B$1000,2,FALSE)</f>
        <v>1</v>
      </c>
      <c r="X319" s="9">
        <f ca="1">VLOOKUP(C319,サイズ別係数!A$2:B$8,2,FALSE)</f>
        <v>30</v>
      </c>
      <c r="Y319" s="26">
        <f ca="1">VLOOKUP($X319,サイズ別係数!$B:$E,2,FALSE)</f>
        <v>1.3</v>
      </c>
      <c r="Z319" s="26">
        <f ca="1">VLOOKUP($X319,サイズ別係数!$B:$E,3,FALSE)</f>
        <v>1.3</v>
      </c>
      <c r="AA319" s="26">
        <f ca="1">VLOOKUP($X319,サイズ別係数!$B:$E,4,FALSE)</f>
        <v>1.1000000000000001</v>
      </c>
      <c r="AB319" s="5">
        <v>0</v>
      </c>
      <c r="AC319" s="34" t="str">
        <f ca="1">VLOOKUP($AB319,OFFSET([3]enemy_skill_sets!$B$2,0,0,COUNTA([3]enemy_skill_sets!$A:$A),MATCH(AC$1,[3]enemy_skill_sets!$1:$1,0)-MATCH($AB$1,[3]enemy_skill_sets!$1:$1,0)+1),MATCH(AC$1,[3]enemy_skill_sets!$1:$1,0)-MATCH($AB$1,[3]enemy_skill_sets!$1:$1,0)+1,FALSE)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19" s="27">
        <v>1</v>
      </c>
      <c r="AE319" s="37">
        <v>1</v>
      </c>
      <c r="AF319" s="37">
        <v>0</v>
      </c>
      <c r="AG319" s="28">
        <f ca="1">ROUND(VLOOKUP(1,enemy_base_stats!$A:$F,2,FALSE) * Y319* J319*O319*E319*S319*AD319*[2]ステータス!$B$2,0)</f>
        <v>2444</v>
      </c>
      <c r="AH319" s="28">
        <f ca="1">ROUND(VLOOKUP(1,enemy_base_stats!$A:$F,3,FALSE) * Z319*K319*P319*F319*T319*AE319 * W319*[2]ステータス!$C$2,0)</f>
        <v>192</v>
      </c>
      <c r="AI319" s="28">
        <f ca="1">ROUND(VLOOKUP(1,enemy_base_stats!$A:$F,4,FALSE) * AA319*L319*Q319*G319*U319*AF319*[2]ステータス!$D$2,0)</f>
        <v>0</v>
      </c>
      <c r="AJ319" s="28">
        <f ca="1">ROUND(VLOOKUP(100,enemy_base_stats!$A:$F,2,FALSE) * Y319* J319*O319*E319*S319*AD319*[2]ステータス!$B$2,0)</f>
        <v>99226</v>
      </c>
      <c r="AK319" s="28">
        <f ca="1">ROUND(VLOOKUP(100,enemy_base_stats!$A:$F,3,FALSE)* Z319* K319*P319*F319*T319*AE319 * W319*[2]ステータス!$C$2,0)</f>
        <v>7789</v>
      </c>
      <c r="AL319" s="28">
        <f ca="1">ROUND(VLOOKUP(100,enemy_base_stats!$A:$F,4,FALSE)* AA319* L319*Q319*G319*U319*AF319*[2]ステータス!$D$2,0)</f>
        <v>0</v>
      </c>
      <c r="AM319" s="24">
        <f ca="1">VLOOKUP(M319,[2]character_tribe_i18n!$A:$I,9,FALSE)</f>
        <v>400</v>
      </c>
      <c r="AN319" s="36">
        <v>0</v>
      </c>
      <c r="AO319" s="53">
        <v>0</v>
      </c>
      <c r="AP319" s="58" t="s">
        <v>72</v>
      </c>
      <c r="AQ319" s="71">
        <f t="shared" ca="1" si="8"/>
        <v>318</v>
      </c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</row>
    <row r="320" spans="1:60" s="3" customFormat="1" ht="21" customHeight="1" x14ac:dyDescent="0.15">
      <c r="A320" s="7">
        <f t="shared" ca="1" si="9"/>
        <v>319</v>
      </c>
      <c r="B320" s="6" t="str">
        <f ca="1">VLOOKUP(A320,[2]characters!$A:$C,3,FALSE)</f>
        <v>夢想の学士 シャルル</v>
      </c>
      <c r="C320" s="9">
        <f ca="1">VLOOKUP(A320,[2]characters!$A:$I,9,FALSE)</f>
        <v>5</v>
      </c>
      <c r="D320" s="9" t="str">
        <f ca="1">VLOOKUP(A320,[2]characters!$A:$H,8,FALSE)</f>
        <v>blue</v>
      </c>
      <c r="E320" s="24">
        <f ca="1">VLOOKUP(D320,[2]属性!$A:$E,2,FALSE)</f>
        <v>1</v>
      </c>
      <c r="F320" s="24">
        <f ca="1">VLOOKUP(D320,[2]属性!$A:$E,3,FALSE)</f>
        <v>0.98</v>
      </c>
      <c r="G320" s="24">
        <f ca="1">VLOOKUP(D320,[2]属性!$A:$F,4,FALSE)</f>
        <v>1</v>
      </c>
      <c r="H320" s="9" t="str">
        <f ca="1">VLOOKUP(A320,[2]characters!$A:$K,11,FALSE)</f>
        <v>heal</v>
      </c>
      <c r="I320" s="14" t="str">
        <f ca="1">VLOOKUP(H320,[2]character_type_i18n!$A:$F,3,FALSE)</f>
        <v>回復タイプ</v>
      </c>
      <c r="J320" s="36">
        <f ca="1">VLOOKUP(H320,[2]character_type_i18n!$A:$F,4,FALSE)</f>
        <v>0.8</v>
      </c>
      <c r="K320" s="36">
        <f ca="1">VLOOKUP(H320,[2]character_type_i18n!$A:$F,5,FALSE)</f>
        <v>0.78</v>
      </c>
      <c r="L320" s="36">
        <f ca="1">VLOOKUP(H320,[2]character_type_i18n!$A:$F,6,FALSE)</f>
        <v>1</v>
      </c>
      <c r="M320" s="9" t="str">
        <f ca="1">VLOOKUP(A320,[2]characters!$A:$M,13,FALSE)</f>
        <v>human</v>
      </c>
      <c r="N320" s="14" t="str">
        <f ca="1">VLOOKUP(M320,[2]character_tribe_i18n!$A:$F,3,FALSE)</f>
        <v>ヒューマン</v>
      </c>
      <c r="O320" s="24">
        <f ca="1">VLOOKUP(M320,[2]character_tribe_i18n!$A:$F,4,FALSE)</f>
        <v>0.94</v>
      </c>
      <c r="P320" s="24">
        <f ca="1">VLOOKUP(M320,[2]character_tribe_i18n!$A:$F,5,FALSE)</f>
        <v>0.99</v>
      </c>
      <c r="Q320" s="24">
        <f ca="1">VLOOKUP(M320,[2]character_tribe_i18n!$A:$F,6,FALSE)</f>
        <v>1</v>
      </c>
      <c r="R320" s="25" t="s">
        <v>94</v>
      </c>
      <c r="S320" s="24">
        <f>VLOOKUP($R320,ラベル別係数!$A$1:$E$7,3,FALSE)</f>
        <v>12.5</v>
      </c>
      <c r="T320" s="24">
        <f>VLOOKUP($R320,ラベル別係数!$A$1:$E$7,4,FALSE)</f>
        <v>1</v>
      </c>
      <c r="U320" s="24">
        <f>VLOOKUP($R320,ラベル別係数!$A$1:$E$7,5,FALSE)</f>
        <v>0.8</v>
      </c>
      <c r="V320" s="27">
        <v>3</v>
      </c>
      <c r="W320" s="28">
        <f>VLOOKUP(V320,ターン数別攻撃係数!$A$1:$B$1000,2,FALSE)</f>
        <v>1</v>
      </c>
      <c r="X320" s="9">
        <f ca="1">VLOOKUP(C320,サイズ別係数!A$2:B$8,2,FALSE)</f>
        <v>60</v>
      </c>
      <c r="Y320" s="26">
        <f ca="1">VLOOKUP($X320,サイズ別係数!$B:$E,2,FALSE)</f>
        <v>1.7</v>
      </c>
      <c r="Z320" s="26">
        <f ca="1">VLOOKUP($X320,サイズ別係数!$B:$E,3,FALSE)</f>
        <v>1.4</v>
      </c>
      <c r="AA320" s="26">
        <f ca="1">VLOOKUP($X320,サイズ別係数!$B:$E,4,FALSE)</f>
        <v>1</v>
      </c>
      <c r="AB320" s="5">
        <v>319</v>
      </c>
      <c r="AC320" s="34" t="str">
        <f ca="1">VLOOKUP($AB320,OFFSET([3]enemy_skill_sets!$B$2,0,0,COUNTA([3]enemy_skill_sets!$A:$A),MATCH(AC$1,[3]enemy_skill_sets!$1:$1,0)-MATCH($AB$1,[3]enemy_skill_sets!$1:$1,0)+1),MATCH(AC$1,[3]enemy_skill_sets!$1:$1,0)-MATCH($AB$1,[3]enemy_skill_sets!$1:$1,0)+1,FALSE)</f>
        <v>ハートパネルを時限式ダメージパネルに変換</v>
      </c>
      <c r="AD320" s="27">
        <v>1</v>
      </c>
      <c r="AE320" s="37">
        <v>1</v>
      </c>
      <c r="AF320" s="37">
        <v>0</v>
      </c>
      <c r="AG320" s="28">
        <f ca="1">ROUND(VLOOKUP(1,enemy_base_stats!$A:$F,2,FALSE) * Y320* J320*O320*E320*S320*AD320*[2]ステータス!$B$2,0)</f>
        <v>7990</v>
      </c>
      <c r="AH320" s="28">
        <f ca="1">ROUND(VLOOKUP(1,enemy_base_stats!$A:$F,3,FALSE) * Z320*K320*P320*F320*T320*AE320 * W320*[2]ステータス!$C$2,0)</f>
        <v>159</v>
      </c>
      <c r="AI320" s="28">
        <f ca="1">ROUND(VLOOKUP(1,enemy_base_stats!$A:$F,4,FALSE) * AA320*L320*Q320*G320*U320*AF320*[2]ステータス!$D$2,0)</f>
        <v>0</v>
      </c>
      <c r="AJ320" s="28">
        <f ca="1">ROUND(VLOOKUP(100,enemy_base_stats!$A:$F,2,FALSE) * Y320* J320*O320*E320*S320*AD320*[2]ステータス!$B$2,0)</f>
        <v>324394</v>
      </c>
      <c r="AK320" s="28">
        <f ca="1">ROUND(VLOOKUP(100,enemy_base_stats!$A:$F,3,FALSE)* Z320* K320*P320*F320*T320*AE320 * W320*[2]ステータス!$C$2,0)</f>
        <v>6452</v>
      </c>
      <c r="AL320" s="28">
        <f ca="1">ROUND(VLOOKUP(100,enemy_base_stats!$A:$F,4,FALSE)* AA320* L320*Q320*G320*U320*AF320*[2]ステータス!$D$2,0)</f>
        <v>0</v>
      </c>
      <c r="AM320" s="24">
        <f ca="1">VLOOKUP(M320,[2]character_tribe_i18n!$A:$I,9,FALSE)</f>
        <v>400</v>
      </c>
      <c r="AN320" s="36">
        <v>0</v>
      </c>
      <c r="AO320" s="53">
        <v>0</v>
      </c>
      <c r="AP320" s="58" t="s">
        <v>72</v>
      </c>
      <c r="AQ320" s="71">
        <f t="shared" ca="1" si="8"/>
        <v>319</v>
      </c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8"/>
      <c r="BC320" s="18"/>
      <c r="BD320" s="18"/>
      <c r="BE320" s="18"/>
      <c r="BF320" s="18"/>
      <c r="BG320" s="18"/>
      <c r="BH320" s="18"/>
    </row>
    <row r="321" spans="1:60" s="3" customFormat="1" ht="21" customHeight="1" x14ac:dyDescent="0.15">
      <c r="A321" s="7">
        <f t="shared" ca="1" si="9"/>
        <v>320</v>
      </c>
      <c r="B321" s="6" t="str">
        <f ca="1">VLOOKUP(A321,[2]characters!$A:$C,3,FALSE)</f>
        <v>烈志士 近藤勇</v>
      </c>
      <c r="C321" s="9">
        <f ca="1">VLOOKUP(A321,[2]characters!$A:$I,9,FALSE)</f>
        <v>4</v>
      </c>
      <c r="D321" s="9" t="str">
        <f ca="1">VLOOKUP(A321,[2]characters!$A:$H,8,FALSE)</f>
        <v>red</v>
      </c>
      <c r="E321" s="24">
        <f ca="1">VLOOKUP(D321,[2]属性!$A:$E,2,FALSE)</f>
        <v>1</v>
      </c>
      <c r="F321" s="24">
        <f ca="1">VLOOKUP(D321,[2]属性!$A:$E,3,FALSE)</f>
        <v>1.02</v>
      </c>
      <c r="G321" s="24">
        <f ca="1">VLOOKUP(D321,[2]属性!$A:$F,4,FALSE)</f>
        <v>1</v>
      </c>
      <c r="H321" s="9" t="str">
        <f ca="1">VLOOKUP(A321,[2]characters!$A:$K,11,FALSE)</f>
        <v>hp</v>
      </c>
      <c r="I321" s="14" t="str">
        <f ca="1">VLOOKUP(H321,[2]character_type_i18n!$A:$F,3,FALSE)</f>
        <v>体力タイプ</v>
      </c>
      <c r="J321" s="36">
        <f ca="1">VLOOKUP(H321,[2]character_type_i18n!$A:$F,4,FALSE)</f>
        <v>1.45</v>
      </c>
      <c r="K321" s="36">
        <f ca="1">VLOOKUP(H321,[2]character_type_i18n!$A:$F,5,FALSE)</f>
        <v>0.85</v>
      </c>
      <c r="L321" s="36">
        <f ca="1">VLOOKUP(H321,[2]character_type_i18n!$A:$F,6,FALSE)</f>
        <v>1</v>
      </c>
      <c r="M321" s="9" t="str">
        <f ca="1">VLOOKUP(A321,[2]characters!$A:$M,13,FALSE)</f>
        <v>human</v>
      </c>
      <c r="N321" s="14" t="str">
        <f ca="1">VLOOKUP(M321,[2]character_tribe_i18n!$A:$F,3,FALSE)</f>
        <v>ヒューマン</v>
      </c>
      <c r="O321" s="24">
        <f ca="1">VLOOKUP(M321,[2]character_tribe_i18n!$A:$F,4,FALSE)</f>
        <v>0.94</v>
      </c>
      <c r="P321" s="24">
        <f ca="1">VLOOKUP(M321,[2]character_tribe_i18n!$A:$F,5,FALSE)</f>
        <v>0.99</v>
      </c>
      <c r="Q321" s="24">
        <f ca="1">VLOOKUP(M321,[2]character_tribe_i18n!$A:$F,6,FALSE)</f>
        <v>1</v>
      </c>
      <c r="R321" s="25" t="s">
        <v>4</v>
      </c>
      <c r="S321" s="24">
        <f>VLOOKUP($R321,ラベル別係数!$A$1:$E$7,3,FALSE)</f>
        <v>5</v>
      </c>
      <c r="T321" s="24">
        <f>VLOOKUP($R321,ラベル別係数!$A$1:$E$7,4,FALSE)</f>
        <v>1.3</v>
      </c>
      <c r="U321" s="24">
        <f>VLOOKUP($R321,ラベル別係数!$A$1:$E$7,5,FALSE)</f>
        <v>0.8</v>
      </c>
      <c r="V321" s="27">
        <v>2</v>
      </c>
      <c r="W321" s="28">
        <f>VLOOKUP(V321,ターン数別攻撃係数!$A$1:$B$1000,2,FALSE)</f>
        <v>0.75</v>
      </c>
      <c r="X321" s="9">
        <f ca="1">VLOOKUP(C321,サイズ別係数!A$2:B$8,2,FALSE)</f>
        <v>30</v>
      </c>
      <c r="Y321" s="26">
        <f ca="1">VLOOKUP($X321,サイズ別係数!$B:$E,2,FALSE)</f>
        <v>1.3</v>
      </c>
      <c r="Z321" s="26">
        <f ca="1">VLOOKUP($X321,サイズ別係数!$B:$E,3,FALSE)</f>
        <v>1.3</v>
      </c>
      <c r="AA321" s="26">
        <f ca="1">VLOOKUP($X321,サイズ別係数!$B:$E,4,FALSE)</f>
        <v>1.1000000000000001</v>
      </c>
      <c r="AB321" s="5">
        <v>0</v>
      </c>
      <c r="AC321" s="34" t="str">
        <f ca="1">VLOOKUP($AB321,OFFSET([3]enemy_skill_sets!$B$2,0,0,COUNTA([3]enemy_skill_sets!$A:$A),MATCH(AC$1,[3]enemy_skill_sets!$1:$1,0)-MATCH($AB$1,[3]enemy_skill_sets!$1:$1,0)+1),MATCH(AC$1,[3]enemy_skill_sets!$1:$1,0)-MATCH($AB$1,[3]enemy_skill_sets!$1:$1,0)+1,FALSE)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1" s="27">
        <v>1</v>
      </c>
      <c r="AE321" s="37">
        <v>1</v>
      </c>
      <c r="AF321" s="37">
        <v>0</v>
      </c>
      <c r="AG321" s="28">
        <f ca="1">ROUND(VLOOKUP(1,enemy_base_stats!$A:$F,2,FALSE) * Y321* J321*O321*E321*S321*AD321*[2]ステータス!$B$2,0)</f>
        <v>4430</v>
      </c>
      <c r="AH321" s="28">
        <f ca="1">ROUND(VLOOKUP(1,enemy_base_stats!$A:$F,3,FALSE) * Z321*K321*P321*F321*T321*AE321 * W321*[2]ステータス!$C$2,0)</f>
        <v>163</v>
      </c>
      <c r="AI321" s="28">
        <f ca="1">ROUND(VLOOKUP(1,enemy_base_stats!$A:$F,4,FALSE) * AA321*L321*Q321*G321*U321*AF321*[2]ステータス!$D$2,0)</f>
        <v>0</v>
      </c>
      <c r="AJ321" s="28">
        <f ca="1">ROUND(VLOOKUP(100,enemy_base_stats!$A:$F,2,FALSE) * Y321* J321*O321*E321*S321*AD321*[2]ステータス!$B$2,0)</f>
        <v>179848</v>
      </c>
      <c r="AK321" s="28">
        <f ca="1">ROUND(VLOOKUP(100,enemy_base_stats!$A:$F,3,FALSE)* Z321* K321*P321*F321*T321*AE321 * W321*[2]ステータス!$C$2,0)</f>
        <v>6626</v>
      </c>
      <c r="AL321" s="28">
        <f ca="1">ROUND(VLOOKUP(100,enemy_base_stats!$A:$F,4,FALSE)* AA321* L321*Q321*G321*U321*AF321*[2]ステータス!$D$2,0)</f>
        <v>0</v>
      </c>
      <c r="AM321" s="24">
        <f ca="1">VLOOKUP(M321,[2]character_tribe_i18n!$A:$I,9,FALSE)</f>
        <v>400</v>
      </c>
      <c r="AN321" s="36">
        <v>0</v>
      </c>
      <c r="AO321" s="53">
        <v>0</v>
      </c>
      <c r="AP321" s="58" t="s">
        <v>72</v>
      </c>
      <c r="AQ321" s="71">
        <f t="shared" ca="1" si="8"/>
        <v>320</v>
      </c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8"/>
      <c r="BC321" s="18"/>
      <c r="BD321" s="18"/>
      <c r="BE321" s="18"/>
      <c r="BF321" s="18"/>
      <c r="BG321" s="18"/>
      <c r="BH321" s="18"/>
    </row>
    <row r="322" spans="1:60" s="3" customFormat="1" ht="21" customHeight="1" x14ac:dyDescent="0.15">
      <c r="A322" s="7">
        <f t="shared" ca="1" si="9"/>
        <v>321</v>
      </c>
      <c r="B322" s="6" t="str">
        <f ca="1">VLOOKUP(A322,[2]characters!$A:$C,3,FALSE)</f>
        <v>巌鉄の烈志士 近藤勇</v>
      </c>
      <c r="C322" s="9">
        <f ca="1">VLOOKUP(A322,[2]characters!$A:$I,9,FALSE)</f>
        <v>5</v>
      </c>
      <c r="D322" s="9" t="str">
        <f ca="1">VLOOKUP(A322,[2]characters!$A:$H,8,FALSE)</f>
        <v>red</v>
      </c>
      <c r="E322" s="24">
        <f ca="1">VLOOKUP(D322,[2]属性!$A:$E,2,FALSE)</f>
        <v>1</v>
      </c>
      <c r="F322" s="24">
        <f ca="1">VLOOKUP(D322,[2]属性!$A:$E,3,FALSE)</f>
        <v>1.02</v>
      </c>
      <c r="G322" s="24">
        <f ca="1">VLOOKUP(D322,[2]属性!$A:$F,4,FALSE)</f>
        <v>1</v>
      </c>
      <c r="H322" s="9" t="str">
        <f ca="1">VLOOKUP(A322,[2]characters!$A:$K,11,FALSE)</f>
        <v>hp</v>
      </c>
      <c r="I322" s="14" t="str">
        <f ca="1">VLOOKUP(H322,[2]character_type_i18n!$A:$F,3,FALSE)</f>
        <v>体力タイプ</v>
      </c>
      <c r="J322" s="36">
        <f ca="1">VLOOKUP(H322,[2]character_type_i18n!$A:$F,4,FALSE)</f>
        <v>1.45</v>
      </c>
      <c r="K322" s="36">
        <f ca="1">VLOOKUP(H322,[2]character_type_i18n!$A:$F,5,FALSE)</f>
        <v>0.85</v>
      </c>
      <c r="L322" s="36">
        <f ca="1">VLOOKUP(H322,[2]character_type_i18n!$A:$F,6,FALSE)</f>
        <v>1</v>
      </c>
      <c r="M322" s="9" t="str">
        <f ca="1">VLOOKUP(A322,[2]characters!$A:$M,13,FALSE)</f>
        <v>human</v>
      </c>
      <c r="N322" s="14" t="str">
        <f ca="1">VLOOKUP(M322,[2]character_tribe_i18n!$A:$F,3,FALSE)</f>
        <v>ヒューマン</v>
      </c>
      <c r="O322" s="24">
        <f ca="1">VLOOKUP(M322,[2]character_tribe_i18n!$A:$F,4,FALSE)</f>
        <v>0.94</v>
      </c>
      <c r="P322" s="24">
        <f ca="1">VLOOKUP(M322,[2]character_tribe_i18n!$A:$F,5,FALSE)</f>
        <v>0.99</v>
      </c>
      <c r="Q322" s="24">
        <f ca="1">VLOOKUP(M322,[2]character_tribe_i18n!$A:$F,6,FALSE)</f>
        <v>1</v>
      </c>
      <c r="R322" s="25" t="s">
        <v>4</v>
      </c>
      <c r="S322" s="24">
        <f>VLOOKUP($R322,ラベル別係数!$A$1:$E$7,3,FALSE)</f>
        <v>5</v>
      </c>
      <c r="T322" s="24">
        <f>VLOOKUP($R322,ラベル別係数!$A$1:$E$7,4,FALSE)</f>
        <v>1.3</v>
      </c>
      <c r="U322" s="24">
        <f>VLOOKUP($R322,ラベル別係数!$A$1:$E$7,5,FALSE)</f>
        <v>0.8</v>
      </c>
      <c r="V322" s="27">
        <v>2</v>
      </c>
      <c r="W322" s="28">
        <f>VLOOKUP(V322,ターン数別攻撃係数!$A$1:$B$1000,2,FALSE)</f>
        <v>0.75</v>
      </c>
      <c r="X322" s="9">
        <f ca="1">VLOOKUP(C322,サイズ別係数!A$2:B$8,2,FALSE)</f>
        <v>60</v>
      </c>
      <c r="Y322" s="26">
        <f ca="1">VLOOKUP($X322,サイズ別係数!$B:$E,2,FALSE)</f>
        <v>1.7</v>
      </c>
      <c r="Z322" s="26">
        <f ca="1">VLOOKUP($X322,サイズ別係数!$B:$E,3,FALSE)</f>
        <v>1.4</v>
      </c>
      <c r="AA322" s="26">
        <f ca="1">VLOOKUP($X322,サイズ別係数!$B:$E,4,FALSE)</f>
        <v>1</v>
      </c>
      <c r="AB322" s="5">
        <v>0</v>
      </c>
      <c r="AC322" s="34" t="str">
        <f ca="1">VLOOKUP($AB322,OFFSET([3]enemy_skill_sets!$B$2,0,0,COUNTA([3]enemy_skill_sets!$A:$A),MATCH(AC$1,[3]enemy_skill_sets!$1:$1,0)-MATCH($AB$1,[3]enemy_skill_sets!$1:$1,0)+1),MATCH(AC$1,[3]enemy_skill_sets!$1:$1,0)-MATCH($AB$1,[3]enemy_skill_sets!$1:$1,0)+1,FALSE)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2" s="27">
        <v>1</v>
      </c>
      <c r="AE322" s="37">
        <v>1</v>
      </c>
      <c r="AF322" s="37">
        <v>0</v>
      </c>
      <c r="AG322" s="28">
        <f ca="1">ROUND(VLOOKUP(1,enemy_base_stats!$A:$F,2,FALSE) * Y322* J322*O322*E322*S322*AD322*[2]ステータス!$B$2,0)</f>
        <v>5793</v>
      </c>
      <c r="AH322" s="28">
        <f ca="1">ROUND(VLOOKUP(1,enemy_base_stats!$A:$F,3,FALSE) * Z322*K322*P322*F322*T322*AE322 * W322*[2]ステータス!$C$2,0)</f>
        <v>176</v>
      </c>
      <c r="AI322" s="28">
        <f ca="1">ROUND(VLOOKUP(1,enemy_base_stats!$A:$F,4,FALSE) * AA322*L322*Q322*G322*U322*AF322*[2]ステータス!$D$2,0)</f>
        <v>0</v>
      </c>
      <c r="AJ322" s="28">
        <f ca="1">ROUND(VLOOKUP(100,enemy_base_stats!$A:$F,2,FALSE) * Y322* J322*O322*E322*S322*AD322*[2]ステータス!$B$2,0)</f>
        <v>235186</v>
      </c>
      <c r="AK322" s="28">
        <f ca="1">ROUND(VLOOKUP(100,enemy_base_stats!$A:$F,3,FALSE)* Z322* K322*P322*F322*T322*AE322 * W322*[2]ステータス!$C$2,0)</f>
        <v>7135</v>
      </c>
      <c r="AL322" s="28">
        <f ca="1">ROUND(VLOOKUP(100,enemy_base_stats!$A:$F,4,FALSE)* AA322* L322*Q322*G322*U322*AF322*[2]ステータス!$D$2,0)</f>
        <v>0</v>
      </c>
      <c r="AM322" s="24">
        <f ca="1">VLOOKUP(M322,[2]character_tribe_i18n!$A:$I,9,FALSE)</f>
        <v>400</v>
      </c>
      <c r="AN322" s="36">
        <v>0</v>
      </c>
      <c r="AO322" s="53">
        <v>0</v>
      </c>
      <c r="AP322" s="58" t="s">
        <v>72</v>
      </c>
      <c r="AQ322" s="71">
        <f t="shared" ref="AQ322:AQ370" ca="1" si="10">A322</f>
        <v>321</v>
      </c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8"/>
      <c r="BC322" s="18"/>
      <c r="BD322" s="18"/>
      <c r="BE322" s="18"/>
      <c r="BF322" s="18"/>
      <c r="BG322" s="18"/>
      <c r="BH322" s="18"/>
    </row>
    <row r="323" spans="1:60" s="3" customFormat="1" ht="21" customHeight="1" x14ac:dyDescent="0.15">
      <c r="A323" s="7">
        <f t="shared" ref="A323:A386" ca="1" si="11">INDIRECT(ADDRESS(ROW(),COLUMN(),1,TRUE,"[CharacterMasterData.xlsm]characters"))</f>
        <v>322</v>
      </c>
      <c r="B323" s="6" t="str">
        <f ca="1">VLOOKUP(A323,[2]characters!$A:$C,3,FALSE)</f>
        <v>愛志士 土方歳三</v>
      </c>
      <c r="C323" s="9">
        <f ca="1">VLOOKUP(A323,[2]characters!$A:$I,9,FALSE)</f>
        <v>4</v>
      </c>
      <c r="D323" s="9" t="str">
        <f ca="1">VLOOKUP(A323,[2]characters!$A:$H,8,FALSE)</f>
        <v>green</v>
      </c>
      <c r="E323" s="24">
        <f ca="1">VLOOKUP(D323,[2]属性!$A:$E,2,FALSE)</f>
        <v>1.02</v>
      </c>
      <c r="F323" s="24">
        <f ca="1">VLOOKUP(D323,[2]属性!$A:$E,3,FALSE)</f>
        <v>0.98</v>
      </c>
      <c r="G323" s="24">
        <f ca="1">VLOOKUP(D323,[2]属性!$A:$F,4,FALSE)</f>
        <v>1</v>
      </c>
      <c r="H323" s="9" t="str">
        <f ca="1">VLOOKUP(A323,[2]characters!$A:$K,11,FALSE)</f>
        <v>attack</v>
      </c>
      <c r="I323" s="14" t="str">
        <f ca="1">VLOOKUP(H323,[2]character_type_i18n!$A:$F,3,FALSE)</f>
        <v>攻撃タイプ</v>
      </c>
      <c r="J323" s="36">
        <f ca="1">VLOOKUP(H323,[2]character_type_i18n!$A:$F,4,FALSE)</f>
        <v>1</v>
      </c>
      <c r="K323" s="36">
        <f ca="1">VLOOKUP(H323,[2]character_type_i18n!$A:$F,5,FALSE)</f>
        <v>1.33</v>
      </c>
      <c r="L323" s="36">
        <f ca="1">VLOOKUP(H323,[2]character_type_i18n!$A:$F,6,FALSE)</f>
        <v>1</v>
      </c>
      <c r="M323" s="9" t="str">
        <f ca="1">VLOOKUP(A323,[2]characters!$A:$M,13,FALSE)</f>
        <v>human</v>
      </c>
      <c r="N323" s="14" t="str">
        <f ca="1">VLOOKUP(M323,[2]character_tribe_i18n!$A:$F,3,FALSE)</f>
        <v>ヒューマン</v>
      </c>
      <c r="O323" s="24">
        <f ca="1">VLOOKUP(M323,[2]character_tribe_i18n!$A:$F,4,FALSE)</f>
        <v>0.94</v>
      </c>
      <c r="P323" s="24">
        <f ca="1">VLOOKUP(M323,[2]character_tribe_i18n!$A:$F,5,FALSE)</f>
        <v>0.99</v>
      </c>
      <c r="Q323" s="24">
        <f ca="1">VLOOKUP(M323,[2]character_tribe_i18n!$A:$F,6,FALSE)</f>
        <v>1</v>
      </c>
      <c r="R323" s="25" t="s">
        <v>4</v>
      </c>
      <c r="S323" s="24">
        <f>VLOOKUP($R323,ラベル別係数!$A$1:$E$7,3,FALSE)</f>
        <v>5</v>
      </c>
      <c r="T323" s="24">
        <f>VLOOKUP($R323,ラベル別係数!$A$1:$E$7,4,FALSE)</f>
        <v>1.3</v>
      </c>
      <c r="U323" s="24">
        <f>VLOOKUP($R323,ラベル別係数!$A$1:$E$7,5,FALSE)</f>
        <v>0.8</v>
      </c>
      <c r="V323" s="27">
        <v>2</v>
      </c>
      <c r="W323" s="28">
        <f>VLOOKUP(V323,ターン数別攻撃係数!$A$1:$B$1000,2,FALSE)</f>
        <v>0.75</v>
      </c>
      <c r="X323" s="9">
        <f ca="1">VLOOKUP(C323,サイズ別係数!A$2:B$8,2,FALSE)</f>
        <v>30</v>
      </c>
      <c r="Y323" s="26">
        <f ca="1">VLOOKUP($X323,サイズ別係数!$B:$E,2,FALSE)</f>
        <v>1.3</v>
      </c>
      <c r="Z323" s="26">
        <f ca="1">VLOOKUP($X323,サイズ別係数!$B:$E,3,FALSE)</f>
        <v>1.3</v>
      </c>
      <c r="AA323" s="26">
        <f ca="1">VLOOKUP($X323,サイズ別係数!$B:$E,4,FALSE)</f>
        <v>1.1000000000000001</v>
      </c>
      <c r="AB323" s="5">
        <v>0</v>
      </c>
      <c r="AC323" s="34" t="str">
        <f ca="1">VLOOKUP($AB323,OFFSET([3]enemy_skill_sets!$B$2,0,0,COUNTA([3]enemy_skill_sets!$A:$A),MATCH(AC$1,[3]enemy_skill_sets!$1:$1,0)-MATCH($AB$1,[3]enemy_skill_sets!$1:$1,0)+1),MATCH(AC$1,[3]enemy_skill_sets!$1:$1,0)-MATCH($AB$1,[3]enemy_skill_sets!$1:$1,0)+1,FALSE)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3" s="27">
        <v>1</v>
      </c>
      <c r="AE323" s="37">
        <v>1</v>
      </c>
      <c r="AF323" s="37">
        <v>0</v>
      </c>
      <c r="AG323" s="28">
        <f ca="1">ROUND(VLOOKUP(1,enemy_base_stats!$A:$F,2,FALSE) * Y323* J323*O323*E323*S323*AD323*[2]ステータス!$B$2,0)</f>
        <v>3116</v>
      </c>
      <c r="AH323" s="28">
        <f ca="1">ROUND(VLOOKUP(1,enemy_base_stats!$A:$F,3,FALSE) * Z323*K323*P323*F323*T323*AE323 * W323*[2]ステータス!$C$2,0)</f>
        <v>245</v>
      </c>
      <c r="AI323" s="28">
        <f ca="1">ROUND(VLOOKUP(1,enemy_base_stats!$A:$F,4,FALSE) * AA323*L323*Q323*G323*U323*AF323*[2]ステータス!$D$2,0)</f>
        <v>0</v>
      </c>
      <c r="AJ323" s="28">
        <f ca="1">ROUND(VLOOKUP(100,enemy_base_stats!$A:$F,2,FALSE) * Y323* J323*O323*E323*S323*AD323*[2]ステータス!$B$2,0)</f>
        <v>126514</v>
      </c>
      <c r="AK323" s="28">
        <f ca="1">ROUND(VLOOKUP(100,enemy_base_stats!$A:$F,3,FALSE)* Z323* K323*P323*F323*T323*AE323 * W323*[2]ステータス!$C$2,0)</f>
        <v>9960</v>
      </c>
      <c r="AL323" s="28">
        <f ca="1">ROUND(VLOOKUP(100,enemy_base_stats!$A:$F,4,FALSE)* AA323* L323*Q323*G323*U323*AF323*[2]ステータス!$D$2,0)</f>
        <v>0</v>
      </c>
      <c r="AM323" s="24">
        <f ca="1">VLOOKUP(M323,[2]character_tribe_i18n!$A:$I,9,FALSE)</f>
        <v>400</v>
      </c>
      <c r="AN323" s="36">
        <v>0</v>
      </c>
      <c r="AO323" s="53">
        <v>0</v>
      </c>
      <c r="AP323" s="58" t="s">
        <v>72</v>
      </c>
      <c r="AQ323" s="71">
        <f t="shared" ca="1" si="10"/>
        <v>322</v>
      </c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</row>
    <row r="324" spans="1:60" s="3" customFormat="1" ht="21" customHeight="1" x14ac:dyDescent="0.15">
      <c r="A324" s="7">
        <f t="shared" ca="1" si="11"/>
        <v>323</v>
      </c>
      <c r="B324" s="6" t="str">
        <f ca="1">VLOOKUP(A324,[2]characters!$A:$C,3,FALSE)</f>
        <v>流麗の愛志士 土方歳三</v>
      </c>
      <c r="C324" s="9">
        <f ca="1">VLOOKUP(A324,[2]characters!$A:$I,9,FALSE)</f>
        <v>5</v>
      </c>
      <c r="D324" s="9" t="str">
        <f ca="1">VLOOKUP(A324,[2]characters!$A:$H,8,FALSE)</f>
        <v>green</v>
      </c>
      <c r="E324" s="24">
        <f ca="1">VLOOKUP(D324,[2]属性!$A:$E,2,FALSE)</f>
        <v>1.02</v>
      </c>
      <c r="F324" s="24">
        <f ca="1">VLOOKUP(D324,[2]属性!$A:$E,3,FALSE)</f>
        <v>0.98</v>
      </c>
      <c r="G324" s="24">
        <f ca="1">VLOOKUP(D324,[2]属性!$A:$F,4,FALSE)</f>
        <v>1</v>
      </c>
      <c r="H324" s="9" t="str">
        <f ca="1">VLOOKUP(A324,[2]characters!$A:$K,11,FALSE)</f>
        <v>attack</v>
      </c>
      <c r="I324" s="14" t="str">
        <f ca="1">VLOOKUP(H324,[2]character_type_i18n!$A:$F,3,FALSE)</f>
        <v>攻撃タイプ</v>
      </c>
      <c r="J324" s="36">
        <f ca="1">VLOOKUP(H324,[2]character_type_i18n!$A:$F,4,FALSE)</f>
        <v>1</v>
      </c>
      <c r="K324" s="36">
        <f ca="1">VLOOKUP(H324,[2]character_type_i18n!$A:$F,5,FALSE)</f>
        <v>1.33</v>
      </c>
      <c r="L324" s="36">
        <f ca="1">VLOOKUP(H324,[2]character_type_i18n!$A:$F,6,FALSE)</f>
        <v>1</v>
      </c>
      <c r="M324" s="9" t="str">
        <f ca="1">VLOOKUP(A324,[2]characters!$A:$M,13,FALSE)</f>
        <v>human</v>
      </c>
      <c r="N324" s="14" t="str">
        <f ca="1">VLOOKUP(M324,[2]character_tribe_i18n!$A:$F,3,FALSE)</f>
        <v>ヒューマン</v>
      </c>
      <c r="O324" s="24">
        <f ca="1">VLOOKUP(M324,[2]character_tribe_i18n!$A:$F,4,FALSE)</f>
        <v>0.94</v>
      </c>
      <c r="P324" s="24">
        <f ca="1">VLOOKUP(M324,[2]character_tribe_i18n!$A:$F,5,FALSE)</f>
        <v>0.99</v>
      </c>
      <c r="Q324" s="24">
        <f ca="1">VLOOKUP(M324,[2]character_tribe_i18n!$A:$F,6,FALSE)</f>
        <v>1</v>
      </c>
      <c r="R324" s="25" t="s">
        <v>95</v>
      </c>
      <c r="S324" s="24">
        <f>VLOOKUP($R324,ラベル別係数!$A$1:$E$7,3,FALSE)</f>
        <v>5</v>
      </c>
      <c r="T324" s="24">
        <f>VLOOKUP($R324,ラベル別係数!$A$1:$E$7,4,FALSE)</f>
        <v>1.3</v>
      </c>
      <c r="U324" s="24">
        <f>VLOOKUP($R324,ラベル別係数!$A$1:$E$7,5,FALSE)</f>
        <v>0.8</v>
      </c>
      <c r="V324" s="27">
        <v>2</v>
      </c>
      <c r="W324" s="28">
        <f>VLOOKUP(V324,ターン数別攻撃係数!$A$1:$B$1000,2,FALSE)</f>
        <v>0.75</v>
      </c>
      <c r="X324" s="9">
        <f ca="1">VLOOKUP(C324,サイズ別係数!A$2:B$8,2,FALSE)</f>
        <v>60</v>
      </c>
      <c r="Y324" s="26">
        <f ca="1">VLOOKUP($X324,サイズ別係数!$B:$E,2,FALSE)</f>
        <v>1.7</v>
      </c>
      <c r="Z324" s="26">
        <f ca="1">VLOOKUP($X324,サイズ別係数!$B:$E,3,FALSE)</f>
        <v>1.4</v>
      </c>
      <c r="AA324" s="26">
        <f ca="1">VLOOKUP($X324,サイズ別係数!$B:$E,4,FALSE)</f>
        <v>1</v>
      </c>
      <c r="AB324" s="5">
        <v>0</v>
      </c>
      <c r="AC324" s="34" t="str">
        <f ca="1">VLOOKUP($AB324,OFFSET([3]enemy_skill_sets!$B$2,0,0,COUNTA([3]enemy_skill_sets!$A:$A),MATCH(AC$1,[3]enemy_skill_sets!$1:$1,0)-MATCH($AB$1,[3]enemy_skill_sets!$1:$1,0)+1),MATCH(AC$1,[3]enemy_skill_sets!$1:$1,0)-MATCH($AB$1,[3]enemy_skill_sets!$1:$1,0)+1,FALSE)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4" s="27">
        <v>1</v>
      </c>
      <c r="AE324" s="37">
        <v>1</v>
      </c>
      <c r="AF324" s="37">
        <v>0</v>
      </c>
      <c r="AG324" s="28">
        <f ca="1">ROUND(VLOOKUP(1,enemy_base_stats!$A:$F,2,FALSE) * Y324* J324*O324*E324*S324*AD324*[2]ステータス!$B$2,0)</f>
        <v>4075</v>
      </c>
      <c r="AH324" s="28">
        <f ca="1">ROUND(VLOOKUP(1,enemy_base_stats!$A:$F,3,FALSE) * Z324*K324*P324*F324*T324*AE324 * W324*[2]ステータス!$C$2,0)</f>
        <v>264</v>
      </c>
      <c r="AI324" s="28">
        <f ca="1">ROUND(VLOOKUP(1,enemy_base_stats!$A:$F,4,FALSE) * AA324*L324*Q324*G324*U324*AF324*[2]ステータス!$D$2,0)</f>
        <v>0</v>
      </c>
      <c r="AJ324" s="28">
        <f ca="1">ROUND(VLOOKUP(100,enemy_base_stats!$A:$F,2,FALSE) * Y324* J324*O324*E324*S324*AD324*[2]ステータス!$B$2,0)</f>
        <v>165441</v>
      </c>
      <c r="AK324" s="28">
        <f ca="1">ROUND(VLOOKUP(100,enemy_base_stats!$A:$F,3,FALSE)* Z324* K324*P324*F324*T324*AE324 * W324*[2]ステータス!$C$2,0)</f>
        <v>10727</v>
      </c>
      <c r="AL324" s="28">
        <f ca="1">ROUND(VLOOKUP(100,enemy_base_stats!$A:$F,4,FALSE)* AA324* L324*Q324*G324*U324*AF324*[2]ステータス!$D$2,0)</f>
        <v>0</v>
      </c>
      <c r="AM324" s="24">
        <f ca="1">VLOOKUP(M324,[2]character_tribe_i18n!$A:$I,9,FALSE)</f>
        <v>400</v>
      </c>
      <c r="AN324" s="36">
        <v>0</v>
      </c>
      <c r="AO324" s="53">
        <v>0</v>
      </c>
      <c r="AP324" s="58" t="s">
        <v>72</v>
      </c>
      <c r="AQ324" s="71">
        <f t="shared" ca="1" si="10"/>
        <v>323</v>
      </c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8"/>
      <c r="BC324" s="18"/>
      <c r="BD324" s="18"/>
      <c r="BE324" s="18"/>
      <c r="BF324" s="18"/>
      <c r="BG324" s="18"/>
      <c r="BH324" s="18"/>
    </row>
    <row r="325" spans="1:60" s="3" customFormat="1" ht="21" customHeight="1" x14ac:dyDescent="0.15">
      <c r="A325" s="7">
        <f t="shared" ca="1" si="11"/>
        <v>324</v>
      </c>
      <c r="B325" s="6" t="str">
        <f ca="1">VLOOKUP(A325,[2]characters!$A:$C,3,FALSE)</f>
        <v>凛志士 沖田総司</v>
      </c>
      <c r="C325" s="9">
        <f ca="1">VLOOKUP(A325,[2]characters!$A:$I,9,FALSE)</f>
        <v>4</v>
      </c>
      <c r="D325" s="9" t="str">
        <f ca="1">VLOOKUP(A325,[2]characters!$A:$H,8,FALSE)</f>
        <v>blue</v>
      </c>
      <c r="E325" s="24">
        <f ca="1">VLOOKUP(D325,[2]属性!$A:$E,2,FALSE)</f>
        <v>1</v>
      </c>
      <c r="F325" s="24">
        <f ca="1">VLOOKUP(D325,[2]属性!$A:$E,3,FALSE)</f>
        <v>0.98</v>
      </c>
      <c r="G325" s="24">
        <f ca="1">VLOOKUP(D325,[2]属性!$A:$F,4,FALSE)</f>
        <v>1</v>
      </c>
      <c r="H325" s="9" t="str">
        <f ca="1">VLOOKUP(A325,[2]characters!$A:$K,11,FALSE)</f>
        <v>balance</v>
      </c>
      <c r="I325" s="14" t="str">
        <f ca="1">VLOOKUP(H325,[2]character_type_i18n!$A:$F,3,FALSE)</f>
        <v>バランスタイプ</v>
      </c>
      <c r="J325" s="36">
        <f ca="1">VLOOKUP(H325,[2]character_type_i18n!$A:$F,4,FALSE)</f>
        <v>1</v>
      </c>
      <c r="K325" s="36">
        <f ca="1">VLOOKUP(H325,[2]character_type_i18n!$A:$F,5,FALSE)</f>
        <v>1</v>
      </c>
      <c r="L325" s="36">
        <f ca="1">VLOOKUP(H325,[2]character_type_i18n!$A:$F,6,FALSE)</f>
        <v>1</v>
      </c>
      <c r="M325" s="9" t="str">
        <f ca="1">VLOOKUP(A325,[2]characters!$A:$M,13,FALSE)</f>
        <v>human</v>
      </c>
      <c r="N325" s="14" t="str">
        <f ca="1">VLOOKUP(M325,[2]character_tribe_i18n!$A:$F,3,FALSE)</f>
        <v>ヒューマン</v>
      </c>
      <c r="O325" s="24">
        <f ca="1">VLOOKUP(M325,[2]character_tribe_i18n!$A:$F,4,FALSE)</f>
        <v>0.94</v>
      </c>
      <c r="P325" s="24">
        <f ca="1">VLOOKUP(M325,[2]character_tribe_i18n!$A:$F,5,FALSE)</f>
        <v>0.99</v>
      </c>
      <c r="Q325" s="24">
        <f ca="1">VLOOKUP(M325,[2]character_tribe_i18n!$A:$F,6,FALSE)</f>
        <v>1</v>
      </c>
      <c r="R325" s="25" t="s">
        <v>4</v>
      </c>
      <c r="S325" s="24">
        <f>VLOOKUP($R325,ラベル別係数!$A$1:$E$7,3,FALSE)</f>
        <v>5</v>
      </c>
      <c r="T325" s="24">
        <f>VLOOKUP($R325,ラベル別係数!$A$1:$E$7,4,FALSE)</f>
        <v>1.3</v>
      </c>
      <c r="U325" s="24">
        <f>VLOOKUP($R325,ラベル別係数!$A$1:$E$7,5,FALSE)</f>
        <v>0.8</v>
      </c>
      <c r="V325" s="27">
        <v>2</v>
      </c>
      <c r="W325" s="28">
        <f>VLOOKUP(V325,ターン数別攻撃係数!$A$1:$B$1000,2,FALSE)</f>
        <v>0.75</v>
      </c>
      <c r="X325" s="9">
        <f ca="1">VLOOKUP(C325,サイズ別係数!A$2:B$8,2,FALSE)</f>
        <v>30</v>
      </c>
      <c r="Y325" s="26">
        <f ca="1">VLOOKUP($X325,サイズ別係数!$B:$E,2,FALSE)</f>
        <v>1.3</v>
      </c>
      <c r="Z325" s="26">
        <f ca="1">VLOOKUP($X325,サイズ別係数!$B:$E,3,FALSE)</f>
        <v>1.3</v>
      </c>
      <c r="AA325" s="26">
        <f ca="1">VLOOKUP($X325,サイズ別係数!$B:$E,4,FALSE)</f>
        <v>1.1000000000000001</v>
      </c>
      <c r="AB325" s="5">
        <v>0</v>
      </c>
      <c r="AC325" s="34" t="str">
        <f ca="1">VLOOKUP($AB325,OFFSET([3]enemy_skill_sets!$B$2,0,0,COUNTA([3]enemy_skill_sets!$A:$A),MATCH(AC$1,[3]enemy_skill_sets!$1:$1,0)-MATCH($AB$1,[3]enemy_skill_sets!$1:$1,0)+1),MATCH(AC$1,[3]enemy_skill_sets!$1:$1,0)-MATCH($AB$1,[3]enemy_skill_sets!$1:$1,0)+1,FALSE)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5" s="27">
        <v>1</v>
      </c>
      <c r="AE325" s="37">
        <v>1</v>
      </c>
      <c r="AF325" s="37">
        <v>0</v>
      </c>
      <c r="AG325" s="28">
        <f ca="1">ROUND(VLOOKUP(1,enemy_base_stats!$A:$F,2,FALSE) * Y325* J325*O325*E325*S325*AD325*[2]ステータス!$B$2,0)</f>
        <v>3055</v>
      </c>
      <c r="AH325" s="28">
        <f ca="1">ROUND(VLOOKUP(1,enemy_base_stats!$A:$F,3,FALSE) * Z325*K325*P325*F325*T325*AE325 * W325*[2]ステータス!$C$2,0)</f>
        <v>184</v>
      </c>
      <c r="AI325" s="28">
        <f ca="1">ROUND(VLOOKUP(1,enemy_base_stats!$A:$F,4,FALSE) * AA325*L325*Q325*G325*U325*AF325*[2]ステータス!$D$2,0)</f>
        <v>0</v>
      </c>
      <c r="AJ325" s="28">
        <f ca="1">ROUND(VLOOKUP(100,enemy_base_stats!$A:$F,2,FALSE) * Y325* J325*O325*E325*S325*AD325*[2]ステータス!$B$2,0)</f>
        <v>124033</v>
      </c>
      <c r="AK325" s="28">
        <f ca="1">ROUND(VLOOKUP(100,enemy_base_stats!$A:$F,3,FALSE)* Z325* K325*P325*F325*T325*AE325 * W325*[2]ステータス!$C$2,0)</f>
        <v>7489</v>
      </c>
      <c r="AL325" s="28">
        <f ca="1">ROUND(VLOOKUP(100,enemy_base_stats!$A:$F,4,FALSE)* AA325* L325*Q325*G325*U325*AF325*[2]ステータス!$D$2,0)</f>
        <v>0</v>
      </c>
      <c r="AM325" s="24">
        <f ca="1">VLOOKUP(M325,[2]character_tribe_i18n!$A:$I,9,FALSE)</f>
        <v>400</v>
      </c>
      <c r="AN325" s="36">
        <v>0</v>
      </c>
      <c r="AO325" s="53">
        <v>0</v>
      </c>
      <c r="AP325" s="58" t="s">
        <v>72</v>
      </c>
      <c r="AQ325" s="71">
        <f t="shared" ca="1" si="10"/>
        <v>324</v>
      </c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</row>
    <row r="326" spans="1:60" s="3" customFormat="1" ht="21" customHeight="1" x14ac:dyDescent="0.15">
      <c r="A326" s="7">
        <f t="shared" ca="1" si="11"/>
        <v>325</v>
      </c>
      <c r="B326" s="6" t="str">
        <f ca="1">VLOOKUP(A326,[2]characters!$A:$C,3,FALSE)</f>
        <v>天賦の凛志士 沖田総司</v>
      </c>
      <c r="C326" s="9">
        <f ca="1">VLOOKUP(A326,[2]characters!$A:$I,9,FALSE)</f>
        <v>5</v>
      </c>
      <c r="D326" s="9" t="str">
        <f ca="1">VLOOKUP(A326,[2]characters!$A:$H,8,FALSE)</f>
        <v>blue</v>
      </c>
      <c r="E326" s="24">
        <f ca="1">VLOOKUP(D326,[2]属性!$A:$E,2,FALSE)</f>
        <v>1</v>
      </c>
      <c r="F326" s="24">
        <f ca="1">VLOOKUP(D326,[2]属性!$A:$E,3,FALSE)</f>
        <v>0.98</v>
      </c>
      <c r="G326" s="24">
        <f ca="1">VLOOKUP(D326,[2]属性!$A:$F,4,FALSE)</f>
        <v>1</v>
      </c>
      <c r="H326" s="9" t="str">
        <f ca="1">VLOOKUP(A326,[2]characters!$A:$K,11,FALSE)</f>
        <v>balance</v>
      </c>
      <c r="I326" s="14" t="str">
        <f ca="1">VLOOKUP(H326,[2]character_type_i18n!$A:$F,3,FALSE)</f>
        <v>バランスタイプ</v>
      </c>
      <c r="J326" s="36">
        <f ca="1">VLOOKUP(H326,[2]character_type_i18n!$A:$F,4,FALSE)</f>
        <v>1</v>
      </c>
      <c r="K326" s="36">
        <f ca="1">VLOOKUP(H326,[2]character_type_i18n!$A:$F,5,FALSE)</f>
        <v>1</v>
      </c>
      <c r="L326" s="36">
        <f ca="1">VLOOKUP(H326,[2]character_type_i18n!$A:$F,6,FALSE)</f>
        <v>1</v>
      </c>
      <c r="M326" s="9" t="str">
        <f ca="1">VLOOKUP(A326,[2]characters!$A:$M,13,FALSE)</f>
        <v>human</v>
      </c>
      <c r="N326" s="14" t="str">
        <f ca="1">VLOOKUP(M326,[2]character_tribe_i18n!$A:$F,3,FALSE)</f>
        <v>ヒューマン</v>
      </c>
      <c r="O326" s="24">
        <f ca="1">VLOOKUP(M326,[2]character_tribe_i18n!$A:$F,4,FALSE)</f>
        <v>0.94</v>
      </c>
      <c r="P326" s="24">
        <f ca="1">VLOOKUP(M326,[2]character_tribe_i18n!$A:$F,5,FALSE)</f>
        <v>0.99</v>
      </c>
      <c r="Q326" s="24">
        <f ca="1">VLOOKUP(M326,[2]character_tribe_i18n!$A:$F,6,FALSE)</f>
        <v>1</v>
      </c>
      <c r="R326" s="25" t="s">
        <v>4</v>
      </c>
      <c r="S326" s="24">
        <f>VLOOKUP($R326,ラベル別係数!$A$1:$E$7,3,FALSE)</f>
        <v>5</v>
      </c>
      <c r="T326" s="24">
        <f>VLOOKUP($R326,ラベル別係数!$A$1:$E$7,4,FALSE)</f>
        <v>1.3</v>
      </c>
      <c r="U326" s="24">
        <f>VLOOKUP($R326,ラベル別係数!$A$1:$E$7,5,FALSE)</f>
        <v>0.8</v>
      </c>
      <c r="V326" s="27">
        <v>2</v>
      </c>
      <c r="W326" s="28">
        <f>VLOOKUP(V326,ターン数別攻撃係数!$A$1:$B$1000,2,FALSE)</f>
        <v>0.75</v>
      </c>
      <c r="X326" s="9">
        <f ca="1">VLOOKUP(C326,サイズ別係数!A$2:B$8,2,FALSE)</f>
        <v>60</v>
      </c>
      <c r="Y326" s="26">
        <f ca="1">VLOOKUP($X326,サイズ別係数!$B:$E,2,FALSE)</f>
        <v>1.7</v>
      </c>
      <c r="Z326" s="26">
        <f ca="1">VLOOKUP($X326,サイズ別係数!$B:$E,3,FALSE)</f>
        <v>1.4</v>
      </c>
      <c r="AA326" s="26">
        <f ca="1">VLOOKUP($X326,サイズ別係数!$B:$E,4,FALSE)</f>
        <v>1</v>
      </c>
      <c r="AB326" s="5">
        <v>0</v>
      </c>
      <c r="AC326" s="34" t="str">
        <f ca="1">VLOOKUP($AB326,OFFSET([3]enemy_skill_sets!$B$2,0,0,COUNTA([3]enemy_skill_sets!$A:$A),MATCH(AC$1,[3]enemy_skill_sets!$1:$1,0)-MATCH($AB$1,[3]enemy_skill_sets!$1:$1,0)+1),MATCH(AC$1,[3]enemy_skill_sets!$1:$1,0)-MATCH($AB$1,[3]enemy_skill_sets!$1:$1,0)+1,FALSE)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6" s="27">
        <v>1</v>
      </c>
      <c r="AE326" s="37">
        <v>1</v>
      </c>
      <c r="AF326" s="37">
        <v>0</v>
      </c>
      <c r="AG326" s="28">
        <f ca="1">ROUND(VLOOKUP(1,enemy_base_stats!$A:$F,2,FALSE) * Y326* J326*O326*E326*S326*AD326*[2]ステータス!$B$2,0)</f>
        <v>3995</v>
      </c>
      <c r="AH326" s="28">
        <f ca="1">ROUND(VLOOKUP(1,enemy_base_stats!$A:$F,3,FALSE) * Z326*K326*P326*F326*T326*AE326 * W326*[2]ステータス!$C$2,0)</f>
        <v>199</v>
      </c>
      <c r="AI326" s="28">
        <f ca="1">ROUND(VLOOKUP(1,enemy_base_stats!$A:$F,4,FALSE) * AA326*L326*Q326*G326*U326*AF326*[2]ステータス!$D$2,0)</f>
        <v>0</v>
      </c>
      <c r="AJ326" s="28">
        <f ca="1">ROUND(VLOOKUP(100,enemy_base_stats!$A:$F,2,FALSE) * Y326* J326*O326*E326*S326*AD326*[2]ステータス!$B$2,0)</f>
        <v>162197</v>
      </c>
      <c r="AK326" s="28">
        <f ca="1">ROUND(VLOOKUP(100,enemy_base_stats!$A:$F,3,FALSE)* Z326* K326*P326*F326*T326*AE326 * W326*[2]ステータス!$C$2,0)</f>
        <v>8065</v>
      </c>
      <c r="AL326" s="28">
        <f ca="1">ROUND(VLOOKUP(100,enemy_base_stats!$A:$F,4,FALSE)* AA326* L326*Q326*G326*U326*AF326*[2]ステータス!$D$2,0)</f>
        <v>0</v>
      </c>
      <c r="AM326" s="24">
        <f ca="1">VLOOKUP(M326,[2]character_tribe_i18n!$A:$I,9,FALSE)</f>
        <v>400</v>
      </c>
      <c r="AN326" s="36">
        <v>0</v>
      </c>
      <c r="AO326" s="53">
        <v>0</v>
      </c>
      <c r="AP326" s="58" t="s">
        <v>72</v>
      </c>
      <c r="AQ326" s="71">
        <f t="shared" ca="1" si="10"/>
        <v>325</v>
      </c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</row>
    <row r="327" spans="1:60" s="3" customFormat="1" ht="21" customHeight="1" x14ac:dyDescent="0.15">
      <c r="A327" s="7">
        <f t="shared" ca="1" si="11"/>
        <v>326</v>
      </c>
      <c r="B327" s="6" t="str">
        <f ca="1">VLOOKUP(A327,[2]characters!$A:$C,3,FALSE)</f>
        <v>妖志士 斎藤一</v>
      </c>
      <c r="C327" s="9">
        <f ca="1">VLOOKUP(A327,[2]characters!$A:$I,9,FALSE)</f>
        <v>4</v>
      </c>
      <c r="D327" s="9" t="str">
        <f ca="1">VLOOKUP(A327,[2]characters!$A:$H,8,FALSE)</f>
        <v>yellow</v>
      </c>
      <c r="E327" s="24">
        <f ca="1">VLOOKUP(D327,[2]属性!$A:$E,2,FALSE)</f>
        <v>0.98</v>
      </c>
      <c r="F327" s="24">
        <f ca="1">VLOOKUP(D327,[2]属性!$A:$E,3,FALSE)</f>
        <v>1.01</v>
      </c>
      <c r="G327" s="24">
        <f ca="1">VLOOKUP(D327,[2]属性!$A:$F,4,FALSE)</f>
        <v>1</v>
      </c>
      <c r="H327" s="9" t="str">
        <f ca="1">VLOOKUP(A327,[2]characters!$A:$K,11,FALSE)</f>
        <v>technical</v>
      </c>
      <c r="I327" s="14" t="str">
        <f ca="1">VLOOKUP(H327,[2]character_type_i18n!$A:$F,3,FALSE)</f>
        <v>テクニカルタイプ</v>
      </c>
      <c r="J327" s="36">
        <f ca="1">VLOOKUP(H327,[2]character_type_i18n!$A:$F,4,FALSE)</f>
        <v>0.9</v>
      </c>
      <c r="K327" s="36">
        <f ca="1">VLOOKUP(H327,[2]character_type_i18n!$A:$F,5,FALSE)</f>
        <v>0.9</v>
      </c>
      <c r="L327" s="36">
        <f ca="1">VLOOKUP(H327,[2]character_type_i18n!$A:$F,6,FALSE)</f>
        <v>1</v>
      </c>
      <c r="M327" s="9" t="str">
        <f ca="1">VLOOKUP(A327,[2]characters!$A:$M,13,FALSE)</f>
        <v>human</v>
      </c>
      <c r="N327" s="14" t="str">
        <f ca="1">VLOOKUP(M327,[2]character_tribe_i18n!$A:$F,3,FALSE)</f>
        <v>ヒューマン</v>
      </c>
      <c r="O327" s="24">
        <f ca="1">VLOOKUP(M327,[2]character_tribe_i18n!$A:$F,4,FALSE)</f>
        <v>0.94</v>
      </c>
      <c r="P327" s="24">
        <f ca="1">VLOOKUP(M327,[2]character_tribe_i18n!$A:$F,5,FALSE)</f>
        <v>0.99</v>
      </c>
      <c r="Q327" s="24">
        <f ca="1">VLOOKUP(M327,[2]character_tribe_i18n!$A:$F,6,FALSE)</f>
        <v>1</v>
      </c>
      <c r="R327" s="25" t="s">
        <v>4</v>
      </c>
      <c r="S327" s="24">
        <f>VLOOKUP($R327,ラベル別係数!$A$1:$E$7,3,FALSE)</f>
        <v>5</v>
      </c>
      <c r="T327" s="24">
        <f>VLOOKUP($R327,ラベル別係数!$A$1:$E$7,4,FALSE)</f>
        <v>1.3</v>
      </c>
      <c r="U327" s="24">
        <f>VLOOKUP($R327,ラベル別係数!$A$1:$E$7,5,FALSE)</f>
        <v>0.8</v>
      </c>
      <c r="V327" s="27">
        <v>2</v>
      </c>
      <c r="W327" s="28">
        <f>VLOOKUP(V327,ターン数別攻撃係数!$A$1:$B$1000,2,FALSE)</f>
        <v>0.75</v>
      </c>
      <c r="X327" s="9">
        <f ca="1">VLOOKUP(C327,サイズ別係数!A$2:B$8,2,FALSE)</f>
        <v>30</v>
      </c>
      <c r="Y327" s="26">
        <f ca="1">VLOOKUP($X327,サイズ別係数!$B:$E,2,FALSE)</f>
        <v>1.3</v>
      </c>
      <c r="Z327" s="26">
        <f ca="1">VLOOKUP($X327,サイズ別係数!$B:$E,3,FALSE)</f>
        <v>1.3</v>
      </c>
      <c r="AA327" s="26">
        <f ca="1">VLOOKUP($X327,サイズ別係数!$B:$E,4,FALSE)</f>
        <v>1.1000000000000001</v>
      </c>
      <c r="AB327" s="5">
        <v>0</v>
      </c>
      <c r="AC327" s="34" t="str">
        <f ca="1">VLOOKUP($AB327,OFFSET([3]enemy_skill_sets!$B$2,0,0,COUNTA([3]enemy_skill_sets!$A:$A),MATCH(AC$1,[3]enemy_skill_sets!$1:$1,0)-MATCH($AB$1,[3]enemy_skill_sets!$1:$1,0)+1),MATCH(AC$1,[3]enemy_skill_sets!$1:$1,0)-MATCH($AB$1,[3]enemy_skill_sets!$1:$1,0)+1,FALSE)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7" s="27">
        <v>1</v>
      </c>
      <c r="AE327" s="37">
        <v>1</v>
      </c>
      <c r="AF327" s="37">
        <v>0</v>
      </c>
      <c r="AG327" s="28">
        <f ca="1">ROUND(VLOOKUP(1,enemy_base_stats!$A:$F,2,FALSE) * Y327* J327*O327*E327*S327*AD327*[2]ステータス!$B$2,0)</f>
        <v>2695</v>
      </c>
      <c r="AH327" s="28">
        <f ca="1">ROUND(VLOOKUP(1,enemy_base_stats!$A:$F,3,FALSE) * Z327*K327*P327*F327*T327*AE327 * W327*[2]ステータス!$C$2,0)</f>
        <v>171</v>
      </c>
      <c r="AI327" s="28">
        <f ca="1">ROUND(VLOOKUP(1,enemy_base_stats!$A:$F,4,FALSE) * AA327*L327*Q327*G327*U327*AF327*[2]ステータス!$D$2,0)</f>
        <v>0</v>
      </c>
      <c r="AJ327" s="28">
        <f ca="1">ROUND(VLOOKUP(100,enemy_base_stats!$A:$F,2,FALSE) * Y327* J327*O327*E327*S327*AD327*[2]ステータス!$B$2,0)</f>
        <v>109397</v>
      </c>
      <c r="AK327" s="28">
        <f ca="1">ROUND(VLOOKUP(100,enemy_base_stats!$A:$F,3,FALSE)* Z327* K327*P327*F327*T327*AE327 * W327*[2]ステータス!$C$2,0)</f>
        <v>6946</v>
      </c>
      <c r="AL327" s="28">
        <f ca="1">ROUND(VLOOKUP(100,enemy_base_stats!$A:$F,4,FALSE)* AA327* L327*Q327*G327*U327*AF327*[2]ステータス!$D$2,0)</f>
        <v>0</v>
      </c>
      <c r="AM327" s="24">
        <f ca="1">VLOOKUP(M327,[2]character_tribe_i18n!$A:$I,9,FALSE)</f>
        <v>400</v>
      </c>
      <c r="AN327" s="36">
        <v>0</v>
      </c>
      <c r="AO327" s="53">
        <v>0</v>
      </c>
      <c r="AP327" s="58" t="s">
        <v>72</v>
      </c>
      <c r="AQ327" s="71">
        <f t="shared" ca="1" si="10"/>
        <v>326</v>
      </c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</row>
    <row r="328" spans="1:60" s="3" customFormat="1" ht="21" customHeight="1" x14ac:dyDescent="0.15">
      <c r="A328" s="7">
        <f t="shared" ca="1" si="11"/>
        <v>327</v>
      </c>
      <c r="B328" s="6" t="str">
        <f ca="1">VLOOKUP(A328,[2]characters!$A:$C,3,FALSE)</f>
        <v>千殺の妖志士 斎藤一</v>
      </c>
      <c r="C328" s="9">
        <f ca="1">VLOOKUP(A328,[2]characters!$A:$I,9,FALSE)</f>
        <v>5</v>
      </c>
      <c r="D328" s="9" t="str">
        <f ca="1">VLOOKUP(A328,[2]characters!$A:$H,8,FALSE)</f>
        <v>yellow</v>
      </c>
      <c r="E328" s="24">
        <f ca="1">VLOOKUP(D328,[2]属性!$A:$E,2,FALSE)</f>
        <v>0.98</v>
      </c>
      <c r="F328" s="24">
        <f ca="1">VLOOKUP(D328,[2]属性!$A:$E,3,FALSE)</f>
        <v>1.01</v>
      </c>
      <c r="G328" s="24">
        <f ca="1">VLOOKUP(D328,[2]属性!$A:$F,4,FALSE)</f>
        <v>1</v>
      </c>
      <c r="H328" s="9" t="str">
        <f ca="1">VLOOKUP(A328,[2]characters!$A:$K,11,FALSE)</f>
        <v>technical</v>
      </c>
      <c r="I328" s="14" t="str">
        <f ca="1">VLOOKUP(H328,[2]character_type_i18n!$A:$F,3,FALSE)</f>
        <v>テクニカルタイプ</v>
      </c>
      <c r="J328" s="36">
        <f ca="1">VLOOKUP(H328,[2]character_type_i18n!$A:$F,4,FALSE)</f>
        <v>0.9</v>
      </c>
      <c r="K328" s="36">
        <f ca="1">VLOOKUP(H328,[2]character_type_i18n!$A:$F,5,FALSE)</f>
        <v>0.9</v>
      </c>
      <c r="L328" s="36">
        <f ca="1">VLOOKUP(H328,[2]character_type_i18n!$A:$F,6,FALSE)</f>
        <v>1</v>
      </c>
      <c r="M328" s="9" t="str">
        <f ca="1">VLOOKUP(A328,[2]characters!$A:$M,13,FALSE)</f>
        <v>human</v>
      </c>
      <c r="N328" s="14" t="str">
        <f ca="1">VLOOKUP(M328,[2]character_tribe_i18n!$A:$F,3,FALSE)</f>
        <v>ヒューマン</v>
      </c>
      <c r="O328" s="24">
        <f ca="1">VLOOKUP(M328,[2]character_tribe_i18n!$A:$F,4,FALSE)</f>
        <v>0.94</v>
      </c>
      <c r="P328" s="24">
        <f ca="1">VLOOKUP(M328,[2]character_tribe_i18n!$A:$F,5,FALSE)</f>
        <v>0.99</v>
      </c>
      <c r="Q328" s="24">
        <f ca="1">VLOOKUP(M328,[2]character_tribe_i18n!$A:$F,6,FALSE)</f>
        <v>1</v>
      </c>
      <c r="R328" s="25" t="s">
        <v>4</v>
      </c>
      <c r="S328" s="24">
        <f>VLOOKUP($R328,ラベル別係数!$A$1:$E$7,3,FALSE)</f>
        <v>5</v>
      </c>
      <c r="T328" s="24">
        <f>VLOOKUP($R328,ラベル別係数!$A$1:$E$7,4,FALSE)</f>
        <v>1.3</v>
      </c>
      <c r="U328" s="24">
        <f>VLOOKUP($R328,ラベル別係数!$A$1:$E$7,5,FALSE)</f>
        <v>0.8</v>
      </c>
      <c r="V328" s="27">
        <v>2</v>
      </c>
      <c r="W328" s="28">
        <f>VLOOKUP(V328,ターン数別攻撃係数!$A$1:$B$1000,2,FALSE)</f>
        <v>0.75</v>
      </c>
      <c r="X328" s="9">
        <f ca="1">VLOOKUP(C328,サイズ別係数!A$2:B$8,2,FALSE)</f>
        <v>60</v>
      </c>
      <c r="Y328" s="26">
        <f ca="1">VLOOKUP($X328,サイズ別係数!$B:$E,2,FALSE)</f>
        <v>1.7</v>
      </c>
      <c r="Z328" s="26">
        <f ca="1">VLOOKUP($X328,サイズ別係数!$B:$E,3,FALSE)</f>
        <v>1.4</v>
      </c>
      <c r="AA328" s="26">
        <f ca="1">VLOOKUP($X328,サイズ別係数!$B:$E,4,FALSE)</f>
        <v>1</v>
      </c>
      <c r="AB328" s="5">
        <v>0</v>
      </c>
      <c r="AC328" s="34" t="str">
        <f ca="1">VLOOKUP($AB328,OFFSET([3]enemy_skill_sets!$B$2,0,0,COUNTA([3]enemy_skill_sets!$A:$A),MATCH(AC$1,[3]enemy_skill_sets!$1:$1,0)-MATCH($AB$1,[3]enemy_skill_sets!$1:$1,0)+1),MATCH(AC$1,[3]enemy_skill_sets!$1:$1,0)-MATCH($AB$1,[3]enemy_skill_sets!$1:$1,0)+1,FALSE)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8" s="27">
        <v>1</v>
      </c>
      <c r="AE328" s="37">
        <v>1</v>
      </c>
      <c r="AF328" s="37">
        <v>0</v>
      </c>
      <c r="AG328" s="28">
        <f ca="1">ROUND(VLOOKUP(1,enemy_base_stats!$A:$F,2,FALSE) * Y328* J328*O328*E328*S328*AD328*[2]ステータス!$B$2,0)</f>
        <v>3524</v>
      </c>
      <c r="AH328" s="28">
        <f ca="1">ROUND(VLOOKUP(1,enemy_base_stats!$A:$F,3,FALSE) * Z328*K328*P328*F328*T328*AE328 * W328*[2]ステータス!$C$2,0)</f>
        <v>184</v>
      </c>
      <c r="AI328" s="28">
        <f ca="1">ROUND(VLOOKUP(1,enemy_base_stats!$A:$F,4,FALSE) * AA328*L328*Q328*G328*U328*AF328*[2]ステータス!$D$2,0)</f>
        <v>0</v>
      </c>
      <c r="AJ328" s="28">
        <f ca="1">ROUND(VLOOKUP(100,enemy_base_stats!$A:$F,2,FALSE) * Y328* J328*O328*E328*S328*AD328*[2]ステータス!$B$2,0)</f>
        <v>143058</v>
      </c>
      <c r="AK328" s="28">
        <f ca="1">ROUND(VLOOKUP(100,enemy_base_stats!$A:$F,3,FALSE)* Z328* K328*P328*F328*T328*AE328 * W328*[2]ステータス!$C$2,0)</f>
        <v>7481</v>
      </c>
      <c r="AL328" s="28">
        <f ca="1">ROUND(VLOOKUP(100,enemy_base_stats!$A:$F,4,FALSE)* AA328* L328*Q328*G328*U328*AF328*[2]ステータス!$D$2,0)</f>
        <v>0</v>
      </c>
      <c r="AM328" s="24">
        <f ca="1">VLOOKUP(M328,[2]character_tribe_i18n!$A:$I,9,FALSE)</f>
        <v>400</v>
      </c>
      <c r="AN328" s="36">
        <v>0</v>
      </c>
      <c r="AO328" s="53">
        <v>0</v>
      </c>
      <c r="AP328" s="58" t="s">
        <v>72</v>
      </c>
      <c r="AQ328" s="71">
        <f t="shared" ca="1" si="10"/>
        <v>327</v>
      </c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8"/>
      <c r="BC328" s="18"/>
      <c r="BD328" s="18"/>
      <c r="BE328" s="18"/>
      <c r="BF328" s="18"/>
      <c r="BG328" s="18"/>
      <c r="BH328" s="18"/>
    </row>
    <row r="329" spans="1:60" s="3" customFormat="1" ht="21" customHeight="1" x14ac:dyDescent="0.15">
      <c r="A329" s="7">
        <f t="shared" ca="1" si="11"/>
        <v>328</v>
      </c>
      <c r="B329" s="6" t="str">
        <f ca="1">VLOOKUP(A329,[2]characters!$A:$C,3,FALSE)</f>
        <v>麒麟クエストアイコンシルエット</v>
      </c>
      <c r="C329" s="9">
        <f ca="1">VLOOKUP(A329,[2]characters!$A:$I,9,FALSE)</f>
        <v>4</v>
      </c>
      <c r="D329" s="9" t="str">
        <f ca="1">VLOOKUP(A329,[2]characters!$A:$H,8,FALSE)</f>
        <v>yellow</v>
      </c>
      <c r="E329" s="24">
        <f ca="1">VLOOKUP(D329,[2]属性!$A:$E,2,FALSE)</f>
        <v>0.98</v>
      </c>
      <c r="F329" s="24">
        <f ca="1">VLOOKUP(D329,[2]属性!$A:$E,3,FALSE)</f>
        <v>1.01</v>
      </c>
      <c r="G329" s="24">
        <f ca="1">VLOOKUP(D329,[2]属性!$A:$F,4,FALSE)</f>
        <v>1</v>
      </c>
      <c r="H329" s="9" t="str">
        <f ca="1">VLOOKUP(A329,[2]characters!$A:$K,11,FALSE)</f>
        <v>none</v>
      </c>
      <c r="I329" s="14" t="str">
        <f ca="1">VLOOKUP(H329,[2]character_type_i18n!$A:$F,3,FALSE)</f>
        <v>タイプなし</v>
      </c>
      <c r="J329" s="36">
        <f ca="1">VLOOKUP(H329,[2]character_type_i18n!$A:$F,4,FALSE)</f>
        <v>0</v>
      </c>
      <c r="K329" s="36">
        <f ca="1">VLOOKUP(H329,[2]character_type_i18n!$A:$F,5,FALSE)</f>
        <v>0</v>
      </c>
      <c r="L329" s="36">
        <f ca="1">VLOOKUP(H329,[2]character_type_i18n!$A:$F,6,FALSE)</f>
        <v>0</v>
      </c>
      <c r="M329" s="9" t="str">
        <f ca="1">VLOOKUP(A329,[2]characters!$A:$M,13,FALSE)</f>
        <v>human</v>
      </c>
      <c r="N329" s="14" t="str">
        <f ca="1">VLOOKUP(M329,[2]character_tribe_i18n!$A:$F,3,FALSE)</f>
        <v>ヒューマン</v>
      </c>
      <c r="O329" s="24">
        <f ca="1">VLOOKUP(M329,[2]character_tribe_i18n!$A:$F,4,FALSE)</f>
        <v>0.94</v>
      </c>
      <c r="P329" s="24">
        <f ca="1">VLOOKUP(M329,[2]character_tribe_i18n!$A:$F,5,FALSE)</f>
        <v>0.99</v>
      </c>
      <c r="Q329" s="24">
        <f ca="1">VLOOKUP(M329,[2]character_tribe_i18n!$A:$F,6,FALSE)</f>
        <v>1</v>
      </c>
      <c r="R329" s="25" t="s">
        <v>4</v>
      </c>
      <c r="S329" s="24">
        <f>VLOOKUP($R329,ラベル別係数!$A$1:$E$7,3,FALSE)</f>
        <v>5</v>
      </c>
      <c r="T329" s="24">
        <f>VLOOKUP($R329,ラベル別係数!$A$1:$E$7,4,FALSE)</f>
        <v>1.3</v>
      </c>
      <c r="U329" s="24">
        <f>VLOOKUP($R329,ラベル別係数!$A$1:$E$7,5,FALSE)</f>
        <v>0.8</v>
      </c>
      <c r="V329" s="27">
        <v>2</v>
      </c>
      <c r="W329" s="28">
        <f>VLOOKUP(V329,ターン数別攻撃係数!$A$1:$B$1000,2,FALSE)</f>
        <v>0.75</v>
      </c>
      <c r="X329" s="10">
        <v>60</v>
      </c>
      <c r="Y329" s="26">
        <f>VLOOKUP($X329,サイズ別係数!$B:$E,2,FALSE)</f>
        <v>1.7</v>
      </c>
      <c r="Z329" s="26">
        <f>VLOOKUP($X329,サイズ別係数!$B:$E,3,FALSE)</f>
        <v>1.4</v>
      </c>
      <c r="AA329" s="26">
        <f>VLOOKUP($X329,サイズ別係数!$B:$E,4,FALSE)</f>
        <v>1</v>
      </c>
      <c r="AB329" s="5">
        <v>0</v>
      </c>
      <c r="AC329" s="34" t="str">
        <f ca="1">VLOOKUP($AB329,OFFSET([3]enemy_skill_sets!$B$2,0,0,COUNTA([3]enemy_skill_sets!$A:$A),MATCH(AC$1,[3]enemy_skill_sets!$1:$1,0)-MATCH($AB$1,[3]enemy_skill_sets!$1:$1,0)+1),MATCH(AC$1,[3]enemy_skill_sets!$1:$1,0)-MATCH($AB$1,[3]enemy_skill_sets!$1:$1,0)+1,FALSE)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29" s="27">
        <v>1</v>
      </c>
      <c r="AE329" s="37">
        <v>1</v>
      </c>
      <c r="AF329" s="37">
        <v>0</v>
      </c>
      <c r="AG329" s="28">
        <f ca="1">ROUND(VLOOKUP(1,enemy_base_stats!$A:$F,2,FALSE) * Y329* J329*O329*E329*S329*AD329*[2]ステータス!$B$2,0)</f>
        <v>0</v>
      </c>
      <c r="AH329" s="28">
        <f ca="1">ROUND(VLOOKUP(1,enemy_base_stats!$A:$F,3,FALSE) * Z329*K329*P329*F329*T329*AE329 * W329*[2]ステータス!$C$2,0)</f>
        <v>0</v>
      </c>
      <c r="AI329" s="28">
        <f ca="1">ROUND(VLOOKUP(1,enemy_base_stats!$A:$F,4,FALSE) * AA329*L329*Q329*G329*U329*AF329*[2]ステータス!$D$2,0)</f>
        <v>0</v>
      </c>
      <c r="AJ329" s="28">
        <f ca="1">ROUND(VLOOKUP(100,enemy_base_stats!$A:$F,2,FALSE) * Y329* J329*O329*E329*S329*AD329*[2]ステータス!$B$2,0)</f>
        <v>0</v>
      </c>
      <c r="AK329" s="28">
        <f ca="1">ROUND(VLOOKUP(100,enemy_base_stats!$A:$F,3,FALSE)* Z329* K329*P329*F329*T329*AE329 * W329*[2]ステータス!$C$2,0)</f>
        <v>0</v>
      </c>
      <c r="AL329" s="28">
        <f ca="1">ROUND(VLOOKUP(100,enemy_base_stats!$A:$F,4,FALSE)* AA329* L329*Q329*G329*U329*AF329*[2]ステータス!$D$2,0)</f>
        <v>0</v>
      </c>
      <c r="AM329" s="24">
        <f ca="1">VLOOKUP(M329,[2]character_tribe_i18n!$A:$I,9,FALSE)</f>
        <v>400</v>
      </c>
      <c r="AN329" s="36">
        <v>0</v>
      </c>
      <c r="AO329" s="53">
        <v>0</v>
      </c>
      <c r="AP329" s="58" t="s">
        <v>72</v>
      </c>
      <c r="AQ329" s="71">
        <f t="shared" ca="1" si="10"/>
        <v>328</v>
      </c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8"/>
      <c r="BC329" s="18"/>
      <c r="BD329" s="18"/>
      <c r="BE329" s="18"/>
      <c r="BF329" s="18"/>
      <c r="BG329" s="18"/>
      <c r="BH329" s="18"/>
    </row>
    <row r="330" spans="1:60" s="3" customFormat="1" ht="21" customHeight="1" x14ac:dyDescent="0.15">
      <c r="A330" s="7">
        <f t="shared" ca="1" si="11"/>
        <v>329</v>
      </c>
      <c r="B330" s="6" t="str">
        <f ca="1">VLOOKUP(A330,[2]characters!$A:$C,3,FALSE)</f>
        <v>麒麟クエストアイコンシルエット</v>
      </c>
      <c r="C330" s="9">
        <f ca="1">VLOOKUP(A330,[2]characters!$A:$I,9,FALSE)</f>
        <v>5</v>
      </c>
      <c r="D330" s="9" t="str">
        <f ca="1">VLOOKUP(A330,[2]characters!$A:$H,8,FALSE)</f>
        <v>yellow</v>
      </c>
      <c r="E330" s="24">
        <f ca="1">VLOOKUP(D330,[2]属性!$A:$E,2,FALSE)</f>
        <v>0.98</v>
      </c>
      <c r="F330" s="24">
        <f ca="1">VLOOKUP(D330,[2]属性!$A:$E,3,FALSE)</f>
        <v>1.01</v>
      </c>
      <c r="G330" s="24">
        <f ca="1">VLOOKUP(D330,[2]属性!$A:$F,4,FALSE)</f>
        <v>1</v>
      </c>
      <c r="H330" s="9" t="str">
        <f ca="1">VLOOKUP(A330,[2]characters!$A:$K,11,FALSE)</f>
        <v>none</v>
      </c>
      <c r="I330" s="14" t="str">
        <f ca="1">VLOOKUP(H330,[2]character_type_i18n!$A:$F,3,FALSE)</f>
        <v>タイプなし</v>
      </c>
      <c r="J330" s="36">
        <f ca="1">VLOOKUP(H330,[2]character_type_i18n!$A:$F,4,FALSE)</f>
        <v>0</v>
      </c>
      <c r="K330" s="36">
        <f ca="1">VLOOKUP(H330,[2]character_type_i18n!$A:$F,5,FALSE)</f>
        <v>0</v>
      </c>
      <c r="L330" s="36">
        <f ca="1">VLOOKUP(H330,[2]character_type_i18n!$A:$F,6,FALSE)</f>
        <v>0</v>
      </c>
      <c r="M330" s="9" t="str">
        <f ca="1">VLOOKUP(A330,[2]characters!$A:$M,13,FALSE)</f>
        <v>human</v>
      </c>
      <c r="N330" s="14" t="str">
        <f ca="1">VLOOKUP(M330,[2]character_tribe_i18n!$A:$F,3,FALSE)</f>
        <v>ヒューマン</v>
      </c>
      <c r="O330" s="24">
        <f ca="1">VLOOKUP(M330,[2]character_tribe_i18n!$A:$F,4,FALSE)</f>
        <v>0.94</v>
      </c>
      <c r="P330" s="24">
        <f ca="1">VLOOKUP(M330,[2]character_tribe_i18n!$A:$F,5,FALSE)</f>
        <v>0.99</v>
      </c>
      <c r="Q330" s="24">
        <f ca="1">VLOOKUP(M330,[2]character_tribe_i18n!$A:$F,6,FALSE)</f>
        <v>1</v>
      </c>
      <c r="R330" s="25" t="s">
        <v>4</v>
      </c>
      <c r="S330" s="24">
        <f>VLOOKUP($R330,ラベル別係数!$A$1:$E$7,3,FALSE)</f>
        <v>5</v>
      </c>
      <c r="T330" s="24">
        <f>VLOOKUP($R330,ラベル別係数!$A$1:$E$7,4,FALSE)</f>
        <v>1.3</v>
      </c>
      <c r="U330" s="24">
        <f>VLOOKUP($R330,ラベル別係数!$A$1:$E$7,5,FALSE)</f>
        <v>0.8</v>
      </c>
      <c r="V330" s="27">
        <v>2</v>
      </c>
      <c r="W330" s="28">
        <f>VLOOKUP(V330,ターン数別攻撃係数!$A$1:$B$1000,2,FALSE)</f>
        <v>0.75</v>
      </c>
      <c r="X330" s="10">
        <v>60</v>
      </c>
      <c r="Y330" s="26">
        <f>VLOOKUP($X330,サイズ別係数!$B:$E,2,FALSE)</f>
        <v>1.7</v>
      </c>
      <c r="Z330" s="26">
        <f>VLOOKUP($X330,サイズ別係数!$B:$E,3,FALSE)</f>
        <v>1.4</v>
      </c>
      <c r="AA330" s="26">
        <f>VLOOKUP($X330,サイズ別係数!$B:$E,4,FALSE)</f>
        <v>1</v>
      </c>
      <c r="AB330" s="5">
        <v>0</v>
      </c>
      <c r="AC330" s="34" t="str">
        <f ca="1">VLOOKUP($AB330,OFFSET([3]enemy_skill_sets!$B$2,0,0,COUNTA([3]enemy_skill_sets!$A:$A),MATCH(AC$1,[3]enemy_skill_sets!$1:$1,0)-MATCH($AB$1,[3]enemy_skill_sets!$1:$1,0)+1),MATCH(AC$1,[3]enemy_skill_sets!$1:$1,0)-MATCH($AB$1,[3]enemy_skill_sets!$1:$1,0)+1,FALSE)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0" s="27">
        <v>1</v>
      </c>
      <c r="AE330" s="37">
        <v>1</v>
      </c>
      <c r="AF330" s="37">
        <v>0</v>
      </c>
      <c r="AG330" s="28">
        <f ca="1">ROUND(VLOOKUP(1,enemy_base_stats!$A:$F,2,FALSE) * Y330* J330*O330*E330*S330*AD330*[2]ステータス!$B$2,0)</f>
        <v>0</v>
      </c>
      <c r="AH330" s="28">
        <f ca="1">ROUND(VLOOKUP(1,enemy_base_stats!$A:$F,3,FALSE) * Z330*K330*P330*F330*T330*AE330 * W330*[2]ステータス!$C$2,0)</f>
        <v>0</v>
      </c>
      <c r="AI330" s="28">
        <f ca="1">ROUND(VLOOKUP(1,enemy_base_stats!$A:$F,4,FALSE) * AA330*L330*Q330*G330*U330*AF330*[2]ステータス!$D$2,0)</f>
        <v>0</v>
      </c>
      <c r="AJ330" s="28">
        <f ca="1">ROUND(VLOOKUP(100,enemy_base_stats!$A:$F,2,FALSE) * Y330* J330*O330*E330*S330*AD330*[2]ステータス!$B$2,0)</f>
        <v>0</v>
      </c>
      <c r="AK330" s="28">
        <f ca="1">ROUND(VLOOKUP(100,enemy_base_stats!$A:$F,3,FALSE)* Z330* K330*P330*F330*T330*AE330 * W330*[2]ステータス!$C$2,0)</f>
        <v>0</v>
      </c>
      <c r="AL330" s="28">
        <f ca="1">ROUND(VLOOKUP(100,enemy_base_stats!$A:$F,4,FALSE)* AA330* L330*Q330*G330*U330*AF330*[2]ステータス!$D$2,0)</f>
        <v>0</v>
      </c>
      <c r="AM330" s="24">
        <f ca="1">VLOOKUP(M330,[2]character_tribe_i18n!$A:$I,9,FALSE)</f>
        <v>400</v>
      </c>
      <c r="AN330" s="36">
        <v>0</v>
      </c>
      <c r="AO330" s="53">
        <v>0</v>
      </c>
      <c r="AP330" s="58" t="s">
        <v>72</v>
      </c>
      <c r="AQ330" s="71">
        <f t="shared" ca="1" si="10"/>
        <v>329</v>
      </c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8"/>
      <c r="BC330" s="18"/>
      <c r="BD330" s="18"/>
      <c r="BE330" s="18"/>
      <c r="BF330" s="18"/>
      <c r="BG330" s="18"/>
      <c r="BH330" s="18"/>
    </row>
    <row r="331" spans="1:60" s="3" customFormat="1" ht="21" customHeight="1" x14ac:dyDescent="0.15">
      <c r="A331" s="7">
        <f t="shared" ca="1" si="11"/>
        <v>330</v>
      </c>
      <c r="B331" s="6" t="str">
        <f ca="1">VLOOKUP(A331,[2]characters!$A:$C,3,FALSE)</f>
        <v>Usagi-chan</v>
      </c>
      <c r="C331" s="9">
        <f ca="1">VLOOKUP(A331,[2]characters!$A:$I,9,FALSE)</f>
        <v>4</v>
      </c>
      <c r="D331" s="9" t="str">
        <f ca="1">VLOOKUP(A331,[2]characters!$A:$H,8,FALSE)</f>
        <v>blue</v>
      </c>
      <c r="E331" s="24">
        <f ca="1">VLOOKUP(D331,[2]属性!$A:$E,2,FALSE)</f>
        <v>1</v>
      </c>
      <c r="F331" s="24">
        <f ca="1">VLOOKUP(D331,[2]属性!$A:$E,3,FALSE)</f>
        <v>0.98</v>
      </c>
      <c r="G331" s="24">
        <f ca="1">VLOOKUP(D331,[2]属性!$A:$F,4,FALSE)</f>
        <v>1</v>
      </c>
      <c r="H331" s="9" t="str">
        <f ca="1">VLOOKUP(A331,[2]characters!$A:$K,11,FALSE)</f>
        <v>balance</v>
      </c>
      <c r="I331" s="14" t="str">
        <f ca="1">VLOOKUP(H331,[2]character_type_i18n!$A:$F,3,FALSE)</f>
        <v>バランスタイプ</v>
      </c>
      <c r="J331" s="36">
        <f ca="1">VLOOKUP(H331,[2]character_type_i18n!$A:$F,4,FALSE)</f>
        <v>1</v>
      </c>
      <c r="K331" s="36">
        <f ca="1">VLOOKUP(H331,[2]character_type_i18n!$A:$F,5,FALSE)</f>
        <v>1</v>
      </c>
      <c r="L331" s="36">
        <f ca="1">VLOOKUP(H331,[2]character_type_i18n!$A:$F,6,FALSE)</f>
        <v>1</v>
      </c>
      <c r="M331" s="9" t="str">
        <f ca="1">VLOOKUP(A331,[2]characters!$A:$M,13,FALSE)</f>
        <v>machine</v>
      </c>
      <c r="N331" s="14" t="str">
        <f ca="1">VLOOKUP(M331,[2]character_tribe_i18n!$A:$F,3,FALSE)</f>
        <v>マシン</v>
      </c>
      <c r="O331" s="24">
        <f ca="1">VLOOKUP(M331,[2]character_tribe_i18n!$A:$F,4,FALSE)</f>
        <v>1</v>
      </c>
      <c r="P331" s="24">
        <f ca="1">VLOOKUP(M331,[2]character_tribe_i18n!$A:$F,5,FALSE)</f>
        <v>1</v>
      </c>
      <c r="Q331" s="24">
        <f ca="1">VLOOKUP(M331,[2]character_tribe_i18n!$A:$F,6,FALSE)</f>
        <v>1</v>
      </c>
      <c r="R331" s="25" t="s">
        <v>4</v>
      </c>
      <c r="S331" s="24">
        <f>VLOOKUP($R331,ラベル別係数!$A$1:$E$7,3,FALSE)</f>
        <v>5</v>
      </c>
      <c r="T331" s="24">
        <f>VLOOKUP($R331,ラベル別係数!$A$1:$E$7,4,FALSE)</f>
        <v>1.3</v>
      </c>
      <c r="U331" s="24">
        <f>VLOOKUP($R331,ラベル別係数!$A$1:$E$7,5,FALSE)</f>
        <v>0.8</v>
      </c>
      <c r="V331" s="27">
        <v>2</v>
      </c>
      <c r="W331" s="28">
        <f>VLOOKUP(V331,ターン数別攻撃係数!$A$1:$B$1000,2,FALSE)</f>
        <v>0.75</v>
      </c>
      <c r="X331" s="10">
        <v>15</v>
      </c>
      <c r="Y331" s="27">
        <v>1.7</v>
      </c>
      <c r="Z331" s="27">
        <v>1.4</v>
      </c>
      <c r="AA331" s="27">
        <v>1</v>
      </c>
      <c r="AB331" s="5">
        <v>0</v>
      </c>
      <c r="AC331" s="34" t="str">
        <f ca="1">VLOOKUP($AB331,OFFSET([3]enemy_skill_sets!$B$2,0,0,COUNTA([3]enemy_skill_sets!$A:$A),MATCH(AC$1,[3]enemy_skill_sets!$1:$1,0)-MATCH($AB$1,[3]enemy_skill_sets!$1:$1,0)+1),MATCH(AC$1,[3]enemy_skill_sets!$1:$1,0)-MATCH($AB$1,[3]enemy_skill_sets!$1:$1,0)+1,FALSE)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1" s="27">
        <v>1</v>
      </c>
      <c r="AE331" s="37">
        <v>1</v>
      </c>
      <c r="AF331" s="37">
        <v>0</v>
      </c>
      <c r="AG331" s="28">
        <f ca="1">ROUND(VLOOKUP(1,enemy_base_stats!$A:$F,2,FALSE) * Y331* J331*O331*E331*S331*AD331*[2]ステータス!$B$2,0)</f>
        <v>4250</v>
      </c>
      <c r="AH331" s="28">
        <f ca="1">ROUND(VLOOKUP(1,enemy_base_stats!$A:$F,3,FALSE) * Z331*K331*P331*F331*T331*AE331 * W331*[2]ステータス!$C$2,0)</f>
        <v>201</v>
      </c>
      <c r="AI331" s="28">
        <f ca="1">ROUND(VLOOKUP(1,enemy_base_stats!$A:$F,4,FALSE) * AA331*L331*Q331*G331*U331*AF331*[2]ステータス!$D$2,0)</f>
        <v>0</v>
      </c>
      <c r="AJ331" s="28">
        <f ca="1">ROUND(VLOOKUP(100,enemy_base_stats!$A:$F,2,FALSE) * Y331* J331*O331*E331*S331*AD331*[2]ステータス!$B$2,0)</f>
        <v>172550</v>
      </c>
      <c r="AK331" s="28">
        <f ca="1">ROUND(VLOOKUP(100,enemy_base_stats!$A:$F,3,FALSE)* Z331* K331*P331*F331*T331*AE331 * W331*[2]ステータス!$C$2,0)</f>
        <v>8147</v>
      </c>
      <c r="AL331" s="28">
        <f ca="1">ROUND(VLOOKUP(100,enemy_base_stats!$A:$F,4,FALSE)* AA331* L331*Q331*G331*U331*AF331*[2]ステータス!$D$2,0)</f>
        <v>0</v>
      </c>
      <c r="AM331" s="24">
        <f ca="1">VLOOKUP(M331,[2]character_tribe_i18n!$A:$I,9,FALSE)</f>
        <v>520</v>
      </c>
      <c r="AN331" s="36">
        <v>0</v>
      </c>
      <c r="AO331" s="53">
        <v>0</v>
      </c>
      <c r="AP331" s="58" t="s">
        <v>72</v>
      </c>
      <c r="AQ331" s="71">
        <f t="shared" ca="1" si="10"/>
        <v>330</v>
      </c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8"/>
      <c r="BC331" s="18"/>
      <c r="BD331" s="18"/>
      <c r="BE331" s="18"/>
      <c r="BF331" s="18"/>
      <c r="BG331" s="18"/>
      <c r="BH331" s="18"/>
    </row>
    <row r="332" spans="1:60" s="3" customFormat="1" ht="21" customHeight="1" x14ac:dyDescent="0.15">
      <c r="A332" s="7">
        <f t="shared" ca="1" si="11"/>
        <v>331</v>
      </c>
      <c r="B332" s="6" t="str">
        <f ca="1">VLOOKUP(A332,[2]characters!$A:$C,3,FALSE)</f>
        <v>オーディンクエストアイコンシルエット</v>
      </c>
      <c r="C332" s="9">
        <f ca="1">VLOOKUP(A332,[2]characters!$A:$I,9,FALSE)</f>
        <v>5</v>
      </c>
      <c r="D332" s="9" t="str">
        <f ca="1">VLOOKUP(A332,[2]characters!$A:$H,8,FALSE)</f>
        <v>blue</v>
      </c>
      <c r="E332" s="24">
        <f ca="1">VLOOKUP(D332,[2]属性!$A:$E,2,FALSE)</f>
        <v>1</v>
      </c>
      <c r="F332" s="24">
        <f ca="1">VLOOKUP(D332,[2]属性!$A:$E,3,FALSE)</f>
        <v>0.98</v>
      </c>
      <c r="G332" s="24">
        <f ca="1">VLOOKUP(D332,[2]属性!$A:$F,4,FALSE)</f>
        <v>1</v>
      </c>
      <c r="H332" s="9" t="str">
        <f ca="1">VLOOKUP(A332,[2]characters!$A:$K,11,FALSE)</f>
        <v>none</v>
      </c>
      <c r="I332" s="14" t="str">
        <f ca="1">VLOOKUP(H332,[2]character_type_i18n!$A:$F,3,FALSE)</f>
        <v>タイプなし</v>
      </c>
      <c r="J332" s="36">
        <f ca="1">VLOOKUP(H332,[2]character_type_i18n!$A:$F,4,FALSE)</f>
        <v>0</v>
      </c>
      <c r="K332" s="36">
        <f ca="1">VLOOKUP(H332,[2]character_type_i18n!$A:$F,5,FALSE)</f>
        <v>0</v>
      </c>
      <c r="L332" s="36">
        <f ca="1">VLOOKUP(H332,[2]character_type_i18n!$A:$F,6,FALSE)</f>
        <v>0</v>
      </c>
      <c r="M332" s="9" t="str">
        <f ca="1">VLOOKUP(A332,[2]characters!$A:$M,13,FALSE)</f>
        <v>unknown</v>
      </c>
      <c r="N332" s="14" t="str">
        <f ca="1">VLOOKUP(M332,[2]character_tribe_i18n!$A:$F,3,FALSE)</f>
        <v>Unknown</v>
      </c>
      <c r="O332" s="24">
        <f ca="1">VLOOKUP(M332,[2]character_tribe_i18n!$A:$F,4,FALSE)</f>
        <v>1</v>
      </c>
      <c r="P332" s="24">
        <f ca="1">VLOOKUP(M332,[2]character_tribe_i18n!$A:$F,5,FALSE)</f>
        <v>1</v>
      </c>
      <c r="Q332" s="24">
        <f ca="1">VLOOKUP(M332,[2]character_tribe_i18n!$A:$F,6,FALSE)</f>
        <v>1</v>
      </c>
      <c r="R332" s="25" t="s">
        <v>4</v>
      </c>
      <c r="S332" s="24">
        <f>VLOOKUP($R332,ラベル別係数!$A$1:$E$7,3,FALSE)</f>
        <v>5</v>
      </c>
      <c r="T332" s="24">
        <f>VLOOKUP($R332,ラベル別係数!$A$1:$E$7,4,FALSE)</f>
        <v>1.3</v>
      </c>
      <c r="U332" s="24">
        <f>VLOOKUP($R332,ラベル別係数!$A$1:$E$7,5,FALSE)</f>
        <v>0.8</v>
      </c>
      <c r="V332" s="27">
        <v>2</v>
      </c>
      <c r="W332" s="28">
        <f>VLOOKUP(V332,ターン数別攻撃係数!$A$1:$B$1000,2,FALSE)</f>
        <v>0.75</v>
      </c>
      <c r="X332" s="10">
        <v>60</v>
      </c>
      <c r="Y332" s="26">
        <f>VLOOKUP($X332,サイズ別係数!$B:$E,2,FALSE)</f>
        <v>1.7</v>
      </c>
      <c r="Z332" s="26">
        <f>VLOOKUP($X332,サイズ別係数!$B:$E,3,FALSE)</f>
        <v>1.4</v>
      </c>
      <c r="AA332" s="26">
        <f>VLOOKUP($X332,サイズ別係数!$B:$E,4,FALSE)</f>
        <v>1</v>
      </c>
      <c r="AB332" s="5">
        <v>0</v>
      </c>
      <c r="AC332" s="34" t="str">
        <f ca="1">VLOOKUP($AB332,OFFSET([3]enemy_skill_sets!$B$2,0,0,COUNTA([3]enemy_skill_sets!$A:$A),MATCH(AC$1,[3]enemy_skill_sets!$1:$1,0)-MATCH($AB$1,[3]enemy_skill_sets!$1:$1,0)+1),MATCH(AC$1,[3]enemy_skill_sets!$1:$1,0)-MATCH($AB$1,[3]enemy_skill_sets!$1:$1,0)+1,FALSE)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2" s="65">
        <v>1</v>
      </c>
      <c r="AE332" s="66">
        <v>1</v>
      </c>
      <c r="AF332" s="66">
        <v>0</v>
      </c>
      <c r="AG332" s="28">
        <f ca="1">ROUND(VLOOKUP(1,enemy_base_stats!$A:$F,2,FALSE) * Y332* J332*O332*E332*S332*AD332*[2]ステータス!$B$2,0)</f>
        <v>0</v>
      </c>
      <c r="AH332" s="28">
        <f ca="1">ROUND(VLOOKUP(1,enemy_base_stats!$A:$F,3,FALSE) * Z332*K332*P332*F332*T332*AE332 * W332*[2]ステータス!$C$2,0)</f>
        <v>0</v>
      </c>
      <c r="AI332" s="28">
        <f ca="1">ROUND(VLOOKUP(1,enemy_base_stats!$A:$F,4,FALSE) * AA332*L332*Q332*G332*U332*AF332*[2]ステータス!$D$2,0)</f>
        <v>0</v>
      </c>
      <c r="AJ332" s="28">
        <f ca="1">ROUND(VLOOKUP(100,enemy_base_stats!$A:$F,2,FALSE) * Y332* J332*O332*E332*S332*AD332*[2]ステータス!$B$2,0)</f>
        <v>0</v>
      </c>
      <c r="AK332" s="28">
        <f ca="1">ROUND(VLOOKUP(100,enemy_base_stats!$A:$F,3,FALSE)* Z332* K332*P332*F332*T332*AE332 * W332*[2]ステータス!$C$2,0)</f>
        <v>0</v>
      </c>
      <c r="AL332" s="28">
        <f ca="1">ROUND(VLOOKUP(100,enemy_base_stats!$A:$F,4,FALSE)* AA332* L332*Q332*G332*U332*AF332*[2]ステータス!$D$2,0)</f>
        <v>0</v>
      </c>
      <c r="AM332" s="24">
        <f ca="1">VLOOKUP(M332,[2]character_tribe_i18n!$A:$I,9,FALSE)</f>
        <v>340</v>
      </c>
      <c r="AN332" s="36">
        <v>0</v>
      </c>
      <c r="AO332" s="53">
        <v>0</v>
      </c>
      <c r="AP332" s="58" t="s">
        <v>72</v>
      </c>
      <c r="AQ332" s="71">
        <f t="shared" ca="1" si="10"/>
        <v>331</v>
      </c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</row>
    <row r="333" spans="1:60" s="3" customFormat="1" ht="21" customHeight="1" x14ac:dyDescent="0.15">
      <c r="A333" s="7">
        <f t="shared" ca="1" si="11"/>
        <v>332</v>
      </c>
      <c r="B333" s="6" t="str">
        <f ca="1">VLOOKUP(A333,[2]characters!$A:$C,3,FALSE)</f>
        <v>炎のメタルピヨピヨ</v>
      </c>
      <c r="C333" s="9">
        <f ca="1">VLOOKUP(A333,[2]characters!$A:$I,9,FALSE)</f>
        <v>3</v>
      </c>
      <c r="D333" s="9" t="str">
        <f ca="1">VLOOKUP(A333,[2]characters!$A:$H,8,FALSE)</f>
        <v>red</v>
      </c>
      <c r="E333" s="24">
        <f ca="1">VLOOKUP(D333,[2]属性!$A:$E,2,FALSE)</f>
        <v>1</v>
      </c>
      <c r="F333" s="24">
        <f ca="1">VLOOKUP(D333,[2]属性!$A:$E,3,FALSE)</f>
        <v>1.02</v>
      </c>
      <c r="G333" s="24">
        <f ca="1">VLOOKUP(D333,[2]属性!$A:$F,4,FALSE)</f>
        <v>1</v>
      </c>
      <c r="H333" s="9" t="str">
        <f ca="1">VLOOKUP(A333,[2]characters!$A:$K,11,FALSE)</f>
        <v>exp</v>
      </c>
      <c r="I333" s="14" t="str">
        <f ca="1">VLOOKUP(H333,[2]character_type_i18n!$A:$F,3,FALSE)</f>
        <v>強化素材タイプ</v>
      </c>
      <c r="J333" s="36">
        <f ca="1">VLOOKUP(H333,[2]character_type_i18n!$A:$F,4,FALSE)</f>
        <v>0.1</v>
      </c>
      <c r="K333" s="36">
        <f ca="1">VLOOKUP(H333,[2]character_type_i18n!$A:$F,5,FALSE)</f>
        <v>0.05</v>
      </c>
      <c r="L333" s="36">
        <f ca="1">VLOOKUP(H333,[2]character_type_i18n!$A:$F,6,FALSE)</f>
        <v>1</v>
      </c>
      <c r="M333" s="9" t="str">
        <f ca="1">VLOOKUP(A333,[2]characters!$A:$M,13,FALSE)</f>
        <v>unknown</v>
      </c>
      <c r="N333" s="14" t="str">
        <f ca="1">VLOOKUP(M333,[2]character_tribe_i18n!$A:$F,3,FALSE)</f>
        <v>Unknown</v>
      </c>
      <c r="O333" s="24">
        <f ca="1">VLOOKUP(M333,[2]character_tribe_i18n!$A:$F,4,FALSE)</f>
        <v>1</v>
      </c>
      <c r="P333" s="24">
        <f ca="1">VLOOKUP(M333,[2]character_tribe_i18n!$A:$F,5,FALSE)</f>
        <v>1</v>
      </c>
      <c r="Q333" s="24">
        <f ca="1">VLOOKUP(M333,[2]character_tribe_i18n!$A:$F,6,FALSE)</f>
        <v>1</v>
      </c>
      <c r="R333" s="25" t="s">
        <v>19</v>
      </c>
      <c r="S333" s="24">
        <f>VLOOKUP($R333,ラベル別係数!$A$1:$E$7,3,FALSE)</f>
        <v>1</v>
      </c>
      <c r="T333" s="24">
        <f>VLOOKUP($R333,ラベル別係数!$A$1:$E$7,4,FALSE)</f>
        <v>1</v>
      </c>
      <c r="U333" s="24">
        <f>VLOOKUP($R333,ラベル別係数!$A$1:$E$7,5,FALSE)</f>
        <v>1</v>
      </c>
      <c r="V333" s="27">
        <v>1</v>
      </c>
      <c r="W333" s="28">
        <f>VLOOKUP(V333,ターン数別攻撃係数!$A$1:$B$1000,2,FALSE)</f>
        <v>0.55000000000000004</v>
      </c>
      <c r="X333" s="10">
        <v>15</v>
      </c>
      <c r="Y333" s="26">
        <f>VLOOKUP($X333,サイズ別係数!$B:$E,2,FALSE)</f>
        <v>1</v>
      </c>
      <c r="Z333" s="26">
        <f>VLOOKUP($X333,サイズ別係数!$B:$E,3,FALSE)</f>
        <v>1</v>
      </c>
      <c r="AA333" s="26">
        <f>VLOOKUP($X333,サイズ別係数!$B:$E,4,FALSE)</f>
        <v>1</v>
      </c>
      <c r="AB333" s="5">
        <v>0</v>
      </c>
      <c r="AC333" s="34" t="str">
        <f ca="1">VLOOKUP($AB333,OFFSET([3]enemy_skill_sets!$B$2,0,0,COUNTA([3]enemy_skill_sets!$A:$A),MATCH(AC$1,[3]enemy_skill_sets!$1:$1,0)-MATCH($AB$1,[3]enemy_skill_sets!$1:$1,0)+1),MATCH(AC$1,[3]enemy_skill_sets!$1:$1,0)-MATCH($AB$1,[3]enemy_skill_sets!$1:$1,0)+1,FALSE)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3" s="67">
        <v>0.15</v>
      </c>
      <c r="AE333" s="67">
        <v>1</v>
      </c>
      <c r="AF333" s="68">
        <v>1</v>
      </c>
      <c r="AG333" s="28">
        <f ca="1">ROUND(VLOOKUP(1,enemy_base_stats!$A:$F,2,FALSE) * Y333* J333*O333*E333*S333*AD333*[2]ステータス!$B$2,0)</f>
        <v>8</v>
      </c>
      <c r="AH333" s="28">
        <f ca="1">ROUND(VLOOKUP(1,enemy_base_stats!$A:$F,3,FALSE) * Z333*K333*P333*F333*T333*AE333 * W333*[2]ステータス!$C$2,0)</f>
        <v>4</v>
      </c>
      <c r="AI333" s="28">
        <f ca="1">ROUND(VLOOKUP(1,enemy_base_stats!$A:$F,4,FALSE) * AA333*L333*Q333*G333*U333*AF333*[2]ステータス!$D$2,0)</f>
        <v>1000</v>
      </c>
      <c r="AJ333" s="28">
        <f ca="1">ROUND(VLOOKUP(100,enemy_base_stats!$A:$F,2,FALSE) * Y333* J333*O333*E333*S333*AD333*[2]ステータス!$B$2,0)</f>
        <v>305</v>
      </c>
      <c r="AK333" s="28">
        <f ca="1">ROUND(VLOOKUP(100,enemy_base_stats!$A:$F,3,FALSE)* Z333* K333*P333*F333*T333*AE333 * W333*[2]ステータス!$C$2,0)</f>
        <v>171</v>
      </c>
      <c r="AL333" s="28">
        <f ca="1">ROUND(VLOOKUP(100,enemy_base_stats!$A:$F,4,FALSE)* AA333* L333*Q333*G333*U333*AF333*[2]ステータス!$D$2,0)</f>
        <v>20800</v>
      </c>
      <c r="AM333" s="24">
        <f ca="1">VLOOKUP(M333,[2]character_tribe_i18n!$A:$I,9,FALSE)</f>
        <v>340</v>
      </c>
      <c r="AN333" s="36">
        <v>0</v>
      </c>
      <c r="AO333" s="53">
        <v>0</v>
      </c>
      <c r="AP333" s="58" t="s">
        <v>72</v>
      </c>
      <c r="AQ333" s="71">
        <f t="shared" ca="1" si="10"/>
        <v>332</v>
      </c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</row>
    <row r="334" spans="1:60" s="3" customFormat="1" ht="21" customHeight="1" x14ac:dyDescent="0.15">
      <c r="A334" s="7">
        <f t="shared" ca="1" si="11"/>
        <v>333</v>
      </c>
      <c r="B334" s="6" t="str">
        <f ca="1">VLOOKUP(A334,[2]characters!$A:$C,3,FALSE)</f>
        <v>炎のメタルチック</v>
      </c>
      <c r="C334" s="9">
        <f ca="1">VLOOKUP(A334,[2]characters!$A:$I,9,FALSE)</f>
        <v>4</v>
      </c>
      <c r="D334" s="9" t="str">
        <f ca="1">VLOOKUP(A334,[2]characters!$A:$H,8,FALSE)</f>
        <v>red</v>
      </c>
      <c r="E334" s="24">
        <f ca="1">VLOOKUP(D334,[2]属性!$A:$E,2,FALSE)</f>
        <v>1</v>
      </c>
      <c r="F334" s="24">
        <f ca="1">VLOOKUP(D334,[2]属性!$A:$E,3,FALSE)</f>
        <v>1.02</v>
      </c>
      <c r="G334" s="24">
        <f ca="1">VLOOKUP(D334,[2]属性!$A:$F,4,FALSE)</f>
        <v>1</v>
      </c>
      <c r="H334" s="9" t="str">
        <f ca="1">VLOOKUP(A334,[2]characters!$A:$K,11,FALSE)</f>
        <v>exp</v>
      </c>
      <c r="I334" s="14" t="str">
        <f ca="1">VLOOKUP(H334,[2]character_type_i18n!$A:$F,3,FALSE)</f>
        <v>強化素材タイプ</v>
      </c>
      <c r="J334" s="36">
        <f ca="1">VLOOKUP(H334,[2]character_type_i18n!$A:$F,4,FALSE)</f>
        <v>0.1</v>
      </c>
      <c r="K334" s="36">
        <f ca="1">VLOOKUP(H334,[2]character_type_i18n!$A:$F,5,FALSE)</f>
        <v>0.05</v>
      </c>
      <c r="L334" s="36">
        <f ca="1">VLOOKUP(H334,[2]character_type_i18n!$A:$F,6,FALSE)</f>
        <v>1</v>
      </c>
      <c r="M334" s="9" t="str">
        <f ca="1">VLOOKUP(A334,[2]characters!$A:$M,13,FALSE)</f>
        <v>unknown</v>
      </c>
      <c r="N334" s="14" t="str">
        <f ca="1">VLOOKUP(M334,[2]character_tribe_i18n!$A:$F,3,FALSE)</f>
        <v>Unknown</v>
      </c>
      <c r="O334" s="24">
        <f ca="1">VLOOKUP(M334,[2]character_tribe_i18n!$A:$F,4,FALSE)</f>
        <v>1</v>
      </c>
      <c r="P334" s="24">
        <f ca="1">VLOOKUP(M334,[2]character_tribe_i18n!$A:$F,5,FALSE)</f>
        <v>1</v>
      </c>
      <c r="Q334" s="24">
        <f ca="1">VLOOKUP(M334,[2]character_tribe_i18n!$A:$F,6,FALSE)</f>
        <v>1</v>
      </c>
      <c r="R334" s="25" t="s">
        <v>19</v>
      </c>
      <c r="S334" s="24">
        <f>VLOOKUP($R334,ラベル別係数!$A$1:$E$7,3,FALSE)</f>
        <v>1</v>
      </c>
      <c r="T334" s="24">
        <f>VLOOKUP($R334,ラベル別係数!$A$1:$E$7,4,FALSE)</f>
        <v>1</v>
      </c>
      <c r="U334" s="24">
        <f>VLOOKUP($R334,ラベル別係数!$A$1:$E$7,5,FALSE)</f>
        <v>1</v>
      </c>
      <c r="V334" s="27">
        <v>2</v>
      </c>
      <c r="W334" s="28">
        <f>VLOOKUP(V334,ターン数別攻撃係数!$A$1:$B$1000,2,FALSE)</f>
        <v>0.75</v>
      </c>
      <c r="X334" s="10">
        <v>15</v>
      </c>
      <c r="Y334" s="26">
        <f>VLOOKUP($X334,サイズ別係数!$B:$E,2,FALSE)</f>
        <v>1</v>
      </c>
      <c r="Z334" s="26">
        <f>VLOOKUP($X334,サイズ別係数!$B:$E,3,FALSE)</f>
        <v>1</v>
      </c>
      <c r="AA334" s="26">
        <f>VLOOKUP($X334,サイズ別係数!$B:$E,4,FALSE)</f>
        <v>1</v>
      </c>
      <c r="AB334" s="5">
        <v>0</v>
      </c>
      <c r="AC334" s="34" t="str">
        <f ca="1">VLOOKUP($AB334,OFFSET([3]enemy_skill_sets!$B$2,0,0,COUNTA([3]enemy_skill_sets!$A:$A),MATCH(AC$1,[3]enemy_skill_sets!$1:$1,0)-MATCH($AB$1,[3]enemy_skill_sets!$1:$1,0)+1),MATCH(AC$1,[3]enemy_skill_sets!$1:$1,0)-MATCH($AB$1,[3]enemy_skill_sets!$1:$1,0)+1,FALSE)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4" s="67">
        <v>0.3</v>
      </c>
      <c r="AE334" s="67">
        <v>1</v>
      </c>
      <c r="AF334" s="68">
        <v>3</v>
      </c>
      <c r="AG334" s="28">
        <f ca="1">ROUND(VLOOKUP(1,enemy_base_stats!$A:$F,2,FALSE) * Y334* J334*O334*E334*S334*AD334*[2]ステータス!$B$2,0)</f>
        <v>15</v>
      </c>
      <c r="AH334" s="28">
        <f ca="1">ROUND(VLOOKUP(1,enemy_base_stats!$A:$F,3,FALSE) * Z334*K334*P334*F334*T334*AE334 * W334*[2]ステータス!$C$2,0)</f>
        <v>6</v>
      </c>
      <c r="AI334" s="28">
        <f ca="1">ROUND(VLOOKUP(1,enemy_base_stats!$A:$F,4,FALSE) * AA334*L334*Q334*G334*U334*AF334*[2]ステータス!$D$2,0)</f>
        <v>3000</v>
      </c>
      <c r="AJ334" s="28">
        <f ca="1">ROUND(VLOOKUP(100,enemy_base_stats!$A:$F,2,FALSE) * Y334* J334*O334*E334*S334*AD334*[2]ステータス!$B$2,0)</f>
        <v>609</v>
      </c>
      <c r="AK334" s="28">
        <f ca="1">ROUND(VLOOKUP(100,enemy_base_stats!$A:$F,3,FALSE)* Z334* K334*P334*F334*T334*AE334 * W334*[2]ステータス!$C$2,0)</f>
        <v>233</v>
      </c>
      <c r="AL334" s="28">
        <f ca="1">ROUND(VLOOKUP(100,enemy_base_stats!$A:$F,4,FALSE)* AA334* L334*Q334*G334*U334*AF334*[2]ステータス!$D$2,0)</f>
        <v>62400</v>
      </c>
      <c r="AM334" s="24">
        <f ca="1">VLOOKUP(M334,[2]character_tribe_i18n!$A:$I,9,FALSE)</f>
        <v>340</v>
      </c>
      <c r="AN334" s="36">
        <v>0</v>
      </c>
      <c r="AO334" s="53">
        <v>0</v>
      </c>
      <c r="AP334" s="58" t="s">
        <v>72</v>
      </c>
      <c r="AQ334" s="71">
        <f t="shared" ca="1" si="10"/>
        <v>333</v>
      </c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</row>
    <row r="335" spans="1:60" s="3" customFormat="1" ht="21" customHeight="1" x14ac:dyDescent="0.15">
      <c r="A335" s="7">
        <f t="shared" ca="1" si="11"/>
        <v>334</v>
      </c>
      <c r="B335" s="6" t="str">
        <f ca="1">VLOOKUP(A335,[2]characters!$A:$C,3,FALSE)</f>
        <v>炎のメタルダック</v>
      </c>
      <c r="C335" s="9">
        <f ca="1">VLOOKUP(A335,[2]characters!$A:$I,9,FALSE)</f>
        <v>5</v>
      </c>
      <c r="D335" s="9" t="str">
        <f ca="1">VLOOKUP(A335,[2]characters!$A:$H,8,FALSE)</f>
        <v>red</v>
      </c>
      <c r="E335" s="24">
        <f ca="1">VLOOKUP(D335,[2]属性!$A:$E,2,FALSE)</f>
        <v>1</v>
      </c>
      <c r="F335" s="24">
        <f ca="1">VLOOKUP(D335,[2]属性!$A:$E,3,FALSE)</f>
        <v>1.02</v>
      </c>
      <c r="G335" s="24">
        <f ca="1">VLOOKUP(D335,[2]属性!$A:$F,4,FALSE)</f>
        <v>1</v>
      </c>
      <c r="H335" s="9" t="str">
        <f ca="1">VLOOKUP(A335,[2]characters!$A:$K,11,FALSE)</f>
        <v>exp</v>
      </c>
      <c r="I335" s="14" t="str">
        <f ca="1">VLOOKUP(H335,[2]character_type_i18n!$A:$F,3,FALSE)</f>
        <v>強化素材タイプ</v>
      </c>
      <c r="J335" s="36">
        <f ca="1">VLOOKUP(H335,[2]character_type_i18n!$A:$F,4,FALSE)</f>
        <v>0.1</v>
      </c>
      <c r="K335" s="36">
        <f ca="1">VLOOKUP(H335,[2]character_type_i18n!$A:$F,5,FALSE)</f>
        <v>0.05</v>
      </c>
      <c r="L335" s="36">
        <f ca="1">VLOOKUP(H335,[2]character_type_i18n!$A:$F,6,FALSE)</f>
        <v>1</v>
      </c>
      <c r="M335" s="9" t="str">
        <f ca="1">VLOOKUP(A335,[2]characters!$A:$M,13,FALSE)</f>
        <v>unknown</v>
      </c>
      <c r="N335" s="14" t="str">
        <f ca="1">VLOOKUP(M335,[2]character_tribe_i18n!$A:$F,3,FALSE)</f>
        <v>Unknown</v>
      </c>
      <c r="O335" s="24">
        <f ca="1">VLOOKUP(M335,[2]character_tribe_i18n!$A:$F,4,FALSE)</f>
        <v>1</v>
      </c>
      <c r="P335" s="24">
        <f ca="1">VLOOKUP(M335,[2]character_tribe_i18n!$A:$F,5,FALSE)</f>
        <v>1</v>
      </c>
      <c r="Q335" s="24">
        <f ca="1">VLOOKUP(M335,[2]character_tribe_i18n!$A:$F,6,FALSE)</f>
        <v>1</v>
      </c>
      <c r="R335" s="25" t="s">
        <v>19</v>
      </c>
      <c r="S335" s="24">
        <f>VLOOKUP($R335,ラベル別係数!$A$1:$E$7,3,FALSE)</f>
        <v>1</v>
      </c>
      <c r="T335" s="24">
        <f>VLOOKUP($R335,ラベル別係数!$A$1:$E$7,4,FALSE)</f>
        <v>1</v>
      </c>
      <c r="U335" s="24">
        <f>VLOOKUP($R335,ラベル別係数!$A$1:$E$7,5,FALSE)</f>
        <v>1</v>
      </c>
      <c r="V335" s="27">
        <v>3</v>
      </c>
      <c r="W335" s="28">
        <f>VLOOKUP(V335,ターン数別攻撃係数!$A$1:$B$1000,2,FALSE)</f>
        <v>1</v>
      </c>
      <c r="X335" s="10">
        <v>20</v>
      </c>
      <c r="Y335" s="26">
        <f>VLOOKUP($X335,サイズ別係数!$B:$E,2,FALSE)</f>
        <v>1.1000000000000001</v>
      </c>
      <c r="Z335" s="26">
        <f>VLOOKUP($X335,サイズ別係数!$B:$E,3,FALSE)</f>
        <v>1.2</v>
      </c>
      <c r="AA335" s="26">
        <f>VLOOKUP($X335,サイズ別係数!$B:$E,4,FALSE)</f>
        <v>1.2</v>
      </c>
      <c r="AB335" s="5">
        <v>0</v>
      </c>
      <c r="AC335" s="34" t="str">
        <f ca="1">VLOOKUP($AB335,OFFSET([3]enemy_skill_sets!$B$2,0,0,COUNTA([3]enemy_skill_sets!$A:$A),MATCH(AC$1,[3]enemy_skill_sets!$1:$1,0)-MATCH($AB$1,[3]enemy_skill_sets!$1:$1,0)+1),MATCH(AC$1,[3]enemy_skill_sets!$1:$1,0)-MATCH($AB$1,[3]enemy_skill_sets!$1:$1,0)+1,FALSE)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5" s="67">
        <v>0.35</v>
      </c>
      <c r="AE335" s="67">
        <v>1</v>
      </c>
      <c r="AF335" s="68">
        <v>8.3330000000000002</v>
      </c>
      <c r="AG335" s="28">
        <f ca="1">ROUND(VLOOKUP(1,enemy_base_stats!$A:$F,2,FALSE) * Y335* J335*O335*E335*S335*AD335*[2]ステータス!$B$2,0)</f>
        <v>19</v>
      </c>
      <c r="AH335" s="28">
        <f ca="1">ROUND(VLOOKUP(1,enemy_base_stats!$A:$F,3,FALSE) * Z335*K335*P335*F335*T335*AE335 * W335*[2]ステータス!$C$2,0)</f>
        <v>9</v>
      </c>
      <c r="AI335" s="28">
        <f ca="1">ROUND(VLOOKUP(1,enemy_base_stats!$A:$F,4,FALSE) * AA335*L335*Q335*G335*U335*AF335*[2]ステータス!$D$2,0)</f>
        <v>10000</v>
      </c>
      <c r="AJ335" s="28">
        <f ca="1">ROUND(VLOOKUP(100,enemy_base_stats!$A:$F,2,FALSE) * Y335* J335*O335*E335*S335*AD335*[2]ステータス!$B$2,0)</f>
        <v>782</v>
      </c>
      <c r="AK335" s="28">
        <f ca="1">ROUND(VLOOKUP(100,enemy_base_stats!$A:$F,3,FALSE)* Z335* K335*P335*F335*T335*AE335 * W335*[2]ステータス!$C$2,0)</f>
        <v>373</v>
      </c>
      <c r="AL335" s="28">
        <f ca="1">ROUND(VLOOKUP(100,enemy_base_stats!$A:$F,4,FALSE)* AA335* L335*Q335*G335*U335*AF335*[2]ステータス!$D$2,0)</f>
        <v>207992</v>
      </c>
      <c r="AM335" s="24">
        <f ca="1">VLOOKUP(M335,[2]character_tribe_i18n!$A:$I,9,FALSE)</f>
        <v>340</v>
      </c>
      <c r="AN335" s="36">
        <v>0</v>
      </c>
      <c r="AO335" s="53">
        <v>0</v>
      </c>
      <c r="AP335" s="58" t="s">
        <v>72</v>
      </c>
      <c r="AQ335" s="71">
        <f t="shared" ca="1" si="10"/>
        <v>334</v>
      </c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</row>
    <row r="336" spans="1:60" s="3" customFormat="1" ht="21" customHeight="1" x14ac:dyDescent="0.15">
      <c r="A336" s="7">
        <f t="shared" ca="1" si="11"/>
        <v>335</v>
      </c>
      <c r="B336" s="6" t="str">
        <f ca="1">VLOOKUP(A336,[2]characters!$A:$C,3,FALSE)</f>
        <v>炎のメタルジェントル</v>
      </c>
      <c r="C336" s="9">
        <f ca="1">VLOOKUP(A336,[2]characters!$A:$I,9,FALSE)</f>
        <v>6</v>
      </c>
      <c r="D336" s="9" t="str">
        <f ca="1">VLOOKUP(A336,[2]characters!$A:$H,8,FALSE)</f>
        <v>red</v>
      </c>
      <c r="E336" s="24">
        <f ca="1">VLOOKUP(D336,[2]属性!$A:$E,2,FALSE)</f>
        <v>1</v>
      </c>
      <c r="F336" s="24">
        <f ca="1">VLOOKUP(D336,[2]属性!$A:$E,3,FALSE)</f>
        <v>1.02</v>
      </c>
      <c r="G336" s="24">
        <f ca="1">VLOOKUP(D336,[2]属性!$A:$F,4,FALSE)</f>
        <v>1</v>
      </c>
      <c r="H336" s="9" t="str">
        <f ca="1">VLOOKUP(A336,[2]characters!$A:$K,11,FALSE)</f>
        <v>exp</v>
      </c>
      <c r="I336" s="14" t="str">
        <f ca="1">VLOOKUP(H336,[2]character_type_i18n!$A:$F,3,FALSE)</f>
        <v>強化素材タイプ</v>
      </c>
      <c r="J336" s="36">
        <f ca="1">VLOOKUP(H336,[2]character_type_i18n!$A:$F,4,FALSE)</f>
        <v>0.1</v>
      </c>
      <c r="K336" s="36">
        <f ca="1">VLOOKUP(H336,[2]character_type_i18n!$A:$F,5,FALSE)</f>
        <v>0.05</v>
      </c>
      <c r="L336" s="36">
        <f ca="1">VLOOKUP(H336,[2]character_type_i18n!$A:$F,6,FALSE)</f>
        <v>1</v>
      </c>
      <c r="M336" s="9" t="str">
        <f ca="1">VLOOKUP(A336,[2]characters!$A:$M,13,FALSE)</f>
        <v>unknown</v>
      </c>
      <c r="N336" s="14" t="str">
        <f ca="1">VLOOKUP(M336,[2]character_tribe_i18n!$A:$F,3,FALSE)</f>
        <v>Unknown</v>
      </c>
      <c r="O336" s="24">
        <f ca="1">VLOOKUP(M336,[2]character_tribe_i18n!$A:$F,4,FALSE)</f>
        <v>1</v>
      </c>
      <c r="P336" s="24">
        <f ca="1">VLOOKUP(M336,[2]character_tribe_i18n!$A:$F,5,FALSE)</f>
        <v>1</v>
      </c>
      <c r="Q336" s="24">
        <f ca="1">VLOOKUP(M336,[2]character_tribe_i18n!$A:$F,6,FALSE)</f>
        <v>1</v>
      </c>
      <c r="R336" s="25" t="s">
        <v>19</v>
      </c>
      <c r="S336" s="24">
        <f>VLOOKUP($R336,ラベル別係数!$A$1:$E$7,3,FALSE)</f>
        <v>1</v>
      </c>
      <c r="T336" s="24">
        <f>VLOOKUP($R336,ラベル別係数!$A$1:$E$7,4,FALSE)</f>
        <v>1</v>
      </c>
      <c r="U336" s="24">
        <f>VLOOKUP($R336,ラベル別係数!$A$1:$E$7,5,FALSE)</f>
        <v>1</v>
      </c>
      <c r="V336" s="27">
        <v>4</v>
      </c>
      <c r="W336" s="28">
        <f>VLOOKUP(V336,ターン数別攻撃係数!$A$1:$B$1000,2,FALSE)</f>
        <v>1.2</v>
      </c>
      <c r="X336" s="10">
        <v>20</v>
      </c>
      <c r="Y336" s="26">
        <f>VLOOKUP($X336,サイズ別係数!$B:$E,2,FALSE)</f>
        <v>1.1000000000000001</v>
      </c>
      <c r="Z336" s="26">
        <f>VLOOKUP($X336,サイズ別係数!$B:$E,3,FALSE)</f>
        <v>1.2</v>
      </c>
      <c r="AA336" s="26">
        <f>VLOOKUP($X336,サイズ別係数!$B:$E,4,FALSE)</f>
        <v>1.2</v>
      </c>
      <c r="AB336" s="5">
        <v>0</v>
      </c>
      <c r="AC336" s="34" t="str">
        <f ca="1">VLOOKUP($AB336,OFFSET([3]enemy_skill_sets!$B$2,0,0,COUNTA([3]enemy_skill_sets!$A:$A),MATCH(AC$1,[3]enemy_skill_sets!$1:$1,0)-MATCH($AB$1,[3]enemy_skill_sets!$1:$1,0)+1),MATCH(AC$1,[3]enemy_skill_sets!$1:$1,0)-MATCH($AB$1,[3]enemy_skill_sets!$1:$1,0)+1,FALSE)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6" s="67">
        <v>1</v>
      </c>
      <c r="AE336" s="67">
        <v>1</v>
      </c>
      <c r="AF336" s="68">
        <v>12.5</v>
      </c>
      <c r="AG336" s="28">
        <f ca="1">ROUND(VLOOKUP(1,enemy_base_stats!$A:$F,2,FALSE) * Y336* J336*O336*E336*S336*AD336*[2]ステータス!$B$2,0)</f>
        <v>55</v>
      </c>
      <c r="AH336" s="28">
        <f ca="1">ROUND(VLOOKUP(1,enemy_base_stats!$A:$F,3,FALSE) * Z336*K336*P336*F336*T336*AE336 * W336*[2]ステータス!$C$2,0)</f>
        <v>11</v>
      </c>
      <c r="AI336" s="28">
        <f ca="1">ROUND(VLOOKUP(1,enemy_base_stats!$A:$F,4,FALSE) * AA336*L336*Q336*G336*U336*AF336*[2]ステータス!$D$2,0)</f>
        <v>15000</v>
      </c>
      <c r="AJ336" s="28">
        <f ca="1">ROUND(VLOOKUP(100,enemy_base_stats!$A:$F,2,FALSE) * Y336* J336*O336*E336*S336*AD336*[2]ステータス!$B$2,0)</f>
        <v>2233</v>
      </c>
      <c r="AK336" s="28">
        <f ca="1">ROUND(VLOOKUP(100,enemy_base_stats!$A:$F,3,FALSE)* Z336* K336*P336*F336*T336*AE336 * W336*[2]ステータス!$C$2,0)</f>
        <v>447</v>
      </c>
      <c r="AL336" s="28">
        <f ca="1">ROUND(VLOOKUP(100,enemy_base_stats!$A:$F,4,FALSE)* AA336* L336*Q336*G336*U336*AF336*[2]ステータス!$D$2,0)</f>
        <v>312000</v>
      </c>
      <c r="AM336" s="24">
        <f ca="1">VLOOKUP(M336,[2]character_tribe_i18n!$A:$I,9,FALSE)</f>
        <v>340</v>
      </c>
      <c r="AN336" s="36">
        <v>0</v>
      </c>
      <c r="AO336" s="53">
        <v>0</v>
      </c>
      <c r="AP336" s="58" t="s">
        <v>72</v>
      </c>
      <c r="AQ336" s="71">
        <f t="shared" ca="1" si="10"/>
        <v>335</v>
      </c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8"/>
      <c r="BC336" s="18"/>
      <c r="BD336" s="18"/>
      <c r="BE336" s="18"/>
      <c r="BF336" s="18"/>
      <c r="BG336" s="18"/>
      <c r="BH336" s="18"/>
    </row>
    <row r="337" spans="1:60" s="3" customFormat="1" ht="21" customHeight="1" x14ac:dyDescent="0.15">
      <c r="A337" s="7">
        <f t="shared" ca="1" si="11"/>
        <v>336</v>
      </c>
      <c r="B337" s="6" t="str">
        <f ca="1">VLOOKUP(A337,[2]characters!$A:$C,3,FALSE)</f>
        <v>森のメタルピヨピヨ</v>
      </c>
      <c r="C337" s="9">
        <f ca="1">VLOOKUP(A337,[2]characters!$A:$I,9,FALSE)</f>
        <v>3</v>
      </c>
      <c r="D337" s="9" t="str">
        <f ca="1">VLOOKUP(A337,[2]characters!$A:$H,8,FALSE)</f>
        <v>green</v>
      </c>
      <c r="E337" s="24">
        <f ca="1">VLOOKUP(D337,[2]属性!$A:$E,2,FALSE)</f>
        <v>1.02</v>
      </c>
      <c r="F337" s="24">
        <f ca="1">VLOOKUP(D337,[2]属性!$A:$E,3,FALSE)</f>
        <v>0.98</v>
      </c>
      <c r="G337" s="24">
        <f ca="1">VLOOKUP(D337,[2]属性!$A:$F,4,FALSE)</f>
        <v>1</v>
      </c>
      <c r="H337" s="9" t="str">
        <f ca="1">VLOOKUP(A337,[2]characters!$A:$K,11,FALSE)</f>
        <v>exp</v>
      </c>
      <c r="I337" s="14" t="str">
        <f ca="1">VLOOKUP(H337,[2]character_type_i18n!$A:$F,3,FALSE)</f>
        <v>強化素材タイプ</v>
      </c>
      <c r="J337" s="36">
        <f ca="1">VLOOKUP(H337,[2]character_type_i18n!$A:$F,4,FALSE)</f>
        <v>0.1</v>
      </c>
      <c r="K337" s="36">
        <f ca="1">VLOOKUP(H337,[2]character_type_i18n!$A:$F,5,FALSE)</f>
        <v>0.05</v>
      </c>
      <c r="L337" s="36">
        <f ca="1">VLOOKUP(H337,[2]character_type_i18n!$A:$F,6,FALSE)</f>
        <v>1</v>
      </c>
      <c r="M337" s="9" t="str">
        <f ca="1">VLOOKUP(A337,[2]characters!$A:$M,13,FALSE)</f>
        <v>unknown</v>
      </c>
      <c r="N337" s="14" t="str">
        <f ca="1">VLOOKUP(M337,[2]character_tribe_i18n!$A:$F,3,FALSE)</f>
        <v>Unknown</v>
      </c>
      <c r="O337" s="24">
        <f ca="1">VLOOKUP(M337,[2]character_tribe_i18n!$A:$F,4,FALSE)</f>
        <v>1</v>
      </c>
      <c r="P337" s="24">
        <f ca="1">VLOOKUP(M337,[2]character_tribe_i18n!$A:$F,5,FALSE)</f>
        <v>1</v>
      </c>
      <c r="Q337" s="24">
        <f ca="1">VLOOKUP(M337,[2]character_tribe_i18n!$A:$F,6,FALSE)</f>
        <v>1</v>
      </c>
      <c r="R337" s="25" t="s">
        <v>19</v>
      </c>
      <c r="S337" s="24">
        <f>VLOOKUP($R337,ラベル別係数!$A$1:$E$7,3,FALSE)</f>
        <v>1</v>
      </c>
      <c r="T337" s="24">
        <f>VLOOKUP($R337,ラベル別係数!$A$1:$E$7,4,FALSE)</f>
        <v>1</v>
      </c>
      <c r="U337" s="24">
        <f>VLOOKUP($R337,ラベル別係数!$A$1:$E$7,5,FALSE)</f>
        <v>1</v>
      </c>
      <c r="V337" s="27">
        <v>1</v>
      </c>
      <c r="W337" s="28">
        <f>VLOOKUP(V337,ターン数別攻撃係数!$A$1:$B$1000,2,FALSE)</f>
        <v>0.55000000000000004</v>
      </c>
      <c r="X337" s="10">
        <v>15</v>
      </c>
      <c r="Y337" s="26">
        <f>VLOOKUP($X337,サイズ別係数!$B:$E,2,FALSE)</f>
        <v>1</v>
      </c>
      <c r="Z337" s="26">
        <f>VLOOKUP($X337,サイズ別係数!$B:$E,3,FALSE)</f>
        <v>1</v>
      </c>
      <c r="AA337" s="26">
        <f>VLOOKUP($X337,サイズ別係数!$B:$E,4,FALSE)</f>
        <v>1</v>
      </c>
      <c r="AB337" s="5">
        <v>0</v>
      </c>
      <c r="AC337" s="34" t="str">
        <f ca="1">VLOOKUP($AB337,OFFSET([3]enemy_skill_sets!$B$2,0,0,COUNTA([3]enemy_skill_sets!$A:$A),MATCH(AC$1,[3]enemy_skill_sets!$1:$1,0)-MATCH($AB$1,[3]enemy_skill_sets!$1:$1,0)+1),MATCH(AC$1,[3]enemy_skill_sets!$1:$1,0)-MATCH($AB$1,[3]enemy_skill_sets!$1:$1,0)+1,FALSE)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7" s="67">
        <v>0.15</v>
      </c>
      <c r="AE337" s="67">
        <v>1</v>
      </c>
      <c r="AF337" s="68">
        <v>1</v>
      </c>
      <c r="AG337" s="28">
        <f ca="1">ROUND(VLOOKUP(1,enemy_base_stats!$A:$F,2,FALSE) * Y337* J337*O337*E337*S337*AD337*[2]ステータス!$B$2,0)</f>
        <v>8</v>
      </c>
      <c r="AH337" s="28">
        <f ca="1">ROUND(VLOOKUP(1,enemy_base_stats!$A:$F,3,FALSE) * Z337*K337*P337*F337*T337*AE337 * W337*[2]ステータス!$C$2,0)</f>
        <v>4</v>
      </c>
      <c r="AI337" s="28">
        <f ca="1">ROUND(VLOOKUP(1,enemy_base_stats!$A:$F,4,FALSE) * AA337*L337*Q337*G337*U337*AF337*[2]ステータス!$D$2,0)</f>
        <v>1000</v>
      </c>
      <c r="AJ337" s="28">
        <f ca="1">ROUND(VLOOKUP(100,enemy_base_stats!$A:$F,2,FALSE) * Y337* J337*O337*E337*S337*AD337*[2]ステータス!$B$2,0)</f>
        <v>311</v>
      </c>
      <c r="AK337" s="28">
        <f ca="1">ROUND(VLOOKUP(100,enemy_base_stats!$A:$F,3,FALSE)* Z337* K337*P337*F337*T337*AE337 * W337*[2]ステータス!$C$2,0)</f>
        <v>164</v>
      </c>
      <c r="AL337" s="28">
        <f ca="1">ROUND(VLOOKUP(100,enemy_base_stats!$A:$F,4,FALSE)* AA337* L337*Q337*G337*U337*AF337*[2]ステータス!$D$2,0)</f>
        <v>20800</v>
      </c>
      <c r="AM337" s="24">
        <f ca="1">VLOOKUP(M337,[2]character_tribe_i18n!$A:$I,9,FALSE)</f>
        <v>340</v>
      </c>
      <c r="AN337" s="36">
        <v>0</v>
      </c>
      <c r="AO337" s="53">
        <v>0</v>
      </c>
      <c r="AP337" s="58" t="s">
        <v>72</v>
      </c>
      <c r="AQ337" s="71">
        <f t="shared" ca="1" si="10"/>
        <v>336</v>
      </c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</row>
    <row r="338" spans="1:60" s="3" customFormat="1" ht="21" customHeight="1" x14ac:dyDescent="0.15">
      <c r="A338" s="7">
        <f t="shared" ca="1" si="11"/>
        <v>337</v>
      </c>
      <c r="B338" s="6" t="str">
        <f ca="1">VLOOKUP(A338,[2]characters!$A:$C,3,FALSE)</f>
        <v>森のメタルチック</v>
      </c>
      <c r="C338" s="9">
        <f ca="1">VLOOKUP(A338,[2]characters!$A:$I,9,FALSE)</f>
        <v>4</v>
      </c>
      <c r="D338" s="9" t="str">
        <f ca="1">VLOOKUP(A338,[2]characters!$A:$H,8,FALSE)</f>
        <v>green</v>
      </c>
      <c r="E338" s="24">
        <f ca="1">VLOOKUP(D338,[2]属性!$A:$E,2,FALSE)</f>
        <v>1.02</v>
      </c>
      <c r="F338" s="24">
        <f ca="1">VLOOKUP(D338,[2]属性!$A:$E,3,FALSE)</f>
        <v>0.98</v>
      </c>
      <c r="G338" s="24">
        <f ca="1">VLOOKUP(D338,[2]属性!$A:$F,4,FALSE)</f>
        <v>1</v>
      </c>
      <c r="H338" s="9" t="str">
        <f ca="1">VLOOKUP(A338,[2]characters!$A:$K,11,FALSE)</f>
        <v>exp</v>
      </c>
      <c r="I338" s="14" t="str">
        <f ca="1">VLOOKUP(H338,[2]character_type_i18n!$A:$F,3,FALSE)</f>
        <v>強化素材タイプ</v>
      </c>
      <c r="J338" s="36">
        <f ca="1">VLOOKUP(H338,[2]character_type_i18n!$A:$F,4,FALSE)</f>
        <v>0.1</v>
      </c>
      <c r="K338" s="36">
        <f ca="1">VLOOKUP(H338,[2]character_type_i18n!$A:$F,5,FALSE)</f>
        <v>0.05</v>
      </c>
      <c r="L338" s="36">
        <f ca="1">VLOOKUP(H338,[2]character_type_i18n!$A:$F,6,FALSE)</f>
        <v>1</v>
      </c>
      <c r="M338" s="9" t="str">
        <f ca="1">VLOOKUP(A338,[2]characters!$A:$M,13,FALSE)</f>
        <v>unknown</v>
      </c>
      <c r="N338" s="14" t="str">
        <f ca="1">VLOOKUP(M338,[2]character_tribe_i18n!$A:$F,3,FALSE)</f>
        <v>Unknown</v>
      </c>
      <c r="O338" s="24">
        <f ca="1">VLOOKUP(M338,[2]character_tribe_i18n!$A:$F,4,FALSE)</f>
        <v>1</v>
      </c>
      <c r="P338" s="24">
        <f ca="1">VLOOKUP(M338,[2]character_tribe_i18n!$A:$F,5,FALSE)</f>
        <v>1</v>
      </c>
      <c r="Q338" s="24">
        <f ca="1">VLOOKUP(M338,[2]character_tribe_i18n!$A:$F,6,FALSE)</f>
        <v>1</v>
      </c>
      <c r="R338" s="25" t="s">
        <v>19</v>
      </c>
      <c r="S338" s="24">
        <f>VLOOKUP($R338,ラベル別係数!$A$1:$E$7,3,FALSE)</f>
        <v>1</v>
      </c>
      <c r="T338" s="24">
        <f>VLOOKUP($R338,ラベル別係数!$A$1:$E$7,4,FALSE)</f>
        <v>1</v>
      </c>
      <c r="U338" s="24">
        <f>VLOOKUP($R338,ラベル別係数!$A$1:$E$7,5,FALSE)</f>
        <v>1</v>
      </c>
      <c r="V338" s="27">
        <v>2</v>
      </c>
      <c r="W338" s="28">
        <f>VLOOKUP(V338,ターン数別攻撃係数!$A$1:$B$1000,2,FALSE)</f>
        <v>0.75</v>
      </c>
      <c r="X338" s="10">
        <v>15</v>
      </c>
      <c r="Y338" s="26">
        <f>VLOOKUP($X338,サイズ別係数!$B:$E,2,FALSE)</f>
        <v>1</v>
      </c>
      <c r="Z338" s="26">
        <f>VLOOKUP($X338,サイズ別係数!$B:$E,3,FALSE)</f>
        <v>1</v>
      </c>
      <c r="AA338" s="26">
        <f>VLOOKUP($X338,サイズ別係数!$B:$E,4,FALSE)</f>
        <v>1</v>
      </c>
      <c r="AB338" s="5">
        <v>0</v>
      </c>
      <c r="AC338" s="34" t="str">
        <f ca="1">VLOOKUP($AB338,OFFSET([3]enemy_skill_sets!$B$2,0,0,COUNTA([3]enemy_skill_sets!$A:$A),MATCH(AC$1,[3]enemy_skill_sets!$1:$1,0)-MATCH($AB$1,[3]enemy_skill_sets!$1:$1,0)+1),MATCH(AC$1,[3]enemy_skill_sets!$1:$1,0)-MATCH($AB$1,[3]enemy_skill_sets!$1:$1,0)+1,FALSE)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8" s="67">
        <v>0.3</v>
      </c>
      <c r="AE338" s="67">
        <v>1</v>
      </c>
      <c r="AF338" s="68">
        <v>3</v>
      </c>
      <c r="AG338" s="28">
        <f ca="1">ROUND(VLOOKUP(1,enemy_base_stats!$A:$F,2,FALSE) * Y338* J338*O338*E338*S338*AD338*[2]ステータス!$B$2,0)</f>
        <v>15</v>
      </c>
      <c r="AH338" s="28">
        <f ca="1">ROUND(VLOOKUP(1,enemy_base_stats!$A:$F,3,FALSE) * Z338*K338*P338*F338*T338*AE338 * W338*[2]ステータス!$C$2,0)</f>
        <v>6</v>
      </c>
      <c r="AI338" s="28">
        <f ca="1">ROUND(VLOOKUP(1,enemy_base_stats!$A:$F,4,FALSE) * AA338*L338*Q338*G338*U338*AF338*[2]ステータス!$D$2,0)</f>
        <v>3000</v>
      </c>
      <c r="AJ338" s="28">
        <f ca="1">ROUND(VLOOKUP(100,enemy_base_stats!$A:$F,2,FALSE) * Y338* J338*O338*E338*S338*AD338*[2]ステータス!$B$2,0)</f>
        <v>621</v>
      </c>
      <c r="AK338" s="28">
        <f ca="1">ROUND(VLOOKUP(100,enemy_base_stats!$A:$F,3,FALSE)* Z338* K338*P338*F338*T338*AE338 * W338*[2]ステータス!$C$2,0)</f>
        <v>224</v>
      </c>
      <c r="AL338" s="28">
        <f ca="1">ROUND(VLOOKUP(100,enemy_base_stats!$A:$F,4,FALSE)* AA338* L338*Q338*G338*U338*AF338*[2]ステータス!$D$2,0)</f>
        <v>62400</v>
      </c>
      <c r="AM338" s="24">
        <f ca="1">VLOOKUP(M338,[2]character_tribe_i18n!$A:$I,9,FALSE)</f>
        <v>340</v>
      </c>
      <c r="AN338" s="36">
        <v>0</v>
      </c>
      <c r="AO338" s="53">
        <v>0</v>
      </c>
      <c r="AP338" s="58" t="s">
        <v>72</v>
      </c>
      <c r="AQ338" s="71">
        <f t="shared" ca="1" si="10"/>
        <v>337</v>
      </c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</row>
    <row r="339" spans="1:60" s="3" customFormat="1" ht="21" customHeight="1" x14ac:dyDescent="0.15">
      <c r="A339" s="7">
        <f t="shared" ca="1" si="11"/>
        <v>338</v>
      </c>
      <c r="B339" s="6" t="str">
        <f ca="1">VLOOKUP(A339,[2]characters!$A:$C,3,FALSE)</f>
        <v>森のメタルダック</v>
      </c>
      <c r="C339" s="9">
        <f ca="1">VLOOKUP(A339,[2]characters!$A:$I,9,FALSE)</f>
        <v>5</v>
      </c>
      <c r="D339" s="9" t="str">
        <f ca="1">VLOOKUP(A339,[2]characters!$A:$H,8,FALSE)</f>
        <v>green</v>
      </c>
      <c r="E339" s="24">
        <f ca="1">VLOOKUP(D339,[2]属性!$A:$E,2,FALSE)</f>
        <v>1.02</v>
      </c>
      <c r="F339" s="24">
        <f ca="1">VLOOKUP(D339,[2]属性!$A:$E,3,FALSE)</f>
        <v>0.98</v>
      </c>
      <c r="G339" s="24">
        <f ca="1">VLOOKUP(D339,[2]属性!$A:$F,4,FALSE)</f>
        <v>1</v>
      </c>
      <c r="H339" s="9" t="str">
        <f ca="1">VLOOKUP(A339,[2]characters!$A:$K,11,FALSE)</f>
        <v>exp</v>
      </c>
      <c r="I339" s="14" t="str">
        <f ca="1">VLOOKUP(H339,[2]character_type_i18n!$A:$F,3,FALSE)</f>
        <v>強化素材タイプ</v>
      </c>
      <c r="J339" s="36">
        <f ca="1">VLOOKUP(H339,[2]character_type_i18n!$A:$F,4,FALSE)</f>
        <v>0.1</v>
      </c>
      <c r="K339" s="36">
        <f ca="1">VLOOKUP(H339,[2]character_type_i18n!$A:$F,5,FALSE)</f>
        <v>0.05</v>
      </c>
      <c r="L339" s="36">
        <f ca="1">VLOOKUP(H339,[2]character_type_i18n!$A:$F,6,FALSE)</f>
        <v>1</v>
      </c>
      <c r="M339" s="9" t="str">
        <f ca="1">VLOOKUP(A339,[2]characters!$A:$M,13,FALSE)</f>
        <v>unknown</v>
      </c>
      <c r="N339" s="14" t="str">
        <f ca="1">VLOOKUP(M339,[2]character_tribe_i18n!$A:$F,3,FALSE)</f>
        <v>Unknown</v>
      </c>
      <c r="O339" s="24">
        <f ca="1">VLOOKUP(M339,[2]character_tribe_i18n!$A:$F,4,FALSE)</f>
        <v>1</v>
      </c>
      <c r="P339" s="24">
        <f ca="1">VLOOKUP(M339,[2]character_tribe_i18n!$A:$F,5,FALSE)</f>
        <v>1</v>
      </c>
      <c r="Q339" s="24">
        <f ca="1">VLOOKUP(M339,[2]character_tribe_i18n!$A:$F,6,FALSE)</f>
        <v>1</v>
      </c>
      <c r="R339" s="25" t="s">
        <v>19</v>
      </c>
      <c r="S339" s="24">
        <f>VLOOKUP($R339,ラベル別係数!$A$1:$E$7,3,FALSE)</f>
        <v>1</v>
      </c>
      <c r="T339" s="24">
        <f>VLOOKUP($R339,ラベル別係数!$A$1:$E$7,4,FALSE)</f>
        <v>1</v>
      </c>
      <c r="U339" s="24">
        <f>VLOOKUP($R339,ラベル別係数!$A$1:$E$7,5,FALSE)</f>
        <v>1</v>
      </c>
      <c r="V339" s="27">
        <v>3</v>
      </c>
      <c r="W339" s="28">
        <f>VLOOKUP(V339,ターン数別攻撃係数!$A$1:$B$1000,2,FALSE)</f>
        <v>1</v>
      </c>
      <c r="X339" s="10">
        <v>20</v>
      </c>
      <c r="Y339" s="26">
        <f>VLOOKUP($X339,サイズ別係数!$B:$E,2,FALSE)</f>
        <v>1.1000000000000001</v>
      </c>
      <c r="Z339" s="26">
        <f>VLOOKUP($X339,サイズ別係数!$B:$E,3,FALSE)</f>
        <v>1.2</v>
      </c>
      <c r="AA339" s="26">
        <f>VLOOKUP($X339,サイズ別係数!$B:$E,4,FALSE)</f>
        <v>1.2</v>
      </c>
      <c r="AB339" s="5">
        <v>0</v>
      </c>
      <c r="AC339" s="34" t="str">
        <f ca="1">VLOOKUP($AB339,OFFSET([3]enemy_skill_sets!$B$2,0,0,COUNTA([3]enemy_skill_sets!$A:$A),MATCH(AC$1,[3]enemy_skill_sets!$1:$1,0)-MATCH($AB$1,[3]enemy_skill_sets!$1:$1,0)+1),MATCH(AC$1,[3]enemy_skill_sets!$1:$1,0)-MATCH($AB$1,[3]enemy_skill_sets!$1:$1,0)+1,FALSE)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39" s="67">
        <v>0.35</v>
      </c>
      <c r="AE339" s="67">
        <v>1</v>
      </c>
      <c r="AF339" s="68">
        <v>8.3330000000000002</v>
      </c>
      <c r="AG339" s="28">
        <f ca="1">ROUND(VLOOKUP(1,enemy_base_stats!$A:$F,2,FALSE) * Y339* J339*O339*E339*S339*AD339*[2]ステータス!$B$2,0)</f>
        <v>20</v>
      </c>
      <c r="AH339" s="28">
        <f ca="1">ROUND(VLOOKUP(1,enemy_base_stats!$A:$F,3,FALSE) * Z339*K339*P339*F339*T339*AE339 * W339*[2]ステータス!$C$2,0)</f>
        <v>9</v>
      </c>
      <c r="AI339" s="28">
        <f ca="1">ROUND(VLOOKUP(1,enemy_base_stats!$A:$F,4,FALSE) * AA339*L339*Q339*G339*U339*AF339*[2]ステータス!$D$2,0)</f>
        <v>10000</v>
      </c>
      <c r="AJ339" s="28">
        <f ca="1">ROUND(VLOOKUP(100,enemy_base_stats!$A:$F,2,FALSE) * Y339* J339*O339*E339*S339*AD339*[2]ステータス!$B$2,0)</f>
        <v>797</v>
      </c>
      <c r="AK339" s="28">
        <f ca="1">ROUND(VLOOKUP(100,enemy_base_stats!$A:$F,3,FALSE)* Z339* K339*P339*F339*T339*AE339 * W339*[2]ステータス!$C$2,0)</f>
        <v>358</v>
      </c>
      <c r="AL339" s="28">
        <f ca="1">ROUND(VLOOKUP(100,enemy_base_stats!$A:$F,4,FALSE)* AA339* L339*Q339*G339*U339*AF339*[2]ステータス!$D$2,0)</f>
        <v>207992</v>
      </c>
      <c r="AM339" s="24">
        <f ca="1">VLOOKUP(M339,[2]character_tribe_i18n!$A:$I,9,FALSE)</f>
        <v>340</v>
      </c>
      <c r="AN339" s="36">
        <v>0</v>
      </c>
      <c r="AO339" s="53">
        <v>0</v>
      </c>
      <c r="AP339" s="58" t="s">
        <v>72</v>
      </c>
      <c r="AQ339" s="71">
        <f t="shared" ca="1" si="10"/>
        <v>338</v>
      </c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</row>
    <row r="340" spans="1:60" s="3" customFormat="1" ht="21" customHeight="1" x14ac:dyDescent="0.15">
      <c r="A340" s="7">
        <f t="shared" ca="1" si="11"/>
        <v>339</v>
      </c>
      <c r="B340" s="6" t="str">
        <f ca="1">VLOOKUP(A340,[2]characters!$A:$C,3,FALSE)</f>
        <v>森のメタルジェントル</v>
      </c>
      <c r="C340" s="9">
        <f ca="1">VLOOKUP(A340,[2]characters!$A:$I,9,FALSE)</f>
        <v>6</v>
      </c>
      <c r="D340" s="9" t="str">
        <f ca="1">VLOOKUP(A340,[2]characters!$A:$H,8,FALSE)</f>
        <v>green</v>
      </c>
      <c r="E340" s="24">
        <f ca="1">VLOOKUP(D340,[2]属性!$A:$E,2,FALSE)</f>
        <v>1.02</v>
      </c>
      <c r="F340" s="24">
        <f ca="1">VLOOKUP(D340,[2]属性!$A:$E,3,FALSE)</f>
        <v>0.98</v>
      </c>
      <c r="G340" s="24">
        <f ca="1">VLOOKUP(D340,[2]属性!$A:$F,4,FALSE)</f>
        <v>1</v>
      </c>
      <c r="H340" s="9" t="str">
        <f ca="1">VLOOKUP(A340,[2]characters!$A:$K,11,FALSE)</f>
        <v>exp</v>
      </c>
      <c r="I340" s="14" t="str">
        <f ca="1">VLOOKUP(H340,[2]character_type_i18n!$A:$F,3,FALSE)</f>
        <v>強化素材タイプ</v>
      </c>
      <c r="J340" s="36">
        <f ca="1">VLOOKUP(H340,[2]character_type_i18n!$A:$F,4,FALSE)</f>
        <v>0.1</v>
      </c>
      <c r="K340" s="36">
        <f ca="1">VLOOKUP(H340,[2]character_type_i18n!$A:$F,5,FALSE)</f>
        <v>0.05</v>
      </c>
      <c r="L340" s="36">
        <f ca="1">VLOOKUP(H340,[2]character_type_i18n!$A:$F,6,FALSE)</f>
        <v>1</v>
      </c>
      <c r="M340" s="9" t="str">
        <f ca="1">VLOOKUP(A340,[2]characters!$A:$M,13,FALSE)</f>
        <v>unknown</v>
      </c>
      <c r="N340" s="14" t="str">
        <f ca="1">VLOOKUP(M340,[2]character_tribe_i18n!$A:$F,3,FALSE)</f>
        <v>Unknown</v>
      </c>
      <c r="O340" s="24">
        <f ca="1">VLOOKUP(M340,[2]character_tribe_i18n!$A:$F,4,FALSE)</f>
        <v>1</v>
      </c>
      <c r="P340" s="24">
        <f ca="1">VLOOKUP(M340,[2]character_tribe_i18n!$A:$F,5,FALSE)</f>
        <v>1</v>
      </c>
      <c r="Q340" s="24">
        <f ca="1">VLOOKUP(M340,[2]character_tribe_i18n!$A:$F,6,FALSE)</f>
        <v>1</v>
      </c>
      <c r="R340" s="25" t="s">
        <v>19</v>
      </c>
      <c r="S340" s="24">
        <f>VLOOKUP($R340,ラベル別係数!$A$1:$E$7,3,FALSE)</f>
        <v>1</v>
      </c>
      <c r="T340" s="24">
        <f>VLOOKUP($R340,ラベル別係数!$A$1:$E$7,4,FALSE)</f>
        <v>1</v>
      </c>
      <c r="U340" s="24">
        <f>VLOOKUP($R340,ラベル別係数!$A$1:$E$7,5,FALSE)</f>
        <v>1</v>
      </c>
      <c r="V340" s="27">
        <v>4</v>
      </c>
      <c r="W340" s="28">
        <f>VLOOKUP(V340,ターン数別攻撃係数!$A$1:$B$1000,2,FALSE)</f>
        <v>1.2</v>
      </c>
      <c r="X340" s="10">
        <v>20</v>
      </c>
      <c r="Y340" s="26">
        <f>VLOOKUP($X340,サイズ別係数!$B:$E,2,FALSE)</f>
        <v>1.1000000000000001</v>
      </c>
      <c r="Z340" s="26">
        <f>VLOOKUP($X340,サイズ別係数!$B:$E,3,FALSE)</f>
        <v>1.2</v>
      </c>
      <c r="AA340" s="26">
        <f>VLOOKUP($X340,サイズ別係数!$B:$E,4,FALSE)</f>
        <v>1.2</v>
      </c>
      <c r="AB340" s="5">
        <v>0</v>
      </c>
      <c r="AC340" s="34" t="str">
        <f ca="1">VLOOKUP($AB340,OFFSET([3]enemy_skill_sets!$B$2,0,0,COUNTA([3]enemy_skill_sets!$A:$A),MATCH(AC$1,[3]enemy_skill_sets!$1:$1,0)-MATCH($AB$1,[3]enemy_skill_sets!$1:$1,0)+1),MATCH(AC$1,[3]enemy_skill_sets!$1:$1,0)-MATCH($AB$1,[3]enemy_skill_sets!$1:$1,0)+1,FALSE)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0" s="67">
        <v>1</v>
      </c>
      <c r="AE340" s="67">
        <v>1</v>
      </c>
      <c r="AF340" s="68">
        <v>12.5</v>
      </c>
      <c r="AG340" s="28">
        <f ca="1">ROUND(VLOOKUP(1,enemy_base_stats!$A:$F,2,FALSE) * Y340* J340*O340*E340*S340*AD340*[2]ステータス!$B$2,0)</f>
        <v>56</v>
      </c>
      <c r="AH340" s="28">
        <f ca="1">ROUND(VLOOKUP(1,enemy_base_stats!$A:$F,3,FALSE) * Z340*K340*P340*F340*T340*AE340 * W340*[2]ステータス!$C$2,0)</f>
        <v>11</v>
      </c>
      <c r="AI340" s="28">
        <f ca="1">ROUND(VLOOKUP(1,enemy_base_stats!$A:$F,4,FALSE) * AA340*L340*Q340*G340*U340*AF340*[2]ステータス!$D$2,0)</f>
        <v>15000</v>
      </c>
      <c r="AJ340" s="28">
        <f ca="1">ROUND(VLOOKUP(100,enemy_base_stats!$A:$F,2,FALSE) * Y340* J340*O340*E340*S340*AD340*[2]ステータス!$B$2,0)</f>
        <v>2278</v>
      </c>
      <c r="AK340" s="28">
        <f ca="1">ROUND(VLOOKUP(100,enemy_base_stats!$A:$F,3,FALSE)* Z340* K340*P340*F340*T340*AE340 * W340*[2]ステータス!$C$2,0)</f>
        <v>430</v>
      </c>
      <c r="AL340" s="28">
        <f ca="1">ROUND(VLOOKUP(100,enemy_base_stats!$A:$F,4,FALSE)* AA340* L340*Q340*G340*U340*AF340*[2]ステータス!$D$2,0)</f>
        <v>312000</v>
      </c>
      <c r="AM340" s="24">
        <f ca="1">VLOOKUP(M340,[2]character_tribe_i18n!$A:$I,9,FALSE)</f>
        <v>340</v>
      </c>
      <c r="AN340" s="36">
        <v>0</v>
      </c>
      <c r="AO340" s="53">
        <v>0</v>
      </c>
      <c r="AP340" s="58" t="s">
        <v>72</v>
      </c>
      <c r="AQ340" s="71">
        <f t="shared" ca="1" si="10"/>
        <v>339</v>
      </c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</row>
    <row r="341" spans="1:60" s="3" customFormat="1" ht="21" customHeight="1" x14ac:dyDescent="0.15">
      <c r="A341" s="7">
        <f t="shared" ca="1" si="11"/>
        <v>340</v>
      </c>
      <c r="B341" s="6" t="str">
        <f ca="1">VLOOKUP(A341,[2]characters!$A:$C,3,FALSE)</f>
        <v>水のメタルピヨピヨ</v>
      </c>
      <c r="C341" s="9">
        <f ca="1">VLOOKUP(A341,[2]characters!$A:$I,9,FALSE)</f>
        <v>3</v>
      </c>
      <c r="D341" s="9" t="str">
        <f ca="1">VLOOKUP(A341,[2]characters!$A:$H,8,FALSE)</f>
        <v>blue</v>
      </c>
      <c r="E341" s="24">
        <f ca="1">VLOOKUP(D341,[2]属性!$A:$E,2,FALSE)</f>
        <v>1</v>
      </c>
      <c r="F341" s="24">
        <f ca="1">VLOOKUP(D341,[2]属性!$A:$E,3,FALSE)</f>
        <v>0.98</v>
      </c>
      <c r="G341" s="24">
        <f ca="1">VLOOKUP(D341,[2]属性!$A:$F,4,FALSE)</f>
        <v>1</v>
      </c>
      <c r="H341" s="9" t="str">
        <f ca="1">VLOOKUP(A341,[2]characters!$A:$K,11,FALSE)</f>
        <v>exp</v>
      </c>
      <c r="I341" s="14" t="str">
        <f ca="1">VLOOKUP(H341,[2]character_type_i18n!$A:$F,3,FALSE)</f>
        <v>強化素材タイプ</v>
      </c>
      <c r="J341" s="36">
        <f ca="1">VLOOKUP(H341,[2]character_type_i18n!$A:$F,4,FALSE)</f>
        <v>0.1</v>
      </c>
      <c r="K341" s="36">
        <f ca="1">VLOOKUP(H341,[2]character_type_i18n!$A:$F,5,FALSE)</f>
        <v>0.05</v>
      </c>
      <c r="L341" s="36">
        <f ca="1">VLOOKUP(H341,[2]character_type_i18n!$A:$F,6,FALSE)</f>
        <v>1</v>
      </c>
      <c r="M341" s="9" t="str">
        <f ca="1">VLOOKUP(A341,[2]characters!$A:$M,13,FALSE)</f>
        <v>unknown</v>
      </c>
      <c r="N341" s="14" t="str">
        <f ca="1">VLOOKUP(M341,[2]character_tribe_i18n!$A:$F,3,FALSE)</f>
        <v>Unknown</v>
      </c>
      <c r="O341" s="24">
        <f ca="1">VLOOKUP(M341,[2]character_tribe_i18n!$A:$F,4,FALSE)</f>
        <v>1</v>
      </c>
      <c r="P341" s="24">
        <f ca="1">VLOOKUP(M341,[2]character_tribe_i18n!$A:$F,5,FALSE)</f>
        <v>1</v>
      </c>
      <c r="Q341" s="24">
        <f ca="1">VLOOKUP(M341,[2]character_tribe_i18n!$A:$F,6,FALSE)</f>
        <v>1</v>
      </c>
      <c r="R341" s="25" t="s">
        <v>19</v>
      </c>
      <c r="S341" s="24">
        <f>VLOOKUP($R341,ラベル別係数!$A$1:$E$7,3,FALSE)</f>
        <v>1</v>
      </c>
      <c r="T341" s="24">
        <f>VLOOKUP($R341,ラベル別係数!$A$1:$E$7,4,FALSE)</f>
        <v>1</v>
      </c>
      <c r="U341" s="24">
        <f>VLOOKUP($R341,ラベル別係数!$A$1:$E$7,5,FALSE)</f>
        <v>1</v>
      </c>
      <c r="V341" s="27">
        <v>1</v>
      </c>
      <c r="W341" s="28">
        <f>VLOOKUP(V341,ターン数別攻撃係数!$A$1:$B$1000,2,FALSE)</f>
        <v>0.55000000000000004</v>
      </c>
      <c r="X341" s="10">
        <v>15</v>
      </c>
      <c r="Y341" s="26">
        <f>VLOOKUP($X341,サイズ別係数!$B:$E,2,FALSE)</f>
        <v>1</v>
      </c>
      <c r="Z341" s="26">
        <f>VLOOKUP($X341,サイズ別係数!$B:$E,3,FALSE)</f>
        <v>1</v>
      </c>
      <c r="AA341" s="26">
        <f>VLOOKUP($X341,サイズ別係数!$B:$E,4,FALSE)</f>
        <v>1</v>
      </c>
      <c r="AB341" s="5">
        <v>0</v>
      </c>
      <c r="AC341" s="34" t="str">
        <f ca="1">VLOOKUP($AB341,OFFSET([3]enemy_skill_sets!$B$2,0,0,COUNTA([3]enemy_skill_sets!$A:$A),MATCH(AC$1,[3]enemy_skill_sets!$1:$1,0)-MATCH($AB$1,[3]enemy_skill_sets!$1:$1,0)+1),MATCH(AC$1,[3]enemy_skill_sets!$1:$1,0)-MATCH($AB$1,[3]enemy_skill_sets!$1:$1,0)+1,FALSE)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1" s="67">
        <v>0.15</v>
      </c>
      <c r="AE341" s="67">
        <v>1</v>
      </c>
      <c r="AF341" s="68">
        <v>1</v>
      </c>
      <c r="AG341" s="28">
        <f ca="1">ROUND(VLOOKUP(1,enemy_base_stats!$A:$F,2,FALSE) * Y341* J341*O341*E341*S341*AD341*[2]ステータス!$B$2,0)</f>
        <v>8</v>
      </c>
      <c r="AH341" s="28">
        <f ca="1">ROUND(VLOOKUP(1,enemy_base_stats!$A:$F,3,FALSE) * Z341*K341*P341*F341*T341*AE341 * W341*[2]ステータス!$C$2,0)</f>
        <v>4</v>
      </c>
      <c r="AI341" s="28">
        <f ca="1">ROUND(VLOOKUP(1,enemy_base_stats!$A:$F,4,FALSE) * AA341*L341*Q341*G341*U341*AF341*[2]ステータス!$D$2,0)</f>
        <v>1000</v>
      </c>
      <c r="AJ341" s="28">
        <f ca="1">ROUND(VLOOKUP(100,enemy_base_stats!$A:$F,2,FALSE) * Y341* J341*O341*E341*S341*AD341*[2]ステータス!$B$2,0)</f>
        <v>305</v>
      </c>
      <c r="AK341" s="28">
        <f ca="1">ROUND(VLOOKUP(100,enemy_base_stats!$A:$F,3,FALSE)* Z341* K341*P341*F341*T341*AE341 * W341*[2]ステータス!$C$2,0)</f>
        <v>164</v>
      </c>
      <c r="AL341" s="28">
        <f ca="1">ROUND(VLOOKUP(100,enemy_base_stats!$A:$F,4,FALSE)* AA341* L341*Q341*G341*U341*AF341*[2]ステータス!$D$2,0)</f>
        <v>20800</v>
      </c>
      <c r="AM341" s="24">
        <f ca="1">VLOOKUP(M341,[2]character_tribe_i18n!$A:$I,9,FALSE)</f>
        <v>340</v>
      </c>
      <c r="AN341" s="36">
        <v>0</v>
      </c>
      <c r="AO341" s="53">
        <v>0</v>
      </c>
      <c r="AP341" s="58" t="s">
        <v>72</v>
      </c>
      <c r="AQ341" s="71">
        <f t="shared" ca="1" si="10"/>
        <v>340</v>
      </c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8"/>
      <c r="BC341" s="18"/>
      <c r="BD341" s="18"/>
      <c r="BE341" s="18"/>
      <c r="BF341" s="18"/>
      <c r="BG341" s="18"/>
      <c r="BH341" s="18"/>
    </row>
    <row r="342" spans="1:60" s="3" customFormat="1" ht="21" customHeight="1" x14ac:dyDescent="0.15">
      <c r="A342" s="7">
        <f t="shared" ca="1" si="11"/>
        <v>341</v>
      </c>
      <c r="B342" s="6" t="str">
        <f ca="1">VLOOKUP(A342,[2]characters!$A:$C,3,FALSE)</f>
        <v>水のメタルチック</v>
      </c>
      <c r="C342" s="9">
        <f ca="1">VLOOKUP(A342,[2]characters!$A:$I,9,FALSE)</f>
        <v>4</v>
      </c>
      <c r="D342" s="9" t="str">
        <f ca="1">VLOOKUP(A342,[2]characters!$A:$H,8,FALSE)</f>
        <v>blue</v>
      </c>
      <c r="E342" s="24">
        <f ca="1">VLOOKUP(D342,[2]属性!$A:$E,2,FALSE)</f>
        <v>1</v>
      </c>
      <c r="F342" s="24">
        <f ca="1">VLOOKUP(D342,[2]属性!$A:$E,3,FALSE)</f>
        <v>0.98</v>
      </c>
      <c r="G342" s="24">
        <f ca="1">VLOOKUP(D342,[2]属性!$A:$F,4,FALSE)</f>
        <v>1</v>
      </c>
      <c r="H342" s="9" t="str">
        <f ca="1">VLOOKUP(A342,[2]characters!$A:$K,11,FALSE)</f>
        <v>exp</v>
      </c>
      <c r="I342" s="14" t="str">
        <f ca="1">VLOOKUP(H342,[2]character_type_i18n!$A:$F,3,FALSE)</f>
        <v>強化素材タイプ</v>
      </c>
      <c r="J342" s="36">
        <f ca="1">VLOOKUP(H342,[2]character_type_i18n!$A:$F,4,FALSE)</f>
        <v>0.1</v>
      </c>
      <c r="K342" s="36">
        <f ca="1">VLOOKUP(H342,[2]character_type_i18n!$A:$F,5,FALSE)</f>
        <v>0.05</v>
      </c>
      <c r="L342" s="36">
        <f ca="1">VLOOKUP(H342,[2]character_type_i18n!$A:$F,6,FALSE)</f>
        <v>1</v>
      </c>
      <c r="M342" s="9" t="str">
        <f ca="1">VLOOKUP(A342,[2]characters!$A:$M,13,FALSE)</f>
        <v>unknown</v>
      </c>
      <c r="N342" s="14" t="str">
        <f ca="1">VLOOKUP(M342,[2]character_tribe_i18n!$A:$F,3,FALSE)</f>
        <v>Unknown</v>
      </c>
      <c r="O342" s="24">
        <f ca="1">VLOOKUP(M342,[2]character_tribe_i18n!$A:$F,4,FALSE)</f>
        <v>1</v>
      </c>
      <c r="P342" s="24">
        <f ca="1">VLOOKUP(M342,[2]character_tribe_i18n!$A:$F,5,FALSE)</f>
        <v>1</v>
      </c>
      <c r="Q342" s="24">
        <f ca="1">VLOOKUP(M342,[2]character_tribe_i18n!$A:$F,6,FALSE)</f>
        <v>1</v>
      </c>
      <c r="R342" s="25" t="s">
        <v>19</v>
      </c>
      <c r="S342" s="24">
        <f>VLOOKUP($R342,ラベル別係数!$A$1:$E$7,3,FALSE)</f>
        <v>1</v>
      </c>
      <c r="T342" s="24">
        <f>VLOOKUP($R342,ラベル別係数!$A$1:$E$7,4,FALSE)</f>
        <v>1</v>
      </c>
      <c r="U342" s="24">
        <f>VLOOKUP($R342,ラベル別係数!$A$1:$E$7,5,FALSE)</f>
        <v>1</v>
      </c>
      <c r="V342" s="27">
        <v>2</v>
      </c>
      <c r="W342" s="28">
        <f>VLOOKUP(V342,ターン数別攻撃係数!$A$1:$B$1000,2,FALSE)</f>
        <v>0.75</v>
      </c>
      <c r="X342" s="10">
        <v>15</v>
      </c>
      <c r="Y342" s="26">
        <f>VLOOKUP($X342,サイズ別係数!$B:$E,2,FALSE)</f>
        <v>1</v>
      </c>
      <c r="Z342" s="26">
        <f>VLOOKUP($X342,サイズ別係数!$B:$E,3,FALSE)</f>
        <v>1</v>
      </c>
      <c r="AA342" s="26">
        <f>VLOOKUP($X342,サイズ別係数!$B:$E,4,FALSE)</f>
        <v>1</v>
      </c>
      <c r="AB342" s="5">
        <v>0</v>
      </c>
      <c r="AC342" s="34" t="str">
        <f ca="1">VLOOKUP($AB342,OFFSET([3]enemy_skill_sets!$B$2,0,0,COUNTA([3]enemy_skill_sets!$A:$A),MATCH(AC$1,[3]enemy_skill_sets!$1:$1,0)-MATCH($AB$1,[3]enemy_skill_sets!$1:$1,0)+1),MATCH(AC$1,[3]enemy_skill_sets!$1:$1,0)-MATCH($AB$1,[3]enemy_skill_sets!$1:$1,0)+1,FALSE)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2" s="67">
        <v>0.2</v>
      </c>
      <c r="AE342" s="67">
        <v>1</v>
      </c>
      <c r="AF342" s="68">
        <v>3</v>
      </c>
      <c r="AG342" s="28">
        <f ca="1">ROUND(VLOOKUP(1,enemy_base_stats!$A:$F,2,FALSE) * Y342* J342*O342*E342*S342*AD342*[2]ステータス!$B$2,0)</f>
        <v>10</v>
      </c>
      <c r="AH342" s="28">
        <f ca="1">ROUND(VLOOKUP(1,enemy_base_stats!$A:$F,3,FALSE) * Z342*K342*P342*F342*T342*AE342 * W342*[2]ステータス!$C$2,0)</f>
        <v>6</v>
      </c>
      <c r="AI342" s="28">
        <f ca="1">ROUND(VLOOKUP(1,enemy_base_stats!$A:$F,4,FALSE) * AA342*L342*Q342*G342*U342*AF342*[2]ステータス!$D$2,0)</f>
        <v>3000</v>
      </c>
      <c r="AJ342" s="28">
        <f ca="1">ROUND(VLOOKUP(100,enemy_base_stats!$A:$F,2,FALSE) * Y342* J342*O342*E342*S342*AD342*[2]ステータス!$B$2,0)</f>
        <v>406</v>
      </c>
      <c r="AK342" s="28">
        <f ca="1">ROUND(VLOOKUP(100,enemy_base_stats!$A:$F,3,FALSE)* Z342* K342*P342*F342*T342*AE342 * W342*[2]ステータス!$C$2,0)</f>
        <v>224</v>
      </c>
      <c r="AL342" s="28">
        <f ca="1">ROUND(VLOOKUP(100,enemy_base_stats!$A:$F,4,FALSE)* AA342* L342*Q342*G342*U342*AF342*[2]ステータス!$D$2,0)</f>
        <v>62400</v>
      </c>
      <c r="AM342" s="24">
        <f ca="1">VLOOKUP(M342,[2]character_tribe_i18n!$A:$I,9,FALSE)</f>
        <v>340</v>
      </c>
      <c r="AN342" s="36">
        <v>0</v>
      </c>
      <c r="AO342" s="53">
        <v>0</v>
      </c>
      <c r="AP342" s="58" t="s">
        <v>72</v>
      </c>
      <c r="AQ342" s="71">
        <f t="shared" ca="1" si="10"/>
        <v>341</v>
      </c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</row>
    <row r="343" spans="1:60" s="3" customFormat="1" ht="21" customHeight="1" x14ac:dyDescent="0.15">
      <c r="A343" s="7">
        <f t="shared" ca="1" si="11"/>
        <v>342</v>
      </c>
      <c r="B343" s="6" t="str">
        <f ca="1">VLOOKUP(A343,[2]characters!$A:$C,3,FALSE)</f>
        <v>水のメタルダック</v>
      </c>
      <c r="C343" s="9">
        <f ca="1">VLOOKUP(A343,[2]characters!$A:$I,9,FALSE)</f>
        <v>5</v>
      </c>
      <c r="D343" s="9" t="str">
        <f ca="1">VLOOKUP(A343,[2]characters!$A:$H,8,FALSE)</f>
        <v>blue</v>
      </c>
      <c r="E343" s="24">
        <f ca="1">VLOOKUP(D343,[2]属性!$A:$E,2,FALSE)</f>
        <v>1</v>
      </c>
      <c r="F343" s="24">
        <f ca="1">VLOOKUP(D343,[2]属性!$A:$E,3,FALSE)</f>
        <v>0.98</v>
      </c>
      <c r="G343" s="24">
        <f ca="1">VLOOKUP(D343,[2]属性!$A:$F,4,FALSE)</f>
        <v>1</v>
      </c>
      <c r="H343" s="9" t="str">
        <f ca="1">VLOOKUP(A343,[2]characters!$A:$K,11,FALSE)</f>
        <v>exp</v>
      </c>
      <c r="I343" s="14" t="str">
        <f ca="1">VLOOKUP(H343,[2]character_type_i18n!$A:$F,3,FALSE)</f>
        <v>強化素材タイプ</v>
      </c>
      <c r="J343" s="36">
        <f ca="1">VLOOKUP(H343,[2]character_type_i18n!$A:$F,4,FALSE)</f>
        <v>0.1</v>
      </c>
      <c r="K343" s="36">
        <f ca="1">VLOOKUP(H343,[2]character_type_i18n!$A:$F,5,FALSE)</f>
        <v>0.05</v>
      </c>
      <c r="L343" s="36">
        <f ca="1">VLOOKUP(H343,[2]character_type_i18n!$A:$F,6,FALSE)</f>
        <v>1</v>
      </c>
      <c r="M343" s="9" t="str">
        <f ca="1">VLOOKUP(A343,[2]characters!$A:$M,13,FALSE)</f>
        <v>unknown</v>
      </c>
      <c r="N343" s="14" t="str">
        <f ca="1">VLOOKUP(M343,[2]character_tribe_i18n!$A:$F,3,FALSE)</f>
        <v>Unknown</v>
      </c>
      <c r="O343" s="24">
        <f ca="1">VLOOKUP(M343,[2]character_tribe_i18n!$A:$F,4,FALSE)</f>
        <v>1</v>
      </c>
      <c r="P343" s="24">
        <f ca="1">VLOOKUP(M343,[2]character_tribe_i18n!$A:$F,5,FALSE)</f>
        <v>1</v>
      </c>
      <c r="Q343" s="24">
        <f ca="1">VLOOKUP(M343,[2]character_tribe_i18n!$A:$F,6,FALSE)</f>
        <v>1</v>
      </c>
      <c r="R343" s="25" t="s">
        <v>19</v>
      </c>
      <c r="S343" s="24">
        <f>VLOOKUP($R343,ラベル別係数!$A$1:$E$7,3,FALSE)</f>
        <v>1</v>
      </c>
      <c r="T343" s="24">
        <f>VLOOKUP($R343,ラベル別係数!$A$1:$E$7,4,FALSE)</f>
        <v>1</v>
      </c>
      <c r="U343" s="24">
        <f>VLOOKUP($R343,ラベル別係数!$A$1:$E$7,5,FALSE)</f>
        <v>1</v>
      </c>
      <c r="V343" s="27">
        <v>3</v>
      </c>
      <c r="W343" s="28">
        <f>VLOOKUP(V343,ターン数別攻撃係数!$A$1:$B$1000,2,FALSE)</f>
        <v>1</v>
      </c>
      <c r="X343" s="10">
        <v>20</v>
      </c>
      <c r="Y343" s="26">
        <f>VLOOKUP($X343,サイズ別係数!$B:$E,2,FALSE)</f>
        <v>1.1000000000000001</v>
      </c>
      <c r="Z343" s="26">
        <f>VLOOKUP($X343,サイズ別係数!$B:$E,3,FALSE)</f>
        <v>1.2</v>
      </c>
      <c r="AA343" s="26">
        <f>VLOOKUP($X343,サイズ別係数!$B:$E,4,FALSE)</f>
        <v>1.2</v>
      </c>
      <c r="AB343" s="5">
        <v>0</v>
      </c>
      <c r="AC343" s="34" t="str">
        <f ca="1">VLOOKUP($AB343,OFFSET([3]enemy_skill_sets!$B$2,0,0,COUNTA([3]enemy_skill_sets!$A:$A),MATCH(AC$1,[3]enemy_skill_sets!$1:$1,0)-MATCH($AB$1,[3]enemy_skill_sets!$1:$1,0)+1),MATCH(AC$1,[3]enemy_skill_sets!$1:$1,0)-MATCH($AB$1,[3]enemy_skill_sets!$1:$1,0)+1,FALSE)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3" s="67">
        <v>0.35</v>
      </c>
      <c r="AE343" s="67">
        <v>1</v>
      </c>
      <c r="AF343" s="68">
        <v>8.3330000000000002</v>
      </c>
      <c r="AG343" s="28">
        <f ca="1">ROUND(VLOOKUP(1,enemy_base_stats!$A:$F,2,FALSE) * Y343* J343*O343*E343*S343*AD343*[2]ステータス!$B$2,0)</f>
        <v>19</v>
      </c>
      <c r="AH343" s="28">
        <f ca="1">ROUND(VLOOKUP(1,enemy_base_stats!$A:$F,3,FALSE) * Z343*K343*P343*F343*T343*AE343 * W343*[2]ステータス!$C$2,0)</f>
        <v>9</v>
      </c>
      <c r="AI343" s="28">
        <f ca="1">ROUND(VLOOKUP(1,enemy_base_stats!$A:$F,4,FALSE) * AA343*L343*Q343*G343*U343*AF343*[2]ステータス!$D$2,0)</f>
        <v>10000</v>
      </c>
      <c r="AJ343" s="28">
        <f ca="1">ROUND(VLOOKUP(100,enemy_base_stats!$A:$F,2,FALSE) * Y343* J343*O343*E343*S343*AD343*[2]ステータス!$B$2,0)</f>
        <v>782</v>
      </c>
      <c r="AK343" s="28">
        <f ca="1">ROUND(VLOOKUP(100,enemy_base_stats!$A:$F,3,FALSE)* Z343* K343*P343*F343*T343*AE343 * W343*[2]ステータス!$C$2,0)</f>
        <v>358</v>
      </c>
      <c r="AL343" s="28">
        <f ca="1">ROUND(VLOOKUP(100,enemy_base_stats!$A:$F,4,FALSE)* AA343* L343*Q343*G343*U343*AF343*[2]ステータス!$D$2,0)</f>
        <v>207992</v>
      </c>
      <c r="AM343" s="24">
        <f ca="1">VLOOKUP(M343,[2]character_tribe_i18n!$A:$I,9,FALSE)</f>
        <v>340</v>
      </c>
      <c r="AN343" s="36">
        <v>0</v>
      </c>
      <c r="AO343" s="53">
        <v>0</v>
      </c>
      <c r="AP343" s="58" t="s">
        <v>72</v>
      </c>
      <c r="AQ343" s="71">
        <f t="shared" ca="1" si="10"/>
        <v>342</v>
      </c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8"/>
      <c r="BC343" s="18"/>
      <c r="BD343" s="18"/>
      <c r="BE343" s="18"/>
      <c r="BF343" s="18"/>
      <c r="BG343" s="18"/>
      <c r="BH343" s="18"/>
    </row>
    <row r="344" spans="1:60" s="3" customFormat="1" ht="21" customHeight="1" x14ac:dyDescent="0.15">
      <c r="A344" s="7">
        <f t="shared" ca="1" si="11"/>
        <v>343</v>
      </c>
      <c r="B344" s="6" t="str">
        <f ca="1">VLOOKUP(A344,[2]characters!$A:$C,3,FALSE)</f>
        <v>水のメタルジェントル</v>
      </c>
      <c r="C344" s="9">
        <f ca="1">VLOOKUP(A344,[2]characters!$A:$I,9,FALSE)</f>
        <v>6</v>
      </c>
      <c r="D344" s="9" t="str">
        <f ca="1">VLOOKUP(A344,[2]characters!$A:$H,8,FALSE)</f>
        <v>blue</v>
      </c>
      <c r="E344" s="24">
        <f ca="1">VLOOKUP(D344,[2]属性!$A:$E,2,FALSE)</f>
        <v>1</v>
      </c>
      <c r="F344" s="24">
        <f ca="1">VLOOKUP(D344,[2]属性!$A:$E,3,FALSE)</f>
        <v>0.98</v>
      </c>
      <c r="G344" s="24">
        <f ca="1">VLOOKUP(D344,[2]属性!$A:$F,4,FALSE)</f>
        <v>1</v>
      </c>
      <c r="H344" s="9" t="str">
        <f ca="1">VLOOKUP(A344,[2]characters!$A:$K,11,FALSE)</f>
        <v>exp</v>
      </c>
      <c r="I344" s="14" t="str">
        <f ca="1">VLOOKUP(H344,[2]character_type_i18n!$A:$F,3,FALSE)</f>
        <v>強化素材タイプ</v>
      </c>
      <c r="J344" s="36">
        <f ca="1">VLOOKUP(H344,[2]character_type_i18n!$A:$F,4,FALSE)</f>
        <v>0.1</v>
      </c>
      <c r="K344" s="36">
        <f ca="1">VLOOKUP(H344,[2]character_type_i18n!$A:$F,5,FALSE)</f>
        <v>0.05</v>
      </c>
      <c r="L344" s="36">
        <f ca="1">VLOOKUP(H344,[2]character_type_i18n!$A:$F,6,FALSE)</f>
        <v>1</v>
      </c>
      <c r="M344" s="9" t="str">
        <f ca="1">VLOOKUP(A344,[2]characters!$A:$M,13,FALSE)</f>
        <v>unknown</v>
      </c>
      <c r="N344" s="14" t="str">
        <f ca="1">VLOOKUP(M344,[2]character_tribe_i18n!$A:$F,3,FALSE)</f>
        <v>Unknown</v>
      </c>
      <c r="O344" s="24">
        <f ca="1">VLOOKUP(M344,[2]character_tribe_i18n!$A:$F,4,FALSE)</f>
        <v>1</v>
      </c>
      <c r="P344" s="24">
        <f ca="1">VLOOKUP(M344,[2]character_tribe_i18n!$A:$F,5,FALSE)</f>
        <v>1</v>
      </c>
      <c r="Q344" s="24">
        <f ca="1">VLOOKUP(M344,[2]character_tribe_i18n!$A:$F,6,FALSE)</f>
        <v>1</v>
      </c>
      <c r="R344" s="25" t="s">
        <v>19</v>
      </c>
      <c r="S344" s="24">
        <f>VLOOKUP($R344,ラベル別係数!$A$1:$E$7,3,FALSE)</f>
        <v>1</v>
      </c>
      <c r="T344" s="24">
        <f>VLOOKUP($R344,ラベル別係数!$A$1:$E$7,4,FALSE)</f>
        <v>1</v>
      </c>
      <c r="U344" s="24">
        <f>VLOOKUP($R344,ラベル別係数!$A$1:$E$7,5,FALSE)</f>
        <v>1</v>
      </c>
      <c r="V344" s="27">
        <v>4</v>
      </c>
      <c r="W344" s="28">
        <f>VLOOKUP(V344,ターン数別攻撃係数!$A$1:$B$1000,2,FALSE)</f>
        <v>1.2</v>
      </c>
      <c r="X344" s="10">
        <v>20</v>
      </c>
      <c r="Y344" s="26">
        <f>VLOOKUP($X344,サイズ別係数!$B:$E,2,FALSE)</f>
        <v>1.1000000000000001</v>
      </c>
      <c r="Z344" s="26">
        <f>VLOOKUP($X344,サイズ別係数!$B:$E,3,FALSE)</f>
        <v>1.2</v>
      </c>
      <c r="AA344" s="26">
        <f>VLOOKUP($X344,サイズ別係数!$B:$E,4,FALSE)</f>
        <v>1.2</v>
      </c>
      <c r="AB344" s="5">
        <v>0</v>
      </c>
      <c r="AC344" s="34" t="str">
        <f ca="1">VLOOKUP($AB344,OFFSET([3]enemy_skill_sets!$B$2,0,0,COUNTA([3]enemy_skill_sets!$A:$A),MATCH(AC$1,[3]enemy_skill_sets!$1:$1,0)-MATCH($AB$1,[3]enemy_skill_sets!$1:$1,0)+1),MATCH(AC$1,[3]enemy_skill_sets!$1:$1,0)-MATCH($AB$1,[3]enemy_skill_sets!$1:$1,0)+1,FALSE)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4" s="67">
        <v>1</v>
      </c>
      <c r="AE344" s="67">
        <v>1</v>
      </c>
      <c r="AF344" s="68">
        <v>12.5</v>
      </c>
      <c r="AG344" s="28">
        <f ca="1">ROUND(VLOOKUP(1,enemy_base_stats!$A:$F,2,FALSE) * Y344* J344*O344*E344*S344*AD344*[2]ステータス!$B$2,0)</f>
        <v>55</v>
      </c>
      <c r="AH344" s="28">
        <f ca="1">ROUND(VLOOKUP(1,enemy_base_stats!$A:$F,3,FALSE) * Z344*K344*P344*F344*T344*AE344 * W344*[2]ステータス!$C$2,0)</f>
        <v>11</v>
      </c>
      <c r="AI344" s="28">
        <f ca="1">ROUND(VLOOKUP(1,enemy_base_stats!$A:$F,4,FALSE) * AA344*L344*Q344*G344*U344*AF344*[2]ステータス!$D$2,0)</f>
        <v>15000</v>
      </c>
      <c r="AJ344" s="28">
        <f ca="1">ROUND(VLOOKUP(100,enemy_base_stats!$A:$F,2,FALSE) * Y344* J344*O344*E344*S344*AD344*[2]ステータス!$B$2,0)</f>
        <v>2233</v>
      </c>
      <c r="AK344" s="28">
        <f ca="1">ROUND(VLOOKUP(100,enemy_base_stats!$A:$F,3,FALSE)* Z344* K344*P344*F344*T344*AE344 * W344*[2]ステータス!$C$2,0)</f>
        <v>430</v>
      </c>
      <c r="AL344" s="28">
        <f ca="1">ROUND(VLOOKUP(100,enemy_base_stats!$A:$F,4,FALSE)* AA344* L344*Q344*G344*U344*AF344*[2]ステータス!$D$2,0)</f>
        <v>312000</v>
      </c>
      <c r="AM344" s="24">
        <f ca="1">VLOOKUP(M344,[2]character_tribe_i18n!$A:$I,9,FALSE)</f>
        <v>340</v>
      </c>
      <c r="AN344" s="36">
        <v>0</v>
      </c>
      <c r="AO344" s="53">
        <v>0</v>
      </c>
      <c r="AP344" s="58" t="s">
        <v>72</v>
      </c>
      <c r="AQ344" s="71">
        <f t="shared" ca="1" si="10"/>
        <v>343</v>
      </c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</row>
    <row r="345" spans="1:60" s="3" customFormat="1" ht="21" customHeight="1" x14ac:dyDescent="0.15">
      <c r="A345" s="7">
        <f t="shared" ca="1" si="11"/>
        <v>344</v>
      </c>
      <c r="B345" s="6" t="str">
        <f ca="1">VLOOKUP(A345,[2]characters!$A:$C,3,FALSE)</f>
        <v>雷のメタルピヨピヨ</v>
      </c>
      <c r="C345" s="9">
        <f ca="1">VLOOKUP(A345,[2]characters!$A:$I,9,FALSE)</f>
        <v>3</v>
      </c>
      <c r="D345" s="9" t="str">
        <f ca="1">VLOOKUP(A345,[2]characters!$A:$H,8,FALSE)</f>
        <v>yellow</v>
      </c>
      <c r="E345" s="24">
        <f ca="1">VLOOKUP(D345,[2]属性!$A:$E,2,FALSE)</f>
        <v>0.98</v>
      </c>
      <c r="F345" s="24">
        <f ca="1">VLOOKUP(D345,[2]属性!$A:$E,3,FALSE)</f>
        <v>1.01</v>
      </c>
      <c r="G345" s="24">
        <f ca="1">VLOOKUP(D345,[2]属性!$A:$F,4,FALSE)</f>
        <v>1</v>
      </c>
      <c r="H345" s="9" t="str">
        <f ca="1">VLOOKUP(A345,[2]characters!$A:$K,11,FALSE)</f>
        <v>exp</v>
      </c>
      <c r="I345" s="14" t="str">
        <f ca="1">VLOOKUP(H345,[2]character_type_i18n!$A:$F,3,FALSE)</f>
        <v>強化素材タイプ</v>
      </c>
      <c r="J345" s="36">
        <f ca="1">VLOOKUP(H345,[2]character_type_i18n!$A:$F,4,FALSE)</f>
        <v>0.1</v>
      </c>
      <c r="K345" s="36">
        <f ca="1">VLOOKUP(H345,[2]character_type_i18n!$A:$F,5,FALSE)</f>
        <v>0.05</v>
      </c>
      <c r="L345" s="36">
        <f ca="1">VLOOKUP(H345,[2]character_type_i18n!$A:$F,6,FALSE)</f>
        <v>1</v>
      </c>
      <c r="M345" s="9" t="str">
        <f ca="1">VLOOKUP(A345,[2]characters!$A:$M,13,FALSE)</f>
        <v>unknown</v>
      </c>
      <c r="N345" s="14" t="str">
        <f ca="1">VLOOKUP(M345,[2]character_tribe_i18n!$A:$F,3,FALSE)</f>
        <v>Unknown</v>
      </c>
      <c r="O345" s="24">
        <f ca="1">VLOOKUP(M345,[2]character_tribe_i18n!$A:$F,4,FALSE)</f>
        <v>1</v>
      </c>
      <c r="P345" s="24">
        <f ca="1">VLOOKUP(M345,[2]character_tribe_i18n!$A:$F,5,FALSE)</f>
        <v>1</v>
      </c>
      <c r="Q345" s="24">
        <f ca="1">VLOOKUP(M345,[2]character_tribe_i18n!$A:$F,6,FALSE)</f>
        <v>1</v>
      </c>
      <c r="R345" s="25" t="s">
        <v>19</v>
      </c>
      <c r="S345" s="24">
        <f>VLOOKUP($R345,ラベル別係数!$A$1:$E$7,3,FALSE)</f>
        <v>1</v>
      </c>
      <c r="T345" s="24">
        <f>VLOOKUP($R345,ラベル別係数!$A$1:$E$7,4,FALSE)</f>
        <v>1</v>
      </c>
      <c r="U345" s="24">
        <f>VLOOKUP($R345,ラベル別係数!$A$1:$E$7,5,FALSE)</f>
        <v>1</v>
      </c>
      <c r="V345" s="27">
        <v>1</v>
      </c>
      <c r="W345" s="28">
        <f>VLOOKUP(V345,ターン数別攻撃係数!$A$1:$B$1000,2,FALSE)</f>
        <v>0.55000000000000004</v>
      </c>
      <c r="X345" s="10">
        <v>15</v>
      </c>
      <c r="Y345" s="26">
        <f>VLOOKUP($X345,サイズ別係数!$B:$E,2,FALSE)</f>
        <v>1</v>
      </c>
      <c r="Z345" s="26">
        <f>VLOOKUP($X345,サイズ別係数!$B:$E,3,FALSE)</f>
        <v>1</v>
      </c>
      <c r="AA345" s="26">
        <f>VLOOKUP($X345,サイズ別係数!$B:$E,4,FALSE)</f>
        <v>1</v>
      </c>
      <c r="AB345" s="5">
        <v>0</v>
      </c>
      <c r="AC345" s="34" t="str">
        <f ca="1">VLOOKUP($AB345,OFFSET([3]enemy_skill_sets!$B$2,0,0,COUNTA([3]enemy_skill_sets!$A:$A),MATCH(AC$1,[3]enemy_skill_sets!$1:$1,0)-MATCH($AB$1,[3]enemy_skill_sets!$1:$1,0)+1),MATCH(AC$1,[3]enemy_skill_sets!$1:$1,0)-MATCH($AB$1,[3]enemy_skill_sets!$1:$1,0)+1,FALSE)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5" s="67">
        <v>0.15</v>
      </c>
      <c r="AE345" s="67">
        <v>1</v>
      </c>
      <c r="AF345" s="68">
        <v>1</v>
      </c>
      <c r="AG345" s="28">
        <f ca="1">ROUND(VLOOKUP(1,enemy_base_stats!$A:$F,2,FALSE) * Y345* J345*O345*E345*S345*AD345*[2]ステータス!$B$2,0)</f>
        <v>7</v>
      </c>
      <c r="AH345" s="28">
        <f ca="1">ROUND(VLOOKUP(1,enemy_base_stats!$A:$F,3,FALSE) * Z345*K345*P345*F345*T345*AE345 * W345*[2]ステータス!$C$2,0)</f>
        <v>4</v>
      </c>
      <c r="AI345" s="28">
        <f ca="1">ROUND(VLOOKUP(1,enemy_base_stats!$A:$F,4,FALSE) * AA345*L345*Q345*G345*U345*AF345*[2]ステータス!$D$2,0)</f>
        <v>1000</v>
      </c>
      <c r="AJ345" s="28">
        <f ca="1">ROUND(VLOOKUP(100,enemy_base_stats!$A:$F,2,FALSE) * Y345* J345*O345*E345*S345*AD345*[2]ステータス!$B$2,0)</f>
        <v>298</v>
      </c>
      <c r="AK345" s="28">
        <f ca="1">ROUND(VLOOKUP(100,enemy_base_stats!$A:$F,3,FALSE)* Z345* K345*P345*F345*T345*AE345 * W345*[2]ステータス!$C$2,0)</f>
        <v>169</v>
      </c>
      <c r="AL345" s="28">
        <f ca="1">ROUND(VLOOKUP(100,enemy_base_stats!$A:$F,4,FALSE)* AA345* L345*Q345*G345*U345*AF345*[2]ステータス!$D$2,0)</f>
        <v>20800</v>
      </c>
      <c r="AM345" s="24">
        <f ca="1">VLOOKUP(M345,[2]character_tribe_i18n!$A:$I,9,FALSE)</f>
        <v>340</v>
      </c>
      <c r="AN345" s="36">
        <v>0</v>
      </c>
      <c r="AO345" s="53">
        <v>0</v>
      </c>
      <c r="AP345" s="58" t="s">
        <v>72</v>
      </c>
      <c r="AQ345" s="71">
        <f t="shared" ca="1" si="10"/>
        <v>344</v>
      </c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8"/>
      <c r="BC345" s="18"/>
      <c r="BD345" s="18"/>
      <c r="BE345" s="18"/>
      <c r="BF345" s="18"/>
      <c r="BG345" s="18"/>
      <c r="BH345" s="18"/>
    </row>
    <row r="346" spans="1:60" s="3" customFormat="1" ht="21" customHeight="1" x14ac:dyDescent="0.15">
      <c r="A346" s="7">
        <f t="shared" ca="1" si="11"/>
        <v>345</v>
      </c>
      <c r="B346" s="6" t="str">
        <f ca="1">VLOOKUP(A346,[2]characters!$A:$C,3,FALSE)</f>
        <v>雷のメタルチック</v>
      </c>
      <c r="C346" s="9">
        <f ca="1">VLOOKUP(A346,[2]characters!$A:$I,9,FALSE)</f>
        <v>4</v>
      </c>
      <c r="D346" s="9" t="str">
        <f ca="1">VLOOKUP(A346,[2]characters!$A:$H,8,FALSE)</f>
        <v>yellow</v>
      </c>
      <c r="E346" s="24">
        <f ca="1">VLOOKUP(D346,[2]属性!$A:$E,2,FALSE)</f>
        <v>0.98</v>
      </c>
      <c r="F346" s="24">
        <f ca="1">VLOOKUP(D346,[2]属性!$A:$E,3,FALSE)</f>
        <v>1.01</v>
      </c>
      <c r="G346" s="24">
        <f ca="1">VLOOKUP(D346,[2]属性!$A:$F,4,FALSE)</f>
        <v>1</v>
      </c>
      <c r="H346" s="9" t="str">
        <f ca="1">VLOOKUP(A346,[2]characters!$A:$K,11,FALSE)</f>
        <v>exp</v>
      </c>
      <c r="I346" s="14" t="str">
        <f ca="1">VLOOKUP(H346,[2]character_type_i18n!$A:$F,3,FALSE)</f>
        <v>強化素材タイプ</v>
      </c>
      <c r="J346" s="36">
        <f ca="1">VLOOKUP(H346,[2]character_type_i18n!$A:$F,4,FALSE)</f>
        <v>0.1</v>
      </c>
      <c r="K346" s="36">
        <f ca="1">VLOOKUP(H346,[2]character_type_i18n!$A:$F,5,FALSE)</f>
        <v>0.05</v>
      </c>
      <c r="L346" s="36">
        <f ca="1">VLOOKUP(H346,[2]character_type_i18n!$A:$F,6,FALSE)</f>
        <v>1</v>
      </c>
      <c r="M346" s="9" t="str">
        <f ca="1">VLOOKUP(A346,[2]characters!$A:$M,13,FALSE)</f>
        <v>unknown</v>
      </c>
      <c r="N346" s="14" t="str">
        <f ca="1">VLOOKUP(M346,[2]character_tribe_i18n!$A:$F,3,FALSE)</f>
        <v>Unknown</v>
      </c>
      <c r="O346" s="24">
        <f ca="1">VLOOKUP(M346,[2]character_tribe_i18n!$A:$F,4,FALSE)</f>
        <v>1</v>
      </c>
      <c r="P346" s="24">
        <f ca="1">VLOOKUP(M346,[2]character_tribe_i18n!$A:$F,5,FALSE)</f>
        <v>1</v>
      </c>
      <c r="Q346" s="24">
        <f ca="1">VLOOKUP(M346,[2]character_tribe_i18n!$A:$F,6,FALSE)</f>
        <v>1</v>
      </c>
      <c r="R346" s="25" t="s">
        <v>19</v>
      </c>
      <c r="S346" s="24">
        <f>VLOOKUP($R346,ラベル別係数!$A$1:$E$7,3,FALSE)</f>
        <v>1</v>
      </c>
      <c r="T346" s="24">
        <f>VLOOKUP($R346,ラベル別係数!$A$1:$E$7,4,FALSE)</f>
        <v>1</v>
      </c>
      <c r="U346" s="24">
        <f>VLOOKUP($R346,ラベル別係数!$A$1:$E$7,5,FALSE)</f>
        <v>1</v>
      </c>
      <c r="V346" s="27">
        <v>2</v>
      </c>
      <c r="W346" s="28">
        <f>VLOOKUP(V346,ターン数別攻撃係数!$A$1:$B$1000,2,FALSE)</f>
        <v>0.75</v>
      </c>
      <c r="X346" s="10">
        <v>15</v>
      </c>
      <c r="Y346" s="26">
        <f>VLOOKUP($X346,サイズ別係数!$B:$E,2,FALSE)</f>
        <v>1</v>
      </c>
      <c r="Z346" s="26">
        <f>VLOOKUP($X346,サイズ別係数!$B:$E,3,FALSE)</f>
        <v>1</v>
      </c>
      <c r="AA346" s="26">
        <f>VLOOKUP($X346,サイズ別係数!$B:$E,4,FALSE)</f>
        <v>1</v>
      </c>
      <c r="AB346" s="5">
        <v>0</v>
      </c>
      <c r="AC346" s="34" t="str">
        <f ca="1">VLOOKUP($AB346,OFFSET([3]enemy_skill_sets!$B$2,0,0,COUNTA([3]enemy_skill_sets!$A:$A),MATCH(AC$1,[3]enemy_skill_sets!$1:$1,0)-MATCH($AB$1,[3]enemy_skill_sets!$1:$1,0)+1),MATCH(AC$1,[3]enemy_skill_sets!$1:$1,0)-MATCH($AB$1,[3]enemy_skill_sets!$1:$1,0)+1,FALSE)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6" s="67">
        <v>0.3</v>
      </c>
      <c r="AE346" s="67">
        <v>1</v>
      </c>
      <c r="AF346" s="68">
        <v>3</v>
      </c>
      <c r="AG346" s="28">
        <f ca="1">ROUND(VLOOKUP(1,enemy_base_stats!$A:$F,2,FALSE) * Y346* J346*O346*E346*S346*AD346*[2]ステータス!$B$2,0)</f>
        <v>15</v>
      </c>
      <c r="AH346" s="28">
        <f ca="1">ROUND(VLOOKUP(1,enemy_base_stats!$A:$F,3,FALSE) * Z346*K346*P346*F346*T346*AE346 * W346*[2]ステータス!$C$2,0)</f>
        <v>6</v>
      </c>
      <c r="AI346" s="28">
        <f ca="1">ROUND(VLOOKUP(1,enemy_base_stats!$A:$F,4,FALSE) * AA346*L346*Q346*G346*U346*AF346*[2]ステータス!$D$2,0)</f>
        <v>3000</v>
      </c>
      <c r="AJ346" s="28">
        <f ca="1">ROUND(VLOOKUP(100,enemy_base_stats!$A:$F,2,FALSE) * Y346* J346*O346*E346*S346*AD346*[2]ステータス!$B$2,0)</f>
        <v>597</v>
      </c>
      <c r="AK346" s="28">
        <f ca="1">ROUND(VLOOKUP(100,enemy_base_stats!$A:$F,3,FALSE)* Z346* K346*P346*F346*T346*AE346 * W346*[2]ステータス!$C$2,0)</f>
        <v>231</v>
      </c>
      <c r="AL346" s="28">
        <f ca="1">ROUND(VLOOKUP(100,enemy_base_stats!$A:$F,4,FALSE)* AA346* L346*Q346*G346*U346*AF346*[2]ステータス!$D$2,0)</f>
        <v>62400</v>
      </c>
      <c r="AM346" s="24">
        <f ca="1">VLOOKUP(M346,[2]character_tribe_i18n!$A:$I,9,FALSE)</f>
        <v>340</v>
      </c>
      <c r="AN346" s="36">
        <v>0</v>
      </c>
      <c r="AO346" s="53">
        <v>0</v>
      </c>
      <c r="AP346" s="58" t="s">
        <v>72</v>
      </c>
      <c r="AQ346" s="71">
        <f t="shared" ca="1" si="10"/>
        <v>345</v>
      </c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/>
      <c r="BH346" s="18"/>
    </row>
    <row r="347" spans="1:60" s="3" customFormat="1" ht="21" customHeight="1" x14ac:dyDescent="0.15">
      <c r="A347" s="7">
        <f t="shared" ca="1" si="11"/>
        <v>346</v>
      </c>
      <c r="B347" s="6" t="str">
        <f ca="1">VLOOKUP(A347,[2]characters!$A:$C,3,FALSE)</f>
        <v>雷のメタルダック</v>
      </c>
      <c r="C347" s="9">
        <f ca="1">VLOOKUP(A347,[2]characters!$A:$I,9,FALSE)</f>
        <v>5</v>
      </c>
      <c r="D347" s="9" t="str">
        <f ca="1">VLOOKUP(A347,[2]characters!$A:$H,8,FALSE)</f>
        <v>yellow</v>
      </c>
      <c r="E347" s="24">
        <f ca="1">VLOOKUP(D347,[2]属性!$A:$E,2,FALSE)</f>
        <v>0.98</v>
      </c>
      <c r="F347" s="24">
        <f ca="1">VLOOKUP(D347,[2]属性!$A:$E,3,FALSE)</f>
        <v>1.01</v>
      </c>
      <c r="G347" s="24">
        <f ca="1">VLOOKUP(D347,[2]属性!$A:$F,4,FALSE)</f>
        <v>1</v>
      </c>
      <c r="H347" s="9" t="str">
        <f ca="1">VLOOKUP(A347,[2]characters!$A:$K,11,FALSE)</f>
        <v>exp</v>
      </c>
      <c r="I347" s="14" t="str">
        <f ca="1">VLOOKUP(H347,[2]character_type_i18n!$A:$F,3,FALSE)</f>
        <v>強化素材タイプ</v>
      </c>
      <c r="J347" s="36">
        <f ca="1">VLOOKUP(H347,[2]character_type_i18n!$A:$F,4,FALSE)</f>
        <v>0.1</v>
      </c>
      <c r="K347" s="36">
        <f ca="1">VLOOKUP(H347,[2]character_type_i18n!$A:$F,5,FALSE)</f>
        <v>0.05</v>
      </c>
      <c r="L347" s="36">
        <f ca="1">VLOOKUP(H347,[2]character_type_i18n!$A:$F,6,FALSE)</f>
        <v>1</v>
      </c>
      <c r="M347" s="9" t="str">
        <f ca="1">VLOOKUP(A347,[2]characters!$A:$M,13,FALSE)</f>
        <v>unknown</v>
      </c>
      <c r="N347" s="14" t="str">
        <f ca="1">VLOOKUP(M347,[2]character_tribe_i18n!$A:$F,3,FALSE)</f>
        <v>Unknown</v>
      </c>
      <c r="O347" s="24">
        <f ca="1">VLOOKUP(M347,[2]character_tribe_i18n!$A:$F,4,FALSE)</f>
        <v>1</v>
      </c>
      <c r="P347" s="24">
        <f ca="1">VLOOKUP(M347,[2]character_tribe_i18n!$A:$F,5,FALSE)</f>
        <v>1</v>
      </c>
      <c r="Q347" s="24">
        <f ca="1">VLOOKUP(M347,[2]character_tribe_i18n!$A:$F,6,FALSE)</f>
        <v>1</v>
      </c>
      <c r="R347" s="25" t="s">
        <v>19</v>
      </c>
      <c r="S347" s="24">
        <f>VLOOKUP($R347,ラベル別係数!$A$1:$E$7,3,FALSE)</f>
        <v>1</v>
      </c>
      <c r="T347" s="24">
        <f>VLOOKUP($R347,ラベル別係数!$A$1:$E$7,4,FALSE)</f>
        <v>1</v>
      </c>
      <c r="U347" s="24">
        <f>VLOOKUP($R347,ラベル別係数!$A$1:$E$7,5,FALSE)</f>
        <v>1</v>
      </c>
      <c r="V347" s="27">
        <v>3</v>
      </c>
      <c r="W347" s="28">
        <f>VLOOKUP(V347,ターン数別攻撃係数!$A$1:$B$1000,2,FALSE)</f>
        <v>1</v>
      </c>
      <c r="X347" s="10">
        <v>20</v>
      </c>
      <c r="Y347" s="26">
        <f>VLOOKUP($X347,サイズ別係数!$B:$E,2,FALSE)</f>
        <v>1.1000000000000001</v>
      </c>
      <c r="Z347" s="26">
        <f>VLOOKUP($X347,サイズ別係数!$B:$E,3,FALSE)</f>
        <v>1.2</v>
      </c>
      <c r="AA347" s="26">
        <f>VLOOKUP($X347,サイズ別係数!$B:$E,4,FALSE)</f>
        <v>1.2</v>
      </c>
      <c r="AB347" s="5">
        <v>0</v>
      </c>
      <c r="AC347" s="34" t="str">
        <f ca="1">VLOOKUP($AB347,OFFSET([3]enemy_skill_sets!$B$2,0,0,COUNTA([3]enemy_skill_sets!$A:$A),MATCH(AC$1,[3]enemy_skill_sets!$1:$1,0)-MATCH($AB$1,[3]enemy_skill_sets!$1:$1,0)+1),MATCH(AC$1,[3]enemy_skill_sets!$1:$1,0)-MATCH($AB$1,[3]enemy_skill_sets!$1:$1,0)+1,FALSE)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7" s="67">
        <v>0.35</v>
      </c>
      <c r="AE347" s="67">
        <v>1</v>
      </c>
      <c r="AF347" s="68">
        <v>8.3330000000000002</v>
      </c>
      <c r="AG347" s="28">
        <f ca="1">ROUND(VLOOKUP(1,enemy_base_stats!$A:$F,2,FALSE) * Y347* J347*O347*E347*S347*AD347*[2]ステータス!$B$2,0)</f>
        <v>19</v>
      </c>
      <c r="AH347" s="28">
        <f ca="1">ROUND(VLOOKUP(1,enemy_base_stats!$A:$F,3,FALSE) * Z347*K347*P347*F347*T347*AE347 * W347*[2]ステータス!$C$2,0)</f>
        <v>9</v>
      </c>
      <c r="AI347" s="28">
        <f ca="1">ROUND(VLOOKUP(1,enemy_base_stats!$A:$F,4,FALSE) * AA347*L347*Q347*G347*U347*AF347*[2]ステータス!$D$2,0)</f>
        <v>10000</v>
      </c>
      <c r="AJ347" s="28">
        <f ca="1">ROUND(VLOOKUP(100,enemy_base_stats!$A:$F,2,FALSE) * Y347* J347*O347*E347*S347*AD347*[2]ステータス!$B$2,0)</f>
        <v>766</v>
      </c>
      <c r="AK347" s="28">
        <f ca="1">ROUND(VLOOKUP(100,enemy_base_stats!$A:$F,3,FALSE)* Z347* K347*P347*F347*T347*AE347 * W347*[2]ステータス!$C$2,0)</f>
        <v>369</v>
      </c>
      <c r="AL347" s="28">
        <f ca="1">ROUND(VLOOKUP(100,enemy_base_stats!$A:$F,4,FALSE)* AA347* L347*Q347*G347*U347*AF347*[2]ステータス!$D$2,0)</f>
        <v>207992</v>
      </c>
      <c r="AM347" s="24">
        <f ca="1">VLOOKUP(M347,[2]character_tribe_i18n!$A:$I,9,FALSE)</f>
        <v>340</v>
      </c>
      <c r="AN347" s="36">
        <v>0</v>
      </c>
      <c r="AO347" s="53">
        <v>0</v>
      </c>
      <c r="AP347" s="58" t="s">
        <v>72</v>
      </c>
      <c r="AQ347" s="71">
        <f t="shared" ca="1" si="10"/>
        <v>346</v>
      </c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</row>
    <row r="348" spans="1:60" s="3" customFormat="1" ht="21" customHeight="1" x14ac:dyDescent="0.15">
      <c r="A348" s="7">
        <f t="shared" ca="1" si="11"/>
        <v>347</v>
      </c>
      <c r="B348" s="6" t="str">
        <f ca="1">VLOOKUP(A348,[2]characters!$A:$C,3,FALSE)</f>
        <v>雷のメタルジェントル</v>
      </c>
      <c r="C348" s="9">
        <f ca="1">VLOOKUP(A348,[2]characters!$A:$I,9,FALSE)</f>
        <v>6</v>
      </c>
      <c r="D348" s="9" t="str">
        <f ca="1">VLOOKUP(A348,[2]characters!$A:$H,8,FALSE)</f>
        <v>yellow</v>
      </c>
      <c r="E348" s="24">
        <f ca="1">VLOOKUP(D348,[2]属性!$A:$E,2,FALSE)</f>
        <v>0.98</v>
      </c>
      <c r="F348" s="24">
        <f ca="1">VLOOKUP(D348,[2]属性!$A:$E,3,FALSE)</f>
        <v>1.01</v>
      </c>
      <c r="G348" s="24">
        <f ca="1">VLOOKUP(D348,[2]属性!$A:$F,4,FALSE)</f>
        <v>1</v>
      </c>
      <c r="H348" s="9" t="str">
        <f ca="1">VLOOKUP(A348,[2]characters!$A:$K,11,FALSE)</f>
        <v>exp</v>
      </c>
      <c r="I348" s="14" t="str">
        <f ca="1">VLOOKUP(H348,[2]character_type_i18n!$A:$F,3,FALSE)</f>
        <v>強化素材タイプ</v>
      </c>
      <c r="J348" s="36">
        <f ca="1">VLOOKUP(H348,[2]character_type_i18n!$A:$F,4,FALSE)</f>
        <v>0.1</v>
      </c>
      <c r="K348" s="36">
        <f ca="1">VLOOKUP(H348,[2]character_type_i18n!$A:$F,5,FALSE)</f>
        <v>0.05</v>
      </c>
      <c r="L348" s="36">
        <f ca="1">VLOOKUP(H348,[2]character_type_i18n!$A:$F,6,FALSE)</f>
        <v>1</v>
      </c>
      <c r="M348" s="9" t="str">
        <f ca="1">VLOOKUP(A348,[2]characters!$A:$M,13,FALSE)</f>
        <v>unknown</v>
      </c>
      <c r="N348" s="14" t="str">
        <f ca="1">VLOOKUP(M348,[2]character_tribe_i18n!$A:$F,3,FALSE)</f>
        <v>Unknown</v>
      </c>
      <c r="O348" s="24">
        <f ca="1">VLOOKUP(M348,[2]character_tribe_i18n!$A:$F,4,FALSE)</f>
        <v>1</v>
      </c>
      <c r="P348" s="24">
        <f ca="1">VLOOKUP(M348,[2]character_tribe_i18n!$A:$F,5,FALSE)</f>
        <v>1</v>
      </c>
      <c r="Q348" s="24">
        <f ca="1">VLOOKUP(M348,[2]character_tribe_i18n!$A:$F,6,FALSE)</f>
        <v>1</v>
      </c>
      <c r="R348" s="25" t="s">
        <v>19</v>
      </c>
      <c r="S348" s="24">
        <f>VLOOKUP($R348,ラベル別係数!$A$1:$E$7,3,FALSE)</f>
        <v>1</v>
      </c>
      <c r="T348" s="24">
        <f>VLOOKUP($R348,ラベル別係数!$A$1:$E$7,4,FALSE)</f>
        <v>1</v>
      </c>
      <c r="U348" s="24">
        <f>VLOOKUP($R348,ラベル別係数!$A$1:$E$7,5,FALSE)</f>
        <v>1</v>
      </c>
      <c r="V348" s="27">
        <v>4</v>
      </c>
      <c r="W348" s="28">
        <f>VLOOKUP(V348,ターン数別攻撃係数!$A$1:$B$1000,2,FALSE)</f>
        <v>1.2</v>
      </c>
      <c r="X348" s="10">
        <v>20</v>
      </c>
      <c r="Y348" s="26">
        <f>VLOOKUP($X348,サイズ別係数!$B:$E,2,FALSE)</f>
        <v>1.1000000000000001</v>
      </c>
      <c r="Z348" s="26">
        <f>VLOOKUP($X348,サイズ別係数!$B:$E,3,FALSE)</f>
        <v>1.2</v>
      </c>
      <c r="AA348" s="26">
        <f>VLOOKUP($X348,サイズ別係数!$B:$E,4,FALSE)</f>
        <v>1.2</v>
      </c>
      <c r="AB348" s="5">
        <v>0</v>
      </c>
      <c r="AC348" s="34" t="str">
        <f ca="1">VLOOKUP($AB348,OFFSET([3]enemy_skill_sets!$B$2,0,0,COUNTA([3]enemy_skill_sets!$A:$A),MATCH(AC$1,[3]enemy_skill_sets!$1:$1,0)-MATCH($AB$1,[3]enemy_skill_sets!$1:$1,0)+1),MATCH(AC$1,[3]enemy_skill_sets!$1:$1,0)-MATCH($AB$1,[3]enemy_skill_sets!$1:$1,0)+1,FALSE)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8" s="67">
        <v>1</v>
      </c>
      <c r="AE348" s="67">
        <v>1</v>
      </c>
      <c r="AF348" s="68">
        <v>12.5</v>
      </c>
      <c r="AG348" s="28">
        <f ca="1">ROUND(VLOOKUP(1,enemy_base_stats!$A:$F,2,FALSE) * Y348* J348*O348*E348*S348*AD348*[2]ステータス!$B$2,0)</f>
        <v>54</v>
      </c>
      <c r="AH348" s="28">
        <f ca="1">ROUND(VLOOKUP(1,enemy_base_stats!$A:$F,3,FALSE) * Z348*K348*P348*F348*T348*AE348 * W348*[2]ステータス!$C$2,0)</f>
        <v>11</v>
      </c>
      <c r="AI348" s="28">
        <f ca="1">ROUND(VLOOKUP(1,enemy_base_stats!$A:$F,4,FALSE) * AA348*L348*Q348*G348*U348*AF348*[2]ステータス!$D$2,0)</f>
        <v>15000</v>
      </c>
      <c r="AJ348" s="28">
        <f ca="1">ROUND(VLOOKUP(100,enemy_base_stats!$A:$F,2,FALSE) * Y348* J348*O348*E348*S348*AD348*[2]ステータス!$B$2,0)</f>
        <v>2188</v>
      </c>
      <c r="AK348" s="28">
        <f ca="1">ROUND(VLOOKUP(100,enemy_base_stats!$A:$F,3,FALSE)* Z348* K348*P348*F348*T348*AE348 * W348*[2]ステータス!$C$2,0)</f>
        <v>443</v>
      </c>
      <c r="AL348" s="28">
        <f ca="1">ROUND(VLOOKUP(100,enemy_base_stats!$A:$F,4,FALSE)* AA348* L348*Q348*G348*U348*AF348*[2]ステータス!$D$2,0)</f>
        <v>312000</v>
      </c>
      <c r="AM348" s="24">
        <f ca="1">VLOOKUP(M348,[2]character_tribe_i18n!$A:$I,9,FALSE)</f>
        <v>340</v>
      </c>
      <c r="AN348" s="36">
        <v>0</v>
      </c>
      <c r="AO348" s="53">
        <v>0</v>
      </c>
      <c r="AP348" s="58" t="s">
        <v>72</v>
      </c>
      <c r="AQ348" s="71">
        <f t="shared" ca="1" si="10"/>
        <v>347</v>
      </c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8"/>
      <c r="BC348" s="18"/>
      <c r="BD348" s="18"/>
      <c r="BE348" s="18"/>
      <c r="BF348" s="18"/>
      <c r="BG348" s="18"/>
      <c r="BH348" s="18"/>
    </row>
    <row r="349" spans="1:60" ht="21" customHeight="1" x14ac:dyDescent="0.15">
      <c r="A349" s="7">
        <f t="shared" ca="1" si="11"/>
        <v>348</v>
      </c>
      <c r="B349" s="6" t="str">
        <f ca="1">VLOOKUP(A349,[2]characters!$A:$C,3,FALSE)</f>
        <v>炎のケロケロ</v>
      </c>
      <c r="C349" s="9">
        <f ca="1">VLOOKUP(A349,[2]characters!$A:$I,9,FALSE)</f>
        <v>5</v>
      </c>
      <c r="D349" s="9" t="str">
        <f ca="1">VLOOKUP(A349,[2]characters!$A:$H,8,FALSE)</f>
        <v>red</v>
      </c>
      <c r="E349" s="24">
        <f ca="1">VLOOKUP(D349,[2]属性!$A:$E,2,FALSE)</f>
        <v>1</v>
      </c>
      <c r="F349" s="24">
        <f ca="1">VLOOKUP(D349,[2]属性!$A:$E,3,FALSE)</f>
        <v>1.02</v>
      </c>
      <c r="G349" s="24">
        <f ca="1">VLOOKUP(D349,[2]属性!$A:$F,4,FALSE)</f>
        <v>1</v>
      </c>
      <c r="H349" s="9" t="str">
        <f ca="1">VLOOKUP(A349,[2]characters!$A:$K,11,FALSE)</f>
        <v>exp</v>
      </c>
      <c r="I349" s="14" t="str">
        <f ca="1">VLOOKUP(H349,[2]character_type_i18n!$A:$F,3,FALSE)</f>
        <v>強化素材タイプ</v>
      </c>
      <c r="J349" s="36">
        <f ca="1">VLOOKUP(H349,[2]character_type_i18n!$A:$F,4,FALSE)</f>
        <v>0.1</v>
      </c>
      <c r="K349" s="36">
        <f ca="1">VLOOKUP(H349,[2]character_type_i18n!$A:$F,5,FALSE)</f>
        <v>0.05</v>
      </c>
      <c r="L349" s="36">
        <f ca="1">VLOOKUP(H349,[2]character_type_i18n!$A:$F,6,FALSE)</f>
        <v>1</v>
      </c>
      <c r="M349" s="9" t="str">
        <f ca="1">VLOOKUP(A349,[2]characters!$A:$M,13,FALSE)</f>
        <v>unknown</v>
      </c>
      <c r="N349" s="14" t="str">
        <f ca="1">VLOOKUP(M349,[2]character_tribe_i18n!$A:$F,3,FALSE)</f>
        <v>Unknown</v>
      </c>
      <c r="O349" s="24">
        <f ca="1">VLOOKUP(M349,[2]character_tribe_i18n!$A:$F,4,FALSE)</f>
        <v>1</v>
      </c>
      <c r="P349" s="24">
        <f ca="1">VLOOKUP(M349,[2]character_tribe_i18n!$A:$F,5,FALSE)</f>
        <v>1</v>
      </c>
      <c r="Q349" s="24">
        <f ca="1">VLOOKUP(M349,[2]character_tribe_i18n!$A:$F,6,FALSE)</f>
        <v>1</v>
      </c>
      <c r="R349" s="25" t="s">
        <v>19</v>
      </c>
      <c r="S349" s="24">
        <f>VLOOKUP($R349,ラベル別係数!$A$1:$E$7,3,FALSE)</f>
        <v>1</v>
      </c>
      <c r="T349" s="24">
        <f>VLOOKUP($R349,ラベル別係数!$A$1:$E$7,4,FALSE)</f>
        <v>1</v>
      </c>
      <c r="U349" s="24">
        <f>VLOOKUP($R349,ラベル別係数!$A$1:$E$7,5,FALSE)</f>
        <v>1</v>
      </c>
      <c r="V349" s="27">
        <v>3</v>
      </c>
      <c r="W349" s="28">
        <f>VLOOKUP(V349,ターン数別攻撃係数!$A$1:$B$1000,2,FALSE)</f>
        <v>1</v>
      </c>
      <c r="X349" s="10">
        <v>15</v>
      </c>
      <c r="Y349" s="26">
        <f>VLOOKUP($X349,サイズ別係数!$B:$E,2,FALSE)</f>
        <v>1</v>
      </c>
      <c r="Z349" s="26">
        <f>VLOOKUP($X349,サイズ別係数!$B:$E,3,FALSE)</f>
        <v>1</v>
      </c>
      <c r="AA349" s="26">
        <f>VLOOKUP($X349,サイズ別係数!$B:$E,4,FALSE)</f>
        <v>1</v>
      </c>
      <c r="AB349" s="5">
        <v>0</v>
      </c>
      <c r="AC349" s="34" t="str">
        <f ca="1">VLOOKUP($AB349,OFFSET([3]enemy_skill_sets!$B$2,0,0,COUNTA([3]enemy_skill_sets!$A:$A),MATCH(AC$1,[3]enemy_skill_sets!$1:$1,0)-MATCH($AB$1,[3]enemy_skill_sets!$1:$1,0)+1),MATCH(AC$1,[3]enemy_skill_sets!$1:$1,0)-MATCH($AB$1,[3]enemy_skill_sets!$1:$1,0)+1,FALSE)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49" s="67">
        <v>10</v>
      </c>
      <c r="AE349" s="67">
        <v>20</v>
      </c>
      <c r="AF349" s="68">
        <v>0</v>
      </c>
      <c r="AG349" s="28">
        <f ca="1">ROUND(VLOOKUP(1,enemy_base_stats!$A:$F,2,FALSE) * Y349* J349*O349*E349*S349*AD349*[2]ステータス!$B$2,0)</f>
        <v>500</v>
      </c>
      <c r="AH349" s="28">
        <f ca="1">ROUND(VLOOKUP(1,enemy_base_stats!$A:$F,3,FALSE) * Z349*K349*P349*F349*T349*AE349 * W349*[2]ステータス!$C$2,0)</f>
        <v>153</v>
      </c>
      <c r="AI349" s="28">
        <f ca="1">ROUND(VLOOKUP(1,enemy_base_stats!$A:$F,4,FALSE) * AA349*L349*Q349*G349*U349*AF349*[2]ステータス!$D$2,0)</f>
        <v>0</v>
      </c>
      <c r="AJ349" s="28">
        <f ca="1">ROUND(VLOOKUP(100,enemy_base_stats!$A:$F,2,FALSE) * Y349* J349*O349*E349*S349*AD349*[2]ステータス!$B$2,0)</f>
        <v>20300</v>
      </c>
      <c r="AK349" s="28">
        <f ca="1">ROUND(VLOOKUP(100,enemy_base_stats!$A:$F,3,FALSE)* Z349* K349*P349*F349*T349*AE349 * W349*[2]ステータス!$C$2,0)</f>
        <v>6212</v>
      </c>
      <c r="AL349" s="28">
        <f ca="1">ROUND(VLOOKUP(100,enemy_base_stats!$A:$F,4,FALSE)* AA349* L349*Q349*G349*U349*AF349*[2]ステータス!$D$2,0)</f>
        <v>0</v>
      </c>
      <c r="AM349" s="24">
        <f ca="1">VLOOKUP(M349,[2]character_tribe_i18n!$A:$I,9,FALSE)</f>
        <v>340</v>
      </c>
      <c r="AN349" s="36">
        <v>0</v>
      </c>
      <c r="AO349" s="53">
        <v>0</v>
      </c>
      <c r="AP349" s="58" t="s">
        <v>72</v>
      </c>
      <c r="AQ349" s="71">
        <f t="shared" ca="1" si="10"/>
        <v>348</v>
      </c>
    </row>
    <row r="350" spans="1:60" ht="21" customHeight="1" x14ac:dyDescent="0.15">
      <c r="A350" s="7">
        <f t="shared" ca="1" si="11"/>
        <v>349</v>
      </c>
      <c r="B350" s="6" t="str">
        <f ca="1">VLOOKUP(A350,[2]characters!$A:$C,3,FALSE)</f>
        <v>炎のメタルフロッグ</v>
      </c>
      <c r="C350" s="9">
        <f ca="1">VLOOKUP(A350,[2]characters!$A:$I,9,FALSE)</f>
        <v>6</v>
      </c>
      <c r="D350" s="9" t="str">
        <f ca="1">VLOOKUP(A350,[2]characters!$A:$H,8,FALSE)</f>
        <v>red</v>
      </c>
      <c r="E350" s="24">
        <f ca="1">VLOOKUP(D350,[2]属性!$A:$E,2,FALSE)</f>
        <v>1</v>
      </c>
      <c r="F350" s="24">
        <f ca="1">VLOOKUP(D350,[2]属性!$A:$E,3,FALSE)</f>
        <v>1.02</v>
      </c>
      <c r="G350" s="24">
        <f ca="1">VLOOKUP(D350,[2]属性!$A:$F,4,FALSE)</f>
        <v>1</v>
      </c>
      <c r="H350" s="9" t="str">
        <f ca="1">VLOOKUP(A350,[2]characters!$A:$K,11,FALSE)</f>
        <v>exp</v>
      </c>
      <c r="I350" s="14" t="str">
        <f ca="1">VLOOKUP(H350,[2]character_type_i18n!$A:$F,3,FALSE)</f>
        <v>強化素材タイプ</v>
      </c>
      <c r="J350" s="36">
        <f ca="1">VLOOKUP(H350,[2]character_type_i18n!$A:$F,4,FALSE)</f>
        <v>0.1</v>
      </c>
      <c r="K350" s="36">
        <f ca="1">VLOOKUP(H350,[2]character_type_i18n!$A:$F,5,FALSE)</f>
        <v>0.05</v>
      </c>
      <c r="L350" s="36">
        <f ca="1">VLOOKUP(H350,[2]character_type_i18n!$A:$F,6,FALSE)</f>
        <v>1</v>
      </c>
      <c r="M350" s="9" t="str">
        <f ca="1">VLOOKUP(A350,[2]characters!$A:$M,13,FALSE)</f>
        <v>unknown</v>
      </c>
      <c r="N350" s="14" t="str">
        <f ca="1">VLOOKUP(M350,[2]character_tribe_i18n!$A:$F,3,FALSE)</f>
        <v>Unknown</v>
      </c>
      <c r="O350" s="24">
        <f ca="1">VLOOKUP(M350,[2]character_tribe_i18n!$A:$F,4,FALSE)</f>
        <v>1</v>
      </c>
      <c r="P350" s="24">
        <f ca="1">VLOOKUP(M350,[2]character_tribe_i18n!$A:$F,5,FALSE)</f>
        <v>1</v>
      </c>
      <c r="Q350" s="24">
        <f ca="1">VLOOKUP(M350,[2]character_tribe_i18n!$A:$F,6,FALSE)</f>
        <v>1</v>
      </c>
      <c r="R350" s="25" t="s">
        <v>19</v>
      </c>
      <c r="S350" s="24">
        <f>VLOOKUP($R350,ラベル別係数!$A$1:$E$7,3,FALSE)</f>
        <v>1</v>
      </c>
      <c r="T350" s="24">
        <f>VLOOKUP($R350,ラベル別係数!$A$1:$E$7,4,FALSE)</f>
        <v>1</v>
      </c>
      <c r="U350" s="24">
        <f>VLOOKUP($R350,ラベル別係数!$A$1:$E$7,5,FALSE)</f>
        <v>1</v>
      </c>
      <c r="V350" s="27">
        <v>3</v>
      </c>
      <c r="W350" s="28">
        <f>VLOOKUP(V350,ターン数別攻撃係数!$A$1:$B$1000,2,FALSE)</f>
        <v>1</v>
      </c>
      <c r="X350" s="10">
        <v>15</v>
      </c>
      <c r="Y350" s="26">
        <f>VLOOKUP($X350,サイズ別係数!$B:$E,2,FALSE)</f>
        <v>1</v>
      </c>
      <c r="Z350" s="26">
        <f>VLOOKUP($X350,サイズ別係数!$B:$E,3,FALSE)</f>
        <v>1</v>
      </c>
      <c r="AA350" s="26">
        <f>VLOOKUP($X350,サイズ別係数!$B:$E,4,FALSE)</f>
        <v>1</v>
      </c>
      <c r="AB350" s="5">
        <v>0</v>
      </c>
      <c r="AC350" s="34" t="str">
        <f ca="1">VLOOKUP($AB350,OFFSET([3]enemy_skill_sets!$B$2,0,0,COUNTA([3]enemy_skill_sets!$A:$A),MATCH(AC$1,[3]enemy_skill_sets!$1:$1,0)-MATCH($AB$1,[3]enemy_skill_sets!$1:$1,0)+1),MATCH(AC$1,[3]enemy_skill_sets!$1:$1,0)-MATCH($AB$1,[3]enemy_skill_sets!$1:$1,0)+1,FALSE)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0" s="67">
        <v>10</v>
      </c>
      <c r="AE350" s="67">
        <v>20</v>
      </c>
      <c r="AF350" s="68">
        <v>0</v>
      </c>
      <c r="AG350" s="28">
        <f ca="1">ROUND(VLOOKUP(1,enemy_base_stats!$A:$F,2,FALSE) * Y350* J350*O350*E350*S350*AD350*[2]ステータス!$B$2,0)</f>
        <v>500</v>
      </c>
      <c r="AH350" s="28">
        <f ca="1">ROUND(VLOOKUP(1,enemy_base_stats!$A:$F,3,FALSE) * Z350*K350*P350*F350*T350*AE350 * W350*[2]ステータス!$C$2,0)</f>
        <v>153</v>
      </c>
      <c r="AI350" s="28">
        <f ca="1">ROUND(VLOOKUP(1,enemy_base_stats!$A:$F,4,FALSE) * AA350*L350*Q350*G350*U350*AF350*[2]ステータス!$D$2,0)</f>
        <v>0</v>
      </c>
      <c r="AJ350" s="28">
        <f ca="1">ROUND(VLOOKUP(100,enemy_base_stats!$A:$F,2,FALSE) * Y350* J350*O350*E350*S350*AD350*[2]ステータス!$B$2,0)</f>
        <v>20300</v>
      </c>
      <c r="AK350" s="28">
        <f ca="1">ROUND(VLOOKUP(100,enemy_base_stats!$A:$F,3,FALSE)* Z350* K350*P350*F350*T350*AE350 * W350*[2]ステータス!$C$2,0)</f>
        <v>6212</v>
      </c>
      <c r="AL350" s="28">
        <f ca="1">ROUND(VLOOKUP(100,enemy_base_stats!$A:$F,4,FALSE)* AA350* L350*Q350*G350*U350*AF350*[2]ステータス!$D$2,0)</f>
        <v>0</v>
      </c>
      <c r="AM350" s="24">
        <f ca="1">VLOOKUP(M350,[2]character_tribe_i18n!$A:$I,9,FALSE)</f>
        <v>340</v>
      </c>
      <c r="AN350" s="36">
        <v>0</v>
      </c>
      <c r="AO350" s="53">
        <v>0</v>
      </c>
      <c r="AP350" s="58" t="s">
        <v>72</v>
      </c>
      <c r="AQ350" s="71">
        <f t="shared" ca="1" si="10"/>
        <v>349</v>
      </c>
    </row>
    <row r="351" spans="1:60" ht="21" customHeight="1" x14ac:dyDescent="0.15">
      <c r="A351" s="7">
        <f t="shared" ca="1" si="11"/>
        <v>350</v>
      </c>
      <c r="B351" s="6" t="str">
        <f ca="1">VLOOKUP(A351,[2]characters!$A:$C,3,FALSE)</f>
        <v>森のケロケロ</v>
      </c>
      <c r="C351" s="9">
        <f ca="1">VLOOKUP(A351,[2]characters!$A:$I,9,FALSE)</f>
        <v>5</v>
      </c>
      <c r="D351" s="9" t="str">
        <f ca="1">VLOOKUP(A351,[2]characters!$A:$H,8,FALSE)</f>
        <v>green</v>
      </c>
      <c r="E351" s="24">
        <f ca="1">VLOOKUP(D351,[2]属性!$A:$E,2,FALSE)</f>
        <v>1.02</v>
      </c>
      <c r="F351" s="24">
        <f ca="1">VLOOKUP(D351,[2]属性!$A:$E,3,FALSE)</f>
        <v>0.98</v>
      </c>
      <c r="G351" s="24">
        <f ca="1">VLOOKUP(D351,[2]属性!$A:$F,4,FALSE)</f>
        <v>1</v>
      </c>
      <c r="H351" s="9" t="str">
        <f ca="1">VLOOKUP(A351,[2]characters!$A:$K,11,FALSE)</f>
        <v>exp</v>
      </c>
      <c r="I351" s="14" t="str">
        <f ca="1">VLOOKUP(H351,[2]character_type_i18n!$A:$F,3,FALSE)</f>
        <v>強化素材タイプ</v>
      </c>
      <c r="J351" s="36">
        <f ca="1">VLOOKUP(H351,[2]character_type_i18n!$A:$F,4,FALSE)</f>
        <v>0.1</v>
      </c>
      <c r="K351" s="36">
        <f ca="1">VLOOKUP(H351,[2]character_type_i18n!$A:$F,5,FALSE)</f>
        <v>0.05</v>
      </c>
      <c r="L351" s="36">
        <f ca="1">VLOOKUP(H351,[2]character_type_i18n!$A:$F,6,FALSE)</f>
        <v>1</v>
      </c>
      <c r="M351" s="9" t="str">
        <f ca="1">VLOOKUP(A351,[2]characters!$A:$M,13,FALSE)</f>
        <v>unknown</v>
      </c>
      <c r="N351" s="14" t="str">
        <f ca="1">VLOOKUP(M351,[2]character_tribe_i18n!$A:$F,3,FALSE)</f>
        <v>Unknown</v>
      </c>
      <c r="O351" s="24">
        <f ca="1">VLOOKUP(M351,[2]character_tribe_i18n!$A:$F,4,FALSE)</f>
        <v>1</v>
      </c>
      <c r="P351" s="24">
        <f ca="1">VLOOKUP(M351,[2]character_tribe_i18n!$A:$F,5,FALSE)</f>
        <v>1</v>
      </c>
      <c r="Q351" s="24">
        <f ca="1">VLOOKUP(M351,[2]character_tribe_i18n!$A:$F,6,FALSE)</f>
        <v>1</v>
      </c>
      <c r="R351" s="25" t="s">
        <v>19</v>
      </c>
      <c r="S351" s="24">
        <f>VLOOKUP($R351,ラベル別係数!$A$1:$E$7,3,FALSE)</f>
        <v>1</v>
      </c>
      <c r="T351" s="24">
        <f>VLOOKUP($R351,ラベル別係数!$A$1:$E$7,4,FALSE)</f>
        <v>1</v>
      </c>
      <c r="U351" s="24">
        <f>VLOOKUP($R351,ラベル別係数!$A$1:$E$7,5,FALSE)</f>
        <v>1</v>
      </c>
      <c r="V351" s="27">
        <v>3</v>
      </c>
      <c r="W351" s="28">
        <f>VLOOKUP(V351,ターン数別攻撃係数!$A$1:$B$1000,2,FALSE)</f>
        <v>1</v>
      </c>
      <c r="X351" s="10">
        <v>15</v>
      </c>
      <c r="Y351" s="26">
        <f>VLOOKUP($X351,サイズ別係数!$B:$E,2,FALSE)</f>
        <v>1</v>
      </c>
      <c r="Z351" s="26">
        <f>VLOOKUP($X351,サイズ別係数!$B:$E,3,FALSE)</f>
        <v>1</v>
      </c>
      <c r="AA351" s="26">
        <f>VLOOKUP($X351,サイズ別係数!$B:$E,4,FALSE)</f>
        <v>1</v>
      </c>
      <c r="AB351" s="5">
        <v>0</v>
      </c>
      <c r="AC351" s="34" t="str">
        <f ca="1">VLOOKUP($AB351,OFFSET([3]enemy_skill_sets!$B$2,0,0,COUNTA([3]enemy_skill_sets!$A:$A),MATCH(AC$1,[3]enemy_skill_sets!$1:$1,0)-MATCH($AB$1,[3]enemy_skill_sets!$1:$1,0)+1),MATCH(AC$1,[3]enemy_skill_sets!$1:$1,0)-MATCH($AB$1,[3]enemy_skill_sets!$1:$1,0)+1,FALSE)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1" s="67">
        <v>10</v>
      </c>
      <c r="AE351" s="67">
        <v>20</v>
      </c>
      <c r="AF351" s="68">
        <v>0</v>
      </c>
      <c r="AG351" s="28">
        <f ca="1">ROUND(VLOOKUP(1,enemy_base_stats!$A:$F,2,FALSE) * Y351* J351*O351*E351*S351*AD351*[2]ステータス!$B$2,0)</f>
        <v>510</v>
      </c>
      <c r="AH351" s="28">
        <f ca="1">ROUND(VLOOKUP(1,enemy_base_stats!$A:$F,3,FALSE) * Z351*K351*P351*F351*T351*AE351 * W351*[2]ステータス!$C$2,0)</f>
        <v>147</v>
      </c>
      <c r="AI351" s="28">
        <f ca="1">ROUND(VLOOKUP(1,enemy_base_stats!$A:$F,4,FALSE) * AA351*L351*Q351*G351*U351*AF351*[2]ステータス!$D$2,0)</f>
        <v>0</v>
      </c>
      <c r="AJ351" s="28">
        <f ca="1">ROUND(VLOOKUP(100,enemy_base_stats!$A:$F,2,FALSE) * Y351* J351*O351*E351*S351*AD351*[2]ステータス!$B$2,0)</f>
        <v>20706</v>
      </c>
      <c r="AK351" s="28">
        <f ca="1">ROUND(VLOOKUP(100,enemy_base_stats!$A:$F,3,FALSE)* Z351* K351*P351*F351*T351*AE351 * W351*[2]ステータス!$C$2,0)</f>
        <v>5968</v>
      </c>
      <c r="AL351" s="28">
        <f ca="1">ROUND(VLOOKUP(100,enemy_base_stats!$A:$F,4,FALSE)* AA351* L351*Q351*G351*U351*AF351*[2]ステータス!$D$2,0)</f>
        <v>0</v>
      </c>
      <c r="AM351" s="24">
        <f ca="1">VLOOKUP(M351,[2]character_tribe_i18n!$A:$I,9,FALSE)</f>
        <v>340</v>
      </c>
      <c r="AN351" s="36">
        <v>0</v>
      </c>
      <c r="AO351" s="53">
        <v>0</v>
      </c>
      <c r="AP351" s="58" t="s">
        <v>72</v>
      </c>
      <c r="AQ351" s="71">
        <f t="shared" ca="1" si="10"/>
        <v>350</v>
      </c>
    </row>
    <row r="352" spans="1:60" ht="21" customHeight="1" x14ac:dyDescent="0.15">
      <c r="A352" s="7">
        <f t="shared" ca="1" si="11"/>
        <v>351</v>
      </c>
      <c r="B352" s="6" t="str">
        <f ca="1">VLOOKUP(A352,[2]characters!$A:$C,3,FALSE)</f>
        <v>森のメタルフロッグ</v>
      </c>
      <c r="C352" s="9">
        <f ca="1">VLOOKUP(A352,[2]characters!$A:$I,9,FALSE)</f>
        <v>6</v>
      </c>
      <c r="D352" s="9" t="str">
        <f ca="1">VLOOKUP(A352,[2]characters!$A:$H,8,FALSE)</f>
        <v>green</v>
      </c>
      <c r="E352" s="24">
        <f ca="1">VLOOKUP(D352,[2]属性!$A:$E,2,FALSE)</f>
        <v>1.02</v>
      </c>
      <c r="F352" s="24">
        <f ca="1">VLOOKUP(D352,[2]属性!$A:$E,3,FALSE)</f>
        <v>0.98</v>
      </c>
      <c r="G352" s="24">
        <f ca="1">VLOOKUP(D352,[2]属性!$A:$F,4,FALSE)</f>
        <v>1</v>
      </c>
      <c r="H352" s="9" t="str">
        <f ca="1">VLOOKUP(A352,[2]characters!$A:$K,11,FALSE)</f>
        <v>exp</v>
      </c>
      <c r="I352" s="14" t="str">
        <f ca="1">VLOOKUP(H352,[2]character_type_i18n!$A:$F,3,FALSE)</f>
        <v>強化素材タイプ</v>
      </c>
      <c r="J352" s="36">
        <f ca="1">VLOOKUP(H352,[2]character_type_i18n!$A:$F,4,FALSE)</f>
        <v>0.1</v>
      </c>
      <c r="K352" s="36">
        <f ca="1">VLOOKUP(H352,[2]character_type_i18n!$A:$F,5,FALSE)</f>
        <v>0.05</v>
      </c>
      <c r="L352" s="36">
        <f ca="1">VLOOKUP(H352,[2]character_type_i18n!$A:$F,6,FALSE)</f>
        <v>1</v>
      </c>
      <c r="M352" s="9" t="str">
        <f ca="1">VLOOKUP(A352,[2]characters!$A:$M,13,FALSE)</f>
        <v>unknown</v>
      </c>
      <c r="N352" s="14" t="str">
        <f ca="1">VLOOKUP(M352,[2]character_tribe_i18n!$A:$F,3,FALSE)</f>
        <v>Unknown</v>
      </c>
      <c r="O352" s="24">
        <f ca="1">VLOOKUP(M352,[2]character_tribe_i18n!$A:$F,4,FALSE)</f>
        <v>1</v>
      </c>
      <c r="P352" s="24">
        <f ca="1">VLOOKUP(M352,[2]character_tribe_i18n!$A:$F,5,FALSE)</f>
        <v>1</v>
      </c>
      <c r="Q352" s="24">
        <f ca="1">VLOOKUP(M352,[2]character_tribe_i18n!$A:$F,6,FALSE)</f>
        <v>1</v>
      </c>
      <c r="R352" s="25" t="s">
        <v>19</v>
      </c>
      <c r="S352" s="24">
        <f>VLOOKUP($R352,ラベル別係数!$A$1:$E$7,3,FALSE)</f>
        <v>1</v>
      </c>
      <c r="T352" s="24">
        <f>VLOOKUP($R352,ラベル別係数!$A$1:$E$7,4,FALSE)</f>
        <v>1</v>
      </c>
      <c r="U352" s="24">
        <f>VLOOKUP($R352,ラベル別係数!$A$1:$E$7,5,FALSE)</f>
        <v>1</v>
      </c>
      <c r="V352" s="27">
        <v>3</v>
      </c>
      <c r="W352" s="28">
        <f>VLOOKUP(V352,ターン数別攻撃係数!$A$1:$B$1000,2,FALSE)</f>
        <v>1</v>
      </c>
      <c r="X352" s="10">
        <v>15</v>
      </c>
      <c r="Y352" s="26">
        <f>VLOOKUP($X352,サイズ別係数!$B:$E,2,FALSE)</f>
        <v>1</v>
      </c>
      <c r="Z352" s="26">
        <f>VLOOKUP($X352,サイズ別係数!$B:$E,3,FALSE)</f>
        <v>1</v>
      </c>
      <c r="AA352" s="26">
        <f>VLOOKUP($X352,サイズ別係数!$B:$E,4,FALSE)</f>
        <v>1</v>
      </c>
      <c r="AB352" s="5">
        <v>0</v>
      </c>
      <c r="AC352" s="34" t="str">
        <f ca="1">VLOOKUP($AB352,OFFSET([3]enemy_skill_sets!$B$2,0,0,COUNTA([3]enemy_skill_sets!$A:$A),MATCH(AC$1,[3]enemy_skill_sets!$1:$1,0)-MATCH($AB$1,[3]enemy_skill_sets!$1:$1,0)+1),MATCH(AC$1,[3]enemy_skill_sets!$1:$1,0)-MATCH($AB$1,[3]enemy_skill_sets!$1:$1,0)+1,FALSE)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2" s="67">
        <v>10</v>
      </c>
      <c r="AE352" s="67">
        <v>20</v>
      </c>
      <c r="AF352" s="68">
        <v>0</v>
      </c>
      <c r="AG352" s="28">
        <f ca="1">ROUND(VLOOKUP(1,enemy_base_stats!$A:$F,2,FALSE) * Y352* J352*O352*E352*S352*AD352*[2]ステータス!$B$2,0)</f>
        <v>510</v>
      </c>
      <c r="AH352" s="28">
        <f ca="1">ROUND(VLOOKUP(1,enemy_base_stats!$A:$F,3,FALSE) * Z352*K352*P352*F352*T352*AE352 * W352*[2]ステータス!$C$2,0)</f>
        <v>147</v>
      </c>
      <c r="AI352" s="28">
        <f ca="1">ROUND(VLOOKUP(1,enemy_base_stats!$A:$F,4,FALSE) * AA352*L352*Q352*G352*U352*AF352*[2]ステータス!$D$2,0)</f>
        <v>0</v>
      </c>
      <c r="AJ352" s="28">
        <f ca="1">ROUND(VLOOKUP(100,enemy_base_stats!$A:$F,2,FALSE) * Y352* J352*O352*E352*S352*AD352*[2]ステータス!$B$2,0)</f>
        <v>20706</v>
      </c>
      <c r="AK352" s="28">
        <f ca="1">ROUND(VLOOKUP(100,enemy_base_stats!$A:$F,3,FALSE)* Z352* K352*P352*F352*T352*AE352 * W352*[2]ステータス!$C$2,0)</f>
        <v>5968</v>
      </c>
      <c r="AL352" s="28">
        <f ca="1">ROUND(VLOOKUP(100,enemy_base_stats!$A:$F,4,FALSE)* AA352* L352*Q352*G352*U352*AF352*[2]ステータス!$D$2,0)</f>
        <v>0</v>
      </c>
      <c r="AM352" s="24">
        <f ca="1">VLOOKUP(M352,[2]character_tribe_i18n!$A:$I,9,FALSE)</f>
        <v>340</v>
      </c>
      <c r="AN352" s="36">
        <v>0</v>
      </c>
      <c r="AO352" s="53">
        <v>0</v>
      </c>
      <c r="AP352" s="58" t="s">
        <v>72</v>
      </c>
      <c r="AQ352" s="71">
        <f t="shared" ca="1" si="10"/>
        <v>351</v>
      </c>
    </row>
    <row r="353" spans="1:43" ht="21" customHeight="1" x14ac:dyDescent="0.15">
      <c r="A353" s="7">
        <f t="shared" ca="1" si="11"/>
        <v>352</v>
      </c>
      <c r="B353" s="6" t="str">
        <f ca="1">VLOOKUP(A353,[2]characters!$A:$C,3,FALSE)</f>
        <v>水のケロケロ</v>
      </c>
      <c r="C353" s="9">
        <f ca="1">VLOOKUP(A353,[2]characters!$A:$I,9,FALSE)</f>
        <v>5</v>
      </c>
      <c r="D353" s="9" t="str">
        <f ca="1">VLOOKUP(A353,[2]characters!$A:$H,8,FALSE)</f>
        <v>blue</v>
      </c>
      <c r="E353" s="24">
        <f ca="1">VLOOKUP(D353,[2]属性!$A:$E,2,FALSE)</f>
        <v>1</v>
      </c>
      <c r="F353" s="24">
        <f ca="1">VLOOKUP(D353,[2]属性!$A:$E,3,FALSE)</f>
        <v>0.98</v>
      </c>
      <c r="G353" s="24">
        <f ca="1">VLOOKUP(D353,[2]属性!$A:$F,4,FALSE)</f>
        <v>1</v>
      </c>
      <c r="H353" s="9" t="str">
        <f ca="1">VLOOKUP(A353,[2]characters!$A:$K,11,FALSE)</f>
        <v>exp</v>
      </c>
      <c r="I353" s="14" t="str">
        <f ca="1">VLOOKUP(H353,[2]character_type_i18n!$A:$F,3,FALSE)</f>
        <v>強化素材タイプ</v>
      </c>
      <c r="J353" s="36">
        <f ca="1">VLOOKUP(H353,[2]character_type_i18n!$A:$F,4,FALSE)</f>
        <v>0.1</v>
      </c>
      <c r="K353" s="36">
        <f ca="1">VLOOKUP(H353,[2]character_type_i18n!$A:$F,5,FALSE)</f>
        <v>0.05</v>
      </c>
      <c r="L353" s="36">
        <f ca="1">VLOOKUP(H353,[2]character_type_i18n!$A:$F,6,FALSE)</f>
        <v>1</v>
      </c>
      <c r="M353" s="9" t="str">
        <f ca="1">VLOOKUP(A353,[2]characters!$A:$M,13,FALSE)</f>
        <v>unknown</v>
      </c>
      <c r="N353" s="14" t="str">
        <f ca="1">VLOOKUP(M353,[2]character_tribe_i18n!$A:$F,3,FALSE)</f>
        <v>Unknown</v>
      </c>
      <c r="O353" s="24">
        <f ca="1">VLOOKUP(M353,[2]character_tribe_i18n!$A:$F,4,FALSE)</f>
        <v>1</v>
      </c>
      <c r="P353" s="24">
        <f ca="1">VLOOKUP(M353,[2]character_tribe_i18n!$A:$F,5,FALSE)</f>
        <v>1</v>
      </c>
      <c r="Q353" s="24">
        <f ca="1">VLOOKUP(M353,[2]character_tribe_i18n!$A:$F,6,FALSE)</f>
        <v>1</v>
      </c>
      <c r="R353" s="25" t="s">
        <v>19</v>
      </c>
      <c r="S353" s="24">
        <f>VLOOKUP($R353,ラベル別係数!$A$1:$E$7,3,FALSE)</f>
        <v>1</v>
      </c>
      <c r="T353" s="24">
        <f>VLOOKUP($R353,ラベル別係数!$A$1:$E$7,4,FALSE)</f>
        <v>1</v>
      </c>
      <c r="U353" s="24">
        <f>VLOOKUP($R353,ラベル別係数!$A$1:$E$7,5,FALSE)</f>
        <v>1</v>
      </c>
      <c r="V353" s="27">
        <v>3</v>
      </c>
      <c r="W353" s="28">
        <f>VLOOKUP(V353,ターン数別攻撃係数!$A$1:$B$1000,2,FALSE)</f>
        <v>1</v>
      </c>
      <c r="X353" s="10">
        <v>15</v>
      </c>
      <c r="Y353" s="26">
        <f>VLOOKUP($X353,サイズ別係数!$B:$E,2,FALSE)</f>
        <v>1</v>
      </c>
      <c r="Z353" s="26">
        <f>VLOOKUP($X353,サイズ別係数!$B:$E,3,FALSE)</f>
        <v>1</v>
      </c>
      <c r="AA353" s="26">
        <f>VLOOKUP($X353,サイズ別係数!$B:$E,4,FALSE)</f>
        <v>1</v>
      </c>
      <c r="AB353" s="5">
        <v>0</v>
      </c>
      <c r="AC353" s="34" t="str">
        <f ca="1">VLOOKUP($AB353,OFFSET([3]enemy_skill_sets!$B$2,0,0,COUNTA([3]enemy_skill_sets!$A:$A),MATCH(AC$1,[3]enemy_skill_sets!$1:$1,0)-MATCH($AB$1,[3]enemy_skill_sets!$1:$1,0)+1),MATCH(AC$1,[3]enemy_skill_sets!$1:$1,0)-MATCH($AB$1,[3]enemy_skill_sets!$1:$1,0)+1,FALSE)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3" s="67">
        <v>10</v>
      </c>
      <c r="AE353" s="67">
        <v>20</v>
      </c>
      <c r="AF353" s="68">
        <v>0</v>
      </c>
      <c r="AG353" s="28">
        <f ca="1">ROUND(VLOOKUP(1,enemy_base_stats!$A:$F,2,FALSE) * Y353* J353*O353*E353*S353*AD353*[2]ステータス!$B$2,0)</f>
        <v>500</v>
      </c>
      <c r="AH353" s="28">
        <f ca="1">ROUND(VLOOKUP(1,enemy_base_stats!$A:$F,3,FALSE) * Z353*K353*P353*F353*T353*AE353 * W353*[2]ステータス!$C$2,0)</f>
        <v>147</v>
      </c>
      <c r="AI353" s="28">
        <f ca="1">ROUND(VLOOKUP(1,enemy_base_stats!$A:$F,4,FALSE) * AA353*L353*Q353*G353*U353*AF353*[2]ステータス!$D$2,0)</f>
        <v>0</v>
      </c>
      <c r="AJ353" s="28">
        <f ca="1">ROUND(VLOOKUP(100,enemy_base_stats!$A:$F,2,FALSE) * Y353* J353*O353*E353*S353*AD353*[2]ステータス!$B$2,0)</f>
        <v>20300</v>
      </c>
      <c r="AK353" s="28">
        <f ca="1">ROUND(VLOOKUP(100,enemy_base_stats!$A:$F,3,FALSE)* Z353* K353*P353*F353*T353*AE353 * W353*[2]ステータス!$C$2,0)</f>
        <v>5968</v>
      </c>
      <c r="AL353" s="28">
        <f ca="1">ROUND(VLOOKUP(100,enemy_base_stats!$A:$F,4,FALSE)* AA353* L353*Q353*G353*U353*AF353*[2]ステータス!$D$2,0)</f>
        <v>0</v>
      </c>
      <c r="AM353" s="24">
        <f ca="1">VLOOKUP(M353,[2]character_tribe_i18n!$A:$I,9,FALSE)</f>
        <v>340</v>
      </c>
      <c r="AN353" s="36">
        <v>0</v>
      </c>
      <c r="AO353" s="53">
        <v>0</v>
      </c>
      <c r="AP353" s="58" t="s">
        <v>72</v>
      </c>
      <c r="AQ353" s="71">
        <f t="shared" ca="1" si="10"/>
        <v>352</v>
      </c>
    </row>
    <row r="354" spans="1:43" ht="21" customHeight="1" x14ac:dyDescent="0.15">
      <c r="A354" s="7">
        <f t="shared" ca="1" si="11"/>
        <v>353</v>
      </c>
      <c r="B354" s="6" t="str">
        <f ca="1">VLOOKUP(A354,[2]characters!$A:$C,3,FALSE)</f>
        <v>水のメタルフロッグ</v>
      </c>
      <c r="C354" s="9">
        <f ca="1">VLOOKUP(A354,[2]characters!$A:$I,9,FALSE)</f>
        <v>6</v>
      </c>
      <c r="D354" s="9" t="str">
        <f ca="1">VLOOKUP(A354,[2]characters!$A:$H,8,FALSE)</f>
        <v>blue</v>
      </c>
      <c r="E354" s="24">
        <f ca="1">VLOOKUP(D354,[2]属性!$A:$E,2,FALSE)</f>
        <v>1</v>
      </c>
      <c r="F354" s="24">
        <f ca="1">VLOOKUP(D354,[2]属性!$A:$E,3,FALSE)</f>
        <v>0.98</v>
      </c>
      <c r="G354" s="24">
        <f ca="1">VLOOKUP(D354,[2]属性!$A:$F,4,FALSE)</f>
        <v>1</v>
      </c>
      <c r="H354" s="9" t="str">
        <f ca="1">VLOOKUP(A354,[2]characters!$A:$K,11,FALSE)</f>
        <v>exp</v>
      </c>
      <c r="I354" s="14" t="str">
        <f ca="1">VLOOKUP(H354,[2]character_type_i18n!$A:$F,3,FALSE)</f>
        <v>強化素材タイプ</v>
      </c>
      <c r="J354" s="36">
        <f ca="1">VLOOKUP(H354,[2]character_type_i18n!$A:$F,4,FALSE)</f>
        <v>0.1</v>
      </c>
      <c r="K354" s="36">
        <f ca="1">VLOOKUP(H354,[2]character_type_i18n!$A:$F,5,FALSE)</f>
        <v>0.05</v>
      </c>
      <c r="L354" s="36">
        <f ca="1">VLOOKUP(H354,[2]character_type_i18n!$A:$F,6,FALSE)</f>
        <v>1</v>
      </c>
      <c r="M354" s="9" t="str">
        <f ca="1">VLOOKUP(A354,[2]characters!$A:$M,13,FALSE)</f>
        <v>unknown</v>
      </c>
      <c r="N354" s="14" t="str">
        <f ca="1">VLOOKUP(M354,[2]character_tribe_i18n!$A:$F,3,FALSE)</f>
        <v>Unknown</v>
      </c>
      <c r="O354" s="24">
        <f ca="1">VLOOKUP(M354,[2]character_tribe_i18n!$A:$F,4,FALSE)</f>
        <v>1</v>
      </c>
      <c r="P354" s="24">
        <f ca="1">VLOOKUP(M354,[2]character_tribe_i18n!$A:$F,5,FALSE)</f>
        <v>1</v>
      </c>
      <c r="Q354" s="24">
        <f ca="1">VLOOKUP(M354,[2]character_tribe_i18n!$A:$F,6,FALSE)</f>
        <v>1</v>
      </c>
      <c r="R354" s="25" t="s">
        <v>19</v>
      </c>
      <c r="S354" s="24">
        <f>VLOOKUP($R354,ラベル別係数!$A$1:$E$7,3,FALSE)</f>
        <v>1</v>
      </c>
      <c r="T354" s="24">
        <f>VLOOKUP($R354,ラベル別係数!$A$1:$E$7,4,FALSE)</f>
        <v>1</v>
      </c>
      <c r="U354" s="24">
        <f>VLOOKUP($R354,ラベル別係数!$A$1:$E$7,5,FALSE)</f>
        <v>1</v>
      </c>
      <c r="V354" s="27">
        <v>3</v>
      </c>
      <c r="W354" s="28">
        <f>VLOOKUP(V354,ターン数別攻撃係数!$A$1:$B$1000,2,FALSE)</f>
        <v>1</v>
      </c>
      <c r="X354" s="10">
        <v>15</v>
      </c>
      <c r="Y354" s="26">
        <f>VLOOKUP($X354,サイズ別係数!$B:$E,2,FALSE)</f>
        <v>1</v>
      </c>
      <c r="Z354" s="26">
        <f>VLOOKUP($X354,サイズ別係数!$B:$E,3,FALSE)</f>
        <v>1</v>
      </c>
      <c r="AA354" s="26">
        <f>VLOOKUP($X354,サイズ別係数!$B:$E,4,FALSE)</f>
        <v>1</v>
      </c>
      <c r="AB354" s="5">
        <v>0</v>
      </c>
      <c r="AC354" s="34" t="str">
        <f ca="1">VLOOKUP($AB354,OFFSET([3]enemy_skill_sets!$B$2,0,0,COUNTA([3]enemy_skill_sets!$A:$A),MATCH(AC$1,[3]enemy_skill_sets!$1:$1,0)-MATCH($AB$1,[3]enemy_skill_sets!$1:$1,0)+1),MATCH(AC$1,[3]enemy_skill_sets!$1:$1,0)-MATCH($AB$1,[3]enemy_skill_sets!$1:$1,0)+1,FALSE)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4" s="67">
        <v>10</v>
      </c>
      <c r="AE354" s="67">
        <v>20</v>
      </c>
      <c r="AF354" s="68">
        <v>0</v>
      </c>
      <c r="AG354" s="28">
        <f ca="1">ROUND(VLOOKUP(1,enemy_base_stats!$A:$F,2,FALSE) * Y354* J354*O354*E354*S354*AD354*[2]ステータス!$B$2,0)</f>
        <v>500</v>
      </c>
      <c r="AH354" s="28">
        <f ca="1">ROUND(VLOOKUP(1,enemy_base_stats!$A:$F,3,FALSE) * Z354*K354*P354*F354*T354*AE354 * W354*[2]ステータス!$C$2,0)</f>
        <v>147</v>
      </c>
      <c r="AI354" s="28">
        <f ca="1">ROUND(VLOOKUP(1,enemy_base_stats!$A:$F,4,FALSE) * AA354*L354*Q354*G354*U354*AF354*[2]ステータス!$D$2,0)</f>
        <v>0</v>
      </c>
      <c r="AJ354" s="28">
        <f ca="1">ROUND(VLOOKUP(100,enemy_base_stats!$A:$F,2,FALSE) * Y354* J354*O354*E354*S354*AD354*[2]ステータス!$B$2,0)</f>
        <v>20300</v>
      </c>
      <c r="AK354" s="28">
        <f ca="1">ROUND(VLOOKUP(100,enemy_base_stats!$A:$F,3,FALSE)* Z354* K354*P354*F354*T354*AE354 * W354*[2]ステータス!$C$2,0)</f>
        <v>5968</v>
      </c>
      <c r="AL354" s="28">
        <f ca="1">ROUND(VLOOKUP(100,enemy_base_stats!$A:$F,4,FALSE)* AA354* L354*Q354*G354*U354*AF354*[2]ステータス!$D$2,0)</f>
        <v>0</v>
      </c>
      <c r="AM354" s="24">
        <f ca="1">VLOOKUP(M354,[2]character_tribe_i18n!$A:$I,9,FALSE)</f>
        <v>340</v>
      </c>
      <c r="AN354" s="36">
        <v>0</v>
      </c>
      <c r="AO354" s="53">
        <v>0</v>
      </c>
      <c r="AP354" s="58" t="s">
        <v>72</v>
      </c>
      <c r="AQ354" s="71">
        <f t="shared" ca="1" si="10"/>
        <v>353</v>
      </c>
    </row>
    <row r="355" spans="1:43" ht="21" customHeight="1" x14ac:dyDescent="0.15">
      <c r="A355" s="7">
        <f t="shared" ca="1" si="11"/>
        <v>354</v>
      </c>
      <c r="B355" s="6" t="str">
        <f ca="1">VLOOKUP(A355,[2]characters!$A:$C,3,FALSE)</f>
        <v>雷のケロケロ</v>
      </c>
      <c r="C355" s="9">
        <f ca="1">VLOOKUP(A355,[2]characters!$A:$I,9,FALSE)</f>
        <v>5</v>
      </c>
      <c r="D355" s="9" t="str">
        <f ca="1">VLOOKUP(A355,[2]characters!$A:$H,8,FALSE)</f>
        <v>yellow</v>
      </c>
      <c r="E355" s="24">
        <f ca="1">VLOOKUP(D355,[2]属性!$A:$E,2,FALSE)</f>
        <v>0.98</v>
      </c>
      <c r="F355" s="24">
        <f ca="1">VLOOKUP(D355,[2]属性!$A:$E,3,FALSE)</f>
        <v>1.01</v>
      </c>
      <c r="G355" s="24">
        <f ca="1">VLOOKUP(D355,[2]属性!$A:$F,4,FALSE)</f>
        <v>1</v>
      </c>
      <c r="H355" s="9" t="str">
        <f ca="1">VLOOKUP(A355,[2]characters!$A:$K,11,FALSE)</f>
        <v>exp</v>
      </c>
      <c r="I355" s="14" t="str">
        <f ca="1">VLOOKUP(H355,[2]character_type_i18n!$A:$F,3,FALSE)</f>
        <v>強化素材タイプ</v>
      </c>
      <c r="J355" s="36">
        <f ca="1">VLOOKUP(H355,[2]character_type_i18n!$A:$F,4,FALSE)</f>
        <v>0.1</v>
      </c>
      <c r="K355" s="36">
        <f ca="1">VLOOKUP(H355,[2]character_type_i18n!$A:$F,5,FALSE)</f>
        <v>0.05</v>
      </c>
      <c r="L355" s="36">
        <f ca="1">VLOOKUP(H355,[2]character_type_i18n!$A:$F,6,FALSE)</f>
        <v>1</v>
      </c>
      <c r="M355" s="9" t="str">
        <f ca="1">VLOOKUP(A355,[2]characters!$A:$M,13,FALSE)</f>
        <v>unknown</v>
      </c>
      <c r="N355" s="14" t="str">
        <f ca="1">VLOOKUP(M355,[2]character_tribe_i18n!$A:$F,3,FALSE)</f>
        <v>Unknown</v>
      </c>
      <c r="O355" s="24">
        <f ca="1">VLOOKUP(M355,[2]character_tribe_i18n!$A:$F,4,FALSE)</f>
        <v>1</v>
      </c>
      <c r="P355" s="24">
        <f ca="1">VLOOKUP(M355,[2]character_tribe_i18n!$A:$F,5,FALSE)</f>
        <v>1</v>
      </c>
      <c r="Q355" s="24">
        <f ca="1">VLOOKUP(M355,[2]character_tribe_i18n!$A:$F,6,FALSE)</f>
        <v>1</v>
      </c>
      <c r="R355" s="25" t="s">
        <v>19</v>
      </c>
      <c r="S355" s="24">
        <f>VLOOKUP($R355,ラベル別係数!$A$1:$E$7,3,FALSE)</f>
        <v>1</v>
      </c>
      <c r="T355" s="24">
        <f>VLOOKUP($R355,ラベル別係数!$A$1:$E$7,4,FALSE)</f>
        <v>1</v>
      </c>
      <c r="U355" s="24">
        <f>VLOOKUP($R355,ラベル別係数!$A$1:$E$7,5,FALSE)</f>
        <v>1</v>
      </c>
      <c r="V355" s="27">
        <v>3</v>
      </c>
      <c r="W355" s="28">
        <f>VLOOKUP(V355,ターン数別攻撃係数!$A$1:$B$1000,2,FALSE)</f>
        <v>1</v>
      </c>
      <c r="X355" s="10">
        <v>15</v>
      </c>
      <c r="Y355" s="26">
        <f>VLOOKUP($X355,サイズ別係数!$B:$E,2,FALSE)</f>
        <v>1</v>
      </c>
      <c r="Z355" s="26">
        <f>VLOOKUP($X355,サイズ別係数!$B:$E,3,FALSE)</f>
        <v>1</v>
      </c>
      <c r="AA355" s="26">
        <f>VLOOKUP($X355,サイズ別係数!$B:$E,4,FALSE)</f>
        <v>1</v>
      </c>
      <c r="AB355" s="5">
        <v>0</v>
      </c>
      <c r="AC355" s="34" t="str">
        <f ca="1">VLOOKUP($AB355,OFFSET([3]enemy_skill_sets!$B$2,0,0,COUNTA([3]enemy_skill_sets!$A:$A),MATCH(AC$1,[3]enemy_skill_sets!$1:$1,0)-MATCH($AB$1,[3]enemy_skill_sets!$1:$1,0)+1),MATCH(AC$1,[3]enemy_skill_sets!$1:$1,0)-MATCH($AB$1,[3]enemy_skill_sets!$1:$1,0)+1,FALSE)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5" s="67">
        <v>10</v>
      </c>
      <c r="AE355" s="67">
        <v>20</v>
      </c>
      <c r="AF355" s="68">
        <v>0</v>
      </c>
      <c r="AG355" s="28">
        <f ca="1">ROUND(VLOOKUP(1,enemy_base_stats!$A:$F,2,FALSE) * Y355* J355*O355*E355*S355*AD355*[2]ステータス!$B$2,0)</f>
        <v>490</v>
      </c>
      <c r="AH355" s="28">
        <f ca="1">ROUND(VLOOKUP(1,enemy_base_stats!$A:$F,3,FALSE) * Z355*K355*P355*F355*T355*AE355 * W355*[2]ステータス!$C$2,0)</f>
        <v>152</v>
      </c>
      <c r="AI355" s="28">
        <f ca="1">ROUND(VLOOKUP(1,enemy_base_stats!$A:$F,4,FALSE) * AA355*L355*Q355*G355*U355*AF355*[2]ステータス!$D$2,0)</f>
        <v>0</v>
      </c>
      <c r="AJ355" s="28">
        <f ca="1">ROUND(VLOOKUP(100,enemy_base_stats!$A:$F,2,FALSE) * Y355* J355*O355*E355*S355*AD355*[2]ステータス!$B$2,0)</f>
        <v>19894</v>
      </c>
      <c r="AK355" s="28">
        <f ca="1">ROUND(VLOOKUP(100,enemy_base_stats!$A:$F,3,FALSE)* Z355* K355*P355*F355*T355*AE355 * W355*[2]ステータス!$C$2,0)</f>
        <v>6151</v>
      </c>
      <c r="AL355" s="28">
        <f ca="1">ROUND(VLOOKUP(100,enemy_base_stats!$A:$F,4,FALSE)* AA355* L355*Q355*G355*U355*AF355*[2]ステータス!$D$2,0)</f>
        <v>0</v>
      </c>
      <c r="AM355" s="24">
        <f ca="1">VLOOKUP(M355,[2]character_tribe_i18n!$A:$I,9,FALSE)</f>
        <v>340</v>
      </c>
      <c r="AN355" s="36">
        <v>0</v>
      </c>
      <c r="AO355" s="53">
        <v>0</v>
      </c>
      <c r="AP355" s="58" t="s">
        <v>72</v>
      </c>
      <c r="AQ355" s="71">
        <f t="shared" ca="1" si="10"/>
        <v>354</v>
      </c>
    </row>
    <row r="356" spans="1:43" ht="21" customHeight="1" x14ac:dyDescent="0.15">
      <c r="A356" s="7">
        <f t="shared" ca="1" si="11"/>
        <v>355</v>
      </c>
      <c r="B356" s="6" t="str">
        <f ca="1">VLOOKUP(A356,[2]characters!$A:$C,3,FALSE)</f>
        <v>雷のメタルフロッグ</v>
      </c>
      <c r="C356" s="9">
        <f ca="1">VLOOKUP(A356,[2]characters!$A:$I,9,FALSE)</f>
        <v>6</v>
      </c>
      <c r="D356" s="9" t="str">
        <f ca="1">VLOOKUP(A356,[2]characters!$A:$H,8,FALSE)</f>
        <v>yellow</v>
      </c>
      <c r="E356" s="24">
        <f ca="1">VLOOKUP(D356,[2]属性!$A:$E,2,FALSE)</f>
        <v>0.98</v>
      </c>
      <c r="F356" s="24">
        <f ca="1">VLOOKUP(D356,[2]属性!$A:$E,3,FALSE)</f>
        <v>1.01</v>
      </c>
      <c r="G356" s="24">
        <f ca="1">VLOOKUP(D356,[2]属性!$A:$F,4,FALSE)</f>
        <v>1</v>
      </c>
      <c r="H356" s="9" t="str">
        <f ca="1">VLOOKUP(A356,[2]characters!$A:$K,11,FALSE)</f>
        <v>exp</v>
      </c>
      <c r="I356" s="14" t="str">
        <f ca="1">VLOOKUP(H356,[2]character_type_i18n!$A:$F,3,FALSE)</f>
        <v>強化素材タイプ</v>
      </c>
      <c r="J356" s="36">
        <f ca="1">VLOOKUP(H356,[2]character_type_i18n!$A:$F,4,FALSE)</f>
        <v>0.1</v>
      </c>
      <c r="K356" s="36">
        <f ca="1">VLOOKUP(H356,[2]character_type_i18n!$A:$F,5,FALSE)</f>
        <v>0.05</v>
      </c>
      <c r="L356" s="36">
        <f ca="1">VLOOKUP(H356,[2]character_type_i18n!$A:$F,6,FALSE)</f>
        <v>1</v>
      </c>
      <c r="M356" s="9" t="str">
        <f ca="1">VLOOKUP(A356,[2]characters!$A:$M,13,FALSE)</f>
        <v>unknown</v>
      </c>
      <c r="N356" s="14" t="str">
        <f ca="1">VLOOKUP(M356,[2]character_tribe_i18n!$A:$F,3,FALSE)</f>
        <v>Unknown</v>
      </c>
      <c r="O356" s="24">
        <f ca="1">VLOOKUP(M356,[2]character_tribe_i18n!$A:$F,4,FALSE)</f>
        <v>1</v>
      </c>
      <c r="P356" s="24">
        <f ca="1">VLOOKUP(M356,[2]character_tribe_i18n!$A:$F,5,FALSE)</f>
        <v>1</v>
      </c>
      <c r="Q356" s="24">
        <f ca="1">VLOOKUP(M356,[2]character_tribe_i18n!$A:$F,6,FALSE)</f>
        <v>1</v>
      </c>
      <c r="R356" s="25" t="s">
        <v>19</v>
      </c>
      <c r="S356" s="24">
        <f>VLOOKUP($R356,ラベル別係数!$A$1:$E$7,3,FALSE)</f>
        <v>1</v>
      </c>
      <c r="T356" s="24">
        <f>VLOOKUP($R356,ラベル別係数!$A$1:$E$7,4,FALSE)</f>
        <v>1</v>
      </c>
      <c r="U356" s="24">
        <f>VLOOKUP($R356,ラベル別係数!$A$1:$E$7,5,FALSE)</f>
        <v>1</v>
      </c>
      <c r="V356" s="27">
        <v>3</v>
      </c>
      <c r="W356" s="28">
        <f>VLOOKUP(V356,ターン数別攻撃係数!$A$1:$B$1000,2,FALSE)</f>
        <v>1</v>
      </c>
      <c r="X356" s="10">
        <v>15</v>
      </c>
      <c r="Y356" s="26">
        <f>VLOOKUP($X356,サイズ別係数!$B:$E,2,FALSE)</f>
        <v>1</v>
      </c>
      <c r="Z356" s="26">
        <f>VLOOKUP($X356,サイズ別係数!$B:$E,3,FALSE)</f>
        <v>1</v>
      </c>
      <c r="AA356" s="26">
        <f>VLOOKUP($X356,サイズ別係数!$B:$E,4,FALSE)</f>
        <v>1</v>
      </c>
      <c r="AB356" s="5">
        <v>0</v>
      </c>
      <c r="AC356" s="34" t="str">
        <f ca="1">VLOOKUP($AB356,OFFSET([3]enemy_skill_sets!$B$2,0,0,COUNTA([3]enemy_skill_sets!$A:$A),MATCH(AC$1,[3]enemy_skill_sets!$1:$1,0)-MATCH($AB$1,[3]enemy_skill_sets!$1:$1,0)+1),MATCH(AC$1,[3]enemy_skill_sets!$1:$1,0)-MATCH($AB$1,[3]enemy_skill_sets!$1:$1,0)+1,FALSE)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6" s="67">
        <v>10</v>
      </c>
      <c r="AE356" s="67">
        <v>20</v>
      </c>
      <c r="AF356" s="68">
        <v>0</v>
      </c>
      <c r="AG356" s="28">
        <f ca="1">ROUND(VLOOKUP(1,enemy_base_stats!$A:$F,2,FALSE) * Y356* J356*O356*E356*S356*AD356*[2]ステータス!$B$2,0)</f>
        <v>490</v>
      </c>
      <c r="AH356" s="28">
        <f ca="1">ROUND(VLOOKUP(1,enemy_base_stats!$A:$F,3,FALSE) * Z356*K356*P356*F356*T356*AE356 * W356*[2]ステータス!$C$2,0)</f>
        <v>152</v>
      </c>
      <c r="AI356" s="28">
        <f ca="1">ROUND(VLOOKUP(1,enemy_base_stats!$A:$F,4,FALSE) * AA356*L356*Q356*G356*U356*AF356*[2]ステータス!$D$2,0)</f>
        <v>0</v>
      </c>
      <c r="AJ356" s="28">
        <f ca="1">ROUND(VLOOKUP(100,enemy_base_stats!$A:$F,2,FALSE) * Y356* J356*O356*E356*S356*AD356*[2]ステータス!$B$2,0)</f>
        <v>19894</v>
      </c>
      <c r="AK356" s="28">
        <f ca="1">ROUND(VLOOKUP(100,enemy_base_stats!$A:$F,3,FALSE)* Z356* K356*P356*F356*T356*AE356 * W356*[2]ステータス!$C$2,0)</f>
        <v>6151</v>
      </c>
      <c r="AL356" s="28">
        <f ca="1">ROUND(VLOOKUP(100,enemy_base_stats!$A:$F,4,FALSE)* AA356* L356*Q356*G356*U356*AF356*[2]ステータス!$D$2,0)</f>
        <v>0</v>
      </c>
      <c r="AM356" s="24">
        <f ca="1">VLOOKUP(M356,[2]character_tribe_i18n!$A:$I,9,FALSE)</f>
        <v>340</v>
      </c>
      <c r="AN356" s="36">
        <v>0</v>
      </c>
      <c r="AO356" s="53">
        <v>0</v>
      </c>
      <c r="AP356" s="58" t="s">
        <v>72</v>
      </c>
      <c r="AQ356" s="71">
        <f t="shared" ca="1" si="10"/>
        <v>355</v>
      </c>
    </row>
    <row r="357" spans="1:43" ht="21" customHeight="1" x14ac:dyDescent="0.15">
      <c r="A357" s="7">
        <f t="shared" ca="1" si="11"/>
        <v>356</v>
      </c>
      <c r="B357" s="6" t="str">
        <f ca="1">VLOOKUP(A357,[2]characters!$A:$C,3,FALSE)</f>
        <v>炎上のドードー</v>
      </c>
      <c r="C357" s="9">
        <f ca="1">VLOOKUP(A357,[2]characters!$A:$I,9,FALSE)</f>
        <v>5</v>
      </c>
      <c r="D357" s="9" t="str">
        <f ca="1">VLOOKUP(A357,[2]characters!$A:$H,8,FALSE)</f>
        <v>red</v>
      </c>
      <c r="E357" s="24">
        <f ca="1">VLOOKUP(D357,[2]属性!$A:$E,2,FALSE)</f>
        <v>1</v>
      </c>
      <c r="F357" s="24">
        <f ca="1">VLOOKUP(D357,[2]属性!$A:$E,3,FALSE)</f>
        <v>1.02</v>
      </c>
      <c r="G357" s="24">
        <f ca="1">VLOOKUP(D357,[2]属性!$A:$F,4,FALSE)</f>
        <v>1</v>
      </c>
      <c r="H357" s="9" t="str">
        <f ca="1">VLOOKUP(A357,[2]characters!$A:$K,11,FALSE)</f>
        <v>evolution</v>
      </c>
      <c r="I357" s="14" t="str">
        <f ca="1">VLOOKUP(H357,[2]character_type_i18n!$A:$F,3,FALSE)</f>
        <v>覚醒素材タイプ</v>
      </c>
      <c r="J357" s="36">
        <f ca="1">VLOOKUP(H357,[2]character_type_i18n!$A:$F,4,FALSE)</f>
        <v>0.1</v>
      </c>
      <c r="K357" s="36">
        <f ca="1">VLOOKUP(H357,[2]character_type_i18n!$A:$F,5,FALSE)</f>
        <v>0.05</v>
      </c>
      <c r="L357" s="36">
        <f ca="1">VLOOKUP(H357,[2]character_type_i18n!$A:$F,6,FALSE)</f>
        <v>1</v>
      </c>
      <c r="M357" s="9" t="str">
        <f ca="1">VLOOKUP(A357,[2]characters!$A:$M,13,FALSE)</f>
        <v>unknown</v>
      </c>
      <c r="N357" s="14" t="str">
        <f ca="1">VLOOKUP(M357,[2]character_tribe_i18n!$A:$F,3,FALSE)</f>
        <v>Unknown</v>
      </c>
      <c r="O357" s="24">
        <f ca="1">VLOOKUP(M357,[2]character_tribe_i18n!$A:$F,4,FALSE)</f>
        <v>1</v>
      </c>
      <c r="P357" s="24">
        <f ca="1">VLOOKUP(M357,[2]character_tribe_i18n!$A:$F,5,FALSE)</f>
        <v>1</v>
      </c>
      <c r="Q357" s="24">
        <f ca="1">VLOOKUP(M357,[2]character_tribe_i18n!$A:$F,6,FALSE)</f>
        <v>1</v>
      </c>
      <c r="R357" s="25" t="s">
        <v>19</v>
      </c>
      <c r="S357" s="24">
        <f>VLOOKUP($R357,ラベル別係数!$A$1:$E$7,3,FALSE)</f>
        <v>1</v>
      </c>
      <c r="T357" s="24">
        <f>VLOOKUP($R357,ラベル別係数!$A$1:$E$7,4,FALSE)</f>
        <v>1</v>
      </c>
      <c r="U357" s="24">
        <f>VLOOKUP($R357,ラベル別係数!$A$1:$E$7,5,FALSE)</f>
        <v>1</v>
      </c>
      <c r="V357" s="27">
        <v>3</v>
      </c>
      <c r="W357" s="28">
        <f>VLOOKUP(V357,ターン数別攻撃係数!$A$1:$B$1000,2,FALSE)</f>
        <v>1</v>
      </c>
      <c r="X357" s="10">
        <v>20</v>
      </c>
      <c r="Y357" s="101">
        <v>1</v>
      </c>
      <c r="Z357" s="101">
        <v>1</v>
      </c>
      <c r="AA357" s="101">
        <v>1</v>
      </c>
      <c r="AB357" s="5">
        <v>0</v>
      </c>
      <c r="AC357" s="34" t="str">
        <f ca="1">VLOOKUP($AB357,OFFSET([3]enemy_skill_sets!$B$2,0,0,COUNTA([3]enemy_skill_sets!$A:$A),MATCH(AC$1,[3]enemy_skill_sets!$1:$1,0)-MATCH($AB$1,[3]enemy_skill_sets!$1:$1,0)+1),MATCH(AC$1,[3]enemy_skill_sets!$1:$1,0)-MATCH($AB$1,[3]enemy_skill_sets!$1:$1,0)+1,FALSE)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7" s="67">
        <v>1</v>
      </c>
      <c r="AE357" s="67">
        <v>1</v>
      </c>
      <c r="AF357" s="68">
        <v>0</v>
      </c>
      <c r="AG357" s="28">
        <f ca="1">ROUND(VLOOKUP(1,enemy_base_stats!$A:$F,2,FALSE) * Y357* J357*O357*E357*S357*AD357*[2]ステータス!$B$2,0)</f>
        <v>50</v>
      </c>
      <c r="AH357" s="28">
        <f ca="1">ROUND(VLOOKUP(1,enemy_base_stats!$A:$F,3,FALSE) * Z357*K357*P357*F357*T357*AE357 * W357*[2]ステータス!$C$2,0)</f>
        <v>8</v>
      </c>
      <c r="AI357" s="28">
        <f ca="1">ROUND(VLOOKUP(1,enemy_base_stats!$A:$F,4,FALSE) * AA357*L357*Q357*G357*U357*AF357*[2]ステータス!$D$2,0)</f>
        <v>0</v>
      </c>
      <c r="AJ357" s="28">
        <f ca="1">ROUND(VLOOKUP(100,enemy_base_stats!$A:$F,2,FALSE) * Y357* J357*O357*E357*S357*AD357*[2]ステータス!$B$2,0)</f>
        <v>2030</v>
      </c>
      <c r="AK357" s="28">
        <f ca="1">ROUND(VLOOKUP(100,enemy_base_stats!$A:$F,3,FALSE)* Z357* K357*P357*F357*T357*AE357 * W357*[2]ステータス!$C$2,0)</f>
        <v>311</v>
      </c>
      <c r="AL357" s="28">
        <f ca="1">ROUND(VLOOKUP(100,enemy_base_stats!$A:$F,4,FALSE)* AA357* L357*Q357*G357*U357*AF357*[2]ステータス!$D$2,0)</f>
        <v>0</v>
      </c>
      <c r="AM357" s="24">
        <f ca="1">VLOOKUP(M357,[2]character_tribe_i18n!$A:$I,9,FALSE)</f>
        <v>340</v>
      </c>
      <c r="AN357" s="36">
        <v>0</v>
      </c>
      <c r="AO357" s="53">
        <v>0</v>
      </c>
      <c r="AP357" s="58" t="s">
        <v>72</v>
      </c>
      <c r="AQ357" s="71">
        <f t="shared" ca="1" si="10"/>
        <v>356</v>
      </c>
    </row>
    <row r="358" spans="1:43" ht="21" customHeight="1" x14ac:dyDescent="0.15">
      <c r="A358" s="7">
        <f t="shared" ca="1" si="11"/>
        <v>357</v>
      </c>
      <c r="B358" s="6" t="str">
        <f ca="1">VLOOKUP(A358,[2]characters!$A:$C,3,FALSE)</f>
        <v>千風のグリフォン</v>
      </c>
      <c r="C358" s="9">
        <f ca="1">VLOOKUP(A358,[2]characters!$A:$I,9,FALSE)</f>
        <v>5</v>
      </c>
      <c r="D358" s="9" t="str">
        <f ca="1">VLOOKUP(A358,[2]characters!$A:$H,8,FALSE)</f>
        <v>green</v>
      </c>
      <c r="E358" s="24">
        <f ca="1">VLOOKUP(D358,[2]属性!$A:$E,2,FALSE)</f>
        <v>1.02</v>
      </c>
      <c r="F358" s="24">
        <f ca="1">VLOOKUP(D358,[2]属性!$A:$E,3,FALSE)</f>
        <v>0.98</v>
      </c>
      <c r="G358" s="24">
        <f ca="1">VLOOKUP(D358,[2]属性!$A:$F,4,FALSE)</f>
        <v>1</v>
      </c>
      <c r="H358" s="9" t="str">
        <f ca="1">VLOOKUP(A358,[2]characters!$A:$K,11,FALSE)</f>
        <v>evolution</v>
      </c>
      <c r="I358" s="14" t="str">
        <f ca="1">VLOOKUP(H358,[2]character_type_i18n!$A:$F,3,FALSE)</f>
        <v>覚醒素材タイプ</v>
      </c>
      <c r="J358" s="36">
        <f ca="1">VLOOKUP(H358,[2]character_type_i18n!$A:$F,4,FALSE)</f>
        <v>0.1</v>
      </c>
      <c r="K358" s="36">
        <f ca="1">VLOOKUP(H358,[2]character_type_i18n!$A:$F,5,FALSE)</f>
        <v>0.05</v>
      </c>
      <c r="L358" s="36">
        <f ca="1">VLOOKUP(H358,[2]character_type_i18n!$A:$F,6,FALSE)</f>
        <v>1</v>
      </c>
      <c r="M358" s="9" t="str">
        <f ca="1">VLOOKUP(A358,[2]characters!$A:$M,13,FALSE)</f>
        <v>unknown</v>
      </c>
      <c r="N358" s="14" t="str">
        <f ca="1">VLOOKUP(M358,[2]character_tribe_i18n!$A:$F,3,FALSE)</f>
        <v>Unknown</v>
      </c>
      <c r="O358" s="24">
        <f ca="1">VLOOKUP(M358,[2]character_tribe_i18n!$A:$F,4,FALSE)</f>
        <v>1</v>
      </c>
      <c r="P358" s="24">
        <f ca="1">VLOOKUP(M358,[2]character_tribe_i18n!$A:$F,5,FALSE)</f>
        <v>1</v>
      </c>
      <c r="Q358" s="24">
        <f ca="1">VLOOKUP(M358,[2]character_tribe_i18n!$A:$F,6,FALSE)</f>
        <v>1</v>
      </c>
      <c r="R358" s="25" t="s">
        <v>19</v>
      </c>
      <c r="S358" s="24">
        <f>VLOOKUP($R358,ラベル別係数!$A$1:$E$7,3,FALSE)</f>
        <v>1</v>
      </c>
      <c r="T358" s="24">
        <f>VLOOKUP($R358,ラベル別係数!$A$1:$E$7,4,FALSE)</f>
        <v>1</v>
      </c>
      <c r="U358" s="24">
        <f>VLOOKUP($R358,ラベル別係数!$A$1:$E$7,5,FALSE)</f>
        <v>1</v>
      </c>
      <c r="V358" s="27">
        <v>3</v>
      </c>
      <c r="W358" s="28">
        <f>VLOOKUP(V358,ターン数別攻撃係数!$A$1:$B$1000,2,FALSE)</f>
        <v>1</v>
      </c>
      <c r="X358" s="10">
        <v>20</v>
      </c>
      <c r="Y358" s="101">
        <v>1</v>
      </c>
      <c r="Z358" s="101">
        <v>1</v>
      </c>
      <c r="AA358" s="101">
        <v>1</v>
      </c>
      <c r="AB358" s="5">
        <v>0</v>
      </c>
      <c r="AC358" s="34" t="str">
        <f ca="1">VLOOKUP($AB358,OFFSET([3]enemy_skill_sets!$B$2,0,0,COUNTA([3]enemy_skill_sets!$A:$A),MATCH(AC$1,[3]enemy_skill_sets!$1:$1,0)-MATCH($AB$1,[3]enemy_skill_sets!$1:$1,0)+1),MATCH(AC$1,[3]enemy_skill_sets!$1:$1,0)-MATCH($AB$1,[3]enemy_skill_sets!$1:$1,0)+1,FALSE)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8" s="67">
        <v>1</v>
      </c>
      <c r="AE358" s="67">
        <v>1</v>
      </c>
      <c r="AF358" s="68">
        <v>0</v>
      </c>
      <c r="AG358" s="28">
        <f ca="1">ROUND(VLOOKUP(1,enemy_base_stats!$A:$F,2,FALSE) * Y358* J358*O358*E358*S358*AD358*[2]ステータス!$B$2,0)</f>
        <v>51</v>
      </c>
      <c r="AH358" s="28">
        <f ca="1">ROUND(VLOOKUP(1,enemy_base_stats!$A:$F,3,FALSE) * Z358*K358*P358*F358*T358*AE358 * W358*[2]ステータス!$C$2,0)</f>
        <v>7</v>
      </c>
      <c r="AI358" s="28">
        <f ca="1">ROUND(VLOOKUP(1,enemy_base_stats!$A:$F,4,FALSE) * AA358*L358*Q358*G358*U358*AF358*[2]ステータス!$D$2,0)</f>
        <v>0</v>
      </c>
      <c r="AJ358" s="28">
        <f ca="1">ROUND(VLOOKUP(100,enemy_base_stats!$A:$F,2,FALSE) * Y358* J358*O358*E358*S358*AD358*[2]ステータス!$B$2,0)</f>
        <v>2071</v>
      </c>
      <c r="AK358" s="28">
        <f ca="1">ROUND(VLOOKUP(100,enemy_base_stats!$A:$F,3,FALSE)* Z358* K358*P358*F358*T358*AE358 * W358*[2]ステータス!$C$2,0)</f>
        <v>298</v>
      </c>
      <c r="AL358" s="28">
        <f ca="1">ROUND(VLOOKUP(100,enemy_base_stats!$A:$F,4,FALSE)* AA358* L358*Q358*G358*U358*AF358*[2]ステータス!$D$2,0)</f>
        <v>0</v>
      </c>
      <c r="AM358" s="24">
        <f ca="1">VLOOKUP(M358,[2]character_tribe_i18n!$A:$I,9,FALSE)</f>
        <v>340</v>
      </c>
      <c r="AN358" s="36">
        <v>0</v>
      </c>
      <c r="AO358" s="53">
        <v>0</v>
      </c>
      <c r="AP358" s="58" t="s">
        <v>72</v>
      </c>
      <c r="AQ358" s="71">
        <f t="shared" ca="1" si="10"/>
        <v>357</v>
      </c>
    </row>
    <row r="359" spans="1:43" ht="21" customHeight="1" x14ac:dyDescent="0.15">
      <c r="A359" s="7">
        <f t="shared" ca="1" si="11"/>
        <v>358</v>
      </c>
      <c r="B359" s="6" t="str">
        <f ca="1">VLOOKUP(A359,[2]characters!$A:$C,3,FALSE)</f>
        <v>深淵の代用ウミガメ</v>
      </c>
      <c r="C359" s="9">
        <f ca="1">VLOOKUP(A359,[2]characters!$A:$I,9,FALSE)</f>
        <v>5</v>
      </c>
      <c r="D359" s="9" t="str">
        <f ca="1">VLOOKUP(A359,[2]characters!$A:$H,8,FALSE)</f>
        <v>blue</v>
      </c>
      <c r="E359" s="24">
        <f ca="1">VLOOKUP(D359,[2]属性!$A:$E,2,FALSE)</f>
        <v>1</v>
      </c>
      <c r="F359" s="24">
        <f ca="1">VLOOKUP(D359,[2]属性!$A:$E,3,FALSE)</f>
        <v>0.98</v>
      </c>
      <c r="G359" s="24">
        <f ca="1">VLOOKUP(D359,[2]属性!$A:$F,4,FALSE)</f>
        <v>1</v>
      </c>
      <c r="H359" s="9" t="str">
        <f ca="1">VLOOKUP(A359,[2]characters!$A:$K,11,FALSE)</f>
        <v>evolution</v>
      </c>
      <c r="I359" s="14" t="str">
        <f ca="1">VLOOKUP(H359,[2]character_type_i18n!$A:$F,3,FALSE)</f>
        <v>覚醒素材タイプ</v>
      </c>
      <c r="J359" s="36">
        <f ca="1">VLOOKUP(H359,[2]character_type_i18n!$A:$F,4,FALSE)</f>
        <v>0.1</v>
      </c>
      <c r="K359" s="36">
        <f ca="1">VLOOKUP(H359,[2]character_type_i18n!$A:$F,5,FALSE)</f>
        <v>0.05</v>
      </c>
      <c r="L359" s="36">
        <f ca="1">VLOOKUP(H359,[2]character_type_i18n!$A:$F,6,FALSE)</f>
        <v>1</v>
      </c>
      <c r="M359" s="9" t="str">
        <f ca="1">VLOOKUP(A359,[2]characters!$A:$M,13,FALSE)</f>
        <v>unknown</v>
      </c>
      <c r="N359" s="14" t="str">
        <f ca="1">VLOOKUP(M359,[2]character_tribe_i18n!$A:$F,3,FALSE)</f>
        <v>Unknown</v>
      </c>
      <c r="O359" s="24">
        <f ca="1">VLOOKUP(M359,[2]character_tribe_i18n!$A:$F,4,FALSE)</f>
        <v>1</v>
      </c>
      <c r="P359" s="24">
        <f ca="1">VLOOKUP(M359,[2]character_tribe_i18n!$A:$F,5,FALSE)</f>
        <v>1</v>
      </c>
      <c r="Q359" s="24">
        <f ca="1">VLOOKUP(M359,[2]character_tribe_i18n!$A:$F,6,FALSE)</f>
        <v>1</v>
      </c>
      <c r="R359" s="25" t="s">
        <v>19</v>
      </c>
      <c r="S359" s="24">
        <f>VLOOKUP($R359,ラベル別係数!$A$1:$E$7,3,FALSE)</f>
        <v>1</v>
      </c>
      <c r="T359" s="24">
        <f>VLOOKUP($R359,ラベル別係数!$A$1:$E$7,4,FALSE)</f>
        <v>1</v>
      </c>
      <c r="U359" s="24">
        <f>VLOOKUP($R359,ラベル別係数!$A$1:$E$7,5,FALSE)</f>
        <v>1</v>
      </c>
      <c r="V359" s="27">
        <v>3</v>
      </c>
      <c r="W359" s="28">
        <f>VLOOKUP(V359,ターン数別攻撃係数!$A$1:$B$1000,2,FALSE)</f>
        <v>1</v>
      </c>
      <c r="X359" s="10">
        <v>20</v>
      </c>
      <c r="Y359" s="101">
        <v>1</v>
      </c>
      <c r="Z359" s="101">
        <v>1</v>
      </c>
      <c r="AA359" s="101">
        <v>1</v>
      </c>
      <c r="AB359" s="5">
        <v>0</v>
      </c>
      <c r="AC359" s="34" t="str">
        <f ca="1">VLOOKUP($AB359,OFFSET([3]enemy_skill_sets!$B$2,0,0,COUNTA([3]enemy_skill_sets!$A:$A),MATCH(AC$1,[3]enemy_skill_sets!$1:$1,0)-MATCH($AB$1,[3]enemy_skill_sets!$1:$1,0)+1),MATCH(AC$1,[3]enemy_skill_sets!$1:$1,0)-MATCH($AB$1,[3]enemy_skill_sets!$1:$1,0)+1,FALSE)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59" s="67">
        <v>1</v>
      </c>
      <c r="AE359" s="67">
        <v>1</v>
      </c>
      <c r="AF359" s="68">
        <v>0</v>
      </c>
      <c r="AG359" s="28">
        <f ca="1">ROUND(VLOOKUP(1,enemy_base_stats!$A:$F,2,FALSE) * Y359* J359*O359*E359*S359*AD359*[2]ステータス!$B$2,0)</f>
        <v>50</v>
      </c>
      <c r="AH359" s="28">
        <f ca="1">ROUND(VLOOKUP(1,enemy_base_stats!$A:$F,3,FALSE) * Z359*K359*P359*F359*T359*AE359 * W359*[2]ステータス!$C$2,0)</f>
        <v>7</v>
      </c>
      <c r="AI359" s="28">
        <f ca="1">ROUND(VLOOKUP(1,enemy_base_stats!$A:$F,4,FALSE) * AA359*L359*Q359*G359*U359*AF359*[2]ステータス!$D$2,0)</f>
        <v>0</v>
      </c>
      <c r="AJ359" s="28">
        <f ca="1">ROUND(VLOOKUP(100,enemy_base_stats!$A:$F,2,FALSE) * Y359* J359*O359*E359*S359*AD359*[2]ステータス!$B$2,0)</f>
        <v>2030</v>
      </c>
      <c r="AK359" s="28">
        <f ca="1">ROUND(VLOOKUP(100,enemy_base_stats!$A:$F,3,FALSE)* Z359* K359*P359*F359*T359*AE359 * W359*[2]ステータス!$C$2,0)</f>
        <v>298</v>
      </c>
      <c r="AL359" s="28">
        <f ca="1">ROUND(VLOOKUP(100,enemy_base_stats!$A:$F,4,FALSE)* AA359* L359*Q359*G359*U359*AF359*[2]ステータス!$D$2,0)</f>
        <v>0</v>
      </c>
      <c r="AM359" s="24">
        <f ca="1">VLOOKUP(M359,[2]character_tribe_i18n!$A:$I,9,FALSE)</f>
        <v>340</v>
      </c>
      <c r="AN359" s="36">
        <v>0</v>
      </c>
      <c r="AO359" s="53">
        <v>0</v>
      </c>
      <c r="AP359" s="58" t="s">
        <v>72</v>
      </c>
      <c r="AQ359" s="71">
        <f t="shared" ca="1" si="10"/>
        <v>358</v>
      </c>
    </row>
    <row r="360" spans="1:43" ht="21" customHeight="1" x14ac:dyDescent="0.15">
      <c r="A360" s="7">
        <f t="shared" ca="1" si="11"/>
        <v>359</v>
      </c>
      <c r="B360" s="6" t="str">
        <f ca="1">VLOOKUP(A360,[2]characters!$A:$C,3,FALSE)</f>
        <v>醒電の眠りネズミ</v>
      </c>
      <c r="C360" s="9">
        <f ca="1">VLOOKUP(A360,[2]characters!$A:$I,9,FALSE)</f>
        <v>5</v>
      </c>
      <c r="D360" s="9" t="str">
        <f ca="1">VLOOKUP(A360,[2]characters!$A:$H,8,FALSE)</f>
        <v>yellow</v>
      </c>
      <c r="E360" s="24">
        <f ca="1">VLOOKUP(D360,[2]属性!$A:$E,2,FALSE)</f>
        <v>0.98</v>
      </c>
      <c r="F360" s="24">
        <f ca="1">VLOOKUP(D360,[2]属性!$A:$E,3,FALSE)</f>
        <v>1.01</v>
      </c>
      <c r="G360" s="24">
        <f ca="1">VLOOKUP(D360,[2]属性!$A:$F,4,FALSE)</f>
        <v>1</v>
      </c>
      <c r="H360" s="9" t="str">
        <f ca="1">VLOOKUP(A360,[2]characters!$A:$K,11,FALSE)</f>
        <v>evolution</v>
      </c>
      <c r="I360" s="14" t="str">
        <f ca="1">VLOOKUP(H360,[2]character_type_i18n!$A:$F,3,FALSE)</f>
        <v>覚醒素材タイプ</v>
      </c>
      <c r="J360" s="36">
        <f ca="1">VLOOKUP(H360,[2]character_type_i18n!$A:$F,4,FALSE)</f>
        <v>0.1</v>
      </c>
      <c r="K360" s="36">
        <f ca="1">VLOOKUP(H360,[2]character_type_i18n!$A:$F,5,FALSE)</f>
        <v>0.05</v>
      </c>
      <c r="L360" s="36">
        <f ca="1">VLOOKUP(H360,[2]character_type_i18n!$A:$F,6,FALSE)</f>
        <v>1</v>
      </c>
      <c r="M360" s="9" t="str">
        <f ca="1">VLOOKUP(A360,[2]characters!$A:$M,13,FALSE)</f>
        <v>unknown</v>
      </c>
      <c r="N360" s="14" t="str">
        <f ca="1">VLOOKUP(M360,[2]character_tribe_i18n!$A:$F,3,FALSE)</f>
        <v>Unknown</v>
      </c>
      <c r="O360" s="24">
        <f ca="1">VLOOKUP(M360,[2]character_tribe_i18n!$A:$F,4,FALSE)</f>
        <v>1</v>
      </c>
      <c r="P360" s="24">
        <f ca="1">VLOOKUP(M360,[2]character_tribe_i18n!$A:$F,5,FALSE)</f>
        <v>1</v>
      </c>
      <c r="Q360" s="24">
        <f ca="1">VLOOKUP(M360,[2]character_tribe_i18n!$A:$F,6,FALSE)</f>
        <v>1</v>
      </c>
      <c r="R360" s="25" t="s">
        <v>19</v>
      </c>
      <c r="S360" s="24">
        <f>VLOOKUP($R360,ラベル別係数!$A$1:$E$7,3,FALSE)</f>
        <v>1</v>
      </c>
      <c r="T360" s="24">
        <f>VLOOKUP($R360,ラベル別係数!$A$1:$E$7,4,FALSE)</f>
        <v>1</v>
      </c>
      <c r="U360" s="24">
        <f>VLOOKUP($R360,ラベル別係数!$A$1:$E$7,5,FALSE)</f>
        <v>1</v>
      </c>
      <c r="V360" s="27">
        <v>3</v>
      </c>
      <c r="W360" s="28">
        <f>VLOOKUP(V360,ターン数別攻撃係数!$A$1:$B$1000,2,FALSE)</f>
        <v>1</v>
      </c>
      <c r="X360" s="10">
        <v>20</v>
      </c>
      <c r="Y360" s="101">
        <v>1</v>
      </c>
      <c r="Z360" s="101">
        <v>1</v>
      </c>
      <c r="AA360" s="101">
        <v>1</v>
      </c>
      <c r="AB360" s="5">
        <v>0</v>
      </c>
      <c r="AC360" s="34" t="str">
        <f ca="1">VLOOKUP($AB360,OFFSET([3]enemy_skill_sets!$B$2,0,0,COUNTA([3]enemy_skill_sets!$A:$A),MATCH(AC$1,[3]enemy_skill_sets!$1:$1,0)-MATCH($AB$1,[3]enemy_skill_sets!$1:$1,0)+1),MATCH(AC$1,[3]enemy_skill_sets!$1:$1,0)-MATCH($AB$1,[3]enemy_skill_sets!$1:$1,0)+1,FALSE)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0" s="67">
        <v>1</v>
      </c>
      <c r="AE360" s="67">
        <v>1</v>
      </c>
      <c r="AF360" s="68">
        <v>0</v>
      </c>
      <c r="AG360" s="28">
        <f ca="1">ROUND(VLOOKUP(1,enemy_base_stats!$A:$F,2,FALSE) * Y360* J360*O360*E360*S360*AD360*[2]ステータス!$B$2,0)</f>
        <v>49</v>
      </c>
      <c r="AH360" s="28">
        <f ca="1">ROUND(VLOOKUP(1,enemy_base_stats!$A:$F,3,FALSE) * Z360*K360*P360*F360*T360*AE360 * W360*[2]ステータス!$C$2,0)</f>
        <v>8</v>
      </c>
      <c r="AI360" s="28">
        <f ca="1">ROUND(VLOOKUP(1,enemy_base_stats!$A:$F,4,FALSE) * AA360*L360*Q360*G360*U360*AF360*[2]ステータス!$D$2,0)</f>
        <v>0</v>
      </c>
      <c r="AJ360" s="28">
        <f ca="1">ROUND(VLOOKUP(100,enemy_base_stats!$A:$F,2,FALSE) * Y360* J360*O360*E360*S360*AD360*[2]ステータス!$B$2,0)</f>
        <v>1989</v>
      </c>
      <c r="AK360" s="28">
        <f ca="1">ROUND(VLOOKUP(100,enemy_base_stats!$A:$F,3,FALSE)* Z360* K360*P360*F360*T360*AE360 * W360*[2]ステータス!$C$2,0)</f>
        <v>308</v>
      </c>
      <c r="AL360" s="28">
        <f ca="1">ROUND(VLOOKUP(100,enemy_base_stats!$A:$F,4,FALSE)* AA360* L360*Q360*G360*U360*AF360*[2]ステータス!$D$2,0)</f>
        <v>0</v>
      </c>
      <c r="AM360" s="24">
        <f ca="1">VLOOKUP(M360,[2]character_tribe_i18n!$A:$I,9,FALSE)</f>
        <v>340</v>
      </c>
      <c r="AN360" s="36">
        <v>0</v>
      </c>
      <c r="AO360" s="53">
        <v>0</v>
      </c>
      <c r="AP360" s="58" t="s">
        <v>72</v>
      </c>
      <c r="AQ360" s="71">
        <f t="shared" ca="1" si="10"/>
        <v>359</v>
      </c>
    </row>
    <row r="361" spans="1:43" ht="21" customHeight="1" x14ac:dyDescent="0.15">
      <c r="A361" s="7">
        <f t="shared" ca="1" si="11"/>
        <v>360</v>
      </c>
      <c r="B361" s="6" t="str">
        <f ca="1">VLOOKUP(A361,[2]characters!$A:$C,3,FALSE)</f>
        <v>ガンテツ</v>
      </c>
      <c r="C361" s="9">
        <f ca="1">VLOOKUP(A361,[2]characters!$A:$I,9,FALSE)</f>
        <v>2</v>
      </c>
      <c r="D361" s="9" t="str">
        <f ca="1">VLOOKUP(A361,[2]characters!$A:$H,8,FALSE)</f>
        <v>red</v>
      </c>
      <c r="E361" s="24">
        <f ca="1">VLOOKUP(D361,[2]属性!$A:$E,2,FALSE)</f>
        <v>1</v>
      </c>
      <c r="F361" s="24">
        <f ca="1">VLOOKUP(D361,[2]属性!$A:$E,3,FALSE)</f>
        <v>1.02</v>
      </c>
      <c r="G361" s="24">
        <f ca="1">VLOOKUP(D361,[2]属性!$A:$F,4,FALSE)</f>
        <v>1</v>
      </c>
      <c r="H361" s="9" t="str">
        <f ca="1">VLOOKUP(A361,[2]characters!$A:$K,11,FALSE)</f>
        <v>hp</v>
      </c>
      <c r="I361" s="14" t="str">
        <f ca="1">VLOOKUP(H361,[2]character_type_i18n!$A:$F,3,FALSE)</f>
        <v>体力タイプ</v>
      </c>
      <c r="J361" s="36">
        <f ca="1">VLOOKUP(H361,[2]character_type_i18n!$A:$F,4,FALSE)</f>
        <v>1.45</v>
      </c>
      <c r="K361" s="36">
        <f ca="1">VLOOKUP(H361,[2]character_type_i18n!$A:$F,5,FALSE)</f>
        <v>0.85</v>
      </c>
      <c r="L361" s="36">
        <f ca="1">VLOOKUP(H361,[2]character_type_i18n!$A:$F,6,FALSE)</f>
        <v>1</v>
      </c>
      <c r="M361" s="9" t="str">
        <f ca="1">VLOOKUP(A361,[2]characters!$A:$M,13,FALSE)</f>
        <v>animal</v>
      </c>
      <c r="N361" s="14" t="str">
        <f ca="1">VLOOKUP(M361,[2]character_tribe_i18n!$A:$F,3,FALSE)</f>
        <v>アニマル</v>
      </c>
      <c r="O361" s="24">
        <f ca="1">VLOOKUP(M361,[2]character_tribe_i18n!$A:$F,4,FALSE)</f>
        <v>1</v>
      </c>
      <c r="P361" s="24">
        <f ca="1">VLOOKUP(M361,[2]character_tribe_i18n!$A:$F,5,FALSE)</f>
        <v>1.1000000000000001</v>
      </c>
      <c r="Q361" s="24">
        <f ca="1">VLOOKUP(M361,[2]character_tribe_i18n!$A:$F,6,FALSE)</f>
        <v>1</v>
      </c>
      <c r="R361" s="25" t="s">
        <v>19</v>
      </c>
      <c r="S361" s="24">
        <f>VLOOKUP($R361,ラベル別係数!$A$1:$E$7,3,FALSE)</f>
        <v>1</v>
      </c>
      <c r="T361" s="24">
        <f>VLOOKUP($R361,ラベル別係数!$A$1:$E$7,4,FALSE)</f>
        <v>1</v>
      </c>
      <c r="U361" s="24">
        <f>VLOOKUP($R361,ラベル別係数!$A$1:$E$7,5,FALSE)</f>
        <v>1</v>
      </c>
      <c r="V361" s="27">
        <v>3</v>
      </c>
      <c r="W361" s="28">
        <f>VLOOKUP(V361,ターン数別攻撃係数!$A$1:$B$1000,2,FALSE)</f>
        <v>1</v>
      </c>
      <c r="X361" s="10">
        <v>15</v>
      </c>
      <c r="Y361" s="26">
        <f>VLOOKUP($X361,サイズ別係数!$B:$E,2,FALSE)</f>
        <v>1</v>
      </c>
      <c r="Z361" s="26">
        <f>VLOOKUP($X361,サイズ別係数!$B:$E,3,FALSE)</f>
        <v>1</v>
      </c>
      <c r="AA361" s="26">
        <f>VLOOKUP($X361,サイズ別係数!$B:$E,4,FALSE)</f>
        <v>1</v>
      </c>
      <c r="AB361" s="5">
        <v>0</v>
      </c>
      <c r="AC361" s="34" t="str">
        <f ca="1">VLOOKUP($AB361,OFFSET([3]enemy_skill_sets!$B$2,0,0,COUNTA([3]enemy_skill_sets!$A:$A),MATCH(AC$1,[3]enemy_skill_sets!$1:$1,0)-MATCH($AB$1,[3]enemy_skill_sets!$1:$1,0)+1),MATCH(AC$1,[3]enemy_skill_sets!$1:$1,0)-MATCH($AB$1,[3]enemy_skill_sets!$1:$1,0)+1,FALSE)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1" s="67">
        <v>1</v>
      </c>
      <c r="AE361" s="67">
        <v>1</v>
      </c>
      <c r="AF361" s="37">
        <v>0</v>
      </c>
      <c r="AG361" s="28">
        <f ca="1">ROUND(VLOOKUP(1,enemy_base_stats!$A:$F,2,FALSE) * Y361* J361*O361*E361*S361*AD361*[2]ステータス!$B$2,0)</f>
        <v>725</v>
      </c>
      <c r="AH361" s="28">
        <f ca="1">ROUND(VLOOKUP(1,enemy_base_stats!$A:$F,3,FALSE) * Z361*K361*P361*F361*T361*AE361 * W361*[2]ステータス!$C$2,0)</f>
        <v>143</v>
      </c>
      <c r="AI361" s="28">
        <f ca="1">ROUND(VLOOKUP(1,enemy_base_stats!$A:$F,4,FALSE) * AA361*L361*Q361*G361*U361*AF361*[2]ステータス!$D$2,0)</f>
        <v>0</v>
      </c>
      <c r="AJ361" s="28">
        <f ca="1">ROUND(VLOOKUP(100,enemy_base_stats!$A:$F,2,FALSE) * Y361* J361*O361*E361*S361*AD361*[2]ステータス!$B$2,0)</f>
        <v>29435</v>
      </c>
      <c r="AK361" s="28">
        <f ca="1">ROUND(VLOOKUP(100,enemy_base_stats!$A:$F,3,FALSE)* Z361* K361*P361*F361*T361*AE361 * W361*[2]ステータス!$C$2,0)</f>
        <v>5808</v>
      </c>
      <c r="AL361" s="28">
        <f ca="1">ROUND(VLOOKUP(100,enemy_base_stats!$A:$F,4,FALSE)* AA361* L361*Q361*G361*U361*AF361*[2]ステータス!$D$2,0)</f>
        <v>0</v>
      </c>
      <c r="AM361" s="24">
        <f ca="1">VLOOKUP(M361,[2]character_tribe_i18n!$A:$I,9,FALSE)</f>
        <v>480</v>
      </c>
      <c r="AN361" s="36">
        <v>0</v>
      </c>
      <c r="AO361" s="53">
        <v>0</v>
      </c>
      <c r="AP361" s="58" t="s">
        <v>72</v>
      </c>
      <c r="AQ361" s="71">
        <f t="shared" ca="1" si="10"/>
        <v>360</v>
      </c>
    </row>
    <row r="362" spans="1:43" ht="21" customHeight="1" x14ac:dyDescent="0.15">
      <c r="A362" s="7">
        <f t="shared" ca="1" si="11"/>
        <v>361</v>
      </c>
      <c r="B362" s="6" t="str">
        <f ca="1">VLOOKUP(A362,[2]characters!$A:$C,3,FALSE)</f>
        <v>灼熱の鉄板 ガンテツ</v>
      </c>
      <c r="C362" s="9">
        <f ca="1">VLOOKUP(A362,[2]characters!$A:$I,9,FALSE)</f>
        <v>3</v>
      </c>
      <c r="D362" s="9" t="str">
        <f ca="1">VLOOKUP(A362,[2]characters!$A:$H,8,FALSE)</f>
        <v>red</v>
      </c>
      <c r="E362" s="24">
        <f ca="1">VLOOKUP(D362,[2]属性!$A:$E,2,FALSE)</f>
        <v>1</v>
      </c>
      <c r="F362" s="24">
        <f ca="1">VLOOKUP(D362,[2]属性!$A:$E,3,FALSE)</f>
        <v>1.02</v>
      </c>
      <c r="G362" s="24">
        <f ca="1">VLOOKUP(D362,[2]属性!$A:$F,4,FALSE)</f>
        <v>1</v>
      </c>
      <c r="H362" s="9" t="str">
        <f ca="1">VLOOKUP(A362,[2]characters!$A:$K,11,FALSE)</f>
        <v>hp</v>
      </c>
      <c r="I362" s="14" t="str">
        <f ca="1">VLOOKUP(H362,[2]character_type_i18n!$A:$F,3,FALSE)</f>
        <v>体力タイプ</v>
      </c>
      <c r="J362" s="36">
        <f ca="1">VLOOKUP(H362,[2]character_type_i18n!$A:$F,4,FALSE)</f>
        <v>1.45</v>
      </c>
      <c r="K362" s="36">
        <f ca="1">VLOOKUP(H362,[2]character_type_i18n!$A:$F,5,FALSE)</f>
        <v>0.85</v>
      </c>
      <c r="L362" s="36">
        <f ca="1">VLOOKUP(H362,[2]character_type_i18n!$A:$F,6,FALSE)</f>
        <v>1</v>
      </c>
      <c r="M362" s="9" t="str">
        <f ca="1">VLOOKUP(A362,[2]characters!$A:$M,13,FALSE)</f>
        <v>animal</v>
      </c>
      <c r="N362" s="14" t="str">
        <f ca="1">VLOOKUP(M362,[2]character_tribe_i18n!$A:$F,3,FALSE)</f>
        <v>アニマル</v>
      </c>
      <c r="O362" s="24">
        <f ca="1">VLOOKUP(M362,[2]character_tribe_i18n!$A:$F,4,FALSE)</f>
        <v>1</v>
      </c>
      <c r="P362" s="24">
        <f ca="1">VLOOKUP(M362,[2]character_tribe_i18n!$A:$F,5,FALSE)</f>
        <v>1.1000000000000001</v>
      </c>
      <c r="Q362" s="24">
        <f ca="1">VLOOKUP(M362,[2]character_tribe_i18n!$A:$F,6,FALSE)</f>
        <v>1</v>
      </c>
      <c r="R362" s="25" t="s">
        <v>19</v>
      </c>
      <c r="S362" s="24">
        <f>VLOOKUP($R362,ラベル別係数!$A$1:$E$7,3,FALSE)</f>
        <v>1</v>
      </c>
      <c r="T362" s="24">
        <f>VLOOKUP($R362,ラベル別係数!$A$1:$E$7,4,FALSE)</f>
        <v>1</v>
      </c>
      <c r="U362" s="24">
        <f>VLOOKUP($R362,ラベル別係数!$A$1:$E$7,5,FALSE)</f>
        <v>1</v>
      </c>
      <c r="V362" s="27">
        <v>3</v>
      </c>
      <c r="W362" s="28">
        <f>VLOOKUP(V362,ターン数別攻撃係数!$A$1:$B$1000,2,FALSE)</f>
        <v>1</v>
      </c>
      <c r="X362" s="10">
        <v>15</v>
      </c>
      <c r="Y362" s="26">
        <f>VLOOKUP($X362,サイズ別係数!$B:$E,2,FALSE)</f>
        <v>1</v>
      </c>
      <c r="Z362" s="26">
        <f>VLOOKUP($X362,サイズ別係数!$B:$E,3,FALSE)</f>
        <v>1</v>
      </c>
      <c r="AA362" s="26">
        <f>VLOOKUP($X362,サイズ別係数!$B:$E,4,FALSE)</f>
        <v>1</v>
      </c>
      <c r="AB362" s="5">
        <v>0</v>
      </c>
      <c r="AC362" s="34" t="str">
        <f ca="1">VLOOKUP($AB362,OFFSET([3]enemy_skill_sets!$B$2,0,0,COUNTA([3]enemy_skill_sets!$A:$A),MATCH(AC$1,[3]enemy_skill_sets!$1:$1,0)-MATCH($AB$1,[3]enemy_skill_sets!$1:$1,0)+1),MATCH(AC$1,[3]enemy_skill_sets!$1:$1,0)-MATCH($AB$1,[3]enemy_skill_sets!$1:$1,0)+1,FALSE)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2" s="67">
        <v>1</v>
      </c>
      <c r="AE362" s="67">
        <v>1</v>
      </c>
      <c r="AF362" s="37">
        <v>0</v>
      </c>
      <c r="AG362" s="28">
        <f ca="1">ROUND(VLOOKUP(1,enemy_base_stats!$A:$F,2,FALSE) * Y362* J362*O362*E362*S362*AD362*[2]ステータス!$B$2,0)</f>
        <v>725</v>
      </c>
      <c r="AH362" s="28">
        <f ca="1">ROUND(VLOOKUP(1,enemy_base_stats!$A:$F,3,FALSE) * Z362*K362*P362*F362*T362*AE362 * W362*[2]ステータス!$C$2,0)</f>
        <v>143</v>
      </c>
      <c r="AI362" s="28">
        <f ca="1">ROUND(VLOOKUP(1,enemy_base_stats!$A:$F,4,FALSE) * AA362*L362*Q362*G362*U362*AF362*[2]ステータス!$D$2,0)</f>
        <v>0</v>
      </c>
      <c r="AJ362" s="28">
        <f ca="1">ROUND(VLOOKUP(100,enemy_base_stats!$A:$F,2,FALSE) * Y362* J362*O362*E362*S362*AD362*[2]ステータス!$B$2,0)</f>
        <v>29435</v>
      </c>
      <c r="AK362" s="28">
        <f ca="1">ROUND(VLOOKUP(100,enemy_base_stats!$A:$F,3,FALSE)* Z362* K362*P362*F362*T362*AE362 * W362*[2]ステータス!$C$2,0)</f>
        <v>5808</v>
      </c>
      <c r="AL362" s="28">
        <f ca="1">ROUND(VLOOKUP(100,enemy_base_stats!$A:$F,4,FALSE)* AA362* L362*Q362*G362*U362*AF362*[2]ステータス!$D$2,0)</f>
        <v>0</v>
      </c>
      <c r="AM362" s="24">
        <f ca="1">VLOOKUP(M362,[2]character_tribe_i18n!$A:$I,9,FALSE)</f>
        <v>480</v>
      </c>
      <c r="AN362" s="36">
        <v>0</v>
      </c>
      <c r="AO362" s="53">
        <v>0</v>
      </c>
      <c r="AP362" s="58" t="s">
        <v>72</v>
      </c>
      <c r="AQ362" s="71">
        <f t="shared" ca="1" si="10"/>
        <v>361</v>
      </c>
    </row>
    <row r="363" spans="1:43" ht="21" customHeight="1" x14ac:dyDescent="0.15">
      <c r="A363" s="7">
        <f t="shared" ca="1" si="11"/>
        <v>362</v>
      </c>
      <c r="B363" s="6" t="str">
        <f ca="1">VLOOKUP(A363,[2]characters!$A:$C,3,FALSE)</f>
        <v>ゆらら</v>
      </c>
      <c r="C363" s="9">
        <f ca="1">VLOOKUP(A363,[2]characters!$A:$I,9,FALSE)</f>
        <v>2</v>
      </c>
      <c r="D363" s="9" t="str">
        <f ca="1">VLOOKUP(A363,[2]characters!$A:$H,8,FALSE)</f>
        <v>green</v>
      </c>
      <c r="E363" s="24">
        <f ca="1">VLOOKUP(D363,[2]属性!$A:$E,2,FALSE)</f>
        <v>1.02</v>
      </c>
      <c r="F363" s="24">
        <f ca="1">VLOOKUP(D363,[2]属性!$A:$E,3,FALSE)</f>
        <v>0.98</v>
      </c>
      <c r="G363" s="24">
        <f ca="1">VLOOKUP(D363,[2]属性!$A:$F,4,FALSE)</f>
        <v>1</v>
      </c>
      <c r="H363" s="9" t="str">
        <f ca="1">VLOOKUP(A363,[2]characters!$A:$K,11,FALSE)</f>
        <v>technical</v>
      </c>
      <c r="I363" s="14" t="str">
        <f ca="1">VLOOKUP(H363,[2]character_type_i18n!$A:$F,3,FALSE)</f>
        <v>テクニカルタイプ</v>
      </c>
      <c r="J363" s="36">
        <f ca="1">VLOOKUP(H363,[2]character_type_i18n!$A:$F,4,FALSE)</f>
        <v>0.9</v>
      </c>
      <c r="K363" s="36">
        <f ca="1">VLOOKUP(H363,[2]character_type_i18n!$A:$F,5,FALSE)</f>
        <v>0.9</v>
      </c>
      <c r="L363" s="36">
        <f ca="1">VLOOKUP(H363,[2]character_type_i18n!$A:$F,6,FALSE)</f>
        <v>1</v>
      </c>
      <c r="M363" s="9" t="str">
        <f ca="1">VLOOKUP(A363,[2]characters!$A:$M,13,FALSE)</f>
        <v>animal</v>
      </c>
      <c r="N363" s="14" t="str">
        <f ca="1">VLOOKUP(M363,[2]character_tribe_i18n!$A:$F,3,FALSE)</f>
        <v>アニマル</v>
      </c>
      <c r="O363" s="24">
        <f ca="1">VLOOKUP(M363,[2]character_tribe_i18n!$A:$F,4,FALSE)</f>
        <v>1</v>
      </c>
      <c r="P363" s="24">
        <f ca="1">VLOOKUP(M363,[2]character_tribe_i18n!$A:$F,5,FALSE)</f>
        <v>1.1000000000000001</v>
      </c>
      <c r="Q363" s="24">
        <f ca="1">VLOOKUP(M363,[2]character_tribe_i18n!$A:$F,6,FALSE)</f>
        <v>1</v>
      </c>
      <c r="R363" s="25" t="s">
        <v>19</v>
      </c>
      <c r="S363" s="24">
        <f>VLOOKUP($R363,ラベル別係数!$A$1:$E$7,3,FALSE)</f>
        <v>1</v>
      </c>
      <c r="T363" s="24">
        <f>VLOOKUP($R363,ラベル別係数!$A$1:$E$7,4,FALSE)</f>
        <v>1</v>
      </c>
      <c r="U363" s="24">
        <f>VLOOKUP($R363,ラベル別係数!$A$1:$E$7,5,FALSE)</f>
        <v>1</v>
      </c>
      <c r="V363" s="27">
        <v>3</v>
      </c>
      <c r="W363" s="28">
        <f>VLOOKUP(V363,ターン数別攻撃係数!$A$1:$B$1000,2,FALSE)</f>
        <v>1</v>
      </c>
      <c r="X363" s="10">
        <v>15</v>
      </c>
      <c r="Y363" s="26">
        <f>VLOOKUP($X363,サイズ別係数!$B:$E,2,FALSE)</f>
        <v>1</v>
      </c>
      <c r="Z363" s="26">
        <f>VLOOKUP($X363,サイズ別係数!$B:$E,3,FALSE)</f>
        <v>1</v>
      </c>
      <c r="AA363" s="26">
        <f>VLOOKUP($X363,サイズ別係数!$B:$E,4,FALSE)</f>
        <v>1</v>
      </c>
      <c r="AB363" s="5">
        <v>0</v>
      </c>
      <c r="AC363" s="34" t="str">
        <f ca="1">VLOOKUP($AB363,OFFSET([3]enemy_skill_sets!$B$2,0,0,COUNTA([3]enemy_skill_sets!$A:$A),MATCH(AC$1,[3]enemy_skill_sets!$1:$1,0)-MATCH($AB$1,[3]enemy_skill_sets!$1:$1,0)+1),MATCH(AC$1,[3]enemy_skill_sets!$1:$1,0)-MATCH($AB$1,[3]enemy_skill_sets!$1:$1,0)+1,FALSE)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3" s="67">
        <v>1</v>
      </c>
      <c r="AE363" s="67">
        <v>1</v>
      </c>
      <c r="AF363" s="37">
        <v>0</v>
      </c>
      <c r="AG363" s="28">
        <f ca="1">ROUND(VLOOKUP(1,enemy_base_stats!$A:$F,2,FALSE) * Y363* J363*O363*E363*S363*AD363*[2]ステータス!$B$2,0)</f>
        <v>459</v>
      </c>
      <c r="AH363" s="28">
        <f ca="1">ROUND(VLOOKUP(1,enemy_base_stats!$A:$F,3,FALSE) * Z363*K363*P363*F363*T363*AE363 * W363*[2]ステータス!$C$2,0)</f>
        <v>146</v>
      </c>
      <c r="AI363" s="28">
        <f ca="1">ROUND(VLOOKUP(1,enemy_base_stats!$A:$F,4,FALSE) * AA363*L363*Q363*G363*U363*AF363*[2]ステータス!$D$2,0)</f>
        <v>0</v>
      </c>
      <c r="AJ363" s="28">
        <f ca="1">ROUND(VLOOKUP(100,enemy_base_stats!$A:$F,2,FALSE) * Y363* J363*O363*E363*S363*AD363*[2]ステータス!$B$2,0)</f>
        <v>18635</v>
      </c>
      <c r="AK363" s="28">
        <f ca="1">ROUND(VLOOKUP(100,enemy_base_stats!$A:$F,3,FALSE)* Z363* K363*P363*F363*T363*AE363 * W363*[2]ステータス!$C$2,0)</f>
        <v>5909</v>
      </c>
      <c r="AL363" s="28">
        <f ca="1">ROUND(VLOOKUP(100,enemy_base_stats!$A:$F,4,FALSE)* AA363* L363*Q363*G363*U363*AF363*[2]ステータス!$D$2,0)</f>
        <v>0</v>
      </c>
      <c r="AM363" s="24">
        <f ca="1">VLOOKUP(M363,[2]character_tribe_i18n!$A:$I,9,FALSE)</f>
        <v>480</v>
      </c>
      <c r="AN363" s="36">
        <v>0</v>
      </c>
      <c r="AO363" s="53">
        <v>0</v>
      </c>
      <c r="AP363" s="58" t="s">
        <v>72</v>
      </c>
      <c r="AQ363" s="71">
        <f t="shared" ca="1" si="10"/>
        <v>362</v>
      </c>
    </row>
    <row r="364" spans="1:43" ht="21" customHeight="1" x14ac:dyDescent="0.15">
      <c r="A364" s="7">
        <f t="shared" ca="1" si="11"/>
        <v>363</v>
      </c>
      <c r="B364" s="6" t="str">
        <f ca="1">VLOOKUP(A364,[2]characters!$A:$C,3,FALSE)</f>
        <v>花咲く幼精 ゆらら</v>
      </c>
      <c r="C364" s="9">
        <f ca="1">VLOOKUP(A364,[2]characters!$A:$I,9,FALSE)</f>
        <v>3</v>
      </c>
      <c r="D364" s="9" t="str">
        <f ca="1">VLOOKUP(A364,[2]characters!$A:$H,8,FALSE)</f>
        <v>green</v>
      </c>
      <c r="E364" s="24">
        <f ca="1">VLOOKUP(D364,[2]属性!$A:$E,2,FALSE)</f>
        <v>1.02</v>
      </c>
      <c r="F364" s="24">
        <f ca="1">VLOOKUP(D364,[2]属性!$A:$E,3,FALSE)</f>
        <v>0.98</v>
      </c>
      <c r="G364" s="24">
        <f ca="1">VLOOKUP(D364,[2]属性!$A:$F,4,FALSE)</f>
        <v>1</v>
      </c>
      <c r="H364" s="9" t="str">
        <f ca="1">VLOOKUP(A364,[2]characters!$A:$K,11,FALSE)</f>
        <v>technical</v>
      </c>
      <c r="I364" s="14" t="str">
        <f ca="1">VLOOKUP(H364,[2]character_type_i18n!$A:$F,3,FALSE)</f>
        <v>テクニカルタイプ</v>
      </c>
      <c r="J364" s="36">
        <f ca="1">VLOOKUP(H364,[2]character_type_i18n!$A:$F,4,FALSE)</f>
        <v>0.9</v>
      </c>
      <c r="K364" s="36">
        <f ca="1">VLOOKUP(H364,[2]character_type_i18n!$A:$F,5,FALSE)</f>
        <v>0.9</v>
      </c>
      <c r="L364" s="36">
        <f ca="1">VLOOKUP(H364,[2]character_type_i18n!$A:$F,6,FALSE)</f>
        <v>1</v>
      </c>
      <c r="M364" s="9" t="str">
        <f ca="1">VLOOKUP(A364,[2]characters!$A:$M,13,FALSE)</f>
        <v>animal</v>
      </c>
      <c r="N364" s="14" t="str">
        <f ca="1">VLOOKUP(M364,[2]character_tribe_i18n!$A:$F,3,FALSE)</f>
        <v>アニマル</v>
      </c>
      <c r="O364" s="24">
        <f ca="1">VLOOKUP(M364,[2]character_tribe_i18n!$A:$F,4,FALSE)</f>
        <v>1</v>
      </c>
      <c r="P364" s="24">
        <f ca="1">VLOOKUP(M364,[2]character_tribe_i18n!$A:$F,5,FALSE)</f>
        <v>1.1000000000000001</v>
      </c>
      <c r="Q364" s="24">
        <f ca="1">VLOOKUP(M364,[2]character_tribe_i18n!$A:$F,6,FALSE)</f>
        <v>1</v>
      </c>
      <c r="R364" s="25" t="s">
        <v>19</v>
      </c>
      <c r="S364" s="24">
        <f>VLOOKUP($R364,ラベル別係数!$A$1:$E$7,3,FALSE)</f>
        <v>1</v>
      </c>
      <c r="T364" s="24">
        <f>VLOOKUP($R364,ラベル別係数!$A$1:$E$7,4,FALSE)</f>
        <v>1</v>
      </c>
      <c r="U364" s="24">
        <f>VLOOKUP($R364,ラベル別係数!$A$1:$E$7,5,FALSE)</f>
        <v>1</v>
      </c>
      <c r="V364" s="27">
        <v>3</v>
      </c>
      <c r="W364" s="28">
        <f>VLOOKUP(V364,ターン数別攻撃係数!$A$1:$B$1000,2,FALSE)</f>
        <v>1</v>
      </c>
      <c r="X364" s="10">
        <v>15</v>
      </c>
      <c r="Y364" s="26">
        <f>VLOOKUP($X364,サイズ別係数!$B:$E,2,FALSE)</f>
        <v>1</v>
      </c>
      <c r="Z364" s="26">
        <f>VLOOKUP($X364,サイズ別係数!$B:$E,3,FALSE)</f>
        <v>1</v>
      </c>
      <c r="AA364" s="26">
        <f>VLOOKUP($X364,サイズ別係数!$B:$E,4,FALSE)</f>
        <v>1</v>
      </c>
      <c r="AB364" s="5">
        <v>0</v>
      </c>
      <c r="AC364" s="34" t="str">
        <f ca="1">VLOOKUP($AB364,OFFSET([3]enemy_skill_sets!$B$2,0,0,COUNTA([3]enemy_skill_sets!$A:$A),MATCH(AC$1,[3]enemy_skill_sets!$1:$1,0)-MATCH($AB$1,[3]enemy_skill_sets!$1:$1,0)+1),MATCH(AC$1,[3]enemy_skill_sets!$1:$1,0)-MATCH($AB$1,[3]enemy_skill_sets!$1:$1,0)+1,FALSE)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4" s="67">
        <v>1</v>
      </c>
      <c r="AE364" s="67">
        <v>1</v>
      </c>
      <c r="AF364" s="37">
        <v>0</v>
      </c>
      <c r="AG364" s="28">
        <f ca="1">ROUND(VLOOKUP(1,enemy_base_stats!$A:$F,2,FALSE) * Y364* J364*O364*E364*S364*AD364*[2]ステータス!$B$2,0)</f>
        <v>459</v>
      </c>
      <c r="AH364" s="28">
        <f ca="1">ROUND(VLOOKUP(1,enemy_base_stats!$A:$F,3,FALSE) * Z364*K364*P364*F364*T364*AE364 * W364*[2]ステータス!$C$2,0)</f>
        <v>146</v>
      </c>
      <c r="AI364" s="28">
        <f ca="1">ROUND(VLOOKUP(1,enemy_base_stats!$A:$F,4,FALSE) * AA364*L364*Q364*G364*U364*AF364*[2]ステータス!$D$2,0)</f>
        <v>0</v>
      </c>
      <c r="AJ364" s="28">
        <f ca="1">ROUND(VLOOKUP(100,enemy_base_stats!$A:$F,2,FALSE) * Y364* J364*O364*E364*S364*AD364*[2]ステータス!$B$2,0)</f>
        <v>18635</v>
      </c>
      <c r="AK364" s="28">
        <f ca="1">ROUND(VLOOKUP(100,enemy_base_stats!$A:$F,3,FALSE)* Z364* K364*P364*F364*T364*AE364 * W364*[2]ステータス!$C$2,0)</f>
        <v>5909</v>
      </c>
      <c r="AL364" s="28">
        <f ca="1">ROUND(VLOOKUP(100,enemy_base_stats!$A:$F,4,FALSE)* AA364* L364*Q364*G364*U364*AF364*[2]ステータス!$D$2,0)</f>
        <v>0</v>
      </c>
      <c r="AM364" s="24">
        <f ca="1">VLOOKUP(M364,[2]character_tribe_i18n!$A:$I,9,FALSE)</f>
        <v>480</v>
      </c>
      <c r="AN364" s="36">
        <v>0</v>
      </c>
      <c r="AO364" s="53">
        <v>0</v>
      </c>
      <c r="AP364" s="58" t="s">
        <v>72</v>
      </c>
      <c r="AQ364" s="71">
        <f t="shared" ca="1" si="10"/>
        <v>363</v>
      </c>
    </row>
    <row r="365" spans="1:43" ht="21" customHeight="1" x14ac:dyDescent="0.15">
      <c r="A365" s="7">
        <f t="shared" ca="1" si="11"/>
        <v>364</v>
      </c>
      <c r="B365" s="6" t="str">
        <f ca="1">VLOOKUP(A365,[2]characters!$A:$C,3,FALSE)</f>
        <v>ノエル</v>
      </c>
      <c r="C365" s="9">
        <f ca="1">VLOOKUP(A365,[2]characters!$A:$I,9,FALSE)</f>
        <v>2</v>
      </c>
      <c r="D365" s="9" t="str">
        <f ca="1">VLOOKUP(A365,[2]characters!$A:$H,8,FALSE)</f>
        <v>blue</v>
      </c>
      <c r="E365" s="24">
        <f ca="1">VLOOKUP(D365,[2]属性!$A:$E,2,FALSE)</f>
        <v>1</v>
      </c>
      <c r="F365" s="24">
        <f ca="1">VLOOKUP(D365,[2]属性!$A:$E,3,FALSE)</f>
        <v>0.98</v>
      </c>
      <c r="G365" s="24">
        <f ca="1">VLOOKUP(D365,[2]属性!$A:$F,4,FALSE)</f>
        <v>1</v>
      </c>
      <c r="H365" s="9" t="str">
        <f ca="1">VLOOKUP(A365,[2]characters!$A:$K,11,FALSE)</f>
        <v>attack</v>
      </c>
      <c r="I365" s="14" t="str">
        <f ca="1">VLOOKUP(H365,[2]character_type_i18n!$A:$F,3,FALSE)</f>
        <v>攻撃タイプ</v>
      </c>
      <c r="J365" s="36">
        <f ca="1">VLOOKUP(H365,[2]character_type_i18n!$A:$F,4,FALSE)</f>
        <v>1</v>
      </c>
      <c r="K365" s="36">
        <f ca="1">VLOOKUP(H365,[2]character_type_i18n!$A:$F,5,FALSE)</f>
        <v>1.33</v>
      </c>
      <c r="L365" s="36">
        <f ca="1">VLOOKUP(H365,[2]character_type_i18n!$A:$F,6,FALSE)</f>
        <v>1</v>
      </c>
      <c r="M365" s="9" t="str">
        <f ca="1">VLOOKUP(A365,[2]characters!$A:$M,13,FALSE)</f>
        <v>animal</v>
      </c>
      <c r="N365" s="14" t="str">
        <f ca="1">VLOOKUP(M365,[2]character_tribe_i18n!$A:$F,3,FALSE)</f>
        <v>アニマル</v>
      </c>
      <c r="O365" s="24">
        <f ca="1">VLOOKUP(M365,[2]character_tribe_i18n!$A:$F,4,FALSE)</f>
        <v>1</v>
      </c>
      <c r="P365" s="24">
        <f ca="1">VLOOKUP(M365,[2]character_tribe_i18n!$A:$F,5,FALSE)</f>
        <v>1.1000000000000001</v>
      </c>
      <c r="Q365" s="24">
        <f ca="1">VLOOKUP(M365,[2]character_tribe_i18n!$A:$F,6,FALSE)</f>
        <v>1</v>
      </c>
      <c r="R365" s="25" t="s">
        <v>19</v>
      </c>
      <c r="S365" s="24">
        <f>VLOOKUP($R365,ラベル別係数!$A$1:$E$7,3,FALSE)</f>
        <v>1</v>
      </c>
      <c r="T365" s="24">
        <f>VLOOKUP($R365,ラベル別係数!$A$1:$E$7,4,FALSE)</f>
        <v>1</v>
      </c>
      <c r="U365" s="24">
        <f>VLOOKUP($R365,ラベル別係数!$A$1:$E$7,5,FALSE)</f>
        <v>1</v>
      </c>
      <c r="V365" s="27">
        <v>3</v>
      </c>
      <c r="W365" s="28">
        <f>VLOOKUP(V365,ターン数別攻撃係数!$A$1:$B$1000,2,FALSE)</f>
        <v>1</v>
      </c>
      <c r="X365" s="10">
        <v>15</v>
      </c>
      <c r="Y365" s="26">
        <f>VLOOKUP($X365,サイズ別係数!$B:$E,2,FALSE)</f>
        <v>1</v>
      </c>
      <c r="Z365" s="26">
        <f>VLOOKUP($X365,サイズ別係数!$B:$E,3,FALSE)</f>
        <v>1</v>
      </c>
      <c r="AA365" s="26">
        <f>VLOOKUP($X365,サイズ別係数!$B:$E,4,FALSE)</f>
        <v>1</v>
      </c>
      <c r="AB365" s="5">
        <v>0</v>
      </c>
      <c r="AC365" s="34" t="str">
        <f ca="1">VLOOKUP($AB365,OFFSET([3]enemy_skill_sets!$B$2,0,0,COUNTA([3]enemy_skill_sets!$A:$A),MATCH(AC$1,[3]enemy_skill_sets!$1:$1,0)-MATCH($AB$1,[3]enemy_skill_sets!$1:$1,0)+1),MATCH(AC$1,[3]enemy_skill_sets!$1:$1,0)-MATCH($AB$1,[3]enemy_skill_sets!$1:$1,0)+1,FALSE)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5" s="67">
        <v>1</v>
      </c>
      <c r="AE365" s="67">
        <v>1</v>
      </c>
      <c r="AF365" s="37">
        <v>0</v>
      </c>
      <c r="AG365" s="28">
        <f ca="1">ROUND(VLOOKUP(1,enemy_base_stats!$A:$F,2,FALSE) * Y365* J365*O365*E365*S365*AD365*[2]ステータス!$B$2,0)</f>
        <v>500</v>
      </c>
      <c r="AH365" s="28">
        <f ca="1">ROUND(VLOOKUP(1,enemy_base_stats!$A:$F,3,FALSE) * Z365*K365*P365*F365*T365*AE365 * W365*[2]ステータス!$C$2,0)</f>
        <v>215</v>
      </c>
      <c r="AI365" s="28">
        <f ca="1">ROUND(VLOOKUP(1,enemy_base_stats!$A:$F,4,FALSE) * AA365*L365*Q365*G365*U365*AF365*[2]ステータス!$D$2,0)</f>
        <v>0</v>
      </c>
      <c r="AJ365" s="28">
        <f ca="1">ROUND(VLOOKUP(100,enemy_base_stats!$A:$F,2,FALSE) * Y365* J365*O365*E365*S365*AD365*[2]ステータス!$B$2,0)</f>
        <v>20300</v>
      </c>
      <c r="AK365" s="28">
        <f ca="1">ROUND(VLOOKUP(100,enemy_base_stats!$A:$F,3,FALSE)* Z365* K365*P365*F365*T365*AE365 * W365*[2]ステータス!$C$2,0)</f>
        <v>8731</v>
      </c>
      <c r="AL365" s="28">
        <f ca="1">ROUND(VLOOKUP(100,enemy_base_stats!$A:$F,4,FALSE)* AA365* L365*Q365*G365*U365*AF365*[2]ステータス!$D$2,0)</f>
        <v>0</v>
      </c>
      <c r="AM365" s="24">
        <f ca="1">VLOOKUP(M365,[2]character_tribe_i18n!$A:$I,9,FALSE)</f>
        <v>480</v>
      </c>
      <c r="AN365" s="36">
        <v>0</v>
      </c>
      <c r="AO365" s="53">
        <v>0</v>
      </c>
      <c r="AP365" s="58" t="s">
        <v>72</v>
      </c>
      <c r="AQ365" s="71">
        <f t="shared" ca="1" si="10"/>
        <v>364</v>
      </c>
    </row>
    <row r="366" spans="1:43" ht="21" customHeight="1" x14ac:dyDescent="0.15">
      <c r="A366" s="7">
        <f t="shared" ca="1" si="11"/>
        <v>365</v>
      </c>
      <c r="B366" s="6" t="str">
        <f ca="1">VLOOKUP(A366,[2]characters!$A:$C,3,FALSE)</f>
        <v>惨劇の人形 ノエル</v>
      </c>
      <c r="C366" s="9">
        <f ca="1">VLOOKUP(A366,[2]characters!$A:$I,9,FALSE)</f>
        <v>3</v>
      </c>
      <c r="D366" s="9" t="str">
        <f ca="1">VLOOKUP(A366,[2]characters!$A:$H,8,FALSE)</f>
        <v>blue</v>
      </c>
      <c r="E366" s="24">
        <f ca="1">VLOOKUP(D366,[2]属性!$A:$E,2,FALSE)</f>
        <v>1</v>
      </c>
      <c r="F366" s="24">
        <f ca="1">VLOOKUP(D366,[2]属性!$A:$E,3,FALSE)</f>
        <v>0.98</v>
      </c>
      <c r="G366" s="24">
        <f ca="1">VLOOKUP(D366,[2]属性!$A:$F,4,FALSE)</f>
        <v>1</v>
      </c>
      <c r="H366" s="9" t="str">
        <f ca="1">VLOOKUP(A366,[2]characters!$A:$K,11,FALSE)</f>
        <v>attack</v>
      </c>
      <c r="I366" s="14" t="str">
        <f ca="1">VLOOKUP(H366,[2]character_type_i18n!$A:$F,3,FALSE)</f>
        <v>攻撃タイプ</v>
      </c>
      <c r="J366" s="36">
        <f ca="1">VLOOKUP(H366,[2]character_type_i18n!$A:$F,4,FALSE)</f>
        <v>1</v>
      </c>
      <c r="K366" s="36">
        <f ca="1">VLOOKUP(H366,[2]character_type_i18n!$A:$F,5,FALSE)</f>
        <v>1.33</v>
      </c>
      <c r="L366" s="36">
        <f ca="1">VLOOKUP(H366,[2]character_type_i18n!$A:$F,6,FALSE)</f>
        <v>1</v>
      </c>
      <c r="M366" s="9" t="str">
        <f ca="1">VLOOKUP(A366,[2]characters!$A:$M,13,FALSE)</f>
        <v>animal</v>
      </c>
      <c r="N366" s="14" t="str">
        <f ca="1">VLOOKUP(M366,[2]character_tribe_i18n!$A:$F,3,FALSE)</f>
        <v>アニマル</v>
      </c>
      <c r="O366" s="24">
        <f ca="1">VLOOKUP(M366,[2]character_tribe_i18n!$A:$F,4,FALSE)</f>
        <v>1</v>
      </c>
      <c r="P366" s="24">
        <f ca="1">VLOOKUP(M366,[2]character_tribe_i18n!$A:$F,5,FALSE)</f>
        <v>1.1000000000000001</v>
      </c>
      <c r="Q366" s="24">
        <f ca="1">VLOOKUP(M366,[2]character_tribe_i18n!$A:$F,6,FALSE)</f>
        <v>1</v>
      </c>
      <c r="R366" s="25" t="s">
        <v>19</v>
      </c>
      <c r="S366" s="24">
        <f>VLOOKUP($R366,ラベル別係数!$A$1:$E$7,3,FALSE)</f>
        <v>1</v>
      </c>
      <c r="T366" s="24">
        <f>VLOOKUP($R366,ラベル別係数!$A$1:$E$7,4,FALSE)</f>
        <v>1</v>
      </c>
      <c r="U366" s="24">
        <f>VLOOKUP($R366,ラベル別係数!$A$1:$E$7,5,FALSE)</f>
        <v>1</v>
      </c>
      <c r="V366" s="27">
        <v>3</v>
      </c>
      <c r="W366" s="28">
        <f>VLOOKUP(V366,ターン数別攻撃係数!$A$1:$B$1000,2,FALSE)</f>
        <v>1</v>
      </c>
      <c r="X366" s="10">
        <v>15</v>
      </c>
      <c r="Y366" s="26">
        <f>VLOOKUP($X366,サイズ別係数!$B:$E,2,FALSE)</f>
        <v>1</v>
      </c>
      <c r="Z366" s="26">
        <f>VLOOKUP($X366,サイズ別係数!$B:$E,3,FALSE)</f>
        <v>1</v>
      </c>
      <c r="AA366" s="26">
        <f>VLOOKUP($X366,サイズ別係数!$B:$E,4,FALSE)</f>
        <v>1</v>
      </c>
      <c r="AB366" s="5">
        <v>0</v>
      </c>
      <c r="AC366" s="34" t="str">
        <f ca="1">VLOOKUP($AB366,OFFSET([3]enemy_skill_sets!$B$2,0,0,COUNTA([3]enemy_skill_sets!$A:$A),MATCH(AC$1,[3]enemy_skill_sets!$1:$1,0)-MATCH($AB$1,[3]enemy_skill_sets!$1:$1,0)+1),MATCH(AC$1,[3]enemy_skill_sets!$1:$1,0)-MATCH($AB$1,[3]enemy_skill_sets!$1:$1,0)+1,FALSE)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6" s="67">
        <v>1</v>
      </c>
      <c r="AE366" s="67">
        <v>1</v>
      </c>
      <c r="AF366" s="37">
        <v>0</v>
      </c>
      <c r="AG366" s="28">
        <f ca="1">ROUND(VLOOKUP(1,enemy_base_stats!$A:$F,2,FALSE) * Y366* J366*O366*E366*S366*AD366*[2]ステータス!$B$2,0)</f>
        <v>500</v>
      </c>
      <c r="AH366" s="28">
        <f ca="1">ROUND(VLOOKUP(1,enemy_base_stats!$A:$F,3,FALSE) * Z366*K366*P366*F366*T366*AE366 * W366*[2]ステータス!$C$2,0)</f>
        <v>215</v>
      </c>
      <c r="AI366" s="28">
        <f ca="1">ROUND(VLOOKUP(1,enemy_base_stats!$A:$F,4,FALSE) * AA366*L366*Q366*G366*U366*AF366*[2]ステータス!$D$2,0)</f>
        <v>0</v>
      </c>
      <c r="AJ366" s="28">
        <f ca="1">ROUND(VLOOKUP(100,enemy_base_stats!$A:$F,2,FALSE) * Y366* J366*O366*E366*S366*AD366*[2]ステータス!$B$2,0)</f>
        <v>20300</v>
      </c>
      <c r="AK366" s="28">
        <f ca="1">ROUND(VLOOKUP(100,enemy_base_stats!$A:$F,3,FALSE)* Z366* K366*P366*F366*T366*AE366 * W366*[2]ステータス!$C$2,0)</f>
        <v>8731</v>
      </c>
      <c r="AL366" s="28">
        <f ca="1">ROUND(VLOOKUP(100,enemy_base_stats!$A:$F,4,FALSE)* AA366* L366*Q366*G366*U366*AF366*[2]ステータス!$D$2,0)</f>
        <v>0</v>
      </c>
      <c r="AM366" s="24">
        <f ca="1">VLOOKUP(M366,[2]character_tribe_i18n!$A:$I,9,FALSE)</f>
        <v>480</v>
      </c>
      <c r="AN366" s="36">
        <v>0</v>
      </c>
      <c r="AO366" s="53">
        <v>0</v>
      </c>
      <c r="AP366" s="58" t="s">
        <v>72</v>
      </c>
      <c r="AQ366" s="71">
        <f t="shared" ca="1" si="10"/>
        <v>365</v>
      </c>
    </row>
    <row r="367" spans="1:43" ht="21" customHeight="1" x14ac:dyDescent="0.15">
      <c r="A367" s="7">
        <f t="shared" ca="1" si="11"/>
        <v>366</v>
      </c>
      <c r="B367" s="6" t="str">
        <f ca="1">VLOOKUP(A367,[2]characters!$A:$C,3,FALSE)</f>
        <v>トト</v>
      </c>
      <c r="C367" s="9">
        <f ca="1">VLOOKUP(A367,[2]characters!$A:$I,9,FALSE)</f>
        <v>2</v>
      </c>
      <c r="D367" s="9" t="str">
        <f ca="1">VLOOKUP(A367,[2]characters!$A:$H,8,FALSE)</f>
        <v>yellow</v>
      </c>
      <c r="E367" s="24">
        <f ca="1">VLOOKUP(D367,[2]属性!$A:$E,2,FALSE)</f>
        <v>0.98</v>
      </c>
      <c r="F367" s="24">
        <f ca="1">VLOOKUP(D367,[2]属性!$A:$E,3,FALSE)</f>
        <v>1.01</v>
      </c>
      <c r="G367" s="24">
        <f ca="1">VLOOKUP(D367,[2]属性!$A:$F,4,FALSE)</f>
        <v>1</v>
      </c>
      <c r="H367" s="9" t="str">
        <f ca="1">VLOOKUP(A367,[2]characters!$A:$K,11,FALSE)</f>
        <v>balance</v>
      </c>
      <c r="I367" s="14" t="str">
        <f ca="1">VLOOKUP(H367,[2]character_type_i18n!$A:$F,3,FALSE)</f>
        <v>バランスタイプ</v>
      </c>
      <c r="J367" s="36">
        <f ca="1">VLOOKUP(H367,[2]character_type_i18n!$A:$F,4,FALSE)</f>
        <v>1</v>
      </c>
      <c r="K367" s="36">
        <f ca="1">VLOOKUP(H367,[2]character_type_i18n!$A:$F,5,FALSE)</f>
        <v>1</v>
      </c>
      <c r="L367" s="36">
        <f ca="1">VLOOKUP(H367,[2]character_type_i18n!$A:$F,6,FALSE)</f>
        <v>1</v>
      </c>
      <c r="M367" s="9" t="str">
        <f ca="1">VLOOKUP(A367,[2]characters!$A:$M,13,FALSE)</f>
        <v>animal</v>
      </c>
      <c r="N367" s="14" t="str">
        <f ca="1">VLOOKUP(M367,[2]character_tribe_i18n!$A:$F,3,FALSE)</f>
        <v>アニマル</v>
      </c>
      <c r="O367" s="24">
        <f ca="1">VLOOKUP(M367,[2]character_tribe_i18n!$A:$F,4,FALSE)</f>
        <v>1</v>
      </c>
      <c r="P367" s="24">
        <f ca="1">VLOOKUP(M367,[2]character_tribe_i18n!$A:$F,5,FALSE)</f>
        <v>1.1000000000000001</v>
      </c>
      <c r="Q367" s="24">
        <f ca="1">VLOOKUP(M367,[2]character_tribe_i18n!$A:$F,6,FALSE)</f>
        <v>1</v>
      </c>
      <c r="R367" s="25" t="s">
        <v>19</v>
      </c>
      <c r="S367" s="24">
        <f>VLOOKUP($R367,ラベル別係数!$A$1:$E$7,3,FALSE)</f>
        <v>1</v>
      </c>
      <c r="T367" s="24">
        <f>VLOOKUP($R367,ラベル別係数!$A$1:$E$7,4,FALSE)</f>
        <v>1</v>
      </c>
      <c r="U367" s="24">
        <f>VLOOKUP($R367,ラベル別係数!$A$1:$E$7,5,FALSE)</f>
        <v>1</v>
      </c>
      <c r="V367" s="27">
        <v>3</v>
      </c>
      <c r="W367" s="28">
        <f>VLOOKUP(V367,ターン数別攻撃係数!$A$1:$B$1000,2,FALSE)</f>
        <v>1</v>
      </c>
      <c r="X367" s="10">
        <v>15</v>
      </c>
      <c r="Y367" s="26">
        <f>VLOOKUP($X367,サイズ別係数!$B:$E,2,FALSE)</f>
        <v>1</v>
      </c>
      <c r="Z367" s="26">
        <f>VLOOKUP($X367,サイズ別係数!$B:$E,3,FALSE)</f>
        <v>1</v>
      </c>
      <c r="AA367" s="26">
        <f>VLOOKUP($X367,サイズ別係数!$B:$E,4,FALSE)</f>
        <v>1</v>
      </c>
      <c r="AB367" s="5">
        <v>0</v>
      </c>
      <c r="AC367" s="34" t="str">
        <f ca="1">VLOOKUP($AB367,OFFSET([3]enemy_skill_sets!$B$2,0,0,COUNTA([3]enemy_skill_sets!$A:$A),MATCH(AC$1,[3]enemy_skill_sets!$1:$1,0)-MATCH($AB$1,[3]enemy_skill_sets!$1:$1,0)+1),MATCH(AC$1,[3]enemy_skill_sets!$1:$1,0)-MATCH($AB$1,[3]enemy_skill_sets!$1:$1,0)+1,FALSE)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7" s="67">
        <v>1</v>
      </c>
      <c r="AE367" s="67">
        <v>1</v>
      </c>
      <c r="AF367" s="37">
        <v>0</v>
      </c>
      <c r="AG367" s="28">
        <f ca="1">ROUND(VLOOKUP(1,enemy_base_stats!$A:$F,2,FALSE) * Y367* J367*O367*E367*S367*AD367*[2]ステータス!$B$2,0)</f>
        <v>490</v>
      </c>
      <c r="AH367" s="28">
        <f ca="1">ROUND(VLOOKUP(1,enemy_base_stats!$A:$F,3,FALSE) * Z367*K367*P367*F367*T367*AE367 * W367*[2]ステータス!$C$2,0)</f>
        <v>167</v>
      </c>
      <c r="AI367" s="28">
        <f ca="1">ROUND(VLOOKUP(1,enemy_base_stats!$A:$F,4,FALSE) * AA367*L367*Q367*G367*U367*AF367*[2]ステータス!$D$2,0)</f>
        <v>0</v>
      </c>
      <c r="AJ367" s="28">
        <f ca="1">ROUND(VLOOKUP(100,enemy_base_stats!$A:$F,2,FALSE) * Y367* J367*O367*E367*S367*AD367*[2]ステータス!$B$2,0)</f>
        <v>19894</v>
      </c>
      <c r="AK367" s="28">
        <f ca="1">ROUND(VLOOKUP(100,enemy_base_stats!$A:$F,3,FALSE)* Z367* K367*P367*F367*T367*AE367 * W367*[2]ステータス!$C$2,0)</f>
        <v>6766</v>
      </c>
      <c r="AL367" s="28">
        <f ca="1">ROUND(VLOOKUP(100,enemy_base_stats!$A:$F,4,FALSE)* AA367* L367*Q367*G367*U367*AF367*[2]ステータス!$D$2,0)</f>
        <v>0</v>
      </c>
      <c r="AM367" s="24">
        <f ca="1">VLOOKUP(M367,[2]character_tribe_i18n!$A:$I,9,FALSE)</f>
        <v>480</v>
      </c>
      <c r="AN367" s="36">
        <v>0</v>
      </c>
      <c r="AO367" s="53">
        <v>0</v>
      </c>
      <c r="AP367" s="58" t="s">
        <v>72</v>
      </c>
      <c r="AQ367" s="71">
        <f t="shared" ca="1" si="10"/>
        <v>366</v>
      </c>
    </row>
    <row r="368" spans="1:43" ht="21" customHeight="1" x14ac:dyDescent="0.15">
      <c r="A368" s="7">
        <f t="shared" ca="1" si="11"/>
        <v>367</v>
      </c>
      <c r="B368" s="6" t="str">
        <f ca="1">VLOOKUP(A368,[2]characters!$A:$C,3,FALSE)</f>
        <v>爆進の小兵 トト</v>
      </c>
      <c r="C368" s="9">
        <f ca="1">VLOOKUP(A368,[2]characters!$A:$I,9,FALSE)</f>
        <v>3</v>
      </c>
      <c r="D368" s="9" t="str">
        <f ca="1">VLOOKUP(A368,[2]characters!$A:$H,8,FALSE)</f>
        <v>yellow</v>
      </c>
      <c r="E368" s="24">
        <f ca="1">VLOOKUP(D368,[2]属性!$A:$E,2,FALSE)</f>
        <v>0.98</v>
      </c>
      <c r="F368" s="24">
        <f ca="1">VLOOKUP(D368,[2]属性!$A:$E,3,FALSE)</f>
        <v>1.01</v>
      </c>
      <c r="G368" s="24">
        <f ca="1">VLOOKUP(D368,[2]属性!$A:$F,4,FALSE)</f>
        <v>1</v>
      </c>
      <c r="H368" s="9" t="str">
        <f ca="1">VLOOKUP(A368,[2]characters!$A:$K,11,FALSE)</f>
        <v>balance</v>
      </c>
      <c r="I368" s="14" t="str">
        <f ca="1">VLOOKUP(H368,[2]character_type_i18n!$A:$F,3,FALSE)</f>
        <v>バランスタイプ</v>
      </c>
      <c r="J368" s="36">
        <f ca="1">VLOOKUP(H368,[2]character_type_i18n!$A:$F,4,FALSE)</f>
        <v>1</v>
      </c>
      <c r="K368" s="36">
        <f ca="1">VLOOKUP(H368,[2]character_type_i18n!$A:$F,5,FALSE)</f>
        <v>1</v>
      </c>
      <c r="L368" s="36">
        <f ca="1">VLOOKUP(H368,[2]character_type_i18n!$A:$F,6,FALSE)</f>
        <v>1</v>
      </c>
      <c r="M368" s="9" t="str">
        <f ca="1">VLOOKUP(A368,[2]characters!$A:$M,13,FALSE)</f>
        <v>animal</v>
      </c>
      <c r="N368" s="14" t="str">
        <f ca="1">VLOOKUP(M368,[2]character_tribe_i18n!$A:$F,3,FALSE)</f>
        <v>アニマル</v>
      </c>
      <c r="O368" s="24">
        <f ca="1">VLOOKUP(M368,[2]character_tribe_i18n!$A:$F,4,FALSE)</f>
        <v>1</v>
      </c>
      <c r="P368" s="24">
        <f ca="1">VLOOKUP(M368,[2]character_tribe_i18n!$A:$F,5,FALSE)</f>
        <v>1.1000000000000001</v>
      </c>
      <c r="Q368" s="24">
        <f ca="1">VLOOKUP(M368,[2]character_tribe_i18n!$A:$F,6,FALSE)</f>
        <v>1</v>
      </c>
      <c r="R368" s="25" t="s">
        <v>19</v>
      </c>
      <c r="S368" s="24">
        <f>VLOOKUP($R368,ラベル別係数!$A$1:$E$7,3,FALSE)</f>
        <v>1</v>
      </c>
      <c r="T368" s="24">
        <f>VLOOKUP($R368,ラベル別係数!$A$1:$E$7,4,FALSE)</f>
        <v>1</v>
      </c>
      <c r="U368" s="24">
        <f>VLOOKUP($R368,ラベル別係数!$A$1:$E$7,5,FALSE)</f>
        <v>1</v>
      </c>
      <c r="V368" s="27">
        <v>3</v>
      </c>
      <c r="W368" s="28">
        <f>VLOOKUP(V368,ターン数別攻撃係数!$A$1:$B$1000,2,FALSE)</f>
        <v>1</v>
      </c>
      <c r="X368" s="10">
        <v>15</v>
      </c>
      <c r="Y368" s="26">
        <f>VLOOKUP($X368,サイズ別係数!$B:$E,2,FALSE)</f>
        <v>1</v>
      </c>
      <c r="Z368" s="26">
        <f>VLOOKUP($X368,サイズ別係数!$B:$E,3,FALSE)</f>
        <v>1</v>
      </c>
      <c r="AA368" s="26">
        <f>VLOOKUP($X368,サイズ別係数!$B:$E,4,FALSE)</f>
        <v>1</v>
      </c>
      <c r="AB368" s="5">
        <v>0</v>
      </c>
      <c r="AC368" s="34" t="str">
        <f ca="1">VLOOKUP($AB368,OFFSET([3]enemy_skill_sets!$B$2,0,0,COUNTA([3]enemy_skill_sets!$A:$A),MATCH(AC$1,[3]enemy_skill_sets!$1:$1,0)-MATCH($AB$1,[3]enemy_skill_sets!$1:$1,0)+1),MATCH(AC$1,[3]enemy_skill_sets!$1:$1,0)-MATCH($AB$1,[3]enemy_skill_sets!$1:$1,0)+1,FALSE)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8" s="67">
        <v>1</v>
      </c>
      <c r="AE368" s="67">
        <v>1</v>
      </c>
      <c r="AF368" s="37">
        <v>0</v>
      </c>
      <c r="AG368" s="28">
        <f ca="1">ROUND(VLOOKUP(1,enemy_base_stats!$A:$F,2,FALSE) * Y368* J368*O368*E368*S368*AD368*[2]ステータス!$B$2,0)</f>
        <v>490</v>
      </c>
      <c r="AH368" s="28">
        <f ca="1">ROUND(VLOOKUP(1,enemy_base_stats!$A:$F,3,FALSE) * Z368*K368*P368*F368*T368*AE368 * W368*[2]ステータス!$C$2,0)</f>
        <v>167</v>
      </c>
      <c r="AI368" s="28">
        <f ca="1">ROUND(VLOOKUP(1,enemy_base_stats!$A:$F,4,FALSE) * AA368*L368*Q368*G368*U368*AF368*[2]ステータス!$D$2,0)</f>
        <v>0</v>
      </c>
      <c r="AJ368" s="28">
        <f ca="1">ROUND(VLOOKUP(100,enemy_base_stats!$A:$F,2,FALSE) * Y368* J368*O368*E368*S368*AD368*[2]ステータス!$B$2,0)</f>
        <v>19894</v>
      </c>
      <c r="AK368" s="28">
        <f ca="1">ROUND(VLOOKUP(100,enemy_base_stats!$A:$F,3,FALSE)* Z368* K368*P368*F368*T368*AE368 * W368*[2]ステータス!$C$2,0)</f>
        <v>6766</v>
      </c>
      <c r="AL368" s="28">
        <f ca="1">ROUND(VLOOKUP(100,enemy_base_stats!$A:$F,4,FALSE)* AA368* L368*Q368*G368*U368*AF368*[2]ステータス!$D$2,0)</f>
        <v>0</v>
      </c>
      <c r="AM368" s="24">
        <f ca="1">VLOOKUP(M368,[2]character_tribe_i18n!$A:$I,9,FALSE)</f>
        <v>480</v>
      </c>
      <c r="AN368" s="36">
        <v>0</v>
      </c>
      <c r="AO368" s="53">
        <v>0</v>
      </c>
      <c r="AP368" s="58" t="s">
        <v>72</v>
      </c>
      <c r="AQ368" s="71">
        <f t="shared" ca="1" si="10"/>
        <v>367</v>
      </c>
    </row>
    <row r="369" spans="1:43" ht="21" customHeight="1" x14ac:dyDescent="0.15">
      <c r="A369" s="7">
        <f t="shared" ca="1" si="11"/>
        <v>368</v>
      </c>
      <c r="B369" s="6" t="str">
        <f ca="1">VLOOKUP(A369,[2]characters!$A:$C,3,FALSE)</f>
        <v>ボイル</v>
      </c>
      <c r="C369" s="9">
        <f ca="1">VLOOKUP(A369,[2]characters!$A:$I,9,FALSE)</f>
        <v>4</v>
      </c>
      <c r="D369" s="9" t="str">
        <f ca="1">VLOOKUP(A369,[2]characters!$A:$H,8,FALSE)</f>
        <v>red</v>
      </c>
      <c r="E369" s="24">
        <f ca="1">VLOOKUP(D369,[2]属性!$A:$E,2,FALSE)</f>
        <v>1</v>
      </c>
      <c r="F369" s="24">
        <f ca="1">VLOOKUP(D369,[2]属性!$A:$E,3,FALSE)</f>
        <v>1.02</v>
      </c>
      <c r="G369" s="24">
        <f ca="1">VLOOKUP(D369,[2]属性!$A:$F,4,FALSE)</f>
        <v>1</v>
      </c>
      <c r="H369" s="9" t="str">
        <f ca="1">VLOOKUP(A369,[2]characters!$A:$K,11,FALSE)</f>
        <v>technical</v>
      </c>
      <c r="I369" s="14" t="str">
        <f ca="1">VLOOKUP(H369,[2]character_type_i18n!$A:$F,3,FALSE)</f>
        <v>テクニカルタイプ</v>
      </c>
      <c r="J369" s="36">
        <f ca="1">VLOOKUP(H369,[2]character_type_i18n!$A:$F,4,FALSE)</f>
        <v>0.9</v>
      </c>
      <c r="K369" s="36">
        <f ca="1">VLOOKUP(H369,[2]character_type_i18n!$A:$F,5,FALSE)</f>
        <v>0.9</v>
      </c>
      <c r="L369" s="36">
        <f ca="1">VLOOKUP(H369,[2]character_type_i18n!$A:$F,6,FALSE)</f>
        <v>1</v>
      </c>
      <c r="M369" s="9" t="str">
        <f ca="1">VLOOKUP(A369,[2]characters!$A:$M,13,FALSE)</f>
        <v>human</v>
      </c>
      <c r="N369" s="14" t="str">
        <f ca="1">VLOOKUP(M369,[2]character_tribe_i18n!$A:$F,3,FALSE)</f>
        <v>ヒューマン</v>
      </c>
      <c r="O369" s="24">
        <f ca="1">VLOOKUP(M369,[2]character_tribe_i18n!$A:$F,4,FALSE)</f>
        <v>0.94</v>
      </c>
      <c r="P369" s="24">
        <f ca="1">VLOOKUP(M369,[2]character_tribe_i18n!$A:$F,5,FALSE)</f>
        <v>0.99</v>
      </c>
      <c r="Q369" s="24">
        <f ca="1">VLOOKUP(M369,[2]character_tribe_i18n!$A:$F,6,FALSE)</f>
        <v>1</v>
      </c>
      <c r="R369" s="25" t="s">
        <v>98</v>
      </c>
      <c r="S369" s="24">
        <f>VLOOKUP($R369,ラベル別係数!$A$1:$E$7,3,FALSE)</f>
        <v>5</v>
      </c>
      <c r="T369" s="24">
        <f>VLOOKUP($R369,ラベル別係数!$A$1:$E$7,4,FALSE)</f>
        <v>1.3</v>
      </c>
      <c r="U369" s="24">
        <f>VLOOKUP($R369,ラベル別係数!$A$1:$E$7,5,FALSE)</f>
        <v>0.8</v>
      </c>
      <c r="V369" s="27">
        <v>3</v>
      </c>
      <c r="W369" s="28">
        <f>VLOOKUP(V369,ターン数別攻撃係数!$A$1:$B$1000,2,FALSE)</f>
        <v>1</v>
      </c>
      <c r="X369" s="10">
        <v>60</v>
      </c>
      <c r="Y369" s="26">
        <f>VLOOKUP($X369,サイズ別係数!$B:$E,2,FALSE)</f>
        <v>1.7</v>
      </c>
      <c r="Z369" s="26">
        <f>VLOOKUP($X369,サイズ別係数!$B:$E,3,FALSE)</f>
        <v>1.4</v>
      </c>
      <c r="AA369" s="26">
        <f>VLOOKUP($X369,サイズ別係数!$B:$E,4,FALSE)</f>
        <v>1</v>
      </c>
      <c r="AB369" s="5">
        <v>0</v>
      </c>
      <c r="AC369" s="34" t="str">
        <f ca="1">VLOOKUP($AB369,OFFSET([3]enemy_skill_sets!$B$2,0,0,COUNTA([3]enemy_skill_sets!$A:$A),MATCH(AC$1,[3]enemy_skill_sets!$1:$1,0)-MATCH($AB$1,[3]enemy_skill_sets!$1:$1,0)+1),MATCH(AC$1,[3]enemy_skill_sets!$1:$1,0)-MATCH($AB$1,[3]enemy_skill_sets!$1:$1,0)+1,FALSE)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69" s="67">
        <v>1</v>
      </c>
      <c r="AE369" s="67">
        <v>1</v>
      </c>
      <c r="AF369" s="37">
        <v>0</v>
      </c>
      <c r="AG369" s="28">
        <f ca="1">ROUND(VLOOKUP(1,enemy_base_stats!$A:$F,2,FALSE) * Y369* J369*O369*E369*S369*AD369*[2]ステータス!$B$2,0)</f>
        <v>3596</v>
      </c>
      <c r="AH369" s="28">
        <f ca="1">ROUND(VLOOKUP(1,enemy_base_stats!$A:$F,3,FALSE) * Z369*K369*P369*F369*T369*AE369 * W369*[2]ステータス!$C$2,0)</f>
        <v>248</v>
      </c>
      <c r="AI369" s="28">
        <f ca="1">ROUND(VLOOKUP(1,enemy_base_stats!$A:$F,4,FALSE) * AA369*L369*Q369*G369*U369*AF369*[2]ステータス!$D$2,0)</f>
        <v>0</v>
      </c>
      <c r="AJ369" s="28">
        <f ca="1">ROUND(VLOOKUP(100,enemy_base_stats!$A:$F,2,FALSE) * Y369* J369*O369*E369*S369*AD369*[2]ステータス!$B$2,0)</f>
        <v>145977</v>
      </c>
      <c r="AK369" s="28">
        <f ca="1">ROUND(VLOOKUP(100,enemy_base_stats!$A:$F,3,FALSE)* Z369* K369*P369*F369*T369*AE369 * W369*[2]ステータス!$C$2,0)</f>
        <v>10073</v>
      </c>
      <c r="AL369" s="28">
        <f ca="1">ROUND(VLOOKUP(100,enemy_base_stats!$A:$F,4,FALSE)* AA369* L369*Q369*G369*U369*AF369*[2]ステータス!$D$2,0)</f>
        <v>0</v>
      </c>
      <c r="AM369" s="24">
        <f ca="1">VLOOKUP(M369,[2]character_tribe_i18n!$A:$I,9,FALSE)</f>
        <v>400</v>
      </c>
      <c r="AN369" s="36">
        <v>0</v>
      </c>
      <c r="AO369" s="53">
        <v>0</v>
      </c>
      <c r="AP369" s="58" t="s">
        <v>72</v>
      </c>
      <c r="AQ369" s="71">
        <f t="shared" ca="1" si="10"/>
        <v>368</v>
      </c>
    </row>
    <row r="370" spans="1:43" ht="21" customHeight="1" x14ac:dyDescent="0.15">
      <c r="A370" s="7">
        <f t="shared" ca="1" si="11"/>
        <v>369</v>
      </c>
      <c r="B370" s="6" t="str">
        <f ca="1">VLOOKUP(A370,[2]characters!$A:$C,3,FALSE)</f>
        <v>赫熱の重腕 ボイル</v>
      </c>
      <c r="C370" s="9">
        <f ca="1">VLOOKUP(A370,[2]characters!$A:$I,9,FALSE)</f>
        <v>5</v>
      </c>
      <c r="D370" s="9" t="str">
        <f ca="1">VLOOKUP(A370,[2]characters!$A:$H,8,FALSE)</f>
        <v>red</v>
      </c>
      <c r="E370" s="24">
        <f ca="1">VLOOKUP(D370,[2]属性!$A:$E,2,FALSE)</f>
        <v>1</v>
      </c>
      <c r="F370" s="24">
        <f ca="1">VLOOKUP(D370,[2]属性!$A:$E,3,FALSE)</f>
        <v>1.02</v>
      </c>
      <c r="G370" s="24">
        <f ca="1">VLOOKUP(D370,[2]属性!$A:$F,4,FALSE)</f>
        <v>1</v>
      </c>
      <c r="H370" s="9" t="str">
        <f ca="1">VLOOKUP(A370,[2]characters!$A:$K,11,FALSE)</f>
        <v>technical</v>
      </c>
      <c r="I370" s="14" t="str">
        <f ca="1">VLOOKUP(H370,[2]character_type_i18n!$A:$F,3,FALSE)</f>
        <v>テクニカルタイプ</v>
      </c>
      <c r="J370" s="36">
        <f ca="1">VLOOKUP(H370,[2]character_type_i18n!$A:$F,4,FALSE)</f>
        <v>0.9</v>
      </c>
      <c r="K370" s="36">
        <f ca="1">VLOOKUP(H370,[2]character_type_i18n!$A:$F,5,FALSE)</f>
        <v>0.9</v>
      </c>
      <c r="L370" s="36">
        <f ca="1">VLOOKUP(H370,[2]character_type_i18n!$A:$F,6,FALSE)</f>
        <v>1</v>
      </c>
      <c r="M370" s="9" t="str">
        <f ca="1">VLOOKUP(A370,[2]characters!$A:$M,13,FALSE)</f>
        <v>human</v>
      </c>
      <c r="N370" s="14" t="str">
        <f ca="1">VLOOKUP(M370,[2]character_tribe_i18n!$A:$F,3,FALSE)</f>
        <v>ヒューマン</v>
      </c>
      <c r="O370" s="24">
        <f ca="1">VLOOKUP(M370,[2]character_tribe_i18n!$A:$F,4,FALSE)</f>
        <v>0.94</v>
      </c>
      <c r="P370" s="24">
        <f ca="1">VLOOKUP(M370,[2]character_tribe_i18n!$A:$F,5,FALSE)</f>
        <v>0.99</v>
      </c>
      <c r="Q370" s="24">
        <f ca="1">VLOOKUP(M370,[2]character_tribe_i18n!$A:$F,6,FALSE)</f>
        <v>1</v>
      </c>
      <c r="R370" s="25" t="s">
        <v>97</v>
      </c>
      <c r="S370" s="24">
        <f>VLOOKUP($R370,ラベル別係数!$A$1:$E$7,3,FALSE)</f>
        <v>12.5</v>
      </c>
      <c r="T370" s="24">
        <f>VLOOKUP($R370,ラベル別係数!$A$1:$E$7,4,FALSE)</f>
        <v>1</v>
      </c>
      <c r="U370" s="24">
        <f>VLOOKUP($R370,ラベル別係数!$A$1:$E$7,5,FALSE)</f>
        <v>0.8</v>
      </c>
      <c r="V370" s="27">
        <v>3</v>
      </c>
      <c r="W370" s="28">
        <f>VLOOKUP(V370,ターン数別攻撃係数!$A$1:$B$1000,2,FALSE)</f>
        <v>1</v>
      </c>
      <c r="X370" s="10">
        <v>60</v>
      </c>
      <c r="Y370" s="26">
        <f>VLOOKUP($X370,サイズ別係数!$B:$E,2,FALSE)</f>
        <v>1.7</v>
      </c>
      <c r="Z370" s="26">
        <f>VLOOKUP($X370,サイズ別係数!$B:$E,3,FALSE)</f>
        <v>1.4</v>
      </c>
      <c r="AA370" s="26">
        <f>VLOOKUP($X370,サイズ別係数!$B:$E,4,FALSE)</f>
        <v>1</v>
      </c>
      <c r="AB370" s="5">
        <v>0</v>
      </c>
      <c r="AC370" s="34" t="str">
        <f ca="1">VLOOKUP($AB370,OFFSET([3]enemy_skill_sets!$B$2,0,0,COUNTA([3]enemy_skill_sets!$A:$A),MATCH(AC$1,[3]enemy_skill_sets!$1:$1,0)-MATCH($AB$1,[3]enemy_skill_sets!$1:$1,0)+1),MATCH(AC$1,[3]enemy_skill_sets!$1:$1,0)-MATCH($AB$1,[3]enemy_skill_sets!$1:$1,0)+1,FALSE)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0" s="67">
        <v>1</v>
      </c>
      <c r="AE370" s="67">
        <v>1</v>
      </c>
      <c r="AF370" s="37">
        <v>0</v>
      </c>
      <c r="AG370" s="28">
        <f ca="1">ROUND(VLOOKUP(1,enemy_base_stats!$A:$F,2,FALSE) * Y370* J370*O370*E370*S370*AD370*[2]ステータス!$B$2,0)</f>
        <v>8989</v>
      </c>
      <c r="AH370" s="28">
        <f ca="1">ROUND(VLOOKUP(1,enemy_base_stats!$A:$F,3,FALSE) * Z370*K370*P370*F370*T370*AE370 * W370*[2]ステータス!$C$2,0)</f>
        <v>191</v>
      </c>
      <c r="AI370" s="28">
        <f ca="1">ROUND(VLOOKUP(1,enemy_base_stats!$A:$F,4,FALSE) * AA370*L370*Q370*G370*U370*AF370*[2]ステータス!$D$2,0)</f>
        <v>0</v>
      </c>
      <c r="AJ370" s="28">
        <f ca="1">ROUND(VLOOKUP(100,enemy_base_stats!$A:$F,2,FALSE) * Y370* J370*O370*E370*S370*AD370*[2]ステータス!$B$2,0)</f>
        <v>364943</v>
      </c>
      <c r="AK370" s="28">
        <f ca="1">ROUND(VLOOKUP(100,enemy_base_stats!$A:$F,3,FALSE)* Z370* K370*P370*F370*T370*AE370 * W370*[2]ステータス!$C$2,0)</f>
        <v>7749</v>
      </c>
      <c r="AL370" s="28">
        <f ca="1">ROUND(VLOOKUP(100,enemy_base_stats!$A:$F,4,FALSE)* AA370* L370*Q370*G370*U370*AF370*[2]ステータス!$D$2,0)</f>
        <v>0</v>
      </c>
      <c r="AM370" s="24">
        <f ca="1">VLOOKUP(M370,[2]character_tribe_i18n!$A:$I,9,FALSE)</f>
        <v>400</v>
      </c>
      <c r="AN370" s="36">
        <v>0</v>
      </c>
      <c r="AO370" s="53">
        <v>0</v>
      </c>
      <c r="AP370" s="58" t="s">
        <v>72</v>
      </c>
      <c r="AQ370" s="71">
        <f t="shared" ca="1" si="10"/>
        <v>369</v>
      </c>
    </row>
    <row r="371" spans="1:43" ht="21" customHeight="1" x14ac:dyDescent="0.15">
      <c r="A371" s="7">
        <f t="shared" ca="1" si="11"/>
        <v>370</v>
      </c>
      <c r="B371" s="6" t="str">
        <f ca="1">VLOOKUP(A371,[2]characters!$A:$C,3,FALSE)</f>
        <v>タイチ</v>
      </c>
      <c r="C371" s="9">
        <f ca="1">VLOOKUP(A371,[2]characters!$A:$I,9,FALSE)</f>
        <v>2</v>
      </c>
      <c r="D371" s="9" t="str">
        <f ca="1">VLOOKUP(A371,[2]characters!$A:$H,8,FALSE)</f>
        <v>red</v>
      </c>
      <c r="E371" s="24">
        <f ca="1">VLOOKUP(D371,[2]属性!$A:$E,2,FALSE)</f>
        <v>1</v>
      </c>
      <c r="F371" s="24">
        <f ca="1">VLOOKUP(D371,[2]属性!$A:$E,3,FALSE)</f>
        <v>1.02</v>
      </c>
      <c r="G371" s="24">
        <f ca="1">VLOOKUP(D371,[2]属性!$A:$F,4,FALSE)</f>
        <v>1</v>
      </c>
      <c r="H371" s="9" t="str">
        <f ca="1">VLOOKUP(A371,[2]characters!$A:$K,11,FALSE)</f>
        <v>attack</v>
      </c>
      <c r="I371" s="14" t="str">
        <f ca="1">VLOOKUP(H371,[2]character_type_i18n!$A:$F,3,FALSE)</f>
        <v>攻撃タイプ</v>
      </c>
      <c r="J371" s="36">
        <f ca="1">VLOOKUP(H371,[2]character_type_i18n!$A:$F,4,FALSE)</f>
        <v>1</v>
      </c>
      <c r="K371" s="36">
        <f ca="1">VLOOKUP(H371,[2]character_type_i18n!$A:$F,5,FALSE)</f>
        <v>1.33</v>
      </c>
      <c r="L371" s="36">
        <f ca="1">VLOOKUP(H371,[2]character_type_i18n!$A:$F,6,FALSE)</f>
        <v>1</v>
      </c>
      <c r="M371" s="9" t="str">
        <f ca="1">VLOOKUP(A371,[2]characters!$A:$M,13,FALSE)</f>
        <v>unknown</v>
      </c>
      <c r="N371" s="14" t="str">
        <f ca="1">VLOOKUP(M371,[2]character_tribe_i18n!$A:$F,3,FALSE)</f>
        <v>Unknown</v>
      </c>
      <c r="O371" s="24">
        <f ca="1">VLOOKUP(M371,[2]character_tribe_i18n!$A:$F,4,FALSE)</f>
        <v>1</v>
      </c>
      <c r="P371" s="24">
        <f ca="1">VLOOKUP(M371,[2]character_tribe_i18n!$A:$F,5,FALSE)</f>
        <v>1</v>
      </c>
      <c r="Q371" s="24">
        <f ca="1">VLOOKUP(M371,[2]character_tribe_i18n!$A:$F,6,FALSE)</f>
        <v>1</v>
      </c>
      <c r="R371" s="25" t="s">
        <v>19</v>
      </c>
      <c r="S371" s="24">
        <f>VLOOKUP($R371,ラベル別係数!$A$1:$E$7,3,FALSE)</f>
        <v>1</v>
      </c>
      <c r="T371" s="24">
        <f>VLOOKUP($R371,ラベル別係数!$A$1:$E$7,4,FALSE)</f>
        <v>1</v>
      </c>
      <c r="U371" s="24">
        <f>VLOOKUP($R371,ラベル別係数!$A$1:$E$7,5,FALSE)</f>
        <v>1</v>
      </c>
      <c r="V371" s="27">
        <v>2</v>
      </c>
      <c r="W371" s="28">
        <f>VLOOKUP(V371,ターン数別攻撃係数!$A$1:$B$1000,2,FALSE)</f>
        <v>0.75</v>
      </c>
      <c r="X371" s="9">
        <f ca="1">VLOOKUP(C371,サイズ別係数!A$2:B$8,2,FALSE)</f>
        <v>15</v>
      </c>
      <c r="Y371" s="26">
        <f ca="1">VLOOKUP($X371,サイズ別係数!$B:$E,2,FALSE)</f>
        <v>1</v>
      </c>
      <c r="Z371" s="26">
        <f ca="1">VLOOKUP($X371,サイズ別係数!$B:$E,3,FALSE)</f>
        <v>1</v>
      </c>
      <c r="AA371" s="26">
        <f ca="1">VLOOKUP($X371,サイズ別係数!$B:$E,4,FALSE)</f>
        <v>1</v>
      </c>
      <c r="AB371" s="5">
        <v>0</v>
      </c>
      <c r="AC371" s="34" t="str">
        <f ca="1">VLOOKUP($AB371,OFFSET([3]enemy_skill_sets!$B$2,0,0,COUNTA([3]enemy_skill_sets!$A:$A),MATCH(AC$1,[3]enemy_skill_sets!$1:$1,0)-MATCH($AB$1,[3]enemy_skill_sets!$1:$1,0)+1),MATCH(AC$1,[3]enemy_skill_sets!$1:$1,0)-MATCH($AB$1,[3]enemy_skill_sets!$1:$1,0)+1,FALSE)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1" s="67">
        <v>1</v>
      </c>
      <c r="AE371" s="67">
        <v>1</v>
      </c>
      <c r="AF371" s="37">
        <v>0</v>
      </c>
      <c r="AG371" s="28">
        <f ca="1">ROUND(VLOOKUP(1,enemy_base_stats!$A:$F,2,FALSE) * Y371* J371*O371*E371*S371*AD371*[2]ステータス!$B$2,0)</f>
        <v>500</v>
      </c>
      <c r="AH371" s="28">
        <f ca="1">ROUND(VLOOKUP(1,enemy_base_stats!$A:$F,3,FALSE) * Z371*K371*P371*F371*T371*AE371 * W371*[2]ステータス!$C$2,0)</f>
        <v>153</v>
      </c>
      <c r="AI371" s="28">
        <f ca="1">ROUND(VLOOKUP(1,enemy_base_stats!$A:$F,4,FALSE) * AA371*L371*Q371*G371*U371*AF371*[2]ステータス!$D$2,0)</f>
        <v>0</v>
      </c>
      <c r="AJ371" s="28">
        <f ca="1">ROUND(VLOOKUP(100,enemy_base_stats!$A:$F,2,FALSE) * Y371* J371*O371*E371*S371*AD371*[2]ステータス!$B$2,0)</f>
        <v>20300</v>
      </c>
      <c r="AK371" s="28">
        <f ca="1">ROUND(VLOOKUP(100,enemy_base_stats!$A:$F,3,FALSE)* Z371* K371*P371*F371*T371*AE371 * W371*[2]ステータス!$C$2,0)</f>
        <v>6196</v>
      </c>
      <c r="AL371" s="28">
        <f ca="1">ROUND(VLOOKUP(100,enemy_base_stats!$A:$F,4,FALSE)* AA371* L371*Q371*G371*U371*AF371*[2]ステータス!$D$2,0)</f>
        <v>0</v>
      </c>
      <c r="AM371" s="24">
        <f ca="1">VLOOKUP(M371,[2]character_tribe_i18n!$A:$I,9,FALSE)</f>
        <v>340</v>
      </c>
      <c r="AN371" s="36">
        <v>0</v>
      </c>
      <c r="AO371" s="53">
        <v>0</v>
      </c>
      <c r="AP371" s="58" t="s">
        <v>72</v>
      </c>
      <c r="AQ371" s="71">
        <f t="shared" ref="AQ371:AQ387" ca="1" si="12">A371</f>
        <v>370</v>
      </c>
    </row>
    <row r="372" spans="1:43" ht="21" customHeight="1" x14ac:dyDescent="0.15">
      <c r="A372" s="7">
        <f t="shared" ca="1" si="11"/>
        <v>371</v>
      </c>
      <c r="B372" s="6" t="str">
        <f ca="1">VLOOKUP(A372,[2]characters!$A:$C,3,FALSE)</f>
        <v>行灯達磨 タイチ</v>
      </c>
      <c r="C372" s="9">
        <f ca="1">VLOOKUP(A372,[2]characters!$A:$I,9,FALSE)</f>
        <v>3</v>
      </c>
      <c r="D372" s="9" t="str">
        <f ca="1">VLOOKUP(A372,[2]characters!$A:$H,8,FALSE)</f>
        <v>red</v>
      </c>
      <c r="E372" s="24">
        <f ca="1">VLOOKUP(D372,[2]属性!$A:$E,2,FALSE)</f>
        <v>1</v>
      </c>
      <c r="F372" s="24">
        <f ca="1">VLOOKUP(D372,[2]属性!$A:$E,3,FALSE)</f>
        <v>1.02</v>
      </c>
      <c r="G372" s="24">
        <f ca="1">VLOOKUP(D372,[2]属性!$A:$F,4,FALSE)</f>
        <v>1</v>
      </c>
      <c r="H372" s="9" t="str">
        <f ca="1">VLOOKUP(A372,[2]characters!$A:$K,11,FALSE)</f>
        <v>attack</v>
      </c>
      <c r="I372" s="14" t="str">
        <f ca="1">VLOOKUP(H372,[2]character_type_i18n!$A:$F,3,FALSE)</f>
        <v>攻撃タイプ</v>
      </c>
      <c r="J372" s="36">
        <f ca="1">VLOOKUP(H372,[2]character_type_i18n!$A:$F,4,FALSE)</f>
        <v>1</v>
      </c>
      <c r="K372" s="36">
        <f ca="1">VLOOKUP(H372,[2]character_type_i18n!$A:$F,5,FALSE)</f>
        <v>1.33</v>
      </c>
      <c r="L372" s="36">
        <f ca="1">VLOOKUP(H372,[2]character_type_i18n!$A:$F,6,FALSE)</f>
        <v>1</v>
      </c>
      <c r="M372" s="9" t="str">
        <f ca="1">VLOOKUP(A372,[2]characters!$A:$M,13,FALSE)</f>
        <v>unknown</v>
      </c>
      <c r="N372" s="14" t="str">
        <f ca="1">VLOOKUP(M372,[2]character_tribe_i18n!$A:$F,3,FALSE)</f>
        <v>Unknown</v>
      </c>
      <c r="O372" s="24">
        <f ca="1">VLOOKUP(M372,[2]character_tribe_i18n!$A:$F,4,FALSE)</f>
        <v>1</v>
      </c>
      <c r="P372" s="24">
        <f ca="1">VLOOKUP(M372,[2]character_tribe_i18n!$A:$F,5,FALSE)</f>
        <v>1</v>
      </c>
      <c r="Q372" s="24">
        <f ca="1">VLOOKUP(M372,[2]character_tribe_i18n!$A:$F,6,FALSE)</f>
        <v>1</v>
      </c>
      <c r="R372" s="25" t="s">
        <v>19</v>
      </c>
      <c r="S372" s="24">
        <f>VLOOKUP($R372,ラベル別係数!$A$1:$E$7,3,FALSE)</f>
        <v>1</v>
      </c>
      <c r="T372" s="24">
        <f>VLOOKUP($R372,ラベル別係数!$A$1:$E$7,4,FALSE)</f>
        <v>1</v>
      </c>
      <c r="U372" s="24">
        <f>VLOOKUP($R372,ラベル別係数!$A$1:$E$7,5,FALSE)</f>
        <v>1</v>
      </c>
      <c r="V372" s="27">
        <v>2</v>
      </c>
      <c r="W372" s="28">
        <f>VLOOKUP(V372,ターン数別攻撃係数!$A$1:$B$1000,2,FALSE)</f>
        <v>0.75</v>
      </c>
      <c r="X372" s="9">
        <v>20</v>
      </c>
      <c r="Y372" s="26">
        <f>VLOOKUP($X372,サイズ別係数!$B:$E,2,FALSE)</f>
        <v>1.1000000000000001</v>
      </c>
      <c r="Z372" s="26">
        <f>VLOOKUP($X372,サイズ別係数!$B:$E,3,FALSE)</f>
        <v>1.2</v>
      </c>
      <c r="AA372" s="26">
        <f>VLOOKUP($X372,サイズ別係数!$B:$E,4,FALSE)</f>
        <v>1.2</v>
      </c>
      <c r="AB372" s="5">
        <v>0</v>
      </c>
      <c r="AC372" s="34" t="str">
        <f ca="1">VLOOKUP($AB372,OFFSET([3]enemy_skill_sets!$B$2,0,0,COUNTA([3]enemy_skill_sets!$A:$A),MATCH(AC$1,[3]enemy_skill_sets!$1:$1,0)-MATCH($AB$1,[3]enemy_skill_sets!$1:$1,0)+1),MATCH(AC$1,[3]enemy_skill_sets!$1:$1,0)-MATCH($AB$1,[3]enemy_skill_sets!$1:$1,0)+1,FALSE)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2" s="67">
        <v>1</v>
      </c>
      <c r="AE372" s="67">
        <v>1</v>
      </c>
      <c r="AF372" s="37">
        <v>0</v>
      </c>
      <c r="AG372" s="28">
        <f ca="1">ROUND(VLOOKUP(1,enemy_base_stats!$A:$F,2,FALSE) * Y372* J372*O372*E372*S372*AD372*[2]ステータス!$B$2,0)</f>
        <v>550</v>
      </c>
      <c r="AH372" s="28">
        <f ca="1">ROUND(VLOOKUP(1,enemy_base_stats!$A:$F,3,FALSE) * Z372*K372*P372*F372*T372*AE372 * W372*[2]ステータス!$C$2,0)</f>
        <v>183</v>
      </c>
      <c r="AI372" s="28">
        <f ca="1">ROUND(VLOOKUP(1,enemy_base_stats!$A:$F,4,FALSE) * AA372*L372*Q372*G372*U372*AF372*[2]ステータス!$D$2,0)</f>
        <v>0</v>
      </c>
      <c r="AJ372" s="28">
        <f ca="1">ROUND(VLOOKUP(100,enemy_base_stats!$A:$F,2,FALSE) * Y372* J372*O372*E372*S372*AD372*[2]ステータス!$B$2,0)</f>
        <v>22330</v>
      </c>
      <c r="AK372" s="28">
        <f ca="1">ROUND(VLOOKUP(100,enemy_base_stats!$A:$F,3,FALSE)* Z372* K372*P372*F372*T372*AE372 * W372*[2]ステータス!$C$2,0)</f>
        <v>7436</v>
      </c>
      <c r="AL372" s="28">
        <f ca="1">ROUND(VLOOKUP(100,enemy_base_stats!$A:$F,4,FALSE)* AA372* L372*Q372*G372*U372*AF372*[2]ステータス!$D$2,0)</f>
        <v>0</v>
      </c>
      <c r="AM372" s="24">
        <f ca="1">VLOOKUP(M372,[2]character_tribe_i18n!$A:$I,9,FALSE)</f>
        <v>340</v>
      </c>
      <c r="AN372" s="36">
        <v>0</v>
      </c>
      <c r="AO372" s="53">
        <v>0</v>
      </c>
      <c r="AP372" s="58" t="s">
        <v>72</v>
      </c>
      <c r="AQ372" s="71">
        <f t="shared" ca="1" si="12"/>
        <v>371</v>
      </c>
    </row>
    <row r="373" spans="1:43" ht="21" customHeight="1" x14ac:dyDescent="0.15">
      <c r="A373" s="7">
        <f t="shared" ca="1" si="11"/>
        <v>372</v>
      </c>
      <c r="B373" s="6" t="str">
        <f ca="1">VLOOKUP(A373,[2]characters!$A:$C,3,FALSE)</f>
        <v>バショー</v>
      </c>
      <c r="C373" s="9">
        <f ca="1">VLOOKUP(A373,[2]characters!$A:$I,9,FALSE)</f>
        <v>2</v>
      </c>
      <c r="D373" s="9" t="str">
        <f ca="1">VLOOKUP(A373,[2]characters!$A:$H,8,FALSE)</f>
        <v>green</v>
      </c>
      <c r="E373" s="24">
        <f ca="1">VLOOKUP(D373,[2]属性!$A:$E,2,FALSE)</f>
        <v>1.02</v>
      </c>
      <c r="F373" s="24">
        <f ca="1">VLOOKUP(D373,[2]属性!$A:$E,3,FALSE)</f>
        <v>0.98</v>
      </c>
      <c r="G373" s="24">
        <f ca="1">VLOOKUP(D373,[2]属性!$A:$F,4,FALSE)</f>
        <v>1</v>
      </c>
      <c r="H373" s="9" t="str">
        <f ca="1">VLOOKUP(A373,[2]characters!$A:$K,11,FALSE)</f>
        <v>balance</v>
      </c>
      <c r="I373" s="14" t="str">
        <f ca="1">VLOOKUP(H373,[2]character_type_i18n!$A:$F,3,FALSE)</f>
        <v>バランスタイプ</v>
      </c>
      <c r="J373" s="36">
        <f ca="1">VLOOKUP(H373,[2]character_type_i18n!$A:$F,4,FALSE)</f>
        <v>1</v>
      </c>
      <c r="K373" s="36">
        <f ca="1">VLOOKUP(H373,[2]character_type_i18n!$A:$F,5,FALSE)</f>
        <v>1</v>
      </c>
      <c r="L373" s="36">
        <f ca="1">VLOOKUP(H373,[2]character_type_i18n!$A:$F,6,FALSE)</f>
        <v>1</v>
      </c>
      <c r="M373" s="9" t="str">
        <f ca="1">VLOOKUP(A373,[2]characters!$A:$M,13,FALSE)</f>
        <v>unknown</v>
      </c>
      <c r="N373" s="14" t="str">
        <f ca="1">VLOOKUP(M373,[2]character_tribe_i18n!$A:$F,3,FALSE)</f>
        <v>Unknown</v>
      </c>
      <c r="O373" s="24">
        <f ca="1">VLOOKUP(M373,[2]character_tribe_i18n!$A:$F,4,FALSE)</f>
        <v>1</v>
      </c>
      <c r="P373" s="24">
        <f ca="1">VLOOKUP(M373,[2]character_tribe_i18n!$A:$F,5,FALSE)</f>
        <v>1</v>
      </c>
      <c r="Q373" s="24">
        <f ca="1">VLOOKUP(M373,[2]character_tribe_i18n!$A:$F,6,FALSE)</f>
        <v>1</v>
      </c>
      <c r="R373" s="25" t="s">
        <v>19</v>
      </c>
      <c r="S373" s="24">
        <f>VLOOKUP($R373,ラベル別係数!$A$1:$E$7,3,FALSE)</f>
        <v>1</v>
      </c>
      <c r="T373" s="24">
        <f>VLOOKUP($R373,ラベル別係数!$A$1:$E$7,4,FALSE)</f>
        <v>1</v>
      </c>
      <c r="U373" s="24">
        <f>VLOOKUP($R373,ラベル別係数!$A$1:$E$7,5,FALSE)</f>
        <v>1</v>
      </c>
      <c r="V373" s="27">
        <v>3</v>
      </c>
      <c r="W373" s="28">
        <f>VLOOKUP(V373,ターン数別攻撃係数!$A$1:$B$1000,2,FALSE)</f>
        <v>1</v>
      </c>
      <c r="X373" s="9">
        <f ca="1">VLOOKUP(C373,サイズ別係数!A$2:B$8,2,FALSE)</f>
        <v>15</v>
      </c>
      <c r="Y373" s="26">
        <f ca="1">VLOOKUP($X373,サイズ別係数!$B:$E,2,FALSE)</f>
        <v>1</v>
      </c>
      <c r="Z373" s="26">
        <f ca="1">VLOOKUP($X373,サイズ別係数!$B:$E,3,FALSE)</f>
        <v>1</v>
      </c>
      <c r="AA373" s="26">
        <f ca="1">VLOOKUP($X373,サイズ別係数!$B:$E,4,FALSE)</f>
        <v>1</v>
      </c>
      <c r="AB373" s="5">
        <v>0</v>
      </c>
      <c r="AC373" s="34" t="str">
        <f ca="1">VLOOKUP($AB373,OFFSET([3]enemy_skill_sets!$B$2,0,0,COUNTA([3]enemy_skill_sets!$A:$A),MATCH(AC$1,[3]enemy_skill_sets!$1:$1,0)-MATCH($AB$1,[3]enemy_skill_sets!$1:$1,0)+1),MATCH(AC$1,[3]enemy_skill_sets!$1:$1,0)-MATCH($AB$1,[3]enemy_skill_sets!$1:$1,0)+1,FALSE)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3" s="67">
        <v>1</v>
      </c>
      <c r="AE373" s="67">
        <v>1</v>
      </c>
      <c r="AF373" s="37">
        <v>0</v>
      </c>
      <c r="AG373" s="28">
        <f ca="1">ROUND(VLOOKUP(1,enemy_base_stats!$A:$F,2,FALSE) * Y373* J373*O373*E373*S373*AD373*[2]ステータス!$B$2,0)</f>
        <v>510</v>
      </c>
      <c r="AH373" s="28">
        <f ca="1">ROUND(VLOOKUP(1,enemy_base_stats!$A:$F,3,FALSE) * Z373*K373*P373*F373*T373*AE373 * W373*[2]ステータス!$C$2,0)</f>
        <v>147</v>
      </c>
      <c r="AI373" s="28">
        <f ca="1">ROUND(VLOOKUP(1,enemy_base_stats!$A:$F,4,FALSE) * AA373*L373*Q373*G373*U373*AF373*[2]ステータス!$D$2,0)</f>
        <v>0</v>
      </c>
      <c r="AJ373" s="28">
        <f ca="1">ROUND(VLOOKUP(100,enemy_base_stats!$A:$F,2,FALSE) * Y373* J373*O373*E373*S373*AD373*[2]ステータス!$B$2,0)</f>
        <v>20706</v>
      </c>
      <c r="AK373" s="28">
        <f ca="1">ROUND(VLOOKUP(100,enemy_base_stats!$A:$F,3,FALSE)* Z373* K373*P373*F373*T373*AE373 * W373*[2]ステータス!$C$2,0)</f>
        <v>5968</v>
      </c>
      <c r="AL373" s="28">
        <f ca="1">ROUND(VLOOKUP(100,enemy_base_stats!$A:$F,4,FALSE)* AA373* L373*Q373*G373*U373*AF373*[2]ステータス!$D$2,0)</f>
        <v>0</v>
      </c>
      <c r="AM373" s="24">
        <f ca="1">VLOOKUP(M373,[2]character_tribe_i18n!$A:$I,9,FALSE)</f>
        <v>340</v>
      </c>
      <c r="AN373" s="36">
        <v>0</v>
      </c>
      <c r="AO373" s="53">
        <v>0</v>
      </c>
      <c r="AP373" s="58" t="s">
        <v>72</v>
      </c>
      <c r="AQ373" s="71">
        <f t="shared" ca="1" si="12"/>
        <v>372</v>
      </c>
    </row>
    <row r="374" spans="1:43" ht="21" customHeight="1" x14ac:dyDescent="0.15">
      <c r="A374" s="7">
        <f t="shared" ca="1" si="11"/>
        <v>373</v>
      </c>
      <c r="B374" s="6" t="str">
        <f ca="1">VLOOKUP(A374,[2]characters!$A:$C,3,FALSE)</f>
        <v>夢幻俳聖 バショー</v>
      </c>
      <c r="C374" s="9">
        <f ca="1">VLOOKUP(A374,[2]characters!$A:$I,9,FALSE)</f>
        <v>3</v>
      </c>
      <c r="D374" s="9" t="str">
        <f ca="1">VLOOKUP(A374,[2]characters!$A:$H,8,FALSE)</f>
        <v>green</v>
      </c>
      <c r="E374" s="24">
        <f ca="1">VLOOKUP(D374,[2]属性!$A:$E,2,FALSE)</f>
        <v>1.02</v>
      </c>
      <c r="F374" s="24">
        <f ca="1">VLOOKUP(D374,[2]属性!$A:$E,3,FALSE)</f>
        <v>0.98</v>
      </c>
      <c r="G374" s="24">
        <f ca="1">VLOOKUP(D374,[2]属性!$A:$F,4,FALSE)</f>
        <v>1</v>
      </c>
      <c r="H374" s="9" t="str">
        <f ca="1">VLOOKUP(A374,[2]characters!$A:$K,11,FALSE)</f>
        <v>balance</v>
      </c>
      <c r="I374" s="14" t="str">
        <f ca="1">VLOOKUP(H374,[2]character_type_i18n!$A:$F,3,FALSE)</f>
        <v>バランスタイプ</v>
      </c>
      <c r="J374" s="36">
        <f ca="1">VLOOKUP(H374,[2]character_type_i18n!$A:$F,4,FALSE)</f>
        <v>1</v>
      </c>
      <c r="K374" s="36">
        <f ca="1">VLOOKUP(H374,[2]character_type_i18n!$A:$F,5,FALSE)</f>
        <v>1</v>
      </c>
      <c r="L374" s="36">
        <f ca="1">VLOOKUP(H374,[2]character_type_i18n!$A:$F,6,FALSE)</f>
        <v>1</v>
      </c>
      <c r="M374" s="9" t="str">
        <f ca="1">VLOOKUP(A374,[2]characters!$A:$M,13,FALSE)</f>
        <v>unknown</v>
      </c>
      <c r="N374" s="14" t="str">
        <f ca="1">VLOOKUP(M374,[2]character_tribe_i18n!$A:$F,3,FALSE)</f>
        <v>Unknown</v>
      </c>
      <c r="O374" s="24">
        <f ca="1">VLOOKUP(M374,[2]character_tribe_i18n!$A:$F,4,FALSE)</f>
        <v>1</v>
      </c>
      <c r="P374" s="24">
        <f ca="1">VLOOKUP(M374,[2]character_tribe_i18n!$A:$F,5,FALSE)</f>
        <v>1</v>
      </c>
      <c r="Q374" s="24">
        <f ca="1">VLOOKUP(M374,[2]character_tribe_i18n!$A:$F,6,FALSE)</f>
        <v>1</v>
      </c>
      <c r="R374" s="25" t="s">
        <v>19</v>
      </c>
      <c r="S374" s="24">
        <f>VLOOKUP($R374,ラベル別係数!$A$1:$E$7,3,FALSE)</f>
        <v>1</v>
      </c>
      <c r="T374" s="24">
        <f>VLOOKUP($R374,ラベル別係数!$A$1:$E$7,4,FALSE)</f>
        <v>1</v>
      </c>
      <c r="U374" s="24">
        <f>VLOOKUP($R374,ラベル別係数!$A$1:$E$7,5,FALSE)</f>
        <v>1</v>
      </c>
      <c r="V374" s="27">
        <v>3</v>
      </c>
      <c r="W374" s="28">
        <f>VLOOKUP(V374,ターン数別攻撃係数!$A$1:$B$1000,2,FALSE)</f>
        <v>1</v>
      </c>
      <c r="X374" s="9">
        <v>20</v>
      </c>
      <c r="Y374" s="26">
        <f>VLOOKUP($X374,サイズ別係数!$B:$E,2,FALSE)</f>
        <v>1.1000000000000001</v>
      </c>
      <c r="Z374" s="26">
        <f>VLOOKUP($X374,サイズ別係数!$B:$E,3,FALSE)</f>
        <v>1.2</v>
      </c>
      <c r="AA374" s="26">
        <f>VLOOKUP($X374,サイズ別係数!$B:$E,4,FALSE)</f>
        <v>1.2</v>
      </c>
      <c r="AB374" s="5">
        <v>0</v>
      </c>
      <c r="AC374" s="34" t="str">
        <f ca="1">VLOOKUP($AB374,OFFSET([3]enemy_skill_sets!$B$2,0,0,COUNTA([3]enemy_skill_sets!$A:$A),MATCH(AC$1,[3]enemy_skill_sets!$1:$1,0)-MATCH($AB$1,[3]enemy_skill_sets!$1:$1,0)+1),MATCH(AC$1,[3]enemy_skill_sets!$1:$1,0)-MATCH($AB$1,[3]enemy_skill_sets!$1:$1,0)+1,FALSE)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4" s="67">
        <v>1</v>
      </c>
      <c r="AE374" s="67">
        <v>1</v>
      </c>
      <c r="AF374" s="37">
        <v>0</v>
      </c>
      <c r="AG374" s="28">
        <f ca="1">ROUND(VLOOKUP(1,enemy_base_stats!$A:$F,2,FALSE) * Y374* J374*O374*E374*S374*AD374*[2]ステータス!$B$2,0)</f>
        <v>561</v>
      </c>
      <c r="AH374" s="28">
        <f ca="1">ROUND(VLOOKUP(1,enemy_base_stats!$A:$F,3,FALSE) * Z374*K374*P374*F374*T374*AE374 * W374*[2]ステータス!$C$2,0)</f>
        <v>176</v>
      </c>
      <c r="AI374" s="28">
        <f ca="1">ROUND(VLOOKUP(1,enemy_base_stats!$A:$F,4,FALSE) * AA374*L374*Q374*G374*U374*AF374*[2]ステータス!$D$2,0)</f>
        <v>0</v>
      </c>
      <c r="AJ374" s="28">
        <f ca="1">ROUND(VLOOKUP(100,enemy_base_stats!$A:$F,2,FALSE) * Y374* J374*O374*E374*S374*AD374*[2]ステータス!$B$2,0)</f>
        <v>22777</v>
      </c>
      <c r="AK374" s="28">
        <f ca="1">ROUND(VLOOKUP(100,enemy_base_stats!$A:$F,3,FALSE)* Z374* K374*P374*F374*T374*AE374 * W374*[2]ステータス!$C$2,0)</f>
        <v>7162</v>
      </c>
      <c r="AL374" s="28">
        <f ca="1">ROUND(VLOOKUP(100,enemy_base_stats!$A:$F,4,FALSE)* AA374* L374*Q374*G374*U374*AF374*[2]ステータス!$D$2,0)</f>
        <v>0</v>
      </c>
      <c r="AM374" s="24">
        <f ca="1">VLOOKUP(M374,[2]character_tribe_i18n!$A:$I,9,FALSE)</f>
        <v>340</v>
      </c>
      <c r="AN374" s="36">
        <v>0</v>
      </c>
      <c r="AO374" s="53">
        <v>0</v>
      </c>
      <c r="AP374" s="58" t="s">
        <v>72</v>
      </c>
      <c r="AQ374" s="71">
        <f t="shared" ca="1" si="12"/>
        <v>373</v>
      </c>
    </row>
    <row r="375" spans="1:43" ht="21" customHeight="1" x14ac:dyDescent="0.15">
      <c r="A375" s="7">
        <f t="shared" ca="1" si="11"/>
        <v>374</v>
      </c>
      <c r="B375" s="6" t="str">
        <f ca="1">VLOOKUP(A375,[2]characters!$A:$C,3,FALSE)</f>
        <v>影丸</v>
      </c>
      <c r="C375" s="9">
        <f ca="1">VLOOKUP(A375,[2]characters!$A:$I,9,FALSE)</f>
        <v>2</v>
      </c>
      <c r="D375" s="9" t="str">
        <f ca="1">VLOOKUP(A375,[2]characters!$A:$H,8,FALSE)</f>
        <v>blue</v>
      </c>
      <c r="E375" s="24">
        <f ca="1">VLOOKUP(D375,[2]属性!$A:$E,2,FALSE)</f>
        <v>1</v>
      </c>
      <c r="F375" s="24">
        <f ca="1">VLOOKUP(D375,[2]属性!$A:$E,3,FALSE)</f>
        <v>0.98</v>
      </c>
      <c r="G375" s="24">
        <f ca="1">VLOOKUP(D375,[2]属性!$A:$F,4,FALSE)</f>
        <v>1</v>
      </c>
      <c r="H375" s="9" t="str">
        <f ca="1">VLOOKUP(A375,[2]characters!$A:$K,11,FALSE)</f>
        <v>technical</v>
      </c>
      <c r="I375" s="14" t="str">
        <f ca="1">VLOOKUP(H375,[2]character_type_i18n!$A:$F,3,FALSE)</f>
        <v>テクニカルタイプ</v>
      </c>
      <c r="J375" s="36">
        <f ca="1">VLOOKUP(H375,[2]character_type_i18n!$A:$F,4,FALSE)</f>
        <v>0.9</v>
      </c>
      <c r="K375" s="36">
        <f ca="1">VLOOKUP(H375,[2]character_type_i18n!$A:$F,5,FALSE)</f>
        <v>0.9</v>
      </c>
      <c r="L375" s="36">
        <f ca="1">VLOOKUP(H375,[2]character_type_i18n!$A:$F,6,FALSE)</f>
        <v>1</v>
      </c>
      <c r="M375" s="9" t="str">
        <f ca="1">VLOOKUP(A375,[2]characters!$A:$M,13,FALSE)</f>
        <v>animal</v>
      </c>
      <c r="N375" s="14" t="str">
        <f ca="1">VLOOKUP(M375,[2]character_tribe_i18n!$A:$F,3,FALSE)</f>
        <v>アニマル</v>
      </c>
      <c r="O375" s="24">
        <f ca="1">VLOOKUP(M375,[2]character_tribe_i18n!$A:$F,4,FALSE)</f>
        <v>1</v>
      </c>
      <c r="P375" s="24">
        <f ca="1">VLOOKUP(M375,[2]character_tribe_i18n!$A:$F,5,FALSE)</f>
        <v>1.1000000000000001</v>
      </c>
      <c r="Q375" s="24">
        <f ca="1">VLOOKUP(M375,[2]character_tribe_i18n!$A:$F,6,FALSE)</f>
        <v>1</v>
      </c>
      <c r="R375" s="25" t="s">
        <v>19</v>
      </c>
      <c r="S375" s="24">
        <f>VLOOKUP($R375,ラベル別係数!$A$1:$E$7,3,FALSE)</f>
        <v>1</v>
      </c>
      <c r="T375" s="24">
        <f>VLOOKUP($R375,ラベル別係数!$A$1:$E$7,4,FALSE)</f>
        <v>1</v>
      </c>
      <c r="U375" s="24">
        <f>VLOOKUP($R375,ラベル別係数!$A$1:$E$7,5,FALSE)</f>
        <v>1</v>
      </c>
      <c r="V375" s="27">
        <v>1</v>
      </c>
      <c r="W375" s="28">
        <f>VLOOKUP(V375,ターン数別攻撃係数!$A$1:$B$1000,2,FALSE)</f>
        <v>0.55000000000000004</v>
      </c>
      <c r="X375" s="9">
        <f ca="1">VLOOKUP(C375,サイズ別係数!A$2:B$8,2,FALSE)</f>
        <v>15</v>
      </c>
      <c r="Y375" s="26">
        <f ca="1">VLOOKUP($X375,サイズ別係数!$B:$E,2,FALSE)</f>
        <v>1</v>
      </c>
      <c r="Z375" s="26">
        <f ca="1">VLOOKUP($X375,サイズ別係数!$B:$E,3,FALSE)</f>
        <v>1</v>
      </c>
      <c r="AA375" s="26">
        <f ca="1">VLOOKUP($X375,サイズ別係数!$B:$E,4,FALSE)</f>
        <v>1</v>
      </c>
      <c r="AB375" s="5">
        <v>0</v>
      </c>
      <c r="AC375" s="34" t="str">
        <f ca="1">VLOOKUP($AB375,OFFSET([3]enemy_skill_sets!$B$2,0,0,COUNTA([3]enemy_skill_sets!$A:$A),MATCH(AC$1,[3]enemy_skill_sets!$1:$1,0)-MATCH($AB$1,[3]enemy_skill_sets!$1:$1,0)+1),MATCH(AC$1,[3]enemy_skill_sets!$1:$1,0)-MATCH($AB$1,[3]enemy_skill_sets!$1:$1,0)+1,FALSE)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5" s="67">
        <v>1</v>
      </c>
      <c r="AE375" s="67">
        <v>1</v>
      </c>
      <c r="AF375" s="37">
        <v>0</v>
      </c>
      <c r="AG375" s="28">
        <f ca="1">ROUND(VLOOKUP(1,enemy_base_stats!$A:$F,2,FALSE) * Y375* J375*O375*E375*S375*AD375*[2]ステータス!$B$2,0)</f>
        <v>450</v>
      </c>
      <c r="AH375" s="28">
        <f ca="1">ROUND(VLOOKUP(1,enemy_base_stats!$A:$F,3,FALSE) * Z375*K375*P375*F375*T375*AE375 * W375*[2]ステータス!$C$2,0)</f>
        <v>80</v>
      </c>
      <c r="AI375" s="28">
        <f ca="1">ROUND(VLOOKUP(1,enemy_base_stats!$A:$F,4,FALSE) * AA375*L375*Q375*G375*U375*AF375*[2]ステータス!$D$2,0)</f>
        <v>0</v>
      </c>
      <c r="AJ375" s="28">
        <f ca="1">ROUND(VLOOKUP(100,enemy_base_stats!$A:$F,2,FALSE) * Y375* J375*O375*E375*S375*AD375*[2]ステータス!$B$2,0)</f>
        <v>18270</v>
      </c>
      <c r="AK375" s="28">
        <f ca="1">ROUND(VLOOKUP(100,enemy_base_stats!$A:$F,3,FALSE)* Z375* K375*P375*F375*T375*AE375 * W375*[2]ステータス!$C$2,0)</f>
        <v>3250</v>
      </c>
      <c r="AL375" s="28">
        <f ca="1">ROUND(VLOOKUP(100,enemy_base_stats!$A:$F,4,FALSE)* AA375* L375*Q375*G375*U375*AF375*[2]ステータス!$D$2,0)</f>
        <v>0</v>
      </c>
      <c r="AM375" s="24">
        <f ca="1">VLOOKUP(M375,[2]character_tribe_i18n!$A:$I,9,FALSE)</f>
        <v>480</v>
      </c>
      <c r="AN375" s="36">
        <v>0</v>
      </c>
      <c r="AO375" s="53">
        <v>0</v>
      </c>
      <c r="AP375" s="58" t="s">
        <v>72</v>
      </c>
      <c r="AQ375" s="71">
        <f t="shared" ca="1" si="12"/>
        <v>374</v>
      </c>
    </row>
    <row r="376" spans="1:43" ht="21" customHeight="1" x14ac:dyDescent="0.15">
      <c r="A376" s="7">
        <f t="shared" ca="1" si="11"/>
        <v>375</v>
      </c>
      <c r="B376" s="6" t="str">
        <f ca="1">VLOOKUP(A376,[2]characters!$A:$C,3,FALSE)</f>
        <v>蒼術兎忍 影丸</v>
      </c>
      <c r="C376" s="9">
        <f ca="1">VLOOKUP(A376,[2]characters!$A:$I,9,FALSE)</f>
        <v>3</v>
      </c>
      <c r="D376" s="9" t="str">
        <f ca="1">VLOOKUP(A376,[2]characters!$A:$H,8,FALSE)</f>
        <v>blue</v>
      </c>
      <c r="E376" s="24">
        <f ca="1">VLOOKUP(D376,[2]属性!$A:$E,2,FALSE)</f>
        <v>1</v>
      </c>
      <c r="F376" s="24">
        <f ca="1">VLOOKUP(D376,[2]属性!$A:$E,3,FALSE)</f>
        <v>0.98</v>
      </c>
      <c r="G376" s="24">
        <f ca="1">VLOOKUP(D376,[2]属性!$A:$F,4,FALSE)</f>
        <v>1</v>
      </c>
      <c r="H376" s="9" t="str">
        <f ca="1">VLOOKUP(A376,[2]characters!$A:$K,11,FALSE)</f>
        <v>technical</v>
      </c>
      <c r="I376" s="14" t="str">
        <f ca="1">VLOOKUP(H376,[2]character_type_i18n!$A:$F,3,FALSE)</f>
        <v>テクニカルタイプ</v>
      </c>
      <c r="J376" s="36">
        <f ca="1">VLOOKUP(H376,[2]character_type_i18n!$A:$F,4,FALSE)</f>
        <v>0.9</v>
      </c>
      <c r="K376" s="36">
        <f ca="1">VLOOKUP(H376,[2]character_type_i18n!$A:$F,5,FALSE)</f>
        <v>0.9</v>
      </c>
      <c r="L376" s="36">
        <f ca="1">VLOOKUP(H376,[2]character_type_i18n!$A:$F,6,FALSE)</f>
        <v>1</v>
      </c>
      <c r="M376" s="9" t="str">
        <f ca="1">VLOOKUP(A376,[2]characters!$A:$M,13,FALSE)</f>
        <v>animal</v>
      </c>
      <c r="N376" s="14" t="str">
        <f ca="1">VLOOKUP(M376,[2]character_tribe_i18n!$A:$F,3,FALSE)</f>
        <v>アニマル</v>
      </c>
      <c r="O376" s="24">
        <f ca="1">VLOOKUP(M376,[2]character_tribe_i18n!$A:$F,4,FALSE)</f>
        <v>1</v>
      </c>
      <c r="P376" s="24">
        <f ca="1">VLOOKUP(M376,[2]character_tribe_i18n!$A:$F,5,FALSE)</f>
        <v>1.1000000000000001</v>
      </c>
      <c r="Q376" s="24">
        <f ca="1">VLOOKUP(M376,[2]character_tribe_i18n!$A:$F,6,FALSE)</f>
        <v>1</v>
      </c>
      <c r="R376" s="25" t="s">
        <v>19</v>
      </c>
      <c r="S376" s="24">
        <f>VLOOKUP($R376,ラベル別係数!$A$1:$E$7,3,FALSE)</f>
        <v>1</v>
      </c>
      <c r="T376" s="24">
        <f>VLOOKUP($R376,ラベル別係数!$A$1:$E$7,4,FALSE)</f>
        <v>1</v>
      </c>
      <c r="U376" s="24">
        <f>VLOOKUP($R376,ラベル別係数!$A$1:$E$7,5,FALSE)</f>
        <v>1</v>
      </c>
      <c r="V376" s="27">
        <v>1</v>
      </c>
      <c r="W376" s="28">
        <f>VLOOKUP(V376,ターン数別攻撃係数!$A$1:$B$1000,2,FALSE)</f>
        <v>0.55000000000000004</v>
      </c>
      <c r="X376" s="9">
        <v>20</v>
      </c>
      <c r="Y376" s="26">
        <f>VLOOKUP($X376,サイズ別係数!$B:$E,2,FALSE)</f>
        <v>1.1000000000000001</v>
      </c>
      <c r="Z376" s="26">
        <f>VLOOKUP($X376,サイズ別係数!$B:$E,3,FALSE)</f>
        <v>1.2</v>
      </c>
      <c r="AA376" s="26">
        <f>VLOOKUP($X376,サイズ別係数!$B:$E,4,FALSE)</f>
        <v>1.2</v>
      </c>
      <c r="AB376" s="5">
        <v>0</v>
      </c>
      <c r="AC376" s="34" t="str">
        <f ca="1">VLOOKUP($AB376,OFFSET([3]enemy_skill_sets!$B$2,0,0,COUNTA([3]enemy_skill_sets!$A:$A),MATCH(AC$1,[3]enemy_skill_sets!$1:$1,0)-MATCH($AB$1,[3]enemy_skill_sets!$1:$1,0)+1),MATCH(AC$1,[3]enemy_skill_sets!$1:$1,0)-MATCH($AB$1,[3]enemy_skill_sets!$1:$1,0)+1,FALSE)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6" s="67">
        <v>1</v>
      </c>
      <c r="AE376" s="67">
        <v>1</v>
      </c>
      <c r="AF376" s="37">
        <v>0</v>
      </c>
      <c r="AG376" s="28">
        <f ca="1">ROUND(VLOOKUP(1,enemy_base_stats!$A:$F,2,FALSE) * Y376* J376*O376*E376*S376*AD376*[2]ステータス!$B$2,0)</f>
        <v>495</v>
      </c>
      <c r="AH376" s="28">
        <f ca="1">ROUND(VLOOKUP(1,enemy_base_stats!$A:$F,3,FALSE) * Z376*K376*P376*F376*T376*AE376 * W376*[2]ステータス!$C$2,0)</f>
        <v>96</v>
      </c>
      <c r="AI376" s="28">
        <f ca="1">ROUND(VLOOKUP(1,enemy_base_stats!$A:$F,4,FALSE) * AA376*L376*Q376*G376*U376*AF376*[2]ステータス!$D$2,0)</f>
        <v>0</v>
      </c>
      <c r="AJ376" s="28">
        <f ca="1">ROUND(VLOOKUP(100,enemy_base_stats!$A:$F,2,FALSE) * Y376* J376*O376*E376*S376*AD376*[2]ステータス!$B$2,0)</f>
        <v>20097</v>
      </c>
      <c r="AK376" s="28">
        <f ca="1">ROUND(VLOOKUP(100,enemy_base_stats!$A:$F,3,FALSE)* Z376* K376*P376*F376*T376*AE376 * W376*[2]ステータス!$C$2,0)</f>
        <v>3900</v>
      </c>
      <c r="AL376" s="28">
        <f ca="1">ROUND(VLOOKUP(100,enemy_base_stats!$A:$F,4,FALSE)* AA376* L376*Q376*G376*U376*AF376*[2]ステータス!$D$2,0)</f>
        <v>0</v>
      </c>
      <c r="AM376" s="24">
        <f ca="1">VLOOKUP(M376,[2]character_tribe_i18n!$A:$I,9,FALSE)</f>
        <v>480</v>
      </c>
      <c r="AN376" s="36">
        <v>0</v>
      </c>
      <c r="AO376" s="53">
        <v>0</v>
      </c>
      <c r="AP376" s="58" t="s">
        <v>72</v>
      </c>
      <c r="AQ376" s="71">
        <f t="shared" ca="1" si="12"/>
        <v>375</v>
      </c>
    </row>
    <row r="377" spans="1:43" ht="21" customHeight="1" x14ac:dyDescent="0.15">
      <c r="A377" s="7">
        <f t="shared" ca="1" si="11"/>
        <v>376</v>
      </c>
      <c r="B377" s="6" t="str">
        <f ca="1">VLOOKUP(A377,[2]characters!$A:$C,3,FALSE)</f>
        <v>勘兵衛</v>
      </c>
      <c r="C377" s="9">
        <f ca="1">VLOOKUP(A377,[2]characters!$A:$I,9,FALSE)</f>
        <v>3</v>
      </c>
      <c r="D377" s="9" t="str">
        <f ca="1">VLOOKUP(A377,[2]characters!$A:$H,8,FALSE)</f>
        <v>yellow</v>
      </c>
      <c r="E377" s="24">
        <f ca="1">VLOOKUP(D377,[2]属性!$A:$E,2,FALSE)</f>
        <v>0.98</v>
      </c>
      <c r="F377" s="24">
        <f ca="1">VLOOKUP(D377,[2]属性!$A:$E,3,FALSE)</f>
        <v>1.01</v>
      </c>
      <c r="G377" s="24">
        <f ca="1">VLOOKUP(D377,[2]属性!$A:$F,4,FALSE)</f>
        <v>1</v>
      </c>
      <c r="H377" s="9" t="str">
        <f ca="1">VLOOKUP(A377,[2]characters!$A:$K,11,FALSE)</f>
        <v>technical</v>
      </c>
      <c r="I377" s="14" t="str">
        <f ca="1">VLOOKUP(H377,[2]character_type_i18n!$A:$F,3,FALSE)</f>
        <v>テクニカルタイプ</v>
      </c>
      <c r="J377" s="36">
        <f ca="1">VLOOKUP(H377,[2]character_type_i18n!$A:$F,4,FALSE)</f>
        <v>0.9</v>
      </c>
      <c r="K377" s="36">
        <f ca="1">VLOOKUP(H377,[2]character_type_i18n!$A:$F,5,FALSE)</f>
        <v>0.9</v>
      </c>
      <c r="L377" s="36">
        <f ca="1">VLOOKUP(H377,[2]character_type_i18n!$A:$F,6,FALSE)</f>
        <v>1</v>
      </c>
      <c r="M377" s="9" t="str">
        <f ca="1">VLOOKUP(A377,[2]characters!$A:$M,13,FALSE)</f>
        <v>animal</v>
      </c>
      <c r="N377" s="14" t="str">
        <f ca="1">VLOOKUP(M377,[2]character_tribe_i18n!$A:$F,3,FALSE)</f>
        <v>アニマル</v>
      </c>
      <c r="O377" s="24">
        <f ca="1">VLOOKUP(M377,[2]character_tribe_i18n!$A:$F,4,FALSE)</f>
        <v>1</v>
      </c>
      <c r="P377" s="24">
        <f ca="1">VLOOKUP(M377,[2]character_tribe_i18n!$A:$F,5,FALSE)</f>
        <v>1.1000000000000001</v>
      </c>
      <c r="Q377" s="24">
        <f ca="1">VLOOKUP(M377,[2]character_tribe_i18n!$A:$F,6,FALSE)</f>
        <v>1</v>
      </c>
      <c r="R377" s="25" t="s">
        <v>98</v>
      </c>
      <c r="S377" s="24">
        <f>VLOOKUP($R377,ラベル別係数!$A$1:$E$7,3,FALSE)</f>
        <v>5</v>
      </c>
      <c r="T377" s="24">
        <f>VLOOKUP($R377,ラベル別係数!$A$1:$E$7,4,FALSE)</f>
        <v>1.3</v>
      </c>
      <c r="U377" s="24">
        <f>VLOOKUP($R377,ラベル別係数!$A$1:$E$7,5,FALSE)</f>
        <v>0.8</v>
      </c>
      <c r="V377" s="27">
        <v>3</v>
      </c>
      <c r="W377" s="28">
        <f>VLOOKUP(V377,ターン数別攻撃係数!$A$1:$B$1000,2,FALSE)</f>
        <v>1</v>
      </c>
      <c r="X377" s="100">
        <v>15</v>
      </c>
      <c r="Y377" s="101">
        <v>1.2</v>
      </c>
      <c r="Z377" s="101">
        <v>1.25</v>
      </c>
      <c r="AA377" s="101">
        <v>1.1499999999999999</v>
      </c>
      <c r="AB377" s="5">
        <v>0</v>
      </c>
      <c r="AC377" s="34" t="str">
        <f ca="1">VLOOKUP($AB377,OFFSET([3]enemy_skill_sets!$B$2,0,0,COUNTA([3]enemy_skill_sets!$A:$A),MATCH(AC$1,[3]enemy_skill_sets!$1:$1,0)-MATCH($AB$1,[3]enemy_skill_sets!$1:$1,0)+1),MATCH(AC$1,[3]enemy_skill_sets!$1:$1,0)-MATCH($AB$1,[3]enemy_skill_sets!$1:$1,0)+1,FALSE)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7" s="67">
        <v>1</v>
      </c>
      <c r="AE377" s="67">
        <v>1</v>
      </c>
      <c r="AF377" s="37">
        <v>0</v>
      </c>
      <c r="AG377" s="28">
        <f ca="1">ROUND(VLOOKUP(1,enemy_base_stats!$A:$F,2,FALSE) * Y377* J377*O377*E377*S377*AD377*[2]ステータス!$B$2,0)</f>
        <v>2646</v>
      </c>
      <c r="AH377" s="28">
        <f ca="1">ROUND(VLOOKUP(1,enemy_base_stats!$A:$F,3,FALSE) * Z377*K377*P377*F377*T377*AE377 * W377*[2]ステータス!$C$2,0)</f>
        <v>244</v>
      </c>
      <c r="AI377" s="28">
        <f ca="1">ROUND(VLOOKUP(1,enemy_base_stats!$A:$F,4,FALSE) * AA377*L377*Q377*G377*U377*AF377*[2]ステータス!$D$2,0)</f>
        <v>0</v>
      </c>
      <c r="AJ377" s="28">
        <f ca="1">ROUND(VLOOKUP(100,enemy_base_stats!$A:$F,2,FALSE) * Y377* J377*O377*E377*S377*AD377*[2]ステータス!$B$2,0)</f>
        <v>107428</v>
      </c>
      <c r="AK377" s="28">
        <f ca="1">ROUND(VLOOKUP(100,enemy_base_stats!$A:$F,3,FALSE)* Z377* K377*P377*F377*T377*AE377 * W377*[2]ステータス!$C$2,0)</f>
        <v>9895</v>
      </c>
      <c r="AL377" s="28">
        <f ca="1">ROUND(VLOOKUP(100,enemy_base_stats!$A:$F,4,FALSE)* AA377* L377*Q377*G377*U377*AF377*[2]ステータス!$D$2,0)</f>
        <v>0</v>
      </c>
      <c r="AM377" s="24">
        <f ca="1">VLOOKUP(M377,[2]character_tribe_i18n!$A:$I,9,FALSE)</f>
        <v>480</v>
      </c>
      <c r="AN377" s="36">
        <v>0</v>
      </c>
      <c r="AO377" s="53">
        <v>0</v>
      </c>
      <c r="AP377" s="58" t="s">
        <v>72</v>
      </c>
      <c r="AQ377" s="71">
        <f t="shared" ca="1" si="12"/>
        <v>376</v>
      </c>
    </row>
    <row r="378" spans="1:43" ht="21" customHeight="1" x14ac:dyDescent="0.15">
      <c r="A378" s="7">
        <f t="shared" ca="1" si="11"/>
        <v>377</v>
      </c>
      <c r="B378" s="6" t="str">
        <f ca="1">VLOOKUP(A378,[2]characters!$A:$C,3,FALSE)</f>
        <v>光明鹿剣 勘兵衛</v>
      </c>
      <c r="C378" s="9">
        <f ca="1">VLOOKUP(A378,[2]characters!$A:$I,9,FALSE)</f>
        <v>4</v>
      </c>
      <c r="D378" s="9" t="str">
        <f ca="1">VLOOKUP(A378,[2]characters!$A:$H,8,FALSE)</f>
        <v>yellow</v>
      </c>
      <c r="E378" s="24">
        <f ca="1">VLOOKUP(D378,[2]属性!$A:$E,2,FALSE)</f>
        <v>0.98</v>
      </c>
      <c r="F378" s="24">
        <f ca="1">VLOOKUP(D378,[2]属性!$A:$E,3,FALSE)</f>
        <v>1.01</v>
      </c>
      <c r="G378" s="24">
        <f ca="1">VLOOKUP(D378,[2]属性!$A:$F,4,FALSE)</f>
        <v>1</v>
      </c>
      <c r="H378" s="9" t="str">
        <f ca="1">VLOOKUP(A378,[2]characters!$A:$K,11,FALSE)</f>
        <v>technical</v>
      </c>
      <c r="I378" s="14" t="str">
        <f ca="1">VLOOKUP(H378,[2]character_type_i18n!$A:$F,3,FALSE)</f>
        <v>テクニカルタイプ</v>
      </c>
      <c r="J378" s="36">
        <f ca="1">VLOOKUP(H378,[2]character_type_i18n!$A:$F,4,FALSE)</f>
        <v>0.9</v>
      </c>
      <c r="K378" s="36">
        <f ca="1">VLOOKUP(H378,[2]character_type_i18n!$A:$F,5,FALSE)</f>
        <v>0.9</v>
      </c>
      <c r="L378" s="36">
        <f ca="1">VLOOKUP(H378,[2]character_type_i18n!$A:$F,6,FALSE)</f>
        <v>1</v>
      </c>
      <c r="M378" s="9" t="str">
        <f ca="1">VLOOKUP(A378,[2]characters!$A:$M,13,FALSE)</f>
        <v>animal</v>
      </c>
      <c r="N378" s="14" t="str">
        <f ca="1">VLOOKUP(M378,[2]character_tribe_i18n!$A:$F,3,FALSE)</f>
        <v>アニマル</v>
      </c>
      <c r="O378" s="24">
        <f ca="1">VLOOKUP(M378,[2]character_tribe_i18n!$A:$F,4,FALSE)</f>
        <v>1</v>
      </c>
      <c r="P378" s="24">
        <f ca="1">VLOOKUP(M378,[2]character_tribe_i18n!$A:$F,5,FALSE)</f>
        <v>1.1000000000000001</v>
      </c>
      <c r="Q378" s="24">
        <f ca="1">VLOOKUP(M378,[2]character_tribe_i18n!$A:$F,6,FALSE)</f>
        <v>1</v>
      </c>
      <c r="R378" s="25" t="s">
        <v>98</v>
      </c>
      <c r="S378" s="24">
        <f>VLOOKUP($R378,ラベル別係数!$A$1:$E$7,3,FALSE)</f>
        <v>5</v>
      </c>
      <c r="T378" s="24">
        <f>VLOOKUP($R378,ラベル別係数!$A$1:$E$7,4,FALSE)</f>
        <v>1.3</v>
      </c>
      <c r="U378" s="24">
        <f>VLOOKUP($R378,ラベル別係数!$A$1:$E$7,5,FALSE)</f>
        <v>0.8</v>
      </c>
      <c r="V378" s="27">
        <v>3</v>
      </c>
      <c r="W378" s="28">
        <f>VLOOKUP(V378,ターン数別攻撃係数!$A$1:$B$1000,2,FALSE)</f>
        <v>1</v>
      </c>
      <c r="X378" s="9">
        <f ca="1">VLOOKUP(C378,サイズ別係数!A$2:B$8,2,FALSE)</f>
        <v>30</v>
      </c>
      <c r="Y378" s="26">
        <f ca="1">VLOOKUP($X378,サイズ別係数!$B:$E,2,FALSE)</f>
        <v>1.3</v>
      </c>
      <c r="Z378" s="26">
        <f ca="1">VLOOKUP($X378,サイズ別係数!$B:$E,3,FALSE)</f>
        <v>1.3</v>
      </c>
      <c r="AA378" s="26">
        <f ca="1">VLOOKUP($X378,サイズ別係数!$B:$E,4,FALSE)</f>
        <v>1.1000000000000001</v>
      </c>
      <c r="AB378" s="5">
        <v>0</v>
      </c>
      <c r="AC378" s="34" t="str">
        <f ca="1">VLOOKUP($AB378,OFFSET([3]enemy_skill_sets!$B$2,0,0,COUNTA([3]enemy_skill_sets!$A:$A),MATCH(AC$1,[3]enemy_skill_sets!$1:$1,0)-MATCH($AB$1,[3]enemy_skill_sets!$1:$1,0)+1),MATCH(AC$1,[3]enemy_skill_sets!$1:$1,0)-MATCH($AB$1,[3]enemy_skill_sets!$1:$1,0)+1,FALSE)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8" s="67">
        <v>1</v>
      </c>
      <c r="AE378" s="67">
        <v>1</v>
      </c>
      <c r="AF378" s="37">
        <v>0</v>
      </c>
      <c r="AG378" s="28">
        <f ca="1">ROUND(VLOOKUP(1,enemy_base_stats!$A:$F,2,FALSE) * Y378* J378*O378*E378*S378*AD378*[2]ステータス!$B$2,0)</f>
        <v>2867</v>
      </c>
      <c r="AH378" s="28">
        <f ca="1">ROUND(VLOOKUP(1,enemy_base_stats!$A:$F,3,FALSE) * Z378*K378*P378*F378*T378*AE378 * W378*[2]ステータス!$C$2,0)</f>
        <v>253</v>
      </c>
      <c r="AI378" s="28">
        <f ca="1">ROUND(VLOOKUP(1,enemy_base_stats!$A:$F,4,FALSE) * AA378*L378*Q378*G378*U378*AF378*[2]ステータス!$D$2,0)</f>
        <v>0</v>
      </c>
      <c r="AJ378" s="28">
        <f ca="1">ROUND(VLOOKUP(100,enemy_base_stats!$A:$F,2,FALSE) * Y378* J378*O378*E378*S378*AD378*[2]ステータス!$B$2,0)</f>
        <v>116380</v>
      </c>
      <c r="AK378" s="28">
        <f ca="1">ROUND(VLOOKUP(100,enemy_base_stats!$A:$F,3,FALSE)* Z378* K378*P378*F378*T378*AE378 * W378*[2]ステータス!$C$2,0)</f>
        <v>10291</v>
      </c>
      <c r="AL378" s="28">
        <f ca="1">ROUND(VLOOKUP(100,enemy_base_stats!$A:$F,4,FALSE)* AA378* L378*Q378*G378*U378*AF378*[2]ステータス!$D$2,0)</f>
        <v>0</v>
      </c>
      <c r="AM378" s="24">
        <f ca="1">VLOOKUP(M378,[2]character_tribe_i18n!$A:$I,9,FALSE)</f>
        <v>480</v>
      </c>
      <c r="AN378" s="36">
        <v>0</v>
      </c>
      <c r="AO378" s="53">
        <v>0</v>
      </c>
      <c r="AP378" s="58" t="s">
        <v>72</v>
      </c>
      <c r="AQ378" s="71">
        <f t="shared" ca="1" si="12"/>
        <v>377</v>
      </c>
    </row>
    <row r="379" spans="1:43" ht="21" customHeight="1" x14ac:dyDescent="0.15">
      <c r="A379" s="7">
        <f t="shared" ca="1" si="11"/>
        <v>378</v>
      </c>
      <c r="B379" s="6" t="str">
        <f ca="1">VLOOKUP(A379,[2]characters!$A:$C,3,FALSE)</f>
        <v>オイラー</v>
      </c>
      <c r="C379" s="9">
        <f ca="1">VLOOKUP(A379,[2]characters!$A:$I,9,FALSE)</f>
        <v>4</v>
      </c>
      <c r="D379" s="9" t="str">
        <f ca="1">VLOOKUP(A379,[2]characters!$A:$H,8,FALSE)</f>
        <v>green</v>
      </c>
      <c r="E379" s="24">
        <f ca="1">VLOOKUP(D379,[2]属性!$A:$E,2,FALSE)</f>
        <v>1.02</v>
      </c>
      <c r="F379" s="24">
        <f ca="1">VLOOKUP(D379,[2]属性!$A:$E,3,FALSE)</f>
        <v>0.98</v>
      </c>
      <c r="G379" s="24">
        <f ca="1">VLOOKUP(D379,[2]属性!$A:$F,4,FALSE)</f>
        <v>1</v>
      </c>
      <c r="H379" s="9" t="str">
        <f ca="1">VLOOKUP(A379,[2]characters!$A:$K,11,FALSE)</f>
        <v>balance</v>
      </c>
      <c r="I379" s="14" t="str">
        <f ca="1">VLOOKUP(H379,[2]character_type_i18n!$A:$F,3,FALSE)</f>
        <v>バランスタイプ</v>
      </c>
      <c r="J379" s="36">
        <f ca="1">VLOOKUP(H379,[2]character_type_i18n!$A:$F,4,FALSE)</f>
        <v>1</v>
      </c>
      <c r="K379" s="36">
        <f ca="1">VLOOKUP(H379,[2]character_type_i18n!$A:$F,5,FALSE)</f>
        <v>1</v>
      </c>
      <c r="L379" s="36">
        <f ca="1">VLOOKUP(H379,[2]character_type_i18n!$A:$F,6,FALSE)</f>
        <v>1</v>
      </c>
      <c r="M379" s="9" t="str">
        <f ca="1">VLOOKUP(A379,[2]characters!$A:$M,13,FALSE)</f>
        <v>human</v>
      </c>
      <c r="N379" s="14" t="str">
        <f ca="1">VLOOKUP(M379,[2]character_tribe_i18n!$A:$F,3,FALSE)</f>
        <v>ヒューマン</v>
      </c>
      <c r="O379" s="24">
        <f ca="1">VLOOKUP(M379,[2]character_tribe_i18n!$A:$F,4,FALSE)</f>
        <v>0.94</v>
      </c>
      <c r="P379" s="24">
        <f ca="1">VLOOKUP(M379,[2]character_tribe_i18n!$A:$F,5,FALSE)</f>
        <v>0.99</v>
      </c>
      <c r="Q379" s="24">
        <f ca="1">VLOOKUP(M379,[2]character_tribe_i18n!$A:$F,6,FALSE)</f>
        <v>1</v>
      </c>
      <c r="R379" s="25" t="s">
        <v>98</v>
      </c>
      <c r="S379" s="24">
        <f>VLOOKUP($R379,ラベル別係数!$A$1:$E$7,3,FALSE)</f>
        <v>5</v>
      </c>
      <c r="T379" s="24">
        <f>VLOOKUP($R379,ラベル別係数!$A$1:$E$7,4,FALSE)</f>
        <v>1.3</v>
      </c>
      <c r="U379" s="24">
        <f>VLOOKUP($R379,ラベル別係数!$A$1:$E$7,5,FALSE)</f>
        <v>0.8</v>
      </c>
      <c r="V379" s="27">
        <v>3</v>
      </c>
      <c r="W379" s="28">
        <f>VLOOKUP(V379,ターン数別攻撃係数!$A$1:$B$1000,2,FALSE)</f>
        <v>1</v>
      </c>
      <c r="X379" s="9">
        <f ca="1">VLOOKUP(C379,サイズ別係数!A$2:B$8,2,FALSE)</f>
        <v>30</v>
      </c>
      <c r="Y379" s="26">
        <f ca="1">VLOOKUP($X379,サイズ別係数!$B:$E,2,FALSE)</f>
        <v>1.3</v>
      </c>
      <c r="Z379" s="26">
        <f ca="1">VLOOKUP($X379,サイズ別係数!$B:$E,3,FALSE)</f>
        <v>1.3</v>
      </c>
      <c r="AA379" s="26">
        <f ca="1">VLOOKUP($X379,サイズ別係数!$B:$E,4,FALSE)</f>
        <v>1.1000000000000001</v>
      </c>
      <c r="AB379" s="5">
        <v>0</v>
      </c>
      <c r="AC379" s="34" t="str">
        <f ca="1">VLOOKUP($AB379,OFFSET([3]enemy_skill_sets!$B$2,0,0,COUNTA([3]enemy_skill_sets!$A:$A),MATCH(AC$1,[3]enemy_skill_sets!$1:$1,0)-MATCH($AB$1,[3]enemy_skill_sets!$1:$1,0)+1),MATCH(AC$1,[3]enemy_skill_sets!$1:$1,0)-MATCH($AB$1,[3]enemy_skill_sets!$1:$1,0)+1,FALSE)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79" s="67">
        <v>1</v>
      </c>
      <c r="AE379" s="67">
        <v>1</v>
      </c>
      <c r="AF379" s="37">
        <v>0</v>
      </c>
      <c r="AG379" s="28">
        <f ca="1">ROUND(VLOOKUP(1,enemy_base_stats!$A:$F,2,FALSE) * Y379* J379*O379*E379*S379*AD379*[2]ステータス!$B$2,0)</f>
        <v>3116</v>
      </c>
      <c r="AH379" s="28">
        <f ca="1">ROUND(VLOOKUP(1,enemy_base_stats!$A:$F,3,FALSE) * Z379*K379*P379*F379*T379*AE379 * W379*[2]ステータス!$C$2,0)</f>
        <v>246</v>
      </c>
      <c r="AI379" s="28">
        <f ca="1">ROUND(VLOOKUP(1,enemy_base_stats!$A:$F,4,FALSE) * AA379*L379*Q379*G379*U379*AF379*[2]ステータス!$D$2,0)</f>
        <v>0</v>
      </c>
      <c r="AJ379" s="28">
        <f ca="1">ROUND(VLOOKUP(100,enemy_base_stats!$A:$F,2,FALSE) * Y379* J379*O379*E379*S379*AD379*[2]ステータス!$B$2,0)</f>
        <v>126514</v>
      </c>
      <c r="AK379" s="28">
        <f ca="1">ROUND(VLOOKUP(100,enemy_base_stats!$A:$F,3,FALSE)* Z379* K379*P379*F379*T379*AE379 * W379*[2]ステータス!$C$2,0)</f>
        <v>9985</v>
      </c>
      <c r="AL379" s="28">
        <f ca="1">ROUND(VLOOKUP(100,enemy_base_stats!$A:$F,4,FALSE)* AA379* L379*Q379*G379*U379*AF379*[2]ステータス!$D$2,0)</f>
        <v>0</v>
      </c>
      <c r="AM379" s="24">
        <f ca="1">VLOOKUP(M379,[2]character_tribe_i18n!$A:$I,9,FALSE)</f>
        <v>400</v>
      </c>
      <c r="AN379" s="36">
        <v>0</v>
      </c>
      <c r="AO379" s="53">
        <v>0</v>
      </c>
      <c r="AP379" s="58" t="s">
        <v>72</v>
      </c>
      <c r="AQ379" s="71">
        <f t="shared" ca="1" si="12"/>
        <v>378</v>
      </c>
    </row>
    <row r="380" spans="1:43" ht="21" customHeight="1" x14ac:dyDescent="0.15">
      <c r="A380" s="7">
        <f t="shared" ca="1" si="11"/>
        <v>379</v>
      </c>
      <c r="B380" s="6" t="str">
        <f ca="1">VLOOKUP(A380,[2]characters!$A:$C,3,FALSE)</f>
        <v>幾何の機刃 オイラー</v>
      </c>
      <c r="C380" s="9">
        <f ca="1">VLOOKUP(A380,[2]characters!$A:$I,9,FALSE)</f>
        <v>5</v>
      </c>
      <c r="D380" s="9" t="str">
        <f ca="1">VLOOKUP(A380,[2]characters!$A:$H,8,FALSE)</f>
        <v>green</v>
      </c>
      <c r="E380" s="24">
        <f ca="1">VLOOKUP(D380,[2]属性!$A:$E,2,FALSE)</f>
        <v>1.02</v>
      </c>
      <c r="F380" s="24">
        <f ca="1">VLOOKUP(D380,[2]属性!$A:$E,3,FALSE)</f>
        <v>0.98</v>
      </c>
      <c r="G380" s="24">
        <f ca="1">VLOOKUP(D380,[2]属性!$A:$F,4,FALSE)</f>
        <v>1</v>
      </c>
      <c r="H380" s="9" t="str">
        <f ca="1">VLOOKUP(A380,[2]characters!$A:$K,11,FALSE)</f>
        <v>balance</v>
      </c>
      <c r="I380" s="14" t="str">
        <f ca="1">VLOOKUP(H380,[2]character_type_i18n!$A:$F,3,FALSE)</f>
        <v>バランスタイプ</v>
      </c>
      <c r="J380" s="36">
        <f ca="1">VLOOKUP(H380,[2]character_type_i18n!$A:$F,4,FALSE)</f>
        <v>1</v>
      </c>
      <c r="K380" s="36">
        <f ca="1">VLOOKUP(H380,[2]character_type_i18n!$A:$F,5,FALSE)</f>
        <v>1</v>
      </c>
      <c r="L380" s="36">
        <f ca="1">VLOOKUP(H380,[2]character_type_i18n!$A:$F,6,FALSE)</f>
        <v>1</v>
      </c>
      <c r="M380" s="9" t="str">
        <f ca="1">VLOOKUP(A380,[2]characters!$A:$M,13,FALSE)</f>
        <v>human</v>
      </c>
      <c r="N380" s="14" t="str">
        <f ca="1">VLOOKUP(M380,[2]character_tribe_i18n!$A:$F,3,FALSE)</f>
        <v>ヒューマン</v>
      </c>
      <c r="O380" s="24">
        <f ca="1">VLOOKUP(M380,[2]character_tribe_i18n!$A:$F,4,FALSE)</f>
        <v>0.94</v>
      </c>
      <c r="P380" s="24">
        <f ca="1">VLOOKUP(M380,[2]character_tribe_i18n!$A:$F,5,FALSE)</f>
        <v>0.99</v>
      </c>
      <c r="Q380" s="24">
        <f ca="1">VLOOKUP(M380,[2]character_tribe_i18n!$A:$F,6,FALSE)</f>
        <v>1</v>
      </c>
      <c r="R380" s="25" t="s">
        <v>98</v>
      </c>
      <c r="S380" s="24">
        <f>VLOOKUP($R380,ラベル別係数!$A$1:$E$7,3,FALSE)</f>
        <v>5</v>
      </c>
      <c r="T380" s="24">
        <f>VLOOKUP($R380,ラベル別係数!$A$1:$E$7,4,FALSE)</f>
        <v>1.3</v>
      </c>
      <c r="U380" s="24">
        <f>VLOOKUP($R380,ラベル別係数!$A$1:$E$7,5,FALSE)</f>
        <v>0.8</v>
      </c>
      <c r="V380" s="27">
        <v>3</v>
      </c>
      <c r="W380" s="28">
        <f>VLOOKUP(V380,ターン数別攻撃係数!$A$1:$B$1000,2,FALSE)</f>
        <v>1</v>
      </c>
      <c r="X380" s="9">
        <f ca="1">VLOOKUP(C380,サイズ別係数!A$2:B$8,2,FALSE)</f>
        <v>60</v>
      </c>
      <c r="Y380" s="26">
        <f ca="1">VLOOKUP($X380,サイズ別係数!$B:$E,2,FALSE)</f>
        <v>1.7</v>
      </c>
      <c r="Z380" s="26">
        <f ca="1">VLOOKUP($X380,サイズ別係数!$B:$E,3,FALSE)</f>
        <v>1.4</v>
      </c>
      <c r="AA380" s="26">
        <f ca="1">VLOOKUP($X380,サイズ別係数!$B:$E,4,FALSE)</f>
        <v>1</v>
      </c>
      <c r="AB380" s="5">
        <v>0</v>
      </c>
      <c r="AC380" s="34" t="str">
        <f ca="1">VLOOKUP($AB380,OFFSET([3]enemy_skill_sets!$B$2,0,0,COUNTA([3]enemy_skill_sets!$A:$A),MATCH(AC$1,[3]enemy_skill_sets!$1:$1,0)-MATCH($AB$1,[3]enemy_skill_sets!$1:$1,0)+1),MATCH(AC$1,[3]enemy_skill_sets!$1:$1,0)-MATCH($AB$1,[3]enemy_skill_sets!$1:$1,0)+1,FALSE)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0" s="67">
        <v>1</v>
      </c>
      <c r="AE380" s="67">
        <v>1</v>
      </c>
      <c r="AF380" s="37">
        <v>0</v>
      </c>
      <c r="AG380" s="28">
        <f ca="1">ROUND(VLOOKUP(1,enemy_base_stats!$A:$F,2,FALSE) * Y380* J380*O380*E380*S380*AD380*[2]ステータス!$B$2,0)</f>
        <v>4075</v>
      </c>
      <c r="AH380" s="28">
        <f ca="1">ROUND(VLOOKUP(1,enemy_base_stats!$A:$F,3,FALSE) * Z380*K380*P380*F380*T380*AE380 * W380*[2]ステータス!$C$2,0)</f>
        <v>265</v>
      </c>
      <c r="AI380" s="28">
        <f ca="1">ROUND(VLOOKUP(1,enemy_base_stats!$A:$F,4,FALSE) * AA380*L380*Q380*G380*U380*AF380*[2]ステータス!$D$2,0)</f>
        <v>0</v>
      </c>
      <c r="AJ380" s="28">
        <f ca="1">ROUND(VLOOKUP(100,enemy_base_stats!$A:$F,2,FALSE) * Y380* J380*O380*E380*S380*AD380*[2]ステータス!$B$2,0)</f>
        <v>165441</v>
      </c>
      <c r="AK380" s="28">
        <f ca="1">ROUND(VLOOKUP(100,enemy_base_stats!$A:$F,3,FALSE)* Z380* K380*P380*F380*T380*AE380 * W380*[2]ステータス!$C$2,0)</f>
        <v>10754</v>
      </c>
      <c r="AL380" s="28">
        <f ca="1">ROUND(VLOOKUP(100,enemy_base_stats!$A:$F,4,FALSE)* AA380* L380*Q380*G380*U380*AF380*[2]ステータス!$D$2,0)</f>
        <v>0</v>
      </c>
      <c r="AM380" s="24">
        <f ca="1">VLOOKUP(M380,[2]character_tribe_i18n!$A:$I,9,FALSE)</f>
        <v>400</v>
      </c>
      <c r="AN380" s="36">
        <v>0</v>
      </c>
      <c r="AO380" s="53">
        <v>0</v>
      </c>
      <c r="AP380" s="58" t="s">
        <v>72</v>
      </c>
      <c r="AQ380" s="71">
        <f t="shared" ca="1" si="12"/>
        <v>379</v>
      </c>
    </row>
    <row r="381" spans="1:43" ht="21" customHeight="1" x14ac:dyDescent="0.15">
      <c r="A381" s="7">
        <f t="shared" ca="1" si="11"/>
        <v>380</v>
      </c>
      <c r="B381" s="6" t="str">
        <f ca="1">VLOOKUP(A381,[2]characters!$A:$C,3,FALSE)</f>
        <v>バハムート</v>
      </c>
      <c r="C381" s="9">
        <f ca="1">VLOOKUP(A381,[2]characters!$A:$I,9,FALSE)</f>
        <v>3</v>
      </c>
      <c r="D381" s="9" t="str">
        <f ca="1">VLOOKUP(A381,[2]characters!$A:$H,8,FALSE)</f>
        <v>red</v>
      </c>
      <c r="E381" s="24">
        <f ca="1">VLOOKUP(D381,[2]属性!$A:$E,2,FALSE)</f>
        <v>1</v>
      </c>
      <c r="F381" s="24">
        <f ca="1">VLOOKUP(D381,[2]属性!$A:$E,3,FALSE)</f>
        <v>1.02</v>
      </c>
      <c r="G381" s="24">
        <f ca="1">VLOOKUP(D381,[2]属性!$A:$F,4,FALSE)</f>
        <v>1</v>
      </c>
      <c r="H381" s="9" t="str">
        <f ca="1">VLOOKUP(A381,[2]characters!$A:$K,11,FALSE)</f>
        <v>technical</v>
      </c>
      <c r="I381" s="14" t="str">
        <f ca="1">VLOOKUP(H381,[2]character_type_i18n!$A:$F,3,FALSE)</f>
        <v>テクニカルタイプ</v>
      </c>
      <c r="J381" s="36">
        <f ca="1">VLOOKUP(H381,[2]character_type_i18n!$A:$F,4,FALSE)</f>
        <v>0.9</v>
      </c>
      <c r="K381" s="36">
        <f ca="1">VLOOKUP(H381,[2]character_type_i18n!$A:$F,5,FALSE)</f>
        <v>0.9</v>
      </c>
      <c r="L381" s="36">
        <f ca="1">VLOOKUP(H381,[2]character_type_i18n!$A:$F,6,FALSE)</f>
        <v>1</v>
      </c>
      <c r="M381" s="9" t="str">
        <f ca="1">VLOOKUP(A381,[2]characters!$A:$M,13,FALSE)</f>
        <v>dragon</v>
      </c>
      <c r="N381" s="14" t="str">
        <f ca="1">VLOOKUP(M381,[2]character_tribe_i18n!$A:$F,3,FALSE)</f>
        <v>ドラゴン</v>
      </c>
      <c r="O381" s="24">
        <f ca="1">VLOOKUP(M381,[2]character_tribe_i18n!$A:$F,4,FALSE)</f>
        <v>1.1499999999999999</v>
      </c>
      <c r="P381" s="24">
        <f ca="1">VLOOKUP(M381,[2]character_tribe_i18n!$A:$F,5,FALSE)</f>
        <v>1.1000000000000001</v>
      </c>
      <c r="Q381" s="24">
        <f ca="1">VLOOKUP(M381,[2]character_tribe_i18n!$A:$F,6,FALSE)</f>
        <v>1</v>
      </c>
      <c r="R381" s="25" t="s">
        <v>98</v>
      </c>
      <c r="S381" s="24">
        <f>VLOOKUP($R381,ラベル別係数!$A$1:$E$7,3,FALSE)</f>
        <v>5</v>
      </c>
      <c r="T381" s="24">
        <f>VLOOKUP($R381,ラベル別係数!$A$1:$E$7,4,FALSE)</f>
        <v>1.3</v>
      </c>
      <c r="U381" s="24">
        <f>VLOOKUP($R381,ラベル別係数!$A$1:$E$7,5,FALSE)</f>
        <v>0.8</v>
      </c>
      <c r="V381" s="27">
        <v>3</v>
      </c>
      <c r="W381" s="28">
        <f>VLOOKUP(V381,ターン数別攻撃係数!$A$1:$B$1000,2,FALSE)</f>
        <v>1</v>
      </c>
      <c r="X381" s="9">
        <f ca="1">VLOOKUP(C381,サイズ別係数!A$2:B$8,2,FALSE)</f>
        <v>25</v>
      </c>
      <c r="Y381" s="26">
        <f ca="1">VLOOKUP($X381,サイズ別係数!$B:$E,2,FALSE)</f>
        <v>1.2</v>
      </c>
      <c r="Z381" s="26">
        <f ca="1">VLOOKUP($X381,サイズ別係数!$B:$E,3,FALSE)</f>
        <v>1.25</v>
      </c>
      <c r="AA381" s="26">
        <f ca="1">VLOOKUP($X381,サイズ別係数!$B:$E,4,FALSE)</f>
        <v>1.1499999999999999</v>
      </c>
      <c r="AB381" s="5">
        <v>0</v>
      </c>
      <c r="AC381" s="34" t="str">
        <f ca="1">VLOOKUP($AB381,OFFSET([3]enemy_skill_sets!$B$2,0,0,COUNTA([3]enemy_skill_sets!$A:$A),MATCH(AC$1,[3]enemy_skill_sets!$1:$1,0)-MATCH($AB$1,[3]enemy_skill_sets!$1:$1,0)+1),MATCH(AC$1,[3]enemy_skill_sets!$1:$1,0)-MATCH($AB$1,[3]enemy_skill_sets!$1:$1,0)+1,FALSE)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1" s="67">
        <v>1</v>
      </c>
      <c r="AE381" s="67">
        <v>1</v>
      </c>
      <c r="AF381" s="37">
        <v>0</v>
      </c>
      <c r="AG381" s="28">
        <f ca="1">ROUND(VLOOKUP(1,enemy_base_stats!$A:$F,2,FALSE) * Y381* J381*O381*E381*S381*AD381*[2]ステータス!$B$2,0)</f>
        <v>3105</v>
      </c>
      <c r="AH381" s="28">
        <f ca="1">ROUND(VLOOKUP(1,enemy_base_stats!$A:$F,3,FALSE) * Z381*K381*P381*F381*T381*AE381 * W381*[2]ステータス!$C$2,0)</f>
        <v>246</v>
      </c>
      <c r="AI381" s="28">
        <f ca="1">ROUND(VLOOKUP(1,enemy_base_stats!$A:$F,4,FALSE) * AA381*L381*Q381*G381*U381*AF381*[2]ステータス!$D$2,0)</f>
        <v>0</v>
      </c>
      <c r="AJ381" s="28">
        <f ca="1">ROUND(VLOOKUP(100,enemy_base_stats!$A:$F,2,FALSE) * Y381* J381*O381*E381*S381*AD381*[2]ステータス!$B$2,0)</f>
        <v>126063</v>
      </c>
      <c r="AK381" s="28">
        <f ca="1">ROUND(VLOOKUP(100,enemy_base_stats!$A:$F,3,FALSE)* Z381* K381*P381*F381*T381*AE381 * W381*[2]ステータス!$C$2,0)</f>
        <v>9993</v>
      </c>
      <c r="AL381" s="28">
        <f ca="1">ROUND(VLOOKUP(100,enemy_base_stats!$A:$F,4,FALSE)* AA381* L381*Q381*G381*U381*AF381*[2]ステータス!$D$2,0)</f>
        <v>0</v>
      </c>
      <c r="AM381" s="24">
        <f ca="1">VLOOKUP(M381,[2]character_tribe_i18n!$A:$I,9,FALSE)</f>
        <v>540</v>
      </c>
      <c r="AN381" s="36">
        <v>0</v>
      </c>
      <c r="AO381" s="53">
        <v>0</v>
      </c>
      <c r="AP381" s="58" t="s">
        <v>72</v>
      </c>
      <c r="AQ381" s="71">
        <f t="shared" ca="1" si="12"/>
        <v>380</v>
      </c>
    </row>
    <row r="382" spans="1:43" ht="21" customHeight="1" x14ac:dyDescent="0.15">
      <c r="A382" s="7">
        <f t="shared" ca="1" si="11"/>
        <v>381</v>
      </c>
      <c r="B382" s="6" t="str">
        <f ca="1">VLOOKUP(A382,[2]characters!$A:$C,3,FALSE)</f>
        <v>肉食の恋火 バハムート</v>
      </c>
      <c r="C382" s="9">
        <f ca="1">VLOOKUP(A382,[2]characters!$A:$I,9,FALSE)</f>
        <v>4</v>
      </c>
      <c r="D382" s="9" t="str">
        <f ca="1">VLOOKUP(A382,[2]characters!$A:$H,8,FALSE)</f>
        <v>red</v>
      </c>
      <c r="E382" s="24">
        <f ca="1">VLOOKUP(D382,[2]属性!$A:$E,2,FALSE)</f>
        <v>1</v>
      </c>
      <c r="F382" s="24">
        <f ca="1">VLOOKUP(D382,[2]属性!$A:$E,3,FALSE)</f>
        <v>1.02</v>
      </c>
      <c r="G382" s="24">
        <f ca="1">VLOOKUP(D382,[2]属性!$A:$F,4,FALSE)</f>
        <v>1</v>
      </c>
      <c r="H382" s="9" t="str">
        <f ca="1">VLOOKUP(A382,[2]characters!$A:$K,11,FALSE)</f>
        <v>technical</v>
      </c>
      <c r="I382" s="14" t="str">
        <f ca="1">VLOOKUP(H382,[2]character_type_i18n!$A:$F,3,FALSE)</f>
        <v>テクニカルタイプ</v>
      </c>
      <c r="J382" s="36">
        <f ca="1">VLOOKUP(H382,[2]character_type_i18n!$A:$F,4,FALSE)</f>
        <v>0.9</v>
      </c>
      <c r="K382" s="36">
        <f ca="1">VLOOKUP(H382,[2]character_type_i18n!$A:$F,5,FALSE)</f>
        <v>0.9</v>
      </c>
      <c r="L382" s="36">
        <f ca="1">VLOOKUP(H382,[2]character_type_i18n!$A:$F,6,FALSE)</f>
        <v>1</v>
      </c>
      <c r="M382" s="9" t="str">
        <f ca="1">VLOOKUP(A382,[2]characters!$A:$M,13,FALSE)</f>
        <v>dragon</v>
      </c>
      <c r="N382" s="14" t="str">
        <f ca="1">VLOOKUP(M382,[2]character_tribe_i18n!$A:$F,3,FALSE)</f>
        <v>ドラゴン</v>
      </c>
      <c r="O382" s="24">
        <f ca="1">VLOOKUP(M382,[2]character_tribe_i18n!$A:$F,4,FALSE)</f>
        <v>1.1499999999999999</v>
      </c>
      <c r="P382" s="24">
        <f ca="1">VLOOKUP(M382,[2]character_tribe_i18n!$A:$F,5,FALSE)</f>
        <v>1.1000000000000001</v>
      </c>
      <c r="Q382" s="24">
        <f ca="1">VLOOKUP(M382,[2]character_tribe_i18n!$A:$F,6,FALSE)</f>
        <v>1</v>
      </c>
      <c r="R382" s="25" t="s">
        <v>98</v>
      </c>
      <c r="S382" s="24">
        <f>VLOOKUP($R382,ラベル別係数!$A$1:$E$7,3,FALSE)</f>
        <v>5</v>
      </c>
      <c r="T382" s="24">
        <f>VLOOKUP($R382,ラベル別係数!$A$1:$E$7,4,FALSE)</f>
        <v>1.3</v>
      </c>
      <c r="U382" s="24">
        <f>VLOOKUP($R382,ラベル別係数!$A$1:$E$7,5,FALSE)</f>
        <v>0.8</v>
      </c>
      <c r="V382" s="27">
        <v>3</v>
      </c>
      <c r="W382" s="28">
        <f>VLOOKUP(V382,ターン数別攻撃係数!$A$1:$B$1000,2,FALSE)</f>
        <v>1</v>
      </c>
      <c r="X382" s="9">
        <f ca="1">VLOOKUP(C382,サイズ別係数!A$2:B$8,2,FALSE)</f>
        <v>30</v>
      </c>
      <c r="Y382" s="26">
        <f ca="1">VLOOKUP($X382,サイズ別係数!$B:$E,2,FALSE)</f>
        <v>1.3</v>
      </c>
      <c r="Z382" s="26">
        <f ca="1">VLOOKUP($X382,サイズ別係数!$B:$E,3,FALSE)</f>
        <v>1.3</v>
      </c>
      <c r="AA382" s="26">
        <f ca="1">VLOOKUP($X382,サイズ別係数!$B:$E,4,FALSE)</f>
        <v>1.1000000000000001</v>
      </c>
      <c r="AB382" s="5">
        <v>0</v>
      </c>
      <c r="AC382" s="34" t="str">
        <f ca="1">VLOOKUP($AB382,OFFSET([3]enemy_skill_sets!$B$2,0,0,COUNTA([3]enemy_skill_sets!$A:$A),MATCH(AC$1,[3]enemy_skill_sets!$1:$1,0)-MATCH($AB$1,[3]enemy_skill_sets!$1:$1,0)+1),MATCH(AC$1,[3]enemy_skill_sets!$1:$1,0)-MATCH($AB$1,[3]enemy_skill_sets!$1:$1,0)+1,FALSE)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2" s="67">
        <v>1</v>
      </c>
      <c r="AE382" s="67">
        <v>1</v>
      </c>
      <c r="AF382" s="37">
        <v>0</v>
      </c>
      <c r="AG382" s="28">
        <f ca="1">ROUND(VLOOKUP(1,enemy_base_stats!$A:$F,2,FALSE) * Y382* J382*O382*E382*S382*AD382*[2]ステータス!$B$2,0)</f>
        <v>3364</v>
      </c>
      <c r="AH382" s="28">
        <f ca="1">ROUND(VLOOKUP(1,enemy_base_stats!$A:$F,3,FALSE) * Z382*K382*P382*F382*T382*AE382 * W382*[2]ステータス!$C$2,0)</f>
        <v>256</v>
      </c>
      <c r="AI382" s="28">
        <f ca="1">ROUND(VLOOKUP(1,enemy_base_stats!$A:$F,4,FALSE) * AA382*L382*Q382*G382*U382*AF382*[2]ステータス!$D$2,0)</f>
        <v>0</v>
      </c>
      <c r="AJ382" s="28">
        <f ca="1">ROUND(VLOOKUP(100,enemy_base_stats!$A:$F,2,FALSE) * Y382* J382*O382*E382*S382*AD382*[2]ステータス!$B$2,0)</f>
        <v>136568</v>
      </c>
      <c r="AK382" s="28">
        <f ca="1">ROUND(VLOOKUP(100,enemy_base_stats!$A:$F,3,FALSE)* Z382* K382*P382*F382*T382*AE382 * W382*[2]ステータス!$C$2,0)</f>
        <v>10393</v>
      </c>
      <c r="AL382" s="28">
        <f ca="1">ROUND(VLOOKUP(100,enemy_base_stats!$A:$F,4,FALSE)* AA382* L382*Q382*G382*U382*AF382*[2]ステータス!$D$2,0)</f>
        <v>0</v>
      </c>
      <c r="AM382" s="24">
        <f ca="1">VLOOKUP(M382,[2]character_tribe_i18n!$A:$I,9,FALSE)</f>
        <v>540</v>
      </c>
      <c r="AN382" s="36">
        <v>0</v>
      </c>
      <c r="AO382" s="53">
        <v>0</v>
      </c>
      <c r="AP382" s="58" t="s">
        <v>72</v>
      </c>
      <c r="AQ382" s="71">
        <f t="shared" ca="1" si="12"/>
        <v>381</v>
      </c>
    </row>
    <row r="383" spans="1:43" ht="21" customHeight="1" x14ac:dyDescent="0.15">
      <c r="A383" s="7">
        <f t="shared" ca="1" si="11"/>
        <v>382</v>
      </c>
      <c r="B383" s="6" t="str">
        <f ca="1">VLOOKUP(A383,[2]characters!$A:$C,3,FALSE)</f>
        <v>激情の愛炎 バハムート</v>
      </c>
      <c r="C383" s="9">
        <f ca="1">VLOOKUP(A383,[2]characters!$A:$I,9,FALSE)</f>
        <v>5</v>
      </c>
      <c r="D383" s="9" t="str">
        <f ca="1">VLOOKUP(A383,[2]characters!$A:$H,8,FALSE)</f>
        <v>red</v>
      </c>
      <c r="E383" s="24">
        <f ca="1">VLOOKUP(D383,[2]属性!$A:$E,2,FALSE)</f>
        <v>1</v>
      </c>
      <c r="F383" s="24">
        <f ca="1">VLOOKUP(D383,[2]属性!$A:$E,3,FALSE)</f>
        <v>1.02</v>
      </c>
      <c r="G383" s="24">
        <f ca="1">VLOOKUP(D383,[2]属性!$A:$F,4,FALSE)</f>
        <v>1</v>
      </c>
      <c r="H383" s="9" t="str">
        <f ca="1">VLOOKUP(A383,[2]characters!$A:$K,11,FALSE)</f>
        <v>technical</v>
      </c>
      <c r="I383" s="14" t="str">
        <f ca="1">VLOOKUP(H383,[2]character_type_i18n!$A:$F,3,FALSE)</f>
        <v>テクニカルタイプ</v>
      </c>
      <c r="J383" s="36">
        <f ca="1">VLOOKUP(H383,[2]character_type_i18n!$A:$F,4,FALSE)</f>
        <v>0.9</v>
      </c>
      <c r="K383" s="36">
        <f ca="1">VLOOKUP(H383,[2]character_type_i18n!$A:$F,5,FALSE)</f>
        <v>0.9</v>
      </c>
      <c r="L383" s="36">
        <f ca="1">VLOOKUP(H383,[2]character_type_i18n!$A:$F,6,FALSE)</f>
        <v>1</v>
      </c>
      <c r="M383" s="9" t="str">
        <f ca="1">VLOOKUP(A383,[2]characters!$A:$M,13,FALSE)</f>
        <v>dragon</v>
      </c>
      <c r="N383" s="14" t="str">
        <f ca="1">VLOOKUP(M383,[2]character_tribe_i18n!$A:$F,3,FALSE)</f>
        <v>ドラゴン</v>
      </c>
      <c r="O383" s="24">
        <f ca="1">VLOOKUP(M383,[2]character_tribe_i18n!$A:$F,4,FALSE)</f>
        <v>1.1499999999999999</v>
      </c>
      <c r="P383" s="24">
        <f ca="1">VLOOKUP(M383,[2]character_tribe_i18n!$A:$F,5,FALSE)</f>
        <v>1.1000000000000001</v>
      </c>
      <c r="Q383" s="24">
        <f ca="1">VLOOKUP(M383,[2]character_tribe_i18n!$A:$F,6,FALSE)</f>
        <v>1</v>
      </c>
      <c r="R383" s="25" t="s">
        <v>98</v>
      </c>
      <c r="S383" s="24">
        <f>VLOOKUP($R383,ラベル別係数!$A$1:$E$7,3,FALSE)</f>
        <v>5</v>
      </c>
      <c r="T383" s="24">
        <f>VLOOKUP($R383,ラベル別係数!$A$1:$E$7,4,FALSE)</f>
        <v>1.3</v>
      </c>
      <c r="U383" s="24">
        <f>VLOOKUP($R383,ラベル別係数!$A$1:$E$7,5,FALSE)</f>
        <v>0.8</v>
      </c>
      <c r="V383" s="27">
        <v>3</v>
      </c>
      <c r="W383" s="28">
        <f>VLOOKUP(V383,ターン数別攻撃係数!$A$1:$B$1000,2,FALSE)</f>
        <v>1</v>
      </c>
      <c r="X383" s="9">
        <f ca="1">VLOOKUP(C383,サイズ別係数!A$2:B$8,2,FALSE)</f>
        <v>60</v>
      </c>
      <c r="Y383" s="26">
        <f ca="1">VLOOKUP($X383,サイズ別係数!$B:$E,2,FALSE)</f>
        <v>1.7</v>
      </c>
      <c r="Z383" s="26">
        <f ca="1">VLOOKUP($X383,サイズ別係数!$B:$E,3,FALSE)</f>
        <v>1.4</v>
      </c>
      <c r="AA383" s="26">
        <f ca="1">VLOOKUP($X383,サイズ別係数!$B:$E,4,FALSE)</f>
        <v>1</v>
      </c>
      <c r="AB383" s="5">
        <v>0</v>
      </c>
      <c r="AC383" s="34" t="str">
        <f ca="1">VLOOKUP($AB383,OFFSET([3]enemy_skill_sets!$B$2,0,0,COUNTA([3]enemy_skill_sets!$A:$A),MATCH(AC$1,[3]enemy_skill_sets!$1:$1,0)-MATCH($AB$1,[3]enemy_skill_sets!$1:$1,0)+1),MATCH(AC$1,[3]enemy_skill_sets!$1:$1,0)-MATCH($AB$1,[3]enemy_skill_sets!$1:$1,0)+1,FALSE)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3" s="67">
        <v>1</v>
      </c>
      <c r="AE383" s="67">
        <v>1</v>
      </c>
      <c r="AF383" s="37">
        <v>0</v>
      </c>
      <c r="AG383" s="28">
        <f ca="1">ROUND(VLOOKUP(1,enemy_base_stats!$A:$F,2,FALSE) * Y383* J383*O383*E383*S383*AD383*[2]ステータス!$B$2,0)</f>
        <v>4399</v>
      </c>
      <c r="AH383" s="28">
        <f ca="1">ROUND(VLOOKUP(1,enemy_base_stats!$A:$F,3,FALSE) * Z383*K383*P383*F383*T383*AE383 * W383*[2]ステータス!$C$2,0)</f>
        <v>276</v>
      </c>
      <c r="AI383" s="28">
        <f ca="1">ROUND(VLOOKUP(1,enemy_base_stats!$A:$F,4,FALSE) * AA383*L383*Q383*G383*U383*AF383*[2]ステータス!$D$2,0)</f>
        <v>0</v>
      </c>
      <c r="AJ383" s="28">
        <f ca="1">ROUND(VLOOKUP(100,enemy_base_stats!$A:$F,2,FALSE) * Y383* J383*O383*E383*S383*AD383*[2]ステータス!$B$2,0)</f>
        <v>178589</v>
      </c>
      <c r="AK383" s="28">
        <f ca="1">ROUND(VLOOKUP(100,enemy_base_stats!$A:$F,3,FALSE)* Z383* K383*P383*F383*T383*AE383 * W383*[2]ステータス!$C$2,0)</f>
        <v>11192</v>
      </c>
      <c r="AL383" s="28">
        <f ca="1">ROUND(VLOOKUP(100,enemy_base_stats!$A:$F,4,FALSE)* AA383* L383*Q383*G383*U383*AF383*[2]ステータス!$D$2,0)</f>
        <v>0</v>
      </c>
      <c r="AM383" s="24">
        <f ca="1">VLOOKUP(M383,[2]character_tribe_i18n!$A:$I,9,FALSE)</f>
        <v>540</v>
      </c>
      <c r="AN383" s="36">
        <v>0</v>
      </c>
      <c r="AO383" s="53">
        <v>0</v>
      </c>
      <c r="AP383" s="58" t="s">
        <v>72</v>
      </c>
      <c r="AQ383" s="71">
        <f t="shared" ca="1" si="12"/>
        <v>382</v>
      </c>
    </row>
    <row r="384" spans="1:43" ht="21" customHeight="1" x14ac:dyDescent="0.15">
      <c r="A384" s="7">
        <f t="shared" ca="1" si="11"/>
        <v>383</v>
      </c>
      <c r="B384" s="6" t="str">
        <f ca="1">VLOOKUP(A384,[2]characters!$A:$C,3,FALSE)</f>
        <v>酒宴の蟒蛇 ヤマタノオロチ</v>
      </c>
      <c r="C384" s="9">
        <f ca="1">VLOOKUP(A384,[2]characters!$A:$I,9,FALSE)</f>
        <v>4</v>
      </c>
      <c r="D384" s="9" t="str">
        <f ca="1">VLOOKUP(A384,[2]characters!$A:$H,8,FALSE)</f>
        <v>green</v>
      </c>
      <c r="E384" s="24">
        <f ca="1">VLOOKUP(D384,[2]属性!$A:$E,2,FALSE)</f>
        <v>1.02</v>
      </c>
      <c r="F384" s="24">
        <f ca="1">VLOOKUP(D384,[2]属性!$A:$E,3,FALSE)</f>
        <v>0.98</v>
      </c>
      <c r="G384" s="24">
        <f ca="1">VLOOKUP(D384,[2]属性!$A:$F,4,FALSE)</f>
        <v>1</v>
      </c>
      <c r="H384" s="9" t="str">
        <f ca="1">VLOOKUP(A384,[2]characters!$A:$K,11,FALSE)</f>
        <v>hp</v>
      </c>
      <c r="I384" s="14" t="str">
        <f ca="1">VLOOKUP(H384,[2]character_type_i18n!$A:$F,3,FALSE)</f>
        <v>体力タイプ</v>
      </c>
      <c r="J384" s="36">
        <f ca="1">VLOOKUP(H384,[2]character_type_i18n!$A:$F,4,FALSE)</f>
        <v>1.45</v>
      </c>
      <c r="K384" s="36">
        <f ca="1">VLOOKUP(H384,[2]character_type_i18n!$A:$F,5,FALSE)</f>
        <v>0.85</v>
      </c>
      <c r="L384" s="36">
        <f ca="1">VLOOKUP(H384,[2]character_type_i18n!$A:$F,6,FALSE)</f>
        <v>1</v>
      </c>
      <c r="M384" s="9" t="str">
        <f ca="1">VLOOKUP(A384,[2]characters!$A:$M,13,FALSE)</f>
        <v>dragon</v>
      </c>
      <c r="N384" s="14" t="str">
        <f ca="1">VLOOKUP(M384,[2]character_tribe_i18n!$A:$F,3,FALSE)</f>
        <v>ドラゴン</v>
      </c>
      <c r="O384" s="24">
        <f ca="1">VLOOKUP(M384,[2]character_tribe_i18n!$A:$F,4,FALSE)</f>
        <v>1.1499999999999999</v>
      </c>
      <c r="P384" s="24">
        <f ca="1">VLOOKUP(M384,[2]character_tribe_i18n!$A:$F,5,FALSE)</f>
        <v>1.1000000000000001</v>
      </c>
      <c r="Q384" s="24">
        <f ca="1">VLOOKUP(M384,[2]character_tribe_i18n!$A:$F,6,FALSE)</f>
        <v>1</v>
      </c>
      <c r="R384" s="25" t="s">
        <v>98</v>
      </c>
      <c r="S384" s="24">
        <f>VLOOKUP($R384,ラベル別係数!$A$1:$E$7,3,FALSE)</f>
        <v>5</v>
      </c>
      <c r="T384" s="24">
        <f>VLOOKUP($R384,ラベル別係数!$A$1:$E$7,4,FALSE)</f>
        <v>1.3</v>
      </c>
      <c r="U384" s="24">
        <f>VLOOKUP($R384,ラベル別係数!$A$1:$E$7,5,FALSE)</f>
        <v>0.8</v>
      </c>
      <c r="V384" s="27">
        <v>3</v>
      </c>
      <c r="W384" s="28">
        <f>VLOOKUP(V384,ターン数別攻撃係数!$A$1:$B$1000,2,FALSE)</f>
        <v>1</v>
      </c>
      <c r="X384" s="9">
        <f ca="1">VLOOKUP(C384,サイズ別係数!A$2:B$8,2,FALSE)</f>
        <v>30</v>
      </c>
      <c r="Y384" s="26">
        <f ca="1">VLOOKUP($X384,サイズ別係数!$B:$E,2,FALSE)</f>
        <v>1.3</v>
      </c>
      <c r="Z384" s="26">
        <f ca="1">VLOOKUP($X384,サイズ別係数!$B:$E,3,FALSE)</f>
        <v>1.3</v>
      </c>
      <c r="AA384" s="26">
        <f ca="1">VLOOKUP($X384,サイズ別係数!$B:$E,4,FALSE)</f>
        <v>1.1000000000000001</v>
      </c>
      <c r="AB384" s="5">
        <v>0</v>
      </c>
      <c r="AC384" s="34" t="str">
        <f ca="1">VLOOKUP($AB384,OFFSET([3]enemy_skill_sets!$B$2,0,0,COUNTA([3]enemy_skill_sets!$A:$A),MATCH(AC$1,[3]enemy_skill_sets!$1:$1,0)-MATCH($AB$1,[3]enemy_skill_sets!$1:$1,0)+1),MATCH(AC$1,[3]enemy_skill_sets!$1:$1,0)-MATCH($AB$1,[3]enemy_skill_sets!$1:$1,0)+1,FALSE)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4" s="67">
        <v>1</v>
      </c>
      <c r="AE384" s="67">
        <v>1</v>
      </c>
      <c r="AF384" s="37">
        <v>0</v>
      </c>
      <c r="AG384" s="28">
        <f ca="1">ROUND(VLOOKUP(1,enemy_base_stats!$A:$F,2,FALSE) * Y384* J384*O384*E384*S384*AD384*[2]ステータス!$B$2,0)</f>
        <v>5528</v>
      </c>
      <c r="AH384" s="28">
        <f ca="1">ROUND(VLOOKUP(1,enemy_base_stats!$A:$F,3,FALSE) * Z384*K384*P384*F384*T384*AE384 * W384*[2]ステータス!$C$2,0)</f>
        <v>232</v>
      </c>
      <c r="AI384" s="28">
        <f ca="1">ROUND(VLOOKUP(1,enemy_base_stats!$A:$F,4,FALSE) * AA384*L384*Q384*G384*U384*AF384*[2]ステータス!$D$2,0)</f>
        <v>0</v>
      </c>
      <c r="AJ384" s="28">
        <f ca="1">ROUND(VLOOKUP(100,enemy_base_stats!$A:$F,2,FALSE) * Y384* J384*O384*E384*S384*AD384*[2]ステータス!$B$2,0)</f>
        <v>224427</v>
      </c>
      <c r="AK384" s="28">
        <f ca="1">ROUND(VLOOKUP(100,enemy_base_stats!$A:$F,3,FALSE)* Z384* K384*P384*F384*T384*AE384 * W384*[2]ステータス!$C$2,0)</f>
        <v>9431</v>
      </c>
      <c r="AL384" s="28">
        <f ca="1">ROUND(VLOOKUP(100,enemy_base_stats!$A:$F,4,FALSE)* AA384* L384*Q384*G384*U384*AF384*[2]ステータス!$D$2,0)</f>
        <v>0</v>
      </c>
      <c r="AM384" s="24">
        <f ca="1">VLOOKUP(M384,[2]character_tribe_i18n!$A:$I,9,FALSE)</f>
        <v>540</v>
      </c>
      <c r="AN384" s="36">
        <v>0</v>
      </c>
      <c r="AO384" s="53">
        <v>0</v>
      </c>
      <c r="AP384" s="58" t="s">
        <v>72</v>
      </c>
      <c r="AQ384" s="71">
        <f t="shared" ca="1" si="12"/>
        <v>383</v>
      </c>
    </row>
    <row r="385" spans="1:43" ht="21" customHeight="1" x14ac:dyDescent="0.15">
      <c r="A385" s="7">
        <f t="shared" ca="1" si="11"/>
        <v>384</v>
      </c>
      <c r="B385" s="6" t="str">
        <f ca="1">VLOOKUP(A385,[2]characters!$A:$C,3,FALSE)</f>
        <v>破国の呑龍 ヤマタノオロチ</v>
      </c>
      <c r="C385" s="9">
        <f ca="1">VLOOKUP(A385,[2]characters!$A:$I,9,FALSE)</f>
        <v>5</v>
      </c>
      <c r="D385" s="9" t="str">
        <f ca="1">VLOOKUP(A385,[2]characters!$A:$H,8,FALSE)</f>
        <v>green</v>
      </c>
      <c r="E385" s="24">
        <f ca="1">VLOOKUP(D385,[2]属性!$A:$E,2,FALSE)</f>
        <v>1.02</v>
      </c>
      <c r="F385" s="24">
        <f ca="1">VLOOKUP(D385,[2]属性!$A:$E,3,FALSE)</f>
        <v>0.98</v>
      </c>
      <c r="G385" s="24">
        <f ca="1">VLOOKUP(D385,[2]属性!$A:$F,4,FALSE)</f>
        <v>1</v>
      </c>
      <c r="H385" s="9" t="str">
        <f ca="1">VLOOKUP(A385,[2]characters!$A:$K,11,FALSE)</f>
        <v>hp</v>
      </c>
      <c r="I385" s="14" t="str">
        <f ca="1">VLOOKUP(H385,[2]character_type_i18n!$A:$F,3,FALSE)</f>
        <v>体力タイプ</v>
      </c>
      <c r="J385" s="36">
        <f ca="1">VLOOKUP(H385,[2]character_type_i18n!$A:$F,4,FALSE)</f>
        <v>1.45</v>
      </c>
      <c r="K385" s="36">
        <f ca="1">VLOOKUP(H385,[2]character_type_i18n!$A:$F,5,FALSE)</f>
        <v>0.85</v>
      </c>
      <c r="L385" s="36">
        <f ca="1">VLOOKUP(H385,[2]character_type_i18n!$A:$F,6,FALSE)</f>
        <v>1</v>
      </c>
      <c r="M385" s="9" t="str">
        <f ca="1">VLOOKUP(A385,[2]characters!$A:$M,13,FALSE)</f>
        <v>dragon</v>
      </c>
      <c r="N385" s="14" t="str">
        <f ca="1">VLOOKUP(M385,[2]character_tribe_i18n!$A:$F,3,FALSE)</f>
        <v>ドラゴン</v>
      </c>
      <c r="O385" s="24">
        <f ca="1">VLOOKUP(M385,[2]character_tribe_i18n!$A:$F,4,FALSE)</f>
        <v>1.1499999999999999</v>
      </c>
      <c r="P385" s="24">
        <f ca="1">VLOOKUP(M385,[2]character_tribe_i18n!$A:$F,5,FALSE)</f>
        <v>1.1000000000000001</v>
      </c>
      <c r="Q385" s="24">
        <f ca="1">VLOOKUP(M385,[2]character_tribe_i18n!$A:$F,6,FALSE)</f>
        <v>1</v>
      </c>
      <c r="R385" s="25" t="s">
        <v>98</v>
      </c>
      <c r="S385" s="24">
        <f>VLOOKUP($R385,ラベル別係数!$A$1:$E$7,3,FALSE)</f>
        <v>5</v>
      </c>
      <c r="T385" s="24">
        <f>VLOOKUP($R385,ラベル別係数!$A$1:$E$7,4,FALSE)</f>
        <v>1.3</v>
      </c>
      <c r="U385" s="24">
        <f>VLOOKUP($R385,ラベル別係数!$A$1:$E$7,5,FALSE)</f>
        <v>0.8</v>
      </c>
      <c r="V385" s="27">
        <v>3</v>
      </c>
      <c r="W385" s="28">
        <f>VLOOKUP(V385,ターン数別攻撃係数!$A$1:$B$1000,2,FALSE)</f>
        <v>1</v>
      </c>
      <c r="X385" s="9">
        <f ca="1">VLOOKUP(C385,サイズ別係数!A$2:B$8,2,FALSE)</f>
        <v>60</v>
      </c>
      <c r="Y385" s="26">
        <f ca="1">VLOOKUP($X385,サイズ別係数!$B:$E,2,FALSE)</f>
        <v>1.7</v>
      </c>
      <c r="Z385" s="26">
        <f ca="1">VLOOKUP($X385,サイズ別係数!$B:$E,3,FALSE)</f>
        <v>1.4</v>
      </c>
      <c r="AA385" s="26">
        <f ca="1">VLOOKUP($X385,サイズ別係数!$B:$E,4,FALSE)</f>
        <v>1</v>
      </c>
      <c r="AB385" s="5">
        <v>0</v>
      </c>
      <c r="AC385" s="34" t="str">
        <f ca="1">VLOOKUP($AB385,OFFSET([3]enemy_skill_sets!$B$2,0,0,COUNTA([3]enemy_skill_sets!$A:$A),MATCH(AC$1,[3]enemy_skill_sets!$1:$1,0)-MATCH($AB$1,[3]enemy_skill_sets!$1:$1,0)+1),MATCH(AC$1,[3]enemy_skill_sets!$1:$1,0)-MATCH($AB$1,[3]enemy_skill_sets!$1:$1,0)+1,FALSE)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5" s="67">
        <v>1</v>
      </c>
      <c r="AE385" s="67">
        <v>1</v>
      </c>
      <c r="AF385" s="37">
        <v>0</v>
      </c>
      <c r="AG385" s="28">
        <f ca="1">ROUND(VLOOKUP(1,enemy_base_stats!$A:$F,2,FALSE) * Y385* J385*O385*E385*S385*AD385*[2]ステータス!$B$2,0)</f>
        <v>7229</v>
      </c>
      <c r="AH385" s="28">
        <f ca="1">ROUND(VLOOKUP(1,enemy_base_stats!$A:$F,3,FALSE) * Z385*K385*P385*F385*T385*AE385 * W385*[2]ステータス!$C$2,0)</f>
        <v>250</v>
      </c>
      <c r="AI385" s="28">
        <f ca="1">ROUND(VLOOKUP(1,enemy_base_stats!$A:$F,4,FALSE) * AA385*L385*Q385*G385*U385*AF385*[2]ステータス!$D$2,0)</f>
        <v>0</v>
      </c>
      <c r="AJ385" s="28">
        <f ca="1">ROUND(VLOOKUP(100,enemy_base_stats!$A:$F,2,FALSE) * Y385* J385*O385*E385*S385*AD385*[2]ステータス!$B$2,0)</f>
        <v>293482</v>
      </c>
      <c r="AK385" s="28">
        <f ca="1">ROUND(VLOOKUP(100,enemy_base_stats!$A:$F,3,FALSE)* Z385* K385*P385*F385*T385*AE385 * W385*[2]ステータス!$C$2,0)</f>
        <v>10156</v>
      </c>
      <c r="AL385" s="28">
        <f ca="1">ROUND(VLOOKUP(100,enemy_base_stats!$A:$F,4,FALSE)* AA385* L385*Q385*G385*U385*AF385*[2]ステータス!$D$2,0)</f>
        <v>0</v>
      </c>
      <c r="AM385" s="24">
        <f ca="1">VLOOKUP(M385,[2]character_tribe_i18n!$A:$I,9,FALSE)</f>
        <v>540</v>
      </c>
      <c r="AN385" s="36">
        <v>0</v>
      </c>
      <c r="AO385" s="53">
        <v>0</v>
      </c>
      <c r="AP385" s="58" t="s">
        <v>72</v>
      </c>
      <c r="AQ385" s="71">
        <f t="shared" ca="1" si="12"/>
        <v>384</v>
      </c>
    </row>
    <row r="386" spans="1:43" ht="21" customHeight="1" x14ac:dyDescent="0.15">
      <c r="A386" s="7">
        <f t="shared" ca="1" si="11"/>
        <v>385</v>
      </c>
      <c r="B386" s="6" t="str">
        <f ca="1">VLOOKUP(A386,[2]characters!$A:$C,3,FALSE)</f>
        <v>波烈の出奔 リヴァイアサン</v>
      </c>
      <c r="C386" s="9">
        <f ca="1">VLOOKUP(A386,[2]characters!$A:$I,9,FALSE)</f>
        <v>4</v>
      </c>
      <c r="D386" s="9" t="str">
        <f ca="1">VLOOKUP(A386,[2]characters!$A:$H,8,FALSE)</f>
        <v>blue</v>
      </c>
      <c r="E386" s="24">
        <f ca="1">VLOOKUP(D386,[2]属性!$A:$E,2,FALSE)</f>
        <v>1</v>
      </c>
      <c r="F386" s="24">
        <f ca="1">VLOOKUP(D386,[2]属性!$A:$E,3,FALSE)</f>
        <v>0.98</v>
      </c>
      <c r="G386" s="24">
        <f ca="1">VLOOKUP(D386,[2]属性!$A:$F,4,FALSE)</f>
        <v>1</v>
      </c>
      <c r="H386" s="9" t="str">
        <f ca="1">VLOOKUP(A386,[2]characters!$A:$K,11,FALSE)</f>
        <v>balance</v>
      </c>
      <c r="I386" s="14" t="str">
        <f ca="1">VLOOKUP(H386,[2]character_type_i18n!$A:$F,3,FALSE)</f>
        <v>バランスタイプ</v>
      </c>
      <c r="J386" s="36">
        <f ca="1">VLOOKUP(H386,[2]character_type_i18n!$A:$F,4,FALSE)</f>
        <v>1</v>
      </c>
      <c r="K386" s="36">
        <f ca="1">VLOOKUP(H386,[2]character_type_i18n!$A:$F,5,FALSE)</f>
        <v>1</v>
      </c>
      <c r="L386" s="36">
        <f ca="1">VLOOKUP(H386,[2]character_type_i18n!$A:$F,6,FALSE)</f>
        <v>1</v>
      </c>
      <c r="M386" s="9" t="str">
        <f ca="1">VLOOKUP(A386,[2]characters!$A:$M,13,FALSE)</f>
        <v>dragon</v>
      </c>
      <c r="N386" s="14" t="str">
        <f ca="1">VLOOKUP(M386,[2]character_tribe_i18n!$A:$F,3,FALSE)</f>
        <v>ドラゴン</v>
      </c>
      <c r="O386" s="24">
        <f ca="1">VLOOKUP(M386,[2]character_tribe_i18n!$A:$F,4,FALSE)</f>
        <v>1.1499999999999999</v>
      </c>
      <c r="P386" s="24">
        <f ca="1">VLOOKUP(M386,[2]character_tribe_i18n!$A:$F,5,FALSE)</f>
        <v>1.1000000000000001</v>
      </c>
      <c r="Q386" s="24">
        <f ca="1">VLOOKUP(M386,[2]character_tribe_i18n!$A:$F,6,FALSE)</f>
        <v>1</v>
      </c>
      <c r="R386" s="25" t="s">
        <v>98</v>
      </c>
      <c r="S386" s="24">
        <f>VLOOKUP($R386,ラベル別係数!$A$1:$E$7,3,FALSE)</f>
        <v>5</v>
      </c>
      <c r="T386" s="24">
        <f>VLOOKUP($R386,ラベル別係数!$A$1:$E$7,4,FALSE)</f>
        <v>1.3</v>
      </c>
      <c r="U386" s="24">
        <f>VLOOKUP($R386,ラベル別係数!$A$1:$E$7,5,FALSE)</f>
        <v>0.8</v>
      </c>
      <c r="V386" s="27">
        <v>3</v>
      </c>
      <c r="W386" s="28">
        <f>VLOOKUP(V386,ターン数別攻撃係数!$A$1:$B$1000,2,FALSE)</f>
        <v>1</v>
      </c>
      <c r="X386" s="9">
        <f ca="1">VLOOKUP(C386,サイズ別係数!A$2:B$8,2,FALSE)</f>
        <v>30</v>
      </c>
      <c r="Y386" s="26">
        <f ca="1">VLOOKUP($X386,サイズ別係数!$B:$E,2,FALSE)</f>
        <v>1.3</v>
      </c>
      <c r="Z386" s="26">
        <f ca="1">VLOOKUP($X386,サイズ別係数!$B:$E,3,FALSE)</f>
        <v>1.3</v>
      </c>
      <c r="AA386" s="26">
        <f ca="1">VLOOKUP($X386,サイズ別係数!$B:$E,4,FALSE)</f>
        <v>1.1000000000000001</v>
      </c>
      <c r="AB386" s="5">
        <v>0</v>
      </c>
      <c r="AC386" s="34" t="str">
        <f ca="1">VLOOKUP($AB386,OFFSET([3]enemy_skill_sets!$B$2,0,0,COUNTA([3]enemy_skill_sets!$A:$A),MATCH(AC$1,[3]enemy_skill_sets!$1:$1,0)-MATCH($AB$1,[3]enemy_skill_sets!$1:$1,0)+1),MATCH(AC$1,[3]enemy_skill_sets!$1:$1,0)-MATCH($AB$1,[3]enemy_skill_sets!$1:$1,0)+1,FALSE)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6" s="67">
        <v>1</v>
      </c>
      <c r="AE386" s="67">
        <v>1</v>
      </c>
      <c r="AF386" s="37">
        <v>0</v>
      </c>
      <c r="AG386" s="28">
        <f ca="1">ROUND(VLOOKUP(1,enemy_base_stats!$A:$F,2,FALSE) * Y386* J386*O386*E386*S386*AD386*[2]ステータス!$B$2,0)</f>
        <v>3738</v>
      </c>
      <c r="AH386" s="28">
        <f ca="1">ROUND(VLOOKUP(1,enemy_base_stats!$A:$F,3,FALSE) * Z386*K386*P386*F386*T386*AE386 * W386*[2]ステータス!$C$2,0)</f>
        <v>273</v>
      </c>
      <c r="AI386" s="28">
        <f ca="1">ROUND(VLOOKUP(1,enemy_base_stats!$A:$F,4,FALSE) * AA386*L386*Q386*G386*U386*AF386*[2]ステータス!$D$2,0)</f>
        <v>0</v>
      </c>
      <c r="AJ386" s="28">
        <f ca="1">ROUND(VLOOKUP(100,enemy_base_stats!$A:$F,2,FALSE) * Y386* J386*O386*E386*S386*AD386*[2]ステータス!$B$2,0)</f>
        <v>151743</v>
      </c>
      <c r="AK386" s="28">
        <f ca="1">ROUND(VLOOKUP(100,enemy_base_stats!$A:$F,3,FALSE)* Z386* K386*P386*F386*T386*AE386 * W386*[2]ステータス!$C$2,0)</f>
        <v>11095</v>
      </c>
      <c r="AL386" s="28">
        <f ca="1">ROUND(VLOOKUP(100,enemy_base_stats!$A:$F,4,FALSE)* AA386* L386*Q386*G386*U386*AF386*[2]ステータス!$D$2,0)</f>
        <v>0</v>
      </c>
      <c r="AM386" s="24">
        <f ca="1">VLOOKUP(M386,[2]character_tribe_i18n!$A:$I,9,FALSE)</f>
        <v>540</v>
      </c>
      <c r="AN386" s="36">
        <v>0</v>
      </c>
      <c r="AO386" s="53">
        <v>0</v>
      </c>
      <c r="AP386" s="58" t="s">
        <v>72</v>
      </c>
      <c r="AQ386" s="71">
        <f t="shared" ca="1" si="12"/>
        <v>385</v>
      </c>
    </row>
    <row r="387" spans="1:43" ht="21" customHeight="1" x14ac:dyDescent="0.15">
      <c r="A387" s="7">
        <f t="shared" ref="A387:A450" ca="1" si="13">INDIRECT(ADDRESS(ROW(),COLUMN(),1,TRUE,"[CharacterMasterData.xlsm]characters"))</f>
        <v>386</v>
      </c>
      <c r="B387" s="6" t="str">
        <f ca="1">VLOOKUP(A387,[2]characters!$A:$C,3,FALSE)</f>
        <v>氾乱の海龍 リヴァイアサン</v>
      </c>
      <c r="C387" s="9">
        <f ca="1">VLOOKUP(A387,[2]characters!$A:$I,9,FALSE)</f>
        <v>5</v>
      </c>
      <c r="D387" s="9" t="str">
        <f ca="1">VLOOKUP(A387,[2]characters!$A:$H,8,FALSE)</f>
        <v>blue</v>
      </c>
      <c r="E387" s="24">
        <f ca="1">VLOOKUP(D387,[2]属性!$A:$E,2,FALSE)</f>
        <v>1</v>
      </c>
      <c r="F387" s="24">
        <f ca="1">VLOOKUP(D387,[2]属性!$A:$E,3,FALSE)</f>
        <v>0.98</v>
      </c>
      <c r="G387" s="24">
        <f ca="1">VLOOKUP(D387,[2]属性!$A:$F,4,FALSE)</f>
        <v>1</v>
      </c>
      <c r="H387" s="9" t="str">
        <f ca="1">VLOOKUP(A387,[2]characters!$A:$K,11,FALSE)</f>
        <v>balance</v>
      </c>
      <c r="I387" s="14" t="str">
        <f ca="1">VLOOKUP(H387,[2]character_type_i18n!$A:$F,3,FALSE)</f>
        <v>バランスタイプ</v>
      </c>
      <c r="J387" s="36">
        <f ca="1">VLOOKUP(H387,[2]character_type_i18n!$A:$F,4,FALSE)</f>
        <v>1</v>
      </c>
      <c r="K387" s="36">
        <f ca="1">VLOOKUP(H387,[2]character_type_i18n!$A:$F,5,FALSE)</f>
        <v>1</v>
      </c>
      <c r="L387" s="36">
        <f ca="1">VLOOKUP(H387,[2]character_type_i18n!$A:$F,6,FALSE)</f>
        <v>1</v>
      </c>
      <c r="M387" s="9" t="str">
        <f ca="1">VLOOKUP(A387,[2]characters!$A:$M,13,FALSE)</f>
        <v>dragon</v>
      </c>
      <c r="N387" s="14" t="str">
        <f ca="1">VLOOKUP(M387,[2]character_tribe_i18n!$A:$F,3,FALSE)</f>
        <v>ドラゴン</v>
      </c>
      <c r="O387" s="24">
        <f ca="1">VLOOKUP(M387,[2]character_tribe_i18n!$A:$F,4,FALSE)</f>
        <v>1.1499999999999999</v>
      </c>
      <c r="P387" s="24">
        <f ca="1">VLOOKUP(M387,[2]character_tribe_i18n!$A:$F,5,FALSE)</f>
        <v>1.1000000000000001</v>
      </c>
      <c r="Q387" s="24">
        <f ca="1">VLOOKUP(M387,[2]character_tribe_i18n!$A:$F,6,FALSE)</f>
        <v>1</v>
      </c>
      <c r="R387" s="25" t="s">
        <v>98</v>
      </c>
      <c r="S387" s="24">
        <f>VLOOKUP($R387,ラベル別係数!$A$1:$E$7,3,FALSE)</f>
        <v>5</v>
      </c>
      <c r="T387" s="24">
        <f>VLOOKUP($R387,ラベル別係数!$A$1:$E$7,4,FALSE)</f>
        <v>1.3</v>
      </c>
      <c r="U387" s="24">
        <f>VLOOKUP($R387,ラベル別係数!$A$1:$E$7,5,FALSE)</f>
        <v>0.8</v>
      </c>
      <c r="V387" s="27">
        <v>3</v>
      </c>
      <c r="W387" s="28">
        <f>VLOOKUP(V387,ターン数別攻撃係数!$A$1:$B$1000,2,FALSE)</f>
        <v>1</v>
      </c>
      <c r="X387" s="9">
        <f ca="1">VLOOKUP(C387,サイズ別係数!A$2:B$8,2,FALSE)</f>
        <v>60</v>
      </c>
      <c r="Y387" s="26">
        <f ca="1">VLOOKUP($X387,サイズ別係数!$B:$E,2,FALSE)</f>
        <v>1.7</v>
      </c>
      <c r="Z387" s="26">
        <f ca="1">VLOOKUP($X387,サイズ別係数!$B:$E,3,FALSE)</f>
        <v>1.4</v>
      </c>
      <c r="AA387" s="26">
        <f ca="1">VLOOKUP($X387,サイズ別係数!$B:$E,4,FALSE)</f>
        <v>1</v>
      </c>
      <c r="AB387" s="5">
        <v>0</v>
      </c>
      <c r="AC387" s="34" t="str">
        <f ca="1">VLOOKUP($AB387,OFFSET([3]enemy_skill_sets!$B$2,0,0,COUNTA([3]enemy_skill_sets!$A:$A),MATCH(AC$1,[3]enemy_skill_sets!$1:$1,0)-MATCH($AB$1,[3]enemy_skill_sets!$1:$1,0)+1),MATCH(AC$1,[3]enemy_skill_sets!$1:$1,0)-MATCH($AB$1,[3]enemy_skill_sets!$1:$1,0)+1,FALSE)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7" s="67">
        <v>1</v>
      </c>
      <c r="AE387" s="67">
        <v>1</v>
      </c>
      <c r="AF387" s="37">
        <v>0</v>
      </c>
      <c r="AG387" s="28">
        <f ca="1">ROUND(VLOOKUP(1,enemy_base_stats!$A:$F,2,FALSE) * Y387* J387*O387*E387*S387*AD387*[2]ステータス!$B$2,0)</f>
        <v>4888</v>
      </c>
      <c r="AH387" s="28">
        <f ca="1">ROUND(VLOOKUP(1,enemy_base_stats!$A:$F,3,FALSE) * Z387*K387*P387*F387*T387*AE387 * W387*[2]ステータス!$C$2,0)</f>
        <v>294</v>
      </c>
      <c r="AI387" s="28">
        <f ca="1">ROUND(VLOOKUP(1,enemy_base_stats!$A:$F,4,FALSE) * AA387*L387*Q387*G387*U387*AF387*[2]ステータス!$D$2,0)</f>
        <v>0</v>
      </c>
      <c r="AJ387" s="28">
        <f ca="1">ROUND(VLOOKUP(100,enemy_base_stats!$A:$F,2,FALSE) * Y387* J387*O387*E387*S387*AD387*[2]ステータス!$B$2,0)</f>
        <v>198433</v>
      </c>
      <c r="AK387" s="28">
        <f ca="1">ROUND(VLOOKUP(100,enemy_base_stats!$A:$F,3,FALSE)* Z387* K387*P387*F387*T387*AE387 * W387*[2]ステータス!$C$2,0)</f>
        <v>11948</v>
      </c>
      <c r="AL387" s="28">
        <f ca="1">ROUND(VLOOKUP(100,enemy_base_stats!$A:$F,4,FALSE)* AA387* L387*Q387*G387*U387*AF387*[2]ステータス!$D$2,0)</f>
        <v>0</v>
      </c>
      <c r="AM387" s="24">
        <f ca="1">VLOOKUP(M387,[2]character_tribe_i18n!$A:$I,9,FALSE)</f>
        <v>540</v>
      </c>
      <c r="AN387" s="36">
        <v>0</v>
      </c>
      <c r="AO387" s="53">
        <v>0</v>
      </c>
      <c r="AP387" s="58" t="s">
        <v>72</v>
      </c>
      <c r="AQ387" s="71">
        <f t="shared" ca="1" si="12"/>
        <v>386</v>
      </c>
    </row>
    <row r="388" spans="1:43" ht="21" customHeight="1" x14ac:dyDescent="0.15">
      <c r="A388" s="7">
        <f t="shared" ca="1" si="13"/>
        <v>387</v>
      </c>
      <c r="B388" s="6" t="str">
        <f ca="1">VLOOKUP(A388,[2]characters!$A:$C,3,FALSE)</f>
        <v>スフィンクス</v>
      </c>
      <c r="C388" s="9">
        <f ca="1">VLOOKUP(A388,[2]characters!$A:$I,9,FALSE)</f>
        <v>3</v>
      </c>
      <c r="D388" s="9" t="str">
        <f ca="1">VLOOKUP(A388,[2]characters!$A:$H,8,FALSE)</f>
        <v>yellow</v>
      </c>
      <c r="E388" s="24">
        <f ca="1">VLOOKUP(D388,[2]属性!$A:$E,2,FALSE)</f>
        <v>0.98</v>
      </c>
      <c r="F388" s="24">
        <f ca="1">VLOOKUP(D388,[2]属性!$A:$E,3,FALSE)</f>
        <v>1.01</v>
      </c>
      <c r="G388" s="24">
        <f ca="1">VLOOKUP(D388,[2]属性!$A:$F,4,FALSE)</f>
        <v>1</v>
      </c>
      <c r="H388" s="9" t="str">
        <f ca="1">VLOOKUP(A388,[2]characters!$A:$K,11,FALSE)</f>
        <v>heal</v>
      </c>
      <c r="I388" s="14" t="str">
        <f ca="1">VLOOKUP(H388,[2]character_type_i18n!$A:$F,3,FALSE)</f>
        <v>回復タイプ</v>
      </c>
      <c r="J388" s="36">
        <f ca="1">VLOOKUP(H388,[2]character_type_i18n!$A:$F,4,FALSE)</f>
        <v>0.8</v>
      </c>
      <c r="K388" s="36">
        <f ca="1">VLOOKUP(H388,[2]character_type_i18n!$A:$F,5,FALSE)</f>
        <v>0.78</v>
      </c>
      <c r="L388" s="36">
        <f ca="1">VLOOKUP(H388,[2]character_type_i18n!$A:$F,6,FALSE)</f>
        <v>1</v>
      </c>
      <c r="M388" s="9" t="str">
        <f ca="1">VLOOKUP(A388,[2]characters!$A:$M,13,FALSE)</f>
        <v>animal</v>
      </c>
      <c r="N388" s="14" t="str">
        <f ca="1">VLOOKUP(M388,[2]character_tribe_i18n!$A:$F,3,FALSE)</f>
        <v>アニマル</v>
      </c>
      <c r="O388" s="24">
        <f ca="1">VLOOKUP(M388,[2]character_tribe_i18n!$A:$F,4,FALSE)</f>
        <v>1</v>
      </c>
      <c r="P388" s="24">
        <f ca="1">VLOOKUP(M388,[2]character_tribe_i18n!$A:$F,5,FALSE)</f>
        <v>1.1000000000000001</v>
      </c>
      <c r="Q388" s="24">
        <f ca="1">VLOOKUP(M388,[2]character_tribe_i18n!$A:$F,6,FALSE)</f>
        <v>1</v>
      </c>
      <c r="R388" s="25" t="s">
        <v>98</v>
      </c>
      <c r="S388" s="24">
        <f>VLOOKUP($R388,ラベル別係数!$A$1:$E$7,3,FALSE)</f>
        <v>5</v>
      </c>
      <c r="T388" s="24">
        <f>VLOOKUP($R388,ラベル別係数!$A$1:$E$7,4,FALSE)</f>
        <v>1.3</v>
      </c>
      <c r="U388" s="24">
        <f>VLOOKUP($R388,ラベル別係数!$A$1:$E$7,5,FALSE)</f>
        <v>0.8</v>
      </c>
      <c r="V388" s="27">
        <v>3</v>
      </c>
      <c r="W388" s="28">
        <f>VLOOKUP(V388,ターン数別攻撃係数!$A$1:$B$1000,2,FALSE)</f>
        <v>1</v>
      </c>
      <c r="X388" s="9">
        <f ca="1">VLOOKUP(C388,サイズ別係数!A$2:B$8,2,FALSE)</f>
        <v>25</v>
      </c>
      <c r="Y388" s="26">
        <f ca="1">VLOOKUP($X388,サイズ別係数!$B:$E,2,FALSE)</f>
        <v>1.2</v>
      </c>
      <c r="Z388" s="26">
        <f ca="1">VLOOKUP($X388,サイズ別係数!$B:$E,3,FALSE)</f>
        <v>1.25</v>
      </c>
      <c r="AA388" s="26">
        <f ca="1">VLOOKUP($X388,サイズ別係数!$B:$E,4,FALSE)</f>
        <v>1.1499999999999999</v>
      </c>
      <c r="AB388" s="5">
        <v>0</v>
      </c>
      <c r="AC388" s="34" t="str">
        <f ca="1">VLOOKUP($AB388,OFFSET([3]enemy_skill_sets!$B$2,0,0,COUNTA([3]enemy_skill_sets!$A:$A),MATCH(AC$1,[3]enemy_skill_sets!$1:$1,0)-MATCH($AB$1,[3]enemy_skill_sets!$1:$1,0)+1),MATCH(AC$1,[3]enemy_skill_sets!$1:$1,0)-MATCH($AB$1,[3]enemy_skill_sets!$1:$1,0)+1,FALSE)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8" s="67">
        <v>1</v>
      </c>
      <c r="AE388" s="67">
        <v>1</v>
      </c>
      <c r="AF388" s="37">
        <v>0</v>
      </c>
      <c r="AG388" s="28">
        <f ca="1">ROUND(VLOOKUP(1,enemy_base_stats!$A:$F,2,FALSE) * Y388* J388*O388*E388*S388*AD388*[2]ステータス!$B$2,0)</f>
        <v>2352</v>
      </c>
      <c r="AH388" s="28">
        <f ca="1">ROUND(VLOOKUP(1,enemy_base_stats!$A:$F,3,FALSE) * Z388*K388*P388*F388*T388*AE388 * W388*[2]ステータス!$C$2,0)</f>
        <v>211</v>
      </c>
      <c r="AI388" s="28">
        <f ca="1">ROUND(VLOOKUP(1,enemy_base_stats!$A:$F,4,FALSE) * AA388*L388*Q388*G388*U388*AF388*[2]ステータス!$D$2,0)</f>
        <v>0</v>
      </c>
      <c r="AJ388" s="28">
        <f ca="1">ROUND(VLOOKUP(100,enemy_base_stats!$A:$F,2,FALSE) * Y388* J388*O388*E388*S388*AD388*[2]ステータス!$B$2,0)</f>
        <v>95491</v>
      </c>
      <c r="AK388" s="28">
        <f ca="1">ROUND(VLOOKUP(100,enemy_base_stats!$A:$F,3,FALSE)* Z388* K388*P388*F388*T388*AE388 * W388*[2]ステータス!$C$2,0)</f>
        <v>8576</v>
      </c>
      <c r="AL388" s="28">
        <f ca="1">ROUND(VLOOKUP(100,enemy_base_stats!$A:$F,4,FALSE)* AA388* L388*Q388*G388*U388*AF388*[2]ステータス!$D$2,0)</f>
        <v>0</v>
      </c>
      <c r="AM388" s="24">
        <f ca="1">VLOOKUP(M388,[2]character_tribe_i18n!$A:$I,9,FALSE)</f>
        <v>480</v>
      </c>
      <c r="AN388" s="36">
        <v>0</v>
      </c>
      <c r="AO388" s="53">
        <v>0</v>
      </c>
      <c r="AP388" s="58" t="s">
        <v>72</v>
      </c>
      <c r="AQ388" s="71">
        <f t="shared" ref="AQ388:AQ408" ca="1" si="14">A388</f>
        <v>387</v>
      </c>
    </row>
    <row r="389" spans="1:43" ht="21" customHeight="1" x14ac:dyDescent="0.15">
      <c r="A389" s="7">
        <f t="shared" ca="1" si="13"/>
        <v>388</v>
      </c>
      <c r="B389" s="6" t="str">
        <f ca="1">VLOOKUP(A389,[2]characters!$A:$C,3,FALSE)</f>
        <v>神円の恋姫 スフィンクス</v>
      </c>
      <c r="C389" s="9">
        <f ca="1">VLOOKUP(A389,[2]characters!$A:$I,9,FALSE)</f>
        <v>4</v>
      </c>
      <c r="D389" s="9" t="str">
        <f ca="1">VLOOKUP(A389,[2]characters!$A:$H,8,FALSE)</f>
        <v>yellow</v>
      </c>
      <c r="E389" s="24">
        <f ca="1">VLOOKUP(D389,[2]属性!$A:$E,2,FALSE)</f>
        <v>0.98</v>
      </c>
      <c r="F389" s="24">
        <f ca="1">VLOOKUP(D389,[2]属性!$A:$E,3,FALSE)</f>
        <v>1.01</v>
      </c>
      <c r="G389" s="24">
        <f ca="1">VLOOKUP(D389,[2]属性!$A:$F,4,FALSE)</f>
        <v>1</v>
      </c>
      <c r="H389" s="9" t="str">
        <f ca="1">VLOOKUP(A389,[2]characters!$A:$K,11,FALSE)</f>
        <v>heal</v>
      </c>
      <c r="I389" s="14" t="str">
        <f ca="1">VLOOKUP(H389,[2]character_type_i18n!$A:$F,3,FALSE)</f>
        <v>回復タイプ</v>
      </c>
      <c r="J389" s="36">
        <f ca="1">VLOOKUP(H389,[2]character_type_i18n!$A:$F,4,FALSE)</f>
        <v>0.8</v>
      </c>
      <c r="K389" s="36">
        <f ca="1">VLOOKUP(H389,[2]character_type_i18n!$A:$F,5,FALSE)</f>
        <v>0.78</v>
      </c>
      <c r="L389" s="36">
        <f ca="1">VLOOKUP(H389,[2]character_type_i18n!$A:$F,6,FALSE)</f>
        <v>1</v>
      </c>
      <c r="M389" s="9" t="str">
        <f ca="1">VLOOKUP(A389,[2]characters!$A:$M,13,FALSE)</f>
        <v>animal</v>
      </c>
      <c r="N389" s="14" t="str">
        <f ca="1">VLOOKUP(M389,[2]character_tribe_i18n!$A:$F,3,FALSE)</f>
        <v>アニマル</v>
      </c>
      <c r="O389" s="24">
        <f ca="1">VLOOKUP(M389,[2]character_tribe_i18n!$A:$F,4,FALSE)</f>
        <v>1</v>
      </c>
      <c r="P389" s="24">
        <f ca="1">VLOOKUP(M389,[2]character_tribe_i18n!$A:$F,5,FALSE)</f>
        <v>1.1000000000000001</v>
      </c>
      <c r="Q389" s="24">
        <f ca="1">VLOOKUP(M389,[2]character_tribe_i18n!$A:$F,6,FALSE)</f>
        <v>1</v>
      </c>
      <c r="R389" s="25" t="s">
        <v>98</v>
      </c>
      <c r="S389" s="24">
        <f>VLOOKUP($R389,ラベル別係数!$A$1:$E$7,3,FALSE)</f>
        <v>5</v>
      </c>
      <c r="T389" s="24">
        <f>VLOOKUP($R389,ラベル別係数!$A$1:$E$7,4,FALSE)</f>
        <v>1.3</v>
      </c>
      <c r="U389" s="24">
        <f>VLOOKUP($R389,ラベル別係数!$A$1:$E$7,5,FALSE)</f>
        <v>0.8</v>
      </c>
      <c r="V389" s="27">
        <v>3</v>
      </c>
      <c r="W389" s="28">
        <f>VLOOKUP(V389,ターン数別攻撃係数!$A$1:$B$1000,2,FALSE)</f>
        <v>1</v>
      </c>
      <c r="X389" s="9">
        <f ca="1">VLOOKUP(C389,サイズ別係数!A$2:B$8,2,FALSE)</f>
        <v>30</v>
      </c>
      <c r="Y389" s="26">
        <f ca="1">VLOOKUP($X389,サイズ別係数!$B:$E,2,FALSE)</f>
        <v>1.3</v>
      </c>
      <c r="Z389" s="26">
        <f ca="1">VLOOKUP($X389,サイズ別係数!$B:$E,3,FALSE)</f>
        <v>1.3</v>
      </c>
      <c r="AA389" s="26">
        <f ca="1">VLOOKUP($X389,サイズ別係数!$B:$E,4,FALSE)</f>
        <v>1.1000000000000001</v>
      </c>
      <c r="AB389" s="5">
        <v>0</v>
      </c>
      <c r="AC389" s="34" t="str">
        <f ca="1">VLOOKUP($AB389,OFFSET([3]enemy_skill_sets!$B$2,0,0,COUNTA([3]enemy_skill_sets!$A:$A),MATCH(AC$1,[3]enemy_skill_sets!$1:$1,0)-MATCH($AB$1,[3]enemy_skill_sets!$1:$1,0)+1),MATCH(AC$1,[3]enemy_skill_sets!$1:$1,0)-MATCH($AB$1,[3]enemy_skill_sets!$1:$1,0)+1,FALSE)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89" s="67">
        <v>1</v>
      </c>
      <c r="AE389" s="67">
        <v>1</v>
      </c>
      <c r="AF389" s="37">
        <v>0</v>
      </c>
      <c r="AG389" s="28">
        <f ca="1">ROUND(VLOOKUP(1,enemy_base_stats!$A:$F,2,FALSE) * Y389* J389*O389*E389*S389*AD389*[2]ステータス!$B$2,0)</f>
        <v>2548</v>
      </c>
      <c r="AH389" s="28">
        <f ca="1">ROUND(VLOOKUP(1,enemy_base_stats!$A:$F,3,FALSE) * Z389*K389*P389*F389*T389*AE389 * W389*[2]ステータス!$C$2,0)</f>
        <v>220</v>
      </c>
      <c r="AI389" s="28">
        <f ca="1">ROUND(VLOOKUP(1,enemy_base_stats!$A:$F,4,FALSE) * AA389*L389*Q389*G389*U389*AF389*[2]ステータス!$D$2,0)</f>
        <v>0</v>
      </c>
      <c r="AJ389" s="28">
        <f ca="1">ROUND(VLOOKUP(100,enemy_base_stats!$A:$F,2,FALSE) * Y389* J389*O389*E389*S389*AD389*[2]ステータス!$B$2,0)</f>
        <v>103449</v>
      </c>
      <c r="AK389" s="28">
        <f ca="1">ROUND(VLOOKUP(100,enemy_base_stats!$A:$F,3,FALSE)* Z389* K389*P389*F389*T389*AE389 * W389*[2]ステータス!$C$2,0)</f>
        <v>8919</v>
      </c>
      <c r="AL389" s="28">
        <f ca="1">ROUND(VLOOKUP(100,enemy_base_stats!$A:$F,4,FALSE)* AA389* L389*Q389*G389*U389*AF389*[2]ステータス!$D$2,0)</f>
        <v>0</v>
      </c>
      <c r="AM389" s="24">
        <f ca="1">VLOOKUP(M389,[2]character_tribe_i18n!$A:$I,9,FALSE)</f>
        <v>480</v>
      </c>
      <c r="AN389" s="36">
        <v>0</v>
      </c>
      <c r="AO389" s="53">
        <v>0</v>
      </c>
      <c r="AP389" s="58" t="s">
        <v>72</v>
      </c>
      <c r="AQ389" s="71">
        <f t="shared" ca="1" si="14"/>
        <v>388</v>
      </c>
    </row>
    <row r="390" spans="1:43" ht="21" customHeight="1" x14ac:dyDescent="0.15">
      <c r="A390" s="7">
        <f t="shared" ca="1" si="13"/>
        <v>389</v>
      </c>
      <c r="B390" s="6" t="str">
        <f ca="1">VLOOKUP(A390,[2]characters!$A:$C,3,FALSE)</f>
        <v>操神の愛姫 スフィンクス</v>
      </c>
      <c r="C390" s="9">
        <f ca="1">VLOOKUP(A390,[2]characters!$A:$I,9,FALSE)</f>
        <v>5</v>
      </c>
      <c r="D390" s="9" t="str">
        <f ca="1">VLOOKUP(A390,[2]characters!$A:$H,8,FALSE)</f>
        <v>yellow</v>
      </c>
      <c r="E390" s="24">
        <f ca="1">VLOOKUP(D390,[2]属性!$A:$E,2,FALSE)</f>
        <v>0.98</v>
      </c>
      <c r="F390" s="24">
        <f ca="1">VLOOKUP(D390,[2]属性!$A:$E,3,FALSE)</f>
        <v>1.01</v>
      </c>
      <c r="G390" s="24">
        <f ca="1">VLOOKUP(D390,[2]属性!$A:$F,4,FALSE)</f>
        <v>1</v>
      </c>
      <c r="H390" s="9" t="str">
        <f ca="1">VLOOKUP(A390,[2]characters!$A:$K,11,FALSE)</f>
        <v>heal</v>
      </c>
      <c r="I390" s="14" t="str">
        <f ca="1">VLOOKUP(H390,[2]character_type_i18n!$A:$F,3,FALSE)</f>
        <v>回復タイプ</v>
      </c>
      <c r="J390" s="36">
        <f ca="1">VLOOKUP(H390,[2]character_type_i18n!$A:$F,4,FALSE)</f>
        <v>0.8</v>
      </c>
      <c r="K390" s="36">
        <f ca="1">VLOOKUP(H390,[2]character_type_i18n!$A:$F,5,FALSE)</f>
        <v>0.78</v>
      </c>
      <c r="L390" s="36">
        <f ca="1">VLOOKUP(H390,[2]character_type_i18n!$A:$F,6,FALSE)</f>
        <v>1</v>
      </c>
      <c r="M390" s="9" t="str">
        <f ca="1">VLOOKUP(A390,[2]characters!$A:$M,13,FALSE)</f>
        <v>animal</v>
      </c>
      <c r="N390" s="14" t="str">
        <f ca="1">VLOOKUP(M390,[2]character_tribe_i18n!$A:$F,3,FALSE)</f>
        <v>アニマル</v>
      </c>
      <c r="O390" s="24">
        <f ca="1">VLOOKUP(M390,[2]character_tribe_i18n!$A:$F,4,FALSE)</f>
        <v>1</v>
      </c>
      <c r="P390" s="24">
        <f ca="1">VLOOKUP(M390,[2]character_tribe_i18n!$A:$F,5,FALSE)</f>
        <v>1.1000000000000001</v>
      </c>
      <c r="Q390" s="24">
        <f ca="1">VLOOKUP(M390,[2]character_tribe_i18n!$A:$F,6,FALSE)</f>
        <v>1</v>
      </c>
      <c r="R390" s="25" t="s">
        <v>98</v>
      </c>
      <c r="S390" s="24">
        <f>VLOOKUP($R390,ラベル別係数!$A$1:$E$7,3,FALSE)</f>
        <v>5</v>
      </c>
      <c r="T390" s="24">
        <f>VLOOKUP($R390,ラベル別係数!$A$1:$E$7,4,FALSE)</f>
        <v>1.3</v>
      </c>
      <c r="U390" s="24">
        <f>VLOOKUP($R390,ラベル別係数!$A$1:$E$7,5,FALSE)</f>
        <v>0.8</v>
      </c>
      <c r="V390" s="27">
        <v>3</v>
      </c>
      <c r="W390" s="28">
        <f>VLOOKUP(V390,ターン数別攻撃係数!$A$1:$B$1000,2,FALSE)</f>
        <v>1</v>
      </c>
      <c r="X390" s="9">
        <f ca="1">VLOOKUP(C390,サイズ別係数!A$2:B$8,2,FALSE)</f>
        <v>60</v>
      </c>
      <c r="Y390" s="26">
        <f ca="1">VLOOKUP($X390,サイズ別係数!$B:$E,2,FALSE)</f>
        <v>1.7</v>
      </c>
      <c r="Z390" s="26">
        <f ca="1">VLOOKUP($X390,サイズ別係数!$B:$E,3,FALSE)</f>
        <v>1.4</v>
      </c>
      <c r="AA390" s="26">
        <f ca="1">VLOOKUP($X390,サイズ別係数!$B:$E,4,FALSE)</f>
        <v>1</v>
      </c>
      <c r="AB390" s="5">
        <v>0</v>
      </c>
      <c r="AC390" s="34" t="str">
        <f ca="1">VLOOKUP($AB390,OFFSET([3]enemy_skill_sets!$B$2,0,0,COUNTA([3]enemy_skill_sets!$A:$A),MATCH(AC$1,[3]enemy_skill_sets!$1:$1,0)-MATCH($AB$1,[3]enemy_skill_sets!$1:$1,0)+1),MATCH(AC$1,[3]enemy_skill_sets!$1:$1,0)-MATCH($AB$1,[3]enemy_skill_sets!$1:$1,0)+1,FALSE)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0" s="67">
        <v>1</v>
      </c>
      <c r="AE390" s="67">
        <v>1</v>
      </c>
      <c r="AF390" s="37">
        <v>0</v>
      </c>
      <c r="AG390" s="28">
        <f ca="1">ROUND(VLOOKUP(1,enemy_base_stats!$A:$F,2,FALSE) * Y390* J390*O390*E390*S390*AD390*[2]ステータス!$B$2,0)</f>
        <v>3332</v>
      </c>
      <c r="AH390" s="28">
        <f ca="1">ROUND(VLOOKUP(1,enemy_base_stats!$A:$F,3,FALSE) * Z390*K390*P390*F390*T390*AE390 * W390*[2]ステータス!$C$2,0)</f>
        <v>237</v>
      </c>
      <c r="AI390" s="28">
        <f ca="1">ROUND(VLOOKUP(1,enemy_base_stats!$A:$F,4,FALSE) * AA390*L390*Q390*G390*U390*AF390*[2]ステータス!$D$2,0)</f>
        <v>0</v>
      </c>
      <c r="AJ390" s="28">
        <f ca="1">ROUND(VLOOKUP(100,enemy_base_stats!$A:$F,2,FALSE) * Y390* J390*O390*E390*S390*AD390*[2]ステータス!$B$2,0)</f>
        <v>135279</v>
      </c>
      <c r="AK390" s="28">
        <f ca="1">ROUND(VLOOKUP(100,enemy_base_stats!$A:$F,3,FALSE)* Z390* K390*P390*F390*T390*AE390 * W390*[2]ステータス!$C$2,0)</f>
        <v>9605</v>
      </c>
      <c r="AL390" s="28">
        <f ca="1">ROUND(VLOOKUP(100,enemy_base_stats!$A:$F,4,FALSE)* AA390* L390*Q390*G390*U390*AF390*[2]ステータス!$D$2,0)</f>
        <v>0</v>
      </c>
      <c r="AM390" s="24">
        <f ca="1">VLOOKUP(M390,[2]character_tribe_i18n!$A:$I,9,FALSE)</f>
        <v>480</v>
      </c>
      <c r="AN390" s="36">
        <v>0</v>
      </c>
      <c r="AO390" s="53">
        <v>0</v>
      </c>
      <c r="AP390" s="58" t="s">
        <v>72</v>
      </c>
      <c r="AQ390" s="71">
        <f t="shared" ca="1" si="14"/>
        <v>389</v>
      </c>
    </row>
    <row r="391" spans="1:43" ht="21" customHeight="1" x14ac:dyDescent="0.15">
      <c r="A391" s="7">
        <f t="shared" ca="1" si="13"/>
        <v>390</v>
      </c>
      <c r="B391" s="6" t="str">
        <f ca="1">VLOOKUP(A391,[2]characters!$A:$C,3,FALSE)</f>
        <v>華環の旅客 親指姫</v>
      </c>
      <c r="C391" s="9">
        <f ca="1">VLOOKUP(A391,[2]characters!$A:$I,9,FALSE)</f>
        <v>4</v>
      </c>
      <c r="D391" s="9" t="str">
        <f ca="1">VLOOKUP(A391,[2]characters!$A:$H,8,FALSE)</f>
        <v>red</v>
      </c>
      <c r="E391" s="24">
        <f ca="1">VLOOKUP(D391,[2]属性!$A:$E,2,FALSE)</f>
        <v>1</v>
      </c>
      <c r="F391" s="24">
        <f ca="1">VLOOKUP(D391,[2]属性!$A:$E,3,FALSE)</f>
        <v>1.02</v>
      </c>
      <c r="G391" s="24">
        <f ca="1">VLOOKUP(D391,[2]属性!$A:$F,4,FALSE)</f>
        <v>1</v>
      </c>
      <c r="H391" s="9" t="str">
        <f ca="1">VLOOKUP(A391,[2]characters!$A:$K,11,FALSE)</f>
        <v>heal</v>
      </c>
      <c r="I391" s="14" t="str">
        <f ca="1">VLOOKUP(H391,[2]character_type_i18n!$A:$F,3,FALSE)</f>
        <v>回復タイプ</v>
      </c>
      <c r="J391" s="36">
        <f ca="1">VLOOKUP(H391,[2]character_type_i18n!$A:$F,4,FALSE)</f>
        <v>0.8</v>
      </c>
      <c r="K391" s="36">
        <f ca="1">VLOOKUP(H391,[2]character_type_i18n!$A:$F,5,FALSE)</f>
        <v>0.78</v>
      </c>
      <c r="L391" s="36">
        <f ca="1">VLOOKUP(H391,[2]character_type_i18n!$A:$F,6,FALSE)</f>
        <v>1</v>
      </c>
      <c r="M391" s="9" t="str">
        <f ca="1">VLOOKUP(A391,[2]characters!$A:$M,13,FALSE)</f>
        <v>human</v>
      </c>
      <c r="N391" s="14" t="str">
        <f ca="1">VLOOKUP(M391,[2]character_tribe_i18n!$A:$F,3,FALSE)</f>
        <v>ヒューマン</v>
      </c>
      <c r="O391" s="24">
        <f ca="1">VLOOKUP(M391,[2]character_tribe_i18n!$A:$F,4,FALSE)</f>
        <v>0.94</v>
      </c>
      <c r="P391" s="24">
        <f ca="1">VLOOKUP(M391,[2]character_tribe_i18n!$A:$F,5,FALSE)</f>
        <v>0.99</v>
      </c>
      <c r="Q391" s="24">
        <f ca="1">VLOOKUP(M391,[2]character_tribe_i18n!$A:$F,6,FALSE)</f>
        <v>1</v>
      </c>
      <c r="R391" s="25" t="s">
        <v>98</v>
      </c>
      <c r="S391" s="24">
        <f>VLOOKUP($R391,ラベル別係数!$A$1:$E$7,3,FALSE)</f>
        <v>5</v>
      </c>
      <c r="T391" s="24">
        <f>VLOOKUP($R391,ラベル別係数!$A$1:$E$7,4,FALSE)</f>
        <v>1.3</v>
      </c>
      <c r="U391" s="24">
        <f>VLOOKUP($R391,ラベル別係数!$A$1:$E$7,5,FALSE)</f>
        <v>0.8</v>
      </c>
      <c r="V391" s="27">
        <v>3</v>
      </c>
      <c r="W391" s="28">
        <f>VLOOKUP(V391,ターン数別攻撃係数!$A$1:$B$1000,2,FALSE)</f>
        <v>1</v>
      </c>
      <c r="X391" s="9">
        <f ca="1">VLOOKUP(C391,サイズ別係数!A$2:B$8,2,FALSE)</f>
        <v>30</v>
      </c>
      <c r="Y391" s="26">
        <f ca="1">VLOOKUP($X391,サイズ別係数!$B:$E,2,FALSE)</f>
        <v>1.3</v>
      </c>
      <c r="Z391" s="26">
        <f ca="1">VLOOKUP($X391,サイズ別係数!$B:$E,3,FALSE)</f>
        <v>1.3</v>
      </c>
      <c r="AA391" s="26">
        <f ca="1">VLOOKUP($X391,サイズ別係数!$B:$E,4,FALSE)</f>
        <v>1.1000000000000001</v>
      </c>
      <c r="AB391" s="5">
        <v>0</v>
      </c>
      <c r="AC391" s="34" t="str">
        <f ca="1">VLOOKUP($AB391,OFFSET([3]enemy_skill_sets!$B$2,0,0,COUNTA([3]enemy_skill_sets!$A:$A),MATCH(AC$1,[3]enemy_skill_sets!$1:$1,0)-MATCH($AB$1,[3]enemy_skill_sets!$1:$1,0)+1),MATCH(AC$1,[3]enemy_skill_sets!$1:$1,0)-MATCH($AB$1,[3]enemy_skill_sets!$1:$1,0)+1,FALSE)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1" s="67">
        <v>1</v>
      </c>
      <c r="AE391" s="67">
        <v>1</v>
      </c>
      <c r="AF391" s="37">
        <v>0</v>
      </c>
      <c r="AG391" s="28">
        <f ca="1">ROUND(VLOOKUP(1,enemy_base_stats!$A:$F,2,FALSE) * Y391* J391*O391*E391*S391*AD391*[2]ステータス!$B$2,0)</f>
        <v>2444</v>
      </c>
      <c r="AH391" s="28">
        <f ca="1">ROUND(VLOOKUP(1,enemy_base_stats!$A:$F,3,FALSE) * Z391*K391*P391*F391*T391*AE391 * W391*[2]ステータス!$C$2,0)</f>
        <v>200</v>
      </c>
      <c r="AI391" s="28">
        <f ca="1">ROUND(VLOOKUP(1,enemy_base_stats!$A:$F,4,FALSE) * AA391*L391*Q391*G391*U391*AF391*[2]ステータス!$D$2,0)</f>
        <v>0</v>
      </c>
      <c r="AJ391" s="28">
        <f ca="1">ROUND(VLOOKUP(100,enemy_base_stats!$A:$F,2,FALSE) * Y391* J391*O391*E391*S391*AD391*[2]ステータス!$B$2,0)</f>
        <v>99226</v>
      </c>
      <c r="AK391" s="28">
        <f ca="1">ROUND(VLOOKUP(100,enemy_base_stats!$A:$F,3,FALSE)* Z391* K391*P391*F391*T391*AE391 * W391*[2]ステータス!$C$2,0)</f>
        <v>8107</v>
      </c>
      <c r="AL391" s="28">
        <f ca="1">ROUND(VLOOKUP(100,enemy_base_stats!$A:$F,4,FALSE)* AA391* L391*Q391*G391*U391*AF391*[2]ステータス!$D$2,0)</f>
        <v>0</v>
      </c>
      <c r="AM391" s="24">
        <f ca="1">VLOOKUP(M391,[2]character_tribe_i18n!$A:$I,9,FALSE)</f>
        <v>400</v>
      </c>
      <c r="AN391" s="36">
        <v>0</v>
      </c>
      <c r="AO391" s="53">
        <v>0</v>
      </c>
      <c r="AP391" s="58" t="s">
        <v>72</v>
      </c>
      <c r="AQ391" s="71">
        <f t="shared" ca="1" si="14"/>
        <v>390</v>
      </c>
    </row>
    <row r="392" spans="1:43" ht="21" customHeight="1" x14ac:dyDescent="0.15">
      <c r="A392" s="7">
        <f t="shared" ca="1" si="13"/>
        <v>391</v>
      </c>
      <c r="B392" s="6" t="str">
        <f ca="1">VLOOKUP(A392,[2]characters!$A:$C,3,FALSE)</f>
        <v>燕翼の旅人 親指姫</v>
      </c>
      <c r="C392" s="9">
        <f ca="1">VLOOKUP(A392,[2]characters!$A:$I,9,FALSE)</f>
        <v>5</v>
      </c>
      <c r="D392" s="9" t="str">
        <f ca="1">VLOOKUP(A392,[2]characters!$A:$H,8,FALSE)</f>
        <v>red</v>
      </c>
      <c r="E392" s="24">
        <f ca="1">VLOOKUP(D392,[2]属性!$A:$E,2,FALSE)</f>
        <v>1</v>
      </c>
      <c r="F392" s="24">
        <f ca="1">VLOOKUP(D392,[2]属性!$A:$E,3,FALSE)</f>
        <v>1.02</v>
      </c>
      <c r="G392" s="24">
        <f ca="1">VLOOKUP(D392,[2]属性!$A:$F,4,FALSE)</f>
        <v>1</v>
      </c>
      <c r="H392" s="9" t="str">
        <f ca="1">VLOOKUP(A392,[2]characters!$A:$K,11,FALSE)</f>
        <v>heal</v>
      </c>
      <c r="I392" s="14" t="str">
        <f ca="1">VLOOKUP(H392,[2]character_type_i18n!$A:$F,3,FALSE)</f>
        <v>回復タイプ</v>
      </c>
      <c r="J392" s="36">
        <f ca="1">VLOOKUP(H392,[2]character_type_i18n!$A:$F,4,FALSE)</f>
        <v>0.8</v>
      </c>
      <c r="K392" s="36">
        <f ca="1">VLOOKUP(H392,[2]character_type_i18n!$A:$F,5,FALSE)</f>
        <v>0.78</v>
      </c>
      <c r="L392" s="36">
        <f ca="1">VLOOKUP(H392,[2]character_type_i18n!$A:$F,6,FALSE)</f>
        <v>1</v>
      </c>
      <c r="M392" s="9" t="str">
        <f ca="1">VLOOKUP(A392,[2]characters!$A:$M,13,FALSE)</f>
        <v>human</v>
      </c>
      <c r="N392" s="14" t="str">
        <f ca="1">VLOOKUP(M392,[2]character_tribe_i18n!$A:$F,3,FALSE)</f>
        <v>ヒューマン</v>
      </c>
      <c r="O392" s="24">
        <f ca="1">VLOOKUP(M392,[2]character_tribe_i18n!$A:$F,4,FALSE)</f>
        <v>0.94</v>
      </c>
      <c r="P392" s="24">
        <f ca="1">VLOOKUP(M392,[2]character_tribe_i18n!$A:$F,5,FALSE)</f>
        <v>0.99</v>
      </c>
      <c r="Q392" s="24">
        <f ca="1">VLOOKUP(M392,[2]character_tribe_i18n!$A:$F,6,FALSE)</f>
        <v>1</v>
      </c>
      <c r="R392" s="25" t="s">
        <v>98</v>
      </c>
      <c r="S392" s="24">
        <f>VLOOKUP($R392,ラベル別係数!$A$1:$E$7,3,FALSE)</f>
        <v>5</v>
      </c>
      <c r="T392" s="24">
        <f>VLOOKUP($R392,ラベル別係数!$A$1:$E$7,4,FALSE)</f>
        <v>1.3</v>
      </c>
      <c r="U392" s="24">
        <f>VLOOKUP($R392,ラベル別係数!$A$1:$E$7,5,FALSE)</f>
        <v>0.8</v>
      </c>
      <c r="V392" s="27">
        <v>3</v>
      </c>
      <c r="W392" s="28">
        <f>VLOOKUP(V392,ターン数別攻撃係数!$A$1:$B$1000,2,FALSE)</f>
        <v>1</v>
      </c>
      <c r="X392" s="9">
        <f ca="1">VLOOKUP(C392,サイズ別係数!A$2:B$8,2,FALSE)</f>
        <v>60</v>
      </c>
      <c r="Y392" s="26">
        <f ca="1">VLOOKUP($X392,サイズ別係数!$B:$E,2,FALSE)</f>
        <v>1.7</v>
      </c>
      <c r="Z392" s="26">
        <f ca="1">VLOOKUP($X392,サイズ別係数!$B:$E,3,FALSE)</f>
        <v>1.4</v>
      </c>
      <c r="AA392" s="26">
        <f ca="1">VLOOKUP($X392,サイズ別係数!$B:$E,4,FALSE)</f>
        <v>1</v>
      </c>
      <c r="AB392" s="5">
        <v>0</v>
      </c>
      <c r="AC392" s="34" t="str">
        <f ca="1">VLOOKUP($AB392,OFFSET([3]enemy_skill_sets!$B$2,0,0,COUNTA([3]enemy_skill_sets!$A:$A),MATCH(AC$1,[3]enemy_skill_sets!$1:$1,0)-MATCH($AB$1,[3]enemy_skill_sets!$1:$1,0)+1),MATCH(AC$1,[3]enemy_skill_sets!$1:$1,0)-MATCH($AB$1,[3]enemy_skill_sets!$1:$1,0)+1,FALSE)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2" s="67">
        <v>1</v>
      </c>
      <c r="AE392" s="67">
        <v>1</v>
      </c>
      <c r="AF392" s="37">
        <v>0</v>
      </c>
      <c r="AG392" s="28">
        <f ca="1">ROUND(VLOOKUP(1,enemy_base_stats!$A:$F,2,FALSE) * Y392* J392*O392*E392*S392*AD392*[2]ステータス!$B$2,0)</f>
        <v>3196</v>
      </c>
      <c r="AH392" s="28">
        <f ca="1">ROUND(VLOOKUP(1,enemy_base_stats!$A:$F,3,FALSE) * Z392*K392*P392*F392*T392*AE392 * W392*[2]ステータス!$C$2,0)</f>
        <v>215</v>
      </c>
      <c r="AI392" s="28">
        <f ca="1">ROUND(VLOOKUP(1,enemy_base_stats!$A:$F,4,FALSE) * AA392*L392*Q392*G392*U392*AF392*[2]ステータス!$D$2,0)</f>
        <v>0</v>
      </c>
      <c r="AJ392" s="28">
        <f ca="1">ROUND(VLOOKUP(100,enemy_base_stats!$A:$F,2,FALSE) * Y392* J392*O392*E392*S392*AD392*[2]ステータス!$B$2,0)</f>
        <v>129758</v>
      </c>
      <c r="AK392" s="28">
        <f ca="1">ROUND(VLOOKUP(100,enemy_base_stats!$A:$F,3,FALSE)* Z392* K392*P392*F392*T392*AE392 * W392*[2]ステータス!$C$2,0)</f>
        <v>8730</v>
      </c>
      <c r="AL392" s="28">
        <f ca="1">ROUND(VLOOKUP(100,enemy_base_stats!$A:$F,4,FALSE)* AA392* L392*Q392*G392*U392*AF392*[2]ステータス!$D$2,0)</f>
        <v>0</v>
      </c>
      <c r="AM392" s="24">
        <f ca="1">VLOOKUP(M392,[2]character_tribe_i18n!$A:$I,9,FALSE)</f>
        <v>400</v>
      </c>
      <c r="AN392" s="36">
        <v>0</v>
      </c>
      <c r="AO392" s="53">
        <v>0</v>
      </c>
      <c r="AP392" s="58" t="s">
        <v>72</v>
      </c>
      <c r="AQ392" s="71">
        <f t="shared" ca="1" si="14"/>
        <v>391</v>
      </c>
    </row>
    <row r="393" spans="1:43" ht="21" customHeight="1" x14ac:dyDescent="0.15">
      <c r="A393" s="7">
        <f t="shared" ca="1" si="13"/>
        <v>392</v>
      </c>
      <c r="B393" s="6" t="str">
        <f ca="1">VLOOKUP(A393,[2]characters!$A:$C,3,FALSE)</f>
        <v>ピーターパン</v>
      </c>
      <c r="C393" s="9">
        <f ca="1">VLOOKUP(A393,[2]characters!$A:$I,9,FALSE)</f>
        <v>3</v>
      </c>
      <c r="D393" s="9" t="str">
        <f ca="1">VLOOKUP(A393,[2]characters!$A:$H,8,FALSE)</f>
        <v>green</v>
      </c>
      <c r="E393" s="24">
        <f ca="1">VLOOKUP(D393,[2]属性!$A:$E,2,FALSE)</f>
        <v>1.02</v>
      </c>
      <c r="F393" s="24">
        <f ca="1">VLOOKUP(D393,[2]属性!$A:$E,3,FALSE)</f>
        <v>0.98</v>
      </c>
      <c r="G393" s="24">
        <f ca="1">VLOOKUP(D393,[2]属性!$A:$F,4,FALSE)</f>
        <v>1</v>
      </c>
      <c r="H393" s="9" t="str">
        <f ca="1">VLOOKUP(A393,[2]characters!$A:$K,11,FALSE)</f>
        <v>attack</v>
      </c>
      <c r="I393" s="14" t="str">
        <f ca="1">VLOOKUP(H393,[2]character_type_i18n!$A:$F,3,FALSE)</f>
        <v>攻撃タイプ</v>
      </c>
      <c r="J393" s="36">
        <f ca="1">VLOOKUP(H393,[2]character_type_i18n!$A:$F,4,FALSE)</f>
        <v>1</v>
      </c>
      <c r="K393" s="36">
        <f ca="1">VLOOKUP(H393,[2]character_type_i18n!$A:$F,5,FALSE)</f>
        <v>1.33</v>
      </c>
      <c r="L393" s="36">
        <f ca="1">VLOOKUP(H393,[2]character_type_i18n!$A:$F,6,FALSE)</f>
        <v>1</v>
      </c>
      <c r="M393" s="9" t="str">
        <f ca="1">VLOOKUP(A393,[2]characters!$A:$M,13,FALSE)</f>
        <v>human</v>
      </c>
      <c r="N393" s="14" t="str">
        <f ca="1">VLOOKUP(M393,[2]character_tribe_i18n!$A:$F,3,FALSE)</f>
        <v>ヒューマン</v>
      </c>
      <c r="O393" s="24">
        <f ca="1">VLOOKUP(M393,[2]character_tribe_i18n!$A:$F,4,FALSE)</f>
        <v>0.94</v>
      </c>
      <c r="P393" s="24">
        <f ca="1">VLOOKUP(M393,[2]character_tribe_i18n!$A:$F,5,FALSE)</f>
        <v>0.99</v>
      </c>
      <c r="Q393" s="24">
        <f ca="1">VLOOKUP(M393,[2]character_tribe_i18n!$A:$F,6,FALSE)</f>
        <v>1</v>
      </c>
      <c r="R393" s="25" t="s">
        <v>98</v>
      </c>
      <c r="S393" s="24">
        <f>VLOOKUP($R393,ラベル別係数!$A$1:$E$7,3,FALSE)</f>
        <v>5</v>
      </c>
      <c r="T393" s="24">
        <f>VLOOKUP($R393,ラベル別係数!$A$1:$E$7,4,FALSE)</f>
        <v>1.3</v>
      </c>
      <c r="U393" s="24">
        <f>VLOOKUP($R393,ラベル別係数!$A$1:$E$7,5,FALSE)</f>
        <v>0.8</v>
      </c>
      <c r="V393" s="27">
        <v>3</v>
      </c>
      <c r="W393" s="28">
        <f>VLOOKUP(V393,ターン数別攻撃係数!$A$1:$B$1000,2,FALSE)</f>
        <v>1</v>
      </c>
      <c r="X393" s="9">
        <f ca="1">VLOOKUP(C393,サイズ別係数!A$2:B$8,2,FALSE)</f>
        <v>25</v>
      </c>
      <c r="Y393" s="26">
        <f ca="1">VLOOKUP($X393,サイズ別係数!$B:$E,2,FALSE)</f>
        <v>1.2</v>
      </c>
      <c r="Z393" s="26">
        <f ca="1">VLOOKUP($X393,サイズ別係数!$B:$E,3,FALSE)</f>
        <v>1.25</v>
      </c>
      <c r="AA393" s="26">
        <f ca="1">VLOOKUP($X393,サイズ別係数!$B:$E,4,FALSE)</f>
        <v>1.1499999999999999</v>
      </c>
      <c r="AB393" s="5">
        <v>0</v>
      </c>
      <c r="AC393" s="34" t="str">
        <f ca="1">VLOOKUP($AB393,OFFSET([3]enemy_skill_sets!$B$2,0,0,COUNTA([3]enemy_skill_sets!$A:$A),MATCH(AC$1,[3]enemy_skill_sets!$1:$1,0)-MATCH($AB$1,[3]enemy_skill_sets!$1:$1,0)+1),MATCH(AC$1,[3]enemy_skill_sets!$1:$1,0)-MATCH($AB$1,[3]enemy_skill_sets!$1:$1,0)+1,FALSE)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3" s="67">
        <v>1</v>
      </c>
      <c r="AE393" s="67">
        <v>1</v>
      </c>
      <c r="AF393" s="37">
        <v>0</v>
      </c>
      <c r="AG393" s="28">
        <f ca="1">ROUND(VLOOKUP(1,enemy_base_stats!$A:$F,2,FALSE) * Y393* J393*O393*E393*S393*AD393*[2]ステータス!$B$2,0)</f>
        <v>2876</v>
      </c>
      <c r="AH393" s="28">
        <f ca="1">ROUND(VLOOKUP(1,enemy_base_stats!$A:$F,3,FALSE) * Z393*K393*P393*F393*T393*AE393 * W393*[2]ステータス!$C$2,0)</f>
        <v>315</v>
      </c>
      <c r="AI393" s="28">
        <f ca="1">ROUND(VLOOKUP(1,enemy_base_stats!$A:$F,4,FALSE) * AA393*L393*Q393*G393*U393*AF393*[2]ステータス!$D$2,0)</f>
        <v>0</v>
      </c>
      <c r="AJ393" s="28">
        <f ca="1">ROUND(VLOOKUP(100,enemy_base_stats!$A:$F,2,FALSE) * Y393* J393*O393*E393*S393*AD393*[2]ステータス!$B$2,0)</f>
        <v>116782</v>
      </c>
      <c r="AK393" s="28">
        <f ca="1">ROUND(VLOOKUP(100,enemy_base_stats!$A:$F,3,FALSE)* Z393* K393*P393*F393*T393*AE393 * W393*[2]ステータス!$C$2,0)</f>
        <v>12770</v>
      </c>
      <c r="AL393" s="28">
        <f ca="1">ROUND(VLOOKUP(100,enemy_base_stats!$A:$F,4,FALSE)* AA393* L393*Q393*G393*U393*AF393*[2]ステータス!$D$2,0)</f>
        <v>0</v>
      </c>
      <c r="AM393" s="24">
        <f ca="1">VLOOKUP(M393,[2]character_tribe_i18n!$A:$I,9,FALSE)</f>
        <v>400</v>
      </c>
      <c r="AN393" s="36">
        <v>0</v>
      </c>
      <c r="AO393" s="53">
        <v>0</v>
      </c>
      <c r="AP393" s="58" t="s">
        <v>72</v>
      </c>
      <c r="AQ393" s="71">
        <f t="shared" ca="1" si="14"/>
        <v>392</v>
      </c>
    </row>
    <row r="394" spans="1:43" ht="21" customHeight="1" x14ac:dyDescent="0.15">
      <c r="A394" s="7">
        <f t="shared" ca="1" si="13"/>
        <v>393</v>
      </c>
      <c r="B394" s="6" t="str">
        <f ca="1">VLOOKUP(A394,[2]characters!$A:$C,3,FALSE)</f>
        <v>影縫い ピーターパン</v>
      </c>
      <c r="C394" s="9">
        <f ca="1">VLOOKUP(A394,[2]characters!$A:$I,9,FALSE)</f>
        <v>4</v>
      </c>
      <c r="D394" s="9" t="str">
        <f ca="1">VLOOKUP(A394,[2]characters!$A:$H,8,FALSE)</f>
        <v>green</v>
      </c>
      <c r="E394" s="24">
        <f ca="1">VLOOKUP(D394,[2]属性!$A:$E,2,FALSE)</f>
        <v>1.02</v>
      </c>
      <c r="F394" s="24">
        <f ca="1">VLOOKUP(D394,[2]属性!$A:$E,3,FALSE)</f>
        <v>0.98</v>
      </c>
      <c r="G394" s="24">
        <f ca="1">VLOOKUP(D394,[2]属性!$A:$F,4,FALSE)</f>
        <v>1</v>
      </c>
      <c r="H394" s="9" t="str">
        <f ca="1">VLOOKUP(A394,[2]characters!$A:$K,11,FALSE)</f>
        <v>attack</v>
      </c>
      <c r="I394" s="14" t="str">
        <f ca="1">VLOOKUP(H394,[2]character_type_i18n!$A:$F,3,FALSE)</f>
        <v>攻撃タイプ</v>
      </c>
      <c r="J394" s="36">
        <f ca="1">VLOOKUP(H394,[2]character_type_i18n!$A:$F,4,FALSE)</f>
        <v>1</v>
      </c>
      <c r="K394" s="36">
        <f ca="1">VLOOKUP(H394,[2]character_type_i18n!$A:$F,5,FALSE)</f>
        <v>1.33</v>
      </c>
      <c r="L394" s="36">
        <f ca="1">VLOOKUP(H394,[2]character_type_i18n!$A:$F,6,FALSE)</f>
        <v>1</v>
      </c>
      <c r="M394" s="9" t="str">
        <f ca="1">VLOOKUP(A394,[2]characters!$A:$M,13,FALSE)</f>
        <v>human</v>
      </c>
      <c r="N394" s="14" t="str">
        <f ca="1">VLOOKUP(M394,[2]character_tribe_i18n!$A:$F,3,FALSE)</f>
        <v>ヒューマン</v>
      </c>
      <c r="O394" s="24">
        <f ca="1">VLOOKUP(M394,[2]character_tribe_i18n!$A:$F,4,FALSE)</f>
        <v>0.94</v>
      </c>
      <c r="P394" s="24">
        <f ca="1">VLOOKUP(M394,[2]character_tribe_i18n!$A:$F,5,FALSE)</f>
        <v>0.99</v>
      </c>
      <c r="Q394" s="24">
        <f ca="1">VLOOKUP(M394,[2]character_tribe_i18n!$A:$F,6,FALSE)</f>
        <v>1</v>
      </c>
      <c r="R394" s="25" t="s">
        <v>98</v>
      </c>
      <c r="S394" s="24">
        <f>VLOOKUP($R394,ラベル別係数!$A$1:$E$7,3,FALSE)</f>
        <v>5</v>
      </c>
      <c r="T394" s="24">
        <f>VLOOKUP($R394,ラベル別係数!$A$1:$E$7,4,FALSE)</f>
        <v>1.3</v>
      </c>
      <c r="U394" s="24">
        <f>VLOOKUP($R394,ラベル別係数!$A$1:$E$7,5,FALSE)</f>
        <v>0.8</v>
      </c>
      <c r="V394" s="27">
        <v>3</v>
      </c>
      <c r="W394" s="28">
        <f>VLOOKUP(V394,ターン数別攻撃係数!$A$1:$B$1000,2,FALSE)</f>
        <v>1</v>
      </c>
      <c r="X394" s="9">
        <f ca="1">VLOOKUP(C394,サイズ別係数!A$2:B$8,2,FALSE)</f>
        <v>30</v>
      </c>
      <c r="Y394" s="26">
        <f ca="1">VLOOKUP($X394,サイズ別係数!$B:$E,2,FALSE)</f>
        <v>1.3</v>
      </c>
      <c r="Z394" s="26">
        <f ca="1">VLOOKUP($X394,サイズ別係数!$B:$E,3,FALSE)</f>
        <v>1.3</v>
      </c>
      <c r="AA394" s="26">
        <f ca="1">VLOOKUP($X394,サイズ別係数!$B:$E,4,FALSE)</f>
        <v>1.1000000000000001</v>
      </c>
      <c r="AB394" s="5">
        <v>0</v>
      </c>
      <c r="AC394" s="34" t="str">
        <f ca="1">VLOOKUP($AB394,OFFSET([3]enemy_skill_sets!$B$2,0,0,COUNTA([3]enemy_skill_sets!$A:$A),MATCH(AC$1,[3]enemy_skill_sets!$1:$1,0)-MATCH($AB$1,[3]enemy_skill_sets!$1:$1,0)+1),MATCH(AC$1,[3]enemy_skill_sets!$1:$1,0)-MATCH($AB$1,[3]enemy_skill_sets!$1:$1,0)+1,FALSE)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4" s="67">
        <v>1</v>
      </c>
      <c r="AE394" s="67">
        <v>1</v>
      </c>
      <c r="AF394" s="37">
        <v>0</v>
      </c>
      <c r="AG394" s="28">
        <f ca="1">ROUND(VLOOKUP(1,enemy_base_stats!$A:$F,2,FALSE) * Y394* J394*O394*E394*S394*AD394*[2]ステータス!$B$2,0)</f>
        <v>3116</v>
      </c>
      <c r="AH394" s="28">
        <f ca="1">ROUND(VLOOKUP(1,enemy_base_stats!$A:$F,3,FALSE) * Z394*K394*P394*F394*T394*AE394 * W394*[2]ステータス!$C$2,0)</f>
        <v>327</v>
      </c>
      <c r="AI394" s="28">
        <f ca="1">ROUND(VLOOKUP(1,enemy_base_stats!$A:$F,4,FALSE) * AA394*L394*Q394*G394*U394*AF394*[2]ステータス!$D$2,0)</f>
        <v>0</v>
      </c>
      <c r="AJ394" s="28">
        <f ca="1">ROUND(VLOOKUP(100,enemy_base_stats!$A:$F,2,FALSE) * Y394* J394*O394*E394*S394*AD394*[2]ステータス!$B$2,0)</f>
        <v>126514</v>
      </c>
      <c r="AK394" s="28">
        <f ca="1">ROUND(VLOOKUP(100,enemy_base_stats!$A:$F,3,FALSE)* Z394* K394*P394*F394*T394*AE394 * W394*[2]ステータス!$C$2,0)</f>
        <v>13281</v>
      </c>
      <c r="AL394" s="28">
        <f ca="1">ROUND(VLOOKUP(100,enemy_base_stats!$A:$F,4,FALSE)* AA394* L394*Q394*G394*U394*AF394*[2]ステータス!$D$2,0)</f>
        <v>0</v>
      </c>
      <c r="AM394" s="24">
        <f ca="1">VLOOKUP(M394,[2]character_tribe_i18n!$A:$I,9,FALSE)</f>
        <v>400</v>
      </c>
      <c r="AN394" s="36">
        <v>0</v>
      </c>
      <c r="AO394" s="53">
        <v>0</v>
      </c>
      <c r="AP394" s="58" t="s">
        <v>72</v>
      </c>
      <c r="AQ394" s="71">
        <f t="shared" ca="1" si="14"/>
        <v>393</v>
      </c>
    </row>
    <row r="395" spans="1:43" ht="21" customHeight="1" x14ac:dyDescent="0.15">
      <c r="A395" s="7">
        <f t="shared" ca="1" si="13"/>
        <v>394</v>
      </c>
      <c r="B395" s="6" t="str">
        <f ca="1">VLOOKUP(A395,[2]characters!$A:$C,3,FALSE)</f>
        <v>影求の悪童 ピーターパン</v>
      </c>
      <c r="C395" s="9">
        <f ca="1">VLOOKUP(A395,[2]characters!$A:$I,9,FALSE)</f>
        <v>5</v>
      </c>
      <c r="D395" s="9" t="str">
        <f ca="1">VLOOKUP(A395,[2]characters!$A:$H,8,FALSE)</f>
        <v>green</v>
      </c>
      <c r="E395" s="24">
        <f ca="1">VLOOKUP(D395,[2]属性!$A:$E,2,FALSE)</f>
        <v>1.02</v>
      </c>
      <c r="F395" s="24">
        <f ca="1">VLOOKUP(D395,[2]属性!$A:$E,3,FALSE)</f>
        <v>0.98</v>
      </c>
      <c r="G395" s="24">
        <f ca="1">VLOOKUP(D395,[2]属性!$A:$F,4,FALSE)</f>
        <v>1</v>
      </c>
      <c r="H395" s="9" t="str">
        <f ca="1">VLOOKUP(A395,[2]characters!$A:$K,11,FALSE)</f>
        <v>attack</v>
      </c>
      <c r="I395" s="14" t="str">
        <f ca="1">VLOOKUP(H395,[2]character_type_i18n!$A:$F,3,FALSE)</f>
        <v>攻撃タイプ</v>
      </c>
      <c r="J395" s="36">
        <f ca="1">VLOOKUP(H395,[2]character_type_i18n!$A:$F,4,FALSE)</f>
        <v>1</v>
      </c>
      <c r="K395" s="36">
        <f ca="1">VLOOKUP(H395,[2]character_type_i18n!$A:$F,5,FALSE)</f>
        <v>1.33</v>
      </c>
      <c r="L395" s="36">
        <f ca="1">VLOOKUP(H395,[2]character_type_i18n!$A:$F,6,FALSE)</f>
        <v>1</v>
      </c>
      <c r="M395" s="9" t="str">
        <f ca="1">VLOOKUP(A395,[2]characters!$A:$M,13,FALSE)</f>
        <v>human</v>
      </c>
      <c r="N395" s="14" t="str">
        <f ca="1">VLOOKUP(M395,[2]character_tribe_i18n!$A:$F,3,FALSE)</f>
        <v>ヒューマン</v>
      </c>
      <c r="O395" s="24">
        <f ca="1">VLOOKUP(M395,[2]character_tribe_i18n!$A:$F,4,FALSE)</f>
        <v>0.94</v>
      </c>
      <c r="P395" s="24">
        <f ca="1">VLOOKUP(M395,[2]character_tribe_i18n!$A:$F,5,FALSE)</f>
        <v>0.99</v>
      </c>
      <c r="Q395" s="24">
        <f ca="1">VLOOKUP(M395,[2]character_tribe_i18n!$A:$F,6,FALSE)</f>
        <v>1</v>
      </c>
      <c r="R395" s="25" t="s">
        <v>98</v>
      </c>
      <c r="S395" s="24">
        <f>VLOOKUP($R395,ラベル別係数!$A$1:$E$7,3,FALSE)</f>
        <v>5</v>
      </c>
      <c r="T395" s="24">
        <f>VLOOKUP($R395,ラベル別係数!$A$1:$E$7,4,FALSE)</f>
        <v>1.3</v>
      </c>
      <c r="U395" s="24">
        <f>VLOOKUP($R395,ラベル別係数!$A$1:$E$7,5,FALSE)</f>
        <v>0.8</v>
      </c>
      <c r="V395" s="27">
        <v>3</v>
      </c>
      <c r="W395" s="28">
        <f>VLOOKUP(V395,ターン数別攻撃係数!$A$1:$B$1000,2,FALSE)</f>
        <v>1</v>
      </c>
      <c r="X395" s="9">
        <f ca="1">VLOOKUP(C395,サイズ別係数!A$2:B$8,2,FALSE)</f>
        <v>60</v>
      </c>
      <c r="Y395" s="26">
        <f ca="1">VLOOKUP($X395,サイズ別係数!$B:$E,2,FALSE)</f>
        <v>1.7</v>
      </c>
      <c r="Z395" s="26">
        <f ca="1">VLOOKUP($X395,サイズ別係数!$B:$E,3,FALSE)</f>
        <v>1.4</v>
      </c>
      <c r="AA395" s="26">
        <f ca="1">VLOOKUP($X395,サイズ別係数!$B:$E,4,FALSE)</f>
        <v>1</v>
      </c>
      <c r="AB395" s="5">
        <v>0</v>
      </c>
      <c r="AC395" s="34" t="str">
        <f ca="1">VLOOKUP($AB395,OFFSET([3]enemy_skill_sets!$B$2,0,0,COUNTA([3]enemy_skill_sets!$A:$A),MATCH(AC$1,[3]enemy_skill_sets!$1:$1,0)-MATCH($AB$1,[3]enemy_skill_sets!$1:$1,0)+1),MATCH(AC$1,[3]enemy_skill_sets!$1:$1,0)-MATCH($AB$1,[3]enemy_skill_sets!$1:$1,0)+1,FALSE)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5" s="67">
        <v>1</v>
      </c>
      <c r="AE395" s="67">
        <v>1</v>
      </c>
      <c r="AF395" s="37">
        <v>0</v>
      </c>
      <c r="AG395" s="28">
        <f ca="1">ROUND(VLOOKUP(1,enemy_base_stats!$A:$F,2,FALSE) * Y395* J395*O395*E395*S395*AD395*[2]ステータス!$B$2,0)</f>
        <v>4075</v>
      </c>
      <c r="AH395" s="28">
        <f ca="1">ROUND(VLOOKUP(1,enemy_base_stats!$A:$F,3,FALSE) * Z395*K395*P395*F395*T395*AE395 * W395*[2]ステータス!$C$2,0)</f>
        <v>352</v>
      </c>
      <c r="AI395" s="28">
        <f ca="1">ROUND(VLOOKUP(1,enemy_base_stats!$A:$F,4,FALSE) * AA395*L395*Q395*G395*U395*AF395*[2]ステータス!$D$2,0)</f>
        <v>0</v>
      </c>
      <c r="AJ395" s="28">
        <f ca="1">ROUND(VLOOKUP(100,enemy_base_stats!$A:$F,2,FALSE) * Y395* J395*O395*E395*S395*AD395*[2]ステータス!$B$2,0)</f>
        <v>165441</v>
      </c>
      <c r="AK395" s="28">
        <f ca="1">ROUND(VLOOKUP(100,enemy_base_stats!$A:$F,3,FALSE)* Z395* K395*P395*F395*T395*AE395 * W395*[2]ステータス!$C$2,0)</f>
        <v>14302</v>
      </c>
      <c r="AL395" s="28">
        <f ca="1">ROUND(VLOOKUP(100,enemy_base_stats!$A:$F,4,FALSE)* AA395* L395*Q395*G395*U395*AF395*[2]ステータス!$D$2,0)</f>
        <v>0</v>
      </c>
      <c r="AM395" s="24">
        <f ca="1">VLOOKUP(M395,[2]character_tribe_i18n!$A:$I,9,FALSE)</f>
        <v>400</v>
      </c>
      <c r="AN395" s="36">
        <v>0</v>
      </c>
      <c r="AO395" s="53">
        <v>0</v>
      </c>
      <c r="AP395" s="58" t="s">
        <v>72</v>
      </c>
      <c r="AQ395" s="71">
        <f t="shared" ca="1" si="14"/>
        <v>394</v>
      </c>
    </row>
    <row r="396" spans="1:43" ht="21" customHeight="1" x14ac:dyDescent="0.15">
      <c r="A396" s="7">
        <f t="shared" ca="1" si="13"/>
        <v>395</v>
      </c>
      <c r="B396" s="6" t="str">
        <f ca="1">VLOOKUP(A396,[2]characters!$A:$C,3,FALSE)</f>
        <v>乙姫</v>
      </c>
      <c r="C396" s="9">
        <f ca="1">VLOOKUP(A396,[2]characters!$A:$I,9,FALSE)</f>
        <v>3</v>
      </c>
      <c r="D396" s="9" t="str">
        <f ca="1">VLOOKUP(A396,[2]characters!$A:$H,8,FALSE)</f>
        <v>blue</v>
      </c>
      <c r="E396" s="24">
        <f ca="1">VLOOKUP(D396,[2]属性!$A:$E,2,FALSE)</f>
        <v>1</v>
      </c>
      <c r="F396" s="24">
        <f ca="1">VLOOKUP(D396,[2]属性!$A:$E,3,FALSE)</f>
        <v>0.98</v>
      </c>
      <c r="G396" s="24">
        <f ca="1">VLOOKUP(D396,[2]属性!$A:$F,4,FALSE)</f>
        <v>1</v>
      </c>
      <c r="H396" s="9" t="str">
        <f ca="1">VLOOKUP(A396,[2]characters!$A:$K,11,FALSE)</f>
        <v>hp</v>
      </c>
      <c r="I396" s="14" t="str">
        <f ca="1">VLOOKUP(H396,[2]character_type_i18n!$A:$F,3,FALSE)</f>
        <v>体力タイプ</v>
      </c>
      <c r="J396" s="36">
        <f ca="1">VLOOKUP(H396,[2]character_type_i18n!$A:$F,4,FALSE)</f>
        <v>1.45</v>
      </c>
      <c r="K396" s="36">
        <f ca="1">VLOOKUP(H396,[2]character_type_i18n!$A:$F,5,FALSE)</f>
        <v>0.85</v>
      </c>
      <c r="L396" s="36">
        <f ca="1">VLOOKUP(H396,[2]character_type_i18n!$A:$F,6,FALSE)</f>
        <v>1</v>
      </c>
      <c r="M396" s="9" t="str">
        <f ca="1">VLOOKUP(A396,[2]characters!$A:$M,13,FALSE)</f>
        <v>human</v>
      </c>
      <c r="N396" s="14" t="str">
        <f ca="1">VLOOKUP(M396,[2]character_tribe_i18n!$A:$F,3,FALSE)</f>
        <v>ヒューマン</v>
      </c>
      <c r="O396" s="24">
        <f ca="1">VLOOKUP(M396,[2]character_tribe_i18n!$A:$F,4,FALSE)</f>
        <v>0.94</v>
      </c>
      <c r="P396" s="24">
        <f ca="1">VLOOKUP(M396,[2]character_tribe_i18n!$A:$F,5,FALSE)</f>
        <v>0.99</v>
      </c>
      <c r="Q396" s="24">
        <f ca="1">VLOOKUP(M396,[2]character_tribe_i18n!$A:$F,6,FALSE)</f>
        <v>1</v>
      </c>
      <c r="R396" s="25" t="s">
        <v>135</v>
      </c>
      <c r="S396" s="24">
        <f>VLOOKUP($R396,ラベル別係数!$A$1:$E$7,3,FALSE)</f>
        <v>5</v>
      </c>
      <c r="T396" s="24">
        <f>VLOOKUP($R396,ラベル別係数!$A$1:$E$7,4,FALSE)</f>
        <v>1.3</v>
      </c>
      <c r="U396" s="24">
        <f>VLOOKUP($R396,ラベル別係数!$A$1:$E$7,5,FALSE)</f>
        <v>0.8</v>
      </c>
      <c r="V396" s="27">
        <v>3</v>
      </c>
      <c r="W396" s="28">
        <f>VLOOKUP(V396,ターン数別攻撃係数!$A$1:$B$1000,2,FALSE)</f>
        <v>1</v>
      </c>
      <c r="X396" s="9">
        <f ca="1">VLOOKUP(C396,サイズ別係数!A$2:B$8,2,FALSE)</f>
        <v>25</v>
      </c>
      <c r="Y396" s="26">
        <f ca="1">VLOOKUP($X396,サイズ別係数!$B:$E,2,FALSE)</f>
        <v>1.2</v>
      </c>
      <c r="Z396" s="26">
        <f ca="1">VLOOKUP($X396,サイズ別係数!$B:$E,3,FALSE)</f>
        <v>1.25</v>
      </c>
      <c r="AA396" s="26">
        <f ca="1">VLOOKUP($X396,サイズ別係数!$B:$E,4,FALSE)</f>
        <v>1.1499999999999999</v>
      </c>
      <c r="AB396" s="5">
        <v>0</v>
      </c>
      <c r="AC396" s="34" t="str">
        <f ca="1">VLOOKUP($AB396,OFFSET([3]enemy_skill_sets!$B$2,0,0,COUNTA([3]enemy_skill_sets!$A:$A),MATCH(AC$1,[3]enemy_skill_sets!$1:$1,0)-MATCH($AB$1,[3]enemy_skill_sets!$1:$1,0)+1),MATCH(AC$1,[3]enemy_skill_sets!$1:$1,0)-MATCH($AB$1,[3]enemy_skill_sets!$1:$1,0)+1,FALSE)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6" s="67">
        <v>1</v>
      </c>
      <c r="AE396" s="67">
        <v>1</v>
      </c>
      <c r="AF396" s="37">
        <v>0</v>
      </c>
      <c r="AG396" s="28">
        <f ca="1">ROUND(VLOOKUP(1,enemy_base_stats!$A:$F,2,FALSE) * Y396* J396*O396*E396*S396*AD396*[2]ステータス!$B$2,0)</f>
        <v>4089</v>
      </c>
      <c r="AH396" s="28">
        <f ca="1">ROUND(VLOOKUP(1,enemy_base_stats!$A:$F,3,FALSE) * Z396*K396*P396*F396*T396*AE396 * W396*[2]ステータス!$C$2,0)</f>
        <v>201</v>
      </c>
      <c r="AI396" s="28">
        <f ca="1">ROUND(VLOOKUP(1,enemy_base_stats!$A:$F,4,FALSE) * AA396*L396*Q396*G396*U396*AF396*[2]ステータス!$D$2,0)</f>
        <v>0</v>
      </c>
      <c r="AJ396" s="28">
        <f ca="1">ROUND(VLOOKUP(100,enemy_base_stats!$A:$F,2,FALSE) * Y396* J396*O396*E396*S396*AD396*[2]ステータス!$B$2,0)</f>
        <v>166013</v>
      </c>
      <c r="AK396" s="28">
        <f ca="1">ROUND(VLOOKUP(100,enemy_base_stats!$A:$F,3,FALSE)* Z396* K396*P396*F396*T396*AE396 * W396*[2]ステータス!$C$2,0)</f>
        <v>8161</v>
      </c>
      <c r="AL396" s="28">
        <f ca="1">ROUND(VLOOKUP(100,enemy_base_stats!$A:$F,4,FALSE)* AA396* L396*Q396*G396*U396*AF396*[2]ステータス!$D$2,0)</f>
        <v>0</v>
      </c>
      <c r="AM396" s="24">
        <f ca="1">VLOOKUP(M396,[2]character_tribe_i18n!$A:$I,9,FALSE)</f>
        <v>400</v>
      </c>
      <c r="AN396" s="36">
        <v>0</v>
      </c>
      <c r="AO396" s="53">
        <v>0</v>
      </c>
      <c r="AP396" s="58" t="s">
        <v>72</v>
      </c>
      <c r="AQ396" s="71">
        <f t="shared" ca="1" si="14"/>
        <v>395</v>
      </c>
    </row>
    <row r="397" spans="1:43" ht="21" customHeight="1" x14ac:dyDescent="0.15">
      <c r="A397" s="7">
        <f t="shared" ca="1" si="13"/>
        <v>396</v>
      </c>
      <c r="B397" s="6" t="str">
        <f ca="1">VLOOKUP(A397,[2]characters!$A:$C,3,FALSE)</f>
        <v>竜宮の水雷 乙姫</v>
      </c>
      <c r="C397" s="9">
        <f ca="1">VLOOKUP(A397,[2]characters!$A:$I,9,FALSE)</f>
        <v>4</v>
      </c>
      <c r="D397" s="9" t="str">
        <f ca="1">VLOOKUP(A397,[2]characters!$A:$H,8,FALSE)</f>
        <v>blue</v>
      </c>
      <c r="E397" s="24">
        <f ca="1">VLOOKUP(D397,[2]属性!$A:$E,2,FALSE)</f>
        <v>1</v>
      </c>
      <c r="F397" s="24">
        <f ca="1">VLOOKUP(D397,[2]属性!$A:$E,3,FALSE)</f>
        <v>0.98</v>
      </c>
      <c r="G397" s="24">
        <f ca="1">VLOOKUP(D397,[2]属性!$A:$F,4,FALSE)</f>
        <v>1</v>
      </c>
      <c r="H397" s="9" t="str">
        <f ca="1">VLOOKUP(A397,[2]characters!$A:$K,11,FALSE)</f>
        <v>hp</v>
      </c>
      <c r="I397" s="14" t="str">
        <f ca="1">VLOOKUP(H397,[2]character_type_i18n!$A:$F,3,FALSE)</f>
        <v>体力タイプ</v>
      </c>
      <c r="J397" s="36">
        <f ca="1">VLOOKUP(H397,[2]character_type_i18n!$A:$F,4,FALSE)</f>
        <v>1.45</v>
      </c>
      <c r="K397" s="36">
        <f ca="1">VLOOKUP(H397,[2]character_type_i18n!$A:$F,5,FALSE)</f>
        <v>0.85</v>
      </c>
      <c r="L397" s="36">
        <f ca="1">VLOOKUP(H397,[2]character_type_i18n!$A:$F,6,FALSE)</f>
        <v>1</v>
      </c>
      <c r="M397" s="9" t="str">
        <f ca="1">VLOOKUP(A397,[2]characters!$A:$M,13,FALSE)</f>
        <v>human</v>
      </c>
      <c r="N397" s="14" t="str">
        <f ca="1">VLOOKUP(M397,[2]character_tribe_i18n!$A:$F,3,FALSE)</f>
        <v>ヒューマン</v>
      </c>
      <c r="O397" s="24">
        <f ca="1">VLOOKUP(M397,[2]character_tribe_i18n!$A:$F,4,FALSE)</f>
        <v>0.94</v>
      </c>
      <c r="P397" s="24">
        <f ca="1">VLOOKUP(M397,[2]character_tribe_i18n!$A:$F,5,FALSE)</f>
        <v>0.99</v>
      </c>
      <c r="Q397" s="24">
        <f ca="1">VLOOKUP(M397,[2]character_tribe_i18n!$A:$F,6,FALSE)</f>
        <v>1</v>
      </c>
      <c r="R397" s="25" t="s">
        <v>98</v>
      </c>
      <c r="S397" s="24">
        <f>VLOOKUP($R397,ラベル別係数!$A$1:$E$7,3,FALSE)</f>
        <v>5</v>
      </c>
      <c r="T397" s="24">
        <f>VLOOKUP($R397,ラベル別係数!$A$1:$E$7,4,FALSE)</f>
        <v>1.3</v>
      </c>
      <c r="U397" s="24">
        <f>VLOOKUP($R397,ラベル別係数!$A$1:$E$7,5,FALSE)</f>
        <v>0.8</v>
      </c>
      <c r="V397" s="27">
        <v>3</v>
      </c>
      <c r="W397" s="28">
        <f>VLOOKUP(V397,ターン数別攻撃係数!$A$1:$B$1000,2,FALSE)</f>
        <v>1</v>
      </c>
      <c r="X397" s="9">
        <f ca="1">VLOOKUP(C397,サイズ別係数!A$2:B$8,2,FALSE)</f>
        <v>30</v>
      </c>
      <c r="Y397" s="26">
        <f ca="1">VLOOKUP($X397,サイズ別係数!$B:$E,2,FALSE)</f>
        <v>1.3</v>
      </c>
      <c r="Z397" s="26">
        <f ca="1">VLOOKUP($X397,サイズ別係数!$B:$E,3,FALSE)</f>
        <v>1.3</v>
      </c>
      <c r="AA397" s="26">
        <f ca="1">VLOOKUP($X397,サイズ別係数!$B:$E,4,FALSE)</f>
        <v>1.1000000000000001</v>
      </c>
      <c r="AB397" s="5">
        <v>0</v>
      </c>
      <c r="AC397" s="34" t="str">
        <f ca="1">VLOOKUP($AB397,OFFSET([3]enemy_skill_sets!$B$2,0,0,COUNTA([3]enemy_skill_sets!$A:$A),MATCH(AC$1,[3]enemy_skill_sets!$1:$1,0)-MATCH($AB$1,[3]enemy_skill_sets!$1:$1,0)+1),MATCH(AC$1,[3]enemy_skill_sets!$1:$1,0)-MATCH($AB$1,[3]enemy_skill_sets!$1:$1,0)+1,FALSE)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7" s="67">
        <v>1</v>
      </c>
      <c r="AE397" s="67">
        <v>1</v>
      </c>
      <c r="AF397" s="37">
        <v>0</v>
      </c>
      <c r="AG397" s="28">
        <f ca="1">ROUND(VLOOKUP(1,enemy_base_stats!$A:$F,2,FALSE) * Y397* J397*O397*E397*S397*AD397*[2]ステータス!$B$2,0)</f>
        <v>4430</v>
      </c>
      <c r="AH397" s="28">
        <f ca="1">ROUND(VLOOKUP(1,enemy_base_stats!$A:$F,3,FALSE) * Z397*K397*P397*F397*T397*AE397 * W397*[2]ステータス!$C$2,0)</f>
        <v>209</v>
      </c>
      <c r="AI397" s="28">
        <f ca="1">ROUND(VLOOKUP(1,enemy_base_stats!$A:$F,4,FALSE) * AA397*L397*Q397*G397*U397*AF397*[2]ステータス!$D$2,0)</f>
        <v>0</v>
      </c>
      <c r="AJ397" s="28">
        <f ca="1">ROUND(VLOOKUP(100,enemy_base_stats!$A:$F,2,FALSE) * Y397* J397*O397*E397*S397*AD397*[2]ステータス!$B$2,0)</f>
        <v>179848</v>
      </c>
      <c r="AK397" s="28">
        <f ca="1">ROUND(VLOOKUP(100,enemy_base_stats!$A:$F,3,FALSE)* Z397* K397*P397*F397*T397*AE397 * W397*[2]ステータス!$C$2,0)</f>
        <v>8488</v>
      </c>
      <c r="AL397" s="28">
        <f ca="1">ROUND(VLOOKUP(100,enemy_base_stats!$A:$F,4,FALSE)* AA397* L397*Q397*G397*U397*AF397*[2]ステータス!$D$2,0)</f>
        <v>0</v>
      </c>
      <c r="AM397" s="24">
        <f ca="1">VLOOKUP(M397,[2]character_tribe_i18n!$A:$I,9,FALSE)</f>
        <v>400</v>
      </c>
      <c r="AN397" s="36">
        <v>0</v>
      </c>
      <c r="AO397" s="53">
        <v>0</v>
      </c>
      <c r="AP397" s="58" t="s">
        <v>72</v>
      </c>
      <c r="AQ397" s="71">
        <f t="shared" ca="1" si="14"/>
        <v>396</v>
      </c>
    </row>
    <row r="398" spans="1:43" ht="21" customHeight="1" x14ac:dyDescent="0.15">
      <c r="A398" s="7">
        <f t="shared" ca="1" si="13"/>
        <v>397</v>
      </c>
      <c r="B398" s="6" t="str">
        <f ca="1">VLOOKUP(A398,[2]characters!$A:$C,3,FALSE)</f>
        <v>禁断の追箱 乙姫</v>
      </c>
      <c r="C398" s="9">
        <f ca="1">VLOOKUP(A398,[2]characters!$A:$I,9,FALSE)</f>
        <v>5</v>
      </c>
      <c r="D398" s="9" t="str">
        <f ca="1">VLOOKUP(A398,[2]characters!$A:$H,8,FALSE)</f>
        <v>blue</v>
      </c>
      <c r="E398" s="24">
        <f ca="1">VLOOKUP(D398,[2]属性!$A:$E,2,FALSE)</f>
        <v>1</v>
      </c>
      <c r="F398" s="24">
        <f ca="1">VLOOKUP(D398,[2]属性!$A:$E,3,FALSE)</f>
        <v>0.98</v>
      </c>
      <c r="G398" s="24">
        <f ca="1">VLOOKUP(D398,[2]属性!$A:$F,4,FALSE)</f>
        <v>1</v>
      </c>
      <c r="H398" s="9" t="str">
        <f ca="1">VLOOKUP(A398,[2]characters!$A:$K,11,FALSE)</f>
        <v>hp</v>
      </c>
      <c r="I398" s="14" t="str">
        <f ca="1">VLOOKUP(H398,[2]character_type_i18n!$A:$F,3,FALSE)</f>
        <v>体力タイプ</v>
      </c>
      <c r="J398" s="36">
        <f ca="1">VLOOKUP(H398,[2]character_type_i18n!$A:$F,4,FALSE)</f>
        <v>1.45</v>
      </c>
      <c r="K398" s="36">
        <f ca="1">VLOOKUP(H398,[2]character_type_i18n!$A:$F,5,FALSE)</f>
        <v>0.85</v>
      </c>
      <c r="L398" s="36">
        <f ca="1">VLOOKUP(H398,[2]character_type_i18n!$A:$F,6,FALSE)</f>
        <v>1</v>
      </c>
      <c r="M398" s="9" t="str">
        <f ca="1">VLOOKUP(A398,[2]characters!$A:$M,13,FALSE)</f>
        <v>human</v>
      </c>
      <c r="N398" s="14" t="str">
        <f ca="1">VLOOKUP(M398,[2]character_tribe_i18n!$A:$F,3,FALSE)</f>
        <v>ヒューマン</v>
      </c>
      <c r="O398" s="24">
        <f ca="1">VLOOKUP(M398,[2]character_tribe_i18n!$A:$F,4,FALSE)</f>
        <v>0.94</v>
      </c>
      <c r="P398" s="24">
        <f ca="1">VLOOKUP(M398,[2]character_tribe_i18n!$A:$F,5,FALSE)</f>
        <v>0.99</v>
      </c>
      <c r="Q398" s="24">
        <f ca="1">VLOOKUP(M398,[2]character_tribe_i18n!$A:$F,6,FALSE)</f>
        <v>1</v>
      </c>
      <c r="R398" s="25" t="s">
        <v>98</v>
      </c>
      <c r="S398" s="24">
        <f>VLOOKUP($R398,ラベル別係数!$A$1:$E$7,3,FALSE)</f>
        <v>5</v>
      </c>
      <c r="T398" s="24">
        <f>VLOOKUP($R398,ラベル別係数!$A$1:$E$7,4,FALSE)</f>
        <v>1.3</v>
      </c>
      <c r="U398" s="24">
        <f>VLOOKUP($R398,ラベル別係数!$A$1:$E$7,5,FALSE)</f>
        <v>0.8</v>
      </c>
      <c r="V398" s="27">
        <v>3</v>
      </c>
      <c r="W398" s="28">
        <f>VLOOKUP(V398,ターン数別攻撃係数!$A$1:$B$1000,2,FALSE)</f>
        <v>1</v>
      </c>
      <c r="X398" s="9">
        <f ca="1">VLOOKUP(C398,サイズ別係数!A$2:B$8,2,FALSE)</f>
        <v>60</v>
      </c>
      <c r="Y398" s="26">
        <f ca="1">VLOOKUP($X398,サイズ別係数!$B:$E,2,FALSE)</f>
        <v>1.7</v>
      </c>
      <c r="Z398" s="26">
        <f ca="1">VLOOKUP($X398,サイズ別係数!$B:$E,3,FALSE)</f>
        <v>1.4</v>
      </c>
      <c r="AA398" s="26">
        <f ca="1">VLOOKUP($X398,サイズ別係数!$B:$E,4,FALSE)</f>
        <v>1</v>
      </c>
      <c r="AB398" s="5">
        <v>0</v>
      </c>
      <c r="AC398" s="34" t="str">
        <f ca="1">VLOOKUP($AB398,OFFSET([3]enemy_skill_sets!$B$2,0,0,COUNTA([3]enemy_skill_sets!$A:$A),MATCH(AC$1,[3]enemy_skill_sets!$1:$1,0)-MATCH($AB$1,[3]enemy_skill_sets!$1:$1,0)+1),MATCH(AC$1,[3]enemy_skill_sets!$1:$1,0)-MATCH($AB$1,[3]enemy_skill_sets!$1:$1,0)+1,FALSE)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8" s="67">
        <v>1</v>
      </c>
      <c r="AE398" s="67">
        <v>1</v>
      </c>
      <c r="AF398" s="37">
        <v>0</v>
      </c>
      <c r="AG398" s="28">
        <f ca="1">ROUND(VLOOKUP(1,enemy_base_stats!$A:$F,2,FALSE) * Y398* J398*O398*E398*S398*AD398*[2]ステータス!$B$2,0)</f>
        <v>5793</v>
      </c>
      <c r="AH398" s="28">
        <f ca="1">ROUND(VLOOKUP(1,enemy_base_stats!$A:$F,3,FALSE) * Z398*K398*P398*F398*T398*AE398 * W398*[2]ステータス!$C$2,0)</f>
        <v>225</v>
      </c>
      <c r="AI398" s="28">
        <f ca="1">ROUND(VLOOKUP(1,enemy_base_stats!$A:$F,4,FALSE) * AA398*L398*Q398*G398*U398*AF398*[2]ステータス!$D$2,0)</f>
        <v>0</v>
      </c>
      <c r="AJ398" s="28">
        <f ca="1">ROUND(VLOOKUP(100,enemy_base_stats!$A:$F,2,FALSE) * Y398* J398*O398*E398*S398*AD398*[2]ステータス!$B$2,0)</f>
        <v>235186</v>
      </c>
      <c r="AK398" s="28">
        <f ca="1">ROUND(VLOOKUP(100,enemy_base_stats!$A:$F,3,FALSE)* Z398* K398*P398*F398*T398*AE398 * W398*[2]ステータス!$C$2,0)</f>
        <v>9140</v>
      </c>
      <c r="AL398" s="28">
        <f ca="1">ROUND(VLOOKUP(100,enemy_base_stats!$A:$F,4,FALSE)* AA398* L398*Q398*G398*U398*AF398*[2]ステータス!$D$2,0)</f>
        <v>0</v>
      </c>
      <c r="AM398" s="24">
        <f ca="1">VLOOKUP(M398,[2]character_tribe_i18n!$A:$I,9,FALSE)</f>
        <v>400</v>
      </c>
      <c r="AN398" s="36">
        <v>0</v>
      </c>
      <c r="AO398" s="53">
        <v>0</v>
      </c>
      <c r="AP398" s="58" t="s">
        <v>72</v>
      </c>
      <c r="AQ398" s="71">
        <f t="shared" ca="1" si="14"/>
        <v>397</v>
      </c>
    </row>
    <row r="399" spans="1:43" ht="21" customHeight="1" x14ac:dyDescent="0.15">
      <c r="A399" s="7">
        <f t="shared" ca="1" si="13"/>
        <v>398</v>
      </c>
      <c r="B399" s="6" t="str">
        <f ca="1">VLOOKUP(A399,[2]characters!$A:$C,3,FALSE)</f>
        <v>ヘンゼル＆グレーテル</v>
      </c>
      <c r="C399" s="9">
        <f ca="1">VLOOKUP(A399,[2]characters!$A:$I,9,FALSE)</f>
        <v>4</v>
      </c>
      <c r="D399" s="9" t="str">
        <f ca="1">VLOOKUP(A399,[2]characters!$A:$H,8,FALSE)</f>
        <v>yellow</v>
      </c>
      <c r="E399" s="24">
        <f ca="1">VLOOKUP(D399,[2]属性!$A:$E,2,FALSE)</f>
        <v>0.98</v>
      </c>
      <c r="F399" s="24">
        <f ca="1">VLOOKUP(D399,[2]属性!$A:$E,3,FALSE)</f>
        <v>1.01</v>
      </c>
      <c r="G399" s="24">
        <f ca="1">VLOOKUP(D399,[2]属性!$A:$F,4,FALSE)</f>
        <v>1</v>
      </c>
      <c r="H399" s="9" t="str">
        <f ca="1">VLOOKUP(A399,[2]characters!$A:$K,11,FALSE)</f>
        <v>balance</v>
      </c>
      <c r="I399" s="14" t="str">
        <f ca="1">VLOOKUP(H399,[2]character_type_i18n!$A:$F,3,FALSE)</f>
        <v>バランスタイプ</v>
      </c>
      <c r="J399" s="36">
        <f ca="1">VLOOKUP(H399,[2]character_type_i18n!$A:$F,4,FALSE)</f>
        <v>1</v>
      </c>
      <c r="K399" s="36">
        <f ca="1">VLOOKUP(H399,[2]character_type_i18n!$A:$F,5,FALSE)</f>
        <v>1</v>
      </c>
      <c r="L399" s="36">
        <f ca="1">VLOOKUP(H399,[2]character_type_i18n!$A:$F,6,FALSE)</f>
        <v>1</v>
      </c>
      <c r="M399" s="9" t="str">
        <f ca="1">VLOOKUP(A399,[2]characters!$A:$M,13,FALSE)</f>
        <v>human</v>
      </c>
      <c r="N399" s="14" t="str">
        <f ca="1">VLOOKUP(M399,[2]character_tribe_i18n!$A:$F,3,FALSE)</f>
        <v>ヒューマン</v>
      </c>
      <c r="O399" s="24">
        <f ca="1">VLOOKUP(M399,[2]character_tribe_i18n!$A:$F,4,FALSE)</f>
        <v>0.94</v>
      </c>
      <c r="P399" s="24">
        <f ca="1">VLOOKUP(M399,[2]character_tribe_i18n!$A:$F,5,FALSE)</f>
        <v>0.99</v>
      </c>
      <c r="Q399" s="24">
        <f ca="1">VLOOKUP(M399,[2]character_tribe_i18n!$A:$F,6,FALSE)</f>
        <v>1</v>
      </c>
      <c r="R399" s="25" t="s">
        <v>98</v>
      </c>
      <c r="S399" s="24">
        <f>VLOOKUP($R399,ラベル別係数!$A$1:$E$7,3,FALSE)</f>
        <v>5</v>
      </c>
      <c r="T399" s="24">
        <f>VLOOKUP($R399,ラベル別係数!$A$1:$E$7,4,FALSE)</f>
        <v>1.3</v>
      </c>
      <c r="U399" s="24">
        <f>VLOOKUP($R399,ラベル別係数!$A$1:$E$7,5,FALSE)</f>
        <v>0.8</v>
      </c>
      <c r="V399" s="27">
        <v>3</v>
      </c>
      <c r="W399" s="28">
        <f>VLOOKUP(V399,ターン数別攻撃係数!$A$1:$B$1000,2,FALSE)</f>
        <v>1</v>
      </c>
      <c r="X399" s="9">
        <f ca="1">VLOOKUP(C399,サイズ別係数!A$2:B$8,2,FALSE)</f>
        <v>30</v>
      </c>
      <c r="Y399" s="26">
        <f ca="1">VLOOKUP($X399,サイズ別係数!$B:$E,2,FALSE)</f>
        <v>1.3</v>
      </c>
      <c r="Z399" s="26">
        <f ca="1">VLOOKUP($X399,サイズ別係数!$B:$E,3,FALSE)</f>
        <v>1.3</v>
      </c>
      <c r="AA399" s="26">
        <f ca="1">VLOOKUP($X399,サイズ別係数!$B:$E,4,FALSE)</f>
        <v>1.1000000000000001</v>
      </c>
      <c r="AB399" s="5">
        <v>0</v>
      </c>
      <c r="AC399" s="34" t="str">
        <f ca="1">VLOOKUP($AB399,OFFSET([3]enemy_skill_sets!$B$2,0,0,COUNTA([3]enemy_skill_sets!$A:$A),MATCH(AC$1,[3]enemy_skill_sets!$1:$1,0)-MATCH($AB$1,[3]enemy_skill_sets!$1:$1,0)+1),MATCH(AC$1,[3]enemy_skill_sets!$1:$1,0)-MATCH($AB$1,[3]enemy_skill_sets!$1:$1,0)+1,FALSE)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399" s="67">
        <v>1</v>
      </c>
      <c r="AE399" s="67">
        <v>1</v>
      </c>
      <c r="AF399" s="37">
        <v>0</v>
      </c>
      <c r="AG399" s="28">
        <f ca="1">ROUND(VLOOKUP(1,enemy_base_stats!$A:$F,2,FALSE) * Y399* J399*O399*E399*S399*AD399*[2]ステータス!$B$2,0)</f>
        <v>2994</v>
      </c>
      <c r="AH399" s="28">
        <f ca="1">ROUND(VLOOKUP(1,enemy_base_stats!$A:$F,3,FALSE) * Z399*K399*P399*F399*T399*AE399 * W399*[2]ステータス!$C$2,0)</f>
        <v>253</v>
      </c>
      <c r="AI399" s="28">
        <f ca="1">ROUND(VLOOKUP(1,enemy_base_stats!$A:$F,4,FALSE) * AA399*L399*Q399*G399*U399*AF399*[2]ステータス!$D$2,0)</f>
        <v>0</v>
      </c>
      <c r="AJ399" s="28">
        <f ca="1">ROUND(VLOOKUP(100,enemy_base_stats!$A:$F,2,FALSE) * Y399* J399*O399*E399*S399*AD399*[2]ステータス!$B$2,0)</f>
        <v>121552</v>
      </c>
      <c r="AK399" s="28">
        <f ca="1">ROUND(VLOOKUP(100,enemy_base_stats!$A:$F,3,FALSE)* Z399* K399*P399*F399*T399*AE399 * W399*[2]ステータス!$C$2,0)</f>
        <v>10291</v>
      </c>
      <c r="AL399" s="28">
        <f ca="1">ROUND(VLOOKUP(100,enemy_base_stats!$A:$F,4,FALSE)* AA399* L399*Q399*G399*U399*AF399*[2]ステータス!$D$2,0)</f>
        <v>0</v>
      </c>
      <c r="AM399" s="24">
        <f ca="1">VLOOKUP(M399,[2]character_tribe_i18n!$A:$I,9,FALSE)</f>
        <v>400</v>
      </c>
      <c r="AN399" s="36">
        <v>0</v>
      </c>
      <c r="AO399" s="53">
        <v>0</v>
      </c>
      <c r="AP399" s="58" t="s">
        <v>72</v>
      </c>
      <c r="AQ399" s="71">
        <f t="shared" ca="1" si="14"/>
        <v>398</v>
      </c>
    </row>
    <row r="400" spans="1:43" ht="21" customHeight="1" x14ac:dyDescent="0.15">
      <c r="A400" s="7">
        <f t="shared" ca="1" si="13"/>
        <v>399</v>
      </c>
      <c r="B400" s="6" t="str">
        <f ca="1">VLOOKUP(A400,[2]characters!$A:$C,3,FALSE)</f>
        <v>信愛の兄妹 ヘンゼル＆グレーテル</v>
      </c>
      <c r="C400" s="9">
        <f ca="1">VLOOKUP(A400,[2]characters!$A:$I,9,FALSE)</f>
        <v>5</v>
      </c>
      <c r="D400" s="9" t="str">
        <f ca="1">VLOOKUP(A400,[2]characters!$A:$H,8,FALSE)</f>
        <v>yellow</v>
      </c>
      <c r="E400" s="24">
        <f ca="1">VLOOKUP(D400,[2]属性!$A:$E,2,FALSE)</f>
        <v>0.98</v>
      </c>
      <c r="F400" s="24">
        <f ca="1">VLOOKUP(D400,[2]属性!$A:$E,3,FALSE)</f>
        <v>1.01</v>
      </c>
      <c r="G400" s="24">
        <f ca="1">VLOOKUP(D400,[2]属性!$A:$F,4,FALSE)</f>
        <v>1</v>
      </c>
      <c r="H400" s="9" t="str">
        <f ca="1">VLOOKUP(A400,[2]characters!$A:$K,11,FALSE)</f>
        <v>balance</v>
      </c>
      <c r="I400" s="14" t="str">
        <f ca="1">VLOOKUP(H400,[2]character_type_i18n!$A:$F,3,FALSE)</f>
        <v>バランスタイプ</v>
      </c>
      <c r="J400" s="36">
        <f ca="1">VLOOKUP(H400,[2]character_type_i18n!$A:$F,4,FALSE)</f>
        <v>1</v>
      </c>
      <c r="K400" s="36">
        <f ca="1">VLOOKUP(H400,[2]character_type_i18n!$A:$F,5,FALSE)</f>
        <v>1</v>
      </c>
      <c r="L400" s="36">
        <f ca="1">VLOOKUP(H400,[2]character_type_i18n!$A:$F,6,FALSE)</f>
        <v>1</v>
      </c>
      <c r="M400" s="9" t="str">
        <f ca="1">VLOOKUP(A400,[2]characters!$A:$M,13,FALSE)</f>
        <v>human</v>
      </c>
      <c r="N400" s="14" t="str">
        <f ca="1">VLOOKUP(M400,[2]character_tribe_i18n!$A:$F,3,FALSE)</f>
        <v>ヒューマン</v>
      </c>
      <c r="O400" s="24">
        <f ca="1">VLOOKUP(M400,[2]character_tribe_i18n!$A:$F,4,FALSE)</f>
        <v>0.94</v>
      </c>
      <c r="P400" s="24">
        <f ca="1">VLOOKUP(M400,[2]character_tribe_i18n!$A:$F,5,FALSE)</f>
        <v>0.99</v>
      </c>
      <c r="Q400" s="24">
        <f ca="1">VLOOKUP(M400,[2]character_tribe_i18n!$A:$F,6,FALSE)</f>
        <v>1</v>
      </c>
      <c r="R400" s="25" t="s">
        <v>98</v>
      </c>
      <c r="S400" s="24">
        <f>VLOOKUP($R400,ラベル別係数!$A$1:$E$7,3,FALSE)</f>
        <v>5</v>
      </c>
      <c r="T400" s="24">
        <f>VLOOKUP($R400,ラベル別係数!$A$1:$E$7,4,FALSE)</f>
        <v>1.3</v>
      </c>
      <c r="U400" s="24">
        <f>VLOOKUP($R400,ラベル別係数!$A$1:$E$7,5,FALSE)</f>
        <v>0.8</v>
      </c>
      <c r="V400" s="27">
        <v>3</v>
      </c>
      <c r="W400" s="28">
        <f>VLOOKUP(V400,ターン数別攻撃係数!$A$1:$B$1000,2,FALSE)</f>
        <v>1</v>
      </c>
      <c r="X400" s="9">
        <f ca="1">VLOOKUP(C400,サイズ別係数!A$2:B$8,2,FALSE)</f>
        <v>60</v>
      </c>
      <c r="Y400" s="26">
        <f ca="1">VLOOKUP($X400,サイズ別係数!$B:$E,2,FALSE)</f>
        <v>1.7</v>
      </c>
      <c r="Z400" s="26">
        <f ca="1">VLOOKUP($X400,サイズ別係数!$B:$E,3,FALSE)</f>
        <v>1.4</v>
      </c>
      <c r="AA400" s="26">
        <f ca="1">VLOOKUP($X400,サイズ別係数!$B:$E,4,FALSE)</f>
        <v>1</v>
      </c>
      <c r="AB400" s="5">
        <v>0</v>
      </c>
      <c r="AC400" s="34" t="str">
        <f ca="1">VLOOKUP($AB400,OFFSET([3]enemy_skill_sets!$B$2,0,0,COUNTA([3]enemy_skill_sets!$A:$A),MATCH(AC$1,[3]enemy_skill_sets!$1:$1,0)-MATCH($AB$1,[3]enemy_skill_sets!$1:$1,0)+1),MATCH(AC$1,[3]enemy_skill_sets!$1:$1,0)-MATCH($AB$1,[3]enemy_skill_sets!$1:$1,0)+1,FALSE)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0" s="67">
        <v>1</v>
      </c>
      <c r="AE400" s="67">
        <v>1</v>
      </c>
      <c r="AF400" s="37">
        <v>0</v>
      </c>
      <c r="AG400" s="28">
        <f ca="1">ROUND(VLOOKUP(1,enemy_base_stats!$A:$F,2,FALSE) * Y400* J400*O400*E400*S400*AD400*[2]ステータス!$B$2,0)</f>
        <v>3915</v>
      </c>
      <c r="AH400" s="28">
        <f ca="1">ROUND(VLOOKUP(1,enemy_base_stats!$A:$F,3,FALSE) * Z400*K400*P400*F400*T400*AE400 * W400*[2]ステータス!$C$2,0)</f>
        <v>273</v>
      </c>
      <c r="AI400" s="28">
        <f ca="1">ROUND(VLOOKUP(1,enemy_base_stats!$A:$F,4,FALSE) * AA400*L400*Q400*G400*U400*AF400*[2]ステータス!$D$2,0)</f>
        <v>0</v>
      </c>
      <c r="AJ400" s="28">
        <f ca="1">ROUND(VLOOKUP(100,enemy_base_stats!$A:$F,2,FALSE) * Y400* J400*O400*E400*S400*AD400*[2]ステータス!$B$2,0)</f>
        <v>158953</v>
      </c>
      <c r="AK400" s="28">
        <f ca="1">ROUND(VLOOKUP(100,enemy_base_stats!$A:$F,3,FALSE)* Z400* K400*P400*F400*T400*AE400 * W400*[2]ステータス!$C$2,0)</f>
        <v>11083</v>
      </c>
      <c r="AL400" s="28">
        <f ca="1">ROUND(VLOOKUP(100,enemy_base_stats!$A:$F,4,FALSE)* AA400* L400*Q400*G400*U400*AF400*[2]ステータス!$D$2,0)</f>
        <v>0</v>
      </c>
      <c r="AM400" s="24">
        <f ca="1">VLOOKUP(M400,[2]character_tribe_i18n!$A:$I,9,FALSE)</f>
        <v>400</v>
      </c>
      <c r="AN400" s="36">
        <v>0</v>
      </c>
      <c r="AO400" s="53">
        <v>0</v>
      </c>
      <c r="AP400" s="58" t="s">
        <v>72</v>
      </c>
      <c r="AQ400" s="71">
        <f t="shared" ca="1" si="14"/>
        <v>399</v>
      </c>
    </row>
    <row r="401" spans="1:43" ht="21" customHeight="1" x14ac:dyDescent="0.15">
      <c r="A401" s="7">
        <f t="shared" ca="1" si="13"/>
        <v>400</v>
      </c>
      <c r="B401" s="6" t="str">
        <f ca="1">VLOOKUP(A401,[2]characters!$A:$C,3,FALSE)</f>
        <v>フェンリル</v>
      </c>
      <c r="C401" s="9">
        <f ca="1">VLOOKUP(A401,[2]characters!$A:$I,9,FALSE)</f>
        <v>3</v>
      </c>
      <c r="D401" s="9" t="str">
        <f ca="1">VLOOKUP(A401,[2]characters!$A:$H,8,FALSE)</f>
        <v>red</v>
      </c>
      <c r="E401" s="24">
        <f ca="1">VLOOKUP(D401,[2]属性!$A:$E,2,FALSE)</f>
        <v>1</v>
      </c>
      <c r="F401" s="24">
        <f ca="1">VLOOKUP(D401,[2]属性!$A:$E,3,FALSE)</f>
        <v>1.02</v>
      </c>
      <c r="G401" s="24">
        <f ca="1">VLOOKUP(D401,[2]属性!$A:$F,4,FALSE)</f>
        <v>1</v>
      </c>
      <c r="H401" s="9" t="str">
        <f ca="1">VLOOKUP(A401,[2]characters!$A:$K,11,FALSE)</f>
        <v>attack</v>
      </c>
      <c r="I401" s="14" t="str">
        <f ca="1">VLOOKUP(H401,[2]character_type_i18n!$A:$F,3,FALSE)</f>
        <v>攻撃タイプ</v>
      </c>
      <c r="J401" s="36">
        <f ca="1">VLOOKUP(H401,[2]character_type_i18n!$A:$F,4,FALSE)</f>
        <v>1</v>
      </c>
      <c r="K401" s="36">
        <f ca="1">VLOOKUP(H401,[2]character_type_i18n!$A:$F,5,FALSE)</f>
        <v>1.33</v>
      </c>
      <c r="L401" s="36">
        <f ca="1">VLOOKUP(H401,[2]character_type_i18n!$A:$F,6,FALSE)</f>
        <v>1</v>
      </c>
      <c r="M401" s="9" t="str">
        <f ca="1">VLOOKUP(A401,[2]characters!$A:$M,13,FALSE)</f>
        <v>animal</v>
      </c>
      <c r="N401" s="14" t="str">
        <f ca="1">VLOOKUP(M401,[2]character_tribe_i18n!$A:$F,3,FALSE)</f>
        <v>アニマル</v>
      </c>
      <c r="O401" s="24">
        <f ca="1">VLOOKUP(M401,[2]character_tribe_i18n!$A:$F,4,FALSE)</f>
        <v>1</v>
      </c>
      <c r="P401" s="24">
        <f ca="1">VLOOKUP(M401,[2]character_tribe_i18n!$A:$F,5,FALSE)</f>
        <v>1.1000000000000001</v>
      </c>
      <c r="Q401" s="24">
        <f ca="1">VLOOKUP(M401,[2]character_tribe_i18n!$A:$F,6,FALSE)</f>
        <v>1</v>
      </c>
      <c r="R401" s="25" t="s">
        <v>98</v>
      </c>
      <c r="S401" s="24">
        <f>VLOOKUP($R401,ラベル別係数!$A$1:$E$7,3,FALSE)</f>
        <v>5</v>
      </c>
      <c r="T401" s="24">
        <f>VLOOKUP($R401,ラベル別係数!$A$1:$E$7,4,FALSE)</f>
        <v>1.3</v>
      </c>
      <c r="U401" s="24">
        <f>VLOOKUP($R401,ラベル別係数!$A$1:$E$7,5,FALSE)</f>
        <v>0.8</v>
      </c>
      <c r="V401" s="27">
        <v>3</v>
      </c>
      <c r="W401" s="28">
        <f>VLOOKUP(V401,ターン数別攻撃係数!$A$1:$B$1000,2,FALSE)</f>
        <v>1</v>
      </c>
      <c r="X401" s="9">
        <f ca="1">VLOOKUP(C401,サイズ別係数!A$2:B$8,2,FALSE)</f>
        <v>25</v>
      </c>
      <c r="Y401" s="26">
        <f ca="1">VLOOKUP($X401,サイズ別係数!$B:$E,2,FALSE)</f>
        <v>1.2</v>
      </c>
      <c r="Z401" s="26">
        <f ca="1">VLOOKUP($X401,サイズ別係数!$B:$E,3,FALSE)</f>
        <v>1.25</v>
      </c>
      <c r="AA401" s="26">
        <f ca="1">VLOOKUP($X401,サイズ別係数!$B:$E,4,FALSE)</f>
        <v>1.1499999999999999</v>
      </c>
      <c r="AB401" s="5">
        <v>0</v>
      </c>
      <c r="AC401" s="34" t="str">
        <f ca="1">VLOOKUP($AB401,OFFSET([3]enemy_skill_sets!$B$2,0,0,COUNTA([3]enemy_skill_sets!$A:$A),MATCH(AC$1,[3]enemy_skill_sets!$1:$1,0)-MATCH($AB$1,[3]enemy_skill_sets!$1:$1,0)+1),MATCH(AC$1,[3]enemy_skill_sets!$1:$1,0)-MATCH($AB$1,[3]enemy_skill_sets!$1:$1,0)+1,FALSE)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1" s="67">
        <v>1</v>
      </c>
      <c r="AE401" s="67">
        <v>1</v>
      </c>
      <c r="AF401" s="37">
        <v>0</v>
      </c>
      <c r="AG401" s="28">
        <f ca="1">ROUND(VLOOKUP(1,enemy_base_stats!$A:$F,2,FALSE) * Y401* J401*O401*E401*S401*AD401*[2]ステータス!$B$2,0)</f>
        <v>3000</v>
      </c>
      <c r="AH401" s="28">
        <f ca="1">ROUND(VLOOKUP(1,enemy_base_stats!$A:$F,3,FALSE) * Z401*K401*P401*F401*T401*AE401 * W401*[2]ステータス!$C$2,0)</f>
        <v>364</v>
      </c>
      <c r="AI401" s="28">
        <f ca="1">ROUND(VLOOKUP(1,enemy_base_stats!$A:$F,4,FALSE) * AA401*L401*Q401*G401*U401*AF401*[2]ステータス!$D$2,0)</f>
        <v>0</v>
      </c>
      <c r="AJ401" s="28">
        <f ca="1">ROUND(VLOOKUP(100,enemy_base_stats!$A:$F,2,FALSE) * Y401* J401*O401*E401*S401*AD401*[2]ステータス!$B$2,0)</f>
        <v>121800</v>
      </c>
      <c r="AK401" s="28">
        <f ca="1">ROUND(VLOOKUP(100,enemy_base_stats!$A:$F,3,FALSE)* Z401* K401*P401*F401*T401*AE401 * W401*[2]ステータス!$C$2,0)</f>
        <v>14768</v>
      </c>
      <c r="AL401" s="28">
        <f ca="1">ROUND(VLOOKUP(100,enemy_base_stats!$A:$F,4,FALSE)* AA401* L401*Q401*G401*U401*AF401*[2]ステータス!$D$2,0)</f>
        <v>0</v>
      </c>
      <c r="AM401" s="24">
        <f ca="1">VLOOKUP(M401,[2]character_tribe_i18n!$A:$I,9,FALSE)</f>
        <v>480</v>
      </c>
      <c r="AN401" s="36">
        <v>0</v>
      </c>
      <c r="AO401" s="53">
        <v>0</v>
      </c>
      <c r="AP401" s="58" t="s">
        <v>72</v>
      </c>
      <c r="AQ401" s="71">
        <f t="shared" ca="1" si="14"/>
        <v>400</v>
      </c>
    </row>
    <row r="402" spans="1:43" ht="21" customHeight="1" x14ac:dyDescent="0.15">
      <c r="A402" s="7">
        <f t="shared" ca="1" si="13"/>
        <v>401</v>
      </c>
      <c r="B402" s="6" t="str">
        <f ca="1">VLOOKUP(A402,[2]characters!$A:$C,3,FALSE)</f>
        <v>紅銀の孤狼 フェンリル</v>
      </c>
      <c r="C402" s="9">
        <f ca="1">VLOOKUP(A402,[2]characters!$A:$I,9,FALSE)</f>
        <v>4</v>
      </c>
      <c r="D402" s="9" t="str">
        <f ca="1">VLOOKUP(A402,[2]characters!$A:$H,8,FALSE)</f>
        <v>red</v>
      </c>
      <c r="E402" s="24">
        <f ca="1">VLOOKUP(D402,[2]属性!$A:$E,2,FALSE)</f>
        <v>1</v>
      </c>
      <c r="F402" s="24">
        <f ca="1">VLOOKUP(D402,[2]属性!$A:$E,3,FALSE)</f>
        <v>1.02</v>
      </c>
      <c r="G402" s="24">
        <f ca="1">VLOOKUP(D402,[2]属性!$A:$F,4,FALSE)</f>
        <v>1</v>
      </c>
      <c r="H402" s="9" t="str">
        <f ca="1">VLOOKUP(A402,[2]characters!$A:$K,11,FALSE)</f>
        <v>attack</v>
      </c>
      <c r="I402" s="14" t="str">
        <f ca="1">VLOOKUP(H402,[2]character_type_i18n!$A:$F,3,FALSE)</f>
        <v>攻撃タイプ</v>
      </c>
      <c r="J402" s="36">
        <f ca="1">VLOOKUP(H402,[2]character_type_i18n!$A:$F,4,FALSE)</f>
        <v>1</v>
      </c>
      <c r="K402" s="36">
        <f ca="1">VLOOKUP(H402,[2]character_type_i18n!$A:$F,5,FALSE)</f>
        <v>1.33</v>
      </c>
      <c r="L402" s="36">
        <f ca="1">VLOOKUP(H402,[2]character_type_i18n!$A:$F,6,FALSE)</f>
        <v>1</v>
      </c>
      <c r="M402" s="9" t="str">
        <f ca="1">VLOOKUP(A402,[2]characters!$A:$M,13,FALSE)</f>
        <v>animal</v>
      </c>
      <c r="N402" s="14" t="str">
        <f ca="1">VLOOKUP(M402,[2]character_tribe_i18n!$A:$F,3,FALSE)</f>
        <v>アニマル</v>
      </c>
      <c r="O402" s="24">
        <f ca="1">VLOOKUP(M402,[2]character_tribe_i18n!$A:$F,4,FALSE)</f>
        <v>1</v>
      </c>
      <c r="P402" s="24">
        <f ca="1">VLOOKUP(M402,[2]character_tribe_i18n!$A:$F,5,FALSE)</f>
        <v>1.1000000000000001</v>
      </c>
      <c r="Q402" s="24">
        <f ca="1">VLOOKUP(M402,[2]character_tribe_i18n!$A:$F,6,FALSE)</f>
        <v>1</v>
      </c>
      <c r="R402" s="25" t="s">
        <v>98</v>
      </c>
      <c r="S402" s="24">
        <f>VLOOKUP($R402,ラベル別係数!$A$1:$E$7,3,FALSE)</f>
        <v>5</v>
      </c>
      <c r="T402" s="24">
        <f>VLOOKUP($R402,ラベル別係数!$A$1:$E$7,4,FALSE)</f>
        <v>1.3</v>
      </c>
      <c r="U402" s="24">
        <f>VLOOKUP($R402,ラベル別係数!$A$1:$E$7,5,FALSE)</f>
        <v>0.8</v>
      </c>
      <c r="V402" s="27">
        <v>3</v>
      </c>
      <c r="W402" s="28">
        <f>VLOOKUP(V402,ターン数別攻撃係数!$A$1:$B$1000,2,FALSE)</f>
        <v>1</v>
      </c>
      <c r="X402" s="9">
        <f ca="1">VLOOKUP(C402,サイズ別係数!A$2:B$8,2,FALSE)</f>
        <v>30</v>
      </c>
      <c r="Y402" s="26">
        <f ca="1">VLOOKUP($X402,サイズ別係数!$B:$E,2,FALSE)</f>
        <v>1.3</v>
      </c>
      <c r="Z402" s="26">
        <f ca="1">VLOOKUP($X402,サイズ別係数!$B:$E,3,FALSE)</f>
        <v>1.3</v>
      </c>
      <c r="AA402" s="26">
        <f ca="1">VLOOKUP($X402,サイズ別係数!$B:$E,4,FALSE)</f>
        <v>1.1000000000000001</v>
      </c>
      <c r="AB402" s="5">
        <v>0</v>
      </c>
      <c r="AC402" s="34" t="str">
        <f ca="1">VLOOKUP($AB402,OFFSET([3]enemy_skill_sets!$B$2,0,0,COUNTA([3]enemy_skill_sets!$A:$A),MATCH(AC$1,[3]enemy_skill_sets!$1:$1,0)-MATCH($AB$1,[3]enemy_skill_sets!$1:$1,0)+1),MATCH(AC$1,[3]enemy_skill_sets!$1:$1,0)-MATCH($AB$1,[3]enemy_skill_sets!$1:$1,0)+1,FALSE)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2" s="67">
        <v>1</v>
      </c>
      <c r="AE402" s="67">
        <v>1</v>
      </c>
      <c r="AF402" s="37">
        <v>0</v>
      </c>
      <c r="AG402" s="28">
        <f ca="1">ROUND(VLOOKUP(1,enemy_base_stats!$A:$F,2,FALSE) * Y402* J402*O402*E402*S402*AD402*[2]ステータス!$B$2,0)</f>
        <v>3250</v>
      </c>
      <c r="AH402" s="28">
        <f ca="1">ROUND(VLOOKUP(1,enemy_base_stats!$A:$F,3,FALSE) * Z402*K402*P402*F402*T402*AE402 * W402*[2]ステータス!$C$2,0)</f>
        <v>378</v>
      </c>
      <c r="AI402" s="28">
        <f ca="1">ROUND(VLOOKUP(1,enemy_base_stats!$A:$F,4,FALSE) * AA402*L402*Q402*G402*U402*AF402*[2]ステータス!$D$2,0)</f>
        <v>0</v>
      </c>
      <c r="AJ402" s="28">
        <f ca="1">ROUND(VLOOKUP(100,enemy_base_stats!$A:$F,2,FALSE) * Y402* J402*O402*E402*S402*AD402*[2]ステータス!$B$2,0)</f>
        <v>131950</v>
      </c>
      <c r="AK402" s="28">
        <f ca="1">ROUND(VLOOKUP(100,enemy_base_stats!$A:$F,3,FALSE)* Z402* K402*P402*F402*T402*AE402 * W402*[2]ステータス!$C$2,0)</f>
        <v>15358</v>
      </c>
      <c r="AL402" s="28">
        <f ca="1">ROUND(VLOOKUP(100,enemy_base_stats!$A:$F,4,FALSE)* AA402* L402*Q402*G402*U402*AF402*[2]ステータス!$D$2,0)</f>
        <v>0</v>
      </c>
      <c r="AM402" s="24">
        <f ca="1">VLOOKUP(M402,[2]character_tribe_i18n!$A:$I,9,FALSE)</f>
        <v>480</v>
      </c>
      <c r="AN402" s="36">
        <v>0</v>
      </c>
      <c r="AO402" s="53">
        <v>0</v>
      </c>
      <c r="AP402" s="58" t="s">
        <v>72</v>
      </c>
      <c r="AQ402" s="71">
        <f t="shared" ca="1" si="14"/>
        <v>401</v>
      </c>
    </row>
    <row r="403" spans="1:43" ht="21" customHeight="1" x14ac:dyDescent="0.15">
      <c r="A403" s="7">
        <f t="shared" ca="1" si="13"/>
        <v>402</v>
      </c>
      <c r="B403" s="6" t="str">
        <f ca="1">VLOOKUP(A403,[2]characters!$A:$C,3,FALSE)</f>
        <v>天災の神狼 フェンリル</v>
      </c>
      <c r="C403" s="9">
        <f ca="1">VLOOKUP(A403,[2]characters!$A:$I,9,FALSE)</f>
        <v>5</v>
      </c>
      <c r="D403" s="9" t="str">
        <f ca="1">VLOOKUP(A403,[2]characters!$A:$H,8,FALSE)</f>
        <v>red</v>
      </c>
      <c r="E403" s="24">
        <f ca="1">VLOOKUP(D403,[2]属性!$A:$E,2,FALSE)</f>
        <v>1</v>
      </c>
      <c r="F403" s="24">
        <f ca="1">VLOOKUP(D403,[2]属性!$A:$E,3,FALSE)</f>
        <v>1.02</v>
      </c>
      <c r="G403" s="24">
        <f ca="1">VLOOKUP(D403,[2]属性!$A:$F,4,FALSE)</f>
        <v>1</v>
      </c>
      <c r="H403" s="9" t="str">
        <f ca="1">VLOOKUP(A403,[2]characters!$A:$K,11,FALSE)</f>
        <v>attack</v>
      </c>
      <c r="I403" s="14" t="str">
        <f ca="1">VLOOKUP(H403,[2]character_type_i18n!$A:$F,3,FALSE)</f>
        <v>攻撃タイプ</v>
      </c>
      <c r="J403" s="36">
        <f ca="1">VLOOKUP(H403,[2]character_type_i18n!$A:$F,4,FALSE)</f>
        <v>1</v>
      </c>
      <c r="K403" s="36">
        <f ca="1">VLOOKUP(H403,[2]character_type_i18n!$A:$F,5,FALSE)</f>
        <v>1.33</v>
      </c>
      <c r="L403" s="36">
        <f ca="1">VLOOKUP(H403,[2]character_type_i18n!$A:$F,6,FALSE)</f>
        <v>1</v>
      </c>
      <c r="M403" s="9" t="str">
        <f ca="1">VLOOKUP(A403,[2]characters!$A:$M,13,FALSE)</f>
        <v>animal</v>
      </c>
      <c r="N403" s="14" t="str">
        <f ca="1">VLOOKUP(M403,[2]character_tribe_i18n!$A:$F,3,FALSE)</f>
        <v>アニマル</v>
      </c>
      <c r="O403" s="24">
        <f ca="1">VLOOKUP(M403,[2]character_tribe_i18n!$A:$F,4,FALSE)</f>
        <v>1</v>
      </c>
      <c r="P403" s="24">
        <f ca="1">VLOOKUP(M403,[2]character_tribe_i18n!$A:$F,5,FALSE)</f>
        <v>1.1000000000000001</v>
      </c>
      <c r="Q403" s="24">
        <f ca="1">VLOOKUP(M403,[2]character_tribe_i18n!$A:$F,6,FALSE)</f>
        <v>1</v>
      </c>
      <c r="R403" s="25" t="s">
        <v>98</v>
      </c>
      <c r="S403" s="24">
        <f>VLOOKUP($R403,ラベル別係数!$A$1:$E$7,3,FALSE)</f>
        <v>5</v>
      </c>
      <c r="T403" s="24">
        <f>VLOOKUP($R403,ラベル別係数!$A$1:$E$7,4,FALSE)</f>
        <v>1.3</v>
      </c>
      <c r="U403" s="24">
        <f>VLOOKUP($R403,ラベル別係数!$A$1:$E$7,5,FALSE)</f>
        <v>0.8</v>
      </c>
      <c r="V403" s="27">
        <v>3</v>
      </c>
      <c r="W403" s="28">
        <f>VLOOKUP(V403,ターン数別攻撃係数!$A$1:$B$1000,2,FALSE)</f>
        <v>1</v>
      </c>
      <c r="X403" s="9">
        <f ca="1">VLOOKUP(C403,サイズ別係数!A$2:B$8,2,FALSE)</f>
        <v>60</v>
      </c>
      <c r="Y403" s="26">
        <f ca="1">VLOOKUP($X403,サイズ別係数!$B:$E,2,FALSE)</f>
        <v>1.7</v>
      </c>
      <c r="Z403" s="26">
        <f ca="1">VLOOKUP($X403,サイズ別係数!$B:$E,3,FALSE)</f>
        <v>1.4</v>
      </c>
      <c r="AA403" s="26">
        <f ca="1">VLOOKUP($X403,サイズ別係数!$B:$E,4,FALSE)</f>
        <v>1</v>
      </c>
      <c r="AB403" s="5">
        <v>0</v>
      </c>
      <c r="AC403" s="34" t="str">
        <f ca="1">VLOOKUP($AB403,OFFSET([3]enemy_skill_sets!$B$2,0,0,COUNTA([3]enemy_skill_sets!$A:$A),MATCH(AC$1,[3]enemy_skill_sets!$1:$1,0)-MATCH($AB$1,[3]enemy_skill_sets!$1:$1,0)+1),MATCH(AC$1,[3]enemy_skill_sets!$1:$1,0)-MATCH($AB$1,[3]enemy_skill_sets!$1:$1,0)+1,FALSE)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3" s="67">
        <v>1</v>
      </c>
      <c r="AE403" s="67">
        <v>1</v>
      </c>
      <c r="AF403" s="37">
        <v>0</v>
      </c>
      <c r="AG403" s="28">
        <f ca="1">ROUND(VLOOKUP(1,enemy_base_stats!$A:$F,2,FALSE) * Y403* J403*O403*E403*S403*AD403*[2]ステータス!$B$2,0)</f>
        <v>4250</v>
      </c>
      <c r="AH403" s="28">
        <f ca="1">ROUND(VLOOKUP(1,enemy_base_stats!$A:$F,3,FALSE) * Z403*K403*P403*F403*T403*AE403 * W403*[2]ステータス!$C$2,0)</f>
        <v>407</v>
      </c>
      <c r="AI403" s="28">
        <f ca="1">ROUND(VLOOKUP(1,enemy_base_stats!$A:$F,4,FALSE) * AA403*L403*Q403*G403*U403*AF403*[2]ステータス!$D$2,0)</f>
        <v>0</v>
      </c>
      <c r="AJ403" s="28">
        <f ca="1">ROUND(VLOOKUP(100,enemy_base_stats!$A:$F,2,FALSE) * Y403* J403*O403*E403*S403*AD403*[2]ステータス!$B$2,0)</f>
        <v>172550</v>
      </c>
      <c r="AK403" s="28">
        <f ca="1">ROUND(VLOOKUP(100,enemy_base_stats!$A:$F,3,FALSE)* Z403* K403*P403*F403*T403*AE403 * W403*[2]ステータス!$C$2,0)</f>
        <v>16540</v>
      </c>
      <c r="AL403" s="28">
        <f ca="1">ROUND(VLOOKUP(100,enemy_base_stats!$A:$F,4,FALSE)* AA403* L403*Q403*G403*U403*AF403*[2]ステータス!$D$2,0)</f>
        <v>0</v>
      </c>
      <c r="AM403" s="24">
        <f ca="1">VLOOKUP(M403,[2]character_tribe_i18n!$A:$I,9,FALSE)</f>
        <v>480</v>
      </c>
      <c r="AN403" s="36">
        <v>0</v>
      </c>
      <c r="AO403" s="53">
        <v>0</v>
      </c>
      <c r="AP403" s="58" t="s">
        <v>72</v>
      </c>
      <c r="AQ403" s="71">
        <f t="shared" ca="1" si="14"/>
        <v>402</v>
      </c>
    </row>
    <row r="404" spans="1:43" ht="21" customHeight="1" x14ac:dyDescent="0.15">
      <c r="A404" s="7">
        <f t="shared" ca="1" si="13"/>
        <v>403</v>
      </c>
      <c r="B404" s="6" t="str">
        <f ca="1">VLOOKUP(A404,[2]characters!$A:$C,3,FALSE)</f>
        <v>静撃の翠眼 八咫烏</v>
      </c>
      <c r="C404" s="9">
        <f ca="1">VLOOKUP(A404,[2]characters!$A:$I,9,FALSE)</f>
        <v>4</v>
      </c>
      <c r="D404" s="9" t="str">
        <f ca="1">VLOOKUP(A404,[2]characters!$A:$H,8,FALSE)</f>
        <v>green</v>
      </c>
      <c r="E404" s="24">
        <f ca="1">VLOOKUP(D404,[2]属性!$A:$E,2,FALSE)</f>
        <v>1.02</v>
      </c>
      <c r="F404" s="24">
        <f ca="1">VLOOKUP(D404,[2]属性!$A:$E,3,FALSE)</f>
        <v>0.98</v>
      </c>
      <c r="G404" s="24">
        <f ca="1">VLOOKUP(D404,[2]属性!$A:$F,4,FALSE)</f>
        <v>1</v>
      </c>
      <c r="H404" s="9" t="str">
        <f ca="1">VLOOKUP(A404,[2]characters!$A:$K,11,FALSE)</f>
        <v>balance</v>
      </c>
      <c r="I404" s="14" t="str">
        <f ca="1">VLOOKUP(H404,[2]character_type_i18n!$A:$F,3,FALSE)</f>
        <v>バランスタイプ</v>
      </c>
      <c r="J404" s="36">
        <f ca="1">VLOOKUP(H404,[2]character_type_i18n!$A:$F,4,FALSE)</f>
        <v>1</v>
      </c>
      <c r="K404" s="36">
        <f ca="1">VLOOKUP(H404,[2]character_type_i18n!$A:$F,5,FALSE)</f>
        <v>1</v>
      </c>
      <c r="L404" s="36">
        <f ca="1">VLOOKUP(H404,[2]character_type_i18n!$A:$F,6,FALSE)</f>
        <v>1</v>
      </c>
      <c r="M404" s="9" t="str">
        <f ca="1">VLOOKUP(A404,[2]characters!$A:$M,13,FALSE)</f>
        <v>animal</v>
      </c>
      <c r="N404" s="14" t="str">
        <f ca="1">VLOOKUP(M404,[2]character_tribe_i18n!$A:$F,3,FALSE)</f>
        <v>アニマル</v>
      </c>
      <c r="O404" s="24">
        <f ca="1">VLOOKUP(M404,[2]character_tribe_i18n!$A:$F,4,FALSE)</f>
        <v>1</v>
      </c>
      <c r="P404" s="24">
        <f ca="1">VLOOKUP(M404,[2]character_tribe_i18n!$A:$F,5,FALSE)</f>
        <v>1.1000000000000001</v>
      </c>
      <c r="Q404" s="24">
        <f ca="1">VLOOKUP(M404,[2]character_tribe_i18n!$A:$F,6,FALSE)</f>
        <v>1</v>
      </c>
      <c r="R404" s="25" t="s">
        <v>98</v>
      </c>
      <c r="S404" s="24">
        <f>VLOOKUP($R404,ラベル別係数!$A$1:$E$7,3,FALSE)</f>
        <v>5</v>
      </c>
      <c r="T404" s="24">
        <f>VLOOKUP($R404,ラベル別係数!$A$1:$E$7,4,FALSE)</f>
        <v>1.3</v>
      </c>
      <c r="U404" s="24">
        <f>VLOOKUP($R404,ラベル別係数!$A$1:$E$7,5,FALSE)</f>
        <v>0.8</v>
      </c>
      <c r="V404" s="27">
        <v>3</v>
      </c>
      <c r="W404" s="28">
        <f>VLOOKUP(V404,ターン数別攻撃係数!$A$1:$B$1000,2,FALSE)</f>
        <v>1</v>
      </c>
      <c r="X404" s="9">
        <f ca="1">VLOOKUP(C404,サイズ別係数!A$2:B$8,2,FALSE)</f>
        <v>30</v>
      </c>
      <c r="Y404" s="26">
        <f ca="1">VLOOKUP($X404,サイズ別係数!$B:$E,2,FALSE)</f>
        <v>1.3</v>
      </c>
      <c r="Z404" s="26">
        <f ca="1">VLOOKUP($X404,サイズ別係数!$B:$E,3,FALSE)</f>
        <v>1.3</v>
      </c>
      <c r="AA404" s="26">
        <f ca="1">VLOOKUP($X404,サイズ別係数!$B:$E,4,FALSE)</f>
        <v>1.1000000000000001</v>
      </c>
      <c r="AB404" s="5">
        <v>0</v>
      </c>
      <c r="AC404" s="34" t="str">
        <f ca="1">VLOOKUP($AB404,OFFSET([3]enemy_skill_sets!$B$2,0,0,COUNTA([3]enemy_skill_sets!$A:$A),MATCH(AC$1,[3]enemy_skill_sets!$1:$1,0)-MATCH($AB$1,[3]enemy_skill_sets!$1:$1,0)+1),MATCH(AC$1,[3]enemy_skill_sets!$1:$1,0)-MATCH($AB$1,[3]enemy_skill_sets!$1:$1,0)+1,FALSE)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4" s="67">
        <v>1</v>
      </c>
      <c r="AE404" s="67">
        <v>1</v>
      </c>
      <c r="AF404" s="37">
        <v>0</v>
      </c>
      <c r="AG404" s="28">
        <f ca="1">ROUND(VLOOKUP(1,enemy_base_stats!$A:$F,2,FALSE) * Y404* J404*O404*E404*S404*AD404*[2]ステータス!$B$2,0)</f>
        <v>3315</v>
      </c>
      <c r="AH404" s="28">
        <f ca="1">ROUND(VLOOKUP(1,enemy_base_stats!$A:$F,3,FALSE) * Z404*K404*P404*F404*T404*AE404 * W404*[2]ステータス!$C$2,0)</f>
        <v>273</v>
      </c>
      <c r="AI404" s="28">
        <f ca="1">ROUND(VLOOKUP(1,enemy_base_stats!$A:$F,4,FALSE) * AA404*L404*Q404*G404*U404*AF404*[2]ステータス!$D$2,0)</f>
        <v>0</v>
      </c>
      <c r="AJ404" s="28">
        <f ca="1">ROUND(VLOOKUP(100,enemy_base_stats!$A:$F,2,FALSE) * Y404* J404*O404*E404*S404*AD404*[2]ステータス!$B$2,0)</f>
        <v>134589</v>
      </c>
      <c r="AK404" s="28">
        <f ca="1">ROUND(VLOOKUP(100,enemy_base_stats!$A:$F,3,FALSE)* Z404* K404*P404*F404*T404*AE404 * W404*[2]ステータス!$C$2,0)</f>
        <v>11095</v>
      </c>
      <c r="AL404" s="28">
        <f ca="1">ROUND(VLOOKUP(100,enemy_base_stats!$A:$F,4,FALSE)* AA404* L404*Q404*G404*U404*AF404*[2]ステータス!$D$2,0)</f>
        <v>0</v>
      </c>
      <c r="AM404" s="24">
        <f ca="1">VLOOKUP(M404,[2]character_tribe_i18n!$A:$I,9,FALSE)</f>
        <v>480</v>
      </c>
      <c r="AN404" s="36">
        <v>0</v>
      </c>
      <c r="AO404" s="53">
        <v>0</v>
      </c>
      <c r="AP404" s="58" t="s">
        <v>72</v>
      </c>
      <c r="AQ404" s="71">
        <f t="shared" ca="1" si="14"/>
        <v>403</v>
      </c>
    </row>
    <row r="405" spans="1:43" ht="21" customHeight="1" x14ac:dyDescent="0.15">
      <c r="A405" s="7">
        <f t="shared" ca="1" si="13"/>
        <v>404</v>
      </c>
      <c r="B405" s="6" t="str">
        <f ca="1">VLOOKUP(A405,[2]characters!$A:$C,3,FALSE)</f>
        <v>空襲の神眼 八咫烏</v>
      </c>
      <c r="C405" s="9">
        <f ca="1">VLOOKUP(A405,[2]characters!$A:$I,9,FALSE)</f>
        <v>5</v>
      </c>
      <c r="D405" s="9" t="str">
        <f ca="1">VLOOKUP(A405,[2]characters!$A:$H,8,FALSE)</f>
        <v>green</v>
      </c>
      <c r="E405" s="24">
        <f ca="1">VLOOKUP(D405,[2]属性!$A:$E,2,FALSE)</f>
        <v>1.02</v>
      </c>
      <c r="F405" s="24">
        <f ca="1">VLOOKUP(D405,[2]属性!$A:$E,3,FALSE)</f>
        <v>0.98</v>
      </c>
      <c r="G405" s="24">
        <f ca="1">VLOOKUP(D405,[2]属性!$A:$F,4,FALSE)</f>
        <v>1</v>
      </c>
      <c r="H405" s="9" t="str">
        <f ca="1">VLOOKUP(A405,[2]characters!$A:$K,11,FALSE)</f>
        <v>balance</v>
      </c>
      <c r="I405" s="14" t="str">
        <f ca="1">VLOOKUP(H405,[2]character_type_i18n!$A:$F,3,FALSE)</f>
        <v>バランスタイプ</v>
      </c>
      <c r="J405" s="36">
        <f ca="1">VLOOKUP(H405,[2]character_type_i18n!$A:$F,4,FALSE)</f>
        <v>1</v>
      </c>
      <c r="K405" s="36">
        <f ca="1">VLOOKUP(H405,[2]character_type_i18n!$A:$F,5,FALSE)</f>
        <v>1</v>
      </c>
      <c r="L405" s="36">
        <f ca="1">VLOOKUP(H405,[2]character_type_i18n!$A:$F,6,FALSE)</f>
        <v>1</v>
      </c>
      <c r="M405" s="9" t="str">
        <f ca="1">VLOOKUP(A405,[2]characters!$A:$M,13,FALSE)</f>
        <v>animal</v>
      </c>
      <c r="N405" s="14" t="str">
        <f ca="1">VLOOKUP(M405,[2]character_tribe_i18n!$A:$F,3,FALSE)</f>
        <v>アニマル</v>
      </c>
      <c r="O405" s="24">
        <f ca="1">VLOOKUP(M405,[2]character_tribe_i18n!$A:$F,4,FALSE)</f>
        <v>1</v>
      </c>
      <c r="P405" s="24">
        <f ca="1">VLOOKUP(M405,[2]character_tribe_i18n!$A:$F,5,FALSE)</f>
        <v>1.1000000000000001</v>
      </c>
      <c r="Q405" s="24">
        <f ca="1">VLOOKUP(M405,[2]character_tribe_i18n!$A:$F,6,FALSE)</f>
        <v>1</v>
      </c>
      <c r="R405" s="25" t="s">
        <v>98</v>
      </c>
      <c r="S405" s="24">
        <f>VLOOKUP($R405,ラベル別係数!$A$1:$E$7,3,FALSE)</f>
        <v>5</v>
      </c>
      <c r="T405" s="24">
        <f>VLOOKUP($R405,ラベル別係数!$A$1:$E$7,4,FALSE)</f>
        <v>1.3</v>
      </c>
      <c r="U405" s="24">
        <f>VLOOKUP($R405,ラベル別係数!$A$1:$E$7,5,FALSE)</f>
        <v>0.8</v>
      </c>
      <c r="V405" s="27">
        <v>3</v>
      </c>
      <c r="W405" s="28">
        <f>VLOOKUP(V405,ターン数別攻撃係数!$A$1:$B$1000,2,FALSE)</f>
        <v>1</v>
      </c>
      <c r="X405" s="9">
        <f ca="1">VLOOKUP(C405,サイズ別係数!A$2:B$8,2,FALSE)</f>
        <v>60</v>
      </c>
      <c r="Y405" s="26">
        <f ca="1">VLOOKUP($X405,サイズ別係数!$B:$E,2,FALSE)</f>
        <v>1.7</v>
      </c>
      <c r="Z405" s="26">
        <f ca="1">VLOOKUP($X405,サイズ別係数!$B:$E,3,FALSE)</f>
        <v>1.4</v>
      </c>
      <c r="AA405" s="26">
        <f ca="1">VLOOKUP($X405,サイズ別係数!$B:$E,4,FALSE)</f>
        <v>1</v>
      </c>
      <c r="AB405" s="5">
        <v>0</v>
      </c>
      <c r="AC405" s="34" t="str">
        <f ca="1">VLOOKUP($AB405,OFFSET([3]enemy_skill_sets!$B$2,0,0,COUNTA([3]enemy_skill_sets!$A:$A),MATCH(AC$1,[3]enemy_skill_sets!$1:$1,0)-MATCH($AB$1,[3]enemy_skill_sets!$1:$1,0)+1),MATCH(AC$1,[3]enemy_skill_sets!$1:$1,0)-MATCH($AB$1,[3]enemy_skill_sets!$1:$1,0)+1,FALSE)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5" s="67">
        <v>1</v>
      </c>
      <c r="AE405" s="67">
        <v>1</v>
      </c>
      <c r="AF405" s="37">
        <v>0</v>
      </c>
      <c r="AG405" s="28">
        <f ca="1">ROUND(VLOOKUP(1,enemy_base_stats!$A:$F,2,FALSE) * Y405* J405*O405*E405*S405*AD405*[2]ステータス!$B$2,0)</f>
        <v>4335</v>
      </c>
      <c r="AH405" s="28">
        <f ca="1">ROUND(VLOOKUP(1,enemy_base_stats!$A:$F,3,FALSE) * Z405*K405*P405*F405*T405*AE405 * W405*[2]ステータス!$C$2,0)</f>
        <v>294</v>
      </c>
      <c r="AI405" s="28">
        <f ca="1">ROUND(VLOOKUP(1,enemy_base_stats!$A:$F,4,FALSE) * AA405*L405*Q405*G405*U405*AF405*[2]ステータス!$D$2,0)</f>
        <v>0</v>
      </c>
      <c r="AJ405" s="28">
        <f ca="1">ROUND(VLOOKUP(100,enemy_base_stats!$A:$F,2,FALSE) * Y405* J405*O405*E405*S405*AD405*[2]ステータス!$B$2,0)</f>
        <v>176001</v>
      </c>
      <c r="AK405" s="28">
        <f ca="1">ROUND(VLOOKUP(100,enemy_base_stats!$A:$F,3,FALSE)* Z405* K405*P405*F405*T405*AE405 * W405*[2]ステータス!$C$2,0)</f>
        <v>11948</v>
      </c>
      <c r="AL405" s="28">
        <f ca="1">ROUND(VLOOKUP(100,enemy_base_stats!$A:$F,4,FALSE)* AA405* L405*Q405*G405*U405*AF405*[2]ステータス!$D$2,0)</f>
        <v>0</v>
      </c>
      <c r="AM405" s="24">
        <f ca="1">VLOOKUP(M405,[2]character_tribe_i18n!$A:$I,9,FALSE)</f>
        <v>480</v>
      </c>
      <c r="AN405" s="36">
        <v>0</v>
      </c>
      <c r="AO405" s="53">
        <v>0</v>
      </c>
      <c r="AP405" s="58" t="s">
        <v>72</v>
      </c>
      <c r="AQ405" s="71">
        <f t="shared" ca="1" si="14"/>
        <v>404</v>
      </c>
    </row>
    <row r="406" spans="1:43" ht="21" customHeight="1" x14ac:dyDescent="0.15">
      <c r="A406" s="7">
        <f t="shared" ca="1" si="13"/>
        <v>405</v>
      </c>
      <c r="B406" s="6" t="str">
        <f ca="1">VLOOKUP(A406,[2]characters!$A:$C,3,FALSE)</f>
        <v>エキドナ</v>
      </c>
      <c r="C406" s="9">
        <f ca="1">VLOOKUP(A406,[2]characters!$A:$I,9,FALSE)</f>
        <v>3</v>
      </c>
      <c r="D406" s="9" t="str">
        <f ca="1">VLOOKUP(A406,[2]characters!$A:$H,8,FALSE)</f>
        <v>blue</v>
      </c>
      <c r="E406" s="24">
        <f ca="1">VLOOKUP(D406,[2]属性!$A:$E,2,FALSE)</f>
        <v>1</v>
      </c>
      <c r="F406" s="24">
        <f ca="1">VLOOKUP(D406,[2]属性!$A:$E,3,FALSE)</f>
        <v>0.98</v>
      </c>
      <c r="G406" s="24">
        <f ca="1">VLOOKUP(D406,[2]属性!$A:$F,4,FALSE)</f>
        <v>1</v>
      </c>
      <c r="H406" s="9" t="str">
        <f ca="1">VLOOKUP(A406,[2]characters!$A:$K,11,FALSE)</f>
        <v>technical</v>
      </c>
      <c r="I406" s="14" t="str">
        <f ca="1">VLOOKUP(H406,[2]character_type_i18n!$A:$F,3,FALSE)</f>
        <v>テクニカルタイプ</v>
      </c>
      <c r="J406" s="36">
        <f ca="1">VLOOKUP(H406,[2]character_type_i18n!$A:$F,4,FALSE)</f>
        <v>0.9</v>
      </c>
      <c r="K406" s="36">
        <f ca="1">VLOOKUP(H406,[2]character_type_i18n!$A:$F,5,FALSE)</f>
        <v>0.9</v>
      </c>
      <c r="L406" s="36">
        <f ca="1">VLOOKUP(H406,[2]character_type_i18n!$A:$F,6,FALSE)</f>
        <v>1</v>
      </c>
      <c r="M406" s="9" t="str">
        <f ca="1">VLOOKUP(A406,[2]characters!$A:$M,13,FALSE)</f>
        <v>animal</v>
      </c>
      <c r="N406" s="14" t="str">
        <f ca="1">VLOOKUP(M406,[2]character_tribe_i18n!$A:$F,3,FALSE)</f>
        <v>アニマル</v>
      </c>
      <c r="O406" s="24">
        <f ca="1">VLOOKUP(M406,[2]character_tribe_i18n!$A:$F,4,FALSE)</f>
        <v>1</v>
      </c>
      <c r="P406" s="24">
        <f ca="1">VLOOKUP(M406,[2]character_tribe_i18n!$A:$F,5,FALSE)</f>
        <v>1.1000000000000001</v>
      </c>
      <c r="Q406" s="24">
        <f ca="1">VLOOKUP(M406,[2]character_tribe_i18n!$A:$F,6,FALSE)</f>
        <v>1</v>
      </c>
      <c r="R406" s="25" t="s">
        <v>98</v>
      </c>
      <c r="S406" s="24">
        <f>VLOOKUP($R406,ラベル別係数!$A$1:$E$7,3,FALSE)</f>
        <v>5</v>
      </c>
      <c r="T406" s="24">
        <f>VLOOKUP($R406,ラベル別係数!$A$1:$E$7,4,FALSE)</f>
        <v>1.3</v>
      </c>
      <c r="U406" s="24">
        <f>VLOOKUP($R406,ラベル別係数!$A$1:$E$7,5,FALSE)</f>
        <v>0.8</v>
      </c>
      <c r="V406" s="27">
        <v>3</v>
      </c>
      <c r="W406" s="28">
        <f>VLOOKUP(V406,ターン数別攻撃係数!$A$1:$B$1000,2,FALSE)</f>
        <v>1</v>
      </c>
      <c r="X406" s="9">
        <f ca="1">VLOOKUP(C406,サイズ別係数!A$2:B$8,2,FALSE)</f>
        <v>25</v>
      </c>
      <c r="Y406" s="26">
        <f ca="1">VLOOKUP($X406,サイズ別係数!$B:$E,2,FALSE)</f>
        <v>1.2</v>
      </c>
      <c r="Z406" s="26">
        <f ca="1">VLOOKUP($X406,サイズ別係数!$B:$E,3,FALSE)</f>
        <v>1.25</v>
      </c>
      <c r="AA406" s="26">
        <f ca="1">VLOOKUP($X406,サイズ別係数!$B:$E,4,FALSE)</f>
        <v>1.1499999999999999</v>
      </c>
      <c r="AB406" s="5">
        <v>0</v>
      </c>
      <c r="AC406" s="34" t="str">
        <f ca="1">VLOOKUP($AB406,OFFSET([3]enemy_skill_sets!$B$2,0,0,COUNTA([3]enemy_skill_sets!$A:$A),MATCH(AC$1,[3]enemy_skill_sets!$1:$1,0)-MATCH($AB$1,[3]enemy_skill_sets!$1:$1,0)+1),MATCH(AC$1,[3]enemy_skill_sets!$1:$1,0)-MATCH($AB$1,[3]enemy_skill_sets!$1:$1,0)+1,FALSE)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6" s="67">
        <v>1</v>
      </c>
      <c r="AE406" s="67">
        <v>1</v>
      </c>
      <c r="AF406" s="37">
        <v>0</v>
      </c>
      <c r="AG406" s="28">
        <f ca="1">ROUND(VLOOKUP(1,enemy_base_stats!$A:$F,2,FALSE) * Y406* J406*O406*E406*S406*AD406*[2]ステータス!$B$2,0)</f>
        <v>2700</v>
      </c>
      <c r="AH406" s="28">
        <f ca="1">ROUND(VLOOKUP(1,enemy_base_stats!$A:$F,3,FALSE) * Z406*K406*P406*F406*T406*AE406 * W406*[2]ステータス!$C$2,0)</f>
        <v>236</v>
      </c>
      <c r="AI406" s="28">
        <f ca="1">ROUND(VLOOKUP(1,enemy_base_stats!$A:$F,4,FALSE) * AA406*L406*Q406*G406*U406*AF406*[2]ステータス!$D$2,0)</f>
        <v>0</v>
      </c>
      <c r="AJ406" s="28">
        <f ca="1">ROUND(VLOOKUP(100,enemy_base_stats!$A:$F,2,FALSE) * Y406* J406*O406*E406*S406*AD406*[2]ステータス!$B$2,0)</f>
        <v>109620</v>
      </c>
      <c r="AK406" s="28">
        <f ca="1">ROUND(VLOOKUP(100,enemy_base_stats!$A:$F,3,FALSE)* Z406* K406*P406*F406*T406*AE406 * W406*[2]ステータス!$C$2,0)</f>
        <v>9601</v>
      </c>
      <c r="AL406" s="28">
        <f ca="1">ROUND(VLOOKUP(100,enemy_base_stats!$A:$F,4,FALSE)* AA406* L406*Q406*G406*U406*AF406*[2]ステータス!$D$2,0)</f>
        <v>0</v>
      </c>
      <c r="AM406" s="24">
        <f ca="1">VLOOKUP(M406,[2]character_tribe_i18n!$A:$I,9,FALSE)</f>
        <v>480</v>
      </c>
      <c r="AN406" s="36">
        <v>0</v>
      </c>
      <c r="AO406" s="53">
        <v>0</v>
      </c>
      <c r="AP406" s="58" t="s">
        <v>72</v>
      </c>
      <c r="AQ406" s="71">
        <f t="shared" ca="1" si="14"/>
        <v>405</v>
      </c>
    </row>
    <row r="407" spans="1:43" ht="21" customHeight="1" x14ac:dyDescent="0.15">
      <c r="A407" s="7">
        <f t="shared" ca="1" si="13"/>
        <v>406</v>
      </c>
      <c r="B407" s="6" t="str">
        <f ca="1">VLOOKUP(A407,[2]characters!$A:$C,3,FALSE)</f>
        <v>美笑の蒼蛇 エキドナ</v>
      </c>
      <c r="C407" s="9">
        <f ca="1">VLOOKUP(A407,[2]characters!$A:$I,9,FALSE)</f>
        <v>4</v>
      </c>
      <c r="D407" s="9" t="str">
        <f ca="1">VLOOKUP(A407,[2]characters!$A:$H,8,FALSE)</f>
        <v>blue</v>
      </c>
      <c r="E407" s="24">
        <f ca="1">VLOOKUP(D407,[2]属性!$A:$E,2,FALSE)</f>
        <v>1</v>
      </c>
      <c r="F407" s="24">
        <f ca="1">VLOOKUP(D407,[2]属性!$A:$E,3,FALSE)</f>
        <v>0.98</v>
      </c>
      <c r="G407" s="24">
        <f ca="1">VLOOKUP(D407,[2]属性!$A:$F,4,FALSE)</f>
        <v>1</v>
      </c>
      <c r="H407" s="9" t="str">
        <f ca="1">VLOOKUP(A407,[2]characters!$A:$K,11,FALSE)</f>
        <v>technical</v>
      </c>
      <c r="I407" s="14" t="str">
        <f ca="1">VLOOKUP(H407,[2]character_type_i18n!$A:$F,3,FALSE)</f>
        <v>テクニカルタイプ</v>
      </c>
      <c r="J407" s="36">
        <f ca="1">VLOOKUP(H407,[2]character_type_i18n!$A:$F,4,FALSE)</f>
        <v>0.9</v>
      </c>
      <c r="K407" s="36">
        <f ca="1">VLOOKUP(H407,[2]character_type_i18n!$A:$F,5,FALSE)</f>
        <v>0.9</v>
      </c>
      <c r="L407" s="36">
        <f ca="1">VLOOKUP(H407,[2]character_type_i18n!$A:$F,6,FALSE)</f>
        <v>1</v>
      </c>
      <c r="M407" s="9" t="str">
        <f ca="1">VLOOKUP(A407,[2]characters!$A:$M,13,FALSE)</f>
        <v>animal</v>
      </c>
      <c r="N407" s="14" t="str">
        <f ca="1">VLOOKUP(M407,[2]character_tribe_i18n!$A:$F,3,FALSE)</f>
        <v>アニマル</v>
      </c>
      <c r="O407" s="24">
        <f ca="1">VLOOKUP(M407,[2]character_tribe_i18n!$A:$F,4,FALSE)</f>
        <v>1</v>
      </c>
      <c r="P407" s="24">
        <f ca="1">VLOOKUP(M407,[2]character_tribe_i18n!$A:$F,5,FALSE)</f>
        <v>1.1000000000000001</v>
      </c>
      <c r="Q407" s="24">
        <f ca="1">VLOOKUP(M407,[2]character_tribe_i18n!$A:$F,6,FALSE)</f>
        <v>1</v>
      </c>
      <c r="R407" s="25" t="s">
        <v>98</v>
      </c>
      <c r="S407" s="24">
        <f>VLOOKUP($R407,ラベル別係数!$A$1:$E$7,3,FALSE)</f>
        <v>5</v>
      </c>
      <c r="T407" s="24">
        <f>VLOOKUP($R407,ラベル別係数!$A$1:$E$7,4,FALSE)</f>
        <v>1.3</v>
      </c>
      <c r="U407" s="24">
        <f>VLOOKUP($R407,ラベル別係数!$A$1:$E$7,5,FALSE)</f>
        <v>0.8</v>
      </c>
      <c r="V407" s="27">
        <v>3</v>
      </c>
      <c r="W407" s="28">
        <f>VLOOKUP(V407,ターン数別攻撃係数!$A$1:$B$1000,2,FALSE)</f>
        <v>1</v>
      </c>
      <c r="X407" s="9">
        <f ca="1">VLOOKUP(C407,サイズ別係数!A$2:B$8,2,FALSE)</f>
        <v>30</v>
      </c>
      <c r="Y407" s="26">
        <f ca="1">VLOOKUP($X407,サイズ別係数!$B:$E,2,FALSE)</f>
        <v>1.3</v>
      </c>
      <c r="Z407" s="26">
        <f ca="1">VLOOKUP($X407,サイズ別係数!$B:$E,3,FALSE)</f>
        <v>1.3</v>
      </c>
      <c r="AA407" s="26">
        <f ca="1">VLOOKUP($X407,サイズ別係数!$B:$E,4,FALSE)</f>
        <v>1.1000000000000001</v>
      </c>
      <c r="AB407" s="5">
        <v>0</v>
      </c>
      <c r="AC407" s="34" t="str">
        <f ca="1">VLOOKUP($AB407,OFFSET([3]enemy_skill_sets!$B$2,0,0,COUNTA([3]enemy_skill_sets!$A:$A),MATCH(AC$1,[3]enemy_skill_sets!$1:$1,0)-MATCH($AB$1,[3]enemy_skill_sets!$1:$1,0)+1),MATCH(AC$1,[3]enemy_skill_sets!$1:$1,0)-MATCH($AB$1,[3]enemy_skill_sets!$1:$1,0)+1,FALSE)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7" s="67">
        <v>1</v>
      </c>
      <c r="AE407" s="67">
        <v>1</v>
      </c>
      <c r="AF407" s="37">
        <v>0</v>
      </c>
      <c r="AG407" s="28">
        <f ca="1">ROUND(VLOOKUP(1,enemy_base_stats!$A:$F,2,FALSE) * Y407* J407*O407*E407*S407*AD407*[2]ステータス!$B$2,0)</f>
        <v>2925</v>
      </c>
      <c r="AH407" s="28">
        <f ca="1">ROUND(VLOOKUP(1,enemy_base_stats!$A:$F,3,FALSE) * Z407*K407*P407*F407*T407*AE407 * W407*[2]ステータス!$C$2,0)</f>
        <v>246</v>
      </c>
      <c r="AI407" s="28">
        <f ca="1">ROUND(VLOOKUP(1,enemy_base_stats!$A:$F,4,FALSE) * AA407*L407*Q407*G407*U407*AF407*[2]ステータス!$D$2,0)</f>
        <v>0</v>
      </c>
      <c r="AJ407" s="28">
        <f ca="1">ROUND(VLOOKUP(100,enemy_base_stats!$A:$F,2,FALSE) * Y407* J407*O407*E407*S407*AD407*[2]ステータス!$B$2,0)</f>
        <v>118755</v>
      </c>
      <c r="AK407" s="28">
        <f ca="1">ROUND(VLOOKUP(100,enemy_base_stats!$A:$F,3,FALSE)* Z407* K407*P407*F407*T407*AE407 * W407*[2]ステータス!$C$2,0)</f>
        <v>9985</v>
      </c>
      <c r="AL407" s="28">
        <f ca="1">ROUND(VLOOKUP(100,enemy_base_stats!$A:$F,4,FALSE)* AA407* L407*Q407*G407*U407*AF407*[2]ステータス!$D$2,0)</f>
        <v>0</v>
      </c>
      <c r="AM407" s="24">
        <f ca="1">VLOOKUP(M407,[2]character_tribe_i18n!$A:$I,9,FALSE)</f>
        <v>480</v>
      </c>
      <c r="AN407" s="36">
        <v>0</v>
      </c>
      <c r="AO407" s="53">
        <v>0</v>
      </c>
      <c r="AP407" s="58" t="s">
        <v>72</v>
      </c>
      <c r="AQ407" s="71">
        <f t="shared" ca="1" si="14"/>
        <v>406</v>
      </c>
    </row>
    <row r="408" spans="1:43" ht="21" customHeight="1" x14ac:dyDescent="0.15">
      <c r="A408" s="7">
        <f t="shared" ca="1" si="13"/>
        <v>407</v>
      </c>
      <c r="B408" s="6" t="str">
        <f ca="1">VLOOKUP(A408,[2]characters!$A:$C,3,FALSE)</f>
        <v>蠱惑の飛刀 エキドナ</v>
      </c>
      <c r="C408" s="9">
        <f ca="1">VLOOKUP(A408,[2]characters!$A:$I,9,FALSE)</f>
        <v>5</v>
      </c>
      <c r="D408" s="9" t="str">
        <f ca="1">VLOOKUP(A408,[2]characters!$A:$H,8,FALSE)</f>
        <v>blue</v>
      </c>
      <c r="E408" s="24">
        <f ca="1">VLOOKUP(D408,[2]属性!$A:$E,2,FALSE)</f>
        <v>1</v>
      </c>
      <c r="F408" s="24">
        <f ca="1">VLOOKUP(D408,[2]属性!$A:$E,3,FALSE)</f>
        <v>0.98</v>
      </c>
      <c r="G408" s="24">
        <f ca="1">VLOOKUP(D408,[2]属性!$A:$F,4,FALSE)</f>
        <v>1</v>
      </c>
      <c r="H408" s="9" t="str">
        <f ca="1">VLOOKUP(A408,[2]characters!$A:$K,11,FALSE)</f>
        <v>technical</v>
      </c>
      <c r="I408" s="14" t="str">
        <f ca="1">VLOOKUP(H408,[2]character_type_i18n!$A:$F,3,FALSE)</f>
        <v>テクニカルタイプ</v>
      </c>
      <c r="J408" s="36">
        <f ca="1">VLOOKUP(H408,[2]character_type_i18n!$A:$F,4,FALSE)</f>
        <v>0.9</v>
      </c>
      <c r="K408" s="36">
        <f ca="1">VLOOKUP(H408,[2]character_type_i18n!$A:$F,5,FALSE)</f>
        <v>0.9</v>
      </c>
      <c r="L408" s="36">
        <f ca="1">VLOOKUP(H408,[2]character_type_i18n!$A:$F,6,FALSE)</f>
        <v>1</v>
      </c>
      <c r="M408" s="9" t="str">
        <f ca="1">VLOOKUP(A408,[2]characters!$A:$M,13,FALSE)</f>
        <v>animal</v>
      </c>
      <c r="N408" s="14" t="str">
        <f ca="1">VLOOKUP(M408,[2]character_tribe_i18n!$A:$F,3,FALSE)</f>
        <v>アニマル</v>
      </c>
      <c r="O408" s="24">
        <f ca="1">VLOOKUP(M408,[2]character_tribe_i18n!$A:$F,4,FALSE)</f>
        <v>1</v>
      </c>
      <c r="P408" s="24">
        <f ca="1">VLOOKUP(M408,[2]character_tribe_i18n!$A:$F,5,FALSE)</f>
        <v>1.1000000000000001</v>
      </c>
      <c r="Q408" s="24">
        <f ca="1">VLOOKUP(M408,[2]character_tribe_i18n!$A:$F,6,FALSE)</f>
        <v>1</v>
      </c>
      <c r="R408" s="25" t="s">
        <v>98</v>
      </c>
      <c r="S408" s="24">
        <f>VLOOKUP($R408,ラベル別係数!$A$1:$E$7,3,FALSE)</f>
        <v>5</v>
      </c>
      <c r="T408" s="24">
        <f>VLOOKUP($R408,ラベル別係数!$A$1:$E$7,4,FALSE)</f>
        <v>1.3</v>
      </c>
      <c r="U408" s="24">
        <f>VLOOKUP($R408,ラベル別係数!$A$1:$E$7,5,FALSE)</f>
        <v>0.8</v>
      </c>
      <c r="V408" s="27">
        <v>3</v>
      </c>
      <c r="W408" s="28">
        <f>VLOOKUP(V408,ターン数別攻撃係数!$A$1:$B$1000,2,FALSE)</f>
        <v>1</v>
      </c>
      <c r="X408" s="9">
        <f ca="1">VLOOKUP(C408,サイズ別係数!A$2:B$8,2,FALSE)</f>
        <v>60</v>
      </c>
      <c r="Y408" s="26">
        <f ca="1">VLOOKUP($X408,サイズ別係数!$B:$E,2,FALSE)</f>
        <v>1.7</v>
      </c>
      <c r="Z408" s="26">
        <f ca="1">VLOOKUP($X408,サイズ別係数!$B:$E,3,FALSE)</f>
        <v>1.4</v>
      </c>
      <c r="AA408" s="26">
        <f ca="1">VLOOKUP($X408,サイズ別係数!$B:$E,4,FALSE)</f>
        <v>1</v>
      </c>
      <c r="AB408" s="5">
        <v>0</v>
      </c>
      <c r="AC408" s="34" t="str">
        <f ca="1">VLOOKUP($AB408,OFFSET([3]enemy_skill_sets!$B$2,0,0,COUNTA([3]enemy_skill_sets!$A:$A),MATCH(AC$1,[3]enemy_skill_sets!$1:$1,0)-MATCH($AB$1,[3]enemy_skill_sets!$1:$1,0)+1),MATCH(AC$1,[3]enemy_skill_sets!$1:$1,0)-MATCH($AB$1,[3]enemy_skill_sets!$1:$1,0)+1,FALSE)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8" s="67">
        <v>1</v>
      </c>
      <c r="AE408" s="67">
        <v>1</v>
      </c>
      <c r="AF408" s="37">
        <v>0</v>
      </c>
      <c r="AG408" s="28">
        <f ca="1">ROUND(VLOOKUP(1,enemy_base_stats!$A:$F,2,FALSE) * Y408* J408*O408*E408*S408*AD408*[2]ステータス!$B$2,0)</f>
        <v>3825</v>
      </c>
      <c r="AH408" s="28">
        <f ca="1">ROUND(VLOOKUP(1,enemy_base_stats!$A:$F,3,FALSE) * Z408*K408*P408*F408*T408*AE408 * W408*[2]ステータス!$C$2,0)</f>
        <v>265</v>
      </c>
      <c r="AI408" s="28">
        <f ca="1">ROUND(VLOOKUP(1,enemy_base_stats!$A:$F,4,FALSE) * AA408*L408*Q408*G408*U408*AF408*[2]ステータス!$D$2,0)</f>
        <v>0</v>
      </c>
      <c r="AJ408" s="28">
        <f ca="1">ROUND(VLOOKUP(100,enemy_base_stats!$A:$F,2,FALSE) * Y408* J408*O408*E408*S408*AD408*[2]ステータス!$B$2,0)</f>
        <v>155295</v>
      </c>
      <c r="AK408" s="28">
        <f ca="1">ROUND(VLOOKUP(100,enemy_base_stats!$A:$F,3,FALSE)* Z408* K408*P408*F408*T408*AE408 * W408*[2]ステータス!$C$2,0)</f>
        <v>10754</v>
      </c>
      <c r="AL408" s="28">
        <f ca="1">ROUND(VLOOKUP(100,enemy_base_stats!$A:$F,4,FALSE)* AA408* L408*Q408*G408*U408*AF408*[2]ステータス!$D$2,0)</f>
        <v>0</v>
      </c>
      <c r="AM408" s="24">
        <f ca="1">VLOOKUP(M408,[2]character_tribe_i18n!$A:$I,9,FALSE)</f>
        <v>480</v>
      </c>
      <c r="AN408" s="36">
        <v>0</v>
      </c>
      <c r="AO408" s="53">
        <v>0</v>
      </c>
      <c r="AP408" s="58" t="s">
        <v>72</v>
      </c>
      <c r="AQ408" s="71">
        <f t="shared" ca="1" si="14"/>
        <v>407</v>
      </c>
    </row>
    <row r="409" spans="1:43" ht="21" customHeight="1" x14ac:dyDescent="0.15">
      <c r="A409" s="7">
        <f t="shared" ca="1" si="13"/>
        <v>408</v>
      </c>
      <c r="B409" s="6" t="str">
        <f ca="1">VLOOKUP(A409,[2]characters!$A:$C,3,FALSE)</f>
        <v>皇魔 アスタロト</v>
      </c>
      <c r="C409" s="9">
        <f ca="1">VLOOKUP(A409,[2]characters!$A:$I,9,FALSE)</f>
        <v>4</v>
      </c>
      <c r="D409" s="9" t="str">
        <f ca="1">VLOOKUP(A409,[2]characters!$A:$H,8,FALSE)</f>
        <v>yellow</v>
      </c>
      <c r="E409" s="24">
        <f ca="1">VLOOKUP(D409,[2]属性!$A:$E,2,FALSE)</f>
        <v>0.98</v>
      </c>
      <c r="F409" s="24">
        <f ca="1">VLOOKUP(D409,[2]属性!$A:$E,3,FALSE)</f>
        <v>1.01</v>
      </c>
      <c r="G409" s="24">
        <f ca="1">VLOOKUP(D409,[2]属性!$A:$F,4,FALSE)</f>
        <v>1</v>
      </c>
      <c r="H409" s="9" t="str">
        <f ca="1">VLOOKUP(A409,[2]characters!$A:$K,11,FALSE)</f>
        <v>attack</v>
      </c>
      <c r="I409" s="14" t="str">
        <f ca="1">VLOOKUP(H409,[2]character_type_i18n!$A:$F,3,FALSE)</f>
        <v>攻撃タイプ</v>
      </c>
      <c r="J409" s="36">
        <f ca="1">VLOOKUP(H409,[2]character_type_i18n!$A:$F,4,FALSE)</f>
        <v>1</v>
      </c>
      <c r="K409" s="36">
        <f ca="1">VLOOKUP(H409,[2]character_type_i18n!$A:$F,5,FALSE)</f>
        <v>1.33</v>
      </c>
      <c r="L409" s="36">
        <f ca="1">VLOOKUP(H409,[2]character_type_i18n!$A:$F,6,FALSE)</f>
        <v>1</v>
      </c>
      <c r="M409" s="9" t="str">
        <f ca="1">VLOOKUP(A409,[2]characters!$A:$M,13,FALSE)</f>
        <v>god</v>
      </c>
      <c r="N409" s="14" t="str">
        <f ca="1">VLOOKUP(M409,[2]character_tribe_i18n!$A:$F,3,FALSE)</f>
        <v>ゴッド</v>
      </c>
      <c r="O409" s="24">
        <f ca="1">VLOOKUP(M409,[2]character_tribe_i18n!$A:$F,4,FALSE)</f>
        <v>0.96</v>
      </c>
      <c r="P409" s="24">
        <f ca="1">VLOOKUP(M409,[2]character_tribe_i18n!$A:$F,5,FALSE)</f>
        <v>1.02</v>
      </c>
      <c r="Q409" s="24">
        <f ca="1">VLOOKUP(M409,[2]character_tribe_i18n!$A:$F,6,FALSE)</f>
        <v>1</v>
      </c>
      <c r="R409" s="25" t="s">
        <v>98</v>
      </c>
      <c r="S409" s="24">
        <f>VLOOKUP($R409,ラベル別係数!$A$1:$E$7,3,FALSE)</f>
        <v>5</v>
      </c>
      <c r="T409" s="24">
        <f>VLOOKUP($R409,ラベル別係数!$A$1:$E$7,4,FALSE)</f>
        <v>1.3</v>
      </c>
      <c r="U409" s="24">
        <f>VLOOKUP($R409,ラベル別係数!$A$1:$E$7,5,FALSE)</f>
        <v>0.8</v>
      </c>
      <c r="V409" s="27">
        <v>3</v>
      </c>
      <c r="W409" s="28">
        <f>VLOOKUP(V409,ターン数別攻撃係数!$A$1:$B$1000,2,FALSE)</f>
        <v>1</v>
      </c>
      <c r="X409" s="9">
        <f ca="1">VLOOKUP(C409,サイズ別係数!A$2:B$8,2,FALSE)</f>
        <v>30</v>
      </c>
      <c r="Y409" s="26">
        <f ca="1">VLOOKUP($X409,サイズ別係数!$B:$E,2,FALSE)</f>
        <v>1.3</v>
      </c>
      <c r="Z409" s="26">
        <f ca="1">VLOOKUP($X409,サイズ別係数!$B:$E,3,FALSE)</f>
        <v>1.3</v>
      </c>
      <c r="AA409" s="26">
        <f ca="1">VLOOKUP($X409,サイズ別係数!$B:$E,4,FALSE)</f>
        <v>1.1000000000000001</v>
      </c>
      <c r="AB409" s="5">
        <v>0</v>
      </c>
      <c r="AC409" s="34" t="str">
        <f ca="1">VLOOKUP($AB409,OFFSET([3]enemy_skill_sets!$B$2,0,0,COUNTA([3]enemy_skill_sets!$A:$A),MATCH(AC$1,[3]enemy_skill_sets!$1:$1,0)-MATCH($AB$1,[3]enemy_skill_sets!$1:$1,0)+1),MATCH(AC$1,[3]enemy_skill_sets!$1:$1,0)-MATCH($AB$1,[3]enemy_skill_sets!$1:$1,0)+1,FALSE)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09" s="67">
        <v>1</v>
      </c>
      <c r="AE409" s="67">
        <v>1</v>
      </c>
      <c r="AF409" s="37">
        <v>0</v>
      </c>
      <c r="AG409" s="28">
        <f ca="1">ROUND(VLOOKUP(1,enemy_base_stats!$A:$F,2,FALSE) * Y409* J409*O409*E409*S409*AD409*[2]ステータス!$B$2,0)</f>
        <v>3058</v>
      </c>
      <c r="AH409" s="28">
        <f ca="1">ROUND(VLOOKUP(1,enemy_base_stats!$A:$F,3,FALSE) * Z409*K409*P409*F409*T409*AE409 * W409*[2]ステータス!$C$2,0)</f>
        <v>347</v>
      </c>
      <c r="AI409" s="28">
        <f ca="1">ROUND(VLOOKUP(1,enemy_base_stats!$A:$F,4,FALSE) * AA409*L409*Q409*G409*U409*AF409*[2]ステータス!$D$2,0)</f>
        <v>0</v>
      </c>
      <c r="AJ409" s="28">
        <f ca="1">ROUND(VLOOKUP(100,enemy_base_stats!$A:$F,2,FALSE) * Y409* J409*O409*E409*S409*AD409*[2]ステータス!$B$2,0)</f>
        <v>124139</v>
      </c>
      <c r="AK409" s="28">
        <f ca="1">ROUND(VLOOKUP(100,enemy_base_stats!$A:$F,3,FALSE)* Z409* K409*P409*F409*T409*AE409 * W409*[2]ステータス!$C$2,0)</f>
        <v>14102</v>
      </c>
      <c r="AL409" s="28">
        <f ca="1">ROUND(VLOOKUP(100,enemy_base_stats!$A:$F,4,FALSE)* AA409* L409*Q409*G409*U409*AF409*[2]ステータス!$D$2,0)</f>
        <v>0</v>
      </c>
      <c r="AM409" s="24">
        <f ca="1">VLOOKUP(M409,[2]character_tribe_i18n!$A:$I,9,FALSE)</f>
        <v>680</v>
      </c>
      <c r="AN409" s="36">
        <v>0</v>
      </c>
      <c r="AO409" s="53">
        <v>0</v>
      </c>
      <c r="AP409" s="58" t="s">
        <v>72</v>
      </c>
      <c r="AQ409" s="71">
        <f t="shared" ref="AQ409:AQ414" ca="1" si="15">A409</f>
        <v>408</v>
      </c>
    </row>
    <row r="410" spans="1:43" ht="21" customHeight="1" x14ac:dyDescent="0.15">
      <c r="A410" s="7">
        <f t="shared" ca="1" si="13"/>
        <v>409</v>
      </c>
      <c r="B410" s="6" t="str">
        <f ca="1">VLOOKUP(A410,[2]characters!$A:$C,3,FALSE)</f>
        <v>天眼の皇貴魔 アスタロト</v>
      </c>
      <c r="C410" s="9">
        <f ca="1">VLOOKUP(A410,[2]characters!$A:$I,9,FALSE)</f>
        <v>5</v>
      </c>
      <c r="D410" s="9" t="str">
        <f ca="1">VLOOKUP(A410,[2]characters!$A:$H,8,FALSE)</f>
        <v>yellow</v>
      </c>
      <c r="E410" s="24">
        <f ca="1">VLOOKUP(D410,[2]属性!$A:$E,2,FALSE)</f>
        <v>0.98</v>
      </c>
      <c r="F410" s="24">
        <f ca="1">VLOOKUP(D410,[2]属性!$A:$E,3,FALSE)</f>
        <v>1.01</v>
      </c>
      <c r="G410" s="24">
        <f ca="1">VLOOKUP(D410,[2]属性!$A:$F,4,FALSE)</f>
        <v>1</v>
      </c>
      <c r="H410" s="9" t="str">
        <f ca="1">VLOOKUP(A410,[2]characters!$A:$K,11,FALSE)</f>
        <v>attack</v>
      </c>
      <c r="I410" s="14" t="str">
        <f ca="1">VLOOKUP(H410,[2]character_type_i18n!$A:$F,3,FALSE)</f>
        <v>攻撃タイプ</v>
      </c>
      <c r="J410" s="36">
        <f ca="1">VLOOKUP(H410,[2]character_type_i18n!$A:$F,4,FALSE)</f>
        <v>1</v>
      </c>
      <c r="K410" s="36">
        <f ca="1">VLOOKUP(H410,[2]character_type_i18n!$A:$F,5,FALSE)</f>
        <v>1.33</v>
      </c>
      <c r="L410" s="36">
        <f ca="1">VLOOKUP(H410,[2]character_type_i18n!$A:$F,6,FALSE)</f>
        <v>1</v>
      </c>
      <c r="M410" s="9" t="str">
        <f ca="1">VLOOKUP(A410,[2]characters!$A:$M,13,FALSE)</f>
        <v>god</v>
      </c>
      <c r="N410" s="14" t="str">
        <f ca="1">VLOOKUP(M410,[2]character_tribe_i18n!$A:$F,3,FALSE)</f>
        <v>ゴッド</v>
      </c>
      <c r="O410" s="24">
        <f ca="1">VLOOKUP(M410,[2]character_tribe_i18n!$A:$F,4,FALSE)</f>
        <v>0.96</v>
      </c>
      <c r="P410" s="24">
        <f ca="1">VLOOKUP(M410,[2]character_tribe_i18n!$A:$F,5,FALSE)</f>
        <v>1.02</v>
      </c>
      <c r="Q410" s="24">
        <f ca="1">VLOOKUP(M410,[2]character_tribe_i18n!$A:$F,6,FALSE)</f>
        <v>1</v>
      </c>
      <c r="R410" s="25" t="s">
        <v>98</v>
      </c>
      <c r="S410" s="24">
        <f>VLOOKUP($R410,ラベル別係数!$A$1:$E$7,3,FALSE)</f>
        <v>5</v>
      </c>
      <c r="T410" s="24">
        <f>VLOOKUP($R410,ラベル別係数!$A$1:$E$7,4,FALSE)</f>
        <v>1.3</v>
      </c>
      <c r="U410" s="24">
        <f>VLOOKUP($R410,ラベル別係数!$A$1:$E$7,5,FALSE)</f>
        <v>0.8</v>
      </c>
      <c r="V410" s="27">
        <v>3</v>
      </c>
      <c r="W410" s="28">
        <f>VLOOKUP(V410,ターン数別攻撃係数!$A$1:$B$1000,2,FALSE)</f>
        <v>1</v>
      </c>
      <c r="X410" s="9">
        <f ca="1">VLOOKUP(C410,サイズ別係数!A$2:B$8,2,FALSE)</f>
        <v>60</v>
      </c>
      <c r="Y410" s="26">
        <f ca="1">VLOOKUP($X410,サイズ別係数!$B:$E,2,FALSE)</f>
        <v>1.7</v>
      </c>
      <c r="Z410" s="26">
        <f ca="1">VLOOKUP($X410,サイズ別係数!$B:$E,3,FALSE)</f>
        <v>1.4</v>
      </c>
      <c r="AA410" s="26">
        <f ca="1">VLOOKUP($X410,サイズ別係数!$B:$E,4,FALSE)</f>
        <v>1</v>
      </c>
      <c r="AB410" s="5">
        <v>0</v>
      </c>
      <c r="AC410" s="34" t="str">
        <f ca="1">VLOOKUP($AB410,OFFSET([3]enemy_skill_sets!$B$2,0,0,COUNTA([3]enemy_skill_sets!$A:$A),MATCH(AC$1,[3]enemy_skill_sets!$1:$1,0)-MATCH($AB$1,[3]enemy_skill_sets!$1:$1,0)+1),MATCH(AC$1,[3]enemy_skill_sets!$1:$1,0)-MATCH($AB$1,[3]enemy_skill_sets!$1:$1,0)+1,FALSE)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0" s="67">
        <v>1</v>
      </c>
      <c r="AE410" s="67">
        <v>1</v>
      </c>
      <c r="AF410" s="37">
        <v>0</v>
      </c>
      <c r="AG410" s="28">
        <f ca="1">ROUND(VLOOKUP(1,enemy_base_stats!$A:$F,2,FALSE) * Y410* J410*O410*E410*S410*AD410*[2]ステータス!$B$2,0)</f>
        <v>3998</v>
      </c>
      <c r="AH410" s="28">
        <f ca="1">ROUND(VLOOKUP(1,enemy_base_stats!$A:$F,3,FALSE) * Z410*K410*P410*F410*T410*AE410 * W410*[2]ステータス!$C$2,0)</f>
        <v>374</v>
      </c>
      <c r="AI410" s="28">
        <f ca="1">ROUND(VLOOKUP(1,enemy_base_stats!$A:$F,4,FALSE) * AA410*L410*Q410*G410*U410*AF410*[2]ステータス!$D$2,0)</f>
        <v>0</v>
      </c>
      <c r="AJ410" s="28">
        <f ca="1">ROUND(VLOOKUP(100,enemy_base_stats!$A:$F,2,FALSE) * Y410* J410*O410*E410*S410*AD410*[2]ステータス!$B$2,0)</f>
        <v>162335</v>
      </c>
      <c r="AK410" s="28">
        <f ca="1">ROUND(VLOOKUP(100,enemy_base_stats!$A:$F,3,FALSE)* Z410* K410*P410*F410*T410*AE410 * W410*[2]ステータス!$C$2,0)</f>
        <v>15187</v>
      </c>
      <c r="AL410" s="28">
        <f ca="1">ROUND(VLOOKUP(100,enemy_base_stats!$A:$F,4,FALSE)* AA410* L410*Q410*G410*U410*AF410*[2]ステータス!$D$2,0)</f>
        <v>0</v>
      </c>
      <c r="AM410" s="24">
        <f ca="1">VLOOKUP(M410,[2]character_tribe_i18n!$A:$I,9,FALSE)</f>
        <v>680</v>
      </c>
      <c r="AN410" s="36">
        <v>0</v>
      </c>
      <c r="AO410" s="53">
        <v>0</v>
      </c>
      <c r="AP410" s="58" t="s">
        <v>72</v>
      </c>
      <c r="AQ410" s="71">
        <f t="shared" ca="1" si="15"/>
        <v>409</v>
      </c>
    </row>
    <row r="411" spans="1:43" ht="21" customHeight="1" x14ac:dyDescent="0.15">
      <c r="A411" s="7">
        <f t="shared" ca="1" si="13"/>
        <v>410</v>
      </c>
      <c r="B411" s="6" t="str">
        <f ca="1">VLOOKUP(A411,[2]characters!$A:$C,3,FALSE)</f>
        <v>ファラデー</v>
      </c>
      <c r="C411" s="9">
        <f ca="1">VLOOKUP(A411,[2]characters!$A:$I,9,FALSE)</f>
        <v>4</v>
      </c>
      <c r="D411" s="9" t="str">
        <f ca="1">VLOOKUP(A411,[2]characters!$A:$H,8,FALSE)</f>
        <v>yellow</v>
      </c>
      <c r="E411" s="24">
        <f ca="1">VLOOKUP(D411,[2]属性!$A:$E,2,FALSE)</f>
        <v>0.98</v>
      </c>
      <c r="F411" s="24">
        <f ca="1">VLOOKUP(D411,[2]属性!$A:$E,3,FALSE)</f>
        <v>1.01</v>
      </c>
      <c r="G411" s="24">
        <f ca="1">VLOOKUP(D411,[2]属性!$A:$F,4,FALSE)</f>
        <v>1</v>
      </c>
      <c r="H411" s="9" t="str">
        <f ca="1">VLOOKUP(A411,[2]characters!$A:$K,11,FALSE)</f>
        <v>balance</v>
      </c>
      <c r="I411" s="14" t="str">
        <f ca="1">VLOOKUP(H411,[2]character_type_i18n!$A:$F,3,FALSE)</f>
        <v>バランスタイプ</v>
      </c>
      <c r="J411" s="36">
        <f ca="1">VLOOKUP(H411,[2]character_type_i18n!$A:$F,4,FALSE)</f>
        <v>1</v>
      </c>
      <c r="K411" s="36">
        <f ca="1">VLOOKUP(H411,[2]character_type_i18n!$A:$F,5,FALSE)</f>
        <v>1</v>
      </c>
      <c r="L411" s="36">
        <f ca="1">VLOOKUP(H411,[2]character_type_i18n!$A:$F,6,FALSE)</f>
        <v>1</v>
      </c>
      <c r="M411" s="9" t="str">
        <f ca="1">VLOOKUP(A411,[2]characters!$A:$M,13,FALSE)</f>
        <v>human</v>
      </c>
      <c r="N411" s="14" t="str">
        <f ca="1">VLOOKUP(M411,[2]character_tribe_i18n!$A:$F,3,FALSE)</f>
        <v>ヒューマン</v>
      </c>
      <c r="O411" s="24">
        <f ca="1">VLOOKUP(M411,[2]character_tribe_i18n!$A:$F,4,FALSE)</f>
        <v>0.94</v>
      </c>
      <c r="P411" s="24">
        <f ca="1">VLOOKUP(M411,[2]character_tribe_i18n!$A:$F,5,FALSE)</f>
        <v>0.99</v>
      </c>
      <c r="Q411" s="24">
        <f ca="1">VLOOKUP(M411,[2]character_tribe_i18n!$A:$F,6,FALSE)</f>
        <v>1</v>
      </c>
      <c r="R411" s="25" t="s">
        <v>98</v>
      </c>
      <c r="S411" s="24">
        <f>VLOOKUP($R411,ラベル別係数!$A$1:$E$7,3,FALSE)</f>
        <v>5</v>
      </c>
      <c r="T411" s="24">
        <f>VLOOKUP($R411,ラベル別係数!$A$1:$E$7,4,FALSE)</f>
        <v>1.3</v>
      </c>
      <c r="U411" s="24">
        <f>VLOOKUP($R411,ラベル別係数!$A$1:$E$7,5,FALSE)</f>
        <v>0.8</v>
      </c>
      <c r="V411" s="27">
        <v>3</v>
      </c>
      <c r="W411" s="28">
        <f>VLOOKUP(V411,ターン数別攻撃係数!$A$1:$B$1000,2,FALSE)</f>
        <v>1</v>
      </c>
      <c r="X411" s="9">
        <f ca="1">VLOOKUP(C411,サイズ別係数!A$2:B$8,2,FALSE)</f>
        <v>30</v>
      </c>
      <c r="Y411" s="26">
        <f ca="1">VLOOKUP($X411,サイズ別係数!$B:$E,2,FALSE)</f>
        <v>1.3</v>
      </c>
      <c r="Z411" s="26">
        <f ca="1">VLOOKUP($X411,サイズ別係数!$B:$E,3,FALSE)</f>
        <v>1.3</v>
      </c>
      <c r="AA411" s="26">
        <f ca="1">VLOOKUP($X411,サイズ別係数!$B:$E,4,FALSE)</f>
        <v>1.1000000000000001</v>
      </c>
      <c r="AB411" s="5">
        <v>0</v>
      </c>
      <c r="AC411" s="34" t="str">
        <f ca="1">VLOOKUP($AB411,OFFSET([3]enemy_skill_sets!$B$2,0,0,COUNTA([3]enemy_skill_sets!$A:$A),MATCH(AC$1,[3]enemy_skill_sets!$1:$1,0)-MATCH($AB$1,[3]enemy_skill_sets!$1:$1,0)+1),MATCH(AC$1,[3]enemy_skill_sets!$1:$1,0)-MATCH($AB$1,[3]enemy_skill_sets!$1:$1,0)+1,FALSE)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1" s="67">
        <v>1</v>
      </c>
      <c r="AE411" s="67">
        <v>1</v>
      </c>
      <c r="AF411" s="37">
        <v>0</v>
      </c>
      <c r="AG411" s="28">
        <f ca="1">ROUND(VLOOKUP(1,enemy_base_stats!$A:$F,2,FALSE) * Y411* J411*O411*E411*S411*AD411*[2]ステータス!$B$2,0)</f>
        <v>2994</v>
      </c>
      <c r="AH411" s="28">
        <f ca="1">ROUND(VLOOKUP(1,enemy_base_stats!$A:$F,3,FALSE) * Z411*K411*P411*F411*T411*AE411 * W411*[2]ステータス!$C$2,0)</f>
        <v>253</v>
      </c>
      <c r="AI411" s="28">
        <f ca="1">ROUND(VLOOKUP(1,enemy_base_stats!$A:$F,4,FALSE) * AA411*L411*Q411*G411*U411*AF411*[2]ステータス!$D$2,0)</f>
        <v>0</v>
      </c>
      <c r="AJ411" s="28">
        <f ca="1">ROUND(VLOOKUP(100,enemy_base_stats!$A:$F,2,FALSE) * Y411* J411*O411*E411*S411*AD411*[2]ステータス!$B$2,0)</f>
        <v>121552</v>
      </c>
      <c r="AK411" s="28">
        <f ca="1">ROUND(VLOOKUP(100,enemy_base_stats!$A:$F,3,FALSE)* Z411* K411*P411*F411*T411*AE411 * W411*[2]ステータス!$C$2,0)</f>
        <v>10291</v>
      </c>
      <c r="AL411" s="28">
        <f ca="1">ROUND(VLOOKUP(100,enemy_base_stats!$A:$F,4,FALSE)* AA411* L411*Q411*G411*U411*AF411*[2]ステータス!$D$2,0)</f>
        <v>0</v>
      </c>
      <c r="AM411" s="24">
        <f ca="1">VLOOKUP(M411,[2]character_tribe_i18n!$A:$I,9,FALSE)</f>
        <v>400</v>
      </c>
      <c r="AN411" s="36">
        <v>0</v>
      </c>
      <c r="AO411" s="53">
        <v>0</v>
      </c>
      <c r="AP411" s="58" t="s">
        <v>72</v>
      </c>
      <c r="AQ411" s="71">
        <f t="shared" ca="1" si="15"/>
        <v>410</v>
      </c>
    </row>
    <row r="412" spans="1:43" ht="21" customHeight="1" x14ac:dyDescent="0.15">
      <c r="A412" s="7">
        <f t="shared" ca="1" si="13"/>
        <v>411</v>
      </c>
      <c r="B412" s="6" t="str">
        <f ca="1">VLOOKUP(A412,[2]characters!$A:$C,3,FALSE)</f>
        <v>電隷の始祖 ファラデー</v>
      </c>
      <c r="C412" s="9">
        <f ca="1">VLOOKUP(A412,[2]characters!$A:$I,9,FALSE)</f>
        <v>5</v>
      </c>
      <c r="D412" s="9" t="str">
        <f ca="1">VLOOKUP(A412,[2]characters!$A:$H,8,FALSE)</f>
        <v>yellow</v>
      </c>
      <c r="E412" s="24">
        <f ca="1">VLOOKUP(D412,[2]属性!$A:$E,2,FALSE)</f>
        <v>0.98</v>
      </c>
      <c r="F412" s="24">
        <f ca="1">VLOOKUP(D412,[2]属性!$A:$E,3,FALSE)</f>
        <v>1.01</v>
      </c>
      <c r="G412" s="24">
        <f ca="1">VLOOKUP(D412,[2]属性!$A:$F,4,FALSE)</f>
        <v>1</v>
      </c>
      <c r="H412" s="9" t="str">
        <f ca="1">VLOOKUP(A412,[2]characters!$A:$K,11,FALSE)</f>
        <v>balance</v>
      </c>
      <c r="I412" s="14" t="str">
        <f ca="1">VLOOKUP(H412,[2]character_type_i18n!$A:$F,3,FALSE)</f>
        <v>バランスタイプ</v>
      </c>
      <c r="J412" s="36">
        <f ca="1">VLOOKUP(H412,[2]character_type_i18n!$A:$F,4,FALSE)</f>
        <v>1</v>
      </c>
      <c r="K412" s="36">
        <f ca="1">VLOOKUP(H412,[2]character_type_i18n!$A:$F,5,FALSE)</f>
        <v>1</v>
      </c>
      <c r="L412" s="36">
        <f ca="1">VLOOKUP(H412,[2]character_type_i18n!$A:$F,6,FALSE)</f>
        <v>1</v>
      </c>
      <c r="M412" s="9" t="str">
        <f ca="1">VLOOKUP(A412,[2]characters!$A:$M,13,FALSE)</f>
        <v>human</v>
      </c>
      <c r="N412" s="14" t="str">
        <f ca="1">VLOOKUP(M412,[2]character_tribe_i18n!$A:$F,3,FALSE)</f>
        <v>ヒューマン</v>
      </c>
      <c r="O412" s="24">
        <f ca="1">VLOOKUP(M412,[2]character_tribe_i18n!$A:$F,4,FALSE)</f>
        <v>0.94</v>
      </c>
      <c r="P412" s="24">
        <f ca="1">VLOOKUP(M412,[2]character_tribe_i18n!$A:$F,5,FALSE)</f>
        <v>0.99</v>
      </c>
      <c r="Q412" s="24">
        <f ca="1">VLOOKUP(M412,[2]character_tribe_i18n!$A:$F,6,FALSE)</f>
        <v>1</v>
      </c>
      <c r="R412" s="25" t="s">
        <v>98</v>
      </c>
      <c r="S412" s="24">
        <f>VLOOKUP($R412,ラベル別係数!$A$1:$E$7,3,FALSE)</f>
        <v>5</v>
      </c>
      <c r="T412" s="24">
        <f>VLOOKUP($R412,ラベル別係数!$A$1:$E$7,4,FALSE)</f>
        <v>1.3</v>
      </c>
      <c r="U412" s="24">
        <f>VLOOKUP($R412,ラベル別係数!$A$1:$E$7,5,FALSE)</f>
        <v>0.8</v>
      </c>
      <c r="V412" s="27">
        <v>3</v>
      </c>
      <c r="W412" s="28">
        <f>VLOOKUP(V412,ターン数別攻撃係数!$A$1:$B$1000,2,FALSE)</f>
        <v>1</v>
      </c>
      <c r="X412" s="9">
        <f ca="1">VLOOKUP(C412,サイズ別係数!A$2:B$8,2,FALSE)</f>
        <v>60</v>
      </c>
      <c r="Y412" s="26">
        <f ca="1">VLOOKUP($X412,サイズ別係数!$B:$E,2,FALSE)</f>
        <v>1.7</v>
      </c>
      <c r="Z412" s="26">
        <f ca="1">VLOOKUP($X412,サイズ別係数!$B:$E,3,FALSE)</f>
        <v>1.4</v>
      </c>
      <c r="AA412" s="26">
        <f ca="1">VLOOKUP($X412,サイズ別係数!$B:$E,4,FALSE)</f>
        <v>1</v>
      </c>
      <c r="AB412" s="5">
        <v>0</v>
      </c>
      <c r="AC412" s="34" t="str">
        <f ca="1">VLOOKUP($AB412,OFFSET([3]enemy_skill_sets!$B$2,0,0,COUNTA([3]enemy_skill_sets!$A:$A),MATCH(AC$1,[3]enemy_skill_sets!$1:$1,0)-MATCH($AB$1,[3]enemy_skill_sets!$1:$1,0)+1),MATCH(AC$1,[3]enemy_skill_sets!$1:$1,0)-MATCH($AB$1,[3]enemy_skill_sets!$1:$1,0)+1,FALSE)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2" s="67">
        <v>1</v>
      </c>
      <c r="AE412" s="67">
        <v>1</v>
      </c>
      <c r="AF412" s="37">
        <v>0</v>
      </c>
      <c r="AG412" s="28">
        <f ca="1">ROUND(VLOOKUP(1,enemy_base_stats!$A:$F,2,FALSE) * Y412* J412*O412*E412*S412*AD412*[2]ステータス!$B$2,0)</f>
        <v>3915</v>
      </c>
      <c r="AH412" s="28">
        <f ca="1">ROUND(VLOOKUP(1,enemy_base_stats!$A:$F,3,FALSE) * Z412*K412*P412*F412*T412*AE412 * W412*[2]ステータス!$C$2,0)</f>
        <v>273</v>
      </c>
      <c r="AI412" s="28">
        <f ca="1">ROUND(VLOOKUP(1,enemy_base_stats!$A:$F,4,FALSE) * AA412*L412*Q412*G412*U412*AF412*[2]ステータス!$D$2,0)</f>
        <v>0</v>
      </c>
      <c r="AJ412" s="28">
        <f ca="1">ROUND(VLOOKUP(100,enemy_base_stats!$A:$F,2,FALSE) * Y412* J412*O412*E412*S412*AD412*[2]ステータス!$B$2,0)</f>
        <v>158953</v>
      </c>
      <c r="AK412" s="28">
        <f ca="1">ROUND(VLOOKUP(100,enemy_base_stats!$A:$F,3,FALSE)* Z412* K412*P412*F412*T412*AE412 * W412*[2]ステータス!$C$2,0)</f>
        <v>11083</v>
      </c>
      <c r="AL412" s="28">
        <f ca="1">ROUND(VLOOKUP(100,enemy_base_stats!$A:$F,4,FALSE)* AA412* L412*Q412*G412*U412*AF412*[2]ステータス!$D$2,0)</f>
        <v>0</v>
      </c>
      <c r="AM412" s="24">
        <f ca="1">VLOOKUP(M412,[2]character_tribe_i18n!$A:$I,9,FALSE)</f>
        <v>400</v>
      </c>
      <c r="AN412" s="36">
        <v>0</v>
      </c>
      <c r="AO412" s="53">
        <v>0</v>
      </c>
      <c r="AP412" s="58" t="s">
        <v>72</v>
      </c>
      <c r="AQ412" s="71">
        <f t="shared" ca="1" si="15"/>
        <v>411</v>
      </c>
    </row>
    <row r="413" spans="1:43" ht="21" customHeight="1" x14ac:dyDescent="0.15">
      <c r="A413" s="7">
        <f t="shared" ca="1" si="13"/>
        <v>412</v>
      </c>
      <c r="B413" s="6" t="str">
        <f ca="1">VLOOKUP(A413,[2]characters!$A:$C,3,FALSE)</f>
        <v>コウネン</v>
      </c>
      <c r="C413" s="9">
        <f ca="1">VLOOKUP(A413,[2]characters!$A:$I,9,FALSE)</f>
        <v>2</v>
      </c>
      <c r="D413" s="9" t="str">
        <f ca="1">VLOOKUP(A413,[2]characters!$A:$H,8,FALSE)</f>
        <v>yellow</v>
      </c>
      <c r="E413" s="24">
        <f ca="1">VLOOKUP(D413,[2]属性!$A:$E,2,FALSE)</f>
        <v>0.98</v>
      </c>
      <c r="F413" s="24">
        <f ca="1">VLOOKUP(D413,[2]属性!$A:$E,3,FALSE)</f>
        <v>1.01</v>
      </c>
      <c r="G413" s="24">
        <f ca="1">VLOOKUP(D413,[2]属性!$A:$F,4,FALSE)</f>
        <v>1</v>
      </c>
      <c r="H413" s="9" t="s">
        <v>137</v>
      </c>
      <c r="I413" s="14" t="str">
        <f>VLOOKUP(H413,[2]character_type_i18n!$A:$F,3,FALSE)</f>
        <v>体力タイプ</v>
      </c>
      <c r="J413" s="36">
        <f>VLOOKUP(H413,[2]character_type_i18n!$A:$F,4,FALSE)</f>
        <v>1.45</v>
      </c>
      <c r="K413" s="36">
        <f>VLOOKUP(H413,[2]character_type_i18n!$A:$F,5,FALSE)</f>
        <v>0.85</v>
      </c>
      <c r="L413" s="36">
        <f>VLOOKUP(H413,[2]character_type_i18n!$A:$F,6,FALSE)</f>
        <v>1</v>
      </c>
      <c r="M413" s="9" t="str">
        <f ca="1">VLOOKUP(A413,[2]characters!$A:$M,13,FALSE)</f>
        <v>unknown</v>
      </c>
      <c r="N413" s="14" t="str">
        <f ca="1">VLOOKUP(M413,[2]character_tribe_i18n!$A:$F,3,FALSE)</f>
        <v>Unknown</v>
      </c>
      <c r="O413" s="24">
        <f ca="1">VLOOKUP(M413,[2]character_tribe_i18n!$A:$F,4,FALSE)</f>
        <v>1</v>
      </c>
      <c r="P413" s="24">
        <f ca="1">VLOOKUP(M413,[2]character_tribe_i18n!$A:$F,5,FALSE)</f>
        <v>1</v>
      </c>
      <c r="Q413" s="24">
        <f ca="1">VLOOKUP(M413,[2]character_tribe_i18n!$A:$F,6,FALSE)</f>
        <v>1</v>
      </c>
      <c r="R413" s="25" t="s">
        <v>19</v>
      </c>
      <c r="S413" s="24">
        <f>VLOOKUP($R413,ラベル別係数!$A$1:$E$7,3,FALSE)</f>
        <v>1</v>
      </c>
      <c r="T413" s="24">
        <f>VLOOKUP($R413,ラベル別係数!$A$1:$E$7,4,FALSE)</f>
        <v>1</v>
      </c>
      <c r="U413" s="24">
        <f>VLOOKUP($R413,ラベル別係数!$A$1:$E$7,5,FALSE)</f>
        <v>1</v>
      </c>
      <c r="V413" s="27">
        <v>3</v>
      </c>
      <c r="W413" s="28">
        <f>VLOOKUP(V413,ターン数別攻撃係数!$A$1:$B$1000,2,FALSE)</f>
        <v>1</v>
      </c>
      <c r="X413" s="9">
        <f ca="1">VLOOKUP(C413,サイズ別係数!A$2:B$8,2,FALSE)</f>
        <v>15</v>
      </c>
      <c r="Y413" s="26">
        <f ca="1">VLOOKUP($X413,サイズ別係数!$B:$E,2,FALSE)</f>
        <v>1</v>
      </c>
      <c r="Z413" s="26">
        <f ca="1">VLOOKUP($X413,サイズ別係数!$B:$E,3,FALSE)</f>
        <v>1</v>
      </c>
      <c r="AA413" s="26">
        <f ca="1">VLOOKUP($X413,サイズ別係数!$B:$E,4,FALSE)</f>
        <v>1</v>
      </c>
      <c r="AB413" s="5">
        <v>0</v>
      </c>
      <c r="AC413" s="34" t="str">
        <f ca="1">VLOOKUP($AB413,OFFSET([3]enemy_skill_sets!$B$2,0,0,COUNTA([3]enemy_skill_sets!$A:$A),MATCH(AC$1,[3]enemy_skill_sets!$1:$1,0)-MATCH($AB$1,[3]enemy_skill_sets!$1:$1,0)+1),MATCH(AC$1,[3]enemy_skill_sets!$1:$1,0)-MATCH($AB$1,[3]enemy_skill_sets!$1:$1,0)+1,FALSE)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3" s="67">
        <v>1</v>
      </c>
      <c r="AE413" s="67">
        <v>1</v>
      </c>
      <c r="AF413" s="37">
        <v>0</v>
      </c>
      <c r="AG413" s="28">
        <f ca="1">ROUND(VLOOKUP(1,enemy_base_stats!$A:$F,2,FALSE) * Y413* J413*O413*E413*S413*AD413*[2]ステータス!$B$2,0)</f>
        <v>711</v>
      </c>
      <c r="AH413" s="28">
        <f ca="1">ROUND(VLOOKUP(1,enemy_base_stats!$A:$F,3,FALSE) * Z413*K413*P413*F413*T413*AE413 * W413*[2]ステータス!$C$2,0)</f>
        <v>129</v>
      </c>
      <c r="AI413" s="28">
        <f ca="1">ROUND(VLOOKUP(1,enemy_base_stats!$A:$F,4,FALSE) * AA413*L413*Q413*G413*U413*AF413*[2]ステータス!$D$2,0)</f>
        <v>0</v>
      </c>
      <c r="AJ413" s="28">
        <f ca="1">ROUND(VLOOKUP(100,enemy_base_stats!$A:$F,2,FALSE) * Y413* J413*O413*E413*S413*AD413*[2]ステータス!$B$2,0)</f>
        <v>28846</v>
      </c>
      <c r="AK413" s="28">
        <f ca="1">ROUND(VLOOKUP(100,enemy_base_stats!$A:$F,3,FALSE)* Z413* K413*P413*F413*T413*AE413 * W413*[2]ステータス!$C$2,0)</f>
        <v>5228</v>
      </c>
      <c r="AL413" s="28">
        <f ca="1">ROUND(VLOOKUP(100,enemy_base_stats!$A:$F,4,FALSE)* AA413* L413*Q413*G413*U413*AF413*[2]ステータス!$D$2,0)</f>
        <v>0</v>
      </c>
      <c r="AM413" s="24">
        <f ca="1">VLOOKUP(M413,[2]character_tribe_i18n!$A:$I,9,FALSE)</f>
        <v>340</v>
      </c>
      <c r="AN413" s="36">
        <v>0</v>
      </c>
      <c r="AO413" s="53">
        <v>0</v>
      </c>
      <c r="AP413" s="58" t="s">
        <v>72</v>
      </c>
      <c r="AQ413" s="71">
        <f t="shared" ca="1" si="15"/>
        <v>412</v>
      </c>
    </row>
    <row r="414" spans="1:43" ht="21" customHeight="1" x14ac:dyDescent="0.15">
      <c r="A414" s="7">
        <f t="shared" ca="1" si="13"/>
        <v>413</v>
      </c>
      <c r="B414" s="6" t="str">
        <f ca="1">VLOOKUP(A414,[2]characters!$A:$C,3,FALSE)</f>
        <v>狂騒地蔵 コウネン</v>
      </c>
      <c r="C414" s="9">
        <f ca="1">VLOOKUP(A414,[2]characters!$A:$I,9,FALSE)</f>
        <v>3</v>
      </c>
      <c r="D414" s="9" t="str">
        <f ca="1">VLOOKUP(A414,[2]characters!$A:$H,8,FALSE)</f>
        <v>yellow</v>
      </c>
      <c r="E414" s="24">
        <f ca="1">VLOOKUP(D414,[2]属性!$A:$E,2,FALSE)</f>
        <v>0.98</v>
      </c>
      <c r="F414" s="24">
        <f ca="1">VLOOKUP(D414,[2]属性!$A:$E,3,FALSE)</f>
        <v>1.01</v>
      </c>
      <c r="G414" s="24">
        <f ca="1">VLOOKUP(D414,[2]属性!$A:$F,4,FALSE)</f>
        <v>1</v>
      </c>
      <c r="H414" s="9" t="s">
        <v>138</v>
      </c>
      <c r="I414" s="14" t="str">
        <f>VLOOKUP(H414,[2]character_type_i18n!$A:$F,3,FALSE)</f>
        <v>体力タイプ</v>
      </c>
      <c r="J414" s="36">
        <f>VLOOKUP(H414,[2]character_type_i18n!$A:$F,4,FALSE)</f>
        <v>1.45</v>
      </c>
      <c r="K414" s="36">
        <f>VLOOKUP(H414,[2]character_type_i18n!$A:$F,5,FALSE)</f>
        <v>0.85</v>
      </c>
      <c r="L414" s="36">
        <f>VLOOKUP(H414,[2]character_type_i18n!$A:$F,6,FALSE)</f>
        <v>1</v>
      </c>
      <c r="M414" s="9" t="str">
        <f ca="1">VLOOKUP(A414,[2]characters!$A:$M,13,FALSE)</f>
        <v>unknown</v>
      </c>
      <c r="N414" s="14" t="str">
        <f ca="1">VLOOKUP(M414,[2]character_tribe_i18n!$A:$F,3,FALSE)</f>
        <v>Unknown</v>
      </c>
      <c r="O414" s="24">
        <f ca="1">VLOOKUP(M414,[2]character_tribe_i18n!$A:$F,4,FALSE)</f>
        <v>1</v>
      </c>
      <c r="P414" s="24">
        <f ca="1">VLOOKUP(M414,[2]character_tribe_i18n!$A:$F,5,FALSE)</f>
        <v>1</v>
      </c>
      <c r="Q414" s="24">
        <f ca="1">VLOOKUP(M414,[2]character_tribe_i18n!$A:$F,6,FALSE)</f>
        <v>1</v>
      </c>
      <c r="R414" s="25" t="s">
        <v>19</v>
      </c>
      <c r="S414" s="24">
        <f>VLOOKUP($R414,ラベル別係数!$A$1:$E$7,3,FALSE)</f>
        <v>1</v>
      </c>
      <c r="T414" s="24">
        <f>VLOOKUP($R414,ラベル別係数!$A$1:$E$7,4,FALSE)</f>
        <v>1</v>
      </c>
      <c r="U414" s="24">
        <f>VLOOKUP($R414,ラベル別係数!$A$1:$E$7,5,FALSE)</f>
        <v>1</v>
      </c>
      <c r="V414" s="27">
        <v>3</v>
      </c>
      <c r="W414" s="28">
        <f>VLOOKUP(V414,ターン数別攻撃係数!$A$1:$B$1000,2,FALSE)</f>
        <v>1</v>
      </c>
      <c r="X414" s="9">
        <v>20</v>
      </c>
      <c r="Y414" s="26">
        <f>VLOOKUP($X414,サイズ別係数!$B:$E,2,FALSE)</f>
        <v>1.1000000000000001</v>
      </c>
      <c r="Z414" s="26">
        <f>VLOOKUP($X414,サイズ別係数!$B:$E,3,FALSE)</f>
        <v>1.2</v>
      </c>
      <c r="AA414" s="26">
        <f>VLOOKUP($X414,サイズ別係数!$B:$E,4,FALSE)</f>
        <v>1.2</v>
      </c>
      <c r="AB414" s="5">
        <v>0</v>
      </c>
      <c r="AC414" s="34" t="str">
        <f ca="1">VLOOKUP($AB414,OFFSET([3]enemy_skill_sets!$B$2,0,0,COUNTA([3]enemy_skill_sets!$A:$A),MATCH(AC$1,[3]enemy_skill_sets!$1:$1,0)-MATCH($AB$1,[3]enemy_skill_sets!$1:$1,0)+1),MATCH(AC$1,[3]enemy_skill_sets!$1:$1,0)-MATCH($AB$1,[3]enemy_skill_sets!$1:$1,0)+1,FALSE)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4" s="67">
        <v>1</v>
      </c>
      <c r="AE414" s="67">
        <v>1</v>
      </c>
      <c r="AF414" s="37">
        <v>0</v>
      </c>
      <c r="AG414" s="28">
        <f ca="1">ROUND(VLOOKUP(1,enemy_base_stats!$A:$F,2,FALSE) * Y414* J414*O414*E414*S414*AD414*[2]ステータス!$B$2,0)</f>
        <v>782</v>
      </c>
      <c r="AH414" s="28">
        <f ca="1">ROUND(VLOOKUP(1,enemy_base_stats!$A:$F,3,FALSE) * Z414*K414*P414*F414*T414*AE414 * W414*[2]ステータス!$C$2,0)</f>
        <v>155</v>
      </c>
      <c r="AI414" s="28">
        <f ca="1">ROUND(VLOOKUP(1,enemy_base_stats!$A:$F,4,FALSE) * AA414*L414*Q414*G414*U414*AF414*[2]ステータス!$D$2,0)</f>
        <v>0</v>
      </c>
      <c r="AJ414" s="28">
        <f ca="1">ROUND(VLOOKUP(100,enemy_base_stats!$A:$F,2,FALSE) * Y414* J414*O414*E414*S414*AD414*[2]ステータス!$B$2,0)</f>
        <v>31731</v>
      </c>
      <c r="AK414" s="28">
        <f ca="1">ROUND(VLOOKUP(100,enemy_base_stats!$A:$F,3,FALSE)* Z414* K414*P414*F414*T414*AE414 * W414*[2]ステータス!$C$2,0)</f>
        <v>6274</v>
      </c>
      <c r="AL414" s="28">
        <f ca="1">ROUND(VLOOKUP(100,enemy_base_stats!$A:$F,4,FALSE)* AA414* L414*Q414*G414*U414*AF414*[2]ステータス!$D$2,0)</f>
        <v>0</v>
      </c>
      <c r="AM414" s="24">
        <f ca="1">VLOOKUP(M414,[2]character_tribe_i18n!$A:$I,9,FALSE)</f>
        <v>340</v>
      </c>
      <c r="AN414" s="36">
        <v>0</v>
      </c>
      <c r="AO414" s="53">
        <v>0</v>
      </c>
      <c r="AP414" s="58" t="s">
        <v>72</v>
      </c>
      <c r="AQ414" s="71">
        <f t="shared" ca="1" si="15"/>
        <v>413</v>
      </c>
    </row>
    <row r="415" spans="1:43" ht="21" customHeight="1" x14ac:dyDescent="0.15">
      <c r="A415" s="7">
        <f t="shared" ca="1" si="13"/>
        <v>414</v>
      </c>
      <c r="B415" s="6" t="str">
        <f ca="1">VLOOKUP(A415,[2]characters!$A:$C,3,FALSE)</f>
        <v>炎のミリオンダック 2</v>
      </c>
      <c r="C415" s="9">
        <f ca="1">VLOOKUP(A415,[2]characters!$A:$I,9,FALSE)</f>
        <v>6</v>
      </c>
      <c r="D415" s="9" t="str">
        <f ca="1">VLOOKUP(A415,[2]characters!$A:$H,8,FALSE)</f>
        <v>red</v>
      </c>
      <c r="E415" s="24">
        <f ca="1">VLOOKUP(D415,[2]属性!$A:$E,2,FALSE)</f>
        <v>1</v>
      </c>
      <c r="F415" s="24">
        <f ca="1">VLOOKUP(D415,[2]属性!$A:$E,3,FALSE)</f>
        <v>1.02</v>
      </c>
      <c r="G415" s="24">
        <f ca="1">VLOOKUP(D415,[2]属性!$A:$F,4,FALSE)</f>
        <v>1</v>
      </c>
      <c r="H415" s="9" t="str">
        <f ca="1">VLOOKUP(A415,[2]characters!$A:$K,11,FALSE)</f>
        <v>exp</v>
      </c>
      <c r="I415" s="14" t="str">
        <f ca="1">VLOOKUP(H415,[2]character_type_i18n!$A:$F,3,FALSE)</f>
        <v>強化素材タイプ</v>
      </c>
      <c r="J415" s="36">
        <f ca="1">VLOOKUP(H415,[2]character_type_i18n!$A:$F,4,FALSE)</f>
        <v>0.1</v>
      </c>
      <c r="K415" s="36">
        <f ca="1">VLOOKUP(H415,[2]character_type_i18n!$A:$F,5,FALSE)</f>
        <v>0.05</v>
      </c>
      <c r="L415" s="36">
        <f ca="1">VLOOKUP(H415,[2]character_type_i18n!$A:$F,6,FALSE)</f>
        <v>1</v>
      </c>
      <c r="M415" s="9" t="str">
        <f ca="1">VLOOKUP(A415,[2]characters!$A:$M,13,FALSE)</f>
        <v>unknown</v>
      </c>
      <c r="N415" s="14" t="str">
        <f ca="1">VLOOKUP(M415,[2]character_tribe_i18n!$A:$F,3,FALSE)</f>
        <v>Unknown</v>
      </c>
      <c r="O415" s="24">
        <f ca="1">VLOOKUP(M415,[2]character_tribe_i18n!$A:$F,4,FALSE)</f>
        <v>1</v>
      </c>
      <c r="P415" s="24">
        <f ca="1">VLOOKUP(M415,[2]character_tribe_i18n!$A:$F,5,FALSE)</f>
        <v>1</v>
      </c>
      <c r="Q415" s="24">
        <f ca="1">VLOOKUP(M415,[2]character_tribe_i18n!$A:$F,6,FALSE)</f>
        <v>1</v>
      </c>
      <c r="R415" s="25" t="s">
        <v>98</v>
      </c>
      <c r="S415" s="24">
        <f>VLOOKUP($R415,ラベル別係数!$A$1:$E$7,3,FALSE)</f>
        <v>5</v>
      </c>
      <c r="T415" s="24">
        <f>VLOOKUP($R415,ラベル別係数!$A$1:$E$7,4,FALSE)</f>
        <v>1.3</v>
      </c>
      <c r="U415" s="24">
        <f>VLOOKUP($R415,ラベル別係数!$A$1:$E$7,5,FALSE)</f>
        <v>0.8</v>
      </c>
      <c r="V415" s="27">
        <v>3</v>
      </c>
      <c r="W415" s="28">
        <f>VLOOKUP(V415,ターン数別攻撃係数!$A$1:$B$1000,2,FALSE)</f>
        <v>1</v>
      </c>
      <c r="X415" s="10">
        <v>20</v>
      </c>
      <c r="Y415" s="26">
        <f>VLOOKUP($X415,サイズ別係数!$B:$E,2,FALSE)</f>
        <v>1.1000000000000001</v>
      </c>
      <c r="Z415" s="26">
        <f>VLOOKUP($X415,サイズ別係数!$B:$E,3,FALSE)</f>
        <v>1.2</v>
      </c>
      <c r="AA415" s="26">
        <f>VLOOKUP($X415,サイズ別係数!$B:$E,4,FALSE)</f>
        <v>1.2</v>
      </c>
      <c r="AB415" s="5">
        <v>0</v>
      </c>
      <c r="AC415" s="34" t="str">
        <f ca="1">VLOOKUP($AB415,OFFSET([3]enemy_skill_sets!$B$2,0,0,COUNTA([3]enemy_skill_sets!$A:$A),MATCH(AC$1,[3]enemy_skill_sets!$1:$1,0)-MATCH($AB$1,[3]enemy_skill_sets!$1:$1,0)+1),MATCH(AC$1,[3]enemy_skill_sets!$1:$1,0)-MATCH($AB$1,[3]enemy_skill_sets!$1:$1,0)+1,FALSE)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5" s="67">
        <v>1</v>
      </c>
      <c r="AE415" s="67">
        <v>1</v>
      </c>
      <c r="AF415" s="37">
        <v>0</v>
      </c>
      <c r="AG415" s="104">
        <v>100</v>
      </c>
      <c r="AH415" s="104">
        <v>1000</v>
      </c>
      <c r="AI415" s="104">
        <v>0</v>
      </c>
      <c r="AJ415" s="104">
        <v>100</v>
      </c>
      <c r="AK415" s="104">
        <v>1000</v>
      </c>
      <c r="AL415" s="104">
        <v>0</v>
      </c>
      <c r="AM415" s="64">
        <v>998876</v>
      </c>
      <c r="AN415" s="36">
        <v>0</v>
      </c>
      <c r="AO415" s="53">
        <v>0</v>
      </c>
      <c r="AP415" s="58" t="s">
        <v>72</v>
      </c>
      <c r="AQ415" s="71">
        <f t="shared" ref="AQ415:AQ430" ca="1" si="16">A415</f>
        <v>414</v>
      </c>
    </row>
    <row r="416" spans="1:43" ht="21" customHeight="1" x14ac:dyDescent="0.15">
      <c r="A416" s="7">
        <f t="shared" ca="1" si="13"/>
        <v>415</v>
      </c>
      <c r="B416" s="6" t="str">
        <f ca="1">VLOOKUP(A416,[2]characters!$A:$C,3,FALSE)</f>
        <v>森のミリオンダック 2</v>
      </c>
      <c r="C416" s="9">
        <f ca="1">VLOOKUP(A416,[2]characters!$A:$I,9,FALSE)</f>
        <v>6</v>
      </c>
      <c r="D416" s="9" t="str">
        <f ca="1">VLOOKUP(A416,[2]characters!$A:$H,8,FALSE)</f>
        <v>green</v>
      </c>
      <c r="E416" s="24">
        <f ca="1">VLOOKUP(D416,[2]属性!$A:$E,2,FALSE)</f>
        <v>1.02</v>
      </c>
      <c r="F416" s="24">
        <f ca="1">VLOOKUP(D416,[2]属性!$A:$E,3,FALSE)</f>
        <v>0.98</v>
      </c>
      <c r="G416" s="24">
        <f ca="1">VLOOKUP(D416,[2]属性!$A:$F,4,FALSE)</f>
        <v>1</v>
      </c>
      <c r="H416" s="9" t="str">
        <f ca="1">VLOOKUP(A416,[2]characters!$A:$K,11,FALSE)</f>
        <v>exp</v>
      </c>
      <c r="I416" s="14" t="str">
        <f ca="1">VLOOKUP(H416,[2]character_type_i18n!$A:$F,3,FALSE)</f>
        <v>強化素材タイプ</v>
      </c>
      <c r="J416" s="36">
        <f ca="1">VLOOKUP(H416,[2]character_type_i18n!$A:$F,4,FALSE)</f>
        <v>0.1</v>
      </c>
      <c r="K416" s="36">
        <f ca="1">VLOOKUP(H416,[2]character_type_i18n!$A:$F,5,FALSE)</f>
        <v>0.05</v>
      </c>
      <c r="L416" s="36">
        <f ca="1">VLOOKUP(H416,[2]character_type_i18n!$A:$F,6,FALSE)</f>
        <v>1</v>
      </c>
      <c r="M416" s="9" t="str">
        <f ca="1">VLOOKUP(A416,[2]characters!$A:$M,13,FALSE)</f>
        <v>unknown</v>
      </c>
      <c r="N416" s="14" t="str">
        <f ca="1">VLOOKUP(M416,[2]character_tribe_i18n!$A:$F,3,FALSE)</f>
        <v>Unknown</v>
      </c>
      <c r="O416" s="24">
        <f ca="1">VLOOKUP(M416,[2]character_tribe_i18n!$A:$F,4,FALSE)</f>
        <v>1</v>
      </c>
      <c r="P416" s="24">
        <f ca="1">VLOOKUP(M416,[2]character_tribe_i18n!$A:$F,5,FALSE)</f>
        <v>1</v>
      </c>
      <c r="Q416" s="24">
        <f ca="1">VLOOKUP(M416,[2]character_tribe_i18n!$A:$F,6,FALSE)</f>
        <v>1</v>
      </c>
      <c r="R416" s="25" t="s">
        <v>98</v>
      </c>
      <c r="S416" s="24">
        <f>VLOOKUP($R416,ラベル別係数!$A$1:$E$7,3,FALSE)</f>
        <v>5</v>
      </c>
      <c r="T416" s="24">
        <f>VLOOKUP($R416,ラベル別係数!$A$1:$E$7,4,FALSE)</f>
        <v>1.3</v>
      </c>
      <c r="U416" s="24">
        <f>VLOOKUP($R416,ラベル別係数!$A$1:$E$7,5,FALSE)</f>
        <v>0.8</v>
      </c>
      <c r="V416" s="27">
        <v>3</v>
      </c>
      <c r="W416" s="28">
        <f>VLOOKUP(V416,ターン数別攻撃係数!$A$1:$B$1000,2,FALSE)</f>
        <v>1</v>
      </c>
      <c r="X416" s="10">
        <v>20</v>
      </c>
      <c r="Y416" s="26">
        <f>VLOOKUP($X416,サイズ別係数!$B:$E,2,FALSE)</f>
        <v>1.1000000000000001</v>
      </c>
      <c r="Z416" s="26">
        <f>VLOOKUP($X416,サイズ別係数!$B:$E,3,FALSE)</f>
        <v>1.2</v>
      </c>
      <c r="AA416" s="26">
        <f>VLOOKUP($X416,サイズ別係数!$B:$E,4,FALSE)</f>
        <v>1.2</v>
      </c>
      <c r="AB416" s="5">
        <v>0</v>
      </c>
      <c r="AC416" s="34" t="str">
        <f ca="1">VLOOKUP($AB416,OFFSET([3]enemy_skill_sets!$B$2,0,0,COUNTA([3]enemy_skill_sets!$A:$A),MATCH(AC$1,[3]enemy_skill_sets!$1:$1,0)-MATCH($AB$1,[3]enemy_skill_sets!$1:$1,0)+1),MATCH(AC$1,[3]enemy_skill_sets!$1:$1,0)-MATCH($AB$1,[3]enemy_skill_sets!$1:$1,0)+1,FALSE)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6" s="67">
        <v>1</v>
      </c>
      <c r="AE416" s="67">
        <v>1</v>
      </c>
      <c r="AF416" s="37">
        <v>0</v>
      </c>
      <c r="AG416" s="104">
        <v>100</v>
      </c>
      <c r="AH416" s="104">
        <v>1000</v>
      </c>
      <c r="AI416" s="104">
        <v>0</v>
      </c>
      <c r="AJ416" s="104">
        <v>100</v>
      </c>
      <c r="AK416" s="104">
        <v>1000</v>
      </c>
      <c r="AL416" s="104">
        <v>0</v>
      </c>
      <c r="AM416" s="64">
        <v>998876</v>
      </c>
      <c r="AN416" s="36">
        <v>0</v>
      </c>
      <c r="AO416" s="53">
        <v>0</v>
      </c>
      <c r="AP416" s="58" t="s">
        <v>72</v>
      </c>
      <c r="AQ416" s="71">
        <f t="shared" ca="1" si="16"/>
        <v>415</v>
      </c>
    </row>
    <row r="417" spans="1:43" ht="21" customHeight="1" x14ac:dyDescent="0.15">
      <c r="A417" s="7">
        <f t="shared" ca="1" si="13"/>
        <v>416</v>
      </c>
      <c r="B417" s="6" t="str">
        <f ca="1">VLOOKUP(A417,[2]characters!$A:$C,3,FALSE)</f>
        <v>水のミリオンダック 2</v>
      </c>
      <c r="C417" s="9">
        <f ca="1">VLOOKUP(A417,[2]characters!$A:$I,9,FALSE)</f>
        <v>6</v>
      </c>
      <c r="D417" s="9" t="str">
        <f ca="1">VLOOKUP(A417,[2]characters!$A:$H,8,FALSE)</f>
        <v>blue</v>
      </c>
      <c r="E417" s="24">
        <f ca="1">VLOOKUP(D417,[2]属性!$A:$E,2,FALSE)</f>
        <v>1</v>
      </c>
      <c r="F417" s="24">
        <f ca="1">VLOOKUP(D417,[2]属性!$A:$E,3,FALSE)</f>
        <v>0.98</v>
      </c>
      <c r="G417" s="24">
        <f ca="1">VLOOKUP(D417,[2]属性!$A:$F,4,FALSE)</f>
        <v>1</v>
      </c>
      <c r="H417" s="9" t="str">
        <f ca="1">VLOOKUP(A417,[2]characters!$A:$K,11,FALSE)</f>
        <v>exp</v>
      </c>
      <c r="I417" s="14" t="str">
        <f ca="1">VLOOKUP(H417,[2]character_type_i18n!$A:$F,3,FALSE)</f>
        <v>強化素材タイプ</v>
      </c>
      <c r="J417" s="36">
        <f ca="1">VLOOKUP(H417,[2]character_type_i18n!$A:$F,4,FALSE)</f>
        <v>0.1</v>
      </c>
      <c r="K417" s="36">
        <f ca="1">VLOOKUP(H417,[2]character_type_i18n!$A:$F,5,FALSE)</f>
        <v>0.05</v>
      </c>
      <c r="L417" s="36">
        <f ca="1">VLOOKUP(H417,[2]character_type_i18n!$A:$F,6,FALSE)</f>
        <v>1</v>
      </c>
      <c r="M417" s="9" t="str">
        <f ca="1">VLOOKUP(A417,[2]characters!$A:$M,13,FALSE)</f>
        <v>unknown</v>
      </c>
      <c r="N417" s="14" t="str">
        <f ca="1">VLOOKUP(M417,[2]character_tribe_i18n!$A:$F,3,FALSE)</f>
        <v>Unknown</v>
      </c>
      <c r="O417" s="24">
        <f ca="1">VLOOKUP(M417,[2]character_tribe_i18n!$A:$F,4,FALSE)</f>
        <v>1</v>
      </c>
      <c r="P417" s="24">
        <f ca="1">VLOOKUP(M417,[2]character_tribe_i18n!$A:$F,5,FALSE)</f>
        <v>1</v>
      </c>
      <c r="Q417" s="24">
        <f ca="1">VLOOKUP(M417,[2]character_tribe_i18n!$A:$F,6,FALSE)</f>
        <v>1</v>
      </c>
      <c r="R417" s="25" t="s">
        <v>98</v>
      </c>
      <c r="S417" s="24">
        <f>VLOOKUP($R417,ラベル別係数!$A$1:$E$7,3,FALSE)</f>
        <v>5</v>
      </c>
      <c r="T417" s="24">
        <f>VLOOKUP($R417,ラベル別係数!$A$1:$E$7,4,FALSE)</f>
        <v>1.3</v>
      </c>
      <c r="U417" s="24">
        <f>VLOOKUP($R417,ラベル別係数!$A$1:$E$7,5,FALSE)</f>
        <v>0.8</v>
      </c>
      <c r="V417" s="27">
        <v>3</v>
      </c>
      <c r="W417" s="28">
        <f>VLOOKUP(V417,ターン数別攻撃係数!$A$1:$B$1000,2,FALSE)</f>
        <v>1</v>
      </c>
      <c r="X417" s="10">
        <v>20</v>
      </c>
      <c r="Y417" s="26">
        <f>VLOOKUP($X417,サイズ別係数!$B:$E,2,FALSE)</f>
        <v>1.1000000000000001</v>
      </c>
      <c r="Z417" s="26">
        <f>VLOOKUP($X417,サイズ別係数!$B:$E,3,FALSE)</f>
        <v>1.2</v>
      </c>
      <c r="AA417" s="26">
        <f>VLOOKUP($X417,サイズ別係数!$B:$E,4,FALSE)</f>
        <v>1.2</v>
      </c>
      <c r="AB417" s="5">
        <v>0</v>
      </c>
      <c r="AC417" s="34" t="str">
        <f ca="1">VLOOKUP($AB417,OFFSET([3]enemy_skill_sets!$B$2,0,0,COUNTA([3]enemy_skill_sets!$A:$A),MATCH(AC$1,[3]enemy_skill_sets!$1:$1,0)-MATCH($AB$1,[3]enemy_skill_sets!$1:$1,0)+1),MATCH(AC$1,[3]enemy_skill_sets!$1:$1,0)-MATCH($AB$1,[3]enemy_skill_sets!$1:$1,0)+1,FALSE)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7" s="67">
        <v>1</v>
      </c>
      <c r="AE417" s="67">
        <v>1</v>
      </c>
      <c r="AF417" s="37">
        <v>0</v>
      </c>
      <c r="AG417" s="104">
        <v>100</v>
      </c>
      <c r="AH417" s="104">
        <v>1000</v>
      </c>
      <c r="AI417" s="104">
        <v>0</v>
      </c>
      <c r="AJ417" s="104">
        <v>100</v>
      </c>
      <c r="AK417" s="104">
        <v>1000</v>
      </c>
      <c r="AL417" s="104">
        <v>0</v>
      </c>
      <c r="AM417" s="64">
        <v>998876</v>
      </c>
      <c r="AN417" s="36">
        <v>0</v>
      </c>
      <c r="AO417" s="53">
        <v>0</v>
      </c>
      <c r="AP417" s="58" t="s">
        <v>72</v>
      </c>
      <c r="AQ417" s="71">
        <f t="shared" ca="1" si="16"/>
        <v>416</v>
      </c>
    </row>
    <row r="418" spans="1:43" ht="21" customHeight="1" x14ac:dyDescent="0.15">
      <c r="A418" s="7">
        <f t="shared" ca="1" si="13"/>
        <v>417</v>
      </c>
      <c r="B418" s="6" t="str">
        <f ca="1">VLOOKUP(A418,[2]characters!$A:$C,3,FALSE)</f>
        <v>雷のミリオンダック 2</v>
      </c>
      <c r="C418" s="9">
        <f ca="1">VLOOKUP(A418,[2]characters!$A:$I,9,FALSE)</f>
        <v>6</v>
      </c>
      <c r="D418" s="9" t="str">
        <f ca="1">VLOOKUP(A418,[2]characters!$A:$H,8,FALSE)</f>
        <v>yellow</v>
      </c>
      <c r="E418" s="24">
        <f ca="1">VLOOKUP(D418,[2]属性!$A:$E,2,FALSE)</f>
        <v>0.98</v>
      </c>
      <c r="F418" s="24">
        <f ca="1">VLOOKUP(D418,[2]属性!$A:$E,3,FALSE)</f>
        <v>1.01</v>
      </c>
      <c r="G418" s="24">
        <f ca="1">VLOOKUP(D418,[2]属性!$A:$F,4,FALSE)</f>
        <v>1</v>
      </c>
      <c r="H418" s="9" t="str">
        <f ca="1">VLOOKUP(A418,[2]characters!$A:$K,11,FALSE)</f>
        <v>exp</v>
      </c>
      <c r="I418" s="14" t="str">
        <f ca="1">VLOOKUP(H418,[2]character_type_i18n!$A:$F,3,FALSE)</f>
        <v>強化素材タイプ</v>
      </c>
      <c r="J418" s="36">
        <f ca="1">VLOOKUP(H418,[2]character_type_i18n!$A:$F,4,FALSE)</f>
        <v>0.1</v>
      </c>
      <c r="K418" s="36">
        <f ca="1">VLOOKUP(H418,[2]character_type_i18n!$A:$F,5,FALSE)</f>
        <v>0.05</v>
      </c>
      <c r="L418" s="36">
        <f ca="1">VLOOKUP(H418,[2]character_type_i18n!$A:$F,6,FALSE)</f>
        <v>1</v>
      </c>
      <c r="M418" s="9" t="str">
        <f ca="1">VLOOKUP(A418,[2]characters!$A:$M,13,FALSE)</f>
        <v>unknown</v>
      </c>
      <c r="N418" s="14" t="str">
        <f ca="1">VLOOKUP(M418,[2]character_tribe_i18n!$A:$F,3,FALSE)</f>
        <v>Unknown</v>
      </c>
      <c r="O418" s="24">
        <f ca="1">VLOOKUP(M418,[2]character_tribe_i18n!$A:$F,4,FALSE)</f>
        <v>1</v>
      </c>
      <c r="P418" s="24">
        <f ca="1">VLOOKUP(M418,[2]character_tribe_i18n!$A:$F,5,FALSE)</f>
        <v>1</v>
      </c>
      <c r="Q418" s="24">
        <f ca="1">VLOOKUP(M418,[2]character_tribe_i18n!$A:$F,6,FALSE)</f>
        <v>1</v>
      </c>
      <c r="R418" s="25" t="s">
        <v>98</v>
      </c>
      <c r="S418" s="24">
        <f>VLOOKUP($R418,ラベル別係数!$A$1:$E$7,3,FALSE)</f>
        <v>5</v>
      </c>
      <c r="T418" s="24">
        <f>VLOOKUP($R418,ラベル別係数!$A$1:$E$7,4,FALSE)</f>
        <v>1.3</v>
      </c>
      <c r="U418" s="24">
        <f>VLOOKUP($R418,ラベル別係数!$A$1:$E$7,5,FALSE)</f>
        <v>0.8</v>
      </c>
      <c r="V418" s="27">
        <v>3</v>
      </c>
      <c r="W418" s="28">
        <f>VLOOKUP(V418,ターン数別攻撃係数!$A$1:$B$1000,2,FALSE)</f>
        <v>1</v>
      </c>
      <c r="X418" s="10">
        <v>20</v>
      </c>
      <c r="Y418" s="26">
        <f>VLOOKUP($X418,サイズ別係数!$B:$E,2,FALSE)</f>
        <v>1.1000000000000001</v>
      </c>
      <c r="Z418" s="26">
        <f>VLOOKUP($X418,サイズ別係数!$B:$E,3,FALSE)</f>
        <v>1.2</v>
      </c>
      <c r="AA418" s="26">
        <f>VLOOKUP($X418,サイズ別係数!$B:$E,4,FALSE)</f>
        <v>1.2</v>
      </c>
      <c r="AB418" s="5">
        <v>0</v>
      </c>
      <c r="AC418" s="34" t="str">
        <f ca="1">VLOOKUP($AB418,OFFSET([3]enemy_skill_sets!$B$2,0,0,COUNTA([3]enemy_skill_sets!$A:$A),MATCH(AC$1,[3]enemy_skill_sets!$1:$1,0)-MATCH($AB$1,[3]enemy_skill_sets!$1:$1,0)+1),MATCH(AC$1,[3]enemy_skill_sets!$1:$1,0)-MATCH($AB$1,[3]enemy_skill_sets!$1:$1,0)+1,FALSE)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8" s="67">
        <v>1</v>
      </c>
      <c r="AE418" s="67">
        <v>1</v>
      </c>
      <c r="AF418" s="37">
        <v>0</v>
      </c>
      <c r="AG418" s="104">
        <v>100</v>
      </c>
      <c r="AH418" s="104">
        <v>1000</v>
      </c>
      <c r="AI418" s="104">
        <v>0</v>
      </c>
      <c r="AJ418" s="104">
        <v>100</v>
      </c>
      <c r="AK418" s="104">
        <v>1000</v>
      </c>
      <c r="AL418" s="104">
        <v>0</v>
      </c>
      <c r="AM418" s="64">
        <v>998876</v>
      </c>
      <c r="AN418" s="36">
        <v>0</v>
      </c>
      <c r="AO418" s="53">
        <v>0</v>
      </c>
      <c r="AP418" s="58" t="s">
        <v>72</v>
      </c>
      <c r="AQ418" s="71">
        <f t="shared" ca="1" si="16"/>
        <v>417</v>
      </c>
    </row>
    <row r="419" spans="1:43" ht="21" customHeight="1" x14ac:dyDescent="0.15">
      <c r="A419" s="7">
        <f t="shared" ca="1" si="13"/>
        <v>418</v>
      </c>
      <c r="B419" s="6" t="str">
        <f ca="1">VLOOKUP(A419,[2]characters!$A:$C,3,FALSE)</f>
        <v>ウラシマ</v>
      </c>
      <c r="C419" s="9">
        <f ca="1">VLOOKUP(A419,[2]characters!$A:$I,9,FALSE)</f>
        <v>4</v>
      </c>
      <c r="D419" s="9" t="str">
        <f ca="1">VLOOKUP(A419,[2]characters!$A:$H,8,FALSE)</f>
        <v>red</v>
      </c>
      <c r="E419" s="24">
        <f ca="1">VLOOKUP(D419,[2]属性!$A:$E,2,FALSE)</f>
        <v>1</v>
      </c>
      <c r="F419" s="24">
        <f ca="1">VLOOKUP(D419,[2]属性!$A:$E,3,FALSE)</f>
        <v>1.02</v>
      </c>
      <c r="G419" s="24">
        <f ca="1">VLOOKUP(D419,[2]属性!$A:$F,4,FALSE)</f>
        <v>1</v>
      </c>
      <c r="H419" s="9" t="str">
        <f ca="1">VLOOKUP(A419,[2]characters!$A:$K,11,FALSE)</f>
        <v>hp</v>
      </c>
      <c r="I419" s="14" t="str">
        <f ca="1">VLOOKUP(H419,[2]character_type_i18n!$A:$F,3,FALSE)</f>
        <v>体力タイプ</v>
      </c>
      <c r="J419" s="36">
        <f ca="1">VLOOKUP(H419,[2]character_type_i18n!$A:$F,4,FALSE)</f>
        <v>1.45</v>
      </c>
      <c r="K419" s="36">
        <f ca="1">VLOOKUP(H419,[2]character_type_i18n!$A:$F,5,FALSE)</f>
        <v>0.85</v>
      </c>
      <c r="L419" s="36">
        <f ca="1">VLOOKUP(H419,[2]character_type_i18n!$A:$F,6,FALSE)</f>
        <v>1</v>
      </c>
      <c r="M419" s="9" t="str">
        <f ca="1">VLOOKUP(A419,[2]characters!$A:$M,13,FALSE)</f>
        <v>human</v>
      </c>
      <c r="N419" s="14" t="str">
        <f ca="1">VLOOKUP(M419,[2]character_tribe_i18n!$A:$F,3,FALSE)</f>
        <v>ヒューマン</v>
      </c>
      <c r="O419" s="24">
        <f ca="1">VLOOKUP(M419,[2]character_tribe_i18n!$A:$F,4,FALSE)</f>
        <v>0.94</v>
      </c>
      <c r="P419" s="24">
        <f ca="1">VLOOKUP(M419,[2]character_tribe_i18n!$A:$F,5,FALSE)</f>
        <v>0.99</v>
      </c>
      <c r="Q419" s="24">
        <f ca="1">VLOOKUP(M419,[2]character_tribe_i18n!$A:$F,6,FALSE)</f>
        <v>1</v>
      </c>
      <c r="R419" s="25" t="s">
        <v>98</v>
      </c>
      <c r="S419" s="24">
        <f>VLOOKUP($R419,ラベル別係数!$A$1:$E$7,3,FALSE)</f>
        <v>5</v>
      </c>
      <c r="T419" s="24">
        <f>VLOOKUP($R419,ラベル別係数!$A$1:$E$7,4,FALSE)</f>
        <v>1.3</v>
      </c>
      <c r="U419" s="24">
        <f>VLOOKUP($R419,ラベル別係数!$A$1:$E$7,5,FALSE)</f>
        <v>0.8</v>
      </c>
      <c r="V419" s="27">
        <v>3</v>
      </c>
      <c r="W419" s="28">
        <f>VLOOKUP(V419,ターン数別攻撃係数!$A$1:$B$1000,2,FALSE)</f>
        <v>1</v>
      </c>
      <c r="X419" s="10">
        <v>30</v>
      </c>
      <c r="Y419" s="26">
        <f>VLOOKUP($X419,サイズ別係数!$B:$E,2,FALSE)</f>
        <v>1.3</v>
      </c>
      <c r="Z419" s="26">
        <f>VLOOKUP($X419,サイズ別係数!$B:$E,3,FALSE)</f>
        <v>1.3</v>
      </c>
      <c r="AA419" s="26">
        <f>VLOOKUP($X419,サイズ別係数!$B:$E,4,FALSE)</f>
        <v>1.1000000000000001</v>
      </c>
      <c r="AB419" s="5">
        <v>0</v>
      </c>
      <c r="AC419" s="34" t="str">
        <f ca="1">VLOOKUP($AB419,OFFSET([3]enemy_skill_sets!$B$2,0,0,COUNTA([3]enemy_skill_sets!$A:$A),MATCH(AC$1,[3]enemy_skill_sets!$1:$1,0)-MATCH($AB$1,[3]enemy_skill_sets!$1:$1,0)+1),MATCH(AC$1,[3]enemy_skill_sets!$1:$1,0)-MATCH($AB$1,[3]enemy_skill_sets!$1:$1,0)+1,FALSE)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19" s="67">
        <v>1</v>
      </c>
      <c r="AE419" s="67">
        <v>1</v>
      </c>
      <c r="AF419" s="37">
        <v>0</v>
      </c>
      <c r="AG419" s="28">
        <f ca="1">ROUND(VLOOKUP(1,enemy_base_stats!$A:$F,2,FALSE) * Y419* J419*O419*E419*S419*AD419*[2]ステータス!$B$2,0)</f>
        <v>4430</v>
      </c>
      <c r="AH419" s="28">
        <f ca="1">ROUND(VLOOKUP(1,enemy_base_stats!$A:$F,3,FALSE) * Z419*K419*P419*F419*T419*AE419 * W419*[2]ステータス!$C$2,0)</f>
        <v>218</v>
      </c>
      <c r="AI419" s="28">
        <f ca="1">ROUND(VLOOKUP(1,enemy_base_stats!$A:$F,4,FALSE) * AA419*L419*Q419*G419*U419*AF419*[2]ステータス!$D$2,0)</f>
        <v>0</v>
      </c>
      <c r="AJ419" s="28">
        <f ca="1">ROUND(VLOOKUP(100,enemy_base_stats!$A:$F,2,FALSE) * Y419* J419*O419*E419*S419*AD419*[2]ステータス!$B$2,0)</f>
        <v>179848</v>
      </c>
      <c r="AK419" s="28">
        <f ca="1">ROUND(VLOOKUP(100,enemy_base_stats!$A:$F,3,FALSE)* Z419* K419*P419*F419*T419*AE419 * W419*[2]ステータス!$C$2,0)</f>
        <v>8834</v>
      </c>
      <c r="AL419" s="28">
        <f ca="1">ROUND(VLOOKUP(100,enemy_base_stats!$A:$F,4,FALSE)* AA419* L419*Q419*G419*U419*AF419*[2]ステータス!$D$2,0)</f>
        <v>0</v>
      </c>
      <c r="AM419" s="24">
        <f ca="1">VLOOKUP(M419,[2]character_tribe_i18n!$A:$I,9,FALSE)</f>
        <v>400</v>
      </c>
      <c r="AN419" s="36">
        <v>0</v>
      </c>
      <c r="AO419" s="53">
        <v>0</v>
      </c>
      <c r="AP419" s="58" t="s">
        <v>72</v>
      </c>
      <c r="AQ419" s="71">
        <f t="shared" ca="1" si="16"/>
        <v>418</v>
      </c>
    </row>
    <row r="420" spans="1:43" ht="21" customHeight="1" x14ac:dyDescent="0.15">
      <c r="A420" s="7">
        <f t="shared" ca="1" si="13"/>
        <v>419</v>
      </c>
      <c r="B420" s="6" t="str">
        <f ca="1">VLOOKUP(A420,[2]characters!$A:$C,3,FALSE)</f>
        <v>宣戦の解城 ウラシマ</v>
      </c>
      <c r="C420" s="9">
        <f ca="1">VLOOKUP(A420,[2]characters!$A:$I,9,FALSE)</f>
        <v>5</v>
      </c>
      <c r="D420" s="9" t="str">
        <f ca="1">VLOOKUP(A420,[2]characters!$A:$H,8,FALSE)</f>
        <v>red</v>
      </c>
      <c r="E420" s="24">
        <f ca="1">VLOOKUP(D420,[2]属性!$A:$E,2,FALSE)</f>
        <v>1</v>
      </c>
      <c r="F420" s="24">
        <f ca="1">VLOOKUP(D420,[2]属性!$A:$E,3,FALSE)</f>
        <v>1.02</v>
      </c>
      <c r="G420" s="24">
        <f ca="1">VLOOKUP(D420,[2]属性!$A:$F,4,FALSE)</f>
        <v>1</v>
      </c>
      <c r="H420" s="9" t="str">
        <f ca="1">VLOOKUP(A420,[2]characters!$A:$K,11,FALSE)</f>
        <v>hp</v>
      </c>
      <c r="I420" s="14" t="str">
        <f ca="1">VLOOKUP(H420,[2]character_type_i18n!$A:$F,3,FALSE)</f>
        <v>体力タイプ</v>
      </c>
      <c r="J420" s="36">
        <f ca="1">VLOOKUP(H420,[2]character_type_i18n!$A:$F,4,FALSE)</f>
        <v>1.45</v>
      </c>
      <c r="K420" s="36">
        <f ca="1">VLOOKUP(H420,[2]character_type_i18n!$A:$F,5,FALSE)</f>
        <v>0.85</v>
      </c>
      <c r="L420" s="36">
        <f ca="1">VLOOKUP(H420,[2]character_type_i18n!$A:$F,6,FALSE)</f>
        <v>1</v>
      </c>
      <c r="M420" s="9" t="str">
        <f ca="1">VLOOKUP(A420,[2]characters!$A:$M,13,FALSE)</f>
        <v>human</v>
      </c>
      <c r="N420" s="14" t="str">
        <f ca="1">VLOOKUP(M420,[2]character_tribe_i18n!$A:$F,3,FALSE)</f>
        <v>ヒューマン</v>
      </c>
      <c r="O420" s="24">
        <f ca="1">VLOOKUP(M420,[2]character_tribe_i18n!$A:$F,4,FALSE)</f>
        <v>0.94</v>
      </c>
      <c r="P420" s="24">
        <f ca="1">VLOOKUP(M420,[2]character_tribe_i18n!$A:$F,5,FALSE)</f>
        <v>0.99</v>
      </c>
      <c r="Q420" s="24">
        <f ca="1">VLOOKUP(M420,[2]character_tribe_i18n!$A:$F,6,FALSE)</f>
        <v>1</v>
      </c>
      <c r="R420" s="25" t="s">
        <v>98</v>
      </c>
      <c r="S420" s="24">
        <f>VLOOKUP($R420,ラベル別係数!$A$1:$E$7,3,FALSE)</f>
        <v>5</v>
      </c>
      <c r="T420" s="24">
        <f>VLOOKUP($R420,ラベル別係数!$A$1:$E$7,4,FALSE)</f>
        <v>1.3</v>
      </c>
      <c r="U420" s="24">
        <f>VLOOKUP($R420,ラベル別係数!$A$1:$E$7,5,FALSE)</f>
        <v>0.8</v>
      </c>
      <c r="V420" s="27">
        <v>3</v>
      </c>
      <c r="W420" s="28">
        <f>VLOOKUP(V420,ターン数別攻撃係数!$A$1:$B$1000,2,FALSE)</f>
        <v>1</v>
      </c>
      <c r="X420" s="10">
        <v>60</v>
      </c>
      <c r="Y420" s="26">
        <f>VLOOKUP($X420,サイズ別係数!$B:$E,2,FALSE)</f>
        <v>1.7</v>
      </c>
      <c r="Z420" s="26">
        <f>VLOOKUP($X420,サイズ別係数!$B:$E,3,FALSE)</f>
        <v>1.4</v>
      </c>
      <c r="AA420" s="26">
        <f>VLOOKUP($X420,サイズ別係数!$B:$E,4,FALSE)</f>
        <v>1</v>
      </c>
      <c r="AB420" s="5">
        <v>0</v>
      </c>
      <c r="AC420" s="34" t="str">
        <f ca="1">VLOOKUP($AB420,OFFSET([3]enemy_skill_sets!$B$2,0,0,COUNTA([3]enemy_skill_sets!$A:$A),MATCH(AC$1,[3]enemy_skill_sets!$1:$1,0)-MATCH($AB$1,[3]enemy_skill_sets!$1:$1,0)+1),MATCH(AC$1,[3]enemy_skill_sets!$1:$1,0)-MATCH($AB$1,[3]enemy_skill_sets!$1:$1,0)+1,FALSE)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0" s="67">
        <v>1</v>
      </c>
      <c r="AE420" s="67">
        <v>1</v>
      </c>
      <c r="AF420" s="37">
        <v>0</v>
      </c>
      <c r="AG420" s="28">
        <f ca="1">ROUND(VLOOKUP(1,enemy_base_stats!$A:$F,2,FALSE) * Y420* J420*O420*E420*S420*AD420*[2]ステータス!$B$2,0)</f>
        <v>5793</v>
      </c>
      <c r="AH420" s="28">
        <f ca="1">ROUND(VLOOKUP(1,enemy_base_stats!$A:$F,3,FALSE) * Z420*K420*P420*F420*T420*AE420 * W420*[2]ステータス!$C$2,0)</f>
        <v>234</v>
      </c>
      <c r="AI420" s="28">
        <f ca="1">ROUND(VLOOKUP(1,enemy_base_stats!$A:$F,4,FALSE) * AA420*L420*Q420*G420*U420*AF420*[2]ステータス!$D$2,0)</f>
        <v>0</v>
      </c>
      <c r="AJ420" s="28">
        <f ca="1">ROUND(VLOOKUP(100,enemy_base_stats!$A:$F,2,FALSE) * Y420* J420*O420*E420*S420*AD420*[2]ステータス!$B$2,0)</f>
        <v>235186</v>
      </c>
      <c r="AK420" s="28">
        <f ca="1">ROUND(VLOOKUP(100,enemy_base_stats!$A:$F,3,FALSE)* Z420* K420*P420*F420*T420*AE420 * W420*[2]ステータス!$C$2,0)</f>
        <v>9514</v>
      </c>
      <c r="AL420" s="28">
        <f ca="1">ROUND(VLOOKUP(100,enemy_base_stats!$A:$F,4,FALSE)* AA420* L420*Q420*G420*U420*AF420*[2]ステータス!$D$2,0)</f>
        <v>0</v>
      </c>
      <c r="AM420" s="24">
        <f ca="1">VLOOKUP(M420,[2]character_tribe_i18n!$A:$I,9,FALSE)</f>
        <v>400</v>
      </c>
      <c r="AN420" s="36">
        <v>0</v>
      </c>
      <c r="AO420" s="53">
        <v>0</v>
      </c>
      <c r="AP420" s="58" t="s">
        <v>72</v>
      </c>
      <c r="AQ420" s="71">
        <f t="shared" ca="1" si="16"/>
        <v>419</v>
      </c>
    </row>
    <row r="421" spans="1:43" ht="21" customHeight="1" x14ac:dyDescent="0.15">
      <c r="A421" s="7">
        <f t="shared" ca="1" si="13"/>
        <v>420</v>
      </c>
      <c r="B421" s="6" t="str">
        <f ca="1">VLOOKUP(A421,[2]characters!$A:$C,3,FALSE)</f>
        <v>カエデ</v>
      </c>
      <c r="C421" s="9">
        <f ca="1">VLOOKUP(A421,[2]characters!$A:$I,9,FALSE)</f>
        <v>4</v>
      </c>
      <c r="D421" s="9" t="str">
        <f ca="1">VLOOKUP(A421,[2]characters!$A:$H,8,FALSE)</f>
        <v>green</v>
      </c>
      <c r="E421" s="24">
        <f ca="1">VLOOKUP(D421,[2]属性!$A:$E,2,FALSE)</f>
        <v>1.02</v>
      </c>
      <c r="F421" s="24">
        <f ca="1">VLOOKUP(D421,[2]属性!$A:$E,3,FALSE)</f>
        <v>0.98</v>
      </c>
      <c r="G421" s="24">
        <f ca="1">VLOOKUP(D421,[2]属性!$A:$F,4,FALSE)</f>
        <v>1</v>
      </c>
      <c r="H421" s="9" t="str">
        <f ca="1">VLOOKUP(A421,[2]characters!$A:$K,11,FALSE)</f>
        <v>heal</v>
      </c>
      <c r="I421" s="14" t="str">
        <f ca="1">VLOOKUP(H421,[2]character_type_i18n!$A:$F,3,FALSE)</f>
        <v>回復タイプ</v>
      </c>
      <c r="J421" s="36">
        <f ca="1">VLOOKUP(H421,[2]character_type_i18n!$A:$F,4,FALSE)</f>
        <v>0.8</v>
      </c>
      <c r="K421" s="36">
        <f ca="1">VLOOKUP(H421,[2]character_type_i18n!$A:$F,5,FALSE)</f>
        <v>0.78</v>
      </c>
      <c r="L421" s="36">
        <f ca="1">VLOOKUP(H421,[2]character_type_i18n!$A:$F,6,FALSE)</f>
        <v>1</v>
      </c>
      <c r="M421" s="9" t="str">
        <f ca="1">VLOOKUP(A421,[2]characters!$A:$M,13,FALSE)</f>
        <v>human</v>
      </c>
      <c r="N421" s="14" t="str">
        <f ca="1">VLOOKUP(M421,[2]character_tribe_i18n!$A:$F,3,FALSE)</f>
        <v>ヒューマン</v>
      </c>
      <c r="O421" s="24">
        <f ca="1">VLOOKUP(M421,[2]character_tribe_i18n!$A:$F,4,FALSE)</f>
        <v>0.94</v>
      </c>
      <c r="P421" s="24">
        <f ca="1">VLOOKUP(M421,[2]character_tribe_i18n!$A:$F,5,FALSE)</f>
        <v>0.99</v>
      </c>
      <c r="Q421" s="24">
        <f ca="1">VLOOKUP(M421,[2]character_tribe_i18n!$A:$F,6,FALSE)</f>
        <v>1</v>
      </c>
      <c r="R421" s="25" t="s">
        <v>98</v>
      </c>
      <c r="S421" s="24">
        <f>VLOOKUP($R421,ラベル別係数!$A$1:$E$7,3,FALSE)</f>
        <v>5</v>
      </c>
      <c r="T421" s="24">
        <f>VLOOKUP($R421,ラベル別係数!$A$1:$E$7,4,FALSE)</f>
        <v>1.3</v>
      </c>
      <c r="U421" s="24">
        <f>VLOOKUP($R421,ラベル別係数!$A$1:$E$7,5,FALSE)</f>
        <v>0.8</v>
      </c>
      <c r="V421" s="27">
        <v>3</v>
      </c>
      <c r="W421" s="28">
        <f>VLOOKUP(V421,ターン数別攻撃係数!$A$1:$B$1000,2,FALSE)</f>
        <v>1</v>
      </c>
      <c r="X421" s="10">
        <v>30</v>
      </c>
      <c r="Y421" s="26">
        <f>VLOOKUP($X421,サイズ別係数!$B:$E,2,FALSE)</f>
        <v>1.3</v>
      </c>
      <c r="Z421" s="26">
        <f>VLOOKUP($X421,サイズ別係数!$B:$E,3,FALSE)</f>
        <v>1.3</v>
      </c>
      <c r="AA421" s="26">
        <f>VLOOKUP($X421,サイズ別係数!$B:$E,4,FALSE)</f>
        <v>1.1000000000000001</v>
      </c>
      <c r="AB421" s="5">
        <v>0</v>
      </c>
      <c r="AC421" s="34" t="str">
        <f ca="1">VLOOKUP($AB421,OFFSET([3]enemy_skill_sets!$B$2,0,0,COUNTA([3]enemy_skill_sets!$A:$A),MATCH(AC$1,[3]enemy_skill_sets!$1:$1,0)-MATCH($AB$1,[3]enemy_skill_sets!$1:$1,0)+1),MATCH(AC$1,[3]enemy_skill_sets!$1:$1,0)-MATCH($AB$1,[3]enemy_skill_sets!$1:$1,0)+1,FALSE)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1" s="67">
        <v>1</v>
      </c>
      <c r="AE421" s="67">
        <v>1</v>
      </c>
      <c r="AF421" s="37">
        <v>0</v>
      </c>
      <c r="AG421" s="28">
        <f ca="1">ROUND(VLOOKUP(1,enemy_base_stats!$A:$F,2,FALSE) * Y421* J421*O421*E421*S421*AD421*[2]ステータス!$B$2,0)</f>
        <v>2493</v>
      </c>
      <c r="AH421" s="28">
        <f ca="1">ROUND(VLOOKUP(1,enemy_base_stats!$A:$F,3,FALSE) * Z421*K421*P421*F421*T421*AE421 * W421*[2]ステータス!$C$2,0)</f>
        <v>192</v>
      </c>
      <c r="AI421" s="28">
        <f ca="1">ROUND(VLOOKUP(1,enemy_base_stats!$A:$F,4,FALSE) * AA421*L421*Q421*G421*U421*AF421*[2]ステータス!$D$2,0)</f>
        <v>0</v>
      </c>
      <c r="AJ421" s="28">
        <f ca="1">ROUND(VLOOKUP(100,enemy_base_stats!$A:$F,2,FALSE) * Y421* J421*O421*E421*S421*AD421*[2]ステータス!$B$2,0)</f>
        <v>101211</v>
      </c>
      <c r="AK421" s="28">
        <f ca="1">ROUND(VLOOKUP(100,enemy_base_stats!$A:$F,3,FALSE)* Z421* K421*P421*F421*T421*AE421 * W421*[2]ステータス!$C$2,0)</f>
        <v>7789</v>
      </c>
      <c r="AL421" s="28">
        <f ca="1">ROUND(VLOOKUP(100,enemy_base_stats!$A:$F,4,FALSE)* AA421* L421*Q421*G421*U421*AF421*[2]ステータス!$D$2,0)</f>
        <v>0</v>
      </c>
      <c r="AM421" s="24">
        <f ca="1">VLOOKUP(M421,[2]character_tribe_i18n!$A:$I,9,FALSE)</f>
        <v>400</v>
      </c>
      <c r="AN421" s="36">
        <v>0</v>
      </c>
      <c r="AO421" s="53">
        <v>0</v>
      </c>
      <c r="AP421" s="58" t="s">
        <v>72</v>
      </c>
      <c r="AQ421" s="71">
        <f t="shared" ca="1" si="16"/>
        <v>420</v>
      </c>
    </row>
    <row r="422" spans="1:43" ht="21" customHeight="1" x14ac:dyDescent="0.15">
      <c r="A422" s="7">
        <f t="shared" ca="1" si="13"/>
        <v>421</v>
      </c>
      <c r="B422" s="6" t="str">
        <f ca="1">VLOOKUP(A422,[2]characters!$A:$C,3,FALSE)</f>
        <v>反親の彩壁 カエデ</v>
      </c>
      <c r="C422" s="9">
        <f ca="1">VLOOKUP(A422,[2]characters!$A:$I,9,FALSE)</f>
        <v>5</v>
      </c>
      <c r="D422" s="9" t="str">
        <f ca="1">VLOOKUP(A422,[2]characters!$A:$H,8,FALSE)</f>
        <v>green</v>
      </c>
      <c r="E422" s="24">
        <f ca="1">VLOOKUP(D422,[2]属性!$A:$E,2,FALSE)</f>
        <v>1.02</v>
      </c>
      <c r="F422" s="24">
        <f ca="1">VLOOKUP(D422,[2]属性!$A:$E,3,FALSE)</f>
        <v>0.98</v>
      </c>
      <c r="G422" s="24">
        <f ca="1">VLOOKUP(D422,[2]属性!$A:$F,4,FALSE)</f>
        <v>1</v>
      </c>
      <c r="H422" s="9" t="str">
        <f ca="1">VLOOKUP(A422,[2]characters!$A:$K,11,FALSE)</f>
        <v>heal</v>
      </c>
      <c r="I422" s="14" t="str">
        <f ca="1">VLOOKUP(H422,[2]character_type_i18n!$A:$F,3,FALSE)</f>
        <v>回復タイプ</v>
      </c>
      <c r="J422" s="36">
        <f ca="1">VLOOKUP(H422,[2]character_type_i18n!$A:$F,4,FALSE)</f>
        <v>0.8</v>
      </c>
      <c r="K422" s="36">
        <f ca="1">VLOOKUP(H422,[2]character_type_i18n!$A:$F,5,FALSE)</f>
        <v>0.78</v>
      </c>
      <c r="L422" s="36">
        <f ca="1">VLOOKUP(H422,[2]character_type_i18n!$A:$F,6,FALSE)</f>
        <v>1</v>
      </c>
      <c r="M422" s="9" t="str">
        <f ca="1">VLOOKUP(A422,[2]characters!$A:$M,13,FALSE)</f>
        <v>human</v>
      </c>
      <c r="N422" s="14" t="str">
        <f ca="1">VLOOKUP(M422,[2]character_tribe_i18n!$A:$F,3,FALSE)</f>
        <v>ヒューマン</v>
      </c>
      <c r="O422" s="24">
        <f ca="1">VLOOKUP(M422,[2]character_tribe_i18n!$A:$F,4,FALSE)</f>
        <v>0.94</v>
      </c>
      <c r="P422" s="24">
        <f ca="1">VLOOKUP(M422,[2]character_tribe_i18n!$A:$F,5,FALSE)</f>
        <v>0.99</v>
      </c>
      <c r="Q422" s="24">
        <f ca="1">VLOOKUP(M422,[2]character_tribe_i18n!$A:$F,6,FALSE)</f>
        <v>1</v>
      </c>
      <c r="R422" s="25" t="s">
        <v>98</v>
      </c>
      <c r="S422" s="24">
        <f>VLOOKUP($R422,ラベル別係数!$A$1:$E$7,3,FALSE)</f>
        <v>5</v>
      </c>
      <c r="T422" s="24">
        <f>VLOOKUP($R422,ラベル別係数!$A$1:$E$7,4,FALSE)</f>
        <v>1.3</v>
      </c>
      <c r="U422" s="24">
        <f>VLOOKUP($R422,ラベル別係数!$A$1:$E$7,5,FALSE)</f>
        <v>0.8</v>
      </c>
      <c r="V422" s="27">
        <v>3</v>
      </c>
      <c r="W422" s="28">
        <f>VLOOKUP(V422,ターン数別攻撃係数!$A$1:$B$1000,2,FALSE)</f>
        <v>1</v>
      </c>
      <c r="X422" s="10">
        <v>60</v>
      </c>
      <c r="Y422" s="26">
        <f>VLOOKUP($X422,サイズ別係数!$B:$E,2,FALSE)</f>
        <v>1.7</v>
      </c>
      <c r="Z422" s="26">
        <f>VLOOKUP($X422,サイズ別係数!$B:$E,3,FALSE)</f>
        <v>1.4</v>
      </c>
      <c r="AA422" s="26">
        <f>VLOOKUP($X422,サイズ別係数!$B:$E,4,FALSE)</f>
        <v>1</v>
      </c>
      <c r="AB422" s="5">
        <v>0</v>
      </c>
      <c r="AC422" s="34" t="str">
        <f ca="1">VLOOKUP($AB422,OFFSET([3]enemy_skill_sets!$B$2,0,0,COUNTA([3]enemy_skill_sets!$A:$A),MATCH(AC$1,[3]enemy_skill_sets!$1:$1,0)-MATCH($AB$1,[3]enemy_skill_sets!$1:$1,0)+1),MATCH(AC$1,[3]enemy_skill_sets!$1:$1,0)-MATCH($AB$1,[3]enemy_skill_sets!$1:$1,0)+1,FALSE)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2" s="67">
        <v>1</v>
      </c>
      <c r="AE422" s="67">
        <v>1</v>
      </c>
      <c r="AF422" s="37">
        <v>0</v>
      </c>
      <c r="AG422" s="28">
        <f ca="1">ROUND(VLOOKUP(1,enemy_base_stats!$A:$F,2,FALSE) * Y422* J422*O422*E422*S422*AD422*[2]ステータス!$B$2,0)</f>
        <v>3260</v>
      </c>
      <c r="AH422" s="28">
        <f ca="1">ROUND(VLOOKUP(1,enemy_base_stats!$A:$F,3,FALSE) * Z422*K422*P422*F422*T422*AE422 * W422*[2]ステータス!$C$2,0)</f>
        <v>207</v>
      </c>
      <c r="AI422" s="28">
        <f ca="1">ROUND(VLOOKUP(1,enemy_base_stats!$A:$F,4,FALSE) * AA422*L422*Q422*G422*U422*AF422*[2]ステータス!$D$2,0)</f>
        <v>0</v>
      </c>
      <c r="AJ422" s="28">
        <f ca="1">ROUND(VLOOKUP(100,enemy_base_stats!$A:$F,2,FALSE) * Y422* J422*O422*E422*S422*AD422*[2]ステータス!$B$2,0)</f>
        <v>132353</v>
      </c>
      <c r="AK422" s="28">
        <f ca="1">ROUND(VLOOKUP(100,enemy_base_stats!$A:$F,3,FALSE)* Z422* K422*P422*F422*T422*AE422 * W422*[2]ステータス!$C$2,0)</f>
        <v>8388</v>
      </c>
      <c r="AL422" s="28">
        <f ca="1">ROUND(VLOOKUP(100,enemy_base_stats!$A:$F,4,FALSE)* AA422* L422*Q422*G422*U422*AF422*[2]ステータス!$D$2,0)</f>
        <v>0</v>
      </c>
      <c r="AM422" s="24">
        <f ca="1">VLOOKUP(M422,[2]character_tribe_i18n!$A:$I,9,FALSE)</f>
        <v>400</v>
      </c>
      <c r="AN422" s="36">
        <v>0</v>
      </c>
      <c r="AO422" s="53">
        <v>0</v>
      </c>
      <c r="AP422" s="58" t="s">
        <v>72</v>
      </c>
      <c r="AQ422" s="71">
        <f t="shared" ca="1" si="16"/>
        <v>421</v>
      </c>
    </row>
    <row r="423" spans="1:43" ht="21" customHeight="1" x14ac:dyDescent="0.15">
      <c r="A423" s="7">
        <f t="shared" ca="1" si="13"/>
        <v>422</v>
      </c>
      <c r="B423" s="6" t="str">
        <f ca="1">VLOOKUP(A423,[2]characters!$A:$C,3,FALSE)</f>
        <v>シュガフル</v>
      </c>
      <c r="C423" s="9">
        <f ca="1">VLOOKUP(A423,[2]characters!$A:$I,9,FALSE)</f>
        <v>4</v>
      </c>
      <c r="D423" s="9" t="str">
        <f ca="1">VLOOKUP(A423,[2]characters!$A:$H,8,FALSE)</f>
        <v>blue</v>
      </c>
      <c r="E423" s="24">
        <f ca="1">VLOOKUP(D423,[2]属性!$A:$E,2,FALSE)</f>
        <v>1</v>
      </c>
      <c r="F423" s="24">
        <f ca="1">VLOOKUP(D423,[2]属性!$A:$E,3,FALSE)</f>
        <v>0.98</v>
      </c>
      <c r="G423" s="24">
        <f ca="1">VLOOKUP(D423,[2]属性!$A:$F,4,FALSE)</f>
        <v>1</v>
      </c>
      <c r="H423" s="9" t="str">
        <f ca="1">VLOOKUP(A423,[2]characters!$A:$K,11,FALSE)</f>
        <v>balance</v>
      </c>
      <c r="I423" s="14" t="str">
        <f ca="1">VLOOKUP(H423,[2]character_type_i18n!$A:$F,3,FALSE)</f>
        <v>バランスタイプ</v>
      </c>
      <c r="J423" s="36">
        <f ca="1">VLOOKUP(H423,[2]character_type_i18n!$A:$F,4,FALSE)</f>
        <v>1</v>
      </c>
      <c r="K423" s="36">
        <f ca="1">VLOOKUP(H423,[2]character_type_i18n!$A:$F,5,FALSE)</f>
        <v>1</v>
      </c>
      <c r="L423" s="36">
        <f ca="1">VLOOKUP(H423,[2]character_type_i18n!$A:$F,6,FALSE)</f>
        <v>1</v>
      </c>
      <c r="M423" s="9" t="str">
        <f ca="1">VLOOKUP(A423,[2]characters!$A:$M,13,FALSE)</f>
        <v>human</v>
      </c>
      <c r="N423" s="14" t="str">
        <f ca="1">VLOOKUP(M423,[2]character_tribe_i18n!$A:$F,3,FALSE)</f>
        <v>ヒューマン</v>
      </c>
      <c r="O423" s="24">
        <f ca="1">VLOOKUP(M423,[2]character_tribe_i18n!$A:$F,4,FALSE)</f>
        <v>0.94</v>
      </c>
      <c r="P423" s="24">
        <f ca="1">VLOOKUP(M423,[2]character_tribe_i18n!$A:$F,5,FALSE)</f>
        <v>0.99</v>
      </c>
      <c r="Q423" s="24">
        <f ca="1">VLOOKUP(M423,[2]character_tribe_i18n!$A:$F,6,FALSE)</f>
        <v>1</v>
      </c>
      <c r="R423" s="25" t="s">
        <v>98</v>
      </c>
      <c r="S423" s="24">
        <f>VLOOKUP($R423,ラベル別係数!$A$1:$E$7,3,FALSE)</f>
        <v>5</v>
      </c>
      <c r="T423" s="24">
        <f>VLOOKUP($R423,ラベル別係数!$A$1:$E$7,4,FALSE)</f>
        <v>1.3</v>
      </c>
      <c r="U423" s="24">
        <f>VLOOKUP($R423,ラベル別係数!$A$1:$E$7,5,FALSE)</f>
        <v>0.8</v>
      </c>
      <c r="V423" s="27">
        <v>3</v>
      </c>
      <c r="W423" s="28">
        <f>VLOOKUP(V423,ターン数別攻撃係数!$A$1:$B$1000,2,FALSE)</f>
        <v>1</v>
      </c>
      <c r="X423" s="100">
        <f ca="1">VLOOKUP(C423,サイズ別係数!A$2:B$9,2,FALSE)</f>
        <v>30</v>
      </c>
      <c r="Y423" s="101">
        <v>1.7</v>
      </c>
      <c r="Z423" s="101">
        <v>1.4</v>
      </c>
      <c r="AA423" s="101">
        <v>1</v>
      </c>
      <c r="AB423" s="5">
        <v>0</v>
      </c>
      <c r="AC423" s="34" t="str">
        <f ca="1">VLOOKUP($AB423,OFFSET([3]enemy_skill_sets!$B$2,0,0,COUNTA([3]enemy_skill_sets!$A:$A),MATCH(AC$1,[3]enemy_skill_sets!$1:$1,0)-MATCH($AB$1,[3]enemy_skill_sets!$1:$1,0)+1),MATCH(AC$1,[3]enemy_skill_sets!$1:$1,0)-MATCH($AB$1,[3]enemy_skill_sets!$1:$1,0)+1,FALSE)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3" s="67">
        <v>1</v>
      </c>
      <c r="AE423" s="67">
        <v>1</v>
      </c>
      <c r="AF423" s="37">
        <v>0</v>
      </c>
      <c r="AG423" s="28">
        <f ca="1">ROUND(VLOOKUP(1,enemy_base_stats!$A:$F,2,FALSE) * Y423* J423*O423*E423*S423*AD423*[2]ステータス!$B$2,0)</f>
        <v>3995</v>
      </c>
      <c r="AH423" s="28">
        <f ca="1">ROUND(VLOOKUP(1,enemy_base_stats!$A:$F,3,FALSE) * Z423*K423*P423*F423*T423*AE423 * W423*[2]ステータス!$C$2,0)</f>
        <v>265</v>
      </c>
      <c r="AI423" s="28">
        <f ca="1">ROUND(VLOOKUP(1,enemy_base_stats!$A:$F,4,FALSE) * AA423*L423*Q423*G423*U423*AF423*[2]ステータス!$D$2,0)</f>
        <v>0</v>
      </c>
      <c r="AJ423" s="28">
        <f ca="1">ROUND(VLOOKUP(100,enemy_base_stats!$A:$F,2,FALSE) * Y423* J423*O423*E423*S423*AD423*[2]ステータス!$B$2,0)</f>
        <v>162197</v>
      </c>
      <c r="AK423" s="28">
        <f ca="1">ROUND(VLOOKUP(100,enemy_base_stats!$A:$F,3,FALSE)* Z423* K423*P423*F423*T423*AE423 * W423*[2]ステータス!$C$2,0)</f>
        <v>10754</v>
      </c>
      <c r="AL423" s="28">
        <f ca="1">ROUND(VLOOKUP(100,enemy_base_stats!$A:$F,4,FALSE)* AA423* L423*Q423*G423*U423*AF423*[2]ステータス!$D$2,0)</f>
        <v>0</v>
      </c>
      <c r="AM423" s="24">
        <f ca="1">VLOOKUP(M423,[2]character_tribe_i18n!$A:$I,9,FALSE)</f>
        <v>400</v>
      </c>
      <c r="AN423" s="36">
        <v>0</v>
      </c>
      <c r="AO423" s="53">
        <v>0</v>
      </c>
      <c r="AP423" s="58" t="s">
        <v>72</v>
      </c>
      <c r="AQ423" s="71">
        <f t="shared" ca="1" si="16"/>
        <v>422</v>
      </c>
    </row>
    <row r="424" spans="1:43" ht="21" customHeight="1" x14ac:dyDescent="0.15">
      <c r="A424" s="7">
        <f t="shared" ca="1" si="13"/>
        <v>423</v>
      </c>
      <c r="B424" s="6" t="str">
        <f ca="1">VLOOKUP(A424,[2]characters!$A:$C,3,FALSE)</f>
        <v>甘罠の魔女 シュガフル</v>
      </c>
      <c r="C424" s="9">
        <f ca="1">VLOOKUP(A424,[2]characters!$A:$I,9,FALSE)</f>
        <v>5</v>
      </c>
      <c r="D424" s="9" t="str">
        <f ca="1">VLOOKUP(A424,[2]characters!$A:$H,8,FALSE)</f>
        <v>blue</v>
      </c>
      <c r="E424" s="24">
        <f ca="1">VLOOKUP(D424,[2]属性!$A:$E,2,FALSE)</f>
        <v>1</v>
      </c>
      <c r="F424" s="24">
        <f ca="1">VLOOKUP(D424,[2]属性!$A:$E,3,FALSE)</f>
        <v>0.98</v>
      </c>
      <c r="G424" s="24">
        <f ca="1">VLOOKUP(D424,[2]属性!$A:$F,4,FALSE)</f>
        <v>1</v>
      </c>
      <c r="H424" s="9" t="str">
        <f ca="1">VLOOKUP(A424,[2]characters!$A:$K,11,FALSE)</f>
        <v>balance</v>
      </c>
      <c r="I424" s="14" t="str">
        <f ca="1">VLOOKUP(H424,[2]character_type_i18n!$A:$F,3,FALSE)</f>
        <v>バランスタイプ</v>
      </c>
      <c r="J424" s="36">
        <f ca="1">VLOOKUP(H424,[2]character_type_i18n!$A:$F,4,FALSE)</f>
        <v>1</v>
      </c>
      <c r="K424" s="36">
        <f ca="1">VLOOKUP(H424,[2]character_type_i18n!$A:$F,5,FALSE)</f>
        <v>1</v>
      </c>
      <c r="L424" s="36">
        <f ca="1">VLOOKUP(H424,[2]character_type_i18n!$A:$F,6,FALSE)</f>
        <v>1</v>
      </c>
      <c r="M424" s="9" t="str">
        <f ca="1">VLOOKUP(A424,[2]characters!$A:$M,13,FALSE)</f>
        <v>human</v>
      </c>
      <c r="N424" s="14" t="str">
        <f ca="1">VLOOKUP(M424,[2]character_tribe_i18n!$A:$F,3,FALSE)</f>
        <v>ヒューマン</v>
      </c>
      <c r="O424" s="24">
        <f ca="1">VLOOKUP(M424,[2]character_tribe_i18n!$A:$F,4,FALSE)</f>
        <v>0.94</v>
      </c>
      <c r="P424" s="24">
        <f ca="1">VLOOKUP(M424,[2]character_tribe_i18n!$A:$F,5,FALSE)</f>
        <v>0.99</v>
      </c>
      <c r="Q424" s="24">
        <f ca="1">VLOOKUP(M424,[2]character_tribe_i18n!$A:$F,6,FALSE)</f>
        <v>1</v>
      </c>
      <c r="R424" s="25" t="s">
        <v>98</v>
      </c>
      <c r="S424" s="24">
        <f>VLOOKUP($R424,ラベル別係数!$A$1:$E$7,3,FALSE)</f>
        <v>5</v>
      </c>
      <c r="T424" s="24">
        <f>VLOOKUP($R424,ラベル別係数!$A$1:$E$7,4,FALSE)</f>
        <v>1.3</v>
      </c>
      <c r="U424" s="24">
        <f>VLOOKUP($R424,ラベル別係数!$A$1:$E$7,5,FALSE)</f>
        <v>0.8</v>
      </c>
      <c r="V424" s="27">
        <v>3</v>
      </c>
      <c r="W424" s="28">
        <f>VLOOKUP(V424,ターン数別攻撃係数!$A$1:$B$1000,2,FALSE)</f>
        <v>1</v>
      </c>
      <c r="X424" s="9">
        <f ca="1">VLOOKUP(C424,サイズ別係数!A$2:B$9,2,FALSE)</f>
        <v>60</v>
      </c>
      <c r="Y424" s="26">
        <f ca="1">VLOOKUP($X424,サイズ別係数!$B:$E,2,FALSE)</f>
        <v>1.7</v>
      </c>
      <c r="Z424" s="26">
        <f ca="1">VLOOKUP($X424,サイズ別係数!$B:$E,3,FALSE)</f>
        <v>1.4</v>
      </c>
      <c r="AA424" s="26">
        <f ca="1">VLOOKUP($X424,サイズ別係数!$B:$E,4,FALSE)</f>
        <v>1</v>
      </c>
      <c r="AB424" s="5">
        <v>0</v>
      </c>
      <c r="AC424" s="34" t="str">
        <f ca="1">VLOOKUP($AB424,OFFSET([3]enemy_skill_sets!$B$2,0,0,COUNTA([3]enemy_skill_sets!$A:$A),MATCH(AC$1,[3]enemy_skill_sets!$1:$1,0)-MATCH($AB$1,[3]enemy_skill_sets!$1:$1,0)+1),MATCH(AC$1,[3]enemy_skill_sets!$1:$1,0)-MATCH($AB$1,[3]enemy_skill_sets!$1:$1,0)+1,FALSE)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4" s="67">
        <v>1</v>
      </c>
      <c r="AE424" s="67">
        <v>1</v>
      </c>
      <c r="AF424" s="37">
        <v>0</v>
      </c>
      <c r="AG424" s="28">
        <f ca="1">ROUND(VLOOKUP(1,enemy_base_stats!$A:$F,2,FALSE) * Y424* J424*O424*E424*S424*AD424*[2]ステータス!$B$2,0)</f>
        <v>3995</v>
      </c>
      <c r="AH424" s="28">
        <f ca="1">ROUND(VLOOKUP(1,enemy_base_stats!$A:$F,3,FALSE) * Z424*K424*P424*F424*T424*AE424 * W424*[2]ステータス!$C$2,0)</f>
        <v>265</v>
      </c>
      <c r="AI424" s="28">
        <f ca="1">ROUND(VLOOKUP(1,enemy_base_stats!$A:$F,4,FALSE) * AA424*L424*Q424*G424*U424*AF424*[2]ステータス!$D$2,0)</f>
        <v>0</v>
      </c>
      <c r="AJ424" s="28">
        <f ca="1">ROUND(VLOOKUP(100,enemy_base_stats!$A:$F,2,FALSE) * Y424* J424*O424*E424*S424*AD424*[2]ステータス!$B$2,0)</f>
        <v>162197</v>
      </c>
      <c r="AK424" s="28">
        <f ca="1">ROUND(VLOOKUP(100,enemy_base_stats!$A:$F,3,FALSE)* Z424* K424*P424*F424*T424*AE424 * W424*[2]ステータス!$C$2,0)</f>
        <v>10754</v>
      </c>
      <c r="AL424" s="28">
        <f ca="1">ROUND(VLOOKUP(100,enemy_base_stats!$A:$F,4,FALSE)* AA424* L424*Q424*G424*U424*AF424*[2]ステータス!$D$2,0)</f>
        <v>0</v>
      </c>
      <c r="AM424" s="24">
        <f ca="1">VLOOKUP(M424,[2]character_tribe_i18n!$A:$I,9,FALSE)</f>
        <v>400</v>
      </c>
      <c r="AN424" s="36">
        <v>0</v>
      </c>
      <c r="AO424" s="53">
        <v>0</v>
      </c>
      <c r="AP424" s="58" t="s">
        <v>72</v>
      </c>
      <c r="AQ424" s="71">
        <f t="shared" ca="1" si="16"/>
        <v>423</v>
      </c>
    </row>
    <row r="425" spans="1:43" ht="21" customHeight="1" x14ac:dyDescent="0.15">
      <c r="A425" s="7">
        <f t="shared" ca="1" si="13"/>
        <v>424</v>
      </c>
      <c r="B425" s="6" t="str">
        <f ca="1">VLOOKUP(A425,[2]characters!$A:$C,3,FALSE)</f>
        <v>フック</v>
      </c>
      <c r="C425" s="9">
        <f ca="1">VLOOKUP(A425,[2]characters!$A:$I,9,FALSE)</f>
        <v>4</v>
      </c>
      <c r="D425" s="9" t="str">
        <f ca="1">VLOOKUP(A425,[2]characters!$A:$H,8,FALSE)</f>
        <v>yellow</v>
      </c>
      <c r="E425" s="24">
        <f ca="1">VLOOKUP(D425,[2]属性!$A:$E,2,FALSE)</f>
        <v>0.98</v>
      </c>
      <c r="F425" s="24">
        <f ca="1">VLOOKUP(D425,[2]属性!$A:$E,3,FALSE)</f>
        <v>1.01</v>
      </c>
      <c r="G425" s="24">
        <f ca="1">VLOOKUP(D425,[2]属性!$A:$F,4,FALSE)</f>
        <v>1</v>
      </c>
      <c r="H425" s="9" t="str">
        <f ca="1">VLOOKUP(A425,[2]characters!$A:$K,11,FALSE)</f>
        <v>attack</v>
      </c>
      <c r="I425" s="14" t="str">
        <f ca="1">VLOOKUP(H425,[2]character_type_i18n!$A:$F,3,FALSE)</f>
        <v>攻撃タイプ</v>
      </c>
      <c r="J425" s="36">
        <f ca="1">VLOOKUP(H425,[2]character_type_i18n!$A:$F,4,FALSE)</f>
        <v>1</v>
      </c>
      <c r="K425" s="36">
        <f ca="1">VLOOKUP(H425,[2]character_type_i18n!$A:$F,5,FALSE)</f>
        <v>1.33</v>
      </c>
      <c r="L425" s="36">
        <f ca="1">VLOOKUP(H425,[2]character_type_i18n!$A:$F,6,FALSE)</f>
        <v>1</v>
      </c>
      <c r="M425" s="9" t="str">
        <f ca="1">VLOOKUP(A425,[2]characters!$A:$M,13,FALSE)</f>
        <v>human</v>
      </c>
      <c r="N425" s="14" t="str">
        <f ca="1">VLOOKUP(M425,[2]character_tribe_i18n!$A:$F,3,FALSE)</f>
        <v>ヒューマン</v>
      </c>
      <c r="O425" s="24">
        <f ca="1">VLOOKUP(M425,[2]character_tribe_i18n!$A:$F,4,FALSE)</f>
        <v>0.94</v>
      </c>
      <c r="P425" s="24">
        <f ca="1">VLOOKUP(M425,[2]character_tribe_i18n!$A:$F,5,FALSE)</f>
        <v>0.99</v>
      </c>
      <c r="Q425" s="24">
        <f ca="1">VLOOKUP(M425,[2]character_tribe_i18n!$A:$F,6,FALSE)</f>
        <v>1</v>
      </c>
      <c r="R425" s="25" t="s">
        <v>98</v>
      </c>
      <c r="S425" s="24">
        <f>VLOOKUP($R425,ラベル別係数!$A$1:$E$7,3,FALSE)</f>
        <v>5</v>
      </c>
      <c r="T425" s="24">
        <f>VLOOKUP($R425,ラベル別係数!$A$1:$E$7,4,FALSE)</f>
        <v>1.3</v>
      </c>
      <c r="U425" s="24">
        <f>VLOOKUP($R425,ラベル別係数!$A$1:$E$7,5,FALSE)</f>
        <v>0.8</v>
      </c>
      <c r="V425" s="27">
        <v>3</v>
      </c>
      <c r="W425" s="28">
        <f>VLOOKUP(V425,ターン数別攻撃係数!$A$1:$B$1000,2,FALSE)</f>
        <v>1</v>
      </c>
      <c r="X425" s="10">
        <v>30</v>
      </c>
      <c r="Y425" s="26">
        <f>VLOOKUP($X425,サイズ別係数!$B:$E,2,FALSE)</f>
        <v>1.3</v>
      </c>
      <c r="Z425" s="26">
        <f>VLOOKUP($X425,サイズ別係数!$B:$E,3,FALSE)</f>
        <v>1.3</v>
      </c>
      <c r="AA425" s="26">
        <f>VLOOKUP($X425,サイズ別係数!$B:$E,4,FALSE)</f>
        <v>1.1000000000000001</v>
      </c>
      <c r="AB425" s="5">
        <v>0</v>
      </c>
      <c r="AC425" s="34" t="str">
        <f ca="1">VLOOKUP($AB425,OFFSET([3]enemy_skill_sets!$B$2,0,0,COUNTA([3]enemy_skill_sets!$A:$A),MATCH(AC$1,[3]enemy_skill_sets!$1:$1,0)-MATCH($AB$1,[3]enemy_skill_sets!$1:$1,0)+1),MATCH(AC$1,[3]enemy_skill_sets!$1:$1,0)-MATCH($AB$1,[3]enemy_skill_sets!$1:$1,0)+1,FALSE)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5" s="67">
        <v>1</v>
      </c>
      <c r="AE425" s="67">
        <v>1</v>
      </c>
      <c r="AF425" s="37">
        <v>0</v>
      </c>
      <c r="AG425" s="28">
        <f ca="1">ROUND(VLOOKUP(1,enemy_base_stats!$A:$F,2,FALSE) * Y425* J425*O425*E425*S425*AD425*[2]ステータス!$B$2,0)</f>
        <v>2994</v>
      </c>
      <c r="AH425" s="28">
        <f ca="1">ROUND(VLOOKUP(1,enemy_base_stats!$A:$F,3,FALSE) * Z425*K425*P425*F425*T425*AE425 * W425*[2]ステータス!$C$2,0)</f>
        <v>337</v>
      </c>
      <c r="AI425" s="28">
        <f ca="1">ROUND(VLOOKUP(1,enemy_base_stats!$A:$F,4,FALSE) * AA425*L425*Q425*G425*U425*AF425*[2]ステータス!$D$2,0)</f>
        <v>0</v>
      </c>
      <c r="AJ425" s="28">
        <f ca="1">ROUND(VLOOKUP(100,enemy_base_stats!$A:$F,2,FALSE) * Y425* J425*O425*E425*S425*AD425*[2]ステータス!$B$2,0)</f>
        <v>121552</v>
      </c>
      <c r="AK425" s="28">
        <f ca="1">ROUND(VLOOKUP(100,enemy_base_stats!$A:$F,3,FALSE)* Z425* K425*P425*F425*T425*AE425 * W425*[2]ステータス!$C$2,0)</f>
        <v>13687</v>
      </c>
      <c r="AL425" s="28">
        <f ca="1">ROUND(VLOOKUP(100,enemy_base_stats!$A:$F,4,FALSE)* AA425* L425*Q425*G425*U425*AF425*[2]ステータス!$D$2,0)</f>
        <v>0</v>
      </c>
      <c r="AM425" s="24">
        <f ca="1">VLOOKUP(M425,[2]character_tribe_i18n!$A:$I,9,FALSE)</f>
        <v>400</v>
      </c>
      <c r="AN425" s="36">
        <v>0</v>
      </c>
      <c r="AO425" s="53">
        <v>0</v>
      </c>
      <c r="AP425" s="58" t="s">
        <v>72</v>
      </c>
      <c r="AQ425" s="71">
        <f t="shared" ca="1" si="16"/>
        <v>424</v>
      </c>
    </row>
    <row r="426" spans="1:43" ht="21" customHeight="1" x14ac:dyDescent="0.15">
      <c r="A426" s="7">
        <f t="shared" ca="1" si="13"/>
        <v>425</v>
      </c>
      <c r="B426" s="6" t="str">
        <f ca="1">VLOOKUP(A426,[2]characters!$A:$C,3,FALSE)</f>
        <v>怒髪の海賊 フック</v>
      </c>
      <c r="C426" s="9">
        <f ca="1">VLOOKUP(A426,[2]characters!$A:$I,9,FALSE)</f>
        <v>5</v>
      </c>
      <c r="D426" s="9" t="str">
        <f ca="1">VLOOKUP(A426,[2]characters!$A:$H,8,FALSE)</f>
        <v>yellow</v>
      </c>
      <c r="E426" s="24">
        <f ca="1">VLOOKUP(D426,[2]属性!$A:$E,2,FALSE)</f>
        <v>0.98</v>
      </c>
      <c r="F426" s="24">
        <f ca="1">VLOOKUP(D426,[2]属性!$A:$E,3,FALSE)</f>
        <v>1.01</v>
      </c>
      <c r="G426" s="24">
        <f ca="1">VLOOKUP(D426,[2]属性!$A:$F,4,FALSE)</f>
        <v>1</v>
      </c>
      <c r="H426" s="9" t="str">
        <f ca="1">VLOOKUP(A426,[2]characters!$A:$K,11,FALSE)</f>
        <v>attack</v>
      </c>
      <c r="I426" s="14" t="str">
        <f ca="1">VLOOKUP(H426,[2]character_type_i18n!$A:$F,3,FALSE)</f>
        <v>攻撃タイプ</v>
      </c>
      <c r="J426" s="36">
        <f ca="1">VLOOKUP(H426,[2]character_type_i18n!$A:$F,4,FALSE)</f>
        <v>1</v>
      </c>
      <c r="K426" s="36">
        <f ca="1">VLOOKUP(H426,[2]character_type_i18n!$A:$F,5,FALSE)</f>
        <v>1.33</v>
      </c>
      <c r="L426" s="36">
        <f ca="1">VLOOKUP(H426,[2]character_type_i18n!$A:$F,6,FALSE)</f>
        <v>1</v>
      </c>
      <c r="M426" s="9" t="str">
        <f ca="1">VLOOKUP(A426,[2]characters!$A:$M,13,FALSE)</f>
        <v>human</v>
      </c>
      <c r="N426" s="14" t="str">
        <f ca="1">VLOOKUP(M426,[2]character_tribe_i18n!$A:$F,3,FALSE)</f>
        <v>ヒューマン</v>
      </c>
      <c r="O426" s="24">
        <f ca="1">VLOOKUP(M426,[2]character_tribe_i18n!$A:$F,4,FALSE)</f>
        <v>0.94</v>
      </c>
      <c r="P426" s="24">
        <f ca="1">VLOOKUP(M426,[2]character_tribe_i18n!$A:$F,5,FALSE)</f>
        <v>0.99</v>
      </c>
      <c r="Q426" s="24">
        <f ca="1">VLOOKUP(M426,[2]character_tribe_i18n!$A:$F,6,FALSE)</f>
        <v>1</v>
      </c>
      <c r="R426" s="25" t="s">
        <v>98</v>
      </c>
      <c r="S426" s="24">
        <f>VLOOKUP($R426,ラベル別係数!$A$1:$E$7,3,FALSE)</f>
        <v>5</v>
      </c>
      <c r="T426" s="24">
        <f>VLOOKUP($R426,ラベル別係数!$A$1:$E$7,4,FALSE)</f>
        <v>1.3</v>
      </c>
      <c r="U426" s="24">
        <f>VLOOKUP($R426,ラベル別係数!$A$1:$E$7,5,FALSE)</f>
        <v>0.8</v>
      </c>
      <c r="V426" s="27">
        <v>3</v>
      </c>
      <c r="W426" s="28">
        <f>VLOOKUP(V426,ターン数別攻撃係数!$A$1:$B$1000,2,FALSE)</f>
        <v>1</v>
      </c>
      <c r="X426" s="10">
        <v>60</v>
      </c>
      <c r="Y426" s="26">
        <f>VLOOKUP($X426,サイズ別係数!$B:$E,2,FALSE)</f>
        <v>1.7</v>
      </c>
      <c r="Z426" s="26">
        <f>VLOOKUP($X426,サイズ別係数!$B:$E,3,FALSE)</f>
        <v>1.4</v>
      </c>
      <c r="AA426" s="26">
        <f>VLOOKUP($X426,サイズ別係数!$B:$E,4,FALSE)</f>
        <v>1</v>
      </c>
      <c r="AB426" s="5">
        <v>0</v>
      </c>
      <c r="AC426" s="34" t="str">
        <f ca="1">VLOOKUP($AB426,OFFSET([3]enemy_skill_sets!$B$2,0,0,COUNTA([3]enemy_skill_sets!$A:$A),MATCH(AC$1,[3]enemy_skill_sets!$1:$1,0)-MATCH($AB$1,[3]enemy_skill_sets!$1:$1,0)+1),MATCH(AC$1,[3]enemy_skill_sets!$1:$1,0)-MATCH($AB$1,[3]enemy_skill_sets!$1:$1,0)+1,FALSE)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6" s="67">
        <v>1</v>
      </c>
      <c r="AE426" s="67">
        <v>1</v>
      </c>
      <c r="AF426" s="37">
        <v>0</v>
      </c>
      <c r="AG426" s="28">
        <f ca="1">ROUND(VLOOKUP(1,enemy_base_stats!$A:$F,2,FALSE) * Y426* J426*O426*E426*S426*AD426*[2]ステータス!$B$2,0)</f>
        <v>3915</v>
      </c>
      <c r="AH426" s="28">
        <f ca="1">ROUND(VLOOKUP(1,enemy_base_stats!$A:$F,3,FALSE) * Z426*K426*P426*F426*T426*AE426 * W426*[2]ステータス!$C$2,0)</f>
        <v>363</v>
      </c>
      <c r="AI426" s="28">
        <f ca="1">ROUND(VLOOKUP(1,enemy_base_stats!$A:$F,4,FALSE) * AA426*L426*Q426*G426*U426*AF426*[2]ステータス!$D$2,0)</f>
        <v>0</v>
      </c>
      <c r="AJ426" s="28">
        <f ca="1">ROUND(VLOOKUP(100,enemy_base_stats!$A:$F,2,FALSE) * Y426* J426*O426*E426*S426*AD426*[2]ステータス!$B$2,0)</f>
        <v>158953</v>
      </c>
      <c r="AK426" s="28">
        <f ca="1">ROUND(VLOOKUP(100,enemy_base_stats!$A:$F,3,FALSE)* Z426* K426*P426*F426*T426*AE426 * W426*[2]ステータス!$C$2,0)</f>
        <v>14740</v>
      </c>
      <c r="AL426" s="28">
        <f ca="1">ROUND(VLOOKUP(100,enemy_base_stats!$A:$F,4,FALSE)* AA426* L426*Q426*G426*U426*AF426*[2]ステータス!$D$2,0)</f>
        <v>0</v>
      </c>
      <c r="AM426" s="24">
        <f ca="1">VLOOKUP(M426,[2]character_tribe_i18n!$A:$I,9,FALSE)</f>
        <v>400</v>
      </c>
      <c r="AN426" s="36">
        <v>0</v>
      </c>
      <c r="AO426" s="53">
        <v>0</v>
      </c>
      <c r="AP426" s="58" t="s">
        <v>72</v>
      </c>
      <c r="AQ426" s="71">
        <f t="shared" ca="1" si="16"/>
        <v>425</v>
      </c>
    </row>
    <row r="427" spans="1:43" ht="21" customHeight="1" x14ac:dyDescent="0.15">
      <c r="A427" s="7">
        <f t="shared" ca="1" si="13"/>
        <v>426</v>
      </c>
      <c r="B427" s="6" t="str">
        <f ca="1">VLOOKUP(A427,[2]characters!$A:$C,3,FALSE)</f>
        <v>宮本武蔵</v>
      </c>
      <c r="C427" s="9">
        <f ca="1">VLOOKUP(A427,[2]characters!$A:$I,9,FALSE)</f>
        <v>4</v>
      </c>
      <c r="D427" s="9" t="str">
        <f ca="1">VLOOKUP(A427,[2]characters!$A:$H,8,FALSE)</f>
        <v>yellow</v>
      </c>
      <c r="E427" s="24">
        <f ca="1">VLOOKUP(D427,[2]属性!$A:$E,2,FALSE)</f>
        <v>0.98</v>
      </c>
      <c r="F427" s="24">
        <f ca="1">VLOOKUP(D427,[2]属性!$A:$E,3,FALSE)</f>
        <v>1.01</v>
      </c>
      <c r="G427" s="24">
        <f ca="1">VLOOKUP(D427,[2]属性!$A:$F,4,FALSE)</f>
        <v>1</v>
      </c>
      <c r="H427" s="9" t="str">
        <f ca="1">VLOOKUP(A427,[2]characters!$A:$K,11,FALSE)</f>
        <v>attack</v>
      </c>
      <c r="I427" s="14" t="str">
        <f ca="1">VLOOKUP(H427,[2]character_type_i18n!$A:$F,3,FALSE)</f>
        <v>攻撃タイプ</v>
      </c>
      <c r="J427" s="36">
        <f ca="1">VLOOKUP(H427,[2]character_type_i18n!$A:$F,4,FALSE)</f>
        <v>1</v>
      </c>
      <c r="K427" s="36">
        <f ca="1">VLOOKUP(H427,[2]character_type_i18n!$A:$F,5,FALSE)</f>
        <v>1.33</v>
      </c>
      <c r="L427" s="36">
        <f ca="1">VLOOKUP(H427,[2]character_type_i18n!$A:$F,6,FALSE)</f>
        <v>1</v>
      </c>
      <c r="M427" s="9" t="str">
        <f ca="1">VLOOKUP(A427,[2]characters!$A:$M,13,FALSE)</f>
        <v>human</v>
      </c>
      <c r="N427" s="14" t="str">
        <f ca="1">VLOOKUP(M427,[2]character_tribe_i18n!$A:$F,3,FALSE)</f>
        <v>ヒューマン</v>
      </c>
      <c r="O427" s="24">
        <f ca="1">VLOOKUP(M427,[2]character_tribe_i18n!$A:$F,4,FALSE)</f>
        <v>0.94</v>
      </c>
      <c r="P427" s="24">
        <f ca="1">VLOOKUP(M427,[2]character_tribe_i18n!$A:$F,5,FALSE)</f>
        <v>0.99</v>
      </c>
      <c r="Q427" s="24">
        <f ca="1">VLOOKUP(M427,[2]character_tribe_i18n!$A:$F,6,FALSE)</f>
        <v>1</v>
      </c>
      <c r="R427" s="25" t="s">
        <v>98</v>
      </c>
      <c r="S427" s="24">
        <f>VLOOKUP($R427,ラベル別係数!$A$1:$E$7,3,FALSE)</f>
        <v>5</v>
      </c>
      <c r="T427" s="24">
        <f>VLOOKUP($R427,ラベル別係数!$A$1:$E$7,4,FALSE)</f>
        <v>1.3</v>
      </c>
      <c r="U427" s="24">
        <f>VLOOKUP($R427,ラベル別係数!$A$1:$E$7,5,FALSE)</f>
        <v>0.8</v>
      </c>
      <c r="V427" s="27">
        <v>3</v>
      </c>
      <c r="W427" s="28">
        <f>VLOOKUP(V427,ターン数別攻撃係数!$A$1:$B$1000,2,FALSE)</f>
        <v>1</v>
      </c>
      <c r="X427" s="10">
        <v>30</v>
      </c>
      <c r="Y427" s="26">
        <f>VLOOKUP($X427,サイズ別係数!$B:$E,2,FALSE)</f>
        <v>1.3</v>
      </c>
      <c r="Z427" s="26">
        <f>VLOOKUP($X427,サイズ別係数!$B:$E,3,FALSE)</f>
        <v>1.3</v>
      </c>
      <c r="AA427" s="26">
        <f>VLOOKUP($X427,サイズ別係数!$B:$E,4,FALSE)</f>
        <v>1.1000000000000001</v>
      </c>
      <c r="AB427" s="5">
        <v>0</v>
      </c>
      <c r="AC427" s="34" t="str">
        <f ca="1">VLOOKUP($AB427,OFFSET([3]enemy_skill_sets!$B$2,0,0,COUNTA([3]enemy_skill_sets!$A:$A),MATCH(AC$1,[3]enemy_skill_sets!$1:$1,0)-MATCH($AB$1,[3]enemy_skill_sets!$1:$1,0)+1),MATCH(AC$1,[3]enemy_skill_sets!$1:$1,0)-MATCH($AB$1,[3]enemy_skill_sets!$1:$1,0)+1,FALSE)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7" s="67">
        <v>1</v>
      </c>
      <c r="AE427" s="67">
        <v>1</v>
      </c>
      <c r="AF427" s="37">
        <v>0</v>
      </c>
      <c r="AG427" s="28">
        <f ca="1">ROUND(VLOOKUP(1,enemy_base_stats!$A:$F,2,FALSE) * Y427* J427*O427*E427*S427*AD427*[2]ステータス!$B$2,0)</f>
        <v>2994</v>
      </c>
      <c r="AH427" s="28">
        <f ca="1">ROUND(VLOOKUP(1,enemy_base_stats!$A:$F,3,FALSE) * Z427*K427*P427*F427*T427*AE427 * W427*[2]ステータス!$C$2,0)</f>
        <v>337</v>
      </c>
      <c r="AI427" s="28">
        <f ca="1">ROUND(VLOOKUP(1,enemy_base_stats!$A:$F,4,FALSE) * AA427*L427*Q427*G427*U427*AF427*[2]ステータス!$D$2,0)</f>
        <v>0</v>
      </c>
      <c r="AJ427" s="28">
        <f ca="1">ROUND(VLOOKUP(100,enemy_base_stats!$A:$F,2,FALSE) * Y427* J427*O427*E427*S427*AD427*[2]ステータス!$B$2,0)</f>
        <v>121552</v>
      </c>
      <c r="AK427" s="28">
        <f ca="1">ROUND(VLOOKUP(100,enemy_base_stats!$A:$F,3,FALSE)* Z427* K427*P427*F427*T427*AE427 * W427*[2]ステータス!$C$2,0)</f>
        <v>13687</v>
      </c>
      <c r="AL427" s="28">
        <f ca="1">ROUND(VLOOKUP(100,enemy_base_stats!$A:$F,4,FALSE)* AA427* L427*Q427*G427*U427*AF427*[2]ステータス!$D$2,0)</f>
        <v>0</v>
      </c>
      <c r="AM427" s="24">
        <f ca="1">VLOOKUP(M427,[2]character_tribe_i18n!$A:$I,9,FALSE)</f>
        <v>400</v>
      </c>
      <c r="AN427" s="36">
        <v>0</v>
      </c>
      <c r="AO427" s="53">
        <v>0</v>
      </c>
      <c r="AP427" s="58" t="s">
        <v>72</v>
      </c>
      <c r="AQ427" s="71">
        <f t="shared" ca="1" si="16"/>
        <v>426</v>
      </c>
    </row>
    <row r="428" spans="1:43" ht="21" customHeight="1" x14ac:dyDescent="0.15">
      <c r="A428" s="7">
        <f t="shared" ca="1" si="13"/>
        <v>427</v>
      </c>
      <c r="B428" s="6" t="str">
        <f ca="1">VLOOKUP(A428,[2]characters!$A:$C,3,FALSE)</f>
        <v>極・剣豪 宮本武蔵</v>
      </c>
      <c r="C428" s="9">
        <f ca="1">VLOOKUP(A428,[2]characters!$A:$I,9,FALSE)</f>
        <v>5</v>
      </c>
      <c r="D428" s="9" t="str">
        <f ca="1">VLOOKUP(A428,[2]characters!$A:$H,8,FALSE)</f>
        <v>yellow</v>
      </c>
      <c r="E428" s="24">
        <f ca="1">VLOOKUP(D428,[2]属性!$A:$E,2,FALSE)</f>
        <v>0.98</v>
      </c>
      <c r="F428" s="24">
        <f ca="1">VLOOKUP(D428,[2]属性!$A:$E,3,FALSE)</f>
        <v>1.01</v>
      </c>
      <c r="G428" s="24">
        <f ca="1">VLOOKUP(D428,[2]属性!$A:$F,4,FALSE)</f>
        <v>1</v>
      </c>
      <c r="H428" s="9" t="str">
        <f ca="1">VLOOKUP(A428,[2]characters!$A:$K,11,FALSE)</f>
        <v>attack</v>
      </c>
      <c r="I428" s="14" t="str">
        <f ca="1">VLOOKUP(H428,[2]character_type_i18n!$A:$F,3,FALSE)</f>
        <v>攻撃タイプ</v>
      </c>
      <c r="J428" s="36">
        <f ca="1">VLOOKUP(H428,[2]character_type_i18n!$A:$F,4,FALSE)</f>
        <v>1</v>
      </c>
      <c r="K428" s="36">
        <f ca="1">VLOOKUP(H428,[2]character_type_i18n!$A:$F,5,FALSE)</f>
        <v>1.33</v>
      </c>
      <c r="L428" s="36">
        <f ca="1">VLOOKUP(H428,[2]character_type_i18n!$A:$F,6,FALSE)</f>
        <v>1</v>
      </c>
      <c r="M428" s="9" t="str">
        <f ca="1">VLOOKUP(A428,[2]characters!$A:$M,13,FALSE)</f>
        <v>human</v>
      </c>
      <c r="N428" s="14" t="str">
        <f ca="1">VLOOKUP(M428,[2]character_tribe_i18n!$A:$F,3,FALSE)</f>
        <v>ヒューマン</v>
      </c>
      <c r="O428" s="24">
        <f ca="1">VLOOKUP(M428,[2]character_tribe_i18n!$A:$F,4,FALSE)</f>
        <v>0.94</v>
      </c>
      <c r="P428" s="24">
        <f ca="1">VLOOKUP(M428,[2]character_tribe_i18n!$A:$F,5,FALSE)</f>
        <v>0.99</v>
      </c>
      <c r="Q428" s="24">
        <f ca="1">VLOOKUP(M428,[2]character_tribe_i18n!$A:$F,6,FALSE)</f>
        <v>1</v>
      </c>
      <c r="R428" s="25" t="s">
        <v>98</v>
      </c>
      <c r="S428" s="24">
        <f>VLOOKUP($R428,ラベル別係数!$A$1:$E$7,3,FALSE)</f>
        <v>5</v>
      </c>
      <c r="T428" s="24">
        <f>VLOOKUP($R428,ラベル別係数!$A$1:$E$7,4,FALSE)</f>
        <v>1.3</v>
      </c>
      <c r="U428" s="24">
        <f>VLOOKUP($R428,ラベル別係数!$A$1:$E$7,5,FALSE)</f>
        <v>0.8</v>
      </c>
      <c r="V428" s="27">
        <v>3</v>
      </c>
      <c r="W428" s="28">
        <f>VLOOKUP(V428,ターン数別攻撃係数!$A$1:$B$1000,2,FALSE)</f>
        <v>1</v>
      </c>
      <c r="X428" s="10">
        <v>60</v>
      </c>
      <c r="Y428" s="26">
        <f>VLOOKUP($X428,サイズ別係数!$B:$E,2,FALSE)</f>
        <v>1.7</v>
      </c>
      <c r="Z428" s="26">
        <f>VLOOKUP($X428,サイズ別係数!$B:$E,3,FALSE)</f>
        <v>1.4</v>
      </c>
      <c r="AA428" s="26">
        <f>VLOOKUP($X428,サイズ別係数!$B:$E,4,FALSE)</f>
        <v>1</v>
      </c>
      <c r="AB428" s="5">
        <v>0</v>
      </c>
      <c r="AC428" s="34" t="str">
        <f ca="1">VLOOKUP($AB428,OFFSET([3]enemy_skill_sets!$B$2,0,0,COUNTA([3]enemy_skill_sets!$A:$A),MATCH(AC$1,[3]enemy_skill_sets!$1:$1,0)-MATCH($AB$1,[3]enemy_skill_sets!$1:$1,0)+1),MATCH(AC$1,[3]enemy_skill_sets!$1:$1,0)-MATCH($AB$1,[3]enemy_skill_sets!$1:$1,0)+1,FALSE)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8" s="67">
        <v>1</v>
      </c>
      <c r="AE428" s="67">
        <v>1</v>
      </c>
      <c r="AF428" s="37">
        <v>0</v>
      </c>
      <c r="AG428" s="28">
        <f ca="1">ROUND(VLOOKUP(1,enemy_base_stats!$A:$F,2,FALSE) * Y428* J428*O428*E428*S428*AD428*[2]ステータス!$B$2,0)</f>
        <v>3915</v>
      </c>
      <c r="AH428" s="28">
        <f ca="1">ROUND(VLOOKUP(1,enemy_base_stats!$A:$F,3,FALSE) * Z428*K428*P428*F428*T428*AE428 * W428*[2]ステータス!$C$2,0)</f>
        <v>363</v>
      </c>
      <c r="AI428" s="28">
        <f ca="1">ROUND(VLOOKUP(1,enemy_base_stats!$A:$F,4,FALSE) * AA428*L428*Q428*G428*U428*AF428*[2]ステータス!$D$2,0)</f>
        <v>0</v>
      </c>
      <c r="AJ428" s="28">
        <f ca="1">ROUND(VLOOKUP(100,enemy_base_stats!$A:$F,2,FALSE) * Y428* J428*O428*E428*S428*AD428*[2]ステータス!$B$2,0)</f>
        <v>158953</v>
      </c>
      <c r="AK428" s="28">
        <f ca="1">ROUND(VLOOKUP(100,enemy_base_stats!$A:$F,3,FALSE)* Z428* K428*P428*F428*T428*AE428 * W428*[2]ステータス!$C$2,0)</f>
        <v>14740</v>
      </c>
      <c r="AL428" s="28">
        <f ca="1">ROUND(VLOOKUP(100,enemy_base_stats!$A:$F,4,FALSE)* AA428* L428*Q428*G428*U428*AF428*[2]ステータス!$D$2,0)</f>
        <v>0</v>
      </c>
      <c r="AM428" s="64">
        <v>50000</v>
      </c>
      <c r="AN428" s="36">
        <v>0</v>
      </c>
      <c r="AO428" s="53">
        <v>0</v>
      </c>
      <c r="AP428" s="58" t="s">
        <v>72</v>
      </c>
      <c r="AQ428" s="71">
        <f t="shared" ca="1" si="16"/>
        <v>427</v>
      </c>
    </row>
    <row r="429" spans="1:43" ht="21" customHeight="1" x14ac:dyDescent="0.15">
      <c r="A429" s="7">
        <f t="shared" ca="1" si="13"/>
        <v>428</v>
      </c>
      <c r="B429" s="6" t="str">
        <f ca="1">VLOOKUP(A429,[2]characters!$A:$C,3,FALSE)</f>
        <v>レッドダムディ</v>
      </c>
      <c r="C429" s="9">
        <f ca="1">VLOOKUP(A429,[2]characters!$A:$I,9,FALSE)</f>
        <v>5</v>
      </c>
      <c r="D429" s="9" t="str">
        <f ca="1">VLOOKUP(A429,[2]characters!$A:$H,8,FALSE)</f>
        <v>red</v>
      </c>
      <c r="E429" s="24">
        <f ca="1">VLOOKUP(D429,[2]属性!$A:$E,2,FALSE)</f>
        <v>1</v>
      </c>
      <c r="F429" s="24">
        <f ca="1">VLOOKUP(D429,[2]属性!$A:$E,3,FALSE)</f>
        <v>1.02</v>
      </c>
      <c r="G429" s="24">
        <f ca="1">VLOOKUP(D429,[2]属性!$A:$F,4,FALSE)</f>
        <v>1</v>
      </c>
      <c r="H429" s="9" t="str">
        <f ca="1">VLOOKUP(A429,[2]characters!$A:$K,11,FALSE)</f>
        <v>evolution</v>
      </c>
      <c r="I429" s="14" t="str">
        <f ca="1">VLOOKUP(H429,[2]character_type_i18n!$A:$F,3,FALSE)</f>
        <v>覚醒素材タイプ</v>
      </c>
      <c r="J429" s="36">
        <f ca="1">VLOOKUP(H429,[2]character_type_i18n!$A:$F,4,FALSE)</f>
        <v>0.1</v>
      </c>
      <c r="K429" s="36">
        <f ca="1">VLOOKUP(H429,[2]character_type_i18n!$A:$F,5,FALSE)</f>
        <v>0.05</v>
      </c>
      <c r="L429" s="36">
        <f ca="1">VLOOKUP(H429,[2]character_type_i18n!$A:$F,6,FALSE)</f>
        <v>1</v>
      </c>
      <c r="M429" s="9" t="str">
        <f ca="1">VLOOKUP(A429,[2]characters!$A:$M,13,FALSE)</f>
        <v>unknown</v>
      </c>
      <c r="N429" s="14" t="str">
        <f ca="1">VLOOKUP(M429,[2]character_tribe_i18n!$A:$F,3,FALSE)</f>
        <v>Unknown</v>
      </c>
      <c r="O429" s="24">
        <f ca="1">VLOOKUP(M429,[2]character_tribe_i18n!$A:$F,4,FALSE)</f>
        <v>1</v>
      </c>
      <c r="P429" s="24">
        <f ca="1">VLOOKUP(M429,[2]character_tribe_i18n!$A:$F,5,FALSE)</f>
        <v>1</v>
      </c>
      <c r="Q429" s="24">
        <f ca="1">VLOOKUP(M429,[2]character_tribe_i18n!$A:$F,6,FALSE)</f>
        <v>1</v>
      </c>
      <c r="R429" s="25" t="s">
        <v>98</v>
      </c>
      <c r="S429" s="24">
        <f>VLOOKUP($R429,ラベル別係数!$A$1:$E$7,3,FALSE)</f>
        <v>5</v>
      </c>
      <c r="T429" s="24">
        <f>VLOOKUP($R429,ラベル別係数!$A$1:$E$7,4,FALSE)</f>
        <v>1.3</v>
      </c>
      <c r="U429" s="24">
        <f>VLOOKUP($R429,ラベル別係数!$A$1:$E$7,5,FALSE)</f>
        <v>0.8</v>
      </c>
      <c r="V429" s="27">
        <v>3</v>
      </c>
      <c r="W429" s="28">
        <f>VLOOKUP(V429,ターン数別攻撃係数!$A$1:$B$1000,2,FALSE)</f>
        <v>1</v>
      </c>
      <c r="X429" s="10">
        <v>60</v>
      </c>
      <c r="Y429" s="26">
        <f>VLOOKUP($X429,サイズ別係数!$B:$E,2,FALSE)</f>
        <v>1.7</v>
      </c>
      <c r="Z429" s="26">
        <f>VLOOKUP($X429,サイズ別係数!$B:$E,3,FALSE)</f>
        <v>1.4</v>
      </c>
      <c r="AA429" s="26">
        <f>VLOOKUP($X429,サイズ別係数!$B:$E,4,FALSE)</f>
        <v>1</v>
      </c>
      <c r="AB429" s="5">
        <v>0</v>
      </c>
      <c r="AC429" s="34" t="str">
        <f ca="1">VLOOKUP($AB429,OFFSET([3]enemy_skill_sets!$B$2,0,0,COUNTA([3]enemy_skill_sets!$A:$A),MATCH(AC$1,[3]enemy_skill_sets!$1:$1,0)-MATCH($AB$1,[3]enemy_skill_sets!$1:$1,0)+1),MATCH(AC$1,[3]enemy_skill_sets!$1:$1,0)-MATCH($AB$1,[3]enemy_skill_sets!$1:$1,0)+1,FALSE)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29" s="67">
        <v>1</v>
      </c>
      <c r="AE429" s="67">
        <v>1</v>
      </c>
      <c r="AF429" s="37">
        <v>0</v>
      </c>
      <c r="AG429" s="28">
        <f ca="1">ROUND(VLOOKUP(1,enemy_base_stats!$A:$F,2,FALSE) * Y429* J429*O429*E429*S429*AD429*[2]ステータス!$B$2,0)</f>
        <v>425</v>
      </c>
      <c r="AH429" s="28">
        <f ca="1">ROUND(VLOOKUP(1,enemy_base_stats!$A:$F,3,FALSE) * Z429*K429*P429*F429*T429*AE429 * W429*[2]ステータス!$C$2,0)</f>
        <v>14</v>
      </c>
      <c r="AI429" s="28">
        <f ca="1">ROUND(VLOOKUP(1,enemy_base_stats!$A:$F,4,FALSE) * AA429*L429*Q429*G429*U429*AF429*[2]ステータス!$D$2,0)</f>
        <v>0</v>
      </c>
      <c r="AJ429" s="28">
        <f ca="1">ROUND(VLOOKUP(100,enemy_base_stats!$A:$F,2,FALSE) * Y429* J429*O429*E429*S429*AD429*[2]ステータス!$B$2,0)</f>
        <v>17255</v>
      </c>
      <c r="AK429" s="28">
        <f ca="1">ROUND(VLOOKUP(100,enemy_base_stats!$A:$F,3,FALSE)* Z429* K429*P429*F429*T429*AE429 * W429*[2]ステータス!$C$2,0)</f>
        <v>565</v>
      </c>
      <c r="AL429" s="28">
        <f ca="1">ROUND(VLOOKUP(100,enemy_base_stats!$A:$F,4,FALSE)* AA429* L429*Q429*G429*U429*AF429*[2]ステータス!$D$2,0)</f>
        <v>0</v>
      </c>
      <c r="AM429" s="24">
        <f ca="1">VLOOKUP(M429,[2]character_tribe_i18n!$A:$I,9,FALSE)</f>
        <v>340</v>
      </c>
      <c r="AN429" s="36">
        <v>0</v>
      </c>
      <c r="AO429" s="53">
        <v>0</v>
      </c>
      <c r="AP429" s="58" t="s">
        <v>72</v>
      </c>
      <c r="AQ429" s="71">
        <f t="shared" ca="1" si="16"/>
        <v>428</v>
      </c>
    </row>
    <row r="430" spans="1:43" ht="21" customHeight="1" x14ac:dyDescent="0.15">
      <c r="A430" s="7">
        <f t="shared" ca="1" si="13"/>
        <v>429</v>
      </c>
      <c r="B430" s="6" t="str">
        <f ca="1">VLOOKUP(A430,[2]characters!$A:$C,3,FALSE)</f>
        <v>ブルーダムディ</v>
      </c>
      <c r="C430" s="9">
        <f ca="1">VLOOKUP(A430,[2]characters!$A:$I,9,FALSE)</f>
        <v>5</v>
      </c>
      <c r="D430" s="9" t="str">
        <f ca="1">VLOOKUP(A430,[2]characters!$A:$H,8,FALSE)</f>
        <v>blue</v>
      </c>
      <c r="E430" s="24">
        <f ca="1">VLOOKUP(D430,[2]属性!$A:$E,2,FALSE)</f>
        <v>1</v>
      </c>
      <c r="F430" s="24">
        <f ca="1">VLOOKUP(D430,[2]属性!$A:$E,3,FALSE)</f>
        <v>0.98</v>
      </c>
      <c r="G430" s="24">
        <f ca="1">VLOOKUP(D430,[2]属性!$A:$F,4,FALSE)</f>
        <v>1</v>
      </c>
      <c r="H430" s="9" t="str">
        <f ca="1">VLOOKUP(A430,[2]characters!$A:$K,11,FALSE)</f>
        <v>evolution</v>
      </c>
      <c r="I430" s="14" t="str">
        <f ca="1">VLOOKUP(H430,[2]character_type_i18n!$A:$F,3,FALSE)</f>
        <v>覚醒素材タイプ</v>
      </c>
      <c r="J430" s="36">
        <f ca="1">VLOOKUP(H430,[2]character_type_i18n!$A:$F,4,FALSE)</f>
        <v>0.1</v>
      </c>
      <c r="K430" s="36">
        <f ca="1">VLOOKUP(H430,[2]character_type_i18n!$A:$F,5,FALSE)</f>
        <v>0.05</v>
      </c>
      <c r="L430" s="36">
        <f ca="1">VLOOKUP(H430,[2]character_type_i18n!$A:$F,6,FALSE)</f>
        <v>1</v>
      </c>
      <c r="M430" s="9" t="str">
        <f ca="1">VLOOKUP(A430,[2]characters!$A:$M,13,FALSE)</f>
        <v>unknown</v>
      </c>
      <c r="N430" s="14" t="str">
        <f ca="1">VLOOKUP(M430,[2]character_tribe_i18n!$A:$F,3,FALSE)</f>
        <v>Unknown</v>
      </c>
      <c r="O430" s="24">
        <f ca="1">VLOOKUP(M430,[2]character_tribe_i18n!$A:$F,4,FALSE)</f>
        <v>1</v>
      </c>
      <c r="P430" s="24">
        <f ca="1">VLOOKUP(M430,[2]character_tribe_i18n!$A:$F,5,FALSE)</f>
        <v>1</v>
      </c>
      <c r="Q430" s="24">
        <f ca="1">VLOOKUP(M430,[2]character_tribe_i18n!$A:$F,6,FALSE)</f>
        <v>1</v>
      </c>
      <c r="R430" s="25" t="s">
        <v>98</v>
      </c>
      <c r="S430" s="24">
        <f>VLOOKUP($R430,ラベル別係数!$A$1:$E$7,3,FALSE)</f>
        <v>5</v>
      </c>
      <c r="T430" s="24">
        <f>VLOOKUP($R430,ラベル別係数!$A$1:$E$7,4,FALSE)</f>
        <v>1.3</v>
      </c>
      <c r="U430" s="24">
        <f>VLOOKUP($R430,ラベル別係数!$A$1:$E$7,5,FALSE)</f>
        <v>0.8</v>
      </c>
      <c r="V430" s="27">
        <v>3</v>
      </c>
      <c r="W430" s="28">
        <f>VLOOKUP(V430,ターン数別攻撃係数!$A$1:$B$1000,2,FALSE)</f>
        <v>1</v>
      </c>
      <c r="X430" s="10">
        <v>60</v>
      </c>
      <c r="Y430" s="26">
        <f>VLOOKUP($X430,サイズ別係数!$B:$E,2,FALSE)</f>
        <v>1.7</v>
      </c>
      <c r="Z430" s="26">
        <f>VLOOKUP($X430,サイズ別係数!$B:$E,3,FALSE)</f>
        <v>1.4</v>
      </c>
      <c r="AA430" s="26">
        <f>VLOOKUP($X430,サイズ別係数!$B:$E,4,FALSE)</f>
        <v>1</v>
      </c>
      <c r="AB430" s="5">
        <v>0</v>
      </c>
      <c r="AC430" s="34" t="str">
        <f ca="1">VLOOKUP($AB430,OFFSET([3]enemy_skill_sets!$B$2,0,0,COUNTA([3]enemy_skill_sets!$A:$A),MATCH(AC$1,[3]enemy_skill_sets!$1:$1,0)-MATCH($AB$1,[3]enemy_skill_sets!$1:$1,0)+1),MATCH(AC$1,[3]enemy_skill_sets!$1:$1,0)-MATCH($AB$1,[3]enemy_skill_sets!$1:$1,0)+1,FALSE)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0" s="67">
        <v>1</v>
      </c>
      <c r="AE430" s="67">
        <v>1</v>
      </c>
      <c r="AF430" s="37">
        <v>0</v>
      </c>
      <c r="AG430" s="28">
        <f ca="1">ROUND(VLOOKUP(1,enemy_base_stats!$A:$F,2,FALSE) * Y430* J430*O430*E430*S430*AD430*[2]ステータス!$B$2,0)</f>
        <v>425</v>
      </c>
      <c r="AH430" s="28">
        <f ca="1">ROUND(VLOOKUP(1,enemy_base_stats!$A:$F,3,FALSE) * Z430*K430*P430*F430*T430*AE430 * W430*[2]ステータス!$C$2,0)</f>
        <v>13</v>
      </c>
      <c r="AI430" s="28">
        <f ca="1">ROUND(VLOOKUP(1,enemy_base_stats!$A:$F,4,FALSE) * AA430*L430*Q430*G430*U430*AF430*[2]ステータス!$D$2,0)</f>
        <v>0</v>
      </c>
      <c r="AJ430" s="28">
        <f ca="1">ROUND(VLOOKUP(100,enemy_base_stats!$A:$F,2,FALSE) * Y430* J430*O430*E430*S430*AD430*[2]ステータス!$B$2,0)</f>
        <v>17255</v>
      </c>
      <c r="AK430" s="28">
        <f ca="1">ROUND(VLOOKUP(100,enemy_base_stats!$A:$F,3,FALSE)* Z430* K430*P430*F430*T430*AE430 * W430*[2]ステータス!$C$2,0)</f>
        <v>543</v>
      </c>
      <c r="AL430" s="28">
        <f ca="1">ROUND(VLOOKUP(100,enemy_base_stats!$A:$F,4,FALSE)* AA430* L430*Q430*G430*U430*AF430*[2]ステータス!$D$2,0)</f>
        <v>0</v>
      </c>
      <c r="AM430" s="24">
        <f ca="1">VLOOKUP(M430,[2]character_tribe_i18n!$A:$I,9,FALSE)</f>
        <v>340</v>
      </c>
      <c r="AN430" s="36">
        <v>0</v>
      </c>
      <c r="AO430" s="53">
        <v>0</v>
      </c>
      <c r="AP430" s="58" t="s">
        <v>72</v>
      </c>
      <c r="AQ430" s="71">
        <f t="shared" ca="1" si="16"/>
        <v>429</v>
      </c>
    </row>
    <row r="431" spans="1:43" ht="21" customHeight="1" x14ac:dyDescent="0.15">
      <c r="A431" s="7">
        <f t="shared" ca="1" si="13"/>
        <v>430</v>
      </c>
      <c r="B431" s="6" t="str">
        <f ca="1">VLOOKUP(A431,[2]characters!$A:$C,3,FALSE)</f>
        <v>グリーンダムディ</v>
      </c>
      <c r="C431" s="9">
        <f ca="1">VLOOKUP(A431,[2]characters!$A:$I,9,FALSE)</f>
        <v>5</v>
      </c>
      <c r="D431" s="9" t="str">
        <f ca="1">VLOOKUP(A431,[2]characters!$A:$H,8,FALSE)</f>
        <v>green</v>
      </c>
      <c r="E431" s="24">
        <f ca="1">VLOOKUP(D431,[2]属性!$A:$E,2,FALSE)</f>
        <v>1.02</v>
      </c>
      <c r="F431" s="24">
        <f ca="1">VLOOKUP(D431,[2]属性!$A:$E,3,FALSE)</f>
        <v>0.98</v>
      </c>
      <c r="G431" s="24">
        <f ca="1">VLOOKUP(D431,[2]属性!$A:$F,4,FALSE)</f>
        <v>1</v>
      </c>
      <c r="H431" s="9" t="str">
        <f ca="1">VLOOKUP(A431,[2]characters!$A:$K,11,FALSE)</f>
        <v>evolution</v>
      </c>
      <c r="I431" s="14" t="str">
        <f ca="1">VLOOKUP(H431,[2]character_type_i18n!$A:$F,3,FALSE)</f>
        <v>覚醒素材タイプ</v>
      </c>
      <c r="J431" s="36">
        <f ca="1">VLOOKUP(H431,[2]character_type_i18n!$A:$F,4,FALSE)</f>
        <v>0.1</v>
      </c>
      <c r="K431" s="36">
        <f ca="1">VLOOKUP(H431,[2]character_type_i18n!$A:$F,5,FALSE)</f>
        <v>0.05</v>
      </c>
      <c r="L431" s="36">
        <f ca="1">VLOOKUP(H431,[2]character_type_i18n!$A:$F,6,FALSE)</f>
        <v>1</v>
      </c>
      <c r="M431" s="9" t="str">
        <f ca="1">VLOOKUP(A431,[2]characters!$A:$M,13,FALSE)</f>
        <v>unknown</v>
      </c>
      <c r="N431" s="14" t="str">
        <f ca="1">VLOOKUP(M431,[2]character_tribe_i18n!$A:$F,3,FALSE)</f>
        <v>Unknown</v>
      </c>
      <c r="O431" s="24">
        <f ca="1">VLOOKUP(M431,[2]character_tribe_i18n!$A:$F,4,FALSE)</f>
        <v>1</v>
      </c>
      <c r="P431" s="24">
        <f ca="1">VLOOKUP(M431,[2]character_tribe_i18n!$A:$F,5,FALSE)</f>
        <v>1</v>
      </c>
      <c r="Q431" s="24">
        <f ca="1">VLOOKUP(M431,[2]character_tribe_i18n!$A:$F,6,FALSE)</f>
        <v>1</v>
      </c>
      <c r="R431" s="25" t="s">
        <v>98</v>
      </c>
      <c r="S431" s="24">
        <f>VLOOKUP($R431,ラベル別係数!$A$1:$E$7,3,FALSE)</f>
        <v>5</v>
      </c>
      <c r="T431" s="24">
        <f>VLOOKUP($R431,ラベル別係数!$A$1:$E$7,4,FALSE)</f>
        <v>1.3</v>
      </c>
      <c r="U431" s="24">
        <f>VLOOKUP($R431,ラベル別係数!$A$1:$E$7,5,FALSE)</f>
        <v>0.8</v>
      </c>
      <c r="V431" s="27">
        <v>3</v>
      </c>
      <c r="W431" s="28">
        <f>VLOOKUP(V431,ターン数別攻撃係数!$A$1:$B$1000,2,FALSE)</f>
        <v>1</v>
      </c>
      <c r="X431" s="10">
        <v>60</v>
      </c>
      <c r="Y431" s="26">
        <f>VLOOKUP($X431,サイズ別係数!$B:$E,2,FALSE)</f>
        <v>1.7</v>
      </c>
      <c r="Z431" s="26">
        <f>VLOOKUP($X431,サイズ別係数!$B:$E,3,FALSE)</f>
        <v>1.4</v>
      </c>
      <c r="AA431" s="26">
        <f>VLOOKUP($X431,サイズ別係数!$B:$E,4,FALSE)</f>
        <v>1</v>
      </c>
      <c r="AB431" s="5">
        <v>0</v>
      </c>
      <c r="AC431" s="34" t="str">
        <f ca="1">VLOOKUP($AB431,OFFSET([3]enemy_skill_sets!$B$2,0,0,COUNTA([3]enemy_skill_sets!$A:$A),MATCH(AC$1,[3]enemy_skill_sets!$1:$1,0)-MATCH($AB$1,[3]enemy_skill_sets!$1:$1,0)+1),MATCH(AC$1,[3]enemy_skill_sets!$1:$1,0)-MATCH($AB$1,[3]enemy_skill_sets!$1:$1,0)+1,FALSE)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1" s="67">
        <v>1</v>
      </c>
      <c r="AE431" s="67">
        <v>1</v>
      </c>
      <c r="AF431" s="37">
        <v>0</v>
      </c>
      <c r="AG431" s="28">
        <f ca="1">ROUND(VLOOKUP(1,enemy_base_stats!$A:$F,2,FALSE) * Y431* J431*O431*E431*S431*AD431*[2]ステータス!$B$2,0)</f>
        <v>434</v>
      </c>
      <c r="AH431" s="28">
        <f ca="1">ROUND(VLOOKUP(1,enemy_base_stats!$A:$F,3,FALSE) * Z431*K431*P431*F431*T431*AE431 * W431*[2]ステータス!$C$2,0)</f>
        <v>13</v>
      </c>
      <c r="AI431" s="28">
        <f ca="1">ROUND(VLOOKUP(1,enemy_base_stats!$A:$F,4,FALSE) * AA431*L431*Q431*G431*U431*AF431*[2]ステータス!$D$2,0)</f>
        <v>0</v>
      </c>
      <c r="AJ431" s="28">
        <f ca="1">ROUND(VLOOKUP(100,enemy_base_stats!$A:$F,2,FALSE) * Y431* J431*O431*E431*S431*AD431*[2]ステータス!$B$2,0)</f>
        <v>17600</v>
      </c>
      <c r="AK431" s="28">
        <f ca="1">ROUND(VLOOKUP(100,enemy_base_stats!$A:$F,3,FALSE)* Z431* K431*P431*F431*T431*AE431 * W431*[2]ステータス!$C$2,0)</f>
        <v>543</v>
      </c>
      <c r="AL431" s="28">
        <f ca="1">ROUND(VLOOKUP(100,enemy_base_stats!$A:$F,4,FALSE)* AA431* L431*Q431*G431*U431*AF431*[2]ステータス!$D$2,0)</f>
        <v>0</v>
      </c>
      <c r="AM431" s="24">
        <f ca="1">VLOOKUP(M431,[2]character_tribe_i18n!$A:$I,9,FALSE)</f>
        <v>340</v>
      </c>
      <c r="AN431" s="36">
        <v>0</v>
      </c>
      <c r="AO431" s="53">
        <v>0</v>
      </c>
      <c r="AP431" s="58" t="s">
        <v>72</v>
      </c>
      <c r="AQ431" s="71">
        <f t="shared" ref="AQ431:AQ439" ca="1" si="17">A431</f>
        <v>430</v>
      </c>
    </row>
    <row r="432" spans="1:43" ht="21" customHeight="1" x14ac:dyDescent="0.15">
      <c r="A432" s="7">
        <f t="shared" ca="1" si="13"/>
        <v>431</v>
      </c>
      <c r="B432" s="6" t="str">
        <f ca="1">VLOOKUP(A432,[2]characters!$A:$C,3,FALSE)</f>
        <v>イエローダムディ</v>
      </c>
      <c r="C432" s="9">
        <f ca="1">VLOOKUP(A432,[2]characters!$A:$I,9,FALSE)</f>
        <v>5</v>
      </c>
      <c r="D432" s="9" t="str">
        <f ca="1">VLOOKUP(A432,[2]characters!$A:$H,8,FALSE)</f>
        <v>yellow</v>
      </c>
      <c r="E432" s="24">
        <f ca="1">VLOOKUP(D432,[2]属性!$A:$E,2,FALSE)</f>
        <v>0.98</v>
      </c>
      <c r="F432" s="24">
        <f ca="1">VLOOKUP(D432,[2]属性!$A:$E,3,FALSE)</f>
        <v>1.01</v>
      </c>
      <c r="G432" s="24">
        <f ca="1">VLOOKUP(D432,[2]属性!$A:$F,4,FALSE)</f>
        <v>1</v>
      </c>
      <c r="H432" s="9" t="str">
        <f ca="1">VLOOKUP(A432,[2]characters!$A:$K,11,FALSE)</f>
        <v>evolution</v>
      </c>
      <c r="I432" s="14" t="str">
        <f ca="1">VLOOKUP(H432,[2]character_type_i18n!$A:$F,3,FALSE)</f>
        <v>覚醒素材タイプ</v>
      </c>
      <c r="J432" s="36">
        <f ca="1">VLOOKUP(H432,[2]character_type_i18n!$A:$F,4,FALSE)</f>
        <v>0.1</v>
      </c>
      <c r="K432" s="36">
        <f ca="1">VLOOKUP(H432,[2]character_type_i18n!$A:$F,5,FALSE)</f>
        <v>0.05</v>
      </c>
      <c r="L432" s="36">
        <f ca="1">VLOOKUP(H432,[2]character_type_i18n!$A:$F,6,FALSE)</f>
        <v>1</v>
      </c>
      <c r="M432" s="9" t="str">
        <f ca="1">VLOOKUP(A432,[2]characters!$A:$M,13,FALSE)</f>
        <v>unknown</v>
      </c>
      <c r="N432" s="14" t="str">
        <f ca="1">VLOOKUP(M432,[2]character_tribe_i18n!$A:$F,3,FALSE)</f>
        <v>Unknown</v>
      </c>
      <c r="O432" s="24">
        <f ca="1">VLOOKUP(M432,[2]character_tribe_i18n!$A:$F,4,FALSE)</f>
        <v>1</v>
      </c>
      <c r="P432" s="24">
        <f ca="1">VLOOKUP(M432,[2]character_tribe_i18n!$A:$F,5,FALSE)</f>
        <v>1</v>
      </c>
      <c r="Q432" s="24">
        <f ca="1">VLOOKUP(M432,[2]character_tribe_i18n!$A:$F,6,FALSE)</f>
        <v>1</v>
      </c>
      <c r="R432" s="25" t="s">
        <v>98</v>
      </c>
      <c r="S432" s="24">
        <f>VLOOKUP($R432,ラベル別係数!$A$1:$E$7,3,FALSE)</f>
        <v>5</v>
      </c>
      <c r="T432" s="24">
        <f>VLOOKUP($R432,ラベル別係数!$A$1:$E$7,4,FALSE)</f>
        <v>1.3</v>
      </c>
      <c r="U432" s="24">
        <f>VLOOKUP($R432,ラベル別係数!$A$1:$E$7,5,FALSE)</f>
        <v>0.8</v>
      </c>
      <c r="V432" s="27">
        <v>3</v>
      </c>
      <c r="W432" s="28">
        <f>VLOOKUP(V432,ターン数別攻撃係数!$A$1:$B$1000,2,FALSE)</f>
        <v>1</v>
      </c>
      <c r="X432" s="10">
        <v>60</v>
      </c>
      <c r="Y432" s="26">
        <f>VLOOKUP($X432,サイズ別係数!$B:$E,2,FALSE)</f>
        <v>1.7</v>
      </c>
      <c r="Z432" s="26">
        <f>VLOOKUP($X432,サイズ別係数!$B:$E,3,FALSE)</f>
        <v>1.4</v>
      </c>
      <c r="AA432" s="26">
        <f>VLOOKUP($X432,サイズ別係数!$B:$E,4,FALSE)</f>
        <v>1</v>
      </c>
      <c r="AB432" s="5">
        <v>0</v>
      </c>
      <c r="AC432" s="34" t="str">
        <f ca="1">VLOOKUP($AB432,OFFSET([3]enemy_skill_sets!$B$2,0,0,COUNTA([3]enemy_skill_sets!$A:$A),MATCH(AC$1,[3]enemy_skill_sets!$1:$1,0)-MATCH($AB$1,[3]enemy_skill_sets!$1:$1,0)+1),MATCH(AC$1,[3]enemy_skill_sets!$1:$1,0)-MATCH($AB$1,[3]enemy_skill_sets!$1:$1,0)+1,FALSE)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2" s="67">
        <v>1</v>
      </c>
      <c r="AE432" s="67">
        <v>1</v>
      </c>
      <c r="AF432" s="37">
        <v>0</v>
      </c>
      <c r="AG432" s="28">
        <f ca="1">ROUND(VLOOKUP(1,enemy_base_stats!$A:$F,2,FALSE) * Y432* J432*O432*E432*S432*AD432*[2]ステータス!$B$2,0)</f>
        <v>417</v>
      </c>
      <c r="AH432" s="28">
        <f ca="1">ROUND(VLOOKUP(1,enemy_base_stats!$A:$F,3,FALSE) * Z432*K432*P432*F432*T432*AE432 * W432*[2]ステータス!$C$2,0)</f>
        <v>14</v>
      </c>
      <c r="AI432" s="28">
        <f ca="1">ROUND(VLOOKUP(1,enemy_base_stats!$A:$F,4,FALSE) * AA432*L432*Q432*G432*U432*AF432*[2]ステータス!$D$2,0)</f>
        <v>0</v>
      </c>
      <c r="AJ432" s="28">
        <f ca="1">ROUND(VLOOKUP(100,enemy_base_stats!$A:$F,2,FALSE) * Y432* J432*O432*E432*S432*AD432*[2]ステータス!$B$2,0)</f>
        <v>16910</v>
      </c>
      <c r="AK432" s="28">
        <f ca="1">ROUND(VLOOKUP(100,enemy_base_stats!$A:$F,3,FALSE)* Z432* K432*P432*F432*T432*AE432 * W432*[2]ステータス!$C$2,0)</f>
        <v>560</v>
      </c>
      <c r="AL432" s="28">
        <f ca="1">ROUND(VLOOKUP(100,enemy_base_stats!$A:$F,4,FALSE)* AA432* L432*Q432*G432*U432*AF432*[2]ステータス!$D$2,0)</f>
        <v>0</v>
      </c>
      <c r="AM432" s="24">
        <f ca="1">VLOOKUP(M432,[2]character_tribe_i18n!$A:$I,9,FALSE)</f>
        <v>340</v>
      </c>
      <c r="AN432" s="36">
        <v>0</v>
      </c>
      <c r="AO432" s="53">
        <v>0</v>
      </c>
      <c r="AP432" s="58" t="s">
        <v>72</v>
      </c>
      <c r="AQ432" s="71">
        <f t="shared" ca="1" si="17"/>
        <v>431</v>
      </c>
    </row>
    <row r="433" spans="1:43" ht="21" customHeight="1" x14ac:dyDescent="0.15">
      <c r="A433" s="7">
        <f t="shared" ca="1" si="13"/>
        <v>432</v>
      </c>
      <c r="B433" s="6" t="str">
        <f ca="1">VLOOKUP(A433,[2]characters!$A:$C,3,FALSE)</f>
        <v>麒麟</v>
      </c>
      <c r="C433" s="9">
        <f ca="1">VLOOKUP(A433,[2]characters!$A:$I,9,FALSE)</f>
        <v>4</v>
      </c>
      <c r="D433" s="9" t="str">
        <f ca="1">VLOOKUP(A433,[2]characters!$A:$H,8,FALSE)</f>
        <v>yellow</v>
      </c>
      <c r="E433" s="24">
        <f ca="1">VLOOKUP(D433,[2]属性!$A:$E,2,FALSE)</f>
        <v>0.98</v>
      </c>
      <c r="F433" s="24">
        <f ca="1">VLOOKUP(D433,[2]属性!$A:$E,3,FALSE)</f>
        <v>1.01</v>
      </c>
      <c r="G433" s="24">
        <f ca="1">VLOOKUP(D433,[2]属性!$A:$F,4,FALSE)</f>
        <v>1</v>
      </c>
      <c r="H433" s="9" t="str">
        <f ca="1">VLOOKUP(A433,[2]characters!$A:$K,11,FALSE)</f>
        <v>balance</v>
      </c>
      <c r="I433" s="14" t="str">
        <f ca="1">VLOOKUP(H433,[2]character_type_i18n!$A:$F,3,FALSE)</f>
        <v>バランスタイプ</v>
      </c>
      <c r="J433" s="36">
        <f ca="1">VLOOKUP(H433,[2]character_type_i18n!$A:$F,4,FALSE)</f>
        <v>1</v>
      </c>
      <c r="K433" s="36">
        <f ca="1">VLOOKUP(H433,[2]character_type_i18n!$A:$F,5,FALSE)</f>
        <v>1</v>
      </c>
      <c r="L433" s="36">
        <f ca="1">VLOOKUP(H433,[2]character_type_i18n!$A:$F,6,FALSE)</f>
        <v>1</v>
      </c>
      <c r="M433" s="9" t="str">
        <f ca="1">VLOOKUP(A433,[2]characters!$A:$M,13,FALSE)</f>
        <v>god</v>
      </c>
      <c r="N433" s="14" t="str">
        <f ca="1">VLOOKUP(M433,[2]character_tribe_i18n!$A:$F,3,FALSE)</f>
        <v>ゴッド</v>
      </c>
      <c r="O433" s="24">
        <f ca="1">VLOOKUP(M433,[2]character_tribe_i18n!$A:$F,4,FALSE)</f>
        <v>0.96</v>
      </c>
      <c r="P433" s="24">
        <f ca="1">VLOOKUP(M433,[2]character_tribe_i18n!$A:$F,5,FALSE)</f>
        <v>1.02</v>
      </c>
      <c r="Q433" s="24">
        <f ca="1">VLOOKUP(M433,[2]character_tribe_i18n!$A:$F,6,FALSE)</f>
        <v>1</v>
      </c>
      <c r="R433" s="25" t="s">
        <v>98</v>
      </c>
      <c r="S433" s="24">
        <f>VLOOKUP($R433,ラベル別係数!$A$1:$E$7,3,FALSE)</f>
        <v>5</v>
      </c>
      <c r="T433" s="24">
        <f>VLOOKUP($R433,ラベル別係数!$A$1:$E$7,4,FALSE)</f>
        <v>1.3</v>
      </c>
      <c r="U433" s="24">
        <f>VLOOKUP($R433,ラベル別係数!$A$1:$E$7,5,FALSE)</f>
        <v>0.8</v>
      </c>
      <c r="V433" s="27">
        <v>3</v>
      </c>
      <c r="W433" s="28">
        <f>VLOOKUP(V433,ターン数別攻撃係数!$A$1:$B$1000,2,FALSE)</f>
        <v>1</v>
      </c>
      <c r="X433" s="10">
        <v>30</v>
      </c>
      <c r="Y433" s="26">
        <f>VLOOKUP($X433,サイズ別係数!$B:$E,2,FALSE)</f>
        <v>1.3</v>
      </c>
      <c r="Z433" s="26">
        <f>VLOOKUP($X433,サイズ別係数!$B:$E,3,FALSE)</f>
        <v>1.3</v>
      </c>
      <c r="AA433" s="26">
        <f>VLOOKUP($X433,サイズ別係数!$B:$E,4,FALSE)</f>
        <v>1.1000000000000001</v>
      </c>
      <c r="AB433" s="5">
        <v>0</v>
      </c>
      <c r="AC433" s="34" t="str">
        <f ca="1">VLOOKUP($AB433,OFFSET([3]enemy_skill_sets!$B$2,0,0,COUNTA([3]enemy_skill_sets!$A:$A),MATCH(AC$1,[3]enemy_skill_sets!$1:$1,0)-MATCH($AB$1,[3]enemy_skill_sets!$1:$1,0)+1),MATCH(AC$1,[3]enemy_skill_sets!$1:$1,0)-MATCH($AB$1,[3]enemy_skill_sets!$1:$1,0)+1,FALSE)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3" s="67">
        <v>1</v>
      </c>
      <c r="AE433" s="67">
        <v>1</v>
      </c>
      <c r="AF433" s="37">
        <v>0</v>
      </c>
      <c r="AG433" s="28">
        <f ca="1">ROUND(VLOOKUP(1,enemy_base_stats!$A:$F,2,FALSE) * Y433* J433*O433*E433*S433*AD433*[2]ステータス!$B$2,0)</f>
        <v>3058</v>
      </c>
      <c r="AH433" s="28">
        <f ca="1">ROUND(VLOOKUP(1,enemy_base_stats!$A:$F,3,FALSE) * Z433*K433*P433*F433*T433*AE433 * W433*[2]ステータス!$C$2,0)</f>
        <v>261</v>
      </c>
      <c r="AI433" s="28">
        <f ca="1">ROUND(VLOOKUP(1,enemy_base_stats!$A:$F,4,FALSE) * AA433*L433*Q433*G433*U433*AF433*[2]ステータス!$D$2,0)</f>
        <v>0</v>
      </c>
      <c r="AJ433" s="28">
        <f ca="1">ROUND(VLOOKUP(100,enemy_base_stats!$A:$F,2,FALSE) * Y433* J433*O433*E433*S433*AD433*[2]ステータス!$B$2,0)</f>
        <v>124139</v>
      </c>
      <c r="AK433" s="28">
        <f ca="1">ROUND(VLOOKUP(100,enemy_base_stats!$A:$F,3,FALSE)* Z433* K433*P433*F433*T433*AE433 * W433*[2]ステータス!$C$2,0)</f>
        <v>10603</v>
      </c>
      <c r="AL433" s="28">
        <f ca="1">ROUND(VLOOKUP(100,enemy_base_stats!$A:$F,4,FALSE)* AA433* L433*Q433*G433*U433*AF433*[2]ステータス!$D$2,0)</f>
        <v>0</v>
      </c>
      <c r="AM433" s="24">
        <f ca="1">VLOOKUP(M433,[2]character_tribe_i18n!$A:$I,9,FALSE)</f>
        <v>680</v>
      </c>
      <c r="AN433" s="36">
        <v>0</v>
      </c>
      <c r="AO433" s="53">
        <v>0</v>
      </c>
      <c r="AP433" s="58" t="s">
        <v>72</v>
      </c>
      <c r="AQ433" s="71">
        <f t="shared" ca="1" si="17"/>
        <v>432</v>
      </c>
    </row>
    <row r="434" spans="1:43" ht="21" customHeight="1" x14ac:dyDescent="0.15">
      <c r="A434" s="7">
        <f t="shared" ca="1" si="13"/>
        <v>433</v>
      </c>
      <c r="B434" s="6" t="str">
        <f ca="1">VLOOKUP(A434,[2]characters!$A:$C,3,FALSE)</f>
        <v>世稀の現獣 麒麟</v>
      </c>
      <c r="C434" s="9">
        <f ca="1">VLOOKUP(A434,[2]characters!$A:$I,9,FALSE)</f>
        <v>5</v>
      </c>
      <c r="D434" s="9" t="str">
        <f ca="1">VLOOKUP(A434,[2]characters!$A:$H,8,FALSE)</f>
        <v>yellow</v>
      </c>
      <c r="E434" s="24">
        <f ca="1">VLOOKUP(D434,[2]属性!$A:$E,2,FALSE)</f>
        <v>0.98</v>
      </c>
      <c r="F434" s="24">
        <f ca="1">VLOOKUP(D434,[2]属性!$A:$E,3,FALSE)</f>
        <v>1.01</v>
      </c>
      <c r="G434" s="24">
        <f ca="1">VLOOKUP(D434,[2]属性!$A:$F,4,FALSE)</f>
        <v>1</v>
      </c>
      <c r="H434" s="9" t="str">
        <f ca="1">VLOOKUP(A434,[2]characters!$A:$K,11,FALSE)</f>
        <v>balance</v>
      </c>
      <c r="I434" s="14" t="str">
        <f ca="1">VLOOKUP(H434,[2]character_type_i18n!$A:$F,3,FALSE)</f>
        <v>バランスタイプ</v>
      </c>
      <c r="J434" s="36">
        <f ca="1">VLOOKUP(H434,[2]character_type_i18n!$A:$F,4,FALSE)</f>
        <v>1</v>
      </c>
      <c r="K434" s="36">
        <f ca="1">VLOOKUP(H434,[2]character_type_i18n!$A:$F,5,FALSE)</f>
        <v>1</v>
      </c>
      <c r="L434" s="36">
        <f ca="1">VLOOKUP(H434,[2]character_type_i18n!$A:$F,6,FALSE)</f>
        <v>1</v>
      </c>
      <c r="M434" s="9" t="str">
        <f ca="1">VLOOKUP(A434,[2]characters!$A:$M,13,FALSE)</f>
        <v>god</v>
      </c>
      <c r="N434" s="14" t="str">
        <f ca="1">VLOOKUP(M434,[2]character_tribe_i18n!$A:$F,3,FALSE)</f>
        <v>ゴッド</v>
      </c>
      <c r="O434" s="24">
        <f ca="1">VLOOKUP(M434,[2]character_tribe_i18n!$A:$F,4,FALSE)</f>
        <v>0.96</v>
      </c>
      <c r="P434" s="24">
        <f ca="1">VLOOKUP(M434,[2]character_tribe_i18n!$A:$F,5,FALSE)</f>
        <v>1.02</v>
      </c>
      <c r="Q434" s="24">
        <f ca="1">VLOOKUP(M434,[2]character_tribe_i18n!$A:$F,6,FALSE)</f>
        <v>1</v>
      </c>
      <c r="R434" s="25" t="s">
        <v>98</v>
      </c>
      <c r="S434" s="24">
        <f>VLOOKUP($R434,ラベル別係数!$A$1:$E$7,3,FALSE)</f>
        <v>5</v>
      </c>
      <c r="T434" s="24">
        <f>VLOOKUP($R434,ラベル別係数!$A$1:$E$7,4,FALSE)</f>
        <v>1.3</v>
      </c>
      <c r="U434" s="24">
        <f>VLOOKUP($R434,ラベル別係数!$A$1:$E$7,5,FALSE)</f>
        <v>0.8</v>
      </c>
      <c r="V434" s="27">
        <v>3</v>
      </c>
      <c r="W434" s="28">
        <f>VLOOKUP(V434,ターン数別攻撃係数!$A$1:$B$1000,2,FALSE)</f>
        <v>1</v>
      </c>
      <c r="X434" s="10">
        <v>60</v>
      </c>
      <c r="Y434" s="26">
        <f>VLOOKUP($X434,サイズ別係数!$B:$E,2,FALSE)</f>
        <v>1.7</v>
      </c>
      <c r="Z434" s="26">
        <f>VLOOKUP($X434,サイズ別係数!$B:$E,3,FALSE)</f>
        <v>1.4</v>
      </c>
      <c r="AA434" s="26">
        <f>VLOOKUP($X434,サイズ別係数!$B:$E,4,FALSE)</f>
        <v>1</v>
      </c>
      <c r="AB434" s="5">
        <v>0</v>
      </c>
      <c r="AC434" s="34" t="str">
        <f ca="1">VLOOKUP($AB434,OFFSET([3]enemy_skill_sets!$B$2,0,0,COUNTA([3]enemy_skill_sets!$A:$A),MATCH(AC$1,[3]enemy_skill_sets!$1:$1,0)-MATCH($AB$1,[3]enemy_skill_sets!$1:$1,0)+1),MATCH(AC$1,[3]enemy_skill_sets!$1:$1,0)-MATCH($AB$1,[3]enemy_skill_sets!$1:$1,0)+1,FALSE)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4" s="67">
        <v>1</v>
      </c>
      <c r="AE434" s="67">
        <v>1</v>
      </c>
      <c r="AF434" s="37">
        <v>0</v>
      </c>
      <c r="AG434" s="28">
        <f ca="1">ROUND(VLOOKUP(1,enemy_base_stats!$A:$F,2,FALSE) * Y434* J434*O434*E434*S434*AD434*[2]ステータス!$B$2,0)</f>
        <v>3998</v>
      </c>
      <c r="AH434" s="28">
        <f ca="1">ROUND(VLOOKUP(1,enemy_base_stats!$A:$F,3,FALSE) * Z434*K434*P434*F434*T434*AE434 * W434*[2]ステータス!$C$2,0)</f>
        <v>281</v>
      </c>
      <c r="AI434" s="28">
        <f ca="1">ROUND(VLOOKUP(1,enemy_base_stats!$A:$F,4,FALSE) * AA434*L434*Q434*G434*U434*AF434*[2]ステータス!$D$2,0)</f>
        <v>0</v>
      </c>
      <c r="AJ434" s="28">
        <f ca="1">ROUND(VLOOKUP(100,enemy_base_stats!$A:$F,2,FALSE) * Y434* J434*O434*E434*S434*AD434*[2]ステータス!$B$2,0)</f>
        <v>162335</v>
      </c>
      <c r="AK434" s="28">
        <f ca="1">ROUND(VLOOKUP(100,enemy_base_stats!$A:$F,3,FALSE)* Z434* K434*P434*F434*T434*AE434 * W434*[2]ステータス!$C$2,0)</f>
        <v>11419</v>
      </c>
      <c r="AL434" s="28">
        <f ca="1">ROUND(VLOOKUP(100,enemy_base_stats!$A:$F,4,FALSE)* AA434* L434*Q434*G434*U434*AF434*[2]ステータス!$D$2,0)</f>
        <v>0</v>
      </c>
      <c r="AM434" s="64">
        <v>50000</v>
      </c>
      <c r="AN434" s="36">
        <v>0</v>
      </c>
      <c r="AO434" s="53">
        <v>0</v>
      </c>
      <c r="AP434" s="58" t="s">
        <v>72</v>
      </c>
      <c r="AQ434" s="71">
        <f t="shared" ca="1" si="17"/>
        <v>433</v>
      </c>
    </row>
    <row r="435" spans="1:43" ht="21" customHeight="1" x14ac:dyDescent="0.15">
      <c r="A435" s="7">
        <f t="shared" ca="1" si="13"/>
        <v>434</v>
      </c>
      <c r="B435" s="6" t="str">
        <f ca="1">VLOOKUP(A435,[2]characters!$A:$C,3,FALSE)</f>
        <v>D.R.T.H.</v>
      </c>
      <c r="C435" s="9">
        <f ca="1">VLOOKUP(A435,[2]characters!$A:$I,9,FALSE)</f>
        <v>4</v>
      </c>
      <c r="D435" s="9" t="str">
        <f ca="1">VLOOKUP(A435,[2]characters!$A:$H,8,FALSE)</f>
        <v>red</v>
      </c>
      <c r="E435" s="24">
        <f ca="1">VLOOKUP(D435,[2]属性!$A:$E,2,FALSE)</f>
        <v>1</v>
      </c>
      <c r="F435" s="24">
        <f ca="1">VLOOKUP(D435,[2]属性!$A:$E,3,FALSE)</f>
        <v>1.02</v>
      </c>
      <c r="G435" s="24">
        <f ca="1">VLOOKUP(D435,[2]属性!$A:$F,4,FALSE)</f>
        <v>1</v>
      </c>
      <c r="H435" s="9" t="str">
        <f ca="1">VLOOKUP(A435,[2]characters!$A:$K,11,FALSE)</f>
        <v>balance</v>
      </c>
      <c r="I435" s="14" t="str">
        <f ca="1">VLOOKUP(H435,[2]character_type_i18n!$A:$F,3,FALSE)</f>
        <v>バランスタイプ</v>
      </c>
      <c r="J435" s="36">
        <f ca="1">VLOOKUP(H435,[2]character_type_i18n!$A:$F,4,FALSE)</f>
        <v>1</v>
      </c>
      <c r="K435" s="36">
        <f ca="1">VLOOKUP(H435,[2]character_type_i18n!$A:$F,5,FALSE)</f>
        <v>1</v>
      </c>
      <c r="L435" s="36">
        <f ca="1">VLOOKUP(H435,[2]character_type_i18n!$A:$F,6,FALSE)</f>
        <v>1</v>
      </c>
      <c r="M435" s="9" t="str">
        <f ca="1">VLOOKUP(A435,[2]characters!$A:$M,13,FALSE)</f>
        <v>human</v>
      </c>
      <c r="N435" s="14" t="str">
        <f ca="1">VLOOKUP(M435,[2]character_tribe_i18n!$A:$F,3,FALSE)</f>
        <v>ヒューマン</v>
      </c>
      <c r="O435" s="24">
        <f ca="1">VLOOKUP(M435,[2]character_tribe_i18n!$A:$F,4,FALSE)</f>
        <v>0.94</v>
      </c>
      <c r="P435" s="24">
        <f ca="1">VLOOKUP(M435,[2]character_tribe_i18n!$A:$F,5,FALSE)</f>
        <v>0.99</v>
      </c>
      <c r="Q435" s="24">
        <f ca="1">VLOOKUP(M435,[2]character_tribe_i18n!$A:$F,6,FALSE)</f>
        <v>1</v>
      </c>
      <c r="R435" s="25" t="s">
        <v>98</v>
      </c>
      <c r="S435" s="24">
        <f>VLOOKUP($R435,ラベル別係数!$A$1:$E$7,3,FALSE)</f>
        <v>5</v>
      </c>
      <c r="T435" s="24">
        <f>VLOOKUP($R435,ラベル別係数!$A$1:$E$7,4,FALSE)</f>
        <v>1.3</v>
      </c>
      <c r="U435" s="24">
        <f>VLOOKUP($R435,ラベル別係数!$A$1:$E$7,5,FALSE)</f>
        <v>0.8</v>
      </c>
      <c r="V435" s="27">
        <v>3</v>
      </c>
      <c r="W435" s="28">
        <f>VLOOKUP(V435,ターン数別攻撃係数!$A$1:$B$1000,2,FALSE)</f>
        <v>1</v>
      </c>
      <c r="X435" s="9">
        <f ca="1">VLOOKUP(C435,サイズ別係数!A$2:B$9,2,FALSE)</f>
        <v>30</v>
      </c>
      <c r="Y435" s="26">
        <f ca="1">VLOOKUP($X435,サイズ別係数!$B:$E,2,FALSE)</f>
        <v>1.3</v>
      </c>
      <c r="Z435" s="26">
        <f ca="1">VLOOKUP($X435,サイズ別係数!$B:$E,3,FALSE)</f>
        <v>1.3</v>
      </c>
      <c r="AA435" s="26">
        <f ca="1">VLOOKUP($X435,サイズ別係数!$B:$E,4,FALSE)</f>
        <v>1.1000000000000001</v>
      </c>
      <c r="AB435" s="5">
        <v>0</v>
      </c>
      <c r="AC435" s="34" t="str">
        <f ca="1">VLOOKUP($AB435,OFFSET([3]enemy_skill_sets!$B$2,0,0,COUNTA([3]enemy_skill_sets!$A:$A),MATCH(AC$1,[3]enemy_skill_sets!$1:$1,0)-MATCH($AB$1,[3]enemy_skill_sets!$1:$1,0)+1),MATCH(AC$1,[3]enemy_skill_sets!$1:$1,0)-MATCH($AB$1,[3]enemy_skill_sets!$1:$1,0)+1,FALSE)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5" s="67">
        <v>1</v>
      </c>
      <c r="AE435" s="67">
        <v>1</v>
      </c>
      <c r="AF435" s="37">
        <v>0</v>
      </c>
      <c r="AG435" s="28">
        <f ca="1">ROUND(VLOOKUP(1,enemy_base_stats!$A:$F,2,FALSE) * Y435* J435*O435*E435*S435*AD435*[2]ステータス!$B$2,0)</f>
        <v>3055</v>
      </c>
      <c r="AH435" s="28">
        <f ca="1">ROUND(VLOOKUP(1,enemy_base_stats!$A:$F,3,FALSE) * Z435*K435*P435*F435*T435*AE435 * W435*[2]ステータス!$C$2,0)</f>
        <v>256</v>
      </c>
      <c r="AI435" s="28">
        <f ca="1">ROUND(VLOOKUP(1,enemy_base_stats!$A:$F,4,FALSE) * AA435*L435*Q435*G435*U435*AF435*[2]ステータス!$D$2,0)</f>
        <v>0</v>
      </c>
      <c r="AJ435" s="28">
        <f ca="1">ROUND(VLOOKUP(100,enemy_base_stats!$A:$F,2,FALSE) * Y435* J435*O435*E435*S435*AD435*[2]ステータス!$B$2,0)</f>
        <v>124033</v>
      </c>
      <c r="AK435" s="28">
        <f ca="1">ROUND(VLOOKUP(100,enemy_base_stats!$A:$F,3,FALSE)* Z435* K435*P435*F435*T435*AE435 * W435*[2]ステータス!$C$2,0)</f>
        <v>10393</v>
      </c>
      <c r="AL435" s="28">
        <f ca="1">ROUND(VLOOKUP(100,enemy_base_stats!$A:$F,4,FALSE)* AA435* L435*Q435*G435*U435*AF435*[2]ステータス!$D$2,0)</f>
        <v>0</v>
      </c>
      <c r="AM435" s="24">
        <f ca="1">VLOOKUP(M435,[2]character_tribe_i18n!$A:$I,9,FALSE)</f>
        <v>400</v>
      </c>
      <c r="AN435" s="36">
        <v>0</v>
      </c>
      <c r="AO435" s="53">
        <v>0</v>
      </c>
      <c r="AP435" s="58" t="s">
        <v>72</v>
      </c>
      <c r="AQ435" s="71">
        <f t="shared" ca="1" si="17"/>
        <v>434</v>
      </c>
    </row>
    <row r="436" spans="1:43" ht="21" customHeight="1" x14ac:dyDescent="0.15">
      <c r="A436" s="7">
        <f t="shared" ca="1" si="13"/>
        <v>435</v>
      </c>
      <c r="B436" s="6" t="str">
        <f ca="1">VLOOKUP(A436,[2]characters!$A:$C,3,FALSE)</f>
        <v>曝弾の密偵 D.R.T.H.</v>
      </c>
      <c r="C436" s="9">
        <f ca="1">VLOOKUP(A436,[2]characters!$A:$I,9,FALSE)</f>
        <v>5</v>
      </c>
      <c r="D436" s="9" t="str">
        <f ca="1">VLOOKUP(A436,[2]characters!$A:$H,8,FALSE)</f>
        <v>red</v>
      </c>
      <c r="E436" s="24">
        <f ca="1">VLOOKUP(D436,[2]属性!$A:$E,2,FALSE)</f>
        <v>1</v>
      </c>
      <c r="F436" s="24">
        <f ca="1">VLOOKUP(D436,[2]属性!$A:$E,3,FALSE)</f>
        <v>1.02</v>
      </c>
      <c r="G436" s="24">
        <f ca="1">VLOOKUP(D436,[2]属性!$A:$F,4,FALSE)</f>
        <v>1</v>
      </c>
      <c r="H436" s="9" t="str">
        <f ca="1">VLOOKUP(A436,[2]characters!$A:$K,11,FALSE)</f>
        <v>balance</v>
      </c>
      <c r="I436" s="14" t="str">
        <f ca="1">VLOOKUP(H436,[2]character_type_i18n!$A:$F,3,FALSE)</f>
        <v>バランスタイプ</v>
      </c>
      <c r="J436" s="36">
        <f ca="1">VLOOKUP(H436,[2]character_type_i18n!$A:$F,4,FALSE)</f>
        <v>1</v>
      </c>
      <c r="K436" s="36">
        <f ca="1">VLOOKUP(H436,[2]character_type_i18n!$A:$F,5,FALSE)</f>
        <v>1</v>
      </c>
      <c r="L436" s="36">
        <f ca="1">VLOOKUP(H436,[2]character_type_i18n!$A:$F,6,FALSE)</f>
        <v>1</v>
      </c>
      <c r="M436" s="9" t="str">
        <f ca="1">VLOOKUP(A436,[2]characters!$A:$M,13,FALSE)</f>
        <v>human</v>
      </c>
      <c r="N436" s="14" t="str">
        <f ca="1">VLOOKUP(M436,[2]character_tribe_i18n!$A:$F,3,FALSE)</f>
        <v>ヒューマン</v>
      </c>
      <c r="O436" s="24">
        <f ca="1">VLOOKUP(M436,[2]character_tribe_i18n!$A:$F,4,FALSE)</f>
        <v>0.94</v>
      </c>
      <c r="P436" s="24">
        <f ca="1">VLOOKUP(M436,[2]character_tribe_i18n!$A:$F,5,FALSE)</f>
        <v>0.99</v>
      </c>
      <c r="Q436" s="24">
        <f ca="1">VLOOKUP(M436,[2]character_tribe_i18n!$A:$F,6,FALSE)</f>
        <v>1</v>
      </c>
      <c r="R436" s="25" t="s">
        <v>98</v>
      </c>
      <c r="S436" s="24">
        <f>VLOOKUP($R436,ラベル別係数!$A$1:$E$7,3,FALSE)</f>
        <v>5</v>
      </c>
      <c r="T436" s="24">
        <f>VLOOKUP($R436,ラベル別係数!$A$1:$E$7,4,FALSE)</f>
        <v>1.3</v>
      </c>
      <c r="U436" s="24">
        <f>VLOOKUP($R436,ラベル別係数!$A$1:$E$7,5,FALSE)</f>
        <v>0.8</v>
      </c>
      <c r="V436" s="27">
        <v>3</v>
      </c>
      <c r="W436" s="28">
        <f>VLOOKUP(V436,ターン数別攻撃係数!$A$1:$B$1000,2,FALSE)</f>
        <v>1</v>
      </c>
      <c r="X436" s="9">
        <f ca="1">VLOOKUP(C436,サイズ別係数!A$2:B$9,2,FALSE)</f>
        <v>60</v>
      </c>
      <c r="Y436" s="26">
        <f ca="1">VLOOKUP($X436,サイズ別係数!$B:$E,2,FALSE)</f>
        <v>1.7</v>
      </c>
      <c r="Z436" s="26">
        <f ca="1">VLOOKUP($X436,サイズ別係数!$B:$E,3,FALSE)</f>
        <v>1.4</v>
      </c>
      <c r="AA436" s="26">
        <f ca="1">VLOOKUP($X436,サイズ別係数!$B:$E,4,FALSE)</f>
        <v>1</v>
      </c>
      <c r="AB436" s="5">
        <v>0</v>
      </c>
      <c r="AC436" s="34" t="str">
        <f ca="1">VLOOKUP($AB436,OFFSET([3]enemy_skill_sets!$B$2,0,0,COUNTA([3]enemy_skill_sets!$A:$A),MATCH(AC$1,[3]enemy_skill_sets!$1:$1,0)-MATCH($AB$1,[3]enemy_skill_sets!$1:$1,0)+1),MATCH(AC$1,[3]enemy_skill_sets!$1:$1,0)-MATCH($AB$1,[3]enemy_skill_sets!$1:$1,0)+1,FALSE)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6" s="67">
        <v>1</v>
      </c>
      <c r="AE436" s="67">
        <v>1</v>
      </c>
      <c r="AF436" s="37">
        <v>0</v>
      </c>
      <c r="AG436" s="28">
        <f ca="1">ROUND(VLOOKUP(1,enemy_base_stats!$A:$F,2,FALSE) * Y436* J436*O436*E436*S436*AD436*[2]ステータス!$B$2,0)</f>
        <v>3995</v>
      </c>
      <c r="AH436" s="28">
        <f ca="1">ROUND(VLOOKUP(1,enemy_base_stats!$A:$F,3,FALSE) * Z436*K436*P436*F436*T436*AE436 * W436*[2]ステータス!$C$2,0)</f>
        <v>276</v>
      </c>
      <c r="AI436" s="28">
        <f ca="1">ROUND(VLOOKUP(1,enemy_base_stats!$A:$F,4,FALSE) * AA436*L436*Q436*G436*U436*AF436*[2]ステータス!$D$2,0)</f>
        <v>0</v>
      </c>
      <c r="AJ436" s="28">
        <f ca="1">ROUND(VLOOKUP(100,enemy_base_stats!$A:$F,2,FALSE) * Y436* J436*O436*E436*S436*AD436*[2]ステータス!$B$2,0)</f>
        <v>162197</v>
      </c>
      <c r="AK436" s="28">
        <f ca="1">ROUND(VLOOKUP(100,enemy_base_stats!$A:$F,3,FALSE)* Z436* K436*P436*F436*T436*AE436 * W436*[2]ステータス!$C$2,0)</f>
        <v>11192</v>
      </c>
      <c r="AL436" s="28">
        <f ca="1">ROUND(VLOOKUP(100,enemy_base_stats!$A:$F,4,FALSE)* AA436* L436*Q436*G436*U436*AF436*[2]ステータス!$D$2,0)</f>
        <v>0</v>
      </c>
      <c r="AM436" s="24">
        <f ca="1">VLOOKUP(M436,[2]character_tribe_i18n!$A:$I,9,FALSE)</f>
        <v>400</v>
      </c>
      <c r="AN436" s="36">
        <v>0</v>
      </c>
      <c r="AO436" s="53">
        <v>0</v>
      </c>
      <c r="AP436" s="58" t="s">
        <v>72</v>
      </c>
      <c r="AQ436" s="71">
        <f t="shared" ca="1" si="17"/>
        <v>435</v>
      </c>
    </row>
    <row r="437" spans="1:43" ht="21" customHeight="1" x14ac:dyDescent="0.15">
      <c r="A437" s="7">
        <f t="shared" ca="1" si="13"/>
        <v>436</v>
      </c>
      <c r="B437" s="6" t="str">
        <f ca="1">VLOOKUP(A437,[2]characters!$A:$C,3,FALSE)</f>
        <v>カカシ</v>
      </c>
      <c r="C437" s="9">
        <f ca="1">VLOOKUP(A437,[2]characters!$A:$I,9,FALSE)</f>
        <v>3</v>
      </c>
      <c r="D437" s="9" t="str">
        <f ca="1">VLOOKUP(A437,[2]characters!$A:$H,8,FALSE)</f>
        <v>green</v>
      </c>
      <c r="E437" s="24">
        <f ca="1">VLOOKUP(D437,[2]属性!$A:$E,2,FALSE)</f>
        <v>1.02</v>
      </c>
      <c r="F437" s="24">
        <f ca="1">VLOOKUP(D437,[2]属性!$A:$E,3,FALSE)</f>
        <v>0.98</v>
      </c>
      <c r="G437" s="24">
        <f ca="1">VLOOKUP(D437,[2]属性!$A:$F,4,FALSE)</f>
        <v>1</v>
      </c>
      <c r="H437" s="9" t="str">
        <f ca="1">VLOOKUP(A437,[2]characters!$A:$K,11,FALSE)</f>
        <v>technical</v>
      </c>
      <c r="I437" s="14" t="str">
        <f ca="1">VLOOKUP(H437,[2]character_type_i18n!$A:$F,3,FALSE)</f>
        <v>テクニカルタイプ</v>
      </c>
      <c r="J437" s="36">
        <f ca="1">VLOOKUP(H437,[2]character_type_i18n!$A:$F,4,FALSE)</f>
        <v>0.9</v>
      </c>
      <c r="K437" s="36">
        <f ca="1">VLOOKUP(H437,[2]character_type_i18n!$A:$F,5,FALSE)</f>
        <v>0.9</v>
      </c>
      <c r="L437" s="36">
        <f ca="1">VLOOKUP(H437,[2]character_type_i18n!$A:$F,6,FALSE)</f>
        <v>1</v>
      </c>
      <c r="M437" s="9" t="str">
        <f ca="1">VLOOKUP(A437,[2]characters!$A:$M,13,FALSE)</f>
        <v>human</v>
      </c>
      <c r="N437" s="14" t="str">
        <f ca="1">VLOOKUP(M437,[2]character_tribe_i18n!$A:$F,3,FALSE)</f>
        <v>ヒューマン</v>
      </c>
      <c r="O437" s="24">
        <f ca="1">VLOOKUP(M437,[2]character_tribe_i18n!$A:$F,4,FALSE)</f>
        <v>0.94</v>
      </c>
      <c r="P437" s="24">
        <f ca="1">VLOOKUP(M437,[2]character_tribe_i18n!$A:$F,5,FALSE)</f>
        <v>0.99</v>
      </c>
      <c r="Q437" s="24">
        <f ca="1">VLOOKUP(M437,[2]character_tribe_i18n!$A:$F,6,FALSE)</f>
        <v>1</v>
      </c>
      <c r="R437" s="25" t="s">
        <v>98</v>
      </c>
      <c r="S437" s="24">
        <f>VLOOKUP($R437,ラベル別係数!$A$1:$E$7,3,FALSE)</f>
        <v>5</v>
      </c>
      <c r="T437" s="24">
        <f>VLOOKUP($R437,ラベル別係数!$A$1:$E$7,4,FALSE)</f>
        <v>1.3</v>
      </c>
      <c r="U437" s="24">
        <f>VLOOKUP($R437,ラベル別係数!$A$1:$E$7,5,FALSE)</f>
        <v>0.8</v>
      </c>
      <c r="V437" s="27">
        <v>3</v>
      </c>
      <c r="W437" s="28">
        <f>VLOOKUP(V437,ターン数別攻撃係数!$A$1:$B$1000,2,FALSE)</f>
        <v>1</v>
      </c>
      <c r="X437" s="9">
        <f ca="1">VLOOKUP(C437,サイズ別係数!A$2:B$9,2,FALSE)</f>
        <v>25</v>
      </c>
      <c r="Y437" s="26">
        <f ca="1">VLOOKUP($X437,サイズ別係数!$B:$E,2,FALSE)</f>
        <v>1.2</v>
      </c>
      <c r="Z437" s="26">
        <f ca="1">VLOOKUP($X437,サイズ別係数!$B:$E,3,FALSE)</f>
        <v>1.25</v>
      </c>
      <c r="AA437" s="26">
        <f ca="1">VLOOKUP($X437,サイズ別係数!$B:$E,4,FALSE)</f>
        <v>1.1499999999999999</v>
      </c>
      <c r="AB437" s="5">
        <v>0</v>
      </c>
      <c r="AC437" s="34" t="str">
        <f ca="1">VLOOKUP($AB437,OFFSET([3]enemy_skill_sets!$B$2,0,0,COUNTA([3]enemy_skill_sets!$A:$A),MATCH(AC$1,[3]enemy_skill_sets!$1:$1,0)-MATCH($AB$1,[3]enemy_skill_sets!$1:$1,0)+1),MATCH(AC$1,[3]enemy_skill_sets!$1:$1,0)-MATCH($AB$1,[3]enemy_skill_sets!$1:$1,0)+1,FALSE)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7" s="67">
        <v>1</v>
      </c>
      <c r="AE437" s="67">
        <v>1</v>
      </c>
      <c r="AF437" s="37">
        <v>0</v>
      </c>
      <c r="AG437" s="28">
        <f ca="1">ROUND(VLOOKUP(1,enemy_base_stats!$A:$F,2,FALSE) * Y437* J437*O437*E437*S437*AD437*[2]ステータス!$B$2,0)</f>
        <v>2589</v>
      </c>
      <c r="AH437" s="28">
        <f ca="1">ROUND(VLOOKUP(1,enemy_base_stats!$A:$F,3,FALSE) * Z437*K437*P437*F437*T437*AE437 * W437*[2]ステータス!$C$2,0)</f>
        <v>213</v>
      </c>
      <c r="AI437" s="28">
        <f ca="1">ROUND(VLOOKUP(1,enemy_base_stats!$A:$F,4,FALSE) * AA437*L437*Q437*G437*U437*AF437*[2]ステータス!$D$2,0)</f>
        <v>0</v>
      </c>
      <c r="AJ437" s="28">
        <f ca="1">ROUND(VLOOKUP(100,enemy_base_stats!$A:$F,2,FALSE) * Y437* J437*O437*E437*S437*AD437*[2]ステータス!$B$2,0)</f>
        <v>105104</v>
      </c>
      <c r="AK437" s="28">
        <f ca="1">ROUND(VLOOKUP(100,enemy_base_stats!$A:$F,3,FALSE)* Z437* K437*P437*F437*T437*AE437 * W437*[2]ステータス!$C$2,0)</f>
        <v>8641</v>
      </c>
      <c r="AL437" s="28">
        <f ca="1">ROUND(VLOOKUP(100,enemy_base_stats!$A:$F,4,FALSE)* AA437* L437*Q437*G437*U437*AF437*[2]ステータス!$D$2,0)</f>
        <v>0</v>
      </c>
      <c r="AM437" s="24">
        <f ca="1">VLOOKUP(M437,[2]character_tribe_i18n!$A:$I,9,FALSE)</f>
        <v>400</v>
      </c>
      <c r="AN437" s="36">
        <v>0</v>
      </c>
      <c r="AO437" s="53">
        <v>0</v>
      </c>
      <c r="AP437" s="58" t="s">
        <v>72</v>
      </c>
      <c r="AQ437" s="71">
        <f t="shared" ca="1" si="17"/>
        <v>436</v>
      </c>
    </row>
    <row r="438" spans="1:43" ht="21" customHeight="1" x14ac:dyDescent="0.15">
      <c r="A438" s="7">
        <f t="shared" ca="1" si="13"/>
        <v>437</v>
      </c>
      <c r="B438" s="6" t="str">
        <f ca="1">VLOOKUP(A438,[2]characters!$A:$C,3,FALSE)</f>
        <v>忘却者 カカシ</v>
      </c>
      <c r="C438" s="9">
        <f ca="1">VLOOKUP(A438,[2]characters!$A:$I,9,FALSE)</f>
        <v>4</v>
      </c>
      <c r="D438" s="9" t="str">
        <f ca="1">VLOOKUP(A438,[2]characters!$A:$H,8,FALSE)</f>
        <v>green</v>
      </c>
      <c r="E438" s="24">
        <f ca="1">VLOOKUP(D438,[2]属性!$A:$E,2,FALSE)</f>
        <v>1.02</v>
      </c>
      <c r="F438" s="24">
        <f ca="1">VLOOKUP(D438,[2]属性!$A:$E,3,FALSE)</f>
        <v>0.98</v>
      </c>
      <c r="G438" s="24">
        <f ca="1">VLOOKUP(D438,[2]属性!$A:$F,4,FALSE)</f>
        <v>1</v>
      </c>
      <c r="H438" s="9" t="str">
        <f ca="1">VLOOKUP(A438,[2]characters!$A:$K,11,FALSE)</f>
        <v>technical</v>
      </c>
      <c r="I438" s="14" t="str">
        <f ca="1">VLOOKUP(H438,[2]character_type_i18n!$A:$F,3,FALSE)</f>
        <v>テクニカルタイプ</v>
      </c>
      <c r="J438" s="36">
        <f ca="1">VLOOKUP(H438,[2]character_type_i18n!$A:$F,4,FALSE)</f>
        <v>0.9</v>
      </c>
      <c r="K438" s="36">
        <f ca="1">VLOOKUP(H438,[2]character_type_i18n!$A:$F,5,FALSE)</f>
        <v>0.9</v>
      </c>
      <c r="L438" s="36">
        <f ca="1">VLOOKUP(H438,[2]character_type_i18n!$A:$F,6,FALSE)</f>
        <v>1</v>
      </c>
      <c r="M438" s="9" t="str">
        <f ca="1">VLOOKUP(A438,[2]characters!$A:$M,13,FALSE)</f>
        <v>human</v>
      </c>
      <c r="N438" s="14" t="str">
        <f ca="1">VLOOKUP(M438,[2]character_tribe_i18n!$A:$F,3,FALSE)</f>
        <v>ヒューマン</v>
      </c>
      <c r="O438" s="24">
        <f ca="1">VLOOKUP(M438,[2]character_tribe_i18n!$A:$F,4,FALSE)</f>
        <v>0.94</v>
      </c>
      <c r="P438" s="24">
        <f ca="1">VLOOKUP(M438,[2]character_tribe_i18n!$A:$F,5,FALSE)</f>
        <v>0.99</v>
      </c>
      <c r="Q438" s="24">
        <f ca="1">VLOOKUP(M438,[2]character_tribe_i18n!$A:$F,6,FALSE)</f>
        <v>1</v>
      </c>
      <c r="R438" s="25" t="s">
        <v>98</v>
      </c>
      <c r="S438" s="24">
        <f>VLOOKUP($R438,ラベル別係数!$A$1:$E$7,3,FALSE)</f>
        <v>5</v>
      </c>
      <c r="T438" s="24">
        <f>VLOOKUP($R438,ラベル別係数!$A$1:$E$7,4,FALSE)</f>
        <v>1.3</v>
      </c>
      <c r="U438" s="24">
        <f>VLOOKUP($R438,ラベル別係数!$A$1:$E$7,5,FALSE)</f>
        <v>0.8</v>
      </c>
      <c r="V438" s="27">
        <v>3</v>
      </c>
      <c r="W438" s="28">
        <f>VLOOKUP(V438,ターン数別攻撃係数!$A$1:$B$1000,2,FALSE)</f>
        <v>1</v>
      </c>
      <c r="X438" s="9">
        <f ca="1">VLOOKUP(C438,サイズ別係数!A$2:B$9,2,FALSE)</f>
        <v>30</v>
      </c>
      <c r="Y438" s="26">
        <f ca="1">VLOOKUP($X438,サイズ別係数!$B:$E,2,FALSE)</f>
        <v>1.3</v>
      </c>
      <c r="Z438" s="26">
        <f ca="1">VLOOKUP($X438,サイズ別係数!$B:$E,3,FALSE)</f>
        <v>1.3</v>
      </c>
      <c r="AA438" s="26">
        <f ca="1">VLOOKUP($X438,サイズ別係数!$B:$E,4,FALSE)</f>
        <v>1.1000000000000001</v>
      </c>
      <c r="AB438" s="5">
        <v>0</v>
      </c>
      <c r="AC438" s="34" t="str">
        <f ca="1">VLOOKUP($AB438,OFFSET([3]enemy_skill_sets!$B$2,0,0,COUNTA([3]enemy_skill_sets!$A:$A),MATCH(AC$1,[3]enemy_skill_sets!$1:$1,0)-MATCH($AB$1,[3]enemy_skill_sets!$1:$1,0)+1),MATCH(AC$1,[3]enemy_skill_sets!$1:$1,0)-MATCH($AB$1,[3]enemy_skill_sets!$1:$1,0)+1,FALSE)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8" s="67">
        <v>1</v>
      </c>
      <c r="AE438" s="67">
        <v>1</v>
      </c>
      <c r="AF438" s="37">
        <v>0</v>
      </c>
      <c r="AG438" s="28">
        <f ca="1">ROUND(VLOOKUP(1,enemy_base_stats!$A:$F,2,FALSE) * Y438* J438*O438*E438*S438*AD438*[2]ステータス!$B$2,0)</f>
        <v>2804</v>
      </c>
      <c r="AH438" s="28">
        <f ca="1">ROUND(VLOOKUP(1,enemy_base_stats!$A:$F,3,FALSE) * Z438*K438*P438*F438*T438*AE438 * W438*[2]ステータス!$C$2,0)</f>
        <v>221</v>
      </c>
      <c r="AI438" s="28">
        <f ca="1">ROUND(VLOOKUP(1,enemy_base_stats!$A:$F,4,FALSE) * AA438*L438*Q438*G438*U438*AF438*[2]ステータス!$D$2,0)</f>
        <v>0</v>
      </c>
      <c r="AJ438" s="28">
        <f ca="1">ROUND(VLOOKUP(100,enemy_base_stats!$A:$F,2,FALSE) * Y438* J438*O438*E438*S438*AD438*[2]ステータス!$B$2,0)</f>
        <v>113862</v>
      </c>
      <c r="AK438" s="28">
        <f ca="1">ROUND(VLOOKUP(100,enemy_base_stats!$A:$F,3,FALSE)* Z438* K438*P438*F438*T438*AE438 * W438*[2]ステータス!$C$2,0)</f>
        <v>8987</v>
      </c>
      <c r="AL438" s="28">
        <f ca="1">ROUND(VLOOKUP(100,enemy_base_stats!$A:$F,4,FALSE)* AA438* L438*Q438*G438*U438*AF438*[2]ステータス!$D$2,0)</f>
        <v>0</v>
      </c>
      <c r="AM438" s="24">
        <f ca="1">VLOOKUP(M438,[2]character_tribe_i18n!$A:$I,9,FALSE)</f>
        <v>400</v>
      </c>
      <c r="AN438" s="36">
        <v>0</v>
      </c>
      <c r="AO438" s="53">
        <v>0</v>
      </c>
      <c r="AP438" s="58" t="s">
        <v>72</v>
      </c>
      <c r="AQ438" s="71">
        <f t="shared" ca="1" si="17"/>
        <v>437</v>
      </c>
    </row>
    <row r="439" spans="1:43" ht="21" customHeight="1" x14ac:dyDescent="0.15">
      <c r="A439" s="7">
        <f t="shared" ca="1" si="13"/>
        <v>438</v>
      </c>
      <c r="B439" s="6" t="str">
        <f ca="1">VLOOKUP(A439,[2]characters!$A:$C,3,FALSE)</f>
        <v>記憶の奪還 カカシ</v>
      </c>
      <c r="C439" s="9">
        <f ca="1">VLOOKUP(A439,[2]characters!$A:$I,9,FALSE)</f>
        <v>5</v>
      </c>
      <c r="D439" s="9" t="str">
        <f ca="1">VLOOKUP(A439,[2]characters!$A:$H,8,FALSE)</f>
        <v>green</v>
      </c>
      <c r="E439" s="24">
        <f ca="1">VLOOKUP(D439,[2]属性!$A:$E,2,FALSE)</f>
        <v>1.02</v>
      </c>
      <c r="F439" s="24">
        <f ca="1">VLOOKUP(D439,[2]属性!$A:$E,3,FALSE)</f>
        <v>0.98</v>
      </c>
      <c r="G439" s="24">
        <f ca="1">VLOOKUP(D439,[2]属性!$A:$F,4,FALSE)</f>
        <v>1</v>
      </c>
      <c r="H439" s="9" t="str">
        <f ca="1">VLOOKUP(A439,[2]characters!$A:$K,11,FALSE)</f>
        <v>technical</v>
      </c>
      <c r="I439" s="14" t="str">
        <f ca="1">VLOOKUP(H439,[2]character_type_i18n!$A:$F,3,FALSE)</f>
        <v>テクニカルタイプ</v>
      </c>
      <c r="J439" s="36">
        <f ca="1">VLOOKUP(H439,[2]character_type_i18n!$A:$F,4,FALSE)</f>
        <v>0.9</v>
      </c>
      <c r="K439" s="36">
        <f ca="1">VLOOKUP(H439,[2]character_type_i18n!$A:$F,5,FALSE)</f>
        <v>0.9</v>
      </c>
      <c r="L439" s="36">
        <f ca="1">VLOOKUP(H439,[2]character_type_i18n!$A:$F,6,FALSE)</f>
        <v>1</v>
      </c>
      <c r="M439" s="9" t="str">
        <f ca="1">VLOOKUP(A439,[2]characters!$A:$M,13,FALSE)</f>
        <v>human</v>
      </c>
      <c r="N439" s="14" t="str">
        <f ca="1">VLOOKUP(M439,[2]character_tribe_i18n!$A:$F,3,FALSE)</f>
        <v>ヒューマン</v>
      </c>
      <c r="O439" s="24">
        <f ca="1">VLOOKUP(M439,[2]character_tribe_i18n!$A:$F,4,FALSE)</f>
        <v>0.94</v>
      </c>
      <c r="P439" s="24">
        <f ca="1">VLOOKUP(M439,[2]character_tribe_i18n!$A:$F,5,FALSE)</f>
        <v>0.99</v>
      </c>
      <c r="Q439" s="24">
        <f ca="1">VLOOKUP(M439,[2]character_tribe_i18n!$A:$F,6,FALSE)</f>
        <v>1</v>
      </c>
      <c r="R439" s="25" t="s">
        <v>98</v>
      </c>
      <c r="S439" s="24">
        <f>VLOOKUP($R439,ラベル別係数!$A$1:$E$7,3,FALSE)</f>
        <v>5</v>
      </c>
      <c r="T439" s="24">
        <f>VLOOKUP($R439,ラベル別係数!$A$1:$E$7,4,FALSE)</f>
        <v>1.3</v>
      </c>
      <c r="U439" s="24">
        <f>VLOOKUP($R439,ラベル別係数!$A$1:$E$7,5,FALSE)</f>
        <v>0.8</v>
      </c>
      <c r="V439" s="27">
        <v>3</v>
      </c>
      <c r="W439" s="28">
        <f>VLOOKUP(V439,ターン数別攻撃係数!$A$1:$B$1000,2,FALSE)</f>
        <v>1</v>
      </c>
      <c r="X439" s="9">
        <f ca="1">VLOOKUP(C439,サイズ別係数!A$2:B$9,2,FALSE)</f>
        <v>60</v>
      </c>
      <c r="Y439" s="26">
        <f ca="1">VLOOKUP($X439,サイズ別係数!$B:$E,2,FALSE)</f>
        <v>1.7</v>
      </c>
      <c r="Z439" s="26">
        <f ca="1">VLOOKUP($X439,サイズ別係数!$B:$E,3,FALSE)</f>
        <v>1.4</v>
      </c>
      <c r="AA439" s="26">
        <f ca="1">VLOOKUP($X439,サイズ別係数!$B:$E,4,FALSE)</f>
        <v>1</v>
      </c>
      <c r="AB439" s="5">
        <v>0</v>
      </c>
      <c r="AC439" s="34" t="str">
        <f ca="1">VLOOKUP($AB439,OFFSET([3]enemy_skill_sets!$B$2,0,0,COUNTA([3]enemy_skill_sets!$A:$A),MATCH(AC$1,[3]enemy_skill_sets!$1:$1,0)-MATCH($AB$1,[3]enemy_skill_sets!$1:$1,0)+1),MATCH(AC$1,[3]enemy_skill_sets!$1:$1,0)-MATCH($AB$1,[3]enemy_skill_sets!$1:$1,0)+1,FALSE)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39" s="67">
        <v>1</v>
      </c>
      <c r="AE439" s="67">
        <v>1</v>
      </c>
      <c r="AF439" s="37">
        <v>0</v>
      </c>
      <c r="AG439" s="28">
        <f ca="1">ROUND(VLOOKUP(1,enemy_base_stats!$A:$F,2,FALSE) * Y439* J439*O439*E439*S439*AD439*[2]ステータス!$B$2,0)</f>
        <v>3667</v>
      </c>
      <c r="AH439" s="28">
        <f ca="1">ROUND(VLOOKUP(1,enemy_base_stats!$A:$F,3,FALSE) * Z439*K439*P439*F439*T439*AE439 * W439*[2]ステータス!$C$2,0)</f>
        <v>238</v>
      </c>
      <c r="AI439" s="28">
        <f ca="1">ROUND(VLOOKUP(1,enemy_base_stats!$A:$F,4,FALSE) * AA439*L439*Q439*G439*U439*AF439*[2]ステータス!$D$2,0)</f>
        <v>0</v>
      </c>
      <c r="AJ439" s="28">
        <f ca="1">ROUND(VLOOKUP(100,enemy_base_stats!$A:$F,2,FALSE) * Y439* J439*O439*E439*S439*AD439*[2]ステータス!$B$2,0)</f>
        <v>148897</v>
      </c>
      <c r="AK439" s="28">
        <f ca="1">ROUND(VLOOKUP(100,enemy_base_stats!$A:$F,3,FALSE)* Z439* K439*P439*F439*T439*AE439 * W439*[2]ステータス!$C$2,0)</f>
        <v>9678</v>
      </c>
      <c r="AL439" s="28">
        <f ca="1">ROUND(VLOOKUP(100,enemy_base_stats!$A:$F,4,FALSE)* AA439* L439*Q439*G439*U439*AF439*[2]ステータス!$D$2,0)</f>
        <v>0</v>
      </c>
      <c r="AM439" s="24">
        <f ca="1">VLOOKUP(M439,[2]character_tribe_i18n!$A:$I,9,FALSE)</f>
        <v>400</v>
      </c>
      <c r="AN439" s="36">
        <v>0</v>
      </c>
      <c r="AO439" s="53">
        <v>0</v>
      </c>
      <c r="AP439" s="58" t="s">
        <v>72</v>
      </c>
      <c r="AQ439" s="71">
        <f t="shared" ca="1" si="17"/>
        <v>438</v>
      </c>
    </row>
    <row r="440" spans="1:43" ht="21" customHeight="1" x14ac:dyDescent="0.15">
      <c r="A440" s="7">
        <f t="shared" ca="1" si="13"/>
        <v>439</v>
      </c>
      <c r="B440" s="6" t="str">
        <f ca="1">VLOOKUP(A440,[2]characters!$A:$C,3,FALSE)</f>
        <v>ブリキロガー</v>
      </c>
      <c r="C440" s="9">
        <f ca="1">VLOOKUP(A440,[2]characters!$A:$I,9,FALSE)</f>
        <v>3</v>
      </c>
      <c r="D440" s="9" t="str">
        <f ca="1">VLOOKUP(A440,[2]characters!$A:$H,8,FALSE)</f>
        <v>blue</v>
      </c>
      <c r="E440" s="24">
        <f ca="1">VLOOKUP(D440,[2]属性!$A:$E,2,FALSE)</f>
        <v>1</v>
      </c>
      <c r="F440" s="24">
        <f ca="1">VLOOKUP(D440,[2]属性!$A:$E,3,FALSE)</f>
        <v>0.98</v>
      </c>
      <c r="G440" s="24">
        <f ca="1">VLOOKUP(D440,[2]属性!$A:$F,4,FALSE)</f>
        <v>1</v>
      </c>
      <c r="H440" s="9" t="str">
        <f ca="1">VLOOKUP(A440,[2]characters!$A:$K,11,FALSE)</f>
        <v>attack</v>
      </c>
      <c r="I440" s="14" t="str">
        <f ca="1">VLOOKUP(H440,[2]character_type_i18n!$A:$F,3,FALSE)</f>
        <v>攻撃タイプ</v>
      </c>
      <c r="J440" s="36">
        <f ca="1">VLOOKUP(H440,[2]character_type_i18n!$A:$F,4,FALSE)</f>
        <v>1</v>
      </c>
      <c r="K440" s="36">
        <f ca="1">VLOOKUP(H440,[2]character_type_i18n!$A:$F,5,FALSE)</f>
        <v>1.33</v>
      </c>
      <c r="L440" s="36">
        <f ca="1">VLOOKUP(H440,[2]character_type_i18n!$A:$F,6,FALSE)</f>
        <v>1</v>
      </c>
      <c r="M440" s="9" t="str">
        <f ca="1">VLOOKUP(A440,[2]characters!$A:$M,13,FALSE)</f>
        <v>machine</v>
      </c>
      <c r="N440" s="14" t="str">
        <f ca="1">VLOOKUP(M440,[2]character_tribe_i18n!$A:$F,3,FALSE)</f>
        <v>マシン</v>
      </c>
      <c r="O440" s="24">
        <f ca="1">VLOOKUP(M440,[2]character_tribe_i18n!$A:$F,4,FALSE)</f>
        <v>1</v>
      </c>
      <c r="P440" s="24">
        <f ca="1">VLOOKUP(M440,[2]character_tribe_i18n!$A:$F,5,FALSE)</f>
        <v>1</v>
      </c>
      <c r="Q440" s="24">
        <f ca="1">VLOOKUP(M440,[2]character_tribe_i18n!$A:$F,6,FALSE)</f>
        <v>1</v>
      </c>
      <c r="R440" s="25" t="s">
        <v>98</v>
      </c>
      <c r="S440" s="24">
        <f>VLOOKUP($R440,ラベル別係数!$A$1:$E$7,3,FALSE)</f>
        <v>5</v>
      </c>
      <c r="T440" s="24">
        <f>VLOOKUP($R440,ラベル別係数!$A$1:$E$7,4,FALSE)</f>
        <v>1.3</v>
      </c>
      <c r="U440" s="24">
        <f>VLOOKUP($R440,ラベル別係数!$A$1:$E$7,5,FALSE)</f>
        <v>0.8</v>
      </c>
      <c r="V440" s="27">
        <v>3</v>
      </c>
      <c r="W440" s="28">
        <f>VLOOKUP(V440,ターン数別攻撃係数!$A$1:$B$1000,2,FALSE)</f>
        <v>1</v>
      </c>
      <c r="X440" s="9">
        <f ca="1">VLOOKUP(C440,サイズ別係数!A$2:B$9,2,FALSE)</f>
        <v>25</v>
      </c>
      <c r="Y440" s="26">
        <f ca="1">VLOOKUP($X440,サイズ別係数!$B:$E,2,FALSE)</f>
        <v>1.2</v>
      </c>
      <c r="Z440" s="26">
        <f ca="1">VLOOKUP($X440,サイズ別係数!$B:$E,3,FALSE)</f>
        <v>1.25</v>
      </c>
      <c r="AA440" s="26">
        <f ca="1">VLOOKUP($X440,サイズ別係数!$B:$E,4,FALSE)</f>
        <v>1.1499999999999999</v>
      </c>
      <c r="AB440" s="5">
        <v>0</v>
      </c>
      <c r="AC440" s="34" t="str">
        <f ca="1">VLOOKUP($AB440,OFFSET([3]enemy_skill_sets!$B$2,0,0,COUNTA([3]enemy_skill_sets!$A:$A),MATCH(AC$1,[3]enemy_skill_sets!$1:$1,0)-MATCH($AB$1,[3]enemy_skill_sets!$1:$1,0)+1),MATCH(AC$1,[3]enemy_skill_sets!$1:$1,0)-MATCH($AB$1,[3]enemy_skill_sets!$1:$1,0)+1,FALSE)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0" s="67">
        <v>1</v>
      </c>
      <c r="AE440" s="67">
        <v>1</v>
      </c>
      <c r="AF440" s="37">
        <v>0</v>
      </c>
      <c r="AG440" s="28">
        <f ca="1">ROUND(VLOOKUP(1,enemy_base_stats!$A:$F,2,FALSE) * Y440* J440*O440*E440*S440*AD440*[2]ステータス!$B$2,0)</f>
        <v>3000</v>
      </c>
      <c r="AH440" s="28">
        <f ca="1">ROUND(VLOOKUP(1,enemy_base_stats!$A:$F,3,FALSE) * Z440*K440*P440*F440*T440*AE440 * W440*[2]ステータス!$C$2,0)</f>
        <v>318</v>
      </c>
      <c r="AI440" s="28">
        <f ca="1">ROUND(VLOOKUP(1,enemy_base_stats!$A:$F,4,FALSE) * AA440*L440*Q440*G440*U440*AF440*[2]ステータス!$D$2,0)</f>
        <v>0</v>
      </c>
      <c r="AJ440" s="28">
        <f ca="1">ROUND(VLOOKUP(100,enemy_base_stats!$A:$F,2,FALSE) * Y440* J440*O440*E440*S440*AD440*[2]ステータス!$B$2,0)</f>
        <v>121800</v>
      </c>
      <c r="AK440" s="28">
        <f ca="1">ROUND(VLOOKUP(100,enemy_base_stats!$A:$F,3,FALSE)* Z440* K440*P440*F440*T440*AE440 * W440*[2]ステータス!$C$2,0)</f>
        <v>12899</v>
      </c>
      <c r="AL440" s="28">
        <f ca="1">ROUND(VLOOKUP(100,enemy_base_stats!$A:$F,4,FALSE)* AA440* L440*Q440*G440*U440*AF440*[2]ステータス!$D$2,0)</f>
        <v>0</v>
      </c>
      <c r="AM440" s="24">
        <f ca="1">VLOOKUP(M440,[2]character_tribe_i18n!$A:$I,9,FALSE)</f>
        <v>520</v>
      </c>
      <c r="AN440" s="36">
        <v>0</v>
      </c>
      <c r="AO440" s="53">
        <v>0</v>
      </c>
      <c r="AP440" s="58" t="s">
        <v>72</v>
      </c>
      <c r="AQ440" s="71">
        <f t="shared" ref="AQ440:AQ452" ca="1" si="18">A440</f>
        <v>439</v>
      </c>
    </row>
    <row r="441" spans="1:43" ht="21" customHeight="1" x14ac:dyDescent="0.15">
      <c r="A441" s="7">
        <f t="shared" ca="1" si="13"/>
        <v>440</v>
      </c>
      <c r="B441" s="6" t="str">
        <f ca="1">VLOOKUP(A441,[2]characters!$A:$C,3,FALSE)</f>
        <v>改良型 ブリキロガー</v>
      </c>
      <c r="C441" s="9">
        <f ca="1">VLOOKUP(A441,[2]characters!$A:$I,9,FALSE)</f>
        <v>4</v>
      </c>
      <c r="D441" s="9" t="str">
        <f ca="1">VLOOKUP(A441,[2]characters!$A:$H,8,FALSE)</f>
        <v>blue</v>
      </c>
      <c r="E441" s="24">
        <f ca="1">VLOOKUP(D441,[2]属性!$A:$E,2,FALSE)</f>
        <v>1</v>
      </c>
      <c r="F441" s="24">
        <f ca="1">VLOOKUP(D441,[2]属性!$A:$E,3,FALSE)</f>
        <v>0.98</v>
      </c>
      <c r="G441" s="24">
        <f ca="1">VLOOKUP(D441,[2]属性!$A:$F,4,FALSE)</f>
        <v>1</v>
      </c>
      <c r="H441" s="9" t="str">
        <f ca="1">VLOOKUP(A441,[2]characters!$A:$K,11,FALSE)</f>
        <v>attack</v>
      </c>
      <c r="I441" s="14" t="str">
        <f ca="1">VLOOKUP(H441,[2]character_type_i18n!$A:$F,3,FALSE)</f>
        <v>攻撃タイプ</v>
      </c>
      <c r="J441" s="36">
        <f ca="1">VLOOKUP(H441,[2]character_type_i18n!$A:$F,4,FALSE)</f>
        <v>1</v>
      </c>
      <c r="K441" s="36">
        <f ca="1">VLOOKUP(H441,[2]character_type_i18n!$A:$F,5,FALSE)</f>
        <v>1.33</v>
      </c>
      <c r="L441" s="36">
        <f ca="1">VLOOKUP(H441,[2]character_type_i18n!$A:$F,6,FALSE)</f>
        <v>1</v>
      </c>
      <c r="M441" s="9" t="str">
        <f ca="1">VLOOKUP(A441,[2]characters!$A:$M,13,FALSE)</f>
        <v>machine</v>
      </c>
      <c r="N441" s="14" t="str">
        <f ca="1">VLOOKUP(M441,[2]character_tribe_i18n!$A:$F,3,FALSE)</f>
        <v>マシン</v>
      </c>
      <c r="O441" s="24">
        <f ca="1">VLOOKUP(M441,[2]character_tribe_i18n!$A:$F,4,FALSE)</f>
        <v>1</v>
      </c>
      <c r="P441" s="24">
        <f ca="1">VLOOKUP(M441,[2]character_tribe_i18n!$A:$F,5,FALSE)</f>
        <v>1</v>
      </c>
      <c r="Q441" s="24">
        <f ca="1">VLOOKUP(M441,[2]character_tribe_i18n!$A:$F,6,FALSE)</f>
        <v>1</v>
      </c>
      <c r="R441" s="25" t="s">
        <v>98</v>
      </c>
      <c r="S441" s="24">
        <f>VLOOKUP($R441,ラベル別係数!$A$1:$E$7,3,FALSE)</f>
        <v>5</v>
      </c>
      <c r="T441" s="24">
        <f>VLOOKUP($R441,ラベル別係数!$A$1:$E$7,4,FALSE)</f>
        <v>1.3</v>
      </c>
      <c r="U441" s="24">
        <f>VLOOKUP($R441,ラベル別係数!$A$1:$E$7,5,FALSE)</f>
        <v>0.8</v>
      </c>
      <c r="V441" s="27">
        <v>3</v>
      </c>
      <c r="W441" s="28">
        <f>VLOOKUP(V441,ターン数別攻撃係数!$A$1:$B$1000,2,FALSE)</f>
        <v>1</v>
      </c>
      <c r="X441" s="9">
        <f ca="1">VLOOKUP(C441,サイズ別係数!A$2:B$9,2,FALSE)</f>
        <v>30</v>
      </c>
      <c r="Y441" s="26">
        <f ca="1">VLOOKUP($X441,サイズ別係数!$B:$E,2,FALSE)</f>
        <v>1.3</v>
      </c>
      <c r="Z441" s="26">
        <f ca="1">VLOOKUP($X441,サイズ別係数!$B:$E,3,FALSE)</f>
        <v>1.3</v>
      </c>
      <c r="AA441" s="26">
        <f ca="1">VLOOKUP($X441,サイズ別係数!$B:$E,4,FALSE)</f>
        <v>1.1000000000000001</v>
      </c>
      <c r="AB441" s="5">
        <v>0</v>
      </c>
      <c r="AC441" s="34" t="str">
        <f ca="1">VLOOKUP($AB441,OFFSET([3]enemy_skill_sets!$B$2,0,0,COUNTA([3]enemy_skill_sets!$A:$A),MATCH(AC$1,[3]enemy_skill_sets!$1:$1,0)-MATCH($AB$1,[3]enemy_skill_sets!$1:$1,0)+1),MATCH(AC$1,[3]enemy_skill_sets!$1:$1,0)-MATCH($AB$1,[3]enemy_skill_sets!$1:$1,0)+1,FALSE)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1" s="67">
        <v>1</v>
      </c>
      <c r="AE441" s="67">
        <v>1</v>
      </c>
      <c r="AF441" s="37">
        <v>0</v>
      </c>
      <c r="AG441" s="28">
        <f ca="1">ROUND(VLOOKUP(1,enemy_base_stats!$A:$F,2,FALSE) * Y441* J441*O441*E441*S441*AD441*[2]ステータス!$B$2,0)</f>
        <v>3250</v>
      </c>
      <c r="AH441" s="28">
        <f ca="1">ROUND(VLOOKUP(1,enemy_base_stats!$A:$F,3,FALSE) * Z441*K441*P441*F441*T441*AE441 * W441*[2]ステータス!$C$2,0)</f>
        <v>330</v>
      </c>
      <c r="AI441" s="28">
        <f ca="1">ROUND(VLOOKUP(1,enemy_base_stats!$A:$F,4,FALSE) * AA441*L441*Q441*G441*U441*AF441*[2]ステータス!$D$2,0)</f>
        <v>0</v>
      </c>
      <c r="AJ441" s="28">
        <f ca="1">ROUND(VLOOKUP(100,enemy_base_stats!$A:$F,2,FALSE) * Y441* J441*O441*E441*S441*AD441*[2]ステータス!$B$2,0)</f>
        <v>131950</v>
      </c>
      <c r="AK441" s="28">
        <f ca="1">ROUND(VLOOKUP(100,enemy_base_stats!$A:$F,3,FALSE)* Z441* K441*P441*F441*T441*AE441 * W441*[2]ステータス!$C$2,0)</f>
        <v>13415</v>
      </c>
      <c r="AL441" s="28">
        <f ca="1">ROUND(VLOOKUP(100,enemy_base_stats!$A:$F,4,FALSE)* AA441* L441*Q441*G441*U441*AF441*[2]ステータス!$D$2,0)</f>
        <v>0</v>
      </c>
      <c r="AM441" s="24">
        <f ca="1">VLOOKUP(M441,[2]character_tribe_i18n!$A:$I,9,FALSE)</f>
        <v>520</v>
      </c>
      <c r="AN441" s="36">
        <v>0</v>
      </c>
      <c r="AO441" s="53">
        <v>0</v>
      </c>
      <c r="AP441" s="58" t="s">
        <v>72</v>
      </c>
      <c r="AQ441" s="71">
        <f t="shared" ca="1" si="18"/>
        <v>440</v>
      </c>
    </row>
    <row r="442" spans="1:43" ht="21" customHeight="1" x14ac:dyDescent="0.15">
      <c r="A442" s="7">
        <f t="shared" ca="1" si="13"/>
        <v>441</v>
      </c>
      <c r="B442" s="6" t="str">
        <f ca="1">VLOOKUP(A442,[2]characters!$A:$C,3,FALSE)</f>
        <v>求心の錻装 ブリキロガー</v>
      </c>
      <c r="C442" s="9">
        <f ca="1">VLOOKUP(A442,[2]characters!$A:$I,9,FALSE)</f>
        <v>5</v>
      </c>
      <c r="D442" s="9" t="str">
        <f ca="1">VLOOKUP(A442,[2]characters!$A:$H,8,FALSE)</f>
        <v>blue</v>
      </c>
      <c r="E442" s="24">
        <f ca="1">VLOOKUP(D442,[2]属性!$A:$E,2,FALSE)</f>
        <v>1</v>
      </c>
      <c r="F442" s="24">
        <f ca="1">VLOOKUP(D442,[2]属性!$A:$E,3,FALSE)</f>
        <v>0.98</v>
      </c>
      <c r="G442" s="24">
        <f ca="1">VLOOKUP(D442,[2]属性!$A:$F,4,FALSE)</f>
        <v>1</v>
      </c>
      <c r="H442" s="9" t="str">
        <f ca="1">VLOOKUP(A442,[2]characters!$A:$K,11,FALSE)</f>
        <v>attack</v>
      </c>
      <c r="I442" s="14" t="str">
        <f ca="1">VLOOKUP(H442,[2]character_type_i18n!$A:$F,3,FALSE)</f>
        <v>攻撃タイプ</v>
      </c>
      <c r="J442" s="36">
        <f ca="1">VLOOKUP(H442,[2]character_type_i18n!$A:$F,4,FALSE)</f>
        <v>1</v>
      </c>
      <c r="K442" s="36">
        <f ca="1">VLOOKUP(H442,[2]character_type_i18n!$A:$F,5,FALSE)</f>
        <v>1.33</v>
      </c>
      <c r="L442" s="36">
        <f ca="1">VLOOKUP(H442,[2]character_type_i18n!$A:$F,6,FALSE)</f>
        <v>1</v>
      </c>
      <c r="M442" s="9" t="str">
        <f ca="1">VLOOKUP(A442,[2]characters!$A:$M,13,FALSE)</f>
        <v>machine</v>
      </c>
      <c r="N442" s="14" t="str">
        <f ca="1">VLOOKUP(M442,[2]character_tribe_i18n!$A:$F,3,FALSE)</f>
        <v>マシン</v>
      </c>
      <c r="O442" s="24">
        <f ca="1">VLOOKUP(M442,[2]character_tribe_i18n!$A:$F,4,FALSE)</f>
        <v>1</v>
      </c>
      <c r="P442" s="24">
        <f ca="1">VLOOKUP(M442,[2]character_tribe_i18n!$A:$F,5,FALSE)</f>
        <v>1</v>
      </c>
      <c r="Q442" s="24">
        <f ca="1">VLOOKUP(M442,[2]character_tribe_i18n!$A:$F,6,FALSE)</f>
        <v>1</v>
      </c>
      <c r="R442" s="25" t="s">
        <v>98</v>
      </c>
      <c r="S442" s="24">
        <f>VLOOKUP($R442,ラベル別係数!$A$1:$E$7,3,FALSE)</f>
        <v>5</v>
      </c>
      <c r="T442" s="24">
        <f>VLOOKUP($R442,ラベル別係数!$A$1:$E$7,4,FALSE)</f>
        <v>1.3</v>
      </c>
      <c r="U442" s="24">
        <f>VLOOKUP($R442,ラベル別係数!$A$1:$E$7,5,FALSE)</f>
        <v>0.8</v>
      </c>
      <c r="V442" s="27">
        <v>3</v>
      </c>
      <c r="W442" s="28">
        <f>VLOOKUP(V442,ターン数別攻撃係数!$A$1:$B$1000,2,FALSE)</f>
        <v>1</v>
      </c>
      <c r="X442" s="9">
        <f ca="1">VLOOKUP(C442,サイズ別係数!A$2:B$9,2,FALSE)</f>
        <v>60</v>
      </c>
      <c r="Y442" s="26">
        <f ca="1">VLOOKUP($X442,サイズ別係数!$B:$E,2,FALSE)</f>
        <v>1.7</v>
      </c>
      <c r="Z442" s="26">
        <f ca="1">VLOOKUP($X442,サイズ別係数!$B:$E,3,FALSE)</f>
        <v>1.4</v>
      </c>
      <c r="AA442" s="26">
        <f ca="1">VLOOKUP($X442,サイズ別係数!$B:$E,4,FALSE)</f>
        <v>1</v>
      </c>
      <c r="AB442" s="5">
        <v>0</v>
      </c>
      <c r="AC442" s="34" t="str">
        <f ca="1">VLOOKUP($AB442,OFFSET([3]enemy_skill_sets!$B$2,0,0,COUNTA([3]enemy_skill_sets!$A:$A),MATCH(AC$1,[3]enemy_skill_sets!$1:$1,0)-MATCH($AB$1,[3]enemy_skill_sets!$1:$1,0)+1),MATCH(AC$1,[3]enemy_skill_sets!$1:$1,0)-MATCH($AB$1,[3]enemy_skill_sets!$1:$1,0)+1,FALSE)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2" s="67">
        <v>1</v>
      </c>
      <c r="AE442" s="67">
        <v>1</v>
      </c>
      <c r="AF442" s="37">
        <v>0</v>
      </c>
      <c r="AG442" s="28">
        <f ca="1">ROUND(VLOOKUP(1,enemy_base_stats!$A:$F,2,FALSE) * Y442* J442*O442*E442*S442*AD442*[2]ステータス!$B$2,0)</f>
        <v>4250</v>
      </c>
      <c r="AH442" s="28">
        <f ca="1">ROUND(VLOOKUP(1,enemy_base_stats!$A:$F,3,FALSE) * Z442*K442*P442*F442*T442*AE442 * W442*[2]ステータス!$C$2,0)</f>
        <v>356</v>
      </c>
      <c r="AI442" s="28">
        <f ca="1">ROUND(VLOOKUP(1,enemy_base_stats!$A:$F,4,FALSE) * AA442*L442*Q442*G442*U442*AF442*[2]ステータス!$D$2,0)</f>
        <v>0</v>
      </c>
      <c r="AJ442" s="28">
        <f ca="1">ROUND(VLOOKUP(100,enemy_base_stats!$A:$F,2,FALSE) * Y442* J442*O442*E442*S442*AD442*[2]ステータス!$B$2,0)</f>
        <v>172550</v>
      </c>
      <c r="AK442" s="28">
        <f ca="1">ROUND(VLOOKUP(100,enemy_base_stats!$A:$F,3,FALSE)* Z442* K442*P442*F442*T442*AE442 * W442*[2]ステータス!$C$2,0)</f>
        <v>14447</v>
      </c>
      <c r="AL442" s="28">
        <f ca="1">ROUND(VLOOKUP(100,enemy_base_stats!$A:$F,4,FALSE)* AA442* L442*Q442*G442*U442*AF442*[2]ステータス!$D$2,0)</f>
        <v>0</v>
      </c>
      <c r="AM442" s="24">
        <f ca="1">VLOOKUP(M442,[2]character_tribe_i18n!$A:$I,9,FALSE)</f>
        <v>520</v>
      </c>
      <c r="AN442" s="36">
        <v>0</v>
      </c>
      <c r="AO442" s="53">
        <v>0</v>
      </c>
      <c r="AP442" s="58" t="s">
        <v>72</v>
      </c>
      <c r="AQ442" s="71">
        <f t="shared" ca="1" si="18"/>
        <v>441</v>
      </c>
    </row>
    <row r="443" spans="1:43" ht="21" customHeight="1" x14ac:dyDescent="0.15">
      <c r="A443" s="7">
        <f t="shared" ca="1" si="13"/>
        <v>442</v>
      </c>
      <c r="B443" s="6" t="str">
        <f ca="1">VLOOKUP(A443,[2]characters!$A:$C,3,FALSE)</f>
        <v>ブレイブリー・ライオン</v>
      </c>
      <c r="C443" s="9">
        <f ca="1">VLOOKUP(A443,[2]characters!$A:$I,9,FALSE)</f>
        <v>4</v>
      </c>
      <c r="D443" s="9" t="str">
        <f ca="1">VLOOKUP(A443,[2]characters!$A:$H,8,FALSE)</f>
        <v>yellow</v>
      </c>
      <c r="E443" s="24">
        <f ca="1">VLOOKUP(D443,[2]属性!$A:$E,2,FALSE)</f>
        <v>0.98</v>
      </c>
      <c r="F443" s="24">
        <f ca="1">VLOOKUP(D443,[2]属性!$A:$E,3,FALSE)</f>
        <v>1.01</v>
      </c>
      <c r="G443" s="24">
        <f ca="1">VLOOKUP(D443,[2]属性!$A:$F,4,FALSE)</f>
        <v>1</v>
      </c>
      <c r="H443" s="9" t="str">
        <f ca="1">VLOOKUP(A443,[2]characters!$A:$K,11,FALSE)</f>
        <v>hp</v>
      </c>
      <c r="I443" s="14" t="str">
        <f ca="1">VLOOKUP(H443,[2]character_type_i18n!$A:$F,3,FALSE)</f>
        <v>体力タイプ</v>
      </c>
      <c r="J443" s="36">
        <f ca="1">VLOOKUP(H443,[2]character_type_i18n!$A:$F,4,FALSE)</f>
        <v>1.45</v>
      </c>
      <c r="K443" s="36">
        <f ca="1">VLOOKUP(H443,[2]character_type_i18n!$A:$F,5,FALSE)</f>
        <v>0.85</v>
      </c>
      <c r="L443" s="36">
        <f ca="1">VLOOKUP(H443,[2]character_type_i18n!$A:$F,6,FALSE)</f>
        <v>1</v>
      </c>
      <c r="M443" s="9" t="str">
        <f ca="1">VLOOKUP(A443,[2]characters!$A:$M,13,FALSE)</f>
        <v>animal</v>
      </c>
      <c r="N443" s="14" t="str">
        <f ca="1">VLOOKUP(M443,[2]character_tribe_i18n!$A:$F,3,FALSE)</f>
        <v>アニマル</v>
      </c>
      <c r="O443" s="24">
        <f ca="1">VLOOKUP(M443,[2]character_tribe_i18n!$A:$F,4,FALSE)</f>
        <v>1</v>
      </c>
      <c r="P443" s="24">
        <f ca="1">VLOOKUP(M443,[2]character_tribe_i18n!$A:$F,5,FALSE)</f>
        <v>1.1000000000000001</v>
      </c>
      <c r="Q443" s="24">
        <f ca="1">VLOOKUP(M443,[2]character_tribe_i18n!$A:$F,6,FALSE)</f>
        <v>1</v>
      </c>
      <c r="R443" s="25" t="s">
        <v>98</v>
      </c>
      <c r="S443" s="24">
        <f>VLOOKUP($R443,ラベル別係数!$A$1:$E$7,3,FALSE)</f>
        <v>5</v>
      </c>
      <c r="T443" s="24">
        <f>VLOOKUP($R443,ラベル別係数!$A$1:$E$7,4,FALSE)</f>
        <v>1.3</v>
      </c>
      <c r="U443" s="24">
        <f>VLOOKUP($R443,ラベル別係数!$A$1:$E$7,5,FALSE)</f>
        <v>0.8</v>
      </c>
      <c r="V443" s="27">
        <v>3</v>
      </c>
      <c r="W443" s="28">
        <f>VLOOKUP(V443,ターン数別攻撃係数!$A$1:$B$1000,2,FALSE)</f>
        <v>1</v>
      </c>
      <c r="X443" s="9">
        <f ca="1">VLOOKUP(C443,サイズ別係数!A$2:B$9,2,FALSE)</f>
        <v>30</v>
      </c>
      <c r="Y443" s="26">
        <f ca="1">VLOOKUP($X443,サイズ別係数!$B:$E,2,FALSE)</f>
        <v>1.3</v>
      </c>
      <c r="Z443" s="26">
        <f ca="1">VLOOKUP($X443,サイズ別係数!$B:$E,3,FALSE)</f>
        <v>1.3</v>
      </c>
      <c r="AA443" s="26">
        <f ca="1">VLOOKUP($X443,サイズ別係数!$B:$E,4,FALSE)</f>
        <v>1.1000000000000001</v>
      </c>
      <c r="AB443" s="5">
        <v>0</v>
      </c>
      <c r="AC443" s="34" t="str">
        <f ca="1">VLOOKUP($AB443,OFFSET([3]enemy_skill_sets!$B$2,0,0,COUNTA([3]enemy_skill_sets!$A:$A),MATCH(AC$1,[3]enemy_skill_sets!$1:$1,0)-MATCH($AB$1,[3]enemy_skill_sets!$1:$1,0)+1),MATCH(AC$1,[3]enemy_skill_sets!$1:$1,0)-MATCH($AB$1,[3]enemy_skill_sets!$1:$1,0)+1,FALSE)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3" s="67">
        <v>1</v>
      </c>
      <c r="AE443" s="67">
        <v>1</v>
      </c>
      <c r="AF443" s="37">
        <v>0</v>
      </c>
      <c r="AG443" s="28">
        <f ca="1">ROUND(VLOOKUP(1,enemy_base_stats!$A:$F,2,FALSE) * Y443* J443*O443*E443*S443*AD443*[2]ステータス!$B$2,0)</f>
        <v>4618</v>
      </c>
      <c r="AH443" s="28">
        <f ca="1">ROUND(VLOOKUP(1,enemy_base_stats!$A:$F,3,FALSE) * Z443*K443*P443*F443*T443*AE443 * W443*[2]ステータス!$C$2,0)</f>
        <v>239</v>
      </c>
      <c r="AI443" s="28">
        <f ca="1">ROUND(VLOOKUP(1,enemy_base_stats!$A:$F,4,FALSE) * AA443*L443*Q443*G443*U443*AF443*[2]ステータス!$D$2,0)</f>
        <v>0</v>
      </c>
      <c r="AJ443" s="28">
        <f ca="1">ROUND(VLOOKUP(100,enemy_base_stats!$A:$F,2,FALSE) * Y443* J443*O443*E443*S443*AD443*[2]ステータス!$B$2,0)</f>
        <v>187501</v>
      </c>
      <c r="AK443" s="28">
        <f ca="1">ROUND(VLOOKUP(100,enemy_base_stats!$A:$F,3,FALSE)* Z443* K443*P443*F443*T443*AE443 * W443*[2]ステータス!$C$2,0)</f>
        <v>9719</v>
      </c>
      <c r="AL443" s="28">
        <f ca="1">ROUND(VLOOKUP(100,enemy_base_stats!$A:$F,4,FALSE)* AA443* L443*Q443*G443*U443*AF443*[2]ステータス!$D$2,0)</f>
        <v>0</v>
      </c>
      <c r="AM443" s="24">
        <f ca="1">VLOOKUP(M443,[2]character_tribe_i18n!$A:$I,9,FALSE)</f>
        <v>480</v>
      </c>
      <c r="AN443" s="36">
        <v>0</v>
      </c>
      <c r="AO443" s="53">
        <v>0</v>
      </c>
      <c r="AP443" s="58" t="s">
        <v>72</v>
      </c>
      <c r="AQ443" s="71">
        <f t="shared" ca="1" si="18"/>
        <v>442</v>
      </c>
    </row>
    <row r="444" spans="1:43" ht="21" customHeight="1" x14ac:dyDescent="0.15">
      <c r="A444" s="7">
        <f t="shared" ca="1" si="13"/>
        <v>443</v>
      </c>
      <c r="B444" s="6" t="str">
        <f ca="1">VLOOKUP(A444,[2]characters!$A:$C,3,FALSE)</f>
        <v>勇機結集 ブレイブリー・ライオン</v>
      </c>
      <c r="C444" s="9">
        <f ca="1">VLOOKUP(A444,[2]characters!$A:$I,9,FALSE)</f>
        <v>5</v>
      </c>
      <c r="D444" s="9" t="str">
        <f ca="1">VLOOKUP(A444,[2]characters!$A:$H,8,FALSE)</f>
        <v>yellow</v>
      </c>
      <c r="E444" s="24">
        <f ca="1">VLOOKUP(D444,[2]属性!$A:$E,2,FALSE)</f>
        <v>0.98</v>
      </c>
      <c r="F444" s="24">
        <f ca="1">VLOOKUP(D444,[2]属性!$A:$E,3,FALSE)</f>
        <v>1.01</v>
      </c>
      <c r="G444" s="24">
        <f ca="1">VLOOKUP(D444,[2]属性!$A:$F,4,FALSE)</f>
        <v>1</v>
      </c>
      <c r="H444" s="9" t="str">
        <f ca="1">VLOOKUP(A444,[2]characters!$A:$K,11,FALSE)</f>
        <v>hp</v>
      </c>
      <c r="I444" s="14" t="str">
        <f ca="1">VLOOKUP(H444,[2]character_type_i18n!$A:$F,3,FALSE)</f>
        <v>体力タイプ</v>
      </c>
      <c r="J444" s="36">
        <f ca="1">VLOOKUP(H444,[2]character_type_i18n!$A:$F,4,FALSE)</f>
        <v>1.45</v>
      </c>
      <c r="K444" s="36">
        <f ca="1">VLOOKUP(H444,[2]character_type_i18n!$A:$F,5,FALSE)</f>
        <v>0.85</v>
      </c>
      <c r="L444" s="36">
        <f ca="1">VLOOKUP(H444,[2]character_type_i18n!$A:$F,6,FALSE)</f>
        <v>1</v>
      </c>
      <c r="M444" s="9" t="str">
        <f ca="1">VLOOKUP(A444,[2]characters!$A:$M,13,FALSE)</f>
        <v>animal</v>
      </c>
      <c r="N444" s="14" t="str">
        <f ca="1">VLOOKUP(M444,[2]character_tribe_i18n!$A:$F,3,FALSE)</f>
        <v>アニマル</v>
      </c>
      <c r="O444" s="24">
        <f ca="1">VLOOKUP(M444,[2]character_tribe_i18n!$A:$F,4,FALSE)</f>
        <v>1</v>
      </c>
      <c r="P444" s="24">
        <f ca="1">VLOOKUP(M444,[2]character_tribe_i18n!$A:$F,5,FALSE)</f>
        <v>1.1000000000000001</v>
      </c>
      <c r="Q444" s="24">
        <f ca="1">VLOOKUP(M444,[2]character_tribe_i18n!$A:$F,6,FALSE)</f>
        <v>1</v>
      </c>
      <c r="R444" s="25" t="s">
        <v>98</v>
      </c>
      <c r="S444" s="24">
        <f>VLOOKUP($R444,ラベル別係数!$A$1:$E$7,3,FALSE)</f>
        <v>5</v>
      </c>
      <c r="T444" s="24">
        <f>VLOOKUP($R444,ラベル別係数!$A$1:$E$7,4,FALSE)</f>
        <v>1.3</v>
      </c>
      <c r="U444" s="24">
        <f>VLOOKUP($R444,ラベル別係数!$A$1:$E$7,5,FALSE)</f>
        <v>0.8</v>
      </c>
      <c r="V444" s="27">
        <v>3</v>
      </c>
      <c r="W444" s="28">
        <f>VLOOKUP(V444,ターン数別攻撃係数!$A$1:$B$1000,2,FALSE)</f>
        <v>1</v>
      </c>
      <c r="X444" s="9">
        <f ca="1">VLOOKUP(C444,サイズ別係数!A$2:B$9,2,FALSE)</f>
        <v>60</v>
      </c>
      <c r="Y444" s="26">
        <f ca="1">VLOOKUP($X444,サイズ別係数!$B:$E,2,FALSE)</f>
        <v>1.7</v>
      </c>
      <c r="Z444" s="26">
        <f ca="1">VLOOKUP($X444,サイズ別係数!$B:$E,3,FALSE)</f>
        <v>1.4</v>
      </c>
      <c r="AA444" s="26">
        <f ca="1">VLOOKUP($X444,サイズ別係数!$B:$E,4,FALSE)</f>
        <v>1</v>
      </c>
      <c r="AB444" s="5">
        <v>0</v>
      </c>
      <c r="AC444" s="34" t="str">
        <f ca="1">VLOOKUP($AB444,OFFSET([3]enemy_skill_sets!$B$2,0,0,COUNTA([3]enemy_skill_sets!$A:$A),MATCH(AC$1,[3]enemy_skill_sets!$1:$1,0)-MATCH($AB$1,[3]enemy_skill_sets!$1:$1,0)+1),MATCH(AC$1,[3]enemy_skill_sets!$1:$1,0)-MATCH($AB$1,[3]enemy_skill_sets!$1:$1,0)+1,FALSE)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4" s="67">
        <v>1</v>
      </c>
      <c r="AE444" s="67">
        <v>1</v>
      </c>
      <c r="AF444" s="37">
        <v>0</v>
      </c>
      <c r="AG444" s="28">
        <f ca="1">ROUND(VLOOKUP(1,enemy_base_stats!$A:$F,2,FALSE) * Y444* J444*O444*E444*S444*AD444*[2]ステータス!$B$2,0)</f>
        <v>6039</v>
      </c>
      <c r="AH444" s="28">
        <f ca="1">ROUND(VLOOKUP(1,enemy_base_stats!$A:$F,3,FALSE) * Z444*K444*P444*F444*T444*AE444 * W444*[2]ステータス!$C$2,0)</f>
        <v>258</v>
      </c>
      <c r="AI444" s="28">
        <f ca="1">ROUND(VLOOKUP(1,enemy_base_stats!$A:$F,4,FALSE) * AA444*L444*Q444*G444*U444*AF444*[2]ステータス!$D$2,0)</f>
        <v>0</v>
      </c>
      <c r="AJ444" s="28">
        <f ca="1">ROUND(VLOOKUP(100,enemy_base_stats!$A:$F,2,FALSE) * Y444* J444*O444*E444*S444*AD444*[2]ステータス!$B$2,0)</f>
        <v>245194</v>
      </c>
      <c r="AK444" s="28">
        <f ca="1">ROUND(VLOOKUP(100,enemy_base_stats!$A:$F,3,FALSE)* Z444* K444*P444*F444*T444*AE444 * W444*[2]ステータス!$C$2,0)</f>
        <v>10467</v>
      </c>
      <c r="AL444" s="28">
        <f ca="1">ROUND(VLOOKUP(100,enemy_base_stats!$A:$F,4,FALSE)* AA444* L444*Q444*G444*U444*AF444*[2]ステータス!$D$2,0)</f>
        <v>0</v>
      </c>
      <c r="AM444" s="24">
        <f ca="1">VLOOKUP(M444,[2]character_tribe_i18n!$A:$I,9,FALSE)</f>
        <v>480</v>
      </c>
      <c r="AN444" s="36">
        <v>0</v>
      </c>
      <c r="AO444" s="53">
        <v>0</v>
      </c>
      <c r="AP444" s="58" t="s">
        <v>72</v>
      </c>
      <c r="AQ444" s="71">
        <f t="shared" ca="1" si="18"/>
        <v>443</v>
      </c>
    </row>
    <row r="445" spans="1:43" ht="21" customHeight="1" x14ac:dyDescent="0.15">
      <c r="A445" s="7">
        <f t="shared" ca="1" si="13"/>
        <v>444</v>
      </c>
      <c r="B445" s="6" t="str">
        <f ca="1">VLOOKUP(A445,[2]characters!$A:$C,3,FALSE)</f>
        <v>炎のミリオンダック 4</v>
      </c>
      <c r="C445" s="9">
        <f ca="1">VLOOKUP(A445,[2]characters!$A:$I,9,FALSE)</f>
        <v>6</v>
      </c>
      <c r="D445" s="9" t="str">
        <f ca="1">VLOOKUP(A445,[2]characters!$A:$H,8,FALSE)</f>
        <v>red</v>
      </c>
      <c r="E445" s="24">
        <f ca="1">VLOOKUP(D445,[2]属性!$A:$E,2,FALSE)</f>
        <v>1</v>
      </c>
      <c r="F445" s="24">
        <f ca="1">VLOOKUP(D445,[2]属性!$A:$E,3,FALSE)</f>
        <v>1.02</v>
      </c>
      <c r="G445" s="24">
        <f ca="1">VLOOKUP(D445,[2]属性!$A:$F,4,FALSE)</f>
        <v>1</v>
      </c>
      <c r="H445" s="9" t="str">
        <f ca="1">VLOOKUP(A445,[2]characters!$A:$K,11,FALSE)</f>
        <v>exp</v>
      </c>
      <c r="I445" s="14" t="str">
        <f ca="1">VLOOKUP(H445,[2]character_type_i18n!$A:$F,3,FALSE)</f>
        <v>強化素材タイプ</v>
      </c>
      <c r="J445" s="36">
        <f ca="1">VLOOKUP(H445,[2]character_type_i18n!$A:$F,4,FALSE)</f>
        <v>0.1</v>
      </c>
      <c r="K445" s="36">
        <f ca="1">VLOOKUP(H445,[2]character_type_i18n!$A:$F,5,FALSE)</f>
        <v>0.05</v>
      </c>
      <c r="L445" s="36">
        <f ca="1">VLOOKUP(H445,[2]character_type_i18n!$A:$F,6,FALSE)</f>
        <v>1</v>
      </c>
      <c r="M445" s="9" t="str">
        <f ca="1">VLOOKUP(A445,[2]characters!$A:$M,13,FALSE)</f>
        <v>unknown</v>
      </c>
      <c r="N445" s="14" t="str">
        <f ca="1">VLOOKUP(M445,[2]character_tribe_i18n!$A:$F,3,FALSE)</f>
        <v>Unknown</v>
      </c>
      <c r="O445" s="24">
        <f ca="1">VLOOKUP(M445,[2]character_tribe_i18n!$A:$F,4,FALSE)</f>
        <v>1</v>
      </c>
      <c r="P445" s="24">
        <f ca="1">VLOOKUP(M445,[2]character_tribe_i18n!$A:$F,5,FALSE)</f>
        <v>1</v>
      </c>
      <c r="Q445" s="24">
        <f ca="1">VLOOKUP(M445,[2]character_tribe_i18n!$A:$F,6,FALSE)</f>
        <v>1</v>
      </c>
      <c r="R445" s="25" t="s">
        <v>98</v>
      </c>
      <c r="S445" s="24">
        <f>VLOOKUP($R445,ラベル別係数!$A$1:$E$7,3,FALSE)</f>
        <v>5</v>
      </c>
      <c r="T445" s="24">
        <f>VLOOKUP($R445,ラベル別係数!$A$1:$E$7,4,FALSE)</f>
        <v>1.3</v>
      </c>
      <c r="U445" s="24">
        <f>VLOOKUP($R445,ラベル別係数!$A$1:$E$7,5,FALSE)</f>
        <v>0.8</v>
      </c>
      <c r="V445" s="27">
        <v>3</v>
      </c>
      <c r="W445" s="28">
        <f>VLOOKUP(V445,ターン数別攻撃係数!$A$1:$B$1000,2,FALSE)</f>
        <v>1</v>
      </c>
      <c r="X445" s="107">
        <v>20</v>
      </c>
      <c r="Y445" s="26">
        <f>VLOOKUP($X445,サイズ別係数!$B:$E,2,FALSE)</f>
        <v>1.1000000000000001</v>
      </c>
      <c r="Z445" s="26">
        <f>VLOOKUP($X445,サイズ別係数!$B:$E,3,FALSE)</f>
        <v>1.2</v>
      </c>
      <c r="AA445" s="26">
        <f>VLOOKUP($X445,サイズ別係数!$B:$E,4,FALSE)</f>
        <v>1.2</v>
      </c>
      <c r="AB445" s="5">
        <v>0</v>
      </c>
      <c r="AC445" s="34" t="str">
        <f ca="1">VLOOKUP($AB445,OFFSET([3]enemy_skill_sets!$B$2,0,0,COUNTA([3]enemy_skill_sets!$A:$A),MATCH(AC$1,[3]enemy_skill_sets!$1:$1,0)-MATCH($AB$1,[3]enemy_skill_sets!$1:$1,0)+1),MATCH(AC$1,[3]enemy_skill_sets!$1:$1,0)-MATCH($AB$1,[3]enemy_skill_sets!$1:$1,0)+1,FALSE)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5" s="67">
        <v>1</v>
      </c>
      <c r="AE445" s="67">
        <v>1</v>
      </c>
      <c r="AF445" s="37">
        <v>0</v>
      </c>
      <c r="AG445" s="104">
        <v>100</v>
      </c>
      <c r="AH445" s="104">
        <v>1000</v>
      </c>
      <c r="AI445" s="104">
        <v>0</v>
      </c>
      <c r="AJ445" s="104">
        <v>100</v>
      </c>
      <c r="AK445" s="104">
        <v>1000</v>
      </c>
      <c r="AL445" s="104">
        <v>0</v>
      </c>
      <c r="AM445" s="64">
        <v>999080</v>
      </c>
      <c r="AN445" s="36">
        <v>0</v>
      </c>
      <c r="AO445" s="53">
        <v>0</v>
      </c>
      <c r="AP445" s="58" t="s">
        <v>72</v>
      </c>
      <c r="AQ445" s="71">
        <f t="shared" ca="1" si="18"/>
        <v>444</v>
      </c>
    </row>
    <row r="446" spans="1:43" ht="21" customHeight="1" x14ac:dyDescent="0.15">
      <c r="A446" s="7">
        <f t="shared" ca="1" si="13"/>
        <v>445</v>
      </c>
      <c r="B446" s="6" t="str">
        <f ca="1">VLOOKUP(A446,[2]characters!$A:$C,3,FALSE)</f>
        <v>森のミリオンダック 4</v>
      </c>
      <c r="C446" s="9">
        <f ca="1">VLOOKUP(A446,[2]characters!$A:$I,9,FALSE)</f>
        <v>6</v>
      </c>
      <c r="D446" s="9" t="str">
        <f ca="1">VLOOKUP(A446,[2]characters!$A:$H,8,FALSE)</f>
        <v>green</v>
      </c>
      <c r="E446" s="24">
        <f ca="1">VLOOKUP(D446,[2]属性!$A:$E,2,FALSE)</f>
        <v>1.02</v>
      </c>
      <c r="F446" s="24">
        <f ca="1">VLOOKUP(D446,[2]属性!$A:$E,3,FALSE)</f>
        <v>0.98</v>
      </c>
      <c r="G446" s="24">
        <f ca="1">VLOOKUP(D446,[2]属性!$A:$F,4,FALSE)</f>
        <v>1</v>
      </c>
      <c r="H446" s="9" t="str">
        <f ca="1">VLOOKUP(A446,[2]characters!$A:$K,11,FALSE)</f>
        <v>exp</v>
      </c>
      <c r="I446" s="14" t="str">
        <f ca="1">VLOOKUP(H446,[2]character_type_i18n!$A:$F,3,FALSE)</f>
        <v>強化素材タイプ</v>
      </c>
      <c r="J446" s="36">
        <f ca="1">VLOOKUP(H446,[2]character_type_i18n!$A:$F,4,FALSE)</f>
        <v>0.1</v>
      </c>
      <c r="K446" s="36">
        <f ca="1">VLOOKUP(H446,[2]character_type_i18n!$A:$F,5,FALSE)</f>
        <v>0.05</v>
      </c>
      <c r="L446" s="36">
        <f ca="1">VLOOKUP(H446,[2]character_type_i18n!$A:$F,6,FALSE)</f>
        <v>1</v>
      </c>
      <c r="M446" s="9" t="str">
        <f ca="1">VLOOKUP(A446,[2]characters!$A:$M,13,FALSE)</f>
        <v>unknown</v>
      </c>
      <c r="N446" s="14" t="str">
        <f ca="1">VLOOKUP(M446,[2]character_tribe_i18n!$A:$F,3,FALSE)</f>
        <v>Unknown</v>
      </c>
      <c r="O446" s="24">
        <f ca="1">VLOOKUP(M446,[2]character_tribe_i18n!$A:$F,4,FALSE)</f>
        <v>1</v>
      </c>
      <c r="P446" s="24">
        <f ca="1">VLOOKUP(M446,[2]character_tribe_i18n!$A:$F,5,FALSE)</f>
        <v>1</v>
      </c>
      <c r="Q446" s="24">
        <f ca="1">VLOOKUP(M446,[2]character_tribe_i18n!$A:$F,6,FALSE)</f>
        <v>1</v>
      </c>
      <c r="R446" s="25" t="s">
        <v>98</v>
      </c>
      <c r="S446" s="24">
        <f>VLOOKUP($R446,ラベル別係数!$A$1:$E$7,3,FALSE)</f>
        <v>5</v>
      </c>
      <c r="T446" s="24">
        <f>VLOOKUP($R446,ラベル別係数!$A$1:$E$7,4,FALSE)</f>
        <v>1.3</v>
      </c>
      <c r="U446" s="24">
        <f>VLOOKUP($R446,ラベル別係数!$A$1:$E$7,5,FALSE)</f>
        <v>0.8</v>
      </c>
      <c r="V446" s="27">
        <v>3</v>
      </c>
      <c r="W446" s="28">
        <f>VLOOKUP(V446,ターン数別攻撃係数!$A$1:$B$1000,2,FALSE)</f>
        <v>1</v>
      </c>
      <c r="X446" s="107">
        <v>20</v>
      </c>
      <c r="Y446" s="26">
        <f>VLOOKUP($X446,サイズ別係数!$B:$E,2,FALSE)</f>
        <v>1.1000000000000001</v>
      </c>
      <c r="Z446" s="26">
        <f>VLOOKUP($X446,サイズ別係数!$B:$E,3,FALSE)</f>
        <v>1.2</v>
      </c>
      <c r="AA446" s="26">
        <f>VLOOKUP($X446,サイズ別係数!$B:$E,4,FALSE)</f>
        <v>1.2</v>
      </c>
      <c r="AB446" s="5">
        <v>0</v>
      </c>
      <c r="AC446" s="34" t="str">
        <f ca="1">VLOOKUP($AB446,OFFSET([3]enemy_skill_sets!$B$2,0,0,COUNTA([3]enemy_skill_sets!$A:$A),MATCH(AC$1,[3]enemy_skill_sets!$1:$1,0)-MATCH($AB$1,[3]enemy_skill_sets!$1:$1,0)+1),MATCH(AC$1,[3]enemy_skill_sets!$1:$1,0)-MATCH($AB$1,[3]enemy_skill_sets!$1:$1,0)+1,FALSE)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6" s="67">
        <v>1</v>
      </c>
      <c r="AE446" s="67">
        <v>1</v>
      </c>
      <c r="AF446" s="37">
        <v>0</v>
      </c>
      <c r="AG446" s="104">
        <v>100</v>
      </c>
      <c r="AH446" s="104">
        <v>1000</v>
      </c>
      <c r="AI446" s="104">
        <v>0</v>
      </c>
      <c r="AJ446" s="104">
        <v>100</v>
      </c>
      <c r="AK446" s="104">
        <v>1000</v>
      </c>
      <c r="AL446" s="104">
        <v>0</v>
      </c>
      <c r="AM446" s="64">
        <v>999080</v>
      </c>
      <c r="AN446" s="36">
        <v>0</v>
      </c>
      <c r="AO446" s="53">
        <v>0</v>
      </c>
      <c r="AP446" s="58" t="s">
        <v>72</v>
      </c>
      <c r="AQ446" s="71">
        <f t="shared" ca="1" si="18"/>
        <v>445</v>
      </c>
    </row>
    <row r="447" spans="1:43" ht="21" customHeight="1" x14ac:dyDescent="0.15">
      <c r="A447" s="7">
        <f t="shared" ca="1" si="13"/>
        <v>446</v>
      </c>
      <c r="B447" s="6" t="str">
        <f ca="1">VLOOKUP(A447,[2]characters!$A:$C,3,FALSE)</f>
        <v>水のミリオンダック 4</v>
      </c>
      <c r="C447" s="9">
        <f ca="1">VLOOKUP(A447,[2]characters!$A:$I,9,FALSE)</f>
        <v>6</v>
      </c>
      <c r="D447" s="9" t="str">
        <f ca="1">VLOOKUP(A447,[2]characters!$A:$H,8,FALSE)</f>
        <v>blue</v>
      </c>
      <c r="E447" s="24">
        <f ca="1">VLOOKUP(D447,[2]属性!$A:$E,2,FALSE)</f>
        <v>1</v>
      </c>
      <c r="F447" s="24">
        <f ca="1">VLOOKUP(D447,[2]属性!$A:$E,3,FALSE)</f>
        <v>0.98</v>
      </c>
      <c r="G447" s="24">
        <f ca="1">VLOOKUP(D447,[2]属性!$A:$F,4,FALSE)</f>
        <v>1</v>
      </c>
      <c r="H447" s="9" t="str">
        <f ca="1">VLOOKUP(A447,[2]characters!$A:$K,11,FALSE)</f>
        <v>exp</v>
      </c>
      <c r="I447" s="14" t="str">
        <f ca="1">VLOOKUP(H447,[2]character_type_i18n!$A:$F,3,FALSE)</f>
        <v>強化素材タイプ</v>
      </c>
      <c r="J447" s="36">
        <f ca="1">VLOOKUP(H447,[2]character_type_i18n!$A:$F,4,FALSE)</f>
        <v>0.1</v>
      </c>
      <c r="K447" s="36">
        <f ca="1">VLOOKUP(H447,[2]character_type_i18n!$A:$F,5,FALSE)</f>
        <v>0.05</v>
      </c>
      <c r="L447" s="36">
        <f ca="1">VLOOKUP(H447,[2]character_type_i18n!$A:$F,6,FALSE)</f>
        <v>1</v>
      </c>
      <c r="M447" s="9" t="str">
        <f ca="1">VLOOKUP(A447,[2]characters!$A:$M,13,FALSE)</f>
        <v>unknown</v>
      </c>
      <c r="N447" s="14" t="str">
        <f ca="1">VLOOKUP(M447,[2]character_tribe_i18n!$A:$F,3,FALSE)</f>
        <v>Unknown</v>
      </c>
      <c r="O447" s="24">
        <f ca="1">VLOOKUP(M447,[2]character_tribe_i18n!$A:$F,4,FALSE)</f>
        <v>1</v>
      </c>
      <c r="P447" s="24">
        <f ca="1">VLOOKUP(M447,[2]character_tribe_i18n!$A:$F,5,FALSE)</f>
        <v>1</v>
      </c>
      <c r="Q447" s="24">
        <f ca="1">VLOOKUP(M447,[2]character_tribe_i18n!$A:$F,6,FALSE)</f>
        <v>1</v>
      </c>
      <c r="R447" s="25" t="s">
        <v>98</v>
      </c>
      <c r="S447" s="24">
        <f>VLOOKUP($R447,ラベル別係数!$A$1:$E$7,3,FALSE)</f>
        <v>5</v>
      </c>
      <c r="T447" s="24">
        <f>VLOOKUP($R447,ラベル別係数!$A$1:$E$7,4,FALSE)</f>
        <v>1.3</v>
      </c>
      <c r="U447" s="24">
        <f>VLOOKUP($R447,ラベル別係数!$A$1:$E$7,5,FALSE)</f>
        <v>0.8</v>
      </c>
      <c r="V447" s="27">
        <v>3</v>
      </c>
      <c r="W447" s="28">
        <f>VLOOKUP(V447,ターン数別攻撃係数!$A$1:$B$1000,2,FALSE)</f>
        <v>1</v>
      </c>
      <c r="X447" s="107">
        <v>20</v>
      </c>
      <c r="Y447" s="26">
        <f>VLOOKUP($X447,サイズ別係数!$B:$E,2,FALSE)</f>
        <v>1.1000000000000001</v>
      </c>
      <c r="Z447" s="26">
        <f>VLOOKUP($X447,サイズ別係数!$B:$E,3,FALSE)</f>
        <v>1.2</v>
      </c>
      <c r="AA447" s="26">
        <f>VLOOKUP($X447,サイズ別係数!$B:$E,4,FALSE)</f>
        <v>1.2</v>
      </c>
      <c r="AB447" s="5">
        <v>0</v>
      </c>
      <c r="AC447" s="34" t="str">
        <f ca="1">VLOOKUP($AB447,OFFSET([3]enemy_skill_sets!$B$2,0,0,COUNTA([3]enemy_skill_sets!$A:$A),MATCH(AC$1,[3]enemy_skill_sets!$1:$1,0)-MATCH($AB$1,[3]enemy_skill_sets!$1:$1,0)+1),MATCH(AC$1,[3]enemy_skill_sets!$1:$1,0)-MATCH($AB$1,[3]enemy_skill_sets!$1:$1,0)+1,FALSE)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7" s="67">
        <v>1</v>
      </c>
      <c r="AE447" s="67">
        <v>1</v>
      </c>
      <c r="AF447" s="37">
        <v>0</v>
      </c>
      <c r="AG447" s="104">
        <v>100</v>
      </c>
      <c r="AH447" s="104">
        <v>1000</v>
      </c>
      <c r="AI447" s="104">
        <v>0</v>
      </c>
      <c r="AJ447" s="104">
        <v>100</v>
      </c>
      <c r="AK447" s="104">
        <v>1000</v>
      </c>
      <c r="AL447" s="104">
        <v>0</v>
      </c>
      <c r="AM447" s="64">
        <v>999080</v>
      </c>
      <c r="AN447" s="36">
        <v>0</v>
      </c>
      <c r="AO447" s="53">
        <v>0</v>
      </c>
      <c r="AP447" s="58" t="s">
        <v>72</v>
      </c>
      <c r="AQ447" s="71">
        <f t="shared" ca="1" si="18"/>
        <v>446</v>
      </c>
    </row>
    <row r="448" spans="1:43" ht="21" customHeight="1" x14ac:dyDescent="0.15">
      <c r="A448" s="7">
        <f t="shared" ca="1" si="13"/>
        <v>447</v>
      </c>
      <c r="B448" s="6" t="str">
        <f ca="1">VLOOKUP(A448,[2]characters!$A:$C,3,FALSE)</f>
        <v>雷のミリオンダック 4</v>
      </c>
      <c r="C448" s="9">
        <f ca="1">VLOOKUP(A448,[2]characters!$A:$I,9,FALSE)</f>
        <v>6</v>
      </c>
      <c r="D448" s="9" t="str">
        <f ca="1">VLOOKUP(A448,[2]characters!$A:$H,8,FALSE)</f>
        <v>yellow</v>
      </c>
      <c r="E448" s="24">
        <f ca="1">VLOOKUP(D448,[2]属性!$A:$E,2,FALSE)</f>
        <v>0.98</v>
      </c>
      <c r="F448" s="24">
        <f ca="1">VLOOKUP(D448,[2]属性!$A:$E,3,FALSE)</f>
        <v>1.01</v>
      </c>
      <c r="G448" s="24">
        <f ca="1">VLOOKUP(D448,[2]属性!$A:$F,4,FALSE)</f>
        <v>1</v>
      </c>
      <c r="H448" s="9" t="str">
        <f ca="1">VLOOKUP(A448,[2]characters!$A:$K,11,FALSE)</f>
        <v>exp</v>
      </c>
      <c r="I448" s="14" t="str">
        <f ca="1">VLOOKUP(H448,[2]character_type_i18n!$A:$F,3,FALSE)</f>
        <v>強化素材タイプ</v>
      </c>
      <c r="J448" s="36">
        <f ca="1">VLOOKUP(H448,[2]character_type_i18n!$A:$F,4,FALSE)</f>
        <v>0.1</v>
      </c>
      <c r="K448" s="36">
        <f ca="1">VLOOKUP(H448,[2]character_type_i18n!$A:$F,5,FALSE)</f>
        <v>0.05</v>
      </c>
      <c r="L448" s="36">
        <f ca="1">VLOOKUP(H448,[2]character_type_i18n!$A:$F,6,FALSE)</f>
        <v>1</v>
      </c>
      <c r="M448" s="9" t="str">
        <f ca="1">VLOOKUP(A448,[2]characters!$A:$M,13,FALSE)</f>
        <v>unknown</v>
      </c>
      <c r="N448" s="14" t="str">
        <f ca="1">VLOOKUP(M448,[2]character_tribe_i18n!$A:$F,3,FALSE)</f>
        <v>Unknown</v>
      </c>
      <c r="O448" s="24">
        <f ca="1">VLOOKUP(M448,[2]character_tribe_i18n!$A:$F,4,FALSE)</f>
        <v>1</v>
      </c>
      <c r="P448" s="24">
        <f ca="1">VLOOKUP(M448,[2]character_tribe_i18n!$A:$F,5,FALSE)</f>
        <v>1</v>
      </c>
      <c r="Q448" s="24">
        <f ca="1">VLOOKUP(M448,[2]character_tribe_i18n!$A:$F,6,FALSE)</f>
        <v>1</v>
      </c>
      <c r="R448" s="25" t="s">
        <v>98</v>
      </c>
      <c r="S448" s="24">
        <f>VLOOKUP($R448,ラベル別係数!$A$1:$E$7,3,FALSE)</f>
        <v>5</v>
      </c>
      <c r="T448" s="24">
        <f>VLOOKUP($R448,ラベル別係数!$A$1:$E$7,4,FALSE)</f>
        <v>1.3</v>
      </c>
      <c r="U448" s="24">
        <f>VLOOKUP($R448,ラベル別係数!$A$1:$E$7,5,FALSE)</f>
        <v>0.8</v>
      </c>
      <c r="V448" s="27">
        <v>3</v>
      </c>
      <c r="W448" s="28">
        <f>VLOOKUP(V448,ターン数別攻撃係数!$A$1:$B$1000,2,FALSE)</f>
        <v>1</v>
      </c>
      <c r="X448" s="107">
        <v>20</v>
      </c>
      <c r="Y448" s="26">
        <f>VLOOKUP($X448,サイズ別係数!$B:$E,2,FALSE)</f>
        <v>1.1000000000000001</v>
      </c>
      <c r="Z448" s="26">
        <f>VLOOKUP($X448,サイズ別係数!$B:$E,3,FALSE)</f>
        <v>1.2</v>
      </c>
      <c r="AA448" s="26">
        <f>VLOOKUP($X448,サイズ別係数!$B:$E,4,FALSE)</f>
        <v>1.2</v>
      </c>
      <c r="AB448" s="5">
        <v>0</v>
      </c>
      <c r="AC448" s="34" t="str">
        <f ca="1">VLOOKUP($AB448,OFFSET([3]enemy_skill_sets!$B$2,0,0,COUNTA([3]enemy_skill_sets!$A:$A),MATCH(AC$1,[3]enemy_skill_sets!$1:$1,0)-MATCH($AB$1,[3]enemy_skill_sets!$1:$1,0)+1),MATCH(AC$1,[3]enemy_skill_sets!$1:$1,0)-MATCH($AB$1,[3]enemy_skill_sets!$1:$1,0)+1,FALSE)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8" s="67">
        <v>1</v>
      </c>
      <c r="AE448" s="67">
        <v>1</v>
      </c>
      <c r="AF448" s="37">
        <v>0</v>
      </c>
      <c r="AG448" s="104">
        <v>100</v>
      </c>
      <c r="AH448" s="104">
        <v>1000</v>
      </c>
      <c r="AI448" s="104">
        <v>0</v>
      </c>
      <c r="AJ448" s="104">
        <v>100</v>
      </c>
      <c r="AK448" s="104">
        <v>1000</v>
      </c>
      <c r="AL448" s="104">
        <v>0</v>
      </c>
      <c r="AM448" s="64">
        <v>999080</v>
      </c>
      <c r="AN448" s="36">
        <v>0</v>
      </c>
      <c r="AO448" s="53">
        <v>0</v>
      </c>
      <c r="AP448" s="58" t="s">
        <v>72</v>
      </c>
      <c r="AQ448" s="71">
        <f t="shared" ca="1" si="18"/>
        <v>447</v>
      </c>
    </row>
    <row r="449" spans="1:43" ht="21" customHeight="1" x14ac:dyDescent="0.15">
      <c r="A449" s="7">
        <f t="shared" ca="1" si="13"/>
        <v>448</v>
      </c>
      <c r="B449" s="6" t="str">
        <f ca="1">VLOOKUP(A449,[2]characters!$A:$C,3,FALSE)</f>
        <v>浮上する夢想学士 シャルル</v>
      </c>
      <c r="C449" s="9">
        <f ca="1">VLOOKUP(A449,[2]characters!$A:$I,9,FALSE)</f>
        <v>6</v>
      </c>
      <c r="D449" s="9" t="str">
        <f ca="1">VLOOKUP(A449,[2]characters!$A:$H,8,FALSE)</f>
        <v>blue</v>
      </c>
      <c r="E449" s="24">
        <f ca="1">VLOOKUP(D449,[2]属性!$A:$E,2,FALSE)</f>
        <v>1</v>
      </c>
      <c r="F449" s="24">
        <f ca="1">VLOOKUP(D449,[2]属性!$A:$E,3,FALSE)</f>
        <v>0.98</v>
      </c>
      <c r="G449" s="24">
        <f ca="1">VLOOKUP(D449,[2]属性!$A:$F,4,FALSE)</f>
        <v>1</v>
      </c>
      <c r="H449" s="9" t="str">
        <f ca="1">VLOOKUP(A449,[2]characters!$A:$K,11,FALSE)</f>
        <v>heal</v>
      </c>
      <c r="I449" s="14" t="str">
        <f ca="1">VLOOKUP(H449,[2]character_type_i18n!$A:$F,3,FALSE)</f>
        <v>回復タイプ</v>
      </c>
      <c r="J449" s="36">
        <f ca="1">VLOOKUP(H449,[2]character_type_i18n!$A:$F,4,FALSE)</f>
        <v>0.8</v>
      </c>
      <c r="K449" s="36">
        <f ca="1">VLOOKUP(H449,[2]character_type_i18n!$A:$F,5,FALSE)</f>
        <v>0.78</v>
      </c>
      <c r="L449" s="36">
        <f ca="1">VLOOKUP(H449,[2]character_type_i18n!$A:$F,6,FALSE)</f>
        <v>1</v>
      </c>
      <c r="M449" s="9" t="str">
        <f ca="1">VLOOKUP(A449,[2]characters!$A:$M,13,FALSE)</f>
        <v>human</v>
      </c>
      <c r="N449" s="14" t="str">
        <f ca="1">VLOOKUP(M449,[2]character_tribe_i18n!$A:$F,3,FALSE)</f>
        <v>ヒューマン</v>
      </c>
      <c r="O449" s="24">
        <f ca="1">VLOOKUP(M449,[2]character_tribe_i18n!$A:$F,4,FALSE)</f>
        <v>0.94</v>
      </c>
      <c r="P449" s="24">
        <f ca="1">VLOOKUP(M449,[2]character_tribe_i18n!$A:$F,5,FALSE)</f>
        <v>0.99</v>
      </c>
      <c r="Q449" s="24">
        <f ca="1">VLOOKUP(M449,[2]character_tribe_i18n!$A:$F,6,FALSE)</f>
        <v>1</v>
      </c>
      <c r="R449" s="25" t="s">
        <v>98</v>
      </c>
      <c r="S449" s="24">
        <f>VLOOKUP($R449,ラベル別係数!$A$1:$E$7,3,FALSE)</f>
        <v>5</v>
      </c>
      <c r="T449" s="24">
        <f>VLOOKUP($R449,ラベル別係数!$A$1:$E$7,4,FALSE)</f>
        <v>1.3</v>
      </c>
      <c r="U449" s="24">
        <f>VLOOKUP($R449,ラベル別係数!$A$1:$E$7,5,FALSE)</f>
        <v>0.8</v>
      </c>
      <c r="V449" s="27">
        <v>3</v>
      </c>
      <c r="W449" s="28">
        <f>VLOOKUP(V449,ターン数別攻撃係数!$A$1:$B$1000,2,FALSE)</f>
        <v>1</v>
      </c>
      <c r="X449" s="9">
        <f ca="1">VLOOKUP(C449,サイズ別係数!A$2:B$9,2,FALSE)</f>
        <v>60</v>
      </c>
      <c r="Y449" s="26">
        <f ca="1">VLOOKUP($X449,サイズ別係数!$B:$E,2,FALSE)</f>
        <v>1.7</v>
      </c>
      <c r="Z449" s="26">
        <f ca="1">VLOOKUP($X449,サイズ別係数!$B:$E,3,FALSE)</f>
        <v>1.4</v>
      </c>
      <c r="AA449" s="26">
        <f ca="1">VLOOKUP($X449,サイズ別係数!$B:$E,4,FALSE)</f>
        <v>1</v>
      </c>
      <c r="AB449" s="5">
        <v>0</v>
      </c>
      <c r="AC449" s="34" t="str">
        <f ca="1">VLOOKUP($AB449,OFFSET([3]enemy_skill_sets!$B$2,0,0,COUNTA([3]enemy_skill_sets!$A:$A),MATCH(AC$1,[3]enemy_skill_sets!$1:$1,0)-MATCH($AB$1,[3]enemy_skill_sets!$1:$1,0)+1),MATCH(AC$1,[3]enemy_skill_sets!$1:$1,0)-MATCH($AB$1,[3]enemy_skill_sets!$1:$1,0)+1,FALSE)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49" s="67">
        <v>1</v>
      </c>
      <c r="AE449" s="67">
        <v>1</v>
      </c>
      <c r="AF449" s="37">
        <v>0</v>
      </c>
      <c r="AG449" s="28">
        <f ca="1">ROUND(VLOOKUP(1,enemy_base_stats!$A:$F,2,FALSE) * Y449* J449*O449*E449*S449*AD449*[2]ステータス!$B$2,0)</f>
        <v>3196</v>
      </c>
      <c r="AH449" s="28">
        <f ca="1">ROUND(VLOOKUP(1,enemy_base_stats!$A:$F,3,FALSE) * Z449*K449*P449*F449*T449*AE449 * W449*[2]ステータス!$C$2,0)</f>
        <v>207</v>
      </c>
      <c r="AI449" s="28">
        <f ca="1">ROUND(VLOOKUP(1,enemy_base_stats!$A:$F,4,FALSE) * AA449*L449*Q449*G449*U449*AF449*[2]ステータス!$D$2,0)</f>
        <v>0</v>
      </c>
      <c r="AJ449" s="28">
        <f ca="1">ROUND(VLOOKUP(100,enemy_base_stats!$A:$F,2,FALSE) * Y449* J449*O449*E449*S449*AD449*[2]ステータス!$B$2,0)</f>
        <v>129758</v>
      </c>
      <c r="AK449" s="28">
        <f ca="1">ROUND(VLOOKUP(100,enemy_base_stats!$A:$F,3,FALSE)* Z449* K449*P449*F449*T449*AE449 * W449*[2]ステータス!$C$2,0)</f>
        <v>8388</v>
      </c>
      <c r="AL449" s="28">
        <f ca="1">ROUND(VLOOKUP(100,enemy_base_stats!$A:$F,4,FALSE)* AA449* L449*Q449*G449*U449*AF449*[2]ステータス!$D$2,0)</f>
        <v>0</v>
      </c>
      <c r="AM449" s="24">
        <f ca="1">VLOOKUP(M449,[2]character_tribe_i18n!$A:$I,9,FALSE)</f>
        <v>400</v>
      </c>
      <c r="AN449" s="36">
        <v>0</v>
      </c>
      <c r="AO449" s="53">
        <v>0</v>
      </c>
      <c r="AP449" s="58" t="s">
        <v>72</v>
      </c>
      <c r="AQ449" s="71">
        <f t="shared" ca="1" si="18"/>
        <v>448</v>
      </c>
    </row>
    <row r="450" spans="1:43" ht="21" customHeight="1" x14ac:dyDescent="0.15">
      <c r="A450" s="7">
        <f t="shared" ca="1" si="13"/>
        <v>449</v>
      </c>
      <c r="B450" s="6" t="str">
        <f ca="1">VLOOKUP(A450,[2]characters!$A:$C,3,FALSE)</f>
        <v>未定</v>
      </c>
      <c r="C450" s="9">
        <f ca="1">VLOOKUP(A450,[2]characters!$A:$I,9,FALSE)</f>
        <v>5</v>
      </c>
      <c r="D450" s="9" t="str">
        <f ca="1">VLOOKUP(A450,[2]characters!$A:$H,8,FALSE)</f>
        <v>blue</v>
      </c>
      <c r="E450" s="24">
        <f ca="1">VLOOKUP(D450,[2]属性!$A:$E,2,FALSE)</f>
        <v>1</v>
      </c>
      <c r="F450" s="24">
        <f ca="1">VLOOKUP(D450,[2]属性!$A:$E,3,FALSE)</f>
        <v>0.98</v>
      </c>
      <c r="G450" s="24">
        <f ca="1">VLOOKUP(D450,[2]属性!$A:$F,4,FALSE)</f>
        <v>1</v>
      </c>
      <c r="H450" s="9" t="str">
        <f ca="1">VLOOKUP(A450,[2]characters!$A:$K,11,FALSE)</f>
        <v>balance</v>
      </c>
      <c r="I450" s="14" t="str">
        <f ca="1">VLOOKUP(H450,[2]character_type_i18n!$A:$F,3,FALSE)</f>
        <v>バランスタイプ</v>
      </c>
      <c r="J450" s="36">
        <f ca="1">VLOOKUP(H450,[2]character_type_i18n!$A:$F,4,FALSE)</f>
        <v>1</v>
      </c>
      <c r="K450" s="36">
        <f ca="1">VLOOKUP(H450,[2]character_type_i18n!$A:$F,5,FALSE)</f>
        <v>1</v>
      </c>
      <c r="L450" s="36">
        <f ca="1">VLOOKUP(H450,[2]character_type_i18n!$A:$F,6,FALSE)</f>
        <v>1</v>
      </c>
      <c r="M450" s="9" t="str">
        <f ca="1">VLOOKUP(A450,[2]characters!$A:$M,13,FALSE)</f>
        <v>human</v>
      </c>
      <c r="N450" s="14" t="str">
        <f ca="1">VLOOKUP(M450,[2]character_tribe_i18n!$A:$F,3,FALSE)</f>
        <v>ヒューマン</v>
      </c>
      <c r="O450" s="24">
        <f ca="1">VLOOKUP(M450,[2]character_tribe_i18n!$A:$F,4,FALSE)</f>
        <v>0.94</v>
      </c>
      <c r="P450" s="24">
        <f ca="1">VLOOKUP(M450,[2]character_tribe_i18n!$A:$F,5,FALSE)</f>
        <v>0.99</v>
      </c>
      <c r="Q450" s="24">
        <f ca="1">VLOOKUP(M450,[2]character_tribe_i18n!$A:$F,6,FALSE)</f>
        <v>1</v>
      </c>
      <c r="R450" s="25" t="s">
        <v>98</v>
      </c>
      <c r="S450" s="24">
        <f>VLOOKUP($R450,ラベル別係数!$A$1:$E$7,3,FALSE)</f>
        <v>5</v>
      </c>
      <c r="T450" s="24">
        <f>VLOOKUP($R450,ラベル別係数!$A$1:$E$7,4,FALSE)</f>
        <v>1.3</v>
      </c>
      <c r="U450" s="24">
        <f>VLOOKUP($R450,ラベル別係数!$A$1:$E$7,5,FALSE)</f>
        <v>0.8</v>
      </c>
      <c r="V450" s="27">
        <v>3</v>
      </c>
      <c r="W450" s="28">
        <f>VLOOKUP(V450,ターン数別攻撃係数!$A$1:$B$1000,2,FALSE)</f>
        <v>1</v>
      </c>
      <c r="X450" s="9">
        <f ca="1">VLOOKUP(C450,サイズ別係数!A$2:B$9,2,FALSE)</f>
        <v>60</v>
      </c>
      <c r="Y450" s="26">
        <f ca="1">VLOOKUP($X450,サイズ別係数!$B:$E,2,FALSE)</f>
        <v>1.7</v>
      </c>
      <c r="Z450" s="26">
        <f ca="1">VLOOKUP($X450,サイズ別係数!$B:$E,3,FALSE)</f>
        <v>1.4</v>
      </c>
      <c r="AA450" s="26">
        <f ca="1">VLOOKUP($X450,サイズ別係数!$B:$E,4,FALSE)</f>
        <v>1</v>
      </c>
      <c r="AB450" s="5">
        <v>0</v>
      </c>
      <c r="AC450" s="34" t="str">
        <f ca="1">VLOOKUP($AB450,OFFSET([3]enemy_skill_sets!$B$2,0,0,COUNTA([3]enemy_skill_sets!$A:$A),MATCH(AC$1,[3]enemy_skill_sets!$1:$1,0)-MATCH($AB$1,[3]enemy_skill_sets!$1:$1,0)+1),MATCH(AC$1,[3]enemy_skill_sets!$1:$1,0)-MATCH($AB$1,[3]enemy_skill_sets!$1:$1,0)+1,FALSE)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0" s="67">
        <v>1</v>
      </c>
      <c r="AE450" s="67">
        <v>1</v>
      </c>
      <c r="AF450" s="37">
        <v>0</v>
      </c>
      <c r="AG450" s="28">
        <f ca="1">ROUND(VLOOKUP(1,enemy_base_stats!$A:$F,2,FALSE) * Y450* J450*O450*E450*S450*AD450*[2]ステータス!$B$2,0)</f>
        <v>3995</v>
      </c>
      <c r="AH450" s="28">
        <f ca="1">ROUND(VLOOKUP(1,enemy_base_stats!$A:$F,3,FALSE) * Z450*K450*P450*F450*T450*AE450 * W450*[2]ステータス!$C$2,0)</f>
        <v>265</v>
      </c>
      <c r="AI450" s="28">
        <f ca="1">ROUND(VLOOKUP(1,enemy_base_stats!$A:$F,4,FALSE) * AA450*L450*Q450*G450*U450*AF450*[2]ステータス!$D$2,0)</f>
        <v>0</v>
      </c>
      <c r="AJ450" s="28">
        <f ca="1">ROUND(VLOOKUP(100,enemy_base_stats!$A:$F,2,FALSE) * Y450* J450*O450*E450*S450*AD450*[2]ステータス!$B$2,0)</f>
        <v>162197</v>
      </c>
      <c r="AK450" s="28">
        <f ca="1">ROUND(VLOOKUP(100,enemy_base_stats!$A:$F,3,FALSE)* Z450* K450*P450*F450*T450*AE450 * W450*[2]ステータス!$C$2,0)</f>
        <v>10754</v>
      </c>
      <c r="AL450" s="28">
        <f ca="1">ROUND(VLOOKUP(100,enemy_base_stats!$A:$F,4,FALSE)* AA450* L450*Q450*G450*U450*AF450*[2]ステータス!$D$2,0)</f>
        <v>0</v>
      </c>
      <c r="AM450" s="24">
        <f ca="1">VLOOKUP(M450,[2]character_tribe_i18n!$A:$I,9,FALSE)</f>
        <v>400</v>
      </c>
      <c r="AN450" s="36">
        <v>0</v>
      </c>
      <c r="AO450" s="53">
        <v>0</v>
      </c>
      <c r="AP450" s="58" t="s">
        <v>72</v>
      </c>
      <c r="AQ450" s="71">
        <f t="shared" ca="1" si="18"/>
        <v>449</v>
      </c>
    </row>
    <row r="451" spans="1:43" ht="21" customHeight="1" x14ac:dyDescent="0.15">
      <c r="A451" s="7">
        <f t="shared" ref="A451:A514" ca="1" si="19">INDIRECT(ADDRESS(ROW(),COLUMN(),1,TRUE,"[CharacterMasterData.xlsm]characters"))</f>
        <v>450</v>
      </c>
      <c r="B451" s="6" t="str">
        <f ca="1">VLOOKUP(A451,[2]characters!$A:$C,3,FALSE)</f>
        <v>イゾルデ</v>
      </c>
      <c r="C451" s="9">
        <f ca="1">VLOOKUP(A451,[2]characters!$A:$I,9,FALSE)</f>
        <v>4</v>
      </c>
      <c r="D451" s="9" t="str">
        <f ca="1">VLOOKUP(A451,[2]characters!$A:$H,8,FALSE)</f>
        <v>yellow</v>
      </c>
      <c r="E451" s="24">
        <f ca="1">VLOOKUP(D451,[2]属性!$A:$E,2,FALSE)</f>
        <v>0.98</v>
      </c>
      <c r="F451" s="24">
        <f ca="1">VLOOKUP(D451,[2]属性!$A:$E,3,FALSE)</f>
        <v>1.01</v>
      </c>
      <c r="G451" s="24">
        <f ca="1">VLOOKUP(D451,[2]属性!$A:$F,4,FALSE)</f>
        <v>1</v>
      </c>
      <c r="H451" s="9" t="str">
        <f ca="1">VLOOKUP(A451,[2]characters!$A:$K,11,FALSE)</f>
        <v>balance</v>
      </c>
      <c r="I451" s="14" t="str">
        <f ca="1">VLOOKUP(H451,[2]character_type_i18n!$A:$F,3,FALSE)</f>
        <v>バランスタイプ</v>
      </c>
      <c r="J451" s="36">
        <f ca="1">VLOOKUP(H451,[2]character_type_i18n!$A:$F,4,FALSE)</f>
        <v>1</v>
      </c>
      <c r="K451" s="36">
        <f ca="1">VLOOKUP(H451,[2]character_type_i18n!$A:$F,5,FALSE)</f>
        <v>1</v>
      </c>
      <c r="L451" s="36">
        <f ca="1">VLOOKUP(H451,[2]character_type_i18n!$A:$F,6,FALSE)</f>
        <v>1</v>
      </c>
      <c r="M451" s="9" t="str">
        <f ca="1">VLOOKUP(A451,[2]characters!$A:$M,13,FALSE)</f>
        <v>human</v>
      </c>
      <c r="N451" s="14" t="str">
        <f ca="1">VLOOKUP(M451,[2]character_tribe_i18n!$A:$F,3,FALSE)</f>
        <v>ヒューマン</v>
      </c>
      <c r="O451" s="24">
        <f ca="1">VLOOKUP(M451,[2]character_tribe_i18n!$A:$F,4,FALSE)</f>
        <v>0.94</v>
      </c>
      <c r="P451" s="24">
        <f ca="1">VLOOKUP(M451,[2]character_tribe_i18n!$A:$F,5,FALSE)</f>
        <v>0.99</v>
      </c>
      <c r="Q451" s="24">
        <f ca="1">VLOOKUP(M451,[2]character_tribe_i18n!$A:$F,6,FALSE)</f>
        <v>1</v>
      </c>
      <c r="R451" s="25" t="s">
        <v>98</v>
      </c>
      <c r="S451" s="24">
        <f>VLOOKUP($R451,ラベル別係数!$A$1:$E$7,3,FALSE)</f>
        <v>5</v>
      </c>
      <c r="T451" s="24">
        <f>VLOOKUP($R451,ラベル別係数!$A$1:$E$7,4,FALSE)</f>
        <v>1.3</v>
      </c>
      <c r="U451" s="24">
        <f>VLOOKUP($R451,ラベル別係数!$A$1:$E$7,5,FALSE)</f>
        <v>0.8</v>
      </c>
      <c r="V451" s="27">
        <v>3</v>
      </c>
      <c r="W451" s="28">
        <f>VLOOKUP(V451,ターン数別攻撃係数!$A$1:$B$1000,2,FALSE)</f>
        <v>1</v>
      </c>
      <c r="X451" s="9">
        <f ca="1">VLOOKUP(C451,サイズ別係数!A$2:B$9,2,FALSE)</f>
        <v>30</v>
      </c>
      <c r="Y451" s="26">
        <f ca="1">VLOOKUP($X451,サイズ別係数!$B:$E,2,FALSE)</f>
        <v>1.3</v>
      </c>
      <c r="Z451" s="26">
        <f ca="1">VLOOKUP($X451,サイズ別係数!$B:$E,3,FALSE)</f>
        <v>1.3</v>
      </c>
      <c r="AA451" s="26">
        <f ca="1">VLOOKUP($X451,サイズ別係数!$B:$E,4,FALSE)</f>
        <v>1.1000000000000001</v>
      </c>
      <c r="AB451" s="5">
        <v>0</v>
      </c>
      <c r="AC451" s="34" t="str">
        <f ca="1">VLOOKUP($AB451,OFFSET([3]enemy_skill_sets!$B$2,0,0,COUNTA([3]enemy_skill_sets!$A:$A),MATCH(AC$1,[3]enemy_skill_sets!$1:$1,0)-MATCH($AB$1,[3]enemy_skill_sets!$1:$1,0)+1),MATCH(AC$1,[3]enemy_skill_sets!$1:$1,0)-MATCH($AB$1,[3]enemy_skill_sets!$1:$1,0)+1,FALSE)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1" s="67">
        <v>1</v>
      </c>
      <c r="AE451" s="67">
        <v>1</v>
      </c>
      <c r="AF451" s="37">
        <v>0</v>
      </c>
      <c r="AG451" s="28">
        <f ca="1">ROUND(VLOOKUP(1,enemy_base_stats!$A:$F,2,FALSE) * Y451* J451*O451*E451*S451*AD451*[2]ステータス!$B$2,0)</f>
        <v>2994</v>
      </c>
      <c r="AH451" s="28">
        <f ca="1">ROUND(VLOOKUP(1,enemy_base_stats!$A:$F,3,FALSE) * Z451*K451*P451*F451*T451*AE451 * W451*[2]ステータス!$C$2,0)</f>
        <v>253</v>
      </c>
      <c r="AI451" s="28">
        <f ca="1">ROUND(VLOOKUP(1,enemy_base_stats!$A:$F,4,FALSE) * AA451*L451*Q451*G451*U451*AF451*[2]ステータス!$D$2,0)</f>
        <v>0</v>
      </c>
      <c r="AJ451" s="28">
        <f ca="1">ROUND(VLOOKUP(100,enemy_base_stats!$A:$F,2,FALSE) * Y451* J451*O451*E451*S451*AD451*[2]ステータス!$B$2,0)</f>
        <v>121552</v>
      </c>
      <c r="AK451" s="28">
        <f ca="1">ROUND(VLOOKUP(100,enemy_base_stats!$A:$F,3,FALSE)* Z451* K451*P451*F451*T451*AE451 * W451*[2]ステータス!$C$2,0)</f>
        <v>10291</v>
      </c>
      <c r="AL451" s="28">
        <f ca="1">ROUND(VLOOKUP(100,enemy_base_stats!$A:$F,4,FALSE)* AA451* L451*Q451*G451*U451*AF451*[2]ステータス!$D$2,0)</f>
        <v>0</v>
      </c>
      <c r="AM451" s="24">
        <f ca="1">VLOOKUP(M451,[2]character_tribe_i18n!$A:$I,9,FALSE)</f>
        <v>400</v>
      </c>
      <c r="AN451" s="36">
        <v>0</v>
      </c>
      <c r="AO451" s="53">
        <v>0</v>
      </c>
      <c r="AP451" s="58" t="s">
        <v>72</v>
      </c>
      <c r="AQ451" s="71">
        <f t="shared" ca="1" si="18"/>
        <v>450</v>
      </c>
    </row>
    <row r="452" spans="1:43" ht="21" customHeight="1" x14ac:dyDescent="0.15">
      <c r="A452" s="7">
        <f t="shared" ca="1" si="19"/>
        <v>451</v>
      </c>
      <c r="B452" s="6" t="str">
        <f ca="1">VLOOKUP(A452,[2]characters!$A:$C,3,FALSE)</f>
        <v>シルエットオーディン2</v>
      </c>
      <c r="C452" s="9">
        <f ca="1">VLOOKUP(A452,[2]characters!$A:$I,9,FALSE)</f>
        <v>5</v>
      </c>
      <c r="D452" s="9" t="str">
        <f ca="1">VLOOKUP(A452,[2]characters!$A:$H,8,FALSE)</f>
        <v>blue</v>
      </c>
      <c r="E452" s="24">
        <f ca="1">VLOOKUP(D452,[2]属性!$A:$E,2,FALSE)</f>
        <v>1</v>
      </c>
      <c r="F452" s="24">
        <f ca="1">VLOOKUP(D452,[2]属性!$A:$E,3,FALSE)</f>
        <v>0.98</v>
      </c>
      <c r="G452" s="24">
        <f ca="1">VLOOKUP(D452,[2]属性!$A:$F,4,FALSE)</f>
        <v>1</v>
      </c>
      <c r="H452" s="9" t="str">
        <f ca="1">VLOOKUP(A452,[2]characters!$A:$K,11,FALSE)</f>
        <v>balance</v>
      </c>
      <c r="I452" s="14" t="str">
        <f ca="1">VLOOKUP(H452,[2]character_type_i18n!$A:$F,3,FALSE)</f>
        <v>バランスタイプ</v>
      </c>
      <c r="J452" s="36">
        <f ca="1">VLOOKUP(H452,[2]character_type_i18n!$A:$F,4,FALSE)</f>
        <v>1</v>
      </c>
      <c r="K452" s="36">
        <f ca="1">VLOOKUP(H452,[2]character_type_i18n!$A:$F,5,FALSE)</f>
        <v>1</v>
      </c>
      <c r="L452" s="36">
        <f ca="1">VLOOKUP(H452,[2]character_type_i18n!$A:$F,6,FALSE)</f>
        <v>1</v>
      </c>
      <c r="M452" s="9" t="str">
        <f ca="1">VLOOKUP(A452,[2]characters!$A:$M,13,FALSE)</f>
        <v>human</v>
      </c>
      <c r="N452" s="14" t="str">
        <f ca="1">VLOOKUP(M452,[2]character_tribe_i18n!$A:$F,3,FALSE)</f>
        <v>ヒューマン</v>
      </c>
      <c r="O452" s="24">
        <f ca="1">VLOOKUP(M452,[2]character_tribe_i18n!$A:$F,4,FALSE)</f>
        <v>0.94</v>
      </c>
      <c r="P452" s="24">
        <f ca="1">VLOOKUP(M452,[2]character_tribe_i18n!$A:$F,5,FALSE)</f>
        <v>0.99</v>
      </c>
      <c r="Q452" s="24">
        <f ca="1">VLOOKUP(M452,[2]character_tribe_i18n!$A:$F,6,FALSE)</f>
        <v>1</v>
      </c>
      <c r="R452" s="25" t="s">
        <v>98</v>
      </c>
      <c r="S452" s="24">
        <f>VLOOKUP($R452,ラベル別係数!$A$1:$E$7,3,FALSE)</f>
        <v>5</v>
      </c>
      <c r="T452" s="24">
        <f>VLOOKUP($R452,ラベル別係数!$A$1:$E$7,4,FALSE)</f>
        <v>1.3</v>
      </c>
      <c r="U452" s="24">
        <f>VLOOKUP($R452,ラベル別係数!$A$1:$E$7,5,FALSE)</f>
        <v>0.8</v>
      </c>
      <c r="V452" s="27">
        <v>3</v>
      </c>
      <c r="W452" s="28">
        <f>VLOOKUP(V452,ターン数別攻撃係数!$A$1:$B$1000,2,FALSE)</f>
        <v>1</v>
      </c>
      <c r="X452" s="9">
        <f ca="1">VLOOKUP(C452,サイズ別係数!A$2:B$9,2,FALSE)</f>
        <v>60</v>
      </c>
      <c r="Y452" s="26">
        <f ca="1">VLOOKUP($X452,サイズ別係数!$B:$E,2,FALSE)</f>
        <v>1.7</v>
      </c>
      <c r="Z452" s="26">
        <f ca="1">VLOOKUP($X452,サイズ別係数!$B:$E,3,FALSE)</f>
        <v>1.4</v>
      </c>
      <c r="AA452" s="26">
        <f ca="1">VLOOKUP($X452,サイズ別係数!$B:$E,4,FALSE)</f>
        <v>1</v>
      </c>
      <c r="AB452" s="5">
        <v>0</v>
      </c>
      <c r="AC452" s="34" t="str">
        <f ca="1">VLOOKUP($AB452,OFFSET([3]enemy_skill_sets!$B$2,0,0,COUNTA([3]enemy_skill_sets!$A:$A),MATCH(AC$1,[3]enemy_skill_sets!$1:$1,0)-MATCH($AB$1,[3]enemy_skill_sets!$1:$1,0)+1),MATCH(AC$1,[3]enemy_skill_sets!$1:$1,0)-MATCH($AB$1,[3]enemy_skill_sets!$1:$1,0)+1,FALSE)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2" s="67">
        <v>1</v>
      </c>
      <c r="AE452" s="67">
        <v>1</v>
      </c>
      <c r="AF452" s="37">
        <v>0</v>
      </c>
      <c r="AG452" s="28">
        <f ca="1">ROUND(VLOOKUP(1,enemy_base_stats!$A:$F,2,FALSE) * Y452* J452*O452*E452*S452*AD452*[2]ステータス!$B$2,0)</f>
        <v>3995</v>
      </c>
      <c r="AH452" s="28">
        <f ca="1">ROUND(VLOOKUP(1,enemy_base_stats!$A:$F,3,FALSE) * Z452*K452*P452*F452*T452*AE452 * W452*[2]ステータス!$C$2,0)</f>
        <v>265</v>
      </c>
      <c r="AI452" s="28">
        <f ca="1">ROUND(VLOOKUP(1,enemy_base_stats!$A:$F,4,FALSE) * AA452*L452*Q452*G452*U452*AF452*[2]ステータス!$D$2,0)</f>
        <v>0</v>
      </c>
      <c r="AJ452" s="28">
        <f ca="1">ROUND(VLOOKUP(100,enemy_base_stats!$A:$F,2,FALSE) * Y452* J452*O452*E452*S452*AD452*[2]ステータス!$B$2,0)</f>
        <v>162197</v>
      </c>
      <c r="AK452" s="28">
        <f ca="1">ROUND(VLOOKUP(100,enemy_base_stats!$A:$F,3,FALSE)* Z452* K452*P452*F452*T452*AE452 * W452*[2]ステータス!$C$2,0)</f>
        <v>10754</v>
      </c>
      <c r="AL452" s="28">
        <f ca="1">ROUND(VLOOKUP(100,enemy_base_stats!$A:$F,4,FALSE)* AA452* L452*Q452*G452*U452*AF452*[2]ステータス!$D$2,0)</f>
        <v>0</v>
      </c>
      <c r="AM452" s="24">
        <f ca="1">VLOOKUP(M452,[2]character_tribe_i18n!$A:$I,9,FALSE)</f>
        <v>400</v>
      </c>
      <c r="AN452" s="36">
        <v>0</v>
      </c>
      <c r="AO452" s="53">
        <v>0</v>
      </c>
      <c r="AP452" s="58" t="s">
        <v>72</v>
      </c>
      <c r="AQ452" s="71">
        <f t="shared" ca="1" si="18"/>
        <v>451</v>
      </c>
    </row>
    <row r="453" spans="1:43" ht="21" customHeight="1" x14ac:dyDescent="0.15">
      <c r="A453" s="7">
        <f t="shared" ca="1" si="19"/>
        <v>452</v>
      </c>
      <c r="B453" s="6" t="str">
        <f ca="1">VLOOKUP(A453,[2]characters!$A:$C,3,FALSE)</f>
        <v>猛狐 エゾ</v>
      </c>
      <c r="C453" s="9">
        <f ca="1">VLOOKUP(A453,[2]characters!$A:$I,9,FALSE)</f>
        <v>4</v>
      </c>
      <c r="D453" s="9" t="str">
        <f ca="1">VLOOKUP(A453,[2]characters!$A:$H,8,FALSE)</f>
        <v>red</v>
      </c>
      <c r="E453" s="24">
        <f ca="1">VLOOKUP(D453,[2]属性!$A:$E,2,FALSE)</f>
        <v>1</v>
      </c>
      <c r="F453" s="24">
        <f ca="1">VLOOKUP(D453,[2]属性!$A:$E,3,FALSE)</f>
        <v>1.02</v>
      </c>
      <c r="G453" s="24">
        <f ca="1">VLOOKUP(D453,[2]属性!$A:$F,4,FALSE)</f>
        <v>1</v>
      </c>
      <c r="H453" s="9" t="str">
        <f ca="1">VLOOKUP(A453,[2]characters!$A:$K,11,FALSE)</f>
        <v>balance</v>
      </c>
      <c r="I453" s="14" t="str">
        <f ca="1">VLOOKUP(H453,[2]character_type_i18n!$A:$F,3,FALSE)</f>
        <v>バランスタイプ</v>
      </c>
      <c r="J453" s="36">
        <f ca="1">VLOOKUP(H453,[2]character_type_i18n!$A:$F,4,FALSE)</f>
        <v>1</v>
      </c>
      <c r="K453" s="36">
        <f ca="1">VLOOKUP(H453,[2]character_type_i18n!$A:$F,5,FALSE)</f>
        <v>1</v>
      </c>
      <c r="L453" s="36">
        <f ca="1">VLOOKUP(H453,[2]character_type_i18n!$A:$F,6,FALSE)</f>
        <v>1</v>
      </c>
      <c r="M453" s="9" t="str">
        <f ca="1">VLOOKUP(A453,[2]characters!$A:$M,13,FALSE)</f>
        <v>animal</v>
      </c>
      <c r="N453" s="14" t="str">
        <f ca="1">VLOOKUP(M453,[2]character_tribe_i18n!$A:$F,3,FALSE)</f>
        <v>アニマル</v>
      </c>
      <c r="O453" s="24">
        <f ca="1">VLOOKUP(M453,[2]character_tribe_i18n!$A:$F,4,FALSE)</f>
        <v>1</v>
      </c>
      <c r="P453" s="24">
        <f ca="1">VLOOKUP(M453,[2]character_tribe_i18n!$A:$F,5,FALSE)</f>
        <v>1.1000000000000001</v>
      </c>
      <c r="Q453" s="24">
        <f ca="1">VLOOKUP(M453,[2]character_tribe_i18n!$A:$F,6,FALSE)</f>
        <v>1</v>
      </c>
      <c r="R453" s="25" t="s">
        <v>98</v>
      </c>
      <c r="S453" s="24">
        <f>VLOOKUP($R453,ラベル別係数!$A$1:$E$7,3,FALSE)</f>
        <v>5</v>
      </c>
      <c r="T453" s="24">
        <f>VLOOKUP($R453,ラベル別係数!$A$1:$E$7,4,FALSE)</f>
        <v>1.3</v>
      </c>
      <c r="U453" s="24">
        <f>VLOOKUP($R453,ラベル別係数!$A$1:$E$7,5,FALSE)</f>
        <v>0.8</v>
      </c>
      <c r="V453" s="27">
        <v>3</v>
      </c>
      <c r="W453" s="28">
        <f>VLOOKUP(V453,ターン数別攻撃係数!$A$1:$B$1000,2,FALSE)</f>
        <v>1</v>
      </c>
      <c r="X453" s="9">
        <f ca="1">VLOOKUP(C453,サイズ別係数!A$2:B$9,2,FALSE)</f>
        <v>30</v>
      </c>
      <c r="Y453" s="26">
        <f ca="1">VLOOKUP($X453,サイズ別係数!$B:$E,2,FALSE)</f>
        <v>1.3</v>
      </c>
      <c r="Z453" s="26">
        <f ca="1">VLOOKUP($X453,サイズ別係数!$B:$E,3,FALSE)</f>
        <v>1.3</v>
      </c>
      <c r="AA453" s="26">
        <f ca="1">VLOOKUP($X453,サイズ別係数!$B:$E,4,FALSE)</f>
        <v>1.1000000000000001</v>
      </c>
      <c r="AB453" s="5">
        <v>0</v>
      </c>
      <c r="AC453" s="34" t="str">
        <f ca="1">VLOOKUP($AB453,OFFSET([3]enemy_skill_sets!$B$2,0,0,COUNTA([3]enemy_skill_sets!$A:$A),MATCH(AC$1,[3]enemy_skill_sets!$1:$1,0)-MATCH($AB$1,[3]enemy_skill_sets!$1:$1,0)+1),MATCH(AC$1,[3]enemy_skill_sets!$1:$1,0)-MATCH($AB$1,[3]enemy_skill_sets!$1:$1,0)+1,FALSE)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3" s="67">
        <v>1</v>
      </c>
      <c r="AE453" s="67">
        <v>1</v>
      </c>
      <c r="AF453" s="37">
        <v>0</v>
      </c>
      <c r="AG453" s="28">
        <f ca="1">ROUND(VLOOKUP(1,enemy_base_stats!$A:$F,2,FALSE) * Y453* J453*O453*E453*S453*AD453*[2]ステータス!$B$2,0)</f>
        <v>3250</v>
      </c>
      <c r="AH453" s="28">
        <f ca="1">ROUND(VLOOKUP(1,enemy_base_stats!$A:$F,3,FALSE) * Z453*K453*P453*F453*T453*AE453 * W453*[2]ステータス!$C$2,0)</f>
        <v>284</v>
      </c>
      <c r="AI453" s="28">
        <f ca="1">ROUND(VLOOKUP(1,enemy_base_stats!$A:$F,4,FALSE) * AA453*L453*Q453*G453*U453*AF453*[2]ステータス!$D$2,0)</f>
        <v>0</v>
      </c>
      <c r="AJ453" s="28">
        <f ca="1">ROUND(VLOOKUP(100,enemy_base_stats!$A:$F,2,FALSE) * Y453* J453*O453*E453*S453*AD453*[2]ステータス!$B$2,0)</f>
        <v>131950</v>
      </c>
      <c r="AK453" s="28">
        <f ca="1">ROUND(VLOOKUP(100,enemy_base_stats!$A:$F,3,FALSE)* Z453* K453*P453*F453*T453*AE453 * W453*[2]ステータス!$C$2,0)</f>
        <v>11548</v>
      </c>
      <c r="AL453" s="28">
        <f ca="1">ROUND(VLOOKUP(100,enemy_base_stats!$A:$F,4,FALSE)* AA453* L453*Q453*G453*U453*AF453*[2]ステータス!$D$2,0)</f>
        <v>0</v>
      </c>
      <c r="AM453" s="24">
        <f ca="1">VLOOKUP(M453,[2]character_tribe_i18n!$A:$I,9,FALSE)</f>
        <v>480</v>
      </c>
      <c r="AN453" s="36">
        <v>0</v>
      </c>
      <c r="AO453" s="53">
        <v>0</v>
      </c>
      <c r="AP453" s="58" t="s">
        <v>72</v>
      </c>
      <c r="AQ453" s="71">
        <f t="shared" ref="AQ453:AQ460" ca="1" si="20">A453</f>
        <v>452</v>
      </c>
    </row>
    <row r="454" spans="1:43" ht="21" customHeight="1" x14ac:dyDescent="0.15">
      <c r="A454" s="7">
        <f t="shared" ca="1" si="19"/>
        <v>453</v>
      </c>
      <c r="B454" s="6" t="str">
        <f ca="1">VLOOKUP(A454,[2]characters!$A:$C,3,FALSE)</f>
        <v>急尾の猛狐 エゾ</v>
      </c>
      <c r="C454" s="9">
        <f ca="1">VLOOKUP(A454,[2]characters!$A:$I,9,FALSE)</f>
        <v>5</v>
      </c>
      <c r="D454" s="9" t="str">
        <f ca="1">VLOOKUP(A454,[2]characters!$A:$H,8,FALSE)</f>
        <v>red</v>
      </c>
      <c r="E454" s="24">
        <f ca="1">VLOOKUP(D454,[2]属性!$A:$E,2,FALSE)</f>
        <v>1</v>
      </c>
      <c r="F454" s="24">
        <f ca="1">VLOOKUP(D454,[2]属性!$A:$E,3,FALSE)</f>
        <v>1.02</v>
      </c>
      <c r="G454" s="24">
        <f ca="1">VLOOKUP(D454,[2]属性!$A:$F,4,FALSE)</f>
        <v>1</v>
      </c>
      <c r="H454" s="9" t="str">
        <f ca="1">VLOOKUP(A454,[2]characters!$A:$K,11,FALSE)</f>
        <v>balance</v>
      </c>
      <c r="I454" s="14" t="str">
        <f ca="1">VLOOKUP(H454,[2]character_type_i18n!$A:$F,3,FALSE)</f>
        <v>バランスタイプ</v>
      </c>
      <c r="J454" s="36">
        <f ca="1">VLOOKUP(H454,[2]character_type_i18n!$A:$F,4,FALSE)</f>
        <v>1</v>
      </c>
      <c r="K454" s="36">
        <f ca="1">VLOOKUP(H454,[2]character_type_i18n!$A:$F,5,FALSE)</f>
        <v>1</v>
      </c>
      <c r="L454" s="36">
        <f ca="1">VLOOKUP(H454,[2]character_type_i18n!$A:$F,6,FALSE)</f>
        <v>1</v>
      </c>
      <c r="M454" s="9" t="str">
        <f ca="1">VLOOKUP(A454,[2]characters!$A:$M,13,FALSE)</f>
        <v>animal</v>
      </c>
      <c r="N454" s="14" t="str">
        <f ca="1">VLOOKUP(M454,[2]character_tribe_i18n!$A:$F,3,FALSE)</f>
        <v>アニマル</v>
      </c>
      <c r="O454" s="24">
        <f ca="1">VLOOKUP(M454,[2]character_tribe_i18n!$A:$F,4,FALSE)</f>
        <v>1</v>
      </c>
      <c r="P454" s="24">
        <f ca="1">VLOOKUP(M454,[2]character_tribe_i18n!$A:$F,5,FALSE)</f>
        <v>1.1000000000000001</v>
      </c>
      <c r="Q454" s="24">
        <f ca="1">VLOOKUP(M454,[2]character_tribe_i18n!$A:$F,6,FALSE)</f>
        <v>1</v>
      </c>
      <c r="R454" s="25" t="s">
        <v>98</v>
      </c>
      <c r="S454" s="24">
        <f>VLOOKUP($R454,ラベル別係数!$A$1:$E$7,3,FALSE)</f>
        <v>5</v>
      </c>
      <c r="T454" s="24">
        <f>VLOOKUP($R454,ラベル別係数!$A$1:$E$7,4,FALSE)</f>
        <v>1.3</v>
      </c>
      <c r="U454" s="24">
        <f>VLOOKUP($R454,ラベル別係数!$A$1:$E$7,5,FALSE)</f>
        <v>0.8</v>
      </c>
      <c r="V454" s="27">
        <v>3</v>
      </c>
      <c r="W454" s="28">
        <f>VLOOKUP(V454,ターン数別攻撃係数!$A$1:$B$1000,2,FALSE)</f>
        <v>1</v>
      </c>
      <c r="X454" s="9">
        <f ca="1">VLOOKUP(C454,サイズ別係数!A$2:B$9,2,FALSE)</f>
        <v>60</v>
      </c>
      <c r="Y454" s="26">
        <f ca="1">VLOOKUP($X454,サイズ別係数!$B:$E,2,FALSE)</f>
        <v>1.7</v>
      </c>
      <c r="Z454" s="26">
        <f ca="1">VLOOKUP($X454,サイズ別係数!$B:$E,3,FALSE)</f>
        <v>1.4</v>
      </c>
      <c r="AA454" s="26">
        <f ca="1">VLOOKUP($X454,サイズ別係数!$B:$E,4,FALSE)</f>
        <v>1</v>
      </c>
      <c r="AB454" s="5">
        <v>0</v>
      </c>
      <c r="AC454" s="34" t="str">
        <f ca="1">VLOOKUP($AB454,OFFSET([3]enemy_skill_sets!$B$2,0,0,COUNTA([3]enemy_skill_sets!$A:$A),MATCH(AC$1,[3]enemy_skill_sets!$1:$1,0)-MATCH($AB$1,[3]enemy_skill_sets!$1:$1,0)+1),MATCH(AC$1,[3]enemy_skill_sets!$1:$1,0)-MATCH($AB$1,[3]enemy_skill_sets!$1:$1,0)+1,FALSE)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4" s="67">
        <v>1</v>
      </c>
      <c r="AE454" s="67">
        <v>1</v>
      </c>
      <c r="AF454" s="37">
        <v>0</v>
      </c>
      <c r="AG454" s="28">
        <f ca="1">ROUND(VLOOKUP(1,enemy_base_stats!$A:$F,2,FALSE) * Y454* J454*O454*E454*S454*AD454*[2]ステータス!$B$2,0)</f>
        <v>4250</v>
      </c>
      <c r="AH454" s="28">
        <f ca="1">ROUND(VLOOKUP(1,enemy_base_stats!$A:$F,3,FALSE) * Z454*K454*P454*F454*T454*AE454 * W454*[2]ステータス!$C$2,0)</f>
        <v>306</v>
      </c>
      <c r="AI454" s="28">
        <f ca="1">ROUND(VLOOKUP(1,enemy_base_stats!$A:$F,4,FALSE) * AA454*L454*Q454*G454*U454*AF454*[2]ステータス!$D$2,0)</f>
        <v>0</v>
      </c>
      <c r="AJ454" s="28">
        <f ca="1">ROUND(VLOOKUP(100,enemy_base_stats!$A:$F,2,FALSE) * Y454* J454*O454*E454*S454*AD454*[2]ステータス!$B$2,0)</f>
        <v>172550</v>
      </c>
      <c r="AK454" s="28">
        <f ca="1">ROUND(VLOOKUP(100,enemy_base_stats!$A:$F,3,FALSE)* Z454* K454*P454*F454*T454*AE454 * W454*[2]ステータス!$C$2,0)</f>
        <v>12436</v>
      </c>
      <c r="AL454" s="28">
        <f ca="1">ROUND(VLOOKUP(100,enemy_base_stats!$A:$F,4,FALSE)* AA454* L454*Q454*G454*U454*AF454*[2]ステータス!$D$2,0)</f>
        <v>0</v>
      </c>
      <c r="AM454" s="24">
        <f ca="1">VLOOKUP(M454,[2]character_tribe_i18n!$A:$I,9,FALSE)</f>
        <v>480</v>
      </c>
      <c r="AN454" s="36">
        <v>0</v>
      </c>
      <c r="AO454" s="53">
        <v>0</v>
      </c>
      <c r="AP454" s="58" t="s">
        <v>72</v>
      </c>
      <c r="AQ454" s="71">
        <f t="shared" ca="1" si="20"/>
        <v>453</v>
      </c>
    </row>
    <row r="455" spans="1:43" ht="21" customHeight="1" x14ac:dyDescent="0.15">
      <c r="A455" s="7">
        <f t="shared" ca="1" si="19"/>
        <v>454</v>
      </c>
      <c r="B455" s="6" t="str">
        <f ca="1">VLOOKUP(A455,[2]characters!$A:$C,3,FALSE)</f>
        <v>二闘 レッサとギガン</v>
      </c>
      <c r="C455" s="9">
        <f ca="1">VLOOKUP(A455,[2]characters!$A:$I,9,FALSE)</f>
        <v>4</v>
      </c>
      <c r="D455" s="9" t="str">
        <f ca="1">VLOOKUP(A455,[2]characters!$A:$H,8,FALSE)</f>
        <v>green</v>
      </c>
      <c r="E455" s="24">
        <f ca="1">VLOOKUP(D455,[2]属性!$A:$E,2,FALSE)</f>
        <v>1.02</v>
      </c>
      <c r="F455" s="24">
        <f ca="1">VLOOKUP(D455,[2]属性!$A:$E,3,FALSE)</f>
        <v>0.98</v>
      </c>
      <c r="G455" s="24">
        <f ca="1">VLOOKUP(D455,[2]属性!$A:$F,4,FALSE)</f>
        <v>1</v>
      </c>
      <c r="H455" s="9" t="str">
        <f ca="1">VLOOKUP(A455,[2]characters!$A:$K,11,FALSE)</f>
        <v>hp</v>
      </c>
      <c r="I455" s="14" t="str">
        <f ca="1">VLOOKUP(H455,[2]character_type_i18n!$A:$F,3,FALSE)</f>
        <v>体力タイプ</v>
      </c>
      <c r="J455" s="36">
        <f ca="1">VLOOKUP(H455,[2]character_type_i18n!$A:$F,4,FALSE)</f>
        <v>1.45</v>
      </c>
      <c r="K455" s="36">
        <f ca="1">VLOOKUP(H455,[2]character_type_i18n!$A:$F,5,FALSE)</f>
        <v>0.85</v>
      </c>
      <c r="L455" s="36">
        <f ca="1">VLOOKUP(H455,[2]character_type_i18n!$A:$F,6,FALSE)</f>
        <v>1</v>
      </c>
      <c r="M455" s="9" t="str">
        <f ca="1">VLOOKUP(A455,[2]characters!$A:$M,13,FALSE)</f>
        <v>human</v>
      </c>
      <c r="N455" s="14" t="str">
        <f ca="1">VLOOKUP(M455,[2]character_tribe_i18n!$A:$F,3,FALSE)</f>
        <v>ヒューマン</v>
      </c>
      <c r="O455" s="24">
        <f ca="1">VLOOKUP(M455,[2]character_tribe_i18n!$A:$F,4,FALSE)</f>
        <v>0.94</v>
      </c>
      <c r="P455" s="24">
        <f ca="1">VLOOKUP(M455,[2]character_tribe_i18n!$A:$F,5,FALSE)</f>
        <v>0.99</v>
      </c>
      <c r="Q455" s="24">
        <f ca="1">VLOOKUP(M455,[2]character_tribe_i18n!$A:$F,6,FALSE)</f>
        <v>1</v>
      </c>
      <c r="R455" s="25" t="s">
        <v>98</v>
      </c>
      <c r="S455" s="24">
        <f>VLOOKUP($R455,ラベル別係数!$A$1:$E$7,3,FALSE)</f>
        <v>5</v>
      </c>
      <c r="T455" s="24">
        <f>VLOOKUP($R455,ラベル別係数!$A$1:$E$7,4,FALSE)</f>
        <v>1.3</v>
      </c>
      <c r="U455" s="24">
        <f>VLOOKUP($R455,ラベル別係数!$A$1:$E$7,5,FALSE)</f>
        <v>0.8</v>
      </c>
      <c r="V455" s="27">
        <v>3</v>
      </c>
      <c r="W455" s="28">
        <f>VLOOKUP(V455,ターン数別攻撃係数!$A$1:$B$1000,2,FALSE)</f>
        <v>1</v>
      </c>
      <c r="X455" s="9">
        <f ca="1">VLOOKUP(C455,サイズ別係数!A$2:B$9,2,FALSE)</f>
        <v>30</v>
      </c>
      <c r="Y455" s="26">
        <f ca="1">VLOOKUP($X455,サイズ別係数!$B:$E,2,FALSE)</f>
        <v>1.3</v>
      </c>
      <c r="Z455" s="26">
        <f ca="1">VLOOKUP($X455,サイズ別係数!$B:$E,3,FALSE)</f>
        <v>1.3</v>
      </c>
      <c r="AA455" s="26">
        <f ca="1">VLOOKUP($X455,サイズ別係数!$B:$E,4,FALSE)</f>
        <v>1.1000000000000001</v>
      </c>
      <c r="AB455" s="5">
        <v>0</v>
      </c>
      <c r="AC455" s="34" t="str">
        <f ca="1">VLOOKUP($AB455,OFFSET([3]enemy_skill_sets!$B$2,0,0,COUNTA([3]enemy_skill_sets!$A:$A),MATCH(AC$1,[3]enemy_skill_sets!$1:$1,0)-MATCH($AB$1,[3]enemy_skill_sets!$1:$1,0)+1),MATCH(AC$1,[3]enemy_skill_sets!$1:$1,0)-MATCH($AB$1,[3]enemy_skill_sets!$1:$1,0)+1,FALSE)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5" s="67">
        <v>1</v>
      </c>
      <c r="AE455" s="67">
        <v>1</v>
      </c>
      <c r="AF455" s="37">
        <v>0</v>
      </c>
      <c r="AG455" s="28">
        <f ca="1">ROUND(VLOOKUP(1,enemy_base_stats!$A:$F,2,FALSE) * Y455* J455*O455*E455*S455*AD455*[2]ステータス!$B$2,0)</f>
        <v>4518</v>
      </c>
      <c r="AH455" s="28">
        <f ca="1">ROUND(VLOOKUP(1,enemy_base_stats!$A:$F,3,FALSE) * Z455*K455*P455*F455*T455*AE455 * W455*[2]ステータス!$C$2,0)</f>
        <v>209</v>
      </c>
      <c r="AI455" s="28">
        <f ca="1">ROUND(VLOOKUP(1,enemy_base_stats!$A:$F,4,FALSE) * AA455*L455*Q455*G455*U455*AF455*[2]ステータス!$D$2,0)</f>
        <v>0</v>
      </c>
      <c r="AJ455" s="28">
        <f ca="1">ROUND(VLOOKUP(100,enemy_base_stats!$A:$F,2,FALSE) * Y455* J455*O455*E455*S455*AD455*[2]ステータス!$B$2,0)</f>
        <v>183445</v>
      </c>
      <c r="AK455" s="28">
        <f ca="1">ROUND(VLOOKUP(100,enemy_base_stats!$A:$F,3,FALSE)* Z455* K455*P455*F455*T455*AE455 * W455*[2]ステータス!$C$2,0)</f>
        <v>8488</v>
      </c>
      <c r="AL455" s="28">
        <f ca="1">ROUND(VLOOKUP(100,enemy_base_stats!$A:$F,4,FALSE)* AA455* L455*Q455*G455*U455*AF455*[2]ステータス!$D$2,0)</f>
        <v>0</v>
      </c>
      <c r="AM455" s="24">
        <f ca="1">VLOOKUP(M455,[2]character_tribe_i18n!$A:$I,9,FALSE)</f>
        <v>400</v>
      </c>
      <c r="AN455" s="36">
        <v>0</v>
      </c>
      <c r="AO455" s="53">
        <v>0</v>
      </c>
      <c r="AP455" s="58" t="s">
        <v>72</v>
      </c>
      <c r="AQ455" s="71">
        <f t="shared" ca="1" si="20"/>
        <v>454</v>
      </c>
    </row>
    <row r="456" spans="1:43" ht="21" customHeight="1" x14ac:dyDescent="0.15">
      <c r="A456" s="7">
        <f t="shared" ca="1" si="19"/>
        <v>455</v>
      </c>
      <c r="B456" s="6" t="str">
        <f ca="1">VLOOKUP(A456,[2]characters!$A:$C,3,FALSE)</f>
        <v>廃街の二闘 レッサとギガン</v>
      </c>
      <c r="C456" s="9">
        <f ca="1">VLOOKUP(A456,[2]characters!$A:$I,9,FALSE)</f>
        <v>5</v>
      </c>
      <c r="D456" s="9" t="str">
        <f ca="1">VLOOKUP(A456,[2]characters!$A:$H,8,FALSE)</f>
        <v>green</v>
      </c>
      <c r="E456" s="24">
        <f ca="1">VLOOKUP(D456,[2]属性!$A:$E,2,FALSE)</f>
        <v>1.02</v>
      </c>
      <c r="F456" s="24">
        <f ca="1">VLOOKUP(D456,[2]属性!$A:$E,3,FALSE)</f>
        <v>0.98</v>
      </c>
      <c r="G456" s="24">
        <f ca="1">VLOOKUP(D456,[2]属性!$A:$F,4,FALSE)</f>
        <v>1</v>
      </c>
      <c r="H456" s="9" t="str">
        <f ca="1">VLOOKUP(A456,[2]characters!$A:$K,11,FALSE)</f>
        <v>hp</v>
      </c>
      <c r="I456" s="14" t="str">
        <f ca="1">VLOOKUP(H456,[2]character_type_i18n!$A:$F,3,FALSE)</f>
        <v>体力タイプ</v>
      </c>
      <c r="J456" s="36">
        <f ca="1">VLOOKUP(H456,[2]character_type_i18n!$A:$F,4,FALSE)</f>
        <v>1.45</v>
      </c>
      <c r="K456" s="36">
        <f ca="1">VLOOKUP(H456,[2]character_type_i18n!$A:$F,5,FALSE)</f>
        <v>0.85</v>
      </c>
      <c r="L456" s="36">
        <f ca="1">VLOOKUP(H456,[2]character_type_i18n!$A:$F,6,FALSE)</f>
        <v>1</v>
      </c>
      <c r="M456" s="9" t="str">
        <f ca="1">VLOOKUP(A456,[2]characters!$A:$M,13,FALSE)</f>
        <v>human</v>
      </c>
      <c r="N456" s="14" t="str">
        <f ca="1">VLOOKUP(M456,[2]character_tribe_i18n!$A:$F,3,FALSE)</f>
        <v>ヒューマン</v>
      </c>
      <c r="O456" s="24">
        <f ca="1">VLOOKUP(M456,[2]character_tribe_i18n!$A:$F,4,FALSE)</f>
        <v>0.94</v>
      </c>
      <c r="P456" s="24">
        <f ca="1">VLOOKUP(M456,[2]character_tribe_i18n!$A:$F,5,FALSE)</f>
        <v>0.99</v>
      </c>
      <c r="Q456" s="24">
        <f ca="1">VLOOKUP(M456,[2]character_tribe_i18n!$A:$F,6,FALSE)</f>
        <v>1</v>
      </c>
      <c r="R456" s="25" t="s">
        <v>98</v>
      </c>
      <c r="S456" s="24">
        <f>VLOOKUP($R456,ラベル別係数!$A$1:$E$7,3,FALSE)</f>
        <v>5</v>
      </c>
      <c r="T456" s="24">
        <f>VLOOKUP($R456,ラベル別係数!$A$1:$E$7,4,FALSE)</f>
        <v>1.3</v>
      </c>
      <c r="U456" s="24">
        <f>VLOOKUP($R456,ラベル別係数!$A$1:$E$7,5,FALSE)</f>
        <v>0.8</v>
      </c>
      <c r="V456" s="27">
        <v>3</v>
      </c>
      <c r="W456" s="28">
        <f>VLOOKUP(V456,ターン数別攻撃係数!$A$1:$B$1000,2,FALSE)</f>
        <v>1</v>
      </c>
      <c r="X456" s="9">
        <f ca="1">VLOOKUP(C456,サイズ別係数!A$2:B$9,2,FALSE)</f>
        <v>60</v>
      </c>
      <c r="Y456" s="26">
        <f ca="1">VLOOKUP($X456,サイズ別係数!$B:$E,2,FALSE)</f>
        <v>1.7</v>
      </c>
      <c r="Z456" s="26">
        <f ca="1">VLOOKUP($X456,サイズ別係数!$B:$E,3,FALSE)</f>
        <v>1.4</v>
      </c>
      <c r="AA456" s="26">
        <f ca="1">VLOOKUP($X456,サイズ別係数!$B:$E,4,FALSE)</f>
        <v>1</v>
      </c>
      <c r="AB456" s="5">
        <v>0</v>
      </c>
      <c r="AC456" s="34" t="str">
        <f ca="1">VLOOKUP($AB456,OFFSET([3]enemy_skill_sets!$B$2,0,0,COUNTA([3]enemy_skill_sets!$A:$A),MATCH(AC$1,[3]enemy_skill_sets!$1:$1,0)-MATCH($AB$1,[3]enemy_skill_sets!$1:$1,0)+1),MATCH(AC$1,[3]enemy_skill_sets!$1:$1,0)-MATCH($AB$1,[3]enemy_skill_sets!$1:$1,0)+1,FALSE)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6" s="67">
        <v>1</v>
      </c>
      <c r="AE456" s="67">
        <v>1</v>
      </c>
      <c r="AF456" s="37">
        <v>0</v>
      </c>
      <c r="AG456" s="28">
        <f ca="1">ROUND(VLOOKUP(1,enemy_base_stats!$A:$F,2,FALSE) * Y456* J456*O456*E456*S456*AD456*[2]ステータス!$B$2,0)</f>
        <v>5909</v>
      </c>
      <c r="AH456" s="28">
        <f ca="1">ROUND(VLOOKUP(1,enemy_base_stats!$A:$F,3,FALSE) * Z456*K456*P456*F456*T456*AE456 * W456*[2]ステータス!$C$2,0)</f>
        <v>225</v>
      </c>
      <c r="AI456" s="28">
        <f ca="1">ROUND(VLOOKUP(1,enemy_base_stats!$A:$F,4,FALSE) * AA456*L456*Q456*G456*U456*AF456*[2]ステータス!$D$2,0)</f>
        <v>0</v>
      </c>
      <c r="AJ456" s="28">
        <f ca="1">ROUND(VLOOKUP(100,enemy_base_stats!$A:$F,2,FALSE) * Y456* J456*O456*E456*S456*AD456*[2]ステータス!$B$2,0)</f>
        <v>239889</v>
      </c>
      <c r="AK456" s="28">
        <f ca="1">ROUND(VLOOKUP(100,enemy_base_stats!$A:$F,3,FALSE)* Z456* K456*P456*F456*T456*AE456 * W456*[2]ステータス!$C$2,0)</f>
        <v>9140</v>
      </c>
      <c r="AL456" s="28">
        <f ca="1">ROUND(VLOOKUP(100,enemy_base_stats!$A:$F,4,FALSE)* AA456* L456*Q456*G456*U456*AF456*[2]ステータス!$D$2,0)</f>
        <v>0</v>
      </c>
      <c r="AM456" s="24">
        <f ca="1">VLOOKUP(M456,[2]character_tribe_i18n!$A:$I,9,FALSE)</f>
        <v>400</v>
      </c>
      <c r="AN456" s="36">
        <v>0</v>
      </c>
      <c r="AO456" s="53">
        <v>0</v>
      </c>
      <c r="AP456" s="58" t="s">
        <v>72</v>
      </c>
      <c r="AQ456" s="71">
        <f t="shared" ca="1" si="20"/>
        <v>455</v>
      </c>
    </row>
    <row r="457" spans="1:43" ht="21" customHeight="1" x14ac:dyDescent="0.15">
      <c r="A457" s="7">
        <f t="shared" ca="1" si="19"/>
        <v>456</v>
      </c>
      <c r="B457" s="6" t="str">
        <f ca="1">VLOOKUP(A457,[2]characters!$A:$C,3,FALSE)</f>
        <v>射絶 ユヅル</v>
      </c>
      <c r="C457" s="9">
        <f ca="1">VLOOKUP(A457,[2]characters!$A:$I,9,FALSE)</f>
        <v>4</v>
      </c>
      <c r="D457" s="9" t="str">
        <f ca="1">VLOOKUP(A457,[2]characters!$A:$H,8,FALSE)</f>
        <v>blue</v>
      </c>
      <c r="E457" s="24">
        <f ca="1">VLOOKUP(D457,[2]属性!$A:$E,2,FALSE)</f>
        <v>1</v>
      </c>
      <c r="F457" s="24">
        <f ca="1">VLOOKUP(D457,[2]属性!$A:$E,3,FALSE)</f>
        <v>0.98</v>
      </c>
      <c r="G457" s="24">
        <f ca="1">VLOOKUP(D457,[2]属性!$A:$F,4,FALSE)</f>
        <v>1</v>
      </c>
      <c r="H457" s="9" t="str">
        <f ca="1">VLOOKUP(A457,[2]characters!$A:$K,11,FALSE)</f>
        <v>technical</v>
      </c>
      <c r="I457" s="14" t="str">
        <f ca="1">VLOOKUP(H457,[2]character_type_i18n!$A:$F,3,FALSE)</f>
        <v>テクニカルタイプ</v>
      </c>
      <c r="J457" s="36">
        <f ca="1">VLOOKUP(H457,[2]character_type_i18n!$A:$F,4,FALSE)</f>
        <v>0.9</v>
      </c>
      <c r="K457" s="36">
        <f ca="1">VLOOKUP(H457,[2]character_type_i18n!$A:$F,5,FALSE)</f>
        <v>0.9</v>
      </c>
      <c r="L457" s="36">
        <f ca="1">VLOOKUP(H457,[2]character_type_i18n!$A:$F,6,FALSE)</f>
        <v>1</v>
      </c>
      <c r="M457" s="9" t="str">
        <f ca="1">VLOOKUP(A457,[2]characters!$A:$M,13,FALSE)</f>
        <v>human</v>
      </c>
      <c r="N457" s="14" t="str">
        <f ca="1">VLOOKUP(M457,[2]character_tribe_i18n!$A:$F,3,FALSE)</f>
        <v>ヒューマン</v>
      </c>
      <c r="O457" s="24">
        <f ca="1">VLOOKUP(M457,[2]character_tribe_i18n!$A:$F,4,FALSE)</f>
        <v>0.94</v>
      </c>
      <c r="P457" s="24">
        <f ca="1">VLOOKUP(M457,[2]character_tribe_i18n!$A:$F,5,FALSE)</f>
        <v>0.99</v>
      </c>
      <c r="Q457" s="24">
        <f ca="1">VLOOKUP(M457,[2]character_tribe_i18n!$A:$F,6,FALSE)</f>
        <v>1</v>
      </c>
      <c r="R457" s="25" t="s">
        <v>98</v>
      </c>
      <c r="S457" s="24">
        <f>VLOOKUP($R457,ラベル別係数!$A$1:$E$7,3,FALSE)</f>
        <v>5</v>
      </c>
      <c r="T457" s="24">
        <f>VLOOKUP($R457,ラベル別係数!$A$1:$E$7,4,FALSE)</f>
        <v>1.3</v>
      </c>
      <c r="U457" s="24">
        <f>VLOOKUP($R457,ラベル別係数!$A$1:$E$7,5,FALSE)</f>
        <v>0.8</v>
      </c>
      <c r="V457" s="27">
        <v>3</v>
      </c>
      <c r="W457" s="28">
        <f>VLOOKUP(V457,ターン数別攻撃係数!$A$1:$B$1000,2,FALSE)</f>
        <v>1</v>
      </c>
      <c r="X457" s="9">
        <f ca="1">VLOOKUP(C457,サイズ別係数!A$2:B$9,2,FALSE)</f>
        <v>30</v>
      </c>
      <c r="Y457" s="26">
        <f ca="1">VLOOKUP($X457,サイズ別係数!$B:$E,2,FALSE)</f>
        <v>1.3</v>
      </c>
      <c r="Z457" s="26">
        <f ca="1">VLOOKUP($X457,サイズ別係数!$B:$E,3,FALSE)</f>
        <v>1.3</v>
      </c>
      <c r="AA457" s="26">
        <f ca="1">VLOOKUP($X457,サイズ別係数!$B:$E,4,FALSE)</f>
        <v>1.1000000000000001</v>
      </c>
      <c r="AB457" s="5">
        <v>0</v>
      </c>
      <c r="AC457" s="34" t="str">
        <f ca="1">VLOOKUP($AB457,OFFSET([3]enemy_skill_sets!$B$2,0,0,COUNTA([3]enemy_skill_sets!$A:$A),MATCH(AC$1,[3]enemy_skill_sets!$1:$1,0)-MATCH($AB$1,[3]enemy_skill_sets!$1:$1,0)+1),MATCH(AC$1,[3]enemy_skill_sets!$1:$1,0)-MATCH($AB$1,[3]enemy_skill_sets!$1:$1,0)+1,FALSE)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7" s="67">
        <v>1</v>
      </c>
      <c r="AE457" s="67">
        <v>1</v>
      </c>
      <c r="AF457" s="37">
        <v>0</v>
      </c>
      <c r="AG457" s="28">
        <f ca="1">ROUND(VLOOKUP(1,enemy_base_stats!$A:$F,2,FALSE) * Y457* J457*O457*E457*S457*AD457*[2]ステータス!$B$2,0)</f>
        <v>2750</v>
      </c>
      <c r="AH457" s="28">
        <f ca="1">ROUND(VLOOKUP(1,enemy_base_stats!$A:$F,3,FALSE) * Z457*K457*P457*F457*T457*AE457 * W457*[2]ステータス!$C$2,0)</f>
        <v>221</v>
      </c>
      <c r="AI457" s="28">
        <f ca="1">ROUND(VLOOKUP(1,enemy_base_stats!$A:$F,4,FALSE) * AA457*L457*Q457*G457*U457*AF457*[2]ステータス!$D$2,0)</f>
        <v>0</v>
      </c>
      <c r="AJ457" s="28">
        <f ca="1">ROUND(VLOOKUP(100,enemy_base_stats!$A:$F,2,FALSE) * Y457* J457*O457*E457*S457*AD457*[2]ステータス!$B$2,0)</f>
        <v>111630</v>
      </c>
      <c r="AK457" s="28">
        <f ca="1">ROUND(VLOOKUP(100,enemy_base_stats!$A:$F,3,FALSE)* Z457* K457*P457*F457*T457*AE457 * W457*[2]ステータス!$C$2,0)</f>
        <v>8987</v>
      </c>
      <c r="AL457" s="28">
        <f ca="1">ROUND(VLOOKUP(100,enemy_base_stats!$A:$F,4,FALSE)* AA457* L457*Q457*G457*U457*AF457*[2]ステータス!$D$2,0)</f>
        <v>0</v>
      </c>
      <c r="AM457" s="24">
        <f ca="1">VLOOKUP(M457,[2]character_tribe_i18n!$A:$I,9,FALSE)</f>
        <v>400</v>
      </c>
      <c r="AN457" s="36">
        <v>0</v>
      </c>
      <c r="AO457" s="53">
        <v>0</v>
      </c>
      <c r="AP457" s="58" t="s">
        <v>72</v>
      </c>
      <c r="AQ457" s="71">
        <f t="shared" ca="1" si="20"/>
        <v>456</v>
      </c>
    </row>
    <row r="458" spans="1:43" ht="21" customHeight="1" x14ac:dyDescent="0.15">
      <c r="A458" s="7">
        <f t="shared" ca="1" si="19"/>
        <v>457</v>
      </c>
      <c r="B458" s="6" t="str">
        <f ca="1">VLOOKUP(A458,[2]characters!$A:$C,3,FALSE)</f>
        <v>京速射絶 ユヅル</v>
      </c>
      <c r="C458" s="9">
        <f ca="1">VLOOKUP(A458,[2]characters!$A:$I,9,FALSE)</f>
        <v>5</v>
      </c>
      <c r="D458" s="9" t="str">
        <f ca="1">VLOOKUP(A458,[2]characters!$A:$H,8,FALSE)</f>
        <v>blue</v>
      </c>
      <c r="E458" s="24">
        <f ca="1">VLOOKUP(D458,[2]属性!$A:$E,2,FALSE)</f>
        <v>1</v>
      </c>
      <c r="F458" s="24">
        <f ca="1">VLOOKUP(D458,[2]属性!$A:$E,3,FALSE)</f>
        <v>0.98</v>
      </c>
      <c r="G458" s="24">
        <f ca="1">VLOOKUP(D458,[2]属性!$A:$F,4,FALSE)</f>
        <v>1</v>
      </c>
      <c r="H458" s="9" t="str">
        <f ca="1">VLOOKUP(A458,[2]characters!$A:$K,11,FALSE)</f>
        <v>technical</v>
      </c>
      <c r="I458" s="14" t="str">
        <f ca="1">VLOOKUP(H458,[2]character_type_i18n!$A:$F,3,FALSE)</f>
        <v>テクニカルタイプ</v>
      </c>
      <c r="J458" s="36">
        <f ca="1">VLOOKUP(H458,[2]character_type_i18n!$A:$F,4,FALSE)</f>
        <v>0.9</v>
      </c>
      <c r="K458" s="36">
        <f ca="1">VLOOKUP(H458,[2]character_type_i18n!$A:$F,5,FALSE)</f>
        <v>0.9</v>
      </c>
      <c r="L458" s="36">
        <f ca="1">VLOOKUP(H458,[2]character_type_i18n!$A:$F,6,FALSE)</f>
        <v>1</v>
      </c>
      <c r="M458" s="9" t="str">
        <f ca="1">VLOOKUP(A458,[2]characters!$A:$M,13,FALSE)</f>
        <v>human</v>
      </c>
      <c r="N458" s="14" t="str">
        <f ca="1">VLOOKUP(M458,[2]character_tribe_i18n!$A:$F,3,FALSE)</f>
        <v>ヒューマン</v>
      </c>
      <c r="O458" s="24">
        <f ca="1">VLOOKUP(M458,[2]character_tribe_i18n!$A:$F,4,FALSE)</f>
        <v>0.94</v>
      </c>
      <c r="P458" s="24">
        <f ca="1">VLOOKUP(M458,[2]character_tribe_i18n!$A:$F,5,FALSE)</f>
        <v>0.99</v>
      </c>
      <c r="Q458" s="24">
        <f ca="1">VLOOKUP(M458,[2]character_tribe_i18n!$A:$F,6,FALSE)</f>
        <v>1</v>
      </c>
      <c r="R458" s="25" t="s">
        <v>98</v>
      </c>
      <c r="S458" s="24">
        <f>VLOOKUP($R458,ラベル別係数!$A$1:$E$7,3,FALSE)</f>
        <v>5</v>
      </c>
      <c r="T458" s="24">
        <f>VLOOKUP($R458,ラベル別係数!$A$1:$E$7,4,FALSE)</f>
        <v>1.3</v>
      </c>
      <c r="U458" s="24">
        <f>VLOOKUP($R458,ラベル別係数!$A$1:$E$7,5,FALSE)</f>
        <v>0.8</v>
      </c>
      <c r="V458" s="27">
        <v>3</v>
      </c>
      <c r="W458" s="28">
        <f>VLOOKUP(V458,ターン数別攻撃係数!$A$1:$B$1000,2,FALSE)</f>
        <v>1</v>
      </c>
      <c r="X458" s="9">
        <f ca="1">VLOOKUP(C458,サイズ別係数!A$2:B$9,2,FALSE)</f>
        <v>60</v>
      </c>
      <c r="Y458" s="26">
        <f ca="1">VLOOKUP($X458,サイズ別係数!$B:$E,2,FALSE)</f>
        <v>1.7</v>
      </c>
      <c r="Z458" s="26">
        <f ca="1">VLOOKUP($X458,サイズ別係数!$B:$E,3,FALSE)</f>
        <v>1.4</v>
      </c>
      <c r="AA458" s="26">
        <f ca="1">VLOOKUP($X458,サイズ別係数!$B:$E,4,FALSE)</f>
        <v>1</v>
      </c>
      <c r="AB458" s="5">
        <v>0</v>
      </c>
      <c r="AC458" s="34" t="str">
        <f ca="1">VLOOKUP($AB458,OFFSET([3]enemy_skill_sets!$B$2,0,0,COUNTA([3]enemy_skill_sets!$A:$A),MATCH(AC$1,[3]enemy_skill_sets!$1:$1,0)-MATCH($AB$1,[3]enemy_skill_sets!$1:$1,0)+1),MATCH(AC$1,[3]enemy_skill_sets!$1:$1,0)-MATCH($AB$1,[3]enemy_skill_sets!$1:$1,0)+1,FALSE)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8" s="67">
        <v>1</v>
      </c>
      <c r="AE458" s="67">
        <v>1</v>
      </c>
      <c r="AF458" s="37">
        <v>0</v>
      </c>
      <c r="AG458" s="28">
        <f ca="1">ROUND(VLOOKUP(1,enemy_base_stats!$A:$F,2,FALSE) * Y458* J458*O458*E458*S458*AD458*[2]ステータス!$B$2,0)</f>
        <v>3596</v>
      </c>
      <c r="AH458" s="28">
        <f ca="1">ROUND(VLOOKUP(1,enemy_base_stats!$A:$F,3,FALSE) * Z458*K458*P458*F458*T458*AE458 * W458*[2]ステータス!$C$2,0)</f>
        <v>238</v>
      </c>
      <c r="AI458" s="28">
        <f ca="1">ROUND(VLOOKUP(1,enemy_base_stats!$A:$F,4,FALSE) * AA458*L458*Q458*G458*U458*AF458*[2]ステータス!$D$2,0)</f>
        <v>0</v>
      </c>
      <c r="AJ458" s="28">
        <f ca="1">ROUND(VLOOKUP(100,enemy_base_stats!$A:$F,2,FALSE) * Y458* J458*O458*E458*S458*AD458*[2]ステータス!$B$2,0)</f>
        <v>145977</v>
      </c>
      <c r="AK458" s="28">
        <f ca="1">ROUND(VLOOKUP(100,enemy_base_stats!$A:$F,3,FALSE)* Z458* K458*P458*F458*T458*AE458 * W458*[2]ステータス!$C$2,0)</f>
        <v>9678</v>
      </c>
      <c r="AL458" s="28">
        <f ca="1">ROUND(VLOOKUP(100,enemy_base_stats!$A:$F,4,FALSE)* AA458* L458*Q458*G458*U458*AF458*[2]ステータス!$D$2,0)</f>
        <v>0</v>
      </c>
      <c r="AM458" s="24">
        <f ca="1">VLOOKUP(M458,[2]character_tribe_i18n!$A:$I,9,FALSE)</f>
        <v>400</v>
      </c>
      <c r="AN458" s="36">
        <v>0</v>
      </c>
      <c r="AO458" s="53">
        <v>0</v>
      </c>
      <c r="AP458" s="58" t="s">
        <v>72</v>
      </c>
      <c r="AQ458" s="71">
        <f t="shared" ca="1" si="20"/>
        <v>457</v>
      </c>
    </row>
    <row r="459" spans="1:43" ht="21" customHeight="1" x14ac:dyDescent="0.15">
      <c r="A459" s="7">
        <f t="shared" ca="1" si="19"/>
        <v>458</v>
      </c>
      <c r="B459" s="6" t="str">
        <f ca="1">VLOOKUP(A459,[2]characters!$A:$C,3,FALSE)</f>
        <v>嵐龍 スガル</v>
      </c>
      <c r="C459" s="9">
        <f ca="1">VLOOKUP(A459,[2]characters!$A:$I,9,FALSE)</f>
        <v>4</v>
      </c>
      <c r="D459" s="9" t="str">
        <f ca="1">VLOOKUP(A459,[2]characters!$A:$H,8,FALSE)</f>
        <v>yellow</v>
      </c>
      <c r="E459" s="24">
        <f ca="1">VLOOKUP(D459,[2]属性!$A:$E,2,FALSE)</f>
        <v>0.98</v>
      </c>
      <c r="F459" s="24">
        <f ca="1">VLOOKUP(D459,[2]属性!$A:$E,3,FALSE)</f>
        <v>1.01</v>
      </c>
      <c r="G459" s="24">
        <f ca="1">VLOOKUP(D459,[2]属性!$A:$F,4,FALSE)</f>
        <v>1</v>
      </c>
      <c r="H459" s="9" t="str">
        <f ca="1">VLOOKUP(A459,[2]characters!$A:$K,11,FALSE)</f>
        <v>hp</v>
      </c>
      <c r="I459" s="14" t="str">
        <f ca="1">VLOOKUP(H459,[2]character_type_i18n!$A:$F,3,FALSE)</f>
        <v>体力タイプ</v>
      </c>
      <c r="J459" s="36">
        <f ca="1">VLOOKUP(H459,[2]character_type_i18n!$A:$F,4,FALSE)</f>
        <v>1.45</v>
      </c>
      <c r="K459" s="36">
        <f ca="1">VLOOKUP(H459,[2]character_type_i18n!$A:$F,5,FALSE)</f>
        <v>0.85</v>
      </c>
      <c r="L459" s="36">
        <f ca="1">VLOOKUP(H459,[2]character_type_i18n!$A:$F,6,FALSE)</f>
        <v>1</v>
      </c>
      <c r="M459" s="9" t="str">
        <f ca="1">VLOOKUP(A459,[2]characters!$A:$M,13,FALSE)</f>
        <v>dragon</v>
      </c>
      <c r="N459" s="14" t="str">
        <f ca="1">VLOOKUP(M459,[2]character_tribe_i18n!$A:$F,3,FALSE)</f>
        <v>ドラゴン</v>
      </c>
      <c r="O459" s="24">
        <f ca="1">VLOOKUP(M459,[2]character_tribe_i18n!$A:$F,4,FALSE)</f>
        <v>1.1499999999999999</v>
      </c>
      <c r="P459" s="24">
        <f ca="1">VLOOKUP(M459,[2]character_tribe_i18n!$A:$F,5,FALSE)</f>
        <v>1.1000000000000001</v>
      </c>
      <c r="Q459" s="24">
        <f ca="1">VLOOKUP(M459,[2]character_tribe_i18n!$A:$F,6,FALSE)</f>
        <v>1</v>
      </c>
      <c r="R459" s="25" t="s">
        <v>98</v>
      </c>
      <c r="S459" s="24">
        <f>VLOOKUP($R459,ラベル別係数!$A$1:$E$7,3,FALSE)</f>
        <v>5</v>
      </c>
      <c r="T459" s="24">
        <f>VLOOKUP($R459,ラベル別係数!$A$1:$E$7,4,FALSE)</f>
        <v>1.3</v>
      </c>
      <c r="U459" s="24">
        <f>VLOOKUP($R459,ラベル別係数!$A$1:$E$7,5,FALSE)</f>
        <v>0.8</v>
      </c>
      <c r="V459" s="27">
        <v>3</v>
      </c>
      <c r="W459" s="28">
        <f>VLOOKUP(V459,ターン数別攻撃係数!$A$1:$B$1000,2,FALSE)</f>
        <v>1</v>
      </c>
      <c r="X459" s="9">
        <f ca="1">VLOOKUP(C459,サイズ別係数!A$2:B$9,2,FALSE)</f>
        <v>30</v>
      </c>
      <c r="Y459" s="26">
        <f ca="1">VLOOKUP($X459,サイズ別係数!$B:$E,2,FALSE)</f>
        <v>1.3</v>
      </c>
      <c r="Z459" s="26">
        <f ca="1">VLOOKUP($X459,サイズ別係数!$B:$E,3,FALSE)</f>
        <v>1.3</v>
      </c>
      <c r="AA459" s="26">
        <f ca="1">VLOOKUP($X459,サイズ別係数!$B:$E,4,FALSE)</f>
        <v>1.1000000000000001</v>
      </c>
      <c r="AB459" s="5">
        <v>0</v>
      </c>
      <c r="AC459" s="34" t="str">
        <f ca="1">VLOOKUP($AB459,OFFSET([3]enemy_skill_sets!$B$2,0,0,COUNTA([3]enemy_skill_sets!$A:$A),MATCH(AC$1,[3]enemy_skill_sets!$1:$1,0)-MATCH($AB$1,[3]enemy_skill_sets!$1:$1,0)+1),MATCH(AC$1,[3]enemy_skill_sets!$1:$1,0)-MATCH($AB$1,[3]enemy_skill_sets!$1:$1,0)+1,FALSE)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59" s="67">
        <v>1</v>
      </c>
      <c r="AE459" s="67">
        <v>1</v>
      </c>
      <c r="AF459" s="37">
        <v>0</v>
      </c>
      <c r="AG459" s="28">
        <f ca="1">ROUND(VLOOKUP(1,enemy_base_stats!$A:$F,2,FALSE) * Y459* J459*O459*E459*S459*AD459*[2]ステータス!$B$2,0)</f>
        <v>5311</v>
      </c>
      <c r="AH459" s="28">
        <f ca="1">ROUND(VLOOKUP(1,enemy_base_stats!$A:$F,3,FALSE) * Z459*K459*P459*F459*T459*AE459 * W459*[2]ステータス!$C$2,0)</f>
        <v>239</v>
      </c>
      <c r="AI459" s="28">
        <f ca="1">ROUND(VLOOKUP(1,enemy_base_stats!$A:$F,4,FALSE) * AA459*L459*Q459*G459*U459*AF459*[2]ステータス!$D$2,0)</f>
        <v>0</v>
      </c>
      <c r="AJ459" s="28">
        <f ca="1">ROUND(VLOOKUP(100,enemy_base_stats!$A:$F,2,FALSE) * Y459* J459*O459*E459*S459*AD459*[2]ステータス!$B$2,0)</f>
        <v>215626</v>
      </c>
      <c r="AK459" s="28">
        <f ca="1">ROUND(VLOOKUP(100,enemy_base_stats!$A:$F,3,FALSE)* Z459* K459*P459*F459*T459*AE459 * W459*[2]ステータス!$C$2,0)</f>
        <v>9719</v>
      </c>
      <c r="AL459" s="28">
        <f ca="1">ROUND(VLOOKUP(100,enemy_base_stats!$A:$F,4,FALSE)* AA459* L459*Q459*G459*U459*AF459*[2]ステータス!$D$2,0)</f>
        <v>0</v>
      </c>
      <c r="AM459" s="24">
        <f ca="1">VLOOKUP(M459,[2]character_tribe_i18n!$A:$I,9,FALSE)</f>
        <v>540</v>
      </c>
      <c r="AN459" s="36">
        <v>0</v>
      </c>
      <c r="AO459" s="53">
        <v>0</v>
      </c>
      <c r="AP459" s="58" t="s">
        <v>72</v>
      </c>
      <c r="AQ459" s="71">
        <f t="shared" ca="1" si="20"/>
        <v>458</v>
      </c>
    </row>
    <row r="460" spans="1:43" ht="21" customHeight="1" x14ac:dyDescent="0.15">
      <c r="A460" s="7">
        <f t="shared" ca="1" si="19"/>
        <v>459</v>
      </c>
      <c r="B460" s="6" t="str">
        <f ca="1">VLOOKUP(A460,[2]characters!$A:$C,3,FALSE)</f>
        <v>威喝の嵐龍 スガル</v>
      </c>
      <c r="C460" s="9">
        <f ca="1">VLOOKUP(A460,[2]characters!$A:$I,9,FALSE)</f>
        <v>5</v>
      </c>
      <c r="D460" s="9" t="str">
        <f ca="1">VLOOKUP(A460,[2]characters!$A:$H,8,FALSE)</f>
        <v>yellow</v>
      </c>
      <c r="E460" s="24">
        <f ca="1">VLOOKUP(D460,[2]属性!$A:$E,2,FALSE)</f>
        <v>0.98</v>
      </c>
      <c r="F460" s="24">
        <f ca="1">VLOOKUP(D460,[2]属性!$A:$E,3,FALSE)</f>
        <v>1.01</v>
      </c>
      <c r="G460" s="24">
        <f ca="1">VLOOKUP(D460,[2]属性!$A:$F,4,FALSE)</f>
        <v>1</v>
      </c>
      <c r="H460" s="9" t="str">
        <f ca="1">VLOOKUP(A460,[2]characters!$A:$K,11,FALSE)</f>
        <v>hp</v>
      </c>
      <c r="I460" s="14" t="str">
        <f ca="1">VLOOKUP(H460,[2]character_type_i18n!$A:$F,3,FALSE)</f>
        <v>体力タイプ</v>
      </c>
      <c r="J460" s="36">
        <f ca="1">VLOOKUP(H460,[2]character_type_i18n!$A:$F,4,FALSE)</f>
        <v>1.45</v>
      </c>
      <c r="K460" s="36">
        <f ca="1">VLOOKUP(H460,[2]character_type_i18n!$A:$F,5,FALSE)</f>
        <v>0.85</v>
      </c>
      <c r="L460" s="36">
        <f ca="1">VLOOKUP(H460,[2]character_type_i18n!$A:$F,6,FALSE)</f>
        <v>1</v>
      </c>
      <c r="M460" s="9" t="str">
        <f ca="1">VLOOKUP(A460,[2]characters!$A:$M,13,FALSE)</f>
        <v>dragon</v>
      </c>
      <c r="N460" s="14" t="str">
        <f ca="1">VLOOKUP(M460,[2]character_tribe_i18n!$A:$F,3,FALSE)</f>
        <v>ドラゴン</v>
      </c>
      <c r="O460" s="24">
        <f ca="1">VLOOKUP(M460,[2]character_tribe_i18n!$A:$F,4,FALSE)</f>
        <v>1.1499999999999999</v>
      </c>
      <c r="P460" s="24">
        <f ca="1">VLOOKUP(M460,[2]character_tribe_i18n!$A:$F,5,FALSE)</f>
        <v>1.1000000000000001</v>
      </c>
      <c r="Q460" s="24">
        <f ca="1">VLOOKUP(M460,[2]character_tribe_i18n!$A:$F,6,FALSE)</f>
        <v>1</v>
      </c>
      <c r="R460" s="25" t="s">
        <v>98</v>
      </c>
      <c r="S460" s="24">
        <f>VLOOKUP($R460,ラベル別係数!$A$1:$E$7,3,FALSE)</f>
        <v>5</v>
      </c>
      <c r="T460" s="24">
        <f>VLOOKUP($R460,ラベル別係数!$A$1:$E$7,4,FALSE)</f>
        <v>1.3</v>
      </c>
      <c r="U460" s="24">
        <f>VLOOKUP($R460,ラベル別係数!$A$1:$E$7,5,FALSE)</f>
        <v>0.8</v>
      </c>
      <c r="V460" s="27">
        <v>3</v>
      </c>
      <c r="W460" s="28">
        <f>VLOOKUP(V460,ターン数別攻撃係数!$A$1:$B$1000,2,FALSE)</f>
        <v>1</v>
      </c>
      <c r="X460" s="9">
        <f ca="1">VLOOKUP(C460,サイズ別係数!A$2:B$9,2,FALSE)</f>
        <v>60</v>
      </c>
      <c r="Y460" s="26">
        <f ca="1">VLOOKUP($X460,サイズ別係数!$B:$E,2,FALSE)</f>
        <v>1.7</v>
      </c>
      <c r="Z460" s="26">
        <f ca="1">VLOOKUP($X460,サイズ別係数!$B:$E,3,FALSE)</f>
        <v>1.4</v>
      </c>
      <c r="AA460" s="26">
        <f ca="1">VLOOKUP($X460,サイズ別係数!$B:$E,4,FALSE)</f>
        <v>1</v>
      </c>
      <c r="AB460" s="5">
        <v>0</v>
      </c>
      <c r="AC460" s="34" t="str">
        <f ca="1">VLOOKUP($AB460,OFFSET([3]enemy_skill_sets!$B$2,0,0,COUNTA([3]enemy_skill_sets!$A:$A),MATCH(AC$1,[3]enemy_skill_sets!$1:$1,0)-MATCH($AB$1,[3]enemy_skill_sets!$1:$1,0)+1),MATCH(AC$1,[3]enemy_skill_sets!$1:$1,0)-MATCH($AB$1,[3]enemy_skill_sets!$1:$1,0)+1,FALSE)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0" s="67">
        <v>1</v>
      </c>
      <c r="AE460" s="67">
        <v>1</v>
      </c>
      <c r="AF460" s="37">
        <v>0</v>
      </c>
      <c r="AG460" s="28">
        <f ca="1">ROUND(VLOOKUP(1,enemy_base_stats!$A:$F,2,FALSE) * Y460* J460*O460*E460*S460*AD460*[2]ステータス!$B$2,0)</f>
        <v>6945</v>
      </c>
      <c r="AH460" s="28">
        <f ca="1">ROUND(VLOOKUP(1,enemy_base_stats!$A:$F,3,FALSE) * Z460*K460*P460*F460*T460*AE460 * W460*[2]ステータス!$C$2,0)</f>
        <v>258</v>
      </c>
      <c r="AI460" s="28">
        <f ca="1">ROUND(VLOOKUP(1,enemy_base_stats!$A:$F,4,FALSE) * AA460*L460*Q460*G460*U460*AF460*[2]ステータス!$D$2,0)</f>
        <v>0</v>
      </c>
      <c r="AJ460" s="28">
        <f ca="1">ROUND(VLOOKUP(100,enemy_base_stats!$A:$F,2,FALSE) * Y460* J460*O460*E460*S460*AD460*[2]ステータス!$B$2,0)</f>
        <v>281973</v>
      </c>
      <c r="AK460" s="28">
        <f ca="1">ROUND(VLOOKUP(100,enemy_base_stats!$A:$F,3,FALSE)* Z460* K460*P460*F460*T460*AE460 * W460*[2]ステータス!$C$2,0)</f>
        <v>10467</v>
      </c>
      <c r="AL460" s="28">
        <f ca="1">ROUND(VLOOKUP(100,enemy_base_stats!$A:$F,4,FALSE)* AA460* L460*Q460*G460*U460*AF460*[2]ステータス!$D$2,0)</f>
        <v>0</v>
      </c>
      <c r="AM460" s="24">
        <f ca="1">VLOOKUP(M460,[2]character_tribe_i18n!$A:$I,9,FALSE)</f>
        <v>540</v>
      </c>
      <c r="AN460" s="36">
        <v>0</v>
      </c>
      <c r="AO460" s="53">
        <v>0</v>
      </c>
      <c r="AP460" s="58" t="s">
        <v>72</v>
      </c>
      <c r="AQ460" s="71">
        <f t="shared" ca="1" si="20"/>
        <v>459</v>
      </c>
    </row>
    <row r="461" spans="1:43" ht="21" customHeight="1" x14ac:dyDescent="0.15">
      <c r="A461" s="7">
        <f t="shared" ca="1" si="19"/>
        <v>460</v>
      </c>
      <c r="B461" s="6" t="str">
        <f ca="1">VLOOKUP(A461,[2]characters!$A:$C,3,FALSE)</f>
        <v>オズ</v>
      </c>
      <c r="C461" s="9">
        <f ca="1">VLOOKUP(A461,[2]characters!$A:$I,9,FALSE)</f>
        <v>4</v>
      </c>
      <c r="D461" s="9" t="str">
        <f ca="1">VLOOKUP(A461,[2]characters!$A:$H,8,FALSE)</f>
        <v>green</v>
      </c>
      <c r="E461" s="24">
        <f ca="1">VLOOKUP(D461,[2]属性!$A:$E,2,FALSE)</f>
        <v>1.02</v>
      </c>
      <c r="F461" s="24">
        <f ca="1">VLOOKUP(D461,[2]属性!$A:$E,3,FALSE)</f>
        <v>0.98</v>
      </c>
      <c r="G461" s="24">
        <f ca="1">VLOOKUP(D461,[2]属性!$A:$F,4,FALSE)</f>
        <v>1</v>
      </c>
      <c r="H461" s="9" t="str">
        <f ca="1">VLOOKUP(A461,[2]characters!$A:$K,11,FALSE)</f>
        <v>technical</v>
      </c>
      <c r="I461" s="14" t="str">
        <f ca="1">VLOOKUP(H461,[2]character_type_i18n!$A:$F,3,FALSE)</f>
        <v>テクニカルタイプ</v>
      </c>
      <c r="J461" s="36">
        <f ca="1">VLOOKUP(H461,[2]character_type_i18n!$A:$F,4,FALSE)</f>
        <v>0.9</v>
      </c>
      <c r="K461" s="36">
        <f ca="1">VLOOKUP(H461,[2]character_type_i18n!$A:$F,5,FALSE)</f>
        <v>0.9</v>
      </c>
      <c r="L461" s="36">
        <f ca="1">VLOOKUP(H461,[2]character_type_i18n!$A:$F,6,FALSE)</f>
        <v>1</v>
      </c>
      <c r="M461" s="9" t="str">
        <f ca="1">VLOOKUP(A461,[2]characters!$A:$M,13,FALSE)</f>
        <v>human</v>
      </c>
      <c r="N461" s="14" t="str">
        <f ca="1">VLOOKUP(M461,[2]character_tribe_i18n!$A:$F,3,FALSE)</f>
        <v>ヒューマン</v>
      </c>
      <c r="O461" s="24">
        <f ca="1">VLOOKUP(M461,[2]character_tribe_i18n!$A:$F,4,FALSE)</f>
        <v>0.94</v>
      </c>
      <c r="P461" s="24">
        <f ca="1">VLOOKUP(M461,[2]character_tribe_i18n!$A:$F,5,FALSE)</f>
        <v>0.99</v>
      </c>
      <c r="Q461" s="24">
        <f ca="1">VLOOKUP(M461,[2]character_tribe_i18n!$A:$F,6,FALSE)</f>
        <v>1</v>
      </c>
      <c r="R461" s="25" t="s">
        <v>98</v>
      </c>
      <c r="S461" s="24">
        <f>VLOOKUP($R461,ラベル別係数!$A$1:$E$7,3,FALSE)</f>
        <v>5</v>
      </c>
      <c r="T461" s="24">
        <f>VLOOKUP($R461,ラベル別係数!$A$1:$E$7,4,FALSE)</f>
        <v>1.3</v>
      </c>
      <c r="U461" s="24">
        <f>VLOOKUP($R461,ラベル別係数!$A$1:$E$7,5,FALSE)</f>
        <v>0.8</v>
      </c>
      <c r="V461" s="27">
        <v>3</v>
      </c>
      <c r="W461" s="28">
        <f>VLOOKUP(V461,ターン数別攻撃係数!$A$1:$B$1000,2,FALSE)</f>
        <v>1</v>
      </c>
      <c r="X461" s="9">
        <f ca="1">VLOOKUP(C461,サイズ別係数!A$2:B$9,2,FALSE)</f>
        <v>30</v>
      </c>
      <c r="Y461" s="26">
        <f ca="1">VLOOKUP($X461,サイズ別係数!$B:$E,2,FALSE)</f>
        <v>1.3</v>
      </c>
      <c r="Z461" s="26">
        <f ca="1">VLOOKUP($X461,サイズ別係数!$B:$E,3,FALSE)</f>
        <v>1.3</v>
      </c>
      <c r="AA461" s="26">
        <f ca="1">VLOOKUP($X461,サイズ別係数!$B:$E,4,FALSE)</f>
        <v>1.1000000000000001</v>
      </c>
      <c r="AB461" s="5">
        <v>0</v>
      </c>
      <c r="AC461" s="34" t="str">
        <f ca="1">VLOOKUP($AB461,OFFSET([3]enemy_skill_sets!$B$2,0,0,COUNTA([3]enemy_skill_sets!$A:$A),MATCH(AC$1,[3]enemy_skill_sets!$1:$1,0)-MATCH($AB$1,[3]enemy_skill_sets!$1:$1,0)+1),MATCH(AC$1,[3]enemy_skill_sets!$1:$1,0)-MATCH($AB$1,[3]enemy_skill_sets!$1:$1,0)+1,FALSE)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1" s="67">
        <v>1</v>
      </c>
      <c r="AE461" s="67">
        <v>1</v>
      </c>
      <c r="AF461" s="37">
        <v>0</v>
      </c>
      <c r="AG461" s="28">
        <f ca="1">ROUND(VLOOKUP(1,enemy_base_stats!$A:$F,2,FALSE) * Y461* J461*O461*E461*S461*AD461*[2]ステータス!$B$2,0)</f>
        <v>2804</v>
      </c>
      <c r="AH461" s="28">
        <f ca="1">ROUND(VLOOKUP(1,enemy_base_stats!$A:$F,3,FALSE) * Z461*K461*P461*F461*T461*AE461 * W461*[2]ステータス!$C$2,0)</f>
        <v>221</v>
      </c>
      <c r="AI461" s="28">
        <f ca="1">ROUND(VLOOKUP(1,enemy_base_stats!$A:$F,4,FALSE) * AA461*L461*Q461*G461*U461*AF461*[2]ステータス!$D$2,0)</f>
        <v>0</v>
      </c>
      <c r="AJ461" s="28">
        <f ca="1">ROUND(VLOOKUP(100,enemy_base_stats!$A:$F,2,FALSE) * Y461* J461*O461*E461*S461*AD461*[2]ステータス!$B$2,0)</f>
        <v>113862</v>
      </c>
      <c r="AK461" s="28">
        <f ca="1">ROUND(VLOOKUP(100,enemy_base_stats!$A:$F,3,FALSE)* Z461* K461*P461*F461*T461*AE461 * W461*[2]ステータス!$C$2,0)</f>
        <v>8987</v>
      </c>
      <c r="AL461" s="28">
        <f ca="1">ROUND(VLOOKUP(100,enemy_base_stats!$A:$F,4,FALSE)* AA461* L461*Q461*G461*U461*AF461*[2]ステータス!$D$2,0)</f>
        <v>0</v>
      </c>
      <c r="AM461" s="24">
        <f ca="1">VLOOKUP(M461,[2]character_tribe_i18n!$A:$I,9,FALSE)</f>
        <v>400</v>
      </c>
      <c r="AN461" s="36">
        <v>0</v>
      </c>
      <c r="AO461" s="53">
        <v>0</v>
      </c>
      <c r="AP461" s="58" t="s">
        <v>72</v>
      </c>
      <c r="AQ461" s="71">
        <f t="shared" ref="AQ461:AQ471" ca="1" si="21">A461</f>
        <v>460</v>
      </c>
    </row>
    <row r="462" spans="1:43" ht="21" customHeight="1" x14ac:dyDescent="0.15">
      <c r="A462" s="7">
        <f t="shared" ca="1" si="19"/>
        <v>461</v>
      </c>
      <c r="B462" s="6" t="str">
        <f ca="1">VLOOKUP(A462,[2]characters!$A:$C,3,FALSE)</f>
        <v>大いなる虚像 オズ</v>
      </c>
      <c r="C462" s="9">
        <f ca="1">VLOOKUP(A462,[2]characters!$A:$I,9,FALSE)</f>
        <v>5</v>
      </c>
      <c r="D462" s="9" t="str">
        <f ca="1">VLOOKUP(A462,[2]characters!$A:$H,8,FALSE)</f>
        <v>green</v>
      </c>
      <c r="E462" s="24">
        <f ca="1">VLOOKUP(D462,[2]属性!$A:$E,2,FALSE)</f>
        <v>1.02</v>
      </c>
      <c r="F462" s="24">
        <f ca="1">VLOOKUP(D462,[2]属性!$A:$E,3,FALSE)</f>
        <v>0.98</v>
      </c>
      <c r="G462" s="24">
        <f ca="1">VLOOKUP(D462,[2]属性!$A:$F,4,FALSE)</f>
        <v>1</v>
      </c>
      <c r="H462" s="9" t="str">
        <f ca="1">VLOOKUP(A462,[2]characters!$A:$K,11,FALSE)</f>
        <v>technical</v>
      </c>
      <c r="I462" s="14" t="str">
        <f ca="1">VLOOKUP(H462,[2]character_type_i18n!$A:$F,3,FALSE)</f>
        <v>テクニカルタイプ</v>
      </c>
      <c r="J462" s="36">
        <f ca="1">VLOOKUP(H462,[2]character_type_i18n!$A:$F,4,FALSE)</f>
        <v>0.9</v>
      </c>
      <c r="K462" s="36">
        <f ca="1">VLOOKUP(H462,[2]character_type_i18n!$A:$F,5,FALSE)</f>
        <v>0.9</v>
      </c>
      <c r="L462" s="36">
        <f ca="1">VLOOKUP(H462,[2]character_type_i18n!$A:$F,6,FALSE)</f>
        <v>1</v>
      </c>
      <c r="M462" s="9" t="str">
        <f ca="1">VLOOKUP(A462,[2]characters!$A:$M,13,FALSE)</f>
        <v>human</v>
      </c>
      <c r="N462" s="14" t="str">
        <f ca="1">VLOOKUP(M462,[2]character_tribe_i18n!$A:$F,3,FALSE)</f>
        <v>ヒューマン</v>
      </c>
      <c r="O462" s="24">
        <f ca="1">VLOOKUP(M462,[2]character_tribe_i18n!$A:$F,4,FALSE)</f>
        <v>0.94</v>
      </c>
      <c r="P462" s="24">
        <f ca="1">VLOOKUP(M462,[2]character_tribe_i18n!$A:$F,5,FALSE)</f>
        <v>0.99</v>
      </c>
      <c r="Q462" s="24">
        <f ca="1">VLOOKUP(M462,[2]character_tribe_i18n!$A:$F,6,FALSE)</f>
        <v>1</v>
      </c>
      <c r="R462" s="25" t="s">
        <v>98</v>
      </c>
      <c r="S462" s="24">
        <f>VLOOKUP($R462,ラベル別係数!$A$1:$E$7,3,FALSE)</f>
        <v>5</v>
      </c>
      <c r="T462" s="24">
        <f>VLOOKUP($R462,ラベル別係数!$A$1:$E$7,4,FALSE)</f>
        <v>1.3</v>
      </c>
      <c r="U462" s="24">
        <f>VLOOKUP($R462,ラベル別係数!$A$1:$E$7,5,FALSE)</f>
        <v>0.8</v>
      </c>
      <c r="V462" s="27">
        <v>3</v>
      </c>
      <c r="W462" s="28">
        <f>VLOOKUP(V462,ターン数別攻撃係数!$A$1:$B$1000,2,FALSE)</f>
        <v>1</v>
      </c>
      <c r="X462" s="9">
        <f ca="1">VLOOKUP(C462,サイズ別係数!A$2:B$9,2,FALSE)</f>
        <v>60</v>
      </c>
      <c r="Y462" s="26">
        <f ca="1">VLOOKUP($X462,サイズ別係数!$B:$E,2,FALSE)</f>
        <v>1.7</v>
      </c>
      <c r="Z462" s="26">
        <f ca="1">VLOOKUP($X462,サイズ別係数!$B:$E,3,FALSE)</f>
        <v>1.4</v>
      </c>
      <c r="AA462" s="26">
        <f ca="1">VLOOKUP($X462,サイズ別係数!$B:$E,4,FALSE)</f>
        <v>1</v>
      </c>
      <c r="AB462" s="5">
        <v>0</v>
      </c>
      <c r="AC462" s="34" t="str">
        <f ca="1">VLOOKUP($AB462,OFFSET([3]enemy_skill_sets!$B$2,0,0,COUNTA([3]enemy_skill_sets!$A:$A),MATCH(AC$1,[3]enemy_skill_sets!$1:$1,0)-MATCH($AB$1,[3]enemy_skill_sets!$1:$1,0)+1),MATCH(AC$1,[3]enemy_skill_sets!$1:$1,0)-MATCH($AB$1,[3]enemy_skill_sets!$1:$1,0)+1,FALSE)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2" s="67">
        <v>1</v>
      </c>
      <c r="AE462" s="67">
        <v>1</v>
      </c>
      <c r="AF462" s="37">
        <v>0</v>
      </c>
      <c r="AG462" s="28">
        <f ca="1">ROUND(VLOOKUP(1,enemy_base_stats!$A:$F,2,FALSE) * Y462* J462*O462*E462*S462*AD462*[2]ステータス!$B$2,0)</f>
        <v>3667</v>
      </c>
      <c r="AH462" s="28">
        <f ca="1">ROUND(VLOOKUP(1,enemy_base_stats!$A:$F,3,FALSE) * Z462*K462*P462*F462*T462*AE462 * W462*[2]ステータス!$C$2,0)</f>
        <v>238</v>
      </c>
      <c r="AI462" s="28">
        <f ca="1">ROUND(VLOOKUP(1,enemy_base_stats!$A:$F,4,FALSE) * AA462*L462*Q462*G462*U462*AF462*[2]ステータス!$D$2,0)</f>
        <v>0</v>
      </c>
      <c r="AJ462" s="28">
        <f ca="1">ROUND(VLOOKUP(100,enemy_base_stats!$A:$F,2,FALSE) * Y462* J462*O462*E462*S462*AD462*[2]ステータス!$B$2,0)</f>
        <v>148897</v>
      </c>
      <c r="AK462" s="28">
        <f ca="1">ROUND(VLOOKUP(100,enemy_base_stats!$A:$F,3,FALSE)* Z462* K462*P462*F462*T462*AE462 * W462*[2]ステータス!$C$2,0)</f>
        <v>9678</v>
      </c>
      <c r="AL462" s="28">
        <f ca="1">ROUND(VLOOKUP(100,enemy_base_stats!$A:$F,4,FALSE)* AA462* L462*Q462*G462*U462*AF462*[2]ステータス!$D$2,0)</f>
        <v>0</v>
      </c>
      <c r="AM462" s="24">
        <f ca="1">VLOOKUP(M462,[2]character_tribe_i18n!$A:$I,9,FALSE)</f>
        <v>400</v>
      </c>
      <c r="AN462" s="36">
        <v>0</v>
      </c>
      <c r="AO462" s="53">
        <v>0</v>
      </c>
      <c r="AP462" s="58" t="s">
        <v>72</v>
      </c>
      <c r="AQ462" s="71">
        <f t="shared" ca="1" si="21"/>
        <v>461</v>
      </c>
    </row>
    <row r="463" spans="1:43" ht="21" customHeight="1" x14ac:dyDescent="0.15">
      <c r="A463" s="7">
        <f t="shared" ca="1" si="19"/>
        <v>462</v>
      </c>
      <c r="B463" s="6" t="str">
        <f ca="1">VLOOKUP(A463,[2]characters!$A:$C,3,FALSE)</f>
        <v>ガウェイン</v>
      </c>
      <c r="C463" s="9">
        <f ca="1">VLOOKUP(A463,[2]characters!$A:$I,9,FALSE)</f>
        <v>3</v>
      </c>
      <c r="D463" s="9" t="str">
        <f ca="1">VLOOKUP(A463,[2]characters!$A:$H,8,FALSE)</f>
        <v>red</v>
      </c>
      <c r="E463" s="24">
        <f ca="1">VLOOKUP(D463,[2]属性!$A:$E,2,FALSE)</f>
        <v>1</v>
      </c>
      <c r="F463" s="24">
        <f ca="1">VLOOKUP(D463,[2]属性!$A:$E,3,FALSE)</f>
        <v>1.02</v>
      </c>
      <c r="G463" s="24">
        <f ca="1">VLOOKUP(D463,[2]属性!$A:$F,4,FALSE)</f>
        <v>1</v>
      </c>
      <c r="H463" s="9" t="str">
        <f ca="1">VLOOKUP(A463,[2]characters!$A:$K,11,FALSE)</f>
        <v>hp</v>
      </c>
      <c r="I463" s="14" t="str">
        <f ca="1">VLOOKUP(H463,[2]character_type_i18n!$A:$F,3,FALSE)</f>
        <v>体力タイプ</v>
      </c>
      <c r="J463" s="36">
        <f ca="1">VLOOKUP(H463,[2]character_type_i18n!$A:$F,4,FALSE)</f>
        <v>1.45</v>
      </c>
      <c r="K463" s="36">
        <f ca="1">VLOOKUP(H463,[2]character_type_i18n!$A:$F,5,FALSE)</f>
        <v>0.85</v>
      </c>
      <c r="L463" s="36">
        <f ca="1">VLOOKUP(H463,[2]character_type_i18n!$A:$F,6,FALSE)</f>
        <v>1</v>
      </c>
      <c r="M463" s="9" t="str">
        <f ca="1">VLOOKUP(A463,[2]characters!$A:$M,13,FALSE)</f>
        <v>human</v>
      </c>
      <c r="N463" s="14" t="str">
        <f ca="1">VLOOKUP(M463,[2]character_tribe_i18n!$A:$F,3,FALSE)</f>
        <v>ヒューマン</v>
      </c>
      <c r="O463" s="24">
        <f ca="1">VLOOKUP(M463,[2]character_tribe_i18n!$A:$F,4,FALSE)</f>
        <v>0.94</v>
      </c>
      <c r="P463" s="24">
        <f ca="1">VLOOKUP(M463,[2]character_tribe_i18n!$A:$F,5,FALSE)</f>
        <v>0.99</v>
      </c>
      <c r="Q463" s="24">
        <f ca="1">VLOOKUP(M463,[2]character_tribe_i18n!$A:$F,6,FALSE)</f>
        <v>1</v>
      </c>
      <c r="R463" s="25" t="s">
        <v>98</v>
      </c>
      <c r="S463" s="24">
        <f>VLOOKUP($R463,ラベル別係数!$A$1:$E$7,3,FALSE)</f>
        <v>5</v>
      </c>
      <c r="T463" s="24">
        <f>VLOOKUP($R463,ラベル別係数!$A$1:$E$7,4,FALSE)</f>
        <v>1.3</v>
      </c>
      <c r="U463" s="24">
        <f>VLOOKUP($R463,ラベル別係数!$A$1:$E$7,5,FALSE)</f>
        <v>0.8</v>
      </c>
      <c r="V463" s="27">
        <v>3</v>
      </c>
      <c r="W463" s="28">
        <f>VLOOKUP(V463,ターン数別攻撃係数!$A$1:$B$1000,2,FALSE)</f>
        <v>1</v>
      </c>
      <c r="X463" s="9">
        <f ca="1">VLOOKUP(C463,サイズ別係数!A$2:B$9,2,FALSE)</f>
        <v>25</v>
      </c>
      <c r="Y463" s="26">
        <f ca="1">VLOOKUP($X463,サイズ別係数!$B:$E,2,FALSE)</f>
        <v>1.2</v>
      </c>
      <c r="Z463" s="26">
        <f ca="1">VLOOKUP($X463,サイズ別係数!$B:$E,3,FALSE)</f>
        <v>1.25</v>
      </c>
      <c r="AA463" s="26">
        <f ca="1">VLOOKUP($X463,サイズ別係数!$B:$E,4,FALSE)</f>
        <v>1.1499999999999999</v>
      </c>
      <c r="AB463" s="5">
        <v>0</v>
      </c>
      <c r="AC463" s="34" t="str">
        <f ca="1">VLOOKUP($AB463,OFFSET([3]enemy_skill_sets!$B$2,0,0,COUNTA([3]enemy_skill_sets!$A:$A),MATCH(AC$1,[3]enemy_skill_sets!$1:$1,0)-MATCH($AB$1,[3]enemy_skill_sets!$1:$1,0)+1),MATCH(AC$1,[3]enemy_skill_sets!$1:$1,0)-MATCH($AB$1,[3]enemy_skill_sets!$1:$1,0)+1,FALSE)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3" s="67">
        <v>1</v>
      </c>
      <c r="AE463" s="67">
        <v>1</v>
      </c>
      <c r="AF463" s="37">
        <v>0</v>
      </c>
      <c r="AG463" s="28">
        <f ca="1">ROUND(VLOOKUP(1,enemy_base_stats!$A:$F,2,FALSE) * Y463* J463*O463*E463*S463*AD463*[2]ステータス!$B$2,0)</f>
        <v>4089</v>
      </c>
      <c r="AH463" s="28">
        <f ca="1">ROUND(VLOOKUP(1,enemy_base_stats!$A:$F,3,FALSE) * Z463*K463*P463*F463*T463*AE463 * W463*[2]ステータス!$C$2,0)</f>
        <v>209</v>
      </c>
      <c r="AI463" s="28">
        <f ca="1">ROUND(VLOOKUP(1,enemy_base_stats!$A:$F,4,FALSE) * AA463*L463*Q463*G463*U463*AF463*[2]ステータス!$D$2,0)</f>
        <v>0</v>
      </c>
      <c r="AJ463" s="28">
        <f ca="1">ROUND(VLOOKUP(100,enemy_base_stats!$A:$F,2,FALSE) * Y463* J463*O463*E463*S463*AD463*[2]ステータス!$B$2,0)</f>
        <v>166013</v>
      </c>
      <c r="AK463" s="28">
        <f ca="1">ROUND(VLOOKUP(100,enemy_base_stats!$A:$F,3,FALSE)* Z463* K463*P463*F463*T463*AE463 * W463*[2]ステータス!$C$2,0)</f>
        <v>8494</v>
      </c>
      <c r="AL463" s="28">
        <f ca="1">ROUND(VLOOKUP(100,enemy_base_stats!$A:$F,4,FALSE)* AA463* L463*Q463*G463*U463*AF463*[2]ステータス!$D$2,0)</f>
        <v>0</v>
      </c>
      <c r="AM463" s="24">
        <f ca="1">VLOOKUP(M463,[2]character_tribe_i18n!$A:$I,9,FALSE)</f>
        <v>400</v>
      </c>
      <c r="AN463" s="36">
        <v>0</v>
      </c>
      <c r="AO463" s="53">
        <v>0</v>
      </c>
      <c r="AP463" s="58" t="s">
        <v>72</v>
      </c>
      <c r="AQ463" s="71">
        <f t="shared" ca="1" si="21"/>
        <v>462</v>
      </c>
    </row>
    <row r="464" spans="1:43" ht="21" customHeight="1" x14ac:dyDescent="0.15">
      <c r="A464" s="7">
        <f t="shared" ca="1" si="19"/>
        <v>463</v>
      </c>
      <c r="B464" s="6" t="str">
        <f ca="1">VLOOKUP(A464,[2]characters!$A:$C,3,FALSE)</f>
        <v>燻銀 ガウェイン</v>
      </c>
      <c r="C464" s="9">
        <f ca="1">VLOOKUP(A464,[2]characters!$A:$I,9,FALSE)</f>
        <v>4</v>
      </c>
      <c r="D464" s="9" t="str">
        <f ca="1">VLOOKUP(A464,[2]characters!$A:$H,8,FALSE)</f>
        <v>red</v>
      </c>
      <c r="E464" s="24">
        <f ca="1">VLOOKUP(D464,[2]属性!$A:$E,2,FALSE)</f>
        <v>1</v>
      </c>
      <c r="F464" s="24">
        <f ca="1">VLOOKUP(D464,[2]属性!$A:$E,3,FALSE)</f>
        <v>1.02</v>
      </c>
      <c r="G464" s="24">
        <f ca="1">VLOOKUP(D464,[2]属性!$A:$F,4,FALSE)</f>
        <v>1</v>
      </c>
      <c r="H464" s="9" t="str">
        <f ca="1">VLOOKUP(A464,[2]characters!$A:$K,11,FALSE)</f>
        <v>hp</v>
      </c>
      <c r="I464" s="14" t="str">
        <f ca="1">VLOOKUP(H464,[2]character_type_i18n!$A:$F,3,FALSE)</f>
        <v>体力タイプ</v>
      </c>
      <c r="J464" s="36">
        <f ca="1">VLOOKUP(H464,[2]character_type_i18n!$A:$F,4,FALSE)</f>
        <v>1.45</v>
      </c>
      <c r="K464" s="36">
        <f ca="1">VLOOKUP(H464,[2]character_type_i18n!$A:$F,5,FALSE)</f>
        <v>0.85</v>
      </c>
      <c r="L464" s="36">
        <f ca="1">VLOOKUP(H464,[2]character_type_i18n!$A:$F,6,FALSE)</f>
        <v>1</v>
      </c>
      <c r="M464" s="9" t="str">
        <f ca="1">VLOOKUP(A464,[2]characters!$A:$M,13,FALSE)</f>
        <v>human</v>
      </c>
      <c r="N464" s="14" t="str">
        <f ca="1">VLOOKUP(M464,[2]character_tribe_i18n!$A:$F,3,FALSE)</f>
        <v>ヒューマン</v>
      </c>
      <c r="O464" s="24">
        <f ca="1">VLOOKUP(M464,[2]character_tribe_i18n!$A:$F,4,FALSE)</f>
        <v>0.94</v>
      </c>
      <c r="P464" s="24">
        <f ca="1">VLOOKUP(M464,[2]character_tribe_i18n!$A:$F,5,FALSE)</f>
        <v>0.99</v>
      </c>
      <c r="Q464" s="24">
        <f ca="1">VLOOKUP(M464,[2]character_tribe_i18n!$A:$F,6,FALSE)</f>
        <v>1</v>
      </c>
      <c r="R464" s="25" t="s">
        <v>98</v>
      </c>
      <c r="S464" s="24">
        <f>VLOOKUP($R464,ラベル別係数!$A$1:$E$7,3,FALSE)</f>
        <v>5</v>
      </c>
      <c r="T464" s="24">
        <f>VLOOKUP($R464,ラベル別係数!$A$1:$E$7,4,FALSE)</f>
        <v>1.3</v>
      </c>
      <c r="U464" s="24">
        <f>VLOOKUP($R464,ラベル別係数!$A$1:$E$7,5,FALSE)</f>
        <v>0.8</v>
      </c>
      <c r="V464" s="27">
        <v>3</v>
      </c>
      <c r="W464" s="28">
        <f>VLOOKUP(V464,ターン数別攻撃係数!$A$1:$B$1000,2,FALSE)</f>
        <v>1</v>
      </c>
      <c r="X464" s="9">
        <f ca="1">VLOOKUP(C464,サイズ別係数!A$2:B$9,2,FALSE)</f>
        <v>30</v>
      </c>
      <c r="Y464" s="26">
        <f ca="1">VLOOKUP($X464,サイズ別係数!$B:$E,2,FALSE)</f>
        <v>1.3</v>
      </c>
      <c r="Z464" s="26">
        <f ca="1">VLOOKUP($X464,サイズ別係数!$B:$E,3,FALSE)</f>
        <v>1.3</v>
      </c>
      <c r="AA464" s="26">
        <f ca="1">VLOOKUP($X464,サイズ別係数!$B:$E,4,FALSE)</f>
        <v>1.1000000000000001</v>
      </c>
      <c r="AB464" s="5">
        <v>0</v>
      </c>
      <c r="AC464" s="34" t="str">
        <f ca="1">VLOOKUP($AB464,OFFSET([3]enemy_skill_sets!$B$2,0,0,COUNTA([3]enemy_skill_sets!$A:$A),MATCH(AC$1,[3]enemy_skill_sets!$1:$1,0)-MATCH($AB$1,[3]enemy_skill_sets!$1:$1,0)+1),MATCH(AC$1,[3]enemy_skill_sets!$1:$1,0)-MATCH($AB$1,[3]enemy_skill_sets!$1:$1,0)+1,FALSE)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4" s="67">
        <v>1</v>
      </c>
      <c r="AE464" s="67">
        <v>1</v>
      </c>
      <c r="AF464" s="37">
        <v>0</v>
      </c>
      <c r="AG464" s="28">
        <f ca="1">ROUND(VLOOKUP(1,enemy_base_stats!$A:$F,2,FALSE) * Y464* J464*O464*E464*S464*AD464*[2]ステータス!$B$2,0)</f>
        <v>4430</v>
      </c>
      <c r="AH464" s="28">
        <f ca="1">ROUND(VLOOKUP(1,enemy_base_stats!$A:$F,3,FALSE) * Z464*K464*P464*F464*T464*AE464 * W464*[2]ステータス!$C$2,0)</f>
        <v>218</v>
      </c>
      <c r="AI464" s="28">
        <f ca="1">ROUND(VLOOKUP(1,enemy_base_stats!$A:$F,4,FALSE) * AA464*L464*Q464*G464*U464*AF464*[2]ステータス!$D$2,0)</f>
        <v>0</v>
      </c>
      <c r="AJ464" s="28">
        <f ca="1">ROUND(VLOOKUP(100,enemy_base_stats!$A:$F,2,FALSE) * Y464* J464*O464*E464*S464*AD464*[2]ステータス!$B$2,0)</f>
        <v>179848</v>
      </c>
      <c r="AK464" s="28">
        <f ca="1">ROUND(VLOOKUP(100,enemy_base_stats!$A:$F,3,FALSE)* Z464* K464*P464*F464*T464*AE464 * W464*[2]ステータス!$C$2,0)</f>
        <v>8834</v>
      </c>
      <c r="AL464" s="28">
        <f ca="1">ROUND(VLOOKUP(100,enemy_base_stats!$A:$F,4,FALSE)* AA464* L464*Q464*G464*U464*AF464*[2]ステータス!$D$2,0)</f>
        <v>0</v>
      </c>
      <c r="AM464" s="24">
        <f ca="1">VLOOKUP(M464,[2]character_tribe_i18n!$A:$I,9,FALSE)</f>
        <v>400</v>
      </c>
      <c r="AN464" s="36">
        <v>0</v>
      </c>
      <c r="AO464" s="53">
        <v>0</v>
      </c>
      <c r="AP464" s="58" t="s">
        <v>72</v>
      </c>
      <c r="AQ464" s="71">
        <f t="shared" ca="1" si="21"/>
        <v>463</v>
      </c>
    </row>
    <row r="465" spans="1:43" ht="21" customHeight="1" x14ac:dyDescent="0.15">
      <c r="A465" s="7">
        <f t="shared" ca="1" si="19"/>
        <v>464</v>
      </c>
      <c r="B465" s="6" t="str">
        <f ca="1">VLOOKUP(A465,[2]characters!$A:$C,3,FALSE)</f>
        <v>円熟の弾導 ガウェイン</v>
      </c>
      <c r="C465" s="9">
        <f ca="1">VLOOKUP(A465,[2]characters!$A:$I,9,FALSE)</f>
        <v>5</v>
      </c>
      <c r="D465" s="9" t="str">
        <f ca="1">VLOOKUP(A465,[2]characters!$A:$H,8,FALSE)</f>
        <v>red</v>
      </c>
      <c r="E465" s="24">
        <f ca="1">VLOOKUP(D465,[2]属性!$A:$E,2,FALSE)</f>
        <v>1</v>
      </c>
      <c r="F465" s="24">
        <f ca="1">VLOOKUP(D465,[2]属性!$A:$E,3,FALSE)</f>
        <v>1.02</v>
      </c>
      <c r="G465" s="24">
        <f ca="1">VLOOKUP(D465,[2]属性!$A:$F,4,FALSE)</f>
        <v>1</v>
      </c>
      <c r="H465" s="9" t="str">
        <f ca="1">VLOOKUP(A465,[2]characters!$A:$K,11,FALSE)</f>
        <v>hp</v>
      </c>
      <c r="I465" s="14" t="str">
        <f ca="1">VLOOKUP(H465,[2]character_type_i18n!$A:$F,3,FALSE)</f>
        <v>体力タイプ</v>
      </c>
      <c r="J465" s="36">
        <f ca="1">VLOOKUP(H465,[2]character_type_i18n!$A:$F,4,FALSE)</f>
        <v>1.45</v>
      </c>
      <c r="K465" s="36">
        <f ca="1">VLOOKUP(H465,[2]character_type_i18n!$A:$F,5,FALSE)</f>
        <v>0.85</v>
      </c>
      <c r="L465" s="36">
        <f ca="1">VLOOKUP(H465,[2]character_type_i18n!$A:$F,6,FALSE)</f>
        <v>1</v>
      </c>
      <c r="M465" s="9" t="str">
        <f ca="1">VLOOKUP(A465,[2]characters!$A:$M,13,FALSE)</f>
        <v>human</v>
      </c>
      <c r="N465" s="14" t="str">
        <f ca="1">VLOOKUP(M465,[2]character_tribe_i18n!$A:$F,3,FALSE)</f>
        <v>ヒューマン</v>
      </c>
      <c r="O465" s="24">
        <f ca="1">VLOOKUP(M465,[2]character_tribe_i18n!$A:$F,4,FALSE)</f>
        <v>0.94</v>
      </c>
      <c r="P465" s="24">
        <f ca="1">VLOOKUP(M465,[2]character_tribe_i18n!$A:$F,5,FALSE)</f>
        <v>0.99</v>
      </c>
      <c r="Q465" s="24">
        <f ca="1">VLOOKUP(M465,[2]character_tribe_i18n!$A:$F,6,FALSE)</f>
        <v>1</v>
      </c>
      <c r="R465" s="25" t="s">
        <v>98</v>
      </c>
      <c r="S465" s="24">
        <f>VLOOKUP($R465,ラベル別係数!$A$1:$E$7,3,FALSE)</f>
        <v>5</v>
      </c>
      <c r="T465" s="24">
        <f>VLOOKUP($R465,ラベル別係数!$A$1:$E$7,4,FALSE)</f>
        <v>1.3</v>
      </c>
      <c r="U465" s="24">
        <f>VLOOKUP($R465,ラベル別係数!$A$1:$E$7,5,FALSE)</f>
        <v>0.8</v>
      </c>
      <c r="V465" s="27">
        <v>3</v>
      </c>
      <c r="W465" s="28">
        <f>VLOOKUP(V465,ターン数別攻撃係数!$A$1:$B$1000,2,FALSE)</f>
        <v>1</v>
      </c>
      <c r="X465" s="9">
        <f ca="1">VLOOKUP(C465,サイズ別係数!A$2:B$9,2,FALSE)</f>
        <v>60</v>
      </c>
      <c r="Y465" s="26">
        <f ca="1">VLOOKUP($X465,サイズ別係数!$B:$E,2,FALSE)</f>
        <v>1.7</v>
      </c>
      <c r="Z465" s="26">
        <f ca="1">VLOOKUP($X465,サイズ別係数!$B:$E,3,FALSE)</f>
        <v>1.4</v>
      </c>
      <c r="AA465" s="26">
        <f ca="1">VLOOKUP($X465,サイズ別係数!$B:$E,4,FALSE)</f>
        <v>1</v>
      </c>
      <c r="AB465" s="5">
        <v>0</v>
      </c>
      <c r="AC465" s="34" t="str">
        <f ca="1">VLOOKUP($AB465,OFFSET([3]enemy_skill_sets!$B$2,0,0,COUNTA([3]enemy_skill_sets!$A:$A),MATCH(AC$1,[3]enemy_skill_sets!$1:$1,0)-MATCH($AB$1,[3]enemy_skill_sets!$1:$1,0)+1),MATCH(AC$1,[3]enemy_skill_sets!$1:$1,0)-MATCH($AB$1,[3]enemy_skill_sets!$1:$1,0)+1,FALSE)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5" s="67">
        <v>1</v>
      </c>
      <c r="AE465" s="67">
        <v>1</v>
      </c>
      <c r="AF465" s="37">
        <v>0</v>
      </c>
      <c r="AG465" s="28">
        <f ca="1">ROUND(VLOOKUP(1,enemy_base_stats!$A:$F,2,FALSE) * Y465* J465*O465*E465*S465*AD465*[2]ステータス!$B$2,0)</f>
        <v>5793</v>
      </c>
      <c r="AH465" s="28">
        <f ca="1">ROUND(VLOOKUP(1,enemy_base_stats!$A:$F,3,FALSE) * Z465*K465*P465*F465*T465*AE465 * W465*[2]ステータス!$C$2,0)</f>
        <v>234</v>
      </c>
      <c r="AI465" s="28">
        <f ca="1">ROUND(VLOOKUP(1,enemy_base_stats!$A:$F,4,FALSE) * AA465*L465*Q465*G465*U465*AF465*[2]ステータス!$D$2,0)</f>
        <v>0</v>
      </c>
      <c r="AJ465" s="28">
        <f ca="1">ROUND(VLOOKUP(100,enemy_base_stats!$A:$F,2,FALSE) * Y465* J465*O465*E465*S465*AD465*[2]ステータス!$B$2,0)</f>
        <v>235186</v>
      </c>
      <c r="AK465" s="28">
        <f ca="1">ROUND(VLOOKUP(100,enemy_base_stats!$A:$F,3,FALSE)* Z465* K465*P465*F465*T465*AE465 * W465*[2]ステータス!$C$2,0)</f>
        <v>9514</v>
      </c>
      <c r="AL465" s="28">
        <f ca="1">ROUND(VLOOKUP(100,enemy_base_stats!$A:$F,4,FALSE)* AA465* L465*Q465*G465*U465*AF465*[2]ステータス!$D$2,0)</f>
        <v>0</v>
      </c>
      <c r="AM465" s="24">
        <f ca="1">VLOOKUP(M465,[2]character_tribe_i18n!$A:$I,9,FALSE)</f>
        <v>400</v>
      </c>
      <c r="AN465" s="36">
        <v>0</v>
      </c>
      <c r="AO465" s="53">
        <v>0</v>
      </c>
      <c r="AP465" s="58" t="s">
        <v>72</v>
      </c>
      <c r="AQ465" s="71">
        <f t="shared" ca="1" si="21"/>
        <v>464</v>
      </c>
    </row>
    <row r="466" spans="1:43" ht="21" customHeight="1" x14ac:dyDescent="0.15">
      <c r="A466" s="7">
        <f t="shared" ca="1" si="19"/>
        <v>465</v>
      </c>
      <c r="B466" s="6" t="str">
        <f ca="1">VLOOKUP(A466,[2]characters!$A:$C,3,FALSE)</f>
        <v>真撃 ランスロット</v>
      </c>
      <c r="C466" s="9">
        <f ca="1">VLOOKUP(A466,[2]characters!$A:$I,9,FALSE)</f>
        <v>4</v>
      </c>
      <c r="D466" s="9" t="str">
        <f ca="1">VLOOKUP(A466,[2]characters!$A:$H,8,FALSE)</f>
        <v>green</v>
      </c>
      <c r="E466" s="24">
        <f ca="1">VLOOKUP(D466,[2]属性!$A:$E,2,FALSE)</f>
        <v>1.02</v>
      </c>
      <c r="F466" s="24">
        <f ca="1">VLOOKUP(D466,[2]属性!$A:$E,3,FALSE)</f>
        <v>0.98</v>
      </c>
      <c r="G466" s="24">
        <f ca="1">VLOOKUP(D466,[2]属性!$A:$F,4,FALSE)</f>
        <v>1</v>
      </c>
      <c r="H466" s="9" t="str">
        <f ca="1">VLOOKUP(A466,[2]characters!$A:$K,11,FALSE)</f>
        <v>balance</v>
      </c>
      <c r="I466" s="14" t="str">
        <f ca="1">VLOOKUP(H466,[2]character_type_i18n!$A:$F,3,FALSE)</f>
        <v>バランスタイプ</v>
      </c>
      <c r="J466" s="36">
        <f ca="1">VLOOKUP(H466,[2]character_type_i18n!$A:$F,4,FALSE)</f>
        <v>1</v>
      </c>
      <c r="K466" s="36">
        <f ca="1">VLOOKUP(H466,[2]character_type_i18n!$A:$F,5,FALSE)</f>
        <v>1</v>
      </c>
      <c r="L466" s="36">
        <f ca="1">VLOOKUP(H466,[2]character_type_i18n!$A:$F,6,FALSE)</f>
        <v>1</v>
      </c>
      <c r="M466" s="9" t="str">
        <f ca="1">VLOOKUP(A466,[2]characters!$A:$M,13,FALSE)</f>
        <v>human</v>
      </c>
      <c r="N466" s="14" t="str">
        <f ca="1">VLOOKUP(M466,[2]character_tribe_i18n!$A:$F,3,FALSE)</f>
        <v>ヒューマン</v>
      </c>
      <c r="O466" s="24">
        <f ca="1">VLOOKUP(M466,[2]character_tribe_i18n!$A:$F,4,FALSE)</f>
        <v>0.94</v>
      </c>
      <c r="P466" s="24">
        <f ca="1">VLOOKUP(M466,[2]character_tribe_i18n!$A:$F,5,FALSE)</f>
        <v>0.99</v>
      </c>
      <c r="Q466" s="24">
        <f ca="1">VLOOKUP(M466,[2]character_tribe_i18n!$A:$F,6,FALSE)</f>
        <v>1</v>
      </c>
      <c r="R466" s="25" t="s">
        <v>98</v>
      </c>
      <c r="S466" s="24">
        <f>VLOOKUP($R466,ラベル別係数!$A$1:$E$7,3,FALSE)</f>
        <v>5</v>
      </c>
      <c r="T466" s="24">
        <f>VLOOKUP($R466,ラベル別係数!$A$1:$E$7,4,FALSE)</f>
        <v>1.3</v>
      </c>
      <c r="U466" s="24">
        <f>VLOOKUP($R466,ラベル別係数!$A$1:$E$7,5,FALSE)</f>
        <v>0.8</v>
      </c>
      <c r="V466" s="27">
        <v>3</v>
      </c>
      <c r="W466" s="28">
        <f>VLOOKUP(V466,ターン数別攻撃係数!$A$1:$B$1000,2,FALSE)</f>
        <v>1</v>
      </c>
      <c r="X466" s="9">
        <f ca="1">VLOOKUP(C466,サイズ別係数!A$2:B$9,2,FALSE)</f>
        <v>30</v>
      </c>
      <c r="Y466" s="26">
        <f ca="1">VLOOKUP($X466,サイズ別係数!$B:$E,2,FALSE)</f>
        <v>1.3</v>
      </c>
      <c r="Z466" s="26">
        <f ca="1">VLOOKUP($X466,サイズ別係数!$B:$E,3,FALSE)</f>
        <v>1.3</v>
      </c>
      <c r="AA466" s="26">
        <f ca="1">VLOOKUP($X466,サイズ別係数!$B:$E,4,FALSE)</f>
        <v>1.1000000000000001</v>
      </c>
      <c r="AB466" s="5">
        <v>0</v>
      </c>
      <c r="AC466" s="34" t="str">
        <f ca="1">VLOOKUP($AB466,OFFSET([3]enemy_skill_sets!$B$2,0,0,COUNTA([3]enemy_skill_sets!$A:$A),MATCH(AC$1,[3]enemy_skill_sets!$1:$1,0)-MATCH($AB$1,[3]enemy_skill_sets!$1:$1,0)+1),MATCH(AC$1,[3]enemy_skill_sets!$1:$1,0)-MATCH($AB$1,[3]enemy_skill_sets!$1:$1,0)+1,FALSE)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6" s="67">
        <v>1</v>
      </c>
      <c r="AE466" s="67">
        <v>1</v>
      </c>
      <c r="AF466" s="37">
        <v>0</v>
      </c>
      <c r="AG466" s="28">
        <f ca="1">ROUND(VLOOKUP(1,enemy_base_stats!$A:$F,2,FALSE) * Y466* J466*O466*E466*S466*AD466*[2]ステータス!$B$2,0)</f>
        <v>3116</v>
      </c>
      <c r="AH466" s="28">
        <f ca="1">ROUND(VLOOKUP(1,enemy_base_stats!$A:$F,3,FALSE) * Z466*K466*P466*F466*T466*AE466 * W466*[2]ステータス!$C$2,0)</f>
        <v>246</v>
      </c>
      <c r="AI466" s="28">
        <f ca="1">ROUND(VLOOKUP(1,enemy_base_stats!$A:$F,4,FALSE) * AA466*L466*Q466*G466*U466*AF466*[2]ステータス!$D$2,0)</f>
        <v>0</v>
      </c>
      <c r="AJ466" s="28">
        <f ca="1">ROUND(VLOOKUP(100,enemy_base_stats!$A:$F,2,FALSE) * Y466* J466*O466*E466*S466*AD466*[2]ステータス!$B$2,0)</f>
        <v>126514</v>
      </c>
      <c r="AK466" s="28">
        <f ca="1">ROUND(VLOOKUP(100,enemy_base_stats!$A:$F,3,FALSE)* Z466* K466*P466*F466*T466*AE466 * W466*[2]ステータス!$C$2,0)</f>
        <v>9985</v>
      </c>
      <c r="AL466" s="28">
        <f ca="1">ROUND(VLOOKUP(100,enemy_base_stats!$A:$F,4,FALSE)* AA466* L466*Q466*G466*U466*AF466*[2]ステータス!$D$2,0)</f>
        <v>0</v>
      </c>
      <c r="AM466" s="24">
        <f ca="1">VLOOKUP(M466,[2]character_tribe_i18n!$A:$I,9,FALSE)</f>
        <v>400</v>
      </c>
      <c r="AN466" s="36">
        <v>0</v>
      </c>
      <c r="AO466" s="53">
        <v>0</v>
      </c>
      <c r="AP466" s="58" t="s">
        <v>72</v>
      </c>
      <c r="AQ466" s="71">
        <f t="shared" ca="1" si="21"/>
        <v>465</v>
      </c>
    </row>
    <row r="467" spans="1:43" ht="21" customHeight="1" x14ac:dyDescent="0.15">
      <c r="A467" s="7">
        <f t="shared" ca="1" si="19"/>
        <v>466</v>
      </c>
      <c r="B467" s="6" t="str">
        <f ca="1">VLOOKUP(A467,[2]characters!$A:$C,3,FALSE)</f>
        <v>真断の勇覇 ランスロット</v>
      </c>
      <c r="C467" s="9">
        <f ca="1">VLOOKUP(A467,[2]characters!$A:$I,9,FALSE)</f>
        <v>5</v>
      </c>
      <c r="D467" s="9" t="str">
        <f ca="1">VLOOKUP(A467,[2]characters!$A:$H,8,FALSE)</f>
        <v>green</v>
      </c>
      <c r="E467" s="24">
        <f ca="1">VLOOKUP(D467,[2]属性!$A:$E,2,FALSE)</f>
        <v>1.02</v>
      </c>
      <c r="F467" s="24">
        <f ca="1">VLOOKUP(D467,[2]属性!$A:$E,3,FALSE)</f>
        <v>0.98</v>
      </c>
      <c r="G467" s="24">
        <f ca="1">VLOOKUP(D467,[2]属性!$A:$F,4,FALSE)</f>
        <v>1</v>
      </c>
      <c r="H467" s="9" t="str">
        <f ca="1">VLOOKUP(A467,[2]characters!$A:$K,11,FALSE)</f>
        <v>balance</v>
      </c>
      <c r="I467" s="14" t="str">
        <f ca="1">VLOOKUP(H467,[2]character_type_i18n!$A:$F,3,FALSE)</f>
        <v>バランスタイプ</v>
      </c>
      <c r="J467" s="36">
        <f ca="1">VLOOKUP(H467,[2]character_type_i18n!$A:$F,4,FALSE)</f>
        <v>1</v>
      </c>
      <c r="K467" s="36">
        <f ca="1">VLOOKUP(H467,[2]character_type_i18n!$A:$F,5,FALSE)</f>
        <v>1</v>
      </c>
      <c r="L467" s="36">
        <f ca="1">VLOOKUP(H467,[2]character_type_i18n!$A:$F,6,FALSE)</f>
        <v>1</v>
      </c>
      <c r="M467" s="9" t="str">
        <f ca="1">VLOOKUP(A467,[2]characters!$A:$M,13,FALSE)</f>
        <v>human</v>
      </c>
      <c r="N467" s="14" t="str">
        <f ca="1">VLOOKUP(M467,[2]character_tribe_i18n!$A:$F,3,FALSE)</f>
        <v>ヒューマン</v>
      </c>
      <c r="O467" s="24">
        <f ca="1">VLOOKUP(M467,[2]character_tribe_i18n!$A:$F,4,FALSE)</f>
        <v>0.94</v>
      </c>
      <c r="P467" s="24">
        <f ca="1">VLOOKUP(M467,[2]character_tribe_i18n!$A:$F,5,FALSE)</f>
        <v>0.99</v>
      </c>
      <c r="Q467" s="24">
        <f ca="1">VLOOKUP(M467,[2]character_tribe_i18n!$A:$F,6,FALSE)</f>
        <v>1</v>
      </c>
      <c r="R467" s="25" t="s">
        <v>98</v>
      </c>
      <c r="S467" s="24">
        <f>VLOOKUP($R467,ラベル別係数!$A$1:$E$7,3,FALSE)</f>
        <v>5</v>
      </c>
      <c r="T467" s="24">
        <f>VLOOKUP($R467,ラベル別係数!$A$1:$E$7,4,FALSE)</f>
        <v>1.3</v>
      </c>
      <c r="U467" s="24">
        <f>VLOOKUP($R467,ラベル別係数!$A$1:$E$7,5,FALSE)</f>
        <v>0.8</v>
      </c>
      <c r="V467" s="27">
        <v>3</v>
      </c>
      <c r="W467" s="28">
        <f>VLOOKUP(V467,ターン数別攻撃係数!$A$1:$B$1000,2,FALSE)</f>
        <v>1</v>
      </c>
      <c r="X467" s="9">
        <f ca="1">VLOOKUP(C467,サイズ別係数!A$2:B$9,2,FALSE)</f>
        <v>60</v>
      </c>
      <c r="Y467" s="26">
        <f ca="1">VLOOKUP($X467,サイズ別係数!$B:$E,2,FALSE)</f>
        <v>1.7</v>
      </c>
      <c r="Z467" s="26">
        <f ca="1">VLOOKUP($X467,サイズ別係数!$B:$E,3,FALSE)</f>
        <v>1.4</v>
      </c>
      <c r="AA467" s="26">
        <f ca="1">VLOOKUP($X467,サイズ別係数!$B:$E,4,FALSE)</f>
        <v>1</v>
      </c>
      <c r="AB467" s="5">
        <v>0</v>
      </c>
      <c r="AC467" s="34" t="str">
        <f ca="1">VLOOKUP($AB467,OFFSET([3]enemy_skill_sets!$B$2,0,0,COUNTA([3]enemy_skill_sets!$A:$A),MATCH(AC$1,[3]enemy_skill_sets!$1:$1,0)-MATCH($AB$1,[3]enemy_skill_sets!$1:$1,0)+1),MATCH(AC$1,[3]enemy_skill_sets!$1:$1,0)-MATCH($AB$1,[3]enemy_skill_sets!$1:$1,0)+1,FALSE)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7" s="67">
        <v>1</v>
      </c>
      <c r="AE467" s="67">
        <v>1</v>
      </c>
      <c r="AF467" s="37">
        <v>0</v>
      </c>
      <c r="AG467" s="28">
        <f ca="1">ROUND(VLOOKUP(1,enemy_base_stats!$A:$F,2,FALSE) * Y467* J467*O467*E467*S467*AD467*[2]ステータス!$B$2,0)</f>
        <v>4075</v>
      </c>
      <c r="AH467" s="28">
        <f ca="1">ROUND(VLOOKUP(1,enemy_base_stats!$A:$F,3,FALSE) * Z467*K467*P467*F467*T467*AE467 * W467*[2]ステータス!$C$2,0)</f>
        <v>265</v>
      </c>
      <c r="AI467" s="28">
        <f ca="1">ROUND(VLOOKUP(1,enemy_base_stats!$A:$F,4,FALSE) * AA467*L467*Q467*G467*U467*AF467*[2]ステータス!$D$2,0)</f>
        <v>0</v>
      </c>
      <c r="AJ467" s="28">
        <f ca="1">ROUND(VLOOKUP(100,enemy_base_stats!$A:$F,2,FALSE) * Y467* J467*O467*E467*S467*AD467*[2]ステータス!$B$2,0)</f>
        <v>165441</v>
      </c>
      <c r="AK467" s="28">
        <f ca="1">ROUND(VLOOKUP(100,enemy_base_stats!$A:$F,3,FALSE)* Z467* K467*P467*F467*T467*AE467 * W467*[2]ステータス!$C$2,0)</f>
        <v>10754</v>
      </c>
      <c r="AL467" s="28">
        <f ca="1">ROUND(VLOOKUP(100,enemy_base_stats!$A:$F,4,FALSE)* AA467* L467*Q467*G467*U467*AF467*[2]ステータス!$D$2,0)</f>
        <v>0</v>
      </c>
      <c r="AM467" s="24">
        <f ca="1">VLOOKUP(M467,[2]character_tribe_i18n!$A:$I,9,FALSE)</f>
        <v>400</v>
      </c>
      <c r="AN467" s="36">
        <v>0</v>
      </c>
      <c r="AO467" s="53">
        <v>0</v>
      </c>
      <c r="AP467" s="58" t="s">
        <v>72</v>
      </c>
      <c r="AQ467" s="71">
        <f t="shared" ca="1" si="21"/>
        <v>466</v>
      </c>
    </row>
    <row r="468" spans="1:43" ht="21" customHeight="1" x14ac:dyDescent="0.15">
      <c r="A468" s="7">
        <f t="shared" ca="1" si="19"/>
        <v>467</v>
      </c>
      <c r="B468" s="6" t="str">
        <f ca="1">VLOOKUP(A468,[2]characters!$A:$C,3,FALSE)</f>
        <v>報復 モルドレッド</v>
      </c>
      <c r="C468" s="9">
        <f ca="1">VLOOKUP(A468,[2]characters!$A:$I,9,FALSE)</f>
        <v>4</v>
      </c>
      <c r="D468" s="9" t="str">
        <f ca="1">VLOOKUP(A468,[2]characters!$A:$H,8,FALSE)</f>
        <v>blue</v>
      </c>
      <c r="E468" s="24">
        <f ca="1">VLOOKUP(D468,[2]属性!$A:$E,2,FALSE)</f>
        <v>1</v>
      </c>
      <c r="F468" s="24">
        <f ca="1">VLOOKUP(D468,[2]属性!$A:$E,3,FALSE)</f>
        <v>0.98</v>
      </c>
      <c r="G468" s="24">
        <f ca="1">VLOOKUP(D468,[2]属性!$A:$F,4,FALSE)</f>
        <v>1</v>
      </c>
      <c r="H468" s="9" t="str">
        <f ca="1">VLOOKUP(A468,[2]characters!$A:$K,11,FALSE)</f>
        <v>technical</v>
      </c>
      <c r="I468" s="14" t="str">
        <f ca="1">VLOOKUP(H468,[2]character_type_i18n!$A:$F,3,FALSE)</f>
        <v>テクニカルタイプ</v>
      </c>
      <c r="J468" s="36">
        <f ca="1">VLOOKUP(H468,[2]character_type_i18n!$A:$F,4,FALSE)</f>
        <v>0.9</v>
      </c>
      <c r="K468" s="36">
        <f ca="1">VLOOKUP(H468,[2]character_type_i18n!$A:$F,5,FALSE)</f>
        <v>0.9</v>
      </c>
      <c r="L468" s="36">
        <f ca="1">VLOOKUP(H468,[2]character_type_i18n!$A:$F,6,FALSE)</f>
        <v>1</v>
      </c>
      <c r="M468" s="9" t="str">
        <f ca="1">VLOOKUP(A468,[2]characters!$A:$M,13,FALSE)</f>
        <v>human</v>
      </c>
      <c r="N468" s="14" t="str">
        <f ca="1">VLOOKUP(M468,[2]character_tribe_i18n!$A:$F,3,FALSE)</f>
        <v>ヒューマン</v>
      </c>
      <c r="O468" s="24">
        <f ca="1">VLOOKUP(M468,[2]character_tribe_i18n!$A:$F,4,FALSE)</f>
        <v>0.94</v>
      </c>
      <c r="P468" s="24">
        <f ca="1">VLOOKUP(M468,[2]character_tribe_i18n!$A:$F,5,FALSE)</f>
        <v>0.99</v>
      </c>
      <c r="Q468" s="24">
        <f ca="1">VLOOKUP(M468,[2]character_tribe_i18n!$A:$F,6,FALSE)</f>
        <v>1</v>
      </c>
      <c r="R468" s="25" t="s">
        <v>98</v>
      </c>
      <c r="S468" s="24">
        <f>VLOOKUP($R468,ラベル別係数!$A$1:$E$7,3,FALSE)</f>
        <v>5</v>
      </c>
      <c r="T468" s="24">
        <f>VLOOKUP($R468,ラベル別係数!$A$1:$E$7,4,FALSE)</f>
        <v>1.3</v>
      </c>
      <c r="U468" s="24">
        <f>VLOOKUP($R468,ラベル別係数!$A$1:$E$7,5,FALSE)</f>
        <v>0.8</v>
      </c>
      <c r="V468" s="27">
        <v>3</v>
      </c>
      <c r="W468" s="28">
        <f>VLOOKUP(V468,ターン数別攻撃係数!$A$1:$B$1000,2,FALSE)</f>
        <v>1</v>
      </c>
      <c r="X468" s="9">
        <f ca="1">VLOOKUP(C468,サイズ別係数!A$2:B$9,2,FALSE)</f>
        <v>30</v>
      </c>
      <c r="Y468" s="26">
        <f ca="1">VLOOKUP($X468,サイズ別係数!$B:$E,2,FALSE)</f>
        <v>1.3</v>
      </c>
      <c r="Z468" s="26">
        <f ca="1">VLOOKUP($X468,サイズ別係数!$B:$E,3,FALSE)</f>
        <v>1.3</v>
      </c>
      <c r="AA468" s="26">
        <f ca="1">VLOOKUP($X468,サイズ別係数!$B:$E,4,FALSE)</f>
        <v>1.1000000000000001</v>
      </c>
      <c r="AB468" s="5">
        <v>0</v>
      </c>
      <c r="AC468" s="34" t="str">
        <f ca="1">VLOOKUP($AB468,OFFSET([3]enemy_skill_sets!$B$2,0,0,COUNTA([3]enemy_skill_sets!$A:$A),MATCH(AC$1,[3]enemy_skill_sets!$1:$1,0)-MATCH($AB$1,[3]enemy_skill_sets!$1:$1,0)+1),MATCH(AC$1,[3]enemy_skill_sets!$1:$1,0)-MATCH($AB$1,[3]enemy_skill_sets!$1:$1,0)+1,FALSE)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8" s="67">
        <v>1</v>
      </c>
      <c r="AE468" s="67">
        <v>1</v>
      </c>
      <c r="AF468" s="37">
        <v>0</v>
      </c>
      <c r="AG468" s="28">
        <f ca="1">ROUND(VLOOKUP(1,enemy_base_stats!$A:$F,2,FALSE) * Y468* J468*O468*E468*S468*AD468*[2]ステータス!$B$2,0)</f>
        <v>2750</v>
      </c>
      <c r="AH468" s="28">
        <f ca="1">ROUND(VLOOKUP(1,enemy_base_stats!$A:$F,3,FALSE) * Z468*K468*P468*F468*T468*AE468 * W468*[2]ステータス!$C$2,0)</f>
        <v>221</v>
      </c>
      <c r="AI468" s="28">
        <f ca="1">ROUND(VLOOKUP(1,enemy_base_stats!$A:$F,4,FALSE) * AA468*L468*Q468*G468*U468*AF468*[2]ステータス!$D$2,0)</f>
        <v>0</v>
      </c>
      <c r="AJ468" s="28">
        <f ca="1">ROUND(VLOOKUP(100,enemy_base_stats!$A:$F,2,FALSE) * Y468* J468*O468*E468*S468*AD468*[2]ステータス!$B$2,0)</f>
        <v>111630</v>
      </c>
      <c r="AK468" s="28">
        <f ca="1">ROUND(VLOOKUP(100,enemy_base_stats!$A:$F,3,FALSE)* Z468* K468*P468*F468*T468*AE468 * W468*[2]ステータス!$C$2,0)</f>
        <v>8987</v>
      </c>
      <c r="AL468" s="28">
        <f ca="1">ROUND(VLOOKUP(100,enemy_base_stats!$A:$F,4,FALSE)* AA468* L468*Q468*G468*U468*AF468*[2]ステータス!$D$2,0)</f>
        <v>0</v>
      </c>
      <c r="AM468" s="24">
        <f ca="1">VLOOKUP(M468,[2]character_tribe_i18n!$A:$I,9,FALSE)</f>
        <v>400</v>
      </c>
      <c r="AN468" s="36">
        <v>0</v>
      </c>
      <c r="AO468" s="53">
        <v>0</v>
      </c>
      <c r="AP468" s="58" t="s">
        <v>72</v>
      </c>
      <c r="AQ468" s="71">
        <f t="shared" ca="1" si="21"/>
        <v>467</v>
      </c>
    </row>
    <row r="469" spans="1:43" ht="21" customHeight="1" x14ac:dyDescent="0.15">
      <c r="A469" s="7">
        <f t="shared" ca="1" si="19"/>
        <v>468</v>
      </c>
      <c r="B469" s="6" t="str">
        <f ca="1">VLOOKUP(A469,[2]characters!$A:$C,3,FALSE)</f>
        <v>憎愛の尖鋒 モルドレッド</v>
      </c>
      <c r="C469" s="9">
        <f ca="1">VLOOKUP(A469,[2]characters!$A:$I,9,FALSE)</f>
        <v>5</v>
      </c>
      <c r="D469" s="9" t="str">
        <f ca="1">VLOOKUP(A469,[2]characters!$A:$H,8,FALSE)</f>
        <v>blue</v>
      </c>
      <c r="E469" s="24">
        <f ca="1">VLOOKUP(D469,[2]属性!$A:$E,2,FALSE)</f>
        <v>1</v>
      </c>
      <c r="F469" s="24">
        <f ca="1">VLOOKUP(D469,[2]属性!$A:$E,3,FALSE)</f>
        <v>0.98</v>
      </c>
      <c r="G469" s="24">
        <f ca="1">VLOOKUP(D469,[2]属性!$A:$F,4,FALSE)</f>
        <v>1</v>
      </c>
      <c r="H469" s="9" t="str">
        <f ca="1">VLOOKUP(A469,[2]characters!$A:$K,11,FALSE)</f>
        <v>technical</v>
      </c>
      <c r="I469" s="14" t="str">
        <f ca="1">VLOOKUP(H469,[2]character_type_i18n!$A:$F,3,FALSE)</f>
        <v>テクニカルタイプ</v>
      </c>
      <c r="J469" s="36">
        <f ca="1">VLOOKUP(H469,[2]character_type_i18n!$A:$F,4,FALSE)</f>
        <v>0.9</v>
      </c>
      <c r="K469" s="36">
        <f ca="1">VLOOKUP(H469,[2]character_type_i18n!$A:$F,5,FALSE)</f>
        <v>0.9</v>
      </c>
      <c r="L469" s="36">
        <f ca="1">VLOOKUP(H469,[2]character_type_i18n!$A:$F,6,FALSE)</f>
        <v>1</v>
      </c>
      <c r="M469" s="9" t="str">
        <f ca="1">VLOOKUP(A469,[2]characters!$A:$M,13,FALSE)</f>
        <v>human</v>
      </c>
      <c r="N469" s="14" t="str">
        <f ca="1">VLOOKUP(M469,[2]character_tribe_i18n!$A:$F,3,FALSE)</f>
        <v>ヒューマン</v>
      </c>
      <c r="O469" s="24">
        <f ca="1">VLOOKUP(M469,[2]character_tribe_i18n!$A:$F,4,FALSE)</f>
        <v>0.94</v>
      </c>
      <c r="P469" s="24">
        <f ca="1">VLOOKUP(M469,[2]character_tribe_i18n!$A:$F,5,FALSE)</f>
        <v>0.99</v>
      </c>
      <c r="Q469" s="24">
        <f ca="1">VLOOKUP(M469,[2]character_tribe_i18n!$A:$F,6,FALSE)</f>
        <v>1</v>
      </c>
      <c r="R469" s="25" t="s">
        <v>98</v>
      </c>
      <c r="S469" s="24">
        <f>VLOOKUP($R469,ラベル別係数!$A$1:$E$7,3,FALSE)</f>
        <v>5</v>
      </c>
      <c r="T469" s="24">
        <f>VLOOKUP($R469,ラベル別係数!$A$1:$E$7,4,FALSE)</f>
        <v>1.3</v>
      </c>
      <c r="U469" s="24">
        <f>VLOOKUP($R469,ラベル別係数!$A$1:$E$7,5,FALSE)</f>
        <v>0.8</v>
      </c>
      <c r="V469" s="27">
        <v>3</v>
      </c>
      <c r="W469" s="28">
        <f>VLOOKUP(V469,ターン数別攻撃係数!$A$1:$B$1000,2,FALSE)</f>
        <v>1</v>
      </c>
      <c r="X469" s="9">
        <f ca="1">VLOOKUP(C469,サイズ別係数!A$2:B$9,2,FALSE)</f>
        <v>60</v>
      </c>
      <c r="Y469" s="26">
        <f ca="1">VLOOKUP($X469,サイズ別係数!$B:$E,2,FALSE)</f>
        <v>1.7</v>
      </c>
      <c r="Z469" s="26">
        <f ca="1">VLOOKUP($X469,サイズ別係数!$B:$E,3,FALSE)</f>
        <v>1.4</v>
      </c>
      <c r="AA469" s="26">
        <f ca="1">VLOOKUP($X469,サイズ別係数!$B:$E,4,FALSE)</f>
        <v>1</v>
      </c>
      <c r="AB469" s="5">
        <v>0</v>
      </c>
      <c r="AC469" s="34" t="str">
        <f ca="1">VLOOKUP($AB469,OFFSET([3]enemy_skill_sets!$B$2,0,0,COUNTA([3]enemy_skill_sets!$A:$A),MATCH(AC$1,[3]enemy_skill_sets!$1:$1,0)-MATCH($AB$1,[3]enemy_skill_sets!$1:$1,0)+1),MATCH(AC$1,[3]enemy_skill_sets!$1:$1,0)-MATCH($AB$1,[3]enemy_skill_sets!$1:$1,0)+1,FALSE)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69" s="67">
        <v>1</v>
      </c>
      <c r="AE469" s="67">
        <v>1</v>
      </c>
      <c r="AF469" s="37">
        <v>0</v>
      </c>
      <c r="AG469" s="28">
        <f ca="1">ROUND(VLOOKUP(1,enemy_base_stats!$A:$F,2,FALSE) * Y469* J469*O469*E469*S469*AD469*[2]ステータス!$B$2,0)</f>
        <v>3596</v>
      </c>
      <c r="AH469" s="28">
        <f ca="1">ROUND(VLOOKUP(1,enemy_base_stats!$A:$F,3,FALSE) * Z469*K469*P469*F469*T469*AE469 * W469*[2]ステータス!$C$2,0)</f>
        <v>238</v>
      </c>
      <c r="AI469" s="28">
        <f ca="1">ROUND(VLOOKUP(1,enemy_base_stats!$A:$F,4,FALSE) * AA469*L469*Q469*G469*U469*AF469*[2]ステータス!$D$2,0)</f>
        <v>0</v>
      </c>
      <c r="AJ469" s="28">
        <f ca="1">ROUND(VLOOKUP(100,enemy_base_stats!$A:$F,2,FALSE) * Y469* J469*O469*E469*S469*AD469*[2]ステータス!$B$2,0)</f>
        <v>145977</v>
      </c>
      <c r="AK469" s="28">
        <f ca="1">ROUND(VLOOKUP(100,enemy_base_stats!$A:$F,3,FALSE)* Z469* K469*P469*F469*T469*AE469 * W469*[2]ステータス!$C$2,0)</f>
        <v>9678</v>
      </c>
      <c r="AL469" s="28">
        <f ca="1">ROUND(VLOOKUP(100,enemy_base_stats!$A:$F,4,FALSE)* AA469* L469*Q469*G469*U469*AF469*[2]ステータス!$D$2,0)</f>
        <v>0</v>
      </c>
      <c r="AM469" s="24">
        <f ca="1">VLOOKUP(M469,[2]character_tribe_i18n!$A:$I,9,FALSE)</f>
        <v>400</v>
      </c>
      <c r="AN469" s="36">
        <v>0</v>
      </c>
      <c r="AO469" s="53">
        <v>0</v>
      </c>
      <c r="AP469" s="58" t="s">
        <v>72</v>
      </c>
      <c r="AQ469" s="71">
        <f t="shared" ca="1" si="21"/>
        <v>468</v>
      </c>
    </row>
    <row r="470" spans="1:43" ht="21" customHeight="1" x14ac:dyDescent="0.15">
      <c r="A470" s="7">
        <f t="shared" ca="1" si="19"/>
        <v>469</v>
      </c>
      <c r="B470" s="6" t="str">
        <f ca="1">VLOOKUP(A470,[2]characters!$A:$C,3,FALSE)</f>
        <v>トリスタン</v>
      </c>
      <c r="C470" s="9">
        <f ca="1">VLOOKUP(A470,[2]characters!$A:$I,9,FALSE)</f>
        <v>3</v>
      </c>
      <c r="D470" s="9" t="str">
        <f ca="1">VLOOKUP(A470,[2]characters!$A:$H,8,FALSE)</f>
        <v>yellow</v>
      </c>
      <c r="E470" s="24">
        <f ca="1">VLOOKUP(D470,[2]属性!$A:$E,2,FALSE)</f>
        <v>0.98</v>
      </c>
      <c r="F470" s="24">
        <f ca="1">VLOOKUP(D470,[2]属性!$A:$E,3,FALSE)</f>
        <v>1.01</v>
      </c>
      <c r="G470" s="24">
        <f ca="1">VLOOKUP(D470,[2]属性!$A:$F,4,FALSE)</f>
        <v>1</v>
      </c>
      <c r="H470" s="9" t="str">
        <f ca="1">VLOOKUP(A470,[2]characters!$A:$K,11,FALSE)</f>
        <v>attack</v>
      </c>
      <c r="I470" s="14" t="str">
        <f ca="1">VLOOKUP(H470,[2]character_type_i18n!$A:$F,3,FALSE)</f>
        <v>攻撃タイプ</v>
      </c>
      <c r="J470" s="36">
        <f ca="1">VLOOKUP(H470,[2]character_type_i18n!$A:$F,4,FALSE)</f>
        <v>1</v>
      </c>
      <c r="K470" s="36">
        <f ca="1">VLOOKUP(H470,[2]character_type_i18n!$A:$F,5,FALSE)</f>
        <v>1.33</v>
      </c>
      <c r="L470" s="36">
        <f ca="1">VLOOKUP(H470,[2]character_type_i18n!$A:$F,6,FALSE)</f>
        <v>1</v>
      </c>
      <c r="M470" s="9" t="str">
        <f ca="1">VLOOKUP(A470,[2]characters!$A:$M,13,FALSE)</f>
        <v>human</v>
      </c>
      <c r="N470" s="14" t="str">
        <f ca="1">VLOOKUP(M470,[2]character_tribe_i18n!$A:$F,3,FALSE)</f>
        <v>ヒューマン</v>
      </c>
      <c r="O470" s="24">
        <f ca="1">VLOOKUP(M470,[2]character_tribe_i18n!$A:$F,4,FALSE)</f>
        <v>0.94</v>
      </c>
      <c r="P470" s="24">
        <f ca="1">VLOOKUP(M470,[2]character_tribe_i18n!$A:$F,5,FALSE)</f>
        <v>0.99</v>
      </c>
      <c r="Q470" s="24">
        <f ca="1">VLOOKUP(M470,[2]character_tribe_i18n!$A:$F,6,FALSE)</f>
        <v>1</v>
      </c>
      <c r="R470" s="25" t="s">
        <v>98</v>
      </c>
      <c r="S470" s="24">
        <f>VLOOKUP($R470,ラベル別係数!$A$1:$E$7,3,FALSE)</f>
        <v>5</v>
      </c>
      <c r="T470" s="24">
        <f>VLOOKUP($R470,ラベル別係数!$A$1:$E$7,4,FALSE)</f>
        <v>1.3</v>
      </c>
      <c r="U470" s="24">
        <f>VLOOKUP($R470,ラベル別係数!$A$1:$E$7,5,FALSE)</f>
        <v>0.8</v>
      </c>
      <c r="V470" s="27">
        <v>3</v>
      </c>
      <c r="W470" s="28">
        <f>VLOOKUP(V470,ターン数別攻撃係数!$A$1:$B$1000,2,FALSE)</f>
        <v>1</v>
      </c>
      <c r="X470" s="9">
        <f ca="1">VLOOKUP(C470,サイズ別係数!A$2:B$9,2,FALSE)</f>
        <v>25</v>
      </c>
      <c r="Y470" s="26">
        <f ca="1">VLOOKUP($X470,サイズ別係数!$B:$E,2,FALSE)</f>
        <v>1.2</v>
      </c>
      <c r="Z470" s="26">
        <f ca="1">VLOOKUP($X470,サイズ別係数!$B:$E,3,FALSE)</f>
        <v>1.25</v>
      </c>
      <c r="AA470" s="26">
        <f ca="1">VLOOKUP($X470,サイズ別係数!$B:$E,4,FALSE)</f>
        <v>1.1499999999999999</v>
      </c>
      <c r="AB470" s="5">
        <v>0</v>
      </c>
      <c r="AC470" s="34" t="str">
        <f ca="1">VLOOKUP($AB470,OFFSET([3]enemy_skill_sets!$B$2,0,0,COUNTA([3]enemy_skill_sets!$A:$A),MATCH(AC$1,[3]enemy_skill_sets!$1:$1,0)-MATCH($AB$1,[3]enemy_skill_sets!$1:$1,0)+1),MATCH(AC$1,[3]enemy_skill_sets!$1:$1,0)-MATCH($AB$1,[3]enemy_skill_sets!$1:$1,0)+1,FALSE)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0" s="67">
        <v>1</v>
      </c>
      <c r="AE470" s="67">
        <v>1</v>
      </c>
      <c r="AF470" s="37">
        <v>0</v>
      </c>
      <c r="AG470" s="28">
        <f ca="1">ROUND(VLOOKUP(1,enemy_base_stats!$A:$F,2,FALSE) * Y470* J470*O470*E470*S470*AD470*[2]ステータス!$B$2,0)</f>
        <v>2764</v>
      </c>
      <c r="AH470" s="28">
        <f ca="1">ROUND(VLOOKUP(1,enemy_base_stats!$A:$F,3,FALSE) * Z470*K470*P470*F470*T470*AE470 * W470*[2]ステータス!$C$2,0)</f>
        <v>324</v>
      </c>
      <c r="AI470" s="28">
        <f ca="1">ROUND(VLOOKUP(1,enemy_base_stats!$A:$F,4,FALSE) * AA470*L470*Q470*G470*U470*AF470*[2]ステータス!$D$2,0)</f>
        <v>0</v>
      </c>
      <c r="AJ470" s="28">
        <f ca="1">ROUND(VLOOKUP(100,enemy_base_stats!$A:$F,2,FALSE) * Y470* J470*O470*E470*S470*AD470*[2]ステータス!$B$2,0)</f>
        <v>112202</v>
      </c>
      <c r="AK470" s="28">
        <f ca="1">ROUND(VLOOKUP(100,enemy_base_stats!$A:$F,3,FALSE)* Z470* K470*P470*F470*T470*AE470 * W470*[2]ステータス!$C$2,0)</f>
        <v>13161</v>
      </c>
      <c r="AL470" s="28">
        <f ca="1">ROUND(VLOOKUP(100,enemy_base_stats!$A:$F,4,FALSE)* AA470* L470*Q470*G470*U470*AF470*[2]ステータス!$D$2,0)</f>
        <v>0</v>
      </c>
      <c r="AM470" s="24">
        <f ca="1">VLOOKUP(M470,[2]character_tribe_i18n!$A:$I,9,FALSE)</f>
        <v>400</v>
      </c>
      <c r="AN470" s="36">
        <v>0</v>
      </c>
      <c r="AO470" s="53">
        <v>0</v>
      </c>
      <c r="AP470" s="58" t="s">
        <v>72</v>
      </c>
      <c r="AQ470" s="71">
        <f t="shared" ca="1" si="21"/>
        <v>469</v>
      </c>
    </row>
    <row r="471" spans="1:43" ht="21" customHeight="1" x14ac:dyDescent="0.15">
      <c r="A471" s="7">
        <f t="shared" ca="1" si="19"/>
        <v>470</v>
      </c>
      <c r="B471" s="6" t="str">
        <f ca="1">VLOOKUP(A471,[2]characters!$A:$C,3,FALSE)</f>
        <v>純心 トリスタン</v>
      </c>
      <c r="C471" s="9">
        <f ca="1">VLOOKUP(A471,[2]characters!$A:$I,9,FALSE)</f>
        <v>4</v>
      </c>
      <c r="D471" s="9" t="str">
        <f ca="1">VLOOKUP(A471,[2]characters!$A:$H,8,FALSE)</f>
        <v>yellow</v>
      </c>
      <c r="E471" s="24">
        <f ca="1">VLOOKUP(D471,[2]属性!$A:$E,2,FALSE)</f>
        <v>0.98</v>
      </c>
      <c r="F471" s="24">
        <f ca="1">VLOOKUP(D471,[2]属性!$A:$E,3,FALSE)</f>
        <v>1.01</v>
      </c>
      <c r="G471" s="24">
        <f ca="1">VLOOKUP(D471,[2]属性!$A:$F,4,FALSE)</f>
        <v>1</v>
      </c>
      <c r="H471" s="9" t="str">
        <f ca="1">VLOOKUP(A471,[2]characters!$A:$K,11,FALSE)</f>
        <v>attack</v>
      </c>
      <c r="I471" s="14" t="str">
        <f ca="1">VLOOKUP(H471,[2]character_type_i18n!$A:$F,3,FALSE)</f>
        <v>攻撃タイプ</v>
      </c>
      <c r="J471" s="36">
        <f ca="1">VLOOKUP(H471,[2]character_type_i18n!$A:$F,4,FALSE)</f>
        <v>1</v>
      </c>
      <c r="K471" s="36">
        <f ca="1">VLOOKUP(H471,[2]character_type_i18n!$A:$F,5,FALSE)</f>
        <v>1.33</v>
      </c>
      <c r="L471" s="36">
        <f ca="1">VLOOKUP(H471,[2]character_type_i18n!$A:$F,6,FALSE)</f>
        <v>1</v>
      </c>
      <c r="M471" s="9" t="str">
        <f ca="1">VLOOKUP(A471,[2]characters!$A:$M,13,FALSE)</f>
        <v>human</v>
      </c>
      <c r="N471" s="14" t="str">
        <f ca="1">VLOOKUP(M471,[2]character_tribe_i18n!$A:$F,3,FALSE)</f>
        <v>ヒューマン</v>
      </c>
      <c r="O471" s="24">
        <f ca="1">VLOOKUP(M471,[2]character_tribe_i18n!$A:$F,4,FALSE)</f>
        <v>0.94</v>
      </c>
      <c r="P471" s="24">
        <f ca="1">VLOOKUP(M471,[2]character_tribe_i18n!$A:$F,5,FALSE)</f>
        <v>0.99</v>
      </c>
      <c r="Q471" s="24">
        <f ca="1">VLOOKUP(M471,[2]character_tribe_i18n!$A:$F,6,FALSE)</f>
        <v>1</v>
      </c>
      <c r="R471" s="25" t="s">
        <v>98</v>
      </c>
      <c r="S471" s="24">
        <f>VLOOKUP($R471,ラベル別係数!$A$1:$E$7,3,FALSE)</f>
        <v>5</v>
      </c>
      <c r="T471" s="24">
        <f>VLOOKUP($R471,ラベル別係数!$A$1:$E$7,4,FALSE)</f>
        <v>1.3</v>
      </c>
      <c r="U471" s="24">
        <f>VLOOKUP($R471,ラベル別係数!$A$1:$E$7,5,FALSE)</f>
        <v>0.8</v>
      </c>
      <c r="V471" s="27">
        <v>3</v>
      </c>
      <c r="W471" s="28">
        <f>VLOOKUP(V471,ターン数別攻撃係数!$A$1:$B$1000,2,FALSE)</f>
        <v>1</v>
      </c>
      <c r="X471" s="9">
        <f ca="1">VLOOKUP(C471,サイズ別係数!A$2:B$9,2,FALSE)</f>
        <v>30</v>
      </c>
      <c r="Y471" s="26">
        <f ca="1">VLOOKUP($X471,サイズ別係数!$B:$E,2,FALSE)</f>
        <v>1.3</v>
      </c>
      <c r="Z471" s="26">
        <f ca="1">VLOOKUP($X471,サイズ別係数!$B:$E,3,FALSE)</f>
        <v>1.3</v>
      </c>
      <c r="AA471" s="26">
        <f ca="1">VLOOKUP($X471,サイズ別係数!$B:$E,4,FALSE)</f>
        <v>1.1000000000000001</v>
      </c>
      <c r="AB471" s="5">
        <v>0</v>
      </c>
      <c r="AC471" s="34" t="str">
        <f ca="1">VLOOKUP($AB471,OFFSET([3]enemy_skill_sets!$B$2,0,0,COUNTA([3]enemy_skill_sets!$A:$A),MATCH(AC$1,[3]enemy_skill_sets!$1:$1,0)-MATCH($AB$1,[3]enemy_skill_sets!$1:$1,0)+1),MATCH(AC$1,[3]enemy_skill_sets!$1:$1,0)-MATCH($AB$1,[3]enemy_skill_sets!$1:$1,0)+1,FALSE)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1" s="67">
        <v>1</v>
      </c>
      <c r="AE471" s="67">
        <v>1</v>
      </c>
      <c r="AF471" s="37">
        <v>0</v>
      </c>
      <c r="AG471" s="28">
        <f ca="1">ROUND(VLOOKUP(1,enemy_base_stats!$A:$F,2,FALSE) * Y471* J471*O471*E471*S471*AD471*[2]ステータス!$B$2,0)</f>
        <v>2994</v>
      </c>
      <c r="AH471" s="28">
        <f ca="1">ROUND(VLOOKUP(1,enemy_base_stats!$A:$F,3,FALSE) * Z471*K471*P471*F471*T471*AE471 * W471*[2]ステータス!$C$2,0)</f>
        <v>337</v>
      </c>
      <c r="AI471" s="28">
        <f ca="1">ROUND(VLOOKUP(1,enemy_base_stats!$A:$F,4,FALSE) * AA471*L471*Q471*G471*U471*AF471*[2]ステータス!$D$2,0)</f>
        <v>0</v>
      </c>
      <c r="AJ471" s="28">
        <f ca="1">ROUND(VLOOKUP(100,enemy_base_stats!$A:$F,2,FALSE) * Y471* J471*O471*E471*S471*AD471*[2]ステータス!$B$2,0)</f>
        <v>121552</v>
      </c>
      <c r="AK471" s="28">
        <f ca="1">ROUND(VLOOKUP(100,enemy_base_stats!$A:$F,3,FALSE)* Z471* K471*P471*F471*T471*AE471 * W471*[2]ステータス!$C$2,0)</f>
        <v>13687</v>
      </c>
      <c r="AL471" s="28">
        <f ca="1">ROUND(VLOOKUP(100,enemy_base_stats!$A:$F,4,FALSE)* AA471* L471*Q471*G471*U471*AF471*[2]ステータス!$D$2,0)</f>
        <v>0</v>
      </c>
      <c r="AM471" s="24">
        <f ca="1">VLOOKUP(M471,[2]character_tribe_i18n!$A:$I,9,FALSE)</f>
        <v>400</v>
      </c>
      <c r="AN471" s="36">
        <v>0</v>
      </c>
      <c r="AO471" s="53">
        <v>0</v>
      </c>
      <c r="AP471" s="58" t="s">
        <v>72</v>
      </c>
      <c r="AQ471" s="71">
        <f t="shared" ca="1" si="21"/>
        <v>470</v>
      </c>
    </row>
    <row r="472" spans="1:43" ht="21" customHeight="1" x14ac:dyDescent="0.15">
      <c r="A472" s="7">
        <f t="shared" ca="1" si="19"/>
        <v>471</v>
      </c>
      <c r="B472" s="6" t="str">
        <f ca="1">VLOOKUP(A472,[2]characters!$A:$C,3,FALSE)</f>
        <v>不可避の爆激 トリスタン</v>
      </c>
      <c r="C472" s="9">
        <f ca="1">VLOOKUP(A472,[2]characters!$A:$I,9,FALSE)</f>
        <v>5</v>
      </c>
      <c r="D472" s="9" t="str">
        <f ca="1">VLOOKUP(A472,[2]characters!$A:$H,8,FALSE)</f>
        <v>yellow</v>
      </c>
      <c r="E472" s="24">
        <f ca="1">VLOOKUP(D472,[2]属性!$A:$E,2,FALSE)</f>
        <v>0.98</v>
      </c>
      <c r="F472" s="24">
        <f ca="1">VLOOKUP(D472,[2]属性!$A:$E,3,FALSE)</f>
        <v>1.01</v>
      </c>
      <c r="G472" s="24">
        <f ca="1">VLOOKUP(D472,[2]属性!$A:$F,4,FALSE)</f>
        <v>1</v>
      </c>
      <c r="H472" s="9" t="str">
        <f ca="1">VLOOKUP(A472,[2]characters!$A:$K,11,FALSE)</f>
        <v>attack</v>
      </c>
      <c r="I472" s="14" t="str">
        <f ca="1">VLOOKUP(H472,[2]character_type_i18n!$A:$F,3,FALSE)</f>
        <v>攻撃タイプ</v>
      </c>
      <c r="J472" s="36">
        <f ca="1">VLOOKUP(H472,[2]character_type_i18n!$A:$F,4,FALSE)</f>
        <v>1</v>
      </c>
      <c r="K472" s="36">
        <f ca="1">VLOOKUP(H472,[2]character_type_i18n!$A:$F,5,FALSE)</f>
        <v>1.33</v>
      </c>
      <c r="L472" s="36">
        <f ca="1">VLOOKUP(H472,[2]character_type_i18n!$A:$F,6,FALSE)</f>
        <v>1</v>
      </c>
      <c r="M472" s="9" t="str">
        <f ca="1">VLOOKUP(A472,[2]characters!$A:$M,13,FALSE)</f>
        <v>human</v>
      </c>
      <c r="N472" s="14" t="str">
        <f ca="1">VLOOKUP(M472,[2]character_tribe_i18n!$A:$F,3,FALSE)</f>
        <v>ヒューマン</v>
      </c>
      <c r="O472" s="24">
        <f ca="1">VLOOKUP(M472,[2]character_tribe_i18n!$A:$F,4,FALSE)</f>
        <v>0.94</v>
      </c>
      <c r="P472" s="24">
        <f ca="1">VLOOKUP(M472,[2]character_tribe_i18n!$A:$F,5,FALSE)</f>
        <v>0.99</v>
      </c>
      <c r="Q472" s="24">
        <f ca="1">VLOOKUP(M472,[2]character_tribe_i18n!$A:$F,6,FALSE)</f>
        <v>1</v>
      </c>
      <c r="R472" s="25" t="s">
        <v>98</v>
      </c>
      <c r="S472" s="24">
        <f>VLOOKUP($R472,ラベル別係数!$A$1:$E$7,3,FALSE)</f>
        <v>5</v>
      </c>
      <c r="T472" s="24">
        <f>VLOOKUP($R472,ラベル別係数!$A$1:$E$7,4,FALSE)</f>
        <v>1.3</v>
      </c>
      <c r="U472" s="24">
        <f>VLOOKUP($R472,ラベル別係数!$A$1:$E$7,5,FALSE)</f>
        <v>0.8</v>
      </c>
      <c r="V472" s="27">
        <v>3</v>
      </c>
      <c r="W472" s="28">
        <f>VLOOKUP(V472,ターン数別攻撃係数!$A$1:$B$1000,2,FALSE)</f>
        <v>1</v>
      </c>
      <c r="X472" s="9">
        <f ca="1">VLOOKUP(C472,サイズ別係数!A$2:B$9,2,FALSE)</f>
        <v>60</v>
      </c>
      <c r="Y472" s="26">
        <f ca="1">VLOOKUP($X472,サイズ別係数!$B:$E,2,FALSE)</f>
        <v>1.7</v>
      </c>
      <c r="Z472" s="26">
        <f ca="1">VLOOKUP($X472,サイズ別係数!$B:$E,3,FALSE)</f>
        <v>1.4</v>
      </c>
      <c r="AA472" s="26">
        <f ca="1">VLOOKUP($X472,サイズ別係数!$B:$E,4,FALSE)</f>
        <v>1</v>
      </c>
      <c r="AB472" s="5">
        <v>0</v>
      </c>
      <c r="AC472" s="34" t="str">
        <f ca="1">VLOOKUP($AB472,OFFSET([3]enemy_skill_sets!$B$2,0,0,COUNTA([3]enemy_skill_sets!$A:$A),MATCH(AC$1,[3]enemy_skill_sets!$1:$1,0)-MATCH($AB$1,[3]enemy_skill_sets!$1:$1,0)+1),MATCH(AC$1,[3]enemy_skill_sets!$1:$1,0)-MATCH($AB$1,[3]enemy_skill_sets!$1:$1,0)+1,FALSE)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2" s="67">
        <v>1</v>
      </c>
      <c r="AE472" s="67">
        <v>1</v>
      </c>
      <c r="AF472" s="37">
        <v>0</v>
      </c>
      <c r="AG472" s="28">
        <f ca="1">ROUND(VLOOKUP(1,enemy_base_stats!$A:$F,2,FALSE) * Y472* J472*O472*E472*S472*AD472*[2]ステータス!$B$2,0)</f>
        <v>3915</v>
      </c>
      <c r="AH472" s="28">
        <f ca="1">ROUND(VLOOKUP(1,enemy_base_stats!$A:$F,3,FALSE) * Z472*K472*P472*F472*T472*AE472 * W472*[2]ステータス!$C$2,0)</f>
        <v>363</v>
      </c>
      <c r="AI472" s="28">
        <f ca="1">ROUND(VLOOKUP(1,enemy_base_stats!$A:$F,4,FALSE) * AA472*L472*Q472*G472*U472*AF472*[2]ステータス!$D$2,0)</f>
        <v>0</v>
      </c>
      <c r="AJ472" s="28">
        <f ca="1">ROUND(VLOOKUP(100,enemy_base_stats!$A:$F,2,FALSE) * Y472* J472*O472*E472*S472*AD472*[2]ステータス!$B$2,0)</f>
        <v>158953</v>
      </c>
      <c r="AK472" s="28">
        <f ca="1">ROUND(VLOOKUP(100,enemy_base_stats!$A:$F,3,FALSE)* Z472* K472*P472*F472*T472*AE472 * W472*[2]ステータス!$C$2,0)</f>
        <v>14740</v>
      </c>
      <c r="AL472" s="28">
        <f ca="1">ROUND(VLOOKUP(100,enemy_base_stats!$A:$F,4,FALSE)* AA472* L472*Q472*G472*U472*AF472*[2]ステータス!$D$2,0)</f>
        <v>0</v>
      </c>
      <c r="AM472" s="24">
        <f ca="1">VLOOKUP(M472,[2]character_tribe_i18n!$A:$I,9,FALSE)</f>
        <v>400</v>
      </c>
      <c r="AN472" s="36">
        <v>0</v>
      </c>
      <c r="AO472" s="53">
        <v>0</v>
      </c>
      <c r="AP472" s="58" t="s">
        <v>72</v>
      </c>
      <c r="AQ472" s="71">
        <f t="shared" ref="AQ472:AQ474" ca="1" si="22">A472</f>
        <v>471</v>
      </c>
    </row>
    <row r="473" spans="1:43" ht="21" customHeight="1" x14ac:dyDescent="0.15">
      <c r="A473" s="7">
        <f t="shared" ca="1" si="19"/>
        <v>472</v>
      </c>
      <c r="B473" s="6" t="str">
        <f ca="1">VLOOKUP(A473,[2]characters!$A:$C,3,FALSE)</f>
        <v>アーサー</v>
      </c>
      <c r="C473" s="9">
        <f ca="1">VLOOKUP(A473,[2]characters!$A:$I,9,FALSE)</f>
        <v>4</v>
      </c>
      <c r="D473" s="9" t="str">
        <f ca="1">VLOOKUP(A473,[2]characters!$A:$H,8,FALSE)</f>
        <v>red</v>
      </c>
      <c r="E473" s="24">
        <f ca="1">VLOOKUP(D473,[2]属性!$A:$E,2,FALSE)</f>
        <v>1</v>
      </c>
      <c r="F473" s="24">
        <f ca="1">VLOOKUP(D473,[2]属性!$A:$E,3,FALSE)</f>
        <v>1.02</v>
      </c>
      <c r="G473" s="24">
        <f ca="1">VLOOKUP(D473,[2]属性!$A:$F,4,FALSE)</f>
        <v>1</v>
      </c>
      <c r="H473" s="9" t="str">
        <f ca="1">VLOOKUP(A473,[2]characters!$A:$K,11,FALSE)</f>
        <v>balance</v>
      </c>
      <c r="I473" s="14" t="str">
        <f ca="1">VLOOKUP(H473,[2]character_type_i18n!$A:$F,3,FALSE)</f>
        <v>バランスタイプ</v>
      </c>
      <c r="J473" s="36">
        <f ca="1">VLOOKUP(H473,[2]character_type_i18n!$A:$F,4,FALSE)</f>
        <v>1</v>
      </c>
      <c r="K473" s="36">
        <f ca="1">VLOOKUP(H473,[2]character_type_i18n!$A:$F,5,FALSE)</f>
        <v>1</v>
      </c>
      <c r="L473" s="36">
        <f ca="1">VLOOKUP(H473,[2]character_type_i18n!$A:$F,6,FALSE)</f>
        <v>1</v>
      </c>
      <c r="M473" s="9" t="str">
        <f ca="1">VLOOKUP(A473,[2]characters!$A:$M,13,FALSE)</f>
        <v>human</v>
      </c>
      <c r="N473" s="14" t="str">
        <f ca="1">VLOOKUP(M473,[2]character_tribe_i18n!$A:$F,3,FALSE)</f>
        <v>ヒューマン</v>
      </c>
      <c r="O473" s="24">
        <f ca="1">VLOOKUP(M473,[2]character_tribe_i18n!$A:$F,4,FALSE)</f>
        <v>0.94</v>
      </c>
      <c r="P473" s="24">
        <f ca="1">VLOOKUP(M473,[2]character_tribe_i18n!$A:$F,5,FALSE)</f>
        <v>0.99</v>
      </c>
      <c r="Q473" s="24">
        <f ca="1">VLOOKUP(M473,[2]character_tribe_i18n!$A:$F,6,FALSE)</f>
        <v>1</v>
      </c>
      <c r="R473" s="25" t="s">
        <v>98</v>
      </c>
      <c r="S473" s="24">
        <f>VLOOKUP($R473,ラベル別係数!$A$1:$E$7,3,FALSE)</f>
        <v>5</v>
      </c>
      <c r="T473" s="24">
        <f>VLOOKUP($R473,ラベル別係数!$A$1:$E$7,4,FALSE)</f>
        <v>1.3</v>
      </c>
      <c r="U473" s="24">
        <f>VLOOKUP($R473,ラベル別係数!$A$1:$E$7,5,FALSE)</f>
        <v>0.8</v>
      </c>
      <c r="V473" s="27">
        <v>3</v>
      </c>
      <c r="W473" s="28">
        <f>VLOOKUP(V473,ターン数別攻撃係数!$A$1:$B$1000,2,FALSE)</f>
        <v>1</v>
      </c>
      <c r="X473" s="9">
        <f ca="1">VLOOKUP(C473,サイズ別係数!A$2:B$9,2,FALSE)</f>
        <v>30</v>
      </c>
      <c r="Y473" s="26">
        <f ca="1">VLOOKUP($X473,サイズ別係数!$B:$E,2,FALSE)</f>
        <v>1.3</v>
      </c>
      <c r="Z473" s="26">
        <f ca="1">VLOOKUP($X473,サイズ別係数!$B:$E,3,FALSE)</f>
        <v>1.3</v>
      </c>
      <c r="AA473" s="26">
        <f ca="1">VLOOKUP($X473,サイズ別係数!$B:$E,4,FALSE)</f>
        <v>1.1000000000000001</v>
      </c>
      <c r="AB473" s="5">
        <v>0</v>
      </c>
      <c r="AC473" s="34" t="str">
        <f ca="1">VLOOKUP($AB473,OFFSET([3]enemy_skill_sets!$B$2,0,0,COUNTA([3]enemy_skill_sets!$A:$A),MATCH(AC$1,[3]enemy_skill_sets!$1:$1,0)-MATCH($AB$1,[3]enemy_skill_sets!$1:$1,0)+1),MATCH(AC$1,[3]enemy_skill_sets!$1:$1,0)-MATCH($AB$1,[3]enemy_skill_sets!$1:$1,0)+1,FALSE)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3" s="67">
        <v>1</v>
      </c>
      <c r="AE473" s="67">
        <v>1</v>
      </c>
      <c r="AF473" s="37">
        <v>0</v>
      </c>
      <c r="AG473" s="28">
        <f ca="1">ROUND(VLOOKUP(1,enemy_base_stats!$A:$F,2,FALSE) * Y473* J473*O473*E473*S473*AD473*[2]ステータス!$B$2,0)</f>
        <v>3055</v>
      </c>
      <c r="AH473" s="28">
        <f ca="1">ROUND(VLOOKUP(1,enemy_base_stats!$A:$F,3,FALSE) * Z473*K473*P473*F473*T473*AE473 * W473*[2]ステータス!$C$2,0)</f>
        <v>256</v>
      </c>
      <c r="AI473" s="28">
        <f ca="1">ROUND(VLOOKUP(1,enemy_base_stats!$A:$F,4,FALSE) * AA473*L473*Q473*G473*U473*AF473*[2]ステータス!$D$2,0)</f>
        <v>0</v>
      </c>
      <c r="AJ473" s="28">
        <f ca="1">ROUND(VLOOKUP(100,enemy_base_stats!$A:$F,2,FALSE) * Y473* J473*O473*E473*S473*AD473*[2]ステータス!$B$2,0)</f>
        <v>124033</v>
      </c>
      <c r="AK473" s="28">
        <f ca="1">ROUND(VLOOKUP(100,enemy_base_stats!$A:$F,3,FALSE)* Z473* K473*P473*F473*T473*AE473 * W473*[2]ステータス!$C$2,0)</f>
        <v>10393</v>
      </c>
      <c r="AL473" s="28">
        <f ca="1">ROUND(VLOOKUP(100,enemy_base_stats!$A:$F,4,FALSE)* AA473* L473*Q473*G473*U473*AF473*[2]ステータス!$D$2,0)</f>
        <v>0</v>
      </c>
      <c r="AM473" s="24">
        <f ca="1">VLOOKUP(M473,[2]character_tribe_i18n!$A:$I,9,FALSE)</f>
        <v>400</v>
      </c>
      <c r="AN473" s="36">
        <v>0</v>
      </c>
      <c r="AO473" s="53">
        <v>0</v>
      </c>
      <c r="AP473" s="58" t="s">
        <v>72</v>
      </c>
      <c r="AQ473" s="71">
        <f t="shared" ca="1" si="22"/>
        <v>472</v>
      </c>
    </row>
    <row r="474" spans="1:43" ht="21" customHeight="1" x14ac:dyDescent="0.15">
      <c r="A474" s="7">
        <f t="shared" ca="1" si="19"/>
        <v>473</v>
      </c>
      <c r="B474" s="6" t="str">
        <f ca="1">VLOOKUP(A474,[2]characters!$A:$C,3,FALSE)</f>
        <v>凶堅なる正義 アーサー</v>
      </c>
      <c r="C474" s="9">
        <f ca="1">VLOOKUP(A474,[2]characters!$A:$I,9,FALSE)</f>
        <v>5</v>
      </c>
      <c r="D474" s="9" t="str">
        <f ca="1">VLOOKUP(A474,[2]characters!$A:$H,8,FALSE)</f>
        <v>red</v>
      </c>
      <c r="E474" s="24">
        <f ca="1">VLOOKUP(D474,[2]属性!$A:$E,2,FALSE)</f>
        <v>1</v>
      </c>
      <c r="F474" s="24">
        <f ca="1">VLOOKUP(D474,[2]属性!$A:$E,3,FALSE)</f>
        <v>1.02</v>
      </c>
      <c r="G474" s="24">
        <f ca="1">VLOOKUP(D474,[2]属性!$A:$F,4,FALSE)</f>
        <v>1</v>
      </c>
      <c r="H474" s="9" t="str">
        <f ca="1">VLOOKUP(A474,[2]characters!$A:$K,11,FALSE)</f>
        <v>balance</v>
      </c>
      <c r="I474" s="14" t="str">
        <f ca="1">VLOOKUP(H474,[2]character_type_i18n!$A:$F,3,FALSE)</f>
        <v>バランスタイプ</v>
      </c>
      <c r="J474" s="36">
        <f ca="1">VLOOKUP(H474,[2]character_type_i18n!$A:$F,4,FALSE)</f>
        <v>1</v>
      </c>
      <c r="K474" s="36">
        <f ca="1">VLOOKUP(H474,[2]character_type_i18n!$A:$F,5,FALSE)</f>
        <v>1</v>
      </c>
      <c r="L474" s="36">
        <f ca="1">VLOOKUP(H474,[2]character_type_i18n!$A:$F,6,FALSE)</f>
        <v>1</v>
      </c>
      <c r="M474" s="9" t="str">
        <f ca="1">VLOOKUP(A474,[2]characters!$A:$M,13,FALSE)</f>
        <v>human</v>
      </c>
      <c r="N474" s="14" t="str">
        <f ca="1">VLOOKUP(M474,[2]character_tribe_i18n!$A:$F,3,FALSE)</f>
        <v>ヒューマン</v>
      </c>
      <c r="O474" s="24">
        <f ca="1">VLOOKUP(M474,[2]character_tribe_i18n!$A:$F,4,FALSE)</f>
        <v>0.94</v>
      </c>
      <c r="P474" s="24">
        <f ca="1">VLOOKUP(M474,[2]character_tribe_i18n!$A:$F,5,FALSE)</f>
        <v>0.99</v>
      </c>
      <c r="Q474" s="24">
        <f ca="1">VLOOKUP(M474,[2]character_tribe_i18n!$A:$F,6,FALSE)</f>
        <v>1</v>
      </c>
      <c r="R474" s="25" t="s">
        <v>98</v>
      </c>
      <c r="S474" s="24">
        <f>VLOOKUP($R474,ラベル別係数!$A$1:$E$7,3,FALSE)</f>
        <v>5</v>
      </c>
      <c r="T474" s="24">
        <f>VLOOKUP($R474,ラベル別係数!$A$1:$E$7,4,FALSE)</f>
        <v>1.3</v>
      </c>
      <c r="U474" s="24">
        <f>VLOOKUP($R474,ラベル別係数!$A$1:$E$7,5,FALSE)</f>
        <v>0.8</v>
      </c>
      <c r="V474" s="27">
        <v>3</v>
      </c>
      <c r="W474" s="28">
        <f>VLOOKUP(V474,ターン数別攻撃係数!$A$1:$B$1000,2,FALSE)</f>
        <v>1</v>
      </c>
      <c r="X474" s="9">
        <f ca="1">VLOOKUP(C474,サイズ別係数!A$2:B$9,2,FALSE)</f>
        <v>60</v>
      </c>
      <c r="Y474" s="26">
        <f ca="1">VLOOKUP($X474,サイズ別係数!$B:$E,2,FALSE)</f>
        <v>1.7</v>
      </c>
      <c r="Z474" s="26">
        <f ca="1">VLOOKUP($X474,サイズ別係数!$B:$E,3,FALSE)</f>
        <v>1.4</v>
      </c>
      <c r="AA474" s="26">
        <f ca="1">VLOOKUP($X474,サイズ別係数!$B:$E,4,FALSE)</f>
        <v>1</v>
      </c>
      <c r="AB474" s="5">
        <v>0</v>
      </c>
      <c r="AC474" s="34" t="str">
        <f ca="1">VLOOKUP($AB474,OFFSET([3]enemy_skill_sets!$B$2,0,0,COUNTA([3]enemy_skill_sets!$A:$A),MATCH(AC$1,[3]enemy_skill_sets!$1:$1,0)-MATCH($AB$1,[3]enemy_skill_sets!$1:$1,0)+1),MATCH(AC$1,[3]enemy_skill_sets!$1:$1,0)-MATCH($AB$1,[3]enemy_skill_sets!$1:$1,0)+1,FALSE)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4" s="67">
        <v>1</v>
      </c>
      <c r="AE474" s="67">
        <v>1</v>
      </c>
      <c r="AF474" s="37">
        <v>0</v>
      </c>
      <c r="AG474" s="28">
        <f ca="1">ROUND(VLOOKUP(1,enemy_base_stats!$A:$F,2,FALSE) * Y474* J474*O474*E474*S474*AD474*[2]ステータス!$B$2,0)</f>
        <v>3995</v>
      </c>
      <c r="AH474" s="28">
        <f ca="1">ROUND(VLOOKUP(1,enemy_base_stats!$A:$F,3,FALSE) * Z474*K474*P474*F474*T474*AE474 * W474*[2]ステータス!$C$2,0)</f>
        <v>276</v>
      </c>
      <c r="AI474" s="28">
        <f ca="1">ROUND(VLOOKUP(1,enemy_base_stats!$A:$F,4,FALSE) * AA474*L474*Q474*G474*U474*AF474*[2]ステータス!$D$2,0)</f>
        <v>0</v>
      </c>
      <c r="AJ474" s="28">
        <f ca="1">ROUND(VLOOKUP(100,enemy_base_stats!$A:$F,2,FALSE) * Y474* J474*O474*E474*S474*AD474*[2]ステータス!$B$2,0)</f>
        <v>162197</v>
      </c>
      <c r="AK474" s="28">
        <f ca="1">ROUND(VLOOKUP(100,enemy_base_stats!$A:$F,3,FALSE)* Z474* K474*P474*F474*T474*AE474 * W474*[2]ステータス!$C$2,0)</f>
        <v>11192</v>
      </c>
      <c r="AL474" s="28">
        <f ca="1">ROUND(VLOOKUP(100,enemy_base_stats!$A:$F,4,FALSE)* AA474* L474*Q474*G474*U474*AF474*[2]ステータス!$D$2,0)</f>
        <v>0</v>
      </c>
      <c r="AM474" s="24">
        <f ca="1">VLOOKUP(M474,[2]character_tribe_i18n!$A:$I,9,FALSE)</f>
        <v>400</v>
      </c>
      <c r="AN474" s="36">
        <v>0</v>
      </c>
      <c r="AO474" s="53">
        <v>0</v>
      </c>
      <c r="AP474" s="58" t="s">
        <v>72</v>
      </c>
      <c r="AQ474" s="71">
        <f t="shared" ca="1" si="22"/>
        <v>473</v>
      </c>
    </row>
    <row r="475" spans="1:43" ht="21" customHeight="1" x14ac:dyDescent="0.15">
      <c r="A475" s="7">
        <f t="shared" ca="1" si="19"/>
        <v>474</v>
      </c>
      <c r="B475" s="6" t="str">
        <f ca="1">VLOOKUP(A475,[2]characters!$A:$C,3,FALSE)</f>
        <v>キング・ドライグ</v>
      </c>
      <c r="C475" s="9">
        <f ca="1">VLOOKUP(A475,[2]characters!$A:$I,9,FALSE)</f>
        <v>4</v>
      </c>
      <c r="D475" s="9" t="str">
        <f ca="1">VLOOKUP(A475,[2]characters!$A:$H,8,FALSE)</f>
        <v>red</v>
      </c>
      <c r="E475" s="24">
        <f ca="1">VLOOKUP(D475,[2]属性!$A:$E,2,FALSE)</f>
        <v>1</v>
      </c>
      <c r="F475" s="24">
        <f ca="1">VLOOKUP(D475,[2]属性!$A:$E,3,FALSE)</f>
        <v>1.02</v>
      </c>
      <c r="G475" s="24">
        <f ca="1">VLOOKUP(D475,[2]属性!$A:$F,4,FALSE)</f>
        <v>1</v>
      </c>
      <c r="H475" s="9" t="str">
        <f ca="1">VLOOKUP(A475,[2]characters!$A:$K,11,FALSE)</f>
        <v>attack</v>
      </c>
      <c r="I475" s="14" t="str">
        <f ca="1">VLOOKUP(H475,[2]character_type_i18n!$A:$F,3,FALSE)</f>
        <v>攻撃タイプ</v>
      </c>
      <c r="J475" s="36">
        <f ca="1">VLOOKUP(H475,[2]character_type_i18n!$A:$F,4,FALSE)</f>
        <v>1</v>
      </c>
      <c r="K475" s="36">
        <f ca="1">VLOOKUP(H475,[2]character_type_i18n!$A:$F,5,FALSE)</f>
        <v>1.33</v>
      </c>
      <c r="L475" s="36">
        <f ca="1">VLOOKUP(H475,[2]character_type_i18n!$A:$F,6,FALSE)</f>
        <v>1</v>
      </c>
      <c r="M475" s="9" t="str">
        <f ca="1">VLOOKUP(A475,[2]characters!$A:$M,13,FALSE)</f>
        <v>dragon</v>
      </c>
      <c r="N475" s="14" t="str">
        <f ca="1">VLOOKUP(M475,[2]character_tribe_i18n!$A:$F,3,FALSE)</f>
        <v>ドラゴン</v>
      </c>
      <c r="O475" s="24">
        <f ca="1">VLOOKUP(M475,[2]character_tribe_i18n!$A:$F,4,FALSE)</f>
        <v>1.1499999999999999</v>
      </c>
      <c r="P475" s="24">
        <f ca="1">VLOOKUP(M475,[2]character_tribe_i18n!$A:$F,5,FALSE)</f>
        <v>1.1000000000000001</v>
      </c>
      <c r="Q475" s="24">
        <f ca="1">VLOOKUP(M475,[2]character_tribe_i18n!$A:$F,6,FALSE)</f>
        <v>1</v>
      </c>
      <c r="R475" s="25" t="s">
        <v>98</v>
      </c>
      <c r="S475" s="24">
        <f>VLOOKUP($R475,ラベル別係数!$A$1:$E$7,3,FALSE)</f>
        <v>5</v>
      </c>
      <c r="T475" s="24">
        <f>VLOOKUP($R475,ラベル別係数!$A$1:$E$7,4,FALSE)</f>
        <v>1.3</v>
      </c>
      <c r="U475" s="24">
        <f>VLOOKUP($R475,ラベル別係数!$A$1:$E$7,5,FALSE)</f>
        <v>0.8</v>
      </c>
      <c r="V475" s="27">
        <v>3</v>
      </c>
      <c r="W475" s="28">
        <f>VLOOKUP(V475,ターン数別攻撃係数!$A$1:$B$1000,2,FALSE)</f>
        <v>1</v>
      </c>
      <c r="X475" s="9">
        <f ca="1">VLOOKUP(C475,サイズ別係数!A$2:B$9,2,FALSE)</f>
        <v>30</v>
      </c>
      <c r="Y475" s="26">
        <f ca="1">VLOOKUP($X475,サイズ別係数!$B:$E,2,FALSE)</f>
        <v>1.3</v>
      </c>
      <c r="Z475" s="26">
        <f ca="1">VLOOKUP($X475,サイズ別係数!$B:$E,3,FALSE)</f>
        <v>1.3</v>
      </c>
      <c r="AA475" s="26">
        <f ca="1">VLOOKUP($X475,サイズ別係数!$B:$E,4,FALSE)</f>
        <v>1.1000000000000001</v>
      </c>
      <c r="AB475" s="5">
        <v>0</v>
      </c>
      <c r="AC475" s="34" t="str">
        <f ca="1">VLOOKUP($AB475,OFFSET([3]enemy_skill_sets!$B$2,0,0,COUNTA([3]enemy_skill_sets!$A:$A),MATCH(AC$1,[3]enemy_skill_sets!$1:$1,0)-MATCH($AB$1,[3]enemy_skill_sets!$1:$1,0)+1),MATCH(AC$1,[3]enemy_skill_sets!$1:$1,0)-MATCH($AB$1,[3]enemy_skill_sets!$1:$1,0)+1,FALSE)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5" s="67">
        <v>1</v>
      </c>
      <c r="AE475" s="67">
        <v>1</v>
      </c>
      <c r="AF475" s="37">
        <v>0</v>
      </c>
      <c r="AG475" s="28">
        <f ca="1">ROUND(VLOOKUP(1,enemy_base_stats!$A:$F,2,FALSE) * Y475* J475*O475*E475*S475*AD475*[2]ステータス!$B$2,0)</f>
        <v>3738</v>
      </c>
      <c r="AH475" s="28">
        <f ca="1">ROUND(VLOOKUP(1,enemy_base_stats!$A:$F,3,FALSE) * Z475*K475*P475*F475*T475*AE475 * W475*[2]ステータス!$C$2,0)</f>
        <v>378</v>
      </c>
      <c r="AI475" s="28">
        <f ca="1">ROUND(VLOOKUP(1,enemy_base_stats!$A:$F,4,FALSE) * AA475*L475*Q475*G475*U475*AF475*[2]ステータス!$D$2,0)</f>
        <v>0</v>
      </c>
      <c r="AJ475" s="28">
        <f ca="1">ROUND(VLOOKUP(100,enemy_base_stats!$A:$F,2,FALSE) * Y475* J475*O475*E475*S475*AD475*[2]ステータス!$B$2,0)</f>
        <v>151743</v>
      </c>
      <c r="AK475" s="28">
        <f ca="1">ROUND(VLOOKUP(100,enemy_base_stats!$A:$F,3,FALSE)* Z475* K475*P475*F475*T475*AE475 * W475*[2]ステータス!$C$2,0)</f>
        <v>15358</v>
      </c>
      <c r="AL475" s="28">
        <f ca="1">ROUND(VLOOKUP(100,enemy_base_stats!$A:$F,4,FALSE)* AA475* L475*Q475*G475*U475*AF475*[2]ステータス!$D$2,0)</f>
        <v>0</v>
      </c>
      <c r="AM475" s="24">
        <f ca="1">VLOOKUP(M475,[2]character_tribe_i18n!$A:$I,9,FALSE)</f>
        <v>540</v>
      </c>
      <c r="AN475" s="36">
        <v>0</v>
      </c>
      <c r="AO475" s="53">
        <v>0</v>
      </c>
      <c r="AP475" s="58" t="s">
        <v>72</v>
      </c>
      <c r="AQ475" s="71">
        <f t="shared" ref="AQ475:AQ490" ca="1" si="23">A475</f>
        <v>474</v>
      </c>
    </row>
    <row r="476" spans="1:43" ht="21" customHeight="1" x14ac:dyDescent="0.15">
      <c r="A476" s="7">
        <f t="shared" ca="1" si="19"/>
        <v>475</v>
      </c>
      <c r="B476" s="6" t="str">
        <f ca="1">VLOOKUP(A476,[2]characters!$A:$C,3,FALSE)</f>
        <v>緋王 キング・ドライグ</v>
      </c>
      <c r="C476" s="9">
        <f ca="1">VLOOKUP(A476,[2]characters!$A:$I,9,FALSE)</f>
        <v>5</v>
      </c>
      <c r="D476" s="9" t="str">
        <f ca="1">VLOOKUP(A476,[2]characters!$A:$H,8,FALSE)</f>
        <v>red</v>
      </c>
      <c r="E476" s="24">
        <f ca="1">VLOOKUP(D476,[2]属性!$A:$E,2,FALSE)</f>
        <v>1</v>
      </c>
      <c r="F476" s="24">
        <f ca="1">VLOOKUP(D476,[2]属性!$A:$E,3,FALSE)</f>
        <v>1.02</v>
      </c>
      <c r="G476" s="24">
        <f ca="1">VLOOKUP(D476,[2]属性!$A:$F,4,FALSE)</f>
        <v>1</v>
      </c>
      <c r="H476" s="9" t="str">
        <f ca="1">VLOOKUP(A476,[2]characters!$A:$K,11,FALSE)</f>
        <v>attack</v>
      </c>
      <c r="I476" s="14" t="str">
        <f ca="1">VLOOKUP(H476,[2]character_type_i18n!$A:$F,3,FALSE)</f>
        <v>攻撃タイプ</v>
      </c>
      <c r="J476" s="36">
        <f ca="1">VLOOKUP(H476,[2]character_type_i18n!$A:$F,4,FALSE)</f>
        <v>1</v>
      </c>
      <c r="K476" s="36">
        <f ca="1">VLOOKUP(H476,[2]character_type_i18n!$A:$F,5,FALSE)</f>
        <v>1.33</v>
      </c>
      <c r="L476" s="36">
        <f ca="1">VLOOKUP(H476,[2]character_type_i18n!$A:$F,6,FALSE)</f>
        <v>1</v>
      </c>
      <c r="M476" s="9" t="str">
        <f ca="1">VLOOKUP(A476,[2]characters!$A:$M,13,FALSE)</f>
        <v>dragon</v>
      </c>
      <c r="N476" s="14" t="str">
        <f ca="1">VLOOKUP(M476,[2]character_tribe_i18n!$A:$F,3,FALSE)</f>
        <v>ドラゴン</v>
      </c>
      <c r="O476" s="24">
        <f ca="1">VLOOKUP(M476,[2]character_tribe_i18n!$A:$F,4,FALSE)</f>
        <v>1.1499999999999999</v>
      </c>
      <c r="P476" s="24">
        <f ca="1">VLOOKUP(M476,[2]character_tribe_i18n!$A:$F,5,FALSE)</f>
        <v>1.1000000000000001</v>
      </c>
      <c r="Q476" s="24">
        <f ca="1">VLOOKUP(M476,[2]character_tribe_i18n!$A:$F,6,FALSE)</f>
        <v>1</v>
      </c>
      <c r="R476" s="25" t="s">
        <v>98</v>
      </c>
      <c r="S476" s="24">
        <f>VLOOKUP($R476,ラベル別係数!$A$1:$E$7,3,FALSE)</f>
        <v>5</v>
      </c>
      <c r="T476" s="24">
        <f>VLOOKUP($R476,ラベル別係数!$A$1:$E$7,4,FALSE)</f>
        <v>1.3</v>
      </c>
      <c r="U476" s="24">
        <f>VLOOKUP($R476,ラベル別係数!$A$1:$E$7,5,FALSE)</f>
        <v>0.8</v>
      </c>
      <c r="V476" s="27">
        <v>3</v>
      </c>
      <c r="W476" s="28">
        <f>VLOOKUP(V476,ターン数別攻撃係数!$A$1:$B$1000,2,FALSE)</f>
        <v>1</v>
      </c>
      <c r="X476" s="9">
        <f ca="1">VLOOKUP(C476,サイズ別係数!A$2:B$9,2,FALSE)</f>
        <v>60</v>
      </c>
      <c r="Y476" s="26">
        <f ca="1">VLOOKUP($X476,サイズ別係数!$B:$E,2,FALSE)</f>
        <v>1.7</v>
      </c>
      <c r="Z476" s="26">
        <f ca="1">VLOOKUP($X476,サイズ別係数!$B:$E,3,FALSE)</f>
        <v>1.4</v>
      </c>
      <c r="AA476" s="26">
        <f ca="1">VLOOKUP($X476,サイズ別係数!$B:$E,4,FALSE)</f>
        <v>1</v>
      </c>
      <c r="AB476" s="5">
        <v>0</v>
      </c>
      <c r="AC476" s="34" t="str">
        <f ca="1">VLOOKUP($AB476,OFFSET([3]enemy_skill_sets!$B$2,0,0,COUNTA([3]enemy_skill_sets!$A:$A),MATCH(AC$1,[3]enemy_skill_sets!$1:$1,0)-MATCH($AB$1,[3]enemy_skill_sets!$1:$1,0)+1),MATCH(AC$1,[3]enemy_skill_sets!$1:$1,0)-MATCH($AB$1,[3]enemy_skill_sets!$1:$1,0)+1,FALSE)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6" s="67">
        <v>1</v>
      </c>
      <c r="AE476" s="67">
        <v>1</v>
      </c>
      <c r="AF476" s="37">
        <v>0</v>
      </c>
      <c r="AG476" s="28">
        <f ca="1">ROUND(VLOOKUP(1,enemy_base_stats!$A:$F,2,FALSE) * Y476* J476*O476*E476*S476*AD476*[2]ステータス!$B$2,0)</f>
        <v>4888</v>
      </c>
      <c r="AH476" s="28">
        <f ca="1">ROUND(VLOOKUP(1,enemy_base_stats!$A:$F,3,FALSE) * Z476*K476*P476*F476*T476*AE476 * W476*[2]ステータス!$C$2,0)</f>
        <v>407</v>
      </c>
      <c r="AI476" s="28">
        <f ca="1">ROUND(VLOOKUP(1,enemy_base_stats!$A:$F,4,FALSE) * AA476*L476*Q476*G476*U476*AF476*[2]ステータス!$D$2,0)</f>
        <v>0</v>
      </c>
      <c r="AJ476" s="28">
        <f ca="1">ROUND(VLOOKUP(100,enemy_base_stats!$A:$F,2,FALSE) * Y476* J476*O476*E476*S476*AD476*[2]ステータス!$B$2,0)</f>
        <v>198433</v>
      </c>
      <c r="AK476" s="28">
        <f ca="1">ROUND(VLOOKUP(100,enemy_base_stats!$A:$F,3,FALSE)* Z476* K476*P476*F476*T476*AE476 * W476*[2]ステータス!$C$2,0)</f>
        <v>16540</v>
      </c>
      <c r="AL476" s="28">
        <f ca="1">ROUND(VLOOKUP(100,enemy_base_stats!$A:$F,4,FALSE)* AA476* L476*Q476*G476*U476*AF476*[2]ステータス!$D$2,0)</f>
        <v>0</v>
      </c>
      <c r="AM476" s="24">
        <f ca="1">VLOOKUP(M476,[2]character_tribe_i18n!$A:$I,9,FALSE)</f>
        <v>540</v>
      </c>
      <c r="AN476" s="36">
        <v>0</v>
      </c>
      <c r="AO476" s="53">
        <v>0</v>
      </c>
      <c r="AP476" s="58" t="s">
        <v>72</v>
      </c>
      <c r="AQ476" s="71">
        <f t="shared" ca="1" si="23"/>
        <v>475</v>
      </c>
    </row>
    <row r="477" spans="1:43" ht="21" customHeight="1" x14ac:dyDescent="0.15">
      <c r="A477" s="7">
        <f t="shared" ca="1" si="19"/>
        <v>476</v>
      </c>
      <c r="B477" s="6" t="str">
        <f ca="1">VLOOKUP(A477,[2]characters!$A:$C,3,FALSE)</f>
        <v>ファータ</v>
      </c>
      <c r="C477" s="9">
        <f ca="1">VLOOKUP(A477,[2]characters!$A:$I,9,FALSE)</f>
        <v>3</v>
      </c>
      <c r="D477" s="9" t="str">
        <f ca="1">VLOOKUP(A477,[2]characters!$A:$H,8,FALSE)</f>
        <v>green</v>
      </c>
      <c r="E477" s="24">
        <f ca="1">VLOOKUP(D477,[2]属性!$A:$E,2,FALSE)</f>
        <v>1.02</v>
      </c>
      <c r="F477" s="24">
        <f ca="1">VLOOKUP(D477,[2]属性!$A:$E,3,FALSE)</f>
        <v>0.98</v>
      </c>
      <c r="G477" s="24">
        <f ca="1">VLOOKUP(D477,[2]属性!$A:$F,4,FALSE)</f>
        <v>1</v>
      </c>
      <c r="H477" s="9" t="str">
        <f ca="1">VLOOKUP(A477,[2]characters!$A:$K,11,FALSE)</f>
        <v>heal</v>
      </c>
      <c r="I477" s="14" t="str">
        <f ca="1">VLOOKUP(H477,[2]character_type_i18n!$A:$F,3,FALSE)</f>
        <v>回復タイプ</v>
      </c>
      <c r="J477" s="36">
        <f ca="1">VLOOKUP(H477,[2]character_type_i18n!$A:$F,4,FALSE)</f>
        <v>0.8</v>
      </c>
      <c r="K477" s="36">
        <f ca="1">VLOOKUP(H477,[2]character_type_i18n!$A:$F,5,FALSE)</f>
        <v>0.78</v>
      </c>
      <c r="L477" s="36">
        <f ca="1">VLOOKUP(H477,[2]character_type_i18n!$A:$F,6,FALSE)</f>
        <v>1</v>
      </c>
      <c r="M477" s="9" t="str">
        <f ca="1">VLOOKUP(A477,[2]characters!$A:$M,13,FALSE)</f>
        <v>unknown</v>
      </c>
      <c r="N477" s="14" t="str">
        <f ca="1">VLOOKUP(M477,[2]character_tribe_i18n!$A:$F,3,FALSE)</f>
        <v>Unknown</v>
      </c>
      <c r="O477" s="24">
        <f ca="1">VLOOKUP(M477,[2]character_tribe_i18n!$A:$F,4,FALSE)</f>
        <v>1</v>
      </c>
      <c r="P477" s="24">
        <f ca="1">VLOOKUP(M477,[2]character_tribe_i18n!$A:$F,5,FALSE)</f>
        <v>1</v>
      </c>
      <c r="Q477" s="24">
        <f ca="1">VLOOKUP(M477,[2]character_tribe_i18n!$A:$F,6,FALSE)</f>
        <v>1</v>
      </c>
      <c r="R477" s="25" t="s">
        <v>98</v>
      </c>
      <c r="S477" s="24">
        <f>VLOOKUP($R477,ラベル別係数!$A$1:$E$7,3,FALSE)</f>
        <v>5</v>
      </c>
      <c r="T477" s="24">
        <f>VLOOKUP($R477,ラベル別係数!$A$1:$E$7,4,FALSE)</f>
        <v>1.3</v>
      </c>
      <c r="U477" s="24">
        <f>VLOOKUP($R477,ラベル別係数!$A$1:$E$7,5,FALSE)</f>
        <v>0.8</v>
      </c>
      <c r="V477" s="27">
        <v>3</v>
      </c>
      <c r="W477" s="28">
        <f>VLOOKUP(V477,ターン数別攻撃係数!$A$1:$B$1000,2,FALSE)</f>
        <v>1</v>
      </c>
      <c r="X477" s="9">
        <f ca="1">VLOOKUP(C477,サイズ別係数!A$2:B$9,2,FALSE)</f>
        <v>25</v>
      </c>
      <c r="Y477" s="26">
        <f ca="1">VLOOKUP($X477,サイズ別係数!$B:$E,2,FALSE)</f>
        <v>1.2</v>
      </c>
      <c r="Z477" s="26">
        <f ca="1">VLOOKUP($X477,サイズ別係数!$B:$E,3,FALSE)</f>
        <v>1.25</v>
      </c>
      <c r="AA477" s="26">
        <f ca="1">VLOOKUP($X477,サイズ別係数!$B:$E,4,FALSE)</f>
        <v>1.1499999999999999</v>
      </c>
      <c r="AB477" s="5">
        <v>0</v>
      </c>
      <c r="AC477" s="34" t="str">
        <f ca="1">VLOOKUP($AB477,OFFSET([3]enemy_skill_sets!$B$2,0,0,COUNTA([3]enemy_skill_sets!$A:$A),MATCH(AC$1,[3]enemy_skill_sets!$1:$1,0)-MATCH($AB$1,[3]enemy_skill_sets!$1:$1,0)+1),MATCH(AC$1,[3]enemy_skill_sets!$1:$1,0)-MATCH($AB$1,[3]enemy_skill_sets!$1:$1,0)+1,FALSE)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7" s="67">
        <v>1</v>
      </c>
      <c r="AE477" s="67">
        <v>1</v>
      </c>
      <c r="AF477" s="37">
        <v>0</v>
      </c>
      <c r="AG477" s="28">
        <f ca="1">ROUND(VLOOKUP(1,enemy_base_stats!$A:$F,2,FALSE) * Y477* J477*O477*E477*S477*AD477*[2]ステータス!$B$2,0)</f>
        <v>2448</v>
      </c>
      <c r="AH477" s="28">
        <f ca="1">ROUND(VLOOKUP(1,enemy_base_stats!$A:$F,3,FALSE) * Z477*K477*P477*F477*T477*AE477 * W477*[2]ステータス!$C$2,0)</f>
        <v>186</v>
      </c>
      <c r="AI477" s="28">
        <f ca="1">ROUND(VLOOKUP(1,enemy_base_stats!$A:$F,4,FALSE) * AA477*L477*Q477*G477*U477*AF477*[2]ステータス!$D$2,0)</f>
        <v>0</v>
      </c>
      <c r="AJ477" s="28">
        <f ca="1">ROUND(VLOOKUP(100,enemy_base_stats!$A:$F,2,FALSE) * Y477* J477*O477*E477*S477*AD477*[2]ステータス!$B$2,0)</f>
        <v>99389</v>
      </c>
      <c r="AK477" s="28">
        <f ca="1">ROUND(VLOOKUP(100,enemy_base_stats!$A:$F,3,FALSE)* Z477* K477*P477*F477*T477*AE477 * W477*[2]ステータス!$C$2,0)</f>
        <v>7565</v>
      </c>
      <c r="AL477" s="28">
        <f ca="1">ROUND(VLOOKUP(100,enemy_base_stats!$A:$F,4,FALSE)* AA477* L477*Q477*G477*U477*AF477*[2]ステータス!$D$2,0)</f>
        <v>0</v>
      </c>
      <c r="AM477" s="24">
        <f ca="1">VLOOKUP(M477,[2]character_tribe_i18n!$A:$I,9,FALSE)</f>
        <v>340</v>
      </c>
      <c r="AN477" s="36">
        <v>0</v>
      </c>
      <c r="AO477" s="53">
        <v>0</v>
      </c>
      <c r="AP477" s="58" t="s">
        <v>72</v>
      </c>
      <c r="AQ477" s="71">
        <f t="shared" ca="1" si="23"/>
        <v>476</v>
      </c>
    </row>
    <row r="478" spans="1:43" ht="21" customHeight="1" x14ac:dyDescent="0.15">
      <c r="A478" s="7">
        <f t="shared" ca="1" si="19"/>
        <v>477</v>
      </c>
      <c r="B478" s="6" t="str">
        <f ca="1">VLOOKUP(A478,[2]characters!$A:$C,3,FALSE)</f>
        <v>愛羽妖精 ファータ</v>
      </c>
      <c r="C478" s="9">
        <f ca="1">VLOOKUP(A478,[2]characters!$A:$I,9,FALSE)</f>
        <v>4</v>
      </c>
      <c r="D478" s="9" t="str">
        <f ca="1">VLOOKUP(A478,[2]characters!$A:$H,8,FALSE)</f>
        <v>green</v>
      </c>
      <c r="E478" s="24">
        <f ca="1">VLOOKUP(D478,[2]属性!$A:$E,2,FALSE)</f>
        <v>1.02</v>
      </c>
      <c r="F478" s="24">
        <f ca="1">VLOOKUP(D478,[2]属性!$A:$E,3,FALSE)</f>
        <v>0.98</v>
      </c>
      <c r="G478" s="24">
        <f ca="1">VLOOKUP(D478,[2]属性!$A:$F,4,FALSE)</f>
        <v>1</v>
      </c>
      <c r="H478" s="9" t="str">
        <f ca="1">VLOOKUP(A478,[2]characters!$A:$K,11,FALSE)</f>
        <v>heal</v>
      </c>
      <c r="I478" s="14" t="str">
        <f ca="1">VLOOKUP(H478,[2]character_type_i18n!$A:$F,3,FALSE)</f>
        <v>回復タイプ</v>
      </c>
      <c r="J478" s="36">
        <f ca="1">VLOOKUP(H478,[2]character_type_i18n!$A:$F,4,FALSE)</f>
        <v>0.8</v>
      </c>
      <c r="K478" s="36">
        <f ca="1">VLOOKUP(H478,[2]character_type_i18n!$A:$F,5,FALSE)</f>
        <v>0.78</v>
      </c>
      <c r="L478" s="36">
        <f ca="1">VLOOKUP(H478,[2]character_type_i18n!$A:$F,6,FALSE)</f>
        <v>1</v>
      </c>
      <c r="M478" s="9" t="str">
        <f ca="1">VLOOKUP(A478,[2]characters!$A:$M,13,FALSE)</f>
        <v>unknown</v>
      </c>
      <c r="N478" s="14" t="str">
        <f ca="1">VLOOKUP(M478,[2]character_tribe_i18n!$A:$F,3,FALSE)</f>
        <v>Unknown</v>
      </c>
      <c r="O478" s="24">
        <f ca="1">VLOOKUP(M478,[2]character_tribe_i18n!$A:$F,4,FALSE)</f>
        <v>1</v>
      </c>
      <c r="P478" s="24">
        <f ca="1">VLOOKUP(M478,[2]character_tribe_i18n!$A:$F,5,FALSE)</f>
        <v>1</v>
      </c>
      <c r="Q478" s="24">
        <f ca="1">VLOOKUP(M478,[2]character_tribe_i18n!$A:$F,6,FALSE)</f>
        <v>1</v>
      </c>
      <c r="R478" s="25" t="s">
        <v>98</v>
      </c>
      <c r="S478" s="24">
        <f>VLOOKUP($R478,ラベル別係数!$A$1:$E$7,3,FALSE)</f>
        <v>5</v>
      </c>
      <c r="T478" s="24">
        <f>VLOOKUP($R478,ラベル別係数!$A$1:$E$7,4,FALSE)</f>
        <v>1.3</v>
      </c>
      <c r="U478" s="24">
        <f>VLOOKUP($R478,ラベル別係数!$A$1:$E$7,5,FALSE)</f>
        <v>0.8</v>
      </c>
      <c r="V478" s="27">
        <v>3</v>
      </c>
      <c r="W478" s="28">
        <f>VLOOKUP(V478,ターン数別攻撃係数!$A$1:$B$1000,2,FALSE)</f>
        <v>1</v>
      </c>
      <c r="X478" s="9">
        <f ca="1">VLOOKUP(C478,サイズ別係数!A$2:B$9,2,FALSE)</f>
        <v>30</v>
      </c>
      <c r="Y478" s="26">
        <f ca="1">VLOOKUP($X478,サイズ別係数!$B:$E,2,FALSE)</f>
        <v>1.3</v>
      </c>
      <c r="Z478" s="26">
        <f ca="1">VLOOKUP($X478,サイズ別係数!$B:$E,3,FALSE)</f>
        <v>1.3</v>
      </c>
      <c r="AA478" s="26">
        <f ca="1">VLOOKUP($X478,サイズ別係数!$B:$E,4,FALSE)</f>
        <v>1.1000000000000001</v>
      </c>
      <c r="AB478" s="5">
        <v>0</v>
      </c>
      <c r="AC478" s="34" t="str">
        <f ca="1">VLOOKUP($AB478,OFFSET([3]enemy_skill_sets!$B$2,0,0,COUNTA([3]enemy_skill_sets!$A:$A),MATCH(AC$1,[3]enemy_skill_sets!$1:$1,0)-MATCH($AB$1,[3]enemy_skill_sets!$1:$1,0)+1),MATCH(AC$1,[3]enemy_skill_sets!$1:$1,0)-MATCH($AB$1,[3]enemy_skill_sets!$1:$1,0)+1,FALSE)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8" s="67">
        <v>1</v>
      </c>
      <c r="AE478" s="67">
        <v>1</v>
      </c>
      <c r="AF478" s="37">
        <v>0</v>
      </c>
      <c r="AG478" s="28">
        <f ca="1">ROUND(VLOOKUP(1,enemy_base_stats!$A:$F,2,FALSE) * Y478* J478*O478*E478*S478*AD478*[2]ステータス!$B$2,0)</f>
        <v>2652</v>
      </c>
      <c r="AH478" s="28">
        <f ca="1">ROUND(VLOOKUP(1,enemy_base_stats!$A:$F,3,FALSE) * Z478*K478*P478*F478*T478*AE478 * W478*[2]ステータス!$C$2,0)</f>
        <v>194</v>
      </c>
      <c r="AI478" s="28">
        <f ca="1">ROUND(VLOOKUP(1,enemy_base_stats!$A:$F,4,FALSE) * AA478*L478*Q478*G478*U478*AF478*[2]ステータス!$D$2,0)</f>
        <v>0</v>
      </c>
      <c r="AJ478" s="28">
        <f ca="1">ROUND(VLOOKUP(100,enemy_base_stats!$A:$F,2,FALSE) * Y478* J478*O478*E478*S478*AD478*[2]ステータス!$B$2,0)</f>
        <v>107671</v>
      </c>
      <c r="AK478" s="28">
        <f ca="1">ROUND(VLOOKUP(100,enemy_base_stats!$A:$F,3,FALSE)* Z478* K478*P478*F478*T478*AE478 * W478*[2]ステータス!$C$2,0)</f>
        <v>7867</v>
      </c>
      <c r="AL478" s="28">
        <f ca="1">ROUND(VLOOKUP(100,enemy_base_stats!$A:$F,4,FALSE)* AA478* L478*Q478*G478*U478*AF478*[2]ステータス!$D$2,0)</f>
        <v>0</v>
      </c>
      <c r="AM478" s="24">
        <f ca="1">VLOOKUP(M478,[2]character_tribe_i18n!$A:$I,9,FALSE)</f>
        <v>340</v>
      </c>
      <c r="AN478" s="36">
        <v>0</v>
      </c>
      <c r="AO478" s="53">
        <v>0</v>
      </c>
      <c r="AP478" s="58" t="s">
        <v>72</v>
      </c>
      <c r="AQ478" s="71">
        <f t="shared" ca="1" si="23"/>
        <v>477</v>
      </c>
    </row>
    <row r="479" spans="1:43" ht="21" customHeight="1" x14ac:dyDescent="0.15">
      <c r="A479" s="7">
        <f t="shared" ca="1" si="19"/>
        <v>478</v>
      </c>
      <c r="B479" s="6" t="str">
        <f ca="1">VLOOKUP(A479,[2]characters!$A:$C,3,FALSE)</f>
        <v>時計仕掛けの愛羽妖精 ファータ</v>
      </c>
      <c r="C479" s="9">
        <f ca="1">VLOOKUP(A479,[2]characters!$A:$I,9,FALSE)</f>
        <v>5</v>
      </c>
      <c r="D479" s="9" t="str">
        <f ca="1">VLOOKUP(A479,[2]characters!$A:$H,8,FALSE)</f>
        <v>green</v>
      </c>
      <c r="E479" s="24">
        <f ca="1">VLOOKUP(D479,[2]属性!$A:$E,2,FALSE)</f>
        <v>1.02</v>
      </c>
      <c r="F479" s="24">
        <f ca="1">VLOOKUP(D479,[2]属性!$A:$E,3,FALSE)</f>
        <v>0.98</v>
      </c>
      <c r="G479" s="24">
        <f ca="1">VLOOKUP(D479,[2]属性!$A:$F,4,FALSE)</f>
        <v>1</v>
      </c>
      <c r="H479" s="9" t="str">
        <f ca="1">VLOOKUP(A479,[2]characters!$A:$K,11,FALSE)</f>
        <v>heal</v>
      </c>
      <c r="I479" s="14" t="str">
        <f ca="1">VLOOKUP(H479,[2]character_type_i18n!$A:$F,3,FALSE)</f>
        <v>回復タイプ</v>
      </c>
      <c r="J479" s="36">
        <f ca="1">VLOOKUP(H479,[2]character_type_i18n!$A:$F,4,FALSE)</f>
        <v>0.8</v>
      </c>
      <c r="K479" s="36">
        <f ca="1">VLOOKUP(H479,[2]character_type_i18n!$A:$F,5,FALSE)</f>
        <v>0.78</v>
      </c>
      <c r="L479" s="36">
        <f ca="1">VLOOKUP(H479,[2]character_type_i18n!$A:$F,6,FALSE)</f>
        <v>1</v>
      </c>
      <c r="M479" s="9" t="str">
        <f ca="1">VLOOKUP(A479,[2]characters!$A:$M,13,FALSE)</f>
        <v>unknown</v>
      </c>
      <c r="N479" s="14" t="str">
        <f ca="1">VLOOKUP(M479,[2]character_tribe_i18n!$A:$F,3,FALSE)</f>
        <v>Unknown</v>
      </c>
      <c r="O479" s="24">
        <f ca="1">VLOOKUP(M479,[2]character_tribe_i18n!$A:$F,4,FALSE)</f>
        <v>1</v>
      </c>
      <c r="P479" s="24">
        <f ca="1">VLOOKUP(M479,[2]character_tribe_i18n!$A:$F,5,FALSE)</f>
        <v>1</v>
      </c>
      <c r="Q479" s="24">
        <f ca="1">VLOOKUP(M479,[2]character_tribe_i18n!$A:$F,6,FALSE)</f>
        <v>1</v>
      </c>
      <c r="R479" s="25" t="s">
        <v>98</v>
      </c>
      <c r="S479" s="24">
        <f>VLOOKUP($R479,ラベル別係数!$A$1:$E$7,3,FALSE)</f>
        <v>5</v>
      </c>
      <c r="T479" s="24">
        <f>VLOOKUP($R479,ラベル別係数!$A$1:$E$7,4,FALSE)</f>
        <v>1.3</v>
      </c>
      <c r="U479" s="24">
        <f>VLOOKUP($R479,ラベル別係数!$A$1:$E$7,5,FALSE)</f>
        <v>0.8</v>
      </c>
      <c r="V479" s="27">
        <v>3</v>
      </c>
      <c r="W479" s="28">
        <f>VLOOKUP(V479,ターン数別攻撃係数!$A$1:$B$1000,2,FALSE)</f>
        <v>1</v>
      </c>
      <c r="X479" s="9">
        <f ca="1">VLOOKUP(C479,サイズ別係数!A$2:B$9,2,FALSE)</f>
        <v>60</v>
      </c>
      <c r="Y479" s="26">
        <f ca="1">VLOOKUP($X479,サイズ別係数!$B:$E,2,FALSE)</f>
        <v>1.7</v>
      </c>
      <c r="Z479" s="26">
        <f ca="1">VLOOKUP($X479,サイズ別係数!$B:$E,3,FALSE)</f>
        <v>1.4</v>
      </c>
      <c r="AA479" s="26">
        <f ca="1">VLOOKUP($X479,サイズ別係数!$B:$E,4,FALSE)</f>
        <v>1</v>
      </c>
      <c r="AB479" s="5">
        <v>0</v>
      </c>
      <c r="AC479" s="34" t="str">
        <f ca="1">VLOOKUP($AB479,OFFSET([3]enemy_skill_sets!$B$2,0,0,COUNTA([3]enemy_skill_sets!$A:$A),MATCH(AC$1,[3]enemy_skill_sets!$1:$1,0)-MATCH($AB$1,[3]enemy_skill_sets!$1:$1,0)+1),MATCH(AC$1,[3]enemy_skill_sets!$1:$1,0)-MATCH($AB$1,[3]enemy_skill_sets!$1:$1,0)+1,FALSE)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79" s="67">
        <v>1</v>
      </c>
      <c r="AE479" s="67">
        <v>1</v>
      </c>
      <c r="AF479" s="37">
        <v>0</v>
      </c>
      <c r="AG479" s="28">
        <f ca="1">ROUND(VLOOKUP(1,enemy_base_stats!$A:$F,2,FALSE) * Y479* J479*O479*E479*S479*AD479*[2]ステータス!$B$2,0)</f>
        <v>3468</v>
      </c>
      <c r="AH479" s="28">
        <f ca="1">ROUND(VLOOKUP(1,enemy_base_stats!$A:$F,3,FALSE) * Z479*K479*P479*F479*T479*AE479 * W479*[2]ステータス!$C$2,0)</f>
        <v>209</v>
      </c>
      <c r="AI479" s="28">
        <f ca="1">ROUND(VLOOKUP(1,enemy_base_stats!$A:$F,4,FALSE) * AA479*L479*Q479*G479*U479*AF479*[2]ステータス!$D$2,0)</f>
        <v>0</v>
      </c>
      <c r="AJ479" s="28">
        <f ca="1">ROUND(VLOOKUP(100,enemy_base_stats!$A:$F,2,FALSE) * Y479* J479*O479*E479*S479*AD479*[2]ステータス!$B$2,0)</f>
        <v>140801</v>
      </c>
      <c r="AK479" s="28">
        <f ca="1">ROUND(VLOOKUP(100,enemy_base_stats!$A:$F,3,FALSE)* Z479* K479*P479*F479*T479*AE479 * W479*[2]ステータス!$C$2,0)</f>
        <v>8472</v>
      </c>
      <c r="AL479" s="28">
        <f ca="1">ROUND(VLOOKUP(100,enemy_base_stats!$A:$F,4,FALSE)* AA479* L479*Q479*G479*U479*AF479*[2]ステータス!$D$2,0)</f>
        <v>0</v>
      </c>
      <c r="AM479" s="24">
        <f ca="1">VLOOKUP(M479,[2]character_tribe_i18n!$A:$I,9,FALSE)</f>
        <v>340</v>
      </c>
      <c r="AN479" s="36">
        <v>0</v>
      </c>
      <c r="AO479" s="53">
        <v>0</v>
      </c>
      <c r="AP479" s="58" t="s">
        <v>72</v>
      </c>
      <c r="AQ479" s="71">
        <f t="shared" ca="1" si="23"/>
        <v>478</v>
      </c>
    </row>
    <row r="480" spans="1:43" ht="21" customHeight="1" x14ac:dyDescent="0.15">
      <c r="A480" s="7">
        <f t="shared" ca="1" si="19"/>
        <v>479</v>
      </c>
      <c r="B480" s="6" t="str">
        <f ca="1">VLOOKUP(A480,[2]characters!$A:$C,3,FALSE)</f>
        <v>フール</v>
      </c>
      <c r="C480" s="9">
        <f ca="1">VLOOKUP(A480,[2]characters!$A:$I,9,FALSE)</f>
        <v>4</v>
      </c>
      <c r="D480" s="9" t="str">
        <f ca="1">VLOOKUP(A480,[2]characters!$A:$H,8,FALSE)</f>
        <v>blue</v>
      </c>
      <c r="E480" s="24">
        <f ca="1">VLOOKUP(D480,[2]属性!$A:$E,2,FALSE)</f>
        <v>1</v>
      </c>
      <c r="F480" s="24">
        <f ca="1">VLOOKUP(D480,[2]属性!$A:$E,3,FALSE)</f>
        <v>0.98</v>
      </c>
      <c r="G480" s="24">
        <f ca="1">VLOOKUP(D480,[2]属性!$A:$F,4,FALSE)</f>
        <v>1</v>
      </c>
      <c r="H480" s="9" t="str">
        <f ca="1">VLOOKUP(A480,[2]characters!$A:$K,11,FALSE)</f>
        <v>technical</v>
      </c>
      <c r="I480" s="14" t="str">
        <f ca="1">VLOOKUP(H480,[2]character_type_i18n!$A:$F,3,FALSE)</f>
        <v>テクニカルタイプ</v>
      </c>
      <c r="J480" s="36">
        <f ca="1">VLOOKUP(H480,[2]character_type_i18n!$A:$F,4,FALSE)</f>
        <v>0.9</v>
      </c>
      <c r="K480" s="36">
        <f ca="1">VLOOKUP(H480,[2]character_type_i18n!$A:$F,5,FALSE)</f>
        <v>0.9</v>
      </c>
      <c r="L480" s="36">
        <f ca="1">VLOOKUP(H480,[2]character_type_i18n!$A:$F,6,FALSE)</f>
        <v>1</v>
      </c>
      <c r="M480" s="9" t="str">
        <f ca="1">VLOOKUP(A480,[2]characters!$A:$M,13,FALSE)</f>
        <v>god</v>
      </c>
      <c r="N480" s="14" t="str">
        <f ca="1">VLOOKUP(M480,[2]character_tribe_i18n!$A:$F,3,FALSE)</f>
        <v>ゴッド</v>
      </c>
      <c r="O480" s="24">
        <f ca="1">VLOOKUP(M480,[2]character_tribe_i18n!$A:$F,4,FALSE)</f>
        <v>0.96</v>
      </c>
      <c r="P480" s="24">
        <f ca="1">VLOOKUP(M480,[2]character_tribe_i18n!$A:$F,5,FALSE)</f>
        <v>1.02</v>
      </c>
      <c r="Q480" s="24">
        <f ca="1">VLOOKUP(M480,[2]character_tribe_i18n!$A:$F,6,FALSE)</f>
        <v>1</v>
      </c>
      <c r="R480" s="25" t="s">
        <v>98</v>
      </c>
      <c r="S480" s="24">
        <f>VLOOKUP($R480,ラベル別係数!$A$1:$E$7,3,FALSE)</f>
        <v>5</v>
      </c>
      <c r="T480" s="24">
        <f>VLOOKUP($R480,ラベル別係数!$A$1:$E$7,4,FALSE)</f>
        <v>1.3</v>
      </c>
      <c r="U480" s="24">
        <f>VLOOKUP($R480,ラベル別係数!$A$1:$E$7,5,FALSE)</f>
        <v>0.8</v>
      </c>
      <c r="V480" s="27">
        <v>3</v>
      </c>
      <c r="W480" s="28">
        <f>VLOOKUP(V480,ターン数別攻撃係数!$A$1:$B$1000,2,FALSE)</f>
        <v>1</v>
      </c>
      <c r="X480" s="9">
        <f ca="1">VLOOKUP(C480,サイズ別係数!A$2:B$9,2,FALSE)</f>
        <v>30</v>
      </c>
      <c r="Y480" s="26">
        <f ca="1">VLOOKUP($X480,サイズ別係数!$B:$E,2,FALSE)</f>
        <v>1.3</v>
      </c>
      <c r="Z480" s="26">
        <f ca="1">VLOOKUP($X480,サイズ別係数!$B:$E,3,FALSE)</f>
        <v>1.3</v>
      </c>
      <c r="AA480" s="26">
        <f ca="1">VLOOKUP($X480,サイズ別係数!$B:$E,4,FALSE)</f>
        <v>1.1000000000000001</v>
      </c>
      <c r="AB480" s="5">
        <v>0</v>
      </c>
      <c r="AC480" s="34" t="str">
        <f ca="1">VLOOKUP($AB480,OFFSET([3]enemy_skill_sets!$B$2,0,0,COUNTA([3]enemy_skill_sets!$A:$A),MATCH(AC$1,[3]enemy_skill_sets!$1:$1,0)-MATCH($AB$1,[3]enemy_skill_sets!$1:$1,0)+1),MATCH(AC$1,[3]enemy_skill_sets!$1:$1,0)-MATCH($AB$1,[3]enemy_skill_sets!$1:$1,0)+1,FALSE)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0" s="67">
        <v>1</v>
      </c>
      <c r="AE480" s="67">
        <v>1</v>
      </c>
      <c r="AF480" s="37">
        <v>0</v>
      </c>
      <c r="AG480" s="28">
        <f ca="1">ROUND(VLOOKUP(1,enemy_base_stats!$A:$F,2,FALSE) * Y480* J480*O480*E480*S480*AD480*[2]ステータス!$B$2,0)</f>
        <v>2808</v>
      </c>
      <c r="AH480" s="28">
        <f ca="1">ROUND(VLOOKUP(1,enemy_base_stats!$A:$F,3,FALSE) * Z480*K480*P480*F480*T480*AE480 * W480*[2]ステータス!$C$2,0)</f>
        <v>228</v>
      </c>
      <c r="AI480" s="28">
        <f ca="1">ROUND(VLOOKUP(1,enemy_base_stats!$A:$F,4,FALSE) * AA480*L480*Q480*G480*U480*AF480*[2]ステータス!$D$2,0)</f>
        <v>0</v>
      </c>
      <c r="AJ480" s="28">
        <f ca="1">ROUND(VLOOKUP(100,enemy_base_stats!$A:$F,2,FALSE) * Y480* J480*O480*E480*S480*AD480*[2]ステータス!$B$2,0)</f>
        <v>114005</v>
      </c>
      <c r="AK480" s="28">
        <f ca="1">ROUND(VLOOKUP(100,enemy_base_stats!$A:$F,3,FALSE)* Z480* K480*P480*F480*T480*AE480 * W480*[2]ステータス!$C$2,0)</f>
        <v>9259</v>
      </c>
      <c r="AL480" s="28">
        <f ca="1">ROUND(VLOOKUP(100,enemy_base_stats!$A:$F,4,FALSE)* AA480* L480*Q480*G480*U480*AF480*[2]ステータス!$D$2,0)</f>
        <v>0</v>
      </c>
      <c r="AM480" s="24">
        <f ca="1">VLOOKUP(M480,[2]character_tribe_i18n!$A:$I,9,FALSE)</f>
        <v>680</v>
      </c>
      <c r="AN480" s="36">
        <v>0</v>
      </c>
      <c r="AO480" s="53">
        <v>0</v>
      </c>
      <c r="AP480" s="58" t="s">
        <v>72</v>
      </c>
      <c r="AQ480" s="71">
        <f t="shared" ca="1" si="23"/>
        <v>479</v>
      </c>
    </row>
    <row r="481" spans="1:43" ht="21" customHeight="1" x14ac:dyDescent="0.15">
      <c r="A481" s="7">
        <f t="shared" ca="1" si="19"/>
        <v>480</v>
      </c>
      <c r="B481" s="6" t="str">
        <f ca="1">VLOOKUP(A481,[2]characters!$A:$C,3,FALSE)</f>
        <v>夢幻の愚者フール</v>
      </c>
      <c r="C481" s="9">
        <f ca="1">VLOOKUP(A481,[2]characters!$A:$I,9,FALSE)</f>
        <v>5</v>
      </c>
      <c r="D481" s="9" t="str">
        <f ca="1">VLOOKUP(A481,[2]characters!$A:$H,8,FALSE)</f>
        <v>blue</v>
      </c>
      <c r="E481" s="24">
        <f ca="1">VLOOKUP(D481,[2]属性!$A:$E,2,FALSE)</f>
        <v>1</v>
      </c>
      <c r="F481" s="24">
        <f ca="1">VLOOKUP(D481,[2]属性!$A:$E,3,FALSE)</f>
        <v>0.98</v>
      </c>
      <c r="G481" s="24">
        <f ca="1">VLOOKUP(D481,[2]属性!$A:$F,4,FALSE)</f>
        <v>1</v>
      </c>
      <c r="H481" s="9" t="str">
        <f ca="1">VLOOKUP(A481,[2]characters!$A:$K,11,FALSE)</f>
        <v>technical</v>
      </c>
      <c r="I481" s="14" t="str">
        <f ca="1">VLOOKUP(H481,[2]character_type_i18n!$A:$F,3,FALSE)</f>
        <v>テクニカルタイプ</v>
      </c>
      <c r="J481" s="36">
        <f ca="1">VLOOKUP(H481,[2]character_type_i18n!$A:$F,4,FALSE)</f>
        <v>0.9</v>
      </c>
      <c r="K481" s="36">
        <f ca="1">VLOOKUP(H481,[2]character_type_i18n!$A:$F,5,FALSE)</f>
        <v>0.9</v>
      </c>
      <c r="L481" s="36">
        <f ca="1">VLOOKUP(H481,[2]character_type_i18n!$A:$F,6,FALSE)</f>
        <v>1</v>
      </c>
      <c r="M481" s="9" t="str">
        <f ca="1">VLOOKUP(A481,[2]characters!$A:$M,13,FALSE)</f>
        <v>god</v>
      </c>
      <c r="N481" s="14" t="str">
        <f ca="1">VLOOKUP(M481,[2]character_tribe_i18n!$A:$F,3,FALSE)</f>
        <v>ゴッド</v>
      </c>
      <c r="O481" s="24">
        <f ca="1">VLOOKUP(M481,[2]character_tribe_i18n!$A:$F,4,FALSE)</f>
        <v>0.96</v>
      </c>
      <c r="P481" s="24">
        <f ca="1">VLOOKUP(M481,[2]character_tribe_i18n!$A:$F,5,FALSE)</f>
        <v>1.02</v>
      </c>
      <c r="Q481" s="24">
        <f ca="1">VLOOKUP(M481,[2]character_tribe_i18n!$A:$F,6,FALSE)</f>
        <v>1</v>
      </c>
      <c r="R481" s="25" t="s">
        <v>98</v>
      </c>
      <c r="S481" s="24">
        <f>VLOOKUP($R481,ラベル別係数!$A$1:$E$7,3,FALSE)</f>
        <v>5</v>
      </c>
      <c r="T481" s="24">
        <f>VLOOKUP($R481,ラベル別係数!$A$1:$E$7,4,FALSE)</f>
        <v>1.3</v>
      </c>
      <c r="U481" s="24">
        <f>VLOOKUP($R481,ラベル別係数!$A$1:$E$7,5,FALSE)</f>
        <v>0.8</v>
      </c>
      <c r="V481" s="27">
        <v>3</v>
      </c>
      <c r="W481" s="28">
        <f>VLOOKUP(V481,ターン数別攻撃係数!$A$1:$B$1000,2,FALSE)</f>
        <v>1</v>
      </c>
      <c r="X481" s="9">
        <f ca="1">VLOOKUP(C481,サイズ別係数!A$2:B$9,2,FALSE)</f>
        <v>60</v>
      </c>
      <c r="Y481" s="26">
        <f ca="1">VLOOKUP($X481,サイズ別係数!$B:$E,2,FALSE)</f>
        <v>1.7</v>
      </c>
      <c r="Z481" s="26">
        <f ca="1">VLOOKUP($X481,サイズ別係数!$B:$E,3,FALSE)</f>
        <v>1.4</v>
      </c>
      <c r="AA481" s="26">
        <f ca="1">VLOOKUP($X481,サイズ別係数!$B:$E,4,FALSE)</f>
        <v>1</v>
      </c>
      <c r="AB481" s="5">
        <v>0</v>
      </c>
      <c r="AC481" s="34" t="str">
        <f ca="1">VLOOKUP($AB481,OFFSET([3]enemy_skill_sets!$B$2,0,0,COUNTA([3]enemy_skill_sets!$A:$A),MATCH(AC$1,[3]enemy_skill_sets!$1:$1,0)-MATCH($AB$1,[3]enemy_skill_sets!$1:$1,0)+1),MATCH(AC$1,[3]enemy_skill_sets!$1:$1,0)-MATCH($AB$1,[3]enemy_skill_sets!$1:$1,0)+1,FALSE)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1" s="67">
        <v>1</v>
      </c>
      <c r="AE481" s="67">
        <v>1</v>
      </c>
      <c r="AF481" s="37">
        <v>0</v>
      </c>
      <c r="AG481" s="28">
        <f ca="1">ROUND(VLOOKUP(1,enemy_base_stats!$A:$F,2,FALSE) * Y481* J481*O481*E481*S481*AD481*[2]ステータス!$B$2,0)</f>
        <v>3672</v>
      </c>
      <c r="AH481" s="28">
        <f ca="1">ROUND(VLOOKUP(1,enemy_base_stats!$A:$F,3,FALSE) * Z481*K481*P481*F481*T481*AE481 * W481*[2]ステータス!$C$2,0)</f>
        <v>246</v>
      </c>
      <c r="AI481" s="28">
        <f ca="1">ROUND(VLOOKUP(1,enemy_base_stats!$A:$F,4,FALSE) * AA481*L481*Q481*G481*U481*AF481*[2]ステータス!$D$2,0)</f>
        <v>0</v>
      </c>
      <c r="AJ481" s="28">
        <f ca="1">ROUND(VLOOKUP(100,enemy_base_stats!$A:$F,2,FALSE) * Y481* J481*O481*E481*S481*AD481*[2]ステータス!$B$2,0)</f>
        <v>149083</v>
      </c>
      <c r="AK481" s="28">
        <f ca="1">ROUND(VLOOKUP(100,enemy_base_stats!$A:$F,3,FALSE)* Z481* K481*P481*F481*T481*AE481 * W481*[2]ステータス!$C$2,0)</f>
        <v>9971</v>
      </c>
      <c r="AL481" s="28">
        <f ca="1">ROUND(VLOOKUP(100,enemy_base_stats!$A:$F,4,FALSE)* AA481* L481*Q481*G481*U481*AF481*[2]ステータス!$D$2,0)</f>
        <v>0</v>
      </c>
      <c r="AM481" s="24">
        <f ca="1">VLOOKUP(M481,[2]character_tribe_i18n!$A:$I,9,FALSE)</f>
        <v>680</v>
      </c>
      <c r="AN481" s="36">
        <v>0</v>
      </c>
      <c r="AO481" s="53">
        <v>0</v>
      </c>
      <c r="AP481" s="58" t="s">
        <v>72</v>
      </c>
      <c r="AQ481" s="71">
        <f t="shared" ca="1" si="23"/>
        <v>480</v>
      </c>
    </row>
    <row r="482" spans="1:43" ht="21" customHeight="1" x14ac:dyDescent="0.15">
      <c r="A482" s="7">
        <f t="shared" ca="1" si="19"/>
        <v>481</v>
      </c>
      <c r="B482" s="6" t="str">
        <f ca="1">VLOOKUP(A482,[2]characters!$A:$C,3,FALSE)</f>
        <v>沢庵宗彭</v>
      </c>
      <c r="C482" s="9">
        <f ca="1">VLOOKUP(A482,[2]characters!$A:$I,9,FALSE)</f>
        <v>3</v>
      </c>
      <c r="D482" s="9" t="str">
        <f ca="1">VLOOKUP(A482,[2]characters!$A:$H,8,FALSE)</f>
        <v>yellow</v>
      </c>
      <c r="E482" s="24">
        <f ca="1">VLOOKUP(D482,[2]属性!$A:$E,2,FALSE)</f>
        <v>0.98</v>
      </c>
      <c r="F482" s="24">
        <f ca="1">VLOOKUP(D482,[2]属性!$A:$E,3,FALSE)</f>
        <v>1.01</v>
      </c>
      <c r="G482" s="24">
        <f ca="1">VLOOKUP(D482,[2]属性!$A:$F,4,FALSE)</f>
        <v>1</v>
      </c>
      <c r="H482" s="9" t="str">
        <f ca="1">VLOOKUP(A482,[2]characters!$A:$K,11,FALSE)</f>
        <v>hp</v>
      </c>
      <c r="I482" s="14" t="str">
        <f ca="1">VLOOKUP(H482,[2]character_type_i18n!$A:$F,3,FALSE)</f>
        <v>体力タイプ</v>
      </c>
      <c r="J482" s="36">
        <f ca="1">VLOOKUP(H482,[2]character_type_i18n!$A:$F,4,FALSE)</f>
        <v>1.45</v>
      </c>
      <c r="K482" s="36">
        <f ca="1">VLOOKUP(H482,[2]character_type_i18n!$A:$F,5,FALSE)</f>
        <v>0.85</v>
      </c>
      <c r="L482" s="36">
        <f ca="1">VLOOKUP(H482,[2]character_type_i18n!$A:$F,6,FALSE)</f>
        <v>1</v>
      </c>
      <c r="M482" s="9" t="str">
        <f ca="1">VLOOKUP(A482,[2]characters!$A:$M,13,FALSE)</f>
        <v>human</v>
      </c>
      <c r="N482" s="14" t="str">
        <f ca="1">VLOOKUP(M482,[2]character_tribe_i18n!$A:$F,3,FALSE)</f>
        <v>ヒューマン</v>
      </c>
      <c r="O482" s="24">
        <f ca="1">VLOOKUP(M482,[2]character_tribe_i18n!$A:$F,4,FALSE)</f>
        <v>0.94</v>
      </c>
      <c r="P482" s="24">
        <f ca="1">VLOOKUP(M482,[2]character_tribe_i18n!$A:$F,5,FALSE)</f>
        <v>0.99</v>
      </c>
      <c r="Q482" s="24">
        <f ca="1">VLOOKUP(M482,[2]character_tribe_i18n!$A:$F,6,FALSE)</f>
        <v>1</v>
      </c>
      <c r="R482" s="25" t="s">
        <v>98</v>
      </c>
      <c r="S482" s="24">
        <f>VLOOKUP($R482,ラベル別係数!$A$1:$E$7,3,FALSE)</f>
        <v>5</v>
      </c>
      <c r="T482" s="24">
        <f>VLOOKUP($R482,ラベル別係数!$A$1:$E$7,4,FALSE)</f>
        <v>1.3</v>
      </c>
      <c r="U482" s="24">
        <f>VLOOKUP($R482,ラベル別係数!$A$1:$E$7,5,FALSE)</f>
        <v>0.8</v>
      </c>
      <c r="V482" s="27">
        <v>3</v>
      </c>
      <c r="W482" s="28">
        <f>VLOOKUP(V482,ターン数別攻撃係数!$A$1:$B$1000,2,FALSE)</f>
        <v>1</v>
      </c>
      <c r="X482" s="9">
        <f ca="1">VLOOKUP(C482,サイズ別係数!A$2:B$9,2,FALSE)</f>
        <v>25</v>
      </c>
      <c r="Y482" s="26">
        <f ca="1">VLOOKUP($X482,サイズ別係数!$B:$E,2,FALSE)</f>
        <v>1.2</v>
      </c>
      <c r="Z482" s="26">
        <f ca="1">VLOOKUP($X482,サイズ別係数!$B:$E,3,FALSE)</f>
        <v>1.25</v>
      </c>
      <c r="AA482" s="26">
        <f ca="1">VLOOKUP($X482,サイズ別係数!$B:$E,4,FALSE)</f>
        <v>1.1499999999999999</v>
      </c>
      <c r="AB482" s="5">
        <v>0</v>
      </c>
      <c r="AC482" s="34" t="str">
        <f ca="1">VLOOKUP($AB482,OFFSET([3]enemy_skill_sets!$B$2,0,0,COUNTA([3]enemy_skill_sets!$A:$A),MATCH(AC$1,[3]enemy_skill_sets!$1:$1,0)-MATCH($AB$1,[3]enemy_skill_sets!$1:$1,0)+1),MATCH(AC$1,[3]enemy_skill_sets!$1:$1,0)-MATCH($AB$1,[3]enemy_skill_sets!$1:$1,0)+1,FALSE)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2" s="67">
        <v>1</v>
      </c>
      <c r="AE482" s="67">
        <v>1</v>
      </c>
      <c r="AF482" s="37">
        <v>0</v>
      </c>
      <c r="AG482" s="28">
        <f ca="1">ROUND(VLOOKUP(1,enemy_base_stats!$A:$F,2,FALSE) * Y482* J482*O482*E482*S482*AD482*[2]ステータス!$B$2,0)</f>
        <v>4007</v>
      </c>
      <c r="AH482" s="28">
        <f ca="1">ROUND(VLOOKUP(1,enemy_base_stats!$A:$F,3,FALSE) * Z482*K482*P482*F482*T482*AE482 * W482*[2]ステータス!$C$2,0)</f>
        <v>207</v>
      </c>
      <c r="AI482" s="28">
        <f ca="1">ROUND(VLOOKUP(1,enemy_base_stats!$A:$F,4,FALSE) * AA482*L482*Q482*G482*U482*AF482*[2]ステータス!$D$2,0)</f>
        <v>0</v>
      </c>
      <c r="AJ482" s="28">
        <f ca="1">ROUND(VLOOKUP(100,enemy_base_stats!$A:$F,2,FALSE) * Y482* J482*O482*E482*S482*AD482*[2]ステータス!$B$2,0)</f>
        <v>162693</v>
      </c>
      <c r="AK482" s="28">
        <f ca="1">ROUND(VLOOKUP(100,enemy_base_stats!$A:$F,3,FALSE)* Z482* K482*P482*F482*T482*AE482 * W482*[2]ステータス!$C$2,0)</f>
        <v>8411</v>
      </c>
      <c r="AL482" s="28">
        <f ca="1">ROUND(VLOOKUP(100,enemy_base_stats!$A:$F,4,FALSE)* AA482* L482*Q482*G482*U482*AF482*[2]ステータス!$D$2,0)</f>
        <v>0</v>
      </c>
      <c r="AM482" s="24">
        <f ca="1">VLOOKUP(M482,[2]character_tribe_i18n!$A:$I,9,FALSE)</f>
        <v>400</v>
      </c>
      <c r="AN482" s="36">
        <v>0</v>
      </c>
      <c r="AO482" s="53">
        <v>0</v>
      </c>
      <c r="AP482" s="58" t="s">
        <v>72</v>
      </c>
      <c r="AQ482" s="71">
        <f t="shared" ca="1" si="23"/>
        <v>481</v>
      </c>
    </row>
    <row r="483" spans="1:43" ht="21" customHeight="1" x14ac:dyDescent="0.15">
      <c r="A483" s="7">
        <f t="shared" ca="1" si="19"/>
        <v>482</v>
      </c>
      <c r="B483" s="6" t="str">
        <f ca="1">VLOOKUP(A483,[2]characters!$A:$C,3,FALSE)</f>
        <v>魁僧 沢庵宗彭</v>
      </c>
      <c r="C483" s="9">
        <f ca="1">VLOOKUP(A483,[2]characters!$A:$I,9,FALSE)</f>
        <v>4</v>
      </c>
      <c r="D483" s="9" t="str">
        <f ca="1">VLOOKUP(A483,[2]characters!$A:$H,8,FALSE)</f>
        <v>yellow</v>
      </c>
      <c r="E483" s="24">
        <f ca="1">VLOOKUP(D483,[2]属性!$A:$E,2,FALSE)</f>
        <v>0.98</v>
      </c>
      <c r="F483" s="24">
        <f ca="1">VLOOKUP(D483,[2]属性!$A:$E,3,FALSE)</f>
        <v>1.01</v>
      </c>
      <c r="G483" s="24">
        <f ca="1">VLOOKUP(D483,[2]属性!$A:$F,4,FALSE)</f>
        <v>1</v>
      </c>
      <c r="H483" s="9" t="str">
        <f ca="1">VLOOKUP(A483,[2]characters!$A:$K,11,FALSE)</f>
        <v>hp</v>
      </c>
      <c r="I483" s="14" t="str">
        <f ca="1">VLOOKUP(H483,[2]character_type_i18n!$A:$F,3,FALSE)</f>
        <v>体力タイプ</v>
      </c>
      <c r="J483" s="36">
        <f ca="1">VLOOKUP(H483,[2]character_type_i18n!$A:$F,4,FALSE)</f>
        <v>1.45</v>
      </c>
      <c r="K483" s="36">
        <f ca="1">VLOOKUP(H483,[2]character_type_i18n!$A:$F,5,FALSE)</f>
        <v>0.85</v>
      </c>
      <c r="L483" s="36">
        <f ca="1">VLOOKUP(H483,[2]character_type_i18n!$A:$F,6,FALSE)</f>
        <v>1</v>
      </c>
      <c r="M483" s="9" t="str">
        <f ca="1">VLOOKUP(A483,[2]characters!$A:$M,13,FALSE)</f>
        <v>human</v>
      </c>
      <c r="N483" s="14" t="str">
        <f ca="1">VLOOKUP(M483,[2]character_tribe_i18n!$A:$F,3,FALSE)</f>
        <v>ヒューマン</v>
      </c>
      <c r="O483" s="24">
        <f ca="1">VLOOKUP(M483,[2]character_tribe_i18n!$A:$F,4,FALSE)</f>
        <v>0.94</v>
      </c>
      <c r="P483" s="24">
        <f ca="1">VLOOKUP(M483,[2]character_tribe_i18n!$A:$F,5,FALSE)</f>
        <v>0.99</v>
      </c>
      <c r="Q483" s="24">
        <f ca="1">VLOOKUP(M483,[2]character_tribe_i18n!$A:$F,6,FALSE)</f>
        <v>1</v>
      </c>
      <c r="R483" s="25" t="s">
        <v>98</v>
      </c>
      <c r="S483" s="24">
        <f>VLOOKUP($R483,ラベル別係数!$A$1:$E$7,3,FALSE)</f>
        <v>5</v>
      </c>
      <c r="T483" s="24">
        <f>VLOOKUP($R483,ラベル別係数!$A$1:$E$7,4,FALSE)</f>
        <v>1.3</v>
      </c>
      <c r="U483" s="24">
        <f>VLOOKUP($R483,ラベル別係数!$A$1:$E$7,5,FALSE)</f>
        <v>0.8</v>
      </c>
      <c r="V483" s="27">
        <v>3</v>
      </c>
      <c r="W483" s="28">
        <f>VLOOKUP(V483,ターン数別攻撃係数!$A$1:$B$1000,2,FALSE)</f>
        <v>1</v>
      </c>
      <c r="X483" s="9">
        <f ca="1">VLOOKUP(C483,サイズ別係数!A$2:B$9,2,FALSE)</f>
        <v>30</v>
      </c>
      <c r="Y483" s="26">
        <f ca="1">VLOOKUP($X483,サイズ別係数!$B:$E,2,FALSE)</f>
        <v>1.3</v>
      </c>
      <c r="Z483" s="26">
        <f ca="1">VLOOKUP($X483,サイズ別係数!$B:$E,3,FALSE)</f>
        <v>1.3</v>
      </c>
      <c r="AA483" s="26">
        <f ca="1">VLOOKUP($X483,サイズ別係数!$B:$E,4,FALSE)</f>
        <v>1.1000000000000001</v>
      </c>
      <c r="AB483" s="5">
        <v>0</v>
      </c>
      <c r="AC483" s="34" t="str">
        <f ca="1">VLOOKUP($AB483,OFFSET([3]enemy_skill_sets!$B$2,0,0,COUNTA([3]enemy_skill_sets!$A:$A),MATCH(AC$1,[3]enemy_skill_sets!$1:$1,0)-MATCH($AB$1,[3]enemy_skill_sets!$1:$1,0)+1),MATCH(AC$1,[3]enemy_skill_sets!$1:$1,0)-MATCH($AB$1,[3]enemy_skill_sets!$1:$1,0)+1,FALSE)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3" s="67">
        <v>1</v>
      </c>
      <c r="AE483" s="67">
        <v>1</v>
      </c>
      <c r="AF483" s="37">
        <v>0</v>
      </c>
      <c r="AG483" s="28">
        <f ca="1">ROUND(VLOOKUP(1,enemy_base_stats!$A:$F,2,FALSE) * Y483* J483*O483*E483*S483*AD483*[2]ステータス!$B$2,0)</f>
        <v>4341</v>
      </c>
      <c r="AH483" s="28">
        <f ca="1">ROUND(VLOOKUP(1,enemy_base_stats!$A:$F,3,FALSE) * Z483*K483*P483*F483*T483*AE483 * W483*[2]ステータス!$C$2,0)</f>
        <v>215</v>
      </c>
      <c r="AI483" s="28">
        <f ca="1">ROUND(VLOOKUP(1,enemy_base_stats!$A:$F,4,FALSE) * AA483*L483*Q483*G483*U483*AF483*[2]ステータス!$D$2,0)</f>
        <v>0</v>
      </c>
      <c r="AJ483" s="28">
        <f ca="1">ROUND(VLOOKUP(100,enemy_base_stats!$A:$F,2,FALSE) * Y483* J483*O483*E483*S483*AD483*[2]ステータス!$B$2,0)</f>
        <v>176251</v>
      </c>
      <c r="AK483" s="28">
        <f ca="1">ROUND(VLOOKUP(100,enemy_base_stats!$A:$F,3,FALSE)* Z483* K483*P483*F483*T483*AE483 * W483*[2]ステータス!$C$2,0)</f>
        <v>8747</v>
      </c>
      <c r="AL483" s="28">
        <f ca="1">ROUND(VLOOKUP(100,enemy_base_stats!$A:$F,4,FALSE)* AA483* L483*Q483*G483*U483*AF483*[2]ステータス!$D$2,0)</f>
        <v>0</v>
      </c>
      <c r="AM483" s="24">
        <f ca="1">VLOOKUP(M483,[2]character_tribe_i18n!$A:$I,9,FALSE)</f>
        <v>400</v>
      </c>
      <c r="AN483" s="36">
        <v>0</v>
      </c>
      <c r="AO483" s="53">
        <v>0</v>
      </c>
      <c r="AP483" s="58" t="s">
        <v>72</v>
      </c>
      <c r="AQ483" s="71">
        <f t="shared" ca="1" si="23"/>
        <v>482</v>
      </c>
    </row>
    <row r="484" spans="1:43" ht="21" customHeight="1" x14ac:dyDescent="0.15">
      <c r="A484" s="7">
        <f t="shared" ca="1" si="19"/>
        <v>483</v>
      </c>
      <c r="B484" s="6" t="str">
        <f ca="1">VLOOKUP(A484,[2]characters!$A:$C,3,FALSE)</f>
        <v xml:space="preserve">命経死遂 沢庵宗彭 </v>
      </c>
      <c r="C484" s="9">
        <f ca="1">VLOOKUP(A484,[2]characters!$A:$I,9,FALSE)</f>
        <v>5</v>
      </c>
      <c r="D484" s="9" t="str">
        <f ca="1">VLOOKUP(A484,[2]characters!$A:$H,8,FALSE)</f>
        <v>yellow</v>
      </c>
      <c r="E484" s="24">
        <f ca="1">VLOOKUP(D484,[2]属性!$A:$E,2,FALSE)</f>
        <v>0.98</v>
      </c>
      <c r="F484" s="24">
        <f ca="1">VLOOKUP(D484,[2]属性!$A:$E,3,FALSE)</f>
        <v>1.01</v>
      </c>
      <c r="G484" s="24">
        <f ca="1">VLOOKUP(D484,[2]属性!$A:$F,4,FALSE)</f>
        <v>1</v>
      </c>
      <c r="H484" s="9" t="str">
        <f ca="1">VLOOKUP(A484,[2]characters!$A:$K,11,FALSE)</f>
        <v>hp</v>
      </c>
      <c r="I484" s="14" t="str">
        <f ca="1">VLOOKUP(H484,[2]character_type_i18n!$A:$F,3,FALSE)</f>
        <v>体力タイプ</v>
      </c>
      <c r="J484" s="36">
        <f ca="1">VLOOKUP(H484,[2]character_type_i18n!$A:$F,4,FALSE)</f>
        <v>1.45</v>
      </c>
      <c r="K484" s="36">
        <f ca="1">VLOOKUP(H484,[2]character_type_i18n!$A:$F,5,FALSE)</f>
        <v>0.85</v>
      </c>
      <c r="L484" s="36">
        <f ca="1">VLOOKUP(H484,[2]character_type_i18n!$A:$F,6,FALSE)</f>
        <v>1</v>
      </c>
      <c r="M484" s="9" t="str">
        <f ca="1">VLOOKUP(A484,[2]characters!$A:$M,13,FALSE)</f>
        <v>human</v>
      </c>
      <c r="N484" s="14" t="str">
        <f ca="1">VLOOKUP(M484,[2]character_tribe_i18n!$A:$F,3,FALSE)</f>
        <v>ヒューマン</v>
      </c>
      <c r="O484" s="24">
        <f ca="1">VLOOKUP(M484,[2]character_tribe_i18n!$A:$F,4,FALSE)</f>
        <v>0.94</v>
      </c>
      <c r="P484" s="24">
        <f ca="1">VLOOKUP(M484,[2]character_tribe_i18n!$A:$F,5,FALSE)</f>
        <v>0.99</v>
      </c>
      <c r="Q484" s="24">
        <f ca="1">VLOOKUP(M484,[2]character_tribe_i18n!$A:$F,6,FALSE)</f>
        <v>1</v>
      </c>
      <c r="R484" s="25" t="s">
        <v>98</v>
      </c>
      <c r="S484" s="24">
        <f>VLOOKUP($R484,ラベル別係数!$A$1:$E$7,3,FALSE)</f>
        <v>5</v>
      </c>
      <c r="T484" s="24">
        <f>VLOOKUP($R484,ラベル別係数!$A$1:$E$7,4,FALSE)</f>
        <v>1.3</v>
      </c>
      <c r="U484" s="24">
        <f>VLOOKUP($R484,ラベル別係数!$A$1:$E$7,5,FALSE)</f>
        <v>0.8</v>
      </c>
      <c r="V484" s="27">
        <v>3</v>
      </c>
      <c r="W484" s="28">
        <f>VLOOKUP(V484,ターン数別攻撃係数!$A$1:$B$1000,2,FALSE)</f>
        <v>1</v>
      </c>
      <c r="X484" s="9">
        <f ca="1">VLOOKUP(C484,サイズ別係数!A$2:B$9,2,FALSE)</f>
        <v>60</v>
      </c>
      <c r="Y484" s="26">
        <f ca="1">VLOOKUP($X484,サイズ別係数!$B:$E,2,FALSE)</f>
        <v>1.7</v>
      </c>
      <c r="Z484" s="26">
        <f ca="1">VLOOKUP($X484,サイズ別係数!$B:$E,3,FALSE)</f>
        <v>1.4</v>
      </c>
      <c r="AA484" s="26">
        <f ca="1">VLOOKUP($X484,サイズ別係数!$B:$E,4,FALSE)</f>
        <v>1</v>
      </c>
      <c r="AB484" s="5">
        <v>0</v>
      </c>
      <c r="AC484" s="34" t="str">
        <f ca="1">VLOOKUP($AB484,OFFSET([3]enemy_skill_sets!$B$2,0,0,COUNTA([3]enemy_skill_sets!$A:$A),MATCH(AC$1,[3]enemy_skill_sets!$1:$1,0)-MATCH($AB$1,[3]enemy_skill_sets!$1:$1,0)+1),MATCH(AC$1,[3]enemy_skill_sets!$1:$1,0)-MATCH($AB$1,[3]enemy_skill_sets!$1:$1,0)+1,FALSE)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4" s="67">
        <v>1</v>
      </c>
      <c r="AE484" s="67">
        <v>1</v>
      </c>
      <c r="AF484" s="37">
        <v>0</v>
      </c>
      <c r="AG484" s="28">
        <f ca="1">ROUND(VLOOKUP(1,enemy_base_stats!$A:$F,2,FALSE) * Y484* J484*O484*E484*S484*AD484*[2]ステータス!$B$2,0)</f>
        <v>5677</v>
      </c>
      <c r="AH484" s="28">
        <f ca="1">ROUND(VLOOKUP(1,enemy_base_stats!$A:$F,3,FALSE) * Z484*K484*P484*F484*T484*AE484 * W484*[2]ステータス!$C$2,0)</f>
        <v>232</v>
      </c>
      <c r="AI484" s="28">
        <f ca="1">ROUND(VLOOKUP(1,enemy_base_stats!$A:$F,4,FALSE) * AA484*L484*Q484*G484*U484*AF484*[2]ステータス!$D$2,0)</f>
        <v>0</v>
      </c>
      <c r="AJ484" s="28">
        <f ca="1">ROUND(VLOOKUP(100,enemy_base_stats!$A:$F,2,FALSE) * Y484* J484*O484*E484*S484*AD484*[2]ステータス!$B$2,0)</f>
        <v>230482</v>
      </c>
      <c r="AK484" s="28">
        <f ca="1">ROUND(VLOOKUP(100,enemy_base_stats!$A:$F,3,FALSE)* Z484* K484*P484*F484*T484*AE484 * W484*[2]ステータス!$C$2,0)</f>
        <v>9420</v>
      </c>
      <c r="AL484" s="28">
        <f ca="1">ROUND(VLOOKUP(100,enemy_base_stats!$A:$F,4,FALSE)* AA484* L484*Q484*G484*U484*AF484*[2]ステータス!$D$2,0)</f>
        <v>0</v>
      </c>
      <c r="AM484" s="24">
        <f ca="1">VLOOKUP(M484,[2]character_tribe_i18n!$A:$I,9,FALSE)</f>
        <v>400</v>
      </c>
      <c r="AN484" s="36">
        <v>0</v>
      </c>
      <c r="AO484" s="53">
        <v>0</v>
      </c>
      <c r="AP484" s="58" t="s">
        <v>72</v>
      </c>
      <c r="AQ484" s="71">
        <f t="shared" ca="1" si="23"/>
        <v>483</v>
      </c>
    </row>
    <row r="485" spans="1:43" ht="21" customHeight="1" x14ac:dyDescent="0.15">
      <c r="A485" s="7">
        <f t="shared" ca="1" si="19"/>
        <v>484</v>
      </c>
      <c r="B485" s="6" t="str">
        <f ca="1">VLOOKUP(A485,[2]characters!$A:$C,3,FALSE)</f>
        <v>ラグランジュ</v>
      </c>
      <c r="C485" s="9">
        <f ca="1">VLOOKUP(A485,[2]characters!$A:$I,9,FALSE)</f>
        <v>4</v>
      </c>
      <c r="D485" s="9" t="str">
        <f ca="1">VLOOKUP(A485,[2]characters!$A:$H,8,FALSE)</f>
        <v>red</v>
      </c>
      <c r="E485" s="24">
        <f ca="1">VLOOKUP(D485,[2]属性!$A:$E,2,FALSE)</f>
        <v>1</v>
      </c>
      <c r="F485" s="24">
        <f ca="1">VLOOKUP(D485,[2]属性!$A:$E,3,FALSE)</f>
        <v>1.02</v>
      </c>
      <c r="G485" s="24">
        <f ca="1">VLOOKUP(D485,[2]属性!$A:$F,4,FALSE)</f>
        <v>1</v>
      </c>
      <c r="H485" s="9" t="str">
        <f ca="1">VLOOKUP(A485,[2]characters!$A:$K,11,FALSE)</f>
        <v>technical</v>
      </c>
      <c r="I485" s="14" t="str">
        <f ca="1">VLOOKUP(H485,[2]character_type_i18n!$A:$F,3,FALSE)</f>
        <v>テクニカルタイプ</v>
      </c>
      <c r="J485" s="36">
        <f ca="1">VLOOKUP(H485,[2]character_type_i18n!$A:$F,4,FALSE)</f>
        <v>0.9</v>
      </c>
      <c r="K485" s="36">
        <f ca="1">VLOOKUP(H485,[2]character_type_i18n!$A:$F,5,FALSE)</f>
        <v>0.9</v>
      </c>
      <c r="L485" s="36">
        <f ca="1">VLOOKUP(H485,[2]character_type_i18n!$A:$F,6,FALSE)</f>
        <v>1</v>
      </c>
      <c r="M485" s="9" t="str">
        <f ca="1">VLOOKUP(A485,[2]characters!$A:$M,13,FALSE)</f>
        <v>human</v>
      </c>
      <c r="N485" s="14" t="str">
        <f ca="1">VLOOKUP(M485,[2]character_tribe_i18n!$A:$F,3,FALSE)</f>
        <v>ヒューマン</v>
      </c>
      <c r="O485" s="24">
        <f ca="1">VLOOKUP(M485,[2]character_tribe_i18n!$A:$F,4,FALSE)</f>
        <v>0.94</v>
      </c>
      <c r="P485" s="24">
        <f ca="1">VLOOKUP(M485,[2]character_tribe_i18n!$A:$F,5,FALSE)</f>
        <v>0.99</v>
      </c>
      <c r="Q485" s="24">
        <f ca="1">VLOOKUP(M485,[2]character_tribe_i18n!$A:$F,6,FALSE)</f>
        <v>1</v>
      </c>
      <c r="R485" s="25" t="s">
        <v>98</v>
      </c>
      <c r="S485" s="24">
        <f>VLOOKUP($R485,ラベル別係数!$A$1:$E$7,3,FALSE)</f>
        <v>5</v>
      </c>
      <c r="T485" s="24">
        <f>VLOOKUP($R485,ラベル別係数!$A$1:$E$7,4,FALSE)</f>
        <v>1.3</v>
      </c>
      <c r="U485" s="24">
        <f>VLOOKUP($R485,ラベル別係数!$A$1:$E$7,5,FALSE)</f>
        <v>0.8</v>
      </c>
      <c r="V485" s="27">
        <v>3</v>
      </c>
      <c r="W485" s="28">
        <f>VLOOKUP(V485,ターン数別攻撃係数!$A$1:$B$1000,2,FALSE)</f>
        <v>1</v>
      </c>
      <c r="X485" s="9">
        <f ca="1">VLOOKUP(C485,サイズ別係数!A$2:B$9,2,FALSE)</f>
        <v>30</v>
      </c>
      <c r="Y485" s="26">
        <f ca="1">VLOOKUP($X485,サイズ別係数!$B:$E,2,FALSE)</f>
        <v>1.3</v>
      </c>
      <c r="Z485" s="26">
        <f ca="1">VLOOKUP($X485,サイズ別係数!$B:$E,3,FALSE)</f>
        <v>1.3</v>
      </c>
      <c r="AA485" s="26">
        <f ca="1">VLOOKUP($X485,サイズ別係数!$B:$E,4,FALSE)</f>
        <v>1.1000000000000001</v>
      </c>
      <c r="AB485" s="5">
        <v>0</v>
      </c>
      <c r="AC485" s="34" t="str">
        <f ca="1">VLOOKUP($AB485,OFFSET([3]enemy_skill_sets!$B$2,0,0,COUNTA([3]enemy_skill_sets!$A:$A),MATCH(AC$1,[3]enemy_skill_sets!$1:$1,0)-MATCH($AB$1,[3]enemy_skill_sets!$1:$1,0)+1),MATCH(AC$1,[3]enemy_skill_sets!$1:$1,0)-MATCH($AB$1,[3]enemy_skill_sets!$1:$1,0)+1,FALSE)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5" s="67">
        <v>1</v>
      </c>
      <c r="AE485" s="67">
        <v>1</v>
      </c>
      <c r="AF485" s="37">
        <v>0</v>
      </c>
      <c r="AG485" s="28">
        <f ca="1">ROUND(VLOOKUP(1,enemy_base_stats!$A:$F,2,FALSE) * Y485* J485*O485*E485*S485*AD485*[2]ステータス!$B$2,0)</f>
        <v>2750</v>
      </c>
      <c r="AH485" s="28">
        <f ca="1">ROUND(VLOOKUP(1,enemy_base_stats!$A:$F,3,FALSE) * Z485*K485*P485*F485*T485*AE485 * W485*[2]ステータス!$C$2,0)</f>
        <v>230</v>
      </c>
      <c r="AI485" s="28">
        <f ca="1">ROUND(VLOOKUP(1,enemy_base_stats!$A:$F,4,FALSE) * AA485*L485*Q485*G485*U485*AF485*[2]ステータス!$D$2,0)</f>
        <v>0</v>
      </c>
      <c r="AJ485" s="28">
        <f ca="1">ROUND(VLOOKUP(100,enemy_base_stats!$A:$F,2,FALSE) * Y485* J485*O485*E485*S485*AD485*[2]ステータス!$B$2,0)</f>
        <v>111630</v>
      </c>
      <c r="AK485" s="28">
        <f ca="1">ROUND(VLOOKUP(100,enemy_base_stats!$A:$F,3,FALSE)* Z485* K485*P485*F485*T485*AE485 * W485*[2]ステータス!$C$2,0)</f>
        <v>9354</v>
      </c>
      <c r="AL485" s="28">
        <f ca="1">ROUND(VLOOKUP(100,enemy_base_stats!$A:$F,4,FALSE)* AA485* L485*Q485*G485*U485*AF485*[2]ステータス!$D$2,0)</f>
        <v>0</v>
      </c>
      <c r="AM485" s="24">
        <f ca="1">VLOOKUP(M485,[2]character_tribe_i18n!$A:$I,9,FALSE)</f>
        <v>400</v>
      </c>
      <c r="AN485" s="36">
        <v>0</v>
      </c>
      <c r="AO485" s="53">
        <v>0</v>
      </c>
      <c r="AP485" s="58" t="s">
        <v>72</v>
      </c>
      <c r="AQ485" s="71">
        <f t="shared" ca="1" si="23"/>
        <v>484</v>
      </c>
    </row>
    <row r="486" spans="1:43" ht="21" customHeight="1" x14ac:dyDescent="0.15">
      <c r="A486" s="7">
        <f t="shared" ca="1" si="19"/>
        <v>485</v>
      </c>
      <c r="B486" s="6" t="str">
        <f ca="1">VLOOKUP(A486,[2]characters!$A:$C,3,FALSE)</f>
        <v>超越自我 ラグランジュ</v>
      </c>
      <c r="C486" s="9">
        <f ca="1">VLOOKUP(A486,[2]characters!$A:$I,9,FALSE)</f>
        <v>5</v>
      </c>
      <c r="D486" s="9" t="str">
        <f ca="1">VLOOKUP(A486,[2]characters!$A:$H,8,FALSE)</f>
        <v>red</v>
      </c>
      <c r="E486" s="24">
        <f ca="1">VLOOKUP(D486,[2]属性!$A:$E,2,FALSE)</f>
        <v>1</v>
      </c>
      <c r="F486" s="24">
        <f ca="1">VLOOKUP(D486,[2]属性!$A:$E,3,FALSE)</f>
        <v>1.02</v>
      </c>
      <c r="G486" s="24">
        <f ca="1">VLOOKUP(D486,[2]属性!$A:$F,4,FALSE)</f>
        <v>1</v>
      </c>
      <c r="H486" s="9" t="str">
        <f ca="1">VLOOKUP(A486,[2]characters!$A:$K,11,FALSE)</f>
        <v>technical</v>
      </c>
      <c r="I486" s="14" t="str">
        <f ca="1">VLOOKUP(H486,[2]character_type_i18n!$A:$F,3,FALSE)</f>
        <v>テクニカルタイプ</v>
      </c>
      <c r="J486" s="36">
        <f ca="1">VLOOKUP(H486,[2]character_type_i18n!$A:$F,4,FALSE)</f>
        <v>0.9</v>
      </c>
      <c r="K486" s="36">
        <f ca="1">VLOOKUP(H486,[2]character_type_i18n!$A:$F,5,FALSE)</f>
        <v>0.9</v>
      </c>
      <c r="L486" s="36">
        <f ca="1">VLOOKUP(H486,[2]character_type_i18n!$A:$F,6,FALSE)</f>
        <v>1</v>
      </c>
      <c r="M486" s="9" t="str">
        <f ca="1">VLOOKUP(A486,[2]characters!$A:$M,13,FALSE)</f>
        <v>human</v>
      </c>
      <c r="N486" s="14" t="str">
        <f ca="1">VLOOKUP(M486,[2]character_tribe_i18n!$A:$F,3,FALSE)</f>
        <v>ヒューマン</v>
      </c>
      <c r="O486" s="24">
        <f ca="1">VLOOKUP(M486,[2]character_tribe_i18n!$A:$F,4,FALSE)</f>
        <v>0.94</v>
      </c>
      <c r="P486" s="24">
        <f ca="1">VLOOKUP(M486,[2]character_tribe_i18n!$A:$F,5,FALSE)</f>
        <v>0.99</v>
      </c>
      <c r="Q486" s="24">
        <f ca="1">VLOOKUP(M486,[2]character_tribe_i18n!$A:$F,6,FALSE)</f>
        <v>1</v>
      </c>
      <c r="R486" s="25" t="s">
        <v>98</v>
      </c>
      <c r="S486" s="24">
        <f>VLOOKUP($R486,ラベル別係数!$A$1:$E$7,3,FALSE)</f>
        <v>5</v>
      </c>
      <c r="T486" s="24">
        <f>VLOOKUP($R486,ラベル別係数!$A$1:$E$7,4,FALSE)</f>
        <v>1.3</v>
      </c>
      <c r="U486" s="24">
        <f>VLOOKUP($R486,ラベル別係数!$A$1:$E$7,5,FALSE)</f>
        <v>0.8</v>
      </c>
      <c r="V486" s="27">
        <v>3</v>
      </c>
      <c r="W486" s="28">
        <f>VLOOKUP(V486,ターン数別攻撃係数!$A$1:$B$1000,2,FALSE)</f>
        <v>1</v>
      </c>
      <c r="X486" s="9">
        <f ca="1">VLOOKUP(C486,サイズ別係数!A$2:B$9,2,FALSE)</f>
        <v>60</v>
      </c>
      <c r="Y486" s="26">
        <f ca="1">VLOOKUP($X486,サイズ別係数!$B:$E,2,FALSE)</f>
        <v>1.7</v>
      </c>
      <c r="Z486" s="26">
        <f ca="1">VLOOKUP($X486,サイズ別係数!$B:$E,3,FALSE)</f>
        <v>1.4</v>
      </c>
      <c r="AA486" s="26">
        <f ca="1">VLOOKUP($X486,サイズ別係数!$B:$E,4,FALSE)</f>
        <v>1</v>
      </c>
      <c r="AB486" s="5">
        <v>0</v>
      </c>
      <c r="AC486" s="34" t="str">
        <f ca="1">VLOOKUP($AB486,OFFSET([3]enemy_skill_sets!$B$2,0,0,COUNTA([3]enemy_skill_sets!$A:$A),MATCH(AC$1,[3]enemy_skill_sets!$1:$1,0)-MATCH($AB$1,[3]enemy_skill_sets!$1:$1,0)+1),MATCH(AC$1,[3]enemy_skill_sets!$1:$1,0)-MATCH($AB$1,[3]enemy_skill_sets!$1:$1,0)+1,FALSE)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6" s="67">
        <v>1</v>
      </c>
      <c r="AE486" s="67">
        <v>1</v>
      </c>
      <c r="AF486" s="37">
        <v>0</v>
      </c>
      <c r="AG486" s="28">
        <f ca="1">ROUND(VLOOKUP(1,enemy_base_stats!$A:$F,2,FALSE) * Y486* J486*O486*E486*S486*AD486*[2]ステータス!$B$2,0)</f>
        <v>3596</v>
      </c>
      <c r="AH486" s="28">
        <f ca="1">ROUND(VLOOKUP(1,enemy_base_stats!$A:$F,3,FALSE) * Z486*K486*P486*F486*T486*AE486 * W486*[2]ステータス!$C$2,0)</f>
        <v>248</v>
      </c>
      <c r="AI486" s="28">
        <f ca="1">ROUND(VLOOKUP(1,enemy_base_stats!$A:$F,4,FALSE) * AA486*L486*Q486*G486*U486*AF486*[2]ステータス!$D$2,0)</f>
        <v>0</v>
      </c>
      <c r="AJ486" s="28">
        <f ca="1">ROUND(VLOOKUP(100,enemy_base_stats!$A:$F,2,FALSE) * Y486* J486*O486*E486*S486*AD486*[2]ステータス!$B$2,0)</f>
        <v>145977</v>
      </c>
      <c r="AK486" s="28">
        <f ca="1">ROUND(VLOOKUP(100,enemy_base_stats!$A:$F,3,FALSE)* Z486* K486*P486*F486*T486*AE486 * W486*[2]ステータス!$C$2,0)</f>
        <v>10073</v>
      </c>
      <c r="AL486" s="28">
        <f ca="1">ROUND(VLOOKUP(100,enemy_base_stats!$A:$F,4,FALSE)* AA486* L486*Q486*G486*U486*AF486*[2]ステータス!$D$2,0)</f>
        <v>0</v>
      </c>
      <c r="AM486" s="24">
        <f ca="1">VLOOKUP(M486,[2]character_tribe_i18n!$A:$I,9,FALSE)</f>
        <v>400</v>
      </c>
      <c r="AN486" s="36">
        <v>0</v>
      </c>
      <c r="AO486" s="53">
        <v>0</v>
      </c>
      <c r="AP486" s="58" t="s">
        <v>72</v>
      </c>
      <c r="AQ486" s="71">
        <f t="shared" ca="1" si="23"/>
        <v>485</v>
      </c>
    </row>
    <row r="487" spans="1:43" ht="21" customHeight="1" x14ac:dyDescent="0.15">
      <c r="A487" s="7">
        <f t="shared" ca="1" si="19"/>
        <v>486</v>
      </c>
      <c r="B487" s="6" t="str">
        <f ca="1">VLOOKUP(A487,[2]characters!$A:$C,3,FALSE)</f>
        <v>重なる世解 シュレディンガー</v>
      </c>
      <c r="C487" s="9">
        <f ca="1">VLOOKUP(A487,[2]characters!$A:$I,9,FALSE)</f>
        <v>5</v>
      </c>
      <c r="D487" s="9" t="str">
        <f ca="1">VLOOKUP(A487,[2]characters!$A:$H,8,FALSE)</f>
        <v>red</v>
      </c>
      <c r="E487" s="24">
        <f ca="1">VLOOKUP(D487,[2]属性!$A:$E,2,FALSE)</f>
        <v>1</v>
      </c>
      <c r="F487" s="24">
        <f ca="1">VLOOKUP(D487,[2]属性!$A:$E,3,FALSE)</f>
        <v>1.02</v>
      </c>
      <c r="G487" s="24">
        <f ca="1">VLOOKUP(D487,[2]属性!$A:$F,4,FALSE)</f>
        <v>1</v>
      </c>
      <c r="H487" s="9" t="str">
        <f ca="1">VLOOKUP(A487,[2]characters!$A:$K,11,FALSE)</f>
        <v>balance</v>
      </c>
      <c r="I487" s="14" t="str">
        <f ca="1">VLOOKUP(H487,[2]character_type_i18n!$A:$F,3,FALSE)</f>
        <v>バランスタイプ</v>
      </c>
      <c r="J487" s="36">
        <f ca="1">VLOOKUP(H487,[2]character_type_i18n!$A:$F,4,FALSE)</f>
        <v>1</v>
      </c>
      <c r="K487" s="36">
        <f ca="1">VLOOKUP(H487,[2]character_type_i18n!$A:$F,5,FALSE)</f>
        <v>1</v>
      </c>
      <c r="L487" s="36">
        <f ca="1">VLOOKUP(H487,[2]character_type_i18n!$A:$F,6,FALSE)</f>
        <v>1</v>
      </c>
      <c r="M487" s="9" t="str">
        <f ca="1">VLOOKUP(A487,[2]characters!$A:$M,13,FALSE)</f>
        <v>animal</v>
      </c>
      <c r="N487" s="14" t="str">
        <f ca="1">VLOOKUP(M487,[2]character_tribe_i18n!$A:$F,3,FALSE)</f>
        <v>アニマル</v>
      </c>
      <c r="O487" s="24">
        <f ca="1">VLOOKUP(M487,[2]character_tribe_i18n!$A:$F,4,FALSE)</f>
        <v>1</v>
      </c>
      <c r="P487" s="24">
        <f ca="1">VLOOKUP(M487,[2]character_tribe_i18n!$A:$F,5,FALSE)</f>
        <v>1.1000000000000001</v>
      </c>
      <c r="Q487" s="24">
        <f ca="1">VLOOKUP(M487,[2]character_tribe_i18n!$A:$F,6,FALSE)</f>
        <v>1</v>
      </c>
      <c r="R487" s="25" t="s">
        <v>98</v>
      </c>
      <c r="S487" s="24">
        <f>VLOOKUP($R487,ラベル別係数!$A$1:$E$7,3,FALSE)</f>
        <v>5</v>
      </c>
      <c r="T487" s="24">
        <f>VLOOKUP($R487,ラベル別係数!$A$1:$E$7,4,FALSE)</f>
        <v>1.3</v>
      </c>
      <c r="U487" s="24">
        <f>VLOOKUP($R487,ラベル別係数!$A$1:$E$7,5,FALSE)</f>
        <v>0.8</v>
      </c>
      <c r="V487" s="27">
        <v>3</v>
      </c>
      <c r="W487" s="28">
        <f>VLOOKUP(V487,ターン数別攻撃係数!$A$1:$B$1000,2,FALSE)</f>
        <v>1</v>
      </c>
      <c r="X487" s="9">
        <f ca="1">VLOOKUP(C487,サイズ別係数!A$2:B$9,2,FALSE)</f>
        <v>60</v>
      </c>
      <c r="Y487" s="26">
        <f ca="1">VLOOKUP($X487,サイズ別係数!$B:$E,2,FALSE)</f>
        <v>1.7</v>
      </c>
      <c r="Z487" s="26">
        <f ca="1">VLOOKUP($X487,サイズ別係数!$B:$E,3,FALSE)</f>
        <v>1.4</v>
      </c>
      <c r="AA487" s="26">
        <f ca="1">VLOOKUP($X487,サイズ別係数!$B:$E,4,FALSE)</f>
        <v>1</v>
      </c>
      <c r="AB487" s="5">
        <v>0</v>
      </c>
      <c r="AC487" s="34" t="str">
        <f ca="1">VLOOKUP($AB487,OFFSET([3]enemy_skill_sets!$B$2,0,0,COUNTA([3]enemy_skill_sets!$A:$A),MATCH(AC$1,[3]enemy_skill_sets!$1:$1,0)-MATCH($AB$1,[3]enemy_skill_sets!$1:$1,0)+1),MATCH(AC$1,[3]enemy_skill_sets!$1:$1,0)-MATCH($AB$1,[3]enemy_skill_sets!$1:$1,0)+1,FALSE)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7" s="67">
        <v>1</v>
      </c>
      <c r="AE487" s="67">
        <v>1</v>
      </c>
      <c r="AF487" s="37">
        <v>0</v>
      </c>
      <c r="AG487" s="28">
        <f ca="1">ROUND(VLOOKUP(1,enemy_base_stats!$A:$F,2,FALSE) * Y487* J487*O487*E487*S487*AD487*[2]ステータス!$B$2,0)</f>
        <v>4250</v>
      </c>
      <c r="AH487" s="28">
        <f ca="1">ROUND(VLOOKUP(1,enemy_base_stats!$A:$F,3,FALSE) * Z487*K487*P487*F487*T487*AE487 * W487*[2]ステータス!$C$2,0)</f>
        <v>306</v>
      </c>
      <c r="AI487" s="28">
        <f ca="1">ROUND(VLOOKUP(1,enemy_base_stats!$A:$F,4,FALSE) * AA487*L487*Q487*G487*U487*AF487*[2]ステータス!$D$2,0)</f>
        <v>0</v>
      </c>
      <c r="AJ487" s="28">
        <f ca="1">ROUND(VLOOKUP(100,enemy_base_stats!$A:$F,2,FALSE) * Y487* J487*O487*E487*S487*AD487*[2]ステータス!$B$2,0)</f>
        <v>172550</v>
      </c>
      <c r="AK487" s="28">
        <f ca="1">ROUND(VLOOKUP(100,enemy_base_stats!$A:$F,3,FALSE)* Z487* K487*P487*F487*T487*AE487 * W487*[2]ステータス!$C$2,0)</f>
        <v>12436</v>
      </c>
      <c r="AL487" s="28">
        <f ca="1">ROUND(VLOOKUP(100,enemy_base_stats!$A:$F,4,FALSE)* AA487* L487*Q487*G487*U487*AF487*[2]ステータス!$D$2,0)</f>
        <v>0</v>
      </c>
      <c r="AM487" s="24">
        <f ca="1">VLOOKUP(M487,[2]character_tribe_i18n!$A:$I,9,FALSE)</f>
        <v>480</v>
      </c>
      <c r="AN487" s="36">
        <v>0</v>
      </c>
      <c r="AO487" s="53">
        <v>0</v>
      </c>
      <c r="AP487" s="58" t="s">
        <v>72</v>
      </c>
      <c r="AQ487" s="71">
        <f t="shared" ca="1" si="23"/>
        <v>486</v>
      </c>
    </row>
    <row r="488" spans="1:43" ht="21" customHeight="1" x14ac:dyDescent="0.15">
      <c r="A488" s="7">
        <f t="shared" ca="1" si="19"/>
        <v>487</v>
      </c>
      <c r="B488" s="6" t="str">
        <f ca="1">VLOOKUP(A488,[2]characters!$A:$C,3,FALSE)</f>
        <v>暴創の造物 チューリング</v>
      </c>
      <c r="C488" s="9">
        <f ca="1">VLOOKUP(A488,[2]characters!$A:$I,9,FALSE)</f>
        <v>5</v>
      </c>
      <c r="D488" s="9" t="str">
        <f ca="1">VLOOKUP(A488,[2]characters!$A:$H,8,FALSE)</f>
        <v>green</v>
      </c>
      <c r="E488" s="24">
        <f ca="1">VLOOKUP(D488,[2]属性!$A:$E,2,FALSE)</f>
        <v>1.02</v>
      </c>
      <c r="F488" s="24">
        <f ca="1">VLOOKUP(D488,[2]属性!$A:$E,3,FALSE)</f>
        <v>0.98</v>
      </c>
      <c r="G488" s="24">
        <f ca="1">VLOOKUP(D488,[2]属性!$A:$F,4,FALSE)</f>
        <v>1</v>
      </c>
      <c r="H488" s="9" t="str">
        <f ca="1">VLOOKUP(A488,[2]characters!$A:$K,11,FALSE)</f>
        <v>hp</v>
      </c>
      <c r="I488" s="14" t="str">
        <f ca="1">VLOOKUP(H488,[2]character_type_i18n!$A:$F,3,FALSE)</f>
        <v>体力タイプ</v>
      </c>
      <c r="J488" s="36">
        <f ca="1">VLOOKUP(H488,[2]character_type_i18n!$A:$F,4,FALSE)</f>
        <v>1.45</v>
      </c>
      <c r="K488" s="36">
        <f ca="1">VLOOKUP(H488,[2]character_type_i18n!$A:$F,5,FALSE)</f>
        <v>0.85</v>
      </c>
      <c r="L488" s="36">
        <f ca="1">VLOOKUP(H488,[2]character_type_i18n!$A:$F,6,FALSE)</f>
        <v>1</v>
      </c>
      <c r="M488" s="9" t="str">
        <f ca="1">VLOOKUP(A488,[2]characters!$A:$M,13,FALSE)</f>
        <v>human</v>
      </c>
      <c r="N488" s="14" t="str">
        <f ca="1">VLOOKUP(M488,[2]character_tribe_i18n!$A:$F,3,FALSE)</f>
        <v>ヒューマン</v>
      </c>
      <c r="O488" s="24">
        <f ca="1">VLOOKUP(M488,[2]character_tribe_i18n!$A:$F,4,FALSE)</f>
        <v>0.94</v>
      </c>
      <c r="P488" s="24">
        <f ca="1">VLOOKUP(M488,[2]character_tribe_i18n!$A:$F,5,FALSE)</f>
        <v>0.99</v>
      </c>
      <c r="Q488" s="24">
        <f ca="1">VLOOKUP(M488,[2]character_tribe_i18n!$A:$F,6,FALSE)</f>
        <v>1</v>
      </c>
      <c r="R488" s="25" t="s">
        <v>98</v>
      </c>
      <c r="S488" s="24">
        <f>VLOOKUP($R488,ラベル別係数!$A$1:$E$7,3,FALSE)</f>
        <v>5</v>
      </c>
      <c r="T488" s="24">
        <f>VLOOKUP($R488,ラベル別係数!$A$1:$E$7,4,FALSE)</f>
        <v>1.3</v>
      </c>
      <c r="U488" s="24">
        <f>VLOOKUP($R488,ラベル別係数!$A$1:$E$7,5,FALSE)</f>
        <v>0.8</v>
      </c>
      <c r="V488" s="27">
        <v>3</v>
      </c>
      <c r="W488" s="28">
        <f>VLOOKUP(V488,ターン数別攻撃係数!$A$1:$B$1000,2,FALSE)</f>
        <v>1</v>
      </c>
      <c r="X488" s="9">
        <f ca="1">VLOOKUP(C488,サイズ別係数!A$2:B$9,2,FALSE)</f>
        <v>60</v>
      </c>
      <c r="Y488" s="26">
        <f ca="1">VLOOKUP($X488,サイズ別係数!$B:$E,2,FALSE)</f>
        <v>1.7</v>
      </c>
      <c r="Z488" s="26">
        <f ca="1">VLOOKUP($X488,サイズ別係数!$B:$E,3,FALSE)</f>
        <v>1.4</v>
      </c>
      <c r="AA488" s="26">
        <f ca="1">VLOOKUP($X488,サイズ別係数!$B:$E,4,FALSE)</f>
        <v>1</v>
      </c>
      <c r="AB488" s="5">
        <v>0</v>
      </c>
      <c r="AC488" s="34" t="str">
        <f ca="1">VLOOKUP($AB488,OFFSET([3]enemy_skill_sets!$B$2,0,0,COUNTA([3]enemy_skill_sets!$A:$A),MATCH(AC$1,[3]enemy_skill_sets!$1:$1,0)-MATCH($AB$1,[3]enemy_skill_sets!$1:$1,0)+1),MATCH(AC$1,[3]enemy_skill_sets!$1:$1,0)-MATCH($AB$1,[3]enemy_skill_sets!$1:$1,0)+1,FALSE)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8" s="67">
        <v>1</v>
      </c>
      <c r="AE488" s="67">
        <v>1</v>
      </c>
      <c r="AF488" s="37">
        <v>0</v>
      </c>
      <c r="AG488" s="28">
        <f ca="1">ROUND(VLOOKUP(1,enemy_base_stats!$A:$F,2,FALSE) * Y488* J488*O488*E488*S488*AD488*[2]ステータス!$B$2,0)</f>
        <v>5909</v>
      </c>
      <c r="AH488" s="28">
        <f ca="1">ROUND(VLOOKUP(1,enemy_base_stats!$A:$F,3,FALSE) * Z488*K488*P488*F488*T488*AE488 * W488*[2]ステータス!$C$2,0)</f>
        <v>225</v>
      </c>
      <c r="AI488" s="28">
        <f ca="1">ROUND(VLOOKUP(1,enemy_base_stats!$A:$F,4,FALSE) * AA488*L488*Q488*G488*U488*AF488*[2]ステータス!$D$2,0)</f>
        <v>0</v>
      </c>
      <c r="AJ488" s="28">
        <f ca="1">ROUND(VLOOKUP(100,enemy_base_stats!$A:$F,2,FALSE) * Y488* J488*O488*E488*S488*AD488*[2]ステータス!$B$2,0)</f>
        <v>239889</v>
      </c>
      <c r="AK488" s="28">
        <f ca="1">ROUND(VLOOKUP(100,enemy_base_stats!$A:$F,3,FALSE)* Z488* K488*P488*F488*T488*AE488 * W488*[2]ステータス!$C$2,0)</f>
        <v>9140</v>
      </c>
      <c r="AL488" s="28">
        <f ca="1">ROUND(VLOOKUP(100,enemy_base_stats!$A:$F,4,FALSE)* AA488* L488*Q488*G488*U488*AF488*[2]ステータス!$D$2,0)</f>
        <v>0</v>
      </c>
      <c r="AM488" s="24">
        <f ca="1">VLOOKUP(M488,[2]character_tribe_i18n!$A:$I,9,FALSE)</f>
        <v>400</v>
      </c>
      <c r="AN488" s="36">
        <v>0</v>
      </c>
      <c r="AO488" s="53">
        <v>0</v>
      </c>
      <c r="AP488" s="58" t="s">
        <v>72</v>
      </c>
      <c r="AQ488" s="71">
        <f t="shared" ca="1" si="23"/>
        <v>487</v>
      </c>
    </row>
    <row r="489" spans="1:43" ht="21" customHeight="1" x14ac:dyDescent="0.15">
      <c r="A489" s="84">
        <f t="shared" ca="1" si="19"/>
        <v>488</v>
      </c>
      <c r="B489" s="14" t="str">
        <f ca="1">VLOOKUP(A489,[2]characters!$A:$C,3,FALSE)</f>
        <v>直観の異論 ヘンペル</v>
      </c>
      <c r="C489" s="85">
        <f ca="1">VLOOKUP(A489,[2]characters!$A:$I,9,FALSE)</f>
        <v>5</v>
      </c>
      <c r="D489" s="85" t="str">
        <f ca="1">VLOOKUP(A489,[2]characters!$A:$H,8,FALSE)</f>
        <v>blue</v>
      </c>
      <c r="E489" s="86">
        <f ca="1">VLOOKUP(D489,[2]属性!$A:$E,2,FALSE)</f>
        <v>1</v>
      </c>
      <c r="F489" s="86">
        <f ca="1">VLOOKUP(D489,[2]属性!$A:$E,3,FALSE)</f>
        <v>0.98</v>
      </c>
      <c r="G489" s="86">
        <f ca="1">VLOOKUP(D489,[2]属性!$A:$F,4,FALSE)</f>
        <v>1</v>
      </c>
      <c r="H489" s="85" t="str">
        <f ca="1">VLOOKUP(A489,[2]characters!$A:$K,11,FALSE)</f>
        <v>technical</v>
      </c>
      <c r="I489" s="14" t="str">
        <f ca="1">VLOOKUP(H489,[2]character_type_i18n!$A:$F,3,FALSE)</f>
        <v>テクニカルタイプ</v>
      </c>
      <c r="J489" s="87">
        <f ca="1">VLOOKUP(H489,[2]character_type_i18n!$A:$F,4,FALSE)</f>
        <v>0.9</v>
      </c>
      <c r="K489" s="87">
        <f ca="1">VLOOKUP(H489,[2]character_type_i18n!$A:$F,5,FALSE)</f>
        <v>0.9</v>
      </c>
      <c r="L489" s="87">
        <f ca="1">VLOOKUP(H489,[2]character_type_i18n!$A:$F,6,FALSE)</f>
        <v>1</v>
      </c>
      <c r="M489" s="85" t="str">
        <f ca="1">VLOOKUP(A489,[2]characters!$A:$M,13,FALSE)</f>
        <v>human</v>
      </c>
      <c r="N489" s="14" t="str">
        <f ca="1">VLOOKUP(M489,[2]character_tribe_i18n!$A:$F,3,FALSE)</f>
        <v>ヒューマン</v>
      </c>
      <c r="O489" s="86">
        <f ca="1">VLOOKUP(M489,[2]character_tribe_i18n!$A:$F,4,FALSE)</f>
        <v>0.94</v>
      </c>
      <c r="P489" s="86">
        <f ca="1">VLOOKUP(M489,[2]character_tribe_i18n!$A:$F,5,FALSE)</f>
        <v>0.99</v>
      </c>
      <c r="Q489" s="86">
        <f ca="1">VLOOKUP(M489,[2]character_tribe_i18n!$A:$F,6,FALSE)</f>
        <v>1</v>
      </c>
      <c r="R489" s="88" t="s">
        <v>98</v>
      </c>
      <c r="S489" s="86">
        <f>VLOOKUP($R489,ラベル別係数!$A$1:$E$7,3,FALSE)</f>
        <v>5</v>
      </c>
      <c r="T489" s="86">
        <f>VLOOKUP($R489,ラベル別係数!$A$1:$E$7,4,FALSE)</f>
        <v>1.3</v>
      </c>
      <c r="U489" s="86">
        <f>VLOOKUP($R489,ラベル別係数!$A$1:$E$7,5,FALSE)</f>
        <v>0.8</v>
      </c>
      <c r="V489" s="65">
        <v>3</v>
      </c>
      <c r="W489" s="89">
        <f>VLOOKUP(V489,ターン数別攻撃係数!$A$1:$B$1000,2,FALSE)</f>
        <v>1</v>
      </c>
      <c r="X489" s="9">
        <f ca="1">VLOOKUP(C489,サイズ別係数!A$2:B$9,2,FALSE)</f>
        <v>60</v>
      </c>
      <c r="Y489" s="90">
        <f ca="1">VLOOKUP($X489,サイズ別係数!$B:$E,2,FALSE)</f>
        <v>1.7</v>
      </c>
      <c r="Z489" s="90">
        <f ca="1">VLOOKUP($X489,サイズ別係数!$B:$E,3,FALSE)</f>
        <v>1.4</v>
      </c>
      <c r="AA489" s="90">
        <f ca="1">VLOOKUP($X489,サイズ別係数!$B:$E,4,FALSE)</f>
        <v>1</v>
      </c>
      <c r="AB489" s="91">
        <v>0</v>
      </c>
      <c r="AC489" s="92" t="str">
        <f ca="1">VLOOKUP($AB489,OFFSET([3]enemy_skill_sets!$B$2,0,0,COUNTA([3]enemy_skill_sets!$A:$A),MATCH(AC$1,[3]enemy_skill_sets!$1:$1,0)-MATCH($AB$1,[3]enemy_skill_sets!$1:$1,0)+1),MATCH(AC$1,[3]enemy_skill_sets!$1:$1,0)-MATCH($AB$1,[3]enemy_skill_sets!$1:$1,0)+1,FALSE)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89" s="93">
        <v>1</v>
      </c>
      <c r="AE489" s="93">
        <v>1</v>
      </c>
      <c r="AF489" s="66">
        <v>0</v>
      </c>
      <c r="AG489" s="89">
        <f ca="1">ROUND(VLOOKUP(1,enemy_base_stats!$A:$F,2,FALSE) * Y489* J489*O489*E489*S489*AD489*[2]ステータス!$B$2,0)</f>
        <v>3596</v>
      </c>
      <c r="AH489" s="89">
        <f ca="1">ROUND(VLOOKUP(1,enemy_base_stats!$A:$F,3,FALSE) * Z489*K489*P489*F489*T489*AE489 * W489*[2]ステータス!$C$2,0)</f>
        <v>238</v>
      </c>
      <c r="AI489" s="89">
        <f ca="1">ROUND(VLOOKUP(1,enemy_base_stats!$A:$F,4,FALSE) * AA489*L489*Q489*G489*U489*AF489*[2]ステータス!$D$2,0)</f>
        <v>0</v>
      </c>
      <c r="AJ489" s="89">
        <f ca="1">ROUND(VLOOKUP(100,enemy_base_stats!$A:$F,2,FALSE) * Y489* J489*O489*E489*S489*AD489*[2]ステータス!$B$2,0)</f>
        <v>145977</v>
      </c>
      <c r="AK489" s="89">
        <f ca="1">ROUND(VLOOKUP(100,enemy_base_stats!$A:$F,3,FALSE)* Z489* K489*P489*F489*T489*AE489 * W489*[2]ステータス!$C$2,0)</f>
        <v>9678</v>
      </c>
      <c r="AL489" s="89">
        <f ca="1">ROUND(VLOOKUP(100,enemy_base_stats!$A:$F,4,FALSE)* AA489* L489*Q489*G489*U489*AF489*[2]ステータス!$D$2,0)</f>
        <v>0</v>
      </c>
      <c r="AM489" s="86">
        <f ca="1">VLOOKUP(M489,[2]character_tribe_i18n!$A:$I,9,FALSE)</f>
        <v>400</v>
      </c>
      <c r="AN489" s="87">
        <v>0</v>
      </c>
      <c r="AO489" s="94">
        <v>0</v>
      </c>
      <c r="AP489" s="95" t="s">
        <v>72</v>
      </c>
      <c r="AQ489" s="96">
        <f t="shared" ca="1" si="23"/>
        <v>488</v>
      </c>
    </row>
    <row r="490" spans="1:43" ht="21" customHeight="1" x14ac:dyDescent="0.15">
      <c r="A490" s="7">
        <f t="shared" ca="1" si="19"/>
        <v>489</v>
      </c>
      <c r="B490" s="6" t="str">
        <f ca="1">VLOOKUP(A490,[2]characters!$A:$C,3,FALSE)</f>
        <v>宇宙の拡超 ハップル</v>
      </c>
      <c r="C490" s="9">
        <f ca="1">VLOOKUP(A490,[2]characters!$A:$I,9,FALSE)</f>
        <v>5</v>
      </c>
      <c r="D490" s="9" t="str">
        <f ca="1">VLOOKUP(A490,[2]characters!$A:$H,8,FALSE)</f>
        <v>yellow</v>
      </c>
      <c r="E490" s="97">
        <f ca="1">VLOOKUP(D490,[2]属性!$A:$E,2,FALSE)</f>
        <v>0.98</v>
      </c>
      <c r="F490" s="97">
        <f ca="1">VLOOKUP(D490,[2]属性!$A:$E,3,FALSE)</f>
        <v>1.01</v>
      </c>
      <c r="G490" s="97">
        <f ca="1">VLOOKUP(D490,[2]属性!$A:$F,4,FALSE)</f>
        <v>1</v>
      </c>
      <c r="H490" s="9" t="str">
        <f ca="1">VLOOKUP(A490,[2]characters!$A:$K,11,FALSE)</f>
        <v>technical</v>
      </c>
      <c r="I490" s="6" t="str">
        <f ca="1">VLOOKUP(H490,[2]character_type_i18n!$A:$F,3,FALSE)</f>
        <v>テクニカルタイプ</v>
      </c>
      <c r="J490" s="97">
        <f ca="1">VLOOKUP(H490,[2]character_type_i18n!$A:$F,4,FALSE)</f>
        <v>0.9</v>
      </c>
      <c r="K490" s="97">
        <f ca="1">VLOOKUP(H490,[2]character_type_i18n!$A:$F,5,FALSE)</f>
        <v>0.9</v>
      </c>
      <c r="L490" s="97">
        <f ca="1">VLOOKUP(H490,[2]character_type_i18n!$A:$F,6,FALSE)</f>
        <v>1</v>
      </c>
      <c r="M490" s="9" t="str">
        <f ca="1">VLOOKUP(A490,[2]characters!$A:$M,13,FALSE)</f>
        <v>human</v>
      </c>
      <c r="N490" s="6" t="str">
        <f ca="1">VLOOKUP(M490,[2]character_tribe_i18n!$A:$F,3,FALSE)</f>
        <v>ヒューマン</v>
      </c>
      <c r="O490" s="97">
        <f ca="1">VLOOKUP(M490,[2]character_tribe_i18n!$A:$F,4,FALSE)</f>
        <v>0.94</v>
      </c>
      <c r="P490" s="97">
        <f ca="1">VLOOKUP(M490,[2]character_tribe_i18n!$A:$F,5,FALSE)</f>
        <v>0.99</v>
      </c>
      <c r="Q490" s="97">
        <f ca="1">VLOOKUP(M490,[2]character_tribe_i18n!$A:$F,6,FALSE)</f>
        <v>1</v>
      </c>
      <c r="R490" s="98" t="s">
        <v>98</v>
      </c>
      <c r="S490" s="97">
        <f>VLOOKUP($R490,ラベル別係数!$A$1:$E$7,3,FALSE)</f>
        <v>5</v>
      </c>
      <c r="T490" s="97">
        <f>VLOOKUP($R490,ラベル別係数!$A$1:$E$7,4,FALSE)</f>
        <v>1.3</v>
      </c>
      <c r="U490" s="97">
        <f>VLOOKUP($R490,ラベル別係数!$A$1:$E$7,5,FALSE)</f>
        <v>0.8</v>
      </c>
      <c r="V490" s="98">
        <v>3</v>
      </c>
      <c r="W490" s="99">
        <f>VLOOKUP(V490,ターン数別攻撃係数!$A$1:$B$1000,2,FALSE)</f>
        <v>1</v>
      </c>
      <c r="X490" s="9">
        <f ca="1">VLOOKUP(C490,サイズ別係数!A$2:B$9,2,FALSE)</f>
        <v>60</v>
      </c>
      <c r="Y490" s="97">
        <f ca="1">VLOOKUP($X490,サイズ別係数!$B:$E,2,FALSE)</f>
        <v>1.7</v>
      </c>
      <c r="Z490" s="97">
        <f ca="1">VLOOKUP($X490,サイズ別係数!$B:$E,3,FALSE)</f>
        <v>1.4</v>
      </c>
      <c r="AA490" s="97">
        <f ca="1">VLOOKUP($X490,サイズ別係数!$B:$E,4,FALSE)</f>
        <v>1</v>
      </c>
      <c r="AB490" s="10">
        <v>0</v>
      </c>
      <c r="AC490" s="6" t="str">
        <f ca="1">VLOOKUP($AB490,OFFSET([3]enemy_skill_sets!$B$2,0,0,COUNTA([3]enemy_skill_sets!$A:$A),MATCH(AC$1,[3]enemy_skill_sets!$1:$1,0)-MATCH($AB$1,[3]enemy_skill_sets!$1:$1,0)+1),MATCH(AC$1,[3]enemy_skill_sets!$1:$1,0)-MATCH($AB$1,[3]enemy_skill_sets!$1:$1,0)+1,FALSE)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0" s="67">
        <v>1</v>
      </c>
      <c r="AE490" s="67">
        <v>1</v>
      </c>
      <c r="AF490" s="98">
        <v>0</v>
      </c>
      <c r="AG490" s="99">
        <f ca="1">ROUND(VLOOKUP(1,enemy_base_stats!$A:$F,2,FALSE) * Y490* J490*O490*E490*S490*AD490*[2]ステータス!$B$2,0)</f>
        <v>3524</v>
      </c>
      <c r="AH490" s="99">
        <f ca="1">ROUND(VLOOKUP(1,enemy_base_stats!$A:$F,3,FALSE) * Z490*K490*P490*F490*T490*AE490 * W490*[2]ステータス!$C$2,0)</f>
        <v>246</v>
      </c>
      <c r="AI490" s="99">
        <f ca="1">ROUND(VLOOKUP(1,enemy_base_stats!$A:$F,4,FALSE) * AA490*L490*Q490*G490*U490*AF490*[2]ステータス!$D$2,0)</f>
        <v>0</v>
      </c>
      <c r="AJ490" s="99">
        <f ca="1">ROUND(VLOOKUP(100,enemy_base_stats!$A:$F,2,FALSE) * Y490* J490*O490*E490*S490*AD490*[2]ステータス!$B$2,0)</f>
        <v>143058</v>
      </c>
      <c r="AK490" s="99">
        <f ca="1">ROUND(VLOOKUP(100,enemy_base_stats!$A:$F,3,FALSE)* Z490* K490*P490*F490*T490*AE490 * W490*[2]ステータス!$C$2,0)</f>
        <v>9974</v>
      </c>
      <c r="AL490" s="99">
        <f ca="1">ROUND(VLOOKUP(100,enemy_base_stats!$A:$F,4,FALSE)* AA490* L490*Q490*G490*U490*AF490*[2]ステータス!$D$2,0)</f>
        <v>0</v>
      </c>
      <c r="AM490" s="97">
        <f ca="1">VLOOKUP(M490,[2]character_tribe_i18n!$A:$I,9,FALSE)</f>
        <v>400</v>
      </c>
      <c r="AN490" s="97">
        <v>0</v>
      </c>
      <c r="AO490" s="98">
        <v>0</v>
      </c>
      <c r="AP490" s="58" t="s">
        <v>72</v>
      </c>
      <c r="AQ490" s="34">
        <f t="shared" ca="1" si="23"/>
        <v>489</v>
      </c>
    </row>
    <row r="491" spans="1:43" ht="21" customHeight="1" x14ac:dyDescent="0.15">
      <c r="A491" s="7">
        <f t="shared" ca="1" si="19"/>
        <v>490</v>
      </c>
      <c r="B491" s="6" t="str">
        <f ca="1">VLOOKUP(A491,[2]characters!$A:$C,3,FALSE)</f>
        <v>グリム</v>
      </c>
      <c r="C491" s="9">
        <f ca="1">VLOOKUP(A491,[2]characters!$A:$I,9,FALSE)</f>
        <v>4</v>
      </c>
      <c r="D491" s="9" t="str">
        <f ca="1">VLOOKUP(A491,[2]characters!$A:$H,8,FALSE)</f>
        <v>green</v>
      </c>
      <c r="E491" s="97">
        <f ca="1">VLOOKUP(D491,[2]属性!$A:$E,2,FALSE)</f>
        <v>1.02</v>
      </c>
      <c r="F491" s="97">
        <f ca="1">VLOOKUP(D491,[2]属性!$A:$E,3,FALSE)</f>
        <v>0.98</v>
      </c>
      <c r="G491" s="97">
        <f ca="1">VLOOKUP(D491,[2]属性!$A:$F,4,FALSE)</f>
        <v>1</v>
      </c>
      <c r="H491" s="9" t="str">
        <f ca="1">VLOOKUP(A491,[2]characters!$A:$K,11,FALSE)</f>
        <v>balance</v>
      </c>
      <c r="I491" s="6" t="str">
        <f ca="1">VLOOKUP(H491,[2]character_type_i18n!$A:$F,3,FALSE)</f>
        <v>バランスタイプ</v>
      </c>
      <c r="J491" s="97">
        <f ca="1">VLOOKUP(H491,[2]character_type_i18n!$A:$F,4,FALSE)</f>
        <v>1</v>
      </c>
      <c r="K491" s="97">
        <f ca="1">VLOOKUP(H491,[2]character_type_i18n!$A:$F,5,FALSE)</f>
        <v>1</v>
      </c>
      <c r="L491" s="97">
        <f ca="1">VLOOKUP(H491,[2]character_type_i18n!$A:$F,6,FALSE)</f>
        <v>1</v>
      </c>
      <c r="M491" s="9" t="str">
        <f ca="1">VLOOKUP(A491,[2]characters!$A:$M,13,FALSE)</f>
        <v>human</v>
      </c>
      <c r="N491" s="6" t="str">
        <f ca="1">VLOOKUP(M491,[2]character_tribe_i18n!$A:$F,3,FALSE)</f>
        <v>ヒューマン</v>
      </c>
      <c r="O491" s="97">
        <f ca="1">VLOOKUP(M491,[2]character_tribe_i18n!$A:$F,4,FALSE)</f>
        <v>0.94</v>
      </c>
      <c r="P491" s="97">
        <f ca="1">VLOOKUP(M491,[2]character_tribe_i18n!$A:$F,5,FALSE)</f>
        <v>0.99</v>
      </c>
      <c r="Q491" s="97">
        <f ca="1">VLOOKUP(M491,[2]character_tribe_i18n!$A:$F,6,FALSE)</f>
        <v>1</v>
      </c>
      <c r="R491" s="98" t="s">
        <v>98</v>
      </c>
      <c r="S491" s="97">
        <f>VLOOKUP($R491,ラベル別係数!$A$1:$E$7,3,FALSE)</f>
        <v>5</v>
      </c>
      <c r="T491" s="97">
        <f>VLOOKUP($R491,ラベル別係数!$A$1:$E$7,4,FALSE)</f>
        <v>1.3</v>
      </c>
      <c r="U491" s="97">
        <f>VLOOKUP($R491,ラベル別係数!$A$1:$E$7,5,FALSE)</f>
        <v>0.8</v>
      </c>
      <c r="V491" s="98">
        <v>3</v>
      </c>
      <c r="W491" s="99">
        <f>VLOOKUP(V491,ターン数別攻撃係数!$A$1:$B$1000,2,FALSE)</f>
        <v>1</v>
      </c>
      <c r="X491" s="9">
        <f ca="1">VLOOKUP(C491,サイズ別係数!A$2:B$9,2,FALSE)</f>
        <v>30</v>
      </c>
      <c r="Y491" s="97">
        <f ca="1">VLOOKUP($X491,サイズ別係数!$B:$E,2,FALSE)</f>
        <v>1.3</v>
      </c>
      <c r="Z491" s="97">
        <f ca="1">VLOOKUP($X491,サイズ別係数!$B:$E,3,FALSE)</f>
        <v>1.3</v>
      </c>
      <c r="AA491" s="97">
        <f ca="1">VLOOKUP($X491,サイズ別係数!$B:$E,4,FALSE)</f>
        <v>1.1000000000000001</v>
      </c>
      <c r="AB491" s="10">
        <v>0</v>
      </c>
      <c r="AC491" s="6" t="str">
        <f ca="1">VLOOKUP($AB491,OFFSET([3]enemy_skill_sets!$B$2,0,0,COUNTA([3]enemy_skill_sets!$A:$A),MATCH(AC$1,[3]enemy_skill_sets!$1:$1,0)-MATCH($AB$1,[3]enemy_skill_sets!$1:$1,0)+1),MATCH(AC$1,[3]enemy_skill_sets!$1:$1,0)-MATCH($AB$1,[3]enemy_skill_sets!$1:$1,0)+1,FALSE)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1" s="67">
        <v>1</v>
      </c>
      <c r="AE491" s="67">
        <v>1</v>
      </c>
      <c r="AF491" s="98">
        <v>0</v>
      </c>
      <c r="AG491" s="99">
        <f ca="1">ROUND(VLOOKUP(1,enemy_base_stats!$A:$F,2,FALSE) * Y491* J491*O491*E491*S491*AD491*[2]ステータス!$B$2,0)</f>
        <v>3116</v>
      </c>
      <c r="AH491" s="99">
        <f ca="1">ROUND(VLOOKUP(1,enemy_base_stats!$A:$F,3,FALSE) * Z491*K491*P491*F491*T491*AE491 * W491*[2]ステータス!$C$2,0)</f>
        <v>246</v>
      </c>
      <c r="AI491" s="99">
        <f ca="1">ROUND(VLOOKUP(1,enemy_base_stats!$A:$F,4,FALSE) * AA491*L491*Q491*G491*U491*AF491*[2]ステータス!$D$2,0)</f>
        <v>0</v>
      </c>
      <c r="AJ491" s="99">
        <f ca="1">ROUND(VLOOKUP(100,enemy_base_stats!$A:$F,2,FALSE) * Y491* J491*O491*E491*S491*AD491*[2]ステータス!$B$2,0)</f>
        <v>126514</v>
      </c>
      <c r="AK491" s="99">
        <f ca="1">ROUND(VLOOKUP(100,enemy_base_stats!$A:$F,3,FALSE)* Z491* K491*P491*F491*T491*AE491 * W491*[2]ステータス!$C$2,0)</f>
        <v>9985</v>
      </c>
      <c r="AL491" s="99">
        <f ca="1">ROUND(VLOOKUP(100,enemy_base_stats!$A:$F,4,FALSE)* AA491* L491*Q491*G491*U491*AF491*[2]ステータス!$D$2,0)</f>
        <v>0</v>
      </c>
      <c r="AM491" s="97">
        <f ca="1">VLOOKUP(M491,[2]character_tribe_i18n!$A:$I,9,FALSE)</f>
        <v>400</v>
      </c>
      <c r="AN491" s="97">
        <v>0</v>
      </c>
      <c r="AO491" s="98">
        <v>0</v>
      </c>
      <c r="AP491" s="58" t="s">
        <v>72</v>
      </c>
      <c r="AQ491" s="34">
        <f t="shared" ref="AQ491:AQ492" ca="1" si="24">A491</f>
        <v>490</v>
      </c>
    </row>
    <row r="492" spans="1:43" ht="21" customHeight="1" x14ac:dyDescent="0.15">
      <c r="A492" s="7">
        <f t="shared" ca="1" si="19"/>
        <v>491</v>
      </c>
      <c r="B492" s="6" t="str">
        <f ca="1">VLOOKUP(A492,[2]characters!$A:$C,3,FALSE)</f>
        <v>収魂の群影 グリム</v>
      </c>
      <c r="C492" s="9">
        <f ca="1">VLOOKUP(A492,[2]characters!$A:$I,9,FALSE)</f>
        <v>5</v>
      </c>
      <c r="D492" s="9" t="str">
        <f ca="1">VLOOKUP(A492,[2]characters!$A:$H,8,FALSE)</f>
        <v>green</v>
      </c>
      <c r="E492" s="97">
        <f ca="1">VLOOKUP(D492,[2]属性!$A:$E,2,FALSE)</f>
        <v>1.02</v>
      </c>
      <c r="F492" s="97">
        <f ca="1">VLOOKUP(D492,[2]属性!$A:$E,3,FALSE)</f>
        <v>0.98</v>
      </c>
      <c r="G492" s="97">
        <f ca="1">VLOOKUP(D492,[2]属性!$A:$F,4,FALSE)</f>
        <v>1</v>
      </c>
      <c r="H492" s="9" t="str">
        <f ca="1">VLOOKUP(A492,[2]characters!$A:$K,11,FALSE)</f>
        <v>balance</v>
      </c>
      <c r="I492" s="6" t="str">
        <f ca="1">VLOOKUP(H492,[2]character_type_i18n!$A:$F,3,FALSE)</f>
        <v>バランスタイプ</v>
      </c>
      <c r="J492" s="97">
        <f ca="1">VLOOKUP(H492,[2]character_type_i18n!$A:$F,4,FALSE)</f>
        <v>1</v>
      </c>
      <c r="K492" s="97">
        <f ca="1">VLOOKUP(H492,[2]character_type_i18n!$A:$F,5,FALSE)</f>
        <v>1</v>
      </c>
      <c r="L492" s="97">
        <f ca="1">VLOOKUP(H492,[2]character_type_i18n!$A:$F,6,FALSE)</f>
        <v>1</v>
      </c>
      <c r="M492" s="9" t="str">
        <f ca="1">VLOOKUP(A492,[2]characters!$A:$M,13,FALSE)</f>
        <v>human</v>
      </c>
      <c r="N492" s="6" t="str">
        <f ca="1">VLOOKUP(M492,[2]character_tribe_i18n!$A:$F,3,FALSE)</f>
        <v>ヒューマン</v>
      </c>
      <c r="O492" s="97">
        <f ca="1">VLOOKUP(M492,[2]character_tribe_i18n!$A:$F,4,FALSE)</f>
        <v>0.94</v>
      </c>
      <c r="P492" s="97">
        <f ca="1">VLOOKUP(M492,[2]character_tribe_i18n!$A:$F,5,FALSE)</f>
        <v>0.99</v>
      </c>
      <c r="Q492" s="97">
        <f ca="1">VLOOKUP(M492,[2]character_tribe_i18n!$A:$F,6,FALSE)</f>
        <v>1</v>
      </c>
      <c r="R492" s="98" t="s">
        <v>98</v>
      </c>
      <c r="S492" s="97">
        <f>VLOOKUP($R492,ラベル別係数!$A$1:$E$7,3,FALSE)</f>
        <v>5</v>
      </c>
      <c r="T492" s="97">
        <f>VLOOKUP($R492,ラベル別係数!$A$1:$E$7,4,FALSE)</f>
        <v>1.3</v>
      </c>
      <c r="U492" s="97">
        <f>VLOOKUP($R492,ラベル別係数!$A$1:$E$7,5,FALSE)</f>
        <v>0.8</v>
      </c>
      <c r="V492" s="98">
        <v>3</v>
      </c>
      <c r="W492" s="99">
        <f>VLOOKUP(V492,ターン数別攻撃係数!$A$1:$B$1000,2,FALSE)</f>
        <v>1</v>
      </c>
      <c r="X492" s="9">
        <f ca="1">VLOOKUP(C492,サイズ別係数!A$2:B$9,2,FALSE)</f>
        <v>60</v>
      </c>
      <c r="Y492" s="97">
        <f ca="1">VLOOKUP($X492,サイズ別係数!$B:$E,2,FALSE)</f>
        <v>1.7</v>
      </c>
      <c r="Z492" s="97">
        <f ca="1">VLOOKUP($X492,サイズ別係数!$B:$E,3,FALSE)</f>
        <v>1.4</v>
      </c>
      <c r="AA492" s="97">
        <f ca="1">VLOOKUP($X492,サイズ別係数!$B:$E,4,FALSE)</f>
        <v>1</v>
      </c>
      <c r="AB492" s="10">
        <v>0</v>
      </c>
      <c r="AC492" s="6" t="str">
        <f ca="1">VLOOKUP($AB492,OFFSET([3]enemy_skill_sets!$B$2,0,0,COUNTA([3]enemy_skill_sets!$A:$A),MATCH(AC$1,[3]enemy_skill_sets!$1:$1,0)-MATCH($AB$1,[3]enemy_skill_sets!$1:$1,0)+1),MATCH(AC$1,[3]enemy_skill_sets!$1:$1,0)-MATCH($AB$1,[3]enemy_skill_sets!$1:$1,0)+1,FALSE)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2" s="67">
        <v>1</v>
      </c>
      <c r="AE492" s="67">
        <v>1</v>
      </c>
      <c r="AF492" s="98">
        <v>0</v>
      </c>
      <c r="AG492" s="99">
        <f ca="1">ROUND(VLOOKUP(1,enemy_base_stats!$A:$F,2,FALSE) * Y492* J492*O492*E492*S492*AD492*[2]ステータス!$B$2,0)</f>
        <v>4075</v>
      </c>
      <c r="AH492" s="99">
        <f ca="1">ROUND(VLOOKUP(1,enemy_base_stats!$A:$F,3,FALSE) * Z492*K492*P492*F492*T492*AE492 * W492*[2]ステータス!$C$2,0)</f>
        <v>265</v>
      </c>
      <c r="AI492" s="99">
        <f ca="1">ROUND(VLOOKUP(1,enemy_base_stats!$A:$F,4,FALSE) * AA492*L492*Q492*G492*U492*AF492*[2]ステータス!$D$2,0)</f>
        <v>0</v>
      </c>
      <c r="AJ492" s="99">
        <f ca="1">ROUND(VLOOKUP(100,enemy_base_stats!$A:$F,2,FALSE) * Y492* J492*O492*E492*S492*AD492*[2]ステータス!$B$2,0)</f>
        <v>165441</v>
      </c>
      <c r="AK492" s="99">
        <f ca="1">ROUND(VLOOKUP(100,enemy_base_stats!$A:$F,3,FALSE)* Z492* K492*P492*F492*T492*AE492 * W492*[2]ステータス!$C$2,0)</f>
        <v>10754</v>
      </c>
      <c r="AL492" s="99">
        <f ca="1">ROUND(VLOOKUP(100,enemy_base_stats!$A:$F,4,FALSE)* AA492* L492*Q492*G492*U492*AF492*[2]ステータス!$D$2,0)</f>
        <v>0</v>
      </c>
      <c r="AM492" s="97">
        <f ca="1">VLOOKUP(M492,[2]character_tribe_i18n!$A:$I,9,FALSE)</f>
        <v>400</v>
      </c>
      <c r="AN492" s="97">
        <v>0</v>
      </c>
      <c r="AO492" s="98">
        <v>0</v>
      </c>
      <c r="AP492" s="58" t="s">
        <v>72</v>
      </c>
      <c r="AQ492" s="34">
        <f t="shared" ca="1" si="24"/>
        <v>491</v>
      </c>
    </row>
    <row r="493" spans="1:43" ht="21" customHeight="1" x14ac:dyDescent="0.15">
      <c r="A493" s="7">
        <f t="shared" ca="1" si="19"/>
        <v>492</v>
      </c>
      <c r="B493" s="6" t="str">
        <f ca="1">VLOOKUP(A493,[2]characters!$A:$C,3,FALSE)</f>
        <v>ブートレグ・ペロー</v>
      </c>
      <c r="C493" s="9">
        <f ca="1">VLOOKUP(A493,[2]characters!$A:$I,9,FALSE)</f>
        <v>4</v>
      </c>
      <c r="D493" s="9" t="str">
        <f ca="1">VLOOKUP(A493,[2]characters!$A:$H,8,FALSE)</f>
        <v>red</v>
      </c>
      <c r="E493" s="97">
        <f ca="1">VLOOKUP(D493,[2]属性!$A:$E,2,FALSE)</f>
        <v>1</v>
      </c>
      <c r="F493" s="97">
        <f ca="1">VLOOKUP(D493,[2]属性!$A:$E,3,FALSE)</f>
        <v>1.02</v>
      </c>
      <c r="G493" s="97">
        <f ca="1">VLOOKUP(D493,[2]属性!$A:$F,4,FALSE)</f>
        <v>1</v>
      </c>
      <c r="H493" s="9" t="str">
        <f ca="1">VLOOKUP(A493,[2]characters!$A:$K,11,FALSE)</f>
        <v>hp</v>
      </c>
      <c r="I493" s="6" t="str">
        <f ca="1">VLOOKUP(H493,[2]character_type_i18n!$A:$F,3,FALSE)</f>
        <v>体力タイプ</v>
      </c>
      <c r="J493" s="97">
        <f ca="1">VLOOKUP(H493,[2]character_type_i18n!$A:$F,4,FALSE)</f>
        <v>1.45</v>
      </c>
      <c r="K493" s="97">
        <f ca="1">VLOOKUP(H493,[2]character_type_i18n!$A:$F,5,FALSE)</f>
        <v>0.85</v>
      </c>
      <c r="L493" s="97">
        <f ca="1">VLOOKUP(H493,[2]character_type_i18n!$A:$F,6,FALSE)</f>
        <v>1</v>
      </c>
      <c r="M493" s="9" t="str">
        <f ca="1">VLOOKUP(A493,[2]characters!$A:$M,13,FALSE)</f>
        <v>animal</v>
      </c>
      <c r="N493" s="6" t="str">
        <f ca="1">VLOOKUP(M493,[2]character_tribe_i18n!$A:$F,3,FALSE)</f>
        <v>アニマル</v>
      </c>
      <c r="O493" s="97">
        <f ca="1">VLOOKUP(M493,[2]character_tribe_i18n!$A:$F,4,FALSE)</f>
        <v>1</v>
      </c>
      <c r="P493" s="97">
        <f ca="1">VLOOKUP(M493,[2]character_tribe_i18n!$A:$F,5,FALSE)</f>
        <v>1.1000000000000001</v>
      </c>
      <c r="Q493" s="97">
        <f ca="1">VLOOKUP(M493,[2]character_tribe_i18n!$A:$F,6,FALSE)</f>
        <v>1</v>
      </c>
      <c r="R493" s="98" t="s">
        <v>98</v>
      </c>
      <c r="S493" s="97">
        <f>VLOOKUP($R493,ラベル別係数!$A$1:$E$7,3,FALSE)</f>
        <v>5</v>
      </c>
      <c r="T493" s="97">
        <f>VLOOKUP($R493,ラベル別係数!$A$1:$E$7,4,FALSE)</f>
        <v>1.3</v>
      </c>
      <c r="U493" s="97">
        <f>VLOOKUP($R493,ラベル別係数!$A$1:$E$7,5,FALSE)</f>
        <v>0.8</v>
      </c>
      <c r="V493" s="98">
        <v>3</v>
      </c>
      <c r="W493" s="99">
        <f>VLOOKUP(V493,ターン数別攻撃係数!$A$1:$B$1000,2,FALSE)</f>
        <v>1</v>
      </c>
      <c r="X493" s="9">
        <f ca="1">VLOOKUP(C493,サイズ別係数!A$2:B$9,2,FALSE)</f>
        <v>30</v>
      </c>
      <c r="Y493" s="97">
        <f ca="1">VLOOKUP($X493,サイズ別係数!$B:$E,2,FALSE)</f>
        <v>1.3</v>
      </c>
      <c r="Z493" s="97">
        <f ca="1">VLOOKUP($X493,サイズ別係数!$B:$E,3,FALSE)</f>
        <v>1.3</v>
      </c>
      <c r="AA493" s="97">
        <f ca="1">VLOOKUP($X493,サイズ別係数!$B:$E,4,FALSE)</f>
        <v>1.1000000000000001</v>
      </c>
      <c r="AB493" s="10">
        <v>0</v>
      </c>
      <c r="AC493" s="6" t="str">
        <f ca="1">VLOOKUP($AB493,OFFSET([3]enemy_skill_sets!$B$2,0,0,COUNTA([3]enemy_skill_sets!$A:$A),MATCH(AC$1,[3]enemy_skill_sets!$1:$1,0)-MATCH($AB$1,[3]enemy_skill_sets!$1:$1,0)+1),MATCH(AC$1,[3]enemy_skill_sets!$1:$1,0)-MATCH($AB$1,[3]enemy_skill_sets!$1:$1,0)+1,FALSE)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3" s="67">
        <v>1</v>
      </c>
      <c r="AE493" s="67">
        <v>1</v>
      </c>
      <c r="AF493" s="98">
        <v>0</v>
      </c>
      <c r="AG493" s="99">
        <f ca="1">ROUND(VLOOKUP(1,enemy_base_stats!$A:$F,2,FALSE) * Y493* J493*O493*E493*S493*AD493*[2]ステータス!$B$2,0)</f>
        <v>4713</v>
      </c>
      <c r="AH493" s="99">
        <f ca="1">ROUND(VLOOKUP(1,enemy_base_stats!$A:$F,3,FALSE) * Z493*K493*P493*F493*T493*AE493 * W493*[2]ステータス!$C$2,0)</f>
        <v>242</v>
      </c>
      <c r="AI493" s="99">
        <f ca="1">ROUND(VLOOKUP(1,enemy_base_stats!$A:$F,4,FALSE) * AA493*L493*Q493*G493*U493*AF493*[2]ステータス!$D$2,0)</f>
        <v>0</v>
      </c>
      <c r="AJ493" s="99">
        <f ca="1">ROUND(VLOOKUP(100,enemy_base_stats!$A:$F,2,FALSE) * Y493* J493*O493*E493*S493*AD493*[2]ステータス!$B$2,0)</f>
        <v>191328</v>
      </c>
      <c r="AK493" s="99">
        <f ca="1">ROUND(VLOOKUP(100,enemy_base_stats!$A:$F,3,FALSE)* Z493* K493*P493*F493*T493*AE493 * W493*[2]ステータス!$C$2,0)</f>
        <v>9816</v>
      </c>
      <c r="AL493" s="99">
        <f ca="1">ROUND(VLOOKUP(100,enemy_base_stats!$A:$F,4,FALSE)* AA493* L493*Q493*G493*U493*AF493*[2]ステータス!$D$2,0)</f>
        <v>0</v>
      </c>
      <c r="AM493" s="97">
        <f ca="1">VLOOKUP(M493,[2]character_tribe_i18n!$A:$I,9,FALSE)</f>
        <v>480</v>
      </c>
      <c r="AN493" s="97">
        <v>0</v>
      </c>
      <c r="AO493" s="98">
        <v>0</v>
      </c>
      <c r="AP493" s="58" t="s">
        <v>72</v>
      </c>
      <c r="AQ493" s="34">
        <f t="shared" ref="AQ493:AQ511" ca="1" si="25">A493</f>
        <v>492</v>
      </c>
    </row>
    <row r="494" spans="1:43" ht="21" customHeight="1" x14ac:dyDescent="0.15">
      <c r="A494" s="7">
        <f t="shared" ca="1" si="19"/>
        <v>493</v>
      </c>
      <c r="B494" s="6" t="str">
        <f ca="1">VLOOKUP(A494,[2]characters!$A:$C,3,FALSE)</f>
        <v>跋扈の機脚 ブートレグ・ペロー</v>
      </c>
      <c r="C494" s="9">
        <f ca="1">VLOOKUP(A494,[2]characters!$A:$I,9,FALSE)</f>
        <v>5</v>
      </c>
      <c r="D494" s="9" t="str">
        <f ca="1">VLOOKUP(A494,[2]characters!$A:$H,8,FALSE)</f>
        <v>red</v>
      </c>
      <c r="E494" s="97">
        <f ca="1">VLOOKUP(D494,[2]属性!$A:$E,2,FALSE)</f>
        <v>1</v>
      </c>
      <c r="F494" s="97">
        <f ca="1">VLOOKUP(D494,[2]属性!$A:$E,3,FALSE)</f>
        <v>1.02</v>
      </c>
      <c r="G494" s="97">
        <f ca="1">VLOOKUP(D494,[2]属性!$A:$F,4,FALSE)</f>
        <v>1</v>
      </c>
      <c r="H494" s="9" t="str">
        <f ca="1">VLOOKUP(A494,[2]characters!$A:$K,11,FALSE)</f>
        <v>hp</v>
      </c>
      <c r="I494" s="6" t="str">
        <f ca="1">VLOOKUP(H494,[2]character_type_i18n!$A:$F,3,FALSE)</f>
        <v>体力タイプ</v>
      </c>
      <c r="J494" s="97">
        <f ca="1">VLOOKUP(H494,[2]character_type_i18n!$A:$F,4,FALSE)</f>
        <v>1.45</v>
      </c>
      <c r="K494" s="97">
        <f ca="1">VLOOKUP(H494,[2]character_type_i18n!$A:$F,5,FALSE)</f>
        <v>0.85</v>
      </c>
      <c r="L494" s="97">
        <f ca="1">VLOOKUP(H494,[2]character_type_i18n!$A:$F,6,FALSE)</f>
        <v>1</v>
      </c>
      <c r="M494" s="9" t="str">
        <f ca="1">VLOOKUP(A494,[2]characters!$A:$M,13,FALSE)</f>
        <v>animal</v>
      </c>
      <c r="N494" s="6" t="str">
        <f ca="1">VLOOKUP(M494,[2]character_tribe_i18n!$A:$F,3,FALSE)</f>
        <v>アニマル</v>
      </c>
      <c r="O494" s="97">
        <f ca="1">VLOOKUP(M494,[2]character_tribe_i18n!$A:$F,4,FALSE)</f>
        <v>1</v>
      </c>
      <c r="P494" s="97">
        <f ca="1">VLOOKUP(M494,[2]character_tribe_i18n!$A:$F,5,FALSE)</f>
        <v>1.1000000000000001</v>
      </c>
      <c r="Q494" s="97">
        <f ca="1">VLOOKUP(M494,[2]character_tribe_i18n!$A:$F,6,FALSE)</f>
        <v>1</v>
      </c>
      <c r="R494" s="98" t="s">
        <v>98</v>
      </c>
      <c r="S494" s="97">
        <f>VLOOKUP($R494,ラベル別係数!$A$1:$E$7,3,FALSE)</f>
        <v>5</v>
      </c>
      <c r="T494" s="97">
        <f>VLOOKUP($R494,ラベル別係数!$A$1:$E$7,4,FALSE)</f>
        <v>1.3</v>
      </c>
      <c r="U494" s="97">
        <f>VLOOKUP($R494,ラベル別係数!$A$1:$E$7,5,FALSE)</f>
        <v>0.8</v>
      </c>
      <c r="V494" s="98">
        <v>3</v>
      </c>
      <c r="W494" s="99">
        <f>VLOOKUP(V494,ターン数別攻撃係数!$A$1:$B$1000,2,FALSE)</f>
        <v>1</v>
      </c>
      <c r="X494" s="9">
        <f ca="1">VLOOKUP(C494,サイズ別係数!A$2:B$9,2,FALSE)</f>
        <v>60</v>
      </c>
      <c r="Y494" s="97">
        <f ca="1">VLOOKUP($X494,サイズ別係数!$B:$E,2,FALSE)</f>
        <v>1.7</v>
      </c>
      <c r="Z494" s="97">
        <f ca="1">VLOOKUP($X494,サイズ別係数!$B:$E,3,FALSE)</f>
        <v>1.4</v>
      </c>
      <c r="AA494" s="97">
        <f ca="1">VLOOKUP($X494,サイズ別係数!$B:$E,4,FALSE)</f>
        <v>1</v>
      </c>
      <c r="AB494" s="10">
        <v>0</v>
      </c>
      <c r="AC494" s="6" t="str">
        <f ca="1">VLOOKUP($AB494,OFFSET([3]enemy_skill_sets!$B$2,0,0,COUNTA([3]enemy_skill_sets!$A:$A),MATCH(AC$1,[3]enemy_skill_sets!$1:$1,0)-MATCH($AB$1,[3]enemy_skill_sets!$1:$1,0)+1),MATCH(AC$1,[3]enemy_skill_sets!$1:$1,0)-MATCH($AB$1,[3]enemy_skill_sets!$1:$1,0)+1,FALSE)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4" s="67">
        <v>1</v>
      </c>
      <c r="AE494" s="67">
        <v>1</v>
      </c>
      <c r="AF494" s="98">
        <v>0</v>
      </c>
      <c r="AG494" s="99">
        <f ca="1">ROUND(VLOOKUP(1,enemy_base_stats!$A:$F,2,FALSE) * Y494* J494*O494*E494*S494*AD494*[2]ステータス!$B$2,0)</f>
        <v>6163</v>
      </c>
      <c r="AH494" s="99">
        <f ca="1">ROUND(VLOOKUP(1,enemy_base_stats!$A:$F,3,FALSE) * Z494*K494*P494*F494*T494*AE494 * W494*[2]ステータス!$C$2,0)</f>
        <v>260</v>
      </c>
      <c r="AI494" s="99">
        <f ca="1">ROUND(VLOOKUP(1,enemy_base_stats!$A:$F,4,FALSE) * AA494*L494*Q494*G494*U494*AF494*[2]ステータス!$D$2,0)</f>
        <v>0</v>
      </c>
      <c r="AJ494" s="99">
        <f ca="1">ROUND(VLOOKUP(100,enemy_base_stats!$A:$F,2,FALSE) * Y494* J494*O494*E494*S494*AD494*[2]ステータス!$B$2,0)</f>
        <v>250198</v>
      </c>
      <c r="AK494" s="99">
        <f ca="1">ROUND(VLOOKUP(100,enemy_base_stats!$A:$F,3,FALSE)* Z494* K494*P494*F494*T494*AE494 * W494*[2]ステータス!$C$2,0)</f>
        <v>10571</v>
      </c>
      <c r="AL494" s="99">
        <f ca="1">ROUND(VLOOKUP(100,enemy_base_stats!$A:$F,4,FALSE)* AA494* L494*Q494*G494*U494*AF494*[2]ステータス!$D$2,0)</f>
        <v>0</v>
      </c>
      <c r="AM494" s="97">
        <f ca="1">VLOOKUP(M494,[2]character_tribe_i18n!$A:$I,9,FALSE)</f>
        <v>480</v>
      </c>
      <c r="AN494" s="97">
        <v>0</v>
      </c>
      <c r="AO494" s="98">
        <v>0</v>
      </c>
      <c r="AP494" s="58" t="s">
        <v>72</v>
      </c>
      <c r="AQ494" s="34">
        <f t="shared" ca="1" si="25"/>
        <v>493</v>
      </c>
    </row>
    <row r="495" spans="1:43" ht="21" customHeight="1" x14ac:dyDescent="0.15">
      <c r="A495" s="7">
        <f t="shared" ca="1" si="19"/>
        <v>494</v>
      </c>
      <c r="B495" s="6" t="str">
        <f ca="1">VLOOKUP(A495,[2]characters!$A:$C,3,FALSE)</f>
        <v>ハーメルン</v>
      </c>
      <c r="C495" s="9">
        <f ca="1">VLOOKUP(A495,[2]characters!$A:$I,9,FALSE)</f>
        <v>4</v>
      </c>
      <c r="D495" s="9" t="str">
        <f ca="1">VLOOKUP(A495,[2]characters!$A:$H,8,FALSE)</f>
        <v>green</v>
      </c>
      <c r="E495" s="97">
        <f ca="1">VLOOKUP(D495,[2]属性!$A:$E,2,FALSE)</f>
        <v>1.02</v>
      </c>
      <c r="F495" s="97">
        <f ca="1">VLOOKUP(D495,[2]属性!$A:$E,3,FALSE)</f>
        <v>0.98</v>
      </c>
      <c r="G495" s="97">
        <f ca="1">VLOOKUP(D495,[2]属性!$A:$F,4,FALSE)</f>
        <v>1</v>
      </c>
      <c r="H495" s="9" t="str">
        <f ca="1">VLOOKUP(A495,[2]characters!$A:$K,11,FALSE)</f>
        <v>technical</v>
      </c>
      <c r="I495" s="6" t="str">
        <f ca="1">VLOOKUP(H495,[2]character_type_i18n!$A:$F,3,FALSE)</f>
        <v>テクニカルタイプ</v>
      </c>
      <c r="J495" s="97">
        <f ca="1">VLOOKUP(H495,[2]character_type_i18n!$A:$F,4,FALSE)</f>
        <v>0.9</v>
      </c>
      <c r="K495" s="97">
        <f ca="1">VLOOKUP(H495,[2]character_type_i18n!$A:$F,5,FALSE)</f>
        <v>0.9</v>
      </c>
      <c r="L495" s="97">
        <f ca="1">VLOOKUP(H495,[2]character_type_i18n!$A:$F,6,FALSE)</f>
        <v>1</v>
      </c>
      <c r="M495" s="9" t="str">
        <f ca="1">VLOOKUP(A495,[2]characters!$A:$M,13,FALSE)</f>
        <v>human</v>
      </c>
      <c r="N495" s="6" t="str">
        <f ca="1">VLOOKUP(M495,[2]character_tribe_i18n!$A:$F,3,FALSE)</f>
        <v>ヒューマン</v>
      </c>
      <c r="O495" s="97">
        <f ca="1">VLOOKUP(M495,[2]character_tribe_i18n!$A:$F,4,FALSE)</f>
        <v>0.94</v>
      </c>
      <c r="P495" s="97">
        <f ca="1">VLOOKUP(M495,[2]character_tribe_i18n!$A:$F,5,FALSE)</f>
        <v>0.99</v>
      </c>
      <c r="Q495" s="97">
        <f ca="1">VLOOKUP(M495,[2]character_tribe_i18n!$A:$F,6,FALSE)</f>
        <v>1</v>
      </c>
      <c r="R495" s="98" t="s">
        <v>98</v>
      </c>
      <c r="S495" s="97">
        <f>VLOOKUP($R495,ラベル別係数!$A$1:$E$7,3,FALSE)</f>
        <v>5</v>
      </c>
      <c r="T495" s="97">
        <f>VLOOKUP($R495,ラベル別係数!$A$1:$E$7,4,FALSE)</f>
        <v>1.3</v>
      </c>
      <c r="U495" s="97">
        <f>VLOOKUP($R495,ラベル別係数!$A$1:$E$7,5,FALSE)</f>
        <v>0.8</v>
      </c>
      <c r="V495" s="98">
        <v>3</v>
      </c>
      <c r="W495" s="99">
        <f>VLOOKUP(V495,ターン数別攻撃係数!$A$1:$B$1000,2,FALSE)</f>
        <v>1</v>
      </c>
      <c r="X495" s="9">
        <f ca="1">VLOOKUP(C495,サイズ別係数!A$2:B$9,2,FALSE)</f>
        <v>30</v>
      </c>
      <c r="Y495" s="97">
        <f ca="1">VLOOKUP($X495,サイズ別係数!$B:$E,2,FALSE)</f>
        <v>1.3</v>
      </c>
      <c r="Z495" s="97">
        <f ca="1">VLOOKUP($X495,サイズ別係数!$B:$E,3,FALSE)</f>
        <v>1.3</v>
      </c>
      <c r="AA495" s="97">
        <f ca="1">VLOOKUP($X495,サイズ別係数!$B:$E,4,FALSE)</f>
        <v>1.1000000000000001</v>
      </c>
      <c r="AB495" s="10">
        <v>0</v>
      </c>
      <c r="AC495" s="6" t="str">
        <f ca="1">VLOOKUP($AB495,OFFSET([3]enemy_skill_sets!$B$2,0,0,COUNTA([3]enemy_skill_sets!$A:$A),MATCH(AC$1,[3]enemy_skill_sets!$1:$1,0)-MATCH($AB$1,[3]enemy_skill_sets!$1:$1,0)+1),MATCH(AC$1,[3]enemy_skill_sets!$1:$1,0)-MATCH($AB$1,[3]enemy_skill_sets!$1:$1,0)+1,FALSE)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5" s="67">
        <v>1</v>
      </c>
      <c r="AE495" s="67">
        <v>1</v>
      </c>
      <c r="AF495" s="98">
        <v>0</v>
      </c>
      <c r="AG495" s="99">
        <f ca="1">ROUND(VLOOKUP(1,enemy_base_stats!$A:$F,2,FALSE) * Y495* J495*O495*E495*S495*AD495*[2]ステータス!$B$2,0)</f>
        <v>2804</v>
      </c>
      <c r="AH495" s="99">
        <f ca="1">ROUND(VLOOKUP(1,enemy_base_stats!$A:$F,3,FALSE) * Z495*K495*P495*F495*T495*AE495 * W495*[2]ステータス!$C$2,0)</f>
        <v>221</v>
      </c>
      <c r="AI495" s="99">
        <f ca="1">ROUND(VLOOKUP(1,enemy_base_stats!$A:$F,4,FALSE) * AA495*L495*Q495*G495*U495*AF495*[2]ステータス!$D$2,0)</f>
        <v>0</v>
      </c>
      <c r="AJ495" s="99">
        <f ca="1">ROUND(VLOOKUP(100,enemy_base_stats!$A:$F,2,FALSE) * Y495* J495*O495*E495*S495*AD495*[2]ステータス!$B$2,0)</f>
        <v>113862</v>
      </c>
      <c r="AK495" s="99">
        <f ca="1">ROUND(VLOOKUP(100,enemy_base_stats!$A:$F,3,FALSE)* Z495* K495*P495*F495*T495*AE495 * W495*[2]ステータス!$C$2,0)</f>
        <v>8987</v>
      </c>
      <c r="AL495" s="99">
        <f ca="1">ROUND(VLOOKUP(100,enemy_base_stats!$A:$F,4,FALSE)* AA495* L495*Q495*G495*U495*AF495*[2]ステータス!$D$2,0)</f>
        <v>0</v>
      </c>
      <c r="AM495" s="97">
        <f ca="1">VLOOKUP(M495,[2]character_tribe_i18n!$A:$I,9,FALSE)</f>
        <v>400</v>
      </c>
      <c r="AN495" s="97">
        <v>0</v>
      </c>
      <c r="AO495" s="98">
        <v>0</v>
      </c>
      <c r="AP495" s="58" t="s">
        <v>72</v>
      </c>
      <c r="AQ495" s="34">
        <f t="shared" ca="1" si="25"/>
        <v>494</v>
      </c>
    </row>
    <row r="496" spans="1:43" ht="21" customHeight="1" x14ac:dyDescent="0.15">
      <c r="A496" s="7">
        <f t="shared" ca="1" si="19"/>
        <v>495</v>
      </c>
      <c r="B496" s="6" t="str">
        <f ca="1">VLOOKUP(A496,[2]characters!$A:$C,3,FALSE)</f>
        <v>鼠災呼ぶ笛音 ハーメルン</v>
      </c>
      <c r="C496" s="9">
        <f ca="1">VLOOKUP(A496,[2]characters!$A:$I,9,FALSE)</f>
        <v>5</v>
      </c>
      <c r="D496" s="9" t="str">
        <f ca="1">VLOOKUP(A496,[2]characters!$A:$H,8,FALSE)</f>
        <v>green</v>
      </c>
      <c r="E496" s="97">
        <f ca="1">VLOOKUP(D496,[2]属性!$A:$E,2,FALSE)</f>
        <v>1.02</v>
      </c>
      <c r="F496" s="97">
        <f ca="1">VLOOKUP(D496,[2]属性!$A:$E,3,FALSE)</f>
        <v>0.98</v>
      </c>
      <c r="G496" s="97">
        <f ca="1">VLOOKUP(D496,[2]属性!$A:$F,4,FALSE)</f>
        <v>1</v>
      </c>
      <c r="H496" s="9" t="str">
        <f ca="1">VLOOKUP(A496,[2]characters!$A:$K,11,FALSE)</f>
        <v>technical</v>
      </c>
      <c r="I496" s="6" t="str">
        <f ca="1">VLOOKUP(H496,[2]character_type_i18n!$A:$F,3,FALSE)</f>
        <v>テクニカルタイプ</v>
      </c>
      <c r="J496" s="97">
        <f ca="1">VLOOKUP(H496,[2]character_type_i18n!$A:$F,4,FALSE)</f>
        <v>0.9</v>
      </c>
      <c r="K496" s="97">
        <f ca="1">VLOOKUP(H496,[2]character_type_i18n!$A:$F,5,FALSE)</f>
        <v>0.9</v>
      </c>
      <c r="L496" s="97">
        <f ca="1">VLOOKUP(H496,[2]character_type_i18n!$A:$F,6,FALSE)</f>
        <v>1</v>
      </c>
      <c r="M496" s="9" t="str">
        <f ca="1">VLOOKUP(A496,[2]characters!$A:$M,13,FALSE)</f>
        <v>human</v>
      </c>
      <c r="N496" s="6" t="str">
        <f ca="1">VLOOKUP(M496,[2]character_tribe_i18n!$A:$F,3,FALSE)</f>
        <v>ヒューマン</v>
      </c>
      <c r="O496" s="97">
        <f ca="1">VLOOKUP(M496,[2]character_tribe_i18n!$A:$F,4,FALSE)</f>
        <v>0.94</v>
      </c>
      <c r="P496" s="97">
        <f ca="1">VLOOKUP(M496,[2]character_tribe_i18n!$A:$F,5,FALSE)</f>
        <v>0.99</v>
      </c>
      <c r="Q496" s="97">
        <f ca="1">VLOOKUP(M496,[2]character_tribe_i18n!$A:$F,6,FALSE)</f>
        <v>1</v>
      </c>
      <c r="R496" s="98" t="s">
        <v>98</v>
      </c>
      <c r="S496" s="97">
        <f>VLOOKUP($R496,ラベル別係数!$A$1:$E$7,3,FALSE)</f>
        <v>5</v>
      </c>
      <c r="T496" s="97">
        <f>VLOOKUP($R496,ラベル別係数!$A$1:$E$7,4,FALSE)</f>
        <v>1.3</v>
      </c>
      <c r="U496" s="97">
        <f>VLOOKUP($R496,ラベル別係数!$A$1:$E$7,5,FALSE)</f>
        <v>0.8</v>
      </c>
      <c r="V496" s="98">
        <v>3</v>
      </c>
      <c r="W496" s="99">
        <f>VLOOKUP(V496,ターン数別攻撃係数!$A$1:$B$1000,2,FALSE)</f>
        <v>1</v>
      </c>
      <c r="X496" s="9">
        <f ca="1">VLOOKUP(C496,サイズ別係数!A$2:B$9,2,FALSE)</f>
        <v>60</v>
      </c>
      <c r="Y496" s="97">
        <f ca="1">VLOOKUP($X496,サイズ別係数!$B:$E,2,FALSE)</f>
        <v>1.7</v>
      </c>
      <c r="Z496" s="97">
        <f ca="1">VLOOKUP($X496,サイズ別係数!$B:$E,3,FALSE)</f>
        <v>1.4</v>
      </c>
      <c r="AA496" s="97">
        <f ca="1">VLOOKUP($X496,サイズ別係数!$B:$E,4,FALSE)</f>
        <v>1</v>
      </c>
      <c r="AB496" s="10">
        <v>0</v>
      </c>
      <c r="AC496" s="6" t="str">
        <f ca="1">VLOOKUP($AB496,OFFSET([3]enemy_skill_sets!$B$2,0,0,COUNTA([3]enemy_skill_sets!$A:$A),MATCH(AC$1,[3]enemy_skill_sets!$1:$1,0)-MATCH($AB$1,[3]enemy_skill_sets!$1:$1,0)+1),MATCH(AC$1,[3]enemy_skill_sets!$1:$1,0)-MATCH($AB$1,[3]enemy_skill_sets!$1:$1,0)+1,FALSE)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6" s="67">
        <v>1</v>
      </c>
      <c r="AE496" s="67">
        <v>1</v>
      </c>
      <c r="AF496" s="98">
        <v>0</v>
      </c>
      <c r="AG496" s="99">
        <f ca="1">ROUND(VLOOKUP(1,enemy_base_stats!$A:$F,2,FALSE) * Y496* J496*O496*E496*S496*AD496*[2]ステータス!$B$2,0)</f>
        <v>3667</v>
      </c>
      <c r="AH496" s="99">
        <f ca="1">ROUND(VLOOKUP(1,enemy_base_stats!$A:$F,3,FALSE) * Z496*K496*P496*F496*T496*AE496 * W496*[2]ステータス!$C$2,0)</f>
        <v>238</v>
      </c>
      <c r="AI496" s="99">
        <f ca="1">ROUND(VLOOKUP(1,enemy_base_stats!$A:$F,4,FALSE) * AA496*L496*Q496*G496*U496*AF496*[2]ステータス!$D$2,0)</f>
        <v>0</v>
      </c>
      <c r="AJ496" s="99">
        <f ca="1">ROUND(VLOOKUP(100,enemy_base_stats!$A:$F,2,FALSE) * Y496* J496*O496*E496*S496*AD496*[2]ステータス!$B$2,0)</f>
        <v>148897</v>
      </c>
      <c r="AK496" s="99">
        <f ca="1">ROUND(VLOOKUP(100,enemy_base_stats!$A:$F,3,FALSE)* Z496* K496*P496*F496*T496*AE496 * W496*[2]ステータス!$C$2,0)</f>
        <v>9678</v>
      </c>
      <c r="AL496" s="99">
        <f ca="1">ROUND(VLOOKUP(100,enemy_base_stats!$A:$F,4,FALSE)* AA496* L496*Q496*G496*U496*AF496*[2]ステータス!$D$2,0)</f>
        <v>0</v>
      </c>
      <c r="AM496" s="97">
        <f ca="1">VLOOKUP(M496,[2]character_tribe_i18n!$A:$I,9,FALSE)</f>
        <v>400</v>
      </c>
      <c r="AN496" s="97">
        <v>0</v>
      </c>
      <c r="AO496" s="98">
        <v>0</v>
      </c>
      <c r="AP496" s="58" t="s">
        <v>72</v>
      </c>
      <c r="AQ496" s="34">
        <f t="shared" ca="1" si="25"/>
        <v>495</v>
      </c>
    </row>
    <row r="497" spans="1:43" ht="21" customHeight="1" x14ac:dyDescent="0.15">
      <c r="A497" s="7">
        <f t="shared" ca="1" si="19"/>
        <v>496</v>
      </c>
      <c r="B497" s="6" t="str">
        <f ca="1">VLOOKUP(A497,[2]characters!$A:$C,3,FALSE)</f>
        <v>エスタブ</v>
      </c>
      <c r="C497" s="9">
        <f ca="1">VLOOKUP(A497,[2]characters!$A:$I,9,FALSE)</f>
        <v>3</v>
      </c>
      <c r="D497" s="9" t="str">
        <f ca="1">VLOOKUP(A497,[2]characters!$A:$H,8,FALSE)</f>
        <v>blue</v>
      </c>
      <c r="E497" s="97">
        <f ca="1">VLOOKUP(D497,[2]属性!$A:$E,2,FALSE)</f>
        <v>1</v>
      </c>
      <c r="F497" s="97">
        <f ca="1">VLOOKUP(D497,[2]属性!$A:$E,3,FALSE)</f>
        <v>0.98</v>
      </c>
      <c r="G497" s="97">
        <f ca="1">VLOOKUP(D497,[2]属性!$A:$F,4,FALSE)</f>
        <v>1</v>
      </c>
      <c r="H497" s="9" t="str">
        <f ca="1">VLOOKUP(A497,[2]characters!$A:$K,11,FALSE)</f>
        <v>attack</v>
      </c>
      <c r="I497" s="6" t="str">
        <f ca="1">VLOOKUP(H497,[2]character_type_i18n!$A:$F,3,FALSE)</f>
        <v>攻撃タイプ</v>
      </c>
      <c r="J497" s="97">
        <f ca="1">VLOOKUP(H497,[2]character_type_i18n!$A:$F,4,FALSE)</f>
        <v>1</v>
      </c>
      <c r="K497" s="97">
        <f ca="1">VLOOKUP(H497,[2]character_type_i18n!$A:$F,5,FALSE)</f>
        <v>1.33</v>
      </c>
      <c r="L497" s="97">
        <f ca="1">VLOOKUP(H497,[2]character_type_i18n!$A:$F,6,FALSE)</f>
        <v>1</v>
      </c>
      <c r="M497" s="9" t="str">
        <f ca="1">VLOOKUP(A497,[2]characters!$A:$M,13,FALSE)</f>
        <v>human</v>
      </c>
      <c r="N497" s="6" t="str">
        <f ca="1">VLOOKUP(M497,[2]character_tribe_i18n!$A:$F,3,FALSE)</f>
        <v>ヒューマン</v>
      </c>
      <c r="O497" s="97">
        <f ca="1">VLOOKUP(M497,[2]character_tribe_i18n!$A:$F,4,FALSE)</f>
        <v>0.94</v>
      </c>
      <c r="P497" s="97">
        <f ca="1">VLOOKUP(M497,[2]character_tribe_i18n!$A:$F,5,FALSE)</f>
        <v>0.99</v>
      </c>
      <c r="Q497" s="97">
        <f ca="1">VLOOKUP(M497,[2]character_tribe_i18n!$A:$F,6,FALSE)</f>
        <v>1</v>
      </c>
      <c r="R497" s="98" t="s">
        <v>98</v>
      </c>
      <c r="S497" s="97">
        <f>VLOOKUP($R497,ラベル別係数!$A$1:$E$7,3,FALSE)</f>
        <v>5</v>
      </c>
      <c r="T497" s="97">
        <f>VLOOKUP($R497,ラベル別係数!$A$1:$E$7,4,FALSE)</f>
        <v>1.3</v>
      </c>
      <c r="U497" s="97">
        <f>VLOOKUP($R497,ラベル別係数!$A$1:$E$7,5,FALSE)</f>
        <v>0.8</v>
      </c>
      <c r="V497" s="98">
        <v>3</v>
      </c>
      <c r="W497" s="99">
        <f>VLOOKUP(V497,ターン数別攻撃係数!$A$1:$B$1000,2,FALSE)</f>
        <v>1</v>
      </c>
      <c r="X497" s="9">
        <f ca="1">VLOOKUP(C497,サイズ別係数!A$2:B$9,2,FALSE)</f>
        <v>25</v>
      </c>
      <c r="Y497" s="97">
        <f ca="1">VLOOKUP($X497,サイズ別係数!$B:$E,2,FALSE)</f>
        <v>1.2</v>
      </c>
      <c r="Z497" s="97">
        <f ca="1">VLOOKUP($X497,サイズ別係数!$B:$E,3,FALSE)</f>
        <v>1.25</v>
      </c>
      <c r="AA497" s="97">
        <f ca="1">VLOOKUP($X497,サイズ別係数!$B:$E,4,FALSE)</f>
        <v>1.1499999999999999</v>
      </c>
      <c r="AB497" s="10">
        <v>0</v>
      </c>
      <c r="AC497" s="6" t="str">
        <f ca="1">VLOOKUP($AB497,OFFSET([3]enemy_skill_sets!$B$2,0,0,COUNTA([3]enemy_skill_sets!$A:$A),MATCH(AC$1,[3]enemy_skill_sets!$1:$1,0)-MATCH($AB$1,[3]enemy_skill_sets!$1:$1,0)+1),MATCH(AC$1,[3]enemy_skill_sets!$1:$1,0)-MATCH($AB$1,[3]enemy_skill_sets!$1:$1,0)+1,FALSE)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7" s="67">
        <v>1</v>
      </c>
      <c r="AE497" s="67">
        <v>1</v>
      </c>
      <c r="AF497" s="98">
        <v>0</v>
      </c>
      <c r="AG497" s="99">
        <f ca="1">ROUND(VLOOKUP(1,enemy_base_stats!$A:$F,2,FALSE) * Y497* J497*O497*E497*S497*AD497*[2]ステータス!$B$2,0)</f>
        <v>2820</v>
      </c>
      <c r="AH497" s="99">
        <f ca="1">ROUND(VLOOKUP(1,enemy_base_stats!$A:$F,3,FALSE) * Z497*K497*P497*F497*T497*AE497 * W497*[2]ステータス!$C$2,0)</f>
        <v>315</v>
      </c>
      <c r="AI497" s="99">
        <f ca="1">ROUND(VLOOKUP(1,enemy_base_stats!$A:$F,4,FALSE) * AA497*L497*Q497*G497*U497*AF497*[2]ステータス!$D$2,0)</f>
        <v>0</v>
      </c>
      <c r="AJ497" s="99">
        <f ca="1">ROUND(VLOOKUP(100,enemy_base_stats!$A:$F,2,FALSE) * Y497* J497*O497*E497*S497*AD497*[2]ステータス!$B$2,0)</f>
        <v>114492</v>
      </c>
      <c r="AK497" s="99">
        <f ca="1">ROUND(VLOOKUP(100,enemy_base_stats!$A:$F,3,FALSE)* Z497* K497*P497*F497*T497*AE497 * W497*[2]ステータス!$C$2,0)</f>
        <v>12770</v>
      </c>
      <c r="AL497" s="99">
        <f ca="1">ROUND(VLOOKUP(100,enemy_base_stats!$A:$F,4,FALSE)* AA497* L497*Q497*G497*U497*AF497*[2]ステータス!$D$2,0)</f>
        <v>0</v>
      </c>
      <c r="AM497" s="97">
        <f ca="1">VLOOKUP(M497,[2]character_tribe_i18n!$A:$I,9,FALSE)</f>
        <v>400</v>
      </c>
      <c r="AN497" s="97">
        <v>0</v>
      </c>
      <c r="AO497" s="98">
        <v>0</v>
      </c>
      <c r="AP497" s="58" t="s">
        <v>72</v>
      </c>
      <c r="AQ497" s="34">
        <f t="shared" ca="1" si="25"/>
        <v>496</v>
      </c>
    </row>
    <row r="498" spans="1:43" ht="21" customHeight="1" x14ac:dyDescent="0.15">
      <c r="A498" s="7">
        <f t="shared" ca="1" si="19"/>
        <v>497</v>
      </c>
      <c r="B498" s="6" t="str">
        <f ca="1">VLOOKUP(A498,[2]characters!$A:$C,3,FALSE)</f>
        <v>偏愛の野獣 エスタブ</v>
      </c>
      <c r="C498" s="9">
        <f ca="1">VLOOKUP(A498,[2]characters!$A:$I,9,FALSE)</f>
        <v>4</v>
      </c>
      <c r="D498" s="9" t="str">
        <f ca="1">VLOOKUP(A498,[2]characters!$A:$H,8,FALSE)</f>
        <v>blue</v>
      </c>
      <c r="E498" s="97">
        <f ca="1">VLOOKUP(D498,[2]属性!$A:$E,2,FALSE)</f>
        <v>1</v>
      </c>
      <c r="F498" s="97">
        <f ca="1">VLOOKUP(D498,[2]属性!$A:$E,3,FALSE)</f>
        <v>0.98</v>
      </c>
      <c r="G498" s="97">
        <f ca="1">VLOOKUP(D498,[2]属性!$A:$F,4,FALSE)</f>
        <v>1</v>
      </c>
      <c r="H498" s="9" t="str">
        <f ca="1">VLOOKUP(A498,[2]characters!$A:$K,11,FALSE)</f>
        <v>attack</v>
      </c>
      <c r="I498" s="6" t="str">
        <f ca="1">VLOOKUP(H498,[2]character_type_i18n!$A:$F,3,FALSE)</f>
        <v>攻撃タイプ</v>
      </c>
      <c r="J498" s="97">
        <f ca="1">VLOOKUP(H498,[2]character_type_i18n!$A:$F,4,FALSE)</f>
        <v>1</v>
      </c>
      <c r="K498" s="97">
        <f ca="1">VLOOKUP(H498,[2]character_type_i18n!$A:$F,5,FALSE)</f>
        <v>1.33</v>
      </c>
      <c r="L498" s="97">
        <f ca="1">VLOOKUP(H498,[2]character_type_i18n!$A:$F,6,FALSE)</f>
        <v>1</v>
      </c>
      <c r="M498" s="9" t="str">
        <f ca="1">VLOOKUP(A498,[2]characters!$A:$M,13,FALSE)</f>
        <v>human</v>
      </c>
      <c r="N498" s="6" t="str">
        <f ca="1">VLOOKUP(M498,[2]character_tribe_i18n!$A:$F,3,FALSE)</f>
        <v>ヒューマン</v>
      </c>
      <c r="O498" s="97">
        <f ca="1">VLOOKUP(M498,[2]character_tribe_i18n!$A:$F,4,FALSE)</f>
        <v>0.94</v>
      </c>
      <c r="P498" s="97">
        <f ca="1">VLOOKUP(M498,[2]character_tribe_i18n!$A:$F,5,FALSE)</f>
        <v>0.99</v>
      </c>
      <c r="Q498" s="97">
        <f ca="1">VLOOKUP(M498,[2]character_tribe_i18n!$A:$F,6,FALSE)</f>
        <v>1</v>
      </c>
      <c r="R498" s="98" t="s">
        <v>98</v>
      </c>
      <c r="S498" s="97">
        <f>VLOOKUP($R498,ラベル別係数!$A$1:$E$7,3,FALSE)</f>
        <v>5</v>
      </c>
      <c r="T498" s="97">
        <f>VLOOKUP($R498,ラベル別係数!$A$1:$E$7,4,FALSE)</f>
        <v>1.3</v>
      </c>
      <c r="U498" s="97">
        <f>VLOOKUP($R498,ラベル別係数!$A$1:$E$7,5,FALSE)</f>
        <v>0.8</v>
      </c>
      <c r="V498" s="98">
        <v>3</v>
      </c>
      <c r="W498" s="99">
        <f>VLOOKUP(V498,ターン数別攻撃係数!$A$1:$B$1000,2,FALSE)</f>
        <v>1</v>
      </c>
      <c r="X498" s="9">
        <f ca="1">VLOOKUP(C498,サイズ別係数!A$2:B$9,2,FALSE)</f>
        <v>30</v>
      </c>
      <c r="Y498" s="97">
        <f ca="1">VLOOKUP($X498,サイズ別係数!$B:$E,2,FALSE)</f>
        <v>1.3</v>
      </c>
      <c r="Z498" s="97">
        <f ca="1">VLOOKUP($X498,サイズ別係数!$B:$E,3,FALSE)</f>
        <v>1.3</v>
      </c>
      <c r="AA498" s="97">
        <f ca="1">VLOOKUP($X498,サイズ別係数!$B:$E,4,FALSE)</f>
        <v>1.1000000000000001</v>
      </c>
      <c r="AB498" s="10">
        <v>0</v>
      </c>
      <c r="AC498" s="6" t="str">
        <f ca="1">VLOOKUP($AB498,OFFSET([3]enemy_skill_sets!$B$2,0,0,COUNTA([3]enemy_skill_sets!$A:$A),MATCH(AC$1,[3]enemy_skill_sets!$1:$1,0)-MATCH($AB$1,[3]enemy_skill_sets!$1:$1,0)+1),MATCH(AC$1,[3]enemy_skill_sets!$1:$1,0)-MATCH($AB$1,[3]enemy_skill_sets!$1:$1,0)+1,FALSE)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8" s="67">
        <v>1</v>
      </c>
      <c r="AE498" s="67">
        <v>1</v>
      </c>
      <c r="AF498" s="98">
        <v>0</v>
      </c>
      <c r="AG498" s="99">
        <f ca="1">ROUND(VLOOKUP(1,enemy_base_stats!$A:$F,2,FALSE) * Y498* J498*O498*E498*S498*AD498*[2]ステータス!$B$2,0)</f>
        <v>3055</v>
      </c>
      <c r="AH498" s="99">
        <f ca="1">ROUND(VLOOKUP(1,enemy_base_stats!$A:$F,3,FALSE) * Z498*K498*P498*F498*T498*AE498 * W498*[2]ステータス!$C$2,0)</f>
        <v>327</v>
      </c>
      <c r="AI498" s="99">
        <f ca="1">ROUND(VLOOKUP(1,enemy_base_stats!$A:$F,4,FALSE) * AA498*L498*Q498*G498*U498*AF498*[2]ステータス!$D$2,0)</f>
        <v>0</v>
      </c>
      <c r="AJ498" s="99">
        <f ca="1">ROUND(VLOOKUP(100,enemy_base_stats!$A:$F,2,FALSE) * Y498* J498*O498*E498*S498*AD498*[2]ステータス!$B$2,0)</f>
        <v>124033</v>
      </c>
      <c r="AK498" s="99">
        <f ca="1">ROUND(VLOOKUP(100,enemy_base_stats!$A:$F,3,FALSE)* Z498* K498*P498*F498*T498*AE498 * W498*[2]ステータス!$C$2,0)</f>
        <v>13281</v>
      </c>
      <c r="AL498" s="99">
        <f ca="1">ROUND(VLOOKUP(100,enemy_base_stats!$A:$F,4,FALSE)* AA498* L498*Q498*G498*U498*AF498*[2]ステータス!$D$2,0)</f>
        <v>0</v>
      </c>
      <c r="AM498" s="97">
        <f ca="1">VLOOKUP(M498,[2]character_tribe_i18n!$A:$I,9,FALSE)</f>
        <v>400</v>
      </c>
      <c r="AN498" s="97">
        <v>0</v>
      </c>
      <c r="AO498" s="98">
        <v>0</v>
      </c>
      <c r="AP498" s="58" t="s">
        <v>72</v>
      </c>
      <c r="AQ498" s="34">
        <f t="shared" ca="1" si="25"/>
        <v>497</v>
      </c>
    </row>
    <row r="499" spans="1:43" ht="21" customHeight="1" x14ac:dyDescent="0.15">
      <c r="A499" s="7">
        <f t="shared" ca="1" si="19"/>
        <v>498</v>
      </c>
      <c r="B499" s="6" t="str">
        <f ca="1">VLOOKUP(A499,[2]characters!$A:$C,3,FALSE)</f>
        <v>自愛の高魔 エスタブ</v>
      </c>
      <c r="C499" s="9">
        <f ca="1">VLOOKUP(A499,[2]characters!$A:$I,9,FALSE)</f>
        <v>5</v>
      </c>
      <c r="D499" s="9" t="str">
        <f ca="1">VLOOKUP(A499,[2]characters!$A:$H,8,FALSE)</f>
        <v>blue</v>
      </c>
      <c r="E499" s="97">
        <f ca="1">VLOOKUP(D499,[2]属性!$A:$E,2,FALSE)</f>
        <v>1</v>
      </c>
      <c r="F499" s="97">
        <f ca="1">VLOOKUP(D499,[2]属性!$A:$E,3,FALSE)</f>
        <v>0.98</v>
      </c>
      <c r="G499" s="97">
        <f ca="1">VLOOKUP(D499,[2]属性!$A:$F,4,FALSE)</f>
        <v>1</v>
      </c>
      <c r="H499" s="9" t="str">
        <f ca="1">VLOOKUP(A499,[2]characters!$A:$K,11,FALSE)</f>
        <v>attack</v>
      </c>
      <c r="I499" s="6" t="str">
        <f ca="1">VLOOKUP(H499,[2]character_type_i18n!$A:$F,3,FALSE)</f>
        <v>攻撃タイプ</v>
      </c>
      <c r="J499" s="97">
        <f ca="1">VLOOKUP(H499,[2]character_type_i18n!$A:$F,4,FALSE)</f>
        <v>1</v>
      </c>
      <c r="K499" s="97">
        <f ca="1">VLOOKUP(H499,[2]character_type_i18n!$A:$F,5,FALSE)</f>
        <v>1.33</v>
      </c>
      <c r="L499" s="97">
        <f ca="1">VLOOKUP(H499,[2]character_type_i18n!$A:$F,6,FALSE)</f>
        <v>1</v>
      </c>
      <c r="M499" s="9" t="str">
        <f ca="1">VLOOKUP(A499,[2]characters!$A:$M,13,FALSE)</f>
        <v>human</v>
      </c>
      <c r="N499" s="6" t="str">
        <f ca="1">VLOOKUP(M499,[2]character_tribe_i18n!$A:$F,3,FALSE)</f>
        <v>ヒューマン</v>
      </c>
      <c r="O499" s="97">
        <f ca="1">VLOOKUP(M499,[2]character_tribe_i18n!$A:$F,4,FALSE)</f>
        <v>0.94</v>
      </c>
      <c r="P499" s="97">
        <f ca="1">VLOOKUP(M499,[2]character_tribe_i18n!$A:$F,5,FALSE)</f>
        <v>0.99</v>
      </c>
      <c r="Q499" s="97">
        <f ca="1">VLOOKUP(M499,[2]character_tribe_i18n!$A:$F,6,FALSE)</f>
        <v>1</v>
      </c>
      <c r="R499" s="98" t="s">
        <v>98</v>
      </c>
      <c r="S499" s="97">
        <f>VLOOKUP($R499,ラベル別係数!$A$1:$E$7,3,FALSE)</f>
        <v>5</v>
      </c>
      <c r="T499" s="97">
        <f>VLOOKUP($R499,ラベル別係数!$A$1:$E$7,4,FALSE)</f>
        <v>1.3</v>
      </c>
      <c r="U499" s="97">
        <f>VLOOKUP($R499,ラベル別係数!$A$1:$E$7,5,FALSE)</f>
        <v>0.8</v>
      </c>
      <c r="V499" s="98">
        <v>3</v>
      </c>
      <c r="W499" s="99">
        <f>VLOOKUP(V499,ターン数別攻撃係数!$A$1:$B$1000,2,FALSE)</f>
        <v>1</v>
      </c>
      <c r="X499" s="9">
        <f ca="1">VLOOKUP(C499,サイズ別係数!A$2:B$9,2,FALSE)</f>
        <v>60</v>
      </c>
      <c r="Y499" s="97">
        <f ca="1">VLOOKUP($X499,サイズ別係数!$B:$E,2,FALSE)</f>
        <v>1.7</v>
      </c>
      <c r="Z499" s="97">
        <f ca="1">VLOOKUP($X499,サイズ別係数!$B:$E,3,FALSE)</f>
        <v>1.4</v>
      </c>
      <c r="AA499" s="97">
        <f ca="1">VLOOKUP($X499,サイズ別係数!$B:$E,4,FALSE)</f>
        <v>1</v>
      </c>
      <c r="AB499" s="10">
        <v>0</v>
      </c>
      <c r="AC499" s="6" t="str">
        <f ca="1">VLOOKUP($AB499,OFFSET([3]enemy_skill_sets!$B$2,0,0,COUNTA([3]enemy_skill_sets!$A:$A),MATCH(AC$1,[3]enemy_skill_sets!$1:$1,0)-MATCH($AB$1,[3]enemy_skill_sets!$1:$1,0)+1),MATCH(AC$1,[3]enemy_skill_sets!$1:$1,0)-MATCH($AB$1,[3]enemy_skill_sets!$1:$1,0)+1,FALSE)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499" s="67">
        <v>1</v>
      </c>
      <c r="AE499" s="67">
        <v>1</v>
      </c>
      <c r="AF499" s="98">
        <v>0</v>
      </c>
      <c r="AG499" s="99">
        <f ca="1">ROUND(VLOOKUP(1,enemy_base_stats!$A:$F,2,FALSE) * Y499* J499*O499*E499*S499*AD499*[2]ステータス!$B$2,0)</f>
        <v>3995</v>
      </c>
      <c r="AH499" s="99">
        <f ca="1">ROUND(VLOOKUP(1,enemy_base_stats!$A:$F,3,FALSE) * Z499*K499*P499*F499*T499*AE499 * W499*[2]ステータス!$C$2,0)</f>
        <v>352</v>
      </c>
      <c r="AI499" s="99">
        <f ca="1">ROUND(VLOOKUP(1,enemy_base_stats!$A:$F,4,FALSE) * AA499*L499*Q499*G499*U499*AF499*[2]ステータス!$D$2,0)</f>
        <v>0</v>
      </c>
      <c r="AJ499" s="99">
        <f ca="1">ROUND(VLOOKUP(100,enemy_base_stats!$A:$F,2,FALSE) * Y499* J499*O499*E499*S499*AD499*[2]ステータス!$B$2,0)</f>
        <v>162197</v>
      </c>
      <c r="AK499" s="99">
        <f ca="1">ROUND(VLOOKUP(100,enemy_base_stats!$A:$F,3,FALSE)* Z499* K499*P499*F499*T499*AE499 * W499*[2]ステータス!$C$2,0)</f>
        <v>14302</v>
      </c>
      <c r="AL499" s="99">
        <f ca="1">ROUND(VLOOKUP(100,enemy_base_stats!$A:$F,4,FALSE)* AA499* L499*Q499*G499*U499*AF499*[2]ステータス!$D$2,0)</f>
        <v>0</v>
      </c>
      <c r="AM499" s="97">
        <f ca="1">VLOOKUP(M499,[2]character_tribe_i18n!$A:$I,9,FALSE)</f>
        <v>400</v>
      </c>
      <c r="AN499" s="97">
        <v>0</v>
      </c>
      <c r="AO499" s="98">
        <v>0</v>
      </c>
      <c r="AP499" s="58" t="s">
        <v>72</v>
      </c>
      <c r="AQ499" s="34">
        <f t="shared" ca="1" si="25"/>
        <v>498</v>
      </c>
    </row>
    <row r="500" spans="1:43" ht="21" customHeight="1" x14ac:dyDescent="0.15">
      <c r="A500" s="7">
        <f t="shared" ca="1" si="19"/>
        <v>499</v>
      </c>
      <c r="B500" s="6" t="str">
        <f ca="1">VLOOKUP(A500,[2]characters!$A:$C,3,FALSE)</f>
        <v>ラプンツェル</v>
      </c>
      <c r="C500" s="9">
        <f ca="1">VLOOKUP(A500,[2]characters!$A:$I,9,FALSE)</f>
        <v>4</v>
      </c>
      <c r="D500" s="9" t="str">
        <f ca="1">VLOOKUP(A500,[2]characters!$A:$H,8,FALSE)</f>
        <v>yellow</v>
      </c>
      <c r="E500" s="97">
        <f ca="1">VLOOKUP(D500,[2]属性!$A:$E,2,FALSE)</f>
        <v>0.98</v>
      </c>
      <c r="F500" s="97">
        <f ca="1">VLOOKUP(D500,[2]属性!$A:$E,3,FALSE)</f>
        <v>1.01</v>
      </c>
      <c r="G500" s="97">
        <f ca="1">VLOOKUP(D500,[2]属性!$A:$F,4,FALSE)</f>
        <v>1</v>
      </c>
      <c r="H500" s="9" t="str">
        <f ca="1">VLOOKUP(A500,[2]characters!$A:$K,11,FALSE)</f>
        <v>balance</v>
      </c>
      <c r="I500" s="6" t="str">
        <f ca="1">VLOOKUP(H500,[2]character_type_i18n!$A:$F,3,FALSE)</f>
        <v>バランスタイプ</v>
      </c>
      <c r="J500" s="97">
        <f ca="1">VLOOKUP(H500,[2]character_type_i18n!$A:$F,4,FALSE)</f>
        <v>1</v>
      </c>
      <c r="K500" s="97">
        <f ca="1">VLOOKUP(H500,[2]character_type_i18n!$A:$F,5,FALSE)</f>
        <v>1</v>
      </c>
      <c r="L500" s="97">
        <f ca="1">VLOOKUP(H500,[2]character_type_i18n!$A:$F,6,FALSE)</f>
        <v>1</v>
      </c>
      <c r="M500" s="9" t="str">
        <f ca="1">VLOOKUP(A500,[2]characters!$A:$M,13,FALSE)</f>
        <v>human</v>
      </c>
      <c r="N500" s="6" t="str">
        <f ca="1">VLOOKUP(M500,[2]character_tribe_i18n!$A:$F,3,FALSE)</f>
        <v>ヒューマン</v>
      </c>
      <c r="O500" s="97">
        <f ca="1">VLOOKUP(M500,[2]character_tribe_i18n!$A:$F,4,FALSE)</f>
        <v>0.94</v>
      </c>
      <c r="P500" s="97">
        <f ca="1">VLOOKUP(M500,[2]character_tribe_i18n!$A:$F,5,FALSE)</f>
        <v>0.99</v>
      </c>
      <c r="Q500" s="97">
        <f ca="1">VLOOKUP(M500,[2]character_tribe_i18n!$A:$F,6,FALSE)</f>
        <v>1</v>
      </c>
      <c r="R500" s="98" t="s">
        <v>98</v>
      </c>
      <c r="S500" s="97">
        <f>VLOOKUP($R500,ラベル別係数!$A$1:$E$7,3,FALSE)</f>
        <v>5</v>
      </c>
      <c r="T500" s="97">
        <f>VLOOKUP($R500,ラベル別係数!$A$1:$E$7,4,FALSE)</f>
        <v>1.3</v>
      </c>
      <c r="U500" s="97">
        <f>VLOOKUP($R500,ラベル別係数!$A$1:$E$7,5,FALSE)</f>
        <v>0.8</v>
      </c>
      <c r="V500" s="98">
        <v>3</v>
      </c>
      <c r="W500" s="99">
        <f>VLOOKUP(V500,ターン数別攻撃係数!$A$1:$B$1000,2,FALSE)</f>
        <v>1</v>
      </c>
      <c r="X500" s="9">
        <f ca="1">VLOOKUP(C500,サイズ別係数!A$2:B$9,2,FALSE)</f>
        <v>30</v>
      </c>
      <c r="Y500" s="97">
        <f ca="1">VLOOKUP($X500,サイズ別係数!$B:$E,2,FALSE)</f>
        <v>1.3</v>
      </c>
      <c r="Z500" s="97">
        <f ca="1">VLOOKUP($X500,サイズ別係数!$B:$E,3,FALSE)</f>
        <v>1.3</v>
      </c>
      <c r="AA500" s="97">
        <f ca="1">VLOOKUP($X500,サイズ別係数!$B:$E,4,FALSE)</f>
        <v>1.1000000000000001</v>
      </c>
      <c r="AB500" s="10">
        <v>0</v>
      </c>
      <c r="AC500" s="6" t="str">
        <f ca="1">VLOOKUP($AB500,OFFSET([3]enemy_skill_sets!$B$2,0,0,COUNTA([3]enemy_skill_sets!$A:$A),MATCH(AC$1,[3]enemy_skill_sets!$1:$1,0)-MATCH($AB$1,[3]enemy_skill_sets!$1:$1,0)+1),MATCH(AC$1,[3]enemy_skill_sets!$1:$1,0)-MATCH($AB$1,[3]enemy_skill_sets!$1:$1,0)+1,FALSE)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0" s="67">
        <v>1</v>
      </c>
      <c r="AE500" s="67">
        <v>1</v>
      </c>
      <c r="AF500" s="98">
        <v>0</v>
      </c>
      <c r="AG500" s="99">
        <f ca="1">ROUND(VLOOKUP(1,enemy_base_stats!$A:$F,2,FALSE) * Y500* J500*O500*E500*S500*AD500*[2]ステータス!$B$2,0)</f>
        <v>2994</v>
      </c>
      <c r="AH500" s="99">
        <f ca="1">ROUND(VLOOKUP(1,enemy_base_stats!$A:$F,3,FALSE) * Z500*K500*P500*F500*T500*AE500 * W500*[2]ステータス!$C$2,0)</f>
        <v>253</v>
      </c>
      <c r="AI500" s="99">
        <f ca="1">ROUND(VLOOKUP(1,enemy_base_stats!$A:$F,4,FALSE) * AA500*L500*Q500*G500*U500*AF500*[2]ステータス!$D$2,0)</f>
        <v>0</v>
      </c>
      <c r="AJ500" s="99">
        <f ca="1">ROUND(VLOOKUP(100,enemy_base_stats!$A:$F,2,FALSE) * Y500* J500*O500*E500*S500*AD500*[2]ステータス!$B$2,0)</f>
        <v>121552</v>
      </c>
      <c r="AK500" s="99">
        <f ca="1">ROUND(VLOOKUP(100,enemy_base_stats!$A:$F,3,FALSE)* Z500* K500*P500*F500*T500*AE500 * W500*[2]ステータス!$C$2,0)</f>
        <v>10291</v>
      </c>
      <c r="AL500" s="99">
        <f ca="1">ROUND(VLOOKUP(100,enemy_base_stats!$A:$F,4,FALSE)* AA500* L500*Q500*G500*U500*AF500*[2]ステータス!$D$2,0)</f>
        <v>0</v>
      </c>
      <c r="AM500" s="97">
        <f ca="1">VLOOKUP(M500,[2]character_tribe_i18n!$A:$I,9,FALSE)</f>
        <v>400</v>
      </c>
      <c r="AN500" s="97">
        <v>0</v>
      </c>
      <c r="AO500" s="98">
        <v>0</v>
      </c>
      <c r="AP500" s="58" t="s">
        <v>72</v>
      </c>
      <c r="AQ500" s="34">
        <f t="shared" ca="1" si="25"/>
        <v>499</v>
      </c>
    </row>
    <row r="501" spans="1:43" ht="21" customHeight="1" x14ac:dyDescent="0.15">
      <c r="A501" s="7">
        <f t="shared" ca="1" si="19"/>
        <v>500</v>
      </c>
      <c r="B501" s="6" t="str">
        <f ca="1">VLOOKUP(A501,[2]characters!$A:$C,3,FALSE)</f>
        <v>脈動の禁髪 ラプンツェル</v>
      </c>
      <c r="C501" s="9">
        <f ca="1">VLOOKUP(A501,[2]characters!$A:$I,9,FALSE)</f>
        <v>5</v>
      </c>
      <c r="D501" s="9" t="str">
        <f ca="1">VLOOKUP(A501,[2]characters!$A:$H,8,FALSE)</f>
        <v>yellow</v>
      </c>
      <c r="E501" s="97">
        <f ca="1">VLOOKUP(D501,[2]属性!$A:$E,2,FALSE)</f>
        <v>0.98</v>
      </c>
      <c r="F501" s="97">
        <f ca="1">VLOOKUP(D501,[2]属性!$A:$E,3,FALSE)</f>
        <v>1.01</v>
      </c>
      <c r="G501" s="97">
        <f ca="1">VLOOKUP(D501,[2]属性!$A:$F,4,FALSE)</f>
        <v>1</v>
      </c>
      <c r="H501" s="9" t="str">
        <f ca="1">VLOOKUP(A501,[2]characters!$A:$K,11,FALSE)</f>
        <v>balance</v>
      </c>
      <c r="I501" s="6" t="str">
        <f ca="1">VLOOKUP(H501,[2]character_type_i18n!$A:$F,3,FALSE)</f>
        <v>バランスタイプ</v>
      </c>
      <c r="J501" s="97">
        <f ca="1">VLOOKUP(H501,[2]character_type_i18n!$A:$F,4,FALSE)</f>
        <v>1</v>
      </c>
      <c r="K501" s="97">
        <f ca="1">VLOOKUP(H501,[2]character_type_i18n!$A:$F,5,FALSE)</f>
        <v>1</v>
      </c>
      <c r="L501" s="97">
        <f ca="1">VLOOKUP(H501,[2]character_type_i18n!$A:$F,6,FALSE)</f>
        <v>1</v>
      </c>
      <c r="M501" s="9" t="str">
        <f ca="1">VLOOKUP(A501,[2]characters!$A:$M,13,FALSE)</f>
        <v>human</v>
      </c>
      <c r="N501" s="6" t="str">
        <f ca="1">VLOOKUP(M501,[2]character_tribe_i18n!$A:$F,3,FALSE)</f>
        <v>ヒューマン</v>
      </c>
      <c r="O501" s="97">
        <f ca="1">VLOOKUP(M501,[2]character_tribe_i18n!$A:$F,4,FALSE)</f>
        <v>0.94</v>
      </c>
      <c r="P501" s="97">
        <f ca="1">VLOOKUP(M501,[2]character_tribe_i18n!$A:$F,5,FALSE)</f>
        <v>0.99</v>
      </c>
      <c r="Q501" s="97">
        <f ca="1">VLOOKUP(M501,[2]character_tribe_i18n!$A:$F,6,FALSE)</f>
        <v>1</v>
      </c>
      <c r="R501" s="98" t="s">
        <v>98</v>
      </c>
      <c r="S501" s="97">
        <f>VLOOKUP($R501,ラベル別係数!$A$1:$E$7,3,FALSE)</f>
        <v>5</v>
      </c>
      <c r="T501" s="97">
        <f>VLOOKUP($R501,ラベル別係数!$A$1:$E$7,4,FALSE)</f>
        <v>1.3</v>
      </c>
      <c r="U501" s="97">
        <f>VLOOKUP($R501,ラベル別係数!$A$1:$E$7,5,FALSE)</f>
        <v>0.8</v>
      </c>
      <c r="V501" s="98">
        <v>3</v>
      </c>
      <c r="W501" s="99">
        <f>VLOOKUP(V501,ターン数別攻撃係数!$A$1:$B$1000,2,FALSE)</f>
        <v>1</v>
      </c>
      <c r="X501" s="9">
        <f ca="1">VLOOKUP(C501,サイズ別係数!A$2:B$9,2,FALSE)</f>
        <v>60</v>
      </c>
      <c r="Y501" s="97">
        <f ca="1">VLOOKUP($X501,サイズ別係数!$B:$E,2,FALSE)</f>
        <v>1.7</v>
      </c>
      <c r="Z501" s="97">
        <f ca="1">VLOOKUP($X501,サイズ別係数!$B:$E,3,FALSE)</f>
        <v>1.4</v>
      </c>
      <c r="AA501" s="97">
        <f ca="1">VLOOKUP($X501,サイズ別係数!$B:$E,4,FALSE)</f>
        <v>1</v>
      </c>
      <c r="AB501" s="10">
        <v>0</v>
      </c>
      <c r="AC501" s="6" t="str">
        <f ca="1">VLOOKUP($AB501,OFFSET([3]enemy_skill_sets!$B$2,0,0,COUNTA([3]enemy_skill_sets!$A:$A),MATCH(AC$1,[3]enemy_skill_sets!$1:$1,0)-MATCH($AB$1,[3]enemy_skill_sets!$1:$1,0)+1),MATCH(AC$1,[3]enemy_skill_sets!$1:$1,0)-MATCH($AB$1,[3]enemy_skill_sets!$1:$1,0)+1,FALSE)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1" s="67">
        <v>1</v>
      </c>
      <c r="AE501" s="67">
        <v>1</v>
      </c>
      <c r="AF501" s="98">
        <v>0</v>
      </c>
      <c r="AG501" s="99">
        <f ca="1">ROUND(VLOOKUP(1,enemy_base_stats!$A:$F,2,FALSE) * Y501* J501*O501*E501*S501*AD501*[2]ステータス!$B$2,0)</f>
        <v>3915</v>
      </c>
      <c r="AH501" s="99">
        <f ca="1">ROUND(VLOOKUP(1,enemy_base_stats!$A:$F,3,FALSE) * Z501*K501*P501*F501*T501*AE501 * W501*[2]ステータス!$C$2,0)</f>
        <v>273</v>
      </c>
      <c r="AI501" s="99">
        <f ca="1">ROUND(VLOOKUP(1,enemy_base_stats!$A:$F,4,FALSE) * AA501*L501*Q501*G501*U501*AF501*[2]ステータス!$D$2,0)</f>
        <v>0</v>
      </c>
      <c r="AJ501" s="99">
        <f ca="1">ROUND(VLOOKUP(100,enemy_base_stats!$A:$F,2,FALSE) * Y501* J501*O501*E501*S501*AD501*[2]ステータス!$B$2,0)</f>
        <v>158953</v>
      </c>
      <c r="AK501" s="99">
        <f ca="1">ROUND(VLOOKUP(100,enemy_base_stats!$A:$F,3,FALSE)* Z501* K501*P501*F501*T501*AE501 * W501*[2]ステータス!$C$2,0)</f>
        <v>11083</v>
      </c>
      <c r="AL501" s="99">
        <f ca="1">ROUND(VLOOKUP(100,enemy_base_stats!$A:$F,4,FALSE)* AA501* L501*Q501*G501*U501*AF501*[2]ステータス!$D$2,0)</f>
        <v>0</v>
      </c>
      <c r="AM501" s="97">
        <f ca="1">VLOOKUP(M501,[2]character_tribe_i18n!$A:$I,9,FALSE)</f>
        <v>400</v>
      </c>
      <c r="AN501" s="97">
        <v>0</v>
      </c>
      <c r="AO501" s="98">
        <v>0</v>
      </c>
      <c r="AP501" s="58" t="s">
        <v>72</v>
      </c>
      <c r="AQ501" s="34">
        <f t="shared" ca="1" si="25"/>
        <v>500</v>
      </c>
    </row>
    <row r="502" spans="1:43" ht="21" customHeight="1" x14ac:dyDescent="0.15">
      <c r="A502" s="7">
        <f t="shared" ca="1" si="19"/>
        <v>501</v>
      </c>
      <c r="B502" s="6" t="str">
        <f ca="1">VLOOKUP(A502,[2]characters!$A:$C,3,FALSE)</f>
        <v>ラプンツェルじゃなくなった</v>
      </c>
      <c r="C502" s="9">
        <f ca="1">VLOOKUP(A502,[2]characters!$A:$I,9,FALSE)</f>
        <v>5</v>
      </c>
      <c r="D502" s="9" t="str">
        <f ca="1">VLOOKUP(A502,[2]characters!$A:$H,8,FALSE)</f>
        <v>yellow</v>
      </c>
      <c r="E502" s="97">
        <f ca="1">VLOOKUP(D502,[2]属性!$A:$E,2,FALSE)</f>
        <v>0.98</v>
      </c>
      <c r="F502" s="97">
        <f ca="1">VLOOKUP(D502,[2]属性!$A:$E,3,FALSE)</f>
        <v>1.01</v>
      </c>
      <c r="G502" s="97">
        <f ca="1">VLOOKUP(D502,[2]属性!$A:$F,4,FALSE)</f>
        <v>1</v>
      </c>
      <c r="H502" s="9" t="str">
        <f ca="1">VLOOKUP(A502,[2]characters!$A:$K,11,FALSE)</f>
        <v>balance</v>
      </c>
      <c r="I502" s="6" t="str">
        <f ca="1">VLOOKUP(H502,[2]character_type_i18n!$A:$F,3,FALSE)</f>
        <v>バランスタイプ</v>
      </c>
      <c r="J502" s="97">
        <f ca="1">VLOOKUP(H502,[2]character_type_i18n!$A:$F,4,FALSE)</f>
        <v>1</v>
      </c>
      <c r="K502" s="97">
        <f ca="1">VLOOKUP(H502,[2]character_type_i18n!$A:$F,5,FALSE)</f>
        <v>1</v>
      </c>
      <c r="L502" s="97">
        <f ca="1">VLOOKUP(H502,[2]character_type_i18n!$A:$F,6,FALSE)</f>
        <v>1</v>
      </c>
      <c r="M502" s="9" t="str">
        <f ca="1">VLOOKUP(A502,[2]characters!$A:$M,13,FALSE)</f>
        <v>human</v>
      </c>
      <c r="N502" s="6" t="str">
        <f ca="1">VLOOKUP(M502,[2]character_tribe_i18n!$A:$F,3,FALSE)</f>
        <v>ヒューマン</v>
      </c>
      <c r="O502" s="97">
        <f ca="1">VLOOKUP(M502,[2]character_tribe_i18n!$A:$F,4,FALSE)</f>
        <v>0.94</v>
      </c>
      <c r="P502" s="97">
        <f ca="1">VLOOKUP(M502,[2]character_tribe_i18n!$A:$F,5,FALSE)</f>
        <v>0.99</v>
      </c>
      <c r="Q502" s="97">
        <f ca="1">VLOOKUP(M502,[2]character_tribe_i18n!$A:$F,6,FALSE)</f>
        <v>1</v>
      </c>
      <c r="R502" s="98" t="s">
        <v>98</v>
      </c>
      <c r="S502" s="97">
        <f>VLOOKUP($R502,ラベル別係数!$A$1:$E$7,3,FALSE)</f>
        <v>5</v>
      </c>
      <c r="T502" s="97">
        <f>VLOOKUP($R502,ラベル別係数!$A$1:$E$7,4,FALSE)</f>
        <v>1.3</v>
      </c>
      <c r="U502" s="97">
        <f>VLOOKUP($R502,ラベル別係数!$A$1:$E$7,5,FALSE)</f>
        <v>0.8</v>
      </c>
      <c r="V502" s="98">
        <v>3</v>
      </c>
      <c r="W502" s="99">
        <f>VLOOKUP(V502,ターン数別攻撃係数!$A$1:$B$1000,2,FALSE)</f>
        <v>1</v>
      </c>
      <c r="X502" s="9">
        <f ca="1">VLOOKUP(C502,サイズ別係数!A$2:B$9,2,FALSE)</f>
        <v>60</v>
      </c>
      <c r="Y502" s="97">
        <f ca="1">VLOOKUP($X502,サイズ別係数!$B:$E,2,FALSE)</f>
        <v>1.7</v>
      </c>
      <c r="Z502" s="97">
        <f ca="1">VLOOKUP($X502,サイズ別係数!$B:$E,3,FALSE)</f>
        <v>1.4</v>
      </c>
      <c r="AA502" s="97">
        <f ca="1">VLOOKUP($X502,サイズ別係数!$B:$E,4,FALSE)</f>
        <v>1</v>
      </c>
      <c r="AB502" s="10">
        <v>0</v>
      </c>
      <c r="AC502" s="6" t="str">
        <f ca="1">VLOOKUP($AB502,OFFSET([3]enemy_skill_sets!$B$2,0,0,COUNTA([3]enemy_skill_sets!$A:$A),MATCH(AC$1,[3]enemy_skill_sets!$1:$1,0)-MATCH($AB$1,[3]enemy_skill_sets!$1:$1,0)+1),MATCH(AC$1,[3]enemy_skill_sets!$1:$1,0)-MATCH($AB$1,[3]enemy_skill_sets!$1:$1,0)+1,FALSE)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2" s="67">
        <v>1</v>
      </c>
      <c r="AE502" s="67">
        <v>1</v>
      </c>
      <c r="AF502" s="98">
        <v>0</v>
      </c>
      <c r="AG502" s="99">
        <f ca="1">ROUND(VLOOKUP(1,enemy_base_stats!$A:$F,2,FALSE) * Y502* J502*O502*E502*S502*AD502*[2]ステータス!$B$2,0)</f>
        <v>3915</v>
      </c>
      <c r="AH502" s="99">
        <f ca="1">ROUND(VLOOKUP(1,enemy_base_stats!$A:$F,3,FALSE) * Z502*K502*P502*F502*T502*AE502 * W502*[2]ステータス!$C$2,0)</f>
        <v>273</v>
      </c>
      <c r="AI502" s="99">
        <f ca="1">ROUND(VLOOKUP(1,enemy_base_stats!$A:$F,4,FALSE) * AA502*L502*Q502*G502*U502*AF502*[2]ステータス!$D$2,0)</f>
        <v>0</v>
      </c>
      <c r="AJ502" s="99">
        <f ca="1">ROUND(VLOOKUP(100,enemy_base_stats!$A:$F,2,FALSE) * Y502* J502*O502*E502*S502*AD502*[2]ステータス!$B$2,0)</f>
        <v>158953</v>
      </c>
      <c r="AK502" s="99">
        <f ca="1">ROUND(VLOOKUP(100,enemy_base_stats!$A:$F,3,FALSE)* Z502* K502*P502*F502*T502*AE502 * W502*[2]ステータス!$C$2,0)</f>
        <v>11083</v>
      </c>
      <c r="AL502" s="99">
        <f ca="1">ROUND(VLOOKUP(100,enemy_base_stats!$A:$F,4,FALSE)* AA502* L502*Q502*G502*U502*AF502*[2]ステータス!$D$2,0)</f>
        <v>0</v>
      </c>
      <c r="AM502" s="97">
        <f ca="1">VLOOKUP(M502,[2]character_tribe_i18n!$A:$I,9,FALSE)</f>
        <v>400</v>
      </c>
      <c r="AN502" s="97">
        <v>0</v>
      </c>
      <c r="AO502" s="98">
        <v>0</v>
      </c>
      <c r="AP502" s="58" t="s">
        <v>72</v>
      </c>
      <c r="AQ502" s="34">
        <f t="shared" ca="1" si="25"/>
        <v>501</v>
      </c>
    </row>
    <row r="503" spans="1:43" ht="21" customHeight="1" x14ac:dyDescent="0.15">
      <c r="A503" s="7">
        <f t="shared" ca="1" si="19"/>
        <v>502</v>
      </c>
      <c r="B503" s="6" t="str">
        <f ca="1">VLOOKUP(A503,[2]characters!$A:$C,3,FALSE)</f>
        <v>テラベル</v>
      </c>
      <c r="C503" s="9">
        <f ca="1">VLOOKUP(A503,[2]characters!$A:$I,9,FALSE)</f>
        <v>4</v>
      </c>
      <c r="D503" s="9" t="str">
        <f ca="1">VLOOKUP(A503,[2]characters!$A:$H,8,FALSE)</f>
        <v>red</v>
      </c>
      <c r="E503" s="97">
        <f ca="1">VLOOKUP(D503,[2]属性!$A:$E,2,FALSE)</f>
        <v>1</v>
      </c>
      <c r="F503" s="97">
        <f ca="1">VLOOKUP(D503,[2]属性!$A:$E,3,FALSE)</f>
        <v>1.02</v>
      </c>
      <c r="G503" s="97">
        <f ca="1">VLOOKUP(D503,[2]属性!$A:$F,4,FALSE)</f>
        <v>1</v>
      </c>
      <c r="H503" s="9" t="str">
        <f ca="1">VLOOKUP(A503,[2]characters!$A:$K,11,FALSE)</f>
        <v>attack</v>
      </c>
      <c r="I503" s="6" t="str">
        <f ca="1">VLOOKUP(H503,[2]character_type_i18n!$A:$F,3,FALSE)</f>
        <v>攻撃タイプ</v>
      </c>
      <c r="J503" s="97">
        <f ca="1">VLOOKUP(H503,[2]character_type_i18n!$A:$F,4,FALSE)</f>
        <v>1</v>
      </c>
      <c r="K503" s="97">
        <f ca="1">VLOOKUP(H503,[2]character_type_i18n!$A:$F,5,FALSE)</f>
        <v>1.33</v>
      </c>
      <c r="L503" s="97">
        <f ca="1">VLOOKUP(H503,[2]character_type_i18n!$A:$F,6,FALSE)</f>
        <v>1</v>
      </c>
      <c r="M503" s="9" t="str">
        <f ca="1">VLOOKUP(A503,[2]characters!$A:$M,13,FALSE)</f>
        <v>human</v>
      </c>
      <c r="N503" s="6" t="str">
        <f ca="1">VLOOKUP(M503,[2]character_tribe_i18n!$A:$F,3,FALSE)</f>
        <v>ヒューマン</v>
      </c>
      <c r="O503" s="97">
        <f ca="1">VLOOKUP(M503,[2]character_tribe_i18n!$A:$F,4,FALSE)</f>
        <v>0.94</v>
      </c>
      <c r="P503" s="97">
        <f ca="1">VLOOKUP(M503,[2]character_tribe_i18n!$A:$F,5,FALSE)</f>
        <v>0.99</v>
      </c>
      <c r="Q503" s="97">
        <f ca="1">VLOOKUP(M503,[2]character_tribe_i18n!$A:$F,6,FALSE)</f>
        <v>1</v>
      </c>
      <c r="R503" s="98" t="s">
        <v>98</v>
      </c>
      <c r="S503" s="97">
        <f>VLOOKUP($R503,ラベル別係数!$A$1:$E$7,3,FALSE)</f>
        <v>5</v>
      </c>
      <c r="T503" s="97">
        <f>VLOOKUP($R503,ラベル別係数!$A$1:$E$7,4,FALSE)</f>
        <v>1.3</v>
      </c>
      <c r="U503" s="97">
        <f>VLOOKUP($R503,ラベル別係数!$A$1:$E$7,5,FALSE)</f>
        <v>0.8</v>
      </c>
      <c r="V503" s="98">
        <v>3</v>
      </c>
      <c r="W503" s="99">
        <f>VLOOKUP(V503,ターン数別攻撃係数!$A$1:$B$1000,2,FALSE)</f>
        <v>1</v>
      </c>
      <c r="X503" s="9">
        <f ca="1">VLOOKUP(C503,サイズ別係数!A$2:B$9,2,FALSE)</f>
        <v>30</v>
      </c>
      <c r="Y503" s="97">
        <f ca="1">VLOOKUP($X503,サイズ別係数!$B:$E,2,FALSE)</f>
        <v>1.3</v>
      </c>
      <c r="Z503" s="97">
        <f ca="1">VLOOKUP($X503,サイズ別係数!$B:$E,3,FALSE)</f>
        <v>1.3</v>
      </c>
      <c r="AA503" s="97">
        <f ca="1">VLOOKUP($X503,サイズ別係数!$B:$E,4,FALSE)</f>
        <v>1.1000000000000001</v>
      </c>
      <c r="AB503" s="10">
        <v>0</v>
      </c>
      <c r="AC503" s="6" t="str">
        <f ca="1">VLOOKUP($AB503,OFFSET([3]enemy_skill_sets!$B$2,0,0,COUNTA([3]enemy_skill_sets!$A:$A),MATCH(AC$1,[3]enemy_skill_sets!$1:$1,0)-MATCH($AB$1,[3]enemy_skill_sets!$1:$1,0)+1),MATCH(AC$1,[3]enemy_skill_sets!$1:$1,0)-MATCH($AB$1,[3]enemy_skill_sets!$1:$1,0)+1,FALSE)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3" s="67">
        <v>1</v>
      </c>
      <c r="AE503" s="67">
        <v>1</v>
      </c>
      <c r="AF503" s="98">
        <v>0</v>
      </c>
      <c r="AG503" s="99">
        <f ca="1">ROUND(VLOOKUP(1,enemy_base_stats!$A:$F,2,FALSE) * Y503* J503*O503*E503*S503*AD503*[2]ステータス!$B$2,0)</f>
        <v>3055</v>
      </c>
      <c r="AH503" s="99">
        <f ca="1">ROUND(VLOOKUP(1,enemy_base_stats!$A:$F,3,FALSE) * Z503*K503*P503*F503*T503*AE503 * W503*[2]ステータス!$C$2,0)</f>
        <v>340</v>
      </c>
      <c r="AI503" s="99">
        <f ca="1">ROUND(VLOOKUP(1,enemy_base_stats!$A:$F,4,FALSE) * AA503*L503*Q503*G503*U503*AF503*[2]ステータス!$D$2,0)</f>
        <v>0</v>
      </c>
      <c r="AJ503" s="99">
        <f ca="1">ROUND(VLOOKUP(100,enemy_base_stats!$A:$F,2,FALSE) * Y503* J503*O503*E503*S503*AD503*[2]ステータス!$B$2,0)</f>
        <v>124033</v>
      </c>
      <c r="AK503" s="99">
        <f ca="1">ROUND(VLOOKUP(100,enemy_base_stats!$A:$F,3,FALSE)* Z503* K503*P503*F503*T503*AE503 * W503*[2]ステータス!$C$2,0)</f>
        <v>13823</v>
      </c>
      <c r="AL503" s="99">
        <f ca="1">ROUND(VLOOKUP(100,enemy_base_stats!$A:$F,4,FALSE)* AA503* L503*Q503*G503*U503*AF503*[2]ステータス!$D$2,0)</f>
        <v>0</v>
      </c>
      <c r="AM503" s="97">
        <f ca="1">VLOOKUP(M503,[2]character_tribe_i18n!$A:$I,9,FALSE)</f>
        <v>400</v>
      </c>
      <c r="AN503" s="97">
        <v>0</v>
      </c>
      <c r="AO503" s="98">
        <v>0</v>
      </c>
      <c r="AP503" s="58" t="s">
        <v>72</v>
      </c>
      <c r="AQ503" s="34">
        <f t="shared" ca="1" si="25"/>
        <v>502</v>
      </c>
    </row>
    <row r="504" spans="1:43" ht="21" customHeight="1" x14ac:dyDescent="0.15">
      <c r="A504" s="7">
        <f t="shared" ca="1" si="19"/>
        <v>503</v>
      </c>
      <c r="B504" s="6" t="str">
        <f ca="1">VLOOKUP(A504,[2]characters!$A:$C,3,FALSE)</f>
        <v>破獣の爆姫 テラベル</v>
      </c>
      <c r="C504" s="9">
        <f ca="1">VLOOKUP(A504,[2]characters!$A:$I,9,FALSE)</f>
        <v>5</v>
      </c>
      <c r="D504" s="9" t="str">
        <f ca="1">VLOOKUP(A504,[2]characters!$A:$H,8,FALSE)</f>
        <v>red</v>
      </c>
      <c r="E504" s="97">
        <f ca="1">VLOOKUP(D504,[2]属性!$A:$E,2,FALSE)</f>
        <v>1</v>
      </c>
      <c r="F504" s="97">
        <f ca="1">VLOOKUP(D504,[2]属性!$A:$E,3,FALSE)</f>
        <v>1.02</v>
      </c>
      <c r="G504" s="97">
        <f ca="1">VLOOKUP(D504,[2]属性!$A:$F,4,FALSE)</f>
        <v>1</v>
      </c>
      <c r="H504" s="9" t="str">
        <f ca="1">VLOOKUP(A504,[2]characters!$A:$K,11,FALSE)</f>
        <v>attack</v>
      </c>
      <c r="I504" s="6" t="str">
        <f ca="1">VLOOKUP(H504,[2]character_type_i18n!$A:$F,3,FALSE)</f>
        <v>攻撃タイプ</v>
      </c>
      <c r="J504" s="97">
        <f ca="1">VLOOKUP(H504,[2]character_type_i18n!$A:$F,4,FALSE)</f>
        <v>1</v>
      </c>
      <c r="K504" s="97">
        <f ca="1">VLOOKUP(H504,[2]character_type_i18n!$A:$F,5,FALSE)</f>
        <v>1.33</v>
      </c>
      <c r="L504" s="97">
        <f ca="1">VLOOKUP(H504,[2]character_type_i18n!$A:$F,6,FALSE)</f>
        <v>1</v>
      </c>
      <c r="M504" s="9" t="str">
        <f ca="1">VLOOKUP(A504,[2]characters!$A:$M,13,FALSE)</f>
        <v>human</v>
      </c>
      <c r="N504" s="6" t="str">
        <f ca="1">VLOOKUP(M504,[2]character_tribe_i18n!$A:$F,3,FALSE)</f>
        <v>ヒューマン</v>
      </c>
      <c r="O504" s="97">
        <f ca="1">VLOOKUP(M504,[2]character_tribe_i18n!$A:$F,4,FALSE)</f>
        <v>0.94</v>
      </c>
      <c r="P504" s="97">
        <f ca="1">VLOOKUP(M504,[2]character_tribe_i18n!$A:$F,5,FALSE)</f>
        <v>0.99</v>
      </c>
      <c r="Q504" s="97">
        <f ca="1">VLOOKUP(M504,[2]character_tribe_i18n!$A:$F,6,FALSE)</f>
        <v>1</v>
      </c>
      <c r="R504" s="98" t="s">
        <v>98</v>
      </c>
      <c r="S504" s="97">
        <f>VLOOKUP($R504,ラベル別係数!$A$1:$E$7,3,FALSE)</f>
        <v>5</v>
      </c>
      <c r="T504" s="97">
        <f>VLOOKUP($R504,ラベル別係数!$A$1:$E$7,4,FALSE)</f>
        <v>1.3</v>
      </c>
      <c r="U504" s="97">
        <f>VLOOKUP($R504,ラベル別係数!$A$1:$E$7,5,FALSE)</f>
        <v>0.8</v>
      </c>
      <c r="V504" s="98">
        <v>3</v>
      </c>
      <c r="W504" s="99">
        <f>VLOOKUP(V504,ターン数別攻撃係数!$A$1:$B$1000,2,FALSE)</f>
        <v>1</v>
      </c>
      <c r="X504" s="9">
        <f ca="1">VLOOKUP(C504,サイズ別係数!A$2:B$9,2,FALSE)</f>
        <v>60</v>
      </c>
      <c r="Y504" s="97">
        <f ca="1">VLOOKUP($X504,サイズ別係数!$B:$E,2,FALSE)</f>
        <v>1.7</v>
      </c>
      <c r="Z504" s="97">
        <f ca="1">VLOOKUP($X504,サイズ別係数!$B:$E,3,FALSE)</f>
        <v>1.4</v>
      </c>
      <c r="AA504" s="97">
        <f ca="1">VLOOKUP($X504,サイズ別係数!$B:$E,4,FALSE)</f>
        <v>1</v>
      </c>
      <c r="AB504" s="10">
        <v>0</v>
      </c>
      <c r="AC504" s="6" t="str">
        <f ca="1">VLOOKUP($AB504,OFFSET([3]enemy_skill_sets!$B$2,0,0,COUNTA([3]enemy_skill_sets!$A:$A),MATCH(AC$1,[3]enemy_skill_sets!$1:$1,0)-MATCH($AB$1,[3]enemy_skill_sets!$1:$1,0)+1),MATCH(AC$1,[3]enemy_skill_sets!$1:$1,0)-MATCH($AB$1,[3]enemy_skill_sets!$1:$1,0)+1,FALSE)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4" s="67">
        <v>1</v>
      </c>
      <c r="AE504" s="67">
        <v>1</v>
      </c>
      <c r="AF504" s="98">
        <v>0</v>
      </c>
      <c r="AG504" s="99">
        <f ca="1">ROUND(VLOOKUP(1,enemy_base_stats!$A:$F,2,FALSE) * Y504* J504*O504*E504*S504*AD504*[2]ステータス!$B$2,0)</f>
        <v>3995</v>
      </c>
      <c r="AH504" s="99">
        <f ca="1">ROUND(VLOOKUP(1,enemy_base_stats!$A:$F,3,FALSE) * Z504*K504*P504*F504*T504*AE504 * W504*[2]ステータス!$C$2,0)</f>
        <v>367</v>
      </c>
      <c r="AI504" s="99">
        <f ca="1">ROUND(VLOOKUP(1,enemy_base_stats!$A:$F,4,FALSE) * AA504*L504*Q504*G504*U504*AF504*[2]ステータス!$D$2,0)</f>
        <v>0</v>
      </c>
      <c r="AJ504" s="99">
        <f ca="1">ROUND(VLOOKUP(100,enemy_base_stats!$A:$F,2,FALSE) * Y504* J504*O504*E504*S504*AD504*[2]ステータス!$B$2,0)</f>
        <v>162197</v>
      </c>
      <c r="AK504" s="99">
        <f ca="1">ROUND(VLOOKUP(100,enemy_base_stats!$A:$F,3,FALSE)* Z504* K504*P504*F504*T504*AE504 * W504*[2]ステータス!$C$2,0)</f>
        <v>14886</v>
      </c>
      <c r="AL504" s="99">
        <f ca="1">ROUND(VLOOKUP(100,enemy_base_stats!$A:$F,4,FALSE)* AA504* L504*Q504*G504*U504*AF504*[2]ステータス!$D$2,0)</f>
        <v>0</v>
      </c>
      <c r="AM504" s="97">
        <f ca="1">VLOOKUP(M504,[2]character_tribe_i18n!$A:$I,9,FALSE)</f>
        <v>400</v>
      </c>
      <c r="AN504" s="97">
        <v>0</v>
      </c>
      <c r="AO504" s="98">
        <v>0</v>
      </c>
      <c r="AP504" s="58" t="s">
        <v>72</v>
      </c>
      <c r="AQ504" s="34">
        <f t="shared" ca="1" si="25"/>
        <v>503</v>
      </c>
    </row>
    <row r="505" spans="1:43" ht="21" customHeight="1" x14ac:dyDescent="0.15">
      <c r="A505" s="7">
        <f t="shared" ca="1" si="19"/>
        <v>504</v>
      </c>
      <c r="B505" s="6" t="str">
        <f ca="1">VLOOKUP(A505,[2]characters!$A:$C,3,FALSE)</f>
        <v>ハイディン・オーガ</v>
      </c>
      <c r="C505" s="9">
        <f ca="1">VLOOKUP(A505,[2]characters!$A:$I,9,FALSE)</f>
        <v>4</v>
      </c>
      <c r="D505" s="9" t="str">
        <f ca="1">VLOOKUP(A505,[2]characters!$A:$H,8,FALSE)</f>
        <v>green</v>
      </c>
      <c r="E505" s="97">
        <f ca="1">VLOOKUP(D505,[2]属性!$A:$E,2,FALSE)</f>
        <v>1.02</v>
      </c>
      <c r="F505" s="97">
        <f ca="1">VLOOKUP(D505,[2]属性!$A:$E,3,FALSE)</f>
        <v>0.98</v>
      </c>
      <c r="G505" s="97">
        <f ca="1">VLOOKUP(D505,[2]属性!$A:$F,4,FALSE)</f>
        <v>1</v>
      </c>
      <c r="H505" s="9" t="str">
        <f ca="1">VLOOKUP(A505,[2]characters!$A:$K,11,FALSE)</f>
        <v>attack</v>
      </c>
      <c r="I505" s="6" t="str">
        <f ca="1">VLOOKUP(H505,[2]character_type_i18n!$A:$F,3,FALSE)</f>
        <v>攻撃タイプ</v>
      </c>
      <c r="J505" s="97">
        <f ca="1">VLOOKUP(H505,[2]character_type_i18n!$A:$F,4,FALSE)</f>
        <v>1</v>
      </c>
      <c r="K505" s="97">
        <f ca="1">VLOOKUP(H505,[2]character_type_i18n!$A:$F,5,FALSE)</f>
        <v>1.33</v>
      </c>
      <c r="L505" s="97">
        <f ca="1">VLOOKUP(H505,[2]character_type_i18n!$A:$F,6,FALSE)</f>
        <v>1</v>
      </c>
      <c r="M505" s="9" t="str">
        <f ca="1">VLOOKUP(A505,[2]characters!$A:$M,13,FALSE)</f>
        <v>animal</v>
      </c>
      <c r="N505" s="6" t="str">
        <f ca="1">VLOOKUP(M505,[2]character_tribe_i18n!$A:$F,3,FALSE)</f>
        <v>アニマル</v>
      </c>
      <c r="O505" s="97">
        <f ca="1">VLOOKUP(M505,[2]character_tribe_i18n!$A:$F,4,FALSE)</f>
        <v>1</v>
      </c>
      <c r="P505" s="97">
        <f ca="1">VLOOKUP(M505,[2]character_tribe_i18n!$A:$F,5,FALSE)</f>
        <v>1.1000000000000001</v>
      </c>
      <c r="Q505" s="97">
        <f ca="1">VLOOKUP(M505,[2]character_tribe_i18n!$A:$F,6,FALSE)</f>
        <v>1</v>
      </c>
      <c r="R505" s="98" t="s">
        <v>98</v>
      </c>
      <c r="S505" s="97">
        <f>VLOOKUP($R505,ラベル別係数!$A$1:$E$7,3,FALSE)</f>
        <v>5</v>
      </c>
      <c r="T505" s="97">
        <f>VLOOKUP($R505,ラベル別係数!$A$1:$E$7,4,FALSE)</f>
        <v>1.3</v>
      </c>
      <c r="U505" s="97">
        <f>VLOOKUP($R505,ラベル別係数!$A$1:$E$7,5,FALSE)</f>
        <v>0.8</v>
      </c>
      <c r="V505" s="98">
        <v>3</v>
      </c>
      <c r="W505" s="99">
        <f>VLOOKUP(V505,ターン数別攻撃係数!$A$1:$B$1000,2,FALSE)</f>
        <v>1</v>
      </c>
      <c r="X505" s="9">
        <f ca="1">VLOOKUP(C505,サイズ別係数!A$2:B$9,2,FALSE)</f>
        <v>30</v>
      </c>
      <c r="Y505" s="97">
        <f ca="1">VLOOKUP($X505,サイズ別係数!$B:$E,2,FALSE)</f>
        <v>1.3</v>
      </c>
      <c r="Z505" s="97">
        <f ca="1">VLOOKUP($X505,サイズ別係数!$B:$E,3,FALSE)</f>
        <v>1.3</v>
      </c>
      <c r="AA505" s="97">
        <f ca="1">VLOOKUP($X505,サイズ別係数!$B:$E,4,FALSE)</f>
        <v>1.1000000000000001</v>
      </c>
      <c r="AB505" s="10">
        <v>0</v>
      </c>
      <c r="AC505" s="6" t="str">
        <f ca="1">VLOOKUP($AB505,OFFSET([3]enemy_skill_sets!$B$2,0,0,COUNTA([3]enemy_skill_sets!$A:$A),MATCH(AC$1,[3]enemy_skill_sets!$1:$1,0)-MATCH($AB$1,[3]enemy_skill_sets!$1:$1,0)+1),MATCH(AC$1,[3]enemy_skill_sets!$1:$1,0)-MATCH($AB$1,[3]enemy_skill_sets!$1:$1,0)+1,FALSE)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5" s="67">
        <v>1</v>
      </c>
      <c r="AE505" s="67">
        <v>1</v>
      </c>
      <c r="AF505" s="98">
        <v>0</v>
      </c>
      <c r="AG505" s="99">
        <f ca="1">ROUND(VLOOKUP(1,enemy_base_stats!$A:$F,2,FALSE) * Y505* J505*O505*E505*S505*AD505*[2]ステータス!$B$2,0)</f>
        <v>3315</v>
      </c>
      <c r="AH505" s="99">
        <f ca="1">ROUND(VLOOKUP(1,enemy_base_stats!$A:$F,3,FALSE) * Z505*K505*P505*F505*T505*AE505 * W505*[2]ステータス!$C$2,0)</f>
        <v>363</v>
      </c>
      <c r="AI505" s="99">
        <f ca="1">ROUND(VLOOKUP(1,enemy_base_stats!$A:$F,4,FALSE) * AA505*L505*Q505*G505*U505*AF505*[2]ステータス!$D$2,0)</f>
        <v>0</v>
      </c>
      <c r="AJ505" s="99">
        <f ca="1">ROUND(VLOOKUP(100,enemy_base_stats!$A:$F,2,FALSE) * Y505* J505*O505*E505*S505*AD505*[2]ステータス!$B$2,0)</f>
        <v>134589</v>
      </c>
      <c r="AK505" s="99">
        <f ca="1">ROUND(VLOOKUP(100,enemy_base_stats!$A:$F,3,FALSE)* Z505* K505*P505*F505*T505*AE505 * W505*[2]ステータス!$C$2,0)</f>
        <v>14756</v>
      </c>
      <c r="AL505" s="99">
        <f ca="1">ROUND(VLOOKUP(100,enemy_base_stats!$A:$F,4,FALSE)* AA505* L505*Q505*G505*U505*AF505*[2]ステータス!$D$2,0)</f>
        <v>0</v>
      </c>
      <c r="AM505" s="97">
        <f ca="1">VLOOKUP(M505,[2]character_tribe_i18n!$A:$I,9,FALSE)</f>
        <v>480</v>
      </c>
      <c r="AN505" s="97">
        <v>0</v>
      </c>
      <c r="AO505" s="98">
        <v>0</v>
      </c>
      <c r="AP505" s="58" t="s">
        <v>72</v>
      </c>
      <c r="AQ505" s="34">
        <f t="shared" ca="1" si="25"/>
        <v>504</v>
      </c>
    </row>
    <row r="506" spans="1:43" ht="21" customHeight="1" x14ac:dyDescent="0.15">
      <c r="A506" s="7">
        <f t="shared" ca="1" si="19"/>
        <v>505</v>
      </c>
      <c r="B506" s="6" t="str">
        <f ca="1">VLOOKUP(A506,[2]characters!$A:$C,3,FALSE)</f>
        <v>暴虐の漏洩 ハイディン・オーガ</v>
      </c>
      <c r="C506" s="9">
        <f ca="1">VLOOKUP(A506,[2]characters!$A:$I,9,FALSE)</f>
        <v>5</v>
      </c>
      <c r="D506" s="9" t="str">
        <f ca="1">VLOOKUP(A506,[2]characters!$A:$H,8,FALSE)</f>
        <v>green</v>
      </c>
      <c r="E506" s="97">
        <f ca="1">VLOOKUP(D506,[2]属性!$A:$E,2,FALSE)</f>
        <v>1.02</v>
      </c>
      <c r="F506" s="97">
        <f ca="1">VLOOKUP(D506,[2]属性!$A:$E,3,FALSE)</f>
        <v>0.98</v>
      </c>
      <c r="G506" s="97">
        <f ca="1">VLOOKUP(D506,[2]属性!$A:$F,4,FALSE)</f>
        <v>1</v>
      </c>
      <c r="H506" s="9" t="str">
        <f ca="1">VLOOKUP(A506,[2]characters!$A:$K,11,FALSE)</f>
        <v>attack</v>
      </c>
      <c r="I506" s="6" t="str">
        <f ca="1">VLOOKUP(H506,[2]character_type_i18n!$A:$F,3,FALSE)</f>
        <v>攻撃タイプ</v>
      </c>
      <c r="J506" s="97">
        <f ca="1">VLOOKUP(H506,[2]character_type_i18n!$A:$F,4,FALSE)</f>
        <v>1</v>
      </c>
      <c r="K506" s="97">
        <f ca="1">VLOOKUP(H506,[2]character_type_i18n!$A:$F,5,FALSE)</f>
        <v>1.33</v>
      </c>
      <c r="L506" s="97">
        <f ca="1">VLOOKUP(H506,[2]character_type_i18n!$A:$F,6,FALSE)</f>
        <v>1</v>
      </c>
      <c r="M506" s="9" t="str">
        <f ca="1">VLOOKUP(A506,[2]characters!$A:$M,13,FALSE)</f>
        <v>animal</v>
      </c>
      <c r="N506" s="6" t="str">
        <f ca="1">VLOOKUP(M506,[2]character_tribe_i18n!$A:$F,3,FALSE)</f>
        <v>アニマル</v>
      </c>
      <c r="O506" s="97">
        <f ca="1">VLOOKUP(M506,[2]character_tribe_i18n!$A:$F,4,FALSE)</f>
        <v>1</v>
      </c>
      <c r="P506" s="97">
        <f ca="1">VLOOKUP(M506,[2]character_tribe_i18n!$A:$F,5,FALSE)</f>
        <v>1.1000000000000001</v>
      </c>
      <c r="Q506" s="97">
        <f ca="1">VLOOKUP(M506,[2]character_tribe_i18n!$A:$F,6,FALSE)</f>
        <v>1</v>
      </c>
      <c r="R506" s="98" t="s">
        <v>98</v>
      </c>
      <c r="S506" s="97">
        <f>VLOOKUP($R506,ラベル別係数!$A$1:$E$7,3,FALSE)</f>
        <v>5</v>
      </c>
      <c r="T506" s="97">
        <f>VLOOKUP($R506,ラベル別係数!$A$1:$E$7,4,FALSE)</f>
        <v>1.3</v>
      </c>
      <c r="U506" s="97">
        <f>VLOOKUP($R506,ラベル別係数!$A$1:$E$7,5,FALSE)</f>
        <v>0.8</v>
      </c>
      <c r="V506" s="98">
        <v>3</v>
      </c>
      <c r="W506" s="99">
        <f>VLOOKUP(V506,ターン数別攻撃係数!$A$1:$B$1000,2,FALSE)</f>
        <v>1</v>
      </c>
      <c r="X506" s="9">
        <f ca="1">VLOOKUP(C506,サイズ別係数!A$2:B$9,2,FALSE)</f>
        <v>60</v>
      </c>
      <c r="Y506" s="97">
        <f ca="1">VLOOKUP($X506,サイズ別係数!$B:$E,2,FALSE)</f>
        <v>1.7</v>
      </c>
      <c r="Z506" s="97">
        <f ca="1">VLOOKUP($X506,サイズ別係数!$B:$E,3,FALSE)</f>
        <v>1.4</v>
      </c>
      <c r="AA506" s="97">
        <f ca="1">VLOOKUP($X506,サイズ別係数!$B:$E,4,FALSE)</f>
        <v>1</v>
      </c>
      <c r="AB506" s="10">
        <v>0</v>
      </c>
      <c r="AC506" s="6" t="str">
        <f ca="1">VLOOKUP($AB506,OFFSET([3]enemy_skill_sets!$B$2,0,0,COUNTA([3]enemy_skill_sets!$A:$A),MATCH(AC$1,[3]enemy_skill_sets!$1:$1,0)-MATCH($AB$1,[3]enemy_skill_sets!$1:$1,0)+1),MATCH(AC$1,[3]enemy_skill_sets!$1:$1,0)-MATCH($AB$1,[3]enemy_skill_sets!$1:$1,0)+1,FALSE)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6" s="67">
        <v>1</v>
      </c>
      <c r="AE506" s="67">
        <v>1</v>
      </c>
      <c r="AF506" s="98">
        <v>0</v>
      </c>
      <c r="AG506" s="99">
        <f ca="1">ROUND(VLOOKUP(1,enemy_base_stats!$A:$F,2,FALSE) * Y506* J506*O506*E506*S506*AD506*[2]ステータス!$B$2,0)</f>
        <v>4335</v>
      </c>
      <c r="AH506" s="99">
        <f ca="1">ROUND(VLOOKUP(1,enemy_base_stats!$A:$F,3,FALSE) * Z506*K506*P506*F506*T506*AE506 * W506*[2]ステータス!$C$2,0)</f>
        <v>391</v>
      </c>
      <c r="AI506" s="99">
        <f ca="1">ROUND(VLOOKUP(1,enemy_base_stats!$A:$F,4,FALSE) * AA506*L506*Q506*G506*U506*AF506*[2]ステータス!$D$2,0)</f>
        <v>0</v>
      </c>
      <c r="AJ506" s="99">
        <f ca="1">ROUND(VLOOKUP(100,enemy_base_stats!$A:$F,2,FALSE) * Y506* J506*O506*E506*S506*AD506*[2]ステータス!$B$2,0)</f>
        <v>176001</v>
      </c>
      <c r="AK506" s="99">
        <f ca="1">ROUND(VLOOKUP(100,enemy_base_stats!$A:$F,3,FALSE)* Z506* K506*P506*F506*T506*AE506 * W506*[2]ステータス!$C$2,0)</f>
        <v>15891</v>
      </c>
      <c r="AL506" s="99">
        <f ca="1">ROUND(VLOOKUP(100,enemy_base_stats!$A:$F,4,FALSE)* AA506* L506*Q506*G506*U506*AF506*[2]ステータス!$D$2,0)</f>
        <v>0</v>
      </c>
      <c r="AM506" s="97">
        <f ca="1">VLOOKUP(M506,[2]character_tribe_i18n!$A:$I,9,FALSE)</f>
        <v>480</v>
      </c>
      <c r="AN506" s="97">
        <v>0</v>
      </c>
      <c r="AO506" s="98">
        <v>0</v>
      </c>
      <c r="AP506" s="58" t="s">
        <v>72</v>
      </c>
      <c r="AQ506" s="34">
        <f t="shared" ca="1" si="25"/>
        <v>505</v>
      </c>
    </row>
    <row r="507" spans="1:43" ht="21" customHeight="1" x14ac:dyDescent="0.15">
      <c r="A507" s="7">
        <f t="shared" ca="1" si="19"/>
        <v>506</v>
      </c>
      <c r="B507" s="6" t="str">
        <f ca="1">VLOOKUP(A507,[2]characters!$A:$C,3,FALSE)</f>
        <v>ゴーテル</v>
      </c>
      <c r="C507" s="9">
        <f ca="1">VLOOKUP(A507,[2]characters!$A:$I,9,FALSE)</f>
        <v>4</v>
      </c>
      <c r="D507" s="9" t="str">
        <f ca="1">VLOOKUP(A507,[2]characters!$A:$H,8,FALSE)</f>
        <v>blue</v>
      </c>
      <c r="E507" s="97">
        <f ca="1">VLOOKUP(D507,[2]属性!$A:$E,2,FALSE)</f>
        <v>1</v>
      </c>
      <c r="F507" s="97">
        <f ca="1">VLOOKUP(D507,[2]属性!$A:$E,3,FALSE)</f>
        <v>0.98</v>
      </c>
      <c r="G507" s="97">
        <f ca="1">VLOOKUP(D507,[2]属性!$A:$F,4,FALSE)</f>
        <v>1</v>
      </c>
      <c r="H507" s="9" t="str">
        <f ca="1">VLOOKUP(A507,[2]characters!$A:$K,11,FALSE)</f>
        <v>technical</v>
      </c>
      <c r="I507" s="6" t="str">
        <f ca="1">VLOOKUP(H507,[2]character_type_i18n!$A:$F,3,FALSE)</f>
        <v>テクニカルタイプ</v>
      </c>
      <c r="J507" s="103">
        <v>1</v>
      </c>
      <c r="K507" s="103">
        <v>1.33</v>
      </c>
      <c r="L507" s="103">
        <v>1</v>
      </c>
      <c r="M507" s="9" t="str">
        <f ca="1">VLOOKUP(A507,[2]characters!$A:$M,13,FALSE)</f>
        <v>human</v>
      </c>
      <c r="N507" s="6" t="str">
        <f ca="1">VLOOKUP(M507,[2]character_tribe_i18n!$A:$F,3,FALSE)</f>
        <v>ヒューマン</v>
      </c>
      <c r="O507" s="97">
        <f ca="1">VLOOKUP(M507,[2]character_tribe_i18n!$A:$F,4,FALSE)</f>
        <v>0.94</v>
      </c>
      <c r="P507" s="97">
        <f ca="1">VLOOKUP(M507,[2]character_tribe_i18n!$A:$F,5,FALSE)</f>
        <v>0.99</v>
      </c>
      <c r="Q507" s="97">
        <f ca="1">VLOOKUP(M507,[2]character_tribe_i18n!$A:$F,6,FALSE)</f>
        <v>1</v>
      </c>
      <c r="R507" s="98" t="s">
        <v>98</v>
      </c>
      <c r="S507" s="97">
        <f>VLOOKUP($R507,ラベル別係数!$A$1:$E$7,3,FALSE)</f>
        <v>5</v>
      </c>
      <c r="T507" s="97">
        <f>VLOOKUP($R507,ラベル別係数!$A$1:$E$7,4,FALSE)</f>
        <v>1.3</v>
      </c>
      <c r="U507" s="97">
        <f>VLOOKUP($R507,ラベル別係数!$A$1:$E$7,5,FALSE)</f>
        <v>0.8</v>
      </c>
      <c r="V507" s="98">
        <v>3</v>
      </c>
      <c r="W507" s="99">
        <f>VLOOKUP(V507,ターン数別攻撃係数!$A$1:$B$1000,2,FALSE)</f>
        <v>1</v>
      </c>
      <c r="X507" s="9">
        <f ca="1">VLOOKUP(C507,サイズ別係数!A$2:B$9,2,FALSE)</f>
        <v>30</v>
      </c>
      <c r="Y507" s="97">
        <f ca="1">VLOOKUP($X507,サイズ別係数!$B:$E,2,FALSE)</f>
        <v>1.3</v>
      </c>
      <c r="Z507" s="97">
        <f ca="1">VLOOKUP($X507,サイズ別係数!$B:$E,3,FALSE)</f>
        <v>1.3</v>
      </c>
      <c r="AA507" s="97">
        <f ca="1">VLOOKUP($X507,サイズ別係数!$B:$E,4,FALSE)</f>
        <v>1.1000000000000001</v>
      </c>
      <c r="AB507" s="10">
        <v>0</v>
      </c>
      <c r="AC507" s="6" t="str">
        <f ca="1">VLOOKUP($AB507,OFFSET([3]enemy_skill_sets!$B$2,0,0,COUNTA([3]enemy_skill_sets!$A:$A),MATCH(AC$1,[3]enemy_skill_sets!$1:$1,0)-MATCH($AB$1,[3]enemy_skill_sets!$1:$1,0)+1),MATCH(AC$1,[3]enemy_skill_sets!$1:$1,0)-MATCH($AB$1,[3]enemy_skill_sets!$1:$1,0)+1,FALSE)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7" s="67">
        <v>1</v>
      </c>
      <c r="AE507" s="67">
        <v>1</v>
      </c>
      <c r="AF507" s="98">
        <v>0</v>
      </c>
      <c r="AG507" s="99">
        <f ca="1">ROUND(VLOOKUP(1,enemy_base_stats!$A:$F,2,FALSE) * Y507* J507*O507*E507*S507*AD507*[2]ステータス!$B$2,0)</f>
        <v>3055</v>
      </c>
      <c r="AH507" s="99">
        <f ca="1">ROUND(VLOOKUP(1,enemy_base_stats!$A:$F,3,FALSE) * Z507*K507*P507*F507*T507*AE507 * W507*[2]ステータス!$C$2,0)</f>
        <v>327</v>
      </c>
      <c r="AI507" s="99">
        <f ca="1">ROUND(VLOOKUP(1,enemy_base_stats!$A:$F,4,FALSE) * AA507*L507*Q507*G507*U507*AF507*[2]ステータス!$D$2,0)</f>
        <v>0</v>
      </c>
      <c r="AJ507" s="99">
        <f ca="1">ROUND(VLOOKUP(100,enemy_base_stats!$A:$F,2,FALSE) * Y507* J507*O507*E507*S507*AD507*[2]ステータス!$B$2,0)</f>
        <v>124033</v>
      </c>
      <c r="AK507" s="99">
        <f ca="1">ROUND(VLOOKUP(100,enemy_base_stats!$A:$F,3,FALSE)* Z507* K507*P507*F507*T507*AE507 * W507*[2]ステータス!$C$2,0)</f>
        <v>13281</v>
      </c>
      <c r="AL507" s="99">
        <f ca="1">ROUND(VLOOKUP(100,enemy_base_stats!$A:$F,4,FALSE)* AA507* L507*Q507*G507*U507*AF507*[2]ステータス!$D$2,0)</f>
        <v>0</v>
      </c>
      <c r="AM507" s="97">
        <f ca="1">VLOOKUP(M507,[2]character_tribe_i18n!$A:$I,9,FALSE)</f>
        <v>400</v>
      </c>
      <c r="AN507" s="97">
        <v>0</v>
      </c>
      <c r="AO507" s="98">
        <v>0</v>
      </c>
      <c r="AP507" s="58" t="s">
        <v>72</v>
      </c>
      <c r="AQ507" s="34">
        <f t="shared" ca="1" si="25"/>
        <v>506</v>
      </c>
    </row>
    <row r="508" spans="1:43" ht="21" customHeight="1" x14ac:dyDescent="0.15">
      <c r="A508" s="7">
        <f t="shared" ca="1" si="19"/>
        <v>507</v>
      </c>
      <c r="B508" s="6" t="str">
        <f ca="1">VLOOKUP(A508,[2]characters!$A:$C,3,FALSE)</f>
        <v>過保護な幽閉者 ゴーテル</v>
      </c>
      <c r="C508" s="9">
        <f ca="1">VLOOKUP(A508,[2]characters!$A:$I,9,FALSE)</f>
        <v>5</v>
      </c>
      <c r="D508" s="9" t="str">
        <f ca="1">VLOOKUP(A508,[2]characters!$A:$H,8,FALSE)</f>
        <v>blue</v>
      </c>
      <c r="E508" s="97">
        <f ca="1">VLOOKUP(D508,[2]属性!$A:$E,2,FALSE)</f>
        <v>1</v>
      </c>
      <c r="F508" s="97">
        <f ca="1">VLOOKUP(D508,[2]属性!$A:$E,3,FALSE)</f>
        <v>0.98</v>
      </c>
      <c r="G508" s="97">
        <f ca="1">VLOOKUP(D508,[2]属性!$A:$F,4,FALSE)</f>
        <v>1</v>
      </c>
      <c r="H508" s="9" t="str">
        <f ca="1">VLOOKUP(A508,[2]characters!$A:$K,11,FALSE)</f>
        <v>technical</v>
      </c>
      <c r="I508" s="6" t="str">
        <f ca="1">VLOOKUP(H508,[2]character_type_i18n!$A:$F,3,FALSE)</f>
        <v>テクニカルタイプ</v>
      </c>
      <c r="J508" s="103">
        <v>1</v>
      </c>
      <c r="K508" s="103">
        <v>1.33</v>
      </c>
      <c r="L508" s="103">
        <v>1</v>
      </c>
      <c r="M508" s="9" t="str">
        <f ca="1">VLOOKUP(A508,[2]characters!$A:$M,13,FALSE)</f>
        <v>human</v>
      </c>
      <c r="N508" s="6" t="str">
        <f ca="1">VLOOKUP(M508,[2]character_tribe_i18n!$A:$F,3,FALSE)</f>
        <v>ヒューマン</v>
      </c>
      <c r="O508" s="97">
        <f ca="1">VLOOKUP(M508,[2]character_tribe_i18n!$A:$F,4,FALSE)</f>
        <v>0.94</v>
      </c>
      <c r="P508" s="97">
        <f ca="1">VLOOKUP(M508,[2]character_tribe_i18n!$A:$F,5,FALSE)</f>
        <v>0.99</v>
      </c>
      <c r="Q508" s="97">
        <f ca="1">VLOOKUP(M508,[2]character_tribe_i18n!$A:$F,6,FALSE)</f>
        <v>1</v>
      </c>
      <c r="R508" s="98" t="s">
        <v>98</v>
      </c>
      <c r="S508" s="97">
        <f>VLOOKUP($R508,ラベル別係数!$A$1:$E$7,3,FALSE)</f>
        <v>5</v>
      </c>
      <c r="T508" s="97">
        <f>VLOOKUP($R508,ラベル別係数!$A$1:$E$7,4,FALSE)</f>
        <v>1.3</v>
      </c>
      <c r="U508" s="97">
        <f>VLOOKUP($R508,ラベル別係数!$A$1:$E$7,5,FALSE)</f>
        <v>0.8</v>
      </c>
      <c r="V508" s="98">
        <v>3</v>
      </c>
      <c r="W508" s="99">
        <f>VLOOKUP(V508,ターン数別攻撃係数!$A$1:$B$1000,2,FALSE)</f>
        <v>1</v>
      </c>
      <c r="X508" s="9">
        <f ca="1">VLOOKUP(C508,サイズ別係数!A$2:B$9,2,FALSE)</f>
        <v>60</v>
      </c>
      <c r="Y508" s="97">
        <f ca="1">VLOOKUP($X508,サイズ別係数!$B:$E,2,FALSE)</f>
        <v>1.7</v>
      </c>
      <c r="Z508" s="97">
        <f ca="1">VLOOKUP($X508,サイズ別係数!$B:$E,3,FALSE)</f>
        <v>1.4</v>
      </c>
      <c r="AA508" s="97">
        <f ca="1">VLOOKUP($X508,サイズ別係数!$B:$E,4,FALSE)</f>
        <v>1</v>
      </c>
      <c r="AB508" s="10">
        <v>0</v>
      </c>
      <c r="AC508" s="6" t="str">
        <f ca="1">VLOOKUP($AB508,OFFSET([3]enemy_skill_sets!$B$2,0,0,COUNTA([3]enemy_skill_sets!$A:$A),MATCH(AC$1,[3]enemy_skill_sets!$1:$1,0)-MATCH($AB$1,[3]enemy_skill_sets!$1:$1,0)+1),MATCH(AC$1,[3]enemy_skill_sets!$1:$1,0)-MATCH($AB$1,[3]enemy_skill_sets!$1:$1,0)+1,FALSE)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8" s="67">
        <v>1</v>
      </c>
      <c r="AE508" s="67">
        <v>1</v>
      </c>
      <c r="AF508" s="98">
        <v>0</v>
      </c>
      <c r="AG508" s="99">
        <f ca="1">ROUND(VLOOKUP(1,enemy_base_stats!$A:$F,2,FALSE) * Y508* J508*O508*E508*S508*AD508*[2]ステータス!$B$2,0)</f>
        <v>3995</v>
      </c>
      <c r="AH508" s="99">
        <f ca="1">ROUND(VLOOKUP(1,enemy_base_stats!$A:$F,3,FALSE) * Z508*K508*P508*F508*T508*AE508 * W508*[2]ステータス!$C$2,0)</f>
        <v>352</v>
      </c>
      <c r="AI508" s="99">
        <f ca="1">ROUND(VLOOKUP(1,enemy_base_stats!$A:$F,4,FALSE) * AA508*L508*Q508*G508*U508*AF508*[2]ステータス!$D$2,0)</f>
        <v>0</v>
      </c>
      <c r="AJ508" s="99">
        <f ca="1">ROUND(VLOOKUP(100,enemy_base_stats!$A:$F,2,FALSE) * Y508* J508*O508*E508*S508*AD508*[2]ステータス!$B$2,0)</f>
        <v>162197</v>
      </c>
      <c r="AK508" s="99">
        <f ca="1">ROUND(VLOOKUP(100,enemy_base_stats!$A:$F,3,FALSE)* Z508* K508*P508*F508*T508*AE508 * W508*[2]ステータス!$C$2,0)</f>
        <v>14302</v>
      </c>
      <c r="AL508" s="99">
        <f ca="1">ROUND(VLOOKUP(100,enemy_base_stats!$A:$F,4,FALSE)* AA508* L508*Q508*G508*U508*AF508*[2]ステータス!$D$2,0)</f>
        <v>0</v>
      </c>
      <c r="AM508" s="97">
        <f ca="1">VLOOKUP(M508,[2]character_tribe_i18n!$A:$I,9,FALSE)</f>
        <v>400</v>
      </c>
      <c r="AN508" s="97">
        <v>0</v>
      </c>
      <c r="AO508" s="98">
        <v>0</v>
      </c>
      <c r="AP508" s="58" t="s">
        <v>72</v>
      </c>
      <c r="AQ508" s="34">
        <f t="shared" ca="1" si="25"/>
        <v>507</v>
      </c>
    </row>
    <row r="509" spans="1:43" ht="21" customHeight="1" x14ac:dyDescent="0.15">
      <c r="A509" s="7">
        <f t="shared" ca="1" si="19"/>
        <v>508</v>
      </c>
      <c r="B509" s="6" t="str">
        <f ca="1">VLOOKUP(A509,[2]characters!$A:$C,3,FALSE)</f>
        <v>Gスター・チルドレン</v>
      </c>
      <c r="C509" s="9">
        <f ca="1">VLOOKUP(A509,[2]characters!$A:$I,9,FALSE)</f>
        <v>4</v>
      </c>
      <c r="D509" s="9" t="str">
        <f ca="1">VLOOKUP(A509,[2]characters!$A:$H,8,FALSE)</f>
        <v>yellow</v>
      </c>
      <c r="E509" s="97">
        <f ca="1">VLOOKUP(D509,[2]属性!$A:$E,2,FALSE)</f>
        <v>0.98</v>
      </c>
      <c r="F509" s="97">
        <f ca="1">VLOOKUP(D509,[2]属性!$A:$E,3,FALSE)</f>
        <v>1.01</v>
      </c>
      <c r="G509" s="97">
        <f ca="1">VLOOKUP(D509,[2]属性!$A:$F,4,FALSE)</f>
        <v>1</v>
      </c>
      <c r="H509" s="9" t="str">
        <f ca="1">VLOOKUP(A509,[2]characters!$A:$K,11,FALSE)</f>
        <v>hp</v>
      </c>
      <c r="I509" s="6" t="str">
        <f ca="1">VLOOKUP(H509,[2]character_type_i18n!$A:$F,3,FALSE)</f>
        <v>体力タイプ</v>
      </c>
      <c r="J509" s="103">
        <v>1</v>
      </c>
      <c r="K509" s="103">
        <v>1.33</v>
      </c>
      <c r="L509" s="103">
        <v>1</v>
      </c>
      <c r="M509" s="9" t="str">
        <f ca="1">VLOOKUP(A509,[2]characters!$A:$M,13,FALSE)</f>
        <v>unknown</v>
      </c>
      <c r="N509" s="6" t="str">
        <f ca="1">VLOOKUP(M509,[2]character_tribe_i18n!$A:$F,3,FALSE)</f>
        <v>Unknown</v>
      </c>
      <c r="O509" s="103">
        <v>0.94</v>
      </c>
      <c r="P509" s="103">
        <v>0.99</v>
      </c>
      <c r="Q509" s="103">
        <v>1</v>
      </c>
      <c r="R509" s="98" t="s">
        <v>98</v>
      </c>
      <c r="S509" s="97">
        <f>VLOOKUP($R509,ラベル別係数!$A$1:$E$7,3,FALSE)</f>
        <v>5</v>
      </c>
      <c r="T509" s="97">
        <f>VLOOKUP($R509,ラベル別係数!$A$1:$E$7,4,FALSE)</f>
        <v>1.3</v>
      </c>
      <c r="U509" s="97">
        <f>VLOOKUP($R509,ラベル別係数!$A$1:$E$7,5,FALSE)</f>
        <v>0.8</v>
      </c>
      <c r="V509" s="98">
        <v>3</v>
      </c>
      <c r="W509" s="99">
        <f>VLOOKUP(V509,ターン数別攻撃係数!$A$1:$B$1000,2,FALSE)</f>
        <v>1</v>
      </c>
      <c r="X509" s="9">
        <f ca="1">VLOOKUP(C509,サイズ別係数!A$2:B$9,2,FALSE)</f>
        <v>30</v>
      </c>
      <c r="Y509" s="97">
        <f ca="1">VLOOKUP($X509,サイズ別係数!$B:$E,2,FALSE)</f>
        <v>1.3</v>
      </c>
      <c r="Z509" s="97">
        <f ca="1">VLOOKUP($X509,サイズ別係数!$B:$E,3,FALSE)</f>
        <v>1.3</v>
      </c>
      <c r="AA509" s="97">
        <f ca="1">VLOOKUP($X509,サイズ別係数!$B:$E,4,FALSE)</f>
        <v>1.1000000000000001</v>
      </c>
      <c r="AB509" s="10">
        <v>0</v>
      </c>
      <c r="AC509" s="6" t="str">
        <f ca="1">VLOOKUP($AB509,OFFSET([3]enemy_skill_sets!$B$2,0,0,COUNTA([3]enemy_skill_sets!$A:$A),MATCH(AC$1,[3]enemy_skill_sets!$1:$1,0)-MATCH($AB$1,[3]enemy_skill_sets!$1:$1,0)+1),MATCH(AC$1,[3]enemy_skill_sets!$1:$1,0)-MATCH($AB$1,[3]enemy_skill_sets!$1:$1,0)+1,FALSE)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09" s="67">
        <v>1</v>
      </c>
      <c r="AE509" s="67">
        <v>1</v>
      </c>
      <c r="AF509" s="98">
        <v>0</v>
      </c>
      <c r="AG509" s="99">
        <f ca="1">ROUND(VLOOKUP(1,enemy_base_stats!$A:$F,2,FALSE) * Y509* J509*O509*E509*S509*AD509*[2]ステータス!$B$2,0)</f>
        <v>2994</v>
      </c>
      <c r="AH509" s="99">
        <f ca="1">ROUND(VLOOKUP(1,enemy_base_stats!$A:$F,3,FALSE) * Z509*K509*P509*F509*T509*AE509 * W509*[2]ステータス!$C$2,0)</f>
        <v>337</v>
      </c>
      <c r="AI509" s="99">
        <f ca="1">ROUND(VLOOKUP(1,enemy_base_stats!$A:$F,4,FALSE) * AA509*L509*Q509*G509*U509*AF509*[2]ステータス!$D$2,0)</f>
        <v>0</v>
      </c>
      <c r="AJ509" s="99">
        <f ca="1">ROUND(VLOOKUP(100,enemy_base_stats!$A:$F,2,FALSE) * Y509* J509*O509*E509*S509*AD509*[2]ステータス!$B$2,0)</f>
        <v>121552</v>
      </c>
      <c r="AK509" s="99">
        <f ca="1">ROUND(VLOOKUP(100,enemy_base_stats!$A:$F,3,FALSE)* Z509* K509*P509*F509*T509*AE509 * W509*[2]ステータス!$C$2,0)</f>
        <v>13687</v>
      </c>
      <c r="AL509" s="99">
        <f ca="1">ROUND(VLOOKUP(100,enemy_base_stats!$A:$F,4,FALSE)* AA509* L509*Q509*G509*U509*AF509*[2]ステータス!$D$2,0)</f>
        <v>0</v>
      </c>
      <c r="AM509" s="102">
        <v>1000</v>
      </c>
      <c r="AN509" s="97">
        <v>0</v>
      </c>
      <c r="AO509" s="98">
        <v>0</v>
      </c>
      <c r="AP509" s="58" t="s">
        <v>72</v>
      </c>
      <c r="AQ509" s="34">
        <f t="shared" ca="1" si="25"/>
        <v>508</v>
      </c>
    </row>
    <row r="510" spans="1:43" ht="21" customHeight="1" x14ac:dyDescent="0.15">
      <c r="A510" s="7">
        <f t="shared" ca="1" si="19"/>
        <v>509</v>
      </c>
      <c r="B510" s="6" t="str">
        <f ca="1">VLOOKUP(A510,[2]characters!$A:$C,3,FALSE)</f>
        <v>純粋悪意 Gスター・チルドレン</v>
      </c>
      <c r="C510" s="9">
        <f ca="1">VLOOKUP(A510,[2]characters!$A:$I,9,FALSE)</f>
        <v>5</v>
      </c>
      <c r="D510" s="9" t="str">
        <f ca="1">VLOOKUP(A510,[2]characters!$A:$H,8,FALSE)</f>
        <v>yellow</v>
      </c>
      <c r="E510" s="97">
        <f ca="1">VLOOKUP(D510,[2]属性!$A:$E,2,FALSE)</f>
        <v>0.98</v>
      </c>
      <c r="F510" s="97">
        <f ca="1">VLOOKUP(D510,[2]属性!$A:$E,3,FALSE)</f>
        <v>1.01</v>
      </c>
      <c r="G510" s="97">
        <f ca="1">VLOOKUP(D510,[2]属性!$A:$F,4,FALSE)</f>
        <v>1</v>
      </c>
      <c r="H510" s="9" t="str">
        <f ca="1">VLOOKUP(A510,[2]characters!$A:$K,11,FALSE)</f>
        <v>hp</v>
      </c>
      <c r="I510" s="6" t="str">
        <f ca="1">VLOOKUP(H510,[2]character_type_i18n!$A:$F,3,FALSE)</f>
        <v>体力タイプ</v>
      </c>
      <c r="J510" s="103">
        <v>1</v>
      </c>
      <c r="K510" s="103">
        <v>1.33</v>
      </c>
      <c r="L510" s="103">
        <v>1</v>
      </c>
      <c r="M510" s="9" t="str">
        <f ca="1">VLOOKUP(A510,[2]characters!$A:$M,13,FALSE)</f>
        <v>unknown</v>
      </c>
      <c r="N510" s="6" t="str">
        <f ca="1">VLOOKUP(M510,[2]character_tribe_i18n!$A:$F,3,FALSE)</f>
        <v>Unknown</v>
      </c>
      <c r="O510" s="103">
        <v>0.94</v>
      </c>
      <c r="P510" s="103">
        <v>0.99</v>
      </c>
      <c r="Q510" s="103">
        <v>1</v>
      </c>
      <c r="R510" s="98" t="s">
        <v>98</v>
      </c>
      <c r="S510" s="97">
        <f>VLOOKUP($R510,ラベル別係数!$A$1:$E$7,3,FALSE)</f>
        <v>5</v>
      </c>
      <c r="T510" s="97">
        <f>VLOOKUP($R510,ラベル別係数!$A$1:$E$7,4,FALSE)</f>
        <v>1.3</v>
      </c>
      <c r="U510" s="97">
        <f>VLOOKUP($R510,ラベル別係数!$A$1:$E$7,5,FALSE)</f>
        <v>0.8</v>
      </c>
      <c r="V510" s="98">
        <v>3</v>
      </c>
      <c r="W510" s="99">
        <f>VLOOKUP(V510,ターン数別攻撃係数!$A$1:$B$1000,2,FALSE)</f>
        <v>1</v>
      </c>
      <c r="X510" s="9">
        <f ca="1">VLOOKUP(C510,サイズ別係数!A$2:B$9,2,FALSE)</f>
        <v>60</v>
      </c>
      <c r="Y510" s="97">
        <f ca="1">VLOOKUP($X510,サイズ別係数!$B:$E,2,FALSE)</f>
        <v>1.7</v>
      </c>
      <c r="Z510" s="97">
        <f ca="1">VLOOKUP($X510,サイズ別係数!$B:$E,3,FALSE)</f>
        <v>1.4</v>
      </c>
      <c r="AA510" s="97">
        <f ca="1">VLOOKUP($X510,サイズ別係数!$B:$E,4,FALSE)</f>
        <v>1</v>
      </c>
      <c r="AB510" s="10">
        <v>0</v>
      </c>
      <c r="AC510" s="6" t="str">
        <f ca="1">VLOOKUP($AB510,OFFSET([3]enemy_skill_sets!$B$2,0,0,COUNTA([3]enemy_skill_sets!$A:$A),MATCH(AC$1,[3]enemy_skill_sets!$1:$1,0)-MATCH($AB$1,[3]enemy_skill_sets!$1:$1,0)+1),MATCH(AC$1,[3]enemy_skill_sets!$1:$1,0)-MATCH($AB$1,[3]enemy_skill_sets!$1:$1,0)+1,FALSE)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0" s="67">
        <v>1</v>
      </c>
      <c r="AE510" s="67">
        <v>1</v>
      </c>
      <c r="AF510" s="98">
        <v>0</v>
      </c>
      <c r="AG510" s="99">
        <f ca="1">ROUND(VLOOKUP(1,enemy_base_stats!$A:$F,2,FALSE) * Y510* J510*O510*E510*S510*AD510*[2]ステータス!$B$2,0)</f>
        <v>3915</v>
      </c>
      <c r="AH510" s="99">
        <f ca="1">ROUND(VLOOKUP(1,enemy_base_stats!$A:$F,3,FALSE) * Z510*K510*P510*F510*T510*AE510 * W510*[2]ステータス!$C$2,0)</f>
        <v>363</v>
      </c>
      <c r="AI510" s="99">
        <f ca="1">ROUND(VLOOKUP(1,enemy_base_stats!$A:$F,4,FALSE) * AA510*L510*Q510*G510*U510*AF510*[2]ステータス!$D$2,0)</f>
        <v>0</v>
      </c>
      <c r="AJ510" s="99">
        <f ca="1">ROUND(VLOOKUP(100,enemy_base_stats!$A:$F,2,FALSE) * Y510* J510*O510*E510*S510*AD510*[2]ステータス!$B$2,0)</f>
        <v>158953</v>
      </c>
      <c r="AK510" s="99">
        <f ca="1">ROUND(VLOOKUP(100,enemy_base_stats!$A:$F,3,FALSE)* Z510* K510*P510*F510*T510*AE510 * W510*[2]ステータス!$C$2,0)</f>
        <v>14740</v>
      </c>
      <c r="AL510" s="99">
        <f ca="1">ROUND(VLOOKUP(100,enemy_base_stats!$A:$F,4,FALSE)* AA510* L510*Q510*G510*U510*AF510*[2]ステータス!$D$2,0)</f>
        <v>0</v>
      </c>
      <c r="AM510" s="102">
        <v>1000</v>
      </c>
      <c r="AN510" s="97">
        <v>0</v>
      </c>
      <c r="AO510" s="98">
        <v>0</v>
      </c>
      <c r="AP510" s="58" t="s">
        <v>72</v>
      </c>
      <c r="AQ510" s="34">
        <f t="shared" ca="1" si="25"/>
        <v>509</v>
      </c>
    </row>
    <row r="511" spans="1:43" ht="21" customHeight="1" x14ac:dyDescent="0.15">
      <c r="A511" s="7">
        <f t="shared" ca="1" si="19"/>
        <v>510</v>
      </c>
      <c r="B511" s="6" t="str">
        <f ca="1">VLOOKUP(A511,[2]characters!$A:$C,3,FALSE)</f>
        <v>燃えさかる豪息 ヒュウガ</v>
      </c>
      <c r="C511" s="9">
        <f ca="1">VLOOKUP(A511,[2]characters!$A:$I,9,FALSE)</f>
        <v>4</v>
      </c>
      <c r="D511" s="9" t="str">
        <f ca="1">VLOOKUP(A511,[2]characters!$A:$H,8,FALSE)</f>
        <v>red</v>
      </c>
      <c r="E511" s="97">
        <f ca="1">VLOOKUP(D511,[2]属性!$A:$E,2,FALSE)</f>
        <v>1</v>
      </c>
      <c r="F511" s="97">
        <f ca="1">VLOOKUP(D511,[2]属性!$A:$E,3,FALSE)</f>
        <v>1.02</v>
      </c>
      <c r="G511" s="97">
        <f ca="1">VLOOKUP(D511,[2]属性!$A:$F,4,FALSE)</f>
        <v>1</v>
      </c>
      <c r="H511" s="9" t="str">
        <f ca="1">VLOOKUP(A511,[2]characters!$A:$K,11,FALSE)</f>
        <v>attack</v>
      </c>
      <c r="I511" s="6" t="str">
        <f ca="1">VLOOKUP(H511,[2]character_type_i18n!$A:$F,3,FALSE)</f>
        <v>攻撃タイプ</v>
      </c>
      <c r="J511" s="97">
        <f ca="1">VLOOKUP(H511,[2]character_type_i18n!$A:$F,4,FALSE)</f>
        <v>1</v>
      </c>
      <c r="K511" s="97">
        <f ca="1">VLOOKUP(H511,[2]character_type_i18n!$A:$F,5,FALSE)</f>
        <v>1.33</v>
      </c>
      <c r="L511" s="97">
        <f ca="1">VLOOKUP(H511,[2]character_type_i18n!$A:$F,6,FALSE)</f>
        <v>1</v>
      </c>
      <c r="M511" s="9" t="str">
        <f ca="1">VLOOKUP(A511,[2]characters!$A:$M,13,FALSE)</f>
        <v>dragon</v>
      </c>
      <c r="N511" s="6" t="str">
        <f ca="1">VLOOKUP(M511,[2]character_tribe_i18n!$A:$F,3,FALSE)</f>
        <v>ドラゴン</v>
      </c>
      <c r="O511" s="97">
        <f ca="1">VLOOKUP(M511,[2]character_tribe_i18n!$A:$F,4,FALSE)</f>
        <v>1.1499999999999999</v>
      </c>
      <c r="P511" s="97">
        <f ca="1">VLOOKUP(M511,[2]character_tribe_i18n!$A:$F,5,FALSE)</f>
        <v>1.1000000000000001</v>
      </c>
      <c r="Q511" s="97">
        <f ca="1">VLOOKUP(M511,[2]character_tribe_i18n!$A:$F,6,FALSE)</f>
        <v>1</v>
      </c>
      <c r="R511" s="98" t="s">
        <v>98</v>
      </c>
      <c r="S511" s="97">
        <f>VLOOKUP($R511,ラベル別係数!$A$1:$E$7,3,FALSE)</f>
        <v>5</v>
      </c>
      <c r="T511" s="97">
        <f>VLOOKUP($R511,ラベル別係数!$A$1:$E$7,4,FALSE)</f>
        <v>1.3</v>
      </c>
      <c r="U511" s="97">
        <f>VLOOKUP($R511,ラベル別係数!$A$1:$E$7,5,FALSE)</f>
        <v>0.8</v>
      </c>
      <c r="V511" s="98">
        <v>3</v>
      </c>
      <c r="W511" s="99">
        <f>VLOOKUP(V511,ターン数別攻撃係数!$A$1:$B$1000,2,FALSE)</f>
        <v>1</v>
      </c>
      <c r="X511" s="9">
        <f ca="1">VLOOKUP(C511,サイズ別係数!A$2:B$9,2,FALSE)</f>
        <v>30</v>
      </c>
      <c r="Y511" s="97">
        <f ca="1">VLOOKUP($X511,サイズ別係数!$B:$E,2,FALSE)</f>
        <v>1.3</v>
      </c>
      <c r="Z511" s="97">
        <f ca="1">VLOOKUP($X511,サイズ別係数!$B:$E,3,FALSE)</f>
        <v>1.3</v>
      </c>
      <c r="AA511" s="97">
        <f ca="1">VLOOKUP($X511,サイズ別係数!$B:$E,4,FALSE)</f>
        <v>1.1000000000000001</v>
      </c>
      <c r="AB511" s="10">
        <v>0</v>
      </c>
      <c r="AC511" s="6" t="str">
        <f ca="1">VLOOKUP($AB511,OFFSET([3]enemy_skill_sets!$B$2,0,0,COUNTA([3]enemy_skill_sets!$A:$A),MATCH(AC$1,[3]enemy_skill_sets!$1:$1,0)-MATCH($AB$1,[3]enemy_skill_sets!$1:$1,0)+1),MATCH(AC$1,[3]enemy_skill_sets!$1:$1,0)-MATCH($AB$1,[3]enemy_skill_sets!$1:$1,0)+1,FALSE)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1" s="67">
        <v>1</v>
      </c>
      <c r="AE511" s="67">
        <v>1</v>
      </c>
      <c r="AF511" s="98">
        <v>0</v>
      </c>
      <c r="AG511" s="99">
        <f ca="1">ROUND(VLOOKUP(1,enemy_base_stats!$A:$F,2,FALSE) * Y511* J511*O511*E511*S511*AD511*[2]ステータス!$B$2,0)</f>
        <v>3738</v>
      </c>
      <c r="AH511" s="99">
        <f ca="1">ROUND(VLOOKUP(1,enemy_base_stats!$A:$F,3,FALSE) * Z511*K511*P511*F511*T511*AE511 * W511*[2]ステータス!$C$2,0)</f>
        <v>378</v>
      </c>
      <c r="AI511" s="99">
        <f ca="1">ROUND(VLOOKUP(1,enemy_base_stats!$A:$F,4,FALSE) * AA511*L511*Q511*G511*U511*AF511*[2]ステータス!$D$2,0)</f>
        <v>0</v>
      </c>
      <c r="AJ511" s="99">
        <f ca="1">ROUND(VLOOKUP(100,enemy_base_stats!$A:$F,2,FALSE) * Y511* J511*O511*E511*S511*AD511*[2]ステータス!$B$2,0)</f>
        <v>151743</v>
      </c>
      <c r="AK511" s="99">
        <f ca="1">ROUND(VLOOKUP(100,enemy_base_stats!$A:$F,3,FALSE)* Z511* K511*P511*F511*T511*AE511 * W511*[2]ステータス!$C$2,0)</f>
        <v>15358</v>
      </c>
      <c r="AL511" s="99">
        <f ca="1">ROUND(VLOOKUP(100,enemy_base_stats!$A:$F,4,FALSE)* AA511* L511*Q511*G511*U511*AF511*[2]ステータス!$D$2,0)</f>
        <v>0</v>
      </c>
      <c r="AM511" s="97">
        <f ca="1">VLOOKUP(M511,[2]character_tribe_i18n!$A:$I,9,FALSE)</f>
        <v>540</v>
      </c>
      <c r="AN511" s="97">
        <v>0</v>
      </c>
      <c r="AO511" s="98">
        <v>0</v>
      </c>
      <c r="AP511" s="58" t="s">
        <v>72</v>
      </c>
      <c r="AQ511" s="34">
        <f t="shared" ca="1" si="25"/>
        <v>510</v>
      </c>
    </row>
    <row r="512" spans="1:43" ht="21" customHeight="1" x14ac:dyDescent="0.15">
      <c r="A512" s="7">
        <f t="shared" ca="1" si="19"/>
        <v>511</v>
      </c>
      <c r="B512" s="6" t="str">
        <f ca="1">VLOOKUP(A512,[2]characters!$A:$C,3,FALSE)</f>
        <v>灼き尽くす紅息 ヒュウガ・レアル</v>
      </c>
      <c r="C512" s="9">
        <f ca="1">VLOOKUP(A512,[2]characters!$A:$I,9,FALSE)</f>
        <v>5</v>
      </c>
      <c r="D512" s="9" t="str">
        <f ca="1">VLOOKUP(A512,[2]characters!$A:$H,8,FALSE)</f>
        <v>red</v>
      </c>
      <c r="E512" s="97">
        <f ca="1">VLOOKUP(D512,[2]属性!$A:$E,2,FALSE)</f>
        <v>1</v>
      </c>
      <c r="F512" s="97">
        <f ca="1">VLOOKUP(D512,[2]属性!$A:$E,3,FALSE)</f>
        <v>1.02</v>
      </c>
      <c r="G512" s="97">
        <f ca="1">VLOOKUP(D512,[2]属性!$A:$F,4,FALSE)</f>
        <v>1</v>
      </c>
      <c r="H512" s="9" t="str">
        <f ca="1">VLOOKUP(A512,[2]characters!$A:$K,11,FALSE)</f>
        <v>attack</v>
      </c>
      <c r="I512" s="6" t="str">
        <f ca="1">VLOOKUP(H512,[2]character_type_i18n!$A:$F,3,FALSE)</f>
        <v>攻撃タイプ</v>
      </c>
      <c r="J512" s="97">
        <f ca="1">VLOOKUP(H512,[2]character_type_i18n!$A:$F,4,FALSE)</f>
        <v>1</v>
      </c>
      <c r="K512" s="97">
        <f ca="1">VLOOKUP(H512,[2]character_type_i18n!$A:$F,5,FALSE)</f>
        <v>1.33</v>
      </c>
      <c r="L512" s="97">
        <f ca="1">VLOOKUP(H512,[2]character_type_i18n!$A:$F,6,FALSE)</f>
        <v>1</v>
      </c>
      <c r="M512" s="9" t="str">
        <f ca="1">VLOOKUP(A512,[2]characters!$A:$M,13,FALSE)</f>
        <v>dragon</v>
      </c>
      <c r="N512" s="6" t="str">
        <f ca="1">VLOOKUP(M512,[2]character_tribe_i18n!$A:$F,3,FALSE)</f>
        <v>ドラゴン</v>
      </c>
      <c r="O512" s="97">
        <f ca="1">VLOOKUP(M512,[2]character_tribe_i18n!$A:$F,4,FALSE)</f>
        <v>1.1499999999999999</v>
      </c>
      <c r="P512" s="97">
        <f ca="1">VLOOKUP(M512,[2]character_tribe_i18n!$A:$F,5,FALSE)</f>
        <v>1.1000000000000001</v>
      </c>
      <c r="Q512" s="97">
        <f ca="1">VLOOKUP(M512,[2]character_tribe_i18n!$A:$F,6,FALSE)</f>
        <v>1</v>
      </c>
      <c r="R512" s="98" t="s">
        <v>98</v>
      </c>
      <c r="S512" s="97">
        <f>VLOOKUP($R512,ラベル別係数!$A$1:$E$7,3,FALSE)</f>
        <v>5</v>
      </c>
      <c r="T512" s="97">
        <f>VLOOKUP($R512,ラベル別係数!$A$1:$E$7,4,FALSE)</f>
        <v>1.3</v>
      </c>
      <c r="U512" s="97">
        <f>VLOOKUP($R512,ラベル別係数!$A$1:$E$7,5,FALSE)</f>
        <v>0.8</v>
      </c>
      <c r="V512" s="98">
        <v>3</v>
      </c>
      <c r="W512" s="99">
        <f>VLOOKUP(V512,ターン数別攻撃係数!$A$1:$B$1000,2,FALSE)</f>
        <v>1</v>
      </c>
      <c r="X512" s="9">
        <f ca="1">VLOOKUP(C512,サイズ別係数!A$2:B$9,2,FALSE)</f>
        <v>60</v>
      </c>
      <c r="Y512" s="97">
        <f ca="1">VLOOKUP($X512,サイズ別係数!$B:$E,2,FALSE)</f>
        <v>1.7</v>
      </c>
      <c r="Z512" s="97">
        <f ca="1">VLOOKUP($X512,サイズ別係数!$B:$E,3,FALSE)</f>
        <v>1.4</v>
      </c>
      <c r="AA512" s="97">
        <f ca="1">VLOOKUP($X512,サイズ別係数!$B:$E,4,FALSE)</f>
        <v>1</v>
      </c>
      <c r="AB512" s="10">
        <v>0</v>
      </c>
      <c r="AC512" s="6" t="str">
        <f ca="1">VLOOKUP($AB512,OFFSET([3]enemy_skill_sets!$B$2,0,0,COUNTA([3]enemy_skill_sets!$A:$A),MATCH(AC$1,[3]enemy_skill_sets!$1:$1,0)-MATCH($AB$1,[3]enemy_skill_sets!$1:$1,0)+1),MATCH(AC$1,[3]enemy_skill_sets!$1:$1,0)-MATCH($AB$1,[3]enemy_skill_sets!$1:$1,0)+1,FALSE)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2" s="67">
        <v>1</v>
      </c>
      <c r="AE512" s="67">
        <v>1</v>
      </c>
      <c r="AF512" s="98">
        <v>0</v>
      </c>
      <c r="AG512" s="99">
        <f ca="1">ROUND(VLOOKUP(1,enemy_base_stats!$A:$F,2,FALSE) * Y512* J512*O512*E512*S512*AD512*[2]ステータス!$B$2,0)</f>
        <v>4888</v>
      </c>
      <c r="AH512" s="99">
        <f ca="1">ROUND(VLOOKUP(1,enemy_base_stats!$A:$F,3,FALSE) * Z512*K512*P512*F512*T512*AE512 * W512*[2]ステータス!$C$2,0)</f>
        <v>407</v>
      </c>
      <c r="AI512" s="99">
        <f ca="1">ROUND(VLOOKUP(1,enemy_base_stats!$A:$F,4,FALSE) * AA512*L512*Q512*G512*U512*AF512*[2]ステータス!$D$2,0)</f>
        <v>0</v>
      </c>
      <c r="AJ512" s="99">
        <f ca="1">ROUND(VLOOKUP(100,enemy_base_stats!$A:$F,2,FALSE) * Y512* J512*O512*E512*S512*AD512*[2]ステータス!$B$2,0)</f>
        <v>198433</v>
      </c>
      <c r="AK512" s="99">
        <f ca="1">ROUND(VLOOKUP(100,enemy_base_stats!$A:$F,3,FALSE)* Z512* K512*P512*F512*T512*AE512 * W512*[2]ステータス!$C$2,0)</f>
        <v>16540</v>
      </c>
      <c r="AL512" s="99">
        <f ca="1">ROUND(VLOOKUP(100,enemy_base_stats!$A:$F,4,FALSE)* AA512* L512*Q512*G512*U512*AF512*[2]ステータス!$D$2,0)</f>
        <v>0</v>
      </c>
      <c r="AM512" s="97">
        <f ca="1">VLOOKUP(M512,[2]character_tribe_i18n!$A:$I,9,FALSE)</f>
        <v>540</v>
      </c>
      <c r="AN512" s="97">
        <v>0</v>
      </c>
      <c r="AO512" s="98">
        <v>0</v>
      </c>
      <c r="AP512" s="58" t="s">
        <v>72</v>
      </c>
      <c r="AQ512" s="34">
        <f t="shared" ref="AQ512:AQ524" ca="1" si="26">A512</f>
        <v>511</v>
      </c>
    </row>
    <row r="513" spans="1:43" ht="21" customHeight="1" x14ac:dyDescent="0.15">
      <c r="A513" s="7">
        <f t="shared" ca="1" si="19"/>
        <v>512</v>
      </c>
      <c r="B513" s="6" t="str">
        <f ca="1">VLOOKUP(A513,[2]characters!$A:$C,3,FALSE)</f>
        <v>聖火の逆徒 クリスマス・ベリアル</v>
      </c>
      <c r="C513" s="9">
        <f ca="1">VLOOKUP(A513,[2]characters!$A:$I,9,FALSE)</f>
        <v>4</v>
      </c>
      <c r="D513" s="9" t="str">
        <f ca="1">VLOOKUP(A513,[2]characters!$A:$H,8,FALSE)</f>
        <v>red</v>
      </c>
      <c r="E513" s="97">
        <f ca="1">VLOOKUP(D513,[2]属性!$A:$E,2,FALSE)</f>
        <v>1</v>
      </c>
      <c r="F513" s="97">
        <f ca="1">VLOOKUP(D513,[2]属性!$A:$E,3,FALSE)</f>
        <v>1.02</v>
      </c>
      <c r="G513" s="97">
        <f ca="1">VLOOKUP(D513,[2]属性!$A:$F,4,FALSE)</f>
        <v>1</v>
      </c>
      <c r="H513" s="9" t="str">
        <f ca="1">VLOOKUP(A513,[2]characters!$A:$K,11,FALSE)</f>
        <v>attack</v>
      </c>
      <c r="I513" s="6" t="str">
        <f ca="1">VLOOKUP(H513,[2]character_type_i18n!$A:$F,3,FALSE)</f>
        <v>攻撃タイプ</v>
      </c>
      <c r="J513" s="97">
        <f ca="1">VLOOKUP(H513,[2]character_type_i18n!$A:$F,4,FALSE)</f>
        <v>1</v>
      </c>
      <c r="K513" s="97">
        <f ca="1">VLOOKUP(H513,[2]character_type_i18n!$A:$F,5,FALSE)</f>
        <v>1.33</v>
      </c>
      <c r="L513" s="97">
        <f ca="1">VLOOKUP(H513,[2]character_type_i18n!$A:$F,6,FALSE)</f>
        <v>1</v>
      </c>
      <c r="M513" s="9" t="str">
        <f ca="1">VLOOKUP(A513,[2]characters!$A:$M,13,FALSE)</f>
        <v>god</v>
      </c>
      <c r="N513" s="6" t="str">
        <f ca="1">VLOOKUP(M513,[2]character_tribe_i18n!$A:$F,3,FALSE)</f>
        <v>ゴッド</v>
      </c>
      <c r="O513" s="97">
        <f ca="1">VLOOKUP(M513,[2]character_tribe_i18n!$A:$F,4,FALSE)</f>
        <v>0.96</v>
      </c>
      <c r="P513" s="97">
        <f ca="1">VLOOKUP(M513,[2]character_tribe_i18n!$A:$F,5,FALSE)</f>
        <v>1.02</v>
      </c>
      <c r="Q513" s="97">
        <f ca="1">VLOOKUP(M513,[2]character_tribe_i18n!$A:$F,6,FALSE)</f>
        <v>1</v>
      </c>
      <c r="R513" s="98" t="s">
        <v>98</v>
      </c>
      <c r="S513" s="97">
        <f>VLOOKUP($R513,ラベル別係数!$A$1:$E$7,3,FALSE)</f>
        <v>5</v>
      </c>
      <c r="T513" s="97">
        <f>VLOOKUP($R513,ラベル別係数!$A$1:$E$7,4,FALSE)</f>
        <v>1.3</v>
      </c>
      <c r="U513" s="97">
        <f>VLOOKUP($R513,ラベル別係数!$A$1:$E$7,5,FALSE)</f>
        <v>0.8</v>
      </c>
      <c r="V513" s="98">
        <v>3</v>
      </c>
      <c r="W513" s="99">
        <f>VLOOKUP(V513,ターン数別攻撃係数!$A$1:$B$1000,2,FALSE)</f>
        <v>1</v>
      </c>
      <c r="X513" s="9">
        <f ca="1">VLOOKUP(C513,サイズ別係数!A$2:B$9,2,FALSE)</f>
        <v>30</v>
      </c>
      <c r="Y513" s="97">
        <f ca="1">VLOOKUP($X513,サイズ別係数!$B:$E,2,FALSE)</f>
        <v>1.3</v>
      </c>
      <c r="Z513" s="97">
        <f ca="1">VLOOKUP($X513,サイズ別係数!$B:$E,3,FALSE)</f>
        <v>1.3</v>
      </c>
      <c r="AA513" s="97">
        <f ca="1">VLOOKUP($X513,サイズ別係数!$B:$E,4,FALSE)</f>
        <v>1.1000000000000001</v>
      </c>
      <c r="AB513" s="10">
        <v>0</v>
      </c>
      <c r="AC513" s="6" t="str">
        <f ca="1">VLOOKUP($AB513,OFFSET([3]enemy_skill_sets!$B$2,0,0,COUNTA([3]enemy_skill_sets!$A:$A),MATCH(AC$1,[3]enemy_skill_sets!$1:$1,0)-MATCH($AB$1,[3]enemy_skill_sets!$1:$1,0)+1),MATCH(AC$1,[3]enemy_skill_sets!$1:$1,0)-MATCH($AB$1,[3]enemy_skill_sets!$1:$1,0)+1,FALSE)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3" s="67">
        <v>1</v>
      </c>
      <c r="AE513" s="67">
        <v>1</v>
      </c>
      <c r="AF513" s="98">
        <v>0</v>
      </c>
      <c r="AG513" s="99">
        <f ca="1">ROUND(VLOOKUP(1,enemy_base_stats!$A:$F,2,FALSE) * Y513* J513*O513*E513*S513*AD513*[2]ステータス!$B$2,0)</f>
        <v>3120</v>
      </c>
      <c r="AH513" s="99">
        <f ca="1">ROUND(VLOOKUP(1,enemy_base_stats!$A:$F,3,FALSE) * Z513*K513*P513*F513*T513*AE513 * W513*[2]ステータス!$C$2,0)</f>
        <v>351</v>
      </c>
      <c r="AI513" s="99">
        <f ca="1">ROUND(VLOOKUP(1,enemy_base_stats!$A:$F,4,FALSE) * AA513*L513*Q513*G513*U513*AF513*[2]ステータス!$D$2,0)</f>
        <v>0</v>
      </c>
      <c r="AJ513" s="99">
        <f ca="1">ROUND(VLOOKUP(100,enemy_base_stats!$A:$F,2,FALSE) * Y513* J513*O513*E513*S513*AD513*[2]ステータス!$B$2,0)</f>
        <v>126672</v>
      </c>
      <c r="AK513" s="99">
        <f ca="1">ROUND(VLOOKUP(100,enemy_base_stats!$A:$F,3,FALSE)* Z513* K513*P513*F513*T513*AE513 * W513*[2]ステータス!$C$2,0)</f>
        <v>14242</v>
      </c>
      <c r="AL513" s="99">
        <f ca="1">ROUND(VLOOKUP(100,enemy_base_stats!$A:$F,4,FALSE)* AA513* L513*Q513*G513*U513*AF513*[2]ステータス!$D$2,0)</f>
        <v>0</v>
      </c>
      <c r="AM513" s="97">
        <f ca="1">VLOOKUP(M513,[2]character_tribe_i18n!$A:$I,9,FALSE)</f>
        <v>680</v>
      </c>
      <c r="AN513" s="97">
        <v>0</v>
      </c>
      <c r="AO513" s="98">
        <v>0</v>
      </c>
      <c r="AP513" s="58" t="s">
        <v>72</v>
      </c>
      <c r="AQ513" s="34">
        <f t="shared" ca="1" si="26"/>
        <v>512</v>
      </c>
    </row>
    <row r="514" spans="1:43" ht="21" customHeight="1" x14ac:dyDescent="0.15">
      <c r="A514" s="7">
        <f t="shared" ca="1" si="19"/>
        <v>513</v>
      </c>
      <c r="B514" s="6" t="str">
        <f ca="1">VLOOKUP(A514,[2]characters!$A:$C,3,FALSE)</f>
        <v>爆進の荷炎 クリスマス・ベリアル</v>
      </c>
      <c r="C514" s="9">
        <f ca="1">VLOOKUP(A514,[2]characters!$A:$I,9,FALSE)</f>
        <v>5</v>
      </c>
      <c r="D514" s="9" t="str">
        <f ca="1">VLOOKUP(A514,[2]characters!$A:$H,8,FALSE)</f>
        <v>red</v>
      </c>
      <c r="E514" s="97">
        <f ca="1">VLOOKUP(D514,[2]属性!$A:$E,2,FALSE)</f>
        <v>1</v>
      </c>
      <c r="F514" s="97">
        <f ca="1">VLOOKUP(D514,[2]属性!$A:$E,3,FALSE)</f>
        <v>1.02</v>
      </c>
      <c r="G514" s="97">
        <f ca="1">VLOOKUP(D514,[2]属性!$A:$F,4,FALSE)</f>
        <v>1</v>
      </c>
      <c r="H514" s="9" t="str">
        <f ca="1">VLOOKUP(A514,[2]characters!$A:$K,11,FALSE)</f>
        <v>attack</v>
      </c>
      <c r="I514" s="6" t="str">
        <f ca="1">VLOOKUP(H514,[2]character_type_i18n!$A:$F,3,FALSE)</f>
        <v>攻撃タイプ</v>
      </c>
      <c r="J514" s="97">
        <f ca="1">VLOOKUP(H514,[2]character_type_i18n!$A:$F,4,FALSE)</f>
        <v>1</v>
      </c>
      <c r="K514" s="97">
        <f ca="1">VLOOKUP(H514,[2]character_type_i18n!$A:$F,5,FALSE)</f>
        <v>1.33</v>
      </c>
      <c r="L514" s="97">
        <f ca="1">VLOOKUP(H514,[2]character_type_i18n!$A:$F,6,FALSE)</f>
        <v>1</v>
      </c>
      <c r="M514" s="9" t="str">
        <f ca="1">VLOOKUP(A514,[2]characters!$A:$M,13,FALSE)</f>
        <v>god</v>
      </c>
      <c r="N514" s="6" t="str">
        <f ca="1">VLOOKUP(M514,[2]character_tribe_i18n!$A:$F,3,FALSE)</f>
        <v>ゴッド</v>
      </c>
      <c r="O514" s="97">
        <f ca="1">VLOOKUP(M514,[2]character_tribe_i18n!$A:$F,4,FALSE)</f>
        <v>0.96</v>
      </c>
      <c r="P514" s="97">
        <f ca="1">VLOOKUP(M514,[2]character_tribe_i18n!$A:$F,5,FALSE)</f>
        <v>1.02</v>
      </c>
      <c r="Q514" s="97">
        <f ca="1">VLOOKUP(M514,[2]character_tribe_i18n!$A:$F,6,FALSE)</f>
        <v>1</v>
      </c>
      <c r="R514" s="98" t="s">
        <v>98</v>
      </c>
      <c r="S514" s="97">
        <f>VLOOKUP($R514,ラベル別係数!$A$1:$E$7,3,FALSE)</f>
        <v>5</v>
      </c>
      <c r="T514" s="97">
        <f>VLOOKUP($R514,ラベル別係数!$A$1:$E$7,4,FALSE)</f>
        <v>1.3</v>
      </c>
      <c r="U514" s="97">
        <f>VLOOKUP($R514,ラベル別係数!$A$1:$E$7,5,FALSE)</f>
        <v>0.8</v>
      </c>
      <c r="V514" s="98">
        <v>3</v>
      </c>
      <c r="W514" s="99">
        <f>VLOOKUP(V514,ターン数別攻撃係数!$A$1:$B$1000,2,FALSE)</f>
        <v>1</v>
      </c>
      <c r="X514" s="9">
        <f ca="1">VLOOKUP(C514,サイズ別係数!A$2:B$9,2,FALSE)</f>
        <v>60</v>
      </c>
      <c r="Y514" s="97">
        <f ca="1">VLOOKUP($X514,サイズ別係数!$B:$E,2,FALSE)</f>
        <v>1.7</v>
      </c>
      <c r="Z514" s="97">
        <f ca="1">VLOOKUP($X514,サイズ別係数!$B:$E,3,FALSE)</f>
        <v>1.4</v>
      </c>
      <c r="AA514" s="97">
        <f ca="1">VLOOKUP($X514,サイズ別係数!$B:$E,4,FALSE)</f>
        <v>1</v>
      </c>
      <c r="AB514" s="10">
        <v>0</v>
      </c>
      <c r="AC514" s="6" t="str">
        <f ca="1">VLOOKUP($AB514,OFFSET([3]enemy_skill_sets!$B$2,0,0,COUNTA([3]enemy_skill_sets!$A:$A),MATCH(AC$1,[3]enemy_skill_sets!$1:$1,0)-MATCH($AB$1,[3]enemy_skill_sets!$1:$1,0)+1),MATCH(AC$1,[3]enemy_skill_sets!$1:$1,0)-MATCH($AB$1,[3]enemy_skill_sets!$1:$1,0)+1,FALSE)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4" s="67">
        <v>1</v>
      </c>
      <c r="AE514" s="67">
        <v>1</v>
      </c>
      <c r="AF514" s="98">
        <v>0</v>
      </c>
      <c r="AG514" s="99">
        <f ca="1">ROUND(VLOOKUP(1,enemy_base_stats!$A:$F,2,FALSE) * Y514* J514*O514*E514*S514*AD514*[2]ステータス!$B$2,0)</f>
        <v>4080</v>
      </c>
      <c r="AH514" s="99">
        <f ca="1">ROUND(VLOOKUP(1,enemy_base_stats!$A:$F,3,FALSE) * Z514*K514*P514*F514*T514*AE514 * W514*[2]ステータス!$C$2,0)</f>
        <v>378</v>
      </c>
      <c r="AI514" s="99">
        <f ca="1">ROUND(VLOOKUP(1,enemy_base_stats!$A:$F,4,FALSE) * AA514*L514*Q514*G514*U514*AF514*[2]ステータス!$D$2,0)</f>
        <v>0</v>
      </c>
      <c r="AJ514" s="99">
        <f ca="1">ROUND(VLOOKUP(100,enemy_base_stats!$A:$F,2,FALSE) * Y514* J514*O514*E514*S514*AD514*[2]ステータス!$B$2,0)</f>
        <v>165648</v>
      </c>
      <c r="AK514" s="99">
        <f ca="1">ROUND(VLOOKUP(100,enemy_base_stats!$A:$F,3,FALSE)* Z514* K514*P514*F514*T514*AE514 * W514*[2]ステータス!$C$2,0)</f>
        <v>15337</v>
      </c>
      <c r="AL514" s="99">
        <f ca="1">ROUND(VLOOKUP(100,enemy_base_stats!$A:$F,4,FALSE)* AA514* L514*Q514*G514*U514*AF514*[2]ステータス!$D$2,0)</f>
        <v>0</v>
      </c>
      <c r="AM514" s="97">
        <f ca="1">VLOOKUP(M514,[2]character_tribe_i18n!$A:$I,9,FALSE)</f>
        <v>680</v>
      </c>
      <c r="AN514" s="97">
        <v>0</v>
      </c>
      <c r="AO514" s="98">
        <v>0</v>
      </c>
      <c r="AP514" s="58" t="s">
        <v>72</v>
      </c>
      <c r="AQ514" s="34">
        <f t="shared" ca="1" si="26"/>
        <v>513</v>
      </c>
    </row>
    <row r="515" spans="1:43" ht="21" customHeight="1" x14ac:dyDescent="0.15">
      <c r="A515" s="7">
        <f t="shared" ref="A515:A578" ca="1" si="27">INDIRECT(ADDRESS(ROW(),COLUMN(),1,TRUE,"[CharacterMasterData.xlsm]characters"))</f>
        <v>514</v>
      </c>
      <c r="B515" s="6" t="str">
        <f ca="1">VLOOKUP(A515,[2]characters!$A:$C,3,FALSE)</f>
        <v>祝宴の識徒 サンタクロース・オセ</v>
      </c>
      <c r="C515" s="9">
        <f ca="1">VLOOKUP(A515,[2]characters!$A:$I,9,FALSE)</f>
        <v>4</v>
      </c>
      <c r="D515" s="9" t="str">
        <f ca="1">VLOOKUP(A515,[2]characters!$A:$H,8,FALSE)</f>
        <v>green</v>
      </c>
      <c r="E515" s="97">
        <f ca="1">VLOOKUP(D515,[2]属性!$A:$E,2,FALSE)</f>
        <v>1.02</v>
      </c>
      <c r="F515" s="97">
        <f ca="1">VLOOKUP(D515,[2]属性!$A:$E,3,FALSE)</f>
        <v>0.98</v>
      </c>
      <c r="G515" s="97">
        <f ca="1">VLOOKUP(D515,[2]属性!$A:$F,4,FALSE)</f>
        <v>1</v>
      </c>
      <c r="H515" s="9" t="str">
        <f ca="1">VLOOKUP(A515,[2]characters!$A:$K,11,FALSE)</f>
        <v>attack</v>
      </c>
      <c r="I515" s="6" t="str">
        <f ca="1">VLOOKUP(H515,[2]character_type_i18n!$A:$F,3,FALSE)</f>
        <v>攻撃タイプ</v>
      </c>
      <c r="J515" s="97">
        <f ca="1">VLOOKUP(H515,[2]character_type_i18n!$A:$F,4,FALSE)</f>
        <v>1</v>
      </c>
      <c r="K515" s="97">
        <f ca="1">VLOOKUP(H515,[2]character_type_i18n!$A:$F,5,FALSE)</f>
        <v>1.33</v>
      </c>
      <c r="L515" s="97">
        <f ca="1">VLOOKUP(H515,[2]character_type_i18n!$A:$F,6,FALSE)</f>
        <v>1</v>
      </c>
      <c r="M515" s="9" t="str">
        <f ca="1">VLOOKUP(A515,[2]characters!$A:$M,13,FALSE)</f>
        <v>god</v>
      </c>
      <c r="N515" s="6" t="str">
        <f ca="1">VLOOKUP(M515,[2]character_tribe_i18n!$A:$F,3,FALSE)</f>
        <v>ゴッド</v>
      </c>
      <c r="O515" s="97">
        <f ca="1">VLOOKUP(M515,[2]character_tribe_i18n!$A:$F,4,FALSE)</f>
        <v>0.96</v>
      </c>
      <c r="P515" s="97">
        <f ca="1">VLOOKUP(M515,[2]character_tribe_i18n!$A:$F,5,FALSE)</f>
        <v>1.02</v>
      </c>
      <c r="Q515" s="97">
        <f ca="1">VLOOKUP(M515,[2]character_tribe_i18n!$A:$F,6,FALSE)</f>
        <v>1</v>
      </c>
      <c r="R515" s="98" t="s">
        <v>98</v>
      </c>
      <c r="S515" s="97">
        <f>VLOOKUP($R515,ラベル別係数!$A$1:$E$7,3,FALSE)</f>
        <v>5</v>
      </c>
      <c r="T515" s="97">
        <f>VLOOKUP($R515,ラベル別係数!$A$1:$E$7,4,FALSE)</f>
        <v>1.3</v>
      </c>
      <c r="U515" s="97">
        <f>VLOOKUP($R515,ラベル別係数!$A$1:$E$7,5,FALSE)</f>
        <v>0.8</v>
      </c>
      <c r="V515" s="98">
        <v>3</v>
      </c>
      <c r="W515" s="99">
        <f>VLOOKUP(V515,ターン数別攻撃係数!$A$1:$B$1000,2,FALSE)</f>
        <v>1</v>
      </c>
      <c r="X515" s="9">
        <f ca="1">VLOOKUP(C515,サイズ別係数!A$2:B$9,2,FALSE)</f>
        <v>30</v>
      </c>
      <c r="Y515" s="97">
        <f ca="1">VLOOKUP($X515,サイズ別係数!$B:$E,2,FALSE)</f>
        <v>1.3</v>
      </c>
      <c r="Z515" s="97">
        <f ca="1">VLOOKUP($X515,サイズ別係数!$B:$E,3,FALSE)</f>
        <v>1.3</v>
      </c>
      <c r="AA515" s="97">
        <f ca="1">VLOOKUP($X515,サイズ別係数!$B:$E,4,FALSE)</f>
        <v>1.1000000000000001</v>
      </c>
      <c r="AB515" s="10">
        <v>0</v>
      </c>
      <c r="AC515" s="6" t="str">
        <f ca="1">VLOOKUP($AB515,OFFSET([3]enemy_skill_sets!$B$2,0,0,COUNTA([3]enemy_skill_sets!$A:$A),MATCH(AC$1,[3]enemy_skill_sets!$1:$1,0)-MATCH($AB$1,[3]enemy_skill_sets!$1:$1,0)+1),MATCH(AC$1,[3]enemy_skill_sets!$1:$1,0)-MATCH($AB$1,[3]enemy_skill_sets!$1:$1,0)+1,FALSE)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5" s="67">
        <v>1</v>
      </c>
      <c r="AE515" s="67">
        <v>1</v>
      </c>
      <c r="AF515" s="98">
        <v>0</v>
      </c>
      <c r="AG515" s="99">
        <f ca="1">ROUND(VLOOKUP(1,enemy_base_stats!$A:$F,2,FALSE) * Y515* J515*O515*E515*S515*AD515*[2]ステータス!$B$2,0)</f>
        <v>3182</v>
      </c>
      <c r="AH515" s="99">
        <f ca="1">ROUND(VLOOKUP(1,enemy_base_stats!$A:$F,3,FALSE) * Z515*K515*P515*F515*T515*AE515 * W515*[2]ステータス!$C$2,0)</f>
        <v>337</v>
      </c>
      <c r="AI515" s="99">
        <f ca="1">ROUND(VLOOKUP(1,enemy_base_stats!$A:$F,4,FALSE) * AA515*L515*Q515*G515*U515*AF515*[2]ステータス!$D$2,0)</f>
        <v>0</v>
      </c>
      <c r="AJ515" s="99">
        <f ca="1">ROUND(VLOOKUP(100,enemy_base_stats!$A:$F,2,FALSE) * Y515* J515*O515*E515*S515*AD515*[2]ステータス!$B$2,0)</f>
        <v>129205</v>
      </c>
      <c r="AK515" s="99">
        <f ca="1">ROUND(VLOOKUP(100,enemy_base_stats!$A:$F,3,FALSE)* Z515* K515*P515*F515*T515*AE515 * W515*[2]ステータス!$C$2,0)</f>
        <v>13683</v>
      </c>
      <c r="AL515" s="99">
        <f ca="1">ROUND(VLOOKUP(100,enemy_base_stats!$A:$F,4,FALSE)* AA515* L515*Q515*G515*U515*AF515*[2]ステータス!$D$2,0)</f>
        <v>0</v>
      </c>
      <c r="AM515" s="97">
        <f ca="1">VLOOKUP(M515,[2]character_tribe_i18n!$A:$I,9,FALSE)</f>
        <v>680</v>
      </c>
      <c r="AN515" s="97">
        <v>0</v>
      </c>
      <c r="AO515" s="98">
        <v>0</v>
      </c>
      <c r="AP515" s="58" t="s">
        <v>72</v>
      </c>
      <c r="AQ515" s="34">
        <f t="shared" ca="1" si="26"/>
        <v>514</v>
      </c>
    </row>
    <row r="516" spans="1:43" ht="21" customHeight="1" x14ac:dyDescent="0.15">
      <c r="A516" s="7">
        <f t="shared" ca="1" si="27"/>
        <v>515</v>
      </c>
      <c r="B516" s="6" t="str">
        <f ca="1">VLOOKUP(A516,[2]characters!$A:$C,3,FALSE)</f>
        <v>聖夜の贈主 サンタクロース・オセ</v>
      </c>
      <c r="C516" s="9">
        <f ca="1">VLOOKUP(A516,[2]characters!$A:$I,9,FALSE)</f>
        <v>5</v>
      </c>
      <c r="D516" s="9" t="str">
        <f ca="1">VLOOKUP(A516,[2]characters!$A:$H,8,FALSE)</f>
        <v>green</v>
      </c>
      <c r="E516" s="97">
        <f ca="1">VLOOKUP(D516,[2]属性!$A:$E,2,FALSE)</f>
        <v>1.02</v>
      </c>
      <c r="F516" s="97">
        <f ca="1">VLOOKUP(D516,[2]属性!$A:$E,3,FALSE)</f>
        <v>0.98</v>
      </c>
      <c r="G516" s="97">
        <f ca="1">VLOOKUP(D516,[2]属性!$A:$F,4,FALSE)</f>
        <v>1</v>
      </c>
      <c r="H516" s="9" t="str">
        <f ca="1">VLOOKUP(A516,[2]characters!$A:$K,11,FALSE)</f>
        <v>attack</v>
      </c>
      <c r="I516" s="6" t="str">
        <f ca="1">VLOOKUP(H516,[2]character_type_i18n!$A:$F,3,FALSE)</f>
        <v>攻撃タイプ</v>
      </c>
      <c r="J516" s="97">
        <f ca="1">VLOOKUP(H516,[2]character_type_i18n!$A:$F,4,FALSE)</f>
        <v>1</v>
      </c>
      <c r="K516" s="97">
        <f ca="1">VLOOKUP(H516,[2]character_type_i18n!$A:$F,5,FALSE)</f>
        <v>1.33</v>
      </c>
      <c r="L516" s="97">
        <f ca="1">VLOOKUP(H516,[2]character_type_i18n!$A:$F,6,FALSE)</f>
        <v>1</v>
      </c>
      <c r="M516" s="9" t="str">
        <f ca="1">VLOOKUP(A516,[2]characters!$A:$M,13,FALSE)</f>
        <v>god</v>
      </c>
      <c r="N516" s="6" t="str">
        <f ca="1">VLOOKUP(M516,[2]character_tribe_i18n!$A:$F,3,FALSE)</f>
        <v>ゴッド</v>
      </c>
      <c r="O516" s="97">
        <f ca="1">VLOOKUP(M516,[2]character_tribe_i18n!$A:$F,4,FALSE)</f>
        <v>0.96</v>
      </c>
      <c r="P516" s="97">
        <f ca="1">VLOOKUP(M516,[2]character_tribe_i18n!$A:$F,5,FALSE)</f>
        <v>1.02</v>
      </c>
      <c r="Q516" s="97">
        <f ca="1">VLOOKUP(M516,[2]character_tribe_i18n!$A:$F,6,FALSE)</f>
        <v>1</v>
      </c>
      <c r="R516" s="98" t="s">
        <v>98</v>
      </c>
      <c r="S516" s="97">
        <f>VLOOKUP($R516,ラベル別係数!$A$1:$E$7,3,FALSE)</f>
        <v>5</v>
      </c>
      <c r="T516" s="97">
        <f>VLOOKUP($R516,ラベル別係数!$A$1:$E$7,4,FALSE)</f>
        <v>1.3</v>
      </c>
      <c r="U516" s="97">
        <f>VLOOKUP($R516,ラベル別係数!$A$1:$E$7,5,FALSE)</f>
        <v>0.8</v>
      </c>
      <c r="V516" s="98">
        <v>3</v>
      </c>
      <c r="W516" s="99">
        <f>VLOOKUP(V516,ターン数別攻撃係数!$A$1:$B$1000,2,FALSE)</f>
        <v>1</v>
      </c>
      <c r="X516" s="9">
        <f ca="1">VLOOKUP(C516,サイズ別係数!A$2:B$9,2,FALSE)</f>
        <v>60</v>
      </c>
      <c r="Y516" s="97">
        <f ca="1">VLOOKUP($X516,サイズ別係数!$B:$E,2,FALSE)</f>
        <v>1.7</v>
      </c>
      <c r="Z516" s="97">
        <f ca="1">VLOOKUP($X516,サイズ別係数!$B:$E,3,FALSE)</f>
        <v>1.4</v>
      </c>
      <c r="AA516" s="97">
        <f ca="1">VLOOKUP($X516,サイズ別係数!$B:$E,4,FALSE)</f>
        <v>1</v>
      </c>
      <c r="AB516" s="10">
        <v>0</v>
      </c>
      <c r="AC516" s="6" t="str">
        <f ca="1">VLOOKUP($AB516,OFFSET([3]enemy_skill_sets!$B$2,0,0,COUNTA([3]enemy_skill_sets!$A:$A),MATCH(AC$1,[3]enemy_skill_sets!$1:$1,0)-MATCH($AB$1,[3]enemy_skill_sets!$1:$1,0)+1),MATCH(AC$1,[3]enemy_skill_sets!$1:$1,0)-MATCH($AB$1,[3]enemy_skill_sets!$1:$1,0)+1,FALSE)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6" s="67">
        <v>1</v>
      </c>
      <c r="AE516" s="67">
        <v>1</v>
      </c>
      <c r="AF516" s="98">
        <v>0</v>
      </c>
      <c r="AG516" s="99">
        <f ca="1">ROUND(VLOOKUP(1,enemy_base_stats!$A:$F,2,FALSE) * Y516* J516*O516*E516*S516*AD516*[2]ステータス!$B$2,0)</f>
        <v>4162</v>
      </c>
      <c r="AH516" s="99">
        <f ca="1">ROUND(VLOOKUP(1,enemy_base_stats!$A:$F,3,FALSE) * Z516*K516*P516*F516*T516*AE516 * W516*[2]ステータス!$C$2,0)</f>
        <v>363</v>
      </c>
      <c r="AI516" s="99">
        <f ca="1">ROUND(VLOOKUP(1,enemy_base_stats!$A:$F,4,FALSE) * AA516*L516*Q516*G516*U516*AF516*[2]ステータス!$D$2,0)</f>
        <v>0</v>
      </c>
      <c r="AJ516" s="99">
        <f ca="1">ROUND(VLOOKUP(100,enemy_base_stats!$A:$F,2,FALSE) * Y516* J516*O516*E516*S516*AD516*[2]ステータス!$B$2,0)</f>
        <v>168961</v>
      </c>
      <c r="AK516" s="99">
        <f ca="1">ROUND(VLOOKUP(100,enemy_base_stats!$A:$F,3,FALSE)* Z516* K516*P516*F516*T516*AE516 * W516*[2]ステータス!$C$2,0)</f>
        <v>14736</v>
      </c>
      <c r="AL516" s="99">
        <f ca="1">ROUND(VLOOKUP(100,enemy_base_stats!$A:$F,4,FALSE)* AA516* L516*Q516*G516*U516*AF516*[2]ステータス!$D$2,0)</f>
        <v>0</v>
      </c>
      <c r="AM516" s="97">
        <f ca="1">VLOOKUP(M516,[2]character_tribe_i18n!$A:$I,9,FALSE)</f>
        <v>680</v>
      </c>
      <c r="AN516" s="97">
        <v>0</v>
      </c>
      <c r="AO516" s="98">
        <v>0</v>
      </c>
      <c r="AP516" s="58" t="s">
        <v>72</v>
      </c>
      <c r="AQ516" s="34">
        <f t="shared" ca="1" si="26"/>
        <v>515</v>
      </c>
    </row>
    <row r="517" spans="1:43" ht="21" customHeight="1" x14ac:dyDescent="0.15">
      <c r="A517" s="7">
        <f t="shared" ca="1" si="27"/>
        <v>516</v>
      </c>
      <c r="B517" s="6" t="str">
        <f ca="1">VLOOKUP(A517,[2]characters!$A:$C,3,FALSE)</f>
        <v>聖母 マリア</v>
      </c>
      <c r="C517" s="9">
        <f ca="1">VLOOKUP(A517,[2]characters!$A:$I,9,FALSE)</f>
        <v>4</v>
      </c>
      <c r="D517" s="9" t="str">
        <f ca="1">VLOOKUP(A517,[2]characters!$A:$H,8,FALSE)</f>
        <v>blue</v>
      </c>
      <c r="E517" s="97">
        <f ca="1">VLOOKUP(D517,[2]属性!$A:$E,2,FALSE)</f>
        <v>1</v>
      </c>
      <c r="F517" s="97">
        <f ca="1">VLOOKUP(D517,[2]属性!$A:$E,3,FALSE)</f>
        <v>0.98</v>
      </c>
      <c r="G517" s="97">
        <f ca="1">VLOOKUP(D517,[2]属性!$A:$F,4,FALSE)</f>
        <v>1</v>
      </c>
      <c r="H517" s="9" t="str">
        <f ca="1">VLOOKUP(A517,[2]characters!$A:$K,11,FALSE)</f>
        <v>heal</v>
      </c>
      <c r="I517" s="6" t="str">
        <f ca="1">VLOOKUP(H517,[2]character_type_i18n!$A:$F,3,FALSE)</f>
        <v>回復タイプ</v>
      </c>
      <c r="J517" s="97">
        <f ca="1">VLOOKUP(H517,[2]character_type_i18n!$A:$F,4,FALSE)</f>
        <v>0.8</v>
      </c>
      <c r="K517" s="97">
        <f ca="1">VLOOKUP(H517,[2]character_type_i18n!$A:$F,5,FALSE)</f>
        <v>0.78</v>
      </c>
      <c r="L517" s="97">
        <f ca="1">VLOOKUP(H517,[2]character_type_i18n!$A:$F,6,FALSE)</f>
        <v>1</v>
      </c>
      <c r="M517" s="9" t="str">
        <f ca="1">VLOOKUP(A517,[2]characters!$A:$M,13,FALSE)</f>
        <v>human</v>
      </c>
      <c r="N517" s="6" t="str">
        <f ca="1">VLOOKUP(M517,[2]character_tribe_i18n!$A:$F,3,FALSE)</f>
        <v>ヒューマン</v>
      </c>
      <c r="O517" s="97">
        <f ca="1">VLOOKUP(M517,[2]character_tribe_i18n!$A:$F,4,FALSE)</f>
        <v>0.94</v>
      </c>
      <c r="P517" s="97">
        <f ca="1">VLOOKUP(M517,[2]character_tribe_i18n!$A:$F,5,FALSE)</f>
        <v>0.99</v>
      </c>
      <c r="Q517" s="97">
        <f ca="1">VLOOKUP(M517,[2]character_tribe_i18n!$A:$F,6,FALSE)</f>
        <v>1</v>
      </c>
      <c r="R517" s="98" t="s">
        <v>98</v>
      </c>
      <c r="S517" s="97">
        <f>VLOOKUP($R517,ラベル別係数!$A$1:$E$7,3,FALSE)</f>
        <v>5</v>
      </c>
      <c r="T517" s="97">
        <f>VLOOKUP($R517,ラベル別係数!$A$1:$E$7,4,FALSE)</f>
        <v>1.3</v>
      </c>
      <c r="U517" s="97">
        <f>VLOOKUP($R517,ラベル別係数!$A$1:$E$7,5,FALSE)</f>
        <v>0.8</v>
      </c>
      <c r="V517" s="98">
        <v>3</v>
      </c>
      <c r="W517" s="99">
        <f>VLOOKUP(V517,ターン数別攻撃係数!$A$1:$B$1000,2,FALSE)</f>
        <v>1</v>
      </c>
      <c r="X517" s="9">
        <f ca="1">VLOOKUP(C517,サイズ別係数!A$2:B$9,2,FALSE)</f>
        <v>30</v>
      </c>
      <c r="Y517" s="97">
        <f ca="1">VLOOKUP($X517,サイズ別係数!$B:$E,2,FALSE)</f>
        <v>1.3</v>
      </c>
      <c r="Z517" s="97">
        <f ca="1">VLOOKUP($X517,サイズ別係数!$B:$E,3,FALSE)</f>
        <v>1.3</v>
      </c>
      <c r="AA517" s="97">
        <f ca="1">VLOOKUP($X517,サイズ別係数!$B:$E,4,FALSE)</f>
        <v>1.1000000000000001</v>
      </c>
      <c r="AB517" s="10">
        <v>0</v>
      </c>
      <c r="AC517" s="6" t="str">
        <f ca="1">VLOOKUP($AB517,OFFSET([3]enemy_skill_sets!$B$2,0,0,COUNTA([3]enemy_skill_sets!$A:$A),MATCH(AC$1,[3]enemy_skill_sets!$1:$1,0)-MATCH($AB$1,[3]enemy_skill_sets!$1:$1,0)+1),MATCH(AC$1,[3]enemy_skill_sets!$1:$1,0)-MATCH($AB$1,[3]enemy_skill_sets!$1:$1,0)+1,FALSE)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7" s="67">
        <v>1</v>
      </c>
      <c r="AE517" s="67">
        <v>1</v>
      </c>
      <c r="AF517" s="98">
        <v>0</v>
      </c>
      <c r="AG517" s="99">
        <f ca="1">ROUND(VLOOKUP(1,enemy_base_stats!$A:$F,2,FALSE) * Y517* J517*O517*E517*S517*AD517*[2]ステータス!$B$2,0)</f>
        <v>2444</v>
      </c>
      <c r="AH517" s="99">
        <f ca="1">ROUND(VLOOKUP(1,enemy_base_stats!$A:$F,3,FALSE) * Z517*K517*P517*F517*T517*AE517 * W517*[2]ステータス!$C$2,0)</f>
        <v>192</v>
      </c>
      <c r="AI517" s="99">
        <f ca="1">ROUND(VLOOKUP(1,enemy_base_stats!$A:$F,4,FALSE) * AA517*L517*Q517*G517*U517*AF517*[2]ステータス!$D$2,0)</f>
        <v>0</v>
      </c>
      <c r="AJ517" s="99">
        <f ca="1">ROUND(VLOOKUP(100,enemy_base_stats!$A:$F,2,FALSE) * Y517* J517*O517*E517*S517*AD517*[2]ステータス!$B$2,0)</f>
        <v>99226</v>
      </c>
      <c r="AK517" s="99">
        <f ca="1">ROUND(VLOOKUP(100,enemy_base_stats!$A:$F,3,FALSE)* Z517* K517*P517*F517*T517*AE517 * W517*[2]ステータス!$C$2,0)</f>
        <v>7789</v>
      </c>
      <c r="AL517" s="99">
        <f ca="1">ROUND(VLOOKUP(100,enemy_base_stats!$A:$F,4,FALSE)* AA517* L517*Q517*G517*U517*AF517*[2]ステータス!$D$2,0)</f>
        <v>0</v>
      </c>
      <c r="AM517" s="97">
        <f ca="1">VLOOKUP(M517,[2]character_tribe_i18n!$A:$I,9,FALSE)</f>
        <v>400</v>
      </c>
      <c r="AN517" s="97">
        <v>0</v>
      </c>
      <c r="AO517" s="98">
        <v>0</v>
      </c>
      <c r="AP517" s="58" t="s">
        <v>72</v>
      </c>
      <c r="AQ517" s="34">
        <f t="shared" ca="1" si="26"/>
        <v>516</v>
      </c>
    </row>
    <row r="518" spans="1:43" ht="21" customHeight="1" x14ac:dyDescent="0.15">
      <c r="A518" s="7">
        <f t="shared" ca="1" si="27"/>
        <v>517</v>
      </c>
      <c r="B518" s="6" t="str">
        <f ca="1">VLOOKUP(A518,[2]characters!$A:$C,3,FALSE)</f>
        <v>真冬の誕生祭 マリア</v>
      </c>
      <c r="C518" s="9">
        <f ca="1">VLOOKUP(A518,[2]characters!$A:$I,9,FALSE)</f>
        <v>5</v>
      </c>
      <c r="D518" s="9" t="str">
        <f ca="1">VLOOKUP(A518,[2]characters!$A:$H,8,FALSE)</f>
        <v>blue</v>
      </c>
      <c r="E518" s="97">
        <f ca="1">VLOOKUP(D518,[2]属性!$A:$E,2,FALSE)</f>
        <v>1</v>
      </c>
      <c r="F518" s="97">
        <f ca="1">VLOOKUP(D518,[2]属性!$A:$E,3,FALSE)</f>
        <v>0.98</v>
      </c>
      <c r="G518" s="97">
        <f ca="1">VLOOKUP(D518,[2]属性!$A:$F,4,FALSE)</f>
        <v>1</v>
      </c>
      <c r="H518" s="9" t="str">
        <f ca="1">VLOOKUP(A518,[2]characters!$A:$K,11,FALSE)</f>
        <v>heal</v>
      </c>
      <c r="I518" s="6" t="str">
        <f ca="1">VLOOKUP(H518,[2]character_type_i18n!$A:$F,3,FALSE)</f>
        <v>回復タイプ</v>
      </c>
      <c r="J518" s="97">
        <f ca="1">VLOOKUP(H518,[2]character_type_i18n!$A:$F,4,FALSE)</f>
        <v>0.8</v>
      </c>
      <c r="K518" s="97">
        <f ca="1">VLOOKUP(H518,[2]character_type_i18n!$A:$F,5,FALSE)</f>
        <v>0.78</v>
      </c>
      <c r="L518" s="97">
        <f ca="1">VLOOKUP(H518,[2]character_type_i18n!$A:$F,6,FALSE)</f>
        <v>1</v>
      </c>
      <c r="M518" s="9" t="str">
        <f ca="1">VLOOKUP(A518,[2]characters!$A:$M,13,FALSE)</f>
        <v>human</v>
      </c>
      <c r="N518" s="6" t="str">
        <f ca="1">VLOOKUP(M518,[2]character_tribe_i18n!$A:$F,3,FALSE)</f>
        <v>ヒューマン</v>
      </c>
      <c r="O518" s="97">
        <f ca="1">VLOOKUP(M518,[2]character_tribe_i18n!$A:$F,4,FALSE)</f>
        <v>0.94</v>
      </c>
      <c r="P518" s="97">
        <f ca="1">VLOOKUP(M518,[2]character_tribe_i18n!$A:$F,5,FALSE)</f>
        <v>0.99</v>
      </c>
      <c r="Q518" s="97">
        <f ca="1">VLOOKUP(M518,[2]character_tribe_i18n!$A:$F,6,FALSE)</f>
        <v>1</v>
      </c>
      <c r="R518" s="98" t="s">
        <v>98</v>
      </c>
      <c r="S518" s="97">
        <f>VLOOKUP($R518,ラベル別係数!$A$1:$E$7,3,FALSE)</f>
        <v>5</v>
      </c>
      <c r="T518" s="97">
        <f>VLOOKUP($R518,ラベル別係数!$A$1:$E$7,4,FALSE)</f>
        <v>1.3</v>
      </c>
      <c r="U518" s="97">
        <f>VLOOKUP($R518,ラベル別係数!$A$1:$E$7,5,FALSE)</f>
        <v>0.8</v>
      </c>
      <c r="V518" s="98">
        <v>3</v>
      </c>
      <c r="W518" s="99">
        <f>VLOOKUP(V518,ターン数別攻撃係数!$A$1:$B$1000,2,FALSE)</f>
        <v>1</v>
      </c>
      <c r="X518" s="9">
        <f ca="1">VLOOKUP(C518,サイズ別係数!A$2:B$9,2,FALSE)</f>
        <v>60</v>
      </c>
      <c r="Y518" s="97">
        <f ca="1">VLOOKUP($X518,サイズ別係数!$B:$E,2,FALSE)</f>
        <v>1.7</v>
      </c>
      <c r="Z518" s="97">
        <f ca="1">VLOOKUP($X518,サイズ別係数!$B:$E,3,FALSE)</f>
        <v>1.4</v>
      </c>
      <c r="AA518" s="97">
        <f ca="1">VLOOKUP($X518,サイズ別係数!$B:$E,4,FALSE)</f>
        <v>1</v>
      </c>
      <c r="AB518" s="10">
        <v>0</v>
      </c>
      <c r="AC518" s="6" t="str">
        <f ca="1">VLOOKUP($AB518,OFFSET([3]enemy_skill_sets!$B$2,0,0,COUNTA([3]enemy_skill_sets!$A:$A),MATCH(AC$1,[3]enemy_skill_sets!$1:$1,0)-MATCH($AB$1,[3]enemy_skill_sets!$1:$1,0)+1),MATCH(AC$1,[3]enemy_skill_sets!$1:$1,0)-MATCH($AB$1,[3]enemy_skill_sets!$1:$1,0)+1,FALSE)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8" s="67">
        <v>1</v>
      </c>
      <c r="AE518" s="67">
        <v>1</v>
      </c>
      <c r="AF518" s="98">
        <v>0</v>
      </c>
      <c r="AG518" s="99">
        <f ca="1">ROUND(VLOOKUP(1,enemy_base_stats!$A:$F,2,FALSE) * Y518* J518*O518*E518*S518*AD518*[2]ステータス!$B$2,0)</f>
        <v>3196</v>
      </c>
      <c r="AH518" s="99">
        <f ca="1">ROUND(VLOOKUP(1,enemy_base_stats!$A:$F,3,FALSE) * Z518*K518*P518*F518*T518*AE518 * W518*[2]ステータス!$C$2,0)</f>
        <v>207</v>
      </c>
      <c r="AI518" s="99">
        <f ca="1">ROUND(VLOOKUP(1,enemy_base_stats!$A:$F,4,FALSE) * AA518*L518*Q518*G518*U518*AF518*[2]ステータス!$D$2,0)</f>
        <v>0</v>
      </c>
      <c r="AJ518" s="99">
        <f ca="1">ROUND(VLOOKUP(100,enemy_base_stats!$A:$F,2,FALSE) * Y518* J518*O518*E518*S518*AD518*[2]ステータス!$B$2,0)</f>
        <v>129758</v>
      </c>
      <c r="AK518" s="99">
        <f ca="1">ROUND(VLOOKUP(100,enemy_base_stats!$A:$F,3,FALSE)* Z518* K518*P518*F518*T518*AE518 * W518*[2]ステータス!$C$2,0)</f>
        <v>8388</v>
      </c>
      <c r="AL518" s="99">
        <f ca="1">ROUND(VLOOKUP(100,enemy_base_stats!$A:$F,4,FALSE)* AA518* L518*Q518*G518*U518*AF518*[2]ステータス!$D$2,0)</f>
        <v>0</v>
      </c>
      <c r="AM518" s="97">
        <f ca="1">VLOOKUP(M518,[2]character_tribe_i18n!$A:$I,9,FALSE)</f>
        <v>400</v>
      </c>
      <c r="AN518" s="97">
        <v>0</v>
      </c>
      <c r="AO518" s="98">
        <v>0</v>
      </c>
      <c r="AP518" s="58" t="s">
        <v>72</v>
      </c>
      <c r="AQ518" s="34">
        <f t="shared" ca="1" si="26"/>
        <v>517</v>
      </c>
    </row>
    <row r="519" spans="1:43" ht="21" customHeight="1" x14ac:dyDescent="0.15">
      <c r="A519" s="7">
        <f t="shared" ca="1" si="27"/>
        <v>518</v>
      </c>
      <c r="B519" s="6" t="str">
        <f ca="1">VLOOKUP(A519,[2]characters!$A:$C,3,FALSE)</f>
        <v>秘来の聖天使 ミカエル</v>
      </c>
      <c r="C519" s="9">
        <f ca="1">VLOOKUP(A519,[2]characters!$A:$I,9,FALSE)</f>
        <v>4</v>
      </c>
      <c r="D519" s="9" t="str">
        <f ca="1">VLOOKUP(A519,[2]characters!$A:$H,8,FALSE)</f>
        <v>yellow</v>
      </c>
      <c r="E519" s="97">
        <f ca="1">VLOOKUP(D519,[2]属性!$A:$E,2,FALSE)</f>
        <v>0.98</v>
      </c>
      <c r="F519" s="97">
        <f ca="1">VLOOKUP(D519,[2]属性!$A:$E,3,FALSE)</f>
        <v>1.01</v>
      </c>
      <c r="G519" s="97">
        <f ca="1">VLOOKUP(D519,[2]属性!$A:$F,4,FALSE)</f>
        <v>1</v>
      </c>
      <c r="H519" s="9" t="str">
        <f ca="1">VLOOKUP(A519,[2]characters!$A:$K,11,FALSE)</f>
        <v>attack</v>
      </c>
      <c r="I519" s="6" t="str">
        <f ca="1">VLOOKUP(H519,[2]character_type_i18n!$A:$F,3,FALSE)</f>
        <v>攻撃タイプ</v>
      </c>
      <c r="J519" s="97">
        <f ca="1">VLOOKUP(H519,[2]character_type_i18n!$A:$F,4,FALSE)</f>
        <v>1</v>
      </c>
      <c r="K519" s="97">
        <f ca="1">VLOOKUP(H519,[2]character_type_i18n!$A:$F,5,FALSE)</f>
        <v>1.33</v>
      </c>
      <c r="L519" s="97">
        <f ca="1">VLOOKUP(H519,[2]character_type_i18n!$A:$F,6,FALSE)</f>
        <v>1</v>
      </c>
      <c r="M519" s="9" t="str">
        <f ca="1">VLOOKUP(A519,[2]characters!$A:$M,13,FALSE)</f>
        <v>god</v>
      </c>
      <c r="N519" s="6" t="str">
        <f ca="1">VLOOKUP(M519,[2]character_tribe_i18n!$A:$F,3,FALSE)</f>
        <v>ゴッド</v>
      </c>
      <c r="O519" s="97">
        <f ca="1">VLOOKUP(M519,[2]character_tribe_i18n!$A:$F,4,FALSE)</f>
        <v>0.96</v>
      </c>
      <c r="P519" s="97">
        <f ca="1">VLOOKUP(M519,[2]character_tribe_i18n!$A:$F,5,FALSE)</f>
        <v>1.02</v>
      </c>
      <c r="Q519" s="97">
        <f ca="1">VLOOKUP(M519,[2]character_tribe_i18n!$A:$F,6,FALSE)</f>
        <v>1</v>
      </c>
      <c r="R519" s="98" t="s">
        <v>98</v>
      </c>
      <c r="S519" s="97">
        <f>VLOOKUP($R519,ラベル別係数!$A$1:$E$7,3,FALSE)</f>
        <v>5</v>
      </c>
      <c r="T519" s="97">
        <f>VLOOKUP($R519,ラベル別係数!$A$1:$E$7,4,FALSE)</f>
        <v>1.3</v>
      </c>
      <c r="U519" s="97">
        <f>VLOOKUP($R519,ラベル別係数!$A$1:$E$7,5,FALSE)</f>
        <v>0.8</v>
      </c>
      <c r="V519" s="98">
        <v>3</v>
      </c>
      <c r="W519" s="99">
        <f>VLOOKUP(V519,ターン数別攻撃係数!$A$1:$B$1000,2,FALSE)</f>
        <v>1</v>
      </c>
      <c r="X519" s="9">
        <f ca="1">VLOOKUP(C519,サイズ別係数!A$2:B$9,2,FALSE)</f>
        <v>30</v>
      </c>
      <c r="Y519" s="97">
        <f ca="1">VLOOKUP($X519,サイズ別係数!$B:$E,2,FALSE)</f>
        <v>1.3</v>
      </c>
      <c r="Z519" s="97">
        <f ca="1">VLOOKUP($X519,サイズ別係数!$B:$E,3,FALSE)</f>
        <v>1.3</v>
      </c>
      <c r="AA519" s="97">
        <f ca="1">VLOOKUP($X519,サイズ別係数!$B:$E,4,FALSE)</f>
        <v>1.1000000000000001</v>
      </c>
      <c r="AB519" s="10">
        <v>0</v>
      </c>
      <c r="AC519" s="6" t="str">
        <f ca="1">VLOOKUP($AB519,OFFSET([3]enemy_skill_sets!$B$2,0,0,COUNTA([3]enemy_skill_sets!$A:$A),MATCH(AC$1,[3]enemy_skill_sets!$1:$1,0)-MATCH($AB$1,[3]enemy_skill_sets!$1:$1,0)+1),MATCH(AC$1,[3]enemy_skill_sets!$1:$1,0)-MATCH($AB$1,[3]enemy_skill_sets!$1:$1,0)+1,FALSE)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19" s="67">
        <v>1</v>
      </c>
      <c r="AE519" s="67">
        <v>1</v>
      </c>
      <c r="AF519" s="98">
        <v>0</v>
      </c>
      <c r="AG519" s="99">
        <f ca="1">ROUND(VLOOKUP(1,enemy_base_stats!$A:$F,2,FALSE) * Y519* J519*O519*E519*S519*AD519*[2]ステータス!$B$2,0)</f>
        <v>3058</v>
      </c>
      <c r="AH519" s="99">
        <f ca="1">ROUND(VLOOKUP(1,enemy_base_stats!$A:$F,3,FALSE) * Z519*K519*P519*F519*T519*AE519 * W519*[2]ステータス!$C$2,0)</f>
        <v>347</v>
      </c>
      <c r="AI519" s="99">
        <f ca="1">ROUND(VLOOKUP(1,enemy_base_stats!$A:$F,4,FALSE) * AA519*L519*Q519*G519*U519*AF519*[2]ステータス!$D$2,0)</f>
        <v>0</v>
      </c>
      <c r="AJ519" s="99">
        <f ca="1">ROUND(VLOOKUP(100,enemy_base_stats!$A:$F,2,FALSE) * Y519* J519*O519*E519*S519*AD519*[2]ステータス!$B$2,0)</f>
        <v>124139</v>
      </c>
      <c r="AK519" s="99">
        <f ca="1">ROUND(VLOOKUP(100,enemy_base_stats!$A:$F,3,FALSE)* Z519* K519*P519*F519*T519*AE519 * W519*[2]ステータス!$C$2,0)</f>
        <v>14102</v>
      </c>
      <c r="AL519" s="99">
        <f ca="1">ROUND(VLOOKUP(100,enemy_base_stats!$A:$F,4,FALSE)* AA519* L519*Q519*G519*U519*AF519*[2]ステータス!$D$2,0)</f>
        <v>0</v>
      </c>
      <c r="AM519" s="97">
        <f ca="1">VLOOKUP(M519,[2]character_tribe_i18n!$A:$I,9,FALSE)</f>
        <v>680</v>
      </c>
      <c r="AN519" s="97">
        <v>0</v>
      </c>
      <c r="AO519" s="98">
        <v>0</v>
      </c>
      <c r="AP519" s="58" t="s">
        <v>72</v>
      </c>
      <c r="AQ519" s="34">
        <f t="shared" ca="1" si="26"/>
        <v>518</v>
      </c>
    </row>
    <row r="520" spans="1:43" ht="21" customHeight="1" x14ac:dyDescent="0.15">
      <c r="A520" s="7">
        <f t="shared" ca="1" si="27"/>
        <v>519</v>
      </c>
      <c r="B520" s="6" t="str">
        <f ca="1">VLOOKUP(A520,[2]characters!$A:$C,3,FALSE)</f>
        <v>夜天の聖天使 ミカエル・ハレルヤ</v>
      </c>
      <c r="C520" s="9">
        <f ca="1">VLOOKUP(A520,[2]characters!$A:$I,9,FALSE)</f>
        <v>5</v>
      </c>
      <c r="D520" s="9" t="str">
        <f ca="1">VLOOKUP(A520,[2]characters!$A:$H,8,FALSE)</f>
        <v>yellow</v>
      </c>
      <c r="E520" s="97">
        <f ca="1">VLOOKUP(D520,[2]属性!$A:$E,2,FALSE)</f>
        <v>0.98</v>
      </c>
      <c r="F520" s="97">
        <f ca="1">VLOOKUP(D520,[2]属性!$A:$E,3,FALSE)</f>
        <v>1.01</v>
      </c>
      <c r="G520" s="97">
        <f ca="1">VLOOKUP(D520,[2]属性!$A:$F,4,FALSE)</f>
        <v>1</v>
      </c>
      <c r="H520" s="9" t="str">
        <f ca="1">VLOOKUP(A520,[2]characters!$A:$K,11,FALSE)</f>
        <v>attack</v>
      </c>
      <c r="I520" s="6" t="str">
        <f ca="1">VLOOKUP(H520,[2]character_type_i18n!$A:$F,3,FALSE)</f>
        <v>攻撃タイプ</v>
      </c>
      <c r="J520" s="97">
        <f ca="1">VLOOKUP(H520,[2]character_type_i18n!$A:$F,4,FALSE)</f>
        <v>1</v>
      </c>
      <c r="K520" s="97">
        <f ca="1">VLOOKUP(H520,[2]character_type_i18n!$A:$F,5,FALSE)</f>
        <v>1.33</v>
      </c>
      <c r="L520" s="97">
        <f ca="1">VLOOKUP(H520,[2]character_type_i18n!$A:$F,6,FALSE)</f>
        <v>1</v>
      </c>
      <c r="M520" s="9" t="str">
        <f ca="1">VLOOKUP(A520,[2]characters!$A:$M,13,FALSE)</f>
        <v>god</v>
      </c>
      <c r="N520" s="6" t="str">
        <f ca="1">VLOOKUP(M520,[2]character_tribe_i18n!$A:$F,3,FALSE)</f>
        <v>ゴッド</v>
      </c>
      <c r="O520" s="97">
        <f ca="1">VLOOKUP(M520,[2]character_tribe_i18n!$A:$F,4,FALSE)</f>
        <v>0.96</v>
      </c>
      <c r="P520" s="97">
        <f ca="1">VLOOKUP(M520,[2]character_tribe_i18n!$A:$F,5,FALSE)</f>
        <v>1.02</v>
      </c>
      <c r="Q520" s="97">
        <f ca="1">VLOOKUP(M520,[2]character_tribe_i18n!$A:$F,6,FALSE)</f>
        <v>1</v>
      </c>
      <c r="R520" s="98" t="s">
        <v>98</v>
      </c>
      <c r="S520" s="97">
        <f>VLOOKUP($R520,ラベル別係数!$A$1:$E$7,3,FALSE)</f>
        <v>5</v>
      </c>
      <c r="T520" s="97">
        <f>VLOOKUP($R520,ラベル別係数!$A$1:$E$7,4,FALSE)</f>
        <v>1.3</v>
      </c>
      <c r="U520" s="97">
        <f>VLOOKUP($R520,ラベル別係数!$A$1:$E$7,5,FALSE)</f>
        <v>0.8</v>
      </c>
      <c r="V520" s="98">
        <v>3</v>
      </c>
      <c r="W520" s="99">
        <f>VLOOKUP(V520,ターン数別攻撃係数!$A$1:$B$1000,2,FALSE)</f>
        <v>1</v>
      </c>
      <c r="X520" s="9">
        <f ca="1">VLOOKUP(C520,サイズ別係数!A$2:B$9,2,FALSE)</f>
        <v>60</v>
      </c>
      <c r="Y520" s="97">
        <f ca="1">VLOOKUP($X520,サイズ別係数!$B:$E,2,FALSE)</f>
        <v>1.7</v>
      </c>
      <c r="Z520" s="97">
        <f ca="1">VLOOKUP($X520,サイズ別係数!$B:$E,3,FALSE)</f>
        <v>1.4</v>
      </c>
      <c r="AA520" s="97">
        <f ca="1">VLOOKUP($X520,サイズ別係数!$B:$E,4,FALSE)</f>
        <v>1</v>
      </c>
      <c r="AB520" s="10">
        <v>0</v>
      </c>
      <c r="AC520" s="6" t="str">
        <f ca="1">VLOOKUP($AB520,OFFSET([3]enemy_skill_sets!$B$2,0,0,COUNTA([3]enemy_skill_sets!$A:$A),MATCH(AC$1,[3]enemy_skill_sets!$1:$1,0)-MATCH($AB$1,[3]enemy_skill_sets!$1:$1,0)+1),MATCH(AC$1,[3]enemy_skill_sets!$1:$1,0)-MATCH($AB$1,[3]enemy_skill_sets!$1:$1,0)+1,FALSE)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0" s="67">
        <v>1</v>
      </c>
      <c r="AE520" s="67">
        <v>1</v>
      </c>
      <c r="AF520" s="98">
        <v>0</v>
      </c>
      <c r="AG520" s="99">
        <f ca="1">ROUND(VLOOKUP(1,enemy_base_stats!$A:$F,2,FALSE) * Y520* J520*O520*E520*S520*AD520*[2]ステータス!$B$2,0)</f>
        <v>3998</v>
      </c>
      <c r="AH520" s="99">
        <f ca="1">ROUND(VLOOKUP(1,enemy_base_stats!$A:$F,3,FALSE) * Z520*K520*P520*F520*T520*AE520 * W520*[2]ステータス!$C$2,0)</f>
        <v>374</v>
      </c>
      <c r="AI520" s="99">
        <f ca="1">ROUND(VLOOKUP(1,enemy_base_stats!$A:$F,4,FALSE) * AA520*L520*Q520*G520*U520*AF520*[2]ステータス!$D$2,0)</f>
        <v>0</v>
      </c>
      <c r="AJ520" s="99">
        <f ca="1">ROUND(VLOOKUP(100,enemy_base_stats!$A:$F,2,FALSE) * Y520* J520*O520*E520*S520*AD520*[2]ステータス!$B$2,0)</f>
        <v>162335</v>
      </c>
      <c r="AK520" s="99">
        <f ca="1">ROUND(VLOOKUP(100,enemy_base_stats!$A:$F,3,FALSE)* Z520* K520*P520*F520*T520*AE520 * W520*[2]ステータス!$C$2,0)</f>
        <v>15187</v>
      </c>
      <c r="AL520" s="99">
        <f ca="1">ROUND(VLOOKUP(100,enemy_base_stats!$A:$F,4,FALSE)* AA520* L520*Q520*G520*U520*AF520*[2]ステータス!$D$2,0)</f>
        <v>0</v>
      </c>
      <c r="AM520" s="97">
        <f ca="1">VLOOKUP(M520,[2]character_tribe_i18n!$A:$I,9,FALSE)</f>
        <v>680</v>
      </c>
      <c r="AN520" s="97">
        <v>0</v>
      </c>
      <c r="AO520" s="98">
        <v>0</v>
      </c>
      <c r="AP520" s="58" t="s">
        <v>72</v>
      </c>
      <c r="AQ520" s="34">
        <f t="shared" ca="1" si="26"/>
        <v>519</v>
      </c>
    </row>
    <row r="521" spans="1:43" ht="21" customHeight="1" x14ac:dyDescent="0.15">
      <c r="A521" s="7">
        <f t="shared" ca="1" si="27"/>
        <v>520</v>
      </c>
      <c r="B521" s="6" t="str">
        <f ca="1">VLOOKUP(A521,[2]characters!$A:$C,3,FALSE)</f>
        <v>炎のサンタダック</v>
      </c>
      <c r="C521" s="9">
        <f ca="1">VLOOKUP(A521,[2]characters!$A:$I,9,FALSE)</f>
        <v>5</v>
      </c>
      <c r="D521" s="9" t="str">
        <f ca="1">VLOOKUP(A521,[2]characters!$A:$H,8,FALSE)</f>
        <v>red</v>
      </c>
      <c r="E521" s="97">
        <f ca="1">VLOOKUP(D521,[2]属性!$A:$E,2,FALSE)</f>
        <v>1</v>
      </c>
      <c r="F521" s="97">
        <f ca="1">VLOOKUP(D521,[2]属性!$A:$E,3,FALSE)</f>
        <v>1.02</v>
      </c>
      <c r="G521" s="97">
        <f ca="1">VLOOKUP(D521,[2]属性!$A:$F,4,FALSE)</f>
        <v>1</v>
      </c>
      <c r="H521" s="9" t="str">
        <f ca="1">VLOOKUP(A521,[2]characters!$A:$K,11,FALSE)</f>
        <v>exp</v>
      </c>
      <c r="I521" s="6" t="str">
        <f ca="1">VLOOKUP(H521,[2]character_type_i18n!$A:$F,3,FALSE)</f>
        <v>強化素材タイプ</v>
      </c>
      <c r="J521" s="97">
        <f ca="1">VLOOKUP(H521,[2]character_type_i18n!$A:$F,4,FALSE)</f>
        <v>0.1</v>
      </c>
      <c r="K521" s="97">
        <f ca="1">VLOOKUP(H521,[2]character_type_i18n!$A:$F,5,FALSE)</f>
        <v>0.05</v>
      </c>
      <c r="L521" s="97">
        <f ca="1">VLOOKUP(H521,[2]character_type_i18n!$A:$F,6,FALSE)</f>
        <v>1</v>
      </c>
      <c r="M521" s="9" t="str">
        <f ca="1">VLOOKUP(A521,[2]characters!$A:$M,13,FALSE)</f>
        <v>unknown</v>
      </c>
      <c r="N521" s="6" t="str">
        <f ca="1">VLOOKUP(M521,[2]character_tribe_i18n!$A:$F,3,FALSE)</f>
        <v>Unknown</v>
      </c>
      <c r="O521" s="97">
        <f ca="1">VLOOKUP(M521,[2]character_tribe_i18n!$A:$F,4,FALSE)</f>
        <v>1</v>
      </c>
      <c r="P521" s="97">
        <f ca="1">VLOOKUP(M521,[2]character_tribe_i18n!$A:$F,5,FALSE)</f>
        <v>1</v>
      </c>
      <c r="Q521" s="97">
        <f ca="1">VLOOKUP(M521,[2]character_tribe_i18n!$A:$F,6,FALSE)</f>
        <v>1</v>
      </c>
      <c r="R521" s="98" t="s">
        <v>98</v>
      </c>
      <c r="S521" s="97">
        <f>VLOOKUP($R521,ラベル別係数!$A$1:$E$7,3,FALSE)</f>
        <v>5</v>
      </c>
      <c r="T521" s="97">
        <f>VLOOKUP($R521,ラベル別係数!$A$1:$E$7,4,FALSE)</f>
        <v>1.3</v>
      </c>
      <c r="U521" s="97">
        <f>VLOOKUP($R521,ラベル別係数!$A$1:$E$7,5,FALSE)</f>
        <v>0.8</v>
      </c>
      <c r="V521" s="98">
        <v>3</v>
      </c>
      <c r="W521" s="99">
        <f>VLOOKUP(V521,ターン数別攻撃係数!$A$1:$B$1000,2,FALSE)</f>
        <v>1</v>
      </c>
      <c r="X521" s="100">
        <v>30</v>
      </c>
      <c r="Y521" s="102">
        <v>1.7</v>
      </c>
      <c r="Z521" s="102">
        <v>1.4</v>
      </c>
      <c r="AA521" s="102">
        <v>1</v>
      </c>
      <c r="AB521" s="10">
        <v>0</v>
      </c>
      <c r="AC521" s="6" t="str">
        <f ca="1">VLOOKUP($AB521,OFFSET([3]enemy_skill_sets!$B$2,0,0,COUNTA([3]enemy_skill_sets!$A:$A),MATCH(AC$1,[3]enemy_skill_sets!$1:$1,0)-MATCH($AB$1,[3]enemy_skill_sets!$1:$1,0)+1),MATCH(AC$1,[3]enemy_skill_sets!$1:$1,0)-MATCH($AB$1,[3]enemy_skill_sets!$1:$1,0)+1,FALSE)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1" s="67">
        <v>0.35</v>
      </c>
      <c r="AE521" s="67">
        <v>1</v>
      </c>
      <c r="AF521" s="68">
        <v>8.3330000000000002</v>
      </c>
      <c r="AG521" s="99">
        <f ca="1">ROUND(VLOOKUP(1,enemy_base_stats!$A:$F,2,FALSE) * Y521* J521*O521*E521*S521*AD521*[2]ステータス!$B$2,0)</f>
        <v>149</v>
      </c>
      <c r="AH521" s="99">
        <f ca="1">ROUND(VLOOKUP(1,enemy_base_stats!$A:$F,3,FALSE) * Z521*K521*P521*F521*T521*AE521 * W521*[2]ステータス!$C$2,0)</f>
        <v>14</v>
      </c>
      <c r="AI521" s="99">
        <f ca="1">ROUND(VLOOKUP(1,enemy_base_stats!$A:$F,4,FALSE) * AA521*L521*Q521*G521*U521*AF521*[2]ステータス!$D$2,0)</f>
        <v>6666</v>
      </c>
      <c r="AJ521" s="99">
        <f ca="1">ROUND(VLOOKUP(100,enemy_base_stats!$A:$F,2,FALSE) * Y521* J521*O521*E521*S521*AD521*[2]ステータス!$B$2,0)</f>
        <v>6039</v>
      </c>
      <c r="AK521" s="99">
        <f ca="1">ROUND(VLOOKUP(100,enemy_base_stats!$A:$F,3,FALSE)* Z521* K521*P521*F521*T521*AE521 * W521*[2]ステータス!$C$2,0)</f>
        <v>565</v>
      </c>
      <c r="AL521" s="99">
        <f ca="1">ROUND(VLOOKUP(100,enemy_base_stats!$A:$F,4,FALSE)* AA521* L521*Q521*G521*U521*AF521*[2]ステータス!$D$2,0)</f>
        <v>138661</v>
      </c>
      <c r="AM521" s="97">
        <f ca="1">VLOOKUP(M521,[2]character_tribe_i18n!$A:$I,9,FALSE)</f>
        <v>340</v>
      </c>
      <c r="AN521" s="97">
        <v>0</v>
      </c>
      <c r="AO521" s="98">
        <v>0</v>
      </c>
      <c r="AP521" s="58" t="s">
        <v>72</v>
      </c>
      <c r="AQ521" s="34">
        <f t="shared" ca="1" si="26"/>
        <v>520</v>
      </c>
    </row>
    <row r="522" spans="1:43" ht="21" customHeight="1" x14ac:dyDescent="0.15">
      <c r="A522" s="7">
        <f t="shared" ca="1" si="27"/>
        <v>521</v>
      </c>
      <c r="B522" s="6" t="str">
        <f ca="1">VLOOKUP(A522,[2]characters!$A:$C,3,FALSE)</f>
        <v>森のサンタダック</v>
      </c>
      <c r="C522" s="9">
        <f ca="1">VLOOKUP(A522,[2]characters!$A:$I,9,FALSE)</f>
        <v>5</v>
      </c>
      <c r="D522" s="9" t="str">
        <f ca="1">VLOOKUP(A522,[2]characters!$A:$H,8,FALSE)</f>
        <v>green</v>
      </c>
      <c r="E522" s="97">
        <f ca="1">VLOOKUP(D522,[2]属性!$A:$E,2,FALSE)</f>
        <v>1.02</v>
      </c>
      <c r="F522" s="97">
        <f ca="1">VLOOKUP(D522,[2]属性!$A:$E,3,FALSE)</f>
        <v>0.98</v>
      </c>
      <c r="G522" s="97">
        <f ca="1">VLOOKUP(D522,[2]属性!$A:$F,4,FALSE)</f>
        <v>1</v>
      </c>
      <c r="H522" s="9" t="str">
        <f ca="1">VLOOKUP(A522,[2]characters!$A:$K,11,FALSE)</f>
        <v>exp</v>
      </c>
      <c r="I522" s="6" t="str">
        <f ca="1">VLOOKUP(H522,[2]character_type_i18n!$A:$F,3,FALSE)</f>
        <v>強化素材タイプ</v>
      </c>
      <c r="J522" s="97">
        <f ca="1">VLOOKUP(H522,[2]character_type_i18n!$A:$F,4,FALSE)</f>
        <v>0.1</v>
      </c>
      <c r="K522" s="97">
        <f ca="1">VLOOKUP(H522,[2]character_type_i18n!$A:$F,5,FALSE)</f>
        <v>0.05</v>
      </c>
      <c r="L522" s="97">
        <f ca="1">VLOOKUP(H522,[2]character_type_i18n!$A:$F,6,FALSE)</f>
        <v>1</v>
      </c>
      <c r="M522" s="9" t="str">
        <f ca="1">VLOOKUP(A522,[2]characters!$A:$M,13,FALSE)</f>
        <v>unknown</v>
      </c>
      <c r="N522" s="6" t="str">
        <f ca="1">VLOOKUP(M522,[2]character_tribe_i18n!$A:$F,3,FALSE)</f>
        <v>Unknown</v>
      </c>
      <c r="O522" s="97">
        <f ca="1">VLOOKUP(M522,[2]character_tribe_i18n!$A:$F,4,FALSE)</f>
        <v>1</v>
      </c>
      <c r="P522" s="97">
        <f ca="1">VLOOKUP(M522,[2]character_tribe_i18n!$A:$F,5,FALSE)</f>
        <v>1</v>
      </c>
      <c r="Q522" s="97">
        <f ca="1">VLOOKUP(M522,[2]character_tribe_i18n!$A:$F,6,FALSE)</f>
        <v>1</v>
      </c>
      <c r="R522" s="98" t="s">
        <v>98</v>
      </c>
      <c r="S522" s="97">
        <f>VLOOKUP($R522,ラベル別係数!$A$1:$E$7,3,FALSE)</f>
        <v>5</v>
      </c>
      <c r="T522" s="97">
        <f>VLOOKUP($R522,ラベル別係数!$A$1:$E$7,4,FALSE)</f>
        <v>1.3</v>
      </c>
      <c r="U522" s="97">
        <f>VLOOKUP($R522,ラベル別係数!$A$1:$E$7,5,FALSE)</f>
        <v>0.8</v>
      </c>
      <c r="V522" s="98">
        <v>3</v>
      </c>
      <c r="W522" s="99">
        <f>VLOOKUP(V522,ターン数別攻撃係数!$A$1:$B$1000,2,FALSE)</f>
        <v>1</v>
      </c>
      <c r="X522" s="100">
        <v>30</v>
      </c>
      <c r="Y522" s="102">
        <v>1.7</v>
      </c>
      <c r="Z522" s="102">
        <v>1.4</v>
      </c>
      <c r="AA522" s="102">
        <v>1</v>
      </c>
      <c r="AB522" s="10">
        <v>0</v>
      </c>
      <c r="AC522" s="6" t="str">
        <f ca="1">VLOOKUP($AB522,OFFSET([3]enemy_skill_sets!$B$2,0,0,COUNTA([3]enemy_skill_sets!$A:$A),MATCH(AC$1,[3]enemy_skill_sets!$1:$1,0)-MATCH($AB$1,[3]enemy_skill_sets!$1:$1,0)+1),MATCH(AC$1,[3]enemy_skill_sets!$1:$1,0)-MATCH($AB$1,[3]enemy_skill_sets!$1:$1,0)+1,FALSE)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2" s="67">
        <v>0.35</v>
      </c>
      <c r="AE522" s="67">
        <v>1</v>
      </c>
      <c r="AF522" s="68">
        <v>8.3330000000000002</v>
      </c>
      <c r="AG522" s="99">
        <f ca="1">ROUND(VLOOKUP(1,enemy_base_stats!$A:$F,2,FALSE) * Y522* J522*O522*E522*S522*AD522*[2]ステータス!$B$2,0)</f>
        <v>152</v>
      </c>
      <c r="AH522" s="99">
        <f ca="1">ROUND(VLOOKUP(1,enemy_base_stats!$A:$F,3,FALSE) * Z522*K522*P522*F522*T522*AE522 * W522*[2]ステータス!$C$2,0)</f>
        <v>13</v>
      </c>
      <c r="AI522" s="99">
        <f ca="1">ROUND(VLOOKUP(1,enemy_base_stats!$A:$F,4,FALSE) * AA522*L522*Q522*G522*U522*AF522*[2]ステータス!$D$2,0)</f>
        <v>6666</v>
      </c>
      <c r="AJ522" s="99">
        <f ca="1">ROUND(VLOOKUP(100,enemy_base_stats!$A:$F,2,FALSE) * Y522* J522*O522*E522*S522*AD522*[2]ステータス!$B$2,0)</f>
        <v>6160</v>
      </c>
      <c r="AK522" s="99">
        <f ca="1">ROUND(VLOOKUP(100,enemy_base_stats!$A:$F,3,FALSE)* Z522* K522*P522*F522*T522*AE522 * W522*[2]ステータス!$C$2,0)</f>
        <v>543</v>
      </c>
      <c r="AL522" s="99">
        <f ca="1">ROUND(VLOOKUP(100,enemy_base_stats!$A:$F,4,FALSE)* AA522* L522*Q522*G522*U522*AF522*[2]ステータス!$D$2,0)</f>
        <v>138661</v>
      </c>
      <c r="AM522" s="97">
        <f ca="1">VLOOKUP(M522,[2]character_tribe_i18n!$A:$I,9,FALSE)</f>
        <v>340</v>
      </c>
      <c r="AN522" s="97">
        <v>0</v>
      </c>
      <c r="AO522" s="98">
        <v>0</v>
      </c>
      <c r="AP522" s="58" t="s">
        <v>72</v>
      </c>
      <c r="AQ522" s="34">
        <f t="shared" ca="1" si="26"/>
        <v>521</v>
      </c>
    </row>
    <row r="523" spans="1:43" ht="21" customHeight="1" x14ac:dyDescent="0.15">
      <c r="A523" s="7">
        <f t="shared" ca="1" si="27"/>
        <v>522</v>
      </c>
      <c r="B523" s="6" t="str">
        <f ca="1">VLOOKUP(A523,[2]characters!$A:$C,3,FALSE)</f>
        <v>水のサンタダック</v>
      </c>
      <c r="C523" s="9">
        <f ca="1">VLOOKUP(A523,[2]characters!$A:$I,9,FALSE)</f>
        <v>5</v>
      </c>
      <c r="D523" s="9" t="str">
        <f ca="1">VLOOKUP(A523,[2]characters!$A:$H,8,FALSE)</f>
        <v>blue</v>
      </c>
      <c r="E523" s="97">
        <f ca="1">VLOOKUP(D523,[2]属性!$A:$E,2,FALSE)</f>
        <v>1</v>
      </c>
      <c r="F523" s="97">
        <f ca="1">VLOOKUP(D523,[2]属性!$A:$E,3,FALSE)</f>
        <v>0.98</v>
      </c>
      <c r="G523" s="97">
        <f ca="1">VLOOKUP(D523,[2]属性!$A:$F,4,FALSE)</f>
        <v>1</v>
      </c>
      <c r="H523" s="9" t="str">
        <f ca="1">VLOOKUP(A523,[2]characters!$A:$K,11,FALSE)</f>
        <v>exp</v>
      </c>
      <c r="I523" s="6" t="str">
        <f ca="1">VLOOKUP(H523,[2]character_type_i18n!$A:$F,3,FALSE)</f>
        <v>強化素材タイプ</v>
      </c>
      <c r="J523" s="97">
        <f ca="1">VLOOKUP(H523,[2]character_type_i18n!$A:$F,4,FALSE)</f>
        <v>0.1</v>
      </c>
      <c r="K523" s="97">
        <f ca="1">VLOOKUP(H523,[2]character_type_i18n!$A:$F,5,FALSE)</f>
        <v>0.05</v>
      </c>
      <c r="L523" s="97">
        <f ca="1">VLOOKUP(H523,[2]character_type_i18n!$A:$F,6,FALSE)</f>
        <v>1</v>
      </c>
      <c r="M523" s="9" t="str">
        <f ca="1">VLOOKUP(A523,[2]characters!$A:$M,13,FALSE)</f>
        <v>unknown</v>
      </c>
      <c r="N523" s="6" t="str">
        <f ca="1">VLOOKUP(M523,[2]character_tribe_i18n!$A:$F,3,FALSE)</f>
        <v>Unknown</v>
      </c>
      <c r="O523" s="97">
        <f ca="1">VLOOKUP(M523,[2]character_tribe_i18n!$A:$F,4,FALSE)</f>
        <v>1</v>
      </c>
      <c r="P523" s="97">
        <f ca="1">VLOOKUP(M523,[2]character_tribe_i18n!$A:$F,5,FALSE)</f>
        <v>1</v>
      </c>
      <c r="Q523" s="97">
        <f ca="1">VLOOKUP(M523,[2]character_tribe_i18n!$A:$F,6,FALSE)</f>
        <v>1</v>
      </c>
      <c r="R523" s="98" t="s">
        <v>98</v>
      </c>
      <c r="S523" s="97">
        <f>VLOOKUP($R523,ラベル別係数!$A$1:$E$7,3,FALSE)</f>
        <v>5</v>
      </c>
      <c r="T523" s="97">
        <f>VLOOKUP($R523,ラベル別係数!$A$1:$E$7,4,FALSE)</f>
        <v>1.3</v>
      </c>
      <c r="U523" s="97">
        <f>VLOOKUP($R523,ラベル別係数!$A$1:$E$7,5,FALSE)</f>
        <v>0.8</v>
      </c>
      <c r="V523" s="98">
        <v>3</v>
      </c>
      <c r="W523" s="99">
        <f>VLOOKUP(V523,ターン数別攻撃係数!$A$1:$B$1000,2,FALSE)</f>
        <v>1</v>
      </c>
      <c r="X523" s="100">
        <v>30</v>
      </c>
      <c r="Y523" s="102">
        <v>1.7</v>
      </c>
      <c r="Z523" s="102">
        <v>1.4</v>
      </c>
      <c r="AA523" s="102">
        <v>1</v>
      </c>
      <c r="AB523" s="10">
        <v>0</v>
      </c>
      <c r="AC523" s="6" t="str">
        <f ca="1">VLOOKUP($AB523,OFFSET([3]enemy_skill_sets!$B$2,0,0,COUNTA([3]enemy_skill_sets!$A:$A),MATCH(AC$1,[3]enemy_skill_sets!$1:$1,0)-MATCH($AB$1,[3]enemy_skill_sets!$1:$1,0)+1),MATCH(AC$1,[3]enemy_skill_sets!$1:$1,0)-MATCH($AB$1,[3]enemy_skill_sets!$1:$1,0)+1,FALSE)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3" s="67">
        <v>0.35</v>
      </c>
      <c r="AE523" s="67">
        <v>1</v>
      </c>
      <c r="AF523" s="68">
        <v>8.3330000000000002</v>
      </c>
      <c r="AG523" s="99">
        <f ca="1">ROUND(VLOOKUP(1,enemy_base_stats!$A:$F,2,FALSE) * Y523* J523*O523*E523*S523*AD523*[2]ステータス!$B$2,0)</f>
        <v>149</v>
      </c>
      <c r="AH523" s="99">
        <f ca="1">ROUND(VLOOKUP(1,enemy_base_stats!$A:$F,3,FALSE) * Z523*K523*P523*F523*T523*AE523 * W523*[2]ステータス!$C$2,0)</f>
        <v>13</v>
      </c>
      <c r="AI523" s="99">
        <f ca="1">ROUND(VLOOKUP(1,enemy_base_stats!$A:$F,4,FALSE) * AA523*L523*Q523*G523*U523*AF523*[2]ステータス!$D$2,0)</f>
        <v>6666</v>
      </c>
      <c r="AJ523" s="99">
        <f ca="1">ROUND(VLOOKUP(100,enemy_base_stats!$A:$F,2,FALSE) * Y523* J523*O523*E523*S523*AD523*[2]ステータス!$B$2,0)</f>
        <v>6039</v>
      </c>
      <c r="AK523" s="99">
        <f ca="1">ROUND(VLOOKUP(100,enemy_base_stats!$A:$F,3,FALSE)* Z523* K523*P523*F523*T523*AE523 * W523*[2]ステータス!$C$2,0)</f>
        <v>543</v>
      </c>
      <c r="AL523" s="99">
        <f ca="1">ROUND(VLOOKUP(100,enemy_base_stats!$A:$F,4,FALSE)* AA523* L523*Q523*G523*U523*AF523*[2]ステータス!$D$2,0)</f>
        <v>138661</v>
      </c>
      <c r="AM523" s="97">
        <f ca="1">VLOOKUP(M523,[2]character_tribe_i18n!$A:$I,9,FALSE)</f>
        <v>340</v>
      </c>
      <c r="AN523" s="97">
        <v>0</v>
      </c>
      <c r="AO523" s="98">
        <v>0</v>
      </c>
      <c r="AP523" s="58" t="s">
        <v>72</v>
      </c>
      <c r="AQ523" s="34">
        <f t="shared" ca="1" si="26"/>
        <v>522</v>
      </c>
    </row>
    <row r="524" spans="1:43" ht="21" customHeight="1" x14ac:dyDescent="0.15">
      <c r="A524" s="7">
        <f t="shared" ca="1" si="27"/>
        <v>523</v>
      </c>
      <c r="B524" s="6" t="str">
        <f ca="1">VLOOKUP(A524,[2]characters!$A:$C,3,FALSE)</f>
        <v>雷のサンタダック</v>
      </c>
      <c r="C524" s="9">
        <f ca="1">VLOOKUP(A524,[2]characters!$A:$I,9,FALSE)</f>
        <v>5</v>
      </c>
      <c r="D524" s="9" t="str">
        <f ca="1">VLOOKUP(A524,[2]characters!$A:$H,8,FALSE)</f>
        <v>yellow</v>
      </c>
      <c r="E524" s="97">
        <f ca="1">VLOOKUP(D524,[2]属性!$A:$E,2,FALSE)</f>
        <v>0.98</v>
      </c>
      <c r="F524" s="97">
        <f ca="1">VLOOKUP(D524,[2]属性!$A:$E,3,FALSE)</f>
        <v>1.01</v>
      </c>
      <c r="G524" s="97">
        <f ca="1">VLOOKUP(D524,[2]属性!$A:$F,4,FALSE)</f>
        <v>1</v>
      </c>
      <c r="H524" s="9" t="str">
        <f ca="1">VLOOKUP(A524,[2]characters!$A:$K,11,FALSE)</f>
        <v>exp</v>
      </c>
      <c r="I524" s="6" t="str">
        <f ca="1">VLOOKUP(H524,[2]character_type_i18n!$A:$F,3,FALSE)</f>
        <v>強化素材タイプ</v>
      </c>
      <c r="J524" s="97">
        <f ca="1">VLOOKUP(H524,[2]character_type_i18n!$A:$F,4,FALSE)</f>
        <v>0.1</v>
      </c>
      <c r="K524" s="97">
        <f ca="1">VLOOKUP(H524,[2]character_type_i18n!$A:$F,5,FALSE)</f>
        <v>0.05</v>
      </c>
      <c r="L524" s="97">
        <f ca="1">VLOOKUP(H524,[2]character_type_i18n!$A:$F,6,FALSE)</f>
        <v>1</v>
      </c>
      <c r="M524" s="9" t="str">
        <f ca="1">VLOOKUP(A524,[2]characters!$A:$M,13,FALSE)</f>
        <v>unknown</v>
      </c>
      <c r="N524" s="6" t="str">
        <f ca="1">VLOOKUP(M524,[2]character_tribe_i18n!$A:$F,3,FALSE)</f>
        <v>Unknown</v>
      </c>
      <c r="O524" s="97">
        <f ca="1">VLOOKUP(M524,[2]character_tribe_i18n!$A:$F,4,FALSE)</f>
        <v>1</v>
      </c>
      <c r="P524" s="97">
        <f ca="1">VLOOKUP(M524,[2]character_tribe_i18n!$A:$F,5,FALSE)</f>
        <v>1</v>
      </c>
      <c r="Q524" s="97">
        <f ca="1">VLOOKUP(M524,[2]character_tribe_i18n!$A:$F,6,FALSE)</f>
        <v>1</v>
      </c>
      <c r="R524" s="98" t="s">
        <v>98</v>
      </c>
      <c r="S524" s="97">
        <f>VLOOKUP($R524,ラベル別係数!$A$1:$E$7,3,FALSE)</f>
        <v>5</v>
      </c>
      <c r="T524" s="97">
        <f>VLOOKUP($R524,ラベル別係数!$A$1:$E$7,4,FALSE)</f>
        <v>1.3</v>
      </c>
      <c r="U524" s="97">
        <f>VLOOKUP($R524,ラベル別係数!$A$1:$E$7,5,FALSE)</f>
        <v>0.8</v>
      </c>
      <c r="V524" s="98">
        <v>3</v>
      </c>
      <c r="W524" s="99">
        <f>VLOOKUP(V524,ターン数別攻撃係数!$A$1:$B$1000,2,FALSE)</f>
        <v>1</v>
      </c>
      <c r="X524" s="100">
        <v>30</v>
      </c>
      <c r="Y524" s="102">
        <v>1.7</v>
      </c>
      <c r="Z524" s="102">
        <v>1.4</v>
      </c>
      <c r="AA524" s="102">
        <v>1</v>
      </c>
      <c r="AB524" s="10">
        <v>0</v>
      </c>
      <c r="AC524" s="6" t="str">
        <f ca="1">VLOOKUP($AB524,OFFSET([3]enemy_skill_sets!$B$2,0,0,COUNTA([3]enemy_skill_sets!$A:$A),MATCH(AC$1,[3]enemy_skill_sets!$1:$1,0)-MATCH($AB$1,[3]enemy_skill_sets!$1:$1,0)+1),MATCH(AC$1,[3]enemy_skill_sets!$1:$1,0)-MATCH($AB$1,[3]enemy_skill_sets!$1:$1,0)+1,FALSE)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4" s="67">
        <v>0.35</v>
      </c>
      <c r="AE524" s="67">
        <v>1</v>
      </c>
      <c r="AF524" s="68">
        <v>8.3330000000000002</v>
      </c>
      <c r="AG524" s="99">
        <f ca="1">ROUND(VLOOKUP(1,enemy_base_stats!$A:$F,2,FALSE) * Y524* J524*O524*E524*S524*AD524*[2]ステータス!$B$2,0)</f>
        <v>146</v>
      </c>
      <c r="AH524" s="99">
        <f ca="1">ROUND(VLOOKUP(1,enemy_base_stats!$A:$F,3,FALSE) * Z524*K524*P524*F524*T524*AE524 * W524*[2]ステータス!$C$2,0)</f>
        <v>14</v>
      </c>
      <c r="AI524" s="99">
        <f ca="1">ROUND(VLOOKUP(1,enemy_base_stats!$A:$F,4,FALSE) * AA524*L524*Q524*G524*U524*AF524*[2]ステータス!$D$2,0)</f>
        <v>6666</v>
      </c>
      <c r="AJ524" s="99">
        <f ca="1">ROUND(VLOOKUP(100,enemy_base_stats!$A:$F,2,FALSE) * Y524* J524*O524*E524*S524*AD524*[2]ステータス!$B$2,0)</f>
        <v>5918</v>
      </c>
      <c r="AK524" s="99">
        <f ca="1">ROUND(VLOOKUP(100,enemy_base_stats!$A:$F,3,FALSE)* Z524* K524*P524*F524*T524*AE524 * W524*[2]ステータス!$C$2,0)</f>
        <v>560</v>
      </c>
      <c r="AL524" s="99">
        <f ca="1">ROUND(VLOOKUP(100,enemy_base_stats!$A:$F,4,FALSE)* AA524* L524*Q524*G524*U524*AF524*[2]ステータス!$D$2,0)</f>
        <v>138661</v>
      </c>
      <c r="AM524" s="97">
        <f ca="1">VLOOKUP(M524,[2]character_tribe_i18n!$A:$I,9,FALSE)</f>
        <v>340</v>
      </c>
      <c r="AN524" s="97">
        <v>0</v>
      </c>
      <c r="AO524" s="98">
        <v>0</v>
      </c>
      <c r="AP524" s="58" t="s">
        <v>72</v>
      </c>
      <c r="AQ524" s="34">
        <f t="shared" ca="1" si="26"/>
        <v>523</v>
      </c>
    </row>
    <row r="525" spans="1:43" ht="21" customHeight="1" x14ac:dyDescent="0.15">
      <c r="A525" s="7">
        <f t="shared" ca="1" si="27"/>
        <v>524</v>
      </c>
      <c r="B525" s="6" t="str">
        <f ca="1">VLOOKUP(A525,[2]characters!$A:$C,3,FALSE)</f>
        <v>あけおめダック</v>
      </c>
      <c r="C525" s="9">
        <f ca="1">VLOOKUP(A525,[2]characters!$A:$I,9,FALSE)</f>
        <v>6</v>
      </c>
      <c r="D525" s="9" t="str">
        <f ca="1">VLOOKUP(A525,[2]characters!$A:$H,8,FALSE)</f>
        <v>yellow</v>
      </c>
      <c r="E525" s="97">
        <f ca="1">VLOOKUP(D525,[2]属性!$A:$E,2,FALSE)</f>
        <v>0.98</v>
      </c>
      <c r="F525" s="97">
        <f ca="1">VLOOKUP(D525,[2]属性!$A:$E,3,FALSE)</f>
        <v>1.01</v>
      </c>
      <c r="G525" s="97">
        <f ca="1">VLOOKUP(D525,[2]属性!$A:$F,4,FALSE)</f>
        <v>1</v>
      </c>
      <c r="H525" s="9" t="str">
        <f ca="1">VLOOKUP(A525,[2]characters!$A:$K,11,FALSE)</f>
        <v>coin</v>
      </c>
      <c r="I525" s="6" t="str">
        <f ca="1">VLOOKUP(H525,[2]character_type_i18n!$A:$F,3,FALSE)</f>
        <v>コインタイプ</v>
      </c>
      <c r="J525" s="97">
        <f ca="1">VLOOKUP(H525,[2]character_type_i18n!$A:$F,4,FALSE)</f>
        <v>0.1</v>
      </c>
      <c r="K525" s="97">
        <f ca="1">VLOOKUP(H525,[2]character_type_i18n!$A:$F,5,FALSE)</f>
        <v>0.05</v>
      </c>
      <c r="L525" s="97">
        <f ca="1">VLOOKUP(H525,[2]character_type_i18n!$A:$F,6,FALSE)</f>
        <v>1</v>
      </c>
      <c r="M525" s="9" t="str">
        <f ca="1">VLOOKUP(A525,[2]characters!$A:$M,13,FALSE)</f>
        <v>unknown</v>
      </c>
      <c r="N525" s="6" t="str">
        <f ca="1">VLOOKUP(M525,[2]character_tribe_i18n!$A:$F,3,FALSE)</f>
        <v>Unknown</v>
      </c>
      <c r="O525" s="97">
        <f ca="1">VLOOKUP(M525,[2]character_tribe_i18n!$A:$F,4,FALSE)</f>
        <v>1</v>
      </c>
      <c r="P525" s="97">
        <f ca="1">VLOOKUP(M525,[2]character_tribe_i18n!$A:$F,5,FALSE)</f>
        <v>1</v>
      </c>
      <c r="Q525" s="97">
        <f ca="1">VLOOKUP(M525,[2]character_tribe_i18n!$A:$F,6,FALSE)</f>
        <v>1</v>
      </c>
      <c r="R525" s="98" t="s">
        <v>98</v>
      </c>
      <c r="S525" s="97">
        <f>VLOOKUP($R525,ラベル別係数!$A$1:$E$7,3,FALSE)</f>
        <v>5</v>
      </c>
      <c r="T525" s="97">
        <f>VLOOKUP($R525,ラベル別係数!$A$1:$E$7,4,FALSE)</f>
        <v>1.3</v>
      </c>
      <c r="U525" s="97">
        <f>VLOOKUP($R525,ラベル別係数!$A$1:$E$7,5,FALSE)</f>
        <v>0.8</v>
      </c>
      <c r="V525" s="98">
        <v>3</v>
      </c>
      <c r="W525" s="99">
        <f>VLOOKUP(V525,ターン数別攻撃係数!$A$1:$B$1000,2,FALSE)</f>
        <v>1</v>
      </c>
      <c r="X525" s="9">
        <f ca="1">VLOOKUP(C525,サイズ別係数!A$2:B$9,2,FALSE)</f>
        <v>60</v>
      </c>
      <c r="Y525" s="97">
        <f ca="1">VLOOKUP($X525,サイズ別係数!$B:$E,2,FALSE)</f>
        <v>1.7</v>
      </c>
      <c r="Z525" s="97">
        <f ca="1">VLOOKUP($X525,サイズ別係数!$B:$E,3,FALSE)</f>
        <v>1.4</v>
      </c>
      <c r="AA525" s="97">
        <f ca="1">VLOOKUP($X525,サイズ別係数!$B:$E,4,FALSE)</f>
        <v>1</v>
      </c>
      <c r="AB525" s="10">
        <v>0</v>
      </c>
      <c r="AC525" s="6" t="str">
        <f ca="1">VLOOKUP($AB525,OFFSET([3]enemy_skill_sets!$B$2,0,0,COUNTA([3]enemy_skill_sets!$A:$A),MATCH(AC$1,[3]enemy_skill_sets!$1:$1,0)-MATCH($AB$1,[3]enemy_skill_sets!$1:$1,0)+1),MATCH(AC$1,[3]enemy_skill_sets!$1:$1,0)-MATCH($AB$1,[3]enemy_skill_sets!$1:$1,0)+1,FALSE)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5" s="67">
        <v>0.35</v>
      </c>
      <c r="AE525" s="67">
        <v>1</v>
      </c>
      <c r="AF525" s="68">
        <v>8.3330000000000002</v>
      </c>
      <c r="AG525" s="99">
        <f ca="1">ROUND(VLOOKUP(1,enemy_base_stats!$A:$F,2,FALSE) * Y525* J525*O525*E525*S525*AD525*[2]ステータス!$B$2,0)</f>
        <v>146</v>
      </c>
      <c r="AH525" s="99">
        <f ca="1">ROUND(VLOOKUP(1,enemy_base_stats!$A:$F,3,FALSE) * Z525*K525*P525*F525*T525*AE525 * W525*[2]ステータス!$C$2,0)</f>
        <v>14</v>
      </c>
      <c r="AI525" s="99">
        <f ca="1">ROUND(VLOOKUP(1,enemy_base_stats!$A:$F,4,FALSE) * AA525*L525*Q525*G525*U525*AF525*[2]ステータス!$D$2,0)</f>
        <v>6666</v>
      </c>
      <c r="AJ525" s="99">
        <f ca="1">ROUND(VLOOKUP(100,enemy_base_stats!$A:$F,2,FALSE) * Y525* J525*O525*E525*S525*AD525*[2]ステータス!$B$2,0)</f>
        <v>5918</v>
      </c>
      <c r="AK525" s="99">
        <f ca="1">ROUND(VLOOKUP(100,enemy_base_stats!$A:$F,3,FALSE)* Z525* K525*P525*F525*T525*AE525 * W525*[2]ステータス!$C$2,0)</f>
        <v>560</v>
      </c>
      <c r="AL525" s="99">
        <f ca="1">ROUND(VLOOKUP(100,enemy_base_stats!$A:$F,4,FALSE)* AA525* L525*Q525*G525*U525*AF525*[2]ステータス!$D$2,0)</f>
        <v>138661</v>
      </c>
      <c r="AM525" s="97">
        <f ca="1">VLOOKUP(M525,[2]character_tribe_i18n!$A:$I,9,FALSE)</f>
        <v>340</v>
      </c>
      <c r="AN525" s="97">
        <v>0</v>
      </c>
      <c r="AO525" s="98">
        <v>0</v>
      </c>
      <c r="AP525" s="58" t="s">
        <v>72</v>
      </c>
      <c r="AQ525" s="34">
        <f t="shared" ref="AQ525:AQ535" ca="1" si="28">A525</f>
        <v>524</v>
      </c>
    </row>
    <row r="526" spans="1:43" ht="21" customHeight="1" x14ac:dyDescent="0.15">
      <c r="A526" s="7">
        <f t="shared" ca="1" si="27"/>
        <v>525</v>
      </c>
      <c r="B526" s="6" t="str">
        <f ca="1">VLOOKUP(A526,[2]characters!$A:$C,3,FALSE)</f>
        <v>ウィンタースポーツ 雪ミク</v>
      </c>
      <c r="C526" s="9">
        <f ca="1">VLOOKUP(A526,[2]characters!$A:$I,9,FALSE)</f>
        <v>4</v>
      </c>
      <c r="D526" s="9" t="str">
        <f ca="1">VLOOKUP(A526,[2]characters!$A:$H,8,FALSE)</f>
        <v>blue</v>
      </c>
      <c r="E526" s="97">
        <f ca="1">VLOOKUP(D526,[2]属性!$A:$E,2,FALSE)</f>
        <v>1</v>
      </c>
      <c r="F526" s="97">
        <f ca="1">VLOOKUP(D526,[2]属性!$A:$E,3,FALSE)</f>
        <v>0.98</v>
      </c>
      <c r="G526" s="97">
        <f ca="1">VLOOKUP(D526,[2]属性!$A:$F,4,FALSE)</f>
        <v>1</v>
      </c>
      <c r="H526" s="9" t="str">
        <f ca="1">VLOOKUP(A526,[2]characters!$A:$K,11,FALSE)</f>
        <v>heal</v>
      </c>
      <c r="I526" s="6" t="str">
        <f ca="1">VLOOKUP(H526,[2]character_type_i18n!$A:$F,3,FALSE)</f>
        <v>回復タイプ</v>
      </c>
      <c r="J526" s="97">
        <f ca="1">VLOOKUP(H526,[2]character_type_i18n!$A:$F,4,FALSE)</f>
        <v>0.8</v>
      </c>
      <c r="K526" s="97">
        <f ca="1">VLOOKUP(H526,[2]character_type_i18n!$A:$F,5,FALSE)</f>
        <v>0.78</v>
      </c>
      <c r="L526" s="97">
        <f ca="1">VLOOKUP(H526,[2]character_type_i18n!$A:$F,6,FALSE)</f>
        <v>1</v>
      </c>
      <c r="M526" s="9" t="str">
        <f ca="1">VLOOKUP(A526,[2]characters!$A:$M,13,FALSE)</f>
        <v>unknown</v>
      </c>
      <c r="N526" s="6" t="str">
        <f ca="1">VLOOKUP(M526,[2]character_tribe_i18n!$A:$F,3,FALSE)</f>
        <v>Unknown</v>
      </c>
      <c r="O526" s="102">
        <v>0.94</v>
      </c>
      <c r="P526" s="102">
        <v>0.99</v>
      </c>
      <c r="Q526" s="102">
        <v>1</v>
      </c>
      <c r="R526" s="98" t="s">
        <v>98</v>
      </c>
      <c r="S526" s="97">
        <f>VLOOKUP($R526,ラベル別係数!$A$1:$E$7,3,FALSE)</f>
        <v>5</v>
      </c>
      <c r="T526" s="97">
        <f>VLOOKUP($R526,ラベル別係数!$A$1:$E$7,4,FALSE)</f>
        <v>1.3</v>
      </c>
      <c r="U526" s="97">
        <f>VLOOKUP($R526,ラベル別係数!$A$1:$E$7,5,FALSE)</f>
        <v>0.8</v>
      </c>
      <c r="V526" s="98">
        <v>3</v>
      </c>
      <c r="W526" s="99">
        <f>VLOOKUP(V526,ターン数別攻撃係数!$A$1:$B$1000,2,FALSE)</f>
        <v>1</v>
      </c>
      <c r="X526" s="9">
        <f ca="1">VLOOKUP(C526,サイズ別係数!A$2:B$9,2,FALSE)</f>
        <v>30</v>
      </c>
      <c r="Y526" s="97">
        <f ca="1">VLOOKUP($X526,サイズ別係数!$B:$E,2,FALSE)</f>
        <v>1.3</v>
      </c>
      <c r="Z526" s="97">
        <f ca="1">VLOOKUP($X526,サイズ別係数!$B:$E,3,FALSE)</f>
        <v>1.3</v>
      </c>
      <c r="AA526" s="97">
        <f ca="1">VLOOKUP($X526,サイズ別係数!$B:$E,4,FALSE)</f>
        <v>1.1000000000000001</v>
      </c>
      <c r="AB526" s="10">
        <v>0</v>
      </c>
      <c r="AC526" s="6" t="str">
        <f ca="1">VLOOKUP($AB526,OFFSET([3]enemy_skill_sets!$B$2,0,0,COUNTA([3]enemy_skill_sets!$A:$A),MATCH(AC$1,[3]enemy_skill_sets!$1:$1,0)-MATCH($AB$1,[3]enemy_skill_sets!$1:$1,0)+1),MATCH(AC$1,[3]enemy_skill_sets!$1:$1,0)-MATCH($AB$1,[3]enemy_skill_sets!$1:$1,0)+1,FALSE)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6" s="67">
        <v>1</v>
      </c>
      <c r="AE526" s="67">
        <v>1</v>
      </c>
      <c r="AF526" s="68">
        <v>0</v>
      </c>
      <c r="AG526" s="99">
        <f ca="1">ROUND(VLOOKUP(1,enemy_base_stats!$A:$F,2,FALSE) * Y526* J526*O526*E526*S526*AD526*[2]ステータス!$B$2,0)</f>
        <v>2444</v>
      </c>
      <c r="AH526" s="99">
        <f ca="1">ROUND(VLOOKUP(1,enemy_base_stats!$A:$F,3,FALSE) * Z526*K526*P526*F526*T526*AE526 * W526*[2]ステータス!$C$2,0)</f>
        <v>192</v>
      </c>
      <c r="AI526" s="99">
        <f ca="1">ROUND(VLOOKUP(1,enemy_base_stats!$A:$F,4,FALSE) * AA526*L526*Q526*G526*U526*AF526*[2]ステータス!$D$2,0)</f>
        <v>0</v>
      </c>
      <c r="AJ526" s="99">
        <f ca="1">ROUND(VLOOKUP(100,enemy_base_stats!$A:$F,2,FALSE) * Y526* J526*O526*E526*S526*AD526*[2]ステータス!$B$2,0)</f>
        <v>99226</v>
      </c>
      <c r="AK526" s="99">
        <f ca="1">ROUND(VLOOKUP(100,enemy_base_stats!$A:$F,3,FALSE)* Z526* K526*P526*F526*T526*AE526 * W526*[2]ステータス!$C$2,0)</f>
        <v>7789</v>
      </c>
      <c r="AL526" s="99">
        <f ca="1">ROUND(VLOOKUP(100,enemy_base_stats!$A:$F,4,FALSE)* AA526* L526*Q526*G526*U526*AF526*[2]ステータス!$D$2,0)</f>
        <v>0</v>
      </c>
      <c r="AM526" s="97">
        <f ca="1">VLOOKUP(M526,[2]character_tribe_i18n!$A:$I,9,FALSE)</f>
        <v>340</v>
      </c>
      <c r="AN526" s="97">
        <v>0</v>
      </c>
      <c r="AO526" s="98">
        <v>0</v>
      </c>
      <c r="AP526" s="58" t="s">
        <v>72</v>
      </c>
      <c r="AQ526" s="34">
        <f t="shared" ca="1" si="28"/>
        <v>525</v>
      </c>
    </row>
    <row r="527" spans="1:43" ht="21" customHeight="1" x14ac:dyDescent="0.15">
      <c r="A527" s="7">
        <f t="shared" ca="1" si="27"/>
        <v>526</v>
      </c>
      <c r="B527" s="6" t="str">
        <f ca="1">VLOOKUP(A527,[2]characters!$A:$C,3,FALSE)</f>
        <v>大滑走 雪ミク&amp;ラビットユキネ</v>
      </c>
      <c r="C527" s="9">
        <f ca="1">VLOOKUP(A527,[2]characters!$A:$I,9,FALSE)</f>
        <v>5</v>
      </c>
      <c r="D527" s="9" t="str">
        <f ca="1">VLOOKUP(A527,[2]characters!$A:$H,8,FALSE)</f>
        <v>blue</v>
      </c>
      <c r="E527" s="97">
        <f ca="1">VLOOKUP(D527,[2]属性!$A:$E,2,FALSE)</f>
        <v>1</v>
      </c>
      <c r="F527" s="97">
        <f ca="1">VLOOKUP(D527,[2]属性!$A:$E,3,FALSE)</f>
        <v>0.98</v>
      </c>
      <c r="G527" s="97">
        <f ca="1">VLOOKUP(D527,[2]属性!$A:$F,4,FALSE)</f>
        <v>1</v>
      </c>
      <c r="H527" s="9" t="str">
        <f ca="1">VLOOKUP(A527,[2]characters!$A:$K,11,FALSE)</f>
        <v>heal</v>
      </c>
      <c r="I527" s="6" t="str">
        <f ca="1">VLOOKUP(H527,[2]character_type_i18n!$A:$F,3,FALSE)</f>
        <v>回復タイプ</v>
      </c>
      <c r="J527" s="97">
        <f ca="1">VLOOKUP(H527,[2]character_type_i18n!$A:$F,4,FALSE)</f>
        <v>0.8</v>
      </c>
      <c r="K527" s="97">
        <f ca="1">VLOOKUP(H527,[2]character_type_i18n!$A:$F,5,FALSE)</f>
        <v>0.78</v>
      </c>
      <c r="L527" s="97">
        <f ca="1">VLOOKUP(H527,[2]character_type_i18n!$A:$F,6,FALSE)</f>
        <v>1</v>
      </c>
      <c r="M527" s="9" t="str">
        <f ca="1">VLOOKUP(A527,[2]characters!$A:$M,13,FALSE)</f>
        <v>unknown</v>
      </c>
      <c r="N527" s="6" t="str">
        <f ca="1">VLOOKUP(M527,[2]character_tribe_i18n!$A:$F,3,FALSE)</f>
        <v>Unknown</v>
      </c>
      <c r="O527" s="102">
        <v>0.94</v>
      </c>
      <c r="P527" s="102">
        <v>0.99</v>
      </c>
      <c r="Q527" s="102">
        <v>1</v>
      </c>
      <c r="R527" s="98" t="s">
        <v>98</v>
      </c>
      <c r="S527" s="97">
        <f>VLOOKUP($R527,ラベル別係数!$A$1:$E$7,3,FALSE)</f>
        <v>5</v>
      </c>
      <c r="T527" s="97">
        <f>VLOOKUP($R527,ラベル別係数!$A$1:$E$7,4,FALSE)</f>
        <v>1.3</v>
      </c>
      <c r="U527" s="97">
        <f>VLOOKUP($R527,ラベル別係数!$A$1:$E$7,5,FALSE)</f>
        <v>0.8</v>
      </c>
      <c r="V527" s="98">
        <v>3</v>
      </c>
      <c r="W527" s="99">
        <f>VLOOKUP(V527,ターン数別攻撃係数!$A$1:$B$1000,2,FALSE)</f>
        <v>1</v>
      </c>
      <c r="X527" s="9">
        <f ca="1">VLOOKUP(C527,サイズ別係数!A$2:B$9,2,FALSE)</f>
        <v>60</v>
      </c>
      <c r="Y527" s="97">
        <f ca="1">VLOOKUP($X527,サイズ別係数!$B:$E,2,FALSE)</f>
        <v>1.7</v>
      </c>
      <c r="Z527" s="97">
        <f ca="1">VLOOKUP($X527,サイズ別係数!$B:$E,3,FALSE)</f>
        <v>1.4</v>
      </c>
      <c r="AA527" s="97">
        <f ca="1">VLOOKUP($X527,サイズ別係数!$B:$E,4,FALSE)</f>
        <v>1</v>
      </c>
      <c r="AB527" s="10">
        <v>0</v>
      </c>
      <c r="AC527" s="6" t="str">
        <f ca="1">VLOOKUP($AB527,OFFSET([3]enemy_skill_sets!$B$2,0,0,COUNTA([3]enemy_skill_sets!$A:$A),MATCH(AC$1,[3]enemy_skill_sets!$1:$1,0)-MATCH($AB$1,[3]enemy_skill_sets!$1:$1,0)+1),MATCH(AC$1,[3]enemy_skill_sets!$1:$1,0)-MATCH($AB$1,[3]enemy_skill_sets!$1:$1,0)+1,FALSE)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7" s="67">
        <v>1</v>
      </c>
      <c r="AE527" s="67">
        <v>1</v>
      </c>
      <c r="AF527" s="68">
        <v>0</v>
      </c>
      <c r="AG527" s="99">
        <f ca="1">ROUND(VLOOKUP(1,enemy_base_stats!$A:$F,2,FALSE) * Y527* J527*O527*E527*S527*AD527*[2]ステータス!$B$2,0)</f>
        <v>3196</v>
      </c>
      <c r="AH527" s="99">
        <f ca="1">ROUND(VLOOKUP(1,enemy_base_stats!$A:$F,3,FALSE) * Z527*K527*P527*F527*T527*AE527 * W527*[2]ステータス!$C$2,0)</f>
        <v>207</v>
      </c>
      <c r="AI527" s="99">
        <f ca="1">ROUND(VLOOKUP(1,enemy_base_stats!$A:$F,4,FALSE) * AA527*L527*Q527*G527*U527*AF527*[2]ステータス!$D$2,0)</f>
        <v>0</v>
      </c>
      <c r="AJ527" s="99">
        <f ca="1">ROUND(VLOOKUP(100,enemy_base_stats!$A:$F,2,FALSE) * Y527* J527*O527*E527*S527*AD527*[2]ステータス!$B$2,0)</f>
        <v>129758</v>
      </c>
      <c r="AK527" s="99">
        <f ca="1">ROUND(VLOOKUP(100,enemy_base_stats!$A:$F,3,FALSE)* Z527* K527*P527*F527*T527*AE527 * W527*[2]ステータス!$C$2,0)</f>
        <v>8388</v>
      </c>
      <c r="AL527" s="99">
        <f ca="1">ROUND(VLOOKUP(100,enemy_base_stats!$A:$F,4,FALSE)* AA527* L527*Q527*G527*U527*AF527*[2]ステータス!$D$2,0)</f>
        <v>0</v>
      </c>
      <c r="AM527" s="97">
        <f ca="1">VLOOKUP(M527,[2]character_tribe_i18n!$A:$I,9,FALSE)</f>
        <v>340</v>
      </c>
      <c r="AN527" s="97">
        <v>0</v>
      </c>
      <c r="AO527" s="98">
        <v>0</v>
      </c>
      <c r="AP527" s="58" t="s">
        <v>72</v>
      </c>
      <c r="AQ527" s="34">
        <f t="shared" ca="1" si="28"/>
        <v>526</v>
      </c>
    </row>
    <row r="528" spans="1:43" ht="21" customHeight="1" x14ac:dyDescent="0.15">
      <c r="A528" s="7">
        <f t="shared" ca="1" si="27"/>
        <v>527</v>
      </c>
      <c r="B528" s="6" t="str">
        <f ca="1">VLOOKUP(A528,[2]characters!$A:$C,3,FALSE)</f>
        <v>初音ミクV3</v>
      </c>
      <c r="C528" s="9">
        <f ca="1">VLOOKUP(A528,[2]characters!$A:$I,9,FALSE)</f>
        <v>4</v>
      </c>
      <c r="D528" s="9" t="str">
        <f ca="1">VLOOKUP(A528,[2]characters!$A:$H,8,FALSE)</f>
        <v>yellow</v>
      </c>
      <c r="E528" s="97">
        <f ca="1">VLOOKUP(D528,[2]属性!$A:$E,2,FALSE)</f>
        <v>0.98</v>
      </c>
      <c r="F528" s="97">
        <f ca="1">VLOOKUP(D528,[2]属性!$A:$E,3,FALSE)</f>
        <v>1.01</v>
      </c>
      <c r="G528" s="97">
        <f ca="1">VLOOKUP(D528,[2]属性!$A:$F,4,FALSE)</f>
        <v>1</v>
      </c>
      <c r="H528" s="9" t="str">
        <f ca="1">VLOOKUP(A528,[2]characters!$A:$K,11,FALSE)</f>
        <v>balance</v>
      </c>
      <c r="I528" s="6" t="str">
        <f ca="1">VLOOKUP(H528,[2]character_type_i18n!$A:$F,3,FALSE)</f>
        <v>バランスタイプ</v>
      </c>
      <c r="J528" s="97">
        <f ca="1">VLOOKUP(H528,[2]character_type_i18n!$A:$F,4,FALSE)</f>
        <v>1</v>
      </c>
      <c r="K528" s="97">
        <f ca="1">VLOOKUP(H528,[2]character_type_i18n!$A:$F,5,FALSE)</f>
        <v>1</v>
      </c>
      <c r="L528" s="97">
        <f ca="1">VLOOKUP(H528,[2]character_type_i18n!$A:$F,6,FALSE)</f>
        <v>1</v>
      </c>
      <c r="M528" s="9" t="str">
        <f ca="1">VLOOKUP(A528,[2]characters!$A:$M,13,FALSE)</f>
        <v>unknown</v>
      </c>
      <c r="N528" s="6" t="str">
        <f ca="1">VLOOKUP(M528,[2]character_tribe_i18n!$A:$F,3,FALSE)</f>
        <v>Unknown</v>
      </c>
      <c r="O528" s="102">
        <v>0.94</v>
      </c>
      <c r="P528" s="102">
        <v>0.99</v>
      </c>
      <c r="Q528" s="102">
        <v>1</v>
      </c>
      <c r="R528" s="98" t="s">
        <v>98</v>
      </c>
      <c r="S528" s="97">
        <f>VLOOKUP($R528,ラベル別係数!$A$1:$E$7,3,FALSE)</f>
        <v>5</v>
      </c>
      <c r="T528" s="97">
        <f>VLOOKUP($R528,ラベル別係数!$A$1:$E$7,4,FALSE)</f>
        <v>1.3</v>
      </c>
      <c r="U528" s="97">
        <f>VLOOKUP($R528,ラベル別係数!$A$1:$E$7,5,FALSE)</f>
        <v>0.8</v>
      </c>
      <c r="V528" s="98">
        <v>3</v>
      </c>
      <c r="W528" s="99">
        <f>VLOOKUP(V528,ターン数別攻撃係数!$A$1:$B$1000,2,FALSE)</f>
        <v>1</v>
      </c>
      <c r="X528" s="9">
        <f ca="1">VLOOKUP(C528,サイズ別係数!A$2:B$9,2,FALSE)</f>
        <v>30</v>
      </c>
      <c r="Y528" s="97">
        <f ca="1">VLOOKUP($X528,サイズ別係数!$B:$E,2,FALSE)</f>
        <v>1.3</v>
      </c>
      <c r="Z528" s="97">
        <f ca="1">VLOOKUP($X528,サイズ別係数!$B:$E,3,FALSE)</f>
        <v>1.3</v>
      </c>
      <c r="AA528" s="97">
        <f ca="1">VLOOKUP($X528,サイズ別係数!$B:$E,4,FALSE)</f>
        <v>1.1000000000000001</v>
      </c>
      <c r="AB528" s="10">
        <v>0</v>
      </c>
      <c r="AC528" s="6" t="str">
        <f ca="1">VLOOKUP($AB528,OFFSET([3]enemy_skill_sets!$B$2,0,0,COUNTA([3]enemy_skill_sets!$A:$A),MATCH(AC$1,[3]enemy_skill_sets!$1:$1,0)-MATCH($AB$1,[3]enemy_skill_sets!$1:$1,0)+1),MATCH(AC$1,[3]enemy_skill_sets!$1:$1,0)-MATCH($AB$1,[3]enemy_skill_sets!$1:$1,0)+1,FALSE)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8" s="67">
        <v>1</v>
      </c>
      <c r="AE528" s="67">
        <v>0.97040000000000004</v>
      </c>
      <c r="AF528" s="68">
        <v>0</v>
      </c>
      <c r="AG528" s="99">
        <f ca="1">ROUND(VLOOKUP(1,enemy_base_stats!$A:$F,2,FALSE) * Y528* J528*O528*E528*S528*AD528*[2]ステータス!$B$2,0)</f>
        <v>2994</v>
      </c>
      <c r="AH528" s="99">
        <f ca="1">ROUND(VLOOKUP(1,enemy_base_stats!$A:$F,3,FALSE) * Z528*K528*P528*F528*T528*AE528 * W528*[2]ステータス!$C$2,0)</f>
        <v>246</v>
      </c>
      <c r="AI528" s="99">
        <f ca="1">ROUND(VLOOKUP(1,enemy_base_stats!$A:$F,4,FALSE) * AA528*L528*Q528*G528*U528*AF528*[2]ステータス!$D$2,0)</f>
        <v>0</v>
      </c>
      <c r="AJ528" s="99">
        <f ca="1">ROUND(VLOOKUP(70,enemy_base_stats!$A:$F,2,FALSE) * Y528* J528*O528*E528*S528*AD528*[2]ステータス!$B$2,0)</f>
        <v>85626</v>
      </c>
      <c r="AK528" s="99">
        <f ca="1">ROUND(VLOOKUP(100,enemy_base_stats!$A:$F,3,FALSE)* Z528* K528*P528*F528*T528*AE528 * W528*[2]ステータス!$C$2,0)</f>
        <v>9986</v>
      </c>
      <c r="AL528" s="99">
        <f ca="1">ROUND(VLOOKUP(100,enemy_base_stats!$A:$F,4,FALSE)* AA528* L528*Q528*G528*U528*AF528*[2]ステータス!$D$2,0)</f>
        <v>0</v>
      </c>
      <c r="AM528" s="97">
        <f ca="1">VLOOKUP(M528,[2]character_tribe_i18n!$A:$I,9,FALSE)</f>
        <v>340</v>
      </c>
      <c r="AN528" s="97">
        <v>0</v>
      </c>
      <c r="AO528" s="98">
        <v>0</v>
      </c>
      <c r="AP528" s="58" t="s">
        <v>72</v>
      </c>
      <c r="AQ528" s="34">
        <f t="shared" ca="1" si="28"/>
        <v>527</v>
      </c>
    </row>
    <row r="529" spans="1:43" ht="21" customHeight="1" x14ac:dyDescent="0.15">
      <c r="A529" s="7">
        <f t="shared" ca="1" si="27"/>
        <v>528</v>
      </c>
      <c r="B529" s="6" t="str">
        <f ca="1">VLOOKUP(A529,[2]characters!$A:$C,3,FALSE)</f>
        <v>新世の歌姫 初音ミクV3</v>
      </c>
      <c r="C529" s="9">
        <f ca="1">VLOOKUP(A529,[2]characters!$A:$I,9,FALSE)</f>
        <v>5</v>
      </c>
      <c r="D529" s="9" t="str">
        <f ca="1">VLOOKUP(A529,[2]characters!$A:$H,8,FALSE)</f>
        <v>yellow</v>
      </c>
      <c r="E529" s="97">
        <f ca="1">VLOOKUP(D529,[2]属性!$A:$E,2,FALSE)</f>
        <v>0.98</v>
      </c>
      <c r="F529" s="97">
        <f ca="1">VLOOKUP(D529,[2]属性!$A:$E,3,FALSE)</f>
        <v>1.01</v>
      </c>
      <c r="G529" s="97">
        <f ca="1">VLOOKUP(D529,[2]属性!$A:$F,4,FALSE)</f>
        <v>1</v>
      </c>
      <c r="H529" s="9" t="str">
        <f ca="1">VLOOKUP(A529,[2]characters!$A:$K,11,FALSE)</f>
        <v>balance</v>
      </c>
      <c r="I529" s="6" t="str">
        <f ca="1">VLOOKUP(H529,[2]character_type_i18n!$A:$F,3,FALSE)</f>
        <v>バランスタイプ</v>
      </c>
      <c r="J529" s="97">
        <f ca="1">VLOOKUP(H529,[2]character_type_i18n!$A:$F,4,FALSE)</f>
        <v>1</v>
      </c>
      <c r="K529" s="97">
        <f ca="1">VLOOKUP(H529,[2]character_type_i18n!$A:$F,5,FALSE)</f>
        <v>1</v>
      </c>
      <c r="L529" s="97">
        <f ca="1">VLOOKUP(H529,[2]character_type_i18n!$A:$F,6,FALSE)</f>
        <v>1</v>
      </c>
      <c r="M529" s="9" t="str">
        <f ca="1">VLOOKUP(A529,[2]characters!$A:$M,13,FALSE)</f>
        <v>unknown</v>
      </c>
      <c r="N529" s="6" t="str">
        <f ca="1">VLOOKUP(M529,[2]character_tribe_i18n!$A:$F,3,FALSE)</f>
        <v>Unknown</v>
      </c>
      <c r="O529" s="102">
        <v>0.94</v>
      </c>
      <c r="P529" s="102">
        <v>0.99</v>
      </c>
      <c r="Q529" s="102">
        <v>1</v>
      </c>
      <c r="R529" s="98" t="s">
        <v>98</v>
      </c>
      <c r="S529" s="97">
        <f>VLOOKUP($R529,ラベル別係数!$A$1:$E$7,3,FALSE)</f>
        <v>5</v>
      </c>
      <c r="T529" s="97">
        <f>VLOOKUP($R529,ラベル別係数!$A$1:$E$7,4,FALSE)</f>
        <v>1.3</v>
      </c>
      <c r="U529" s="97">
        <f>VLOOKUP($R529,ラベル別係数!$A$1:$E$7,5,FALSE)</f>
        <v>0.8</v>
      </c>
      <c r="V529" s="98">
        <v>3</v>
      </c>
      <c r="W529" s="99">
        <f>VLOOKUP(V529,ターン数別攻撃係数!$A$1:$B$1000,2,FALSE)</f>
        <v>1</v>
      </c>
      <c r="X529" s="9">
        <f ca="1">VLOOKUP(C529,サイズ別係数!A$2:B$9,2,FALSE)</f>
        <v>60</v>
      </c>
      <c r="Y529" s="97">
        <f ca="1">VLOOKUP($X529,サイズ別係数!$B:$E,2,FALSE)</f>
        <v>1.7</v>
      </c>
      <c r="Z529" s="97">
        <f ca="1">VLOOKUP($X529,サイズ別係数!$B:$E,3,FALSE)</f>
        <v>1.4</v>
      </c>
      <c r="AA529" s="97">
        <f ca="1">VLOOKUP($X529,サイズ別係数!$B:$E,4,FALSE)</f>
        <v>1</v>
      </c>
      <c r="AB529" s="10">
        <v>0</v>
      </c>
      <c r="AC529" s="6" t="str">
        <f ca="1">VLOOKUP($AB529,OFFSET([3]enemy_skill_sets!$B$2,0,0,COUNTA([3]enemy_skill_sets!$A:$A),MATCH(AC$1,[3]enemy_skill_sets!$1:$1,0)-MATCH($AB$1,[3]enemy_skill_sets!$1:$1,0)+1),MATCH(AC$1,[3]enemy_skill_sets!$1:$1,0)-MATCH($AB$1,[3]enemy_skill_sets!$1:$1,0)+1,FALSE)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29" s="67">
        <v>1</v>
      </c>
      <c r="AE529" s="67">
        <v>1</v>
      </c>
      <c r="AF529" s="68">
        <v>0</v>
      </c>
      <c r="AG529" s="99">
        <f ca="1">ROUND(VLOOKUP(1,enemy_base_stats!$A:$F,2,FALSE) * Y529* J529*O529*E529*S529*AD529*[2]ステータス!$B$2,0)</f>
        <v>3915</v>
      </c>
      <c r="AH529" s="99">
        <f ca="1">ROUND(VLOOKUP(1,enemy_base_stats!$A:$F,3,FALSE) * Z529*K529*P529*F529*T529*AE529 * W529*[2]ステータス!$C$2,0)</f>
        <v>273</v>
      </c>
      <c r="AI529" s="99">
        <f ca="1">ROUND(VLOOKUP(1,enemy_base_stats!$A:$F,4,FALSE) * AA529*L529*Q529*G529*U529*AF529*[2]ステータス!$D$2,0)</f>
        <v>0</v>
      </c>
      <c r="AJ529" s="99">
        <f ca="1">ROUND(VLOOKUP(100,enemy_base_stats!$A:$F,2,FALSE) * Y529* J529*O529*E529*S529*AD529*[2]ステータス!$B$2,0)</f>
        <v>158953</v>
      </c>
      <c r="AK529" s="99">
        <f ca="1">ROUND(VLOOKUP(100,enemy_base_stats!$A:$F,3,FALSE)* Z529* K529*P529*F529*T529*AE529 * W529*[2]ステータス!$C$2,0)</f>
        <v>11083</v>
      </c>
      <c r="AL529" s="99">
        <f ca="1">ROUND(VLOOKUP(100,enemy_base_stats!$A:$F,4,FALSE)* AA529* L529*Q529*G529*U529*AF529*[2]ステータス!$D$2,0)</f>
        <v>0</v>
      </c>
      <c r="AM529" s="97">
        <f ca="1">VLOOKUP(M529,[2]character_tribe_i18n!$A:$I,9,FALSE)</f>
        <v>340</v>
      </c>
      <c r="AN529" s="97">
        <v>0</v>
      </c>
      <c r="AO529" s="98">
        <v>0</v>
      </c>
      <c r="AP529" s="58" t="s">
        <v>72</v>
      </c>
      <c r="AQ529" s="34">
        <f t="shared" ca="1" si="28"/>
        <v>528</v>
      </c>
    </row>
    <row r="530" spans="1:43" ht="21" customHeight="1" x14ac:dyDescent="0.15">
      <c r="A530" s="7">
        <f t="shared" ca="1" si="27"/>
        <v>529</v>
      </c>
      <c r="B530" s="6" t="str">
        <f ca="1">VLOOKUP(A530,[2]characters!$A:$C,3,FALSE)</f>
        <v>冬服ジェリー</v>
      </c>
      <c r="C530" s="9">
        <f ca="1">VLOOKUP(A530,[2]characters!$A:$I,9,FALSE)</f>
        <v>1</v>
      </c>
      <c r="D530" s="9" t="str">
        <f ca="1">VLOOKUP(A530,[2]characters!$A:$H,8,FALSE)</f>
        <v>red</v>
      </c>
      <c r="E530" s="97">
        <f ca="1">VLOOKUP(D530,[2]属性!$A:$E,2,FALSE)</f>
        <v>1</v>
      </c>
      <c r="F530" s="97">
        <f ca="1">VLOOKUP(D530,[2]属性!$A:$E,3,FALSE)</f>
        <v>1.02</v>
      </c>
      <c r="G530" s="97">
        <f ca="1">VLOOKUP(D530,[2]属性!$A:$F,4,FALSE)</f>
        <v>1</v>
      </c>
      <c r="H530" s="9" t="str">
        <f ca="1">VLOOKUP(A530,[2]characters!$A:$K,11,FALSE)</f>
        <v>attack</v>
      </c>
      <c r="I530" s="6" t="str">
        <f ca="1">VLOOKUP(H530,[2]character_type_i18n!$A:$F,3,FALSE)</f>
        <v>攻撃タイプ</v>
      </c>
      <c r="J530" s="97">
        <f ca="1">VLOOKUP(H530,[2]character_type_i18n!$A:$F,4,FALSE)</f>
        <v>1</v>
      </c>
      <c r="K530" s="97">
        <f ca="1">VLOOKUP(H530,[2]character_type_i18n!$A:$F,5,FALSE)</f>
        <v>1.33</v>
      </c>
      <c r="L530" s="97">
        <f ca="1">VLOOKUP(H530,[2]character_type_i18n!$A:$F,6,FALSE)</f>
        <v>1</v>
      </c>
      <c r="M530" s="9" t="str">
        <f ca="1">VLOOKUP(A530,[2]characters!$A:$M,13,FALSE)</f>
        <v>unknown</v>
      </c>
      <c r="N530" s="6" t="str">
        <f ca="1">VLOOKUP(M530,[2]character_tribe_i18n!$A:$F,3,FALSE)</f>
        <v>Unknown</v>
      </c>
      <c r="O530" s="97">
        <f ca="1">VLOOKUP(M530,[2]character_tribe_i18n!$A:$F,4,FALSE)</f>
        <v>1</v>
      </c>
      <c r="P530" s="97">
        <f ca="1">VLOOKUP(M530,[2]character_tribe_i18n!$A:$F,5,FALSE)</f>
        <v>1</v>
      </c>
      <c r="Q530" s="97">
        <f ca="1">VLOOKUP(M530,[2]character_tribe_i18n!$A:$F,6,FALSE)</f>
        <v>1</v>
      </c>
      <c r="R530" s="25" t="s">
        <v>19</v>
      </c>
      <c r="S530" s="97">
        <f>VLOOKUP($R530,ラベル別係数!$A$1:$E$7,3,FALSE)</f>
        <v>1</v>
      </c>
      <c r="T530" s="97">
        <f>VLOOKUP($R530,ラベル別係数!$A$1:$E$7,4,FALSE)</f>
        <v>1</v>
      </c>
      <c r="U530" s="97">
        <f>VLOOKUP($R530,ラベル別係数!$A$1:$E$7,5,FALSE)</f>
        <v>1</v>
      </c>
      <c r="V530" s="98">
        <v>3</v>
      </c>
      <c r="W530" s="99">
        <f>VLOOKUP(V530,ターン数別攻撃係数!$A$1:$B$1000,2,FALSE)</f>
        <v>1</v>
      </c>
      <c r="X530" s="9">
        <f ca="1">VLOOKUP(C530,サイズ別係数!A$2:B$9,2,FALSE)</f>
        <v>15</v>
      </c>
      <c r="Y530" s="97">
        <f ca="1">VLOOKUP($X530,サイズ別係数!$B:$E,2,FALSE)</f>
        <v>1</v>
      </c>
      <c r="Z530" s="97">
        <f ca="1">VLOOKUP($X530,サイズ別係数!$B:$E,3,FALSE)</f>
        <v>1</v>
      </c>
      <c r="AA530" s="97">
        <f ca="1">VLOOKUP($X530,サイズ別係数!$B:$E,4,FALSE)</f>
        <v>1</v>
      </c>
      <c r="AB530" s="10">
        <v>0</v>
      </c>
      <c r="AC530" s="6" t="str">
        <f ca="1">VLOOKUP($AB530,OFFSET([3]enemy_skill_sets!$B$2,0,0,COUNTA([3]enemy_skill_sets!$A:$A),MATCH(AC$1,[3]enemy_skill_sets!$1:$1,0)-MATCH($AB$1,[3]enemy_skill_sets!$1:$1,0)+1),MATCH(AC$1,[3]enemy_skill_sets!$1:$1,0)-MATCH($AB$1,[3]enemy_skill_sets!$1:$1,0)+1,FALSE)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0" s="67">
        <v>1</v>
      </c>
      <c r="AE530" s="67">
        <v>1.01</v>
      </c>
      <c r="AF530" s="68">
        <v>0</v>
      </c>
      <c r="AG530" s="99">
        <f ca="1">ROUND(VLOOKUP(1,enemy_base_stats!$A:$F,2,FALSE) * Y530* J530*O530*E530*S530*AD530*[2]ステータス!$B$2,0)</f>
        <v>500</v>
      </c>
      <c r="AH530" s="99">
        <f ca="1">ROUND(VLOOKUP(1,enemy_base_stats!$A:$F,3,FALSE) * Z530*K530*P530*F530*T530*AE530 * W530*[2]ステータス!$C$2,0)</f>
        <v>206</v>
      </c>
      <c r="AI530" s="99">
        <f ca="1">ROUND(VLOOKUP(1,enemy_base_stats!$A:$F,4,FALSE) * AA530*L530*Q530*G530*U530*AF530*[2]ステータス!$D$2,0)</f>
        <v>0</v>
      </c>
      <c r="AJ530" s="99">
        <f ca="1">ROUND(VLOOKUP(100,enemy_base_stats!$A:$F,2,FALSE) * Y530* J530*O530*E530*S530*AD530*[2]ステータス!$B$2,0)</f>
        <v>20300</v>
      </c>
      <c r="AK530" s="99">
        <f ca="1">ROUND(VLOOKUP(100,enemy_base_stats!$A:$F,3,FALSE)* Z530* K530*P530*F530*T530*AE530 * W530*[2]ステータス!$C$2,0)</f>
        <v>8344</v>
      </c>
      <c r="AL530" s="99">
        <f ca="1">ROUND(VLOOKUP(100,enemy_base_stats!$A:$F,4,FALSE)* AA530* L530*Q530*G530*U530*AF530*[2]ステータス!$D$2,0)</f>
        <v>0</v>
      </c>
      <c r="AM530" s="97">
        <f ca="1">VLOOKUP(M530,[2]character_tribe_i18n!$A:$I,9,FALSE)</f>
        <v>340</v>
      </c>
      <c r="AN530" s="97">
        <v>0</v>
      </c>
      <c r="AO530" s="98">
        <v>0</v>
      </c>
      <c r="AP530" s="58" t="s">
        <v>72</v>
      </c>
      <c r="AQ530" s="34">
        <f t="shared" ca="1" si="28"/>
        <v>529</v>
      </c>
    </row>
    <row r="531" spans="1:43" ht="21" customHeight="1" x14ac:dyDescent="0.15">
      <c r="A531" s="7">
        <f t="shared" ca="1" si="27"/>
        <v>530</v>
      </c>
      <c r="B531" s="6" t="str">
        <f ca="1">VLOOKUP(A531,[2]characters!$A:$C,3,FALSE)</f>
        <v>冬服ジョー</v>
      </c>
      <c r="C531" s="9">
        <f ca="1">VLOOKUP(A531,[2]characters!$A:$I,9,FALSE)</f>
        <v>1</v>
      </c>
      <c r="D531" s="9" t="str">
        <f ca="1">VLOOKUP(A531,[2]characters!$A:$H,8,FALSE)</f>
        <v>green</v>
      </c>
      <c r="E531" s="97">
        <f ca="1">VLOOKUP(D531,[2]属性!$A:$E,2,FALSE)</f>
        <v>1.02</v>
      </c>
      <c r="F531" s="97">
        <f ca="1">VLOOKUP(D531,[2]属性!$A:$E,3,FALSE)</f>
        <v>0.98</v>
      </c>
      <c r="G531" s="97">
        <f ca="1">VLOOKUP(D531,[2]属性!$A:$F,4,FALSE)</f>
        <v>1</v>
      </c>
      <c r="H531" s="9" t="str">
        <f ca="1">VLOOKUP(A531,[2]characters!$A:$K,11,FALSE)</f>
        <v>balance</v>
      </c>
      <c r="I531" s="6" t="str">
        <f ca="1">VLOOKUP(H531,[2]character_type_i18n!$A:$F,3,FALSE)</f>
        <v>バランスタイプ</v>
      </c>
      <c r="J531" s="97">
        <f ca="1">VLOOKUP(H531,[2]character_type_i18n!$A:$F,4,FALSE)</f>
        <v>1</v>
      </c>
      <c r="K531" s="97">
        <f ca="1">VLOOKUP(H531,[2]character_type_i18n!$A:$F,5,FALSE)</f>
        <v>1</v>
      </c>
      <c r="L531" s="97">
        <f ca="1">VLOOKUP(H531,[2]character_type_i18n!$A:$F,6,FALSE)</f>
        <v>1</v>
      </c>
      <c r="M531" s="9" t="str">
        <f ca="1">VLOOKUP(A531,[2]characters!$A:$M,13,FALSE)</f>
        <v>unknown</v>
      </c>
      <c r="N531" s="6" t="str">
        <f ca="1">VLOOKUP(M531,[2]character_tribe_i18n!$A:$F,3,FALSE)</f>
        <v>Unknown</v>
      </c>
      <c r="O531" s="97">
        <f ca="1">VLOOKUP(M531,[2]character_tribe_i18n!$A:$F,4,FALSE)</f>
        <v>1</v>
      </c>
      <c r="P531" s="97">
        <f ca="1">VLOOKUP(M531,[2]character_tribe_i18n!$A:$F,5,FALSE)</f>
        <v>1</v>
      </c>
      <c r="Q531" s="97">
        <f ca="1">VLOOKUP(M531,[2]character_tribe_i18n!$A:$F,6,FALSE)</f>
        <v>1</v>
      </c>
      <c r="R531" s="25" t="s">
        <v>19</v>
      </c>
      <c r="S531" s="97">
        <f>VLOOKUP($R531,ラベル別係数!$A$1:$E$7,3,FALSE)</f>
        <v>1</v>
      </c>
      <c r="T531" s="97">
        <f>VLOOKUP($R531,ラベル別係数!$A$1:$E$7,4,FALSE)</f>
        <v>1</v>
      </c>
      <c r="U531" s="97">
        <f>VLOOKUP($R531,ラベル別係数!$A$1:$E$7,5,FALSE)</f>
        <v>1</v>
      </c>
      <c r="V531" s="98">
        <v>3</v>
      </c>
      <c r="W531" s="99">
        <f>VLOOKUP(V531,ターン数別攻撃係数!$A$1:$B$1000,2,FALSE)</f>
        <v>1</v>
      </c>
      <c r="X531" s="9">
        <f ca="1">VLOOKUP(C531,サイズ別係数!A$2:B$9,2,FALSE)</f>
        <v>15</v>
      </c>
      <c r="Y531" s="97">
        <f ca="1">VLOOKUP($X531,サイズ別係数!$B:$E,2,FALSE)</f>
        <v>1</v>
      </c>
      <c r="Z531" s="97">
        <f ca="1">VLOOKUP($X531,サイズ別係数!$B:$E,3,FALSE)</f>
        <v>1</v>
      </c>
      <c r="AA531" s="97">
        <f ca="1">VLOOKUP($X531,サイズ別係数!$B:$E,4,FALSE)</f>
        <v>1</v>
      </c>
      <c r="AB531" s="10">
        <v>0</v>
      </c>
      <c r="AC531" s="6" t="str">
        <f ca="1">VLOOKUP($AB531,OFFSET([3]enemy_skill_sets!$B$2,0,0,COUNTA([3]enemy_skill_sets!$A:$A),MATCH(AC$1,[3]enemy_skill_sets!$1:$1,0)-MATCH($AB$1,[3]enemy_skill_sets!$1:$1,0)+1),MATCH(AC$1,[3]enemy_skill_sets!$1:$1,0)-MATCH($AB$1,[3]enemy_skill_sets!$1:$1,0)+1,FALSE)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1" s="67">
        <v>1</v>
      </c>
      <c r="AE531" s="67">
        <v>1</v>
      </c>
      <c r="AF531" s="68">
        <v>0</v>
      </c>
      <c r="AG531" s="99">
        <f ca="1">ROUND(VLOOKUP(1,enemy_base_stats!$A:$F,2,FALSE) * Y531* J531*O531*E531*S531*AD531*[2]ステータス!$B$2,0)</f>
        <v>510</v>
      </c>
      <c r="AH531" s="99">
        <f ca="1">ROUND(VLOOKUP(1,enemy_base_stats!$A:$F,3,FALSE) * Z531*K531*P531*F531*T531*AE531 * W531*[2]ステータス!$C$2,0)</f>
        <v>147</v>
      </c>
      <c r="AI531" s="99">
        <f ca="1">ROUND(VLOOKUP(1,enemy_base_stats!$A:$F,4,FALSE) * AA531*L531*Q531*G531*U531*AF531*[2]ステータス!$D$2,0)</f>
        <v>0</v>
      </c>
      <c r="AJ531" s="99">
        <f ca="1">ROUND(VLOOKUP(100,enemy_base_stats!$A:$F,2,FALSE) * Y531* J531*O531*E531*S531*AD531*[2]ステータス!$B$2,0)</f>
        <v>20706</v>
      </c>
      <c r="AK531" s="99">
        <f ca="1">ROUND(VLOOKUP(100,enemy_base_stats!$A:$F,3,FALSE)* Z531* K531*P531*F531*T531*AE531 * W531*[2]ステータス!$C$2,0)</f>
        <v>5968</v>
      </c>
      <c r="AL531" s="99">
        <f ca="1">ROUND(VLOOKUP(100,enemy_base_stats!$A:$F,4,FALSE)* AA531* L531*Q531*G531*U531*AF531*[2]ステータス!$D$2,0)</f>
        <v>0</v>
      </c>
      <c r="AM531" s="97">
        <f ca="1">VLOOKUP(M531,[2]character_tribe_i18n!$A:$I,9,FALSE)</f>
        <v>340</v>
      </c>
      <c r="AN531" s="97">
        <v>0</v>
      </c>
      <c r="AO531" s="98">
        <v>0</v>
      </c>
      <c r="AP531" s="58" t="s">
        <v>72</v>
      </c>
      <c r="AQ531" s="34">
        <f t="shared" ca="1" si="28"/>
        <v>530</v>
      </c>
    </row>
    <row r="532" spans="1:43" ht="21" customHeight="1" x14ac:dyDescent="0.15">
      <c r="A532" s="7">
        <f t="shared" ca="1" si="27"/>
        <v>531</v>
      </c>
      <c r="B532" s="6" t="str">
        <f ca="1">VLOOKUP(A532,[2]characters!$A:$C,3,FALSE)</f>
        <v>冬服ポチ</v>
      </c>
      <c r="C532" s="9">
        <f ca="1">VLOOKUP(A532,[2]characters!$A:$I,9,FALSE)</f>
        <v>1</v>
      </c>
      <c r="D532" s="9" t="str">
        <f ca="1">VLOOKUP(A532,[2]characters!$A:$H,8,FALSE)</f>
        <v>blue</v>
      </c>
      <c r="E532" s="97">
        <f ca="1">VLOOKUP(D532,[2]属性!$A:$E,2,FALSE)</f>
        <v>1</v>
      </c>
      <c r="F532" s="97">
        <f ca="1">VLOOKUP(D532,[2]属性!$A:$E,3,FALSE)</f>
        <v>0.98</v>
      </c>
      <c r="G532" s="97">
        <f ca="1">VLOOKUP(D532,[2]属性!$A:$F,4,FALSE)</f>
        <v>1</v>
      </c>
      <c r="H532" s="9" t="str">
        <f ca="1">VLOOKUP(A532,[2]characters!$A:$K,11,FALSE)</f>
        <v>heal</v>
      </c>
      <c r="I532" s="6" t="str">
        <f ca="1">VLOOKUP(H532,[2]character_type_i18n!$A:$F,3,FALSE)</f>
        <v>回復タイプ</v>
      </c>
      <c r="J532" s="97">
        <f ca="1">VLOOKUP(H532,[2]character_type_i18n!$A:$F,4,FALSE)</f>
        <v>0.8</v>
      </c>
      <c r="K532" s="97">
        <f ca="1">VLOOKUP(H532,[2]character_type_i18n!$A:$F,5,FALSE)</f>
        <v>0.78</v>
      </c>
      <c r="L532" s="97">
        <f ca="1">VLOOKUP(H532,[2]character_type_i18n!$A:$F,6,FALSE)</f>
        <v>1</v>
      </c>
      <c r="M532" s="9" t="str">
        <f ca="1">VLOOKUP(A532,[2]characters!$A:$M,13,FALSE)</f>
        <v>unknown</v>
      </c>
      <c r="N532" s="6" t="str">
        <f ca="1">VLOOKUP(M532,[2]character_tribe_i18n!$A:$F,3,FALSE)</f>
        <v>Unknown</v>
      </c>
      <c r="O532" s="97">
        <f ca="1">VLOOKUP(M532,[2]character_tribe_i18n!$A:$F,4,FALSE)</f>
        <v>1</v>
      </c>
      <c r="P532" s="97">
        <f ca="1">VLOOKUP(M532,[2]character_tribe_i18n!$A:$F,5,FALSE)</f>
        <v>1</v>
      </c>
      <c r="Q532" s="97">
        <f ca="1">VLOOKUP(M532,[2]character_tribe_i18n!$A:$F,6,FALSE)</f>
        <v>1</v>
      </c>
      <c r="R532" s="25" t="s">
        <v>19</v>
      </c>
      <c r="S532" s="97">
        <f>VLOOKUP($R532,ラベル別係数!$A$1:$E$7,3,FALSE)</f>
        <v>1</v>
      </c>
      <c r="T532" s="97">
        <f>VLOOKUP($R532,ラベル別係数!$A$1:$E$7,4,FALSE)</f>
        <v>1</v>
      </c>
      <c r="U532" s="97">
        <f>VLOOKUP($R532,ラベル別係数!$A$1:$E$7,5,FALSE)</f>
        <v>1</v>
      </c>
      <c r="V532" s="98">
        <v>3</v>
      </c>
      <c r="W532" s="99">
        <f>VLOOKUP(V532,ターン数別攻撃係数!$A$1:$B$1000,2,FALSE)</f>
        <v>1</v>
      </c>
      <c r="X532" s="9">
        <f ca="1">VLOOKUP(C532,サイズ別係数!A$2:B$9,2,FALSE)</f>
        <v>15</v>
      </c>
      <c r="Y532" s="97">
        <f ca="1">VLOOKUP($X532,サイズ別係数!$B:$E,2,FALSE)</f>
        <v>1</v>
      </c>
      <c r="Z532" s="97">
        <f ca="1">VLOOKUP($X532,サイズ別係数!$B:$E,3,FALSE)</f>
        <v>1</v>
      </c>
      <c r="AA532" s="97">
        <f ca="1">VLOOKUP($X532,サイズ別係数!$B:$E,4,FALSE)</f>
        <v>1</v>
      </c>
      <c r="AB532" s="10">
        <v>0</v>
      </c>
      <c r="AC532" s="6" t="str">
        <f ca="1">VLOOKUP($AB532,OFFSET([3]enemy_skill_sets!$B$2,0,0,COUNTA([3]enemy_skill_sets!$A:$A),MATCH(AC$1,[3]enemy_skill_sets!$1:$1,0)-MATCH($AB$1,[3]enemy_skill_sets!$1:$1,0)+1),MATCH(AC$1,[3]enemy_skill_sets!$1:$1,0)-MATCH($AB$1,[3]enemy_skill_sets!$1:$1,0)+1,FALSE)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2" s="67">
        <v>1</v>
      </c>
      <c r="AE532" s="67">
        <v>1</v>
      </c>
      <c r="AF532" s="68">
        <v>0</v>
      </c>
      <c r="AG532" s="99">
        <f ca="1">ROUND(VLOOKUP(1,enemy_base_stats!$A:$F,2,FALSE) * Y532* J532*O532*E532*S532*AD532*[2]ステータス!$B$2,0)</f>
        <v>400</v>
      </c>
      <c r="AH532" s="99">
        <f ca="1">ROUND(VLOOKUP(1,enemy_base_stats!$A:$F,3,FALSE) * Z532*K532*P532*F532*T532*AE532 * W532*[2]ステータス!$C$2,0)</f>
        <v>115</v>
      </c>
      <c r="AI532" s="99">
        <f ca="1">ROUND(VLOOKUP(1,enemy_base_stats!$A:$F,4,FALSE) * AA532*L532*Q532*G532*U532*AF532*[2]ステータス!$D$2,0)</f>
        <v>0</v>
      </c>
      <c r="AJ532" s="99">
        <f ca="1">ROUND(VLOOKUP(100,enemy_base_stats!$A:$F,2,FALSE) * Y532* J532*O532*E532*S532*AD532*[2]ステータス!$B$2,0)</f>
        <v>16240</v>
      </c>
      <c r="AK532" s="99">
        <f ca="1">ROUND(VLOOKUP(100,enemy_base_stats!$A:$F,3,FALSE)* Z532* K532*P532*F532*T532*AE532 * W532*[2]ステータス!$C$2,0)</f>
        <v>4655</v>
      </c>
      <c r="AL532" s="99">
        <f ca="1">ROUND(VLOOKUP(100,enemy_base_stats!$A:$F,4,FALSE)* AA532* L532*Q532*G532*U532*AF532*[2]ステータス!$D$2,0)</f>
        <v>0</v>
      </c>
      <c r="AM532" s="97">
        <f ca="1">VLOOKUP(M532,[2]character_tribe_i18n!$A:$I,9,FALSE)</f>
        <v>340</v>
      </c>
      <c r="AN532" s="97">
        <v>0</v>
      </c>
      <c r="AO532" s="98">
        <v>0</v>
      </c>
      <c r="AP532" s="58" t="s">
        <v>72</v>
      </c>
      <c r="AQ532" s="34">
        <f t="shared" ca="1" si="28"/>
        <v>531</v>
      </c>
    </row>
    <row r="533" spans="1:43" ht="21" customHeight="1" x14ac:dyDescent="0.15">
      <c r="A533" s="7">
        <f t="shared" ca="1" si="27"/>
        <v>532</v>
      </c>
      <c r="B533" s="6" t="str">
        <f ca="1">VLOOKUP(A533,[2]characters!$A:$C,3,FALSE)</f>
        <v>冬服エレキポット</v>
      </c>
      <c r="C533" s="9">
        <f ca="1">VLOOKUP(A533,[2]characters!$A:$I,9,FALSE)</f>
        <v>1</v>
      </c>
      <c r="D533" s="9" t="str">
        <f ca="1">VLOOKUP(A533,[2]characters!$A:$H,8,FALSE)</f>
        <v>yellow</v>
      </c>
      <c r="E533" s="97">
        <f ca="1">VLOOKUP(D533,[2]属性!$A:$E,2,FALSE)</f>
        <v>0.98</v>
      </c>
      <c r="F533" s="97">
        <f ca="1">VLOOKUP(D533,[2]属性!$A:$E,3,FALSE)</f>
        <v>1.01</v>
      </c>
      <c r="G533" s="97">
        <f ca="1">VLOOKUP(D533,[2]属性!$A:$F,4,FALSE)</f>
        <v>1</v>
      </c>
      <c r="H533" s="9" t="str">
        <f ca="1">VLOOKUP(A533,[2]characters!$A:$K,11,FALSE)</f>
        <v>attack</v>
      </c>
      <c r="I533" s="6" t="str">
        <f ca="1">VLOOKUP(H533,[2]character_type_i18n!$A:$F,3,FALSE)</f>
        <v>攻撃タイプ</v>
      </c>
      <c r="J533" s="97">
        <f ca="1">VLOOKUP(H533,[2]character_type_i18n!$A:$F,4,FALSE)</f>
        <v>1</v>
      </c>
      <c r="K533" s="97">
        <f ca="1">VLOOKUP(H533,[2]character_type_i18n!$A:$F,5,FALSE)</f>
        <v>1.33</v>
      </c>
      <c r="L533" s="97">
        <f ca="1">VLOOKUP(H533,[2]character_type_i18n!$A:$F,6,FALSE)</f>
        <v>1</v>
      </c>
      <c r="M533" s="9" t="str">
        <f ca="1">VLOOKUP(A533,[2]characters!$A:$M,13,FALSE)</f>
        <v>unknown</v>
      </c>
      <c r="N533" s="6" t="str">
        <f ca="1">VLOOKUP(M533,[2]character_tribe_i18n!$A:$F,3,FALSE)</f>
        <v>Unknown</v>
      </c>
      <c r="O533" s="97">
        <f ca="1">VLOOKUP(M533,[2]character_tribe_i18n!$A:$F,4,FALSE)</f>
        <v>1</v>
      </c>
      <c r="P533" s="97">
        <f ca="1">VLOOKUP(M533,[2]character_tribe_i18n!$A:$F,5,FALSE)</f>
        <v>1</v>
      </c>
      <c r="Q533" s="97">
        <f ca="1">VLOOKUP(M533,[2]character_tribe_i18n!$A:$F,6,FALSE)</f>
        <v>1</v>
      </c>
      <c r="R533" s="25" t="s">
        <v>19</v>
      </c>
      <c r="S533" s="97">
        <f>VLOOKUP($R533,ラベル別係数!$A$1:$E$7,3,FALSE)</f>
        <v>1</v>
      </c>
      <c r="T533" s="97">
        <f>VLOOKUP($R533,ラベル別係数!$A$1:$E$7,4,FALSE)</f>
        <v>1</v>
      </c>
      <c r="U533" s="97">
        <f>VLOOKUP($R533,ラベル別係数!$A$1:$E$7,5,FALSE)</f>
        <v>1</v>
      </c>
      <c r="V533" s="98">
        <v>3</v>
      </c>
      <c r="W533" s="99">
        <f>VLOOKUP(V533,ターン数別攻撃係数!$A$1:$B$1000,2,FALSE)</f>
        <v>1</v>
      </c>
      <c r="X533" s="9">
        <f ca="1">VLOOKUP(C533,サイズ別係数!A$2:B$9,2,FALSE)</f>
        <v>15</v>
      </c>
      <c r="Y533" s="97">
        <f ca="1">VLOOKUP($X533,サイズ別係数!$B:$E,2,FALSE)</f>
        <v>1</v>
      </c>
      <c r="Z533" s="97">
        <f ca="1">VLOOKUP($X533,サイズ別係数!$B:$E,3,FALSE)</f>
        <v>1</v>
      </c>
      <c r="AA533" s="97">
        <f ca="1">VLOOKUP($X533,サイズ別係数!$B:$E,4,FALSE)</f>
        <v>1</v>
      </c>
      <c r="AB533" s="10">
        <v>0</v>
      </c>
      <c r="AC533" s="6" t="str">
        <f ca="1">VLOOKUP($AB533,OFFSET([3]enemy_skill_sets!$B$2,0,0,COUNTA([3]enemy_skill_sets!$A:$A),MATCH(AC$1,[3]enemy_skill_sets!$1:$1,0)-MATCH($AB$1,[3]enemy_skill_sets!$1:$1,0)+1),MATCH(AC$1,[3]enemy_skill_sets!$1:$1,0)-MATCH($AB$1,[3]enemy_skill_sets!$1:$1,0)+1,FALSE)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3" s="67">
        <v>1</v>
      </c>
      <c r="AE533" s="67">
        <v>1</v>
      </c>
      <c r="AF533" s="68">
        <v>0</v>
      </c>
      <c r="AG533" s="99">
        <f ca="1">ROUND(VLOOKUP(1,enemy_base_stats!$A:$F,2,FALSE) * Y533* J533*O533*E533*S533*AD533*[2]ステータス!$B$2,0)</f>
        <v>490</v>
      </c>
      <c r="AH533" s="99">
        <f ca="1">ROUND(VLOOKUP(1,enemy_base_stats!$A:$F,3,FALSE) * Z533*K533*P533*F533*T533*AE533 * W533*[2]ステータス!$C$2,0)</f>
        <v>201</v>
      </c>
      <c r="AI533" s="99">
        <f ca="1">ROUND(VLOOKUP(1,enemy_base_stats!$A:$F,4,FALSE) * AA533*L533*Q533*G533*U533*AF533*[2]ステータス!$D$2,0)</f>
        <v>0</v>
      </c>
      <c r="AJ533" s="99">
        <f ca="1">ROUND(VLOOKUP(100,enemy_base_stats!$A:$F,2,FALSE) * Y533* J533*O533*E533*S533*AD533*[2]ステータス!$B$2,0)</f>
        <v>19894</v>
      </c>
      <c r="AK533" s="99">
        <f ca="1">ROUND(VLOOKUP(100,enemy_base_stats!$A:$F,3,FALSE)* Z533* K533*P533*F533*T533*AE533 * W533*[2]ステータス!$C$2,0)</f>
        <v>8181</v>
      </c>
      <c r="AL533" s="99">
        <f ca="1">ROUND(VLOOKUP(100,enemy_base_stats!$A:$F,4,FALSE)* AA533* L533*Q533*G533*U533*AF533*[2]ステータス!$D$2,0)</f>
        <v>0</v>
      </c>
      <c r="AM533" s="97">
        <f ca="1">VLOOKUP(M533,[2]character_tribe_i18n!$A:$I,9,FALSE)</f>
        <v>340</v>
      </c>
      <c r="AN533" s="97">
        <v>0</v>
      </c>
      <c r="AO533" s="98">
        <v>0</v>
      </c>
      <c r="AP533" s="58" t="s">
        <v>72</v>
      </c>
      <c r="AQ533" s="34">
        <f t="shared" ca="1" si="28"/>
        <v>532</v>
      </c>
    </row>
    <row r="534" spans="1:43" ht="21" customHeight="1" x14ac:dyDescent="0.15">
      <c r="A534" s="7">
        <f t="shared" ca="1" si="27"/>
        <v>533</v>
      </c>
      <c r="B534" s="6" t="str">
        <f ca="1">VLOOKUP(A534,[2]characters!$A:$C,3,FALSE)</f>
        <v>冬服アカネ</v>
      </c>
      <c r="C534" s="9">
        <f ca="1">VLOOKUP(A534,[2]characters!$A:$I,9,FALSE)</f>
        <v>1</v>
      </c>
      <c r="D534" s="9" t="str">
        <f ca="1">VLOOKUP(A534,[2]characters!$A:$H,8,FALSE)</f>
        <v>red</v>
      </c>
      <c r="E534" s="97">
        <f ca="1">VLOOKUP(D534,[2]属性!$A:$E,2,FALSE)</f>
        <v>1</v>
      </c>
      <c r="F534" s="97">
        <f ca="1">VLOOKUP(D534,[2]属性!$A:$E,3,FALSE)</f>
        <v>1.02</v>
      </c>
      <c r="G534" s="97">
        <f ca="1">VLOOKUP(D534,[2]属性!$A:$F,4,FALSE)</f>
        <v>1</v>
      </c>
      <c r="H534" s="9" t="str">
        <f ca="1">VLOOKUP(A534,[2]characters!$A:$K,11,FALSE)</f>
        <v>balance</v>
      </c>
      <c r="I534" s="6" t="str">
        <f ca="1">VLOOKUP(H534,[2]character_type_i18n!$A:$F,3,FALSE)</f>
        <v>バランスタイプ</v>
      </c>
      <c r="J534" s="97">
        <f ca="1">VLOOKUP(H534,[2]character_type_i18n!$A:$F,4,FALSE)</f>
        <v>1</v>
      </c>
      <c r="K534" s="97">
        <f ca="1">VLOOKUP(H534,[2]character_type_i18n!$A:$F,5,FALSE)</f>
        <v>1</v>
      </c>
      <c r="L534" s="97">
        <f ca="1">VLOOKUP(H534,[2]character_type_i18n!$A:$F,6,FALSE)</f>
        <v>1</v>
      </c>
      <c r="M534" s="9" t="str">
        <f ca="1">VLOOKUP(A534,[2]characters!$A:$M,13,FALSE)</f>
        <v>human</v>
      </c>
      <c r="N534" s="6" t="str">
        <f ca="1">VLOOKUP(M534,[2]character_tribe_i18n!$A:$F,3,FALSE)</f>
        <v>ヒューマン</v>
      </c>
      <c r="O534" s="97">
        <f ca="1">VLOOKUP(M534,[2]character_tribe_i18n!$A:$F,4,FALSE)</f>
        <v>0.94</v>
      </c>
      <c r="P534" s="97">
        <f ca="1">VLOOKUP(M534,[2]character_tribe_i18n!$A:$F,5,FALSE)</f>
        <v>0.99</v>
      </c>
      <c r="Q534" s="97">
        <f ca="1">VLOOKUP(M534,[2]character_tribe_i18n!$A:$F,6,FALSE)</f>
        <v>1</v>
      </c>
      <c r="R534" s="25" t="s">
        <v>19</v>
      </c>
      <c r="S534" s="97">
        <f>VLOOKUP($R534,ラベル別係数!$A$1:$E$7,3,FALSE)</f>
        <v>1</v>
      </c>
      <c r="T534" s="97">
        <f>VLOOKUP($R534,ラベル別係数!$A$1:$E$7,4,FALSE)</f>
        <v>1</v>
      </c>
      <c r="U534" s="97">
        <f>VLOOKUP($R534,ラベル別係数!$A$1:$E$7,5,FALSE)</f>
        <v>1</v>
      </c>
      <c r="V534" s="98">
        <v>3</v>
      </c>
      <c r="W534" s="99">
        <f>VLOOKUP(V534,ターン数別攻撃係数!$A$1:$B$1000,2,FALSE)</f>
        <v>1</v>
      </c>
      <c r="X534" s="9">
        <f ca="1">VLOOKUP(C534,サイズ別係数!A$2:B$9,2,FALSE)</f>
        <v>15</v>
      </c>
      <c r="Y534" s="97">
        <f ca="1">VLOOKUP($X534,サイズ別係数!$B:$E,2,FALSE)</f>
        <v>1</v>
      </c>
      <c r="Z534" s="97">
        <f ca="1">VLOOKUP($X534,サイズ別係数!$B:$E,3,FALSE)</f>
        <v>1</v>
      </c>
      <c r="AA534" s="97">
        <f ca="1">VLOOKUP($X534,サイズ別係数!$B:$E,4,FALSE)</f>
        <v>1</v>
      </c>
      <c r="AB534" s="10">
        <v>0</v>
      </c>
      <c r="AC534" s="6" t="str">
        <f ca="1">VLOOKUP($AB534,OFFSET([3]enemy_skill_sets!$B$2,0,0,COUNTA([3]enemy_skill_sets!$A:$A),MATCH(AC$1,[3]enemy_skill_sets!$1:$1,0)-MATCH($AB$1,[3]enemy_skill_sets!$1:$1,0)+1),MATCH(AC$1,[3]enemy_skill_sets!$1:$1,0)-MATCH($AB$1,[3]enemy_skill_sets!$1:$1,0)+1,FALSE)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4" s="67">
        <v>1</v>
      </c>
      <c r="AE534" s="67">
        <v>1</v>
      </c>
      <c r="AF534" s="68">
        <v>0</v>
      </c>
      <c r="AG534" s="99">
        <f ca="1">ROUND(VLOOKUP(1,enemy_base_stats!$A:$F,2,FALSE) * Y534* J534*O534*E534*S534*AD534*[2]ステータス!$B$2,0)</f>
        <v>470</v>
      </c>
      <c r="AH534" s="99">
        <f ca="1">ROUND(VLOOKUP(1,enemy_base_stats!$A:$F,3,FALSE) * Z534*K534*P534*F534*T534*AE534 * W534*[2]ステータス!$C$2,0)</f>
        <v>151</v>
      </c>
      <c r="AI534" s="99">
        <f ca="1">ROUND(VLOOKUP(1,enemy_base_stats!$A:$F,4,FALSE) * AA534*L534*Q534*G534*U534*AF534*[2]ステータス!$D$2,0)</f>
        <v>0</v>
      </c>
      <c r="AJ534" s="99">
        <f ca="1">ROUND(VLOOKUP(100,enemy_base_stats!$A:$F,2,FALSE) * Y534* J534*O534*E534*S534*AD534*[2]ステータス!$B$2,0)</f>
        <v>19082</v>
      </c>
      <c r="AK534" s="99">
        <f ca="1">ROUND(VLOOKUP(100,enemy_base_stats!$A:$F,3,FALSE)* Z534* K534*P534*F534*T534*AE534 * W534*[2]ステータス!$C$2,0)</f>
        <v>6150</v>
      </c>
      <c r="AL534" s="99">
        <f ca="1">ROUND(VLOOKUP(100,enemy_base_stats!$A:$F,4,FALSE)* AA534* L534*Q534*G534*U534*AF534*[2]ステータス!$D$2,0)</f>
        <v>0</v>
      </c>
      <c r="AM534" s="97">
        <f ca="1">VLOOKUP(M534,[2]character_tribe_i18n!$A:$I,9,FALSE)</f>
        <v>400</v>
      </c>
      <c r="AN534" s="97">
        <v>0</v>
      </c>
      <c r="AO534" s="98">
        <v>0</v>
      </c>
      <c r="AP534" s="58" t="s">
        <v>72</v>
      </c>
      <c r="AQ534" s="34">
        <f t="shared" ca="1" si="28"/>
        <v>533</v>
      </c>
    </row>
    <row r="535" spans="1:43" ht="21" customHeight="1" x14ac:dyDescent="0.15">
      <c r="A535" s="7">
        <f t="shared" ca="1" si="27"/>
        <v>534</v>
      </c>
      <c r="B535" s="6" t="str">
        <f ca="1">VLOOKUP(A535,[2]characters!$A:$C,3,FALSE)</f>
        <v>冬服パトライン</v>
      </c>
      <c r="C535" s="9">
        <f ca="1">VLOOKUP(A535,[2]characters!$A:$I,9,FALSE)</f>
        <v>1</v>
      </c>
      <c r="D535" s="9" t="str">
        <f ca="1">VLOOKUP(A535,[2]characters!$A:$H,8,FALSE)</f>
        <v>green</v>
      </c>
      <c r="E535" s="97">
        <f ca="1">VLOOKUP(D535,[2]属性!$A:$E,2,FALSE)</f>
        <v>1.02</v>
      </c>
      <c r="F535" s="97">
        <f ca="1">VLOOKUP(D535,[2]属性!$A:$E,3,FALSE)</f>
        <v>0.98</v>
      </c>
      <c r="G535" s="97">
        <f ca="1">VLOOKUP(D535,[2]属性!$A:$F,4,FALSE)</f>
        <v>1</v>
      </c>
      <c r="H535" s="9" t="str">
        <f ca="1">VLOOKUP(A535,[2]characters!$A:$K,11,FALSE)</f>
        <v>heal</v>
      </c>
      <c r="I535" s="6" t="str">
        <f ca="1">VLOOKUP(H535,[2]character_type_i18n!$A:$F,3,FALSE)</f>
        <v>回復タイプ</v>
      </c>
      <c r="J535" s="97">
        <f ca="1">VLOOKUP(H535,[2]character_type_i18n!$A:$F,4,FALSE)</f>
        <v>0.8</v>
      </c>
      <c r="K535" s="97">
        <f ca="1">VLOOKUP(H535,[2]character_type_i18n!$A:$F,5,FALSE)</f>
        <v>0.78</v>
      </c>
      <c r="L535" s="97">
        <f ca="1">VLOOKUP(H535,[2]character_type_i18n!$A:$F,6,FALSE)</f>
        <v>1</v>
      </c>
      <c r="M535" s="9" t="str">
        <f ca="1">VLOOKUP(A535,[2]characters!$A:$M,13,FALSE)</f>
        <v>machine</v>
      </c>
      <c r="N535" s="6" t="str">
        <f ca="1">VLOOKUP(M535,[2]character_tribe_i18n!$A:$F,3,FALSE)</f>
        <v>マシン</v>
      </c>
      <c r="O535" s="97">
        <f ca="1">VLOOKUP(M535,[2]character_tribe_i18n!$A:$F,4,FALSE)</f>
        <v>1</v>
      </c>
      <c r="P535" s="97">
        <f ca="1">VLOOKUP(M535,[2]character_tribe_i18n!$A:$F,5,FALSE)</f>
        <v>1</v>
      </c>
      <c r="Q535" s="97">
        <f ca="1">VLOOKUP(M535,[2]character_tribe_i18n!$A:$F,6,FALSE)</f>
        <v>1</v>
      </c>
      <c r="R535" s="25" t="s">
        <v>19</v>
      </c>
      <c r="S535" s="97">
        <f>VLOOKUP($R535,ラベル別係数!$A$1:$E$7,3,FALSE)</f>
        <v>1</v>
      </c>
      <c r="T535" s="97">
        <f>VLOOKUP($R535,ラベル別係数!$A$1:$E$7,4,FALSE)</f>
        <v>1</v>
      </c>
      <c r="U535" s="97">
        <f>VLOOKUP($R535,ラベル別係数!$A$1:$E$7,5,FALSE)</f>
        <v>1</v>
      </c>
      <c r="V535" s="98">
        <v>3</v>
      </c>
      <c r="W535" s="99">
        <f>VLOOKUP(V535,ターン数別攻撃係数!$A$1:$B$1000,2,FALSE)</f>
        <v>1</v>
      </c>
      <c r="X535" s="9">
        <f ca="1">VLOOKUP(C535,サイズ別係数!A$2:B$9,2,FALSE)</f>
        <v>15</v>
      </c>
      <c r="Y535" s="97">
        <f ca="1">VLOOKUP($X535,サイズ別係数!$B:$E,2,FALSE)</f>
        <v>1</v>
      </c>
      <c r="Z535" s="97">
        <f ca="1">VLOOKUP($X535,サイズ別係数!$B:$E,3,FALSE)</f>
        <v>1</v>
      </c>
      <c r="AA535" s="97">
        <f ca="1">VLOOKUP($X535,サイズ別係数!$B:$E,4,FALSE)</f>
        <v>1</v>
      </c>
      <c r="AB535" s="10">
        <v>0</v>
      </c>
      <c r="AC535" s="6" t="str">
        <f ca="1">VLOOKUP($AB535,OFFSET([3]enemy_skill_sets!$B$2,0,0,COUNTA([3]enemy_skill_sets!$A:$A),MATCH(AC$1,[3]enemy_skill_sets!$1:$1,0)-MATCH($AB$1,[3]enemy_skill_sets!$1:$1,0)+1),MATCH(AC$1,[3]enemy_skill_sets!$1:$1,0)-MATCH($AB$1,[3]enemy_skill_sets!$1:$1,0)+1,FALSE)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5" s="67">
        <v>1</v>
      </c>
      <c r="AE535" s="67">
        <v>1</v>
      </c>
      <c r="AF535" s="68">
        <v>0</v>
      </c>
      <c r="AG535" s="99">
        <f ca="1">ROUND(VLOOKUP(1,enemy_base_stats!$A:$F,2,FALSE) * Y535* J535*O535*E535*S535*AD535*[2]ステータス!$B$2,0)</f>
        <v>408</v>
      </c>
      <c r="AH535" s="99">
        <f ca="1">ROUND(VLOOKUP(1,enemy_base_stats!$A:$F,3,FALSE) * Z535*K535*P535*F535*T535*AE535 * W535*[2]ステータス!$C$2,0)</f>
        <v>115</v>
      </c>
      <c r="AI535" s="99">
        <f ca="1">ROUND(VLOOKUP(1,enemy_base_stats!$A:$F,4,FALSE) * AA535*L535*Q535*G535*U535*AF535*[2]ステータス!$D$2,0)</f>
        <v>0</v>
      </c>
      <c r="AJ535" s="99">
        <f ca="1">ROUND(VLOOKUP(100,enemy_base_stats!$A:$F,2,FALSE) * Y535* J535*O535*E535*S535*AD535*[2]ステータス!$B$2,0)</f>
        <v>16565</v>
      </c>
      <c r="AK535" s="99">
        <f ca="1">ROUND(VLOOKUP(100,enemy_base_stats!$A:$F,3,FALSE)* Z535* K535*P535*F535*T535*AE535 * W535*[2]ステータス!$C$2,0)</f>
        <v>4655</v>
      </c>
      <c r="AL535" s="99">
        <f ca="1">ROUND(VLOOKUP(100,enemy_base_stats!$A:$F,4,FALSE)* AA535* L535*Q535*G535*U535*AF535*[2]ステータス!$D$2,0)</f>
        <v>0</v>
      </c>
      <c r="AM535" s="97">
        <f ca="1">VLOOKUP(M535,[2]character_tribe_i18n!$A:$I,9,FALSE)</f>
        <v>520</v>
      </c>
      <c r="AN535" s="97">
        <v>0</v>
      </c>
      <c r="AO535" s="98">
        <v>0</v>
      </c>
      <c r="AP535" s="58" t="s">
        <v>72</v>
      </c>
      <c r="AQ535" s="34">
        <f t="shared" ca="1" si="28"/>
        <v>534</v>
      </c>
    </row>
    <row r="536" spans="1:43" ht="21" customHeight="1" x14ac:dyDescent="0.15">
      <c r="A536" s="7">
        <f t="shared" ca="1" si="27"/>
        <v>535</v>
      </c>
      <c r="B536" s="6" t="str">
        <f ca="1">VLOOKUP(A536,[2]characters!$A:$C,3,FALSE)</f>
        <v>冬服リム</v>
      </c>
      <c r="C536" s="9">
        <f ca="1">VLOOKUP(A536,[2]characters!$A:$I,9,FALSE)</f>
        <v>1</v>
      </c>
      <c r="D536" s="9" t="str">
        <f ca="1">VLOOKUP(A536,[2]characters!$A:$H,8,FALSE)</f>
        <v>blue</v>
      </c>
      <c r="E536" s="97">
        <f ca="1">VLOOKUP(D536,[2]属性!$A:$E,2,FALSE)</f>
        <v>1</v>
      </c>
      <c r="F536" s="97">
        <f ca="1">VLOOKUP(D536,[2]属性!$A:$E,3,FALSE)</f>
        <v>0.98</v>
      </c>
      <c r="G536" s="97">
        <f ca="1">VLOOKUP(D536,[2]属性!$A:$F,4,FALSE)</f>
        <v>1</v>
      </c>
      <c r="H536" s="9" t="str">
        <f ca="1">VLOOKUP(A536,[2]characters!$A:$K,11,FALSE)</f>
        <v>balance</v>
      </c>
      <c r="I536" s="6" t="str">
        <f ca="1">VLOOKUP(H536,[2]character_type_i18n!$A:$F,3,FALSE)</f>
        <v>バランスタイプ</v>
      </c>
      <c r="J536" s="97">
        <f ca="1">VLOOKUP(H536,[2]character_type_i18n!$A:$F,4,FALSE)</f>
        <v>1</v>
      </c>
      <c r="K536" s="97">
        <f ca="1">VLOOKUP(H536,[2]character_type_i18n!$A:$F,5,FALSE)</f>
        <v>1</v>
      </c>
      <c r="L536" s="97">
        <f ca="1">VLOOKUP(H536,[2]character_type_i18n!$A:$F,6,FALSE)</f>
        <v>1</v>
      </c>
      <c r="M536" s="9" t="str">
        <f ca="1">VLOOKUP(A536,[2]characters!$A:$M,13,FALSE)</f>
        <v>human</v>
      </c>
      <c r="N536" s="6" t="str">
        <f ca="1">VLOOKUP(M536,[2]character_tribe_i18n!$A:$F,3,FALSE)</f>
        <v>ヒューマン</v>
      </c>
      <c r="O536" s="97">
        <f ca="1">VLOOKUP(M536,[2]character_tribe_i18n!$A:$F,4,FALSE)</f>
        <v>0.94</v>
      </c>
      <c r="P536" s="97">
        <f ca="1">VLOOKUP(M536,[2]character_tribe_i18n!$A:$F,5,FALSE)</f>
        <v>0.99</v>
      </c>
      <c r="Q536" s="97">
        <f ca="1">VLOOKUP(M536,[2]character_tribe_i18n!$A:$F,6,FALSE)</f>
        <v>1</v>
      </c>
      <c r="R536" s="25" t="s">
        <v>19</v>
      </c>
      <c r="S536" s="97">
        <f>VLOOKUP($R536,ラベル別係数!$A$1:$E$7,3,FALSE)</f>
        <v>1</v>
      </c>
      <c r="T536" s="97">
        <f>VLOOKUP($R536,ラベル別係数!$A$1:$E$7,4,FALSE)</f>
        <v>1</v>
      </c>
      <c r="U536" s="97">
        <f>VLOOKUP($R536,ラベル別係数!$A$1:$E$7,5,FALSE)</f>
        <v>1</v>
      </c>
      <c r="V536" s="98">
        <v>3</v>
      </c>
      <c r="W536" s="99">
        <f>VLOOKUP(V536,ターン数別攻撃係数!$A$1:$B$1000,2,FALSE)</f>
        <v>1</v>
      </c>
      <c r="X536" s="9">
        <f ca="1">VLOOKUP(C536,サイズ別係数!A$2:B$9,2,FALSE)</f>
        <v>15</v>
      </c>
      <c r="Y536" s="97">
        <f ca="1">VLOOKUP($X536,サイズ別係数!$B:$E,2,FALSE)</f>
        <v>1</v>
      </c>
      <c r="Z536" s="97">
        <f ca="1">VLOOKUP($X536,サイズ別係数!$B:$E,3,FALSE)</f>
        <v>1</v>
      </c>
      <c r="AA536" s="97">
        <f ca="1">VLOOKUP($X536,サイズ別係数!$B:$E,4,FALSE)</f>
        <v>1</v>
      </c>
      <c r="AB536" s="10">
        <v>0</v>
      </c>
      <c r="AC536" s="6" t="str">
        <f ca="1">VLOOKUP($AB536,OFFSET([3]enemy_skill_sets!$B$2,0,0,COUNTA([3]enemy_skill_sets!$A:$A),MATCH(AC$1,[3]enemy_skill_sets!$1:$1,0)-MATCH($AB$1,[3]enemy_skill_sets!$1:$1,0)+1),MATCH(AC$1,[3]enemy_skill_sets!$1:$1,0)-MATCH($AB$1,[3]enemy_skill_sets!$1:$1,0)+1,FALSE)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6" s="67">
        <v>1</v>
      </c>
      <c r="AE536" s="67">
        <v>1</v>
      </c>
      <c r="AF536" s="68">
        <v>0</v>
      </c>
      <c r="AG536" s="99">
        <f ca="1">ROUND(VLOOKUP(1,enemy_base_stats!$A:$F,2,FALSE) * Y536* J536*O536*E536*S536*AD536*[2]ステータス!$B$2,0)</f>
        <v>470</v>
      </c>
      <c r="AH536" s="99">
        <f ca="1">ROUND(VLOOKUP(1,enemy_base_stats!$A:$F,3,FALSE) * Z536*K536*P536*F536*T536*AE536 * W536*[2]ステータス!$C$2,0)</f>
        <v>146</v>
      </c>
      <c r="AI536" s="99">
        <f ca="1">ROUND(VLOOKUP(1,enemy_base_stats!$A:$F,4,FALSE) * AA536*L536*Q536*G536*U536*AF536*[2]ステータス!$D$2,0)</f>
        <v>0</v>
      </c>
      <c r="AJ536" s="99">
        <f ca="1">ROUND(VLOOKUP(100,enemy_base_stats!$A:$F,2,FALSE) * Y536* J536*O536*E536*S536*AD536*[2]ステータス!$B$2,0)</f>
        <v>19082</v>
      </c>
      <c r="AK536" s="99">
        <f ca="1">ROUND(VLOOKUP(100,enemy_base_stats!$A:$F,3,FALSE)* Z536* K536*P536*F536*T536*AE536 * W536*[2]ステータス!$C$2,0)</f>
        <v>5909</v>
      </c>
      <c r="AL536" s="99">
        <f ca="1">ROUND(VLOOKUP(100,enemy_base_stats!$A:$F,4,FALSE)* AA536* L536*Q536*G536*U536*AF536*[2]ステータス!$D$2,0)</f>
        <v>0</v>
      </c>
      <c r="AM536" s="97">
        <f ca="1">VLOOKUP(M536,[2]character_tribe_i18n!$A:$I,9,FALSE)</f>
        <v>400</v>
      </c>
      <c r="AN536" s="97">
        <v>0</v>
      </c>
      <c r="AO536" s="98">
        <v>0</v>
      </c>
      <c r="AP536" s="58" t="s">
        <v>72</v>
      </c>
      <c r="AQ536" s="34">
        <f t="shared" ref="AQ536:AQ557" ca="1" si="29">A536</f>
        <v>535</v>
      </c>
    </row>
    <row r="537" spans="1:43" ht="21" customHeight="1" x14ac:dyDescent="0.15">
      <c r="A537" s="7">
        <f t="shared" ca="1" si="27"/>
        <v>536</v>
      </c>
      <c r="B537" s="6" t="str">
        <f ca="1">VLOOKUP(A537,[2]characters!$A:$C,3,FALSE)</f>
        <v>冬服ミミ</v>
      </c>
      <c r="C537" s="9">
        <f ca="1">VLOOKUP(A537,[2]characters!$A:$I,9,FALSE)</f>
        <v>1</v>
      </c>
      <c r="D537" s="9" t="str">
        <f ca="1">VLOOKUP(A537,[2]characters!$A:$H,8,FALSE)</f>
        <v>yellow</v>
      </c>
      <c r="E537" s="97">
        <f ca="1">VLOOKUP(D537,[2]属性!$A:$E,2,FALSE)</f>
        <v>0.98</v>
      </c>
      <c r="F537" s="97">
        <f ca="1">VLOOKUP(D537,[2]属性!$A:$E,3,FALSE)</f>
        <v>1.01</v>
      </c>
      <c r="G537" s="97">
        <f ca="1">VLOOKUP(D537,[2]属性!$A:$F,4,FALSE)</f>
        <v>1</v>
      </c>
      <c r="H537" s="9" t="str">
        <f ca="1">VLOOKUP(A537,[2]characters!$A:$K,11,FALSE)</f>
        <v>attack</v>
      </c>
      <c r="I537" s="6" t="str">
        <f ca="1">VLOOKUP(H537,[2]character_type_i18n!$A:$F,3,FALSE)</f>
        <v>攻撃タイプ</v>
      </c>
      <c r="J537" s="97">
        <f ca="1">VLOOKUP(H537,[2]character_type_i18n!$A:$F,4,FALSE)</f>
        <v>1</v>
      </c>
      <c r="K537" s="97">
        <f ca="1">VLOOKUP(H537,[2]character_type_i18n!$A:$F,5,FALSE)</f>
        <v>1.33</v>
      </c>
      <c r="L537" s="97">
        <f ca="1">VLOOKUP(H537,[2]character_type_i18n!$A:$F,6,FALSE)</f>
        <v>1</v>
      </c>
      <c r="M537" s="9" t="str">
        <f ca="1">VLOOKUP(A537,[2]characters!$A:$M,13,FALSE)</f>
        <v>animal</v>
      </c>
      <c r="N537" s="6" t="str">
        <f ca="1">VLOOKUP(M537,[2]character_tribe_i18n!$A:$F,3,FALSE)</f>
        <v>アニマル</v>
      </c>
      <c r="O537" s="97">
        <f ca="1">VLOOKUP(M537,[2]character_tribe_i18n!$A:$F,4,FALSE)</f>
        <v>1</v>
      </c>
      <c r="P537" s="97">
        <f ca="1">VLOOKUP(M537,[2]character_tribe_i18n!$A:$F,5,FALSE)</f>
        <v>1.1000000000000001</v>
      </c>
      <c r="Q537" s="97">
        <f ca="1">VLOOKUP(M537,[2]character_tribe_i18n!$A:$F,6,FALSE)</f>
        <v>1</v>
      </c>
      <c r="R537" s="25" t="s">
        <v>19</v>
      </c>
      <c r="S537" s="97">
        <f>VLOOKUP($R537,ラベル別係数!$A$1:$E$7,3,FALSE)</f>
        <v>1</v>
      </c>
      <c r="T537" s="97">
        <f>VLOOKUP($R537,ラベル別係数!$A$1:$E$7,4,FALSE)</f>
        <v>1</v>
      </c>
      <c r="U537" s="97">
        <f>VLOOKUP($R537,ラベル別係数!$A$1:$E$7,5,FALSE)</f>
        <v>1</v>
      </c>
      <c r="V537" s="98">
        <v>3</v>
      </c>
      <c r="W537" s="99">
        <f>VLOOKUP(V537,ターン数別攻撃係数!$A$1:$B$1000,2,FALSE)</f>
        <v>1</v>
      </c>
      <c r="X537" s="9">
        <f ca="1">VLOOKUP(C537,サイズ別係数!A$2:B$9,2,FALSE)</f>
        <v>15</v>
      </c>
      <c r="Y537" s="97">
        <f ca="1">VLOOKUP($X537,サイズ別係数!$B:$E,2,FALSE)</f>
        <v>1</v>
      </c>
      <c r="Z537" s="97">
        <f ca="1">VLOOKUP($X537,サイズ別係数!$B:$E,3,FALSE)</f>
        <v>1</v>
      </c>
      <c r="AA537" s="97">
        <f ca="1">VLOOKUP($X537,サイズ別係数!$B:$E,4,FALSE)</f>
        <v>1</v>
      </c>
      <c r="AB537" s="10">
        <v>0</v>
      </c>
      <c r="AC537" s="6" t="str">
        <f ca="1">VLOOKUP($AB537,OFFSET([3]enemy_skill_sets!$B$2,0,0,COUNTA([3]enemy_skill_sets!$A:$A),MATCH(AC$1,[3]enemy_skill_sets!$1:$1,0)-MATCH($AB$1,[3]enemy_skill_sets!$1:$1,0)+1),MATCH(AC$1,[3]enemy_skill_sets!$1:$1,0)-MATCH($AB$1,[3]enemy_skill_sets!$1:$1,0)+1,FALSE)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7" s="67">
        <v>1</v>
      </c>
      <c r="AE537" s="67">
        <v>1</v>
      </c>
      <c r="AF537" s="68">
        <v>0</v>
      </c>
      <c r="AG537" s="99">
        <f ca="1">ROUND(VLOOKUP(1,enemy_base_stats!$A:$F,2,FALSE) * Y537* J537*O537*E537*S537*AD537*[2]ステータス!$B$2,0)</f>
        <v>490</v>
      </c>
      <c r="AH537" s="99">
        <f ca="1">ROUND(VLOOKUP(1,enemy_base_stats!$A:$F,3,FALSE) * Z537*K537*P537*F537*T537*AE537 * W537*[2]ステータス!$C$2,0)</f>
        <v>222</v>
      </c>
      <c r="AI537" s="99">
        <f ca="1">ROUND(VLOOKUP(1,enemy_base_stats!$A:$F,4,FALSE) * AA537*L537*Q537*G537*U537*AF537*[2]ステータス!$D$2,0)</f>
        <v>0</v>
      </c>
      <c r="AJ537" s="99">
        <f ca="1">ROUND(VLOOKUP(100,enemy_base_stats!$A:$F,2,FALSE) * Y537* J537*O537*E537*S537*AD537*[2]ステータス!$B$2,0)</f>
        <v>19894</v>
      </c>
      <c r="AK537" s="99">
        <f ca="1">ROUND(VLOOKUP(100,enemy_base_stats!$A:$F,3,FALSE)* Z537* K537*P537*F537*T537*AE537 * W537*[2]ステータス!$C$2,0)</f>
        <v>8999</v>
      </c>
      <c r="AL537" s="99">
        <f ca="1">ROUND(VLOOKUP(100,enemy_base_stats!$A:$F,4,FALSE)* AA537* L537*Q537*G537*U537*AF537*[2]ステータス!$D$2,0)</f>
        <v>0</v>
      </c>
      <c r="AM537" s="97">
        <f ca="1">VLOOKUP(M537,[2]character_tribe_i18n!$A:$I,9,FALSE)</f>
        <v>480</v>
      </c>
      <c r="AN537" s="97">
        <v>0</v>
      </c>
      <c r="AO537" s="98">
        <v>0</v>
      </c>
      <c r="AP537" s="58" t="s">
        <v>72</v>
      </c>
      <c r="AQ537" s="34">
        <f t="shared" ca="1" si="29"/>
        <v>536</v>
      </c>
    </row>
    <row r="538" spans="1:43" ht="21" customHeight="1" x14ac:dyDescent="0.15">
      <c r="A538" s="7">
        <f t="shared" ca="1" si="27"/>
        <v>537</v>
      </c>
      <c r="B538" s="6" t="str">
        <f ca="1">VLOOKUP(A538,[2]characters!$A:$C,3,FALSE)</f>
        <v>冬服ハッピー100</v>
      </c>
      <c r="C538" s="9">
        <f ca="1">VLOOKUP(A538,[2]characters!$A:$I,9,FALSE)</f>
        <v>3</v>
      </c>
      <c r="D538" s="9" t="str">
        <f ca="1">VLOOKUP(A538,[2]characters!$A:$H,8,FALSE)</f>
        <v>green</v>
      </c>
      <c r="E538" s="97">
        <f ca="1">VLOOKUP(D538,[2]属性!$A:$E,2,FALSE)</f>
        <v>1.02</v>
      </c>
      <c r="F538" s="97">
        <f ca="1">VLOOKUP(D538,[2]属性!$A:$E,3,FALSE)</f>
        <v>0.98</v>
      </c>
      <c r="G538" s="97">
        <f ca="1">VLOOKUP(D538,[2]属性!$A:$F,4,FALSE)</f>
        <v>1</v>
      </c>
      <c r="H538" s="9" t="str">
        <f ca="1">VLOOKUP(A538,[2]characters!$A:$K,11,FALSE)</f>
        <v>heal</v>
      </c>
      <c r="I538" s="6" t="str">
        <f ca="1">VLOOKUP(H538,[2]character_type_i18n!$A:$F,3,FALSE)</f>
        <v>回復タイプ</v>
      </c>
      <c r="J538" s="97">
        <f ca="1">VLOOKUP(H538,[2]character_type_i18n!$A:$F,4,FALSE)</f>
        <v>0.8</v>
      </c>
      <c r="K538" s="97">
        <f ca="1">VLOOKUP(H538,[2]character_type_i18n!$A:$F,5,FALSE)</f>
        <v>0.78</v>
      </c>
      <c r="L538" s="97">
        <f ca="1">VLOOKUP(H538,[2]character_type_i18n!$A:$F,6,FALSE)</f>
        <v>1</v>
      </c>
      <c r="M538" s="9" t="str">
        <f ca="1">VLOOKUP(A538,[2]characters!$A:$M,13,FALSE)</f>
        <v>unknown</v>
      </c>
      <c r="N538" s="6" t="str">
        <f ca="1">VLOOKUP(M538,[2]character_tribe_i18n!$A:$F,3,FALSE)</f>
        <v>Unknown</v>
      </c>
      <c r="O538" s="97">
        <f ca="1">VLOOKUP(M538,[2]character_tribe_i18n!$A:$F,4,FALSE)</f>
        <v>1</v>
      </c>
      <c r="P538" s="97">
        <f ca="1">VLOOKUP(M538,[2]character_tribe_i18n!$A:$F,5,FALSE)</f>
        <v>1</v>
      </c>
      <c r="Q538" s="97">
        <f ca="1">VLOOKUP(M538,[2]character_tribe_i18n!$A:$F,6,FALSE)</f>
        <v>1</v>
      </c>
      <c r="R538" s="25" t="s">
        <v>19</v>
      </c>
      <c r="S538" s="97">
        <f>VLOOKUP($R538,ラベル別係数!$A$1:$E$7,3,FALSE)</f>
        <v>1</v>
      </c>
      <c r="T538" s="97">
        <f>VLOOKUP($R538,ラベル別係数!$A$1:$E$7,4,FALSE)</f>
        <v>1</v>
      </c>
      <c r="U538" s="97">
        <f>VLOOKUP($R538,ラベル別係数!$A$1:$E$7,5,FALSE)</f>
        <v>1</v>
      </c>
      <c r="V538" s="98">
        <v>3</v>
      </c>
      <c r="W538" s="99">
        <f>VLOOKUP(V538,ターン数別攻撃係数!$A$1:$B$1000,2,FALSE)</f>
        <v>1</v>
      </c>
      <c r="X538" s="9">
        <f ca="1">VLOOKUP(C538,サイズ別係数!A$2:B$9,2,FALSE)</f>
        <v>25</v>
      </c>
      <c r="Y538" s="97">
        <f ca="1">VLOOKUP($X538,サイズ別係数!$B:$E,2,FALSE)</f>
        <v>1.2</v>
      </c>
      <c r="Z538" s="97">
        <f ca="1">VLOOKUP($X538,サイズ別係数!$B:$E,3,FALSE)</f>
        <v>1.25</v>
      </c>
      <c r="AA538" s="97">
        <f ca="1">VLOOKUP($X538,サイズ別係数!$B:$E,4,FALSE)</f>
        <v>1.1499999999999999</v>
      </c>
      <c r="AB538" s="10">
        <v>0</v>
      </c>
      <c r="AC538" s="6" t="str">
        <f ca="1">VLOOKUP($AB538,OFFSET([3]enemy_skill_sets!$B$2,0,0,COUNTA([3]enemy_skill_sets!$A:$A),MATCH(AC$1,[3]enemy_skill_sets!$1:$1,0)-MATCH($AB$1,[3]enemy_skill_sets!$1:$1,0)+1),MATCH(AC$1,[3]enemy_skill_sets!$1:$1,0)-MATCH($AB$1,[3]enemy_skill_sets!$1:$1,0)+1,FALSE)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8" s="67">
        <v>1</v>
      </c>
      <c r="AE538" s="67">
        <v>1</v>
      </c>
      <c r="AF538" s="68">
        <v>0</v>
      </c>
      <c r="AG538" s="99">
        <f ca="1">ROUND(VLOOKUP(1,enemy_base_stats!$A:$F,2,FALSE) * Y538* J538*O538*E538*S538*AD538*[2]ステータス!$B$2,0)</f>
        <v>490</v>
      </c>
      <c r="AH538" s="99">
        <f ca="1">ROUND(VLOOKUP(1,enemy_base_stats!$A:$F,3,FALSE) * Z538*K538*P538*F538*T538*AE538 * W538*[2]ステータス!$C$2,0)</f>
        <v>143</v>
      </c>
      <c r="AI538" s="99">
        <f ca="1">ROUND(VLOOKUP(1,enemy_base_stats!$A:$F,4,FALSE) * AA538*L538*Q538*G538*U538*AF538*[2]ステータス!$D$2,0)</f>
        <v>0</v>
      </c>
      <c r="AJ538" s="99">
        <f ca="1">ROUND(VLOOKUP(100,enemy_base_stats!$A:$F,2,FALSE) * Y538* J538*O538*E538*S538*AD538*[2]ステータス!$B$2,0)</f>
        <v>19878</v>
      </c>
      <c r="AK538" s="99">
        <f ca="1">ROUND(VLOOKUP(100,enemy_base_stats!$A:$F,3,FALSE)* Z538* K538*P538*F538*T538*AE538 * W538*[2]ステータス!$C$2,0)</f>
        <v>5819</v>
      </c>
      <c r="AL538" s="99">
        <f ca="1">ROUND(VLOOKUP(100,enemy_base_stats!$A:$F,4,FALSE)* AA538* L538*Q538*G538*U538*AF538*[2]ステータス!$D$2,0)</f>
        <v>0</v>
      </c>
      <c r="AM538" s="97">
        <f ca="1">VLOOKUP(M538,[2]character_tribe_i18n!$A:$I,9,FALSE)</f>
        <v>340</v>
      </c>
      <c r="AN538" s="97">
        <v>0</v>
      </c>
      <c r="AO538" s="98">
        <v>0</v>
      </c>
      <c r="AP538" s="58" t="s">
        <v>72</v>
      </c>
      <c r="AQ538" s="34">
        <f t="shared" ca="1" si="29"/>
        <v>537</v>
      </c>
    </row>
    <row r="539" spans="1:43" ht="21" customHeight="1" x14ac:dyDescent="0.15">
      <c r="A539" s="7">
        <f t="shared" ca="1" si="27"/>
        <v>538</v>
      </c>
      <c r="B539" s="6" t="str">
        <f ca="1">VLOOKUP(A539,[2]characters!$A:$C,3,FALSE)</f>
        <v>冬服ニムダ</v>
      </c>
      <c r="C539" s="9">
        <f ca="1">VLOOKUP(A539,[2]characters!$A:$I,9,FALSE)</f>
        <v>3</v>
      </c>
      <c r="D539" s="9" t="str">
        <f ca="1">VLOOKUP(A539,[2]characters!$A:$H,8,FALSE)</f>
        <v>yellow</v>
      </c>
      <c r="E539" s="97">
        <f ca="1">VLOOKUP(D539,[2]属性!$A:$E,2,FALSE)</f>
        <v>0.98</v>
      </c>
      <c r="F539" s="97">
        <f ca="1">VLOOKUP(D539,[2]属性!$A:$E,3,FALSE)</f>
        <v>1.01</v>
      </c>
      <c r="G539" s="97">
        <f ca="1">VLOOKUP(D539,[2]属性!$A:$F,4,FALSE)</f>
        <v>1</v>
      </c>
      <c r="H539" s="9" t="str">
        <f ca="1">VLOOKUP(A539,[2]characters!$A:$K,11,FALSE)</f>
        <v>heal</v>
      </c>
      <c r="I539" s="6" t="str">
        <f ca="1">VLOOKUP(H539,[2]character_type_i18n!$A:$F,3,FALSE)</f>
        <v>回復タイプ</v>
      </c>
      <c r="J539" s="97">
        <f ca="1">VLOOKUP(H539,[2]character_type_i18n!$A:$F,4,FALSE)</f>
        <v>0.8</v>
      </c>
      <c r="K539" s="97">
        <f ca="1">VLOOKUP(H539,[2]character_type_i18n!$A:$F,5,FALSE)</f>
        <v>0.78</v>
      </c>
      <c r="L539" s="97">
        <f ca="1">VLOOKUP(H539,[2]character_type_i18n!$A:$F,6,FALSE)</f>
        <v>1</v>
      </c>
      <c r="M539" s="9" t="str">
        <f ca="1">VLOOKUP(A539,[2]characters!$A:$M,13,FALSE)</f>
        <v>unknown</v>
      </c>
      <c r="N539" s="6" t="str">
        <f ca="1">VLOOKUP(M539,[2]character_tribe_i18n!$A:$F,3,FALSE)</f>
        <v>Unknown</v>
      </c>
      <c r="O539" s="97">
        <f ca="1">VLOOKUP(M539,[2]character_tribe_i18n!$A:$F,4,FALSE)</f>
        <v>1</v>
      </c>
      <c r="P539" s="97">
        <f ca="1">VLOOKUP(M539,[2]character_tribe_i18n!$A:$F,5,FALSE)</f>
        <v>1</v>
      </c>
      <c r="Q539" s="97">
        <f ca="1">VLOOKUP(M539,[2]character_tribe_i18n!$A:$F,6,FALSE)</f>
        <v>1</v>
      </c>
      <c r="R539" s="25" t="s">
        <v>19</v>
      </c>
      <c r="S539" s="97">
        <f>VLOOKUP($R539,ラベル別係数!$A$1:$E$7,3,FALSE)</f>
        <v>1</v>
      </c>
      <c r="T539" s="97">
        <f>VLOOKUP($R539,ラベル別係数!$A$1:$E$7,4,FALSE)</f>
        <v>1</v>
      </c>
      <c r="U539" s="97">
        <f>VLOOKUP($R539,ラベル別係数!$A$1:$E$7,5,FALSE)</f>
        <v>1</v>
      </c>
      <c r="V539" s="98">
        <v>3</v>
      </c>
      <c r="W539" s="99">
        <f>VLOOKUP(V539,ターン数別攻撃係数!$A$1:$B$1000,2,FALSE)</f>
        <v>1</v>
      </c>
      <c r="X539" s="9">
        <f ca="1">VLOOKUP(C539,サイズ別係数!A$2:B$9,2,FALSE)</f>
        <v>25</v>
      </c>
      <c r="Y539" s="97">
        <f ca="1">VLOOKUP($X539,サイズ別係数!$B:$E,2,FALSE)</f>
        <v>1.2</v>
      </c>
      <c r="Z539" s="97">
        <f ca="1">VLOOKUP($X539,サイズ別係数!$B:$E,3,FALSE)</f>
        <v>1.25</v>
      </c>
      <c r="AA539" s="97">
        <f ca="1">VLOOKUP($X539,サイズ別係数!$B:$E,4,FALSE)</f>
        <v>1.1499999999999999</v>
      </c>
      <c r="AB539" s="10">
        <v>0</v>
      </c>
      <c r="AC539" s="6" t="str">
        <f ca="1">VLOOKUP($AB539,OFFSET([3]enemy_skill_sets!$B$2,0,0,COUNTA([3]enemy_skill_sets!$A:$A),MATCH(AC$1,[3]enemy_skill_sets!$1:$1,0)-MATCH($AB$1,[3]enemy_skill_sets!$1:$1,0)+1),MATCH(AC$1,[3]enemy_skill_sets!$1:$1,0)-MATCH($AB$1,[3]enemy_skill_sets!$1:$1,0)+1,FALSE)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39" s="67">
        <v>1</v>
      </c>
      <c r="AE539" s="67">
        <v>1</v>
      </c>
      <c r="AF539" s="68">
        <v>0</v>
      </c>
      <c r="AG539" s="99">
        <f ca="1">ROUND(VLOOKUP(1,enemy_base_stats!$A:$F,2,FALSE) * Y539* J539*O539*E539*S539*AD539*[2]ステータス!$B$2,0)</f>
        <v>470</v>
      </c>
      <c r="AH539" s="99">
        <f ca="1">ROUND(VLOOKUP(1,enemy_base_stats!$A:$F,3,FALSE) * Z539*K539*P539*F539*T539*AE539 * W539*[2]ステータス!$C$2,0)</f>
        <v>148</v>
      </c>
      <c r="AI539" s="99">
        <f ca="1">ROUND(VLOOKUP(1,enemy_base_stats!$A:$F,4,FALSE) * AA539*L539*Q539*G539*U539*AF539*[2]ステータス!$D$2,0)</f>
        <v>0</v>
      </c>
      <c r="AJ539" s="99">
        <f ca="1">ROUND(VLOOKUP(100,enemy_base_stats!$A:$F,2,FALSE) * Y539* J539*O539*E539*S539*AD539*[2]ステータス!$B$2,0)</f>
        <v>19098</v>
      </c>
      <c r="AK539" s="99">
        <f ca="1">ROUND(VLOOKUP(100,enemy_base_stats!$A:$F,3,FALSE)* Z539* K539*P539*F539*T539*AE539 * W539*[2]ステータス!$C$2,0)</f>
        <v>5997</v>
      </c>
      <c r="AL539" s="99">
        <f ca="1">ROUND(VLOOKUP(100,enemy_base_stats!$A:$F,4,FALSE)* AA539* L539*Q539*G539*U539*AF539*[2]ステータス!$D$2,0)</f>
        <v>0</v>
      </c>
      <c r="AM539" s="97">
        <f ca="1">VLOOKUP(M539,[2]character_tribe_i18n!$A:$I,9,FALSE)</f>
        <v>340</v>
      </c>
      <c r="AN539" s="97">
        <v>0</v>
      </c>
      <c r="AO539" s="98">
        <v>0</v>
      </c>
      <c r="AP539" s="58" t="s">
        <v>72</v>
      </c>
      <c r="AQ539" s="34">
        <f t="shared" ca="1" si="29"/>
        <v>538</v>
      </c>
    </row>
    <row r="540" spans="1:43" ht="21" customHeight="1" x14ac:dyDescent="0.15">
      <c r="A540" s="7">
        <f t="shared" ca="1" si="27"/>
        <v>539</v>
      </c>
      <c r="B540" s="6" t="str">
        <f ca="1">VLOOKUP(A540,[2]characters!$A:$C,3,FALSE)</f>
        <v>初音ミク・アペンド</v>
      </c>
      <c r="C540" s="9">
        <f ca="1">VLOOKUP(A540,[2]characters!$A:$I,9,FALSE)</f>
        <v>4</v>
      </c>
      <c r="D540" s="9" t="str">
        <f ca="1">VLOOKUP(A540,[2]characters!$A:$H,8,FALSE)</f>
        <v>green</v>
      </c>
      <c r="E540" s="97">
        <f ca="1">VLOOKUP(D540,[2]属性!$A:$E,2,FALSE)</f>
        <v>1.02</v>
      </c>
      <c r="F540" s="97">
        <f ca="1">VLOOKUP(D540,[2]属性!$A:$E,3,FALSE)</f>
        <v>0.98</v>
      </c>
      <c r="G540" s="97">
        <f ca="1">VLOOKUP(D540,[2]属性!$A:$F,4,FALSE)</f>
        <v>1</v>
      </c>
      <c r="H540" s="9" t="str">
        <f ca="1">VLOOKUP(A540,[2]characters!$A:$K,11,FALSE)</f>
        <v>technical</v>
      </c>
      <c r="I540" s="6" t="str">
        <f ca="1">VLOOKUP(H540,[2]character_type_i18n!$A:$F,3,FALSE)</f>
        <v>テクニカルタイプ</v>
      </c>
      <c r="J540" s="97">
        <f ca="1">VLOOKUP(H540,[2]character_type_i18n!$A:$F,4,FALSE)</f>
        <v>0.9</v>
      </c>
      <c r="K540" s="97">
        <f ca="1">VLOOKUP(H540,[2]character_type_i18n!$A:$F,5,FALSE)</f>
        <v>0.9</v>
      </c>
      <c r="L540" s="97">
        <f ca="1">VLOOKUP(H540,[2]character_type_i18n!$A:$F,6,FALSE)</f>
        <v>1</v>
      </c>
      <c r="M540" s="9" t="str">
        <f ca="1">VLOOKUP(A540,[2]characters!$A:$M,13,FALSE)</f>
        <v>unknown</v>
      </c>
      <c r="N540" s="6" t="str">
        <f ca="1">VLOOKUP(M540,[2]character_tribe_i18n!$A:$F,3,FALSE)</f>
        <v>Unknown</v>
      </c>
      <c r="O540" s="97">
        <f ca="1">VLOOKUP(M540,[2]character_tribe_i18n!$A:$F,4,FALSE)</f>
        <v>1</v>
      </c>
      <c r="P540" s="97">
        <f ca="1">VLOOKUP(M540,[2]character_tribe_i18n!$A:$F,5,FALSE)</f>
        <v>1</v>
      </c>
      <c r="Q540" s="97">
        <f ca="1">VLOOKUP(M540,[2]character_tribe_i18n!$A:$F,6,FALSE)</f>
        <v>1</v>
      </c>
      <c r="R540" s="98" t="s">
        <v>98</v>
      </c>
      <c r="S540" s="97">
        <f>VLOOKUP($R540,ラベル別係数!$A$1:$E$7,3,FALSE)</f>
        <v>5</v>
      </c>
      <c r="T540" s="97">
        <f>VLOOKUP($R540,ラベル別係数!$A$1:$E$7,4,FALSE)</f>
        <v>1.3</v>
      </c>
      <c r="U540" s="97">
        <f>VLOOKUP($R540,ラベル別係数!$A$1:$E$7,5,FALSE)</f>
        <v>0.8</v>
      </c>
      <c r="V540" s="98">
        <v>3</v>
      </c>
      <c r="W540" s="99">
        <f>VLOOKUP(V540,ターン数別攻撃係数!$A$1:$B$1000,2,FALSE)</f>
        <v>1</v>
      </c>
      <c r="X540" s="9">
        <f ca="1">VLOOKUP(C540,サイズ別係数!A$2:B$9,2,FALSE)</f>
        <v>30</v>
      </c>
      <c r="Y540" s="97">
        <f ca="1">VLOOKUP($X540,サイズ別係数!$B:$E,2,FALSE)</f>
        <v>1.3</v>
      </c>
      <c r="Z540" s="97">
        <f ca="1">VLOOKUP($X540,サイズ別係数!$B:$E,3,FALSE)</f>
        <v>1.3</v>
      </c>
      <c r="AA540" s="97">
        <f ca="1">VLOOKUP($X540,サイズ別係数!$B:$E,4,FALSE)</f>
        <v>1.1000000000000001</v>
      </c>
      <c r="AB540" s="10">
        <v>0</v>
      </c>
      <c r="AC540" s="6" t="str">
        <f ca="1">VLOOKUP($AB540,OFFSET([3]enemy_skill_sets!$B$2,0,0,COUNTA([3]enemy_skill_sets!$A:$A),MATCH(AC$1,[3]enemy_skill_sets!$1:$1,0)-MATCH($AB$1,[3]enemy_skill_sets!$1:$1,0)+1),MATCH(AC$1,[3]enemy_skill_sets!$1:$1,0)-MATCH($AB$1,[3]enemy_skill_sets!$1:$1,0)+1,FALSE)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0" s="67">
        <v>1</v>
      </c>
      <c r="AE540" s="67">
        <v>1</v>
      </c>
      <c r="AF540" s="68">
        <v>0</v>
      </c>
      <c r="AG540" s="99">
        <f ca="1">ROUND(VLOOKUP(1,enemy_base_stats!$A:$F,2,FALSE) * Y540* J540*O540*E540*S540*AD540*[2]ステータス!$B$2,0)</f>
        <v>2984</v>
      </c>
      <c r="AH540" s="99">
        <f ca="1">ROUND(VLOOKUP(1,enemy_base_stats!$A:$F,3,FALSE) * Z540*K540*P540*F540*T540*AE540 * W540*[2]ステータス!$C$2,0)</f>
        <v>224</v>
      </c>
      <c r="AI540" s="99">
        <f ca="1">ROUND(VLOOKUP(1,enemy_base_stats!$A:$F,4,FALSE) * AA540*L540*Q540*G540*U540*AF540*[2]ステータス!$D$2,0)</f>
        <v>0</v>
      </c>
      <c r="AJ540" s="99">
        <f ca="1">ROUND(VLOOKUP(100,enemy_base_stats!$A:$F,2,FALSE) * Y540* J540*O540*E540*S540*AD540*[2]ステータス!$B$2,0)</f>
        <v>121130</v>
      </c>
      <c r="AK540" s="99">
        <f ca="1">ROUND(VLOOKUP(100,enemy_base_stats!$A:$F,3,FALSE)* Z540* K540*P540*F540*T540*AE540 * W540*[2]ステータス!$C$2,0)</f>
        <v>9078</v>
      </c>
      <c r="AL540" s="99">
        <f ca="1">ROUND(VLOOKUP(100,enemy_base_stats!$A:$F,4,FALSE)* AA540* L540*Q540*G540*U540*AF540*[2]ステータス!$D$2,0)</f>
        <v>0</v>
      </c>
      <c r="AM540" s="97">
        <f ca="1">VLOOKUP(M540,[2]character_tribe_i18n!$A:$I,9,FALSE)</f>
        <v>340</v>
      </c>
      <c r="AN540" s="97">
        <v>0</v>
      </c>
      <c r="AO540" s="98">
        <v>0</v>
      </c>
      <c r="AP540" s="58" t="s">
        <v>72</v>
      </c>
      <c r="AQ540" s="34">
        <f t="shared" ca="1" si="29"/>
        <v>539</v>
      </c>
    </row>
    <row r="541" spans="1:43" ht="21" customHeight="1" x14ac:dyDescent="0.15">
      <c r="A541" s="7">
        <f t="shared" ca="1" si="27"/>
        <v>540</v>
      </c>
      <c r="B541" s="6" t="str">
        <f ca="1">VLOOKUP(A541,[2]characters!$A:$C,3,FALSE)</f>
        <v>来訪の歌姫 初音ミク・アペンド</v>
      </c>
      <c r="C541" s="9">
        <f ca="1">VLOOKUP(A541,[2]characters!$A:$I,9,FALSE)</f>
        <v>5</v>
      </c>
      <c r="D541" s="9" t="str">
        <f ca="1">VLOOKUP(A541,[2]characters!$A:$H,8,FALSE)</f>
        <v>green</v>
      </c>
      <c r="E541" s="97">
        <f ca="1">VLOOKUP(D541,[2]属性!$A:$E,2,FALSE)</f>
        <v>1.02</v>
      </c>
      <c r="F541" s="97">
        <f ca="1">VLOOKUP(D541,[2]属性!$A:$E,3,FALSE)</f>
        <v>0.98</v>
      </c>
      <c r="G541" s="97">
        <f ca="1">VLOOKUP(D541,[2]属性!$A:$F,4,FALSE)</f>
        <v>1</v>
      </c>
      <c r="H541" s="9" t="str">
        <f ca="1">VLOOKUP(A541,[2]characters!$A:$K,11,FALSE)</f>
        <v>technical</v>
      </c>
      <c r="I541" s="6" t="str">
        <f ca="1">VLOOKUP(H541,[2]character_type_i18n!$A:$F,3,FALSE)</f>
        <v>テクニカルタイプ</v>
      </c>
      <c r="J541" s="97">
        <f ca="1">VLOOKUP(H541,[2]character_type_i18n!$A:$F,4,FALSE)</f>
        <v>0.9</v>
      </c>
      <c r="K541" s="97">
        <f ca="1">VLOOKUP(H541,[2]character_type_i18n!$A:$F,5,FALSE)</f>
        <v>0.9</v>
      </c>
      <c r="L541" s="97">
        <f ca="1">VLOOKUP(H541,[2]character_type_i18n!$A:$F,6,FALSE)</f>
        <v>1</v>
      </c>
      <c r="M541" s="9" t="str">
        <f ca="1">VLOOKUP(A541,[2]characters!$A:$M,13,FALSE)</f>
        <v>unknown</v>
      </c>
      <c r="N541" s="6" t="str">
        <f ca="1">VLOOKUP(M541,[2]character_tribe_i18n!$A:$F,3,FALSE)</f>
        <v>Unknown</v>
      </c>
      <c r="O541" s="97">
        <f ca="1">VLOOKUP(M541,[2]character_tribe_i18n!$A:$F,4,FALSE)</f>
        <v>1</v>
      </c>
      <c r="P541" s="97">
        <f ca="1">VLOOKUP(M541,[2]character_tribe_i18n!$A:$F,5,FALSE)</f>
        <v>1</v>
      </c>
      <c r="Q541" s="97">
        <f ca="1">VLOOKUP(M541,[2]character_tribe_i18n!$A:$F,6,FALSE)</f>
        <v>1</v>
      </c>
      <c r="R541" s="98" t="s">
        <v>98</v>
      </c>
      <c r="S541" s="97">
        <f>VLOOKUP($R541,ラベル別係数!$A$1:$E$7,3,FALSE)</f>
        <v>5</v>
      </c>
      <c r="T541" s="97">
        <f>VLOOKUP($R541,ラベル別係数!$A$1:$E$7,4,FALSE)</f>
        <v>1.3</v>
      </c>
      <c r="U541" s="97">
        <f>VLOOKUP($R541,ラベル別係数!$A$1:$E$7,5,FALSE)</f>
        <v>0.8</v>
      </c>
      <c r="V541" s="98">
        <v>3</v>
      </c>
      <c r="W541" s="99">
        <f>VLOOKUP(V541,ターン数別攻撃係数!$A$1:$B$1000,2,FALSE)</f>
        <v>1</v>
      </c>
      <c r="X541" s="9">
        <f ca="1">VLOOKUP(C541,サイズ別係数!A$2:B$9,2,FALSE)</f>
        <v>60</v>
      </c>
      <c r="Y541" s="97">
        <f ca="1">VLOOKUP($X541,サイズ別係数!$B:$E,2,FALSE)</f>
        <v>1.7</v>
      </c>
      <c r="Z541" s="97">
        <f ca="1">VLOOKUP($X541,サイズ別係数!$B:$E,3,FALSE)</f>
        <v>1.4</v>
      </c>
      <c r="AA541" s="97">
        <f ca="1">VLOOKUP($X541,サイズ別係数!$B:$E,4,FALSE)</f>
        <v>1</v>
      </c>
      <c r="AB541" s="10">
        <v>0</v>
      </c>
      <c r="AC541" s="6" t="str">
        <f ca="1">VLOOKUP($AB541,OFFSET([3]enemy_skill_sets!$B$2,0,0,COUNTA([3]enemy_skill_sets!$A:$A),MATCH(AC$1,[3]enemy_skill_sets!$1:$1,0)-MATCH($AB$1,[3]enemy_skill_sets!$1:$1,0)+1),MATCH(AC$1,[3]enemy_skill_sets!$1:$1,0)-MATCH($AB$1,[3]enemy_skill_sets!$1:$1,0)+1,FALSE)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1" s="67">
        <v>1</v>
      </c>
      <c r="AE541" s="67">
        <v>1</v>
      </c>
      <c r="AF541" s="68">
        <v>0</v>
      </c>
      <c r="AG541" s="99">
        <f ca="1">ROUND(VLOOKUP(1,enemy_base_stats!$A:$F,2,FALSE) * Y541* J541*O541*E541*S541*AD541*[2]ステータス!$B$2,0)</f>
        <v>3902</v>
      </c>
      <c r="AH541" s="99">
        <f ca="1">ROUND(VLOOKUP(1,enemy_base_stats!$A:$F,3,FALSE) * Z541*K541*P541*F541*T541*AE541 * W541*[2]ステータス!$C$2,0)</f>
        <v>241</v>
      </c>
      <c r="AI541" s="99">
        <f ca="1">ROUND(VLOOKUP(1,enemy_base_stats!$A:$F,4,FALSE) * AA541*L541*Q541*G541*U541*AF541*[2]ステータス!$D$2,0)</f>
        <v>0</v>
      </c>
      <c r="AJ541" s="99">
        <f ca="1">ROUND(VLOOKUP(100,enemy_base_stats!$A:$F,2,FALSE) * Y541* J541*O541*E541*S541*AD541*[2]ステータス!$B$2,0)</f>
        <v>158401</v>
      </c>
      <c r="AK541" s="99">
        <f ca="1">ROUND(VLOOKUP(100,enemy_base_stats!$A:$F,3,FALSE)* Z541* K541*P541*F541*T541*AE541 * W541*[2]ステータス!$C$2,0)</f>
        <v>9776</v>
      </c>
      <c r="AL541" s="99">
        <f ca="1">ROUND(VLOOKUP(100,enemy_base_stats!$A:$F,4,FALSE)* AA541* L541*Q541*G541*U541*AF541*[2]ステータス!$D$2,0)</f>
        <v>0</v>
      </c>
      <c r="AM541" s="97">
        <f ca="1">VLOOKUP(M541,[2]character_tribe_i18n!$A:$I,9,FALSE)</f>
        <v>340</v>
      </c>
      <c r="AN541" s="97">
        <v>0</v>
      </c>
      <c r="AO541" s="98">
        <v>0</v>
      </c>
      <c r="AP541" s="58" t="s">
        <v>72</v>
      </c>
      <c r="AQ541" s="34">
        <f t="shared" ca="1" si="29"/>
        <v>540</v>
      </c>
    </row>
    <row r="542" spans="1:43" ht="21" customHeight="1" x14ac:dyDescent="0.15">
      <c r="A542" s="7">
        <f t="shared" ca="1" si="27"/>
        <v>541</v>
      </c>
      <c r="B542" s="6" t="str">
        <f ca="1">VLOOKUP(A542,[2]characters!$A:$C,3,FALSE)</f>
        <v>初音ミク</v>
      </c>
      <c r="C542" s="9">
        <f ca="1">VLOOKUP(A542,[2]characters!$A:$I,9,FALSE)</f>
        <v>4</v>
      </c>
      <c r="D542" s="9" t="str">
        <f ca="1">VLOOKUP(A542,[2]characters!$A:$H,8,FALSE)</f>
        <v>green</v>
      </c>
      <c r="E542" s="97">
        <f ca="1">VLOOKUP(D542,[2]属性!$A:$E,2,FALSE)</f>
        <v>1.02</v>
      </c>
      <c r="F542" s="97">
        <f ca="1">VLOOKUP(D542,[2]属性!$A:$E,3,FALSE)</f>
        <v>0.98</v>
      </c>
      <c r="G542" s="97">
        <f ca="1">VLOOKUP(D542,[2]属性!$A:$F,4,FALSE)</f>
        <v>1</v>
      </c>
      <c r="H542" s="9" t="str">
        <f ca="1">VLOOKUP(A542,[2]characters!$A:$K,11,FALSE)</f>
        <v>balance</v>
      </c>
      <c r="I542" s="6" t="str">
        <f ca="1">VLOOKUP(H542,[2]character_type_i18n!$A:$F,3,FALSE)</f>
        <v>バランスタイプ</v>
      </c>
      <c r="J542" s="97">
        <f ca="1">VLOOKUP(H542,[2]character_type_i18n!$A:$F,4,FALSE)</f>
        <v>1</v>
      </c>
      <c r="K542" s="97">
        <f ca="1">VLOOKUP(H542,[2]character_type_i18n!$A:$F,5,FALSE)</f>
        <v>1</v>
      </c>
      <c r="L542" s="97">
        <f ca="1">VLOOKUP(H542,[2]character_type_i18n!$A:$F,6,FALSE)</f>
        <v>1</v>
      </c>
      <c r="M542" s="9" t="str">
        <f ca="1">VLOOKUP(A542,[2]characters!$A:$M,13,FALSE)</f>
        <v>unknown</v>
      </c>
      <c r="N542" s="6" t="str">
        <f ca="1">VLOOKUP(M542,[2]character_tribe_i18n!$A:$F,3,FALSE)</f>
        <v>Unknown</v>
      </c>
      <c r="O542" s="97">
        <f ca="1">VLOOKUP(M542,[2]character_tribe_i18n!$A:$F,4,FALSE)</f>
        <v>1</v>
      </c>
      <c r="P542" s="97">
        <f ca="1">VLOOKUP(M542,[2]character_tribe_i18n!$A:$F,5,FALSE)</f>
        <v>1</v>
      </c>
      <c r="Q542" s="97">
        <f ca="1">VLOOKUP(M542,[2]character_tribe_i18n!$A:$F,6,FALSE)</f>
        <v>1</v>
      </c>
      <c r="R542" s="98" t="s">
        <v>98</v>
      </c>
      <c r="S542" s="97">
        <f>VLOOKUP($R542,ラベル別係数!$A$1:$E$7,3,FALSE)</f>
        <v>5</v>
      </c>
      <c r="T542" s="97">
        <f>VLOOKUP($R542,ラベル別係数!$A$1:$E$7,4,FALSE)</f>
        <v>1.3</v>
      </c>
      <c r="U542" s="97">
        <f>VLOOKUP($R542,ラベル別係数!$A$1:$E$7,5,FALSE)</f>
        <v>0.8</v>
      </c>
      <c r="V542" s="98">
        <v>3</v>
      </c>
      <c r="W542" s="99">
        <f>VLOOKUP(V542,ターン数別攻撃係数!$A$1:$B$1000,2,FALSE)</f>
        <v>1</v>
      </c>
      <c r="X542" s="9">
        <f ca="1">VLOOKUP(C542,サイズ別係数!A$2:B$9,2,FALSE)</f>
        <v>30</v>
      </c>
      <c r="Y542" s="97">
        <f ca="1">VLOOKUP($X542,サイズ別係数!$B:$E,2,FALSE)</f>
        <v>1.3</v>
      </c>
      <c r="Z542" s="97">
        <f ca="1">VLOOKUP($X542,サイズ別係数!$B:$E,3,FALSE)</f>
        <v>1.3</v>
      </c>
      <c r="AA542" s="97">
        <f ca="1">VLOOKUP($X542,サイズ別係数!$B:$E,4,FALSE)</f>
        <v>1.1000000000000001</v>
      </c>
      <c r="AB542" s="10">
        <v>0</v>
      </c>
      <c r="AC542" s="6" t="str">
        <f ca="1">VLOOKUP($AB542,OFFSET([3]enemy_skill_sets!$B$2,0,0,COUNTA([3]enemy_skill_sets!$A:$A),MATCH(AC$1,[3]enemy_skill_sets!$1:$1,0)-MATCH($AB$1,[3]enemy_skill_sets!$1:$1,0)+1),MATCH(AC$1,[3]enemy_skill_sets!$1:$1,0)-MATCH($AB$1,[3]enemy_skill_sets!$1:$1,0)+1,FALSE)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2" s="67">
        <v>1</v>
      </c>
      <c r="AE542" s="67">
        <v>1</v>
      </c>
      <c r="AF542" s="68">
        <v>0</v>
      </c>
      <c r="AG542" s="99">
        <f ca="1">ROUND(VLOOKUP(1,enemy_base_stats!$A:$F,2,FALSE) * Y542* J542*O542*E542*S542*AD542*[2]ステータス!$B$2,0)</f>
        <v>3315</v>
      </c>
      <c r="AH542" s="99">
        <f ca="1">ROUND(VLOOKUP(1,enemy_base_stats!$A:$F,3,FALSE) * Z542*K542*P542*F542*T542*AE542 * W542*[2]ステータス!$C$2,0)</f>
        <v>248</v>
      </c>
      <c r="AI542" s="99">
        <f ca="1">ROUND(VLOOKUP(1,enemy_base_stats!$A:$F,4,FALSE) * AA542*L542*Q542*G542*U542*AF542*[2]ステータス!$D$2,0)</f>
        <v>0</v>
      </c>
      <c r="AJ542" s="99">
        <f ca="1">ROUND(VLOOKUP(100,enemy_base_stats!$A:$F,2,FALSE) * Y542* J542*O542*E542*S542*AD542*[2]ステータス!$B$2,0)</f>
        <v>134589</v>
      </c>
      <c r="AK542" s="99">
        <f ca="1">ROUND(VLOOKUP(100,enemy_base_stats!$A:$F,3,FALSE)* Z542* K542*P542*F542*T542*AE542 * W542*[2]ステータス!$C$2,0)</f>
        <v>10086</v>
      </c>
      <c r="AL542" s="99">
        <f ca="1">ROUND(VLOOKUP(100,enemy_base_stats!$A:$F,4,FALSE)* AA542* L542*Q542*G542*U542*AF542*[2]ステータス!$D$2,0)</f>
        <v>0</v>
      </c>
      <c r="AM542" s="97">
        <f ca="1">VLOOKUP(M542,[2]character_tribe_i18n!$A:$I,9,FALSE)</f>
        <v>340</v>
      </c>
      <c r="AN542" s="97">
        <v>0</v>
      </c>
      <c r="AO542" s="98">
        <v>0</v>
      </c>
      <c r="AP542" s="58" t="s">
        <v>72</v>
      </c>
      <c r="AQ542" s="34">
        <f t="shared" ca="1" si="29"/>
        <v>541</v>
      </c>
    </row>
    <row r="543" spans="1:43" ht="21" customHeight="1" x14ac:dyDescent="0.15">
      <c r="A543" s="7">
        <f t="shared" ca="1" si="27"/>
        <v>542</v>
      </c>
      <c r="B543" s="6" t="str">
        <f ca="1">VLOOKUP(A543,[2]characters!$A:$C,3,FALSE)</f>
        <v>革命の音撃 初音ミク</v>
      </c>
      <c r="C543" s="9">
        <f ca="1">VLOOKUP(A543,[2]characters!$A:$I,9,FALSE)</f>
        <v>5</v>
      </c>
      <c r="D543" s="9" t="str">
        <f ca="1">VLOOKUP(A543,[2]characters!$A:$H,8,FALSE)</f>
        <v>green</v>
      </c>
      <c r="E543" s="97">
        <f ca="1">VLOOKUP(D543,[2]属性!$A:$E,2,FALSE)</f>
        <v>1.02</v>
      </c>
      <c r="F543" s="97">
        <f ca="1">VLOOKUP(D543,[2]属性!$A:$E,3,FALSE)</f>
        <v>0.98</v>
      </c>
      <c r="G543" s="97">
        <f ca="1">VLOOKUP(D543,[2]属性!$A:$F,4,FALSE)</f>
        <v>1</v>
      </c>
      <c r="H543" s="9" t="str">
        <f ca="1">VLOOKUP(A543,[2]characters!$A:$K,11,FALSE)</f>
        <v>balance</v>
      </c>
      <c r="I543" s="6" t="str">
        <f ca="1">VLOOKUP(H543,[2]character_type_i18n!$A:$F,3,FALSE)</f>
        <v>バランスタイプ</v>
      </c>
      <c r="J543" s="97">
        <f ca="1">VLOOKUP(H543,[2]character_type_i18n!$A:$F,4,FALSE)</f>
        <v>1</v>
      </c>
      <c r="K543" s="97">
        <f ca="1">VLOOKUP(H543,[2]character_type_i18n!$A:$F,5,FALSE)</f>
        <v>1</v>
      </c>
      <c r="L543" s="97">
        <f ca="1">VLOOKUP(H543,[2]character_type_i18n!$A:$F,6,FALSE)</f>
        <v>1</v>
      </c>
      <c r="M543" s="9" t="str">
        <f ca="1">VLOOKUP(A543,[2]characters!$A:$M,13,FALSE)</f>
        <v>unknown</v>
      </c>
      <c r="N543" s="6" t="str">
        <f ca="1">VLOOKUP(M543,[2]character_tribe_i18n!$A:$F,3,FALSE)</f>
        <v>Unknown</v>
      </c>
      <c r="O543" s="97">
        <f ca="1">VLOOKUP(M543,[2]character_tribe_i18n!$A:$F,4,FALSE)</f>
        <v>1</v>
      </c>
      <c r="P543" s="97">
        <f ca="1">VLOOKUP(M543,[2]character_tribe_i18n!$A:$F,5,FALSE)</f>
        <v>1</v>
      </c>
      <c r="Q543" s="97">
        <f ca="1">VLOOKUP(M543,[2]character_tribe_i18n!$A:$F,6,FALSE)</f>
        <v>1</v>
      </c>
      <c r="R543" s="98" t="s">
        <v>98</v>
      </c>
      <c r="S543" s="97">
        <f>VLOOKUP($R543,ラベル別係数!$A$1:$E$7,3,FALSE)</f>
        <v>5</v>
      </c>
      <c r="T543" s="97">
        <f>VLOOKUP($R543,ラベル別係数!$A$1:$E$7,4,FALSE)</f>
        <v>1.3</v>
      </c>
      <c r="U543" s="97">
        <f>VLOOKUP($R543,ラベル別係数!$A$1:$E$7,5,FALSE)</f>
        <v>0.8</v>
      </c>
      <c r="V543" s="98">
        <v>3</v>
      </c>
      <c r="W543" s="99">
        <f>VLOOKUP(V543,ターン数別攻撃係数!$A$1:$B$1000,2,FALSE)</f>
        <v>1</v>
      </c>
      <c r="X543" s="9">
        <f ca="1">VLOOKUP(C543,サイズ別係数!A$2:B$9,2,FALSE)</f>
        <v>60</v>
      </c>
      <c r="Y543" s="97">
        <f ca="1">VLOOKUP($X543,サイズ別係数!$B:$E,2,FALSE)</f>
        <v>1.7</v>
      </c>
      <c r="Z543" s="97">
        <f ca="1">VLOOKUP($X543,サイズ別係数!$B:$E,3,FALSE)</f>
        <v>1.4</v>
      </c>
      <c r="AA543" s="97">
        <f ca="1">VLOOKUP($X543,サイズ別係数!$B:$E,4,FALSE)</f>
        <v>1</v>
      </c>
      <c r="AB543" s="10">
        <v>0</v>
      </c>
      <c r="AC543" s="6" t="str">
        <f ca="1">VLOOKUP($AB543,OFFSET([3]enemy_skill_sets!$B$2,0,0,COUNTA([3]enemy_skill_sets!$A:$A),MATCH(AC$1,[3]enemy_skill_sets!$1:$1,0)-MATCH($AB$1,[3]enemy_skill_sets!$1:$1,0)+1),MATCH(AC$1,[3]enemy_skill_sets!$1:$1,0)-MATCH($AB$1,[3]enemy_skill_sets!$1:$1,0)+1,FALSE)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3" s="67">
        <v>1</v>
      </c>
      <c r="AE543" s="67">
        <v>1</v>
      </c>
      <c r="AF543" s="68">
        <v>0</v>
      </c>
      <c r="AG543" s="99">
        <f ca="1">ROUND(VLOOKUP(1,enemy_base_stats!$A:$F,2,FALSE) * Y543* J543*O543*E543*S543*AD543*[2]ステータス!$B$2,0)</f>
        <v>4335</v>
      </c>
      <c r="AH543" s="99">
        <f ca="1">ROUND(VLOOKUP(1,enemy_base_stats!$A:$F,3,FALSE) * Z543*K543*P543*F543*T543*AE543 * W543*[2]ステータス!$C$2,0)</f>
        <v>268</v>
      </c>
      <c r="AI543" s="99">
        <f ca="1">ROUND(VLOOKUP(1,enemy_base_stats!$A:$F,4,FALSE) * AA543*L543*Q543*G543*U543*AF543*[2]ステータス!$D$2,0)</f>
        <v>0</v>
      </c>
      <c r="AJ543" s="99">
        <f ca="1">ROUND(VLOOKUP(100,enemy_base_stats!$A:$F,2,FALSE) * Y543* J543*O543*E543*S543*AD543*[2]ステータス!$B$2,0)</f>
        <v>176001</v>
      </c>
      <c r="AK543" s="99">
        <f ca="1">ROUND(VLOOKUP(100,enemy_base_stats!$A:$F,3,FALSE)* Z543* K543*P543*F543*T543*AE543 * W543*[2]ステータス!$C$2,0)</f>
        <v>10862</v>
      </c>
      <c r="AL543" s="99">
        <f ca="1">ROUND(VLOOKUP(100,enemy_base_stats!$A:$F,4,FALSE)* AA543* L543*Q543*G543*U543*AF543*[2]ステータス!$D$2,0)</f>
        <v>0</v>
      </c>
      <c r="AM543" s="97">
        <f ca="1">VLOOKUP(M543,[2]character_tribe_i18n!$A:$I,9,FALSE)</f>
        <v>340</v>
      </c>
      <c r="AN543" s="97">
        <v>0</v>
      </c>
      <c r="AO543" s="98">
        <v>0</v>
      </c>
      <c r="AP543" s="58" t="s">
        <v>72</v>
      </c>
      <c r="AQ543" s="34">
        <f t="shared" ca="1" si="29"/>
        <v>542</v>
      </c>
    </row>
    <row r="544" spans="1:43" ht="21" customHeight="1" x14ac:dyDescent="0.15">
      <c r="A544" s="7">
        <f t="shared" ca="1" si="27"/>
        <v>543</v>
      </c>
      <c r="B544" s="6" t="str">
        <f ca="1">VLOOKUP(A544,[2]characters!$A:$C,3,FALSE)</f>
        <v>鏡音リン</v>
      </c>
      <c r="C544" s="9">
        <f ca="1">VLOOKUP(A544,[2]characters!$A:$I,9,FALSE)</f>
        <v>4</v>
      </c>
      <c r="D544" s="9" t="str">
        <f ca="1">VLOOKUP(A544,[2]characters!$A:$H,8,FALSE)</f>
        <v>yellow</v>
      </c>
      <c r="E544" s="97">
        <f ca="1">VLOOKUP(D544,[2]属性!$A:$E,2,FALSE)</f>
        <v>0.98</v>
      </c>
      <c r="F544" s="97">
        <f ca="1">VLOOKUP(D544,[2]属性!$A:$E,3,FALSE)</f>
        <v>1.01</v>
      </c>
      <c r="G544" s="97">
        <f ca="1">VLOOKUP(D544,[2]属性!$A:$F,4,FALSE)</f>
        <v>1</v>
      </c>
      <c r="H544" s="9" t="str">
        <f ca="1">VLOOKUP(A544,[2]characters!$A:$K,11,FALSE)</f>
        <v>balance</v>
      </c>
      <c r="I544" s="6" t="str">
        <f ca="1">VLOOKUP(H544,[2]character_type_i18n!$A:$F,3,FALSE)</f>
        <v>バランスタイプ</v>
      </c>
      <c r="J544" s="97">
        <f ca="1">VLOOKUP(H544,[2]character_type_i18n!$A:$F,4,FALSE)</f>
        <v>1</v>
      </c>
      <c r="K544" s="97">
        <f ca="1">VLOOKUP(H544,[2]character_type_i18n!$A:$F,5,FALSE)</f>
        <v>1</v>
      </c>
      <c r="L544" s="97">
        <f ca="1">VLOOKUP(H544,[2]character_type_i18n!$A:$F,6,FALSE)</f>
        <v>1</v>
      </c>
      <c r="M544" s="9" t="str">
        <f ca="1">VLOOKUP(A544,[2]characters!$A:$M,13,FALSE)</f>
        <v>unknown</v>
      </c>
      <c r="N544" s="6" t="str">
        <f ca="1">VLOOKUP(M544,[2]character_tribe_i18n!$A:$F,3,FALSE)</f>
        <v>Unknown</v>
      </c>
      <c r="O544" s="97">
        <f ca="1">VLOOKUP(M544,[2]character_tribe_i18n!$A:$F,4,FALSE)</f>
        <v>1</v>
      </c>
      <c r="P544" s="97">
        <f ca="1">VLOOKUP(M544,[2]character_tribe_i18n!$A:$F,5,FALSE)</f>
        <v>1</v>
      </c>
      <c r="Q544" s="97">
        <f ca="1">VLOOKUP(M544,[2]character_tribe_i18n!$A:$F,6,FALSE)</f>
        <v>1</v>
      </c>
      <c r="R544" s="98" t="s">
        <v>98</v>
      </c>
      <c r="S544" s="97">
        <f>VLOOKUP($R544,ラベル別係数!$A$1:$E$7,3,FALSE)</f>
        <v>5</v>
      </c>
      <c r="T544" s="97">
        <f>VLOOKUP($R544,ラベル別係数!$A$1:$E$7,4,FALSE)</f>
        <v>1.3</v>
      </c>
      <c r="U544" s="97">
        <f>VLOOKUP($R544,ラベル別係数!$A$1:$E$7,5,FALSE)</f>
        <v>0.8</v>
      </c>
      <c r="V544" s="98">
        <v>3</v>
      </c>
      <c r="W544" s="99">
        <f>VLOOKUP(V544,ターン数別攻撃係数!$A$1:$B$1000,2,FALSE)</f>
        <v>1</v>
      </c>
      <c r="X544" s="9">
        <f ca="1">VLOOKUP(C544,サイズ別係数!A$2:B$9,2,FALSE)</f>
        <v>30</v>
      </c>
      <c r="Y544" s="97">
        <f ca="1">VLOOKUP($X544,サイズ別係数!$B:$E,2,FALSE)</f>
        <v>1.3</v>
      </c>
      <c r="Z544" s="97">
        <f ca="1">VLOOKUP($X544,サイズ別係数!$B:$E,3,FALSE)</f>
        <v>1.3</v>
      </c>
      <c r="AA544" s="97">
        <f ca="1">VLOOKUP($X544,サイズ別係数!$B:$E,4,FALSE)</f>
        <v>1.1000000000000001</v>
      </c>
      <c r="AB544" s="10">
        <v>0</v>
      </c>
      <c r="AC544" s="6" t="str">
        <f ca="1">VLOOKUP($AB544,OFFSET([3]enemy_skill_sets!$B$2,0,0,COUNTA([3]enemy_skill_sets!$A:$A),MATCH(AC$1,[3]enemy_skill_sets!$1:$1,0)-MATCH($AB$1,[3]enemy_skill_sets!$1:$1,0)+1),MATCH(AC$1,[3]enemy_skill_sets!$1:$1,0)-MATCH($AB$1,[3]enemy_skill_sets!$1:$1,0)+1,FALSE)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4" s="67">
        <v>1</v>
      </c>
      <c r="AE544" s="67">
        <v>1</v>
      </c>
      <c r="AF544" s="68">
        <v>0</v>
      </c>
      <c r="AG544" s="99">
        <f ca="1">ROUND(VLOOKUP(1,enemy_base_stats!$A:$F,2,FALSE) * Y544* J544*O544*E544*S544*AD544*[2]ステータス!$B$2,0)</f>
        <v>3185</v>
      </c>
      <c r="AH544" s="99">
        <f ca="1">ROUND(VLOOKUP(1,enemy_base_stats!$A:$F,3,FALSE) * Z544*K544*P544*F544*T544*AE544 * W544*[2]ステータス!$C$2,0)</f>
        <v>256</v>
      </c>
      <c r="AI544" s="99">
        <f ca="1">ROUND(VLOOKUP(1,enemy_base_stats!$A:$F,4,FALSE) * AA544*L544*Q544*G544*U544*AF544*[2]ステータス!$D$2,0)</f>
        <v>0</v>
      </c>
      <c r="AJ544" s="99">
        <f ca="1">ROUND(VLOOKUP(100,enemy_base_stats!$A:$F,2,FALSE) * Y544* J544*O544*E544*S544*AD544*[2]ステータス!$B$2,0)</f>
        <v>129311</v>
      </c>
      <c r="AK544" s="99">
        <f ca="1">ROUND(VLOOKUP(100,enemy_base_stats!$A:$F,3,FALSE)* Z544* K544*P544*F544*T544*AE544 * W544*[2]ステータス!$C$2,0)</f>
        <v>10395</v>
      </c>
      <c r="AL544" s="99">
        <f ca="1">ROUND(VLOOKUP(100,enemy_base_stats!$A:$F,4,FALSE)* AA544* L544*Q544*G544*U544*AF544*[2]ステータス!$D$2,0)</f>
        <v>0</v>
      </c>
      <c r="AM544" s="97">
        <f ca="1">VLOOKUP(M544,[2]character_tribe_i18n!$A:$I,9,FALSE)</f>
        <v>340</v>
      </c>
      <c r="AN544" s="97">
        <v>0</v>
      </c>
      <c r="AO544" s="98">
        <v>0</v>
      </c>
      <c r="AP544" s="58" t="s">
        <v>72</v>
      </c>
      <c r="AQ544" s="34">
        <f t="shared" ca="1" si="29"/>
        <v>543</v>
      </c>
    </row>
    <row r="545" spans="1:43" ht="21" customHeight="1" x14ac:dyDescent="0.15">
      <c r="A545" s="7">
        <f t="shared" ca="1" si="27"/>
        <v>544</v>
      </c>
      <c r="B545" s="6" t="str">
        <f ca="1">VLOOKUP(A545,[2]characters!$A:$C,3,FALSE)</f>
        <v>反響の凛音 鏡音リン</v>
      </c>
      <c r="C545" s="9">
        <f ca="1">VLOOKUP(A545,[2]characters!$A:$I,9,FALSE)</f>
        <v>5</v>
      </c>
      <c r="D545" s="9" t="str">
        <f ca="1">VLOOKUP(A545,[2]characters!$A:$H,8,FALSE)</f>
        <v>yellow</v>
      </c>
      <c r="E545" s="97">
        <f ca="1">VLOOKUP(D545,[2]属性!$A:$E,2,FALSE)</f>
        <v>0.98</v>
      </c>
      <c r="F545" s="97">
        <f ca="1">VLOOKUP(D545,[2]属性!$A:$E,3,FALSE)</f>
        <v>1.01</v>
      </c>
      <c r="G545" s="97">
        <f ca="1">VLOOKUP(D545,[2]属性!$A:$F,4,FALSE)</f>
        <v>1</v>
      </c>
      <c r="H545" s="9" t="str">
        <f ca="1">VLOOKUP(A545,[2]characters!$A:$K,11,FALSE)</f>
        <v>balance</v>
      </c>
      <c r="I545" s="6" t="str">
        <f ca="1">VLOOKUP(H545,[2]character_type_i18n!$A:$F,3,FALSE)</f>
        <v>バランスタイプ</v>
      </c>
      <c r="J545" s="97">
        <f ca="1">VLOOKUP(H545,[2]character_type_i18n!$A:$F,4,FALSE)</f>
        <v>1</v>
      </c>
      <c r="K545" s="97">
        <f ca="1">VLOOKUP(H545,[2]character_type_i18n!$A:$F,5,FALSE)</f>
        <v>1</v>
      </c>
      <c r="L545" s="97">
        <f ca="1">VLOOKUP(H545,[2]character_type_i18n!$A:$F,6,FALSE)</f>
        <v>1</v>
      </c>
      <c r="M545" s="9" t="str">
        <f ca="1">VLOOKUP(A545,[2]characters!$A:$M,13,FALSE)</f>
        <v>unknown</v>
      </c>
      <c r="N545" s="6" t="str">
        <f ca="1">VLOOKUP(M545,[2]character_tribe_i18n!$A:$F,3,FALSE)</f>
        <v>Unknown</v>
      </c>
      <c r="O545" s="97">
        <f ca="1">VLOOKUP(M545,[2]character_tribe_i18n!$A:$F,4,FALSE)</f>
        <v>1</v>
      </c>
      <c r="P545" s="97">
        <f ca="1">VLOOKUP(M545,[2]character_tribe_i18n!$A:$F,5,FALSE)</f>
        <v>1</v>
      </c>
      <c r="Q545" s="97">
        <f ca="1">VLOOKUP(M545,[2]character_tribe_i18n!$A:$F,6,FALSE)</f>
        <v>1</v>
      </c>
      <c r="R545" s="98" t="s">
        <v>98</v>
      </c>
      <c r="S545" s="97">
        <f>VLOOKUP($R545,ラベル別係数!$A$1:$E$7,3,FALSE)</f>
        <v>5</v>
      </c>
      <c r="T545" s="97">
        <f>VLOOKUP($R545,ラベル別係数!$A$1:$E$7,4,FALSE)</f>
        <v>1.3</v>
      </c>
      <c r="U545" s="97">
        <f>VLOOKUP($R545,ラベル別係数!$A$1:$E$7,5,FALSE)</f>
        <v>0.8</v>
      </c>
      <c r="V545" s="98">
        <v>3</v>
      </c>
      <c r="W545" s="99">
        <f>VLOOKUP(V545,ターン数別攻撃係数!$A$1:$B$1000,2,FALSE)</f>
        <v>1</v>
      </c>
      <c r="X545" s="9">
        <f ca="1">VLOOKUP(C545,サイズ別係数!A$2:B$9,2,FALSE)</f>
        <v>60</v>
      </c>
      <c r="Y545" s="97">
        <f ca="1">VLOOKUP($X545,サイズ別係数!$B:$E,2,FALSE)</f>
        <v>1.7</v>
      </c>
      <c r="Z545" s="97">
        <f ca="1">VLOOKUP($X545,サイズ別係数!$B:$E,3,FALSE)</f>
        <v>1.4</v>
      </c>
      <c r="AA545" s="97">
        <f ca="1">VLOOKUP($X545,サイズ別係数!$B:$E,4,FALSE)</f>
        <v>1</v>
      </c>
      <c r="AB545" s="10">
        <v>0</v>
      </c>
      <c r="AC545" s="6" t="str">
        <f ca="1">VLOOKUP($AB545,OFFSET([3]enemy_skill_sets!$B$2,0,0,COUNTA([3]enemy_skill_sets!$A:$A),MATCH(AC$1,[3]enemy_skill_sets!$1:$1,0)-MATCH($AB$1,[3]enemy_skill_sets!$1:$1,0)+1),MATCH(AC$1,[3]enemy_skill_sets!$1:$1,0)-MATCH($AB$1,[3]enemy_skill_sets!$1:$1,0)+1,FALSE)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5" s="67">
        <v>1</v>
      </c>
      <c r="AE545" s="67">
        <v>1</v>
      </c>
      <c r="AF545" s="68">
        <v>0</v>
      </c>
      <c r="AG545" s="99">
        <f ca="1">ROUND(VLOOKUP(1,enemy_base_stats!$A:$F,2,FALSE) * Y545* J545*O545*E545*S545*AD545*[2]ステータス!$B$2,0)</f>
        <v>4165</v>
      </c>
      <c r="AH545" s="99">
        <f ca="1">ROUND(VLOOKUP(1,enemy_base_stats!$A:$F,3,FALSE) * Z545*K545*P545*F545*T545*AE545 * W545*[2]ステータス!$C$2,0)</f>
        <v>276</v>
      </c>
      <c r="AI545" s="99">
        <f ca="1">ROUND(VLOOKUP(1,enemy_base_stats!$A:$F,4,FALSE) * AA545*L545*Q545*G545*U545*AF545*[2]ステータス!$D$2,0)</f>
        <v>0</v>
      </c>
      <c r="AJ545" s="99">
        <f ca="1">ROUND(VLOOKUP(100,enemy_base_stats!$A:$F,2,FALSE) * Y545* J545*O545*E545*S545*AD545*[2]ステータス!$B$2,0)</f>
        <v>169099</v>
      </c>
      <c r="AK545" s="99">
        <f ca="1">ROUND(VLOOKUP(100,enemy_base_stats!$A:$F,3,FALSE)* Z545* K545*P545*F545*T545*AE545 * W545*[2]ステータス!$C$2,0)</f>
        <v>11195</v>
      </c>
      <c r="AL545" s="99">
        <f ca="1">ROUND(VLOOKUP(100,enemy_base_stats!$A:$F,4,FALSE)* AA545* L545*Q545*G545*U545*AF545*[2]ステータス!$D$2,0)</f>
        <v>0</v>
      </c>
      <c r="AM545" s="97">
        <f ca="1">VLOOKUP(M545,[2]character_tribe_i18n!$A:$I,9,FALSE)</f>
        <v>340</v>
      </c>
      <c r="AN545" s="97">
        <v>0</v>
      </c>
      <c r="AO545" s="98">
        <v>0</v>
      </c>
      <c r="AP545" s="58" t="s">
        <v>72</v>
      </c>
      <c r="AQ545" s="34">
        <f t="shared" ca="1" si="29"/>
        <v>544</v>
      </c>
    </row>
    <row r="546" spans="1:43" ht="21" customHeight="1" x14ac:dyDescent="0.15">
      <c r="A546" s="7">
        <f t="shared" ca="1" si="27"/>
        <v>545</v>
      </c>
      <c r="B546" s="6" t="str">
        <f ca="1">VLOOKUP(A546,[2]characters!$A:$C,3,FALSE)</f>
        <v>鏡音レン</v>
      </c>
      <c r="C546" s="9">
        <f ca="1">VLOOKUP(A546,[2]characters!$A:$I,9,FALSE)</f>
        <v>4</v>
      </c>
      <c r="D546" s="9" t="str">
        <f ca="1">VLOOKUP(A546,[2]characters!$A:$H,8,FALSE)</f>
        <v>yellow</v>
      </c>
      <c r="E546" s="97">
        <f ca="1">VLOOKUP(D546,[2]属性!$A:$E,2,FALSE)</f>
        <v>0.98</v>
      </c>
      <c r="F546" s="97">
        <f ca="1">VLOOKUP(D546,[2]属性!$A:$E,3,FALSE)</f>
        <v>1.01</v>
      </c>
      <c r="G546" s="97">
        <f ca="1">VLOOKUP(D546,[2]属性!$A:$F,4,FALSE)</f>
        <v>1</v>
      </c>
      <c r="H546" s="9" t="str">
        <f ca="1">VLOOKUP(A546,[2]characters!$A:$K,11,FALSE)</f>
        <v>heal</v>
      </c>
      <c r="I546" s="6" t="str">
        <f ca="1">VLOOKUP(H546,[2]character_type_i18n!$A:$F,3,FALSE)</f>
        <v>回復タイプ</v>
      </c>
      <c r="J546" s="97">
        <f ca="1">VLOOKUP(H546,[2]character_type_i18n!$A:$F,4,FALSE)</f>
        <v>0.8</v>
      </c>
      <c r="K546" s="97">
        <f ca="1">VLOOKUP(H546,[2]character_type_i18n!$A:$F,5,FALSE)</f>
        <v>0.78</v>
      </c>
      <c r="L546" s="97">
        <f ca="1">VLOOKUP(H546,[2]character_type_i18n!$A:$F,6,FALSE)</f>
        <v>1</v>
      </c>
      <c r="M546" s="9" t="str">
        <f ca="1">VLOOKUP(A546,[2]characters!$A:$M,13,FALSE)</f>
        <v>unknown</v>
      </c>
      <c r="N546" s="6" t="str">
        <f ca="1">VLOOKUP(M546,[2]character_tribe_i18n!$A:$F,3,FALSE)</f>
        <v>Unknown</v>
      </c>
      <c r="O546" s="97">
        <f ca="1">VLOOKUP(M546,[2]character_tribe_i18n!$A:$F,4,FALSE)</f>
        <v>1</v>
      </c>
      <c r="P546" s="97">
        <f ca="1">VLOOKUP(M546,[2]character_tribe_i18n!$A:$F,5,FALSE)</f>
        <v>1</v>
      </c>
      <c r="Q546" s="97">
        <f ca="1">VLOOKUP(M546,[2]character_tribe_i18n!$A:$F,6,FALSE)</f>
        <v>1</v>
      </c>
      <c r="R546" s="98" t="s">
        <v>98</v>
      </c>
      <c r="S546" s="97">
        <f>VLOOKUP($R546,ラベル別係数!$A$1:$E$7,3,FALSE)</f>
        <v>5</v>
      </c>
      <c r="T546" s="97">
        <f>VLOOKUP($R546,ラベル別係数!$A$1:$E$7,4,FALSE)</f>
        <v>1.3</v>
      </c>
      <c r="U546" s="97">
        <f>VLOOKUP($R546,ラベル別係数!$A$1:$E$7,5,FALSE)</f>
        <v>0.8</v>
      </c>
      <c r="V546" s="98">
        <v>3</v>
      </c>
      <c r="W546" s="99">
        <f>VLOOKUP(V546,ターン数別攻撃係数!$A$1:$B$1000,2,FALSE)</f>
        <v>1</v>
      </c>
      <c r="X546" s="9">
        <f ca="1">VLOOKUP(C546,サイズ別係数!A$2:B$9,2,FALSE)</f>
        <v>30</v>
      </c>
      <c r="Y546" s="97">
        <f ca="1">VLOOKUP($X546,サイズ別係数!$B:$E,2,FALSE)</f>
        <v>1.3</v>
      </c>
      <c r="Z546" s="97">
        <f ca="1">VLOOKUP($X546,サイズ別係数!$B:$E,3,FALSE)</f>
        <v>1.3</v>
      </c>
      <c r="AA546" s="97">
        <f ca="1">VLOOKUP($X546,サイズ別係数!$B:$E,4,FALSE)</f>
        <v>1.1000000000000001</v>
      </c>
      <c r="AB546" s="10">
        <v>0</v>
      </c>
      <c r="AC546" s="6" t="str">
        <f ca="1">VLOOKUP($AB546,OFFSET([3]enemy_skill_sets!$B$2,0,0,COUNTA([3]enemy_skill_sets!$A:$A),MATCH(AC$1,[3]enemy_skill_sets!$1:$1,0)-MATCH($AB$1,[3]enemy_skill_sets!$1:$1,0)+1),MATCH(AC$1,[3]enemy_skill_sets!$1:$1,0)-MATCH($AB$1,[3]enemy_skill_sets!$1:$1,0)+1,FALSE)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6" s="67">
        <v>1</v>
      </c>
      <c r="AE546" s="67">
        <v>1</v>
      </c>
      <c r="AF546" s="68">
        <v>0</v>
      </c>
      <c r="AG546" s="99">
        <f ca="1">ROUND(VLOOKUP(1,enemy_base_stats!$A:$F,2,FALSE) * Y546* J546*O546*E546*S546*AD546*[2]ステータス!$B$2,0)</f>
        <v>2548</v>
      </c>
      <c r="AH546" s="99">
        <f ca="1">ROUND(VLOOKUP(1,enemy_base_stats!$A:$F,3,FALSE) * Z546*K546*P546*F546*T546*AE546 * W546*[2]ステータス!$C$2,0)</f>
        <v>200</v>
      </c>
      <c r="AI546" s="99">
        <f ca="1">ROUND(VLOOKUP(1,enemy_base_stats!$A:$F,4,FALSE) * AA546*L546*Q546*G546*U546*AF546*[2]ステータス!$D$2,0)</f>
        <v>0</v>
      </c>
      <c r="AJ546" s="99">
        <f ca="1">ROUND(VLOOKUP(100,enemy_base_stats!$A:$F,2,FALSE) * Y546* J546*O546*E546*S546*AD546*[2]ステータス!$B$2,0)</f>
        <v>103449</v>
      </c>
      <c r="AK546" s="99">
        <f ca="1">ROUND(VLOOKUP(100,enemy_base_stats!$A:$F,3,FALSE)* Z546* K546*P546*F546*T546*AE546 * W546*[2]ステータス!$C$2,0)</f>
        <v>8108</v>
      </c>
      <c r="AL546" s="99">
        <f ca="1">ROUND(VLOOKUP(100,enemy_base_stats!$A:$F,4,FALSE)* AA546* L546*Q546*G546*U546*AF546*[2]ステータス!$D$2,0)</f>
        <v>0</v>
      </c>
      <c r="AM546" s="97">
        <f ca="1">VLOOKUP(M546,[2]character_tribe_i18n!$A:$I,9,FALSE)</f>
        <v>340</v>
      </c>
      <c r="AN546" s="97">
        <v>0</v>
      </c>
      <c r="AO546" s="98">
        <v>0</v>
      </c>
      <c r="AP546" s="58" t="s">
        <v>72</v>
      </c>
      <c r="AQ546" s="34">
        <f t="shared" ca="1" si="29"/>
        <v>545</v>
      </c>
    </row>
    <row r="547" spans="1:43" ht="21" customHeight="1" x14ac:dyDescent="0.15">
      <c r="A547" s="7">
        <f t="shared" ca="1" si="27"/>
        <v>546</v>
      </c>
      <c r="B547" s="6" t="str">
        <f ca="1">VLOOKUP(A547,[2]characters!$A:$C,3,FALSE)</f>
        <v>残響の連符 鏡音レン</v>
      </c>
      <c r="C547" s="9">
        <f ca="1">VLOOKUP(A547,[2]characters!$A:$I,9,FALSE)</f>
        <v>5</v>
      </c>
      <c r="D547" s="9" t="str">
        <f ca="1">VLOOKUP(A547,[2]characters!$A:$H,8,FALSE)</f>
        <v>yellow</v>
      </c>
      <c r="E547" s="97">
        <f ca="1">VLOOKUP(D547,[2]属性!$A:$E,2,FALSE)</f>
        <v>0.98</v>
      </c>
      <c r="F547" s="97">
        <f ca="1">VLOOKUP(D547,[2]属性!$A:$E,3,FALSE)</f>
        <v>1.01</v>
      </c>
      <c r="G547" s="97">
        <f ca="1">VLOOKUP(D547,[2]属性!$A:$F,4,FALSE)</f>
        <v>1</v>
      </c>
      <c r="H547" s="9" t="str">
        <f ca="1">VLOOKUP(A547,[2]characters!$A:$K,11,FALSE)</f>
        <v>heal</v>
      </c>
      <c r="I547" s="6" t="str">
        <f ca="1">VLOOKUP(H547,[2]character_type_i18n!$A:$F,3,FALSE)</f>
        <v>回復タイプ</v>
      </c>
      <c r="J547" s="97">
        <f ca="1">VLOOKUP(H547,[2]character_type_i18n!$A:$F,4,FALSE)</f>
        <v>0.8</v>
      </c>
      <c r="K547" s="97">
        <f ca="1">VLOOKUP(H547,[2]character_type_i18n!$A:$F,5,FALSE)</f>
        <v>0.78</v>
      </c>
      <c r="L547" s="97">
        <f ca="1">VLOOKUP(H547,[2]character_type_i18n!$A:$F,6,FALSE)</f>
        <v>1</v>
      </c>
      <c r="M547" s="9" t="str">
        <f ca="1">VLOOKUP(A547,[2]characters!$A:$M,13,FALSE)</f>
        <v>unknown</v>
      </c>
      <c r="N547" s="6" t="str">
        <f ca="1">VLOOKUP(M547,[2]character_tribe_i18n!$A:$F,3,FALSE)</f>
        <v>Unknown</v>
      </c>
      <c r="O547" s="97">
        <f ca="1">VLOOKUP(M547,[2]character_tribe_i18n!$A:$F,4,FALSE)</f>
        <v>1</v>
      </c>
      <c r="P547" s="97">
        <f ca="1">VLOOKUP(M547,[2]character_tribe_i18n!$A:$F,5,FALSE)</f>
        <v>1</v>
      </c>
      <c r="Q547" s="97">
        <f ca="1">VLOOKUP(M547,[2]character_tribe_i18n!$A:$F,6,FALSE)</f>
        <v>1</v>
      </c>
      <c r="R547" s="98" t="s">
        <v>98</v>
      </c>
      <c r="S547" s="97">
        <f>VLOOKUP($R547,ラベル別係数!$A$1:$E$7,3,FALSE)</f>
        <v>5</v>
      </c>
      <c r="T547" s="97">
        <f>VLOOKUP($R547,ラベル別係数!$A$1:$E$7,4,FALSE)</f>
        <v>1.3</v>
      </c>
      <c r="U547" s="97">
        <f>VLOOKUP($R547,ラベル別係数!$A$1:$E$7,5,FALSE)</f>
        <v>0.8</v>
      </c>
      <c r="V547" s="98">
        <v>3</v>
      </c>
      <c r="W547" s="99">
        <f>VLOOKUP(V547,ターン数別攻撃係数!$A$1:$B$1000,2,FALSE)</f>
        <v>1</v>
      </c>
      <c r="X547" s="9">
        <f ca="1">VLOOKUP(C547,サイズ別係数!A$2:B$9,2,FALSE)</f>
        <v>60</v>
      </c>
      <c r="Y547" s="97">
        <f ca="1">VLOOKUP($X547,サイズ別係数!$B:$E,2,FALSE)</f>
        <v>1.7</v>
      </c>
      <c r="Z547" s="97">
        <f ca="1">VLOOKUP($X547,サイズ別係数!$B:$E,3,FALSE)</f>
        <v>1.4</v>
      </c>
      <c r="AA547" s="97">
        <f ca="1">VLOOKUP($X547,サイズ別係数!$B:$E,4,FALSE)</f>
        <v>1</v>
      </c>
      <c r="AB547" s="10">
        <v>0</v>
      </c>
      <c r="AC547" s="6" t="str">
        <f ca="1">VLOOKUP($AB547,OFFSET([3]enemy_skill_sets!$B$2,0,0,COUNTA([3]enemy_skill_sets!$A:$A),MATCH(AC$1,[3]enemy_skill_sets!$1:$1,0)-MATCH($AB$1,[3]enemy_skill_sets!$1:$1,0)+1),MATCH(AC$1,[3]enemy_skill_sets!$1:$1,0)-MATCH($AB$1,[3]enemy_skill_sets!$1:$1,0)+1,FALSE)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7" s="67">
        <v>1</v>
      </c>
      <c r="AE547" s="67">
        <v>1</v>
      </c>
      <c r="AF547" s="68">
        <v>0</v>
      </c>
      <c r="AG547" s="99">
        <f ca="1">ROUND(VLOOKUP(1,enemy_base_stats!$A:$F,2,FALSE) * Y547* J547*O547*E547*S547*AD547*[2]ステータス!$B$2,0)</f>
        <v>3332</v>
      </c>
      <c r="AH547" s="99">
        <f ca="1">ROUND(VLOOKUP(1,enemy_base_stats!$A:$F,3,FALSE) * Z547*K547*P547*F547*T547*AE547 * W547*[2]ステータス!$C$2,0)</f>
        <v>215</v>
      </c>
      <c r="AI547" s="99">
        <f ca="1">ROUND(VLOOKUP(1,enemy_base_stats!$A:$F,4,FALSE) * AA547*L547*Q547*G547*U547*AF547*[2]ステータス!$D$2,0)</f>
        <v>0</v>
      </c>
      <c r="AJ547" s="99">
        <f ca="1">ROUND(VLOOKUP(100,enemy_base_stats!$A:$F,2,FALSE) * Y547* J547*O547*E547*S547*AD547*[2]ステータス!$B$2,0)</f>
        <v>135279</v>
      </c>
      <c r="AK547" s="99">
        <f ca="1">ROUND(VLOOKUP(100,enemy_base_stats!$A:$F,3,FALSE)* Z547* K547*P547*F547*T547*AE547 * W547*[2]ステータス!$C$2,0)</f>
        <v>8732</v>
      </c>
      <c r="AL547" s="99">
        <f ca="1">ROUND(VLOOKUP(100,enemy_base_stats!$A:$F,4,FALSE)* AA547* L547*Q547*G547*U547*AF547*[2]ステータス!$D$2,0)</f>
        <v>0</v>
      </c>
      <c r="AM547" s="97">
        <f ca="1">VLOOKUP(M547,[2]character_tribe_i18n!$A:$I,9,FALSE)</f>
        <v>340</v>
      </c>
      <c r="AN547" s="97">
        <v>0</v>
      </c>
      <c r="AO547" s="98">
        <v>0</v>
      </c>
      <c r="AP547" s="58" t="s">
        <v>72</v>
      </c>
      <c r="AQ547" s="34">
        <f t="shared" ca="1" si="29"/>
        <v>546</v>
      </c>
    </row>
    <row r="548" spans="1:43" ht="21" customHeight="1" x14ac:dyDescent="0.15">
      <c r="A548" s="7">
        <f t="shared" ca="1" si="27"/>
        <v>547</v>
      </c>
      <c r="B548" s="6" t="str">
        <f ca="1">VLOOKUP(A548,[2]characters!$A:$C,3,FALSE)</f>
        <v>巡音ルカ</v>
      </c>
      <c r="C548" s="9">
        <f ca="1">VLOOKUP(A548,[2]characters!$A:$I,9,FALSE)</f>
        <v>3</v>
      </c>
      <c r="D548" s="9" t="str">
        <f ca="1">VLOOKUP(A548,[2]characters!$A:$H,8,FALSE)</f>
        <v>red</v>
      </c>
      <c r="E548" s="97">
        <f ca="1">VLOOKUP(D548,[2]属性!$A:$E,2,FALSE)</f>
        <v>1</v>
      </c>
      <c r="F548" s="97">
        <f ca="1">VLOOKUP(D548,[2]属性!$A:$E,3,FALSE)</f>
        <v>1.02</v>
      </c>
      <c r="G548" s="97">
        <f ca="1">VLOOKUP(D548,[2]属性!$A:$F,4,FALSE)</f>
        <v>1</v>
      </c>
      <c r="H548" s="9" t="str">
        <f ca="1">VLOOKUP(A548,[2]characters!$A:$K,11,FALSE)</f>
        <v>attack</v>
      </c>
      <c r="I548" s="6" t="str">
        <f ca="1">VLOOKUP(H548,[2]character_type_i18n!$A:$F,3,FALSE)</f>
        <v>攻撃タイプ</v>
      </c>
      <c r="J548" s="97">
        <f ca="1">VLOOKUP(H548,[2]character_type_i18n!$A:$F,4,FALSE)</f>
        <v>1</v>
      </c>
      <c r="K548" s="97">
        <f ca="1">VLOOKUP(H548,[2]character_type_i18n!$A:$F,5,FALSE)</f>
        <v>1.33</v>
      </c>
      <c r="L548" s="97">
        <f ca="1">VLOOKUP(H548,[2]character_type_i18n!$A:$F,6,FALSE)</f>
        <v>1</v>
      </c>
      <c r="M548" s="9" t="str">
        <f ca="1">VLOOKUP(A548,[2]characters!$A:$M,13,FALSE)</f>
        <v>unknown</v>
      </c>
      <c r="N548" s="6" t="str">
        <f ca="1">VLOOKUP(M548,[2]character_tribe_i18n!$A:$F,3,FALSE)</f>
        <v>Unknown</v>
      </c>
      <c r="O548" s="97">
        <f ca="1">VLOOKUP(M548,[2]character_tribe_i18n!$A:$F,4,FALSE)</f>
        <v>1</v>
      </c>
      <c r="P548" s="97">
        <f ca="1">VLOOKUP(M548,[2]character_tribe_i18n!$A:$F,5,FALSE)</f>
        <v>1</v>
      </c>
      <c r="Q548" s="97">
        <f ca="1">VLOOKUP(M548,[2]character_tribe_i18n!$A:$F,6,FALSE)</f>
        <v>1</v>
      </c>
      <c r="R548" s="98" t="s">
        <v>98</v>
      </c>
      <c r="S548" s="97">
        <f>VLOOKUP($R548,ラベル別係数!$A$1:$E$7,3,FALSE)</f>
        <v>5</v>
      </c>
      <c r="T548" s="97">
        <f>VLOOKUP($R548,ラベル別係数!$A$1:$E$7,4,FALSE)</f>
        <v>1.3</v>
      </c>
      <c r="U548" s="97">
        <f>VLOOKUP($R548,ラベル別係数!$A$1:$E$7,5,FALSE)</f>
        <v>0.8</v>
      </c>
      <c r="V548" s="98">
        <v>3</v>
      </c>
      <c r="W548" s="99">
        <f>VLOOKUP(V548,ターン数別攻撃係数!$A$1:$B$1000,2,FALSE)</f>
        <v>1</v>
      </c>
      <c r="X548" s="9">
        <f ca="1">VLOOKUP(C548,サイズ別係数!A$2:B$9,2,FALSE)</f>
        <v>25</v>
      </c>
      <c r="Y548" s="97">
        <f ca="1">VLOOKUP($X548,サイズ別係数!$B:$E,2,FALSE)</f>
        <v>1.2</v>
      </c>
      <c r="Z548" s="97">
        <f ca="1">VLOOKUP($X548,サイズ別係数!$B:$E,3,FALSE)</f>
        <v>1.25</v>
      </c>
      <c r="AA548" s="97">
        <f ca="1">VLOOKUP($X548,サイズ別係数!$B:$E,4,FALSE)</f>
        <v>1.1499999999999999</v>
      </c>
      <c r="AB548" s="10">
        <v>0</v>
      </c>
      <c r="AC548" s="6" t="str">
        <f ca="1">VLOOKUP($AB548,OFFSET([3]enemy_skill_sets!$B$2,0,0,COUNTA([3]enemy_skill_sets!$A:$A),MATCH(AC$1,[3]enemy_skill_sets!$1:$1,0)-MATCH($AB$1,[3]enemy_skill_sets!$1:$1,0)+1),MATCH(AC$1,[3]enemy_skill_sets!$1:$1,0)-MATCH($AB$1,[3]enemy_skill_sets!$1:$1,0)+1,FALSE)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8" s="67">
        <v>1</v>
      </c>
      <c r="AE548" s="67">
        <v>1</v>
      </c>
      <c r="AF548" s="68">
        <v>0</v>
      </c>
      <c r="AG548" s="99">
        <f ca="1">ROUND(VLOOKUP(1,enemy_base_stats!$A:$F,2,FALSE) * Y548* J548*O548*E548*S548*AD548*[2]ステータス!$B$2,0)</f>
        <v>3000</v>
      </c>
      <c r="AH548" s="99">
        <f ca="1">ROUND(VLOOKUP(1,enemy_base_stats!$A:$F,3,FALSE) * Z548*K548*P548*F548*T548*AE548 * W548*[2]ステータス!$C$2,0)</f>
        <v>331</v>
      </c>
      <c r="AI548" s="99">
        <f ca="1">ROUND(VLOOKUP(1,enemy_base_stats!$A:$F,4,FALSE) * AA548*L548*Q548*G548*U548*AF548*[2]ステータス!$D$2,0)</f>
        <v>0</v>
      </c>
      <c r="AJ548" s="99">
        <f ca="1">ROUND(VLOOKUP(100,enemy_base_stats!$A:$F,2,FALSE) * Y548* J548*O548*E548*S548*AD548*[2]ステータス!$B$2,0)</f>
        <v>121800</v>
      </c>
      <c r="AK548" s="99">
        <f ca="1">ROUND(VLOOKUP(100,enemy_base_stats!$A:$F,3,FALSE)* Z548* K548*P548*F548*T548*AE548 * W548*[2]ステータス!$C$2,0)</f>
        <v>13425</v>
      </c>
      <c r="AL548" s="99">
        <f ca="1">ROUND(VLOOKUP(100,enemy_base_stats!$A:$F,4,FALSE)* AA548* L548*Q548*G548*U548*AF548*[2]ステータス!$D$2,0)</f>
        <v>0</v>
      </c>
      <c r="AM548" s="97">
        <f ca="1">VLOOKUP(M548,[2]character_tribe_i18n!$A:$I,9,FALSE)</f>
        <v>340</v>
      </c>
      <c r="AN548" s="97">
        <v>0</v>
      </c>
      <c r="AO548" s="98">
        <v>0</v>
      </c>
      <c r="AP548" s="58" t="s">
        <v>72</v>
      </c>
      <c r="AQ548" s="34">
        <f t="shared" ca="1" si="29"/>
        <v>547</v>
      </c>
    </row>
    <row r="549" spans="1:43" ht="21" customHeight="1" x14ac:dyDescent="0.15">
      <c r="A549" s="7">
        <f t="shared" ca="1" si="27"/>
        <v>548</v>
      </c>
      <c r="B549" s="6" t="str">
        <f ca="1">VLOOKUP(A549,[2]characters!$A:$C,3,FALSE)</f>
        <v>乱舞の音環 巡音ルカ</v>
      </c>
      <c r="C549" s="9">
        <f ca="1">VLOOKUP(A549,[2]characters!$A:$I,9,FALSE)</f>
        <v>4</v>
      </c>
      <c r="D549" s="9" t="str">
        <f ca="1">VLOOKUP(A549,[2]characters!$A:$H,8,FALSE)</f>
        <v>red</v>
      </c>
      <c r="E549" s="97">
        <f ca="1">VLOOKUP(D549,[2]属性!$A:$E,2,FALSE)</f>
        <v>1</v>
      </c>
      <c r="F549" s="97">
        <f ca="1">VLOOKUP(D549,[2]属性!$A:$E,3,FALSE)</f>
        <v>1.02</v>
      </c>
      <c r="G549" s="97">
        <f ca="1">VLOOKUP(D549,[2]属性!$A:$F,4,FALSE)</f>
        <v>1</v>
      </c>
      <c r="H549" s="9" t="str">
        <f ca="1">VLOOKUP(A549,[2]characters!$A:$K,11,FALSE)</f>
        <v>attack</v>
      </c>
      <c r="I549" s="6" t="str">
        <f ca="1">VLOOKUP(H549,[2]character_type_i18n!$A:$F,3,FALSE)</f>
        <v>攻撃タイプ</v>
      </c>
      <c r="J549" s="97">
        <f ca="1">VLOOKUP(H549,[2]character_type_i18n!$A:$F,4,FALSE)</f>
        <v>1</v>
      </c>
      <c r="K549" s="97">
        <f ca="1">VLOOKUP(H549,[2]character_type_i18n!$A:$F,5,FALSE)</f>
        <v>1.33</v>
      </c>
      <c r="L549" s="97">
        <f ca="1">VLOOKUP(H549,[2]character_type_i18n!$A:$F,6,FALSE)</f>
        <v>1</v>
      </c>
      <c r="M549" s="9" t="str">
        <f ca="1">VLOOKUP(A549,[2]characters!$A:$M,13,FALSE)</f>
        <v>unknown</v>
      </c>
      <c r="N549" s="6" t="str">
        <f ca="1">VLOOKUP(M549,[2]character_tribe_i18n!$A:$F,3,FALSE)</f>
        <v>Unknown</v>
      </c>
      <c r="O549" s="97">
        <f ca="1">VLOOKUP(M549,[2]character_tribe_i18n!$A:$F,4,FALSE)</f>
        <v>1</v>
      </c>
      <c r="P549" s="97">
        <f ca="1">VLOOKUP(M549,[2]character_tribe_i18n!$A:$F,5,FALSE)</f>
        <v>1</v>
      </c>
      <c r="Q549" s="97">
        <f ca="1">VLOOKUP(M549,[2]character_tribe_i18n!$A:$F,6,FALSE)</f>
        <v>1</v>
      </c>
      <c r="R549" s="98" t="s">
        <v>98</v>
      </c>
      <c r="S549" s="97">
        <f>VLOOKUP($R549,ラベル別係数!$A$1:$E$7,3,FALSE)</f>
        <v>5</v>
      </c>
      <c r="T549" s="97">
        <f>VLOOKUP($R549,ラベル別係数!$A$1:$E$7,4,FALSE)</f>
        <v>1.3</v>
      </c>
      <c r="U549" s="97">
        <f>VLOOKUP($R549,ラベル別係数!$A$1:$E$7,5,FALSE)</f>
        <v>0.8</v>
      </c>
      <c r="V549" s="98">
        <v>3</v>
      </c>
      <c r="W549" s="99">
        <f>VLOOKUP(V549,ターン数別攻撃係数!$A$1:$B$1000,2,FALSE)</f>
        <v>1</v>
      </c>
      <c r="X549" s="9">
        <f ca="1">VLOOKUP(C549,サイズ別係数!A$2:B$9,2,FALSE)</f>
        <v>30</v>
      </c>
      <c r="Y549" s="97">
        <f ca="1">VLOOKUP($X549,サイズ別係数!$B:$E,2,FALSE)</f>
        <v>1.3</v>
      </c>
      <c r="Z549" s="97">
        <f ca="1">VLOOKUP($X549,サイズ別係数!$B:$E,3,FALSE)</f>
        <v>1.3</v>
      </c>
      <c r="AA549" s="97">
        <f ca="1">VLOOKUP($X549,サイズ別係数!$B:$E,4,FALSE)</f>
        <v>1.1000000000000001</v>
      </c>
      <c r="AB549" s="10">
        <v>0</v>
      </c>
      <c r="AC549" s="6" t="str">
        <f ca="1">VLOOKUP($AB549,OFFSET([3]enemy_skill_sets!$B$2,0,0,COUNTA([3]enemy_skill_sets!$A:$A),MATCH(AC$1,[3]enemy_skill_sets!$1:$1,0)-MATCH($AB$1,[3]enemy_skill_sets!$1:$1,0)+1),MATCH(AC$1,[3]enemy_skill_sets!$1:$1,0)-MATCH($AB$1,[3]enemy_skill_sets!$1:$1,0)+1,FALSE)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49" s="67">
        <v>1</v>
      </c>
      <c r="AE549" s="67">
        <v>1</v>
      </c>
      <c r="AF549" s="68">
        <v>0</v>
      </c>
      <c r="AG549" s="99">
        <f ca="1">ROUND(VLOOKUP(1,enemy_base_stats!$A:$F,2,FALSE) * Y549* J549*O549*E549*S549*AD549*[2]ステータス!$B$2,0)</f>
        <v>3250</v>
      </c>
      <c r="AH549" s="99">
        <f ca="1">ROUND(VLOOKUP(1,enemy_base_stats!$A:$F,3,FALSE) * Z549*K549*P549*F549*T549*AE549 * W549*[2]ステータス!$C$2,0)</f>
        <v>344</v>
      </c>
      <c r="AI549" s="99">
        <f ca="1">ROUND(VLOOKUP(1,enemy_base_stats!$A:$F,4,FALSE) * AA549*L549*Q549*G549*U549*AF549*[2]ステータス!$D$2,0)</f>
        <v>0</v>
      </c>
      <c r="AJ549" s="99">
        <f ca="1">ROUND(VLOOKUP(100,enemy_base_stats!$A:$F,2,FALSE) * Y549* J549*O549*E549*S549*AD549*[2]ステータス!$B$2,0)</f>
        <v>131950</v>
      </c>
      <c r="AK549" s="99">
        <f ca="1">ROUND(VLOOKUP(100,enemy_base_stats!$A:$F,3,FALSE)* Z549* K549*P549*F549*T549*AE549 * W549*[2]ステータス!$C$2,0)</f>
        <v>13962</v>
      </c>
      <c r="AL549" s="99">
        <f ca="1">ROUND(VLOOKUP(100,enemy_base_stats!$A:$F,4,FALSE)* AA549* L549*Q549*G549*U549*AF549*[2]ステータス!$D$2,0)</f>
        <v>0</v>
      </c>
      <c r="AM549" s="97">
        <f ca="1">VLOOKUP(M549,[2]character_tribe_i18n!$A:$I,9,FALSE)</f>
        <v>340</v>
      </c>
      <c r="AN549" s="97">
        <v>0</v>
      </c>
      <c r="AO549" s="98">
        <v>0</v>
      </c>
      <c r="AP549" s="58" t="s">
        <v>72</v>
      </c>
      <c r="AQ549" s="34">
        <f t="shared" ca="1" si="29"/>
        <v>548</v>
      </c>
    </row>
    <row r="550" spans="1:43" ht="21" customHeight="1" x14ac:dyDescent="0.15">
      <c r="A550" s="7">
        <f t="shared" ca="1" si="27"/>
        <v>549</v>
      </c>
      <c r="B550" s="6" t="str">
        <f ca="1">VLOOKUP(A550,[2]characters!$A:$C,3,FALSE)</f>
        <v>MEIKO</v>
      </c>
      <c r="C550" s="9">
        <f ca="1">VLOOKUP(A550,[2]characters!$A:$I,9,FALSE)</f>
        <v>3</v>
      </c>
      <c r="D550" s="9" t="str">
        <f ca="1">VLOOKUP(A550,[2]characters!$A:$H,8,FALSE)</f>
        <v>red</v>
      </c>
      <c r="E550" s="97">
        <f ca="1">VLOOKUP(D550,[2]属性!$A:$E,2,FALSE)</f>
        <v>1</v>
      </c>
      <c r="F550" s="97">
        <f ca="1">VLOOKUP(D550,[2]属性!$A:$E,3,FALSE)</f>
        <v>1.02</v>
      </c>
      <c r="G550" s="97">
        <f ca="1">VLOOKUP(D550,[2]属性!$A:$F,4,FALSE)</f>
        <v>1</v>
      </c>
      <c r="H550" s="9" t="str">
        <f ca="1">VLOOKUP(A550,[2]characters!$A:$K,11,FALSE)</f>
        <v>hp</v>
      </c>
      <c r="I550" s="6" t="str">
        <f ca="1">VLOOKUP(H550,[2]character_type_i18n!$A:$F,3,FALSE)</f>
        <v>体力タイプ</v>
      </c>
      <c r="J550" s="97">
        <f ca="1">VLOOKUP(H550,[2]character_type_i18n!$A:$F,4,FALSE)</f>
        <v>1.45</v>
      </c>
      <c r="K550" s="97">
        <f ca="1">VLOOKUP(H550,[2]character_type_i18n!$A:$F,5,FALSE)</f>
        <v>0.85</v>
      </c>
      <c r="L550" s="97">
        <f ca="1">VLOOKUP(H550,[2]character_type_i18n!$A:$F,6,FALSE)</f>
        <v>1</v>
      </c>
      <c r="M550" s="9" t="str">
        <f ca="1">VLOOKUP(A550,[2]characters!$A:$M,13,FALSE)</f>
        <v>unknown</v>
      </c>
      <c r="N550" s="6" t="str">
        <f ca="1">VLOOKUP(M550,[2]character_tribe_i18n!$A:$F,3,FALSE)</f>
        <v>Unknown</v>
      </c>
      <c r="O550" s="97">
        <f ca="1">VLOOKUP(M550,[2]character_tribe_i18n!$A:$F,4,FALSE)</f>
        <v>1</v>
      </c>
      <c r="P550" s="97">
        <f ca="1">VLOOKUP(M550,[2]character_tribe_i18n!$A:$F,5,FALSE)</f>
        <v>1</v>
      </c>
      <c r="Q550" s="97">
        <f ca="1">VLOOKUP(M550,[2]character_tribe_i18n!$A:$F,6,FALSE)</f>
        <v>1</v>
      </c>
      <c r="R550" s="98" t="s">
        <v>98</v>
      </c>
      <c r="S550" s="97">
        <f>VLOOKUP($R550,ラベル別係数!$A$1:$E$7,3,FALSE)</f>
        <v>5</v>
      </c>
      <c r="T550" s="97">
        <f>VLOOKUP($R550,ラベル別係数!$A$1:$E$7,4,FALSE)</f>
        <v>1.3</v>
      </c>
      <c r="U550" s="97">
        <f>VLOOKUP($R550,ラベル別係数!$A$1:$E$7,5,FALSE)</f>
        <v>0.8</v>
      </c>
      <c r="V550" s="98">
        <v>3</v>
      </c>
      <c r="W550" s="99">
        <f>VLOOKUP(V550,ターン数別攻撃係数!$A$1:$B$1000,2,FALSE)</f>
        <v>1</v>
      </c>
      <c r="X550" s="9">
        <f ca="1">VLOOKUP(C550,サイズ別係数!A$2:B$9,2,FALSE)</f>
        <v>25</v>
      </c>
      <c r="Y550" s="97">
        <f ca="1">VLOOKUP($X550,サイズ別係数!$B:$E,2,FALSE)</f>
        <v>1.2</v>
      </c>
      <c r="Z550" s="97">
        <f ca="1">VLOOKUP($X550,サイズ別係数!$B:$E,3,FALSE)</f>
        <v>1.25</v>
      </c>
      <c r="AA550" s="97">
        <f ca="1">VLOOKUP($X550,サイズ別係数!$B:$E,4,FALSE)</f>
        <v>1.1499999999999999</v>
      </c>
      <c r="AB550" s="10">
        <v>0</v>
      </c>
      <c r="AC550" s="6" t="str">
        <f ca="1">VLOOKUP($AB550,OFFSET([3]enemy_skill_sets!$B$2,0,0,COUNTA([3]enemy_skill_sets!$A:$A),MATCH(AC$1,[3]enemy_skill_sets!$1:$1,0)-MATCH($AB$1,[3]enemy_skill_sets!$1:$1,0)+1),MATCH(AC$1,[3]enemy_skill_sets!$1:$1,0)-MATCH($AB$1,[3]enemy_skill_sets!$1:$1,0)+1,FALSE)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0" s="67">
        <v>1</v>
      </c>
      <c r="AE550" s="67">
        <v>1</v>
      </c>
      <c r="AF550" s="68">
        <v>0</v>
      </c>
      <c r="AG550" s="99">
        <f ca="1">ROUND(VLOOKUP(1,enemy_base_stats!$A:$F,2,FALSE) * Y550* J550*O550*E550*S550*AD550*[2]ステータス!$B$2,0)</f>
        <v>4350</v>
      </c>
      <c r="AH550" s="99">
        <f ca="1">ROUND(VLOOKUP(1,enemy_base_stats!$A:$F,3,FALSE) * Z550*K550*P550*F550*T550*AE550 * W550*[2]ステータス!$C$2,0)</f>
        <v>211</v>
      </c>
      <c r="AI550" s="99">
        <f ca="1">ROUND(VLOOKUP(1,enemy_base_stats!$A:$F,4,FALSE) * AA550*L550*Q550*G550*U550*AF550*[2]ステータス!$D$2,0)</f>
        <v>0</v>
      </c>
      <c r="AJ550" s="99">
        <f ca="1">ROUND(VLOOKUP(100,enemy_base_stats!$A:$F,2,FALSE) * Y550* J550*O550*E550*S550*AD550*[2]ステータス!$B$2,0)</f>
        <v>176610</v>
      </c>
      <c r="AK550" s="99">
        <f ca="1">ROUND(VLOOKUP(100,enemy_base_stats!$A:$F,3,FALSE)* Z550* K550*P550*F550*T550*AE550 * W550*[2]ステータス!$C$2,0)</f>
        <v>8580</v>
      </c>
      <c r="AL550" s="99">
        <f ca="1">ROUND(VLOOKUP(100,enemy_base_stats!$A:$F,4,FALSE)* AA550* L550*Q550*G550*U550*AF550*[2]ステータス!$D$2,0)</f>
        <v>0</v>
      </c>
      <c r="AM550" s="97">
        <f ca="1">VLOOKUP(M550,[2]character_tribe_i18n!$A:$I,9,FALSE)</f>
        <v>340</v>
      </c>
      <c r="AN550" s="97">
        <v>0</v>
      </c>
      <c r="AO550" s="98">
        <v>0</v>
      </c>
      <c r="AP550" s="58" t="s">
        <v>72</v>
      </c>
      <c r="AQ550" s="34">
        <f t="shared" ca="1" si="29"/>
        <v>549</v>
      </c>
    </row>
    <row r="551" spans="1:43" ht="21" customHeight="1" x14ac:dyDescent="0.15">
      <c r="A551" s="7">
        <f t="shared" ca="1" si="27"/>
        <v>550</v>
      </c>
      <c r="B551" s="6" t="str">
        <f ca="1">VLOOKUP(A551,[2]characters!$A:$C,3,FALSE)</f>
        <v>解放の絶唱 MEIKO</v>
      </c>
      <c r="C551" s="9">
        <f ca="1">VLOOKUP(A551,[2]characters!$A:$I,9,FALSE)</f>
        <v>4</v>
      </c>
      <c r="D551" s="9" t="str">
        <f ca="1">VLOOKUP(A551,[2]characters!$A:$H,8,FALSE)</f>
        <v>red</v>
      </c>
      <c r="E551" s="97">
        <f ca="1">VLOOKUP(D551,[2]属性!$A:$E,2,FALSE)</f>
        <v>1</v>
      </c>
      <c r="F551" s="97">
        <f ca="1">VLOOKUP(D551,[2]属性!$A:$E,3,FALSE)</f>
        <v>1.02</v>
      </c>
      <c r="G551" s="97">
        <f ca="1">VLOOKUP(D551,[2]属性!$A:$F,4,FALSE)</f>
        <v>1</v>
      </c>
      <c r="H551" s="9" t="str">
        <f ca="1">VLOOKUP(A551,[2]characters!$A:$K,11,FALSE)</f>
        <v>hp</v>
      </c>
      <c r="I551" s="6" t="str">
        <f ca="1">VLOOKUP(H551,[2]character_type_i18n!$A:$F,3,FALSE)</f>
        <v>体力タイプ</v>
      </c>
      <c r="J551" s="97">
        <f ca="1">VLOOKUP(H551,[2]character_type_i18n!$A:$F,4,FALSE)</f>
        <v>1.45</v>
      </c>
      <c r="K551" s="97">
        <f ca="1">VLOOKUP(H551,[2]character_type_i18n!$A:$F,5,FALSE)</f>
        <v>0.85</v>
      </c>
      <c r="L551" s="97">
        <f ca="1">VLOOKUP(H551,[2]character_type_i18n!$A:$F,6,FALSE)</f>
        <v>1</v>
      </c>
      <c r="M551" s="9" t="str">
        <f ca="1">VLOOKUP(A551,[2]characters!$A:$M,13,FALSE)</f>
        <v>unknown</v>
      </c>
      <c r="N551" s="6" t="str">
        <f ca="1">VLOOKUP(M551,[2]character_tribe_i18n!$A:$F,3,FALSE)</f>
        <v>Unknown</v>
      </c>
      <c r="O551" s="97">
        <f ca="1">VLOOKUP(M551,[2]character_tribe_i18n!$A:$F,4,FALSE)</f>
        <v>1</v>
      </c>
      <c r="P551" s="97">
        <f ca="1">VLOOKUP(M551,[2]character_tribe_i18n!$A:$F,5,FALSE)</f>
        <v>1</v>
      </c>
      <c r="Q551" s="97">
        <f ca="1">VLOOKUP(M551,[2]character_tribe_i18n!$A:$F,6,FALSE)</f>
        <v>1</v>
      </c>
      <c r="R551" s="98" t="s">
        <v>98</v>
      </c>
      <c r="S551" s="97">
        <f>VLOOKUP($R551,ラベル別係数!$A$1:$E$7,3,FALSE)</f>
        <v>5</v>
      </c>
      <c r="T551" s="97">
        <f>VLOOKUP($R551,ラベル別係数!$A$1:$E$7,4,FALSE)</f>
        <v>1.3</v>
      </c>
      <c r="U551" s="97">
        <f>VLOOKUP($R551,ラベル別係数!$A$1:$E$7,5,FALSE)</f>
        <v>0.8</v>
      </c>
      <c r="V551" s="98">
        <v>3</v>
      </c>
      <c r="W551" s="99">
        <f>VLOOKUP(V551,ターン数別攻撃係数!$A$1:$B$1000,2,FALSE)</f>
        <v>1</v>
      </c>
      <c r="X551" s="9">
        <f ca="1">VLOOKUP(C551,サイズ別係数!A$2:B$9,2,FALSE)</f>
        <v>30</v>
      </c>
      <c r="Y551" s="97">
        <f ca="1">VLOOKUP($X551,サイズ別係数!$B:$E,2,FALSE)</f>
        <v>1.3</v>
      </c>
      <c r="Z551" s="97">
        <f ca="1">VLOOKUP($X551,サイズ別係数!$B:$E,3,FALSE)</f>
        <v>1.3</v>
      </c>
      <c r="AA551" s="97">
        <f ca="1">VLOOKUP($X551,サイズ別係数!$B:$E,4,FALSE)</f>
        <v>1.1000000000000001</v>
      </c>
      <c r="AB551" s="10">
        <v>0</v>
      </c>
      <c r="AC551" s="6" t="str">
        <f ca="1">VLOOKUP($AB551,OFFSET([3]enemy_skill_sets!$B$2,0,0,COUNTA([3]enemy_skill_sets!$A:$A),MATCH(AC$1,[3]enemy_skill_sets!$1:$1,0)-MATCH($AB$1,[3]enemy_skill_sets!$1:$1,0)+1),MATCH(AC$1,[3]enemy_skill_sets!$1:$1,0)-MATCH($AB$1,[3]enemy_skill_sets!$1:$1,0)+1,FALSE)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1" s="67">
        <v>1</v>
      </c>
      <c r="AE551" s="67">
        <v>1</v>
      </c>
      <c r="AF551" s="68">
        <v>0</v>
      </c>
      <c r="AG551" s="99">
        <f ca="1">ROUND(VLOOKUP(1,enemy_base_stats!$A:$F,2,FALSE) * Y551* J551*O551*E551*S551*AD551*[2]ステータス!$B$2,0)</f>
        <v>4713</v>
      </c>
      <c r="AH551" s="99">
        <f ca="1">ROUND(VLOOKUP(1,enemy_base_stats!$A:$F,3,FALSE) * Z551*K551*P551*F551*T551*AE551 * W551*[2]ステータス!$C$2,0)</f>
        <v>220</v>
      </c>
      <c r="AI551" s="99">
        <f ca="1">ROUND(VLOOKUP(1,enemy_base_stats!$A:$F,4,FALSE) * AA551*L551*Q551*G551*U551*AF551*[2]ステータス!$D$2,0)</f>
        <v>0</v>
      </c>
      <c r="AJ551" s="99">
        <f ca="1">ROUND(VLOOKUP(100,enemy_base_stats!$A:$F,2,FALSE) * Y551* J551*O551*E551*S551*AD551*[2]ステータス!$B$2,0)</f>
        <v>191328</v>
      </c>
      <c r="AK551" s="99">
        <f ca="1">ROUND(VLOOKUP(100,enemy_base_stats!$A:$F,3,FALSE)* Z551* K551*P551*F551*T551*AE551 * W551*[2]ステータス!$C$2,0)</f>
        <v>8923</v>
      </c>
      <c r="AL551" s="99">
        <f ca="1">ROUND(VLOOKUP(100,enemy_base_stats!$A:$F,4,FALSE)* AA551* L551*Q551*G551*U551*AF551*[2]ステータス!$D$2,0)</f>
        <v>0</v>
      </c>
      <c r="AM551" s="97">
        <f ca="1">VLOOKUP(M551,[2]character_tribe_i18n!$A:$I,9,FALSE)</f>
        <v>340</v>
      </c>
      <c r="AN551" s="97">
        <v>0</v>
      </c>
      <c r="AO551" s="98">
        <v>0</v>
      </c>
      <c r="AP551" s="58" t="s">
        <v>72</v>
      </c>
      <c r="AQ551" s="34">
        <f t="shared" ca="1" si="29"/>
        <v>550</v>
      </c>
    </row>
    <row r="552" spans="1:43" ht="21" customHeight="1" x14ac:dyDescent="0.15">
      <c r="A552" s="7">
        <f t="shared" ca="1" si="27"/>
        <v>551</v>
      </c>
      <c r="B552" s="6" t="str">
        <f ca="1">VLOOKUP(A552,[2]characters!$A:$C,3,FALSE)</f>
        <v>KAITO</v>
      </c>
      <c r="C552" s="9">
        <f ca="1">VLOOKUP(A552,[2]characters!$A:$I,9,FALSE)</f>
        <v>3</v>
      </c>
      <c r="D552" s="9" t="str">
        <f ca="1">VLOOKUP(A552,[2]characters!$A:$H,8,FALSE)</f>
        <v>blue</v>
      </c>
      <c r="E552" s="97">
        <f ca="1">VLOOKUP(D552,[2]属性!$A:$E,2,FALSE)</f>
        <v>1</v>
      </c>
      <c r="F552" s="97">
        <f ca="1">VLOOKUP(D552,[2]属性!$A:$E,3,FALSE)</f>
        <v>0.98</v>
      </c>
      <c r="G552" s="97">
        <f ca="1">VLOOKUP(D552,[2]属性!$A:$F,4,FALSE)</f>
        <v>1</v>
      </c>
      <c r="H552" s="9" t="str">
        <f ca="1">VLOOKUP(A552,[2]characters!$A:$K,11,FALSE)</f>
        <v>technical</v>
      </c>
      <c r="I552" s="6" t="str">
        <f ca="1">VLOOKUP(H552,[2]character_type_i18n!$A:$F,3,FALSE)</f>
        <v>テクニカルタイプ</v>
      </c>
      <c r="J552" s="97">
        <f ca="1">VLOOKUP(H552,[2]character_type_i18n!$A:$F,4,FALSE)</f>
        <v>0.9</v>
      </c>
      <c r="K552" s="97">
        <f ca="1">VLOOKUP(H552,[2]character_type_i18n!$A:$F,5,FALSE)</f>
        <v>0.9</v>
      </c>
      <c r="L552" s="97">
        <f ca="1">VLOOKUP(H552,[2]character_type_i18n!$A:$F,6,FALSE)</f>
        <v>1</v>
      </c>
      <c r="M552" s="9" t="str">
        <f ca="1">VLOOKUP(A552,[2]characters!$A:$M,13,FALSE)</f>
        <v>unknown</v>
      </c>
      <c r="N552" s="6" t="str">
        <f ca="1">VLOOKUP(M552,[2]character_tribe_i18n!$A:$F,3,FALSE)</f>
        <v>Unknown</v>
      </c>
      <c r="O552" s="97">
        <f ca="1">VLOOKUP(M552,[2]character_tribe_i18n!$A:$F,4,FALSE)</f>
        <v>1</v>
      </c>
      <c r="P552" s="97">
        <f ca="1">VLOOKUP(M552,[2]character_tribe_i18n!$A:$F,5,FALSE)</f>
        <v>1</v>
      </c>
      <c r="Q552" s="97">
        <f ca="1">VLOOKUP(M552,[2]character_tribe_i18n!$A:$F,6,FALSE)</f>
        <v>1</v>
      </c>
      <c r="R552" s="98" t="s">
        <v>98</v>
      </c>
      <c r="S552" s="97">
        <f>VLOOKUP($R552,ラベル別係数!$A$1:$E$7,3,FALSE)</f>
        <v>5</v>
      </c>
      <c r="T552" s="97">
        <f>VLOOKUP($R552,ラベル別係数!$A$1:$E$7,4,FALSE)</f>
        <v>1.3</v>
      </c>
      <c r="U552" s="97">
        <f>VLOOKUP($R552,ラベル別係数!$A$1:$E$7,5,FALSE)</f>
        <v>0.8</v>
      </c>
      <c r="V552" s="98">
        <v>3</v>
      </c>
      <c r="W552" s="99">
        <f>VLOOKUP(V552,ターン数別攻撃係数!$A$1:$B$1000,2,FALSE)</f>
        <v>1</v>
      </c>
      <c r="X552" s="9">
        <f ca="1">VLOOKUP(C552,サイズ別係数!A$2:B$9,2,FALSE)</f>
        <v>25</v>
      </c>
      <c r="Y552" s="97">
        <f ca="1">VLOOKUP($X552,サイズ別係数!$B:$E,2,FALSE)</f>
        <v>1.2</v>
      </c>
      <c r="Z552" s="97">
        <f ca="1">VLOOKUP($X552,サイズ別係数!$B:$E,3,FALSE)</f>
        <v>1.25</v>
      </c>
      <c r="AA552" s="97">
        <f ca="1">VLOOKUP($X552,サイズ別係数!$B:$E,4,FALSE)</f>
        <v>1.1499999999999999</v>
      </c>
      <c r="AB552" s="10">
        <v>0</v>
      </c>
      <c r="AC552" s="6" t="str">
        <f ca="1">VLOOKUP($AB552,OFFSET([3]enemy_skill_sets!$B$2,0,0,COUNTA([3]enemy_skill_sets!$A:$A),MATCH(AC$1,[3]enemy_skill_sets!$1:$1,0)-MATCH($AB$1,[3]enemy_skill_sets!$1:$1,0)+1),MATCH(AC$1,[3]enemy_skill_sets!$1:$1,0)-MATCH($AB$1,[3]enemy_skill_sets!$1:$1,0)+1,FALSE)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2" s="67">
        <v>1</v>
      </c>
      <c r="AE552" s="67">
        <v>1</v>
      </c>
      <c r="AF552" s="68">
        <v>0</v>
      </c>
      <c r="AG552" s="99">
        <f ca="1">ROUND(VLOOKUP(1,enemy_base_stats!$A:$F,2,FALSE) * Y552* J552*O552*E552*S552*AD552*[2]ステータス!$B$2,0)</f>
        <v>2700</v>
      </c>
      <c r="AH552" s="99">
        <f ca="1">ROUND(VLOOKUP(1,enemy_base_stats!$A:$F,3,FALSE) * Z552*K552*P552*F552*T552*AE552 * W552*[2]ステータス!$C$2,0)</f>
        <v>215</v>
      </c>
      <c r="AI552" s="99">
        <f ca="1">ROUND(VLOOKUP(1,enemy_base_stats!$A:$F,4,FALSE) * AA552*L552*Q552*G552*U552*AF552*[2]ステータス!$D$2,0)</f>
        <v>0</v>
      </c>
      <c r="AJ552" s="99">
        <f ca="1">ROUND(VLOOKUP(100,enemy_base_stats!$A:$F,2,FALSE) * Y552* J552*O552*E552*S552*AD552*[2]ステータス!$B$2,0)</f>
        <v>109620</v>
      </c>
      <c r="AK552" s="99">
        <f ca="1">ROUND(VLOOKUP(100,enemy_base_stats!$A:$F,3,FALSE)* Z552* K552*P552*F552*T552*AE552 * W552*[2]ステータス!$C$2,0)</f>
        <v>8728</v>
      </c>
      <c r="AL552" s="99">
        <f ca="1">ROUND(VLOOKUP(100,enemy_base_stats!$A:$F,4,FALSE)* AA552* L552*Q552*G552*U552*AF552*[2]ステータス!$D$2,0)</f>
        <v>0</v>
      </c>
      <c r="AM552" s="97">
        <f ca="1">VLOOKUP(M552,[2]character_tribe_i18n!$A:$I,9,FALSE)</f>
        <v>340</v>
      </c>
      <c r="AN552" s="97">
        <v>0</v>
      </c>
      <c r="AO552" s="98">
        <v>0</v>
      </c>
      <c r="AP552" s="58" t="s">
        <v>72</v>
      </c>
      <c r="AQ552" s="34">
        <f t="shared" ca="1" si="29"/>
        <v>551</v>
      </c>
    </row>
    <row r="553" spans="1:43" ht="21" customHeight="1" x14ac:dyDescent="0.15">
      <c r="A553" s="7">
        <f t="shared" ca="1" si="27"/>
        <v>552</v>
      </c>
      <c r="B553" s="6" t="str">
        <f ca="1">VLOOKUP(A553,[2]characters!$A:$C,3,FALSE)</f>
        <v>愉悦の愛唱 KAITO</v>
      </c>
      <c r="C553" s="9">
        <f ca="1">VLOOKUP(A553,[2]characters!$A:$I,9,FALSE)</f>
        <v>4</v>
      </c>
      <c r="D553" s="9" t="str">
        <f ca="1">VLOOKUP(A553,[2]characters!$A:$H,8,FALSE)</f>
        <v>blue</v>
      </c>
      <c r="E553" s="97">
        <f ca="1">VLOOKUP(D553,[2]属性!$A:$E,2,FALSE)</f>
        <v>1</v>
      </c>
      <c r="F553" s="97">
        <f ca="1">VLOOKUP(D553,[2]属性!$A:$E,3,FALSE)</f>
        <v>0.98</v>
      </c>
      <c r="G553" s="97">
        <f ca="1">VLOOKUP(D553,[2]属性!$A:$F,4,FALSE)</f>
        <v>1</v>
      </c>
      <c r="H553" s="9" t="str">
        <f ca="1">VLOOKUP(A553,[2]characters!$A:$K,11,FALSE)</f>
        <v>technical</v>
      </c>
      <c r="I553" s="6" t="str">
        <f ca="1">VLOOKUP(H553,[2]character_type_i18n!$A:$F,3,FALSE)</f>
        <v>テクニカルタイプ</v>
      </c>
      <c r="J553" s="97">
        <f ca="1">VLOOKUP(H553,[2]character_type_i18n!$A:$F,4,FALSE)</f>
        <v>0.9</v>
      </c>
      <c r="K553" s="97">
        <f ca="1">VLOOKUP(H553,[2]character_type_i18n!$A:$F,5,FALSE)</f>
        <v>0.9</v>
      </c>
      <c r="L553" s="97">
        <f ca="1">VLOOKUP(H553,[2]character_type_i18n!$A:$F,6,FALSE)</f>
        <v>1</v>
      </c>
      <c r="M553" s="9" t="str">
        <f ca="1">VLOOKUP(A553,[2]characters!$A:$M,13,FALSE)</f>
        <v>unknown</v>
      </c>
      <c r="N553" s="6" t="str">
        <f ca="1">VLOOKUP(M553,[2]character_tribe_i18n!$A:$F,3,FALSE)</f>
        <v>Unknown</v>
      </c>
      <c r="O553" s="97">
        <f ca="1">VLOOKUP(M553,[2]character_tribe_i18n!$A:$F,4,FALSE)</f>
        <v>1</v>
      </c>
      <c r="P553" s="97">
        <f ca="1">VLOOKUP(M553,[2]character_tribe_i18n!$A:$F,5,FALSE)</f>
        <v>1</v>
      </c>
      <c r="Q553" s="97">
        <f ca="1">VLOOKUP(M553,[2]character_tribe_i18n!$A:$F,6,FALSE)</f>
        <v>1</v>
      </c>
      <c r="R553" s="98" t="s">
        <v>98</v>
      </c>
      <c r="S553" s="97">
        <f>VLOOKUP($R553,ラベル別係数!$A$1:$E$7,3,FALSE)</f>
        <v>5</v>
      </c>
      <c r="T553" s="97">
        <f>VLOOKUP($R553,ラベル別係数!$A$1:$E$7,4,FALSE)</f>
        <v>1.3</v>
      </c>
      <c r="U553" s="97">
        <f>VLOOKUP($R553,ラベル別係数!$A$1:$E$7,5,FALSE)</f>
        <v>0.8</v>
      </c>
      <c r="V553" s="98">
        <v>3</v>
      </c>
      <c r="W553" s="99">
        <f>VLOOKUP(V553,ターン数別攻撃係数!$A$1:$B$1000,2,FALSE)</f>
        <v>1</v>
      </c>
      <c r="X553" s="9">
        <f ca="1">VLOOKUP(C553,サイズ別係数!A$2:B$9,2,FALSE)</f>
        <v>30</v>
      </c>
      <c r="Y553" s="97">
        <f ca="1">VLOOKUP($X553,サイズ別係数!$B:$E,2,FALSE)</f>
        <v>1.3</v>
      </c>
      <c r="Z553" s="97">
        <f ca="1">VLOOKUP($X553,サイズ別係数!$B:$E,3,FALSE)</f>
        <v>1.3</v>
      </c>
      <c r="AA553" s="97">
        <f ca="1">VLOOKUP($X553,サイズ別係数!$B:$E,4,FALSE)</f>
        <v>1.1000000000000001</v>
      </c>
      <c r="AB553" s="10">
        <v>0</v>
      </c>
      <c r="AC553" s="6" t="str">
        <f ca="1">VLOOKUP($AB553,OFFSET([3]enemy_skill_sets!$B$2,0,0,COUNTA([3]enemy_skill_sets!$A:$A),MATCH(AC$1,[3]enemy_skill_sets!$1:$1,0)-MATCH($AB$1,[3]enemy_skill_sets!$1:$1,0)+1),MATCH(AC$1,[3]enemy_skill_sets!$1:$1,0)-MATCH($AB$1,[3]enemy_skill_sets!$1:$1,0)+1,FALSE)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3" s="67">
        <v>1</v>
      </c>
      <c r="AE553" s="67">
        <v>1</v>
      </c>
      <c r="AF553" s="68">
        <v>0</v>
      </c>
      <c r="AG553" s="99">
        <f ca="1">ROUND(VLOOKUP(1,enemy_base_stats!$A:$F,2,FALSE) * Y553* J553*O553*E553*S553*AD553*[2]ステータス!$B$2,0)</f>
        <v>2925</v>
      </c>
      <c r="AH553" s="99">
        <f ca="1">ROUND(VLOOKUP(1,enemy_base_stats!$A:$F,3,FALSE) * Z553*K553*P553*F553*T553*AE553 * W553*[2]ステータス!$C$2,0)</f>
        <v>224</v>
      </c>
      <c r="AI553" s="99">
        <f ca="1">ROUND(VLOOKUP(1,enemy_base_stats!$A:$F,4,FALSE) * AA553*L553*Q553*G553*U553*AF553*[2]ステータス!$D$2,0)</f>
        <v>0</v>
      </c>
      <c r="AJ553" s="99">
        <f ca="1">ROUND(VLOOKUP(100,enemy_base_stats!$A:$F,2,FALSE) * Y553* J553*O553*E553*S553*AD553*[2]ステータス!$B$2,0)</f>
        <v>118755</v>
      </c>
      <c r="AK553" s="99">
        <f ca="1">ROUND(VLOOKUP(100,enemy_base_stats!$A:$F,3,FALSE)* Z553* K553*P553*F553*T553*AE553 * W553*[2]ステータス!$C$2,0)</f>
        <v>9078</v>
      </c>
      <c r="AL553" s="99">
        <f ca="1">ROUND(VLOOKUP(100,enemy_base_stats!$A:$F,4,FALSE)* AA553* L553*Q553*G553*U553*AF553*[2]ステータス!$D$2,0)</f>
        <v>0</v>
      </c>
      <c r="AM553" s="97">
        <f ca="1">VLOOKUP(M553,[2]character_tribe_i18n!$A:$I,9,FALSE)</f>
        <v>340</v>
      </c>
      <c r="AN553" s="97">
        <v>0</v>
      </c>
      <c r="AO553" s="98">
        <v>0</v>
      </c>
      <c r="AP553" s="58" t="s">
        <v>72</v>
      </c>
      <c r="AQ553" s="34">
        <f t="shared" ca="1" si="29"/>
        <v>552</v>
      </c>
    </row>
    <row r="554" spans="1:43" ht="21" customHeight="1" x14ac:dyDescent="0.15">
      <c r="A554" s="7">
        <f t="shared" ca="1" si="27"/>
        <v>553</v>
      </c>
      <c r="B554" s="6" t="str">
        <f ca="1">VLOOKUP(A554,[2]characters!$A:$C,3,FALSE)</f>
        <v>雪ミク2016</v>
      </c>
      <c r="C554" s="9">
        <f ca="1">VLOOKUP(A554,[2]characters!$A:$I,9,FALSE)</f>
        <v>4</v>
      </c>
      <c r="D554" s="9" t="str">
        <f ca="1">VLOOKUP(A554,[2]characters!$A:$H,8,FALSE)</f>
        <v>blue</v>
      </c>
      <c r="E554" s="97">
        <f ca="1">VLOOKUP(D554,[2]属性!$A:$E,2,FALSE)</f>
        <v>1</v>
      </c>
      <c r="F554" s="97">
        <f ca="1">VLOOKUP(D554,[2]属性!$A:$E,3,FALSE)</f>
        <v>0.98</v>
      </c>
      <c r="G554" s="97">
        <f ca="1">VLOOKUP(D554,[2]属性!$A:$F,4,FALSE)</f>
        <v>1</v>
      </c>
      <c r="H554" s="9" t="str">
        <f ca="1">VLOOKUP(A554,[2]characters!$A:$K,11,FALSE)</f>
        <v>attack</v>
      </c>
      <c r="I554" s="6" t="str">
        <f ca="1">VLOOKUP(H554,[2]character_type_i18n!$A:$F,3,FALSE)</f>
        <v>攻撃タイプ</v>
      </c>
      <c r="J554" s="97">
        <f ca="1">VLOOKUP(H554,[2]character_type_i18n!$A:$F,4,FALSE)</f>
        <v>1</v>
      </c>
      <c r="K554" s="97">
        <f ca="1">VLOOKUP(H554,[2]character_type_i18n!$A:$F,5,FALSE)</f>
        <v>1.33</v>
      </c>
      <c r="L554" s="97">
        <f ca="1">VLOOKUP(H554,[2]character_type_i18n!$A:$F,6,FALSE)</f>
        <v>1</v>
      </c>
      <c r="M554" s="9" t="str">
        <f ca="1">VLOOKUP(A554,[2]characters!$A:$M,13,FALSE)</f>
        <v>unknown</v>
      </c>
      <c r="N554" s="6" t="str">
        <f ca="1">VLOOKUP(M554,[2]character_tribe_i18n!$A:$F,3,FALSE)</f>
        <v>Unknown</v>
      </c>
      <c r="O554" s="97">
        <f ca="1">VLOOKUP(M554,[2]character_tribe_i18n!$A:$F,4,FALSE)</f>
        <v>1</v>
      </c>
      <c r="P554" s="97">
        <f ca="1">VLOOKUP(M554,[2]character_tribe_i18n!$A:$F,5,FALSE)</f>
        <v>1</v>
      </c>
      <c r="Q554" s="97">
        <f ca="1">VLOOKUP(M554,[2]character_tribe_i18n!$A:$F,6,FALSE)</f>
        <v>1</v>
      </c>
      <c r="R554" s="98" t="s">
        <v>98</v>
      </c>
      <c r="S554" s="97">
        <f>VLOOKUP($R554,ラベル別係数!$A$1:$E$7,3,FALSE)</f>
        <v>5</v>
      </c>
      <c r="T554" s="97">
        <f>VLOOKUP($R554,ラベル別係数!$A$1:$E$7,4,FALSE)</f>
        <v>1.3</v>
      </c>
      <c r="U554" s="97">
        <f>VLOOKUP($R554,ラベル別係数!$A$1:$E$7,5,FALSE)</f>
        <v>0.8</v>
      </c>
      <c r="V554" s="98">
        <v>3</v>
      </c>
      <c r="W554" s="99">
        <f>VLOOKUP(V554,ターン数別攻撃係数!$A$1:$B$1000,2,FALSE)</f>
        <v>1</v>
      </c>
      <c r="X554" s="9">
        <f ca="1">VLOOKUP(C554,サイズ別係数!A$2:B$9,2,FALSE)</f>
        <v>30</v>
      </c>
      <c r="Y554" s="97">
        <f ca="1">VLOOKUP($X554,サイズ別係数!$B:$E,2,FALSE)</f>
        <v>1.3</v>
      </c>
      <c r="Z554" s="97">
        <f ca="1">VLOOKUP($X554,サイズ別係数!$B:$E,3,FALSE)</f>
        <v>1.3</v>
      </c>
      <c r="AA554" s="97">
        <f ca="1">VLOOKUP($X554,サイズ別係数!$B:$E,4,FALSE)</f>
        <v>1.1000000000000001</v>
      </c>
      <c r="AB554" s="10">
        <v>0</v>
      </c>
      <c r="AC554" s="6" t="str">
        <f ca="1">VLOOKUP($AB554,OFFSET([3]enemy_skill_sets!$B$2,0,0,COUNTA([3]enemy_skill_sets!$A:$A),MATCH(AC$1,[3]enemy_skill_sets!$1:$1,0)-MATCH($AB$1,[3]enemy_skill_sets!$1:$1,0)+1),MATCH(AC$1,[3]enemy_skill_sets!$1:$1,0)-MATCH($AB$1,[3]enemy_skill_sets!$1:$1,0)+1,FALSE)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4" s="67">
        <v>1</v>
      </c>
      <c r="AE554" s="67">
        <v>1</v>
      </c>
      <c r="AF554" s="68">
        <v>0</v>
      </c>
      <c r="AG554" s="99">
        <f ca="1">ROUND(VLOOKUP(1,enemy_base_stats!$A:$F,2,FALSE) * Y554* J554*O554*E554*S554*AD554*[2]ステータス!$B$2,0)</f>
        <v>3250</v>
      </c>
      <c r="AH554" s="99">
        <f ca="1">ROUND(VLOOKUP(1,enemy_base_stats!$A:$F,3,FALSE) * Z554*K554*P554*F554*T554*AE554 * W554*[2]ステータス!$C$2,0)</f>
        <v>330</v>
      </c>
      <c r="AI554" s="99">
        <f ca="1">ROUND(VLOOKUP(1,enemy_base_stats!$A:$F,4,FALSE) * AA554*L554*Q554*G554*U554*AF554*[2]ステータス!$D$2,0)</f>
        <v>0</v>
      </c>
      <c r="AJ554" s="99">
        <f ca="1">ROUND(VLOOKUP(100,enemy_base_stats!$A:$F,2,FALSE) * Y554* J554*O554*E554*S554*AD554*[2]ステータス!$B$2,0)</f>
        <v>131950</v>
      </c>
      <c r="AK554" s="99">
        <f ca="1">ROUND(VLOOKUP(100,enemy_base_stats!$A:$F,3,FALSE)* Z554* K554*P554*F554*T554*AE554 * W554*[2]ステータス!$C$2,0)</f>
        <v>13415</v>
      </c>
      <c r="AL554" s="99">
        <f ca="1">ROUND(VLOOKUP(100,enemy_base_stats!$A:$F,4,FALSE)* AA554* L554*Q554*G554*U554*AF554*[2]ステータス!$D$2,0)</f>
        <v>0</v>
      </c>
      <c r="AM554" s="97">
        <f ca="1">VLOOKUP(M554,[2]character_tribe_i18n!$A:$I,9,FALSE)</f>
        <v>340</v>
      </c>
      <c r="AN554" s="97">
        <v>0</v>
      </c>
      <c r="AO554" s="98">
        <v>0</v>
      </c>
      <c r="AP554" s="58" t="s">
        <v>72</v>
      </c>
      <c r="AQ554" s="34">
        <f t="shared" ca="1" si="29"/>
        <v>553</v>
      </c>
    </row>
    <row r="555" spans="1:43" ht="21" customHeight="1" x14ac:dyDescent="0.15">
      <c r="A555" s="7">
        <f t="shared" ca="1" si="27"/>
        <v>554</v>
      </c>
      <c r="B555" s="6" t="str">
        <f ca="1">VLOOKUP(A555,[2]characters!$A:$C,3,FALSE)</f>
        <v>雪ミク&amp;ラビット・ユキネ2016</v>
      </c>
      <c r="C555" s="9">
        <f ca="1">VLOOKUP(A555,[2]characters!$A:$I,9,FALSE)</f>
        <v>5</v>
      </c>
      <c r="D555" s="9" t="str">
        <f ca="1">VLOOKUP(A555,[2]characters!$A:$H,8,FALSE)</f>
        <v>blue</v>
      </c>
      <c r="E555" s="97">
        <f ca="1">VLOOKUP(D555,[2]属性!$A:$E,2,FALSE)</f>
        <v>1</v>
      </c>
      <c r="F555" s="97">
        <f ca="1">VLOOKUP(D555,[2]属性!$A:$E,3,FALSE)</f>
        <v>0.98</v>
      </c>
      <c r="G555" s="97">
        <f ca="1">VLOOKUP(D555,[2]属性!$A:$F,4,FALSE)</f>
        <v>1</v>
      </c>
      <c r="H555" s="9" t="str">
        <f ca="1">VLOOKUP(A555,[2]characters!$A:$K,11,FALSE)</f>
        <v>attack</v>
      </c>
      <c r="I555" s="6" t="str">
        <f ca="1">VLOOKUP(H555,[2]character_type_i18n!$A:$F,3,FALSE)</f>
        <v>攻撃タイプ</v>
      </c>
      <c r="J555" s="97">
        <f ca="1">VLOOKUP(H555,[2]character_type_i18n!$A:$F,4,FALSE)</f>
        <v>1</v>
      </c>
      <c r="K555" s="97">
        <f ca="1">VLOOKUP(H555,[2]character_type_i18n!$A:$F,5,FALSE)</f>
        <v>1.33</v>
      </c>
      <c r="L555" s="97">
        <f ca="1">VLOOKUP(H555,[2]character_type_i18n!$A:$F,6,FALSE)</f>
        <v>1</v>
      </c>
      <c r="M555" s="9" t="str">
        <f ca="1">VLOOKUP(A555,[2]characters!$A:$M,13,FALSE)</f>
        <v>unknown</v>
      </c>
      <c r="N555" s="6" t="str">
        <f ca="1">VLOOKUP(M555,[2]character_tribe_i18n!$A:$F,3,FALSE)</f>
        <v>Unknown</v>
      </c>
      <c r="O555" s="97">
        <f ca="1">VLOOKUP(M555,[2]character_tribe_i18n!$A:$F,4,FALSE)</f>
        <v>1</v>
      </c>
      <c r="P555" s="97">
        <f ca="1">VLOOKUP(M555,[2]character_tribe_i18n!$A:$F,5,FALSE)</f>
        <v>1</v>
      </c>
      <c r="Q555" s="97">
        <f ca="1">VLOOKUP(M555,[2]character_tribe_i18n!$A:$F,6,FALSE)</f>
        <v>1</v>
      </c>
      <c r="R555" s="98" t="s">
        <v>98</v>
      </c>
      <c r="S555" s="97">
        <f>VLOOKUP($R555,ラベル別係数!$A$1:$E$7,3,FALSE)</f>
        <v>5</v>
      </c>
      <c r="T555" s="97">
        <f>VLOOKUP($R555,ラベル別係数!$A$1:$E$7,4,FALSE)</f>
        <v>1.3</v>
      </c>
      <c r="U555" s="97">
        <f>VLOOKUP($R555,ラベル別係数!$A$1:$E$7,5,FALSE)</f>
        <v>0.8</v>
      </c>
      <c r="V555" s="98">
        <v>3</v>
      </c>
      <c r="W555" s="99">
        <f>VLOOKUP(V555,ターン数別攻撃係数!$A$1:$B$1000,2,FALSE)</f>
        <v>1</v>
      </c>
      <c r="X555" s="9">
        <f ca="1">VLOOKUP(C555,サイズ別係数!A$2:B$9,2,FALSE)</f>
        <v>60</v>
      </c>
      <c r="Y555" s="97">
        <f ca="1">VLOOKUP($X555,サイズ別係数!$B:$E,2,FALSE)</f>
        <v>1.7</v>
      </c>
      <c r="Z555" s="97">
        <f ca="1">VLOOKUP($X555,サイズ別係数!$B:$E,3,FALSE)</f>
        <v>1.4</v>
      </c>
      <c r="AA555" s="97">
        <f ca="1">VLOOKUP($X555,サイズ別係数!$B:$E,4,FALSE)</f>
        <v>1</v>
      </c>
      <c r="AB555" s="10">
        <v>0</v>
      </c>
      <c r="AC555" s="6" t="str">
        <f ca="1">VLOOKUP($AB555,OFFSET([3]enemy_skill_sets!$B$2,0,0,COUNTA([3]enemy_skill_sets!$A:$A),MATCH(AC$1,[3]enemy_skill_sets!$1:$1,0)-MATCH($AB$1,[3]enemy_skill_sets!$1:$1,0)+1),MATCH(AC$1,[3]enemy_skill_sets!$1:$1,0)-MATCH($AB$1,[3]enemy_skill_sets!$1:$1,0)+1,FALSE)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5" s="67">
        <v>1</v>
      </c>
      <c r="AE555" s="67">
        <v>1</v>
      </c>
      <c r="AF555" s="68">
        <v>0</v>
      </c>
      <c r="AG555" s="99">
        <f ca="1">ROUND(VLOOKUP(1,enemy_base_stats!$A:$F,2,FALSE) * Y555* J555*O555*E555*S555*AD555*[2]ステータス!$B$2,0)</f>
        <v>4250</v>
      </c>
      <c r="AH555" s="99">
        <f ca="1">ROUND(VLOOKUP(1,enemy_base_stats!$A:$F,3,FALSE) * Z555*K555*P555*F555*T555*AE555 * W555*[2]ステータス!$C$2,0)</f>
        <v>356</v>
      </c>
      <c r="AI555" s="99">
        <f ca="1">ROUND(VLOOKUP(1,enemy_base_stats!$A:$F,4,FALSE) * AA555*L555*Q555*G555*U555*AF555*[2]ステータス!$D$2,0)</f>
        <v>0</v>
      </c>
      <c r="AJ555" s="99">
        <f ca="1">ROUND(VLOOKUP(100,enemy_base_stats!$A:$F,2,FALSE) * Y555* J555*O555*E555*S555*AD555*[2]ステータス!$B$2,0)</f>
        <v>172550</v>
      </c>
      <c r="AK555" s="99">
        <f ca="1">ROUND(VLOOKUP(100,enemy_base_stats!$A:$F,3,FALSE)* Z555* K555*P555*F555*T555*AE555 * W555*[2]ステータス!$C$2,0)</f>
        <v>14447</v>
      </c>
      <c r="AL555" s="99">
        <f ca="1">ROUND(VLOOKUP(100,enemy_base_stats!$A:$F,4,FALSE)* AA555* L555*Q555*G555*U555*AF555*[2]ステータス!$D$2,0)</f>
        <v>0</v>
      </c>
      <c r="AM555" s="97">
        <f ca="1">VLOOKUP(M555,[2]character_tribe_i18n!$A:$I,9,FALSE)</f>
        <v>340</v>
      </c>
      <c r="AN555" s="97">
        <v>0</v>
      </c>
      <c r="AO555" s="98">
        <v>0</v>
      </c>
      <c r="AP555" s="58" t="s">
        <v>72</v>
      </c>
      <c r="AQ555" s="34">
        <f t="shared" ca="1" si="29"/>
        <v>554</v>
      </c>
    </row>
    <row r="556" spans="1:43" ht="21" customHeight="1" x14ac:dyDescent="0.15">
      <c r="A556" s="7">
        <f t="shared" ca="1" si="27"/>
        <v>555</v>
      </c>
      <c r="B556" s="6" t="str">
        <f ca="1">VLOOKUP(A556,[2]characters!$A:$C,3,FALSE)</f>
        <v>雪ミク2014</v>
      </c>
      <c r="C556" s="9">
        <f ca="1">VLOOKUP(A556,[2]characters!$A:$I,9,FALSE)</f>
        <v>4</v>
      </c>
      <c r="D556" s="9" t="str">
        <f ca="1">VLOOKUP(A556,[2]characters!$A:$H,8,FALSE)</f>
        <v>blue</v>
      </c>
      <c r="E556" s="97">
        <f ca="1">VLOOKUP(D556,[2]属性!$A:$E,2,FALSE)</f>
        <v>1</v>
      </c>
      <c r="F556" s="97">
        <f ca="1">VLOOKUP(D556,[2]属性!$A:$E,3,FALSE)</f>
        <v>0.98</v>
      </c>
      <c r="G556" s="97">
        <f ca="1">VLOOKUP(D556,[2]属性!$A:$F,4,FALSE)</f>
        <v>1</v>
      </c>
      <c r="H556" s="9" t="str">
        <f ca="1">VLOOKUP(A556,[2]characters!$A:$K,11,FALSE)</f>
        <v>heal</v>
      </c>
      <c r="I556" s="6" t="str">
        <f ca="1">VLOOKUP(H556,[2]character_type_i18n!$A:$F,3,FALSE)</f>
        <v>回復タイプ</v>
      </c>
      <c r="J556" s="97">
        <f ca="1">VLOOKUP(H556,[2]character_type_i18n!$A:$F,4,FALSE)</f>
        <v>0.8</v>
      </c>
      <c r="K556" s="97">
        <f ca="1">VLOOKUP(H556,[2]character_type_i18n!$A:$F,5,FALSE)</f>
        <v>0.78</v>
      </c>
      <c r="L556" s="97">
        <f ca="1">VLOOKUP(H556,[2]character_type_i18n!$A:$F,6,FALSE)</f>
        <v>1</v>
      </c>
      <c r="M556" s="9" t="str">
        <f ca="1">VLOOKUP(A556,[2]characters!$A:$M,13,FALSE)</f>
        <v>unknown</v>
      </c>
      <c r="N556" s="6" t="str">
        <f ca="1">VLOOKUP(M556,[2]character_tribe_i18n!$A:$F,3,FALSE)</f>
        <v>Unknown</v>
      </c>
      <c r="O556" s="97">
        <f ca="1">VLOOKUP(M556,[2]character_tribe_i18n!$A:$F,4,FALSE)</f>
        <v>1</v>
      </c>
      <c r="P556" s="97">
        <f ca="1">VLOOKUP(M556,[2]character_tribe_i18n!$A:$F,5,FALSE)</f>
        <v>1</v>
      </c>
      <c r="Q556" s="97">
        <f ca="1">VLOOKUP(M556,[2]character_tribe_i18n!$A:$F,6,FALSE)</f>
        <v>1</v>
      </c>
      <c r="R556" s="98" t="s">
        <v>98</v>
      </c>
      <c r="S556" s="97">
        <f>VLOOKUP($R556,ラベル別係数!$A$1:$E$7,3,FALSE)</f>
        <v>5</v>
      </c>
      <c r="T556" s="97">
        <f>VLOOKUP($R556,ラベル別係数!$A$1:$E$7,4,FALSE)</f>
        <v>1.3</v>
      </c>
      <c r="U556" s="97">
        <f>VLOOKUP($R556,ラベル別係数!$A$1:$E$7,5,FALSE)</f>
        <v>0.8</v>
      </c>
      <c r="V556" s="98">
        <v>3</v>
      </c>
      <c r="W556" s="99">
        <f>VLOOKUP(V556,ターン数別攻撃係数!$A$1:$B$1000,2,FALSE)</f>
        <v>1</v>
      </c>
      <c r="X556" s="9">
        <f ca="1">VLOOKUP(C556,サイズ別係数!A$2:B$9,2,FALSE)</f>
        <v>30</v>
      </c>
      <c r="Y556" s="97">
        <f ca="1">VLOOKUP($X556,サイズ別係数!$B:$E,2,FALSE)</f>
        <v>1.3</v>
      </c>
      <c r="Z556" s="97">
        <f ca="1">VLOOKUP($X556,サイズ別係数!$B:$E,3,FALSE)</f>
        <v>1.3</v>
      </c>
      <c r="AA556" s="97">
        <f ca="1">VLOOKUP($X556,サイズ別係数!$B:$E,4,FALSE)</f>
        <v>1.1000000000000001</v>
      </c>
      <c r="AB556" s="10">
        <v>0</v>
      </c>
      <c r="AC556" s="6" t="str">
        <f ca="1">VLOOKUP($AB556,OFFSET([3]enemy_skill_sets!$B$2,0,0,COUNTA([3]enemy_skill_sets!$A:$A),MATCH(AC$1,[3]enemy_skill_sets!$1:$1,0)-MATCH($AB$1,[3]enemy_skill_sets!$1:$1,0)+1),MATCH(AC$1,[3]enemy_skill_sets!$1:$1,0)-MATCH($AB$1,[3]enemy_skill_sets!$1:$1,0)+1,FALSE)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6" s="67">
        <v>1</v>
      </c>
      <c r="AE556" s="67">
        <v>1</v>
      </c>
      <c r="AF556" s="68">
        <v>0</v>
      </c>
      <c r="AG556" s="99">
        <f ca="1">ROUND(VLOOKUP(1,enemy_base_stats!$A:$F,2,FALSE) * Y556* J556*O556*E556*S556*AD556*[2]ステータス!$B$2,0)</f>
        <v>2600</v>
      </c>
      <c r="AH556" s="99">
        <f ca="1">ROUND(VLOOKUP(1,enemy_base_stats!$A:$F,3,FALSE) * Z556*K556*P556*F556*T556*AE556 * W556*[2]ステータス!$C$2,0)</f>
        <v>194</v>
      </c>
      <c r="AI556" s="99">
        <f ca="1">ROUND(VLOOKUP(1,enemy_base_stats!$A:$F,4,FALSE) * AA556*L556*Q556*G556*U556*AF556*[2]ステータス!$D$2,0)</f>
        <v>0</v>
      </c>
      <c r="AJ556" s="99">
        <f ca="1">ROUND(VLOOKUP(100,enemy_base_stats!$A:$F,2,FALSE) * Y556* J556*O556*E556*S556*AD556*[2]ステータス!$B$2,0)</f>
        <v>105560</v>
      </c>
      <c r="AK556" s="99">
        <f ca="1">ROUND(VLOOKUP(100,enemy_base_stats!$A:$F,3,FALSE)* Z556* K556*P556*F556*T556*AE556 * W556*[2]ステータス!$C$2,0)</f>
        <v>7867</v>
      </c>
      <c r="AL556" s="99">
        <f ca="1">ROUND(VLOOKUP(100,enemy_base_stats!$A:$F,4,FALSE)* AA556* L556*Q556*G556*U556*AF556*[2]ステータス!$D$2,0)</f>
        <v>0</v>
      </c>
      <c r="AM556" s="97">
        <f ca="1">VLOOKUP(M556,[2]character_tribe_i18n!$A:$I,9,FALSE)</f>
        <v>340</v>
      </c>
      <c r="AN556" s="97">
        <v>0</v>
      </c>
      <c r="AO556" s="98">
        <v>0</v>
      </c>
      <c r="AP556" s="58" t="s">
        <v>72</v>
      </c>
      <c r="AQ556" s="34">
        <f t="shared" ca="1" si="29"/>
        <v>555</v>
      </c>
    </row>
    <row r="557" spans="1:43" ht="21" customHeight="1" x14ac:dyDescent="0.15">
      <c r="A557" s="7">
        <f t="shared" ca="1" si="27"/>
        <v>556</v>
      </c>
      <c r="B557" s="6" t="str">
        <f ca="1">VLOOKUP(A557,[2]characters!$A:$C,3,FALSE)</f>
        <v>雪ミク&amp;ラビットユキネ2014</v>
      </c>
      <c r="C557" s="9">
        <f ca="1">VLOOKUP(A557,[2]characters!$A:$I,9,FALSE)</f>
        <v>5</v>
      </c>
      <c r="D557" s="9" t="str">
        <f ca="1">VLOOKUP(A557,[2]characters!$A:$H,8,FALSE)</f>
        <v>blue</v>
      </c>
      <c r="E557" s="97">
        <f ca="1">VLOOKUP(D557,[2]属性!$A:$E,2,FALSE)</f>
        <v>1</v>
      </c>
      <c r="F557" s="97">
        <f ca="1">VLOOKUP(D557,[2]属性!$A:$E,3,FALSE)</f>
        <v>0.98</v>
      </c>
      <c r="G557" s="97">
        <f ca="1">VLOOKUP(D557,[2]属性!$A:$F,4,FALSE)</f>
        <v>1</v>
      </c>
      <c r="H557" s="9" t="str">
        <f ca="1">VLOOKUP(A557,[2]characters!$A:$K,11,FALSE)</f>
        <v>heal</v>
      </c>
      <c r="I557" s="6" t="str">
        <f ca="1">VLOOKUP(H557,[2]character_type_i18n!$A:$F,3,FALSE)</f>
        <v>回復タイプ</v>
      </c>
      <c r="J557" s="97">
        <f ca="1">VLOOKUP(H557,[2]character_type_i18n!$A:$F,4,FALSE)</f>
        <v>0.8</v>
      </c>
      <c r="K557" s="97">
        <f ca="1">VLOOKUP(H557,[2]character_type_i18n!$A:$F,5,FALSE)</f>
        <v>0.78</v>
      </c>
      <c r="L557" s="97">
        <f ca="1">VLOOKUP(H557,[2]character_type_i18n!$A:$F,6,FALSE)</f>
        <v>1</v>
      </c>
      <c r="M557" s="9" t="str">
        <f ca="1">VLOOKUP(A557,[2]characters!$A:$M,13,FALSE)</f>
        <v>unknown</v>
      </c>
      <c r="N557" s="6" t="str">
        <f ca="1">VLOOKUP(M557,[2]character_tribe_i18n!$A:$F,3,FALSE)</f>
        <v>Unknown</v>
      </c>
      <c r="O557" s="97">
        <f ca="1">VLOOKUP(M557,[2]character_tribe_i18n!$A:$F,4,FALSE)</f>
        <v>1</v>
      </c>
      <c r="P557" s="97">
        <f ca="1">VLOOKUP(M557,[2]character_tribe_i18n!$A:$F,5,FALSE)</f>
        <v>1</v>
      </c>
      <c r="Q557" s="97">
        <f ca="1">VLOOKUP(M557,[2]character_tribe_i18n!$A:$F,6,FALSE)</f>
        <v>1</v>
      </c>
      <c r="R557" s="98" t="s">
        <v>98</v>
      </c>
      <c r="S557" s="97">
        <f>VLOOKUP($R557,ラベル別係数!$A$1:$E$7,3,FALSE)</f>
        <v>5</v>
      </c>
      <c r="T557" s="97">
        <f>VLOOKUP($R557,ラベル別係数!$A$1:$E$7,4,FALSE)</f>
        <v>1.3</v>
      </c>
      <c r="U557" s="97">
        <f>VLOOKUP($R557,ラベル別係数!$A$1:$E$7,5,FALSE)</f>
        <v>0.8</v>
      </c>
      <c r="V557" s="98">
        <v>3</v>
      </c>
      <c r="W557" s="99">
        <f>VLOOKUP(V557,ターン数別攻撃係数!$A$1:$B$1000,2,FALSE)</f>
        <v>1</v>
      </c>
      <c r="X557" s="9">
        <f ca="1">VLOOKUP(C557,サイズ別係数!A$2:B$9,2,FALSE)</f>
        <v>60</v>
      </c>
      <c r="Y557" s="97">
        <f ca="1">VLOOKUP($X557,サイズ別係数!$B:$E,2,FALSE)</f>
        <v>1.7</v>
      </c>
      <c r="Z557" s="97">
        <f ca="1">VLOOKUP($X557,サイズ別係数!$B:$E,3,FALSE)</f>
        <v>1.4</v>
      </c>
      <c r="AA557" s="97">
        <f ca="1">VLOOKUP($X557,サイズ別係数!$B:$E,4,FALSE)</f>
        <v>1</v>
      </c>
      <c r="AB557" s="10">
        <v>0</v>
      </c>
      <c r="AC557" s="6" t="str">
        <f ca="1">VLOOKUP($AB557,OFFSET([3]enemy_skill_sets!$B$2,0,0,COUNTA([3]enemy_skill_sets!$A:$A),MATCH(AC$1,[3]enemy_skill_sets!$1:$1,0)-MATCH($AB$1,[3]enemy_skill_sets!$1:$1,0)+1),MATCH(AC$1,[3]enemy_skill_sets!$1:$1,0)-MATCH($AB$1,[3]enemy_skill_sets!$1:$1,0)+1,FALSE)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7" s="67">
        <v>1</v>
      </c>
      <c r="AE557" s="67">
        <v>1</v>
      </c>
      <c r="AF557" s="68">
        <v>0</v>
      </c>
      <c r="AG557" s="99">
        <f ca="1">ROUND(VLOOKUP(1,enemy_base_stats!$A:$F,2,FALSE) * Y557* J557*O557*E557*S557*AD557*[2]ステータス!$B$2,0)</f>
        <v>3400</v>
      </c>
      <c r="AH557" s="99">
        <f ca="1">ROUND(VLOOKUP(1,enemy_base_stats!$A:$F,3,FALSE) * Z557*K557*P557*F557*T557*AE557 * W557*[2]ステータス!$C$2,0)</f>
        <v>209</v>
      </c>
      <c r="AI557" s="99">
        <f ca="1">ROUND(VLOOKUP(1,enemy_base_stats!$A:$F,4,FALSE) * AA557*L557*Q557*G557*U557*AF557*[2]ステータス!$D$2,0)</f>
        <v>0</v>
      </c>
      <c r="AJ557" s="99">
        <f ca="1">ROUND(VLOOKUP(100,enemy_base_stats!$A:$F,2,FALSE) * Y557* J557*O557*E557*S557*AD557*[2]ステータス!$B$2,0)</f>
        <v>138040</v>
      </c>
      <c r="AK557" s="99">
        <f ca="1">ROUND(VLOOKUP(100,enemy_base_stats!$A:$F,3,FALSE)* Z557* K557*P557*F557*T557*AE557 * W557*[2]ステータス!$C$2,0)</f>
        <v>8472</v>
      </c>
      <c r="AL557" s="99">
        <f ca="1">ROUND(VLOOKUP(100,enemy_base_stats!$A:$F,4,FALSE)* AA557* L557*Q557*G557*U557*AF557*[2]ステータス!$D$2,0)</f>
        <v>0</v>
      </c>
      <c r="AM557" s="97">
        <f ca="1">VLOOKUP(M557,[2]character_tribe_i18n!$A:$I,9,FALSE)</f>
        <v>340</v>
      </c>
      <c r="AN557" s="97">
        <v>0</v>
      </c>
      <c r="AO557" s="98">
        <v>0</v>
      </c>
      <c r="AP557" s="58" t="s">
        <v>72</v>
      </c>
      <c r="AQ557" s="34">
        <f t="shared" ca="1" si="29"/>
        <v>556</v>
      </c>
    </row>
    <row r="558" spans="1:43" ht="21" customHeight="1" x14ac:dyDescent="0.15">
      <c r="A558" s="7">
        <f t="shared" ca="1" si="27"/>
        <v>557</v>
      </c>
      <c r="B558" s="6" t="str">
        <f ca="1">VLOOKUP(A558,[2]characters!$A:$C,3,FALSE)</f>
        <v>ラビット・ユキネ</v>
      </c>
      <c r="C558" s="9">
        <f ca="1">VLOOKUP(A558,[2]characters!$A:$I,9,FALSE)</f>
        <v>3</v>
      </c>
      <c r="D558" s="9" t="str">
        <f ca="1">VLOOKUP(A558,[2]characters!$A:$H,8,FALSE)</f>
        <v>blue</v>
      </c>
      <c r="E558" s="97">
        <f ca="1">VLOOKUP(D558,[2]属性!$A:$E,2,FALSE)</f>
        <v>1</v>
      </c>
      <c r="F558" s="97">
        <f ca="1">VLOOKUP(D558,[2]属性!$A:$E,3,FALSE)</f>
        <v>0.98</v>
      </c>
      <c r="G558" s="97">
        <f ca="1">VLOOKUP(D558,[2]属性!$A:$F,4,FALSE)</f>
        <v>1</v>
      </c>
      <c r="H558" s="9" t="str">
        <f ca="1">VLOOKUP(A558,[2]characters!$A:$K,11,FALSE)</f>
        <v>balance</v>
      </c>
      <c r="I558" s="6" t="str">
        <f ca="1">VLOOKUP(H558,[2]character_type_i18n!$A:$F,3,FALSE)</f>
        <v>バランスタイプ</v>
      </c>
      <c r="J558" s="97">
        <f ca="1">VLOOKUP(H558,[2]character_type_i18n!$A:$F,4,FALSE)</f>
        <v>1</v>
      </c>
      <c r="K558" s="97">
        <f ca="1">VLOOKUP(H558,[2]character_type_i18n!$A:$F,5,FALSE)</f>
        <v>1</v>
      </c>
      <c r="L558" s="97">
        <f ca="1">VLOOKUP(H558,[2]character_type_i18n!$A:$F,6,FALSE)</f>
        <v>1</v>
      </c>
      <c r="M558" s="9" t="str">
        <f ca="1">VLOOKUP(A558,[2]characters!$A:$M,13,FALSE)</f>
        <v>unknown</v>
      </c>
      <c r="N558" s="6" t="str">
        <f ca="1">VLOOKUP(M558,[2]character_tribe_i18n!$A:$F,3,FALSE)</f>
        <v>Unknown</v>
      </c>
      <c r="O558" s="97">
        <f ca="1">VLOOKUP(M558,[2]character_tribe_i18n!$A:$F,4,FALSE)</f>
        <v>1</v>
      </c>
      <c r="P558" s="97">
        <f ca="1">VLOOKUP(M558,[2]character_tribe_i18n!$A:$F,5,FALSE)</f>
        <v>1</v>
      </c>
      <c r="Q558" s="97">
        <f ca="1">VLOOKUP(M558,[2]character_tribe_i18n!$A:$F,6,FALSE)</f>
        <v>1</v>
      </c>
      <c r="R558" s="98" t="s">
        <v>98</v>
      </c>
      <c r="S558" s="97">
        <f>VLOOKUP($R558,ラベル別係数!$A$1:$E$7,3,FALSE)</f>
        <v>5</v>
      </c>
      <c r="T558" s="97">
        <f>VLOOKUP($R558,ラベル別係数!$A$1:$E$7,4,FALSE)</f>
        <v>1.3</v>
      </c>
      <c r="U558" s="97">
        <f>VLOOKUP($R558,ラベル別係数!$A$1:$E$7,5,FALSE)</f>
        <v>0.8</v>
      </c>
      <c r="V558" s="98">
        <v>3</v>
      </c>
      <c r="W558" s="99">
        <f>VLOOKUP(V558,ターン数別攻撃係数!$A$1:$B$1000,2,FALSE)</f>
        <v>1</v>
      </c>
      <c r="X558" s="9">
        <f ca="1">VLOOKUP(C558,サイズ別係数!A$2:B$9,2,FALSE)</f>
        <v>25</v>
      </c>
      <c r="Y558" s="97">
        <f ca="1">VLOOKUP($X558,サイズ別係数!$B:$E,2,FALSE)</f>
        <v>1.2</v>
      </c>
      <c r="Z558" s="97">
        <f ca="1">VLOOKUP($X558,サイズ別係数!$B:$E,3,FALSE)</f>
        <v>1.25</v>
      </c>
      <c r="AA558" s="97">
        <f ca="1">VLOOKUP($X558,サイズ別係数!$B:$E,4,FALSE)</f>
        <v>1.1499999999999999</v>
      </c>
      <c r="AB558" s="10">
        <v>0</v>
      </c>
      <c r="AC558" s="6" t="str">
        <f ca="1">VLOOKUP($AB558,OFFSET([3]enemy_skill_sets!$B$2,0,0,COUNTA([3]enemy_skill_sets!$A:$A),MATCH(AC$1,[3]enemy_skill_sets!$1:$1,0)-MATCH($AB$1,[3]enemy_skill_sets!$1:$1,0)+1),MATCH(AC$1,[3]enemy_skill_sets!$1:$1,0)-MATCH($AB$1,[3]enemy_skill_sets!$1:$1,0)+1,FALSE)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8" s="67">
        <v>1</v>
      </c>
      <c r="AE558" s="67">
        <v>1</v>
      </c>
      <c r="AF558" s="68">
        <v>0</v>
      </c>
      <c r="AG558" s="99">
        <f ca="1">ROUND(VLOOKUP(1,enemy_base_stats!$A:$F,2,FALSE) * Y558* J558*O558*E558*S558*AD558*[2]ステータス!$B$2,0)</f>
        <v>3000</v>
      </c>
      <c r="AH558" s="99">
        <f ca="1">ROUND(VLOOKUP(1,enemy_base_stats!$A:$F,3,FALSE) * Z558*K558*P558*F558*T558*AE558 * W558*[2]ステータス!$C$2,0)</f>
        <v>239</v>
      </c>
      <c r="AI558" s="99">
        <f ca="1">ROUND(VLOOKUP(1,enemy_base_stats!$A:$F,4,FALSE) * AA558*L558*Q558*G558*U558*AF558*[2]ステータス!$D$2,0)</f>
        <v>0</v>
      </c>
      <c r="AJ558" s="99">
        <f ca="1">ROUND(VLOOKUP(100,enemy_base_stats!$A:$F,2,FALSE) * Y558* J558*O558*E558*S558*AD558*[2]ステータス!$B$2,0)</f>
        <v>121800</v>
      </c>
      <c r="AK558" s="99">
        <f ca="1">ROUND(VLOOKUP(100,enemy_base_stats!$A:$F,3,FALSE)* Z558* K558*P558*F558*T558*AE558 * W558*[2]ステータス!$C$2,0)</f>
        <v>9698</v>
      </c>
      <c r="AL558" s="99">
        <f ca="1">ROUND(VLOOKUP(100,enemy_base_stats!$A:$F,4,FALSE)* AA558* L558*Q558*G558*U558*AF558*[2]ステータス!$D$2,0)</f>
        <v>0</v>
      </c>
      <c r="AM558" s="97">
        <f ca="1">VLOOKUP(M558,[2]character_tribe_i18n!$A:$I,9,FALSE)</f>
        <v>340</v>
      </c>
      <c r="AN558" s="97">
        <v>0</v>
      </c>
      <c r="AO558" s="98">
        <v>0</v>
      </c>
      <c r="AP558" s="58" t="s">
        <v>72</v>
      </c>
      <c r="AQ558" s="34">
        <f t="shared" ref="AQ558:AQ565" ca="1" si="30">A558</f>
        <v>557</v>
      </c>
    </row>
    <row r="559" spans="1:43" ht="21" customHeight="1" x14ac:dyDescent="0.15">
      <c r="A559" s="7">
        <f t="shared" ca="1" si="27"/>
        <v>558</v>
      </c>
      <c r="B559" s="6" t="str">
        <f ca="1">VLOOKUP(A559,[2]characters!$A:$C,3,FALSE)</f>
        <v>雪原の超躍 ラビット・ユキネ</v>
      </c>
      <c r="C559" s="9">
        <f ca="1">VLOOKUP(A559,[2]characters!$A:$I,9,FALSE)</f>
        <v>4</v>
      </c>
      <c r="D559" s="9" t="str">
        <f ca="1">VLOOKUP(A559,[2]characters!$A:$H,8,FALSE)</f>
        <v>blue</v>
      </c>
      <c r="E559" s="97">
        <f ca="1">VLOOKUP(D559,[2]属性!$A:$E,2,FALSE)</f>
        <v>1</v>
      </c>
      <c r="F559" s="97">
        <f ca="1">VLOOKUP(D559,[2]属性!$A:$E,3,FALSE)</f>
        <v>0.98</v>
      </c>
      <c r="G559" s="97">
        <f ca="1">VLOOKUP(D559,[2]属性!$A:$F,4,FALSE)</f>
        <v>1</v>
      </c>
      <c r="H559" s="9" t="str">
        <f ca="1">VLOOKUP(A559,[2]characters!$A:$K,11,FALSE)</f>
        <v>balance</v>
      </c>
      <c r="I559" s="6" t="str">
        <f ca="1">VLOOKUP(H559,[2]character_type_i18n!$A:$F,3,FALSE)</f>
        <v>バランスタイプ</v>
      </c>
      <c r="J559" s="97">
        <f ca="1">VLOOKUP(H559,[2]character_type_i18n!$A:$F,4,FALSE)</f>
        <v>1</v>
      </c>
      <c r="K559" s="97">
        <f ca="1">VLOOKUP(H559,[2]character_type_i18n!$A:$F,5,FALSE)</f>
        <v>1</v>
      </c>
      <c r="L559" s="97">
        <f ca="1">VLOOKUP(H559,[2]character_type_i18n!$A:$F,6,FALSE)</f>
        <v>1</v>
      </c>
      <c r="M559" s="9" t="str">
        <f ca="1">VLOOKUP(A559,[2]characters!$A:$M,13,FALSE)</f>
        <v>unknown</v>
      </c>
      <c r="N559" s="6" t="str">
        <f ca="1">VLOOKUP(M559,[2]character_tribe_i18n!$A:$F,3,FALSE)</f>
        <v>Unknown</v>
      </c>
      <c r="O559" s="97">
        <f ca="1">VLOOKUP(M559,[2]character_tribe_i18n!$A:$F,4,FALSE)</f>
        <v>1</v>
      </c>
      <c r="P559" s="97">
        <f ca="1">VLOOKUP(M559,[2]character_tribe_i18n!$A:$F,5,FALSE)</f>
        <v>1</v>
      </c>
      <c r="Q559" s="97">
        <f ca="1">VLOOKUP(M559,[2]character_tribe_i18n!$A:$F,6,FALSE)</f>
        <v>1</v>
      </c>
      <c r="R559" s="98" t="s">
        <v>98</v>
      </c>
      <c r="S559" s="97">
        <f>VLOOKUP($R559,ラベル別係数!$A$1:$E$7,3,FALSE)</f>
        <v>5</v>
      </c>
      <c r="T559" s="97">
        <f>VLOOKUP($R559,ラベル別係数!$A$1:$E$7,4,FALSE)</f>
        <v>1.3</v>
      </c>
      <c r="U559" s="97">
        <f>VLOOKUP($R559,ラベル別係数!$A$1:$E$7,5,FALSE)</f>
        <v>0.8</v>
      </c>
      <c r="V559" s="98">
        <v>3</v>
      </c>
      <c r="W559" s="99">
        <f>VLOOKUP(V559,ターン数別攻撃係数!$A$1:$B$1000,2,FALSE)</f>
        <v>1</v>
      </c>
      <c r="X559" s="9">
        <f ca="1">VLOOKUP(C559,サイズ別係数!A$2:B$9,2,FALSE)</f>
        <v>30</v>
      </c>
      <c r="Y559" s="97">
        <f ca="1">VLOOKUP($X559,サイズ別係数!$B:$E,2,FALSE)</f>
        <v>1.3</v>
      </c>
      <c r="Z559" s="97">
        <f ca="1">VLOOKUP($X559,サイズ別係数!$B:$E,3,FALSE)</f>
        <v>1.3</v>
      </c>
      <c r="AA559" s="97">
        <f ca="1">VLOOKUP($X559,サイズ別係数!$B:$E,4,FALSE)</f>
        <v>1.1000000000000001</v>
      </c>
      <c r="AB559" s="10">
        <v>0</v>
      </c>
      <c r="AC559" s="6" t="str">
        <f ca="1">VLOOKUP($AB559,OFFSET([3]enemy_skill_sets!$B$2,0,0,COUNTA([3]enemy_skill_sets!$A:$A),MATCH(AC$1,[3]enemy_skill_sets!$1:$1,0)-MATCH($AB$1,[3]enemy_skill_sets!$1:$1,0)+1),MATCH(AC$1,[3]enemy_skill_sets!$1:$1,0)-MATCH($AB$1,[3]enemy_skill_sets!$1:$1,0)+1,FALSE)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59" s="67">
        <v>1</v>
      </c>
      <c r="AE559" s="67">
        <v>1</v>
      </c>
      <c r="AF559" s="68">
        <v>0</v>
      </c>
      <c r="AG559" s="99">
        <f ca="1">ROUND(VLOOKUP(1,enemy_base_stats!$A:$F,2,FALSE) * Y559* J559*O559*E559*S559*AD559*[2]ステータス!$B$2,0)</f>
        <v>3250</v>
      </c>
      <c r="AH559" s="99">
        <f ca="1">ROUND(VLOOKUP(1,enemy_base_stats!$A:$F,3,FALSE) * Z559*K559*P559*F559*T559*AE559 * W559*[2]ステータス!$C$2,0)</f>
        <v>248</v>
      </c>
      <c r="AI559" s="99">
        <f ca="1">ROUND(VLOOKUP(1,enemy_base_stats!$A:$F,4,FALSE) * AA559*L559*Q559*G559*U559*AF559*[2]ステータス!$D$2,0)</f>
        <v>0</v>
      </c>
      <c r="AJ559" s="99">
        <f ca="1">ROUND(VLOOKUP(100,enemy_base_stats!$A:$F,2,FALSE) * Y559* J559*O559*E559*S559*AD559*[2]ステータス!$B$2,0)</f>
        <v>131950</v>
      </c>
      <c r="AK559" s="99">
        <f ca="1">ROUND(VLOOKUP(100,enemy_base_stats!$A:$F,3,FALSE)* Z559* K559*P559*F559*T559*AE559 * W559*[2]ステータス!$C$2,0)</f>
        <v>10086</v>
      </c>
      <c r="AL559" s="99">
        <f ca="1">ROUND(VLOOKUP(100,enemy_base_stats!$A:$F,4,FALSE)* AA559* L559*Q559*G559*U559*AF559*[2]ステータス!$D$2,0)</f>
        <v>0</v>
      </c>
      <c r="AM559" s="97">
        <f ca="1">VLOOKUP(M559,[2]character_tribe_i18n!$A:$I,9,FALSE)</f>
        <v>340</v>
      </c>
      <c r="AN559" s="97">
        <v>0</v>
      </c>
      <c r="AO559" s="98">
        <v>0</v>
      </c>
      <c r="AP559" s="58" t="s">
        <v>72</v>
      </c>
      <c r="AQ559" s="34">
        <f t="shared" ca="1" si="30"/>
        <v>558</v>
      </c>
    </row>
    <row r="560" spans="1:43" ht="21" customHeight="1" x14ac:dyDescent="0.15">
      <c r="A560" s="7">
        <f t="shared" ca="1" si="27"/>
        <v>559</v>
      </c>
      <c r="B560" s="6" t="str">
        <f ca="1">VLOOKUP(A560,[2]characters!$A:$C,3,FALSE)</f>
        <v>白銀の滑光 ラビット・ユキネ</v>
      </c>
      <c r="C560" s="9">
        <f ca="1">VLOOKUP(A560,[2]characters!$A:$I,9,FALSE)</f>
        <v>5</v>
      </c>
      <c r="D560" s="9" t="str">
        <f ca="1">VLOOKUP(A560,[2]characters!$A:$H,8,FALSE)</f>
        <v>blue</v>
      </c>
      <c r="E560" s="97">
        <f ca="1">VLOOKUP(D560,[2]属性!$A:$E,2,FALSE)</f>
        <v>1</v>
      </c>
      <c r="F560" s="97">
        <f ca="1">VLOOKUP(D560,[2]属性!$A:$E,3,FALSE)</f>
        <v>0.98</v>
      </c>
      <c r="G560" s="97">
        <f ca="1">VLOOKUP(D560,[2]属性!$A:$F,4,FALSE)</f>
        <v>1</v>
      </c>
      <c r="H560" s="9" t="str">
        <f ca="1">VLOOKUP(A560,[2]characters!$A:$K,11,FALSE)</f>
        <v>balance</v>
      </c>
      <c r="I560" s="6" t="str">
        <f ca="1">VLOOKUP(H560,[2]character_type_i18n!$A:$F,3,FALSE)</f>
        <v>バランスタイプ</v>
      </c>
      <c r="J560" s="97">
        <f ca="1">VLOOKUP(H560,[2]character_type_i18n!$A:$F,4,FALSE)</f>
        <v>1</v>
      </c>
      <c r="K560" s="97">
        <f ca="1">VLOOKUP(H560,[2]character_type_i18n!$A:$F,5,FALSE)</f>
        <v>1</v>
      </c>
      <c r="L560" s="97">
        <f ca="1">VLOOKUP(H560,[2]character_type_i18n!$A:$F,6,FALSE)</f>
        <v>1</v>
      </c>
      <c r="M560" s="9" t="str">
        <f ca="1">VLOOKUP(A560,[2]characters!$A:$M,13,FALSE)</f>
        <v>unknown</v>
      </c>
      <c r="N560" s="6" t="str">
        <f ca="1">VLOOKUP(M560,[2]character_tribe_i18n!$A:$F,3,FALSE)</f>
        <v>Unknown</v>
      </c>
      <c r="O560" s="97">
        <f ca="1">VLOOKUP(M560,[2]character_tribe_i18n!$A:$F,4,FALSE)</f>
        <v>1</v>
      </c>
      <c r="P560" s="97">
        <f ca="1">VLOOKUP(M560,[2]character_tribe_i18n!$A:$F,5,FALSE)</f>
        <v>1</v>
      </c>
      <c r="Q560" s="97">
        <f ca="1">VLOOKUP(M560,[2]character_tribe_i18n!$A:$F,6,FALSE)</f>
        <v>1</v>
      </c>
      <c r="R560" s="98" t="s">
        <v>98</v>
      </c>
      <c r="S560" s="97">
        <f>VLOOKUP($R560,ラベル別係数!$A$1:$E$7,3,FALSE)</f>
        <v>5</v>
      </c>
      <c r="T560" s="97">
        <f>VLOOKUP($R560,ラベル別係数!$A$1:$E$7,4,FALSE)</f>
        <v>1.3</v>
      </c>
      <c r="U560" s="97">
        <f>VLOOKUP($R560,ラベル別係数!$A$1:$E$7,5,FALSE)</f>
        <v>0.8</v>
      </c>
      <c r="V560" s="98">
        <v>3</v>
      </c>
      <c r="W560" s="99">
        <f>VLOOKUP(V560,ターン数別攻撃係数!$A$1:$B$1000,2,FALSE)</f>
        <v>1</v>
      </c>
      <c r="X560" s="9">
        <f ca="1">VLOOKUP(C560,サイズ別係数!A$2:B$9,2,FALSE)</f>
        <v>60</v>
      </c>
      <c r="Y560" s="97">
        <f ca="1">VLOOKUP($X560,サイズ別係数!$B:$E,2,FALSE)</f>
        <v>1.7</v>
      </c>
      <c r="Z560" s="97">
        <f ca="1">VLOOKUP($X560,サイズ別係数!$B:$E,3,FALSE)</f>
        <v>1.4</v>
      </c>
      <c r="AA560" s="97">
        <f ca="1">VLOOKUP($X560,サイズ別係数!$B:$E,4,FALSE)</f>
        <v>1</v>
      </c>
      <c r="AB560" s="10">
        <v>0</v>
      </c>
      <c r="AC560" s="6" t="str">
        <f ca="1">VLOOKUP($AB560,OFFSET([3]enemy_skill_sets!$B$2,0,0,COUNTA([3]enemy_skill_sets!$A:$A),MATCH(AC$1,[3]enemy_skill_sets!$1:$1,0)-MATCH($AB$1,[3]enemy_skill_sets!$1:$1,0)+1),MATCH(AC$1,[3]enemy_skill_sets!$1:$1,0)-MATCH($AB$1,[3]enemy_skill_sets!$1:$1,0)+1,FALSE)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0" s="67">
        <v>1</v>
      </c>
      <c r="AE560" s="67">
        <v>1</v>
      </c>
      <c r="AF560" s="68">
        <v>0</v>
      </c>
      <c r="AG560" s="99">
        <f ca="1">ROUND(VLOOKUP(1,enemy_base_stats!$A:$F,2,FALSE) * Y560* J560*O560*E560*S560*AD560*[2]ステータス!$B$2,0)</f>
        <v>4250</v>
      </c>
      <c r="AH560" s="99">
        <f ca="1">ROUND(VLOOKUP(1,enemy_base_stats!$A:$F,3,FALSE) * Z560*K560*P560*F560*T560*AE560 * W560*[2]ステータス!$C$2,0)</f>
        <v>268</v>
      </c>
      <c r="AI560" s="99">
        <f ca="1">ROUND(VLOOKUP(1,enemy_base_stats!$A:$F,4,FALSE) * AA560*L560*Q560*G560*U560*AF560*[2]ステータス!$D$2,0)</f>
        <v>0</v>
      </c>
      <c r="AJ560" s="99">
        <f ca="1">ROUND(VLOOKUP(100,enemy_base_stats!$A:$F,2,FALSE) * Y560* J560*O560*E560*S560*AD560*[2]ステータス!$B$2,0)</f>
        <v>172550</v>
      </c>
      <c r="AK560" s="99">
        <f ca="1">ROUND(VLOOKUP(100,enemy_base_stats!$A:$F,3,FALSE)* Z560* K560*P560*F560*T560*AE560 * W560*[2]ステータス!$C$2,0)</f>
        <v>10862</v>
      </c>
      <c r="AL560" s="99">
        <f ca="1">ROUND(VLOOKUP(100,enemy_base_stats!$A:$F,4,FALSE)* AA560* L560*Q560*G560*U560*AF560*[2]ステータス!$D$2,0)</f>
        <v>0</v>
      </c>
      <c r="AM560" s="97">
        <f ca="1">VLOOKUP(M560,[2]character_tribe_i18n!$A:$I,9,FALSE)</f>
        <v>340</v>
      </c>
      <c r="AN560" s="97">
        <v>0</v>
      </c>
      <c r="AO560" s="98">
        <v>0</v>
      </c>
      <c r="AP560" s="58" t="s">
        <v>72</v>
      </c>
      <c r="AQ560" s="34">
        <f t="shared" ca="1" si="30"/>
        <v>559</v>
      </c>
    </row>
    <row r="561" spans="1:43" ht="21" customHeight="1" x14ac:dyDescent="0.15">
      <c r="A561" s="7">
        <f t="shared" ca="1" si="27"/>
        <v>560</v>
      </c>
      <c r="B561" s="6" t="str">
        <f ca="1">VLOOKUP(A561,[2]characters!$A:$C,3,FALSE)</f>
        <v>暴骨炎舞の狂賢者 ユノ</v>
      </c>
      <c r="C561" s="9">
        <f ca="1">VLOOKUP(A561,[2]characters!$A:$I,9,FALSE)</f>
        <v>5</v>
      </c>
      <c r="D561" s="9" t="str">
        <f ca="1">VLOOKUP(A561,[2]characters!$A:$H,8,FALSE)</f>
        <v>red</v>
      </c>
      <c r="E561" s="97">
        <f ca="1">VLOOKUP(D561,[2]属性!$A:$E,2,FALSE)</f>
        <v>1</v>
      </c>
      <c r="F561" s="97">
        <f ca="1">VLOOKUP(D561,[2]属性!$A:$E,3,FALSE)</f>
        <v>1.02</v>
      </c>
      <c r="G561" s="97">
        <f ca="1">VLOOKUP(D561,[2]属性!$A:$F,4,FALSE)</f>
        <v>1</v>
      </c>
      <c r="H561" s="9" t="str">
        <f ca="1">VLOOKUP(A561,[2]characters!$A:$K,11,FALSE)</f>
        <v>attack</v>
      </c>
      <c r="I561" s="6" t="str">
        <f ca="1">VLOOKUP(H561,[2]character_type_i18n!$A:$F,3,FALSE)</f>
        <v>攻撃タイプ</v>
      </c>
      <c r="J561" s="97">
        <f ca="1">VLOOKUP(H561,[2]character_type_i18n!$A:$F,4,FALSE)</f>
        <v>1</v>
      </c>
      <c r="K561" s="97">
        <f ca="1">VLOOKUP(H561,[2]character_type_i18n!$A:$F,5,FALSE)</f>
        <v>1.33</v>
      </c>
      <c r="L561" s="97">
        <f ca="1">VLOOKUP(H561,[2]character_type_i18n!$A:$F,6,FALSE)</f>
        <v>1</v>
      </c>
      <c r="M561" s="9" t="str">
        <f ca="1">VLOOKUP(A561,[2]characters!$A:$M,13,FALSE)</f>
        <v>human</v>
      </c>
      <c r="N561" s="6" t="str">
        <f ca="1">VLOOKUP(M561,[2]character_tribe_i18n!$A:$F,3,FALSE)</f>
        <v>ヒューマン</v>
      </c>
      <c r="O561" s="97">
        <f ca="1">VLOOKUP(M561,[2]character_tribe_i18n!$A:$F,4,FALSE)</f>
        <v>0.94</v>
      </c>
      <c r="P561" s="97">
        <f ca="1">VLOOKUP(M561,[2]character_tribe_i18n!$A:$F,5,FALSE)</f>
        <v>0.99</v>
      </c>
      <c r="Q561" s="97">
        <f ca="1">VLOOKUP(M561,[2]character_tribe_i18n!$A:$F,6,FALSE)</f>
        <v>1</v>
      </c>
      <c r="R561" s="98" t="s">
        <v>98</v>
      </c>
      <c r="S561" s="97">
        <f>VLOOKUP($R561,ラベル別係数!$A$1:$E$7,3,FALSE)</f>
        <v>5</v>
      </c>
      <c r="T561" s="97">
        <f>VLOOKUP($R561,ラベル別係数!$A$1:$E$7,4,FALSE)</f>
        <v>1.3</v>
      </c>
      <c r="U561" s="97">
        <f>VLOOKUP($R561,ラベル別係数!$A$1:$E$7,5,FALSE)</f>
        <v>0.8</v>
      </c>
      <c r="V561" s="98">
        <v>3</v>
      </c>
      <c r="W561" s="99">
        <f>VLOOKUP(V561,ターン数別攻撃係数!$A$1:$B$1000,2,FALSE)</f>
        <v>1</v>
      </c>
      <c r="X561" s="9">
        <f ca="1">VLOOKUP(C561,サイズ別係数!A$2:B$9,2,FALSE)</f>
        <v>60</v>
      </c>
      <c r="Y561" s="102">
        <v>1.1000000000000001</v>
      </c>
      <c r="Z561" s="102">
        <v>1.2</v>
      </c>
      <c r="AA561" s="102">
        <v>1.2</v>
      </c>
      <c r="AB561" s="10">
        <v>0</v>
      </c>
      <c r="AC561" s="6" t="str">
        <f ca="1">VLOOKUP($AB561,OFFSET([3]enemy_skill_sets!$B$2,0,0,COUNTA([3]enemy_skill_sets!$A:$A),MATCH(AC$1,[3]enemy_skill_sets!$1:$1,0)-MATCH($AB$1,[3]enemy_skill_sets!$1:$1,0)+1),MATCH(AC$1,[3]enemy_skill_sets!$1:$1,0)-MATCH($AB$1,[3]enemy_skill_sets!$1:$1,0)+1,FALSE)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1" s="67">
        <v>1</v>
      </c>
      <c r="AE561" s="67">
        <v>1</v>
      </c>
      <c r="AF561" s="68">
        <v>0</v>
      </c>
      <c r="AG561" s="99">
        <f ca="1">ROUND(VLOOKUP(1,enemy_base_stats!$A:$F,2,FALSE) * Y561* J561*O561*E561*S561*AD561*[2]ステータス!$B$2,0)</f>
        <v>2585</v>
      </c>
      <c r="AH561" s="99">
        <f ca="1">ROUND(VLOOKUP(1,enemy_base_stats!$A:$F,3,FALSE) * Z561*K561*P561*F561*T561*AE561 * W561*[2]ステータス!$C$2,0)</f>
        <v>314</v>
      </c>
      <c r="AI561" s="99">
        <f ca="1">ROUND(VLOOKUP(1,enemy_base_stats!$A:$F,4,FALSE) * AA561*L561*Q561*G561*U561*AF561*[2]ステータス!$D$2,0)</f>
        <v>0</v>
      </c>
      <c r="AJ561" s="99">
        <f ca="1">ROUND(VLOOKUP(100,enemy_base_stats!$A:$F,2,FALSE) * Y561* J561*O561*E561*S561*AD561*[2]ステータス!$B$2,0)</f>
        <v>104951</v>
      </c>
      <c r="AK561" s="99">
        <f ca="1">ROUND(VLOOKUP(100,enemy_base_stats!$A:$F,3,FALSE)* Z561* K561*P561*F561*T561*AE561 * W561*[2]ステータス!$C$2,0)</f>
        <v>12759</v>
      </c>
      <c r="AL561" s="99">
        <f ca="1">ROUND(VLOOKUP(100,enemy_base_stats!$A:$F,4,FALSE)* AA561* L561*Q561*G561*U561*AF561*[2]ステータス!$D$2,0)</f>
        <v>0</v>
      </c>
      <c r="AM561" s="97">
        <f ca="1">VLOOKUP(M561,[2]character_tribe_i18n!$A:$I,9,FALSE)</f>
        <v>400</v>
      </c>
      <c r="AN561" s="97">
        <v>0</v>
      </c>
      <c r="AO561" s="98">
        <v>0</v>
      </c>
      <c r="AP561" s="58" t="s">
        <v>72</v>
      </c>
      <c r="AQ561" s="34">
        <f t="shared" ca="1" si="30"/>
        <v>560</v>
      </c>
    </row>
    <row r="562" spans="1:43" ht="21" customHeight="1" x14ac:dyDescent="0.15">
      <c r="A562" s="7">
        <f t="shared" ca="1" si="27"/>
        <v>561</v>
      </c>
      <c r="B562" s="6" t="str">
        <f ca="1">VLOOKUP(A562,[2]characters!$A:$C,3,FALSE)</f>
        <v>森翠統べる獣姫 アマラ</v>
      </c>
      <c r="C562" s="9">
        <f ca="1">VLOOKUP(A562,[2]characters!$A:$I,9,FALSE)</f>
        <v>5</v>
      </c>
      <c r="D562" s="9" t="str">
        <f ca="1">VLOOKUP(A562,[2]characters!$A:$H,8,FALSE)</f>
        <v>green</v>
      </c>
      <c r="E562" s="97">
        <f ca="1">VLOOKUP(D562,[2]属性!$A:$E,2,FALSE)</f>
        <v>1.02</v>
      </c>
      <c r="F562" s="97">
        <f ca="1">VLOOKUP(D562,[2]属性!$A:$E,3,FALSE)</f>
        <v>0.98</v>
      </c>
      <c r="G562" s="97">
        <f ca="1">VLOOKUP(D562,[2]属性!$A:$F,4,FALSE)</f>
        <v>1</v>
      </c>
      <c r="H562" s="9" t="str">
        <f ca="1">VLOOKUP(A562,[2]characters!$A:$K,11,FALSE)</f>
        <v>attack</v>
      </c>
      <c r="I562" s="6" t="str">
        <f ca="1">VLOOKUP(H562,[2]character_type_i18n!$A:$F,3,FALSE)</f>
        <v>攻撃タイプ</v>
      </c>
      <c r="J562" s="97">
        <f ca="1">VLOOKUP(H562,[2]character_type_i18n!$A:$F,4,FALSE)</f>
        <v>1</v>
      </c>
      <c r="K562" s="97">
        <f ca="1">VLOOKUP(H562,[2]character_type_i18n!$A:$F,5,FALSE)</f>
        <v>1.33</v>
      </c>
      <c r="L562" s="97">
        <f ca="1">VLOOKUP(H562,[2]character_type_i18n!$A:$F,6,FALSE)</f>
        <v>1</v>
      </c>
      <c r="M562" s="9" t="str">
        <f ca="1">VLOOKUP(A562,[2]characters!$A:$M,13,FALSE)</f>
        <v>human</v>
      </c>
      <c r="N562" s="6" t="str">
        <f ca="1">VLOOKUP(M562,[2]character_tribe_i18n!$A:$F,3,FALSE)</f>
        <v>ヒューマン</v>
      </c>
      <c r="O562" s="97">
        <f ca="1">VLOOKUP(M562,[2]character_tribe_i18n!$A:$F,4,FALSE)</f>
        <v>0.94</v>
      </c>
      <c r="P562" s="97">
        <f ca="1">VLOOKUP(M562,[2]character_tribe_i18n!$A:$F,5,FALSE)</f>
        <v>0.99</v>
      </c>
      <c r="Q562" s="97">
        <f ca="1">VLOOKUP(M562,[2]character_tribe_i18n!$A:$F,6,FALSE)</f>
        <v>1</v>
      </c>
      <c r="R562" s="98" t="s">
        <v>98</v>
      </c>
      <c r="S562" s="97">
        <f>VLOOKUP($R562,ラベル別係数!$A$1:$E$7,3,FALSE)</f>
        <v>5</v>
      </c>
      <c r="T562" s="97">
        <f>VLOOKUP($R562,ラベル別係数!$A$1:$E$7,4,FALSE)</f>
        <v>1.3</v>
      </c>
      <c r="U562" s="97">
        <f>VLOOKUP($R562,ラベル別係数!$A$1:$E$7,5,FALSE)</f>
        <v>0.8</v>
      </c>
      <c r="V562" s="98">
        <v>3</v>
      </c>
      <c r="W562" s="99">
        <f>VLOOKUP(V562,ターン数別攻撃係数!$A$1:$B$1000,2,FALSE)</f>
        <v>1</v>
      </c>
      <c r="X562" s="9">
        <f ca="1">VLOOKUP(C562,サイズ別係数!A$2:B$9,2,FALSE)</f>
        <v>60</v>
      </c>
      <c r="Y562" s="102">
        <v>1.1000000000000001</v>
      </c>
      <c r="Z562" s="102">
        <v>1.2</v>
      </c>
      <c r="AA562" s="102">
        <v>1.2</v>
      </c>
      <c r="AB562" s="10">
        <v>0</v>
      </c>
      <c r="AC562" s="6" t="str">
        <f ca="1">VLOOKUP($AB562,OFFSET([3]enemy_skill_sets!$B$2,0,0,COUNTA([3]enemy_skill_sets!$A:$A),MATCH(AC$1,[3]enemy_skill_sets!$1:$1,0)-MATCH($AB$1,[3]enemy_skill_sets!$1:$1,0)+1),MATCH(AC$1,[3]enemy_skill_sets!$1:$1,0)-MATCH($AB$1,[3]enemy_skill_sets!$1:$1,0)+1,FALSE)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2" s="67">
        <v>1</v>
      </c>
      <c r="AE562" s="67">
        <v>1</v>
      </c>
      <c r="AF562" s="68">
        <v>0</v>
      </c>
      <c r="AG562" s="99">
        <f ca="1">ROUND(VLOOKUP(1,enemy_base_stats!$A:$F,2,FALSE) * Y562* J562*O562*E562*S562*AD562*[2]ステータス!$B$2,0)</f>
        <v>2637</v>
      </c>
      <c r="AH562" s="99">
        <f ca="1">ROUND(VLOOKUP(1,enemy_base_stats!$A:$F,3,FALSE) * Z562*K562*P562*F562*T562*AE562 * W562*[2]ステータス!$C$2,0)</f>
        <v>302</v>
      </c>
      <c r="AI562" s="99">
        <f ca="1">ROUND(VLOOKUP(1,enemy_base_stats!$A:$F,4,FALSE) * AA562*L562*Q562*G562*U562*AF562*[2]ステータス!$D$2,0)</f>
        <v>0</v>
      </c>
      <c r="AJ562" s="99">
        <f ca="1">ROUND(VLOOKUP(100,enemy_base_stats!$A:$F,2,FALSE) * Y562* J562*O562*E562*S562*AD562*[2]ステータス!$B$2,0)</f>
        <v>107050</v>
      </c>
      <c r="AK562" s="99">
        <f ca="1">ROUND(VLOOKUP(100,enemy_base_stats!$A:$F,3,FALSE)* Z562* K562*P562*F562*T562*AE562 * W562*[2]ステータス!$C$2,0)</f>
        <v>12259</v>
      </c>
      <c r="AL562" s="99">
        <f ca="1">ROUND(VLOOKUP(100,enemy_base_stats!$A:$F,4,FALSE)* AA562* L562*Q562*G562*U562*AF562*[2]ステータス!$D$2,0)</f>
        <v>0</v>
      </c>
      <c r="AM562" s="97">
        <f ca="1">VLOOKUP(M562,[2]character_tribe_i18n!$A:$I,9,FALSE)</f>
        <v>400</v>
      </c>
      <c r="AN562" s="97">
        <v>0</v>
      </c>
      <c r="AO562" s="98">
        <v>0</v>
      </c>
      <c r="AP562" s="58" t="s">
        <v>72</v>
      </c>
      <c r="AQ562" s="34">
        <f t="shared" ca="1" si="30"/>
        <v>561</v>
      </c>
    </row>
    <row r="563" spans="1:43" ht="21" customHeight="1" x14ac:dyDescent="0.15">
      <c r="A563" s="7">
        <f t="shared" ca="1" si="27"/>
        <v>562</v>
      </c>
      <c r="B563" s="6" t="str">
        <f ca="1">VLOOKUP(A563,[2]characters!$A:$C,3,FALSE)</f>
        <v>月夜砕く蒼狂狼 ローレンス</v>
      </c>
      <c r="C563" s="9">
        <f ca="1">VLOOKUP(A563,[2]characters!$A:$I,9,FALSE)</f>
        <v>5</v>
      </c>
      <c r="D563" s="9" t="str">
        <f ca="1">VLOOKUP(A563,[2]characters!$A:$H,8,FALSE)</f>
        <v>blue</v>
      </c>
      <c r="E563" s="97">
        <f ca="1">VLOOKUP(D563,[2]属性!$A:$E,2,FALSE)</f>
        <v>1</v>
      </c>
      <c r="F563" s="97">
        <f ca="1">VLOOKUP(D563,[2]属性!$A:$E,3,FALSE)</f>
        <v>0.98</v>
      </c>
      <c r="G563" s="97">
        <f ca="1">VLOOKUP(D563,[2]属性!$A:$F,4,FALSE)</f>
        <v>1</v>
      </c>
      <c r="H563" s="9" t="str">
        <f ca="1">VLOOKUP(A563,[2]characters!$A:$K,11,FALSE)</f>
        <v>attack</v>
      </c>
      <c r="I563" s="6" t="str">
        <f ca="1">VLOOKUP(H563,[2]character_type_i18n!$A:$F,3,FALSE)</f>
        <v>攻撃タイプ</v>
      </c>
      <c r="J563" s="97">
        <f ca="1">VLOOKUP(H563,[2]character_type_i18n!$A:$F,4,FALSE)</f>
        <v>1</v>
      </c>
      <c r="K563" s="97">
        <f ca="1">VLOOKUP(H563,[2]character_type_i18n!$A:$F,5,FALSE)</f>
        <v>1.33</v>
      </c>
      <c r="L563" s="97">
        <f ca="1">VLOOKUP(H563,[2]character_type_i18n!$A:$F,6,FALSE)</f>
        <v>1</v>
      </c>
      <c r="M563" s="9" t="str">
        <f ca="1">VLOOKUP(A563,[2]characters!$A:$M,13,FALSE)</f>
        <v>animal</v>
      </c>
      <c r="N563" s="6" t="str">
        <f ca="1">VLOOKUP(M563,[2]character_tribe_i18n!$A:$F,3,FALSE)</f>
        <v>アニマル</v>
      </c>
      <c r="O563" s="97">
        <f ca="1">VLOOKUP(M563,[2]character_tribe_i18n!$A:$F,4,FALSE)</f>
        <v>1</v>
      </c>
      <c r="P563" s="97">
        <f ca="1">VLOOKUP(M563,[2]character_tribe_i18n!$A:$F,5,FALSE)</f>
        <v>1.1000000000000001</v>
      </c>
      <c r="Q563" s="97">
        <f ca="1">VLOOKUP(M563,[2]character_tribe_i18n!$A:$F,6,FALSE)</f>
        <v>1</v>
      </c>
      <c r="R563" s="98" t="s">
        <v>98</v>
      </c>
      <c r="S563" s="97">
        <f>VLOOKUP($R563,ラベル別係数!$A$1:$E$7,3,FALSE)</f>
        <v>5</v>
      </c>
      <c r="T563" s="97">
        <f>VLOOKUP($R563,ラベル別係数!$A$1:$E$7,4,FALSE)</f>
        <v>1.3</v>
      </c>
      <c r="U563" s="97">
        <f>VLOOKUP($R563,ラベル別係数!$A$1:$E$7,5,FALSE)</f>
        <v>0.8</v>
      </c>
      <c r="V563" s="98">
        <v>3</v>
      </c>
      <c r="W563" s="99">
        <f>VLOOKUP(V563,ターン数別攻撃係数!$A$1:$B$1000,2,FALSE)</f>
        <v>1</v>
      </c>
      <c r="X563" s="9">
        <f ca="1">VLOOKUP(C563,サイズ別係数!A$2:B$9,2,FALSE)</f>
        <v>60</v>
      </c>
      <c r="Y563" s="102">
        <v>1.1000000000000001</v>
      </c>
      <c r="Z563" s="102">
        <v>1.2</v>
      </c>
      <c r="AA563" s="102">
        <v>1.2</v>
      </c>
      <c r="AB563" s="10">
        <v>0</v>
      </c>
      <c r="AC563" s="6" t="str">
        <f ca="1">VLOOKUP($AB563,OFFSET([3]enemy_skill_sets!$B$2,0,0,COUNTA([3]enemy_skill_sets!$A:$A),MATCH(AC$1,[3]enemy_skill_sets!$1:$1,0)-MATCH($AB$1,[3]enemy_skill_sets!$1:$1,0)+1),MATCH(AC$1,[3]enemy_skill_sets!$1:$1,0)-MATCH($AB$1,[3]enemy_skill_sets!$1:$1,0)+1,FALSE)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3" s="67">
        <v>1</v>
      </c>
      <c r="AE563" s="67">
        <v>1</v>
      </c>
      <c r="AF563" s="68">
        <v>0</v>
      </c>
      <c r="AG563" s="99">
        <f ca="1">ROUND(VLOOKUP(1,enemy_base_stats!$A:$F,2,FALSE) * Y563* J563*O563*E563*S563*AD563*[2]ステータス!$B$2,0)</f>
        <v>2750</v>
      </c>
      <c r="AH563" s="99">
        <f ca="1">ROUND(VLOOKUP(1,enemy_base_stats!$A:$F,3,FALSE) * Z563*K563*P563*F563*T563*AE563 * W563*[2]ステータス!$C$2,0)</f>
        <v>335</v>
      </c>
      <c r="AI563" s="99">
        <f ca="1">ROUND(VLOOKUP(1,enemy_base_stats!$A:$F,4,FALSE) * AA563*L563*Q563*G563*U563*AF563*[2]ステータス!$D$2,0)</f>
        <v>0</v>
      </c>
      <c r="AJ563" s="99">
        <f ca="1">ROUND(VLOOKUP(100,enemy_base_stats!$A:$F,2,FALSE) * Y563* J563*O563*E563*S563*AD563*[2]ステータス!$B$2,0)</f>
        <v>111650</v>
      </c>
      <c r="AK563" s="99">
        <f ca="1">ROUND(VLOOKUP(100,enemy_base_stats!$A:$F,3,FALSE)* Z563* K563*P563*F563*T563*AE563 * W563*[2]ステータス!$C$2,0)</f>
        <v>13621</v>
      </c>
      <c r="AL563" s="99">
        <f ca="1">ROUND(VLOOKUP(100,enemy_base_stats!$A:$F,4,FALSE)* AA563* L563*Q563*G563*U563*AF563*[2]ステータス!$D$2,0)</f>
        <v>0</v>
      </c>
      <c r="AM563" s="97">
        <f ca="1">VLOOKUP(M563,[2]character_tribe_i18n!$A:$I,9,FALSE)</f>
        <v>480</v>
      </c>
      <c r="AN563" s="97">
        <v>0</v>
      </c>
      <c r="AO563" s="98">
        <v>0</v>
      </c>
      <c r="AP563" s="58" t="s">
        <v>72</v>
      </c>
      <c r="AQ563" s="34">
        <f t="shared" ca="1" si="30"/>
        <v>562</v>
      </c>
    </row>
    <row r="564" spans="1:43" ht="21" customHeight="1" x14ac:dyDescent="0.15">
      <c r="A564" s="7">
        <f t="shared" ca="1" si="27"/>
        <v>563</v>
      </c>
      <c r="B564" s="6" t="str">
        <f ca="1">VLOOKUP(A564,[2]characters!$A:$C,3,FALSE)</f>
        <v>電翔紫閃の雷刃 ハヤト</v>
      </c>
      <c r="C564" s="9">
        <f ca="1">VLOOKUP(A564,[2]characters!$A:$I,9,FALSE)</f>
        <v>5</v>
      </c>
      <c r="D564" s="9" t="str">
        <f ca="1">VLOOKUP(A564,[2]characters!$A:$H,8,FALSE)</f>
        <v>yellow</v>
      </c>
      <c r="E564" s="97">
        <f ca="1">VLOOKUP(D564,[2]属性!$A:$E,2,FALSE)</f>
        <v>0.98</v>
      </c>
      <c r="F564" s="97">
        <f ca="1">VLOOKUP(D564,[2]属性!$A:$E,3,FALSE)</f>
        <v>1.01</v>
      </c>
      <c r="G564" s="97">
        <f ca="1">VLOOKUP(D564,[2]属性!$A:$F,4,FALSE)</f>
        <v>1</v>
      </c>
      <c r="H564" s="9" t="str">
        <f ca="1">VLOOKUP(A564,[2]characters!$A:$K,11,FALSE)</f>
        <v>attack</v>
      </c>
      <c r="I564" s="6" t="str">
        <f ca="1">VLOOKUP(H564,[2]character_type_i18n!$A:$F,3,FALSE)</f>
        <v>攻撃タイプ</v>
      </c>
      <c r="J564" s="97">
        <f ca="1">VLOOKUP(H564,[2]character_type_i18n!$A:$F,4,FALSE)</f>
        <v>1</v>
      </c>
      <c r="K564" s="97">
        <f ca="1">VLOOKUP(H564,[2]character_type_i18n!$A:$F,5,FALSE)</f>
        <v>1.33</v>
      </c>
      <c r="L564" s="97">
        <f ca="1">VLOOKUP(H564,[2]character_type_i18n!$A:$F,6,FALSE)</f>
        <v>1</v>
      </c>
      <c r="M564" s="9" t="str">
        <f ca="1">VLOOKUP(A564,[2]characters!$A:$M,13,FALSE)</f>
        <v>human</v>
      </c>
      <c r="N564" s="6" t="str">
        <f ca="1">VLOOKUP(M564,[2]character_tribe_i18n!$A:$F,3,FALSE)</f>
        <v>ヒューマン</v>
      </c>
      <c r="O564" s="97">
        <f ca="1">VLOOKUP(M564,[2]character_tribe_i18n!$A:$F,4,FALSE)</f>
        <v>0.94</v>
      </c>
      <c r="P564" s="97">
        <f ca="1">VLOOKUP(M564,[2]character_tribe_i18n!$A:$F,5,FALSE)</f>
        <v>0.99</v>
      </c>
      <c r="Q564" s="97">
        <f ca="1">VLOOKUP(M564,[2]character_tribe_i18n!$A:$F,6,FALSE)</f>
        <v>1</v>
      </c>
      <c r="R564" s="98" t="s">
        <v>98</v>
      </c>
      <c r="S564" s="97">
        <f>VLOOKUP($R564,ラベル別係数!$A$1:$E$7,3,FALSE)</f>
        <v>5</v>
      </c>
      <c r="T564" s="97">
        <f>VLOOKUP($R564,ラベル別係数!$A$1:$E$7,4,FALSE)</f>
        <v>1.3</v>
      </c>
      <c r="U564" s="97">
        <f>VLOOKUP($R564,ラベル別係数!$A$1:$E$7,5,FALSE)</f>
        <v>0.8</v>
      </c>
      <c r="V564" s="98">
        <v>3</v>
      </c>
      <c r="W564" s="99">
        <f>VLOOKUP(V564,ターン数別攻撃係数!$A$1:$B$1000,2,FALSE)</f>
        <v>1</v>
      </c>
      <c r="X564" s="9">
        <f ca="1">VLOOKUP(C564,サイズ別係数!A$2:B$9,2,FALSE)</f>
        <v>60</v>
      </c>
      <c r="Y564" s="102">
        <v>1.1000000000000001</v>
      </c>
      <c r="Z564" s="102">
        <v>1.2</v>
      </c>
      <c r="AA564" s="102">
        <v>1.2</v>
      </c>
      <c r="AB564" s="10">
        <v>0</v>
      </c>
      <c r="AC564" s="6" t="str">
        <f ca="1">VLOOKUP($AB564,OFFSET([3]enemy_skill_sets!$B$2,0,0,COUNTA([3]enemy_skill_sets!$A:$A),MATCH(AC$1,[3]enemy_skill_sets!$1:$1,0)-MATCH($AB$1,[3]enemy_skill_sets!$1:$1,0)+1),MATCH(AC$1,[3]enemy_skill_sets!$1:$1,0)-MATCH($AB$1,[3]enemy_skill_sets!$1:$1,0)+1,FALSE)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4" s="67">
        <v>1</v>
      </c>
      <c r="AE564" s="67">
        <v>1</v>
      </c>
      <c r="AF564" s="68">
        <v>0</v>
      </c>
      <c r="AG564" s="99">
        <f ca="1">ROUND(VLOOKUP(1,enemy_base_stats!$A:$F,2,FALSE) * Y564* J564*O564*E564*S564*AD564*[2]ステータス!$B$2,0)</f>
        <v>2533</v>
      </c>
      <c r="AH564" s="99">
        <f ca="1">ROUND(VLOOKUP(1,enemy_base_stats!$A:$F,3,FALSE) * Z564*K564*P564*F564*T564*AE564 * W564*[2]ステータス!$C$2,0)</f>
        <v>311</v>
      </c>
      <c r="AI564" s="99">
        <f ca="1">ROUND(VLOOKUP(1,enemy_base_stats!$A:$F,4,FALSE) * AA564*L564*Q564*G564*U564*AF564*[2]ステータス!$D$2,0)</f>
        <v>0</v>
      </c>
      <c r="AJ564" s="99">
        <f ca="1">ROUND(VLOOKUP(100,enemy_base_stats!$A:$F,2,FALSE) * Y564* J564*O564*E564*S564*AD564*[2]ステータス!$B$2,0)</f>
        <v>102852</v>
      </c>
      <c r="AK564" s="99">
        <f ca="1">ROUND(VLOOKUP(100,enemy_base_stats!$A:$F,3,FALSE)* Z564* K564*P564*F564*T564*AE564 * W564*[2]ステータス!$C$2,0)</f>
        <v>12634</v>
      </c>
      <c r="AL564" s="99">
        <f ca="1">ROUND(VLOOKUP(100,enemy_base_stats!$A:$F,4,FALSE)* AA564* L564*Q564*G564*U564*AF564*[2]ステータス!$D$2,0)</f>
        <v>0</v>
      </c>
      <c r="AM564" s="97">
        <f ca="1">VLOOKUP(M564,[2]character_tribe_i18n!$A:$I,9,FALSE)</f>
        <v>400</v>
      </c>
      <c r="AN564" s="97">
        <v>0</v>
      </c>
      <c r="AO564" s="98">
        <v>0</v>
      </c>
      <c r="AP564" s="58" t="s">
        <v>72</v>
      </c>
      <c r="AQ564" s="34">
        <f t="shared" ca="1" si="30"/>
        <v>563</v>
      </c>
    </row>
    <row r="565" spans="1:43" ht="21" customHeight="1" x14ac:dyDescent="0.15">
      <c r="A565" s="7">
        <f t="shared" ca="1" si="27"/>
        <v>564</v>
      </c>
      <c r="B565" s="6" t="str">
        <f ca="1">VLOOKUP(A565,[2]characters!$A:$C,3,FALSE)</f>
        <v>赤ずきん</v>
      </c>
      <c r="C565" s="9">
        <f ca="1">VLOOKUP(A565,[2]characters!$A:$I,9,FALSE)</f>
        <v>5</v>
      </c>
      <c r="D565" s="9" t="str">
        <f ca="1">VLOOKUP(A565,[2]characters!$A:$H,8,FALSE)</f>
        <v>red</v>
      </c>
      <c r="E565" s="97">
        <f ca="1">VLOOKUP(D565,[2]属性!$A:$E,2,FALSE)</f>
        <v>1</v>
      </c>
      <c r="F565" s="97">
        <f ca="1">VLOOKUP(D565,[2]属性!$A:$E,3,FALSE)</f>
        <v>1.02</v>
      </c>
      <c r="G565" s="97">
        <f ca="1">VLOOKUP(D565,[2]属性!$A:$F,4,FALSE)</f>
        <v>1</v>
      </c>
      <c r="H565" s="9" t="str">
        <f ca="1">VLOOKUP(A565,[2]characters!$A:$K,11,FALSE)</f>
        <v>balance</v>
      </c>
      <c r="I565" s="6" t="str">
        <f ca="1">VLOOKUP(H565,[2]character_type_i18n!$A:$F,3,FALSE)</f>
        <v>バランスタイプ</v>
      </c>
      <c r="J565" s="97">
        <f ca="1">VLOOKUP(H565,[2]character_type_i18n!$A:$F,4,FALSE)</f>
        <v>1</v>
      </c>
      <c r="K565" s="97">
        <f ca="1">VLOOKUP(H565,[2]character_type_i18n!$A:$F,5,FALSE)</f>
        <v>1</v>
      </c>
      <c r="L565" s="97">
        <f ca="1">VLOOKUP(H565,[2]character_type_i18n!$A:$F,6,FALSE)</f>
        <v>1</v>
      </c>
      <c r="M565" s="9" t="str">
        <f ca="1">VLOOKUP(A565,[2]characters!$A:$M,13,FALSE)</f>
        <v>human</v>
      </c>
      <c r="N565" s="6" t="str">
        <f ca="1">VLOOKUP(M565,[2]character_tribe_i18n!$A:$F,3,FALSE)</f>
        <v>ヒューマン</v>
      </c>
      <c r="O565" s="97">
        <f ca="1">VLOOKUP(M565,[2]character_tribe_i18n!$A:$F,4,FALSE)</f>
        <v>0.94</v>
      </c>
      <c r="P565" s="97">
        <f ca="1">VLOOKUP(M565,[2]character_tribe_i18n!$A:$F,5,FALSE)</f>
        <v>0.99</v>
      </c>
      <c r="Q565" s="97">
        <f ca="1">VLOOKUP(M565,[2]character_tribe_i18n!$A:$F,6,FALSE)</f>
        <v>1</v>
      </c>
      <c r="R565" s="98" t="s">
        <v>98</v>
      </c>
      <c r="S565" s="97">
        <f>VLOOKUP($R565,ラベル別係数!$A$1:$E$7,3,FALSE)</f>
        <v>5</v>
      </c>
      <c r="T565" s="97">
        <f>VLOOKUP($R565,ラベル別係数!$A$1:$E$7,4,FALSE)</f>
        <v>1.3</v>
      </c>
      <c r="U565" s="97">
        <f>VLOOKUP($R565,ラベル別係数!$A$1:$E$7,5,FALSE)</f>
        <v>0.8</v>
      </c>
      <c r="V565" s="98">
        <v>3</v>
      </c>
      <c r="W565" s="99">
        <f>VLOOKUP(V565,ターン数別攻撃係数!$A$1:$B$1000,2,FALSE)</f>
        <v>1</v>
      </c>
      <c r="X565" s="9">
        <f ca="1">VLOOKUP(C565,サイズ別係数!A$2:B$9,2,FALSE)</f>
        <v>60</v>
      </c>
      <c r="Y565" s="97">
        <f ca="1">VLOOKUP($X565,サイズ別係数!$B:$E,2,FALSE)</f>
        <v>1.7</v>
      </c>
      <c r="Z565" s="97">
        <f ca="1">VLOOKUP($X565,サイズ別係数!$B:$E,3,FALSE)</f>
        <v>1.4</v>
      </c>
      <c r="AA565" s="97">
        <f ca="1">VLOOKUP($X565,サイズ別係数!$B:$E,4,FALSE)</f>
        <v>1</v>
      </c>
      <c r="AB565" s="10">
        <v>0</v>
      </c>
      <c r="AC565" s="6" t="str">
        <f ca="1">VLOOKUP($AB565,OFFSET([3]enemy_skill_sets!$B$2,0,0,COUNTA([3]enemy_skill_sets!$A:$A),MATCH(AC$1,[3]enemy_skill_sets!$1:$1,0)-MATCH($AB$1,[3]enemy_skill_sets!$1:$1,0)+1),MATCH(AC$1,[3]enemy_skill_sets!$1:$1,0)-MATCH($AB$1,[3]enemy_skill_sets!$1:$1,0)+1,FALSE)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5" s="67">
        <v>1</v>
      </c>
      <c r="AE565" s="67">
        <v>1</v>
      </c>
      <c r="AF565" s="68">
        <v>0</v>
      </c>
      <c r="AG565" s="99">
        <f ca="1">ROUND(VLOOKUP(1,enemy_base_stats!$A:$F,2,FALSE) * Y565* J565*O565*E565*S565*AD565*[2]ステータス!$B$2,0)</f>
        <v>3995</v>
      </c>
      <c r="AH565" s="99">
        <f ca="1">ROUND(VLOOKUP(1,enemy_base_stats!$A:$F,3,FALSE) * Z565*K565*P565*F565*T565*AE565 * W565*[2]ステータス!$C$2,0)</f>
        <v>276</v>
      </c>
      <c r="AI565" s="99">
        <f ca="1">ROUND(VLOOKUP(1,enemy_base_stats!$A:$F,4,FALSE) * AA565*L565*Q565*G565*U565*AF565*[2]ステータス!$D$2,0)</f>
        <v>0</v>
      </c>
      <c r="AJ565" s="99">
        <f ca="1">ROUND(VLOOKUP(100,enemy_base_stats!$A:$F,2,FALSE) * Y565* J565*O565*E565*S565*AD565*[2]ステータス!$B$2,0)</f>
        <v>162197</v>
      </c>
      <c r="AK565" s="99">
        <f ca="1">ROUND(VLOOKUP(100,enemy_base_stats!$A:$F,3,FALSE)* Z565* K565*P565*F565*T565*AE565 * W565*[2]ステータス!$C$2,0)</f>
        <v>11192</v>
      </c>
      <c r="AL565" s="99">
        <f ca="1">ROUND(VLOOKUP(100,enemy_base_stats!$A:$F,4,FALSE)* AA565* L565*Q565*G565*U565*AF565*[2]ステータス!$D$2,0)</f>
        <v>0</v>
      </c>
      <c r="AM565" s="97">
        <f ca="1">VLOOKUP(M565,[2]character_tribe_i18n!$A:$I,9,FALSE)</f>
        <v>400</v>
      </c>
      <c r="AN565" s="97">
        <v>0</v>
      </c>
      <c r="AO565" s="98">
        <v>0</v>
      </c>
      <c r="AP565" s="58" t="s">
        <v>72</v>
      </c>
      <c r="AQ565" s="34">
        <f t="shared" ca="1" si="30"/>
        <v>564</v>
      </c>
    </row>
    <row r="566" spans="1:43" ht="21" customHeight="1" x14ac:dyDescent="0.15">
      <c r="A566" s="7">
        <f t="shared" ca="1" si="27"/>
        <v>565</v>
      </c>
      <c r="B566" s="6" t="str">
        <f ca="1">VLOOKUP(A566,[2]characters!$A:$C,3,FALSE)</f>
        <v>かぐや</v>
      </c>
      <c r="C566" s="9">
        <f ca="1">VLOOKUP(A566,[2]characters!$A:$I,9,FALSE)</f>
        <v>5</v>
      </c>
      <c r="D566" s="9" t="str">
        <f ca="1">VLOOKUP(A566,[2]characters!$A:$H,8,FALSE)</f>
        <v>green</v>
      </c>
      <c r="E566" s="97">
        <f ca="1">VLOOKUP(D566,[2]属性!$A:$E,2,FALSE)</f>
        <v>1.02</v>
      </c>
      <c r="F566" s="97">
        <f ca="1">VLOOKUP(D566,[2]属性!$A:$E,3,FALSE)</f>
        <v>0.98</v>
      </c>
      <c r="G566" s="97">
        <f ca="1">VLOOKUP(D566,[2]属性!$A:$F,4,FALSE)</f>
        <v>1</v>
      </c>
      <c r="H566" s="9" t="str">
        <f ca="1">VLOOKUP(A566,[2]characters!$A:$K,11,FALSE)</f>
        <v>hp</v>
      </c>
      <c r="I566" s="6" t="str">
        <f ca="1">VLOOKUP(H566,[2]character_type_i18n!$A:$F,3,FALSE)</f>
        <v>体力タイプ</v>
      </c>
      <c r="J566" s="97">
        <f ca="1">VLOOKUP(H566,[2]character_type_i18n!$A:$F,4,FALSE)</f>
        <v>1.45</v>
      </c>
      <c r="K566" s="97">
        <f ca="1">VLOOKUP(H566,[2]character_type_i18n!$A:$F,5,FALSE)</f>
        <v>0.85</v>
      </c>
      <c r="L566" s="97">
        <f ca="1">VLOOKUP(H566,[2]character_type_i18n!$A:$F,6,FALSE)</f>
        <v>1</v>
      </c>
      <c r="M566" s="9" t="str">
        <f ca="1">VLOOKUP(A566,[2]characters!$A:$M,13,FALSE)</f>
        <v>human</v>
      </c>
      <c r="N566" s="6" t="str">
        <f ca="1">VLOOKUP(M566,[2]character_tribe_i18n!$A:$F,3,FALSE)</f>
        <v>ヒューマン</v>
      </c>
      <c r="O566" s="97">
        <f ca="1">VLOOKUP(M566,[2]character_tribe_i18n!$A:$F,4,FALSE)</f>
        <v>0.94</v>
      </c>
      <c r="P566" s="97">
        <f ca="1">VLOOKUP(M566,[2]character_tribe_i18n!$A:$F,5,FALSE)</f>
        <v>0.99</v>
      </c>
      <c r="Q566" s="97">
        <f ca="1">VLOOKUP(M566,[2]character_tribe_i18n!$A:$F,6,FALSE)</f>
        <v>1</v>
      </c>
      <c r="R566" s="98" t="s">
        <v>98</v>
      </c>
      <c r="S566" s="97">
        <f>VLOOKUP($R566,ラベル別係数!$A$1:$E$7,3,FALSE)</f>
        <v>5</v>
      </c>
      <c r="T566" s="97">
        <f>VLOOKUP($R566,ラベル別係数!$A$1:$E$7,4,FALSE)</f>
        <v>1.3</v>
      </c>
      <c r="U566" s="97">
        <f>VLOOKUP($R566,ラベル別係数!$A$1:$E$7,5,FALSE)</f>
        <v>0.8</v>
      </c>
      <c r="V566" s="98">
        <v>3</v>
      </c>
      <c r="W566" s="99">
        <f>VLOOKUP(V566,ターン数別攻撃係数!$A$1:$B$1000,2,FALSE)</f>
        <v>1</v>
      </c>
      <c r="X566" s="9">
        <f ca="1">VLOOKUP(C566,サイズ別係数!A$2:B$9,2,FALSE)</f>
        <v>60</v>
      </c>
      <c r="Y566" s="97">
        <f ca="1">VLOOKUP($X566,サイズ別係数!$B:$E,2,FALSE)</f>
        <v>1.7</v>
      </c>
      <c r="Z566" s="97">
        <f ca="1">VLOOKUP($X566,サイズ別係数!$B:$E,3,FALSE)</f>
        <v>1.4</v>
      </c>
      <c r="AA566" s="97">
        <f ca="1">VLOOKUP($X566,サイズ別係数!$B:$E,4,FALSE)</f>
        <v>1</v>
      </c>
      <c r="AB566" s="10">
        <v>0</v>
      </c>
      <c r="AC566" s="6" t="str">
        <f ca="1">VLOOKUP($AB566,OFFSET([3]enemy_skill_sets!$B$2,0,0,COUNTA([3]enemy_skill_sets!$A:$A),MATCH(AC$1,[3]enemy_skill_sets!$1:$1,0)-MATCH($AB$1,[3]enemy_skill_sets!$1:$1,0)+1),MATCH(AC$1,[3]enemy_skill_sets!$1:$1,0)-MATCH($AB$1,[3]enemy_skill_sets!$1:$1,0)+1,FALSE)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6" s="67">
        <v>1</v>
      </c>
      <c r="AE566" s="67">
        <v>1</v>
      </c>
      <c r="AF566" s="68">
        <v>0</v>
      </c>
      <c r="AG566" s="99">
        <f ca="1">ROUND(VLOOKUP(1,enemy_base_stats!$A:$F,2,FALSE) * Y566* J566*O566*E566*S566*AD566*[2]ステータス!$B$2,0)</f>
        <v>5909</v>
      </c>
      <c r="AH566" s="99">
        <f ca="1">ROUND(VLOOKUP(1,enemy_base_stats!$A:$F,3,FALSE) * Z566*K566*P566*F566*T566*AE566 * W566*[2]ステータス!$C$2,0)</f>
        <v>225</v>
      </c>
      <c r="AI566" s="99">
        <f ca="1">ROUND(VLOOKUP(1,enemy_base_stats!$A:$F,4,FALSE) * AA566*L566*Q566*G566*U566*AF566*[2]ステータス!$D$2,0)</f>
        <v>0</v>
      </c>
      <c r="AJ566" s="99">
        <f ca="1">ROUND(VLOOKUP(100,enemy_base_stats!$A:$F,2,FALSE) * Y566* J566*O566*E566*S566*AD566*[2]ステータス!$B$2,0)</f>
        <v>239889</v>
      </c>
      <c r="AK566" s="99">
        <f ca="1">ROUND(VLOOKUP(100,enemy_base_stats!$A:$F,3,FALSE)* Z566* K566*P566*F566*T566*AE566 * W566*[2]ステータス!$C$2,0)</f>
        <v>9140</v>
      </c>
      <c r="AL566" s="99">
        <f ca="1">ROUND(VLOOKUP(100,enemy_base_stats!$A:$F,4,FALSE)* AA566* L566*Q566*G566*U566*AF566*[2]ステータス!$D$2,0)</f>
        <v>0</v>
      </c>
      <c r="AM566" s="97">
        <f ca="1">VLOOKUP(M566,[2]character_tribe_i18n!$A:$I,9,FALSE)</f>
        <v>400</v>
      </c>
      <c r="AN566" s="97">
        <v>0</v>
      </c>
      <c r="AO566" s="98">
        <v>0</v>
      </c>
      <c r="AP566" s="58" t="s">
        <v>72</v>
      </c>
      <c r="AQ566" s="34">
        <f t="shared" ref="AQ566:AQ573" ca="1" si="31">A566</f>
        <v>565</v>
      </c>
    </row>
    <row r="567" spans="1:43" ht="21" customHeight="1" x14ac:dyDescent="0.15">
      <c r="A567" s="7">
        <f t="shared" ca="1" si="27"/>
        <v>566</v>
      </c>
      <c r="B567" s="6" t="str">
        <f ca="1">VLOOKUP(A567,[2]characters!$A:$C,3,FALSE)</f>
        <v>遊歩遊泳プリンセス マーメイド</v>
      </c>
      <c r="C567" s="9">
        <f ca="1">VLOOKUP(A567,[2]characters!$A:$I,9,FALSE)</f>
        <v>5</v>
      </c>
      <c r="D567" s="9" t="str">
        <f ca="1">VLOOKUP(A567,[2]characters!$A:$H,8,FALSE)</f>
        <v>blue</v>
      </c>
      <c r="E567" s="97">
        <f ca="1">VLOOKUP(D567,[2]属性!$A:$E,2,FALSE)</f>
        <v>1</v>
      </c>
      <c r="F567" s="97">
        <f ca="1">VLOOKUP(D567,[2]属性!$A:$E,3,FALSE)</f>
        <v>0.98</v>
      </c>
      <c r="G567" s="97">
        <f ca="1">VLOOKUP(D567,[2]属性!$A:$F,4,FALSE)</f>
        <v>1</v>
      </c>
      <c r="H567" s="9" t="str">
        <f ca="1">VLOOKUP(A567,[2]characters!$A:$K,11,FALSE)</f>
        <v>hp</v>
      </c>
      <c r="I567" s="6" t="str">
        <f ca="1">VLOOKUP(H567,[2]character_type_i18n!$A:$F,3,FALSE)</f>
        <v>体力タイプ</v>
      </c>
      <c r="J567" s="97">
        <f ca="1">VLOOKUP(H567,[2]character_type_i18n!$A:$F,4,FALSE)</f>
        <v>1.45</v>
      </c>
      <c r="K567" s="97">
        <f ca="1">VLOOKUP(H567,[2]character_type_i18n!$A:$F,5,FALSE)</f>
        <v>0.85</v>
      </c>
      <c r="L567" s="97">
        <f ca="1">VLOOKUP(H567,[2]character_type_i18n!$A:$F,6,FALSE)</f>
        <v>1</v>
      </c>
      <c r="M567" s="9" t="str">
        <f ca="1">VLOOKUP(A567,[2]characters!$A:$M,13,FALSE)</f>
        <v>human</v>
      </c>
      <c r="N567" s="6" t="str">
        <f ca="1">VLOOKUP(M567,[2]character_tribe_i18n!$A:$F,3,FALSE)</f>
        <v>ヒューマン</v>
      </c>
      <c r="O567" s="97">
        <f ca="1">VLOOKUP(M567,[2]character_tribe_i18n!$A:$F,4,FALSE)</f>
        <v>0.94</v>
      </c>
      <c r="P567" s="97">
        <f ca="1">VLOOKUP(M567,[2]character_tribe_i18n!$A:$F,5,FALSE)</f>
        <v>0.99</v>
      </c>
      <c r="Q567" s="97">
        <f ca="1">VLOOKUP(M567,[2]character_tribe_i18n!$A:$F,6,FALSE)</f>
        <v>1</v>
      </c>
      <c r="R567" s="98" t="s">
        <v>98</v>
      </c>
      <c r="S567" s="97">
        <f>VLOOKUP($R567,ラベル別係数!$A$1:$E$7,3,FALSE)</f>
        <v>5</v>
      </c>
      <c r="T567" s="97">
        <f>VLOOKUP($R567,ラベル別係数!$A$1:$E$7,4,FALSE)</f>
        <v>1.3</v>
      </c>
      <c r="U567" s="97">
        <f>VLOOKUP($R567,ラベル別係数!$A$1:$E$7,5,FALSE)</f>
        <v>0.8</v>
      </c>
      <c r="V567" s="98">
        <v>3</v>
      </c>
      <c r="W567" s="99">
        <f>VLOOKUP(V567,ターン数別攻撃係数!$A$1:$B$1000,2,FALSE)</f>
        <v>1</v>
      </c>
      <c r="X567" s="9">
        <f ca="1">VLOOKUP(C567,サイズ別係数!A$2:B$9,2,FALSE)</f>
        <v>60</v>
      </c>
      <c r="Y567" s="97">
        <f ca="1">VLOOKUP($X567,サイズ別係数!$B:$E,2,FALSE)</f>
        <v>1.7</v>
      </c>
      <c r="Z567" s="97">
        <f ca="1">VLOOKUP($X567,サイズ別係数!$B:$E,3,FALSE)</f>
        <v>1.4</v>
      </c>
      <c r="AA567" s="97">
        <f ca="1">VLOOKUP($X567,サイズ別係数!$B:$E,4,FALSE)</f>
        <v>1</v>
      </c>
      <c r="AB567" s="10">
        <v>0</v>
      </c>
      <c r="AC567" s="6" t="str">
        <f ca="1">VLOOKUP($AB567,OFFSET([3]enemy_skill_sets!$B$2,0,0,COUNTA([3]enemy_skill_sets!$A:$A),MATCH(AC$1,[3]enemy_skill_sets!$1:$1,0)-MATCH($AB$1,[3]enemy_skill_sets!$1:$1,0)+1),MATCH(AC$1,[3]enemy_skill_sets!$1:$1,0)-MATCH($AB$1,[3]enemy_skill_sets!$1:$1,0)+1,FALSE)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7" s="67">
        <v>1</v>
      </c>
      <c r="AE567" s="67">
        <v>1</v>
      </c>
      <c r="AF567" s="68">
        <v>0</v>
      </c>
      <c r="AG567" s="99">
        <f ca="1">ROUND(VLOOKUP(1,enemy_base_stats!$A:$F,2,FALSE) * Y567* J567*O567*E567*S567*AD567*[2]ステータス!$B$2,0)</f>
        <v>5793</v>
      </c>
      <c r="AH567" s="99">
        <f ca="1">ROUND(VLOOKUP(1,enemy_base_stats!$A:$F,3,FALSE) * Z567*K567*P567*F567*T567*AE567 * W567*[2]ステータス!$C$2,0)</f>
        <v>225</v>
      </c>
      <c r="AI567" s="99">
        <f ca="1">ROUND(VLOOKUP(1,enemy_base_stats!$A:$F,4,FALSE) * AA567*L567*Q567*G567*U567*AF567*[2]ステータス!$D$2,0)</f>
        <v>0</v>
      </c>
      <c r="AJ567" s="99">
        <f ca="1">ROUND(VLOOKUP(100,enemy_base_stats!$A:$F,2,FALSE) * Y567* J567*O567*E567*S567*AD567*[2]ステータス!$B$2,0)</f>
        <v>235186</v>
      </c>
      <c r="AK567" s="99">
        <f ca="1">ROUND(VLOOKUP(100,enemy_base_stats!$A:$F,3,FALSE)* Z567* K567*P567*F567*T567*AE567 * W567*[2]ステータス!$C$2,0)</f>
        <v>9140</v>
      </c>
      <c r="AL567" s="99">
        <f ca="1">ROUND(VLOOKUP(100,enemy_base_stats!$A:$F,4,FALSE)* AA567* L567*Q567*G567*U567*AF567*[2]ステータス!$D$2,0)</f>
        <v>0</v>
      </c>
      <c r="AM567" s="97">
        <f ca="1">VLOOKUP(M567,[2]character_tribe_i18n!$A:$I,9,FALSE)</f>
        <v>400</v>
      </c>
      <c r="AN567" s="97">
        <v>0</v>
      </c>
      <c r="AO567" s="98">
        <v>0</v>
      </c>
      <c r="AP567" s="58" t="s">
        <v>72</v>
      </c>
      <c r="AQ567" s="34">
        <f t="shared" ca="1" si="31"/>
        <v>566</v>
      </c>
    </row>
    <row r="568" spans="1:43" ht="21" customHeight="1" x14ac:dyDescent="0.15">
      <c r="A568" s="7">
        <f t="shared" ca="1" si="27"/>
        <v>567</v>
      </c>
      <c r="B568" s="6" t="str">
        <f ca="1">VLOOKUP(A568,[2]characters!$A:$C,3,FALSE)</f>
        <v>紅揚の祭狐宴舞 タマモ</v>
      </c>
      <c r="C568" s="9">
        <f ca="1">VLOOKUP(A568,[2]characters!$A:$I,9,FALSE)</f>
        <v>5</v>
      </c>
      <c r="D568" s="9" t="str">
        <f ca="1">VLOOKUP(A568,[2]characters!$A:$H,8,FALSE)</f>
        <v>yellow</v>
      </c>
      <c r="E568" s="97">
        <f ca="1">VLOOKUP(D568,[2]属性!$A:$E,2,FALSE)</f>
        <v>0.98</v>
      </c>
      <c r="F568" s="97">
        <f ca="1">VLOOKUP(D568,[2]属性!$A:$E,3,FALSE)</f>
        <v>1.01</v>
      </c>
      <c r="G568" s="97">
        <f ca="1">VLOOKUP(D568,[2]属性!$A:$F,4,FALSE)</f>
        <v>1</v>
      </c>
      <c r="H568" s="9" t="str">
        <f ca="1">VLOOKUP(A568,[2]characters!$A:$K,11,FALSE)</f>
        <v>balance</v>
      </c>
      <c r="I568" s="6" t="str">
        <f ca="1">VLOOKUP(H568,[2]character_type_i18n!$A:$F,3,FALSE)</f>
        <v>バランスタイプ</v>
      </c>
      <c r="J568" s="97">
        <f ca="1">VLOOKUP(H568,[2]character_type_i18n!$A:$F,4,FALSE)</f>
        <v>1</v>
      </c>
      <c r="K568" s="97">
        <f ca="1">VLOOKUP(H568,[2]character_type_i18n!$A:$F,5,FALSE)</f>
        <v>1</v>
      </c>
      <c r="L568" s="97">
        <f ca="1">VLOOKUP(H568,[2]character_type_i18n!$A:$F,6,FALSE)</f>
        <v>1</v>
      </c>
      <c r="M568" s="9" t="str">
        <f ca="1">VLOOKUP(A568,[2]characters!$A:$M,13,FALSE)</f>
        <v>animal</v>
      </c>
      <c r="N568" s="6" t="str">
        <f ca="1">VLOOKUP(M568,[2]character_tribe_i18n!$A:$F,3,FALSE)</f>
        <v>アニマル</v>
      </c>
      <c r="O568" s="97">
        <f ca="1">VLOOKUP(M568,[2]character_tribe_i18n!$A:$F,4,FALSE)</f>
        <v>1</v>
      </c>
      <c r="P568" s="97">
        <f ca="1">VLOOKUP(M568,[2]character_tribe_i18n!$A:$F,5,FALSE)</f>
        <v>1.1000000000000001</v>
      </c>
      <c r="Q568" s="97">
        <f ca="1">VLOOKUP(M568,[2]character_tribe_i18n!$A:$F,6,FALSE)</f>
        <v>1</v>
      </c>
      <c r="R568" s="98" t="s">
        <v>98</v>
      </c>
      <c r="S568" s="97">
        <f>VLOOKUP($R568,ラベル別係数!$A$1:$E$7,3,FALSE)</f>
        <v>5</v>
      </c>
      <c r="T568" s="97">
        <f>VLOOKUP($R568,ラベル別係数!$A$1:$E$7,4,FALSE)</f>
        <v>1.3</v>
      </c>
      <c r="U568" s="97">
        <f>VLOOKUP($R568,ラベル別係数!$A$1:$E$7,5,FALSE)</f>
        <v>0.8</v>
      </c>
      <c r="V568" s="98">
        <v>3</v>
      </c>
      <c r="W568" s="99">
        <f>VLOOKUP(V568,ターン数別攻撃係数!$A$1:$B$1000,2,FALSE)</f>
        <v>1</v>
      </c>
      <c r="X568" s="9">
        <f ca="1">VLOOKUP(C568,サイズ別係数!A$2:B$9,2,FALSE)</f>
        <v>60</v>
      </c>
      <c r="Y568" s="97">
        <f ca="1">VLOOKUP($X568,サイズ別係数!$B:$E,2,FALSE)</f>
        <v>1.7</v>
      </c>
      <c r="Z568" s="97">
        <f ca="1">VLOOKUP($X568,サイズ別係数!$B:$E,3,FALSE)</f>
        <v>1.4</v>
      </c>
      <c r="AA568" s="97">
        <f ca="1">VLOOKUP($X568,サイズ別係数!$B:$E,4,FALSE)</f>
        <v>1</v>
      </c>
      <c r="AB568" s="10">
        <v>0</v>
      </c>
      <c r="AC568" s="6" t="str">
        <f ca="1">VLOOKUP($AB568,OFFSET([3]enemy_skill_sets!$B$2,0,0,COUNTA([3]enemy_skill_sets!$A:$A),MATCH(AC$1,[3]enemy_skill_sets!$1:$1,0)-MATCH($AB$1,[3]enemy_skill_sets!$1:$1,0)+1),MATCH(AC$1,[3]enemy_skill_sets!$1:$1,0)-MATCH($AB$1,[3]enemy_skill_sets!$1:$1,0)+1,FALSE)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8" s="67">
        <v>1</v>
      </c>
      <c r="AE568" s="67">
        <v>1</v>
      </c>
      <c r="AF568" s="68">
        <v>0</v>
      </c>
      <c r="AG568" s="99">
        <f ca="1">ROUND(VLOOKUP(1,enemy_base_stats!$A:$F,2,FALSE) * Y568* J568*O568*E568*S568*AD568*[2]ステータス!$B$2,0)</f>
        <v>4165</v>
      </c>
      <c r="AH568" s="99">
        <f ca="1">ROUND(VLOOKUP(1,enemy_base_stats!$A:$F,3,FALSE) * Z568*K568*P568*F568*T568*AE568 * W568*[2]ステータス!$C$2,0)</f>
        <v>303</v>
      </c>
      <c r="AI568" s="99">
        <f ca="1">ROUND(VLOOKUP(1,enemy_base_stats!$A:$F,4,FALSE) * AA568*L568*Q568*G568*U568*AF568*[2]ステータス!$D$2,0)</f>
        <v>0</v>
      </c>
      <c r="AJ568" s="99">
        <f ca="1">ROUND(VLOOKUP(100,enemy_base_stats!$A:$F,2,FALSE) * Y568* J568*O568*E568*S568*AD568*[2]ステータス!$B$2,0)</f>
        <v>169099</v>
      </c>
      <c r="AK568" s="99">
        <f ca="1">ROUND(VLOOKUP(100,enemy_base_stats!$A:$F,3,FALSE)* Z568* K568*P568*F568*T568*AE568 * W568*[2]ステータス!$C$2,0)</f>
        <v>12314</v>
      </c>
      <c r="AL568" s="99">
        <f ca="1">ROUND(VLOOKUP(100,enemy_base_stats!$A:$F,4,FALSE)* AA568* L568*Q568*G568*U568*AF568*[2]ステータス!$D$2,0)</f>
        <v>0</v>
      </c>
      <c r="AM568" s="97">
        <f ca="1">VLOOKUP(M568,[2]character_tribe_i18n!$A:$I,9,FALSE)</f>
        <v>480</v>
      </c>
      <c r="AN568" s="97">
        <v>0</v>
      </c>
      <c r="AO568" s="98">
        <v>0</v>
      </c>
      <c r="AP568" s="58" t="s">
        <v>72</v>
      </c>
      <c r="AQ568" s="34">
        <f t="shared" ca="1" si="31"/>
        <v>567</v>
      </c>
    </row>
    <row r="569" spans="1:43" ht="21" customHeight="1" x14ac:dyDescent="0.15">
      <c r="A569" s="7">
        <f t="shared" ca="1" si="27"/>
        <v>568</v>
      </c>
      <c r="B569" s="6" t="str">
        <f ca="1">VLOOKUP(A569,[2]characters!$A:$C,3,FALSE)</f>
        <v>空駆ける電能師 テスラ</v>
      </c>
      <c r="C569" s="9">
        <f ca="1">VLOOKUP(A569,[2]characters!$A:$I,9,FALSE)</f>
        <v>6</v>
      </c>
      <c r="D569" s="9" t="str">
        <f ca="1">VLOOKUP(A569,[2]characters!$A:$H,8,FALSE)</f>
        <v>yellow</v>
      </c>
      <c r="E569" s="97">
        <f ca="1">VLOOKUP(D569,[2]属性!$A:$E,2,FALSE)</f>
        <v>0.98</v>
      </c>
      <c r="F569" s="97">
        <f ca="1">VLOOKUP(D569,[2]属性!$A:$E,3,FALSE)</f>
        <v>1.01</v>
      </c>
      <c r="G569" s="97">
        <f ca="1">VLOOKUP(D569,[2]属性!$A:$F,4,FALSE)</f>
        <v>1</v>
      </c>
      <c r="H569" s="9" t="str">
        <f ca="1">VLOOKUP(A569,[2]characters!$A:$K,11,FALSE)</f>
        <v>balance</v>
      </c>
      <c r="I569" s="6" t="str">
        <f ca="1">VLOOKUP(H569,[2]character_type_i18n!$A:$F,3,FALSE)</f>
        <v>バランスタイプ</v>
      </c>
      <c r="J569" s="97">
        <f ca="1">VLOOKUP(H569,[2]character_type_i18n!$A:$F,4,FALSE)</f>
        <v>1</v>
      </c>
      <c r="K569" s="97">
        <f ca="1">VLOOKUP(H569,[2]character_type_i18n!$A:$F,5,FALSE)</f>
        <v>1</v>
      </c>
      <c r="L569" s="97">
        <f ca="1">VLOOKUP(H569,[2]character_type_i18n!$A:$F,6,FALSE)</f>
        <v>1</v>
      </c>
      <c r="M569" s="100" t="s">
        <v>165</v>
      </c>
      <c r="N569" s="6" t="str">
        <f>VLOOKUP(M569,[2]character_tribe_i18n!$A:$F,3,FALSE)</f>
        <v>ヒューマン</v>
      </c>
      <c r="O569" s="97">
        <f>VLOOKUP(M569,[2]character_tribe_i18n!$A:$F,4,FALSE)</f>
        <v>0.94</v>
      </c>
      <c r="P569" s="97">
        <f>VLOOKUP(M569,[2]character_tribe_i18n!$A:$F,5,FALSE)</f>
        <v>0.99</v>
      </c>
      <c r="Q569" s="97">
        <f>VLOOKUP(M569,[2]character_tribe_i18n!$A:$F,6,FALSE)</f>
        <v>1</v>
      </c>
      <c r="R569" s="98" t="s">
        <v>98</v>
      </c>
      <c r="S569" s="97">
        <f>VLOOKUP($R569,ラベル別係数!$A$1:$E$7,3,FALSE)</f>
        <v>5</v>
      </c>
      <c r="T569" s="97">
        <f>VLOOKUP($R569,ラベル別係数!$A$1:$E$7,4,FALSE)</f>
        <v>1.3</v>
      </c>
      <c r="U569" s="97">
        <f>VLOOKUP($R569,ラベル別係数!$A$1:$E$7,5,FALSE)</f>
        <v>0.8</v>
      </c>
      <c r="V569" s="98">
        <v>3</v>
      </c>
      <c r="W569" s="99">
        <f>VLOOKUP(V569,ターン数別攻撃係数!$A$1:$B$1000,2,FALSE)</f>
        <v>1</v>
      </c>
      <c r="X569" s="9">
        <f ca="1">VLOOKUP(C569,サイズ別係数!A$2:B$9,2,FALSE)</f>
        <v>60</v>
      </c>
      <c r="Y569" s="97">
        <f ca="1">VLOOKUP($X569,サイズ別係数!$B:$E,2,FALSE)</f>
        <v>1.7</v>
      </c>
      <c r="Z569" s="97">
        <f ca="1">VLOOKUP($X569,サイズ別係数!$B:$E,3,FALSE)</f>
        <v>1.4</v>
      </c>
      <c r="AA569" s="97">
        <f ca="1">VLOOKUP($X569,サイズ別係数!$B:$E,4,FALSE)</f>
        <v>1</v>
      </c>
      <c r="AB569" s="10">
        <v>0</v>
      </c>
      <c r="AC569" s="6" t="str">
        <f ca="1">VLOOKUP($AB569,OFFSET([3]enemy_skill_sets!$B$2,0,0,COUNTA([3]enemy_skill_sets!$A:$A),MATCH(AC$1,[3]enemy_skill_sets!$1:$1,0)-MATCH($AB$1,[3]enemy_skill_sets!$1:$1,0)+1),MATCH(AC$1,[3]enemy_skill_sets!$1:$1,0)-MATCH($AB$1,[3]enemy_skill_sets!$1:$1,0)+1,FALSE)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69" s="67">
        <v>1</v>
      </c>
      <c r="AE569" s="67">
        <v>1</v>
      </c>
      <c r="AF569" s="68">
        <v>0</v>
      </c>
      <c r="AG569" s="99">
        <f ca="1">ROUND(VLOOKUP(1,enemy_base_stats!$A:$F,2,FALSE) * Y569* J569*O569*E569*S569*AD569*[2]ステータス!$B$2,0)</f>
        <v>3915</v>
      </c>
      <c r="AH569" s="99">
        <f ca="1">ROUND(VLOOKUP(1,enemy_base_stats!$A:$F,3,FALSE) * Z569*K569*P569*F569*T569*AE569 * W569*[2]ステータス!$C$2,0)</f>
        <v>273</v>
      </c>
      <c r="AI569" s="99">
        <f ca="1">ROUND(VLOOKUP(1,enemy_base_stats!$A:$F,4,FALSE) * AA569*L569*Q569*G569*U569*AF569*[2]ステータス!$D$2,0)</f>
        <v>0</v>
      </c>
      <c r="AJ569" s="99">
        <f ca="1">ROUND(VLOOKUP(100,enemy_base_stats!$A:$F,2,FALSE) * Y569* J569*O569*E569*S569*AD569*[2]ステータス!$B$2,0)</f>
        <v>158953</v>
      </c>
      <c r="AK569" s="99">
        <f ca="1">ROUND(VLOOKUP(100,enemy_base_stats!$A:$F,3,FALSE)* Z569* K569*P569*F569*T569*AE569 * W569*[2]ステータス!$C$2,0)</f>
        <v>11083</v>
      </c>
      <c r="AL569" s="99">
        <f ca="1">ROUND(VLOOKUP(100,enemy_base_stats!$A:$F,4,FALSE)* AA569* L569*Q569*G569*U569*AF569*[2]ステータス!$D$2,0)</f>
        <v>0</v>
      </c>
      <c r="AM569" s="97">
        <f>VLOOKUP(M569,[2]character_tribe_i18n!$A:$I,9,FALSE)</f>
        <v>400</v>
      </c>
      <c r="AN569" s="97">
        <v>0</v>
      </c>
      <c r="AO569" s="98">
        <v>0</v>
      </c>
      <c r="AP569" s="58" t="s">
        <v>72</v>
      </c>
      <c r="AQ569" s="34">
        <f t="shared" ca="1" si="31"/>
        <v>568</v>
      </c>
    </row>
    <row r="570" spans="1:43" ht="21" customHeight="1" x14ac:dyDescent="0.15">
      <c r="A570" s="7">
        <f t="shared" ca="1" si="27"/>
        <v>569</v>
      </c>
      <c r="B570" s="6" t="str">
        <f ca="1">VLOOKUP(A570,[2]characters!$A:$C,3,FALSE)</f>
        <v>ハッピー102</v>
      </c>
      <c r="C570" s="9">
        <f ca="1">VLOOKUP(A570,[2]characters!$A:$I,9,FALSE)</f>
        <v>5</v>
      </c>
      <c r="D570" s="9" t="str">
        <f ca="1">VLOOKUP(A570,[2]characters!$A:$H,8,FALSE)</f>
        <v>green</v>
      </c>
      <c r="E570" s="97">
        <f ca="1">VLOOKUP(D570,[2]属性!$A:$E,2,FALSE)</f>
        <v>1.02</v>
      </c>
      <c r="F570" s="97">
        <f ca="1">VLOOKUP(D570,[2]属性!$A:$E,3,FALSE)</f>
        <v>0.98</v>
      </c>
      <c r="G570" s="97">
        <f ca="1">VLOOKUP(D570,[2]属性!$A:$F,4,FALSE)</f>
        <v>1</v>
      </c>
      <c r="H570" s="9" t="str">
        <f ca="1">VLOOKUP(A570,[2]characters!$A:$K,11,FALSE)</f>
        <v>heal</v>
      </c>
      <c r="I570" s="6" t="str">
        <f ca="1">VLOOKUP(H570,[2]character_type_i18n!$A:$F,3,FALSE)</f>
        <v>回復タイプ</v>
      </c>
      <c r="J570" s="97">
        <f ca="1">VLOOKUP(H570,[2]character_type_i18n!$A:$F,4,FALSE)</f>
        <v>0.8</v>
      </c>
      <c r="K570" s="97">
        <f ca="1">VLOOKUP(H570,[2]character_type_i18n!$A:$F,5,FALSE)</f>
        <v>0.78</v>
      </c>
      <c r="L570" s="97">
        <f ca="1">VLOOKUP(H570,[2]character_type_i18n!$A:$F,6,FALSE)</f>
        <v>1</v>
      </c>
      <c r="M570" s="9" t="str">
        <f ca="1">VLOOKUP(A570,[2]characters!$A:$M,13,FALSE)</f>
        <v>unknown</v>
      </c>
      <c r="N570" s="6" t="str">
        <f ca="1">VLOOKUP(M570,[2]character_tribe_i18n!$A:$F,3,FALSE)</f>
        <v>Unknown</v>
      </c>
      <c r="O570" s="97">
        <f ca="1">VLOOKUP(M570,[2]character_tribe_i18n!$A:$F,4,FALSE)</f>
        <v>1</v>
      </c>
      <c r="P570" s="97">
        <f ca="1">VLOOKUP(M570,[2]character_tribe_i18n!$A:$F,5,FALSE)</f>
        <v>1</v>
      </c>
      <c r="Q570" s="97">
        <f ca="1">VLOOKUP(M570,[2]character_tribe_i18n!$A:$F,6,FALSE)</f>
        <v>1</v>
      </c>
      <c r="R570" s="98" t="s">
        <v>98</v>
      </c>
      <c r="S570" s="97">
        <f>VLOOKUP($R570,ラベル別係数!$A$1:$E$7,3,FALSE)</f>
        <v>5</v>
      </c>
      <c r="T570" s="97">
        <f>VLOOKUP($R570,ラベル別係数!$A$1:$E$7,4,FALSE)</f>
        <v>1.3</v>
      </c>
      <c r="U570" s="97">
        <f>VLOOKUP($R570,ラベル別係数!$A$1:$E$7,5,FALSE)</f>
        <v>0.8</v>
      </c>
      <c r="V570" s="98">
        <v>3</v>
      </c>
      <c r="W570" s="99">
        <f>VLOOKUP(V570,ターン数別攻撃係数!$A$1:$B$1000,2,FALSE)</f>
        <v>1</v>
      </c>
      <c r="X570" s="9">
        <f ca="1">VLOOKUP(C570,サイズ別係数!A$2:B$9,2,FALSE)</f>
        <v>60</v>
      </c>
      <c r="Y570" s="97">
        <f ca="1">VLOOKUP($X570,サイズ別係数!$B:$E,2,FALSE)</f>
        <v>1.7</v>
      </c>
      <c r="Z570" s="97">
        <f ca="1">VLOOKUP($X570,サイズ別係数!$B:$E,3,FALSE)</f>
        <v>1.4</v>
      </c>
      <c r="AA570" s="97">
        <f ca="1">VLOOKUP($X570,サイズ別係数!$B:$E,4,FALSE)</f>
        <v>1</v>
      </c>
      <c r="AB570" s="10">
        <v>0</v>
      </c>
      <c r="AC570" s="6" t="str">
        <f ca="1">VLOOKUP($AB570,OFFSET([3]enemy_skill_sets!$B$2,0,0,COUNTA([3]enemy_skill_sets!$A:$A),MATCH(AC$1,[3]enemy_skill_sets!$1:$1,0)-MATCH($AB$1,[3]enemy_skill_sets!$1:$1,0)+1),MATCH(AC$1,[3]enemy_skill_sets!$1:$1,0)-MATCH($AB$1,[3]enemy_skill_sets!$1:$1,0)+1,FALSE)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0" s="67">
        <v>1</v>
      </c>
      <c r="AE570" s="67">
        <v>1</v>
      </c>
      <c r="AF570" s="68">
        <v>0</v>
      </c>
      <c r="AG570" s="99">
        <f ca="1">ROUND(VLOOKUP(1,enemy_base_stats!$A:$F,2,FALSE) * Y570* J570*O570*E570*S570*AD570*[2]ステータス!$B$2,0)</f>
        <v>3468</v>
      </c>
      <c r="AH570" s="99">
        <f ca="1">ROUND(VLOOKUP(1,enemy_base_stats!$A:$F,3,FALSE) * Z570*K570*P570*F570*T570*AE570 * W570*[2]ステータス!$C$2,0)</f>
        <v>209</v>
      </c>
      <c r="AI570" s="99">
        <f ca="1">ROUND(VLOOKUP(1,enemy_base_stats!$A:$F,4,FALSE) * AA570*L570*Q570*G570*U570*AF570*[2]ステータス!$D$2,0)</f>
        <v>0</v>
      </c>
      <c r="AJ570" s="99">
        <f ca="1">ROUND(VLOOKUP(100,enemy_base_stats!$A:$F,2,FALSE) * Y570* J570*O570*E570*S570*AD570*[2]ステータス!$B$2,0)</f>
        <v>140801</v>
      </c>
      <c r="AK570" s="99">
        <f ca="1">ROUND(VLOOKUP(100,enemy_base_stats!$A:$F,3,FALSE)* Z570* K570*P570*F570*T570*AE570 * W570*[2]ステータス!$C$2,0)</f>
        <v>8472</v>
      </c>
      <c r="AL570" s="99">
        <f ca="1">ROUND(VLOOKUP(100,enemy_base_stats!$A:$F,4,FALSE)* AA570* L570*Q570*G570*U570*AF570*[2]ステータス!$D$2,0)</f>
        <v>0</v>
      </c>
      <c r="AM570" s="97">
        <f ca="1">VLOOKUP(M570,[2]character_tribe_i18n!$A:$I,9,FALSE)</f>
        <v>340</v>
      </c>
      <c r="AN570" s="97">
        <v>0</v>
      </c>
      <c r="AO570" s="98">
        <v>0</v>
      </c>
      <c r="AP570" s="58" t="s">
        <v>72</v>
      </c>
      <c r="AQ570" s="34">
        <f t="shared" ca="1" si="31"/>
        <v>569</v>
      </c>
    </row>
    <row r="571" spans="1:43" ht="21" customHeight="1" x14ac:dyDescent="0.15">
      <c r="A571" s="7">
        <f t="shared" ca="1" si="27"/>
        <v>570</v>
      </c>
      <c r="B571" s="6" t="str">
        <f ca="1">VLOOKUP(A571,[2]characters!$A:$C,3,FALSE)</f>
        <v>幸響の電心 ハッピー</v>
      </c>
      <c r="C571" s="9">
        <f ca="1">VLOOKUP(A571,[2]characters!$A:$I,9,FALSE)</f>
        <v>6</v>
      </c>
      <c r="D571" s="9" t="str">
        <f ca="1">VLOOKUP(A571,[2]characters!$A:$H,8,FALSE)</f>
        <v>green</v>
      </c>
      <c r="E571" s="97">
        <f ca="1">VLOOKUP(D571,[2]属性!$A:$E,2,FALSE)</f>
        <v>1.02</v>
      </c>
      <c r="F571" s="97">
        <f ca="1">VLOOKUP(D571,[2]属性!$A:$E,3,FALSE)</f>
        <v>0.98</v>
      </c>
      <c r="G571" s="97">
        <f ca="1">VLOOKUP(D571,[2]属性!$A:$F,4,FALSE)</f>
        <v>1</v>
      </c>
      <c r="H571" s="9" t="str">
        <f ca="1">VLOOKUP(A571,[2]characters!$A:$K,11,FALSE)</f>
        <v>heal</v>
      </c>
      <c r="I571" s="6" t="str">
        <f ca="1">VLOOKUP(H571,[2]character_type_i18n!$A:$F,3,FALSE)</f>
        <v>回復タイプ</v>
      </c>
      <c r="J571" s="97">
        <f ca="1">VLOOKUP(H571,[2]character_type_i18n!$A:$F,4,FALSE)</f>
        <v>0.8</v>
      </c>
      <c r="K571" s="97">
        <f ca="1">VLOOKUP(H571,[2]character_type_i18n!$A:$F,5,FALSE)</f>
        <v>0.78</v>
      </c>
      <c r="L571" s="97">
        <f ca="1">VLOOKUP(H571,[2]character_type_i18n!$A:$F,6,FALSE)</f>
        <v>1</v>
      </c>
      <c r="M571" s="9" t="str">
        <f ca="1">VLOOKUP(A571,[2]characters!$A:$M,13,FALSE)</f>
        <v>unknown</v>
      </c>
      <c r="N571" s="6" t="str">
        <f ca="1">VLOOKUP(M571,[2]character_tribe_i18n!$A:$F,3,FALSE)</f>
        <v>Unknown</v>
      </c>
      <c r="O571" s="97">
        <f ca="1">VLOOKUP(M571,[2]character_tribe_i18n!$A:$F,4,FALSE)</f>
        <v>1</v>
      </c>
      <c r="P571" s="97">
        <f ca="1">VLOOKUP(M571,[2]character_tribe_i18n!$A:$F,5,FALSE)</f>
        <v>1</v>
      </c>
      <c r="Q571" s="97">
        <f ca="1">VLOOKUP(M571,[2]character_tribe_i18n!$A:$F,6,FALSE)</f>
        <v>1</v>
      </c>
      <c r="R571" s="98" t="s">
        <v>98</v>
      </c>
      <c r="S571" s="97">
        <f>VLOOKUP($R571,ラベル別係数!$A$1:$E$7,3,FALSE)</f>
        <v>5</v>
      </c>
      <c r="T571" s="97">
        <f>VLOOKUP($R571,ラベル別係数!$A$1:$E$7,4,FALSE)</f>
        <v>1.3</v>
      </c>
      <c r="U571" s="97">
        <f>VLOOKUP($R571,ラベル別係数!$A$1:$E$7,5,FALSE)</f>
        <v>0.8</v>
      </c>
      <c r="V571" s="98">
        <v>3</v>
      </c>
      <c r="W571" s="99">
        <f>VLOOKUP(V571,ターン数別攻撃係数!$A$1:$B$1000,2,FALSE)</f>
        <v>1</v>
      </c>
      <c r="X571" s="9">
        <f ca="1">VLOOKUP(C571,サイズ別係数!A$2:B$9,2,FALSE)</f>
        <v>60</v>
      </c>
      <c r="Y571" s="97">
        <f ca="1">VLOOKUP($X571,サイズ別係数!$B:$E,2,FALSE)</f>
        <v>1.7</v>
      </c>
      <c r="Z571" s="97">
        <f ca="1">VLOOKUP($X571,サイズ別係数!$B:$E,3,FALSE)</f>
        <v>1.4</v>
      </c>
      <c r="AA571" s="97">
        <f ca="1">VLOOKUP($X571,サイズ別係数!$B:$E,4,FALSE)</f>
        <v>1</v>
      </c>
      <c r="AB571" s="10">
        <v>0</v>
      </c>
      <c r="AC571" s="6" t="str">
        <f ca="1">VLOOKUP($AB571,OFFSET([3]enemy_skill_sets!$B$2,0,0,COUNTA([3]enemy_skill_sets!$A:$A),MATCH(AC$1,[3]enemy_skill_sets!$1:$1,0)-MATCH($AB$1,[3]enemy_skill_sets!$1:$1,0)+1),MATCH(AC$1,[3]enemy_skill_sets!$1:$1,0)-MATCH($AB$1,[3]enemy_skill_sets!$1:$1,0)+1,FALSE)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1" s="67">
        <v>1</v>
      </c>
      <c r="AE571" s="67">
        <v>1</v>
      </c>
      <c r="AF571" s="68">
        <v>0</v>
      </c>
      <c r="AG571" s="99">
        <f ca="1">ROUND(VLOOKUP(1,enemy_base_stats!$A:$F,2,FALSE) * Y571* J571*O571*E571*S571*AD571*[2]ステータス!$B$2,0)</f>
        <v>3468</v>
      </c>
      <c r="AH571" s="99">
        <f ca="1">ROUND(VLOOKUP(1,enemy_base_stats!$A:$F,3,FALSE) * Z571*K571*P571*F571*T571*AE571 * W571*[2]ステータス!$C$2,0)</f>
        <v>209</v>
      </c>
      <c r="AI571" s="99">
        <f ca="1">ROUND(VLOOKUP(1,enemy_base_stats!$A:$F,4,FALSE) * AA571*L571*Q571*G571*U571*AF571*[2]ステータス!$D$2,0)</f>
        <v>0</v>
      </c>
      <c r="AJ571" s="99">
        <f ca="1">ROUND(VLOOKUP(100,enemy_base_stats!$A:$F,2,FALSE) * Y571* J571*O571*E571*S571*AD571*[2]ステータス!$B$2,0)</f>
        <v>140801</v>
      </c>
      <c r="AK571" s="99">
        <f ca="1">ROUND(VLOOKUP(100,enemy_base_stats!$A:$F,3,FALSE)* Z571* K571*P571*F571*T571*AE571 * W571*[2]ステータス!$C$2,0)</f>
        <v>8472</v>
      </c>
      <c r="AL571" s="99">
        <f ca="1">ROUND(VLOOKUP(100,enemy_base_stats!$A:$F,4,FALSE)* AA571* L571*Q571*G571*U571*AF571*[2]ステータス!$D$2,0)</f>
        <v>0</v>
      </c>
      <c r="AM571" s="97">
        <f ca="1">VLOOKUP(M571,[2]character_tribe_i18n!$A:$I,9,FALSE)</f>
        <v>340</v>
      </c>
      <c r="AN571" s="97">
        <v>0</v>
      </c>
      <c r="AO571" s="98">
        <v>0</v>
      </c>
      <c r="AP571" s="58" t="s">
        <v>72</v>
      </c>
      <c r="AQ571" s="34">
        <f t="shared" ca="1" si="31"/>
        <v>570</v>
      </c>
    </row>
    <row r="572" spans="1:43" ht="21" customHeight="1" x14ac:dyDescent="0.15">
      <c r="A572" s="7">
        <f t="shared" ca="1" si="27"/>
        <v>571</v>
      </c>
      <c r="B572" s="6" t="str">
        <f ca="1">VLOOKUP(A572,[2]characters!$A:$C,3,FALSE)</f>
        <v>ハッピー バレンタイン</v>
      </c>
      <c r="C572" s="9">
        <f ca="1">VLOOKUP(A572,[2]characters!$A:$I,9,FALSE)</f>
        <v>3</v>
      </c>
      <c r="D572" s="9" t="str">
        <f ca="1">VLOOKUP(A572,[2]characters!$A:$H,8,FALSE)</f>
        <v>green</v>
      </c>
      <c r="E572" s="97">
        <f ca="1">VLOOKUP(D572,[2]属性!$A:$E,2,FALSE)</f>
        <v>1.02</v>
      </c>
      <c r="F572" s="97">
        <f ca="1">VLOOKUP(D572,[2]属性!$A:$E,3,FALSE)</f>
        <v>0.98</v>
      </c>
      <c r="G572" s="97">
        <f ca="1">VLOOKUP(D572,[2]属性!$A:$F,4,FALSE)</f>
        <v>1</v>
      </c>
      <c r="H572" s="9" t="str">
        <f ca="1">VLOOKUP(A572,[2]characters!$A:$K,11,FALSE)</f>
        <v>heal</v>
      </c>
      <c r="I572" s="6" t="str">
        <f ca="1">VLOOKUP(H572,[2]character_type_i18n!$A:$F,3,FALSE)</f>
        <v>回復タイプ</v>
      </c>
      <c r="J572" s="97">
        <f ca="1">VLOOKUP(H572,[2]character_type_i18n!$A:$F,4,FALSE)</f>
        <v>0.8</v>
      </c>
      <c r="K572" s="97">
        <f ca="1">VLOOKUP(H572,[2]character_type_i18n!$A:$F,5,FALSE)</f>
        <v>0.78</v>
      </c>
      <c r="L572" s="97">
        <f ca="1">VLOOKUP(H572,[2]character_type_i18n!$A:$F,6,FALSE)</f>
        <v>1</v>
      </c>
      <c r="M572" s="9" t="str">
        <f ca="1">VLOOKUP(A572,[2]characters!$A:$M,13,FALSE)</f>
        <v>unknown</v>
      </c>
      <c r="N572" s="6" t="str">
        <f ca="1">VLOOKUP(M572,[2]character_tribe_i18n!$A:$F,3,FALSE)</f>
        <v>Unknown</v>
      </c>
      <c r="O572" s="97">
        <f ca="1">VLOOKUP(M572,[2]character_tribe_i18n!$A:$F,4,FALSE)</f>
        <v>1</v>
      </c>
      <c r="P572" s="97">
        <f ca="1">VLOOKUP(M572,[2]character_tribe_i18n!$A:$F,5,FALSE)</f>
        <v>1</v>
      </c>
      <c r="Q572" s="97">
        <f ca="1">VLOOKUP(M572,[2]character_tribe_i18n!$A:$F,6,FALSE)</f>
        <v>1</v>
      </c>
      <c r="R572" s="98" t="s">
        <v>98</v>
      </c>
      <c r="S572" s="97">
        <f>VLOOKUP($R572,ラベル別係数!$A$1:$E$7,3,FALSE)</f>
        <v>5</v>
      </c>
      <c r="T572" s="97">
        <f>VLOOKUP($R572,ラベル別係数!$A$1:$E$7,4,FALSE)</f>
        <v>1.3</v>
      </c>
      <c r="U572" s="97">
        <f>VLOOKUP($R572,ラベル別係数!$A$1:$E$7,5,FALSE)</f>
        <v>0.8</v>
      </c>
      <c r="V572" s="98">
        <v>3</v>
      </c>
      <c r="W572" s="99">
        <f>VLOOKUP(V572,ターン数別攻撃係数!$A$1:$B$1000,2,FALSE)</f>
        <v>1</v>
      </c>
      <c r="X572" s="9">
        <f ca="1">VLOOKUP(C572,サイズ別係数!A$2:B$9,2,FALSE)</f>
        <v>25</v>
      </c>
      <c r="Y572" s="97">
        <f ca="1">VLOOKUP($X572,サイズ別係数!$B:$E,2,FALSE)</f>
        <v>1.2</v>
      </c>
      <c r="Z572" s="97">
        <f ca="1">VLOOKUP($X572,サイズ別係数!$B:$E,3,FALSE)</f>
        <v>1.25</v>
      </c>
      <c r="AA572" s="97">
        <f ca="1">VLOOKUP($X572,サイズ別係数!$B:$E,4,FALSE)</f>
        <v>1.1499999999999999</v>
      </c>
      <c r="AB572" s="10">
        <v>0</v>
      </c>
      <c r="AC572" s="6" t="str">
        <f ca="1">VLOOKUP($AB572,OFFSET([3]enemy_skill_sets!$B$2,0,0,COUNTA([3]enemy_skill_sets!$A:$A),MATCH(AC$1,[3]enemy_skill_sets!$1:$1,0)-MATCH($AB$1,[3]enemy_skill_sets!$1:$1,0)+1),MATCH(AC$1,[3]enemy_skill_sets!$1:$1,0)-MATCH($AB$1,[3]enemy_skill_sets!$1:$1,0)+1,FALSE)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2" s="67">
        <v>1</v>
      </c>
      <c r="AE572" s="67">
        <v>1</v>
      </c>
      <c r="AF572" s="68">
        <v>0</v>
      </c>
      <c r="AG572" s="99">
        <f ca="1">ROUND(VLOOKUP(1,enemy_base_stats!$A:$F,2,FALSE) * Y572* J572*O572*E572*S572*AD572*[2]ステータス!$B$2,0)</f>
        <v>2448</v>
      </c>
      <c r="AH572" s="99">
        <f ca="1">ROUND(VLOOKUP(1,enemy_base_stats!$A:$F,3,FALSE) * Z572*K572*P572*F572*T572*AE572 * W572*[2]ステータス!$C$2,0)</f>
        <v>186</v>
      </c>
      <c r="AI572" s="99">
        <f ca="1">ROUND(VLOOKUP(1,enemy_base_stats!$A:$F,4,FALSE) * AA572*L572*Q572*G572*U572*AF572*[2]ステータス!$D$2,0)</f>
        <v>0</v>
      </c>
      <c r="AJ572" s="99">
        <f ca="1">ROUND(VLOOKUP(100,enemy_base_stats!$A:$F,2,FALSE) * Y572* J572*O572*E572*S572*AD572*[2]ステータス!$B$2,0)</f>
        <v>99389</v>
      </c>
      <c r="AK572" s="99">
        <f ca="1">ROUND(VLOOKUP(100,enemy_base_stats!$A:$F,3,FALSE)* Z572* K572*P572*F572*T572*AE572 * W572*[2]ステータス!$C$2,0)</f>
        <v>7565</v>
      </c>
      <c r="AL572" s="99">
        <f ca="1">ROUND(VLOOKUP(100,enemy_base_stats!$A:$F,4,FALSE)* AA572* L572*Q572*G572*U572*AF572*[2]ステータス!$D$2,0)</f>
        <v>0</v>
      </c>
      <c r="AM572" s="97">
        <f ca="1">VLOOKUP(M572,[2]character_tribe_i18n!$A:$I,9,FALSE)</f>
        <v>340</v>
      </c>
      <c r="AN572" s="97">
        <v>0</v>
      </c>
      <c r="AO572" s="98">
        <v>0</v>
      </c>
      <c r="AP572" s="58" t="s">
        <v>72</v>
      </c>
      <c r="AQ572" s="34">
        <f t="shared" ca="1" si="31"/>
        <v>571</v>
      </c>
    </row>
    <row r="573" spans="1:43" ht="21" customHeight="1" x14ac:dyDescent="0.15">
      <c r="A573" s="7">
        <f t="shared" ca="1" si="27"/>
        <v>572</v>
      </c>
      <c r="B573" s="6" t="str">
        <f ca="1">VLOOKUP(A573,[2]characters!$A:$C,3,FALSE)</f>
        <v>恋する果実</v>
      </c>
      <c r="C573" s="9">
        <f ca="1">VLOOKUP(A573,[2]characters!$A:$I,9,FALSE)</f>
        <v>3</v>
      </c>
      <c r="D573" s="9" t="str">
        <f ca="1">VLOOKUP(A573,[2]characters!$A:$H,8,FALSE)</f>
        <v>blue</v>
      </c>
      <c r="E573" s="97">
        <f ca="1">VLOOKUP(D573,[2]属性!$A:$E,2,FALSE)</f>
        <v>1</v>
      </c>
      <c r="F573" s="97">
        <f ca="1">VLOOKUP(D573,[2]属性!$A:$E,3,FALSE)</f>
        <v>0.98</v>
      </c>
      <c r="G573" s="97">
        <f ca="1">VLOOKUP(D573,[2]属性!$A:$F,4,FALSE)</f>
        <v>1</v>
      </c>
      <c r="H573" s="9" t="str">
        <f ca="1">VLOOKUP(A573,[2]characters!$A:$K,11,FALSE)</f>
        <v>skilllevel</v>
      </c>
      <c r="I573" s="6" t="str">
        <f ca="1">VLOOKUP(H573,[2]character_type_i18n!$A:$F,3,FALSE)</f>
        <v>スキルレベル素材</v>
      </c>
      <c r="J573" s="97">
        <f ca="1">VLOOKUP(H573,[2]character_type_i18n!$A:$F,4,FALSE)</f>
        <v>0.1</v>
      </c>
      <c r="K573" s="97">
        <f ca="1">VLOOKUP(H573,[2]character_type_i18n!$A:$F,5,FALSE)</f>
        <v>0.05</v>
      </c>
      <c r="L573" s="97">
        <f ca="1">VLOOKUP(H573,[2]character_type_i18n!$A:$F,6,FALSE)</f>
        <v>1</v>
      </c>
      <c r="M573" s="9" t="str">
        <f ca="1">VLOOKUP(A573,[2]characters!$A:$M,13,FALSE)</f>
        <v>unknown</v>
      </c>
      <c r="N573" s="6" t="str">
        <f ca="1">VLOOKUP(M573,[2]character_tribe_i18n!$A:$F,3,FALSE)</f>
        <v>Unknown</v>
      </c>
      <c r="O573" s="97">
        <f ca="1">VLOOKUP(M573,[2]character_tribe_i18n!$A:$F,4,FALSE)</f>
        <v>1</v>
      </c>
      <c r="P573" s="97">
        <v>1</v>
      </c>
      <c r="Q573" s="97">
        <f ca="1">VLOOKUP(M573,[2]character_tribe_i18n!$A:$F,6,FALSE)</f>
        <v>1</v>
      </c>
      <c r="R573" s="98" t="s">
        <v>98</v>
      </c>
      <c r="S573" s="97">
        <f>VLOOKUP($R573,ラベル別係数!$A$1:$E$7,3,FALSE)</f>
        <v>5</v>
      </c>
      <c r="T573" s="97">
        <f>VLOOKUP($R573,ラベル別係数!$A$1:$E$7,4,FALSE)</f>
        <v>1.3</v>
      </c>
      <c r="U573" s="97">
        <f>VLOOKUP($R573,ラベル別係数!$A$1:$E$7,5,FALSE)</f>
        <v>0.8</v>
      </c>
      <c r="V573" s="98">
        <v>3</v>
      </c>
      <c r="W573" s="99">
        <f>VLOOKUP(V573,ターン数別攻撃係数!$A$1:$B$1000,2,FALSE)</f>
        <v>1</v>
      </c>
      <c r="X573" s="9">
        <f ca="1">VLOOKUP(C573,サイズ別係数!A$2:B$9,2,FALSE)</f>
        <v>25</v>
      </c>
      <c r="Y573" s="97">
        <f ca="1">VLOOKUP($X573,サイズ別係数!$B:$E,2,FALSE)</f>
        <v>1.2</v>
      </c>
      <c r="Z573" s="97">
        <f ca="1">VLOOKUP($X573,サイズ別係数!$B:$E,3,FALSE)</f>
        <v>1.25</v>
      </c>
      <c r="AA573" s="97">
        <f ca="1">VLOOKUP($X573,サイズ別係数!$B:$E,4,FALSE)</f>
        <v>1.1499999999999999</v>
      </c>
      <c r="AB573" s="10">
        <v>0</v>
      </c>
      <c r="AC573" s="6" t="str">
        <f ca="1">VLOOKUP($AB573,OFFSET([3]enemy_skill_sets!$B$2,0,0,COUNTA([3]enemy_skill_sets!$A:$A),MATCH(AC$1,[3]enemy_skill_sets!$1:$1,0)-MATCH($AB$1,[3]enemy_skill_sets!$1:$1,0)+1),MATCH(AC$1,[3]enemy_skill_sets!$1:$1,0)-MATCH($AB$1,[3]enemy_skill_sets!$1:$1,0)+1,FALSE)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3" s="67">
        <v>1</v>
      </c>
      <c r="AE573" s="67">
        <v>1</v>
      </c>
      <c r="AF573" s="68">
        <v>0</v>
      </c>
      <c r="AG573" s="99">
        <f ca="1">ROUND(VLOOKUP(1,enemy_base_stats!$A:$F,2,FALSE) * Y573* J573*O573*E573*S573*AD573*[2]ステータス!$B$2,0)</f>
        <v>300</v>
      </c>
      <c r="AH573" s="99">
        <f ca="1">ROUND(VLOOKUP(1,enemy_base_stats!$A:$F,3,FALSE) * Z573*K573*P573*F573*T573*AE573 * W573*[2]ステータス!$C$2,0)</f>
        <v>12</v>
      </c>
      <c r="AI573" s="99">
        <f ca="1">ROUND(VLOOKUP(1,enemy_base_stats!$A:$F,4,FALSE) * AA573*L573*Q573*G573*U573*AF573*[2]ステータス!$D$2,0)</f>
        <v>0</v>
      </c>
      <c r="AJ573" s="99">
        <f ca="1">ROUND(VLOOKUP(100,enemy_base_stats!$A:$F,2,FALSE) * Y573* J573*O573*E573*S573*AD573*[2]ステータス!$B$2,0)</f>
        <v>12180</v>
      </c>
      <c r="AK573" s="99">
        <f ca="1">ROUND(VLOOKUP(100,enemy_base_stats!$A:$F,3,FALSE)* Z573* K573*P573*F573*T573*AE573 * W573*[2]ステータス!$C$2,0)</f>
        <v>485</v>
      </c>
      <c r="AL573" s="99">
        <f ca="1">ROUND(VLOOKUP(100,enemy_base_stats!$A:$F,4,FALSE)* AA573* L573*Q573*G573*U573*AF573*[2]ステータス!$D$2,0)</f>
        <v>0</v>
      </c>
      <c r="AM573" s="97">
        <f ca="1">VLOOKUP(M573,[2]character_tribe_i18n!$A:$I,9,FALSE)</f>
        <v>340</v>
      </c>
      <c r="AN573" s="97">
        <v>0</v>
      </c>
      <c r="AO573" s="98">
        <v>0</v>
      </c>
      <c r="AP573" s="58" t="s">
        <v>72</v>
      </c>
      <c r="AQ573" s="34">
        <f t="shared" ca="1" si="31"/>
        <v>572</v>
      </c>
    </row>
    <row r="574" spans="1:43" ht="21" customHeight="1" x14ac:dyDescent="0.15">
      <c r="A574" s="7">
        <f t="shared" ca="1" si="27"/>
        <v>573</v>
      </c>
      <c r="B574" s="6" t="str">
        <f ca="1">VLOOKUP(A574,[2]characters!$A:$C,3,FALSE)</f>
        <v>オーディン</v>
      </c>
      <c r="C574" s="9">
        <f ca="1">VLOOKUP(A574,[2]characters!$A:$I,9,FALSE)</f>
        <v>4</v>
      </c>
      <c r="D574" s="9" t="str">
        <f ca="1">VLOOKUP(A574,[2]characters!$A:$H,8,FALSE)</f>
        <v>blue</v>
      </c>
      <c r="E574" s="97">
        <f ca="1">VLOOKUP(D574,[2]属性!$A:$E,2,FALSE)</f>
        <v>1</v>
      </c>
      <c r="F574" s="97">
        <f ca="1">VLOOKUP(D574,[2]属性!$A:$E,3,FALSE)</f>
        <v>0.98</v>
      </c>
      <c r="G574" s="97">
        <f ca="1">VLOOKUP(D574,[2]属性!$A:$F,4,FALSE)</f>
        <v>1</v>
      </c>
      <c r="H574" s="9" t="str">
        <f ca="1">VLOOKUP(A574,[2]characters!$A:$K,11,FALSE)</f>
        <v>hp</v>
      </c>
      <c r="I574" s="6" t="str">
        <f ca="1">VLOOKUP(H574,[2]character_type_i18n!$A:$F,3,FALSE)</f>
        <v>体力タイプ</v>
      </c>
      <c r="J574" s="97">
        <f ca="1">VLOOKUP(H574,[2]character_type_i18n!$A:$F,4,FALSE)</f>
        <v>1.45</v>
      </c>
      <c r="K574" s="97">
        <f ca="1">VLOOKUP(H574,[2]character_type_i18n!$A:$F,5,FALSE)</f>
        <v>0.85</v>
      </c>
      <c r="L574" s="97">
        <f ca="1">VLOOKUP(H574,[2]character_type_i18n!$A:$F,6,FALSE)</f>
        <v>1</v>
      </c>
      <c r="M574" s="9" t="str">
        <f ca="1">VLOOKUP(A574,[2]characters!$A:$M,13,FALSE)</f>
        <v>machine</v>
      </c>
      <c r="N574" s="6" t="str">
        <f ca="1">VLOOKUP(M574,[2]character_tribe_i18n!$A:$F,3,FALSE)</f>
        <v>マシン</v>
      </c>
      <c r="O574" s="102">
        <v>1</v>
      </c>
      <c r="P574" s="102">
        <v>1</v>
      </c>
      <c r="Q574" s="102">
        <v>1</v>
      </c>
      <c r="R574" s="98" t="s">
        <v>98</v>
      </c>
      <c r="S574" s="97">
        <f>VLOOKUP($R574,ラベル別係数!$A$1:$E$7,3,FALSE)</f>
        <v>5</v>
      </c>
      <c r="T574" s="97">
        <f>VLOOKUP($R574,ラベル別係数!$A$1:$E$7,4,FALSE)</f>
        <v>1.3</v>
      </c>
      <c r="U574" s="97">
        <f>VLOOKUP($R574,ラベル別係数!$A$1:$E$7,5,FALSE)</f>
        <v>0.8</v>
      </c>
      <c r="V574" s="98">
        <v>3</v>
      </c>
      <c r="W574" s="99">
        <f>VLOOKUP(V574,ターン数別攻撃係数!$A$1:$B$1000,2,FALSE)</f>
        <v>1</v>
      </c>
      <c r="X574" s="9">
        <f ca="1">VLOOKUP(C574,サイズ別係数!A$2:B$9,2,FALSE)</f>
        <v>30</v>
      </c>
      <c r="Y574" s="97">
        <f ca="1">VLOOKUP($X574,サイズ別係数!$B:$E,2,FALSE)</f>
        <v>1.3</v>
      </c>
      <c r="Z574" s="97">
        <f ca="1">VLOOKUP($X574,サイズ別係数!$B:$E,3,FALSE)</f>
        <v>1.3</v>
      </c>
      <c r="AA574" s="97">
        <f ca="1">VLOOKUP($X574,サイズ別係数!$B:$E,4,FALSE)</f>
        <v>1.1000000000000001</v>
      </c>
      <c r="AB574" s="10">
        <v>0</v>
      </c>
      <c r="AC574" s="6" t="str">
        <f ca="1">VLOOKUP($AB574,OFFSET([3]enemy_skill_sets!$B$2,0,0,COUNTA([3]enemy_skill_sets!$A:$A),MATCH(AC$1,[3]enemy_skill_sets!$1:$1,0)-MATCH($AB$1,[3]enemy_skill_sets!$1:$1,0)+1),MATCH(AC$1,[3]enemy_skill_sets!$1:$1,0)-MATCH($AB$1,[3]enemy_skill_sets!$1:$1,0)+1,FALSE)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4" s="67">
        <v>1</v>
      </c>
      <c r="AE574" s="67">
        <v>1</v>
      </c>
      <c r="AF574" s="68">
        <v>0</v>
      </c>
      <c r="AG574" s="99">
        <f ca="1">ROUND(VLOOKUP(1,enemy_base_stats!$A:$F,2,FALSE) * Y574* J574*O574*E574*S574*AD574*[2]ステータス!$B$2,0)</f>
        <v>4713</v>
      </c>
      <c r="AH574" s="99">
        <f ca="1">ROUND(VLOOKUP(1,enemy_base_stats!$A:$F,3,FALSE) * Z574*K574*P574*F574*T574*AE574 * W574*[2]ステータス!$C$2,0)</f>
        <v>211</v>
      </c>
      <c r="AI574" s="99">
        <f ca="1">ROUND(VLOOKUP(1,enemy_base_stats!$A:$F,4,FALSE) * AA574*L574*Q574*G574*U574*AF574*[2]ステータス!$D$2,0)</f>
        <v>0</v>
      </c>
      <c r="AJ574" s="99">
        <f ca="1">ROUND(VLOOKUP(100,enemy_base_stats!$A:$F,2,FALSE) * Y574* J574*O574*E574*S574*AD574*[2]ステータス!$B$2,0)</f>
        <v>191328</v>
      </c>
      <c r="AK574" s="99">
        <f ca="1">ROUND(VLOOKUP(100,enemy_base_stats!$A:$F,3,FALSE)* Z574* K574*P574*F574*T574*AE574 * W574*[2]ステータス!$C$2,0)</f>
        <v>8573</v>
      </c>
      <c r="AL574" s="99">
        <f ca="1">ROUND(VLOOKUP(100,enemy_base_stats!$A:$F,4,FALSE)* AA574* L574*Q574*G574*U574*AF574*[2]ステータス!$D$2,0)</f>
        <v>0</v>
      </c>
      <c r="AM574" s="97">
        <f ca="1">VLOOKUP(M574,[2]character_tribe_i18n!$A:$I,9,FALSE)</f>
        <v>520</v>
      </c>
      <c r="AN574" s="97">
        <v>0</v>
      </c>
      <c r="AO574" s="98">
        <v>0</v>
      </c>
      <c r="AP574" s="58" t="s">
        <v>72</v>
      </c>
      <c r="AQ574" s="34">
        <f t="shared" ref="AQ574:AQ581" ca="1" si="32">A574</f>
        <v>573</v>
      </c>
    </row>
    <row r="575" spans="1:43" ht="21" customHeight="1" x14ac:dyDescent="0.15">
      <c r="A575" s="7">
        <f t="shared" ca="1" si="27"/>
        <v>574</v>
      </c>
      <c r="B575" s="6" t="str">
        <f ca="1">VLOOKUP(A575,[2]characters!$A:$C,3,FALSE)</f>
        <v>世慧の守神 オーディン</v>
      </c>
      <c r="C575" s="9">
        <f ca="1">VLOOKUP(A575,[2]characters!$A:$I,9,FALSE)</f>
        <v>5</v>
      </c>
      <c r="D575" s="9" t="str">
        <f ca="1">VLOOKUP(A575,[2]characters!$A:$H,8,FALSE)</f>
        <v>blue</v>
      </c>
      <c r="E575" s="97">
        <f ca="1">VLOOKUP(D575,[2]属性!$A:$E,2,FALSE)</f>
        <v>1</v>
      </c>
      <c r="F575" s="97">
        <f ca="1">VLOOKUP(D575,[2]属性!$A:$E,3,FALSE)</f>
        <v>0.98</v>
      </c>
      <c r="G575" s="97">
        <f ca="1">VLOOKUP(D575,[2]属性!$A:$F,4,FALSE)</f>
        <v>1</v>
      </c>
      <c r="H575" s="9" t="str">
        <f ca="1">VLOOKUP(A575,[2]characters!$A:$K,11,FALSE)</f>
        <v>hp</v>
      </c>
      <c r="I575" s="6" t="str">
        <f ca="1">VLOOKUP(H575,[2]character_type_i18n!$A:$F,3,FALSE)</f>
        <v>体力タイプ</v>
      </c>
      <c r="J575" s="97">
        <f ca="1">VLOOKUP(H575,[2]character_type_i18n!$A:$F,4,FALSE)</f>
        <v>1.45</v>
      </c>
      <c r="K575" s="97">
        <f ca="1">VLOOKUP(H575,[2]character_type_i18n!$A:$F,5,FALSE)</f>
        <v>0.85</v>
      </c>
      <c r="L575" s="97">
        <f ca="1">VLOOKUP(H575,[2]character_type_i18n!$A:$F,6,FALSE)</f>
        <v>1</v>
      </c>
      <c r="M575" s="9" t="str">
        <f ca="1">VLOOKUP(A575,[2]characters!$A:$M,13,FALSE)</f>
        <v>machine</v>
      </c>
      <c r="N575" s="6" t="str">
        <f ca="1">VLOOKUP(M575,[2]character_tribe_i18n!$A:$F,3,FALSE)</f>
        <v>マシン</v>
      </c>
      <c r="O575" s="102">
        <v>1</v>
      </c>
      <c r="P575" s="102">
        <v>1</v>
      </c>
      <c r="Q575" s="102">
        <v>1</v>
      </c>
      <c r="R575" s="98" t="s">
        <v>98</v>
      </c>
      <c r="S575" s="97">
        <f>VLOOKUP($R575,ラベル別係数!$A$1:$E$7,3,FALSE)</f>
        <v>5</v>
      </c>
      <c r="T575" s="97">
        <f>VLOOKUP($R575,ラベル別係数!$A$1:$E$7,4,FALSE)</f>
        <v>1.3</v>
      </c>
      <c r="U575" s="97">
        <f>VLOOKUP($R575,ラベル別係数!$A$1:$E$7,5,FALSE)</f>
        <v>0.8</v>
      </c>
      <c r="V575" s="98">
        <v>3</v>
      </c>
      <c r="W575" s="99">
        <f>VLOOKUP(V575,ターン数別攻撃係数!$A$1:$B$1000,2,FALSE)</f>
        <v>1</v>
      </c>
      <c r="X575" s="9">
        <f ca="1">VLOOKUP(C575,サイズ別係数!A$2:B$9,2,FALSE)</f>
        <v>60</v>
      </c>
      <c r="Y575" s="97">
        <f ca="1">VLOOKUP($X575,サイズ別係数!$B:$E,2,FALSE)</f>
        <v>1.7</v>
      </c>
      <c r="Z575" s="97">
        <f ca="1">VLOOKUP($X575,サイズ別係数!$B:$E,3,FALSE)</f>
        <v>1.4</v>
      </c>
      <c r="AA575" s="97">
        <f ca="1">VLOOKUP($X575,サイズ別係数!$B:$E,4,FALSE)</f>
        <v>1</v>
      </c>
      <c r="AB575" s="10">
        <v>0</v>
      </c>
      <c r="AC575" s="6" t="str">
        <f ca="1">VLOOKUP($AB575,OFFSET([3]enemy_skill_sets!$B$2,0,0,COUNTA([3]enemy_skill_sets!$A:$A),MATCH(AC$1,[3]enemy_skill_sets!$1:$1,0)-MATCH($AB$1,[3]enemy_skill_sets!$1:$1,0)+1),MATCH(AC$1,[3]enemy_skill_sets!$1:$1,0)-MATCH($AB$1,[3]enemy_skill_sets!$1:$1,0)+1,FALSE)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5" s="67">
        <v>1</v>
      </c>
      <c r="AE575" s="67">
        <v>1</v>
      </c>
      <c r="AF575" s="68">
        <v>0</v>
      </c>
      <c r="AG575" s="99">
        <f ca="1">ROUND(VLOOKUP(1,enemy_base_stats!$A:$F,2,FALSE) * Y575* J575*O575*E575*S575*AD575*[2]ステータス!$B$2,0)</f>
        <v>6163</v>
      </c>
      <c r="AH575" s="99">
        <f ca="1">ROUND(VLOOKUP(1,enemy_base_stats!$A:$F,3,FALSE) * Z575*K575*P575*F575*T575*AE575 * W575*[2]ステータス!$C$2,0)</f>
        <v>227</v>
      </c>
      <c r="AI575" s="99">
        <f ca="1">ROUND(VLOOKUP(1,enemy_base_stats!$A:$F,4,FALSE) * AA575*L575*Q575*G575*U575*AF575*[2]ステータス!$D$2,0)</f>
        <v>0</v>
      </c>
      <c r="AJ575" s="99">
        <f ca="1">ROUND(VLOOKUP(100,enemy_base_stats!$A:$F,2,FALSE) * Y575* J575*O575*E575*S575*AD575*[2]ステータス!$B$2,0)</f>
        <v>250198</v>
      </c>
      <c r="AK575" s="99">
        <f ca="1">ROUND(VLOOKUP(100,enemy_base_stats!$A:$F,3,FALSE)* Z575* K575*P575*F575*T575*AE575 * W575*[2]ステータス!$C$2,0)</f>
        <v>9233</v>
      </c>
      <c r="AL575" s="99">
        <f ca="1">ROUND(VLOOKUP(100,enemy_base_stats!$A:$F,4,FALSE)* AA575* L575*Q575*G575*U575*AF575*[2]ステータス!$D$2,0)</f>
        <v>0</v>
      </c>
      <c r="AM575" s="97">
        <f ca="1">VLOOKUP(M575,[2]character_tribe_i18n!$A:$I,9,FALSE)</f>
        <v>520</v>
      </c>
      <c r="AN575" s="97">
        <v>0</v>
      </c>
      <c r="AO575" s="98">
        <v>0</v>
      </c>
      <c r="AP575" s="58" t="s">
        <v>72</v>
      </c>
      <c r="AQ575" s="34">
        <f t="shared" ca="1" si="32"/>
        <v>574</v>
      </c>
    </row>
    <row r="576" spans="1:43" ht="21" customHeight="1" x14ac:dyDescent="0.15">
      <c r="A576" s="7">
        <f t="shared" ca="1" si="27"/>
        <v>575</v>
      </c>
      <c r="B576" s="6" t="str">
        <f ca="1">VLOOKUP(A576,[2]characters!$A:$C,3,FALSE)</f>
        <v>フレイ</v>
      </c>
      <c r="C576" s="9">
        <f ca="1">VLOOKUP(A576,[2]characters!$A:$I,9,FALSE)</f>
        <v>4</v>
      </c>
      <c r="D576" s="9" t="str">
        <f ca="1">VLOOKUP(A576,[2]characters!$A:$H,8,FALSE)</f>
        <v>red</v>
      </c>
      <c r="E576" s="97">
        <f ca="1">VLOOKUP(D576,[2]属性!$A:$E,2,FALSE)</f>
        <v>1</v>
      </c>
      <c r="F576" s="97">
        <f ca="1">VLOOKUP(D576,[2]属性!$A:$E,3,FALSE)</f>
        <v>1.02</v>
      </c>
      <c r="G576" s="97">
        <f ca="1">VLOOKUP(D576,[2]属性!$A:$F,4,FALSE)</f>
        <v>1</v>
      </c>
      <c r="H576" s="9" t="str">
        <f ca="1">VLOOKUP(A576,[2]characters!$A:$K,11,FALSE)</f>
        <v>attack</v>
      </c>
      <c r="I576" s="6" t="str">
        <f ca="1">VLOOKUP(H576,[2]character_type_i18n!$A:$F,3,FALSE)</f>
        <v>攻撃タイプ</v>
      </c>
      <c r="J576" s="97">
        <f ca="1">VLOOKUP(H576,[2]character_type_i18n!$A:$F,4,FALSE)</f>
        <v>1</v>
      </c>
      <c r="K576" s="97">
        <f ca="1">VLOOKUP(H576,[2]character_type_i18n!$A:$F,5,FALSE)</f>
        <v>1.33</v>
      </c>
      <c r="L576" s="97">
        <f ca="1">VLOOKUP(H576,[2]character_type_i18n!$A:$F,6,FALSE)</f>
        <v>1</v>
      </c>
      <c r="M576" s="9" t="str">
        <f ca="1">VLOOKUP(A576,[2]characters!$A:$M,13,FALSE)</f>
        <v>animal</v>
      </c>
      <c r="N576" s="6" t="str">
        <f ca="1">VLOOKUP(M576,[2]character_tribe_i18n!$A:$F,3,FALSE)</f>
        <v>アニマル</v>
      </c>
      <c r="O576" s="97">
        <f ca="1">VLOOKUP(M576,[2]character_tribe_i18n!$A:$F,4,FALSE)</f>
        <v>1</v>
      </c>
      <c r="P576" s="97">
        <f ca="1">VLOOKUP(M576,[2]character_tribe_i18n!$A:$F,5,FALSE)</f>
        <v>1.1000000000000001</v>
      </c>
      <c r="Q576" s="97">
        <f ca="1">VLOOKUP(M576,[2]character_tribe_i18n!$A:$F,6,FALSE)</f>
        <v>1</v>
      </c>
      <c r="R576" s="98" t="s">
        <v>98</v>
      </c>
      <c r="S576" s="97">
        <f>VLOOKUP($R576,ラベル別係数!$A$1:$E$7,3,FALSE)</f>
        <v>5</v>
      </c>
      <c r="T576" s="97">
        <f>VLOOKUP($R576,ラベル別係数!$A$1:$E$7,4,FALSE)</f>
        <v>1.3</v>
      </c>
      <c r="U576" s="97">
        <f>VLOOKUP($R576,ラベル別係数!$A$1:$E$7,5,FALSE)</f>
        <v>0.8</v>
      </c>
      <c r="V576" s="98">
        <v>3</v>
      </c>
      <c r="W576" s="99">
        <f>VLOOKUP(V576,ターン数別攻撃係数!$A$1:$B$1000,2,FALSE)</f>
        <v>1</v>
      </c>
      <c r="X576" s="9">
        <f ca="1">VLOOKUP(C576,サイズ別係数!A$2:B$9,2,FALSE)</f>
        <v>30</v>
      </c>
      <c r="Y576" s="97">
        <f ca="1">VLOOKUP($X576,サイズ別係数!$B:$E,2,FALSE)</f>
        <v>1.3</v>
      </c>
      <c r="Z576" s="97">
        <f ca="1">VLOOKUP($X576,サイズ別係数!$B:$E,3,FALSE)</f>
        <v>1.3</v>
      </c>
      <c r="AA576" s="97">
        <f ca="1">VLOOKUP($X576,サイズ別係数!$B:$E,4,FALSE)</f>
        <v>1.1000000000000001</v>
      </c>
      <c r="AB576" s="10">
        <v>0</v>
      </c>
      <c r="AC576" s="6" t="str">
        <f ca="1">VLOOKUP($AB576,OFFSET([3]enemy_skill_sets!$B$2,0,0,COUNTA([3]enemy_skill_sets!$A:$A),MATCH(AC$1,[3]enemy_skill_sets!$1:$1,0)-MATCH($AB$1,[3]enemy_skill_sets!$1:$1,0)+1),MATCH(AC$1,[3]enemy_skill_sets!$1:$1,0)-MATCH($AB$1,[3]enemy_skill_sets!$1:$1,0)+1,FALSE)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6" s="67">
        <v>1</v>
      </c>
      <c r="AE576" s="67">
        <v>1</v>
      </c>
      <c r="AF576" s="68">
        <v>0</v>
      </c>
      <c r="AG576" s="99">
        <f ca="1">ROUND(VLOOKUP(1,enemy_base_stats!$A:$F,2,FALSE) * Y576* J576*O576*E576*S576*AD576*[2]ステータス!$B$2,0)</f>
        <v>3250</v>
      </c>
      <c r="AH576" s="99">
        <f ca="1">ROUND(VLOOKUP(1,enemy_base_stats!$A:$F,3,FALSE) * Z576*K576*P576*F576*T576*AE576 * W576*[2]ステータス!$C$2,0)</f>
        <v>378</v>
      </c>
      <c r="AI576" s="99">
        <f ca="1">ROUND(VLOOKUP(1,enemy_base_stats!$A:$F,4,FALSE) * AA576*L576*Q576*G576*U576*AF576*[2]ステータス!$D$2,0)</f>
        <v>0</v>
      </c>
      <c r="AJ576" s="99">
        <f ca="1">ROUND(VLOOKUP(100,enemy_base_stats!$A:$F,2,FALSE) * Y576* J576*O576*E576*S576*AD576*[2]ステータス!$B$2,0)</f>
        <v>131950</v>
      </c>
      <c r="AK576" s="99">
        <f ca="1">ROUND(VLOOKUP(100,enemy_base_stats!$A:$F,3,FALSE)* Z576* K576*P576*F576*T576*AE576 * W576*[2]ステータス!$C$2,0)</f>
        <v>15358</v>
      </c>
      <c r="AL576" s="99">
        <f ca="1">ROUND(VLOOKUP(100,enemy_base_stats!$A:$F,4,FALSE)* AA576* L576*Q576*G576*U576*AF576*[2]ステータス!$D$2,0)</f>
        <v>0</v>
      </c>
      <c r="AM576" s="97">
        <f ca="1">VLOOKUP(M576,[2]character_tribe_i18n!$A:$I,9,FALSE)</f>
        <v>480</v>
      </c>
      <c r="AN576" s="97">
        <v>0</v>
      </c>
      <c r="AO576" s="98">
        <v>0</v>
      </c>
      <c r="AP576" s="58" t="s">
        <v>72</v>
      </c>
      <c r="AQ576" s="34">
        <f t="shared" ca="1" si="32"/>
        <v>575</v>
      </c>
    </row>
    <row r="577" spans="1:43" ht="21" customHeight="1" x14ac:dyDescent="0.15">
      <c r="A577" s="7">
        <f t="shared" ca="1" si="27"/>
        <v>576</v>
      </c>
      <c r="B577" s="6" t="str">
        <f ca="1">VLOOKUP(A577,[2]characters!$A:$C,3,FALSE)</f>
        <v>統勝の豊穣王神 フレイ</v>
      </c>
      <c r="C577" s="9">
        <f ca="1">VLOOKUP(A577,[2]characters!$A:$I,9,FALSE)</f>
        <v>5</v>
      </c>
      <c r="D577" s="9" t="str">
        <f ca="1">VLOOKUP(A577,[2]characters!$A:$H,8,FALSE)</f>
        <v>red</v>
      </c>
      <c r="E577" s="97">
        <f ca="1">VLOOKUP(D577,[2]属性!$A:$E,2,FALSE)</f>
        <v>1</v>
      </c>
      <c r="F577" s="97">
        <f ca="1">VLOOKUP(D577,[2]属性!$A:$E,3,FALSE)</f>
        <v>1.02</v>
      </c>
      <c r="G577" s="97">
        <f ca="1">VLOOKUP(D577,[2]属性!$A:$F,4,FALSE)</f>
        <v>1</v>
      </c>
      <c r="H577" s="9" t="str">
        <f ca="1">VLOOKUP(A577,[2]characters!$A:$K,11,FALSE)</f>
        <v>attack</v>
      </c>
      <c r="I577" s="6" t="str">
        <f ca="1">VLOOKUP(H577,[2]character_type_i18n!$A:$F,3,FALSE)</f>
        <v>攻撃タイプ</v>
      </c>
      <c r="J577" s="97">
        <f ca="1">VLOOKUP(H577,[2]character_type_i18n!$A:$F,4,FALSE)</f>
        <v>1</v>
      </c>
      <c r="K577" s="97">
        <f ca="1">VLOOKUP(H577,[2]character_type_i18n!$A:$F,5,FALSE)</f>
        <v>1.33</v>
      </c>
      <c r="L577" s="97">
        <f ca="1">VLOOKUP(H577,[2]character_type_i18n!$A:$F,6,FALSE)</f>
        <v>1</v>
      </c>
      <c r="M577" s="9" t="str">
        <f ca="1">VLOOKUP(A577,[2]characters!$A:$M,13,FALSE)</f>
        <v>animal</v>
      </c>
      <c r="N577" s="6" t="str">
        <f ca="1">VLOOKUP(M577,[2]character_tribe_i18n!$A:$F,3,FALSE)</f>
        <v>アニマル</v>
      </c>
      <c r="O577" s="97">
        <f ca="1">VLOOKUP(M577,[2]character_tribe_i18n!$A:$F,4,FALSE)</f>
        <v>1</v>
      </c>
      <c r="P577" s="97">
        <f ca="1">VLOOKUP(M577,[2]character_tribe_i18n!$A:$F,5,FALSE)</f>
        <v>1.1000000000000001</v>
      </c>
      <c r="Q577" s="97">
        <f ca="1">VLOOKUP(M577,[2]character_tribe_i18n!$A:$F,6,FALSE)</f>
        <v>1</v>
      </c>
      <c r="R577" s="98" t="s">
        <v>98</v>
      </c>
      <c r="S577" s="97">
        <f>VLOOKUP($R577,ラベル別係数!$A$1:$E$7,3,FALSE)</f>
        <v>5</v>
      </c>
      <c r="T577" s="97">
        <f>VLOOKUP($R577,ラベル別係数!$A$1:$E$7,4,FALSE)</f>
        <v>1.3</v>
      </c>
      <c r="U577" s="97">
        <f>VLOOKUP($R577,ラベル別係数!$A$1:$E$7,5,FALSE)</f>
        <v>0.8</v>
      </c>
      <c r="V577" s="98">
        <v>3</v>
      </c>
      <c r="W577" s="99">
        <f>VLOOKUP(V577,ターン数別攻撃係数!$A$1:$B$1000,2,FALSE)</f>
        <v>1</v>
      </c>
      <c r="X577" s="9">
        <f ca="1">VLOOKUP(C577,サイズ別係数!A$2:B$9,2,FALSE)</f>
        <v>60</v>
      </c>
      <c r="Y577" s="97">
        <f ca="1">VLOOKUP($X577,サイズ別係数!$B:$E,2,FALSE)</f>
        <v>1.7</v>
      </c>
      <c r="Z577" s="97">
        <f ca="1">VLOOKUP($X577,サイズ別係数!$B:$E,3,FALSE)</f>
        <v>1.4</v>
      </c>
      <c r="AA577" s="97">
        <f ca="1">VLOOKUP($X577,サイズ別係数!$B:$E,4,FALSE)</f>
        <v>1</v>
      </c>
      <c r="AB577" s="10">
        <v>0</v>
      </c>
      <c r="AC577" s="6" t="str">
        <f ca="1">VLOOKUP($AB577,OFFSET([3]enemy_skill_sets!$B$2,0,0,COUNTA([3]enemy_skill_sets!$A:$A),MATCH(AC$1,[3]enemy_skill_sets!$1:$1,0)-MATCH($AB$1,[3]enemy_skill_sets!$1:$1,0)+1),MATCH(AC$1,[3]enemy_skill_sets!$1:$1,0)-MATCH($AB$1,[3]enemy_skill_sets!$1:$1,0)+1,FALSE)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7" s="67">
        <v>1</v>
      </c>
      <c r="AE577" s="67">
        <v>1</v>
      </c>
      <c r="AF577" s="68">
        <v>0</v>
      </c>
      <c r="AG577" s="99">
        <f ca="1">ROUND(VLOOKUP(1,enemy_base_stats!$A:$F,2,FALSE) * Y577* J577*O577*E577*S577*AD577*[2]ステータス!$B$2,0)</f>
        <v>4250</v>
      </c>
      <c r="AH577" s="99">
        <f ca="1">ROUND(VLOOKUP(1,enemy_base_stats!$A:$F,3,FALSE) * Z577*K577*P577*F577*T577*AE577 * W577*[2]ステータス!$C$2,0)</f>
        <v>407</v>
      </c>
      <c r="AI577" s="99">
        <f ca="1">ROUND(VLOOKUP(1,enemy_base_stats!$A:$F,4,FALSE) * AA577*L577*Q577*G577*U577*AF577*[2]ステータス!$D$2,0)</f>
        <v>0</v>
      </c>
      <c r="AJ577" s="99">
        <f ca="1">ROUND(VLOOKUP(100,enemy_base_stats!$A:$F,2,FALSE) * Y577* J577*O577*E577*S577*AD577*[2]ステータス!$B$2,0)</f>
        <v>172550</v>
      </c>
      <c r="AK577" s="99">
        <f ca="1">ROUND(VLOOKUP(100,enemy_base_stats!$A:$F,3,FALSE)* Z577* K577*P577*F577*T577*AE577 * W577*[2]ステータス!$C$2,0)</f>
        <v>16540</v>
      </c>
      <c r="AL577" s="99">
        <f ca="1">ROUND(VLOOKUP(100,enemy_base_stats!$A:$F,4,FALSE)* AA577* L577*Q577*G577*U577*AF577*[2]ステータス!$D$2,0)</f>
        <v>0</v>
      </c>
      <c r="AM577" s="97">
        <f ca="1">VLOOKUP(M577,[2]character_tribe_i18n!$A:$I,9,FALSE)</f>
        <v>480</v>
      </c>
      <c r="AN577" s="97">
        <v>0</v>
      </c>
      <c r="AO577" s="98">
        <v>0</v>
      </c>
      <c r="AP577" s="58" t="s">
        <v>72</v>
      </c>
      <c r="AQ577" s="34">
        <f t="shared" ca="1" si="32"/>
        <v>576</v>
      </c>
    </row>
    <row r="578" spans="1:43" ht="21" customHeight="1" x14ac:dyDescent="0.15">
      <c r="A578" s="7">
        <f t="shared" ca="1" si="27"/>
        <v>577</v>
      </c>
      <c r="B578" s="6" t="str">
        <f ca="1">VLOOKUP(A578,[2]characters!$A:$C,3,FALSE)</f>
        <v>ビュグヴィルとベイラ</v>
      </c>
      <c r="C578" s="9">
        <f ca="1">VLOOKUP(A578,[2]characters!$A:$I,9,FALSE)</f>
        <v>4</v>
      </c>
      <c r="D578" s="9" t="str">
        <f ca="1">VLOOKUP(A578,[2]characters!$A:$H,8,FALSE)</f>
        <v>red</v>
      </c>
      <c r="E578" s="97">
        <f ca="1">VLOOKUP(D578,[2]属性!$A:$E,2,FALSE)</f>
        <v>1</v>
      </c>
      <c r="F578" s="97">
        <f ca="1">VLOOKUP(D578,[2]属性!$A:$E,3,FALSE)</f>
        <v>1.02</v>
      </c>
      <c r="G578" s="97">
        <f ca="1">VLOOKUP(D578,[2]属性!$A:$F,4,FALSE)</f>
        <v>1</v>
      </c>
      <c r="H578" s="9" t="str">
        <f ca="1">VLOOKUP(A578,[2]characters!$A:$K,11,FALSE)</f>
        <v>heal</v>
      </c>
      <c r="I578" s="6" t="str">
        <f ca="1">VLOOKUP(H578,[2]character_type_i18n!$A:$F,3,FALSE)</f>
        <v>回復タイプ</v>
      </c>
      <c r="J578" s="97">
        <v>1</v>
      </c>
      <c r="K578" s="97">
        <v>1</v>
      </c>
      <c r="L578" s="97">
        <v>1</v>
      </c>
      <c r="M578" s="9" t="str">
        <f ca="1">VLOOKUP(A578,[2]characters!$A:$M,13,FALSE)</f>
        <v>unknown</v>
      </c>
      <c r="N578" s="6" t="str">
        <f ca="1">VLOOKUP(M578,[2]character_tribe_i18n!$A:$F,3,FALSE)</f>
        <v>Unknown</v>
      </c>
      <c r="O578" s="97">
        <f ca="1">VLOOKUP(M578,[2]character_tribe_i18n!$A:$F,4,FALSE)</f>
        <v>1</v>
      </c>
      <c r="P578" s="97">
        <f ca="1">VLOOKUP(M578,[2]character_tribe_i18n!$A:$F,5,FALSE)</f>
        <v>1</v>
      </c>
      <c r="Q578" s="97">
        <f ca="1">VLOOKUP(M578,[2]character_tribe_i18n!$A:$F,6,FALSE)</f>
        <v>1</v>
      </c>
      <c r="R578" s="98" t="s">
        <v>98</v>
      </c>
      <c r="S578" s="97">
        <f>VLOOKUP($R578,ラベル別係数!$A$1:$E$7,3,FALSE)</f>
        <v>5</v>
      </c>
      <c r="T578" s="97">
        <f>VLOOKUP($R578,ラベル別係数!$A$1:$E$7,4,FALSE)</f>
        <v>1.3</v>
      </c>
      <c r="U578" s="97">
        <f>VLOOKUP($R578,ラベル別係数!$A$1:$E$7,5,FALSE)</f>
        <v>0.8</v>
      </c>
      <c r="V578" s="98">
        <v>3</v>
      </c>
      <c r="W578" s="99">
        <f>VLOOKUP(V578,ターン数別攻撃係数!$A$1:$B$1000,2,FALSE)</f>
        <v>1</v>
      </c>
      <c r="X578" s="9">
        <f ca="1">VLOOKUP(C578,サイズ別係数!A$2:B$9,2,FALSE)</f>
        <v>30</v>
      </c>
      <c r="Y578" s="97">
        <f ca="1">VLOOKUP($X578,サイズ別係数!$B:$E,2,FALSE)</f>
        <v>1.3</v>
      </c>
      <c r="Z578" s="97">
        <f ca="1">VLOOKUP($X578,サイズ別係数!$B:$E,3,FALSE)</f>
        <v>1.3</v>
      </c>
      <c r="AA578" s="97">
        <f ca="1">VLOOKUP($X578,サイズ別係数!$B:$E,4,FALSE)</f>
        <v>1.1000000000000001</v>
      </c>
      <c r="AB578" s="10">
        <v>0</v>
      </c>
      <c r="AC578" s="6" t="str">
        <f ca="1">VLOOKUP($AB578,OFFSET([3]enemy_skill_sets!$B$2,0,0,COUNTA([3]enemy_skill_sets!$A:$A),MATCH(AC$1,[3]enemy_skill_sets!$1:$1,0)-MATCH($AB$1,[3]enemy_skill_sets!$1:$1,0)+1),MATCH(AC$1,[3]enemy_skill_sets!$1:$1,0)-MATCH($AB$1,[3]enemy_skill_sets!$1:$1,0)+1,FALSE)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8" s="67">
        <v>1</v>
      </c>
      <c r="AE578" s="67">
        <v>1</v>
      </c>
      <c r="AF578" s="68">
        <v>0</v>
      </c>
      <c r="AG578" s="99">
        <f ca="1">ROUND(VLOOKUP(1,enemy_base_stats!$A:$F,2,FALSE) * Y578* J578*O578*E578*S578*AD578*[2]ステータス!$B$2,0)</f>
        <v>3250</v>
      </c>
      <c r="AH578" s="99">
        <f ca="1">ROUND(VLOOKUP(1,enemy_base_stats!$A:$F,3,FALSE) * Z578*K578*P578*F578*T578*AE578 * W578*[2]ステータス!$C$2,0)</f>
        <v>259</v>
      </c>
      <c r="AI578" s="99">
        <f ca="1">ROUND(VLOOKUP(1,enemy_base_stats!$A:$F,4,FALSE) * AA578*L578*Q578*G578*U578*AF578*[2]ステータス!$D$2,0)</f>
        <v>0</v>
      </c>
      <c r="AJ578" s="99">
        <f ca="1">ROUND(VLOOKUP(100,enemy_base_stats!$A:$F,2,FALSE) * Y578* J578*O578*E578*S578*AD578*[2]ステータス!$B$2,0)</f>
        <v>131950</v>
      </c>
      <c r="AK578" s="99">
        <f ca="1">ROUND(VLOOKUP(100,enemy_base_stats!$A:$F,3,FALSE)* Z578* K578*P578*F578*T578*AE578 * W578*[2]ステータス!$C$2,0)</f>
        <v>10498</v>
      </c>
      <c r="AL578" s="99">
        <f ca="1">ROUND(VLOOKUP(100,enemy_base_stats!$A:$F,4,FALSE)* AA578* L578*Q578*G578*U578*AF578*[2]ステータス!$D$2,0)</f>
        <v>0</v>
      </c>
      <c r="AM578" s="97">
        <f ca="1">VLOOKUP(M578,[2]character_tribe_i18n!$A:$I,9,FALSE)</f>
        <v>340</v>
      </c>
      <c r="AN578" s="97">
        <v>0</v>
      </c>
      <c r="AO578" s="98">
        <v>0</v>
      </c>
      <c r="AP578" s="58" t="s">
        <v>72</v>
      </c>
      <c r="AQ578" s="34">
        <f t="shared" ca="1" si="32"/>
        <v>577</v>
      </c>
    </row>
    <row r="579" spans="1:43" ht="21" customHeight="1" x14ac:dyDescent="0.15">
      <c r="A579" s="7">
        <f t="shared" ref="A579:A642" ca="1" si="33">INDIRECT(ADDRESS(ROW(),COLUMN(),1,TRUE,"[CharacterMasterData.xlsm]characters"))</f>
        <v>578</v>
      </c>
      <c r="B579" s="6" t="str">
        <f ca="1">VLOOKUP(A579,[2]characters!$A:$C,3,FALSE)</f>
        <v>穣神従事 ビュグヴィルとベイラ</v>
      </c>
      <c r="C579" s="9">
        <f ca="1">VLOOKUP(A579,[2]characters!$A:$I,9,FALSE)</f>
        <v>5</v>
      </c>
      <c r="D579" s="9" t="str">
        <f ca="1">VLOOKUP(A579,[2]characters!$A:$H,8,FALSE)</f>
        <v>red</v>
      </c>
      <c r="E579" s="97">
        <f ca="1">VLOOKUP(D579,[2]属性!$A:$E,2,FALSE)</f>
        <v>1</v>
      </c>
      <c r="F579" s="97">
        <f ca="1">VLOOKUP(D579,[2]属性!$A:$E,3,FALSE)</f>
        <v>1.02</v>
      </c>
      <c r="G579" s="97">
        <f ca="1">VLOOKUP(D579,[2]属性!$A:$F,4,FALSE)</f>
        <v>1</v>
      </c>
      <c r="H579" s="9" t="str">
        <f ca="1">VLOOKUP(A579,[2]characters!$A:$K,11,FALSE)</f>
        <v>heal</v>
      </c>
      <c r="I579" s="6" t="str">
        <f ca="1">VLOOKUP(H579,[2]character_type_i18n!$A:$F,3,FALSE)</f>
        <v>回復タイプ</v>
      </c>
      <c r="J579" s="97">
        <v>1</v>
      </c>
      <c r="K579" s="97">
        <v>1</v>
      </c>
      <c r="L579" s="97">
        <v>1</v>
      </c>
      <c r="M579" s="9" t="str">
        <f ca="1">VLOOKUP(A579,[2]characters!$A:$M,13,FALSE)</f>
        <v>unknown</v>
      </c>
      <c r="N579" s="6" t="str">
        <f ca="1">VLOOKUP(M579,[2]character_tribe_i18n!$A:$F,3,FALSE)</f>
        <v>Unknown</v>
      </c>
      <c r="O579" s="97">
        <f ca="1">VLOOKUP(M579,[2]character_tribe_i18n!$A:$F,4,FALSE)</f>
        <v>1</v>
      </c>
      <c r="P579" s="97">
        <f ca="1">VLOOKUP(M579,[2]character_tribe_i18n!$A:$F,5,FALSE)</f>
        <v>1</v>
      </c>
      <c r="Q579" s="97">
        <f ca="1">VLOOKUP(M579,[2]character_tribe_i18n!$A:$F,6,FALSE)</f>
        <v>1</v>
      </c>
      <c r="R579" s="98" t="s">
        <v>98</v>
      </c>
      <c r="S579" s="97">
        <f>VLOOKUP($R579,ラベル別係数!$A$1:$E$7,3,FALSE)</f>
        <v>5</v>
      </c>
      <c r="T579" s="97">
        <f>VLOOKUP($R579,ラベル別係数!$A$1:$E$7,4,FALSE)</f>
        <v>1.3</v>
      </c>
      <c r="U579" s="97">
        <f>VLOOKUP($R579,ラベル別係数!$A$1:$E$7,5,FALSE)</f>
        <v>0.8</v>
      </c>
      <c r="V579" s="98">
        <v>3</v>
      </c>
      <c r="W579" s="99">
        <f>VLOOKUP(V579,ターン数別攻撃係数!$A$1:$B$1000,2,FALSE)</f>
        <v>1</v>
      </c>
      <c r="X579" s="9">
        <f ca="1">VLOOKUP(C579,サイズ別係数!A$2:B$9,2,FALSE)</f>
        <v>60</v>
      </c>
      <c r="Y579" s="97">
        <f ca="1">VLOOKUP($X579,サイズ別係数!$B:$E,2,FALSE)</f>
        <v>1.7</v>
      </c>
      <c r="Z579" s="97">
        <f ca="1">VLOOKUP($X579,サイズ別係数!$B:$E,3,FALSE)</f>
        <v>1.4</v>
      </c>
      <c r="AA579" s="97">
        <f ca="1">VLOOKUP($X579,サイズ別係数!$B:$E,4,FALSE)</f>
        <v>1</v>
      </c>
      <c r="AB579" s="10">
        <v>0</v>
      </c>
      <c r="AC579" s="6" t="str">
        <f ca="1">VLOOKUP($AB579,OFFSET([3]enemy_skill_sets!$B$2,0,0,COUNTA([3]enemy_skill_sets!$A:$A),MATCH(AC$1,[3]enemy_skill_sets!$1:$1,0)-MATCH($AB$1,[3]enemy_skill_sets!$1:$1,0)+1),MATCH(AC$1,[3]enemy_skill_sets!$1:$1,0)-MATCH($AB$1,[3]enemy_skill_sets!$1:$1,0)+1,FALSE)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79" s="67">
        <v>1</v>
      </c>
      <c r="AE579" s="67">
        <v>1</v>
      </c>
      <c r="AF579" s="68">
        <v>0</v>
      </c>
      <c r="AG579" s="99">
        <f ca="1">ROUND(VLOOKUP(1,enemy_base_stats!$A:$F,2,FALSE) * Y579* J579*O579*E579*S579*AD579*[2]ステータス!$B$2,0)</f>
        <v>4250</v>
      </c>
      <c r="AH579" s="99">
        <f ca="1">ROUND(VLOOKUP(1,enemy_base_stats!$A:$F,3,FALSE) * Z579*K579*P579*F579*T579*AE579 * W579*[2]ステータス!$C$2,0)</f>
        <v>278</v>
      </c>
      <c r="AI579" s="99">
        <f ca="1">ROUND(VLOOKUP(1,enemy_base_stats!$A:$F,4,FALSE) * AA579*L579*Q579*G579*U579*AF579*[2]ステータス!$D$2,0)</f>
        <v>0</v>
      </c>
      <c r="AJ579" s="99">
        <f ca="1">ROUND(VLOOKUP(100,enemy_base_stats!$A:$F,2,FALSE) * Y579* J579*O579*E579*S579*AD579*[2]ステータス!$B$2,0)</f>
        <v>172550</v>
      </c>
      <c r="AK579" s="99">
        <f ca="1">ROUND(VLOOKUP(100,enemy_base_stats!$A:$F,3,FALSE)* Z579* K579*P579*F579*T579*AE579 * W579*[2]ステータス!$C$2,0)</f>
        <v>11305</v>
      </c>
      <c r="AL579" s="99">
        <f ca="1">ROUND(VLOOKUP(100,enemy_base_stats!$A:$F,4,FALSE)* AA579* L579*Q579*G579*U579*AF579*[2]ステータス!$D$2,0)</f>
        <v>0</v>
      </c>
      <c r="AM579" s="97">
        <f ca="1">VLOOKUP(M579,[2]character_tribe_i18n!$A:$I,9,FALSE)</f>
        <v>340</v>
      </c>
      <c r="AN579" s="97">
        <v>0</v>
      </c>
      <c r="AO579" s="98">
        <v>0</v>
      </c>
      <c r="AP579" s="58" t="s">
        <v>72</v>
      </c>
      <c r="AQ579" s="34">
        <f t="shared" ca="1" si="32"/>
        <v>578</v>
      </c>
    </row>
    <row r="580" spans="1:43" ht="21" customHeight="1" x14ac:dyDescent="0.15">
      <c r="A580" s="7">
        <f t="shared" ca="1" si="33"/>
        <v>579</v>
      </c>
      <c r="B580" s="6" t="str">
        <f ca="1">VLOOKUP(A580,[2]characters!$A:$C,3,FALSE)</f>
        <v>オーズ</v>
      </c>
      <c r="C580" s="9">
        <f ca="1">VLOOKUP(A580,[2]characters!$A:$I,9,FALSE)</f>
        <v>4</v>
      </c>
      <c r="D580" s="9" t="str">
        <f ca="1">VLOOKUP(A580,[2]characters!$A:$H,8,FALSE)</f>
        <v>green</v>
      </c>
      <c r="E580" s="97">
        <f ca="1">VLOOKUP(D580,[2]属性!$A:$E,2,FALSE)</f>
        <v>1.02</v>
      </c>
      <c r="F580" s="97">
        <f ca="1">VLOOKUP(D580,[2]属性!$A:$E,3,FALSE)</f>
        <v>0.98</v>
      </c>
      <c r="G580" s="97">
        <f ca="1">VLOOKUP(D580,[2]属性!$A:$F,4,FALSE)</f>
        <v>1</v>
      </c>
      <c r="H580" s="9" t="str">
        <f ca="1">VLOOKUP(A580,[2]characters!$A:$K,11,FALSE)</f>
        <v>technical</v>
      </c>
      <c r="I580" s="6" t="str">
        <f ca="1">VLOOKUP(H580,[2]character_type_i18n!$A:$F,3,FALSE)</f>
        <v>テクニカルタイプ</v>
      </c>
      <c r="J580" s="97">
        <f ca="1">VLOOKUP(H580,[2]character_type_i18n!$A:$F,4,FALSE)</f>
        <v>0.9</v>
      </c>
      <c r="K580" s="97">
        <f ca="1">VLOOKUP(H580,[2]character_type_i18n!$A:$F,5,FALSE)</f>
        <v>0.9</v>
      </c>
      <c r="L580" s="97">
        <f ca="1">VLOOKUP(H580,[2]character_type_i18n!$A:$F,6,FALSE)</f>
        <v>1</v>
      </c>
      <c r="M580" s="9" t="str">
        <f ca="1">VLOOKUP(A580,[2]characters!$A:$M,13,FALSE)</f>
        <v>god</v>
      </c>
      <c r="N580" s="6" t="str">
        <f ca="1">VLOOKUP(M580,[2]character_tribe_i18n!$A:$F,3,FALSE)</f>
        <v>ゴッド</v>
      </c>
      <c r="O580" s="97">
        <f ca="1">VLOOKUP(M580,[2]character_tribe_i18n!$A:$F,4,FALSE)</f>
        <v>0.96</v>
      </c>
      <c r="P580" s="97">
        <f ca="1">VLOOKUP(M580,[2]character_tribe_i18n!$A:$F,5,FALSE)</f>
        <v>1.02</v>
      </c>
      <c r="Q580" s="97">
        <f ca="1">VLOOKUP(M580,[2]character_tribe_i18n!$A:$F,6,FALSE)</f>
        <v>1</v>
      </c>
      <c r="R580" s="98" t="s">
        <v>98</v>
      </c>
      <c r="S580" s="97">
        <f>VLOOKUP($R580,ラベル別係数!$A$1:$E$7,3,FALSE)</f>
        <v>5</v>
      </c>
      <c r="T580" s="97">
        <f>VLOOKUP($R580,ラベル別係数!$A$1:$E$7,4,FALSE)</f>
        <v>1.3</v>
      </c>
      <c r="U580" s="97">
        <f>VLOOKUP($R580,ラベル別係数!$A$1:$E$7,5,FALSE)</f>
        <v>0.8</v>
      </c>
      <c r="V580" s="98">
        <v>3</v>
      </c>
      <c r="W580" s="99">
        <f>VLOOKUP(V580,ターン数別攻撃係数!$A$1:$B$1000,2,FALSE)</f>
        <v>1</v>
      </c>
      <c r="X580" s="9">
        <f ca="1">VLOOKUP(C580,サイズ別係数!A$2:B$9,2,FALSE)</f>
        <v>30</v>
      </c>
      <c r="Y580" s="97">
        <f ca="1">VLOOKUP($X580,サイズ別係数!$B:$E,2,FALSE)</f>
        <v>1.3</v>
      </c>
      <c r="Z580" s="97">
        <f ca="1">VLOOKUP($X580,サイズ別係数!$B:$E,3,FALSE)</f>
        <v>1.3</v>
      </c>
      <c r="AA580" s="97">
        <f ca="1">VLOOKUP($X580,サイズ別係数!$B:$E,4,FALSE)</f>
        <v>1.1000000000000001</v>
      </c>
      <c r="AB580" s="10">
        <v>0</v>
      </c>
      <c r="AC580" s="6" t="str">
        <f ca="1">VLOOKUP($AB580,OFFSET([3]enemy_skill_sets!$B$2,0,0,COUNTA([3]enemy_skill_sets!$A:$A),MATCH(AC$1,[3]enemy_skill_sets!$1:$1,0)-MATCH($AB$1,[3]enemy_skill_sets!$1:$1,0)+1),MATCH(AC$1,[3]enemy_skill_sets!$1:$1,0)-MATCH($AB$1,[3]enemy_skill_sets!$1:$1,0)+1,FALSE)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0" s="67">
        <v>1</v>
      </c>
      <c r="AE580" s="67">
        <v>1</v>
      </c>
      <c r="AF580" s="68">
        <v>0</v>
      </c>
      <c r="AG580" s="99">
        <f ca="1">ROUND(VLOOKUP(1,enemy_base_stats!$A:$F,2,FALSE) * Y580* J580*O580*E580*S580*AD580*[2]ステータス!$B$2,0)</f>
        <v>2864</v>
      </c>
      <c r="AH580" s="99">
        <f ca="1">ROUND(VLOOKUP(1,enemy_base_stats!$A:$F,3,FALSE) * Z580*K580*P580*F580*T580*AE580 * W580*[2]ステータス!$C$2,0)</f>
        <v>228</v>
      </c>
      <c r="AI580" s="99">
        <f ca="1">ROUND(VLOOKUP(1,enemy_base_stats!$A:$F,4,FALSE) * AA580*L580*Q580*G580*U580*AF580*[2]ステータス!$D$2,0)</f>
        <v>0</v>
      </c>
      <c r="AJ580" s="99">
        <f ca="1">ROUND(VLOOKUP(100,enemy_base_stats!$A:$F,2,FALSE) * Y580* J580*O580*E580*S580*AD580*[2]ステータス!$B$2,0)</f>
        <v>116285</v>
      </c>
      <c r="AK580" s="99">
        <f ca="1">ROUND(VLOOKUP(100,enemy_base_stats!$A:$F,3,FALSE)* Z580* K580*P580*F580*T580*AE580 * W580*[2]ステータス!$C$2,0)</f>
        <v>9259</v>
      </c>
      <c r="AL580" s="99">
        <f ca="1">ROUND(VLOOKUP(100,enemy_base_stats!$A:$F,4,FALSE)* AA580* L580*Q580*G580*U580*AF580*[2]ステータス!$D$2,0)</f>
        <v>0</v>
      </c>
      <c r="AM580" s="97">
        <f ca="1">VLOOKUP(M580,[2]character_tribe_i18n!$A:$I,9,FALSE)</f>
        <v>680</v>
      </c>
      <c r="AN580" s="97">
        <v>0</v>
      </c>
      <c r="AO580" s="98">
        <v>0</v>
      </c>
      <c r="AP580" s="58" t="s">
        <v>72</v>
      </c>
      <c r="AQ580" s="34">
        <f t="shared" ca="1" si="32"/>
        <v>579</v>
      </c>
    </row>
    <row r="581" spans="1:43" ht="21" customHeight="1" x14ac:dyDescent="0.15">
      <c r="A581" s="7">
        <f t="shared" ca="1" si="33"/>
        <v>580</v>
      </c>
      <c r="B581" s="6" t="str">
        <f ca="1">VLOOKUP(A581,[2]characters!$A:$C,3,FALSE)</f>
        <v>愛憐の旅神 オーズ</v>
      </c>
      <c r="C581" s="9">
        <f ca="1">VLOOKUP(A581,[2]characters!$A:$I,9,FALSE)</f>
        <v>5</v>
      </c>
      <c r="D581" s="9" t="str">
        <f ca="1">VLOOKUP(A581,[2]characters!$A:$H,8,FALSE)</f>
        <v>green</v>
      </c>
      <c r="E581" s="97">
        <f ca="1">VLOOKUP(D581,[2]属性!$A:$E,2,FALSE)</f>
        <v>1.02</v>
      </c>
      <c r="F581" s="97">
        <f ca="1">VLOOKUP(D581,[2]属性!$A:$E,3,FALSE)</f>
        <v>0.98</v>
      </c>
      <c r="G581" s="97">
        <f ca="1">VLOOKUP(D581,[2]属性!$A:$F,4,FALSE)</f>
        <v>1</v>
      </c>
      <c r="H581" s="9" t="str">
        <f ca="1">VLOOKUP(A581,[2]characters!$A:$K,11,FALSE)</f>
        <v>technical</v>
      </c>
      <c r="I581" s="6" t="str">
        <f ca="1">VLOOKUP(H581,[2]character_type_i18n!$A:$F,3,FALSE)</f>
        <v>テクニカルタイプ</v>
      </c>
      <c r="J581" s="97">
        <f ca="1">VLOOKUP(H581,[2]character_type_i18n!$A:$F,4,FALSE)</f>
        <v>0.9</v>
      </c>
      <c r="K581" s="97">
        <f ca="1">VLOOKUP(H581,[2]character_type_i18n!$A:$F,5,FALSE)</f>
        <v>0.9</v>
      </c>
      <c r="L581" s="97">
        <f ca="1">VLOOKUP(H581,[2]character_type_i18n!$A:$F,6,FALSE)</f>
        <v>1</v>
      </c>
      <c r="M581" s="9" t="str">
        <f ca="1">VLOOKUP(A581,[2]characters!$A:$M,13,FALSE)</f>
        <v>god</v>
      </c>
      <c r="N581" s="6" t="str">
        <f ca="1">VLOOKUP(M581,[2]character_tribe_i18n!$A:$F,3,FALSE)</f>
        <v>ゴッド</v>
      </c>
      <c r="O581" s="97">
        <f ca="1">VLOOKUP(M581,[2]character_tribe_i18n!$A:$F,4,FALSE)</f>
        <v>0.96</v>
      </c>
      <c r="P581" s="97">
        <f ca="1">VLOOKUP(M581,[2]character_tribe_i18n!$A:$F,5,FALSE)</f>
        <v>1.02</v>
      </c>
      <c r="Q581" s="97">
        <f ca="1">VLOOKUP(M581,[2]character_tribe_i18n!$A:$F,6,FALSE)</f>
        <v>1</v>
      </c>
      <c r="R581" s="98" t="s">
        <v>98</v>
      </c>
      <c r="S581" s="97">
        <f>VLOOKUP($R581,ラベル別係数!$A$1:$E$7,3,FALSE)</f>
        <v>5</v>
      </c>
      <c r="T581" s="97">
        <f>VLOOKUP($R581,ラベル別係数!$A$1:$E$7,4,FALSE)</f>
        <v>1.3</v>
      </c>
      <c r="U581" s="97">
        <f>VLOOKUP($R581,ラベル別係数!$A$1:$E$7,5,FALSE)</f>
        <v>0.8</v>
      </c>
      <c r="V581" s="98">
        <v>3</v>
      </c>
      <c r="W581" s="99">
        <f>VLOOKUP(V581,ターン数別攻撃係数!$A$1:$B$1000,2,FALSE)</f>
        <v>1</v>
      </c>
      <c r="X581" s="9">
        <f ca="1">VLOOKUP(C581,サイズ別係数!A$2:B$9,2,FALSE)</f>
        <v>60</v>
      </c>
      <c r="Y581" s="97">
        <f ca="1">VLOOKUP($X581,サイズ別係数!$B:$E,2,FALSE)</f>
        <v>1.7</v>
      </c>
      <c r="Z581" s="97">
        <f ca="1">VLOOKUP($X581,サイズ別係数!$B:$E,3,FALSE)</f>
        <v>1.4</v>
      </c>
      <c r="AA581" s="97">
        <f ca="1">VLOOKUP($X581,サイズ別係数!$B:$E,4,FALSE)</f>
        <v>1</v>
      </c>
      <c r="AB581" s="10">
        <v>0</v>
      </c>
      <c r="AC581" s="6" t="str">
        <f ca="1">VLOOKUP($AB581,OFFSET([3]enemy_skill_sets!$B$2,0,0,COUNTA([3]enemy_skill_sets!$A:$A),MATCH(AC$1,[3]enemy_skill_sets!$1:$1,0)-MATCH($AB$1,[3]enemy_skill_sets!$1:$1,0)+1),MATCH(AC$1,[3]enemy_skill_sets!$1:$1,0)-MATCH($AB$1,[3]enemy_skill_sets!$1:$1,0)+1,FALSE)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1" s="67">
        <v>1</v>
      </c>
      <c r="AE581" s="67">
        <v>1</v>
      </c>
      <c r="AF581" s="68">
        <v>0</v>
      </c>
      <c r="AG581" s="99">
        <f ca="1">ROUND(VLOOKUP(1,enemy_base_stats!$A:$F,2,FALSE) * Y581* J581*O581*E581*S581*AD581*[2]ステータス!$B$2,0)</f>
        <v>3745</v>
      </c>
      <c r="AH581" s="99">
        <f ca="1">ROUND(VLOOKUP(1,enemy_base_stats!$A:$F,3,FALSE) * Z581*K581*P581*F581*T581*AE581 * W581*[2]ステータス!$C$2,0)</f>
        <v>246</v>
      </c>
      <c r="AI581" s="99">
        <f ca="1">ROUND(VLOOKUP(1,enemy_base_stats!$A:$F,4,FALSE) * AA581*L581*Q581*G581*U581*AF581*[2]ステータス!$D$2,0)</f>
        <v>0</v>
      </c>
      <c r="AJ581" s="99">
        <f ca="1">ROUND(VLOOKUP(100,enemy_base_stats!$A:$F,2,FALSE) * Y581* J581*O581*E581*S581*AD581*[2]ステータス!$B$2,0)</f>
        <v>152065</v>
      </c>
      <c r="AK581" s="99">
        <f ca="1">ROUND(VLOOKUP(100,enemy_base_stats!$A:$F,3,FALSE)* Z581* K581*P581*F581*T581*AE581 * W581*[2]ステータス!$C$2,0)</f>
        <v>9971</v>
      </c>
      <c r="AL581" s="99">
        <f ca="1">ROUND(VLOOKUP(100,enemy_base_stats!$A:$F,4,FALSE)* AA581* L581*Q581*G581*U581*AF581*[2]ステータス!$D$2,0)</f>
        <v>0</v>
      </c>
      <c r="AM581" s="97">
        <f ca="1">VLOOKUP(M581,[2]character_tribe_i18n!$A:$I,9,FALSE)</f>
        <v>680</v>
      </c>
      <c r="AN581" s="97">
        <v>0</v>
      </c>
      <c r="AO581" s="98">
        <v>0</v>
      </c>
      <c r="AP581" s="58" t="s">
        <v>72</v>
      </c>
      <c r="AQ581" s="34">
        <f t="shared" ca="1" si="32"/>
        <v>580</v>
      </c>
    </row>
    <row r="582" spans="1:43" ht="21" customHeight="1" x14ac:dyDescent="0.15">
      <c r="A582" s="7">
        <f t="shared" ca="1" si="33"/>
        <v>581</v>
      </c>
      <c r="B582" s="6" t="str">
        <f ca="1">VLOOKUP(A582,[2]characters!$A:$C,3,FALSE)</f>
        <v>フギンとムニン</v>
      </c>
      <c r="C582" s="9">
        <f ca="1">VLOOKUP(A582,[2]characters!$A:$I,9,FALSE)</f>
        <v>4</v>
      </c>
      <c r="D582" s="9" t="str">
        <f ca="1">VLOOKUP(A582,[2]characters!$A:$H,8,FALSE)</f>
        <v>blue</v>
      </c>
      <c r="E582" s="97">
        <f ca="1">VLOOKUP(D582,[2]属性!$A:$E,2,FALSE)</f>
        <v>1</v>
      </c>
      <c r="F582" s="97">
        <f ca="1">VLOOKUP(D582,[2]属性!$A:$E,3,FALSE)</f>
        <v>0.98</v>
      </c>
      <c r="G582" s="97">
        <f ca="1">VLOOKUP(D582,[2]属性!$A:$F,4,FALSE)</f>
        <v>1</v>
      </c>
      <c r="H582" s="9" t="str">
        <f ca="1">VLOOKUP(A582,[2]characters!$A:$K,11,FALSE)</f>
        <v>technical</v>
      </c>
      <c r="I582" s="6" t="str">
        <f ca="1">VLOOKUP(H582,[2]character_type_i18n!$A:$F,3,FALSE)</f>
        <v>テクニカルタイプ</v>
      </c>
      <c r="J582" s="103">
        <v>1</v>
      </c>
      <c r="K582" s="103">
        <v>1.33</v>
      </c>
      <c r="L582" s="103">
        <v>1</v>
      </c>
      <c r="M582" s="9" t="str">
        <f ca="1">VLOOKUP(A582,[2]characters!$A:$M,13,FALSE)</f>
        <v>machine</v>
      </c>
      <c r="N582" s="6" t="str">
        <f ca="1">VLOOKUP(M582,[2]character_tribe_i18n!$A:$F,3,FALSE)</f>
        <v>マシン</v>
      </c>
      <c r="O582" s="97">
        <f ca="1">VLOOKUP(M582,[2]character_tribe_i18n!$A:$F,4,FALSE)</f>
        <v>1</v>
      </c>
      <c r="P582" s="97">
        <f ca="1">VLOOKUP(M582,[2]character_tribe_i18n!$A:$F,5,FALSE)</f>
        <v>1</v>
      </c>
      <c r="Q582" s="97">
        <f ca="1">VLOOKUP(M582,[2]character_tribe_i18n!$A:$F,6,FALSE)</f>
        <v>1</v>
      </c>
      <c r="R582" s="98" t="s">
        <v>98</v>
      </c>
      <c r="S582" s="97">
        <f>VLOOKUP($R582,ラベル別係数!$A$1:$E$7,3,FALSE)</f>
        <v>5</v>
      </c>
      <c r="T582" s="97">
        <f>VLOOKUP($R582,ラベル別係数!$A$1:$E$7,4,FALSE)</f>
        <v>1.3</v>
      </c>
      <c r="U582" s="97">
        <f>VLOOKUP($R582,ラベル別係数!$A$1:$E$7,5,FALSE)</f>
        <v>0.8</v>
      </c>
      <c r="V582" s="98">
        <v>3</v>
      </c>
      <c r="W582" s="99">
        <f>VLOOKUP(V582,ターン数別攻撃係数!$A$1:$B$1000,2,FALSE)</f>
        <v>1</v>
      </c>
      <c r="X582" s="9">
        <f ca="1">VLOOKUP(C582,サイズ別係数!A$2:B$9,2,FALSE)</f>
        <v>30</v>
      </c>
      <c r="Y582" s="97">
        <f ca="1">VLOOKUP($X582,サイズ別係数!$B:$E,2,FALSE)</f>
        <v>1.3</v>
      </c>
      <c r="Z582" s="97">
        <f ca="1">VLOOKUP($X582,サイズ別係数!$B:$E,3,FALSE)</f>
        <v>1.3</v>
      </c>
      <c r="AA582" s="97">
        <f ca="1">VLOOKUP($X582,サイズ別係数!$B:$E,4,FALSE)</f>
        <v>1.1000000000000001</v>
      </c>
      <c r="AB582" s="10">
        <v>0</v>
      </c>
      <c r="AC582" s="6" t="str">
        <f ca="1">VLOOKUP($AB582,OFFSET([3]enemy_skill_sets!$B$2,0,0,COUNTA([3]enemy_skill_sets!$A:$A),MATCH(AC$1,[3]enemy_skill_sets!$1:$1,0)-MATCH($AB$1,[3]enemy_skill_sets!$1:$1,0)+1),MATCH(AC$1,[3]enemy_skill_sets!$1:$1,0)-MATCH($AB$1,[3]enemy_skill_sets!$1:$1,0)+1,FALSE)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2" s="67">
        <v>1</v>
      </c>
      <c r="AE582" s="67">
        <v>1</v>
      </c>
      <c r="AF582" s="68">
        <v>0</v>
      </c>
      <c r="AG582" s="99">
        <f ca="1">ROUND(VLOOKUP(1,enemy_base_stats!$A:$F,2,FALSE) * Y582* J582*O582*E582*S582*AD582*[2]ステータス!$B$2,0)</f>
        <v>3250</v>
      </c>
      <c r="AH582" s="99">
        <f ca="1">ROUND(VLOOKUP(1,enemy_base_stats!$A:$F,3,FALSE) * Z582*K582*P582*F582*T582*AE582 * W582*[2]ステータス!$C$2,0)</f>
        <v>330</v>
      </c>
      <c r="AI582" s="99">
        <f ca="1">ROUND(VLOOKUP(1,enemy_base_stats!$A:$F,4,FALSE) * AA582*L582*Q582*G582*U582*AF582*[2]ステータス!$D$2,0)</f>
        <v>0</v>
      </c>
      <c r="AJ582" s="99">
        <f ca="1">ROUND(VLOOKUP(100,enemy_base_stats!$A:$F,2,FALSE) * Y582* J582*O582*E582*S582*AD582*[2]ステータス!$B$2,0)</f>
        <v>131950</v>
      </c>
      <c r="AK582" s="99">
        <f ca="1">ROUND(VLOOKUP(100,enemy_base_stats!$A:$F,3,FALSE)* Z582* K582*P582*F582*T582*AE582 * W582*[2]ステータス!$C$2,0)</f>
        <v>13415</v>
      </c>
      <c r="AL582" s="99">
        <f ca="1">ROUND(VLOOKUP(100,enemy_base_stats!$A:$F,4,FALSE)* AA582* L582*Q582*G582*U582*AF582*[2]ステータス!$D$2,0)</f>
        <v>0</v>
      </c>
      <c r="AM582" s="97">
        <f ca="1">VLOOKUP(M582,[2]character_tribe_i18n!$A:$I,9,FALSE)</f>
        <v>520</v>
      </c>
      <c r="AN582" s="97">
        <v>0</v>
      </c>
      <c r="AO582" s="98">
        <v>0</v>
      </c>
      <c r="AP582" s="58" t="s">
        <v>72</v>
      </c>
      <c r="AQ582" s="34">
        <f t="shared" ref="AQ582:AQ589" ca="1" si="34">A582</f>
        <v>581</v>
      </c>
    </row>
    <row r="583" spans="1:43" ht="21" customHeight="1" x14ac:dyDescent="0.15">
      <c r="A583" s="7">
        <f t="shared" ca="1" si="33"/>
        <v>582</v>
      </c>
      <c r="B583" s="6" t="str">
        <f ca="1">VLOOKUP(A583,[2]characters!$A:$C,3,FALSE)</f>
        <v>空を駆る双鴉 フギンとムニン</v>
      </c>
      <c r="C583" s="9">
        <f ca="1">VLOOKUP(A583,[2]characters!$A:$I,9,FALSE)</f>
        <v>5</v>
      </c>
      <c r="D583" s="9" t="str">
        <f ca="1">VLOOKUP(A583,[2]characters!$A:$H,8,FALSE)</f>
        <v>blue</v>
      </c>
      <c r="E583" s="97">
        <f ca="1">VLOOKUP(D583,[2]属性!$A:$E,2,FALSE)</f>
        <v>1</v>
      </c>
      <c r="F583" s="97">
        <f ca="1">VLOOKUP(D583,[2]属性!$A:$E,3,FALSE)</f>
        <v>0.98</v>
      </c>
      <c r="G583" s="97">
        <f ca="1">VLOOKUP(D583,[2]属性!$A:$F,4,FALSE)</f>
        <v>1</v>
      </c>
      <c r="H583" s="9" t="str">
        <f ca="1">VLOOKUP(A583,[2]characters!$A:$K,11,FALSE)</f>
        <v>technical</v>
      </c>
      <c r="I583" s="6" t="str">
        <f ca="1">VLOOKUP(H583,[2]character_type_i18n!$A:$F,3,FALSE)</f>
        <v>テクニカルタイプ</v>
      </c>
      <c r="J583" s="103">
        <v>1</v>
      </c>
      <c r="K583" s="103">
        <v>1.33</v>
      </c>
      <c r="L583" s="103">
        <v>1</v>
      </c>
      <c r="M583" s="9" t="str">
        <f ca="1">VLOOKUP(A583,[2]characters!$A:$M,13,FALSE)</f>
        <v>machine</v>
      </c>
      <c r="N583" s="6" t="str">
        <f ca="1">VLOOKUP(M583,[2]character_tribe_i18n!$A:$F,3,FALSE)</f>
        <v>マシン</v>
      </c>
      <c r="O583" s="97">
        <f ca="1">VLOOKUP(M583,[2]character_tribe_i18n!$A:$F,4,FALSE)</f>
        <v>1</v>
      </c>
      <c r="P583" s="97">
        <f ca="1">VLOOKUP(M583,[2]character_tribe_i18n!$A:$F,5,FALSE)</f>
        <v>1</v>
      </c>
      <c r="Q583" s="97">
        <f ca="1">VLOOKUP(M583,[2]character_tribe_i18n!$A:$F,6,FALSE)</f>
        <v>1</v>
      </c>
      <c r="R583" s="98" t="s">
        <v>98</v>
      </c>
      <c r="S583" s="97">
        <f>VLOOKUP($R583,ラベル別係数!$A$1:$E$7,3,FALSE)</f>
        <v>5</v>
      </c>
      <c r="T583" s="97">
        <f>VLOOKUP($R583,ラベル別係数!$A$1:$E$7,4,FALSE)</f>
        <v>1.3</v>
      </c>
      <c r="U583" s="97">
        <f>VLOOKUP($R583,ラベル別係数!$A$1:$E$7,5,FALSE)</f>
        <v>0.8</v>
      </c>
      <c r="V583" s="98">
        <v>3</v>
      </c>
      <c r="W583" s="99">
        <f>VLOOKUP(V583,ターン数別攻撃係数!$A$1:$B$1000,2,FALSE)</f>
        <v>1</v>
      </c>
      <c r="X583" s="9">
        <f ca="1">VLOOKUP(C583,サイズ別係数!A$2:B$9,2,FALSE)</f>
        <v>60</v>
      </c>
      <c r="Y583" s="97">
        <f ca="1">VLOOKUP($X583,サイズ別係数!$B:$E,2,FALSE)</f>
        <v>1.7</v>
      </c>
      <c r="Z583" s="97">
        <f ca="1">VLOOKUP($X583,サイズ別係数!$B:$E,3,FALSE)</f>
        <v>1.4</v>
      </c>
      <c r="AA583" s="97">
        <f ca="1">VLOOKUP($X583,サイズ別係数!$B:$E,4,FALSE)</f>
        <v>1</v>
      </c>
      <c r="AB583" s="10">
        <v>0</v>
      </c>
      <c r="AC583" s="6" t="str">
        <f ca="1">VLOOKUP($AB583,OFFSET([3]enemy_skill_sets!$B$2,0,0,COUNTA([3]enemy_skill_sets!$A:$A),MATCH(AC$1,[3]enemy_skill_sets!$1:$1,0)-MATCH($AB$1,[3]enemy_skill_sets!$1:$1,0)+1),MATCH(AC$1,[3]enemy_skill_sets!$1:$1,0)-MATCH($AB$1,[3]enemy_skill_sets!$1:$1,0)+1,FALSE)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3" s="67">
        <v>1</v>
      </c>
      <c r="AE583" s="67">
        <v>1</v>
      </c>
      <c r="AF583" s="68">
        <v>0</v>
      </c>
      <c r="AG583" s="99">
        <f ca="1">ROUND(VLOOKUP(1,enemy_base_stats!$A:$F,2,FALSE) * Y583* J583*O583*E583*S583*AD583*[2]ステータス!$B$2,0)</f>
        <v>4250</v>
      </c>
      <c r="AH583" s="99">
        <f ca="1">ROUND(VLOOKUP(1,enemy_base_stats!$A:$F,3,FALSE) * Z583*K583*P583*F583*T583*AE583 * W583*[2]ステータス!$C$2,0)</f>
        <v>356</v>
      </c>
      <c r="AI583" s="99">
        <f ca="1">ROUND(VLOOKUP(1,enemy_base_stats!$A:$F,4,FALSE) * AA583*L583*Q583*G583*U583*AF583*[2]ステータス!$D$2,0)</f>
        <v>0</v>
      </c>
      <c r="AJ583" s="99">
        <f ca="1">ROUND(VLOOKUP(100,enemy_base_stats!$A:$F,2,FALSE) * Y583* J583*O583*E583*S583*AD583*[2]ステータス!$B$2,0)</f>
        <v>172550</v>
      </c>
      <c r="AK583" s="99">
        <f ca="1">ROUND(VLOOKUP(100,enemy_base_stats!$A:$F,3,FALSE)* Z583* K583*P583*F583*T583*AE583 * W583*[2]ステータス!$C$2,0)</f>
        <v>14447</v>
      </c>
      <c r="AL583" s="99">
        <f ca="1">ROUND(VLOOKUP(100,enemy_base_stats!$A:$F,4,FALSE)* AA583* L583*Q583*G583*U583*AF583*[2]ステータス!$D$2,0)</f>
        <v>0</v>
      </c>
      <c r="AM583" s="97">
        <f ca="1">VLOOKUP(M583,[2]character_tribe_i18n!$A:$I,9,FALSE)</f>
        <v>520</v>
      </c>
      <c r="AN583" s="97">
        <v>0</v>
      </c>
      <c r="AO583" s="98">
        <v>0</v>
      </c>
      <c r="AP583" s="58" t="s">
        <v>72</v>
      </c>
      <c r="AQ583" s="34">
        <f t="shared" ca="1" si="34"/>
        <v>582</v>
      </c>
    </row>
    <row r="584" spans="1:43" ht="21" customHeight="1" x14ac:dyDescent="0.15">
      <c r="A584" s="7">
        <f t="shared" ca="1" si="33"/>
        <v>583</v>
      </c>
      <c r="B584" s="6" t="str">
        <f ca="1">VLOOKUP(A584,[2]characters!$A:$C,3,FALSE)</f>
        <v>ミョルニル</v>
      </c>
      <c r="C584" s="9">
        <f ca="1">VLOOKUP(A584,[2]characters!$A:$I,9,FALSE)</f>
        <v>4</v>
      </c>
      <c r="D584" s="9" t="str">
        <f ca="1">VLOOKUP(A584,[2]characters!$A:$H,8,FALSE)</f>
        <v>yellow</v>
      </c>
      <c r="E584" s="97">
        <f ca="1">VLOOKUP(D584,[2]属性!$A:$E,2,FALSE)</f>
        <v>0.98</v>
      </c>
      <c r="F584" s="97">
        <f ca="1">VLOOKUP(D584,[2]属性!$A:$E,3,FALSE)</f>
        <v>1.01</v>
      </c>
      <c r="G584" s="97">
        <f ca="1">VLOOKUP(D584,[2]属性!$A:$F,4,FALSE)</f>
        <v>1</v>
      </c>
      <c r="H584" s="9" t="str">
        <f ca="1">VLOOKUP(A584,[2]characters!$A:$K,11,FALSE)</f>
        <v>attack</v>
      </c>
      <c r="I584" s="6" t="str">
        <f ca="1">VLOOKUP(H584,[2]character_type_i18n!$A:$F,3,FALSE)</f>
        <v>攻撃タイプ</v>
      </c>
      <c r="J584" s="97">
        <f ca="1">VLOOKUP(H584,[2]character_type_i18n!$A:$F,4,FALSE)</f>
        <v>1</v>
      </c>
      <c r="K584" s="97">
        <f ca="1">VLOOKUP(H584,[2]character_type_i18n!$A:$F,5,FALSE)</f>
        <v>1.33</v>
      </c>
      <c r="L584" s="97">
        <f ca="1">VLOOKUP(H584,[2]character_type_i18n!$A:$F,6,FALSE)</f>
        <v>1</v>
      </c>
      <c r="M584" s="9" t="str">
        <f ca="1">VLOOKUP(A584,[2]characters!$A:$M,13,FALSE)</f>
        <v>machine</v>
      </c>
      <c r="N584" s="6" t="str">
        <f ca="1">VLOOKUP(M584,[2]character_tribe_i18n!$A:$F,3,FALSE)</f>
        <v>マシン</v>
      </c>
      <c r="O584" s="97">
        <f ca="1">VLOOKUP(M584,[2]character_tribe_i18n!$A:$F,4,FALSE)</f>
        <v>1</v>
      </c>
      <c r="P584" s="97">
        <f ca="1">VLOOKUP(M584,[2]character_tribe_i18n!$A:$F,5,FALSE)</f>
        <v>1</v>
      </c>
      <c r="Q584" s="97">
        <f ca="1">VLOOKUP(M584,[2]character_tribe_i18n!$A:$F,6,FALSE)</f>
        <v>1</v>
      </c>
      <c r="R584" s="98" t="s">
        <v>98</v>
      </c>
      <c r="S584" s="97">
        <f>VLOOKUP($R584,ラベル別係数!$A$1:$E$7,3,FALSE)</f>
        <v>5</v>
      </c>
      <c r="T584" s="97">
        <f>VLOOKUP($R584,ラベル別係数!$A$1:$E$7,4,FALSE)</f>
        <v>1.3</v>
      </c>
      <c r="U584" s="97">
        <f>VLOOKUP($R584,ラベル別係数!$A$1:$E$7,5,FALSE)</f>
        <v>0.8</v>
      </c>
      <c r="V584" s="98">
        <v>3</v>
      </c>
      <c r="W584" s="99">
        <f>VLOOKUP(V584,ターン数別攻撃係数!$A$1:$B$1000,2,FALSE)</f>
        <v>1</v>
      </c>
      <c r="X584" s="9">
        <f ca="1">VLOOKUP(C584,サイズ別係数!A$2:B$9,2,FALSE)</f>
        <v>30</v>
      </c>
      <c r="Y584" s="97">
        <f ca="1">VLOOKUP($X584,サイズ別係数!$B:$E,2,FALSE)</f>
        <v>1.3</v>
      </c>
      <c r="Z584" s="97">
        <f ca="1">VLOOKUP($X584,サイズ別係数!$B:$E,3,FALSE)</f>
        <v>1.3</v>
      </c>
      <c r="AA584" s="97">
        <f ca="1">VLOOKUP($X584,サイズ別係数!$B:$E,4,FALSE)</f>
        <v>1.1000000000000001</v>
      </c>
      <c r="AB584" s="10">
        <v>0</v>
      </c>
      <c r="AC584" s="6" t="str">
        <f ca="1">VLOOKUP($AB584,OFFSET([3]enemy_skill_sets!$B$2,0,0,COUNTA([3]enemy_skill_sets!$A:$A),MATCH(AC$1,[3]enemy_skill_sets!$1:$1,0)-MATCH($AB$1,[3]enemy_skill_sets!$1:$1,0)+1),MATCH(AC$1,[3]enemy_skill_sets!$1:$1,0)-MATCH($AB$1,[3]enemy_skill_sets!$1:$1,0)+1,FALSE)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4" s="67">
        <v>1</v>
      </c>
      <c r="AE584" s="67">
        <v>1</v>
      </c>
      <c r="AF584" s="68">
        <v>0</v>
      </c>
      <c r="AG584" s="99">
        <f ca="1">ROUND(VLOOKUP(1,enemy_base_stats!$A:$F,2,FALSE) * Y584* J584*O584*E584*S584*AD584*[2]ステータス!$B$2,0)</f>
        <v>3185</v>
      </c>
      <c r="AH584" s="99">
        <f ca="1">ROUND(VLOOKUP(1,enemy_base_stats!$A:$F,3,FALSE) * Z584*K584*P584*F584*T584*AE584 * W584*[2]ステータス!$C$2,0)</f>
        <v>341</v>
      </c>
      <c r="AI584" s="99">
        <f ca="1">ROUND(VLOOKUP(1,enemy_base_stats!$A:$F,4,FALSE) * AA584*L584*Q584*G584*U584*AF584*[2]ステータス!$D$2,0)</f>
        <v>0</v>
      </c>
      <c r="AJ584" s="99">
        <f ca="1">ROUND(VLOOKUP(100,enemy_base_stats!$A:$F,2,FALSE) * Y584* J584*O584*E584*S584*AD584*[2]ステータス!$B$2,0)</f>
        <v>129311</v>
      </c>
      <c r="AK584" s="99">
        <f ca="1">ROUND(VLOOKUP(100,enemy_base_stats!$A:$F,3,FALSE)* Z584* K584*P584*F584*T584*AE584 * W584*[2]ステータス!$C$2,0)</f>
        <v>13825</v>
      </c>
      <c r="AL584" s="99">
        <f ca="1">ROUND(VLOOKUP(100,enemy_base_stats!$A:$F,4,FALSE)* AA584* L584*Q584*G584*U584*AF584*[2]ステータス!$D$2,0)</f>
        <v>0</v>
      </c>
      <c r="AM584" s="97">
        <f ca="1">VLOOKUP(M584,[2]character_tribe_i18n!$A:$I,9,FALSE)</f>
        <v>520</v>
      </c>
      <c r="AN584" s="97">
        <v>0</v>
      </c>
      <c r="AO584" s="98">
        <v>0</v>
      </c>
      <c r="AP584" s="58" t="s">
        <v>72</v>
      </c>
      <c r="AQ584" s="34">
        <f t="shared" ca="1" si="34"/>
        <v>583</v>
      </c>
    </row>
    <row r="585" spans="1:43" ht="21" customHeight="1" x14ac:dyDescent="0.15">
      <c r="A585" s="7">
        <f t="shared" ca="1" si="33"/>
        <v>584</v>
      </c>
      <c r="B585" s="6" t="str">
        <f ca="1">VLOOKUP(A585,[2]characters!$A:$C,3,FALSE)</f>
        <v>自律する召雷鎚 ミョルニル</v>
      </c>
      <c r="C585" s="9">
        <f ca="1">VLOOKUP(A585,[2]characters!$A:$I,9,FALSE)</f>
        <v>5</v>
      </c>
      <c r="D585" s="9" t="str">
        <f ca="1">VLOOKUP(A585,[2]characters!$A:$H,8,FALSE)</f>
        <v>yellow</v>
      </c>
      <c r="E585" s="97">
        <f ca="1">VLOOKUP(D585,[2]属性!$A:$E,2,FALSE)</f>
        <v>0.98</v>
      </c>
      <c r="F585" s="97">
        <f ca="1">VLOOKUP(D585,[2]属性!$A:$E,3,FALSE)</f>
        <v>1.01</v>
      </c>
      <c r="G585" s="97">
        <f ca="1">VLOOKUP(D585,[2]属性!$A:$F,4,FALSE)</f>
        <v>1</v>
      </c>
      <c r="H585" s="9" t="str">
        <f ca="1">VLOOKUP(A585,[2]characters!$A:$K,11,FALSE)</f>
        <v>attack</v>
      </c>
      <c r="I585" s="6" t="str">
        <f ca="1">VLOOKUP(H585,[2]character_type_i18n!$A:$F,3,FALSE)</f>
        <v>攻撃タイプ</v>
      </c>
      <c r="J585" s="97">
        <f ca="1">VLOOKUP(H585,[2]character_type_i18n!$A:$F,4,FALSE)</f>
        <v>1</v>
      </c>
      <c r="K585" s="97">
        <f ca="1">VLOOKUP(H585,[2]character_type_i18n!$A:$F,5,FALSE)</f>
        <v>1.33</v>
      </c>
      <c r="L585" s="97">
        <f ca="1">VLOOKUP(H585,[2]character_type_i18n!$A:$F,6,FALSE)</f>
        <v>1</v>
      </c>
      <c r="M585" s="9" t="str">
        <f ca="1">VLOOKUP(A585,[2]characters!$A:$M,13,FALSE)</f>
        <v>machine</v>
      </c>
      <c r="N585" s="6" t="str">
        <f ca="1">VLOOKUP(M585,[2]character_tribe_i18n!$A:$F,3,FALSE)</f>
        <v>マシン</v>
      </c>
      <c r="O585" s="97">
        <f ca="1">VLOOKUP(M585,[2]character_tribe_i18n!$A:$F,4,FALSE)</f>
        <v>1</v>
      </c>
      <c r="P585" s="97">
        <f ca="1">VLOOKUP(M585,[2]character_tribe_i18n!$A:$F,5,FALSE)</f>
        <v>1</v>
      </c>
      <c r="Q585" s="97">
        <f ca="1">VLOOKUP(M585,[2]character_tribe_i18n!$A:$F,6,FALSE)</f>
        <v>1</v>
      </c>
      <c r="R585" s="98" t="s">
        <v>98</v>
      </c>
      <c r="S585" s="97">
        <f>VLOOKUP($R585,ラベル別係数!$A$1:$E$7,3,FALSE)</f>
        <v>5</v>
      </c>
      <c r="T585" s="97">
        <f>VLOOKUP($R585,ラベル別係数!$A$1:$E$7,4,FALSE)</f>
        <v>1.3</v>
      </c>
      <c r="U585" s="97">
        <f>VLOOKUP($R585,ラベル別係数!$A$1:$E$7,5,FALSE)</f>
        <v>0.8</v>
      </c>
      <c r="V585" s="98">
        <v>3</v>
      </c>
      <c r="W585" s="99">
        <f>VLOOKUP(V585,ターン数別攻撃係数!$A$1:$B$1000,2,FALSE)</f>
        <v>1</v>
      </c>
      <c r="X585" s="9">
        <f ca="1">VLOOKUP(C585,サイズ別係数!A$2:B$9,2,FALSE)</f>
        <v>60</v>
      </c>
      <c r="Y585" s="97">
        <f ca="1">VLOOKUP($X585,サイズ別係数!$B:$E,2,FALSE)</f>
        <v>1.7</v>
      </c>
      <c r="Z585" s="97">
        <f ca="1">VLOOKUP($X585,サイズ別係数!$B:$E,3,FALSE)</f>
        <v>1.4</v>
      </c>
      <c r="AA585" s="97">
        <f ca="1">VLOOKUP($X585,サイズ別係数!$B:$E,4,FALSE)</f>
        <v>1</v>
      </c>
      <c r="AB585" s="10">
        <v>0</v>
      </c>
      <c r="AC585" s="6" t="str">
        <f ca="1">VLOOKUP($AB585,OFFSET([3]enemy_skill_sets!$B$2,0,0,COUNTA([3]enemy_skill_sets!$A:$A),MATCH(AC$1,[3]enemy_skill_sets!$1:$1,0)-MATCH($AB$1,[3]enemy_skill_sets!$1:$1,0)+1),MATCH(AC$1,[3]enemy_skill_sets!$1:$1,0)-MATCH($AB$1,[3]enemy_skill_sets!$1:$1,0)+1,FALSE)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5" s="67">
        <v>1</v>
      </c>
      <c r="AE585" s="67">
        <v>1</v>
      </c>
      <c r="AF585" s="68">
        <v>0</v>
      </c>
      <c r="AG585" s="99">
        <f ca="1">ROUND(VLOOKUP(1,enemy_base_stats!$A:$F,2,FALSE) * Y585* J585*O585*E585*S585*AD585*[2]ステータス!$B$2,0)</f>
        <v>4165</v>
      </c>
      <c r="AH585" s="99">
        <f ca="1">ROUND(VLOOKUP(1,enemy_base_stats!$A:$F,3,FALSE) * Z585*K585*P585*F585*T585*AE585 * W585*[2]ステータス!$C$2,0)</f>
        <v>367</v>
      </c>
      <c r="AI585" s="99">
        <f ca="1">ROUND(VLOOKUP(1,enemy_base_stats!$A:$F,4,FALSE) * AA585*L585*Q585*G585*U585*AF585*[2]ステータス!$D$2,0)</f>
        <v>0</v>
      </c>
      <c r="AJ585" s="99">
        <f ca="1">ROUND(VLOOKUP(100,enemy_base_stats!$A:$F,2,FALSE) * Y585* J585*O585*E585*S585*AD585*[2]ステータス!$B$2,0)</f>
        <v>169099</v>
      </c>
      <c r="AK585" s="99">
        <f ca="1">ROUND(VLOOKUP(100,enemy_base_stats!$A:$F,3,FALSE)* Z585* K585*P585*F585*T585*AE585 * W585*[2]ステータス!$C$2,0)</f>
        <v>14889</v>
      </c>
      <c r="AL585" s="99">
        <f ca="1">ROUND(VLOOKUP(100,enemy_base_stats!$A:$F,4,FALSE)* AA585* L585*Q585*G585*U585*AF585*[2]ステータス!$D$2,0)</f>
        <v>0</v>
      </c>
      <c r="AM585" s="97">
        <f ca="1">VLOOKUP(M585,[2]character_tribe_i18n!$A:$I,9,FALSE)</f>
        <v>520</v>
      </c>
      <c r="AN585" s="97">
        <v>0</v>
      </c>
      <c r="AO585" s="98">
        <v>0</v>
      </c>
      <c r="AP585" s="58" t="s">
        <v>72</v>
      </c>
      <c r="AQ585" s="34">
        <f t="shared" ca="1" si="34"/>
        <v>584</v>
      </c>
    </row>
    <row r="586" spans="1:43" ht="21" customHeight="1" x14ac:dyDescent="0.15">
      <c r="A586" s="7">
        <f t="shared" ca="1" si="33"/>
        <v>585</v>
      </c>
      <c r="B586" s="6" t="str">
        <f ca="1">VLOOKUP(A586,[2]characters!$A:$C,3,FALSE)</f>
        <v>未定</v>
      </c>
      <c r="C586" s="9">
        <f ca="1">VLOOKUP(A586,[2]characters!$A:$I,9,FALSE)</f>
        <v>3</v>
      </c>
      <c r="D586" s="9" t="str">
        <f ca="1">VLOOKUP(A586,[2]characters!$A:$H,8,FALSE)</f>
        <v>red</v>
      </c>
      <c r="E586" s="97">
        <f ca="1">VLOOKUP(D586,[2]属性!$A:$E,2,FALSE)</f>
        <v>1</v>
      </c>
      <c r="F586" s="97">
        <f ca="1">VLOOKUP(D586,[2]属性!$A:$E,3,FALSE)</f>
        <v>1.02</v>
      </c>
      <c r="G586" s="97">
        <f ca="1">VLOOKUP(D586,[2]属性!$A:$F,4,FALSE)</f>
        <v>1</v>
      </c>
      <c r="H586" s="9" t="str">
        <f ca="1">VLOOKUP(A586,[2]characters!$A:$K,11,FALSE)</f>
        <v>hp</v>
      </c>
      <c r="I586" s="6" t="str">
        <f ca="1">VLOOKUP(H586,[2]character_type_i18n!$A:$F,3,FALSE)</f>
        <v>体力タイプ</v>
      </c>
      <c r="J586" s="97">
        <f ca="1">VLOOKUP(H586,[2]character_type_i18n!$A:$F,4,FALSE)</f>
        <v>1.45</v>
      </c>
      <c r="K586" s="97">
        <f ca="1">VLOOKUP(H586,[2]character_type_i18n!$A:$F,5,FALSE)</f>
        <v>0.85</v>
      </c>
      <c r="L586" s="97">
        <f ca="1">VLOOKUP(H586,[2]character_type_i18n!$A:$F,6,FALSE)</f>
        <v>1</v>
      </c>
      <c r="M586" s="9" t="str">
        <f ca="1">VLOOKUP(A586,[2]characters!$A:$M,13,FALSE)</f>
        <v>machine</v>
      </c>
      <c r="N586" s="6" t="str">
        <f ca="1">VLOOKUP(M586,[2]character_tribe_i18n!$A:$F,3,FALSE)</f>
        <v>マシン</v>
      </c>
      <c r="O586" s="97">
        <f ca="1">VLOOKUP(M586,[2]character_tribe_i18n!$A:$F,4,FALSE)</f>
        <v>1</v>
      </c>
      <c r="P586" s="97">
        <f ca="1">VLOOKUP(M586,[2]character_tribe_i18n!$A:$F,5,FALSE)</f>
        <v>1</v>
      </c>
      <c r="Q586" s="97">
        <f ca="1">VLOOKUP(M586,[2]character_tribe_i18n!$A:$F,6,FALSE)</f>
        <v>1</v>
      </c>
      <c r="R586" s="98" t="s">
        <v>98</v>
      </c>
      <c r="S586" s="97">
        <f>VLOOKUP($R586,ラベル別係数!$A$1:$E$7,3,FALSE)</f>
        <v>5</v>
      </c>
      <c r="T586" s="97">
        <f>VLOOKUP($R586,ラベル別係数!$A$1:$E$7,4,FALSE)</f>
        <v>1.3</v>
      </c>
      <c r="U586" s="97">
        <f>VLOOKUP($R586,ラベル別係数!$A$1:$E$7,5,FALSE)</f>
        <v>0.8</v>
      </c>
      <c r="V586" s="98">
        <v>3</v>
      </c>
      <c r="W586" s="99">
        <f>VLOOKUP(V586,ターン数別攻撃係数!$A$1:$B$1000,2,FALSE)</f>
        <v>1</v>
      </c>
      <c r="X586" s="9">
        <f ca="1">VLOOKUP(C586,サイズ別係数!A$2:B$9,2,FALSE)</f>
        <v>25</v>
      </c>
      <c r="Y586" s="97">
        <f ca="1">VLOOKUP($X586,サイズ別係数!$B:$E,2,FALSE)</f>
        <v>1.2</v>
      </c>
      <c r="Z586" s="97">
        <f ca="1">VLOOKUP($X586,サイズ別係数!$B:$E,3,FALSE)</f>
        <v>1.25</v>
      </c>
      <c r="AA586" s="97">
        <f ca="1">VLOOKUP($X586,サイズ別係数!$B:$E,4,FALSE)</f>
        <v>1.1499999999999999</v>
      </c>
      <c r="AB586" s="10">
        <v>0</v>
      </c>
      <c r="AC586" s="6" t="str">
        <f ca="1">VLOOKUP($AB586,OFFSET([3]enemy_skill_sets!$B$2,0,0,COUNTA([3]enemy_skill_sets!$A:$A),MATCH(AC$1,[3]enemy_skill_sets!$1:$1,0)-MATCH($AB$1,[3]enemy_skill_sets!$1:$1,0)+1),MATCH(AC$1,[3]enemy_skill_sets!$1:$1,0)-MATCH($AB$1,[3]enemy_skill_sets!$1:$1,0)+1,FALSE)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6" s="67">
        <v>1</v>
      </c>
      <c r="AE586" s="67">
        <v>1</v>
      </c>
      <c r="AF586" s="68">
        <v>0</v>
      </c>
      <c r="AG586" s="99">
        <f ca="1">ROUND(VLOOKUP(1,enemy_base_stats!$A:$F,2,FALSE) * Y586* J586*O586*E586*S586*AD586*[2]ステータス!$B$2,0)</f>
        <v>4350</v>
      </c>
      <c r="AH586" s="99">
        <f ca="1">ROUND(VLOOKUP(1,enemy_base_stats!$A:$F,3,FALSE) * Z586*K586*P586*F586*T586*AE586 * W586*[2]ステータス!$C$2,0)</f>
        <v>211</v>
      </c>
      <c r="AI586" s="99">
        <f ca="1">ROUND(VLOOKUP(1,enemy_base_stats!$A:$F,4,FALSE) * AA586*L586*Q586*G586*U586*AF586*[2]ステータス!$D$2,0)</f>
        <v>0</v>
      </c>
      <c r="AJ586" s="99">
        <f ca="1">ROUND(VLOOKUP(100,enemy_base_stats!$A:$F,2,FALSE) * Y586* J586*O586*E586*S586*AD586*[2]ステータス!$B$2,0)</f>
        <v>176610</v>
      </c>
      <c r="AK586" s="99">
        <f ca="1">ROUND(VLOOKUP(100,enemy_base_stats!$A:$F,3,FALSE)* Z586* K586*P586*F586*T586*AE586 * W586*[2]ステータス!$C$2,0)</f>
        <v>8580</v>
      </c>
      <c r="AL586" s="99">
        <f ca="1">ROUND(VLOOKUP(100,enemy_base_stats!$A:$F,4,FALSE)* AA586* L586*Q586*G586*U586*AF586*[2]ステータス!$D$2,0)</f>
        <v>0</v>
      </c>
      <c r="AM586" s="97">
        <f ca="1">VLOOKUP(M586,[2]character_tribe_i18n!$A:$I,9,FALSE)</f>
        <v>520</v>
      </c>
      <c r="AN586" s="97">
        <v>0</v>
      </c>
      <c r="AO586" s="98">
        <v>0</v>
      </c>
      <c r="AP586" s="58" t="s">
        <v>72</v>
      </c>
      <c r="AQ586" s="34">
        <f t="shared" ca="1" si="34"/>
        <v>585</v>
      </c>
    </row>
    <row r="587" spans="1:43" ht="21" customHeight="1" x14ac:dyDescent="0.15">
      <c r="A587" s="7">
        <f t="shared" ca="1" si="33"/>
        <v>586</v>
      </c>
      <c r="B587" s="6" t="str">
        <f ca="1">VLOOKUP(A587,[2]characters!$A:$C,3,FALSE)</f>
        <v>ユミル</v>
      </c>
      <c r="C587" s="9">
        <f ca="1">VLOOKUP(A587,[2]characters!$A:$I,9,FALSE)</f>
        <v>4</v>
      </c>
      <c r="D587" s="9" t="str">
        <f ca="1">VLOOKUP(A587,[2]characters!$A:$H,8,FALSE)</f>
        <v>red</v>
      </c>
      <c r="E587" s="97">
        <f ca="1">VLOOKUP(D587,[2]属性!$A:$E,2,FALSE)</f>
        <v>1</v>
      </c>
      <c r="F587" s="97">
        <f ca="1">VLOOKUP(D587,[2]属性!$A:$E,3,FALSE)</f>
        <v>1.02</v>
      </c>
      <c r="G587" s="97">
        <f ca="1">VLOOKUP(D587,[2]属性!$A:$F,4,FALSE)</f>
        <v>1</v>
      </c>
      <c r="H587" s="9" t="str">
        <f ca="1">VLOOKUP(A587,[2]characters!$A:$K,11,FALSE)</f>
        <v>hp</v>
      </c>
      <c r="I587" s="6" t="str">
        <f ca="1">VLOOKUP(H587,[2]character_type_i18n!$A:$F,3,FALSE)</f>
        <v>体力タイプ</v>
      </c>
      <c r="J587" s="97">
        <f ca="1">VLOOKUP(H587,[2]character_type_i18n!$A:$F,4,FALSE)</f>
        <v>1.45</v>
      </c>
      <c r="K587" s="97">
        <f ca="1">VLOOKUP(H587,[2]character_type_i18n!$A:$F,5,FALSE)</f>
        <v>0.85</v>
      </c>
      <c r="L587" s="97">
        <f ca="1">VLOOKUP(H587,[2]character_type_i18n!$A:$F,6,FALSE)</f>
        <v>1</v>
      </c>
      <c r="M587" s="9" t="str">
        <f ca="1">VLOOKUP(A587,[2]characters!$A:$M,13,FALSE)</f>
        <v>machine</v>
      </c>
      <c r="N587" s="6" t="str">
        <f ca="1">VLOOKUP(M587,[2]character_tribe_i18n!$A:$F,3,FALSE)</f>
        <v>マシン</v>
      </c>
      <c r="O587" s="97">
        <f ca="1">VLOOKUP(M587,[2]character_tribe_i18n!$A:$F,4,FALSE)</f>
        <v>1</v>
      </c>
      <c r="P587" s="97">
        <f ca="1">VLOOKUP(M587,[2]character_tribe_i18n!$A:$F,5,FALSE)</f>
        <v>1</v>
      </c>
      <c r="Q587" s="97">
        <f ca="1">VLOOKUP(M587,[2]character_tribe_i18n!$A:$F,6,FALSE)</f>
        <v>1</v>
      </c>
      <c r="R587" s="98" t="s">
        <v>98</v>
      </c>
      <c r="S587" s="97">
        <f>VLOOKUP($R587,ラベル別係数!$A$1:$E$7,3,FALSE)</f>
        <v>5</v>
      </c>
      <c r="T587" s="97">
        <f>VLOOKUP($R587,ラベル別係数!$A$1:$E$7,4,FALSE)</f>
        <v>1.3</v>
      </c>
      <c r="U587" s="97">
        <f>VLOOKUP($R587,ラベル別係数!$A$1:$E$7,5,FALSE)</f>
        <v>0.8</v>
      </c>
      <c r="V587" s="98">
        <v>3</v>
      </c>
      <c r="W587" s="99">
        <f>VLOOKUP(V587,ターン数別攻撃係数!$A$1:$B$1000,2,FALSE)</f>
        <v>1</v>
      </c>
      <c r="X587" s="9">
        <f ca="1">VLOOKUP(C587,サイズ別係数!A$2:B$9,2,FALSE)</f>
        <v>30</v>
      </c>
      <c r="Y587" s="97">
        <f ca="1">VLOOKUP($X587,サイズ別係数!$B:$E,2,FALSE)</f>
        <v>1.3</v>
      </c>
      <c r="Z587" s="97">
        <f ca="1">VLOOKUP($X587,サイズ別係数!$B:$E,3,FALSE)</f>
        <v>1.3</v>
      </c>
      <c r="AA587" s="97">
        <f ca="1">VLOOKUP($X587,サイズ別係数!$B:$E,4,FALSE)</f>
        <v>1.1000000000000001</v>
      </c>
      <c r="AB587" s="10">
        <v>0</v>
      </c>
      <c r="AC587" s="6" t="str">
        <f ca="1">VLOOKUP($AB587,OFFSET([3]enemy_skill_sets!$B$2,0,0,COUNTA([3]enemy_skill_sets!$A:$A),MATCH(AC$1,[3]enemy_skill_sets!$1:$1,0)-MATCH($AB$1,[3]enemy_skill_sets!$1:$1,0)+1),MATCH(AC$1,[3]enemy_skill_sets!$1:$1,0)-MATCH($AB$1,[3]enemy_skill_sets!$1:$1,0)+1,FALSE)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7" s="67">
        <v>1</v>
      </c>
      <c r="AE587" s="67">
        <v>1</v>
      </c>
      <c r="AF587" s="68">
        <v>0</v>
      </c>
      <c r="AG587" s="99">
        <f ca="1">ROUND(VLOOKUP(1,enemy_base_stats!$A:$F,2,FALSE) * Y587* J587*O587*E587*S587*AD587*[2]ステータス!$B$2,0)</f>
        <v>4713</v>
      </c>
      <c r="AH587" s="99">
        <f ca="1">ROUND(VLOOKUP(1,enemy_base_stats!$A:$F,3,FALSE) * Z587*K587*P587*F587*T587*AE587 * W587*[2]ステータス!$C$2,0)</f>
        <v>220</v>
      </c>
      <c r="AI587" s="99">
        <f ca="1">ROUND(VLOOKUP(1,enemy_base_stats!$A:$F,4,FALSE) * AA587*L587*Q587*G587*U587*AF587*[2]ステータス!$D$2,0)</f>
        <v>0</v>
      </c>
      <c r="AJ587" s="99">
        <f ca="1">ROUND(VLOOKUP(100,enemy_base_stats!$A:$F,2,FALSE) * Y587* J587*O587*E587*S587*AD587*[2]ステータス!$B$2,0)</f>
        <v>191328</v>
      </c>
      <c r="AK587" s="99">
        <f ca="1">ROUND(VLOOKUP(100,enemy_base_stats!$A:$F,3,FALSE)* Z587* K587*P587*F587*T587*AE587 * W587*[2]ステータス!$C$2,0)</f>
        <v>8923</v>
      </c>
      <c r="AL587" s="99">
        <f ca="1">ROUND(VLOOKUP(100,enemy_base_stats!$A:$F,4,FALSE)* AA587* L587*Q587*G587*U587*AF587*[2]ステータス!$D$2,0)</f>
        <v>0</v>
      </c>
      <c r="AM587" s="97">
        <f ca="1">VLOOKUP(M587,[2]character_tribe_i18n!$A:$I,9,FALSE)</f>
        <v>520</v>
      </c>
      <c r="AN587" s="97">
        <v>0</v>
      </c>
      <c r="AO587" s="98">
        <v>0</v>
      </c>
      <c r="AP587" s="58" t="s">
        <v>72</v>
      </c>
      <c r="AQ587" s="34">
        <f t="shared" ca="1" si="34"/>
        <v>586</v>
      </c>
    </row>
    <row r="588" spans="1:43" ht="21" customHeight="1" x14ac:dyDescent="0.15">
      <c r="A588" s="7">
        <f t="shared" ca="1" si="33"/>
        <v>587</v>
      </c>
      <c r="B588" s="6" t="str">
        <f ca="1">VLOOKUP(A588,[2]characters!$A:$C,3,FALSE)</f>
        <v>原初の煉鋼巨刃 ユミル</v>
      </c>
      <c r="C588" s="9">
        <f ca="1">VLOOKUP(A588,[2]characters!$A:$I,9,FALSE)</f>
        <v>5</v>
      </c>
      <c r="D588" s="9" t="str">
        <f ca="1">VLOOKUP(A588,[2]characters!$A:$H,8,FALSE)</f>
        <v>red</v>
      </c>
      <c r="E588" s="97">
        <f ca="1">VLOOKUP(D588,[2]属性!$A:$E,2,FALSE)</f>
        <v>1</v>
      </c>
      <c r="F588" s="97">
        <f ca="1">VLOOKUP(D588,[2]属性!$A:$E,3,FALSE)</f>
        <v>1.02</v>
      </c>
      <c r="G588" s="97">
        <f ca="1">VLOOKUP(D588,[2]属性!$A:$F,4,FALSE)</f>
        <v>1</v>
      </c>
      <c r="H588" s="9" t="str">
        <f ca="1">VLOOKUP(A588,[2]characters!$A:$K,11,FALSE)</f>
        <v>hp</v>
      </c>
      <c r="I588" s="6" t="str">
        <f ca="1">VLOOKUP(H588,[2]character_type_i18n!$A:$F,3,FALSE)</f>
        <v>体力タイプ</v>
      </c>
      <c r="J588" s="97">
        <f ca="1">VLOOKUP(H588,[2]character_type_i18n!$A:$F,4,FALSE)</f>
        <v>1.45</v>
      </c>
      <c r="K588" s="97">
        <f ca="1">VLOOKUP(H588,[2]character_type_i18n!$A:$F,5,FALSE)</f>
        <v>0.85</v>
      </c>
      <c r="L588" s="97">
        <f ca="1">VLOOKUP(H588,[2]character_type_i18n!$A:$F,6,FALSE)</f>
        <v>1</v>
      </c>
      <c r="M588" s="9" t="str">
        <f ca="1">VLOOKUP(A588,[2]characters!$A:$M,13,FALSE)</f>
        <v>machine</v>
      </c>
      <c r="N588" s="6" t="str">
        <f ca="1">VLOOKUP(M588,[2]character_tribe_i18n!$A:$F,3,FALSE)</f>
        <v>マシン</v>
      </c>
      <c r="O588" s="97">
        <f ca="1">VLOOKUP(M588,[2]character_tribe_i18n!$A:$F,4,FALSE)</f>
        <v>1</v>
      </c>
      <c r="P588" s="97">
        <f ca="1">VLOOKUP(M588,[2]character_tribe_i18n!$A:$F,5,FALSE)</f>
        <v>1</v>
      </c>
      <c r="Q588" s="97">
        <f ca="1">VLOOKUP(M588,[2]character_tribe_i18n!$A:$F,6,FALSE)</f>
        <v>1</v>
      </c>
      <c r="R588" s="98" t="s">
        <v>98</v>
      </c>
      <c r="S588" s="97">
        <f>VLOOKUP($R588,ラベル別係数!$A$1:$E$7,3,FALSE)</f>
        <v>5</v>
      </c>
      <c r="T588" s="97">
        <f>VLOOKUP($R588,ラベル別係数!$A$1:$E$7,4,FALSE)</f>
        <v>1.3</v>
      </c>
      <c r="U588" s="97">
        <f>VLOOKUP($R588,ラベル別係数!$A$1:$E$7,5,FALSE)</f>
        <v>0.8</v>
      </c>
      <c r="V588" s="98">
        <v>3</v>
      </c>
      <c r="W588" s="99">
        <f>VLOOKUP(V588,ターン数別攻撃係数!$A$1:$B$1000,2,FALSE)</f>
        <v>1</v>
      </c>
      <c r="X588" s="9">
        <f ca="1">VLOOKUP(C588,サイズ別係数!A$2:B$9,2,FALSE)</f>
        <v>60</v>
      </c>
      <c r="Y588" s="97">
        <f ca="1">VLOOKUP($X588,サイズ別係数!$B:$E,2,FALSE)</f>
        <v>1.7</v>
      </c>
      <c r="Z588" s="97">
        <f ca="1">VLOOKUP($X588,サイズ別係数!$B:$E,3,FALSE)</f>
        <v>1.4</v>
      </c>
      <c r="AA588" s="97">
        <f ca="1">VLOOKUP($X588,サイズ別係数!$B:$E,4,FALSE)</f>
        <v>1</v>
      </c>
      <c r="AB588" s="10">
        <v>0</v>
      </c>
      <c r="AC588" s="6" t="str">
        <f ca="1">VLOOKUP($AB588,OFFSET([3]enemy_skill_sets!$B$2,0,0,COUNTA([3]enemy_skill_sets!$A:$A),MATCH(AC$1,[3]enemy_skill_sets!$1:$1,0)-MATCH($AB$1,[3]enemy_skill_sets!$1:$1,0)+1),MATCH(AC$1,[3]enemy_skill_sets!$1:$1,0)-MATCH($AB$1,[3]enemy_skill_sets!$1:$1,0)+1,FALSE)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8" s="67">
        <v>1</v>
      </c>
      <c r="AE588" s="67">
        <v>1</v>
      </c>
      <c r="AF588" s="68">
        <v>0</v>
      </c>
      <c r="AG588" s="99">
        <f ca="1">ROUND(VLOOKUP(1,enemy_base_stats!$A:$F,2,FALSE) * Y588* J588*O588*E588*S588*AD588*[2]ステータス!$B$2,0)</f>
        <v>6163</v>
      </c>
      <c r="AH588" s="99">
        <f ca="1">ROUND(VLOOKUP(1,enemy_base_stats!$A:$F,3,FALSE) * Z588*K588*P588*F588*T588*AE588 * W588*[2]ステータス!$C$2,0)</f>
        <v>237</v>
      </c>
      <c r="AI588" s="99">
        <f ca="1">ROUND(VLOOKUP(1,enemy_base_stats!$A:$F,4,FALSE) * AA588*L588*Q588*G588*U588*AF588*[2]ステータス!$D$2,0)</f>
        <v>0</v>
      </c>
      <c r="AJ588" s="99">
        <f ca="1">ROUND(VLOOKUP(100,enemy_base_stats!$A:$F,2,FALSE) * Y588* J588*O588*E588*S588*AD588*[2]ステータス!$B$2,0)</f>
        <v>250198</v>
      </c>
      <c r="AK588" s="99">
        <f ca="1">ROUND(VLOOKUP(100,enemy_base_stats!$A:$F,3,FALSE)* Z588* K588*P588*F588*T588*AE588 * W588*[2]ステータス!$C$2,0)</f>
        <v>9610</v>
      </c>
      <c r="AL588" s="99">
        <f ca="1">ROUND(VLOOKUP(100,enemy_base_stats!$A:$F,4,FALSE)* AA588* L588*Q588*G588*U588*AF588*[2]ステータス!$D$2,0)</f>
        <v>0</v>
      </c>
      <c r="AM588" s="97">
        <f ca="1">VLOOKUP(M588,[2]character_tribe_i18n!$A:$I,9,FALSE)</f>
        <v>520</v>
      </c>
      <c r="AN588" s="97">
        <v>0</v>
      </c>
      <c r="AO588" s="98">
        <v>0</v>
      </c>
      <c r="AP588" s="58" t="s">
        <v>72</v>
      </c>
      <c r="AQ588" s="34">
        <f t="shared" ca="1" si="34"/>
        <v>587</v>
      </c>
    </row>
    <row r="589" spans="1:43" ht="21" customHeight="1" x14ac:dyDescent="0.15">
      <c r="A589" s="7">
        <f t="shared" ca="1" si="33"/>
        <v>588</v>
      </c>
      <c r="B589" s="6" t="str">
        <f ca="1">VLOOKUP(A589,[2]characters!$A:$C,3,FALSE)</f>
        <v>ニーベルゲン</v>
      </c>
      <c r="C589" s="9">
        <f ca="1">VLOOKUP(A589,[2]characters!$A:$I,9,FALSE)</f>
        <v>3</v>
      </c>
      <c r="D589" s="9" t="str">
        <f ca="1">VLOOKUP(A589,[2]characters!$A:$H,8,FALSE)</f>
        <v>green</v>
      </c>
      <c r="E589" s="97">
        <f ca="1">VLOOKUP(D589,[2]属性!$A:$E,2,FALSE)</f>
        <v>1.02</v>
      </c>
      <c r="F589" s="97">
        <f ca="1">VLOOKUP(D589,[2]属性!$A:$E,3,FALSE)</f>
        <v>0.98</v>
      </c>
      <c r="G589" s="97">
        <f ca="1">VLOOKUP(D589,[2]属性!$A:$F,4,FALSE)</f>
        <v>1</v>
      </c>
      <c r="H589" s="9" t="str">
        <f ca="1">VLOOKUP(A589,[2]characters!$A:$K,11,FALSE)</f>
        <v>balance</v>
      </c>
      <c r="I589" s="6" t="str">
        <f ca="1">VLOOKUP(H589,[2]character_type_i18n!$A:$F,3,FALSE)</f>
        <v>バランスタイプ</v>
      </c>
      <c r="J589" s="97">
        <f ca="1">VLOOKUP(H589,[2]character_type_i18n!$A:$F,4,FALSE)</f>
        <v>1</v>
      </c>
      <c r="K589" s="97">
        <f ca="1">VLOOKUP(H589,[2]character_type_i18n!$A:$F,5,FALSE)</f>
        <v>1</v>
      </c>
      <c r="L589" s="97">
        <f ca="1">VLOOKUP(H589,[2]character_type_i18n!$A:$F,6,FALSE)</f>
        <v>1</v>
      </c>
      <c r="M589" s="9" t="str">
        <f ca="1">VLOOKUP(A589,[2]characters!$A:$M,13,FALSE)</f>
        <v>unknown</v>
      </c>
      <c r="N589" s="6" t="str">
        <f ca="1">VLOOKUP(M589,[2]character_tribe_i18n!$A:$F,3,FALSE)</f>
        <v>Unknown</v>
      </c>
      <c r="O589" s="97">
        <f ca="1">VLOOKUP(M589,[2]character_tribe_i18n!$A:$F,4,FALSE)</f>
        <v>1</v>
      </c>
      <c r="P589" s="97">
        <f ca="1">VLOOKUP(M589,[2]character_tribe_i18n!$A:$F,5,FALSE)</f>
        <v>1</v>
      </c>
      <c r="Q589" s="97">
        <f ca="1">VLOOKUP(M589,[2]character_tribe_i18n!$A:$F,6,FALSE)</f>
        <v>1</v>
      </c>
      <c r="R589" s="98" t="s">
        <v>98</v>
      </c>
      <c r="S589" s="97">
        <f>VLOOKUP($R589,ラベル別係数!$A$1:$E$7,3,FALSE)</f>
        <v>5</v>
      </c>
      <c r="T589" s="97">
        <f>VLOOKUP($R589,ラベル別係数!$A$1:$E$7,4,FALSE)</f>
        <v>1.3</v>
      </c>
      <c r="U589" s="97">
        <f>VLOOKUP($R589,ラベル別係数!$A$1:$E$7,5,FALSE)</f>
        <v>0.8</v>
      </c>
      <c r="V589" s="98">
        <v>3</v>
      </c>
      <c r="W589" s="99">
        <f>VLOOKUP(V589,ターン数別攻撃係数!$A$1:$B$1000,2,FALSE)</f>
        <v>1</v>
      </c>
      <c r="X589" s="9">
        <f ca="1">VLOOKUP(C589,サイズ別係数!A$2:B$9,2,FALSE)</f>
        <v>25</v>
      </c>
      <c r="Y589" s="97">
        <f ca="1">VLOOKUP($X589,サイズ別係数!$B:$E,2,FALSE)</f>
        <v>1.2</v>
      </c>
      <c r="Z589" s="97">
        <f ca="1">VLOOKUP($X589,サイズ別係数!$B:$E,3,FALSE)</f>
        <v>1.25</v>
      </c>
      <c r="AA589" s="97">
        <f ca="1">VLOOKUP($X589,サイズ別係数!$B:$E,4,FALSE)</f>
        <v>1.1499999999999999</v>
      </c>
      <c r="AB589" s="10">
        <v>0</v>
      </c>
      <c r="AC589" s="6" t="str">
        <f ca="1">VLOOKUP($AB589,OFFSET([3]enemy_skill_sets!$B$2,0,0,COUNTA([3]enemy_skill_sets!$A:$A),MATCH(AC$1,[3]enemy_skill_sets!$1:$1,0)-MATCH($AB$1,[3]enemy_skill_sets!$1:$1,0)+1),MATCH(AC$1,[3]enemy_skill_sets!$1:$1,0)-MATCH($AB$1,[3]enemy_skill_sets!$1:$1,0)+1,FALSE)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89" s="67">
        <v>1</v>
      </c>
      <c r="AE589" s="67">
        <v>1</v>
      </c>
      <c r="AF589" s="68">
        <v>0</v>
      </c>
      <c r="AG589" s="99">
        <f ca="1">ROUND(VLOOKUP(1,enemy_base_stats!$A:$F,2,FALSE) * Y589* J589*O589*E589*S589*AD589*[2]ステータス!$B$2,0)</f>
        <v>3060</v>
      </c>
      <c r="AH589" s="99">
        <f ca="1">ROUND(VLOOKUP(1,enemy_base_stats!$A:$F,3,FALSE) * Z589*K589*P589*F589*T589*AE589 * W589*[2]ステータス!$C$2,0)</f>
        <v>239</v>
      </c>
      <c r="AI589" s="99">
        <f ca="1">ROUND(VLOOKUP(1,enemy_base_stats!$A:$F,4,FALSE) * AA589*L589*Q589*G589*U589*AF589*[2]ステータス!$D$2,0)</f>
        <v>0</v>
      </c>
      <c r="AJ589" s="99">
        <f ca="1">ROUND(VLOOKUP(100,enemy_base_stats!$A:$F,2,FALSE) * Y589* J589*O589*E589*S589*AD589*[2]ステータス!$B$2,0)</f>
        <v>124236</v>
      </c>
      <c r="AK589" s="99">
        <f ca="1">ROUND(VLOOKUP(100,enemy_base_stats!$A:$F,3,FALSE)* Z589* K589*P589*F589*T589*AE589 * W589*[2]ステータス!$C$2,0)</f>
        <v>9698</v>
      </c>
      <c r="AL589" s="99">
        <f ca="1">ROUND(VLOOKUP(100,enemy_base_stats!$A:$F,4,FALSE)* AA589* L589*Q589*G589*U589*AF589*[2]ステータス!$D$2,0)</f>
        <v>0</v>
      </c>
      <c r="AM589" s="97">
        <f ca="1">VLOOKUP(M589,[2]character_tribe_i18n!$A:$I,9,FALSE)</f>
        <v>340</v>
      </c>
      <c r="AN589" s="97">
        <v>0</v>
      </c>
      <c r="AO589" s="98">
        <v>0</v>
      </c>
      <c r="AP589" s="58" t="s">
        <v>72</v>
      </c>
      <c r="AQ589" s="34">
        <f t="shared" ca="1" si="34"/>
        <v>588</v>
      </c>
    </row>
    <row r="590" spans="1:43" ht="21" customHeight="1" x14ac:dyDescent="0.15">
      <c r="A590" s="7">
        <f t="shared" ca="1" si="33"/>
        <v>589</v>
      </c>
      <c r="B590" s="6" t="str">
        <f ca="1">VLOOKUP(A590,[2]characters!$A:$C,3,FALSE)</f>
        <v>不幸の円環 ニーベルゲン</v>
      </c>
      <c r="C590" s="9">
        <f ca="1">VLOOKUP(A590,[2]characters!$A:$I,9,FALSE)</f>
        <v>4</v>
      </c>
      <c r="D590" s="9" t="str">
        <f ca="1">VLOOKUP(A590,[2]characters!$A:$H,8,FALSE)</f>
        <v>green</v>
      </c>
      <c r="E590" s="97">
        <f ca="1">VLOOKUP(D590,[2]属性!$A:$E,2,FALSE)</f>
        <v>1.02</v>
      </c>
      <c r="F590" s="97">
        <f ca="1">VLOOKUP(D590,[2]属性!$A:$E,3,FALSE)</f>
        <v>0.98</v>
      </c>
      <c r="G590" s="97">
        <f ca="1">VLOOKUP(D590,[2]属性!$A:$F,4,FALSE)</f>
        <v>1</v>
      </c>
      <c r="H590" s="9" t="str">
        <f ca="1">VLOOKUP(A590,[2]characters!$A:$K,11,FALSE)</f>
        <v>balance</v>
      </c>
      <c r="I590" s="6" t="str">
        <f ca="1">VLOOKUP(H590,[2]character_type_i18n!$A:$F,3,FALSE)</f>
        <v>バランスタイプ</v>
      </c>
      <c r="J590" s="97">
        <f ca="1">VLOOKUP(H590,[2]character_type_i18n!$A:$F,4,FALSE)</f>
        <v>1</v>
      </c>
      <c r="K590" s="97">
        <f ca="1">VLOOKUP(H590,[2]character_type_i18n!$A:$F,5,FALSE)</f>
        <v>1</v>
      </c>
      <c r="L590" s="97">
        <f ca="1">VLOOKUP(H590,[2]character_type_i18n!$A:$F,6,FALSE)</f>
        <v>1</v>
      </c>
      <c r="M590" s="9" t="str">
        <f ca="1">VLOOKUP(A590,[2]characters!$A:$M,13,FALSE)</f>
        <v>unknown</v>
      </c>
      <c r="N590" s="6" t="str">
        <f ca="1">VLOOKUP(M590,[2]character_tribe_i18n!$A:$F,3,FALSE)</f>
        <v>Unknown</v>
      </c>
      <c r="O590" s="97">
        <f ca="1">VLOOKUP(M590,[2]character_tribe_i18n!$A:$F,4,FALSE)</f>
        <v>1</v>
      </c>
      <c r="P590" s="97">
        <f ca="1">VLOOKUP(M590,[2]character_tribe_i18n!$A:$F,5,FALSE)</f>
        <v>1</v>
      </c>
      <c r="Q590" s="97">
        <f ca="1">VLOOKUP(M590,[2]character_tribe_i18n!$A:$F,6,FALSE)</f>
        <v>1</v>
      </c>
      <c r="R590" s="98" t="s">
        <v>98</v>
      </c>
      <c r="S590" s="97">
        <f>VLOOKUP($R590,ラベル別係数!$A$1:$E$7,3,FALSE)</f>
        <v>5</v>
      </c>
      <c r="T590" s="97">
        <f>VLOOKUP($R590,ラベル別係数!$A$1:$E$7,4,FALSE)</f>
        <v>1.3</v>
      </c>
      <c r="U590" s="97">
        <f>VLOOKUP($R590,ラベル別係数!$A$1:$E$7,5,FALSE)</f>
        <v>0.8</v>
      </c>
      <c r="V590" s="98">
        <v>3</v>
      </c>
      <c r="W590" s="99">
        <f>VLOOKUP(V590,ターン数別攻撃係数!$A$1:$B$1000,2,FALSE)</f>
        <v>1</v>
      </c>
      <c r="X590" s="9">
        <f ca="1">VLOOKUP(C590,サイズ別係数!A$2:B$9,2,FALSE)</f>
        <v>30</v>
      </c>
      <c r="Y590" s="97">
        <f ca="1">VLOOKUP($X590,サイズ別係数!$B:$E,2,FALSE)</f>
        <v>1.3</v>
      </c>
      <c r="Z590" s="97">
        <f ca="1">VLOOKUP($X590,サイズ別係数!$B:$E,3,FALSE)</f>
        <v>1.3</v>
      </c>
      <c r="AA590" s="97">
        <f ca="1">VLOOKUP($X590,サイズ別係数!$B:$E,4,FALSE)</f>
        <v>1.1000000000000001</v>
      </c>
      <c r="AB590" s="10">
        <v>0</v>
      </c>
      <c r="AC590" s="6" t="str">
        <f ca="1">VLOOKUP($AB590,OFFSET([3]enemy_skill_sets!$B$2,0,0,COUNTA([3]enemy_skill_sets!$A:$A),MATCH(AC$1,[3]enemy_skill_sets!$1:$1,0)-MATCH($AB$1,[3]enemy_skill_sets!$1:$1,0)+1),MATCH(AC$1,[3]enemy_skill_sets!$1:$1,0)-MATCH($AB$1,[3]enemy_skill_sets!$1:$1,0)+1,FALSE)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0" s="67">
        <v>1</v>
      </c>
      <c r="AE590" s="67">
        <v>1</v>
      </c>
      <c r="AF590" s="68">
        <v>0</v>
      </c>
      <c r="AG590" s="99">
        <f ca="1">ROUND(VLOOKUP(1,enemy_base_stats!$A:$F,2,FALSE) * Y590* J590*O590*E590*S590*AD590*[2]ステータス!$B$2,0)</f>
        <v>3315</v>
      </c>
      <c r="AH590" s="99">
        <f ca="1">ROUND(VLOOKUP(1,enemy_base_stats!$A:$F,3,FALSE) * Z590*K590*P590*F590*T590*AE590 * W590*[2]ステータス!$C$2,0)</f>
        <v>248</v>
      </c>
      <c r="AI590" s="99">
        <f ca="1">ROUND(VLOOKUP(1,enemy_base_stats!$A:$F,4,FALSE) * AA590*L590*Q590*G590*U590*AF590*[2]ステータス!$D$2,0)</f>
        <v>0</v>
      </c>
      <c r="AJ590" s="99">
        <f ca="1">ROUND(VLOOKUP(100,enemy_base_stats!$A:$F,2,FALSE) * Y590* J590*O590*E590*S590*AD590*[2]ステータス!$B$2,0)</f>
        <v>134589</v>
      </c>
      <c r="AK590" s="99">
        <f ca="1">ROUND(VLOOKUP(100,enemy_base_stats!$A:$F,3,FALSE)* Z590* K590*P590*F590*T590*AE590 * W590*[2]ステータス!$C$2,0)</f>
        <v>10086</v>
      </c>
      <c r="AL590" s="99">
        <f ca="1">ROUND(VLOOKUP(100,enemy_base_stats!$A:$F,4,FALSE)* AA590* L590*Q590*G590*U590*AF590*[2]ステータス!$D$2,0)</f>
        <v>0</v>
      </c>
      <c r="AM590" s="97">
        <f ca="1">VLOOKUP(M590,[2]character_tribe_i18n!$A:$I,9,FALSE)</f>
        <v>340</v>
      </c>
      <c r="AN590" s="97">
        <v>0</v>
      </c>
      <c r="AO590" s="98">
        <v>0</v>
      </c>
      <c r="AP590" s="58" t="s">
        <v>72</v>
      </c>
      <c r="AQ590" s="34">
        <f t="shared" ref="AQ590:AQ597" ca="1" si="35">A590</f>
        <v>589</v>
      </c>
    </row>
    <row r="591" spans="1:43" ht="21" customHeight="1" x14ac:dyDescent="0.15">
      <c r="A591" s="7">
        <f t="shared" ca="1" si="33"/>
        <v>590</v>
      </c>
      <c r="B591" s="6" t="str">
        <f ca="1">VLOOKUP(A591,[2]characters!$A:$C,3,FALSE)</f>
        <v>永遠を廻る呪い ニーベルゲン</v>
      </c>
      <c r="C591" s="9">
        <f ca="1">VLOOKUP(A591,[2]characters!$A:$I,9,FALSE)</f>
        <v>5</v>
      </c>
      <c r="D591" s="9" t="str">
        <f ca="1">VLOOKUP(A591,[2]characters!$A:$H,8,FALSE)</f>
        <v>green</v>
      </c>
      <c r="E591" s="97">
        <f ca="1">VLOOKUP(D591,[2]属性!$A:$E,2,FALSE)</f>
        <v>1.02</v>
      </c>
      <c r="F591" s="97">
        <f ca="1">VLOOKUP(D591,[2]属性!$A:$E,3,FALSE)</f>
        <v>0.98</v>
      </c>
      <c r="G591" s="97">
        <f ca="1">VLOOKUP(D591,[2]属性!$A:$F,4,FALSE)</f>
        <v>1</v>
      </c>
      <c r="H591" s="9" t="str">
        <f ca="1">VLOOKUP(A591,[2]characters!$A:$K,11,FALSE)</f>
        <v>balance</v>
      </c>
      <c r="I591" s="6" t="str">
        <f ca="1">VLOOKUP(H591,[2]character_type_i18n!$A:$F,3,FALSE)</f>
        <v>バランスタイプ</v>
      </c>
      <c r="J591" s="97">
        <f ca="1">VLOOKUP(H591,[2]character_type_i18n!$A:$F,4,FALSE)</f>
        <v>1</v>
      </c>
      <c r="K591" s="97">
        <f ca="1">VLOOKUP(H591,[2]character_type_i18n!$A:$F,5,FALSE)</f>
        <v>1</v>
      </c>
      <c r="L591" s="97">
        <f ca="1">VLOOKUP(H591,[2]character_type_i18n!$A:$F,6,FALSE)</f>
        <v>1</v>
      </c>
      <c r="M591" s="9" t="str">
        <f ca="1">VLOOKUP(A591,[2]characters!$A:$M,13,FALSE)</f>
        <v>unknown</v>
      </c>
      <c r="N591" s="6" t="str">
        <f ca="1">VLOOKUP(M591,[2]character_tribe_i18n!$A:$F,3,FALSE)</f>
        <v>Unknown</v>
      </c>
      <c r="O591" s="97">
        <f ca="1">VLOOKUP(M591,[2]character_tribe_i18n!$A:$F,4,FALSE)</f>
        <v>1</v>
      </c>
      <c r="P591" s="97">
        <f ca="1">VLOOKUP(M591,[2]character_tribe_i18n!$A:$F,5,FALSE)</f>
        <v>1</v>
      </c>
      <c r="Q591" s="97">
        <f ca="1">VLOOKUP(M591,[2]character_tribe_i18n!$A:$F,6,FALSE)</f>
        <v>1</v>
      </c>
      <c r="R591" s="98" t="s">
        <v>98</v>
      </c>
      <c r="S591" s="97">
        <f>VLOOKUP($R591,ラベル別係数!$A$1:$E$7,3,FALSE)</f>
        <v>5</v>
      </c>
      <c r="T591" s="97">
        <f>VLOOKUP($R591,ラベル別係数!$A$1:$E$7,4,FALSE)</f>
        <v>1.3</v>
      </c>
      <c r="U591" s="97">
        <f>VLOOKUP($R591,ラベル別係数!$A$1:$E$7,5,FALSE)</f>
        <v>0.8</v>
      </c>
      <c r="V591" s="98">
        <v>3</v>
      </c>
      <c r="W591" s="99">
        <f>VLOOKUP(V591,ターン数別攻撃係数!$A$1:$B$1000,2,FALSE)</f>
        <v>1</v>
      </c>
      <c r="X591" s="9">
        <f ca="1">VLOOKUP(C591,サイズ別係数!A$2:B$9,2,FALSE)</f>
        <v>60</v>
      </c>
      <c r="Y591" s="97">
        <f ca="1">VLOOKUP($X591,サイズ別係数!$B:$E,2,FALSE)</f>
        <v>1.7</v>
      </c>
      <c r="Z591" s="97">
        <f ca="1">VLOOKUP($X591,サイズ別係数!$B:$E,3,FALSE)</f>
        <v>1.4</v>
      </c>
      <c r="AA591" s="97">
        <f ca="1">VLOOKUP($X591,サイズ別係数!$B:$E,4,FALSE)</f>
        <v>1</v>
      </c>
      <c r="AB591" s="10">
        <v>0</v>
      </c>
      <c r="AC591" s="6" t="str">
        <f ca="1">VLOOKUP($AB591,OFFSET([3]enemy_skill_sets!$B$2,0,0,COUNTA([3]enemy_skill_sets!$A:$A),MATCH(AC$1,[3]enemy_skill_sets!$1:$1,0)-MATCH($AB$1,[3]enemy_skill_sets!$1:$1,0)+1),MATCH(AC$1,[3]enemy_skill_sets!$1:$1,0)-MATCH($AB$1,[3]enemy_skill_sets!$1:$1,0)+1,FALSE)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1" s="67">
        <v>1</v>
      </c>
      <c r="AE591" s="67">
        <v>1</v>
      </c>
      <c r="AF591" s="68">
        <v>0</v>
      </c>
      <c r="AG591" s="99">
        <f ca="1">ROUND(VLOOKUP(1,enemy_base_stats!$A:$F,2,FALSE) * Y591* J591*O591*E591*S591*AD591*[2]ステータス!$B$2,0)</f>
        <v>4335</v>
      </c>
      <c r="AH591" s="99">
        <f ca="1">ROUND(VLOOKUP(1,enemy_base_stats!$A:$F,3,FALSE) * Z591*K591*P591*F591*T591*AE591 * W591*[2]ステータス!$C$2,0)</f>
        <v>268</v>
      </c>
      <c r="AI591" s="99">
        <f ca="1">ROUND(VLOOKUP(1,enemy_base_stats!$A:$F,4,FALSE) * AA591*L591*Q591*G591*U591*AF591*[2]ステータス!$D$2,0)</f>
        <v>0</v>
      </c>
      <c r="AJ591" s="99">
        <f ca="1">ROUND(VLOOKUP(100,enemy_base_stats!$A:$F,2,FALSE) * Y591* J591*O591*E591*S591*AD591*[2]ステータス!$B$2,0)</f>
        <v>176001</v>
      </c>
      <c r="AK591" s="99">
        <f ca="1">ROUND(VLOOKUP(100,enemy_base_stats!$A:$F,3,FALSE)* Z591* K591*P591*F591*T591*AE591 * W591*[2]ステータス!$C$2,0)</f>
        <v>10862</v>
      </c>
      <c r="AL591" s="99">
        <f ca="1">ROUND(VLOOKUP(100,enemy_base_stats!$A:$F,4,FALSE)* AA591* L591*Q591*G591*U591*AF591*[2]ステータス!$D$2,0)</f>
        <v>0</v>
      </c>
      <c r="AM591" s="97">
        <f ca="1">VLOOKUP(M591,[2]character_tribe_i18n!$A:$I,9,FALSE)</f>
        <v>340</v>
      </c>
      <c r="AN591" s="97">
        <v>0</v>
      </c>
      <c r="AO591" s="98">
        <v>0</v>
      </c>
      <c r="AP591" s="58" t="s">
        <v>72</v>
      </c>
      <c r="AQ591" s="34">
        <f t="shared" ca="1" si="35"/>
        <v>590</v>
      </c>
    </row>
    <row r="592" spans="1:43" ht="21" customHeight="1" x14ac:dyDescent="0.15">
      <c r="A592" s="7">
        <f t="shared" ca="1" si="33"/>
        <v>591</v>
      </c>
      <c r="B592" s="6" t="str">
        <f ca="1">VLOOKUP(A592,[2]characters!$A:$C,3,FALSE)</f>
        <v>ファフニール</v>
      </c>
      <c r="C592" s="9">
        <f ca="1">VLOOKUP(A592,[2]characters!$A:$I,9,FALSE)</f>
        <v>3</v>
      </c>
      <c r="D592" s="9" t="str">
        <f ca="1">VLOOKUP(A592,[2]characters!$A:$H,8,FALSE)</f>
        <v>blue</v>
      </c>
      <c r="E592" s="97">
        <f ca="1">VLOOKUP(D592,[2]属性!$A:$E,2,FALSE)</f>
        <v>1</v>
      </c>
      <c r="F592" s="97">
        <f ca="1">VLOOKUP(D592,[2]属性!$A:$E,3,FALSE)</f>
        <v>0.98</v>
      </c>
      <c r="G592" s="97">
        <f ca="1">VLOOKUP(D592,[2]属性!$A:$F,4,FALSE)</f>
        <v>1</v>
      </c>
      <c r="H592" s="9" t="str">
        <f ca="1">VLOOKUP(A592,[2]characters!$A:$K,11,FALSE)</f>
        <v>technical</v>
      </c>
      <c r="I592" s="6" t="str">
        <f ca="1">VLOOKUP(H592,[2]character_type_i18n!$A:$F,3,FALSE)</f>
        <v>テクニカルタイプ</v>
      </c>
      <c r="J592" s="97">
        <f ca="1">VLOOKUP(H592,[2]character_type_i18n!$A:$F,4,FALSE)</f>
        <v>0.9</v>
      </c>
      <c r="K592" s="97">
        <f ca="1">VLOOKUP(H592,[2]character_type_i18n!$A:$F,5,FALSE)</f>
        <v>0.9</v>
      </c>
      <c r="L592" s="97">
        <f ca="1">VLOOKUP(H592,[2]character_type_i18n!$A:$F,6,FALSE)</f>
        <v>1</v>
      </c>
      <c r="M592" s="9" t="str">
        <f ca="1">VLOOKUP(A592,[2]characters!$A:$M,13,FALSE)</f>
        <v>dragon</v>
      </c>
      <c r="N592" s="6" t="str">
        <f ca="1">VLOOKUP(M592,[2]character_tribe_i18n!$A:$F,3,FALSE)</f>
        <v>ドラゴン</v>
      </c>
      <c r="O592" s="97">
        <f ca="1">VLOOKUP(M592,[2]character_tribe_i18n!$A:$F,4,FALSE)</f>
        <v>1.1499999999999999</v>
      </c>
      <c r="P592" s="97">
        <f ca="1">VLOOKUP(M592,[2]character_tribe_i18n!$A:$F,5,FALSE)</f>
        <v>1.1000000000000001</v>
      </c>
      <c r="Q592" s="97">
        <f ca="1">VLOOKUP(M592,[2]character_tribe_i18n!$A:$F,6,FALSE)</f>
        <v>1</v>
      </c>
      <c r="R592" s="98" t="s">
        <v>98</v>
      </c>
      <c r="S592" s="97">
        <f>VLOOKUP($R592,ラベル別係数!$A$1:$E$7,3,FALSE)</f>
        <v>5</v>
      </c>
      <c r="T592" s="97">
        <f>VLOOKUP($R592,ラベル別係数!$A$1:$E$7,4,FALSE)</f>
        <v>1.3</v>
      </c>
      <c r="U592" s="97">
        <f>VLOOKUP($R592,ラベル別係数!$A$1:$E$7,5,FALSE)</f>
        <v>0.8</v>
      </c>
      <c r="V592" s="98">
        <v>3</v>
      </c>
      <c r="W592" s="99">
        <f>VLOOKUP(V592,ターン数別攻撃係数!$A$1:$B$1000,2,FALSE)</f>
        <v>1</v>
      </c>
      <c r="X592" s="9">
        <f ca="1">VLOOKUP(C592,サイズ別係数!A$2:B$9,2,FALSE)</f>
        <v>25</v>
      </c>
      <c r="Y592" s="97">
        <f ca="1">VLOOKUP($X592,サイズ別係数!$B:$E,2,FALSE)</f>
        <v>1.2</v>
      </c>
      <c r="Z592" s="97">
        <f ca="1">VLOOKUP($X592,サイズ別係数!$B:$E,3,FALSE)</f>
        <v>1.25</v>
      </c>
      <c r="AA592" s="97">
        <f ca="1">VLOOKUP($X592,サイズ別係数!$B:$E,4,FALSE)</f>
        <v>1.1499999999999999</v>
      </c>
      <c r="AB592" s="10">
        <v>0</v>
      </c>
      <c r="AC592" s="6" t="str">
        <f ca="1">VLOOKUP($AB592,OFFSET([3]enemy_skill_sets!$B$2,0,0,COUNTA([3]enemy_skill_sets!$A:$A),MATCH(AC$1,[3]enemy_skill_sets!$1:$1,0)-MATCH($AB$1,[3]enemy_skill_sets!$1:$1,0)+1),MATCH(AC$1,[3]enemy_skill_sets!$1:$1,0)-MATCH($AB$1,[3]enemy_skill_sets!$1:$1,0)+1,FALSE)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2" s="67">
        <v>1</v>
      </c>
      <c r="AE592" s="67">
        <v>1</v>
      </c>
      <c r="AF592" s="68">
        <v>0</v>
      </c>
      <c r="AG592" s="99">
        <f ca="1">ROUND(VLOOKUP(1,enemy_base_stats!$A:$F,2,FALSE) * Y592* J592*O592*E592*S592*AD592*[2]ステータス!$B$2,0)</f>
        <v>3105</v>
      </c>
      <c r="AH592" s="99">
        <f ca="1">ROUND(VLOOKUP(1,enemy_base_stats!$A:$F,3,FALSE) * Z592*K592*P592*F592*T592*AE592 * W592*[2]ステータス!$C$2,0)</f>
        <v>236</v>
      </c>
      <c r="AI592" s="99">
        <f ca="1">ROUND(VLOOKUP(1,enemy_base_stats!$A:$F,4,FALSE) * AA592*L592*Q592*G592*U592*AF592*[2]ステータス!$D$2,0)</f>
        <v>0</v>
      </c>
      <c r="AJ592" s="99">
        <f ca="1">ROUND(VLOOKUP(100,enemy_base_stats!$A:$F,2,FALSE) * Y592* J592*O592*E592*S592*AD592*[2]ステータス!$B$2,0)</f>
        <v>126063</v>
      </c>
      <c r="AK592" s="99">
        <f ca="1">ROUND(VLOOKUP(100,enemy_base_stats!$A:$F,3,FALSE)* Z592* K592*P592*F592*T592*AE592 * W592*[2]ステータス!$C$2,0)</f>
        <v>9601</v>
      </c>
      <c r="AL592" s="99">
        <f ca="1">ROUND(VLOOKUP(100,enemy_base_stats!$A:$F,4,FALSE)* AA592* L592*Q592*G592*U592*AF592*[2]ステータス!$D$2,0)</f>
        <v>0</v>
      </c>
      <c r="AM592" s="97">
        <f ca="1">VLOOKUP(M592,[2]character_tribe_i18n!$A:$I,9,FALSE)</f>
        <v>540</v>
      </c>
      <c r="AN592" s="97">
        <v>0</v>
      </c>
      <c r="AO592" s="98">
        <v>0</v>
      </c>
      <c r="AP592" s="58" t="s">
        <v>72</v>
      </c>
      <c r="AQ592" s="34">
        <f t="shared" ca="1" si="35"/>
        <v>591</v>
      </c>
    </row>
    <row r="593" spans="1:43" ht="21" customHeight="1" x14ac:dyDescent="0.15">
      <c r="A593" s="7">
        <f t="shared" ca="1" si="33"/>
        <v>592</v>
      </c>
      <c r="B593" s="6" t="str">
        <f ca="1">VLOOKUP(A593,[2]characters!$A:$C,3,FALSE)</f>
        <v>財宝への執着 ファフニール</v>
      </c>
      <c r="C593" s="9">
        <f ca="1">VLOOKUP(A593,[2]characters!$A:$I,9,FALSE)</f>
        <v>4</v>
      </c>
      <c r="D593" s="9" t="str">
        <f ca="1">VLOOKUP(A593,[2]characters!$A:$H,8,FALSE)</f>
        <v>blue</v>
      </c>
      <c r="E593" s="97">
        <f ca="1">VLOOKUP(D593,[2]属性!$A:$E,2,FALSE)</f>
        <v>1</v>
      </c>
      <c r="F593" s="97">
        <f ca="1">VLOOKUP(D593,[2]属性!$A:$E,3,FALSE)</f>
        <v>0.98</v>
      </c>
      <c r="G593" s="97">
        <f ca="1">VLOOKUP(D593,[2]属性!$A:$F,4,FALSE)</f>
        <v>1</v>
      </c>
      <c r="H593" s="9" t="str">
        <f ca="1">VLOOKUP(A593,[2]characters!$A:$K,11,FALSE)</f>
        <v>technical</v>
      </c>
      <c r="I593" s="6" t="str">
        <f ca="1">VLOOKUP(H593,[2]character_type_i18n!$A:$F,3,FALSE)</f>
        <v>テクニカルタイプ</v>
      </c>
      <c r="J593" s="97">
        <f ca="1">VLOOKUP(H593,[2]character_type_i18n!$A:$F,4,FALSE)</f>
        <v>0.9</v>
      </c>
      <c r="K593" s="97">
        <f ca="1">VLOOKUP(H593,[2]character_type_i18n!$A:$F,5,FALSE)</f>
        <v>0.9</v>
      </c>
      <c r="L593" s="97">
        <f ca="1">VLOOKUP(H593,[2]character_type_i18n!$A:$F,6,FALSE)</f>
        <v>1</v>
      </c>
      <c r="M593" s="9" t="str">
        <f ca="1">VLOOKUP(A593,[2]characters!$A:$M,13,FALSE)</f>
        <v>dragon</v>
      </c>
      <c r="N593" s="6" t="str">
        <f ca="1">VLOOKUP(M593,[2]character_tribe_i18n!$A:$F,3,FALSE)</f>
        <v>ドラゴン</v>
      </c>
      <c r="O593" s="97">
        <f ca="1">VLOOKUP(M593,[2]character_tribe_i18n!$A:$F,4,FALSE)</f>
        <v>1.1499999999999999</v>
      </c>
      <c r="P593" s="97">
        <f ca="1">VLOOKUP(M593,[2]character_tribe_i18n!$A:$F,5,FALSE)</f>
        <v>1.1000000000000001</v>
      </c>
      <c r="Q593" s="97">
        <f ca="1">VLOOKUP(M593,[2]character_tribe_i18n!$A:$F,6,FALSE)</f>
        <v>1</v>
      </c>
      <c r="R593" s="98" t="s">
        <v>98</v>
      </c>
      <c r="S593" s="97">
        <f>VLOOKUP($R593,ラベル別係数!$A$1:$E$7,3,FALSE)</f>
        <v>5</v>
      </c>
      <c r="T593" s="97">
        <f>VLOOKUP($R593,ラベル別係数!$A$1:$E$7,4,FALSE)</f>
        <v>1.3</v>
      </c>
      <c r="U593" s="97">
        <f>VLOOKUP($R593,ラベル別係数!$A$1:$E$7,5,FALSE)</f>
        <v>0.8</v>
      </c>
      <c r="V593" s="98">
        <v>3</v>
      </c>
      <c r="W593" s="99">
        <f>VLOOKUP(V593,ターン数別攻撃係数!$A$1:$B$1000,2,FALSE)</f>
        <v>1</v>
      </c>
      <c r="X593" s="9">
        <f ca="1">VLOOKUP(C593,サイズ別係数!A$2:B$9,2,FALSE)</f>
        <v>30</v>
      </c>
      <c r="Y593" s="97">
        <f ca="1">VLOOKUP($X593,サイズ別係数!$B:$E,2,FALSE)</f>
        <v>1.3</v>
      </c>
      <c r="Z593" s="97">
        <f ca="1">VLOOKUP($X593,サイズ別係数!$B:$E,3,FALSE)</f>
        <v>1.3</v>
      </c>
      <c r="AA593" s="97">
        <f ca="1">VLOOKUP($X593,サイズ別係数!$B:$E,4,FALSE)</f>
        <v>1.1000000000000001</v>
      </c>
      <c r="AB593" s="10">
        <v>0</v>
      </c>
      <c r="AC593" s="6" t="str">
        <f ca="1">VLOOKUP($AB593,OFFSET([3]enemy_skill_sets!$B$2,0,0,COUNTA([3]enemy_skill_sets!$A:$A),MATCH(AC$1,[3]enemy_skill_sets!$1:$1,0)-MATCH($AB$1,[3]enemy_skill_sets!$1:$1,0)+1),MATCH(AC$1,[3]enemy_skill_sets!$1:$1,0)-MATCH($AB$1,[3]enemy_skill_sets!$1:$1,0)+1,FALSE)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3" s="67">
        <v>1</v>
      </c>
      <c r="AE593" s="67">
        <v>1</v>
      </c>
      <c r="AF593" s="68">
        <v>0</v>
      </c>
      <c r="AG593" s="99">
        <f ca="1">ROUND(VLOOKUP(1,enemy_base_stats!$A:$F,2,FALSE) * Y593* J593*O593*E593*S593*AD593*[2]ステータス!$B$2,0)</f>
        <v>3364</v>
      </c>
      <c r="AH593" s="99">
        <f ca="1">ROUND(VLOOKUP(1,enemy_base_stats!$A:$F,3,FALSE) * Z593*K593*P593*F593*T593*AE593 * W593*[2]ステータス!$C$2,0)</f>
        <v>246</v>
      </c>
      <c r="AI593" s="99">
        <f ca="1">ROUND(VLOOKUP(1,enemy_base_stats!$A:$F,4,FALSE) * AA593*L593*Q593*G593*U593*AF593*[2]ステータス!$D$2,0)</f>
        <v>0</v>
      </c>
      <c r="AJ593" s="99">
        <f ca="1">ROUND(VLOOKUP(100,enemy_base_stats!$A:$F,2,FALSE) * Y593* J593*O593*E593*S593*AD593*[2]ステータス!$B$2,0)</f>
        <v>136568</v>
      </c>
      <c r="AK593" s="99">
        <f ca="1">ROUND(VLOOKUP(100,enemy_base_stats!$A:$F,3,FALSE)* Z593* K593*P593*F593*T593*AE593 * W593*[2]ステータス!$C$2,0)</f>
        <v>9985</v>
      </c>
      <c r="AL593" s="99">
        <f ca="1">ROUND(VLOOKUP(100,enemy_base_stats!$A:$F,4,FALSE)* AA593* L593*Q593*G593*U593*AF593*[2]ステータス!$D$2,0)</f>
        <v>0</v>
      </c>
      <c r="AM593" s="97">
        <f ca="1">VLOOKUP(M593,[2]character_tribe_i18n!$A:$I,9,FALSE)</f>
        <v>540</v>
      </c>
      <c r="AN593" s="97">
        <v>0</v>
      </c>
      <c r="AO593" s="98">
        <v>0</v>
      </c>
      <c r="AP593" s="58" t="s">
        <v>72</v>
      </c>
      <c r="AQ593" s="34">
        <f t="shared" ca="1" si="35"/>
        <v>592</v>
      </c>
    </row>
    <row r="594" spans="1:43" ht="21" customHeight="1" x14ac:dyDescent="0.15">
      <c r="A594" s="7">
        <f t="shared" ca="1" si="33"/>
        <v>593</v>
      </c>
      <c r="B594" s="6" t="str">
        <f ca="1">VLOOKUP(A594,[2]characters!$A:$C,3,FALSE)</f>
        <v>妄執する邪毒龍 ファフニール</v>
      </c>
      <c r="C594" s="9">
        <f ca="1">VLOOKUP(A594,[2]characters!$A:$I,9,FALSE)</f>
        <v>5</v>
      </c>
      <c r="D594" s="9" t="str">
        <f ca="1">VLOOKUP(A594,[2]characters!$A:$H,8,FALSE)</f>
        <v>blue</v>
      </c>
      <c r="E594" s="97">
        <f ca="1">VLOOKUP(D594,[2]属性!$A:$E,2,FALSE)</f>
        <v>1</v>
      </c>
      <c r="F594" s="97">
        <f ca="1">VLOOKUP(D594,[2]属性!$A:$E,3,FALSE)</f>
        <v>0.98</v>
      </c>
      <c r="G594" s="97">
        <f ca="1">VLOOKUP(D594,[2]属性!$A:$F,4,FALSE)</f>
        <v>1</v>
      </c>
      <c r="H594" s="9" t="str">
        <f ca="1">VLOOKUP(A594,[2]characters!$A:$K,11,FALSE)</f>
        <v>technical</v>
      </c>
      <c r="I594" s="6" t="str">
        <f ca="1">VLOOKUP(H594,[2]character_type_i18n!$A:$F,3,FALSE)</f>
        <v>テクニカルタイプ</v>
      </c>
      <c r="J594" s="97">
        <f ca="1">VLOOKUP(H594,[2]character_type_i18n!$A:$F,4,FALSE)</f>
        <v>0.9</v>
      </c>
      <c r="K594" s="97">
        <f ca="1">VLOOKUP(H594,[2]character_type_i18n!$A:$F,5,FALSE)</f>
        <v>0.9</v>
      </c>
      <c r="L594" s="97">
        <f ca="1">VLOOKUP(H594,[2]character_type_i18n!$A:$F,6,FALSE)</f>
        <v>1</v>
      </c>
      <c r="M594" s="9" t="str">
        <f ca="1">VLOOKUP(A594,[2]characters!$A:$M,13,FALSE)</f>
        <v>dragon</v>
      </c>
      <c r="N594" s="6" t="str">
        <f ca="1">VLOOKUP(M594,[2]character_tribe_i18n!$A:$F,3,FALSE)</f>
        <v>ドラゴン</v>
      </c>
      <c r="O594" s="97">
        <f ca="1">VLOOKUP(M594,[2]character_tribe_i18n!$A:$F,4,FALSE)</f>
        <v>1.1499999999999999</v>
      </c>
      <c r="P594" s="97">
        <f ca="1">VLOOKUP(M594,[2]character_tribe_i18n!$A:$F,5,FALSE)</f>
        <v>1.1000000000000001</v>
      </c>
      <c r="Q594" s="97">
        <f ca="1">VLOOKUP(M594,[2]character_tribe_i18n!$A:$F,6,FALSE)</f>
        <v>1</v>
      </c>
      <c r="R594" s="98" t="s">
        <v>98</v>
      </c>
      <c r="S594" s="97">
        <f>VLOOKUP($R594,ラベル別係数!$A$1:$E$7,3,FALSE)</f>
        <v>5</v>
      </c>
      <c r="T594" s="97">
        <f>VLOOKUP($R594,ラベル別係数!$A$1:$E$7,4,FALSE)</f>
        <v>1.3</v>
      </c>
      <c r="U594" s="97">
        <f>VLOOKUP($R594,ラベル別係数!$A$1:$E$7,5,FALSE)</f>
        <v>0.8</v>
      </c>
      <c r="V594" s="98">
        <v>3</v>
      </c>
      <c r="W594" s="99">
        <f>VLOOKUP(V594,ターン数別攻撃係数!$A$1:$B$1000,2,FALSE)</f>
        <v>1</v>
      </c>
      <c r="X594" s="9">
        <f ca="1">VLOOKUP(C594,サイズ別係数!A$2:B$9,2,FALSE)</f>
        <v>60</v>
      </c>
      <c r="Y594" s="97">
        <f ca="1">VLOOKUP($X594,サイズ別係数!$B:$E,2,FALSE)</f>
        <v>1.7</v>
      </c>
      <c r="Z594" s="97">
        <f ca="1">VLOOKUP($X594,サイズ別係数!$B:$E,3,FALSE)</f>
        <v>1.4</v>
      </c>
      <c r="AA594" s="97">
        <f ca="1">VLOOKUP($X594,サイズ別係数!$B:$E,4,FALSE)</f>
        <v>1</v>
      </c>
      <c r="AB594" s="10">
        <v>0</v>
      </c>
      <c r="AC594" s="6" t="str">
        <f ca="1">VLOOKUP($AB594,OFFSET([3]enemy_skill_sets!$B$2,0,0,COUNTA([3]enemy_skill_sets!$A:$A),MATCH(AC$1,[3]enemy_skill_sets!$1:$1,0)-MATCH($AB$1,[3]enemy_skill_sets!$1:$1,0)+1),MATCH(AC$1,[3]enemy_skill_sets!$1:$1,0)-MATCH($AB$1,[3]enemy_skill_sets!$1:$1,0)+1,FALSE)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4" s="67">
        <v>1</v>
      </c>
      <c r="AE594" s="67">
        <v>1</v>
      </c>
      <c r="AF594" s="68">
        <v>0</v>
      </c>
      <c r="AG594" s="99">
        <f ca="1">ROUND(VLOOKUP(1,enemy_base_stats!$A:$F,2,FALSE) * Y594* J594*O594*E594*S594*AD594*[2]ステータス!$B$2,0)</f>
        <v>4399</v>
      </c>
      <c r="AH594" s="99">
        <f ca="1">ROUND(VLOOKUP(1,enemy_base_stats!$A:$F,3,FALSE) * Z594*K594*P594*F594*T594*AE594 * W594*[2]ステータス!$C$2,0)</f>
        <v>265</v>
      </c>
      <c r="AI594" s="99">
        <f ca="1">ROUND(VLOOKUP(1,enemy_base_stats!$A:$F,4,FALSE) * AA594*L594*Q594*G594*U594*AF594*[2]ステータス!$D$2,0)</f>
        <v>0</v>
      </c>
      <c r="AJ594" s="99">
        <f ca="1">ROUND(VLOOKUP(100,enemy_base_stats!$A:$F,2,FALSE) * Y594* J594*O594*E594*S594*AD594*[2]ステータス!$B$2,0)</f>
        <v>178589</v>
      </c>
      <c r="AK594" s="99">
        <f ca="1">ROUND(VLOOKUP(100,enemy_base_stats!$A:$F,3,FALSE)* Z594* K594*P594*F594*T594*AE594 * W594*[2]ステータス!$C$2,0)</f>
        <v>10754</v>
      </c>
      <c r="AL594" s="99">
        <f ca="1">ROUND(VLOOKUP(100,enemy_base_stats!$A:$F,4,FALSE)* AA594* L594*Q594*G594*U594*AF594*[2]ステータス!$D$2,0)</f>
        <v>0</v>
      </c>
      <c r="AM594" s="97">
        <f ca="1">VLOOKUP(M594,[2]character_tribe_i18n!$A:$I,9,FALSE)</f>
        <v>540</v>
      </c>
      <c r="AN594" s="97">
        <v>0</v>
      </c>
      <c r="AO594" s="98">
        <v>0</v>
      </c>
      <c r="AP594" s="58" t="s">
        <v>72</v>
      </c>
      <c r="AQ594" s="34">
        <f t="shared" ca="1" si="35"/>
        <v>593</v>
      </c>
    </row>
    <row r="595" spans="1:43" ht="21" customHeight="1" x14ac:dyDescent="0.15">
      <c r="A595" s="7">
        <f t="shared" ca="1" si="33"/>
        <v>594</v>
      </c>
      <c r="B595" s="6" t="str">
        <f ca="1">VLOOKUP(A595,[2]characters!$A:$C,3,FALSE)</f>
        <v>アルフヘイム</v>
      </c>
      <c r="C595" s="9">
        <f ca="1">VLOOKUP(A595,[2]characters!$A:$I,9,FALSE)</f>
        <v>4</v>
      </c>
      <c r="D595" s="9" t="str">
        <f ca="1">VLOOKUP(A595,[2]characters!$A:$H,8,FALSE)</f>
        <v>yellow</v>
      </c>
      <c r="E595" s="97">
        <f ca="1">VLOOKUP(D595,[2]属性!$A:$E,2,FALSE)</f>
        <v>0.98</v>
      </c>
      <c r="F595" s="97">
        <f ca="1">VLOOKUP(D595,[2]属性!$A:$E,3,FALSE)</f>
        <v>1.01</v>
      </c>
      <c r="G595" s="97">
        <f ca="1">VLOOKUP(D595,[2]属性!$A:$F,4,FALSE)</f>
        <v>1</v>
      </c>
      <c r="H595" s="9" t="str">
        <f ca="1">VLOOKUP(A595,[2]characters!$A:$K,11,FALSE)</f>
        <v>attack</v>
      </c>
      <c r="I595" s="6" t="str">
        <f ca="1">VLOOKUP(H595,[2]character_type_i18n!$A:$F,3,FALSE)</f>
        <v>攻撃タイプ</v>
      </c>
      <c r="J595" s="97">
        <f ca="1">VLOOKUP(H595,[2]character_type_i18n!$A:$F,4,FALSE)</f>
        <v>1</v>
      </c>
      <c r="K595" s="97">
        <f ca="1">VLOOKUP(H595,[2]character_type_i18n!$A:$F,5,FALSE)</f>
        <v>1.33</v>
      </c>
      <c r="L595" s="97">
        <f ca="1">VLOOKUP(H595,[2]character_type_i18n!$A:$F,6,FALSE)</f>
        <v>1</v>
      </c>
      <c r="M595" s="9" t="str">
        <f ca="1">VLOOKUP(A595,[2]characters!$A:$M,13,FALSE)</f>
        <v>dragon</v>
      </c>
      <c r="N595" s="6" t="str">
        <f ca="1">VLOOKUP(M595,[2]character_tribe_i18n!$A:$F,3,FALSE)</f>
        <v>ドラゴン</v>
      </c>
      <c r="O595" s="97">
        <f ca="1">VLOOKUP(M595,[2]character_tribe_i18n!$A:$F,4,FALSE)</f>
        <v>1.1499999999999999</v>
      </c>
      <c r="P595" s="97">
        <f ca="1">VLOOKUP(M595,[2]character_tribe_i18n!$A:$F,5,FALSE)</f>
        <v>1.1000000000000001</v>
      </c>
      <c r="Q595" s="97">
        <f ca="1">VLOOKUP(M595,[2]character_tribe_i18n!$A:$F,6,FALSE)</f>
        <v>1</v>
      </c>
      <c r="R595" s="98" t="s">
        <v>98</v>
      </c>
      <c r="S595" s="97">
        <f>VLOOKUP($R595,ラベル別係数!$A$1:$E$7,3,FALSE)</f>
        <v>5</v>
      </c>
      <c r="T595" s="97">
        <f>VLOOKUP($R595,ラベル別係数!$A$1:$E$7,4,FALSE)</f>
        <v>1.3</v>
      </c>
      <c r="U595" s="97">
        <f>VLOOKUP($R595,ラベル別係数!$A$1:$E$7,5,FALSE)</f>
        <v>0.8</v>
      </c>
      <c r="V595" s="98">
        <v>3</v>
      </c>
      <c r="W595" s="99">
        <f>VLOOKUP(V595,ターン数別攻撃係数!$A$1:$B$1000,2,FALSE)</f>
        <v>1</v>
      </c>
      <c r="X595" s="9">
        <f ca="1">VLOOKUP(C595,サイズ別係数!A$2:B$9,2,FALSE)</f>
        <v>30</v>
      </c>
      <c r="Y595" s="97">
        <f ca="1">VLOOKUP($X595,サイズ別係数!$B:$E,2,FALSE)</f>
        <v>1.3</v>
      </c>
      <c r="Z595" s="97">
        <f ca="1">VLOOKUP($X595,サイズ別係数!$B:$E,3,FALSE)</f>
        <v>1.3</v>
      </c>
      <c r="AA595" s="97">
        <f ca="1">VLOOKUP($X595,サイズ別係数!$B:$E,4,FALSE)</f>
        <v>1.1000000000000001</v>
      </c>
      <c r="AB595" s="10">
        <v>0</v>
      </c>
      <c r="AC595" s="6" t="str">
        <f ca="1">VLOOKUP($AB595,OFFSET([3]enemy_skill_sets!$B$2,0,0,COUNTA([3]enemy_skill_sets!$A:$A),MATCH(AC$1,[3]enemy_skill_sets!$1:$1,0)-MATCH($AB$1,[3]enemy_skill_sets!$1:$1,0)+1),MATCH(AC$1,[3]enemy_skill_sets!$1:$1,0)-MATCH($AB$1,[3]enemy_skill_sets!$1:$1,0)+1,FALSE)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5" s="67">
        <v>1</v>
      </c>
      <c r="AE595" s="67">
        <v>1</v>
      </c>
      <c r="AF595" s="68">
        <v>0</v>
      </c>
      <c r="AG595" s="99">
        <f ca="1">ROUND(VLOOKUP(1,enemy_base_stats!$A:$F,2,FALSE) * Y595* J595*O595*E595*S595*AD595*[2]ステータス!$B$2,0)</f>
        <v>3663</v>
      </c>
      <c r="AH595" s="99">
        <f ca="1">ROUND(VLOOKUP(1,enemy_base_stats!$A:$F,3,FALSE) * Z595*K595*P595*F595*T595*AE595 * W595*[2]ステータス!$C$2,0)</f>
        <v>375</v>
      </c>
      <c r="AI595" s="99">
        <f ca="1">ROUND(VLOOKUP(1,enemy_base_stats!$A:$F,4,FALSE) * AA595*L595*Q595*G595*U595*AF595*[2]ステータス!$D$2,0)</f>
        <v>0</v>
      </c>
      <c r="AJ595" s="99">
        <f ca="1">ROUND(VLOOKUP(100,enemy_base_stats!$A:$F,2,FALSE) * Y595* J595*O595*E595*S595*AD595*[2]ステータス!$B$2,0)</f>
        <v>148708</v>
      </c>
      <c r="AK595" s="99">
        <f ca="1">ROUND(VLOOKUP(100,enemy_base_stats!$A:$F,3,FALSE)* Z595* K595*P595*F595*T595*AE595 * W595*[2]ステータス!$C$2,0)</f>
        <v>15208</v>
      </c>
      <c r="AL595" s="99">
        <f ca="1">ROUND(VLOOKUP(100,enemy_base_stats!$A:$F,4,FALSE)* AA595* L595*Q595*G595*U595*AF595*[2]ステータス!$D$2,0)</f>
        <v>0</v>
      </c>
      <c r="AM595" s="97">
        <f ca="1">VLOOKUP(M595,[2]character_tribe_i18n!$A:$I,9,FALSE)</f>
        <v>540</v>
      </c>
      <c r="AN595" s="97">
        <v>0</v>
      </c>
      <c r="AO595" s="98">
        <v>0</v>
      </c>
      <c r="AP595" s="58" t="s">
        <v>72</v>
      </c>
      <c r="AQ595" s="34">
        <f t="shared" ca="1" si="35"/>
        <v>594</v>
      </c>
    </row>
    <row r="596" spans="1:43" ht="21" customHeight="1" x14ac:dyDescent="0.15">
      <c r="A596" s="7">
        <f t="shared" ca="1" si="33"/>
        <v>595</v>
      </c>
      <c r="B596" s="6" t="str">
        <f ca="1">VLOOKUP(A596,[2]characters!$A:$C,3,FALSE)</f>
        <v>光華なる神域 アルフヘイム</v>
      </c>
      <c r="C596" s="9">
        <f ca="1">VLOOKUP(A596,[2]characters!$A:$I,9,FALSE)</f>
        <v>5</v>
      </c>
      <c r="D596" s="9" t="str">
        <f ca="1">VLOOKUP(A596,[2]characters!$A:$H,8,FALSE)</f>
        <v>yellow</v>
      </c>
      <c r="E596" s="97">
        <f ca="1">VLOOKUP(D596,[2]属性!$A:$E,2,FALSE)</f>
        <v>0.98</v>
      </c>
      <c r="F596" s="97">
        <f ca="1">VLOOKUP(D596,[2]属性!$A:$E,3,FALSE)</f>
        <v>1.01</v>
      </c>
      <c r="G596" s="97">
        <f ca="1">VLOOKUP(D596,[2]属性!$A:$F,4,FALSE)</f>
        <v>1</v>
      </c>
      <c r="H596" s="9" t="str">
        <f ca="1">VLOOKUP(A596,[2]characters!$A:$K,11,FALSE)</f>
        <v>attack</v>
      </c>
      <c r="I596" s="6" t="str">
        <f ca="1">VLOOKUP(H596,[2]character_type_i18n!$A:$F,3,FALSE)</f>
        <v>攻撃タイプ</v>
      </c>
      <c r="J596" s="97">
        <f ca="1">VLOOKUP(H596,[2]character_type_i18n!$A:$F,4,FALSE)</f>
        <v>1</v>
      </c>
      <c r="K596" s="97">
        <f ca="1">VLOOKUP(H596,[2]character_type_i18n!$A:$F,5,FALSE)</f>
        <v>1.33</v>
      </c>
      <c r="L596" s="97">
        <f ca="1">VLOOKUP(H596,[2]character_type_i18n!$A:$F,6,FALSE)</f>
        <v>1</v>
      </c>
      <c r="M596" s="9" t="str">
        <f ca="1">VLOOKUP(A596,[2]characters!$A:$M,13,FALSE)</f>
        <v>dragon</v>
      </c>
      <c r="N596" s="6" t="str">
        <f ca="1">VLOOKUP(M596,[2]character_tribe_i18n!$A:$F,3,FALSE)</f>
        <v>ドラゴン</v>
      </c>
      <c r="O596" s="97">
        <f ca="1">VLOOKUP(M596,[2]character_tribe_i18n!$A:$F,4,FALSE)</f>
        <v>1.1499999999999999</v>
      </c>
      <c r="P596" s="97">
        <f ca="1">VLOOKUP(M596,[2]character_tribe_i18n!$A:$F,5,FALSE)</f>
        <v>1.1000000000000001</v>
      </c>
      <c r="Q596" s="97">
        <f ca="1">VLOOKUP(M596,[2]character_tribe_i18n!$A:$F,6,FALSE)</f>
        <v>1</v>
      </c>
      <c r="R596" s="98" t="s">
        <v>98</v>
      </c>
      <c r="S596" s="97">
        <f>VLOOKUP($R596,ラベル別係数!$A$1:$E$7,3,FALSE)</f>
        <v>5</v>
      </c>
      <c r="T596" s="97">
        <f>VLOOKUP($R596,ラベル別係数!$A$1:$E$7,4,FALSE)</f>
        <v>1.3</v>
      </c>
      <c r="U596" s="97">
        <f>VLOOKUP($R596,ラベル別係数!$A$1:$E$7,5,FALSE)</f>
        <v>0.8</v>
      </c>
      <c r="V596" s="98">
        <v>3</v>
      </c>
      <c r="W596" s="99">
        <f>VLOOKUP(V596,ターン数別攻撃係数!$A$1:$B$1000,2,FALSE)</f>
        <v>1</v>
      </c>
      <c r="X596" s="9">
        <f ca="1">VLOOKUP(C596,サイズ別係数!A$2:B$9,2,FALSE)</f>
        <v>60</v>
      </c>
      <c r="Y596" s="97">
        <f ca="1">VLOOKUP($X596,サイズ別係数!$B:$E,2,FALSE)</f>
        <v>1.7</v>
      </c>
      <c r="Z596" s="97">
        <f ca="1">VLOOKUP($X596,サイズ別係数!$B:$E,3,FALSE)</f>
        <v>1.4</v>
      </c>
      <c r="AA596" s="97">
        <f ca="1">VLOOKUP($X596,サイズ別係数!$B:$E,4,FALSE)</f>
        <v>1</v>
      </c>
      <c r="AB596" s="10">
        <v>0</v>
      </c>
      <c r="AC596" s="6" t="str">
        <f ca="1">VLOOKUP($AB596,OFFSET([3]enemy_skill_sets!$B$2,0,0,COUNTA([3]enemy_skill_sets!$A:$A),MATCH(AC$1,[3]enemy_skill_sets!$1:$1,0)-MATCH($AB$1,[3]enemy_skill_sets!$1:$1,0)+1),MATCH(AC$1,[3]enemy_skill_sets!$1:$1,0)-MATCH($AB$1,[3]enemy_skill_sets!$1:$1,0)+1,FALSE)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6" s="67">
        <v>1</v>
      </c>
      <c r="AE596" s="67">
        <v>1</v>
      </c>
      <c r="AF596" s="68">
        <v>0</v>
      </c>
      <c r="AG596" s="99">
        <f ca="1">ROUND(VLOOKUP(1,enemy_base_stats!$A:$F,2,FALSE) * Y596* J596*O596*E596*S596*AD596*[2]ステータス!$B$2,0)</f>
        <v>4790</v>
      </c>
      <c r="AH596" s="99">
        <f ca="1">ROUND(VLOOKUP(1,enemy_base_stats!$A:$F,3,FALSE) * Z596*K596*P596*F596*T596*AE596 * W596*[2]ステータス!$C$2,0)</f>
        <v>403</v>
      </c>
      <c r="AI596" s="99">
        <f ca="1">ROUND(VLOOKUP(1,enemy_base_stats!$A:$F,4,FALSE) * AA596*L596*Q596*G596*U596*AF596*[2]ステータス!$D$2,0)</f>
        <v>0</v>
      </c>
      <c r="AJ596" s="99">
        <f ca="1">ROUND(VLOOKUP(100,enemy_base_stats!$A:$F,2,FALSE) * Y596* J596*O596*E596*S596*AD596*[2]ステータス!$B$2,0)</f>
        <v>194464</v>
      </c>
      <c r="AK596" s="99">
        <f ca="1">ROUND(VLOOKUP(100,enemy_base_stats!$A:$F,3,FALSE)* Z596* K596*P596*F596*T596*AE596 * W596*[2]ステータス!$C$2,0)</f>
        <v>16378</v>
      </c>
      <c r="AL596" s="99">
        <f ca="1">ROUND(VLOOKUP(100,enemy_base_stats!$A:$F,4,FALSE)* AA596* L596*Q596*G596*U596*AF596*[2]ステータス!$D$2,0)</f>
        <v>0</v>
      </c>
      <c r="AM596" s="97">
        <f ca="1">VLOOKUP(M596,[2]character_tribe_i18n!$A:$I,9,FALSE)</f>
        <v>540</v>
      </c>
      <c r="AN596" s="97">
        <v>0</v>
      </c>
      <c r="AO596" s="98">
        <v>0</v>
      </c>
      <c r="AP596" s="58" t="s">
        <v>72</v>
      </c>
      <c r="AQ596" s="34">
        <f t="shared" ca="1" si="35"/>
        <v>595</v>
      </c>
    </row>
    <row r="597" spans="1:43" ht="21" customHeight="1" x14ac:dyDescent="0.15">
      <c r="A597" s="7">
        <f t="shared" ca="1" si="33"/>
        <v>596</v>
      </c>
      <c r="B597" s="6" t="str">
        <f ca="1">VLOOKUP(A597,[2]characters!$A:$C,3,FALSE)</f>
        <v>ムスペルヘイム</v>
      </c>
      <c r="C597" s="9">
        <f ca="1">VLOOKUP(A597,[2]characters!$A:$I,9,FALSE)</f>
        <v>3</v>
      </c>
      <c r="D597" s="9" t="str">
        <f ca="1">VLOOKUP(A597,[2]characters!$A:$H,8,FALSE)</f>
        <v>red</v>
      </c>
      <c r="E597" s="97">
        <f ca="1">VLOOKUP(D597,[2]属性!$A:$E,2,FALSE)</f>
        <v>1</v>
      </c>
      <c r="F597" s="97">
        <f ca="1">VLOOKUP(D597,[2]属性!$A:$E,3,FALSE)</f>
        <v>1.02</v>
      </c>
      <c r="G597" s="97">
        <f ca="1">VLOOKUP(D597,[2]属性!$A:$F,4,FALSE)</f>
        <v>1</v>
      </c>
      <c r="H597" s="9" t="str">
        <f ca="1">VLOOKUP(A597,[2]characters!$A:$K,11,FALSE)</f>
        <v>balance</v>
      </c>
      <c r="I597" s="6" t="str">
        <f ca="1">VLOOKUP(H597,[2]character_type_i18n!$A:$F,3,FALSE)</f>
        <v>バランスタイプ</v>
      </c>
      <c r="J597" s="97">
        <f ca="1">VLOOKUP(H597,[2]character_type_i18n!$A:$F,4,FALSE)</f>
        <v>1</v>
      </c>
      <c r="K597" s="97">
        <f ca="1">VLOOKUP(H597,[2]character_type_i18n!$A:$F,5,FALSE)</f>
        <v>1</v>
      </c>
      <c r="L597" s="97">
        <f ca="1">VLOOKUP(H597,[2]character_type_i18n!$A:$F,6,FALSE)</f>
        <v>1</v>
      </c>
      <c r="M597" s="9" t="str">
        <f ca="1">VLOOKUP(A597,[2]characters!$A:$M,13,FALSE)</f>
        <v>human</v>
      </c>
      <c r="N597" s="6" t="str">
        <f ca="1">VLOOKUP(M597,[2]character_tribe_i18n!$A:$F,3,FALSE)</f>
        <v>ヒューマン</v>
      </c>
      <c r="O597" s="97">
        <f ca="1">VLOOKUP(M597,[2]character_tribe_i18n!$A:$F,4,FALSE)</f>
        <v>0.94</v>
      </c>
      <c r="P597" s="97">
        <f ca="1">VLOOKUP(M597,[2]character_tribe_i18n!$A:$F,5,FALSE)</f>
        <v>0.99</v>
      </c>
      <c r="Q597" s="97">
        <f ca="1">VLOOKUP(M597,[2]character_tribe_i18n!$A:$F,6,FALSE)</f>
        <v>1</v>
      </c>
      <c r="R597" s="98" t="s">
        <v>98</v>
      </c>
      <c r="S597" s="97">
        <f>VLOOKUP($R597,ラベル別係数!$A$1:$E$7,3,FALSE)</f>
        <v>5</v>
      </c>
      <c r="T597" s="97">
        <f>VLOOKUP($R597,ラベル別係数!$A$1:$E$7,4,FALSE)</f>
        <v>1.3</v>
      </c>
      <c r="U597" s="97">
        <f>VLOOKUP($R597,ラベル別係数!$A$1:$E$7,5,FALSE)</f>
        <v>0.8</v>
      </c>
      <c r="V597" s="98">
        <v>3</v>
      </c>
      <c r="W597" s="99">
        <f>VLOOKUP(V597,ターン数別攻撃係数!$A$1:$B$1000,2,FALSE)</f>
        <v>1</v>
      </c>
      <c r="X597" s="9">
        <f ca="1">VLOOKUP(C597,サイズ別係数!A$2:B$9,2,FALSE)</f>
        <v>25</v>
      </c>
      <c r="Y597" s="97">
        <f ca="1">VLOOKUP($X597,サイズ別係数!$B:$E,2,FALSE)</f>
        <v>1.2</v>
      </c>
      <c r="Z597" s="97">
        <f ca="1">VLOOKUP($X597,サイズ別係数!$B:$E,3,FALSE)</f>
        <v>1.25</v>
      </c>
      <c r="AA597" s="97">
        <f ca="1">VLOOKUP($X597,サイズ別係数!$B:$E,4,FALSE)</f>
        <v>1.1499999999999999</v>
      </c>
      <c r="AB597" s="10">
        <v>0</v>
      </c>
      <c r="AC597" s="6" t="str">
        <f ca="1">VLOOKUP($AB597,OFFSET([3]enemy_skill_sets!$B$2,0,0,COUNTA([3]enemy_skill_sets!$A:$A),MATCH(AC$1,[3]enemy_skill_sets!$1:$1,0)-MATCH($AB$1,[3]enemy_skill_sets!$1:$1,0)+1),MATCH(AC$1,[3]enemy_skill_sets!$1:$1,0)-MATCH($AB$1,[3]enemy_skill_sets!$1:$1,0)+1,FALSE)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7" s="67">
        <v>1</v>
      </c>
      <c r="AE597" s="67">
        <v>1</v>
      </c>
      <c r="AF597" s="68">
        <v>0</v>
      </c>
      <c r="AG597" s="99">
        <f ca="1">ROUND(VLOOKUP(1,enemy_base_stats!$A:$F,2,FALSE) * Y597* J597*O597*E597*S597*AD597*[2]ステータス!$B$2,0)</f>
        <v>2820</v>
      </c>
      <c r="AH597" s="99">
        <f ca="1">ROUND(VLOOKUP(1,enemy_base_stats!$A:$F,3,FALSE) * Z597*K597*P597*F597*T597*AE597 * W597*[2]ステータス!$C$2,0)</f>
        <v>246</v>
      </c>
      <c r="AI597" s="99">
        <f ca="1">ROUND(VLOOKUP(1,enemy_base_stats!$A:$F,4,FALSE) * AA597*L597*Q597*G597*U597*AF597*[2]ステータス!$D$2,0)</f>
        <v>0</v>
      </c>
      <c r="AJ597" s="99">
        <f ca="1">ROUND(VLOOKUP(100,enemy_base_stats!$A:$F,2,FALSE) * Y597* J597*O597*E597*S597*AD597*[2]ステータス!$B$2,0)</f>
        <v>114492</v>
      </c>
      <c r="AK597" s="99">
        <f ca="1">ROUND(VLOOKUP(100,enemy_base_stats!$A:$F,3,FALSE)* Z597* K597*P597*F597*T597*AE597 * W597*[2]ステータス!$C$2,0)</f>
        <v>9993</v>
      </c>
      <c r="AL597" s="99">
        <f ca="1">ROUND(VLOOKUP(100,enemy_base_stats!$A:$F,4,FALSE)* AA597* L597*Q597*G597*U597*AF597*[2]ステータス!$D$2,0)</f>
        <v>0</v>
      </c>
      <c r="AM597" s="97">
        <f ca="1">VLOOKUP(M597,[2]character_tribe_i18n!$A:$I,9,FALSE)</f>
        <v>400</v>
      </c>
      <c r="AN597" s="97">
        <v>0</v>
      </c>
      <c r="AO597" s="98">
        <v>0</v>
      </c>
      <c r="AP597" s="58" t="s">
        <v>72</v>
      </c>
      <c r="AQ597" s="34">
        <f t="shared" ca="1" si="35"/>
        <v>596</v>
      </c>
    </row>
    <row r="598" spans="1:43" ht="21" customHeight="1" x14ac:dyDescent="0.15">
      <c r="A598" s="7">
        <f t="shared" ca="1" si="33"/>
        <v>597</v>
      </c>
      <c r="B598" s="6" t="str">
        <f ca="1">VLOOKUP(A598,[2]characters!$A:$C,3,FALSE)</f>
        <v>灼熱の魂 ムスペルヘイム</v>
      </c>
      <c r="C598" s="9">
        <f ca="1">VLOOKUP(A598,[2]characters!$A:$I,9,FALSE)</f>
        <v>4</v>
      </c>
      <c r="D598" s="9" t="str">
        <f ca="1">VLOOKUP(A598,[2]characters!$A:$H,8,FALSE)</f>
        <v>red</v>
      </c>
      <c r="E598" s="97">
        <f ca="1">VLOOKUP(D598,[2]属性!$A:$E,2,FALSE)</f>
        <v>1</v>
      </c>
      <c r="F598" s="97">
        <f ca="1">VLOOKUP(D598,[2]属性!$A:$E,3,FALSE)</f>
        <v>1.02</v>
      </c>
      <c r="G598" s="97">
        <f ca="1">VLOOKUP(D598,[2]属性!$A:$F,4,FALSE)</f>
        <v>1</v>
      </c>
      <c r="H598" s="9" t="str">
        <f ca="1">VLOOKUP(A598,[2]characters!$A:$K,11,FALSE)</f>
        <v>balance</v>
      </c>
      <c r="I598" s="6" t="str">
        <f ca="1">VLOOKUP(H598,[2]character_type_i18n!$A:$F,3,FALSE)</f>
        <v>バランスタイプ</v>
      </c>
      <c r="J598" s="97">
        <f ca="1">VLOOKUP(H598,[2]character_type_i18n!$A:$F,4,FALSE)</f>
        <v>1</v>
      </c>
      <c r="K598" s="97">
        <f ca="1">VLOOKUP(H598,[2]character_type_i18n!$A:$F,5,FALSE)</f>
        <v>1</v>
      </c>
      <c r="L598" s="97">
        <f ca="1">VLOOKUP(H598,[2]character_type_i18n!$A:$F,6,FALSE)</f>
        <v>1</v>
      </c>
      <c r="M598" s="9" t="str">
        <f ca="1">VLOOKUP(A598,[2]characters!$A:$M,13,FALSE)</f>
        <v>human</v>
      </c>
      <c r="N598" s="6" t="str">
        <f ca="1">VLOOKUP(M598,[2]character_tribe_i18n!$A:$F,3,FALSE)</f>
        <v>ヒューマン</v>
      </c>
      <c r="O598" s="97">
        <f ca="1">VLOOKUP(M598,[2]character_tribe_i18n!$A:$F,4,FALSE)</f>
        <v>0.94</v>
      </c>
      <c r="P598" s="97">
        <f ca="1">VLOOKUP(M598,[2]character_tribe_i18n!$A:$F,5,FALSE)</f>
        <v>0.99</v>
      </c>
      <c r="Q598" s="97">
        <f ca="1">VLOOKUP(M598,[2]character_tribe_i18n!$A:$F,6,FALSE)</f>
        <v>1</v>
      </c>
      <c r="R598" s="98" t="s">
        <v>98</v>
      </c>
      <c r="S598" s="97">
        <f>VLOOKUP($R598,ラベル別係数!$A$1:$E$7,3,FALSE)</f>
        <v>5</v>
      </c>
      <c r="T598" s="97">
        <f>VLOOKUP($R598,ラベル別係数!$A$1:$E$7,4,FALSE)</f>
        <v>1.3</v>
      </c>
      <c r="U598" s="97">
        <f>VLOOKUP($R598,ラベル別係数!$A$1:$E$7,5,FALSE)</f>
        <v>0.8</v>
      </c>
      <c r="V598" s="98">
        <v>3</v>
      </c>
      <c r="W598" s="99">
        <f>VLOOKUP(V598,ターン数別攻撃係数!$A$1:$B$1000,2,FALSE)</f>
        <v>1</v>
      </c>
      <c r="X598" s="9">
        <f ca="1">VLOOKUP(C598,サイズ別係数!A$2:B$9,2,FALSE)</f>
        <v>30</v>
      </c>
      <c r="Y598" s="97">
        <f ca="1">VLOOKUP($X598,サイズ別係数!$B:$E,2,FALSE)</f>
        <v>1.3</v>
      </c>
      <c r="Z598" s="97">
        <f ca="1">VLOOKUP($X598,サイズ別係数!$B:$E,3,FALSE)</f>
        <v>1.3</v>
      </c>
      <c r="AA598" s="97">
        <f ca="1">VLOOKUP($X598,サイズ別係数!$B:$E,4,FALSE)</f>
        <v>1.1000000000000001</v>
      </c>
      <c r="AB598" s="10">
        <v>0</v>
      </c>
      <c r="AC598" s="6" t="str">
        <f ca="1">VLOOKUP($AB598,OFFSET([3]enemy_skill_sets!$B$2,0,0,COUNTA([3]enemy_skill_sets!$A:$A),MATCH(AC$1,[3]enemy_skill_sets!$1:$1,0)-MATCH($AB$1,[3]enemy_skill_sets!$1:$1,0)+1),MATCH(AC$1,[3]enemy_skill_sets!$1:$1,0)-MATCH($AB$1,[3]enemy_skill_sets!$1:$1,0)+1,FALSE)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8" s="67">
        <v>1</v>
      </c>
      <c r="AE598" s="67">
        <v>1</v>
      </c>
      <c r="AF598" s="68">
        <v>0</v>
      </c>
      <c r="AG598" s="99">
        <f ca="1">ROUND(VLOOKUP(1,enemy_base_stats!$A:$F,2,FALSE) * Y598* J598*O598*E598*S598*AD598*[2]ステータス!$B$2,0)</f>
        <v>3055</v>
      </c>
      <c r="AH598" s="99">
        <f ca="1">ROUND(VLOOKUP(1,enemy_base_stats!$A:$F,3,FALSE) * Z598*K598*P598*F598*T598*AE598 * W598*[2]ステータス!$C$2,0)</f>
        <v>256</v>
      </c>
      <c r="AI598" s="99">
        <f ca="1">ROUND(VLOOKUP(1,enemy_base_stats!$A:$F,4,FALSE) * AA598*L598*Q598*G598*U598*AF598*[2]ステータス!$D$2,0)</f>
        <v>0</v>
      </c>
      <c r="AJ598" s="99">
        <f ca="1">ROUND(VLOOKUP(100,enemy_base_stats!$A:$F,2,FALSE) * Y598* J598*O598*E598*S598*AD598*[2]ステータス!$B$2,0)</f>
        <v>124033</v>
      </c>
      <c r="AK598" s="99">
        <f ca="1">ROUND(VLOOKUP(100,enemy_base_stats!$A:$F,3,FALSE)* Z598* K598*P598*F598*T598*AE598 * W598*[2]ステータス!$C$2,0)</f>
        <v>10393</v>
      </c>
      <c r="AL598" s="99">
        <f ca="1">ROUND(VLOOKUP(100,enemy_base_stats!$A:$F,4,FALSE)* AA598* L598*Q598*G598*U598*AF598*[2]ステータス!$D$2,0)</f>
        <v>0</v>
      </c>
      <c r="AM598" s="97">
        <f ca="1">VLOOKUP(M598,[2]character_tribe_i18n!$A:$I,9,FALSE)</f>
        <v>400</v>
      </c>
      <c r="AN598" s="97">
        <v>0</v>
      </c>
      <c r="AO598" s="98">
        <v>0</v>
      </c>
      <c r="AP598" s="58" t="s">
        <v>72</v>
      </c>
      <c r="AQ598" s="34">
        <f t="shared" ref="AQ598:AQ605" ca="1" si="36">A598</f>
        <v>597</v>
      </c>
    </row>
    <row r="599" spans="1:43" ht="21" customHeight="1" x14ac:dyDescent="0.15">
      <c r="A599" s="7">
        <f t="shared" ca="1" si="33"/>
        <v>598</v>
      </c>
      <c r="B599" s="6" t="str">
        <f ca="1">VLOOKUP(A599,[2]characters!$A:$C,3,FALSE)</f>
        <v>焼燃の情熱 ムスペルヘイム</v>
      </c>
      <c r="C599" s="9">
        <f ca="1">VLOOKUP(A599,[2]characters!$A:$I,9,FALSE)</f>
        <v>5</v>
      </c>
      <c r="D599" s="9" t="str">
        <f ca="1">VLOOKUP(A599,[2]characters!$A:$H,8,FALSE)</f>
        <v>red</v>
      </c>
      <c r="E599" s="97">
        <f ca="1">VLOOKUP(D599,[2]属性!$A:$E,2,FALSE)</f>
        <v>1</v>
      </c>
      <c r="F599" s="97">
        <f ca="1">VLOOKUP(D599,[2]属性!$A:$E,3,FALSE)</f>
        <v>1.02</v>
      </c>
      <c r="G599" s="97">
        <f ca="1">VLOOKUP(D599,[2]属性!$A:$F,4,FALSE)</f>
        <v>1</v>
      </c>
      <c r="H599" s="9" t="str">
        <f ca="1">VLOOKUP(A599,[2]characters!$A:$K,11,FALSE)</f>
        <v>balance</v>
      </c>
      <c r="I599" s="6" t="str">
        <f ca="1">VLOOKUP(H599,[2]character_type_i18n!$A:$F,3,FALSE)</f>
        <v>バランスタイプ</v>
      </c>
      <c r="J599" s="97">
        <f ca="1">VLOOKUP(H599,[2]character_type_i18n!$A:$F,4,FALSE)</f>
        <v>1</v>
      </c>
      <c r="K599" s="97">
        <f ca="1">VLOOKUP(H599,[2]character_type_i18n!$A:$F,5,FALSE)</f>
        <v>1</v>
      </c>
      <c r="L599" s="97">
        <f ca="1">VLOOKUP(H599,[2]character_type_i18n!$A:$F,6,FALSE)</f>
        <v>1</v>
      </c>
      <c r="M599" s="9" t="str">
        <f ca="1">VLOOKUP(A599,[2]characters!$A:$M,13,FALSE)</f>
        <v>human</v>
      </c>
      <c r="N599" s="6" t="str">
        <f ca="1">VLOOKUP(M599,[2]character_tribe_i18n!$A:$F,3,FALSE)</f>
        <v>ヒューマン</v>
      </c>
      <c r="O599" s="97">
        <f ca="1">VLOOKUP(M599,[2]character_tribe_i18n!$A:$F,4,FALSE)</f>
        <v>0.94</v>
      </c>
      <c r="P599" s="97">
        <f ca="1">VLOOKUP(M599,[2]character_tribe_i18n!$A:$F,5,FALSE)</f>
        <v>0.99</v>
      </c>
      <c r="Q599" s="97">
        <f ca="1">VLOOKUP(M599,[2]character_tribe_i18n!$A:$F,6,FALSE)</f>
        <v>1</v>
      </c>
      <c r="R599" s="98" t="s">
        <v>98</v>
      </c>
      <c r="S599" s="97">
        <f>VLOOKUP($R599,ラベル別係数!$A$1:$E$7,3,FALSE)</f>
        <v>5</v>
      </c>
      <c r="T599" s="97">
        <f>VLOOKUP($R599,ラベル別係数!$A$1:$E$7,4,FALSE)</f>
        <v>1.3</v>
      </c>
      <c r="U599" s="97">
        <f>VLOOKUP($R599,ラベル別係数!$A$1:$E$7,5,FALSE)</f>
        <v>0.8</v>
      </c>
      <c r="V599" s="98">
        <v>3</v>
      </c>
      <c r="W599" s="99">
        <f>VLOOKUP(V599,ターン数別攻撃係数!$A$1:$B$1000,2,FALSE)</f>
        <v>1</v>
      </c>
      <c r="X599" s="9">
        <f ca="1">VLOOKUP(C599,サイズ別係数!A$2:B$9,2,FALSE)</f>
        <v>60</v>
      </c>
      <c r="Y599" s="97">
        <f ca="1">VLOOKUP($X599,サイズ別係数!$B:$E,2,FALSE)</f>
        <v>1.7</v>
      </c>
      <c r="Z599" s="97">
        <f ca="1">VLOOKUP($X599,サイズ別係数!$B:$E,3,FALSE)</f>
        <v>1.4</v>
      </c>
      <c r="AA599" s="97">
        <f ca="1">VLOOKUP($X599,サイズ別係数!$B:$E,4,FALSE)</f>
        <v>1</v>
      </c>
      <c r="AB599" s="10">
        <v>0</v>
      </c>
      <c r="AC599" s="6" t="str">
        <f ca="1">VLOOKUP($AB599,OFFSET([3]enemy_skill_sets!$B$2,0,0,COUNTA([3]enemy_skill_sets!$A:$A),MATCH(AC$1,[3]enemy_skill_sets!$1:$1,0)-MATCH($AB$1,[3]enemy_skill_sets!$1:$1,0)+1),MATCH(AC$1,[3]enemy_skill_sets!$1:$1,0)-MATCH($AB$1,[3]enemy_skill_sets!$1:$1,0)+1,FALSE)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599" s="67">
        <v>1</v>
      </c>
      <c r="AE599" s="67">
        <v>1</v>
      </c>
      <c r="AF599" s="68">
        <v>0</v>
      </c>
      <c r="AG599" s="99">
        <f ca="1">ROUND(VLOOKUP(1,enemy_base_stats!$A:$F,2,FALSE) * Y599* J599*O599*E599*S599*AD599*[2]ステータス!$B$2,0)</f>
        <v>3995</v>
      </c>
      <c r="AH599" s="99">
        <f ca="1">ROUND(VLOOKUP(1,enemy_base_stats!$A:$F,3,FALSE) * Z599*K599*P599*F599*T599*AE599 * W599*[2]ステータス!$C$2,0)</f>
        <v>276</v>
      </c>
      <c r="AI599" s="99">
        <f ca="1">ROUND(VLOOKUP(1,enemy_base_stats!$A:$F,4,FALSE) * AA599*L599*Q599*G599*U599*AF599*[2]ステータス!$D$2,0)</f>
        <v>0</v>
      </c>
      <c r="AJ599" s="99">
        <f ca="1">ROUND(VLOOKUP(100,enemy_base_stats!$A:$F,2,FALSE) * Y599* J599*O599*E599*S599*AD599*[2]ステータス!$B$2,0)</f>
        <v>162197</v>
      </c>
      <c r="AK599" s="99">
        <f ca="1">ROUND(VLOOKUP(100,enemy_base_stats!$A:$F,3,FALSE)* Z599* K599*P599*F599*T599*AE599 * W599*[2]ステータス!$C$2,0)</f>
        <v>11192</v>
      </c>
      <c r="AL599" s="99">
        <f ca="1">ROUND(VLOOKUP(100,enemy_base_stats!$A:$F,4,FALSE)* AA599* L599*Q599*G599*U599*AF599*[2]ステータス!$D$2,0)</f>
        <v>0</v>
      </c>
      <c r="AM599" s="97">
        <f ca="1">VLOOKUP(M599,[2]character_tribe_i18n!$A:$I,9,FALSE)</f>
        <v>400</v>
      </c>
      <c r="AN599" s="97">
        <v>0</v>
      </c>
      <c r="AO599" s="98">
        <v>0</v>
      </c>
      <c r="AP599" s="58" t="s">
        <v>72</v>
      </c>
      <c r="AQ599" s="34">
        <f t="shared" ca="1" si="36"/>
        <v>598</v>
      </c>
    </row>
    <row r="600" spans="1:43" ht="21" customHeight="1" x14ac:dyDescent="0.15">
      <c r="A600" s="7">
        <f t="shared" ca="1" si="33"/>
        <v>599</v>
      </c>
      <c r="B600" s="6" t="str">
        <f ca="1">VLOOKUP(A600,[2]characters!$A:$C,3,FALSE)</f>
        <v>ニーズヘッグ</v>
      </c>
      <c r="C600" s="9">
        <f ca="1">VLOOKUP(A600,[2]characters!$A:$I,9,FALSE)</f>
        <v>3</v>
      </c>
      <c r="D600" s="9" t="str">
        <f ca="1">VLOOKUP(A600,[2]characters!$A:$H,8,FALSE)</f>
        <v>green</v>
      </c>
      <c r="E600" s="97">
        <f ca="1">VLOOKUP(D600,[2]属性!$A:$E,2,FALSE)</f>
        <v>1.02</v>
      </c>
      <c r="F600" s="97">
        <f ca="1">VLOOKUP(D600,[2]属性!$A:$E,3,FALSE)</f>
        <v>0.98</v>
      </c>
      <c r="G600" s="97">
        <f ca="1">VLOOKUP(D600,[2]属性!$A:$F,4,FALSE)</f>
        <v>1</v>
      </c>
      <c r="H600" s="9" t="str">
        <f ca="1">VLOOKUP(A600,[2]characters!$A:$K,11,FALSE)</f>
        <v>attack</v>
      </c>
      <c r="I600" s="6" t="str">
        <f ca="1">VLOOKUP(H600,[2]character_type_i18n!$A:$F,3,FALSE)</f>
        <v>攻撃タイプ</v>
      </c>
      <c r="J600" s="97">
        <f ca="1">VLOOKUP(H600,[2]character_type_i18n!$A:$F,4,FALSE)</f>
        <v>1</v>
      </c>
      <c r="K600" s="97">
        <f ca="1">VLOOKUP(H600,[2]character_type_i18n!$A:$F,5,FALSE)</f>
        <v>1.33</v>
      </c>
      <c r="L600" s="97">
        <f ca="1">VLOOKUP(H600,[2]character_type_i18n!$A:$F,6,FALSE)</f>
        <v>1</v>
      </c>
      <c r="M600" s="9" t="str">
        <f ca="1">VLOOKUP(A600,[2]characters!$A:$M,13,FALSE)</f>
        <v>dragon</v>
      </c>
      <c r="N600" s="6" t="str">
        <f ca="1">VLOOKUP(M600,[2]character_tribe_i18n!$A:$F,3,FALSE)</f>
        <v>ドラゴン</v>
      </c>
      <c r="O600" s="97">
        <f ca="1">VLOOKUP(M600,[2]character_tribe_i18n!$A:$F,4,FALSE)</f>
        <v>1.1499999999999999</v>
      </c>
      <c r="P600" s="97">
        <f ca="1">VLOOKUP(M600,[2]character_tribe_i18n!$A:$F,5,FALSE)</f>
        <v>1.1000000000000001</v>
      </c>
      <c r="Q600" s="97">
        <f ca="1">VLOOKUP(M600,[2]character_tribe_i18n!$A:$F,6,FALSE)</f>
        <v>1</v>
      </c>
      <c r="R600" s="98" t="s">
        <v>98</v>
      </c>
      <c r="S600" s="97">
        <f>VLOOKUP($R600,ラベル別係数!$A$1:$E$7,3,FALSE)</f>
        <v>5</v>
      </c>
      <c r="T600" s="97">
        <f>VLOOKUP($R600,ラベル別係数!$A$1:$E$7,4,FALSE)</f>
        <v>1.3</v>
      </c>
      <c r="U600" s="97">
        <f>VLOOKUP($R600,ラベル別係数!$A$1:$E$7,5,FALSE)</f>
        <v>0.8</v>
      </c>
      <c r="V600" s="98">
        <v>3</v>
      </c>
      <c r="W600" s="99">
        <f>VLOOKUP(V600,ターン数別攻撃係数!$A$1:$B$1000,2,FALSE)</f>
        <v>1</v>
      </c>
      <c r="X600" s="9">
        <f ca="1">VLOOKUP(C600,サイズ別係数!A$2:B$9,2,FALSE)</f>
        <v>25</v>
      </c>
      <c r="Y600" s="97">
        <f ca="1">VLOOKUP($X600,サイズ別係数!$B:$E,2,FALSE)</f>
        <v>1.2</v>
      </c>
      <c r="Z600" s="97">
        <f ca="1">VLOOKUP($X600,サイズ別係数!$B:$E,3,FALSE)</f>
        <v>1.25</v>
      </c>
      <c r="AA600" s="97">
        <f ca="1">VLOOKUP($X600,サイズ別係数!$B:$E,4,FALSE)</f>
        <v>1.1499999999999999</v>
      </c>
      <c r="AB600" s="10">
        <v>0</v>
      </c>
      <c r="AC600" s="6" t="str">
        <f ca="1">VLOOKUP($AB600,OFFSET([3]enemy_skill_sets!$B$2,0,0,COUNTA([3]enemy_skill_sets!$A:$A),MATCH(AC$1,[3]enemy_skill_sets!$1:$1,0)-MATCH($AB$1,[3]enemy_skill_sets!$1:$1,0)+1),MATCH(AC$1,[3]enemy_skill_sets!$1:$1,0)-MATCH($AB$1,[3]enemy_skill_sets!$1:$1,0)+1,FALSE)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0" s="67">
        <v>1</v>
      </c>
      <c r="AE600" s="67">
        <v>1</v>
      </c>
      <c r="AF600" s="68">
        <v>0</v>
      </c>
      <c r="AG600" s="99">
        <f ca="1">ROUND(VLOOKUP(1,enemy_base_stats!$A:$F,2,FALSE) * Y600* J600*O600*E600*S600*AD600*[2]ステータス!$B$2,0)</f>
        <v>3519</v>
      </c>
      <c r="AH600" s="99">
        <f ca="1">ROUND(VLOOKUP(1,enemy_base_stats!$A:$F,3,FALSE) * Z600*K600*P600*F600*T600*AE600 * W600*[2]ステータス!$C$2,0)</f>
        <v>349</v>
      </c>
      <c r="AI600" s="99">
        <f ca="1">ROUND(VLOOKUP(1,enemy_base_stats!$A:$F,4,FALSE) * AA600*L600*Q600*G600*U600*AF600*[2]ステータス!$D$2,0)</f>
        <v>0</v>
      </c>
      <c r="AJ600" s="99">
        <f ca="1">ROUND(VLOOKUP(100,enemy_base_stats!$A:$F,2,FALSE) * Y600* J600*O600*E600*S600*AD600*[2]ステータス!$B$2,0)</f>
        <v>142871</v>
      </c>
      <c r="AK600" s="99">
        <f ca="1">ROUND(VLOOKUP(100,enemy_base_stats!$A:$F,3,FALSE)* Z600* K600*P600*F600*T600*AE600 * W600*[2]ステータス!$C$2,0)</f>
        <v>14189</v>
      </c>
      <c r="AL600" s="99">
        <f ca="1">ROUND(VLOOKUP(100,enemy_base_stats!$A:$F,4,FALSE)* AA600* L600*Q600*G600*U600*AF600*[2]ステータス!$D$2,0)</f>
        <v>0</v>
      </c>
      <c r="AM600" s="97">
        <f ca="1">VLOOKUP(M600,[2]character_tribe_i18n!$A:$I,9,FALSE)</f>
        <v>540</v>
      </c>
      <c r="AN600" s="97">
        <v>0</v>
      </c>
      <c r="AO600" s="98">
        <v>0</v>
      </c>
      <c r="AP600" s="58" t="s">
        <v>72</v>
      </c>
      <c r="AQ600" s="34">
        <f t="shared" ca="1" si="36"/>
        <v>599</v>
      </c>
    </row>
    <row r="601" spans="1:43" ht="21" customHeight="1" x14ac:dyDescent="0.15">
      <c r="A601" s="7">
        <f t="shared" ca="1" si="33"/>
        <v>600</v>
      </c>
      <c r="B601" s="6" t="str">
        <f ca="1">VLOOKUP(A601,[2]characters!$A:$C,3,FALSE)</f>
        <v>界下に潜む蛇 ニーズヘッグ</v>
      </c>
      <c r="C601" s="9">
        <f ca="1">VLOOKUP(A601,[2]characters!$A:$I,9,FALSE)</f>
        <v>4</v>
      </c>
      <c r="D601" s="9" t="str">
        <f ca="1">VLOOKUP(A601,[2]characters!$A:$H,8,FALSE)</f>
        <v>green</v>
      </c>
      <c r="E601" s="97">
        <f ca="1">VLOOKUP(D601,[2]属性!$A:$E,2,FALSE)</f>
        <v>1.02</v>
      </c>
      <c r="F601" s="97">
        <f ca="1">VLOOKUP(D601,[2]属性!$A:$E,3,FALSE)</f>
        <v>0.98</v>
      </c>
      <c r="G601" s="97">
        <f ca="1">VLOOKUP(D601,[2]属性!$A:$F,4,FALSE)</f>
        <v>1</v>
      </c>
      <c r="H601" s="9" t="str">
        <f ca="1">VLOOKUP(A601,[2]characters!$A:$K,11,FALSE)</f>
        <v>attack</v>
      </c>
      <c r="I601" s="6" t="str">
        <f ca="1">VLOOKUP(H601,[2]character_type_i18n!$A:$F,3,FALSE)</f>
        <v>攻撃タイプ</v>
      </c>
      <c r="J601" s="97">
        <f ca="1">VLOOKUP(H601,[2]character_type_i18n!$A:$F,4,FALSE)</f>
        <v>1</v>
      </c>
      <c r="K601" s="97">
        <f ca="1">VLOOKUP(H601,[2]character_type_i18n!$A:$F,5,FALSE)</f>
        <v>1.33</v>
      </c>
      <c r="L601" s="97">
        <f ca="1">VLOOKUP(H601,[2]character_type_i18n!$A:$F,6,FALSE)</f>
        <v>1</v>
      </c>
      <c r="M601" s="9" t="str">
        <f ca="1">VLOOKUP(A601,[2]characters!$A:$M,13,FALSE)</f>
        <v>dragon</v>
      </c>
      <c r="N601" s="6" t="str">
        <f ca="1">VLOOKUP(M601,[2]character_tribe_i18n!$A:$F,3,FALSE)</f>
        <v>ドラゴン</v>
      </c>
      <c r="O601" s="97">
        <f ca="1">VLOOKUP(M601,[2]character_tribe_i18n!$A:$F,4,FALSE)</f>
        <v>1.1499999999999999</v>
      </c>
      <c r="P601" s="97">
        <f ca="1">VLOOKUP(M601,[2]character_tribe_i18n!$A:$F,5,FALSE)</f>
        <v>1.1000000000000001</v>
      </c>
      <c r="Q601" s="97">
        <f ca="1">VLOOKUP(M601,[2]character_tribe_i18n!$A:$F,6,FALSE)</f>
        <v>1</v>
      </c>
      <c r="R601" s="98" t="s">
        <v>98</v>
      </c>
      <c r="S601" s="97">
        <f>VLOOKUP($R601,ラベル別係数!$A$1:$E$7,3,FALSE)</f>
        <v>5</v>
      </c>
      <c r="T601" s="97">
        <f>VLOOKUP($R601,ラベル別係数!$A$1:$E$7,4,FALSE)</f>
        <v>1.3</v>
      </c>
      <c r="U601" s="97">
        <f>VLOOKUP($R601,ラベル別係数!$A$1:$E$7,5,FALSE)</f>
        <v>0.8</v>
      </c>
      <c r="V601" s="98">
        <v>3</v>
      </c>
      <c r="W601" s="99">
        <f>VLOOKUP(V601,ターン数別攻撃係数!$A$1:$B$1000,2,FALSE)</f>
        <v>1</v>
      </c>
      <c r="X601" s="9">
        <f ca="1">VLOOKUP(C601,サイズ別係数!A$2:B$9,2,FALSE)</f>
        <v>30</v>
      </c>
      <c r="Y601" s="97">
        <f ca="1">VLOOKUP($X601,サイズ別係数!$B:$E,2,FALSE)</f>
        <v>1.3</v>
      </c>
      <c r="Z601" s="97">
        <f ca="1">VLOOKUP($X601,サイズ別係数!$B:$E,3,FALSE)</f>
        <v>1.3</v>
      </c>
      <c r="AA601" s="97">
        <f ca="1">VLOOKUP($X601,サイズ別係数!$B:$E,4,FALSE)</f>
        <v>1.1000000000000001</v>
      </c>
      <c r="AB601" s="10">
        <v>0</v>
      </c>
      <c r="AC601" s="6" t="str">
        <f ca="1">VLOOKUP($AB601,OFFSET([3]enemy_skill_sets!$B$2,0,0,COUNTA([3]enemy_skill_sets!$A:$A),MATCH(AC$1,[3]enemy_skill_sets!$1:$1,0)-MATCH($AB$1,[3]enemy_skill_sets!$1:$1,0)+1),MATCH(AC$1,[3]enemy_skill_sets!$1:$1,0)-MATCH($AB$1,[3]enemy_skill_sets!$1:$1,0)+1,FALSE)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1" s="67">
        <v>1</v>
      </c>
      <c r="AE601" s="67">
        <v>1</v>
      </c>
      <c r="AF601" s="68">
        <v>0</v>
      </c>
      <c r="AG601" s="99">
        <f ca="1">ROUND(VLOOKUP(1,enemy_base_stats!$A:$F,2,FALSE) * Y601* J601*O601*E601*S601*AD601*[2]ステータス!$B$2,0)</f>
        <v>3812</v>
      </c>
      <c r="AH601" s="99">
        <f ca="1">ROUND(VLOOKUP(1,enemy_base_stats!$A:$F,3,FALSE) * Z601*K601*P601*F601*T601*AE601 * W601*[2]ステータス!$C$2,0)</f>
        <v>363</v>
      </c>
      <c r="AI601" s="99">
        <f ca="1">ROUND(VLOOKUP(1,enemy_base_stats!$A:$F,4,FALSE) * AA601*L601*Q601*G601*U601*AF601*[2]ステータス!$D$2,0)</f>
        <v>0</v>
      </c>
      <c r="AJ601" s="99">
        <f ca="1">ROUND(VLOOKUP(100,enemy_base_stats!$A:$F,2,FALSE) * Y601* J601*O601*E601*S601*AD601*[2]ステータス!$B$2,0)</f>
        <v>154777</v>
      </c>
      <c r="AK601" s="99">
        <f ca="1">ROUND(VLOOKUP(100,enemy_base_stats!$A:$F,3,FALSE)* Z601* K601*P601*F601*T601*AE601 * W601*[2]ステータス!$C$2,0)</f>
        <v>14756</v>
      </c>
      <c r="AL601" s="99">
        <f ca="1">ROUND(VLOOKUP(100,enemy_base_stats!$A:$F,4,FALSE)* AA601* L601*Q601*G601*U601*AF601*[2]ステータス!$D$2,0)</f>
        <v>0</v>
      </c>
      <c r="AM601" s="97">
        <f ca="1">VLOOKUP(M601,[2]character_tribe_i18n!$A:$I,9,FALSE)</f>
        <v>540</v>
      </c>
      <c r="AN601" s="97">
        <v>0</v>
      </c>
      <c r="AO601" s="98">
        <v>0</v>
      </c>
      <c r="AP601" s="58" t="s">
        <v>72</v>
      </c>
      <c r="AQ601" s="34">
        <f t="shared" ca="1" si="36"/>
        <v>600</v>
      </c>
    </row>
    <row r="602" spans="1:43" ht="21" customHeight="1" x14ac:dyDescent="0.15">
      <c r="A602" s="7">
        <f t="shared" ca="1" si="33"/>
        <v>601</v>
      </c>
      <c r="B602" s="6" t="str">
        <f ca="1">VLOOKUP(A602,[2]characters!$A:$C,3,FALSE)</f>
        <v>界根蝕む悪食 ニーズヘッグ</v>
      </c>
      <c r="C602" s="9">
        <f ca="1">VLOOKUP(A602,[2]characters!$A:$I,9,FALSE)</f>
        <v>5</v>
      </c>
      <c r="D602" s="9" t="str">
        <f ca="1">VLOOKUP(A602,[2]characters!$A:$H,8,FALSE)</f>
        <v>green</v>
      </c>
      <c r="E602" s="97">
        <f ca="1">VLOOKUP(D602,[2]属性!$A:$E,2,FALSE)</f>
        <v>1.02</v>
      </c>
      <c r="F602" s="97">
        <f ca="1">VLOOKUP(D602,[2]属性!$A:$E,3,FALSE)</f>
        <v>0.98</v>
      </c>
      <c r="G602" s="97">
        <f ca="1">VLOOKUP(D602,[2]属性!$A:$F,4,FALSE)</f>
        <v>1</v>
      </c>
      <c r="H602" s="9" t="str">
        <f ca="1">VLOOKUP(A602,[2]characters!$A:$K,11,FALSE)</f>
        <v>attack</v>
      </c>
      <c r="I602" s="6" t="str">
        <f ca="1">VLOOKUP(H602,[2]character_type_i18n!$A:$F,3,FALSE)</f>
        <v>攻撃タイプ</v>
      </c>
      <c r="J602" s="97">
        <f ca="1">VLOOKUP(H602,[2]character_type_i18n!$A:$F,4,FALSE)</f>
        <v>1</v>
      </c>
      <c r="K602" s="97">
        <f ca="1">VLOOKUP(H602,[2]character_type_i18n!$A:$F,5,FALSE)</f>
        <v>1.33</v>
      </c>
      <c r="L602" s="97">
        <f ca="1">VLOOKUP(H602,[2]character_type_i18n!$A:$F,6,FALSE)</f>
        <v>1</v>
      </c>
      <c r="M602" s="9" t="str">
        <f ca="1">VLOOKUP(A602,[2]characters!$A:$M,13,FALSE)</f>
        <v>dragon</v>
      </c>
      <c r="N602" s="6" t="str">
        <f ca="1">VLOOKUP(M602,[2]character_tribe_i18n!$A:$F,3,FALSE)</f>
        <v>ドラゴン</v>
      </c>
      <c r="O602" s="97">
        <f ca="1">VLOOKUP(M602,[2]character_tribe_i18n!$A:$F,4,FALSE)</f>
        <v>1.1499999999999999</v>
      </c>
      <c r="P602" s="97">
        <f ca="1">VLOOKUP(M602,[2]character_tribe_i18n!$A:$F,5,FALSE)</f>
        <v>1.1000000000000001</v>
      </c>
      <c r="Q602" s="97">
        <f ca="1">VLOOKUP(M602,[2]character_tribe_i18n!$A:$F,6,FALSE)</f>
        <v>1</v>
      </c>
      <c r="R602" s="98" t="s">
        <v>98</v>
      </c>
      <c r="S602" s="97">
        <f>VLOOKUP($R602,ラベル別係数!$A$1:$E$7,3,FALSE)</f>
        <v>5</v>
      </c>
      <c r="T602" s="97">
        <f>VLOOKUP($R602,ラベル別係数!$A$1:$E$7,4,FALSE)</f>
        <v>1.3</v>
      </c>
      <c r="U602" s="97">
        <f>VLOOKUP($R602,ラベル別係数!$A$1:$E$7,5,FALSE)</f>
        <v>0.8</v>
      </c>
      <c r="V602" s="98">
        <v>3</v>
      </c>
      <c r="W602" s="99">
        <f>VLOOKUP(V602,ターン数別攻撃係数!$A$1:$B$1000,2,FALSE)</f>
        <v>1</v>
      </c>
      <c r="X602" s="9">
        <f ca="1">VLOOKUP(C602,サイズ別係数!A$2:B$9,2,FALSE)</f>
        <v>60</v>
      </c>
      <c r="Y602" s="97">
        <f ca="1">VLOOKUP($X602,サイズ別係数!$B:$E,2,FALSE)</f>
        <v>1.7</v>
      </c>
      <c r="Z602" s="97">
        <f ca="1">VLOOKUP($X602,サイズ別係数!$B:$E,3,FALSE)</f>
        <v>1.4</v>
      </c>
      <c r="AA602" s="97">
        <f ca="1">VLOOKUP($X602,サイズ別係数!$B:$E,4,FALSE)</f>
        <v>1</v>
      </c>
      <c r="AB602" s="10">
        <v>0</v>
      </c>
      <c r="AC602" s="6" t="str">
        <f ca="1">VLOOKUP($AB602,OFFSET([3]enemy_skill_sets!$B$2,0,0,COUNTA([3]enemy_skill_sets!$A:$A),MATCH(AC$1,[3]enemy_skill_sets!$1:$1,0)-MATCH($AB$1,[3]enemy_skill_sets!$1:$1,0)+1),MATCH(AC$1,[3]enemy_skill_sets!$1:$1,0)-MATCH($AB$1,[3]enemy_skill_sets!$1:$1,0)+1,FALSE)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2" s="67">
        <v>1</v>
      </c>
      <c r="AE602" s="67">
        <v>1</v>
      </c>
      <c r="AF602" s="68">
        <v>0</v>
      </c>
      <c r="AG602" s="99">
        <f ca="1">ROUND(VLOOKUP(1,enemy_base_stats!$A:$F,2,FALSE) * Y602* J602*O602*E602*S602*AD602*[2]ステータス!$B$2,0)</f>
        <v>4985</v>
      </c>
      <c r="AH602" s="99">
        <f ca="1">ROUND(VLOOKUP(1,enemy_base_stats!$A:$F,3,FALSE) * Z602*K602*P602*F602*T602*AE602 * W602*[2]ステータス!$C$2,0)</f>
        <v>391</v>
      </c>
      <c r="AI602" s="99">
        <f ca="1">ROUND(VLOOKUP(1,enemy_base_stats!$A:$F,4,FALSE) * AA602*L602*Q602*G602*U602*AF602*[2]ステータス!$D$2,0)</f>
        <v>0</v>
      </c>
      <c r="AJ602" s="99">
        <f ca="1">ROUND(VLOOKUP(100,enemy_base_stats!$A:$F,2,FALSE) * Y602* J602*O602*E602*S602*AD602*[2]ステータス!$B$2,0)</f>
        <v>202401</v>
      </c>
      <c r="AK602" s="99">
        <f ca="1">ROUND(VLOOKUP(100,enemy_base_stats!$A:$F,3,FALSE)* Z602* K602*P602*F602*T602*AE602 * W602*[2]ステータス!$C$2,0)</f>
        <v>15891</v>
      </c>
      <c r="AL602" s="99">
        <f ca="1">ROUND(VLOOKUP(100,enemy_base_stats!$A:$F,4,FALSE)* AA602* L602*Q602*G602*U602*AF602*[2]ステータス!$D$2,0)</f>
        <v>0</v>
      </c>
      <c r="AM602" s="97">
        <f ca="1">VLOOKUP(M602,[2]character_tribe_i18n!$A:$I,9,FALSE)</f>
        <v>540</v>
      </c>
      <c r="AN602" s="97">
        <v>0</v>
      </c>
      <c r="AO602" s="98">
        <v>0</v>
      </c>
      <c r="AP602" s="58" t="s">
        <v>72</v>
      </c>
      <c r="AQ602" s="34">
        <f t="shared" ca="1" si="36"/>
        <v>601</v>
      </c>
    </row>
    <row r="603" spans="1:43" ht="21" customHeight="1" x14ac:dyDescent="0.15">
      <c r="A603" s="7">
        <f t="shared" ca="1" si="33"/>
        <v>602</v>
      </c>
      <c r="B603" s="6" t="str">
        <f ca="1">VLOOKUP(A603,[2]characters!$A:$C,3,FALSE)</f>
        <v>フレイヤ</v>
      </c>
      <c r="C603" s="9">
        <f ca="1">VLOOKUP(A603,[2]characters!$A:$I,9,FALSE)</f>
        <v>4</v>
      </c>
      <c r="D603" s="9" t="str">
        <f ca="1">VLOOKUP(A603,[2]characters!$A:$H,8,FALSE)</f>
        <v>blue</v>
      </c>
      <c r="E603" s="97">
        <f ca="1">VLOOKUP(D603,[2]属性!$A:$E,2,FALSE)</f>
        <v>1</v>
      </c>
      <c r="F603" s="97">
        <f ca="1">VLOOKUP(D603,[2]属性!$A:$E,3,FALSE)</f>
        <v>0.98</v>
      </c>
      <c r="G603" s="97">
        <f ca="1">VLOOKUP(D603,[2]属性!$A:$F,4,FALSE)</f>
        <v>1</v>
      </c>
      <c r="H603" s="9" t="str">
        <f ca="1">VLOOKUP(A603,[2]characters!$A:$K,11,FALSE)</f>
        <v>heal</v>
      </c>
      <c r="I603" s="6" t="str">
        <f ca="1">VLOOKUP(H603,[2]character_type_i18n!$A:$F,3,FALSE)</f>
        <v>回復タイプ</v>
      </c>
      <c r="J603" s="97">
        <f ca="1">VLOOKUP(H603,[2]character_type_i18n!$A:$F,4,FALSE)</f>
        <v>0.8</v>
      </c>
      <c r="K603" s="97">
        <f ca="1">VLOOKUP(H603,[2]character_type_i18n!$A:$F,5,FALSE)</f>
        <v>0.78</v>
      </c>
      <c r="L603" s="97">
        <f ca="1">VLOOKUP(H603,[2]character_type_i18n!$A:$F,6,FALSE)</f>
        <v>1</v>
      </c>
      <c r="M603" s="9" t="str">
        <f ca="1">VLOOKUP(A603,[2]characters!$A:$M,13,FALSE)</f>
        <v>animal</v>
      </c>
      <c r="N603" s="6" t="str">
        <f ca="1">VLOOKUP(M603,[2]character_tribe_i18n!$A:$F,3,FALSE)</f>
        <v>アニマル</v>
      </c>
      <c r="O603" s="97">
        <f ca="1">VLOOKUP(M603,[2]character_tribe_i18n!$A:$F,4,FALSE)</f>
        <v>1</v>
      </c>
      <c r="P603" s="97">
        <f ca="1">VLOOKUP(M603,[2]character_tribe_i18n!$A:$F,5,FALSE)</f>
        <v>1.1000000000000001</v>
      </c>
      <c r="Q603" s="97">
        <f ca="1">VLOOKUP(M603,[2]character_tribe_i18n!$A:$F,6,FALSE)</f>
        <v>1</v>
      </c>
      <c r="R603" s="98" t="s">
        <v>98</v>
      </c>
      <c r="S603" s="97">
        <f>VLOOKUP($R603,ラベル別係数!$A$1:$E$7,3,FALSE)</f>
        <v>5</v>
      </c>
      <c r="T603" s="97">
        <f>VLOOKUP($R603,ラベル別係数!$A$1:$E$7,4,FALSE)</f>
        <v>1.3</v>
      </c>
      <c r="U603" s="97">
        <f>VLOOKUP($R603,ラベル別係数!$A$1:$E$7,5,FALSE)</f>
        <v>0.8</v>
      </c>
      <c r="V603" s="98">
        <v>3</v>
      </c>
      <c r="W603" s="99">
        <f>VLOOKUP(V603,ターン数別攻撃係数!$A$1:$B$1000,2,FALSE)</f>
        <v>1</v>
      </c>
      <c r="X603" s="9">
        <f ca="1">VLOOKUP(C603,サイズ別係数!A$2:B$9,2,FALSE)</f>
        <v>30</v>
      </c>
      <c r="Y603" s="97">
        <f ca="1">VLOOKUP($X603,サイズ別係数!$B:$E,2,FALSE)</f>
        <v>1.3</v>
      </c>
      <c r="Z603" s="97">
        <f ca="1">VLOOKUP($X603,サイズ別係数!$B:$E,3,FALSE)</f>
        <v>1.3</v>
      </c>
      <c r="AA603" s="97">
        <f ca="1">VLOOKUP($X603,サイズ別係数!$B:$E,4,FALSE)</f>
        <v>1.1000000000000001</v>
      </c>
      <c r="AB603" s="10">
        <v>0</v>
      </c>
      <c r="AC603" s="6" t="str">
        <f ca="1">VLOOKUP($AB603,OFFSET([3]enemy_skill_sets!$B$2,0,0,COUNTA([3]enemy_skill_sets!$A:$A),MATCH(AC$1,[3]enemy_skill_sets!$1:$1,0)-MATCH($AB$1,[3]enemy_skill_sets!$1:$1,0)+1),MATCH(AC$1,[3]enemy_skill_sets!$1:$1,0)-MATCH($AB$1,[3]enemy_skill_sets!$1:$1,0)+1,FALSE)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3" s="67">
        <v>1</v>
      </c>
      <c r="AE603" s="67">
        <v>1</v>
      </c>
      <c r="AF603" s="68">
        <v>0</v>
      </c>
      <c r="AG603" s="99">
        <f ca="1">ROUND(VLOOKUP(1,enemy_base_stats!$A:$F,2,FALSE) * Y603* J603*O603*E603*S603*AD603*[2]ステータス!$B$2,0)</f>
        <v>2600</v>
      </c>
      <c r="AH603" s="99">
        <f ca="1">ROUND(VLOOKUP(1,enemy_base_stats!$A:$F,3,FALSE) * Z603*K603*P603*F603*T603*AE603 * W603*[2]ステータス!$C$2,0)</f>
        <v>213</v>
      </c>
      <c r="AI603" s="99">
        <f ca="1">ROUND(VLOOKUP(1,enemy_base_stats!$A:$F,4,FALSE) * AA603*L603*Q603*G603*U603*AF603*[2]ステータス!$D$2,0)</f>
        <v>0</v>
      </c>
      <c r="AJ603" s="99">
        <f ca="1">ROUND(VLOOKUP(100,enemy_base_stats!$A:$F,2,FALSE) * Y603* J603*O603*E603*S603*AD603*[2]ステータス!$B$2,0)</f>
        <v>105560</v>
      </c>
      <c r="AK603" s="99">
        <f ca="1">ROUND(VLOOKUP(100,enemy_base_stats!$A:$F,3,FALSE)* Z603* K603*P603*F603*T603*AE603 * W603*[2]ステータス!$C$2,0)</f>
        <v>8654</v>
      </c>
      <c r="AL603" s="99">
        <f ca="1">ROUND(VLOOKUP(100,enemy_base_stats!$A:$F,4,FALSE)* AA603* L603*Q603*G603*U603*AF603*[2]ステータス!$D$2,0)</f>
        <v>0</v>
      </c>
      <c r="AM603" s="97">
        <f ca="1">VLOOKUP(M603,[2]character_tribe_i18n!$A:$I,9,FALSE)</f>
        <v>480</v>
      </c>
      <c r="AN603" s="97">
        <v>0</v>
      </c>
      <c r="AO603" s="98">
        <v>0</v>
      </c>
      <c r="AP603" s="58" t="s">
        <v>72</v>
      </c>
      <c r="AQ603" s="34">
        <f t="shared" ca="1" si="36"/>
        <v>602</v>
      </c>
    </row>
    <row r="604" spans="1:43" ht="21" customHeight="1" x14ac:dyDescent="0.15">
      <c r="A604" s="7">
        <f t="shared" ca="1" si="33"/>
        <v>603</v>
      </c>
      <c r="B604" s="6" t="str">
        <f ca="1">VLOOKUP(A604,[2]characters!$A:$C,3,FALSE)</f>
        <v>掌愛の豊穣女神 フレイヤ</v>
      </c>
      <c r="C604" s="9">
        <f ca="1">VLOOKUP(A604,[2]characters!$A:$I,9,FALSE)</f>
        <v>5</v>
      </c>
      <c r="D604" s="9" t="str">
        <f ca="1">VLOOKUP(A604,[2]characters!$A:$H,8,FALSE)</f>
        <v>blue</v>
      </c>
      <c r="E604" s="97">
        <f ca="1">VLOOKUP(D604,[2]属性!$A:$E,2,FALSE)</f>
        <v>1</v>
      </c>
      <c r="F604" s="97">
        <f ca="1">VLOOKUP(D604,[2]属性!$A:$E,3,FALSE)</f>
        <v>0.98</v>
      </c>
      <c r="G604" s="97">
        <f ca="1">VLOOKUP(D604,[2]属性!$A:$F,4,FALSE)</f>
        <v>1</v>
      </c>
      <c r="H604" s="9" t="str">
        <f ca="1">VLOOKUP(A604,[2]characters!$A:$K,11,FALSE)</f>
        <v>heal</v>
      </c>
      <c r="I604" s="6" t="str">
        <f ca="1">VLOOKUP(H604,[2]character_type_i18n!$A:$F,3,FALSE)</f>
        <v>回復タイプ</v>
      </c>
      <c r="J604" s="97">
        <f ca="1">VLOOKUP(H604,[2]character_type_i18n!$A:$F,4,FALSE)</f>
        <v>0.8</v>
      </c>
      <c r="K604" s="97">
        <f ca="1">VLOOKUP(H604,[2]character_type_i18n!$A:$F,5,FALSE)</f>
        <v>0.78</v>
      </c>
      <c r="L604" s="97">
        <f ca="1">VLOOKUP(H604,[2]character_type_i18n!$A:$F,6,FALSE)</f>
        <v>1</v>
      </c>
      <c r="M604" s="9" t="str">
        <f ca="1">VLOOKUP(A604,[2]characters!$A:$M,13,FALSE)</f>
        <v>animal</v>
      </c>
      <c r="N604" s="6" t="str">
        <f ca="1">VLOOKUP(M604,[2]character_tribe_i18n!$A:$F,3,FALSE)</f>
        <v>アニマル</v>
      </c>
      <c r="O604" s="97">
        <f ca="1">VLOOKUP(M604,[2]character_tribe_i18n!$A:$F,4,FALSE)</f>
        <v>1</v>
      </c>
      <c r="P604" s="97">
        <f ca="1">VLOOKUP(M604,[2]character_tribe_i18n!$A:$F,5,FALSE)</f>
        <v>1.1000000000000001</v>
      </c>
      <c r="Q604" s="97">
        <f ca="1">VLOOKUP(M604,[2]character_tribe_i18n!$A:$F,6,FALSE)</f>
        <v>1</v>
      </c>
      <c r="R604" s="98" t="s">
        <v>98</v>
      </c>
      <c r="S604" s="97">
        <f>VLOOKUP($R604,ラベル別係数!$A$1:$E$7,3,FALSE)</f>
        <v>5</v>
      </c>
      <c r="T604" s="97">
        <f>VLOOKUP($R604,ラベル別係数!$A$1:$E$7,4,FALSE)</f>
        <v>1.3</v>
      </c>
      <c r="U604" s="97">
        <f>VLOOKUP($R604,ラベル別係数!$A$1:$E$7,5,FALSE)</f>
        <v>0.8</v>
      </c>
      <c r="V604" s="98">
        <v>3</v>
      </c>
      <c r="W604" s="99">
        <f>VLOOKUP(V604,ターン数別攻撃係数!$A$1:$B$1000,2,FALSE)</f>
        <v>1</v>
      </c>
      <c r="X604" s="9">
        <f ca="1">VLOOKUP(C604,サイズ別係数!A$2:B$9,2,FALSE)</f>
        <v>60</v>
      </c>
      <c r="Y604" s="97">
        <f ca="1">VLOOKUP($X604,サイズ別係数!$B:$E,2,FALSE)</f>
        <v>1.7</v>
      </c>
      <c r="Z604" s="97">
        <f ca="1">VLOOKUP($X604,サイズ別係数!$B:$E,3,FALSE)</f>
        <v>1.4</v>
      </c>
      <c r="AA604" s="97">
        <f ca="1">VLOOKUP($X604,サイズ別係数!$B:$E,4,FALSE)</f>
        <v>1</v>
      </c>
      <c r="AB604" s="10">
        <v>0</v>
      </c>
      <c r="AC604" s="6" t="str">
        <f ca="1">VLOOKUP($AB604,OFFSET([3]enemy_skill_sets!$B$2,0,0,COUNTA([3]enemy_skill_sets!$A:$A),MATCH(AC$1,[3]enemy_skill_sets!$1:$1,0)-MATCH($AB$1,[3]enemy_skill_sets!$1:$1,0)+1),MATCH(AC$1,[3]enemy_skill_sets!$1:$1,0)-MATCH($AB$1,[3]enemy_skill_sets!$1:$1,0)+1,FALSE)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4" s="67">
        <v>1</v>
      </c>
      <c r="AE604" s="67">
        <v>1</v>
      </c>
      <c r="AF604" s="68">
        <v>0</v>
      </c>
      <c r="AG604" s="99">
        <f ca="1">ROUND(VLOOKUP(1,enemy_base_stats!$A:$F,2,FALSE) * Y604* J604*O604*E604*S604*AD604*[2]ステータス!$B$2,0)</f>
        <v>3400</v>
      </c>
      <c r="AH604" s="99">
        <f ca="1">ROUND(VLOOKUP(1,enemy_base_stats!$A:$F,3,FALSE) * Z604*K604*P604*F604*T604*AE604 * W604*[2]ステータス!$C$2,0)</f>
        <v>230</v>
      </c>
      <c r="AI604" s="99">
        <f ca="1">ROUND(VLOOKUP(1,enemy_base_stats!$A:$F,4,FALSE) * AA604*L604*Q604*G604*U604*AF604*[2]ステータス!$D$2,0)</f>
        <v>0</v>
      </c>
      <c r="AJ604" s="99">
        <f ca="1">ROUND(VLOOKUP(100,enemy_base_stats!$A:$F,2,FALSE) * Y604* J604*O604*E604*S604*AD604*[2]ステータス!$B$2,0)</f>
        <v>138040</v>
      </c>
      <c r="AK604" s="99">
        <f ca="1">ROUND(VLOOKUP(100,enemy_base_stats!$A:$F,3,FALSE)* Z604* K604*P604*F604*T604*AE604 * W604*[2]ステータス!$C$2,0)</f>
        <v>9320</v>
      </c>
      <c r="AL604" s="99">
        <f ca="1">ROUND(VLOOKUP(100,enemy_base_stats!$A:$F,4,FALSE)* AA604* L604*Q604*G604*U604*AF604*[2]ステータス!$D$2,0)</f>
        <v>0</v>
      </c>
      <c r="AM604" s="97">
        <f ca="1">VLOOKUP(M604,[2]character_tribe_i18n!$A:$I,9,FALSE)</f>
        <v>480</v>
      </c>
      <c r="AN604" s="97">
        <v>0</v>
      </c>
      <c r="AO604" s="98">
        <v>0</v>
      </c>
      <c r="AP604" s="58" t="s">
        <v>72</v>
      </c>
      <c r="AQ604" s="34">
        <f t="shared" ca="1" si="36"/>
        <v>603</v>
      </c>
    </row>
    <row r="605" spans="1:43" ht="21" customHeight="1" x14ac:dyDescent="0.15">
      <c r="A605" s="7">
        <f t="shared" ca="1" si="33"/>
        <v>604</v>
      </c>
      <c r="B605" s="6" t="str">
        <f ca="1">VLOOKUP(A605,[2]characters!$A:$C,3,FALSE)</f>
        <v>バルドル</v>
      </c>
      <c r="C605" s="9">
        <f ca="1">VLOOKUP(A605,[2]characters!$A:$I,9,FALSE)</f>
        <v>3</v>
      </c>
      <c r="D605" s="9" t="str">
        <f ca="1">VLOOKUP(A605,[2]characters!$A:$H,8,FALSE)</f>
        <v>yellow</v>
      </c>
      <c r="E605" s="97">
        <f ca="1">VLOOKUP(D605,[2]属性!$A:$E,2,FALSE)</f>
        <v>0.98</v>
      </c>
      <c r="F605" s="97">
        <f ca="1">VLOOKUP(D605,[2]属性!$A:$E,3,FALSE)</f>
        <v>1.01</v>
      </c>
      <c r="G605" s="97">
        <f ca="1">VLOOKUP(D605,[2]属性!$A:$F,4,FALSE)</f>
        <v>1</v>
      </c>
      <c r="H605" s="9" t="str">
        <f ca="1">VLOOKUP(A605,[2]characters!$A:$K,11,FALSE)</f>
        <v>heal</v>
      </c>
      <c r="I605" s="6" t="str">
        <f ca="1">VLOOKUP(H605,[2]character_type_i18n!$A:$F,3,FALSE)</f>
        <v>回復タイプ</v>
      </c>
      <c r="J605" s="97">
        <f ca="1">VLOOKUP(H605,[2]character_type_i18n!$A:$F,4,FALSE)</f>
        <v>0.8</v>
      </c>
      <c r="K605" s="97">
        <f ca="1">VLOOKUP(H605,[2]character_type_i18n!$A:$F,5,FALSE)</f>
        <v>0.78</v>
      </c>
      <c r="L605" s="97">
        <f ca="1">VLOOKUP(H605,[2]character_type_i18n!$A:$F,6,FALSE)</f>
        <v>1</v>
      </c>
      <c r="M605" s="9" t="str">
        <f ca="1">VLOOKUP(A605,[2]characters!$A:$M,13,FALSE)</f>
        <v>god</v>
      </c>
      <c r="N605" s="6" t="str">
        <f ca="1">VLOOKUP(M605,[2]character_tribe_i18n!$A:$F,3,FALSE)</f>
        <v>ゴッド</v>
      </c>
      <c r="O605" s="97">
        <f ca="1">VLOOKUP(M605,[2]character_tribe_i18n!$A:$F,4,FALSE)</f>
        <v>0.96</v>
      </c>
      <c r="P605" s="97">
        <f ca="1">VLOOKUP(M605,[2]character_tribe_i18n!$A:$F,5,FALSE)</f>
        <v>1.02</v>
      </c>
      <c r="Q605" s="97">
        <f ca="1">VLOOKUP(M605,[2]character_tribe_i18n!$A:$F,6,FALSE)</f>
        <v>1</v>
      </c>
      <c r="R605" s="98" t="s">
        <v>98</v>
      </c>
      <c r="S605" s="97">
        <f>VLOOKUP($R605,ラベル別係数!$A$1:$E$7,3,FALSE)</f>
        <v>5</v>
      </c>
      <c r="T605" s="97">
        <f>VLOOKUP($R605,ラベル別係数!$A$1:$E$7,4,FALSE)</f>
        <v>1.3</v>
      </c>
      <c r="U605" s="97">
        <f>VLOOKUP($R605,ラベル別係数!$A$1:$E$7,5,FALSE)</f>
        <v>0.8</v>
      </c>
      <c r="V605" s="98">
        <v>3</v>
      </c>
      <c r="W605" s="99">
        <f>VLOOKUP(V605,ターン数別攻撃係数!$A$1:$B$1000,2,FALSE)</f>
        <v>1</v>
      </c>
      <c r="X605" s="9">
        <f ca="1">VLOOKUP(C605,サイズ別係数!A$2:B$9,2,FALSE)</f>
        <v>25</v>
      </c>
      <c r="Y605" s="97">
        <f ca="1">VLOOKUP($X605,サイズ別係数!$B:$E,2,FALSE)</f>
        <v>1.2</v>
      </c>
      <c r="Z605" s="97">
        <f ca="1">VLOOKUP($X605,サイズ別係数!$B:$E,3,FALSE)</f>
        <v>1.25</v>
      </c>
      <c r="AA605" s="97">
        <f ca="1">VLOOKUP($X605,サイズ別係数!$B:$E,4,FALSE)</f>
        <v>1.1499999999999999</v>
      </c>
      <c r="AB605" s="10">
        <v>0</v>
      </c>
      <c r="AC605" s="6" t="str">
        <f ca="1">VLOOKUP($AB605,OFFSET([3]enemy_skill_sets!$B$2,0,0,COUNTA([3]enemy_skill_sets!$A:$A),MATCH(AC$1,[3]enemy_skill_sets!$1:$1,0)-MATCH($AB$1,[3]enemy_skill_sets!$1:$1,0)+1),MATCH(AC$1,[3]enemy_skill_sets!$1:$1,0)-MATCH($AB$1,[3]enemy_skill_sets!$1:$1,0)+1,FALSE)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5" s="67">
        <v>1</v>
      </c>
      <c r="AE605" s="67">
        <v>1</v>
      </c>
      <c r="AF605" s="68">
        <v>0</v>
      </c>
      <c r="AG605" s="99">
        <f ca="1">ROUND(VLOOKUP(1,enemy_base_stats!$A:$F,2,FALSE) * Y605* J605*O605*E605*S605*AD605*[2]ステータス!$B$2,0)</f>
        <v>2258</v>
      </c>
      <c r="AH605" s="99">
        <f ca="1">ROUND(VLOOKUP(1,enemy_base_stats!$A:$F,3,FALSE) * Z605*K605*P605*F605*T605*AE605 * W605*[2]ステータス!$C$2,0)</f>
        <v>196</v>
      </c>
      <c r="AI605" s="99">
        <f ca="1">ROUND(VLOOKUP(1,enemy_base_stats!$A:$F,4,FALSE) * AA605*L605*Q605*G605*U605*AF605*[2]ステータス!$D$2,0)</f>
        <v>0</v>
      </c>
      <c r="AJ605" s="99">
        <f ca="1">ROUND(VLOOKUP(100,enemy_base_stats!$A:$F,2,FALSE) * Y605* J605*O605*E605*S605*AD605*[2]ステータス!$B$2,0)</f>
        <v>91672</v>
      </c>
      <c r="AK605" s="99">
        <f ca="1">ROUND(VLOOKUP(100,enemy_base_stats!$A:$F,3,FALSE)* Z605* K605*P605*F605*T605*AE605 * W605*[2]ステータス!$C$2,0)</f>
        <v>7952</v>
      </c>
      <c r="AL605" s="99">
        <f ca="1">ROUND(VLOOKUP(100,enemy_base_stats!$A:$F,4,FALSE)* AA605* L605*Q605*G605*U605*AF605*[2]ステータス!$D$2,0)</f>
        <v>0</v>
      </c>
      <c r="AM605" s="97">
        <f ca="1">VLOOKUP(M605,[2]character_tribe_i18n!$A:$I,9,FALSE)</f>
        <v>680</v>
      </c>
      <c r="AN605" s="97">
        <v>0</v>
      </c>
      <c r="AO605" s="98">
        <v>0</v>
      </c>
      <c r="AP605" s="58" t="s">
        <v>72</v>
      </c>
      <c r="AQ605" s="34">
        <f t="shared" ca="1" si="36"/>
        <v>604</v>
      </c>
    </row>
    <row r="606" spans="1:43" ht="21" customHeight="1" x14ac:dyDescent="0.15">
      <c r="A606" s="7">
        <f t="shared" ca="1" si="33"/>
        <v>605</v>
      </c>
      <c r="B606" s="6" t="str">
        <f ca="1">VLOOKUP(A606,[2]characters!$A:$C,3,FALSE)</f>
        <v>祝福される光耀 バルドル</v>
      </c>
      <c r="C606" s="9">
        <f ca="1">VLOOKUP(A606,[2]characters!$A:$I,9,FALSE)</f>
        <v>4</v>
      </c>
      <c r="D606" s="9" t="str">
        <f ca="1">VLOOKUP(A606,[2]characters!$A:$H,8,FALSE)</f>
        <v>yellow</v>
      </c>
      <c r="E606" s="97">
        <f ca="1">VLOOKUP(D606,[2]属性!$A:$E,2,FALSE)</f>
        <v>0.98</v>
      </c>
      <c r="F606" s="97">
        <f ca="1">VLOOKUP(D606,[2]属性!$A:$E,3,FALSE)</f>
        <v>1.01</v>
      </c>
      <c r="G606" s="97">
        <f ca="1">VLOOKUP(D606,[2]属性!$A:$F,4,FALSE)</f>
        <v>1</v>
      </c>
      <c r="H606" s="9" t="str">
        <f ca="1">VLOOKUP(A606,[2]characters!$A:$K,11,FALSE)</f>
        <v>heal</v>
      </c>
      <c r="I606" s="6" t="str">
        <f ca="1">VLOOKUP(H606,[2]character_type_i18n!$A:$F,3,FALSE)</f>
        <v>回復タイプ</v>
      </c>
      <c r="J606" s="97">
        <f ca="1">VLOOKUP(H606,[2]character_type_i18n!$A:$F,4,FALSE)</f>
        <v>0.8</v>
      </c>
      <c r="K606" s="97">
        <f ca="1">VLOOKUP(H606,[2]character_type_i18n!$A:$F,5,FALSE)</f>
        <v>0.78</v>
      </c>
      <c r="L606" s="97">
        <f ca="1">VLOOKUP(H606,[2]character_type_i18n!$A:$F,6,FALSE)</f>
        <v>1</v>
      </c>
      <c r="M606" s="9" t="str">
        <f ca="1">VLOOKUP(A606,[2]characters!$A:$M,13,FALSE)</f>
        <v>god</v>
      </c>
      <c r="N606" s="6" t="str">
        <f ca="1">VLOOKUP(M606,[2]character_tribe_i18n!$A:$F,3,FALSE)</f>
        <v>ゴッド</v>
      </c>
      <c r="O606" s="97">
        <f ca="1">VLOOKUP(M606,[2]character_tribe_i18n!$A:$F,4,FALSE)</f>
        <v>0.96</v>
      </c>
      <c r="P606" s="97">
        <f ca="1">VLOOKUP(M606,[2]character_tribe_i18n!$A:$F,5,FALSE)</f>
        <v>1.02</v>
      </c>
      <c r="Q606" s="97">
        <f ca="1">VLOOKUP(M606,[2]character_tribe_i18n!$A:$F,6,FALSE)</f>
        <v>1</v>
      </c>
      <c r="R606" s="98" t="s">
        <v>98</v>
      </c>
      <c r="S606" s="97">
        <f>VLOOKUP($R606,ラベル別係数!$A$1:$E$7,3,FALSE)</f>
        <v>5</v>
      </c>
      <c r="T606" s="97">
        <f>VLOOKUP($R606,ラベル別係数!$A$1:$E$7,4,FALSE)</f>
        <v>1.3</v>
      </c>
      <c r="U606" s="97">
        <f>VLOOKUP($R606,ラベル別係数!$A$1:$E$7,5,FALSE)</f>
        <v>0.8</v>
      </c>
      <c r="V606" s="98">
        <v>3</v>
      </c>
      <c r="W606" s="99">
        <f>VLOOKUP(V606,ターン数別攻撃係数!$A$1:$B$1000,2,FALSE)</f>
        <v>1</v>
      </c>
      <c r="X606" s="9">
        <f ca="1">VLOOKUP(C606,サイズ別係数!A$2:B$9,2,FALSE)</f>
        <v>30</v>
      </c>
      <c r="Y606" s="97">
        <f ca="1">VLOOKUP($X606,サイズ別係数!$B:$E,2,FALSE)</f>
        <v>1.3</v>
      </c>
      <c r="Z606" s="97">
        <f ca="1">VLOOKUP($X606,サイズ別係数!$B:$E,3,FALSE)</f>
        <v>1.3</v>
      </c>
      <c r="AA606" s="97">
        <f ca="1">VLOOKUP($X606,サイズ別係数!$B:$E,4,FALSE)</f>
        <v>1.1000000000000001</v>
      </c>
      <c r="AB606" s="10">
        <v>0</v>
      </c>
      <c r="AC606" s="6" t="str">
        <f ca="1">VLOOKUP($AB606,OFFSET([3]enemy_skill_sets!$B$2,0,0,COUNTA([3]enemy_skill_sets!$A:$A),MATCH(AC$1,[3]enemy_skill_sets!$1:$1,0)-MATCH($AB$1,[3]enemy_skill_sets!$1:$1,0)+1),MATCH(AC$1,[3]enemy_skill_sets!$1:$1,0)-MATCH($AB$1,[3]enemy_skill_sets!$1:$1,0)+1,FALSE)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6" s="67">
        <v>1</v>
      </c>
      <c r="AE606" s="67">
        <v>1</v>
      </c>
      <c r="AF606" s="68">
        <v>0</v>
      </c>
      <c r="AG606" s="99">
        <f ca="1">ROUND(VLOOKUP(1,enemy_base_stats!$A:$F,2,FALSE) * Y606* J606*O606*E606*S606*AD606*[2]ステータス!$B$2,0)</f>
        <v>2446</v>
      </c>
      <c r="AH606" s="99">
        <f ca="1">ROUND(VLOOKUP(1,enemy_base_stats!$A:$F,3,FALSE) * Z606*K606*P606*F606*T606*AE606 * W606*[2]ステータス!$C$2,0)</f>
        <v>204</v>
      </c>
      <c r="AI606" s="99">
        <f ca="1">ROUND(VLOOKUP(1,enemy_base_stats!$A:$F,4,FALSE) * AA606*L606*Q606*G606*U606*AF606*[2]ステータス!$D$2,0)</f>
        <v>0</v>
      </c>
      <c r="AJ606" s="99">
        <f ca="1">ROUND(VLOOKUP(100,enemy_base_stats!$A:$F,2,FALSE) * Y606* J606*O606*E606*S606*AD606*[2]ステータス!$B$2,0)</f>
        <v>99311</v>
      </c>
      <c r="AK606" s="99">
        <f ca="1">ROUND(VLOOKUP(100,enemy_base_stats!$A:$F,3,FALSE)* Z606* K606*P606*F606*T606*AE606 * W606*[2]ステータス!$C$2,0)</f>
        <v>8270</v>
      </c>
      <c r="AL606" s="99">
        <f ca="1">ROUND(VLOOKUP(100,enemy_base_stats!$A:$F,4,FALSE)* AA606* L606*Q606*G606*U606*AF606*[2]ステータス!$D$2,0)</f>
        <v>0</v>
      </c>
      <c r="AM606" s="97">
        <f ca="1">VLOOKUP(M606,[2]character_tribe_i18n!$A:$I,9,FALSE)</f>
        <v>680</v>
      </c>
      <c r="AN606" s="97">
        <v>0</v>
      </c>
      <c r="AO606" s="98">
        <v>0</v>
      </c>
      <c r="AP606" s="58" t="s">
        <v>72</v>
      </c>
      <c r="AQ606" s="34">
        <f t="shared" ref="AQ606:AQ613" ca="1" si="37">A606</f>
        <v>605</v>
      </c>
    </row>
    <row r="607" spans="1:43" ht="21" customHeight="1" x14ac:dyDescent="0.15">
      <c r="A607" s="7">
        <f t="shared" ca="1" si="33"/>
        <v>606</v>
      </c>
      <c r="B607" s="6" t="str">
        <f ca="1">VLOOKUP(A607,[2]characters!$A:$C,3,FALSE)</f>
        <v>冀望の光芒 バルドル</v>
      </c>
      <c r="C607" s="9">
        <f ca="1">VLOOKUP(A607,[2]characters!$A:$I,9,FALSE)</f>
        <v>5</v>
      </c>
      <c r="D607" s="9" t="str">
        <f ca="1">VLOOKUP(A607,[2]characters!$A:$H,8,FALSE)</f>
        <v>yellow</v>
      </c>
      <c r="E607" s="97">
        <f ca="1">VLOOKUP(D607,[2]属性!$A:$E,2,FALSE)</f>
        <v>0.98</v>
      </c>
      <c r="F607" s="97">
        <f ca="1">VLOOKUP(D607,[2]属性!$A:$E,3,FALSE)</f>
        <v>1.01</v>
      </c>
      <c r="G607" s="97">
        <f ca="1">VLOOKUP(D607,[2]属性!$A:$F,4,FALSE)</f>
        <v>1</v>
      </c>
      <c r="H607" s="9" t="str">
        <f ca="1">VLOOKUP(A607,[2]characters!$A:$K,11,FALSE)</f>
        <v>heal</v>
      </c>
      <c r="I607" s="6" t="str">
        <f ca="1">VLOOKUP(H607,[2]character_type_i18n!$A:$F,3,FALSE)</f>
        <v>回復タイプ</v>
      </c>
      <c r="J607" s="97">
        <f ca="1">VLOOKUP(H607,[2]character_type_i18n!$A:$F,4,FALSE)</f>
        <v>0.8</v>
      </c>
      <c r="K607" s="97">
        <f ca="1">VLOOKUP(H607,[2]character_type_i18n!$A:$F,5,FALSE)</f>
        <v>0.78</v>
      </c>
      <c r="L607" s="97">
        <f ca="1">VLOOKUP(H607,[2]character_type_i18n!$A:$F,6,FALSE)</f>
        <v>1</v>
      </c>
      <c r="M607" s="9" t="str">
        <f ca="1">VLOOKUP(A607,[2]characters!$A:$M,13,FALSE)</f>
        <v>god</v>
      </c>
      <c r="N607" s="6" t="str">
        <f ca="1">VLOOKUP(M607,[2]character_tribe_i18n!$A:$F,3,FALSE)</f>
        <v>ゴッド</v>
      </c>
      <c r="O607" s="97">
        <f ca="1">VLOOKUP(M607,[2]character_tribe_i18n!$A:$F,4,FALSE)</f>
        <v>0.96</v>
      </c>
      <c r="P607" s="97">
        <f ca="1">VLOOKUP(M607,[2]character_tribe_i18n!$A:$F,5,FALSE)</f>
        <v>1.02</v>
      </c>
      <c r="Q607" s="97">
        <f ca="1">VLOOKUP(M607,[2]character_tribe_i18n!$A:$F,6,FALSE)</f>
        <v>1</v>
      </c>
      <c r="R607" s="98" t="s">
        <v>98</v>
      </c>
      <c r="S607" s="97">
        <f>VLOOKUP($R607,ラベル別係数!$A$1:$E$7,3,FALSE)</f>
        <v>5</v>
      </c>
      <c r="T607" s="97">
        <f>VLOOKUP($R607,ラベル別係数!$A$1:$E$7,4,FALSE)</f>
        <v>1.3</v>
      </c>
      <c r="U607" s="97">
        <f>VLOOKUP($R607,ラベル別係数!$A$1:$E$7,5,FALSE)</f>
        <v>0.8</v>
      </c>
      <c r="V607" s="98">
        <v>3</v>
      </c>
      <c r="W607" s="99">
        <f>VLOOKUP(V607,ターン数別攻撃係数!$A$1:$B$1000,2,FALSE)</f>
        <v>1</v>
      </c>
      <c r="X607" s="9">
        <f ca="1">VLOOKUP(C607,サイズ別係数!A$2:B$9,2,FALSE)</f>
        <v>60</v>
      </c>
      <c r="Y607" s="97">
        <f ca="1">VLOOKUP($X607,サイズ別係数!$B:$E,2,FALSE)</f>
        <v>1.7</v>
      </c>
      <c r="Z607" s="97">
        <f ca="1">VLOOKUP($X607,サイズ別係数!$B:$E,3,FALSE)</f>
        <v>1.4</v>
      </c>
      <c r="AA607" s="97">
        <f ca="1">VLOOKUP($X607,サイズ別係数!$B:$E,4,FALSE)</f>
        <v>1</v>
      </c>
      <c r="AB607" s="10">
        <v>0</v>
      </c>
      <c r="AC607" s="6" t="str">
        <f ca="1">VLOOKUP($AB607,OFFSET([3]enemy_skill_sets!$B$2,0,0,COUNTA([3]enemy_skill_sets!$A:$A),MATCH(AC$1,[3]enemy_skill_sets!$1:$1,0)-MATCH($AB$1,[3]enemy_skill_sets!$1:$1,0)+1),MATCH(AC$1,[3]enemy_skill_sets!$1:$1,0)-MATCH($AB$1,[3]enemy_skill_sets!$1:$1,0)+1,FALSE)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7" s="67">
        <v>1</v>
      </c>
      <c r="AE607" s="67">
        <v>1</v>
      </c>
      <c r="AF607" s="68">
        <v>0</v>
      </c>
      <c r="AG607" s="99">
        <f ca="1">ROUND(VLOOKUP(1,enemy_base_stats!$A:$F,2,FALSE) * Y607* J607*O607*E607*S607*AD607*[2]ステータス!$B$2,0)</f>
        <v>3199</v>
      </c>
      <c r="AH607" s="99">
        <f ca="1">ROUND(VLOOKUP(1,enemy_base_stats!$A:$F,3,FALSE) * Z607*K607*P607*F607*T607*AE607 * W607*[2]ステータス!$C$2,0)</f>
        <v>219</v>
      </c>
      <c r="AI607" s="99">
        <f ca="1">ROUND(VLOOKUP(1,enemy_base_stats!$A:$F,4,FALSE) * AA607*L607*Q607*G607*U607*AF607*[2]ステータス!$D$2,0)</f>
        <v>0</v>
      </c>
      <c r="AJ607" s="99">
        <f ca="1">ROUND(VLOOKUP(100,enemy_base_stats!$A:$F,2,FALSE) * Y607* J607*O607*E607*S607*AD607*[2]ステータス!$B$2,0)</f>
        <v>129868</v>
      </c>
      <c r="AK607" s="99">
        <f ca="1">ROUND(VLOOKUP(100,enemy_base_stats!$A:$F,3,FALSE)* Z607* K607*P607*F607*T607*AE607 * W607*[2]ステータス!$C$2,0)</f>
        <v>8906</v>
      </c>
      <c r="AL607" s="99">
        <f ca="1">ROUND(VLOOKUP(100,enemy_base_stats!$A:$F,4,FALSE)* AA607* L607*Q607*G607*U607*AF607*[2]ステータス!$D$2,0)</f>
        <v>0</v>
      </c>
      <c r="AM607" s="97">
        <f ca="1">VLOOKUP(M607,[2]character_tribe_i18n!$A:$I,9,FALSE)</f>
        <v>680</v>
      </c>
      <c r="AN607" s="97">
        <v>0</v>
      </c>
      <c r="AO607" s="98">
        <v>0</v>
      </c>
      <c r="AP607" s="58" t="s">
        <v>72</v>
      </c>
      <c r="AQ607" s="34">
        <f t="shared" ca="1" si="37"/>
        <v>606</v>
      </c>
    </row>
    <row r="608" spans="1:43" ht="21" customHeight="1" x14ac:dyDescent="0.15">
      <c r="A608" s="7">
        <f t="shared" ca="1" si="33"/>
        <v>607</v>
      </c>
      <c r="B608" s="6" t="str">
        <f ca="1">VLOOKUP(A608,[2]characters!$A:$C,3,FALSE)</f>
        <v>メガ攻めの果実</v>
      </c>
      <c r="C608" s="9">
        <f ca="1">VLOOKUP(A608,[2]characters!$A:$I,9,FALSE)</f>
        <v>4</v>
      </c>
      <c r="D608" s="9" t="str">
        <f ca="1">VLOOKUP(A608,[2]characters!$A:$H,8,FALSE)</f>
        <v>red</v>
      </c>
      <c r="E608" s="97">
        <f ca="1">VLOOKUP(D608,[2]属性!$A:$E,2,FALSE)</f>
        <v>1</v>
      </c>
      <c r="F608" s="97">
        <f ca="1">VLOOKUP(D608,[2]属性!$A:$E,3,FALSE)</f>
        <v>1.02</v>
      </c>
      <c r="G608" s="97">
        <f ca="1">VLOOKUP(D608,[2]属性!$A:$F,4,FALSE)</f>
        <v>1</v>
      </c>
      <c r="H608" s="100" t="s">
        <v>131</v>
      </c>
      <c r="I608" s="6" t="str">
        <f>VLOOKUP(H608,[2]character_type_i18n!$A:$F,3,FALSE)</f>
        <v>攻撃タイプ</v>
      </c>
      <c r="J608" s="97">
        <f>VLOOKUP(H608,[2]character_type_i18n!$A:$F,4,FALSE)</f>
        <v>1</v>
      </c>
      <c r="K608" s="97">
        <f>VLOOKUP(H608,[2]character_type_i18n!$A:$F,5,FALSE)</f>
        <v>1.33</v>
      </c>
      <c r="L608" s="97">
        <f>VLOOKUP(H608,[2]character_type_i18n!$A:$F,6,FALSE)</f>
        <v>1</v>
      </c>
      <c r="M608" s="9" t="str">
        <f ca="1">VLOOKUP(A608,[2]characters!$A:$M,13,FALSE)</f>
        <v>unknown</v>
      </c>
      <c r="N608" s="6" t="str">
        <f ca="1">VLOOKUP(M608,[2]character_tribe_i18n!$A:$F,3,FALSE)</f>
        <v>Unknown</v>
      </c>
      <c r="O608" s="97">
        <f ca="1">VLOOKUP(M608,[2]character_tribe_i18n!$A:$F,4,FALSE)</f>
        <v>1</v>
      </c>
      <c r="P608" s="97">
        <f ca="1">VLOOKUP(M608,[2]character_tribe_i18n!$A:$F,5,FALSE)</f>
        <v>1</v>
      </c>
      <c r="Q608" s="97">
        <f ca="1">VLOOKUP(M608,[2]character_tribe_i18n!$A:$F,6,FALSE)</f>
        <v>1</v>
      </c>
      <c r="R608" s="98" t="s">
        <v>130</v>
      </c>
      <c r="S608" s="97">
        <f>VLOOKUP($R608,ラベル別係数!$A$1:$E$7,3,FALSE)</f>
        <v>1</v>
      </c>
      <c r="T608" s="97">
        <f>VLOOKUP($R608,ラベル別係数!$A$1:$E$7,4,FALSE)</f>
        <v>1</v>
      </c>
      <c r="U608" s="97">
        <f>VLOOKUP($R608,ラベル別係数!$A$1:$E$7,5,FALSE)</f>
        <v>1</v>
      </c>
      <c r="V608" s="98">
        <v>3</v>
      </c>
      <c r="W608" s="99">
        <f>VLOOKUP(V608,ターン数別攻撃係数!$A$1:$B$1000,2,FALSE)</f>
        <v>1</v>
      </c>
      <c r="X608" s="7">
        <v>20</v>
      </c>
      <c r="Y608" s="97">
        <f>VLOOKUP($X608,サイズ別係数!$B:$E,2,FALSE)</f>
        <v>1.1000000000000001</v>
      </c>
      <c r="Z608" s="97">
        <f>VLOOKUP($X608,サイズ別係数!$B:$E,3,FALSE)</f>
        <v>1.2</v>
      </c>
      <c r="AA608" s="97">
        <f>VLOOKUP($X608,サイズ別係数!$B:$E,4,FALSE)</f>
        <v>1.2</v>
      </c>
      <c r="AB608" s="10">
        <v>0</v>
      </c>
      <c r="AC608" s="6" t="str">
        <f ca="1">VLOOKUP($AB608,OFFSET([3]enemy_skill_sets!$B$2,0,0,COUNTA([3]enemy_skill_sets!$A:$A),MATCH(AC$1,[3]enemy_skill_sets!$1:$1,0)-MATCH($AB$1,[3]enemy_skill_sets!$1:$1,0)+1),MATCH(AC$1,[3]enemy_skill_sets!$1:$1,0)-MATCH($AB$1,[3]enemy_skill_sets!$1:$1,0)+1,FALSE)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8" s="67">
        <v>1</v>
      </c>
      <c r="AE608" s="67">
        <v>1</v>
      </c>
      <c r="AF608" s="68">
        <v>0</v>
      </c>
      <c r="AG608" s="99">
        <f ca="1">ROUND(VLOOKUP(1,enemy_base_stats!$A:$F,2,FALSE) * Y608* J608*O608*E608*S608*AD608*[2]ステータス!$B$2,0)</f>
        <v>550</v>
      </c>
      <c r="AH608" s="99">
        <f ca="1">ROUND(VLOOKUP(1,enemy_base_stats!$A:$F,3,FALSE) * Z608*K608*P608*F608*T608*AE608 * W608*[2]ステータス!$C$2,0)</f>
        <v>244</v>
      </c>
      <c r="AI608" s="99">
        <f ca="1">ROUND(VLOOKUP(1,enemy_base_stats!$A:$F,4,FALSE) * AA608*L608*Q608*G608*U608*AF608*[2]ステータス!$D$2,0)</f>
        <v>0</v>
      </c>
      <c r="AJ608" s="99">
        <f ca="1">ROUND(VLOOKUP(100,enemy_base_stats!$A:$F,2,FALSE) * Y608* J608*O608*E608*S608*AD608*[2]ステータス!$B$2,0)</f>
        <v>22330</v>
      </c>
      <c r="AK608" s="99">
        <f ca="1">ROUND(VLOOKUP(100,enemy_base_stats!$A:$F,3,FALSE)* Z608* K608*P608*F608*T608*AE608 * W608*[2]ステータス!$C$2,0)</f>
        <v>9914</v>
      </c>
      <c r="AL608" s="99">
        <f ca="1">ROUND(VLOOKUP(100,enemy_base_stats!$A:$F,4,FALSE)* AA608* L608*Q608*G608*U608*AF608*[2]ステータス!$D$2,0)</f>
        <v>0</v>
      </c>
      <c r="AM608" s="97">
        <f ca="1">VLOOKUP(M608,[2]character_tribe_i18n!$A:$I,9,FALSE)</f>
        <v>340</v>
      </c>
      <c r="AN608" s="97">
        <v>0</v>
      </c>
      <c r="AO608" s="98">
        <v>0</v>
      </c>
      <c r="AP608" s="58" t="s">
        <v>72</v>
      </c>
      <c r="AQ608" s="34">
        <f t="shared" ca="1" si="37"/>
        <v>607</v>
      </c>
    </row>
    <row r="609" spans="1:43" ht="21" customHeight="1" x14ac:dyDescent="0.15">
      <c r="A609" s="7">
        <f t="shared" ca="1" si="33"/>
        <v>608</v>
      </c>
      <c r="B609" s="6" t="str">
        <f ca="1">VLOOKUP(A609,[2]characters!$A:$C,3,FALSE)</f>
        <v>メガ生命の果実</v>
      </c>
      <c r="C609" s="9">
        <f ca="1">VLOOKUP(A609,[2]characters!$A:$I,9,FALSE)</f>
        <v>4</v>
      </c>
      <c r="D609" s="9" t="str">
        <f ca="1">VLOOKUP(A609,[2]characters!$A:$H,8,FALSE)</f>
        <v>green</v>
      </c>
      <c r="E609" s="97">
        <f ca="1">VLOOKUP(D609,[2]属性!$A:$E,2,FALSE)</f>
        <v>1.02</v>
      </c>
      <c r="F609" s="97">
        <f ca="1">VLOOKUP(D609,[2]属性!$A:$E,3,FALSE)</f>
        <v>0.98</v>
      </c>
      <c r="G609" s="97">
        <f ca="1">VLOOKUP(D609,[2]属性!$A:$F,4,FALSE)</f>
        <v>1</v>
      </c>
      <c r="H609" s="100" t="s">
        <v>132</v>
      </c>
      <c r="I609" s="6" t="str">
        <f>VLOOKUP(H609,[2]character_type_i18n!$A:$F,3,FALSE)</f>
        <v>体力タイプ</v>
      </c>
      <c r="J609" s="97">
        <f>VLOOKUP(H609,[2]character_type_i18n!$A:$F,4,FALSE)</f>
        <v>1.45</v>
      </c>
      <c r="K609" s="97">
        <f>VLOOKUP(H609,[2]character_type_i18n!$A:$F,5,FALSE)</f>
        <v>0.85</v>
      </c>
      <c r="L609" s="97">
        <f>VLOOKUP(H609,[2]character_type_i18n!$A:$F,6,FALSE)</f>
        <v>1</v>
      </c>
      <c r="M609" s="9" t="str">
        <f ca="1">VLOOKUP(A609,[2]characters!$A:$M,13,FALSE)</f>
        <v>unknown</v>
      </c>
      <c r="N609" s="6" t="str">
        <f ca="1">VLOOKUP(M609,[2]character_tribe_i18n!$A:$F,3,FALSE)</f>
        <v>Unknown</v>
      </c>
      <c r="O609" s="97">
        <f ca="1">VLOOKUP(M609,[2]character_tribe_i18n!$A:$F,4,FALSE)</f>
        <v>1</v>
      </c>
      <c r="P609" s="97">
        <f ca="1">VLOOKUP(M609,[2]character_tribe_i18n!$A:$F,5,FALSE)</f>
        <v>1</v>
      </c>
      <c r="Q609" s="97">
        <f ca="1">VLOOKUP(M609,[2]character_tribe_i18n!$A:$F,6,FALSE)</f>
        <v>1</v>
      </c>
      <c r="R609" s="98" t="s">
        <v>130</v>
      </c>
      <c r="S609" s="97">
        <f>VLOOKUP($R609,ラベル別係数!$A$1:$E$7,3,FALSE)</f>
        <v>1</v>
      </c>
      <c r="T609" s="97">
        <f>VLOOKUP($R609,ラベル別係数!$A$1:$E$7,4,FALSE)</f>
        <v>1</v>
      </c>
      <c r="U609" s="97">
        <f>VLOOKUP($R609,ラベル別係数!$A$1:$E$7,5,FALSE)</f>
        <v>1</v>
      </c>
      <c r="V609" s="98">
        <v>3</v>
      </c>
      <c r="W609" s="99">
        <f>VLOOKUP(V609,ターン数別攻撃係数!$A$1:$B$1000,2,FALSE)</f>
        <v>1</v>
      </c>
      <c r="X609" s="7">
        <v>20</v>
      </c>
      <c r="Y609" s="97">
        <f>VLOOKUP($X609,サイズ別係数!$B:$E,2,FALSE)</f>
        <v>1.1000000000000001</v>
      </c>
      <c r="Z609" s="97">
        <f>VLOOKUP($X609,サイズ別係数!$B:$E,3,FALSE)</f>
        <v>1.2</v>
      </c>
      <c r="AA609" s="97">
        <f>VLOOKUP($X609,サイズ別係数!$B:$E,4,FALSE)</f>
        <v>1.2</v>
      </c>
      <c r="AB609" s="10">
        <v>0</v>
      </c>
      <c r="AC609" s="6" t="str">
        <f ca="1">VLOOKUP($AB609,OFFSET([3]enemy_skill_sets!$B$2,0,0,COUNTA([3]enemy_skill_sets!$A:$A),MATCH(AC$1,[3]enemy_skill_sets!$1:$1,0)-MATCH($AB$1,[3]enemy_skill_sets!$1:$1,0)+1),MATCH(AC$1,[3]enemy_skill_sets!$1:$1,0)-MATCH($AB$1,[3]enemy_skill_sets!$1:$1,0)+1,FALSE)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09" s="67">
        <v>1</v>
      </c>
      <c r="AE609" s="67">
        <v>1</v>
      </c>
      <c r="AF609" s="68">
        <v>0</v>
      </c>
      <c r="AG609" s="99">
        <f ca="1">ROUND(VLOOKUP(1,enemy_base_stats!$A:$F,2,FALSE) * Y609* J609*O609*E609*S609*AD609*[2]ステータス!$B$2,0)</f>
        <v>813</v>
      </c>
      <c r="AH609" s="99">
        <f ca="1">ROUND(VLOOKUP(1,enemy_base_stats!$A:$F,3,FALSE) * Z609*K609*P609*F609*T609*AE609 * W609*[2]ステータス!$C$2,0)</f>
        <v>150</v>
      </c>
      <c r="AI609" s="99">
        <f ca="1">ROUND(VLOOKUP(1,enemy_base_stats!$A:$F,4,FALSE) * AA609*L609*Q609*G609*U609*AF609*[2]ステータス!$D$2,0)</f>
        <v>0</v>
      </c>
      <c r="AJ609" s="99">
        <f ca="1">ROUND(VLOOKUP(100,enemy_base_stats!$A:$F,2,FALSE) * Y609* J609*O609*E609*S609*AD609*[2]ステータス!$B$2,0)</f>
        <v>33026</v>
      </c>
      <c r="AK609" s="99">
        <f ca="1">ROUND(VLOOKUP(100,enemy_base_stats!$A:$F,3,FALSE)* Z609* K609*P609*F609*T609*AE609 * W609*[2]ステータス!$C$2,0)</f>
        <v>6088</v>
      </c>
      <c r="AL609" s="99">
        <f ca="1">ROUND(VLOOKUP(100,enemy_base_stats!$A:$F,4,FALSE)* AA609* L609*Q609*G609*U609*AF609*[2]ステータス!$D$2,0)</f>
        <v>0</v>
      </c>
      <c r="AM609" s="97">
        <f ca="1">VLOOKUP(M609,[2]character_tribe_i18n!$A:$I,9,FALSE)</f>
        <v>340</v>
      </c>
      <c r="AN609" s="97">
        <v>0</v>
      </c>
      <c r="AO609" s="98">
        <v>0</v>
      </c>
      <c r="AP609" s="58" t="s">
        <v>72</v>
      </c>
      <c r="AQ609" s="34">
        <f t="shared" ca="1" si="37"/>
        <v>608</v>
      </c>
    </row>
    <row r="610" spans="1:43" ht="21" customHeight="1" x14ac:dyDescent="0.15">
      <c r="A610" s="7">
        <f t="shared" ca="1" si="33"/>
        <v>609</v>
      </c>
      <c r="B610" s="6" t="str">
        <f ca="1">VLOOKUP(A610,[2]characters!$A:$C,3,FALSE)</f>
        <v>メガ癒しの果実</v>
      </c>
      <c r="C610" s="9">
        <f ca="1">VLOOKUP(A610,[2]characters!$A:$I,9,FALSE)</f>
        <v>4</v>
      </c>
      <c r="D610" s="9" t="str">
        <f ca="1">VLOOKUP(A610,[2]characters!$A:$H,8,FALSE)</f>
        <v>blue</v>
      </c>
      <c r="E610" s="97">
        <f ca="1">VLOOKUP(D610,[2]属性!$A:$E,2,FALSE)</f>
        <v>1</v>
      </c>
      <c r="F610" s="97">
        <f ca="1">VLOOKUP(D610,[2]属性!$A:$E,3,FALSE)</f>
        <v>0.98</v>
      </c>
      <c r="G610" s="97">
        <f ca="1">VLOOKUP(D610,[2]属性!$A:$F,4,FALSE)</f>
        <v>1</v>
      </c>
      <c r="H610" s="100" t="s">
        <v>133</v>
      </c>
      <c r="I610" s="6" t="str">
        <f>VLOOKUP(H610,[2]character_type_i18n!$A:$F,3,FALSE)</f>
        <v>回復タイプ</v>
      </c>
      <c r="J610" s="97">
        <f>VLOOKUP(H610,[2]character_type_i18n!$A:$F,4,FALSE)</f>
        <v>0.8</v>
      </c>
      <c r="K610" s="97">
        <f>VLOOKUP(H610,[2]character_type_i18n!$A:$F,5,FALSE)</f>
        <v>0.78</v>
      </c>
      <c r="L610" s="97">
        <f>VLOOKUP(H610,[2]character_type_i18n!$A:$F,6,FALSE)</f>
        <v>1</v>
      </c>
      <c r="M610" s="9" t="str">
        <f ca="1">VLOOKUP(A610,[2]characters!$A:$M,13,FALSE)</f>
        <v>unknown</v>
      </c>
      <c r="N610" s="6" t="str">
        <f ca="1">VLOOKUP(M610,[2]character_tribe_i18n!$A:$F,3,FALSE)</f>
        <v>Unknown</v>
      </c>
      <c r="O610" s="97">
        <f ca="1">VLOOKUP(M610,[2]character_tribe_i18n!$A:$F,4,FALSE)</f>
        <v>1</v>
      </c>
      <c r="P610" s="97">
        <f ca="1">VLOOKUP(M610,[2]character_tribe_i18n!$A:$F,5,FALSE)</f>
        <v>1</v>
      </c>
      <c r="Q610" s="97">
        <f ca="1">VLOOKUP(M610,[2]character_tribe_i18n!$A:$F,6,FALSE)</f>
        <v>1</v>
      </c>
      <c r="R610" s="98" t="s">
        <v>130</v>
      </c>
      <c r="S610" s="97">
        <f>VLOOKUP($R610,ラベル別係数!$A$1:$E$7,3,FALSE)</f>
        <v>1</v>
      </c>
      <c r="T610" s="97">
        <f>VLOOKUP($R610,ラベル別係数!$A$1:$E$7,4,FALSE)</f>
        <v>1</v>
      </c>
      <c r="U610" s="97">
        <f>VLOOKUP($R610,ラベル別係数!$A$1:$E$7,5,FALSE)</f>
        <v>1</v>
      </c>
      <c r="V610" s="98">
        <v>3</v>
      </c>
      <c r="W610" s="99">
        <f>VLOOKUP(V610,ターン数別攻撃係数!$A$1:$B$1000,2,FALSE)</f>
        <v>1</v>
      </c>
      <c r="X610" s="7">
        <v>20</v>
      </c>
      <c r="Y610" s="97">
        <f>VLOOKUP($X610,サイズ別係数!$B:$E,2,FALSE)</f>
        <v>1.1000000000000001</v>
      </c>
      <c r="Z610" s="97">
        <f>VLOOKUP($X610,サイズ別係数!$B:$E,3,FALSE)</f>
        <v>1.2</v>
      </c>
      <c r="AA610" s="97">
        <f>VLOOKUP($X610,サイズ別係数!$B:$E,4,FALSE)</f>
        <v>1.2</v>
      </c>
      <c r="AB610" s="10">
        <v>0</v>
      </c>
      <c r="AC610" s="6" t="str">
        <f ca="1">VLOOKUP($AB610,OFFSET([3]enemy_skill_sets!$B$2,0,0,COUNTA([3]enemy_skill_sets!$A:$A),MATCH(AC$1,[3]enemy_skill_sets!$1:$1,0)-MATCH($AB$1,[3]enemy_skill_sets!$1:$1,0)+1),MATCH(AC$1,[3]enemy_skill_sets!$1:$1,0)-MATCH($AB$1,[3]enemy_skill_sets!$1:$1,0)+1,FALSE)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0" s="67">
        <v>1</v>
      </c>
      <c r="AE610" s="67">
        <v>1</v>
      </c>
      <c r="AF610" s="68">
        <v>0</v>
      </c>
      <c r="AG610" s="99">
        <f ca="1">ROUND(VLOOKUP(1,enemy_base_stats!$A:$F,2,FALSE) * Y610* J610*O610*E610*S610*AD610*[2]ステータス!$B$2,0)</f>
        <v>440</v>
      </c>
      <c r="AH610" s="99">
        <f ca="1">ROUND(VLOOKUP(1,enemy_base_stats!$A:$F,3,FALSE) * Z610*K610*P610*F610*T610*AE610 * W610*[2]ステータス!$C$2,0)</f>
        <v>138</v>
      </c>
      <c r="AI610" s="99">
        <f ca="1">ROUND(VLOOKUP(1,enemy_base_stats!$A:$F,4,FALSE) * AA610*L610*Q610*G610*U610*AF610*[2]ステータス!$D$2,0)</f>
        <v>0</v>
      </c>
      <c r="AJ610" s="99">
        <f ca="1">ROUND(VLOOKUP(100,enemy_base_stats!$A:$F,2,FALSE) * Y610* J610*O610*E610*S610*AD610*[2]ステータス!$B$2,0)</f>
        <v>17864</v>
      </c>
      <c r="AK610" s="99">
        <f ca="1">ROUND(VLOOKUP(100,enemy_base_stats!$A:$F,3,FALSE)* Z610* K610*P610*F610*T610*AE610 * W610*[2]ステータス!$C$2,0)</f>
        <v>5586</v>
      </c>
      <c r="AL610" s="99">
        <f ca="1">ROUND(VLOOKUP(100,enemy_base_stats!$A:$F,4,FALSE)* AA610* L610*Q610*G610*U610*AF610*[2]ステータス!$D$2,0)</f>
        <v>0</v>
      </c>
      <c r="AM610" s="97">
        <f ca="1">VLOOKUP(M610,[2]character_tribe_i18n!$A:$I,9,FALSE)</f>
        <v>340</v>
      </c>
      <c r="AN610" s="97">
        <v>0</v>
      </c>
      <c r="AO610" s="98">
        <v>0</v>
      </c>
      <c r="AP610" s="58" t="s">
        <v>72</v>
      </c>
      <c r="AQ610" s="34">
        <f t="shared" ca="1" si="37"/>
        <v>609</v>
      </c>
    </row>
    <row r="611" spans="1:43" ht="21" customHeight="1" x14ac:dyDescent="0.15">
      <c r="A611" s="7">
        <f t="shared" ca="1" si="33"/>
        <v>610</v>
      </c>
      <c r="B611" s="6" t="str">
        <f ca="1">VLOOKUP(A611,[2]characters!$A:$C,3,FALSE)</f>
        <v>メガ秘術の果実</v>
      </c>
      <c r="C611" s="9">
        <f ca="1">VLOOKUP(A611,[2]characters!$A:$I,9,FALSE)</f>
        <v>4</v>
      </c>
      <c r="D611" s="9" t="str">
        <f ca="1">VLOOKUP(A611,[2]characters!$A:$H,8,FALSE)</f>
        <v>blue</v>
      </c>
      <c r="E611" s="97">
        <f ca="1">VLOOKUP(D611,[2]属性!$A:$E,2,FALSE)</f>
        <v>1</v>
      </c>
      <c r="F611" s="97">
        <f ca="1">VLOOKUP(D611,[2]属性!$A:$E,3,FALSE)</f>
        <v>0.98</v>
      </c>
      <c r="G611" s="97">
        <f ca="1">VLOOKUP(D611,[2]属性!$A:$F,4,FALSE)</f>
        <v>1</v>
      </c>
      <c r="H611" s="100" t="s">
        <v>134</v>
      </c>
      <c r="I611" s="6" t="str">
        <f>VLOOKUP(H611,[2]character_type_i18n!$A:$F,3,FALSE)</f>
        <v>バランスタイプ</v>
      </c>
      <c r="J611" s="97">
        <f>VLOOKUP(H611,[2]character_type_i18n!$A:$F,4,FALSE)</f>
        <v>1</v>
      </c>
      <c r="K611" s="97">
        <f>VLOOKUP(H611,[2]character_type_i18n!$A:$F,5,FALSE)</f>
        <v>1</v>
      </c>
      <c r="L611" s="97">
        <f>VLOOKUP(H611,[2]character_type_i18n!$A:$F,6,FALSE)</f>
        <v>1</v>
      </c>
      <c r="M611" s="9" t="str">
        <f ca="1">VLOOKUP(A611,[2]characters!$A:$M,13,FALSE)</f>
        <v>unknown</v>
      </c>
      <c r="N611" s="6" t="str">
        <f ca="1">VLOOKUP(M611,[2]character_tribe_i18n!$A:$F,3,FALSE)</f>
        <v>Unknown</v>
      </c>
      <c r="O611" s="97">
        <f ca="1">VLOOKUP(M611,[2]character_tribe_i18n!$A:$F,4,FALSE)</f>
        <v>1</v>
      </c>
      <c r="P611" s="97">
        <f ca="1">VLOOKUP(M611,[2]character_tribe_i18n!$A:$F,5,FALSE)</f>
        <v>1</v>
      </c>
      <c r="Q611" s="97">
        <f ca="1">VLOOKUP(M611,[2]character_tribe_i18n!$A:$F,6,FALSE)</f>
        <v>1</v>
      </c>
      <c r="R611" s="98" t="s">
        <v>130</v>
      </c>
      <c r="S611" s="97">
        <f>VLOOKUP($R611,ラベル別係数!$A$1:$E$7,3,FALSE)</f>
        <v>1</v>
      </c>
      <c r="T611" s="97">
        <f>VLOOKUP($R611,ラベル別係数!$A$1:$E$7,4,FALSE)</f>
        <v>1</v>
      </c>
      <c r="U611" s="97">
        <f>VLOOKUP($R611,ラベル別係数!$A$1:$E$7,5,FALSE)</f>
        <v>1</v>
      </c>
      <c r="V611" s="98">
        <v>3</v>
      </c>
      <c r="W611" s="99">
        <f>VLOOKUP(V611,ターン数別攻撃係数!$A$1:$B$1000,2,FALSE)</f>
        <v>1</v>
      </c>
      <c r="X611" s="7">
        <v>20</v>
      </c>
      <c r="Y611" s="97">
        <f>VLOOKUP($X611,サイズ別係数!$B:$E,2,FALSE)</f>
        <v>1.1000000000000001</v>
      </c>
      <c r="Z611" s="97">
        <f>VLOOKUP($X611,サイズ別係数!$B:$E,3,FALSE)</f>
        <v>1.2</v>
      </c>
      <c r="AA611" s="97">
        <f>VLOOKUP($X611,サイズ別係数!$B:$E,4,FALSE)</f>
        <v>1.2</v>
      </c>
      <c r="AB611" s="10">
        <v>0</v>
      </c>
      <c r="AC611" s="6" t="str">
        <f ca="1">VLOOKUP($AB611,OFFSET([3]enemy_skill_sets!$B$2,0,0,COUNTA([3]enemy_skill_sets!$A:$A),MATCH(AC$1,[3]enemy_skill_sets!$1:$1,0)-MATCH($AB$1,[3]enemy_skill_sets!$1:$1,0)+1),MATCH(AC$1,[3]enemy_skill_sets!$1:$1,0)-MATCH($AB$1,[3]enemy_skill_sets!$1:$1,0)+1,FALSE)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1" s="67">
        <v>1</v>
      </c>
      <c r="AE611" s="67">
        <v>1</v>
      </c>
      <c r="AF611" s="68">
        <v>0</v>
      </c>
      <c r="AG611" s="99">
        <f ca="1">ROUND(VLOOKUP(1,enemy_base_stats!$A:$F,2,FALSE) * Y611* J611*O611*E611*S611*AD611*[2]ステータス!$B$2,0)</f>
        <v>550</v>
      </c>
      <c r="AH611" s="99">
        <f ca="1">ROUND(VLOOKUP(1,enemy_base_stats!$A:$F,3,FALSE) * Z611*K611*P611*F611*T611*AE611 * W611*[2]ステータス!$C$2,0)</f>
        <v>176</v>
      </c>
      <c r="AI611" s="99">
        <f ca="1">ROUND(VLOOKUP(1,enemy_base_stats!$A:$F,4,FALSE) * AA611*L611*Q611*G611*U611*AF611*[2]ステータス!$D$2,0)</f>
        <v>0</v>
      </c>
      <c r="AJ611" s="99">
        <f ca="1">ROUND(VLOOKUP(100,enemy_base_stats!$A:$F,2,FALSE) * Y611* J611*O611*E611*S611*AD611*[2]ステータス!$B$2,0)</f>
        <v>22330</v>
      </c>
      <c r="AK611" s="99">
        <f ca="1">ROUND(VLOOKUP(100,enemy_base_stats!$A:$F,3,FALSE)* Z611* K611*P611*F611*T611*AE611 * W611*[2]ステータス!$C$2,0)</f>
        <v>7162</v>
      </c>
      <c r="AL611" s="99">
        <f ca="1">ROUND(VLOOKUP(100,enemy_base_stats!$A:$F,4,FALSE)* AA611* L611*Q611*G611*U611*AF611*[2]ステータス!$D$2,0)</f>
        <v>0</v>
      </c>
      <c r="AM611" s="97">
        <f ca="1">VLOOKUP(M611,[2]character_tribe_i18n!$A:$I,9,FALSE)</f>
        <v>340</v>
      </c>
      <c r="AN611" s="97">
        <v>0</v>
      </c>
      <c r="AO611" s="98">
        <v>0</v>
      </c>
      <c r="AP611" s="58" t="s">
        <v>72</v>
      </c>
      <c r="AQ611" s="34">
        <f t="shared" ca="1" si="37"/>
        <v>610</v>
      </c>
    </row>
    <row r="612" spans="1:43" ht="21" customHeight="1" x14ac:dyDescent="0.15">
      <c r="A612" s="7">
        <f t="shared" ca="1" si="33"/>
        <v>611</v>
      </c>
      <c r="B612" s="6" t="str">
        <f ca="1">VLOOKUP(A612,[2]characters!$A:$C,3,FALSE)</f>
        <v>ギガ攻めの果実</v>
      </c>
      <c r="C612" s="9">
        <f ca="1">VLOOKUP(A612,[2]characters!$A:$I,9,FALSE)</f>
        <v>5</v>
      </c>
      <c r="D612" s="9" t="str">
        <f ca="1">VLOOKUP(A612,[2]characters!$A:$H,8,FALSE)</f>
        <v>red</v>
      </c>
      <c r="E612" s="97">
        <f ca="1">VLOOKUP(D612,[2]属性!$A:$E,2,FALSE)</f>
        <v>1</v>
      </c>
      <c r="F612" s="97">
        <f ca="1">VLOOKUP(D612,[2]属性!$A:$E,3,FALSE)</f>
        <v>1.02</v>
      </c>
      <c r="G612" s="97">
        <f ca="1">VLOOKUP(D612,[2]属性!$A:$F,4,FALSE)</f>
        <v>1</v>
      </c>
      <c r="H612" s="100" t="s">
        <v>131</v>
      </c>
      <c r="I612" s="6" t="str">
        <f>VLOOKUP(H612,[2]character_type_i18n!$A:$F,3,FALSE)</f>
        <v>攻撃タイプ</v>
      </c>
      <c r="J612" s="97">
        <f>VLOOKUP(H612,[2]character_type_i18n!$A:$F,4,FALSE)</f>
        <v>1</v>
      </c>
      <c r="K612" s="97">
        <f>VLOOKUP(H612,[2]character_type_i18n!$A:$F,5,FALSE)</f>
        <v>1.33</v>
      </c>
      <c r="L612" s="97">
        <f>VLOOKUP(H612,[2]character_type_i18n!$A:$F,6,FALSE)</f>
        <v>1</v>
      </c>
      <c r="M612" s="9" t="str">
        <f ca="1">VLOOKUP(A612,[2]characters!$A:$M,13,FALSE)</f>
        <v>unknown</v>
      </c>
      <c r="N612" s="6" t="str">
        <f ca="1">VLOOKUP(M612,[2]character_tribe_i18n!$A:$F,3,FALSE)</f>
        <v>Unknown</v>
      </c>
      <c r="O612" s="97">
        <f ca="1">VLOOKUP(M612,[2]character_tribe_i18n!$A:$F,4,FALSE)</f>
        <v>1</v>
      </c>
      <c r="P612" s="97">
        <f ca="1">VLOOKUP(M612,[2]character_tribe_i18n!$A:$F,5,FALSE)</f>
        <v>1</v>
      </c>
      <c r="Q612" s="97">
        <f ca="1">VLOOKUP(M612,[2]character_tribe_i18n!$A:$F,6,FALSE)</f>
        <v>1</v>
      </c>
      <c r="R612" s="98" t="s">
        <v>130</v>
      </c>
      <c r="S612" s="97">
        <f>VLOOKUP($R612,ラベル別係数!$A$1:$E$7,3,FALSE)</f>
        <v>1</v>
      </c>
      <c r="T612" s="97">
        <f>VLOOKUP($R612,ラベル別係数!$A$1:$E$7,4,FALSE)</f>
        <v>1</v>
      </c>
      <c r="U612" s="97">
        <f>VLOOKUP($R612,ラベル別係数!$A$1:$E$7,5,FALSE)</f>
        <v>1</v>
      </c>
      <c r="V612" s="98">
        <v>3</v>
      </c>
      <c r="W612" s="99">
        <f>VLOOKUP(V612,ターン数別攻撃係数!$A$1:$B$1000,2,FALSE)</f>
        <v>1</v>
      </c>
      <c r="X612" s="7">
        <v>20</v>
      </c>
      <c r="Y612" s="97">
        <f>VLOOKUP($X612,サイズ別係数!$B:$E,2,FALSE)</f>
        <v>1.1000000000000001</v>
      </c>
      <c r="Z612" s="97">
        <f>VLOOKUP($X612,サイズ別係数!$B:$E,3,FALSE)</f>
        <v>1.2</v>
      </c>
      <c r="AA612" s="97">
        <f>VLOOKUP($X612,サイズ別係数!$B:$E,4,FALSE)</f>
        <v>1.2</v>
      </c>
      <c r="AB612" s="10">
        <v>0</v>
      </c>
      <c r="AC612" s="6" t="str">
        <f ca="1">VLOOKUP($AB612,OFFSET([3]enemy_skill_sets!$B$2,0,0,COUNTA([3]enemy_skill_sets!$A:$A),MATCH(AC$1,[3]enemy_skill_sets!$1:$1,0)-MATCH($AB$1,[3]enemy_skill_sets!$1:$1,0)+1),MATCH(AC$1,[3]enemy_skill_sets!$1:$1,0)-MATCH($AB$1,[3]enemy_skill_sets!$1:$1,0)+1,FALSE)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2" s="67">
        <v>1</v>
      </c>
      <c r="AE612" s="67">
        <v>1</v>
      </c>
      <c r="AF612" s="68">
        <v>0</v>
      </c>
      <c r="AG612" s="99">
        <f ca="1">ROUND(VLOOKUP(1,enemy_base_stats!$A:$F,2,FALSE) * Y612* J612*O612*E612*S612*AD612*[2]ステータス!$B$2,0)</f>
        <v>550</v>
      </c>
      <c r="AH612" s="99">
        <f ca="1">ROUND(VLOOKUP(1,enemy_base_stats!$A:$F,3,FALSE) * Z612*K612*P612*F612*T612*AE612 * W612*[2]ステータス!$C$2,0)</f>
        <v>244</v>
      </c>
      <c r="AI612" s="99">
        <f ca="1">ROUND(VLOOKUP(1,enemy_base_stats!$A:$F,4,FALSE) * AA612*L612*Q612*G612*U612*AF612*[2]ステータス!$D$2,0)</f>
        <v>0</v>
      </c>
      <c r="AJ612" s="99">
        <f ca="1">ROUND(VLOOKUP(100,enemy_base_stats!$A:$F,2,FALSE) * Y612* J612*O612*E612*S612*AD612*[2]ステータス!$B$2,0)</f>
        <v>22330</v>
      </c>
      <c r="AK612" s="99">
        <f ca="1">ROUND(VLOOKUP(100,enemy_base_stats!$A:$F,3,FALSE)* Z612* K612*P612*F612*T612*AE612 * W612*[2]ステータス!$C$2,0)</f>
        <v>9914</v>
      </c>
      <c r="AL612" s="99">
        <f ca="1">ROUND(VLOOKUP(100,enemy_base_stats!$A:$F,4,FALSE)* AA612* L612*Q612*G612*U612*AF612*[2]ステータス!$D$2,0)</f>
        <v>0</v>
      </c>
      <c r="AM612" s="97">
        <f ca="1">VLOOKUP(M612,[2]character_tribe_i18n!$A:$I,9,FALSE)</f>
        <v>340</v>
      </c>
      <c r="AN612" s="97">
        <v>0</v>
      </c>
      <c r="AO612" s="98">
        <v>0</v>
      </c>
      <c r="AP612" s="58" t="s">
        <v>72</v>
      </c>
      <c r="AQ612" s="34">
        <f t="shared" ca="1" si="37"/>
        <v>611</v>
      </c>
    </row>
    <row r="613" spans="1:43" ht="21" customHeight="1" x14ac:dyDescent="0.15">
      <c r="A613" s="7">
        <f t="shared" ca="1" si="33"/>
        <v>612</v>
      </c>
      <c r="B613" s="6" t="str">
        <f ca="1">VLOOKUP(A613,[2]characters!$A:$C,3,FALSE)</f>
        <v>ギガ生命の果実</v>
      </c>
      <c r="C613" s="9">
        <f ca="1">VLOOKUP(A613,[2]characters!$A:$I,9,FALSE)</f>
        <v>5</v>
      </c>
      <c r="D613" s="9" t="str">
        <f ca="1">VLOOKUP(A613,[2]characters!$A:$H,8,FALSE)</f>
        <v>green</v>
      </c>
      <c r="E613" s="97">
        <f ca="1">VLOOKUP(D613,[2]属性!$A:$E,2,FALSE)</f>
        <v>1.02</v>
      </c>
      <c r="F613" s="97">
        <f ca="1">VLOOKUP(D613,[2]属性!$A:$E,3,FALSE)</f>
        <v>0.98</v>
      </c>
      <c r="G613" s="97">
        <f ca="1">VLOOKUP(D613,[2]属性!$A:$F,4,FALSE)</f>
        <v>1</v>
      </c>
      <c r="H613" s="100" t="s">
        <v>132</v>
      </c>
      <c r="I613" s="6" t="str">
        <f>VLOOKUP(H613,[2]character_type_i18n!$A:$F,3,FALSE)</f>
        <v>体力タイプ</v>
      </c>
      <c r="J613" s="97">
        <f>VLOOKUP(H613,[2]character_type_i18n!$A:$F,4,FALSE)</f>
        <v>1.45</v>
      </c>
      <c r="K613" s="97">
        <f>VLOOKUP(H613,[2]character_type_i18n!$A:$F,5,FALSE)</f>
        <v>0.85</v>
      </c>
      <c r="L613" s="97">
        <f>VLOOKUP(H613,[2]character_type_i18n!$A:$F,6,FALSE)</f>
        <v>1</v>
      </c>
      <c r="M613" s="9" t="str">
        <f ca="1">VLOOKUP(A613,[2]characters!$A:$M,13,FALSE)</f>
        <v>unknown</v>
      </c>
      <c r="N613" s="6" t="str">
        <f ca="1">VLOOKUP(M613,[2]character_tribe_i18n!$A:$F,3,FALSE)</f>
        <v>Unknown</v>
      </c>
      <c r="O613" s="97">
        <f ca="1">VLOOKUP(M613,[2]character_tribe_i18n!$A:$F,4,FALSE)</f>
        <v>1</v>
      </c>
      <c r="P613" s="97">
        <f ca="1">VLOOKUP(M613,[2]character_tribe_i18n!$A:$F,5,FALSE)</f>
        <v>1</v>
      </c>
      <c r="Q613" s="97">
        <f ca="1">VLOOKUP(M613,[2]character_tribe_i18n!$A:$F,6,FALSE)</f>
        <v>1</v>
      </c>
      <c r="R613" s="98" t="s">
        <v>130</v>
      </c>
      <c r="S613" s="97">
        <f>VLOOKUP($R613,ラベル別係数!$A$1:$E$7,3,FALSE)</f>
        <v>1</v>
      </c>
      <c r="T613" s="97">
        <f>VLOOKUP($R613,ラベル別係数!$A$1:$E$7,4,FALSE)</f>
        <v>1</v>
      </c>
      <c r="U613" s="97">
        <f>VLOOKUP($R613,ラベル別係数!$A$1:$E$7,5,FALSE)</f>
        <v>1</v>
      </c>
      <c r="V613" s="98">
        <v>3</v>
      </c>
      <c r="W613" s="99">
        <f>VLOOKUP(V613,ターン数別攻撃係数!$A$1:$B$1000,2,FALSE)</f>
        <v>1</v>
      </c>
      <c r="X613" s="7">
        <v>20</v>
      </c>
      <c r="Y613" s="97">
        <f>VLOOKUP($X613,サイズ別係数!$B:$E,2,FALSE)</f>
        <v>1.1000000000000001</v>
      </c>
      <c r="Z613" s="97">
        <f>VLOOKUP($X613,サイズ別係数!$B:$E,3,FALSE)</f>
        <v>1.2</v>
      </c>
      <c r="AA613" s="97">
        <f>VLOOKUP($X613,サイズ別係数!$B:$E,4,FALSE)</f>
        <v>1.2</v>
      </c>
      <c r="AB613" s="10">
        <v>0</v>
      </c>
      <c r="AC613" s="6" t="str">
        <f ca="1">VLOOKUP($AB613,OFFSET([3]enemy_skill_sets!$B$2,0,0,COUNTA([3]enemy_skill_sets!$A:$A),MATCH(AC$1,[3]enemy_skill_sets!$1:$1,0)-MATCH($AB$1,[3]enemy_skill_sets!$1:$1,0)+1),MATCH(AC$1,[3]enemy_skill_sets!$1:$1,0)-MATCH($AB$1,[3]enemy_skill_sets!$1:$1,0)+1,FALSE)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3" s="67">
        <v>1</v>
      </c>
      <c r="AE613" s="67">
        <v>1</v>
      </c>
      <c r="AF613" s="68">
        <v>0</v>
      </c>
      <c r="AG613" s="99">
        <f ca="1">ROUND(VLOOKUP(1,enemy_base_stats!$A:$F,2,FALSE) * Y613* J613*O613*E613*S613*AD613*[2]ステータス!$B$2,0)</f>
        <v>813</v>
      </c>
      <c r="AH613" s="99">
        <f ca="1">ROUND(VLOOKUP(1,enemy_base_stats!$A:$F,3,FALSE) * Z613*K613*P613*F613*T613*AE613 * W613*[2]ステータス!$C$2,0)</f>
        <v>150</v>
      </c>
      <c r="AI613" s="99">
        <f ca="1">ROUND(VLOOKUP(1,enemy_base_stats!$A:$F,4,FALSE) * AA613*L613*Q613*G613*U613*AF613*[2]ステータス!$D$2,0)</f>
        <v>0</v>
      </c>
      <c r="AJ613" s="99">
        <f ca="1">ROUND(VLOOKUP(100,enemy_base_stats!$A:$F,2,FALSE) * Y613* J613*O613*E613*S613*AD613*[2]ステータス!$B$2,0)</f>
        <v>33026</v>
      </c>
      <c r="AK613" s="99">
        <f ca="1">ROUND(VLOOKUP(100,enemy_base_stats!$A:$F,3,FALSE)* Z613* K613*P613*F613*T613*AE613 * W613*[2]ステータス!$C$2,0)</f>
        <v>6088</v>
      </c>
      <c r="AL613" s="99">
        <f ca="1">ROUND(VLOOKUP(100,enemy_base_stats!$A:$F,4,FALSE)* AA613* L613*Q613*G613*U613*AF613*[2]ステータス!$D$2,0)</f>
        <v>0</v>
      </c>
      <c r="AM613" s="97">
        <f ca="1">VLOOKUP(M613,[2]character_tribe_i18n!$A:$I,9,FALSE)</f>
        <v>340</v>
      </c>
      <c r="AN613" s="97">
        <v>0</v>
      </c>
      <c r="AO613" s="98">
        <v>0</v>
      </c>
      <c r="AP613" s="58" t="s">
        <v>72</v>
      </c>
      <c r="AQ613" s="34">
        <f t="shared" ca="1" si="37"/>
        <v>612</v>
      </c>
    </row>
    <row r="614" spans="1:43" ht="21" customHeight="1" x14ac:dyDescent="0.15">
      <c r="A614" s="7">
        <f t="shared" ca="1" si="33"/>
        <v>613</v>
      </c>
      <c r="B614" s="6" t="str">
        <f ca="1">VLOOKUP(A614,[2]characters!$A:$C,3,FALSE)</f>
        <v>ギガ癒しの果実</v>
      </c>
      <c r="C614" s="9">
        <f ca="1">VLOOKUP(A614,[2]characters!$A:$I,9,FALSE)</f>
        <v>5</v>
      </c>
      <c r="D614" s="9" t="str">
        <f ca="1">VLOOKUP(A614,[2]characters!$A:$H,8,FALSE)</f>
        <v>blue</v>
      </c>
      <c r="E614" s="97">
        <f ca="1">VLOOKUP(D614,[2]属性!$A:$E,2,FALSE)</f>
        <v>1</v>
      </c>
      <c r="F614" s="97">
        <f ca="1">VLOOKUP(D614,[2]属性!$A:$E,3,FALSE)</f>
        <v>0.98</v>
      </c>
      <c r="G614" s="97">
        <f ca="1">VLOOKUP(D614,[2]属性!$A:$F,4,FALSE)</f>
        <v>1</v>
      </c>
      <c r="H614" s="100" t="s">
        <v>133</v>
      </c>
      <c r="I614" s="6" t="str">
        <f>VLOOKUP(H614,[2]character_type_i18n!$A:$F,3,FALSE)</f>
        <v>回復タイプ</v>
      </c>
      <c r="J614" s="97">
        <f>VLOOKUP(H614,[2]character_type_i18n!$A:$F,4,FALSE)</f>
        <v>0.8</v>
      </c>
      <c r="K614" s="97">
        <f>VLOOKUP(H614,[2]character_type_i18n!$A:$F,5,FALSE)</f>
        <v>0.78</v>
      </c>
      <c r="L614" s="97">
        <f>VLOOKUP(H614,[2]character_type_i18n!$A:$F,6,FALSE)</f>
        <v>1</v>
      </c>
      <c r="M614" s="9" t="str">
        <f ca="1">VLOOKUP(A614,[2]characters!$A:$M,13,FALSE)</f>
        <v>unknown</v>
      </c>
      <c r="N614" s="6" t="str">
        <f ca="1">VLOOKUP(M614,[2]character_tribe_i18n!$A:$F,3,FALSE)</f>
        <v>Unknown</v>
      </c>
      <c r="O614" s="97">
        <f ca="1">VLOOKUP(M614,[2]character_tribe_i18n!$A:$F,4,FALSE)</f>
        <v>1</v>
      </c>
      <c r="P614" s="97">
        <f ca="1">VLOOKUP(M614,[2]character_tribe_i18n!$A:$F,5,FALSE)</f>
        <v>1</v>
      </c>
      <c r="Q614" s="97">
        <f ca="1">VLOOKUP(M614,[2]character_tribe_i18n!$A:$F,6,FALSE)</f>
        <v>1</v>
      </c>
      <c r="R614" s="98" t="s">
        <v>130</v>
      </c>
      <c r="S614" s="97">
        <f>VLOOKUP($R614,ラベル別係数!$A$1:$E$7,3,FALSE)</f>
        <v>1</v>
      </c>
      <c r="T614" s="97">
        <f>VLOOKUP($R614,ラベル別係数!$A$1:$E$7,4,FALSE)</f>
        <v>1</v>
      </c>
      <c r="U614" s="97">
        <f>VLOOKUP($R614,ラベル別係数!$A$1:$E$7,5,FALSE)</f>
        <v>1</v>
      </c>
      <c r="V614" s="98">
        <v>3</v>
      </c>
      <c r="W614" s="99">
        <f>VLOOKUP(V614,ターン数別攻撃係数!$A$1:$B$1000,2,FALSE)</f>
        <v>1</v>
      </c>
      <c r="X614" s="7">
        <v>20</v>
      </c>
      <c r="Y614" s="97">
        <f>VLOOKUP($X614,サイズ別係数!$B:$E,2,FALSE)</f>
        <v>1.1000000000000001</v>
      </c>
      <c r="Z614" s="97">
        <f>VLOOKUP($X614,サイズ別係数!$B:$E,3,FALSE)</f>
        <v>1.2</v>
      </c>
      <c r="AA614" s="97">
        <f>VLOOKUP($X614,サイズ別係数!$B:$E,4,FALSE)</f>
        <v>1.2</v>
      </c>
      <c r="AB614" s="10">
        <v>0</v>
      </c>
      <c r="AC614" s="6" t="str">
        <f ca="1">VLOOKUP($AB614,OFFSET([3]enemy_skill_sets!$B$2,0,0,COUNTA([3]enemy_skill_sets!$A:$A),MATCH(AC$1,[3]enemy_skill_sets!$1:$1,0)-MATCH($AB$1,[3]enemy_skill_sets!$1:$1,0)+1),MATCH(AC$1,[3]enemy_skill_sets!$1:$1,0)-MATCH($AB$1,[3]enemy_skill_sets!$1:$1,0)+1,FALSE)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4" s="67">
        <v>1</v>
      </c>
      <c r="AE614" s="67">
        <v>1</v>
      </c>
      <c r="AF614" s="68">
        <v>0</v>
      </c>
      <c r="AG614" s="99">
        <f ca="1">ROUND(VLOOKUP(1,enemy_base_stats!$A:$F,2,FALSE) * Y614* J614*O614*E614*S614*AD614*[2]ステータス!$B$2,0)</f>
        <v>440</v>
      </c>
      <c r="AH614" s="99">
        <f ca="1">ROUND(VLOOKUP(1,enemy_base_stats!$A:$F,3,FALSE) * Z614*K614*P614*F614*T614*AE614 * W614*[2]ステータス!$C$2,0)</f>
        <v>138</v>
      </c>
      <c r="AI614" s="99">
        <f ca="1">ROUND(VLOOKUP(1,enemy_base_stats!$A:$F,4,FALSE) * AA614*L614*Q614*G614*U614*AF614*[2]ステータス!$D$2,0)</f>
        <v>0</v>
      </c>
      <c r="AJ614" s="99">
        <f ca="1">ROUND(VLOOKUP(100,enemy_base_stats!$A:$F,2,FALSE) * Y614* J614*O614*E614*S614*AD614*[2]ステータス!$B$2,0)</f>
        <v>17864</v>
      </c>
      <c r="AK614" s="99">
        <f ca="1">ROUND(VLOOKUP(100,enemy_base_stats!$A:$F,3,FALSE)* Z614* K614*P614*F614*T614*AE614 * W614*[2]ステータス!$C$2,0)</f>
        <v>5586</v>
      </c>
      <c r="AL614" s="99">
        <f ca="1">ROUND(VLOOKUP(100,enemy_base_stats!$A:$F,4,FALSE)* AA614* L614*Q614*G614*U614*AF614*[2]ステータス!$D$2,0)</f>
        <v>0</v>
      </c>
      <c r="AM614" s="97">
        <f ca="1">VLOOKUP(M614,[2]character_tribe_i18n!$A:$I,9,FALSE)</f>
        <v>340</v>
      </c>
      <c r="AN614" s="97">
        <v>0</v>
      </c>
      <c r="AO614" s="98">
        <v>0</v>
      </c>
      <c r="AP614" s="58" t="s">
        <v>72</v>
      </c>
      <c r="AQ614" s="34">
        <f t="shared" ref="AQ614:AQ615" ca="1" si="38">A614</f>
        <v>613</v>
      </c>
    </row>
    <row r="615" spans="1:43" ht="21" customHeight="1" x14ac:dyDescent="0.15">
      <c r="A615" s="7">
        <f t="shared" ca="1" si="33"/>
        <v>614</v>
      </c>
      <c r="B615" s="6" t="str">
        <f ca="1">VLOOKUP(A615,[2]characters!$A:$C,3,FALSE)</f>
        <v>ギガ秘術の果実</v>
      </c>
      <c r="C615" s="9">
        <f ca="1">VLOOKUP(A615,[2]characters!$A:$I,9,FALSE)</f>
        <v>5</v>
      </c>
      <c r="D615" s="9" t="str">
        <f ca="1">VLOOKUP(A615,[2]characters!$A:$H,8,FALSE)</f>
        <v>blue</v>
      </c>
      <c r="E615" s="97">
        <f ca="1">VLOOKUP(D615,[2]属性!$A:$E,2,FALSE)</f>
        <v>1</v>
      </c>
      <c r="F615" s="97">
        <f ca="1">VLOOKUP(D615,[2]属性!$A:$E,3,FALSE)</f>
        <v>0.98</v>
      </c>
      <c r="G615" s="97">
        <f ca="1">VLOOKUP(D615,[2]属性!$A:$F,4,FALSE)</f>
        <v>1</v>
      </c>
      <c r="H615" s="100" t="s">
        <v>134</v>
      </c>
      <c r="I615" s="6" t="str">
        <f>VLOOKUP(H615,[2]character_type_i18n!$A:$F,3,FALSE)</f>
        <v>バランスタイプ</v>
      </c>
      <c r="J615" s="97">
        <f>VLOOKUP(H615,[2]character_type_i18n!$A:$F,4,FALSE)</f>
        <v>1</v>
      </c>
      <c r="K615" s="97">
        <f>VLOOKUP(H615,[2]character_type_i18n!$A:$F,5,FALSE)</f>
        <v>1</v>
      </c>
      <c r="L615" s="97">
        <f>VLOOKUP(H615,[2]character_type_i18n!$A:$F,6,FALSE)</f>
        <v>1</v>
      </c>
      <c r="M615" s="9" t="str">
        <f ca="1">VLOOKUP(A615,[2]characters!$A:$M,13,FALSE)</f>
        <v>unknown</v>
      </c>
      <c r="N615" s="6" t="str">
        <f ca="1">VLOOKUP(M615,[2]character_tribe_i18n!$A:$F,3,FALSE)</f>
        <v>Unknown</v>
      </c>
      <c r="O615" s="97">
        <f ca="1">VLOOKUP(M615,[2]character_tribe_i18n!$A:$F,4,FALSE)</f>
        <v>1</v>
      </c>
      <c r="P615" s="97">
        <f ca="1">VLOOKUP(M615,[2]character_tribe_i18n!$A:$F,5,FALSE)</f>
        <v>1</v>
      </c>
      <c r="Q615" s="97">
        <f ca="1">VLOOKUP(M615,[2]character_tribe_i18n!$A:$F,6,FALSE)</f>
        <v>1</v>
      </c>
      <c r="R615" s="98" t="s">
        <v>130</v>
      </c>
      <c r="S615" s="97">
        <f>VLOOKUP($R615,ラベル別係数!$A$1:$E$7,3,FALSE)</f>
        <v>1</v>
      </c>
      <c r="T615" s="97">
        <f>VLOOKUP($R615,ラベル別係数!$A$1:$E$7,4,FALSE)</f>
        <v>1</v>
      </c>
      <c r="U615" s="97">
        <f>VLOOKUP($R615,ラベル別係数!$A$1:$E$7,5,FALSE)</f>
        <v>1</v>
      </c>
      <c r="V615" s="98">
        <v>3</v>
      </c>
      <c r="W615" s="99">
        <f>VLOOKUP(V615,ターン数別攻撃係数!$A$1:$B$1000,2,FALSE)</f>
        <v>1</v>
      </c>
      <c r="X615" s="7">
        <v>20</v>
      </c>
      <c r="Y615" s="97">
        <f>VLOOKUP($X615,サイズ別係数!$B:$E,2,FALSE)</f>
        <v>1.1000000000000001</v>
      </c>
      <c r="Z615" s="97">
        <f>VLOOKUP($X615,サイズ別係数!$B:$E,3,FALSE)</f>
        <v>1.2</v>
      </c>
      <c r="AA615" s="97">
        <f>VLOOKUP($X615,サイズ別係数!$B:$E,4,FALSE)</f>
        <v>1.2</v>
      </c>
      <c r="AB615" s="10">
        <v>0</v>
      </c>
      <c r="AC615" s="6" t="str">
        <f ca="1">VLOOKUP($AB615,OFFSET([3]enemy_skill_sets!$B$2,0,0,COUNTA([3]enemy_skill_sets!$A:$A),MATCH(AC$1,[3]enemy_skill_sets!$1:$1,0)-MATCH($AB$1,[3]enemy_skill_sets!$1:$1,0)+1),MATCH(AC$1,[3]enemy_skill_sets!$1:$1,0)-MATCH($AB$1,[3]enemy_skill_sets!$1:$1,0)+1,FALSE)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5" s="67">
        <v>1</v>
      </c>
      <c r="AE615" s="67">
        <v>1</v>
      </c>
      <c r="AF615" s="68">
        <v>0</v>
      </c>
      <c r="AG615" s="99">
        <f ca="1">ROUND(VLOOKUP(1,enemy_base_stats!$A:$F,2,FALSE) * Y615* J615*O615*E615*S615*AD615*[2]ステータス!$B$2,0)</f>
        <v>550</v>
      </c>
      <c r="AH615" s="99">
        <f ca="1">ROUND(VLOOKUP(1,enemy_base_stats!$A:$F,3,FALSE) * Z615*K615*P615*F615*T615*AE615 * W615*[2]ステータス!$C$2,0)</f>
        <v>176</v>
      </c>
      <c r="AI615" s="99">
        <f ca="1">ROUND(VLOOKUP(1,enemy_base_stats!$A:$F,4,FALSE) * AA615*L615*Q615*G615*U615*AF615*[2]ステータス!$D$2,0)</f>
        <v>0</v>
      </c>
      <c r="AJ615" s="99">
        <f ca="1">ROUND(VLOOKUP(100,enemy_base_stats!$A:$F,2,FALSE) * Y615* J615*O615*E615*S615*AD615*[2]ステータス!$B$2,0)</f>
        <v>22330</v>
      </c>
      <c r="AK615" s="99">
        <f ca="1">ROUND(VLOOKUP(100,enemy_base_stats!$A:$F,3,FALSE)* Z615* K615*P615*F615*T615*AE615 * W615*[2]ステータス!$C$2,0)</f>
        <v>7162</v>
      </c>
      <c r="AL615" s="99">
        <f ca="1">ROUND(VLOOKUP(100,enemy_base_stats!$A:$F,4,FALSE)* AA615* L615*Q615*G615*U615*AF615*[2]ステータス!$D$2,0)</f>
        <v>0</v>
      </c>
      <c r="AM615" s="97">
        <f ca="1">VLOOKUP(M615,[2]character_tribe_i18n!$A:$I,9,FALSE)</f>
        <v>340</v>
      </c>
      <c r="AN615" s="97">
        <v>0</v>
      </c>
      <c r="AO615" s="98">
        <v>0</v>
      </c>
      <c r="AP615" s="58" t="s">
        <v>72</v>
      </c>
      <c r="AQ615" s="34">
        <f t="shared" ca="1" si="38"/>
        <v>614</v>
      </c>
    </row>
    <row r="616" spans="1:43" ht="21" customHeight="1" x14ac:dyDescent="0.15">
      <c r="A616" s="7">
        <f t="shared" ca="1" si="33"/>
        <v>615</v>
      </c>
      <c r="B616" s="6" t="str">
        <f ca="1">VLOOKUP(A616,[2]characters!$A:$C,3,FALSE)</f>
        <v>ヒュドラ・コスモブラスト</v>
      </c>
      <c r="C616" s="9">
        <f ca="1">VLOOKUP(A616,[2]characters!$A:$I,9,FALSE)</f>
        <v>5</v>
      </c>
      <c r="D616" s="9" t="str">
        <f ca="1">VLOOKUP(A616,[2]characters!$A:$H,8,FALSE)</f>
        <v>red</v>
      </c>
      <c r="E616" s="97">
        <f ca="1">VLOOKUP(D616,[2]属性!$A:$E,2,FALSE)</f>
        <v>1</v>
      </c>
      <c r="F616" s="97">
        <f ca="1">VLOOKUP(D616,[2]属性!$A:$E,3,FALSE)</f>
        <v>1.02</v>
      </c>
      <c r="G616" s="97">
        <f ca="1">VLOOKUP(D616,[2]属性!$A:$F,4,FALSE)</f>
        <v>1</v>
      </c>
      <c r="H616" s="9" t="str">
        <f ca="1">VLOOKUP(A616,[2]characters!$A:$K,11,FALSE)</f>
        <v>attack</v>
      </c>
      <c r="I616" s="6" t="str">
        <f ca="1">VLOOKUP(H616,[2]character_type_i18n!$A:$F,3,FALSE)</f>
        <v>攻撃タイプ</v>
      </c>
      <c r="J616" s="97">
        <f ca="1">VLOOKUP(H616,[2]character_type_i18n!$A:$F,4,FALSE)</f>
        <v>1</v>
      </c>
      <c r="K616" s="97">
        <f ca="1">VLOOKUP(H616,[2]character_type_i18n!$A:$F,5,FALSE)</f>
        <v>1.33</v>
      </c>
      <c r="L616" s="97">
        <f ca="1">VLOOKUP(H616,[2]character_type_i18n!$A:$F,6,FALSE)</f>
        <v>1</v>
      </c>
      <c r="M616" s="9" t="str">
        <f ca="1">VLOOKUP(A616,[2]characters!$A:$M,13,FALSE)</f>
        <v>dragon</v>
      </c>
      <c r="N616" s="6" t="str">
        <f ca="1">VLOOKUP(M616,[2]character_tribe_i18n!$A:$F,3,FALSE)</f>
        <v>ドラゴン</v>
      </c>
      <c r="O616" s="97">
        <f ca="1">VLOOKUP(M616,[2]character_tribe_i18n!$A:$F,4,FALSE)</f>
        <v>1.1499999999999999</v>
      </c>
      <c r="P616" s="97">
        <f ca="1">VLOOKUP(M616,[2]character_tribe_i18n!$A:$F,5,FALSE)</f>
        <v>1.1000000000000001</v>
      </c>
      <c r="Q616" s="97">
        <f ca="1">VLOOKUP(M616,[2]character_tribe_i18n!$A:$F,6,FALSE)</f>
        <v>1</v>
      </c>
      <c r="R616" s="98" t="s">
        <v>98</v>
      </c>
      <c r="S616" s="97">
        <f>VLOOKUP($R616,ラベル別係数!$A$1:$E$7,3,FALSE)</f>
        <v>5</v>
      </c>
      <c r="T616" s="97">
        <f>VLOOKUP($R616,ラベル別係数!$A$1:$E$7,4,FALSE)</f>
        <v>1.3</v>
      </c>
      <c r="U616" s="97">
        <f>VLOOKUP($R616,ラベル別係数!$A$1:$E$7,5,FALSE)</f>
        <v>0.8</v>
      </c>
      <c r="V616" s="98">
        <v>3</v>
      </c>
      <c r="W616" s="99">
        <f>VLOOKUP(V616,ターン数別攻撃係数!$A$1:$B$1000,2,FALSE)</f>
        <v>1</v>
      </c>
      <c r="X616" s="9">
        <f ca="1">VLOOKUP(C616,サイズ別係数!A$2:B$9,2,FALSE)</f>
        <v>60</v>
      </c>
      <c r="Y616" s="97">
        <f ca="1">VLOOKUP($X616,サイズ別係数!$B:$E,2,FALSE)</f>
        <v>1.7</v>
      </c>
      <c r="Z616" s="97">
        <f ca="1">VLOOKUP($X616,サイズ別係数!$B:$E,3,FALSE)</f>
        <v>1.4</v>
      </c>
      <c r="AA616" s="97">
        <f ca="1">VLOOKUP($X616,サイズ別係数!$B:$E,4,FALSE)</f>
        <v>1</v>
      </c>
      <c r="AB616" s="10">
        <v>0</v>
      </c>
      <c r="AC616" s="6" t="str">
        <f ca="1">VLOOKUP($AB616,OFFSET([3]enemy_skill_sets!$B$2,0,0,COUNTA([3]enemy_skill_sets!$A:$A),MATCH(AC$1,[3]enemy_skill_sets!$1:$1,0)-MATCH($AB$1,[3]enemy_skill_sets!$1:$1,0)+1),MATCH(AC$1,[3]enemy_skill_sets!$1:$1,0)-MATCH($AB$1,[3]enemy_skill_sets!$1:$1,0)+1,FALSE)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6" s="67">
        <v>1</v>
      </c>
      <c r="AE616" s="67">
        <v>1</v>
      </c>
      <c r="AF616" s="68">
        <v>0</v>
      </c>
      <c r="AG616" s="99">
        <f ca="1">ROUND(VLOOKUP(1,enemy_base_stats!$A:$F,2,FALSE) * Y616* J616*O616*E616*S616*AD616*[2]ステータス!$B$2,0)</f>
        <v>4888</v>
      </c>
      <c r="AH616" s="99">
        <f ca="1">ROUND(VLOOKUP(1,enemy_base_stats!$A:$F,3,FALSE) * Z616*K616*P616*F616*T616*AE616 * W616*[2]ステータス!$C$2,0)</f>
        <v>407</v>
      </c>
      <c r="AI616" s="99">
        <f ca="1">ROUND(VLOOKUP(1,enemy_base_stats!$A:$F,4,FALSE) * AA616*L616*Q616*G616*U616*AF616*[2]ステータス!$D$2,0)</f>
        <v>0</v>
      </c>
      <c r="AJ616" s="99">
        <f ca="1">ROUND(VLOOKUP(100,enemy_base_stats!$A:$F,2,FALSE) * Y616* J616*O616*E616*S616*AD616*[2]ステータス!$B$2,0)</f>
        <v>198433</v>
      </c>
      <c r="AK616" s="99">
        <f ca="1">ROUND(VLOOKUP(100,enemy_base_stats!$A:$F,3,FALSE)* Z616* K616*P616*F616*T616*AE616 * W616*[2]ステータス!$C$2,0)</f>
        <v>16540</v>
      </c>
      <c r="AL616" s="99">
        <f ca="1">ROUND(VLOOKUP(100,enemy_base_stats!$A:$F,4,FALSE)* AA616* L616*Q616*G616*U616*AF616*[2]ステータス!$D$2,0)</f>
        <v>0</v>
      </c>
      <c r="AM616" s="97">
        <f ca="1">VLOOKUP(M616,[2]character_tribe_i18n!$A:$I,9,FALSE)</f>
        <v>540</v>
      </c>
      <c r="AN616" s="97">
        <v>0</v>
      </c>
      <c r="AO616" s="98">
        <v>0</v>
      </c>
      <c r="AP616" s="58" t="s">
        <v>72</v>
      </c>
      <c r="AQ616" s="34">
        <f t="shared" ref="AQ616:AQ619" ca="1" si="39">A616</f>
        <v>615</v>
      </c>
    </row>
    <row r="617" spans="1:43" ht="21" customHeight="1" x14ac:dyDescent="0.15">
      <c r="A617" s="7">
        <f t="shared" ca="1" si="33"/>
        <v>616</v>
      </c>
      <c r="B617" s="6" t="str">
        <f ca="1">VLOOKUP(A617,[2]characters!$A:$C,3,FALSE)</f>
        <v>リンドブルム・デルタクラスター</v>
      </c>
      <c r="C617" s="9">
        <f ca="1">VLOOKUP(A617,[2]characters!$A:$I,9,FALSE)</f>
        <v>5</v>
      </c>
      <c r="D617" s="9" t="str">
        <f ca="1">VLOOKUP(A617,[2]characters!$A:$H,8,FALSE)</f>
        <v>green</v>
      </c>
      <c r="E617" s="97">
        <f ca="1">VLOOKUP(D617,[2]属性!$A:$E,2,FALSE)</f>
        <v>1.02</v>
      </c>
      <c r="F617" s="97">
        <f ca="1">VLOOKUP(D617,[2]属性!$A:$E,3,FALSE)</f>
        <v>0.98</v>
      </c>
      <c r="G617" s="97">
        <f ca="1">VLOOKUP(D617,[2]属性!$A:$F,4,FALSE)</f>
        <v>1</v>
      </c>
      <c r="H617" s="9" t="str">
        <f ca="1">VLOOKUP(A617,[2]characters!$A:$K,11,FALSE)</f>
        <v>attack</v>
      </c>
      <c r="I617" s="6" t="str">
        <f ca="1">VLOOKUP(H617,[2]character_type_i18n!$A:$F,3,FALSE)</f>
        <v>攻撃タイプ</v>
      </c>
      <c r="J617" s="97">
        <f ca="1">VLOOKUP(H617,[2]character_type_i18n!$A:$F,4,FALSE)</f>
        <v>1</v>
      </c>
      <c r="K617" s="97">
        <f ca="1">VLOOKUP(H617,[2]character_type_i18n!$A:$F,5,FALSE)</f>
        <v>1.33</v>
      </c>
      <c r="L617" s="97">
        <f ca="1">VLOOKUP(H617,[2]character_type_i18n!$A:$F,6,FALSE)</f>
        <v>1</v>
      </c>
      <c r="M617" s="9" t="str">
        <f ca="1">VLOOKUP(A617,[2]characters!$A:$M,13,FALSE)</f>
        <v>dragon</v>
      </c>
      <c r="N617" s="6" t="str">
        <f ca="1">VLOOKUP(M617,[2]character_tribe_i18n!$A:$F,3,FALSE)</f>
        <v>ドラゴン</v>
      </c>
      <c r="O617" s="97">
        <f ca="1">VLOOKUP(M617,[2]character_tribe_i18n!$A:$F,4,FALSE)</f>
        <v>1.1499999999999999</v>
      </c>
      <c r="P617" s="97">
        <f ca="1">VLOOKUP(M617,[2]character_tribe_i18n!$A:$F,5,FALSE)</f>
        <v>1.1000000000000001</v>
      </c>
      <c r="Q617" s="97">
        <f ca="1">VLOOKUP(M617,[2]character_tribe_i18n!$A:$F,6,FALSE)</f>
        <v>1</v>
      </c>
      <c r="R617" s="98" t="s">
        <v>98</v>
      </c>
      <c r="S617" s="97">
        <f>VLOOKUP($R617,ラベル別係数!$A$1:$E$7,3,FALSE)</f>
        <v>5</v>
      </c>
      <c r="T617" s="97">
        <f>VLOOKUP($R617,ラベル別係数!$A$1:$E$7,4,FALSE)</f>
        <v>1.3</v>
      </c>
      <c r="U617" s="97">
        <f>VLOOKUP($R617,ラベル別係数!$A$1:$E$7,5,FALSE)</f>
        <v>0.8</v>
      </c>
      <c r="V617" s="98">
        <v>3</v>
      </c>
      <c r="W617" s="99">
        <f>VLOOKUP(V617,ターン数別攻撃係数!$A$1:$B$1000,2,FALSE)</f>
        <v>1</v>
      </c>
      <c r="X617" s="9">
        <f ca="1">VLOOKUP(C617,サイズ別係数!A$2:B$9,2,FALSE)</f>
        <v>60</v>
      </c>
      <c r="Y617" s="97">
        <f ca="1">VLOOKUP($X617,サイズ別係数!$B:$E,2,FALSE)</f>
        <v>1.7</v>
      </c>
      <c r="Z617" s="97">
        <f ca="1">VLOOKUP($X617,サイズ別係数!$B:$E,3,FALSE)</f>
        <v>1.4</v>
      </c>
      <c r="AA617" s="97">
        <f ca="1">VLOOKUP($X617,サイズ別係数!$B:$E,4,FALSE)</f>
        <v>1</v>
      </c>
      <c r="AB617" s="10">
        <v>0</v>
      </c>
      <c r="AC617" s="6" t="str">
        <f ca="1">VLOOKUP($AB617,OFFSET([3]enemy_skill_sets!$B$2,0,0,COUNTA([3]enemy_skill_sets!$A:$A),MATCH(AC$1,[3]enemy_skill_sets!$1:$1,0)-MATCH($AB$1,[3]enemy_skill_sets!$1:$1,0)+1),MATCH(AC$1,[3]enemy_skill_sets!$1:$1,0)-MATCH($AB$1,[3]enemy_skill_sets!$1:$1,0)+1,FALSE)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7" s="67">
        <v>1</v>
      </c>
      <c r="AE617" s="67">
        <v>1</v>
      </c>
      <c r="AF617" s="68">
        <v>0</v>
      </c>
      <c r="AG617" s="99">
        <f ca="1">ROUND(VLOOKUP(1,enemy_base_stats!$A:$F,2,FALSE) * Y617* J617*O617*E617*S617*AD617*[2]ステータス!$B$2,0)</f>
        <v>4985</v>
      </c>
      <c r="AH617" s="99">
        <f ca="1">ROUND(VLOOKUP(1,enemy_base_stats!$A:$F,3,FALSE) * Z617*K617*P617*F617*T617*AE617 * W617*[2]ステータス!$C$2,0)</f>
        <v>391</v>
      </c>
      <c r="AI617" s="99">
        <f ca="1">ROUND(VLOOKUP(1,enemy_base_stats!$A:$F,4,FALSE) * AA617*L617*Q617*G617*U617*AF617*[2]ステータス!$D$2,0)</f>
        <v>0</v>
      </c>
      <c r="AJ617" s="99">
        <f ca="1">ROUND(VLOOKUP(100,enemy_base_stats!$A:$F,2,FALSE) * Y617* J617*O617*E617*S617*AD617*[2]ステータス!$B$2,0)</f>
        <v>202401</v>
      </c>
      <c r="AK617" s="99">
        <f ca="1">ROUND(VLOOKUP(100,enemy_base_stats!$A:$F,3,FALSE)* Z617* K617*P617*F617*T617*AE617 * W617*[2]ステータス!$C$2,0)</f>
        <v>15891</v>
      </c>
      <c r="AL617" s="99">
        <f ca="1">ROUND(VLOOKUP(100,enemy_base_stats!$A:$F,4,FALSE)* AA617* L617*Q617*G617*U617*AF617*[2]ステータス!$D$2,0)</f>
        <v>0</v>
      </c>
      <c r="AM617" s="97">
        <f ca="1">VLOOKUP(M617,[2]character_tribe_i18n!$A:$I,9,FALSE)</f>
        <v>540</v>
      </c>
      <c r="AN617" s="97">
        <v>0</v>
      </c>
      <c r="AO617" s="98">
        <v>0</v>
      </c>
      <c r="AP617" s="58" t="s">
        <v>72</v>
      </c>
      <c r="AQ617" s="34">
        <f t="shared" ca="1" si="39"/>
        <v>616</v>
      </c>
    </row>
    <row r="618" spans="1:43" ht="21" customHeight="1" x14ac:dyDescent="0.15">
      <c r="A618" s="7">
        <f t="shared" ca="1" si="33"/>
        <v>617</v>
      </c>
      <c r="B618" s="6" t="str">
        <f ca="1">VLOOKUP(A618,[2]characters!$A:$C,3,FALSE)</f>
        <v>ラーフ・アルマゲドン</v>
      </c>
      <c r="C618" s="9">
        <f ca="1">VLOOKUP(A618,[2]characters!$A:$I,9,FALSE)</f>
        <v>5</v>
      </c>
      <c r="D618" s="9" t="str">
        <f ca="1">VLOOKUP(A618,[2]characters!$A:$H,8,FALSE)</f>
        <v>blue</v>
      </c>
      <c r="E618" s="97">
        <f ca="1">VLOOKUP(D618,[2]属性!$A:$E,2,FALSE)</f>
        <v>1</v>
      </c>
      <c r="F618" s="97">
        <f ca="1">VLOOKUP(D618,[2]属性!$A:$E,3,FALSE)</f>
        <v>0.98</v>
      </c>
      <c r="G618" s="97">
        <f ca="1">VLOOKUP(D618,[2]属性!$A:$F,4,FALSE)</f>
        <v>1</v>
      </c>
      <c r="H618" s="9" t="str">
        <f ca="1">VLOOKUP(A618,[2]characters!$A:$K,11,FALSE)</f>
        <v>balance</v>
      </c>
      <c r="I618" s="6" t="str">
        <f ca="1">VLOOKUP(H618,[2]character_type_i18n!$A:$F,3,FALSE)</f>
        <v>バランスタイプ</v>
      </c>
      <c r="J618" s="97">
        <f ca="1">VLOOKUP(H618,[2]character_type_i18n!$A:$F,4,FALSE)</f>
        <v>1</v>
      </c>
      <c r="K618" s="97">
        <f ca="1">VLOOKUP(H618,[2]character_type_i18n!$A:$F,5,FALSE)</f>
        <v>1</v>
      </c>
      <c r="L618" s="97">
        <f ca="1">VLOOKUP(H618,[2]character_type_i18n!$A:$F,6,FALSE)</f>
        <v>1</v>
      </c>
      <c r="M618" s="9" t="str">
        <f ca="1">VLOOKUP(A618,[2]characters!$A:$M,13,FALSE)</f>
        <v>dragon</v>
      </c>
      <c r="N618" s="6" t="str">
        <f ca="1">VLOOKUP(M618,[2]character_tribe_i18n!$A:$F,3,FALSE)</f>
        <v>ドラゴン</v>
      </c>
      <c r="O618" s="97">
        <f ca="1">VLOOKUP(M618,[2]character_tribe_i18n!$A:$F,4,FALSE)</f>
        <v>1.1499999999999999</v>
      </c>
      <c r="P618" s="97">
        <f ca="1">VLOOKUP(M618,[2]character_tribe_i18n!$A:$F,5,FALSE)</f>
        <v>1.1000000000000001</v>
      </c>
      <c r="Q618" s="97">
        <f ca="1">VLOOKUP(M618,[2]character_tribe_i18n!$A:$F,6,FALSE)</f>
        <v>1</v>
      </c>
      <c r="R618" s="98" t="s">
        <v>98</v>
      </c>
      <c r="S618" s="97">
        <f>VLOOKUP($R618,ラベル別係数!$A$1:$E$7,3,FALSE)</f>
        <v>5</v>
      </c>
      <c r="T618" s="97">
        <f>VLOOKUP($R618,ラベル別係数!$A$1:$E$7,4,FALSE)</f>
        <v>1.3</v>
      </c>
      <c r="U618" s="97">
        <f>VLOOKUP($R618,ラベル別係数!$A$1:$E$7,5,FALSE)</f>
        <v>0.8</v>
      </c>
      <c r="V618" s="98">
        <v>3</v>
      </c>
      <c r="W618" s="99">
        <f>VLOOKUP(V618,ターン数別攻撃係数!$A$1:$B$1000,2,FALSE)</f>
        <v>1</v>
      </c>
      <c r="X618" s="9">
        <f ca="1">VLOOKUP(C618,サイズ別係数!A$2:B$9,2,FALSE)</f>
        <v>60</v>
      </c>
      <c r="Y618" s="97">
        <f ca="1">VLOOKUP($X618,サイズ別係数!$B:$E,2,FALSE)</f>
        <v>1.7</v>
      </c>
      <c r="Z618" s="97">
        <f ca="1">VLOOKUP($X618,サイズ別係数!$B:$E,3,FALSE)</f>
        <v>1.4</v>
      </c>
      <c r="AA618" s="97">
        <f ca="1">VLOOKUP($X618,サイズ別係数!$B:$E,4,FALSE)</f>
        <v>1</v>
      </c>
      <c r="AB618" s="10">
        <v>0</v>
      </c>
      <c r="AC618" s="6" t="str">
        <f ca="1">VLOOKUP($AB618,OFFSET([3]enemy_skill_sets!$B$2,0,0,COUNTA([3]enemy_skill_sets!$A:$A),MATCH(AC$1,[3]enemy_skill_sets!$1:$1,0)-MATCH($AB$1,[3]enemy_skill_sets!$1:$1,0)+1),MATCH(AC$1,[3]enemy_skill_sets!$1:$1,0)-MATCH($AB$1,[3]enemy_skill_sets!$1:$1,0)+1,FALSE)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8" s="67">
        <v>1</v>
      </c>
      <c r="AE618" s="67">
        <v>1</v>
      </c>
      <c r="AF618" s="68">
        <v>0</v>
      </c>
      <c r="AG618" s="99">
        <f ca="1">ROUND(VLOOKUP(1,enemy_base_stats!$A:$F,2,FALSE) * Y618* J618*O618*E618*S618*AD618*[2]ステータス!$B$2,0)</f>
        <v>4888</v>
      </c>
      <c r="AH618" s="99">
        <f ca="1">ROUND(VLOOKUP(1,enemy_base_stats!$A:$F,3,FALSE) * Z618*K618*P618*F618*T618*AE618 * W618*[2]ステータス!$C$2,0)</f>
        <v>294</v>
      </c>
      <c r="AI618" s="99">
        <f ca="1">ROUND(VLOOKUP(1,enemy_base_stats!$A:$F,4,FALSE) * AA618*L618*Q618*G618*U618*AF618*[2]ステータス!$D$2,0)</f>
        <v>0</v>
      </c>
      <c r="AJ618" s="99">
        <f ca="1">ROUND(VLOOKUP(100,enemy_base_stats!$A:$F,2,FALSE) * Y618* J618*O618*E618*S618*AD618*[2]ステータス!$B$2,0)</f>
        <v>198433</v>
      </c>
      <c r="AK618" s="99">
        <f ca="1">ROUND(VLOOKUP(100,enemy_base_stats!$A:$F,3,FALSE)* Z618* K618*P618*F618*T618*AE618 * W618*[2]ステータス!$C$2,0)</f>
        <v>11948</v>
      </c>
      <c r="AL618" s="99">
        <f ca="1">ROUND(VLOOKUP(100,enemy_base_stats!$A:$F,4,FALSE)* AA618* L618*Q618*G618*U618*AF618*[2]ステータス!$D$2,0)</f>
        <v>0</v>
      </c>
      <c r="AM618" s="97">
        <f ca="1">VLOOKUP(M618,[2]character_tribe_i18n!$A:$I,9,FALSE)</f>
        <v>540</v>
      </c>
      <c r="AN618" s="97">
        <v>0</v>
      </c>
      <c r="AO618" s="98">
        <v>0</v>
      </c>
      <c r="AP618" s="58" t="s">
        <v>72</v>
      </c>
      <c r="AQ618" s="34">
        <f t="shared" ca="1" si="39"/>
        <v>617</v>
      </c>
    </row>
    <row r="619" spans="1:43" ht="21" customHeight="1" x14ac:dyDescent="0.15">
      <c r="A619" s="7">
        <f t="shared" ca="1" si="33"/>
        <v>618</v>
      </c>
      <c r="B619" s="6" t="str">
        <f ca="1">VLOOKUP(A619,[2]characters!$A:$C,3,FALSE)</f>
        <v>フェルニゲシュ・オメガドライブ</v>
      </c>
      <c r="C619" s="9">
        <f ca="1">VLOOKUP(A619,[2]characters!$A:$I,9,FALSE)</f>
        <v>5</v>
      </c>
      <c r="D619" s="9" t="str">
        <f ca="1">VLOOKUP(A619,[2]characters!$A:$H,8,FALSE)</f>
        <v>yellow</v>
      </c>
      <c r="E619" s="97">
        <f ca="1">VLOOKUP(D619,[2]属性!$A:$E,2,FALSE)</f>
        <v>0.98</v>
      </c>
      <c r="F619" s="97">
        <f ca="1">VLOOKUP(D619,[2]属性!$A:$E,3,FALSE)</f>
        <v>1.01</v>
      </c>
      <c r="G619" s="97">
        <f ca="1">VLOOKUP(D619,[2]属性!$A:$F,4,FALSE)</f>
        <v>1</v>
      </c>
      <c r="H619" s="9" t="str">
        <f ca="1">VLOOKUP(A619,[2]characters!$A:$K,11,FALSE)</f>
        <v>technical</v>
      </c>
      <c r="I619" s="6" t="str">
        <f ca="1">VLOOKUP(H619,[2]character_type_i18n!$A:$F,3,FALSE)</f>
        <v>テクニカルタイプ</v>
      </c>
      <c r="J619" s="97">
        <f ca="1">VLOOKUP(H619,[2]character_type_i18n!$A:$F,4,FALSE)</f>
        <v>0.9</v>
      </c>
      <c r="K619" s="97">
        <f ca="1">VLOOKUP(H619,[2]character_type_i18n!$A:$F,5,FALSE)</f>
        <v>0.9</v>
      </c>
      <c r="L619" s="97">
        <f ca="1">VLOOKUP(H619,[2]character_type_i18n!$A:$F,6,FALSE)</f>
        <v>1</v>
      </c>
      <c r="M619" s="9" t="str">
        <f ca="1">VLOOKUP(A619,[2]characters!$A:$M,13,FALSE)</f>
        <v>dragon</v>
      </c>
      <c r="N619" s="6" t="str">
        <f ca="1">VLOOKUP(M619,[2]character_tribe_i18n!$A:$F,3,FALSE)</f>
        <v>ドラゴン</v>
      </c>
      <c r="O619" s="97">
        <f ca="1">VLOOKUP(M619,[2]character_tribe_i18n!$A:$F,4,FALSE)</f>
        <v>1.1499999999999999</v>
      </c>
      <c r="P619" s="97">
        <f ca="1">VLOOKUP(M619,[2]character_tribe_i18n!$A:$F,5,FALSE)</f>
        <v>1.1000000000000001</v>
      </c>
      <c r="Q619" s="97">
        <f ca="1">VLOOKUP(M619,[2]character_tribe_i18n!$A:$F,6,FALSE)</f>
        <v>1</v>
      </c>
      <c r="R619" s="98" t="s">
        <v>98</v>
      </c>
      <c r="S619" s="97">
        <f>VLOOKUP($R619,ラベル別係数!$A$1:$E$7,3,FALSE)</f>
        <v>5</v>
      </c>
      <c r="T619" s="97">
        <f>VLOOKUP($R619,ラベル別係数!$A$1:$E$7,4,FALSE)</f>
        <v>1.3</v>
      </c>
      <c r="U619" s="97">
        <f>VLOOKUP($R619,ラベル別係数!$A$1:$E$7,5,FALSE)</f>
        <v>0.8</v>
      </c>
      <c r="V619" s="98">
        <v>3</v>
      </c>
      <c r="W619" s="99">
        <f>VLOOKUP(V619,ターン数別攻撃係数!$A$1:$B$1000,2,FALSE)</f>
        <v>1</v>
      </c>
      <c r="X619" s="9">
        <f ca="1">VLOOKUP(C619,サイズ別係数!A$2:B$9,2,FALSE)</f>
        <v>60</v>
      </c>
      <c r="Y619" s="97">
        <f ca="1">VLOOKUP($X619,サイズ別係数!$B:$E,2,FALSE)</f>
        <v>1.7</v>
      </c>
      <c r="Z619" s="97">
        <f ca="1">VLOOKUP($X619,サイズ別係数!$B:$E,3,FALSE)</f>
        <v>1.4</v>
      </c>
      <c r="AA619" s="97">
        <f ca="1">VLOOKUP($X619,サイズ別係数!$B:$E,4,FALSE)</f>
        <v>1</v>
      </c>
      <c r="AB619" s="10">
        <v>0</v>
      </c>
      <c r="AC619" s="6" t="str">
        <f ca="1">VLOOKUP($AB619,OFFSET([3]enemy_skill_sets!$B$2,0,0,COUNTA([3]enemy_skill_sets!$A:$A),MATCH(AC$1,[3]enemy_skill_sets!$1:$1,0)-MATCH($AB$1,[3]enemy_skill_sets!$1:$1,0)+1),MATCH(AC$1,[3]enemy_skill_sets!$1:$1,0)-MATCH($AB$1,[3]enemy_skill_sets!$1:$1,0)+1,FALSE)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19" s="67">
        <v>1</v>
      </c>
      <c r="AE619" s="67">
        <v>1</v>
      </c>
      <c r="AF619" s="68">
        <v>0</v>
      </c>
      <c r="AG619" s="99">
        <f ca="1">ROUND(VLOOKUP(1,enemy_base_stats!$A:$F,2,FALSE) * Y619* J619*O619*E619*S619*AD619*[2]ステータス!$B$2,0)</f>
        <v>4311</v>
      </c>
      <c r="AH619" s="99">
        <f ca="1">ROUND(VLOOKUP(1,enemy_base_stats!$A:$F,3,FALSE) * Z619*K619*P619*F619*T619*AE619 * W619*[2]ステータス!$C$2,0)</f>
        <v>273</v>
      </c>
      <c r="AI619" s="99">
        <f ca="1">ROUND(VLOOKUP(1,enemy_base_stats!$A:$F,4,FALSE) * AA619*L619*Q619*G619*U619*AF619*[2]ステータス!$D$2,0)</f>
        <v>0</v>
      </c>
      <c r="AJ619" s="99">
        <f ca="1">ROUND(VLOOKUP(100,enemy_base_stats!$A:$F,2,FALSE) * Y619* J619*O619*E619*S619*AD619*[2]ステータス!$B$2,0)</f>
        <v>175017</v>
      </c>
      <c r="AK619" s="99">
        <f ca="1">ROUND(VLOOKUP(100,enemy_base_stats!$A:$F,3,FALSE)* Z619* K619*P619*F619*T619*AE619 * W619*[2]ステータス!$C$2,0)</f>
        <v>11083</v>
      </c>
      <c r="AL619" s="99">
        <f ca="1">ROUND(VLOOKUP(100,enemy_base_stats!$A:$F,4,FALSE)* AA619* L619*Q619*G619*U619*AF619*[2]ステータス!$D$2,0)</f>
        <v>0</v>
      </c>
      <c r="AM619" s="97">
        <f ca="1">VLOOKUP(M619,[2]character_tribe_i18n!$A:$I,9,FALSE)</f>
        <v>540</v>
      </c>
      <c r="AN619" s="97">
        <v>0</v>
      </c>
      <c r="AO619" s="98">
        <v>0</v>
      </c>
      <c r="AP619" s="58" t="s">
        <v>72</v>
      </c>
      <c r="AQ619" s="34">
        <f t="shared" ca="1" si="39"/>
        <v>618</v>
      </c>
    </row>
    <row r="620" spans="1:43" ht="21" customHeight="1" x14ac:dyDescent="0.15">
      <c r="A620" s="7">
        <f t="shared" ca="1" si="33"/>
        <v>619</v>
      </c>
      <c r="B620" s="6" t="str">
        <f ca="1">VLOOKUP(A620,[2]characters!$A:$C,3,FALSE)</f>
        <v>メビウス</v>
      </c>
      <c r="C620" s="9">
        <f ca="1">VLOOKUP(A620,[2]characters!$A:$I,9,FALSE)</f>
        <v>4</v>
      </c>
      <c r="D620" s="9" t="str">
        <f ca="1">VLOOKUP(A620,[2]characters!$A:$H,8,FALSE)</f>
        <v>blue</v>
      </c>
      <c r="E620" s="97">
        <f ca="1">VLOOKUP(D620,[2]属性!$A:$E,2,FALSE)</f>
        <v>1</v>
      </c>
      <c r="F620" s="97">
        <f ca="1">VLOOKUP(D620,[2]属性!$A:$E,3,FALSE)</f>
        <v>0.98</v>
      </c>
      <c r="G620" s="97">
        <f ca="1">VLOOKUP(D620,[2]属性!$A:$F,4,FALSE)</f>
        <v>1</v>
      </c>
      <c r="H620" s="9" t="str">
        <f ca="1">VLOOKUP(A620,[2]characters!$A:$K,11,FALSE)</f>
        <v>balance</v>
      </c>
      <c r="I620" s="6" t="str">
        <f ca="1">VLOOKUP(H620,[2]character_type_i18n!$A:$F,3,FALSE)</f>
        <v>バランスタイプ</v>
      </c>
      <c r="J620" s="97">
        <f ca="1">VLOOKUP(H620,[2]character_type_i18n!$A:$F,4,FALSE)</f>
        <v>1</v>
      </c>
      <c r="K620" s="97">
        <f ca="1">VLOOKUP(H620,[2]character_type_i18n!$A:$F,5,FALSE)</f>
        <v>1</v>
      </c>
      <c r="L620" s="97">
        <f ca="1">VLOOKUP(H620,[2]character_type_i18n!$A:$F,6,FALSE)</f>
        <v>1</v>
      </c>
      <c r="M620" s="9" t="str">
        <f ca="1">VLOOKUP(A620,[2]characters!$A:$M,13,FALSE)</f>
        <v>human</v>
      </c>
      <c r="N620" s="6" t="str">
        <f ca="1">VLOOKUP(M620,[2]character_tribe_i18n!$A:$F,3,FALSE)</f>
        <v>ヒューマン</v>
      </c>
      <c r="O620" s="97">
        <f ca="1">VLOOKUP(M620,[2]character_tribe_i18n!$A:$F,4,FALSE)</f>
        <v>0.94</v>
      </c>
      <c r="P620" s="97">
        <f ca="1">VLOOKUP(M620,[2]character_tribe_i18n!$A:$F,5,FALSE)</f>
        <v>0.99</v>
      </c>
      <c r="Q620" s="97">
        <f ca="1">VLOOKUP(M620,[2]character_tribe_i18n!$A:$F,6,FALSE)</f>
        <v>1</v>
      </c>
      <c r="R620" s="98" t="s">
        <v>98</v>
      </c>
      <c r="S620" s="97">
        <f>VLOOKUP($R620,ラベル別係数!$A$1:$E$7,3,FALSE)</f>
        <v>5</v>
      </c>
      <c r="T620" s="97">
        <f>VLOOKUP($R620,ラベル別係数!$A$1:$E$7,4,FALSE)</f>
        <v>1.3</v>
      </c>
      <c r="U620" s="97">
        <f>VLOOKUP($R620,ラベル別係数!$A$1:$E$7,5,FALSE)</f>
        <v>0.8</v>
      </c>
      <c r="V620" s="98">
        <v>3</v>
      </c>
      <c r="W620" s="99">
        <f>VLOOKUP(V620,ターン数別攻撃係数!$A$1:$B$1000,2,FALSE)</f>
        <v>1</v>
      </c>
      <c r="X620" s="9">
        <f ca="1">VLOOKUP(C620,サイズ別係数!A$2:B$9,2,FALSE)</f>
        <v>30</v>
      </c>
      <c r="Y620" s="97">
        <f ca="1">VLOOKUP($X620,サイズ別係数!$B:$E,2,FALSE)</f>
        <v>1.3</v>
      </c>
      <c r="Z620" s="97">
        <f ca="1">VLOOKUP($X620,サイズ別係数!$B:$E,3,FALSE)</f>
        <v>1.3</v>
      </c>
      <c r="AA620" s="97">
        <f ca="1">VLOOKUP($X620,サイズ別係数!$B:$E,4,FALSE)</f>
        <v>1.1000000000000001</v>
      </c>
      <c r="AB620" s="10">
        <v>0</v>
      </c>
      <c r="AC620" s="6" t="str">
        <f ca="1">VLOOKUP($AB620,OFFSET([3]enemy_skill_sets!$B$2,0,0,COUNTA([3]enemy_skill_sets!$A:$A),MATCH(AC$1,[3]enemy_skill_sets!$1:$1,0)-MATCH($AB$1,[3]enemy_skill_sets!$1:$1,0)+1),MATCH(AC$1,[3]enemy_skill_sets!$1:$1,0)-MATCH($AB$1,[3]enemy_skill_sets!$1:$1,0)+1,FALSE)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0" s="67">
        <v>1</v>
      </c>
      <c r="AE620" s="67">
        <v>1</v>
      </c>
      <c r="AF620" s="68">
        <v>0</v>
      </c>
      <c r="AG620" s="99">
        <f ca="1">ROUND(VLOOKUP(1,enemy_base_stats!$A:$F,2,FALSE) * Y620* J620*O620*E620*S620*AD620*[2]ステータス!$B$2,0)</f>
        <v>3055</v>
      </c>
      <c r="AH620" s="99">
        <f ca="1">ROUND(VLOOKUP(1,enemy_base_stats!$A:$F,3,FALSE) * Z620*K620*P620*F620*T620*AE620 * W620*[2]ステータス!$C$2,0)</f>
        <v>246</v>
      </c>
      <c r="AI620" s="99">
        <f ca="1">ROUND(VLOOKUP(1,enemy_base_stats!$A:$F,4,FALSE) * AA620*L620*Q620*G620*U620*AF620*[2]ステータス!$D$2,0)</f>
        <v>0</v>
      </c>
      <c r="AJ620" s="99">
        <f ca="1">ROUND(VLOOKUP(100,enemy_base_stats!$A:$F,2,FALSE) * Y620* J620*O620*E620*S620*AD620*[2]ステータス!$B$2,0)</f>
        <v>124033</v>
      </c>
      <c r="AK620" s="99">
        <f ca="1">ROUND(VLOOKUP(100,enemy_base_stats!$A:$F,3,FALSE)* Z620* K620*P620*F620*T620*AE620 * W620*[2]ステータス!$C$2,0)</f>
        <v>9985</v>
      </c>
      <c r="AL620" s="99">
        <f ca="1">ROUND(VLOOKUP(100,enemy_base_stats!$A:$F,4,FALSE)* AA620* L620*Q620*G620*U620*AF620*[2]ステータス!$D$2,0)</f>
        <v>0</v>
      </c>
      <c r="AM620" s="97">
        <f ca="1">VLOOKUP(M620,[2]character_tribe_i18n!$A:$I,9,FALSE)</f>
        <v>400</v>
      </c>
      <c r="AN620" s="97">
        <v>0</v>
      </c>
      <c r="AO620" s="98">
        <v>0</v>
      </c>
      <c r="AP620" s="58" t="s">
        <v>72</v>
      </c>
      <c r="AQ620" s="34">
        <f t="shared" ref="AQ620:AQ683" ca="1" si="40">A620</f>
        <v>619</v>
      </c>
    </row>
    <row r="621" spans="1:43" ht="21" customHeight="1" x14ac:dyDescent="0.15">
      <c r="A621" s="7">
        <f t="shared" ca="1" si="33"/>
        <v>620</v>
      </c>
      <c r="B621" s="6" t="str">
        <f ca="1">VLOOKUP(A621,[2]characters!$A:$C,3,FALSE)</f>
        <v>奇跡の調和 メビウス</v>
      </c>
      <c r="C621" s="9">
        <f ca="1">VLOOKUP(A621,[2]characters!$A:$I,9,FALSE)</f>
        <v>5</v>
      </c>
      <c r="D621" s="9" t="str">
        <f ca="1">VLOOKUP(A621,[2]characters!$A:$H,8,FALSE)</f>
        <v>blue</v>
      </c>
      <c r="E621" s="97">
        <f ca="1">VLOOKUP(D621,[2]属性!$A:$E,2,FALSE)</f>
        <v>1</v>
      </c>
      <c r="F621" s="97">
        <f ca="1">VLOOKUP(D621,[2]属性!$A:$E,3,FALSE)</f>
        <v>0.98</v>
      </c>
      <c r="G621" s="97">
        <f ca="1">VLOOKUP(D621,[2]属性!$A:$F,4,FALSE)</f>
        <v>1</v>
      </c>
      <c r="H621" s="9" t="str">
        <f ca="1">VLOOKUP(A621,[2]characters!$A:$K,11,FALSE)</f>
        <v>balance</v>
      </c>
      <c r="I621" s="6" t="str">
        <f ca="1">VLOOKUP(H621,[2]character_type_i18n!$A:$F,3,FALSE)</f>
        <v>バランスタイプ</v>
      </c>
      <c r="J621" s="97">
        <f ca="1">VLOOKUP(H621,[2]character_type_i18n!$A:$F,4,FALSE)</f>
        <v>1</v>
      </c>
      <c r="K621" s="97">
        <f ca="1">VLOOKUP(H621,[2]character_type_i18n!$A:$F,5,FALSE)</f>
        <v>1</v>
      </c>
      <c r="L621" s="97">
        <f ca="1">VLOOKUP(H621,[2]character_type_i18n!$A:$F,6,FALSE)</f>
        <v>1</v>
      </c>
      <c r="M621" s="9" t="str">
        <f ca="1">VLOOKUP(A621,[2]characters!$A:$M,13,FALSE)</f>
        <v>human</v>
      </c>
      <c r="N621" s="6" t="str">
        <f ca="1">VLOOKUP(M621,[2]character_tribe_i18n!$A:$F,3,FALSE)</f>
        <v>ヒューマン</v>
      </c>
      <c r="O621" s="97">
        <f ca="1">VLOOKUP(M621,[2]character_tribe_i18n!$A:$F,4,FALSE)</f>
        <v>0.94</v>
      </c>
      <c r="P621" s="97">
        <f ca="1">VLOOKUP(M621,[2]character_tribe_i18n!$A:$F,5,FALSE)</f>
        <v>0.99</v>
      </c>
      <c r="Q621" s="97">
        <f ca="1">VLOOKUP(M621,[2]character_tribe_i18n!$A:$F,6,FALSE)</f>
        <v>1</v>
      </c>
      <c r="R621" s="98" t="s">
        <v>98</v>
      </c>
      <c r="S621" s="97">
        <f>VLOOKUP($R621,ラベル別係数!$A$1:$E$7,3,FALSE)</f>
        <v>5</v>
      </c>
      <c r="T621" s="97">
        <f>VLOOKUP($R621,ラベル別係数!$A$1:$E$7,4,FALSE)</f>
        <v>1.3</v>
      </c>
      <c r="U621" s="97">
        <f>VLOOKUP($R621,ラベル別係数!$A$1:$E$7,5,FALSE)</f>
        <v>0.8</v>
      </c>
      <c r="V621" s="98">
        <v>3</v>
      </c>
      <c r="W621" s="99">
        <f>VLOOKUP(V621,ターン数別攻撃係数!$A$1:$B$1000,2,FALSE)</f>
        <v>1</v>
      </c>
      <c r="X621" s="100">
        <v>30</v>
      </c>
      <c r="Y621" s="102">
        <v>1.7</v>
      </c>
      <c r="Z621" s="102">
        <v>1.4</v>
      </c>
      <c r="AA621" s="102">
        <v>1</v>
      </c>
      <c r="AB621" s="10">
        <v>0</v>
      </c>
      <c r="AC621" s="6" t="str">
        <f ca="1">VLOOKUP($AB621,OFFSET([3]enemy_skill_sets!$B$2,0,0,COUNTA([3]enemy_skill_sets!$A:$A),MATCH(AC$1,[3]enemy_skill_sets!$1:$1,0)-MATCH($AB$1,[3]enemy_skill_sets!$1:$1,0)+1),MATCH(AC$1,[3]enemy_skill_sets!$1:$1,0)-MATCH($AB$1,[3]enemy_skill_sets!$1:$1,0)+1,FALSE)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1" s="67">
        <v>1</v>
      </c>
      <c r="AE621" s="67">
        <v>1</v>
      </c>
      <c r="AF621" s="68">
        <v>0</v>
      </c>
      <c r="AG621" s="99">
        <f ca="1">ROUND(VLOOKUP(1,enemy_base_stats!$A:$F,2,FALSE) * Y621* J621*O621*E621*S621*AD621*[2]ステータス!$B$2,0)</f>
        <v>3995</v>
      </c>
      <c r="AH621" s="99">
        <f ca="1">ROUND(VLOOKUP(1,enemy_base_stats!$A:$F,3,FALSE) * Z621*K621*P621*F621*T621*AE621 * W621*[2]ステータス!$C$2,0)</f>
        <v>265</v>
      </c>
      <c r="AI621" s="99">
        <f ca="1">ROUND(VLOOKUP(1,enemy_base_stats!$A:$F,4,FALSE) * AA621*L621*Q621*G621*U621*AF621*[2]ステータス!$D$2,0)</f>
        <v>0</v>
      </c>
      <c r="AJ621" s="99">
        <f ca="1">ROUND(VLOOKUP(100,enemy_base_stats!$A:$F,2,FALSE) * Y621* J621*O621*E621*S621*AD621*[2]ステータス!$B$2,0)</f>
        <v>162197</v>
      </c>
      <c r="AK621" s="99">
        <f ca="1">ROUND(VLOOKUP(100,enemy_base_stats!$A:$F,3,FALSE)* Z621* K621*P621*F621*T621*AE621 * W621*[2]ステータス!$C$2,0)</f>
        <v>10754</v>
      </c>
      <c r="AL621" s="99">
        <f ca="1">ROUND(VLOOKUP(100,enemy_base_stats!$A:$F,4,FALSE)* AA621* L621*Q621*G621*U621*AF621*[2]ステータス!$D$2,0)</f>
        <v>0</v>
      </c>
      <c r="AM621" s="97">
        <f ca="1">VLOOKUP(M621,[2]character_tribe_i18n!$A:$I,9,FALSE)</f>
        <v>400</v>
      </c>
      <c r="AN621" s="97">
        <v>0</v>
      </c>
      <c r="AO621" s="98">
        <v>0</v>
      </c>
      <c r="AP621" s="58" t="s">
        <v>72</v>
      </c>
      <c r="AQ621" s="34">
        <f t="shared" ca="1" si="40"/>
        <v>620</v>
      </c>
    </row>
    <row r="622" spans="1:43" ht="21" customHeight="1" x14ac:dyDescent="0.15">
      <c r="A622" s="7">
        <f t="shared" ca="1" si="33"/>
        <v>621</v>
      </c>
      <c r="B622" s="6" t="str">
        <f ca="1">VLOOKUP(A622,[2]characters!$A:$C,3,FALSE)</f>
        <v>終わりなき奇跡 メビウス</v>
      </c>
      <c r="C622" s="9">
        <f ca="1">VLOOKUP(A622,[2]characters!$A:$I,9,FALSE)</f>
        <v>6</v>
      </c>
      <c r="D622" s="9" t="str">
        <f ca="1">VLOOKUP(A622,[2]characters!$A:$H,8,FALSE)</f>
        <v>blue</v>
      </c>
      <c r="E622" s="97">
        <f ca="1">VLOOKUP(D622,[2]属性!$A:$E,2,FALSE)</f>
        <v>1</v>
      </c>
      <c r="F622" s="97">
        <f ca="1">VLOOKUP(D622,[2]属性!$A:$E,3,FALSE)</f>
        <v>0.98</v>
      </c>
      <c r="G622" s="97">
        <f ca="1">VLOOKUP(D622,[2]属性!$A:$F,4,FALSE)</f>
        <v>1</v>
      </c>
      <c r="H622" s="9" t="str">
        <f ca="1">VLOOKUP(A622,[2]characters!$A:$K,11,FALSE)</f>
        <v>balance</v>
      </c>
      <c r="I622" s="6" t="str">
        <f ca="1">VLOOKUP(H622,[2]character_type_i18n!$A:$F,3,FALSE)</f>
        <v>バランスタイプ</v>
      </c>
      <c r="J622" s="97">
        <f ca="1">VLOOKUP(H622,[2]character_type_i18n!$A:$F,4,FALSE)</f>
        <v>1</v>
      </c>
      <c r="K622" s="97">
        <f ca="1">VLOOKUP(H622,[2]character_type_i18n!$A:$F,5,FALSE)</f>
        <v>1</v>
      </c>
      <c r="L622" s="97">
        <f ca="1">VLOOKUP(H622,[2]character_type_i18n!$A:$F,6,FALSE)</f>
        <v>1</v>
      </c>
      <c r="M622" s="9" t="str">
        <f ca="1">VLOOKUP(A622,[2]characters!$A:$M,13,FALSE)</f>
        <v>human</v>
      </c>
      <c r="N622" s="6" t="str">
        <f ca="1">VLOOKUP(M622,[2]character_tribe_i18n!$A:$F,3,FALSE)</f>
        <v>ヒューマン</v>
      </c>
      <c r="O622" s="97">
        <f ca="1">VLOOKUP(M622,[2]character_tribe_i18n!$A:$F,4,FALSE)</f>
        <v>0.94</v>
      </c>
      <c r="P622" s="97">
        <f ca="1">VLOOKUP(M622,[2]character_tribe_i18n!$A:$F,5,FALSE)</f>
        <v>0.99</v>
      </c>
      <c r="Q622" s="97">
        <f ca="1">VLOOKUP(M622,[2]character_tribe_i18n!$A:$F,6,FALSE)</f>
        <v>1</v>
      </c>
      <c r="R622" s="98" t="s">
        <v>98</v>
      </c>
      <c r="S622" s="97">
        <f>VLOOKUP($R622,ラベル別係数!$A$1:$E$7,3,FALSE)</f>
        <v>5</v>
      </c>
      <c r="T622" s="97">
        <f>VLOOKUP($R622,ラベル別係数!$A$1:$E$7,4,FALSE)</f>
        <v>1.3</v>
      </c>
      <c r="U622" s="97">
        <f>VLOOKUP($R622,ラベル別係数!$A$1:$E$7,5,FALSE)</f>
        <v>0.8</v>
      </c>
      <c r="V622" s="98">
        <v>3</v>
      </c>
      <c r="W622" s="99">
        <f>VLOOKUP(V622,ターン数別攻撃係数!$A$1:$B$1000,2,FALSE)</f>
        <v>1</v>
      </c>
      <c r="X622" s="100">
        <v>30</v>
      </c>
      <c r="Y622" s="102">
        <v>1.7</v>
      </c>
      <c r="Z622" s="102">
        <v>1.4</v>
      </c>
      <c r="AA622" s="102">
        <v>1</v>
      </c>
      <c r="AB622" s="10">
        <v>0</v>
      </c>
      <c r="AC622" s="6" t="str">
        <f ca="1">VLOOKUP($AB622,OFFSET([3]enemy_skill_sets!$B$2,0,0,COUNTA([3]enemy_skill_sets!$A:$A),MATCH(AC$1,[3]enemy_skill_sets!$1:$1,0)-MATCH($AB$1,[3]enemy_skill_sets!$1:$1,0)+1),MATCH(AC$1,[3]enemy_skill_sets!$1:$1,0)-MATCH($AB$1,[3]enemy_skill_sets!$1:$1,0)+1,FALSE)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2" s="67">
        <v>1</v>
      </c>
      <c r="AE622" s="67">
        <v>1</v>
      </c>
      <c r="AF622" s="68">
        <v>0</v>
      </c>
      <c r="AG622" s="99">
        <f ca="1">ROUND(VLOOKUP(1,enemy_base_stats!$A:$F,2,FALSE) * Y622* J622*O622*E622*S622*AD622*[2]ステータス!$B$2,0)</f>
        <v>3995</v>
      </c>
      <c r="AH622" s="99">
        <f ca="1">ROUND(VLOOKUP(1,enemy_base_stats!$A:$F,3,FALSE) * Z622*K622*P622*F622*T622*AE622 * W622*[2]ステータス!$C$2,0)</f>
        <v>265</v>
      </c>
      <c r="AI622" s="99">
        <f ca="1">ROUND(VLOOKUP(1,enemy_base_stats!$A:$F,4,FALSE) * AA622*L622*Q622*G622*U622*AF622*[2]ステータス!$D$2,0)</f>
        <v>0</v>
      </c>
      <c r="AJ622" s="99">
        <f ca="1">ROUND(VLOOKUP(100,enemy_base_stats!$A:$F,2,FALSE) * Y622* J622*O622*E622*S622*AD622*[2]ステータス!$B$2,0)</f>
        <v>162197</v>
      </c>
      <c r="AK622" s="99">
        <f ca="1">ROUND(VLOOKUP(100,enemy_base_stats!$A:$F,3,FALSE)* Z622* K622*P622*F622*T622*AE622 * W622*[2]ステータス!$C$2,0)</f>
        <v>10754</v>
      </c>
      <c r="AL622" s="99">
        <f ca="1">ROUND(VLOOKUP(100,enemy_base_stats!$A:$F,4,FALSE)* AA622* L622*Q622*G622*U622*AF622*[2]ステータス!$D$2,0)</f>
        <v>0</v>
      </c>
      <c r="AM622" s="97">
        <f ca="1">VLOOKUP(M622,[2]character_tribe_i18n!$A:$I,9,FALSE)</f>
        <v>400</v>
      </c>
      <c r="AN622" s="97">
        <v>0</v>
      </c>
      <c r="AO622" s="98">
        <v>0</v>
      </c>
      <c r="AP622" s="58" t="s">
        <v>72</v>
      </c>
      <c r="AQ622" s="34">
        <f t="shared" ca="1" si="40"/>
        <v>621</v>
      </c>
    </row>
    <row r="623" spans="1:43" ht="21" customHeight="1" x14ac:dyDescent="0.15">
      <c r="A623" s="7">
        <f t="shared" ca="1" si="33"/>
        <v>622</v>
      </c>
      <c r="B623" s="6" t="str">
        <f ca="1">VLOOKUP(A623,[2]characters!$A:$C,3,FALSE)</f>
        <v>未定</v>
      </c>
      <c r="C623" s="9">
        <f ca="1">VLOOKUP(A623,[2]characters!$A:$I,9,FALSE)</f>
        <v>4</v>
      </c>
      <c r="D623" s="9" t="str">
        <f ca="1">VLOOKUP(A623,[2]characters!$A:$H,8,FALSE)</f>
        <v>blue</v>
      </c>
      <c r="E623" s="97">
        <f ca="1">VLOOKUP(D623,[2]属性!$A:$E,2,FALSE)</f>
        <v>1</v>
      </c>
      <c r="F623" s="97">
        <f ca="1">VLOOKUP(D623,[2]属性!$A:$E,3,FALSE)</f>
        <v>0.98</v>
      </c>
      <c r="G623" s="97">
        <f ca="1">VLOOKUP(D623,[2]属性!$A:$F,4,FALSE)</f>
        <v>1</v>
      </c>
      <c r="H623" s="9" t="str">
        <f ca="1">VLOOKUP(A623,[2]characters!$A:$K,11,FALSE)</f>
        <v>attack</v>
      </c>
      <c r="I623" s="6" t="str">
        <f ca="1">VLOOKUP(H623,[2]character_type_i18n!$A:$F,3,FALSE)</f>
        <v>攻撃タイプ</v>
      </c>
      <c r="J623" s="97">
        <f ca="1">VLOOKUP(H623,[2]character_type_i18n!$A:$F,4,FALSE)</f>
        <v>1</v>
      </c>
      <c r="K623" s="97">
        <f ca="1">VLOOKUP(H623,[2]character_type_i18n!$A:$F,5,FALSE)</f>
        <v>1.33</v>
      </c>
      <c r="L623" s="97">
        <f ca="1">VLOOKUP(H623,[2]character_type_i18n!$A:$F,6,FALSE)</f>
        <v>1</v>
      </c>
      <c r="M623" s="9" t="str">
        <f ca="1">VLOOKUP(A623,[2]characters!$A:$M,13,FALSE)</f>
        <v>human</v>
      </c>
      <c r="N623" s="6" t="str">
        <f ca="1">VLOOKUP(M623,[2]character_tribe_i18n!$A:$F,3,FALSE)</f>
        <v>ヒューマン</v>
      </c>
      <c r="O623" s="97">
        <f ca="1">VLOOKUP(M623,[2]character_tribe_i18n!$A:$F,4,FALSE)</f>
        <v>0.94</v>
      </c>
      <c r="P623" s="97">
        <f ca="1">VLOOKUP(M623,[2]character_tribe_i18n!$A:$F,5,FALSE)</f>
        <v>0.99</v>
      </c>
      <c r="Q623" s="97">
        <f ca="1">VLOOKUP(M623,[2]character_tribe_i18n!$A:$F,6,FALSE)</f>
        <v>1</v>
      </c>
      <c r="R623" s="98" t="s">
        <v>98</v>
      </c>
      <c r="S623" s="97">
        <f>VLOOKUP($R623,ラベル別係数!$A$1:$E$7,3,FALSE)</f>
        <v>5</v>
      </c>
      <c r="T623" s="97">
        <f>VLOOKUP($R623,ラベル別係数!$A$1:$E$7,4,FALSE)</f>
        <v>1.3</v>
      </c>
      <c r="U623" s="97">
        <f>VLOOKUP($R623,ラベル別係数!$A$1:$E$7,5,FALSE)</f>
        <v>0.8</v>
      </c>
      <c r="V623" s="98">
        <v>3</v>
      </c>
      <c r="W623" s="99">
        <f>VLOOKUP(V623,ターン数別攻撃係数!$A$1:$B$1000,2,FALSE)</f>
        <v>1</v>
      </c>
      <c r="X623" s="9">
        <f ca="1">VLOOKUP(C623,サイズ別係数!A$2:B$9,2,FALSE)</f>
        <v>30</v>
      </c>
      <c r="Y623" s="97">
        <f ca="1">VLOOKUP($X623,サイズ別係数!$B:$E,2,FALSE)</f>
        <v>1.3</v>
      </c>
      <c r="Z623" s="97">
        <f ca="1">VLOOKUP($X623,サイズ別係数!$B:$E,3,FALSE)</f>
        <v>1.3</v>
      </c>
      <c r="AA623" s="97">
        <f ca="1">VLOOKUP($X623,サイズ別係数!$B:$E,4,FALSE)</f>
        <v>1.1000000000000001</v>
      </c>
      <c r="AB623" s="10">
        <v>0</v>
      </c>
      <c r="AC623" s="6" t="str">
        <f ca="1">VLOOKUP($AB623,OFFSET([3]enemy_skill_sets!$B$2,0,0,COUNTA([3]enemy_skill_sets!$A:$A),MATCH(AC$1,[3]enemy_skill_sets!$1:$1,0)-MATCH($AB$1,[3]enemy_skill_sets!$1:$1,0)+1),MATCH(AC$1,[3]enemy_skill_sets!$1:$1,0)-MATCH($AB$1,[3]enemy_skill_sets!$1:$1,0)+1,FALSE)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3" s="67">
        <v>1</v>
      </c>
      <c r="AE623" s="67">
        <v>1</v>
      </c>
      <c r="AF623" s="68">
        <v>0</v>
      </c>
      <c r="AG623" s="99">
        <f ca="1">ROUND(VLOOKUP(1,enemy_base_stats!$A:$F,2,FALSE) * Y623* J623*O623*E623*S623*AD623*[2]ステータス!$B$2,0)</f>
        <v>3055</v>
      </c>
      <c r="AH623" s="99">
        <f ca="1">ROUND(VLOOKUP(1,enemy_base_stats!$A:$F,3,FALSE) * Z623*K623*P623*F623*T623*AE623 * W623*[2]ステータス!$C$2,0)</f>
        <v>327</v>
      </c>
      <c r="AI623" s="99">
        <f ca="1">ROUND(VLOOKUP(1,enemy_base_stats!$A:$F,4,FALSE) * AA623*L623*Q623*G623*U623*AF623*[2]ステータス!$D$2,0)</f>
        <v>0</v>
      </c>
      <c r="AJ623" s="99">
        <f ca="1">ROUND(VLOOKUP(100,enemy_base_stats!$A:$F,2,FALSE) * Y623* J623*O623*E623*S623*AD623*[2]ステータス!$B$2,0)</f>
        <v>124033</v>
      </c>
      <c r="AK623" s="99">
        <f ca="1">ROUND(VLOOKUP(100,enemy_base_stats!$A:$F,3,FALSE)* Z623* K623*P623*F623*T623*AE623 * W623*[2]ステータス!$C$2,0)</f>
        <v>13281</v>
      </c>
      <c r="AL623" s="99">
        <f ca="1">ROUND(VLOOKUP(100,enemy_base_stats!$A:$F,4,FALSE)* AA623* L623*Q623*G623*U623*AF623*[2]ステータス!$D$2,0)</f>
        <v>0</v>
      </c>
      <c r="AM623" s="97">
        <f ca="1">VLOOKUP(M623,[2]character_tribe_i18n!$A:$I,9,FALSE)</f>
        <v>400</v>
      </c>
      <c r="AN623" s="97">
        <v>0</v>
      </c>
      <c r="AO623" s="98">
        <v>0</v>
      </c>
      <c r="AP623" s="58" t="s">
        <v>72</v>
      </c>
      <c r="AQ623" s="34">
        <f t="shared" ca="1" si="40"/>
        <v>622</v>
      </c>
    </row>
    <row r="624" spans="1:43" ht="21" customHeight="1" x14ac:dyDescent="0.15">
      <c r="A624" s="7">
        <f t="shared" ca="1" si="33"/>
        <v>623</v>
      </c>
      <c r="B624" s="6" t="str">
        <f ca="1">VLOOKUP(A624,[2]characters!$A:$C,3,FALSE)</f>
        <v>フェルマー</v>
      </c>
      <c r="C624" s="9">
        <f ca="1">VLOOKUP(A624,[2]characters!$A:$I,9,FALSE)</f>
        <v>5</v>
      </c>
      <c r="D624" s="9" t="str">
        <f ca="1">VLOOKUP(A624,[2]characters!$A:$H,8,FALSE)</f>
        <v>yellow</v>
      </c>
      <c r="E624" s="97">
        <f ca="1">VLOOKUP(D624,[2]属性!$A:$E,2,FALSE)</f>
        <v>0.98</v>
      </c>
      <c r="F624" s="97">
        <f ca="1">VLOOKUP(D624,[2]属性!$A:$E,3,FALSE)</f>
        <v>1.01</v>
      </c>
      <c r="G624" s="97">
        <f ca="1">VLOOKUP(D624,[2]属性!$A:$F,4,FALSE)</f>
        <v>1</v>
      </c>
      <c r="H624" s="9" t="str">
        <f ca="1">VLOOKUP(A624,[2]characters!$A:$K,11,FALSE)</f>
        <v>attack</v>
      </c>
      <c r="I624" s="6" t="str">
        <f ca="1">VLOOKUP(H624,[2]character_type_i18n!$A:$F,3,FALSE)</f>
        <v>攻撃タイプ</v>
      </c>
      <c r="J624" s="97">
        <f ca="1">VLOOKUP(H624,[2]character_type_i18n!$A:$F,4,FALSE)</f>
        <v>1</v>
      </c>
      <c r="K624" s="97">
        <f ca="1">VLOOKUP(H624,[2]character_type_i18n!$A:$F,5,FALSE)</f>
        <v>1.33</v>
      </c>
      <c r="L624" s="97">
        <f ca="1">VLOOKUP(H624,[2]character_type_i18n!$A:$F,6,FALSE)</f>
        <v>1</v>
      </c>
      <c r="M624" s="9" t="str">
        <f ca="1">VLOOKUP(A624,[2]characters!$A:$M,13,FALSE)</f>
        <v>academia</v>
      </c>
      <c r="N624" s="6" t="str">
        <f ca="1">VLOOKUP(M624,[2]character_tribe_i18n!$A:$F,3,FALSE)</f>
        <v>アカデミア</v>
      </c>
      <c r="O624" s="97">
        <f ca="1">VLOOKUP(M624,[2]character_tribe_i18n!$A:$F,4,FALSE)</f>
        <v>1</v>
      </c>
      <c r="P624" s="97">
        <f ca="1">VLOOKUP(M624,[2]character_tribe_i18n!$A:$F,5,FALSE)</f>
        <v>1</v>
      </c>
      <c r="Q624" s="97">
        <f ca="1">VLOOKUP(M624,[2]character_tribe_i18n!$A:$F,6,FALSE)</f>
        <v>1</v>
      </c>
      <c r="R624" s="98" t="s">
        <v>98</v>
      </c>
      <c r="S624" s="97">
        <f>VLOOKUP($R624,ラベル別係数!$A$1:$E$7,3,FALSE)</f>
        <v>5</v>
      </c>
      <c r="T624" s="97">
        <f>VLOOKUP($R624,ラベル別係数!$A$1:$E$7,4,FALSE)</f>
        <v>1.3</v>
      </c>
      <c r="U624" s="97">
        <f>VLOOKUP($R624,ラベル別係数!$A$1:$E$7,5,FALSE)</f>
        <v>0.8</v>
      </c>
      <c r="V624" s="98">
        <v>3</v>
      </c>
      <c r="W624" s="99">
        <f>VLOOKUP(V624,ターン数別攻撃係数!$A$1:$B$1000,2,FALSE)</f>
        <v>1</v>
      </c>
      <c r="X624" s="9">
        <f ca="1">VLOOKUP(C624,サイズ別係数!A$2:B$9,2,FALSE)</f>
        <v>60</v>
      </c>
      <c r="Y624" s="97">
        <f ca="1">VLOOKUP($X624,サイズ別係数!$B:$E,2,FALSE)</f>
        <v>1.7</v>
      </c>
      <c r="Z624" s="97">
        <f ca="1">VLOOKUP($X624,サイズ別係数!$B:$E,3,FALSE)</f>
        <v>1.4</v>
      </c>
      <c r="AA624" s="97">
        <f ca="1">VLOOKUP($X624,サイズ別係数!$B:$E,4,FALSE)</f>
        <v>1</v>
      </c>
      <c r="AB624" s="10">
        <v>0</v>
      </c>
      <c r="AC624" s="6" t="str">
        <f ca="1">VLOOKUP($AB624,OFFSET([3]enemy_skill_sets!$B$2,0,0,COUNTA([3]enemy_skill_sets!$A:$A),MATCH(AC$1,[3]enemy_skill_sets!$1:$1,0)-MATCH($AB$1,[3]enemy_skill_sets!$1:$1,0)+1),MATCH(AC$1,[3]enemy_skill_sets!$1:$1,0)-MATCH($AB$1,[3]enemy_skill_sets!$1:$1,0)+1,FALSE)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4" s="67">
        <v>1</v>
      </c>
      <c r="AE624" s="67">
        <v>1</v>
      </c>
      <c r="AF624" s="68">
        <v>0</v>
      </c>
      <c r="AG624" s="99">
        <f ca="1">ROUND(VLOOKUP(1,enemy_base_stats!$A:$F,2,FALSE) * Y624* J624*O624*E624*S624*AD624*[2]ステータス!$B$2,0)</f>
        <v>4165</v>
      </c>
      <c r="AH624" s="99">
        <f ca="1">ROUND(VLOOKUP(1,enemy_base_stats!$A:$F,3,FALSE) * Z624*K624*P624*F624*T624*AE624 * W624*[2]ステータス!$C$2,0)</f>
        <v>367</v>
      </c>
      <c r="AI624" s="99">
        <f ca="1">ROUND(VLOOKUP(1,enemy_base_stats!$A:$F,4,FALSE) * AA624*L624*Q624*G624*U624*AF624*[2]ステータス!$D$2,0)</f>
        <v>0</v>
      </c>
      <c r="AJ624" s="99">
        <f ca="1">ROUND(VLOOKUP(100,enemy_base_stats!$A:$F,2,FALSE) * Y624* J624*O624*E624*S624*AD624*[2]ステータス!$B$2,0)</f>
        <v>169099</v>
      </c>
      <c r="AK624" s="99">
        <f ca="1">ROUND(VLOOKUP(100,enemy_base_stats!$A:$F,3,FALSE)* Z624* K624*P624*F624*T624*AE624 * W624*[2]ステータス!$C$2,0)</f>
        <v>14889</v>
      </c>
      <c r="AL624" s="99">
        <f ca="1">ROUND(VLOOKUP(100,enemy_base_stats!$A:$F,4,FALSE)* AA624* L624*Q624*G624*U624*AF624*[2]ステータス!$D$2,0)</f>
        <v>0</v>
      </c>
      <c r="AM624" s="97">
        <f ca="1">VLOOKUP(M624,[2]character_tribe_i18n!$A:$I,9,FALSE)</f>
        <v>400</v>
      </c>
      <c r="AN624" s="97">
        <v>0</v>
      </c>
      <c r="AO624" s="98">
        <v>0</v>
      </c>
      <c r="AP624" s="58" t="s">
        <v>72</v>
      </c>
      <c r="AQ624" s="34">
        <f t="shared" ca="1" si="40"/>
        <v>623</v>
      </c>
    </row>
    <row r="625" spans="1:43" ht="21" customHeight="1" x14ac:dyDescent="0.15">
      <c r="A625" s="7">
        <f t="shared" ca="1" si="33"/>
        <v>624</v>
      </c>
      <c r="B625" s="6" t="str">
        <f ca="1">VLOOKUP(A625,[2]characters!$A:$C,3,FALSE)</f>
        <v>挑発の尖駆者 フェルマー</v>
      </c>
      <c r="C625" s="9">
        <f ca="1">VLOOKUP(A625,[2]characters!$A:$I,9,FALSE)</f>
        <v>6</v>
      </c>
      <c r="D625" s="9" t="str">
        <f ca="1">VLOOKUP(A625,[2]characters!$A:$H,8,FALSE)</f>
        <v>yellow</v>
      </c>
      <c r="E625" s="97">
        <f ca="1">VLOOKUP(D625,[2]属性!$A:$E,2,FALSE)</f>
        <v>0.98</v>
      </c>
      <c r="F625" s="97">
        <f ca="1">VLOOKUP(D625,[2]属性!$A:$E,3,FALSE)</f>
        <v>1.01</v>
      </c>
      <c r="G625" s="97">
        <f ca="1">VLOOKUP(D625,[2]属性!$A:$F,4,FALSE)</f>
        <v>1</v>
      </c>
      <c r="H625" s="9" t="str">
        <f ca="1">VLOOKUP(A625,[2]characters!$A:$K,11,FALSE)</f>
        <v>attack</v>
      </c>
      <c r="I625" s="6" t="str">
        <f ca="1">VLOOKUP(H625,[2]character_type_i18n!$A:$F,3,FALSE)</f>
        <v>攻撃タイプ</v>
      </c>
      <c r="J625" s="97">
        <f ca="1">VLOOKUP(H625,[2]character_type_i18n!$A:$F,4,FALSE)</f>
        <v>1</v>
      </c>
      <c r="K625" s="97">
        <f ca="1">VLOOKUP(H625,[2]character_type_i18n!$A:$F,5,FALSE)</f>
        <v>1.33</v>
      </c>
      <c r="L625" s="97">
        <f ca="1">VLOOKUP(H625,[2]character_type_i18n!$A:$F,6,FALSE)</f>
        <v>1</v>
      </c>
      <c r="M625" s="9" t="str">
        <f ca="1">VLOOKUP(A625,[2]characters!$A:$M,13,FALSE)</f>
        <v>academia</v>
      </c>
      <c r="N625" s="6" t="str">
        <f ca="1">VLOOKUP(M625,[2]character_tribe_i18n!$A:$F,3,FALSE)</f>
        <v>アカデミア</v>
      </c>
      <c r="O625" s="97">
        <f ca="1">VLOOKUP(M625,[2]character_tribe_i18n!$A:$F,4,FALSE)</f>
        <v>1</v>
      </c>
      <c r="P625" s="97">
        <f ca="1">VLOOKUP(M625,[2]character_tribe_i18n!$A:$F,5,FALSE)</f>
        <v>1</v>
      </c>
      <c r="Q625" s="97">
        <f ca="1">VLOOKUP(M625,[2]character_tribe_i18n!$A:$F,6,FALSE)</f>
        <v>1</v>
      </c>
      <c r="R625" s="98" t="s">
        <v>98</v>
      </c>
      <c r="S625" s="97">
        <f>VLOOKUP($R625,ラベル別係数!$A$1:$E$7,3,FALSE)</f>
        <v>5</v>
      </c>
      <c r="T625" s="97">
        <f>VLOOKUP($R625,ラベル別係数!$A$1:$E$7,4,FALSE)</f>
        <v>1.3</v>
      </c>
      <c r="U625" s="97">
        <f>VLOOKUP($R625,ラベル別係数!$A$1:$E$7,5,FALSE)</f>
        <v>0.8</v>
      </c>
      <c r="V625" s="98">
        <v>3</v>
      </c>
      <c r="W625" s="99">
        <f>VLOOKUP(V625,ターン数別攻撃係数!$A$1:$B$1000,2,FALSE)</f>
        <v>1</v>
      </c>
      <c r="X625" s="9">
        <f ca="1">VLOOKUP(C625,サイズ別係数!A$2:B$9,2,FALSE)</f>
        <v>60</v>
      </c>
      <c r="Y625" s="97">
        <f ca="1">VLOOKUP($X625,サイズ別係数!$B:$E,2,FALSE)</f>
        <v>1.7</v>
      </c>
      <c r="Z625" s="97">
        <f ca="1">VLOOKUP($X625,サイズ別係数!$B:$E,3,FALSE)</f>
        <v>1.4</v>
      </c>
      <c r="AA625" s="97">
        <f ca="1">VLOOKUP($X625,サイズ別係数!$B:$E,4,FALSE)</f>
        <v>1</v>
      </c>
      <c r="AB625" s="10">
        <v>0</v>
      </c>
      <c r="AC625" s="6" t="str">
        <f ca="1">VLOOKUP($AB625,OFFSET([3]enemy_skill_sets!$B$2,0,0,COUNTA([3]enemy_skill_sets!$A:$A),MATCH(AC$1,[3]enemy_skill_sets!$1:$1,0)-MATCH($AB$1,[3]enemy_skill_sets!$1:$1,0)+1),MATCH(AC$1,[3]enemy_skill_sets!$1:$1,0)-MATCH($AB$1,[3]enemy_skill_sets!$1:$1,0)+1,FALSE)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5" s="67">
        <v>1</v>
      </c>
      <c r="AE625" s="67">
        <v>1</v>
      </c>
      <c r="AF625" s="68">
        <v>0</v>
      </c>
      <c r="AG625" s="99">
        <f ca="1">ROUND(VLOOKUP(1,enemy_base_stats!$A:$F,2,FALSE) * Y625* J625*O625*E625*S625*AD625*[2]ステータス!$B$2,0)</f>
        <v>4165</v>
      </c>
      <c r="AH625" s="99">
        <f ca="1">ROUND(VLOOKUP(1,enemy_base_stats!$A:$F,3,FALSE) * Z625*K625*P625*F625*T625*AE625 * W625*[2]ステータス!$C$2,0)</f>
        <v>367</v>
      </c>
      <c r="AI625" s="99">
        <f ca="1">ROUND(VLOOKUP(1,enemy_base_stats!$A:$F,4,FALSE) * AA625*L625*Q625*G625*U625*AF625*[2]ステータス!$D$2,0)</f>
        <v>0</v>
      </c>
      <c r="AJ625" s="99">
        <f ca="1">ROUND(VLOOKUP(100,enemy_base_stats!$A:$F,2,FALSE) * Y625* J625*O625*E625*S625*AD625*[2]ステータス!$B$2,0)</f>
        <v>169099</v>
      </c>
      <c r="AK625" s="99">
        <f ca="1">ROUND(VLOOKUP(100,enemy_base_stats!$A:$F,3,FALSE)* Z625* K625*P625*F625*T625*AE625 * W625*[2]ステータス!$C$2,0)</f>
        <v>14889</v>
      </c>
      <c r="AL625" s="99">
        <f ca="1">ROUND(VLOOKUP(100,enemy_base_stats!$A:$F,4,FALSE)* AA625* L625*Q625*G625*U625*AF625*[2]ステータス!$D$2,0)</f>
        <v>0</v>
      </c>
      <c r="AM625" s="97">
        <f ca="1">VLOOKUP(M625,[2]character_tribe_i18n!$A:$I,9,FALSE)</f>
        <v>400</v>
      </c>
      <c r="AN625" s="97">
        <v>0</v>
      </c>
      <c r="AO625" s="98">
        <v>0</v>
      </c>
      <c r="AP625" s="58" t="s">
        <v>72</v>
      </c>
      <c r="AQ625" s="34">
        <f t="shared" ca="1" si="40"/>
        <v>624</v>
      </c>
    </row>
    <row r="626" spans="1:43" ht="21" customHeight="1" x14ac:dyDescent="0.15">
      <c r="A626" s="7">
        <f t="shared" ca="1" si="33"/>
        <v>625</v>
      </c>
      <c r="B626" s="6" t="str">
        <f ca="1">VLOOKUP(A626,[2]characters!$A:$C,3,FALSE)</f>
        <v>デカルト</v>
      </c>
      <c r="C626" s="9">
        <f ca="1">VLOOKUP(A626,[2]characters!$A:$I,9,FALSE)</f>
        <v>4</v>
      </c>
      <c r="D626" s="9" t="str">
        <f ca="1">VLOOKUP(A626,[2]characters!$A:$H,8,FALSE)</f>
        <v>green</v>
      </c>
      <c r="E626" s="97">
        <f ca="1">VLOOKUP(D626,[2]属性!$A:$E,2,FALSE)</f>
        <v>1.02</v>
      </c>
      <c r="F626" s="97">
        <f ca="1">VLOOKUP(D626,[2]属性!$A:$E,3,FALSE)</f>
        <v>0.98</v>
      </c>
      <c r="G626" s="97">
        <f ca="1">VLOOKUP(D626,[2]属性!$A:$F,4,FALSE)</f>
        <v>1</v>
      </c>
      <c r="H626" s="9" t="str">
        <f ca="1">VLOOKUP(A626,[2]characters!$A:$K,11,FALSE)</f>
        <v>attack</v>
      </c>
      <c r="I626" s="6" t="str">
        <f ca="1">VLOOKUP(H626,[2]character_type_i18n!$A:$F,3,FALSE)</f>
        <v>攻撃タイプ</v>
      </c>
      <c r="J626" s="97">
        <f ca="1">VLOOKUP(H626,[2]character_type_i18n!$A:$F,4,FALSE)</f>
        <v>1</v>
      </c>
      <c r="K626" s="97">
        <f ca="1">VLOOKUP(H626,[2]character_type_i18n!$A:$F,5,FALSE)</f>
        <v>1.33</v>
      </c>
      <c r="L626" s="97">
        <f ca="1">VLOOKUP(H626,[2]character_type_i18n!$A:$F,6,FALSE)</f>
        <v>1</v>
      </c>
      <c r="M626" s="9" t="str">
        <f ca="1">VLOOKUP(A626,[2]characters!$A:$M,13,FALSE)</f>
        <v>human</v>
      </c>
      <c r="N626" s="6" t="str">
        <f ca="1">VLOOKUP(M626,[2]character_tribe_i18n!$A:$F,3,FALSE)</f>
        <v>ヒューマン</v>
      </c>
      <c r="O626" s="97">
        <f ca="1">VLOOKUP(M626,[2]character_tribe_i18n!$A:$F,4,FALSE)</f>
        <v>0.94</v>
      </c>
      <c r="P626" s="97">
        <f ca="1">VLOOKUP(M626,[2]character_tribe_i18n!$A:$F,5,FALSE)</f>
        <v>0.99</v>
      </c>
      <c r="Q626" s="97">
        <f ca="1">VLOOKUP(M626,[2]character_tribe_i18n!$A:$F,6,FALSE)</f>
        <v>1</v>
      </c>
      <c r="R626" s="98" t="s">
        <v>98</v>
      </c>
      <c r="S626" s="97">
        <f>VLOOKUP($R626,ラベル別係数!$A$1:$E$7,3,FALSE)</f>
        <v>5</v>
      </c>
      <c r="T626" s="97">
        <f>VLOOKUP($R626,ラベル別係数!$A$1:$E$7,4,FALSE)</f>
        <v>1.3</v>
      </c>
      <c r="U626" s="97">
        <f>VLOOKUP($R626,ラベル別係数!$A$1:$E$7,5,FALSE)</f>
        <v>0.8</v>
      </c>
      <c r="V626" s="98">
        <v>3</v>
      </c>
      <c r="W626" s="99">
        <f>VLOOKUP(V626,ターン数別攻撃係数!$A$1:$B$1000,2,FALSE)</f>
        <v>1</v>
      </c>
      <c r="X626" s="9">
        <f ca="1">VLOOKUP(C626,サイズ別係数!A$2:B$9,2,FALSE)</f>
        <v>30</v>
      </c>
      <c r="Y626" s="97">
        <f ca="1">VLOOKUP($X626,サイズ別係数!$B:$E,2,FALSE)</f>
        <v>1.3</v>
      </c>
      <c r="Z626" s="97">
        <f ca="1">VLOOKUP($X626,サイズ別係数!$B:$E,3,FALSE)</f>
        <v>1.3</v>
      </c>
      <c r="AA626" s="97">
        <f ca="1">VLOOKUP($X626,サイズ別係数!$B:$E,4,FALSE)</f>
        <v>1.1000000000000001</v>
      </c>
      <c r="AB626" s="10">
        <v>0</v>
      </c>
      <c r="AC626" s="6" t="str">
        <f ca="1">VLOOKUP($AB626,OFFSET([3]enemy_skill_sets!$B$2,0,0,COUNTA([3]enemy_skill_sets!$A:$A),MATCH(AC$1,[3]enemy_skill_sets!$1:$1,0)-MATCH($AB$1,[3]enemy_skill_sets!$1:$1,0)+1),MATCH(AC$1,[3]enemy_skill_sets!$1:$1,0)-MATCH($AB$1,[3]enemy_skill_sets!$1:$1,0)+1,FALSE)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6" s="67">
        <v>1</v>
      </c>
      <c r="AE626" s="67">
        <v>1</v>
      </c>
      <c r="AF626" s="68">
        <v>0</v>
      </c>
      <c r="AG626" s="99">
        <f ca="1">ROUND(VLOOKUP(1,enemy_base_stats!$A:$F,2,FALSE) * Y626* J626*O626*E626*S626*AD626*[2]ステータス!$B$2,0)</f>
        <v>3116</v>
      </c>
      <c r="AH626" s="99">
        <f ca="1">ROUND(VLOOKUP(1,enemy_base_stats!$A:$F,3,FALSE) * Z626*K626*P626*F626*T626*AE626 * W626*[2]ステータス!$C$2,0)</f>
        <v>327</v>
      </c>
      <c r="AI626" s="99">
        <f ca="1">ROUND(VLOOKUP(1,enemy_base_stats!$A:$F,4,FALSE) * AA626*L626*Q626*G626*U626*AF626*[2]ステータス!$D$2,0)</f>
        <v>0</v>
      </c>
      <c r="AJ626" s="99">
        <f ca="1">ROUND(VLOOKUP(100,enemy_base_stats!$A:$F,2,FALSE) * Y626* J626*O626*E626*S626*AD626*[2]ステータス!$B$2,0)</f>
        <v>126514</v>
      </c>
      <c r="AK626" s="99">
        <f ca="1">ROUND(VLOOKUP(100,enemy_base_stats!$A:$F,3,FALSE)* Z626* K626*P626*F626*T626*AE626 * W626*[2]ステータス!$C$2,0)</f>
        <v>13281</v>
      </c>
      <c r="AL626" s="99">
        <f ca="1">ROUND(VLOOKUP(100,enemy_base_stats!$A:$F,4,FALSE)* AA626* L626*Q626*G626*U626*AF626*[2]ステータス!$D$2,0)</f>
        <v>0</v>
      </c>
      <c r="AM626" s="97">
        <f ca="1">VLOOKUP(M626,[2]character_tribe_i18n!$A:$I,9,FALSE)</f>
        <v>400</v>
      </c>
      <c r="AN626" s="97">
        <v>0</v>
      </c>
      <c r="AO626" s="98">
        <v>0</v>
      </c>
      <c r="AP626" s="58" t="s">
        <v>72</v>
      </c>
      <c r="AQ626" s="34">
        <f t="shared" ca="1" si="40"/>
        <v>625</v>
      </c>
    </row>
    <row r="627" spans="1:43" ht="21" customHeight="1" x14ac:dyDescent="0.15">
      <c r="A627" s="7">
        <f t="shared" ca="1" si="33"/>
        <v>626</v>
      </c>
      <c r="B627" s="6" t="str">
        <f ca="1">VLOOKUP(A627,[2]characters!$A:$C,3,FALSE)</f>
        <v>デカルト</v>
      </c>
      <c r="C627" s="9">
        <f ca="1">VLOOKUP(A627,[2]characters!$A:$I,9,FALSE)</f>
        <v>5</v>
      </c>
      <c r="D627" s="9" t="str">
        <f ca="1">VLOOKUP(A627,[2]characters!$A:$H,8,FALSE)</f>
        <v>green</v>
      </c>
      <c r="E627" s="97">
        <f ca="1">VLOOKUP(D627,[2]属性!$A:$E,2,FALSE)</f>
        <v>1.02</v>
      </c>
      <c r="F627" s="97">
        <f ca="1">VLOOKUP(D627,[2]属性!$A:$E,3,FALSE)</f>
        <v>0.98</v>
      </c>
      <c r="G627" s="97">
        <f ca="1">VLOOKUP(D627,[2]属性!$A:$F,4,FALSE)</f>
        <v>1</v>
      </c>
      <c r="H627" s="9" t="str">
        <f ca="1">VLOOKUP(A627,[2]characters!$A:$K,11,FALSE)</f>
        <v>attack</v>
      </c>
      <c r="I627" s="6" t="str">
        <f ca="1">VLOOKUP(H627,[2]character_type_i18n!$A:$F,3,FALSE)</f>
        <v>攻撃タイプ</v>
      </c>
      <c r="J627" s="97">
        <f ca="1">VLOOKUP(H627,[2]character_type_i18n!$A:$F,4,FALSE)</f>
        <v>1</v>
      </c>
      <c r="K627" s="97">
        <f ca="1">VLOOKUP(H627,[2]character_type_i18n!$A:$F,5,FALSE)</f>
        <v>1.33</v>
      </c>
      <c r="L627" s="97">
        <f ca="1">VLOOKUP(H627,[2]character_type_i18n!$A:$F,6,FALSE)</f>
        <v>1</v>
      </c>
      <c r="M627" s="9" t="str">
        <f ca="1">VLOOKUP(A627,[2]characters!$A:$M,13,FALSE)</f>
        <v>human</v>
      </c>
      <c r="N627" s="6" t="str">
        <f ca="1">VLOOKUP(M627,[2]character_tribe_i18n!$A:$F,3,FALSE)</f>
        <v>ヒューマン</v>
      </c>
      <c r="O627" s="97">
        <f ca="1">VLOOKUP(M627,[2]character_tribe_i18n!$A:$F,4,FALSE)</f>
        <v>0.94</v>
      </c>
      <c r="P627" s="97">
        <f ca="1">VLOOKUP(M627,[2]character_tribe_i18n!$A:$F,5,FALSE)</f>
        <v>0.99</v>
      </c>
      <c r="Q627" s="97">
        <f ca="1">VLOOKUP(M627,[2]character_tribe_i18n!$A:$F,6,FALSE)</f>
        <v>1</v>
      </c>
      <c r="R627" s="98" t="s">
        <v>98</v>
      </c>
      <c r="S627" s="97">
        <f>VLOOKUP($R627,ラベル別係数!$A$1:$E$7,3,FALSE)</f>
        <v>5</v>
      </c>
      <c r="T627" s="97">
        <f>VLOOKUP($R627,ラベル別係数!$A$1:$E$7,4,FALSE)</f>
        <v>1.3</v>
      </c>
      <c r="U627" s="97">
        <f>VLOOKUP($R627,ラベル別係数!$A$1:$E$7,5,FALSE)</f>
        <v>0.8</v>
      </c>
      <c r="V627" s="98">
        <v>3</v>
      </c>
      <c r="W627" s="99">
        <f>VLOOKUP(V627,ターン数別攻撃係数!$A$1:$B$1000,2,FALSE)</f>
        <v>1</v>
      </c>
      <c r="X627" s="9">
        <f ca="1">VLOOKUP(C627,サイズ別係数!A$2:B$9,2,FALSE)</f>
        <v>60</v>
      </c>
      <c r="Y627" s="97">
        <f ca="1">VLOOKUP($X627,サイズ別係数!$B:$E,2,FALSE)</f>
        <v>1.7</v>
      </c>
      <c r="Z627" s="97">
        <f ca="1">VLOOKUP($X627,サイズ別係数!$B:$E,3,FALSE)</f>
        <v>1.4</v>
      </c>
      <c r="AA627" s="97">
        <f ca="1">VLOOKUP($X627,サイズ別係数!$B:$E,4,FALSE)</f>
        <v>1</v>
      </c>
      <c r="AB627" s="10">
        <v>0</v>
      </c>
      <c r="AC627" s="6" t="str">
        <f ca="1">VLOOKUP($AB627,OFFSET([3]enemy_skill_sets!$B$2,0,0,COUNTA([3]enemy_skill_sets!$A:$A),MATCH(AC$1,[3]enemy_skill_sets!$1:$1,0)-MATCH($AB$1,[3]enemy_skill_sets!$1:$1,0)+1),MATCH(AC$1,[3]enemy_skill_sets!$1:$1,0)-MATCH($AB$1,[3]enemy_skill_sets!$1:$1,0)+1,FALSE)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7" s="67">
        <v>1</v>
      </c>
      <c r="AE627" s="67">
        <v>1</v>
      </c>
      <c r="AF627" s="68">
        <v>0</v>
      </c>
      <c r="AG627" s="99">
        <f ca="1">ROUND(VLOOKUP(1,enemy_base_stats!$A:$F,2,FALSE) * Y627* J627*O627*E627*S627*AD627*[2]ステータス!$B$2,0)</f>
        <v>4075</v>
      </c>
      <c r="AH627" s="99">
        <f ca="1">ROUND(VLOOKUP(1,enemy_base_stats!$A:$F,3,FALSE) * Z627*K627*P627*F627*T627*AE627 * W627*[2]ステータス!$C$2,0)</f>
        <v>352</v>
      </c>
      <c r="AI627" s="99">
        <f ca="1">ROUND(VLOOKUP(1,enemy_base_stats!$A:$F,4,FALSE) * AA627*L627*Q627*G627*U627*AF627*[2]ステータス!$D$2,0)</f>
        <v>0</v>
      </c>
      <c r="AJ627" s="99">
        <f ca="1">ROUND(VLOOKUP(100,enemy_base_stats!$A:$F,2,FALSE) * Y627* J627*O627*E627*S627*AD627*[2]ステータス!$B$2,0)</f>
        <v>165441</v>
      </c>
      <c r="AK627" s="99">
        <f ca="1">ROUND(VLOOKUP(100,enemy_base_stats!$A:$F,3,FALSE)* Z627* K627*P627*F627*T627*AE627 * W627*[2]ステータス!$C$2,0)</f>
        <v>14302</v>
      </c>
      <c r="AL627" s="99">
        <f ca="1">ROUND(VLOOKUP(100,enemy_base_stats!$A:$F,4,FALSE)* AA627* L627*Q627*G627*U627*AF627*[2]ステータス!$D$2,0)</f>
        <v>0</v>
      </c>
      <c r="AM627" s="97">
        <f ca="1">VLOOKUP(M627,[2]character_tribe_i18n!$A:$I,9,FALSE)</f>
        <v>400</v>
      </c>
      <c r="AN627" s="97">
        <v>0</v>
      </c>
      <c r="AO627" s="98">
        <v>0</v>
      </c>
      <c r="AP627" s="58" t="s">
        <v>72</v>
      </c>
      <c r="AQ627" s="34">
        <f t="shared" ca="1" si="40"/>
        <v>626</v>
      </c>
    </row>
    <row r="628" spans="1:43" ht="21" customHeight="1" x14ac:dyDescent="0.15">
      <c r="A628" s="7">
        <f t="shared" ca="1" si="33"/>
        <v>627</v>
      </c>
      <c r="B628" s="6" t="str">
        <f ca="1">VLOOKUP(A628,[2]characters!$A:$C,3,FALSE)</f>
        <v>メガラニカ</v>
      </c>
      <c r="C628" s="9">
        <f ca="1">VLOOKUP(A628,[2]characters!$A:$I,9,FALSE)</f>
        <v>5</v>
      </c>
      <c r="D628" s="9" t="str">
        <f ca="1">VLOOKUP(A628,[2]characters!$A:$H,8,FALSE)</f>
        <v>green</v>
      </c>
      <c r="E628" s="97">
        <f ca="1">VLOOKUP(D628,[2]属性!$A:$E,2,FALSE)</f>
        <v>1.02</v>
      </c>
      <c r="F628" s="97">
        <f ca="1">VLOOKUP(D628,[2]属性!$A:$E,3,FALSE)</f>
        <v>0.98</v>
      </c>
      <c r="G628" s="97">
        <f ca="1">VLOOKUP(D628,[2]属性!$A:$F,4,FALSE)</f>
        <v>1</v>
      </c>
      <c r="H628" s="9" t="str">
        <f ca="1">VLOOKUP(A628,[2]characters!$A:$K,11,FALSE)</f>
        <v>balance</v>
      </c>
      <c r="I628" s="6" t="str">
        <f ca="1">VLOOKUP(H628,[2]character_type_i18n!$A:$F,3,FALSE)</f>
        <v>バランスタイプ</v>
      </c>
      <c r="J628" s="97">
        <f ca="1">VLOOKUP(H628,[2]character_type_i18n!$A:$F,4,FALSE)</f>
        <v>1</v>
      </c>
      <c r="K628" s="97">
        <f ca="1">VLOOKUP(H628,[2]character_type_i18n!$A:$F,5,FALSE)</f>
        <v>1</v>
      </c>
      <c r="L628" s="97">
        <f ca="1">VLOOKUP(H628,[2]character_type_i18n!$A:$F,6,FALSE)</f>
        <v>1</v>
      </c>
      <c r="M628" s="9" t="str">
        <f ca="1">VLOOKUP(A628,[2]characters!$A:$M,13,FALSE)</f>
        <v>animal</v>
      </c>
      <c r="N628" s="6" t="str">
        <f ca="1">VLOOKUP(M628,[2]character_tribe_i18n!$A:$F,3,FALSE)</f>
        <v>アニマル</v>
      </c>
      <c r="O628" s="97">
        <f ca="1">VLOOKUP(M628,[2]character_tribe_i18n!$A:$F,4,FALSE)</f>
        <v>1</v>
      </c>
      <c r="P628" s="97">
        <f ca="1">VLOOKUP(M628,[2]character_tribe_i18n!$A:$F,5,FALSE)</f>
        <v>1.1000000000000001</v>
      </c>
      <c r="Q628" s="97">
        <f ca="1">VLOOKUP(M628,[2]character_tribe_i18n!$A:$F,6,FALSE)</f>
        <v>1</v>
      </c>
      <c r="R628" s="98" t="s">
        <v>98</v>
      </c>
      <c r="S628" s="97">
        <f>VLOOKUP($R628,ラベル別係数!$A$1:$E$7,3,FALSE)</f>
        <v>5</v>
      </c>
      <c r="T628" s="97">
        <f>VLOOKUP($R628,ラベル別係数!$A$1:$E$7,4,FALSE)</f>
        <v>1.3</v>
      </c>
      <c r="U628" s="97">
        <f>VLOOKUP($R628,ラベル別係数!$A$1:$E$7,5,FALSE)</f>
        <v>0.8</v>
      </c>
      <c r="V628" s="98">
        <v>3</v>
      </c>
      <c r="W628" s="99">
        <f>VLOOKUP(V628,ターン数別攻撃係数!$A$1:$B$1000,2,FALSE)</f>
        <v>1</v>
      </c>
      <c r="X628" s="9">
        <f ca="1">VLOOKUP(C628,サイズ別係数!A$2:B$9,2,FALSE)</f>
        <v>60</v>
      </c>
      <c r="Y628" s="97">
        <f ca="1">VLOOKUP($X628,サイズ別係数!$B:$E,2,FALSE)</f>
        <v>1.7</v>
      </c>
      <c r="Z628" s="97">
        <f ca="1">VLOOKUP($X628,サイズ別係数!$B:$E,3,FALSE)</f>
        <v>1.4</v>
      </c>
      <c r="AA628" s="97">
        <f ca="1">VLOOKUP($X628,サイズ別係数!$B:$E,4,FALSE)</f>
        <v>1</v>
      </c>
      <c r="AB628" s="10">
        <v>0</v>
      </c>
      <c r="AC628" s="6" t="str">
        <f ca="1">VLOOKUP($AB628,OFFSET([3]enemy_skill_sets!$B$2,0,0,COUNTA([3]enemy_skill_sets!$A:$A),MATCH(AC$1,[3]enemy_skill_sets!$1:$1,0)-MATCH($AB$1,[3]enemy_skill_sets!$1:$1,0)+1),MATCH(AC$1,[3]enemy_skill_sets!$1:$1,0)-MATCH($AB$1,[3]enemy_skill_sets!$1:$1,0)+1,FALSE)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8" s="67">
        <v>1</v>
      </c>
      <c r="AE628" s="67">
        <v>1</v>
      </c>
      <c r="AF628" s="68">
        <v>0</v>
      </c>
      <c r="AG628" s="99">
        <f ca="1">ROUND(VLOOKUP(1,enemy_base_stats!$A:$F,2,FALSE) * Y628* J628*O628*E628*S628*AD628*[2]ステータス!$B$2,0)</f>
        <v>4335</v>
      </c>
      <c r="AH628" s="99">
        <f ca="1">ROUND(VLOOKUP(1,enemy_base_stats!$A:$F,3,FALSE) * Z628*K628*P628*F628*T628*AE628 * W628*[2]ステータス!$C$2,0)</f>
        <v>294</v>
      </c>
      <c r="AI628" s="99">
        <f ca="1">ROUND(VLOOKUP(1,enemy_base_stats!$A:$F,4,FALSE) * AA628*L628*Q628*G628*U628*AF628*[2]ステータス!$D$2,0)</f>
        <v>0</v>
      </c>
      <c r="AJ628" s="99">
        <f ca="1">ROUND(VLOOKUP(100,enemy_base_stats!$A:$F,2,FALSE) * Y628* J628*O628*E628*S628*AD628*[2]ステータス!$B$2,0)</f>
        <v>176001</v>
      </c>
      <c r="AK628" s="99">
        <f ca="1">ROUND(VLOOKUP(100,enemy_base_stats!$A:$F,3,FALSE)* Z628* K628*P628*F628*T628*AE628 * W628*[2]ステータス!$C$2,0)</f>
        <v>11948</v>
      </c>
      <c r="AL628" s="99">
        <f ca="1">ROUND(VLOOKUP(100,enemy_base_stats!$A:$F,4,FALSE)* AA628* L628*Q628*G628*U628*AF628*[2]ステータス!$D$2,0)</f>
        <v>0</v>
      </c>
      <c r="AM628" s="97">
        <f ca="1">VLOOKUP(M628,[2]character_tribe_i18n!$A:$I,9,FALSE)</f>
        <v>480</v>
      </c>
      <c r="AN628" s="97">
        <v>0</v>
      </c>
      <c r="AO628" s="98">
        <v>0</v>
      </c>
      <c r="AP628" s="58" t="s">
        <v>72</v>
      </c>
      <c r="AQ628" s="34">
        <f t="shared" ca="1" si="40"/>
        <v>627</v>
      </c>
    </row>
    <row r="629" spans="1:43" ht="21" customHeight="1" x14ac:dyDescent="0.15">
      <c r="A629" s="7">
        <f t="shared" ca="1" si="33"/>
        <v>628</v>
      </c>
      <c r="B629" s="6" t="str">
        <f ca="1">VLOOKUP(A629,[2]characters!$A:$C,3,FALSE)</f>
        <v>玄装の指南隊 メガラニカ</v>
      </c>
      <c r="C629" s="9">
        <f ca="1">VLOOKUP(A629,[2]characters!$A:$I,9,FALSE)</f>
        <v>6</v>
      </c>
      <c r="D629" s="9" t="str">
        <f ca="1">VLOOKUP(A629,[2]characters!$A:$H,8,FALSE)</f>
        <v>green</v>
      </c>
      <c r="E629" s="97">
        <f ca="1">VLOOKUP(D629,[2]属性!$A:$E,2,FALSE)</f>
        <v>1.02</v>
      </c>
      <c r="F629" s="97">
        <f ca="1">VLOOKUP(D629,[2]属性!$A:$E,3,FALSE)</f>
        <v>0.98</v>
      </c>
      <c r="G629" s="97">
        <f ca="1">VLOOKUP(D629,[2]属性!$A:$F,4,FALSE)</f>
        <v>1</v>
      </c>
      <c r="H629" s="9" t="str">
        <f ca="1">VLOOKUP(A629,[2]characters!$A:$K,11,FALSE)</f>
        <v>balance</v>
      </c>
      <c r="I629" s="6" t="str">
        <f ca="1">VLOOKUP(H629,[2]character_type_i18n!$A:$F,3,FALSE)</f>
        <v>バランスタイプ</v>
      </c>
      <c r="J629" s="97">
        <f ca="1">VLOOKUP(H629,[2]character_type_i18n!$A:$F,4,FALSE)</f>
        <v>1</v>
      </c>
      <c r="K629" s="97">
        <f ca="1">VLOOKUP(H629,[2]character_type_i18n!$A:$F,5,FALSE)</f>
        <v>1</v>
      </c>
      <c r="L629" s="97">
        <f ca="1">VLOOKUP(H629,[2]character_type_i18n!$A:$F,6,FALSE)</f>
        <v>1</v>
      </c>
      <c r="M629" s="9" t="str">
        <f ca="1">VLOOKUP(A629,[2]characters!$A:$M,13,FALSE)</f>
        <v>animal</v>
      </c>
      <c r="N629" s="6" t="str">
        <f ca="1">VLOOKUP(M629,[2]character_tribe_i18n!$A:$F,3,FALSE)</f>
        <v>アニマル</v>
      </c>
      <c r="O629" s="97">
        <f ca="1">VLOOKUP(M629,[2]character_tribe_i18n!$A:$F,4,FALSE)</f>
        <v>1</v>
      </c>
      <c r="P629" s="97">
        <f ca="1">VLOOKUP(M629,[2]character_tribe_i18n!$A:$F,5,FALSE)</f>
        <v>1.1000000000000001</v>
      </c>
      <c r="Q629" s="97">
        <f ca="1">VLOOKUP(M629,[2]character_tribe_i18n!$A:$F,6,FALSE)</f>
        <v>1</v>
      </c>
      <c r="R629" s="98" t="s">
        <v>98</v>
      </c>
      <c r="S629" s="97">
        <f>VLOOKUP($R629,ラベル別係数!$A$1:$E$7,3,FALSE)</f>
        <v>5</v>
      </c>
      <c r="T629" s="97">
        <f>VLOOKUP($R629,ラベル別係数!$A$1:$E$7,4,FALSE)</f>
        <v>1.3</v>
      </c>
      <c r="U629" s="97">
        <f>VLOOKUP($R629,ラベル別係数!$A$1:$E$7,5,FALSE)</f>
        <v>0.8</v>
      </c>
      <c r="V629" s="98">
        <v>3</v>
      </c>
      <c r="W629" s="99">
        <f>VLOOKUP(V629,ターン数別攻撃係数!$A$1:$B$1000,2,FALSE)</f>
        <v>1</v>
      </c>
      <c r="X629" s="9">
        <f ca="1">VLOOKUP(C629,サイズ別係数!A$2:B$9,2,FALSE)</f>
        <v>60</v>
      </c>
      <c r="Y629" s="97">
        <f ca="1">VLOOKUP($X629,サイズ別係数!$B:$E,2,FALSE)</f>
        <v>1.7</v>
      </c>
      <c r="Z629" s="97">
        <f ca="1">VLOOKUP($X629,サイズ別係数!$B:$E,3,FALSE)</f>
        <v>1.4</v>
      </c>
      <c r="AA629" s="97">
        <f ca="1">VLOOKUP($X629,サイズ別係数!$B:$E,4,FALSE)</f>
        <v>1</v>
      </c>
      <c r="AB629" s="10">
        <v>0</v>
      </c>
      <c r="AC629" s="6" t="str">
        <f ca="1">VLOOKUP($AB629,OFFSET([3]enemy_skill_sets!$B$2,0,0,COUNTA([3]enemy_skill_sets!$A:$A),MATCH(AC$1,[3]enemy_skill_sets!$1:$1,0)-MATCH($AB$1,[3]enemy_skill_sets!$1:$1,0)+1),MATCH(AC$1,[3]enemy_skill_sets!$1:$1,0)-MATCH($AB$1,[3]enemy_skill_sets!$1:$1,0)+1,FALSE)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29" s="67">
        <v>1</v>
      </c>
      <c r="AE629" s="67">
        <v>1</v>
      </c>
      <c r="AF629" s="68">
        <v>0</v>
      </c>
      <c r="AG629" s="99">
        <f ca="1">ROUND(VLOOKUP(1,enemy_base_stats!$A:$F,2,FALSE) * Y629* J629*O629*E629*S629*AD629*[2]ステータス!$B$2,0)</f>
        <v>4335</v>
      </c>
      <c r="AH629" s="99">
        <f ca="1">ROUND(VLOOKUP(1,enemy_base_stats!$A:$F,3,FALSE) * Z629*K629*P629*F629*T629*AE629 * W629*[2]ステータス!$C$2,0)</f>
        <v>294</v>
      </c>
      <c r="AI629" s="99">
        <f ca="1">ROUND(VLOOKUP(1,enemy_base_stats!$A:$F,4,FALSE) * AA629*L629*Q629*G629*U629*AF629*[2]ステータス!$D$2,0)</f>
        <v>0</v>
      </c>
      <c r="AJ629" s="99">
        <f ca="1">ROUND(VLOOKUP(100,enemy_base_stats!$A:$F,2,FALSE) * Y629* J629*O629*E629*S629*AD629*[2]ステータス!$B$2,0)</f>
        <v>176001</v>
      </c>
      <c r="AK629" s="99">
        <f ca="1">ROUND(VLOOKUP(100,enemy_base_stats!$A:$F,3,FALSE)* Z629* K629*P629*F629*T629*AE629 * W629*[2]ステータス!$C$2,0)</f>
        <v>11948</v>
      </c>
      <c r="AL629" s="99">
        <f ca="1">ROUND(VLOOKUP(100,enemy_base_stats!$A:$F,4,FALSE)* AA629* L629*Q629*G629*U629*AF629*[2]ステータス!$D$2,0)</f>
        <v>0</v>
      </c>
      <c r="AM629" s="97">
        <f ca="1">VLOOKUP(M629,[2]character_tribe_i18n!$A:$I,9,FALSE)</f>
        <v>480</v>
      </c>
      <c r="AN629" s="97">
        <v>0</v>
      </c>
      <c r="AO629" s="98">
        <v>0</v>
      </c>
      <c r="AP629" s="58" t="s">
        <v>72</v>
      </c>
      <c r="AQ629" s="34">
        <f t="shared" ca="1" si="40"/>
        <v>628</v>
      </c>
    </row>
    <row r="630" spans="1:43" ht="21" customHeight="1" x14ac:dyDescent="0.15">
      <c r="A630" s="7">
        <f t="shared" ca="1" si="33"/>
        <v>629</v>
      </c>
      <c r="B630" s="6" t="str">
        <f ca="1">VLOOKUP(A630,[2]characters!$A:$C,3,FALSE)</f>
        <v>チャリオット</v>
      </c>
      <c r="C630" s="9">
        <f ca="1">VLOOKUP(A630,[2]characters!$A:$I,9,FALSE)</f>
        <v>5</v>
      </c>
      <c r="D630" s="9" t="str">
        <f ca="1">VLOOKUP(A630,[2]characters!$A:$H,8,FALSE)</f>
        <v>blue</v>
      </c>
      <c r="E630" s="97">
        <f ca="1">VLOOKUP(D630,[2]属性!$A:$E,2,FALSE)</f>
        <v>1</v>
      </c>
      <c r="F630" s="97">
        <f ca="1">VLOOKUP(D630,[2]属性!$A:$E,3,FALSE)</f>
        <v>0.98</v>
      </c>
      <c r="G630" s="97">
        <f ca="1">VLOOKUP(D630,[2]属性!$A:$F,4,FALSE)</f>
        <v>1</v>
      </c>
      <c r="H630" s="9" t="str">
        <f ca="1">VLOOKUP(A630,[2]characters!$A:$K,11,FALSE)</f>
        <v>hp</v>
      </c>
      <c r="I630" s="6" t="str">
        <f ca="1">VLOOKUP(H630,[2]character_type_i18n!$A:$F,3,FALSE)</f>
        <v>体力タイプ</v>
      </c>
      <c r="J630" s="97">
        <f ca="1">VLOOKUP(H630,[2]character_type_i18n!$A:$F,4,FALSE)</f>
        <v>1.45</v>
      </c>
      <c r="K630" s="97">
        <f ca="1">VLOOKUP(H630,[2]character_type_i18n!$A:$F,5,FALSE)</f>
        <v>0.85</v>
      </c>
      <c r="L630" s="97">
        <f ca="1">VLOOKUP(H630,[2]character_type_i18n!$A:$F,6,FALSE)</f>
        <v>1</v>
      </c>
      <c r="M630" s="9" t="str">
        <f ca="1">VLOOKUP(A630,[2]characters!$A:$M,13,FALSE)</f>
        <v>god</v>
      </c>
      <c r="N630" s="6" t="str">
        <f ca="1">VLOOKUP(M630,[2]character_tribe_i18n!$A:$F,3,FALSE)</f>
        <v>ゴッド</v>
      </c>
      <c r="O630" s="97">
        <f ca="1">VLOOKUP(M630,[2]character_tribe_i18n!$A:$F,4,FALSE)</f>
        <v>0.96</v>
      </c>
      <c r="P630" s="97">
        <f ca="1">VLOOKUP(M630,[2]character_tribe_i18n!$A:$F,5,FALSE)</f>
        <v>1.02</v>
      </c>
      <c r="Q630" s="97">
        <f ca="1">VLOOKUP(M630,[2]character_tribe_i18n!$A:$F,6,FALSE)</f>
        <v>1</v>
      </c>
      <c r="R630" s="98" t="s">
        <v>98</v>
      </c>
      <c r="S630" s="97">
        <f>VLOOKUP($R630,ラベル別係数!$A$1:$E$7,3,FALSE)</f>
        <v>5</v>
      </c>
      <c r="T630" s="97">
        <f>VLOOKUP($R630,ラベル別係数!$A$1:$E$7,4,FALSE)</f>
        <v>1.3</v>
      </c>
      <c r="U630" s="97">
        <f>VLOOKUP($R630,ラベル別係数!$A$1:$E$7,5,FALSE)</f>
        <v>0.8</v>
      </c>
      <c r="V630" s="98">
        <v>3</v>
      </c>
      <c r="W630" s="99">
        <f>VLOOKUP(V630,ターン数別攻撃係数!$A$1:$B$1000,2,FALSE)</f>
        <v>1</v>
      </c>
      <c r="X630" s="9">
        <f ca="1">VLOOKUP(C630,サイズ別係数!A$2:B$9,2,FALSE)</f>
        <v>60</v>
      </c>
      <c r="Y630" s="97">
        <f ca="1">VLOOKUP($X630,サイズ別係数!$B:$E,2,FALSE)</f>
        <v>1.7</v>
      </c>
      <c r="Z630" s="97">
        <f ca="1">VLOOKUP($X630,サイズ別係数!$B:$E,3,FALSE)</f>
        <v>1.4</v>
      </c>
      <c r="AA630" s="97">
        <f ca="1">VLOOKUP($X630,サイズ別係数!$B:$E,4,FALSE)</f>
        <v>1</v>
      </c>
      <c r="AB630" s="10">
        <v>0</v>
      </c>
      <c r="AC630" s="6" t="str">
        <f ca="1">VLOOKUP($AB630,OFFSET([3]enemy_skill_sets!$B$2,0,0,COUNTA([3]enemy_skill_sets!$A:$A),MATCH(AC$1,[3]enemy_skill_sets!$1:$1,0)-MATCH($AB$1,[3]enemy_skill_sets!$1:$1,0)+1),MATCH(AC$1,[3]enemy_skill_sets!$1:$1,0)-MATCH($AB$1,[3]enemy_skill_sets!$1:$1,0)+1,FALSE)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0" s="67">
        <v>1</v>
      </c>
      <c r="AE630" s="67">
        <v>1</v>
      </c>
      <c r="AF630" s="68">
        <v>0</v>
      </c>
      <c r="AG630" s="99">
        <f ca="1">ROUND(VLOOKUP(1,enemy_base_stats!$A:$F,2,FALSE) * Y630* J630*O630*E630*S630*AD630*[2]ステータス!$B$2,0)</f>
        <v>5916</v>
      </c>
      <c r="AH630" s="99">
        <f ca="1">ROUND(VLOOKUP(1,enemy_base_stats!$A:$F,3,FALSE) * Z630*K630*P630*F630*T630*AE630 * W630*[2]ステータス!$C$2,0)</f>
        <v>232</v>
      </c>
      <c r="AI630" s="99">
        <f ca="1">ROUND(VLOOKUP(1,enemy_base_stats!$A:$F,4,FALSE) * AA630*L630*Q630*G630*U630*AF630*[2]ステータス!$D$2,0)</f>
        <v>0</v>
      </c>
      <c r="AJ630" s="99">
        <f ca="1">ROUND(VLOOKUP(100,enemy_base_stats!$A:$F,2,FALSE) * Y630* J630*O630*E630*S630*AD630*[2]ステータス!$B$2,0)</f>
        <v>240190</v>
      </c>
      <c r="AK630" s="99">
        <f ca="1">ROUND(VLOOKUP(100,enemy_base_stats!$A:$F,3,FALSE)* Z630* K630*P630*F630*T630*AE630 * W630*[2]ステータス!$C$2,0)</f>
        <v>9417</v>
      </c>
      <c r="AL630" s="99">
        <f ca="1">ROUND(VLOOKUP(100,enemy_base_stats!$A:$F,4,FALSE)* AA630* L630*Q630*G630*U630*AF630*[2]ステータス!$D$2,0)</f>
        <v>0</v>
      </c>
      <c r="AM630" s="97">
        <f ca="1">VLOOKUP(M630,[2]character_tribe_i18n!$A:$I,9,FALSE)</f>
        <v>680</v>
      </c>
      <c r="AN630" s="97">
        <v>0</v>
      </c>
      <c r="AO630" s="98">
        <v>0</v>
      </c>
      <c r="AP630" s="58" t="s">
        <v>72</v>
      </c>
      <c r="AQ630" s="34">
        <f t="shared" ca="1" si="40"/>
        <v>629</v>
      </c>
    </row>
    <row r="631" spans="1:43" ht="21" customHeight="1" x14ac:dyDescent="0.15">
      <c r="A631" s="7">
        <f t="shared" ca="1" si="33"/>
        <v>630</v>
      </c>
      <c r="B631" s="6" t="str">
        <f ca="1">VLOOKUP(A631,[2]characters!$A:$C,3,FALSE)</f>
        <v>明快の突戦車 チャリオット</v>
      </c>
      <c r="C631" s="9">
        <f ca="1">VLOOKUP(A631,[2]characters!$A:$I,9,FALSE)</f>
        <v>6</v>
      </c>
      <c r="D631" s="9" t="str">
        <f ca="1">VLOOKUP(A631,[2]characters!$A:$H,8,FALSE)</f>
        <v>blue</v>
      </c>
      <c r="E631" s="97">
        <f ca="1">VLOOKUP(D631,[2]属性!$A:$E,2,FALSE)</f>
        <v>1</v>
      </c>
      <c r="F631" s="97">
        <f ca="1">VLOOKUP(D631,[2]属性!$A:$E,3,FALSE)</f>
        <v>0.98</v>
      </c>
      <c r="G631" s="97">
        <f ca="1">VLOOKUP(D631,[2]属性!$A:$F,4,FALSE)</f>
        <v>1</v>
      </c>
      <c r="H631" s="9" t="str">
        <f ca="1">VLOOKUP(A631,[2]characters!$A:$K,11,FALSE)</f>
        <v>hp</v>
      </c>
      <c r="I631" s="6" t="str">
        <f ca="1">VLOOKUP(H631,[2]character_type_i18n!$A:$F,3,FALSE)</f>
        <v>体力タイプ</v>
      </c>
      <c r="J631" s="97">
        <f ca="1">VLOOKUP(H631,[2]character_type_i18n!$A:$F,4,FALSE)</f>
        <v>1.45</v>
      </c>
      <c r="K631" s="97">
        <f ca="1">VLOOKUP(H631,[2]character_type_i18n!$A:$F,5,FALSE)</f>
        <v>0.85</v>
      </c>
      <c r="L631" s="97">
        <f ca="1">VLOOKUP(H631,[2]character_type_i18n!$A:$F,6,FALSE)</f>
        <v>1</v>
      </c>
      <c r="M631" s="9" t="str">
        <f ca="1">VLOOKUP(A631,[2]characters!$A:$M,13,FALSE)</f>
        <v>god</v>
      </c>
      <c r="N631" s="6" t="str">
        <f ca="1">VLOOKUP(M631,[2]character_tribe_i18n!$A:$F,3,FALSE)</f>
        <v>ゴッド</v>
      </c>
      <c r="O631" s="97">
        <f ca="1">VLOOKUP(M631,[2]character_tribe_i18n!$A:$F,4,FALSE)</f>
        <v>0.96</v>
      </c>
      <c r="P631" s="97">
        <f ca="1">VLOOKUP(M631,[2]character_tribe_i18n!$A:$F,5,FALSE)</f>
        <v>1.02</v>
      </c>
      <c r="Q631" s="97">
        <f ca="1">VLOOKUP(M631,[2]character_tribe_i18n!$A:$F,6,FALSE)</f>
        <v>1</v>
      </c>
      <c r="R631" s="98" t="s">
        <v>98</v>
      </c>
      <c r="S631" s="97">
        <f>VLOOKUP($R631,ラベル別係数!$A$1:$E$7,3,FALSE)</f>
        <v>5</v>
      </c>
      <c r="T631" s="97">
        <f>VLOOKUP($R631,ラベル別係数!$A$1:$E$7,4,FALSE)</f>
        <v>1.3</v>
      </c>
      <c r="U631" s="97">
        <f>VLOOKUP($R631,ラベル別係数!$A$1:$E$7,5,FALSE)</f>
        <v>0.8</v>
      </c>
      <c r="V631" s="98">
        <v>3</v>
      </c>
      <c r="W631" s="99">
        <f>VLOOKUP(V631,ターン数別攻撃係数!$A$1:$B$1000,2,FALSE)</f>
        <v>1</v>
      </c>
      <c r="X631" s="9">
        <f ca="1">VLOOKUP(C631,サイズ別係数!A$2:B$9,2,FALSE)</f>
        <v>60</v>
      </c>
      <c r="Y631" s="97">
        <f ca="1">VLOOKUP($X631,サイズ別係数!$B:$E,2,FALSE)</f>
        <v>1.7</v>
      </c>
      <c r="Z631" s="97">
        <f ca="1">VLOOKUP($X631,サイズ別係数!$B:$E,3,FALSE)</f>
        <v>1.4</v>
      </c>
      <c r="AA631" s="97">
        <f ca="1">VLOOKUP($X631,サイズ別係数!$B:$E,4,FALSE)</f>
        <v>1</v>
      </c>
      <c r="AB631" s="10">
        <v>0</v>
      </c>
      <c r="AC631" s="6" t="str">
        <f ca="1">VLOOKUP($AB631,OFFSET([3]enemy_skill_sets!$B$2,0,0,COUNTA([3]enemy_skill_sets!$A:$A),MATCH(AC$1,[3]enemy_skill_sets!$1:$1,0)-MATCH($AB$1,[3]enemy_skill_sets!$1:$1,0)+1),MATCH(AC$1,[3]enemy_skill_sets!$1:$1,0)-MATCH($AB$1,[3]enemy_skill_sets!$1:$1,0)+1,FALSE)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1" s="67">
        <v>1</v>
      </c>
      <c r="AE631" s="67">
        <v>1</v>
      </c>
      <c r="AF631" s="68">
        <v>0</v>
      </c>
      <c r="AG631" s="99">
        <f ca="1">ROUND(VLOOKUP(1,enemy_base_stats!$A:$F,2,FALSE) * Y631* J631*O631*E631*S631*AD631*[2]ステータス!$B$2,0)</f>
        <v>5916</v>
      </c>
      <c r="AH631" s="99">
        <f ca="1">ROUND(VLOOKUP(1,enemy_base_stats!$A:$F,3,FALSE) * Z631*K631*P631*F631*T631*AE631 * W631*[2]ステータス!$C$2,0)</f>
        <v>232</v>
      </c>
      <c r="AI631" s="99">
        <f ca="1">ROUND(VLOOKUP(1,enemy_base_stats!$A:$F,4,FALSE) * AA631*L631*Q631*G631*U631*AF631*[2]ステータス!$D$2,0)</f>
        <v>0</v>
      </c>
      <c r="AJ631" s="99">
        <f ca="1">ROUND(VLOOKUP(100,enemy_base_stats!$A:$F,2,FALSE) * Y631* J631*O631*E631*S631*AD631*[2]ステータス!$B$2,0)</f>
        <v>240190</v>
      </c>
      <c r="AK631" s="99">
        <f ca="1">ROUND(VLOOKUP(100,enemy_base_stats!$A:$F,3,FALSE)* Z631* K631*P631*F631*T631*AE631 * W631*[2]ステータス!$C$2,0)</f>
        <v>9417</v>
      </c>
      <c r="AL631" s="99">
        <f ca="1">ROUND(VLOOKUP(100,enemy_base_stats!$A:$F,4,FALSE)* AA631* L631*Q631*G631*U631*AF631*[2]ステータス!$D$2,0)</f>
        <v>0</v>
      </c>
      <c r="AM631" s="97">
        <f ca="1">VLOOKUP(M631,[2]character_tribe_i18n!$A:$I,9,FALSE)</f>
        <v>680</v>
      </c>
      <c r="AN631" s="97">
        <v>0</v>
      </c>
      <c r="AO631" s="98">
        <v>0</v>
      </c>
      <c r="AP631" s="58" t="s">
        <v>72</v>
      </c>
      <c r="AQ631" s="34">
        <f t="shared" ca="1" si="40"/>
        <v>630</v>
      </c>
    </row>
    <row r="632" spans="1:43" ht="21" customHeight="1" x14ac:dyDescent="0.15">
      <c r="A632" s="7">
        <f t="shared" ca="1" si="33"/>
        <v>631</v>
      </c>
      <c r="B632" s="6" t="str">
        <f ca="1">VLOOKUP(A632,[2]characters!$A:$C,3,FALSE)</f>
        <v>華恋なる宮護隊 パレ</v>
      </c>
      <c r="C632" s="9">
        <f ca="1">VLOOKUP(A632,[2]characters!$A:$I,9,FALSE)</f>
        <v>5</v>
      </c>
      <c r="D632" s="9" t="str">
        <f ca="1">VLOOKUP(A632,[2]characters!$A:$H,8,FALSE)</f>
        <v>yellow</v>
      </c>
      <c r="E632" s="97">
        <f ca="1">VLOOKUP(D632,[2]属性!$A:$E,2,FALSE)</f>
        <v>0.98</v>
      </c>
      <c r="F632" s="97">
        <f ca="1">VLOOKUP(D632,[2]属性!$A:$E,3,FALSE)</f>
        <v>1.01</v>
      </c>
      <c r="G632" s="97">
        <f ca="1">VLOOKUP(D632,[2]属性!$A:$F,4,FALSE)</f>
        <v>1</v>
      </c>
      <c r="H632" s="9" t="str">
        <f ca="1">VLOOKUP(A632,[2]characters!$A:$K,11,FALSE)</f>
        <v>balance</v>
      </c>
      <c r="I632" s="6" t="str">
        <f ca="1">VLOOKUP(H632,[2]character_type_i18n!$A:$F,3,FALSE)</f>
        <v>バランスタイプ</v>
      </c>
      <c r="J632" s="97">
        <f ca="1">VLOOKUP(H632,[2]character_type_i18n!$A:$F,4,FALSE)</f>
        <v>1</v>
      </c>
      <c r="K632" s="97">
        <f ca="1">VLOOKUP(H632,[2]character_type_i18n!$A:$F,5,FALSE)</f>
        <v>1</v>
      </c>
      <c r="L632" s="97">
        <f ca="1">VLOOKUP(H632,[2]character_type_i18n!$A:$F,6,FALSE)</f>
        <v>1</v>
      </c>
      <c r="M632" s="9" t="str">
        <f ca="1">VLOOKUP(A632,[2]characters!$A:$M,13,FALSE)</f>
        <v>human</v>
      </c>
      <c r="N632" s="6" t="str">
        <f ca="1">VLOOKUP(M632,[2]character_tribe_i18n!$A:$F,3,FALSE)</f>
        <v>ヒューマン</v>
      </c>
      <c r="O632" s="97">
        <f ca="1">VLOOKUP(M632,[2]character_tribe_i18n!$A:$F,4,FALSE)</f>
        <v>0.94</v>
      </c>
      <c r="P632" s="97">
        <f ca="1">VLOOKUP(M632,[2]character_tribe_i18n!$A:$F,5,FALSE)</f>
        <v>0.99</v>
      </c>
      <c r="Q632" s="97">
        <f ca="1">VLOOKUP(M632,[2]character_tribe_i18n!$A:$F,6,FALSE)</f>
        <v>1</v>
      </c>
      <c r="R632" s="98" t="s">
        <v>98</v>
      </c>
      <c r="S632" s="97">
        <f>VLOOKUP($R632,ラベル別係数!$A$1:$E$7,3,FALSE)</f>
        <v>5</v>
      </c>
      <c r="T632" s="97">
        <f>VLOOKUP($R632,ラベル別係数!$A$1:$E$7,4,FALSE)</f>
        <v>1.3</v>
      </c>
      <c r="U632" s="97">
        <f>VLOOKUP($R632,ラベル別係数!$A$1:$E$7,5,FALSE)</f>
        <v>0.8</v>
      </c>
      <c r="V632" s="98">
        <v>3</v>
      </c>
      <c r="W632" s="99">
        <f>VLOOKUP(V632,ターン数別攻撃係数!$A$1:$B$1000,2,FALSE)</f>
        <v>1</v>
      </c>
      <c r="X632" s="9">
        <f ca="1">VLOOKUP(C632,サイズ別係数!A$2:B$9,2,FALSE)</f>
        <v>60</v>
      </c>
      <c r="Y632" s="97">
        <f ca="1">VLOOKUP($X632,サイズ別係数!$B:$E,2,FALSE)</f>
        <v>1.7</v>
      </c>
      <c r="Z632" s="97">
        <f ca="1">VLOOKUP($X632,サイズ別係数!$B:$E,3,FALSE)</f>
        <v>1.4</v>
      </c>
      <c r="AA632" s="97">
        <f ca="1">VLOOKUP($X632,サイズ別係数!$B:$E,4,FALSE)</f>
        <v>1</v>
      </c>
      <c r="AB632" s="10">
        <v>0</v>
      </c>
      <c r="AC632" s="6" t="str">
        <f ca="1">VLOOKUP($AB632,OFFSET([3]enemy_skill_sets!$B$2,0,0,COUNTA([3]enemy_skill_sets!$A:$A),MATCH(AC$1,[3]enemy_skill_sets!$1:$1,0)-MATCH($AB$1,[3]enemy_skill_sets!$1:$1,0)+1),MATCH(AC$1,[3]enemy_skill_sets!$1:$1,0)-MATCH($AB$1,[3]enemy_skill_sets!$1:$1,0)+1,FALSE)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2" s="67">
        <v>1</v>
      </c>
      <c r="AE632" s="67">
        <v>1</v>
      </c>
      <c r="AF632" s="68">
        <v>0</v>
      </c>
      <c r="AG632" s="99">
        <f ca="1">ROUND(VLOOKUP(1,enemy_base_stats!$A:$F,2,FALSE) * Y632* J632*O632*E632*S632*AD632*[2]ステータス!$B$2,0)</f>
        <v>3915</v>
      </c>
      <c r="AH632" s="99">
        <f ca="1">ROUND(VLOOKUP(1,enemy_base_stats!$A:$F,3,FALSE) * Z632*K632*P632*F632*T632*AE632 * W632*[2]ステータス!$C$2,0)</f>
        <v>273</v>
      </c>
      <c r="AI632" s="99">
        <f ca="1">ROUND(VLOOKUP(1,enemy_base_stats!$A:$F,4,FALSE) * AA632*L632*Q632*G632*U632*AF632*[2]ステータス!$D$2,0)</f>
        <v>0</v>
      </c>
      <c r="AJ632" s="99">
        <f ca="1">ROUND(VLOOKUP(100,enemy_base_stats!$A:$F,2,FALSE) * Y632* J632*O632*E632*S632*AD632*[2]ステータス!$B$2,0)</f>
        <v>158953</v>
      </c>
      <c r="AK632" s="99">
        <f ca="1">ROUND(VLOOKUP(100,enemy_base_stats!$A:$F,3,FALSE)* Z632* K632*P632*F632*T632*AE632 * W632*[2]ステータス!$C$2,0)</f>
        <v>11083</v>
      </c>
      <c r="AL632" s="99">
        <f ca="1">ROUND(VLOOKUP(100,enemy_base_stats!$A:$F,4,FALSE)* AA632* L632*Q632*G632*U632*AF632*[2]ステータス!$D$2,0)</f>
        <v>0</v>
      </c>
      <c r="AM632" s="97">
        <f ca="1">VLOOKUP(M632,[2]character_tribe_i18n!$A:$I,9,FALSE)</f>
        <v>400</v>
      </c>
      <c r="AN632" s="97">
        <v>0</v>
      </c>
      <c r="AO632" s="98">
        <v>0</v>
      </c>
      <c r="AP632" s="58" t="s">
        <v>72</v>
      </c>
      <c r="AQ632" s="34">
        <f t="shared" ca="1" si="40"/>
        <v>631</v>
      </c>
    </row>
    <row r="633" spans="1:43" ht="21" customHeight="1" x14ac:dyDescent="0.15">
      <c r="A633" s="7">
        <f t="shared" ca="1" si="33"/>
        <v>632</v>
      </c>
      <c r="B633" s="6" t="str">
        <f ca="1">VLOOKUP(A633,[2]characters!$A:$C,3,FALSE)</f>
        <v>緋壁の城塞 アーグラ</v>
      </c>
      <c r="C633" s="9">
        <f ca="1">VLOOKUP(A633,[2]characters!$A:$I,9,FALSE)</f>
        <v>6</v>
      </c>
      <c r="D633" s="9" t="str">
        <f ca="1">VLOOKUP(A633,[2]characters!$A:$H,8,FALSE)</f>
        <v>red</v>
      </c>
      <c r="E633" s="97">
        <f ca="1">VLOOKUP(D633,[2]属性!$A:$E,2,FALSE)</f>
        <v>1</v>
      </c>
      <c r="F633" s="97">
        <f ca="1">VLOOKUP(D633,[2]属性!$A:$E,3,FALSE)</f>
        <v>1.02</v>
      </c>
      <c r="G633" s="97">
        <f ca="1">VLOOKUP(D633,[2]属性!$A:$F,4,FALSE)</f>
        <v>1</v>
      </c>
      <c r="H633" s="9" t="str">
        <f ca="1">VLOOKUP(A633,[2]characters!$A:$K,11,FALSE)</f>
        <v>technical</v>
      </c>
      <c r="I633" s="6" t="str">
        <f ca="1">VLOOKUP(H633,[2]character_type_i18n!$A:$F,3,FALSE)</f>
        <v>テクニカルタイプ</v>
      </c>
      <c r="J633" s="97">
        <f ca="1">VLOOKUP(H633,[2]character_type_i18n!$A:$F,4,FALSE)</f>
        <v>0.9</v>
      </c>
      <c r="K633" s="97">
        <f ca="1">VLOOKUP(H633,[2]character_type_i18n!$A:$F,5,FALSE)</f>
        <v>0.9</v>
      </c>
      <c r="L633" s="97">
        <f ca="1">VLOOKUP(H633,[2]character_type_i18n!$A:$F,6,FALSE)</f>
        <v>1</v>
      </c>
      <c r="M633" s="9" t="str">
        <f ca="1">VLOOKUP(A633,[2]characters!$A:$M,13,FALSE)</f>
        <v>god</v>
      </c>
      <c r="N633" s="6" t="str">
        <f ca="1">VLOOKUP(M633,[2]character_tribe_i18n!$A:$F,3,FALSE)</f>
        <v>ゴッド</v>
      </c>
      <c r="O633" s="97">
        <f ca="1">VLOOKUP(M633,[2]character_tribe_i18n!$A:$F,4,FALSE)</f>
        <v>0.96</v>
      </c>
      <c r="P633" s="97">
        <f ca="1">VLOOKUP(M633,[2]character_tribe_i18n!$A:$F,5,FALSE)</f>
        <v>1.02</v>
      </c>
      <c r="Q633" s="97">
        <f ca="1">VLOOKUP(M633,[2]character_tribe_i18n!$A:$F,6,FALSE)</f>
        <v>1</v>
      </c>
      <c r="R633" s="98" t="s">
        <v>98</v>
      </c>
      <c r="S633" s="97">
        <f>VLOOKUP($R633,ラベル別係数!$A$1:$E$7,3,FALSE)</f>
        <v>5</v>
      </c>
      <c r="T633" s="97">
        <f>VLOOKUP($R633,ラベル別係数!$A$1:$E$7,4,FALSE)</f>
        <v>1.3</v>
      </c>
      <c r="U633" s="97">
        <f>VLOOKUP($R633,ラベル別係数!$A$1:$E$7,5,FALSE)</f>
        <v>0.8</v>
      </c>
      <c r="V633" s="98">
        <v>3</v>
      </c>
      <c r="W633" s="99">
        <f>VLOOKUP(V633,ターン数別攻撃係数!$A$1:$B$1000,2,FALSE)</f>
        <v>1</v>
      </c>
      <c r="X633" s="9">
        <f ca="1">VLOOKUP(C633,サイズ別係数!A$2:B$9,2,FALSE)</f>
        <v>60</v>
      </c>
      <c r="Y633" s="97">
        <f ca="1">VLOOKUP($X633,サイズ別係数!$B:$E,2,FALSE)</f>
        <v>1.7</v>
      </c>
      <c r="Z633" s="97">
        <f ca="1">VLOOKUP($X633,サイズ別係数!$B:$E,3,FALSE)</f>
        <v>1.4</v>
      </c>
      <c r="AA633" s="97">
        <f ca="1">VLOOKUP($X633,サイズ別係数!$B:$E,4,FALSE)</f>
        <v>1</v>
      </c>
      <c r="AB633" s="10">
        <v>0</v>
      </c>
      <c r="AC633" s="6" t="str">
        <f ca="1">VLOOKUP($AB633,OFFSET([3]enemy_skill_sets!$B$2,0,0,COUNTA([3]enemy_skill_sets!$A:$A),MATCH(AC$1,[3]enemy_skill_sets!$1:$1,0)-MATCH($AB$1,[3]enemy_skill_sets!$1:$1,0)+1),MATCH(AC$1,[3]enemy_skill_sets!$1:$1,0)-MATCH($AB$1,[3]enemy_skill_sets!$1:$1,0)+1,FALSE)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3" s="67">
        <v>1</v>
      </c>
      <c r="AE633" s="67">
        <v>1</v>
      </c>
      <c r="AF633" s="68">
        <v>0</v>
      </c>
      <c r="AG633" s="99">
        <f ca="1">ROUND(VLOOKUP(1,enemy_base_stats!$A:$F,2,FALSE) * Y633* J633*O633*E633*S633*AD633*[2]ステータス!$B$2,0)</f>
        <v>3672</v>
      </c>
      <c r="AH633" s="99">
        <f ca="1">ROUND(VLOOKUP(1,enemy_base_stats!$A:$F,3,FALSE) * Z633*K633*P633*F633*T633*AE633 * W633*[2]ステータス!$C$2,0)</f>
        <v>256</v>
      </c>
      <c r="AI633" s="99">
        <f ca="1">ROUND(VLOOKUP(1,enemy_base_stats!$A:$F,4,FALSE) * AA633*L633*Q633*G633*U633*AF633*[2]ステータス!$D$2,0)</f>
        <v>0</v>
      </c>
      <c r="AJ633" s="99">
        <f ca="1">ROUND(VLOOKUP(100,enemy_base_stats!$A:$F,2,FALSE) * Y633* J633*O633*E633*S633*AD633*[2]ステータス!$B$2,0)</f>
        <v>149083</v>
      </c>
      <c r="AK633" s="99">
        <f ca="1">ROUND(VLOOKUP(100,enemy_base_stats!$A:$F,3,FALSE)* Z633* K633*P633*F633*T633*AE633 * W633*[2]ステータス!$C$2,0)</f>
        <v>10378</v>
      </c>
      <c r="AL633" s="99">
        <f ca="1">ROUND(VLOOKUP(100,enemy_base_stats!$A:$F,4,FALSE)* AA633* L633*Q633*G633*U633*AF633*[2]ステータス!$D$2,0)</f>
        <v>0</v>
      </c>
      <c r="AM633" s="97">
        <f ca="1">VLOOKUP(M633,[2]character_tribe_i18n!$A:$I,9,FALSE)</f>
        <v>680</v>
      </c>
      <c r="AN633" s="97">
        <v>0</v>
      </c>
      <c r="AO633" s="98">
        <v>0</v>
      </c>
      <c r="AP633" s="58" t="s">
        <v>72</v>
      </c>
      <c r="AQ633" s="34">
        <f t="shared" ca="1" si="40"/>
        <v>632</v>
      </c>
    </row>
    <row r="634" spans="1:43" ht="21" customHeight="1" x14ac:dyDescent="0.15">
      <c r="A634" s="7">
        <f t="shared" ca="1" si="33"/>
        <v>633</v>
      </c>
      <c r="B634" s="6" t="str">
        <f ca="1">VLOOKUP(A634,[2]characters!$A:$C,3,FALSE)</f>
        <v>麗邸の遊撃守 エリゼ</v>
      </c>
      <c r="C634" s="9">
        <f ca="1">VLOOKUP(A634,[2]characters!$A:$I,9,FALSE)</f>
        <v>6</v>
      </c>
      <c r="D634" s="9" t="str">
        <f ca="1">VLOOKUP(A634,[2]characters!$A:$H,8,FALSE)</f>
        <v>blue</v>
      </c>
      <c r="E634" s="97">
        <f ca="1">VLOOKUP(D634,[2]属性!$A:$E,2,FALSE)</f>
        <v>1</v>
      </c>
      <c r="F634" s="97">
        <f ca="1">VLOOKUP(D634,[2]属性!$A:$E,3,FALSE)</f>
        <v>0.98</v>
      </c>
      <c r="G634" s="97">
        <f ca="1">VLOOKUP(D634,[2]属性!$A:$F,4,FALSE)</f>
        <v>1</v>
      </c>
      <c r="H634" s="9" t="str">
        <f ca="1">VLOOKUP(A634,[2]characters!$A:$K,11,FALSE)</f>
        <v>balance</v>
      </c>
      <c r="I634" s="6" t="str">
        <f ca="1">VLOOKUP(H634,[2]character_type_i18n!$A:$F,3,FALSE)</f>
        <v>バランスタイプ</v>
      </c>
      <c r="J634" s="97">
        <f ca="1">VLOOKUP(H634,[2]character_type_i18n!$A:$F,4,FALSE)</f>
        <v>1</v>
      </c>
      <c r="K634" s="97">
        <f ca="1">VLOOKUP(H634,[2]character_type_i18n!$A:$F,5,FALSE)</f>
        <v>1</v>
      </c>
      <c r="L634" s="97">
        <f ca="1">VLOOKUP(H634,[2]character_type_i18n!$A:$F,6,FALSE)</f>
        <v>1</v>
      </c>
      <c r="M634" s="9" t="str">
        <f ca="1">VLOOKUP(A634,[2]characters!$A:$M,13,FALSE)</f>
        <v>unknown</v>
      </c>
      <c r="N634" s="6" t="str">
        <f ca="1">VLOOKUP(M634,[2]character_tribe_i18n!$A:$F,3,FALSE)</f>
        <v>Unknown</v>
      </c>
      <c r="O634" s="97">
        <f ca="1">VLOOKUP(M634,[2]character_tribe_i18n!$A:$F,4,FALSE)</f>
        <v>1</v>
      </c>
      <c r="P634" s="97">
        <f ca="1">VLOOKUP(M634,[2]character_tribe_i18n!$A:$F,5,FALSE)</f>
        <v>1</v>
      </c>
      <c r="Q634" s="97">
        <f ca="1">VLOOKUP(M634,[2]character_tribe_i18n!$A:$F,6,FALSE)</f>
        <v>1</v>
      </c>
      <c r="R634" s="98" t="s">
        <v>98</v>
      </c>
      <c r="S634" s="97">
        <f>VLOOKUP($R634,ラベル別係数!$A$1:$E$7,3,FALSE)</f>
        <v>5</v>
      </c>
      <c r="T634" s="97">
        <f>VLOOKUP($R634,ラベル別係数!$A$1:$E$7,4,FALSE)</f>
        <v>1.3</v>
      </c>
      <c r="U634" s="97">
        <f>VLOOKUP($R634,ラベル別係数!$A$1:$E$7,5,FALSE)</f>
        <v>0.8</v>
      </c>
      <c r="V634" s="98">
        <v>3</v>
      </c>
      <c r="W634" s="99">
        <f>VLOOKUP(V634,ターン数別攻撃係数!$A$1:$B$1000,2,FALSE)</f>
        <v>1</v>
      </c>
      <c r="X634" s="9">
        <f ca="1">VLOOKUP(C634,サイズ別係数!A$2:B$9,2,FALSE)</f>
        <v>60</v>
      </c>
      <c r="Y634" s="97">
        <f ca="1">VLOOKUP($X634,サイズ別係数!$B:$E,2,FALSE)</f>
        <v>1.7</v>
      </c>
      <c r="Z634" s="97">
        <f ca="1">VLOOKUP($X634,サイズ別係数!$B:$E,3,FALSE)</f>
        <v>1.4</v>
      </c>
      <c r="AA634" s="97">
        <f ca="1">VLOOKUP($X634,サイズ別係数!$B:$E,4,FALSE)</f>
        <v>1</v>
      </c>
      <c r="AB634" s="10">
        <v>0</v>
      </c>
      <c r="AC634" s="6" t="str">
        <f ca="1">VLOOKUP($AB634,OFFSET([3]enemy_skill_sets!$B$2,0,0,COUNTA([3]enemy_skill_sets!$A:$A),MATCH(AC$1,[3]enemy_skill_sets!$1:$1,0)-MATCH($AB$1,[3]enemy_skill_sets!$1:$1,0)+1),MATCH(AC$1,[3]enemy_skill_sets!$1:$1,0)-MATCH($AB$1,[3]enemy_skill_sets!$1:$1,0)+1,FALSE)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4" s="67">
        <v>1</v>
      </c>
      <c r="AE634" s="67">
        <v>1</v>
      </c>
      <c r="AF634" s="68">
        <v>0</v>
      </c>
      <c r="AG634" s="99">
        <f ca="1">ROUND(VLOOKUP(1,enemy_base_stats!$A:$F,2,FALSE) * Y634* J634*O634*E634*S634*AD634*[2]ステータス!$B$2,0)</f>
        <v>4250</v>
      </c>
      <c r="AH634" s="99">
        <f ca="1">ROUND(VLOOKUP(1,enemy_base_stats!$A:$F,3,FALSE) * Z634*K634*P634*F634*T634*AE634 * W634*[2]ステータス!$C$2,0)</f>
        <v>268</v>
      </c>
      <c r="AI634" s="99">
        <f ca="1">ROUND(VLOOKUP(1,enemy_base_stats!$A:$F,4,FALSE) * AA634*L634*Q634*G634*U634*AF634*[2]ステータス!$D$2,0)</f>
        <v>0</v>
      </c>
      <c r="AJ634" s="99">
        <f ca="1">ROUND(VLOOKUP(100,enemy_base_stats!$A:$F,2,FALSE) * Y634* J634*O634*E634*S634*AD634*[2]ステータス!$B$2,0)</f>
        <v>172550</v>
      </c>
      <c r="AK634" s="99">
        <f ca="1">ROUND(VLOOKUP(100,enemy_base_stats!$A:$F,3,FALSE)* Z634* K634*P634*F634*T634*AE634 * W634*[2]ステータス!$C$2,0)</f>
        <v>10862</v>
      </c>
      <c r="AL634" s="99">
        <f ca="1">ROUND(VLOOKUP(100,enemy_base_stats!$A:$F,4,FALSE)* AA634* L634*Q634*G634*U634*AF634*[2]ステータス!$D$2,0)</f>
        <v>0</v>
      </c>
      <c r="AM634" s="97">
        <f ca="1">VLOOKUP(M634,[2]character_tribe_i18n!$A:$I,9,FALSE)</f>
        <v>340</v>
      </c>
      <c r="AN634" s="97">
        <v>0</v>
      </c>
      <c r="AO634" s="98">
        <v>0</v>
      </c>
      <c r="AP634" s="58" t="s">
        <v>72</v>
      </c>
      <c r="AQ634" s="34">
        <f t="shared" ca="1" si="40"/>
        <v>633</v>
      </c>
    </row>
    <row r="635" spans="1:43" ht="21" customHeight="1" x14ac:dyDescent="0.15">
      <c r="A635" s="7">
        <f t="shared" ca="1" si="33"/>
        <v>634</v>
      </c>
      <c r="B635" s="6" t="str">
        <f ca="1">VLOOKUP(A635,[2]characters!$A:$C,3,FALSE)</f>
        <v>赤ドラゴン</v>
      </c>
      <c r="C635" s="9">
        <f ca="1">VLOOKUP(A635,[2]characters!$A:$I,9,FALSE)</f>
        <v>4</v>
      </c>
      <c r="D635" s="9" t="str">
        <f ca="1">VLOOKUP(A635,[2]characters!$A:$H,8,FALSE)</f>
        <v>red</v>
      </c>
      <c r="E635" s="97">
        <f ca="1">VLOOKUP(D635,[2]属性!$A:$E,2,FALSE)</f>
        <v>1</v>
      </c>
      <c r="F635" s="97">
        <f ca="1">VLOOKUP(D635,[2]属性!$A:$E,3,FALSE)</f>
        <v>1.02</v>
      </c>
      <c r="G635" s="97">
        <f ca="1">VLOOKUP(D635,[2]属性!$A:$F,4,FALSE)</f>
        <v>1</v>
      </c>
      <c r="H635" s="9" t="str">
        <f ca="1">VLOOKUP(A635,[2]characters!$A:$K,11,FALSE)</f>
        <v>attack</v>
      </c>
      <c r="I635" s="6" t="str">
        <f ca="1">VLOOKUP(H635,[2]character_type_i18n!$A:$F,3,FALSE)</f>
        <v>攻撃タイプ</v>
      </c>
      <c r="J635" s="97">
        <f ca="1">VLOOKUP(H635,[2]character_type_i18n!$A:$F,4,FALSE)</f>
        <v>1</v>
      </c>
      <c r="K635" s="97">
        <f ca="1">VLOOKUP(H635,[2]character_type_i18n!$A:$F,5,FALSE)</f>
        <v>1.33</v>
      </c>
      <c r="L635" s="97">
        <f ca="1">VLOOKUP(H635,[2]character_type_i18n!$A:$F,6,FALSE)</f>
        <v>1</v>
      </c>
      <c r="M635" s="9" t="str">
        <f ca="1">VLOOKUP(A635,[2]characters!$A:$M,13,FALSE)</f>
        <v>dragon</v>
      </c>
      <c r="N635" s="6" t="str">
        <f ca="1">VLOOKUP(M635,[2]character_tribe_i18n!$A:$F,3,FALSE)</f>
        <v>ドラゴン</v>
      </c>
      <c r="O635" s="97">
        <f ca="1">VLOOKUP(M635,[2]character_tribe_i18n!$A:$F,4,FALSE)</f>
        <v>1.1499999999999999</v>
      </c>
      <c r="P635" s="97">
        <f ca="1">VLOOKUP(M635,[2]character_tribe_i18n!$A:$F,5,FALSE)</f>
        <v>1.1000000000000001</v>
      </c>
      <c r="Q635" s="97">
        <f ca="1">VLOOKUP(M635,[2]character_tribe_i18n!$A:$F,6,FALSE)</f>
        <v>1</v>
      </c>
      <c r="R635" s="98" t="s">
        <v>98</v>
      </c>
      <c r="S635" s="97">
        <f>VLOOKUP($R635,ラベル別係数!$A$1:$E$7,3,FALSE)</f>
        <v>5</v>
      </c>
      <c r="T635" s="97">
        <f>VLOOKUP($R635,ラベル別係数!$A$1:$E$7,4,FALSE)</f>
        <v>1.3</v>
      </c>
      <c r="U635" s="97">
        <f>VLOOKUP($R635,ラベル別係数!$A$1:$E$7,5,FALSE)</f>
        <v>0.8</v>
      </c>
      <c r="V635" s="98">
        <v>3</v>
      </c>
      <c r="W635" s="99">
        <f>VLOOKUP(V635,ターン数別攻撃係数!$A$1:$B$1000,2,FALSE)</f>
        <v>1</v>
      </c>
      <c r="X635" s="9">
        <f ca="1">VLOOKUP(C635,サイズ別係数!A$2:B$9,2,FALSE)</f>
        <v>30</v>
      </c>
      <c r="Y635" s="97">
        <f ca="1">VLOOKUP($X635,サイズ別係数!$B:$E,2,FALSE)</f>
        <v>1.3</v>
      </c>
      <c r="Z635" s="97">
        <f ca="1">VLOOKUP($X635,サイズ別係数!$B:$E,3,FALSE)</f>
        <v>1.3</v>
      </c>
      <c r="AA635" s="97">
        <f ca="1">VLOOKUP($X635,サイズ別係数!$B:$E,4,FALSE)</f>
        <v>1.1000000000000001</v>
      </c>
      <c r="AB635" s="10">
        <v>0</v>
      </c>
      <c r="AC635" s="6" t="str">
        <f ca="1">VLOOKUP($AB635,OFFSET([3]enemy_skill_sets!$B$2,0,0,COUNTA([3]enemy_skill_sets!$A:$A),MATCH(AC$1,[3]enemy_skill_sets!$1:$1,0)-MATCH($AB$1,[3]enemy_skill_sets!$1:$1,0)+1),MATCH(AC$1,[3]enemy_skill_sets!$1:$1,0)-MATCH($AB$1,[3]enemy_skill_sets!$1:$1,0)+1,FALSE)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5" s="67">
        <v>1</v>
      </c>
      <c r="AE635" s="67">
        <v>1</v>
      </c>
      <c r="AF635" s="68">
        <v>0</v>
      </c>
      <c r="AG635" s="99">
        <f ca="1">ROUND(VLOOKUP(1,enemy_base_stats!$A:$F,2,FALSE) * Y635* J635*O635*E635*S635*AD635*[2]ステータス!$B$2,0)</f>
        <v>3738</v>
      </c>
      <c r="AH635" s="99">
        <f ca="1">ROUND(VLOOKUP(1,enemy_base_stats!$A:$F,3,FALSE) * Z635*K635*P635*F635*T635*AE635 * W635*[2]ステータス!$C$2,0)</f>
        <v>378</v>
      </c>
      <c r="AI635" s="99">
        <f ca="1">ROUND(VLOOKUP(1,enemy_base_stats!$A:$F,4,FALSE) * AA635*L635*Q635*G635*U635*AF635*[2]ステータス!$D$2,0)</f>
        <v>0</v>
      </c>
      <c r="AJ635" s="99">
        <f ca="1">ROUND(VLOOKUP(100,enemy_base_stats!$A:$F,2,FALSE) * Y635* J635*O635*E635*S635*AD635*[2]ステータス!$B$2,0)</f>
        <v>151743</v>
      </c>
      <c r="AK635" s="99">
        <f ca="1">ROUND(VLOOKUP(100,enemy_base_stats!$A:$F,3,FALSE)* Z635* K635*P635*F635*T635*AE635 * W635*[2]ステータス!$C$2,0)</f>
        <v>15358</v>
      </c>
      <c r="AL635" s="99">
        <f ca="1">ROUND(VLOOKUP(100,enemy_base_stats!$A:$F,4,FALSE)* AA635* L635*Q635*G635*U635*AF635*[2]ステータス!$D$2,0)</f>
        <v>0</v>
      </c>
      <c r="AM635" s="97">
        <f ca="1">VLOOKUP(M635,[2]character_tribe_i18n!$A:$I,9,FALSE)</f>
        <v>540</v>
      </c>
      <c r="AN635" s="97">
        <v>0</v>
      </c>
      <c r="AO635" s="98">
        <v>0</v>
      </c>
      <c r="AP635" s="58" t="s">
        <v>72</v>
      </c>
      <c r="AQ635" s="34">
        <f t="shared" ca="1" si="40"/>
        <v>634</v>
      </c>
    </row>
    <row r="636" spans="1:43" ht="21" customHeight="1" x14ac:dyDescent="0.15">
      <c r="A636" s="7">
        <f t="shared" ca="1" si="33"/>
        <v>635</v>
      </c>
      <c r="B636" s="6" t="str">
        <f ca="1">VLOOKUP(A636,[2]characters!$A:$C,3,FALSE)</f>
        <v>赤ドラゴン</v>
      </c>
      <c r="C636" s="9">
        <f ca="1">VLOOKUP(A636,[2]characters!$A:$I,9,FALSE)</f>
        <v>5</v>
      </c>
      <c r="D636" s="9" t="str">
        <f ca="1">VLOOKUP(A636,[2]characters!$A:$H,8,FALSE)</f>
        <v>red</v>
      </c>
      <c r="E636" s="97">
        <f ca="1">VLOOKUP(D636,[2]属性!$A:$E,2,FALSE)</f>
        <v>1</v>
      </c>
      <c r="F636" s="97">
        <f ca="1">VLOOKUP(D636,[2]属性!$A:$E,3,FALSE)</f>
        <v>1.02</v>
      </c>
      <c r="G636" s="97">
        <f ca="1">VLOOKUP(D636,[2]属性!$A:$F,4,FALSE)</f>
        <v>1</v>
      </c>
      <c r="H636" s="9" t="str">
        <f ca="1">VLOOKUP(A636,[2]characters!$A:$K,11,FALSE)</f>
        <v>attack</v>
      </c>
      <c r="I636" s="6" t="str">
        <f ca="1">VLOOKUP(H636,[2]character_type_i18n!$A:$F,3,FALSE)</f>
        <v>攻撃タイプ</v>
      </c>
      <c r="J636" s="97">
        <f ca="1">VLOOKUP(H636,[2]character_type_i18n!$A:$F,4,FALSE)</f>
        <v>1</v>
      </c>
      <c r="K636" s="97">
        <f ca="1">VLOOKUP(H636,[2]character_type_i18n!$A:$F,5,FALSE)</f>
        <v>1.33</v>
      </c>
      <c r="L636" s="97">
        <f ca="1">VLOOKUP(H636,[2]character_type_i18n!$A:$F,6,FALSE)</f>
        <v>1</v>
      </c>
      <c r="M636" s="9" t="str">
        <f ca="1">VLOOKUP(A636,[2]characters!$A:$M,13,FALSE)</f>
        <v>dragon</v>
      </c>
      <c r="N636" s="6" t="str">
        <f ca="1">VLOOKUP(M636,[2]character_tribe_i18n!$A:$F,3,FALSE)</f>
        <v>ドラゴン</v>
      </c>
      <c r="O636" s="97">
        <f ca="1">VLOOKUP(M636,[2]character_tribe_i18n!$A:$F,4,FALSE)</f>
        <v>1.1499999999999999</v>
      </c>
      <c r="P636" s="97">
        <f ca="1">VLOOKUP(M636,[2]character_tribe_i18n!$A:$F,5,FALSE)</f>
        <v>1.1000000000000001</v>
      </c>
      <c r="Q636" s="97">
        <f ca="1">VLOOKUP(M636,[2]character_tribe_i18n!$A:$F,6,FALSE)</f>
        <v>1</v>
      </c>
      <c r="R636" s="98" t="s">
        <v>98</v>
      </c>
      <c r="S636" s="97">
        <f>VLOOKUP($R636,ラベル別係数!$A$1:$E$7,3,FALSE)</f>
        <v>5</v>
      </c>
      <c r="T636" s="97">
        <f>VLOOKUP($R636,ラベル別係数!$A$1:$E$7,4,FALSE)</f>
        <v>1.3</v>
      </c>
      <c r="U636" s="97">
        <f>VLOOKUP($R636,ラベル別係数!$A$1:$E$7,5,FALSE)</f>
        <v>0.8</v>
      </c>
      <c r="V636" s="98">
        <v>3</v>
      </c>
      <c r="W636" s="99">
        <f>VLOOKUP(V636,ターン数別攻撃係数!$A$1:$B$1000,2,FALSE)</f>
        <v>1</v>
      </c>
      <c r="X636" s="9">
        <f ca="1">VLOOKUP(C636,サイズ別係数!A$2:B$9,2,FALSE)</f>
        <v>60</v>
      </c>
      <c r="Y636" s="97">
        <f ca="1">VLOOKUP($X636,サイズ別係数!$B:$E,2,FALSE)</f>
        <v>1.7</v>
      </c>
      <c r="Z636" s="97">
        <f ca="1">VLOOKUP($X636,サイズ別係数!$B:$E,3,FALSE)</f>
        <v>1.4</v>
      </c>
      <c r="AA636" s="97">
        <f ca="1">VLOOKUP($X636,サイズ別係数!$B:$E,4,FALSE)</f>
        <v>1</v>
      </c>
      <c r="AB636" s="10">
        <v>0</v>
      </c>
      <c r="AC636" s="6" t="str">
        <f ca="1">VLOOKUP($AB636,OFFSET([3]enemy_skill_sets!$B$2,0,0,COUNTA([3]enemy_skill_sets!$A:$A),MATCH(AC$1,[3]enemy_skill_sets!$1:$1,0)-MATCH($AB$1,[3]enemy_skill_sets!$1:$1,0)+1),MATCH(AC$1,[3]enemy_skill_sets!$1:$1,0)-MATCH($AB$1,[3]enemy_skill_sets!$1:$1,0)+1,FALSE)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6" s="67">
        <v>1</v>
      </c>
      <c r="AE636" s="67">
        <v>1</v>
      </c>
      <c r="AF636" s="68">
        <v>0</v>
      </c>
      <c r="AG636" s="99">
        <f ca="1">ROUND(VLOOKUP(1,enemy_base_stats!$A:$F,2,FALSE) * Y636* J636*O636*E636*S636*AD636*[2]ステータス!$B$2,0)</f>
        <v>4888</v>
      </c>
      <c r="AH636" s="99">
        <f ca="1">ROUND(VLOOKUP(1,enemy_base_stats!$A:$F,3,FALSE) * Z636*K636*P636*F636*T636*AE636 * W636*[2]ステータス!$C$2,0)</f>
        <v>407</v>
      </c>
      <c r="AI636" s="99">
        <f ca="1">ROUND(VLOOKUP(1,enemy_base_stats!$A:$F,4,FALSE) * AA636*L636*Q636*G636*U636*AF636*[2]ステータス!$D$2,0)</f>
        <v>0</v>
      </c>
      <c r="AJ636" s="99">
        <f ca="1">ROUND(VLOOKUP(100,enemy_base_stats!$A:$F,2,FALSE) * Y636* J636*O636*E636*S636*AD636*[2]ステータス!$B$2,0)</f>
        <v>198433</v>
      </c>
      <c r="AK636" s="99">
        <f ca="1">ROUND(VLOOKUP(100,enemy_base_stats!$A:$F,3,FALSE)* Z636* K636*P636*F636*T636*AE636 * W636*[2]ステータス!$C$2,0)</f>
        <v>16540</v>
      </c>
      <c r="AL636" s="99">
        <f ca="1">ROUND(VLOOKUP(100,enemy_base_stats!$A:$F,4,FALSE)* AA636* L636*Q636*G636*U636*AF636*[2]ステータス!$D$2,0)</f>
        <v>0</v>
      </c>
      <c r="AM636" s="97">
        <f ca="1">VLOOKUP(M636,[2]character_tribe_i18n!$A:$I,9,FALSE)</f>
        <v>540</v>
      </c>
      <c r="AN636" s="97">
        <v>0</v>
      </c>
      <c r="AO636" s="98">
        <v>0</v>
      </c>
      <c r="AP636" s="58" t="s">
        <v>72</v>
      </c>
      <c r="AQ636" s="34">
        <f t="shared" ca="1" si="40"/>
        <v>635</v>
      </c>
    </row>
    <row r="637" spans="1:43" ht="21" customHeight="1" x14ac:dyDescent="0.15">
      <c r="A637" s="7">
        <f t="shared" ca="1" si="33"/>
        <v>636</v>
      </c>
      <c r="B637" s="6" t="str">
        <f ca="1">VLOOKUP(A637,[2]characters!$A:$C,3,FALSE)</f>
        <v>ローズR3(旧)</v>
      </c>
      <c r="C637" s="9">
        <f ca="1">VLOOKUP(A637,[2]characters!$A:$I,9,FALSE)</f>
        <v>3</v>
      </c>
      <c r="D637" s="9" t="str">
        <f ca="1">VLOOKUP(A637,[2]characters!$A:$H,8,FALSE)</f>
        <v>red</v>
      </c>
      <c r="E637" s="97">
        <f ca="1">VLOOKUP(D637,[2]属性!$A:$E,2,FALSE)</f>
        <v>1</v>
      </c>
      <c r="F637" s="97">
        <f ca="1">VLOOKUP(D637,[2]属性!$A:$E,3,FALSE)</f>
        <v>1.02</v>
      </c>
      <c r="G637" s="97">
        <f ca="1">VLOOKUP(D637,[2]属性!$A:$F,4,FALSE)</f>
        <v>1</v>
      </c>
      <c r="H637" s="9" t="str">
        <f ca="1">VLOOKUP(A637,[2]characters!$A:$K,11,FALSE)</f>
        <v>attack</v>
      </c>
      <c r="I637" s="6" t="str">
        <f ca="1">VLOOKUP(H637,[2]character_type_i18n!$A:$F,3,FALSE)</f>
        <v>攻撃タイプ</v>
      </c>
      <c r="J637" s="97">
        <f ca="1">VLOOKUP(H637,[2]character_type_i18n!$A:$F,4,FALSE)</f>
        <v>1</v>
      </c>
      <c r="K637" s="97">
        <f ca="1">VLOOKUP(H637,[2]character_type_i18n!$A:$F,5,FALSE)</f>
        <v>1.33</v>
      </c>
      <c r="L637" s="97">
        <f ca="1">VLOOKUP(H637,[2]character_type_i18n!$A:$F,6,FALSE)</f>
        <v>1</v>
      </c>
      <c r="M637" s="9" t="str">
        <f ca="1">VLOOKUP(A637,[2]characters!$A:$M,13,FALSE)</f>
        <v>queen</v>
      </c>
      <c r="N637" s="6" t="str">
        <f ca="1">VLOOKUP(M637,[2]character_tribe_i18n!$A:$F,3,FALSE)</f>
        <v>QUEEN</v>
      </c>
      <c r="O637" s="97">
        <f ca="1">VLOOKUP(M637,[2]character_tribe_i18n!$A:$F,4,FALSE)</f>
        <v>1</v>
      </c>
      <c r="P637" s="97">
        <f ca="1">VLOOKUP(M637,[2]character_tribe_i18n!$A:$F,5,FALSE)</f>
        <v>1</v>
      </c>
      <c r="Q637" s="97">
        <f ca="1">VLOOKUP(M637,[2]character_tribe_i18n!$A:$F,6,FALSE)</f>
        <v>1</v>
      </c>
      <c r="R637" s="98" t="s">
        <v>98</v>
      </c>
      <c r="S637" s="97">
        <f>VLOOKUP($R637,ラベル別係数!$A$1:$E$7,3,FALSE)</f>
        <v>5</v>
      </c>
      <c r="T637" s="97">
        <f>VLOOKUP($R637,ラベル別係数!$A$1:$E$7,4,FALSE)</f>
        <v>1.3</v>
      </c>
      <c r="U637" s="97">
        <f>VLOOKUP($R637,ラベル別係数!$A$1:$E$7,5,FALSE)</f>
        <v>0.8</v>
      </c>
      <c r="V637" s="98">
        <v>3</v>
      </c>
      <c r="W637" s="99">
        <f>VLOOKUP(V637,ターン数別攻撃係数!$A$1:$B$1000,2,FALSE)</f>
        <v>1</v>
      </c>
      <c r="X637" s="9">
        <f ca="1">VLOOKUP(C637,サイズ別係数!A$2:B$9,2,FALSE)</f>
        <v>25</v>
      </c>
      <c r="Y637" s="97">
        <f ca="1">VLOOKUP($X637,サイズ別係数!$B:$E,2,FALSE)</f>
        <v>1.2</v>
      </c>
      <c r="Z637" s="97">
        <f ca="1">VLOOKUP($X637,サイズ別係数!$B:$E,3,FALSE)</f>
        <v>1.25</v>
      </c>
      <c r="AA637" s="97">
        <f ca="1">VLOOKUP($X637,サイズ別係数!$B:$E,4,FALSE)</f>
        <v>1.1499999999999999</v>
      </c>
      <c r="AB637" s="10">
        <v>0</v>
      </c>
      <c r="AC637" s="6" t="str">
        <f ca="1">VLOOKUP($AB637,OFFSET([3]enemy_skill_sets!$B$2,0,0,COUNTA([3]enemy_skill_sets!$A:$A),MATCH(AC$1,[3]enemy_skill_sets!$1:$1,0)-MATCH($AB$1,[3]enemy_skill_sets!$1:$1,0)+1),MATCH(AC$1,[3]enemy_skill_sets!$1:$1,0)-MATCH($AB$1,[3]enemy_skill_sets!$1:$1,0)+1,FALSE)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7" s="67">
        <v>1</v>
      </c>
      <c r="AE637" s="67">
        <v>1</v>
      </c>
      <c r="AF637" s="68">
        <v>0</v>
      </c>
      <c r="AG637" s="99">
        <f ca="1">ROUND(VLOOKUP(1,enemy_base_stats!$A:$F,2,FALSE) * Y637* J637*O637*E637*S637*AD637*[2]ステータス!$B$2,0)</f>
        <v>3000</v>
      </c>
      <c r="AH637" s="99">
        <f ca="1">ROUND(VLOOKUP(1,enemy_base_stats!$A:$F,3,FALSE) * Z637*K637*P637*F637*T637*AE637 * W637*[2]ステータス!$C$2,0)</f>
        <v>331</v>
      </c>
      <c r="AI637" s="99">
        <f ca="1">ROUND(VLOOKUP(1,enemy_base_stats!$A:$F,4,FALSE) * AA637*L637*Q637*G637*U637*AF637*[2]ステータス!$D$2,0)</f>
        <v>0</v>
      </c>
      <c r="AJ637" s="99">
        <f ca="1">ROUND(VLOOKUP(100,enemy_base_stats!$A:$F,2,FALSE) * Y637* J637*O637*E637*S637*AD637*[2]ステータス!$B$2,0)</f>
        <v>121800</v>
      </c>
      <c r="AK637" s="99">
        <f ca="1">ROUND(VLOOKUP(100,enemy_base_stats!$A:$F,3,FALSE)* Z637* K637*P637*F637*T637*AE637 * W637*[2]ステータス!$C$2,0)</f>
        <v>13425</v>
      </c>
      <c r="AL637" s="99">
        <f ca="1">ROUND(VLOOKUP(100,enemy_base_stats!$A:$F,4,FALSE)* AA637* L637*Q637*G637*U637*AF637*[2]ステータス!$D$2,0)</f>
        <v>0</v>
      </c>
      <c r="AM637" s="97">
        <f ca="1">VLOOKUP(M637,[2]character_tribe_i18n!$A:$I,9,FALSE)</f>
        <v>400</v>
      </c>
      <c r="AN637" s="97">
        <v>0</v>
      </c>
      <c r="AO637" s="98">
        <v>0</v>
      </c>
      <c r="AP637" s="58" t="s">
        <v>72</v>
      </c>
      <c r="AQ637" s="34">
        <f t="shared" ca="1" si="40"/>
        <v>636</v>
      </c>
    </row>
    <row r="638" spans="1:43" ht="21" customHeight="1" x14ac:dyDescent="0.15">
      <c r="A638" s="7">
        <f t="shared" ca="1" si="33"/>
        <v>637</v>
      </c>
      <c r="B638" s="6" t="str">
        <f ca="1">VLOOKUP(A638,[2]characters!$A:$C,3,FALSE)</f>
        <v>ローズR4(旧)</v>
      </c>
      <c r="C638" s="9">
        <f ca="1">VLOOKUP(A638,[2]characters!$A:$I,9,FALSE)</f>
        <v>4</v>
      </c>
      <c r="D638" s="9" t="str">
        <f ca="1">VLOOKUP(A638,[2]characters!$A:$H,8,FALSE)</f>
        <v>red</v>
      </c>
      <c r="E638" s="97">
        <f ca="1">VLOOKUP(D638,[2]属性!$A:$E,2,FALSE)</f>
        <v>1</v>
      </c>
      <c r="F638" s="97">
        <f ca="1">VLOOKUP(D638,[2]属性!$A:$E,3,FALSE)</f>
        <v>1.02</v>
      </c>
      <c r="G638" s="97">
        <f ca="1">VLOOKUP(D638,[2]属性!$A:$F,4,FALSE)</f>
        <v>1</v>
      </c>
      <c r="H638" s="9" t="str">
        <f ca="1">VLOOKUP(A638,[2]characters!$A:$K,11,FALSE)</f>
        <v>attack</v>
      </c>
      <c r="I638" s="6" t="str">
        <f ca="1">VLOOKUP(H638,[2]character_type_i18n!$A:$F,3,FALSE)</f>
        <v>攻撃タイプ</v>
      </c>
      <c r="J638" s="97">
        <f ca="1">VLOOKUP(H638,[2]character_type_i18n!$A:$F,4,FALSE)</f>
        <v>1</v>
      </c>
      <c r="K638" s="97">
        <f ca="1">VLOOKUP(H638,[2]character_type_i18n!$A:$F,5,FALSE)</f>
        <v>1.33</v>
      </c>
      <c r="L638" s="97">
        <f ca="1">VLOOKUP(H638,[2]character_type_i18n!$A:$F,6,FALSE)</f>
        <v>1</v>
      </c>
      <c r="M638" s="9" t="str">
        <f ca="1">VLOOKUP(A638,[2]characters!$A:$M,13,FALSE)</f>
        <v>queen</v>
      </c>
      <c r="N638" s="6" t="str">
        <f ca="1">VLOOKUP(M638,[2]character_tribe_i18n!$A:$F,3,FALSE)</f>
        <v>QUEEN</v>
      </c>
      <c r="O638" s="97">
        <f ca="1">VLOOKUP(M638,[2]character_tribe_i18n!$A:$F,4,FALSE)</f>
        <v>1</v>
      </c>
      <c r="P638" s="97">
        <f ca="1">VLOOKUP(M638,[2]character_tribe_i18n!$A:$F,5,FALSE)</f>
        <v>1</v>
      </c>
      <c r="Q638" s="97">
        <f ca="1">VLOOKUP(M638,[2]character_tribe_i18n!$A:$F,6,FALSE)</f>
        <v>1</v>
      </c>
      <c r="R638" s="98" t="s">
        <v>98</v>
      </c>
      <c r="S638" s="97">
        <f>VLOOKUP($R638,ラベル別係数!$A$1:$E$7,3,FALSE)</f>
        <v>5</v>
      </c>
      <c r="T638" s="97">
        <f>VLOOKUP($R638,ラベル別係数!$A$1:$E$7,4,FALSE)</f>
        <v>1.3</v>
      </c>
      <c r="U638" s="97">
        <f>VLOOKUP($R638,ラベル別係数!$A$1:$E$7,5,FALSE)</f>
        <v>0.8</v>
      </c>
      <c r="V638" s="98">
        <v>3</v>
      </c>
      <c r="W638" s="99">
        <f>VLOOKUP(V638,ターン数別攻撃係数!$A$1:$B$1000,2,FALSE)</f>
        <v>1</v>
      </c>
      <c r="X638" s="9">
        <f ca="1">VLOOKUP(C638,サイズ別係数!A$2:B$9,2,FALSE)</f>
        <v>30</v>
      </c>
      <c r="Y638" s="97">
        <f ca="1">VLOOKUP($X638,サイズ別係数!$B:$E,2,FALSE)</f>
        <v>1.3</v>
      </c>
      <c r="Z638" s="97">
        <f ca="1">VLOOKUP($X638,サイズ別係数!$B:$E,3,FALSE)</f>
        <v>1.3</v>
      </c>
      <c r="AA638" s="97">
        <f ca="1">VLOOKUP($X638,サイズ別係数!$B:$E,4,FALSE)</f>
        <v>1.1000000000000001</v>
      </c>
      <c r="AB638" s="10">
        <v>0</v>
      </c>
      <c r="AC638" s="6" t="str">
        <f ca="1">VLOOKUP($AB638,OFFSET([3]enemy_skill_sets!$B$2,0,0,COUNTA([3]enemy_skill_sets!$A:$A),MATCH(AC$1,[3]enemy_skill_sets!$1:$1,0)-MATCH($AB$1,[3]enemy_skill_sets!$1:$1,0)+1),MATCH(AC$1,[3]enemy_skill_sets!$1:$1,0)-MATCH($AB$1,[3]enemy_skill_sets!$1:$1,0)+1,FALSE)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8" s="67">
        <v>1</v>
      </c>
      <c r="AE638" s="67">
        <v>1</v>
      </c>
      <c r="AF638" s="68">
        <v>0</v>
      </c>
      <c r="AG638" s="99">
        <f ca="1">ROUND(VLOOKUP(1,enemy_base_stats!$A:$F,2,FALSE) * Y638* J638*O638*E638*S638*AD638*[2]ステータス!$B$2,0)</f>
        <v>3250</v>
      </c>
      <c r="AH638" s="99">
        <f ca="1">ROUND(VLOOKUP(1,enemy_base_stats!$A:$F,3,FALSE) * Z638*K638*P638*F638*T638*AE638 * W638*[2]ステータス!$C$2,0)</f>
        <v>344</v>
      </c>
      <c r="AI638" s="99">
        <f ca="1">ROUND(VLOOKUP(1,enemy_base_stats!$A:$F,4,FALSE) * AA638*L638*Q638*G638*U638*AF638*[2]ステータス!$D$2,0)</f>
        <v>0</v>
      </c>
      <c r="AJ638" s="99">
        <f ca="1">ROUND(VLOOKUP(100,enemy_base_stats!$A:$F,2,FALSE) * Y638* J638*O638*E638*S638*AD638*[2]ステータス!$B$2,0)</f>
        <v>131950</v>
      </c>
      <c r="AK638" s="99">
        <f ca="1">ROUND(VLOOKUP(100,enemy_base_stats!$A:$F,3,FALSE)* Z638* K638*P638*F638*T638*AE638 * W638*[2]ステータス!$C$2,0)</f>
        <v>13962</v>
      </c>
      <c r="AL638" s="99">
        <f ca="1">ROUND(VLOOKUP(100,enemy_base_stats!$A:$F,4,FALSE)* AA638* L638*Q638*G638*U638*AF638*[2]ステータス!$D$2,0)</f>
        <v>0</v>
      </c>
      <c r="AM638" s="97">
        <f ca="1">VLOOKUP(M638,[2]character_tribe_i18n!$A:$I,9,FALSE)</f>
        <v>400</v>
      </c>
      <c r="AN638" s="97">
        <v>0</v>
      </c>
      <c r="AO638" s="98">
        <v>0</v>
      </c>
      <c r="AP638" s="58" t="s">
        <v>72</v>
      </c>
      <c r="AQ638" s="34">
        <f t="shared" ca="1" si="40"/>
        <v>637</v>
      </c>
    </row>
    <row r="639" spans="1:43" ht="21" customHeight="1" x14ac:dyDescent="0.15">
      <c r="A639" s="7">
        <f t="shared" ca="1" si="33"/>
        <v>638</v>
      </c>
      <c r="B639" s="6" t="str">
        <f ca="1">VLOOKUP(A639,[2]characters!$A:$C,3,FALSE)</f>
        <v>神さま</v>
      </c>
      <c r="C639" s="9">
        <f ca="1">VLOOKUP(A639,[2]characters!$A:$I,9,FALSE)</f>
        <v>6</v>
      </c>
      <c r="D639" s="9" t="str">
        <f ca="1">VLOOKUP(A639,[2]characters!$A:$H,8,FALSE)</f>
        <v>yellow</v>
      </c>
      <c r="E639" s="97">
        <f ca="1">VLOOKUP(D639,[2]属性!$A:$E,2,FALSE)</f>
        <v>0.98</v>
      </c>
      <c r="F639" s="97">
        <f ca="1">VLOOKUP(D639,[2]属性!$A:$E,3,FALSE)</f>
        <v>1.01</v>
      </c>
      <c r="G639" s="97">
        <f ca="1">VLOOKUP(D639,[2]属性!$A:$F,4,FALSE)</f>
        <v>1</v>
      </c>
      <c r="H639" s="9" t="str">
        <f ca="1">VLOOKUP(A639,[2]characters!$A:$K,11,FALSE)</f>
        <v>balance</v>
      </c>
      <c r="I639" s="6" t="str">
        <f ca="1">VLOOKUP(H639,[2]character_type_i18n!$A:$F,3,FALSE)</f>
        <v>バランスタイプ</v>
      </c>
      <c r="J639" s="97">
        <f ca="1">VLOOKUP(H639,[2]character_type_i18n!$A:$F,4,FALSE)</f>
        <v>1</v>
      </c>
      <c r="K639" s="97">
        <f ca="1">VLOOKUP(H639,[2]character_type_i18n!$A:$F,5,FALSE)</f>
        <v>1</v>
      </c>
      <c r="L639" s="97">
        <f ca="1">VLOOKUP(H639,[2]character_type_i18n!$A:$F,6,FALSE)</f>
        <v>1</v>
      </c>
      <c r="M639" s="9" t="str">
        <f ca="1">VLOOKUP(A639,[2]characters!$A:$M,13,FALSE)</f>
        <v>god</v>
      </c>
      <c r="N639" s="6" t="str">
        <f ca="1">VLOOKUP(M639,[2]character_tribe_i18n!$A:$F,3,FALSE)</f>
        <v>ゴッド</v>
      </c>
      <c r="O639" s="97">
        <f ca="1">VLOOKUP(M639,[2]character_tribe_i18n!$A:$F,4,FALSE)</f>
        <v>0.96</v>
      </c>
      <c r="P639" s="97">
        <f ca="1">VLOOKUP(M639,[2]character_tribe_i18n!$A:$F,5,FALSE)</f>
        <v>1.02</v>
      </c>
      <c r="Q639" s="97">
        <f ca="1">VLOOKUP(M639,[2]character_tribe_i18n!$A:$F,6,FALSE)</f>
        <v>1</v>
      </c>
      <c r="R639" s="98" t="s">
        <v>98</v>
      </c>
      <c r="S639" s="97">
        <f>VLOOKUP($R639,ラベル別係数!$A$1:$E$7,3,FALSE)</f>
        <v>5</v>
      </c>
      <c r="T639" s="97">
        <f>VLOOKUP($R639,ラベル別係数!$A$1:$E$7,4,FALSE)</f>
        <v>1.3</v>
      </c>
      <c r="U639" s="97">
        <f>VLOOKUP($R639,ラベル別係数!$A$1:$E$7,5,FALSE)</f>
        <v>0.8</v>
      </c>
      <c r="V639" s="98">
        <v>3</v>
      </c>
      <c r="W639" s="99">
        <f>VLOOKUP(V639,ターン数別攻撃係数!$A$1:$B$1000,2,FALSE)</f>
        <v>1</v>
      </c>
      <c r="X639" s="9">
        <f ca="1">VLOOKUP(C639,サイズ別係数!A$2:B$9,2,FALSE)</f>
        <v>60</v>
      </c>
      <c r="Y639" s="97">
        <f ca="1">VLOOKUP($X639,サイズ別係数!$B:$E,2,FALSE)</f>
        <v>1.7</v>
      </c>
      <c r="Z639" s="97">
        <f ca="1">VLOOKUP($X639,サイズ別係数!$B:$E,3,FALSE)</f>
        <v>1.4</v>
      </c>
      <c r="AA639" s="97">
        <f ca="1">VLOOKUP($X639,サイズ別係数!$B:$E,4,FALSE)</f>
        <v>1</v>
      </c>
      <c r="AB639" s="10">
        <v>0</v>
      </c>
      <c r="AC639" s="6" t="str">
        <f ca="1">VLOOKUP($AB639,OFFSET([3]enemy_skill_sets!$B$2,0,0,COUNTA([3]enemy_skill_sets!$A:$A),MATCH(AC$1,[3]enemy_skill_sets!$1:$1,0)-MATCH($AB$1,[3]enemy_skill_sets!$1:$1,0)+1),MATCH(AC$1,[3]enemy_skill_sets!$1:$1,0)-MATCH($AB$1,[3]enemy_skill_sets!$1:$1,0)+1,FALSE)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39" s="67">
        <v>1</v>
      </c>
      <c r="AE639" s="67">
        <v>1</v>
      </c>
      <c r="AF639" s="68">
        <v>0</v>
      </c>
      <c r="AG639" s="99">
        <f ca="1">ROUND(VLOOKUP(1,enemy_base_stats!$A:$F,2,FALSE) * Y639* J639*O639*E639*S639*AD639*[2]ステータス!$B$2,0)</f>
        <v>3998</v>
      </c>
      <c r="AH639" s="99">
        <f ca="1">ROUND(VLOOKUP(1,enemy_base_stats!$A:$F,3,FALSE) * Z639*K639*P639*F639*T639*AE639 * W639*[2]ステータス!$C$2,0)</f>
        <v>281</v>
      </c>
      <c r="AI639" s="99">
        <f ca="1">ROUND(VLOOKUP(1,enemy_base_stats!$A:$F,4,FALSE) * AA639*L639*Q639*G639*U639*AF639*[2]ステータス!$D$2,0)</f>
        <v>0</v>
      </c>
      <c r="AJ639" s="99">
        <f ca="1">ROUND(VLOOKUP(100,enemy_base_stats!$A:$F,2,FALSE) * Y639* J639*O639*E639*S639*AD639*[2]ステータス!$B$2,0)</f>
        <v>162335</v>
      </c>
      <c r="AK639" s="99">
        <f ca="1">ROUND(VLOOKUP(100,enemy_base_stats!$A:$F,3,FALSE)* Z639* K639*P639*F639*T639*AE639 * W639*[2]ステータス!$C$2,0)</f>
        <v>11419</v>
      </c>
      <c r="AL639" s="99">
        <f ca="1">ROUND(VLOOKUP(100,enemy_base_stats!$A:$F,4,FALSE)* AA639* L639*Q639*G639*U639*AF639*[2]ステータス!$D$2,0)</f>
        <v>0</v>
      </c>
      <c r="AM639" s="97">
        <f ca="1">VLOOKUP(M639,[2]character_tribe_i18n!$A:$I,9,FALSE)</f>
        <v>680</v>
      </c>
      <c r="AN639" s="97">
        <v>0</v>
      </c>
      <c r="AO639" s="98">
        <v>0</v>
      </c>
      <c r="AP639" s="58" t="s">
        <v>72</v>
      </c>
      <c r="AQ639" s="34">
        <f t="shared" ca="1" si="40"/>
        <v>638</v>
      </c>
    </row>
    <row r="640" spans="1:43" ht="21" customHeight="1" x14ac:dyDescent="0.15">
      <c r="A640" s="7">
        <f t="shared" ca="1" si="33"/>
        <v>639</v>
      </c>
      <c r="B640" s="6" t="str">
        <f ca="1">VLOOKUP(A640,[2]characters!$A:$C,3,FALSE)</f>
        <v>看板娘</v>
      </c>
      <c r="C640" s="9">
        <f ca="1">VLOOKUP(A640,[2]characters!$A:$I,9,FALSE)</f>
        <v>5</v>
      </c>
      <c r="D640" s="9" t="str">
        <f ca="1">VLOOKUP(A640,[2]characters!$A:$H,8,FALSE)</f>
        <v>red</v>
      </c>
      <c r="E640" s="97">
        <f ca="1">VLOOKUP(D640,[2]属性!$A:$E,2,FALSE)</f>
        <v>1</v>
      </c>
      <c r="F640" s="97">
        <f ca="1">VLOOKUP(D640,[2]属性!$A:$E,3,FALSE)</f>
        <v>1.02</v>
      </c>
      <c r="G640" s="97">
        <f ca="1">VLOOKUP(D640,[2]属性!$A:$F,4,FALSE)</f>
        <v>1</v>
      </c>
      <c r="H640" s="9" t="str">
        <f ca="1">VLOOKUP(A640,[2]characters!$A:$K,11,FALSE)</f>
        <v>balance</v>
      </c>
      <c r="I640" s="6" t="str">
        <f ca="1">VLOOKUP(H640,[2]character_type_i18n!$A:$F,3,FALSE)</f>
        <v>バランスタイプ</v>
      </c>
      <c r="J640" s="97">
        <f ca="1">VLOOKUP(H640,[2]character_type_i18n!$A:$F,4,FALSE)</f>
        <v>1</v>
      </c>
      <c r="K640" s="97">
        <f ca="1">VLOOKUP(H640,[2]character_type_i18n!$A:$F,5,FALSE)</f>
        <v>1</v>
      </c>
      <c r="L640" s="97">
        <f ca="1">VLOOKUP(H640,[2]character_type_i18n!$A:$F,6,FALSE)</f>
        <v>1</v>
      </c>
      <c r="M640" s="9" t="str">
        <f ca="1">VLOOKUP(A640,[2]characters!$A:$M,13,FALSE)</f>
        <v>human</v>
      </c>
      <c r="N640" s="6" t="str">
        <f ca="1">VLOOKUP(M640,[2]character_tribe_i18n!$A:$F,3,FALSE)</f>
        <v>ヒューマン</v>
      </c>
      <c r="O640" s="97">
        <f ca="1">VLOOKUP(M640,[2]character_tribe_i18n!$A:$F,4,FALSE)</f>
        <v>0.94</v>
      </c>
      <c r="P640" s="97">
        <f ca="1">VLOOKUP(M640,[2]character_tribe_i18n!$A:$F,5,FALSE)</f>
        <v>0.99</v>
      </c>
      <c r="Q640" s="97">
        <f ca="1">VLOOKUP(M640,[2]character_tribe_i18n!$A:$F,6,FALSE)</f>
        <v>1</v>
      </c>
      <c r="R640" s="98" t="s">
        <v>98</v>
      </c>
      <c r="S640" s="97">
        <f>VLOOKUP($R640,ラベル別係数!$A$1:$E$7,3,FALSE)</f>
        <v>5</v>
      </c>
      <c r="T640" s="97">
        <f>VLOOKUP($R640,ラベル別係数!$A$1:$E$7,4,FALSE)</f>
        <v>1.3</v>
      </c>
      <c r="U640" s="97">
        <f>VLOOKUP($R640,ラベル別係数!$A$1:$E$7,5,FALSE)</f>
        <v>0.8</v>
      </c>
      <c r="V640" s="98">
        <v>3</v>
      </c>
      <c r="W640" s="99">
        <f>VLOOKUP(V640,ターン数別攻撃係数!$A$1:$B$1000,2,FALSE)</f>
        <v>1</v>
      </c>
      <c r="X640" s="111">
        <v>30</v>
      </c>
      <c r="Y640" s="97">
        <f>VLOOKUP($X640,サイズ別係数!$B:$E,2,FALSE)</f>
        <v>1.3</v>
      </c>
      <c r="Z640" s="97">
        <f>VLOOKUP($X640,サイズ別係数!$B:$E,3,FALSE)</f>
        <v>1.3</v>
      </c>
      <c r="AA640" s="97">
        <f>VLOOKUP($X640,サイズ別係数!$B:$E,4,FALSE)</f>
        <v>1.1000000000000001</v>
      </c>
      <c r="AB640" s="10">
        <v>0</v>
      </c>
      <c r="AC640" s="6" t="str">
        <f ca="1">VLOOKUP($AB640,OFFSET([3]enemy_skill_sets!$B$2,0,0,COUNTA([3]enemy_skill_sets!$A:$A),MATCH(AC$1,[3]enemy_skill_sets!$1:$1,0)-MATCH($AB$1,[3]enemy_skill_sets!$1:$1,0)+1),MATCH(AC$1,[3]enemy_skill_sets!$1:$1,0)-MATCH($AB$1,[3]enemy_skill_sets!$1:$1,0)+1,FALSE)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0" s="67">
        <v>1</v>
      </c>
      <c r="AE640" s="67">
        <v>1</v>
      </c>
      <c r="AF640" s="68">
        <v>0</v>
      </c>
      <c r="AG640" s="99">
        <f ca="1">ROUND(VLOOKUP(1,enemy_base_stats!$A:$F,2,FALSE) * Y640* J640*O640*E640*S640*AD640*[2]ステータス!$B$2,0)</f>
        <v>3055</v>
      </c>
      <c r="AH640" s="99">
        <f ca="1">ROUND(VLOOKUP(1,enemy_base_stats!$A:$F,3,FALSE) * Z640*K640*P640*F640*T640*AE640 * W640*[2]ステータス!$C$2,0)</f>
        <v>256</v>
      </c>
      <c r="AI640" s="99">
        <f ca="1">ROUND(VLOOKUP(1,enemy_base_stats!$A:$F,4,FALSE) * AA640*L640*Q640*G640*U640*AF640*[2]ステータス!$D$2,0)</f>
        <v>0</v>
      </c>
      <c r="AJ640" s="99">
        <f ca="1">ROUND(VLOOKUP(100,enemy_base_stats!$A:$F,2,FALSE) * Y640* J640*O640*E640*S640*AD640*[2]ステータス!$B$2,0)</f>
        <v>124033</v>
      </c>
      <c r="AK640" s="99">
        <f ca="1">ROUND(VLOOKUP(100,enemy_base_stats!$A:$F,3,FALSE)* Z640* K640*P640*F640*T640*AE640 * W640*[2]ステータス!$C$2,0)</f>
        <v>10393</v>
      </c>
      <c r="AL640" s="99">
        <f ca="1">ROUND(VLOOKUP(100,enemy_base_stats!$A:$F,4,FALSE)* AA640* L640*Q640*G640*U640*AF640*[2]ステータス!$D$2,0)</f>
        <v>0</v>
      </c>
      <c r="AM640" s="97">
        <f ca="1">VLOOKUP(M640,[2]character_tribe_i18n!$A:$I,9,FALSE)</f>
        <v>400</v>
      </c>
      <c r="AN640" s="97">
        <v>0</v>
      </c>
      <c r="AO640" s="98">
        <v>0</v>
      </c>
      <c r="AP640" s="58" t="s">
        <v>72</v>
      </c>
      <c r="AQ640" s="34">
        <f t="shared" ca="1" si="40"/>
        <v>639</v>
      </c>
    </row>
    <row r="641" spans="1:43" ht="21" customHeight="1" x14ac:dyDescent="0.15">
      <c r="A641" s="7">
        <f t="shared" ca="1" si="33"/>
        <v>640</v>
      </c>
      <c r="B641" s="6" t="str">
        <f ca="1">VLOOKUP(A641,[2]characters!$A:$C,3,FALSE)</f>
        <v>ブラックマ</v>
      </c>
      <c r="C641" s="9">
        <f ca="1">VLOOKUP(A641,[2]characters!$A:$I,9,FALSE)</f>
        <v>5</v>
      </c>
      <c r="D641" s="9" t="str">
        <f ca="1">VLOOKUP(A641,[2]characters!$A:$H,8,FALSE)</f>
        <v>green</v>
      </c>
      <c r="E641" s="97">
        <f ca="1">VLOOKUP(D641,[2]属性!$A:$E,2,FALSE)</f>
        <v>1.02</v>
      </c>
      <c r="F641" s="97">
        <f ca="1">VLOOKUP(D641,[2]属性!$A:$E,3,FALSE)</f>
        <v>0.98</v>
      </c>
      <c r="G641" s="97">
        <f ca="1">VLOOKUP(D641,[2]属性!$A:$F,4,FALSE)</f>
        <v>1</v>
      </c>
      <c r="H641" s="9" t="str">
        <f ca="1">VLOOKUP(A641,[2]characters!$A:$K,11,FALSE)</f>
        <v>balance</v>
      </c>
      <c r="I641" s="6" t="str">
        <f ca="1">VLOOKUP(H641,[2]character_type_i18n!$A:$F,3,FALSE)</f>
        <v>バランスタイプ</v>
      </c>
      <c r="J641" s="97">
        <f ca="1">VLOOKUP(H641,[2]character_type_i18n!$A:$F,4,FALSE)</f>
        <v>1</v>
      </c>
      <c r="K641" s="97">
        <f ca="1">VLOOKUP(H641,[2]character_type_i18n!$A:$F,5,FALSE)</f>
        <v>1</v>
      </c>
      <c r="L641" s="97">
        <f ca="1">VLOOKUP(H641,[2]character_type_i18n!$A:$F,6,FALSE)</f>
        <v>1</v>
      </c>
      <c r="M641" s="9" t="str">
        <f ca="1">VLOOKUP(A641,[2]characters!$A:$M,13,FALSE)</f>
        <v>animal</v>
      </c>
      <c r="N641" s="6" t="str">
        <f ca="1">VLOOKUP(M641,[2]character_tribe_i18n!$A:$F,3,FALSE)</f>
        <v>アニマル</v>
      </c>
      <c r="O641" s="97">
        <f ca="1">VLOOKUP(M641,[2]character_tribe_i18n!$A:$F,4,FALSE)</f>
        <v>1</v>
      </c>
      <c r="P641" s="97">
        <f ca="1">VLOOKUP(M641,[2]character_tribe_i18n!$A:$F,5,FALSE)</f>
        <v>1.1000000000000001</v>
      </c>
      <c r="Q641" s="97">
        <f ca="1">VLOOKUP(M641,[2]character_tribe_i18n!$A:$F,6,FALSE)</f>
        <v>1</v>
      </c>
      <c r="R641" s="98" t="s">
        <v>98</v>
      </c>
      <c r="S641" s="97">
        <f>VLOOKUP($R641,ラベル別係数!$A$1:$E$7,3,FALSE)</f>
        <v>5</v>
      </c>
      <c r="T641" s="97">
        <f>VLOOKUP($R641,ラベル別係数!$A$1:$E$7,4,FALSE)</f>
        <v>1.3</v>
      </c>
      <c r="U641" s="97">
        <f>VLOOKUP($R641,ラベル別係数!$A$1:$E$7,5,FALSE)</f>
        <v>0.8</v>
      </c>
      <c r="V641" s="98">
        <v>3</v>
      </c>
      <c r="W641" s="99">
        <f>VLOOKUP(V641,ターン数別攻撃係数!$A$1:$B$1000,2,FALSE)</f>
        <v>1</v>
      </c>
      <c r="X641" s="111">
        <v>30</v>
      </c>
      <c r="Y641" s="97">
        <f>VLOOKUP($X641,サイズ別係数!$B:$E,2,FALSE)</f>
        <v>1.3</v>
      </c>
      <c r="Z641" s="97">
        <f>VLOOKUP($X641,サイズ別係数!$B:$E,3,FALSE)</f>
        <v>1.3</v>
      </c>
      <c r="AA641" s="97">
        <f>VLOOKUP($X641,サイズ別係数!$B:$E,4,FALSE)</f>
        <v>1.1000000000000001</v>
      </c>
      <c r="AB641" s="10">
        <v>0</v>
      </c>
      <c r="AC641" s="6" t="str">
        <f ca="1">VLOOKUP($AB641,OFFSET([3]enemy_skill_sets!$B$2,0,0,COUNTA([3]enemy_skill_sets!$A:$A),MATCH(AC$1,[3]enemy_skill_sets!$1:$1,0)-MATCH($AB$1,[3]enemy_skill_sets!$1:$1,0)+1),MATCH(AC$1,[3]enemy_skill_sets!$1:$1,0)-MATCH($AB$1,[3]enemy_skill_sets!$1:$1,0)+1,FALSE)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1" s="67">
        <v>1</v>
      </c>
      <c r="AE641" s="67">
        <v>1</v>
      </c>
      <c r="AF641" s="68">
        <v>0</v>
      </c>
      <c r="AG641" s="99">
        <f ca="1">ROUND(VLOOKUP(1,enemy_base_stats!$A:$F,2,FALSE) * Y641* J641*O641*E641*S641*AD641*[2]ステータス!$B$2,0)</f>
        <v>3315</v>
      </c>
      <c r="AH641" s="99">
        <f ca="1">ROUND(VLOOKUP(1,enemy_base_stats!$A:$F,3,FALSE) * Z641*K641*P641*F641*T641*AE641 * W641*[2]ステータス!$C$2,0)</f>
        <v>273</v>
      </c>
      <c r="AI641" s="99">
        <f ca="1">ROUND(VLOOKUP(1,enemy_base_stats!$A:$F,4,FALSE) * AA641*L641*Q641*G641*U641*AF641*[2]ステータス!$D$2,0)</f>
        <v>0</v>
      </c>
      <c r="AJ641" s="99">
        <f ca="1">ROUND(VLOOKUP(100,enemy_base_stats!$A:$F,2,FALSE) * Y641* J641*O641*E641*S641*AD641*[2]ステータス!$B$2,0)</f>
        <v>134589</v>
      </c>
      <c r="AK641" s="99">
        <f ca="1">ROUND(VLOOKUP(100,enemy_base_stats!$A:$F,3,FALSE)* Z641* K641*P641*F641*T641*AE641 * W641*[2]ステータス!$C$2,0)</f>
        <v>11095</v>
      </c>
      <c r="AL641" s="99">
        <f ca="1">ROUND(VLOOKUP(100,enemy_base_stats!$A:$F,4,FALSE)* AA641* L641*Q641*G641*U641*AF641*[2]ステータス!$D$2,0)</f>
        <v>0</v>
      </c>
      <c r="AM641" s="97">
        <f ca="1">VLOOKUP(M641,[2]character_tribe_i18n!$A:$I,9,FALSE)</f>
        <v>480</v>
      </c>
      <c r="AN641" s="97">
        <v>0</v>
      </c>
      <c r="AO641" s="98">
        <v>0</v>
      </c>
      <c r="AP641" s="58" t="s">
        <v>72</v>
      </c>
      <c r="AQ641" s="34">
        <f t="shared" ca="1" si="40"/>
        <v>640</v>
      </c>
    </row>
    <row r="642" spans="1:43" ht="21" customHeight="1" x14ac:dyDescent="0.15">
      <c r="A642" s="7">
        <f t="shared" ca="1" si="33"/>
        <v>641</v>
      </c>
      <c r="B642" s="6" t="str">
        <f ca="1">VLOOKUP(A642,[2]characters!$A:$C,3,FALSE)</f>
        <v>砦</v>
      </c>
      <c r="C642" s="9">
        <f ca="1">VLOOKUP(A642,[2]characters!$A:$I,9,FALSE)</f>
        <v>5</v>
      </c>
      <c r="D642" s="9" t="str">
        <f ca="1">VLOOKUP(A642,[2]characters!$A:$H,8,FALSE)</f>
        <v>blue</v>
      </c>
      <c r="E642" s="97">
        <f ca="1">VLOOKUP(D642,[2]属性!$A:$E,2,FALSE)</f>
        <v>1</v>
      </c>
      <c r="F642" s="97">
        <f ca="1">VLOOKUP(D642,[2]属性!$A:$E,3,FALSE)</f>
        <v>0.98</v>
      </c>
      <c r="G642" s="97">
        <f ca="1">VLOOKUP(D642,[2]属性!$A:$F,4,FALSE)</f>
        <v>1</v>
      </c>
      <c r="H642" s="9" t="str">
        <f ca="1">VLOOKUP(A642,[2]characters!$A:$K,11,FALSE)</f>
        <v>balance</v>
      </c>
      <c r="I642" s="6" t="str">
        <f ca="1">VLOOKUP(H642,[2]character_type_i18n!$A:$F,3,FALSE)</f>
        <v>バランスタイプ</v>
      </c>
      <c r="J642" s="97">
        <f ca="1">VLOOKUP(H642,[2]character_type_i18n!$A:$F,4,FALSE)</f>
        <v>1</v>
      </c>
      <c r="K642" s="97">
        <f ca="1">VLOOKUP(H642,[2]character_type_i18n!$A:$F,5,FALSE)</f>
        <v>1</v>
      </c>
      <c r="L642" s="97">
        <f ca="1">VLOOKUP(H642,[2]character_type_i18n!$A:$F,6,FALSE)</f>
        <v>1</v>
      </c>
      <c r="M642" s="9" t="str">
        <f ca="1">VLOOKUP(A642,[2]characters!$A:$M,13,FALSE)</f>
        <v>unknown</v>
      </c>
      <c r="N642" s="6" t="str">
        <f ca="1">VLOOKUP(M642,[2]character_tribe_i18n!$A:$F,3,FALSE)</f>
        <v>Unknown</v>
      </c>
      <c r="O642" s="97">
        <f ca="1">VLOOKUP(M642,[2]character_tribe_i18n!$A:$F,4,FALSE)</f>
        <v>1</v>
      </c>
      <c r="P642" s="97">
        <f ca="1">VLOOKUP(M642,[2]character_tribe_i18n!$A:$F,5,FALSE)</f>
        <v>1</v>
      </c>
      <c r="Q642" s="97">
        <f ca="1">VLOOKUP(M642,[2]character_tribe_i18n!$A:$F,6,FALSE)</f>
        <v>1</v>
      </c>
      <c r="R642" s="98" t="s">
        <v>98</v>
      </c>
      <c r="S642" s="97">
        <f>VLOOKUP($R642,ラベル別係数!$A$1:$E$7,3,FALSE)</f>
        <v>5</v>
      </c>
      <c r="T642" s="97">
        <f>VLOOKUP($R642,ラベル別係数!$A$1:$E$7,4,FALSE)</f>
        <v>1.3</v>
      </c>
      <c r="U642" s="97">
        <f>VLOOKUP($R642,ラベル別係数!$A$1:$E$7,5,FALSE)</f>
        <v>0.8</v>
      </c>
      <c r="V642" s="98">
        <v>3</v>
      </c>
      <c r="W642" s="99">
        <f>VLOOKUP(V642,ターン数別攻撃係数!$A$1:$B$1000,2,FALSE)</f>
        <v>1</v>
      </c>
      <c r="X642" s="111">
        <v>30</v>
      </c>
      <c r="Y642" s="97">
        <f>VLOOKUP($X642,サイズ別係数!$B:$E,2,FALSE)</f>
        <v>1.3</v>
      </c>
      <c r="Z642" s="97">
        <f>VLOOKUP($X642,サイズ別係数!$B:$E,3,FALSE)</f>
        <v>1.3</v>
      </c>
      <c r="AA642" s="97">
        <f>VLOOKUP($X642,サイズ別係数!$B:$E,4,FALSE)</f>
        <v>1.1000000000000001</v>
      </c>
      <c r="AB642" s="10">
        <v>0</v>
      </c>
      <c r="AC642" s="6" t="str">
        <f ca="1">VLOOKUP($AB642,OFFSET([3]enemy_skill_sets!$B$2,0,0,COUNTA([3]enemy_skill_sets!$A:$A),MATCH(AC$1,[3]enemy_skill_sets!$1:$1,0)-MATCH($AB$1,[3]enemy_skill_sets!$1:$1,0)+1),MATCH(AC$1,[3]enemy_skill_sets!$1:$1,0)-MATCH($AB$1,[3]enemy_skill_sets!$1:$1,0)+1,FALSE)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2" s="67">
        <v>1</v>
      </c>
      <c r="AE642" s="67">
        <v>1</v>
      </c>
      <c r="AF642" s="68">
        <v>0</v>
      </c>
      <c r="AG642" s="99">
        <f ca="1">ROUND(VLOOKUP(1,enemy_base_stats!$A:$F,2,FALSE) * Y642* J642*O642*E642*S642*AD642*[2]ステータス!$B$2,0)</f>
        <v>3250</v>
      </c>
      <c r="AH642" s="99">
        <f ca="1">ROUND(VLOOKUP(1,enemy_base_stats!$A:$F,3,FALSE) * Z642*K642*P642*F642*T642*AE642 * W642*[2]ステータス!$C$2,0)</f>
        <v>248</v>
      </c>
      <c r="AI642" s="99">
        <f ca="1">ROUND(VLOOKUP(1,enemy_base_stats!$A:$F,4,FALSE) * AA642*L642*Q642*G642*U642*AF642*[2]ステータス!$D$2,0)</f>
        <v>0</v>
      </c>
      <c r="AJ642" s="99">
        <f ca="1">ROUND(VLOOKUP(100,enemy_base_stats!$A:$F,2,FALSE) * Y642* J642*O642*E642*S642*AD642*[2]ステータス!$B$2,0)</f>
        <v>131950</v>
      </c>
      <c r="AK642" s="99">
        <f ca="1">ROUND(VLOOKUP(100,enemy_base_stats!$A:$F,3,FALSE)* Z642* K642*P642*F642*T642*AE642 * W642*[2]ステータス!$C$2,0)</f>
        <v>10086</v>
      </c>
      <c r="AL642" s="99">
        <f ca="1">ROUND(VLOOKUP(100,enemy_base_stats!$A:$F,4,FALSE)* AA642* L642*Q642*G642*U642*AF642*[2]ステータス!$D$2,0)</f>
        <v>0</v>
      </c>
      <c r="AM642" s="97">
        <f ca="1">VLOOKUP(M642,[2]character_tribe_i18n!$A:$I,9,FALSE)</f>
        <v>340</v>
      </c>
      <c r="AN642" s="97">
        <v>0</v>
      </c>
      <c r="AO642" s="98">
        <v>0</v>
      </c>
      <c r="AP642" s="58" t="s">
        <v>72</v>
      </c>
      <c r="AQ642" s="34">
        <f t="shared" ca="1" si="40"/>
        <v>641</v>
      </c>
    </row>
    <row r="643" spans="1:43" ht="21" customHeight="1" x14ac:dyDescent="0.15">
      <c r="A643" s="7">
        <f t="shared" ref="A643:A706" ca="1" si="41">INDIRECT(ADDRESS(ROW(),COLUMN(),1,TRUE,"[CharacterMasterData.xlsm]characters"))</f>
        <v>642</v>
      </c>
      <c r="B643" s="6" t="str">
        <f ca="1">VLOOKUP(A643,[2]characters!$A:$C,3,FALSE)</f>
        <v>カーマ</v>
      </c>
      <c r="C643" s="9">
        <f ca="1">VLOOKUP(A643,[2]characters!$A:$I,9,FALSE)</f>
        <v>4</v>
      </c>
      <c r="D643" s="9" t="str">
        <f ca="1">VLOOKUP(A643,[2]characters!$A:$H,8,FALSE)</f>
        <v>red</v>
      </c>
      <c r="E643" s="97">
        <f ca="1">VLOOKUP(D643,[2]属性!$A:$E,2,FALSE)</f>
        <v>1</v>
      </c>
      <c r="F643" s="97">
        <f ca="1">VLOOKUP(D643,[2]属性!$A:$E,3,FALSE)</f>
        <v>1.02</v>
      </c>
      <c r="G643" s="97">
        <f ca="1">VLOOKUP(D643,[2]属性!$A:$F,4,FALSE)</f>
        <v>1</v>
      </c>
      <c r="H643" s="9" t="s">
        <v>131</v>
      </c>
      <c r="I643" s="6" t="str">
        <f>VLOOKUP(H643,[2]character_type_i18n!$A:$F,3,FALSE)</f>
        <v>攻撃タイプ</v>
      </c>
      <c r="J643" s="97">
        <f>VLOOKUP(H643,[2]character_type_i18n!$A:$F,4,FALSE)</f>
        <v>1</v>
      </c>
      <c r="K643" s="97">
        <f>VLOOKUP(H643,[2]character_type_i18n!$A:$F,5,FALSE)</f>
        <v>1.33</v>
      </c>
      <c r="L643" s="97">
        <f>VLOOKUP(H643,[2]character_type_i18n!$A:$F,6,FALSE)</f>
        <v>1</v>
      </c>
      <c r="M643" s="9" t="str">
        <f ca="1">VLOOKUP(A643,[2]characters!$A:$M,13,FALSE)</f>
        <v>god</v>
      </c>
      <c r="N643" s="6" t="str">
        <f ca="1">VLOOKUP(M643,[2]character_tribe_i18n!$A:$F,3,FALSE)</f>
        <v>ゴッド</v>
      </c>
      <c r="O643" s="97">
        <f ca="1">VLOOKUP(M643,[2]character_tribe_i18n!$A:$F,4,FALSE)</f>
        <v>0.96</v>
      </c>
      <c r="P643" s="97">
        <f ca="1">VLOOKUP(M643,[2]character_tribe_i18n!$A:$F,5,FALSE)</f>
        <v>1.02</v>
      </c>
      <c r="Q643" s="97">
        <f ca="1">VLOOKUP(M643,[2]character_tribe_i18n!$A:$F,6,FALSE)</f>
        <v>1</v>
      </c>
      <c r="R643" s="98" t="s">
        <v>98</v>
      </c>
      <c r="S643" s="97">
        <f>VLOOKUP($R643,ラベル別係数!$A$1:$E$7,3,FALSE)</f>
        <v>5</v>
      </c>
      <c r="T643" s="97">
        <f>VLOOKUP($R643,ラベル別係数!$A$1:$E$7,4,FALSE)</f>
        <v>1.3</v>
      </c>
      <c r="U643" s="97">
        <f>VLOOKUP($R643,ラベル別係数!$A$1:$E$7,5,FALSE)</f>
        <v>0.8</v>
      </c>
      <c r="V643" s="98">
        <v>3</v>
      </c>
      <c r="W643" s="99">
        <f>VLOOKUP(V643,ターン数別攻撃係数!$A$1:$B$1000,2,FALSE)</f>
        <v>1</v>
      </c>
      <c r="X643" s="9">
        <f ca="1">VLOOKUP(C643,サイズ別係数!A$2:B$9,2,FALSE)</f>
        <v>30</v>
      </c>
      <c r="Y643" s="97">
        <f ca="1">VLOOKUP($X643,サイズ別係数!$B:$E,2,FALSE)</f>
        <v>1.3</v>
      </c>
      <c r="Z643" s="97">
        <f ca="1">VLOOKUP($X643,サイズ別係数!$B:$E,3,FALSE)</f>
        <v>1.3</v>
      </c>
      <c r="AA643" s="97">
        <f ca="1">VLOOKUP($X643,サイズ別係数!$B:$E,4,FALSE)</f>
        <v>1.1000000000000001</v>
      </c>
      <c r="AB643" s="10">
        <v>0</v>
      </c>
      <c r="AC643" s="6" t="str">
        <f ca="1">VLOOKUP($AB643,OFFSET([3]enemy_skill_sets!$B$2,0,0,COUNTA([3]enemy_skill_sets!$A:$A),MATCH(AC$1,[3]enemy_skill_sets!$1:$1,0)-MATCH($AB$1,[3]enemy_skill_sets!$1:$1,0)+1),MATCH(AC$1,[3]enemy_skill_sets!$1:$1,0)-MATCH($AB$1,[3]enemy_skill_sets!$1:$1,0)+1,FALSE)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3" s="67">
        <v>1</v>
      </c>
      <c r="AE643" s="67">
        <v>1</v>
      </c>
      <c r="AF643" s="68">
        <v>0</v>
      </c>
      <c r="AG643" s="99">
        <f ca="1">ROUND(VLOOKUP(1,enemy_base_stats!$A:$F,2,FALSE) * Y643* J643*O643*E643*S643*AD643*[2]ステータス!$B$2,0)</f>
        <v>3120</v>
      </c>
      <c r="AH643" s="99">
        <f ca="1">ROUND(VLOOKUP(1,enemy_base_stats!$A:$F,3,FALSE) * Z643*K643*P643*F643*T643*AE643 * W643*[2]ステータス!$C$2,0)</f>
        <v>351</v>
      </c>
      <c r="AI643" s="99">
        <f ca="1">ROUND(VLOOKUP(1,enemy_base_stats!$A:$F,4,FALSE) * AA643*L643*Q643*G643*U643*AF643*[2]ステータス!$D$2,0)</f>
        <v>0</v>
      </c>
      <c r="AJ643" s="99">
        <f ca="1">ROUND(VLOOKUP(100,enemy_base_stats!$A:$F,2,FALSE) * Y643* J643*O643*E643*S643*AD643*[2]ステータス!$B$2,0)</f>
        <v>126672</v>
      </c>
      <c r="AK643" s="99">
        <f ca="1">ROUND(VLOOKUP(100,enemy_base_stats!$A:$F,3,FALSE)* Z643* K643*P643*F643*T643*AE643 * W643*[2]ステータス!$C$2,0)</f>
        <v>14242</v>
      </c>
      <c r="AL643" s="99">
        <f ca="1">ROUND(VLOOKUP(100,enemy_base_stats!$A:$F,4,FALSE)* AA643* L643*Q643*G643*U643*AF643*[2]ステータス!$D$2,0)</f>
        <v>0</v>
      </c>
      <c r="AM643" s="97">
        <f ca="1">VLOOKUP(M643,[2]character_tribe_i18n!$A:$I,9,FALSE)</f>
        <v>680</v>
      </c>
      <c r="AN643" s="97">
        <v>0</v>
      </c>
      <c r="AO643" s="98">
        <v>0</v>
      </c>
      <c r="AP643" s="58" t="s">
        <v>72</v>
      </c>
      <c r="AQ643" s="34">
        <f t="shared" ca="1" si="40"/>
        <v>642</v>
      </c>
    </row>
    <row r="644" spans="1:43" ht="21" customHeight="1" x14ac:dyDescent="0.15">
      <c r="A644" s="7">
        <f t="shared" ca="1" si="41"/>
        <v>643</v>
      </c>
      <c r="B644" s="6" t="str">
        <f ca="1">VLOOKUP(A644,[2]characters!$A:$C,3,FALSE)</f>
        <v>愛花天神 カーマ</v>
      </c>
      <c r="C644" s="9">
        <f ca="1">VLOOKUP(A644,[2]characters!$A:$I,9,FALSE)</f>
        <v>5</v>
      </c>
      <c r="D644" s="9" t="str">
        <f ca="1">VLOOKUP(A644,[2]characters!$A:$H,8,FALSE)</f>
        <v>red</v>
      </c>
      <c r="E644" s="97">
        <f ca="1">VLOOKUP(D644,[2]属性!$A:$E,2,FALSE)</f>
        <v>1</v>
      </c>
      <c r="F644" s="97">
        <f ca="1">VLOOKUP(D644,[2]属性!$A:$E,3,FALSE)</f>
        <v>1.02</v>
      </c>
      <c r="G644" s="97">
        <f ca="1">VLOOKUP(D644,[2]属性!$A:$F,4,FALSE)</f>
        <v>1</v>
      </c>
      <c r="H644" s="9" t="s">
        <v>131</v>
      </c>
      <c r="I644" s="6" t="str">
        <f>VLOOKUP(H644,[2]character_type_i18n!$A:$F,3,FALSE)</f>
        <v>攻撃タイプ</v>
      </c>
      <c r="J644" s="97">
        <f>VLOOKUP(H644,[2]character_type_i18n!$A:$F,4,FALSE)</f>
        <v>1</v>
      </c>
      <c r="K644" s="97">
        <f>VLOOKUP(H644,[2]character_type_i18n!$A:$F,5,FALSE)</f>
        <v>1.33</v>
      </c>
      <c r="L644" s="97">
        <f>VLOOKUP(H644,[2]character_type_i18n!$A:$F,6,FALSE)</f>
        <v>1</v>
      </c>
      <c r="M644" s="9" t="str">
        <f ca="1">VLOOKUP(A644,[2]characters!$A:$M,13,FALSE)</f>
        <v>god</v>
      </c>
      <c r="N644" s="6" t="str">
        <f ca="1">VLOOKUP(M644,[2]character_tribe_i18n!$A:$F,3,FALSE)</f>
        <v>ゴッド</v>
      </c>
      <c r="O644" s="97">
        <f ca="1">VLOOKUP(M644,[2]character_tribe_i18n!$A:$F,4,FALSE)</f>
        <v>0.96</v>
      </c>
      <c r="P644" s="97">
        <f ca="1">VLOOKUP(M644,[2]character_tribe_i18n!$A:$F,5,FALSE)</f>
        <v>1.02</v>
      </c>
      <c r="Q644" s="97">
        <f ca="1">VLOOKUP(M644,[2]character_tribe_i18n!$A:$F,6,FALSE)</f>
        <v>1</v>
      </c>
      <c r="R644" s="98" t="s">
        <v>98</v>
      </c>
      <c r="S644" s="97">
        <f>VLOOKUP($R644,ラベル別係数!$A$1:$E$7,3,FALSE)</f>
        <v>5</v>
      </c>
      <c r="T644" s="97">
        <f>VLOOKUP($R644,ラベル別係数!$A$1:$E$7,4,FALSE)</f>
        <v>1.3</v>
      </c>
      <c r="U644" s="97">
        <f>VLOOKUP($R644,ラベル別係数!$A$1:$E$7,5,FALSE)</f>
        <v>0.8</v>
      </c>
      <c r="V644" s="98">
        <v>3</v>
      </c>
      <c r="W644" s="99">
        <f>VLOOKUP(V644,ターン数別攻撃係数!$A$1:$B$1000,2,FALSE)</f>
        <v>1</v>
      </c>
      <c r="X644" s="9">
        <f ca="1">VLOOKUP(C644,サイズ別係数!A$2:B$9,2,FALSE)</f>
        <v>60</v>
      </c>
      <c r="Y644" s="97">
        <f ca="1">VLOOKUP($X644,サイズ別係数!$B:$E,2,FALSE)</f>
        <v>1.7</v>
      </c>
      <c r="Z644" s="97">
        <f ca="1">VLOOKUP($X644,サイズ別係数!$B:$E,3,FALSE)</f>
        <v>1.4</v>
      </c>
      <c r="AA644" s="97">
        <f ca="1">VLOOKUP($X644,サイズ別係数!$B:$E,4,FALSE)</f>
        <v>1</v>
      </c>
      <c r="AB644" s="10">
        <v>0</v>
      </c>
      <c r="AC644" s="6" t="str">
        <f ca="1">VLOOKUP($AB644,OFFSET([3]enemy_skill_sets!$B$2,0,0,COUNTA([3]enemy_skill_sets!$A:$A),MATCH(AC$1,[3]enemy_skill_sets!$1:$1,0)-MATCH($AB$1,[3]enemy_skill_sets!$1:$1,0)+1),MATCH(AC$1,[3]enemy_skill_sets!$1:$1,0)-MATCH($AB$1,[3]enemy_skill_sets!$1:$1,0)+1,FALSE)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4" s="67">
        <v>1</v>
      </c>
      <c r="AE644" s="67">
        <v>1</v>
      </c>
      <c r="AF644" s="68">
        <v>0</v>
      </c>
      <c r="AG644" s="99">
        <f ca="1">ROUND(VLOOKUP(1,enemy_base_stats!$A:$F,2,FALSE) * Y644* J644*O644*E644*S644*AD644*[2]ステータス!$B$2,0)</f>
        <v>4080</v>
      </c>
      <c r="AH644" s="99">
        <f ca="1">ROUND(VLOOKUP(1,enemy_base_stats!$A:$F,3,FALSE) * Z644*K644*P644*F644*T644*AE644 * W644*[2]ステータス!$C$2,0)</f>
        <v>378</v>
      </c>
      <c r="AI644" s="99">
        <f ca="1">ROUND(VLOOKUP(1,enemy_base_stats!$A:$F,4,FALSE) * AA644*L644*Q644*G644*U644*AF644*[2]ステータス!$D$2,0)</f>
        <v>0</v>
      </c>
      <c r="AJ644" s="99">
        <f ca="1">ROUND(VLOOKUP(100,enemy_base_stats!$A:$F,2,FALSE) * Y644* J644*O644*E644*S644*AD644*[2]ステータス!$B$2,0)</f>
        <v>165648</v>
      </c>
      <c r="AK644" s="99">
        <f ca="1">ROUND(VLOOKUP(100,enemy_base_stats!$A:$F,3,FALSE)* Z644* K644*P644*F644*T644*AE644 * W644*[2]ステータス!$C$2,0)</f>
        <v>15337</v>
      </c>
      <c r="AL644" s="99">
        <f ca="1">ROUND(VLOOKUP(100,enemy_base_stats!$A:$F,4,FALSE)* AA644* L644*Q644*G644*U644*AF644*[2]ステータス!$D$2,0)</f>
        <v>0</v>
      </c>
      <c r="AM644" s="97">
        <f ca="1">VLOOKUP(M644,[2]character_tribe_i18n!$A:$I,9,FALSE)</f>
        <v>680</v>
      </c>
      <c r="AN644" s="97">
        <v>0</v>
      </c>
      <c r="AO644" s="98">
        <v>0</v>
      </c>
      <c r="AP644" s="58" t="s">
        <v>72</v>
      </c>
      <c r="AQ644" s="34">
        <f t="shared" ca="1" si="40"/>
        <v>643</v>
      </c>
    </row>
    <row r="645" spans="1:43" ht="21" customHeight="1" x14ac:dyDescent="0.15">
      <c r="A645" s="7">
        <f t="shared" ca="1" si="41"/>
        <v>644</v>
      </c>
      <c r="B645" s="6" t="str">
        <f ca="1">VLOOKUP(A645,[2]characters!$A:$C,3,FALSE)</f>
        <v>滑瓢 ショウキ</v>
      </c>
      <c r="C645" s="9">
        <f ca="1">VLOOKUP(A645,[2]characters!$A:$I,9,FALSE)</f>
        <v>4</v>
      </c>
      <c r="D645" s="9" t="str">
        <f ca="1">VLOOKUP(A645,[2]characters!$A:$H,8,FALSE)</f>
        <v>green</v>
      </c>
      <c r="E645" s="97">
        <f ca="1">VLOOKUP(D645,[2]属性!$A:$E,2,FALSE)</f>
        <v>1.02</v>
      </c>
      <c r="F645" s="97">
        <f ca="1">VLOOKUP(D645,[2]属性!$A:$E,3,FALSE)</f>
        <v>0.98</v>
      </c>
      <c r="G645" s="97">
        <f ca="1">VLOOKUP(D645,[2]属性!$A:$F,4,FALSE)</f>
        <v>1</v>
      </c>
      <c r="H645" s="9" t="str">
        <f ca="1">VLOOKUP(A645,[2]characters!$A:$K,11,FALSE)</f>
        <v>technical</v>
      </c>
      <c r="I645" s="6" t="str">
        <f ca="1">VLOOKUP(H645,[2]character_type_i18n!$A:$F,3,FALSE)</f>
        <v>テクニカルタイプ</v>
      </c>
      <c r="J645" s="97">
        <f ca="1">VLOOKUP(H645,[2]character_type_i18n!$A:$F,4,FALSE)</f>
        <v>0.9</v>
      </c>
      <c r="K645" s="97">
        <f ca="1">VLOOKUP(H645,[2]character_type_i18n!$A:$F,5,FALSE)</f>
        <v>0.9</v>
      </c>
      <c r="L645" s="97">
        <f ca="1">VLOOKUP(H645,[2]character_type_i18n!$A:$F,6,FALSE)</f>
        <v>1</v>
      </c>
      <c r="M645" s="9" t="str">
        <f ca="1">VLOOKUP(A645,[2]characters!$A:$M,13,FALSE)</f>
        <v>human</v>
      </c>
      <c r="N645" s="6" t="str">
        <f ca="1">VLOOKUP(M645,[2]character_tribe_i18n!$A:$F,3,FALSE)</f>
        <v>ヒューマン</v>
      </c>
      <c r="O645" s="97">
        <f ca="1">VLOOKUP(M645,[2]character_tribe_i18n!$A:$F,4,FALSE)</f>
        <v>0.94</v>
      </c>
      <c r="P645" s="97">
        <f ca="1">VLOOKUP(M645,[2]character_tribe_i18n!$A:$F,5,FALSE)</f>
        <v>0.99</v>
      </c>
      <c r="Q645" s="97">
        <f ca="1">VLOOKUP(M645,[2]character_tribe_i18n!$A:$F,6,FALSE)</f>
        <v>1</v>
      </c>
      <c r="R645" s="98" t="s">
        <v>98</v>
      </c>
      <c r="S645" s="97">
        <f>VLOOKUP($R645,ラベル別係数!$A$1:$E$7,3,FALSE)</f>
        <v>5</v>
      </c>
      <c r="T645" s="97">
        <f>VLOOKUP($R645,ラベル別係数!$A$1:$E$7,4,FALSE)</f>
        <v>1.3</v>
      </c>
      <c r="U645" s="97">
        <f>VLOOKUP($R645,ラベル別係数!$A$1:$E$7,5,FALSE)</f>
        <v>0.8</v>
      </c>
      <c r="V645" s="98">
        <v>1</v>
      </c>
      <c r="W645" s="99">
        <f>VLOOKUP(V645,ターン数別攻撃係数!$A$1:$B$1000,2,FALSE)</f>
        <v>0.55000000000000004</v>
      </c>
      <c r="X645" s="9">
        <f ca="1">VLOOKUP(C645,サイズ別係数!A$2:B$9,2,FALSE)</f>
        <v>30</v>
      </c>
      <c r="Y645" s="97">
        <f ca="1">VLOOKUP($X645,サイズ別係数!$B:$E,2,FALSE)</f>
        <v>1.3</v>
      </c>
      <c r="Z645" s="97">
        <f ca="1">VLOOKUP($X645,サイズ別係数!$B:$E,3,FALSE)</f>
        <v>1.3</v>
      </c>
      <c r="AA645" s="97">
        <f ca="1">VLOOKUP($X645,サイズ別係数!$B:$E,4,FALSE)</f>
        <v>1.1000000000000001</v>
      </c>
      <c r="AB645" s="10">
        <v>0</v>
      </c>
      <c r="AC645" s="6" t="str">
        <f ca="1">VLOOKUP($AB645,OFFSET([3]enemy_skill_sets!$B$2,0,0,COUNTA([3]enemy_skill_sets!$A:$A),MATCH(AC$1,[3]enemy_skill_sets!$1:$1,0)-MATCH($AB$1,[3]enemy_skill_sets!$1:$1,0)+1),MATCH(AC$1,[3]enemy_skill_sets!$1:$1,0)-MATCH($AB$1,[3]enemy_skill_sets!$1:$1,0)+1,FALSE)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5" s="67">
        <v>1</v>
      </c>
      <c r="AE645" s="67">
        <v>1</v>
      </c>
      <c r="AF645" s="68">
        <v>0</v>
      </c>
      <c r="AG645" s="99">
        <f ca="1">ROUND(VLOOKUP(1,enemy_base_stats!$A:$F,2,FALSE) * Y645* J645*O645*E645*S645*AD645*[2]ステータス!$B$2,0)</f>
        <v>2804</v>
      </c>
      <c r="AH645" s="99">
        <f ca="1">ROUND(VLOOKUP(1,enemy_base_stats!$A:$F,3,FALSE) * Z645*K645*P645*F645*T645*AE645 * W645*[2]ステータス!$C$2,0)</f>
        <v>122</v>
      </c>
      <c r="AI645" s="99">
        <f ca="1">ROUND(VLOOKUP(1,enemy_base_stats!$A:$F,4,FALSE) * AA645*L645*Q645*G645*U645*AF645*[2]ステータス!$D$2,0)</f>
        <v>0</v>
      </c>
      <c r="AJ645" s="99">
        <f ca="1">ROUND(VLOOKUP(100,enemy_base_stats!$A:$F,2,FALSE) * Y645* J645*O645*E645*S645*AD645*[2]ステータス!$B$2,0)</f>
        <v>113862</v>
      </c>
      <c r="AK645" s="99">
        <f ca="1">ROUND(VLOOKUP(100,enemy_base_stats!$A:$F,3,FALSE)* Z645* K645*P645*F645*T645*AE645 * W645*[2]ステータス!$C$2,0)</f>
        <v>4943</v>
      </c>
      <c r="AL645" s="99">
        <f ca="1">ROUND(VLOOKUP(100,enemy_base_stats!$A:$F,4,FALSE)* AA645* L645*Q645*G645*U645*AF645*[2]ステータス!$D$2,0)</f>
        <v>0</v>
      </c>
      <c r="AM645" s="97">
        <f ca="1">VLOOKUP(M645,[2]character_tribe_i18n!$A:$I,9,FALSE)</f>
        <v>400</v>
      </c>
      <c r="AN645" s="97">
        <v>0</v>
      </c>
      <c r="AO645" s="98">
        <v>0</v>
      </c>
      <c r="AP645" s="58" t="s">
        <v>72</v>
      </c>
      <c r="AQ645" s="34">
        <f t="shared" ca="1" si="40"/>
        <v>644</v>
      </c>
    </row>
    <row r="646" spans="1:43" ht="21" customHeight="1" x14ac:dyDescent="0.15">
      <c r="A646" s="7">
        <f t="shared" ca="1" si="41"/>
        <v>645</v>
      </c>
      <c r="B646" s="6" t="str">
        <f ca="1">VLOOKUP(A646,[2]characters!$A:$C,3,FALSE)</f>
        <v>百鬼夜行の創大将 ショウキ</v>
      </c>
      <c r="C646" s="9">
        <f ca="1">VLOOKUP(A646,[2]characters!$A:$I,9,FALSE)</f>
        <v>5</v>
      </c>
      <c r="D646" s="9" t="str">
        <f ca="1">VLOOKUP(A646,[2]characters!$A:$H,8,FALSE)</f>
        <v>green</v>
      </c>
      <c r="E646" s="97">
        <f ca="1">VLOOKUP(D646,[2]属性!$A:$E,2,FALSE)</f>
        <v>1.02</v>
      </c>
      <c r="F646" s="97">
        <f ca="1">VLOOKUP(D646,[2]属性!$A:$E,3,FALSE)</f>
        <v>0.98</v>
      </c>
      <c r="G646" s="97">
        <f ca="1">VLOOKUP(D646,[2]属性!$A:$F,4,FALSE)</f>
        <v>1</v>
      </c>
      <c r="H646" s="9" t="str">
        <f ca="1">VLOOKUP(A646,[2]characters!$A:$K,11,FALSE)</f>
        <v>technical</v>
      </c>
      <c r="I646" s="6" t="str">
        <f ca="1">VLOOKUP(H646,[2]character_type_i18n!$A:$F,3,FALSE)</f>
        <v>テクニカルタイプ</v>
      </c>
      <c r="J646" s="97">
        <f ca="1">VLOOKUP(H646,[2]character_type_i18n!$A:$F,4,FALSE)</f>
        <v>0.9</v>
      </c>
      <c r="K646" s="97">
        <f ca="1">VLOOKUP(H646,[2]character_type_i18n!$A:$F,5,FALSE)</f>
        <v>0.9</v>
      </c>
      <c r="L646" s="97">
        <f ca="1">VLOOKUP(H646,[2]character_type_i18n!$A:$F,6,FALSE)</f>
        <v>1</v>
      </c>
      <c r="M646" s="9" t="str">
        <f ca="1">VLOOKUP(A646,[2]characters!$A:$M,13,FALSE)</f>
        <v>human</v>
      </c>
      <c r="N646" s="6" t="str">
        <f ca="1">VLOOKUP(M646,[2]character_tribe_i18n!$A:$F,3,FALSE)</f>
        <v>ヒューマン</v>
      </c>
      <c r="O646" s="97">
        <f ca="1">VLOOKUP(M646,[2]character_tribe_i18n!$A:$F,4,FALSE)</f>
        <v>0.94</v>
      </c>
      <c r="P646" s="97">
        <f ca="1">VLOOKUP(M646,[2]character_tribe_i18n!$A:$F,5,FALSE)</f>
        <v>0.99</v>
      </c>
      <c r="Q646" s="97">
        <f ca="1">VLOOKUP(M646,[2]character_tribe_i18n!$A:$F,6,FALSE)</f>
        <v>1</v>
      </c>
      <c r="R646" s="98" t="s">
        <v>98</v>
      </c>
      <c r="S646" s="97">
        <f>VLOOKUP($R646,ラベル別係数!$A$1:$E$7,3,FALSE)</f>
        <v>5</v>
      </c>
      <c r="T646" s="97">
        <f>VLOOKUP($R646,ラベル別係数!$A$1:$E$7,4,FALSE)</f>
        <v>1.3</v>
      </c>
      <c r="U646" s="97">
        <f>VLOOKUP($R646,ラベル別係数!$A$1:$E$7,5,FALSE)</f>
        <v>0.8</v>
      </c>
      <c r="V646" s="98">
        <v>1</v>
      </c>
      <c r="W646" s="99">
        <f>VLOOKUP(V646,ターン数別攻撃係数!$A$1:$B$1000,2,FALSE)</f>
        <v>0.55000000000000004</v>
      </c>
      <c r="X646" s="9">
        <f ca="1">VLOOKUP(C646,サイズ別係数!A$2:B$9,2,FALSE)</f>
        <v>60</v>
      </c>
      <c r="Y646" s="97">
        <f ca="1">VLOOKUP($X646,サイズ別係数!$B:$E,2,FALSE)</f>
        <v>1.7</v>
      </c>
      <c r="Z646" s="97">
        <f ca="1">VLOOKUP($X646,サイズ別係数!$B:$E,3,FALSE)</f>
        <v>1.4</v>
      </c>
      <c r="AA646" s="97">
        <f ca="1">VLOOKUP($X646,サイズ別係数!$B:$E,4,FALSE)</f>
        <v>1</v>
      </c>
      <c r="AB646" s="10">
        <v>0</v>
      </c>
      <c r="AC646" s="6" t="str">
        <f ca="1">VLOOKUP($AB646,OFFSET([3]enemy_skill_sets!$B$2,0,0,COUNTA([3]enemy_skill_sets!$A:$A),MATCH(AC$1,[3]enemy_skill_sets!$1:$1,0)-MATCH($AB$1,[3]enemy_skill_sets!$1:$1,0)+1),MATCH(AC$1,[3]enemy_skill_sets!$1:$1,0)-MATCH($AB$1,[3]enemy_skill_sets!$1:$1,0)+1,FALSE)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6" s="67">
        <v>1</v>
      </c>
      <c r="AE646" s="67">
        <v>1</v>
      </c>
      <c r="AF646" s="68">
        <v>0</v>
      </c>
      <c r="AG646" s="99">
        <f ca="1">ROUND(VLOOKUP(1,enemy_base_stats!$A:$F,2,FALSE) * Y646* J646*O646*E646*S646*AD646*[2]ステータス!$B$2,0)</f>
        <v>3667</v>
      </c>
      <c r="AH646" s="99">
        <f ca="1">ROUND(VLOOKUP(1,enemy_base_stats!$A:$F,3,FALSE) * Z646*K646*P646*F646*T646*AE646 * W646*[2]ステータス!$C$2,0)</f>
        <v>131</v>
      </c>
      <c r="AI646" s="99">
        <f ca="1">ROUND(VLOOKUP(1,enemy_base_stats!$A:$F,4,FALSE) * AA646*L646*Q646*G646*U646*AF646*[2]ステータス!$D$2,0)</f>
        <v>0</v>
      </c>
      <c r="AJ646" s="99">
        <f ca="1">ROUND(VLOOKUP(100,enemy_base_stats!$A:$F,2,FALSE) * Y646* J646*O646*E646*S646*AD646*[2]ステータス!$B$2,0)</f>
        <v>148897</v>
      </c>
      <c r="AK646" s="99">
        <f ca="1">ROUND(VLOOKUP(100,enemy_base_stats!$A:$F,3,FALSE)* Z646* K646*P646*F646*T646*AE646 * W646*[2]ステータス!$C$2,0)</f>
        <v>5323</v>
      </c>
      <c r="AL646" s="99">
        <f ca="1">ROUND(VLOOKUP(100,enemy_base_stats!$A:$F,4,FALSE)* AA646* L646*Q646*G646*U646*AF646*[2]ステータス!$D$2,0)</f>
        <v>0</v>
      </c>
      <c r="AM646" s="97">
        <f ca="1">VLOOKUP(M646,[2]character_tribe_i18n!$A:$I,9,FALSE)</f>
        <v>400</v>
      </c>
      <c r="AN646" s="97">
        <v>0</v>
      </c>
      <c r="AO646" s="98">
        <v>0</v>
      </c>
      <c r="AP646" s="58" t="s">
        <v>72</v>
      </c>
      <c r="AQ646" s="34">
        <f t="shared" ca="1" si="40"/>
        <v>645</v>
      </c>
    </row>
    <row r="647" spans="1:43" ht="21" customHeight="1" x14ac:dyDescent="0.15">
      <c r="A647" s="7">
        <f t="shared" ca="1" si="41"/>
        <v>646</v>
      </c>
      <c r="B647" s="6" t="str">
        <f ca="1">VLOOKUP(A647,[2]characters!$A:$C,3,FALSE)</f>
        <v>雪女 ユキ</v>
      </c>
      <c r="C647" s="9">
        <f ca="1">VLOOKUP(A647,[2]characters!$A:$I,9,FALSE)</f>
        <v>4</v>
      </c>
      <c r="D647" s="9" t="str">
        <f ca="1">VLOOKUP(A647,[2]characters!$A:$H,8,FALSE)</f>
        <v>blue</v>
      </c>
      <c r="E647" s="97">
        <f ca="1">VLOOKUP(D647,[2]属性!$A:$E,2,FALSE)</f>
        <v>1</v>
      </c>
      <c r="F647" s="97">
        <f ca="1">VLOOKUP(D647,[2]属性!$A:$E,3,FALSE)</f>
        <v>0.98</v>
      </c>
      <c r="G647" s="97">
        <f ca="1">VLOOKUP(D647,[2]属性!$A:$F,4,FALSE)</f>
        <v>1</v>
      </c>
      <c r="H647" s="9" t="str">
        <f ca="1">VLOOKUP(A647,[2]characters!$A:$K,11,FALSE)</f>
        <v>balance</v>
      </c>
      <c r="I647" s="6" t="str">
        <f ca="1">VLOOKUP(H647,[2]character_type_i18n!$A:$F,3,FALSE)</f>
        <v>バランスタイプ</v>
      </c>
      <c r="J647" s="97">
        <f ca="1">VLOOKUP(H647,[2]character_type_i18n!$A:$F,4,FALSE)</f>
        <v>1</v>
      </c>
      <c r="K647" s="97">
        <f ca="1">VLOOKUP(H647,[2]character_type_i18n!$A:$F,5,FALSE)</f>
        <v>1</v>
      </c>
      <c r="L647" s="97">
        <f ca="1">VLOOKUP(H647,[2]character_type_i18n!$A:$F,6,FALSE)</f>
        <v>1</v>
      </c>
      <c r="M647" s="9" t="str">
        <f ca="1">VLOOKUP(A647,[2]characters!$A:$M,13,FALSE)</f>
        <v>unknown</v>
      </c>
      <c r="N647" s="6" t="str">
        <f ca="1">VLOOKUP(M647,[2]character_tribe_i18n!$A:$F,3,FALSE)</f>
        <v>Unknown</v>
      </c>
      <c r="O647" s="97">
        <f ca="1">VLOOKUP(M647,[2]character_tribe_i18n!$A:$F,4,FALSE)</f>
        <v>1</v>
      </c>
      <c r="P647" s="97">
        <f ca="1">VLOOKUP(M647,[2]character_tribe_i18n!$A:$F,5,FALSE)</f>
        <v>1</v>
      </c>
      <c r="Q647" s="97">
        <f ca="1">VLOOKUP(M647,[2]character_tribe_i18n!$A:$F,6,FALSE)</f>
        <v>1</v>
      </c>
      <c r="R647" s="98" t="s">
        <v>98</v>
      </c>
      <c r="S647" s="97">
        <f>VLOOKUP($R647,ラベル別係数!$A$1:$E$7,3,FALSE)</f>
        <v>5</v>
      </c>
      <c r="T647" s="97">
        <f>VLOOKUP($R647,ラベル別係数!$A$1:$E$7,4,FALSE)</f>
        <v>1.3</v>
      </c>
      <c r="U647" s="97">
        <f>VLOOKUP($R647,ラベル別係数!$A$1:$E$7,5,FALSE)</f>
        <v>0.8</v>
      </c>
      <c r="V647" s="98">
        <v>2</v>
      </c>
      <c r="W647" s="99">
        <f>VLOOKUP(V647,ターン数別攻撃係数!$A$1:$B$1000,2,FALSE)</f>
        <v>0.75</v>
      </c>
      <c r="X647" s="9">
        <f ca="1">VLOOKUP(C647,サイズ別係数!A$2:B$9,2,FALSE)</f>
        <v>30</v>
      </c>
      <c r="Y647" s="97">
        <f ca="1">VLOOKUP($X647,サイズ別係数!$B:$E,2,FALSE)</f>
        <v>1.3</v>
      </c>
      <c r="Z647" s="97">
        <f ca="1">VLOOKUP($X647,サイズ別係数!$B:$E,3,FALSE)</f>
        <v>1.3</v>
      </c>
      <c r="AA647" s="97">
        <f ca="1">VLOOKUP($X647,サイズ別係数!$B:$E,4,FALSE)</f>
        <v>1.1000000000000001</v>
      </c>
      <c r="AB647" s="10">
        <v>0</v>
      </c>
      <c r="AC647" s="6" t="str">
        <f ca="1">VLOOKUP($AB647,OFFSET([3]enemy_skill_sets!$B$2,0,0,COUNTA([3]enemy_skill_sets!$A:$A),MATCH(AC$1,[3]enemy_skill_sets!$1:$1,0)-MATCH($AB$1,[3]enemy_skill_sets!$1:$1,0)+1),MATCH(AC$1,[3]enemy_skill_sets!$1:$1,0)-MATCH($AB$1,[3]enemy_skill_sets!$1:$1,0)+1,FALSE)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7" s="67">
        <v>1</v>
      </c>
      <c r="AE647" s="67">
        <v>1</v>
      </c>
      <c r="AF647" s="68">
        <v>0</v>
      </c>
      <c r="AG647" s="99">
        <f ca="1">ROUND(VLOOKUP(1,enemy_base_stats!$A:$F,2,FALSE) * Y647* J647*O647*E647*S647*AD647*[2]ステータス!$B$2,0)</f>
        <v>3250</v>
      </c>
      <c r="AH647" s="99">
        <f ca="1">ROUND(VLOOKUP(1,enemy_base_stats!$A:$F,3,FALSE) * Z647*K647*P647*F647*T647*AE647 * W647*[2]ステータス!$C$2,0)</f>
        <v>186</v>
      </c>
      <c r="AI647" s="99">
        <f ca="1">ROUND(VLOOKUP(1,enemy_base_stats!$A:$F,4,FALSE) * AA647*L647*Q647*G647*U647*AF647*[2]ステータス!$D$2,0)</f>
        <v>0</v>
      </c>
      <c r="AJ647" s="99">
        <f ca="1">ROUND(VLOOKUP(100,enemy_base_stats!$A:$F,2,FALSE) * Y647* J647*O647*E647*S647*AD647*[2]ステータス!$B$2,0)</f>
        <v>131950</v>
      </c>
      <c r="AK647" s="99">
        <f ca="1">ROUND(VLOOKUP(100,enemy_base_stats!$A:$F,3,FALSE)* Z647* K647*P647*F647*T647*AE647 * W647*[2]ステータス!$C$2,0)</f>
        <v>7565</v>
      </c>
      <c r="AL647" s="99">
        <f ca="1">ROUND(VLOOKUP(100,enemy_base_stats!$A:$F,4,FALSE)* AA647* L647*Q647*G647*U647*AF647*[2]ステータス!$D$2,0)</f>
        <v>0</v>
      </c>
      <c r="AM647" s="97">
        <f ca="1">VLOOKUP(M647,[2]character_tribe_i18n!$A:$I,9,FALSE)</f>
        <v>340</v>
      </c>
      <c r="AN647" s="97">
        <v>0</v>
      </c>
      <c r="AO647" s="98">
        <v>0</v>
      </c>
      <c r="AP647" s="58" t="s">
        <v>72</v>
      </c>
      <c r="AQ647" s="34">
        <f t="shared" ca="1" si="40"/>
        <v>646</v>
      </c>
    </row>
    <row r="648" spans="1:43" ht="21" customHeight="1" x14ac:dyDescent="0.15">
      <c r="A648" s="7">
        <f t="shared" ca="1" si="41"/>
        <v>647</v>
      </c>
      <c r="B648" s="6" t="str">
        <f ca="1">VLOOKUP(A648,[2]characters!$A:$C,3,FALSE)</f>
        <v>氷麗の雪化生 ユキ</v>
      </c>
      <c r="C648" s="9">
        <f ca="1">VLOOKUP(A648,[2]characters!$A:$I,9,FALSE)</f>
        <v>5</v>
      </c>
      <c r="D648" s="9" t="str">
        <f ca="1">VLOOKUP(A648,[2]characters!$A:$H,8,FALSE)</f>
        <v>blue</v>
      </c>
      <c r="E648" s="97">
        <f ca="1">VLOOKUP(D648,[2]属性!$A:$E,2,FALSE)</f>
        <v>1</v>
      </c>
      <c r="F648" s="97">
        <f ca="1">VLOOKUP(D648,[2]属性!$A:$E,3,FALSE)</f>
        <v>0.98</v>
      </c>
      <c r="G648" s="97">
        <f ca="1">VLOOKUP(D648,[2]属性!$A:$F,4,FALSE)</f>
        <v>1</v>
      </c>
      <c r="H648" s="9" t="str">
        <f ca="1">VLOOKUP(A648,[2]characters!$A:$K,11,FALSE)</f>
        <v>balance</v>
      </c>
      <c r="I648" s="6" t="str">
        <f ca="1">VLOOKUP(H648,[2]character_type_i18n!$A:$F,3,FALSE)</f>
        <v>バランスタイプ</v>
      </c>
      <c r="J648" s="97">
        <f ca="1">VLOOKUP(H648,[2]character_type_i18n!$A:$F,4,FALSE)</f>
        <v>1</v>
      </c>
      <c r="K648" s="97">
        <f ca="1">VLOOKUP(H648,[2]character_type_i18n!$A:$F,5,FALSE)</f>
        <v>1</v>
      </c>
      <c r="L648" s="97">
        <f ca="1">VLOOKUP(H648,[2]character_type_i18n!$A:$F,6,FALSE)</f>
        <v>1</v>
      </c>
      <c r="M648" s="9" t="str">
        <f ca="1">VLOOKUP(A648,[2]characters!$A:$M,13,FALSE)</f>
        <v>unknown</v>
      </c>
      <c r="N648" s="6" t="str">
        <f ca="1">VLOOKUP(M648,[2]character_tribe_i18n!$A:$F,3,FALSE)</f>
        <v>Unknown</v>
      </c>
      <c r="O648" s="97">
        <f ca="1">VLOOKUP(M648,[2]character_tribe_i18n!$A:$F,4,FALSE)</f>
        <v>1</v>
      </c>
      <c r="P648" s="97">
        <f ca="1">VLOOKUP(M648,[2]character_tribe_i18n!$A:$F,5,FALSE)</f>
        <v>1</v>
      </c>
      <c r="Q648" s="97">
        <f ca="1">VLOOKUP(M648,[2]character_tribe_i18n!$A:$F,6,FALSE)</f>
        <v>1</v>
      </c>
      <c r="R648" s="98" t="s">
        <v>98</v>
      </c>
      <c r="S648" s="97">
        <f>VLOOKUP($R648,ラベル別係数!$A$1:$E$7,3,FALSE)</f>
        <v>5</v>
      </c>
      <c r="T648" s="97">
        <f>VLOOKUP($R648,ラベル別係数!$A$1:$E$7,4,FALSE)</f>
        <v>1.3</v>
      </c>
      <c r="U648" s="97">
        <f>VLOOKUP($R648,ラベル別係数!$A$1:$E$7,5,FALSE)</f>
        <v>0.8</v>
      </c>
      <c r="V648" s="98">
        <v>2</v>
      </c>
      <c r="W648" s="99">
        <f>VLOOKUP(V648,ターン数別攻撃係数!$A$1:$B$1000,2,FALSE)</f>
        <v>0.75</v>
      </c>
      <c r="X648" s="9">
        <f ca="1">VLOOKUP(C648,サイズ別係数!A$2:B$9,2,FALSE)</f>
        <v>60</v>
      </c>
      <c r="Y648" s="97">
        <f ca="1">VLOOKUP($X648,サイズ別係数!$B:$E,2,FALSE)</f>
        <v>1.7</v>
      </c>
      <c r="Z648" s="97">
        <f ca="1">VLOOKUP($X648,サイズ別係数!$B:$E,3,FALSE)</f>
        <v>1.4</v>
      </c>
      <c r="AA648" s="97">
        <f ca="1">VLOOKUP($X648,サイズ別係数!$B:$E,4,FALSE)</f>
        <v>1</v>
      </c>
      <c r="AB648" s="10">
        <v>0</v>
      </c>
      <c r="AC648" s="6" t="str">
        <f ca="1">VLOOKUP($AB648,OFFSET([3]enemy_skill_sets!$B$2,0,0,COUNTA([3]enemy_skill_sets!$A:$A),MATCH(AC$1,[3]enemy_skill_sets!$1:$1,0)-MATCH($AB$1,[3]enemy_skill_sets!$1:$1,0)+1),MATCH(AC$1,[3]enemy_skill_sets!$1:$1,0)-MATCH($AB$1,[3]enemy_skill_sets!$1:$1,0)+1,FALSE)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8" s="67">
        <v>1</v>
      </c>
      <c r="AE648" s="67">
        <v>1</v>
      </c>
      <c r="AF648" s="68">
        <v>0</v>
      </c>
      <c r="AG648" s="99">
        <f ca="1">ROUND(VLOOKUP(1,enemy_base_stats!$A:$F,2,FALSE) * Y648* J648*O648*E648*S648*AD648*[2]ステータス!$B$2,0)</f>
        <v>4250</v>
      </c>
      <c r="AH648" s="99">
        <f ca="1">ROUND(VLOOKUP(1,enemy_base_stats!$A:$F,3,FALSE) * Z648*K648*P648*F648*T648*AE648 * W648*[2]ステータス!$C$2,0)</f>
        <v>201</v>
      </c>
      <c r="AI648" s="99">
        <f ca="1">ROUND(VLOOKUP(1,enemy_base_stats!$A:$F,4,FALSE) * AA648*L648*Q648*G648*U648*AF648*[2]ステータス!$D$2,0)</f>
        <v>0</v>
      </c>
      <c r="AJ648" s="99">
        <f ca="1">ROUND(VLOOKUP(100,enemy_base_stats!$A:$F,2,FALSE) * Y648* J648*O648*E648*S648*AD648*[2]ステータス!$B$2,0)</f>
        <v>172550</v>
      </c>
      <c r="AK648" s="99">
        <f ca="1">ROUND(VLOOKUP(100,enemy_base_stats!$A:$F,3,FALSE)* Z648* K648*P648*F648*T648*AE648 * W648*[2]ステータス!$C$2,0)</f>
        <v>8147</v>
      </c>
      <c r="AL648" s="99">
        <f ca="1">ROUND(VLOOKUP(100,enemy_base_stats!$A:$F,4,FALSE)* AA648* L648*Q648*G648*U648*AF648*[2]ステータス!$D$2,0)</f>
        <v>0</v>
      </c>
      <c r="AM648" s="97">
        <f ca="1">VLOOKUP(M648,[2]character_tribe_i18n!$A:$I,9,FALSE)</f>
        <v>340</v>
      </c>
      <c r="AN648" s="97">
        <v>0</v>
      </c>
      <c r="AO648" s="98">
        <v>0</v>
      </c>
      <c r="AP648" s="58" t="s">
        <v>72</v>
      </c>
      <c r="AQ648" s="34">
        <f t="shared" ca="1" si="40"/>
        <v>647</v>
      </c>
    </row>
    <row r="649" spans="1:43" ht="21" customHeight="1" x14ac:dyDescent="0.15">
      <c r="A649" s="7">
        <f t="shared" ca="1" si="41"/>
        <v>648</v>
      </c>
      <c r="B649" s="6" t="str">
        <f ca="1">VLOOKUP(A649,[2]characters!$A:$C,3,FALSE)</f>
        <v>パールヴァティ</v>
      </c>
      <c r="C649" s="9">
        <f ca="1">VLOOKUP(A649,[2]characters!$A:$I,9,FALSE)</f>
        <v>4</v>
      </c>
      <c r="D649" s="9" t="str">
        <f ca="1">VLOOKUP(A649,[2]characters!$A:$H,8,FALSE)</f>
        <v>blue</v>
      </c>
      <c r="E649" s="97">
        <f ca="1">VLOOKUP(D649,[2]属性!$A:$E,2,FALSE)</f>
        <v>1</v>
      </c>
      <c r="F649" s="97">
        <f ca="1">VLOOKUP(D649,[2]属性!$A:$E,3,FALSE)</f>
        <v>0.98</v>
      </c>
      <c r="G649" s="97">
        <f ca="1">VLOOKUP(D649,[2]属性!$A:$F,4,FALSE)</f>
        <v>1</v>
      </c>
      <c r="H649" s="9" t="str">
        <f ca="1">VLOOKUP(A649,[2]characters!$A:$K,11,FALSE)</f>
        <v>heal</v>
      </c>
      <c r="I649" s="6" t="str">
        <f ca="1">VLOOKUP(H649,[2]character_type_i18n!$A:$F,3,FALSE)</f>
        <v>回復タイプ</v>
      </c>
      <c r="J649" s="97">
        <v>1</v>
      </c>
      <c r="K649" s="97">
        <v>1.33</v>
      </c>
      <c r="L649" s="97">
        <f ca="1">VLOOKUP(H649,[2]character_type_i18n!$A:$F,6,FALSE)</f>
        <v>1</v>
      </c>
      <c r="M649" s="9" t="str">
        <f ca="1">VLOOKUP(A649,[2]characters!$A:$M,13,FALSE)</f>
        <v>god</v>
      </c>
      <c r="N649" s="6" t="str">
        <f ca="1">VLOOKUP(M649,[2]character_tribe_i18n!$A:$F,3,FALSE)</f>
        <v>ゴッド</v>
      </c>
      <c r="O649" s="97">
        <f ca="1">VLOOKUP(M649,[2]character_tribe_i18n!$A:$F,4,FALSE)</f>
        <v>0.96</v>
      </c>
      <c r="P649" s="97">
        <f ca="1">VLOOKUP(M649,[2]character_tribe_i18n!$A:$F,5,FALSE)</f>
        <v>1.02</v>
      </c>
      <c r="Q649" s="97">
        <f ca="1">VLOOKUP(M649,[2]character_tribe_i18n!$A:$F,6,FALSE)</f>
        <v>1</v>
      </c>
      <c r="R649" s="98" t="s">
        <v>98</v>
      </c>
      <c r="S649" s="97">
        <f>VLOOKUP($R649,ラベル別係数!$A$1:$E$7,3,FALSE)</f>
        <v>5</v>
      </c>
      <c r="T649" s="97">
        <f>VLOOKUP($R649,ラベル別係数!$A$1:$E$7,4,FALSE)</f>
        <v>1.3</v>
      </c>
      <c r="U649" s="97">
        <f>VLOOKUP($R649,ラベル別係数!$A$1:$E$7,5,FALSE)</f>
        <v>0.8</v>
      </c>
      <c r="V649" s="98">
        <v>3</v>
      </c>
      <c r="W649" s="99">
        <f>VLOOKUP(V649,ターン数別攻撃係数!$A$1:$B$1000,2,FALSE)</f>
        <v>1</v>
      </c>
      <c r="X649" s="9">
        <f ca="1">VLOOKUP(C649,サイズ別係数!A$2:B$9,2,FALSE)</f>
        <v>30</v>
      </c>
      <c r="Y649" s="97">
        <f ca="1">VLOOKUP($X649,サイズ別係数!$B:$E,2,FALSE)</f>
        <v>1.3</v>
      </c>
      <c r="Z649" s="97">
        <f ca="1">VLOOKUP($X649,サイズ別係数!$B:$E,3,FALSE)</f>
        <v>1.3</v>
      </c>
      <c r="AA649" s="97">
        <f ca="1">VLOOKUP($X649,サイズ別係数!$B:$E,4,FALSE)</f>
        <v>1.1000000000000001</v>
      </c>
      <c r="AB649" s="10">
        <v>0</v>
      </c>
      <c r="AC649" s="6" t="str">
        <f ca="1">VLOOKUP($AB649,OFFSET([3]enemy_skill_sets!$B$2,0,0,COUNTA([3]enemy_skill_sets!$A:$A),MATCH(AC$1,[3]enemy_skill_sets!$1:$1,0)-MATCH($AB$1,[3]enemy_skill_sets!$1:$1,0)+1),MATCH(AC$1,[3]enemy_skill_sets!$1:$1,0)-MATCH($AB$1,[3]enemy_skill_sets!$1:$1,0)+1,FALSE)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49" s="67">
        <v>1</v>
      </c>
      <c r="AE649" s="67">
        <v>1</v>
      </c>
      <c r="AF649" s="68">
        <v>0</v>
      </c>
      <c r="AG649" s="99">
        <f ca="1">ROUND(VLOOKUP(1,enemy_base_stats!$A:$F,2,FALSE) * Y649* J649*O649*E649*S649*AD649*[2]ステータス!$B$2,0)</f>
        <v>3120</v>
      </c>
      <c r="AH649" s="99">
        <f ca="1">ROUND(VLOOKUP(1,enemy_base_stats!$A:$F,3,FALSE) * Z649*K649*P649*F649*T649*AE649 * W649*[2]ステータス!$C$2,0)</f>
        <v>337</v>
      </c>
      <c r="AI649" s="99">
        <f ca="1">ROUND(VLOOKUP(1,enemy_base_stats!$A:$F,4,FALSE) * AA649*L649*Q649*G649*U649*AF649*[2]ステータス!$D$2,0)</f>
        <v>0</v>
      </c>
      <c r="AJ649" s="99">
        <f ca="1">ROUND(VLOOKUP(100,enemy_base_stats!$A:$F,2,FALSE) * Y649* J649*O649*E649*S649*AD649*[2]ステータス!$B$2,0)</f>
        <v>126672</v>
      </c>
      <c r="AK649" s="99">
        <f ca="1">ROUND(VLOOKUP(100,enemy_base_stats!$A:$F,3,FALSE)* Z649* K649*P649*F649*T649*AE649 * W649*[2]ステータス!$C$2,0)</f>
        <v>13683</v>
      </c>
      <c r="AL649" s="99">
        <f ca="1">ROUND(VLOOKUP(100,enemy_base_stats!$A:$F,4,FALSE)* AA649* L649*Q649*G649*U649*AF649*[2]ステータス!$D$2,0)</f>
        <v>0</v>
      </c>
      <c r="AM649" s="97">
        <f ca="1">VLOOKUP(M649,[2]character_tribe_i18n!$A:$I,9,FALSE)</f>
        <v>680</v>
      </c>
      <c r="AN649" s="97">
        <v>0</v>
      </c>
      <c r="AO649" s="98">
        <v>0</v>
      </c>
      <c r="AP649" s="58" t="s">
        <v>72</v>
      </c>
      <c r="AQ649" s="34">
        <f t="shared" ca="1" si="40"/>
        <v>648</v>
      </c>
    </row>
    <row r="650" spans="1:43" ht="21" customHeight="1" x14ac:dyDescent="0.15">
      <c r="A650" s="7">
        <f t="shared" ca="1" si="41"/>
        <v>649</v>
      </c>
      <c r="B650" s="6" t="str">
        <f ca="1">VLOOKUP(A650,[2]characters!$A:$C,3,FALSE)</f>
        <v>寄咲く一輪華 パールヴァティ</v>
      </c>
      <c r="C650" s="9">
        <f ca="1">VLOOKUP(A650,[2]characters!$A:$I,9,FALSE)</f>
        <v>5</v>
      </c>
      <c r="D650" s="9" t="str">
        <f ca="1">VLOOKUP(A650,[2]characters!$A:$H,8,FALSE)</f>
        <v>blue</v>
      </c>
      <c r="E650" s="97">
        <f ca="1">VLOOKUP(D650,[2]属性!$A:$E,2,FALSE)</f>
        <v>1</v>
      </c>
      <c r="F650" s="97">
        <f ca="1">VLOOKUP(D650,[2]属性!$A:$E,3,FALSE)</f>
        <v>0.98</v>
      </c>
      <c r="G650" s="97">
        <f ca="1">VLOOKUP(D650,[2]属性!$A:$F,4,FALSE)</f>
        <v>1</v>
      </c>
      <c r="H650" s="9" t="str">
        <f ca="1">VLOOKUP(A650,[2]characters!$A:$K,11,FALSE)</f>
        <v>heal</v>
      </c>
      <c r="I650" s="6" t="str">
        <f ca="1">VLOOKUP(H650,[2]character_type_i18n!$A:$F,3,FALSE)</f>
        <v>回復タイプ</v>
      </c>
      <c r="J650" s="97">
        <v>1</v>
      </c>
      <c r="K650" s="97">
        <v>1.33</v>
      </c>
      <c r="L650" s="97">
        <f ca="1">VLOOKUP(H650,[2]character_type_i18n!$A:$F,6,FALSE)</f>
        <v>1</v>
      </c>
      <c r="M650" s="9" t="str">
        <f ca="1">VLOOKUP(A650,[2]characters!$A:$M,13,FALSE)</f>
        <v>god</v>
      </c>
      <c r="N650" s="6" t="str">
        <f ca="1">VLOOKUP(M650,[2]character_tribe_i18n!$A:$F,3,FALSE)</f>
        <v>ゴッド</v>
      </c>
      <c r="O650" s="97">
        <f ca="1">VLOOKUP(M650,[2]character_tribe_i18n!$A:$F,4,FALSE)</f>
        <v>0.96</v>
      </c>
      <c r="P650" s="97">
        <f ca="1">VLOOKUP(M650,[2]character_tribe_i18n!$A:$F,5,FALSE)</f>
        <v>1.02</v>
      </c>
      <c r="Q650" s="97">
        <f ca="1">VLOOKUP(M650,[2]character_tribe_i18n!$A:$F,6,FALSE)</f>
        <v>1</v>
      </c>
      <c r="R650" s="98" t="s">
        <v>98</v>
      </c>
      <c r="S650" s="97">
        <f>VLOOKUP($R650,ラベル別係数!$A$1:$E$7,3,FALSE)</f>
        <v>5</v>
      </c>
      <c r="T650" s="97">
        <f>VLOOKUP($R650,ラベル別係数!$A$1:$E$7,4,FALSE)</f>
        <v>1.3</v>
      </c>
      <c r="U650" s="97">
        <f>VLOOKUP($R650,ラベル別係数!$A$1:$E$7,5,FALSE)</f>
        <v>0.8</v>
      </c>
      <c r="V650" s="98">
        <v>3</v>
      </c>
      <c r="W650" s="99">
        <f>VLOOKUP(V650,ターン数別攻撃係数!$A$1:$B$1000,2,FALSE)</f>
        <v>1</v>
      </c>
      <c r="X650" s="9">
        <f ca="1">VLOOKUP(C650,サイズ別係数!A$2:B$9,2,FALSE)</f>
        <v>60</v>
      </c>
      <c r="Y650" s="97">
        <f ca="1">VLOOKUP($X650,サイズ別係数!$B:$E,2,FALSE)</f>
        <v>1.7</v>
      </c>
      <c r="Z650" s="97">
        <f ca="1">VLOOKUP($X650,サイズ別係数!$B:$E,3,FALSE)</f>
        <v>1.4</v>
      </c>
      <c r="AA650" s="97">
        <f ca="1">VLOOKUP($X650,サイズ別係数!$B:$E,4,FALSE)</f>
        <v>1</v>
      </c>
      <c r="AB650" s="10">
        <v>0</v>
      </c>
      <c r="AC650" s="6" t="str">
        <f ca="1">VLOOKUP($AB650,OFFSET([3]enemy_skill_sets!$B$2,0,0,COUNTA([3]enemy_skill_sets!$A:$A),MATCH(AC$1,[3]enemy_skill_sets!$1:$1,0)-MATCH($AB$1,[3]enemy_skill_sets!$1:$1,0)+1),MATCH(AC$1,[3]enemy_skill_sets!$1:$1,0)-MATCH($AB$1,[3]enemy_skill_sets!$1:$1,0)+1,FALSE)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0" s="67">
        <v>1</v>
      </c>
      <c r="AE650" s="67">
        <v>1</v>
      </c>
      <c r="AF650" s="68">
        <v>0</v>
      </c>
      <c r="AG650" s="99">
        <f ca="1">ROUND(VLOOKUP(1,enemy_base_stats!$A:$F,2,FALSE) * Y650* J650*O650*E650*S650*AD650*[2]ステータス!$B$2,0)</f>
        <v>4080</v>
      </c>
      <c r="AH650" s="99">
        <f ca="1">ROUND(VLOOKUP(1,enemy_base_stats!$A:$F,3,FALSE) * Z650*K650*P650*F650*T650*AE650 * W650*[2]ステータス!$C$2,0)</f>
        <v>363</v>
      </c>
      <c r="AI650" s="99">
        <f ca="1">ROUND(VLOOKUP(1,enemy_base_stats!$A:$F,4,FALSE) * AA650*L650*Q650*G650*U650*AF650*[2]ステータス!$D$2,0)</f>
        <v>0</v>
      </c>
      <c r="AJ650" s="99">
        <f ca="1">ROUND(VLOOKUP(100,enemy_base_stats!$A:$F,2,FALSE) * Y650* J650*O650*E650*S650*AD650*[2]ステータス!$B$2,0)</f>
        <v>165648</v>
      </c>
      <c r="AK650" s="99">
        <f ca="1">ROUND(VLOOKUP(100,enemy_base_stats!$A:$F,3,FALSE)* Z650* K650*P650*F650*T650*AE650 * W650*[2]ステータス!$C$2,0)</f>
        <v>14736</v>
      </c>
      <c r="AL650" s="99">
        <f ca="1">ROUND(VLOOKUP(100,enemy_base_stats!$A:$F,4,FALSE)* AA650* L650*Q650*G650*U650*AF650*[2]ステータス!$D$2,0)</f>
        <v>0</v>
      </c>
      <c r="AM650" s="97">
        <f ca="1">VLOOKUP(M650,[2]character_tribe_i18n!$A:$I,9,FALSE)</f>
        <v>680</v>
      </c>
      <c r="AN650" s="97">
        <v>0</v>
      </c>
      <c r="AO650" s="98">
        <v>0</v>
      </c>
      <c r="AP650" s="58" t="s">
        <v>72</v>
      </c>
      <c r="AQ650" s="34">
        <f t="shared" ca="1" si="40"/>
        <v>649</v>
      </c>
    </row>
    <row r="651" spans="1:43" ht="21" customHeight="1" x14ac:dyDescent="0.15">
      <c r="A651" s="7">
        <f t="shared" ca="1" si="41"/>
        <v>650</v>
      </c>
      <c r="B651" s="6" t="str">
        <f ca="1">VLOOKUP(A651,[2]characters!$A:$C,3,FALSE)</f>
        <v>土蜘蛛 ユウヤ</v>
      </c>
      <c r="C651" s="9">
        <f ca="1">VLOOKUP(A651,[2]characters!$A:$I,9,FALSE)</f>
        <v>4</v>
      </c>
      <c r="D651" s="9" t="str">
        <f ca="1">VLOOKUP(A651,[2]characters!$A:$H,8,FALSE)</f>
        <v>yellow</v>
      </c>
      <c r="E651" s="97">
        <f ca="1">VLOOKUP(D651,[2]属性!$A:$E,2,FALSE)</f>
        <v>0.98</v>
      </c>
      <c r="F651" s="97">
        <f ca="1">VLOOKUP(D651,[2]属性!$A:$E,3,FALSE)</f>
        <v>1.01</v>
      </c>
      <c r="G651" s="97">
        <f ca="1">VLOOKUP(D651,[2]属性!$A:$F,4,FALSE)</f>
        <v>1</v>
      </c>
      <c r="H651" s="9" t="str">
        <f ca="1">VLOOKUP(A651,[2]characters!$A:$K,11,FALSE)</f>
        <v>technical</v>
      </c>
      <c r="I651" s="6" t="str">
        <f ca="1">VLOOKUP(H651,[2]character_type_i18n!$A:$F,3,FALSE)</f>
        <v>テクニカルタイプ</v>
      </c>
      <c r="J651" s="97">
        <f ca="1">VLOOKUP(H651,[2]character_type_i18n!$A:$F,4,FALSE)</f>
        <v>0.9</v>
      </c>
      <c r="K651" s="97">
        <f ca="1">VLOOKUP(H651,[2]character_type_i18n!$A:$F,5,FALSE)</f>
        <v>0.9</v>
      </c>
      <c r="L651" s="97">
        <f ca="1">VLOOKUP(H651,[2]character_type_i18n!$A:$F,6,FALSE)</f>
        <v>1</v>
      </c>
      <c r="M651" s="9" t="str">
        <f ca="1">VLOOKUP(A651,[2]characters!$A:$M,13,FALSE)</f>
        <v>animal</v>
      </c>
      <c r="N651" s="6" t="str">
        <f ca="1">VLOOKUP(M651,[2]character_tribe_i18n!$A:$F,3,FALSE)</f>
        <v>アニマル</v>
      </c>
      <c r="O651" s="97">
        <f ca="1">VLOOKUP(M651,[2]character_tribe_i18n!$A:$F,4,FALSE)</f>
        <v>1</v>
      </c>
      <c r="P651" s="97">
        <f ca="1">VLOOKUP(M651,[2]character_tribe_i18n!$A:$F,5,FALSE)</f>
        <v>1.1000000000000001</v>
      </c>
      <c r="Q651" s="97">
        <f ca="1">VLOOKUP(M651,[2]character_tribe_i18n!$A:$F,6,FALSE)</f>
        <v>1</v>
      </c>
      <c r="R651" s="98" t="s">
        <v>98</v>
      </c>
      <c r="S651" s="97">
        <f>VLOOKUP($R651,ラベル別係数!$A$1:$E$7,3,FALSE)</f>
        <v>5</v>
      </c>
      <c r="T651" s="97">
        <f>VLOOKUP($R651,ラベル別係数!$A$1:$E$7,4,FALSE)</f>
        <v>1.3</v>
      </c>
      <c r="U651" s="97">
        <f>VLOOKUP($R651,ラベル別係数!$A$1:$E$7,5,FALSE)</f>
        <v>0.8</v>
      </c>
      <c r="V651" s="98">
        <v>1</v>
      </c>
      <c r="W651" s="99">
        <f>VLOOKUP(V651,ターン数別攻撃係数!$A$1:$B$1000,2,FALSE)</f>
        <v>0.55000000000000004</v>
      </c>
      <c r="X651" s="9">
        <f ca="1">VLOOKUP(C651,サイズ別係数!A$2:B$9,2,FALSE)</f>
        <v>30</v>
      </c>
      <c r="Y651" s="97">
        <f ca="1">VLOOKUP($X651,サイズ別係数!$B:$E,2,FALSE)</f>
        <v>1.3</v>
      </c>
      <c r="Z651" s="97">
        <f ca="1">VLOOKUP($X651,サイズ別係数!$B:$E,3,FALSE)</f>
        <v>1.3</v>
      </c>
      <c r="AA651" s="97">
        <f ca="1">VLOOKUP($X651,サイズ別係数!$B:$E,4,FALSE)</f>
        <v>1.1000000000000001</v>
      </c>
      <c r="AB651" s="10">
        <v>0</v>
      </c>
      <c r="AC651" s="6" t="str">
        <f ca="1">VLOOKUP($AB651,OFFSET([3]enemy_skill_sets!$B$2,0,0,COUNTA([3]enemy_skill_sets!$A:$A),MATCH(AC$1,[3]enemy_skill_sets!$1:$1,0)-MATCH($AB$1,[3]enemy_skill_sets!$1:$1,0)+1),MATCH(AC$1,[3]enemy_skill_sets!$1:$1,0)-MATCH($AB$1,[3]enemy_skill_sets!$1:$1,0)+1,FALSE)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1" s="67">
        <v>1</v>
      </c>
      <c r="AE651" s="67">
        <v>1</v>
      </c>
      <c r="AF651" s="68">
        <v>0</v>
      </c>
      <c r="AG651" s="99">
        <f ca="1">ROUND(VLOOKUP(1,enemy_base_stats!$A:$F,2,FALSE) * Y651* J651*O651*E651*S651*AD651*[2]ステータス!$B$2,0)</f>
        <v>2867</v>
      </c>
      <c r="AH651" s="99">
        <f ca="1">ROUND(VLOOKUP(1,enemy_base_stats!$A:$F,3,FALSE) * Z651*K651*P651*F651*T651*AE651 * W651*[2]ステータス!$C$2,0)</f>
        <v>139</v>
      </c>
      <c r="AI651" s="99">
        <f ca="1">ROUND(VLOOKUP(1,enemy_base_stats!$A:$F,4,FALSE) * AA651*L651*Q651*G651*U651*AF651*[2]ステータス!$D$2,0)</f>
        <v>0</v>
      </c>
      <c r="AJ651" s="99">
        <f ca="1">ROUND(VLOOKUP(100,enemy_base_stats!$A:$F,2,FALSE) * Y651* J651*O651*E651*S651*AD651*[2]ステータス!$B$2,0)</f>
        <v>116380</v>
      </c>
      <c r="AK651" s="99">
        <f ca="1">ROUND(VLOOKUP(100,enemy_base_stats!$A:$F,3,FALSE)* Z651* K651*P651*F651*T651*AE651 * W651*[2]ステータス!$C$2,0)</f>
        <v>5660</v>
      </c>
      <c r="AL651" s="99">
        <f ca="1">ROUND(VLOOKUP(100,enemy_base_stats!$A:$F,4,FALSE)* AA651* L651*Q651*G651*U651*AF651*[2]ステータス!$D$2,0)</f>
        <v>0</v>
      </c>
      <c r="AM651" s="97">
        <f ca="1">VLOOKUP(M651,[2]character_tribe_i18n!$A:$I,9,FALSE)</f>
        <v>480</v>
      </c>
      <c r="AN651" s="97">
        <v>0</v>
      </c>
      <c r="AO651" s="98">
        <v>0</v>
      </c>
      <c r="AP651" s="58" t="s">
        <v>72</v>
      </c>
      <c r="AQ651" s="34">
        <f t="shared" ca="1" si="40"/>
        <v>650</v>
      </c>
    </row>
    <row r="652" spans="1:43" ht="21" customHeight="1" x14ac:dyDescent="0.15">
      <c r="A652" s="7">
        <f t="shared" ca="1" si="41"/>
        <v>651</v>
      </c>
      <c r="B652" s="6" t="str">
        <f ca="1">VLOOKUP(A652,[2]characters!$A:$C,3,FALSE)</f>
        <v>八重祟障 ユウヤ</v>
      </c>
      <c r="C652" s="9">
        <f ca="1">VLOOKUP(A652,[2]characters!$A:$I,9,FALSE)</f>
        <v>5</v>
      </c>
      <c r="D652" s="9" t="str">
        <f ca="1">VLOOKUP(A652,[2]characters!$A:$H,8,FALSE)</f>
        <v>yellow</v>
      </c>
      <c r="E652" s="97">
        <f ca="1">VLOOKUP(D652,[2]属性!$A:$E,2,FALSE)</f>
        <v>0.98</v>
      </c>
      <c r="F652" s="97">
        <f ca="1">VLOOKUP(D652,[2]属性!$A:$E,3,FALSE)</f>
        <v>1.01</v>
      </c>
      <c r="G652" s="97">
        <f ca="1">VLOOKUP(D652,[2]属性!$A:$F,4,FALSE)</f>
        <v>1</v>
      </c>
      <c r="H652" s="9" t="str">
        <f ca="1">VLOOKUP(A652,[2]characters!$A:$K,11,FALSE)</f>
        <v>technical</v>
      </c>
      <c r="I652" s="6" t="str">
        <f ca="1">VLOOKUP(H652,[2]character_type_i18n!$A:$F,3,FALSE)</f>
        <v>テクニカルタイプ</v>
      </c>
      <c r="J652" s="97">
        <f ca="1">VLOOKUP(H652,[2]character_type_i18n!$A:$F,4,FALSE)</f>
        <v>0.9</v>
      </c>
      <c r="K652" s="97">
        <f ca="1">VLOOKUP(H652,[2]character_type_i18n!$A:$F,5,FALSE)</f>
        <v>0.9</v>
      </c>
      <c r="L652" s="97">
        <f ca="1">VLOOKUP(H652,[2]character_type_i18n!$A:$F,6,FALSE)</f>
        <v>1</v>
      </c>
      <c r="M652" s="9" t="str">
        <f ca="1">VLOOKUP(A652,[2]characters!$A:$M,13,FALSE)</f>
        <v>animal</v>
      </c>
      <c r="N652" s="6" t="str">
        <f ca="1">VLOOKUP(M652,[2]character_tribe_i18n!$A:$F,3,FALSE)</f>
        <v>アニマル</v>
      </c>
      <c r="O652" s="97">
        <f ca="1">VLOOKUP(M652,[2]character_tribe_i18n!$A:$F,4,FALSE)</f>
        <v>1</v>
      </c>
      <c r="P652" s="97">
        <f ca="1">VLOOKUP(M652,[2]character_tribe_i18n!$A:$F,5,FALSE)</f>
        <v>1.1000000000000001</v>
      </c>
      <c r="Q652" s="97">
        <f ca="1">VLOOKUP(M652,[2]character_tribe_i18n!$A:$F,6,FALSE)</f>
        <v>1</v>
      </c>
      <c r="R652" s="98" t="s">
        <v>98</v>
      </c>
      <c r="S652" s="97">
        <f>VLOOKUP($R652,ラベル別係数!$A$1:$E$7,3,FALSE)</f>
        <v>5</v>
      </c>
      <c r="T652" s="97">
        <f>VLOOKUP($R652,ラベル別係数!$A$1:$E$7,4,FALSE)</f>
        <v>1.3</v>
      </c>
      <c r="U652" s="97">
        <f>VLOOKUP($R652,ラベル別係数!$A$1:$E$7,5,FALSE)</f>
        <v>0.8</v>
      </c>
      <c r="V652" s="98">
        <v>1</v>
      </c>
      <c r="W652" s="99">
        <f>VLOOKUP(V652,ターン数別攻撃係数!$A$1:$B$1000,2,FALSE)</f>
        <v>0.55000000000000004</v>
      </c>
      <c r="X652" s="9">
        <f ca="1">VLOOKUP(C652,サイズ別係数!A$2:B$9,2,FALSE)</f>
        <v>60</v>
      </c>
      <c r="Y652" s="97">
        <f ca="1">VLOOKUP($X652,サイズ別係数!$B:$E,2,FALSE)</f>
        <v>1.7</v>
      </c>
      <c r="Z652" s="97">
        <f ca="1">VLOOKUP($X652,サイズ別係数!$B:$E,3,FALSE)</f>
        <v>1.4</v>
      </c>
      <c r="AA652" s="97">
        <f ca="1">VLOOKUP($X652,サイズ別係数!$B:$E,4,FALSE)</f>
        <v>1</v>
      </c>
      <c r="AB652" s="10">
        <v>0</v>
      </c>
      <c r="AC652" s="6" t="str">
        <f ca="1">VLOOKUP($AB652,OFFSET([3]enemy_skill_sets!$B$2,0,0,COUNTA([3]enemy_skill_sets!$A:$A),MATCH(AC$1,[3]enemy_skill_sets!$1:$1,0)-MATCH($AB$1,[3]enemy_skill_sets!$1:$1,0)+1),MATCH(AC$1,[3]enemy_skill_sets!$1:$1,0)-MATCH($AB$1,[3]enemy_skill_sets!$1:$1,0)+1,FALSE)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2" s="67">
        <v>1</v>
      </c>
      <c r="AE652" s="67">
        <v>1</v>
      </c>
      <c r="AF652" s="68">
        <v>0</v>
      </c>
      <c r="AG652" s="99">
        <f ca="1">ROUND(VLOOKUP(1,enemy_base_stats!$A:$F,2,FALSE) * Y652* J652*O652*E652*S652*AD652*[2]ステータス!$B$2,0)</f>
        <v>3749</v>
      </c>
      <c r="AH652" s="99">
        <f ca="1">ROUND(VLOOKUP(1,enemy_base_stats!$A:$F,3,FALSE) * Z652*K652*P652*F652*T652*AE652 * W652*[2]ステータス!$C$2,0)</f>
        <v>150</v>
      </c>
      <c r="AI652" s="99">
        <f ca="1">ROUND(VLOOKUP(1,enemy_base_stats!$A:$F,4,FALSE) * AA652*L652*Q652*G652*U652*AF652*[2]ステータス!$D$2,0)</f>
        <v>0</v>
      </c>
      <c r="AJ652" s="99">
        <f ca="1">ROUND(VLOOKUP(100,enemy_base_stats!$A:$F,2,FALSE) * Y652* J652*O652*E652*S652*AD652*[2]ステータス!$B$2,0)</f>
        <v>152189</v>
      </c>
      <c r="AK652" s="99">
        <f ca="1">ROUND(VLOOKUP(100,enemy_base_stats!$A:$F,3,FALSE)* Z652* K652*P652*F652*T652*AE652 * W652*[2]ステータス!$C$2,0)</f>
        <v>6095</v>
      </c>
      <c r="AL652" s="99">
        <f ca="1">ROUND(VLOOKUP(100,enemy_base_stats!$A:$F,4,FALSE)* AA652* L652*Q652*G652*U652*AF652*[2]ステータス!$D$2,0)</f>
        <v>0</v>
      </c>
      <c r="AM652" s="97">
        <f ca="1">VLOOKUP(M652,[2]character_tribe_i18n!$A:$I,9,FALSE)</f>
        <v>480</v>
      </c>
      <c r="AN652" s="97">
        <v>0</v>
      </c>
      <c r="AO652" s="98">
        <v>0</v>
      </c>
      <c r="AP652" s="58" t="s">
        <v>72</v>
      </c>
      <c r="AQ652" s="34">
        <f t="shared" ca="1" si="40"/>
        <v>651</v>
      </c>
    </row>
    <row r="653" spans="1:43" ht="21" customHeight="1" x14ac:dyDescent="0.15">
      <c r="A653" s="7">
        <f t="shared" ca="1" si="41"/>
        <v>652</v>
      </c>
      <c r="B653" s="6" t="str">
        <f ca="1">VLOOKUP(A653,[2]characters!$A:$C,3,FALSE)</f>
        <v>アナンタ</v>
      </c>
      <c r="C653" s="9">
        <f ca="1">VLOOKUP(A653,[2]characters!$A:$I,9,FALSE)</f>
        <v>4</v>
      </c>
      <c r="D653" s="9" t="str">
        <f ca="1">VLOOKUP(A653,[2]characters!$A:$H,8,FALSE)</f>
        <v>yellow</v>
      </c>
      <c r="E653" s="97">
        <f ca="1">VLOOKUP(D653,[2]属性!$A:$E,2,FALSE)</f>
        <v>0.98</v>
      </c>
      <c r="F653" s="97">
        <f ca="1">VLOOKUP(D653,[2]属性!$A:$E,3,FALSE)</f>
        <v>1.01</v>
      </c>
      <c r="G653" s="97">
        <f ca="1">VLOOKUP(D653,[2]属性!$A:$F,4,FALSE)</f>
        <v>1</v>
      </c>
      <c r="H653" s="9" t="str">
        <f ca="1">VLOOKUP(A653,[2]characters!$A:$K,11,FALSE)</f>
        <v>hp</v>
      </c>
      <c r="I653" s="6" t="str">
        <f ca="1">VLOOKUP(H653,[2]character_type_i18n!$A:$F,3,FALSE)</f>
        <v>体力タイプ</v>
      </c>
      <c r="J653" s="97">
        <v>1</v>
      </c>
      <c r="K653" s="97">
        <v>1.33</v>
      </c>
      <c r="L653" s="97">
        <f ca="1">VLOOKUP(H653,[2]character_type_i18n!$A:$F,6,FALSE)</f>
        <v>1</v>
      </c>
      <c r="M653" s="9" t="str">
        <f ca="1">VLOOKUP(A653,[2]characters!$A:$M,13,FALSE)</f>
        <v>dragon</v>
      </c>
      <c r="N653" s="6" t="str">
        <f ca="1">VLOOKUP(M653,[2]character_tribe_i18n!$A:$F,3,FALSE)</f>
        <v>ドラゴン</v>
      </c>
      <c r="O653" s="97">
        <f ca="1">VLOOKUP(M653,[2]character_tribe_i18n!$A:$F,4,FALSE)</f>
        <v>1.1499999999999999</v>
      </c>
      <c r="P653" s="97">
        <f ca="1">VLOOKUP(M653,[2]character_tribe_i18n!$A:$F,5,FALSE)</f>
        <v>1.1000000000000001</v>
      </c>
      <c r="Q653" s="97">
        <f ca="1">VLOOKUP(M653,[2]character_tribe_i18n!$A:$F,6,FALSE)</f>
        <v>1</v>
      </c>
      <c r="R653" s="98" t="s">
        <v>98</v>
      </c>
      <c r="S653" s="97">
        <f>VLOOKUP($R653,ラベル別係数!$A$1:$E$7,3,FALSE)</f>
        <v>5</v>
      </c>
      <c r="T653" s="97">
        <f>VLOOKUP($R653,ラベル別係数!$A$1:$E$7,4,FALSE)</f>
        <v>1.3</v>
      </c>
      <c r="U653" s="97">
        <f>VLOOKUP($R653,ラベル別係数!$A$1:$E$7,5,FALSE)</f>
        <v>0.8</v>
      </c>
      <c r="V653" s="98">
        <v>3</v>
      </c>
      <c r="W653" s="99">
        <f>VLOOKUP(V653,ターン数別攻撃係数!$A$1:$B$1000,2,FALSE)</f>
        <v>1</v>
      </c>
      <c r="X653" s="9">
        <f ca="1">VLOOKUP(C653,サイズ別係数!A$2:B$9,2,FALSE)</f>
        <v>30</v>
      </c>
      <c r="Y653" s="97">
        <f ca="1">VLOOKUP($X653,サイズ別係数!$B:$E,2,FALSE)</f>
        <v>1.3</v>
      </c>
      <c r="Z653" s="97">
        <f ca="1">VLOOKUP($X653,サイズ別係数!$B:$E,3,FALSE)</f>
        <v>1.3</v>
      </c>
      <c r="AA653" s="97">
        <f ca="1">VLOOKUP($X653,サイズ別係数!$B:$E,4,FALSE)</f>
        <v>1.1000000000000001</v>
      </c>
      <c r="AB653" s="10">
        <v>0</v>
      </c>
      <c r="AC653" s="6" t="str">
        <f ca="1">VLOOKUP($AB653,OFFSET([3]enemy_skill_sets!$B$2,0,0,COUNTA([3]enemy_skill_sets!$A:$A),MATCH(AC$1,[3]enemy_skill_sets!$1:$1,0)-MATCH($AB$1,[3]enemy_skill_sets!$1:$1,0)+1),MATCH(AC$1,[3]enemy_skill_sets!$1:$1,0)-MATCH($AB$1,[3]enemy_skill_sets!$1:$1,0)+1,FALSE)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3" s="67">
        <v>1</v>
      </c>
      <c r="AE653" s="67">
        <v>1</v>
      </c>
      <c r="AF653" s="68">
        <v>0</v>
      </c>
      <c r="AG653" s="99">
        <f ca="1">ROUND(VLOOKUP(1,enemy_base_stats!$A:$F,2,FALSE) * Y653* J653*O653*E653*S653*AD653*[2]ステータス!$B$2,0)</f>
        <v>3663</v>
      </c>
      <c r="AH653" s="99">
        <f ca="1">ROUND(VLOOKUP(1,enemy_base_stats!$A:$F,3,FALSE) * Z653*K653*P653*F653*T653*AE653 * W653*[2]ステータス!$C$2,0)</f>
        <v>375</v>
      </c>
      <c r="AI653" s="99">
        <f ca="1">ROUND(VLOOKUP(1,enemy_base_stats!$A:$F,4,FALSE) * AA653*L653*Q653*G653*U653*AF653*[2]ステータス!$D$2,0)</f>
        <v>0</v>
      </c>
      <c r="AJ653" s="99">
        <f ca="1">ROUND(VLOOKUP(100,enemy_base_stats!$A:$F,2,FALSE) * Y653* J653*O653*E653*S653*AD653*[2]ステータス!$B$2,0)</f>
        <v>148708</v>
      </c>
      <c r="AK653" s="99">
        <f ca="1">ROUND(VLOOKUP(100,enemy_base_stats!$A:$F,3,FALSE)* Z653* K653*P653*F653*T653*AE653 * W653*[2]ステータス!$C$2,0)</f>
        <v>15208</v>
      </c>
      <c r="AL653" s="99">
        <f ca="1">ROUND(VLOOKUP(100,enemy_base_stats!$A:$F,4,FALSE)* AA653* L653*Q653*G653*U653*AF653*[2]ステータス!$D$2,0)</f>
        <v>0</v>
      </c>
      <c r="AM653" s="97">
        <f ca="1">VLOOKUP(M653,[2]character_tribe_i18n!$A:$I,9,FALSE)</f>
        <v>540</v>
      </c>
      <c r="AN653" s="97">
        <v>0</v>
      </c>
      <c r="AO653" s="98">
        <v>0</v>
      </c>
      <c r="AP653" s="58" t="s">
        <v>72</v>
      </c>
      <c r="AQ653" s="34">
        <f t="shared" ca="1" si="40"/>
        <v>652</v>
      </c>
    </row>
    <row r="654" spans="1:43" ht="21" customHeight="1" x14ac:dyDescent="0.15">
      <c r="A654" s="7">
        <f t="shared" ca="1" si="41"/>
        <v>653</v>
      </c>
      <c r="B654" s="6" t="str">
        <f ca="1">VLOOKUP(A654,[2]characters!$A:$C,3,FALSE)</f>
        <v>悠久の狡蛇 アナンタ</v>
      </c>
      <c r="C654" s="9">
        <f ca="1">VLOOKUP(A654,[2]characters!$A:$I,9,FALSE)</f>
        <v>5</v>
      </c>
      <c r="D654" s="9" t="str">
        <f ca="1">VLOOKUP(A654,[2]characters!$A:$H,8,FALSE)</f>
        <v>yellow</v>
      </c>
      <c r="E654" s="97">
        <f ca="1">VLOOKUP(D654,[2]属性!$A:$E,2,FALSE)</f>
        <v>0.98</v>
      </c>
      <c r="F654" s="97">
        <f ca="1">VLOOKUP(D654,[2]属性!$A:$E,3,FALSE)</f>
        <v>1.01</v>
      </c>
      <c r="G654" s="97">
        <f ca="1">VLOOKUP(D654,[2]属性!$A:$F,4,FALSE)</f>
        <v>1</v>
      </c>
      <c r="H654" s="9" t="str">
        <f ca="1">VLOOKUP(A654,[2]characters!$A:$K,11,FALSE)</f>
        <v>hp</v>
      </c>
      <c r="I654" s="6" t="str">
        <f ca="1">VLOOKUP(H654,[2]character_type_i18n!$A:$F,3,FALSE)</f>
        <v>体力タイプ</v>
      </c>
      <c r="J654" s="97">
        <v>1</v>
      </c>
      <c r="K654" s="97">
        <v>1.33</v>
      </c>
      <c r="L654" s="97">
        <f ca="1">VLOOKUP(H654,[2]character_type_i18n!$A:$F,6,FALSE)</f>
        <v>1</v>
      </c>
      <c r="M654" s="9" t="str">
        <f ca="1">VLOOKUP(A654,[2]characters!$A:$M,13,FALSE)</f>
        <v>dragon</v>
      </c>
      <c r="N654" s="6" t="str">
        <f ca="1">VLOOKUP(M654,[2]character_tribe_i18n!$A:$F,3,FALSE)</f>
        <v>ドラゴン</v>
      </c>
      <c r="O654" s="97">
        <f ca="1">VLOOKUP(M654,[2]character_tribe_i18n!$A:$F,4,FALSE)</f>
        <v>1.1499999999999999</v>
      </c>
      <c r="P654" s="97">
        <f ca="1">VLOOKUP(M654,[2]character_tribe_i18n!$A:$F,5,FALSE)</f>
        <v>1.1000000000000001</v>
      </c>
      <c r="Q654" s="97">
        <f ca="1">VLOOKUP(M654,[2]character_tribe_i18n!$A:$F,6,FALSE)</f>
        <v>1</v>
      </c>
      <c r="R654" s="98" t="s">
        <v>98</v>
      </c>
      <c r="S654" s="97">
        <f>VLOOKUP($R654,ラベル別係数!$A$1:$E$7,3,FALSE)</f>
        <v>5</v>
      </c>
      <c r="T654" s="97">
        <f>VLOOKUP($R654,ラベル別係数!$A$1:$E$7,4,FALSE)</f>
        <v>1.3</v>
      </c>
      <c r="U654" s="97">
        <f>VLOOKUP($R654,ラベル別係数!$A$1:$E$7,5,FALSE)</f>
        <v>0.8</v>
      </c>
      <c r="V654" s="98">
        <v>3</v>
      </c>
      <c r="W654" s="99">
        <f>VLOOKUP(V654,ターン数別攻撃係数!$A$1:$B$1000,2,FALSE)</f>
        <v>1</v>
      </c>
      <c r="X654" s="9">
        <f ca="1">VLOOKUP(C654,サイズ別係数!A$2:B$9,2,FALSE)</f>
        <v>60</v>
      </c>
      <c r="Y654" s="97">
        <f ca="1">VLOOKUP($X654,サイズ別係数!$B:$E,2,FALSE)</f>
        <v>1.7</v>
      </c>
      <c r="Z654" s="97">
        <f ca="1">VLOOKUP($X654,サイズ別係数!$B:$E,3,FALSE)</f>
        <v>1.4</v>
      </c>
      <c r="AA654" s="97">
        <f ca="1">VLOOKUP($X654,サイズ別係数!$B:$E,4,FALSE)</f>
        <v>1</v>
      </c>
      <c r="AB654" s="10">
        <v>0</v>
      </c>
      <c r="AC654" s="6" t="str">
        <f ca="1">VLOOKUP($AB654,OFFSET([3]enemy_skill_sets!$B$2,0,0,COUNTA([3]enemy_skill_sets!$A:$A),MATCH(AC$1,[3]enemy_skill_sets!$1:$1,0)-MATCH($AB$1,[3]enemy_skill_sets!$1:$1,0)+1),MATCH(AC$1,[3]enemy_skill_sets!$1:$1,0)-MATCH($AB$1,[3]enemy_skill_sets!$1:$1,0)+1,FALSE)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4" s="67">
        <v>1</v>
      </c>
      <c r="AE654" s="67">
        <v>1</v>
      </c>
      <c r="AF654" s="68">
        <v>0</v>
      </c>
      <c r="AG654" s="99">
        <f ca="1">ROUND(VLOOKUP(1,enemy_base_stats!$A:$F,2,FALSE) * Y654* J654*O654*E654*S654*AD654*[2]ステータス!$B$2,0)</f>
        <v>4790</v>
      </c>
      <c r="AH654" s="99">
        <f ca="1">ROUND(VLOOKUP(1,enemy_base_stats!$A:$F,3,FALSE) * Z654*K654*P654*F654*T654*AE654 * W654*[2]ステータス!$C$2,0)</f>
        <v>403</v>
      </c>
      <c r="AI654" s="99">
        <f ca="1">ROUND(VLOOKUP(1,enemy_base_stats!$A:$F,4,FALSE) * AA654*L654*Q654*G654*U654*AF654*[2]ステータス!$D$2,0)</f>
        <v>0</v>
      </c>
      <c r="AJ654" s="99">
        <f ca="1">ROUND(VLOOKUP(100,enemy_base_stats!$A:$F,2,FALSE) * Y654* J654*O654*E654*S654*AD654*[2]ステータス!$B$2,0)</f>
        <v>194464</v>
      </c>
      <c r="AK654" s="99">
        <f ca="1">ROUND(VLOOKUP(100,enemy_base_stats!$A:$F,3,FALSE)* Z654* K654*P654*F654*T654*AE654 * W654*[2]ステータス!$C$2,0)</f>
        <v>16378</v>
      </c>
      <c r="AL654" s="99">
        <f ca="1">ROUND(VLOOKUP(100,enemy_base_stats!$A:$F,4,FALSE)* AA654* L654*Q654*G654*U654*AF654*[2]ステータス!$D$2,0)</f>
        <v>0</v>
      </c>
      <c r="AM654" s="97">
        <f ca="1">VLOOKUP(M654,[2]character_tribe_i18n!$A:$I,9,FALSE)</f>
        <v>540</v>
      </c>
      <c r="AN654" s="97">
        <v>0</v>
      </c>
      <c r="AO654" s="98">
        <v>0</v>
      </c>
      <c r="AP654" s="58" t="s">
        <v>72</v>
      </c>
      <c r="AQ654" s="34">
        <f t="shared" ca="1" si="40"/>
        <v>653</v>
      </c>
    </row>
    <row r="655" spans="1:43" ht="21" customHeight="1" x14ac:dyDescent="0.15">
      <c r="A655" s="7">
        <f t="shared" ca="1" si="41"/>
        <v>654</v>
      </c>
      <c r="B655" s="6" t="str">
        <f ca="1">VLOOKUP(A655,[2]characters!$A:$C,3,FALSE)</f>
        <v>酒呑童子 ヨミ</v>
      </c>
      <c r="C655" s="9">
        <f ca="1">VLOOKUP(A655,[2]characters!$A:$I,9,FALSE)</f>
        <v>4</v>
      </c>
      <c r="D655" s="9" t="str">
        <f ca="1">VLOOKUP(A655,[2]characters!$A:$H,8,FALSE)</f>
        <v>yellow</v>
      </c>
      <c r="E655" s="97">
        <f ca="1">VLOOKUP(D655,[2]属性!$A:$E,2,FALSE)</f>
        <v>0.98</v>
      </c>
      <c r="F655" s="97">
        <f ca="1">VLOOKUP(D655,[2]属性!$A:$E,3,FALSE)</f>
        <v>1.01</v>
      </c>
      <c r="G655" s="97">
        <f ca="1">VLOOKUP(D655,[2]属性!$A:$F,4,FALSE)</f>
        <v>1</v>
      </c>
      <c r="H655" s="9" t="str">
        <f ca="1">VLOOKUP(A655,[2]characters!$A:$K,11,FALSE)</f>
        <v>attack</v>
      </c>
      <c r="I655" s="6" t="str">
        <f ca="1">VLOOKUP(H655,[2]character_type_i18n!$A:$F,3,FALSE)</f>
        <v>攻撃タイプ</v>
      </c>
      <c r="J655" s="97">
        <f ca="1">VLOOKUP(H655,[2]character_type_i18n!$A:$F,4,FALSE)</f>
        <v>1</v>
      </c>
      <c r="K655" s="97">
        <f ca="1">VLOOKUP(H655,[2]character_type_i18n!$A:$F,5,FALSE)</f>
        <v>1.33</v>
      </c>
      <c r="L655" s="97">
        <f ca="1">VLOOKUP(H655,[2]character_type_i18n!$A:$F,6,FALSE)</f>
        <v>1</v>
      </c>
      <c r="M655" s="9" t="str">
        <f ca="1">VLOOKUP(A655,[2]characters!$A:$M,13,FALSE)</f>
        <v>god</v>
      </c>
      <c r="N655" s="6" t="str">
        <f ca="1">VLOOKUP(M655,[2]character_tribe_i18n!$A:$F,3,FALSE)</f>
        <v>ゴッド</v>
      </c>
      <c r="O655" s="97">
        <f ca="1">VLOOKUP(M655,[2]character_tribe_i18n!$A:$F,4,FALSE)</f>
        <v>0.96</v>
      </c>
      <c r="P655" s="97">
        <f ca="1">VLOOKUP(M655,[2]character_tribe_i18n!$A:$F,5,FALSE)</f>
        <v>1.02</v>
      </c>
      <c r="Q655" s="97">
        <f ca="1">VLOOKUP(M655,[2]character_tribe_i18n!$A:$F,6,FALSE)</f>
        <v>1</v>
      </c>
      <c r="R655" s="98" t="s">
        <v>98</v>
      </c>
      <c r="S655" s="97">
        <f>VLOOKUP($R655,ラベル別係数!$A$1:$E$7,3,FALSE)</f>
        <v>5</v>
      </c>
      <c r="T655" s="97">
        <f>VLOOKUP($R655,ラベル別係数!$A$1:$E$7,4,FALSE)</f>
        <v>1.3</v>
      </c>
      <c r="U655" s="97">
        <f>VLOOKUP($R655,ラベル別係数!$A$1:$E$7,5,FALSE)</f>
        <v>0.8</v>
      </c>
      <c r="V655" s="98">
        <v>1</v>
      </c>
      <c r="W655" s="99">
        <f>VLOOKUP(V655,ターン数別攻撃係数!$A$1:$B$1000,2,FALSE)</f>
        <v>0.55000000000000004</v>
      </c>
      <c r="X655" s="9">
        <f ca="1">VLOOKUP(C655,サイズ別係数!A$2:B$9,2,FALSE)</f>
        <v>30</v>
      </c>
      <c r="Y655" s="97">
        <f ca="1">VLOOKUP($X655,サイズ別係数!$B:$E,2,FALSE)</f>
        <v>1.3</v>
      </c>
      <c r="Z655" s="97">
        <f ca="1">VLOOKUP($X655,サイズ別係数!$B:$E,3,FALSE)</f>
        <v>1.3</v>
      </c>
      <c r="AA655" s="97">
        <f ca="1">VLOOKUP($X655,サイズ別係数!$B:$E,4,FALSE)</f>
        <v>1.1000000000000001</v>
      </c>
      <c r="AB655" s="10">
        <v>0</v>
      </c>
      <c r="AC655" s="6" t="str">
        <f ca="1">VLOOKUP($AB655,OFFSET([3]enemy_skill_sets!$B$2,0,0,COUNTA([3]enemy_skill_sets!$A:$A),MATCH(AC$1,[3]enemy_skill_sets!$1:$1,0)-MATCH($AB$1,[3]enemy_skill_sets!$1:$1,0)+1),MATCH(AC$1,[3]enemy_skill_sets!$1:$1,0)-MATCH($AB$1,[3]enemy_skill_sets!$1:$1,0)+1,FALSE)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5" s="67">
        <v>1</v>
      </c>
      <c r="AE655" s="67">
        <v>1</v>
      </c>
      <c r="AF655" s="68">
        <v>0</v>
      </c>
      <c r="AG655" s="99">
        <f ca="1">ROUND(VLOOKUP(1,enemy_base_stats!$A:$F,2,FALSE) * Y655* J655*O655*E655*S655*AD655*[2]ステータス!$B$2,0)</f>
        <v>3058</v>
      </c>
      <c r="AH655" s="99">
        <f ca="1">ROUND(VLOOKUP(1,enemy_base_stats!$A:$F,3,FALSE) * Z655*K655*P655*F655*T655*AE655 * W655*[2]ステータス!$C$2,0)</f>
        <v>191</v>
      </c>
      <c r="AI655" s="99">
        <f ca="1">ROUND(VLOOKUP(1,enemy_base_stats!$A:$F,4,FALSE) * AA655*L655*Q655*G655*U655*AF655*[2]ステータス!$D$2,0)</f>
        <v>0</v>
      </c>
      <c r="AJ655" s="99">
        <f ca="1">ROUND(VLOOKUP(100,enemy_base_stats!$A:$F,2,FALSE) * Y655* J655*O655*E655*S655*AD655*[2]ステータス!$B$2,0)</f>
        <v>124139</v>
      </c>
      <c r="AK655" s="99">
        <f ca="1">ROUND(VLOOKUP(100,enemy_base_stats!$A:$F,3,FALSE)* Z655* K655*P655*F655*T655*AE655 * W655*[2]ステータス!$C$2,0)</f>
        <v>7756</v>
      </c>
      <c r="AL655" s="99">
        <f ca="1">ROUND(VLOOKUP(100,enemy_base_stats!$A:$F,4,FALSE)* AA655* L655*Q655*G655*U655*AF655*[2]ステータス!$D$2,0)</f>
        <v>0</v>
      </c>
      <c r="AM655" s="97">
        <f ca="1">VLOOKUP(M655,[2]character_tribe_i18n!$A:$I,9,FALSE)</f>
        <v>680</v>
      </c>
      <c r="AN655" s="97">
        <v>0</v>
      </c>
      <c r="AO655" s="98">
        <v>0</v>
      </c>
      <c r="AP655" s="58" t="s">
        <v>72</v>
      </c>
      <c r="AQ655" s="34">
        <f t="shared" ca="1" si="40"/>
        <v>654</v>
      </c>
    </row>
    <row r="656" spans="1:43" ht="21" customHeight="1" x14ac:dyDescent="0.15">
      <c r="A656" s="7">
        <f t="shared" ca="1" si="41"/>
        <v>655</v>
      </c>
      <c r="B656" s="6" t="str">
        <f ca="1">VLOOKUP(A656,[2]characters!$A:$C,3,FALSE)</f>
        <v>桜花舞う嵐鬼神 ヨミ</v>
      </c>
      <c r="C656" s="9">
        <f ca="1">VLOOKUP(A656,[2]characters!$A:$I,9,FALSE)</f>
        <v>5</v>
      </c>
      <c r="D656" s="9" t="str">
        <f ca="1">VLOOKUP(A656,[2]characters!$A:$H,8,FALSE)</f>
        <v>yellow</v>
      </c>
      <c r="E656" s="97">
        <f ca="1">VLOOKUP(D656,[2]属性!$A:$E,2,FALSE)</f>
        <v>0.98</v>
      </c>
      <c r="F656" s="97">
        <f ca="1">VLOOKUP(D656,[2]属性!$A:$E,3,FALSE)</f>
        <v>1.01</v>
      </c>
      <c r="G656" s="97">
        <f ca="1">VLOOKUP(D656,[2]属性!$A:$F,4,FALSE)</f>
        <v>1</v>
      </c>
      <c r="H656" s="9" t="str">
        <f ca="1">VLOOKUP(A656,[2]characters!$A:$K,11,FALSE)</f>
        <v>attack</v>
      </c>
      <c r="I656" s="6" t="str">
        <f ca="1">VLOOKUP(H656,[2]character_type_i18n!$A:$F,3,FALSE)</f>
        <v>攻撃タイプ</v>
      </c>
      <c r="J656" s="97">
        <f ca="1">VLOOKUP(H656,[2]character_type_i18n!$A:$F,4,FALSE)</f>
        <v>1</v>
      </c>
      <c r="K656" s="97">
        <f ca="1">VLOOKUP(H656,[2]character_type_i18n!$A:$F,5,FALSE)</f>
        <v>1.33</v>
      </c>
      <c r="L656" s="97">
        <f ca="1">VLOOKUP(H656,[2]character_type_i18n!$A:$F,6,FALSE)</f>
        <v>1</v>
      </c>
      <c r="M656" s="9" t="str">
        <f ca="1">VLOOKUP(A656,[2]characters!$A:$M,13,FALSE)</f>
        <v>god</v>
      </c>
      <c r="N656" s="6" t="str">
        <f ca="1">VLOOKUP(M656,[2]character_tribe_i18n!$A:$F,3,FALSE)</f>
        <v>ゴッド</v>
      </c>
      <c r="O656" s="97">
        <f ca="1">VLOOKUP(M656,[2]character_tribe_i18n!$A:$F,4,FALSE)</f>
        <v>0.96</v>
      </c>
      <c r="P656" s="97">
        <f ca="1">VLOOKUP(M656,[2]character_tribe_i18n!$A:$F,5,FALSE)</f>
        <v>1.02</v>
      </c>
      <c r="Q656" s="97">
        <f ca="1">VLOOKUP(M656,[2]character_tribe_i18n!$A:$F,6,FALSE)</f>
        <v>1</v>
      </c>
      <c r="R656" s="98" t="s">
        <v>98</v>
      </c>
      <c r="S656" s="97">
        <f>VLOOKUP($R656,ラベル別係数!$A$1:$E$7,3,FALSE)</f>
        <v>5</v>
      </c>
      <c r="T656" s="97">
        <f>VLOOKUP($R656,ラベル別係数!$A$1:$E$7,4,FALSE)</f>
        <v>1.3</v>
      </c>
      <c r="U656" s="97">
        <f>VLOOKUP($R656,ラベル別係数!$A$1:$E$7,5,FALSE)</f>
        <v>0.8</v>
      </c>
      <c r="V656" s="98">
        <v>1</v>
      </c>
      <c r="W656" s="99">
        <f>VLOOKUP(V656,ターン数別攻撃係数!$A$1:$B$1000,2,FALSE)</f>
        <v>0.55000000000000004</v>
      </c>
      <c r="X656" s="9">
        <f ca="1">VLOOKUP(C656,サイズ別係数!A$2:B$9,2,FALSE)</f>
        <v>60</v>
      </c>
      <c r="Y656" s="97">
        <f ca="1">VLOOKUP($X656,サイズ別係数!$B:$E,2,FALSE)</f>
        <v>1.7</v>
      </c>
      <c r="Z656" s="97">
        <f ca="1">VLOOKUP($X656,サイズ別係数!$B:$E,3,FALSE)</f>
        <v>1.4</v>
      </c>
      <c r="AA656" s="97">
        <f ca="1">VLOOKUP($X656,サイズ別係数!$B:$E,4,FALSE)</f>
        <v>1</v>
      </c>
      <c r="AB656" s="10">
        <v>0</v>
      </c>
      <c r="AC656" s="6" t="str">
        <f ca="1">VLOOKUP($AB656,OFFSET([3]enemy_skill_sets!$B$2,0,0,COUNTA([3]enemy_skill_sets!$A:$A),MATCH(AC$1,[3]enemy_skill_sets!$1:$1,0)-MATCH($AB$1,[3]enemy_skill_sets!$1:$1,0)+1),MATCH(AC$1,[3]enemy_skill_sets!$1:$1,0)-MATCH($AB$1,[3]enemy_skill_sets!$1:$1,0)+1,FALSE)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6" s="67">
        <v>1</v>
      </c>
      <c r="AE656" s="67">
        <v>1</v>
      </c>
      <c r="AF656" s="68">
        <v>0</v>
      </c>
      <c r="AG656" s="99">
        <f ca="1">ROUND(VLOOKUP(1,enemy_base_stats!$A:$F,2,FALSE) * Y656* J656*O656*E656*S656*AD656*[2]ステータス!$B$2,0)</f>
        <v>3998</v>
      </c>
      <c r="AH656" s="99">
        <f ca="1">ROUND(VLOOKUP(1,enemy_base_stats!$A:$F,3,FALSE) * Z656*K656*P656*F656*T656*AE656 * W656*[2]ステータス!$C$2,0)</f>
        <v>206</v>
      </c>
      <c r="AI656" s="99">
        <f ca="1">ROUND(VLOOKUP(1,enemy_base_stats!$A:$F,4,FALSE) * AA656*L656*Q656*G656*U656*AF656*[2]ステータス!$D$2,0)</f>
        <v>0</v>
      </c>
      <c r="AJ656" s="99">
        <f ca="1">ROUND(VLOOKUP(100,enemy_base_stats!$A:$F,2,FALSE) * Y656* J656*O656*E656*S656*AD656*[2]ステータス!$B$2,0)</f>
        <v>162335</v>
      </c>
      <c r="AK656" s="99">
        <f ca="1">ROUND(VLOOKUP(100,enemy_base_stats!$A:$F,3,FALSE)* Z656* K656*P656*F656*T656*AE656 * W656*[2]ステータス!$C$2,0)</f>
        <v>8353</v>
      </c>
      <c r="AL656" s="99">
        <f ca="1">ROUND(VLOOKUP(100,enemy_base_stats!$A:$F,4,FALSE)* AA656* L656*Q656*G656*U656*AF656*[2]ステータス!$D$2,0)</f>
        <v>0</v>
      </c>
      <c r="AM656" s="97">
        <f ca="1">VLOOKUP(M656,[2]character_tribe_i18n!$A:$I,9,FALSE)</f>
        <v>680</v>
      </c>
      <c r="AN656" s="97">
        <v>0</v>
      </c>
      <c r="AO656" s="98">
        <v>0</v>
      </c>
      <c r="AP656" s="58" t="s">
        <v>72</v>
      </c>
      <c r="AQ656" s="34">
        <f t="shared" ca="1" si="40"/>
        <v>655</v>
      </c>
    </row>
    <row r="657" spans="1:43" ht="21" customHeight="1" x14ac:dyDescent="0.15">
      <c r="A657" s="7">
        <f t="shared" ca="1" si="41"/>
        <v>656</v>
      </c>
      <c r="B657" s="6" t="str">
        <f ca="1">VLOOKUP(A657,[2]characters!$A:$C,3,FALSE)</f>
        <v>シヴァ</v>
      </c>
      <c r="C657" s="9">
        <f ca="1">VLOOKUP(A657,[2]characters!$A:$I,9,FALSE)</f>
        <v>4</v>
      </c>
      <c r="D657" s="9" t="str">
        <f ca="1">VLOOKUP(A657,[2]characters!$A:$H,8,FALSE)</f>
        <v>blue</v>
      </c>
      <c r="E657" s="97">
        <f ca="1">VLOOKUP(D657,[2]属性!$A:$E,2,FALSE)</f>
        <v>1</v>
      </c>
      <c r="F657" s="97">
        <f ca="1">VLOOKUP(D657,[2]属性!$A:$E,3,FALSE)</f>
        <v>0.98</v>
      </c>
      <c r="G657" s="97">
        <f ca="1">VLOOKUP(D657,[2]属性!$A:$F,4,FALSE)</f>
        <v>1</v>
      </c>
      <c r="H657" s="9" t="str">
        <f ca="1">VLOOKUP(A657,[2]characters!$A:$K,11,FALSE)</f>
        <v>balance</v>
      </c>
      <c r="I657" s="6" t="str">
        <f ca="1">VLOOKUP(H657,[2]character_type_i18n!$A:$F,3,FALSE)</f>
        <v>バランスタイプ</v>
      </c>
      <c r="J657" s="97">
        <v>1</v>
      </c>
      <c r="K657" s="97">
        <v>1.33</v>
      </c>
      <c r="L657" s="97">
        <f ca="1">VLOOKUP(H657,[2]character_type_i18n!$A:$F,6,FALSE)</f>
        <v>1</v>
      </c>
      <c r="M657" s="9" t="str">
        <f ca="1">VLOOKUP(A657,[2]characters!$A:$M,13,FALSE)</f>
        <v>god</v>
      </c>
      <c r="N657" s="6" t="str">
        <f ca="1">VLOOKUP(M657,[2]character_tribe_i18n!$A:$F,3,FALSE)</f>
        <v>ゴッド</v>
      </c>
      <c r="O657" s="97">
        <f ca="1">VLOOKUP(M657,[2]character_tribe_i18n!$A:$F,4,FALSE)</f>
        <v>0.96</v>
      </c>
      <c r="P657" s="97">
        <f ca="1">VLOOKUP(M657,[2]character_tribe_i18n!$A:$F,5,FALSE)</f>
        <v>1.02</v>
      </c>
      <c r="Q657" s="97">
        <f ca="1">VLOOKUP(M657,[2]character_tribe_i18n!$A:$F,6,FALSE)</f>
        <v>1</v>
      </c>
      <c r="R657" s="98" t="s">
        <v>98</v>
      </c>
      <c r="S657" s="97">
        <f>VLOOKUP($R657,ラベル別係数!$A$1:$E$7,3,FALSE)</f>
        <v>5</v>
      </c>
      <c r="T657" s="97">
        <f>VLOOKUP($R657,ラベル別係数!$A$1:$E$7,4,FALSE)</f>
        <v>1.3</v>
      </c>
      <c r="U657" s="97">
        <f>VLOOKUP($R657,ラベル別係数!$A$1:$E$7,5,FALSE)</f>
        <v>0.8</v>
      </c>
      <c r="V657" s="98">
        <v>3</v>
      </c>
      <c r="W657" s="99">
        <f>VLOOKUP(V657,ターン数別攻撃係数!$A$1:$B$1000,2,FALSE)</f>
        <v>1</v>
      </c>
      <c r="X657" s="9">
        <f ca="1">VLOOKUP(C657,サイズ別係数!A$2:B$9,2,FALSE)</f>
        <v>30</v>
      </c>
      <c r="Y657" s="97">
        <f ca="1">VLOOKUP($X657,サイズ別係数!$B:$E,2,FALSE)</f>
        <v>1.3</v>
      </c>
      <c r="Z657" s="97">
        <f ca="1">VLOOKUP($X657,サイズ別係数!$B:$E,3,FALSE)</f>
        <v>1.3</v>
      </c>
      <c r="AA657" s="97">
        <f ca="1">VLOOKUP($X657,サイズ別係数!$B:$E,4,FALSE)</f>
        <v>1.1000000000000001</v>
      </c>
      <c r="AB657" s="10">
        <v>0</v>
      </c>
      <c r="AC657" s="6" t="str">
        <f ca="1">VLOOKUP($AB657,OFFSET([3]enemy_skill_sets!$B$2,0,0,COUNTA([3]enemy_skill_sets!$A:$A),MATCH(AC$1,[3]enemy_skill_sets!$1:$1,0)-MATCH($AB$1,[3]enemy_skill_sets!$1:$1,0)+1),MATCH(AC$1,[3]enemy_skill_sets!$1:$1,0)-MATCH($AB$1,[3]enemy_skill_sets!$1:$1,0)+1,FALSE)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7" s="67">
        <v>1</v>
      </c>
      <c r="AE657" s="67">
        <v>1</v>
      </c>
      <c r="AF657" s="68">
        <v>0</v>
      </c>
      <c r="AG657" s="99">
        <f ca="1">ROUND(VLOOKUP(1,enemy_base_stats!$A:$F,2,FALSE) * Y657* J657*O657*E657*S657*AD657*[2]ステータス!$B$2,0)</f>
        <v>3120</v>
      </c>
      <c r="AH657" s="99">
        <f ca="1">ROUND(VLOOKUP(1,enemy_base_stats!$A:$F,3,FALSE) * Z657*K657*P657*F657*T657*AE657 * W657*[2]ステータス!$C$2,0)</f>
        <v>337</v>
      </c>
      <c r="AI657" s="99">
        <f ca="1">ROUND(VLOOKUP(1,enemy_base_stats!$A:$F,4,FALSE) * AA657*L657*Q657*G657*U657*AF657*[2]ステータス!$D$2,0)</f>
        <v>0</v>
      </c>
      <c r="AJ657" s="99">
        <f ca="1">ROUND(VLOOKUP(100,enemy_base_stats!$A:$F,2,FALSE) * Y657* J657*O657*E657*S657*AD657*[2]ステータス!$B$2,0)</f>
        <v>126672</v>
      </c>
      <c r="AK657" s="99">
        <f ca="1">ROUND(VLOOKUP(100,enemy_base_stats!$A:$F,3,FALSE)* Z657* K657*P657*F657*T657*AE657 * W657*[2]ステータス!$C$2,0)</f>
        <v>13683</v>
      </c>
      <c r="AL657" s="99">
        <f ca="1">ROUND(VLOOKUP(100,enemy_base_stats!$A:$F,4,FALSE)* AA657* L657*Q657*G657*U657*AF657*[2]ステータス!$D$2,0)</f>
        <v>0</v>
      </c>
      <c r="AM657" s="97">
        <f ca="1">VLOOKUP(M657,[2]character_tribe_i18n!$A:$I,9,FALSE)</f>
        <v>680</v>
      </c>
      <c r="AN657" s="97">
        <v>0</v>
      </c>
      <c r="AO657" s="98">
        <v>0</v>
      </c>
      <c r="AP657" s="58" t="s">
        <v>72</v>
      </c>
      <c r="AQ657" s="34">
        <f t="shared" ca="1" si="40"/>
        <v>656</v>
      </c>
    </row>
    <row r="658" spans="1:43" ht="21" customHeight="1" x14ac:dyDescent="0.15">
      <c r="A658" s="7">
        <f t="shared" ca="1" si="41"/>
        <v>657</v>
      </c>
      <c r="B658" s="6" t="str">
        <f ca="1">VLOOKUP(A658,[2]characters!$A:$C,3,FALSE)</f>
        <v>解滅の裁神 シヴァ</v>
      </c>
      <c r="C658" s="9">
        <f ca="1">VLOOKUP(A658,[2]characters!$A:$I,9,FALSE)</f>
        <v>5</v>
      </c>
      <c r="D658" s="9" t="str">
        <f ca="1">VLOOKUP(A658,[2]characters!$A:$H,8,FALSE)</f>
        <v>blue</v>
      </c>
      <c r="E658" s="97">
        <f ca="1">VLOOKUP(D658,[2]属性!$A:$E,2,FALSE)</f>
        <v>1</v>
      </c>
      <c r="F658" s="97">
        <f ca="1">VLOOKUP(D658,[2]属性!$A:$E,3,FALSE)</f>
        <v>0.98</v>
      </c>
      <c r="G658" s="97">
        <f ca="1">VLOOKUP(D658,[2]属性!$A:$F,4,FALSE)</f>
        <v>1</v>
      </c>
      <c r="H658" s="9" t="str">
        <f ca="1">VLOOKUP(A658,[2]characters!$A:$K,11,FALSE)</f>
        <v>balance</v>
      </c>
      <c r="I658" s="6" t="str">
        <f ca="1">VLOOKUP(H658,[2]character_type_i18n!$A:$F,3,FALSE)</f>
        <v>バランスタイプ</v>
      </c>
      <c r="J658" s="97">
        <v>1</v>
      </c>
      <c r="K658" s="97">
        <v>1.33</v>
      </c>
      <c r="L658" s="97">
        <f ca="1">VLOOKUP(H658,[2]character_type_i18n!$A:$F,6,FALSE)</f>
        <v>1</v>
      </c>
      <c r="M658" s="9" t="str">
        <f ca="1">VLOOKUP(A658,[2]characters!$A:$M,13,FALSE)</f>
        <v>god</v>
      </c>
      <c r="N658" s="6" t="str">
        <f ca="1">VLOOKUP(M658,[2]character_tribe_i18n!$A:$F,3,FALSE)</f>
        <v>ゴッド</v>
      </c>
      <c r="O658" s="97">
        <f ca="1">VLOOKUP(M658,[2]character_tribe_i18n!$A:$F,4,FALSE)</f>
        <v>0.96</v>
      </c>
      <c r="P658" s="97">
        <f ca="1">VLOOKUP(M658,[2]character_tribe_i18n!$A:$F,5,FALSE)</f>
        <v>1.02</v>
      </c>
      <c r="Q658" s="97">
        <f ca="1">VLOOKUP(M658,[2]character_tribe_i18n!$A:$F,6,FALSE)</f>
        <v>1</v>
      </c>
      <c r="R658" s="98" t="s">
        <v>98</v>
      </c>
      <c r="S658" s="97">
        <f>VLOOKUP($R658,ラベル別係数!$A$1:$E$7,3,FALSE)</f>
        <v>5</v>
      </c>
      <c r="T658" s="97">
        <f>VLOOKUP($R658,ラベル別係数!$A$1:$E$7,4,FALSE)</f>
        <v>1.3</v>
      </c>
      <c r="U658" s="97">
        <f>VLOOKUP($R658,ラベル別係数!$A$1:$E$7,5,FALSE)</f>
        <v>0.8</v>
      </c>
      <c r="V658" s="98">
        <v>3</v>
      </c>
      <c r="W658" s="99">
        <f>VLOOKUP(V658,ターン数別攻撃係数!$A$1:$B$1000,2,FALSE)</f>
        <v>1</v>
      </c>
      <c r="X658" s="9">
        <f ca="1">VLOOKUP(C658,サイズ別係数!A$2:B$9,2,FALSE)</f>
        <v>60</v>
      </c>
      <c r="Y658" s="97">
        <f ca="1">VLOOKUP($X658,サイズ別係数!$B:$E,2,FALSE)</f>
        <v>1.7</v>
      </c>
      <c r="Z658" s="97">
        <f ca="1">VLOOKUP($X658,サイズ別係数!$B:$E,3,FALSE)</f>
        <v>1.4</v>
      </c>
      <c r="AA658" s="97">
        <f ca="1">VLOOKUP($X658,サイズ別係数!$B:$E,4,FALSE)</f>
        <v>1</v>
      </c>
      <c r="AB658" s="10">
        <v>0</v>
      </c>
      <c r="AC658" s="6" t="str">
        <f ca="1">VLOOKUP($AB658,OFFSET([3]enemy_skill_sets!$B$2,0,0,COUNTA([3]enemy_skill_sets!$A:$A),MATCH(AC$1,[3]enemy_skill_sets!$1:$1,0)-MATCH($AB$1,[3]enemy_skill_sets!$1:$1,0)+1),MATCH(AC$1,[3]enemy_skill_sets!$1:$1,0)-MATCH($AB$1,[3]enemy_skill_sets!$1:$1,0)+1,FALSE)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8" s="67">
        <v>1</v>
      </c>
      <c r="AE658" s="67">
        <v>1</v>
      </c>
      <c r="AF658" s="68">
        <v>0</v>
      </c>
      <c r="AG658" s="99">
        <f ca="1">ROUND(VLOOKUP(1,enemy_base_stats!$A:$F,2,FALSE) * Y658* J658*O658*E658*S658*AD658*[2]ステータス!$B$2,0)</f>
        <v>4080</v>
      </c>
      <c r="AH658" s="99">
        <f ca="1">ROUND(VLOOKUP(1,enemy_base_stats!$A:$F,3,FALSE) * Z658*K658*P658*F658*T658*AE658 * W658*[2]ステータス!$C$2,0)</f>
        <v>363</v>
      </c>
      <c r="AI658" s="99">
        <f ca="1">ROUND(VLOOKUP(1,enemy_base_stats!$A:$F,4,FALSE) * AA658*L658*Q658*G658*U658*AF658*[2]ステータス!$D$2,0)</f>
        <v>0</v>
      </c>
      <c r="AJ658" s="99">
        <f ca="1">ROUND(VLOOKUP(100,enemy_base_stats!$A:$F,2,FALSE) * Y658* J658*O658*E658*S658*AD658*[2]ステータス!$B$2,0)</f>
        <v>165648</v>
      </c>
      <c r="AK658" s="99">
        <f ca="1">ROUND(VLOOKUP(100,enemy_base_stats!$A:$F,3,FALSE)* Z658* K658*P658*F658*T658*AE658 * W658*[2]ステータス!$C$2,0)</f>
        <v>14736</v>
      </c>
      <c r="AL658" s="99">
        <f ca="1">ROUND(VLOOKUP(100,enemy_base_stats!$A:$F,4,FALSE)* AA658* L658*Q658*G658*U658*AF658*[2]ステータス!$D$2,0)</f>
        <v>0</v>
      </c>
      <c r="AM658" s="97">
        <f ca="1">VLOOKUP(M658,[2]character_tribe_i18n!$A:$I,9,FALSE)</f>
        <v>680</v>
      </c>
      <c r="AN658" s="97">
        <v>0</v>
      </c>
      <c r="AO658" s="98">
        <v>0</v>
      </c>
      <c r="AP658" s="58" t="s">
        <v>72</v>
      </c>
      <c r="AQ658" s="34">
        <f t="shared" ca="1" si="40"/>
        <v>657</v>
      </c>
    </row>
    <row r="659" spans="1:43" ht="21" customHeight="1" x14ac:dyDescent="0.15">
      <c r="A659" s="7">
        <f t="shared" ca="1" si="41"/>
        <v>658</v>
      </c>
      <c r="B659" s="6" t="str">
        <f ca="1">VLOOKUP(A659,[2]characters!$A:$C,3,FALSE)</f>
        <v>猫又 クルミ</v>
      </c>
      <c r="C659" s="9">
        <f ca="1">VLOOKUP(A659,[2]characters!$A:$I,9,FALSE)</f>
        <v>4</v>
      </c>
      <c r="D659" s="9" t="str">
        <f ca="1">VLOOKUP(A659,[2]characters!$A:$H,8,FALSE)</f>
        <v>red</v>
      </c>
      <c r="E659" s="97">
        <f ca="1">VLOOKUP(D659,[2]属性!$A:$E,2,FALSE)</f>
        <v>1</v>
      </c>
      <c r="F659" s="97">
        <f ca="1">VLOOKUP(D659,[2]属性!$A:$E,3,FALSE)</f>
        <v>1.02</v>
      </c>
      <c r="G659" s="97">
        <f ca="1">VLOOKUP(D659,[2]属性!$A:$F,4,FALSE)</f>
        <v>1</v>
      </c>
      <c r="H659" s="9" t="str">
        <f ca="1">VLOOKUP(A659,[2]characters!$A:$K,11,FALSE)</f>
        <v>attack</v>
      </c>
      <c r="I659" s="6" t="str">
        <f ca="1">VLOOKUP(H659,[2]character_type_i18n!$A:$F,3,FALSE)</f>
        <v>攻撃タイプ</v>
      </c>
      <c r="J659" s="97">
        <f ca="1">VLOOKUP(H659,[2]character_type_i18n!$A:$F,4,FALSE)</f>
        <v>1</v>
      </c>
      <c r="K659" s="97">
        <f ca="1">VLOOKUP(H659,[2]character_type_i18n!$A:$F,5,FALSE)</f>
        <v>1.33</v>
      </c>
      <c r="L659" s="97">
        <f ca="1">VLOOKUP(H659,[2]character_type_i18n!$A:$F,6,FALSE)</f>
        <v>1</v>
      </c>
      <c r="M659" s="9" t="str">
        <f ca="1">VLOOKUP(A659,[2]characters!$A:$M,13,FALSE)</f>
        <v>animal</v>
      </c>
      <c r="N659" s="6" t="str">
        <f ca="1">VLOOKUP(M659,[2]character_tribe_i18n!$A:$F,3,FALSE)</f>
        <v>アニマル</v>
      </c>
      <c r="O659" s="97">
        <f ca="1">VLOOKUP(M659,[2]character_tribe_i18n!$A:$F,4,FALSE)</f>
        <v>1</v>
      </c>
      <c r="P659" s="97">
        <f ca="1">VLOOKUP(M659,[2]character_tribe_i18n!$A:$F,5,FALSE)</f>
        <v>1.1000000000000001</v>
      </c>
      <c r="Q659" s="97">
        <f ca="1">VLOOKUP(M659,[2]character_tribe_i18n!$A:$F,6,FALSE)</f>
        <v>1</v>
      </c>
      <c r="R659" s="98" t="s">
        <v>98</v>
      </c>
      <c r="S659" s="97">
        <f>VLOOKUP($R659,ラベル別係数!$A$1:$E$7,3,FALSE)</f>
        <v>5</v>
      </c>
      <c r="T659" s="97">
        <f>VLOOKUP($R659,ラベル別係数!$A$1:$E$7,4,FALSE)</f>
        <v>1.3</v>
      </c>
      <c r="U659" s="97">
        <f>VLOOKUP($R659,ラベル別係数!$A$1:$E$7,5,FALSE)</f>
        <v>0.8</v>
      </c>
      <c r="V659" s="98">
        <v>2</v>
      </c>
      <c r="W659" s="99">
        <f>VLOOKUP(V659,ターン数別攻撃係数!$A$1:$B$1000,2,FALSE)</f>
        <v>0.75</v>
      </c>
      <c r="X659" s="9">
        <f ca="1">VLOOKUP(C659,サイズ別係数!A$2:B$9,2,FALSE)</f>
        <v>30</v>
      </c>
      <c r="Y659" s="97">
        <f ca="1">VLOOKUP($X659,サイズ別係数!$B:$E,2,FALSE)</f>
        <v>1.3</v>
      </c>
      <c r="Z659" s="97">
        <f ca="1">VLOOKUP($X659,サイズ別係数!$B:$E,3,FALSE)</f>
        <v>1.3</v>
      </c>
      <c r="AA659" s="97">
        <f ca="1">VLOOKUP($X659,サイズ別係数!$B:$E,4,FALSE)</f>
        <v>1.1000000000000001</v>
      </c>
      <c r="AB659" s="10">
        <v>0</v>
      </c>
      <c r="AC659" s="6" t="str">
        <f ca="1">VLOOKUP($AB659,OFFSET([3]enemy_skill_sets!$B$2,0,0,COUNTA([3]enemy_skill_sets!$A:$A),MATCH(AC$1,[3]enemy_skill_sets!$1:$1,0)-MATCH($AB$1,[3]enemy_skill_sets!$1:$1,0)+1),MATCH(AC$1,[3]enemy_skill_sets!$1:$1,0)-MATCH($AB$1,[3]enemy_skill_sets!$1:$1,0)+1,FALSE)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59" s="67">
        <v>1</v>
      </c>
      <c r="AE659" s="67">
        <v>1</v>
      </c>
      <c r="AF659" s="68">
        <v>0</v>
      </c>
      <c r="AG659" s="99">
        <f ca="1">ROUND(VLOOKUP(1,enemy_base_stats!$A:$F,2,FALSE) * Y659* J659*O659*E659*S659*AD659*[2]ステータス!$B$2,0)</f>
        <v>3250</v>
      </c>
      <c r="AH659" s="99">
        <f ca="1">ROUND(VLOOKUP(1,enemy_base_stats!$A:$F,3,FALSE) * Z659*K659*P659*F659*T659*AE659 * W659*[2]ステータス!$C$2,0)</f>
        <v>284</v>
      </c>
      <c r="AI659" s="99">
        <f ca="1">ROUND(VLOOKUP(1,enemy_base_stats!$A:$F,4,FALSE) * AA659*L659*Q659*G659*U659*AF659*[2]ステータス!$D$2,0)</f>
        <v>0</v>
      </c>
      <c r="AJ659" s="99">
        <f ca="1">ROUND(VLOOKUP(100,enemy_base_stats!$A:$F,2,FALSE) * Y659* J659*O659*E659*S659*AD659*[2]ステータス!$B$2,0)</f>
        <v>131950</v>
      </c>
      <c r="AK659" s="99">
        <f ca="1">ROUND(VLOOKUP(100,enemy_base_stats!$A:$F,3,FALSE)* Z659* K659*P659*F659*T659*AE659 * W659*[2]ステータス!$C$2,0)</f>
        <v>11519</v>
      </c>
      <c r="AL659" s="99">
        <f ca="1">ROUND(VLOOKUP(100,enemy_base_stats!$A:$F,4,FALSE)* AA659* L659*Q659*G659*U659*AF659*[2]ステータス!$D$2,0)</f>
        <v>0</v>
      </c>
      <c r="AM659" s="97">
        <f ca="1">VLOOKUP(M659,[2]character_tribe_i18n!$A:$I,9,FALSE)</f>
        <v>480</v>
      </c>
      <c r="AN659" s="97">
        <v>0</v>
      </c>
      <c r="AO659" s="98">
        <v>0</v>
      </c>
      <c r="AP659" s="58" t="s">
        <v>72</v>
      </c>
      <c r="AQ659" s="34">
        <f t="shared" ca="1" si="40"/>
        <v>658</v>
      </c>
    </row>
    <row r="660" spans="1:43" ht="21" customHeight="1" x14ac:dyDescent="0.15">
      <c r="A660" s="7">
        <f t="shared" ca="1" si="41"/>
        <v>659</v>
      </c>
      <c r="B660" s="6" t="str">
        <f ca="1">VLOOKUP(A660,[2]characters!$A:$C,3,FALSE)</f>
        <v>跳梁する化猫 クルミ</v>
      </c>
      <c r="C660" s="9">
        <f ca="1">VLOOKUP(A660,[2]characters!$A:$I,9,FALSE)</f>
        <v>5</v>
      </c>
      <c r="D660" s="9" t="str">
        <f ca="1">VLOOKUP(A660,[2]characters!$A:$H,8,FALSE)</f>
        <v>red</v>
      </c>
      <c r="E660" s="97">
        <f ca="1">VLOOKUP(D660,[2]属性!$A:$E,2,FALSE)</f>
        <v>1</v>
      </c>
      <c r="F660" s="97">
        <f ca="1">VLOOKUP(D660,[2]属性!$A:$E,3,FALSE)</f>
        <v>1.02</v>
      </c>
      <c r="G660" s="97">
        <f ca="1">VLOOKUP(D660,[2]属性!$A:$F,4,FALSE)</f>
        <v>1</v>
      </c>
      <c r="H660" s="9" t="str">
        <f ca="1">VLOOKUP(A660,[2]characters!$A:$K,11,FALSE)</f>
        <v>attack</v>
      </c>
      <c r="I660" s="6" t="str">
        <f ca="1">VLOOKUP(H660,[2]character_type_i18n!$A:$F,3,FALSE)</f>
        <v>攻撃タイプ</v>
      </c>
      <c r="J660" s="97">
        <f ca="1">VLOOKUP(H660,[2]character_type_i18n!$A:$F,4,FALSE)</f>
        <v>1</v>
      </c>
      <c r="K660" s="97">
        <f ca="1">VLOOKUP(H660,[2]character_type_i18n!$A:$F,5,FALSE)</f>
        <v>1.33</v>
      </c>
      <c r="L660" s="97">
        <f ca="1">VLOOKUP(H660,[2]character_type_i18n!$A:$F,6,FALSE)</f>
        <v>1</v>
      </c>
      <c r="M660" s="9" t="str">
        <f ca="1">VLOOKUP(A660,[2]characters!$A:$M,13,FALSE)</f>
        <v>animal</v>
      </c>
      <c r="N660" s="6" t="str">
        <f ca="1">VLOOKUP(M660,[2]character_tribe_i18n!$A:$F,3,FALSE)</f>
        <v>アニマル</v>
      </c>
      <c r="O660" s="97">
        <f ca="1">VLOOKUP(M660,[2]character_tribe_i18n!$A:$F,4,FALSE)</f>
        <v>1</v>
      </c>
      <c r="P660" s="97">
        <f ca="1">VLOOKUP(M660,[2]character_tribe_i18n!$A:$F,5,FALSE)</f>
        <v>1.1000000000000001</v>
      </c>
      <c r="Q660" s="97">
        <f ca="1">VLOOKUP(M660,[2]character_tribe_i18n!$A:$F,6,FALSE)</f>
        <v>1</v>
      </c>
      <c r="R660" s="98" t="s">
        <v>98</v>
      </c>
      <c r="S660" s="97">
        <f>VLOOKUP($R660,ラベル別係数!$A$1:$E$7,3,FALSE)</f>
        <v>5</v>
      </c>
      <c r="T660" s="97">
        <f>VLOOKUP($R660,ラベル別係数!$A$1:$E$7,4,FALSE)</f>
        <v>1.3</v>
      </c>
      <c r="U660" s="97">
        <f>VLOOKUP($R660,ラベル別係数!$A$1:$E$7,5,FALSE)</f>
        <v>0.8</v>
      </c>
      <c r="V660" s="98">
        <v>2</v>
      </c>
      <c r="W660" s="99">
        <f>VLOOKUP(V660,ターン数別攻撃係数!$A$1:$B$1000,2,FALSE)</f>
        <v>0.75</v>
      </c>
      <c r="X660" s="9">
        <f ca="1">VLOOKUP(C660,サイズ別係数!A$2:B$9,2,FALSE)</f>
        <v>60</v>
      </c>
      <c r="Y660" s="97">
        <f ca="1">VLOOKUP($X660,サイズ別係数!$B:$E,2,FALSE)</f>
        <v>1.7</v>
      </c>
      <c r="Z660" s="97">
        <f ca="1">VLOOKUP($X660,サイズ別係数!$B:$E,3,FALSE)</f>
        <v>1.4</v>
      </c>
      <c r="AA660" s="97">
        <f ca="1">VLOOKUP($X660,サイズ別係数!$B:$E,4,FALSE)</f>
        <v>1</v>
      </c>
      <c r="AB660" s="10">
        <v>0</v>
      </c>
      <c r="AC660" s="6" t="str">
        <f ca="1">VLOOKUP($AB660,OFFSET([3]enemy_skill_sets!$B$2,0,0,COUNTA([3]enemy_skill_sets!$A:$A),MATCH(AC$1,[3]enemy_skill_sets!$1:$1,0)-MATCH($AB$1,[3]enemy_skill_sets!$1:$1,0)+1),MATCH(AC$1,[3]enemy_skill_sets!$1:$1,0)-MATCH($AB$1,[3]enemy_skill_sets!$1:$1,0)+1,FALSE)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0" s="67">
        <v>1</v>
      </c>
      <c r="AE660" s="67">
        <v>1</v>
      </c>
      <c r="AF660" s="68">
        <v>0</v>
      </c>
      <c r="AG660" s="99">
        <f ca="1">ROUND(VLOOKUP(1,enemy_base_stats!$A:$F,2,FALSE) * Y660* J660*O660*E660*S660*AD660*[2]ステータス!$B$2,0)</f>
        <v>4250</v>
      </c>
      <c r="AH660" s="99">
        <f ca="1">ROUND(VLOOKUP(1,enemy_base_stats!$A:$F,3,FALSE) * Z660*K660*P660*F660*T660*AE660 * W660*[2]ステータス!$C$2,0)</f>
        <v>306</v>
      </c>
      <c r="AI660" s="99">
        <f ca="1">ROUND(VLOOKUP(1,enemy_base_stats!$A:$F,4,FALSE) * AA660*L660*Q660*G660*U660*AF660*[2]ステータス!$D$2,0)</f>
        <v>0</v>
      </c>
      <c r="AJ660" s="99">
        <f ca="1">ROUND(VLOOKUP(100,enemy_base_stats!$A:$F,2,FALSE) * Y660* J660*O660*E660*S660*AD660*[2]ステータス!$B$2,0)</f>
        <v>172550</v>
      </c>
      <c r="AK660" s="99">
        <f ca="1">ROUND(VLOOKUP(100,enemy_base_stats!$A:$F,3,FALSE)* Z660* K660*P660*F660*T660*AE660 * W660*[2]ステータス!$C$2,0)</f>
        <v>12405</v>
      </c>
      <c r="AL660" s="99">
        <f ca="1">ROUND(VLOOKUP(100,enemy_base_stats!$A:$F,4,FALSE)* AA660* L660*Q660*G660*U660*AF660*[2]ステータス!$D$2,0)</f>
        <v>0</v>
      </c>
      <c r="AM660" s="97">
        <f ca="1">VLOOKUP(M660,[2]character_tribe_i18n!$A:$I,9,FALSE)</f>
        <v>480</v>
      </c>
      <c r="AN660" s="97">
        <v>0</v>
      </c>
      <c r="AO660" s="98">
        <v>0</v>
      </c>
      <c r="AP660" s="58" t="s">
        <v>72</v>
      </c>
      <c r="AQ660" s="34">
        <f t="shared" ca="1" si="40"/>
        <v>659</v>
      </c>
    </row>
    <row r="661" spans="1:43" ht="21" customHeight="1" x14ac:dyDescent="0.15">
      <c r="A661" s="7">
        <f t="shared" ca="1" si="41"/>
        <v>660</v>
      </c>
      <c r="B661" s="6" t="str">
        <f ca="1">VLOOKUP(A661,[2]characters!$A:$C,3,FALSE)</f>
        <v>烏天狗 フウガ</v>
      </c>
      <c r="C661" s="9">
        <f ca="1">VLOOKUP(A661,[2]characters!$A:$I,9,FALSE)</f>
        <v>4</v>
      </c>
      <c r="D661" s="9" t="str">
        <f ca="1">VLOOKUP(A661,[2]characters!$A:$H,8,FALSE)</f>
        <v>green</v>
      </c>
      <c r="E661" s="97">
        <f ca="1">VLOOKUP(D661,[2]属性!$A:$E,2,FALSE)</f>
        <v>1.02</v>
      </c>
      <c r="F661" s="97">
        <f ca="1">VLOOKUP(D661,[2]属性!$A:$E,3,FALSE)</f>
        <v>0.98</v>
      </c>
      <c r="G661" s="97">
        <f ca="1">VLOOKUP(D661,[2]属性!$A:$F,4,FALSE)</f>
        <v>1</v>
      </c>
      <c r="H661" s="9" t="str">
        <f ca="1">VLOOKUP(A661,[2]characters!$A:$K,11,FALSE)</f>
        <v>balance</v>
      </c>
      <c r="I661" s="6" t="str">
        <f ca="1">VLOOKUP(H661,[2]character_type_i18n!$A:$F,3,FALSE)</f>
        <v>バランスタイプ</v>
      </c>
      <c r="J661" s="97">
        <f ca="1">VLOOKUP(H661,[2]character_type_i18n!$A:$F,4,FALSE)</f>
        <v>1</v>
      </c>
      <c r="K661" s="97">
        <f ca="1">VLOOKUP(H661,[2]character_type_i18n!$A:$F,5,FALSE)</f>
        <v>1</v>
      </c>
      <c r="L661" s="97">
        <f ca="1">VLOOKUP(H661,[2]character_type_i18n!$A:$F,6,FALSE)</f>
        <v>1</v>
      </c>
      <c r="M661" s="9" t="str">
        <f ca="1">VLOOKUP(A661,[2]characters!$A:$M,13,FALSE)</f>
        <v>animal</v>
      </c>
      <c r="N661" s="6" t="str">
        <f ca="1">VLOOKUP(M661,[2]character_tribe_i18n!$A:$F,3,FALSE)</f>
        <v>アニマル</v>
      </c>
      <c r="O661" s="97">
        <f ca="1">VLOOKUP(M661,[2]character_tribe_i18n!$A:$F,4,FALSE)</f>
        <v>1</v>
      </c>
      <c r="P661" s="97">
        <f ca="1">VLOOKUP(M661,[2]character_tribe_i18n!$A:$F,5,FALSE)</f>
        <v>1.1000000000000001</v>
      </c>
      <c r="Q661" s="97">
        <f ca="1">VLOOKUP(M661,[2]character_tribe_i18n!$A:$F,6,FALSE)</f>
        <v>1</v>
      </c>
      <c r="R661" s="98" t="s">
        <v>98</v>
      </c>
      <c r="S661" s="97">
        <f>VLOOKUP($R661,ラベル別係数!$A$1:$E$7,3,FALSE)</f>
        <v>5</v>
      </c>
      <c r="T661" s="97">
        <f>VLOOKUP($R661,ラベル別係数!$A$1:$E$7,4,FALSE)</f>
        <v>1.3</v>
      </c>
      <c r="U661" s="97">
        <f>VLOOKUP($R661,ラベル別係数!$A$1:$E$7,5,FALSE)</f>
        <v>0.8</v>
      </c>
      <c r="V661" s="98">
        <v>2</v>
      </c>
      <c r="W661" s="99">
        <f>VLOOKUP(V661,ターン数別攻撃係数!$A$1:$B$1000,2,FALSE)</f>
        <v>0.75</v>
      </c>
      <c r="X661" s="9">
        <f ca="1">VLOOKUP(C661,サイズ別係数!A$2:B$9,2,FALSE)</f>
        <v>30</v>
      </c>
      <c r="Y661" s="97">
        <f ca="1">VLOOKUP($X661,サイズ別係数!$B:$E,2,FALSE)</f>
        <v>1.3</v>
      </c>
      <c r="Z661" s="97">
        <f ca="1">VLOOKUP($X661,サイズ別係数!$B:$E,3,FALSE)</f>
        <v>1.3</v>
      </c>
      <c r="AA661" s="97">
        <f ca="1">VLOOKUP($X661,サイズ別係数!$B:$E,4,FALSE)</f>
        <v>1.1000000000000001</v>
      </c>
      <c r="AB661" s="10">
        <v>0</v>
      </c>
      <c r="AC661" s="6" t="str">
        <f ca="1">VLOOKUP($AB661,OFFSET([3]enemy_skill_sets!$B$2,0,0,COUNTA([3]enemy_skill_sets!$A:$A),MATCH(AC$1,[3]enemy_skill_sets!$1:$1,0)-MATCH($AB$1,[3]enemy_skill_sets!$1:$1,0)+1),MATCH(AC$1,[3]enemy_skill_sets!$1:$1,0)-MATCH($AB$1,[3]enemy_skill_sets!$1:$1,0)+1,FALSE)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1" s="67">
        <v>1</v>
      </c>
      <c r="AE661" s="67">
        <v>1</v>
      </c>
      <c r="AF661" s="68">
        <v>0</v>
      </c>
      <c r="AG661" s="99">
        <f ca="1">ROUND(VLOOKUP(1,enemy_base_stats!$A:$F,2,FALSE) * Y661* J661*O661*E661*S661*AD661*[2]ステータス!$B$2,0)</f>
        <v>3315</v>
      </c>
      <c r="AH661" s="99">
        <f ca="1">ROUND(VLOOKUP(1,enemy_base_stats!$A:$F,3,FALSE) * Z661*K661*P661*F661*T661*AE661 * W661*[2]ステータス!$C$2,0)</f>
        <v>205</v>
      </c>
      <c r="AI661" s="99">
        <f ca="1">ROUND(VLOOKUP(1,enemy_base_stats!$A:$F,4,FALSE) * AA661*L661*Q661*G661*U661*AF661*[2]ステータス!$D$2,0)</f>
        <v>0</v>
      </c>
      <c r="AJ661" s="99">
        <f ca="1">ROUND(VLOOKUP(100,enemy_base_stats!$A:$F,2,FALSE) * Y661* J661*O661*E661*S661*AD661*[2]ステータス!$B$2,0)</f>
        <v>134589</v>
      </c>
      <c r="AK661" s="99">
        <f ca="1">ROUND(VLOOKUP(100,enemy_base_stats!$A:$F,3,FALSE)* Z661* K661*P661*F661*T661*AE661 * W661*[2]ステータス!$C$2,0)</f>
        <v>8321</v>
      </c>
      <c r="AL661" s="99">
        <f ca="1">ROUND(VLOOKUP(100,enemy_base_stats!$A:$F,4,FALSE)* AA661* L661*Q661*G661*U661*AF661*[2]ステータス!$D$2,0)</f>
        <v>0</v>
      </c>
      <c r="AM661" s="97">
        <f ca="1">VLOOKUP(M661,[2]character_tribe_i18n!$A:$I,9,FALSE)</f>
        <v>480</v>
      </c>
      <c r="AN661" s="97">
        <v>0</v>
      </c>
      <c r="AO661" s="98">
        <v>0</v>
      </c>
      <c r="AP661" s="58" t="s">
        <v>72</v>
      </c>
      <c r="AQ661" s="34">
        <f t="shared" ca="1" si="40"/>
        <v>660</v>
      </c>
    </row>
    <row r="662" spans="1:43" ht="21" customHeight="1" x14ac:dyDescent="0.15">
      <c r="A662" s="7">
        <f t="shared" ca="1" si="41"/>
        <v>661</v>
      </c>
      <c r="B662" s="6" t="str">
        <f ca="1">VLOOKUP(A662,[2]characters!$A:$C,3,FALSE)</f>
        <v>疾風の天狗礫 フウガ</v>
      </c>
      <c r="C662" s="9">
        <f ca="1">VLOOKUP(A662,[2]characters!$A:$I,9,FALSE)</f>
        <v>5</v>
      </c>
      <c r="D662" s="9" t="str">
        <f ca="1">VLOOKUP(A662,[2]characters!$A:$H,8,FALSE)</f>
        <v>green</v>
      </c>
      <c r="E662" s="97">
        <f ca="1">VLOOKUP(D662,[2]属性!$A:$E,2,FALSE)</f>
        <v>1.02</v>
      </c>
      <c r="F662" s="97">
        <f ca="1">VLOOKUP(D662,[2]属性!$A:$E,3,FALSE)</f>
        <v>0.98</v>
      </c>
      <c r="G662" s="97">
        <f ca="1">VLOOKUP(D662,[2]属性!$A:$F,4,FALSE)</f>
        <v>1</v>
      </c>
      <c r="H662" s="9" t="str">
        <f ca="1">VLOOKUP(A662,[2]characters!$A:$K,11,FALSE)</f>
        <v>balance</v>
      </c>
      <c r="I662" s="6" t="str">
        <f ca="1">VLOOKUP(H662,[2]character_type_i18n!$A:$F,3,FALSE)</f>
        <v>バランスタイプ</v>
      </c>
      <c r="J662" s="97">
        <f ca="1">VLOOKUP(H662,[2]character_type_i18n!$A:$F,4,FALSE)</f>
        <v>1</v>
      </c>
      <c r="K662" s="97">
        <f ca="1">VLOOKUP(H662,[2]character_type_i18n!$A:$F,5,FALSE)</f>
        <v>1</v>
      </c>
      <c r="L662" s="97">
        <f ca="1">VLOOKUP(H662,[2]character_type_i18n!$A:$F,6,FALSE)</f>
        <v>1</v>
      </c>
      <c r="M662" s="9" t="str">
        <f ca="1">VLOOKUP(A662,[2]characters!$A:$M,13,FALSE)</f>
        <v>animal</v>
      </c>
      <c r="N662" s="6" t="str">
        <f ca="1">VLOOKUP(M662,[2]character_tribe_i18n!$A:$F,3,FALSE)</f>
        <v>アニマル</v>
      </c>
      <c r="O662" s="97">
        <f ca="1">VLOOKUP(M662,[2]character_tribe_i18n!$A:$F,4,FALSE)</f>
        <v>1</v>
      </c>
      <c r="P662" s="97">
        <f ca="1">VLOOKUP(M662,[2]character_tribe_i18n!$A:$F,5,FALSE)</f>
        <v>1.1000000000000001</v>
      </c>
      <c r="Q662" s="97">
        <f ca="1">VLOOKUP(M662,[2]character_tribe_i18n!$A:$F,6,FALSE)</f>
        <v>1</v>
      </c>
      <c r="R662" s="98" t="s">
        <v>98</v>
      </c>
      <c r="S662" s="97">
        <f>VLOOKUP($R662,ラベル別係数!$A$1:$E$7,3,FALSE)</f>
        <v>5</v>
      </c>
      <c r="T662" s="97">
        <f>VLOOKUP($R662,ラベル別係数!$A$1:$E$7,4,FALSE)</f>
        <v>1.3</v>
      </c>
      <c r="U662" s="97">
        <f>VLOOKUP($R662,ラベル別係数!$A$1:$E$7,5,FALSE)</f>
        <v>0.8</v>
      </c>
      <c r="V662" s="98">
        <v>3</v>
      </c>
      <c r="W662" s="99">
        <f>VLOOKUP(V662,ターン数別攻撃係数!$A$1:$B$1000,2,FALSE)</f>
        <v>1</v>
      </c>
      <c r="X662" s="9">
        <f ca="1">VLOOKUP(C662,サイズ別係数!A$2:B$9,2,FALSE)</f>
        <v>60</v>
      </c>
      <c r="Y662" s="97">
        <f ca="1">VLOOKUP($X662,サイズ別係数!$B:$E,2,FALSE)</f>
        <v>1.7</v>
      </c>
      <c r="Z662" s="97">
        <f ca="1">VLOOKUP($X662,サイズ別係数!$B:$E,3,FALSE)</f>
        <v>1.4</v>
      </c>
      <c r="AA662" s="97">
        <f ca="1">VLOOKUP($X662,サイズ別係数!$B:$E,4,FALSE)</f>
        <v>1</v>
      </c>
      <c r="AB662" s="10">
        <v>0</v>
      </c>
      <c r="AC662" s="6" t="str">
        <f ca="1">VLOOKUP($AB662,OFFSET([3]enemy_skill_sets!$B$2,0,0,COUNTA([3]enemy_skill_sets!$A:$A),MATCH(AC$1,[3]enemy_skill_sets!$1:$1,0)-MATCH($AB$1,[3]enemy_skill_sets!$1:$1,0)+1),MATCH(AC$1,[3]enemy_skill_sets!$1:$1,0)-MATCH($AB$1,[3]enemy_skill_sets!$1:$1,0)+1,FALSE)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2" s="67">
        <v>1</v>
      </c>
      <c r="AE662" s="67">
        <v>1</v>
      </c>
      <c r="AF662" s="68">
        <v>0</v>
      </c>
      <c r="AG662" s="99">
        <f ca="1">ROUND(VLOOKUP(1,enemy_base_stats!$A:$F,2,FALSE) * Y662* J662*O662*E662*S662*AD662*[2]ステータス!$B$2,0)</f>
        <v>4335</v>
      </c>
      <c r="AH662" s="99">
        <f ca="1">ROUND(VLOOKUP(1,enemy_base_stats!$A:$F,3,FALSE) * Z662*K662*P662*F662*T662*AE662 * W662*[2]ステータス!$C$2,0)</f>
        <v>294</v>
      </c>
      <c r="AI662" s="99">
        <f ca="1">ROUND(VLOOKUP(1,enemy_base_stats!$A:$F,4,FALSE) * AA662*L662*Q662*G662*U662*AF662*[2]ステータス!$D$2,0)</f>
        <v>0</v>
      </c>
      <c r="AJ662" s="99">
        <f ca="1">ROUND(VLOOKUP(100,enemy_base_stats!$A:$F,2,FALSE) * Y662* J662*O662*E662*S662*AD662*[2]ステータス!$B$2,0)</f>
        <v>176001</v>
      </c>
      <c r="AK662" s="99">
        <f ca="1">ROUND(VLOOKUP(100,enemy_base_stats!$A:$F,3,FALSE)* Z662* K662*P662*F662*T662*AE662 * W662*[2]ステータス!$C$2,0)</f>
        <v>11948</v>
      </c>
      <c r="AL662" s="99">
        <f ca="1">ROUND(VLOOKUP(100,enemy_base_stats!$A:$F,4,FALSE)* AA662* L662*Q662*G662*U662*AF662*[2]ステータス!$D$2,0)</f>
        <v>0</v>
      </c>
      <c r="AM662" s="97">
        <f ca="1">VLOOKUP(M662,[2]character_tribe_i18n!$A:$I,9,FALSE)</f>
        <v>480</v>
      </c>
      <c r="AN662" s="97">
        <v>0</v>
      </c>
      <c r="AO662" s="98">
        <v>0</v>
      </c>
      <c r="AP662" s="58" t="s">
        <v>72</v>
      </c>
      <c r="AQ662" s="34">
        <f t="shared" ca="1" si="40"/>
        <v>661</v>
      </c>
    </row>
    <row r="663" spans="1:43" ht="21" customHeight="1" x14ac:dyDescent="0.15">
      <c r="A663" s="7">
        <f t="shared" ca="1" si="41"/>
        <v>662</v>
      </c>
      <c r="B663" s="6" t="str">
        <f ca="1">VLOOKUP(A663,[2]characters!$A:$C,3,FALSE)</f>
        <v>ダイダラ</v>
      </c>
      <c r="C663" s="9">
        <f ca="1">VLOOKUP(A663,[2]characters!$A:$I,9,FALSE)</f>
        <v>3</v>
      </c>
      <c r="D663" s="9" t="str">
        <f ca="1">VLOOKUP(A663,[2]characters!$A:$H,8,FALSE)</f>
        <v>blue</v>
      </c>
      <c r="E663" s="97">
        <f ca="1">VLOOKUP(D663,[2]属性!$A:$E,2,FALSE)</f>
        <v>1</v>
      </c>
      <c r="F663" s="97">
        <f ca="1">VLOOKUP(D663,[2]属性!$A:$E,3,FALSE)</f>
        <v>0.98</v>
      </c>
      <c r="G663" s="97">
        <f ca="1">VLOOKUP(D663,[2]属性!$A:$F,4,FALSE)</f>
        <v>1</v>
      </c>
      <c r="H663" s="9" t="str">
        <f ca="1">VLOOKUP(A663,[2]characters!$A:$K,11,FALSE)</f>
        <v>hp</v>
      </c>
      <c r="I663" s="6" t="str">
        <f ca="1">VLOOKUP(H663,[2]character_type_i18n!$A:$F,3,FALSE)</f>
        <v>体力タイプ</v>
      </c>
      <c r="J663" s="97">
        <f ca="1">VLOOKUP(H663,[2]character_type_i18n!$A:$F,4,FALSE)</f>
        <v>1.45</v>
      </c>
      <c r="K663" s="97">
        <f ca="1">VLOOKUP(H663,[2]character_type_i18n!$A:$F,5,FALSE)</f>
        <v>0.85</v>
      </c>
      <c r="L663" s="97">
        <f ca="1">VLOOKUP(H663,[2]character_type_i18n!$A:$F,6,FALSE)</f>
        <v>1</v>
      </c>
      <c r="M663" s="9" t="str">
        <f ca="1">VLOOKUP(A663,[2]characters!$A:$M,13,FALSE)</f>
        <v>unknown</v>
      </c>
      <c r="N663" s="6" t="str">
        <f ca="1">VLOOKUP(M663,[2]character_tribe_i18n!$A:$F,3,FALSE)</f>
        <v>Unknown</v>
      </c>
      <c r="O663" s="97">
        <f ca="1">VLOOKUP(M663,[2]character_tribe_i18n!$A:$F,4,FALSE)</f>
        <v>1</v>
      </c>
      <c r="P663" s="97">
        <f ca="1">VLOOKUP(M663,[2]character_tribe_i18n!$A:$F,5,FALSE)</f>
        <v>1</v>
      </c>
      <c r="Q663" s="97">
        <f ca="1">VLOOKUP(M663,[2]character_tribe_i18n!$A:$F,6,FALSE)</f>
        <v>1</v>
      </c>
      <c r="R663" s="98" t="s">
        <v>98</v>
      </c>
      <c r="S663" s="97">
        <f>VLOOKUP($R663,ラベル別係数!$A$1:$E$7,3,FALSE)</f>
        <v>5</v>
      </c>
      <c r="T663" s="97">
        <f>VLOOKUP($R663,ラベル別係数!$A$1:$E$7,4,FALSE)</f>
        <v>1.3</v>
      </c>
      <c r="U663" s="97">
        <f>VLOOKUP($R663,ラベル別係数!$A$1:$E$7,5,FALSE)</f>
        <v>0.8</v>
      </c>
      <c r="V663" s="98">
        <v>3</v>
      </c>
      <c r="W663" s="99">
        <f>VLOOKUP(V663,ターン数別攻撃係数!$A$1:$B$1000,2,FALSE)</f>
        <v>1</v>
      </c>
      <c r="X663" s="9">
        <f ca="1">VLOOKUP(C663,サイズ別係数!A$2:B$9,2,FALSE)</f>
        <v>25</v>
      </c>
      <c r="Y663" s="97">
        <f ca="1">VLOOKUP($X663,サイズ別係数!$B:$E,2,FALSE)</f>
        <v>1.2</v>
      </c>
      <c r="Z663" s="97">
        <f ca="1">VLOOKUP($X663,サイズ別係数!$B:$E,3,FALSE)</f>
        <v>1.25</v>
      </c>
      <c r="AA663" s="97">
        <f ca="1">VLOOKUP($X663,サイズ別係数!$B:$E,4,FALSE)</f>
        <v>1.1499999999999999</v>
      </c>
      <c r="AB663" s="10">
        <v>0</v>
      </c>
      <c r="AC663" s="6" t="str">
        <f ca="1">VLOOKUP($AB663,OFFSET([3]enemy_skill_sets!$B$2,0,0,COUNTA([3]enemy_skill_sets!$A:$A),MATCH(AC$1,[3]enemy_skill_sets!$1:$1,0)-MATCH($AB$1,[3]enemy_skill_sets!$1:$1,0)+1),MATCH(AC$1,[3]enemy_skill_sets!$1:$1,0)-MATCH($AB$1,[3]enemy_skill_sets!$1:$1,0)+1,FALSE)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3" s="67">
        <v>1</v>
      </c>
      <c r="AE663" s="67">
        <v>1</v>
      </c>
      <c r="AF663" s="68">
        <v>0</v>
      </c>
      <c r="AG663" s="99">
        <f ca="1">ROUND(VLOOKUP(1,enemy_base_stats!$A:$F,2,FALSE) * Y663* J663*O663*E663*S663*AD663*[2]ステータス!$B$2,0)</f>
        <v>4350</v>
      </c>
      <c r="AH663" s="99">
        <f ca="1">ROUND(VLOOKUP(1,enemy_base_stats!$A:$F,3,FALSE) * Z663*K663*P663*F663*T663*AE663 * W663*[2]ステータス!$C$2,0)</f>
        <v>203</v>
      </c>
      <c r="AI663" s="99">
        <f ca="1">ROUND(VLOOKUP(1,enemy_base_stats!$A:$F,4,FALSE) * AA663*L663*Q663*G663*U663*AF663*[2]ステータス!$D$2,0)</f>
        <v>0</v>
      </c>
      <c r="AJ663" s="99">
        <f ca="1">ROUND(VLOOKUP(100,enemy_base_stats!$A:$F,2,FALSE) * Y663* J663*O663*E663*S663*AD663*[2]ステータス!$B$2,0)</f>
        <v>176610</v>
      </c>
      <c r="AK663" s="99">
        <f ca="1">ROUND(VLOOKUP(100,enemy_base_stats!$A:$F,3,FALSE)* Z663* K663*P663*F663*T663*AE663 * W663*[2]ステータス!$C$2,0)</f>
        <v>8244</v>
      </c>
      <c r="AL663" s="99">
        <f ca="1">ROUND(VLOOKUP(100,enemy_base_stats!$A:$F,4,FALSE)* AA663* L663*Q663*G663*U663*AF663*[2]ステータス!$D$2,0)</f>
        <v>0</v>
      </c>
      <c r="AM663" s="97">
        <f ca="1">VLOOKUP(M663,[2]character_tribe_i18n!$A:$I,9,FALSE)</f>
        <v>340</v>
      </c>
      <c r="AN663" s="97">
        <v>0</v>
      </c>
      <c r="AO663" s="98">
        <v>0</v>
      </c>
      <c r="AP663" s="58" t="s">
        <v>72</v>
      </c>
      <c r="AQ663" s="34">
        <f t="shared" ca="1" si="40"/>
        <v>662</v>
      </c>
    </row>
    <row r="664" spans="1:43" ht="21" customHeight="1" x14ac:dyDescent="0.15">
      <c r="A664" s="7">
        <f t="shared" ca="1" si="41"/>
        <v>663</v>
      </c>
      <c r="B664" s="6" t="str">
        <f ca="1">VLOOKUP(A664,[2]characters!$A:$C,3,FALSE)</f>
        <v>都揺らす地響き ダイダラ</v>
      </c>
      <c r="C664" s="9">
        <f ca="1">VLOOKUP(A664,[2]characters!$A:$I,9,FALSE)</f>
        <v>4</v>
      </c>
      <c r="D664" s="9" t="str">
        <f ca="1">VLOOKUP(A664,[2]characters!$A:$H,8,FALSE)</f>
        <v>blue</v>
      </c>
      <c r="E664" s="97">
        <f ca="1">VLOOKUP(D664,[2]属性!$A:$E,2,FALSE)</f>
        <v>1</v>
      </c>
      <c r="F664" s="97">
        <f ca="1">VLOOKUP(D664,[2]属性!$A:$E,3,FALSE)</f>
        <v>0.98</v>
      </c>
      <c r="G664" s="97">
        <f ca="1">VLOOKUP(D664,[2]属性!$A:$F,4,FALSE)</f>
        <v>1</v>
      </c>
      <c r="H664" s="9" t="str">
        <f ca="1">VLOOKUP(A664,[2]characters!$A:$K,11,FALSE)</f>
        <v>hp</v>
      </c>
      <c r="I664" s="6" t="str">
        <f ca="1">VLOOKUP(H664,[2]character_type_i18n!$A:$F,3,FALSE)</f>
        <v>体力タイプ</v>
      </c>
      <c r="J664" s="97">
        <f ca="1">VLOOKUP(H664,[2]character_type_i18n!$A:$F,4,FALSE)</f>
        <v>1.45</v>
      </c>
      <c r="K664" s="97">
        <f ca="1">VLOOKUP(H664,[2]character_type_i18n!$A:$F,5,FALSE)</f>
        <v>0.85</v>
      </c>
      <c r="L664" s="97">
        <f ca="1">VLOOKUP(H664,[2]character_type_i18n!$A:$F,6,FALSE)</f>
        <v>1</v>
      </c>
      <c r="M664" s="9" t="str">
        <f ca="1">VLOOKUP(A664,[2]characters!$A:$M,13,FALSE)</f>
        <v>unknown</v>
      </c>
      <c r="N664" s="6" t="str">
        <f ca="1">VLOOKUP(M664,[2]character_tribe_i18n!$A:$F,3,FALSE)</f>
        <v>Unknown</v>
      </c>
      <c r="O664" s="97">
        <f ca="1">VLOOKUP(M664,[2]character_tribe_i18n!$A:$F,4,FALSE)</f>
        <v>1</v>
      </c>
      <c r="P664" s="97">
        <f ca="1">VLOOKUP(M664,[2]character_tribe_i18n!$A:$F,5,FALSE)</f>
        <v>1</v>
      </c>
      <c r="Q664" s="97">
        <f ca="1">VLOOKUP(M664,[2]character_tribe_i18n!$A:$F,6,FALSE)</f>
        <v>1</v>
      </c>
      <c r="R664" s="98" t="s">
        <v>98</v>
      </c>
      <c r="S664" s="97">
        <f>VLOOKUP($R664,ラベル別係数!$A$1:$E$7,3,FALSE)</f>
        <v>5</v>
      </c>
      <c r="T664" s="97">
        <f>VLOOKUP($R664,ラベル別係数!$A$1:$E$7,4,FALSE)</f>
        <v>1.3</v>
      </c>
      <c r="U664" s="97">
        <f>VLOOKUP($R664,ラベル別係数!$A$1:$E$7,5,FALSE)</f>
        <v>0.8</v>
      </c>
      <c r="V664" s="98">
        <v>3</v>
      </c>
      <c r="W664" s="99">
        <f>VLOOKUP(V664,ターン数別攻撃係数!$A$1:$B$1000,2,FALSE)</f>
        <v>1</v>
      </c>
      <c r="X664" s="9">
        <f ca="1">VLOOKUP(C664,サイズ別係数!A$2:B$9,2,FALSE)</f>
        <v>30</v>
      </c>
      <c r="Y664" s="97">
        <f ca="1">VLOOKUP($X664,サイズ別係数!$B:$E,2,FALSE)</f>
        <v>1.3</v>
      </c>
      <c r="Z664" s="97">
        <f ca="1">VLOOKUP($X664,サイズ別係数!$B:$E,3,FALSE)</f>
        <v>1.3</v>
      </c>
      <c r="AA664" s="97">
        <f ca="1">VLOOKUP($X664,サイズ別係数!$B:$E,4,FALSE)</f>
        <v>1.1000000000000001</v>
      </c>
      <c r="AB664" s="10">
        <v>0</v>
      </c>
      <c r="AC664" s="6" t="str">
        <f ca="1">VLOOKUP($AB664,OFFSET([3]enemy_skill_sets!$B$2,0,0,COUNTA([3]enemy_skill_sets!$A:$A),MATCH(AC$1,[3]enemy_skill_sets!$1:$1,0)-MATCH($AB$1,[3]enemy_skill_sets!$1:$1,0)+1),MATCH(AC$1,[3]enemy_skill_sets!$1:$1,0)-MATCH($AB$1,[3]enemy_skill_sets!$1:$1,0)+1,FALSE)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4" s="67">
        <v>1</v>
      </c>
      <c r="AE664" s="67">
        <v>1</v>
      </c>
      <c r="AF664" s="68">
        <v>0</v>
      </c>
      <c r="AG664" s="99">
        <f ca="1">ROUND(VLOOKUP(1,enemy_base_stats!$A:$F,2,FALSE) * Y664* J664*O664*E664*S664*AD664*[2]ステータス!$B$2,0)</f>
        <v>4713</v>
      </c>
      <c r="AH664" s="99">
        <f ca="1">ROUND(VLOOKUP(1,enemy_base_stats!$A:$F,3,FALSE) * Z664*K664*P664*F664*T664*AE664 * W664*[2]ステータス!$C$2,0)</f>
        <v>211</v>
      </c>
      <c r="AI664" s="99">
        <f ca="1">ROUND(VLOOKUP(1,enemy_base_stats!$A:$F,4,FALSE) * AA664*L664*Q664*G664*U664*AF664*[2]ステータス!$D$2,0)</f>
        <v>0</v>
      </c>
      <c r="AJ664" s="99">
        <f ca="1">ROUND(VLOOKUP(100,enemy_base_stats!$A:$F,2,FALSE) * Y664* J664*O664*E664*S664*AD664*[2]ステータス!$B$2,0)</f>
        <v>191328</v>
      </c>
      <c r="AK664" s="99">
        <f ca="1">ROUND(VLOOKUP(100,enemy_base_stats!$A:$F,3,FALSE)* Z664* K664*P664*F664*T664*AE664 * W664*[2]ステータス!$C$2,0)</f>
        <v>8573</v>
      </c>
      <c r="AL664" s="99">
        <f ca="1">ROUND(VLOOKUP(100,enemy_base_stats!$A:$F,4,FALSE)* AA664* L664*Q664*G664*U664*AF664*[2]ステータス!$D$2,0)</f>
        <v>0</v>
      </c>
      <c r="AM664" s="97">
        <f ca="1">VLOOKUP(M664,[2]character_tribe_i18n!$A:$I,9,FALSE)</f>
        <v>340</v>
      </c>
      <c r="AN664" s="97">
        <v>0</v>
      </c>
      <c r="AO664" s="98">
        <v>0</v>
      </c>
      <c r="AP664" s="58" t="s">
        <v>72</v>
      </c>
      <c r="AQ664" s="34">
        <f t="shared" ca="1" si="40"/>
        <v>663</v>
      </c>
    </row>
    <row r="665" spans="1:43" ht="21" customHeight="1" x14ac:dyDescent="0.15">
      <c r="A665" s="7">
        <f t="shared" ca="1" si="41"/>
        <v>664</v>
      </c>
      <c r="B665" s="6" t="str">
        <f ca="1">VLOOKUP(A665,[2]characters!$A:$C,3,FALSE)</f>
        <v>山掴み国造り ダイダラ</v>
      </c>
      <c r="C665" s="9">
        <f ca="1">VLOOKUP(A665,[2]characters!$A:$I,9,FALSE)</f>
        <v>5</v>
      </c>
      <c r="D665" s="9" t="str">
        <f ca="1">VLOOKUP(A665,[2]characters!$A:$H,8,FALSE)</f>
        <v>blue</v>
      </c>
      <c r="E665" s="97">
        <f ca="1">VLOOKUP(D665,[2]属性!$A:$E,2,FALSE)</f>
        <v>1</v>
      </c>
      <c r="F665" s="97">
        <f ca="1">VLOOKUP(D665,[2]属性!$A:$E,3,FALSE)</f>
        <v>0.98</v>
      </c>
      <c r="G665" s="97">
        <f ca="1">VLOOKUP(D665,[2]属性!$A:$F,4,FALSE)</f>
        <v>1</v>
      </c>
      <c r="H665" s="9" t="str">
        <f ca="1">VLOOKUP(A665,[2]characters!$A:$K,11,FALSE)</f>
        <v>hp</v>
      </c>
      <c r="I665" s="6" t="str">
        <f ca="1">VLOOKUP(H665,[2]character_type_i18n!$A:$F,3,FALSE)</f>
        <v>体力タイプ</v>
      </c>
      <c r="J665" s="97">
        <f ca="1">VLOOKUP(H665,[2]character_type_i18n!$A:$F,4,FALSE)</f>
        <v>1.45</v>
      </c>
      <c r="K665" s="97">
        <f ca="1">VLOOKUP(H665,[2]character_type_i18n!$A:$F,5,FALSE)</f>
        <v>0.85</v>
      </c>
      <c r="L665" s="97">
        <f ca="1">VLOOKUP(H665,[2]character_type_i18n!$A:$F,6,FALSE)</f>
        <v>1</v>
      </c>
      <c r="M665" s="9" t="str">
        <f ca="1">VLOOKUP(A665,[2]characters!$A:$M,13,FALSE)</f>
        <v>unknown</v>
      </c>
      <c r="N665" s="6" t="str">
        <f ca="1">VLOOKUP(M665,[2]character_tribe_i18n!$A:$F,3,FALSE)</f>
        <v>Unknown</v>
      </c>
      <c r="O665" s="97">
        <f ca="1">VLOOKUP(M665,[2]character_tribe_i18n!$A:$F,4,FALSE)</f>
        <v>1</v>
      </c>
      <c r="P665" s="97">
        <f ca="1">VLOOKUP(M665,[2]character_tribe_i18n!$A:$F,5,FALSE)</f>
        <v>1</v>
      </c>
      <c r="Q665" s="97">
        <f ca="1">VLOOKUP(M665,[2]character_tribe_i18n!$A:$F,6,FALSE)</f>
        <v>1</v>
      </c>
      <c r="R665" s="98" t="s">
        <v>98</v>
      </c>
      <c r="S665" s="97">
        <f>VLOOKUP($R665,ラベル別係数!$A$1:$E$7,3,FALSE)</f>
        <v>5</v>
      </c>
      <c r="T665" s="97">
        <f>VLOOKUP($R665,ラベル別係数!$A$1:$E$7,4,FALSE)</f>
        <v>1.3</v>
      </c>
      <c r="U665" s="97">
        <f>VLOOKUP($R665,ラベル別係数!$A$1:$E$7,5,FALSE)</f>
        <v>0.8</v>
      </c>
      <c r="V665" s="98">
        <v>3</v>
      </c>
      <c r="W665" s="99">
        <f>VLOOKUP(V665,ターン数別攻撃係数!$A$1:$B$1000,2,FALSE)</f>
        <v>1</v>
      </c>
      <c r="X665" s="9">
        <f ca="1">VLOOKUP(C665,サイズ別係数!A$2:B$9,2,FALSE)</f>
        <v>60</v>
      </c>
      <c r="Y665" s="97">
        <f ca="1">VLOOKUP($X665,サイズ別係数!$B:$E,2,FALSE)</f>
        <v>1.7</v>
      </c>
      <c r="Z665" s="97">
        <f ca="1">VLOOKUP($X665,サイズ別係数!$B:$E,3,FALSE)</f>
        <v>1.4</v>
      </c>
      <c r="AA665" s="97">
        <f ca="1">VLOOKUP($X665,サイズ別係数!$B:$E,4,FALSE)</f>
        <v>1</v>
      </c>
      <c r="AB665" s="10">
        <v>0</v>
      </c>
      <c r="AC665" s="6" t="str">
        <f ca="1">VLOOKUP($AB665,OFFSET([3]enemy_skill_sets!$B$2,0,0,COUNTA([3]enemy_skill_sets!$A:$A),MATCH(AC$1,[3]enemy_skill_sets!$1:$1,0)-MATCH($AB$1,[3]enemy_skill_sets!$1:$1,0)+1),MATCH(AC$1,[3]enemy_skill_sets!$1:$1,0)-MATCH($AB$1,[3]enemy_skill_sets!$1:$1,0)+1,FALSE)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5" s="67">
        <v>1</v>
      </c>
      <c r="AE665" s="67">
        <v>1</v>
      </c>
      <c r="AF665" s="68">
        <v>0</v>
      </c>
      <c r="AG665" s="99">
        <f ca="1">ROUND(VLOOKUP(1,enemy_base_stats!$A:$F,2,FALSE) * Y665* J665*O665*E665*S665*AD665*[2]ステータス!$B$2,0)</f>
        <v>6163</v>
      </c>
      <c r="AH665" s="99">
        <f ca="1">ROUND(VLOOKUP(1,enemy_base_stats!$A:$F,3,FALSE) * Z665*K665*P665*F665*T665*AE665 * W665*[2]ステータス!$C$2,0)</f>
        <v>227</v>
      </c>
      <c r="AI665" s="99">
        <f ca="1">ROUND(VLOOKUP(1,enemy_base_stats!$A:$F,4,FALSE) * AA665*L665*Q665*G665*U665*AF665*[2]ステータス!$D$2,0)</f>
        <v>0</v>
      </c>
      <c r="AJ665" s="99">
        <f ca="1">ROUND(VLOOKUP(100,enemy_base_stats!$A:$F,2,FALSE) * Y665* J665*O665*E665*S665*AD665*[2]ステータス!$B$2,0)</f>
        <v>250198</v>
      </c>
      <c r="AK665" s="99">
        <f ca="1">ROUND(VLOOKUP(100,enemy_base_stats!$A:$F,3,FALSE)* Z665* K665*P665*F665*T665*AE665 * W665*[2]ステータス!$C$2,0)</f>
        <v>9233</v>
      </c>
      <c r="AL665" s="99">
        <f ca="1">ROUND(VLOOKUP(100,enemy_base_stats!$A:$F,4,FALSE)* AA665* L665*Q665*G665*U665*AF665*[2]ステータス!$D$2,0)</f>
        <v>0</v>
      </c>
      <c r="AM665" s="97">
        <f ca="1">VLOOKUP(M665,[2]character_tribe_i18n!$A:$I,9,FALSE)</f>
        <v>340</v>
      </c>
      <c r="AN665" s="97">
        <v>0</v>
      </c>
      <c r="AO665" s="98">
        <v>0</v>
      </c>
      <c r="AP665" s="58" t="s">
        <v>72</v>
      </c>
      <c r="AQ665" s="34">
        <f t="shared" ca="1" si="40"/>
        <v>664</v>
      </c>
    </row>
    <row r="666" spans="1:43" ht="21" customHeight="1" x14ac:dyDescent="0.15">
      <c r="A666" s="7">
        <f t="shared" ca="1" si="41"/>
        <v>665</v>
      </c>
      <c r="B666" s="6" t="str">
        <f ca="1">VLOOKUP(A666,[2]characters!$A:$C,3,FALSE)</f>
        <v>座敷童子 テマリ</v>
      </c>
      <c r="C666" s="9">
        <f ca="1">VLOOKUP(A666,[2]characters!$A:$I,9,FALSE)</f>
        <v>3</v>
      </c>
      <c r="D666" s="9" t="str">
        <f ca="1">VLOOKUP(A666,[2]characters!$A:$H,8,FALSE)</f>
        <v>yellow</v>
      </c>
      <c r="E666" s="97">
        <f ca="1">VLOOKUP(D666,[2]属性!$A:$E,2,FALSE)</f>
        <v>0.98</v>
      </c>
      <c r="F666" s="97">
        <f ca="1">VLOOKUP(D666,[2]属性!$A:$E,3,FALSE)</f>
        <v>1.01</v>
      </c>
      <c r="G666" s="97">
        <f ca="1">VLOOKUP(D666,[2]属性!$A:$F,4,FALSE)</f>
        <v>1</v>
      </c>
      <c r="H666" s="9" t="str">
        <f ca="1">VLOOKUP(A666,[2]characters!$A:$K,11,FALSE)</f>
        <v>balance</v>
      </c>
      <c r="I666" s="6" t="str">
        <f ca="1">VLOOKUP(H666,[2]character_type_i18n!$A:$F,3,FALSE)</f>
        <v>バランスタイプ</v>
      </c>
      <c r="J666" s="97">
        <f ca="1">VLOOKUP(H666,[2]character_type_i18n!$A:$F,4,FALSE)</f>
        <v>1</v>
      </c>
      <c r="K666" s="97">
        <f ca="1">VLOOKUP(H666,[2]character_type_i18n!$A:$F,5,FALSE)</f>
        <v>1</v>
      </c>
      <c r="L666" s="97">
        <f ca="1">VLOOKUP(H666,[2]character_type_i18n!$A:$F,6,FALSE)</f>
        <v>1</v>
      </c>
      <c r="M666" s="9" t="str">
        <f ca="1">VLOOKUP(A666,[2]characters!$A:$M,13,FALSE)</f>
        <v>unknown</v>
      </c>
      <c r="N666" s="6" t="str">
        <f ca="1">VLOOKUP(M666,[2]character_tribe_i18n!$A:$F,3,FALSE)</f>
        <v>Unknown</v>
      </c>
      <c r="O666" s="97">
        <f ca="1">VLOOKUP(M666,[2]character_tribe_i18n!$A:$F,4,FALSE)</f>
        <v>1</v>
      </c>
      <c r="P666" s="97">
        <f ca="1">VLOOKUP(M666,[2]character_tribe_i18n!$A:$F,5,FALSE)</f>
        <v>1</v>
      </c>
      <c r="Q666" s="97">
        <f ca="1">VLOOKUP(M666,[2]character_tribe_i18n!$A:$F,6,FALSE)</f>
        <v>1</v>
      </c>
      <c r="R666" s="98" t="s">
        <v>98</v>
      </c>
      <c r="S666" s="97">
        <f>VLOOKUP($R666,ラベル別係数!$A$1:$E$7,3,FALSE)</f>
        <v>5</v>
      </c>
      <c r="T666" s="97">
        <f>VLOOKUP($R666,ラベル別係数!$A$1:$E$7,4,FALSE)</f>
        <v>1.3</v>
      </c>
      <c r="U666" s="97">
        <f>VLOOKUP($R666,ラベル別係数!$A$1:$E$7,5,FALSE)</f>
        <v>0.8</v>
      </c>
      <c r="V666" s="98">
        <v>3</v>
      </c>
      <c r="W666" s="99">
        <f>VLOOKUP(V666,ターン数別攻撃係数!$A$1:$B$1000,2,FALSE)</f>
        <v>1</v>
      </c>
      <c r="X666" s="9">
        <f ca="1">VLOOKUP(C666,サイズ別係数!A$2:B$9,2,FALSE)</f>
        <v>25</v>
      </c>
      <c r="Y666" s="97">
        <f ca="1">VLOOKUP($X666,サイズ別係数!$B:$E,2,FALSE)</f>
        <v>1.2</v>
      </c>
      <c r="Z666" s="97">
        <f ca="1">VLOOKUP($X666,サイズ別係数!$B:$E,3,FALSE)</f>
        <v>1.25</v>
      </c>
      <c r="AA666" s="97">
        <f ca="1">VLOOKUP($X666,サイズ別係数!$B:$E,4,FALSE)</f>
        <v>1.1499999999999999</v>
      </c>
      <c r="AB666" s="10">
        <v>0</v>
      </c>
      <c r="AC666" s="6" t="str">
        <f ca="1">VLOOKUP($AB666,OFFSET([3]enemy_skill_sets!$B$2,0,0,COUNTA([3]enemy_skill_sets!$A:$A),MATCH(AC$1,[3]enemy_skill_sets!$1:$1,0)-MATCH($AB$1,[3]enemy_skill_sets!$1:$1,0)+1),MATCH(AC$1,[3]enemy_skill_sets!$1:$1,0)-MATCH($AB$1,[3]enemy_skill_sets!$1:$1,0)+1,FALSE)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6" s="67">
        <v>1</v>
      </c>
      <c r="AE666" s="67">
        <v>1</v>
      </c>
      <c r="AF666" s="68">
        <v>0</v>
      </c>
      <c r="AG666" s="99">
        <f ca="1">ROUND(VLOOKUP(1,enemy_base_stats!$A:$F,2,FALSE) * Y666* J666*O666*E666*S666*AD666*[2]ステータス!$B$2,0)</f>
        <v>2940</v>
      </c>
      <c r="AH666" s="99">
        <f ca="1">ROUND(VLOOKUP(1,enemy_base_stats!$A:$F,3,FALSE) * Z666*K666*P666*F666*T666*AE666 * W666*[2]ステータス!$C$2,0)</f>
        <v>246</v>
      </c>
      <c r="AI666" s="99">
        <f ca="1">ROUND(VLOOKUP(1,enemy_base_stats!$A:$F,4,FALSE) * AA666*L666*Q666*G666*U666*AF666*[2]ステータス!$D$2,0)</f>
        <v>0</v>
      </c>
      <c r="AJ666" s="99">
        <f ca="1">ROUND(VLOOKUP(100,enemy_base_stats!$A:$F,2,FALSE) * Y666* J666*O666*E666*S666*AD666*[2]ステータス!$B$2,0)</f>
        <v>119364</v>
      </c>
      <c r="AK666" s="99">
        <f ca="1">ROUND(VLOOKUP(100,enemy_base_stats!$A:$F,3,FALSE)* Z666* K666*P666*F666*T666*AE666 * W666*[2]ステータス!$C$2,0)</f>
        <v>9995</v>
      </c>
      <c r="AL666" s="99">
        <f ca="1">ROUND(VLOOKUP(100,enemy_base_stats!$A:$F,4,FALSE)* AA666* L666*Q666*G666*U666*AF666*[2]ステータス!$D$2,0)</f>
        <v>0</v>
      </c>
      <c r="AM666" s="97">
        <f ca="1">VLOOKUP(M666,[2]character_tribe_i18n!$A:$I,9,FALSE)</f>
        <v>340</v>
      </c>
      <c r="AN666" s="97">
        <v>0</v>
      </c>
      <c r="AO666" s="98">
        <v>0</v>
      </c>
      <c r="AP666" s="58" t="s">
        <v>72</v>
      </c>
      <c r="AQ666" s="34">
        <f t="shared" ca="1" si="40"/>
        <v>665</v>
      </c>
    </row>
    <row r="667" spans="1:43" ht="21" customHeight="1" x14ac:dyDescent="0.15">
      <c r="A667" s="7">
        <f t="shared" ca="1" si="41"/>
        <v>666</v>
      </c>
      <c r="B667" s="6" t="str">
        <f ca="1">VLOOKUP(A667,[2]characters!$A:$C,3,FALSE)</f>
        <v>拡散する幸福 テマリ</v>
      </c>
      <c r="C667" s="9">
        <f ca="1">VLOOKUP(A667,[2]characters!$A:$I,9,FALSE)</f>
        <v>4</v>
      </c>
      <c r="D667" s="9" t="str">
        <f ca="1">VLOOKUP(A667,[2]characters!$A:$H,8,FALSE)</f>
        <v>yellow</v>
      </c>
      <c r="E667" s="97">
        <f ca="1">VLOOKUP(D667,[2]属性!$A:$E,2,FALSE)</f>
        <v>0.98</v>
      </c>
      <c r="F667" s="97">
        <f ca="1">VLOOKUP(D667,[2]属性!$A:$E,3,FALSE)</f>
        <v>1.01</v>
      </c>
      <c r="G667" s="97">
        <f ca="1">VLOOKUP(D667,[2]属性!$A:$F,4,FALSE)</f>
        <v>1</v>
      </c>
      <c r="H667" s="9" t="str">
        <f ca="1">VLOOKUP(A667,[2]characters!$A:$K,11,FALSE)</f>
        <v>balance</v>
      </c>
      <c r="I667" s="6" t="str">
        <f ca="1">VLOOKUP(H667,[2]character_type_i18n!$A:$F,3,FALSE)</f>
        <v>バランスタイプ</v>
      </c>
      <c r="J667" s="97">
        <f ca="1">VLOOKUP(H667,[2]character_type_i18n!$A:$F,4,FALSE)</f>
        <v>1</v>
      </c>
      <c r="K667" s="97">
        <f ca="1">VLOOKUP(H667,[2]character_type_i18n!$A:$F,5,FALSE)</f>
        <v>1</v>
      </c>
      <c r="L667" s="97">
        <f ca="1">VLOOKUP(H667,[2]character_type_i18n!$A:$F,6,FALSE)</f>
        <v>1</v>
      </c>
      <c r="M667" s="9" t="str">
        <f ca="1">VLOOKUP(A667,[2]characters!$A:$M,13,FALSE)</f>
        <v>unknown</v>
      </c>
      <c r="N667" s="6" t="str">
        <f ca="1">VLOOKUP(M667,[2]character_tribe_i18n!$A:$F,3,FALSE)</f>
        <v>Unknown</v>
      </c>
      <c r="O667" s="97">
        <f ca="1">VLOOKUP(M667,[2]character_tribe_i18n!$A:$F,4,FALSE)</f>
        <v>1</v>
      </c>
      <c r="P667" s="97">
        <f ca="1">VLOOKUP(M667,[2]character_tribe_i18n!$A:$F,5,FALSE)</f>
        <v>1</v>
      </c>
      <c r="Q667" s="97">
        <f ca="1">VLOOKUP(M667,[2]character_tribe_i18n!$A:$F,6,FALSE)</f>
        <v>1</v>
      </c>
      <c r="R667" s="98" t="s">
        <v>98</v>
      </c>
      <c r="S667" s="97">
        <f>VLOOKUP($R667,ラベル別係数!$A$1:$E$7,3,FALSE)</f>
        <v>5</v>
      </c>
      <c r="T667" s="97">
        <f>VLOOKUP($R667,ラベル別係数!$A$1:$E$7,4,FALSE)</f>
        <v>1.3</v>
      </c>
      <c r="U667" s="97">
        <f>VLOOKUP($R667,ラベル別係数!$A$1:$E$7,5,FALSE)</f>
        <v>0.8</v>
      </c>
      <c r="V667" s="98">
        <v>3</v>
      </c>
      <c r="W667" s="99">
        <f>VLOOKUP(V667,ターン数別攻撃係数!$A$1:$B$1000,2,FALSE)</f>
        <v>1</v>
      </c>
      <c r="X667" s="9">
        <f ca="1">VLOOKUP(C667,サイズ別係数!A$2:B$9,2,FALSE)</f>
        <v>30</v>
      </c>
      <c r="Y667" s="97">
        <f ca="1">VLOOKUP($X667,サイズ別係数!$B:$E,2,FALSE)</f>
        <v>1.3</v>
      </c>
      <c r="Z667" s="97">
        <f ca="1">VLOOKUP($X667,サイズ別係数!$B:$E,3,FALSE)</f>
        <v>1.3</v>
      </c>
      <c r="AA667" s="97">
        <f ca="1">VLOOKUP($X667,サイズ別係数!$B:$E,4,FALSE)</f>
        <v>1.1000000000000001</v>
      </c>
      <c r="AB667" s="10">
        <v>0</v>
      </c>
      <c r="AC667" s="6" t="str">
        <f ca="1">VLOOKUP($AB667,OFFSET([3]enemy_skill_sets!$B$2,0,0,COUNTA([3]enemy_skill_sets!$A:$A),MATCH(AC$1,[3]enemy_skill_sets!$1:$1,0)-MATCH($AB$1,[3]enemy_skill_sets!$1:$1,0)+1),MATCH(AC$1,[3]enemy_skill_sets!$1:$1,0)-MATCH($AB$1,[3]enemy_skill_sets!$1:$1,0)+1,FALSE)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7" s="67">
        <v>1</v>
      </c>
      <c r="AE667" s="67">
        <v>1</v>
      </c>
      <c r="AF667" s="68">
        <v>0</v>
      </c>
      <c r="AG667" s="99">
        <f ca="1">ROUND(VLOOKUP(1,enemy_base_stats!$A:$F,2,FALSE) * Y667* J667*O667*E667*S667*AD667*[2]ステータス!$B$2,0)</f>
        <v>3185</v>
      </c>
      <c r="AH667" s="99">
        <f ca="1">ROUND(VLOOKUP(1,enemy_base_stats!$A:$F,3,FALSE) * Z667*K667*P667*F667*T667*AE667 * W667*[2]ステータス!$C$2,0)</f>
        <v>256</v>
      </c>
      <c r="AI667" s="99">
        <f ca="1">ROUND(VLOOKUP(1,enemy_base_stats!$A:$F,4,FALSE) * AA667*L667*Q667*G667*U667*AF667*[2]ステータス!$D$2,0)</f>
        <v>0</v>
      </c>
      <c r="AJ667" s="99">
        <f ca="1">ROUND(VLOOKUP(100,enemy_base_stats!$A:$F,2,FALSE) * Y667* J667*O667*E667*S667*AD667*[2]ステータス!$B$2,0)</f>
        <v>129311</v>
      </c>
      <c r="AK667" s="99">
        <f ca="1">ROUND(VLOOKUP(100,enemy_base_stats!$A:$F,3,FALSE)* Z667* K667*P667*F667*T667*AE667 * W667*[2]ステータス!$C$2,0)</f>
        <v>10395</v>
      </c>
      <c r="AL667" s="99">
        <f ca="1">ROUND(VLOOKUP(100,enemy_base_stats!$A:$F,4,FALSE)* AA667* L667*Q667*G667*U667*AF667*[2]ステータス!$D$2,0)</f>
        <v>0</v>
      </c>
      <c r="AM667" s="97">
        <f ca="1">VLOOKUP(M667,[2]character_tribe_i18n!$A:$I,9,FALSE)</f>
        <v>340</v>
      </c>
      <c r="AN667" s="97">
        <v>0</v>
      </c>
      <c r="AO667" s="98">
        <v>0</v>
      </c>
      <c r="AP667" s="58" t="s">
        <v>72</v>
      </c>
      <c r="AQ667" s="34">
        <f t="shared" ca="1" si="40"/>
        <v>666</v>
      </c>
    </row>
    <row r="668" spans="1:43" ht="21" customHeight="1" x14ac:dyDescent="0.15">
      <c r="A668" s="7">
        <f t="shared" ca="1" si="41"/>
        <v>667</v>
      </c>
      <c r="B668" s="6" t="str">
        <f ca="1">VLOOKUP(A668,[2]characters!$A:$C,3,FALSE)</f>
        <v>最幸運の妖童 テマリ</v>
      </c>
      <c r="C668" s="9">
        <f ca="1">VLOOKUP(A668,[2]characters!$A:$I,9,FALSE)</f>
        <v>5</v>
      </c>
      <c r="D668" s="9" t="str">
        <f ca="1">VLOOKUP(A668,[2]characters!$A:$H,8,FALSE)</f>
        <v>yellow</v>
      </c>
      <c r="E668" s="97">
        <f ca="1">VLOOKUP(D668,[2]属性!$A:$E,2,FALSE)</f>
        <v>0.98</v>
      </c>
      <c r="F668" s="97">
        <f ca="1">VLOOKUP(D668,[2]属性!$A:$E,3,FALSE)</f>
        <v>1.01</v>
      </c>
      <c r="G668" s="97">
        <f ca="1">VLOOKUP(D668,[2]属性!$A:$F,4,FALSE)</f>
        <v>1</v>
      </c>
      <c r="H668" s="9" t="str">
        <f ca="1">VLOOKUP(A668,[2]characters!$A:$K,11,FALSE)</f>
        <v>balance</v>
      </c>
      <c r="I668" s="6" t="str">
        <f ca="1">VLOOKUP(H668,[2]character_type_i18n!$A:$F,3,FALSE)</f>
        <v>バランスタイプ</v>
      </c>
      <c r="J668" s="97">
        <f ca="1">VLOOKUP(H668,[2]character_type_i18n!$A:$F,4,FALSE)</f>
        <v>1</v>
      </c>
      <c r="K668" s="97">
        <f ca="1">VLOOKUP(H668,[2]character_type_i18n!$A:$F,5,FALSE)</f>
        <v>1</v>
      </c>
      <c r="L668" s="97">
        <f ca="1">VLOOKUP(H668,[2]character_type_i18n!$A:$F,6,FALSE)</f>
        <v>1</v>
      </c>
      <c r="M668" s="9" t="str">
        <f ca="1">VLOOKUP(A668,[2]characters!$A:$M,13,FALSE)</f>
        <v>unknown</v>
      </c>
      <c r="N668" s="6" t="str">
        <f ca="1">VLOOKUP(M668,[2]character_tribe_i18n!$A:$F,3,FALSE)</f>
        <v>Unknown</v>
      </c>
      <c r="O668" s="97">
        <f ca="1">VLOOKUP(M668,[2]character_tribe_i18n!$A:$F,4,FALSE)</f>
        <v>1</v>
      </c>
      <c r="P668" s="97">
        <f ca="1">VLOOKUP(M668,[2]character_tribe_i18n!$A:$F,5,FALSE)</f>
        <v>1</v>
      </c>
      <c r="Q668" s="97">
        <f ca="1">VLOOKUP(M668,[2]character_tribe_i18n!$A:$F,6,FALSE)</f>
        <v>1</v>
      </c>
      <c r="R668" s="98" t="s">
        <v>98</v>
      </c>
      <c r="S668" s="97">
        <f>VLOOKUP($R668,ラベル別係数!$A$1:$E$7,3,FALSE)</f>
        <v>5</v>
      </c>
      <c r="T668" s="97">
        <f>VLOOKUP($R668,ラベル別係数!$A$1:$E$7,4,FALSE)</f>
        <v>1.3</v>
      </c>
      <c r="U668" s="97">
        <f>VLOOKUP($R668,ラベル別係数!$A$1:$E$7,5,FALSE)</f>
        <v>0.8</v>
      </c>
      <c r="V668" s="98">
        <v>3</v>
      </c>
      <c r="W668" s="99">
        <f>VLOOKUP(V668,ターン数別攻撃係数!$A$1:$B$1000,2,FALSE)</f>
        <v>1</v>
      </c>
      <c r="X668" s="9">
        <f ca="1">VLOOKUP(C668,サイズ別係数!A$2:B$9,2,FALSE)</f>
        <v>60</v>
      </c>
      <c r="Y668" s="97">
        <f ca="1">VLOOKUP($X668,サイズ別係数!$B:$E,2,FALSE)</f>
        <v>1.7</v>
      </c>
      <c r="Z668" s="97">
        <f ca="1">VLOOKUP($X668,サイズ別係数!$B:$E,3,FALSE)</f>
        <v>1.4</v>
      </c>
      <c r="AA668" s="97">
        <f ca="1">VLOOKUP($X668,サイズ別係数!$B:$E,4,FALSE)</f>
        <v>1</v>
      </c>
      <c r="AB668" s="10">
        <v>0</v>
      </c>
      <c r="AC668" s="6" t="str">
        <f ca="1">VLOOKUP($AB668,OFFSET([3]enemy_skill_sets!$B$2,0,0,COUNTA([3]enemy_skill_sets!$A:$A),MATCH(AC$1,[3]enemy_skill_sets!$1:$1,0)-MATCH($AB$1,[3]enemy_skill_sets!$1:$1,0)+1),MATCH(AC$1,[3]enemy_skill_sets!$1:$1,0)-MATCH($AB$1,[3]enemy_skill_sets!$1:$1,0)+1,FALSE)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8" s="67">
        <v>1</v>
      </c>
      <c r="AE668" s="67">
        <v>1</v>
      </c>
      <c r="AF668" s="68">
        <v>0</v>
      </c>
      <c r="AG668" s="99">
        <f ca="1">ROUND(VLOOKUP(1,enemy_base_stats!$A:$F,2,FALSE) * Y668* J668*O668*E668*S668*AD668*[2]ステータス!$B$2,0)</f>
        <v>4165</v>
      </c>
      <c r="AH668" s="99">
        <f ca="1">ROUND(VLOOKUP(1,enemy_base_stats!$A:$F,3,FALSE) * Z668*K668*P668*F668*T668*AE668 * W668*[2]ステータス!$C$2,0)</f>
        <v>276</v>
      </c>
      <c r="AI668" s="99">
        <f ca="1">ROUND(VLOOKUP(1,enemy_base_stats!$A:$F,4,FALSE) * AA668*L668*Q668*G668*U668*AF668*[2]ステータス!$D$2,0)</f>
        <v>0</v>
      </c>
      <c r="AJ668" s="99">
        <f ca="1">ROUND(VLOOKUP(100,enemy_base_stats!$A:$F,2,FALSE) * Y668* J668*O668*E668*S668*AD668*[2]ステータス!$B$2,0)</f>
        <v>169099</v>
      </c>
      <c r="AK668" s="99">
        <f ca="1">ROUND(VLOOKUP(100,enemy_base_stats!$A:$F,3,FALSE)* Z668* K668*P668*F668*T668*AE668 * W668*[2]ステータス!$C$2,0)</f>
        <v>11195</v>
      </c>
      <c r="AL668" s="99">
        <f ca="1">ROUND(VLOOKUP(100,enemy_base_stats!$A:$F,4,FALSE)* AA668* L668*Q668*G668*U668*AF668*[2]ステータス!$D$2,0)</f>
        <v>0</v>
      </c>
      <c r="AM668" s="97">
        <f ca="1">VLOOKUP(M668,[2]character_tribe_i18n!$A:$I,9,FALSE)</f>
        <v>340</v>
      </c>
      <c r="AN668" s="97">
        <v>0</v>
      </c>
      <c r="AO668" s="98">
        <v>0</v>
      </c>
      <c r="AP668" s="58" t="s">
        <v>72</v>
      </c>
      <c r="AQ668" s="34">
        <f t="shared" ca="1" si="40"/>
        <v>667</v>
      </c>
    </row>
    <row r="669" spans="1:43" ht="21" customHeight="1" x14ac:dyDescent="0.15">
      <c r="A669" s="7">
        <f t="shared" ca="1" si="41"/>
        <v>668</v>
      </c>
      <c r="B669" s="6" t="str">
        <f ca="1">VLOOKUP(A669,[2]characters!$A:$C,3,FALSE)</f>
        <v>アグニ</v>
      </c>
      <c r="C669" s="9">
        <f ca="1">VLOOKUP(A669,[2]characters!$A:$I,9,FALSE)</f>
        <v>3</v>
      </c>
      <c r="D669" s="9" t="str">
        <f ca="1">VLOOKUP(A669,[2]characters!$A:$H,8,FALSE)</f>
        <v>red</v>
      </c>
      <c r="E669" s="97">
        <f ca="1">VLOOKUP(D669,[2]属性!$A:$E,2,FALSE)</f>
        <v>1</v>
      </c>
      <c r="F669" s="97">
        <f ca="1">VLOOKUP(D669,[2]属性!$A:$E,3,FALSE)</f>
        <v>1.02</v>
      </c>
      <c r="G669" s="97">
        <f ca="1">VLOOKUP(D669,[2]属性!$A:$F,4,FALSE)</f>
        <v>1</v>
      </c>
      <c r="H669" s="9" t="str">
        <f ca="1">VLOOKUP(A669,[2]characters!$A:$K,11,FALSE)</f>
        <v>hp</v>
      </c>
      <c r="I669" s="6" t="str">
        <f ca="1">VLOOKUP(H669,[2]character_type_i18n!$A:$F,3,FALSE)</f>
        <v>体力タイプ</v>
      </c>
      <c r="J669" s="97">
        <f ca="1">VLOOKUP(H669,[2]character_type_i18n!$A:$F,4,FALSE)</f>
        <v>1.45</v>
      </c>
      <c r="K669" s="97">
        <f ca="1">VLOOKUP(H669,[2]character_type_i18n!$A:$F,5,FALSE)</f>
        <v>0.85</v>
      </c>
      <c r="L669" s="97">
        <f ca="1">VLOOKUP(H669,[2]character_type_i18n!$A:$F,6,FALSE)</f>
        <v>1</v>
      </c>
      <c r="M669" s="9" t="str">
        <f ca="1">VLOOKUP(A669,[2]characters!$A:$M,13,FALSE)</f>
        <v>god</v>
      </c>
      <c r="N669" s="6" t="str">
        <f ca="1">VLOOKUP(M669,[2]character_tribe_i18n!$A:$F,3,FALSE)</f>
        <v>ゴッド</v>
      </c>
      <c r="O669" s="97">
        <f ca="1">VLOOKUP(M669,[2]character_tribe_i18n!$A:$F,4,FALSE)</f>
        <v>0.96</v>
      </c>
      <c r="P669" s="97">
        <f ca="1">VLOOKUP(M669,[2]character_tribe_i18n!$A:$F,5,FALSE)</f>
        <v>1.02</v>
      </c>
      <c r="Q669" s="97">
        <f ca="1">VLOOKUP(M669,[2]character_tribe_i18n!$A:$F,6,FALSE)</f>
        <v>1</v>
      </c>
      <c r="R669" s="98" t="s">
        <v>98</v>
      </c>
      <c r="S669" s="97">
        <f>VLOOKUP($R669,ラベル別係数!$A$1:$E$7,3,FALSE)</f>
        <v>5</v>
      </c>
      <c r="T669" s="97">
        <f>VLOOKUP($R669,ラベル別係数!$A$1:$E$7,4,FALSE)</f>
        <v>1.3</v>
      </c>
      <c r="U669" s="97">
        <f>VLOOKUP($R669,ラベル別係数!$A$1:$E$7,5,FALSE)</f>
        <v>0.8</v>
      </c>
      <c r="V669" s="98">
        <v>3</v>
      </c>
      <c r="W669" s="99">
        <f>VLOOKUP(V669,ターン数別攻撃係数!$A$1:$B$1000,2,FALSE)</f>
        <v>1</v>
      </c>
      <c r="X669" s="9">
        <f ca="1">VLOOKUP(C669,サイズ別係数!A$2:B$9,2,FALSE)</f>
        <v>25</v>
      </c>
      <c r="Y669" s="97">
        <f ca="1">VLOOKUP($X669,サイズ別係数!$B:$E,2,FALSE)</f>
        <v>1.2</v>
      </c>
      <c r="Z669" s="97">
        <f ca="1">VLOOKUP($X669,サイズ別係数!$B:$E,3,FALSE)</f>
        <v>1.25</v>
      </c>
      <c r="AA669" s="97">
        <f ca="1">VLOOKUP($X669,サイズ別係数!$B:$E,4,FALSE)</f>
        <v>1.1499999999999999</v>
      </c>
      <c r="AB669" s="10">
        <v>0</v>
      </c>
      <c r="AC669" s="6" t="str">
        <f ca="1">VLOOKUP($AB669,OFFSET([3]enemy_skill_sets!$B$2,0,0,COUNTA([3]enemy_skill_sets!$A:$A),MATCH(AC$1,[3]enemy_skill_sets!$1:$1,0)-MATCH($AB$1,[3]enemy_skill_sets!$1:$1,0)+1),MATCH(AC$1,[3]enemy_skill_sets!$1:$1,0)-MATCH($AB$1,[3]enemy_skill_sets!$1:$1,0)+1,FALSE)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69" s="67">
        <v>1</v>
      </c>
      <c r="AE669" s="67">
        <v>1</v>
      </c>
      <c r="AF669" s="68">
        <v>0</v>
      </c>
      <c r="AG669" s="99">
        <f ca="1">ROUND(VLOOKUP(1,enemy_base_stats!$A:$F,2,FALSE) * Y669* J669*O669*E669*S669*AD669*[2]ステータス!$B$2,0)</f>
        <v>4176</v>
      </c>
      <c r="AH669" s="99">
        <f ca="1">ROUND(VLOOKUP(1,enemy_base_stats!$A:$F,3,FALSE) * Z669*K669*P669*F669*T669*AE669 * W669*[2]ステータス!$C$2,0)</f>
        <v>216</v>
      </c>
      <c r="AI669" s="99">
        <f ca="1">ROUND(VLOOKUP(1,enemy_base_stats!$A:$F,4,FALSE) * AA669*L669*Q669*G669*U669*AF669*[2]ステータス!$D$2,0)</f>
        <v>0</v>
      </c>
      <c r="AJ669" s="99">
        <f ca="1">ROUND(VLOOKUP(100,enemy_base_stats!$A:$F,2,FALSE) * Y669* J669*O669*E669*S669*AD669*[2]ステータス!$B$2,0)</f>
        <v>169546</v>
      </c>
      <c r="AK669" s="99">
        <f ca="1">ROUND(VLOOKUP(100,enemy_base_stats!$A:$F,3,FALSE)* Z669* K669*P669*F669*T669*AE669 * W669*[2]ステータス!$C$2,0)</f>
        <v>8752</v>
      </c>
      <c r="AL669" s="99">
        <f ca="1">ROUND(VLOOKUP(100,enemy_base_stats!$A:$F,4,FALSE)* AA669* L669*Q669*G669*U669*AF669*[2]ステータス!$D$2,0)</f>
        <v>0</v>
      </c>
      <c r="AM669" s="97">
        <f ca="1">VLOOKUP(M669,[2]character_tribe_i18n!$A:$I,9,FALSE)</f>
        <v>680</v>
      </c>
      <c r="AN669" s="97">
        <v>0</v>
      </c>
      <c r="AO669" s="98">
        <v>0</v>
      </c>
      <c r="AP669" s="58" t="s">
        <v>72</v>
      </c>
      <c r="AQ669" s="34">
        <f t="shared" ca="1" si="40"/>
        <v>668</v>
      </c>
    </row>
    <row r="670" spans="1:43" ht="21" customHeight="1" x14ac:dyDescent="0.15">
      <c r="A670" s="7">
        <f t="shared" ca="1" si="41"/>
        <v>669</v>
      </c>
      <c r="B670" s="6" t="str">
        <f ca="1">VLOOKUP(A670,[2]characters!$A:$C,3,FALSE)</f>
        <v>天地の仲界 アグニ</v>
      </c>
      <c r="C670" s="9">
        <f ca="1">VLOOKUP(A670,[2]characters!$A:$I,9,FALSE)</f>
        <v>4</v>
      </c>
      <c r="D670" s="9" t="str">
        <f ca="1">VLOOKUP(A670,[2]characters!$A:$H,8,FALSE)</f>
        <v>red</v>
      </c>
      <c r="E670" s="97">
        <f ca="1">VLOOKUP(D670,[2]属性!$A:$E,2,FALSE)</f>
        <v>1</v>
      </c>
      <c r="F670" s="97">
        <f ca="1">VLOOKUP(D670,[2]属性!$A:$E,3,FALSE)</f>
        <v>1.02</v>
      </c>
      <c r="G670" s="97">
        <f ca="1">VLOOKUP(D670,[2]属性!$A:$F,4,FALSE)</f>
        <v>1</v>
      </c>
      <c r="H670" s="9" t="str">
        <f ca="1">VLOOKUP(A670,[2]characters!$A:$K,11,FALSE)</f>
        <v>hp</v>
      </c>
      <c r="I670" s="6" t="str">
        <f ca="1">VLOOKUP(H670,[2]character_type_i18n!$A:$F,3,FALSE)</f>
        <v>体力タイプ</v>
      </c>
      <c r="J670" s="97">
        <f ca="1">VLOOKUP(H670,[2]character_type_i18n!$A:$F,4,FALSE)</f>
        <v>1.45</v>
      </c>
      <c r="K670" s="97">
        <f ca="1">VLOOKUP(H670,[2]character_type_i18n!$A:$F,5,FALSE)</f>
        <v>0.85</v>
      </c>
      <c r="L670" s="97">
        <f ca="1">VLOOKUP(H670,[2]character_type_i18n!$A:$F,6,FALSE)</f>
        <v>1</v>
      </c>
      <c r="M670" s="9" t="str">
        <f ca="1">VLOOKUP(A670,[2]characters!$A:$M,13,FALSE)</f>
        <v>god</v>
      </c>
      <c r="N670" s="6" t="str">
        <f ca="1">VLOOKUP(M670,[2]character_tribe_i18n!$A:$F,3,FALSE)</f>
        <v>ゴッド</v>
      </c>
      <c r="O670" s="97">
        <f ca="1">VLOOKUP(M670,[2]character_tribe_i18n!$A:$F,4,FALSE)</f>
        <v>0.96</v>
      </c>
      <c r="P670" s="97">
        <f ca="1">VLOOKUP(M670,[2]character_tribe_i18n!$A:$F,5,FALSE)</f>
        <v>1.02</v>
      </c>
      <c r="Q670" s="97">
        <f ca="1">VLOOKUP(M670,[2]character_tribe_i18n!$A:$F,6,FALSE)</f>
        <v>1</v>
      </c>
      <c r="R670" s="98" t="s">
        <v>98</v>
      </c>
      <c r="S670" s="97">
        <f>VLOOKUP($R670,ラベル別係数!$A$1:$E$7,3,FALSE)</f>
        <v>5</v>
      </c>
      <c r="T670" s="97">
        <f>VLOOKUP($R670,ラベル別係数!$A$1:$E$7,4,FALSE)</f>
        <v>1.3</v>
      </c>
      <c r="U670" s="97">
        <f>VLOOKUP($R670,ラベル別係数!$A$1:$E$7,5,FALSE)</f>
        <v>0.8</v>
      </c>
      <c r="V670" s="98">
        <v>3</v>
      </c>
      <c r="W670" s="99">
        <f>VLOOKUP(V670,ターン数別攻撃係数!$A$1:$B$1000,2,FALSE)</f>
        <v>1</v>
      </c>
      <c r="X670" s="9">
        <f ca="1">VLOOKUP(C670,サイズ別係数!A$2:B$9,2,FALSE)</f>
        <v>30</v>
      </c>
      <c r="Y670" s="97">
        <f ca="1">VLOOKUP($X670,サイズ別係数!$B:$E,2,FALSE)</f>
        <v>1.3</v>
      </c>
      <c r="Z670" s="97">
        <f ca="1">VLOOKUP($X670,サイズ別係数!$B:$E,3,FALSE)</f>
        <v>1.3</v>
      </c>
      <c r="AA670" s="97">
        <f ca="1">VLOOKUP($X670,サイズ別係数!$B:$E,4,FALSE)</f>
        <v>1.1000000000000001</v>
      </c>
      <c r="AB670" s="10">
        <v>0</v>
      </c>
      <c r="AC670" s="6" t="str">
        <f ca="1">VLOOKUP($AB670,OFFSET([3]enemy_skill_sets!$B$2,0,0,COUNTA([3]enemy_skill_sets!$A:$A),MATCH(AC$1,[3]enemy_skill_sets!$1:$1,0)-MATCH($AB$1,[3]enemy_skill_sets!$1:$1,0)+1),MATCH(AC$1,[3]enemy_skill_sets!$1:$1,0)-MATCH($AB$1,[3]enemy_skill_sets!$1:$1,0)+1,FALSE)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0" s="67">
        <v>1</v>
      </c>
      <c r="AE670" s="67">
        <v>1</v>
      </c>
      <c r="AF670" s="68">
        <v>0</v>
      </c>
      <c r="AG670" s="99">
        <f ca="1">ROUND(VLOOKUP(1,enemy_base_stats!$A:$F,2,FALSE) * Y670* J670*O670*E670*S670*AD670*[2]ステータス!$B$2,0)</f>
        <v>4524</v>
      </c>
      <c r="AH670" s="99">
        <f ca="1">ROUND(VLOOKUP(1,enemy_base_stats!$A:$F,3,FALSE) * Z670*K670*P670*F670*T670*AE670 * W670*[2]ステータス!$C$2,0)</f>
        <v>224</v>
      </c>
      <c r="AI670" s="99">
        <f ca="1">ROUND(VLOOKUP(1,enemy_base_stats!$A:$F,4,FALSE) * AA670*L670*Q670*G670*U670*AF670*[2]ステータス!$D$2,0)</f>
        <v>0</v>
      </c>
      <c r="AJ670" s="99">
        <f ca="1">ROUND(VLOOKUP(100,enemy_base_stats!$A:$F,2,FALSE) * Y670* J670*O670*E670*S670*AD670*[2]ステータス!$B$2,0)</f>
        <v>183674</v>
      </c>
      <c r="AK670" s="99">
        <f ca="1">ROUND(VLOOKUP(100,enemy_base_stats!$A:$F,3,FALSE)* Z670* K670*P670*F670*T670*AE670 * W670*[2]ステータス!$C$2,0)</f>
        <v>9102</v>
      </c>
      <c r="AL670" s="99">
        <f ca="1">ROUND(VLOOKUP(100,enemy_base_stats!$A:$F,4,FALSE)* AA670* L670*Q670*G670*U670*AF670*[2]ステータス!$D$2,0)</f>
        <v>0</v>
      </c>
      <c r="AM670" s="97">
        <f ca="1">VLOOKUP(M670,[2]character_tribe_i18n!$A:$I,9,FALSE)</f>
        <v>680</v>
      </c>
      <c r="AN670" s="97">
        <v>0</v>
      </c>
      <c r="AO670" s="98">
        <v>0</v>
      </c>
      <c r="AP670" s="58" t="s">
        <v>72</v>
      </c>
      <c r="AQ670" s="34">
        <f t="shared" ca="1" si="40"/>
        <v>669</v>
      </c>
    </row>
    <row r="671" spans="1:43" ht="21" customHeight="1" x14ac:dyDescent="0.15">
      <c r="A671" s="7">
        <f t="shared" ca="1" si="41"/>
        <v>670</v>
      </c>
      <c r="B671" s="6" t="str">
        <f ca="1">VLOOKUP(A671,[2]characters!$A:$C,3,FALSE)</f>
        <v>陽天の噴煙 アグニ</v>
      </c>
      <c r="C671" s="9">
        <f ca="1">VLOOKUP(A671,[2]characters!$A:$I,9,FALSE)</f>
        <v>5</v>
      </c>
      <c r="D671" s="9" t="str">
        <f ca="1">VLOOKUP(A671,[2]characters!$A:$H,8,FALSE)</f>
        <v>red</v>
      </c>
      <c r="E671" s="97">
        <f ca="1">VLOOKUP(D671,[2]属性!$A:$E,2,FALSE)</f>
        <v>1</v>
      </c>
      <c r="F671" s="97">
        <f ca="1">VLOOKUP(D671,[2]属性!$A:$E,3,FALSE)</f>
        <v>1.02</v>
      </c>
      <c r="G671" s="97">
        <f ca="1">VLOOKUP(D671,[2]属性!$A:$F,4,FALSE)</f>
        <v>1</v>
      </c>
      <c r="H671" s="9" t="str">
        <f ca="1">VLOOKUP(A671,[2]characters!$A:$K,11,FALSE)</f>
        <v>hp</v>
      </c>
      <c r="I671" s="6" t="str">
        <f ca="1">VLOOKUP(H671,[2]character_type_i18n!$A:$F,3,FALSE)</f>
        <v>体力タイプ</v>
      </c>
      <c r="J671" s="97">
        <f ca="1">VLOOKUP(H671,[2]character_type_i18n!$A:$F,4,FALSE)</f>
        <v>1.45</v>
      </c>
      <c r="K671" s="97">
        <f ca="1">VLOOKUP(H671,[2]character_type_i18n!$A:$F,5,FALSE)</f>
        <v>0.85</v>
      </c>
      <c r="L671" s="97">
        <f ca="1">VLOOKUP(H671,[2]character_type_i18n!$A:$F,6,FALSE)</f>
        <v>1</v>
      </c>
      <c r="M671" s="9" t="str">
        <f ca="1">VLOOKUP(A671,[2]characters!$A:$M,13,FALSE)</f>
        <v>god</v>
      </c>
      <c r="N671" s="6" t="str">
        <f ca="1">VLOOKUP(M671,[2]character_tribe_i18n!$A:$F,3,FALSE)</f>
        <v>ゴッド</v>
      </c>
      <c r="O671" s="97">
        <f ca="1">VLOOKUP(M671,[2]character_tribe_i18n!$A:$F,4,FALSE)</f>
        <v>0.96</v>
      </c>
      <c r="P671" s="97">
        <f ca="1">VLOOKUP(M671,[2]character_tribe_i18n!$A:$F,5,FALSE)</f>
        <v>1.02</v>
      </c>
      <c r="Q671" s="97">
        <f ca="1">VLOOKUP(M671,[2]character_tribe_i18n!$A:$F,6,FALSE)</f>
        <v>1</v>
      </c>
      <c r="R671" s="98" t="s">
        <v>98</v>
      </c>
      <c r="S671" s="97">
        <f>VLOOKUP($R671,ラベル別係数!$A$1:$E$7,3,FALSE)</f>
        <v>5</v>
      </c>
      <c r="T671" s="97">
        <f>VLOOKUP($R671,ラベル別係数!$A$1:$E$7,4,FALSE)</f>
        <v>1.3</v>
      </c>
      <c r="U671" s="97">
        <f>VLOOKUP($R671,ラベル別係数!$A$1:$E$7,5,FALSE)</f>
        <v>0.8</v>
      </c>
      <c r="V671" s="98">
        <v>3</v>
      </c>
      <c r="W671" s="99">
        <f>VLOOKUP(V671,ターン数別攻撃係数!$A$1:$B$1000,2,FALSE)</f>
        <v>1</v>
      </c>
      <c r="X671" s="9">
        <f ca="1">VLOOKUP(C671,サイズ別係数!A$2:B$9,2,FALSE)</f>
        <v>60</v>
      </c>
      <c r="Y671" s="97">
        <f ca="1">VLOOKUP($X671,サイズ別係数!$B:$E,2,FALSE)</f>
        <v>1.7</v>
      </c>
      <c r="Z671" s="97">
        <f ca="1">VLOOKUP($X671,サイズ別係数!$B:$E,3,FALSE)</f>
        <v>1.4</v>
      </c>
      <c r="AA671" s="97">
        <f ca="1">VLOOKUP($X671,サイズ別係数!$B:$E,4,FALSE)</f>
        <v>1</v>
      </c>
      <c r="AB671" s="10">
        <v>0</v>
      </c>
      <c r="AC671" s="6" t="str">
        <f ca="1">VLOOKUP($AB671,OFFSET([3]enemy_skill_sets!$B$2,0,0,COUNTA([3]enemy_skill_sets!$A:$A),MATCH(AC$1,[3]enemy_skill_sets!$1:$1,0)-MATCH($AB$1,[3]enemy_skill_sets!$1:$1,0)+1),MATCH(AC$1,[3]enemy_skill_sets!$1:$1,0)-MATCH($AB$1,[3]enemy_skill_sets!$1:$1,0)+1,FALSE)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1" s="67">
        <v>1</v>
      </c>
      <c r="AE671" s="67">
        <v>1</v>
      </c>
      <c r="AF671" s="68">
        <v>0</v>
      </c>
      <c r="AG671" s="99">
        <f ca="1">ROUND(VLOOKUP(1,enemy_base_stats!$A:$F,2,FALSE) * Y671* J671*O671*E671*S671*AD671*[2]ステータス!$B$2,0)</f>
        <v>5916</v>
      </c>
      <c r="AH671" s="99">
        <f ca="1">ROUND(VLOOKUP(1,enemy_base_stats!$A:$F,3,FALSE) * Z671*K671*P671*F671*T671*AE671 * W671*[2]ステータス!$C$2,0)</f>
        <v>241</v>
      </c>
      <c r="AI671" s="99">
        <f ca="1">ROUND(VLOOKUP(1,enemy_base_stats!$A:$F,4,FALSE) * AA671*L671*Q671*G671*U671*AF671*[2]ステータス!$D$2,0)</f>
        <v>0</v>
      </c>
      <c r="AJ671" s="99">
        <f ca="1">ROUND(VLOOKUP(100,enemy_base_stats!$A:$F,2,FALSE) * Y671* J671*O671*E671*S671*AD671*[2]ステータス!$B$2,0)</f>
        <v>240190</v>
      </c>
      <c r="AK671" s="99">
        <f ca="1">ROUND(VLOOKUP(100,enemy_base_stats!$A:$F,3,FALSE)* Z671* K671*P671*F671*T671*AE671 * W671*[2]ステータス!$C$2,0)</f>
        <v>9802</v>
      </c>
      <c r="AL671" s="99">
        <f ca="1">ROUND(VLOOKUP(100,enemy_base_stats!$A:$F,4,FALSE)* AA671* L671*Q671*G671*U671*AF671*[2]ステータス!$D$2,0)</f>
        <v>0</v>
      </c>
      <c r="AM671" s="97">
        <f ca="1">VLOOKUP(M671,[2]character_tribe_i18n!$A:$I,9,FALSE)</f>
        <v>680</v>
      </c>
      <c r="AN671" s="97">
        <v>0</v>
      </c>
      <c r="AO671" s="98">
        <v>0</v>
      </c>
      <c r="AP671" s="58" t="s">
        <v>72</v>
      </c>
      <c r="AQ671" s="34">
        <f t="shared" ca="1" si="40"/>
        <v>670</v>
      </c>
    </row>
    <row r="672" spans="1:43" ht="21" customHeight="1" x14ac:dyDescent="0.15">
      <c r="A672" s="7">
        <f t="shared" ca="1" si="41"/>
        <v>671</v>
      </c>
      <c r="B672" s="6" t="str">
        <f ca="1">VLOOKUP(A672,[2]characters!$A:$C,3,FALSE)</f>
        <v>ハヌマーン</v>
      </c>
      <c r="C672" s="9">
        <f ca="1">VLOOKUP(A672,[2]characters!$A:$I,9,FALSE)</f>
        <v>3</v>
      </c>
      <c r="D672" s="9" t="str">
        <f ca="1">VLOOKUP(A672,[2]characters!$A:$H,8,FALSE)</f>
        <v>green</v>
      </c>
      <c r="E672" s="97">
        <f ca="1">VLOOKUP(D672,[2]属性!$A:$E,2,FALSE)</f>
        <v>1.02</v>
      </c>
      <c r="F672" s="97">
        <f ca="1">VLOOKUP(D672,[2]属性!$A:$E,3,FALSE)</f>
        <v>0.98</v>
      </c>
      <c r="G672" s="97">
        <f ca="1">VLOOKUP(D672,[2]属性!$A:$F,4,FALSE)</f>
        <v>1</v>
      </c>
      <c r="H672" s="9" t="str">
        <f ca="1">VLOOKUP(A672,[2]characters!$A:$K,11,FALSE)</f>
        <v>attack</v>
      </c>
      <c r="I672" s="6" t="str">
        <f ca="1">VLOOKUP(H672,[2]character_type_i18n!$A:$F,3,FALSE)</f>
        <v>攻撃タイプ</v>
      </c>
      <c r="J672" s="97">
        <f ca="1">VLOOKUP(H672,[2]character_type_i18n!$A:$F,4,FALSE)</f>
        <v>1</v>
      </c>
      <c r="K672" s="97">
        <f ca="1">VLOOKUP(H672,[2]character_type_i18n!$A:$F,5,FALSE)</f>
        <v>1.33</v>
      </c>
      <c r="L672" s="97">
        <f ca="1">VLOOKUP(H672,[2]character_type_i18n!$A:$F,6,FALSE)</f>
        <v>1</v>
      </c>
      <c r="M672" s="9" t="str">
        <f ca="1">VLOOKUP(A672,[2]characters!$A:$M,13,FALSE)</f>
        <v>animal</v>
      </c>
      <c r="N672" s="6" t="str">
        <f ca="1">VLOOKUP(M672,[2]character_tribe_i18n!$A:$F,3,FALSE)</f>
        <v>アニマル</v>
      </c>
      <c r="O672" s="97">
        <f ca="1">VLOOKUP(M672,[2]character_tribe_i18n!$A:$F,4,FALSE)</f>
        <v>1</v>
      </c>
      <c r="P672" s="97">
        <f ca="1">VLOOKUP(M672,[2]character_tribe_i18n!$A:$F,5,FALSE)</f>
        <v>1.1000000000000001</v>
      </c>
      <c r="Q672" s="97">
        <f ca="1">VLOOKUP(M672,[2]character_tribe_i18n!$A:$F,6,FALSE)</f>
        <v>1</v>
      </c>
      <c r="R672" s="98" t="s">
        <v>98</v>
      </c>
      <c r="S672" s="97">
        <f>VLOOKUP($R672,ラベル別係数!$A$1:$E$7,3,FALSE)</f>
        <v>5</v>
      </c>
      <c r="T672" s="97">
        <f>VLOOKUP($R672,ラベル別係数!$A$1:$E$7,4,FALSE)</f>
        <v>1.3</v>
      </c>
      <c r="U672" s="97">
        <f>VLOOKUP($R672,ラベル別係数!$A$1:$E$7,5,FALSE)</f>
        <v>0.8</v>
      </c>
      <c r="V672" s="98">
        <v>3</v>
      </c>
      <c r="W672" s="99">
        <f>VLOOKUP(V672,ターン数別攻撃係数!$A$1:$B$1000,2,FALSE)</f>
        <v>1</v>
      </c>
      <c r="X672" s="9">
        <f ca="1">VLOOKUP(C672,サイズ別係数!A$2:B$9,2,FALSE)</f>
        <v>25</v>
      </c>
      <c r="Y672" s="97">
        <f ca="1">VLOOKUP($X672,サイズ別係数!$B:$E,2,FALSE)</f>
        <v>1.2</v>
      </c>
      <c r="Z672" s="97">
        <f ca="1">VLOOKUP($X672,サイズ別係数!$B:$E,3,FALSE)</f>
        <v>1.25</v>
      </c>
      <c r="AA672" s="97">
        <f ca="1">VLOOKUP($X672,サイズ別係数!$B:$E,4,FALSE)</f>
        <v>1.1499999999999999</v>
      </c>
      <c r="AB672" s="10">
        <v>0</v>
      </c>
      <c r="AC672" s="6" t="str">
        <f ca="1">VLOOKUP($AB672,OFFSET([3]enemy_skill_sets!$B$2,0,0,COUNTA([3]enemy_skill_sets!$A:$A),MATCH(AC$1,[3]enemy_skill_sets!$1:$1,0)-MATCH($AB$1,[3]enemy_skill_sets!$1:$1,0)+1),MATCH(AC$1,[3]enemy_skill_sets!$1:$1,0)-MATCH($AB$1,[3]enemy_skill_sets!$1:$1,0)+1,FALSE)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2" s="67">
        <v>1</v>
      </c>
      <c r="AE672" s="67">
        <v>1</v>
      </c>
      <c r="AF672" s="68">
        <v>0</v>
      </c>
      <c r="AG672" s="99">
        <f ca="1">ROUND(VLOOKUP(1,enemy_base_stats!$A:$F,2,FALSE) * Y672* J672*O672*E672*S672*AD672*[2]ステータス!$B$2,0)</f>
        <v>3060</v>
      </c>
      <c r="AH672" s="99">
        <f ca="1">ROUND(VLOOKUP(1,enemy_base_stats!$A:$F,3,FALSE) * Z672*K672*P672*F672*T672*AE672 * W672*[2]ステータス!$C$2,0)</f>
        <v>349</v>
      </c>
      <c r="AI672" s="99">
        <f ca="1">ROUND(VLOOKUP(1,enemy_base_stats!$A:$F,4,FALSE) * AA672*L672*Q672*G672*U672*AF672*[2]ステータス!$D$2,0)</f>
        <v>0</v>
      </c>
      <c r="AJ672" s="99">
        <f ca="1">ROUND(VLOOKUP(100,enemy_base_stats!$A:$F,2,FALSE) * Y672* J672*O672*E672*S672*AD672*[2]ステータス!$B$2,0)</f>
        <v>124236</v>
      </c>
      <c r="AK672" s="99">
        <f ca="1">ROUND(VLOOKUP(100,enemy_base_stats!$A:$F,3,FALSE)* Z672* K672*P672*F672*T672*AE672 * W672*[2]ステータス!$C$2,0)</f>
        <v>14189</v>
      </c>
      <c r="AL672" s="99">
        <f ca="1">ROUND(VLOOKUP(100,enemy_base_stats!$A:$F,4,FALSE)* AA672* L672*Q672*G672*U672*AF672*[2]ステータス!$D$2,0)</f>
        <v>0</v>
      </c>
      <c r="AM672" s="97">
        <f ca="1">VLOOKUP(M672,[2]character_tribe_i18n!$A:$I,9,FALSE)</f>
        <v>480</v>
      </c>
      <c r="AN672" s="97">
        <v>0</v>
      </c>
      <c r="AO672" s="98">
        <v>0</v>
      </c>
      <c r="AP672" s="58" t="s">
        <v>72</v>
      </c>
      <c r="AQ672" s="34">
        <f t="shared" ca="1" si="40"/>
        <v>671</v>
      </c>
    </row>
    <row r="673" spans="1:43" ht="21" customHeight="1" x14ac:dyDescent="0.15">
      <c r="A673" s="7">
        <f t="shared" ca="1" si="41"/>
        <v>672</v>
      </c>
      <c r="B673" s="6" t="str">
        <f ca="1">VLOOKUP(A673,[2]characters!$A:$C,3,FALSE)</f>
        <v>西遊韋駄天 ハヌマーン</v>
      </c>
      <c r="C673" s="9">
        <f ca="1">VLOOKUP(A673,[2]characters!$A:$I,9,FALSE)</f>
        <v>4</v>
      </c>
      <c r="D673" s="9" t="str">
        <f ca="1">VLOOKUP(A673,[2]characters!$A:$H,8,FALSE)</f>
        <v>green</v>
      </c>
      <c r="E673" s="97">
        <f ca="1">VLOOKUP(D673,[2]属性!$A:$E,2,FALSE)</f>
        <v>1.02</v>
      </c>
      <c r="F673" s="97">
        <f ca="1">VLOOKUP(D673,[2]属性!$A:$E,3,FALSE)</f>
        <v>0.98</v>
      </c>
      <c r="G673" s="97">
        <f ca="1">VLOOKUP(D673,[2]属性!$A:$F,4,FALSE)</f>
        <v>1</v>
      </c>
      <c r="H673" s="9" t="str">
        <f ca="1">VLOOKUP(A673,[2]characters!$A:$K,11,FALSE)</f>
        <v>attack</v>
      </c>
      <c r="I673" s="6" t="str">
        <f ca="1">VLOOKUP(H673,[2]character_type_i18n!$A:$F,3,FALSE)</f>
        <v>攻撃タイプ</v>
      </c>
      <c r="J673" s="97">
        <f ca="1">VLOOKUP(H673,[2]character_type_i18n!$A:$F,4,FALSE)</f>
        <v>1</v>
      </c>
      <c r="K673" s="97">
        <f ca="1">VLOOKUP(H673,[2]character_type_i18n!$A:$F,5,FALSE)</f>
        <v>1.33</v>
      </c>
      <c r="L673" s="97">
        <f ca="1">VLOOKUP(H673,[2]character_type_i18n!$A:$F,6,FALSE)</f>
        <v>1</v>
      </c>
      <c r="M673" s="9" t="str">
        <f ca="1">VLOOKUP(A673,[2]characters!$A:$M,13,FALSE)</f>
        <v>animal</v>
      </c>
      <c r="N673" s="6" t="str">
        <f ca="1">VLOOKUP(M673,[2]character_tribe_i18n!$A:$F,3,FALSE)</f>
        <v>アニマル</v>
      </c>
      <c r="O673" s="97">
        <f ca="1">VLOOKUP(M673,[2]character_tribe_i18n!$A:$F,4,FALSE)</f>
        <v>1</v>
      </c>
      <c r="P673" s="97">
        <f ca="1">VLOOKUP(M673,[2]character_tribe_i18n!$A:$F,5,FALSE)</f>
        <v>1.1000000000000001</v>
      </c>
      <c r="Q673" s="97">
        <f ca="1">VLOOKUP(M673,[2]character_tribe_i18n!$A:$F,6,FALSE)</f>
        <v>1</v>
      </c>
      <c r="R673" s="98" t="s">
        <v>98</v>
      </c>
      <c r="S673" s="97">
        <f>VLOOKUP($R673,ラベル別係数!$A$1:$E$7,3,FALSE)</f>
        <v>5</v>
      </c>
      <c r="T673" s="97">
        <f>VLOOKUP($R673,ラベル別係数!$A$1:$E$7,4,FALSE)</f>
        <v>1.3</v>
      </c>
      <c r="U673" s="97">
        <f>VLOOKUP($R673,ラベル別係数!$A$1:$E$7,5,FALSE)</f>
        <v>0.8</v>
      </c>
      <c r="V673" s="98">
        <v>3</v>
      </c>
      <c r="W673" s="99">
        <f>VLOOKUP(V673,ターン数別攻撃係数!$A$1:$B$1000,2,FALSE)</f>
        <v>1</v>
      </c>
      <c r="X673" s="9">
        <f ca="1">VLOOKUP(C673,サイズ別係数!A$2:B$9,2,FALSE)</f>
        <v>30</v>
      </c>
      <c r="Y673" s="97">
        <f ca="1">VLOOKUP($X673,サイズ別係数!$B:$E,2,FALSE)</f>
        <v>1.3</v>
      </c>
      <c r="Z673" s="97">
        <f ca="1">VLOOKUP($X673,サイズ別係数!$B:$E,3,FALSE)</f>
        <v>1.3</v>
      </c>
      <c r="AA673" s="97">
        <f ca="1">VLOOKUP($X673,サイズ別係数!$B:$E,4,FALSE)</f>
        <v>1.1000000000000001</v>
      </c>
      <c r="AB673" s="10">
        <v>0</v>
      </c>
      <c r="AC673" s="6" t="str">
        <f ca="1">VLOOKUP($AB673,OFFSET([3]enemy_skill_sets!$B$2,0,0,COUNTA([3]enemy_skill_sets!$A:$A),MATCH(AC$1,[3]enemy_skill_sets!$1:$1,0)-MATCH($AB$1,[3]enemy_skill_sets!$1:$1,0)+1),MATCH(AC$1,[3]enemy_skill_sets!$1:$1,0)-MATCH($AB$1,[3]enemy_skill_sets!$1:$1,0)+1,FALSE)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3" s="67">
        <v>1</v>
      </c>
      <c r="AE673" s="67">
        <v>1</v>
      </c>
      <c r="AF673" s="68">
        <v>0</v>
      </c>
      <c r="AG673" s="99">
        <f ca="1">ROUND(VLOOKUP(1,enemy_base_stats!$A:$F,2,FALSE) * Y673* J673*O673*E673*S673*AD673*[2]ステータス!$B$2,0)</f>
        <v>3315</v>
      </c>
      <c r="AH673" s="99">
        <f ca="1">ROUND(VLOOKUP(1,enemy_base_stats!$A:$F,3,FALSE) * Z673*K673*P673*F673*T673*AE673 * W673*[2]ステータス!$C$2,0)</f>
        <v>363</v>
      </c>
      <c r="AI673" s="99">
        <f ca="1">ROUND(VLOOKUP(1,enemy_base_stats!$A:$F,4,FALSE) * AA673*L673*Q673*G673*U673*AF673*[2]ステータス!$D$2,0)</f>
        <v>0</v>
      </c>
      <c r="AJ673" s="99">
        <f ca="1">ROUND(VLOOKUP(100,enemy_base_stats!$A:$F,2,FALSE) * Y673* J673*O673*E673*S673*AD673*[2]ステータス!$B$2,0)</f>
        <v>134589</v>
      </c>
      <c r="AK673" s="99">
        <f ca="1">ROUND(VLOOKUP(100,enemy_base_stats!$A:$F,3,FALSE)* Z673* K673*P673*F673*T673*AE673 * W673*[2]ステータス!$C$2,0)</f>
        <v>14756</v>
      </c>
      <c r="AL673" s="99">
        <f ca="1">ROUND(VLOOKUP(100,enemy_base_stats!$A:$F,4,FALSE)* AA673* L673*Q673*G673*U673*AF673*[2]ステータス!$D$2,0)</f>
        <v>0</v>
      </c>
      <c r="AM673" s="97">
        <f ca="1">VLOOKUP(M673,[2]character_tribe_i18n!$A:$I,9,FALSE)</f>
        <v>480</v>
      </c>
      <c r="AN673" s="97">
        <v>0</v>
      </c>
      <c r="AO673" s="98">
        <v>0</v>
      </c>
      <c r="AP673" s="58" t="s">
        <v>72</v>
      </c>
      <c r="AQ673" s="34">
        <f t="shared" ca="1" si="40"/>
        <v>672</v>
      </c>
    </row>
    <row r="674" spans="1:43" ht="21" customHeight="1" x14ac:dyDescent="0.15">
      <c r="A674" s="7">
        <f t="shared" ca="1" si="41"/>
        <v>673</v>
      </c>
      <c r="B674" s="6" t="str">
        <f ca="1">VLOOKUP(A674,[2]characters!$A:$C,3,FALSE)</f>
        <v>変幻自在の猿王 ハヌマーン</v>
      </c>
      <c r="C674" s="9">
        <f ca="1">VLOOKUP(A674,[2]characters!$A:$I,9,FALSE)</f>
        <v>5</v>
      </c>
      <c r="D674" s="9" t="str">
        <f ca="1">VLOOKUP(A674,[2]characters!$A:$H,8,FALSE)</f>
        <v>green</v>
      </c>
      <c r="E674" s="97">
        <f ca="1">VLOOKUP(D674,[2]属性!$A:$E,2,FALSE)</f>
        <v>1.02</v>
      </c>
      <c r="F674" s="97">
        <f ca="1">VLOOKUP(D674,[2]属性!$A:$E,3,FALSE)</f>
        <v>0.98</v>
      </c>
      <c r="G674" s="97">
        <f ca="1">VLOOKUP(D674,[2]属性!$A:$F,4,FALSE)</f>
        <v>1</v>
      </c>
      <c r="H674" s="9" t="str">
        <f ca="1">VLOOKUP(A674,[2]characters!$A:$K,11,FALSE)</f>
        <v>attack</v>
      </c>
      <c r="I674" s="6" t="str">
        <f ca="1">VLOOKUP(H674,[2]character_type_i18n!$A:$F,3,FALSE)</f>
        <v>攻撃タイプ</v>
      </c>
      <c r="J674" s="97">
        <f ca="1">VLOOKUP(H674,[2]character_type_i18n!$A:$F,4,FALSE)</f>
        <v>1</v>
      </c>
      <c r="K674" s="97">
        <f ca="1">VLOOKUP(H674,[2]character_type_i18n!$A:$F,5,FALSE)</f>
        <v>1.33</v>
      </c>
      <c r="L674" s="97">
        <f ca="1">VLOOKUP(H674,[2]character_type_i18n!$A:$F,6,FALSE)</f>
        <v>1</v>
      </c>
      <c r="M674" s="9" t="str">
        <f ca="1">VLOOKUP(A674,[2]characters!$A:$M,13,FALSE)</f>
        <v>animal</v>
      </c>
      <c r="N674" s="6" t="str">
        <f ca="1">VLOOKUP(M674,[2]character_tribe_i18n!$A:$F,3,FALSE)</f>
        <v>アニマル</v>
      </c>
      <c r="O674" s="97">
        <f ca="1">VLOOKUP(M674,[2]character_tribe_i18n!$A:$F,4,FALSE)</f>
        <v>1</v>
      </c>
      <c r="P674" s="97">
        <f ca="1">VLOOKUP(M674,[2]character_tribe_i18n!$A:$F,5,FALSE)</f>
        <v>1.1000000000000001</v>
      </c>
      <c r="Q674" s="97">
        <f ca="1">VLOOKUP(M674,[2]character_tribe_i18n!$A:$F,6,FALSE)</f>
        <v>1</v>
      </c>
      <c r="R674" s="98" t="s">
        <v>98</v>
      </c>
      <c r="S674" s="97">
        <f>VLOOKUP($R674,ラベル別係数!$A$1:$E$7,3,FALSE)</f>
        <v>5</v>
      </c>
      <c r="T674" s="97">
        <f>VLOOKUP($R674,ラベル別係数!$A$1:$E$7,4,FALSE)</f>
        <v>1.3</v>
      </c>
      <c r="U674" s="97">
        <f>VLOOKUP($R674,ラベル別係数!$A$1:$E$7,5,FALSE)</f>
        <v>0.8</v>
      </c>
      <c r="V674" s="98">
        <v>3</v>
      </c>
      <c r="W674" s="99">
        <f>VLOOKUP(V674,ターン数別攻撃係数!$A$1:$B$1000,2,FALSE)</f>
        <v>1</v>
      </c>
      <c r="X674" s="9">
        <f ca="1">VLOOKUP(C674,サイズ別係数!A$2:B$9,2,FALSE)</f>
        <v>60</v>
      </c>
      <c r="Y674" s="97">
        <f ca="1">VLOOKUP($X674,サイズ別係数!$B:$E,2,FALSE)</f>
        <v>1.7</v>
      </c>
      <c r="Z674" s="97">
        <f ca="1">VLOOKUP($X674,サイズ別係数!$B:$E,3,FALSE)</f>
        <v>1.4</v>
      </c>
      <c r="AA674" s="97">
        <f ca="1">VLOOKUP($X674,サイズ別係数!$B:$E,4,FALSE)</f>
        <v>1</v>
      </c>
      <c r="AB674" s="10">
        <v>0</v>
      </c>
      <c r="AC674" s="6" t="str">
        <f ca="1">VLOOKUP($AB674,OFFSET([3]enemy_skill_sets!$B$2,0,0,COUNTA([3]enemy_skill_sets!$A:$A),MATCH(AC$1,[3]enemy_skill_sets!$1:$1,0)-MATCH($AB$1,[3]enemy_skill_sets!$1:$1,0)+1),MATCH(AC$1,[3]enemy_skill_sets!$1:$1,0)-MATCH($AB$1,[3]enemy_skill_sets!$1:$1,0)+1,FALSE)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4" s="67">
        <v>1</v>
      </c>
      <c r="AE674" s="67">
        <v>1</v>
      </c>
      <c r="AF674" s="68">
        <v>0</v>
      </c>
      <c r="AG674" s="99">
        <f ca="1">ROUND(VLOOKUP(1,enemy_base_stats!$A:$F,2,FALSE) * Y674* J674*O674*E674*S674*AD674*[2]ステータス!$B$2,0)</f>
        <v>4335</v>
      </c>
      <c r="AH674" s="99">
        <f ca="1">ROUND(VLOOKUP(1,enemy_base_stats!$A:$F,3,FALSE) * Z674*K674*P674*F674*T674*AE674 * W674*[2]ステータス!$C$2,0)</f>
        <v>391</v>
      </c>
      <c r="AI674" s="99">
        <f ca="1">ROUND(VLOOKUP(1,enemy_base_stats!$A:$F,4,FALSE) * AA674*L674*Q674*G674*U674*AF674*[2]ステータス!$D$2,0)</f>
        <v>0</v>
      </c>
      <c r="AJ674" s="99">
        <f ca="1">ROUND(VLOOKUP(100,enemy_base_stats!$A:$F,2,FALSE) * Y674* J674*O674*E674*S674*AD674*[2]ステータス!$B$2,0)</f>
        <v>176001</v>
      </c>
      <c r="AK674" s="99">
        <f ca="1">ROUND(VLOOKUP(100,enemy_base_stats!$A:$F,3,FALSE)* Z674* K674*P674*F674*T674*AE674 * W674*[2]ステータス!$C$2,0)</f>
        <v>15891</v>
      </c>
      <c r="AL674" s="99">
        <f ca="1">ROUND(VLOOKUP(100,enemy_base_stats!$A:$F,4,FALSE)* AA674* L674*Q674*G674*U674*AF674*[2]ステータス!$D$2,0)</f>
        <v>0</v>
      </c>
      <c r="AM674" s="97">
        <f ca="1">VLOOKUP(M674,[2]character_tribe_i18n!$A:$I,9,FALSE)</f>
        <v>480</v>
      </c>
      <c r="AN674" s="97">
        <v>0</v>
      </c>
      <c r="AO674" s="98">
        <v>0</v>
      </c>
      <c r="AP674" s="58" t="s">
        <v>72</v>
      </c>
      <c r="AQ674" s="34">
        <f t="shared" ca="1" si="40"/>
        <v>673</v>
      </c>
    </row>
    <row r="675" spans="1:43" ht="21" customHeight="1" x14ac:dyDescent="0.15">
      <c r="A675" s="7">
        <f t="shared" ca="1" si="41"/>
        <v>674</v>
      </c>
      <c r="B675" s="6" t="str">
        <f ca="1">VLOOKUP(A675,[2]characters!$A:$C,3,FALSE)</f>
        <v>サラスヴァティ</v>
      </c>
      <c r="C675" s="9">
        <f ca="1">VLOOKUP(A675,[2]characters!$A:$I,9,FALSE)</f>
        <v>4</v>
      </c>
      <c r="D675" s="9" t="str">
        <f ca="1">VLOOKUP(A675,[2]characters!$A:$H,8,FALSE)</f>
        <v>blue</v>
      </c>
      <c r="E675" s="97">
        <f ca="1">VLOOKUP(D675,[2]属性!$A:$E,2,FALSE)</f>
        <v>1</v>
      </c>
      <c r="F675" s="97">
        <f ca="1">VLOOKUP(D675,[2]属性!$A:$E,3,FALSE)</f>
        <v>0.98</v>
      </c>
      <c r="G675" s="97">
        <f ca="1">VLOOKUP(D675,[2]属性!$A:$F,4,FALSE)</f>
        <v>1</v>
      </c>
      <c r="H675" s="9" t="str">
        <f ca="1">VLOOKUP(A675,[2]characters!$A:$K,11,FALSE)</f>
        <v>balance</v>
      </c>
      <c r="I675" s="6" t="str">
        <f ca="1">VLOOKUP(H675,[2]character_type_i18n!$A:$F,3,FALSE)</f>
        <v>バランスタイプ</v>
      </c>
      <c r="J675" s="97">
        <f ca="1">VLOOKUP(H675,[2]character_type_i18n!$A:$F,4,FALSE)</f>
        <v>1</v>
      </c>
      <c r="K675" s="97">
        <f ca="1">VLOOKUP(H675,[2]character_type_i18n!$A:$F,5,FALSE)</f>
        <v>1</v>
      </c>
      <c r="L675" s="97">
        <f ca="1">VLOOKUP(H675,[2]character_type_i18n!$A:$F,6,FALSE)</f>
        <v>1</v>
      </c>
      <c r="M675" s="9" t="str">
        <f ca="1">VLOOKUP(A675,[2]characters!$A:$M,13,FALSE)</f>
        <v>god</v>
      </c>
      <c r="N675" s="6" t="str">
        <f ca="1">VLOOKUP(M675,[2]character_tribe_i18n!$A:$F,3,FALSE)</f>
        <v>ゴッド</v>
      </c>
      <c r="O675" s="97">
        <f ca="1">VLOOKUP(M675,[2]character_tribe_i18n!$A:$F,4,FALSE)</f>
        <v>0.96</v>
      </c>
      <c r="P675" s="97">
        <f ca="1">VLOOKUP(M675,[2]character_tribe_i18n!$A:$F,5,FALSE)</f>
        <v>1.02</v>
      </c>
      <c r="Q675" s="97">
        <f ca="1">VLOOKUP(M675,[2]character_tribe_i18n!$A:$F,6,FALSE)</f>
        <v>1</v>
      </c>
      <c r="R675" s="98" t="s">
        <v>98</v>
      </c>
      <c r="S675" s="97">
        <f>VLOOKUP($R675,ラベル別係数!$A$1:$E$7,3,FALSE)</f>
        <v>5</v>
      </c>
      <c r="T675" s="97">
        <f>VLOOKUP($R675,ラベル別係数!$A$1:$E$7,4,FALSE)</f>
        <v>1.3</v>
      </c>
      <c r="U675" s="97">
        <f>VLOOKUP($R675,ラベル別係数!$A$1:$E$7,5,FALSE)</f>
        <v>0.8</v>
      </c>
      <c r="V675" s="98">
        <v>3</v>
      </c>
      <c r="W675" s="99">
        <f>VLOOKUP(V675,ターン数別攻撃係数!$A$1:$B$1000,2,FALSE)</f>
        <v>1</v>
      </c>
      <c r="X675" s="9">
        <f ca="1">VLOOKUP(C675,サイズ別係数!A$2:B$9,2,FALSE)</f>
        <v>30</v>
      </c>
      <c r="Y675" s="97">
        <f ca="1">VLOOKUP($X675,サイズ別係数!$B:$E,2,FALSE)</f>
        <v>1.3</v>
      </c>
      <c r="Z675" s="97">
        <f ca="1">VLOOKUP($X675,サイズ別係数!$B:$E,3,FALSE)</f>
        <v>1.3</v>
      </c>
      <c r="AA675" s="97">
        <f ca="1">VLOOKUP($X675,サイズ別係数!$B:$E,4,FALSE)</f>
        <v>1.1000000000000001</v>
      </c>
      <c r="AB675" s="10">
        <v>0</v>
      </c>
      <c r="AC675" s="6" t="str">
        <f ca="1">VLOOKUP($AB675,OFFSET([3]enemy_skill_sets!$B$2,0,0,COUNTA([3]enemy_skill_sets!$A:$A),MATCH(AC$1,[3]enemy_skill_sets!$1:$1,0)-MATCH($AB$1,[3]enemy_skill_sets!$1:$1,0)+1),MATCH(AC$1,[3]enemy_skill_sets!$1:$1,0)-MATCH($AB$1,[3]enemy_skill_sets!$1:$1,0)+1,FALSE)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5" s="67">
        <v>1</v>
      </c>
      <c r="AE675" s="67">
        <v>1</v>
      </c>
      <c r="AF675" s="68">
        <v>0</v>
      </c>
      <c r="AG675" s="99">
        <f ca="1">ROUND(VLOOKUP(1,enemy_base_stats!$A:$F,2,FALSE) * Y675* J675*O675*E675*S675*AD675*[2]ステータス!$B$2,0)</f>
        <v>3120</v>
      </c>
      <c r="AH675" s="99">
        <f ca="1">ROUND(VLOOKUP(1,enemy_base_stats!$A:$F,3,FALSE) * Z675*K675*P675*F675*T675*AE675 * W675*[2]ステータス!$C$2,0)</f>
        <v>253</v>
      </c>
      <c r="AI675" s="99">
        <f ca="1">ROUND(VLOOKUP(1,enemy_base_stats!$A:$F,4,FALSE) * AA675*L675*Q675*G675*U675*AF675*[2]ステータス!$D$2,0)</f>
        <v>0</v>
      </c>
      <c r="AJ675" s="99">
        <f ca="1">ROUND(VLOOKUP(100,enemy_base_stats!$A:$F,2,FALSE) * Y675* J675*O675*E675*S675*AD675*[2]ステータス!$B$2,0)</f>
        <v>126672</v>
      </c>
      <c r="AK675" s="99">
        <f ca="1">ROUND(VLOOKUP(100,enemy_base_stats!$A:$F,3,FALSE)* Z675* K675*P675*F675*T675*AE675 * W675*[2]ステータス!$C$2,0)</f>
        <v>10288</v>
      </c>
      <c r="AL675" s="99">
        <f ca="1">ROUND(VLOOKUP(100,enemy_base_stats!$A:$F,4,FALSE)* AA675* L675*Q675*G675*U675*AF675*[2]ステータス!$D$2,0)</f>
        <v>0</v>
      </c>
      <c r="AM675" s="97">
        <f ca="1">VLOOKUP(M675,[2]character_tribe_i18n!$A:$I,9,FALSE)</f>
        <v>680</v>
      </c>
      <c r="AN675" s="97">
        <v>0</v>
      </c>
      <c r="AO675" s="98">
        <v>0</v>
      </c>
      <c r="AP675" s="58" t="s">
        <v>72</v>
      </c>
      <c r="AQ675" s="34">
        <f t="shared" ca="1" si="40"/>
        <v>674</v>
      </c>
    </row>
    <row r="676" spans="1:43" ht="21" customHeight="1" x14ac:dyDescent="0.15">
      <c r="A676" s="7">
        <f t="shared" ca="1" si="41"/>
        <v>675</v>
      </c>
      <c r="B676" s="6" t="str">
        <f ca="1">VLOOKUP(A676,[2]characters!$A:$C,3,FALSE)</f>
        <v>芸楽の奔流 サラスヴァティ</v>
      </c>
      <c r="C676" s="9">
        <f ca="1">VLOOKUP(A676,[2]characters!$A:$I,9,FALSE)</f>
        <v>5</v>
      </c>
      <c r="D676" s="9" t="str">
        <f ca="1">VLOOKUP(A676,[2]characters!$A:$H,8,FALSE)</f>
        <v>blue</v>
      </c>
      <c r="E676" s="97">
        <f ca="1">VLOOKUP(D676,[2]属性!$A:$E,2,FALSE)</f>
        <v>1</v>
      </c>
      <c r="F676" s="97">
        <f ca="1">VLOOKUP(D676,[2]属性!$A:$E,3,FALSE)</f>
        <v>0.98</v>
      </c>
      <c r="G676" s="97">
        <f ca="1">VLOOKUP(D676,[2]属性!$A:$F,4,FALSE)</f>
        <v>1</v>
      </c>
      <c r="H676" s="9" t="str">
        <f ca="1">VLOOKUP(A676,[2]characters!$A:$K,11,FALSE)</f>
        <v>balance</v>
      </c>
      <c r="I676" s="6" t="str">
        <f ca="1">VLOOKUP(H676,[2]character_type_i18n!$A:$F,3,FALSE)</f>
        <v>バランスタイプ</v>
      </c>
      <c r="J676" s="97">
        <f ca="1">VLOOKUP(H676,[2]character_type_i18n!$A:$F,4,FALSE)</f>
        <v>1</v>
      </c>
      <c r="K676" s="97">
        <f ca="1">VLOOKUP(H676,[2]character_type_i18n!$A:$F,5,FALSE)</f>
        <v>1</v>
      </c>
      <c r="L676" s="97">
        <f ca="1">VLOOKUP(H676,[2]character_type_i18n!$A:$F,6,FALSE)</f>
        <v>1</v>
      </c>
      <c r="M676" s="9" t="str">
        <f ca="1">VLOOKUP(A676,[2]characters!$A:$M,13,FALSE)</f>
        <v>god</v>
      </c>
      <c r="N676" s="6" t="str">
        <f ca="1">VLOOKUP(M676,[2]character_tribe_i18n!$A:$F,3,FALSE)</f>
        <v>ゴッド</v>
      </c>
      <c r="O676" s="97">
        <f ca="1">VLOOKUP(M676,[2]character_tribe_i18n!$A:$F,4,FALSE)</f>
        <v>0.96</v>
      </c>
      <c r="P676" s="97">
        <f ca="1">VLOOKUP(M676,[2]character_tribe_i18n!$A:$F,5,FALSE)</f>
        <v>1.02</v>
      </c>
      <c r="Q676" s="97">
        <f ca="1">VLOOKUP(M676,[2]character_tribe_i18n!$A:$F,6,FALSE)</f>
        <v>1</v>
      </c>
      <c r="R676" s="98" t="s">
        <v>98</v>
      </c>
      <c r="S676" s="97">
        <f>VLOOKUP($R676,ラベル別係数!$A$1:$E$7,3,FALSE)</f>
        <v>5</v>
      </c>
      <c r="T676" s="97">
        <f>VLOOKUP($R676,ラベル別係数!$A$1:$E$7,4,FALSE)</f>
        <v>1.3</v>
      </c>
      <c r="U676" s="97">
        <f>VLOOKUP($R676,ラベル別係数!$A$1:$E$7,5,FALSE)</f>
        <v>0.8</v>
      </c>
      <c r="V676" s="98">
        <v>3</v>
      </c>
      <c r="W676" s="99">
        <f>VLOOKUP(V676,ターン数別攻撃係数!$A$1:$B$1000,2,FALSE)</f>
        <v>1</v>
      </c>
      <c r="X676" s="9">
        <f ca="1">VLOOKUP(C676,サイズ別係数!A$2:B$9,2,FALSE)</f>
        <v>60</v>
      </c>
      <c r="Y676" s="97">
        <f ca="1">VLOOKUP($X676,サイズ別係数!$B:$E,2,FALSE)</f>
        <v>1.7</v>
      </c>
      <c r="Z676" s="97">
        <f ca="1">VLOOKUP($X676,サイズ別係数!$B:$E,3,FALSE)</f>
        <v>1.4</v>
      </c>
      <c r="AA676" s="97">
        <f ca="1">VLOOKUP($X676,サイズ別係数!$B:$E,4,FALSE)</f>
        <v>1</v>
      </c>
      <c r="AB676" s="10">
        <v>0</v>
      </c>
      <c r="AC676" s="6" t="str">
        <f ca="1">VLOOKUP($AB676,OFFSET([3]enemy_skill_sets!$B$2,0,0,COUNTA([3]enemy_skill_sets!$A:$A),MATCH(AC$1,[3]enemy_skill_sets!$1:$1,0)-MATCH($AB$1,[3]enemy_skill_sets!$1:$1,0)+1),MATCH(AC$1,[3]enemy_skill_sets!$1:$1,0)-MATCH($AB$1,[3]enemy_skill_sets!$1:$1,0)+1,FALSE)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6" s="67">
        <v>1</v>
      </c>
      <c r="AE676" s="67">
        <v>1</v>
      </c>
      <c r="AF676" s="68">
        <v>0</v>
      </c>
      <c r="AG676" s="99">
        <f ca="1">ROUND(VLOOKUP(1,enemy_base_stats!$A:$F,2,FALSE) * Y676* J676*O676*E676*S676*AD676*[2]ステータス!$B$2,0)</f>
        <v>4080</v>
      </c>
      <c r="AH676" s="99">
        <f ca="1">ROUND(VLOOKUP(1,enemy_base_stats!$A:$F,3,FALSE) * Z676*K676*P676*F676*T676*AE676 * W676*[2]ステータス!$C$2,0)</f>
        <v>273</v>
      </c>
      <c r="AI676" s="99">
        <f ca="1">ROUND(VLOOKUP(1,enemy_base_stats!$A:$F,4,FALSE) * AA676*L676*Q676*G676*U676*AF676*[2]ステータス!$D$2,0)</f>
        <v>0</v>
      </c>
      <c r="AJ676" s="99">
        <f ca="1">ROUND(VLOOKUP(100,enemy_base_stats!$A:$F,2,FALSE) * Y676* J676*O676*E676*S676*AD676*[2]ステータス!$B$2,0)</f>
        <v>165648</v>
      </c>
      <c r="AK676" s="99">
        <f ca="1">ROUND(VLOOKUP(100,enemy_base_stats!$A:$F,3,FALSE)* Z676* K676*P676*F676*T676*AE676 * W676*[2]ステータス!$C$2,0)</f>
        <v>11079</v>
      </c>
      <c r="AL676" s="99">
        <f ca="1">ROUND(VLOOKUP(100,enemy_base_stats!$A:$F,4,FALSE)* AA676* L676*Q676*G676*U676*AF676*[2]ステータス!$D$2,0)</f>
        <v>0</v>
      </c>
      <c r="AM676" s="97">
        <f ca="1">VLOOKUP(M676,[2]character_tribe_i18n!$A:$I,9,FALSE)</f>
        <v>680</v>
      </c>
      <c r="AN676" s="97">
        <v>0</v>
      </c>
      <c r="AO676" s="98">
        <v>0</v>
      </c>
      <c r="AP676" s="58" t="s">
        <v>72</v>
      </c>
      <c r="AQ676" s="34">
        <f t="shared" ca="1" si="40"/>
        <v>675</v>
      </c>
    </row>
    <row r="677" spans="1:43" ht="21" customHeight="1" x14ac:dyDescent="0.15">
      <c r="A677" s="7">
        <f t="shared" ca="1" si="41"/>
        <v>676</v>
      </c>
      <c r="B677" s="6" t="str">
        <f ca="1">VLOOKUP(A677,[2]characters!$A:$C,3,FALSE)</f>
        <v>ヴィシュヌ</v>
      </c>
      <c r="C677" s="9">
        <f ca="1">VLOOKUP(A677,[2]characters!$A:$I,9,FALSE)</f>
        <v>4</v>
      </c>
      <c r="D677" s="9" t="str">
        <f ca="1">VLOOKUP(A677,[2]characters!$A:$H,8,FALSE)</f>
        <v>yellow</v>
      </c>
      <c r="E677" s="97">
        <f ca="1">VLOOKUP(D677,[2]属性!$A:$E,2,FALSE)</f>
        <v>0.98</v>
      </c>
      <c r="F677" s="97">
        <f ca="1">VLOOKUP(D677,[2]属性!$A:$E,3,FALSE)</f>
        <v>1.01</v>
      </c>
      <c r="G677" s="97">
        <f ca="1">VLOOKUP(D677,[2]属性!$A:$F,4,FALSE)</f>
        <v>1</v>
      </c>
      <c r="H677" s="9" t="str">
        <f ca="1">VLOOKUP(A677,[2]characters!$A:$K,11,FALSE)</f>
        <v>attack</v>
      </c>
      <c r="I677" s="6" t="str">
        <f ca="1">VLOOKUP(H677,[2]character_type_i18n!$A:$F,3,FALSE)</f>
        <v>攻撃タイプ</v>
      </c>
      <c r="J677" s="97">
        <f ca="1">VLOOKUP(H677,[2]character_type_i18n!$A:$F,4,FALSE)</f>
        <v>1</v>
      </c>
      <c r="K677" s="97">
        <f ca="1">VLOOKUP(H677,[2]character_type_i18n!$A:$F,5,FALSE)</f>
        <v>1.33</v>
      </c>
      <c r="L677" s="97">
        <f ca="1">VLOOKUP(H677,[2]character_type_i18n!$A:$F,6,FALSE)</f>
        <v>1</v>
      </c>
      <c r="M677" s="9" t="str">
        <f ca="1">VLOOKUP(A677,[2]characters!$A:$M,13,FALSE)</f>
        <v>god</v>
      </c>
      <c r="N677" s="6" t="str">
        <f ca="1">VLOOKUP(M677,[2]character_tribe_i18n!$A:$F,3,FALSE)</f>
        <v>ゴッド</v>
      </c>
      <c r="O677" s="97">
        <f ca="1">VLOOKUP(M677,[2]character_tribe_i18n!$A:$F,4,FALSE)</f>
        <v>0.96</v>
      </c>
      <c r="P677" s="97">
        <f ca="1">VLOOKUP(M677,[2]character_tribe_i18n!$A:$F,5,FALSE)</f>
        <v>1.02</v>
      </c>
      <c r="Q677" s="97">
        <f ca="1">VLOOKUP(M677,[2]character_tribe_i18n!$A:$F,6,FALSE)</f>
        <v>1</v>
      </c>
      <c r="R677" s="98" t="s">
        <v>98</v>
      </c>
      <c r="S677" s="97">
        <f>VLOOKUP($R677,ラベル別係数!$A$1:$E$7,3,FALSE)</f>
        <v>5</v>
      </c>
      <c r="T677" s="97">
        <f>VLOOKUP($R677,ラベル別係数!$A$1:$E$7,4,FALSE)</f>
        <v>1.3</v>
      </c>
      <c r="U677" s="97">
        <f>VLOOKUP($R677,ラベル別係数!$A$1:$E$7,5,FALSE)</f>
        <v>0.8</v>
      </c>
      <c r="V677" s="98">
        <v>3</v>
      </c>
      <c r="W677" s="99">
        <f>VLOOKUP(V677,ターン数別攻撃係数!$A$1:$B$1000,2,FALSE)</f>
        <v>1</v>
      </c>
      <c r="X677" s="9">
        <f ca="1">VLOOKUP(C677,サイズ別係数!A$2:B$9,2,FALSE)</f>
        <v>30</v>
      </c>
      <c r="Y677" s="97">
        <f ca="1">VLOOKUP($X677,サイズ別係数!$B:$E,2,FALSE)</f>
        <v>1.3</v>
      </c>
      <c r="Z677" s="97">
        <f ca="1">VLOOKUP($X677,サイズ別係数!$B:$E,3,FALSE)</f>
        <v>1.3</v>
      </c>
      <c r="AA677" s="97">
        <f ca="1">VLOOKUP($X677,サイズ別係数!$B:$E,4,FALSE)</f>
        <v>1.1000000000000001</v>
      </c>
      <c r="AB677" s="10">
        <v>0</v>
      </c>
      <c r="AC677" s="6" t="str">
        <f ca="1">VLOOKUP($AB677,OFFSET([3]enemy_skill_sets!$B$2,0,0,COUNTA([3]enemy_skill_sets!$A:$A),MATCH(AC$1,[3]enemy_skill_sets!$1:$1,0)-MATCH($AB$1,[3]enemy_skill_sets!$1:$1,0)+1),MATCH(AC$1,[3]enemy_skill_sets!$1:$1,0)-MATCH($AB$1,[3]enemy_skill_sets!$1:$1,0)+1,FALSE)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7" s="67">
        <v>1</v>
      </c>
      <c r="AE677" s="67">
        <v>1</v>
      </c>
      <c r="AF677" s="68">
        <v>0</v>
      </c>
      <c r="AG677" s="99">
        <f ca="1">ROUND(VLOOKUP(1,enemy_base_stats!$A:$F,2,FALSE) * Y677* J677*O677*E677*S677*AD677*[2]ステータス!$B$2,0)</f>
        <v>3058</v>
      </c>
      <c r="AH677" s="99">
        <f ca="1">ROUND(VLOOKUP(1,enemy_base_stats!$A:$F,3,FALSE) * Z677*K677*P677*F677*T677*AE677 * W677*[2]ステータス!$C$2,0)</f>
        <v>347</v>
      </c>
      <c r="AI677" s="99">
        <f ca="1">ROUND(VLOOKUP(1,enemy_base_stats!$A:$F,4,FALSE) * AA677*L677*Q677*G677*U677*AF677*[2]ステータス!$D$2,0)</f>
        <v>0</v>
      </c>
      <c r="AJ677" s="99">
        <f ca="1">ROUND(VLOOKUP(100,enemy_base_stats!$A:$F,2,FALSE) * Y677* J677*O677*E677*S677*AD677*[2]ステータス!$B$2,0)</f>
        <v>124139</v>
      </c>
      <c r="AK677" s="99">
        <f ca="1">ROUND(VLOOKUP(100,enemy_base_stats!$A:$F,3,FALSE)* Z677* K677*P677*F677*T677*AE677 * W677*[2]ステータス!$C$2,0)</f>
        <v>14102</v>
      </c>
      <c r="AL677" s="99">
        <f ca="1">ROUND(VLOOKUP(100,enemy_base_stats!$A:$F,4,FALSE)* AA677* L677*Q677*G677*U677*AF677*[2]ステータス!$D$2,0)</f>
        <v>0</v>
      </c>
      <c r="AM677" s="97">
        <f ca="1">VLOOKUP(M677,[2]character_tribe_i18n!$A:$I,9,FALSE)</f>
        <v>680</v>
      </c>
      <c r="AN677" s="97">
        <v>0</v>
      </c>
      <c r="AO677" s="98">
        <v>0</v>
      </c>
      <c r="AP677" s="58" t="s">
        <v>72</v>
      </c>
      <c r="AQ677" s="34">
        <f t="shared" ca="1" si="40"/>
        <v>676</v>
      </c>
    </row>
    <row r="678" spans="1:43" ht="21" customHeight="1" x14ac:dyDescent="0.15">
      <c r="A678" s="7">
        <f t="shared" ca="1" si="41"/>
        <v>677</v>
      </c>
      <c r="B678" s="6" t="str">
        <f ca="1">VLOOKUP(A678,[2]characters!$A:$C,3,FALSE)</f>
        <v>武遊闊歩 ヴィシュヌ</v>
      </c>
      <c r="C678" s="9">
        <f ca="1">VLOOKUP(A678,[2]characters!$A:$I,9,FALSE)</f>
        <v>5</v>
      </c>
      <c r="D678" s="9" t="str">
        <f ca="1">VLOOKUP(A678,[2]characters!$A:$H,8,FALSE)</f>
        <v>yellow</v>
      </c>
      <c r="E678" s="97">
        <f ca="1">VLOOKUP(D678,[2]属性!$A:$E,2,FALSE)</f>
        <v>0.98</v>
      </c>
      <c r="F678" s="97">
        <f ca="1">VLOOKUP(D678,[2]属性!$A:$E,3,FALSE)</f>
        <v>1.01</v>
      </c>
      <c r="G678" s="97">
        <f ca="1">VLOOKUP(D678,[2]属性!$A:$F,4,FALSE)</f>
        <v>1</v>
      </c>
      <c r="H678" s="9" t="str">
        <f ca="1">VLOOKUP(A678,[2]characters!$A:$K,11,FALSE)</f>
        <v>attack</v>
      </c>
      <c r="I678" s="6" t="str">
        <f ca="1">VLOOKUP(H678,[2]character_type_i18n!$A:$F,3,FALSE)</f>
        <v>攻撃タイプ</v>
      </c>
      <c r="J678" s="97">
        <f ca="1">VLOOKUP(H678,[2]character_type_i18n!$A:$F,4,FALSE)</f>
        <v>1</v>
      </c>
      <c r="K678" s="97">
        <f ca="1">VLOOKUP(H678,[2]character_type_i18n!$A:$F,5,FALSE)</f>
        <v>1.33</v>
      </c>
      <c r="L678" s="97">
        <f ca="1">VLOOKUP(H678,[2]character_type_i18n!$A:$F,6,FALSE)</f>
        <v>1</v>
      </c>
      <c r="M678" s="9" t="str">
        <f ca="1">VLOOKUP(A678,[2]characters!$A:$M,13,FALSE)</f>
        <v>god</v>
      </c>
      <c r="N678" s="6" t="str">
        <f ca="1">VLOOKUP(M678,[2]character_tribe_i18n!$A:$F,3,FALSE)</f>
        <v>ゴッド</v>
      </c>
      <c r="O678" s="97">
        <f ca="1">VLOOKUP(M678,[2]character_tribe_i18n!$A:$F,4,FALSE)</f>
        <v>0.96</v>
      </c>
      <c r="P678" s="97">
        <f ca="1">VLOOKUP(M678,[2]character_tribe_i18n!$A:$F,5,FALSE)</f>
        <v>1.02</v>
      </c>
      <c r="Q678" s="97">
        <f ca="1">VLOOKUP(M678,[2]character_tribe_i18n!$A:$F,6,FALSE)</f>
        <v>1</v>
      </c>
      <c r="R678" s="98" t="s">
        <v>98</v>
      </c>
      <c r="S678" s="97">
        <f>VLOOKUP($R678,ラベル別係数!$A$1:$E$7,3,FALSE)</f>
        <v>5</v>
      </c>
      <c r="T678" s="97">
        <f>VLOOKUP($R678,ラベル別係数!$A$1:$E$7,4,FALSE)</f>
        <v>1.3</v>
      </c>
      <c r="U678" s="97">
        <f>VLOOKUP($R678,ラベル別係数!$A$1:$E$7,5,FALSE)</f>
        <v>0.8</v>
      </c>
      <c r="V678" s="98">
        <v>3</v>
      </c>
      <c r="W678" s="99">
        <f>VLOOKUP(V678,ターン数別攻撃係数!$A$1:$B$1000,2,FALSE)</f>
        <v>1</v>
      </c>
      <c r="X678" s="9">
        <f ca="1">VLOOKUP(C678,サイズ別係数!A$2:B$9,2,FALSE)</f>
        <v>60</v>
      </c>
      <c r="Y678" s="97">
        <f ca="1">VLOOKUP($X678,サイズ別係数!$B:$E,2,FALSE)</f>
        <v>1.7</v>
      </c>
      <c r="Z678" s="97">
        <f ca="1">VLOOKUP($X678,サイズ別係数!$B:$E,3,FALSE)</f>
        <v>1.4</v>
      </c>
      <c r="AA678" s="97">
        <f ca="1">VLOOKUP($X678,サイズ別係数!$B:$E,4,FALSE)</f>
        <v>1</v>
      </c>
      <c r="AB678" s="10">
        <v>0</v>
      </c>
      <c r="AC678" s="6" t="str">
        <f ca="1">VLOOKUP($AB678,OFFSET([3]enemy_skill_sets!$B$2,0,0,COUNTA([3]enemy_skill_sets!$A:$A),MATCH(AC$1,[3]enemy_skill_sets!$1:$1,0)-MATCH($AB$1,[3]enemy_skill_sets!$1:$1,0)+1),MATCH(AC$1,[3]enemy_skill_sets!$1:$1,0)-MATCH($AB$1,[3]enemy_skill_sets!$1:$1,0)+1,FALSE)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8" s="67">
        <v>1</v>
      </c>
      <c r="AE678" s="67">
        <v>1</v>
      </c>
      <c r="AF678" s="68">
        <v>0</v>
      </c>
      <c r="AG678" s="99">
        <f ca="1">ROUND(VLOOKUP(1,enemy_base_stats!$A:$F,2,FALSE) * Y678* J678*O678*E678*S678*AD678*[2]ステータス!$B$2,0)</f>
        <v>3998</v>
      </c>
      <c r="AH678" s="99">
        <f ca="1">ROUND(VLOOKUP(1,enemy_base_stats!$A:$F,3,FALSE) * Z678*K678*P678*F678*T678*AE678 * W678*[2]ステータス!$C$2,0)</f>
        <v>374</v>
      </c>
      <c r="AI678" s="99">
        <f ca="1">ROUND(VLOOKUP(1,enemy_base_stats!$A:$F,4,FALSE) * AA678*L678*Q678*G678*U678*AF678*[2]ステータス!$D$2,0)</f>
        <v>0</v>
      </c>
      <c r="AJ678" s="99">
        <f ca="1">ROUND(VLOOKUP(100,enemy_base_stats!$A:$F,2,FALSE) * Y678* J678*O678*E678*S678*AD678*[2]ステータス!$B$2,0)</f>
        <v>162335</v>
      </c>
      <c r="AK678" s="99">
        <f ca="1">ROUND(VLOOKUP(100,enemy_base_stats!$A:$F,3,FALSE)* Z678* K678*P678*F678*T678*AE678 * W678*[2]ステータス!$C$2,0)</f>
        <v>15187</v>
      </c>
      <c r="AL678" s="99">
        <f ca="1">ROUND(VLOOKUP(100,enemy_base_stats!$A:$F,4,FALSE)* AA678* L678*Q678*G678*U678*AF678*[2]ステータス!$D$2,0)</f>
        <v>0</v>
      </c>
      <c r="AM678" s="97">
        <f ca="1">VLOOKUP(M678,[2]character_tribe_i18n!$A:$I,9,FALSE)</f>
        <v>680</v>
      </c>
      <c r="AN678" s="97">
        <v>0</v>
      </c>
      <c r="AO678" s="98">
        <v>0</v>
      </c>
      <c r="AP678" s="58" t="s">
        <v>72</v>
      </c>
      <c r="AQ678" s="34">
        <f t="shared" ca="1" si="40"/>
        <v>677</v>
      </c>
    </row>
    <row r="679" spans="1:43" ht="21" customHeight="1" x14ac:dyDescent="0.15">
      <c r="A679" s="7">
        <f t="shared" ca="1" si="41"/>
        <v>678</v>
      </c>
      <c r="B679" s="6" t="str">
        <f ca="1">VLOOKUP(A679,[2]characters!$A:$C,3,FALSE)</f>
        <v>レイヴン</v>
      </c>
      <c r="C679" s="9">
        <f ca="1">VLOOKUP(A679,[2]characters!$A:$I,9,FALSE)</f>
        <v>4</v>
      </c>
      <c r="D679" s="9" t="str">
        <f ca="1">VLOOKUP(A679,[2]characters!$A:$H,8,FALSE)</f>
        <v>green</v>
      </c>
      <c r="E679" s="97">
        <f ca="1">VLOOKUP(D679,[2]属性!$A:$E,2,FALSE)</f>
        <v>1.02</v>
      </c>
      <c r="F679" s="97">
        <f ca="1">VLOOKUP(D679,[2]属性!$A:$E,3,FALSE)</f>
        <v>0.98</v>
      </c>
      <c r="G679" s="97">
        <f ca="1">VLOOKUP(D679,[2]属性!$A:$F,4,FALSE)</f>
        <v>1</v>
      </c>
      <c r="H679" s="9" t="str">
        <f ca="1">VLOOKUP(A679,[2]characters!$A:$K,11,FALSE)</f>
        <v>attack</v>
      </c>
      <c r="I679" s="6" t="str">
        <f ca="1">VLOOKUP(H679,[2]character_type_i18n!$A:$F,3,FALSE)</f>
        <v>攻撃タイプ</v>
      </c>
      <c r="J679" s="97">
        <f ca="1">VLOOKUP(H679,[2]character_type_i18n!$A:$F,4,FALSE)</f>
        <v>1</v>
      </c>
      <c r="K679" s="97">
        <f ca="1">VLOOKUP(H679,[2]character_type_i18n!$A:$F,5,FALSE)</f>
        <v>1.33</v>
      </c>
      <c r="L679" s="97">
        <f ca="1">VLOOKUP(H679,[2]character_type_i18n!$A:$F,6,FALSE)</f>
        <v>1</v>
      </c>
      <c r="M679" s="9" t="str">
        <f ca="1">VLOOKUP(A679,[2]characters!$A:$M,13,FALSE)</f>
        <v>human</v>
      </c>
      <c r="N679" s="6" t="str">
        <f ca="1">VLOOKUP(M679,[2]character_tribe_i18n!$A:$F,3,FALSE)</f>
        <v>ヒューマン</v>
      </c>
      <c r="O679" s="97">
        <f ca="1">VLOOKUP(M679,[2]character_tribe_i18n!$A:$F,4,FALSE)</f>
        <v>0.94</v>
      </c>
      <c r="P679" s="97">
        <f ca="1">VLOOKUP(M679,[2]character_tribe_i18n!$A:$F,5,FALSE)</f>
        <v>0.99</v>
      </c>
      <c r="Q679" s="97">
        <f ca="1">VLOOKUP(M679,[2]character_tribe_i18n!$A:$F,6,FALSE)</f>
        <v>1</v>
      </c>
      <c r="R679" s="98" t="s">
        <v>98</v>
      </c>
      <c r="S679" s="97">
        <f>VLOOKUP($R679,ラベル別係数!$A$1:$E$7,3,FALSE)</f>
        <v>5</v>
      </c>
      <c r="T679" s="97">
        <f>VLOOKUP($R679,ラベル別係数!$A$1:$E$7,4,FALSE)</f>
        <v>1.3</v>
      </c>
      <c r="U679" s="97">
        <f>VLOOKUP($R679,ラベル別係数!$A$1:$E$7,5,FALSE)</f>
        <v>0.8</v>
      </c>
      <c r="V679" s="98">
        <v>3</v>
      </c>
      <c r="W679" s="99">
        <f>VLOOKUP(V679,ターン数別攻撃係数!$A$1:$B$1000,2,FALSE)</f>
        <v>1</v>
      </c>
      <c r="X679" s="9">
        <f ca="1">VLOOKUP(C679,サイズ別係数!A$2:B$9,2,FALSE)</f>
        <v>30</v>
      </c>
      <c r="Y679" s="97">
        <f ca="1">VLOOKUP($X679,サイズ別係数!$B:$E,2,FALSE)</f>
        <v>1.3</v>
      </c>
      <c r="Z679" s="97">
        <f ca="1">VLOOKUP($X679,サイズ別係数!$B:$E,3,FALSE)</f>
        <v>1.3</v>
      </c>
      <c r="AA679" s="97">
        <f ca="1">VLOOKUP($X679,サイズ別係数!$B:$E,4,FALSE)</f>
        <v>1.1000000000000001</v>
      </c>
      <c r="AB679" s="10">
        <v>0</v>
      </c>
      <c r="AC679" s="6" t="str">
        <f ca="1">VLOOKUP($AB679,OFFSET([3]enemy_skill_sets!$B$2,0,0,COUNTA([3]enemy_skill_sets!$A:$A),MATCH(AC$1,[3]enemy_skill_sets!$1:$1,0)-MATCH($AB$1,[3]enemy_skill_sets!$1:$1,0)+1),MATCH(AC$1,[3]enemy_skill_sets!$1:$1,0)-MATCH($AB$1,[3]enemy_skill_sets!$1:$1,0)+1,FALSE)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79" s="67">
        <v>1</v>
      </c>
      <c r="AE679" s="67">
        <v>1</v>
      </c>
      <c r="AF679" s="68">
        <v>0</v>
      </c>
      <c r="AG679" s="99">
        <f ca="1">ROUND(VLOOKUP(1,enemy_base_stats!$A:$F,2,FALSE) * Y679* J679*O679*E679*S679*AD679*[2]ステータス!$B$2,0)</f>
        <v>3116</v>
      </c>
      <c r="AH679" s="99">
        <f ca="1">ROUND(VLOOKUP(1,enemy_base_stats!$A:$F,3,FALSE) * Z679*K679*P679*F679*T679*AE679 * W679*[2]ステータス!$C$2,0)</f>
        <v>327</v>
      </c>
      <c r="AI679" s="99">
        <f ca="1">ROUND(VLOOKUP(1,enemy_base_stats!$A:$F,4,FALSE) * AA679*L679*Q679*G679*U679*AF679*[2]ステータス!$D$2,0)</f>
        <v>0</v>
      </c>
      <c r="AJ679" s="99">
        <f ca="1">ROUND(VLOOKUP(100,enemy_base_stats!$A:$F,2,FALSE) * Y679* J679*O679*E679*S679*AD679*[2]ステータス!$B$2,0)</f>
        <v>126514</v>
      </c>
      <c r="AK679" s="99">
        <f ca="1">ROUND(VLOOKUP(100,enemy_base_stats!$A:$F,3,FALSE)* Z679* K679*P679*F679*T679*AE679 * W679*[2]ステータス!$C$2,0)</f>
        <v>13281</v>
      </c>
      <c r="AL679" s="99">
        <f ca="1">ROUND(VLOOKUP(100,enemy_base_stats!$A:$F,4,FALSE)* AA679* L679*Q679*G679*U679*AF679*[2]ステータス!$D$2,0)</f>
        <v>0</v>
      </c>
      <c r="AM679" s="97">
        <f ca="1">VLOOKUP(M679,[2]character_tribe_i18n!$A:$I,9,FALSE)</f>
        <v>400</v>
      </c>
      <c r="AN679" s="97">
        <v>0</v>
      </c>
      <c r="AO679" s="98">
        <v>0</v>
      </c>
      <c r="AP679" s="58" t="s">
        <v>72</v>
      </c>
      <c r="AQ679" s="34">
        <f t="shared" ca="1" si="40"/>
        <v>678</v>
      </c>
    </row>
    <row r="680" spans="1:43" ht="21" customHeight="1" x14ac:dyDescent="0.15">
      <c r="A680" s="7">
        <f t="shared" ca="1" si="41"/>
        <v>679</v>
      </c>
      <c r="B680" s="6" t="str">
        <f ca="1">VLOOKUP(A680,[2]characters!$A:$C,3,FALSE)</f>
        <v>孤高の王子 レイヴン</v>
      </c>
      <c r="C680" s="9">
        <f ca="1">VLOOKUP(A680,[2]characters!$A:$I,9,FALSE)</f>
        <v>5</v>
      </c>
      <c r="D680" s="9" t="str">
        <f ca="1">VLOOKUP(A680,[2]characters!$A:$H,8,FALSE)</f>
        <v>green</v>
      </c>
      <c r="E680" s="97">
        <f ca="1">VLOOKUP(D680,[2]属性!$A:$E,2,FALSE)</f>
        <v>1.02</v>
      </c>
      <c r="F680" s="97">
        <f ca="1">VLOOKUP(D680,[2]属性!$A:$E,3,FALSE)</f>
        <v>0.98</v>
      </c>
      <c r="G680" s="97">
        <f ca="1">VLOOKUP(D680,[2]属性!$A:$F,4,FALSE)</f>
        <v>1</v>
      </c>
      <c r="H680" s="9" t="str">
        <f ca="1">VLOOKUP(A680,[2]characters!$A:$K,11,FALSE)</f>
        <v>attack</v>
      </c>
      <c r="I680" s="6" t="str">
        <f ca="1">VLOOKUP(H680,[2]character_type_i18n!$A:$F,3,FALSE)</f>
        <v>攻撃タイプ</v>
      </c>
      <c r="J680" s="97">
        <f ca="1">VLOOKUP(H680,[2]character_type_i18n!$A:$F,4,FALSE)</f>
        <v>1</v>
      </c>
      <c r="K680" s="97">
        <f ca="1">VLOOKUP(H680,[2]character_type_i18n!$A:$F,5,FALSE)</f>
        <v>1.33</v>
      </c>
      <c r="L680" s="97">
        <f ca="1">VLOOKUP(H680,[2]character_type_i18n!$A:$F,6,FALSE)</f>
        <v>1</v>
      </c>
      <c r="M680" s="9" t="str">
        <f ca="1">VLOOKUP(A680,[2]characters!$A:$M,13,FALSE)</f>
        <v>human</v>
      </c>
      <c r="N680" s="6" t="str">
        <f ca="1">VLOOKUP(M680,[2]character_tribe_i18n!$A:$F,3,FALSE)</f>
        <v>ヒューマン</v>
      </c>
      <c r="O680" s="97">
        <f ca="1">VLOOKUP(M680,[2]character_tribe_i18n!$A:$F,4,FALSE)</f>
        <v>0.94</v>
      </c>
      <c r="P680" s="97">
        <f ca="1">VLOOKUP(M680,[2]character_tribe_i18n!$A:$F,5,FALSE)</f>
        <v>0.99</v>
      </c>
      <c r="Q680" s="97">
        <f ca="1">VLOOKUP(M680,[2]character_tribe_i18n!$A:$F,6,FALSE)</f>
        <v>1</v>
      </c>
      <c r="R680" s="98" t="s">
        <v>98</v>
      </c>
      <c r="S680" s="97">
        <f>VLOOKUP($R680,ラベル別係数!$A$1:$E$7,3,FALSE)</f>
        <v>5</v>
      </c>
      <c r="T680" s="97">
        <f>VLOOKUP($R680,ラベル別係数!$A$1:$E$7,4,FALSE)</f>
        <v>1.3</v>
      </c>
      <c r="U680" s="97">
        <f>VLOOKUP($R680,ラベル別係数!$A$1:$E$7,5,FALSE)</f>
        <v>0.8</v>
      </c>
      <c r="V680" s="98">
        <v>3</v>
      </c>
      <c r="W680" s="99">
        <f>VLOOKUP(V680,ターン数別攻撃係数!$A$1:$B$1000,2,FALSE)</f>
        <v>1</v>
      </c>
      <c r="X680" s="9">
        <f ca="1">VLOOKUP(C680,サイズ別係数!A$2:B$9,2,FALSE)</f>
        <v>60</v>
      </c>
      <c r="Y680" s="97">
        <f ca="1">VLOOKUP($X680,サイズ別係数!$B:$E,2,FALSE)</f>
        <v>1.7</v>
      </c>
      <c r="Z680" s="97">
        <f ca="1">VLOOKUP($X680,サイズ別係数!$B:$E,3,FALSE)</f>
        <v>1.4</v>
      </c>
      <c r="AA680" s="97">
        <f ca="1">VLOOKUP($X680,サイズ別係数!$B:$E,4,FALSE)</f>
        <v>1</v>
      </c>
      <c r="AB680" s="10">
        <v>0</v>
      </c>
      <c r="AC680" s="6" t="str">
        <f ca="1">VLOOKUP($AB680,OFFSET([3]enemy_skill_sets!$B$2,0,0,COUNTA([3]enemy_skill_sets!$A:$A),MATCH(AC$1,[3]enemy_skill_sets!$1:$1,0)-MATCH($AB$1,[3]enemy_skill_sets!$1:$1,0)+1),MATCH(AC$1,[3]enemy_skill_sets!$1:$1,0)-MATCH($AB$1,[3]enemy_skill_sets!$1:$1,0)+1,FALSE)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0" s="67">
        <v>1</v>
      </c>
      <c r="AE680" s="67">
        <v>1</v>
      </c>
      <c r="AF680" s="68">
        <v>0</v>
      </c>
      <c r="AG680" s="99">
        <f ca="1">ROUND(VLOOKUP(1,enemy_base_stats!$A:$F,2,FALSE) * Y680* J680*O680*E680*S680*AD680*[2]ステータス!$B$2,0)</f>
        <v>4075</v>
      </c>
      <c r="AH680" s="99">
        <f ca="1">ROUND(VLOOKUP(1,enemy_base_stats!$A:$F,3,FALSE) * Z680*K680*P680*F680*T680*AE680 * W680*[2]ステータス!$C$2,0)</f>
        <v>352</v>
      </c>
      <c r="AI680" s="99">
        <f ca="1">ROUND(VLOOKUP(1,enemy_base_stats!$A:$F,4,FALSE) * AA680*L680*Q680*G680*U680*AF680*[2]ステータス!$D$2,0)</f>
        <v>0</v>
      </c>
      <c r="AJ680" s="99">
        <f ca="1">ROUND(VLOOKUP(100,enemy_base_stats!$A:$F,2,FALSE) * Y680* J680*O680*E680*S680*AD680*[2]ステータス!$B$2,0)</f>
        <v>165441</v>
      </c>
      <c r="AK680" s="99">
        <f ca="1">ROUND(VLOOKUP(100,enemy_base_stats!$A:$F,3,FALSE)* Z680* K680*P680*F680*T680*AE680 * W680*[2]ステータス!$C$2,0)</f>
        <v>14302</v>
      </c>
      <c r="AL680" s="99">
        <f ca="1">ROUND(VLOOKUP(100,enemy_base_stats!$A:$F,4,FALSE)* AA680* L680*Q680*G680*U680*AF680*[2]ステータス!$D$2,0)</f>
        <v>0</v>
      </c>
      <c r="AM680" s="97">
        <f ca="1">VLOOKUP(M680,[2]character_tribe_i18n!$A:$I,9,FALSE)</f>
        <v>400</v>
      </c>
      <c r="AN680" s="97">
        <v>0</v>
      </c>
      <c r="AO680" s="98">
        <v>0</v>
      </c>
      <c r="AP680" s="58" t="s">
        <v>72</v>
      </c>
      <c r="AQ680" s="34">
        <f t="shared" ca="1" si="40"/>
        <v>679</v>
      </c>
    </row>
    <row r="681" spans="1:43" ht="21" customHeight="1" x14ac:dyDescent="0.15">
      <c r="A681" s="7">
        <f t="shared" ca="1" si="41"/>
        <v>680</v>
      </c>
      <c r="B681" s="6" t="str">
        <f ca="1">VLOOKUP(A681,[2]characters!$A:$C,3,FALSE)</f>
        <v>炎のプレゼントケロケロ</v>
      </c>
      <c r="C681" s="9">
        <f ca="1">VLOOKUP(A681,[2]characters!$A:$I,9,FALSE)</f>
        <v>5</v>
      </c>
      <c r="D681" s="9" t="str">
        <f ca="1">VLOOKUP(A681,[2]characters!$A:$H,8,FALSE)</f>
        <v>red</v>
      </c>
      <c r="E681" s="97">
        <f ca="1">VLOOKUP(D681,[2]属性!$A:$E,2,FALSE)</f>
        <v>1</v>
      </c>
      <c r="F681" s="97">
        <f ca="1">VLOOKUP(D681,[2]属性!$A:$E,3,FALSE)</f>
        <v>1.02</v>
      </c>
      <c r="G681" s="97">
        <f ca="1">VLOOKUP(D681,[2]属性!$A:$F,4,FALSE)</f>
        <v>1</v>
      </c>
      <c r="H681" s="9" t="str">
        <f ca="1">VLOOKUP(A681,[2]characters!$A:$K,11,FALSE)</f>
        <v>exp</v>
      </c>
      <c r="I681" s="6" t="str">
        <f ca="1">VLOOKUP(H681,[2]character_type_i18n!$A:$F,3,FALSE)</f>
        <v>強化素材タイプ</v>
      </c>
      <c r="J681" s="97">
        <f ca="1">VLOOKUP(H681,[2]character_type_i18n!$A:$F,4,FALSE)</f>
        <v>0.1</v>
      </c>
      <c r="K681" s="97">
        <f ca="1">VLOOKUP(H681,[2]character_type_i18n!$A:$F,5,FALSE)</f>
        <v>0.05</v>
      </c>
      <c r="L681" s="97">
        <f ca="1">VLOOKUP(H681,[2]character_type_i18n!$A:$F,6,FALSE)</f>
        <v>1</v>
      </c>
      <c r="M681" s="9" t="str">
        <f ca="1">VLOOKUP(A681,[2]characters!$A:$M,13,FALSE)</f>
        <v>unknown</v>
      </c>
      <c r="N681" s="6" t="str">
        <f ca="1">VLOOKUP(M681,[2]character_tribe_i18n!$A:$F,3,FALSE)</f>
        <v>Unknown</v>
      </c>
      <c r="O681" s="97">
        <f ca="1">VLOOKUP(M681,[2]character_tribe_i18n!$A:$F,4,FALSE)</f>
        <v>1</v>
      </c>
      <c r="P681" s="97">
        <f ca="1">VLOOKUP(M681,[2]character_tribe_i18n!$A:$F,5,FALSE)</f>
        <v>1</v>
      </c>
      <c r="Q681" s="97">
        <f ca="1">VLOOKUP(M681,[2]character_tribe_i18n!$A:$F,6,FALSE)</f>
        <v>1</v>
      </c>
      <c r="R681" s="98" t="s">
        <v>98</v>
      </c>
      <c r="S681" s="97">
        <f>VLOOKUP($R681,ラベル別係数!$A$1:$E$7,3,FALSE)</f>
        <v>5</v>
      </c>
      <c r="T681" s="97">
        <f>VLOOKUP($R681,ラベル別係数!$A$1:$E$7,4,FALSE)</f>
        <v>1.3</v>
      </c>
      <c r="U681" s="97">
        <f>VLOOKUP($R681,ラベル別係数!$A$1:$E$7,5,FALSE)</f>
        <v>0.8</v>
      </c>
      <c r="V681" s="98">
        <v>3</v>
      </c>
      <c r="W681" s="99">
        <f>VLOOKUP(V681,ターン数別攻撃係数!$A$1:$B$1000,2,FALSE)</f>
        <v>1</v>
      </c>
      <c r="X681" s="100">
        <v>30</v>
      </c>
      <c r="Y681" s="97">
        <f>VLOOKUP($X681,サイズ別係数!$B:$E,2,FALSE)</f>
        <v>1.3</v>
      </c>
      <c r="Z681" s="97">
        <f>VLOOKUP($X681,サイズ別係数!$B:$E,3,FALSE)</f>
        <v>1.3</v>
      </c>
      <c r="AA681" s="97">
        <f>VLOOKUP($X681,サイズ別係数!$B:$E,4,FALSE)</f>
        <v>1.1000000000000001</v>
      </c>
      <c r="AB681" s="10">
        <v>0</v>
      </c>
      <c r="AC681" s="6" t="str">
        <f ca="1">VLOOKUP($AB681,OFFSET([3]enemy_skill_sets!$B$2,0,0,COUNTA([3]enemy_skill_sets!$A:$A),MATCH(AC$1,[3]enemy_skill_sets!$1:$1,0)-MATCH($AB$1,[3]enemy_skill_sets!$1:$1,0)+1),MATCH(AC$1,[3]enemy_skill_sets!$1:$1,0)-MATCH($AB$1,[3]enemy_skill_sets!$1:$1,0)+1,FALSE)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1" s="67">
        <v>10</v>
      </c>
      <c r="AE681" s="67">
        <v>20</v>
      </c>
      <c r="AF681" s="68">
        <v>0</v>
      </c>
      <c r="AG681" s="99">
        <f ca="1">ROUND(VLOOKUP(1,enemy_base_stats!$A:$F,2,FALSE) * Y681* J681*O681*E681*S681*AD681*[2]ステータス!$B$2,0)</f>
        <v>3250</v>
      </c>
      <c r="AH681" s="99">
        <f ca="1">ROUND(VLOOKUP(1,enemy_base_stats!$A:$F,3,FALSE) * Z681*K681*P681*F681*T681*AE681 * W681*[2]ステータス!$C$2,0)</f>
        <v>259</v>
      </c>
      <c r="AI681" s="99">
        <f ca="1">ROUND(VLOOKUP(1,enemy_base_stats!$A:$F,4,FALSE) * AA681*L681*Q681*G681*U681*AF681*[2]ステータス!$D$2,0)</f>
        <v>0</v>
      </c>
      <c r="AJ681" s="99">
        <f ca="1">ROUND(VLOOKUP(100,enemy_base_stats!$A:$F,2,FALSE) * Y681* J681*O681*E681*S681*AD681*[2]ステータス!$B$2,0)</f>
        <v>131950</v>
      </c>
      <c r="AK681" s="99">
        <f ca="1">ROUND(VLOOKUP(100,enemy_base_stats!$A:$F,3,FALSE)* Z681* K681*P681*F681*T681*AE681 * W681*[2]ステータス!$C$2,0)</f>
        <v>10498</v>
      </c>
      <c r="AL681" s="99">
        <f ca="1">ROUND(VLOOKUP(100,enemy_base_stats!$A:$F,4,FALSE)* AA681* L681*Q681*G681*U681*AF681*[2]ステータス!$D$2,0)</f>
        <v>0</v>
      </c>
      <c r="AM681" s="97">
        <f ca="1">VLOOKUP(M681,[2]character_tribe_i18n!$A:$I,9,FALSE)</f>
        <v>340</v>
      </c>
      <c r="AN681" s="97">
        <v>0</v>
      </c>
      <c r="AO681" s="98">
        <v>0</v>
      </c>
      <c r="AP681" s="58" t="s">
        <v>72</v>
      </c>
      <c r="AQ681" s="34">
        <f t="shared" ca="1" si="40"/>
        <v>680</v>
      </c>
    </row>
    <row r="682" spans="1:43" ht="21" customHeight="1" x14ac:dyDescent="0.15">
      <c r="A682" s="7">
        <f t="shared" ca="1" si="41"/>
        <v>681</v>
      </c>
      <c r="B682" s="6" t="str">
        <f ca="1">VLOOKUP(A682,[2]characters!$A:$C,3,FALSE)</f>
        <v>炎のプレゼントフロッグ</v>
      </c>
      <c r="C682" s="9">
        <f ca="1">VLOOKUP(A682,[2]characters!$A:$I,9,FALSE)</f>
        <v>6</v>
      </c>
      <c r="D682" s="9" t="str">
        <f ca="1">VLOOKUP(A682,[2]characters!$A:$H,8,FALSE)</f>
        <v>red</v>
      </c>
      <c r="E682" s="97">
        <f ca="1">VLOOKUP(D682,[2]属性!$A:$E,2,FALSE)</f>
        <v>1</v>
      </c>
      <c r="F682" s="97">
        <f ca="1">VLOOKUP(D682,[2]属性!$A:$E,3,FALSE)</f>
        <v>1.02</v>
      </c>
      <c r="G682" s="97">
        <f ca="1">VLOOKUP(D682,[2]属性!$A:$F,4,FALSE)</f>
        <v>1</v>
      </c>
      <c r="H682" s="9" t="str">
        <f ca="1">VLOOKUP(A682,[2]characters!$A:$K,11,FALSE)</f>
        <v>exp</v>
      </c>
      <c r="I682" s="6" t="str">
        <f ca="1">VLOOKUP(H682,[2]character_type_i18n!$A:$F,3,FALSE)</f>
        <v>強化素材タイプ</v>
      </c>
      <c r="J682" s="97">
        <f ca="1">VLOOKUP(H682,[2]character_type_i18n!$A:$F,4,FALSE)</f>
        <v>0.1</v>
      </c>
      <c r="K682" s="97">
        <f ca="1">VLOOKUP(H682,[2]character_type_i18n!$A:$F,5,FALSE)</f>
        <v>0.05</v>
      </c>
      <c r="L682" s="97">
        <f ca="1">VLOOKUP(H682,[2]character_type_i18n!$A:$F,6,FALSE)</f>
        <v>1</v>
      </c>
      <c r="M682" s="9" t="str">
        <f ca="1">VLOOKUP(A682,[2]characters!$A:$M,13,FALSE)</f>
        <v>unknown</v>
      </c>
      <c r="N682" s="6" t="str">
        <f ca="1">VLOOKUP(M682,[2]character_tribe_i18n!$A:$F,3,FALSE)</f>
        <v>Unknown</v>
      </c>
      <c r="O682" s="97">
        <f ca="1">VLOOKUP(M682,[2]character_tribe_i18n!$A:$F,4,FALSE)</f>
        <v>1</v>
      </c>
      <c r="P682" s="97">
        <f ca="1">VLOOKUP(M682,[2]character_tribe_i18n!$A:$F,5,FALSE)</f>
        <v>1</v>
      </c>
      <c r="Q682" s="97">
        <f ca="1">VLOOKUP(M682,[2]character_tribe_i18n!$A:$F,6,FALSE)</f>
        <v>1</v>
      </c>
      <c r="R682" s="98" t="s">
        <v>98</v>
      </c>
      <c r="S682" s="97">
        <f>VLOOKUP($R682,ラベル別係数!$A$1:$E$7,3,FALSE)</f>
        <v>5</v>
      </c>
      <c r="T682" s="97">
        <f>VLOOKUP($R682,ラベル別係数!$A$1:$E$7,4,FALSE)</f>
        <v>1.3</v>
      </c>
      <c r="U682" s="97">
        <f>VLOOKUP($R682,ラベル別係数!$A$1:$E$7,5,FALSE)</f>
        <v>0.8</v>
      </c>
      <c r="V682" s="98">
        <v>3</v>
      </c>
      <c r="W682" s="99">
        <f>VLOOKUP(V682,ターン数別攻撃係数!$A$1:$B$1000,2,FALSE)</f>
        <v>1</v>
      </c>
      <c r="X682" s="100">
        <v>30</v>
      </c>
      <c r="Y682" s="97">
        <f>VLOOKUP($X682,サイズ別係数!$B:$E,2,FALSE)</f>
        <v>1.3</v>
      </c>
      <c r="Z682" s="97">
        <f>VLOOKUP($X682,サイズ別係数!$B:$E,3,FALSE)</f>
        <v>1.3</v>
      </c>
      <c r="AA682" s="97">
        <f>VLOOKUP($X682,サイズ別係数!$B:$E,4,FALSE)</f>
        <v>1.1000000000000001</v>
      </c>
      <c r="AB682" s="10">
        <v>0</v>
      </c>
      <c r="AC682" s="6" t="str">
        <f ca="1">VLOOKUP($AB682,OFFSET([3]enemy_skill_sets!$B$2,0,0,COUNTA([3]enemy_skill_sets!$A:$A),MATCH(AC$1,[3]enemy_skill_sets!$1:$1,0)-MATCH($AB$1,[3]enemy_skill_sets!$1:$1,0)+1),MATCH(AC$1,[3]enemy_skill_sets!$1:$1,0)-MATCH($AB$1,[3]enemy_skill_sets!$1:$1,0)+1,FALSE)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2" s="67">
        <v>10</v>
      </c>
      <c r="AE682" s="67">
        <v>20</v>
      </c>
      <c r="AF682" s="68">
        <v>0</v>
      </c>
      <c r="AG682" s="99">
        <f ca="1">ROUND(VLOOKUP(1,enemy_base_stats!$A:$F,2,FALSE) * Y682* J682*O682*E682*S682*AD682*[2]ステータス!$B$2,0)</f>
        <v>3250</v>
      </c>
      <c r="AH682" s="99">
        <f ca="1">ROUND(VLOOKUP(1,enemy_base_stats!$A:$F,3,FALSE) * Z682*K682*P682*F682*T682*AE682 * W682*[2]ステータス!$C$2,0)</f>
        <v>259</v>
      </c>
      <c r="AI682" s="99">
        <f ca="1">ROUND(VLOOKUP(1,enemy_base_stats!$A:$F,4,FALSE) * AA682*L682*Q682*G682*U682*AF682*[2]ステータス!$D$2,0)</f>
        <v>0</v>
      </c>
      <c r="AJ682" s="99">
        <f ca="1">ROUND(VLOOKUP(100,enemy_base_stats!$A:$F,2,FALSE) * Y682* J682*O682*E682*S682*AD682*[2]ステータス!$B$2,0)</f>
        <v>131950</v>
      </c>
      <c r="AK682" s="99">
        <f ca="1">ROUND(VLOOKUP(100,enemy_base_stats!$A:$F,3,FALSE)* Z682* K682*P682*F682*T682*AE682 * W682*[2]ステータス!$C$2,0)</f>
        <v>10498</v>
      </c>
      <c r="AL682" s="99">
        <f ca="1">ROUND(VLOOKUP(100,enemy_base_stats!$A:$F,4,FALSE)* AA682* L682*Q682*G682*U682*AF682*[2]ステータス!$D$2,0)</f>
        <v>0</v>
      </c>
      <c r="AM682" s="97">
        <f ca="1">VLOOKUP(M682,[2]character_tribe_i18n!$A:$I,9,FALSE)</f>
        <v>340</v>
      </c>
      <c r="AN682" s="97">
        <v>0</v>
      </c>
      <c r="AO682" s="98">
        <v>0</v>
      </c>
      <c r="AP682" s="58" t="s">
        <v>72</v>
      </c>
      <c r="AQ682" s="34">
        <f t="shared" ca="1" si="40"/>
        <v>681</v>
      </c>
    </row>
    <row r="683" spans="1:43" ht="21" customHeight="1" x14ac:dyDescent="0.15">
      <c r="A683" s="7">
        <f t="shared" ca="1" si="41"/>
        <v>682</v>
      </c>
      <c r="B683" s="6" t="str">
        <f ca="1">VLOOKUP(A683,[2]characters!$A:$C,3,FALSE)</f>
        <v>森のプレゼントケロケロ</v>
      </c>
      <c r="C683" s="9">
        <f ca="1">VLOOKUP(A683,[2]characters!$A:$I,9,FALSE)</f>
        <v>5</v>
      </c>
      <c r="D683" s="9" t="str">
        <f ca="1">VLOOKUP(A683,[2]characters!$A:$H,8,FALSE)</f>
        <v>green</v>
      </c>
      <c r="E683" s="97">
        <f ca="1">VLOOKUP(D683,[2]属性!$A:$E,2,FALSE)</f>
        <v>1.02</v>
      </c>
      <c r="F683" s="97">
        <f ca="1">VLOOKUP(D683,[2]属性!$A:$E,3,FALSE)</f>
        <v>0.98</v>
      </c>
      <c r="G683" s="97">
        <f ca="1">VLOOKUP(D683,[2]属性!$A:$F,4,FALSE)</f>
        <v>1</v>
      </c>
      <c r="H683" s="9" t="str">
        <f ca="1">VLOOKUP(A683,[2]characters!$A:$K,11,FALSE)</f>
        <v>exp</v>
      </c>
      <c r="I683" s="6" t="str">
        <f ca="1">VLOOKUP(H683,[2]character_type_i18n!$A:$F,3,FALSE)</f>
        <v>強化素材タイプ</v>
      </c>
      <c r="J683" s="97">
        <f ca="1">VLOOKUP(H683,[2]character_type_i18n!$A:$F,4,FALSE)</f>
        <v>0.1</v>
      </c>
      <c r="K683" s="97">
        <f ca="1">VLOOKUP(H683,[2]character_type_i18n!$A:$F,5,FALSE)</f>
        <v>0.05</v>
      </c>
      <c r="L683" s="97">
        <f ca="1">VLOOKUP(H683,[2]character_type_i18n!$A:$F,6,FALSE)</f>
        <v>1</v>
      </c>
      <c r="M683" s="9" t="str">
        <f ca="1">VLOOKUP(A683,[2]characters!$A:$M,13,FALSE)</f>
        <v>unknown</v>
      </c>
      <c r="N683" s="6" t="str">
        <f ca="1">VLOOKUP(M683,[2]character_tribe_i18n!$A:$F,3,FALSE)</f>
        <v>Unknown</v>
      </c>
      <c r="O683" s="97">
        <f ca="1">VLOOKUP(M683,[2]character_tribe_i18n!$A:$F,4,FALSE)</f>
        <v>1</v>
      </c>
      <c r="P683" s="97">
        <f ca="1">VLOOKUP(M683,[2]character_tribe_i18n!$A:$F,5,FALSE)</f>
        <v>1</v>
      </c>
      <c r="Q683" s="97">
        <f ca="1">VLOOKUP(M683,[2]character_tribe_i18n!$A:$F,6,FALSE)</f>
        <v>1</v>
      </c>
      <c r="R683" s="98" t="s">
        <v>98</v>
      </c>
      <c r="S683" s="97">
        <f>VLOOKUP($R683,ラベル別係数!$A$1:$E$7,3,FALSE)</f>
        <v>5</v>
      </c>
      <c r="T683" s="97">
        <f>VLOOKUP($R683,ラベル別係数!$A$1:$E$7,4,FALSE)</f>
        <v>1.3</v>
      </c>
      <c r="U683" s="97">
        <f>VLOOKUP($R683,ラベル別係数!$A$1:$E$7,5,FALSE)</f>
        <v>0.8</v>
      </c>
      <c r="V683" s="98">
        <v>3</v>
      </c>
      <c r="W683" s="99">
        <f>VLOOKUP(V683,ターン数別攻撃係数!$A$1:$B$1000,2,FALSE)</f>
        <v>1</v>
      </c>
      <c r="X683" s="100">
        <v>30</v>
      </c>
      <c r="Y683" s="97">
        <f>VLOOKUP($X683,サイズ別係数!$B:$E,2,FALSE)</f>
        <v>1.3</v>
      </c>
      <c r="Z683" s="97">
        <f>VLOOKUP($X683,サイズ別係数!$B:$E,3,FALSE)</f>
        <v>1.3</v>
      </c>
      <c r="AA683" s="97">
        <f>VLOOKUP($X683,サイズ別係数!$B:$E,4,FALSE)</f>
        <v>1.1000000000000001</v>
      </c>
      <c r="AB683" s="10">
        <v>0</v>
      </c>
      <c r="AC683" s="6" t="str">
        <f ca="1">VLOOKUP($AB683,OFFSET([3]enemy_skill_sets!$B$2,0,0,COUNTA([3]enemy_skill_sets!$A:$A),MATCH(AC$1,[3]enemy_skill_sets!$1:$1,0)-MATCH($AB$1,[3]enemy_skill_sets!$1:$1,0)+1),MATCH(AC$1,[3]enemy_skill_sets!$1:$1,0)-MATCH($AB$1,[3]enemy_skill_sets!$1:$1,0)+1,FALSE)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3" s="67">
        <v>10</v>
      </c>
      <c r="AE683" s="67">
        <v>20</v>
      </c>
      <c r="AF683" s="68">
        <v>0</v>
      </c>
      <c r="AG683" s="99">
        <f ca="1">ROUND(VLOOKUP(1,enemy_base_stats!$A:$F,2,FALSE) * Y683* J683*O683*E683*S683*AD683*[2]ステータス!$B$2,0)</f>
        <v>3315</v>
      </c>
      <c r="AH683" s="99">
        <f ca="1">ROUND(VLOOKUP(1,enemy_base_stats!$A:$F,3,FALSE) * Z683*K683*P683*F683*T683*AE683 * W683*[2]ステータス!$C$2,0)</f>
        <v>248</v>
      </c>
      <c r="AI683" s="99">
        <f ca="1">ROUND(VLOOKUP(1,enemy_base_stats!$A:$F,4,FALSE) * AA683*L683*Q683*G683*U683*AF683*[2]ステータス!$D$2,0)</f>
        <v>0</v>
      </c>
      <c r="AJ683" s="99">
        <f ca="1">ROUND(VLOOKUP(100,enemy_base_stats!$A:$F,2,FALSE) * Y683* J683*O683*E683*S683*AD683*[2]ステータス!$B$2,0)</f>
        <v>134589</v>
      </c>
      <c r="AK683" s="99">
        <f ca="1">ROUND(VLOOKUP(100,enemy_base_stats!$A:$F,3,FALSE)* Z683* K683*P683*F683*T683*AE683 * W683*[2]ステータス!$C$2,0)</f>
        <v>10086</v>
      </c>
      <c r="AL683" s="99">
        <f ca="1">ROUND(VLOOKUP(100,enemy_base_stats!$A:$F,4,FALSE)* AA683* L683*Q683*G683*U683*AF683*[2]ステータス!$D$2,0)</f>
        <v>0</v>
      </c>
      <c r="AM683" s="97">
        <f ca="1">VLOOKUP(M683,[2]character_tribe_i18n!$A:$I,9,FALSE)</f>
        <v>340</v>
      </c>
      <c r="AN683" s="97">
        <v>0</v>
      </c>
      <c r="AO683" s="98">
        <v>0</v>
      </c>
      <c r="AP683" s="58" t="s">
        <v>72</v>
      </c>
      <c r="AQ683" s="34">
        <f t="shared" ca="1" si="40"/>
        <v>682</v>
      </c>
    </row>
    <row r="684" spans="1:43" ht="21" customHeight="1" x14ac:dyDescent="0.15">
      <c r="A684" s="7">
        <f t="shared" ca="1" si="41"/>
        <v>683</v>
      </c>
      <c r="B684" s="6" t="str">
        <f ca="1">VLOOKUP(A684,[2]characters!$A:$C,3,FALSE)</f>
        <v>森のプレゼントフロッグ</v>
      </c>
      <c r="C684" s="9">
        <f ca="1">VLOOKUP(A684,[2]characters!$A:$I,9,FALSE)</f>
        <v>6</v>
      </c>
      <c r="D684" s="9" t="str">
        <f ca="1">VLOOKUP(A684,[2]characters!$A:$H,8,FALSE)</f>
        <v>green</v>
      </c>
      <c r="E684" s="97">
        <f ca="1">VLOOKUP(D684,[2]属性!$A:$E,2,FALSE)</f>
        <v>1.02</v>
      </c>
      <c r="F684" s="97">
        <f ca="1">VLOOKUP(D684,[2]属性!$A:$E,3,FALSE)</f>
        <v>0.98</v>
      </c>
      <c r="G684" s="97">
        <f ca="1">VLOOKUP(D684,[2]属性!$A:$F,4,FALSE)</f>
        <v>1</v>
      </c>
      <c r="H684" s="9" t="str">
        <f ca="1">VLOOKUP(A684,[2]characters!$A:$K,11,FALSE)</f>
        <v>exp</v>
      </c>
      <c r="I684" s="6" t="str">
        <f ca="1">VLOOKUP(H684,[2]character_type_i18n!$A:$F,3,FALSE)</f>
        <v>強化素材タイプ</v>
      </c>
      <c r="J684" s="97">
        <f ca="1">VLOOKUP(H684,[2]character_type_i18n!$A:$F,4,FALSE)</f>
        <v>0.1</v>
      </c>
      <c r="K684" s="97">
        <f ca="1">VLOOKUP(H684,[2]character_type_i18n!$A:$F,5,FALSE)</f>
        <v>0.05</v>
      </c>
      <c r="L684" s="97">
        <f ca="1">VLOOKUP(H684,[2]character_type_i18n!$A:$F,6,FALSE)</f>
        <v>1</v>
      </c>
      <c r="M684" s="9" t="str">
        <f ca="1">VLOOKUP(A684,[2]characters!$A:$M,13,FALSE)</f>
        <v>unknown</v>
      </c>
      <c r="N684" s="6" t="str">
        <f ca="1">VLOOKUP(M684,[2]character_tribe_i18n!$A:$F,3,FALSE)</f>
        <v>Unknown</v>
      </c>
      <c r="O684" s="97">
        <f ca="1">VLOOKUP(M684,[2]character_tribe_i18n!$A:$F,4,FALSE)</f>
        <v>1</v>
      </c>
      <c r="P684" s="97">
        <f ca="1">VLOOKUP(M684,[2]character_tribe_i18n!$A:$F,5,FALSE)</f>
        <v>1</v>
      </c>
      <c r="Q684" s="97">
        <f ca="1">VLOOKUP(M684,[2]character_tribe_i18n!$A:$F,6,FALSE)</f>
        <v>1</v>
      </c>
      <c r="R684" s="98" t="s">
        <v>98</v>
      </c>
      <c r="S684" s="97">
        <f>VLOOKUP($R684,ラベル別係数!$A$1:$E$7,3,FALSE)</f>
        <v>5</v>
      </c>
      <c r="T684" s="97">
        <f>VLOOKUP($R684,ラベル別係数!$A$1:$E$7,4,FALSE)</f>
        <v>1.3</v>
      </c>
      <c r="U684" s="97">
        <f>VLOOKUP($R684,ラベル別係数!$A$1:$E$7,5,FALSE)</f>
        <v>0.8</v>
      </c>
      <c r="V684" s="98">
        <v>3</v>
      </c>
      <c r="W684" s="99">
        <f>VLOOKUP(V684,ターン数別攻撃係数!$A$1:$B$1000,2,FALSE)</f>
        <v>1</v>
      </c>
      <c r="X684" s="100">
        <v>30</v>
      </c>
      <c r="Y684" s="97">
        <f>VLOOKUP($X684,サイズ別係数!$B:$E,2,FALSE)</f>
        <v>1.3</v>
      </c>
      <c r="Z684" s="97">
        <f>VLOOKUP($X684,サイズ別係数!$B:$E,3,FALSE)</f>
        <v>1.3</v>
      </c>
      <c r="AA684" s="97">
        <f>VLOOKUP($X684,サイズ別係数!$B:$E,4,FALSE)</f>
        <v>1.1000000000000001</v>
      </c>
      <c r="AB684" s="10">
        <v>0</v>
      </c>
      <c r="AC684" s="6" t="str">
        <f ca="1">VLOOKUP($AB684,OFFSET([3]enemy_skill_sets!$B$2,0,0,COUNTA([3]enemy_skill_sets!$A:$A),MATCH(AC$1,[3]enemy_skill_sets!$1:$1,0)-MATCH($AB$1,[3]enemy_skill_sets!$1:$1,0)+1),MATCH(AC$1,[3]enemy_skill_sets!$1:$1,0)-MATCH($AB$1,[3]enemy_skill_sets!$1:$1,0)+1,FALSE)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4" s="67">
        <v>10</v>
      </c>
      <c r="AE684" s="67">
        <v>20</v>
      </c>
      <c r="AF684" s="68">
        <v>0</v>
      </c>
      <c r="AG684" s="99">
        <f ca="1">ROUND(VLOOKUP(1,enemy_base_stats!$A:$F,2,FALSE) * Y684* J684*O684*E684*S684*AD684*[2]ステータス!$B$2,0)</f>
        <v>3315</v>
      </c>
      <c r="AH684" s="99">
        <f ca="1">ROUND(VLOOKUP(1,enemy_base_stats!$A:$F,3,FALSE) * Z684*K684*P684*F684*T684*AE684 * W684*[2]ステータス!$C$2,0)</f>
        <v>248</v>
      </c>
      <c r="AI684" s="99">
        <f ca="1">ROUND(VLOOKUP(1,enemy_base_stats!$A:$F,4,FALSE) * AA684*L684*Q684*G684*U684*AF684*[2]ステータス!$D$2,0)</f>
        <v>0</v>
      </c>
      <c r="AJ684" s="99">
        <f ca="1">ROUND(VLOOKUP(100,enemy_base_stats!$A:$F,2,FALSE) * Y684* J684*O684*E684*S684*AD684*[2]ステータス!$B$2,0)</f>
        <v>134589</v>
      </c>
      <c r="AK684" s="99">
        <f ca="1">ROUND(VLOOKUP(100,enemy_base_stats!$A:$F,3,FALSE)* Z684* K684*P684*F684*T684*AE684 * W684*[2]ステータス!$C$2,0)</f>
        <v>10086</v>
      </c>
      <c r="AL684" s="99">
        <f ca="1">ROUND(VLOOKUP(100,enemy_base_stats!$A:$F,4,FALSE)* AA684* L684*Q684*G684*U684*AF684*[2]ステータス!$D$2,0)</f>
        <v>0</v>
      </c>
      <c r="AM684" s="97">
        <f ca="1">VLOOKUP(M684,[2]character_tribe_i18n!$A:$I,9,FALSE)</f>
        <v>340</v>
      </c>
      <c r="AN684" s="97">
        <v>0</v>
      </c>
      <c r="AO684" s="98">
        <v>0</v>
      </c>
      <c r="AP684" s="58" t="s">
        <v>72</v>
      </c>
      <c r="AQ684" s="34">
        <f t="shared" ref="AQ684:AQ715" ca="1" si="42">A684</f>
        <v>683</v>
      </c>
    </row>
    <row r="685" spans="1:43" ht="21" customHeight="1" x14ac:dyDescent="0.15">
      <c r="A685" s="7">
        <f t="shared" ca="1" si="41"/>
        <v>684</v>
      </c>
      <c r="B685" s="6" t="str">
        <f ca="1">VLOOKUP(A685,[2]characters!$A:$C,3,FALSE)</f>
        <v>水のプレゼントケロケロ</v>
      </c>
      <c r="C685" s="9">
        <f ca="1">VLOOKUP(A685,[2]characters!$A:$I,9,FALSE)</f>
        <v>5</v>
      </c>
      <c r="D685" s="9" t="str">
        <f ca="1">VLOOKUP(A685,[2]characters!$A:$H,8,FALSE)</f>
        <v>blue</v>
      </c>
      <c r="E685" s="97">
        <f ca="1">VLOOKUP(D685,[2]属性!$A:$E,2,FALSE)</f>
        <v>1</v>
      </c>
      <c r="F685" s="97">
        <f ca="1">VLOOKUP(D685,[2]属性!$A:$E,3,FALSE)</f>
        <v>0.98</v>
      </c>
      <c r="G685" s="97">
        <f ca="1">VLOOKUP(D685,[2]属性!$A:$F,4,FALSE)</f>
        <v>1</v>
      </c>
      <c r="H685" s="9" t="str">
        <f ca="1">VLOOKUP(A685,[2]characters!$A:$K,11,FALSE)</f>
        <v>exp</v>
      </c>
      <c r="I685" s="6" t="str">
        <f ca="1">VLOOKUP(H685,[2]character_type_i18n!$A:$F,3,FALSE)</f>
        <v>強化素材タイプ</v>
      </c>
      <c r="J685" s="97">
        <f ca="1">VLOOKUP(H685,[2]character_type_i18n!$A:$F,4,FALSE)</f>
        <v>0.1</v>
      </c>
      <c r="K685" s="97">
        <f ca="1">VLOOKUP(H685,[2]character_type_i18n!$A:$F,5,FALSE)</f>
        <v>0.05</v>
      </c>
      <c r="L685" s="97">
        <f ca="1">VLOOKUP(H685,[2]character_type_i18n!$A:$F,6,FALSE)</f>
        <v>1</v>
      </c>
      <c r="M685" s="9" t="str">
        <f ca="1">VLOOKUP(A685,[2]characters!$A:$M,13,FALSE)</f>
        <v>unknown</v>
      </c>
      <c r="N685" s="6" t="str">
        <f ca="1">VLOOKUP(M685,[2]character_tribe_i18n!$A:$F,3,FALSE)</f>
        <v>Unknown</v>
      </c>
      <c r="O685" s="97">
        <f ca="1">VLOOKUP(M685,[2]character_tribe_i18n!$A:$F,4,FALSE)</f>
        <v>1</v>
      </c>
      <c r="P685" s="97">
        <f ca="1">VLOOKUP(M685,[2]character_tribe_i18n!$A:$F,5,FALSE)</f>
        <v>1</v>
      </c>
      <c r="Q685" s="97">
        <f ca="1">VLOOKUP(M685,[2]character_tribe_i18n!$A:$F,6,FALSE)</f>
        <v>1</v>
      </c>
      <c r="R685" s="98" t="s">
        <v>98</v>
      </c>
      <c r="S685" s="97">
        <f>VLOOKUP($R685,ラベル別係数!$A$1:$E$7,3,FALSE)</f>
        <v>5</v>
      </c>
      <c r="T685" s="97">
        <f>VLOOKUP($R685,ラベル別係数!$A$1:$E$7,4,FALSE)</f>
        <v>1.3</v>
      </c>
      <c r="U685" s="97">
        <f>VLOOKUP($R685,ラベル別係数!$A$1:$E$7,5,FALSE)</f>
        <v>0.8</v>
      </c>
      <c r="V685" s="98">
        <v>3</v>
      </c>
      <c r="W685" s="99">
        <f>VLOOKUP(V685,ターン数別攻撃係数!$A$1:$B$1000,2,FALSE)</f>
        <v>1</v>
      </c>
      <c r="X685" s="100">
        <v>30</v>
      </c>
      <c r="Y685" s="97">
        <f>VLOOKUP($X685,サイズ別係数!$B:$E,2,FALSE)</f>
        <v>1.3</v>
      </c>
      <c r="Z685" s="97">
        <f>VLOOKUP($X685,サイズ別係数!$B:$E,3,FALSE)</f>
        <v>1.3</v>
      </c>
      <c r="AA685" s="97">
        <f>VLOOKUP($X685,サイズ別係数!$B:$E,4,FALSE)</f>
        <v>1.1000000000000001</v>
      </c>
      <c r="AB685" s="10">
        <v>0</v>
      </c>
      <c r="AC685" s="6" t="str">
        <f ca="1">VLOOKUP($AB685,OFFSET([3]enemy_skill_sets!$B$2,0,0,COUNTA([3]enemy_skill_sets!$A:$A),MATCH(AC$1,[3]enemy_skill_sets!$1:$1,0)-MATCH($AB$1,[3]enemy_skill_sets!$1:$1,0)+1),MATCH(AC$1,[3]enemy_skill_sets!$1:$1,0)-MATCH($AB$1,[3]enemy_skill_sets!$1:$1,0)+1,FALSE)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5" s="67">
        <v>10</v>
      </c>
      <c r="AE685" s="67">
        <v>20</v>
      </c>
      <c r="AF685" s="68">
        <v>0</v>
      </c>
      <c r="AG685" s="99">
        <f ca="1">ROUND(VLOOKUP(1,enemy_base_stats!$A:$F,2,FALSE) * Y685* J685*O685*E685*S685*AD685*[2]ステータス!$B$2,0)</f>
        <v>3250</v>
      </c>
      <c r="AH685" s="99">
        <f ca="1">ROUND(VLOOKUP(1,enemy_base_stats!$A:$F,3,FALSE) * Z685*K685*P685*F685*T685*AE685 * W685*[2]ステータス!$C$2,0)</f>
        <v>248</v>
      </c>
      <c r="AI685" s="99">
        <f ca="1">ROUND(VLOOKUP(1,enemy_base_stats!$A:$F,4,FALSE) * AA685*L685*Q685*G685*U685*AF685*[2]ステータス!$D$2,0)</f>
        <v>0</v>
      </c>
      <c r="AJ685" s="99">
        <f ca="1">ROUND(VLOOKUP(100,enemy_base_stats!$A:$F,2,FALSE) * Y685* J685*O685*E685*S685*AD685*[2]ステータス!$B$2,0)</f>
        <v>131950</v>
      </c>
      <c r="AK685" s="99">
        <f ca="1">ROUND(VLOOKUP(100,enemy_base_stats!$A:$F,3,FALSE)* Z685* K685*P685*F685*T685*AE685 * W685*[2]ステータス!$C$2,0)</f>
        <v>10086</v>
      </c>
      <c r="AL685" s="99">
        <f ca="1">ROUND(VLOOKUP(100,enemy_base_stats!$A:$F,4,FALSE)* AA685* L685*Q685*G685*U685*AF685*[2]ステータス!$D$2,0)</f>
        <v>0</v>
      </c>
      <c r="AM685" s="97">
        <f ca="1">VLOOKUP(M685,[2]character_tribe_i18n!$A:$I,9,FALSE)</f>
        <v>340</v>
      </c>
      <c r="AN685" s="97">
        <v>0</v>
      </c>
      <c r="AO685" s="98">
        <v>0</v>
      </c>
      <c r="AP685" s="58" t="s">
        <v>72</v>
      </c>
      <c r="AQ685" s="34">
        <f t="shared" ca="1" si="42"/>
        <v>684</v>
      </c>
    </row>
    <row r="686" spans="1:43" ht="21" customHeight="1" x14ac:dyDescent="0.15">
      <c r="A686" s="7">
        <f t="shared" ca="1" si="41"/>
        <v>685</v>
      </c>
      <c r="B686" s="6" t="str">
        <f ca="1">VLOOKUP(A686,[2]characters!$A:$C,3,FALSE)</f>
        <v>水のプレゼントフロッグ</v>
      </c>
      <c r="C686" s="9">
        <f ca="1">VLOOKUP(A686,[2]characters!$A:$I,9,FALSE)</f>
        <v>6</v>
      </c>
      <c r="D686" s="9" t="str">
        <f ca="1">VLOOKUP(A686,[2]characters!$A:$H,8,FALSE)</f>
        <v>blue</v>
      </c>
      <c r="E686" s="97">
        <f ca="1">VLOOKUP(D686,[2]属性!$A:$E,2,FALSE)</f>
        <v>1</v>
      </c>
      <c r="F686" s="97">
        <f ca="1">VLOOKUP(D686,[2]属性!$A:$E,3,FALSE)</f>
        <v>0.98</v>
      </c>
      <c r="G686" s="97">
        <f ca="1">VLOOKUP(D686,[2]属性!$A:$F,4,FALSE)</f>
        <v>1</v>
      </c>
      <c r="H686" s="9" t="str">
        <f ca="1">VLOOKUP(A686,[2]characters!$A:$K,11,FALSE)</f>
        <v>exp</v>
      </c>
      <c r="I686" s="6" t="str">
        <f ca="1">VLOOKUP(H686,[2]character_type_i18n!$A:$F,3,FALSE)</f>
        <v>強化素材タイプ</v>
      </c>
      <c r="J686" s="97">
        <f ca="1">VLOOKUP(H686,[2]character_type_i18n!$A:$F,4,FALSE)</f>
        <v>0.1</v>
      </c>
      <c r="K686" s="97">
        <f ca="1">VLOOKUP(H686,[2]character_type_i18n!$A:$F,5,FALSE)</f>
        <v>0.05</v>
      </c>
      <c r="L686" s="97">
        <f ca="1">VLOOKUP(H686,[2]character_type_i18n!$A:$F,6,FALSE)</f>
        <v>1</v>
      </c>
      <c r="M686" s="9" t="str">
        <f ca="1">VLOOKUP(A686,[2]characters!$A:$M,13,FALSE)</f>
        <v>unknown</v>
      </c>
      <c r="N686" s="6" t="str">
        <f ca="1">VLOOKUP(M686,[2]character_tribe_i18n!$A:$F,3,FALSE)</f>
        <v>Unknown</v>
      </c>
      <c r="O686" s="97">
        <f ca="1">VLOOKUP(M686,[2]character_tribe_i18n!$A:$F,4,FALSE)</f>
        <v>1</v>
      </c>
      <c r="P686" s="97">
        <f ca="1">VLOOKUP(M686,[2]character_tribe_i18n!$A:$F,5,FALSE)</f>
        <v>1</v>
      </c>
      <c r="Q686" s="97">
        <f ca="1">VLOOKUP(M686,[2]character_tribe_i18n!$A:$F,6,FALSE)</f>
        <v>1</v>
      </c>
      <c r="R686" s="98" t="s">
        <v>98</v>
      </c>
      <c r="S686" s="97">
        <f>VLOOKUP($R686,ラベル別係数!$A$1:$E$7,3,FALSE)</f>
        <v>5</v>
      </c>
      <c r="T686" s="97">
        <f>VLOOKUP($R686,ラベル別係数!$A$1:$E$7,4,FALSE)</f>
        <v>1.3</v>
      </c>
      <c r="U686" s="97">
        <f>VLOOKUP($R686,ラベル別係数!$A$1:$E$7,5,FALSE)</f>
        <v>0.8</v>
      </c>
      <c r="V686" s="98">
        <v>3</v>
      </c>
      <c r="W686" s="99">
        <f>VLOOKUP(V686,ターン数別攻撃係数!$A$1:$B$1000,2,FALSE)</f>
        <v>1</v>
      </c>
      <c r="X686" s="100">
        <v>30</v>
      </c>
      <c r="Y686" s="97">
        <f>VLOOKUP($X686,サイズ別係数!$B:$E,2,FALSE)</f>
        <v>1.3</v>
      </c>
      <c r="Z686" s="97">
        <f>VLOOKUP($X686,サイズ別係数!$B:$E,3,FALSE)</f>
        <v>1.3</v>
      </c>
      <c r="AA686" s="97">
        <f>VLOOKUP($X686,サイズ別係数!$B:$E,4,FALSE)</f>
        <v>1.1000000000000001</v>
      </c>
      <c r="AB686" s="10">
        <v>0</v>
      </c>
      <c r="AC686" s="6" t="str">
        <f ca="1">VLOOKUP($AB686,OFFSET([3]enemy_skill_sets!$B$2,0,0,COUNTA([3]enemy_skill_sets!$A:$A),MATCH(AC$1,[3]enemy_skill_sets!$1:$1,0)-MATCH($AB$1,[3]enemy_skill_sets!$1:$1,0)+1),MATCH(AC$1,[3]enemy_skill_sets!$1:$1,0)-MATCH($AB$1,[3]enemy_skill_sets!$1:$1,0)+1,FALSE)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6" s="67">
        <v>10</v>
      </c>
      <c r="AE686" s="67">
        <v>20</v>
      </c>
      <c r="AF686" s="68">
        <v>0</v>
      </c>
      <c r="AG686" s="99">
        <f ca="1">ROUND(VLOOKUP(1,enemy_base_stats!$A:$F,2,FALSE) * Y686* J686*O686*E686*S686*AD686*[2]ステータス!$B$2,0)</f>
        <v>3250</v>
      </c>
      <c r="AH686" s="99">
        <f ca="1">ROUND(VLOOKUP(1,enemy_base_stats!$A:$F,3,FALSE) * Z686*K686*P686*F686*T686*AE686 * W686*[2]ステータス!$C$2,0)</f>
        <v>248</v>
      </c>
      <c r="AI686" s="99">
        <f ca="1">ROUND(VLOOKUP(1,enemy_base_stats!$A:$F,4,FALSE) * AA686*L686*Q686*G686*U686*AF686*[2]ステータス!$D$2,0)</f>
        <v>0</v>
      </c>
      <c r="AJ686" s="99">
        <f ca="1">ROUND(VLOOKUP(100,enemy_base_stats!$A:$F,2,FALSE) * Y686* J686*O686*E686*S686*AD686*[2]ステータス!$B$2,0)</f>
        <v>131950</v>
      </c>
      <c r="AK686" s="99">
        <f ca="1">ROUND(VLOOKUP(100,enemy_base_stats!$A:$F,3,FALSE)* Z686* K686*P686*F686*T686*AE686 * W686*[2]ステータス!$C$2,0)</f>
        <v>10086</v>
      </c>
      <c r="AL686" s="99">
        <f ca="1">ROUND(VLOOKUP(100,enemy_base_stats!$A:$F,4,FALSE)* AA686* L686*Q686*G686*U686*AF686*[2]ステータス!$D$2,0)</f>
        <v>0</v>
      </c>
      <c r="AM686" s="97">
        <f ca="1">VLOOKUP(M686,[2]character_tribe_i18n!$A:$I,9,FALSE)</f>
        <v>340</v>
      </c>
      <c r="AN686" s="97">
        <v>0</v>
      </c>
      <c r="AO686" s="98">
        <v>0</v>
      </c>
      <c r="AP686" s="58" t="s">
        <v>72</v>
      </c>
      <c r="AQ686" s="34">
        <f t="shared" ca="1" si="42"/>
        <v>685</v>
      </c>
    </row>
    <row r="687" spans="1:43" ht="21" customHeight="1" x14ac:dyDescent="0.15">
      <c r="A687" s="7">
        <f t="shared" ca="1" si="41"/>
        <v>686</v>
      </c>
      <c r="B687" s="6" t="str">
        <f ca="1">VLOOKUP(A687,[2]characters!$A:$C,3,FALSE)</f>
        <v>雷のプレゼントケロケロ</v>
      </c>
      <c r="C687" s="9">
        <f ca="1">VLOOKUP(A687,[2]characters!$A:$I,9,FALSE)</f>
        <v>5</v>
      </c>
      <c r="D687" s="9" t="str">
        <f ca="1">VLOOKUP(A687,[2]characters!$A:$H,8,FALSE)</f>
        <v>yellow</v>
      </c>
      <c r="E687" s="97">
        <f ca="1">VLOOKUP(D687,[2]属性!$A:$E,2,FALSE)</f>
        <v>0.98</v>
      </c>
      <c r="F687" s="97">
        <f ca="1">VLOOKUP(D687,[2]属性!$A:$E,3,FALSE)</f>
        <v>1.01</v>
      </c>
      <c r="G687" s="97">
        <f ca="1">VLOOKUP(D687,[2]属性!$A:$F,4,FALSE)</f>
        <v>1</v>
      </c>
      <c r="H687" s="9" t="str">
        <f ca="1">VLOOKUP(A687,[2]characters!$A:$K,11,FALSE)</f>
        <v>exp</v>
      </c>
      <c r="I687" s="6" t="str">
        <f ca="1">VLOOKUP(H687,[2]character_type_i18n!$A:$F,3,FALSE)</f>
        <v>強化素材タイプ</v>
      </c>
      <c r="J687" s="97">
        <f ca="1">VLOOKUP(H687,[2]character_type_i18n!$A:$F,4,FALSE)</f>
        <v>0.1</v>
      </c>
      <c r="K687" s="97">
        <f ca="1">VLOOKUP(H687,[2]character_type_i18n!$A:$F,5,FALSE)</f>
        <v>0.05</v>
      </c>
      <c r="L687" s="97">
        <f ca="1">VLOOKUP(H687,[2]character_type_i18n!$A:$F,6,FALSE)</f>
        <v>1</v>
      </c>
      <c r="M687" s="9" t="str">
        <f ca="1">VLOOKUP(A687,[2]characters!$A:$M,13,FALSE)</f>
        <v>unknown</v>
      </c>
      <c r="N687" s="6" t="str">
        <f ca="1">VLOOKUP(M687,[2]character_tribe_i18n!$A:$F,3,FALSE)</f>
        <v>Unknown</v>
      </c>
      <c r="O687" s="97">
        <f ca="1">VLOOKUP(M687,[2]character_tribe_i18n!$A:$F,4,FALSE)</f>
        <v>1</v>
      </c>
      <c r="P687" s="97">
        <f ca="1">VLOOKUP(M687,[2]character_tribe_i18n!$A:$F,5,FALSE)</f>
        <v>1</v>
      </c>
      <c r="Q687" s="97">
        <f ca="1">VLOOKUP(M687,[2]character_tribe_i18n!$A:$F,6,FALSE)</f>
        <v>1</v>
      </c>
      <c r="R687" s="98" t="s">
        <v>98</v>
      </c>
      <c r="S687" s="97">
        <f>VLOOKUP($R687,ラベル別係数!$A$1:$E$7,3,FALSE)</f>
        <v>5</v>
      </c>
      <c r="T687" s="97">
        <f>VLOOKUP($R687,ラベル別係数!$A$1:$E$7,4,FALSE)</f>
        <v>1.3</v>
      </c>
      <c r="U687" s="97">
        <f>VLOOKUP($R687,ラベル別係数!$A$1:$E$7,5,FALSE)</f>
        <v>0.8</v>
      </c>
      <c r="V687" s="98">
        <v>3</v>
      </c>
      <c r="W687" s="99">
        <f>VLOOKUP(V687,ターン数別攻撃係数!$A$1:$B$1000,2,FALSE)</f>
        <v>1</v>
      </c>
      <c r="X687" s="100">
        <v>30</v>
      </c>
      <c r="Y687" s="97">
        <f>VLOOKUP($X687,サイズ別係数!$B:$E,2,FALSE)</f>
        <v>1.3</v>
      </c>
      <c r="Z687" s="97">
        <f>VLOOKUP($X687,サイズ別係数!$B:$E,3,FALSE)</f>
        <v>1.3</v>
      </c>
      <c r="AA687" s="97">
        <f>VLOOKUP($X687,サイズ別係数!$B:$E,4,FALSE)</f>
        <v>1.1000000000000001</v>
      </c>
      <c r="AB687" s="10">
        <v>0</v>
      </c>
      <c r="AC687" s="6" t="str">
        <f ca="1">VLOOKUP($AB687,OFFSET([3]enemy_skill_sets!$B$2,0,0,COUNTA([3]enemy_skill_sets!$A:$A),MATCH(AC$1,[3]enemy_skill_sets!$1:$1,0)-MATCH($AB$1,[3]enemy_skill_sets!$1:$1,0)+1),MATCH(AC$1,[3]enemy_skill_sets!$1:$1,0)-MATCH($AB$1,[3]enemy_skill_sets!$1:$1,0)+1,FALSE)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7" s="67">
        <v>10</v>
      </c>
      <c r="AE687" s="67">
        <v>20</v>
      </c>
      <c r="AF687" s="68">
        <v>0</v>
      </c>
      <c r="AG687" s="99">
        <f ca="1">ROUND(VLOOKUP(1,enemy_base_stats!$A:$F,2,FALSE) * Y687* J687*O687*E687*S687*AD687*[2]ステータス!$B$2,0)</f>
        <v>3185</v>
      </c>
      <c r="AH687" s="99">
        <f ca="1">ROUND(VLOOKUP(1,enemy_base_stats!$A:$F,3,FALSE) * Z687*K687*P687*F687*T687*AE687 * W687*[2]ステータス!$C$2,0)</f>
        <v>256</v>
      </c>
      <c r="AI687" s="99">
        <f ca="1">ROUND(VLOOKUP(1,enemy_base_stats!$A:$F,4,FALSE) * AA687*L687*Q687*G687*U687*AF687*[2]ステータス!$D$2,0)</f>
        <v>0</v>
      </c>
      <c r="AJ687" s="99">
        <f ca="1">ROUND(VLOOKUP(100,enemy_base_stats!$A:$F,2,FALSE) * Y687* J687*O687*E687*S687*AD687*[2]ステータス!$B$2,0)</f>
        <v>129311</v>
      </c>
      <c r="AK687" s="99">
        <f ca="1">ROUND(VLOOKUP(100,enemy_base_stats!$A:$F,3,FALSE)* Z687* K687*P687*F687*T687*AE687 * W687*[2]ステータス!$C$2,0)</f>
        <v>10395</v>
      </c>
      <c r="AL687" s="99">
        <f ca="1">ROUND(VLOOKUP(100,enemy_base_stats!$A:$F,4,FALSE)* AA687* L687*Q687*G687*U687*AF687*[2]ステータス!$D$2,0)</f>
        <v>0</v>
      </c>
      <c r="AM687" s="97">
        <f ca="1">VLOOKUP(M687,[2]character_tribe_i18n!$A:$I,9,FALSE)</f>
        <v>340</v>
      </c>
      <c r="AN687" s="97">
        <v>0</v>
      </c>
      <c r="AO687" s="98">
        <v>0</v>
      </c>
      <c r="AP687" s="58" t="s">
        <v>72</v>
      </c>
      <c r="AQ687" s="34">
        <f t="shared" ca="1" si="42"/>
        <v>686</v>
      </c>
    </row>
    <row r="688" spans="1:43" ht="21" customHeight="1" x14ac:dyDescent="0.15">
      <c r="A688" s="7">
        <f t="shared" ca="1" si="41"/>
        <v>687</v>
      </c>
      <c r="B688" s="6" t="str">
        <f ca="1">VLOOKUP(A688,[2]characters!$A:$C,3,FALSE)</f>
        <v>雷のプレゼントフロッグ</v>
      </c>
      <c r="C688" s="9">
        <f ca="1">VLOOKUP(A688,[2]characters!$A:$I,9,FALSE)</f>
        <v>6</v>
      </c>
      <c r="D688" s="9" t="str">
        <f ca="1">VLOOKUP(A688,[2]characters!$A:$H,8,FALSE)</f>
        <v>yellow</v>
      </c>
      <c r="E688" s="97">
        <f ca="1">VLOOKUP(D688,[2]属性!$A:$E,2,FALSE)</f>
        <v>0.98</v>
      </c>
      <c r="F688" s="97">
        <f ca="1">VLOOKUP(D688,[2]属性!$A:$E,3,FALSE)</f>
        <v>1.01</v>
      </c>
      <c r="G688" s="97">
        <f ca="1">VLOOKUP(D688,[2]属性!$A:$F,4,FALSE)</f>
        <v>1</v>
      </c>
      <c r="H688" s="9" t="str">
        <f ca="1">VLOOKUP(A688,[2]characters!$A:$K,11,FALSE)</f>
        <v>exp</v>
      </c>
      <c r="I688" s="6" t="str">
        <f ca="1">VLOOKUP(H688,[2]character_type_i18n!$A:$F,3,FALSE)</f>
        <v>強化素材タイプ</v>
      </c>
      <c r="J688" s="97">
        <f ca="1">VLOOKUP(H688,[2]character_type_i18n!$A:$F,4,FALSE)</f>
        <v>0.1</v>
      </c>
      <c r="K688" s="97">
        <f ca="1">VLOOKUP(H688,[2]character_type_i18n!$A:$F,5,FALSE)</f>
        <v>0.05</v>
      </c>
      <c r="L688" s="97">
        <f ca="1">VLOOKUP(H688,[2]character_type_i18n!$A:$F,6,FALSE)</f>
        <v>1</v>
      </c>
      <c r="M688" s="9" t="str">
        <f ca="1">VLOOKUP(A688,[2]characters!$A:$M,13,FALSE)</f>
        <v>unknown</v>
      </c>
      <c r="N688" s="6" t="str">
        <f ca="1">VLOOKUP(M688,[2]character_tribe_i18n!$A:$F,3,FALSE)</f>
        <v>Unknown</v>
      </c>
      <c r="O688" s="97">
        <f ca="1">VLOOKUP(M688,[2]character_tribe_i18n!$A:$F,4,FALSE)</f>
        <v>1</v>
      </c>
      <c r="P688" s="97">
        <f ca="1">VLOOKUP(M688,[2]character_tribe_i18n!$A:$F,5,FALSE)</f>
        <v>1</v>
      </c>
      <c r="Q688" s="97">
        <f ca="1">VLOOKUP(M688,[2]character_tribe_i18n!$A:$F,6,FALSE)</f>
        <v>1</v>
      </c>
      <c r="R688" s="98" t="s">
        <v>98</v>
      </c>
      <c r="S688" s="97">
        <f>VLOOKUP($R688,ラベル別係数!$A$1:$E$7,3,FALSE)</f>
        <v>5</v>
      </c>
      <c r="T688" s="97">
        <f>VLOOKUP($R688,ラベル別係数!$A$1:$E$7,4,FALSE)</f>
        <v>1.3</v>
      </c>
      <c r="U688" s="97">
        <f>VLOOKUP($R688,ラベル別係数!$A$1:$E$7,5,FALSE)</f>
        <v>0.8</v>
      </c>
      <c r="V688" s="98">
        <v>3</v>
      </c>
      <c r="W688" s="99">
        <f>VLOOKUP(V688,ターン数別攻撃係数!$A$1:$B$1000,2,FALSE)</f>
        <v>1</v>
      </c>
      <c r="X688" s="100">
        <v>30</v>
      </c>
      <c r="Y688" s="97">
        <f>VLOOKUP($X688,サイズ別係数!$B:$E,2,FALSE)</f>
        <v>1.3</v>
      </c>
      <c r="Z688" s="97">
        <f>VLOOKUP($X688,サイズ別係数!$B:$E,3,FALSE)</f>
        <v>1.3</v>
      </c>
      <c r="AA688" s="97">
        <f>VLOOKUP($X688,サイズ別係数!$B:$E,4,FALSE)</f>
        <v>1.1000000000000001</v>
      </c>
      <c r="AB688" s="10">
        <v>0</v>
      </c>
      <c r="AC688" s="6" t="str">
        <f ca="1">VLOOKUP($AB688,OFFSET([3]enemy_skill_sets!$B$2,0,0,COUNTA([3]enemy_skill_sets!$A:$A),MATCH(AC$1,[3]enemy_skill_sets!$1:$1,0)-MATCH($AB$1,[3]enemy_skill_sets!$1:$1,0)+1),MATCH(AC$1,[3]enemy_skill_sets!$1:$1,0)-MATCH($AB$1,[3]enemy_skill_sets!$1:$1,0)+1,FALSE)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8" s="67">
        <v>10</v>
      </c>
      <c r="AE688" s="67">
        <v>20</v>
      </c>
      <c r="AF688" s="68">
        <v>0</v>
      </c>
      <c r="AG688" s="99">
        <f ca="1">ROUND(VLOOKUP(1,enemy_base_stats!$A:$F,2,FALSE) * Y688* J688*O688*E688*S688*AD688*[2]ステータス!$B$2,0)</f>
        <v>3185</v>
      </c>
      <c r="AH688" s="99">
        <f ca="1">ROUND(VLOOKUP(1,enemy_base_stats!$A:$F,3,FALSE) * Z688*K688*P688*F688*T688*AE688 * W688*[2]ステータス!$C$2,0)</f>
        <v>256</v>
      </c>
      <c r="AI688" s="99">
        <f ca="1">ROUND(VLOOKUP(1,enemy_base_stats!$A:$F,4,FALSE) * AA688*L688*Q688*G688*U688*AF688*[2]ステータス!$D$2,0)</f>
        <v>0</v>
      </c>
      <c r="AJ688" s="99">
        <f ca="1">ROUND(VLOOKUP(100,enemy_base_stats!$A:$F,2,FALSE) * Y688* J688*O688*E688*S688*AD688*[2]ステータス!$B$2,0)</f>
        <v>129311</v>
      </c>
      <c r="AK688" s="99">
        <f ca="1">ROUND(VLOOKUP(100,enemy_base_stats!$A:$F,3,FALSE)* Z688* K688*P688*F688*T688*AE688 * W688*[2]ステータス!$C$2,0)</f>
        <v>10395</v>
      </c>
      <c r="AL688" s="99">
        <f ca="1">ROUND(VLOOKUP(100,enemy_base_stats!$A:$F,4,FALSE)* AA688* L688*Q688*G688*U688*AF688*[2]ステータス!$D$2,0)</f>
        <v>0</v>
      </c>
      <c r="AM688" s="97">
        <f ca="1">VLOOKUP(M688,[2]character_tribe_i18n!$A:$I,9,FALSE)</f>
        <v>340</v>
      </c>
      <c r="AN688" s="97">
        <v>0</v>
      </c>
      <c r="AO688" s="98">
        <v>0</v>
      </c>
      <c r="AP688" s="58" t="s">
        <v>72</v>
      </c>
      <c r="AQ688" s="34">
        <f t="shared" ca="1" si="42"/>
        <v>687</v>
      </c>
    </row>
    <row r="689" spans="1:43" ht="21" customHeight="1" x14ac:dyDescent="0.15">
      <c r="A689" s="7">
        <f t="shared" ca="1" si="41"/>
        <v>688</v>
      </c>
      <c r="B689" s="6" t="str">
        <f ca="1">VLOOKUP(A689,[2]characters!$A:$C,3,FALSE)</f>
        <v>ユークリッド</v>
      </c>
      <c r="C689" s="9">
        <f ca="1">VLOOKUP(A689,[2]characters!$A:$I,9,FALSE)</f>
        <v>4</v>
      </c>
      <c r="D689" s="9" t="str">
        <f ca="1">VLOOKUP(A689,[2]characters!$A:$H,8,FALSE)</f>
        <v>blue</v>
      </c>
      <c r="E689" s="97">
        <f ca="1">VLOOKUP(D689,[2]属性!$A:$E,2,FALSE)</f>
        <v>1</v>
      </c>
      <c r="F689" s="97">
        <f ca="1">VLOOKUP(D689,[2]属性!$A:$E,3,FALSE)</f>
        <v>0.98</v>
      </c>
      <c r="G689" s="97">
        <f ca="1">VLOOKUP(D689,[2]属性!$A:$F,4,FALSE)</f>
        <v>1</v>
      </c>
      <c r="H689" s="9" t="str">
        <f ca="1">VLOOKUP(A689,[2]characters!$A:$K,11,FALSE)</f>
        <v>balance</v>
      </c>
      <c r="I689" s="6" t="str">
        <f ca="1">VLOOKUP(H689,[2]character_type_i18n!$A:$F,3,FALSE)</f>
        <v>バランスタイプ</v>
      </c>
      <c r="J689" s="97">
        <f ca="1">VLOOKUP(H689,[2]character_type_i18n!$A:$F,4,FALSE)</f>
        <v>1</v>
      </c>
      <c r="K689" s="97">
        <f ca="1">VLOOKUP(H689,[2]character_type_i18n!$A:$F,5,FALSE)</f>
        <v>1</v>
      </c>
      <c r="L689" s="97">
        <f ca="1">VLOOKUP(H689,[2]character_type_i18n!$A:$F,6,FALSE)</f>
        <v>1</v>
      </c>
      <c r="M689" s="9" t="str">
        <f ca="1">VLOOKUP(A689,[2]characters!$A:$M,13,FALSE)</f>
        <v>human</v>
      </c>
      <c r="N689" s="6" t="str">
        <f ca="1">VLOOKUP(M689,[2]character_tribe_i18n!$A:$F,3,FALSE)</f>
        <v>ヒューマン</v>
      </c>
      <c r="O689" s="97">
        <f ca="1">VLOOKUP(M689,[2]character_tribe_i18n!$A:$F,4,FALSE)</f>
        <v>0.94</v>
      </c>
      <c r="P689" s="97">
        <f ca="1">VLOOKUP(M689,[2]character_tribe_i18n!$A:$F,5,FALSE)</f>
        <v>0.99</v>
      </c>
      <c r="Q689" s="97">
        <f ca="1">VLOOKUP(M689,[2]character_tribe_i18n!$A:$F,6,FALSE)</f>
        <v>1</v>
      </c>
      <c r="R689" s="98" t="s">
        <v>98</v>
      </c>
      <c r="S689" s="97">
        <f>VLOOKUP($R689,ラベル別係数!$A$1:$E$7,3,FALSE)</f>
        <v>5</v>
      </c>
      <c r="T689" s="97">
        <f>VLOOKUP($R689,ラベル別係数!$A$1:$E$7,4,FALSE)</f>
        <v>1.3</v>
      </c>
      <c r="U689" s="97">
        <f>VLOOKUP($R689,ラベル別係数!$A$1:$E$7,5,FALSE)</f>
        <v>0.8</v>
      </c>
      <c r="V689" s="98">
        <v>3</v>
      </c>
      <c r="W689" s="99">
        <f>VLOOKUP(V689,ターン数別攻撃係数!$A$1:$B$1000,2,FALSE)</f>
        <v>1</v>
      </c>
      <c r="X689" s="9">
        <f ca="1">VLOOKUP(C689,サイズ別係数!A$2:B$9,2,FALSE)</f>
        <v>30</v>
      </c>
      <c r="Y689" s="97">
        <f ca="1">VLOOKUP($X689,サイズ別係数!$B:$E,2,FALSE)</f>
        <v>1.3</v>
      </c>
      <c r="Z689" s="97">
        <f ca="1">VLOOKUP($X689,サイズ別係数!$B:$E,3,FALSE)</f>
        <v>1.3</v>
      </c>
      <c r="AA689" s="97">
        <f ca="1">VLOOKUP($X689,サイズ別係数!$B:$E,4,FALSE)</f>
        <v>1.1000000000000001</v>
      </c>
      <c r="AB689" s="10">
        <v>0</v>
      </c>
      <c r="AC689" s="6" t="str">
        <f ca="1">VLOOKUP($AB689,OFFSET([3]enemy_skill_sets!$B$2,0,0,COUNTA([3]enemy_skill_sets!$A:$A),MATCH(AC$1,[3]enemy_skill_sets!$1:$1,0)-MATCH($AB$1,[3]enemy_skill_sets!$1:$1,0)+1),MATCH(AC$1,[3]enemy_skill_sets!$1:$1,0)-MATCH($AB$1,[3]enemy_skill_sets!$1:$1,0)+1,FALSE)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89" s="67">
        <v>1</v>
      </c>
      <c r="AE689" s="67">
        <v>1</v>
      </c>
      <c r="AF689" s="68">
        <v>0</v>
      </c>
      <c r="AG689" s="99">
        <f ca="1">ROUND(VLOOKUP(1,enemy_base_stats!$A:$F,2,FALSE) * Y689* J689*O689*E689*S689*AD689*[2]ステータス!$B$2,0)</f>
        <v>3055</v>
      </c>
      <c r="AH689" s="99">
        <f ca="1">ROUND(VLOOKUP(1,enemy_base_stats!$A:$F,3,FALSE) * Z689*K689*P689*F689*T689*AE689 * W689*[2]ステータス!$C$2,0)</f>
        <v>246</v>
      </c>
      <c r="AI689" s="99">
        <f ca="1">ROUND(VLOOKUP(1,enemy_base_stats!$A:$F,4,FALSE) * AA689*L689*Q689*G689*U689*AF689*[2]ステータス!$D$2,0)</f>
        <v>0</v>
      </c>
      <c r="AJ689" s="99">
        <f ca="1">ROUND(VLOOKUP(100,enemy_base_stats!$A:$F,2,FALSE) * Y689* J689*O689*E689*S689*AD689*[2]ステータス!$B$2,0)</f>
        <v>124033</v>
      </c>
      <c r="AK689" s="99">
        <f ca="1">ROUND(VLOOKUP(100,enemy_base_stats!$A:$F,3,FALSE)* Z689* K689*P689*F689*T689*AE689 * W689*[2]ステータス!$C$2,0)</f>
        <v>9985</v>
      </c>
      <c r="AL689" s="99">
        <f ca="1">ROUND(VLOOKUP(100,enemy_base_stats!$A:$F,4,FALSE)* AA689* L689*Q689*G689*U689*AF689*[2]ステータス!$D$2,0)</f>
        <v>0</v>
      </c>
      <c r="AM689" s="97">
        <f ca="1">VLOOKUP(M689,[2]character_tribe_i18n!$A:$I,9,FALSE)</f>
        <v>400</v>
      </c>
      <c r="AN689" s="97">
        <v>0</v>
      </c>
      <c r="AO689" s="98">
        <v>0</v>
      </c>
      <c r="AP689" s="58" t="s">
        <v>72</v>
      </c>
      <c r="AQ689" s="34">
        <f t="shared" ca="1" si="42"/>
        <v>688</v>
      </c>
    </row>
    <row r="690" spans="1:43" ht="21" customHeight="1" x14ac:dyDescent="0.15">
      <c r="A690" s="7">
        <f t="shared" ca="1" si="41"/>
        <v>689</v>
      </c>
      <c r="B690" s="6" t="str">
        <f ca="1">VLOOKUP(A690,[2]characters!$A:$C,3,FALSE)</f>
        <v>根原論理 ユークリッド</v>
      </c>
      <c r="C690" s="9">
        <f ca="1">VLOOKUP(A690,[2]characters!$A:$I,9,FALSE)</f>
        <v>5</v>
      </c>
      <c r="D690" s="9" t="str">
        <f ca="1">VLOOKUP(A690,[2]characters!$A:$H,8,FALSE)</f>
        <v>blue</v>
      </c>
      <c r="E690" s="97">
        <f ca="1">VLOOKUP(D690,[2]属性!$A:$E,2,FALSE)</f>
        <v>1</v>
      </c>
      <c r="F690" s="97">
        <f ca="1">VLOOKUP(D690,[2]属性!$A:$E,3,FALSE)</f>
        <v>0.98</v>
      </c>
      <c r="G690" s="97">
        <f ca="1">VLOOKUP(D690,[2]属性!$A:$F,4,FALSE)</f>
        <v>1</v>
      </c>
      <c r="H690" s="9" t="str">
        <f ca="1">VLOOKUP(A690,[2]characters!$A:$K,11,FALSE)</f>
        <v>balance</v>
      </c>
      <c r="I690" s="6" t="str">
        <f ca="1">VLOOKUP(H690,[2]character_type_i18n!$A:$F,3,FALSE)</f>
        <v>バランスタイプ</v>
      </c>
      <c r="J690" s="97">
        <f ca="1">VLOOKUP(H690,[2]character_type_i18n!$A:$F,4,FALSE)</f>
        <v>1</v>
      </c>
      <c r="K690" s="97">
        <f ca="1">VLOOKUP(H690,[2]character_type_i18n!$A:$F,5,FALSE)</f>
        <v>1</v>
      </c>
      <c r="L690" s="97">
        <f ca="1">VLOOKUP(H690,[2]character_type_i18n!$A:$F,6,FALSE)</f>
        <v>1</v>
      </c>
      <c r="M690" s="9" t="str">
        <f ca="1">VLOOKUP(A690,[2]characters!$A:$M,13,FALSE)</f>
        <v>human</v>
      </c>
      <c r="N690" s="6" t="str">
        <f ca="1">VLOOKUP(M690,[2]character_tribe_i18n!$A:$F,3,FALSE)</f>
        <v>ヒューマン</v>
      </c>
      <c r="O690" s="97">
        <f ca="1">VLOOKUP(M690,[2]character_tribe_i18n!$A:$F,4,FALSE)</f>
        <v>0.94</v>
      </c>
      <c r="P690" s="97">
        <f ca="1">VLOOKUP(M690,[2]character_tribe_i18n!$A:$F,5,FALSE)</f>
        <v>0.99</v>
      </c>
      <c r="Q690" s="97">
        <f ca="1">VLOOKUP(M690,[2]character_tribe_i18n!$A:$F,6,FALSE)</f>
        <v>1</v>
      </c>
      <c r="R690" s="98" t="s">
        <v>98</v>
      </c>
      <c r="S690" s="97">
        <f>VLOOKUP($R690,ラベル別係数!$A$1:$E$7,3,FALSE)</f>
        <v>5</v>
      </c>
      <c r="T690" s="97">
        <f>VLOOKUP($R690,ラベル別係数!$A$1:$E$7,4,FALSE)</f>
        <v>1.3</v>
      </c>
      <c r="U690" s="97">
        <f>VLOOKUP($R690,ラベル別係数!$A$1:$E$7,5,FALSE)</f>
        <v>0.8</v>
      </c>
      <c r="V690" s="98">
        <v>3</v>
      </c>
      <c r="W690" s="99">
        <f>VLOOKUP(V690,ターン数別攻撃係数!$A$1:$B$1000,2,FALSE)</f>
        <v>1</v>
      </c>
      <c r="X690" s="9">
        <f ca="1">VLOOKUP(C690,サイズ別係数!A$2:B$9,2,FALSE)</f>
        <v>60</v>
      </c>
      <c r="Y690" s="97">
        <f ca="1">VLOOKUP($X690,サイズ別係数!$B:$E,2,FALSE)</f>
        <v>1.7</v>
      </c>
      <c r="Z690" s="97">
        <f ca="1">VLOOKUP($X690,サイズ別係数!$B:$E,3,FALSE)</f>
        <v>1.4</v>
      </c>
      <c r="AA690" s="97">
        <f ca="1">VLOOKUP($X690,サイズ別係数!$B:$E,4,FALSE)</f>
        <v>1</v>
      </c>
      <c r="AB690" s="10">
        <v>0</v>
      </c>
      <c r="AC690" s="6" t="str">
        <f ca="1">VLOOKUP($AB690,OFFSET([3]enemy_skill_sets!$B$2,0,0,COUNTA([3]enemy_skill_sets!$A:$A),MATCH(AC$1,[3]enemy_skill_sets!$1:$1,0)-MATCH($AB$1,[3]enemy_skill_sets!$1:$1,0)+1),MATCH(AC$1,[3]enemy_skill_sets!$1:$1,0)-MATCH($AB$1,[3]enemy_skill_sets!$1:$1,0)+1,FALSE)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0" s="67">
        <v>1</v>
      </c>
      <c r="AE690" s="67">
        <v>1</v>
      </c>
      <c r="AF690" s="68">
        <v>0</v>
      </c>
      <c r="AG690" s="99">
        <f ca="1">ROUND(VLOOKUP(1,enemy_base_stats!$A:$F,2,FALSE) * Y690* J690*O690*E690*S690*AD690*[2]ステータス!$B$2,0)</f>
        <v>3995</v>
      </c>
      <c r="AH690" s="99">
        <f ca="1">ROUND(VLOOKUP(1,enemy_base_stats!$A:$F,3,FALSE) * Z690*K690*P690*F690*T690*AE690 * W690*[2]ステータス!$C$2,0)</f>
        <v>265</v>
      </c>
      <c r="AI690" s="99">
        <f ca="1">ROUND(VLOOKUP(1,enemy_base_stats!$A:$F,4,FALSE) * AA690*L690*Q690*G690*U690*AF690*[2]ステータス!$D$2,0)</f>
        <v>0</v>
      </c>
      <c r="AJ690" s="99">
        <f ca="1">ROUND(VLOOKUP(100,enemy_base_stats!$A:$F,2,FALSE) * Y690* J690*O690*E690*S690*AD690*[2]ステータス!$B$2,0)</f>
        <v>162197</v>
      </c>
      <c r="AK690" s="99">
        <f ca="1">ROUND(VLOOKUP(100,enemy_base_stats!$A:$F,3,FALSE)* Z690* K690*P690*F690*T690*AE690 * W690*[2]ステータス!$C$2,0)</f>
        <v>10754</v>
      </c>
      <c r="AL690" s="99">
        <f ca="1">ROUND(VLOOKUP(100,enemy_base_stats!$A:$F,4,FALSE)* AA690* L690*Q690*G690*U690*AF690*[2]ステータス!$D$2,0)</f>
        <v>0</v>
      </c>
      <c r="AM690" s="97">
        <f ca="1">VLOOKUP(M690,[2]character_tribe_i18n!$A:$I,9,FALSE)</f>
        <v>400</v>
      </c>
      <c r="AN690" s="97">
        <v>0</v>
      </c>
      <c r="AO690" s="98">
        <v>0</v>
      </c>
      <c r="AP690" s="58" t="s">
        <v>72</v>
      </c>
      <c r="AQ690" s="34">
        <f t="shared" ca="1" si="42"/>
        <v>689</v>
      </c>
    </row>
    <row r="691" spans="1:43" ht="21" customHeight="1" x14ac:dyDescent="0.15">
      <c r="A691" s="7">
        <f t="shared" ca="1" si="41"/>
        <v>690</v>
      </c>
      <c r="B691" s="6" t="str">
        <f ca="1">VLOOKUP(A691,[2]characters!$A:$C,3,FALSE)</f>
        <v>不朽の極論 ユークリッド</v>
      </c>
      <c r="C691" s="9">
        <f ca="1">VLOOKUP(A691,[2]characters!$A:$I,9,FALSE)</f>
        <v>6</v>
      </c>
      <c r="D691" s="9" t="str">
        <f ca="1">VLOOKUP(A691,[2]characters!$A:$H,8,FALSE)</f>
        <v>blue</v>
      </c>
      <c r="E691" s="97">
        <f ca="1">VLOOKUP(D691,[2]属性!$A:$E,2,FALSE)</f>
        <v>1</v>
      </c>
      <c r="F691" s="97">
        <f ca="1">VLOOKUP(D691,[2]属性!$A:$E,3,FALSE)</f>
        <v>0.98</v>
      </c>
      <c r="G691" s="97">
        <f ca="1">VLOOKUP(D691,[2]属性!$A:$F,4,FALSE)</f>
        <v>1</v>
      </c>
      <c r="H691" s="9" t="str">
        <f ca="1">VLOOKUP(A691,[2]characters!$A:$K,11,FALSE)</f>
        <v>balance</v>
      </c>
      <c r="I691" s="6" t="str">
        <f ca="1">VLOOKUP(H691,[2]character_type_i18n!$A:$F,3,FALSE)</f>
        <v>バランスタイプ</v>
      </c>
      <c r="J691" s="97">
        <f ca="1">VLOOKUP(H691,[2]character_type_i18n!$A:$F,4,FALSE)</f>
        <v>1</v>
      </c>
      <c r="K691" s="97">
        <f ca="1">VLOOKUP(H691,[2]character_type_i18n!$A:$F,5,FALSE)</f>
        <v>1</v>
      </c>
      <c r="L691" s="97">
        <f ca="1">VLOOKUP(H691,[2]character_type_i18n!$A:$F,6,FALSE)</f>
        <v>1</v>
      </c>
      <c r="M691" s="9" t="str">
        <f ca="1">VLOOKUP(A691,[2]characters!$A:$M,13,FALSE)</f>
        <v>human</v>
      </c>
      <c r="N691" s="6" t="str">
        <f ca="1">VLOOKUP(M691,[2]character_tribe_i18n!$A:$F,3,FALSE)</f>
        <v>ヒューマン</v>
      </c>
      <c r="O691" s="97">
        <f ca="1">VLOOKUP(M691,[2]character_tribe_i18n!$A:$F,4,FALSE)</f>
        <v>0.94</v>
      </c>
      <c r="P691" s="97">
        <f ca="1">VLOOKUP(M691,[2]character_tribe_i18n!$A:$F,5,FALSE)</f>
        <v>0.99</v>
      </c>
      <c r="Q691" s="97">
        <f ca="1">VLOOKUP(M691,[2]character_tribe_i18n!$A:$F,6,FALSE)</f>
        <v>1</v>
      </c>
      <c r="R691" s="98" t="s">
        <v>98</v>
      </c>
      <c r="S691" s="97">
        <f>VLOOKUP($R691,ラベル別係数!$A$1:$E$7,3,FALSE)</f>
        <v>5</v>
      </c>
      <c r="T691" s="97">
        <f>VLOOKUP($R691,ラベル別係数!$A$1:$E$7,4,FALSE)</f>
        <v>1.3</v>
      </c>
      <c r="U691" s="97">
        <f>VLOOKUP($R691,ラベル別係数!$A$1:$E$7,5,FALSE)</f>
        <v>0.8</v>
      </c>
      <c r="V691" s="98">
        <v>3</v>
      </c>
      <c r="W691" s="99">
        <f>VLOOKUP(V691,ターン数別攻撃係数!$A$1:$B$1000,2,FALSE)</f>
        <v>1</v>
      </c>
      <c r="X691" s="9">
        <f ca="1">VLOOKUP(C691,サイズ別係数!A$2:B$9,2,FALSE)</f>
        <v>60</v>
      </c>
      <c r="Y691" s="97">
        <f ca="1">VLOOKUP($X691,サイズ別係数!$B:$E,2,FALSE)</f>
        <v>1.7</v>
      </c>
      <c r="Z691" s="97">
        <f ca="1">VLOOKUP($X691,サイズ別係数!$B:$E,3,FALSE)</f>
        <v>1.4</v>
      </c>
      <c r="AA691" s="97">
        <f ca="1">VLOOKUP($X691,サイズ別係数!$B:$E,4,FALSE)</f>
        <v>1</v>
      </c>
      <c r="AB691" s="10">
        <v>0</v>
      </c>
      <c r="AC691" s="6" t="str">
        <f ca="1">VLOOKUP($AB691,OFFSET([3]enemy_skill_sets!$B$2,0,0,COUNTA([3]enemy_skill_sets!$A:$A),MATCH(AC$1,[3]enemy_skill_sets!$1:$1,0)-MATCH($AB$1,[3]enemy_skill_sets!$1:$1,0)+1),MATCH(AC$1,[3]enemy_skill_sets!$1:$1,0)-MATCH($AB$1,[3]enemy_skill_sets!$1:$1,0)+1,FALSE)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1" s="67">
        <v>1</v>
      </c>
      <c r="AE691" s="67">
        <v>1</v>
      </c>
      <c r="AF691" s="68">
        <v>0</v>
      </c>
      <c r="AG691" s="99">
        <f ca="1">ROUND(VLOOKUP(1,enemy_base_stats!$A:$F,2,FALSE) * Y691* J691*O691*E691*S691*AD691*[2]ステータス!$B$2,0)</f>
        <v>3995</v>
      </c>
      <c r="AH691" s="99">
        <f ca="1">ROUND(VLOOKUP(1,enemy_base_stats!$A:$F,3,FALSE) * Z691*K691*P691*F691*T691*AE691 * W691*[2]ステータス!$C$2,0)</f>
        <v>265</v>
      </c>
      <c r="AI691" s="99">
        <f ca="1">ROUND(VLOOKUP(1,enemy_base_stats!$A:$F,4,FALSE) * AA691*L691*Q691*G691*U691*AF691*[2]ステータス!$D$2,0)</f>
        <v>0</v>
      </c>
      <c r="AJ691" s="99">
        <f ca="1">ROUND(VLOOKUP(100,enemy_base_stats!$A:$F,2,FALSE) * Y691* J691*O691*E691*S691*AD691*[2]ステータス!$B$2,0)</f>
        <v>162197</v>
      </c>
      <c r="AK691" s="99">
        <f ca="1">ROUND(VLOOKUP(100,enemy_base_stats!$A:$F,3,FALSE)* Z691* K691*P691*F691*T691*AE691 * W691*[2]ステータス!$C$2,0)</f>
        <v>10754</v>
      </c>
      <c r="AL691" s="99">
        <f ca="1">ROUND(VLOOKUP(100,enemy_base_stats!$A:$F,4,FALSE)* AA691* L691*Q691*G691*U691*AF691*[2]ステータス!$D$2,0)</f>
        <v>0</v>
      </c>
      <c r="AM691" s="97">
        <f ca="1">VLOOKUP(M691,[2]character_tribe_i18n!$A:$I,9,FALSE)</f>
        <v>400</v>
      </c>
      <c r="AN691" s="97">
        <v>0</v>
      </c>
      <c r="AO691" s="98">
        <v>0</v>
      </c>
      <c r="AP691" s="58" t="s">
        <v>72</v>
      </c>
      <c r="AQ691" s="34">
        <f t="shared" ca="1" si="42"/>
        <v>690</v>
      </c>
    </row>
    <row r="692" spans="1:43" ht="21" customHeight="1" x14ac:dyDescent="0.15">
      <c r="A692" s="7">
        <f t="shared" ca="1" si="41"/>
        <v>691</v>
      </c>
      <c r="B692" s="6" t="str">
        <f ca="1">VLOOKUP(A692,[2]characters!$A:$C,3,FALSE)</f>
        <v>黒沼青葉</v>
      </c>
      <c r="C692" s="9">
        <f ca="1">VLOOKUP(A692,[2]characters!$A:$I,9,FALSE)</f>
        <v>4</v>
      </c>
      <c r="D692" s="9" t="str">
        <f ca="1">VLOOKUP(A692,[2]characters!$A:$H,8,FALSE)</f>
        <v>blue</v>
      </c>
      <c r="E692" s="97">
        <f ca="1">VLOOKUP(D692,[2]属性!$A:$E,2,FALSE)</f>
        <v>1</v>
      </c>
      <c r="F692" s="97">
        <f ca="1">VLOOKUP(D692,[2]属性!$A:$E,3,FALSE)</f>
        <v>0.98</v>
      </c>
      <c r="G692" s="97">
        <f ca="1">VLOOKUP(D692,[2]属性!$A:$F,4,FALSE)</f>
        <v>1</v>
      </c>
      <c r="H692" s="9" t="str">
        <f ca="1">VLOOKUP(A692,[2]characters!$A:$K,11,FALSE)</f>
        <v>dr</v>
      </c>
      <c r="I692" s="6" t="str">
        <f ca="1">VLOOKUP(H692,[2]character_type_i18n!$A:$F,3,FALSE)</f>
        <v>デュラララ!!</v>
      </c>
      <c r="J692" s="97">
        <f ca="1">VLOOKUP(H692,[2]character_type_i18n!$A:$F,4,FALSE)</f>
        <v>1</v>
      </c>
      <c r="K692" s="97">
        <f ca="1">VLOOKUP(H692,[2]character_type_i18n!$A:$F,5,FALSE)</f>
        <v>1</v>
      </c>
      <c r="L692" s="97">
        <f ca="1">VLOOKUP(H692,[2]character_type_i18n!$A:$F,6,FALSE)</f>
        <v>1</v>
      </c>
      <c r="M692" s="9" t="str">
        <f ca="1">VLOOKUP(A692,[2]characters!$A:$M,13,FALSE)</f>
        <v>human</v>
      </c>
      <c r="N692" s="6" t="str">
        <f ca="1">VLOOKUP(M692,[2]character_tribe_i18n!$A:$F,3,FALSE)</f>
        <v>ヒューマン</v>
      </c>
      <c r="O692" s="97">
        <f ca="1">VLOOKUP(M692,[2]character_tribe_i18n!$A:$F,4,FALSE)</f>
        <v>0.94</v>
      </c>
      <c r="P692" s="97">
        <f ca="1">VLOOKUP(M692,[2]character_tribe_i18n!$A:$F,5,FALSE)</f>
        <v>0.99</v>
      </c>
      <c r="Q692" s="97">
        <f ca="1">VLOOKUP(M692,[2]character_tribe_i18n!$A:$F,6,FALSE)</f>
        <v>1</v>
      </c>
      <c r="R692" s="98" t="s">
        <v>98</v>
      </c>
      <c r="S692" s="97">
        <f>VLOOKUP($R692,ラベル別係数!$A$1:$E$7,3,FALSE)</f>
        <v>5</v>
      </c>
      <c r="T692" s="97">
        <f>VLOOKUP($R692,ラベル別係数!$A$1:$E$7,4,FALSE)</f>
        <v>1.3</v>
      </c>
      <c r="U692" s="97">
        <f>VLOOKUP($R692,ラベル別係数!$A$1:$E$7,5,FALSE)</f>
        <v>0.8</v>
      </c>
      <c r="V692" s="98">
        <v>3</v>
      </c>
      <c r="W692" s="99">
        <f>VLOOKUP(V692,ターン数別攻撃係数!$A$1:$B$1000,2,FALSE)</f>
        <v>1</v>
      </c>
      <c r="X692" s="9">
        <f ca="1">VLOOKUP(C692,サイズ別係数!A$2:B$9,2,FALSE)</f>
        <v>30</v>
      </c>
      <c r="Y692" s="97">
        <f ca="1">VLOOKUP($X692,サイズ別係数!$B:$E,2,FALSE)</f>
        <v>1.3</v>
      </c>
      <c r="Z692" s="97">
        <f ca="1">VLOOKUP($X692,サイズ別係数!$B:$E,3,FALSE)</f>
        <v>1.3</v>
      </c>
      <c r="AA692" s="97">
        <f ca="1">VLOOKUP($X692,サイズ別係数!$B:$E,4,FALSE)</f>
        <v>1.1000000000000001</v>
      </c>
      <c r="AB692" s="10">
        <v>0</v>
      </c>
      <c r="AC692" s="6" t="str">
        <f ca="1">VLOOKUP($AB692,OFFSET([3]enemy_skill_sets!$B$2,0,0,COUNTA([3]enemy_skill_sets!$A:$A),MATCH(AC$1,[3]enemy_skill_sets!$1:$1,0)-MATCH($AB$1,[3]enemy_skill_sets!$1:$1,0)+1),MATCH(AC$1,[3]enemy_skill_sets!$1:$1,0)-MATCH($AB$1,[3]enemy_skill_sets!$1:$1,0)+1,FALSE)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2" s="67">
        <v>1</v>
      </c>
      <c r="AE692" s="67">
        <v>1</v>
      </c>
      <c r="AF692" s="68">
        <v>0</v>
      </c>
      <c r="AG692" s="99">
        <f ca="1">ROUND(VLOOKUP(1,enemy_base_stats!$A:$F,2,FALSE) * Y692* J692*O692*E692*S692*AD692*[2]ステータス!$B$2,0)</f>
        <v>3055</v>
      </c>
      <c r="AH692" s="99">
        <f ca="1">ROUND(VLOOKUP(1,enemy_base_stats!$A:$F,3,FALSE) * Z692*K692*P692*F692*T692*AE692 * W692*[2]ステータス!$C$2,0)</f>
        <v>246</v>
      </c>
      <c r="AI692" s="99">
        <f ca="1">ROUND(VLOOKUP(1,enemy_base_stats!$A:$F,4,FALSE) * AA692*L692*Q692*G692*U692*AF692*[2]ステータス!$D$2,0)</f>
        <v>0</v>
      </c>
      <c r="AJ692" s="99">
        <f ca="1">ROUND(VLOOKUP(100,enemy_base_stats!$A:$F,2,FALSE) * Y692* J692*O692*E692*S692*AD692*[2]ステータス!$B$2,0)</f>
        <v>124033</v>
      </c>
      <c r="AK692" s="99">
        <f ca="1">ROUND(VLOOKUP(100,enemy_base_stats!$A:$F,3,FALSE)* Z692* K692*P692*F692*T692*AE692 * W692*[2]ステータス!$C$2,0)</f>
        <v>9985</v>
      </c>
      <c r="AL692" s="99">
        <f ca="1">ROUND(VLOOKUP(100,enemy_base_stats!$A:$F,4,FALSE)* AA692* L692*Q692*G692*U692*AF692*[2]ステータス!$D$2,0)</f>
        <v>0</v>
      </c>
      <c r="AM692" s="97">
        <f ca="1">VLOOKUP(M692,[2]character_tribe_i18n!$A:$I,9,FALSE)</f>
        <v>400</v>
      </c>
      <c r="AN692" s="97">
        <v>0</v>
      </c>
      <c r="AO692" s="98">
        <v>0</v>
      </c>
      <c r="AP692" s="58" t="s">
        <v>72</v>
      </c>
      <c r="AQ692" s="34">
        <f t="shared" ca="1" si="42"/>
        <v>691</v>
      </c>
    </row>
    <row r="693" spans="1:43" ht="21" customHeight="1" x14ac:dyDescent="0.15">
      <c r="A693" s="7">
        <f t="shared" ca="1" si="41"/>
        <v>692</v>
      </c>
      <c r="B693" s="6" t="str">
        <f ca="1">VLOOKUP(A693,[2]characters!$A:$C,3,FALSE)</f>
        <v>暗躍する偽帝 黒沼青葉</v>
      </c>
      <c r="C693" s="9">
        <f ca="1">VLOOKUP(A693,[2]characters!$A:$I,9,FALSE)</f>
        <v>5</v>
      </c>
      <c r="D693" s="9" t="str">
        <f ca="1">VLOOKUP(A693,[2]characters!$A:$H,8,FALSE)</f>
        <v>blue</v>
      </c>
      <c r="E693" s="97">
        <f ca="1">VLOOKUP(D693,[2]属性!$A:$E,2,FALSE)</f>
        <v>1</v>
      </c>
      <c r="F693" s="97">
        <f ca="1">VLOOKUP(D693,[2]属性!$A:$E,3,FALSE)</f>
        <v>0.98</v>
      </c>
      <c r="G693" s="97">
        <f ca="1">VLOOKUP(D693,[2]属性!$A:$F,4,FALSE)</f>
        <v>1</v>
      </c>
      <c r="H693" s="9" t="str">
        <f ca="1">VLOOKUP(A693,[2]characters!$A:$K,11,FALSE)</f>
        <v>dr</v>
      </c>
      <c r="I693" s="6" t="str">
        <f ca="1">VLOOKUP(H693,[2]character_type_i18n!$A:$F,3,FALSE)</f>
        <v>デュラララ!!</v>
      </c>
      <c r="J693" s="97">
        <f ca="1">VLOOKUP(H693,[2]character_type_i18n!$A:$F,4,FALSE)</f>
        <v>1</v>
      </c>
      <c r="K693" s="97">
        <f ca="1">VLOOKUP(H693,[2]character_type_i18n!$A:$F,5,FALSE)</f>
        <v>1</v>
      </c>
      <c r="L693" s="97">
        <f ca="1">VLOOKUP(H693,[2]character_type_i18n!$A:$F,6,FALSE)</f>
        <v>1</v>
      </c>
      <c r="M693" s="9" t="str">
        <f ca="1">VLOOKUP(A693,[2]characters!$A:$M,13,FALSE)</f>
        <v>human</v>
      </c>
      <c r="N693" s="6" t="str">
        <f ca="1">VLOOKUP(M693,[2]character_tribe_i18n!$A:$F,3,FALSE)</f>
        <v>ヒューマン</v>
      </c>
      <c r="O693" s="97">
        <f ca="1">VLOOKUP(M693,[2]character_tribe_i18n!$A:$F,4,FALSE)</f>
        <v>0.94</v>
      </c>
      <c r="P693" s="97">
        <f ca="1">VLOOKUP(M693,[2]character_tribe_i18n!$A:$F,5,FALSE)</f>
        <v>0.99</v>
      </c>
      <c r="Q693" s="97">
        <f ca="1">VLOOKUP(M693,[2]character_tribe_i18n!$A:$F,6,FALSE)</f>
        <v>1</v>
      </c>
      <c r="R693" s="98" t="s">
        <v>98</v>
      </c>
      <c r="S693" s="97">
        <f>VLOOKUP($R693,ラベル別係数!$A$1:$E$7,3,FALSE)</f>
        <v>5</v>
      </c>
      <c r="T693" s="97">
        <f>VLOOKUP($R693,ラベル別係数!$A$1:$E$7,4,FALSE)</f>
        <v>1.3</v>
      </c>
      <c r="U693" s="97">
        <f>VLOOKUP($R693,ラベル別係数!$A$1:$E$7,5,FALSE)</f>
        <v>0.8</v>
      </c>
      <c r="V693" s="98">
        <v>3</v>
      </c>
      <c r="W693" s="99">
        <f>VLOOKUP(V693,ターン数別攻撃係数!$A$1:$B$1000,2,FALSE)</f>
        <v>1</v>
      </c>
      <c r="X693" s="9">
        <f ca="1">VLOOKUP(C693,サイズ別係数!A$2:B$9,2,FALSE)</f>
        <v>60</v>
      </c>
      <c r="Y693" s="97">
        <f ca="1">VLOOKUP($X693,サイズ別係数!$B:$E,2,FALSE)</f>
        <v>1.7</v>
      </c>
      <c r="Z693" s="97">
        <f ca="1">VLOOKUP($X693,サイズ別係数!$B:$E,3,FALSE)</f>
        <v>1.4</v>
      </c>
      <c r="AA693" s="97">
        <f ca="1">VLOOKUP($X693,サイズ別係数!$B:$E,4,FALSE)</f>
        <v>1</v>
      </c>
      <c r="AB693" s="10">
        <v>0</v>
      </c>
      <c r="AC693" s="6" t="str">
        <f ca="1">VLOOKUP($AB693,OFFSET([3]enemy_skill_sets!$B$2,0,0,COUNTA([3]enemy_skill_sets!$A:$A),MATCH(AC$1,[3]enemy_skill_sets!$1:$1,0)-MATCH($AB$1,[3]enemy_skill_sets!$1:$1,0)+1),MATCH(AC$1,[3]enemy_skill_sets!$1:$1,0)-MATCH($AB$1,[3]enemy_skill_sets!$1:$1,0)+1,FALSE)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3" s="67">
        <v>1</v>
      </c>
      <c r="AE693" s="67">
        <v>1</v>
      </c>
      <c r="AF693" s="68">
        <v>0</v>
      </c>
      <c r="AG693" s="99">
        <f ca="1">ROUND(VLOOKUP(1,enemy_base_stats!$A:$F,2,FALSE) * Y693* J693*O693*E693*S693*AD693*[2]ステータス!$B$2,0)</f>
        <v>3995</v>
      </c>
      <c r="AH693" s="99">
        <f ca="1">ROUND(VLOOKUP(1,enemy_base_stats!$A:$F,3,FALSE) * Z693*K693*P693*F693*T693*AE693 * W693*[2]ステータス!$C$2,0)</f>
        <v>265</v>
      </c>
      <c r="AI693" s="99">
        <f ca="1">ROUND(VLOOKUP(1,enemy_base_stats!$A:$F,4,FALSE) * AA693*L693*Q693*G693*U693*AF693*[2]ステータス!$D$2,0)</f>
        <v>0</v>
      </c>
      <c r="AJ693" s="99">
        <f ca="1">ROUND(VLOOKUP(100,enemy_base_stats!$A:$F,2,FALSE) * Y693* J693*O693*E693*S693*AD693*[2]ステータス!$B$2,0)</f>
        <v>162197</v>
      </c>
      <c r="AK693" s="99">
        <f ca="1">ROUND(VLOOKUP(100,enemy_base_stats!$A:$F,3,FALSE)* Z693* K693*P693*F693*T693*AE693 * W693*[2]ステータス!$C$2,0)</f>
        <v>10754</v>
      </c>
      <c r="AL693" s="99">
        <f ca="1">ROUND(VLOOKUP(100,enemy_base_stats!$A:$F,4,FALSE)* AA693* L693*Q693*G693*U693*AF693*[2]ステータス!$D$2,0)</f>
        <v>0</v>
      </c>
      <c r="AM693" s="97">
        <f ca="1">VLOOKUP(M693,[2]character_tribe_i18n!$A:$I,9,FALSE)</f>
        <v>400</v>
      </c>
      <c r="AN693" s="97">
        <v>0</v>
      </c>
      <c r="AO693" s="98">
        <v>0</v>
      </c>
      <c r="AP693" s="58" t="s">
        <v>72</v>
      </c>
      <c r="AQ693" s="34">
        <f t="shared" ca="1" si="42"/>
        <v>692</v>
      </c>
    </row>
    <row r="694" spans="1:43" ht="21" customHeight="1" x14ac:dyDescent="0.15">
      <c r="A694" s="7">
        <f t="shared" ca="1" si="41"/>
        <v>693</v>
      </c>
      <c r="B694" s="6" t="str">
        <f ca="1">VLOOKUP(A694,[2]characters!$A:$C,3,FALSE)</f>
        <v>紀田正臣</v>
      </c>
      <c r="C694" s="9">
        <f ca="1">VLOOKUP(A694,[2]characters!$A:$I,9,FALSE)</f>
        <v>4</v>
      </c>
      <c r="D694" s="9" t="str">
        <f ca="1">VLOOKUP(A694,[2]characters!$A:$H,8,FALSE)</f>
        <v>yellow</v>
      </c>
      <c r="E694" s="97">
        <f ca="1">VLOOKUP(D694,[2]属性!$A:$E,2,FALSE)</f>
        <v>0.98</v>
      </c>
      <c r="F694" s="97">
        <f ca="1">VLOOKUP(D694,[2]属性!$A:$E,3,FALSE)</f>
        <v>1.01</v>
      </c>
      <c r="G694" s="97">
        <f ca="1">VLOOKUP(D694,[2]属性!$A:$F,4,FALSE)</f>
        <v>1</v>
      </c>
      <c r="H694" s="9" t="str">
        <f ca="1">VLOOKUP(A694,[2]characters!$A:$K,11,FALSE)</f>
        <v>dr</v>
      </c>
      <c r="I694" s="6" t="str">
        <f ca="1">VLOOKUP(H694,[2]character_type_i18n!$A:$F,3,FALSE)</f>
        <v>デュラララ!!</v>
      </c>
      <c r="J694" s="97">
        <f ca="1">VLOOKUP(H694,[2]character_type_i18n!$A:$F,4,FALSE)</f>
        <v>1</v>
      </c>
      <c r="K694" s="97">
        <f ca="1">VLOOKUP(H694,[2]character_type_i18n!$A:$F,5,FALSE)</f>
        <v>1</v>
      </c>
      <c r="L694" s="97">
        <f ca="1">VLOOKUP(H694,[2]character_type_i18n!$A:$F,6,FALSE)</f>
        <v>1</v>
      </c>
      <c r="M694" s="9" t="str">
        <f ca="1">VLOOKUP(A694,[2]characters!$A:$M,13,FALSE)</f>
        <v>human</v>
      </c>
      <c r="N694" s="6" t="str">
        <f ca="1">VLOOKUP(M694,[2]character_tribe_i18n!$A:$F,3,FALSE)</f>
        <v>ヒューマン</v>
      </c>
      <c r="O694" s="97">
        <f ca="1">VLOOKUP(M694,[2]character_tribe_i18n!$A:$F,4,FALSE)</f>
        <v>0.94</v>
      </c>
      <c r="P694" s="97">
        <f ca="1">VLOOKUP(M694,[2]character_tribe_i18n!$A:$F,5,FALSE)</f>
        <v>0.99</v>
      </c>
      <c r="Q694" s="97">
        <f ca="1">VLOOKUP(M694,[2]character_tribe_i18n!$A:$F,6,FALSE)</f>
        <v>1</v>
      </c>
      <c r="R694" s="98" t="s">
        <v>98</v>
      </c>
      <c r="S694" s="97">
        <f>VLOOKUP($R694,ラベル別係数!$A$1:$E$7,3,FALSE)</f>
        <v>5</v>
      </c>
      <c r="T694" s="97">
        <f>VLOOKUP($R694,ラベル別係数!$A$1:$E$7,4,FALSE)</f>
        <v>1.3</v>
      </c>
      <c r="U694" s="97">
        <f>VLOOKUP($R694,ラベル別係数!$A$1:$E$7,5,FALSE)</f>
        <v>0.8</v>
      </c>
      <c r="V694" s="98">
        <v>3</v>
      </c>
      <c r="W694" s="99">
        <f>VLOOKUP(V694,ターン数別攻撃係数!$A$1:$B$1000,2,FALSE)</f>
        <v>1</v>
      </c>
      <c r="X694" s="9">
        <f ca="1">VLOOKUP(C694,サイズ別係数!A$2:B$9,2,FALSE)</f>
        <v>30</v>
      </c>
      <c r="Y694" s="97">
        <f ca="1">VLOOKUP($X694,サイズ別係数!$B:$E,2,FALSE)</f>
        <v>1.3</v>
      </c>
      <c r="Z694" s="97">
        <f ca="1">VLOOKUP($X694,サイズ別係数!$B:$E,3,FALSE)</f>
        <v>1.3</v>
      </c>
      <c r="AA694" s="97">
        <f ca="1">VLOOKUP($X694,サイズ別係数!$B:$E,4,FALSE)</f>
        <v>1.1000000000000001</v>
      </c>
      <c r="AB694" s="10">
        <v>0</v>
      </c>
      <c r="AC694" s="6" t="str">
        <f ca="1">VLOOKUP($AB694,OFFSET([3]enemy_skill_sets!$B$2,0,0,COUNTA([3]enemy_skill_sets!$A:$A),MATCH(AC$1,[3]enemy_skill_sets!$1:$1,0)-MATCH($AB$1,[3]enemy_skill_sets!$1:$1,0)+1),MATCH(AC$1,[3]enemy_skill_sets!$1:$1,0)-MATCH($AB$1,[3]enemy_skill_sets!$1:$1,0)+1,FALSE)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4" s="67">
        <v>1</v>
      </c>
      <c r="AE694" s="67">
        <v>1</v>
      </c>
      <c r="AF694" s="68">
        <v>0</v>
      </c>
      <c r="AG694" s="99">
        <f ca="1">ROUND(VLOOKUP(1,enemy_base_stats!$A:$F,2,FALSE) * Y694* J694*O694*E694*S694*AD694*[2]ステータス!$B$2,0)</f>
        <v>2994</v>
      </c>
      <c r="AH694" s="99">
        <f ca="1">ROUND(VLOOKUP(1,enemy_base_stats!$A:$F,3,FALSE) * Z694*K694*P694*F694*T694*AE694 * W694*[2]ステータス!$C$2,0)</f>
        <v>253</v>
      </c>
      <c r="AI694" s="99">
        <f ca="1">ROUND(VLOOKUP(1,enemy_base_stats!$A:$F,4,FALSE) * AA694*L694*Q694*G694*U694*AF694*[2]ステータス!$D$2,0)</f>
        <v>0</v>
      </c>
      <c r="AJ694" s="99">
        <f ca="1">ROUND(VLOOKUP(100,enemy_base_stats!$A:$F,2,FALSE) * Y694* J694*O694*E694*S694*AD694*[2]ステータス!$B$2,0)</f>
        <v>121552</v>
      </c>
      <c r="AK694" s="99">
        <f ca="1">ROUND(VLOOKUP(100,enemy_base_stats!$A:$F,3,FALSE)* Z694* K694*P694*F694*T694*AE694 * W694*[2]ステータス!$C$2,0)</f>
        <v>10291</v>
      </c>
      <c r="AL694" s="99">
        <f ca="1">ROUND(VLOOKUP(100,enemy_base_stats!$A:$F,4,FALSE)* AA694* L694*Q694*G694*U694*AF694*[2]ステータス!$D$2,0)</f>
        <v>0</v>
      </c>
      <c r="AM694" s="97">
        <f ca="1">VLOOKUP(M694,[2]character_tribe_i18n!$A:$I,9,FALSE)</f>
        <v>400</v>
      </c>
      <c r="AN694" s="97">
        <v>0</v>
      </c>
      <c r="AO694" s="98">
        <v>0</v>
      </c>
      <c r="AP694" s="58" t="s">
        <v>72</v>
      </c>
      <c r="AQ694" s="34">
        <f t="shared" ca="1" si="42"/>
        <v>693</v>
      </c>
    </row>
    <row r="695" spans="1:43" ht="21" customHeight="1" x14ac:dyDescent="0.15">
      <c r="A695" s="7">
        <f t="shared" ca="1" si="41"/>
        <v>694</v>
      </c>
      <c r="B695" s="6" t="str">
        <f ca="1">VLOOKUP(A695,[2]characters!$A:$C,3,FALSE)</f>
        <v>黄巾賊の将軍 紀田正臣</v>
      </c>
      <c r="C695" s="9">
        <f ca="1">VLOOKUP(A695,[2]characters!$A:$I,9,FALSE)</f>
        <v>5</v>
      </c>
      <c r="D695" s="9" t="str">
        <f ca="1">VLOOKUP(A695,[2]characters!$A:$H,8,FALSE)</f>
        <v>yellow</v>
      </c>
      <c r="E695" s="97">
        <f ca="1">VLOOKUP(D695,[2]属性!$A:$E,2,FALSE)</f>
        <v>0.98</v>
      </c>
      <c r="F695" s="97">
        <f ca="1">VLOOKUP(D695,[2]属性!$A:$E,3,FALSE)</f>
        <v>1.01</v>
      </c>
      <c r="G695" s="97">
        <f ca="1">VLOOKUP(D695,[2]属性!$A:$F,4,FALSE)</f>
        <v>1</v>
      </c>
      <c r="H695" s="9" t="str">
        <f ca="1">VLOOKUP(A695,[2]characters!$A:$K,11,FALSE)</f>
        <v>dr</v>
      </c>
      <c r="I695" s="6" t="str">
        <f ca="1">VLOOKUP(H695,[2]character_type_i18n!$A:$F,3,FALSE)</f>
        <v>デュラララ!!</v>
      </c>
      <c r="J695" s="97">
        <f ca="1">VLOOKUP(H695,[2]character_type_i18n!$A:$F,4,FALSE)</f>
        <v>1</v>
      </c>
      <c r="K695" s="97">
        <f ca="1">VLOOKUP(H695,[2]character_type_i18n!$A:$F,5,FALSE)</f>
        <v>1</v>
      </c>
      <c r="L695" s="97">
        <f ca="1">VLOOKUP(H695,[2]character_type_i18n!$A:$F,6,FALSE)</f>
        <v>1</v>
      </c>
      <c r="M695" s="9" t="str">
        <f ca="1">VLOOKUP(A695,[2]characters!$A:$M,13,FALSE)</f>
        <v>human</v>
      </c>
      <c r="N695" s="6" t="str">
        <f ca="1">VLOOKUP(M695,[2]character_tribe_i18n!$A:$F,3,FALSE)</f>
        <v>ヒューマン</v>
      </c>
      <c r="O695" s="97">
        <f ca="1">VLOOKUP(M695,[2]character_tribe_i18n!$A:$F,4,FALSE)</f>
        <v>0.94</v>
      </c>
      <c r="P695" s="97">
        <f ca="1">VLOOKUP(M695,[2]character_tribe_i18n!$A:$F,5,FALSE)</f>
        <v>0.99</v>
      </c>
      <c r="Q695" s="97">
        <f ca="1">VLOOKUP(M695,[2]character_tribe_i18n!$A:$F,6,FALSE)</f>
        <v>1</v>
      </c>
      <c r="R695" s="98" t="s">
        <v>98</v>
      </c>
      <c r="S695" s="97">
        <f>VLOOKUP($R695,ラベル別係数!$A$1:$E$7,3,FALSE)</f>
        <v>5</v>
      </c>
      <c r="T695" s="97">
        <f>VLOOKUP($R695,ラベル別係数!$A$1:$E$7,4,FALSE)</f>
        <v>1.3</v>
      </c>
      <c r="U695" s="97">
        <f>VLOOKUP($R695,ラベル別係数!$A$1:$E$7,5,FALSE)</f>
        <v>0.8</v>
      </c>
      <c r="V695" s="98">
        <v>3</v>
      </c>
      <c r="W695" s="99">
        <f>VLOOKUP(V695,ターン数別攻撃係数!$A$1:$B$1000,2,FALSE)</f>
        <v>1</v>
      </c>
      <c r="X695" s="9">
        <f ca="1">VLOOKUP(C695,サイズ別係数!A$2:B$9,2,FALSE)</f>
        <v>60</v>
      </c>
      <c r="Y695" s="97">
        <f ca="1">VLOOKUP($X695,サイズ別係数!$B:$E,2,FALSE)</f>
        <v>1.7</v>
      </c>
      <c r="Z695" s="97">
        <f ca="1">VLOOKUP($X695,サイズ別係数!$B:$E,3,FALSE)</f>
        <v>1.4</v>
      </c>
      <c r="AA695" s="97">
        <f ca="1">VLOOKUP($X695,サイズ別係数!$B:$E,4,FALSE)</f>
        <v>1</v>
      </c>
      <c r="AB695" s="10">
        <v>0</v>
      </c>
      <c r="AC695" s="6" t="str">
        <f ca="1">VLOOKUP($AB695,OFFSET([3]enemy_skill_sets!$B$2,0,0,COUNTA([3]enemy_skill_sets!$A:$A),MATCH(AC$1,[3]enemy_skill_sets!$1:$1,0)-MATCH($AB$1,[3]enemy_skill_sets!$1:$1,0)+1),MATCH(AC$1,[3]enemy_skill_sets!$1:$1,0)-MATCH($AB$1,[3]enemy_skill_sets!$1:$1,0)+1,FALSE)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5" s="67">
        <v>1</v>
      </c>
      <c r="AE695" s="67">
        <v>1</v>
      </c>
      <c r="AF695" s="68">
        <v>0</v>
      </c>
      <c r="AG695" s="99">
        <f ca="1">ROUND(VLOOKUP(1,enemy_base_stats!$A:$F,2,FALSE) * Y695* J695*O695*E695*S695*AD695*[2]ステータス!$B$2,0)</f>
        <v>3915</v>
      </c>
      <c r="AH695" s="99">
        <f ca="1">ROUND(VLOOKUP(1,enemy_base_stats!$A:$F,3,FALSE) * Z695*K695*P695*F695*T695*AE695 * W695*[2]ステータス!$C$2,0)</f>
        <v>273</v>
      </c>
      <c r="AI695" s="99">
        <f ca="1">ROUND(VLOOKUP(1,enemy_base_stats!$A:$F,4,FALSE) * AA695*L695*Q695*G695*U695*AF695*[2]ステータス!$D$2,0)</f>
        <v>0</v>
      </c>
      <c r="AJ695" s="99">
        <f ca="1">ROUND(VLOOKUP(100,enemy_base_stats!$A:$F,2,FALSE) * Y695* J695*O695*E695*S695*AD695*[2]ステータス!$B$2,0)</f>
        <v>158953</v>
      </c>
      <c r="AK695" s="99">
        <f ca="1">ROUND(VLOOKUP(100,enemy_base_stats!$A:$F,3,FALSE)* Z695* K695*P695*F695*T695*AE695 * W695*[2]ステータス!$C$2,0)</f>
        <v>11083</v>
      </c>
      <c r="AL695" s="99">
        <f ca="1">ROUND(VLOOKUP(100,enemy_base_stats!$A:$F,4,FALSE)* AA695* L695*Q695*G695*U695*AF695*[2]ステータス!$D$2,0)</f>
        <v>0</v>
      </c>
      <c r="AM695" s="97">
        <f ca="1">VLOOKUP(M695,[2]character_tribe_i18n!$A:$I,9,FALSE)</f>
        <v>400</v>
      </c>
      <c r="AN695" s="97">
        <v>0</v>
      </c>
      <c r="AO695" s="98">
        <v>0</v>
      </c>
      <c r="AP695" s="58" t="s">
        <v>72</v>
      </c>
      <c r="AQ695" s="34">
        <f t="shared" ca="1" si="42"/>
        <v>694</v>
      </c>
    </row>
    <row r="696" spans="1:43" ht="21" customHeight="1" x14ac:dyDescent="0.15">
      <c r="A696" s="7">
        <f t="shared" ca="1" si="41"/>
        <v>695</v>
      </c>
      <c r="B696" s="6" t="str">
        <f ca="1">VLOOKUP(A696,[2]characters!$A:$C,3,FALSE)</f>
        <v>セルティ</v>
      </c>
      <c r="C696" s="9">
        <f ca="1">VLOOKUP(A696,[2]characters!$A:$I,9,FALSE)</f>
        <v>3</v>
      </c>
      <c r="D696" s="9" t="str">
        <f ca="1">VLOOKUP(A696,[2]characters!$A:$H,8,FALSE)</f>
        <v>yellow</v>
      </c>
      <c r="E696" s="97">
        <f ca="1">VLOOKUP(D696,[2]属性!$A:$E,2,FALSE)</f>
        <v>0.98</v>
      </c>
      <c r="F696" s="97">
        <f ca="1">VLOOKUP(D696,[2]属性!$A:$E,3,FALSE)</f>
        <v>1.01</v>
      </c>
      <c r="G696" s="97">
        <f ca="1">VLOOKUP(D696,[2]属性!$A:$F,4,FALSE)</f>
        <v>1</v>
      </c>
      <c r="H696" s="9" t="str">
        <f ca="1">VLOOKUP(A696,[2]characters!$A:$K,11,FALSE)</f>
        <v>dr</v>
      </c>
      <c r="I696" s="6" t="str">
        <f ca="1">VLOOKUP(H696,[2]character_type_i18n!$A:$F,3,FALSE)</f>
        <v>デュラララ!!</v>
      </c>
      <c r="J696" s="97">
        <f ca="1">VLOOKUP(H696,[2]character_type_i18n!$A:$F,4,FALSE)</f>
        <v>1</v>
      </c>
      <c r="K696" s="97">
        <f ca="1">VLOOKUP(H696,[2]character_type_i18n!$A:$F,5,FALSE)</f>
        <v>1</v>
      </c>
      <c r="L696" s="97">
        <f ca="1">VLOOKUP(H696,[2]character_type_i18n!$A:$F,6,FALSE)</f>
        <v>1</v>
      </c>
      <c r="M696" s="9" t="str">
        <f ca="1">VLOOKUP(A696,[2]characters!$A:$M,13,FALSE)</f>
        <v>unknown</v>
      </c>
      <c r="N696" s="6" t="str">
        <f ca="1">VLOOKUP(M696,[2]character_tribe_i18n!$A:$F,3,FALSE)</f>
        <v>Unknown</v>
      </c>
      <c r="O696" s="97">
        <f ca="1">VLOOKUP(M696,[2]character_tribe_i18n!$A:$F,4,FALSE)</f>
        <v>1</v>
      </c>
      <c r="P696" s="97">
        <f ca="1">VLOOKUP(M696,[2]character_tribe_i18n!$A:$F,5,FALSE)</f>
        <v>1</v>
      </c>
      <c r="Q696" s="97">
        <f ca="1">VLOOKUP(M696,[2]character_tribe_i18n!$A:$F,6,FALSE)</f>
        <v>1</v>
      </c>
      <c r="R696" s="98" t="s">
        <v>98</v>
      </c>
      <c r="S696" s="97">
        <f>VLOOKUP($R696,ラベル別係数!$A$1:$E$7,3,FALSE)</f>
        <v>5</v>
      </c>
      <c r="T696" s="97">
        <f>VLOOKUP($R696,ラベル別係数!$A$1:$E$7,4,FALSE)</f>
        <v>1.3</v>
      </c>
      <c r="U696" s="97">
        <f>VLOOKUP($R696,ラベル別係数!$A$1:$E$7,5,FALSE)</f>
        <v>0.8</v>
      </c>
      <c r="V696" s="98">
        <v>3</v>
      </c>
      <c r="W696" s="99">
        <f>VLOOKUP(V696,ターン数別攻撃係数!$A$1:$B$1000,2,FALSE)</f>
        <v>1</v>
      </c>
      <c r="X696" s="9">
        <f ca="1">VLOOKUP(C696,サイズ別係数!A$2:B$9,2,FALSE)</f>
        <v>25</v>
      </c>
      <c r="Y696" s="97">
        <f ca="1">VLOOKUP($X696,サイズ別係数!$B:$E,2,FALSE)</f>
        <v>1.2</v>
      </c>
      <c r="Z696" s="97">
        <f ca="1">VLOOKUP($X696,サイズ別係数!$B:$E,3,FALSE)</f>
        <v>1.25</v>
      </c>
      <c r="AA696" s="97">
        <f ca="1">VLOOKUP($X696,サイズ別係数!$B:$E,4,FALSE)</f>
        <v>1.1499999999999999</v>
      </c>
      <c r="AB696" s="10">
        <v>0</v>
      </c>
      <c r="AC696" s="6" t="str">
        <f ca="1">VLOOKUP($AB696,OFFSET([3]enemy_skill_sets!$B$2,0,0,COUNTA([3]enemy_skill_sets!$A:$A),MATCH(AC$1,[3]enemy_skill_sets!$1:$1,0)-MATCH($AB$1,[3]enemy_skill_sets!$1:$1,0)+1),MATCH(AC$1,[3]enemy_skill_sets!$1:$1,0)-MATCH($AB$1,[3]enemy_skill_sets!$1:$1,0)+1,FALSE)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6" s="67">
        <v>1</v>
      </c>
      <c r="AE696" s="67">
        <v>1</v>
      </c>
      <c r="AF696" s="68">
        <v>0</v>
      </c>
      <c r="AG696" s="99">
        <f ca="1">ROUND(VLOOKUP(1,enemy_base_stats!$A:$F,2,FALSE) * Y696* J696*O696*E696*S696*AD696*[2]ステータス!$B$2,0)</f>
        <v>2940</v>
      </c>
      <c r="AH696" s="99">
        <f ca="1">ROUND(VLOOKUP(1,enemy_base_stats!$A:$F,3,FALSE) * Z696*K696*P696*F696*T696*AE696 * W696*[2]ステータス!$C$2,0)</f>
        <v>246</v>
      </c>
      <c r="AI696" s="99">
        <f ca="1">ROUND(VLOOKUP(1,enemy_base_stats!$A:$F,4,FALSE) * AA696*L696*Q696*G696*U696*AF696*[2]ステータス!$D$2,0)</f>
        <v>0</v>
      </c>
      <c r="AJ696" s="99">
        <f ca="1">ROUND(VLOOKUP(100,enemy_base_stats!$A:$F,2,FALSE) * Y696* J696*O696*E696*S696*AD696*[2]ステータス!$B$2,0)</f>
        <v>119364</v>
      </c>
      <c r="AK696" s="99">
        <f ca="1">ROUND(VLOOKUP(100,enemy_base_stats!$A:$F,3,FALSE)* Z696* K696*P696*F696*T696*AE696 * W696*[2]ステータス!$C$2,0)</f>
        <v>9995</v>
      </c>
      <c r="AL696" s="99">
        <f ca="1">ROUND(VLOOKUP(100,enemy_base_stats!$A:$F,4,FALSE)* AA696* L696*Q696*G696*U696*AF696*[2]ステータス!$D$2,0)</f>
        <v>0</v>
      </c>
      <c r="AM696" s="97">
        <f ca="1">VLOOKUP(M696,[2]character_tribe_i18n!$A:$I,9,FALSE)</f>
        <v>340</v>
      </c>
      <c r="AN696" s="97">
        <v>0</v>
      </c>
      <c r="AO696" s="98">
        <v>0</v>
      </c>
      <c r="AP696" s="58" t="s">
        <v>72</v>
      </c>
      <c r="AQ696" s="34">
        <f t="shared" ca="1" si="42"/>
        <v>695</v>
      </c>
    </row>
    <row r="697" spans="1:43" ht="21" customHeight="1" x14ac:dyDescent="0.15">
      <c r="A697" s="7">
        <f t="shared" ca="1" si="41"/>
        <v>696</v>
      </c>
      <c r="B697" s="6" t="str">
        <f ca="1">VLOOKUP(A697,[2]characters!$A:$C,3,FALSE)</f>
        <v>生きる都市伝説 セルティ</v>
      </c>
      <c r="C697" s="9">
        <f ca="1">VLOOKUP(A697,[2]characters!$A:$I,9,FALSE)</f>
        <v>4</v>
      </c>
      <c r="D697" s="9" t="str">
        <f ca="1">VLOOKUP(A697,[2]characters!$A:$H,8,FALSE)</f>
        <v>yellow</v>
      </c>
      <c r="E697" s="97">
        <f ca="1">VLOOKUP(D697,[2]属性!$A:$E,2,FALSE)</f>
        <v>0.98</v>
      </c>
      <c r="F697" s="97">
        <f ca="1">VLOOKUP(D697,[2]属性!$A:$E,3,FALSE)</f>
        <v>1.01</v>
      </c>
      <c r="G697" s="97">
        <f ca="1">VLOOKUP(D697,[2]属性!$A:$F,4,FALSE)</f>
        <v>1</v>
      </c>
      <c r="H697" s="9" t="str">
        <f ca="1">VLOOKUP(A697,[2]characters!$A:$K,11,FALSE)</f>
        <v>dr</v>
      </c>
      <c r="I697" s="6" t="str">
        <f ca="1">VLOOKUP(H697,[2]character_type_i18n!$A:$F,3,FALSE)</f>
        <v>デュラララ!!</v>
      </c>
      <c r="J697" s="97">
        <f ca="1">VLOOKUP(H697,[2]character_type_i18n!$A:$F,4,FALSE)</f>
        <v>1</v>
      </c>
      <c r="K697" s="97">
        <f ca="1">VLOOKUP(H697,[2]character_type_i18n!$A:$F,5,FALSE)</f>
        <v>1</v>
      </c>
      <c r="L697" s="97">
        <f ca="1">VLOOKUP(H697,[2]character_type_i18n!$A:$F,6,FALSE)</f>
        <v>1</v>
      </c>
      <c r="M697" s="9" t="str">
        <f ca="1">VLOOKUP(A697,[2]characters!$A:$M,13,FALSE)</f>
        <v>unknown</v>
      </c>
      <c r="N697" s="6" t="str">
        <f ca="1">VLOOKUP(M697,[2]character_tribe_i18n!$A:$F,3,FALSE)</f>
        <v>Unknown</v>
      </c>
      <c r="O697" s="97">
        <f ca="1">VLOOKUP(M697,[2]character_tribe_i18n!$A:$F,4,FALSE)</f>
        <v>1</v>
      </c>
      <c r="P697" s="97">
        <f ca="1">VLOOKUP(M697,[2]character_tribe_i18n!$A:$F,5,FALSE)</f>
        <v>1</v>
      </c>
      <c r="Q697" s="97">
        <f ca="1">VLOOKUP(M697,[2]character_tribe_i18n!$A:$F,6,FALSE)</f>
        <v>1</v>
      </c>
      <c r="R697" s="98" t="s">
        <v>98</v>
      </c>
      <c r="S697" s="97">
        <f>VLOOKUP($R697,ラベル別係数!$A$1:$E$7,3,FALSE)</f>
        <v>5</v>
      </c>
      <c r="T697" s="97">
        <f>VLOOKUP($R697,ラベル別係数!$A$1:$E$7,4,FALSE)</f>
        <v>1.3</v>
      </c>
      <c r="U697" s="97">
        <f>VLOOKUP($R697,ラベル別係数!$A$1:$E$7,5,FALSE)</f>
        <v>0.8</v>
      </c>
      <c r="V697" s="98">
        <v>3</v>
      </c>
      <c r="W697" s="99">
        <f>VLOOKUP(V697,ターン数別攻撃係数!$A$1:$B$1000,2,FALSE)</f>
        <v>1</v>
      </c>
      <c r="X697" s="9">
        <f ca="1">VLOOKUP(C697,サイズ別係数!A$2:B$9,2,FALSE)</f>
        <v>30</v>
      </c>
      <c r="Y697" s="97">
        <f ca="1">VLOOKUP($X697,サイズ別係数!$B:$E,2,FALSE)</f>
        <v>1.3</v>
      </c>
      <c r="Z697" s="97">
        <f ca="1">VLOOKUP($X697,サイズ別係数!$B:$E,3,FALSE)</f>
        <v>1.3</v>
      </c>
      <c r="AA697" s="97">
        <f ca="1">VLOOKUP($X697,サイズ別係数!$B:$E,4,FALSE)</f>
        <v>1.1000000000000001</v>
      </c>
      <c r="AB697" s="10">
        <v>0</v>
      </c>
      <c r="AC697" s="6" t="str">
        <f ca="1">VLOOKUP($AB697,OFFSET([3]enemy_skill_sets!$B$2,0,0,COUNTA([3]enemy_skill_sets!$A:$A),MATCH(AC$1,[3]enemy_skill_sets!$1:$1,0)-MATCH($AB$1,[3]enemy_skill_sets!$1:$1,0)+1),MATCH(AC$1,[3]enemy_skill_sets!$1:$1,0)-MATCH($AB$1,[3]enemy_skill_sets!$1:$1,0)+1,FALSE)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7" s="67">
        <v>1</v>
      </c>
      <c r="AE697" s="67">
        <v>1</v>
      </c>
      <c r="AF697" s="68">
        <v>0</v>
      </c>
      <c r="AG697" s="99">
        <f ca="1">ROUND(VLOOKUP(1,enemy_base_stats!$A:$F,2,FALSE) * Y697* J697*O697*E697*S697*AD697*[2]ステータス!$B$2,0)</f>
        <v>3185</v>
      </c>
      <c r="AH697" s="99">
        <f ca="1">ROUND(VLOOKUP(1,enemy_base_stats!$A:$F,3,FALSE) * Z697*K697*P697*F697*T697*AE697 * W697*[2]ステータス!$C$2,0)</f>
        <v>256</v>
      </c>
      <c r="AI697" s="99">
        <f ca="1">ROUND(VLOOKUP(1,enemy_base_stats!$A:$F,4,FALSE) * AA697*L697*Q697*G697*U697*AF697*[2]ステータス!$D$2,0)</f>
        <v>0</v>
      </c>
      <c r="AJ697" s="99">
        <f ca="1">ROUND(VLOOKUP(100,enemy_base_stats!$A:$F,2,FALSE) * Y697* J697*O697*E697*S697*AD697*[2]ステータス!$B$2,0)</f>
        <v>129311</v>
      </c>
      <c r="AK697" s="99">
        <f ca="1">ROUND(VLOOKUP(100,enemy_base_stats!$A:$F,3,FALSE)* Z697* K697*P697*F697*T697*AE697 * W697*[2]ステータス!$C$2,0)</f>
        <v>10395</v>
      </c>
      <c r="AL697" s="99">
        <f ca="1">ROUND(VLOOKUP(100,enemy_base_stats!$A:$F,4,FALSE)* AA697* L697*Q697*G697*U697*AF697*[2]ステータス!$D$2,0)</f>
        <v>0</v>
      </c>
      <c r="AM697" s="97">
        <f ca="1">VLOOKUP(M697,[2]character_tribe_i18n!$A:$I,9,FALSE)</f>
        <v>340</v>
      </c>
      <c r="AN697" s="97">
        <v>0</v>
      </c>
      <c r="AO697" s="98">
        <v>0</v>
      </c>
      <c r="AP697" s="58" t="s">
        <v>72</v>
      </c>
      <c r="AQ697" s="34">
        <f t="shared" ca="1" si="42"/>
        <v>696</v>
      </c>
    </row>
    <row r="698" spans="1:43" ht="21" customHeight="1" x14ac:dyDescent="0.15">
      <c r="A698" s="7">
        <f t="shared" ca="1" si="41"/>
        <v>697</v>
      </c>
      <c r="B698" s="6" t="str">
        <f ca="1">VLOOKUP(A698,[2]characters!$A:$C,3,FALSE)</f>
        <v>黒影の首なしライダー セルティ</v>
      </c>
      <c r="C698" s="9">
        <f ca="1">VLOOKUP(A698,[2]characters!$A:$I,9,FALSE)</f>
        <v>5</v>
      </c>
      <c r="D698" s="9" t="str">
        <f ca="1">VLOOKUP(A698,[2]characters!$A:$H,8,FALSE)</f>
        <v>yellow</v>
      </c>
      <c r="E698" s="97">
        <f ca="1">VLOOKUP(D698,[2]属性!$A:$E,2,FALSE)</f>
        <v>0.98</v>
      </c>
      <c r="F698" s="97">
        <f ca="1">VLOOKUP(D698,[2]属性!$A:$E,3,FALSE)</f>
        <v>1.01</v>
      </c>
      <c r="G698" s="97">
        <f ca="1">VLOOKUP(D698,[2]属性!$A:$F,4,FALSE)</f>
        <v>1</v>
      </c>
      <c r="H698" s="9" t="str">
        <f ca="1">VLOOKUP(A698,[2]characters!$A:$K,11,FALSE)</f>
        <v>dr</v>
      </c>
      <c r="I698" s="6" t="str">
        <f ca="1">VLOOKUP(H698,[2]character_type_i18n!$A:$F,3,FALSE)</f>
        <v>デュラララ!!</v>
      </c>
      <c r="J698" s="97">
        <f ca="1">VLOOKUP(H698,[2]character_type_i18n!$A:$F,4,FALSE)</f>
        <v>1</v>
      </c>
      <c r="K698" s="97">
        <f ca="1">VLOOKUP(H698,[2]character_type_i18n!$A:$F,5,FALSE)</f>
        <v>1</v>
      </c>
      <c r="L698" s="97">
        <f ca="1">VLOOKUP(H698,[2]character_type_i18n!$A:$F,6,FALSE)</f>
        <v>1</v>
      </c>
      <c r="M698" s="9" t="str">
        <f ca="1">VLOOKUP(A698,[2]characters!$A:$M,13,FALSE)</f>
        <v>unknown</v>
      </c>
      <c r="N698" s="6" t="str">
        <f ca="1">VLOOKUP(M698,[2]character_tribe_i18n!$A:$F,3,FALSE)</f>
        <v>Unknown</v>
      </c>
      <c r="O698" s="97">
        <f ca="1">VLOOKUP(M698,[2]character_tribe_i18n!$A:$F,4,FALSE)</f>
        <v>1</v>
      </c>
      <c r="P698" s="97">
        <f ca="1">VLOOKUP(M698,[2]character_tribe_i18n!$A:$F,5,FALSE)</f>
        <v>1</v>
      </c>
      <c r="Q698" s="97">
        <f ca="1">VLOOKUP(M698,[2]character_tribe_i18n!$A:$F,6,FALSE)</f>
        <v>1</v>
      </c>
      <c r="R698" s="98" t="s">
        <v>98</v>
      </c>
      <c r="S698" s="97">
        <f>VLOOKUP($R698,ラベル別係数!$A$1:$E$7,3,FALSE)</f>
        <v>5</v>
      </c>
      <c r="T698" s="97">
        <f>VLOOKUP($R698,ラベル別係数!$A$1:$E$7,4,FALSE)</f>
        <v>1.3</v>
      </c>
      <c r="U698" s="97">
        <f>VLOOKUP($R698,ラベル別係数!$A$1:$E$7,5,FALSE)</f>
        <v>0.8</v>
      </c>
      <c r="V698" s="98">
        <v>3</v>
      </c>
      <c r="W698" s="99">
        <f>VLOOKUP(V698,ターン数別攻撃係数!$A$1:$B$1000,2,FALSE)</f>
        <v>1</v>
      </c>
      <c r="X698" s="9">
        <f ca="1">VLOOKUP(C698,サイズ別係数!A$2:B$9,2,FALSE)</f>
        <v>60</v>
      </c>
      <c r="Y698" s="97">
        <f ca="1">VLOOKUP($X698,サイズ別係数!$B:$E,2,FALSE)</f>
        <v>1.7</v>
      </c>
      <c r="Z698" s="97">
        <f ca="1">VLOOKUP($X698,サイズ別係数!$B:$E,3,FALSE)</f>
        <v>1.4</v>
      </c>
      <c r="AA698" s="97">
        <f ca="1">VLOOKUP($X698,サイズ別係数!$B:$E,4,FALSE)</f>
        <v>1</v>
      </c>
      <c r="AB698" s="10">
        <v>0</v>
      </c>
      <c r="AC698" s="6" t="str">
        <f ca="1">VLOOKUP($AB698,OFFSET([3]enemy_skill_sets!$B$2,0,0,COUNTA([3]enemy_skill_sets!$A:$A),MATCH(AC$1,[3]enemy_skill_sets!$1:$1,0)-MATCH($AB$1,[3]enemy_skill_sets!$1:$1,0)+1),MATCH(AC$1,[3]enemy_skill_sets!$1:$1,0)-MATCH($AB$1,[3]enemy_skill_sets!$1:$1,0)+1,FALSE)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8" s="67">
        <v>1</v>
      </c>
      <c r="AE698" s="67">
        <v>1</v>
      </c>
      <c r="AF698" s="68">
        <v>0</v>
      </c>
      <c r="AG698" s="99">
        <f ca="1">ROUND(VLOOKUP(1,enemy_base_stats!$A:$F,2,FALSE) * Y698* J698*O698*E698*S698*AD698*[2]ステータス!$B$2,0)</f>
        <v>4165</v>
      </c>
      <c r="AH698" s="99">
        <f ca="1">ROUND(VLOOKUP(1,enemy_base_stats!$A:$F,3,FALSE) * Z698*K698*P698*F698*T698*AE698 * W698*[2]ステータス!$C$2,0)</f>
        <v>276</v>
      </c>
      <c r="AI698" s="99">
        <f ca="1">ROUND(VLOOKUP(1,enemy_base_stats!$A:$F,4,FALSE) * AA698*L698*Q698*G698*U698*AF698*[2]ステータス!$D$2,0)</f>
        <v>0</v>
      </c>
      <c r="AJ698" s="99">
        <f ca="1">ROUND(VLOOKUP(100,enemy_base_stats!$A:$F,2,FALSE) * Y698* J698*O698*E698*S698*AD698*[2]ステータス!$B$2,0)</f>
        <v>169099</v>
      </c>
      <c r="AK698" s="99">
        <f ca="1">ROUND(VLOOKUP(100,enemy_base_stats!$A:$F,3,FALSE)* Z698* K698*P698*F698*T698*AE698 * W698*[2]ステータス!$C$2,0)</f>
        <v>11195</v>
      </c>
      <c r="AL698" s="99">
        <f ca="1">ROUND(VLOOKUP(100,enemy_base_stats!$A:$F,4,FALSE)* AA698* L698*Q698*G698*U698*AF698*[2]ステータス!$D$2,0)</f>
        <v>0</v>
      </c>
      <c r="AM698" s="97">
        <f ca="1">VLOOKUP(M698,[2]character_tribe_i18n!$A:$I,9,FALSE)</f>
        <v>340</v>
      </c>
      <c r="AN698" s="97">
        <v>0</v>
      </c>
      <c r="AO698" s="98">
        <v>0</v>
      </c>
      <c r="AP698" s="58" t="s">
        <v>72</v>
      </c>
      <c r="AQ698" s="34">
        <f t="shared" ca="1" si="42"/>
        <v>697</v>
      </c>
    </row>
    <row r="699" spans="1:43" ht="21" customHeight="1" x14ac:dyDescent="0.15">
      <c r="A699" s="7">
        <f t="shared" ca="1" si="41"/>
        <v>698</v>
      </c>
      <c r="B699" s="6" t="str">
        <f ca="1">VLOOKUP(A699,[2]characters!$A:$C,3,FALSE)</f>
        <v>園原杏里</v>
      </c>
      <c r="C699" s="9">
        <f ca="1">VLOOKUP(A699,[2]characters!$A:$I,9,FALSE)</f>
        <v>5</v>
      </c>
      <c r="D699" s="9" t="str">
        <f ca="1">VLOOKUP(A699,[2]characters!$A:$H,8,FALSE)</f>
        <v>red</v>
      </c>
      <c r="E699" s="97">
        <f ca="1">VLOOKUP(D699,[2]属性!$A:$E,2,FALSE)</f>
        <v>1</v>
      </c>
      <c r="F699" s="97">
        <f ca="1">VLOOKUP(D699,[2]属性!$A:$E,3,FALSE)</f>
        <v>1.02</v>
      </c>
      <c r="G699" s="97">
        <f ca="1">VLOOKUP(D699,[2]属性!$A:$F,4,FALSE)</f>
        <v>1</v>
      </c>
      <c r="H699" s="9" t="str">
        <f ca="1">VLOOKUP(A699,[2]characters!$A:$K,11,FALSE)</f>
        <v>dr</v>
      </c>
      <c r="I699" s="6" t="str">
        <f ca="1">VLOOKUP(H699,[2]character_type_i18n!$A:$F,3,FALSE)</f>
        <v>デュラララ!!</v>
      </c>
      <c r="J699" s="97">
        <f ca="1">VLOOKUP(H699,[2]character_type_i18n!$A:$F,4,FALSE)</f>
        <v>1</v>
      </c>
      <c r="K699" s="97">
        <f ca="1">VLOOKUP(H699,[2]character_type_i18n!$A:$F,5,FALSE)</f>
        <v>1</v>
      </c>
      <c r="L699" s="97">
        <f ca="1">VLOOKUP(H699,[2]character_type_i18n!$A:$F,6,FALSE)</f>
        <v>1</v>
      </c>
      <c r="M699" s="9" t="str">
        <f ca="1">VLOOKUP(A699,[2]characters!$A:$M,13,FALSE)</f>
        <v>human</v>
      </c>
      <c r="N699" s="6" t="str">
        <f ca="1">VLOOKUP(M699,[2]character_tribe_i18n!$A:$F,3,FALSE)</f>
        <v>ヒューマン</v>
      </c>
      <c r="O699" s="97">
        <f ca="1">VLOOKUP(M699,[2]character_tribe_i18n!$A:$F,4,FALSE)</f>
        <v>0.94</v>
      </c>
      <c r="P699" s="97">
        <f ca="1">VLOOKUP(M699,[2]character_tribe_i18n!$A:$F,5,FALSE)</f>
        <v>0.99</v>
      </c>
      <c r="Q699" s="97">
        <f ca="1">VLOOKUP(M699,[2]character_tribe_i18n!$A:$F,6,FALSE)</f>
        <v>1</v>
      </c>
      <c r="R699" s="98" t="s">
        <v>98</v>
      </c>
      <c r="S699" s="97">
        <f>VLOOKUP($R699,ラベル別係数!$A$1:$E$7,3,FALSE)</f>
        <v>5</v>
      </c>
      <c r="T699" s="97">
        <f>VLOOKUP($R699,ラベル別係数!$A$1:$E$7,4,FALSE)</f>
        <v>1.3</v>
      </c>
      <c r="U699" s="97">
        <f>VLOOKUP($R699,ラベル別係数!$A$1:$E$7,5,FALSE)</f>
        <v>0.8</v>
      </c>
      <c r="V699" s="98">
        <v>3</v>
      </c>
      <c r="W699" s="99">
        <f>VLOOKUP(V699,ターン数別攻撃係数!$A$1:$B$1000,2,FALSE)</f>
        <v>1</v>
      </c>
      <c r="X699" s="9">
        <f ca="1">VLOOKUP(C699,サイズ別係数!A$2:B$9,2,FALSE)</f>
        <v>60</v>
      </c>
      <c r="Y699" s="97">
        <f ca="1">VLOOKUP($X699,サイズ別係数!$B:$E,2,FALSE)</f>
        <v>1.7</v>
      </c>
      <c r="Z699" s="97">
        <f ca="1">VLOOKUP($X699,サイズ別係数!$B:$E,3,FALSE)</f>
        <v>1.4</v>
      </c>
      <c r="AA699" s="97">
        <f ca="1">VLOOKUP($X699,サイズ別係数!$B:$E,4,FALSE)</f>
        <v>1</v>
      </c>
      <c r="AB699" s="10">
        <v>0</v>
      </c>
      <c r="AC699" s="6" t="str">
        <f ca="1">VLOOKUP($AB699,OFFSET([3]enemy_skill_sets!$B$2,0,0,COUNTA([3]enemy_skill_sets!$A:$A),MATCH(AC$1,[3]enemy_skill_sets!$1:$1,0)-MATCH($AB$1,[3]enemy_skill_sets!$1:$1,0)+1),MATCH(AC$1,[3]enemy_skill_sets!$1:$1,0)-MATCH($AB$1,[3]enemy_skill_sets!$1:$1,0)+1,FALSE)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699" s="67">
        <v>1</v>
      </c>
      <c r="AE699" s="67">
        <v>1</v>
      </c>
      <c r="AF699" s="68">
        <v>0</v>
      </c>
      <c r="AG699" s="99">
        <f ca="1">ROUND(VLOOKUP(1,enemy_base_stats!$A:$F,2,FALSE) * Y699* J699*O699*E699*S699*AD699*[2]ステータス!$B$2,0)</f>
        <v>3995</v>
      </c>
      <c r="AH699" s="99">
        <f ca="1">ROUND(VLOOKUP(1,enemy_base_stats!$A:$F,3,FALSE) * Z699*K699*P699*F699*T699*AE699 * W699*[2]ステータス!$C$2,0)</f>
        <v>276</v>
      </c>
      <c r="AI699" s="99">
        <f ca="1">ROUND(VLOOKUP(1,enemy_base_stats!$A:$F,4,FALSE) * AA699*L699*Q699*G699*U699*AF699*[2]ステータス!$D$2,0)</f>
        <v>0</v>
      </c>
      <c r="AJ699" s="99">
        <f ca="1">ROUND(VLOOKUP(100,enemy_base_stats!$A:$F,2,FALSE) * Y699* J699*O699*E699*S699*AD699*[2]ステータス!$B$2,0)</f>
        <v>162197</v>
      </c>
      <c r="AK699" s="99">
        <f ca="1">ROUND(VLOOKUP(100,enemy_base_stats!$A:$F,3,FALSE)* Z699* K699*P699*F699*T699*AE699 * W699*[2]ステータス!$C$2,0)</f>
        <v>11192</v>
      </c>
      <c r="AL699" s="99">
        <f ca="1">ROUND(VLOOKUP(100,enemy_base_stats!$A:$F,4,FALSE)* AA699* L699*Q699*G699*U699*AF699*[2]ステータス!$D$2,0)</f>
        <v>0</v>
      </c>
      <c r="AM699" s="97">
        <f ca="1">VLOOKUP(M699,[2]character_tribe_i18n!$A:$I,9,FALSE)</f>
        <v>400</v>
      </c>
      <c r="AN699" s="97">
        <v>0</v>
      </c>
      <c r="AO699" s="98">
        <v>0</v>
      </c>
      <c r="AP699" s="58" t="s">
        <v>72</v>
      </c>
      <c r="AQ699" s="34">
        <f t="shared" ca="1" si="42"/>
        <v>698</v>
      </c>
    </row>
    <row r="700" spans="1:43" ht="21" customHeight="1" x14ac:dyDescent="0.15">
      <c r="A700" s="7">
        <f t="shared" ca="1" si="41"/>
        <v>699</v>
      </c>
      <c r="B700" s="6" t="str">
        <f ca="1">VLOOKUP(A700,[2]characters!$A:$C,3,FALSE)</f>
        <v>依存の母愛　園原杏里</v>
      </c>
      <c r="C700" s="9">
        <f ca="1">VLOOKUP(A700,[2]characters!$A:$I,9,FALSE)</f>
        <v>6</v>
      </c>
      <c r="D700" s="9" t="str">
        <f ca="1">VLOOKUP(A700,[2]characters!$A:$H,8,FALSE)</f>
        <v>red</v>
      </c>
      <c r="E700" s="97">
        <f ca="1">VLOOKUP(D700,[2]属性!$A:$E,2,FALSE)</f>
        <v>1</v>
      </c>
      <c r="F700" s="97">
        <f ca="1">VLOOKUP(D700,[2]属性!$A:$E,3,FALSE)</f>
        <v>1.02</v>
      </c>
      <c r="G700" s="97">
        <f ca="1">VLOOKUP(D700,[2]属性!$A:$F,4,FALSE)</f>
        <v>1</v>
      </c>
      <c r="H700" s="9" t="str">
        <f ca="1">VLOOKUP(A700,[2]characters!$A:$K,11,FALSE)</f>
        <v>dr</v>
      </c>
      <c r="I700" s="6" t="str">
        <f ca="1">VLOOKUP(H700,[2]character_type_i18n!$A:$F,3,FALSE)</f>
        <v>デュラララ!!</v>
      </c>
      <c r="J700" s="97">
        <f ca="1">VLOOKUP(H700,[2]character_type_i18n!$A:$F,4,FALSE)</f>
        <v>1</v>
      </c>
      <c r="K700" s="97">
        <f ca="1">VLOOKUP(H700,[2]character_type_i18n!$A:$F,5,FALSE)</f>
        <v>1</v>
      </c>
      <c r="L700" s="97">
        <f ca="1">VLOOKUP(H700,[2]character_type_i18n!$A:$F,6,FALSE)</f>
        <v>1</v>
      </c>
      <c r="M700" s="9" t="str">
        <f ca="1">VLOOKUP(A700,[2]characters!$A:$M,13,FALSE)</f>
        <v>human</v>
      </c>
      <c r="N700" s="6" t="str">
        <f ca="1">VLOOKUP(M700,[2]character_tribe_i18n!$A:$F,3,FALSE)</f>
        <v>ヒューマン</v>
      </c>
      <c r="O700" s="97">
        <f ca="1">VLOOKUP(M700,[2]character_tribe_i18n!$A:$F,4,FALSE)</f>
        <v>0.94</v>
      </c>
      <c r="P700" s="97">
        <f ca="1">VLOOKUP(M700,[2]character_tribe_i18n!$A:$F,5,FALSE)</f>
        <v>0.99</v>
      </c>
      <c r="Q700" s="97">
        <f ca="1">VLOOKUP(M700,[2]character_tribe_i18n!$A:$F,6,FALSE)</f>
        <v>1</v>
      </c>
      <c r="R700" s="98" t="s">
        <v>98</v>
      </c>
      <c r="S700" s="97">
        <f>VLOOKUP($R700,ラベル別係数!$A$1:$E$7,3,FALSE)</f>
        <v>5</v>
      </c>
      <c r="T700" s="97">
        <f>VLOOKUP($R700,ラベル別係数!$A$1:$E$7,4,FALSE)</f>
        <v>1.3</v>
      </c>
      <c r="U700" s="97">
        <f>VLOOKUP($R700,ラベル別係数!$A$1:$E$7,5,FALSE)</f>
        <v>0.8</v>
      </c>
      <c r="V700" s="98">
        <v>3</v>
      </c>
      <c r="W700" s="99">
        <f>VLOOKUP(V700,ターン数別攻撃係数!$A$1:$B$1000,2,FALSE)</f>
        <v>1</v>
      </c>
      <c r="X700" s="9">
        <f ca="1">VLOOKUP(C700,サイズ別係数!A$2:B$9,2,FALSE)</f>
        <v>60</v>
      </c>
      <c r="Y700" s="97">
        <f ca="1">VLOOKUP($X700,サイズ別係数!$B:$E,2,FALSE)</f>
        <v>1.7</v>
      </c>
      <c r="Z700" s="97">
        <f ca="1">VLOOKUP($X700,サイズ別係数!$B:$E,3,FALSE)</f>
        <v>1.4</v>
      </c>
      <c r="AA700" s="97">
        <f ca="1">VLOOKUP($X700,サイズ別係数!$B:$E,4,FALSE)</f>
        <v>1</v>
      </c>
      <c r="AB700" s="10">
        <v>0</v>
      </c>
      <c r="AC700" s="6" t="str">
        <f ca="1">VLOOKUP($AB700,OFFSET([3]enemy_skill_sets!$B$2,0,0,COUNTA([3]enemy_skill_sets!$A:$A),MATCH(AC$1,[3]enemy_skill_sets!$1:$1,0)-MATCH($AB$1,[3]enemy_skill_sets!$1:$1,0)+1),MATCH(AC$1,[3]enemy_skill_sets!$1:$1,0)-MATCH($AB$1,[3]enemy_skill_sets!$1:$1,0)+1,FALSE)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0" s="67">
        <v>1</v>
      </c>
      <c r="AE700" s="67">
        <v>1</v>
      </c>
      <c r="AF700" s="68">
        <v>0</v>
      </c>
      <c r="AG700" s="99">
        <f ca="1">ROUND(VLOOKUP(1,enemy_base_stats!$A:$F,2,FALSE) * Y700* J700*O700*E700*S700*AD700*[2]ステータス!$B$2,0)</f>
        <v>3995</v>
      </c>
      <c r="AH700" s="99">
        <f ca="1">ROUND(VLOOKUP(1,enemy_base_stats!$A:$F,3,FALSE) * Z700*K700*P700*F700*T700*AE700 * W700*[2]ステータス!$C$2,0)</f>
        <v>276</v>
      </c>
      <c r="AI700" s="99">
        <f ca="1">ROUND(VLOOKUP(1,enemy_base_stats!$A:$F,4,FALSE) * AA700*L700*Q700*G700*U700*AF700*[2]ステータス!$D$2,0)</f>
        <v>0</v>
      </c>
      <c r="AJ700" s="99">
        <f ca="1">ROUND(VLOOKUP(100,enemy_base_stats!$A:$F,2,FALSE) * Y700* J700*O700*E700*S700*AD700*[2]ステータス!$B$2,0)</f>
        <v>162197</v>
      </c>
      <c r="AK700" s="99">
        <f ca="1">ROUND(VLOOKUP(100,enemy_base_stats!$A:$F,3,FALSE)* Z700* K700*P700*F700*T700*AE700 * W700*[2]ステータス!$C$2,0)</f>
        <v>11192</v>
      </c>
      <c r="AL700" s="99">
        <f ca="1">ROUND(VLOOKUP(100,enemy_base_stats!$A:$F,4,FALSE)* AA700* L700*Q700*G700*U700*AF700*[2]ステータス!$D$2,0)</f>
        <v>0</v>
      </c>
      <c r="AM700" s="64">
        <v>50000</v>
      </c>
      <c r="AN700" s="97">
        <v>0</v>
      </c>
      <c r="AO700" s="98">
        <v>0</v>
      </c>
      <c r="AP700" s="58" t="s">
        <v>72</v>
      </c>
      <c r="AQ700" s="34">
        <f t="shared" ca="1" si="42"/>
        <v>699</v>
      </c>
    </row>
    <row r="701" spans="1:43" ht="21" customHeight="1" x14ac:dyDescent="0.15">
      <c r="A701" s="7">
        <f t="shared" ca="1" si="41"/>
        <v>700</v>
      </c>
      <c r="B701" s="6" t="str">
        <f ca="1">VLOOKUP(A701,[2]characters!$A:$C,3,FALSE)</f>
        <v>折原臨也</v>
      </c>
      <c r="C701" s="9">
        <f ca="1">VLOOKUP(A701,[2]characters!$A:$I,9,FALSE)</f>
        <v>5</v>
      </c>
      <c r="D701" s="9" t="str">
        <f ca="1">VLOOKUP(A701,[2]characters!$A:$H,8,FALSE)</f>
        <v>blue</v>
      </c>
      <c r="E701" s="97">
        <f ca="1">VLOOKUP(D701,[2]属性!$A:$E,2,FALSE)</f>
        <v>1</v>
      </c>
      <c r="F701" s="97">
        <f ca="1">VLOOKUP(D701,[2]属性!$A:$E,3,FALSE)</f>
        <v>0.98</v>
      </c>
      <c r="G701" s="97">
        <f ca="1">VLOOKUP(D701,[2]属性!$A:$F,4,FALSE)</f>
        <v>1</v>
      </c>
      <c r="H701" s="9" t="str">
        <f ca="1">VLOOKUP(A701,[2]characters!$A:$K,11,FALSE)</f>
        <v>dr</v>
      </c>
      <c r="I701" s="6" t="str">
        <f ca="1">VLOOKUP(H701,[2]character_type_i18n!$A:$F,3,FALSE)</f>
        <v>デュラララ!!</v>
      </c>
      <c r="J701" s="97">
        <f ca="1">VLOOKUP(H701,[2]character_type_i18n!$A:$F,4,FALSE)</f>
        <v>1</v>
      </c>
      <c r="K701" s="97">
        <f ca="1">VLOOKUP(H701,[2]character_type_i18n!$A:$F,5,FALSE)</f>
        <v>1</v>
      </c>
      <c r="L701" s="97">
        <f ca="1">VLOOKUP(H701,[2]character_type_i18n!$A:$F,6,FALSE)</f>
        <v>1</v>
      </c>
      <c r="M701" s="9" t="str">
        <f ca="1">VLOOKUP(A701,[2]characters!$A:$M,13,FALSE)</f>
        <v>human</v>
      </c>
      <c r="N701" s="6" t="str">
        <f ca="1">VLOOKUP(M701,[2]character_tribe_i18n!$A:$F,3,FALSE)</f>
        <v>ヒューマン</v>
      </c>
      <c r="O701" s="97">
        <f ca="1">VLOOKUP(M701,[2]character_tribe_i18n!$A:$F,4,FALSE)</f>
        <v>0.94</v>
      </c>
      <c r="P701" s="97">
        <f ca="1">VLOOKUP(M701,[2]character_tribe_i18n!$A:$F,5,FALSE)</f>
        <v>0.99</v>
      </c>
      <c r="Q701" s="97">
        <f ca="1">VLOOKUP(M701,[2]character_tribe_i18n!$A:$F,6,FALSE)</f>
        <v>1</v>
      </c>
      <c r="R701" s="98" t="s">
        <v>98</v>
      </c>
      <c r="S701" s="97">
        <f>VLOOKUP($R701,ラベル別係数!$A$1:$E$7,3,FALSE)</f>
        <v>5</v>
      </c>
      <c r="T701" s="97">
        <f>VLOOKUP($R701,ラベル別係数!$A$1:$E$7,4,FALSE)</f>
        <v>1.3</v>
      </c>
      <c r="U701" s="97">
        <f>VLOOKUP($R701,ラベル別係数!$A$1:$E$7,5,FALSE)</f>
        <v>0.8</v>
      </c>
      <c r="V701" s="98">
        <v>3</v>
      </c>
      <c r="W701" s="99">
        <f>VLOOKUP(V701,ターン数別攻撃係数!$A$1:$B$1000,2,FALSE)</f>
        <v>1</v>
      </c>
      <c r="X701" s="9">
        <f ca="1">VLOOKUP(C701,サイズ別係数!A$2:B$9,2,FALSE)</f>
        <v>60</v>
      </c>
      <c r="Y701" s="97">
        <f ca="1">VLOOKUP($X701,サイズ別係数!$B:$E,2,FALSE)</f>
        <v>1.7</v>
      </c>
      <c r="Z701" s="97">
        <f ca="1">VLOOKUP($X701,サイズ別係数!$B:$E,3,FALSE)</f>
        <v>1.4</v>
      </c>
      <c r="AA701" s="97">
        <f ca="1">VLOOKUP($X701,サイズ別係数!$B:$E,4,FALSE)</f>
        <v>1</v>
      </c>
      <c r="AB701" s="10">
        <v>0</v>
      </c>
      <c r="AC701" s="6" t="str">
        <f ca="1">VLOOKUP($AB701,OFFSET([3]enemy_skill_sets!$B$2,0,0,COUNTA([3]enemy_skill_sets!$A:$A),MATCH(AC$1,[3]enemy_skill_sets!$1:$1,0)-MATCH($AB$1,[3]enemy_skill_sets!$1:$1,0)+1),MATCH(AC$1,[3]enemy_skill_sets!$1:$1,0)-MATCH($AB$1,[3]enemy_skill_sets!$1:$1,0)+1,FALSE)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1" s="67">
        <v>1</v>
      </c>
      <c r="AE701" s="67">
        <v>1</v>
      </c>
      <c r="AF701" s="68">
        <v>0</v>
      </c>
      <c r="AG701" s="99">
        <f ca="1">ROUND(VLOOKUP(1,enemy_base_stats!$A:$F,2,FALSE) * Y701* J701*O701*E701*S701*AD701*[2]ステータス!$B$2,0)</f>
        <v>3995</v>
      </c>
      <c r="AH701" s="99">
        <f ca="1">ROUND(VLOOKUP(1,enemy_base_stats!$A:$F,3,FALSE) * Z701*K701*P701*F701*T701*AE701 * W701*[2]ステータス!$C$2,0)</f>
        <v>265</v>
      </c>
      <c r="AI701" s="99">
        <f ca="1">ROUND(VLOOKUP(1,enemy_base_stats!$A:$F,4,FALSE) * AA701*L701*Q701*G701*U701*AF701*[2]ステータス!$D$2,0)</f>
        <v>0</v>
      </c>
      <c r="AJ701" s="99">
        <f ca="1">ROUND(VLOOKUP(100,enemy_base_stats!$A:$F,2,FALSE) * Y701* J701*O701*E701*S701*AD701*[2]ステータス!$B$2,0)</f>
        <v>162197</v>
      </c>
      <c r="AK701" s="99">
        <f ca="1">ROUND(VLOOKUP(100,enemy_base_stats!$A:$F,3,FALSE)* Z701* K701*P701*F701*T701*AE701 * W701*[2]ステータス!$C$2,0)</f>
        <v>10754</v>
      </c>
      <c r="AL701" s="99">
        <f ca="1">ROUND(VLOOKUP(100,enemy_base_stats!$A:$F,4,FALSE)* AA701* L701*Q701*G701*U701*AF701*[2]ステータス!$D$2,0)</f>
        <v>0</v>
      </c>
      <c r="AM701" s="97">
        <f ca="1">VLOOKUP(M701,[2]character_tribe_i18n!$A:$I,9,FALSE)</f>
        <v>400</v>
      </c>
      <c r="AN701" s="97">
        <v>0</v>
      </c>
      <c r="AO701" s="98">
        <v>0</v>
      </c>
      <c r="AP701" s="58" t="s">
        <v>72</v>
      </c>
      <c r="AQ701" s="34">
        <f t="shared" ca="1" si="42"/>
        <v>700</v>
      </c>
    </row>
    <row r="702" spans="1:43" ht="21" customHeight="1" x14ac:dyDescent="0.15">
      <c r="A702" s="7">
        <f t="shared" ca="1" si="41"/>
        <v>701</v>
      </c>
      <c r="B702" s="6" t="str">
        <f ca="1">VLOOKUP(A702,[2]characters!$A:$C,3,FALSE)</f>
        <v>謀略の情報屋 折原臨也</v>
      </c>
      <c r="C702" s="9">
        <f ca="1">VLOOKUP(A702,[2]characters!$A:$I,9,FALSE)</f>
        <v>6</v>
      </c>
      <c r="D702" s="9" t="str">
        <f ca="1">VLOOKUP(A702,[2]characters!$A:$H,8,FALSE)</f>
        <v>blue</v>
      </c>
      <c r="E702" s="97">
        <f ca="1">VLOOKUP(D702,[2]属性!$A:$E,2,FALSE)</f>
        <v>1</v>
      </c>
      <c r="F702" s="97">
        <f ca="1">VLOOKUP(D702,[2]属性!$A:$E,3,FALSE)</f>
        <v>0.98</v>
      </c>
      <c r="G702" s="97">
        <f ca="1">VLOOKUP(D702,[2]属性!$A:$F,4,FALSE)</f>
        <v>1</v>
      </c>
      <c r="H702" s="9" t="str">
        <f ca="1">VLOOKUP(A702,[2]characters!$A:$K,11,FALSE)</f>
        <v>dr</v>
      </c>
      <c r="I702" s="6" t="str">
        <f ca="1">VLOOKUP(H702,[2]character_type_i18n!$A:$F,3,FALSE)</f>
        <v>デュラララ!!</v>
      </c>
      <c r="J702" s="97">
        <f ca="1">VLOOKUP(H702,[2]character_type_i18n!$A:$F,4,FALSE)</f>
        <v>1</v>
      </c>
      <c r="K702" s="97">
        <f ca="1">VLOOKUP(H702,[2]character_type_i18n!$A:$F,5,FALSE)</f>
        <v>1</v>
      </c>
      <c r="L702" s="97">
        <f ca="1">VLOOKUP(H702,[2]character_type_i18n!$A:$F,6,FALSE)</f>
        <v>1</v>
      </c>
      <c r="M702" s="9" t="str">
        <f ca="1">VLOOKUP(A702,[2]characters!$A:$M,13,FALSE)</f>
        <v>human</v>
      </c>
      <c r="N702" s="6" t="str">
        <f ca="1">VLOOKUP(M702,[2]character_tribe_i18n!$A:$F,3,FALSE)</f>
        <v>ヒューマン</v>
      </c>
      <c r="O702" s="97">
        <f ca="1">VLOOKUP(M702,[2]character_tribe_i18n!$A:$F,4,FALSE)</f>
        <v>0.94</v>
      </c>
      <c r="P702" s="97">
        <f ca="1">VLOOKUP(M702,[2]character_tribe_i18n!$A:$F,5,FALSE)</f>
        <v>0.99</v>
      </c>
      <c r="Q702" s="97">
        <f ca="1">VLOOKUP(M702,[2]character_tribe_i18n!$A:$F,6,FALSE)</f>
        <v>1</v>
      </c>
      <c r="R702" s="98" t="s">
        <v>98</v>
      </c>
      <c r="S702" s="97">
        <f>VLOOKUP($R702,ラベル別係数!$A$1:$E$7,3,FALSE)</f>
        <v>5</v>
      </c>
      <c r="T702" s="97">
        <f>VLOOKUP($R702,ラベル別係数!$A$1:$E$7,4,FALSE)</f>
        <v>1.3</v>
      </c>
      <c r="U702" s="97">
        <f>VLOOKUP($R702,ラベル別係数!$A$1:$E$7,5,FALSE)</f>
        <v>0.8</v>
      </c>
      <c r="V702" s="98">
        <v>3</v>
      </c>
      <c r="W702" s="99">
        <f>VLOOKUP(V702,ターン数別攻撃係数!$A$1:$B$1000,2,FALSE)</f>
        <v>1</v>
      </c>
      <c r="X702" s="9">
        <f ca="1">VLOOKUP(C702,サイズ別係数!A$2:B$9,2,FALSE)</f>
        <v>60</v>
      </c>
      <c r="Y702" s="97">
        <f ca="1">VLOOKUP($X702,サイズ別係数!$B:$E,2,FALSE)</f>
        <v>1.7</v>
      </c>
      <c r="Z702" s="97">
        <f ca="1">VLOOKUP($X702,サイズ別係数!$B:$E,3,FALSE)</f>
        <v>1.4</v>
      </c>
      <c r="AA702" s="97">
        <f ca="1">VLOOKUP($X702,サイズ別係数!$B:$E,4,FALSE)</f>
        <v>1</v>
      </c>
      <c r="AB702" s="10">
        <v>0</v>
      </c>
      <c r="AC702" s="6" t="str">
        <f ca="1">VLOOKUP($AB702,OFFSET([3]enemy_skill_sets!$B$2,0,0,COUNTA([3]enemy_skill_sets!$A:$A),MATCH(AC$1,[3]enemy_skill_sets!$1:$1,0)-MATCH($AB$1,[3]enemy_skill_sets!$1:$1,0)+1),MATCH(AC$1,[3]enemy_skill_sets!$1:$1,0)-MATCH($AB$1,[3]enemy_skill_sets!$1:$1,0)+1,FALSE)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2" s="67">
        <v>1</v>
      </c>
      <c r="AE702" s="67">
        <v>1</v>
      </c>
      <c r="AF702" s="68">
        <v>0</v>
      </c>
      <c r="AG702" s="99">
        <f ca="1">ROUND(VLOOKUP(1,enemy_base_stats!$A:$F,2,FALSE) * Y702* J702*O702*E702*S702*AD702*[2]ステータス!$B$2,0)</f>
        <v>3995</v>
      </c>
      <c r="AH702" s="99">
        <f ca="1">ROUND(VLOOKUP(1,enemy_base_stats!$A:$F,3,FALSE) * Z702*K702*P702*F702*T702*AE702 * W702*[2]ステータス!$C$2,0)</f>
        <v>265</v>
      </c>
      <c r="AI702" s="99">
        <f ca="1">ROUND(VLOOKUP(1,enemy_base_stats!$A:$F,4,FALSE) * AA702*L702*Q702*G702*U702*AF702*[2]ステータス!$D$2,0)</f>
        <v>0</v>
      </c>
      <c r="AJ702" s="99">
        <f ca="1">ROUND(VLOOKUP(100,enemy_base_stats!$A:$F,2,FALSE) * Y702* J702*O702*E702*S702*AD702*[2]ステータス!$B$2,0)</f>
        <v>162197</v>
      </c>
      <c r="AK702" s="99">
        <f ca="1">ROUND(VLOOKUP(100,enemy_base_stats!$A:$F,3,FALSE)* Z702* K702*P702*F702*T702*AE702 * W702*[2]ステータス!$C$2,0)</f>
        <v>10754</v>
      </c>
      <c r="AL702" s="99">
        <f ca="1">ROUND(VLOOKUP(100,enemy_base_stats!$A:$F,4,FALSE)* AA702* L702*Q702*G702*U702*AF702*[2]ステータス!$D$2,0)</f>
        <v>0</v>
      </c>
      <c r="AM702" s="64">
        <v>50000</v>
      </c>
      <c r="AN702" s="97">
        <v>0</v>
      </c>
      <c r="AO702" s="98">
        <v>0</v>
      </c>
      <c r="AP702" s="58" t="s">
        <v>72</v>
      </c>
      <c r="AQ702" s="34">
        <f t="shared" ca="1" si="42"/>
        <v>701</v>
      </c>
    </row>
    <row r="703" spans="1:43" ht="21" customHeight="1" x14ac:dyDescent="0.15">
      <c r="A703" s="7">
        <f t="shared" ca="1" si="41"/>
        <v>702</v>
      </c>
      <c r="B703" s="6" t="str">
        <f ca="1">VLOOKUP(A703,[2]characters!$A:$C,3,FALSE)</f>
        <v>サイモン</v>
      </c>
      <c r="C703" s="9">
        <f ca="1">VLOOKUP(A703,[2]characters!$A:$I,9,FALSE)</f>
        <v>4</v>
      </c>
      <c r="D703" s="9" t="str">
        <f ca="1">VLOOKUP(A703,[2]characters!$A:$H,8,FALSE)</f>
        <v>red</v>
      </c>
      <c r="E703" s="97">
        <f ca="1">VLOOKUP(D703,[2]属性!$A:$E,2,FALSE)</f>
        <v>1</v>
      </c>
      <c r="F703" s="97">
        <f ca="1">VLOOKUP(D703,[2]属性!$A:$E,3,FALSE)</f>
        <v>1.02</v>
      </c>
      <c r="G703" s="97">
        <f ca="1">VLOOKUP(D703,[2]属性!$A:$F,4,FALSE)</f>
        <v>1</v>
      </c>
      <c r="H703" s="9" t="str">
        <f ca="1">VLOOKUP(A703,[2]characters!$A:$K,11,FALSE)</f>
        <v>dr</v>
      </c>
      <c r="I703" s="6" t="str">
        <f ca="1">VLOOKUP(H703,[2]character_type_i18n!$A:$F,3,FALSE)</f>
        <v>デュラララ!!</v>
      </c>
      <c r="J703" s="97">
        <f ca="1">VLOOKUP(H703,[2]character_type_i18n!$A:$F,4,FALSE)</f>
        <v>1</v>
      </c>
      <c r="K703" s="97">
        <f ca="1">VLOOKUP(H703,[2]character_type_i18n!$A:$F,5,FALSE)</f>
        <v>1</v>
      </c>
      <c r="L703" s="97">
        <f ca="1">VLOOKUP(H703,[2]character_type_i18n!$A:$F,6,FALSE)</f>
        <v>1</v>
      </c>
      <c r="M703" s="9" t="str">
        <f ca="1">VLOOKUP(A703,[2]characters!$A:$M,13,FALSE)</f>
        <v>human</v>
      </c>
      <c r="N703" s="6" t="str">
        <f ca="1">VLOOKUP(M703,[2]character_tribe_i18n!$A:$F,3,FALSE)</f>
        <v>ヒューマン</v>
      </c>
      <c r="O703" s="97">
        <f ca="1">VLOOKUP(M703,[2]character_tribe_i18n!$A:$F,4,FALSE)</f>
        <v>0.94</v>
      </c>
      <c r="P703" s="97">
        <f ca="1">VLOOKUP(M703,[2]character_tribe_i18n!$A:$F,5,FALSE)</f>
        <v>0.99</v>
      </c>
      <c r="Q703" s="97">
        <f ca="1">VLOOKUP(M703,[2]character_tribe_i18n!$A:$F,6,FALSE)</f>
        <v>1</v>
      </c>
      <c r="R703" s="98" t="s">
        <v>98</v>
      </c>
      <c r="S703" s="97">
        <f>VLOOKUP($R703,ラベル別係数!$A$1:$E$7,3,FALSE)</f>
        <v>5</v>
      </c>
      <c r="T703" s="97">
        <f>VLOOKUP($R703,ラベル別係数!$A$1:$E$7,4,FALSE)</f>
        <v>1.3</v>
      </c>
      <c r="U703" s="97">
        <f>VLOOKUP($R703,ラベル別係数!$A$1:$E$7,5,FALSE)</f>
        <v>0.8</v>
      </c>
      <c r="V703" s="98">
        <v>3</v>
      </c>
      <c r="W703" s="99">
        <f>VLOOKUP(V703,ターン数別攻撃係数!$A$1:$B$1000,2,FALSE)</f>
        <v>1</v>
      </c>
      <c r="X703" s="9">
        <f ca="1">VLOOKUP(C703,サイズ別係数!A$2:B$9,2,FALSE)</f>
        <v>30</v>
      </c>
      <c r="Y703" s="97">
        <f ca="1">VLOOKUP($X703,サイズ別係数!$B:$E,2,FALSE)</f>
        <v>1.3</v>
      </c>
      <c r="Z703" s="97">
        <f ca="1">VLOOKUP($X703,サイズ別係数!$B:$E,3,FALSE)</f>
        <v>1.3</v>
      </c>
      <c r="AA703" s="97">
        <f ca="1">VLOOKUP($X703,サイズ別係数!$B:$E,4,FALSE)</f>
        <v>1.1000000000000001</v>
      </c>
      <c r="AB703" s="10">
        <v>0</v>
      </c>
      <c r="AC703" s="6" t="str">
        <f ca="1">VLOOKUP($AB703,OFFSET([3]enemy_skill_sets!$B$2,0,0,COUNTA([3]enemy_skill_sets!$A:$A),MATCH(AC$1,[3]enemy_skill_sets!$1:$1,0)-MATCH($AB$1,[3]enemy_skill_sets!$1:$1,0)+1),MATCH(AC$1,[3]enemy_skill_sets!$1:$1,0)-MATCH($AB$1,[3]enemy_skill_sets!$1:$1,0)+1,FALSE)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3" s="67">
        <v>1</v>
      </c>
      <c r="AE703" s="67">
        <v>1</v>
      </c>
      <c r="AF703" s="68">
        <v>0</v>
      </c>
      <c r="AG703" s="99">
        <f ca="1">ROUND(VLOOKUP(1,enemy_base_stats!$A:$F,2,FALSE) * Y703* J703*O703*E703*S703*AD703*[2]ステータス!$B$2,0)</f>
        <v>3055</v>
      </c>
      <c r="AH703" s="99">
        <f ca="1">ROUND(VLOOKUP(1,enemy_base_stats!$A:$F,3,FALSE) * Z703*K703*P703*F703*T703*AE703 * W703*[2]ステータス!$C$2,0)</f>
        <v>256</v>
      </c>
      <c r="AI703" s="99">
        <f ca="1">ROUND(VLOOKUP(1,enemy_base_stats!$A:$F,4,FALSE) * AA703*L703*Q703*G703*U703*AF703*[2]ステータス!$D$2,0)</f>
        <v>0</v>
      </c>
      <c r="AJ703" s="99">
        <f ca="1">ROUND(VLOOKUP(100,enemy_base_stats!$A:$F,2,FALSE) * Y703* J703*O703*E703*S703*AD703*[2]ステータス!$B$2,0)</f>
        <v>124033</v>
      </c>
      <c r="AK703" s="99">
        <f ca="1">ROUND(VLOOKUP(100,enemy_base_stats!$A:$F,3,FALSE)* Z703* K703*P703*F703*T703*AE703 * W703*[2]ステータス!$C$2,0)</f>
        <v>10393</v>
      </c>
      <c r="AL703" s="99">
        <f ca="1">ROUND(VLOOKUP(100,enemy_base_stats!$A:$F,4,FALSE)* AA703* L703*Q703*G703*U703*AF703*[2]ステータス!$D$2,0)</f>
        <v>0</v>
      </c>
      <c r="AM703" s="97">
        <f ca="1">VLOOKUP(M703,[2]character_tribe_i18n!$A:$I,9,FALSE)</f>
        <v>400</v>
      </c>
      <c r="AN703" s="97">
        <v>0</v>
      </c>
      <c r="AO703" s="98">
        <v>0</v>
      </c>
      <c r="AP703" s="58" t="s">
        <v>72</v>
      </c>
      <c r="AQ703" s="34">
        <f t="shared" ca="1" si="42"/>
        <v>702</v>
      </c>
    </row>
    <row r="704" spans="1:43" ht="21" customHeight="1" x14ac:dyDescent="0.15">
      <c r="A704" s="7">
        <f t="shared" ca="1" si="41"/>
        <v>703</v>
      </c>
      <c r="B704" s="6" t="str">
        <f ca="1">VLOOKUP(A704,[2]characters!$A:$C,3,FALSE)</f>
        <v>豪腕静穏な寿司屋 サイモン</v>
      </c>
      <c r="C704" s="9">
        <f ca="1">VLOOKUP(A704,[2]characters!$A:$I,9,FALSE)</f>
        <v>5</v>
      </c>
      <c r="D704" s="9" t="str">
        <f ca="1">VLOOKUP(A704,[2]characters!$A:$H,8,FALSE)</f>
        <v>red</v>
      </c>
      <c r="E704" s="97">
        <f ca="1">VLOOKUP(D704,[2]属性!$A:$E,2,FALSE)</f>
        <v>1</v>
      </c>
      <c r="F704" s="97">
        <f ca="1">VLOOKUP(D704,[2]属性!$A:$E,3,FALSE)</f>
        <v>1.02</v>
      </c>
      <c r="G704" s="97">
        <f ca="1">VLOOKUP(D704,[2]属性!$A:$F,4,FALSE)</f>
        <v>1</v>
      </c>
      <c r="H704" s="9" t="str">
        <f ca="1">VLOOKUP(A704,[2]characters!$A:$K,11,FALSE)</f>
        <v>dr</v>
      </c>
      <c r="I704" s="6" t="str">
        <f ca="1">VLOOKUP(H704,[2]character_type_i18n!$A:$F,3,FALSE)</f>
        <v>デュラララ!!</v>
      </c>
      <c r="J704" s="97">
        <f ca="1">VLOOKUP(H704,[2]character_type_i18n!$A:$F,4,FALSE)</f>
        <v>1</v>
      </c>
      <c r="K704" s="97">
        <f ca="1">VLOOKUP(H704,[2]character_type_i18n!$A:$F,5,FALSE)</f>
        <v>1</v>
      </c>
      <c r="L704" s="97">
        <f ca="1">VLOOKUP(H704,[2]character_type_i18n!$A:$F,6,FALSE)</f>
        <v>1</v>
      </c>
      <c r="M704" s="9" t="str">
        <f ca="1">VLOOKUP(A704,[2]characters!$A:$M,13,FALSE)</f>
        <v>human</v>
      </c>
      <c r="N704" s="6" t="str">
        <f ca="1">VLOOKUP(M704,[2]character_tribe_i18n!$A:$F,3,FALSE)</f>
        <v>ヒューマン</v>
      </c>
      <c r="O704" s="97">
        <f ca="1">VLOOKUP(M704,[2]character_tribe_i18n!$A:$F,4,FALSE)</f>
        <v>0.94</v>
      </c>
      <c r="P704" s="97">
        <f ca="1">VLOOKUP(M704,[2]character_tribe_i18n!$A:$F,5,FALSE)</f>
        <v>0.99</v>
      </c>
      <c r="Q704" s="97">
        <f ca="1">VLOOKUP(M704,[2]character_tribe_i18n!$A:$F,6,FALSE)</f>
        <v>1</v>
      </c>
      <c r="R704" s="98" t="s">
        <v>98</v>
      </c>
      <c r="S704" s="97">
        <f>VLOOKUP($R704,ラベル別係数!$A$1:$E$7,3,FALSE)</f>
        <v>5</v>
      </c>
      <c r="T704" s="97">
        <f>VLOOKUP($R704,ラベル別係数!$A$1:$E$7,4,FALSE)</f>
        <v>1.3</v>
      </c>
      <c r="U704" s="97">
        <f>VLOOKUP($R704,ラベル別係数!$A$1:$E$7,5,FALSE)</f>
        <v>0.8</v>
      </c>
      <c r="V704" s="98">
        <v>3</v>
      </c>
      <c r="W704" s="99">
        <f>VLOOKUP(V704,ターン数別攻撃係数!$A$1:$B$1000,2,FALSE)</f>
        <v>1</v>
      </c>
      <c r="X704" s="9">
        <f ca="1">VLOOKUP(C704,サイズ別係数!A$2:B$9,2,FALSE)</f>
        <v>60</v>
      </c>
      <c r="Y704" s="97">
        <f ca="1">VLOOKUP($X704,サイズ別係数!$B:$E,2,FALSE)</f>
        <v>1.7</v>
      </c>
      <c r="Z704" s="97">
        <f ca="1">VLOOKUP($X704,サイズ別係数!$B:$E,3,FALSE)</f>
        <v>1.4</v>
      </c>
      <c r="AA704" s="97">
        <f ca="1">VLOOKUP($X704,サイズ別係数!$B:$E,4,FALSE)</f>
        <v>1</v>
      </c>
      <c r="AB704" s="10">
        <v>0</v>
      </c>
      <c r="AC704" s="6" t="str">
        <f ca="1">VLOOKUP($AB704,OFFSET([3]enemy_skill_sets!$B$2,0,0,COUNTA([3]enemy_skill_sets!$A:$A),MATCH(AC$1,[3]enemy_skill_sets!$1:$1,0)-MATCH($AB$1,[3]enemy_skill_sets!$1:$1,0)+1),MATCH(AC$1,[3]enemy_skill_sets!$1:$1,0)-MATCH($AB$1,[3]enemy_skill_sets!$1:$1,0)+1,FALSE)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4" s="67">
        <v>1</v>
      </c>
      <c r="AE704" s="67">
        <v>1</v>
      </c>
      <c r="AF704" s="68">
        <v>0</v>
      </c>
      <c r="AG704" s="99">
        <f ca="1">ROUND(VLOOKUP(1,enemy_base_stats!$A:$F,2,FALSE) * Y704* J704*O704*E704*S704*AD704*[2]ステータス!$B$2,0)</f>
        <v>3995</v>
      </c>
      <c r="AH704" s="99">
        <f ca="1">ROUND(VLOOKUP(1,enemy_base_stats!$A:$F,3,FALSE) * Z704*K704*P704*F704*T704*AE704 * W704*[2]ステータス!$C$2,0)</f>
        <v>276</v>
      </c>
      <c r="AI704" s="99">
        <f ca="1">ROUND(VLOOKUP(1,enemy_base_stats!$A:$F,4,FALSE) * AA704*L704*Q704*G704*U704*AF704*[2]ステータス!$D$2,0)</f>
        <v>0</v>
      </c>
      <c r="AJ704" s="99">
        <f ca="1">ROUND(VLOOKUP(100,enemy_base_stats!$A:$F,2,FALSE) * Y704* J704*O704*E704*S704*AD704*[2]ステータス!$B$2,0)</f>
        <v>162197</v>
      </c>
      <c r="AK704" s="99">
        <f ca="1">ROUND(VLOOKUP(100,enemy_base_stats!$A:$F,3,FALSE)* Z704* K704*P704*F704*T704*AE704 * W704*[2]ステータス!$C$2,0)</f>
        <v>11192</v>
      </c>
      <c r="AL704" s="99">
        <f ca="1">ROUND(VLOOKUP(100,enemy_base_stats!$A:$F,4,FALSE)* AA704* L704*Q704*G704*U704*AF704*[2]ステータス!$D$2,0)</f>
        <v>0</v>
      </c>
      <c r="AM704" s="97">
        <f ca="1">VLOOKUP(M704,[2]character_tribe_i18n!$A:$I,9,FALSE)</f>
        <v>400</v>
      </c>
      <c r="AN704" s="97">
        <v>0</v>
      </c>
      <c r="AO704" s="98">
        <v>0</v>
      </c>
      <c r="AP704" s="58" t="s">
        <v>72</v>
      </c>
      <c r="AQ704" s="34">
        <f t="shared" ca="1" si="42"/>
        <v>703</v>
      </c>
    </row>
    <row r="705" spans="1:43" ht="21" customHeight="1" x14ac:dyDescent="0.15">
      <c r="A705" s="7">
        <f t="shared" ca="1" si="41"/>
        <v>704</v>
      </c>
      <c r="B705" s="6" t="str">
        <f ca="1">VLOOKUP(A705,[2]characters!$A:$C,3,FALSE)</f>
        <v>贄川春奈</v>
      </c>
      <c r="C705" s="9">
        <f ca="1">VLOOKUP(A705,[2]characters!$A:$I,9,FALSE)</f>
        <v>3</v>
      </c>
      <c r="D705" s="9" t="str">
        <f ca="1">VLOOKUP(A705,[2]characters!$A:$H,8,FALSE)</f>
        <v>red</v>
      </c>
      <c r="E705" s="97">
        <f ca="1">VLOOKUP(D705,[2]属性!$A:$E,2,FALSE)</f>
        <v>1</v>
      </c>
      <c r="F705" s="97">
        <f ca="1">VLOOKUP(D705,[2]属性!$A:$E,3,FALSE)</f>
        <v>1.02</v>
      </c>
      <c r="G705" s="97">
        <f ca="1">VLOOKUP(D705,[2]属性!$A:$F,4,FALSE)</f>
        <v>1</v>
      </c>
      <c r="H705" s="9" t="str">
        <f ca="1">VLOOKUP(A705,[2]characters!$A:$K,11,FALSE)</f>
        <v>dr</v>
      </c>
      <c r="I705" s="6" t="str">
        <f ca="1">VLOOKUP(H705,[2]character_type_i18n!$A:$F,3,FALSE)</f>
        <v>デュラララ!!</v>
      </c>
      <c r="J705" s="97">
        <f ca="1">VLOOKUP(H705,[2]character_type_i18n!$A:$F,4,FALSE)</f>
        <v>1</v>
      </c>
      <c r="K705" s="97">
        <f ca="1">VLOOKUP(H705,[2]character_type_i18n!$A:$F,5,FALSE)</f>
        <v>1</v>
      </c>
      <c r="L705" s="97">
        <f ca="1">VLOOKUP(H705,[2]character_type_i18n!$A:$F,6,FALSE)</f>
        <v>1</v>
      </c>
      <c r="M705" s="9" t="str">
        <f ca="1">VLOOKUP(A705,[2]characters!$A:$M,13,FALSE)</f>
        <v>human</v>
      </c>
      <c r="N705" s="6" t="str">
        <f ca="1">VLOOKUP(M705,[2]character_tribe_i18n!$A:$F,3,FALSE)</f>
        <v>ヒューマン</v>
      </c>
      <c r="O705" s="97">
        <f ca="1">VLOOKUP(M705,[2]character_tribe_i18n!$A:$F,4,FALSE)</f>
        <v>0.94</v>
      </c>
      <c r="P705" s="97">
        <f ca="1">VLOOKUP(M705,[2]character_tribe_i18n!$A:$F,5,FALSE)</f>
        <v>0.99</v>
      </c>
      <c r="Q705" s="97">
        <f ca="1">VLOOKUP(M705,[2]character_tribe_i18n!$A:$F,6,FALSE)</f>
        <v>1</v>
      </c>
      <c r="R705" s="98" t="s">
        <v>98</v>
      </c>
      <c r="S705" s="97">
        <f>VLOOKUP($R705,ラベル別係数!$A$1:$E$7,3,FALSE)</f>
        <v>5</v>
      </c>
      <c r="T705" s="97">
        <f>VLOOKUP($R705,ラベル別係数!$A$1:$E$7,4,FALSE)</f>
        <v>1.3</v>
      </c>
      <c r="U705" s="97">
        <f>VLOOKUP($R705,ラベル別係数!$A$1:$E$7,5,FALSE)</f>
        <v>0.8</v>
      </c>
      <c r="V705" s="98">
        <v>3</v>
      </c>
      <c r="W705" s="99">
        <f>VLOOKUP(V705,ターン数別攻撃係数!$A$1:$B$1000,2,FALSE)</f>
        <v>1</v>
      </c>
      <c r="X705" s="9">
        <f ca="1">VLOOKUP(C705,サイズ別係数!A$2:B$9,2,FALSE)</f>
        <v>25</v>
      </c>
      <c r="Y705" s="97">
        <f ca="1">VLOOKUP($X705,サイズ別係数!$B:$E,2,FALSE)</f>
        <v>1.2</v>
      </c>
      <c r="Z705" s="97">
        <f ca="1">VLOOKUP($X705,サイズ別係数!$B:$E,3,FALSE)</f>
        <v>1.25</v>
      </c>
      <c r="AA705" s="97">
        <f ca="1">VLOOKUP($X705,サイズ別係数!$B:$E,4,FALSE)</f>
        <v>1.1499999999999999</v>
      </c>
      <c r="AB705" s="10">
        <v>0</v>
      </c>
      <c r="AC705" s="6" t="str">
        <f ca="1">VLOOKUP($AB705,OFFSET([3]enemy_skill_sets!$B$2,0,0,COUNTA([3]enemy_skill_sets!$A:$A),MATCH(AC$1,[3]enemy_skill_sets!$1:$1,0)-MATCH($AB$1,[3]enemy_skill_sets!$1:$1,0)+1),MATCH(AC$1,[3]enemy_skill_sets!$1:$1,0)-MATCH($AB$1,[3]enemy_skill_sets!$1:$1,0)+1,FALSE)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5" s="67">
        <v>1</v>
      </c>
      <c r="AE705" s="67">
        <v>1</v>
      </c>
      <c r="AF705" s="68">
        <v>0</v>
      </c>
      <c r="AG705" s="99">
        <f ca="1">ROUND(VLOOKUP(1,enemy_base_stats!$A:$F,2,FALSE) * Y705* J705*O705*E705*S705*AD705*[2]ステータス!$B$2,0)</f>
        <v>2820</v>
      </c>
      <c r="AH705" s="99">
        <f ca="1">ROUND(VLOOKUP(1,enemy_base_stats!$A:$F,3,FALSE) * Z705*K705*P705*F705*T705*AE705 * W705*[2]ステータス!$C$2,0)</f>
        <v>246</v>
      </c>
      <c r="AI705" s="99">
        <f ca="1">ROUND(VLOOKUP(1,enemy_base_stats!$A:$F,4,FALSE) * AA705*L705*Q705*G705*U705*AF705*[2]ステータス!$D$2,0)</f>
        <v>0</v>
      </c>
      <c r="AJ705" s="99">
        <f ca="1">ROUND(VLOOKUP(100,enemy_base_stats!$A:$F,2,FALSE) * Y705* J705*O705*E705*S705*AD705*[2]ステータス!$B$2,0)</f>
        <v>114492</v>
      </c>
      <c r="AK705" s="99">
        <f ca="1">ROUND(VLOOKUP(100,enemy_base_stats!$A:$F,3,FALSE)* Z705* K705*P705*F705*T705*AE705 * W705*[2]ステータス!$C$2,0)</f>
        <v>9993</v>
      </c>
      <c r="AL705" s="99">
        <f ca="1">ROUND(VLOOKUP(100,enemy_base_stats!$A:$F,4,FALSE)* AA705* L705*Q705*G705*U705*AF705*[2]ステータス!$D$2,0)</f>
        <v>0</v>
      </c>
      <c r="AM705" s="97">
        <f ca="1">VLOOKUP(M705,[2]character_tribe_i18n!$A:$I,9,FALSE)</f>
        <v>400</v>
      </c>
      <c r="AN705" s="97">
        <v>0</v>
      </c>
      <c r="AO705" s="98">
        <v>0</v>
      </c>
      <c r="AP705" s="58" t="s">
        <v>72</v>
      </c>
      <c r="AQ705" s="34">
        <f t="shared" ca="1" si="42"/>
        <v>704</v>
      </c>
    </row>
    <row r="706" spans="1:43" ht="21" customHeight="1" x14ac:dyDescent="0.15">
      <c r="A706" s="7">
        <f t="shared" ca="1" si="41"/>
        <v>705</v>
      </c>
      <c r="B706" s="6" t="str">
        <f ca="1">VLOOKUP(A706,[2]characters!$A:$C,3,FALSE)</f>
        <v>狂愛なる罪歌の子　贄川春奈</v>
      </c>
      <c r="C706" s="9">
        <f ca="1">VLOOKUP(A706,[2]characters!$A:$I,9,FALSE)</f>
        <v>4</v>
      </c>
      <c r="D706" s="9" t="str">
        <f ca="1">VLOOKUP(A706,[2]characters!$A:$H,8,FALSE)</f>
        <v>red</v>
      </c>
      <c r="E706" s="97">
        <f ca="1">VLOOKUP(D706,[2]属性!$A:$E,2,FALSE)</f>
        <v>1</v>
      </c>
      <c r="F706" s="97">
        <f ca="1">VLOOKUP(D706,[2]属性!$A:$E,3,FALSE)</f>
        <v>1.02</v>
      </c>
      <c r="G706" s="97">
        <f ca="1">VLOOKUP(D706,[2]属性!$A:$F,4,FALSE)</f>
        <v>1</v>
      </c>
      <c r="H706" s="9" t="str">
        <f ca="1">VLOOKUP(A706,[2]characters!$A:$K,11,FALSE)</f>
        <v>dr</v>
      </c>
      <c r="I706" s="6" t="str">
        <f ca="1">VLOOKUP(H706,[2]character_type_i18n!$A:$F,3,FALSE)</f>
        <v>デュラララ!!</v>
      </c>
      <c r="J706" s="97">
        <f ca="1">VLOOKUP(H706,[2]character_type_i18n!$A:$F,4,FALSE)</f>
        <v>1</v>
      </c>
      <c r="K706" s="97">
        <f ca="1">VLOOKUP(H706,[2]character_type_i18n!$A:$F,5,FALSE)</f>
        <v>1</v>
      </c>
      <c r="L706" s="97">
        <f ca="1">VLOOKUP(H706,[2]character_type_i18n!$A:$F,6,FALSE)</f>
        <v>1</v>
      </c>
      <c r="M706" s="9" t="str">
        <f ca="1">VLOOKUP(A706,[2]characters!$A:$M,13,FALSE)</f>
        <v>human</v>
      </c>
      <c r="N706" s="6" t="str">
        <f ca="1">VLOOKUP(M706,[2]character_tribe_i18n!$A:$F,3,FALSE)</f>
        <v>ヒューマン</v>
      </c>
      <c r="O706" s="97">
        <f ca="1">VLOOKUP(M706,[2]character_tribe_i18n!$A:$F,4,FALSE)</f>
        <v>0.94</v>
      </c>
      <c r="P706" s="97">
        <f ca="1">VLOOKUP(M706,[2]character_tribe_i18n!$A:$F,5,FALSE)</f>
        <v>0.99</v>
      </c>
      <c r="Q706" s="97">
        <f ca="1">VLOOKUP(M706,[2]character_tribe_i18n!$A:$F,6,FALSE)</f>
        <v>1</v>
      </c>
      <c r="R706" s="98" t="s">
        <v>98</v>
      </c>
      <c r="S706" s="97">
        <f>VLOOKUP($R706,ラベル別係数!$A$1:$E$7,3,FALSE)</f>
        <v>5</v>
      </c>
      <c r="T706" s="97">
        <f>VLOOKUP($R706,ラベル別係数!$A$1:$E$7,4,FALSE)</f>
        <v>1.3</v>
      </c>
      <c r="U706" s="97">
        <f>VLOOKUP($R706,ラベル別係数!$A$1:$E$7,5,FALSE)</f>
        <v>0.8</v>
      </c>
      <c r="V706" s="98">
        <v>3</v>
      </c>
      <c r="W706" s="99">
        <f>VLOOKUP(V706,ターン数別攻撃係数!$A$1:$B$1000,2,FALSE)</f>
        <v>1</v>
      </c>
      <c r="X706" s="9">
        <f ca="1">VLOOKUP(C706,サイズ別係数!A$2:B$9,2,FALSE)</f>
        <v>30</v>
      </c>
      <c r="Y706" s="97">
        <f ca="1">VLOOKUP($X706,サイズ別係数!$B:$E,2,FALSE)</f>
        <v>1.3</v>
      </c>
      <c r="Z706" s="97">
        <f ca="1">VLOOKUP($X706,サイズ別係数!$B:$E,3,FALSE)</f>
        <v>1.3</v>
      </c>
      <c r="AA706" s="97">
        <f ca="1">VLOOKUP($X706,サイズ別係数!$B:$E,4,FALSE)</f>
        <v>1.1000000000000001</v>
      </c>
      <c r="AB706" s="10">
        <v>0</v>
      </c>
      <c r="AC706" s="6" t="str">
        <f ca="1">VLOOKUP($AB706,OFFSET([3]enemy_skill_sets!$B$2,0,0,COUNTA([3]enemy_skill_sets!$A:$A),MATCH(AC$1,[3]enemy_skill_sets!$1:$1,0)-MATCH($AB$1,[3]enemy_skill_sets!$1:$1,0)+1),MATCH(AC$1,[3]enemy_skill_sets!$1:$1,0)-MATCH($AB$1,[3]enemy_skill_sets!$1:$1,0)+1,FALSE)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6" s="67">
        <v>1</v>
      </c>
      <c r="AE706" s="67">
        <v>1</v>
      </c>
      <c r="AF706" s="68">
        <v>0</v>
      </c>
      <c r="AG706" s="99">
        <f ca="1">ROUND(VLOOKUP(1,enemy_base_stats!$A:$F,2,FALSE) * Y706* J706*O706*E706*S706*AD706*[2]ステータス!$B$2,0)</f>
        <v>3055</v>
      </c>
      <c r="AH706" s="99">
        <f ca="1">ROUND(VLOOKUP(1,enemy_base_stats!$A:$F,3,FALSE) * Z706*K706*P706*F706*T706*AE706 * W706*[2]ステータス!$C$2,0)</f>
        <v>256</v>
      </c>
      <c r="AI706" s="99">
        <f ca="1">ROUND(VLOOKUP(1,enemy_base_stats!$A:$F,4,FALSE) * AA706*L706*Q706*G706*U706*AF706*[2]ステータス!$D$2,0)</f>
        <v>0</v>
      </c>
      <c r="AJ706" s="99">
        <f ca="1">ROUND(VLOOKUP(100,enemy_base_stats!$A:$F,2,FALSE) * Y706* J706*O706*E706*S706*AD706*[2]ステータス!$B$2,0)</f>
        <v>124033</v>
      </c>
      <c r="AK706" s="99">
        <f ca="1">ROUND(VLOOKUP(100,enemy_base_stats!$A:$F,3,FALSE)* Z706* K706*P706*F706*T706*AE706 * W706*[2]ステータス!$C$2,0)</f>
        <v>10393</v>
      </c>
      <c r="AL706" s="99">
        <f ca="1">ROUND(VLOOKUP(100,enemy_base_stats!$A:$F,4,FALSE)* AA706* L706*Q706*G706*U706*AF706*[2]ステータス!$D$2,0)</f>
        <v>0</v>
      </c>
      <c r="AM706" s="97">
        <f ca="1">VLOOKUP(M706,[2]character_tribe_i18n!$A:$I,9,FALSE)</f>
        <v>400</v>
      </c>
      <c r="AN706" s="97">
        <v>0</v>
      </c>
      <c r="AO706" s="98">
        <v>0</v>
      </c>
      <c r="AP706" s="58" t="s">
        <v>72</v>
      </c>
      <c r="AQ706" s="34">
        <f t="shared" ca="1" si="42"/>
        <v>705</v>
      </c>
    </row>
    <row r="707" spans="1:43" ht="21" customHeight="1" x14ac:dyDescent="0.15">
      <c r="A707" s="7">
        <f t="shared" ref="A707:A770" ca="1" si="43">INDIRECT(ADDRESS(ROW(),COLUMN(),1,TRUE,"[CharacterMasterData.xlsm]characters"))</f>
        <v>706</v>
      </c>
      <c r="B707" s="6" t="str">
        <f ca="1">VLOOKUP(A707,[2]characters!$A:$C,3,FALSE)</f>
        <v>岸谷新羅</v>
      </c>
      <c r="C707" s="9">
        <f ca="1">VLOOKUP(A707,[2]characters!$A:$I,9,FALSE)</f>
        <v>4</v>
      </c>
      <c r="D707" s="9" t="str">
        <f ca="1">VLOOKUP(A707,[2]characters!$A:$H,8,FALSE)</f>
        <v>green</v>
      </c>
      <c r="E707" s="97">
        <f ca="1">VLOOKUP(D707,[2]属性!$A:$E,2,FALSE)</f>
        <v>1.02</v>
      </c>
      <c r="F707" s="97">
        <f ca="1">VLOOKUP(D707,[2]属性!$A:$E,3,FALSE)</f>
        <v>0.98</v>
      </c>
      <c r="G707" s="97">
        <f ca="1">VLOOKUP(D707,[2]属性!$A:$F,4,FALSE)</f>
        <v>1</v>
      </c>
      <c r="H707" s="9" t="str">
        <f ca="1">VLOOKUP(A707,[2]characters!$A:$K,11,FALSE)</f>
        <v>dr</v>
      </c>
      <c r="I707" s="6" t="str">
        <f ca="1">VLOOKUP(H707,[2]character_type_i18n!$A:$F,3,FALSE)</f>
        <v>デュラララ!!</v>
      </c>
      <c r="J707" s="97">
        <f ca="1">VLOOKUP(H707,[2]character_type_i18n!$A:$F,4,FALSE)</f>
        <v>1</v>
      </c>
      <c r="K707" s="97">
        <f ca="1">VLOOKUP(H707,[2]character_type_i18n!$A:$F,5,FALSE)</f>
        <v>1</v>
      </c>
      <c r="L707" s="97">
        <f ca="1">VLOOKUP(H707,[2]character_type_i18n!$A:$F,6,FALSE)</f>
        <v>1</v>
      </c>
      <c r="M707" s="9" t="str">
        <f ca="1">VLOOKUP(A707,[2]characters!$A:$M,13,FALSE)</f>
        <v>human</v>
      </c>
      <c r="N707" s="6" t="str">
        <f ca="1">VLOOKUP(M707,[2]character_tribe_i18n!$A:$F,3,FALSE)</f>
        <v>ヒューマン</v>
      </c>
      <c r="O707" s="97">
        <f ca="1">VLOOKUP(M707,[2]character_tribe_i18n!$A:$F,4,FALSE)</f>
        <v>0.94</v>
      </c>
      <c r="P707" s="97">
        <f ca="1">VLOOKUP(M707,[2]character_tribe_i18n!$A:$F,5,FALSE)</f>
        <v>0.99</v>
      </c>
      <c r="Q707" s="97">
        <f ca="1">VLOOKUP(M707,[2]character_tribe_i18n!$A:$F,6,FALSE)</f>
        <v>1</v>
      </c>
      <c r="R707" s="98" t="s">
        <v>98</v>
      </c>
      <c r="S707" s="97">
        <f>VLOOKUP($R707,ラベル別係数!$A$1:$E$7,3,FALSE)</f>
        <v>5</v>
      </c>
      <c r="T707" s="97">
        <f>VLOOKUP($R707,ラベル別係数!$A$1:$E$7,4,FALSE)</f>
        <v>1.3</v>
      </c>
      <c r="U707" s="97">
        <f>VLOOKUP($R707,ラベル別係数!$A$1:$E$7,5,FALSE)</f>
        <v>0.8</v>
      </c>
      <c r="V707" s="98">
        <v>3</v>
      </c>
      <c r="W707" s="99">
        <f>VLOOKUP(V707,ターン数別攻撃係数!$A$1:$B$1000,2,FALSE)</f>
        <v>1</v>
      </c>
      <c r="X707" s="9">
        <f ca="1">VLOOKUP(C707,サイズ別係数!A$2:B$9,2,FALSE)</f>
        <v>30</v>
      </c>
      <c r="Y707" s="97">
        <f ca="1">VLOOKUP($X707,サイズ別係数!$B:$E,2,FALSE)</f>
        <v>1.3</v>
      </c>
      <c r="Z707" s="97">
        <f ca="1">VLOOKUP($X707,サイズ別係数!$B:$E,3,FALSE)</f>
        <v>1.3</v>
      </c>
      <c r="AA707" s="97">
        <f ca="1">VLOOKUP($X707,サイズ別係数!$B:$E,4,FALSE)</f>
        <v>1.1000000000000001</v>
      </c>
      <c r="AB707" s="10">
        <v>0</v>
      </c>
      <c r="AC707" s="6" t="str">
        <f ca="1">VLOOKUP($AB707,OFFSET([3]enemy_skill_sets!$B$2,0,0,COUNTA([3]enemy_skill_sets!$A:$A),MATCH(AC$1,[3]enemy_skill_sets!$1:$1,0)-MATCH($AB$1,[3]enemy_skill_sets!$1:$1,0)+1),MATCH(AC$1,[3]enemy_skill_sets!$1:$1,0)-MATCH($AB$1,[3]enemy_skill_sets!$1:$1,0)+1,FALSE)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7" s="67">
        <v>1</v>
      </c>
      <c r="AE707" s="67">
        <v>1</v>
      </c>
      <c r="AF707" s="68">
        <v>0</v>
      </c>
      <c r="AG707" s="99">
        <f ca="1">ROUND(VLOOKUP(1,enemy_base_stats!$A:$F,2,FALSE) * Y707* J707*O707*E707*S707*AD707*[2]ステータス!$B$2,0)</f>
        <v>3116</v>
      </c>
      <c r="AH707" s="99">
        <f ca="1">ROUND(VLOOKUP(1,enemy_base_stats!$A:$F,3,FALSE) * Z707*K707*P707*F707*T707*AE707 * W707*[2]ステータス!$C$2,0)</f>
        <v>246</v>
      </c>
      <c r="AI707" s="99">
        <f ca="1">ROUND(VLOOKUP(1,enemy_base_stats!$A:$F,4,FALSE) * AA707*L707*Q707*G707*U707*AF707*[2]ステータス!$D$2,0)</f>
        <v>0</v>
      </c>
      <c r="AJ707" s="99">
        <f ca="1">ROUND(VLOOKUP(100,enemy_base_stats!$A:$F,2,FALSE) * Y707* J707*O707*E707*S707*AD707*[2]ステータス!$B$2,0)</f>
        <v>126514</v>
      </c>
      <c r="AK707" s="99">
        <f ca="1">ROUND(VLOOKUP(100,enemy_base_stats!$A:$F,3,FALSE)* Z707* K707*P707*F707*T707*AE707 * W707*[2]ステータス!$C$2,0)</f>
        <v>9985</v>
      </c>
      <c r="AL707" s="99">
        <f ca="1">ROUND(VLOOKUP(100,enemy_base_stats!$A:$F,4,FALSE)* AA707* L707*Q707*G707*U707*AF707*[2]ステータス!$D$2,0)</f>
        <v>0</v>
      </c>
      <c r="AM707" s="97">
        <f ca="1">VLOOKUP(M707,[2]character_tribe_i18n!$A:$I,9,FALSE)</f>
        <v>400</v>
      </c>
      <c r="AN707" s="97">
        <v>0</v>
      </c>
      <c r="AO707" s="98">
        <v>0</v>
      </c>
      <c r="AP707" s="58" t="s">
        <v>72</v>
      </c>
      <c r="AQ707" s="34">
        <f t="shared" ca="1" si="42"/>
        <v>706</v>
      </c>
    </row>
    <row r="708" spans="1:43" ht="21" customHeight="1" x14ac:dyDescent="0.15">
      <c r="A708" s="7">
        <f t="shared" ca="1" si="43"/>
        <v>707</v>
      </c>
      <c r="B708" s="6" t="str">
        <f ca="1">VLOOKUP(A708,[2]characters!$A:$C,3,FALSE)</f>
        <v>愛月撤灯の闇医者 岸谷新羅</v>
      </c>
      <c r="C708" s="9">
        <f ca="1">VLOOKUP(A708,[2]characters!$A:$I,9,FALSE)</f>
        <v>5</v>
      </c>
      <c r="D708" s="9" t="str">
        <f ca="1">VLOOKUP(A708,[2]characters!$A:$H,8,FALSE)</f>
        <v>green</v>
      </c>
      <c r="E708" s="97">
        <f ca="1">VLOOKUP(D708,[2]属性!$A:$E,2,FALSE)</f>
        <v>1.02</v>
      </c>
      <c r="F708" s="97">
        <f ca="1">VLOOKUP(D708,[2]属性!$A:$E,3,FALSE)</f>
        <v>0.98</v>
      </c>
      <c r="G708" s="97">
        <f ca="1">VLOOKUP(D708,[2]属性!$A:$F,4,FALSE)</f>
        <v>1</v>
      </c>
      <c r="H708" s="9" t="str">
        <f ca="1">VLOOKUP(A708,[2]characters!$A:$K,11,FALSE)</f>
        <v>dr</v>
      </c>
      <c r="I708" s="6" t="str">
        <f ca="1">VLOOKUP(H708,[2]character_type_i18n!$A:$F,3,FALSE)</f>
        <v>デュラララ!!</v>
      </c>
      <c r="J708" s="97">
        <f ca="1">VLOOKUP(H708,[2]character_type_i18n!$A:$F,4,FALSE)</f>
        <v>1</v>
      </c>
      <c r="K708" s="97">
        <f ca="1">VLOOKUP(H708,[2]character_type_i18n!$A:$F,5,FALSE)</f>
        <v>1</v>
      </c>
      <c r="L708" s="97">
        <f ca="1">VLOOKUP(H708,[2]character_type_i18n!$A:$F,6,FALSE)</f>
        <v>1</v>
      </c>
      <c r="M708" s="9" t="str">
        <f ca="1">VLOOKUP(A708,[2]characters!$A:$M,13,FALSE)</f>
        <v>human</v>
      </c>
      <c r="N708" s="6" t="str">
        <f ca="1">VLOOKUP(M708,[2]character_tribe_i18n!$A:$F,3,FALSE)</f>
        <v>ヒューマン</v>
      </c>
      <c r="O708" s="97">
        <f ca="1">VLOOKUP(M708,[2]character_tribe_i18n!$A:$F,4,FALSE)</f>
        <v>0.94</v>
      </c>
      <c r="P708" s="97">
        <f ca="1">VLOOKUP(M708,[2]character_tribe_i18n!$A:$F,5,FALSE)</f>
        <v>0.99</v>
      </c>
      <c r="Q708" s="97">
        <f ca="1">VLOOKUP(M708,[2]character_tribe_i18n!$A:$F,6,FALSE)</f>
        <v>1</v>
      </c>
      <c r="R708" s="98" t="s">
        <v>98</v>
      </c>
      <c r="S708" s="97">
        <f>VLOOKUP($R708,ラベル別係数!$A$1:$E$7,3,FALSE)</f>
        <v>5</v>
      </c>
      <c r="T708" s="97">
        <f>VLOOKUP($R708,ラベル別係数!$A$1:$E$7,4,FALSE)</f>
        <v>1.3</v>
      </c>
      <c r="U708" s="97">
        <f>VLOOKUP($R708,ラベル別係数!$A$1:$E$7,5,FALSE)</f>
        <v>0.8</v>
      </c>
      <c r="V708" s="98">
        <v>3</v>
      </c>
      <c r="W708" s="99">
        <f>VLOOKUP(V708,ターン数別攻撃係数!$A$1:$B$1000,2,FALSE)</f>
        <v>1</v>
      </c>
      <c r="X708" s="9">
        <f ca="1">VLOOKUP(C708,サイズ別係数!A$2:B$9,2,FALSE)</f>
        <v>60</v>
      </c>
      <c r="Y708" s="97">
        <f ca="1">VLOOKUP($X708,サイズ別係数!$B:$E,2,FALSE)</f>
        <v>1.7</v>
      </c>
      <c r="Z708" s="97">
        <f ca="1">VLOOKUP($X708,サイズ別係数!$B:$E,3,FALSE)</f>
        <v>1.4</v>
      </c>
      <c r="AA708" s="97">
        <f ca="1">VLOOKUP($X708,サイズ別係数!$B:$E,4,FALSE)</f>
        <v>1</v>
      </c>
      <c r="AB708" s="10">
        <v>0</v>
      </c>
      <c r="AC708" s="6" t="str">
        <f ca="1">VLOOKUP($AB708,OFFSET([3]enemy_skill_sets!$B$2,0,0,COUNTA([3]enemy_skill_sets!$A:$A),MATCH(AC$1,[3]enemy_skill_sets!$1:$1,0)-MATCH($AB$1,[3]enemy_skill_sets!$1:$1,0)+1),MATCH(AC$1,[3]enemy_skill_sets!$1:$1,0)-MATCH($AB$1,[3]enemy_skill_sets!$1:$1,0)+1,FALSE)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8" s="67">
        <v>1</v>
      </c>
      <c r="AE708" s="67">
        <v>1</v>
      </c>
      <c r="AF708" s="68">
        <v>0</v>
      </c>
      <c r="AG708" s="99">
        <f ca="1">ROUND(VLOOKUP(1,enemy_base_stats!$A:$F,2,FALSE) * Y708* J708*O708*E708*S708*AD708*[2]ステータス!$B$2,0)</f>
        <v>4075</v>
      </c>
      <c r="AH708" s="99">
        <f ca="1">ROUND(VLOOKUP(1,enemy_base_stats!$A:$F,3,FALSE) * Z708*K708*P708*F708*T708*AE708 * W708*[2]ステータス!$C$2,0)</f>
        <v>265</v>
      </c>
      <c r="AI708" s="99">
        <f ca="1">ROUND(VLOOKUP(1,enemy_base_stats!$A:$F,4,FALSE) * AA708*L708*Q708*G708*U708*AF708*[2]ステータス!$D$2,0)</f>
        <v>0</v>
      </c>
      <c r="AJ708" s="99">
        <f ca="1">ROUND(VLOOKUP(100,enemy_base_stats!$A:$F,2,FALSE) * Y708* J708*O708*E708*S708*AD708*[2]ステータス!$B$2,0)</f>
        <v>165441</v>
      </c>
      <c r="AK708" s="99">
        <f ca="1">ROUND(VLOOKUP(100,enemy_base_stats!$A:$F,3,FALSE)* Z708* K708*P708*F708*T708*AE708 * W708*[2]ステータス!$C$2,0)</f>
        <v>10754</v>
      </c>
      <c r="AL708" s="99">
        <f ca="1">ROUND(VLOOKUP(100,enemy_base_stats!$A:$F,4,FALSE)* AA708* L708*Q708*G708*U708*AF708*[2]ステータス!$D$2,0)</f>
        <v>0</v>
      </c>
      <c r="AM708" s="97">
        <f ca="1">VLOOKUP(M708,[2]character_tribe_i18n!$A:$I,9,FALSE)</f>
        <v>400</v>
      </c>
      <c r="AN708" s="97">
        <v>0</v>
      </c>
      <c r="AO708" s="98">
        <v>0</v>
      </c>
      <c r="AP708" s="58" t="s">
        <v>72</v>
      </c>
      <c r="AQ708" s="34">
        <f t="shared" ca="1" si="42"/>
        <v>707</v>
      </c>
    </row>
    <row r="709" spans="1:43" ht="21" customHeight="1" x14ac:dyDescent="0.15">
      <c r="A709" s="7">
        <f t="shared" ca="1" si="43"/>
        <v>708</v>
      </c>
      <c r="B709" s="6" t="str">
        <f ca="1">VLOOKUP(A709,[2]characters!$A:$C,3,FALSE)</f>
        <v>門田京平</v>
      </c>
      <c r="C709" s="9">
        <f ca="1">VLOOKUP(A709,[2]characters!$A:$I,9,FALSE)</f>
        <v>3</v>
      </c>
      <c r="D709" s="9" t="str">
        <f ca="1">VLOOKUP(A709,[2]characters!$A:$H,8,FALSE)</f>
        <v>green</v>
      </c>
      <c r="E709" s="97">
        <f ca="1">VLOOKUP(D709,[2]属性!$A:$E,2,FALSE)</f>
        <v>1.02</v>
      </c>
      <c r="F709" s="97">
        <f ca="1">VLOOKUP(D709,[2]属性!$A:$E,3,FALSE)</f>
        <v>0.98</v>
      </c>
      <c r="G709" s="97">
        <f ca="1">VLOOKUP(D709,[2]属性!$A:$F,4,FALSE)</f>
        <v>1</v>
      </c>
      <c r="H709" s="9" t="str">
        <f ca="1">VLOOKUP(A709,[2]characters!$A:$K,11,FALSE)</f>
        <v>dr</v>
      </c>
      <c r="I709" s="6" t="str">
        <f ca="1">VLOOKUP(H709,[2]character_type_i18n!$A:$F,3,FALSE)</f>
        <v>デュラララ!!</v>
      </c>
      <c r="J709" s="97">
        <f ca="1">VLOOKUP(H709,[2]character_type_i18n!$A:$F,4,FALSE)</f>
        <v>1</v>
      </c>
      <c r="K709" s="97">
        <f ca="1">VLOOKUP(H709,[2]character_type_i18n!$A:$F,5,FALSE)</f>
        <v>1</v>
      </c>
      <c r="L709" s="97">
        <f ca="1">VLOOKUP(H709,[2]character_type_i18n!$A:$F,6,FALSE)</f>
        <v>1</v>
      </c>
      <c r="M709" s="9" t="str">
        <f ca="1">VLOOKUP(A709,[2]characters!$A:$M,13,FALSE)</f>
        <v>human</v>
      </c>
      <c r="N709" s="6" t="str">
        <f ca="1">VLOOKUP(M709,[2]character_tribe_i18n!$A:$F,3,FALSE)</f>
        <v>ヒューマン</v>
      </c>
      <c r="O709" s="97">
        <f ca="1">VLOOKUP(M709,[2]character_tribe_i18n!$A:$F,4,FALSE)</f>
        <v>0.94</v>
      </c>
      <c r="P709" s="97">
        <f ca="1">VLOOKUP(M709,[2]character_tribe_i18n!$A:$F,5,FALSE)</f>
        <v>0.99</v>
      </c>
      <c r="Q709" s="97">
        <f ca="1">VLOOKUP(M709,[2]character_tribe_i18n!$A:$F,6,FALSE)</f>
        <v>1</v>
      </c>
      <c r="R709" s="98" t="s">
        <v>98</v>
      </c>
      <c r="S709" s="97">
        <f>VLOOKUP($R709,ラベル別係数!$A$1:$E$7,3,FALSE)</f>
        <v>5</v>
      </c>
      <c r="T709" s="97">
        <f>VLOOKUP($R709,ラベル別係数!$A$1:$E$7,4,FALSE)</f>
        <v>1.3</v>
      </c>
      <c r="U709" s="97">
        <f>VLOOKUP($R709,ラベル別係数!$A$1:$E$7,5,FALSE)</f>
        <v>0.8</v>
      </c>
      <c r="V709" s="98">
        <v>3</v>
      </c>
      <c r="W709" s="99">
        <f>VLOOKUP(V709,ターン数別攻撃係数!$A$1:$B$1000,2,FALSE)</f>
        <v>1</v>
      </c>
      <c r="X709" s="9">
        <f ca="1">VLOOKUP(C709,サイズ別係数!A$2:B$9,2,FALSE)</f>
        <v>25</v>
      </c>
      <c r="Y709" s="97">
        <f ca="1">VLOOKUP($X709,サイズ別係数!$B:$E,2,FALSE)</f>
        <v>1.2</v>
      </c>
      <c r="Z709" s="97">
        <f ca="1">VLOOKUP($X709,サイズ別係数!$B:$E,3,FALSE)</f>
        <v>1.25</v>
      </c>
      <c r="AA709" s="97">
        <f ca="1">VLOOKUP($X709,サイズ別係数!$B:$E,4,FALSE)</f>
        <v>1.1499999999999999</v>
      </c>
      <c r="AB709" s="10">
        <v>0</v>
      </c>
      <c r="AC709" s="6" t="str">
        <f ca="1">VLOOKUP($AB709,OFFSET([3]enemy_skill_sets!$B$2,0,0,COUNTA([3]enemy_skill_sets!$A:$A),MATCH(AC$1,[3]enemy_skill_sets!$1:$1,0)-MATCH($AB$1,[3]enemy_skill_sets!$1:$1,0)+1),MATCH(AC$1,[3]enemy_skill_sets!$1:$1,0)-MATCH($AB$1,[3]enemy_skill_sets!$1:$1,0)+1,FALSE)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09" s="67">
        <v>1</v>
      </c>
      <c r="AE709" s="67">
        <v>1</v>
      </c>
      <c r="AF709" s="68">
        <v>0</v>
      </c>
      <c r="AG709" s="99">
        <f ca="1">ROUND(VLOOKUP(1,enemy_base_stats!$A:$F,2,FALSE) * Y709* J709*O709*E709*S709*AD709*[2]ステータス!$B$2,0)</f>
        <v>2876</v>
      </c>
      <c r="AH709" s="99">
        <f ca="1">ROUND(VLOOKUP(1,enemy_base_stats!$A:$F,3,FALSE) * Z709*K709*P709*F709*T709*AE709 * W709*[2]ステータス!$C$2,0)</f>
        <v>236</v>
      </c>
      <c r="AI709" s="99">
        <f ca="1">ROUND(VLOOKUP(1,enemy_base_stats!$A:$F,4,FALSE) * AA709*L709*Q709*G709*U709*AF709*[2]ステータス!$D$2,0)</f>
        <v>0</v>
      </c>
      <c r="AJ709" s="99">
        <f ca="1">ROUND(VLOOKUP(100,enemy_base_stats!$A:$F,2,FALSE) * Y709* J709*O709*E709*S709*AD709*[2]ステータス!$B$2,0)</f>
        <v>116782</v>
      </c>
      <c r="AK709" s="99">
        <f ca="1">ROUND(VLOOKUP(100,enemy_base_stats!$A:$F,3,FALSE)* Z709* K709*P709*F709*T709*AE709 * W709*[2]ステータス!$C$2,0)</f>
        <v>9601</v>
      </c>
      <c r="AL709" s="99">
        <f ca="1">ROUND(VLOOKUP(100,enemy_base_stats!$A:$F,4,FALSE)* AA709* L709*Q709*G709*U709*AF709*[2]ステータス!$D$2,0)</f>
        <v>0</v>
      </c>
      <c r="AM709" s="97">
        <f ca="1">VLOOKUP(M709,[2]character_tribe_i18n!$A:$I,9,FALSE)</f>
        <v>400</v>
      </c>
      <c r="AN709" s="97">
        <v>0</v>
      </c>
      <c r="AO709" s="98">
        <v>0</v>
      </c>
      <c r="AP709" s="58" t="s">
        <v>72</v>
      </c>
      <c r="AQ709" s="34">
        <f t="shared" ca="1" si="42"/>
        <v>708</v>
      </c>
    </row>
    <row r="710" spans="1:43" ht="21" customHeight="1" x14ac:dyDescent="0.15">
      <c r="A710" s="7">
        <f t="shared" ca="1" si="43"/>
        <v>709</v>
      </c>
      <c r="B710" s="6" t="str">
        <f ca="1">VLOOKUP(A710,[2]characters!$A:$C,3,FALSE)</f>
        <v>不穢の抑止力　門田京平</v>
      </c>
      <c r="C710" s="9">
        <f ca="1">VLOOKUP(A710,[2]characters!$A:$I,9,FALSE)</f>
        <v>4</v>
      </c>
      <c r="D710" s="9" t="str">
        <f ca="1">VLOOKUP(A710,[2]characters!$A:$H,8,FALSE)</f>
        <v>green</v>
      </c>
      <c r="E710" s="97">
        <f ca="1">VLOOKUP(D710,[2]属性!$A:$E,2,FALSE)</f>
        <v>1.02</v>
      </c>
      <c r="F710" s="97">
        <f ca="1">VLOOKUP(D710,[2]属性!$A:$E,3,FALSE)</f>
        <v>0.98</v>
      </c>
      <c r="G710" s="97">
        <f ca="1">VLOOKUP(D710,[2]属性!$A:$F,4,FALSE)</f>
        <v>1</v>
      </c>
      <c r="H710" s="9" t="str">
        <f ca="1">VLOOKUP(A710,[2]characters!$A:$K,11,FALSE)</f>
        <v>dr</v>
      </c>
      <c r="I710" s="6" t="str">
        <f ca="1">VLOOKUP(H710,[2]character_type_i18n!$A:$F,3,FALSE)</f>
        <v>デュラララ!!</v>
      </c>
      <c r="J710" s="97">
        <f ca="1">VLOOKUP(H710,[2]character_type_i18n!$A:$F,4,FALSE)</f>
        <v>1</v>
      </c>
      <c r="K710" s="97">
        <f ca="1">VLOOKUP(H710,[2]character_type_i18n!$A:$F,5,FALSE)</f>
        <v>1</v>
      </c>
      <c r="L710" s="97">
        <f ca="1">VLOOKUP(H710,[2]character_type_i18n!$A:$F,6,FALSE)</f>
        <v>1</v>
      </c>
      <c r="M710" s="9" t="str">
        <f ca="1">VLOOKUP(A710,[2]characters!$A:$M,13,FALSE)</f>
        <v>human</v>
      </c>
      <c r="N710" s="6" t="str">
        <f ca="1">VLOOKUP(M710,[2]character_tribe_i18n!$A:$F,3,FALSE)</f>
        <v>ヒューマン</v>
      </c>
      <c r="O710" s="97">
        <f ca="1">VLOOKUP(M710,[2]character_tribe_i18n!$A:$F,4,FALSE)</f>
        <v>0.94</v>
      </c>
      <c r="P710" s="97">
        <f ca="1">VLOOKUP(M710,[2]character_tribe_i18n!$A:$F,5,FALSE)</f>
        <v>0.99</v>
      </c>
      <c r="Q710" s="97">
        <f ca="1">VLOOKUP(M710,[2]character_tribe_i18n!$A:$F,6,FALSE)</f>
        <v>1</v>
      </c>
      <c r="R710" s="98" t="s">
        <v>98</v>
      </c>
      <c r="S710" s="97">
        <f>VLOOKUP($R710,ラベル別係数!$A$1:$E$7,3,FALSE)</f>
        <v>5</v>
      </c>
      <c r="T710" s="97">
        <f>VLOOKUP($R710,ラベル別係数!$A$1:$E$7,4,FALSE)</f>
        <v>1.3</v>
      </c>
      <c r="U710" s="97">
        <f>VLOOKUP($R710,ラベル別係数!$A$1:$E$7,5,FALSE)</f>
        <v>0.8</v>
      </c>
      <c r="V710" s="98">
        <v>3</v>
      </c>
      <c r="W710" s="99">
        <f>VLOOKUP(V710,ターン数別攻撃係数!$A$1:$B$1000,2,FALSE)</f>
        <v>1</v>
      </c>
      <c r="X710" s="9">
        <f ca="1">VLOOKUP(C710,サイズ別係数!A$2:B$9,2,FALSE)</f>
        <v>30</v>
      </c>
      <c r="Y710" s="97">
        <f ca="1">VLOOKUP($X710,サイズ別係数!$B:$E,2,FALSE)</f>
        <v>1.3</v>
      </c>
      <c r="Z710" s="97">
        <f ca="1">VLOOKUP($X710,サイズ別係数!$B:$E,3,FALSE)</f>
        <v>1.3</v>
      </c>
      <c r="AA710" s="97">
        <f ca="1">VLOOKUP($X710,サイズ別係数!$B:$E,4,FALSE)</f>
        <v>1.1000000000000001</v>
      </c>
      <c r="AB710" s="10">
        <v>0</v>
      </c>
      <c r="AC710" s="6" t="str">
        <f ca="1">VLOOKUP($AB710,OFFSET([3]enemy_skill_sets!$B$2,0,0,COUNTA([3]enemy_skill_sets!$A:$A),MATCH(AC$1,[3]enemy_skill_sets!$1:$1,0)-MATCH($AB$1,[3]enemy_skill_sets!$1:$1,0)+1),MATCH(AC$1,[3]enemy_skill_sets!$1:$1,0)-MATCH($AB$1,[3]enemy_skill_sets!$1:$1,0)+1,FALSE)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0" s="67">
        <v>1</v>
      </c>
      <c r="AE710" s="67">
        <v>1</v>
      </c>
      <c r="AF710" s="68">
        <v>0</v>
      </c>
      <c r="AG710" s="99">
        <f ca="1">ROUND(VLOOKUP(1,enemy_base_stats!$A:$F,2,FALSE) * Y710* J710*O710*E710*S710*AD710*[2]ステータス!$B$2,0)</f>
        <v>3116</v>
      </c>
      <c r="AH710" s="99">
        <f ca="1">ROUND(VLOOKUP(1,enemy_base_stats!$A:$F,3,FALSE) * Z710*K710*P710*F710*T710*AE710 * W710*[2]ステータス!$C$2,0)</f>
        <v>246</v>
      </c>
      <c r="AI710" s="99">
        <f ca="1">ROUND(VLOOKUP(1,enemy_base_stats!$A:$F,4,FALSE) * AA710*L710*Q710*G710*U710*AF710*[2]ステータス!$D$2,0)</f>
        <v>0</v>
      </c>
      <c r="AJ710" s="99">
        <f ca="1">ROUND(VLOOKUP(100,enemy_base_stats!$A:$F,2,FALSE) * Y710* J710*O710*E710*S710*AD710*[2]ステータス!$B$2,0)</f>
        <v>126514</v>
      </c>
      <c r="AK710" s="99">
        <f ca="1">ROUND(VLOOKUP(100,enemy_base_stats!$A:$F,3,FALSE)* Z710* K710*P710*F710*T710*AE710 * W710*[2]ステータス!$C$2,0)</f>
        <v>9985</v>
      </c>
      <c r="AL710" s="99">
        <f ca="1">ROUND(VLOOKUP(100,enemy_base_stats!$A:$F,4,FALSE)* AA710* L710*Q710*G710*U710*AF710*[2]ステータス!$D$2,0)</f>
        <v>0</v>
      </c>
      <c r="AM710" s="97">
        <f ca="1">VLOOKUP(M710,[2]character_tribe_i18n!$A:$I,9,FALSE)</f>
        <v>400</v>
      </c>
      <c r="AN710" s="97">
        <v>0</v>
      </c>
      <c r="AO710" s="98">
        <v>0</v>
      </c>
      <c r="AP710" s="58" t="s">
        <v>72</v>
      </c>
      <c r="AQ710" s="34">
        <f t="shared" ca="1" si="42"/>
        <v>709</v>
      </c>
    </row>
    <row r="711" spans="1:43" ht="21" customHeight="1" x14ac:dyDescent="0.15">
      <c r="A711" s="7">
        <f t="shared" ca="1" si="43"/>
        <v>710</v>
      </c>
      <c r="B711" s="6" t="str">
        <f ca="1">VLOOKUP(A711,[2]characters!$A:$C,3,FALSE)</f>
        <v>田中トム</v>
      </c>
      <c r="C711" s="9">
        <f ca="1">VLOOKUP(A711,[2]characters!$A:$I,9,FALSE)</f>
        <v>3</v>
      </c>
      <c r="D711" s="9" t="str">
        <f ca="1">VLOOKUP(A711,[2]characters!$A:$H,8,FALSE)</f>
        <v>green</v>
      </c>
      <c r="E711" s="97">
        <f ca="1">VLOOKUP(D711,[2]属性!$A:$E,2,FALSE)</f>
        <v>1.02</v>
      </c>
      <c r="F711" s="97">
        <f ca="1">VLOOKUP(D711,[2]属性!$A:$E,3,FALSE)</f>
        <v>0.98</v>
      </c>
      <c r="G711" s="97">
        <f ca="1">VLOOKUP(D711,[2]属性!$A:$F,4,FALSE)</f>
        <v>1</v>
      </c>
      <c r="H711" s="9" t="str">
        <f ca="1">VLOOKUP(A711,[2]characters!$A:$K,11,FALSE)</f>
        <v>dr</v>
      </c>
      <c r="I711" s="6" t="str">
        <f ca="1">VLOOKUP(H711,[2]character_type_i18n!$A:$F,3,FALSE)</f>
        <v>デュラララ!!</v>
      </c>
      <c r="J711" s="97">
        <f ca="1">VLOOKUP(H711,[2]character_type_i18n!$A:$F,4,FALSE)</f>
        <v>1</v>
      </c>
      <c r="K711" s="97">
        <f ca="1">VLOOKUP(H711,[2]character_type_i18n!$A:$F,5,FALSE)</f>
        <v>1</v>
      </c>
      <c r="L711" s="97">
        <f ca="1">VLOOKUP(H711,[2]character_type_i18n!$A:$F,6,FALSE)</f>
        <v>1</v>
      </c>
      <c r="M711" s="9" t="str">
        <f ca="1">VLOOKUP(A711,[2]characters!$A:$M,13,FALSE)</f>
        <v>human</v>
      </c>
      <c r="N711" s="6" t="str">
        <f ca="1">VLOOKUP(M711,[2]character_tribe_i18n!$A:$F,3,FALSE)</f>
        <v>ヒューマン</v>
      </c>
      <c r="O711" s="97">
        <f ca="1">VLOOKUP(M711,[2]character_tribe_i18n!$A:$F,4,FALSE)</f>
        <v>0.94</v>
      </c>
      <c r="P711" s="97">
        <f ca="1">VLOOKUP(M711,[2]character_tribe_i18n!$A:$F,5,FALSE)</f>
        <v>0.99</v>
      </c>
      <c r="Q711" s="97">
        <f ca="1">VLOOKUP(M711,[2]character_tribe_i18n!$A:$F,6,FALSE)</f>
        <v>1</v>
      </c>
      <c r="R711" s="98" t="s">
        <v>98</v>
      </c>
      <c r="S711" s="97">
        <f>VLOOKUP($R711,ラベル別係数!$A$1:$E$7,3,FALSE)</f>
        <v>5</v>
      </c>
      <c r="T711" s="97">
        <f>VLOOKUP($R711,ラベル別係数!$A$1:$E$7,4,FALSE)</f>
        <v>1.3</v>
      </c>
      <c r="U711" s="97">
        <f>VLOOKUP($R711,ラベル別係数!$A$1:$E$7,5,FALSE)</f>
        <v>0.8</v>
      </c>
      <c r="V711" s="98">
        <v>3</v>
      </c>
      <c r="W711" s="99">
        <f>VLOOKUP(V711,ターン数別攻撃係数!$A$1:$B$1000,2,FALSE)</f>
        <v>1</v>
      </c>
      <c r="X711" s="9">
        <f ca="1">VLOOKUP(C711,サイズ別係数!A$2:B$9,2,FALSE)</f>
        <v>25</v>
      </c>
      <c r="Y711" s="97">
        <f ca="1">VLOOKUP($X711,サイズ別係数!$B:$E,2,FALSE)</f>
        <v>1.2</v>
      </c>
      <c r="Z711" s="97">
        <f ca="1">VLOOKUP($X711,サイズ別係数!$B:$E,3,FALSE)</f>
        <v>1.25</v>
      </c>
      <c r="AA711" s="97">
        <f ca="1">VLOOKUP($X711,サイズ別係数!$B:$E,4,FALSE)</f>
        <v>1.1499999999999999</v>
      </c>
      <c r="AB711" s="10">
        <v>0</v>
      </c>
      <c r="AC711" s="6" t="str">
        <f ca="1">VLOOKUP($AB711,OFFSET([3]enemy_skill_sets!$B$2,0,0,COUNTA([3]enemy_skill_sets!$A:$A),MATCH(AC$1,[3]enemy_skill_sets!$1:$1,0)-MATCH($AB$1,[3]enemy_skill_sets!$1:$1,0)+1),MATCH(AC$1,[3]enemy_skill_sets!$1:$1,0)-MATCH($AB$1,[3]enemy_skill_sets!$1:$1,0)+1,FALSE)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1" s="67">
        <v>1</v>
      </c>
      <c r="AE711" s="67">
        <v>1</v>
      </c>
      <c r="AF711" s="68">
        <v>0</v>
      </c>
      <c r="AG711" s="99">
        <f ca="1">ROUND(VLOOKUP(1,enemy_base_stats!$A:$F,2,FALSE) * Y711* J711*O711*E711*S711*AD711*[2]ステータス!$B$2,0)</f>
        <v>2876</v>
      </c>
      <c r="AH711" s="99">
        <f ca="1">ROUND(VLOOKUP(1,enemy_base_stats!$A:$F,3,FALSE) * Z711*K711*P711*F711*T711*AE711 * W711*[2]ステータス!$C$2,0)</f>
        <v>236</v>
      </c>
      <c r="AI711" s="99">
        <f ca="1">ROUND(VLOOKUP(1,enemy_base_stats!$A:$F,4,FALSE) * AA711*L711*Q711*G711*U711*AF711*[2]ステータス!$D$2,0)</f>
        <v>0</v>
      </c>
      <c r="AJ711" s="99">
        <f ca="1">ROUND(VLOOKUP(100,enemy_base_stats!$A:$F,2,FALSE) * Y711* J711*O711*E711*S711*AD711*[2]ステータス!$B$2,0)</f>
        <v>116782</v>
      </c>
      <c r="AK711" s="99">
        <f ca="1">ROUND(VLOOKUP(100,enemy_base_stats!$A:$F,3,FALSE)* Z711* K711*P711*F711*T711*AE711 * W711*[2]ステータス!$C$2,0)</f>
        <v>9601</v>
      </c>
      <c r="AL711" s="99">
        <f ca="1">ROUND(VLOOKUP(100,enemy_base_stats!$A:$F,4,FALSE)* AA711* L711*Q711*G711*U711*AF711*[2]ステータス!$D$2,0)</f>
        <v>0</v>
      </c>
      <c r="AM711" s="97">
        <f ca="1">VLOOKUP(M711,[2]character_tribe_i18n!$A:$I,9,FALSE)</f>
        <v>400</v>
      </c>
      <c r="AN711" s="97">
        <v>0</v>
      </c>
      <c r="AO711" s="98">
        <v>0</v>
      </c>
      <c r="AP711" s="58" t="s">
        <v>72</v>
      </c>
      <c r="AQ711" s="34">
        <f t="shared" ca="1" si="42"/>
        <v>710</v>
      </c>
    </row>
    <row r="712" spans="1:43" ht="21" customHeight="1" x14ac:dyDescent="0.15">
      <c r="A712" s="7">
        <f t="shared" ca="1" si="43"/>
        <v>711</v>
      </c>
      <c r="B712" s="6" t="str">
        <f ca="1">VLOOKUP(A712,[2]characters!$A:$C,3,FALSE)</f>
        <v>平衡調和の取り立て屋　田中トム</v>
      </c>
      <c r="C712" s="9">
        <f ca="1">VLOOKUP(A712,[2]characters!$A:$I,9,FALSE)</f>
        <v>4</v>
      </c>
      <c r="D712" s="9" t="str">
        <f ca="1">VLOOKUP(A712,[2]characters!$A:$H,8,FALSE)</f>
        <v>green</v>
      </c>
      <c r="E712" s="97">
        <f ca="1">VLOOKUP(D712,[2]属性!$A:$E,2,FALSE)</f>
        <v>1.02</v>
      </c>
      <c r="F712" s="97">
        <f ca="1">VLOOKUP(D712,[2]属性!$A:$E,3,FALSE)</f>
        <v>0.98</v>
      </c>
      <c r="G712" s="97">
        <f ca="1">VLOOKUP(D712,[2]属性!$A:$F,4,FALSE)</f>
        <v>1</v>
      </c>
      <c r="H712" s="9" t="str">
        <f ca="1">VLOOKUP(A712,[2]characters!$A:$K,11,FALSE)</f>
        <v>dr</v>
      </c>
      <c r="I712" s="6" t="str">
        <f ca="1">VLOOKUP(H712,[2]character_type_i18n!$A:$F,3,FALSE)</f>
        <v>デュラララ!!</v>
      </c>
      <c r="J712" s="97">
        <f ca="1">VLOOKUP(H712,[2]character_type_i18n!$A:$F,4,FALSE)</f>
        <v>1</v>
      </c>
      <c r="K712" s="97">
        <f ca="1">VLOOKUP(H712,[2]character_type_i18n!$A:$F,5,FALSE)</f>
        <v>1</v>
      </c>
      <c r="L712" s="97">
        <f ca="1">VLOOKUP(H712,[2]character_type_i18n!$A:$F,6,FALSE)</f>
        <v>1</v>
      </c>
      <c r="M712" s="9" t="str">
        <f ca="1">VLOOKUP(A712,[2]characters!$A:$M,13,FALSE)</f>
        <v>human</v>
      </c>
      <c r="N712" s="6" t="str">
        <f ca="1">VLOOKUP(M712,[2]character_tribe_i18n!$A:$F,3,FALSE)</f>
        <v>ヒューマン</v>
      </c>
      <c r="O712" s="97">
        <f ca="1">VLOOKUP(M712,[2]character_tribe_i18n!$A:$F,4,FALSE)</f>
        <v>0.94</v>
      </c>
      <c r="P712" s="97">
        <f ca="1">VLOOKUP(M712,[2]character_tribe_i18n!$A:$F,5,FALSE)</f>
        <v>0.99</v>
      </c>
      <c r="Q712" s="97">
        <f ca="1">VLOOKUP(M712,[2]character_tribe_i18n!$A:$F,6,FALSE)</f>
        <v>1</v>
      </c>
      <c r="R712" s="98" t="s">
        <v>98</v>
      </c>
      <c r="S712" s="97">
        <f>VLOOKUP($R712,ラベル別係数!$A$1:$E$7,3,FALSE)</f>
        <v>5</v>
      </c>
      <c r="T712" s="97">
        <f>VLOOKUP($R712,ラベル別係数!$A$1:$E$7,4,FALSE)</f>
        <v>1.3</v>
      </c>
      <c r="U712" s="97">
        <f>VLOOKUP($R712,ラベル別係数!$A$1:$E$7,5,FALSE)</f>
        <v>0.8</v>
      </c>
      <c r="V712" s="98">
        <v>3</v>
      </c>
      <c r="W712" s="99">
        <f>VLOOKUP(V712,ターン数別攻撃係数!$A$1:$B$1000,2,FALSE)</f>
        <v>1</v>
      </c>
      <c r="X712" s="9">
        <f ca="1">VLOOKUP(C712,サイズ別係数!A$2:B$9,2,FALSE)</f>
        <v>30</v>
      </c>
      <c r="Y712" s="97">
        <f ca="1">VLOOKUP($X712,サイズ別係数!$B:$E,2,FALSE)</f>
        <v>1.3</v>
      </c>
      <c r="Z712" s="97">
        <f ca="1">VLOOKUP($X712,サイズ別係数!$B:$E,3,FALSE)</f>
        <v>1.3</v>
      </c>
      <c r="AA712" s="97">
        <f ca="1">VLOOKUP($X712,サイズ別係数!$B:$E,4,FALSE)</f>
        <v>1.1000000000000001</v>
      </c>
      <c r="AB712" s="10">
        <v>0</v>
      </c>
      <c r="AC712" s="6" t="str">
        <f ca="1">VLOOKUP($AB712,OFFSET([3]enemy_skill_sets!$B$2,0,0,COUNTA([3]enemy_skill_sets!$A:$A),MATCH(AC$1,[3]enemy_skill_sets!$1:$1,0)-MATCH($AB$1,[3]enemy_skill_sets!$1:$1,0)+1),MATCH(AC$1,[3]enemy_skill_sets!$1:$1,0)-MATCH($AB$1,[3]enemy_skill_sets!$1:$1,0)+1,FALSE)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2" s="67">
        <v>1</v>
      </c>
      <c r="AE712" s="67">
        <v>1</v>
      </c>
      <c r="AF712" s="68">
        <v>0</v>
      </c>
      <c r="AG712" s="99">
        <f ca="1">ROUND(VLOOKUP(1,enemy_base_stats!$A:$F,2,FALSE) * Y712* J712*O712*E712*S712*AD712*[2]ステータス!$B$2,0)</f>
        <v>3116</v>
      </c>
      <c r="AH712" s="99">
        <f ca="1">ROUND(VLOOKUP(1,enemy_base_stats!$A:$F,3,FALSE) * Z712*K712*P712*F712*T712*AE712 * W712*[2]ステータス!$C$2,0)</f>
        <v>246</v>
      </c>
      <c r="AI712" s="99">
        <f ca="1">ROUND(VLOOKUP(1,enemy_base_stats!$A:$F,4,FALSE) * AA712*L712*Q712*G712*U712*AF712*[2]ステータス!$D$2,0)</f>
        <v>0</v>
      </c>
      <c r="AJ712" s="99">
        <f ca="1">ROUND(VLOOKUP(100,enemy_base_stats!$A:$F,2,FALSE) * Y712* J712*O712*E712*S712*AD712*[2]ステータス!$B$2,0)</f>
        <v>126514</v>
      </c>
      <c r="AK712" s="99">
        <f ca="1">ROUND(VLOOKUP(100,enemy_base_stats!$A:$F,3,FALSE)* Z712* K712*P712*F712*T712*AE712 * W712*[2]ステータス!$C$2,0)</f>
        <v>9985</v>
      </c>
      <c r="AL712" s="99">
        <f ca="1">ROUND(VLOOKUP(100,enemy_base_stats!$A:$F,4,FALSE)* AA712* L712*Q712*G712*U712*AF712*[2]ステータス!$D$2,0)</f>
        <v>0</v>
      </c>
      <c r="AM712" s="97">
        <f ca="1">VLOOKUP(M712,[2]character_tribe_i18n!$A:$I,9,FALSE)</f>
        <v>400</v>
      </c>
      <c r="AN712" s="97">
        <v>0</v>
      </c>
      <c r="AO712" s="98">
        <v>0</v>
      </c>
      <c r="AP712" s="58" t="s">
        <v>72</v>
      </c>
      <c r="AQ712" s="34">
        <f t="shared" ca="1" si="42"/>
        <v>711</v>
      </c>
    </row>
    <row r="713" spans="1:43" ht="21" customHeight="1" x14ac:dyDescent="0.15">
      <c r="A713" s="7">
        <f t="shared" ca="1" si="43"/>
        <v>712</v>
      </c>
      <c r="B713" s="6" t="str">
        <f ca="1">VLOOKUP(A713,[2]characters!$A:$C,3,FALSE)</f>
        <v>竜ヶ峰帝人</v>
      </c>
      <c r="C713" s="9">
        <f ca="1">VLOOKUP(A713,[2]characters!$A:$I,9,FALSE)</f>
        <v>5</v>
      </c>
      <c r="D713" s="9" t="str">
        <f ca="1">VLOOKUP(A713,[2]characters!$A:$H,8,FALSE)</f>
        <v>blue</v>
      </c>
      <c r="E713" s="97">
        <f ca="1">VLOOKUP(D713,[2]属性!$A:$E,2,FALSE)</f>
        <v>1</v>
      </c>
      <c r="F713" s="97">
        <f ca="1">VLOOKUP(D713,[2]属性!$A:$E,3,FALSE)</f>
        <v>0.98</v>
      </c>
      <c r="G713" s="97">
        <f ca="1">VLOOKUP(D713,[2]属性!$A:$F,4,FALSE)</f>
        <v>1</v>
      </c>
      <c r="H713" s="9" t="str">
        <f ca="1">VLOOKUP(A713,[2]characters!$A:$K,11,FALSE)</f>
        <v>dr</v>
      </c>
      <c r="I713" s="6" t="str">
        <f ca="1">VLOOKUP(H713,[2]character_type_i18n!$A:$F,3,FALSE)</f>
        <v>デュラララ!!</v>
      </c>
      <c r="J713" s="97">
        <f ca="1">VLOOKUP(H713,[2]character_type_i18n!$A:$F,4,FALSE)</f>
        <v>1</v>
      </c>
      <c r="K713" s="97">
        <f ca="1">VLOOKUP(H713,[2]character_type_i18n!$A:$F,5,FALSE)</f>
        <v>1</v>
      </c>
      <c r="L713" s="97">
        <f ca="1">VLOOKUP(H713,[2]character_type_i18n!$A:$F,6,FALSE)</f>
        <v>1</v>
      </c>
      <c r="M713" s="9" t="str">
        <f ca="1">VLOOKUP(A713,[2]characters!$A:$M,13,FALSE)</f>
        <v>human</v>
      </c>
      <c r="N713" s="6" t="str">
        <f ca="1">VLOOKUP(M713,[2]character_tribe_i18n!$A:$F,3,FALSE)</f>
        <v>ヒューマン</v>
      </c>
      <c r="O713" s="97">
        <f ca="1">VLOOKUP(M713,[2]character_tribe_i18n!$A:$F,4,FALSE)</f>
        <v>0.94</v>
      </c>
      <c r="P713" s="97">
        <f ca="1">VLOOKUP(M713,[2]character_tribe_i18n!$A:$F,5,FALSE)</f>
        <v>0.99</v>
      </c>
      <c r="Q713" s="97">
        <f ca="1">VLOOKUP(M713,[2]character_tribe_i18n!$A:$F,6,FALSE)</f>
        <v>1</v>
      </c>
      <c r="R713" s="98" t="s">
        <v>98</v>
      </c>
      <c r="S713" s="97">
        <f>VLOOKUP($R713,ラベル別係数!$A$1:$E$7,3,FALSE)</f>
        <v>5</v>
      </c>
      <c r="T713" s="97">
        <f>VLOOKUP($R713,ラベル別係数!$A$1:$E$7,4,FALSE)</f>
        <v>1.3</v>
      </c>
      <c r="U713" s="97">
        <f>VLOOKUP($R713,ラベル別係数!$A$1:$E$7,5,FALSE)</f>
        <v>0.8</v>
      </c>
      <c r="V713" s="98">
        <v>3</v>
      </c>
      <c r="W713" s="99">
        <f>VLOOKUP(V713,ターン数別攻撃係数!$A$1:$B$1000,2,FALSE)</f>
        <v>1</v>
      </c>
      <c r="X713" s="9">
        <f ca="1">VLOOKUP(C713,サイズ別係数!A$2:B$9,2,FALSE)</f>
        <v>60</v>
      </c>
      <c r="Y713" s="97">
        <f ca="1">VLOOKUP($X713,サイズ別係数!$B:$E,2,FALSE)</f>
        <v>1.7</v>
      </c>
      <c r="Z713" s="97">
        <f ca="1">VLOOKUP($X713,サイズ別係数!$B:$E,3,FALSE)</f>
        <v>1.4</v>
      </c>
      <c r="AA713" s="97">
        <f ca="1">VLOOKUP($X713,サイズ別係数!$B:$E,4,FALSE)</f>
        <v>1</v>
      </c>
      <c r="AB713" s="10">
        <v>0</v>
      </c>
      <c r="AC713" s="6" t="str">
        <f ca="1">VLOOKUP($AB713,OFFSET([3]enemy_skill_sets!$B$2,0,0,COUNTA([3]enemy_skill_sets!$A:$A),MATCH(AC$1,[3]enemy_skill_sets!$1:$1,0)-MATCH($AB$1,[3]enemy_skill_sets!$1:$1,0)+1),MATCH(AC$1,[3]enemy_skill_sets!$1:$1,0)-MATCH($AB$1,[3]enemy_skill_sets!$1:$1,0)+1,FALSE)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3" s="67">
        <v>1</v>
      </c>
      <c r="AE713" s="67">
        <v>1</v>
      </c>
      <c r="AF713" s="68">
        <v>0</v>
      </c>
      <c r="AG713" s="99">
        <f ca="1">ROUND(VLOOKUP(1,enemy_base_stats!$A:$F,2,FALSE) * Y713* J713*O713*E713*S713*AD713*[2]ステータス!$B$2,0)</f>
        <v>3995</v>
      </c>
      <c r="AH713" s="99">
        <f ca="1">ROUND(VLOOKUP(1,enemy_base_stats!$A:$F,3,FALSE) * Z713*K713*P713*F713*T713*AE713 * W713*[2]ステータス!$C$2,0)</f>
        <v>265</v>
      </c>
      <c r="AI713" s="99">
        <f ca="1">ROUND(VLOOKUP(1,enemy_base_stats!$A:$F,4,FALSE) * AA713*L713*Q713*G713*U713*AF713*[2]ステータス!$D$2,0)</f>
        <v>0</v>
      </c>
      <c r="AJ713" s="99">
        <f ca="1">ROUND(VLOOKUP(100,enemy_base_stats!$A:$F,2,FALSE) * Y713* J713*O713*E713*S713*AD713*[2]ステータス!$B$2,0)</f>
        <v>162197</v>
      </c>
      <c r="AK713" s="99">
        <f ca="1">ROUND(VLOOKUP(100,enemy_base_stats!$A:$F,3,FALSE)* Z713* K713*P713*F713*T713*AE713 * W713*[2]ステータス!$C$2,0)</f>
        <v>10754</v>
      </c>
      <c r="AL713" s="99">
        <f ca="1">ROUND(VLOOKUP(100,enemy_base_stats!$A:$F,4,FALSE)* AA713* L713*Q713*G713*U713*AF713*[2]ステータス!$D$2,0)</f>
        <v>0</v>
      </c>
      <c r="AM713" s="97">
        <f ca="1">VLOOKUP(M713,[2]character_tribe_i18n!$A:$I,9,FALSE)</f>
        <v>400</v>
      </c>
      <c r="AN713" s="97">
        <v>0</v>
      </c>
      <c r="AO713" s="98">
        <v>0</v>
      </c>
      <c r="AP713" s="58" t="s">
        <v>72</v>
      </c>
      <c r="AQ713" s="34">
        <f t="shared" ca="1" si="42"/>
        <v>712</v>
      </c>
    </row>
    <row r="714" spans="1:43" ht="21" customHeight="1" x14ac:dyDescent="0.15">
      <c r="A714" s="7">
        <f t="shared" ca="1" si="43"/>
        <v>713</v>
      </c>
      <c r="B714" s="6" t="str">
        <f ca="1">VLOOKUP(A714,[2]characters!$A:$C,3,FALSE)</f>
        <v>始まりの創始者　竜ヶ峰帝人</v>
      </c>
      <c r="C714" s="9">
        <f ca="1">VLOOKUP(A714,[2]characters!$A:$I,9,FALSE)</f>
        <v>6</v>
      </c>
      <c r="D714" s="9" t="str">
        <f ca="1">VLOOKUP(A714,[2]characters!$A:$H,8,FALSE)</f>
        <v>blue</v>
      </c>
      <c r="E714" s="97">
        <f ca="1">VLOOKUP(D714,[2]属性!$A:$E,2,FALSE)</f>
        <v>1</v>
      </c>
      <c r="F714" s="97">
        <f ca="1">VLOOKUP(D714,[2]属性!$A:$E,3,FALSE)</f>
        <v>0.98</v>
      </c>
      <c r="G714" s="97">
        <f ca="1">VLOOKUP(D714,[2]属性!$A:$F,4,FALSE)</f>
        <v>1</v>
      </c>
      <c r="H714" s="9" t="str">
        <f ca="1">VLOOKUP(A714,[2]characters!$A:$K,11,FALSE)</f>
        <v>dr</v>
      </c>
      <c r="I714" s="6" t="str">
        <f ca="1">VLOOKUP(H714,[2]character_type_i18n!$A:$F,3,FALSE)</f>
        <v>デュラララ!!</v>
      </c>
      <c r="J714" s="97">
        <f ca="1">VLOOKUP(H714,[2]character_type_i18n!$A:$F,4,FALSE)</f>
        <v>1</v>
      </c>
      <c r="K714" s="97">
        <f ca="1">VLOOKUP(H714,[2]character_type_i18n!$A:$F,5,FALSE)</f>
        <v>1</v>
      </c>
      <c r="L714" s="97">
        <f ca="1">VLOOKUP(H714,[2]character_type_i18n!$A:$F,6,FALSE)</f>
        <v>1</v>
      </c>
      <c r="M714" s="9" t="str">
        <f ca="1">VLOOKUP(A714,[2]characters!$A:$M,13,FALSE)</f>
        <v>human</v>
      </c>
      <c r="N714" s="6" t="str">
        <f ca="1">VLOOKUP(M714,[2]character_tribe_i18n!$A:$F,3,FALSE)</f>
        <v>ヒューマン</v>
      </c>
      <c r="O714" s="97">
        <f ca="1">VLOOKUP(M714,[2]character_tribe_i18n!$A:$F,4,FALSE)</f>
        <v>0.94</v>
      </c>
      <c r="P714" s="97">
        <f ca="1">VLOOKUP(M714,[2]character_tribe_i18n!$A:$F,5,FALSE)</f>
        <v>0.99</v>
      </c>
      <c r="Q714" s="97">
        <f ca="1">VLOOKUP(M714,[2]character_tribe_i18n!$A:$F,6,FALSE)</f>
        <v>1</v>
      </c>
      <c r="R714" s="98" t="s">
        <v>98</v>
      </c>
      <c r="S714" s="97">
        <f>VLOOKUP($R714,ラベル別係数!$A$1:$E$7,3,FALSE)</f>
        <v>5</v>
      </c>
      <c r="T714" s="97">
        <f>VLOOKUP($R714,ラベル別係数!$A$1:$E$7,4,FALSE)</f>
        <v>1.3</v>
      </c>
      <c r="U714" s="97">
        <f>VLOOKUP($R714,ラベル別係数!$A$1:$E$7,5,FALSE)</f>
        <v>0.8</v>
      </c>
      <c r="V714" s="98">
        <v>3</v>
      </c>
      <c r="W714" s="99">
        <f>VLOOKUP(V714,ターン数別攻撃係数!$A$1:$B$1000,2,FALSE)</f>
        <v>1</v>
      </c>
      <c r="X714" s="9">
        <f ca="1">VLOOKUP(C714,サイズ別係数!A$2:B$9,2,FALSE)</f>
        <v>60</v>
      </c>
      <c r="Y714" s="97">
        <f ca="1">VLOOKUP($X714,サイズ別係数!$B:$E,2,FALSE)</f>
        <v>1.7</v>
      </c>
      <c r="Z714" s="97">
        <f ca="1">VLOOKUP($X714,サイズ別係数!$B:$E,3,FALSE)</f>
        <v>1.4</v>
      </c>
      <c r="AA714" s="97">
        <f ca="1">VLOOKUP($X714,サイズ別係数!$B:$E,4,FALSE)</f>
        <v>1</v>
      </c>
      <c r="AB714" s="10">
        <v>0</v>
      </c>
      <c r="AC714" s="6" t="str">
        <f ca="1">VLOOKUP($AB714,OFFSET([3]enemy_skill_sets!$B$2,0,0,COUNTA([3]enemy_skill_sets!$A:$A),MATCH(AC$1,[3]enemy_skill_sets!$1:$1,0)-MATCH($AB$1,[3]enemy_skill_sets!$1:$1,0)+1),MATCH(AC$1,[3]enemy_skill_sets!$1:$1,0)-MATCH($AB$1,[3]enemy_skill_sets!$1:$1,0)+1,FALSE)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4" s="67">
        <v>1</v>
      </c>
      <c r="AE714" s="67">
        <v>1</v>
      </c>
      <c r="AF714" s="68">
        <v>0</v>
      </c>
      <c r="AG714" s="99">
        <f ca="1">ROUND(VLOOKUP(1,enemy_base_stats!$A:$F,2,FALSE) * Y714* J714*O714*E714*S714*AD714*[2]ステータス!$B$2,0)</f>
        <v>3995</v>
      </c>
      <c r="AH714" s="99">
        <f ca="1">ROUND(VLOOKUP(1,enemy_base_stats!$A:$F,3,FALSE) * Z714*K714*P714*F714*T714*AE714 * W714*[2]ステータス!$C$2,0)</f>
        <v>265</v>
      </c>
      <c r="AI714" s="99">
        <f ca="1">ROUND(VLOOKUP(1,enemy_base_stats!$A:$F,4,FALSE) * AA714*L714*Q714*G714*U714*AF714*[2]ステータス!$D$2,0)</f>
        <v>0</v>
      </c>
      <c r="AJ714" s="99">
        <f ca="1">ROUND(VLOOKUP(100,enemy_base_stats!$A:$F,2,FALSE) * Y714* J714*O714*E714*S714*AD714*[2]ステータス!$B$2,0)</f>
        <v>162197</v>
      </c>
      <c r="AK714" s="99">
        <f ca="1">ROUND(VLOOKUP(100,enemy_base_stats!$A:$F,3,FALSE)* Z714* K714*P714*F714*T714*AE714 * W714*[2]ステータス!$C$2,0)</f>
        <v>10754</v>
      </c>
      <c r="AL714" s="99">
        <f ca="1">ROUND(VLOOKUP(100,enemy_base_stats!$A:$F,4,FALSE)* AA714* L714*Q714*G714*U714*AF714*[2]ステータス!$D$2,0)</f>
        <v>0</v>
      </c>
      <c r="AM714" s="97">
        <f ca="1">VLOOKUP(M714,[2]character_tribe_i18n!$A:$I,9,FALSE)</f>
        <v>400</v>
      </c>
      <c r="AN714" s="97">
        <v>0</v>
      </c>
      <c r="AO714" s="98">
        <v>0</v>
      </c>
      <c r="AP714" s="58" t="s">
        <v>72</v>
      </c>
      <c r="AQ714" s="34">
        <f t="shared" ca="1" si="42"/>
        <v>713</v>
      </c>
    </row>
    <row r="715" spans="1:43" ht="21" customHeight="1" x14ac:dyDescent="0.15">
      <c r="A715" s="7">
        <f t="shared" ca="1" si="43"/>
        <v>714</v>
      </c>
      <c r="B715" s="6" t="str">
        <f ca="1">VLOOKUP(A715,[2]characters!$A:$C,3,FALSE)</f>
        <v>粟楠茜</v>
      </c>
      <c r="C715" s="9">
        <f ca="1">VLOOKUP(A715,[2]characters!$A:$I,9,FALSE)</f>
        <v>3</v>
      </c>
      <c r="D715" s="9" t="str">
        <f ca="1">VLOOKUP(A715,[2]characters!$A:$H,8,FALSE)</f>
        <v>blue</v>
      </c>
      <c r="E715" s="97">
        <f ca="1">VLOOKUP(D715,[2]属性!$A:$E,2,FALSE)</f>
        <v>1</v>
      </c>
      <c r="F715" s="97">
        <f ca="1">VLOOKUP(D715,[2]属性!$A:$E,3,FALSE)</f>
        <v>0.98</v>
      </c>
      <c r="G715" s="97">
        <f ca="1">VLOOKUP(D715,[2]属性!$A:$F,4,FALSE)</f>
        <v>1</v>
      </c>
      <c r="H715" s="9" t="str">
        <f ca="1">VLOOKUP(A715,[2]characters!$A:$K,11,FALSE)</f>
        <v>dr</v>
      </c>
      <c r="I715" s="6" t="str">
        <f ca="1">VLOOKUP(H715,[2]character_type_i18n!$A:$F,3,FALSE)</f>
        <v>デュラララ!!</v>
      </c>
      <c r="J715" s="97">
        <f ca="1">VLOOKUP(H715,[2]character_type_i18n!$A:$F,4,FALSE)</f>
        <v>1</v>
      </c>
      <c r="K715" s="97">
        <f ca="1">VLOOKUP(H715,[2]character_type_i18n!$A:$F,5,FALSE)</f>
        <v>1</v>
      </c>
      <c r="L715" s="97">
        <f ca="1">VLOOKUP(H715,[2]character_type_i18n!$A:$F,6,FALSE)</f>
        <v>1</v>
      </c>
      <c r="M715" s="9" t="str">
        <f ca="1">VLOOKUP(A715,[2]characters!$A:$M,13,FALSE)</f>
        <v>human</v>
      </c>
      <c r="N715" s="6" t="str">
        <f ca="1">VLOOKUP(M715,[2]character_tribe_i18n!$A:$F,3,FALSE)</f>
        <v>ヒューマン</v>
      </c>
      <c r="O715" s="97">
        <f ca="1">VLOOKUP(M715,[2]character_tribe_i18n!$A:$F,4,FALSE)</f>
        <v>0.94</v>
      </c>
      <c r="P715" s="97">
        <f ca="1">VLOOKUP(M715,[2]character_tribe_i18n!$A:$F,5,FALSE)</f>
        <v>0.99</v>
      </c>
      <c r="Q715" s="97">
        <f ca="1">VLOOKUP(M715,[2]character_tribe_i18n!$A:$F,6,FALSE)</f>
        <v>1</v>
      </c>
      <c r="R715" s="98" t="s">
        <v>98</v>
      </c>
      <c r="S715" s="97">
        <f>VLOOKUP($R715,ラベル別係数!$A$1:$E$7,3,FALSE)</f>
        <v>5</v>
      </c>
      <c r="T715" s="97">
        <f>VLOOKUP($R715,ラベル別係数!$A$1:$E$7,4,FALSE)</f>
        <v>1.3</v>
      </c>
      <c r="U715" s="97">
        <f>VLOOKUP($R715,ラベル別係数!$A$1:$E$7,5,FALSE)</f>
        <v>0.8</v>
      </c>
      <c r="V715" s="98">
        <v>3</v>
      </c>
      <c r="W715" s="99">
        <f>VLOOKUP(V715,ターン数別攻撃係数!$A$1:$B$1000,2,FALSE)</f>
        <v>1</v>
      </c>
      <c r="X715" s="9">
        <f ca="1">VLOOKUP(C715,サイズ別係数!A$2:B$9,2,FALSE)</f>
        <v>25</v>
      </c>
      <c r="Y715" s="97">
        <f ca="1">VLOOKUP($X715,サイズ別係数!$B:$E,2,FALSE)</f>
        <v>1.2</v>
      </c>
      <c r="Z715" s="97">
        <f ca="1">VLOOKUP($X715,サイズ別係数!$B:$E,3,FALSE)</f>
        <v>1.25</v>
      </c>
      <c r="AA715" s="97">
        <f ca="1">VLOOKUP($X715,サイズ別係数!$B:$E,4,FALSE)</f>
        <v>1.1499999999999999</v>
      </c>
      <c r="AB715" s="10">
        <v>0</v>
      </c>
      <c r="AC715" s="6" t="str">
        <f ca="1">VLOOKUP($AB715,OFFSET([3]enemy_skill_sets!$B$2,0,0,COUNTA([3]enemy_skill_sets!$A:$A),MATCH(AC$1,[3]enemy_skill_sets!$1:$1,0)-MATCH($AB$1,[3]enemy_skill_sets!$1:$1,0)+1),MATCH(AC$1,[3]enemy_skill_sets!$1:$1,0)-MATCH($AB$1,[3]enemy_skill_sets!$1:$1,0)+1,FALSE)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5" s="67">
        <v>1</v>
      </c>
      <c r="AE715" s="67">
        <v>1</v>
      </c>
      <c r="AF715" s="68">
        <v>0</v>
      </c>
      <c r="AG715" s="99">
        <f ca="1">ROUND(VLOOKUP(1,enemy_base_stats!$A:$F,2,FALSE) * Y715* J715*O715*E715*S715*AD715*[2]ステータス!$B$2,0)</f>
        <v>2820</v>
      </c>
      <c r="AH715" s="99">
        <f ca="1">ROUND(VLOOKUP(1,enemy_base_stats!$A:$F,3,FALSE) * Z715*K715*P715*F715*T715*AE715 * W715*[2]ステータス!$C$2,0)</f>
        <v>236</v>
      </c>
      <c r="AI715" s="99">
        <f ca="1">ROUND(VLOOKUP(1,enemy_base_stats!$A:$F,4,FALSE) * AA715*L715*Q715*G715*U715*AF715*[2]ステータス!$D$2,0)</f>
        <v>0</v>
      </c>
      <c r="AJ715" s="99">
        <f ca="1">ROUND(VLOOKUP(100,enemy_base_stats!$A:$F,2,FALSE) * Y715* J715*O715*E715*S715*AD715*[2]ステータス!$B$2,0)</f>
        <v>114492</v>
      </c>
      <c r="AK715" s="99">
        <f ca="1">ROUND(VLOOKUP(100,enemy_base_stats!$A:$F,3,FALSE)* Z715* K715*P715*F715*T715*AE715 * W715*[2]ステータス!$C$2,0)</f>
        <v>9601</v>
      </c>
      <c r="AL715" s="99">
        <f ca="1">ROUND(VLOOKUP(100,enemy_base_stats!$A:$F,4,FALSE)* AA715* L715*Q715*G715*U715*AF715*[2]ステータス!$D$2,0)</f>
        <v>0</v>
      </c>
      <c r="AM715" s="97">
        <f ca="1">VLOOKUP(M715,[2]character_tribe_i18n!$A:$I,9,FALSE)</f>
        <v>400</v>
      </c>
      <c r="AN715" s="97">
        <v>0</v>
      </c>
      <c r="AO715" s="98">
        <v>0</v>
      </c>
      <c r="AP715" s="58" t="s">
        <v>72</v>
      </c>
      <c r="AQ715" s="34">
        <f t="shared" ca="1" si="42"/>
        <v>714</v>
      </c>
    </row>
    <row r="716" spans="1:43" ht="21" customHeight="1" x14ac:dyDescent="0.15">
      <c r="A716" s="7">
        <f t="shared" ca="1" si="43"/>
        <v>715</v>
      </c>
      <c r="B716" s="6" t="str">
        <f ca="1">VLOOKUP(A716,[2]characters!$A:$C,3,FALSE)</f>
        <v>小さな殺し屋　粟楠茜</v>
      </c>
      <c r="C716" s="9">
        <f ca="1">VLOOKUP(A716,[2]characters!$A:$I,9,FALSE)</f>
        <v>4</v>
      </c>
      <c r="D716" s="9" t="str">
        <f ca="1">VLOOKUP(A716,[2]characters!$A:$H,8,FALSE)</f>
        <v>blue</v>
      </c>
      <c r="E716" s="97">
        <f ca="1">VLOOKUP(D716,[2]属性!$A:$E,2,FALSE)</f>
        <v>1</v>
      </c>
      <c r="F716" s="97">
        <f ca="1">VLOOKUP(D716,[2]属性!$A:$E,3,FALSE)</f>
        <v>0.98</v>
      </c>
      <c r="G716" s="97">
        <f ca="1">VLOOKUP(D716,[2]属性!$A:$F,4,FALSE)</f>
        <v>1</v>
      </c>
      <c r="H716" s="9" t="str">
        <f ca="1">VLOOKUP(A716,[2]characters!$A:$K,11,FALSE)</f>
        <v>dr</v>
      </c>
      <c r="I716" s="6" t="str">
        <f ca="1">VLOOKUP(H716,[2]character_type_i18n!$A:$F,3,FALSE)</f>
        <v>デュラララ!!</v>
      </c>
      <c r="J716" s="97">
        <f ca="1">VLOOKUP(H716,[2]character_type_i18n!$A:$F,4,FALSE)</f>
        <v>1</v>
      </c>
      <c r="K716" s="97">
        <f ca="1">VLOOKUP(H716,[2]character_type_i18n!$A:$F,5,FALSE)</f>
        <v>1</v>
      </c>
      <c r="L716" s="97">
        <f ca="1">VLOOKUP(H716,[2]character_type_i18n!$A:$F,6,FALSE)</f>
        <v>1</v>
      </c>
      <c r="M716" s="9" t="str">
        <f ca="1">VLOOKUP(A716,[2]characters!$A:$M,13,FALSE)</f>
        <v>human</v>
      </c>
      <c r="N716" s="6" t="str">
        <f ca="1">VLOOKUP(M716,[2]character_tribe_i18n!$A:$F,3,FALSE)</f>
        <v>ヒューマン</v>
      </c>
      <c r="O716" s="97">
        <f ca="1">VLOOKUP(M716,[2]character_tribe_i18n!$A:$F,4,FALSE)</f>
        <v>0.94</v>
      </c>
      <c r="P716" s="97">
        <f ca="1">VLOOKUP(M716,[2]character_tribe_i18n!$A:$F,5,FALSE)</f>
        <v>0.99</v>
      </c>
      <c r="Q716" s="97">
        <f ca="1">VLOOKUP(M716,[2]character_tribe_i18n!$A:$F,6,FALSE)</f>
        <v>1</v>
      </c>
      <c r="R716" s="98" t="s">
        <v>98</v>
      </c>
      <c r="S716" s="97">
        <f>VLOOKUP($R716,ラベル別係数!$A$1:$E$7,3,FALSE)</f>
        <v>5</v>
      </c>
      <c r="T716" s="97">
        <f>VLOOKUP($R716,ラベル別係数!$A$1:$E$7,4,FALSE)</f>
        <v>1.3</v>
      </c>
      <c r="U716" s="97">
        <f>VLOOKUP($R716,ラベル別係数!$A$1:$E$7,5,FALSE)</f>
        <v>0.8</v>
      </c>
      <c r="V716" s="98">
        <v>3</v>
      </c>
      <c r="W716" s="99">
        <f>VLOOKUP(V716,ターン数別攻撃係数!$A$1:$B$1000,2,FALSE)</f>
        <v>1</v>
      </c>
      <c r="X716" s="9">
        <f ca="1">VLOOKUP(C716,サイズ別係数!A$2:B$9,2,FALSE)</f>
        <v>30</v>
      </c>
      <c r="Y716" s="97">
        <f ca="1">VLOOKUP($X716,サイズ別係数!$B:$E,2,FALSE)</f>
        <v>1.3</v>
      </c>
      <c r="Z716" s="97">
        <f ca="1">VLOOKUP($X716,サイズ別係数!$B:$E,3,FALSE)</f>
        <v>1.3</v>
      </c>
      <c r="AA716" s="97">
        <f ca="1">VLOOKUP($X716,サイズ別係数!$B:$E,4,FALSE)</f>
        <v>1.1000000000000001</v>
      </c>
      <c r="AB716" s="10">
        <v>0</v>
      </c>
      <c r="AC716" s="6" t="str">
        <f ca="1">VLOOKUP($AB716,OFFSET([3]enemy_skill_sets!$B$2,0,0,COUNTA([3]enemy_skill_sets!$A:$A),MATCH(AC$1,[3]enemy_skill_sets!$1:$1,0)-MATCH($AB$1,[3]enemy_skill_sets!$1:$1,0)+1),MATCH(AC$1,[3]enemy_skill_sets!$1:$1,0)-MATCH($AB$1,[3]enemy_skill_sets!$1:$1,0)+1,FALSE)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6" s="67">
        <v>1</v>
      </c>
      <c r="AE716" s="67">
        <v>1</v>
      </c>
      <c r="AF716" s="68">
        <v>0</v>
      </c>
      <c r="AG716" s="99">
        <f ca="1">ROUND(VLOOKUP(1,enemy_base_stats!$A:$F,2,FALSE) * Y716* J716*O716*E716*S716*AD716*[2]ステータス!$B$2,0)</f>
        <v>3055</v>
      </c>
      <c r="AH716" s="99">
        <f ca="1">ROUND(VLOOKUP(1,enemy_base_stats!$A:$F,3,FALSE) * Z716*K716*P716*F716*T716*AE716 * W716*[2]ステータス!$C$2,0)</f>
        <v>246</v>
      </c>
      <c r="AI716" s="99">
        <f ca="1">ROUND(VLOOKUP(1,enemy_base_stats!$A:$F,4,FALSE) * AA716*L716*Q716*G716*U716*AF716*[2]ステータス!$D$2,0)</f>
        <v>0</v>
      </c>
      <c r="AJ716" s="99">
        <f ca="1">ROUND(VLOOKUP(100,enemy_base_stats!$A:$F,2,FALSE) * Y716* J716*O716*E716*S716*AD716*[2]ステータス!$B$2,0)</f>
        <v>124033</v>
      </c>
      <c r="AK716" s="99">
        <f ca="1">ROUND(VLOOKUP(100,enemy_base_stats!$A:$F,3,FALSE)* Z716* K716*P716*F716*T716*AE716 * W716*[2]ステータス!$C$2,0)</f>
        <v>9985</v>
      </c>
      <c r="AL716" s="99">
        <f ca="1">ROUND(VLOOKUP(100,enemy_base_stats!$A:$F,4,FALSE)* AA716* L716*Q716*G716*U716*AF716*[2]ステータス!$D$2,0)</f>
        <v>0</v>
      </c>
      <c r="AM716" s="97">
        <f ca="1">VLOOKUP(M716,[2]character_tribe_i18n!$A:$I,9,FALSE)</f>
        <v>400</v>
      </c>
      <c r="AN716" s="97">
        <v>0</v>
      </c>
      <c r="AO716" s="98">
        <v>0</v>
      </c>
      <c r="AP716" s="58" t="s">
        <v>72</v>
      </c>
      <c r="AQ716" s="34">
        <f t="shared" ref="AQ716:AQ771" ca="1" si="44">A716</f>
        <v>715</v>
      </c>
    </row>
    <row r="717" spans="1:43" ht="21" customHeight="1" x14ac:dyDescent="0.15">
      <c r="A717" s="7">
        <f t="shared" ca="1" si="43"/>
        <v>716</v>
      </c>
      <c r="B717" s="6" t="str">
        <f ca="1">VLOOKUP(A717,[2]characters!$A:$C,3,FALSE)</f>
        <v>平和島静雄</v>
      </c>
      <c r="C717" s="9">
        <f ca="1">VLOOKUP(A717,[2]characters!$A:$I,9,FALSE)</f>
        <v>5</v>
      </c>
      <c r="D717" s="9" t="str">
        <f ca="1">VLOOKUP(A717,[2]characters!$A:$H,8,FALSE)</f>
        <v>yellow</v>
      </c>
      <c r="E717" s="97">
        <f ca="1">VLOOKUP(D717,[2]属性!$A:$E,2,FALSE)</f>
        <v>0.98</v>
      </c>
      <c r="F717" s="97">
        <f ca="1">VLOOKUP(D717,[2]属性!$A:$E,3,FALSE)</f>
        <v>1.01</v>
      </c>
      <c r="G717" s="97">
        <f ca="1">VLOOKUP(D717,[2]属性!$A:$F,4,FALSE)</f>
        <v>1</v>
      </c>
      <c r="H717" s="9" t="str">
        <f ca="1">VLOOKUP(A717,[2]characters!$A:$K,11,FALSE)</f>
        <v>dr</v>
      </c>
      <c r="I717" s="6" t="str">
        <f ca="1">VLOOKUP(H717,[2]character_type_i18n!$A:$F,3,FALSE)</f>
        <v>デュラララ!!</v>
      </c>
      <c r="J717" s="97">
        <f ca="1">VLOOKUP(H717,[2]character_type_i18n!$A:$F,4,FALSE)</f>
        <v>1</v>
      </c>
      <c r="K717" s="97">
        <f ca="1">VLOOKUP(H717,[2]character_type_i18n!$A:$F,5,FALSE)</f>
        <v>1</v>
      </c>
      <c r="L717" s="97">
        <f ca="1">VLOOKUP(H717,[2]character_type_i18n!$A:$F,6,FALSE)</f>
        <v>1</v>
      </c>
      <c r="M717" s="9" t="str">
        <f ca="1">VLOOKUP(A717,[2]characters!$A:$M,13,FALSE)</f>
        <v>human</v>
      </c>
      <c r="N717" s="6" t="str">
        <f ca="1">VLOOKUP(M717,[2]character_tribe_i18n!$A:$F,3,FALSE)</f>
        <v>ヒューマン</v>
      </c>
      <c r="O717" s="97">
        <f ca="1">VLOOKUP(M717,[2]character_tribe_i18n!$A:$F,4,FALSE)</f>
        <v>0.94</v>
      </c>
      <c r="P717" s="97">
        <f ca="1">VLOOKUP(M717,[2]character_tribe_i18n!$A:$F,5,FALSE)</f>
        <v>0.99</v>
      </c>
      <c r="Q717" s="97">
        <f ca="1">VLOOKUP(M717,[2]character_tribe_i18n!$A:$F,6,FALSE)</f>
        <v>1</v>
      </c>
      <c r="R717" s="98" t="s">
        <v>98</v>
      </c>
      <c r="S717" s="97">
        <f>VLOOKUP($R717,ラベル別係数!$A$1:$E$7,3,FALSE)</f>
        <v>5</v>
      </c>
      <c r="T717" s="97">
        <f>VLOOKUP($R717,ラベル別係数!$A$1:$E$7,4,FALSE)</f>
        <v>1.3</v>
      </c>
      <c r="U717" s="97">
        <f>VLOOKUP($R717,ラベル別係数!$A$1:$E$7,5,FALSE)</f>
        <v>0.8</v>
      </c>
      <c r="V717" s="98">
        <v>3</v>
      </c>
      <c r="W717" s="99">
        <f>VLOOKUP(V717,ターン数別攻撃係数!$A$1:$B$1000,2,FALSE)</f>
        <v>1</v>
      </c>
      <c r="X717" s="9">
        <f ca="1">VLOOKUP(C717,サイズ別係数!A$2:B$9,2,FALSE)</f>
        <v>60</v>
      </c>
      <c r="Y717" s="97">
        <f ca="1">VLOOKUP($X717,サイズ別係数!$B:$E,2,FALSE)</f>
        <v>1.7</v>
      </c>
      <c r="Z717" s="97">
        <f ca="1">VLOOKUP($X717,サイズ別係数!$B:$E,3,FALSE)</f>
        <v>1.4</v>
      </c>
      <c r="AA717" s="97">
        <f ca="1">VLOOKUP($X717,サイズ別係数!$B:$E,4,FALSE)</f>
        <v>1</v>
      </c>
      <c r="AB717" s="10">
        <v>0</v>
      </c>
      <c r="AC717" s="6" t="str">
        <f ca="1">VLOOKUP($AB717,OFFSET([3]enemy_skill_sets!$B$2,0,0,COUNTA([3]enemy_skill_sets!$A:$A),MATCH(AC$1,[3]enemy_skill_sets!$1:$1,0)-MATCH($AB$1,[3]enemy_skill_sets!$1:$1,0)+1),MATCH(AC$1,[3]enemy_skill_sets!$1:$1,0)-MATCH($AB$1,[3]enemy_skill_sets!$1:$1,0)+1,FALSE)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7" s="67">
        <v>1</v>
      </c>
      <c r="AE717" s="67">
        <v>1</v>
      </c>
      <c r="AF717" s="68">
        <v>0</v>
      </c>
      <c r="AG717" s="99">
        <f ca="1">ROUND(VLOOKUP(1,enemy_base_stats!$A:$F,2,FALSE) * Y717* J717*O717*E717*S717*AD717*[2]ステータス!$B$2,0)</f>
        <v>3915</v>
      </c>
      <c r="AH717" s="99">
        <f ca="1">ROUND(VLOOKUP(1,enemy_base_stats!$A:$F,3,FALSE) * Z717*K717*P717*F717*T717*AE717 * W717*[2]ステータス!$C$2,0)</f>
        <v>273</v>
      </c>
      <c r="AI717" s="99">
        <f ca="1">ROUND(VLOOKUP(1,enemy_base_stats!$A:$F,4,FALSE) * AA717*L717*Q717*G717*U717*AF717*[2]ステータス!$D$2,0)</f>
        <v>0</v>
      </c>
      <c r="AJ717" s="99">
        <f ca="1">ROUND(VLOOKUP(100,enemy_base_stats!$A:$F,2,FALSE) * Y717* J717*O717*E717*S717*AD717*[2]ステータス!$B$2,0)</f>
        <v>158953</v>
      </c>
      <c r="AK717" s="99">
        <f ca="1">ROUND(VLOOKUP(100,enemy_base_stats!$A:$F,3,FALSE)* Z717* K717*P717*F717*T717*AE717 * W717*[2]ステータス!$C$2,0)</f>
        <v>11083</v>
      </c>
      <c r="AL717" s="99">
        <f ca="1">ROUND(VLOOKUP(100,enemy_base_stats!$A:$F,4,FALSE)* AA717* L717*Q717*G717*U717*AF717*[2]ステータス!$D$2,0)</f>
        <v>0</v>
      </c>
      <c r="AM717" s="97">
        <f ca="1">VLOOKUP(M717,[2]character_tribe_i18n!$A:$I,9,FALSE)</f>
        <v>400</v>
      </c>
      <c r="AN717" s="97">
        <v>0</v>
      </c>
      <c r="AO717" s="98">
        <v>0</v>
      </c>
      <c r="AP717" s="58" t="s">
        <v>72</v>
      </c>
      <c r="AQ717" s="34">
        <f t="shared" ca="1" si="44"/>
        <v>716</v>
      </c>
    </row>
    <row r="718" spans="1:43" ht="21" customHeight="1" x14ac:dyDescent="0.15">
      <c r="A718" s="7">
        <f t="shared" ca="1" si="43"/>
        <v>717</v>
      </c>
      <c r="B718" s="6" t="str">
        <f ca="1">VLOOKUP(A718,[2]characters!$A:$C,3,FALSE)</f>
        <v>池袋最強の暴走 平和島静雄</v>
      </c>
      <c r="C718" s="9">
        <f ca="1">VLOOKUP(A718,[2]characters!$A:$I,9,FALSE)</f>
        <v>6</v>
      </c>
      <c r="D718" s="9" t="str">
        <f ca="1">VLOOKUP(A718,[2]characters!$A:$H,8,FALSE)</f>
        <v>yellow</v>
      </c>
      <c r="E718" s="97">
        <f ca="1">VLOOKUP(D718,[2]属性!$A:$E,2,FALSE)</f>
        <v>0.98</v>
      </c>
      <c r="F718" s="97">
        <f ca="1">VLOOKUP(D718,[2]属性!$A:$E,3,FALSE)</f>
        <v>1.01</v>
      </c>
      <c r="G718" s="97">
        <f ca="1">VLOOKUP(D718,[2]属性!$A:$F,4,FALSE)</f>
        <v>1</v>
      </c>
      <c r="H718" s="9" t="str">
        <f ca="1">VLOOKUP(A718,[2]characters!$A:$K,11,FALSE)</f>
        <v>dr</v>
      </c>
      <c r="I718" s="6" t="str">
        <f ca="1">VLOOKUP(H718,[2]character_type_i18n!$A:$F,3,FALSE)</f>
        <v>デュラララ!!</v>
      </c>
      <c r="J718" s="97">
        <f ca="1">VLOOKUP(H718,[2]character_type_i18n!$A:$F,4,FALSE)</f>
        <v>1</v>
      </c>
      <c r="K718" s="97">
        <f ca="1">VLOOKUP(H718,[2]character_type_i18n!$A:$F,5,FALSE)</f>
        <v>1</v>
      </c>
      <c r="L718" s="97">
        <f ca="1">VLOOKUP(H718,[2]character_type_i18n!$A:$F,6,FALSE)</f>
        <v>1</v>
      </c>
      <c r="M718" s="9" t="str">
        <f ca="1">VLOOKUP(A718,[2]characters!$A:$M,13,FALSE)</f>
        <v>human</v>
      </c>
      <c r="N718" s="6" t="str">
        <f ca="1">VLOOKUP(M718,[2]character_tribe_i18n!$A:$F,3,FALSE)</f>
        <v>ヒューマン</v>
      </c>
      <c r="O718" s="97">
        <f ca="1">VLOOKUP(M718,[2]character_tribe_i18n!$A:$F,4,FALSE)</f>
        <v>0.94</v>
      </c>
      <c r="P718" s="97">
        <f ca="1">VLOOKUP(M718,[2]character_tribe_i18n!$A:$F,5,FALSE)</f>
        <v>0.99</v>
      </c>
      <c r="Q718" s="97">
        <f ca="1">VLOOKUP(M718,[2]character_tribe_i18n!$A:$F,6,FALSE)</f>
        <v>1</v>
      </c>
      <c r="R718" s="98" t="s">
        <v>98</v>
      </c>
      <c r="S718" s="97">
        <f>VLOOKUP($R718,ラベル別係数!$A$1:$E$7,3,FALSE)</f>
        <v>5</v>
      </c>
      <c r="T718" s="97">
        <f>VLOOKUP($R718,ラベル別係数!$A$1:$E$7,4,FALSE)</f>
        <v>1.3</v>
      </c>
      <c r="U718" s="97">
        <f>VLOOKUP($R718,ラベル別係数!$A$1:$E$7,5,FALSE)</f>
        <v>0.8</v>
      </c>
      <c r="V718" s="98">
        <v>3</v>
      </c>
      <c r="W718" s="99">
        <f>VLOOKUP(V718,ターン数別攻撃係数!$A$1:$B$1000,2,FALSE)</f>
        <v>1</v>
      </c>
      <c r="X718" s="9">
        <f ca="1">VLOOKUP(C718,サイズ別係数!A$2:B$9,2,FALSE)</f>
        <v>60</v>
      </c>
      <c r="Y718" s="97">
        <f ca="1">VLOOKUP($X718,サイズ別係数!$B:$E,2,FALSE)</f>
        <v>1.7</v>
      </c>
      <c r="Z718" s="97">
        <f ca="1">VLOOKUP($X718,サイズ別係数!$B:$E,3,FALSE)</f>
        <v>1.4</v>
      </c>
      <c r="AA718" s="97">
        <f ca="1">VLOOKUP($X718,サイズ別係数!$B:$E,4,FALSE)</f>
        <v>1</v>
      </c>
      <c r="AB718" s="10">
        <v>0</v>
      </c>
      <c r="AC718" s="6" t="str">
        <f ca="1">VLOOKUP($AB718,OFFSET([3]enemy_skill_sets!$B$2,0,0,COUNTA([3]enemy_skill_sets!$A:$A),MATCH(AC$1,[3]enemy_skill_sets!$1:$1,0)-MATCH($AB$1,[3]enemy_skill_sets!$1:$1,0)+1),MATCH(AC$1,[3]enemy_skill_sets!$1:$1,0)-MATCH($AB$1,[3]enemy_skill_sets!$1:$1,0)+1,FALSE)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8" s="67">
        <v>1</v>
      </c>
      <c r="AE718" s="67">
        <v>1</v>
      </c>
      <c r="AF718" s="68">
        <v>0</v>
      </c>
      <c r="AG718" s="99">
        <f ca="1">ROUND(VLOOKUP(1,enemy_base_stats!$A:$F,2,FALSE) * Y718* J718*O718*E718*S718*AD718*[2]ステータス!$B$2,0)</f>
        <v>3915</v>
      </c>
      <c r="AH718" s="99">
        <f ca="1">ROUND(VLOOKUP(1,enemy_base_stats!$A:$F,3,FALSE) * Z718*K718*P718*F718*T718*AE718 * W718*[2]ステータス!$C$2,0)</f>
        <v>273</v>
      </c>
      <c r="AI718" s="99">
        <f ca="1">ROUND(VLOOKUP(1,enemy_base_stats!$A:$F,4,FALSE) * AA718*L718*Q718*G718*U718*AF718*[2]ステータス!$D$2,0)</f>
        <v>0</v>
      </c>
      <c r="AJ718" s="99">
        <f ca="1">ROUND(VLOOKUP(100,enemy_base_stats!$A:$F,2,FALSE) * Y718* J718*O718*E718*S718*AD718*[2]ステータス!$B$2,0)</f>
        <v>158953</v>
      </c>
      <c r="AK718" s="99">
        <f ca="1">ROUND(VLOOKUP(100,enemy_base_stats!$A:$F,3,FALSE)* Z718* K718*P718*F718*T718*AE718 * W718*[2]ステータス!$C$2,0)</f>
        <v>11083</v>
      </c>
      <c r="AL718" s="99">
        <f ca="1">ROUND(VLOOKUP(100,enemy_base_stats!$A:$F,4,FALSE)* AA718* L718*Q718*G718*U718*AF718*[2]ステータス!$D$2,0)</f>
        <v>0</v>
      </c>
      <c r="AM718" s="97">
        <f ca="1">VLOOKUP(M718,[2]character_tribe_i18n!$A:$I,9,FALSE)</f>
        <v>400</v>
      </c>
      <c r="AN718" s="97">
        <v>0</v>
      </c>
      <c r="AO718" s="98">
        <v>0</v>
      </c>
      <c r="AP718" s="58" t="s">
        <v>72</v>
      </c>
      <c r="AQ718" s="34">
        <f t="shared" ca="1" si="44"/>
        <v>717</v>
      </c>
    </row>
    <row r="719" spans="1:43" ht="21" customHeight="1" x14ac:dyDescent="0.15">
      <c r="A719" s="7">
        <f t="shared" ca="1" si="43"/>
        <v>718</v>
      </c>
      <c r="B719" s="6" t="str">
        <f ca="1">VLOOKUP(A719,[2]characters!$A:$C,3,FALSE)</f>
        <v>ヴァローナ</v>
      </c>
      <c r="C719" s="9">
        <f ca="1">VLOOKUP(A719,[2]characters!$A:$I,9,FALSE)</f>
        <v>4</v>
      </c>
      <c r="D719" s="9" t="str">
        <f ca="1">VLOOKUP(A719,[2]characters!$A:$H,8,FALSE)</f>
        <v>yellow</v>
      </c>
      <c r="E719" s="97">
        <f ca="1">VLOOKUP(D719,[2]属性!$A:$E,2,FALSE)</f>
        <v>0.98</v>
      </c>
      <c r="F719" s="97">
        <f ca="1">VLOOKUP(D719,[2]属性!$A:$E,3,FALSE)</f>
        <v>1.01</v>
      </c>
      <c r="G719" s="97">
        <f ca="1">VLOOKUP(D719,[2]属性!$A:$F,4,FALSE)</f>
        <v>1</v>
      </c>
      <c r="H719" s="9" t="str">
        <f ca="1">VLOOKUP(A719,[2]characters!$A:$K,11,FALSE)</f>
        <v>dr</v>
      </c>
      <c r="I719" s="6" t="str">
        <f ca="1">VLOOKUP(H719,[2]character_type_i18n!$A:$F,3,FALSE)</f>
        <v>デュラララ!!</v>
      </c>
      <c r="J719" s="97">
        <f ca="1">VLOOKUP(H719,[2]character_type_i18n!$A:$F,4,FALSE)</f>
        <v>1</v>
      </c>
      <c r="K719" s="97">
        <f ca="1">VLOOKUP(H719,[2]character_type_i18n!$A:$F,5,FALSE)</f>
        <v>1</v>
      </c>
      <c r="L719" s="97">
        <f ca="1">VLOOKUP(H719,[2]character_type_i18n!$A:$F,6,FALSE)</f>
        <v>1</v>
      </c>
      <c r="M719" s="9" t="str">
        <f ca="1">VLOOKUP(A719,[2]characters!$A:$M,13,FALSE)</f>
        <v>human</v>
      </c>
      <c r="N719" s="6" t="str">
        <f ca="1">VLOOKUP(M719,[2]character_tribe_i18n!$A:$F,3,FALSE)</f>
        <v>ヒューマン</v>
      </c>
      <c r="O719" s="97">
        <f ca="1">VLOOKUP(M719,[2]character_tribe_i18n!$A:$F,4,FALSE)</f>
        <v>0.94</v>
      </c>
      <c r="P719" s="97">
        <f ca="1">VLOOKUP(M719,[2]character_tribe_i18n!$A:$F,5,FALSE)</f>
        <v>0.99</v>
      </c>
      <c r="Q719" s="97">
        <f ca="1">VLOOKUP(M719,[2]character_tribe_i18n!$A:$F,6,FALSE)</f>
        <v>1</v>
      </c>
      <c r="R719" s="98" t="s">
        <v>98</v>
      </c>
      <c r="S719" s="97">
        <f>VLOOKUP($R719,ラベル別係数!$A$1:$E$7,3,FALSE)</f>
        <v>5</v>
      </c>
      <c r="T719" s="97">
        <f>VLOOKUP($R719,ラベル別係数!$A$1:$E$7,4,FALSE)</f>
        <v>1.3</v>
      </c>
      <c r="U719" s="97">
        <f>VLOOKUP($R719,ラベル別係数!$A$1:$E$7,5,FALSE)</f>
        <v>0.8</v>
      </c>
      <c r="V719" s="98">
        <v>3</v>
      </c>
      <c r="W719" s="99">
        <f>VLOOKUP(V719,ターン数別攻撃係数!$A$1:$B$1000,2,FALSE)</f>
        <v>1</v>
      </c>
      <c r="X719" s="9">
        <f ca="1">VLOOKUP(C719,サイズ別係数!A$2:B$9,2,FALSE)</f>
        <v>30</v>
      </c>
      <c r="Y719" s="97">
        <f ca="1">VLOOKUP($X719,サイズ別係数!$B:$E,2,FALSE)</f>
        <v>1.3</v>
      </c>
      <c r="Z719" s="97">
        <f ca="1">VLOOKUP($X719,サイズ別係数!$B:$E,3,FALSE)</f>
        <v>1.3</v>
      </c>
      <c r="AA719" s="97">
        <f ca="1">VLOOKUP($X719,サイズ別係数!$B:$E,4,FALSE)</f>
        <v>1.1000000000000001</v>
      </c>
      <c r="AB719" s="10">
        <v>0</v>
      </c>
      <c r="AC719" s="6" t="str">
        <f ca="1">VLOOKUP($AB719,OFFSET([3]enemy_skill_sets!$B$2,0,0,COUNTA([3]enemy_skill_sets!$A:$A),MATCH(AC$1,[3]enemy_skill_sets!$1:$1,0)-MATCH($AB$1,[3]enemy_skill_sets!$1:$1,0)+1),MATCH(AC$1,[3]enemy_skill_sets!$1:$1,0)-MATCH($AB$1,[3]enemy_skill_sets!$1:$1,0)+1,FALSE)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19" s="67">
        <v>1</v>
      </c>
      <c r="AE719" s="67">
        <v>1</v>
      </c>
      <c r="AF719" s="68">
        <v>0</v>
      </c>
      <c r="AG719" s="99">
        <f ca="1">ROUND(VLOOKUP(1,enemy_base_stats!$A:$F,2,FALSE) * Y719* J719*O719*E719*S719*AD719*[2]ステータス!$B$2,0)</f>
        <v>2994</v>
      </c>
      <c r="AH719" s="99">
        <f ca="1">ROUND(VLOOKUP(1,enemy_base_stats!$A:$F,3,FALSE) * Z719*K719*P719*F719*T719*AE719 * W719*[2]ステータス!$C$2,0)</f>
        <v>253</v>
      </c>
      <c r="AI719" s="99">
        <f ca="1">ROUND(VLOOKUP(1,enemy_base_stats!$A:$F,4,FALSE) * AA719*L719*Q719*G719*U719*AF719*[2]ステータス!$D$2,0)</f>
        <v>0</v>
      </c>
      <c r="AJ719" s="99">
        <f ca="1">ROUND(VLOOKUP(100,enemy_base_stats!$A:$F,2,FALSE) * Y719* J719*O719*E719*S719*AD719*[2]ステータス!$B$2,0)</f>
        <v>121552</v>
      </c>
      <c r="AK719" s="99">
        <f ca="1">ROUND(VLOOKUP(100,enemy_base_stats!$A:$F,3,FALSE)* Z719* K719*P719*F719*T719*AE719 * W719*[2]ステータス!$C$2,0)</f>
        <v>10291</v>
      </c>
      <c r="AL719" s="99">
        <f ca="1">ROUND(VLOOKUP(100,enemy_base_stats!$A:$F,4,FALSE)* AA719* L719*Q719*G719*U719*AF719*[2]ステータス!$D$2,0)</f>
        <v>0</v>
      </c>
      <c r="AM719" s="97">
        <f ca="1">VLOOKUP(M719,[2]character_tribe_i18n!$A:$I,9,FALSE)</f>
        <v>400</v>
      </c>
      <c r="AN719" s="97">
        <v>0</v>
      </c>
      <c r="AO719" s="98">
        <v>0</v>
      </c>
      <c r="AP719" s="58" t="s">
        <v>72</v>
      </c>
      <c r="AQ719" s="34">
        <f t="shared" ca="1" si="44"/>
        <v>718</v>
      </c>
    </row>
    <row r="720" spans="1:43" ht="21" customHeight="1" x14ac:dyDescent="0.15">
      <c r="A720" s="7">
        <f t="shared" ca="1" si="43"/>
        <v>719</v>
      </c>
      <c r="B720" s="6" t="str">
        <f ca="1">VLOOKUP(A720,[2]characters!$A:$C,3,FALSE)</f>
        <v>聡明な戦狂女 ヴァローナ</v>
      </c>
      <c r="C720" s="9">
        <f ca="1">VLOOKUP(A720,[2]characters!$A:$I,9,FALSE)</f>
        <v>5</v>
      </c>
      <c r="D720" s="9" t="str">
        <f ca="1">VLOOKUP(A720,[2]characters!$A:$H,8,FALSE)</f>
        <v>yellow</v>
      </c>
      <c r="E720" s="97">
        <f ca="1">VLOOKUP(D720,[2]属性!$A:$E,2,FALSE)</f>
        <v>0.98</v>
      </c>
      <c r="F720" s="97">
        <f ca="1">VLOOKUP(D720,[2]属性!$A:$E,3,FALSE)</f>
        <v>1.01</v>
      </c>
      <c r="G720" s="97">
        <f ca="1">VLOOKUP(D720,[2]属性!$A:$F,4,FALSE)</f>
        <v>1</v>
      </c>
      <c r="H720" s="9" t="str">
        <f ca="1">VLOOKUP(A720,[2]characters!$A:$K,11,FALSE)</f>
        <v>dr</v>
      </c>
      <c r="I720" s="6" t="str">
        <f ca="1">VLOOKUP(H720,[2]character_type_i18n!$A:$F,3,FALSE)</f>
        <v>デュラララ!!</v>
      </c>
      <c r="J720" s="97">
        <f ca="1">VLOOKUP(H720,[2]character_type_i18n!$A:$F,4,FALSE)</f>
        <v>1</v>
      </c>
      <c r="K720" s="97">
        <f ca="1">VLOOKUP(H720,[2]character_type_i18n!$A:$F,5,FALSE)</f>
        <v>1</v>
      </c>
      <c r="L720" s="97">
        <f ca="1">VLOOKUP(H720,[2]character_type_i18n!$A:$F,6,FALSE)</f>
        <v>1</v>
      </c>
      <c r="M720" s="9" t="str">
        <f ca="1">VLOOKUP(A720,[2]characters!$A:$M,13,FALSE)</f>
        <v>human</v>
      </c>
      <c r="N720" s="6" t="str">
        <f ca="1">VLOOKUP(M720,[2]character_tribe_i18n!$A:$F,3,FALSE)</f>
        <v>ヒューマン</v>
      </c>
      <c r="O720" s="97">
        <f ca="1">VLOOKUP(M720,[2]character_tribe_i18n!$A:$F,4,FALSE)</f>
        <v>0.94</v>
      </c>
      <c r="P720" s="97">
        <f ca="1">VLOOKUP(M720,[2]character_tribe_i18n!$A:$F,5,FALSE)</f>
        <v>0.99</v>
      </c>
      <c r="Q720" s="97">
        <f ca="1">VLOOKUP(M720,[2]character_tribe_i18n!$A:$F,6,FALSE)</f>
        <v>1</v>
      </c>
      <c r="R720" s="98" t="s">
        <v>98</v>
      </c>
      <c r="S720" s="97">
        <f>VLOOKUP($R720,ラベル別係数!$A$1:$E$7,3,FALSE)</f>
        <v>5</v>
      </c>
      <c r="T720" s="97">
        <f>VLOOKUP($R720,ラベル別係数!$A$1:$E$7,4,FALSE)</f>
        <v>1.3</v>
      </c>
      <c r="U720" s="97">
        <f>VLOOKUP($R720,ラベル別係数!$A$1:$E$7,5,FALSE)</f>
        <v>0.8</v>
      </c>
      <c r="V720" s="98">
        <v>3</v>
      </c>
      <c r="W720" s="99">
        <f>VLOOKUP(V720,ターン数別攻撃係数!$A$1:$B$1000,2,FALSE)</f>
        <v>1</v>
      </c>
      <c r="X720" s="9">
        <f ca="1">VLOOKUP(C720,サイズ別係数!A$2:B$9,2,FALSE)</f>
        <v>60</v>
      </c>
      <c r="Y720" s="97">
        <f ca="1">VLOOKUP($X720,サイズ別係数!$B:$E,2,FALSE)</f>
        <v>1.7</v>
      </c>
      <c r="Z720" s="97">
        <f ca="1">VLOOKUP($X720,サイズ別係数!$B:$E,3,FALSE)</f>
        <v>1.4</v>
      </c>
      <c r="AA720" s="97">
        <f ca="1">VLOOKUP($X720,サイズ別係数!$B:$E,4,FALSE)</f>
        <v>1</v>
      </c>
      <c r="AB720" s="10">
        <v>0</v>
      </c>
      <c r="AC720" s="6" t="str">
        <f ca="1">VLOOKUP($AB720,OFFSET([3]enemy_skill_sets!$B$2,0,0,COUNTA([3]enemy_skill_sets!$A:$A),MATCH(AC$1,[3]enemy_skill_sets!$1:$1,0)-MATCH($AB$1,[3]enemy_skill_sets!$1:$1,0)+1),MATCH(AC$1,[3]enemy_skill_sets!$1:$1,0)-MATCH($AB$1,[3]enemy_skill_sets!$1:$1,0)+1,FALSE)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0" s="67">
        <v>1</v>
      </c>
      <c r="AE720" s="67">
        <v>1</v>
      </c>
      <c r="AF720" s="68">
        <v>0</v>
      </c>
      <c r="AG720" s="99">
        <f ca="1">ROUND(VLOOKUP(1,enemy_base_stats!$A:$F,2,FALSE) * Y720* J720*O720*E720*S720*AD720*[2]ステータス!$B$2,0)</f>
        <v>3915</v>
      </c>
      <c r="AH720" s="99">
        <f ca="1">ROUND(VLOOKUP(1,enemy_base_stats!$A:$F,3,FALSE) * Z720*K720*P720*F720*T720*AE720 * W720*[2]ステータス!$C$2,0)</f>
        <v>273</v>
      </c>
      <c r="AI720" s="99">
        <f ca="1">ROUND(VLOOKUP(1,enemy_base_stats!$A:$F,4,FALSE) * AA720*L720*Q720*G720*U720*AF720*[2]ステータス!$D$2,0)</f>
        <v>0</v>
      </c>
      <c r="AJ720" s="99">
        <f ca="1">ROUND(VLOOKUP(100,enemy_base_stats!$A:$F,2,FALSE) * Y720* J720*O720*E720*S720*AD720*[2]ステータス!$B$2,0)</f>
        <v>158953</v>
      </c>
      <c r="AK720" s="99">
        <f ca="1">ROUND(VLOOKUP(100,enemy_base_stats!$A:$F,3,FALSE)* Z720* K720*P720*F720*T720*AE720 * W720*[2]ステータス!$C$2,0)</f>
        <v>11083</v>
      </c>
      <c r="AL720" s="99">
        <f ca="1">ROUND(VLOOKUP(100,enemy_base_stats!$A:$F,4,FALSE)* AA720* L720*Q720*G720*U720*AF720*[2]ステータス!$D$2,0)</f>
        <v>0</v>
      </c>
      <c r="AM720" s="97">
        <f ca="1">VLOOKUP(M720,[2]character_tribe_i18n!$A:$I,9,FALSE)</f>
        <v>400</v>
      </c>
      <c r="AN720" s="97">
        <v>0</v>
      </c>
      <c r="AO720" s="98">
        <v>0</v>
      </c>
      <c r="AP720" s="58" t="s">
        <v>72</v>
      </c>
      <c r="AQ720" s="34">
        <f t="shared" ca="1" si="44"/>
        <v>719</v>
      </c>
    </row>
    <row r="721" spans="1:43" ht="21" customHeight="1" x14ac:dyDescent="0.15">
      <c r="A721" s="7">
        <f t="shared" ca="1" si="43"/>
        <v>720</v>
      </c>
      <c r="B721" s="6" t="str">
        <f ca="1">VLOOKUP(A721,[2]characters!$A:$C,3,FALSE)</f>
        <v>直江兼続</v>
      </c>
      <c r="C721" s="9">
        <f ca="1">VLOOKUP(A721,[2]characters!$A:$I,9,FALSE)</f>
        <v>4</v>
      </c>
      <c r="D721" s="9" t="str">
        <f ca="1">VLOOKUP(A721,[2]characters!$A:$H,8,FALSE)</f>
        <v>green</v>
      </c>
      <c r="E721" s="97">
        <f ca="1">VLOOKUP(D721,[2]属性!$A:$E,2,FALSE)</f>
        <v>1.02</v>
      </c>
      <c r="F721" s="97">
        <f ca="1">VLOOKUP(D721,[2]属性!$A:$E,3,FALSE)</f>
        <v>0.98</v>
      </c>
      <c r="G721" s="97">
        <f ca="1">VLOOKUP(D721,[2]属性!$A:$F,4,FALSE)</f>
        <v>1</v>
      </c>
      <c r="H721" s="9" t="str">
        <f ca="1">VLOOKUP(A721,[2]characters!$A:$K,11,FALSE)</f>
        <v>hp</v>
      </c>
      <c r="I721" s="6" t="str">
        <f ca="1">VLOOKUP(H721,[2]character_type_i18n!$A:$F,3,FALSE)</f>
        <v>体力タイプ</v>
      </c>
      <c r="J721" s="97">
        <f ca="1">VLOOKUP(H721,[2]character_type_i18n!$A:$F,4,FALSE)</f>
        <v>1.45</v>
      </c>
      <c r="K721" s="97">
        <f ca="1">VLOOKUP(H721,[2]character_type_i18n!$A:$F,5,FALSE)</f>
        <v>0.85</v>
      </c>
      <c r="L721" s="97">
        <f ca="1">VLOOKUP(H721,[2]character_type_i18n!$A:$F,6,FALSE)</f>
        <v>1</v>
      </c>
      <c r="M721" s="9" t="str">
        <f ca="1">VLOOKUP(A721,[2]characters!$A:$M,13,FALSE)</f>
        <v>human</v>
      </c>
      <c r="N721" s="6" t="str">
        <f ca="1">VLOOKUP(M721,[2]character_tribe_i18n!$A:$F,3,FALSE)</f>
        <v>ヒューマン</v>
      </c>
      <c r="O721" s="97">
        <f ca="1">VLOOKUP(M721,[2]character_tribe_i18n!$A:$F,4,FALSE)</f>
        <v>0.94</v>
      </c>
      <c r="P721" s="97">
        <f ca="1">VLOOKUP(M721,[2]character_tribe_i18n!$A:$F,5,FALSE)</f>
        <v>0.99</v>
      </c>
      <c r="Q721" s="97">
        <f ca="1">VLOOKUP(M721,[2]character_tribe_i18n!$A:$F,6,FALSE)</f>
        <v>1</v>
      </c>
      <c r="R721" s="98" t="s">
        <v>98</v>
      </c>
      <c r="S721" s="97">
        <f>VLOOKUP($R721,ラベル別係数!$A$1:$E$7,3,FALSE)</f>
        <v>5</v>
      </c>
      <c r="T721" s="97">
        <f>VLOOKUP($R721,ラベル別係数!$A$1:$E$7,4,FALSE)</f>
        <v>1.3</v>
      </c>
      <c r="U721" s="97">
        <f>VLOOKUP($R721,ラベル別係数!$A$1:$E$7,5,FALSE)</f>
        <v>0.8</v>
      </c>
      <c r="V721" s="98">
        <v>3</v>
      </c>
      <c r="W721" s="99">
        <f>VLOOKUP(V721,ターン数別攻撃係数!$A$1:$B$1000,2,FALSE)</f>
        <v>1</v>
      </c>
      <c r="X721" s="9">
        <f ca="1">VLOOKUP(C721,サイズ別係数!A$2:B$9,2,FALSE)</f>
        <v>30</v>
      </c>
      <c r="Y721" s="97">
        <f ca="1">VLOOKUP($X721,サイズ別係数!$B:$E,2,FALSE)</f>
        <v>1.3</v>
      </c>
      <c r="Z721" s="97">
        <f ca="1">VLOOKUP($X721,サイズ別係数!$B:$E,3,FALSE)</f>
        <v>1.3</v>
      </c>
      <c r="AA721" s="97">
        <f ca="1">VLOOKUP($X721,サイズ別係数!$B:$E,4,FALSE)</f>
        <v>1.1000000000000001</v>
      </c>
      <c r="AB721" s="10">
        <v>0</v>
      </c>
      <c r="AC721" s="6" t="str">
        <f ca="1">VLOOKUP($AB721,OFFSET([3]enemy_skill_sets!$B$2,0,0,COUNTA([3]enemy_skill_sets!$A:$A),MATCH(AC$1,[3]enemy_skill_sets!$1:$1,0)-MATCH($AB$1,[3]enemy_skill_sets!$1:$1,0)+1),MATCH(AC$1,[3]enemy_skill_sets!$1:$1,0)-MATCH($AB$1,[3]enemy_skill_sets!$1:$1,0)+1,FALSE)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1" s="67">
        <v>1</v>
      </c>
      <c r="AE721" s="67">
        <v>1</v>
      </c>
      <c r="AF721" s="68">
        <v>0</v>
      </c>
      <c r="AG721" s="99">
        <f ca="1">ROUND(VLOOKUP(1,enemy_base_stats!$A:$F,2,FALSE) * Y721* J721*O721*E721*S721*AD721*[2]ステータス!$B$2,0)</f>
        <v>4518</v>
      </c>
      <c r="AH721" s="99">
        <f ca="1">ROUND(VLOOKUP(1,enemy_base_stats!$A:$F,3,FALSE) * Z721*K721*P721*F721*T721*AE721 * W721*[2]ステータス!$C$2,0)</f>
        <v>209</v>
      </c>
      <c r="AI721" s="99">
        <f ca="1">ROUND(VLOOKUP(1,enemy_base_stats!$A:$F,4,FALSE) * AA721*L721*Q721*G721*U721*AF721*[2]ステータス!$D$2,0)</f>
        <v>0</v>
      </c>
      <c r="AJ721" s="99">
        <f ca="1">ROUND(VLOOKUP(100,enemy_base_stats!$A:$F,2,FALSE) * Y721* J721*O721*E721*S721*AD721*[2]ステータス!$B$2,0)</f>
        <v>183445</v>
      </c>
      <c r="AK721" s="99">
        <f ca="1">ROUND(VLOOKUP(100,enemy_base_stats!$A:$F,3,FALSE)* Z721* K721*P721*F721*T721*AE721 * W721*[2]ステータス!$C$2,0)</f>
        <v>8488</v>
      </c>
      <c r="AL721" s="99">
        <f ca="1">ROUND(VLOOKUP(100,enemy_base_stats!$A:$F,4,FALSE)* AA721* L721*Q721*G721*U721*AF721*[2]ステータス!$D$2,0)</f>
        <v>0</v>
      </c>
      <c r="AM721" s="97">
        <f ca="1">VLOOKUP(M721,[2]character_tribe_i18n!$A:$I,9,FALSE)</f>
        <v>400</v>
      </c>
      <c r="AN721" s="97">
        <v>0</v>
      </c>
      <c r="AO721" s="98">
        <v>0</v>
      </c>
      <c r="AP721" s="58" t="s">
        <v>72</v>
      </c>
      <c r="AQ721" s="34">
        <f t="shared" ca="1" si="44"/>
        <v>720</v>
      </c>
    </row>
    <row r="722" spans="1:43" ht="21" customHeight="1" x14ac:dyDescent="0.15">
      <c r="A722" s="7">
        <f t="shared" ca="1" si="43"/>
        <v>721</v>
      </c>
      <c r="B722" s="6" t="str">
        <f ca="1">VLOOKUP(A722,[2]characters!$A:$C,3,FALSE)</f>
        <v>迎激の愛銃 直江兼続</v>
      </c>
      <c r="C722" s="9">
        <f ca="1">VLOOKUP(A722,[2]characters!$A:$I,9,FALSE)</f>
        <v>5</v>
      </c>
      <c r="D722" s="9" t="str">
        <f ca="1">VLOOKUP(A722,[2]characters!$A:$H,8,FALSE)</f>
        <v>green</v>
      </c>
      <c r="E722" s="97">
        <f ca="1">VLOOKUP(D722,[2]属性!$A:$E,2,FALSE)</f>
        <v>1.02</v>
      </c>
      <c r="F722" s="97">
        <f ca="1">VLOOKUP(D722,[2]属性!$A:$E,3,FALSE)</f>
        <v>0.98</v>
      </c>
      <c r="G722" s="97">
        <f ca="1">VLOOKUP(D722,[2]属性!$A:$F,4,FALSE)</f>
        <v>1</v>
      </c>
      <c r="H722" s="9" t="str">
        <f ca="1">VLOOKUP(A722,[2]characters!$A:$K,11,FALSE)</f>
        <v>hp</v>
      </c>
      <c r="I722" s="6" t="str">
        <f ca="1">VLOOKUP(H722,[2]character_type_i18n!$A:$F,3,FALSE)</f>
        <v>体力タイプ</v>
      </c>
      <c r="J722" s="97">
        <f ca="1">VLOOKUP(H722,[2]character_type_i18n!$A:$F,4,FALSE)</f>
        <v>1.45</v>
      </c>
      <c r="K722" s="97">
        <f ca="1">VLOOKUP(H722,[2]character_type_i18n!$A:$F,5,FALSE)</f>
        <v>0.85</v>
      </c>
      <c r="L722" s="97">
        <f ca="1">VLOOKUP(H722,[2]character_type_i18n!$A:$F,6,FALSE)</f>
        <v>1</v>
      </c>
      <c r="M722" s="9" t="str">
        <f ca="1">VLOOKUP(A722,[2]characters!$A:$M,13,FALSE)</f>
        <v>human</v>
      </c>
      <c r="N722" s="6" t="str">
        <f ca="1">VLOOKUP(M722,[2]character_tribe_i18n!$A:$F,3,FALSE)</f>
        <v>ヒューマン</v>
      </c>
      <c r="O722" s="97">
        <f ca="1">VLOOKUP(M722,[2]character_tribe_i18n!$A:$F,4,FALSE)</f>
        <v>0.94</v>
      </c>
      <c r="P722" s="97">
        <f ca="1">VLOOKUP(M722,[2]character_tribe_i18n!$A:$F,5,FALSE)</f>
        <v>0.99</v>
      </c>
      <c r="Q722" s="97">
        <f ca="1">VLOOKUP(M722,[2]character_tribe_i18n!$A:$F,6,FALSE)</f>
        <v>1</v>
      </c>
      <c r="R722" s="98" t="s">
        <v>98</v>
      </c>
      <c r="S722" s="97">
        <f>VLOOKUP($R722,ラベル別係数!$A$1:$E$7,3,FALSE)</f>
        <v>5</v>
      </c>
      <c r="T722" s="97">
        <f>VLOOKUP($R722,ラベル別係数!$A$1:$E$7,4,FALSE)</f>
        <v>1.3</v>
      </c>
      <c r="U722" s="97">
        <f>VLOOKUP($R722,ラベル別係数!$A$1:$E$7,5,FALSE)</f>
        <v>0.8</v>
      </c>
      <c r="V722" s="98">
        <v>3</v>
      </c>
      <c r="W722" s="99">
        <f>VLOOKUP(V722,ターン数別攻撃係数!$A$1:$B$1000,2,FALSE)</f>
        <v>1</v>
      </c>
      <c r="X722" s="9">
        <f ca="1">VLOOKUP(C722,サイズ別係数!A$2:B$9,2,FALSE)</f>
        <v>60</v>
      </c>
      <c r="Y722" s="97">
        <f ca="1">VLOOKUP($X722,サイズ別係数!$B:$E,2,FALSE)</f>
        <v>1.7</v>
      </c>
      <c r="Z722" s="97">
        <f ca="1">VLOOKUP($X722,サイズ別係数!$B:$E,3,FALSE)</f>
        <v>1.4</v>
      </c>
      <c r="AA722" s="97">
        <f ca="1">VLOOKUP($X722,サイズ別係数!$B:$E,4,FALSE)</f>
        <v>1</v>
      </c>
      <c r="AB722" s="10">
        <v>0</v>
      </c>
      <c r="AC722" s="6" t="str">
        <f ca="1">VLOOKUP($AB722,OFFSET([3]enemy_skill_sets!$B$2,0,0,COUNTA([3]enemy_skill_sets!$A:$A),MATCH(AC$1,[3]enemy_skill_sets!$1:$1,0)-MATCH($AB$1,[3]enemy_skill_sets!$1:$1,0)+1),MATCH(AC$1,[3]enemy_skill_sets!$1:$1,0)-MATCH($AB$1,[3]enemy_skill_sets!$1:$1,0)+1,FALSE)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2" s="67">
        <v>1</v>
      </c>
      <c r="AE722" s="67">
        <v>1</v>
      </c>
      <c r="AF722" s="68">
        <v>0</v>
      </c>
      <c r="AG722" s="99">
        <f ca="1">ROUND(VLOOKUP(1,enemy_base_stats!$A:$F,2,FALSE) * Y722* J722*O722*E722*S722*AD722*[2]ステータス!$B$2,0)</f>
        <v>5909</v>
      </c>
      <c r="AH722" s="99">
        <f ca="1">ROUND(VLOOKUP(1,enemy_base_stats!$A:$F,3,FALSE) * Z722*K722*P722*F722*T722*AE722 * W722*[2]ステータス!$C$2,0)</f>
        <v>225</v>
      </c>
      <c r="AI722" s="99">
        <f ca="1">ROUND(VLOOKUP(1,enemy_base_stats!$A:$F,4,FALSE) * AA722*L722*Q722*G722*U722*AF722*[2]ステータス!$D$2,0)</f>
        <v>0</v>
      </c>
      <c r="AJ722" s="99">
        <f ca="1">ROUND(VLOOKUP(100,enemy_base_stats!$A:$F,2,FALSE) * Y722* J722*O722*E722*S722*AD722*[2]ステータス!$B$2,0)</f>
        <v>239889</v>
      </c>
      <c r="AK722" s="99">
        <f ca="1">ROUND(VLOOKUP(100,enemy_base_stats!$A:$F,3,FALSE)* Z722* K722*P722*F722*T722*AE722 * W722*[2]ステータス!$C$2,0)</f>
        <v>9140</v>
      </c>
      <c r="AL722" s="99">
        <f ca="1">ROUND(VLOOKUP(100,enemy_base_stats!$A:$F,4,FALSE)* AA722* L722*Q722*G722*U722*AF722*[2]ステータス!$D$2,0)</f>
        <v>0</v>
      </c>
      <c r="AM722" s="97">
        <f ca="1">VLOOKUP(M722,[2]character_tribe_i18n!$A:$I,9,FALSE)</f>
        <v>400</v>
      </c>
      <c r="AN722" s="97">
        <v>0</v>
      </c>
      <c r="AO722" s="98">
        <v>0</v>
      </c>
      <c r="AP722" s="58" t="s">
        <v>72</v>
      </c>
      <c r="AQ722" s="34">
        <f t="shared" ca="1" si="44"/>
        <v>721</v>
      </c>
    </row>
    <row r="723" spans="1:43" ht="21" customHeight="1" x14ac:dyDescent="0.15">
      <c r="A723" s="7">
        <f t="shared" ca="1" si="43"/>
        <v>722</v>
      </c>
      <c r="B723" s="6" t="str">
        <f ca="1">VLOOKUP(A723,[2]characters!$A:$C,3,FALSE)</f>
        <v>森蘭丸</v>
      </c>
      <c r="C723" s="9">
        <f ca="1">VLOOKUP(A723,[2]characters!$A:$I,9,FALSE)</f>
        <v>4</v>
      </c>
      <c r="D723" s="9" t="str">
        <f ca="1">VLOOKUP(A723,[2]characters!$A:$H,8,FALSE)</f>
        <v>yellow</v>
      </c>
      <c r="E723" s="97">
        <f ca="1">VLOOKUP(D723,[2]属性!$A:$E,2,FALSE)</f>
        <v>0.98</v>
      </c>
      <c r="F723" s="97">
        <f ca="1">VLOOKUP(D723,[2]属性!$A:$E,3,FALSE)</f>
        <v>1.01</v>
      </c>
      <c r="G723" s="97">
        <f ca="1">VLOOKUP(D723,[2]属性!$A:$F,4,FALSE)</f>
        <v>1</v>
      </c>
      <c r="H723" s="9" t="str">
        <f ca="1">VLOOKUP(A723,[2]characters!$A:$K,11,FALSE)</f>
        <v>balance</v>
      </c>
      <c r="I723" s="6" t="str">
        <f ca="1">VLOOKUP(H723,[2]character_type_i18n!$A:$F,3,FALSE)</f>
        <v>バランスタイプ</v>
      </c>
      <c r="J723" s="97">
        <f ca="1">VLOOKUP(H723,[2]character_type_i18n!$A:$F,4,FALSE)</f>
        <v>1</v>
      </c>
      <c r="K723" s="97">
        <f ca="1">VLOOKUP(H723,[2]character_type_i18n!$A:$F,5,FALSE)</f>
        <v>1</v>
      </c>
      <c r="L723" s="97">
        <f ca="1">VLOOKUP(H723,[2]character_type_i18n!$A:$F,6,FALSE)</f>
        <v>1</v>
      </c>
      <c r="M723" s="9" t="str">
        <f ca="1">VLOOKUP(A723,[2]characters!$A:$M,13,FALSE)</f>
        <v>human</v>
      </c>
      <c r="N723" s="6" t="str">
        <f ca="1">VLOOKUP(M723,[2]character_tribe_i18n!$A:$F,3,FALSE)</f>
        <v>ヒューマン</v>
      </c>
      <c r="O723" s="97">
        <f ca="1">VLOOKUP(M723,[2]character_tribe_i18n!$A:$F,4,FALSE)</f>
        <v>0.94</v>
      </c>
      <c r="P723" s="97">
        <f ca="1">VLOOKUP(M723,[2]character_tribe_i18n!$A:$F,5,FALSE)</f>
        <v>0.99</v>
      </c>
      <c r="Q723" s="97">
        <f ca="1">VLOOKUP(M723,[2]character_tribe_i18n!$A:$F,6,FALSE)</f>
        <v>1</v>
      </c>
      <c r="R723" s="98" t="s">
        <v>98</v>
      </c>
      <c r="S723" s="97">
        <f>VLOOKUP($R723,ラベル別係数!$A$1:$E$7,3,FALSE)</f>
        <v>5</v>
      </c>
      <c r="T723" s="97">
        <f>VLOOKUP($R723,ラベル別係数!$A$1:$E$7,4,FALSE)</f>
        <v>1.3</v>
      </c>
      <c r="U723" s="97">
        <f>VLOOKUP($R723,ラベル別係数!$A$1:$E$7,5,FALSE)</f>
        <v>0.8</v>
      </c>
      <c r="V723" s="98">
        <v>3</v>
      </c>
      <c r="W723" s="99">
        <f>VLOOKUP(V723,ターン数別攻撃係数!$A$1:$B$1000,2,FALSE)</f>
        <v>1</v>
      </c>
      <c r="X723" s="9">
        <f ca="1">VLOOKUP(C723,サイズ別係数!A$2:B$9,2,FALSE)</f>
        <v>30</v>
      </c>
      <c r="Y723" s="97">
        <f ca="1">VLOOKUP($X723,サイズ別係数!$B:$E,2,FALSE)</f>
        <v>1.3</v>
      </c>
      <c r="Z723" s="97">
        <f ca="1">VLOOKUP($X723,サイズ別係数!$B:$E,3,FALSE)</f>
        <v>1.3</v>
      </c>
      <c r="AA723" s="97">
        <f ca="1">VLOOKUP($X723,サイズ別係数!$B:$E,4,FALSE)</f>
        <v>1.1000000000000001</v>
      </c>
      <c r="AB723" s="10">
        <v>0</v>
      </c>
      <c r="AC723" s="6" t="str">
        <f ca="1">VLOOKUP($AB723,OFFSET([3]enemy_skill_sets!$B$2,0,0,COUNTA([3]enemy_skill_sets!$A:$A),MATCH(AC$1,[3]enemy_skill_sets!$1:$1,0)-MATCH($AB$1,[3]enemy_skill_sets!$1:$1,0)+1),MATCH(AC$1,[3]enemy_skill_sets!$1:$1,0)-MATCH($AB$1,[3]enemy_skill_sets!$1:$1,0)+1,FALSE)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3" s="67">
        <v>1</v>
      </c>
      <c r="AE723" s="67">
        <v>1</v>
      </c>
      <c r="AF723" s="68">
        <v>0</v>
      </c>
      <c r="AG723" s="99">
        <f ca="1">ROUND(VLOOKUP(1,enemy_base_stats!$A:$F,2,FALSE) * Y723* J723*O723*E723*S723*AD723*[2]ステータス!$B$2,0)</f>
        <v>2994</v>
      </c>
      <c r="AH723" s="99">
        <f ca="1">ROUND(VLOOKUP(1,enemy_base_stats!$A:$F,3,FALSE) * Z723*K723*P723*F723*T723*AE723 * W723*[2]ステータス!$C$2,0)</f>
        <v>253</v>
      </c>
      <c r="AI723" s="99">
        <f ca="1">ROUND(VLOOKUP(1,enemy_base_stats!$A:$F,4,FALSE) * AA723*L723*Q723*G723*U723*AF723*[2]ステータス!$D$2,0)</f>
        <v>0</v>
      </c>
      <c r="AJ723" s="99">
        <f ca="1">ROUND(VLOOKUP(100,enemy_base_stats!$A:$F,2,FALSE) * Y723* J723*O723*E723*S723*AD723*[2]ステータス!$B$2,0)</f>
        <v>121552</v>
      </c>
      <c r="AK723" s="99">
        <f ca="1">ROUND(VLOOKUP(100,enemy_base_stats!$A:$F,3,FALSE)* Z723* K723*P723*F723*T723*AE723 * W723*[2]ステータス!$C$2,0)</f>
        <v>10291</v>
      </c>
      <c r="AL723" s="99">
        <f ca="1">ROUND(VLOOKUP(100,enemy_base_stats!$A:$F,4,FALSE)* AA723* L723*Q723*G723*U723*AF723*[2]ステータス!$D$2,0)</f>
        <v>0</v>
      </c>
      <c r="AM723" s="97">
        <f ca="1">VLOOKUP(M723,[2]character_tribe_i18n!$A:$I,9,FALSE)</f>
        <v>400</v>
      </c>
      <c r="AN723" s="97">
        <v>0</v>
      </c>
      <c r="AO723" s="98">
        <v>0</v>
      </c>
      <c r="AP723" s="58" t="s">
        <v>72</v>
      </c>
      <c r="AQ723" s="34">
        <f t="shared" ca="1" si="44"/>
        <v>722</v>
      </c>
    </row>
    <row r="724" spans="1:43" ht="21" customHeight="1" x14ac:dyDescent="0.15">
      <c r="A724" s="7">
        <f t="shared" ca="1" si="43"/>
        <v>723</v>
      </c>
      <c r="B724" s="6" t="str">
        <f ca="1">VLOOKUP(A724,[2]characters!$A:$C,3,FALSE)</f>
        <v>萌芽の密心  森蘭丸</v>
      </c>
      <c r="C724" s="9">
        <f ca="1">VLOOKUP(A724,[2]characters!$A:$I,9,FALSE)</f>
        <v>5</v>
      </c>
      <c r="D724" s="9" t="str">
        <f ca="1">VLOOKUP(A724,[2]characters!$A:$H,8,FALSE)</f>
        <v>yellow</v>
      </c>
      <c r="E724" s="97">
        <f ca="1">VLOOKUP(D724,[2]属性!$A:$E,2,FALSE)</f>
        <v>0.98</v>
      </c>
      <c r="F724" s="97">
        <f ca="1">VLOOKUP(D724,[2]属性!$A:$E,3,FALSE)</f>
        <v>1.01</v>
      </c>
      <c r="G724" s="97">
        <f ca="1">VLOOKUP(D724,[2]属性!$A:$F,4,FALSE)</f>
        <v>1</v>
      </c>
      <c r="H724" s="9" t="str">
        <f ca="1">VLOOKUP(A724,[2]characters!$A:$K,11,FALSE)</f>
        <v>balance</v>
      </c>
      <c r="I724" s="6" t="str">
        <f ca="1">VLOOKUP(H724,[2]character_type_i18n!$A:$F,3,FALSE)</f>
        <v>バランスタイプ</v>
      </c>
      <c r="J724" s="97">
        <f ca="1">VLOOKUP(H724,[2]character_type_i18n!$A:$F,4,FALSE)</f>
        <v>1</v>
      </c>
      <c r="K724" s="97">
        <f ca="1">VLOOKUP(H724,[2]character_type_i18n!$A:$F,5,FALSE)</f>
        <v>1</v>
      </c>
      <c r="L724" s="97">
        <f ca="1">VLOOKUP(H724,[2]character_type_i18n!$A:$F,6,FALSE)</f>
        <v>1</v>
      </c>
      <c r="M724" s="9" t="str">
        <f ca="1">VLOOKUP(A724,[2]characters!$A:$M,13,FALSE)</f>
        <v>human</v>
      </c>
      <c r="N724" s="6" t="str">
        <f ca="1">VLOOKUP(M724,[2]character_tribe_i18n!$A:$F,3,FALSE)</f>
        <v>ヒューマン</v>
      </c>
      <c r="O724" s="97">
        <f ca="1">VLOOKUP(M724,[2]character_tribe_i18n!$A:$F,4,FALSE)</f>
        <v>0.94</v>
      </c>
      <c r="P724" s="97">
        <f ca="1">VLOOKUP(M724,[2]character_tribe_i18n!$A:$F,5,FALSE)</f>
        <v>0.99</v>
      </c>
      <c r="Q724" s="97">
        <f ca="1">VLOOKUP(M724,[2]character_tribe_i18n!$A:$F,6,FALSE)</f>
        <v>1</v>
      </c>
      <c r="R724" s="98" t="s">
        <v>98</v>
      </c>
      <c r="S724" s="97">
        <f>VLOOKUP($R724,ラベル別係数!$A$1:$E$7,3,FALSE)</f>
        <v>5</v>
      </c>
      <c r="T724" s="97">
        <f>VLOOKUP($R724,ラベル別係数!$A$1:$E$7,4,FALSE)</f>
        <v>1.3</v>
      </c>
      <c r="U724" s="97">
        <f>VLOOKUP($R724,ラベル別係数!$A$1:$E$7,5,FALSE)</f>
        <v>0.8</v>
      </c>
      <c r="V724" s="98">
        <v>3</v>
      </c>
      <c r="W724" s="99">
        <f>VLOOKUP(V724,ターン数別攻撃係数!$A$1:$B$1000,2,FALSE)</f>
        <v>1</v>
      </c>
      <c r="X724" s="9">
        <f ca="1">VLOOKUP(C724,サイズ別係数!A$2:B$9,2,FALSE)</f>
        <v>60</v>
      </c>
      <c r="Y724" s="97">
        <f ca="1">VLOOKUP($X724,サイズ別係数!$B:$E,2,FALSE)</f>
        <v>1.7</v>
      </c>
      <c r="Z724" s="97">
        <f ca="1">VLOOKUP($X724,サイズ別係数!$B:$E,3,FALSE)</f>
        <v>1.4</v>
      </c>
      <c r="AA724" s="97">
        <f ca="1">VLOOKUP($X724,サイズ別係数!$B:$E,4,FALSE)</f>
        <v>1</v>
      </c>
      <c r="AB724" s="10">
        <v>0</v>
      </c>
      <c r="AC724" s="6" t="str">
        <f ca="1">VLOOKUP($AB724,OFFSET([3]enemy_skill_sets!$B$2,0,0,COUNTA([3]enemy_skill_sets!$A:$A),MATCH(AC$1,[3]enemy_skill_sets!$1:$1,0)-MATCH($AB$1,[3]enemy_skill_sets!$1:$1,0)+1),MATCH(AC$1,[3]enemy_skill_sets!$1:$1,0)-MATCH($AB$1,[3]enemy_skill_sets!$1:$1,0)+1,FALSE)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4" s="67">
        <v>1</v>
      </c>
      <c r="AE724" s="67">
        <v>1</v>
      </c>
      <c r="AF724" s="68">
        <v>0</v>
      </c>
      <c r="AG724" s="99">
        <f ca="1">ROUND(VLOOKUP(1,enemy_base_stats!$A:$F,2,FALSE) * Y724* J724*O724*E724*S724*AD724*[2]ステータス!$B$2,0)</f>
        <v>3915</v>
      </c>
      <c r="AH724" s="99">
        <f ca="1">ROUND(VLOOKUP(1,enemy_base_stats!$A:$F,3,FALSE) * Z724*K724*P724*F724*T724*AE724 * W724*[2]ステータス!$C$2,0)</f>
        <v>273</v>
      </c>
      <c r="AI724" s="99">
        <f ca="1">ROUND(VLOOKUP(1,enemy_base_stats!$A:$F,4,FALSE) * AA724*L724*Q724*G724*U724*AF724*[2]ステータス!$D$2,0)</f>
        <v>0</v>
      </c>
      <c r="AJ724" s="99">
        <f ca="1">ROUND(VLOOKUP(100,enemy_base_stats!$A:$F,2,FALSE) * Y724* J724*O724*E724*S724*AD724*[2]ステータス!$B$2,0)</f>
        <v>158953</v>
      </c>
      <c r="AK724" s="99">
        <f ca="1">ROUND(VLOOKUP(100,enemy_base_stats!$A:$F,3,FALSE)* Z724* K724*P724*F724*T724*AE724 * W724*[2]ステータス!$C$2,0)</f>
        <v>11083</v>
      </c>
      <c r="AL724" s="99">
        <f ca="1">ROUND(VLOOKUP(100,enemy_base_stats!$A:$F,4,FALSE)* AA724* L724*Q724*G724*U724*AF724*[2]ステータス!$D$2,0)</f>
        <v>0</v>
      </c>
      <c r="AM724" s="97">
        <f ca="1">VLOOKUP(M724,[2]character_tribe_i18n!$A:$I,9,FALSE)</f>
        <v>400</v>
      </c>
      <c r="AN724" s="97">
        <v>0</v>
      </c>
      <c r="AO724" s="98">
        <v>0</v>
      </c>
      <c r="AP724" s="58" t="s">
        <v>72</v>
      </c>
      <c r="AQ724" s="34">
        <f t="shared" ca="1" si="44"/>
        <v>723</v>
      </c>
    </row>
    <row r="725" spans="1:43" ht="21" customHeight="1" x14ac:dyDescent="0.15">
      <c r="A725" s="7">
        <f t="shared" ca="1" si="43"/>
        <v>724</v>
      </c>
      <c r="B725" s="6" t="str">
        <f ca="1">VLOOKUP(A725,[2]characters!$A:$C,3,FALSE)</f>
        <v>武田信玄</v>
      </c>
      <c r="C725" s="9">
        <f ca="1">VLOOKUP(A725,[2]characters!$A:$I,9,FALSE)</f>
        <v>5</v>
      </c>
      <c r="D725" s="9" t="str">
        <f ca="1">VLOOKUP(A725,[2]characters!$A:$H,8,FALSE)</f>
        <v>red</v>
      </c>
      <c r="E725" s="97">
        <f ca="1">VLOOKUP(D725,[2]属性!$A:$E,2,FALSE)</f>
        <v>1</v>
      </c>
      <c r="F725" s="97">
        <f ca="1">VLOOKUP(D725,[2]属性!$A:$E,3,FALSE)</f>
        <v>1.02</v>
      </c>
      <c r="G725" s="97">
        <f ca="1">VLOOKUP(D725,[2]属性!$A:$F,4,FALSE)</f>
        <v>1</v>
      </c>
      <c r="H725" s="9" t="str">
        <f ca="1">VLOOKUP(A725,[2]characters!$A:$K,11,FALSE)</f>
        <v>attack</v>
      </c>
      <c r="I725" s="6" t="str">
        <f ca="1">VLOOKUP(H725,[2]character_type_i18n!$A:$F,3,FALSE)</f>
        <v>攻撃タイプ</v>
      </c>
      <c r="J725" s="97">
        <f ca="1">VLOOKUP(H725,[2]character_type_i18n!$A:$F,4,FALSE)</f>
        <v>1</v>
      </c>
      <c r="K725" s="97">
        <f ca="1">VLOOKUP(H725,[2]character_type_i18n!$A:$F,5,FALSE)</f>
        <v>1.33</v>
      </c>
      <c r="L725" s="97">
        <f ca="1">VLOOKUP(H725,[2]character_type_i18n!$A:$F,6,FALSE)</f>
        <v>1</v>
      </c>
      <c r="M725" s="9" t="str">
        <f ca="1">VLOOKUP(A725,[2]characters!$A:$M,13,FALSE)</f>
        <v>human</v>
      </c>
      <c r="N725" s="6" t="str">
        <f ca="1">VLOOKUP(M725,[2]character_tribe_i18n!$A:$F,3,FALSE)</f>
        <v>ヒューマン</v>
      </c>
      <c r="O725" s="97">
        <f ca="1">VLOOKUP(M725,[2]character_tribe_i18n!$A:$F,4,FALSE)</f>
        <v>0.94</v>
      </c>
      <c r="P725" s="97">
        <f ca="1">VLOOKUP(M725,[2]character_tribe_i18n!$A:$F,5,FALSE)</f>
        <v>0.99</v>
      </c>
      <c r="Q725" s="97">
        <f ca="1">VLOOKUP(M725,[2]character_tribe_i18n!$A:$F,6,FALSE)</f>
        <v>1</v>
      </c>
      <c r="R725" s="98" t="s">
        <v>98</v>
      </c>
      <c r="S725" s="97">
        <f>VLOOKUP($R725,ラベル別係数!$A$1:$E$7,3,FALSE)</f>
        <v>5</v>
      </c>
      <c r="T725" s="97">
        <f>VLOOKUP($R725,ラベル別係数!$A$1:$E$7,4,FALSE)</f>
        <v>1.3</v>
      </c>
      <c r="U725" s="97">
        <f>VLOOKUP($R725,ラベル別係数!$A$1:$E$7,5,FALSE)</f>
        <v>0.8</v>
      </c>
      <c r="V725" s="98">
        <v>3</v>
      </c>
      <c r="W725" s="99">
        <f>VLOOKUP(V725,ターン数別攻撃係数!$A$1:$B$1000,2,FALSE)</f>
        <v>1</v>
      </c>
      <c r="X725" s="9">
        <f ca="1">VLOOKUP(C725,サイズ別係数!A$2:B$9,2,FALSE)</f>
        <v>60</v>
      </c>
      <c r="Y725" s="97">
        <f ca="1">VLOOKUP($X725,サイズ別係数!$B:$E,2,FALSE)</f>
        <v>1.7</v>
      </c>
      <c r="Z725" s="97">
        <f ca="1">VLOOKUP($X725,サイズ別係数!$B:$E,3,FALSE)</f>
        <v>1.4</v>
      </c>
      <c r="AA725" s="97">
        <f ca="1">VLOOKUP($X725,サイズ別係数!$B:$E,4,FALSE)</f>
        <v>1</v>
      </c>
      <c r="AB725" s="10">
        <v>0</v>
      </c>
      <c r="AC725" s="6" t="str">
        <f ca="1">VLOOKUP($AB725,OFFSET([3]enemy_skill_sets!$B$2,0,0,COUNTA([3]enemy_skill_sets!$A:$A),MATCH(AC$1,[3]enemy_skill_sets!$1:$1,0)-MATCH($AB$1,[3]enemy_skill_sets!$1:$1,0)+1),MATCH(AC$1,[3]enemy_skill_sets!$1:$1,0)-MATCH($AB$1,[3]enemy_skill_sets!$1:$1,0)+1,FALSE)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5" s="67">
        <v>1</v>
      </c>
      <c r="AE725" s="67">
        <v>1</v>
      </c>
      <c r="AF725" s="68">
        <v>0</v>
      </c>
      <c r="AG725" s="99">
        <f ca="1">ROUND(VLOOKUP(1,enemy_base_stats!$A:$F,2,FALSE) * Y725* J725*O725*E725*S725*AD725*[2]ステータス!$B$2,0)</f>
        <v>3995</v>
      </c>
      <c r="AH725" s="99">
        <f ca="1">ROUND(VLOOKUP(1,enemy_base_stats!$A:$F,3,FALSE) * Z725*K725*P725*F725*T725*AE725 * W725*[2]ステータス!$C$2,0)</f>
        <v>367</v>
      </c>
      <c r="AI725" s="99">
        <f ca="1">ROUND(VLOOKUP(1,enemy_base_stats!$A:$F,4,FALSE) * AA725*L725*Q725*G725*U725*AF725*[2]ステータス!$D$2,0)</f>
        <v>0</v>
      </c>
      <c r="AJ725" s="99">
        <f ca="1">ROUND(VLOOKUP(100,enemy_base_stats!$A:$F,2,FALSE) * Y725* J725*O725*E725*S725*AD725*[2]ステータス!$B$2,0)</f>
        <v>162197</v>
      </c>
      <c r="AK725" s="99">
        <f ca="1">ROUND(VLOOKUP(100,enemy_base_stats!$A:$F,3,FALSE)* Z725* K725*P725*F725*T725*AE725 * W725*[2]ステータス!$C$2,0)</f>
        <v>14886</v>
      </c>
      <c r="AL725" s="99">
        <f ca="1">ROUND(VLOOKUP(100,enemy_base_stats!$A:$F,4,FALSE)* AA725* L725*Q725*G725*U725*AF725*[2]ステータス!$D$2,0)</f>
        <v>0</v>
      </c>
      <c r="AM725" s="97">
        <f ca="1">VLOOKUP(M725,[2]character_tribe_i18n!$A:$I,9,FALSE)</f>
        <v>400</v>
      </c>
      <c r="AN725" s="97">
        <v>0</v>
      </c>
      <c r="AO725" s="98">
        <v>0</v>
      </c>
      <c r="AP725" s="58" t="s">
        <v>72</v>
      </c>
      <c r="AQ725" s="34">
        <f t="shared" ca="1" si="44"/>
        <v>724</v>
      </c>
    </row>
    <row r="726" spans="1:43" ht="21" customHeight="1" x14ac:dyDescent="0.15">
      <c r="A726" s="7">
        <f t="shared" ca="1" si="43"/>
        <v>725</v>
      </c>
      <c r="B726" s="6" t="str">
        <f ca="1">VLOOKUP(A726,[2]characters!$A:$C,3,FALSE)</f>
        <v>泰然の暴虎 武田信玄</v>
      </c>
      <c r="C726" s="9">
        <f ca="1">VLOOKUP(A726,[2]characters!$A:$I,9,FALSE)</f>
        <v>6</v>
      </c>
      <c r="D726" s="9" t="str">
        <f ca="1">VLOOKUP(A726,[2]characters!$A:$H,8,FALSE)</f>
        <v>red</v>
      </c>
      <c r="E726" s="97">
        <f ca="1">VLOOKUP(D726,[2]属性!$A:$E,2,FALSE)</f>
        <v>1</v>
      </c>
      <c r="F726" s="97">
        <f ca="1">VLOOKUP(D726,[2]属性!$A:$E,3,FALSE)</f>
        <v>1.02</v>
      </c>
      <c r="G726" s="97">
        <f ca="1">VLOOKUP(D726,[2]属性!$A:$F,4,FALSE)</f>
        <v>1</v>
      </c>
      <c r="H726" s="9" t="str">
        <f ca="1">VLOOKUP(A726,[2]characters!$A:$K,11,FALSE)</f>
        <v>attack</v>
      </c>
      <c r="I726" s="6" t="str">
        <f ca="1">VLOOKUP(H726,[2]character_type_i18n!$A:$F,3,FALSE)</f>
        <v>攻撃タイプ</v>
      </c>
      <c r="J726" s="97">
        <f ca="1">VLOOKUP(H726,[2]character_type_i18n!$A:$F,4,FALSE)</f>
        <v>1</v>
      </c>
      <c r="K726" s="97">
        <f ca="1">VLOOKUP(H726,[2]character_type_i18n!$A:$F,5,FALSE)</f>
        <v>1.33</v>
      </c>
      <c r="L726" s="97">
        <f ca="1">VLOOKUP(H726,[2]character_type_i18n!$A:$F,6,FALSE)</f>
        <v>1</v>
      </c>
      <c r="M726" s="9" t="str">
        <f ca="1">VLOOKUP(A726,[2]characters!$A:$M,13,FALSE)</f>
        <v>human</v>
      </c>
      <c r="N726" s="6" t="str">
        <f ca="1">VLOOKUP(M726,[2]character_tribe_i18n!$A:$F,3,FALSE)</f>
        <v>ヒューマン</v>
      </c>
      <c r="O726" s="97">
        <f ca="1">VLOOKUP(M726,[2]character_tribe_i18n!$A:$F,4,FALSE)</f>
        <v>0.94</v>
      </c>
      <c r="P726" s="97">
        <f ca="1">VLOOKUP(M726,[2]character_tribe_i18n!$A:$F,5,FALSE)</f>
        <v>0.99</v>
      </c>
      <c r="Q726" s="97">
        <f ca="1">VLOOKUP(M726,[2]character_tribe_i18n!$A:$F,6,FALSE)</f>
        <v>1</v>
      </c>
      <c r="R726" s="98" t="s">
        <v>98</v>
      </c>
      <c r="S726" s="97">
        <f>VLOOKUP($R726,ラベル別係数!$A$1:$E$7,3,FALSE)</f>
        <v>5</v>
      </c>
      <c r="T726" s="97">
        <f>VLOOKUP($R726,ラベル別係数!$A$1:$E$7,4,FALSE)</f>
        <v>1.3</v>
      </c>
      <c r="U726" s="97">
        <f>VLOOKUP($R726,ラベル別係数!$A$1:$E$7,5,FALSE)</f>
        <v>0.8</v>
      </c>
      <c r="V726" s="98">
        <v>3</v>
      </c>
      <c r="W726" s="99">
        <f>VLOOKUP(V726,ターン数別攻撃係数!$A$1:$B$1000,2,FALSE)</f>
        <v>1</v>
      </c>
      <c r="X726" s="9">
        <f ca="1">VLOOKUP(C726,サイズ別係数!A$2:B$9,2,FALSE)</f>
        <v>60</v>
      </c>
      <c r="Y726" s="97">
        <f ca="1">VLOOKUP($X726,サイズ別係数!$B:$E,2,FALSE)</f>
        <v>1.7</v>
      </c>
      <c r="Z726" s="97">
        <f ca="1">VLOOKUP($X726,サイズ別係数!$B:$E,3,FALSE)</f>
        <v>1.4</v>
      </c>
      <c r="AA726" s="97">
        <f ca="1">VLOOKUP($X726,サイズ別係数!$B:$E,4,FALSE)</f>
        <v>1</v>
      </c>
      <c r="AB726" s="10">
        <v>0</v>
      </c>
      <c r="AC726" s="6" t="str">
        <f ca="1">VLOOKUP($AB726,OFFSET([3]enemy_skill_sets!$B$2,0,0,COUNTA([3]enemy_skill_sets!$A:$A),MATCH(AC$1,[3]enemy_skill_sets!$1:$1,0)-MATCH($AB$1,[3]enemy_skill_sets!$1:$1,0)+1),MATCH(AC$1,[3]enemy_skill_sets!$1:$1,0)-MATCH($AB$1,[3]enemy_skill_sets!$1:$1,0)+1,FALSE)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6" s="67">
        <v>1</v>
      </c>
      <c r="AE726" s="67">
        <v>1</v>
      </c>
      <c r="AF726" s="68">
        <v>0</v>
      </c>
      <c r="AG726" s="99">
        <f ca="1">ROUND(VLOOKUP(1,enemy_base_stats!$A:$F,2,FALSE) * Y726* J726*O726*E726*S726*AD726*[2]ステータス!$B$2,0)</f>
        <v>3995</v>
      </c>
      <c r="AH726" s="99">
        <f ca="1">ROUND(VLOOKUP(1,enemy_base_stats!$A:$F,3,FALSE) * Z726*K726*P726*F726*T726*AE726 * W726*[2]ステータス!$C$2,0)</f>
        <v>367</v>
      </c>
      <c r="AI726" s="99">
        <f ca="1">ROUND(VLOOKUP(1,enemy_base_stats!$A:$F,4,FALSE) * AA726*L726*Q726*G726*U726*AF726*[2]ステータス!$D$2,0)</f>
        <v>0</v>
      </c>
      <c r="AJ726" s="99">
        <f ca="1">ROUND(VLOOKUP(100,enemy_base_stats!$A:$F,2,FALSE) * Y726* J726*O726*E726*S726*AD726*[2]ステータス!$B$2,0)</f>
        <v>162197</v>
      </c>
      <c r="AK726" s="99">
        <f ca="1">ROUND(VLOOKUP(100,enemy_base_stats!$A:$F,3,FALSE)* Z726* K726*P726*F726*T726*AE726 * W726*[2]ステータス!$C$2,0)</f>
        <v>14886</v>
      </c>
      <c r="AL726" s="99">
        <f ca="1">ROUND(VLOOKUP(100,enemy_base_stats!$A:$F,4,FALSE)* AA726* L726*Q726*G726*U726*AF726*[2]ステータス!$D$2,0)</f>
        <v>0</v>
      </c>
      <c r="AM726" s="97">
        <f ca="1">VLOOKUP(M726,[2]character_tribe_i18n!$A:$I,9,FALSE)</f>
        <v>400</v>
      </c>
      <c r="AN726" s="97">
        <v>0</v>
      </c>
      <c r="AO726" s="98">
        <v>0</v>
      </c>
      <c r="AP726" s="58" t="s">
        <v>72</v>
      </c>
      <c r="AQ726" s="34">
        <f t="shared" ca="1" si="44"/>
        <v>725</v>
      </c>
    </row>
    <row r="727" spans="1:43" ht="21" customHeight="1" x14ac:dyDescent="0.15">
      <c r="A727" s="7">
        <f t="shared" ca="1" si="43"/>
        <v>726</v>
      </c>
      <c r="B727" s="6" t="str">
        <f ca="1">VLOOKUP(A727,[2]characters!$A:$C,3,FALSE)</f>
        <v>織田信長</v>
      </c>
      <c r="C727" s="9">
        <f ca="1">VLOOKUP(A727,[2]characters!$A:$I,9,FALSE)</f>
        <v>5</v>
      </c>
      <c r="D727" s="9" t="str">
        <f ca="1">VLOOKUP(A727,[2]characters!$A:$H,8,FALSE)</f>
        <v>red</v>
      </c>
      <c r="E727" s="97">
        <f ca="1">VLOOKUP(D727,[2]属性!$A:$E,2,FALSE)</f>
        <v>1</v>
      </c>
      <c r="F727" s="97">
        <f ca="1">VLOOKUP(D727,[2]属性!$A:$E,3,FALSE)</f>
        <v>1.02</v>
      </c>
      <c r="G727" s="97">
        <f ca="1">VLOOKUP(D727,[2]属性!$A:$F,4,FALSE)</f>
        <v>1</v>
      </c>
      <c r="H727" s="9" t="s">
        <v>124</v>
      </c>
      <c r="I727" s="6" t="str">
        <f>VLOOKUP(H727,[2]character_type_i18n!$A:$F,3,FALSE)</f>
        <v>攻撃タイプ</v>
      </c>
      <c r="J727" s="97">
        <f>VLOOKUP(H727,[2]character_type_i18n!$A:$F,4,FALSE)</f>
        <v>1</v>
      </c>
      <c r="K727" s="97">
        <f>VLOOKUP(H727,[2]character_type_i18n!$A:$F,5,FALSE)</f>
        <v>1.33</v>
      </c>
      <c r="L727" s="97">
        <f>VLOOKUP(H727,[2]character_type_i18n!$A:$F,6,FALSE)</f>
        <v>1</v>
      </c>
      <c r="M727" s="9" t="str">
        <f ca="1">VLOOKUP(A727,[2]characters!$A:$M,13,FALSE)</f>
        <v>human</v>
      </c>
      <c r="N727" s="6" t="str">
        <f ca="1">VLOOKUP(M727,[2]character_tribe_i18n!$A:$F,3,FALSE)</f>
        <v>ヒューマン</v>
      </c>
      <c r="O727" s="97">
        <f ca="1">VLOOKUP(M727,[2]character_tribe_i18n!$A:$F,4,FALSE)</f>
        <v>0.94</v>
      </c>
      <c r="P727" s="97">
        <f ca="1">VLOOKUP(M727,[2]character_tribe_i18n!$A:$F,5,FALSE)</f>
        <v>0.99</v>
      </c>
      <c r="Q727" s="97">
        <f ca="1">VLOOKUP(M727,[2]character_tribe_i18n!$A:$F,6,FALSE)</f>
        <v>1</v>
      </c>
      <c r="R727" s="98" t="s">
        <v>98</v>
      </c>
      <c r="S727" s="97">
        <f>VLOOKUP($R727,ラベル別係数!$A$1:$E$7,3,FALSE)</f>
        <v>5</v>
      </c>
      <c r="T727" s="97">
        <f>VLOOKUP($R727,ラベル別係数!$A$1:$E$7,4,FALSE)</f>
        <v>1.3</v>
      </c>
      <c r="U727" s="97">
        <f>VLOOKUP($R727,ラベル別係数!$A$1:$E$7,5,FALSE)</f>
        <v>0.8</v>
      </c>
      <c r="V727" s="98">
        <v>3</v>
      </c>
      <c r="W727" s="99">
        <f>VLOOKUP(V727,ターン数別攻撃係数!$A$1:$B$1000,2,FALSE)</f>
        <v>1</v>
      </c>
      <c r="X727" s="9">
        <f ca="1">VLOOKUP(C727,サイズ別係数!A$2:B$9,2,FALSE)</f>
        <v>60</v>
      </c>
      <c r="Y727" s="97">
        <f ca="1">VLOOKUP($X727,サイズ別係数!$B:$E,2,FALSE)</f>
        <v>1.7</v>
      </c>
      <c r="Z727" s="97">
        <f ca="1">VLOOKUP($X727,サイズ別係数!$B:$E,3,FALSE)</f>
        <v>1.4</v>
      </c>
      <c r="AA727" s="97">
        <f ca="1">VLOOKUP($X727,サイズ別係数!$B:$E,4,FALSE)</f>
        <v>1</v>
      </c>
      <c r="AB727" s="10">
        <v>0</v>
      </c>
      <c r="AC727" s="6" t="str">
        <f ca="1">VLOOKUP($AB727,OFFSET([3]enemy_skill_sets!$B$2,0,0,COUNTA([3]enemy_skill_sets!$A:$A),MATCH(AC$1,[3]enemy_skill_sets!$1:$1,0)-MATCH($AB$1,[3]enemy_skill_sets!$1:$1,0)+1),MATCH(AC$1,[3]enemy_skill_sets!$1:$1,0)-MATCH($AB$1,[3]enemy_skill_sets!$1:$1,0)+1,FALSE)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7" s="67">
        <v>1</v>
      </c>
      <c r="AE727" s="67">
        <v>1</v>
      </c>
      <c r="AF727" s="68">
        <v>0</v>
      </c>
      <c r="AG727" s="99">
        <f ca="1">ROUND(VLOOKUP(1,enemy_base_stats!$A:$F,2,FALSE) * Y727* J727*O727*E727*S727*AD727*[2]ステータス!$B$2,0)</f>
        <v>3995</v>
      </c>
      <c r="AH727" s="99">
        <f ca="1">ROUND(VLOOKUP(1,enemy_base_stats!$A:$F,3,FALSE) * Z727*K727*P727*F727*T727*AE727 * W727*[2]ステータス!$C$2,0)</f>
        <v>367</v>
      </c>
      <c r="AI727" s="99">
        <f ca="1">ROUND(VLOOKUP(1,enemy_base_stats!$A:$F,4,FALSE) * AA727*L727*Q727*G727*U727*AF727*[2]ステータス!$D$2,0)</f>
        <v>0</v>
      </c>
      <c r="AJ727" s="99">
        <f ca="1">ROUND(VLOOKUP(100,enemy_base_stats!$A:$F,2,FALSE) * Y727* J727*O727*E727*S727*AD727*[2]ステータス!$B$2,0)</f>
        <v>162197</v>
      </c>
      <c r="AK727" s="99">
        <f ca="1">ROUND(VLOOKUP(100,enemy_base_stats!$A:$F,3,FALSE)* Z727* K727*P727*F727*T727*AE727 * W727*[2]ステータス!$C$2,0)</f>
        <v>14886</v>
      </c>
      <c r="AL727" s="99">
        <f ca="1">ROUND(VLOOKUP(100,enemy_base_stats!$A:$F,4,FALSE)* AA727* L727*Q727*G727*U727*AF727*[2]ステータス!$D$2,0)</f>
        <v>0</v>
      </c>
      <c r="AM727" s="97">
        <f ca="1">VLOOKUP(M727,[2]character_tribe_i18n!$A:$I,9,FALSE)</f>
        <v>400</v>
      </c>
      <c r="AN727" s="97">
        <v>0</v>
      </c>
      <c r="AO727" s="98">
        <v>0</v>
      </c>
      <c r="AP727" s="58" t="s">
        <v>72</v>
      </c>
      <c r="AQ727" s="34">
        <f t="shared" ca="1" si="44"/>
        <v>726</v>
      </c>
    </row>
    <row r="728" spans="1:43" ht="21" customHeight="1" x14ac:dyDescent="0.15">
      <c r="A728" s="7">
        <f t="shared" ca="1" si="43"/>
        <v>727</v>
      </c>
      <c r="B728" s="6" t="str">
        <f ca="1">VLOOKUP(A728,[2]characters!$A:$C,3,FALSE)</f>
        <v>真鋭の征服者 織田信長</v>
      </c>
      <c r="C728" s="9">
        <f ca="1">VLOOKUP(A728,[2]characters!$A:$I,9,FALSE)</f>
        <v>6</v>
      </c>
      <c r="D728" s="9" t="str">
        <f ca="1">VLOOKUP(A728,[2]characters!$A:$H,8,FALSE)</f>
        <v>red</v>
      </c>
      <c r="E728" s="97">
        <f ca="1">VLOOKUP(D728,[2]属性!$A:$E,2,FALSE)</f>
        <v>1</v>
      </c>
      <c r="F728" s="97">
        <f ca="1">VLOOKUP(D728,[2]属性!$A:$E,3,FALSE)</f>
        <v>1.02</v>
      </c>
      <c r="G728" s="97">
        <f ca="1">VLOOKUP(D728,[2]属性!$A:$F,4,FALSE)</f>
        <v>1</v>
      </c>
      <c r="H728" s="9" t="s">
        <v>139</v>
      </c>
      <c r="I728" s="6" t="str">
        <f>VLOOKUP(H728,[2]character_type_i18n!$A:$F,3,FALSE)</f>
        <v>攻撃タイプ</v>
      </c>
      <c r="J728" s="97">
        <f>VLOOKUP(H728,[2]character_type_i18n!$A:$F,4,FALSE)</f>
        <v>1</v>
      </c>
      <c r="K728" s="97">
        <f>VLOOKUP(H728,[2]character_type_i18n!$A:$F,5,FALSE)</f>
        <v>1.33</v>
      </c>
      <c r="L728" s="97">
        <f>VLOOKUP(H728,[2]character_type_i18n!$A:$F,6,FALSE)</f>
        <v>1</v>
      </c>
      <c r="M728" s="9" t="str">
        <f ca="1">VLOOKUP(A728,[2]characters!$A:$M,13,FALSE)</f>
        <v>human</v>
      </c>
      <c r="N728" s="6" t="str">
        <f ca="1">VLOOKUP(M728,[2]character_tribe_i18n!$A:$F,3,FALSE)</f>
        <v>ヒューマン</v>
      </c>
      <c r="O728" s="97">
        <f ca="1">VLOOKUP(M728,[2]character_tribe_i18n!$A:$F,4,FALSE)</f>
        <v>0.94</v>
      </c>
      <c r="P728" s="97">
        <f ca="1">VLOOKUP(M728,[2]character_tribe_i18n!$A:$F,5,FALSE)</f>
        <v>0.99</v>
      </c>
      <c r="Q728" s="97">
        <f ca="1">VLOOKUP(M728,[2]character_tribe_i18n!$A:$F,6,FALSE)</f>
        <v>1</v>
      </c>
      <c r="R728" s="98" t="s">
        <v>98</v>
      </c>
      <c r="S728" s="97">
        <f>VLOOKUP($R728,ラベル別係数!$A$1:$E$7,3,FALSE)</f>
        <v>5</v>
      </c>
      <c r="T728" s="97">
        <f>VLOOKUP($R728,ラベル別係数!$A$1:$E$7,4,FALSE)</f>
        <v>1.3</v>
      </c>
      <c r="U728" s="97">
        <f>VLOOKUP($R728,ラベル別係数!$A$1:$E$7,5,FALSE)</f>
        <v>0.8</v>
      </c>
      <c r="V728" s="98">
        <v>3</v>
      </c>
      <c r="W728" s="99">
        <f>VLOOKUP(V728,ターン数別攻撃係数!$A$1:$B$1000,2,FALSE)</f>
        <v>1</v>
      </c>
      <c r="X728" s="9">
        <f ca="1">VLOOKUP(C728,サイズ別係数!A$2:B$9,2,FALSE)</f>
        <v>60</v>
      </c>
      <c r="Y728" s="97">
        <f ca="1">VLOOKUP($X728,サイズ別係数!$B:$E,2,FALSE)</f>
        <v>1.7</v>
      </c>
      <c r="Z728" s="97">
        <f ca="1">VLOOKUP($X728,サイズ別係数!$B:$E,3,FALSE)</f>
        <v>1.4</v>
      </c>
      <c r="AA728" s="97">
        <f ca="1">VLOOKUP($X728,サイズ別係数!$B:$E,4,FALSE)</f>
        <v>1</v>
      </c>
      <c r="AB728" s="10">
        <v>0</v>
      </c>
      <c r="AC728" s="6" t="str">
        <f ca="1">VLOOKUP($AB728,OFFSET([3]enemy_skill_sets!$B$2,0,0,COUNTA([3]enemy_skill_sets!$A:$A),MATCH(AC$1,[3]enemy_skill_sets!$1:$1,0)-MATCH($AB$1,[3]enemy_skill_sets!$1:$1,0)+1),MATCH(AC$1,[3]enemy_skill_sets!$1:$1,0)-MATCH($AB$1,[3]enemy_skill_sets!$1:$1,0)+1,FALSE)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8" s="67">
        <v>1</v>
      </c>
      <c r="AE728" s="67">
        <v>1</v>
      </c>
      <c r="AF728" s="68">
        <v>0</v>
      </c>
      <c r="AG728" s="99">
        <f ca="1">ROUND(VLOOKUP(1,enemy_base_stats!$A:$F,2,FALSE) * Y728* J728*O728*E728*S728*AD728*[2]ステータス!$B$2,0)</f>
        <v>3995</v>
      </c>
      <c r="AH728" s="99">
        <f ca="1">ROUND(VLOOKUP(1,enemy_base_stats!$A:$F,3,FALSE) * Z728*K728*P728*F728*T728*AE728 * W728*[2]ステータス!$C$2,0)</f>
        <v>367</v>
      </c>
      <c r="AI728" s="99">
        <f ca="1">ROUND(VLOOKUP(1,enemy_base_stats!$A:$F,4,FALSE) * AA728*L728*Q728*G728*U728*AF728*[2]ステータス!$D$2,0)</f>
        <v>0</v>
      </c>
      <c r="AJ728" s="99">
        <f ca="1">ROUND(VLOOKUP(100,enemy_base_stats!$A:$F,2,FALSE) * Y728* J728*O728*E728*S728*AD728*[2]ステータス!$B$2,0)</f>
        <v>162197</v>
      </c>
      <c r="AK728" s="99">
        <f ca="1">ROUND(VLOOKUP(100,enemy_base_stats!$A:$F,3,FALSE)* Z728* K728*P728*F728*T728*AE728 * W728*[2]ステータス!$C$2,0)</f>
        <v>14886</v>
      </c>
      <c r="AL728" s="99">
        <f ca="1">ROUND(VLOOKUP(100,enemy_base_stats!$A:$F,4,FALSE)* AA728* L728*Q728*G728*U728*AF728*[2]ステータス!$D$2,0)</f>
        <v>0</v>
      </c>
      <c r="AM728" s="64">
        <v>50000</v>
      </c>
      <c r="AN728" s="97">
        <v>0</v>
      </c>
      <c r="AO728" s="98">
        <v>0</v>
      </c>
      <c r="AP728" s="58" t="s">
        <v>72</v>
      </c>
      <c r="AQ728" s="34">
        <f t="shared" ca="1" si="44"/>
        <v>727</v>
      </c>
    </row>
    <row r="729" spans="1:43" ht="21" customHeight="1" x14ac:dyDescent="0.15">
      <c r="A729" s="7">
        <f t="shared" ca="1" si="43"/>
        <v>728</v>
      </c>
      <c r="B729" s="6" t="str">
        <f ca="1">VLOOKUP(A729,[2]characters!$A:$C,3,FALSE)</f>
        <v>井伊直虎</v>
      </c>
      <c r="C729" s="9">
        <f ca="1">VLOOKUP(A729,[2]characters!$A:$I,9,FALSE)</f>
        <v>4</v>
      </c>
      <c r="D729" s="9" t="str">
        <f ca="1">VLOOKUP(A729,[2]characters!$A:$H,8,FALSE)</f>
        <v>red</v>
      </c>
      <c r="E729" s="97">
        <f ca="1">VLOOKUP(D729,[2]属性!$A:$E,2,FALSE)</f>
        <v>1</v>
      </c>
      <c r="F729" s="97">
        <f ca="1">VLOOKUP(D729,[2]属性!$A:$E,3,FALSE)</f>
        <v>1.02</v>
      </c>
      <c r="G729" s="97">
        <f ca="1">VLOOKUP(D729,[2]属性!$A:$F,4,FALSE)</f>
        <v>1</v>
      </c>
      <c r="H729" s="9" t="str">
        <f ca="1">VLOOKUP(A729,[2]characters!$A:$K,11,FALSE)</f>
        <v>balance</v>
      </c>
      <c r="I729" s="6" t="str">
        <f ca="1">VLOOKUP(H729,[2]character_type_i18n!$A:$F,3,FALSE)</f>
        <v>バランスタイプ</v>
      </c>
      <c r="J729" s="97">
        <f ca="1">VLOOKUP(H729,[2]character_type_i18n!$A:$F,4,FALSE)</f>
        <v>1</v>
      </c>
      <c r="K729" s="97">
        <f ca="1">VLOOKUP(H729,[2]character_type_i18n!$A:$F,5,FALSE)</f>
        <v>1</v>
      </c>
      <c r="L729" s="97">
        <f ca="1">VLOOKUP(H729,[2]character_type_i18n!$A:$F,6,FALSE)</f>
        <v>1</v>
      </c>
      <c r="M729" s="9" t="str">
        <f ca="1">VLOOKUP(A729,[2]characters!$A:$M,13,FALSE)</f>
        <v>human</v>
      </c>
      <c r="N729" s="6" t="str">
        <f ca="1">VLOOKUP(M729,[2]character_tribe_i18n!$A:$F,3,FALSE)</f>
        <v>ヒューマン</v>
      </c>
      <c r="O729" s="97">
        <f ca="1">VLOOKUP(M729,[2]character_tribe_i18n!$A:$F,4,FALSE)</f>
        <v>0.94</v>
      </c>
      <c r="P729" s="97">
        <f ca="1">VLOOKUP(M729,[2]character_tribe_i18n!$A:$F,5,FALSE)</f>
        <v>0.99</v>
      </c>
      <c r="Q729" s="97">
        <f ca="1">VLOOKUP(M729,[2]character_tribe_i18n!$A:$F,6,FALSE)</f>
        <v>1</v>
      </c>
      <c r="R729" s="98" t="s">
        <v>98</v>
      </c>
      <c r="S729" s="97">
        <f>VLOOKUP($R729,ラベル別係数!$A$1:$E$7,3,FALSE)</f>
        <v>5</v>
      </c>
      <c r="T729" s="97">
        <f>VLOOKUP($R729,ラベル別係数!$A$1:$E$7,4,FALSE)</f>
        <v>1.3</v>
      </c>
      <c r="U729" s="97">
        <f>VLOOKUP($R729,ラベル別係数!$A$1:$E$7,5,FALSE)</f>
        <v>0.8</v>
      </c>
      <c r="V729" s="98">
        <v>3</v>
      </c>
      <c r="W729" s="99">
        <f>VLOOKUP(V729,ターン数別攻撃係数!$A$1:$B$1000,2,FALSE)</f>
        <v>1</v>
      </c>
      <c r="X729" s="9">
        <f ca="1">VLOOKUP(C729,サイズ別係数!A$2:B$9,2,FALSE)</f>
        <v>30</v>
      </c>
      <c r="Y729" s="97">
        <f ca="1">VLOOKUP($X729,サイズ別係数!$B:$E,2,FALSE)</f>
        <v>1.3</v>
      </c>
      <c r="Z729" s="97">
        <f ca="1">VLOOKUP($X729,サイズ別係数!$B:$E,3,FALSE)</f>
        <v>1.3</v>
      </c>
      <c r="AA729" s="97">
        <f ca="1">VLOOKUP($X729,サイズ別係数!$B:$E,4,FALSE)</f>
        <v>1.1000000000000001</v>
      </c>
      <c r="AB729" s="10">
        <v>0</v>
      </c>
      <c r="AC729" s="6" t="str">
        <f ca="1">VLOOKUP($AB729,OFFSET([3]enemy_skill_sets!$B$2,0,0,COUNTA([3]enemy_skill_sets!$A:$A),MATCH(AC$1,[3]enemy_skill_sets!$1:$1,0)-MATCH($AB$1,[3]enemy_skill_sets!$1:$1,0)+1),MATCH(AC$1,[3]enemy_skill_sets!$1:$1,0)-MATCH($AB$1,[3]enemy_skill_sets!$1:$1,0)+1,FALSE)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29" s="67">
        <v>1</v>
      </c>
      <c r="AE729" s="67">
        <v>1</v>
      </c>
      <c r="AF729" s="68">
        <v>0</v>
      </c>
      <c r="AG729" s="99">
        <f ca="1">ROUND(VLOOKUP(1,enemy_base_stats!$A:$F,2,FALSE) * Y729* J729*O729*E729*S729*AD729*[2]ステータス!$B$2,0)</f>
        <v>3055</v>
      </c>
      <c r="AH729" s="99">
        <f ca="1">ROUND(VLOOKUP(1,enemy_base_stats!$A:$F,3,FALSE) * Z729*K729*P729*F729*T729*AE729 * W729*[2]ステータス!$C$2,0)</f>
        <v>256</v>
      </c>
      <c r="AI729" s="99">
        <f ca="1">ROUND(VLOOKUP(1,enemy_base_stats!$A:$F,4,FALSE) * AA729*L729*Q729*G729*U729*AF729*[2]ステータス!$D$2,0)</f>
        <v>0</v>
      </c>
      <c r="AJ729" s="99">
        <f ca="1">ROUND(VLOOKUP(100,enemy_base_stats!$A:$F,2,FALSE) * Y729* J729*O729*E729*S729*AD729*[2]ステータス!$B$2,0)</f>
        <v>124033</v>
      </c>
      <c r="AK729" s="99">
        <f ca="1">ROUND(VLOOKUP(100,enemy_base_stats!$A:$F,3,FALSE)* Z729* K729*P729*F729*T729*AE729 * W729*[2]ステータス!$C$2,0)</f>
        <v>10393</v>
      </c>
      <c r="AL729" s="99">
        <f ca="1">ROUND(VLOOKUP(100,enemy_base_stats!$A:$F,4,FALSE)* AA729* L729*Q729*G729*U729*AF729*[2]ステータス!$D$2,0)</f>
        <v>0</v>
      </c>
      <c r="AM729" s="97">
        <f ca="1">VLOOKUP(M729,[2]character_tribe_i18n!$A:$I,9,FALSE)</f>
        <v>400</v>
      </c>
      <c r="AN729" s="97">
        <v>0</v>
      </c>
      <c r="AO729" s="98">
        <v>0</v>
      </c>
      <c r="AP729" s="58" t="s">
        <v>72</v>
      </c>
      <c r="AQ729" s="34">
        <f t="shared" ca="1" si="44"/>
        <v>728</v>
      </c>
    </row>
    <row r="730" spans="1:43" ht="21" customHeight="1" x14ac:dyDescent="0.15">
      <c r="A730" s="7">
        <f t="shared" ca="1" si="43"/>
        <v>729</v>
      </c>
      <c r="B730" s="6" t="str">
        <f ca="1">VLOOKUP(A730,[2]characters!$A:$C,3,FALSE)</f>
        <v>暗厄の双刀 井伊直虎</v>
      </c>
      <c r="C730" s="9">
        <f ca="1">VLOOKUP(A730,[2]characters!$A:$I,9,FALSE)</f>
        <v>5</v>
      </c>
      <c r="D730" s="9" t="str">
        <f ca="1">VLOOKUP(A730,[2]characters!$A:$H,8,FALSE)</f>
        <v>red</v>
      </c>
      <c r="E730" s="97">
        <f ca="1">VLOOKUP(D730,[2]属性!$A:$E,2,FALSE)</f>
        <v>1</v>
      </c>
      <c r="F730" s="97">
        <f ca="1">VLOOKUP(D730,[2]属性!$A:$E,3,FALSE)</f>
        <v>1.02</v>
      </c>
      <c r="G730" s="97">
        <f ca="1">VLOOKUP(D730,[2]属性!$A:$F,4,FALSE)</f>
        <v>1</v>
      </c>
      <c r="H730" s="9" t="str">
        <f ca="1">VLOOKUP(A730,[2]characters!$A:$K,11,FALSE)</f>
        <v>balance</v>
      </c>
      <c r="I730" s="6" t="str">
        <f ca="1">VLOOKUP(H730,[2]character_type_i18n!$A:$F,3,FALSE)</f>
        <v>バランスタイプ</v>
      </c>
      <c r="J730" s="97">
        <f ca="1">VLOOKUP(H730,[2]character_type_i18n!$A:$F,4,FALSE)</f>
        <v>1</v>
      </c>
      <c r="K730" s="97">
        <f ca="1">VLOOKUP(H730,[2]character_type_i18n!$A:$F,5,FALSE)</f>
        <v>1</v>
      </c>
      <c r="L730" s="97">
        <f ca="1">VLOOKUP(H730,[2]character_type_i18n!$A:$F,6,FALSE)</f>
        <v>1</v>
      </c>
      <c r="M730" s="9" t="str">
        <f ca="1">VLOOKUP(A730,[2]characters!$A:$M,13,FALSE)</f>
        <v>human</v>
      </c>
      <c r="N730" s="6" t="str">
        <f ca="1">VLOOKUP(M730,[2]character_tribe_i18n!$A:$F,3,FALSE)</f>
        <v>ヒューマン</v>
      </c>
      <c r="O730" s="97">
        <f ca="1">VLOOKUP(M730,[2]character_tribe_i18n!$A:$F,4,FALSE)</f>
        <v>0.94</v>
      </c>
      <c r="P730" s="97">
        <f ca="1">VLOOKUP(M730,[2]character_tribe_i18n!$A:$F,5,FALSE)</f>
        <v>0.99</v>
      </c>
      <c r="Q730" s="97">
        <f ca="1">VLOOKUP(M730,[2]character_tribe_i18n!$A:$F,6,FALSE)</f>
        <v>1</v>
      </c>
      <c r="R730" s="98" t="s">
        <v>98</v>
      </c>
      <c r="S730" s="97">
        <f>VLOOKUP($R730,ラベル別係数!$A$1:$E$7,3,FALSE)</f>
        <v>5</v>
      </c>
      <c r="T730" s="97">
        <f>VLOOKUP($R730,ラベル別係数!$A$1:$E$7,4,FALSE)</f>
        <v>1.3</v>
      </c>
      <c r="U730" s="97">
        <f>VLOOKUP($R730,ラベル別係数!$A$1:$E$7,5,FALSE)</f>
        <v>0.8</v>
      </c>
      <c r="V730" s="98">
        <v>3</v>
      </c>
      <c r="W730" s="99">
        <f>VLOOKUP(V730,ターン数別攻撃係数!$A$1:$B$1000,2,FALSE)</f>
        <v>1</v>
      </c>
      <c r="X730" s="9">
        <f ca="1">VLOOKUP(C730,サイズ別係数!A$2:B$9,2,FALSE)</f>
        <v>60</v>
      </c>
      <c r="Y730" s="97">
        <f ca="1">VLOOKUP($X730,サイズ別係数!$B:$E,2,FALSE)</f>
        <v>1.7</v>
      </c>
      <c r="Z730" s="97">
        <f ca="1">VLOOKUP($X730,サイズ別係数!$B:$E,3,FALSE)</f>
        <v>1.4</v>
      </c>
      <c r="AA730" s="97">
        <f ca="1">VLOOKUP($X730,サイズ別係数!$B:$E,4,FALSE)</f>
        <v>1</v>
      </c>
      <c r="AB730" s="10">
        <v>0</v>
      </c>
      <c r="AC730" s="6" t="str">
        <f ca="1">VLOOKUP($AB730,OFFSET([3]enemy_skill_sets!$B$2,0,0,COUNTA([3]enemy_skill_sets!$A:$A),MATCH(AC$1,[3]enemy_skill_sets!$1:$1,0)-MATCH($AB$1,[3]enemy_skill_sets!$1:$1,0)+1),MATCH(AC$1,[3]enemy_skill_sets!$1:$1,0)-MATCH($AB$1,[3]enemy_skill_sets!$1:$1,0)+1,FALSE)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0" s="67">
        <v>1</v>
      </c>
      <c r="AE730" s="67">
        <v>1</v>
      </c>
      <c r="AF730" s="68">
        <v>0</v>
      </c>
      <c r="AG730" s="99">
        <f ca="1">ROUND(VLOOKUP(1,enemy_base_stats!$A:$F,2,FALSE) * Y730* J730*O730*E730*S730*AD730*[2]ステータス!$B$2,0)</f>
        <v>3995</v>
      </c>
      <c r="AH730" s="99">
        <f ca="1">ROUND(VLOOKUP(1,enemy_base_stats!$A:$F,3,FALSE) * Z730*K730*P730*F730*T730*AE730 * W730*[2]ステータス!$C$2,0)</f>
        <v>276</v>
      </c>
      <c r="AI730" s="99">
        <f ca="1">ROUND(VLOOKUP(1,enemy_base_stats!$A:$F,4,FALSE) * AA730*L730*Q730*G730*U730*AF730*[2]ステータス!$D$2,0)</f>
        <v>0</v>
      </c>
      <c r="AJ730" s="99">
        <f ca="1">ROUND(VLOOKUP(100,enemy_base_stats!$A:$F,2,FALSE) * Y730* J730*O730*E730*S730*AD730*[2]ステータス!$B$2,0)</f>
        <v>162197</v>
      </c>
      <c r="AK730" s="99">
        <f ca="1">ROUND(VLOOKUP(100,enemy_base_stats!$A:$F,3,FALSE)* Z730* K730*P730*F730*T730*AE730 * W730*[2]ステータス!$C$2,0)</f>
        <v>11192</v>
      </c>
      <c r="AL730" s="99">
        <f ca="1">ROUND(VLOOKUP(100,enemy_base_stats!$A:$F,4,FALSE)* AA730* L730*Q730*G730*U730*AF730*[2]ステータス!$D$2,0)</f>
        <v>0</v>
      </c>
      <c r="AM730" s="97">
        <f ca="1">VLOOKUP(M730,[2]character_tribe_i18n!$A:$I,9,FALSE)</f>
        <v>400</v>
      </c>
      <c r="AN730" s="97">
        <v>0</v>
      </c>
      <c r="AO730" s="98">
        <v>0</v>
      </c>
      <c r="AP730" s="58" t="s">
        <v>72</v>
      </c>
      <c r="AQ730" s="34">
        <f t="shared" ca="1" si="44"/>
        <v>729</v>
      </c>
    </row>
    <row r="731" spans="1:43" ht="21" customHeight="1" x14ac:dyDescent="0.15">
      <c r="A731" s="7">
        <f t="shared" ca="1" si="43"/>
        <v>730</v>
      </c>
      <c r="B731" s="6" t="str">
        <f ca="1">VLOOKUP(A731,[2]characters!$A:$C,3,FALSE)</f>
        <v>ガラシャ</v>
      </c>
      <c r="C731" s="9">
        <f ca="1">VLOOKUP(A731,[2]characters!$A:$I,9,FALSE)</f>
        <v>4</v>
      </c>
      <c r="D731" s="9" t="str">
        <f ca="1">VLOOKUP(A731,[2]characters!$A:$H,8,FALSE)</f>
        <v>green</v>
      </c>
      <c r="E731" s="97">
        <f ca="1">VLOOKUP(D731,[2]属性!$A:$E,2,FALSE)</f>
        <v>1.02</v>
      </c>
      <c r="F731" s="97">
        <f ca="1">VLOOKUP(D731,[2]属性!$A:$E,3,FALSE)</f>
        <v>0.98</v>
      </c>
      <c r="G731" s="97">
        <f ca="1">VLOOKUP(D731,[2]属性!$A:$F,4,FALSE)</f>
        <v>1</v>
      </c>
      <c r="H731" s="9" t="str">
        <f ca="1">VLOOKUP(A731,[2]characters!$A:$K,11,FALSE)</f>
        <v>heal</v>
      </c>
      <c r="I731" s="6" t="str">
        <f ca="1">VLOOKUP(H731,[2]character_type_i18n!$A:$F,3,FALSE)</f>
        <v>回復タイプ</v>
      </c>
      <c r="J731" s="97">
        <f ca="1">VLOOKUP(H731,[2]character_type_i18n!$A:$F,4,FALSE)</f>
        <v>0.8</v>
      </c>
      <c r="K731" s="97">
        <f ca="1">VLOOKUP(H731,[2]character_type_i18n!$A:$F,5,FALSE)</f>
        <v>0.78</v>
      </c>
      <c r="L731" s="97">
        <f ca="1">VLOOKUP(H731,[2]character_type_i18n!$A:$F,6,FALSE)</f>
        <v>1</v>
      </c>
      <c r="M731" s="9" t="str">
        <f ca="1">VLOOKUP(A731,[2]characters!$A:$M,13,FALSE)</f>
        <v>human</v>
      </c>
      <c r="N731" s="6" t="str">
        <f ca="1">VLOOKUP(M731,[2]character_tribe_i18n!$A:$F,3,FALSE)</f>
        <v>ヒューマン</v>
      </c>
      <c r="O731" s="97">
        <f ca="1">VLOOKUP(M731,[2]character_tribe_i18n!$A:$F,4,FALSE)</f>
        <v>0.94</v>
      </c>
      <c r="P731" s="97">
        <f ca="1">VLOOKUP(M731,[2]character_tribe_i18n!$A:$F,5,FALSE)</f>
        <v>0.99</v>
      </c>
      <c r="Q731" s="97">
        <f ca="1">VLOOKUP(M731,[2]character_tribe_i18n!$A:$F,6,FALSE)</f>
        <v>1</v>
      </c>
      <c r="R731" s="98" t="s">
        <v>98</v>
      </c>
      <c r="S731" s="97">
        <f>VLOOKUP($R731,ラベル別係数!$A$1:$E$7,3,FALSE)</f>
        <v>5</v>
      </c>
      <c r="T731" s="97">
        <f>VLOOKUP($R731,ラベル別係数!$A$1:$E$7,4,FALSE)</f>
        <v>1.3</v>
      </c>
      <c r="U731" s="97">
        <f>VLOOKUP($R731,ラベル別係数!$A$1:$E$7,5,FALSE)</f>
        <v>0.8</v>
      </c>
      <c r="V731" s="98">
        <v>3</v>
      </c>
      <c r="W731" s="99">
        <f>VLOOKUP(V731,ターン数別攻撃係数!$A$1:$B$1000,2,FALSE)</f>
        <v>1</v>
      </c>
      <c r="X731" s="9">
        <f ca="1">VLOOKUP(C731,サイズ別係数!A$2:B$9,2,FALSE)</f>
        <v>30</v>
      </c>
      <c r="Y731" s="97">
        <f ca="1">VLOOKUP($X731,サイズ別係数!$B:$E,2,FALSE)</f>
        <v>1.3</v>
      </c>
      <c r="Z731" s="97">
        <f ca="1">VLOOKUP($X731,サイズ別係数!$B:$E,3,FALSE)</f>
        <v>1.3</v>
      </c>
      <c r="AA731" s="97">
        <f ca="1">VLOOKUP($X731,サイズ別係数!$B:$E,4,FALSE)</f>
        <v>1.1000000000000001</v>
      </c>
      <c r="AB731" s="10">
        <v>0</v>
      </c>
      <c r="AC731" s="6" t="str">
        <f ca="1">VLOOKUP($AB731,OFFSET([3]enemy_skill_sets!$B$2,0,0,COUNTA([3]enemy_skill_sets!$A:$A),MATCH(AC$1,[3]enemy_skill_sets!$1:$1,0)-MATCH($AB$1,[3]enemy_skill_sets!$1:$1,0)+1),MATCH(AC$1,[3]enemy_skill_sets!$1:$1,0)-MATCH($AB$1,[3]enemy_skill_sets!$1:$1,0)+1,FALSE)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1" s="67">
        <v>1</v>
      </c>
      <c r="AE731" s="67">
        <v>1</v>
      </c>
      <c r="AF731" s="68">
        <v>0</v>
      </c>
      <c r="AG731" s="99">
        <f ca="1">ROUND(VLOOKUP(1,enemy_base_stats!$A:$F,2,FALSE) * Y731* J731*O731*E731*S731*AD731*[2]ステータス!$B$2,0)</f>
        <v>2493</v>
      </c>
      <c r="AH731" s="99">
        <f ca="1">ROUND(VLOOKUP(1,enemy_base_stats!$A:$F,3,FALSE) * Z731*K731*P731*F731*T731*AE731 * W731*[2]ステータス!$C$2,0)</f>
        <v>192</v>
      </c>
      <c r="AI731" s="99">
        <f ca="1">ROUND(VLOOKUP(1,enemy_base_stats!$A:$F,4,FALSE) * AA731*L731*Q731*G731*U731*AF731*[2]ステータス!$D$2,0)</f>
        <v>0</v>
      </c>
      <c r="AJ731" s="99">
        <f ca="1">ROUND(VLOOKUP(100,enemy_base_stats!$A:$F,2,FALSE) * Y731* J731*O731*E731*S731*AD731*[2]ステータス!$B$2,0)</f>
        <v>101211</v>
      </c>
      <c r="AK731" s="99">
        <f ca="1">ROUND(VLOOKUP(100,enemy_base_stats!$A:$F,3,FALSE)* Z731* K731*P731*F731*T731*AE731 * W731*[2]ステータス!$C$2,0)</f>
        <v>7789</v>
      </c>
      <c r="AL731" s="99">
        <f ca="1">ROUND(VLOOKUP(100,enemy_base_stats!$A:$F,4,FALSE)* AA731* L731*Q731*G731*U731*AF731*[2]ステータス!$D$2,0)</f>
        <v>0</v>
      </c>
      <c r="AM731" s="97">
        <f ca="1">VLOOKUP(M731,[2]character_tribe_i18n!$A:$I,9,FALSE)</f>
        <v>400</v>
      </c>
      <c r="AN731" s="97">
        <v>0</v>
      </c>
      <c r="AO731" s="98">
        <v>0</v>
      </c>
      <c r="AP731" s="58" t="s">
        <v>72</v>
      </c>
      <c r="AQ731" s="34">
        <f t="shared" ca="1" si="44"/>
        <v>730</v>
      </c>
    </row>
    <row r="732" spans="1:43" ht="21" customHeight="1" x14ac:dyDescent="0.15">
      <c r="A732" s="7">
        <f t="shared" ca="1" si="43"/>
        <v>731</v>
      </c>
      <c r="B732" s="6" t="str">
        <f ca="1">VLOOKUP(A732,[2]characters!$A:$C,3,FALSE)</f>
        <v>敬虔なる追銃 ガラシャ</v>
      </c>
      <c r="C732" s="9">
        <f ca="1">VLOOKUP(A732,[2]characters!$A:$I,9,FALSE)</f>
        <v>5</v>
      </c>
      <c r="D732" s="9" t="str">
        <f ca="1">VLOOKUP(A732,[2]characters!$A:$H,8,FALSE)</f>
        <v>green</v>
      </c>
      <c r="E732" s="97">
        <f ca="1">VLOOKUP(D732,[2]属性!$A:$E,2,FALSE)</f>
        <v>1.02</v>
      </c>
      <c r="F732" s="97">
        <f ca="1">VLOOKUP(D732,[2]属性!$A:$E,3,FALSE)</f>
        <v>0.98</v>
      </c>
      <c r="G732" s="97">
        <f ca="1">VLOOKUP(D732,[2]属性!$A:$F,4,FALSE)</f>
        <v>1</v>
      </c>
      <c r="H732" s="9" t="str">
        <f ca="1">VLOOKUP(A732,[2]characters!$A:$K,11,FALSE)</f>
        <v>heal</v>
      </c>
      <c r="I732" s="6" t="str">
        <f ca="1">VLOOKUP(H732,[2]character_type_i18n!$A:$F,3,FALSE)</f>
        <v>回復タイプ</v>
      </c>
      <c r="J732" s="97">
        <f ca="1">VLOOKUP(H732,[2]character_type_i18n!$A:$F,4,FALSE)</f>
        <v>0.8</v>
      </c>
      <c r="K732" s="97">
        <f ca="1">VLOOKUP(H732,[2]character_type_i18n!$A:$F,5,FALSE)</f>
        <v>0.78</v>
      </c>
      <c r="L732" s="97">
        <f ca="1">VLOOKUP(H732,[2]character_type_i18n!$A:$F,6,FALSE)</f>
        <v>1</v>
      </c>
      <c r="M732" s="9" t="str">
        <f ca="1">VLOOKUP(A732,[2]characters!$A:$M,13,FALSE)</f>
        <v>human</v>
      </c>
      <c r="N732" s="6" t="str">
        <f ca="1">VLOOKUP(M732,[2]character_tribe_i18n!$A:$F,3,FALSE)</f>
        <v>ヒューマン</v>
      </c>
      <c r="O732" s="97">
        <f ca="1">VLOOKUP(M732,[2]character_tribe_i18n!$A:$F,4,FALSE)</f>
        <v>0.94</v>
      </c>
      <c r="P732" s="97">
        <f ca="1">VLOOKUP(M732,[2]character_tribe_i18n!$A:$F,5,FALSE)</f>
        <v>0.99</v>
      </c>
      <c r="Q732" s="97">
        <f ca="1">VLOOKUP(M732,[2]character_tribe_i18n!$A:$F,6,FALSE)</f>
        <v>1</v>
      </c>
      <c r="R732" s="98" t="s">
        <v>98</v>
      </c>
      <c r="S732" s="97">
        <f>VLOOKUP($R732,ラベル別係数!$A$1:$E$7,3,FALSE)</f>
        <v>5</v>
      </c>
      <c r="T732" s="97">
        <f>VLOOKUP($R732,ラベル別係数!$A$1:$E$7,4,FALSE)</f>
        <v>1.3</v>
      </c>
      <c r="U732" s="97">
        <f>VLOOKUP($R732,ラベル別係数!$A$1:$E$7,5,FALSE)</f>
        <v>0.8</v>
      </c>
      <c r="V732" s="98">
        <v>3</v>
      </c>
      <c r="W732" s="99">
        <f>VLOOKUP(V732,ターン数別攻撃係数!$A$1:$B$1000,2,FALSE)</f>
        <v>1</v>
      </c>
      <c r="X732" s="9">
        <f ca="1">VLOOKUP(C732,サイズ別係数!A$2:B$9,2,FALSE)</f>
        <v>60</v>
      </c>
      <c r="Y732" s="97">
        <f ca="1">VLOOKUP($X732,サイズ別係数!$B:$E,2,FALSE)</f>
        <v>1.7</v>
      </c>
      <c r="Z732" s="97">
        <f ca="1">VLOOKUP($X732,サイズ別係数!$B:$E,3,FALSE)</f>
        <v>1.4</v>
      </c>
      <c r="AA732" s="97">
        <f ca="1">VLOOKUP($X732,サイズ別係数!$B:$E,4,FALSE)</f>
        <v>1</v>
      </c>
      <c r="AB732" s="10">
        <v>0</v>
      </c>
      <c r="AC732" s="6" t="str">
        <f ca="1">VLOOKUP($AB732,OFFSET([3]enemy_skill_sets!$B$2,0,0,COUNTA([3]enemy_skill_sets!$A:$A),MATCH(AC$1,[3]enemy_skill_sets!$1:$1,0)-MATCH($AB$1,[3]enemy_skill_sets!$1:$1,0)+1),MATCH(AC$1,[3]enemy_skill_sets!$1:$1,0)-MATCH($AB$1,[3]enemy_skill_sets!$1:$1,0)+1,FALSE)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2" s="67">
        <v>1</v>
      </c>
      <c r="AE732" s="67">
        <v>1</v>
      </c>
      <c r="AF732" s="68">
        <v>0</v>
      </c>
      <c r="AG732" s="99">
        <f ca="1">ROUND(VLOOKUP(1,enemy_base_stats!$A:$F,2,FALSE) * Y732* J732*O732*E732*S732*AD732*[2]ステータス!$B$2,0)</f>
        <v>3260</v>
      </c>
      <c r="AH732" s="99">
        <f ca="1">ROUND(VLOOKUP(1,enemy_base_stats!$A:$F,3,FALSE) * Z732*K732*P732*F732*T732*AE732 * W732*[2]ステータス!$C$2,0)</f>
        <v>207</v>
      </c>
      <c r="AI732" s="99">
        <f ca="1">ROUND(VLOOKUP(1,enemy_base_stats!$A:$F,4,FALSE) * AA732*L732*Q732*G732*U732*AF732*[2]ステータス!$D$2,0)</f>
        <v>0</v>
      </c>
      <c r="AJ732" s="99">
        <f ca="1">ROUND(VLOOKUP(100,enemy_base_stats!$A:$F,2,FALSE) * Y732* J732*O732*E732*S732*AD732*[2]ステータス!$B$2,0)</f>
        <v>132353</v>
      </c>
      <c r="AK732" s="99">
        <f ca="1">ROUND(VLOOKUP(100,enemy_base_stats!$A:$F,3,FALSE)* Z732* K732*P732*F732*T732*AE732 * W732*[2]ステータス!$C$2,0)</f>
        <v>8388</v>
      </c>
      <c r="AL732" s="99">
        <f ca="1">ROUND(VLOOKUP(100,enemy_base_stats!$A:$F,4,FALSE)* AA732* L732*Q732*G732*U732*AF732*[2]ステータス!$D$2,0)</f>
        <v>0</v>
      </c>
      <c r="AM732" s="97">
        <f ca="1">VLOOKUP(M732,[2]character_tribe_i18n!$A:$I,9,FALSE)</f>
        <v>400</v>
      </c>
      <c r="AN732" s="97">
        <v>0</v>
      </c>
      <c r="AO732" s="98">
        <v>0</v>
      </c>
      <c r="AP732" s="58" t="s">
        <v>72</v>
      </c>
      <c r="AQ732" s="34">
        <f t="shared" ca="1" si="44"/>
        <v>731</v>
      </c>
    </row>
    <row r="733" spans="1:43" ht="21" customHeight="1" x14ac:dyDescent="0.15">
      <c r="A733" s="7">
        <f t="shared" ca="1" si="43"/>
        <v>732</v>
      </c>
      <c r="B733" s="6" t="str">
        <f ca="1">VLOOKUP(A733,[2]characters!$A:$C,3,FALSE)</f>
        <v>上杉謙信</v>
      </c>
      <c r="C733" s="9">
        <f ca="1">VLOOKUP(A733,[2]characters!$A:$I,9,FALSE)</f>
        <v>5</v>
      </c>
      <c r="D733" s="9" t="str">
        <f ca="1">VLOOKUP(A733,[2]characters!$A:$H,8,FALSE)</f>
        <v>blue</v>
      </c>
      <c r="E733" s="97">
        <f ca="1">VLOOKUP(D733,[2]属性!$A:$E,2,FALSE)</f>
        <v>1</v>
      </c>
      <c r="F733" s="97">
        <f ca="1">VLOOKUP(D733,[2]属性!$A:$E,3,FALSE)</f>
        <v>0.98</v>
      </c>
      <c r="G733" s="97">
        <f ca="1">VLOOKUP(D733,[2]属性!$A:$F,4,FALSE)</f>
        <v>1</v>
      </c>
      <c r="H733" s="9" t="str">
        <f ca="1">VLOOKUP(A733,[2]characters!$A:$K,11,FALSE)</f>
        <v>attack</v>
      </c>
      <c r="I733" s="6" t="str">
        <f ca="1">VLOOKUP(H733,[2]character_type_i18n!$A:$F,3,FALSE)</f>
        <v>攻撃タイプ</v>
      </c>
      <c r="J733" s="97">
        <f ca="1">VLOOKUP(H733,[2]character_type_i18n!$A:$F,4,FALSE)</f>
        <v>1</v>
      </c>
      <c r="K733" s="97">
        <f ca="1">VLOOKUP(H733,[2]character_type_i18n!$A:$F,5,FALSE)</f>
        <v>1.33</v>
      </c>
      <c r="L733" s="97">
        <f ca="1">VLOOKUP(H733,[2]character_type_i18n!$A:$F,6,FALSE)</f>
        <v>1</v>
      </c>
      <c r="M733" s="9" t="str">
        <f ca="1">VLOOKUP(A733,[2]characters!$A:$M,13,FALSE)</f>
        <v>human</v>
      </c>
      <c r="N733" s="6" t="str">
        <f ca="1">VLOOKUP(M733,[2]character_tribe_i18n!$A:$F,3,FALSE)</f>
        <v>ヒューマン</v>
      </c>
      <c r="O733" s="97">
        <f ca="1">VLOOKUP(M733,[2]character_tribe_i18n!$A:$F,4,FALSE)</f>
        <v>0.94</v>
      </c>
      <c r="P733" s="97">
        <f ca="1">VLOOKUP(M733,[2]character_tribe_i18n!$A:$F,5,FALSE)</f>
        <v>0.99</v>
      </c>
      <c r="Q733" s="97">
        <f ca="1">VLOOKUP(M733,[2]character_tribe_i18n!$A:$F,6,FALSE)</f>
        <v>1</v>
      </c>
      <c r="R733" s="98" t="s">
        <v>98</v>
      </c>
      <c r="S733" s="97">
        <f>VLOOKUP($R733,ラベル別係数!$A$1:$E$7,3,FALSE)</f>
        <v>5</v>
      </c>
      <c r="T733" s="97">
        <f>VLOOKUP($R733,ラベル別係数!$A$1:$E$7,4,FALSE)</f>
        <v>1.3</v>
      </c>
      <c r="U733" s="97">
        <f>VLOOKUP($R733,ラベル別係数!$A$1:$E$7,5,FALSE)</f>
        <v>0.8</v>
      </c>
      <c r="V733" s="98">
        <v>3</v>
      </c>
      <c r="W733" s="99">
        <f>VLOOKUP(V733,ターン数別攻撃係数!$A$1:$B$1000,2,FALSE)</f>
        <v>1</v>
      </c>
      <c r="X733" s="9">
        <f ca="1">VLOOKUP(C733,サイズ別係数!A$2:B$9,2,FALSE)</f>
        <v>60</v>
      </c>
      <c r="Y733" s="97">
        <f ca="1">VLOOKUP($X733,サイズ別係数!$B:$E,2,FALSE)</f>
        <v>1.7</v>
      </c>
      <c r="Z733" s="97">
        <f ca="1">VLOOKUP($X733,サイズ別係数!$B:$E,3,FALSE)</f>
        <v>1.4</v>
      </c>
      <c r="AA733" s="97">
        <f ca="1">VLOOKUP($X733,サイズ別係数!$B:$E,4,FALSE)</f>
        <v>1</v>
      </c>
      <c r="AB733" s="10">
        <v>0</v>
      </c>
      <c r="AC733" s="6" t="str">
        <f ca="1">VLOOKUP($AB733,OFFSET([3]enemy_skill_sets!$B$2,0,0,COUNTA([3]enemy_skill_sets!$A:$A),MATCH(AC$1,[3]enemy_skill_sets!$1:$1,0)-MATCH($AB$1,[3]enemy_skill_sets!$1:$1,0)+1),MATCH(AC$1,[3]enemy_skill_sets!$1:$1,0)-MATCH($AB$1,[3]enemy_skill_sets!$1:$1,0)+1,FALSE)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3" s="67">
        <v>1</v>
      </c>
      <c r="AE733" s="67">
        <v>1</v>
      </c>
      <c r="AF733" s="68">
        <v>0</v>
      </c>
      <c r="AG733" s="99">
        <f ca="1">ROUND(VLOOKUP(1,enemy_base_stats!$A:$F,2,FALSE) * Y733* J733*O733*E733*S733*AD733*[2]ステータス!$B$2,0)</f>
        <v>3995</v>
      </c>
      <c r="AH733" s="99">
        <f ca="1">ROUND(VLOOKUP(1,enemy_base_stats!$A:$F,3,FALSE) * Z733*K733*P733*F733*T733*AE733 * W733*[2]ステータス!$C$2,0)</f>
        <v>352</v>
      </c>
      <c r="AI733" s="99">
        <f ca="1">ROUND(VLOOKUP(1,enemy_base_stats!$A:$F,4,FALSE) * AA733*L733*Q733*G733*U733*AF733*[2]ステータス!$D$2,0)</f>
        <v>0</v>
      </c>
      <c r="AJ733" s="99">
        <f ca="1">ROUND(VLOOKUP(100,enemy_base_stats!$A:$F,2,FALSE) * Y733* J733*O733*E733*S733*AD733*[2]ステータス!$B$2,0)</f>
        <v>162197</v>
      </c>
      <c r="AK733" s="99">
        <f ca="1">ROUND(VLOOKUP(100,enemy_base_stats!$A:$F,3,FALSE)* Z733* K733*P733*F733*T733*AE733 * W733*[2]ステータス!$C$2,0)</f>
        <v>14302</v>
      </c>
      <c r="AL733" s="99">
        <f ca="1">ROUND(VLOOKUP(100,enemy_base_stats!$A:$F,4,FALSE)* AA733* L733*Q733*G733*U733*AF733*[2]ステータス!$D$2,0)</f>
        <v>0</v>
      </c>
      <c r="AM733" s="97">
        <f ca="1">VLOOKUP(M733,[2]character_tribe_i18n!$A:$I,9,FALSE)</f>
        <v>400</v>
      </c>
      <c r="AN733" s="97">
        <v>0</v>
      </c>
      <c r="AO733" s="98">
        <v>0</v>
      </c>
      <c r="AP733" s="58" t="s">
        <v>72</v>
      </c>
      <c r="AQ733" s="34">
        <f t="shared" ca="1" si="44"/>
        <v>732</v>
      </c>
    </row>
    <row r="734" spans="1:43" ht="21" customHeight="1" x14ac:dyDescent="0.15">
      <c r="A734" s="7">
        <f t="shared" ca="1" si="43"/>
        <v>733</v>
      </c>
      <c r="B734" s="6" t="str">
        <f ca="1">VLOOKUP(A734,[2]characters!$A:$C,3,FALSE)</f>
        <v>夢幻の千刃 上杉謙信</v>
      </c>
      <c r="C734" s="9">
        <f ca="1">VLOOKUP(A734,[2]characters!$A:$I,9,FALSE)</f>
        <v>6</v>
      </c>
      <c r="D734" s="9" t="str">
        <f ca="1">VLOOKUP(A734,[2]characters!$A:$H,8,FALSE)</f>
        <v>blue</v>
      </c>
      <c r="E734" s="97">
        <f ca="1">VLOOKUP(D734,[2]属性!$A:$E,2,FALSE)</f>
        <v>1</v>
      </c>
      <c r="F734" s="97">
        <f ca="1">VLOOKUP(D734,[2]属性!$A:$E,3,FALSE)</f>
        <v>0.98</v>
      </c>
      <c r="G734" s="97">
        <f ca="1">VLOOKUP(D734,[2]属性!$A:$F,4,FALSE)</f>
        <v>1</v>
      </c>
      <c r="H734" s="9" t="str">
        <f ca="1">VLOOKUP(A734,[2]characters!$A:$K,11,FALSE)</f>
        <v>attack</v>
      </c>
      <c r="I734" s="6" t="str">
        <f ca="1">VLOOKUP(H734,[2]character_type_i18n!$A:$F,3,FALSE)</f>
        <v>攻撃タイプ</v>
      </c>
      <c r="J734" s="97">
        <f ca="1">VLOOKUP(H734,[2]character_type_i18n!$A:$F,4,FALSE)</f>
        <v>1</v>
      </c>
      <c r="K734" s="97">
        <f ca="1">VLOOKUP(H734,[2]character_type_i18n!$A:$F,5,FALSE)</f>
        <v>1.33</v>
      </c>
      <c r="L734" s="97">
        <f ca="1">VLOOKUP(H734,[2]character_type_i18n!$A:$F,6,FALSE)</f>
        <v>1</v>
      </c>
      <c r="M734" s="9" t="str">
        <f ca="1">VLOOKUP(A734,[2]characters!$A:$M,13,FALSE)</f>
        <v>human</v>
      </c>
      <c r="N734" s="6" t="str">
        <f ca="1">VLOOKUP(M734,[2]character_tribe_i18n!$A:$F,3,FALSE)</f>
        <v>ヒューマン</v>
      </c>
      <c r="O734" s="97">
        <f ca="1">VLOOKUP(M734,[2]character_tribe_i18n!$A:$F,4,FALSE)</f>
        <v>0.94</v>
      </c>
      <c r="P734" s="97">
        <f ca="1">VLOOKUP(M734,[2]character_tribe_i18n!$A:$F,5,FALSE)</f>
        <v>0.99</v>
      </c>
      <c r="Q734" s="97">
        <f ca="1">VLOOKUP(M734,[2]character_tribe_i18n!$A:$F,6,FALSE)</f>
        <v>1</v>
      </c>
      <c r="R734" s="98" t="s">
        <v>98</v>
      </c>
      <c r="S734" s="97">
        <f>VLOOKUP($R734,ラベル別係数!$A$1:$E$7,3,FALSE)</f>
        <v>5</v>
      </c>
      <c r="T734" s="97">
        <f>VLOOKUP($R734,ラベル別係数!$A$1:$E$7,4,FALSE)</f>
        <v>1.3</v>
      </c>
      <c r="U734" s="97">
        <f>VLOOKUP($R734,ラベル別係数!$A$1:$E$7,5,FALSE)</f>
        <v>0.8</v>
      </c>
      <c r="V734" s="98">
        <v>3</v>
      </c>
      <c r="W734" s="99">
        <f>VLOOKUP(V734,ターン数別攻撃係数!$A$1:$B$1000,2,FALSE)</f>
        <v>1</v>
      </c>
      <c r="X734" s="9">
        <f ca="1">VLOOKUP(C734,サイズ別係数!A$2:B$9,2,FALSE)</f>
        <v>60</v>
      </c>
      <c r="Y734" s="97">
        <f ca="1">VLOOKUP($X734,サイズ別係数!$B:$E,2,FALSE)</f>
        <v>1.7</v>
      </c>
      <c r="Z734" s="97">
        <f ca="1">VLOOKUP($X734,サイズ別係数!$B:$E,3,FALSE)</f>
        <v>1.4</v>
      </c>
      <c r="AA734" s="97">
        <f ca="1">VLOOKUP($X734,サイズ別係数!$B:$E,4,FALSE)</f>
        <v>1</v>
      </c>
      <c r="AB734" s="10">
        <v>0</v>
      </c>
      <c r="AC734" s="6" t="str">
        <f ca="1">VLOOKUP($AB734,OFFSET([3]enemy_skill_sets!$B$2,0,0,COUNTA([3]enemy_skill_sets!$A:$A),MATCH(AC$1,[3]enemy_skill_sets!$1:$1,0)-MATCH($AB$1,[3]enemy_skill_sets!$1:$1,0)+1),MATCH(AC$1,[3]enemy_skill_sets!$1:$1,0)-MATCH($AB$1,[3]enemy_skill_sets!$1:$1,0)+1,FALSE)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4" s="67">
        <v>1</v>
      </c>
      <c r="AE734" s="67">
        <v>1</v>
      </c>
      <c r="AF734" s="68">
        <v>0</v>
      </c>
      <c r="AG734" s="99">
        <f ca="1">ROUND(VLOOKUP(1,enemy_base_stats!$A:$F,2,FALSE) * Y734* J734*O734*E734*S734*AD734*[2]ステータス!$B$2,0)</f>
        <v>3995</v>
      </c>
      <c r="AH734" s="99">
        <f ca="1">ROUND(VLOOKUP(1,enemy_base_stats!$A:$F,3,FALSE) * Z734*K734*P734*F734*T734*AE734 * W734*[2]ステータス!$C$2,0)</f>
        <v>352</v>
      </c>
      <c r="AI734" s="99">
        <f ca="1">ROUND(VLOOKUP(1,enemy_base_stats!$A:$F,4,FALSE) * AA734*L734*Q734*G734*U734*AF734*[2]ステータス!$D$2,0)</f>
        <v>0</v>
      </c>
      <c r="AJ734" s="99">
        <f ca="1">ROUND(VLOOKUP(100,enemy_base_stats!$A:$F,2,FALSE) * Y734* J734*O734*E734*S734*AD734*[2]ステータス!$B$2,0)</f>
        <v>162197</v>
      </c>
      <c r="AK734" s="99">
        <f ca="1">ROUND(VLOOKUP(100,enemy_base_stats!$A:$F,3,FALSE)* Z734* K734*P734*F734*T734*AE734 * W734*[2]ステータス!$C$2,0)</f>
        <v>14302</v>
      </c>
      <c r="AL734" s="99">
        <f ca="1">ROUND(VLOOKUP(100,enemy_base_stats!$A:$F,4,FALSE)* AA734* L734*Q734*G734*U734*AF734*[2]ステータス!$D$2,0)</f>
        <v>0</v>
      </c>
      <c r="AM734" s="97">
        <f ca="1">VLOOKUP(M734,[2]character_tribe_i18n!$A:$I,9,FALSE)</f>
        <v>400</v>
      </c>
      <c r="AN734" s="97">
        <v>0</v>
      </c>
      <c r="AO734" s="98">
        <v>0</v>
      </c>
      <c r="AP734" s="58" t="s">
        <v>72</v>
      </c>
      <c r="AQ734" s="34">
        <f t="shared" ca="1" si="44"/>
        <v>733</v>
      </c>
    </row>
    <row r="735" spans="1:43" ht="21" customHeight="1" x14ac:dyDescent="0.15">
      <c r="A735" s="7">
        <f t="shared" ca="1" si="43"/>
        <v>734</v>
      </c>
      <c r="B735" s="6" t="str">
        <f ca="1">VLOOKUP(A735,[2]characters!$A:$C,3,FALSE)</f>
        <v>伊達政宗</v>
      </c>
      <c r="C735" s="9">
        <f ca="1">VLOOKUP(A735,[2]characters!$A:$I,9,FALSE)</f>
        <v>5</v>
      </c>
      <c r="D735" s="9" t="str">
        <f ca="1">VLOOKUP(A735,[2]characters!$A:$H,8,FALSE)</f>
        <v>yellow</v>
      </c>
      <c r="E735" s="97">
        <f ca="1">VLOOKUP(D735,[2]属性!$A:$E,2,FALSE)</f>
        <v>0.98</v>
      </c>
      <c r="F735" s="97">
        <f ca="1">VLOOKUP(D735,[2]属性!$A:$E,3,FALSE)</f>
        <v>1.01</v>
      </c>
      <c r="G735" s="97">
        <f ca="1">VLOOKUP(D735,[2]属性!$A:$F,4,FALSE)</f>
        <v>1</v>
      </c>
      <c r="H735" s="9" t="str">
        <f ca="1">VLOOKUP(A735,[2]characters!$A:$K,11,FALSE)</f>
        <v>balance</v>
      </c>
      <c r="I735" s="6" t="str">
        <f ca="1">VLOOKUP(H735,[2]character_type_i18n!$A:$F,3,FALSE)</f>
        <v>バランスタイプ</v>
      </c>
      <c r="J735" s="97">
        <f ca="1">VLOOKUP(H735,[2]character_type_i18n!$A:$F,4,FALSE)</f>
        <v>1</v>
      </c>
      <c r="K735" s="97">
        <f ca="1">VLOOKUP(H735,[2]character_type_i18n!$A:$F,5,FALSE)</f>
        <v>1</v>
      </c>
      <c r="L735" s="97">
        <f ca="1">VLOOKUP(H735,[2]character_type_i18n!$A:$F,6,FALSE)</f>
        <v>1</v>
      </c>
      <c r="M735" s="9" t="str">
        <f ca="1">VLOOKUP(A735,[2]characters!$A:$M,13,FALSE)</f>
        <v>human</v>
      </c>
      <c r="N735" s="6" t="str">
        <f ca="1">VLOOKUP(M735,[2]character_tribe_i18n!$A:$F,3,FALSE)</f>
        <v>ヒューマン</v>
      </c>
      <c r="O735" s="97">
        <f ca="1">VLOOKUP(M735,[2]character_tribe_i18n!$A:$F,4,FALSE)</f>
        <v>0.94</v>
      </c>
      <c r="P735" s="97">
        <f ca="1">VLOOKUP(M735,[2]character_tribe_i18n!$A:$F,5,FALSE)</f>
        <v>0.99</v>
      </c>
      <c r="Q735" s="97">
        <f ca="1">VLOOKUP(M735,[2]character_tribe_i18n!$A:$F,6,FALSE)</f>
        <v>1</v>
      </c>
      <c r="R735" s="98" t="s">
        <v>98</v>
      </c>
      <c r="S735" s="97">
        <f>VLOOKUP($R735,ラベル別係数!$A$1:$E$7,3,FALSE)</f>
        <v>5</v>
      </c>
      <c r="T735" s="97">
        <f>VLOOKUP($R735,ラベル別係数!$A$1:$E$7,4,FALSE)</f>
        <v>1.3</v>
      </c>
      <c r="U735" s="97">
        <f>VLOOKUP($R735,ラベル別係数!$A$1:$E$7,5,FALSE)</f>
        <v>0.8</v>
      </c>
      <c r="V735" s="98">
        <v>3</v>
      </c>
      <c r="W735" s="99">
        <f>VLOOKUP(V735,ターン数別攻撃係数!$A$1:$B$1000,2,FALSE)</f>
        <v>1</v>
      </c>
      <c r="X735" s="9">
        <f ca="1">VLOOKUP(C735,サイズ別係数!A$2:B$9,2,FALSE)</f>
        <v>60</v>
      </c>
      <c r="Y735" s="97">
        <f ca="1">VLOOKUP($X735,サイズ別係数!$B:$E,2,FALSE)</f>
        <v>1.7</v>
      </c>
      <c r="Z735" s="97">
        <f ca="1">VLOOKUP($X735,サイズ別係数!$B:$E,3,FALSE)</f>
        <v>1.4</v>
      </c>
      <c r="AA735" s="97">
        <f ca="1">VLOOKUP($X735,サイズ別係数!$B:$E,4,FALSE)</f>
        <v>1</v>
      </c>
      <c r="AB735" s="10">
        <v>0</v>
      </c>
      <c r="AC735" s="6" t="str">
        <f ca="1">VLOOKUP($AB735,OFFSET([3]enemy_skill_sets!$B$2,0,0,COUNTA([3]enemy_skill_sets!$A:$A),MATCH(AC$1,[3]enemy_skill_sets!$1:$1,0)-MATCH($AB$1,[3]enemy_skill_sets!$1:$1,0)+1),MATCH(AC$1,[3]enemy_skill_sets!$1:$1,0)-MATCH($AB$1,[3]enemy_skill_sets!$1:$1,0)+1,FALSE)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5" s="67">
        <v>1</v>
      </c>
      <c r="AE735" s="67">
        <v>1</v>
      </c>
      <c r="AF735" s="68">
        <v>0</v>
      </c>
      <c r="AG735" s="99">
        <f ca="1">ROUND(VLOOKUP(1,enemy_base_stats!$A:$F,2,FALSE) * Y735* J735*O735*E735*S735*AD735*[2]ステータス!$B$2,0)</f>
        <v>3915</v>
      </c>
      <c r="AH735" s="99">
        <f ca="1">ROUND(VLOOKUP(1,enemy_base_stats!$A:$F,3,FALSE) * Z735*K735*P735*F735*T735*AE735 * W735*[2]ステータス!$C$2,0)</f>
        <v>273</v>
      </c>
      <c r="AI735" s="99">
        <f ca="1">ROUND(VLOOKUP(1,enemy_base_stats!$A:$F,4,FALSE) * AA735*L735*Q735*G735*U735*AF735*[2]ステータス!$D$2,0)</f>
        <v>0</v>
      </c>
      <c r="AJ735" s="99">
        <f ca="1">ROUND(VLOOKUP(100,enemy_base_stats!$A:$F,2,FALSE) * Y735* J735*O735*E735*S735*AD735*[2]ステータス!$B$2,0)</f>
        <v>158953</v>
      </c>
      <c r="AK735" s="99">
        <f ca="1">ROUND(VLOOKUP(100,enemy_base_stats!$A:$F,3,FALSE)* Z735* K735*P735*F735*T735*AE735 * W735*[2]ステータス!$C$2,0)</f>
        <v>11083</v>
      </c>
      <c r="AL735" s="99">
        <f ca="1">ROUND(VLOOKUP(100,enemy_base_stats!$A:$F,4,FALSE)* AA735* L735*Q735*G735*U735*AF735*[2]ステータス!$D$2,0)</f>
        <v>0</v>
      </c>
      <c r="AM735" s="97">
        <f ca="1">VLOOKUP(M735,[2]character_tribe_i18n!$A:$I,9,FALSE)</f>
        <v>400</v>
      </c>
      <c r="AN735" s="97">
        <v>0</v>
      </c>
      <c r="AO735" s="98">
        <v>0</v>
      </c>
      <c r="AP735" s="58" t="s">
        <v>72</v>
      </c>
      <c r="AQ735" s="34">
        <f t="shared" ca="1" si="44"/>
        <v>734</v>
      </c>
    </row>
    <row r="736" spans="1:43" ht="21" customHeight="1" x14ac:dyDescent="0.15">
      <c r="A736" s="7">
        <f t="shared" ca="1" si="43"/>
        <v>735</v>
      </c>
      <c r="B736" s="6" t="str">
        <f ca="1">VLOOKUP(A736,[2]characters!$A:$C,3,FALSE)</f>
        <v>破天の隻眼 伊達政宗</v>
      </c>
      <c r="C736" s="9">
        <f ca="1">VLOOKUP(A736,[2]characters!$A:$I,9,FALSE)</f>
        <v>6</v>
      </c>
      <c r="D736" s="9" t="str">
        <f ca="1">VLOOKUP(A736,[2]characters!$A:$H,8,FALSE)</f>
        <v>yellow</v>
      </c>
      <c r="E736" s="97">
        <f ca="1">VLOOKUP(D736,[2]属性!$A:$E,2,FALSE)</f>
        <v>0.98</v>
      </c>
      <c r="F736" s="97">
        <f ca="1">VLOOKUP(D736,[2]属性!$A:$E,3,FALSE)</f>
        <v>1.01</v>
      </c>
      <c r="G736" s="97">
        <f ca="1">VLOOKUP(D736,[2]属性!$A:$F,4,FALSE)</f>
        <v>1</v>
      </c>
      <c r="H736" s="9" t="str">
        <f ca="1">VLOOKUP(A736,[2]characters!$A:$K,11,FALSE)</f>
        <v>balance</v>
      </c>
      <c r="I736" s="6" t="str">
        <f ca="1">VLOOKUP(H736,[2]character_type_i18n!$A:$F,3,FALSE)</f>
        <v>バランスタイプ</v>
      </c>
      <c r="J736" s="97">
        <f ca="1">VLOOKUP(H736,[2]character_type_i18n!$A:$F,4,FALSE)</f>
        <v>1</v>
      </c>
      <c r="K736" s="97">
        <f ca="1">VLOOKUP(H736,[2]character_type_i18n!$A:$F,5,FALSE)</f>
        <v>1</v>
      </c>
      <c r="L736" s="97">
        <f ca="1">VLOOKUP(H736,[2]character_type_i18n!$A:$F,6,FALSE)</f>
        <v>1</v>
      </c>
      <c r="M736" s="9" t="str">
        <f ca="1">VLOOKUP(A736,[2]characters!$A:$M,13,FALSE)</f>
        <v>human</v>
      </c>
      <c r="N736" s="6" t="str">
        <f ca="1">VLOOKUP(M736,[2]character_tribe_i18n!$A:$F,3,FALSE)</f>
        <v>ヒューマン</v>
      </c>
      <c r="O736" s="97">
        <f ca="1">VLOOKUP(M736,[2]character_tribe_i18n!$A:$F,4,FALSE)</f>
        <v>0.94</v>
      </c>
      <c r="P736" s="97">
        <f ca="1">VLOOKUP(M736,[2]character_tribe_i18n!$A:$F,5,FALSE)</f>
        <v>0.99</v>
      </c>
      <c r="Q736" s="97">
        <f ca="1">VLOOKUP(M736,[2]character_tribe_i18n!$A:$F,6,FALSE)</f>
        <v>1</v>
      </c>
      <c r="R736" s="98" t="s">
        <v>98</v>
      </c>
      <c r="S736" s="97">
        <f>VLOOKUP($R736,ラベル別係数!$A$1:$E$7,3,FALSE)</f>
        <v>5</v>
      </c>
      <c r="T736" s="97">
        <f>VLOOKUP($R736,ラベル別係数!$A$1:$E$7,4,FALSE)</f>
        <v>1.3</v>
      </c>
      <c r="U736" s="97">
        <f>VLOOKUP($R736,ラベル別係数!$A$1:$E$7,5,FALSE)</f>
        <v>0.8</v>
      </c>
      <c r="V736" s="98">
        <v>3</v>
      </c>
      <c r="W736" s="99">
        <f>VLOOKUP(V736,ターン数別攻撃係数!$A$1:$B$1000,2,FALSE)</f>
        <v>1</v>
      </c>
      <c r="X736" s="9">
        <f ca="1">VLOOKUP(C736,サイズ別係数!A$2:B$9,2,FALSE)</f>
        <v>60</v>
      </c>
      <c r="Y736" s="97">
        <f ca="1">VLOOKUP($X736,サイズ別係数!$B:$E,2,FALSE)</f>
        <v>1.7</v>
      </c>
      <c r="Z736" s="97">
        <f ca="1">VLOOKUP($X736,サイズ別係数!$B:$E,3,FALSE)</f>
        <v>1.4</v>
      </c>
      <c r="AA736" s="97">
        <f ca="1">VLOOKUP($X736,サイズ別係数!$B:$E,4,FALSE)</f>
        <v>1</v>
      </c>
      <c r="AB736" s="10">
        <v>0</v>
      </c>
      <c r="AC736" s="6" t="str">
        <f ca="1">VLOOKUP($AB736,OFFSET([3]enemy_skill_sets!$B$2,0,0,COUNTA([3]enemy_skill_sets!$A:$A),MATCH(AC$1,[3]enemy_skill_sets!$1:$1,0)-MATCH($AB$1,[3]enemy_skill_sets!$1:$1,0)+1),MATCH(AC$1,[3]enemy_skill_sets!$1:$1,0)-MATCH($AB$1,[3]enemy_skill_sets!$1:$1,0)+1,FALSE)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6" s="67">
        <v>1</v>
      </c>
      <c r="AE736" s="67">
        <v>1</v>
      </c>
      <c r="AF736" s="68">
        <v>0</v>
      </c>
      <c r="AG736" s="99">
        <f ca="1">ROUND(VLOOKUP(1,enemy_base_stats!$A:$F,2,FALSE) * Y736* J736*O736*E736*S736*AD736*[2]ステータス!$B$2,0)</f>
        <v>3915</v>
      </c>
      <c r="AH736" s="99">
        <f ca="1">ROUND(VLOOKUP(1,enemy_base_stats!$A:$F,3,FALSE) * Z736*K736*P736*F736*T736*AE736 * W736*[2]ステータス!$C$2,0)</f>
        <v>273</v>
      </c>
      <c r="AI736" s="99">
        <f ca="1">ROUND(VLOOKUP(1,enemy_base_stats!$A:$F,4,FALSE) * AA736*L736*Q736*G736*U736*AF736*[2]ステータス!$D$2,0)</f>
        <v>0</v>
      </c>
      <c r="AJ736" s="99">
        <f ca="1">ROUND(VLOOKUP(100,enemy_base_stats!$A:$F,2,FALSE) * Y736* J736*O736*E736*S736*AD736*[2]ステータス!$B$2,0)</f>
        <v>158953</v>
      </c>
      <c r="AK736" s="99">
        <f ca="1">ROUND(VLOOKUP(100,enemy_base_stats!$A:$F,3,FALSE)* Z736* K736*P736*F736*T736*AE736 * W736*[2]ステータス!$C$2,0)</f>
        <v>11083</v>
      </c>
      <c r="AL736" s="99">
        <f ca="1">ROUND(VLOOKUP(100,enemy_base_stats!$A:$F,4,FALSE)* AA736* L736*Q736*G736*U736*AF736*[2]ステータス!$D$2,0)</f>
        <v>0</v>
      </c>
      <c r="AM736" s="97">
        <f ca="1">VLOOKUP(M736,[2]character_tribe_i18n!$A:$I,9,FALSE)</f>
        <v>400</v>
      </c>
      <c r="AN736" s="97">
        <v>0</v>
      </c>
      <c r="AO736" s="98">
        <v>0</v>
      </c>
      <c r="AP736" s="58" t="s">
        <v>72</v>
      </c>
      <c r="AQ736" s="34">
        <f t="shared" ca="1" si="44"/>
        <v>735</v>
      </c>
    </row>
    <row r="737" spans="1:43" ht="21" customHeight="1" x14ac:dyDescent="0.15">
      <c r="A737" s="7">
        <f t="shared" ca="1" si="43"/>
        <v>736</v>
      </c>
      <c r="B737" s="6" t="str">
        <f ca="1">VLOOKUP(A737,[2]characters!$A:$C,3,FALSE)</f>
        <v>オルトロス</v>
      </c>
      <c r="C737" s="9">
        <f ca="1">VLOOKUP(A737,[2]characters!$A:$I,9,FALSE)</f>
        <v>4</v>
      </c>
      <c r="D737" s="9" t="str">
        <f ca="1">VLOOKUP(A737,[2]characters!$A:$H,8,FALSE)</f>
        <v>red</v>
      </c>
      <c r="E737" s="97">
        <f ca="1">VLOOKUP(D737,[2]属性!$A:$E,2,FALSE)</f>
        <v>1</v>
      </c>
      <c r="F737" s="97">
        <f ca="1">VLOOKUP(D737,[2]属性!$A:$E,3,FALSE)</f>
        <v>1.02</v>
      </c>
      <c r="G737" s="97">
        <f ca="1">VLOOKUP(D737,[2]属性!$A:$F,4,FALSE)</f>
        <v>1</v>
      </c>
      <c r="H737" s="9" t="str">
        <f ca="1">VLOOKUP(A737,[2]characters!$A:$K,11,FALSE)</f>
        <v>hp</v>
      </c>
      <c r="I737" s="6" t="str">
        <f ca="1">VLOOKUP(H737,[2]character_type_i18n!$A:$F,3,FALSE)</f>
        <v>体力タイプ</v>
      </c>
      <c r="J737" s="97">
        <f ca="1">VLOOKUP(H737,[2]character_type_i18n!$A:$F,4,FALSE)</f>
        <v>1.45</v>
      </c>
      <c r="K737" s="97">
        <f ca="1">VLOOKUP(H737,[2]character_type_i18n!$A:$F,5,FALSE)</f>
        <v>0.85</v>
      </c>
      <c r="L737" s="97">
        <f ca="1">VLOOKUP(H737,[2]character_type_i18n!$A:$F,6,FALSE)</f>
        <v>1</v>
      </c>
      <c r="M737" s="9" t="str">
        <f ca="1">VLOOKUP(A737,[2]characters!$A:$M,13,FALSE)</f>
        <v>animal</v>
      </c>
      <c r="N737" s="6" t="str">
        <f ca="1">VLOOKUP(M737,[2]character_tribe_i18n!$A:$F,3,FALSE)</f>
        <v>アニマル</v>
      </c>
      <c r="O737" s="97">
        <f ca="1">VLOOKUP(M737,[2]character_tribe_i18n!$A:$F,4,FALSE)</f>
        <v>1</v>
      </c>
      <c r="P737" s="97">
        <f ca="1">VLOOKUP(M737,[2]character_tribe_i18n!$A:$F,5,FALSE)</f>
        <v>1.1000000000000001</v>
      </c>
      <c r="Q737" s="97">
        <f ca="1">VLOOKUP(M737,[2]character_tribe_i18n!$A:$F,6,FALSE)</f>
        <v>1</v>
      </c>
      <c r="R737" s="98" t="s">
        <v>98</v>
      </c>
      <c r="S737" s="97">
        <f>VLOOKUP($R737,ラベル別係数!$A$1:$E$7,3,FALSE)</f>
        <v>5</v>
      </c>
      <c r="T737" s="97">
        <f>VLOOKUP($R737,ラベル別係数!$A$1:$E$7,4,FALSE)</f>
        <v>1.3</v>
      </c>
      <c r="U737" s="97">
        <f>VLOOKUP($R737,ラベル別係数!$A$1:$E$7,5,FALSE)</f>
        <v>0.8</v>
      </c>
      <c r="V737" s="98">
        <v>3</v>
      </c>
      <c r="W737" s="99">
        <f>VLOOKUP(V737,ターン数別攻撃係数!$A$1:$B$1000,2,FALSE)</f>
        <v>1</v>
      </c>
      <c r="X737" s="9">
        <f ca="1">VLOOKUP(C737,サイズ別係数!A$2:B$9,2,FALSE)</f>
        <v>30</v>
      </c>
      <c r="Y737" s="97">
        <f ca="1">VLOOKUP($X737,サイズ別係数!$B:$E,2,FALSE)</f>
        <v>1.3</v>
      </c>
      <c r="Z737" s="97">
        <f ca="1">VLOOKUP($X737,サイズ別係数!$B:$E,3,FALSE)</f>
        <v>1.3</v>
      </c>
      <c r="AA737" s="97">
        <f ca="1">VLOOKUP($X737,サイズ別係数!$B:$E,4,FALSE)</f>
        <v>1.1000000000000001</v>
      </c>
      <c r="AB737" s="10">
        <v>0</v>
      </c>
      <c r="AC737" s="6" t="str">
        <f ca="1">VLOOKUP($AB737,OFFSET([3]enemy_skill_sets!$B$2,0,0,COUNTA([3]enemy_skill_sets!$A:$A),MATCH(AC$1,[3]enemy_skill_sets!$1:$1,0)-MATCH($AB$1,[3]enemy_skill_sets!$1:$1,0)+1),MATCH(AC$1,[3]enemy_skill_sets!$1:$1,0)-MATCH($AB$1,[3]enemy_skill_sets!$1:$1,0)+1,FALSE)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7" s="67">
        <v>1</v>
      </c>
      <c r="AE737" s="67">
        <v>1</v>
      </c>
      <c r="AF737" s="68">
        <v>0</v>
      </c>
      <c r="AG737" s="99">
        <f ca="1">ROUND(VLOOKUP(1,enemy_base_stats!$A:$F,2,FALSE) * Y737* J737*O737*E737*S737*AD737*[2]ステータス!$B$2,0)</f>
        <v>4713</v>
      </c>
      <c r="AH737" s="99">
        <f ca="1">ROUND(VLOOKUP(1,enemy_base_stats!$A:$F,3,FALSE) * Z737*K737*P737*F737*T737*AE737 * W737*[2]ステータス!$C$2,0)</f>
        <v>242</v>
      </c>
      <c r="AI737" s="99">
        <f ca="1">ROUND(VLOOKUP(1,enemy_base_stats!$A:$F,4,FALSE) * AA737*L737*Q737*G737*U737*AF737*[2]ステータス!$D$2,0)</f>
        <v>0</v>
      </c>
      <c r="AJ737" s="99">
        <f ca="1">ROUND(VLOOKUP(100,enemy_base_stats!$A:$F,2,FALSE) * Y737* J737*O737*E737*S737*AD737*[2]ステータス!$B$2,0)</f>
        <v>191328</v>
      </c>
      <c r="AK737" s="99">
        <f ca="1">ROUND(VLOOKUP(100,enemy_base_stats!$A:$F,3,FALSE)* Z737* K737*P737*F737*T737*AE737 * W737*[2]ステータス!$C$2,0)</f>
        <v>9816</v>
      </c>
      <c r="AL737" s="99">
        <f ca="1">ROUND(VLOOKUP(100,enemy_base_stats!$A:$F,4,FALSE)* AA737* L737*Q737*G737*U737*AF737*[2]ステータス!$D$2,0)</f>
        <v>0</v>
      </c>
      <c r="AM737" s="97">
        <f ca="1">VLOOKUP(M737,[2]character_tribe_i18n!$A:$I,9,FALSE)</f>
        <v>480</v>
      </c>
      <c r="AN737" s="97">
        <v>0</v>
      </c>
      <c r="AO737" s="98">
        <v>0</v>
      </c>
      <c r="AP737" s="58" t="s">
        <v>72</v>
      </c>
      <c r="AQ737" s="34">
        <f t="shared" ca="1" si="44"/>
        <v>736</v>
      </c>
    </row>
    <row r="738" spans="1:43" ht="21" customHeight="1" x14ac:dyDescent="0.15">
      <c r="A738" s="7">
        <f t="shared" ca="1" si="43"/>
        <v>737</v>
      </c>
      <c r="B738" s="6" t="str">
        <f ca="1">VLOOKUP(A738,[2]characters!$A:$C,3,FALSE)</f>
        <v>狂鳴の慟哭 オルトロス</v>
      </c>
      <c r="C738" s="9">
        <f ca="1">VLOOKUP(A738,[2]characters!$A:$I,9,FALSE)</f>
        <v>5</v>
      </c>
      <c r="D738" s="9" t="str">
        <f ca="1">VLOOKUP(A738,[2]characters!$A:$H,8,FALSE)</f>
        <v>red</v>
      </c>
      <c r="E738" s="97">
        <f ca="1">VLOOKUP(D738,[2]属性!$A:$E,2,FALSE)</f>
        <v>1</v>
      </c>
      <c r="F738" s="97">
        <f ca="1">VLOOKUP(D738,[2]属性!$A:$E,3,FALSE)</f>
        <v>1.02</v>
      </c>
      <c r="G738" s="97">
        <f ca="1">VLOOKUP(D738,[2]属性!$A:$F,4,FALSE)</f>
        <v>1</v>
      </c>
      <c r="H738" s="9" t="str">
        <f ca="1">VLOOKUP(A738,[2]characters!$A:$K,11,FALSE)</f>
        <v>hp</v>
      </c>
      <c r="I738" s="6" t="str">
        <f ca="1">VLOOKUP(H738,[2]character_type_i18n!$A:$F,3,FALSE)</f>
        <v>体力タイプ</v>
      </c>
      <c r="J738" s="97">
        <f ca="1">VLOOKUP(H738,[2]character_type_i18n!$A:$F,4,FALSE)</f>
        <v>1.45</v>
      </c>
      <c r="K738" s="97">
        <f ca="1">VLOOKUP(H738,[2]character_type_i18n!$A:$F,5,FALSE)</f>
        <v>0.85</v>
      </c>
      <c r="L738" s="97">
        <f ca="1">VLOOKUP(H738,[2]character_type_i18n!$A:$F,6,FALSE)</f>
        <v>1</v>
      </c>
      <c r="M738" s="9" t="str">
        <f ca="1">VLOOKUP(A738,[2]characters!$A:$M,13,FALSE)</f>
        <v>animal</v>
      </c>
      <c r="N738" s="6" t="str">
        <f ca="1">VLOOKUP(M738,[2]character_tribe_i18n!$A:$F,3,FALSE)</f>
        <v>アニマル</v>
      </c>
      <c r="O738" s="97">
        <f ca="1">VLOOKUP(M738,[2]character_tribe_i18n!$A:$F,4,FALSE)</f>
        <v>1</v>
      </c>
      <c r="P738" s="97">
        <f ca="1">VLOOKUP(M738,[2]character_tribe_i18n!$A:$F,5,FALSE)</f>
        <v>1.1000000000000001</v>
      </c>
      <c r="Q738" s="97">
        <f ca="1">VLOOKUP(M738,[2]character_tribe_i18n!$A:$F,6,FALSE)</f>
        <v>1</v>
      </c>
      <c r="R738" s="98" t="s">
        <v>98</v>
      </c>
      <c r="S738" s="97">
        <f>VLOOKUP($R738,ラベル別係数!$A$1:$E$7,3,FALSE)</f>
        <v>5</v>
      </c>
      <c r="T738" s="97">
        <f>VLOOKUP($R738,ラベル別係数!$A$1:$E$7,4,FALSE)</f>
        <v>1.3</v>
      </c>
      <c r="U738" s="97">
        <f>VLOOKUP($R738,ラベル別係数!$A$1:$E$7,5,FALSE)</f>
        <v>0.8</v>
      </c>
      <c r="V738" s="98">
        <v>3</v>
      </c>
      <c r="W738" s="99">
        <f>VLOOKUP(V738,ターン数別攻撃係数!$A$1:$B$1000,2,FALSE)</f>
        <v>1</v>
      </c>
      <c r="X738" s="9">
        <f ca="1">VLOOKUP(C738,サイズ別係数!A$2:B$9,2,FALSE)</f>
        <v>60</v>
      </c>
      <c r="Y738" s="97">
        <f ca="1">VLOOKUP($X738,サイズ別係数!$B:$E,2,FALSE)</f>
        <v>1.7</v>
      </c>
      <c r="Z738" s="97">
        <f ca="1">VLOOKUP($X738,サイズ別係数!$B:$E,3,FALSE)</f>
        <v>1.4</v>
      </c>
      <c r="AA738" s="97">
        <f ca="1">VLOOKUP($X738,サイズ別係数!$B:$E,4,FALSE)</f>
        <v>1</v>
      </c>
      <c r="AB738" s="10">
        <v>0</v>
      </c>
      <c r="AC738" s="6" t="str">
        <f ca="1">VLOOKUP($AB738,OFFSET([3]enemy_skill_sets!$B$2,0,0,COUNTA([3]enemy_skill_sets!$A:$A),MATCH(AC$1,[3]enemy_skill_sets!$1:$1,0)-MATCH($AB$1,[3]enemy_skill_sets!$1:$1,0)+1),MATCH(AC$1,[3]enemy_skill_sets!$1:$1,0)-MATCH($AB$1,[3]enemy_skill_sets!$1:$1,0)+1,FALSE)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8" s="67">
        <v>1</v>
      </c>
      <c r="AE738" s="67">
        <v>1</v>
      </c>
      <c r="AF738" s="68">
        <v>0</v>
      </c>
      <c r="AG738" s="99">
        <f ca="1">ROUND(VLOOKUP(1,enemy_base_stats!$A:$F,2,FALSE) * Y738* J738*O738*E738*S738*AD738*[2]ステータス!$B$2,0)</f>
        <v>6163</v>
      </c>
      <c r="AH738" s="99">
        <f ca="1">ROUND(VLOOKUP(1,enemy_base_stats!$A:$F,3,FALSE) * Z738*K738*P738*F738*T738*AE738 * W738*[2]ステータス!$C$2,0)</f>
        <v>260</v>
      </c>
      <c r="AI738" s="99">
        <f ca="1">ROUND(VLOOKUP(1,enemy_base_stats!$A:$F,4,FALSE) * AA738*L738*Q738*G738*U738*AF738*[2]ステータス!$D$2,0)</f>
        <v>0</v>
      </c>
      <c r="AJ738" s="99">
        <f ca="1">ROUND(VLOOKUP(100,enemy_base_stats!$A:$F,2,FALSE) * Y738* J738*O738*E738*S738*AD738*[2]ステータス!$B$2,0)</f>
        <v>250198</v>
      </c>
      <c r="AK738" s="99">
        <f ca="1">ROUND(VLOOKUP(100,enemy_base_stats!$A:$F,3,FALSE)* Z738* K738*P738*F738*T738*AE738 * W738*[2]ステータス!$C$2,0)</f>
        <v>10571</v>
      </c>
      <c r="AL738" s="99">
        <f ca="1">ROUND(VLOOKUP(100,enemy_base_stats!$A:$F,4,FALSE)* AA738* L738*Q738*G738*U738*AF738*[2]ステータス!$D$2,0)</f>
        <v>0</v>
      </c>
      <c r="AM738" s="97">
        <f ca="1">VLOOKUP(M738,[2]character_tribe_i18n!$A:$I,9,FALSE)</f>
        <v>480</v>
      </c>
      <c r="AN738" s="97">
        <v>0</v>
      </c>
      <c r="AO738" s="98">
        <v>0</v>
      </c>
      <c r="AP738" s="58" t="s">
        <v>72</v>
      </c>
      <c r="AQ738" s="34">
        <f t="shared" ca="1" si="44"/>
        <v>737</v>
      </c>
    </row>
    <row r="739" spans="1:43" ht="21" customHeight="1" x14ac:dyDescent="0.15">
      <c r="A739" s="7">
        <f t="shared" ca="1" si="43"/>
        <v>738</v>
      </c>
      <c r="B739" s="6" t="str">
        <f ca="1">VLOOKUP(A739,[2]characters!$A:$C,3,FALSE)</f>
        <v>ラドン</v>
      </c>
      <c r="C739" s="9">
        <f ca="1">VLOOKUP(A739,[2]characters!$A:$I,9,FALSE)</f>
        <v>4</v>
      </c>
      <c r="D739" s="9" t="str">
        <f ca="1">VLOOKUP(A739,[2]characters!$A:$H,8,FALSE)</f>
        <v>blue</v>
      </c>
      <c r="E739" s="97">
        <f ca="1">VLOOKUP(D739,[2]属性!$A:$E,2,FALSE)</f>
        <v>1</v>
      </c>
      <c r="F739" s="97">
        <f ca="1">VLOOKUP(D739,[2]属性!$A:$E,3,FALSE)</f>
        <v>0.98</v>
      </c>
      <c r="G739" s="97">
        <f ca="1">VLOOKUP(D739,[2]属性!$A:$F,4,FALSE)</f>
        <v>1</v>
      </c>
      <c r="H739" s="9" t="str">
        <f ca="1">VLOOKUP(A739,[2]characters!$A:$K,11,FALSE)</f>
        <v>balance</v>
      </c>
      <c r="I739" s="6" t="str">
        <f ca="1">VLOOKUP(H739,[2]character_type_i18n!$A:$F,3,FALSE)</f>
        <v>バランスタイプ</v>
      </c>
      <c r="J739" s="97">
        <f ca="1">VLOOKUP(H739,[2]character_type_i18n!$A:$F,4,FALSE)</f>
        <v>1</v>
      </c>
      <c r="K739" s="97">
        <f ca="1">VLOOKUP(H739,[2]character_type_i18n!$A:$F,5,FALSE)</f>
        <v>1</v>
      </c>
      <c r="L739" s="97">
        <f ca="1">VLOOKUP(H739,[2]character_type_i18n!$A:$F,6,FALSE)</f>
        <v>1</v>
      </c>
      <c r="M739" s="9" t="str">
        <f ca="1">VLOOKUP(A739,[2]characters!$A:$M,13,FALSE)</f>
        <v>dragon</v>
      </c>
      <c r="N739" s="6" t="str">
        <f ca="1">VLOOKUP(M739,[2]character_tribe_i18n!$A:$F,3,FALSE)</f>
        <v>ドラゴン</v>
      </c>
      <c r="O739" s="97">
        <f ca="1">VLOOKUP(M739,[2]character_tribe_i18n!$A:$F,4,FALSE)</f>
        <v>1.1499999999999999</v>
      </c>
      <c r="P739" s="97">
        <f ca="1">VLOOKUP(M739,[2]character_tribe_i18n!$A:$F,5,FALSE)</f>
        <v>1.1000000000000001</v>
      </c>
      <c r="Q739" s="97">
        <f ca="1">VLOOKUP(M739,[2]character_tribe_i18n!$A:$F,6,FALSE)</f>
        <v>1</v>
      </c>
      <c r="R739" s="98" t="s">
        <v>98</v>
      </c>
      <c r="S739" s="97">
        <f>VLOOKUP($R739,ラベル別係数!$A$1:$E$7,3,FALSE)</f>
        <v>5</v>
      </c>
      <c r="T739" s="97">
        <f>VLOOKUP($R739,ラベル別係数!$A$1:$E$7,4,FALSE)</f>
        <v>1.3</v>
      </c>
      <c r="U739" s="97">
        <f>VLOOKUP($R739,ラベル別係数!$A$1:$E$7,5,FALSE)</f>
        <v>0.8</v>
      </c>
      <c r="V739" s="98">
        <v>3</v>
      </c>
      <c r="W739" s="99">
        <f>VLOOKUP(V739,ターン数別攻撃係数!$A$1:$B$1000,2,FALSE)</f>
        <v>1</v>
      </c>
      <c r="X739" s="9">
        <f ca="1">VLOOKUP(C739,サイズ別係数!A$2:B$9,2,FALSE)</f>
        <v>30</v>
      </c>
      <c r="Y739" s="97">
        <f ca="1">VLOOKUP($X739,サイズ別係数!$B:$E,2,FALSE)</f>
        <v>1.3</v>
      </c>
      <c r="Z739" s="97">
        <f ca="1">VLOOKUP($X739,サイズ別係数!$B:$E,3,FALSE)</f>
        <v>1.3</v>
      </c>
      <c r="AA739" s="97">
        <f ca="1">VLOOKUP($X739,サイズ別係数!$B:$E,4,FALSE)</f>
        <v>1.1000000000000001</v>
      </c>
      <c r="AB739" s="10">
        <v>0</v>
      </c>
      <c r="AC739" s="6" t="str">
        <f ca="1">VLOOKUP($AB739,OFFSET([3]enemy_skill_sets!$B$2,0,0,COUNTA([3]enemy_skill_sets!$A:$A),MATCH(AC$1,[3]enemy_skill_sets!$1:$1,0)-MATCH($AB$1,[3]enemy_skill_sets!$1:$1,0)+1),MATCH(AC$1,[3]enemy_skill_sets!$1:$1,0)-MATCH($AB$1,[3]enemy_skill_sets!$1:$1,0)+1,FALSE)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39" s="67">
        <v>1</v>
      </c>
      <c r="AE739" s="67">
        <v>1</v>
      </c>
      <c r="AF739" s="68">
        <v>0</v>
      </c>
      <c r="AG739" s="99">
        <f ca="1">ROUND(VLOOKUP(1,enemy_base_stats!$A:$F,2,FALSE) * Y739* J739*O739*E739*S739*AD739*[2]ステータス!$B$2,0)</f>
        <v>3738</v>
      </c>
      <c r="AH739" s="99">
        <f ca="1">ROUND(VLOOKUP(1,enemy_base_stats!$A:$F,3,FALSE) * Z739*K739*P739*F739*T739*AE739 * W739*[2]ステータス!$C$2,0)</f>
        <v>273</v>
      </c>
      <c r="AI739" s="99">
        <f ca="1">ROUND(VLOOKUP(1,enemy_base_stats!$A:$F,4,FALSE) * AA739*L739*Q739*G739*U739*AF739*[2]ステータス!$D$2,0)</f>
        <v>0</v>
      </c>
      <c r="AJ739" s="99">
        <f ca="1">ROUND(VLOOKUP(100,enemy_base_stats!$A:$F,2,FALSE) * Y739* J739*O739*E739*S739*AD739*[2]ステータス!$B$2,0)</f>
        <v>151743</v>
      </c>
      <c r="AK739" s="99">
        <f ca="1">ROUND(VLOOKUP(100,enemy_base_stats!$A:$F,3,FALSE)* Z739* K739*P739*F739*T739*AE739 * W739*[2]ステータス!$C$2,0)</f>
        <v>11095</v>
      </c>
      <c r="AL739" s="99">
        <f ca="1">ROUND(VLOOKUP(100,enemy_base_stats!$A:$F,4,FALSE)* AA739* L739*Q739*G739*U739*AF739*[2]ステータス!$D$2,0)</f>
        <v>0</v>
      </c>
      <c r="AM739" s="97">
        <f ca="1">VLOOKUP(M739,[2]character_tribe_i18n!$A:$I,9,FALSE)</f>
        <v>540</v>
      </c>
      <c r="AN739" s="97">
        <v>0</v>
      </c>
      <c r="AO739" s="98">
        <v>0</v>
      </c>
      <c r="AP739" s="58" t="s">
        <v>72</v>
      </c>
      <c r="AQ739" s="34">
        <f t="shared" ca="1" si="44"/>
        <v>738</v>
      </c>
    </row>
    <row r="740" spans="1:43" ht="21" customHeight="1" x14ac:dyDescent="0.15">
      <c r="A740" s="7">
        <f t="shared" ca="1" si="43"/>
        <v>739</v>
      </c>
      <c r="B740" s="6" t="str">
        <f ca="1">VLOOKUP(A740,[2]characters!$A:$C,3,FALSE)</f>
        <v>寡言の密使 ラドン</v>
      </c>
      <c r="C740" s="9">
        <f ca="1">VLOOKUP(A740,[2]characters!$A:$I,9,FALSE)</f>
        <v>5</v>
      </c>
      <c r="D740" s="9" t="str">
        <f ca="1">VLOOKUP(A740,[2]characters!$A:$H,8,FALSE)</f>
        <v>blue</v>
      </c>
      <c r="E740" s="97">
        <f ca="1">VLOOKUP(D740,[2]属性!$A:$E,2,FALSE)</f>
        <v>1</v>
      </c>
      <c r="F740" s="97">
        <f ca="1">VLOOKUP(D740,[2]属性!$A:$E,3,FALSE)</f>
        <v>0.98</v>
      </c>
      <c r="G740" s="97">
        <f ca="1">VLOOKUP(D740,[2]属性!$A:$F,4,FALSE)</f>
        <v>1</v>
      </c>
      <c r="H740" s="9" t="str">
        <f ca="1">VLOOKUP(A740,[2]characters!$A:$K,11,FALSE)</f>
        <v>balance</v>
      </c>
      <c r="I740" s="6" t="str">
        <f ca="1">VLOOKUP(H740,[2]character_type_i18n!$A:$F,3,FALSE)</f>
        <v>バランスタイプ</v>
      </c>
      <c r="J740" s="97">
        <f ca="1">VLOOKUP(H740,[2]character_type_i18n!$A:$F,4,FALSE)</f>
        <v>1</v>
      </c>
      <c r="K740" s="97">
        <f ca="1">VLOOKUP(H740,[2]character_type_i18n!$A:$F,5,FALSE)</f>
        <v>1</v>
      </c>
      <c r="L740" s="97">
        <f ca="1">VLOOKUP(H740,[2]character_type_i18n!$A:$F,6,FALSE)</f>
        <v>1</v>
      </c>
      <c r="M740" s="9" t="str">
        <f ca="1">VLOOKUP(A740,[2]characters!$A:$M,13,FALSE)</f>
        <v>dragon</v>
      </c>
      <c r="N740" s="6" t="str">
        <f ca="1">VLOOKUP(M740,[2]character_tribe_i18n!$A:$F,3,FALSE)</f>
        <v>ドラゴン</v>
      </c>
      <c r="O740" s="97">
        <f ca="1">VLOOKUP(M740,[2]character_tribe_i18n!$A:$F,4,FALSE)</f>
        <v>1.1499999999999999</v>
      </c>
      <c r="P740" s="97">
        <f ca="1">VLOOKUP(M740,[2]character_tribe_i18n!$A:$F,5,FALSE)</f>
        <v>1.1000000000000001</v>
      </c>
      <c r="Q740" s="97">
        <f ca="1">VLOOKUP(M740,[2]character_tribe_i18n!$A:$F,6,FALSE)</f>
        <v>1</v>
      </c>
      <c r="R740" s="98" t="s">
        <v>98</v>
      </c>
      <c r="S740" s="97">
        <f>VLOOKUP($R740,ラベル別係数!$A$1:$E$7,3,FALSE)</f>
        <v>5</v>
      </c>
      <c r="T740" s="97">
        <f>VLOOKUP($R740,ラベル別係数!$A$1:$E$7,4,FALSE)</f>
        <v>1.3</v>
      </c>
      <c r="U740" s="97">
        <f>VLOOKUP($R740,ラベル別係数!$A$1:$E$7,5,FALSE)</f>
        <v>0.8</v>
      </c>
      <c r="V740" s="98">
        <v>3</v>
      </c>
      <c r="W740" s="99">
        <f>VLOOKUP(V740,ターン数別攻撃係数!$A$1:$B$1000,2,FALSE)</f>
        <v>1</v>
      </c>
      <c r="X740" s="9">
        <f ca="1">VLOOKUP(C740,サイズ別係数!A$2:B$9,2,FALSE)</f>
        <v>60</v>
      </c>
      <c r="Y740" s="97">
        <f ca="1">VLOOKUP($X740,サイズ別係数!$B:$E,2,FALSE)</f>
        <v>1.7</v>
      </c>
      <c r="Z740" s="97">
        <f ca="1">VLOOKUP($X740,サイズ別係数!$B:$E,3,FALSE)</f>
        <v>1.4</v>
      </c>
      <c r="AA740" s="97">
        <f ca="1">VLOOKUP($X740,サイズ別係数!$B:$E,4,FALSE)</f>
        <v>1</v>
      </c>
      <c r="AB740" s="10">
        <v>0</v>
      </c>
      <c r="AC740" s="6" t="str">
        <f ca="1">VLOOKUP($AB740,OFFSET([3]enemy_skill_sets!$B$2,0,0,COUNTA([3]enemy_skill_sets!$A:$A),MATCH(AC$1,[3]enemy_skill_sets!$1:$1,0)-MATCH($AB$1,[3]enemy_skill_sets!$1:$1,0)+1),MATCH(AC$1,[3]enemy_skill_sets!$1:$1,0)-MATCH($AB$1,[3]enemy_skill_sets!$1:$1,0)+1,FALSE)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0" s="67">
        <v>1</v>
      </c>
      <c r="AE740" s="67">
        <v>1</v>
      </c>
      <c r="AF740" s="68">
        <v>0</v>
      </c>
      <c r="AG740" s="99">
        <f ca="1">ROUND(VLOOKUP(1,enemy_base_stats!$A:$F,2,FALSE) * Y740* J740*O740*E740*S740*AD740*[2]ステータス!$B$2,0)</f>
        <v>4888</v>
      </c>
      <c r="AH740" s="99">
        <f ca="1">ROUND(VLOOKUP(1,enemy_base_stats!$A:$F,3,FALSE) * Z740*K740*P740*F740*T740*AE740 * W740*[2]ステータス!$C$2,0)</f>
        <v>294</v>
      </c>
      <c r="AI740" s="99">
        <f ca="1">ROUND(VLOOKUP(1,enemy_base_stats!$A:$F,4,FALSE) * AA740*L740*Q740*G740*U740*AF740*[2]ステータス!$D$2,0)</f>
        <v>0</v>
      </c>
      <c r="AJ740" s="99">
        <f ca="1">ROUND(VLOOKUP(100,enemy_base_stats!$A:$F,2,FALSE) * Y740* J740*O740*E740*S740*AD740*[2]ステータス!$B$2,0)</f>
        <v>198433</v>
      </c>
      <c r="AK740" s="99">
        <f ca="1">ROUND(VLOOKUP(100,enemy_base_stats!$A:$F,3,FALSE)* Z740* K740*P740*F740*T740*AE740 * W740*[2]ステータス!$C$2,0)</f>
        <v>11948</v>
      </c>
      <c r="AL740" s="99">
        <f ca="1">ROUND(VLOOKUP(100,enemy_base_stats!$A:$F,4,FALSE)* AA740* L740*Q740*G740*U740*AF740*[2]ステータス!$D$2,0)</f>
        <v>0</v>
      </c>
      <c r="AM740" s="97">
        <f ca="1">VLOOKUP(M740,[2]character_tribe_i18n!$A:$I,9,FALSE)</f>
        <v>540</v>
      </c>
      <c r="AN740" s="97">
        <v>0</v>
      </c>
      <c r="AO740" s="98">
        <v>0</v>
      </c>
      <c r="AP740" s="58" t="s">
        <v>72</v>
      </c>
      <c r="AQ740" s="34">
        <f t="shared" ca="1" si="44"/>
        <v>739</v>
      </c>
    </row>
    <row r="741" spans="1:43" ht="21" customHeight="1" x14ac:dyDescent="0.15">
      <c r="A741" s="7">
        <f t="shared" ca="1" si="43"/>
        <v>740</v>
      </c>
      <c r="B741" s="6" t="str">
        <f ca="1">VLOOKUP(A741,[2]characters!$A:$C,3,FALSE)</f>
        <v>テュポーン</v>
      </c>
      <c r="C741" s="9">
        <f ca="1">VLOOKUP(A741,[2]characters!$A:$I,9,FALSE)</f>
        <v>5</v>
      </c>
      <c r="D741" s="9" t="str">
        <f ca="1">VLOOKUP(A741,[2]characters!$A:$H,8,FALSE)</f>
        <v>yellow</v>
      </c>
      <c r="E741" s="97">
        <f ca="1">VLOOKUP(D741,[2]属性!$A:$E,2,FALSE)</f>
        <v>0.98</v>
      </c>
      <c r="F741" s="97">
        <f ca="1">VLOOKUP(D741,[2]属性!$A:$E,3,FALSE)</f>
        <v>1.01</v>
      </c>
      <c r="G741" s="97">
        <f ca="1">VLOOKUP(D741,[2]属性!$A:$F,4,FALSE)</f>
        <v>1</v>
      </c>
      <c r="H741" s="9" t="str">
        <f ca="1">VLOOKUP(A741,[2]characters!$A:$K,11,FALSE)</f>
        <v>attack</v>
      </c>
      <c r="I741" s="6" t="str">
        <f ca="1">VLOOKUP(H741,[2]character_type_i18n!$A:$F,3,FALSE)</f>
        <v>攻撃タイプ</v>
      </c>
      <c r="J741" s="97">
        <f ca="1">VLOOKUP(H741,[2]character_type_i18n!$A:$F,4,FALSE)</f>
        <v>1</v>
      </c>
      <c r="K741" s="97">
        <f ca="1">VLOOKUP(H741,[2]character_type_i18n!$A:$F,5,FALSE)</f>
        <v>1.33</v>
      </c>
      <c r="L741" s="97">
        <f ca="1">VLOOKUP(H741,[2]character_type_i18n!$A:$F,6,FALSE)</f>
        <v>1</v>
      </c>
      <c r="M741" s="9" t="str">
        <f ca="1">VLOOKUP(A741,[2]characters!$A:$M,13,FALSE)</f>
        <v>dragon</v>
      </c>
      <c r="N741" s="6" t="str">
        <f ca="1">VLOOKUP(M741,[2]character_tribe_i18n!$A:$F,3,FALSE)</f>
        <v>ドラゴン</v>
      </c>
      <c r="O741" s="97">
        <f ca="1">VLOOKUP(M741,[2]character_tribe_i18n!$A:$F,4,FALSE)</f>
        <v>1.1499999999999999</v>
      </c>
      <c r="P741" s="97">
        <f ca="1">VLOOKUP(M741,[2]character_tribe_i18n!$A:$F,5,FALSE)</f>
        <v>1.1000000000000001</v>
      </c>
      <c r="Q741" s="97">
        <f ca="1">VLOOKUP(M741,[2]character_tribe_i18n!$A:$F,6,FALSE)</f>
        <v>1</v>
      </c>
      <c r="R741" s="98" t="s">
        <v>98</v>
      </c>
      <c r="S741" s="97">
        <f>VLOOKUP($R741,ラベル別係数!$A$1:$E$7,3,FALSE)</f>
        <v>5</v>
      </c>
      <c r="T741" s="97">
        <f>VLOOKUP($R741,ラベル別係数!$A$1:$E$7,4,FALSE)</f>
        <v>1.3</v>
      </c>
      <c r="U741" s="97">
        <f>VLOOKUP($R741,ラベル別係数!$A$1:$E$7,5,FALSE)</f>
        <v>0.8</v>
      </c>
      <c r="V741" s="98">
        <v>3</v>
      </c>
      <c r="W741" s="99">
        <f>VLOOKUP(V741,ターン数別攻撃係数!$A$1:$B$1000,2,FALSE)</f>
        <v>1</v>
      </c>
      <c r="X741" s="9">
        <f ca="1">VLOOKUP(C741,サイズ別係数!A$2:B$9,2,FALSE)</f>
        <v>60</v>
      </c>
      <c r="Y741" s="97">
        <f ca="1">VLOOKUP($X741,サイズ別係数!$B:$E,2,FALSE)</f>
        <v>1.7</v>
      </c>
      <c r="Z741" s="97">
        <f ca="1">VLOOKUP($X741,サイズ別係数!$B:$E,3,FALSE)</f>
        <v>1.4</v>
      </c>
      <c r="AA741" s="97">
        <f ca="1">VLOOKUP($X741,サイズ別係数!$B:$E,4,FALSE)</f>
        <v>1</v>
      </c>
      <c r="AB741" s="10">
        <v>0</v>
      </c>
      <c r="AC741" s="6" t="str">
        <f ca="1">VLOOKUP($AB741,OFFSET([3]enemy_skill_sets!$B$2,0,0,COUNTA([3]enemy_skill_sets!$A:$A),MATCH(AC$1,[3]enemy_skill_sets!$1:$1,0)-MATCH($AB$1,[3]enemy_skill_sets!$1:$1,0)+1),MATCH(AC$1,[3]enemy_skill_sets!$1:$1,0)-MATCH($AB$1,[3]enemy_skill_sets!$1:$1,0)+1,FALSE)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1" s="67">
        <v>1</v>
      </c>
      <c r="AE741" s="67">
        <v>1</v>
      </c>
      <c r="AF741" s="68">
        <v>0</v>
      </c>
      <c r="AG741" s="99">
        <f ca="1">ROUND(VLOOKUP(1,enemy_base_stats!$A:$F,2,FALSE) * Y741* J741*O741*E741*S741*AD741*[2]ステータス!$B$2,0)</f>
        <v>4790</v>
      </c>
      <c r="AH741" s="99">
        <f ca="1">ROUND(VLOOKUP(1,enemy_base_stats!$A:$F,3,FALSE) * Z741*K741*P741*F741*T741*AE741 * W741*[2]ステータス!$C$2,0)</f>
        <v>403</v>
      </c>
      <c r="AI741" s="99">
        <f ca="1">ROUND(VLOOKUP(1,enemy_base_stats!$A:$F,4,FALSE) * AA741*L741*Q741*G741*U741*AF741*[2]ステータス!$D$2,0)</f>
        <v>0</v>
      </c>
      <c r="AJ741" s="99">
        <f ca="1">ROUND(VLOOKUP(100,enemy_base_stats!$A:$F,2,FALSE) * Y741* J741*O741*E741*S741*AD741*[2]ステータス!$B$2,0)</f>
        <v>194464</v>
      </c>
      <c r="AK741" s="99">
        <f ca="1">ROUND(VLOOKUP(100,enemy_base_stats!$A:$F,3,FALSE)* Z741* K741*P741*F741*T741*AE741 * W741*[2]ステータス!$C$2,0)</f>
        <v>16378</v>
      </c>
      <c r="AL741" s="99">
        <f ca="1">ROUND(VLOOKUP(100,enemy_base_stats!$A:$F,4,FALSE)* AA741* L741*Q741*G741*U741*AF741*[2]ステータス!$D$2,0)</f>
        <v>0</v>
      </c>
      <c r="AM741" s="97">
        <f ca="1">VLOOKUP(M741,[2]character_tribe_i18n!$A:$I,9,FALSE)</f>
        <v>540</v>
      </c>
      <c r="AN741" s="97">
        <v>0</v>
      </c>
      <c r="AO741" s="98">
        <v>0</v>
      </c>
      <c r="AP741" s="58" t="s">
        <v>72</v>
      </c>
      <c r="AQ741" s="34">
        <f t="shared" ca="1" si="44"/>
        <v>740</v>
      </c>
    </row>
    <row r="742" spans="1:43" ht="21" customHeight="1" x14ac:dyDescent="0.15">
      <c r="A742" s="7">
        <f t="shared" ca="1" si="43"/>
        <v>741</v>
      </c>
      <c r="B742" s="6" t="str">
        <f ca="1">VLOOKUP(A742,[2]characters!$A:$C,3,FALSE)</f>
        <v>皆滅の戦鬼 テュポーン</v>
      </c>
      <c r="C742" s="9">
        <f ca="1">VLOOKUP(A742,[2]characters!$A:$I,9,FALSE)</f>
        <v>6</v>
      </c>
      <c r="D742" s="9" t="str">
        <f ca="1">VLOOKUP(A742,[2]characters!$A:$H,8,FALSE)</f>
        <v>yellow</v>
      </c>
      <c r="E742" s="97">
        <f ca="1">VLOOKUP(D742,[2]属性!$A:$E,2,FALSE)</f>
        <v>0.98</v>
      </c>
      <c r="F742" s="97">
        <f ca="1">VLOOKUP(D742,[2]属性!$A:$E,3,FALSE)</f>
        <v>1.01</v>
      </c>
      <c r="G742" s="97">
        <f ca="1">VLOOKUP(D742,[2]属性!$A:$F,4,FALSE)</f>
        <v>1</v>
      </c>
      <c r="H742" s="9" t="str">
        <f ca="1">VLOOKUP(A742,[2]characters!$A:$K,11,FALSE)</f>
        <v>attack</v>
      </c>
      <c r="I742" s="6" t="str">
        <f ca="1">VLOOKUP(H742,[2]character_type_i18n!$A:$F,3,FALSE)</f>
        <v>攻撃タイプ</v>
      </c>
      <c r="J742" s="97">
        <f ca="1">VLOOKUP(H742,[2]character_type_i18n!$A:$F,4,FALSE)</f>
        <v>1</v>
      </c>
      <c r="K742" s="97">
        <f ca="1">VLOOKUP(H742,[2]character_type_i18n!$A:$F,5,FALSE)</f>
        <v>1.33</v>
      </c>
      <c r="L742" s="97">
        <f ca="1">VLOOKUP(H742,[2]character_type_i18n!$A:$F,6,FALSE)</f>
        <v>1</v>
      </c>
      <c r="M742" s="9" t="str">
        <f ca="1">VLOOKUP(A742,[2]characters!$A:$M,13,FALSE)</f>
        <v>dragon</v>
      </c>
      <c r="N742" s="6" t="str">
        <f ca="1">VLOOKUP(M742,[2]character_tribe_i18n!$A:$F,3,FALSE)</f>
        <v>ドラゴン</v>
      </c>
      <c r="O742" s="97">
        <f ca="1">VLOOKUP(M742,[2]character_tribe_i18n!$A:$F,4,FALSE)</f>
        <v>1.1499999999999999</v>
      </c>
      <c r="P742" s="97">
        <f ca="1">VLOOKUP(M742,[2]character_tribe_i18n!$A:$F,5,FALSE)</f>
        <v>1.1000000000000001</v>
      </c>
      <c r="Q742" s="97">
        <f ca="1">VLOOKUP(M742,[2]character_tribe_i18n!$A:$F,6,FALSE)</f>
        <v>1</v>
      </c>
      <c r="R742" s="98" t="s">
        <v>98</v>
      </c>
      <c r="S742" s="97">
        <f>VLOOKUP($R742,ラベル別係数!$A$1:$E$7,3,FALSE)</f>
        <v>5</v>
      </c>
      <c r="T742" s="97">
        <f>VLOOKUP($R742,ラベル別係数!$A$1:$E$7,4,FALSE)</f>
        <v>1.3</v>
      </c>
      <c r="U742" s="97">
        <f>VLOOKUP($R742,ラベル別係数!$A$1:$E$7,5,FALSE)</f>
        <v>0.8</v>
      </c>
      <c r="V742" s="98">
        <v>3</v>
      </c>
      <c r="W742" s="99">
        <f>VLOOKUP(V742,ターン数別攻撃係数!$A$1:$B$1000,2,FALSE)</f>
        <v>1</v>
      </c>
      <c r="X742" s="9">
        <f ca="1">VLOOKUP(C742,サイズ別係数!A$2:B$9,2,FALSE)</f>
        <v>60</v>
      </c>
      <c r="Y742" s="97">
        <f ca="1">VLOOKUP($X742,サイズ別係数!$B:$E,2,FALSE)</f>
        <v>1.7</v>
      </c>
      <c r="Z742" s="97">
        <f ca="1">VLOOKUP($X742,サイズ別係数!$B:$E,3,FALSE)</f>
        <v>1.4</v>
      </c>
      <c r="AA742" s="97">
        <f ca="1">VLOOKUP($X742,サイズ別係数!$B:$E,4,FALSE)</f>
        <v>1</v>
      </c>
      <c r="AB742" s="10">
        <v>0</v>
      </c>
      <c r="AC742" s="6" t="str">
        <f ca="1">VLOOKUP($AB742,OFFSET([3]enemy_skill_sets!$B$2,0,0,COUNTA([3]enemy_skill_sets!$A:$A),MATCH(AC$1,[3]enemy_skill_sets!$1:$1,0)-MATCH($AB$1,[3]enemy_skill_sets!$1:$1,0)+1),MATCH(AC$1,[3]enemy_skill_sets!$1:$1,0)-MATCH($AB$1,[3]enemy_skill_sets!$1:$1,0)+1,FALSE)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2" s="67">
        <v>1</v>
      </c>
      <c r="AE742" s="67">
        <v>1</v>
      </c>
      <c r="AF742" s="68">
        <v>0</v>
      </c>
      <c r="AG742" s="99">
        <f ca="1">ROUND(VLOOKUP(1,enemy_base_stats!$A:$F,2,FALSE) * Y742* J742*O742*E742*S742*AD742*[2]ステータス!$B$2,0)</f>
        <v>4790</v>
      </c>
      <c r="AH742" s="99">
        <f ca="1">ROUND(VLOOKUP(1,enemy_base_stats!$A:$F,3,FALSE) * Z742*K742*P742*F742*T742*AE742 * W742*[2]ステータス!$C$2,0)</f>
        <v>403</v>
      </c>
      <c r="AI742" s="99">
        <f ca="1">ROUND(VLOOKUP(1,enemy_base_stats!$A:$F,4,FALSE) * AA742*L742*Q742*G742*U742*AF742*[2]ステータス!$D$2,0)</f>
        <v>0</v>
      </c>
      <c r="AJ742" s="99">
        <f ca="1">ROUND(VLOOKUP(100,enemy_base_stats!$A:$F,2,FALSE) * Y742* J742*O742*E742*S742*AD742*[2]ステータス!$B$2,0)</f>
        <v>194464</v>
      </c>
      <c r="AK742" s="99">
        <f ca="1">ROUND(VLOOKUP(100,enemy_base_stats!$A:$F,3,FALSE)* Z742* K742*P742*F742*T742*AE742 * W742*[2]ステータス!$C$2,0)</f>
        <v>16378</v>
      </c>
      <c r="AL742" s="99">
        <f ca="1">ROUND(VLOOKUP(100,enemy_base_stats!$A:$F,4,FALSE)* AA742* L742*Q742*G742*U742*AF742*[2]ステータス!$D$2,0)</f>
        <v>0</v>
      </c>
      <c r="AM742" s="97">
        <f ca="1">VLOOKUP(M742,[2]character_tribe_i18n!$A:$I,9,FALSE)</f>
        <v>540</v>
      </c>
      <c r="AN742" s="97">
        <v>0</v>
      </c>
      <c r="AO742" s="98">
        <v>0</v>
      </c>
      <c r="AP742" s="58" t="s">
        <v>72</v>
      </c>
      <c r="AQ742" s="34">
        <f t="shared" ca="1" si="44"/>
        <v>741</v>
      </c>
    </row>
    <row r="743" spans="1:43" ht="21" customHeight="1" x14ac:dyDescent="0.15">
      <c r="A743" s="7">
        <f t="shared" ca="1" si="43"/>
        <v>742</v>
      </c>
      <c r="B743" s="6" t="str">
        <f ca="1">VLOOKUP(A743,[2]characters!$A:$C,3,FALSE)</f>
        <v>アポロン</v>
      </c>
      <c r="C743" s="9">
        <f ca="1">VLOOKUP(A743,[2]characters!$A:$I,9,FALSE)</f>
        <v>5</v>
      </c>
      <c r="D743" s="9" t="str">
        <f ca="1">VLOOKUP(A743,[2]characters!$A:$H,8,FALSE)</f>
        <v>red</v>
      </c>
      <c r="E743" s="97">
        <f ca="1">VLOOKUP(D743,[2]属性!$A:$E,2,FALSE)</f>
        <v>1</v>
      </c>
      <c r="F743" s="97">
        <f ca="1">VLOOKUP(D743,[2]属性!$A:$E,3,FALSE)</f>
        <v>1.02</v>
      </c>
      <c r="G743" s="97">
        <f ca="1">VLOOKUP(D743,[2]属性!$A:$F,4,FALSE)</f>
        <v>1</v>
      </c>
      <c r="H743" s="9" t="str">
        <f ca="1">VLOOKUP(A743,[2]characters!$A:$K,11,FALSE)</f>
        <v>attack</v>
      </c>
      <c r="I743" s="6" t="str">
        <f ca="1">VLOOKUP(H743,[2]character_type_i18n!$A:$F,3,FALSE)</f>
        <v>攻撃タイプ</v>
      </c>
      <c r="J743" s="97">
        <f ca="1">VLOOKUP(H743,[2]character_type_i18n!$A:$F,4,FALSE)</f>
        <v>1</v>
      </c>
      <c r="K743" s="97">
        <f ca="1">VLOOKUP(H743,[2]character_type_i18n!$A:$F,5,FALSE)</f>
        <v>1.33</v>
      </c>
      <c r="L743" s="97">
        <f ca="1">VLOOKUP(H743,[2]character_type_i18n!$A:$F,6,FALSE)</f>
        <v>1</v>
      </c>
      <c r="M743" s="9" t="str">
        <f ca="1">VLOOKUP(A743,[2]characters!$A:$M,13,FALSE)</f>
        <v>god</v>
      </c>
      <c r="N743" s="6" t="str">
        <f ca="1">VLOOKUP(M743,[2]character_tribe_i18n!$A:$F,3,FALSE)</f>
        <v>ゴッド</v>
      </c>
      <c r="O743" s="97">
        <f ca="1">VLOOKUP(M743,[2]character_tribe_i18n!$A:$F,4,FALSE)</f>
        <v>0.96</v>
      </c>
      <c r="P743" s="97">
        <f ca="1">VLOOKUP(M743,[2]character_tribe_i18n!$A:$F,5,FALSE)</f>
        <v>1.02</v>
      </c>
      <c r="Q743" s="97">
        <f ca="1">VLOOKUP(M743,[2]character_tribe_i18n!$A:$F,6,FALSE)</f>
        <v>1</v>
      </c>
      <c r="R743" s="98" t="s">
        <v>98</v>
      </c>
      <c r="S743" s="97">
        <f>VLOOKUP($R743,ラベル別係数!$A$1:$E$7,3,FALSE)</f>
        <v>5</v>
      </c>
      <c r="T743" s="97">
        <f>VLOOKUP($R743,ラベル別係数!$A$1:$E$7,4,FALSE)</f>
        <v>1.3</v>
      </c>
      <c r="U743" s="97">
        <f>VLOOKUP($R743,ラベル別係数!$A$1:$E$7,5,FALSE)</f>
        <v>0.8</v>
      </c>
      <c r="V743" s="98">
        <v>3</v>
      </c>
      <c r="W743" s="99">
        <f>VLOOKUP(V743,ターン数別攻撃係数!$A$1:$B$1000,2,FALSE)</f>
        <v>1</v>
      </c>
      <c r="X743" s="9">
        <f ca="1">VLOOKUP(C743,サイズ別係数!A$2:B$9,2,FALSE)</f>
        <v>60</v>
      </c>
      <c r="Y743" s="97">
        <f ca="1">VLOOKUP($X743,サイズ別係数!$B:$E,2,FALSE)</f>
        <v>1.7</v>
      </c>
      <c r="Z743" s="97">
        <f ca="1">VLOOKUP($X743,サイズ別係数!$B:$E,3,FALSE)</f>
        <v>1.4</v>
      </c>
      <c r="AA743" s="97">
        <f ca="1">VLOOKUP($X743,サイズ別係数!$B:$E,4,FALSE)</f>
        <v>1</v>
      </c>
      <c r="AB743" s="10">
        <v>0</v>
      </c>
      <c r="AC743" s="6" t="str">
        <f ca="1">VLOOKUP($AB743,OFFSET([3]enemy_skill_sets!$B$2,0,0,COUNTA([3]enemy_skill_sets!$A:$A),MATCH(AC$1,[3]enemy_skill_sets!$1:$1,0)-MATCH($AB$1,[3]enemy_skill_sets!$1:$1,0)+1),MATCH(AC$1,[3]enemy_skill_sets!$1:$1,0)-MATCH($AB$1,[3]enemy_skill_sets!$1:$1,0)+1,FALSE)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3" s="67">
        <v>1</v>
      </c>
      <c r="AE743" s="67">
        <v>1</v>
      </c>
      <c r="AF743" s="68">
        <v>0</v>
      </c>
      <c r="AG743" s="99">
        <f ca="1">ROUND(VLOOKUP(1,enemy_base_stats!$A:$F,2,FALSE) * Y743* J743*O743*E743*S743*AD743*[2]ステータス!$B$2,0)</f>
        <v>4080</v>
      </c>
      <c r="AH743" s="99">
        <f ca="1">ROUND(VLOOKUP(1,enemy_base_stats!$A:$F,3,FALSE) * Z743*K743*P743*F743*T743*AE743 * W743*[2]ステータス!$C$2,0)</f>
        <v>378</v>
      </c>
      <c r="AI743" s="99">
        <f ca="1">ROUND(VLOOKUP(1,enemy_base_stats!$A:$F,4,FALSE) * AA743*L743*Q743*G743*U743*AF743*[2]ステータス!$D$2,0)</f>
        <v>0</v>
      </c>
      <c r="AJ743" s="99">
        <f ca="1">ROUND(VLOOKUP(100,enemy_base_stats!$A:$F,2,FALSE) * Y743* J743*O743*E743*S743*AD743*[2]ステータス!$B$2,0)</f>
        <v>165648</v>
      </c>
      <c r="AK743" s="99">
        <f ca="1">ROUND(VLOOKUP(100,enemy_base_stats!$A:$F,3,FALSE)* Z743* K743*P743*F743*T743*AE743 * W743*[2]ステータス!$C$2,0)</f>
        <v>15337</v>
      </c>
      <c r="AL743" s="99">
        <f ca="1">ROUND(VLOOKUP(100,enemy_base_stats!$A:$F,4,FALSE)* AA743* L743*Q743*G743*U743*AF743*[2]ステータス!$D$2,0)</f>
        <v>0</v>
      </c>
      <c r="AM743" s="97">
        <f ca="1">VLOOKUP(M743,[2]character_tribe_i18n!$A:$I,9,FALSE)</f>
        <v>680</v>
      </c>
      <c r="AN743" s="97">
        <v>0</v>
      </c>
      <c r="AO743" s="98">
        <v>0</v>
      </c>
      <c r="AP743" s="58" t="s">
        <v>72</v>
      </c>
      <c r="AQ743" s="34">
        <f t="shared" ca="1" si="44"/>
        <v>742</v>
      </c>
    </row>
    <row r="744" spans="1:43" ht="21" customHeight="1" x14ac:dyDescent="0.15">
      <c r="A744" s="7">
        <f t="shared" ca="1" si="43"/>
        <v>743</v>
      </c>
      <c r="B744" s="6" t="str">
        <f ca="1">VLOOKUP(A744,[2]characters!$A:$C,3,FALSE)</f>
        <v>弩級の洸源 アポロン</v>
      </c>
      <c r="C744" s="9">
        <f ca="1">VLOOKUP(A744,[2]characters!$A:$I,9,FALSE)</f>
        <v>6</v>
      </c>
      <c r="D744" s="9" t="str">
        <f ca="1">VLOOKUP(A744,[2]characters!$A:$H,8,FALSE)</f>
        <v>red</v>
      </c>
      <c r="E744" s="97">
        <f ca="1">VLOOKUP(D744,[2]属性!$A:$E,2,FALSE)</f>
        <v>1</v>
      </c>
      <c r="F744" s="97">
        <f ca="1">VLOOKUP(D744,[2]属性!$A:$E,3,FALSE)</f>
        <v>1.02</v>
      </c>
      <c r="G744" s="97">
        <f ca="1">VLOOKUP(D744,[2]属性!$A:$F,4,FALSE)</f>
        <v>1</v>
      </c>
      <c r="H744" s="9" t="str">
        <f ca="1">VLOOKUP(A744,[2]characters!$A:$K,11,FALSE)</f>
        <v>attack</v>
      </c>
      <c r="I744" s="6" t="str">
        <f ca="1">VLOOKUP(H744,[2]character_type_i18n!$A:$F,3,FALSE)</f>
        <v>攻撃タイプ</v>
      </c>
      <c r="J744" s="97">
        <f ca="1">VLOOKUP(H744,[2]character_type_i18n!$A:$F,4,FALSE)</f>
        <v>1</v>
      </c>
      <c r="K744" s="97">
        <f ca="1">VLOOKUP(H744,[2]character_type_i18n!$A:$F,5,FALSE)</f>
        <v>1.33</v>
      </c>
      <c r="L744" s="97">
        <f ca="1">VLOOKUP(H744,[2]character_type_i18n!$A:$F,6,FALSE)</f>
        <v>1</v>
      </c>
      <c r="M744" s="9" t="str">
        <f ca="1">VLOOKUP(A744,[2]characters!$A:$M,13,FALSE)</f>
        <v>god</v>
      </c>
      <c r="N744" s="6" t="str">
        <f ca="1">VLOOKUP(M744,[2]character_tribe_i18n!$A:$F,3,FALSE)</f>
        <v>ゴッド</v>
      </c>
      <c r="O744" s="97">
        <f ca="1">VLOOKUP(M744,[2]character_tribe_i18n!$A:$F,4,FALSE)</f>
        <v>0.96</v>
      </c>
      <c r="P744" s="97">
        <f ca="1">VLOOKUP(M744,[2]character_tribe_i18n!$A:$F,5,FALSE)</f>
        <v>1.02</v>
      </c>
      <c r="Q744" s="97">
        <f ca="1">VLOOKUP(M744,[2]character_tribe_i18n!$A:$F,6,FALSE)</f>
        <v>1</v>
      </c>
      <c r="R744" s="98" t="s">
        <v>98</v>
      </c>
      <c r="S744" s="97">
        <f>VLOOKUP($R744,ラベル別係数!$A$1:$E$7,3,FALSE)</f>
        <v>5</v>
      </c>
      <c r="T744" s="97">
        <f>VLOOKUP($R744,ラベル別係数!$A$1:$E$7,4,FALSE)</f>
        <v>1.3</v>
      </c>
      <c r="U744" s="97">
        <f>VLOOKUP($R744,ラベル別係数!$A$1:$E$7,5,FALSE)</f>
        <v>0.8</v>
      </c>
      <c r="V744" s="98">
        <v>3</v>
      </c>
      <c r="W744" s="99">
        <f>VLOOKUP(V744,ターン数別攻撃係数!$A$1:$B$1000,2,FALSE)</f>
        <v>1</v>
      </c>
      <c r="X744" s="9">
        <f ca="1">VLOOKUP(C744,サイズ別係数!A$2:B$9,2,FALSE)</f>
        <v>60</v>
      </c>
      <c r="Y744" s="97">
        <f ca="1">VLOOKUP($X744,サイズ別係数!$B:$E,2,FALSE)</f>
        <v>1.7</v>
      </c>
      <c r="Z744" s="97">
        <f ca="1">VLOOKUP($X744,サイズ別係数!$B:$E,3,FALSE)</f>
        <v>1.4</v>
      </c>
      <c r="AA744" s="97">
        <f ca="1">VLOOKUP($X744,サイズ別係数!$B:$E,4,FALSE)</f>
        <v>1</v>
      </c>
      <c r="AB744" s="10">
        <v>0</v>
      </c>
      <c r="AC744" s="6" t="str">
        <f ca="1">VLOOKUP($AB744,OFFSET([3]enemy_skill_sets!$B$2,0,0,COUNTA([3]enemy_skill_sets!$A:$A),MATCH(AC$1,[3]enemy_skill_sets!$1:$1,0)-MATCH($AB$1,[3]enemy_skill_sets!$1:$1,0)+1),MATCH(AC$1,[3]enemy_skill_sets!$1:$1,0)-MATCH($AB$1,[3]enemy_skill_sets!$1:$1,0)+1,FALSE)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4" s="67">
        <v>1</v>
      </c>
      <c r="AE744" s="67">
        <v>1</v>
      </c>
      <c r="AF744" s="68">
        <v>0</v>
      </c>
      <c r="AG744" s="99">
        <f ca="1">ROUND(VLOOKUP(1,enemy_base_stats!$A:$F,2,FALSE) * Y744* J744*O744*E744*S744*AD744*[2]ステータス!$B$2,0)</f>
        <v>4080</v>
      </c>
      <c r="AH744" s="99">
        <f ca="1">ROUND(VLOOKUP(1,enemy_base_stats!$A:$F,3,FALSE) * Z744*K744*P744*F744*T744*AE744 * W744*[2]ステータス!$C$2,0)</f>
        <v>378</v>
      </c>
      <c r="AI744" s="99">
        <f ca="1">ROUND(VLOOKUP(1,enemy_base_stats!$A:$F,4,FALSE) * AA744*L744*Q744*G744*U744*AF744*[2]ステータス!$D$2,0)</f>
        <v>0</v>
      </c>
      <c r="AJ744" s="99">
        <f ca="1">ROUND(VLOOKUP(100,enemy_base_stats!$A:$F,2,FALSE) * Y744* J744*O744*E744*S744*AD744*[2]ステータス!$B$2,0)</f>
        <v>165648</v>
      </c>
      <c r="AK744" s="99">
        <f ca="1">ROUND(VLOOKUP(100,enemy_base_stats!$A:$F,3,FALSE)* Z744* K744*P744*F744*T744*AE744 * W744*[2]ステータス!$C$2,0)</f>
        <v>15337</v>
      </c>
      <c r="AL744" s="99">
        <f ca="1">ROUND(VLOOKUP(100,enemy_base_stats!$A:$F,4,FALSE)* AA744* L744*Q744*G744*U744*AF744*[2]ステータス!$D$2,0)</f>
        <v>0</v>
      </c>
      <c r="AM744" s="97">
        <f ca="1">VLOOKUP(M744,[2]character_tribe_i18n!$A:$I,9,FALSE)</f>
        <v>680</v>
      </c>
      <c r="AN744" s="97">
        <v>0</v>
      </c>
      <c r="AO744" s="98">
        <v>0</v>
      </c>
      <c r="AP744" s="58" t="s">
        <v>72</v>
      </c>
      <c r="AQ744" s="34">
        <f t="shared" ca="1" si="44"/>
        <v>743</v>
      </c>
    </row>
    <row r="745" spans="1:43" ht="21" customHeight="1" x14ac:dyDescent="0.15">
      <c r="A745" s="7">
        <f t="shared" ca="1" si="43"/>
        <v>744</v>
      </c>
      <c r="B745" s="6" t="str">
        <f ca="1">VLOOKUP(A745,[2]characters!$A:$C,3,FALSE)</f>
        <v>ヘルメス</v>
      </c>
      <c r="C745" s="9">
        <f ca="1">VLOOKUP(A745,[2]characters!$A:$I,9,FALSE)</f>
        <v>5</v>
      </c>
      <c r="D745" s="9" t="str">
        <f ca="1">VLOOKUP(A745,[2]characters!$A:$H,8,FALSE)</f>
        <v>green</v>
      </c>
      <c r="E745" s="97">
        <f ca="1">VLOOKUP(D745,[2]属性!$A:$E,2,FALSE)</f>
        <v>1.02</v>
      </c>
      <c r="F745" s="97">
        <f ca="1">VLOOKUP(D745,[2]属性!$A:$E,3,FALSE)</f>
        <v>0.98</v>
      </c>
      <c r="G745" s="97">
        <f ca="1">VLOOKUP(D745,[2]属性!$A:$F,4,FALSE)</f>
        <v>1</v>
      </c>
      <c r="H745" s="9" t="str">
        <f ca="1">VLOOKUP(A745,[2]characters!$A:$K,11,FALSE)</f>
        <v>technical</v>
      </c>
      <c r="I745" s="6" t="str">
        <f ca="1">VLOOKUP(H745,[2]character_type_i18n!$A:$F,3,FALSE)</f>
        <v>テクニカルタイプ</v>
      </c>
      <c r="J745" s="97">
        <f ca="1">VLOOKUP(H745,[2]character_type_i18n!$A:$F,4,FALSE)</f>
        <v>0.9</v>
      </c>
      <c r="K745" s="97">
        <f ca="1">VLOOKUP(H745,[2]character_type_i18n!$A:$F,5,FALSE)</f>
        <v>0.9</v>
      </c>
      <c r="L745" s="97">
        <f ca="1">VLOOKUP(H745,[2]character_type_i18n!$A:$F,6,FALSE)</f>
        <v>1</v>
      </c>
      <c r="M745" s="9" t="str">
        <f ca="1">VLOOKUP(A745,[2]characters!$A:$M,13,FALSE)</f>
        <v>god</v>
      </c>
      <c r="N745" s="6" t="str">
        <f ca="1">VLOOKUP(M745,[2]character_tribe_i18n!$A:$F,3,FALSE)</f>
        <v>ゴッド</v>
      </c>
      <c r="O745" s="97">
        <f ca="1">VLOOKUP(M745,[2]character_tribe_i18n!$A:$F,4,FALSE)</f>
        <v>0.96</v>
      </c>
      <c r="P745" s="97">
        <f ca="1">VLOOKUP(M745,[2]character_tribe_i18n!$A:$F,5,FALSE)</f>
        <v>1.02</v>
      </c>
      <c r="Q745" s="97">
        <f ca="1">VLOOKUP(M745,[2]character_tribe_i18n!$A:$F,6,FALSE)</f>
        <v>1</v>
      </c>
      <c r="R745" s="98" t="s">
        <v>98</v>
      </c>
      <c r="S745" s="97">
        <f>VLOOKUP($R745,ラベル別係数!$A$1:$E$7,3,FALSE)</f>
        <v>5</v>
      </c>
      <c r="T745" s="97">
        <f>VLOOKUP($R745,ラベル別係数!$A$1:$E$7,4,FALSE)</f>
        <v>1.3</v>
      </c>
      <c r="U745" s="97">
        <f>VLOOKUP($R745,ラベル別係数!$A$1:$E$7,5,FALSE)</f>
        <v>0.8</v>
      </c>
      <c r="V745" s="98">
        <v>3</v>
      </c>
      <c r="W745" s="99">
        <f>VLOOKUP(V745,ターン数別攻撃係数!$A$1:$B$1000,2,FALSE)</f>
        <v>1</v>
      </c>
      <c r="X745" s="9">
        <f ca="1">VLOOKUP(C745,サイズ別係数!A$2:B$9,2,FALSE)</f>
        <v>60</v>
      </c>
      <c r="Y745" s="97">
        <f ca="1">VLOOKUP($X745,サイズ別係数!$B:$E,2,FALSE)</f>
        <v>1.7</v>
      </c>
      <c r="Z745" s="97">
        <f ca="1">VLOOKUP($X745,サイズ別係数!$B:$E,3,FALSE)</f>
        <v>1.4</v>
      </c>
      <c r="AA745" s="97">
        <f ca="1">VLOOKUP($X745,サイズ別係数!$B:$E,4,FALSE)</f>
        <v>1</v>
      </c>
      <c r="AB745" s="10">
        <v>0</v>
      </c>
      <c r="AC745" s="6" t="str">
        <f ca="1">VLOOKUP($AB745,OFFSET([3]enemy_skill_sets!$B$2,0,0,COUNTA([3]enemy_skill_sets!$A:$A),MATCH(AC$1,[3]enemy_skill_sets!$1:$1,0)-MATCH($AB$1,[3]enemy_skill_sets!$1:$1,0)+1),MATCH(AC$1,[3]enemy_skill_sets!$1:$1,0)-MATCH($AB$1,[3]enemy_skill_sets!$1:$1,0)+1,FALSE)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5" s="67">
        <v>1</v>
      </c>
      <c r="AE745" s="67">
        <v>1</v>
      </c>
      <c r="AF745" s="68">
        <v>0</v>
      </c>
      <c r="AG745" s="99">
        <f ca="1">ROUND(VLOOKUP(1,enemy_base_stats!$A:$F,2,FALSE) * Y745* J745*O745*E745*S745*AD745*[2]ステータス!$B$2,0)</f>
        <v>3745</v>
      </c>
      <c r="AH745" s="99">
        <f ca="1">ROUND(VLOOKUP(1,enemy_base_stats!$A:$F,3,FALSE) * Z745*K745*P745*F745*T745*AE745 * W745*[2]ステータス!$C$2,0)</f>
        <v>246</v>
      </c>
      <c r="AI745" s="99">
        <f ca="1">ROUND(VLOOKUP(1,enemy_base_stats!$A:$F,4,FALSE) * AA745*L745*Q745*G745*U745*AF745*[2]ステータス!$D$2,0)</f>
        <v>0</v>
      </c>
      <c r="AJ745" s="99">
        <f ca="1">ROUND(VLOOKUP(100,enemy_base_stats!$A:$F,2,FALSE) * Y745* J745*O745*E745*S745*AD745*[2]ステータス!$B$2,0)</f>
        <v>152065</v>
      </c>
      <c r="AK745" s="99">
        <f ca="1">ROUND(VLOOKUP(100,enemy_base_stats!$A:$F,3,FALSE)* Z745* K745*P745*F745*T745*AE745 * W745*[2]ステータス!$C$2,0)</f>
        <v>9971</v>
      </c>
      <c r="AL745" s="99">
        <f ca="1">ROUND(VLOOKUP(100,enemy_base_stats!$A:$F,4,FALSE)* AA745* L745*Q745*G745*U745*AF745*[2]ステータス!$D$2,0)</f>
        <v>0</v>
      </c>
      <c r="AM745" s="97">
        <f ca="1">VLOOKUP(M745,[2]character_tribe_i18n!$A:$I,9,FALSE)</f>
        <v>680</v>
      </c>
      <c r="AN745" s="97">
        <v>0</v>
      </c>
      <c r="AO745" s="98">
        <v>0</v>
      </c>
      <c r="AP745" s="58" t="s">
        <v>72</v>
      </c>
      <c r="AQ745" s="34">
        <f t="shared" ca="1" si="44"/>
        <v>744</v>
      </c>
    </row>
    <row r="746" spans="1:43" ht="21" customHeight="1" x14ac:dyDescent="0.15">
      <c r="A746" s="7">
        <f t="shared" ca="1" si="43"/>
        <v>745</v>
      </c>
      <c r="B746" s="6" t="str">
        <f ca="1">VLOOKUP(A746,[2]characters!$A:$C,3,FALSE)</f>
        <v>望羅の発神 ヘルメス</v>
      </c>
      <c r="C746" s="9">
        <f ca="1">VLOOKUP(A746,[2]characters!$A:$I,9,FALSE)</f>
        <v>6</v>
      </c>
      <c r="D746" s="9" t="str">
        <f ca="1">VLOOKUP(A746,[2]characters!$A:$H,8,FALSE)</f>
        <v>green</v>
      </c>
      <c r="E746" s="97">
        <f ca="1">VLOOKUP(D746,[2]属性!$A:$E,2,FALSE)</f>
        <v>1.02</v>
      </c>
      <c r="F746" s="97">
        <f ca="1">VLOOKUP(D746,[2]属性!$A:$E,3,FALSE)</f>
        <v>0.98</v>
      </c>
      <c r="G746" s="97">
        <f ca="1">VLOOKUP(D746,[2]属性!$A:$F,4,FALSE)</f>
        <v>1</v>
      </c>
      <c r="H746" s="9" t="str">
        <f ca="1">VLOOKUP(A746,[2]characters!$A:$K,11,FALSE)</f>
        <v>technical</v>
      </c>
      <c r="I746" s="6" t="str">
        <f ca="1">VLOOKUP(H746,[2]character_type_i18n!$A:$F,3,FALSE)</f>
        <v>テクニカルタイプ</v>
      </c>
      <c r="J746" s="97">
        <f ca="1">VLOOKUP(H746,[2]character_type_i18n!$A:$F,4,FALSE)</f>
        <v>0.9</v>
      </c>
      <c r="K746" s="97">
        <f ca="1">VLOOKUP(H746,[2]character_type_i18n!$A:$F,5,FALSE)</f>
        <v>0.9</v>
      </c>
      <c r="L746" s="97">
        <f ca="1">VLOOKUP(H746,[2]character_type_i18n!$A:$F,6,FALSE)</f>
        <v>1</v>
      </c>
      <c r="M746" s="9" t="str">
        <f ca="1">VLOOKUP(A746,[2]characters!$A:$M,13,FALSE)</f>
        <v>god</v>
      </c>
      <c r="N746" s="6" t="str">
        <f ca="1">VLOOKUP(M746,[2]character_tribe_i18n!$A:$F,3,FALSE)</f>
        <v>ゴッド</v>
      </c>
      <c r="O746" s="97">
        <f ca="1">VLOOKUP(M746,[2]character_tribe_i18n!$A:$F,4,FALSE)</f>
        <v>0.96</v>
      </c>
      <c r="P746" s="97">
        <f ca="1">VLOOKUP(M746,[2]character_tribe_i18n!$A:$F,5,FALSE)</f>
        <v>1.02</v>
      </c>
      <c r="Q746" s="97">
        <f ca="1">VLOOKUP(M746,[2]character_tribe_i18n!$A:$F,6,FALSE)</f>
        <v>1</v>
      </c>
      <c r="R746" s="98" t="s">
        <v>98</v>
      </c>
      <c r="S746" s="97">
        <f>VLOOKUP($R746,ラベル別係数!$A$1:$E$7,3,FALSE)</f>
        <v>5</v>
      </c>
      <c r="T746" s="97">
        <f>VLOOKUP($R746,ラベル別係数!$A$1:$E$7,4,FALSE)</f>
        <v>1.3</v>
      </c>
      <c r="U746" s="97">
        <f>VLOOKUP($R746,ラベル別係数!$A$1:$E$7,5,FALSE)</f>
        <v>0.8</v>
      </c>
      <c r="V746" s="98">
        <v>3</v>
      </c>
      <c r="W746" s="99">
        <f>VLOOKUP(V746,ターン数別攻撃係数!$A$1:$B$1000,2,FALSE)</f>
        <v>1</v>
      </c>
      <c r="X746" s="9">
        <f ca="1">VLOOKUP(C746,サイズ別係数!A$2:B$9,2,FALSE)</f>
        <v>60</v>
      </c>
      <c r="Y746" s="97">
        <f ca="1">VLOOKUP($X746,サイズ別係数!$B:$E,2,FALSE)</f>
        <v>1.7</v>
      </c>
      <c r="Z746" s="97">
        <f ca="1">VLOOKUP($X746,サイズ別係数!$B:$E,3,FALSE)</f>
        <v>1.4</v>
      </c>
      <c r="AA746" s="97">
        <f ca="1">VLOOKUP($X746,サイズ別係数!$B:$E,4,FALSE)</f>
        <v>1</v>
      </c>
      <c r="AB746" s="10">
        <v>0</v>
      </c>
      <c r="AC746" s="6" t="str">
        <f ca="1">VLOOKUP($AB746,OFFSET([3]enemy_skill_sets!$B$2,0,0,COUNTA([3]enemy_skill_sets!$A:$A),MATCH(AC$1,[3]enemy_skill_sets!$1:$1,0)-MATCH($AB$1,[3]enemy_skill_sets!$1:$1,0)+1),MATCH(AC$1,[3]enemy_skill_sets!$1:$1,0)-MATCH($AB$1,[3]enemy_skill_sets!$1:$1,0)+1,FALSE)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6" s="67">
        <v>1</v>
      </c>
      <c r="AE746" s="67">
        <v>1</v>
      </c>
      <c r="AF746" s="68">
        <v>0</v>
      </c>
      <c r="AG746" s="99">
        <f ca="1">ROUND(VLOOKUP(1,enemy_base_stats!$A:$F,2,FALSE) * Y746* J746*O746*E746*S746*AD746*[2]ステータス!$B$2,0)</f>
        <v>3745</v>
      </c>
      <c r="AH746" s="99">
        <f ca="1">ROUND(VLOOKUP(1,enemy_base_stats!$A:$F,3,FALSE) * Z746*K746*P746*F746*T746*AE746 * W746*[2]ステータス!$C$2,0)</f>
        <v>246</v>
      </c>
      <c r="AI746" s="99">
        <f ca="1">ROUND(VLOOKUP(1,enemy_base_stats!$A:$F,4,FALSE) * AA746*L746*Q746*G746*U746*AF746*[2]ステータス!$D$2,0)</f>
        <v>0</v>
      </c>
      <c r="AJ746" s="99">
        <f ca="1">ROUND(VLOOKUP(100,enemy_base_stats!$A:$F,2,FALSE) * Y746* J746*O746*E746*S746*AD746*[2]ステータス!$B$2,0)</f>
        <v>152065</v>
      </c>
      <c r="AK746" s="99">
        <f ca="1">ROUND(VLOOKUP(100,enemy_base_stats!$A:$F,3,FALSE)* Z746* K746*P746*F746*T746*AE746 * W746*[2]ステータス!$C$2,0)</f>
        <v>9971</v>
      </c>
      <c r="AL746" s="99">
        <f ca="1">ROUND(VLOOKUP(100,enemy_base_stats!$A:$F,4,FALSE)* AA746* L746*Q746*G746*U746*AF746*[2]ステータス!$D$2,0)</f>
        <v>0</v>
      </c>
      <c r="AM746" s="97">
        <f ca="1">VLOOKUP(M746,[2]character_tribe_i18n!$A:$I,9,FALSE)</f>
        <v>680</v>
      </c>
      <c r="AN746" s="97">
        <v>0</v>
      </c>
      <c r="AO746" s="98">
        <v>0</v>
      </c>
      <c r="AP746" s="58" t="s">
        <v>72</v>
      </c>
      <c r="AQ746" s="34">
        <f t="shared" ca="1" si="44"/>
        <v>745</v>
      </c>
    </row>
    <row r="747" spans="1:43" ht="21" customHeight="1" x14ac:dyDescent="0.15">
      <c r="A747" s="7">
        <f t="shared" ca="1" si="43"/>
        <v>746</v>
      </c>
      <c r="B747" s="6" t="str">
        <f ca="1">VLOOKUP(A747,[2]characters!$A:$C,3,FALSE)</f>
        <v>ノルン</v>
      </c>
      <c r="C747" s="9">
        <f ca="1">VLOOKUP(A747,[2]characters!$A:$I,9,FALSE)</f>
        <v>4</v>
      </c>
      <c r="D747" s="9" t="str">
        <f ca="1">VLOOKUP(A747,[2]characters!$A:$H,8,FALSE)</f>
        <v>blue</v>
      </c>
      <c r="E747" s="97">
        <f ca="1">VLOOKUP(D747,[2]属性!$A:$E,2,FALSE)</f>
        <v>1</v>
      </c>
      <c r="F747" s="97">
        <f ca="1">VLOOKUP(D747,[2]属性!$A:$E,3,FALSE)</f>
        <v>0.98</v>
      </c>
      <c r="G747" s="97">
        <f ca="1">VLOOKUP(D747,[2]属性!$A:$F,4,FALSE)</f>
        <v>1</v>
      </c>
      <c r="H747" s="9" t="str">
        <f ca="1">VLOOKUP(A747,[2]characters!$A:$K,11,FALSE)</f>
        <v>balance</v>
      </c>
      <c r="I747" s="6" t="str">
        <f ca="1">VLOOKUP(H747,[2]character_type_i18n!$A:$F,3,FALSE)</f>
        <v>バランスタイプ</v>
      </c>
      <c r="J747" s="97">
        <f ca="1">VLOOKUP(H747,[2]character_type_i18n!$A:$F,4,FALSE)</f>
        <v>1</v>
      </c>
      <c r="K747" s="97">
        <f ca="1">VLOOKUP(H747,[2]character_type_i18n!$A:$F,5,FALSE)</f>
        <v>1</v>
      </c>
      <c r="L747" s="97">
        <f ca="1">VLOOKUP(H747,[2]character_type_i18n!$A:$F,6,FALSE)</f>
        <v>1</v>
      </c>
      <c r="M747" s="9" t="str">
        <f ca="1">VLOOKUP(A747,[2]characters!$A:$M,13,FALSE)</f>
        <v>god</v>
      </c>
      <c r="N747" s="6" t="str">
        <f ca="1">VLOOKUP(M747,[2]character_tribe_i18n!$A:$F,3,FALSE)</f>
        <v>ゴッド</v>
      </c>
      <c r="O747" s="97">
        <f ca="1">VLOOKUP(M747,[2]character_tribe_i18n!$A:$F,4,FALSE)</f>
        <v>0.96</v>
      </c>
      <c r="P747" s="97">
        <f ca="1">VLOOKUP(M747,[2]character_tribe_i18n!$A:$F,5,FALSE)</f>
        <v>1.02</v>
      </c>
      <c r="Q747" s="97">
        <f ca="1">VLOOKUP(M747,[2]character_tribe_i18n!$A:$F,6,FALSE)</f>
        <v>1</v>
      </c>
      <c r="R747" s="98" t="s">
        <v>98</v>
      </c>
      <c r="S747" s="97">
        <f>VLOOKUP($R747,ラベル別係数!$A$1:$E$7,3,FALSE)</f>
        <v>5</v>
      </c>
      <c r="T747" s="97">
        <f>VLOOKUP($R747,ラベル別係数!$A$1:$E$7,4,FALSE)</f>
        <v>1.3</v>
      </c>
      <c r="U747" s="97">
        <f>VLOOKUP($R747,ラベル別係数!$A$1:$E$7,5,FALSE)</f>
        <v>0.8</v>
      </c>
      <c r="V747" s="98">
        <v>3</v>
      </c>
      <c r="W747" s="99">
        <f>VLOOKUP(V747,ターン数別攻撃係数!$A$1:$B$1000,2,FALSE)</f>
        <v>1</v>
      </c>
      <c r="X747" s="9">
        <f ca="1">VLOOKUP(C747,サイズ別係数!A$2:B$9,2,FALSE)</f>
        <v>30</v>
      </c>
      <c r="Y747" s="97">
        <f ca="1">VLOOKUP($X747,サイズ別係数!$B:$E,2,FALSE)</f>
        <v>1.3</v>
      </c>
      <c r="Z747" s="97">
        <f ca="1">VLOOKUP($X747,サイズ別係数!$B:$E,3,FALSE)</f>
        <v>1.3</v>
      </c>
      <c r="AA747" s="97">
        <f ca="1">VLOOKUP($X747,サイズ別係数!$B:$E,4,FALSE)</f>
        <v>1.1000000000000001</v>
      </c>
      <c r="AB747" s="10">
        <v>0</v>
      </c>
      <c r="AC747" s="6" t="str">
        <f ca="1">VLOOKUP($AB747,OFFSET([3]enemy_skill_sets!$B$2,0,0,COUNTA([3]enemy_skill_sets!$A:$A),MATCH(AC$1,[3]enemy_skill_sets!$1:$1,0)-MATCH($AB$1,[3]enemy_skill_sets!$1:$1,0)+1),MATCH(AC$1,[3]enemy_skill_sets!$1:$1,0)-MATCH($AB$1,[3]enemy_skill_sets!$1:$1,0)+1,FALSE)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7" s="67">
        <v>1</v>
      </c>
      <c r="AE747" s="67">
        <v>1</v>
      </c>
      <c r="AF747" s="68">
        <v>0</v>
      </c>
      <c r="AG747" s="99">
        <f ca="1">ROUND(VLOOKUP(1,enemy_base_stats!$A:$F,2,FALSE) * Y747* J747*O747*E747*S747*AD747*[2]ステータス!$B$2,0)</f>
        <v>3120</v>
      </c>
      <c r="AH747" s="99">
        <f ca="1">ROUND(VLOOKUP(1,enemy_base_stats!$A:$F,3,FALSE) * Z747*K747*P747*F747*T747*AE747 * W747*[2]ステータス!$C$2,0)</f>
        <v>253</v>
      </c>
      <c r="AI747" s="99">
        <f ca="1">ROUND(VLOOKUP(1,enemy_base_stats!$A:$F,4,FALSE) * AA747*L747*Q747*G747*U747*AF747*[2]ステータス!$D$2,0)</f>
        <v>0</v>
      </c>
      <c r="AJ747" s="99">
        <f ca="1">ROUND(VLOOKUP(100,enemy_base_stats!$A:$F,2,FALSE) * Y747* J747*O747*E747*S747*AD747*[2]ステータス!$B$2,0)</f>
        <v>126672</v>
      </c>
      <c r="AK747" s="99">
        <f ca="1">ROUND(VLOOKUP(100,enemy_base_stats!$A:$F,3,FALSE)* Z747* K747*P747*F747*T747*AE747 * W747*[2]ステータス!$C$2,0)</f>
        <v>10288</v>
      </c>
      <c r="AL747" s="99">
        <f ca="1">ROUND(VLOOKUP(100,enemy_base_stats!$A:$F,4,FALSE)* AA747* L747*Q747*G747*U747*AF747*[2]ステータス!$D$2,0)</f>
        <v>0</v>
      </c>
      <c r="AM747" s="97">
        <f ca="1">VLOOKUP(M747,[2]character_tribe_i18n!$A:$I,9,FALSE)</f>
        <v>680</v>
      </c>
      <c r="AN747" s="97">
        <v>0</v>
      </c>
      <c r="AO747" s="98">
        <v>0</v>
      </c>
      <c r="AP747" s="58" t="s">
        <v>72</v>
      </c>
      <c r="AQ747" s="34">
        <f t="shared" ca="1" si="44"/>
        <v>746</v>
      </c>
    </row>
    <row r="748" spans="1:43" ht="21" customHeight="1" x14ac:dyDescent="0.15">
      <c r="A748" s="7">
        <f t="shared" ca="1" si="43"/>
        <v>747</v>
      </c>
      <c r="B748" s="6" t="str">
        <f ca="1">VLOOKUP(A748,[2]characters!$A:$C,3,FALSE)</f>
        <v>潔碧の巡励神 ノルン</v>
      </c>
      <c r="C748" s="9">
        <f ca="1">VLOOKUP(A748,[2]characters!$A:$I,9,FALSE)</f>
        <v>5</v>
      </c>
      <c r="D748" s="9" t="str">
        <f ca="1">VLOOKUP(A748,[2]characters!$A:$H,8,FALSE)</f>
        <v>blue</v>
      </c>
      <c r="E748" s="97">
        <f ca="1">VLOOKUP(D748,[2]属性!$A:$E,2,FALSE)</f>
        <v>1</v>
      </c>
      <c r="F748" s="97">
        <f ca="1">VLOOKUP(D748,[2]属性!$A:$E,3,FALSE)</f>
        <v>0.98</v>
      </c>
      <c r="G748" s="97">
        <f ca="1">VLOOKUP(D748,[2]属性!$A:$F,4,FALSE)</f>
        <v>1</v>
      </c>
      <c r="H748" s="9" t="str">
        <f ca="1">VLOOKUP(A748,[2]characters!$A:$K,11,FALSE)</f>
        <v>balance</v>
      </c>
      <c r="I748" s="6" t="str">
        <f ca="1">VLOOKUP(H748,[2]character_type_i18n!$A:$F,3,FALSE)</f>
        <v>バランスタイプ</v>
      </c>
      <c r="J748" s="97">
        <f ca="1">VLOOKUP(H748,[2]character_type_i18n!$A:$F,4,FALSE)</f>
        <v>1</v>
      </c>
      <c r="K748" s="97">
        <f ca="1">VLOOKUP(H748,[2]character_type_i18n!$A:$F,5,FALSE)</f>
        <v>1</v>
      </c>
      <c r="L748" s="97">
        <f ca="1">VLOOKUP(H748,[2]character_type_i18n!$A:$F,6,FALSE)</f>
        <v>1</v>
      </c>
      <c r="M748" s="9" t="str">
        <f ca="1">VLOOKUP(A748,[2]characters!$A:$M,13,FALSE)</f>
        <v>god</v>
      </c>
      <c r="N748" s="6" t="str">
        <f ca="1">VLOOKUP(M748,[2]character_tribe_i18n!$A:$F,3,FALSE)</f>
        <v>ゴッド</v>
      </c>
      <c r="O748" s="97">
        <f ca="1">VLOOKUP(M748,[2]character_tribe_i18n!$A:$F,4,FALSE)</f>
        <v>0.96</v>
      </c>
      <c r="P748" s="97">
        <f ca="1">VLOOKUP(M748,[2]character_tribe_i18n!$A:$F,5,FALSE)</f>
        <v>1.02</v>
      </c>
      <c r="Q748" s="97">
        <f ca="1">VLOOKUP(M748,[2]character_tribe_i18n!$A:$F,6,FALSE)</f>
        <v>1</v>
      </c>
      <c r="R748" s="98" t="s">
        <v>98</v>
      </c>
      <c r="S748" s="97">
        <f>VLOOKUP($R748,ラベル別係数!$A$1:$E$7,3,FALSE)</f>
        <v>5</v>
      </c>
      <c r="T748" s="97">
        <f>VLOOKUP($R748,ラベル別係数!$A$1:$E$7,4,FALSE)</f>
        <v>1.3</v>
      </c>
      <c r="U748" s="97">
        <f>VLOOKUP($R748,ラベル別係数!$A$1:$E$7,5,FALSE)</f>
        <v>0.8</v>
      </c>
      <c r="V748" s="98">
        <v>3</v>
      </c>
      <c r="W748" s="99">
        <f>VLOOKUP(V748,ターン数別攻撃係数!$A$1:$B$1000,2,FALSE)</f>
        <v>1</v>
      </c>
      <c r="X748" s="9">
        <f ca="1">VLOOKUP(C748,サイズ別係数!A$2:B$9,2,FALSE)</f>
        <v>60</v>
      </c>
      <c r="Y748" s="97">
        <f ca="1">VLOOKUP($X748,サイズ別係数!$B:$E,2,FALSE)</f>
        <v>1.7</v>
      </c>
      <c r="Z748" s="97">
        <f ca="1">VLOOKUP($X748,サイズ別係数!$B:$E,3,FALSE)</f>
        <v>1.4</v>
      </c>
      <c r="AA748" s="97">
        <f ca="1">VLOOKUP($X748,サイズ別係数!$B:$E,4,FALSE)</f>
        <v>1</v>
      </c>
      <c r="AB748" s="10">
        <v>0</v>
      </c>
      <c r="AC748" s="6" t="str">
        <f ca="1">VLOOKUP($AB748,OFFSET([3]enemy_skill_sets!$B$2,0,0,COUNTA([3]enemy_skill_sets!$A:$A),MATCH(AC$1,[3]enemy_skill_sets!$1:$1,0)-MATCH($AB$1,[3]enemy_skill_sets!$1:$1,0)+1),MATCH(AC$1,[3]enemy_skill_sets!$1:$1,0)-MATCH($AB$1,[3]enemy_skill_sets!$1:$1,0)+1,FALSE)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8" s="67">
        <v>1</v>
      </c>
      <c r="AE748" s="67">
        <v>1</v>
      </c>
      <c r="AF748" s="68">
        <v>0</v>
      </c>
      <c r="AG748" s="99">
        <f ca="1">ROUND(VLOOKUP(1,enemy_base_stats!$A:$F,2,FALSE) * Y748* J748*O748*E748*S748*AD748*[2]ステータス!$B$2,0)</f>
        <v>4080</v>
      </c>
      <c r="AH748" s="99">
        <f ca="1">ROUND(VLOOKUP(1,enemy_base_stats!$A:$F,3,FALSE) * Z748*K748*P748*F748*T748*AE748 * W748*[2]ステータス!$C$2,0)</f>
        <v>273</v>
      </c>
      <c r="AI748" s="99">
        <f ca="1">ROUND(VLOOKUP(1,enemy_base_stats!$A:$F,4,FALSE) * AA748*L748*Q748*G748*U748*AF748*[2]ステータス!$D$2,0)</f>
        <v>0</v>
      </c>
      <c r="AJ748" s="99">
        <f ca="1">ROUND(VLOOKUP(100,enemy_base_stats!$A:$F,2,FALSE) * Y748* J748*O748*E748*S748*AD748*[2]ステータス!$B$2,0)</f>
        <v>165648</v>
      </c>
      <c r="AK748" s="99">
        <f ca="1">ROUND(VLOOKUP(100,enemy_base_stats!$A:$F,3,FALSE)* Z748* K748*P748*F748*T748*AE748 * W748*[2]ステータス!$C$2,0)</f>
        <v>11079</v>
      </c>
      <c r="AL748" s="99">
        <f ca="1">ROUND(VLOOKUP(100,enemy_base_stats!$A:$F,4,FALSE)* AA748* L748*Q748*G748*U748*AF748*[2]ステータス!$D$2,0)</f>
        <v>0</v>
      </c>
      <c r="AM748" s="97">
        <f ca="1">VLOOKUP(M748,[2]character_tribe_i18n!$A:$I,9,FALSE)</f>
        <v>680</v>
      </c>
      <c r="AN748" s="97">
        <v>0</v>
      </c>
      <c r="AO748" s="98">
        <v>0</v>
      </c>
      <c r="AP748" s="58" t="s">
        <v>72</v>
      </c>
      <c r="AQ748" s="34">
        <f t="shared" ca="1" si="44"/>
        <v>747</v>
      </c>
    </row>
    <row r="749" spans="1:43" ht="21" customHeight="1" x14ac:dyDescent="0.15">
      <c r="A749" s="7">
        <f t="shared" ca="1" si="43"/>
        <v>748</v>
      </c>
      <c r="B749" s="6" t="str">
        <f ca="1">VLOOKUP(A749,[2]characters!$A:$C,3,FALSE)</f>
        <v>パーン</v>
      </c>
      <c r="C749" s="9">
        <f ca="1">VLOOKUP(A749,[2]characters!$A:$I,9,FALSE)</f>
        <v>4</v>
      </c>
      <c r="D749" s="9" t="str">
        <f ca="1">VLOOKUP(A749,[2]characters!$A:$H,8,FALSE)</f>
        <v>yellow</v>
      </c>
      <c r="E749" s="97">
        <f ca="1">VLOOKUP(D749,[2]属性!$A:$E,2,FALSE)</f>
        <v>0.98</v>
      </c>
      <c r="F749" s="97">
        <f ca="1">VLOOKUP(D749,[2]属性!$A:$E,3,FALSE)</f>
        <v>1.01</v>
      </c>
      <c r="G749" s="97">
        <f ca="1">VLOOKUP(D749,[2]属性!$A:$F,4,FALSE)</f>
        <v>1</v>
      </c>
      <c r="H749" s="9" t="str">
        <f ca="1">VLOOKUP(A749,[2]characters!$A:$K,11,FALSE)</f>
        <v>heal</v>
      </c>
      <c r="I749" s="6" t="str">
        <f ca="1">VLOOKUP(H749,[2]character_type_i18n!$A:$F,3,FALSE)</f>
        <v>回復タイプ</v>
      </c>
      <c r="J749" s="97">
        <f ca="1">VLOOKUP(H749,[2]character_type_i18n!$A:$F,4,FALSE)</f>
        <v>0.8</v>
      </c>
      <c r="K749" s="97">
        <f ca="1">VLOOKUP(H749,[2]character_type_i18n!$A:$F,5,FALSE)</f>
        <v>0.78</v>
      </c>
      <c r="L749" s="97">
        <f ca="1">VLOOKUP(H749,[2]character_type_i18n!$A:$F,6,FALSE)</f>
        <v>1</v>
      </c>
      <c r="M749" s="9" t="str">
        <f ca="1">VLOOKUP(A749,[2]characters!$A:$M,13,FALSE)</f>
        <v>animal</v>
      </c>
      <c r="N749" s="6" t="str">
        <f ca="1">VLOOKUP(M749,[2]character_tribe_i18n!$A:$F,3,FALSE)</f>
        <v>アニマル</v>
      </c>
      <c r="O749" s="97">
        <f ca="1">VLOOKUP(M749,[2]character_tribe_i18n!$A:$F,4,FALSE)</f>
        <v>1</v>
      </c>
      <c r="P749" s="97">
        <f ca="1">VLOOKUP(M749,[2]character_tribe_i18n!$A:$F,5,FALSE)</f>
        <v>1.1000000000000001</v>
      </c>
      <c r="Q749" s="97">
        <f ca="1">VLOOKUP(M749,[2]character_tribe_i18n!$A:$F,6,FALSE)</f>
        <v>1</v>
      </c>
      <c r="R749" s="98" t="s">
        <v>98</v>
      </c>
      <c r="S749" s="97">
        <f>VLOOKUP($R749,ラベル別係数!$A$1:$E$7,3,FALSE)</f>
        <v>5</v>
      </c>
      <c r="T749" s="97">
        <f>VLOOKUP($R749,ラベル別係数!$A$1:$E$7,4,FALSE)</f>
        <v>1.3</v>
      </c>
      <c r="U749" s="97">
        <f>VLOOKUP($R749,ラベル別係数!$A$1:$E$7,5,FALSE)</f>
        <v>0.8</v>
      </c>
      <c r="V749" s="98">
        <v>3</v>
      </c>
      <c r="W749" s="99">
        <f>VLOOKUP(V749,ターン数別攻撃係数!$A$1:$B$1000,2,FALSE)</f>
        <v>1</v>
      </c>
      <c r="X749" s="9">
        <f ca="1">VLOOKUP(C749,サイズ別係数!A$2:B$9,2,FALSE)</f>
        <v>30</v>
      </c>
      <c r="Y749" s="97">
        <f ca="1">VLOOKUP($X749,サイズ別係数!$B:$E,2,FALSE)</f>
        <v>1.3</v>
      </c>
      <c r="Z749" s="97">
        <f ca="1">VLOOKUP($X749,サイズ別係数!$B:$E,3,FALSE)</f>
        <v>1.3</v>
      </c>
      <c r="AA749" s="97">
        <f ca="1">VLOOKUP($X749,サイズ別係数!$B:$E,4,FALSE)</f>
        <v>1.1000000000000001</v>
      </c>
      <c r="AB749" s="10">
        <v>0</v>
      </c>
      <c r="AC749" s="6" t="str">
        <f ca="1">VLOOKUP($AB749,OFFSET([3]enemy_skill_sets!$B$2,0,0,COUNTA([3]enemy_skill_sets!$A:$A),MATCH(AC$1,[3]enemy_skill_sets!$1:$1,0)-MATCH($AB$1,[3]enemy_skill_sets!$1:$1,0)+1),MATCH(AC$1,[3]enemy_skill_sets!$1:$1,0)-MATCH($AB$1,[3]enemy_skill_sets!$1:$1,0)+1,FALSE)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49" s="67">
        <v>1</v>
      </c>
      <c r="AE749" s="67">
        <v>1</v>
      </c>
      <c r="AF749" s="68">
        <v>0</v>
      </c>
      <c r="AG749" s="99">
        <f ca="1">ROUND(VLOOKUP(1,enemy_base_stats!$A:$F,2,FALSE) * Y749* J749*O749*E749*S749*AD749*[2]ステータス!$B$2,0)</f>
        <v>2548</v>
      </c>
      <c r="AH749" s="99">
        <f ca="1">ROUND(VLOOKUP(1,enemy_base_stats!$A:$F,3,FALSE) * Z749*K749*P749*F749*T749*AE749 * W749*[2]ステータス!$C$2,0)</f>
        <v>220</v>
      </c>
      <c r="AI749" s="99">
        <f ca="1">ROUND(VLOOKUP(1,enemy_base_stats!$A:$F,4,FALSE) * AA749*L749*Q749*G749*U749*AF749*[2]ステータス!$D$2,0)</f>
        <v>0</v>
      </c>
      <c r="AJ749" s="99">
        <f ca="1">ROUND(VLOOKUP(100,enemy_base_stats!$A:$F,2,FALSE) * Y749* J749*O749*E749*S749*AD749*[2]ステータス!$B$2,0)</f>
        <v>103449</v>
      </c>
      <c r="AK749" s="99">
        <f ca="1">ROUND(VLOOKUP(100,enemy_base_stats!$A:$F,3,FALSE)* Z749* K749*P749*F749*T749*AE749 * W749*[2]ステータス!$C$2,0)</f>
        <v>8919</v>
      </c>
      <c r="AL749" s="99">
        <f ca="1">ROUND(VLOOKUP(100,enemy_base_stats!$A:$F,4,FALSE)* AA749* L749*Q749*G749*U749*AF749*[2]ステータス!$D$2,0)</f>
        <v>0</v>
      </c>
      <c r="AM749" s="97">
        <f ca="1">VLOOKUP(M749,[2]character_tribe_i18n!$A:$I,9,FALSE)</f>
        <v>480</v>
      </c>
      <c r="AN749" s="97">
        <v>0</v>
      </c>
      <c r="AO749" s="98">
        <v>0</v>
      </c>
      <c r="AP749" s="58" t="s">
        <v>72</v>
      </c>
      <c r="AQ749" s="34">
        <f t="shared" ca="1" si="44"/>
        <v>748</v>
      </c>
    </row>
    <row r="750" spans="1:43" ht="21" customHeight="1" x14ac:dyDescent="0.15">
      <c r="A750" s="7">
        <f t="shared" ca="1" si="43"/>
        <v>749</v>
      </c>
      <c r="B750" s="6" t="str">
        <f ca="1">VLOOKUP(A750,[2]characters!$A:$C,3,FALSE)</f>
        <v>光喜の牧童 パーン</v>
      </c>
      <c r="C750" s="9">
        <f ca="1">VLOOKUP(A750,[2]characters!$A:$I,9,FALSE)</f>
        <v>5</v>
      </c>
      <c r="D750" s="9" t="str">
        <f ca="1">VLOOKUP(A750,[2]characters!$A:$H,8,FALSE)</f>
        <v>yellow</v>
      </c>
      <c r="E750" s="97">
        <f ca="1">VLOOKUP(D750,[2]属性!$A:$E,2,FALSE)</f>
        <v>0.98</v>
      </c>
      <c r="F750" s="97">
        <f ca="1">VLOOKUP(D750,[2]属性!$A:$E,3,FALSE)</f>
        <v>1.01</v>
      </c>
      <c r="G750" s="97">
        <f ca="1">VLOOKUP(D750,[2]属性!$A:$F,4,FALSE)</f>
        <v>1</v>
      </c>
      <c r="H750" s="9" t="str">
        <f ca="1">VLOOKUP(A750,[2]characters!$A:$K,11,FALSE)</f>
        <v>heal</v>
      </c>
      <c r="I750" s="6" t="str">
        <f ca="1">VLOOKUP(H750,[2]character_type_i18n!$A:$F,3,FALSE)</f>
        <v>回復タイプ</v>
      </c>
      <c r="J750" s="97">
        <f ca="1">VLOOKUP(H750,[2]character_type_i18n!$A:$F,4,FALSE)</f>
        <v>0.8</v>
      </c>
      <c r="K750" s="97">
        <f ca="1">VLOOKUP(H750,[2]character_type_i18n!$A:$F,5,FALSE)</f>
        <v>0.78</v>
      </c>
      <c r="L750" s="97">
        <f ca="1">VLOOKUP(H750,[2]character_type_i18n!$A:$F,6,FALSE)</f>
        <v>1</v>
      </c>
      <c r="M750" s="9" t="str">
        <f ca="1">VLOOKUP(A750,[2]characters!$A:$M,13,FALSE)</f>
        <v>animal</v>
      </c>
      <c r="N750" s="6" t="str">
        <f ca="1">VLOOKUP(M750,[2]character_tribe_i18n!$A:$F,3,FALSE)</f>
        <v>アニマル</v>
      </c>
      <c r="O750" s="97">
        <f ca="1">VLOOKUP(M750,[2]character_tribe_i18n!$A:$F,4,FALSE)</f>
        <v>1</v>
      </c>
      <c r="P750" s="97">
        <f ca="1">VLOOKUP(M750,[2]character_tribe_i18n!$A:$F,5,FALSE)</f>
        <v>1.1000000000000001</v>
      </c>
      <c r="Q750" s="97">
        <f ca="1">VLOOKUP(M750,[2]character_tribe_i18n!$A:$F,6,FALSE)</f>
        <v>1</v>
      </c>
      <c r="R750" s="98" t="s">
        <v>98</v>
      </c>
      <c r="S750" s="97">
        <f>VLOOKUP($R750,ラベル別係数!$A$1:$E$7,3,FALSE)</f>
        <v>5</v>
      </c>
      <c r="T750" s="97">
        <f>VLOOKUP($R750,ラベル別係数!$A$1:$E$7,4,FALSE)</f>
        <v>1.3</v>
      </c>
      <c r="U750" s="97">
        <f>VLOOKUP($R750,ラベル別係数!$A$1:$E$7,5,FALSE)</f>
        <v>0.8</v>
      </c>
      <c r="V750" s="98">
        <v>3</v>
      </c>
      <c r="W750" s="99">
        <f>VLOOKUP(V750,ターン数別攻撃係数!$A$1:$B$1000,2,FALSE)</f>
        <v>1</v>
      </c>
      <c r="X750" s="9">
        <f ca="1">VLOOKUP(C750,サイズ別係数!A$2:B$9,2,FALSE)</f>
        <v>60</v>
      </c>
      <c r="Y750" s="97">
        <f ca="1">VLOOKUP($X750,サイズ別係数!$B:$E,2,FALSE)</f>
        <v>1.7</v>
      </c>
      <c r="Z750" s="97">
        <f ca="1">VLOOKUP($X750,サイズ別係数!$B:$E,3,FALSE)</f>
        <v>1.4</v>
      </c>
      <c r="AA750" s="97">
        <f ca="1">VLOOKUP($X750,サイズ別係数!$B:$E,4,FALSE)</f>
        <v>1</v>
      </c>
      <c r="AB750" s="10">
        <v>0</v>
      </c>
      <c r="AC750" s="6" t="str">
        <f ca="1">VLOOKUP($AB750,OFFSET([3]enemy_skill_sets!$B$2,0,0,COUNTA([3]enemy_skill_sets!$A:$A),MATCH(AC$1,[3]enemy_skill_sets!$1:$1,0)-MATCH($AB$1,[3]enemy_skill_sets!$1:$1,0)+1),MATCH(AC$1,[3]enemy_skill_sets!$1:$1,0)-MATCH($AB$1,[3]enemy_skill_sets!$1:$1,0)+1,FALSE)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0" s="67">
        <v>1</v>
      </c>
      <c r="AE750" s="67">
        <v>1</v>
      </c>
      <c r="AF750" s="68">
        <v>0</v>
      </c>
      <c r="AG750" s="99">
        <f ca="1">ROUND(VLOOKUP(1,enemy_base_stats!$A:$F,2,FALSE) * Y750* J750*O750*E750*S750*AD750*[2]ステータス!$B$2,0)</f>
        <v>3332</v>
      </c>
      <c r="AH750" s="99">
        <f ca="1">ROUND(VLOOKUP(1,enemy_base_stats!$A:$F,3,FALSE) * Z750*K750*P750*F750*T750*AE750 * W750*[2]ステータス!$C$2,0)</f>
        <v>237</v>
      </c>
      <c r="AI750" s="99">
        <f ca="1">ROUND(VLOOKUP(1,enemy_base_stats!$A:$F,4,FALSE) * AA750*L750*Q750*G750*U750*AF750*[2]ステータス!$D$2,0)</f>
        <v>0</v>
      </c>
      <c r="AJ750" s="99">
        <f ca="1">ROUND(VLOOKUP(100,enemy_base_stats!$A:$F,2,FALSE) * Y750* J750*O750*E750*S750*AD750*[2]ステータス!$B$2,0)</f>
        <v>135279</v>
      </c>
      <c r="AK750" s="99">
        <f ca="1">ROUND(VLOOKUP(100,enemy_base_stats!$A:$F,3,FALSE)* Z750* K750*P750*F750*T750*AE750 * W750*[2]ステータス!$C$2,0)</f>
        <v>9605</v>
      </c>
      <c r="AL750" s="99">
        <f ca="1">ROUND(VLOOKUP(100,enemy_base_stats!$A:$F,4,FALSE)* AA750* L750*Q750*G750*U750*AF750*[2]ステータス!$D$2,0)</f>
        <v>0</v>
      </c>
      <c r="AM750" s="97">
        <f ca="1">VLOOKUP(M750,[2]character_tribe_i18n!$A:$I,9,FALSE)</f>
        <v>480</v>
      </c>
      <c r="AN750" s="97">
        <v>0</v>
      </c>
      <c r="AO750" s="98">
        <v>0</v>
      </c>
      <c r="AP750" s="58" t="s">
        <v>72</v>
      </c>
      <c r="AQ750" s="34">
        <f t="shared" ca="1" si="44"/>
        <v>749</v>
      </c>
    </row>
    <row r="751" spans="1:43" ht="21" customHeight="1" x14ac:dyDescent="0.15">
      <c r="A751" s="7">
        <f t="shared" ca="1" si="43"/>
        <v>750</v>
      </c>
      <c r="B751" s="6" t="str">
        <f ca="1">VLOOKUP(A751,[2]characters!$A:$C,3,FALSE)</f>
        <v>ポアソン</v>
      </c>
      <c r="C751" s="9">
        <f ca="1">VLOOKUP(A751,[2]characters!$A:$I,9,FALSE)</f>
        <v>5</v>
      </c>
      <c r="D751" s="9" t="str">
        <f ca="1">VLOOKUP(A751,[2]characters!$A:$H,8,FALSE)</f>
        <v>green</v>
      </c>
      <c r="E751" s="97">
        <f ca="1">VLOOKUP(D751,[2]属性!$A:$E,2,FALSE)</f>
        <v>1.02</v>
      </c>
      <c r="F751" s="97">
        <f ca="1">VLOOKUP(D751,[2]属性!$A:$E,3,FALSE)</f>
        <v>0.98</v>
      </c>
      <c r="G751" s="97">
        <f ca="1">VLOOKUP(D751,[2]属性!$A:$F,4,FALSE)</f>
        <v>1</v>
      </c>
      <c r="H751" s="9" t="str">
        <f ca="1">VLOOKUP(A751,[2]characters!$A:$K,11,FALSE)</f>
        <v>balance</v>
      </c>
      <c r="I751" s="6" t="str">
        <f ca="1">VLOOKUP(H751,[2]character_type_i18n!$A:$F,3,FALSE)</f>
        <v>バランスタイプ</v>
      </c>
      <c r="J751" s="97">
        <f ca="1">VLOOKUP(H751,[2]character_type_i18n!$A:$F,4,FALSE)</f>
        <v>1</v>
      </c>
      <c r="K751" s="97">
        <f ca="1">VLOOKUP(H751,[2]character_type_i18n!$A:$F,5,FALSE)</f>
        <v>1</v>
      </c>
      <c r="L751" s="97">
        <f ca="1">VLOOKUP(H751,[2]character_type_i18n!$A:$F,6,FALSE)</f>
        <v>1</v>
      </c>
      <c r="M751" s="9" t="str">
        <f ca="1">VLOOKUP(A751,[2]characters!$A:$M,13,FALSE)</f>
        <v>academia</v>
      </c>
      <c r="N751" s="6" t="str">
        <f ca="1">VLOOKUP(M751,[2]character_tribe_i18n!$A:$F,3,FALSE)</f>
        <v>アカデミア</v>
      </c>
      <c r="O751" s="97">
        <f ca="1">VLOOKUP(M751,[2]character_tribe_i18n!$A:$F,4,FALSE)</f>
        <v>1</v>
      </c>
      <c r="P751" s="97">
        <f ca="1">VLOOKUP(M751,[2]character_tribe_i18n!$A:$F,5,FALSE)</f>
        <v>1</v>
      </c>
      <c r="Q751" s="97">
        <f ca="1">VLOOKUP(M751,[2]character_tribe_i18n!$A:$F,6,FALSE)</f>
        <v>1</v>
      </c>
      <c r="R751" s="98" t="s">
        <v>98</v>
      </c>
      <c r="S751" s="97">
        <f>VLOOKUP($R751,ラベル別係数!$A$1:$E$7,3,FALSE)</f>
        <v>5</v>
      </c>
      <c r="T751" s="97">
        <f>VLOOKUP($R751,ラベル別係数!$A$1:$E$7,4,FALSE)</f>
        <v>1.3</v>
      </c>
      <c r="U751" s="97">
        <f>VLOOKUP($R751,ラベル別係数!$A$1:$E$7,5,FALSE)</f>
        <v>0.8</v>
      </c>
      <c r="V751" s="98">
        <v>3</v>
      </c>
      <c r="W751" s="99">
        <f>VLOOKUP(V751,ターン数別攻撃係数!$A$1:$B$1000,2,FALSE)</f>
        <v>1</v>
      </c>
      <c r="X751" s="9">
        <f ca="1">VLOOKUP(C751,サイズ別係数!A$2:B$9,2,FALSE)</f>
        <v>60</v>
      </c>
      <c r="Y751" s="97">
        <f ca="1">VLOOKUP($X751,サイズ別係数!$B:$E,2,FALSE)</f>
        <v>1.7</v>
      </c>
      <c r="Z751" s="97">
        <f ca="1">VLOOKUP($X751,サイズ別係数!$B:$E,3,FALSE)</f>
        <v>1.4</v>
      </c>
      <c r="AA751" s="97">
        <f ca="1">VLOOKUP($X751,サイズ別係数!$B:$E,4,FALSE)</f>
        <v>1</v>
      </c>
      <c r="AB751" s="10">
        <v>0</v>
      </c>
      <c r="AC751" s="6" t="str">
        <f ca="1">VLOOKUP($AB751,OFFSET([3]enemy_skill_sets!$B$2,0,0,COUNTA([3]enemy_skill_sets!$A:$A),MATCH(AC$1,[3]enemy_skill_sets!$1:$1,0)-MATCH($AB$1,[3]enemy_skill_sets!$1:$1,0)+1),MATCH(AC$1,[3]enemy_skill_sets!$1:$1,0)-MATCH($AB$1,[3]enemy_skill_sets!$1:$1,0)+1,FALSE)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1" s="67">
        <v>1</v>
      </c>
      <c r="AE751" s="67">
        <v>1</v>
      </c>
      <c r="AF751" s="68">
        <v>0</v>
      </c>
      <c r="AG751" s="99">
        <f ca="1">ROUND(VLOOKUP(1,enemy_base_stats!$A:$F,2,FALSE) * Y751* J751*O751*E751*S751*AD751*[2]ステータス!$B$2,0)</f>
        <v>4335</v>
      </c>
      <c r="AH751" s="99">
        <f ca="1">ROUND(VLOOKUP(1,enemy_base_stats!$A:$F,3,FALSE) * Z751*K751*P751*F751*T751*AE751 * W751*[2]ステータス!$C$2,0)</f>
        <v>268</v>
      </c>
      <c r="AI751" s="99">
        <f ca="1">ROUND(VLOOKUP(1,enemy_base_stats!$A:$F,4,FALSE) * AA751*L751*Q751*G751*U751*AF751*[2]ステータス!$D$2,0)</f>
        <v>0</v>
      </c>
      <c r="AJ751" s="99">
        <f ca="1">ROUND(VLOOKUP(100,enemy_base_stats!$A:$F,2,FALSE) * Y751* J751*O751*E751*S751*AD751*[2]ステータス!$B$2,0)</f>
        <v>176001</v>
      </c>
      <c r="AK751" s="99">
        <f ca="1">ROUND(VLOOKUP(100,enemy_base_stats!$A:$F,3,FALSE)* Z751* K751*P751*F751*T751*AE751 * W751*[2]ステータス!$C$2,0)</f>
        <v>10862</v>
      </c>
      <c r="AL751" s="99">
        <f ca="1">ROUND(VLOOKUP(100,enemy_base_stats!$A:$F,4,FALSE)* AA751* L751*Q751*G751*U751*AF751*[2]ステータス!$D$2,0)</f>
        <v>0</v>
      </c>
      <c r="AM751" s="97">
        <f ca="1">VLOOKUP(M751,[2]character_tribe_i18n!$A:$I,9,FALSE)</f>
        <v>400</v>
      </c>
      <c r="AN751" s="97">
        <v>0</v>
      </c>
      <c r="AO751" s="98">
        <v>0</v>
      </c>
      <c r="AP751" s="58" t="s">
        <v>72</v>
      </c>
      <c r="AQ751" s="34">
        <f t="shared" ca="1" si="44"/>
        <v>750</v>
      </c>
    </row>
    <row r="752" spans="1:43" ht="21" customHeight="1" x14ac:dyDescent="0.15">
      <c r="A752" s="7">
        <f t="shared" ca="1" si="43"/>
        <v>751</v>
      </c>
      <c r="B752" s="6" t="str">
        <f ca="1">VLOOKUP(A752,[2]characters!$A:$C,3,FALSE)</f>
        <v>交錯の旋匣 ポアソン</v>
      </c>
      <c r="C752" s="9">
        <f ca="1">VLOOKUP(A752,[2]characters!$A:$I,9,FALSE)</f>
        <v>6</v>
      </c>
      <c r="D752" s="9" t="str">
        <f ca="1">VLOOKUP(A752,[2]characters!$A:$H,8,FALSE)</f>
        <v>green</v>
      </c>
      <c r="E752" s="97">
        <f ca="1">VLOOKUP(D752,[2]属性!$A:$E,2,FALSE)</f>
        <v>1.02</v>
      </c>
      <c r="F752" s="97">
        <f ca="1">VLOOKUP(D752,[2]属性!$A:$E,3,FALSE)</f>
        <v>0.98</v>
      </c>
      <c r="G752" s="97">
        <f ca="1">VLOOKUP(D752,[2]属性!$A:$F,4,FALSE)</f>
        <v>1</v>
      </c>
      <c r="H752" s="9" t="str">
        <f ca="1">VLOOKUP(A752,[2]characters!$A:$K,11,FALSE)</f>
        <v>balance</v>
      </c>
      <c r="I752" s="6" t="str">
        <f ca="1">VLOOKUP(H752,[2]character_type_i18n!$A:$F,3,FALSE)</f>
        <v>バランスタイプ</v>
      </c>
      <c r="J752" s="97">
        <f ca="1">VLOOKUP(H752,[2]character_type_i18n!$A:$F,4,FALSE)</f>
        <v>1</v>
      </c>
      <c r="K752" s="97">
        <f ca="1">VLOOKUP(H752,[2]character_type_i18n!$A:$F,5,FALSE)</f>
        <v>1</v>
      </c>
      <c r="L752" s="97">
        <f ca="1">VLOOKUP(H752,[2]character_type_i18n!$A:$F,6,FALSE)</f>
        <v>1</v>
      </c>
      <c r="M752" s="9" t="str">
        <f ca="1">VLOOKUP(A752,[2]characters!$A:$M,13,FALSE)</f>
        <v>academia</v>
      </c>
      <c r="N752" s="6" t="str">
        <f ca="1">VLOOKUP(M752,[2]character_tribe_i18n!$A:$F,3,FALSE)</f>
        <v>アカデミア</v>
      </c>
      <c r="O752" s="97">
        <f ca="1">VLOOKUP(M752,[2]character_tribe_i18n!$A:$F,4,FALSE)</f>
        <v>1</v>
      </c>
      <c r="P752" s="97">
        <f ca="1">VLOOKUP(M752,[2]character_tribe_i18n!$A:$F,5,FALSE)</f>
        <v>1</v>
      </c>
      <c r="Q752" s="97">
        <f ca="1">VLOOKUP(M752,[2]character_tribe_i18n!$A:$F,6,FALSE)</f>
        <v>1</v>
      </c>
      <c r="R752" s="98" t="s">
        <v>98</v>
      </c>
      <c r="S752" s="97">
        <f>VLOOKUP($R752,ラベル別係数!$A$1:$E$7,3,FALSE)</f>
        <v>5</v>
      </c>
      <c r="T752" s="97">
        <f>VLOOKUP($R752,ラベル別係数!$A$1:$E$7,4,FALSE)</f>
        <v>1.3</v>
      </c>
      <c r="U752" s="97">
        <f>VLOOKUP($R752,ラベル別係数!$A$1:$E$7,5,FALSE)</f>
        <v>0.8</v>
      </c>
      <c r="V752" s="98">
        <v>3</v>
      </c>
      <c r="W752" s="99">
        <f>VLOOKUP(V752,ターン数別攻撃係数!$A$1:$B$1000,2,FALSE)</f>
        <v>1</v>
      </c>
      <c r="X752" s="9">
        <f ca="1">VLOOKUP(C752,サイズ別係数!A$2:B$9,2,FALSE)</f>
        <v>60</v>
      </c>
      <c r="Y752" s="97">
        <f ca="1">VLOOKUP($X752,サイズ別係数!$B:$E,2,FALSE)</f>
        <v>1.7</v>
      </c>
      <c r="Z752" s="97">
        <f ca="1">VLOOKUP($X752,サイズ別係数!$B:$E,3,FALSE)</f>
        <v>1.4</v>
      </c>
      <c r="AA752" s="97">
        <f ca="1">VLOOKUP($X752,サイズ別係数!$B:$E,4,FALSE)</f>
        <v>1</v>
      </c>
      <c r="AB752" s="10">
        <v>0</v>
      </c>
      <c r="AC752" s="6" t="str">
        <f ca="1">VLOOKUP($AB752,OFFSET([3]enemy_skill_sets!$B$2,0,0,COUNTA([3]enemy_skill_sets!$A:$A),MATCH(AC$1,[3]enemy_skill_sets!$1:$1,0)-MATCH($AB$1,[3]enemy_skill_sets!$1:$1,0)+1),MATCH(AC$1,[3]enemy_skill_sets!$1:$1,0)-MATCH($AB$1,[3]enemy_skill_sets!$1:$1,0)+1,FALSE)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2" s="67">
        <v>1</v>
      </c>
      <c r="AE752" s="67">
        <v>1</v>
      </c>
      <c r="AF752" s="68">
        <v>0</v>
      </c>
      <c r="AG752" s="99">
        <f ca="1">ROUND(VLOOKUP(1,enemy_base_stats!$A:$F,2,FALSE) * Y752* J752*O752*E752*S752*AD752*[2]ステータス!$B$2,0)</f>
        <v>4335</v>
      </c>
      <c r="AH752" s="99">
        <f ca="1">ROUND(VLOOKUP(1,enemy_base_stats!$A:$F,3,FALSE) * Z752*K752*P752*F752*T752*AE752 * W752*[2]ステータス!$C$2,0)</f>
        <v>268</v>
      </c>
      <c r="AI752" s="99">
        <f ca="1">ROUND(VLOOKUP(1,enemy_base_stats!$A:$F,4,FALSE) * AA752*L752*Q752*G752*U752*AF752*[2]ステータス!$D$2,0)</f>
        <v>0</v>
      </c>
      <c r="AJ752" s="99">
        <f ca="1">ROUND(VLOOKUP(100,enemy_base_stats!$A:$F,2,FALSE) * Y752* J752*O752*E752*S752*AD752*[2]ステータス!$B$2,0)</f>
        <v>176001</v>
      </c>
      <c r="AK752" s="99">
        <f ca="1">ROUND(VLOOKUP(100,enemy_base_stats!$A:$F,3,FALSE)* Z752* K752*P752*F752*T752*AE752 * W752*[2]ステータス!$C$2,0)</f>
        <v>10862</v>
      </c>
      <c r="AL752" s="99">
        <f ca="1">ROUND(VLOOKUP(100,enemy_base_stats!$A:$F,4,FALSE)* AA752* L752*Q752*G752*U752*AF752*[2]ステータス!$D$2,0)</f>
        <v>0</v>
      </c>
      <c r="AM752" s="97">
        <f ca="1">VLOOKUP(M752,[2]character_tribe_i18n!$A:$I,9,FALSE)</f>
        <v>400</v>
      </c>
      <c r="AN752" s="97">
        <v>0</v>
      </c>
      <c r="AO752" s="98">
        <v>0</v>
      </c>
      <c r="AP752" s="58" t="s">
        <v>72</v>
      </c>
      <c r="AQ752" s="34">
        <f t="shared" ca="1" si="44"/>
        <v>751</v>
      </c>
    </row>
    <row r="753" spans="1:43" ht="21" customHeight="1" x14ac:dyDescent="0.15">
      <c r="A753" s="7">
        <f t="shared" ca="1" si="43"/>
        <v>752</v>
      </c>
      <c r="B753" s="6" t="str">
        <f ca="1">VLOOKUP(A753,[2]characters!$A:$C,3,FALSE)</f>
        <v>ムラマサ</v>
      </c>
      <c r="C753" s="9">
        <f ca="1">VLOOKUP(A753,[2]characters!$A:$I,9,FALSE)</f>
        <v>5</v>
      </c>
      <c r="D753" s="9" t="str">
        <f ca="1">VLOOKUP(A753,[2]characters!$A:$H,8,FALSE)</f>
        <v>red</v>
      </c>
      <c r="E753" s="97">
        <f ca="1">VLOOKUP(D753,[2]属性!$A:$E,2,FALSE)</f>
        <v>1</v>
      </c>
      <c r="F753" s="97">
        <f ca="1">VLOOKUP(D753,[2]属性!$A:$E,3,FALSE)</f>
        <v>1.02</v>
      </c>
      <c r="G753" s="97">
        <f ca="1">VLOOKUP(D753,[2]属性!$A:$F,4,FALSE)</f>
        <v>1</v>
      </c>
      <c r="H753" s="9" t="str">
        <f ca="1">VLOOKUP(A753,[2]characters!$A:$K,11,FALSE)</f>
        <v>attack</v>
      </c>
      <c r="I753" s="6" t="str">
        <f ca="1">VLOOKUP(H753,[2]character_type_i18n!$A:$F,3,FALSE)</f>
        <v>攻撃タイプ</v>
      </c>
      <c r="J753" s="97">
        <f ca="1">VLOOKUP(H753,[2]character_type_i18n!$A:$F,4,FALSE)</f>
        <v>1</v>
      </c>
      <c r="K753" s="97">
        <f ca="1">VLOOKUP(H753,[2]character_type_i18n!$A:$F,5,FALSE)</f>
        <v>1.33</v>
      </c>
      <c r="L753" s="97">
        <f ca="1">VLOOKUP(H753,[2]character_type_i18n!$A:$F,6,FALSE)</f>
        <v>1</v>
      </c>
      <c r="M753" s="9" t="str">
        <f ca="1">VLOOKUP(A753,[2]characters!$A:$M,13,FALSE)</f>
        <v>weapon</v>
      </c>
      <c r="N753" s="6" t="str">
        <f ca="1">VLOOKUP(M753,[2]character_tribe_i18n!$A:$F,3,FALSE)</f>
        <v>ウェポン</v>
      </c>
      <c r="O753" s="97">
        <f ca="1">VLOOKUP(M753,[2]character_tribe_i18n!$A:$F,4,FALSE)</f>
        <v>1</v>
      </c>
      <c r="P753" s="97">
        <f ca="1">VLOOKUP(M753,[2]character_tribe_i18n!$A:$F,5,FALSE)</f>
        <v>1</v>
      </c>
      <c r="Q753" s="97">
        <f ca="1">VLOOKUP(M753,[2]character_tribe_i18n!$A:$F,6,FALSE)</f>
        <v>1</v>
      </c>
      <c r="R753" s="98" t="s">
        <v>98</v>
      </c>
      <c r="S753" s="97">
        <f>VLOOKUP($R753,ラベル別係数!$A$1:$E$7,3,FALSE)</f>
        <v>5</v>
      </c>
      <c r="T753" s="97">
        <f>VLOOKUP($R753,ラベル別係数!$A$1:$E$7,4,FALSE)</f>
        <v>1.3</v>
      </c>
      <c r="U753" s="97">
        <f>VLOOKUP($R753,ラベル別係数!$A$1:$E$7,5,FALSE)</f>
        <v>0.8</v>
      </c>
      <c r="V753" s="98">
        <v>3</v>
      </c>
      <c r="W753" s="99">
        <f>VLOOKUP(V753,ターン数別攻撃係数!$A$1:$B$1000,2,FALSE)</f>
        <v>1</v>
      </c>
      <c r="X753" s="9">
        <f ca="1">VLOOKUP(C753,サイズ別係数!A$2:B$9,2,FALSE)</f>
        <v>60</v>
      </c>
      <c r="Y753" s="97">
        <f ca="1">VLOOKUP($X753,サイズ別係数!$B:$E,2,FALSE)</f>
        <v>1.7</v>
      </c>
      <c r="Z753" s="97">
        <f ca="1">VLOOKUP($X753,サイズ別係数!$B:$E,3,FALSE)</f>
        <v>1.4</v>
      </c>
      <c r="AA753" s="97">
        <f ca="1">VLOOKUP($X753,サイズ別係数!$B:$E,4,FALSE)</f>
        <v>1</v>
      </c>
      <c r="AB753" s="10">
        <v>0</v>
      </c>
      <c r="AC753" s="6" t="str">
        <f ca="1">VLOOKUP($AB753,OFFSET([3]enemy_skill_sets!$B$2,0,0,COUNTA([3]enemy_skill_sets!$A:$A),MATCH(AC$1,[3]enemy_skill_sets!$1:$1,0)-MATCH($AB$1,[3]enemy_skill_sets!$1:$1,0)+1),MATCH(AC$1,[3]enemy_skill_sets!$1:$1,0)-MATCH($AB$1,[3]enemy_skill_sets!$1:$1,0)+1,FALSE)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3" s="67">
        <v>1</v>
      </c>
      <c r="AE753" s="67">
        <v>1</v>
      </c>
      <c r="AF753" s="68">
        <v>0</v>
      </c>
      <c r="AG753" s="99">
        <f ca="1">ROUND(VLOOKUP(1,enemy_base_stats!$A:$F,2,FALSE) * Y753* J753*O753*E753*S753*AD753*[2]ステータス!$B$2,0)</f>
        <v>4250</v>
      </c>
      <c r="AH753" s="99">
        <f ca="1">ROUND(VLOOKUP(1,enemy_base_stats!$A:$F,3,FALSE) * Z753*K753*P753*F753*T753*AE753 * W753*[2]ステータス!$C$2,0)</f>
        <v>370</v>
      </c>
      <c r="AI753" s="99">
        <f ca="1">ROUND(VLOOKUP(1,enemy_base_stats!$A:$F,4,FALSE) * AA753*L753*Q753*G753*U753*AF753*[2]ステータス!$D$2,0)</f>
        <v>0</v>
      </c>
      <c r="AJ753" s="99">
        <f ca="1">ROUND(VLOOKUP(100,enemy_base_stats!$A:$F,2,FALSE) * Y753* J753*O753*E753*S753*AD753*[2]ステータス!$B$2,0)</f>
        <v>172550</v>
      </c>
      <c r="AK753" s="99">
        <f ca="1">ROUND(VLOOKUP(100,enemy_base_stats!$A:$F,3,FALSE)* Z753* K753*P753*F753*T753*AE753 * W753*[2]ステータス!$C$2,0)</f>
        <v>15036</v>
      </c>
      <c r="AL753" s="99">
        <f ca="1">ROUND(VLOOKUP(100,enemy_base_stats!$A:$F,4,FALSE)* AA753* L753*Q753*G753*U753*AF753*[2]ステータス!$D$2,0)</f>
        <v>0</v>
      </c>
      <c r="AM753" s="97">
        <f ca="1">VLOOKUP(M753,[2]character_tribe_i18n!$A:$I,9,FALSE)</f>
        <v>400</v>
      </c>
      <c r="AN753" s="97">
        <v>0</v>
      </c>
      <c r="AO753" s="98">
        <v>0</v>
      </c>
      <c r="AP753" s="58" t="s">
        <v>72</v>
      </c>
      <c r="AQ753" s="34">
        <f t="shared" ca="1" si="44"/>
        <v>752</v>
      </c>
    </row>
    <row r="754" spans="1:43" ht="21" customHeight="1" x14ac:dyDescent="0.15">
      <c r="A754" s="7">
        <f t="shared" ca="1" si="43"/>
        <v>753</v>
      </c>
      <c r="B754" s="6" t="str">
        <f ca="1">VLOOKUP(A754,[2]characters!$A:$C,3,FALSE)</f>
        <v>皆斬の虐器 ムラマサ</v>
      </c>
      <c r="C754" s="9">
        <f ca="1">VLOOKUP(A754,[2]characters!$A:$I,9,FALSE)</f>
        <v>6</v>
      </c>
      <c r="D754" s="9" t="str">
        <f ca="1">VLOOKUP(A754,[2]characters!$A:$H,8,FALSE)</f>
        <v>red</v>
      </c>
      <c r="E754" s="97">
        <f ca="1">VLOOKUP(D754,[2]属性!$A:$E,2,FALSE)</f>
        <v>1</v>
      </c>
      <c r="F754" s="97">
        <f ca="1">VLOOKUP(D754,[2]属性!$A:$E,3,FALSE)</f>
        <v>1.02</v>
      </c>
      <c r="G754" s="97">
        <f ca="1">VLOOKUP(D754,[2]属性!$A:$F,4,FALSE)</f>
        <v>1</v>
      </c>
      <c r="H754" s="9" t="str">
        <f ca="1">VLOOKUP(A754,[2]characters!$A:$K,11,FALSE)</f>
        <v>attack</v>
      </c>
      <c r="I754" s="6" t="str">
        <f ca="1">VLOOKUP(H754,[2]character_type_i18n!$A:$F,3,FALSE)</f>
        <v>攻撃タイプ</v>
      </c>
      <c r="J754" s="97">
        <f ca="1">VLOOKUP(H754,[2]character_type_i18n!$A:$F,4,FALSE)</f>
        <v>1</v>
      </c>
      <c r="K754" s="97">
        <f ca="1">VLOOKUP(H754,[2]character_type_i18n!$A:$F,5,FALSE)</f>
        <v>1.33</v>
      </c>
      <c r="L754" s="97">
        <f ca="1">VLOOKUP(H754,[2]character_type_i18n!$A:$F,6,FALSE)</f>
        <v>1</v>
      </c>
      <c r="M754" s="9" t="str">
        <f ca="1">VLOOKUP(A754,[2]characters!$A:$M,13,FALSE)</f>
        <v>weapon</v>
      </c>
      <c r="N754" s="6" t="str">
        <f ca="1">VLOOKUP(M754,[2]character_tribe_i18n!$A:$F,3,FALSE)</f>
        <v>ウェポン</v>
      </c>
      <c r="O754" s="97">
        <f ca="1">VLOOKUP(M754,[2]character_tribe_i18n!$A:$F,4,FALSE)</f>
        <v>1</v>
      </c>
      <c r="P754" s="97">
        <f ca="1">VLOOKUP(M754,[2]character_tribe_i18n!$A:$F,5,FALSE)</f>
        <v>1</v>
      </c>
      <c r="Q754" s="97">
        <f ca="1">VLOOKUP(M754,[2]character_tribe_i18n!$A:$F,6,FALSE)</f>
        <v>1</v>
      </c>
      <c r="R754" s="98" t="s">
        <v>98</v>
      </c>
      <c r="S754" s="97">
        <f>VLOOKUP($R754,ラベル別係数!$A$1:$E$7,3,FALSE)</f>
        <v>5</v>
      </c>
      <c r="T754" s="97">
        <f>VLOOKUP($R754,ラベル別係数!$A$1:$E$7,4,FALSE)</f>
        <v>1.3</v>
      </c>
      <c r="U754" s="97">
        <f>VLOOKUP($R754,ラベル別係数!$A$1:$E$7,5,FALSE)</f>
        <v>0.8</v>
      </c>
      <c r="V754" s="98">
        <v>3</v>
      </c>
      <c r="W754" s="99">
        <f>VLOOKUP(V754,ターン数別攻撃係数!$A$1:$B$1000,2,FALSE)</f>
        <v>1</v>
      </c>
      <c r="X754" s="9">
        <f ca="1">VLOOKUP(C754,サイズ別係数!A$2:B$9,2,FALSE)</f>
        <v>60</v>
      </c>
      <c r="Y754" s="97">
        <f ca="1">VLOOKUP($X754,サイズ別係数!$B:$E,2,FALSE)</f>
        <v>1.7</v>
      </c>
      <c r="Z754" s="97">
        <f ca="1">VLOOKUP($X754,サイズ別係数!$B:$E,3,FALSE)</f>
        <v>1.4</v>
      </c>
      <c r="AA754" s="97">
        <f ca="1">VLOOKUP($X754,サイズ別係数!$B:$E,4,FALSE)</f>
        <v>1</v>
      </c>
      <c r="AB754" s="10">
        <v>0</v>
      </c>
      <c r="AC754" s="6" t="str">
        <f ca="1">VLOOKUP($AB754,OFFSET([3]enemy_skill_sets!$B$2,0,0,COUNTA([3]enemy_skill_sets!$A:$A),MATCH(AC$1,[3]enemy_skill_sets!$1:$1,0)-MATCH($AB$1,[3]enemy_skill_sets!$1:$1,0)+1),MATCH(AC$1,[3]enemy_skill_sets!$1:$1,0)-MATCH($AB$1,[3]enemy_skill_sets!$1:$1,0)+1,FALSE)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4" s="67">
        <v>1</v>
      </c>
      <c r="AE754" s="67">
        <v>1</v>
      </c>
      <c r="AF754" s="68">
        <v>0</v>
      </c>
      <c r="AG754" s="99">
        <f ca="1">ROUND(VLOOKUP(1,enemy_base_stats!$A:$F,2,FALSE) * Y754* J754*O754*E754*S754*AD754*[2]ステータス!$B$2,0)</f>
        <v>4250</v>
      </c>
      <c r="AH754" s="99">
        <f ca="1">ROUND(VLOOKUP(1,enemy_base_stats!$A:$F,3,FALSE) * Z754*K754*P754*F754*T754*AE754 * W754*[2]ステータス!$C$2,0)</f>
        <v>370</v>
      </c>
      <c r="AI754" s="99">
        <f ca="1">ROUND(VLOOKUP(1,enemy_base_stats!$A:$F,4,FALSE) * AA754*L754*Q754*G754*U754*AF754*[2]ステータス!$D$2,0)</f>
        <v>0</v>
      </c>
      <c r="AJ754" s="99">
        <f ca="1">ROUND(VLOOKUP(100,enemy_base_stats!$A:$F,2,FALSE) * Y754* J754*O754*E754*S754*AD754*[2]ステータス!$B$2,0)</f>
        <v>172550</v>
      </c>
      <c r="AK754" s="99">
        <f ca="1">ROUND(VLOOKUP(100,enemy_base_stats!$A:$F,3,FALSE)* Z754* K754*P754*F754*T754*AE754 * W754*[2]ステータス!$C$2,0)</f>
        <v>15036</v>
      </c>
      <c r="AL754" s="99">
        <f ca="1">ROUND(VLOOKUP(100,enemy_base_stats!$A:$F,4,FALSE)* AA754* L754*Q754*G754*U754*AF754*[2]ステータス!$D$2,0)</f>
        <v>0</v>
      </c>
      <c r="AM754" s="97">
        <f ca="1">VLOOKUP(M754,[2]character_tribe_i18n!$A:$I,9,FALSE)</f>
        <v>400</v>
      </c>
      <c r="AN754" s="97">
        <v>0</v>
      </c>
      <c r="AO754" s="98">
        <v>0</v>
      </c>
      <c r="AP754" s="58" t="s">
        <v>72</v>
      </c>
      <c r="AQ754" s="34">
        <f t="shared" ca="1" si="44"/>
        <v>753</v>
      </c>
    </row>
    <row r="755" spans="1:43" ht="21" customHeight="1" x14ac:dyDescent="0.15">
      <c r="A755" s="7">
        <f t="shared" ca="1" si="43"/>
        <v>754</v>
      </c>
      <c r="B755" s="6" t="str">
        <f ca="1">VLOOKUP(A755,[2]characters!$A:$C,3,FALSE)</f>
        <v>マサムネ</v>
      </c>
      <c r="C755" s="9">
        <f ca="1">VLOOKUP(A755,[2]characters!$A:$I,9,FALSE)</f>
        <v>5</v>
      </c>
      <c r="D755" s="9" t="str">
        <f ca="1">VLOOKUP(A755,[2]characters!$A:$H,8,FALSE)</f>
        <v>green</v>
      </c>
      <c r="E755" s="97">
        <f ca="1">VLOOKUP(D755,[2]属性!$A:$E,2,FALSE)</f>
        <v>1.02</v>
      </c>
      <c r="F755" s="97">
        <f ca="1">VLOOKUP(D755,[2]属性!$A:$E,3,FALSE)</f>
        <v>0.98</v>
      </c>
      <c r="G755" s="97">
        <f ca="1">VLOOKUP(D755,[2]属性!$A:$F,4,FALSE)</f>
        <v>1</v>
      </c>
      <c r="H755" s="9" t="str">
        <f ca="1">VLOOKUP(A755,[2]characters!$A:$K,11,FALSE)</f>
        <v>balance</v>
      </c>
      <c r="I755" s="6" t="str">
        <f ca="1">VLOOKUP(H755,[2]character_type_i18n!$A:$F,3,FALSE)</f>
        <v>バランスタイプ</v>
      </c>
      <c r="J755" s="97">
        <f ca="1">VLOOKUP(H755,[2]character_type_i18n!$A:$F,4,FALSE)</f>
        <v>1</v>
      </c>
      <c r="K755" s="97">
        <f ca="1">VLOOKUP(H755,[2]character_type_i18n!$A:$F,5,FALSE)</f>
        <v>1</v>
      </c>
      <c r="L755" s="97">
        <f ca="1">VLOOKUP(H755,[2]character_type_i18n!$A:$F,6,FALSE)</f>
        <v>1</v>
      </c>
      <c r="M755" s="9" t="str">
        <f ca="1">VLOOKUP(A755,[2]characters!$A:$M,13,FALSE)</f>
        <v>weapon</v>
      </c>
      <c r="N755" s="6" t="str">
        <f ca="1">VLOOKUP(M755,[2]character_tribe_i18n!$A:$F,3,FALSE)</f>
        <v>ウェポン</v>
      </c>
      <c r="O755" s="97">
        <f ca="1">VLOOKUP(M755,[2]character_tribe_i18n!$A:$F,4,FALSE)</f>
        <v>1</v>
      </c>
      <c r="P755" s="97">
        <f ca="1">VLOOKUP(M755,[2]character_tribe_i18n!$A:$F,5,FALSE)</f>
        <v>1</v>
      </c>
      <c r="Q755" s="97">
        <f ca="1">VLOOKUP(M755,[2]character_tribe_i18n!$A:$F,6,FALSE)</f>
        <v>1</v>
      </c>
      <c r="R755" s="98" t="s">
        <v>98</v>
      </c>
      <c r="S755" s="97">
        <f>VLOOKUP($R755,ラベル別係数!$A$1:$E$7,3,FALSE)</f>
        <v>5</v>
      </c>
      <c r="T755" s="97">
        <f>VLOOKUP($R755,ラベル別係数!$A$1:$E$7,4,FALSE)</f>
        <v>1.3</v>
      </c>
      <c r="U755" s="97">
        <f>VLOOKUP($R755,ラベル別係数!$A$1:$E$7,5,FALSE)</f>
        <v>0.8</v>
      </c>
      <c r="V755" s="98">
        <v>3</v>
      </c>
      <c r="W755" s="99">
        <f>VLOOKUP(V755,ターン数別攻撃係数!$A$1:$B$1000,2,FALSE)</f>
        <v>1</v>
      </c>
      <c r="X755" s="9">
        <f ca="1">VLOOKUP(C755,サイズ別係数!A$2:B$9,2,FALSE)</f>
        <v>60</v>
      </c>
      <c r="Y755" s="97">
        <f ca="1">VLOOKUP($X755,サイズ別係数!$B:$E,2,FALSE)</f>
        <v>1.7</v>
      </c>
      <c r="Z755" s="97">
        <f ca="1">VLOOKUP($X755,サイズ別係数!$B:$E,3,FALSE)</f>
        <v>1.4</v>
      </c>
      <c r="AA755" s="97">
        <f ca="1">VLOOKUP($X755,サイズ別係数!$B:$E,4,FALSE)</f>
        <v>1</v>
      </c>
      <c r="AB755" s="10">
        <v>0</v>
      </c>
      <c r="AC755" s="6" t="str">
        <f ca="1">VLOOKUP($AB755,OFFSET([3]enemy_skill_sets!$B$2,0,0,COUNTA([3]enemy_skill_sets!$A:$A),MATCH(AC$1,[3]enemy_skill_sets!$1:$1,0)-MATCH($AB$1,[3]enemy_skill_sets!$1:$1,0)+1),MATCH(AC$1,[3]enemy_skill_sets!$1:$1,0)-MATCH($AB$1,[3]enemy_skill_sets!$1:$1,0)+1,FALSE)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5" s="67">
        <v>1</v>
      </c>
      <c r="AE755" s="67">
        <v>1</v>
      </c>
      <c r="AF755" s="68">
        <v>0</v>
      </c>
      <c r="AG755" s="99">
        <f ca="1">ROUND(VLOOKUP(1,enemy_base_stats!$A:$F,2,FALSE) * Y755* J755*O755*E755*S755*AD755*[2]ステータス!$B$2,0)</f>
        <v>4335</v>
      </c>
      <c r="AH755" s="99">
        <f ca="1">ROUND(VLOOKUP(1,enemy_base_stats!$A:$F,3,FALSE) * Z755*K755*P755*F755*T755*AE755 * W755*[2]ステータス!$C$2,0)</f>
        <v>268</v>
      </c>
      <c r="AI755" s="99">
        <f ca="1">ROUND(VLOOKUP(1,enemy_base_stats!$A:$F,4,FALSE) * AA755*L755*Q755*G755*U755*AF755*[2]ステータス!$D$2,0)</f>
        <v>0</v>
      </c>
      <c r="AJ755" s="99">
        <f ca="1">ROUND(VLOOKUP(100,enemy_base_stats!$A:$F,2,FALSE) * Y755* J755*O755*E755*S755*AD755*[2]ステータス!$B$2,0)</f>
        <v>176001</v>
      </c>
      <c r="AK755" s="99">
        <f ca="1">ROUND(VLOOKUP(100,enemy_base_stats!$A:$F,3,FALSE)* Z755* K755*P755*F755*T755*AE755 * W755*[2]ステータス!$C$2,0)</f>
        <v>10862</v>
      </c>
      <c r="AL755" s="99">
        <f ca="1">ROUND(VLOOKUP(100,enemy_base_stats!$A:$F,4,FALSE)* AA755* L755*Q755*G755*U755*AF755*[2]ステータス!$D$2,0)</f>
        <v>0</v>
      </c>
      <c r="AM755" s="97">
        <f ca="1">VLOOKUP(M755,[2]character_tribe_i18n!$A:$I,9,FALSE)</f>
        <v>400</v>
      </c>
      <c r="AN755" s="97">
        <v>0</v>
      </c>
      <c r="AO755" s="98">
        <v>0</v>
      </c>
      <c r="AP755" s="58" t="s">
        <v>72</v>
      </c>
      <c r="AQ755" s="34">
        <f t="shared" ca="1" si="44"/>
        <v>754</v>
      </c>
    </row>
    <row r="756" spans="1:43" ht="21" customHeight="1" x14ac:dyDescent="0.15">
      <c r="A756" s="7">
        <f t="shared" ca="1" si="43"/>
        <v>755</v>
      </c>
      <c r="B756" s="6" t="str">
        <f ca="1">VLOOKUP(A756,[2]characters!$A:$C,3,FALSE)</f>
        <v>究覇の一剣 マサムネ</v>
      </c>
      <c r="C756" s="9">
        <f ca="1">VLOOKUP(A756,[2]characters!$A:$I,9,FALSE)</f>
        <v>6</v>
      </c>
      <c r="D756" s="9" t="str">
        <f ca="1">VLOOKUP(A756,[2]characters!$A:$H,8,FALSE)</f>
        <v>green</v>
      </c>
      <c r="E756" s="97">
        <f ca="1">VLOOKUP(D756,[2]属性!$A:$E,2,FALSE)</f>
        <v>1.02</v>
      </c>
      <c r="F756" s="97">
        <f ca="1">VLOOKUP(D756,[2]属性!$A:$E,3,FALSE)</f>
        <v>0.98</v>
      </c>
      <c r="G756" s="97">
        <f ca="1">VLOOKUP(D756,[2]属性!$A:$F,4,FALSE)</f>
        <v>1</v>
      </c>
      <c r="H756" s="9" t="str">
        <f ca="1">VLOOKUP(A756,[2]characters!$A:$K,11,FALSE)</f>
        <v>balance</v>
      </c>
      <c r="I756" s="6" t="str">
        <f ca="1">VLOOKUP(H756,[2]character_type_i18n!$A:$F,3,FALSE)</f>
        <v>バランスタイプ</v>
      </c>
      <c r="J756" s="97">
        <f ca="1">VLOOKUP(H756,[2]character_type_i18n!$A:$F,4,FALSE)</f>
        <v>1</v>
      </c>
      <c r="K756" s="97">
        <f ca="1">VLOOKUP(H756,[2]character_type_i18n!$A:$F,5,FALSE)</f>
        <v>1</v>
      </c>
      <c r="L756" s="97">
        <f ca="1">VLOOKUP(H756,[2]character_type_i18n!$A:$F,6,FALSE)</f>
        <v>1</v>
      </c>
      <c r="M756" s="9" t="str">
        <f ca="1">VLOOKUP(A756,[2]characters!$A:$M,13,FALSE)</f>
        <v>weapon</v>
      </c>
      <c r="N756" s="6" t="str">
        <f ca="1">VLOOKUP(M756,[2]character_tribe_i18n!$A:$F,3,FALSE)</f>
        <v>ウェポン</v>
      </c>
      <c r="O756" s="97">
        <f ca="1">VLOOKUP(M756,[2]character_tribe_i18n!$A:$F,4,FALSE)</f>
        <v>1</v>
      </c>
      <c r="P756" s="97">
        <f ca="1">VLOOKUP(M756,[2]character_tribe_i18n!$A:$F,5,FALSE)</f>
        <v>1</v>
      </c>
      <c r="Q756" s="97">
        <f ca="1">VLOOKUP(M756,[2]character_tribe_i18n!$A:$F,6,FALSE)</f>
        <v>1</v>
      </c>
      <c r="R756" s="98" t="s">
        <v>98</v>
      </c>
      <c r="S756" s="97">
        <f>VLOOKUP($R756,ラベル別係数!$A$1:$E$7,3,FALSE)</f>
        <v>5</v>
      </c>
      <c r="T756" s="97">
        <f>VLOOKUP($R756,ラベル別係数!$A$1:$E$7,4,FALSE)</f>
        <v>1.3</v>
      </c>
      <c r="U756" s="97">
        <f>VLOOKUP($R756,ラベル別係数!$A$1:$E$7,5,FALSE)</f>
        <v>0.8</v>
      </c>
      <c r="V756" s="98">
        <v>3</v>
      </c>
      <c r="W756" s="99">
        <f>VLOOKUP(V756,ターン数別攻撃係数!$A$1:$B$1000,2,FALSE)</f>
        <v>1</v>
      </c>
      <c r="X756" s="9">
        <f ca="1">VLOOKUP(C756,サイズ別係数!A$2:B$9,2,FALSE)</f>
        <v>60</v>
      </c>
      <c r="Y756" s="97">
        <f ca="1">VLOOKUP($X756,サイズ別係数!$B:$E,2,FALSE)</f>
        <v>1.7</v>
      </c>
      <c r="Z756" s="97">
        <f ca="1">VLOOKUP($X756,サイズ別係数!$B:$E,3,FALSE)</f>
        <v>1.4</v>
      </c>
      <c r="AA756" s="97">
        <f ca="1">VLOOKUP($X756,サイズ別係数!$B:$E,4,FALSE)</f>
        <v>1</v>
      </c>
      <c r="AB756" s="10">
        <v>0</v>
      </c>
      <c r="AC756" s="6" t="str">
        <f ca="1">VLOOKUP($AB756,OFFSET([3]enemy_skill_sets!$B$2,0,0,COUNTA([3]enemy_skill_sets!$A:$A),MATCH(AC$1,[3]enemy_skill_sets!$1:$1,0)-MATCH($AB$1,[3]enemy_skill_sets!$1:$1,0)+1),MATCH(AC$1,[3]enemy_skill_sets!$1:$1,0)-MATCH($AB$1,[3]enemy_skill_sets!$1:$1,0)+1,FALSE)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6" s="67">
        <v>1</v>
      </c>
      <c r="AE756" s="67">
        <v>1</v>
      </c>
      <c r="AF756" s="68">
        <v>0</v>
      </c>
      <c r="AG756" s="99">
        <f ca="1">ROUND(VLOOKUP(1,enemy_base_stats!$A:$F,2,FALSE) * Y756* J756*O756*E756*S756*AD756*[2]ステータス!$B$2,0)</f>
        <v>4335</v>
      </c>
      <c r="AH756" s="99">
        <f ca="1">ROUND(VLOOKUP(1,enemy_base_stats!$A:$F,3,FALSE) * Z756*K756*P756*F756*T756*AE756 * W756*[2]ステータス!$C$2,0)</f>
        <v>268</v>
      </c>
      <c r="AI756" s="99">
        <f ca="1">ROUND(VLOOKUP(1,enemy_base_stats!$A:$F,4,FALSE) * AA756*L756*Q756*G756*U756*AF756*[2]ステータス!$D$2,0)</f>
        <v>0</v>
      </c>
      <c r="AJ756" s="99">
        <f ca="1">ROUND(VLOOKUP(100,enemy_base_stats!$A:$F,2,FALSE) * Y756* J756*O756*E756*S756*AD756*[2]ステータス!$B$2,0)</f>
        <v>176001</v>
      </c>
      <c r="AK756" s="99">
        <f ca="1">ROUND(VLOOKUP(100,enemy_base_stats!$A:$F,3,FALSE)* Z756* K756*P756*F756*T756*AE756 * W756*[2]ステータス!$C$2,0)</f>
        <v>10862</v>
      </c>
      <c r="AL756" s="99">
        <f ca="1">ROUND(VLOOKUP(100,enemy_base_stats!$A:$F,4,FALSE)* AA756* L756*Q756*G756*U756*AF756*[2]ステータス!$D$2,0)</f>
        <v>0</v>
      </c>
      <c r="AM756" s="97">
        <f ca="1">VLOOKUP(M756,[2]character_tribe_i18n!$A:$I,9,FALSE)</f>
        <v>400</v>
      </c>
      <c r="AN756" s="97">
        <v>0</v>
      </c>
      <c r="AO756" s="98">
        <v>0</v>
      </c>
      <c r="AP756" s="58" t="s">
        <v>72</v>
      </c>
      <c r="AQ756" s="34">
        <f t="shared" ca="1" si="44"/>
        <v>755</v>
      </c>
    </row>
    <row r="757" spans="1:43" ht="21" customHeight="1" x14ac:dyDescent="0.15">
      <c r="A757" s="7">
        <f t="shared" ca="1" si="43"/>
        <v>756</v>
      </c>
      <c r="B757" s="6" t="str">
        <f ca="1">VLOOKUP(A757,[2]characters!$A:$C,3,FALSE)</f>
        <v>アメノムラクモ</v>
      </c>
      <c r="C757" s="9">
        <f ca="1">VLOOKUP(A757,[2]characters!$A:$I,9,FALSE)</f>
        <v>5</v>
      </c>
      <c r="D757" s="9" t="str">
        <f ca="1">VLOOKUP(A757,[2]characters!$A:$H,8,FALSE)</f>
        <v>blue</v>
      </c>
      <c r="E757" s="97">
        <f ca="1">VLOOKUP(D757,[2]属性!$A:$E,2,FALSE)</f>
        <v>1</v>
      </c>
      <c r="F757" s="97">
        <f ca="1">VLOOKUP(D757,[2]属性!$A:$E,3,FALSE)</f>
        <v>0.98</v>
      </c>
      <c r="G757" s="97">
        <f ca="1">VLOOKUP(D757,[2]属性!$A:$F,4,FALSE)</f>
        <v>1</v>
      </c>
      <c r="H757" s="9" t="str">
        <f ca="1">VLOOKUP(A757,[2]characters!$A:$K,11,FALSE)</f>
        <v>technical</v>
      </c>
      <c r="I757" s="6" t="str">
        <f ca="1">VLOOKUP(H757,[2]character_type_i18n!$A:$F,3,FALSE)</f>
        <v>テクニカルタイプ</v>
      </c>
      <c r="J757" s="97">
        <f ca="1">VLOOKUP(H757,[2]character_type_i18n!$A:$F,4,FALSE)</f>
        <v>0.9</v>
      </c>
      <c r="K757" s="97">
        <f ca="1">VLOOKUP(H757,[2]character_type_i18n!$A:$F,5,FALSE)</f>
        <v>0.9</v>
      </c>
      <c r="L757" s="97">
        <f ca="1">VLOOKUP(H757,[2]character_type_i18n!$A:$F,6,FALSE)</f>
        <v>1</v>
      </c>
      <c r="M757" s="9" t="str">
        <f ca="1">VLOOKUP(A757,[2]characters!$A:$M,13,FALSE)</f>
        <v>weapon</v>
      </c>
      <c r="N757" s="6" t="str">
        <f ca="1">VLOOKUP(M757,[2]character_tribe_i18n!$A:$F,3,FALSE)</f>
        <v>ウェポン</v>
      </c>
      <c r="O757" s="97">
        <f ca="1">VLOOKUP(M757,[2]character_tribe_i18n!$A:$F,4,FALSE)</f>
        <v>1</v>
      </c>
      <c r="P757" s="97">
        <f ca="1">VLOOKUP(M757,[2]character_tribe_i18n!$A:$F,5,FALSE)</f>
        <v>1</v>
      </c>
      <c r="Q757" s="97">
        <f ca="1">VLOOKUP(M757,[2]character_tribe_i18n!$A:$F,6,FALSE)</f>
        <v>1</v>
      </c>
      <c r="R757" s="98" t="s">
        <v>98</v>
      </c>
      <c r="S757" s="97">
        <f>VLOOKUP($R757,ラベル別係数!$A$1:$E$7,3,FALSE)</f>
        <v>5</v>
      </c>
      <c r="T757" s="97">
        <f>VLOOKUP($R757,ラベル別係数!$A$1:$E$7,4,FALSE)</f>
        <v>1.3</v>
      </c>
      <c r="U757" s="97">
        <f>VLOOKUP($R757,ラベル別係数!$A$1:$E$7,5,FALSE)</f>
        <v>0.8</v>
      </c>
      <c r="V757" s="98">
        <v>3</v>
      </c>
      <c r="W757" s="99">
        <f>VLOOKUP(V757,ターン数別攻撃係数!$A$1:$B$1000,2,FALSE)</f>
        <v>1</v>
      </c>
      <c r="X757" s="9">
        <f ca="1">VLOOKUP(C757,サイズ別係数!A$2:B$9,2,FALSE)</f>
        <v>60</v>
      </c>
      <c r="Y757" s="97">
        <f ca="1">VLOOKUP($X757,サイズ別係数!$B:$E,2,FALSE)</f>
        <v>1.7</v>
      </c>
      <c r="Z757" s="97">
        <f ca="1">VLOOKUP($X757,サイズ別係数!$B:$E,3,FALSE)</f>
        <v>1.4</v>
      </c>
      <c r="AA757" s="97">
        <f ca="1">VLOOKUP($X757,サイズ別係数!$B:$E,4,FALSE)</f>
        <v>1</v>
      </c>
      <c r="AB757" s="10">
        <v>0</v>
      </c>
      <c r="AC757" s="6" t="str">
        <f ca="1">VLOOKUP($AB757,OFFSET([3]enemy_skill_sets!$B$2,0,0,COUNTA([3]enemy_skill_sets!$A:$A),MATCH(AC$1,[3]enemy_skill_sets!$1:$1,0)-MATCH($AB$1,[3]enemy_skill_sets!$1:$1,0)+1),MATCH(AC$1,[3]enemy_skill_sets!$1:$1,0)-MATCH($AB$1,[3]enemy_skill_sets!$1:$1,0)+1,FALSE)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7" s="67">
        <v>1</v>
      </c>
      <c r="AE757" s="67">
        <v>1</v>
      </c>
      <c r="AF757" s="68">
        <v>0</v>
      </c>
      <c r="AG757" s="99">
        <f ca="1">ROUND(VLOOKUP(1,enemy_base_stats!$A:$F,2,FALSE) * Y757* J757*O757*E757*S757*AD757*[2]ステータス!$B$2,0)</f>
        <v>3825</v>
      </c>
      <c r="AH757" s="99">
        <f ca="1">ROUND(VLOOKUP(1,enemy_base_stats!$A:$F,3,FALSE) * Z757*K757*P757*F757*T757*AE757 * W757*[2]ステータス!$C$2,0)</f>
        <v>241</v>
      </c>
      <c r="AI757" s="99">
        <f ca="1">ROUND(VLOOKUP(1,enemy_base_stats!$A:$F,4,FALSE) * AA757*L757*Q757*G757*U757*AF757*[2]ステータス!$D$2,0)</f>
        <v>0</v>
      </c>
      <c r="AJ757" s="99">
        <f ca="1">ROUND(VLOOKUP(100,enemy_base_stats!$A:$F,2,FALSE) * Y757* J757*O757*E757*S757*AD757*[2]ステータス!$B$2,0)</f>
        <v>155295</v>
      </c>
      <c r="AK757" s="99">
        <f ca="1">ROUND(VLOOKUP(100,enemy_base_stats!$A:$F,3,FALSE)* Z757* K757*P757*F757*T757*AE757 * W757*[2]ステータス!$C$2,0)</f>
        <v>9776</v>
      </c>
      <c r="AL757" s="99">
        <f ca="1">ROUND(VLOOKUP(100,enemy_base_stats!$A:$F,4,FALSE)* AA757* L757*Q757*G757*U757*AF757*[2]ステータス!$D$2,0)</f>
        <v>0</v>
      </c>
      <c r="AM757" s="97">
        <f ca="1">VLOOKUP(M757,[2]character_tribe_i18n!$A:$I,9,FALSE)</f>
        <v>400</v>
      </c>
      <c r="AN757" s="97">
        <v>0</v>
      </c>
      <c r="AO757" s="98">
        <v>0</v>
      </c>
      <c r="AP757" s="58" t="s">
        <v>72</v>
      </c>
      <c r="AQ757" s="34">
        <f t="shared" ca="1" si="44"/>
        <v>756</v>
      </c>
    </row>
    <row r="758" spans="1:43" ht="21" customHeight="1" x14ac:dyDescent="0.15">
      <c r="A758" s="7">
        <f t="shared" ca="1" si="43"/>
        <v>757</v>
      </c>
      <c r="B758" s="6" t="str">
        <f ca="1">VLOOKUP(A758,[2]characters!$A:$C,3,FALSE)</f>
        <v>荒龍の復魂 アメノムラクモ</v>
      </c>
      <c r="C758" s="9">
        <f ca="1">VLOOKUP(A758,[2]characters!$A:$I,9,FALSE)</f>
        <v>6</v>
      </c>
      <c r="D758" s="9" t="str">
        <f ca="1">VLOOKUP(A758,[2]characters!$A:$H,8,FALSE)</f>
        <v>blue</v>
      </c>
      <c r="E758" s="97">
        <f ca="1">VLOOKUP(D758,[2]属性!$A:$E,2,FALSE)</f>
        <v>1</v>
      </c>
      <c r="F758" s="97">
        <f ca="1">VLOOKUP(D758,[2]属性!$A:$E,3,FALSE)</f>
        <v>0.98</v>
      </c>
      <c r="G758" s="97">
        <f ca="1">VLOOKUP(D758,[2]属性!$A:$F,4,FALSE)</f>
        <v>1</v>
      </c>
      <c r="H758" s="9" t="str">
        <f ca="1">VLOOKUP(A758,[2]characters!$A:$K,11,FALSE)</f>
        <v>technical</v>
      </c>
      <c r="I758" s="6" t="str">
        <f ca="1">VLOOKUP(H758,[2]character_type_i18n!$A:$F,3,FALSE)</f>
        <v>テクニカルタイプ</v>
      </c>
      <c r="J758" s="97">
        <f ca="1">VLOOKUP(H758,[2]character_type_i18n!$A:$F,4,FALSE)</f>
        <v>0.9</v>
      </c>
      <c r="K758" s="97">
        <f ca="1">VLOOKUP(H758,[2]character_type_i18n!$A:$F,5,FALSE)</f>
        <v>0.9</v>
      </c>
      <c r="L758" s="97">
        <f ca="1">VLOOKUP(H758,[2]character_type_i18n!$A:$F,6,FALSE)</f>
        <v>1</v>
      </c>
      <c r="M758" s="9" t="str">
        <f ca="1">VLOOKUP(A758,[2]characters!$A:$M,13,FALSE)</f>
        <v>weapon</v>
      </c>
      <c r="N758" s="6" t="str">
        <f ca="1">VLOOKUP(M758,[2]character_tribe_i18n!$A:$F,3,FALSE)</f>
        <v>ウェポン</v>
      </c>
      <c r="O758" s="97">
        <f ca="1">VLOOKUP(M758,[2]character_tribe_i18n!$A:$F,4,FALSE)</f>
        <v>1</v>
      </c>
      <c r="P758" s="97">
        <f ca="1">VLOOKUP(M758,[2]character_tribe_i18n!$A:$F,5,FALSE)</f>
        <v>1</v>
      </c>
      <c r="Q758" s="97">
        <f ca="1">VLOOKUP(M758,[2]character_tribe_i18n!$A:$F,6,FALSE)</f>
        <v>1</v>
      </c>
      <c r="R758" s="98" t="s">
        <v>98</v>
      </c>
      <c r="S758" s="97">
        <f>VLOOKUP($R758,ラベル別係数!$A$1:$E$7,3,FALSE)</f>
        <v>5</v>
      </c>
      <c r="T758" s="97">
        <f>VLOOKUP($R758,ラベル別係数!$A$1:$E$7,4,FALSE)</f>
        <v>1.3</v>
      </c>
      <c r="U758" s="97">
        <f>VLOOKUP($R758,ラベル別係数!$A$1:$E$7,5,FALSE)</f>
        <v>0.8</v>
      </c>
      <c r="V758" s="98">
        <v>3</v>
      </c>
      <c r="W758" s="99">
        <f>VLOOKUP(V758,ターン数別攻撃係数!$A$1:$B$1000,2,FALSE)</f>
        <v>1</v>
      </c>
      <c r="X758" s="9">
        <f ca="1">VLOOKUP(C758,サイズ別係数!A$2:B$9,2,FALSE)</f>
        <v>60</v>
      </c>
      <c r="Y758" s="97">
        <f ca="1">VLOOKUP($X758,サイズ別係数!$B:$E,2,FALSE)</f>
        <v>1.7</v>
      </c>
      <c r="Z758" s="97">
        <f ca="1">VLOOKUP($X758,サイズ別係数!$B:$E,3,FALSE)</f>
        <v>1.4</v>
      </c>
      <c r="AA758" s="97">
        <f ca="1">VLOOKUP($X758,サイズ別係数!$B:$E,4,FALSE)</f>
        <v>1</v>
      </c>
      <c r="AB758" s="10">
        <v>0</v>
      </c>
      <c r="AC758" s="6" t="str">
        <f ca="1">VLOOKUP($AB758,OFFSET([3]enemy_skill_sets!$B$2,0,0,COUNTA([3]enemy_skill_sets!$A:$A),MATCH(AC$1,[3]enemy_skill_sets!$1:$1,0)-MATCH($AB$1,[3]enemy_skill_sets!$1:$1,0)+1),MATCH(AC$1,[3]enemy_skill_sets!$1:$1,0)-MATCH($AB$1,[3]enemy_skill_sets!$1:$1,0)+1,FALSE)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8" s="67">
        <v>1</v>
      </c>
      <c r="AE758" s="67">
        <v>1</v>
      </c>
      <c r="AF758" s="68">
        <v>0</v>
      </c>
      <c r="AG758" s="99">
        <f ca="1">ROUND(VLOOKUP(1,enemy_base_stats!$A:$F,2,FALSE) * Y758* J758*O758*E758*S758*AD758*[2]ステータス!$B$2,0)</f>
        <v>3825</v>
      </c>
      <c r="AH758" s="99">
        <f ca="1">ROUND(VLOOKUP(1,enemy_base_stats!$A:$F,3,FALSE) * Z758*K758*P758*F758*T758*AE758 * W758*[2]ステータス!$C$2,0)</f>
        <v>241</v>
      </c>
      <c r="AI758" s="99">
        <f ca="1">ROUND(VLOOKUP(1,enemy_base_stats!$A:$F,4,FALSE) * AA758*L758*Q758*G758*U758*AF758*[2]ステータス!$D$2,0)</f>
        <v>0</v>
      </c>
      <c r="AJ758" s="99">
        <f ca="1">ROUND(VLOOKUP(100,enemy_base_stats!$A:$F,2,FALSE) * Y758* J758*O758*E758*S758*AD758*[2]ステータス!$B$2,0)</f>
        <v>155295</v>
      </c>
      <c r="AK758" s="99">
        <f ca="1">ROUND(VLOOKUP(100,enemy_base_stats!$A:$F,3,FALSE)* Z758* K758*P758*F758*T758*AE758 * W758*[2]ステータス!$C$2,0)</f>
        <v>9776</v>
      </c>
      <c r="AL758" s="99">
        <f ca="1">ROUND(VLOOKUP(100,enemy_base_stats!$A:$F,4,FALSE)* AA758* L758*Q758*G758*U758*AF758*[2]ステータス!$D$2,0)</f>
        <v>0</v>
      </c>
      <c r="AM758" s="97">
        <f ca="1">VLOOKUP(M758,[2]character_tribe_i18n!$A:$I,9,FALSE)</f>
        <v>400</v>
      </c>
      <c r="AN758" s="97">
        <v>0</v>
      </c>
      <c r="AO758" s="98">
        <v>0</v>
      </c>
      <c r="AP758" s="58" t="s">
        <v>72</v>
      </c>
      <c r="AQ758" s="34">
        <f t="shared" ca="1" si="44"/>
        <v>757</v>
      </c>
    </row>
    <row r="759" spans="1:43" ht="21" customHeight="1" x14ac:dyDescent="0.15">
      <c r="A759" s="7">
        <f t="shared" ca="1" si="43"/>
        <v>758</v>
      </c>
      <c r="B759" s="6" t="str">
        <f ca="1">VLOOKUP(A759,[2]characters!$A:$C,3,FALSE)</f>
        <v>雷切</v>
      </c>
      <c r="C759" s="9">
        <f ca="1">VLOOKUP(A759,[2]characters!$A:$I,9,FALSE)</f>
        <v>5</v>
      </c>
      <c r="D759" s="9" t="str">
        <f ca="1">VLOOKUP(A759,[2]characters!$A:$H,8,FALSE)</f>
        <v>yellow</v>
      </c>
      <c r="E759" s="97">
        <f ca="1">VLOOKUP(D759,[2]属性!$A:$E,2,FALSE)</f>
        <v>0.98</v>
      </c>
      <c r="F759" s="97">
        <f ca="1">VLOOKUP(D759,[2]属性!$A:$E,3,FALSE)</f>
        <v>1.01</v>
      </c>
      <c r="G759" s="97">
        <f ca="1">VLOOKUP(D759,[2]属性!$A:$F,4,FALSE)</f>
        <v>1</v>
      </c>
      <c r="H759" s="9" t="str">
        <f ca="1">VLOOKUP(A759,[2]characters!$A:$K,11,FALSE)</f>
        <v>attack</v>
      </c>
      <c r="I759" s="6" t="str">
        <f ca="1">VLOOKUP(H759,[2]character_type_i18n!$A:$F,3,FALSE)</f>
        <v>攻撃タイプ</v>
      </c>
      <c r="J759" s="97">
        <f ca="1">VLOOKUP(H759,[2]character_type_i18n!$A:$F,4,FALSE)</f>
        <v>1</v>
      </c>
      <c r="K759" s="97">
        <f ca="1">VLOOKUP(H759,[2]character_type_i18n!$A:$F,5,FALSE)</f>
        <v>1.33</v>
      </c>
      <c r="L759" s="97">
        <f ca="1">VLOOKUP(H759,[2]character_type_i18n!$A:$F,6,FALSE)</f>
        <v>1</v>
      </c>
      <c r="M759" s="9" t="str">
        <f ca="1">VLOOKUP(A759,[2]characters!$A:$M,13,FALSE)</f>
        <v>weapon</v>
      </c>
      <c r="N759" s="6" t="str">
        <f ca="1">VLOOKUP(M759,[2]character_tribe_i18n!$A:$F,3,FALSE)</f>
        <v>ウェポン</v>
      </c>
      <c r="O759" s="97">
        <f ca="1">VLOOKUP(M759,[2]character_tribe_i18n!$A:$F,4,FALSE)</f>
        <v>1</v>
      </c>
      <c r="P759" s="97">
        <f ca="1">VLOOKUP(M759,[2]character_tribe_i18n!$A:$F,5,FALSE)</f>
        <v>1</v>
      </c>
      <c r="Q759" s="97">
        <f ca="1">VLOOKUP(M759,[2]character_tribe_i18n!$A:$F,6,FALSE)</f>
        <v>1</v>
      </c>
      <c r="R759" s="98" t="s">
        <v>98</v>
      </c>
      <c r="S759" s="97">
        <f>VLOOKUP($R759,ラベル別係数!$A$1:$E$7,3,FALSE)</f>
        <v>5</v>
      </c>
      <c r="T759" s="97">
        <f>VLOOKUP($R759,ラベル別係数!$A$1:$E$7,4,FALSE)</f>
        <v>1.3</v>
      </c>
      <c r="U759" s="97">
        <f>VLOOKUP($R759,ラベル別係数!$A$1:$E$7,5,FALSE)</f>
        <v>0.8</v>
      </c>
      <c r="V759" s="98">
        <v>3</v>
      </c>
      <c r="W759" s="99">
        <f>VLOOKUP(V759,ターン数別攻撃係数!$A$1:$B$1000,2,FALSE)</f>
        <v>1</v>
      </c>
      <c r="X759" s="9">
        <f ca="1">VLOOKUP(C759,サイズ別係数!A$2:B$9,2,FALSE)</f>
        <v>60</v>
      </c>
      <c r="Y759" s="97">
        <f ca="1">VLOOKUP($X759,サイズ別係数!$B:$E,2,FALSE)</f>
        <v>1.7</v>
      </c>
      <c r="Z759" s="97">
        <f ca="1">VLOOKUP($X759,サイズ別係数!$B:$E,3,FALSE)</f>
        <v>1.4</v>
      </c>
      <c r="AA759" s="97">
        <f ca="1">VLOOKUP($X759,サイズ別係数!$B:$E,4,FALSE)</f>
        <v>1</v>
      </c>
      <c r="AB759" s="10">
        <v>0</v>
      </c>
      <c r="AC759" s="6" t="str">
        <f ca="1">VLOOKUP($AB759,OFFSET([3]enemy_skill_sets!$B$2,0,0,COUNTA([3]enemy_skill_sets!$A:$A),MATCH(AC$1,[3]enemy_skill_sets!$1:$1,0)-MATCH($AB$1,[3]enemy_skill_sets!$1:$1,0)+1),MATCH(AC$1,[3]enemy_skill_sets!$1:$1,0)-MATCH($AB$1,[3]enemy_skill_sets!$1:$1,0)+1,FALSE)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59" s="67">
        <v>1</v>
      </c>
      <c r="AE759" s="67">
        <v>1</v>
      </c>
      <c r="AF759" s="68">
        <v>0</v>
      </c>
      <c r="AG759" s="99">
        <f ca="1">ROUND(VLOOKUP(1,enemy_base_stats!$A:$F,2,FALSE) * Y759* J759*O759*E759*S759*AD759*[2]ステータス!$B$2,0)</f>
        <v>4165</v>
      </c>
      <c r="AH759" s="99">
        <f ca="1">ROUND(VLOOKUP(1,enemy_base_stats!$A:$F,3,FALSE) * Z759*K759*P759*F759*T759*AE759 * W759*[2]ステータス!$C$2,0)</f>
        <v>367</v>
      </c>
      <c r="AI759" s="99">
        <f ca="1">ROUND(VLOOKUP(1,enemy_base_stats!$A:$F,4,FALSE) * AA759*L759*Q759*G759*U759*AF759*[2]ステータス!$D$2,0)</f>
        <v>0</v>
      </c>
      <c r="AJ759" s="99">
        <f ca="1">ROUND(VLOOKUP(100,enemy_base_stats!$A:$F,2,FALSE) * Y759* J759*O759*E759*S759*AD759*[2]ステータス!$B$2,0)</f>
        <v>169099</v>
      </c>
      <c r="AK759" s="99">
        <f ca="1">ROUND(VLOOKUP(100,enemy_base_stats!$A:$F,3,FALSE)* Z759* K759*P759*F759*T759*AE759 * W759*[2]ステータス!$C$2,0)</f>
        <v>14889</v>
      </c>
      <c r="AL759" s="99">
        <f ca="1">ROUND(VLOOKUP(100,enemy_base_stats!$A:$F,4,FALSE)* AA759* L759*Q759*G759*U759*AF759*[2]ステータス!$D$2,0)</f>
        <v>0</v>
      </c>
      <c r="AM759" s="97">
        <f ca="1">VLOOKUP(M759,[2]character_tribe_i18n!$A:$I,9,FALSE)</f>
        <v>400</v>
      </c>
      <c r="AN759" s="97">
        <v>0</v>
      </c>
      <c r="AO759" s="98">
        <v>0</v>
      </c>
      <c r="AP759" s="58" t="s">
        <v>72</v>
      </c>
      <c r="AQ759" s="34">
        <f t="shared" ca="1" si="44"/>
        <v>758</v>
      </c>
    </row>
    <row r="760" spans="1:43" ht="21" customHeight="1" x14ac:dyDescent="0.15">
      <c r="A760" s="7">
        <f t="shared" ca="1" si="43"/>
        <v>759</v>
      </c>
      <c r="B760" s="6" t="str">
        <f ca="1">VLOOKUP(A760,[2]characters!$A:$C,3,FALSE)</f>
        <v>超光の鳴鋒 雷切</v>
      </c>
      <c r="C760" s="9">
        <f ca="1">VLOOKUP(A760,[2]characters!$A:$I,9,FALSE)</f>
        <v>6</v>
      </c>
      <c r="D760" s="9" t="str">
        <f ca="1">VLOOKUP(A760,[2]characters!$A:$H,8,FALSE)</f>
        <v>yellow</v>
      </c>
      <c r="E760" s="97">
        <f ca="1">VLOOKUP(D760,[2]属性!$A:$E,2,FALSE)</f>
        <v>0.98</v>
      </c>
      <c r="F760" s="97">
        <f ca="1">VLOOKUP(D760,[2]属性!$A:$E,3,FALSE)</f>
        <v>1.01</v>
      </c>
      <c r="G760" s="97">
        <f ca="1">VLOOKUP(D760,[2]属性!$A:$F,4,FALSE)</f>
        <v>1</v>
      </c>
      <c r="H760" s="9" t="str">
        <f ca="1">VLOOKUP(A760,[2]characters!$A:$K,11,FALSE)</f>
        <v>attack</v>
      </c>
      <c r="I760" s="6" t="str">
        <f ca="1">VLOOKUP(H760,[2]character_type_i18n!$A:$F,3,FALSE)</f>
        <v>攻撃タイプ</v>
      </c>
      <c r="J760" s="97">
        <f ca="1">VLOOKUP(H760,[2]character_type_i18n!$A:$F,4,FALSE)</f>
        <v>1</v>
      </c>
      <c r="K760" s="97">
        <f ca="1">VLOOKUP(H760,[2]character_type_i18n!$A:$F,5,FALSE)</f>
        <v>1.33</v>
      </c>
      <c r="L760" s="97">
        <f ca="1">VLOOKUP(H760,[2]character_type_i18n!$A:$F,6,FALSE)</f>
        <v>1</v>
      </c>
      <c r="M760" s="9" t="str">
        <f ca="1">VLOOKUP(A760,[2]characters!$A:$M,13,FALSE)</f>
        <v>weapon</v>
      </c>
      <c r="N760" s="6" t="str">
        <f ca="1">VLOOKUP(M760,[2]character_tribe_i18n!$A:$F,3,FALSE)</f>
        <v>ウェポン</v>
      </c>
      <c r="O760" s="97">
        <f ca="1">VLOOKUP(M760,[2]character_tribe_i18n!$A:$F,4,FALSE)</f>
        <v>1</v>
      </c>
      <c r="P760" s="97">
        <f ca="1">VLOOKUP(M760,[2]character_tribe_i18n!$A:$F,5,FALSE)</f>
        <v>1</v>
      </c>
      <c r="Q760" s="97">
        <f ca="1">VLOOKUP(M760,[2]character_tribe_i18n!$A:$F,6,FALSE)</f>
        <v>1</v>
      </c>
      <c r="R760" s="98" t="s">
        <v>98</v>
      </c>
      <c r="S760" s="97">
        <f>VLOOKUP($R760,ラベル別係数!$A$1:$E$7,3,FALSE)</f>
        <v>5</v>
      </c>
      <c r="T760" s="97">
        <f>VLOOKUP($R760,ラベル別係数!$A$1:$E$7,4,FALSE)</f>
        <v>1.3</v>
      </c>
      <c r="U760" s="97">
        <f>VLOOKUP($R760,ラベル別係数!$A$1:$E$7,5,FALSE)</f>
        <v>0.8</v>
      </c>
      <c r="V760" s="98">
        <v>3</v>
      </c>
      <c r="W760" s="99">
        <f>VLOOKUP(V760,ターン数別攻撃係数!$A$1:$B$1000,2,FALSE)</f>
        <v>1</v>
      </c>
      <c r="X760" s="9">
        <f ca="1">VLOOKUP(C760,サイズ別係数!A$2:B$9,2,FALSE)</f>
        <v>60</v>
      </c>
      <c r="Y760" s="97">
        <f ca="1">VLOOKUP($X760,サイズ別係数!$B:$E,2,FALSE)</f>
        <v>1.7</v>
      </c>
      <c r="Z760" s="97">
        <f ca="1">VLOOKUP($X760,サイズ別係数!$B:$E,3,FALSE)</f>
        <v>1.4</v>
      </c>
      <c r="AA760" s="97">
        <f ca="1">VLOOKUP($X760,サイズ別係数!$B:$E,4,FALSE)</f>
        <v>1</v>
      </c>
      <c r="AB760" s="10">
        <v>0</v>
      </c>
      <c r="AC760" s="6" t="str">
        <f ca="1">VLOOKUP($AB760,OFFSET([3]enemy_skill_sets!$B$2,0,0,COUNTA([3]enemy_skill_sets!$A:$A),MATCH(AC$1,[3]enemy_skill_sets!$1:$1,0)-MATCH($AB$1,[3]enemy_skill_sets!$1:$1,0)+1),MATCH(AC$1,[3]enemy_skill_sets!$1:$1,0)-MATCH($AB$1,[3]enemy_skill_sets!$1:$1,0)+1,FALSE)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0" s="67">
        <v>1</v>
      </c>
      <c r="AE760" s="67">
        <v>1</v>
      </c>
      <c r="AF760" s="68">
        <v>0</v>
      </c>
      <c r="AG760" s="99">
        <f ca="1">ROUND(VLOOKUP(1,enemy_base_stats!$A:$F,2,FALSE) * Y760* J760*O760*E760*S760*AD760*[2]ステータス!$B$2,0)</f>
        <v>4165</v>
      </c>
      <c r="AH760" s="99">
        <f ca="1">ROUND(VLOOKUP(1,enemy_base_stats!$A:$F,3,FALSE) * Z760*K760*P760*F760*T760*AE760 * W760*[2]ステータス!$C$2,0)</f>
        <v>367</v>
      </c>
      <c r="AI760" s="99">
        <f ca="1">ROUND(VLOOKUP(1,enemy_base_stats!$A:$F,4,FALSE) * AA760*L760*Q760*G760*U760*AF760*[2]ステータス!$D$2,0)</f>
        <v>0</v>
      </c>
      <c r="AJ760" s="99">
        <f ca="1">ROUND(VLOOKUP(100,enemy_base_stats!$A:$F,2,FALSE) * Y760* J760*O760*E760*S760*AD760*[2]ステータス!$B$2,0)</f>
        <v>169099</v>
      </c>
      <c r="AK760" s="99">
        <f ca="1">ROUND(VLOOKUP(100,enemy_base_stats!$A:$F,3,FALSE)* Z760* K760*P760*F760*T760*AE760 * W760*[2]ステータス!$C$2,0)</f>
        <v>14889</v>
      </c>
      <c r="AL760" s="99">
        <f ca="1">ROUND(VLOOKUP(100,enemy_base_stats!$A:$F,4,FALSE)* AA760* L760*Q760*G760*U760*AF760*[2]ステータス!$D$2,0)</f>
        <v>0</v>
      </c>
      <c r="AM760" s="97">
        <f ca="1">VLOOKUP(M760,[2]character_tribe_i18n!$A:$I,9,FALSE)</f>
        <v>400</v>
      </c>
      <c r="AN760" s="97">
        <v>0</v>
      </c>
      <c r="AO760" s="98">
        <v>0</v>
      </c>
      <c r="AP760" s="58" t="s">
        <v>72</v>
      </c>
      <c r="AQ760" s="34">
        <f t="shared" ca="1" si="44"/>
        <v>759</v>
      </c>
    </row>
    <row r="761" spans="1:43" ht="21" customHeight="1" x14ac:dyDescent="0.15">
      <c r="A761" s="7">
        <f t="shared" ca="1" si="43"/>
        <v>760</v>
      </c>
      <c r="B761" s="6" t="str">
        <f ca="1">VLOOKUP(A761,[2]characters!$A:$C,3,FALSE)</f>
        <v>限論顕現 クロネッカー</v>
      </c>
      <c r="C761" s="9">
        <f ca="1">VLOOKUP(A761,[2]characters!$A:$I,9,FALSE)</f>
        <v>5</v>
      </c>
      <c r="D761" s="9" t="str">
        <f ca="1">VLOOKUP(A761,[2]characters!$A:$H,8,FALSE)</f>
        <v>yellow</v>
      </c>
      <c r="E761" s="97">
        <f ca="1">VLOOKUP(D761,[2]属性!$A:$E,2,FALSE)</f>
        <v>0.98</v>
      </c>
      <c r="F761" s="97">
        <f ca="1">VLOOKUP(D761,[2]属性!$A:$E,3,FALSE)</f>
        <v>1.01</v>
      </c>
      <c r="G761" s="97">
        <f ca="1">VLOOKUP(D761,[2]属性!$A:$F,4,FALSE)</f>
        <v>1</v>
      </c>
      <c r="H761" s="9" t="str">
        <f ca="1">VLOOKUP(A761,[2]characters!$A:$K,11,FALSE)</f>
        <v>balance</v>
      </c>
      <c r="I761" s="6" t="str">
        <f ca="1">VLOOKUP(H761,[2]character_type_i18n!$A:$F,3,FALSE)</f>
        <v>バランスタイプ</v>
      </c>
      <c r="J761" s="97">
        <f ca="1">VLOOKUP(H761,[2]character_type_i18n!$A:$F,4,FALSE)</f>
        <v>1</v>
      </c>
      <c r="K761" s="97">
        <f ca="1">VLOOKUP(H761,[2]character_type_i18n!$A:$F,5,FALSE)</f>
        <v>1</v>
      </c>
      <c r="L761" s="97">
        <f ca="1">VLOOKUP(H761,[2]character_type_i18n!$A:$F,6,FALSE)</f>
        <v>1</v>
      </c>
      <c r="M761" s="9" t="str">
        <f ca="1">VLOOKUP(A761,[2]characters!$A:$M,13,FALSE)</f>
        <v>human</v>
      </c>
      <c r="N761" s="6" t="str">
        <f ca="1">VLOOKUP(M761,[2]character_tribe_i18n!$A:$F,3,FALSE)</f>
        <v>ヒューマン</v>
      </c>
      <c r="O761" s="97">
        <f ca="1">VLOOKUP(M761,[2]character_tribe_i18n!$A:$F,4,FALSE)</f>
        <v>0.94</v>
      </c>
      <c r="P761" s="97">
        <f ca="1">VLOOKUP(M761,[2]character_tribe_i18n!$A:$F,5,FALSE)</f>
        <v>0.99</v>
      </c>
      <c r="Q761" s="97">
        <f ca="1">VLOOKUP(M761,[2]character_tribe_i18n!$A:$F,6,FALSE)</f>
        <v>1</v>
      </c>
      <c r="R761" s="98" t="s">
        <v>98</v>
      </c>
      <c r="S761" s="97">
        <f>VLOOKUP($R761,ラベル別係数!$A$1:$E$7,3,FALSE)</f>
        <v>5</v>
      </c>
      <c r="T761" s="97">
        <f>VLOOKUP($R761,ラベル別係数!$A$1:$E$7,4,FALSE)</f>
        <v>1.3</v>
      </c>
      <c r="U761" s="97">
        <f>VLOOKUP($R761,ラベル別係数!$A$1:$E$7,5,FALSE)</f>
        <v>0.8</v>
      </c>
      <c r="V761" s="98">
        <v>3</v>
      </c>
      <c r="W761" s="99">
        <f>VLOOKUP(V761,ターン数別攻撃係数!$A$1:$B$1000,2,FALSE)</f>
        <v>1</v>
      </c>
      <c r="X761" s="9">
        <f ca="1">VLOOKUP(C761,サイズ別係数!A$2:B$9,2,FALSE)</f>
        <v>60</v>
      </c>
      <c r="Y761" s="97">
        <f ca="1">VLOOKUP($X761,サイズ別係数!$B:$E,2,FALSE)</f>
        <v>1.7</v>
      </c>
      <c r="Z761" s="97">
        <f ca="1">VLOOKUP($X761,サイズ別係数!$B:$E,3,FALSE)</f>
        <v>1.4</v>
      </c>
      <c r="AA761" s="97">
        <f ca="1">VLOOKUP($X761,サイズ別係数!$B:$E,4,FALSE)</f>
        <v>1</v>
      </c>
      <c r="AB761" s="10">
        <v>0</v>
      </c>
      <c r="AC761" s="6" t="str">
        <f ca="1">VLOOKUP($AB761,OFFSET([3]enemy_skill_sets!$B$2,0,0,COUNTA([3]enemy_skill_sets!$A:$A),MATCH(AC$1,[3]enemy_skill_sets!$1:$1,0)-MATCH($AB$1,[3]enemy_skill_sets!$1:$1,0)+1),MATCH(AC$1,[3]enemy_skill_sets!$1:$1,0)-MATCH($AB$1,[3]enemy_skill_sets!$1:$1,0)+1,FALSE)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1" s="67">
        <v>1</v>
      </c>
      <c r="AE761" s="67">
        <v>1</v>
      </c>
      <c r="AF761" s="68">
        <v>0</v>
      </c>
      <c r="AG761" s="99">
        <f ca="1">ROUND(VLOOKUP(1,enemy_base_stats!$A:$F,2,FALSE) * Y761* J761*O761*E761*S761*AD761*[2]ステータス!$B$2,0)</f>
        <v>3915</v>
      </c>
      <c r="AH761" s="99">
        <f ca="1">ROUND(VLOOKUP(1,enemy_base_stats!$A:$F,3,FALSE) * Z761*K761*P761*F761*T761*AE761 * W761*[2]ステータス!$C$2,0)</f>
        <v>273</v>
      </c>
      <c r="AI761" s="99">
        <f ca="1">ROUND(VLOOKUP(1,enemy_base_stats!$A:$F,4,FALSE) * AA761*L761*Q761*G761*U761*AF761*[2]ステータス!$D$2,0)</f>
        <v>0</v>
      </c>
      <c r="AJ761" s="99">
        <f ca="1">ROUND(VLOOKUP(100,enemy_base_stats!$A:$F,2,FALSE) * Y761* J761*O761*E761*S761*AD761*[2]ステータス!$B$2,0)</f>
        <v>158953</v>
      </c>
      <c r="AK761" s="99">
        <f ca="1">ROUND(VLOOKUP(100,enemy_base_stats!$A:$F,3,FALSE)* Z761* K761*P761*F761*T761*AE761 * W761*[2]ステータス!$C$2,0)</f>
        <v>11083</v>
      </c>
      <c r="AL761" s="99">
        <f ca="1">ROUND(VLOOKUP(100,enemy_base_stats!$A:$F,4,FALSE)* AA761* L761*Q761*G761*U761*AF761*[2]ステータス!$D$2,0)</f>
        <v>0</v>
      </c>
      <c r="AM761" s="97">
        <f ca="1">VLOOKUP(M761,[2]character_tribe_i18n!$A:$I,9,FALSE)</f>
        <v>400</v>
      </c>
      <c r="AN761" s="97">
        <v>0</v>
      </c>
      <c r="AO761" s="98">
        <v>0</v>
      </c>
      <c r="AP761" s="58" t="s">
        <v>72</v>
      </c>
      <c r="AQ761" s="34">
        <f t="shared" ca="1" si="44"/>
        <v>760</v>
      </c>
    </row>
    <row r="762" spans="1:43" ht="21" customHeight="1" x14ac:dyDescent="0.15">
      <c r="A762" s="7">
        <f t="shared" ca="1" si="43"/>
        <v>761</v>
      </c>
      <c r="B762" s="6" t="str">
        <f ca="1">VLOOKUP(A762,[2]characters!$A:$C,3,FALSE)</f>
        <v>唯限の崇嬢 クロネッカー</v>
      </c>
      <c r="C762" s="9">
        <f ca="1">VLOOKUP(A762,[2]characters!$A:$I,9,FALSE)</f>
        <v>6</v>
      </c>
      <c r="D762" s="9" t="str">
        <f ca="1">VLOOKUP(A762,[2]characters!$A:$H,8,FALSE)</f>
        <v>yellow</v>
      </c>
      <c r="E762" s="97">
        <f ca="1">VLOOKUP(D762,[2]属性!$A:$E,2,FALSE)</f>
        <v>0.98</v>
      </c>
      <c r="F762" s="97">
        <f ca="1">VLOOKUP(D762,[2]属性!$A:$E,3,FALSE)</f>
        <v>1.01</v>
      </c>
      <c r="G762" s="97">
        <f ca="1">VLOOKUP(D762,[2]属性!$A:$F,4,FALSE)</f>
        <v>1</v>
      </c>
      <c r="H762" s="9" t="str">
        <f ca="1">VLOOKUP(A762,[2]characters!$A:$K,11,FALSE)</f>
        <v>balance</v>
      </c>
      <c r="I762" s="6" t="str">
        <f ca="1">VLOOKUP(H762,[2]character_type_i18n!$A:$F,3,FALSE)</f>
        <v>バランスタイプ</v>
      </c>
      <c r="J762" s="97">
        <f ca="1">VLOOKUP(H762,[2]character_type_i18n!$A:$F,4,FALSE)</f>
        <v>1</v>
      </c>
      <c r="K762" s="97">
        <f ca="1">VLOOKUP(H762,[2]character_type_i18n!$A:$F,5,FALSE)</f>
        <v>1</v>
      </c>
      <c r="L762" s="97">
        <f ca="1">VLOOKUP(H762,[2]character_type_i18n!$A:$F,6,FALSE)</f>
        <v>1</v>
      </c>
      <c r="M762" s="9" t="str">
        <f ca="1">VLOOKUP(A762,[2]characters!$A:$M,13,FALSE)</f>
        <v>human</v>
      </c>
      <c r="N762" s="6" t="str">
        <f ca="1">VLOOKUP(M762,[2]character_tribe_i18n!$A:$F,3,FALSE)</f>
        <v>ヒューマン</v>
      </c>
      <c r="O762" s="97">
        <f ca="1">VLOOKUP(M762,[2]character_tribe_i18n!$A:$F,4,FALSE)</f>
        <v>0.94</v>
      </c>
      <c r="P762" s="97">
        <f ca="1">VLOOKUP(M762,[2]character_tribe_i18n!$A:$F,5,FALSE)</f>
        <v>0.99</v>
      </c>
      <c r="Q762" s="97">
        <f ca="1">VLOOKUP(M762,[2]character_tribe_i18n!$A:$F,6,FALSE)</f>
        <v>1</v>
      </c>
      <c r="R762" s="98" t="s">
        <v>98</v>
      </c>
      <c r="S762" s="97">
        <f>VLOOKUP($R762,ラベル別係数!$A$1:$E$7,3,FALSE)</f>
        <v>5</v>
      </c>
      <c r="T762" s="97">
        <f>VLOOKUP($R762,ラベル別係数!$A$1:$E$7,4,FALSE)</f>
        <v>1.3</v>
      </c>
      <c r="U762" s="97">
        <f>VLOOKUP($R762,ラベル別係数!$A$1:$E$7,5,FALSE)</f>
        <v>0.8</v>
      </c>
      <c r="V762" s="98">
        <v>3</v>
      </c>
      <c r="W762" s="99">
        <f>VLOOKUP(V762,ターン数別攻撃係数!$A$1:$B$1000,2,FALSE)</f>
        <v>1</v>
      </c>
      <c r="X762" s="9">
        <f ca="1">VLOOKUP(C762,サイズ別係数!A$2:B$9,2,FALSE)</f>
        <v>60</v>
      </c>
      <c r="Y762" s="97">
        <f ca="1">VLOOKUP($X762,サイズ別係数!$B:$E,2,FALSE)</f>
        <v>1.7</v>
      </c>
      <c r="Z762" s="97">
        <f ca="1">VLOOKUP($X762,サイズ別係数!$B:$E,3,FALSE)</f>
        <v>1.4</v>
      </c>
      <c r="AA762" s="97">
        <f ca="1">VLOOKUP($X762,サイズ別係数!$B:$E,4,FALSE)</f>
        <v>1</v>
      </c>
      <c r="AB762" s="10">
        <v>0</v>
      </c>
      <c r="AC762" s="6" t="str">
        <f ca="1">VLOOKUP($AB762,OFFSET([3]enemy_skill_sets!$B$2,0,0,COUNTA([3]enemy_skill_sets!$A:$A),MATCH(AC$1,[3]enemy_skill_sets!$1:$1,0)-MATCH($AB$1,[3]enemy_skill_sets!$1:$1,0)+1),MATCH(AC$1,[3]enemy_skill_sets!$1:$1,0)-MATCH($AB$1,[3]enemy_skill_sets!$1:$1,0)+1,FALSE)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2" s="67">
        <v>1</v>
      </c>
      <c r="AE762" s="67">
        <v>1</v>
      </c>
      <c r="AF762" s="68">
        <v>0</v>
      </c>
      <c r="AG762" s="99">
        <f ca="1">ROUND(VLOOKUP(1,enemy_base_stats!$A:$F,2,FALSE) * Y762* J762*O762*E762*S762*AD762*[2]ステータス!$B$2,0)</f>
        <v>3915</v>
      </c>
      <c r="AH762" s="99">
        <f ca="1">ROUND(VLOOKUP(1,enemy_base_stats!$A:$F,3,FALSE) * Z762*K762*P762*F762*T762*AE762 * W762*[2]ステータス!$C$2,0)</f>
        <v>273</v>
      </c>
      <c r="AI762" s="99">
        <f ca="1">ROUND(VLOOKUP(1,enemy_base_stats!$A:$F,4,FALSE) * AA762*L762*Q762*G762*U762*AF762*[2]ステータス!$D$2,0)</f>
        <v>0</v>
      </c>
      <c r="AJ762" s="99">
        <f ca="1">ROUND(VLOOKUP(100,enemy_base_stats!$A:$F,2,FALSE) * Y762* J762*O762*E762*S762*AD762*[2]ステータス!$B$2,0)</f>
        <v>158953</v>
      </c>
      <c r="AK762" s="99">
        <f ca="1">ROUND(VLOOKUP(100,enemy_base_stats!$A:$F,3,FALSE)* Z762* K762*P762*F762*T762*AE762 * W762*[2]ステータス!$C$2,0)</f>
        <v>11083</v>
      </c>
      <c r="AL762" s="99">
        <f ca="1">ROUND(VLOOKUP(100,enemy_base_stats!$A:$F,4,FALSE)* AA762* L762*Q762*G762*U762*AF762*[2]ステータス!$D$2,0)</f>
        <v>0</v>
      </c>
      <c r="AM762" s="97">
        <f ca="1">VLOOKUP(M762,[2]character_tribe_i18n!$A:$I,9,FALSE)</f>
        <v>400</v>
      </c>
      <c r="AN762" s="97">
        <v>0</v>
      </c>
      <c r="AO762" s="98">
        <v>0</v>
      </c>
      <c r="AP762" s="58" t="s">
        <v>72</v>
      </c>
      <c r="AQ762" s="34">
        <f t="shared" ca="1" si="44"/>
        <v>761</v>
      </c>
    </row>
    <row r="763" spans="1:43" ht="21" customHeight="1" x14ac:dyDescent="0.15">
      <c r="A763" s="7">
        <f t="shared" ca="1" si="43"/>
        <v>762</v>
      </c>
      <c r="B763" s="6" t="str">
        <f ca="1">VLOOKUP(A763,[2]characters!$A:$C,3,FALSE)</f>
        <v>フィボナッチ</v>
      </c>
      <c r="C763" s="9">
        <f ca="1">VLOOKUP(A763,[2]characters!$A:$I,9,FALSE)</f>
        <v>5</v>
      </c>
      <c r="D763" s="9" t="str">
        <f ca="1">VLOOKUP(A763,[2]characters!$A:$H,8,FALSE)</f>
        <v>blue</v>
      </c>
      <c r="E763" s="97">
        <f ca="1">VLOOKUP(D763,[2]属性!$A:$E,2,FALSE)</f>
        <v>1</v>
      </c>
      <c r="F763" s="97">
        <f ca="1">VLOOKUP(D763,[2]属性!$A:$E,3,FALSE)</f>
        <v>0.98</v>
      </c>
      <c r="G763" s="97">
        <f ca="1">VLOOKUP(D763,[2]属性!$A:$F,4,FALSE)</f>
        <v>1</v>
      </c>
      <c r="H763" s="9" t="str">
        <f ca="1">VLOOKUP(A763,[2]characters!$A:$K,11,FALSE)</f>
        <v>balance</v>
      </c>
      <c r="I763" s="6" t="str">
        <f ca="1">VLOOKUP(H763,[2]character_type_i18n!$A:$F,3,FALSE)</f>
        <v>バランスタイプ</v>
      </c>
      <c r="J763" s="97">
        <f ca="1">VLOOKUP(H763,[2]character_type_i18n!$A:$F,4,FALSE)</f>
        <v>1</v>
      </c>
      <c r="K763" s="97">
        <f ca="1">VLOOKUP(H763,[2]character_type_i18n!$A:$F,5,FALSE)</f>
        <v>1</v>
      </c>
      <c r="L763" s="97">
        <f ca="1">VLOOKUP(H763,[2]character_type_i18n!$A:$F,6,FALSE)</f>
        <v>1</v>
      </c>
      <c r="M763" s="9" t="str">
        <f ca="1">VLOOKUP(A763,[2]characters!$A:$M,13,FALSE)</f>
        <v>human</v>
      </c>
      <c r="N763" s="6" t="str">
        <f ca="1">VLOOKUP(M763,[2]character_tribe_i18n!$A:$F,3,FALSE)</f>
        <v>ヒューマン</v>
      </c>
      <c r="O763" s="97">
        <f ca="1">VLOOKUP(M763,[2]character_tribe_i18n!$A:$F,4,FALSE)</f>
        <v>0.94</v>
      </c>
      <c r="P763" s="97">
        <f ca="1">VLOOKUP(M763,[2]character_tribe_i18n!$A:$F,5,FALSE)</f>
        <v>0.99</v>
      </c>
      <c r="Q763" s="97">
        <f ca="1">VLOOKUP(M763,[2]character_tribe_i18n!$A:$F,6,FALSE)</f>
        <v>1</v>
      </c>
      <c r="R763" s="98" t="s">
        <v>98</v>
      </c>
      <c r="S763" s="97">
        <f>VLOOKUP($R763,ラベル別係数!$A$1:$E$7,3,FALSE)</f>
        <v>5</v>
      </c>
      <c r="T763" s="97">
        <f>VLOOKUP($R763,ラベル別係数!$A$1:$E$7,4,FALSE)</f>
        <v>1.3</v>
      </c>
      <c r="U763" s="97">
        <f>VLOOKUP($R763,ラベル別係数!$A$1:$E$7,5,FALSE)</f>
        <v>0.8</v>
      </c>
      <c r="V763" s="98">
        <v>3</v>
      </c>
      <c r="W763" s="99">
        <f>VLOOKUP(V763,ターン数別攻撃係数!$A$1:$B$1000,2,FALSE)</f>
        <v>1</v>
      </c>
      <c r="X763" s="9">
        <f ca="1">VLOOKUP(C763,サイズ別係数!A$2:B$9,2,FALSE)</f>
        <v>60</v>
      </c>
      <c r="Y763" s="97">
        <f ca="1">VLOOKUP($X763,サイズ別係数!$B:$E,2,FALSE)</f>
        <v>1.7</v>
      </c>
      <c r="Z763" s="97">
        <f ca="1">VLOOKUP($X763,サイズ別係数!$B:$E,3,FALSE)</f>
        <v>1.4</v>
      </c>
      <c r="AA763" s="97">
        <f ca="1">VLOOKUP($X763,サイズ別係数!$B:$E,4,FALSE)</f>
        <v>1</v>
      </c>
      <c r="AB763" s="10">
        <v>0</v>
      </c>
      <c r="AC763" s="6" t="str">
        <f ca="1">VLOOKUP($AB763,OFFSET([3]enemy_skill_sets!$B$2,0,0,COUNTA([3]enemy_skill_sets!$A:$A),MATCH(AC$1,[3]enemy_skill_sets!$1:$1,0)-MATCH($AB$1,[3]enemy_skill_sets!$1:$1,0)+1),MATCH(AC$1,[3]enemy_skill_sets!$1:$1,0)-MATCH($AB$1,[3]enemy_skill_sets!$1:$1,0)+1,FALSE)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3" s="67">
        <v>1</v>
      </c>
      <c r="AE763" s="67">
        <v>1</v>
      </c>
      <c r="AF763" s="68">
        <v>0</v>
      </c>
      <c r="AG763" s="99">
        <f ca="1">ROUND(VLOOKUP(1,enemy_base_stats!$A:$F,2,FALSE) * Y763* J763*O763*E763*S763*AD763*[2]ステータス!$B$2,0)</f>
        <v>3995</v>
      </c>
      <c r="AH763" s="99">
        <f ca="1">ROUND(VLOOKUP(1,enemy_base_stats!$A:$F,3,FALSE) * Z763*K763*P763*F763*T763*AE763 * W763*[2]ステータス!$C$2,0)</f>
        <v>265</v>
      </c>
      <c r="AI763" s="99">
        <f ca="1">ROUND(VLOOKUP(1,enemy_base_stats!$A:$F,4,FALSE) * AA763*L763*Q763*G763*U763*AF763*[2]ステータス!$D$2,0)</f>
        <v>0</v>
      </c>
      <c r="AJ763" s="99">
        <f ca="1">ROUND(VLOOKUP(100,enemy_base_stats!$A:$F,2,FALSE) * Y763* J763*O763*E763*S763*AD763*[2]ステータス!$B$2,0)</f>
        <v>162197</v>
      </c>
      <c r="AK763" s="99">
        <f ca="1">ROUND(VLOOKUP(100,enemy_base_stats!$A:$F,3,FALSE)* Z763* K763*P763*F763*T763*AE763 * W763*[2]ステータス!$C$2,0)</f>
        <v>10754</v>
      </c>
      <c r="AL763" s="99">
        <f ca="1">ROUND(VLOOKUP(100,enemy_base_stats!$A:$F,4,FALSE)* AA763* L763*Q763*G763*U763*AF763*[2]ステータス!$D$2,0)</f>
        <v>0</v>
      </c>
      <c r="AM763" s="97">
        <f ca="1">VLOOKUP(M763,[2]character_tribe_i18n!$A:$I,9,FALSE)</f>
        <v>400</v>
      </c>
      <c r="AN763" s="97">
        <v>0</v>
      </c>
      <c r="AO763" s="98">
        <v>0</v>
      </c>
      <c r="AP763" s="58" t="s">
        <v>72</v>
      </c>
      <c r="AQ763" s="34">
        <f t="shared" ca="1" si="44"/>
        <v>762</v>
      </c>
    </row>
    <row r="764" spans="1:43" ht="21" customHeight="1" x14ac:dyDescent="0.15">
      <c r="A764" s="7">
        <f t="shared" ca="1" si="43"/>
        <v>763</v>
      </c>
      <c r="B764" s="6" t="str">
        <f ca="1">VLOOKUP(A764,[2]characters!$A:$C,3,FALSE)</f>
        <v>螺旋の皇魂比 フィボナッチ</v>
      </c>
      <c r="C764" s="9">
        <f ca="1">VLOOKUP(A764,[2]characters!$A:$I,9,FALSE)</f>
        <v>6</v>
      </c>
      <c r="D764" s="9" t="str">
        <f ca="1">VLOOKUP(A764,[2]characters!$A:$H,8,FALSE)</f>
        <v>blue</v>
      </c>
      <c r="E764" s="97">
        <f ca="1">VLOOKUP(D764,[2]属性!$A:$E,2,FALSE)</f>
        <v>1</v>
      </c>
      <c r="F764" s="97">
        <f ca="1">VLOOKUP(D764,[2]属性!$A:$E,3,FALSE)</f>
        <v>0.98</v>
      </c>
      <c r="G764" s="97">
        <f ca="1">VLOOKUP(D764,[2]属性!$A:$F,4,FALSE)</f>
        <v>1</v>
      </c>
      <c r="H764" s="9" t="str">
        <f ca="1">VLOOKUP(A764,[2]characters!$A:$K,11,FALSE)</f>
        <v>balance</v>
      </c>
      <c r="I764" s="6" t="str">
        <f ca="1">VLOOKUP(H764,[2]character_type_i18n!$A:$F,3,FALSE)</f>
        <v>バランスタイプ</v>
      </c>
      <c r="J764" s="97">
        <f ca="1">VLOOKUP(H764,[2]character_type_i18n!$A:$F,4,FALSE)</f>
        <v>1</v>
      </c>
      <c r="K764" s="97">
        <f ca="1">VLOOKUP(H764,[2]character_type_i18n!$A:$F,5,FALSE)</f>
        <v>1</v>
      </c>
      <c r="L764" s="97">
        <f ca="1">VLOOKUP(H764,[2]character_type_i18n!$A:$F,6,FALSE)</f>
        <v>1</v>
      </c>
      <c r="M764" s="9" t="str">
        <f ca="1">VLOOKUP(A764,[2]characters!$A:$M,13,FALSE)</f>
        <v>human</v>
      </c>
      <c r="N764" s="6" t="str">
        <f ca="1">VLOOKUP(M764,[2]character_tribe_i18n!$A:$F,3,FALSE)</f>
        <v>ヒューマン</v>
      </c>
      <c r="O764" s="97">
        <f ca="1">VLOOKUP(M764,[2]character_tribe_i18n!$A:$F,4,FALSE)</f>
        <v>0.94</v>
      </c>
      <c r="P764" s="97">
        <f ca="1">VLOOKUP(M764,[2]character_tribe_i18n!$A:$F,5,FALSE)</f>
        <v>0.99</v>
      </c>
      <c r="Q764" s="97">
        <f ca="1">VLOOKUP(M764,[2]character_tribe_i18n!$A:$F,6,FALSE)</f>
        <v>1</v>
      </c>
      <c r="R764" s="98" t="s">
        <v>98</v>
      </c>
      <c r="S764" s="97">
        <f>VLOOKUP($R764,ラベル別係数!$A$1:$E$7,3,FALSE)</f>
        <v>5</v>
      </c>
      <c r="T764" s="97">
        <f>VLOOKUP($R764,ラベル別係数!$A$1:$E$7,4,FALSE)</f>
        <v>1.3</v>
      </c>
      <c r="U764" s="97">
        <f>VLOOKUP($R764,ラベル別係数!$A$1:$E$7,5,FALSE)</f>
        <v>0.8</v>
      </c>
      <c r="V764" s="98">
        <v>3</v>
      </c>
      <c r="W764" s="99">
        <f>VLOOKUP(V764,ターン数別攻撃係数!$A$1:$B$1000,2,FALSE)</f>
        <v>1</v>
      </c>
      <c r="X764" s="9">
        <f ca="1">VLOOKUP(C764,サイズ別係数!A$2:B$9,2,FALSE)</f>
        <v>60</v>
      </c>
      <c r="Y764" s="97">
        <f ca="1">VLOOKUP($X764,サイズ別係数!$B:$E,2,FALSE)</f>
        <v>1.7</v>
      </c>
      <c r="Z764" s="97">
        <f ca="1">VLOOKUP($X764,サイズ別係数!$B:$E,3,FALSE)</f>
        <v>1.4</v>
      </c>
      <c r="AA764" s="97">
        <f ca="1">VLOOKUP($X764,サイズ別係数!$B:$E,4,FALSE)</f>
        <v>1</v>
      </c>
      <c r="AB764" s="10">
        <v>0</v>
      </c>
      <c r="AC764" s="6" t="str">
        <f ca="1">VLOOKUP($AB764,OFFSET([3]enemy_skill_sets!$B$2,0,0,COUNTA([3]enemy_skill_sets!$A:$A),MATCH(AC$1,[3]enemy_skill_sets!$1:$1,0)-MATCH($AB$1,[3]enemy_skill_sets!$1:$1,0)+1),MATCH(AC$1,[3]enemy_skill_sets!$1:$1,0)-MATCH($AB$1,[3]enemy_skill_sets!$1:$1,0)+1,FALSE)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4" s="67">
        <v>1</v>
      </c>
      <c r="AE764" s="67">
        <v>1</v>
      </c>
      <c r="AF764" s="68">
        <v>0</v>
      </c>
      <c r="AG764" s="99">
        <f ca="1">ROUND(VLOOKUP(1,enemy_base_stats!$A:$F,2,FALSE) * Y764* J764*O764*E764*S764*AD764*[2]ステータス!$B$2,0)</f>
        <v>3995</v>
      </c>
      <c r="AH764" s="99">
        <f ca="1">ROUND(VLOOKUP(1,enemy_base_stats!$A:$F,3,FALSE) * Z764*K764*P764*F764*T764*AE764 * W764*[2]ステータス!$C$2,0)</f>
        <v>265</v>
      </c>
      <c r="AI764" s="99">
        <f ca="1">ROUND(VLOOKUP(1,enemy_base_stats!$A:$F,4,FALSE) * AA764*L764*Q764*G764*U764*AF764*[2]ステータス!$D$2,0)</f>
        <v>0</v>
      </c>
      <c r="AJ764" s="99">
        <f ca="1">ROUND(VLOOKUP(100,enemy_base_stats!$A:$F,2,FALSE) * Y764* J764*O764*E764*S764*AD764*[2]ステータス!$B$2,0)</f>
        <v>162197</v>
      </c>
      <c r="AK764" s="99">
        <f ca="1">ROUND(VLOOKUP(100,enemy_base_stats!$A:$F,3,FALSE)* Z764* K764*P764*F764*T764*AE764 * W764*[2]ステータス!$C$2,0)</f>
        <v>10754</v>
      </c>
      <c r="AL764" s="99">
        <f ca="1">ROUND(VLOOKUP(100,enemy_base_stats!$A:$F,4,FALSE)* AA764* L764*Q764*G764*U764*AF764*[2]ステータス!$D$2,0)</f>
        <v>0</v>
      </c>
      <c r="AM764" s="97">
        <f ca="1">VLOOKUP(M764,[2]character_tribe_i18n!$A:$I,9,FALSE)</f>
        <v>400</v>
      </c>
      <c r="AN764" s="97">
        <v>0</v>
      </c>
      <c r="AO764" s="98">
        <v>0</v>
      </c>
      <c r="AP764" s="58" t="s">
        <v>72</v>
      </c>
      <c r="AQ764" s="34">
        <f t="shared" ca="1" si="44"/>
        <v>763</v>
      </c>
    </row>
    <row r="765" spans="1:43" ht="21" customHeight="1" x14ac:dyDescent="0.15">
      <c r="A765" s="7">
        <f t="shared" ca="1" si="43"/>
        <v>764</v>
      </c>
      <c r="B765" s="6" t="str">
        <f ca="1">VLOOKUP(A765,[2]characters!$A:$C,3,FALSE)</f>
        <v>ライオネル</v>
      </c>
      <c r="C765" s="9">
        <f ca="1">VLOOKUP(A765,[2]characters!$A:$I,9,FALSE)</f>
        <v>4</v>
      </c>
      <c r="D765" s="9" t="str">
        <f ca="1">VLOOKUP(A765,[2]characters!$A:$H,8,FALSE)</f>
        <v>yellow</v>
      </c>
      <c r="E765" s="97">
        <f ca="1">VLOOKUP(D765,[2]属性!$A:$E,2,FALSE)</f>
        <v>0.98</v>
      </c>
      <c r="F765" s="97">
        <f ca="1">VLOOKUP(D765,[2]属性!$A:$E,3,FALSE)</f>
        <v>1.01</v>
      </c>
      <c r="G765" s="97">
        <f ca="1">VLOOKUP(D765,[2]属性!$A:$F,4,FALSE)</f>
        <v>1</v>
      </c>
      <c r="H765" s="9" t="str">
        <f ca="1">VLOOKUP(A765,[2]characters!$A:$K,11,FALSE)</f>
        <v>balance</v>
      </c>
      <c r="I765" s="6" t="str">
        <f ca="1">VLOOKUP(H765,[2]character_type_i18n!$A:$F,3,FALSE)</f>
        <v>バランスタイプ</v>
      </c>
      <c r="J765" s="97">
        <f ca="1">VLOOKUP(H765,[2]character_type_i18n!$A:$F,4,FALSE)</f>
        <v>1</v>
      </c>
      <c r="K765" s="97">
        <f ca="1">VLOOKUP(H765,[2]character_type_i18n!$A:$F,5,FALSE)</f>
        <v>1</v>
      </c>
      <c r="L765" s="97">
        <f ca="1">VLOOKUP(H765,[2]character_type_i18n!$A:$F,6,FALSE)</f>
        <v>1</v>
      </c>
      <c r="M765" s="9" t="str">
        <f ca="1">VLOOKUP(A765,[2]characters!$A:$M,13,FALSE)</f>
        <v>animal</v>
      </c>
      <c r="N765" s="6" t="str">
        <f ca="1">VLOOKUP(M765,[2]character_tribe_i18n!$A:$F,3,FALSE)</f>
        <v>アニマル</v>
      </c>
      <c r="O765" s="97">
        <f ca="1">VLOOKUP(M765,[2]character_tribe_i18n!$A:$F,4,FALSE)</f>
        <v>1</v>
      </c>
      <c r="P765" s="97">
        <f ca="1">VLOOKUP(M765,[2]character_tribe_i18n!$A:$F,5,FALSE)</f>
        <v>1.1000000000000001</v>
      </c>
      <c r="Q765" s="97">
        <f ca="1">VLOOKUP(M765,[2]character_tribe_i18n!$A:$F,6,FALSE)</f>
        <v>1</v>
      </c>
      <c r="R765" s="98" t="s">
        <v>98</v>
      </c>
      <c r="S765" s="97">
        <f>VLOOKUP($R765,ラベル別係数!$A$1:$E$7,3,FALSE)</f>
        <v>5</v>
      </c>
      <c r="T765" s="97">
        <f>VLOOKUP($R765,ラベル別係数!$A$1:$E$7,4,FALSE)</f>
        <v>1.3</v>
      </c>
      <c r="U765" s="97">
        <f>VLOOKUP($R765,ラベル別係数!$A$1:$E$7,5,FALSE)</f>
        <v>0.8</v>
      </c>
      <c r="V765" s="98">
        <v>3</v>
      </c>
      <c r="W765" s="99">
        <f>VLOOKUP(V765,ターン数別攻撃係数!$A$1:$B$1000,2,FALSE)</f>
        <v>1</v>
      </c>
      <c r="X765" s="9">
        <f ca="1">VLOOKUP(C765,サイズ別係数!A$2:B$9,2,FALSE)</f>
        <v>30</v>
      </c>
      <c r="Y765" s="97">
        <f ca="1">VLOOKUP($X765,サイズ別係数!$B:$E,2,FALSE)</f>
        <v>1.3</v>
      </c>
      <c r="Z765" s="97">
        <f ca="1">VLOOKUP($X765,サイズ別係数!$B:$E,3,FALSE)</f>
        <v>1.3</v>
      </c>
      <c r="AA765" s="97">
        <f ca="1">VLOOKUP($X765,サイズ別係数!$B:$E,4,FALSE)</f>
        <v>1.1000000000000001</v>
      </c>
      <c r="AB765" s="10">
        <v>0</v>
      </c>
      <c r="AC765" s="6" t="str">
        <f ca="1">VLOOKUP($AB765,OFFSET([3]enemy_skill_sets!$B$2,0,0,COUNTA([3]enemy_skill_sets!$A:$A),MATCH(AC$1,[3]enemy_skill_sets!$1:$1,0)-MATCH($AB$1,[3]enemy_skill_sets!$1:$1,0)+1),MATCH(AC$1,[3]enemy_skill_sets!$1:$1,0)-MATCH($AB$1,[3]enemy_skill_sets!$1:$1,0)+1,FALSE)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5" s="67">
        <v>1</v>
      </c>
      <c r="AE765" s="67">
        <v>1</v>
      </c>
      <c r="AF765" s="68">
        <v>0</v>
      </c>
      <c r="AG765" s="99">
        <f ca="1">ROUND(VLOOKUP(1,enemy_base_stats!$A:$F,2,FALSE) * Y765* J765*O765*E765*S765*AD765*[2]ステータス!$B$2,0)</f>
        <v>3185</v>
      </c>
      <c r="AH765" s="99">
        <f ca="1">ROUND(VLOOKUP(1,enemy_base_stats!$A:$F,3,FALSE) * Z765*K765*P765*F765*T765*AE765 * W765*[2]ステータス!$C$2,0)</f>
        <v>282</v>
      </c>
      <c r="AI765" s="99">
        <f ca="1">ROUND(VLOOKUP(1,enemy_base_stats!$A:$F,4,FALSE) * AA765*L765*Q765*G765*U765*AF765*[2]ステータス!$D$2,0)</f>
        <v>0</v>
      </c>
      <c r="AJ765" s="99">
        <f ca="1">ROUND(VLOOKUP(100,enemy_base_stats!$A:$F,2,FALSE) * Y765* J765*O765*E765*S765*AD765*[2]ステータス!$B$2,0)</f>
        <v>129311</v>
      </c>
      <c r="AK765" s="99">
        <f ca="1">ROUND(VLOOKUP(100,enemy_base_stats!$A:$F,3,FALSE)* Z765* K765*P765*F765*T765*AE765 * W765*[2]ステータス!$C$2,0)</f>
        <v>11435</v>
      </c>
      <c r="AL765" s="99">
        <f ca="1">ROUND(VLOOKUP(100,enemy_base_stats!$A:$F,4,FALSE)* AA765* L765*Q765*G765*U765*AF765*[2]ステータス!$D$2,0)</f>
        <v>0</v>
      </c>
      <c r="AM765" s="97">
        <f ca="1">VLOOKUP(M765,[2]character_tribe_i18n!$A:$I,9,FALSE)</f>
        <v>480</v>
      </c>
      <c r="AN765" s="97">
        <v>0</v>
      </c>
      <c r="AO765" s="98">
        <v>0</v>
      </c>
      <c r="AP765" s="58" t="s">
        <v>72</v>
      </c>
      <c r="AQ765" s="34">
        <f t="shared" ca="1" si="44"/>
        <v>764</v>
      </c>
    </row>
    <row r="766" spans="1:43" ht="21" customHeight="1" x14ac:dyDescent="0.15">
      <c r="A766" s="7">
        <f t="shared" ca="1" si="43"/>
        <v>765</v>
      </c>
      <c r="B766" s="6" t="str">
        <f ca="1">VLOOKUP(A766,[2]characters!$A:$C,3,FALSE)</f>
        <v>逆襲獣皇 ライオネル</v>
      </c>
      <c r="C766" s="9">
        <f ca="1">VLOOKUP(A766,[2]characters!$A:$I,9,FALSE)</f>
        <v>5</v>
      </c>
      <c r="D766" s="9" t="str">
        <f ca="1">VLOOKUP(A766,[2]characters!$A:$H,8,FALSE)</f>
        <v>yellow</v>
      </c>
      <c r="E766" s="97">
        <f ca="1">VLOOKUP(D766,[2]属性!$A:$E,2,FALSE)</f>
        <v>0.98</v>
      </c>
      <c r="F766" s="97">
        <f ca="1">VLOOKUP(D766,[2]属性!$A:$E,3,FALSE)</f>
        <v>1.01</v>
      </c>
      <c r="G766" s="97">
        <f ca="1">VLOOKUP(D766,[2]属性!$A:$F,4,FALSE)</f>
        <v>1</v>
      </c>
      <c r="H766" s="9" t="str">
        <f ca="1">VLOOKUP(A766,[2]characters!$A:$K,11,FALSE)</f>
        <v>balance</v>
      </c>
      <c r="I766" s="6" t="str">
        <f ca="1">VLOOKUP(H766,[2]character_type_i18n!$A:$F,3,FALSE)</f>
        <v>バランスタイプ</v>
      </c>
      <c r="J766" s="97">
        <f ca="1">VLOOKUP(H766,[2]character_type_i18n!$A:$F,4,FALSE)</f>
        <v>1</v>
      </c>
      <c r="K766" s="97">
        <f ca="1">VLOOKUP(H766,[2]character_type_i18n!$A:$F,5,FALSE)</f>
        <v>1</v>
      </c>
      <c r="L766" s="97">
        <f ca="1">VLOOKUP(H766,[2]character_type_i18n!$A:$F,6,FALSE)</f>
        <v>1</v>
      </c>
      <c r="M766" s="9" t="str">
        <f ca="1">VLOOKUP(A766,[2]characters!$A:$M,13,FALSE)</f>
        <v>animal</v>
      </c>
      <c r="N766" s="6" t="str">
        <f ca="1">VLOOKUP(M766,[2]character_tribe_i18n!$A:$F,3,FALSE)</f>
        <v>アニマル</v>
      </c>
      <c r="O766" s="97">
        <f ca="1">VLOOKUP(M766,[2]character_tribe_i18n!$A:$F,4,FALSE)</f>
        <v>1</v>
      </c>
      <c r="P766" s="97">
        <f ca="1">VLOOKUP(M766,[2]character_tribe_i18n!$A:$F,5,FALSE)</f>
        <v>1.1000000000000001</v>
      </c>
      <c r="Q766" s="97">
        <f ca="1">VLOOKUP(M766,[2]character_tribe_i18n!$A:$F,6,FALSE)</f>
        <v>1</v>
      </c>
      <c r="R766" s="98" t="s">
        <v>98</v>
      </c>
      <c r="S766" s="97">
        <f>VLOOKUP($R766,ラベル別係数!$A$1:$E$7,3,FALSE)</f>
        <v>5</v>
      </c>
      <c r="T766" s="97">
        <f>VLOOKUP($R766,ラベル別係数!$A$1:$E$7,4,FALSE)</f>
        <v>1.3</v>
      </c>
      <c r="U766" s="97">
        <f>VLOOKUP($R766,ラベル別係数!$A$1:$E$7,5,FALSE)</f>
        <v>0.8</v>
      </c>
      <c r="V766" s="98">
        <v>3</v>
      </c>
      <c r="W766" s="99">
        <f>VLOOKUP(V766,ターン数別攻撃係数!$A$1:$B$1000,2,FALSE)</f>
        <v>1</v>
      </c>
      <c r="X766" s="9">
        <f ca="1">VLOOKUP(C766,サイズ別係数!A$2:B$9,2,FALSE)</f>
        <v>60</v>
      </c>
      <c r="Y766" s="97">
        <f ca="1">VLOOKUP($X766,サイズ別係数!$B:$E,2,FALSE)</f>
        <v>1.7</v>
      </c>
      <c r="Z766" s="97">
        <f ca="1">VLOOKUP($X766,サイズ別係数!$B:$E,3,FALSE)</f>
        <v>1.4</v>
      </c>
      <c r="AA766" s="97">
        <f ca="1">VLOOKUP($X766,サイズ別係数!$B:$E,4,FALSE)</f>
        <v>1</v>
      </c>
      <c r="AB766" s="10">
        <v>0</v>
      </c>
      <c r="AC766" s="6" t="str">
        <f ca="1">VLOOKUP($AB766,OFFSET([3]enemy_skill_sets!$B$2,0,0,COUNTA([3]enemy_skill_sets!$A:$A),MATCH(AC$1,[3]enemy_skill_sets!$1:$1,0)-MATCH($AB$1,[3]enemy_skill_sets!$1:$1,0)+1),MATCH(AC$1,[3]enemy_skill_sets!$1:$1,0)-MATCH($AB$1,[3]enemy_skill_sets!$1:$1,0)+1,FALSE)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6" s="67">
        <v>1</v>
      </c>
      <c r="AE766" s="67">
        <v>1</v>
      </c>
      <c r="AF766" s="68">
        <v>0</v>
      </c>
      <c r="AG766" s="99">
        <f ca="1">ROUND(VLOOKUP(1,enemy_base_stats!$A:$F,2,FALSE) * Y766* J766*O766*E766*S766*AD766*[2]ステータス!$B$2,0)</f>
        <v>4165</v>
      </c>
      <c r="AH766" s="99">
        <f ca="1">ROUND(VLOOKUP(1,enemy_base_stats!$A:$F,3,FALSE) * Z766*K766*P766*F766*T766*AE766 * W766*[2]ステータス!$C$2,0)</f>
        <v>303</v>
      </c>
      <c r="AI766" s="99">
        <f ca="1">ROUND(VLOOKUP(1,enemy_base_stats!$A:$F,4,FALSE) * AA766*L766*Q766*G766*U766*AF766*[2]ステータス!$D$2,0)</f>
        <v>0</v>
      </c>
      <c r="AJ766" s="99">
        <f ca="1">ROUND(VLOOKUP(100,enemy_base_stats!$A:$F,2,FALSE) * Y766* J766*O766*E766*S766*AD766*[2]ステータス!$B$2,0)</f>
        <v>169099</v>
      </c>
      <c r="AK766" s="99">
        <f ca="1">ROUND(VLOOKUP(100,enemy_base_stats!$A:$F,3,FALSE)* Z766* K766*P766*F766*T766*AE766 * W766*[2]ステータス!$C$2,0)</f>
        <v>12314</v>
      </c>
      <c r="AL766" s="99">
        <f ca="1">ROUND(VLOOKUP(100,enemy_base_stats!$A:$F,4,FALSE)* AA766* L766*Q766*G766*U766*AF766*[2]ステータス!$D$2,0)</f>
        <v>0</v>
      </c>
      <c r="AM766" s="97">
        <f ca="1">VLOOKUP(M766,[2]character_tribe_i18n!$A:$I,9,FALSE)</f>
        <v>480</v>
      </c>
      <c r="AN766" s="97">
        <v>0</v>
      </c>
      <c r="AO766" s="98">
        <v>0</v>
      </c>
      <c r="AP766" s="58" t="s">
        <v>72</v>
      </c>
      <c r="AQ766" s="34">
        <f t="shared" ca="1" si="44"/>
        <v>765</v>
      </c>
    </row>
    <row r="767" spans="1:43" ht="21" customHeight="1" x14ac:dyDescent="0.15">
      <c r="A767" s="7">
        <f t="shared" ca="1" si="43"/>
        <v>766</v>
      </c>
      <c r="B767" s="6" t="str">
        <f ca="1">VLOOKUP(A767,[2]characters!$A:$C,3,FALSE)</f>
        <v>ランドラグ</v>
      </c>
      <c r="C767" s="9">
        <f ca="1">VLOOKUP(A767,[2]characters!$A:$I,9,FALSE)</f>
        <v>4</v>
      </c>
      <c r="D767" s="9" t="str">
        <f ca="1">VLOOKUP(A767,[2]characters!$A:$H,8,FALSE)</f>
        <v>red</v>
      </c>
      <c r="E767" s="97">
        <f ca="1">VLOOKUP(D767,[2]属性!$A:$E,2,FALSE)</f>
        <v>1</v>
      </c>
      <c r="F767" s="97">
        <f ca="1">VLOOKUP(D767,[2]属性!$A:$E,3,FALSE)</f>
        <v>1.02</v>
      </c>
      <c r="G767" s="97">
        <f ca="1">VLOOKUP(D767,[2]属性!$A:$F,4,FALSE)</f>
        <v>1</v>
      </c>
      <c r="H767" s="9" t="str">
        <f ca="1">VLOOKUP(A767,[2]characters!$A:$K,11,FALSE)</f>
        <v>hp</v>
      </c>
      <c r="I767" s="6" t="str">
        <f ca="1">VLOOKUP(H767,[2]character_type_i18n!$A:$F,3,FALSE)</f>
        <v>体力タイプ</v>
      </c>
      <c r="J767" s="97">
        <f ca="1">VLOOKUP(H767,[2]character_type_i18n!$A:$F,4,FALSE)</f>
        <v>1.45</v>
      </c>
      <c r="K767" s="97">
        <f ca="1">VLOOKUP(H767,[2]character_type_i18n!$A:$F,5,FALSE)</f>
        <v>0.85</v>
      </c>
      <c r="L767" s="97">
        <f ca="1">VLOOKUP(H767,[2]character_type_i18n!$A:$F,6,FALSE)</f>
        <v>1</v>
      </c>
      <c r="M767" s="9" t="str">
        <f ca="1">VLOOKUP(A767,[2]characters!$A:$M,13,FALSE)</f>
        <v>dragon</v>
      </c>
      <c r="N767" s="6" t="str">
        <f ca="1">VLOOKUP(M767,[2]character_tribe_i18n!$A:$F,3,FALSE)</f>
        <v>ドラゴン</v>
      </c>
      <c r="O767" s="97">
        <f ca="1">VLOOKUP(M767,[2]character_tribe_i18n!$A:$F,4,FALSE)</f>
        <v>1.1499999999999999</v>
      </c>
      <c r="P767" s="97">
        <f ca="1">VLOOKUP(M767,[2]character_tribe_i18n!$A:$F,5,FALSE)</f>
        <v>1.1000000000000001</v>
      </c>
      <c r="Q767" s="97">
        <f ca="1">VLOOKUP(M767,[2]character_tribe_i18n!$A:$F,6,FALSE)</f>
        <v>1</v>
      </c>
      <c r="R767" s="98" t="s">
        <v>98</v>
      </c>
      <c r="S767" s="97">
        <f>VLOOKUP($R767,ラベル別係数!$A$1:$E$7,3,FALSE)</f>
        <v>5</v>
      </c>
      <c r="T767" s="97">
        <f>VLOOKUP($R767,ラベル別係数!$A$1:$E$7,4,FALSE)</f>
        <v>1.3</v>
      </c>
      <c r="U767" s="97">
        <f>VLOOKUP($R767,ラベル別係数!$A$1:$E$7,5,FALSE)</f>
        <v>0.8</v>
      </c>
      <c r="V767" s="98">
        <v>3</v>
      </c>
      <c r="W767" s="99">
        <f>VLOOKUP(V767,ターン数別攻撃係数!$A$1:$B$1000,2,FALSE)</f>
        <v>1</v>
      </c>
      <c r="X767" s="9">
        <f ca="1">VLOOKUP(C767,サイズ別係数!A$2:B$9,2,FALSE)</f>
        <v>30</v>
      </c>
      <c r="Y767" s="97">
        <f ca="1">VLOOKUP($X767,サイズ別係数!$B:$E,2,FALSE)</f>
        <v>1.3</v>
      </c>
      <c r="Z767" s="97">
        <f ca="1">VLOOKUP($X767,サイズ別係数!$B:$E,3,FALSE)</f>
        <v>1.3</v>
      </c>
      <c r="AA767" s="97">
        <f ca="1">VLOOKUP($X767,サイズ別係数!$B:$E,4,FALSE)</f>
        <v>1.1000000000000001</v>
      </c>
      <c r="AB767" s="10">
        <v>0</v>
      </c>
      <c r="AC767" s="6" t="str">
        <f ca="1">VLOOKUP($AB767,OFFSET([3]enemy_skill_sets!$B$2,0,0,COUNTA([3]enemy_skill_sets!$A:$A),MATCH(AC$1,[3]enemy_skill_sets!$1:$1,0)-MATCH($AB$1,[3]enemy_skill_sets!$1:$1,0)+1),MATCH(AC$1,[3]enemy_skill_sets!$1:$1,0)-MATCH($AB$1,[3]enemy_skill_sets!$1:$1,0)+1,FALSE)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7" s="67">
        <v>1</v>
      </c>
      <c r="AE767" s="67">
        <v>1</v>
      </c>
      <c r="AF767" s="68">
        <v>0</v>
      </c>
      <c r="AG767" s="99">
        <f ca="1">ROUND(VLOOKUP(1,enemy_base_stats!$A:$F,2,FALSE) * Y767* J767*O767*E767*S767*AD767*[2]ステータス!$B$2,0)</f>
        <v>5419</v>
      </c>
      <c r="AH767" s="99">
        <f ca="1">ROUND(VLOOKUP(1,enemy_base_stats!$A:$F,3,FALSE) * Z767*K767*P767*F767*T767*AE767 * W767*[2]ステータス!$C$2,0)</f>
        <v>242</v>
      </c>
      <c r="AI767" s="99">
        <f ca="1">ROUND(VLOOKUP(1,enemy_base_stats!$A:$F,4,FALSE) * AA767*L767*Q767*G767*U767*AF767*[2]ステータス!$D$2,0)</f>
        <v>0</v>
      </c>
      <c r="AJ767" s="99">
        <f ca="1">ROUND(VLOOKUP(100,enemy_base_stats!$A:$F,2,FALSE) * Y767* J767*O767*E767*S767*AD767*[2]ステータス!$B$2,0)</f>
        <v>220027</v>
      </c>
      <c r="AK767" s="99">
        <f ca="1">ROUND(VLOOKUP(100,enemy_base_stats!$A:$F,3,FALSE)* Z767* K767*P767*F767*T767*AE767 * W767*[2]ステータス!$C$2,0)</f>
        <v>9816</v>
      </c>
      <c r="AL767" s="99">
        <f ca="1">ROUND(VLOOKUP(100,enemy_base_stats!$A:$F,4,FALSE)* AA767* L767*Q767*G767*U767*AF767*[2]ステータス!$D$2,0)</f>
        <v>0</v>
      </c>
      <c r="AM767" s="97">
        <f ca="1">VLOOKUP(M767,[2]character_tribe_i18n!$A:$I,9,FALSE)</f>
        <v>540</v>
      </c>
      <c r="AN767" s="97">
        <v>0</v>
      </c>
      <c r="AO767" s="98">
        <v>0</v>
      </c>
      <c r="AP767" s="58" t="s">
        <v>72</v>
      </c>
      <c r="AQ767" s="34">
        <f t="shared" ca="1" si="44"/>
        <v>766</v>
      </c>
    </row>
    <row r="768" spans="1:43" ht="21" customHeight="1" x14ac:dyDescent="0.15">
      <c r="A768" s="7">
        <f t="shared" ca="1" si="43"/>
        <v>767</v>
      </c>
      <c r="B768" s="6" t="str">
        <f ca="1">VLOOKUP(A768,[2]characters!$A:$C,3,FALSE)</f>
        <v>灼炎業竜 ランドラグ</v>
      </c>
      <c r="C768" s="9">
        <f ca="1">VLOOKUP(A768,[2]characters!$A:$I,9,FALSE)</f>
        <v>5</v>
      </c>
      <c r="D768" s="9" t="str">
        <f ca="1">VLOOKUP(A768,[2]characters!$A:$H,8,FALSE)</f>
        <v>red</v>
      </c>
      <c r="E768" s="97">
        <f ca="1">VLOOKUP(D768,[2]属性!$A:$E,2,FALSE)</f>
        <v>1</v>
      </c>
      <c r="F768" s="97">
        <f ca="1">VLOOKUP(D768,[2]属性!$A:$E,3,FALSE)</f>
        <v>1.02</v>
      </c>
      <c r="G768" s="97">
        <f ca="1">VLOOKUP(D768,[2]属性!$A:$F,4,FALSE)</f>
        <v>1</v>
      </c>
      <c r="H768" s="9" t="str">
        <f ca="1">VLOOKUP(A768,[2]characters!$A:$K,11,FALSE)</f>
        <v>hp</v>
      </c>
      <c r="I768" s="6" t="str">
        <f ca="1">VLOOKUP(H768,[2]character_type_i18n!$A:$F,3,FALSE)</f>
        <v>体力タイプ</v>
      </c>
      <c r="J768" s="97">
        <f ca="1">VLOOKUP(H768,[2]character_type_i18n!$A:$F,4,FALSE)</f>
        <v>1.45</v>
      </c>
      <c r="K768" s="97">
        <f ca="1">VLOOKUP(H768,[2]character_type_i18n!$A:$F,5,FALSE)</f>
        <v>0.85</v>
      </c>
      <c r="L768" s="97">
        <f ca="1">VLOOKUP(H768,[2]character_type_i18n!$A:$F,6,FALSE)</f>
        <v>1</v>
      </c>
      <c r="M768" s="9" t="str">
        <f ca="1">VLOOKUP(A768,[2]characters!$A:$M,13,FALSE)</f>
        <v>dragon</v>
      </c>
      <c r="N768" s="6" t="str">
        <f ca="1">VLOOKUP(M768,[2]character_tribe_i18n!$A:$F,3,FALSE)</f>
        <v>ドラゴン</v>
      </c>
      <c r="O768" s="97">
        <f ca="1">VLOOKUP(M768,[2]character_tribe_i18n!$A:$F,4,FALSE)</f>
        <v>1.1499999999999999</v>
      </c>
      <c r="P768" s="97">
        <f ca="1">VLOOKUP(M768,[2]character_tribe_i18n!$A:$F,5,FALSE)</f>
        <v>1.1000000000000001</v>
      </c>
      <c r="Q768" s="97">
        <f ca="1">VLOOKUP(M768,[2]character_tribe_i18n!$A:$F,6,FALSE)</f>
        <v>1</v>
      </c>
      <c r="R768" s="98" t="s">
        <v>98</v>
      </c>
      <c r="S768" s="97">
        <f>VLOOKUP($R768,ラベル別係数!$A$1:$E$7,3,FALSE)</f>
        <v>5</v>
      </c>
      <c r="T768" s="97">
        <f>VLOOKUP($R768,ラベル別係数!$A$1:$E$7,4,FALSE)</f>
        <v>1.3</v>
      </c>
      <c r="U768" s="97">
        <f>VLOOKUP($R768,ラベル別係数!$A$1:$E$7,5,FALSE)</f>
        <v>0.8</v>
      </c>
      <c r="V768" s="98">
        <v>3</v>
      </c>
      <c r="W768" s="99">
        <f>VLOOKUP(V768,ターン数別攻撃係数!$A$1:$B$1000,2,FALSE)</f>
        <v>1</v>
      </c>
      <c r="X768" s="9">
        <f ca="1">VLOOKUP(C768,サイズ別係数!A$2:B$9,2,FALSE)</f>
        <v>60</v>
      </c>
      <c r="Y768" s="97">
        <f ca="1">VLOOKUP($X768,サイズ別係数!$B:$E,2,FALSE)</f>
        <v>1.7</v>
      </c>
      <c r="Z768" s="97">
        <f ca="1">VLOOKUP($X768,サイズ別係数!$B:$E,3,FALSE)</f>
        <v>1.4</v>
      </c>
      <c r="AA768" s="97">
        <f ca="1">VLOOKUP($X768,サイズ別係数!$B:$E,4,FALSE)</f>
        <v>1</v>
      </c>
      <c r="AB768" s="10">
        <v>0</v>
      </c>
      <c r="AC768" s="6" t="str">
        <f ca="1">VLOOKUP($AB768,OFFSET([3]enemy_skill_sets!$B$2,0,0,COUNTA([3]enemy_skill_sets!$A:$A),MATCH(AC$1,[3]enemy_skill_sets!$1:$1,0)-MATCH($AB$1,[3]enemy_skill_sets!$1:$1,0)+1),MATCH(AC$1,[3]enemy_skill_sets!$1:$1,0)-MATCH($AB$1,[3]enemy_skill_sets!$1:$1,0)+1,FALSE)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8" s="67">
        <v>1</v>
      </c>
      <c r="AE768" s="67">
        <v>1</v>
      </c>
      <c r="AF768" s="68">
        <v>0</v>
      </c>
      <c r="AG768" s="99">
        <f ca="1">ROUND(VLOOKUP(1,enemy_base_stats!$A:$F,2,FALSE) * Y768* J768*O768*E768*S768*AD768*[2]ステータス!$B$2,0)</f>
        <v>7087</v>
      </c>
      <c r="AH768" s="99">
        <f ca="1">ROUND(VLOOKUP(1,enemy_base_stats!$A:$F,3,FALSE) * Z768*K768*P768*F768*T768*AE768 * W768*[2]ステータス!$C$2,0)</f>
        <v>260</v>
      </c>
      <c r="AI768" s="99">
        <f ca="1">ROUND(VLOOKUP(1,enemy_base_stats!$A:$F,4,FALSE) * AA768*L768*Q768*G768*U768*AF768*[2]ステータス!$D$2,0)</f>
        <v>0</v>
      </c>
      <c r="AJ768" s="99">
        <f ca="1">ROUND(VLOOKUP(100,enemy_base_stats!$A:$F,2,FALSE) * Y768* J768*O768*E768*S768*AD768*[2]ステータス!$B$2,0)</f>
        <v>287727</v>
      </c>
      <c r="AK768" s="99">
        <f ca="1">ROUND(VLOOKUP(100,enemy_base_stats!$A:$F,3,FALSE)* Z768* K768*P768*F768*T768*AE768 * W768*[2]ステータス!$C$2,0)</f>
        <v>10571</v>
      </c>
      <c r="AL768" s="99">
        <f ca="1">ROUND(VLOOKUP(100,enemy_base_stats!$A:$F,4,FALSE)* AA768* L768*Q768*G768*U768*AF768*[2]ステータス!$D$2,0)</f>
        <v>0</v>
      </c>
      <c r="AM768" s="97">
        <f ca="1">VLOOKUP(M768,[2]character_tribe_i18n!$A:$I,9,FALSE)</f>
        <v>540</v>
      </c>
      <c r="AN768" s="97">
        <v>0</v>
      </c>
      <c r="AO768" s="98">
        <v>0</v>
      </c>
      <c r="AP768" s="58" t="s">
        <v>72</v>
      </c>
      <c r="AQ768" s="34">
        <f t="shared" ca="1" si="44"/>
        <v>767</v>
      </c>
    </row>
    <row r="769" spans="1:43" ht="21" customHeight="1" x14ac:dyDescent="0.15">
      <c r="A769" s="7">
        <f t="shared" ca="1" si="43"/>
        <v>768</v>
      </c>
      <c r="B769" s="6" t="str">
        <f ca="1">VLOOKUP(A769,[2]characters!$A:$C,3,FALSE)</f>
        <v>ガレス</v>
      </c>
      <c r="C769" s="9">
        <f ca="1">VLOOKUP(A769,[2]characters!$A:$I,9,FALSE)</f>
        <v>4</v>
      </c>
      <c r="D769" s="9" t="str">
        <f ca="1">VLOOKUP(A769,[2]characters!$A:$H,8,FALSE)</f>
        <v>green</v>
      </c>
      <c r="E769" s="97">
        <f ca="1">VLOOKUP(D769,[2]属性!$A:$E,2,FALSE)</f>
        <v>1.02</v>
      </c>
      <c r="F769" s="97">
        <f ca="1">VLOOKUP(D769,[2]属性!$A:$E,3,FALSE)</f>
        <v>0.98</v>
      </c>
      <c r="G769" s="97">
        <f ca="1">VLOOKUP(D769,[2]属性!$A:$F,4,FALSE)</f>
        <v>1</v>
      </c>
      <c r="H769" s="9" t="str">
        <f ca="1">VLOOKUP(A769,[2]characters!$A:$K,11,FALSE)</f>
        <v>technical</v>
      </c>
      <c r="I769" s="6" t="str">
        <f ca="1">VLOOKUP(H769,[2]character_type_i18n!$A:$F,3,FALSE)</f>
        <v>テクニカルタイプ</v>
      </c>
      <c r="J769" s="97">
        <f ca="1">VLOOKUP(H769,[2]character_type_i18n!$A:$F,4,FALSE)</f>
        <v>0.9</v>
      </c>
      <c r="K769" s="97">
        <f ca="1">VLOOKUP(H769,[2]character_type_i18n!$A:$F,5,FALSE)</f>
        <v>0.9</v>
      </c>
      <c r="L769" s="97">
        <f ca="1">VLOOKUP(H769,[2]character_type_i18n!$A:$F,6,FALSE)</f>
        <v>1</v>
      </c>
      <c r="M769" s="9" t="str">
        <f ca="1">VLOOKUP(A769,[2]characters!$A:$M,13,FALSE)</f>
        <v>human</v>
      </c>
      <c r="N769" s="6" t="str">
        <f ca="1">VLOOKUP(M769,[2]character_tribe_i18n!$A:$F,3,FALSE)</f>
        <v>ヒューマン</v>
      </c>
      <c r="O769" s="97">
        <f ca="1">VLOOKUP(M769,[2]character_tribe_i18n!$A:$F,4,FALSE)</f>
        <v>0.94</v>
      </c>
      <c r="P769" s="97">
        <f ca="1">VLOOKUP(M769,[2]character_tribe_i18n!$A:$F,5,FALSE)</f>
        <v>0.99</v>
      </c>
      <c r="Q769" s="97">
        <f ca="1">VLOOKUP(M769,[2]character_tribe_i18n!$A:$F,6,FALSE)</f>
        <v>1</v>
      </c>
      <c r="R769" s="98" t="s">
        <v>98</v>
      </c>
      <c r="S769" s="97">
        <f>VLOOKUP($R769,ラベル別係数!$A$1:$E$7,3,FALSE)</f>
        <v>5</v>
      </c>
      <c r="T769" s="97">
        <f>VLOOKUP($R769,ラベル別係数!$A$1:$E$7,4,FALSE)</f>
        <v>1.3</v>
      </c>
      <c r="U769" s="97">
        <f>VLOOKUP($R769,ラベル別係数!$A$1:$E$7,5,FALSE)</f>
        <v>0.8</v>
      </c>
      <c r="V769" s="98">
        <v>3</v>
      </c>
      <c r="W769" s="99">
        <f>VLOOKUP(V769,ターン数別攻撃係数!$A$1:$B$1000,2,FALSE)</f>
        <v>1</v>
      </c>
      <c r="X769" s="9">
        <f ca="1">VLOOKUP(C769,サイズ別係数!A$2:B$9,2,FALSE)</f>
        <v>30</v>
      </c>
      <c r="Y769" s="97">
        <f ca="1">VLOOKUP($X769,サイズ別係数!$B:$E,2,FALSE)</f>
        <v>1.3</v>
      </c>
      <c r="Z769" s="97">
        <f ca="1">VLOOKUP($X769,サイズ別係数!$B:$E,3,FALSE)</f>
        <v>1.3</v>
      </c>
      <c r="AA769" s="97">
        <f ca="1">VLOOKUP($X769,サイズ別係数!$B:$E,4,FALSE)</f>
        <v>1.1000000000000001</v>
      </c>
      <c r="AB769" s="10">
        <v>0</v>
      </c>
      <c r="AC769" s="6" t="str">
        <f ca="1">VLOOKUP($AB769,OFFSET([3]enemy_skill_sets!$B$2,0,0,COUNTA([3]enemy_skill_sets!$A:$A),MATCH(AC$1,[3]enemy_skill_sets!$1:$1,0)-MATCH($AB$1,[3]enemy_skill_sets!$1:$1,0)+1),MATCH(AC$1,[3]enemy_skill_sets!$1:$1,0)-MATCH($AB$1,[3]enemy_skill_sets!$1:$1,0)+1,FALSE)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69" s="67">
        <v>1</v>
      </c>
      <c r="AE769" s="67">
        <v>1</v>
      </c>
      <c r="AF769" s="68">
        <v>0</v>
      </c>
      <c r="AG769" s="99">
        <f ca="1">ROUND(VLOOKUP(1,enemy_base_stats!$A:$F,2,FALSE) * Y769* J769*O769*E769*S769*AD769*[2]ステータス!$B$2,0)</f>
        <v>2804</v>
      </c>
      <c r="AH769" s="99">
        <f ca="1">ROUND(VLOOKUP(1,enemy_base_stats!$A:$F,3,FALSE) * Z769*K769*P769*F769*T769*AE769 * W769*[2]ステータス!$C$2,0)</f>
        <v>221</v>
      </c>
      <c r="AI769" s="99">
        <f ca="1">ROUND(VLOOKUP(1,enemy_base_stats!$A:$F,4,FALSE) * AA769*L769*Q769*G769*U769*AF769*[2]ステータス!$D$2,0)</f>
        <v>0</v>
      </c>
      <c r="AJ769" s="99">
        <f ca="1">ROUND(VLOOKUP(100,enemy_base_stats!$A:$F,2,FALSE) * Y769* J769*O769*E769*S769*AD769*[2]ステータス!$B$2,0)</f>
        <v>113862</v>
      </c>
      <c r="AK769" s="99">
        <f ca="1">ROUND(VLOOKUP(100,enemy_base_stats!$A:$F,3,FALSE)* Z769* K769*P769*F769*T769*AE769 * W769*[2]ステータス!$C$2,0)</f>
        <v>8987</v>
      </c>
      <c r="AL769" s="99">
        <f ca="1">ROUND(VLOOKUP(100,enemy_base_stats!$A:$F,4,FALSE)* AA769* L769*Q769*G769*U769*AF769*[2]ステータス!$D$2,0)</f>
        <v>0</v>
      </c>
      <c r="AM769" s="97">
        <f ca="1">VLOOKUP(M769,[2]character_tribe_i18n!$A:$I,9,FALSE)</f>
        <v>400</v>
      </c>
      <c r="AN769" s="97">
        <v>0</v>
      </c>
      <c r="AO769" s="98">
        <v>0</v>
      </c>
      <c r="AP769" s="58" t="s">
        <v>72</v>
      </c>
      <c r="AQ769" s="34">
        <f t="shared" ca="1" si="44"/>
        <v>768</v>
      </c>
    </row>
    <row r="770" spans="1:43" ht="21" customHeight="1" x14ac:dyDescent="0.15">
      <c r="A770" s="7">
        <f t="shared" ca="1" si="43"/>
        <v>769</v>
      </c>
      <c r="B770" s="6" t="str">
        <f ca="1">VLOOKUP(A770,[2]characters!$A:$C,3,FALSE)</f>
        <v>白域・純双剣 ガレス</v>
      </c>
      <c r="C770" s="9">
        <f ca="1">VLOOKUP(A770,[2]characters!$A:$I,9,FALSE)</f>
        <v>5</v>
      </c>
      <c r="D770" s="9" t="str">
        <f ca="1">VLOOKUP(A770,[2]characters!$A:$H,8,FALSE)</f>
        <v>green</v>
      </c>
      <c r="E770" s="97">
        <f ca="1">VLOOKUP(D770,[2]属性!$A:$E,2,FALSE)</f>
        <v>1.02</v>
      </c>
      <c r="F770" s="97">
        <f ca="1">VLOOKUP(D770,[2]属性!$A:$E,3,FALSE)</f>
        <v>0.98</v>
      </c>
      <c r="G770" s="97">
        <f ca="1">VLOOKUP(D770,[2]属性!$A:$F,4,FALSE)</f>
        <v>1</v>
      </c>
      <c r="H770" s="9" t="str">
        <f ca="1">VLOOKUP(A770,[2]characters!$A:$K,11,FALSE)</f>
        <v>technical</v>
      </c>
      <c r="I770" s="6" t="str">
        <f ca="1">VLOOKUP(H770,[2]character_type_i18n!$A:$F,3,FALSE)</f>
        <v>テクニカルタイプ</v>
      </c>
      <c r="J770" s="97">
        <f ca="1">VLOOKUP(H770,[2]character_type_i18n!$A:$F,4,FALSE)</f>
        <v>0.9</v>
      </c>
      <c r="K770" s="97">
        <f ca="1">VLOOKUP(H770,[2]character_type_i18n!$A:$F,5,FALSE)</f>
        <v>0.9</v>
      </c>
      <c r="L770" s="97">
        <f ca="1">VLOOKUP(H770,[2]character_type_i18n!$A:$F,6,FALSE)</f>
        <v>1</v>
      </c>
      <c r="M770" s="9" t="str">
        <f ca="1">VLOOKUP(A770,[2]characters!$A:$M,13,FALSE)</f>
        <v>human</v>
      </c>
      <c r="N770" s="6" t="str">
        <f ca="1">VLOOKUP(M770,[2]character_tribe_i18n!$A:$F,3,FALSE)</f>
        <v>ヒューマン</v>
      </c>
      <c r="O770" s="97">
        <f ca="1">VLOOKUP(M770,[2]character_tribe_i18n!$A:$F,4,FALSE)</f>
        <v>0.94</v>
      </c>
      <c r="P770" s="97">
        <f ca="1">VLOOKUP(M770,[2]character_tribe_i18n!$A:$F,5,FALSE)</f>
        <v>0.99</v>
      </c>
      <c r="Q770" s="97">
        <f ca="1">VLOOKUP(M770,[2]character_tribe_i18n!$A:$F,6,FALSE)</f>
        <v>1</v>
      </c>
      <c r="R770" s="98" t="s">
        <v>98</v>
      </c>
      <c r="S770" s="97">
        <f>VLOOKUP($R770,ラベル別係数!$A$1:$E$7,3,FALSE)</f>
        <v>5</v>
      </c>
      <c r="T770" s="97">
        <f>VLOOKUP($R770,ラベル別係数!$A$1:$E$7,4,FALSE)</f>
        <v>1.3</v>
      </c>
      <c r="U770" s="97">
        <f>VLOOKUP($R770,ラベル別係数!$A$1:$E$7,5,FALSE)</f>
        <v>0.8</v>
      </c>
      <c r="V770" s="98">
        <v>3</v>
      </c>
      <c r="W770" s="99">
        <f>VLOOKUP(V770,ターン数別攻撃係数!$A$1:$B$1000,2,FALSE)</f>
        <v>1</v>
      </c>
      <c r="X770" s="9">
        <f ca="1">VLOOKUP(C770,サイズ別係数!A$2:B$9,2,FALSE)</f>
        <v>60</v>
      </c>
      <c r="Y770" s="97">
        <f ca="1">VLOOKUP($X770,サイズ別係数!$B:$E,2,FALSE)</f>
        <v>1.7</v>
      </c>
      <c r="Z770" s="97">
        <f ca="1">VLOOKUP($X770,サイズ別係数!$B:$E,3,FALSE)</f>
        <v>1.4</v>
      </c>
      <c r="AA770" s="97">
        <f ca="1">VLOOKUP($X770,サイズ別係数!$B:$E,4,FALSE)</f>
        <v>1</v>
      </c>
      <c r="AB770" s="10">
        <v>0</v>
      </c>
      <c r="AC770" s="6" t="str">
        <f ca="1">VLOOKUP($AB770,OFFSET([3]enemy_skill_sets!$B$2,0,0,COUNTA([3]enemy_skill_sets!$A:$A),MATCH(AC$1,[3]enemy_skill_sets!$1:$1,0)-MATCH($AB$1,[3]enemy_skill_sets!$1:$1,0)+1),MATCH(AC$1,[3]enemy_skill_sets!$1:$1,0)-MATCH($AB$1,[3]enemy_skill_sets!$1:$1,0)+1,FALSE)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0" s="67">
        <v>1</v>
      </c>
      <c r="AE770" s="67">
        <v>1</v>
      </c>
      <c r="AF770" s="68">
        <v>0</v>
      </c>
      <c r="AG770" s="99">
        <f ca="1">ROUND(VLOOKUP(1,enemy_base_stats!$A:$F,2,FALSE) * Y770* J770*O770*E770*S770*AD770*[2]ステータス!$B$2,0)</f>
        <v>3667</v>
      </c>
      <c r="AH770" s="99">
        <f ca="1">ROUND(VLOOKUP(1,enemy_base_stats!$A:$F,3,FALSE) * Z770*K770*P770*F770*T770*AE770 * W770*[2]ステータス!$C$2,0)</f>
        <v>238</v>
      </c>
      <c r="AI770" s="99">
        <f ca="1">ROUND(VLOOKUP(1,enemy_base_stats!$A:$F,4,FALSE) * AA770*L770*Q770*G770*U770*AF770*[2]ステータス!$D$2,0)</f>
        <v>0</v>
      </c>
      <c r="AJ770" s="99">
        <f ca="1">ROUND(VLOOKUP(100,enemy_base_stats!$A:$F,2,FALSE) * Y770* J770*O770*E770*S770*AD770*[2]ステータス!$B$2,0)</f>
        <v>148897</v>
      </c>
      <c r="AK770" s="99">
        <f ca="1">ROUND(VLOOKUP(100,enemy_base_stats!$A:$F,3,FALSE)* Z770* K770*P770*F770*T770*AE770 * W770*[2]ステータス!$C$2,0)</f>
        <v>9678</v>
      </c>
      <c r="AL770" s="99">
        <f ca="1">ROUND(VLOOKUP(100,enemy_base_stats!$A:$F,4,FALSE)* AA770* L770*Q770*G770*U770*AF770*[2]ステータス!$D$2,0)</f>
        <v>0</v>
      </c>
      <c r="AM770" s="97">
        <f ca="1">VLOOKUP(M770,[2]character_tribe_i18n!$A:$I,9,FALSE)</f>
        <v>400</v>
      </c>
      <c r="AN770" s="97">
        <v>0</v>
      </c>
      <c r="AO770" s="98">
        <v>0</v>
      </c>
      <c r="AP770" s="58" t="s">
        <v>72</v>
      </c>
      <c r="AQ770" s="34">
        <f t="shared" ca="1" si="44"/>
        <v>769</v>
      </c>
    </row>
    <row r="771" spans="1:43" ht="21" customHeight="1" x14ac:dyDescent="0.15">
      <c r="A771" s="7">
        <f t="shared" ref="A771:A834" ca="1" si="45">INDIRECT(ADDRESS(ROW(),COLUMN(),1,TRUE,"[CharacterMasterData.xlsm]characters"))</f>
        <v>770</v>
      </c>
      <c r="B771" s="6" t="str">
        <f ca="1">VLOOKUP(A771,[2]characters!$A:$C,3,FALSE)</f>
        <v>ハヅル</v>
      </c>
      <c r="C771" s="9">
        <f ca="1">VLOOKUP(A771,[2]characters!$A:$I,9,FALSE)</f>
        <v>4</v>
      </c>
      <c r="D771" s="9" t="str">
        <f ca="1">VLOOKUP(A771,[2]characters!$A:$H,8,FALSE)</f>
        <v>red</v>
      </c>
      <c r="E771" s="97">
        <f ca="1">VLOOKUP(D771,[2]属性!$A:$E,2,FALSE)</f>
        <v>1</v>
      </c>
      <c r="F771" s="97">
        <f ca="1">VLOOKUP(D771,[2]属性!$A:$E,3,FALSE)</f>
        <v>1.02</v>
      </c>
      <c r="G771" s="97">
        <f ca="1">VLOOKUP(D771,[2]属性!$A:$F,4,FALSE)</f>
        <v>1</v>
      </c>
      <c r="H771" s="9" t="str">
        <f ca="1">VLOOKUP(A771,[2]characters!$A:$K,11,FALSE)</f>
        <v>balance</v>
      </c>
      <c r="I771" s="6" t="str">
        <f ca="1">VLOOKUP(H771,[2]character_type_i18n!$A:$F,3,FALSE)</f>
        <v>バランスタイプ</v>
      </c>
      <c r="J771" s="97">
        <f ca="1">VLOOKUP(H771,[2]character_type_i18n!$A:$F,4,FALSE)</f>
        <v>1</v>
      </c>
      <c r="K771" s="97">
        <f ca="1">VLOOKUP(H771,[2]character_type_i18n!$A:$F,5,FALSE)</f>
        <v>1</v>
      </c>
      <c r="L771" s="97">
        <f ca="1">VLOOKUP(H771,[2]character_type_i18n!$A:$F,6,FALSE)</f>
        <v>1</v>
      </c>
      <c r="M771" s="9" t="str">
        <f ca="1">VLOOKUP(A771,[2]characters!$A:$M,13,FALSE)</f>
        <v>animal</v>
      </c>
      <c r="N771" s="6" t="str">
        <f ca="1">VLOOKUP(M771,[2]character_tribe_i18n!$A:$F,3,FALSE)</f>
        <v>アニマル</v>
      </c>
      <c r="O771" s="97">
        <f ca="1">VLOOKUP(M771,[2]character_tribe_i18n!$A:$F,4,FALSE)</f>
        <v>1</v>
      </c>
      <c r="P771" s="97">
        <f ca="1">VLOOKUP(M771,[2]character_tribe_i18n!$A:$F,5,FALSE)</f>
        <v>1.1000000000000001</v>
      </c>
      <c r="Q771" s="97">
        <f ca="1">VLOOKUP(M771,[2]character_tribe_i18n!$A:$F,6,FALSE)</f>
        <v>1</v>
      </c>
      <c r="R771" s="98" t="s">
        <v>98</v>
      </c>
      <c r="S771" s="97">
        <f>VLOOKUP($R771,ラベル別係数!$A$1:$E$7,3,FALSE)</f>
        <v>5</v>
      </c>
      <c r="T771" s="97">
        <f>VLOOKUP($R771,ラベル別係数!$A$1:$E$7,4,FALSE)</f>
        <v>1.3</v>
      </c>
      <c r="U771" s="97">
        <f>VLOOKUP($R771,ラベル別係数!$A$1:$E$7,5,FALSE)</f>
        <v>0.8</v>
      </c>
      <c r="V771" s="98">
        <v>3</v>
      </c>
      <c r="W771" s="99">
        <f>VLOOKUP(V771,ターン数別攻撃係数!$A$1:$B$1000,2,FALSE)</f>
        <v>1</v>
      </c>
      <c r="X771" s="9">
        <f ca="1">VLOOKUP(C771,サイズ別係数!A$2:B$9,2,FALSE)</f>
        <v>30</v>
      </c>
      <c r="Y771" s="97">
        <f ca="1">VLOOKUP($X771,サイズ別係数!$B:$E,2,FALSE)</f>
        <v>1.3</v>
      </c>
      <c r="Z771" s="97">
        <f ca="1">VLOOKUP($X771,サイズ別係数!$B:$E,3,FALSE)</f>
        <v>1.3</v>
      </c>
      <c r="AA771" s="97">
        <f ca="1">VLOOKUP($X771,サイズ別係数!$B:$E,4,FALSE)</f>
        <v>1.1000000000000001</v>
      </c>
      <c r="AB771" s="10">
        <v>0</v>
      </c>
      <c r="AC771" s="6" t="str">
        <f ca="1">VLOOKUP($AB771,OFFSET([3]enemy_skill_sets!$B$2,0,0,COUNTA([3]enemy_skill_sets!$A:$A),MATCH(AC$1,[3]enemy_skill_sets!$1:$1,0)-MATCH($AB$1,[3]enemy_skill_sets!$1:$1,0)+1),MATCH(AC$1,[3]enemy_skill_sets!$1:$1,0)-MATCH($AB$1,[3]enemy_skill_sets!$1:$1,0)+1,FALSE)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1" s="67">
        <v>1</v>
      </c>
      <c r="AE771" s="67">
        <v>1</v>
      </c>
      <c r="AF771" s="68">
        <v>0</v>
      </c>
      <c r="AG771" s="99">
        <f ca="1">ROUND(VLOOKUP(1,enemy_base_stats!$A:$F,2,FALSE) * Y771* J771*O771*E771*S771*AD771*[2]ステータス!$B$2,0)</f>
        <v>3250</v>
      </c>
      <c r="AH771" s="99">
        <f ca="1">ROUND(VLOOKUP(1,enemy_base_stats!$A:$F,3,FALSE) * Z771*K771*P771*F771*T771*AE771 * W771*[2]ステータス!$C$2,0)</f>
        <v>284</v>
      </c>
      <c r="AI771" s="99">
        <f ca="1">ROUND(VLOOKUP(1,enemy_base_stats!$A:$F,4,FALSE) * AA771*L771*Q771*G771*U771*AF771*[2]ステータス!$D$2,0)</f>
        <v>0</v>
      </c>
      <c r="AJ771" s="99">
        <f ca="1">ROUND(VLOOKUP(100,enemy_base_stats!$A:$F,2,FALSE) * Y771* J771*O771*E771*S771*AD771*[2]ステータス!$B$2,0)</f>
        <v>131950</v>
      </c>
      <c r="AK771" s="99">
        <f ca="1">ROUND(VLOOKUP(100,enemy_base_stats!$A:$F,3,FALSE)* Z771* K771*P771*F771*T771*AE771 * W771*[2]ステータス!$C$2,0)</f>
        <v>11548</v>
      </c>
      <c r="AL771" s="99">
        <f ca="1">ROUND(VLOOKUP(100,enemy_base_stats!$A:$F,4,FALSE)* AA771* L771*Q771*G771*U771*AF771*[2]ステータス!$D$2,0)</f>
        <v>0</v>
      </c>
      <c r="AM771" s="97">
        <f ca="1">VLOOKUP(M771,[2]character_tribe_i18n!$A:$I,9,FALSE)</f>
        <v>480</v>
      </c>
      <c r="AN771" s="97">
        <v>0</v>
      </c>
      <c r="AO771" s="98">
        <v>0</v>
      </c>
      <c r="AP771" s="58" t="s">
        <v>72</v>
      </c>
      <c r="AQ771" s="34">
        <f t="shared" ca="1" si="44"/>
        <v>770</v>
      </c>
    </row>
    <row r="772" spans="1:43" ht="21" customHeight="1" x14ac:dyDescent="0.15">
      <c r="A772" s="7">
        <f t="shared" ca="1" si="45"/>
        <v>771</v>
      </c>
      <c r="B772" s="6" t="str">
        <f ca="1">VLOOKUP(A772,[2]characters!$A:$C,3,FALSE)</f>
        <v>天織羽鶴 ハヅル</v>
      </c>
      <c r="C772" s="9">
        <f ca="1">VLOOKUP(A772,[2]characters!$A:$I,9,FALSE)</f>
        <v>5</v>
      </c>
      <c r="D772" s="9" t="str">
        <f ca="1">VLOOKUP(A772,[2]characters!$A:$H,8,FALSE)</f>
        <v>red</v>
      </c>
      <c r="E772" s="97">
        <f ca="1">VLOOKUP(D772,[2]属性!$A:$E,2,FALSE)</f>
        <v>1</v>
      </c>
      <c r="F772" s="97">
        <f ca="1">VLOOKUP(D772,[2]属性!$A:$E,3,FALSE)</f>
        <v>1.02</v>
      </c>
      <c r="G772" s="97">
        <f ca="1">VLOOKUP(D772,[2]属性!$A:$F,4,FALSE)</f>
        <v>1</v>
      </c>
      <c r="H772" s="9" t="str">
        <f ca="1">VLOOKUP(A772,[2]characters!$A:$K,11,FALSE)</f>
        <v>balance</v>
      </c>
      <c r="I772" s="6" t="str">
        <f ca="1">VLOOKUP(H772,[2]character_type_i18n!$A:$F,3,FALSE)</f>
        <v>バランスタイプ</v>
      </c>
      <c r="J772" s="97">
        <f ca="1">VLOOKUP(H772,[2]character_type_i18n!$A:$F,4,FALSE)</f>
        <v>1</v>
      </c>
      <c r="K772" s="97">
        <f ca="1">VLOOKUP(H772,[2]character_type_i18n!$A:$F,5,FALSE)</f>
        <v>1</v>
      </c>
      <c r="L772" s="97">
        <f ca="1">VLOOKUP(H772,[2]character_type_i18n!$A:$F,6,FALSE)</f>
        <v>1</v>
      </c>
      <c r="M772" s="9" t="str">
        <f ca="1">VLOOKUP(A772,[2]characters!$A:$M,13,FALSE)</f>
        <v>animal</v>
      </c>
      <c r="N772" s="6" t="str">
        <f ca="1">VLOOKUP(M772,[2]character_tribe_i18n!$A:$F,3,FALSE)</f>
        <v>アニマル</v>
      </c>
      <c r="O772" s="97">
        <f ca="1">VLOOKUP(M772,[2]character_tribe_i18n!$A:$F,4,FALSE)</f>
        <v>1</v>
      </c>
      <c r="P772" s="97">
        <f ca="1">VLOOKUP(M772,[2]character_tribe_i18n!$A:$F,5,FALSE)</f>
        <v>1.1000000000000001</v>
      </c>
      <c r="Q772" s="97">
        <f ca="1">VLOOKUP(M772,[2]character_tribe_i18n!$A:$F,6,FALSE)</f>
        <v>1</v>
      </c>
      <c r="R772" s="98" t="s">
        <v>98</v>
      </c>
      <c r="S772" s="97">
        <f>VLOOKUP($R772,ラベル別係数!$A$1:$E$7,3,FALSE)</f>
        <v>5</v>
      </c>
      <c r="T772" s="97">
        <f>VLOOKUP($R772,ラベル別係数!$A$1:$E$7,4,FALSE)</f>
        <v>1.3</v>
      </c>
      <c r="U772" s="97">
        <f>VLOOKUP($R772,ラベル別係数!$A$1:$E$7,5,FALSE)</f>
        <v>0.8</v>
      </c>
      <c r="V772" s="98">
        <v>3</v>
      </c>
      <c r="W772" s="99">
        <f>VLOOKUP(V772,ターン数別攻撃係数!$A$1:$B$1000,2,FALSE)</f>
        <v>1</v>
      </c>
      <c r="X772" s="9">
        <f ca="1">VLOOKUP(C772,サイズ別係数!A$2:B$9,2,FALSE)</f>
        <v>60</v>
      </c>
      <c r="Y772" s="97">
        <f ca="1">VLOOKUP($X772,サイズ別係数!$B:$E,2,FALSE)</f>
        <v>1.7</v>
      </c>
      <c r="Z772" s="97">
        <f ca="1">VLOOKUP($X772,サイズ別係数!$B:$E,3,FALSE)</f>
        <v>1.4</v>
      </c>
      <c r="AA772" s="97">
        <f ca="1">VLOOKUP($X772,サイズ別係数!$B:$E,4,FALSE)</f>
        <v>1</v>
      </c>
      <c r="AB772" s="10">
        <v>0</v>
      </c>
      <c r="AC772" s="6" t="str">
        <f ca="1">VLOOKUP($AB772,OFFSET([3]enemy_skill_sets!$B$2,0,0,COUNTA([3]enemy_skill_sets!$A:$A),MATCH(AC$1,[3]enemy_skill_sets!$1:$1,0)-MATCH($AB$1,[3]enemy_skill_sets!$1:$1,0)+1),MATCH(AC$1,[3]enemy_skill_sets!$1:$1,0)-MATCH($AB$1,[3]enemy_skill_sets!$1:$1,0)+1,FALSE)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2" s="67">
        <v>1</v>
      </c>
      <c r="AE772" s="67">
        <v>1</v>
      </c>
      <c r="AF772" s="68">
        <v>0</v>
      </c>
      <c r="AG772" s="99">
        <f ca="1">ROUND(VLOOKUP(1,enemy_base_stats!$A:$F,2,FALSE) * Y772* J772*O772*E772*S772*AD772*[2]ステータス!$B$2,0)</f>
        <v>4250</v>
      </c>
      <c r="AH772" s="99">
        <f ca="1">ROUND(VLOOKUP(1,enemy_base_stats!$A:$F,3,FALSE) * Z772*K772*P772*F772*T772*AE772 * W772*[2]ステータス!$C$2,0)</f>
        <v>306</v>
      </c>
      <c r="AI772" s="99">
        <f ca="1">ROUND(VLOOKUP(1,enemy_base_stats!$A:$F,4,FALSE) * AA772*L772*Q772*G772*U772*AF772*[2]ステータス!$D$2,0)</f>
        <v>0</v>
      </c>
      <c r="AJ772" s="99">
        <f ca="1">ROUND(VLOOKUP(100,enemy_base_stats!$A:$F,2,FALSE) * Y772* J772*O772*E772*S772*AD772*[2]ステータス!$B$2,0)</f>
        <v>172550</v>
      </c>
      <c r="AK772" s="99">
        <f ca="1">ROUND(VLOOKUP(100,enemy_base_stats!$A:$F,3,FALSE)* Z772* K772*P772*F772*T772*AE772 * W772*[2]ステータス!$C$2,0)</f>
        <v>12436</v>
      </c>
      <c r="AL772" s="99">
        <f ca="1">ROUND(VLOOKUP(100,enemy_base_stats!$A:$F,4,FALSE)* AA772* L772*Q772*G772*U772*AF772*[2]ステータス!$D$2,0)</f>
        <v>0</v>
      </c>
      <c r="AM772" s="97">
        <f ca="1">VLOOKUP(M772,[2]character_tribe_i18n!$A:$I,9,FALSE)</f>
        <v>480</v>
      </c>
      <c r="AN772" s="97">
        <v>0</v>
      </c>
      <c r="AO772" s="98">
        <v>0</v>
      </c>
      <c r="AP772" s="58" t="s">
        <v>72</v>
      </c>
      <c r="AQ772" s="34">
        <f t="shared" ref="AQ772:AQ799" ca="1" si="46">A772</f>
        <v>771</v>
      </c>
    </row>
    <row r="773" spans="1:43" ht="21" customHeight="1" x14ac:dyDescent="0.15">
      <c r="A773" s="7">
        <f t="shared" ca="1" si="45"/>
        <v>772</v>
      </c>
      <c r="B773" s="6" t="str">
        <f ca="1">VLOOKUP(A773,[2]characters!$A:$C,3,FALSE)</f>
        <v>イナバ</v>
      </c>
      <c r="C773" s="9">
        <f ca="1">VLOOKUP(A773,[2]characters!$A:$I,9,FALSE)</f>
        <v>4</v>
      </c>
      <c r="D773" s="9" t="str">
        <f ca="1">VLOOKUP(A773,[2]characters!$A:$H,8,FALSE)</f>
        <v>green</v>
      </c>
      <c r="E773" s="97">
        <f ca="1">VLOOKUP(D773,[2]属性!$A:$E,2,FALSE)</f>
        <v>1.02</v>
      </c>
      <c r="F773" s="97">
        <f ca="1">VLOOKUP(D773,[2]属性!$A:$E,3,FALSE)</f>
        <v>0.98</v>
      </c>
      <c r="G773" s="97">
        <f ca="1">VLOOKUP(D773,[2]属性!$A:$F,4,FALSE)</f>
        <v>1</v>
      </c>
      <c r="H773" s="9" t="str">
        <f ca="1">VLOOKUP(A773,[2]characters!$A:$K,11,FALSE)</f>
        <v>balance</v>
      </c>
      <c r="I773" s="6" t="str">
        <f ca="1">VLOOKUP(H773,[2]character_type_i18n!$A:$F,3,FALSE)</f>
        <v>バランスタイプ</v>
      </c>
      <c r="J773" s="97">
        <f ca="1">VLOOKUP(H773,[2]character_type_i18n!$A:$F,4,FALSE)</f>
        <v>1</v>
      </c>
      <c r="K773" s="97">
        <f ca="1">VLOOKUP(H773,[2]character_type_i18n!$A:$F,5,FALSE)</f>
        <v>1</v>
      </c>
      <c r="L773" s="97">
        <f ca="1">VLOOKUP(H773,[2]character_type_i18n!$A:$F,6,FALSE)</f>
        <v>1</v>
      </c>
      <c r="M773" s="9" t="str">
        <f ca="1">VLOOKUP(A773,[2]characters!$A:$M,13,FALSE)</f>
        <v>animal</v>
      </c>
      <c r="N773" s="6" t="str">
        <f ca="1">VLOOKUP(M773,[2]character_tribe_i18n!$A:$F,3,FALSE)</f>
        <v>アニマル</v>
      </c>
      <c r="O773" s="97">
        <f ca="1">VLOOKUP(M773,[2]character_tribe_i18n!$A:$F,4,FALSE)</f>
        <v>1</v>
      </c>
      <c r="P773" s="97">
        <f ca="1">VLOOKUP(M773,[2]character_tribe_i18n!$A:$F,5,FALSE)</f>
        <v>1.1000000000000001</v>
      </c>
      <c r="Q773" s="97">
        <f ca="1">VLOOKUP(M773,[2]character_tribe_i18n!$A:$F,6,FALSE)</f>
        <v>1</v>
      </c>
      <c r="R773" s="98" t="s">
        <v>98</v>
      </c>
      <c r="S773" s="97">
        <f>VLOOKUP($R773,ラベル別係数!$A$1:$E$7,3,FALSE)</f>
        <v>5</v>
      </c>
      <c r="T773" s="97">
        <f>VLOOKUP($R773,ラベル別係数!$A$1:$E$7,4,FALSE)</f>
        <v>1.3</v>
      </c>
      <c r="U773" s="97">
        <f>VLOOKUP($R773,ラベル別係数!$A$1:$E$7,5,FALSE)</f>
        <v>0.8</v>
      </c>
      <c r="V773" s="98">
        <v>3</v>
      </c>
      <c r="W773" s="99">
        <f>VLOOKUP(V773,ターン数別攻撃係数!$A$1:$B$1000,2,FALSE)</f>
        <v>1</v>
      </c>
      <c r="X773" s="9">
        <f ca="1">VLOOKUP(C773,サイズ別係数!A$2:B$9,2,FALSE)</f>
        <v>30</v>
      </c>
      <c r="Y773" s="97">
        <f ca="1">VLOOKUP($X773,サイズ別係数!$B:$E,2,FALSE)</f>
        <v>1.3</v>
      </c>
      <c r="Z773" s="97">
        <f ca="1">VLOOKUP($X773,サイズ別係数!$B:$E,3,FALSE)</f>
        <v>1.3</v>
      </c>
      <c r="AA773" s="97">
        <f ca="1">VLOOKUP($X773,サイズ別係数!$B:$E,4,FALSE)</f>
        <v>1.1000000000000001</v>
      </c>
      <c r="AB773" s="10">
        <v>0</v>
      </c>
      <c r="AC773" s="6" t="str">
        <f ca="1">VLOOKUP($AB773,OFFSET([3]enemy_skill_sets!$B$2,0,0,COUNTA([3]enemy_skill_sets!$A:$A),MATCH(AC$1,[3]enemy_skill_sets!$1:$1,0)-MATCH($AB$1,[3]enemy_skill_sets!$1:$1,0)+1),MATCH(AC$1,[3]enemy_skill_sets!$1:$1,0)-MATCH($AB$1,[3]enemy_skill_sets!$1:$1,0)+1,FALSE)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3" s="67">
        <v>1</v>
      </c>
      <c r="AE773" s="67">
        <v>1</v>
      </c>
      <c r="AF773" s="68">
        <v>0</v>
      </c>
      <c r="AG773" s="99">
        <f ca="1">ROUND(VLOOKUP(1,enemy_base_stats!$A:$F,2,FALSE) * Y773* J773*O773*E773*S773*AD773*[2]ステータス!$B$2,0)</f>
        <v>3315</v>
      </c>
      <c r="AH773" s="99">
        <f ca="1">ROUND(VLOOKUP(1,enemy_base_stats!$A:$F,3,FALSE) * Z773*K773*P773*F773*T773*AE773 * W773*[2]ステータス!$C$2,0)</f>
        <v>273</v>
      </c>
      <c r="AI773" s="99">
        <f ca="1">ROUND(VLOOKUP(1,enemy_base_stats!$A:$F,4,FALSE) * AA773*L773*Q773*G773*U773*AF773*[2]ステータス!$D$2,0)</f>
        <v>0</v>
      </c>
      <c r="AJ773" s="99">
        <f ca="1">ROUND(VLOOKUP(100,enemy_base_stats!$A:$F,2,FALSE) * Y773* J773*O773*E773*S773*AD773*[2]ステータス!$B$2,0)</f>
        <v>134589</v>
      </c>
      <c r="AK773" s="99">
        <f ca="1">ROUND(VLOOKUP(100,enemy_base_stats!$A:$F,3,FALSE)* Z773* K773*P773*F773*T773*AE773 * W773*[2]ステータス!$C$2,0)</f>
        <v>11095</v>
      </c>
      <c r="AL773" s="99">
        <f ca="1">ROUND(VLOOKUP(100,enemy_base_stats!$A:$F,4,FALSE)* AA773* L773*Q773*G773*U773*AF773*[2]ステータス!$D$2,0)</f>
        <v>0</v>
      </c>
      <c r="AM773" s="97">
        <f ca="1">VLOOKUP(M773,[2]character_tribe_i18n!$A:$I,9,FALSE)</f>
        <v>480</v>
      </c>
      <c r="AN773" s="97">
        <v>0</v>
      </c>
      <c r="AO773" s="98">
        <v>0</v>
      </c>
      <c r="AP773" s="58" t="s">
        <v>72</v>
      </c>
      <c r="AQ773" s="34">
        <f t="shared" ca="1" si="46"/>
        <v>772</v>
      </c>
    </row>
    <row r="774" spans="1:43" ht="21" customHeight="1" x14ac:dyDescent="0.15">
      <c r="A774" s="7">
        <f t="shared" ca="1" si="45"/>
        <v>773</v>
      </c>
      <c r="B774" s="6" t="str">
        <f ca="1">VLOOKUP(A774,[2]characters!$A:$C,3,FALSE)</f>
        <v>浮跳天兎 イナバ</v>
      </c>
      <c r="C774" s="9">
        <f ca="1">VLOOKUP(A774,[2]characters!$A:$I,9,FALSE)</f>
        <v>5</v>
      </c>
      <c r="D774" s="9" t="str">
        <f ca="1">VLOOKUP(A774,[2]characters!$A:$H,8,FALSE)</f>
        <v>green</v>
      </c>
      <c r="E774" s="97">
        <f ca="1">VLOOKUP(D774,[2]属性!$A:$E,2,FALSE)</f>
        <v>1.02</v>
      </c>
      <c r="F774" s="97">
        <f ca="1">VLOOKUP(D774,[2]属性!$A:$E,3,FALSE)</f>
        <v>0.98</v>
      </c>
      <c r="G774" s="97">
        <f ca="1">VLOOKUP(D774,[2]属性!$A:$F,4,FALSE)</f>
        <v>1</v>
      </c>
      <c r="H774" s="9" t="str">
        <f ca="1">VLOOKUP(A774,[2]characters!$A:$K,11,FALSE)</f>
        <v>balance</v>
      </c>
      <c r="I774" s="6" t="str">
        <f ca="1">VLOOKUP(H774,[2]character_type_i18n!$A:$F,3,FALSE)</f>
        <v>バランスタイプ</v>
      </c>
      <c r="J774" s="97">
        <f ca="1">VLOOKUP(H774,[2]character_type_i18n!$A:$F,4,FALSE)</f>
        <v>1</v>
      </c>
      <c r="K774" s="97">
        <f ca="1">VLOOKUP(H774,[2]character_type_i18n!$A:$F,5,FALSE)</f>
        <v>1</v>
      </c>
      <c r="L774" s="97">
        <f ca="1">VLOOKUP(H774,[2]character_type_i18n!$A:$F,6,FALSE)</f>
        <v>1</v>
      </c>
      <c r="M774" s="9" t="str">
        <f ca="1">VLOOKUP(A774,[2]characters!$A:$M,13,FALSE)</f>
        <v>animal</v>
      </c>
      <c r="N774" s="6" t="str">
        <f ca="1">VLOOKUP(M774,[2]character_tribe_i18n!$A:$F,3,FALSE)</f>
        <v>アニマル</v>
      </c>
      <c r="O774" s="97">
        <f ca="1">VLOOKUP(M774,[2]character_tribe_i18n!$A:$F,4,FALSE)</f>
        <v>1</v>
      </c>
      <c r="P774" s="97">
        <f ca="1">VLOOKUP(M774,[2]character_tribe_i18n!$A:$F,5,FALSE)</f>
        <v>1.1000000000000001</v>
      </c>
      <c r="Q774" s="97">
        <f ca="1">VLOOKUP(M774,[2]character_tribe_i18n!$A:$F,6,FALSE)</f>
        <v>1</v>
      </c>
      <c r="R774" s="98" t="s">
        <v>98</v>
      </c>
      <c r="S774" s="97">
        <f>VLOOKUP($R774,ラベル別係数!$A$1:$E$7,3,FALSE)</f>
        <v>5</v>
      </c>
      <c r="T774" s="97">
        <f>VLOOKUP($R774,ラベル別係数!$A$1:$E$7,4,FALSE)</f>
        <v>1.3</v>
      </c>
      <c r="U774" s="97">
        <f>VLOOKUP($R774,ラベル別係数!$A$1:$E$7,5,FALSE)</f>
        <v>0.8</v>
      </c>
      <c r="V774" s="98">
        <v>3</v>
      </c>
      <c r="W774" s="99">
        <f>VLOOKUP(V774,ターン数別攻撃係数!$A$1:$B$1000,2,FALSE)</f>
        <v>1</v>
      </c>
      <c r="X774" s="9">
        <f ca="1">VLOOKUP(C774,サイズ別係数!A$2:B$9,2,FALSE)</f>
        <v>60</v>
      </c>
      <c r="Y774" s="97">
        <f ca="1">VLOOKUP($X774,サイズ別係数!$B:$E,2,FALSE)</f>
        <v>1.7</v>
      </c>
      <c r="Z774" s="97">
        <f ca="1">VLOOKUP($X774,サイズ別係数!$B:$E,3,FALSE)</f>
        <v>1.4</v>
      </c>
      <c r="AA774" s="97">
        <f ca="1">VLOOKUP($X774,サイズ別係数!$B:$E,4,FALSE)</f>
        <v>1</v>
      </c>
      <c r="AB774" s="10">
        <v>0</v>
      </c>
      <c r="AC774" s="6" t="str">
        <f ca="1">VLOOKUP($AB774,OFFSET([3]enemy_skill_sets!$B$2,0,0,COUNTA([3]enemy_skill_sets!$A:$A),MATCH(AC$1,[3]enemy_skill_sets!$1:$1,0)-MATCH($AB$1,[3]enemy_skill_sets!$1:$1,0)+1),MATCH(AC$1,[3]enemy_skill_sets!$1:$1,0)-MATCH($AB$1,[3]enemy_skill_sets!$1:$1,0)+1,FALSE)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4" s="67">
        <v>1</v>
      </c>
      <c r="AE774" s="67">
        <v>1</v>
      </c>
      <c r="AF774" s="68">
        <v>0</v>
      </c>
      <c r="AG774" s="99">
        <f ca="1">ROUND(VLOOKUP(1,enemy_base_stats!$A:$F,2,FALSE) * Y774* J774*O774*E774*S774*AD774*[2]ステータス!$B$2,0)</f>
        <v>4335</v>
      </c>
      <c r="AH774" s="99">
        <f ca="1">ROUND(VLOOKUP(1,enemy_base_stats!$A:$F,3,FALSE) * Z774*K774*P774*F774*T774*AE774 * W774*[2]ステータス!$C$2,0)</f>
        <v>294</v>
      </c>
      <c r="AI774" s="99">
        <f ca="1">ROUND(VLOOKUP(1,enemy_base_stats!$A:$F,4,FALSE) * AA774*L774*Q774*G774*U774*AF774*[2]ステータス!$D$2,0)</f>
        <v>0</v>
      </c>
      <c r="AJ774" s="99">
        <f ca="1">ROUND(VLOOKUP(100,enemy_base_stats!$A:$F,2,FALSE) * Y774* J774*O774*E774*S774*AD774*[2]ステータス!$B$2,0)</f>
        <v>176001</v>
      </c>
      <c r="AK774" s="99">
        <f ca="1">ROUND(VLOOKUP(100,enemy_base_stats!$A:$F,3,FALSE)* Z774* K774*P774*F774*T774*AE774 * W774*[2]ステータス!$C$2,0)</f>
        <v>11948</v>
      </c>
      <c r="AL774" s="99">
        <f ca="1">ROUND(VLOOKUP(100,enemy_base_stats!$A:$F,4,FALSE)* AA774* L774*Q774*G774*U774*AF774*[2]ステータス!$D$2,0)</f>
        <v>0</v>
      </c>
      <c r="AM774" s="97">
        <f ca="1">VLOOKUP(M774,[2]character_tribe_i18n!$A:$I,9,FALSE)</f>
        <v>480</v>
      </c>
      <c r="AN774" s="97">
        <v>0</v>
      </c>
      <c r="AO774" s="98">
        <v>0</v>
      </c>
      <c r="AP774" s="58" t="s">
        <v>72</v>
      </c>
      <c r="AQ774" s="34">
        <f t="shared" ca="1" si="46"/>
        <v>773</v>
      </c>
    </row>
    <row r="775" spans="1:43" ht="21" customHeight="1" x14ac:dyDescent="0.15">
      <c r="A775" s="7">
        <f t="shared" ca="1" si="45"/>
        <v>774</v>
      </c>
      <c r="B775" s="6" t="str">
        <f ca="1">VLOOKUP(A775,[2]characters!$A:$C,3,FALSE)</f>
        <v>ミズチ</v>
      </c>
      <c r="C775" s="9">
        <f ca="1">VLOOKUP(A775,[2]characters!$A:$I,9,FALSE)</f>
        <v>3</v>
      </c>
      <c r="D775" s="9" t="str">
        <f ca="1">VLOOKUP(A775,[2]characters!$A:$H,8,FALSE)</f>
        <v>blue</v>
      </c>
      <c r="E775" s="97">
        <f ca="1">VLOOKUP(D775,[2]属性!$A:$E,2,FALSE)</f>
        <v>1</v>
      </c>
      <c r="F775" s="97">
        <f ca="1">VLOOKUP(D775,[2]属性!$A:$E,3,FALSE)</f>
        <v>0.98</v>
      </c>
      <c r="G775" s="97">
        <f ca="1">VLOOKUP(D775,[2]属性!$A:$F,4,FALSE)</f>
        <v>1</v>
      </c>
      <c r="H775" s="9" t="str">
        <f ca="1">VLOOKUP(A775,[2]characters!$A:$K,11,FALSE)</f>
        <v>heal</v>
      </c>
      <c r="I775" s="6" t="str">
        <f ca="1">VLOOKUP(H775,[2]character_type_i18n!$A:$F,3,FALSE)</f>
        <v>回復タイプ</v>
      </c>
      <c r="J775" s="97">
        <f ca="1">VLOOKUP(H775,[2]character_type_i18n!$A:$F,4,FALSE)</f>
        <v>0.8</v>
      </c>
      <c r="K775" s="97">
        <f ca="1">VLOOKUP(H775,[2]character_type_i18n!$A:$F,5,FALSE)</f>
        <v>0.78</v>
      </c>
      <c r="L775" s="97">
        <f ca="1">VLOOKUP(H775,[2]character_type_i18n!$A:$F,6,FALSE)</f>
        <v>1</v>
      </c>
      <c r="M775" s="9" t="str">
        <f ca="1">VLOOKUP(A775,[2]characters!$A:$M,13,FALSE)</f>
        <v>dragon</v>
      </c>
      <c r="N775" s="6" t="str">
        <f ca="1">VLOOKUP(M775,[2]character_tribe_i18n!$A:$F,3,FALSE)</f>
        <v>ドラゴン</v>
      </c>
      <c r="O775" s="97">
        <f ca="1">VLOOKUP(M775,[2]character_tribe_i18n!$A:$F,4,FALSE)</f>
        <v>1.1499999999999999</v>
      </c>
      <c r="P775" s="97">
        <f ca="1">VLOOKUP(M775,[2]character_tribe_i18n!$A:$F,5,FALSE)</f>
        <v>1.1000000000000001</v>
      </c>
      <c r="Q775" s="97">
        <f ca="1">VLOOKUP(M775,[2]character_tribe_i18n!$A:$F,6,FALSE)</f>
        <v>1</v>
      </c>
      <c r="R775" s="98" t="s">
        <v>98</v>
      </c>
      <c r="S775" s="97">
        <f>VLOOKUP($R775,ラベル別係数!$A$1:$E$7,3,FALSE)</f>
        <v>5</v>
      </c>
      <c r="T775" s="97">
        <f>VLOOKUP($R775,ラベル別係数!$A$1:$E$7,4,FALSE)</f>
        <v>1.3</v>
      </c>
      <c r="U775" s="97">
        <f>VLOOKUP($R775,ラベル別係数!$A$1:$E$7,5,FALSE)</f>
        <v>0.8</v>
      </c>
      <c r="V775" s="98">
        <v>3</v>
      </c>
      <c r="W775" s="99">
        <f>VLOOKUP(V775,ターン数別攻撃係数!$A$1:$B$1000,2,FALSE)</f>
        <v>1</v>
      </c>
      <c r="X775" s="9">
        <f ca="1">VLOOKUP(C775,サイズ別係数!A$2:B$9,2,FALSE)</f>
        <v>25</v>
      </c>
      <c r="Y775" s="97">
        <f ca="1">VLOOKUP($X775,サイズ別係数!$B:$E,2,FALSE)</f>
        <v>1.2</v>
      </c>
      <c r="Z775" s="97">
        <f ca="1">VLOOKUP($X775,サイズ別係数!$B:$E,3,FALSE)</f>
        <v>1.25</v>
      </c>
      <c r="AA775" s="97">
        <f ca="1">VLOOKUP($X775,サイズ別係数!$B:$E,4,FALSE)</f>
        <v>1.1499999999999999</v>
      </c>
      <c r="AB775" s="10">
        <v>0</v>
      </c>
      <c r="AC775" s="6" t="str">
        <f ca="1">VLOOKUP($AB775,OFFSET([3]enemy_skill_sets!$B$2,0,0,COUNTA([3]enemy_skill_sets!$A:$A),MATCH(AC$1,[3]enemy_skill_sets!$1:$1,0)-MATCH($AB$1,[3]enemy_skill_sets!$1:$1,0)+1),MATCH(AC$1,[3]enemy_skill_sets!$1:$1,0)-MATCH($AB$1,[3]enemy_skill_sets!$1:$1,0)+1,FALSE)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5" s="67">
        <v>1</v>
      </c>
      <c r="AE775" s="67">
        <v>1</v>
      </c>
      <c r="AF775" s="68">
        <v>0</v>
      </c>
      <c r="AG775" s="99">
        <f ca="1">ROUND(VLOOKUP(1,enemy_base_stats!$A:$F,2,FALSE) * Y775* J775*O775*E775*S775*AD775*[2]ステータス!$B$2,0)</f>
        <v>2760</v>
      </c>
      <c r="AH775" s="99">
        <f ca="1">ROUND(VLOOKUP(1,enemy_base_stats!$A:$F,3,FALSE) * Z775*K775*P775*F775*T775*AE775 * W775*[2]ステータス!$C$2,0)</f>
        <v>205</v>
      </c>
      <c r="AI775" s="99">
        <f ca="1">ROUND(VLOOKUP(1,enemy_base_stats!$A:$F,4,FALSE) * AA775*L775*Q775*G775*U775*AF775*[2]ステータス!$D$2,0)</f>
        <v>0</v>
      </c>
      <c r="AJ775" s="99">
        <f ca="1">ROUND(VLOOKUP(100,enemy_base_stats!$A:$F,2,FALSE) * Y775* J775*O775*E775*S775*AD775*[2]ステータス!$B$2,0)</f>
        <v>112056</v>
      </c>
      <c r="AK775" s="99">
        <f ca="1">ROUND(VLOOKUP(100,enemy_base_stats!$A:$F,3,FALSE)* Z775* K775*P775*F775*T775*AE775 * W775*[2]ステータス!$C$2,0)</f>
        <v>8321</v>
      </c>
      <c r="AL775" s="99">
        <f ca="1">ROUND(VLOOKUP(100,enemy_base_stats!$A:$F,4,FALSE)* AA775* L775*Q775*G775*U775*AF775*[2]ステータス!$D$2,0)</f>
        <v>0</v>
      </c>
      <c r="AM775" s="97">
        <f ca="1">VLOOKUP(M775,[2]character_tribe_i18n!$A:$I,9,FALSE)</f>
        <v>540</v>
      </c>
      <c r="AN775" s="97">
        <v>0</v>
      </c>
      <c r="AO775" s="98">
        <v>0</v>
      </c>
      <c r="AP775" s="58" t="s">
        <v>72</v>
      </c>
      <c r="AQ775" s="34">
        <f t="shared" ca="1" si="46"/>
        <v>774</v>
      </c>
    </row>
    <row r="776" spans="1:43" ht="21" customHeight="1" x14ac:dyDescent="0.15">
      <c r="A776" s="7">
        <f t="shared" ca="1" si="45"/>
        <v>775</v>
      </c>
      <c r="B776" s="6" t="str">
        <f ca="1">VLOOKUP(A776,[2]characters!$A:$C,3,FALSE)</f>
        <v>水底霊竜 ミズチ</v>
      </c>
      <c r="C776" s="9">
        <f ca="1">VLOOKUP(A776,[2]characters!$A:$I,9,FALSE)</f>
        <v>4</v>
      </c>
      <c r="D776" s="9" t="str">
        <f ca="1">VLOOKUP(A776,[2]characters!$A:$H,8,FALSE)</f>
        <v>blue</v>
      </c>
      <c r="E776" s="97">
        <f ca="1">VLOOKUP(D776,[2]属性!$A:$E,2,FALSE)</f>
        <v>1</v>
      </c>
      <c r="F776" s="97">
        <f ca="1">VLOOKUP(D776,[2]属性!$A:$E,3,FALSE)</f>
        <v>0.98</v>
      </c>
      <c r="G776" s="97">
        <f ca="1">VLOOKUP(D776,[2]属性!$A:$F,4,FALSE)</f>
        <v>1</v>
      </c>
      <c r="H776" s="9" t="str">
        <f ca="1">VLOOKUP(A776,[2]characters!$A:$K,11,FALSE)</f>
        <v>heal</v>
      </c>
      <c r="I776" s="6" t="str">
        <f ca="1">VLOOKUP(H776,[2]character_type_i18n!$A:$F,3,FALSE)</f>
        <v>回復タイプ</v>
      </c>
      <c r="J776" s="97">
        <f ca="1">VLOOKUP(H776,[2]character_type_i18n!$A:$F,4,FALSE)</f>
        <v>0.8</v>
      </c>
      <c r="K776" s="97">
        <f ca="1">VLOOKUP(H776,[2]character_type_i18n!$A:$F,5,FALSE)</f>
        <v>0.78</v>
      </c>
      <c r="L776" s="97">
        <f ca="1">VLOOKUP(H776,[2]character_type_i18n!$A:$F,6,FALSE)</f>
        <v>1</v>
      </c>
      <c r="M776" s="9" t="str">
        <f ca="1">VLOOKUP(A776,[2]characters!$A:$M,13,FALSE)</f>
        <v>dragon</v>
      </c>
      <c r="N776" s="6" t="str">
        <f ca="1">VLOOKUP(M776,[2]character_tribe_i18n!$A:$F,3,FALSE)</f>
        <v>ドラゴン</v>
      </c>
      <c r="O776" s="97">
        <f ca="1">VLOOKUP(M776,[2]character_tribe_i18n!$A:$F,4,FALSE)</f>
        <v>1.1499999999999999</v>
      </c>
      <c r="P776" s="97">
        <f ca="1">VLOOKUP(M776,[2]character_tribe_i18n!$A:$F,5,FALSE)</f>
        <v>1.1000000000000001</v>
      </c>
      <c r="Q776" s="97">
        <f ca="1">VLOOKUP(M776,[2]character_tribe_i18n!$A:$F,6,FALSE)</f>
        <v>1</v>
      </c>
      <c r="R776" s="98" t="s">
        <v>98</v>
      </c>
      <c r="S776" s="97">
        <f>VLOOKUP($R776,ラベル別係数!$A$1:$E$7,3,FALSE)</f>
        <v>5</v>
      </c>
      <c r="T776" s="97">
        <f>VLOOKUP($R776,ラベル別係数!$A$1:$E$7,4,FALSE)</f>
        <v>1.3</v>
      </c>
      <c r="U776" s="97">
        <f>VLOOKUP($R776,ラベル別係数!$A$1:$E$7,5,FALSE)</f>
        <v>0.8</v>
      </c>
      <c r="V776" s="98">
        <v>3</v>
      </c>
      <c r="W776" s="99">
        <f>VLOOKUP(V776,ターン数別攻撃係数!$A$1:$B$1000,2,FALSE)</f>
        <v>1</v>
      </c>
      <c r="X776" s="9">
        <f ca="1">VLOOKUP(C776,サイズ別係数!A$2:B$9,2,FALSE)</f>
        <v>30</v>
      </c>
      <c r="Y776" s="97">
        <f ca="1">VLOOKUP($X776,サイズ別係数!$B:$E,2,FALSE)</f>
        <v>1.3</v>
      </c>
      <c r="Z776" s="97">
        <f ca="1">VLOOKUP($X776,サイズ別係数!$B:$E,3,FALSE)</f>
        <v>1.3</v>
      </c>
      <c r="AA776" s="97">
        <f ca="1">VLOOKUP($X776,サイズ別係数!$B:$E,4,FALSE)</f>
        <v>1.1000000000000001</v>
      </c>
      <c r="AB776" s="10">
        <v>0</v>
      </c>
      <c r="AC776" s="6" t="str">
        <f ca="1">VLOOKUP($AB776,OFFSET([3]enemy_skill_sets!$B$2,0,0,COUNTA([3]enemy_skill_sets!$A:$A),MATCH(AC$1,[3]enemy_skill_sets!$1:$1,0)-MATCH($AB$1,[3]enemy_skill_sets!$1:$1,0)+1),MATCH(AC$1,[3]enemy_skill_sets!$1:$1,0)-MATCH($AB$1,[3]enemy_skill_sets!$1:$1,0)+1,FALSE)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6" s="67">
        <v>1</v>
      </c>
      <c r="AE776" s="67">
        <v>1</v>
      </c>
      <c r="AF776" s="68">
        <v>0</v>
      </c>
      <c r="AG776" s="99">
        <f ca="1">ROUND(VLOOKUP(1,enemy_base_stats!$A:$F,2,FALSE) * Y776* J776*O776*E776*S776*AD776*[2]ステータス!$B$2,0)</f>
        <v>2990</v>
      </c>
      <c r="AH776" s="99">
        <f ca="1">ROUND(VLOOKUP(1,enemy_base_stats!$A:$F,3,FALSE) * Z776*K776*P776*F776*T776*AE776 * W776*[2]ステータス!$C$2,0)</f>
        <v>213</v>
      </c>
      <c r="AI776" s="99">
        <f ca="1">ROUND(VLOOKUP(1,enemy_base_stats!$A:$F,4,FALSE) * AA776*L776*Q776*G776*U776*AF776*[2]ステータス!$D$2,0)</f>
        <v>0</v>
      </c>
      <c r="AJ776" s="99">
        <f ca="1">ROUND(VLOOKUP(100,enemy_base_stats!$A:$F,2,FALSE) * Y776* J776*O776*E776*S776*AD776*[2]ステータス!$B$2,0)</f>
        <v>121394</v>
      </c>
      <c r="AK776" s="99">
        <f ca="1">ROUND(VLOOKUP(100,enemy_base_stats!$A:$F,3,FALSE)* Z776* K776*P776*F776*T776*AE776 * W776*[2]ステータス!$C$2,0)</f>
        <v>8654</v>
      </c>
      <c r="AL776" s="99">
        <f ca="1">ROUND(VLOOKUP(100,enemy_base_stats!$A:$F,4,FALSE)* AA776* L776*Q776*G776*U776*AF776*[2]ステータス!$D$2,0)</f>
        <v>0</v>
      </c>
      <c r="AM776" s="97">
        <f ca="1">VLOOKUP(M776,[2]character_tribe_i18n!$A:$I,9,FALSE)</f>
        <v>540</v>
      </c>
      <c r="AN776" s="97">
        <v>0</v>
      </c>
      <c r="AO776" s="98">
        <v>0</v>
      </c>
      <c r="AP776" s="58" t="s">
        <v>72</v>
      </c>
      <c r="AQ776" s="34">
        <f t="shared" ca="1" si="46"/>
        <v>775</v>
      </c>
    </row>
    <row r="777" spans="1:43" ht="21" customHeight="1" x14ac:dyDescent="0.15">
      <c r="A777" s="7">
        <f t="shared" ca="1" si="45"/>
        <v>776</v>
      </c>
      <c r="B777" s="6" t="str">
        <f ca="1">VLOOKUP(A777,[2]characters!$A:$C,3,FALSE)</f>
        <v>水竜底主 ミズチ</v>
      </c>
      <c r="C777" s="9">
        <f ca="1">VLOOKUP(A777,[2]characters!$A:$I,9,FALSE)</f>
        <v>5</v>
      </c>
      <c r="D777" s="9" t="str">
        <f ca="1">VLOOKUP(A777,[2]characters!$A:$H,8,FALSE)</f>
        <v>blue</v>
      </c>
      <c r="E777" s="97">
        <f ca="1">VLOOKUP(D777,[2]属性!$A:$E,2,FALSE)</f>
        <v>1</v>
      </c>
      <c r="F777" s="97">
        <f ca="1">VLOOKUP(D777,[2]属性!$A:$E,3,FALSE)</f>
        <v>0.98</v>
      </c>
      <c r="G777" s="97">
        <f ca="1">VLOOKUP(D777,[2]属性!$A:$F,4,FALSE)</f>
        <v>1</v>
      </c>
      <c r="H777" s="9" t="str">
        <f ca="1">VLOOKUP(A777,[2]characters!$A:$K,11,FALSE)</f>
        <v>heal</v>
      </c>
      <c r="I777" s="6" t="str">
        <f ca="1">VLOOKUP(H777,[2]character_type_i18n!$A:$F,3,FALSE)</f>
        <v>回復タイプ</v>
      </c>
      <c r="J777" s="97">
        <f ca="1">VLOOKUP(H777,[2]character_type_i18n!$A:$F,4,FALSE)</f>
        <v>0.8</v>
      </c>
      <c r="K777" s="97">
        <f ca="1">VLOOKUP(H777,[2]character_type_i18n!$A:$F,5,FALSE)</f>
        <v>0.78</v>
      </c>
      <c r="L777" s="97">
        <f ca="1">VLOOKUP(H777,[2]character_type_i18n!$A:$F,6,FALSE)</f>
        <v>1</v>
      </c>
      <c r="M777" s="9" t="str">
        <f ca="1">VLOOKUP(A777,[2]characters!$A:$M,13,FALSE)</f>
        <v>dragon</v>
      </c>
      <c r="N777" s="6" t="str">
        <f ca="1">VLOOKUP(M777,[2]character_tribe_i18n!$A:$F,3,FALSE)</f>
        <v>ドラゴン</v>
      </c>
      <c r="O777" s="97">
        <f ca="1">VLOOKUP(M777,[2]character_tribe_i18n!$A:$F,4,FALSE)</f>
        <v>1.1499999999999999</v>
      </c>
      <c r="P777" s="97">
        <f ca="1">VLOOKUP(M777,[2]character_tribe_i18n!$A:$F,5,FALSE)</f>
        <v>1.1000000000000001</v>
      </c>
      <c r="Q777" s="97">
        <f ca="1">VLOOKUP(M777,[2]character_tribe_i18n!$A:$F,6,FALSE)</f>
        <v>1</v>
      </c>
      <c r="R777" s="98" t="s">
        <v>98</v>
      </c>
      <c r="S777" s="97">
        <f>VLOOKUP($R777,ラベル別係数!$A$1:$E$7,3,FALSE)</f>
        <v>5</v>
      </c>
      <c r="T777" s="97">
        <f>VLOOKUP($R777,ラベル別係数!$A$1:$E$7,4,FALSE)</f>
        <v>1.3</v>
      </c>
      <c r="U777" s="97">
        <f>VLOOKUP($R777,ラベル別係数!$A$1:$E$7,5,FALSE)</f>
        <v>0.8</v>
      </c>
      <c r="V777" s="98">
        <v>3</v>
      </c>
      <c r="W777" s="99">
        <f>VLOOKUP(V777,ターン数別攻撃係数!$A$1:$B$1000,2,FALSE)</f>
        <v>1</v>
      </c>
      <c r="X777" s="9">
        <f ca="1">VLOOKUP(C777,サイズ別係数!A$2:B$9,2,FALSE)</f>
        <v>60</v>
      </c>
      <c r="Y777" s="97">
        <f ca="1">VLOOKUP($X777,サイズ別係数!$B:$E,2,FALSE)</f>
        <v>1.7</v>
      </c>
      <c r="Z777" s="97">
        <f ca="1">VLOOKUP($X777,サイズ別係数!$B:$E,3,FALSE)</f>
        <v>1.4</v>
      </c>
      <c r="AA777" s="97">
        <f ca="1">VLOOKUP($X777,サイズ別係数!$B:$E,4,FALSE)</f>
        <v>1</v>
      </c>
      <c r="AB777" s="10">
        <v>0</v>
      </c>
      <c r="AC777" s="6" t="str">
        <f ca="1">VLOOKUP($AB777,OFFSET([3]enemy_skill_sets!$B$2,0,0,COUNTA([3]enemy_skill_sets!$A:$A),MATCH(AC$1,[3]enemy_skill_sets!$1:$1,0)-MATCH($AB$1,[3]enemy_skill_sets!$1:$1,0)+1),MATCH(AC$1,[3]enemy_skill_sets!$1:$1,0)-MATCH($AB$1,[3]enemy_skill_sets!$1:$1,0)+1,FALSE)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7" s="67">
        <v>1</v>
      </c>
      <c r="AE777" s="67">
        <v>1</v>
      </c>
      <c r="AF777" s="68">
        <v>0</v>
      </c>
      <c r="AG777" s="99">
        <f ca="1">ROUND(VLOOKUP(1,enemy_base_stats!$A:$F,2,FALSE) * Y777* J777*O777*E777*S777*AD777*[2]ステータス!$B$2,0)</f>
        <v>3910</v>
      </c>
      <c r="AH777" s="99">
        <f ca="1">ROUND(VLOOKUP(1,enemy_base_stats!$A:$F,3,FALSE) * Z777*K777*P777*F777*T777*AE777 * W777*[2]ステータス!$C$2,0)</f>
        <v>230</v>
      </c>
      <c r="AI777" s="99">
        <f ca="1">ROUND(VLOOKUP(1,enemy_base_stats!$A:$F,4,FALSE) * AA777*L777*Q777*G777*U777*AF777*[2]ステータス!$D$2,0)</f>
        <v>0</v>
      </c>
      <c r="AJ777" s="99">
        <f ca="1">ROUND(VLOOKUP(100,enemy_base_stats!$A:$F,2,FALSE) * Y777* J777*O777*E777*S777*AD777*[2]ステータス!$B$2,0)</f>
        <v>158746</v>
      </c>
      <c r="AK777" s="99">
        <f ca="1">ROUND(VLOOKUP(100,enemy_base_stats!$A:$F,3,FALSE)* Z777* K777*P777*F777*T777*AE777 * W777*[2]ステータス!$C$2,0)</f>
        <v>9320</v>
      </c>
      <c r="AL777" s="99">
        <f ca="1">ROUND(VLOOKUP(100,enemy_base_stats!$A:$F,4,FALSE)* AA777* L777*Q777*G777*U777*AF777*[2]ステータス!$D$2,0)</f>
        <v>0</v>
      </c>
      <c r="AM777" s="97">
        <f ca="1">VLOOKUP(M777,[2]character_tribe_i18n!$A:$I,9,FALSE)</f>
        <v>540</v>
      </c>
      <c r="AN777" s="97">
        <v>0</v>
      </c>
      <c r="AO777" s="98">
        <v>0</v>
      </c>
      <c r="AP777" s="58" t="s">
        <v>72</v>
      </c>
      <c r="AQ777" s="34">
        <f t="shared" ca="1" si="46"/>
        <v>776</v>
      </c>
    </row>
    <row r="778" spans="1:43" ht="21" customHeight="1" x14ac:dyDescent="0.15">
      <c r="A778" s="7">
        <f t="shared" ca="1" si="45"/>
        <v>777</v>
      </c>
      <c r="B778" s="6" t="str">
        <f ca="1">VLOOKUP(A778,[2]characters!$A:$C,3,FALSE)</f>
        <v>ガメック</v>
      </c>
      <c r="C778" s="9">
        <f ca="1">VLOOKUP(A778,[2]characters!$A:$I,9,FALSE)</f>
        <v>3</v>
      </c>
      <c r="D778" s="9" t="str">
        <f ca="1">VLOOKUP(A778,[2]characters!$A:$H,8,FALSE)</f>
        <v>yellow</v>
      </c>
      <c r="E778" s="97">
        <f ca="1">VLOOKUP(D778,[2]属性!$A:$E,2,FALSE)</f>
        <v>0.98</v>
      </c>
      <c r="F778" s="97">
        <f ca="1">VLOOKUP(D778,[2]属性!$A:$E,3,FALSE)</f>
        <v>1.01</v>
      </c>
      <c r="G778" s="97">
        <f ca="1">VLOOKUP(D778,[2]属性!$A:$F,4,FALSE)</f>
        <v>1</v>
      </c>
      <c r="H778" s="9" t="str">
        <f ca="1">VLOOKUP(A778,[2]characters!$A:$K,11,FALSE)</f>
        <v>hp</v>
      </c>
      <c r="I778" s="6" t="str">
        <f ca="1">VLOOKUP(H778,[2]character_type_i18n!$A:$F,3,FALSE)</f>
        <v>体力タイプ</v>
      </c>
      <c r="J778" s="97">
        <f ca="1">VLOOKUP(H778,[2]character_type_i18n!$A:$F,4,FALSE)</f>
        <v>1.45</v>
      </c>
      <c r="K778" s="97">
        <f ca="1">VLOOKUP(H778,[2]character_type_i18n!$A:$F,5,FALSE)</f>
        <v>0.85</v>
      </c>
      <c r="L778" s="97">
        <f ca="1">VLOOKUP(H778,[2]character_type_i18n!$A:$F,6,FALSE)</f>
        <v>1</v>
      </c>
      <c r="M778" s="9" t="str">
        <f ca="1">VLOOKUP(A778,[2]characters!$A:$M,13,FALSE)</f>
        <v>animal</v>
      </c>
      <c r="N778" s="6" t="str">
        <f ca="1">VLOOKUP(M778,[2]character_tribe_i18n!$A:$F,3,FALSE)</f>
        <v>アニマル</v>
      </c>
      <c r="O778" s="97">
        <f ca="1">VLOOKUP(M778,[2]character_tribe_i18n!$A:$F,4,FALSE)</f>
        <v>1</v>
      </c>
      <c r="P778" s="97">
        <f ca="1">VLOOKUP(M778,[2]character_tribe_i18n!$A:$F,5,FALSE)</f>
        <v>1.1000000000000001</v>
      </c>
      <c r="Q778" s="97">
        <f ca="1">VLOOKUP(M778,[2]character_tribe_i18n!$A:$F,6,FALSE)</f>
        <v>1</v>
      </c>
      <c r="R778" s="98" t="s">
        <v>98</v>
      </c>
      <c r="S778" s="97">
        <f>VLOOKUP($R778,ラベル別係数!$A$1:$E$7,3,FALSE)</f>
        <v>5</v>
      </c>
      <c r="T778" s="97">
        <f>VLOOKUP($R778,ラベル別係数!$A$1:$E$7,4,FALSE)</f>
        <v>1.3</v>
      </c>
      <c r="U778" s="97">
        <f>VLOOKUP($R778,ラベル別係数!$A$1:$E$7,5,FALSE)</f>
        <v>0.8</v>
      </c>
      <c r="V778" s="98">
        <v>3</v>
      </c>
      <c r="W778" s="99">
        <f>VLOOKUP(V778,ターン数別攻撃係数!$A$1:$B$1000,2,FALSE)</f>
        <v>1</v>
      </c>
      <c r="X778" s="9">
        <f ca="1">VLOOKUP(C778,サイズ別係数!A$2:B$9,2,FALSE)</f>
        <v>25</v>
      </c>
      <c r="Y778" s="97">
        <f ca="1">VLOOKUP($X778,サイズ別係数!$B:$E,2,FALSE)</f>
        <v>1.2</v>
      </c>
      <c r="Z778" s="97">
        <f ca="1">VLOOKUP($X778,サイズ別係数!$B:$E,3,FALSE)</f>
        <v>1.25</v>
      </c>
      <c r="AA778" s="97">
        <f ca="1">VLOOKUP($X778,サイズ別係数!$B:$E,4,FALSE)</f>
        <v>1.1499999999999999</v>
      </c>
      <c r="AB778" s="10">
        <v>0</v>
      </c>
      <c r="AC778" s="6" t="str">
        <f ca="1">VLOOKUP($AB778,OFFSET([3]enemy_skill_sets!$B$2,0,0,COUNTA([3]enemy_skill_sets!$A:$A),MATCH(AC$1,[3]enemy_skill_sets!$1:$1,0)-MATCH($AB$1,[3]enemy_skill_sets!$1:$1,0)+1),MATCH(AC$1,[3]enemy_skill_sets!$1:$1,0)-MATCH($AB$1,[3]enemy_skill_sets!$1:$1,0)+1,FALSE)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8" s="67">
        <v>1</v>
      </c>
      <c r="AE778" s="67">
        <v>1</v>
      </c>
      <c r="AF778" s="68">
        <v>0</v>
      </c>
      <c r="AG778" s="99">
        <f ca="1">ROUND(VLOOKUP(1,enemy_base_stats!$A:$F,2,FALSE) * Y778* J778*O778*E778*S778*AD778*[2]ステータス!$B$2,0)</f>
        <v>4263</v>
      </c>
      <c r="AH778" s="99">
        <f ca="1">ROUND(VLOOKUP(1,enemy_base_stats!$A:$F,3,FALSE) * Z778*K778*P778*F778*T778*AE778 * W778*[2]ステータス!$C$2,0)</f>
        <v>230</v>
      </c>
      <c r="AI778" s="99">
        <f ca="1">ROUND(VLOOKUP(1,enemy_base_stats!$A:$F,4,FALSE) * AA778*L778*Q778*G778*U778*AF778*[2]ステータス!$D$2,0)</f>
        <v>0</v>
      </c>
      <c r="AJ778" s="99">
        <f ca="1">ROUND(VLOOKUP(100,enemy_base_stats!$A:$F,2,FALSE) * Y778* J778*O778*E778*S778*AD778*[2]ステータス!$B$2,0)</f>
        <v>173078</v>
      </c>
      <c r="AK778" s="99">
        <f ca="1">ROUND(VLOOKUP(100,enemy_base_stats!$A:$F,3,FALSE)* Z778* K778*P778*F778*T778*AE778 * W778*[2]ステータス!$C$2,0)</f>
        <v>9346</v>
      </c>
      <c r="AL778" s="99">
        <f ca="1">ROUND(VLOOKUP(100,enemy_base_stats!$A:$F,4,FALSE)* AA778* L778*Q778*G778*U778*AF778*[2]ステータス!$D$2,0)</f>
        <v>0</v>
      </c>
      <c r="AM778" s="97">
        <f ca="1">VLOOKUP(M778,[2]character_tribe_i18n!$A:$I,9,FALSE)</f>
        <v>480</v>
      </c>
      <c r="AN778" s="97">
        <v>0</v>
      </c>
      <c r="AO778" s="98">
        <v>0</v>
      </c>
      <c r="AP778" s="58" t="s">
        <v>72</v>
      </c>
      <c r="AQ778" s="34">
        <f t="shared" ca="1" si="46"/>
        <v>777</v>
      </c>
    </row>
    <row r="779" spans="1:43" ht="21" customHeight="1" x14ac:dyDescent="0.15">
      <c r="A779" s="7">
        <f t="shared" ca="1" si="45"/>
        <v>778</v>
      </c>
      <c r="B779" s="6" t="str">
        <f ca="1">VLOOKUP(A779,[2]characters!$A:$C,3,FALSE)</f>
        <v>一亀懸明 ガメック</v>
      </c>
      <c r="C779" s="9">
        <f ca="1">VLOOKUP(A779,[2]characters!$A:$I,9,FALSE)</f>
        <v>4</v>
      </c>
      <c r="D779" s="9" t="str">
        <f ca="1">VLOOKUP(A779,[2]characters!$A:$H,8,FALSE)</f>
        <v>yellow</v>
      </c>
      <c r="E779" s="97">
        <f ca="1">VLOOKUP(D779,[2]属性!$A:$E,2,FALSE)</f>
        <v>0.98</v>
      </c>
      <c r="F779" s="97">
        <f ca="1">VLOOKUP(D779,[2]属性!$A:$E,3,FALSE)</f>
        <v>1.01</v>
      </c>
      <c r="G779" s="97">
        <f ca="1">VLOOKUP(D779,[2]属性!$A:$F,4,FALSE)</f>
        <v>1</v>
      </c>
      <c r="H779" s="9" t="str">
        <f ca="1">VLOOKUP(A779,[2]characters!$A:$K,11,FALSE)</f>
        <v>hp</v>
      </c>
      <c r="I779" s="6" t="str">
        <f ca="1">VLOOKUP(H779,[2]character_type_i18n!$A:$F,3,FALSE)</f>
        <v>体力タイプ</v>
      </c>
      <c r="J779" s="97">
        <f ca="1">VLOOKUP(H779,[2]character_type_i18n!$A:$F,4,FALSE)</f>
        <v>1.45</v>
      </c>
      <c r="K779" s="97">
        <f ca="1">VLOOKUP(H779,[2]character_type_i18n!$A:$F,5,FALSE)</f>
        <v>0.85</v>
      </c>
      <c r="L779" s="97">
        <f ca="1">VLOOKUP(H779,[2]character_type_i18n!$A:$F,6,FALSE)</f>
        <v>1</v>
      </c>
      <c r="M779" s="9" t="str">
        <f ca="1">VLOOKUP(A779,[2]characters!$A:$M,13,FALSE)</f>
        <v>animal</v>
      </c>
      <c r="N779" s="6" t="str">
        <f ca="1">VLOOKUP(M779,[2]character_tribe_i18n!$A:$F,3,FALSE)</f>
        <v>アニマル</v>
      </c>
      <c r="O779" s="97">
        <f ca="1">VLOOKUP(M779,[2]character_tribe_i18n!$A:$F,4,FALSE)</f>
        <v>1</v>
      </c>
      <c r="P779" s="97">
        <f ca="1">VLOOKUP(M779,[2]character_tribe_i18n!$A:$F,5,FALSE)</f>
        <v>1.1000000000000001</v>
      </c>
      <c r="Q779" s="97">
        <f ca="1">VLOOKUP(M779,[2]character_tribe_i18n!$A:$F,6,FALSE)</f>
        <v>1</v>
      </c>
      <c r="R779" s="98" t="s">
        <v>98</v>
      </c>
      <c r="S779" s="97">
        <f>VLOOKUP($R779,ラベル別係数!$A$1:$E$7,3,FALSE)</f>
        <v>5</v>
      </c>
      <c r="T779" s="97">
        <f>VLOOKUP($R779,ラベル別係数!$A$1:$E$7,4,FALSE)</f>
        <v>1.3</v>
      </c>
      <c r="U779" s="97">
        <f>VLOOKUP($R779,ラベル別係数!$A$1:$E$7,5,FALSE)</f>
        <v>0.8</v>
      </c>
      <c r="V779" s="98">
        <v>3</v>
      </c>
      <c r="W779" s="99">
        <f>VLOOKUP(V779,ターン数別攻撃係数!$A$1:$B$1000,2,FALSE)</f>
        <v>1</v>
      </c>
      <c r="X779" s="9">
        <f ca="1">VLOOKUP(C779,サイズ別係数!A$2:B$9,2,FALSE)</f>
        <v>30</v>
      </c>
      <c r="Y779" s="97">
        <f ca="1">VLOOKUP($X779,サイズ別係数!$B:$E,2,FALSE)</f>
        <v>1.3</v>
      </c>
      <c r="Z779" s="97">
        <f ca="1">VLOOKUP($X779,サイズ別係数!$B:$E,3,FALSE)</f>
        <v>1.3</v>
      </c>
      <c r="AA779" s="97">
        <f ca="1">VLOOKUP($X779,サイズ別係数!$B:$E,4,FALSE)</f>
        <v>1.1000000000000001</v>
      </c>
      <c r="AB779" s="10">
        <v>0</v>
      </c>
      <c r="AC779" s="6" t="str">
        <f ca="1">VLOOKUP($AB779,OFFSET([3]enemy_skill_sets!$B$2,0,0,COUNTA([3]enemy_skill_sets!$A:$A),MATCH(AC$1,[3]enemy_skill_sets!$1:$1,0)-MATCH($AB$1,[3]enemy_skill_sets!$1:$1,0)+1),MATCH(AC$1,[3]enemy_skill_sets!$1:$1,0)-MATCH($AB$1,[3]enemy_skill_sets!$1:$1,0)+1,FALSE)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79" s="67">
        <v>1</v>
      </c>
      <c r="AE779" s="67">
        <v>1</v>
      </c>
      <c r="AF779" s="68">
        <v>0</v>
      </c>
      <c r="AG779" s="99">
        <f ca="1">ROUND(VLOOKUP(1,enemy_base_stats!$A:$F,2,FALSE) * Y779* J779*O779*E779*S779*AD779*[2]ステータス!$B$2,0)</f>
        <v>4618</v>
      </c>
      <c r="AH779" s="99">
        <f ca="1">ROUND(VLOOKUP(1,enemy_base_stats!$A:$F,3,FALSE) * Z779*K779*P779*F779*T779*AE779 * W779*[2]ステータス!$C$2,0)</f>
        <v>239</v>
      </c>
      <c r="AI779" s="99">
        <f ca="1">ROUND(VLOOKUP(1,enemy_base_stats!$A:$F,4,FALSE) * AA779*L779*Q779*G779*U779*AF779*[2]ステータス!$D$2,0)</f>
        <v>0</v>
      </c>
      <c r="AJ779" s="99">
        <f ca="1">ROUND(VLOOKUP(100,enemy_base_stats!$A:$F,2,FALSE) * Y779* J779*O779*E779*S779*AD779*[2]ステータス!$B$2,0)</f>
        <v>187501</v>
      </c>
      <c r="AK779" s="99">
        <f ca="1">ROUND(VLOOKUP(100,enemy_base_stats!$A:$F,3,FALSE)* Z779* K779*P779*F779*T779*AE779 * W779*[2]ステータス!$C$2,0)</f>
        <v>9719</v>
      </c>
      <c r="AL779" s="99">
        <f ca="1">ROUND(VLOOKUP(100,enemy_base_stats!$A:$F,4,FALSE)* AA779* L779*Q779*G779*U779*AF779*[2]ステータス!$D$2,0)</f>
        <v>0</v>
      </c>
      <c r="AM779" s="97">
        <f ca="1">VLOOKUP(M779,[2]character_tribe_i18n!$A:$I,9,FALSE)</f>
        <v>480</v>
      </c>
      <c r="AN779" s="97">
        <v>0</v>
      </c>
      <c r="AO779" s="98">
        <v>0</v>
      </c>
      <c r="AP779" s="58" t="s">
        <v>72</v>
      </c>
      <c r="AQ779" s="34">
        <f t="shared" ca="1" si="46"/>
        <v>778</v>
      </c>
    </row>
    <row r="780" spans="1:43" ht="21" customHeight="1" x14ac:dyDescent="0.15">
      <c r="A780" s="7">
        <f t="shared" ca="1" si="45"/>
        <v>779</v>
      </c>
      <c r="B780" s="6" t="str">
        <f ca="1">VLOOKUP(A780,[2]characters!$A:$C,3,FALSE)</f>
        <v>頑堅咬亀 ガメック</v>
      </c>
      <c r="C780" s="9">
        <f ca="1">VLOOKUP(A780,[2]characters!$A:$I,9,FALSE)</f>
        <v>5</v>
      </c>
      <c r="D780" s="9" t="str">
        <f ca="1">VLOOKUP(A780,[2]characters!$A:$H,8,FALSE)</f>
        <v>yellow</v>
      </c>
      <c r="E780" s="97">
        <f ca="1">VLOOKUP(D780,[2]属性!$A:$E,2,FALSE)</f>
        <v>0.98</v>
      </c>
      <c r="F780" s="97">
        <f ca="1">VLOOKUP(D780,[2]属性!$A:$E,3,FALSE)</f>
        <v>1.01</v>
      </c>
      <c r="G780" s="97">
        <f ca="1">VLOOKUP(D780,[2]属性!$A:$F,4,FALSE)</f>
        <v>1</v>
      </c>
      <c r="H780" s="9" t="str">
        <f ca="1">VLOOKUP(A780,[2]characters!$A:$K,11,FALSE)</f>
        <v>hp</v>
      </c>
      <c r="I780" s="6" t="str">
        <f ca="1">VLOOKUP(H780,[2]character_type_i18n!$A:$F,3,FALSE)</f>
        <v>体力タイプ</v>
      </c>
      <c r="J780" s="97">
        <f ca="1">VLOOKUP(H780,[2]character_type_i18n!$A:$F,4,FALSE)</f>
        <v>1.45</v>
      </c>
      <c r="K780" s="97">
        <f ca="1">VLOOKUP(H780,[2]character_type_i18n!$A:$F,5,FALSE)</f>
        <v>0.85</v>
      </c>
      <c r="L780" s="97">
        <f ca="1">VLOOKUP(H780,[2]character_type_i18n!$A:$F,6,FALSE)</f>
        <v>1</v>
      </c>
      <c r="M780" s="9" t="str">
        <f ca="1">VLOOKUP(A780,[2]characters!$A:$M,13,FALSE)</f>
        <v>animal</v>
      </c>
      <c r="N780" s="6" t="str">
        <f ca="1">VLOOKUP(M780,[2]character_tribe_i18n!$A:$F,3,FALSE)</f>
        <v>アニマル</v>
      </c>
      <c r="O780" s="97">
        <f ca="1">VLOOKUP(M780,[2]character_tribe_i18n!$A:$F,4,FALSE)</f>
        <v>1</v>
      </c>
      <c r="P780" s="97">
        <f ca="1">VLOOKUP(M780,[2]character_tribe_i18n!$A:$F,5,FALSE)</f>
        <v>1.1000000000000001</v>
      </c>
      <c r="Q780" s="97">
        <f ca="1">VLOOKUP(M780,[2]character_tribe_i18n!$A:$F,6,FALSE)</f>
        <v>1</v>
      </c>
      <c r="R780" s="98" t="s">
        <v>98</v>
      </c>
      <c r="S780" s="97">
        <f>VLOOKUP($R780,ラベル別係数!$A$1:$E$7,3,FALSE)</f>
        <v>5</v>
      </c>
      <c r="T780" s="97">
        <f>VLOOKUP($R780,ラベル別係数!$A$1:$E$7,4,FALSE)</f>
        <v>1.3</v>
      </c>
      <c r="U780" s="97">
        <f>VLOOKUP($R780,ラベル別係数!$A$1:$E$7,5,FALSE)</f>
        <v>0.8</v>
      </c>
      <c r="V780" s="98">
        <v>3</v>
      </c>
      <c r="W780" s="99">
        <f>VLOOKUP(V780,ターン数別攻撃係数!$A$1:$B$1000,2,FALSE)</f>
        <v>1</v>
      </c>
      <c r="X780" s="9">
        <f ca="1">VLOOKUP(C780,サイズ別係数!A$2:B$9,2,FALSE)</f>
        <v>60</v>
      </c>
      <c r="Y780" s="97">
        <f ca="1">VLOOKUP($X780,サイズ別係数!$B:$E,2,FALSE)</f>
        <v>1.7</v>
      </c>
      <c r="Z780" s="97">
        <f ca="1">VLOOKUP($X780,サイズ別係数!$B:$E,3,FALSE)</f>
        <v>1.4</v>
      </c>
      <c r="AA780" s="97">
        <f ca="1">VLOOKUP($X780,サイズ別係数!$B:$E,4,FALSE)</f>
        <v>1</v>
      </c>
      <c r="AB780" s="10">
        <v>0</v>
      </c>
      <c r="AC780" s="6" t="str">
        <f ca="1">VLOOKUP($AB780,OFFSET([3]enemy_skill_sets!$B$2,0,0,COUNTA([3]enemy_skill_sets!$A:$A),MATCH(AC$1,[3]enemy_skill_sets!$1:$1,0)-MATCH($AB$1,[3]enemy_skill_sets!$1:$1,0)+1),MATCH(AC$1,[3]enemy_skill_sets!$1:$1,0)-MATCH($AB$1,[3]enemy_skill_sets!$1:$1,0)+1,FALSE)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0" s="67">
        <v>1</v>
      </c>
      <c r="AE780" s="67">
        <v>1</v>
      </c>
      <c r="AF780" s="68">
        <v>0</v>
      </c>
      <c r="AG780" s="99">
        <f ca="1">ROUND(VLOOKUP(1,enemy_base_stats!$A:$F,2,FALSE) * Y780* J780*O780*E780*S780*AD780*[2]ステータス!$B$2,0)</f>
        <v>6039</v>
      </c>
      <c r="AH780" s="99">
        <f ca="1">ROUND(VLOOKUP(1,enemy_base_stats!$A:$F,3,FALSE) * Z780*K780*P780*F780*T780*AE780 * W780*[2]ステータス!$C$2,0)</f>
        <v>258</v>
      </c>
      <c r="AI780" s="99">
        <f ca="1">ROUND(VLOOKUP(1,enemy_base_stats!$A:$F,4,FALSE) * AA780*L780*Q780*G780*U780*AF780*[2]ステータス!$D$2,0)</f>
        <v>0</v>
      </c>
      <c r="AJ780" s="99">
        <f ca="1">ROUND(VLOOKUP(100,enemy_base_stats!$A:$F,2,FALSE) * Y780* J780*O780*E780*S780*AD780*[2]ステータス!$B$2,0)</f>
        <v>245194</v>
      </c>
      <c r="AK780" s="99">
        <f ca="1">ROUND(VLOOKUP(100,enemy_base_stats!$A:$F,3,FALSE)* Z780* K780*P780*F780*T780*AE780 * W780*[2]ステータス!$C$2,0)</f>
        <v>10467</v>
      </c>
      <c r="AL780" s="99">
        <f ca="1">ROUND(VLOOKUP(100,enemy_base_stats!$A:$F,4,FALSE)* AA780* L780*Q780*G780*U780*AF780*[2]ステータス!$D$2,0)</f>
        <v>0</v>
      </c>
      <c r="AM780" s="97">
        <f ca="1">VLOOKUP(M780,[2]character_tribe_i18n!$A:$I,9,FALSE)</f>
        <v>480</v>
      </c>
      <c r="AN780" s="97">
        <v>0</v>
      </c>
      <c r="AO780" s="98">
        <v>0</v>
      </c>
      <c r="AP780" s="58" t="s">
        <v>72</v>
      </c>
      <c r="AQ780" s="34">
        <f t="shared" ca="1" si="46"/>
        <v>779</v>
      </c>
    </row>
    <row r="781" spans="1:43" ht="21" customHeight="1" x14ac:dyDescent="0.15">
      <c r="A781" s="7">
        <f t="shared" ca="1" si="45"/>
        <v>780</v>
      </c>
      <c r="B781" s="6" t="str">
        <f ca="1">VLOOKUP(A781,[2]characters!$A:$C,3,FALSE)</f>
        <v>カスケード</v>
      </c>
      <c r="C781" s="9">
        <f ca="1">VLOOKUP(A781,[2]characters!$A:$I,9,FALSE)</f>
        <v>5</v>
      </c>
      <c r="D781" s="9" t="str">
        <f ca="1">VLOOKUP(A781,[2]characters!$A:$H,8,FALSE)</f>
        <v>yellow</v>
      </c>
      <c r="E781" s="97">
        <f ca="1">VLOOKUP(D781,[2]属性!$A:$E,2,FALSE)</f>
        <v>0.98</v>
      </c>
      <c r="F781" s="97">
        <f ca="1">VLOOKUP(D781,[2]属性!$A:$E,3,FALSE)</f>
        <v>1.01</v>
      </c>
      <c r="G781" s="97">
        <f ca="1">VLOOKUP(D781,[2]属性!$A:$F,4,FALSE)</f>
        <v>1</v>
      </c>
      <c r="H781" s="9" t="str">
        <f ca="1">VLOOKUP(A781,[2]characters!$A:$K,11,FALSE)</f>
        <v>technical</v>
      </c>
      <c r="I781" s="6" t="str">
        <f ca="1">VLOOKUP(H781,[2]character_type_i18n!$A:$F,3,FALSE)</f>
        <v>テクニカルタイプ</v>
      </c>
      <c r="J781" s="97">
        <f ca="1">VLOOKUP(H781,[2]character_type_i18n!$A:$F,4,FALSE)</f>
        <v>0.9</v>
      </c>
      <c r="K781" s="97">
        <f ca="1">VLOOKUP(H781,[2]character_type_i18n!$A:$F,5,FALSE)</f>
        <v>0.9</v>
      </c>
      <c r="L781" s="97">
        <f ca="1">VLOOKUP(H781,[2]character_type_i18n!$A:$F,6,FALSE)</f>
        <v>1</v>
      </c>
      <c r="M781" s="9" t="str">
        <f ca="1">VLOOKUP(A781,[2]characters!$A:$M,13,FALSE)</f>
        <v>unknown</v>
      </c>
      <c r="N781" s="6" t="str">
        <f ca="1">VLOOKUP(M781,[2]character_tribe_i18n!$A:$F,3,FALSE)</f>
        <v>Unknown</v>
      </c>
      <c r="O781" s="97">
        <f ca="1">VLOOKUP(M781,[2]character_tribe_i18n!$A:$F,4,FALSE)</f>
        <v>1</v>
      </c>
      <c r="P781" s="97">
        <f ca="1">VLOOKUP(M781,[2]character_tribe_i18n!$A:$F,5,FALSE)</f>
        <v>1</v>
      </c>
      <c r="Q781" s="97">
        <f ca="1">VLOOKUP(M781,[2]character_tribe_i18n!$A:$F,6,FALSE)</f>
        <v>1</v>
      </c>
      <c r="R781" s="98" t="s">
        <v>98</v>
      </c>
      <c r="S781" s="97">
        <f>VLOOKUP($R781,ラベル別係数!$A$1:$E$7,3,FALSE)</f>
        <v>5</v>
      </c>
      <c r="T781" s="97">
        <f>VLOOKUP($R781,ラベル別係数!$A$1:$E$7,4,FALSE)</f>
        <v>1.3</v>
      </c>
      <c r="U781" s="97">
        <f>VLOOKUP($R781,ラベル別係数!$A$1:$E$7,5,FALSE)</f>
        <v>0.8</v>
      </c>
      <c r="V781" s="98">
        <v>3</v>
      </c>
      <c r="W781" s="99">
        <f>VLOOKUP(V781,ターン数別攻撃係数!$A$1:$B$1000,2,FALSE)</f>
        <v>1</v>
      </c>
      <c r="X781" s="9">
        <f ca="1">VLOOKUP(C781,サイズ別係数!A$2:B$9,2,FALSE)</f>
        <v>60</v>
      </c>
      <c r="Y781" s="97">
        <f ca="1">VLOOKUP($X781,サイズ別係数!$B:$E,2,FALSE)</f>
        <v>1.7</v>
      </c>
      <c r="Z781" s="97">
        <f ca="1">VLOOKUP($X781,サイズ別係数!$B:$E,3,FALSE)</f>
        <v>1.4</v>
      </c>
      <c r="AA781" s="97">
        <f ca="1">VLOOKUP($X781,サイズ別係数!$B:$E,4,FALSE)</f>
        <v>1</v>
      </c>
      <c r="AB781" s="10">
        <v>0</v>
      </c>
      <c r="AC781" s="6" t="str">
        <f ca="1">VLOOKUP($AB781,OFFSET([3]enemy_skill_sets!$B$2,0,0,COUNTA([3]enemy_skill_sets!$A:$A),MATCH(AC$1,[3]enemy_skill_sets!$1:$1,0)-MATCH($AB$1,[3]enemy_skill_sets!$1:$1,0)+1),MATCH(AC$1,[3]enemy_skill_sets!$1:$1,0)-MATCH($AB$1,[3]enemy_skill_sets!$1:$1,0)+1,FALSE)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1" s="67">
        <v>1</v>
      </c>
      <c r="AE781" s="67">
        <v>1</v>
      </c>
      <c r="AF781" s="68">
        <v>0</v>
      </c>
      <c r="AG781" s="99">
        <f ca="1">ROUND(VLOOKUP(1,enemy_base_stats!$A:$F,2,FALSE) * Y781* J781*O781*E781*S781*AD781*[2]ステータス!$B$2,0)</f>
        <v>3749</v>
      </c>
      <c r="AH781" s="99">
        <f ca="1">ROUND(VLOOKUP(1,enemy_base_stats!$A:$F,3,FALSE) * Z781*K781*P781*F781*T781*AE781 * W781*[2]ステータス!$C$2,0)</f>
        <v>248</v>
      </c>
      <c r="AI781" s="99">
        <f ca="1">ROUND(VLOOKUP(1,enemy_base_stats!$A:$F,4,FALSE) * AA781*L781*Q781*G781*U781*AF781*[2]ステータス!$D$2,0)</f>
        <v>0</v>
      </c>
      <c r="AJ781" s="99">
        <f ca="1">ROUND(VLOOKUP(100,enemy_base_stats!$A:$F,2,FALSE) * Y781* J781*O781*E781*S781*AD781*[2]ステータス!$B$2,0)</f>
        <v>152189</v>
      </c>
      <c r="AK781" s="99">
        <f ca="1">ROUND(VLOOKUP(100,enemy_base_stats!$A:$F,3,FALSE)* Z781* K781*P781*F781*T781*AE781 * W781*[2]ステータス!$C$2,0)</f>
        <v>10075</v>
      </c>
      <c r="AL781" s="99">
        <f ca="1">ROUND(VLOOKUP(100,enemy_base_stats!$A:$F,4,FALSE)* AA781* L781*Q781*G781*U781*AF781*[2]ステータス!$D$2,0)</f>
        <v>0</v>
      </c>
      <c r="AM781" s="97">
        <f ca="1">VLOOKUP(M781,[2]character_tribe_i18n!$A:$I,9,FALSE)</f>
        <v>340</v>
      </c>
      <c r="AN781" s="97">
        <v>0</v>
      </c>
      <c r="AO781" s="98">
        <v>0</v>
      </c>
      <c r="AP781" s="58" t="s">
        <v>72</v>
      </c>
      <c r="AQ781" s="34">
        <f t="shared" ca="1" si="46"/>
        <v>780</v>
      </c>
    </row>
    <row r="782" spans="1:43" ht="21" customHeight="1" x14ac:dyDescent="0.15">
      <c r="A782" s="7">
        <f t="shared" ca="1" si="45"/>
        <v>781</v>
      </c>
      <c r="B782" s="6" t="str">
        <f ca="1">VLOOKUP(A782,[2]characters!$A:$C,3,FALSE)</f>
        <v>崩落の大瀑布 カスケード</v>
      </c>
      <c r="C782" s="9">
        <f ca="1">VLOOKUP(A782,[2]characters!$A:$I,9,FALSE)</f>
        <v>6</v>
      </c>
      <c r="D782" s="9" t="str">
        <f ca="1">VLOOKUP(A782,[2]characters!$A:$H,8,FALSE)</f>
        <v>yellow</v>
      </c>
      <c r="E782" s="97">
        <f ca="1">VLOOKUP(D782,[2]属性!$A:$E,2,FALSE)</f>
        <v>0.98</v>
      </c>
      <c r="F782" s="97">
        <f ca="1">VLOOKUP(D782,[2]属性!$A:$E,3,FALSE)</f>
        <v>1.01</v>
      </c>
      <c r="G782" s="97">
        <f ca="1">VLOOKUP(D782,[2]属性!$A:$F,4,FALSE)</f>
        <v>1</v>
      </c>
      <c r="H782" s="9" t="str">
        <f ca="1">VLOOKUP(A782,[2]characters!$A:$K,11,FALSE)</f>
        <v>technical</v>
      </c>
      <c r="I782" s="6" t="str">
        <f ca="1">VLOOKUP(H782,[2]character_type_i18n!$A:$F,3,FALSE)</f>
        <v>テクニカルタイプ</v>
      </c>
      <c r="J782" s="97">
        <f ca="1">VLOOKUP(H782,[2]character_type_i18n!$A:$F,4,FALSE)</f>
        <v>0.9</v>
      </c>
      <c r="K782" s="97">
        <f ca="1">VLOOKUP(H782,[2]character_type_i18n!$A:$F,5,FALSE)</f>
        <v>0.9</v>
      </c>
      <c r="L782" s="97">
        <f ca="1">VLOOKUP(H782,[2]character_type_i18n!$A:$F,6,FALSE)</f>
        <v>1</v>
      </c>
      <c r="M782" s="9" t="str">
        <f ca="1">VLOOKUP(A782,[2]characters!$A:$M,13,FALSE)</f>
        <v>unknown</v>
      </c>
      <c r="N782" s="6" t="str">
        <f ca="1">VLOOKUP(M782,[2]character_tribe_i18n!$A:$F,3,FALSE)</f>
        <v>Unknown</v>
      </c>
      <c r="O782" s="97">
        <f ca="1">VLOOKUP(M782,[2]character_tribe_i18n!$A:$F,4,FALSE)</f>
        <v>1</v>
      </c>
      <c r="P782" s="97">
        <f ca="1">VLOOKUP(M782,[2]character_tribe_i18n!$A:$F,5,FALSE)</f>
        <v>1</v>
      </c>
      <c r="Q782" s="97">
        <f ca="1">VLOOKUP(M782,[2]character_tribe_i18n!$A:$F,6,FALSE)</f>
        <v>1</v>
      </c>
      <c r="R782" s="98" t="s">
        <v>98</v>
      </c>
      <c r="S782" s="97">
        <f>VLOOKUP($R782,ラベル別係数!$A$1:$E$7,3,FALSE)</f>
        <v>5</v>
      </c>
      <c r="T782" s="97">
        <f>VLOOKUP($R782,ラベル別係数!$A$1:$E$7,4,FALSE)</f>
        <v>1.3</v>
      </c>
      <c r="U782" s="97">
        <f>VLOOKUP($R782,ラベル別係数!$A$1:$E$7,5,FALSE)</f>
        <v>0.8</v>
      </c>
      <c r="V782" s="98">
        <v>3</v>
      </c>
      <c r="W782" s="99">
        <f>VLOOKUP(V782,ターン数別攻撃係数!$A$1:$B$1000,2,FALSE)</f>
        <v>1</v>
      </c>
      <c r="X782" s="9">
        <f ca="1">VLOOKUP(C782,サイズ別係数!A$2:B$9,2,FALSE)</f>
        <v>60</v>
      </c>
      <c r="Y782" s="97">
        <f ca="1">VLOOKUP($X782,サイズ別係数!$B:$E,2,FALSE)</f>
        <v>1.7</v>
      </c>
      <c r="Z782" s="97">
        <f ca="1">VLOOKUP($X782,サイズ別係数!$B:$E,3,FALSE)</f>
        <v>1.4</v>
      </c>
      <c r="AA782" s="97">
        <f ca="1">VLOOKUP($X782,サイズ別係数!$B:$E,4,FALSE)</f>
        <v>1</v>
      </c>
      <c r="AB782" s="10">
        <v>0</v>
      </c>
      <c r="AC782" s="6" t="str">
        <f ca="1">VLOOKUP($AB782,OFFSET([3]enemy_skill_sets!$B$2,0,0,COUNTA([3]enemy_skill_sets!$A:$A),MATCH(AC$1,[3]enemy_skill_sets!$1:$1,0)-MATCH($AB$1,[3]enemy_skill_sets!$1:$1,0)+1),MATCH(AC$1,[3]enemy_skill_sets!$1:$1,0)-MATCH($AB$1,[3]enemy_skill_sets!$1:$1,0)+1,FALSE)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2" s="67">
        <v>1</v>
      </c>
      <c r="AE782" s="67">
        <v>1</v>
      </c>
      <c r="AF782" s="68">
        <v>0</v>
      </c>
      <c r="AG782" s="99">
        <f ca="1">ROUND(VLOOKUP(1,enemy_base_stats!$A:$F,2,FALSE) * Y782* J782*O782*E782*S782*AD782*[2]ステータス!$B$2,0)</f>
        <v>3749</v>
      </c>
      <c r="AH782" s="99">
        <f ca="1">ROUND(VLOOKUP(1,enemy_base_stats!$A:$F,3,FALSE) * Z782*K782*P782*F782*T782*AE782 * W782*[2]ステータス!$C$2,0)</f>
        <v>248</v>
      </c>
      <c r="AI782" s="99">
        <f ca="1">ROUND(VLOOKUP(1,enemy_base_stats!$A:$F,4,FALSE) * AA782*L782*Q782*G782*U782*AF782*[2]ステータス!$D$2,0)</f>
        <v>0</v>
      </c>
      <c r="AJ782" s="99">
        <f ca="1">ROUND(VLOOKUP(100,enemy_base_stats!$A:$F,2,FALSE) * Y782* J782*O782*E782*S782*AD782*[2]ステータス!$B$2,0)</f>
        <v>152189</v>
      </c>
      <c r="AK782" s="99">
        <f ca="1">ROUND(VLOOKUP(100,enemy_base_stats!$A:$F,3,FALSE)* Z782* K782*P782*F782*T782*AE782 * W782*[2]ステータス!$C$2,0)</f>
        <v>10075</v>
      </c>
      <c r="AL782" s="99">
        <f ca="1">ROUND(VLOOKUP(100,enemy_base_stats!$A:$F,4,FALSE)* AA782* L782*Q782*G782*U782*AF782*[2]ステータス!$D$2,0)</f>
        <v>0</v>
      </c>
      <c r="AM782" s="97">
        <f ca="1">VLOOKUP(M782,[2]character_tribe_i18n!$A:$I,9,FALSE)</f>
        <v>340</v>
      </c>
      <c r="AN782" s="97">
        <v>0</v>
      </c>
      <c r="AO782" s="98">
        <v>0</v>
      </c>
      <c r="AP782" s="58" t="s">
        <v>72</v>
      </c>
      <c r="AQ782" s="34">
        <f t="shared" ca="1" si="46"/>
        <v>781</v>
      </c>
    </row>
    <row r="783" spans="1:43" ht="21" customHeight="1" x14ac:dyDescent="0.15">
      <c r="A783" s="7">
        <f t="shared" ca="1" si="45"/>
        <v>782</v>
      </c>
      <c r="B783" s="6" t="str">
        <f ca="1">VLOOKUP(A783,[2]characters!$A:$C,3,FALSE)</f>
        <v>機甲雷天使 ミカエル・グロリアス</v>
      </c>
      <c r="C783" s="9">
        <f ca="1">VLOOKUP(A783,[2]characters!$A:$I,9,FALSE)</f>
        <v>6</v>
      </c>
      <c r="D783" s="9" t="str">
        <f ca="1">VLOOKUP(A783,[2]characters!$A:$H,8,FALSE)</f>
        <v>yellow</v>
      </c>
      <c r="E783" s="97">
        <f ca="1">VLOOKUP(D783,[2]属性!$A:$E,2,FALSE)</f>
        <v>0.98</v>
      </c>
      <c r="F783" s="97">
        <f ca="1">VLOOKUP(D783,[2]属性!$A:$E,3,FALSE)</f>
        <v>1.01</v>
      </c>
      <c r="G783" s="97">
        <f ca="1">VLOOKUP(D783,[2]属性!$A:$F,4,FALSE)</f>
        <v>1</v>
      </c>
      <c r="H783" s="9" t="str">
        <f ca="1">VLOOKUP(A783,[2]characters!$A:$K,11,FALSE)</f>
        <v>attack</v>
      </c>
      <c r="I783" s="6" t="str">
        <f ca="1">VLOOKUP(H783,[2]character_type_i18n!$A:$F,3,FALSE)</f>
        <v>攻撃タイプ</v>
      </c>
      <c r="J783" s="97">
        <f ca="1">VLOOKUP(H783,[2]character_type_i18n!$A:$F,4,FALSE)</f>
        <v>1</v>
      </c>
      <c r="K783" s="97">
        <f ca="1">VLOOKUP(H783,[2]character_type_i18n!$A:$F,5,FALSE)</f>
        <v>1.33</v>
      </c>
      <c r="L783" s="97">
        <f ca="1">VLOOKUP(H783,[2]character_type_i18n!$A:$F,6,FALSE)</f>
        <v>1</v>
      </c>
      <c r="M783" s="9" t="str">
        <f ca="1">VLOOKUP(A783,[2]characters!$A:$M,13,FALSE)</f>
        <v>machine</v>
      </c>
      <c r="N783" s="6" t="str">
        <f ca="1">VLOOKUP(M783,[2]character_tribe_i18n!$A:$F,3,FALSE)</f>
        <v>マシン</v>
      </c>
      <c r="O783" s="97">
        <f ca="1">VLOOKUP(M783,[2]character_tribe_i18n!$A:$F,4,FALSE)</f>
        <v>1</v>
      </c>
      <c r="P783" s="97">
        <f ca="1">VLOOKUP(M783,[2]character_tribe_i18n!$A:$F,5,FALSE)</f>
        <v>1</v>
      </c>
      <c r="Q783" s="97">
        <f ca="1">VLOOKUP(M783,[2]character_tribe_i18n!$A:$F,6,FALSE)</f>
        <v>1</v>
      </c>
      <c r="R783" s="98" t="s">
        <v>98</v>
      </c>
      <c r="S783" s="97">
        <f>VLOOKUP($R783,ラベル別係数!$A$1:$E$7,3,FALSE)</f>
        <v>5</v>
      </c>
      <c r="T783" s="97">
        <f>VLOOKUP($R783,ラベル別係数!$A$1:$E$7,4,FALSE)</f>
        <v>1.3</v>
      </c>
      <c r="U783" s="97">
        <f>VLOOKUP($R783,ラベル別係数!$A$1:$E$7,5,FALSE)</f>
        <v>0.8</v>
      </c>
      <c r="V783" s="98">
        <v>3</v>
      </c>
      <c r="W783" s="99">
        <f>VLOOKUP(V783,ターン数別攻撃係数!$A$1:$B$1000,2,FALSE)</f>
        <v>1</v>
      </c>
      <c r="X783" s="9">
        <f ca="1">VLOOKUP(C783,サイズ別係数!A$2:B$9,2,FALSE)</f>
        <v>60</v>
      </c>
      <c r="Y783" s="97">
        <f ca="1">VLOOKUP($X783,サイズ別係数!$B:$E,2,FALSE)</f>
        <v>1.7</v>
      </c>
      <c r="Z783" s="97">
        <f ca="1">VLOOKUP($X783,サイズ別係数!$B:$E,3,FALSE)</f>
        <v>1.4</v>
      </c>
      <c r="AA783" s="97">
        <f ca="1">VLOOKUP($X783,サイズ別係数!$B:$E,4,FALSE)</f>
        <v>1</v>
      </c>
      <c r="AB783" s="10">
        <v>0</v>
      </c>
      <c r="AC783" s="6" t="str">
        <f ca="1">VLOOKUP($AB783,OFFSET([3]enemy_skill_sets!$B$2,0,0,COUNTA([3]enemy_skill_sets!$A:$A),MATCH(AC$1,[3]enemy_skill_sets!$1:$1,0)-MATCH($AB$1,[3]enemy_skill_sets!$1:$1,0)+1),MATCH(AC$1,[3]enemy_skill_sets!$1:$1,0)-MATCH($AB$1,[3]enemy_skill_sets!$1:$1,0)+1,FALSE)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3" s="67">
        <v>1</v>
      </c>
      <c r="AE783" s="67">
        <v>1</v>
      </c>
      <c r="AF783" s="68">
        <v>0</v>
      </c>
      <c r="AG783" s="99">
        <f ca="1">ROUND(VLOOKUP(1,enemy_base_stats!$A:$F,2,FALSE) * Y783* J783*O783*E783*S783*AD783*[2]ステータス!$B$2,0)</f>
        <v>4165</v>
      </c>
      <c r="AH783" s="99">
        <f ca="1">ROUND(VLOOKUP(1,enemy_base_stats!$A:$F,3,FALSE) * Z783*K783*P783*F783*T783*AE783 * W783*[2]ステータス!$C$2,0)</f>
        <v>367</v>
      </c>
      <c r="AI783" s="99">
        <f ca="1">ROUND(VLOOKUP(1,enemy_base_stats!$A:$F,4,FALSE) * AA783*L783*Q783*G783*U783*AF783*[2]ステータス!$D$2,0)</f>
        <v>0</v>
      </c>
      <c r="AJ783" s="99">
        <f ca="1">ROUND(VLOOKUP(100,enemy_base_stats!$A:$F,2,FALSE) * Y783* J783*O783*E783*S783*AD783*[2]ステータス!$B$2,0)</f>
        <v>169099</v>
      </c>
      <c r="AK783" s="99">
        <f ca="1">ROUND(VLOOKUP(100,enemy_base_stats!$A:$F,3,FALSE)* Z783* K783*P783*F783*T783*AE783 * W783*[2]ステータス!$C$2,0)</f>
        <v>14889</v>
      </c>
      <c r="AL783" s="99">
        <f ca="1">ROUND(VLOOKUP(100,enemy_base_stats!$A:$F,4,FALSE)* AA783* L783*Q783*G783*U783*AF783*[2]ステータス!$D$2,0)</f>
        <v>0</v>
      </c>
      <c r="AM783" s="97">
        <f ca="1">VLOOKUP(M783,[2]character_tribe_i18n!$A:$I,9,FALSE)</f>
        <v>520</v>
      </c>
      <c r="AN783" s="97">
        <v>0</v>
      </c>
      <c r="AO783" s="98">
        <v>0</v>
      </c>
      <c r="AP783" s="58" t="s">
        <v>72</v>
      </c>
      <c r="AQ783" s="34">
        <f t="shared" ca="1" si="46"/>
        <v>782</v>
      </c>
    </row>
    <row r="784" spans="1:43" ht="21" customHeight="1" x14ac:dyDescent="0.15">
      <c r="A784" s="7">
        <f t="shared" ca="1" si="45"/>
        <v>783</v>
      </c>
      <c r="B784" s="6" t="str">
        <f ca="1">VLOOKUP(A784,[2]characters!$A:$C,3,FALSE)</f>
        <v>モールス</v>
      </c>
      <c r="C784" s="9">
        <f ca="1">VLOOKUP(A784,[2]characters!$A:$I,9,FALSE)</f>
        <v>5</v>
      </c>
      <c r="D784" s="9" t="str">
        <f ca="1">VLOOKUP(A784,[2]characters!$A:$H,8,FALSE)</f>
        <v>red</v>
      </c>
      <c r="E784" s="97">
        <f ca="1">VLOOKUP(D784,[2]属性!$A:$E,2,FALSE)</f>
        <v>1</v>
      </c>
      <c r="F784" s="97">
        <f ca="1">VLOOKUP(D784,[2]属性!$A:$E,3,FALSE)</f>
        <v>1.02</v>
      </c>
      <c r="G784" s="97">
        <f ca="1">VLOOKUP(D784,[2]属性!$A:$F,4,FALSE)</f>
        <v>1</v>
      </c>
      <c r="H784" s="9" t="str">
        <f ca="1">VLOOKUP(A784,[2]characters!$A:$K,11,FALSE)</f>
        <v>technical</v>
      </c>
      <c r="I784" s="6" t="str">
        <f ca="1">VLOOKUP(H784,[2]character_type_i18n!$A:$F,3,FALSE)</f>
        <v>テクニカルタイプ</v>
      </c>
      <c r="J784" s="97">
        <f ca="1">VLOOKUP(H784,[2]character_type_i18n!$A:$F,4,FALSE)</f>
        <v>0.9</v>
      </c>
      <c r="K784" s="97">
        <f ca="1">VLOOKUP(H784,[2]character_type_i18n!$A:$F,5,FALSE)</f>
        <v>0.9</v>
      </c>
      <c r="L784" s="97">
        <f ca="1">VLOOKUP(H784,[2]character_type_i18n!$A:$F,6,FALSE)</f>
        <v>1</v>
      </c>
      <c r="M784" s="9" t="str">
        <f ca="1">VLOOKUP(A784,[2]characters!$A:$M,13,FALSE)</f>
        <v>academia</v>
      </c>
      <c r="N784" s="6" t="str">
        <f ca="1">VLOOKUP(M784,[2]character_tribe_i18n!$A:$F,3,FALSE)</f>
        <v>アカデミア</v>
      </c>
      <c r="O784" s="97">
        <f ca="1">VLOOKUP(M784,[2]character_tribe_i18n!$A:$F,4,FALSE)</f>
        <v>1</v>
      </c>
      <c r="P784" s="97">
        <f ca="1">VLOOKUP(M784,[2]character_tribe_i18n!$A:$F,5,FALSE)</f>
        <v>1</v>
      </c>
      <c r="Q784" s="97">
        <f ca="1">VLOOKUP(M784,[2]character_tribe_i18n!$A:$F,6,FALSE)</f>
        <v>1</v>
      </c>
      <c r="R784" s="98" t="s">
        <v>98</v>
      </c>
      <c r="S784" s="97">
        <f>VLOOKUP($R784,ラベル別係数!$A$1:$E$7,3,FALSE)</f>
        <v>5</v>
      </c>
      <c r="T784" s="97">
        <f>VLOOKUP($R784,ラベル別係数!$A$1:$E$7,4,FALSE)</f>
        <v>1.3</v>
      </c>
      <c r="U784" s="97">
        <f>VLOOKUP($R784,ラベル別係数!$A$1:$E$7,5,FALSE)</f>
        <v>0.8</v>
      </c>
      <c r="V784" s="98">
        <v>3</v>
      </c>
      <c r="W784" s="99">
        <f>VLOOKUP(V784,ターン数別攻撃係数!$A$1:$B$1000,2,FALSE)</f>
        <v>1</v>
      </c>
      <c r="X784" s="9">
        <f ca="1">VLOOKUP(C784,サイズ別係数!A$2:B$9,2,FALSE)</f>
        <v>60</v>
      </c>
      <c r="Y784" s="97">
        <f ca="1">VLOOKUP($X784,サイズ別係数!$B:$E,2,FALSE)</f>
        <v>1.7</v>
      </c>
      <c r="Z784" s="97">
        <f ca="1">VLOOKUP($X784,サイズ別係数!$B:$E,3,FALSE)</f>
        <v>1.4</v>
      </c>
      <c r="AA784" s="97">
        <f ca="1">VLOOKUP($X784,サイズ別係数!$B:$E,4,FALSE)</f>
        <v>1</v>
      </c>
      <c r="AB784" s="10">
        <v>0</v>
      </c>
      <c r="AC784" s="6" t="str">
        <f ca="1">VLOOKUP($AB784,OFFSET([3]enemy_skill_sets!$B$2,0,0,COUNTA([3]enemy_skill_sets!$A:$A),MATCH(AC$1,[3]enemy_skill_sets!$1:$1,0)-MATCH($AB$1,[3]enemy_skill_sets!$1:$1,0)+1),MATCH(AC$1,[3]enemy_skill_sets!$1:$1,0)-MATCH($AB$1,[3]enemy_skill_sets!$1:$1,0)+1,FALSE)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4" s="67">
        <v>1</v>
      </c>
      <c r="AE784" s="67">
        <v>1</v>
      </c>
      <c r="AF784" s="68">
        <v>0</v>
      </c>
      <c r="AG784" s="99">
        <f ca="1">ROUND(VLOOKUP(1,enemy_base_stats!$A:$F,2,FALSE) * Y784* J784*O784*E784*S784*AD784*[2]ステータス!$B$2,0)</f>
        <v>3825</v>
      </c>
      <c r="AH784" s="99">
        <f ca="1">ROUND(VLOOKUP(1,enemy_base_stats!$A:$F,3,FALSE) * Z784*K784*P784*F784*T784*AE784 * W784*[2]ステータス!$C$2,0)</f>
        <v>251</v>
      </c>
      <c r="AI784" s="99">
        <f ca="1">ROUND(VLOOKUP(1,enemy_base_stats!$A:$F,4,FALSE) * AA784*L784*Q784*G784*U784*AF784*[2]ステータス!$D$2,0)</f>
        <v>0</v>
      </c>
      <c r="AJ784" s="99">
        <f ca="1">ROUND(VLOOKUP(100,enemy_base_stats!$A:$F,2,FALSE) * Y784* J784*O784*E784*S784*AD784*[2]ステータス!$B$2,0)</f>
        <v>155295</v>
      </c>
      <c r="AK784" s="99">
        <f ca="1">ROUND(VLOOKUP(100,enemy_base_stats!$A:$F,3,FALSE)* Z784* K784*P784*F784*T784*AE784 * W784*[2]ステータス!$C$2,0)</f>
        <v>10175</v>
      </c>
      <c r="AL784" s="99">
        <f ca="1">ROUND(VLOOKUP(100,enemy_base_stats!$A:$F,4,FALSE)* AA784* L784*Q784*G784*U784*AF784*[2]ステータス!$D$2,0)</f>
        <v>0</v>
      </c>
      <c r="AM784" s="97">
        <f ca="1">VLOOKUP(M784,[2]character_tribe_i18n!$A:$I,9,FALSE)</f>
        <v>400</v>
      </c>
      <c r="AN784" s="97">
        <v>0</v>
      </c>
      <c r="AO784" s="98">
        <v>0</v>
      </c>
      <c r="AP784" s="58" t="s">
        <v>72</v>
      </c>
      <c r="AQ784" s="34">
        <f t="shared" ca="1" si="46"/>
        <v>783</v>
      </c>
    </row>
    <row r="785" spans="1:43" ht="21" customHeight="1" x14ac:dyDescent="0.15">
      <c r="A785" s="7">
        <f t="shared" ca="1" si="45"/>
        <v>784</v>
      </c>
      <c r="B785" s="6" t="str">
        <f ca="1">VLOOKUP(A785,[2]characters!$A:$C,3,FALSE)</f>
        <v>想心の恋鎖 モールス</v>
      </c>
      <c r="C785" s="9">
        <f ca="1">VLOOKUP(A785,[2]characters!$A:$I,9,FALSE)</f>
        <v>6</v>
      </c>
      <c r="D785" s="9" t="str">
        <f ca="1">VLOOKUP(A785,[2]characters!$A:$H,8,FALSE)</f>
        <v>red</v>
      </c>
      <c r="E785" s="97">
        <f ca="1">VLOOKUP(D785,[2]属性!$A:$E,2,FALSE)</f>
        <v>1</v>
      </c>
      <c r="F785" s="97">
        <f ca="1">VLOOKUP(D785,[2]属性!$A:$E,3,FALSE)</f>
        <v>1.02</v>
      </c>
      <c r="G785" s="97">
        <f ca="1">VLOOKUP(D785,[2]属性!$A:$F,4,FALSE)</f>
        <v>1</v>
      </c>
      <c r="H785" s="9" t="str">
        <f ca="1">VLOOKUP(A785,[2]characters!$A:$K,11,FALSE)</f>
        <v>technical</v>
      </c>
      <c r="I785" s="6" t="str">
        <f ca="1">VLOOKUP(H785,[2]character_type_i18n!$A:$F,3,FALSE)</f>
        <v>テクニカルタイプ</v>
      </c>
      <c r="J785" s="97">
        <f ca="1">VLOOKUP(H785,[2]character_type_i18n!$A:$F,4,FALSE)</f>
        <v>0.9</v>
      </c>
      <c r="K785" s="97">
        <f ca="1">VLOOKUP(H785,[2]character_type_i18n!$A:$F,5,FALSE)</f>
        <v>0.9</v>
      </c>
      <c r="L785" s="97">
        <f ca="1">VLOOKUP(H785,[2]character_type_i18n!$A:$F,6,FALSE)</f>
        <v>1</v>
      </c>
      <c r="M785" s="9" t="str">
        <f ca="1">VLOOKUP(A785,[2]characters!$A:$M,13,FALSE)</f>
        <v>academia</v>
      </c>
      <c r="N785" s="6" t="str">
        <f ca="1">VLOOKUP(M785,[2]character_tribe_i18n!$A:$F,3,FALSE)</f>
        <v>アカデミア</v>
      </c>
      <c r="O785" s="97">
        <f ca="1">VLOOKUP(M785,[2]character_tribe_i18n!$A:$F,4,FALSE)</f>
        <v>1</v>
      </c>
      <c r="P785" s="97">
        <f ca="1">VLOOKUP(M785,[2]character_tribe_i18n!$A:$F,5,FALSE)</f>
        <v>1</v>
      </c>
      <c r="Q785" s="97">
        <f ca="1">VLOOKUP(M785,[2]character_tribe_i18n!$A:$F,6,FALSE)</f>
        <v>1</v>
      </c>
      <c r="R785" s="98" t="s">
        <v>98</v>
      </c>
      <c r="S785" s="97">
        <f>VLOOKUP($R785,ラベル別係数!$A$1:$E$7,3,FALSE)</f>
        <v>5</v>
      </c>
      <c r="T785" s="97">
        <f>VLOOKUP($R785,ラベル別係数!$A$1:$E$7,4,FALSE)</f>
        <v>1.3</v>
      </c>
      <c r="U785" s="97">
        <f>VLOOKUP($R785,ラベル別係数!$A$1:$E$7,5,FALSE)</f>
        <v>0.8</v>
      </c>
      <c r="V785" s="98">
        <v>3</v>
      </c>
      <c r="W785" s="99">
        <f>VLOOKUP(V785,ターン数別攻撃係数!$A$1:$B$1000,2,FALSE)</f>
        <v>1</v>
      </c>
      <c r="X785" s="9">
        <f ca="1">VLOOKUP(C785,サイズ別係数!A$2:B$9,2,FALSE)</f>
        <v>60</v>
      </c>
      <c r="Y785" s="97">
        <f ca="1">VLOOKUP($X785,サイズ別係数!$B:$E,2,FALSE)</f>
        <v>1.7</v>
      </c>
      <c r="Z785" s="97">
        <f ca="1">VLOOKUP($X785,サイズ別係数!$B:$E,3,FALSE)</f>
        <v>1.4</v>
      </c>
      <c r="AA785" s="97">
        <f ca="1">VLOOKUP($X785,サイズ別係数!$B:$E,4,FALSE)</f>
        <v>1</v>
      </c>
      <c r="AB785" s="10">
        <v>0</v>
      </c>
      <c r="AC785" s="6" t="str">
        <f ca="1">VLOOKUP($AB785,OFFSET([3]enemy_skill_sets!$B$2,0,0,COUNTA([3]enemy_skill_sets!$A:$A),MATCH(AC$1,[3]enemy_skill_sets!$1:$1,0)-MATCH($AB$1,[3]enemy_skill_sets!$1:$1,0)+1),MATCH(AC$1,[3]enemy_skill_sets!$1:$1,0)-MATCH($AB$1,[3]enemy_skill_sets!$1:$1,0)+1,FALSE)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5" s="67">
        <v>1</v>
      </c>
      <c r="AE785" s="67">
        <v>1</v>
      </c>
      <c r="AF785" s="68">
        <v>0</v>
      </c>
      <c r="AG785" s="99">
        <f ca="1">ROUND(VLOOKUP(1,enemy_base_stats!$A:$F,2,FALSE) * Y785* J785*O785*E785*S785*AD785*[2]ステータス!$B$2,0)</f>
        <v>3825</v>
      </c>
      <c r="AH785" s="99">
        <f ca="1">ROUND(VLOOKUP(1,enemy_base_stats!$A:$F,3,FALSE) * Z785*K785*P785*F785*T785*AE785 * W785*[2]ステータス!$C$2,0)</f>
        <v>251</v>
      </c>
      <c r="AI785" s="99">
        <f ca="1">ROUND(VLOOKUP(1,enemy_base_stats!$A:$F,4,FALSE) * AA785*L785*Q785*G785*U785*AF785*[2]ステータス!$D$2,0)</f>
        <v>0</v>
      </c>
      <c r="AJ785" s="99">
        <f ca="1">ROUND(VLOOKUP(100,enemy_base_stats!$A:$F,2,FALSE) * Y785* J785*O785*E785*S785*AD785*[2]ステータス!$B$2,0)</f>
        <v>155295</v>
      </c>
      <c r="AK785" s="99">
        <f ca="1">ROUND(VLOOKUP(100,enemy_base_stats!$A:$F,3,FALSE)* Z785* K785*P785*F785*T785*AE785 * W785*[2]ステータス!$C$2,0)</f>
        <v>10175</v>
      </c>
      <c r="AL785" s="99">
        <f ca="1">ROUND(VLOOKUP(100,enemy_base_stats!$A:$F,4,FALSE)* AA785* L785*Q785*G785*U785*AF785*[2]ステータス!$D$2,0)</f>
        <v>0</v>
      </c>
      <c r="AM785" s="97">
        <f ca="1">VLOOKUP(M785,[2]character_tribe_i18n!$A:$I,9,FALSE)</f>
        <v>400</v>
      </c>
      <c r="AN785" s="97">
        <v>0</v>
      </c>
      <c r="AO785" s="98">
        <v>0</v>
      </c>
      <c r="AP785" s="58" t="s">
        <v>72</v>
      </c>
      <c r="AQ785" s="34">
        <f t="shared" ca="1" si="46"/>
        <v>784</v>
      </c>
    </row>
    <row r="786" spans="1:43" ht="21" customHeight="1" x14ac:dyDescent="0.15">
      <c r="A786" s="7">
        <f t="shared" ca="1" si="45"/>
        <v>785</v>
      </c>
      <c r="B786" s="6" t="str">
        <f ca="1">VLOOKUP(A786,[2]characters!$A:$C,3,FALSE)</f>
        <v>あけおめダック2017</v>
      </c>
      <c r="C786" s="9">
        <f ca="1">VLOOKUP(A786,[2]characters!$A:$I,9,FALSE)</f>
        <v>6</v>
      </c>
      <c r="D786" s="9" t="str">
        <f ca="1">VLOOKUP(A786,[2]characters!$A:$H,8,FALSE)</f>
        <v>yellow</v>
      </c>
      <c r="E786" s="97">
        <f ca="1">VLOOKUP(D786,[2]属性!$A:$E,2,FALSE)</f>
        <v>0.98</v>
      </c>
      <c r="F786" s="97">
        <f ca="1">VLOOKUP(D786,[2]属性!$A:$E,3,FALSE)</f>
        <v>1.01</v>
      </c>
      <c r="G786" s="97">
        <f ca="1">VLOOKUP(D786,[2]属性!$A:$F,4,FALSE)</f>
        <v>1</v>
      </c>
      <c r="H786" s="9" t="str">
        <f ca="1">VLOOKUP(A786,[2]characters!$A:$K,11,FALSE)</f>
        <v>coin</v>
      </c>
      <c r="I786" s="6" t="str">
        <f ca="1">VLOOKUP(H786,[2]character_type_i18n!$A:$F,3,FALSE)</f>
        <v>コインタイプ</v>
      </c>
      <c r="J786" s="97">
        <f ca="1">VLOOKUP(H786,[2]character_type_i18n!$A:$F,4,FALSE)</f>
        <v>0.1</v>
      </c>
      <c r="K786" s="97">
        <f ca="1">VLOOKUP(H786,[2]character_type_i18n!$A:$F,5,FALSE)</f>
        <v>0.05</v>
      </c>
      <c r="L786" s="97">
        <f ca="1">VLOOKUP(H786,[2]character_type_i18n!$A:$F,6,FALSE)</f>
        <v>1</v>
      </c>
      <c r="M786" s="9" t="str">
        <f ca="1">VLOOKUP(A786,[2]characters!$A:$M,13,FALSE)</f>
        <v>unknown</v>
      </c>
      <c r="N786" s="6" t="str">
        <f ca="1">VLOOKUP(M786,[2]character_tribe_i18n!$A:$F,3,FALSE)</f>
        <v>Unknown</v>
      </c>
      <c r="O786" s="97">
        <f ca="1">VLOOKUP(M786,[2]character_tribe_i18n!$A:$F,4,FALSE)</f>
        <v>1</v>
      </c>
      <c r="P786" s="97">
        <f ca="1">VLOOKUP(M786,[2]character_tribe_i18n!$A:$F,5,FALSE)</f>
        <v>1</v>
      </c>
      <c r="Q786" s="97">
        <f ca="1">VLOOKUP(M786,[2]character_tribe_i18n!$A:$F,6,FALSE)</f>
        <v>1</v>
      </c>
      <c r="R786" s="98" t="s">
        <v>98</v>
      </c>
      <c r="S786" s="97">
        <f>VLOOKUP($R786,ラベル別係数!$A$1:$E$7,3,FALSE)</f>
        <v>5</v>
      </c>
      <c r="T786" s="97">
        <f>VLOOKUP($R786,ラベル別係数!$A$1:$E$7,4,FALSE)</f>
        <v>1.3</v>
      </c>
      <c r="U786" s="97">
        <f>VLOOKUP($R786,ラベル別係数!$A$1:$E$7,5,FALSE)</f>
        <v>0.8</v>
      </c>
      <c r="V786" s="98">
        <v>3</v>
      </c>
      <c r="W786" s="99">
        <f>VLOOKUP(V786,ターン数別攻撃係数!$A$1:$B$1000,2,FALSE)</f>
        <v>1</v>
      </c>
      <c r="X786" s="9">
        <f ca="1">VLOOKUP(C786,サイズ別係数!A$2:B$9,2,FALSE)</f>
        <v>60</v>
      </c>
      <c r="Y786" s="97">
        <f ca="1">VLOOKUP($X786,サイズ別係数!$B:$E,2,FALSE)</f>
        <v>1.7</v>
      </c>
      <c r="Z786" s="97">
        <f ca="1">VLOOKUP($X786,サイズ別係数!$B:$E,3,FALSE)</f>
        <v>1.4</v>
      </c>
      <c r="AA786" s="97">
        <f ca="1">VLOOKUP($X786,サイズ別係数!$B:$E,4,FALSE)</f>
        <v>1</v>
      </c>
      <c r="AB786" s="10">
        <v>0</v>
      </c>
      <c r="AC786" s="6" t="str">
        <f ca="1">VLOOKUP($AB786,OFFSET([3]enemy_skill_sets!$B$2,0,0,COUNTA([3]enemy_skill_sets!$A:$A),MATCH(AC$1,[3]enemy_skill_sets!$1:$1,0)-MATCH($AB$1,[3]enemy_skill_sets!$1:$1,0)+1),MATCH(AC$1,[3]enemy_skill_sets!$1:$1,0)-MATCH($AB$1,[3]enemy_skill_sets!$1:$1,0)+1,FALSE)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6" s="67">
        <v>1</v>
      </c>
      <c r="AE786" s="67">
        <v>1</v>
      </c>
      <c r="AF786" s="68">
        <v>0</v>
      </c>
      <c r="AG786" s="99">
        <f ca="1">ROUND(VLOOKUP(1,enemy_base_stats!$A:$F,2,FALSE) * Y786* J786*O786*E786*S786*AD786*[2]ステータス!$B$2,0)</f>
        <v>417</v>
      </c>
      <c r="AH786" s="99">
        <f ca="1">ROUND(VLOOKUP(1,enemy_base_stats!$A:$F,3,FALSE) * Z786*K786*P786*F786*T786*AE786 * W786*[2]ステータス!$C$2,0)</f>
        <v>14</v>
      </c>
      <c r="AI786" s="99">
        <f ca="1">ROUND(VLOOKUP(1,enemy_base_stats!$A:$F,4,FALSE) * AA786*L786*Q786*G786*U786*AF786*[2]ステータス!$D$2,0)</f>
        <v>0</v>
      </c>
      <c r="AJ786" s="99">
        <f ca="1">ROUND(VLOOKUP(100,enemy_base_stats!$A:$F,2,FALSE) * Y786* J786*O786*E786*S786*AD786*[2]ステータス!$B$2,0)</f>
        <v>16910</v>
      </c>
      <c r="AK786" s="99">
        <f ca="1">ROUND(VLOOKUP(100,enemy_base_stats!$A:$F,3,FALSE)* Z786* K786*P786*F786*T786*AE786 * W786*[2]ステータス!$C$2,0)</f>
        <v>560</v>
      </c>
      <c r="AL786" s="99">
        <f ca="1">ROUND(VLOOKUP(100,enemy_base_stats!$A:$F,4,FALSE)* AA786* L786*Q786*G786*U786*AF786*[2]ステータス!$D$2,0)</f>
        <v>0</v>
      </c>
      <c r="AM786" s="97">
        <f ca="1">VLOOKUP(M786,[2]character_tribe_i18n!$A:$I,9,FALSE)</f>
        <v>340</v>
      </c>
      <c r="AN786" s="97">
        <v>0</v>
      </c>
      <c r="AO786" s="98">
        <v>0</v>
      </c>
      <c r="AP786" s="58" t="s">
        <v>72</v>
      </c>
      <c r="AQ786" s="34">
        <f t="shared" ca="1" si="46"/>
        <v>785</v>
      </c>
    </row>
    <row r="787" spans="1:43" ht="21" customHeight="1" x14ac:dyDescent="0.15">
      <c r="A787" s="7">
        <f t="shared" ca="1" si="45"/>
        <v>786</v>
      </c>
      <c r="B787" s="6" t="str">
        <f ca="1">VLOOKUP(A787,[2]characters!$A:$C,3,FALSE)</f>
        <v>ヘイウェイ</v>
      </c>
      <c r="C787" s="9">
        <f ca="1">VLOOKUP(A787,[2]characters!$A:$I,9,FALSE)</f>
        <v>5</v>
      </c>
      <c r="D787" s="9" t="str">
        <f ca="1">VLOOKUP(A787,[2]characters!$A:$H,8,FALSE)</f>
        <v>red</v>
      </c>
      <c r="E787" s="97">
        <f ca="1">VLOOKUP(D787,[2]属性!$A:$E,2,FALSE)</f>
        <v>1</v>
      </c>
      <c r="F787" s="97">
        <f ca="1">VLOOKUP(D787,[2]属性!$A:$E,3,FALSE)</f>
        <v>1.02</v>
      </c>
      <c r="G787" s="97">
        <f ca="1">VLOOKUP(D787,[2]属性!$A:$F,4,FALSE)</f>
        <v>1</v>
      </c>
      <c r="H787" s="9" t="str">
        <f ca="1">VLOOKUP(A787,[2]characters!$A:$K,11,FALSE)</f>
        <v>attack</v>
      </c>
      <c r="I787" s="6" t="str">
        <f ca="1">VLOOKUP(H787,[2]character_type_i18n!$A:$F,3,FALSE)</f>
        <v>攻撃タイプ</v>
      </c>
      <c r="J787" s="97">
        <f ca="1">VLOOKUP(H787,[2]character_type_i18n!$A:$F,4,FALSE)</f>
        <v>1</v>
      </c>
      <c r="K787" s="97">
        <f ca="1">VLOOKUP(H787,[2]character_type_i18n!$A:$F,5,FALSE)</f>
        <v>1.33</v>
      </c>
      <c r="L787" s="97">
        <f ca="1">VLOOKUP(H787,[2]character_type_i18n!$A:$F,6,FALSE)</f>
        <v>1</v>
      </c>
      <c r="M787" s="9" t="str">
        <f ca="1">VLOOKUP(A787,[2]characters!$A:$M,13,FALSE)</f>
        <v>dragon</v>
      </c>
      <c r="N787" s="6" t="str">
        <f ca="1">VLOOKUP(M787,[2]character_tribe_i18n!$A:$F,3,FALSE)</f>
        <v>ドラゴン</v>
      </c>
      <c r="O787" s="97">
        <f ca="1">VLOOKUP(M787,[2]character_tribe_i18n!$A:$F,4,FALSE)</f>
        <v>1.1499999999999999</v>
      </c>
      <c r="P787" s="97">
        <f ca="1">VLOOKUP(M787,[2]character_tribe_i18n!$A:$F,5,FALSE)</f>
        <v>1.1000000000000001</v>
      </c>
      <c r="Q787" s="97">
        <f ca="1">VLOOKUP(M787,[2]character_tribe_i18n!$A:$F,6,FALSE)</f>
        <v>1</v>
      </c>
      <c r="R787" s="98" t="s">
        <v>98</v>
      </c>
      <c r="S787" s="97">
        <f>VLOOKUP($R787,ラベル別係数!$A$1:$E$7,3,FALSE)</f>
        <v>5</v>
      </c>
      <c r="T787" s="97">
        <f>VLOOKUP($R787,ラベル別係数!$A$1:$E$7,4,FALSE)</f>
        <v>1.3</v>
      </c>
      <c r="U787" s="97">
        <f>VLOOKUP($R787,ラベル別係数!$A$1:$E$7,5,FALSE)</f>
        <v>0.8</v>
      </c>
      <c r="V787" s="98">
        <v>3</v>
      </c>
      <c r="W787" s="99">
        <f>VLOOKUP(V787,ターン数別攻撃係数!$A$1:$B$1000,2,FALSE)</f>
        <v>1</v>
      </c>
      <c r="X787" s="9">
        <f ca="1">VLOOKUP(C787,サイズ別係数!A$2:B$9,2,FALSE)</f>
        <v>60</v>
      </c>
      <c r="Y787" s="97">
        <f ca="1">VLOOKUP($X787,サイズ別係数!$B:$E,2,FALSE)</f>
        <v>1.7</v>
      </c>
      <c r="Z787" s="97">
        <f ca="1">VLOOKUP($X787,サイズ別係数!$B:$E,3,FALSE)</f>
        <v>1.4</v>
      </c>
      <c r="AA787" s="97">
        <f ca="1">VLOOKUP($X787,サイズ別係数!$B:$E,4,FALSE)</f>
        <v>1</v>
      </c>
      <c r="AB787" s="10">
        <v>0</v>
      </c>
      <c r="AC787" s="6" t="str">
        <f ca="1">VLOOKUP($AB787,OFFSET([3]enemy_skill_sets!$B$2,0,0,COUNTA([3]enemy_skill_sets!$A:$A),MATCH(AC$1,[3]enemy_skill_sets!$1:$1,0)-MATCH($AB$1,[3]enemy_skill_sets!$1:$1,0)+1),MATCH(AC$1,[3]enemy_skill_sets!$1:$1,0)-MATCH($AB$1,[3]enemy_skill_sets!$1:$1,0)+1,FALSE)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7" s="67">
        <v>1</v>
      </c>
      <c r="AE787" s="67">
        <v>1</v>
      </c>
      <c r="AF787" s="68">
        <v>0</v>
      </c>
      <c r="AG787" s="99">
        <f ca="1">ROUND(VLOOKUP(1,enemy_base_stats!$A:$F,2,FALSE) * Y787* J787*O787*E787*S787*AD787*[2]ステータス!$B$2,0)</f>
        <v>4888</v>
      </c>
      <c r="AH787" s="99">
        <f ca="1">ROUND(VLOOKUP(1,enemy_base_stats!$A:$F,3,FALSE) * Z787*K787*P787*F787*T787*AE787 * W787*[2]ステータス!$C$2,0)</f>
        <v>407</v>
      </c>
      <c r="AI787" s="99">
        <f ca="1">ROUND(VLOOKUP(1,enemy_base_stats!$A:$F,4,FALSE) * AA787*L787*Q787*G787*U787*AF787*[2]ステータス!$D$2,0)</f>
        <v>0</v>
      </c>
      <c r="AJ787" s="99">
        <f ca="1">ROUND(VLOOKUP(100,enemy_base_stats!$A:$F,2,FALSE) * Y787* J787*O787*E787*S787*AD787*[2]ステータス!$B$2,0)</f>
        <v>198433</v>
      </c>
      <c r="AK787" s="99">
        <f ca="1">ROUND(VLOOKUP(100,enemy_base_stats!$A:$F,3,FALSE)* Z787* K787*P787*F787*T787*AE787 * W787*[2]ステータス!$C$2,0)</f>
        <v>16540</v>
      </c>
      <c r="AL787" s="99">
        <f ca="1">ROUND(VLOOKUP(100,enemy_base_stats!$A:$F,4,FALSE)* AA787* L787*Q787*G787*U787*AF787*[2]ステータス!$D$2,0)</f>
        <v>0</v>
      </c>
      <c r="AM787" s="97">
        <f ca="1">VLOOKUP(M787,[2]character_tribe_i18n!$A:$I,9,FALSE)</f>
        <v>540</v>
      </c>
      <c r="AN787" s="97">
        <v>0</v>
      </c>
      <c r="AO787" s="98">
        <v>0</v>
      </c>
      <c r="AP787" s="58" t="s">
        <v>72</v>
      </c>
      <c r="AQ787" s="34">
        <f t="shared" ca="1" si="46"/>
        <v>786</v>
      </c>
    </row>
    <row r="788" spans="1:43" ht="21" customHeight="1" x14ac:dyDescent="0.15">
      <c r="A788" s="7">
        <f t="shared" ca="1" si="45"/>
        <v>787</v>
      </c>
      <c r="B788" s="6" t="str">
        <f ca="1">VLOOKUP(A788,[2]characters!$A:$C,3,FALSE)</f>
        <v>極閃描牙 ヘイウェイ</v>
      </c>
      <c r="C788" s="9">
        <f ca="1">VLOOKUP(A788,[2]characters!$A:$I,9,FALSE)</f>
        <v>6</v>
      </c>
      <c r="D788" s="9" t="str">
        <f ca="1">VLOOKUP(A788,[2]characters!$A:$H,8,FALSE)</f>
        <v>red</v>
      </c>
      <c r="E788" s="97">
        <f ca="1">VLOOKUP(D788,[2]属性!$A:$E,2,FALSE)</f>
        <v>1</v>
      </c>
      <c r="F788" s="97">
        <f ca="1">VLOOKUP(D788,[2]属性!$A:$E,3,FALSE)</f>
        <v>1.02</v>
      </c>
      <c r="G788" s="97">
        <f ca="1">VLOOKUP(D788,[2]属性!$A:$F,4,FALSE)</f>
        <v>1</v>
      </c>
      <c r="H788" s="9" t="str">
        <f ca="1">VLOOKUP(A788,[2]characters!$A:$K,11,FALSE)</f>
        <v>attack</v>
      </c>
      <c r="I788" s="6" t="str">
        <f ca="1">VLOOKUP(H788,[2]character_type_i18n!$A:$F,3,FALSE)</f>
        <v>攻撃タイプ</v>
      </c>
      <c r="J788" s="97">
        <f ca="1">VLOOKUP(H788,[2]character_type_i18n!$A:$F,4,FALSE)</f>
        <v>1</v>
      </c>
      <c r="K788" s="97">
        <f ca="1">VLOOKUP(H788,[2]character_type_i18n!$A:$F,5,FALSE)</f>
        <v>1.33</v>
      </c>
      <c r="L788" s="97">
        <f ca="1">VLOOKUP(H788,[2]character_type_i18n!$A:$F,6,FALSE)</f>
        <v>1</v>
      </c>
      <c r="M788" s="9" t="str">
        <f ca="1">VLOOKUP(A788,[2]characters!$A:$M,13,FALSE)</f>
        <v>dragon</v>
      </c>
      <c r="N788" s="6" t="str">
        <f ca="1">VLOOKUP(M788,[2]character_tribe_i18n!$A:$F,3,FALSE)</f>
        <v>ドラゴン</v>
      </c>
      <c r="O788" s="97">
        <f ca="1">VLOOKUP(M788,[2]character_tribe_i18n!$A:$F,4,FALSE)</f>
        <v>1.1499999999999999</v>
      </c>
      <c r="P788" s="97">
        <f ca="1">VLOOKUP(M788,[2]character_tribe_i18n!$A:$F,5,FALSE)</f>
        <v>1.1000000000000001</v>
      </c>
      <c r="Q788" s="97">
        <f ca="1">VLOOKUP(M788,[2]character_tribe_i18n!$A:$F,6,FALSE)</f>
        <v>1</v>
      </c>
      <c r="R788" s="98" t="s">
        <v>98</v>
      </c>
      <c r="S788" s="97">
        <f>VLOOKUP($R788,ラベル別係数!$A$1:$E$7,3,FALSE)</f>
        <v>5</v>
      </c>
      <c r="T788" s="97">
        <f>VLOOKUP($R788,ラベル別係数!$A$1:$E$7,4,FALSE)</f>
        <v>1.3</v>
      </c>
      <c r="U788" s="97">
        <f>VLOOKUP($R788,ラベル別係数!$A$1:$E$7,5,FALSE)</f>
        <v>0.8</v>
      </c>
      <c r="V788" s="98">
        <v>3</v>
      </c>
      <c r="W788" s="99">
        <f>VLOOKUP(V788,ターン数別攻撃係数!$A$1:$B$1000,2,FALSE)</f>
        <v>1</v>
      </c>
      <c r="X788" s="9">
        <f ca="1">VLOOKUP(C788,サイズ別係数!A$2:B$9,2,FALSE)</f>
        <v>60</v>
      </c>
      <c r="Y788" s="97">
        <f ca="1">VLOOKUP($X788,サイズ別係数!$B:$E,2,FALSE)</f>
        <v>1.7</v>
      </c>
      <c r="Z788" s="97">
        <f ca="1">VLOOKUP($X788,サイズ別係数!$B:$E,3,FALSE)</f>
        <v>1.4</v>
      </c>
      <c r="AA788" s="97">
        <f ca="1">VLOOKUP($X788,サイズ別係数!$B:$E,4,FALSE)</f>
        <v>1</v>
      </c>
      <c r="AB788" s="10">
        <v>0</v>
      </c>
      <c r="AC788" s="6" t="str">
        <f ca="1">VLOOKUP($AB788,OFFSET([3]enemy_skill_sets!$B$2,0,0,COUNTA([3]enemy_skill_sets!$A:$A),MATCH(AC$1,[3]enemy_skill_sets!$1:$1,0)-MATCH($AB$1,[3]enemy_skill_sets!$1:$1,0)+1),MATCH(AC$1,[3]enemy_skill_sets!$1:$1,0)-MATCH($AB$1,[3]enemy_skill_sets!$1:$1,0)+1,FALSE)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8" s="67">
        <v>1</v>
      </c>
      <c r="AE788" s="67">
        <v>1</v>
      </c>
      <c r="AF788" s="68">
        <v>0</v>
      </c>
      <c r="AG788" s="99">
        <f ca="1">ROUND(VLOOKUP(1,enemy_base_stats!$A:$F,2,FALSE) * Y788* J788*O788*E788*S788*AD788*[2]ステータス!$B$2,0)</f>
        <v>4888</v>
      </c>
      <c r="AH788" s="99">
        <f ca="1">ROUND(VLOOKUP(1,enemy_base_stats!$A:$F,3,FALSE) * Z788*K788*P788*F788*T788*AE788 * W788*[2]ステータス!$C$2,0)</f>
        <v>407</v>
      </c>
      <c r="AI788" s="99">
        <f ca="1">ROUND(VLOOKUP(1,enemy_base_stats!$A:$F,4,FALSE) * AA788*L788*Q788*G788*U788*AF788*[2]ステータス!$D$2,0)</f>
        <v>0</v>
      </c>
      <c r="AJ788" s="99">
        <f ca="1">ROUND(VLOOKUP(100,enemy_base_stats!$A:$F,2,FALSE) * Y788* J788*O788*E788*S788*AD788*[2]ステータス!$B$2,0)</f>
        <v>198433</v>
      </c>
      <c r="AK788" s="99">
        <f ca="1">ROUND(VLOOKUP(100,enemy_base_stats!$A:$F,3,FALSE)* Z788* K788*P788*F788*T788*AE788 * W788*[2]ステータス!$C$2,0)</f>
        <v>16540</v>
      </c>
      <c r="AL788" s="99">
        <f ca="1">ROUND(VLOOKUP(100,enemy_base_stats!$A:$F,4,FALSE)* AA788* L788*Q788*G788*U788*AF788*[2]ステータス!$D$2,0)</f>
        <v>0</v>
      </c>
      <c r="AM788" s="97">
        <f ca="1">VLOOKUP(M788,[2]character_tribe_i18n!$A:$I,9,FALSE)</f>
        <v>540</v>
      </c>
      <c r="AN788" s="97">
        <v>0</v>
      </c>
      <c r="AO788" s="98">
        <v>0</v>
      </c>
      <c r="AP788" s="58" t="s">
        <v>72</v>
      </c>
      <c r="AQ788" s="34">
        <f t="shared" ca="1" si="46"/>
        <v>787</v>
      </c>
    </row>
    <row r="789" spans="1:43" ht="21" customHeight="1" x14ac:dyDescent="0.15">
      <c r="A789" s="7">
        <f t="shared" ca="1" si="45"/>
        <v>788</v>
      </c>
      <c r="B789" s="6" t="str">
        <f ca="1">VLOOKUP(A789,[2]characters!$A:$C,3,FALSE)</f>
        <v>アトラス</v>
      </c>
      <c r="C789" s="9">
        <f ca="1">VLOOKUP(A789,[2]characters!$A:$I,9,FALSE)</f>
        <v>5</v>
      </c>
      <c r="D789" s="9" t="str">
        <f ca="1">VLOOKUP(A789,[2]characters!$A:$H,8,FALSE)</f>
        <v>green</v>
      </c>
      <c r="E789" s="97">
        <f ca="1">VLOOKUP(D789,[2]属性!$A:$E,2,FALSE)</f>
        <v>1.02</v>
      </c>
      <c r="F789" s="97">
        <f ca="1">VLOOKUP(D789,[2]属性!$A:$E,3,FALSE)</f>
        <v>0.98</v>
      </c>
      <c r="G789" s="97">
        <f ca="1">VLOOKUP(D789,[2]属性!$A:$F,4,FALSE)</f>
        <v>1</v>
      </c>
      <c r="H789" s="9" t="str">
        <f ca="1">VLOOKUP(A789,[2]characters!$A:$K,11,FALSE)</f>
        <v>balance</v>
      </c>
      <c r="I789" s="6" t="str">
        <f ca="1">VLOOKUP(H789,[2]character_type_i18n!$A:$F,3,FALSE)</f>
        <v>バランスタイプ</v>
      </c>
      <c r="J789" s="97">
        <f ca="1">VLOOKUP(H789,[2]character_type_i18n!$A:$F,4,FALSE)</f>
        <v>1</v>
      </c>
      <c r="K789" s="97">
        <f ca="1">VLOOKUP(H789,[2]character_type_i18n!$A:$F,5,FALSE)</f>
        <v>1</v>
      </c>
      <c r="L789" s="97">
        <f ca="1">VLOOKUP(H789,[2]character_type_i18n!$A:$F,6,FALSE)</f>
        <v>1</v>
      </c>
      <c r="M789" s="9" t="str">
        <f ca="1">VLOOKUP(A789,[2]characters!$A:$M,13,FALSE)</f>
        <v>god</v>
      </c>
      <c r="N789" s="6" t="str">
        <f ca="1">VLOOKUP(M789,[2]character_tribe_i18n!$A:$F,3,FALSE)</f>
        <v>ゴッド</v>
      </c>
      <c r="O789" s="97">
        <f ca="1">VLOOKUP(M789,[2]character_tribe_i18n!$A:$F,4,FALSE)</f>
        <v>0.96</v>
      </c>
      <c r="P789" s="97">
        <f ca="1">VLOOKUP(M789,[2]character_tribe_i18n!$A:$F,5,FALSE)</f>
        <v>1.02</v>
      </c>
      <c r="Q789" s="97">
        <f ca="1">VLOOKUP(M789,[2]character_tribe_i18n!$A:$F,6,FALSE)</f>
        <v>1</v>
      </c>
      <c r="R789" s="98" t="s">
        <v>98</v>
      </c>
      <c r="S789" s="97">
        <f>VLOOKUP($R789,ラベル別係数!$A$1:$E$7,3,FALSE)</f>
        <v>5</v>
      </c>
      <c r="T789" s="97">
        <f>VLOOKUP($R789,ラベル別係数!$A$1:$E$7,4,FALSE)</f>
        <v>1.3</v>
      </c>
      <c r="U789" s="97">
        <f>VLOOKUP($R789,ラベル別係数!$A$1:$E$7,5,FALSE)</f>
        <v>0.8</v>
      </c>
      <c r="V789" s="98">
        <v>3</v>
      </c>
      <c r="W789" s="99">
        <f>VLOOKUP(V789,ターン数別攻撃係数!$A$1:$B$1000,2,FALSE)</f>
        <v>1</v>
      </c>
      <c r="X789" s="9">
        <f ca="1">VLOOKUP(C789,サイズ別係数!A$2:B$9,2,FALSE)</f>
        <v>60</v>
      </c>
      <c r="Y789" s="97">
        <f ca="1">VLOOKUP($X789,サイズ別係数!$B:$E,2,FALSE)</f>
        <v>1.7</v>
      </c>
      <c r="Z789" s="97">
        <f ca="1">VLOOKUP($X789,サイズ別係数!$B:$E,3,FALSE)</f>
        <v>1.4</v>
      </c>
      <c r="AA789" s="97">
        <f ca="1">VLOOKUP($X789,サイズ別係数!$B:$E,4,FALSE)</f>
        <v>1</v>
      </c>
      <c r="AB789" s="10">
        <v>0</v>
      </c>
      <c r="AC789" s="6" t="str">
        <f ca="1">VLOOKUP($AB789,OFFSET([3]enemy_skill_sets!$B$2,0,0,COUNTA([3]enemy_skill_sets!$A:$A),MATCH(AC$1,[3]enemy_skill_sets!$1:$1,0)-MATCH($AB$1,[3]enemy_skill_sets!$1:$1,0)+1),MATCH(AC$1,[3]enemy_skill_sets!$1:$1,0)-MATCH($AB$1,[3]enemy_skill_sets!$1:$1,0)+1,FALSE)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89" s="67">
        <v>1</v>
      </c>
      <c r="AE789" s="67">
        <v>1</v>
      </c>
      <c r="AF789" s="68">
        <v>0</v>
      </c>
      <c r="AG789" s="99">
        <f ca="1">ROUND(VLOOKUP(1,enemy_base_stats!$A:$F,2,FALSE) * Y789* J789*O789*E789*S789*AD789*[2]ステータス!$B$2,0)</f>
        <v>4162</v>
      </c>
      <c r="AH789" s="99">
        <f ca="1">ROUND(VLOOKUP(1,enemy_base_stats!$A:$F,3,FALSE) * Z789*K789*P789*F789*T789*AE789 * W789*[2]ステータス!$C$2,0)</f>
        <v>273</v>
      </c>
      <c r="AI789" s="99">
        <f ca="1">ROUND(VLOOKUP(1,enemy_base_stats!$A:$F,4,FALSE) * AA789*L789*Q789*G789*U789*AF789*[2]ステータス!$D$2,0)</f>
        <v>0</v>
      </c>
      <c r="AJ789" s="99">
        <f ca="1">ROUND(VLOOKUP(100,enemy_base_stats!$A:$F,2,FALSE) * Y789* J789*O789*E789*S789*AD789*[2]ステータス!$B$2,0)</f>
        <v>168961</v>
      </c>
      <c r="AK789" s="99">
        <f ca="1">ROUND(VLOOKUP(100,enemy_base_stats!$A:$F,3,FALSE)* Z789* K789*P789*F789*T789*AE789 * W789*[2]ステータス!$C$2,0)</f>
        <v>11079</v>
      </c>
      <c r="AL789" s="99">
        <f ca="1">ROUND(VLOOKUP(100,enemy_base_stats!$A:$F,4,FALSE)* AA789* L789*Q789*G789*U789*AF789*[2]ステータス!$D$2,0)</f>
        <v>0</v>
      </c>
      <c r="AM789" s="97">
        <f ca="1">VLOOKUP(M789,[2]character_tribe_i18n!$A:$I,9,FALSE)</f>
        <v>680</v>
      </c>
      <c r="AN789" s="97">
        <v>0</v>
      </c>
      <c r="AO789" s="98">
        <v>0</v>
      </c>
      <c r="AP789" s="58" t="s">
        <v>72</v>
      </c>
      <c r="AQ789" s="34">
        <f t="shared" ca="1" si="46"/>
        <v>788</v>
      </c>
    </row>
    <row r="790" spans="1:43" ht="21" customHeight="1" x14ac:dyDescent="0.15">
      <c r="A790" s="7">
        <f t="shared" ca="1" si="45"/>
        <v>789</v>
      </c>
      <c r="B790" s="6" t="str">
        <f ca="1">VLOOKUP(A790,[2]characters!$A:$C,3,FALSE)</f>
        <v>極闘の大鋼腕 アトラス</v>
      </c>
      <c r="C790" s="9">
        <f ca="1">VLOOKUP(A790,[2]characters!$A:$I,9,FALSE)</f>
        <v>6</v>
      </c>
      <c r="D790" s="9" t="str">
        <f ca="1">VLOOKUP(A790,[2]characters!$A:$H,8,FALSE)</f>
        <v>green</v>
      </c>
      <c r="E790" s="97">
        <f ca="1">VLOOKUP(D790,[2]属性!$A:$E,2,FALSE)</f>
        <v>1.02</v>
      </c>
      <c r="F790" s="97">
        <f ca="1">VLOOKUP(D790,[2]属性!$A:$E,3,FALSE)</f>
        <v>0.98</v>
      </c>
      <c r="G790" s="97">
        <f ca="1">VLOOKUP(D790,[2]属性!$A:$F,4,FALSE)</f>
        <v>1</v>
      </c>
      <c r="H790" s="9" t="str">
        <f ca="1">VLOOKUP(A790,[2]characters!$A:$K,11,FALSE)</f>
        <v>balance</v>
      </c>
      <c r="I790" s="6" t="str">
        <f ca="1">VLOOKUP(H790,[2]character_type_i18n!$A:$F,3,FALSE)</f>
        <v>バランスタイプ</v>
      </c>
      <c r="J790" s="97">
        <f ca="1">VLOOKUP(H790,[2]character_type_i18n!$A:$F,4,FALSE)</f>
        <v>1</v>
      </c>
      <c r="K790" s="97">
        <f ca="1">VLOOKUP(H790,[2]character_type_i18n!$A:$F,5,FALSE)</f>
        <v>1</v>
      </c>
      <c r="L790" s="97">
        <f ca="1">VLOOKUP(H790,[2]character_type_i18n!$A:$F,6,FALSE)</f>
        <v>1</v>
      </c>
      <c r="M790" s="9" t="str">
        <f ca="1">VLOOKUP(A790,[2]characters!$A:$M,13,FALSE)</f>
        <v>god</v>
      </c>
      <c r="N790" s="6" t="str">
        <f ca="1">VLOOKUP(M790,[2]character_tribe_i18n!$A:$F,3,FALSE)</f>
        <v>ゴッド</v>
      </c>
      <c r="O790" s="97">
        <f ca="1">VLOOKUP(M790,[2]character_tribe_i18n!$A:$F,4,FALSE)</f>
        <v>0.96</v>
      </c>
      <c r="P790" s="97">
        <f ca="1">VLOOKUP(M790,[2]character_tribe_i18n!$A:$F,5,FALSE)</f>
        <v>1.02</v>
      </c>
      <c r="Q790" s="97">
        <f ca="1">VLOOKUP(M790,[2]character_tribe_i18n!$A:$F,6,FALSE)</f>
        <v>1</v>
      </c>
      <c r="R790" s="98" t="s">
        <v>98</v>
      </c>
      <c r="S790" s="97">
        <f>VLOOKUP($R790,ラベル別係数!$A$1:$E$7,3,FALSE)</f>
        <v>5</v>
      </c>
      <c r="T790" s="97">
        <f>VLOOKUP($R790,ラベル別係数!$A$1:$E$7,4,FALSE)</f>
        <v>1.3</v>
      </c>
      <c r="U790" s="97">
        <f>VLOOKUP($R790,ラベル別係数!$A$1:$E$7,5,FALSE)</f>
        <v>0.8</v>
      </c>
      <c r="V790" s="98">
        <v>3</v>
      </c>
      <c r="W790" s="99">
        <f>VLOOKUP(V790,ターン数別攻撃係数!$A$1:$B$1000,2,FALSE)</f>
        <v>1</v>
      </c>
      <c r="X790" s="9">
        <f ca="1">VLOOKUP(C790,サイズ別係数!A$2:B$9,2,FALSE)</f>
        <v>60</v>
      </c>
      <c r="Y790" s="97">
        <f ca="1">VLOOKUP($X790,サイズ別係数!$B:$E,2,FALSE)</f>
        <v>1.7</v>
      </c>
      <c r="Z790" s="97">
        <f ca="1">VLOOKUP($X790,サイズ別係数!$B:$E,3,FALSE)</f>
        <v>1.4</v>
      </c>
      <c r="AA790" s="97">
        <f ca="1">VLOOKUP($X790,サイズ別係数!$B:$E,4,FALSE)</f>
        <v>1</v>
      </c>
      <c r="AB790" s="10">
        <v>0</v>
      </c>
      <c r="AC790" s="6" t="str">
        <f ca="1">VLOOKUP($AB790,OFFSET([3]enemy_skill_sets!$B$2,0,0,COUNTA([3]enemy_skill_sets!$A:$A),MATCH(AC$1,[3]enemy_skill_sets!$1:$1,0)-MATCH($AB$1,[3]enemy_skill_sets!$1:$1,0)+1),MATCH(AC$1,[3]enemy_skill_sets!$1:$1,0)-MATCH($AB$1,[3]enemy_skill_sets!$1:$1,0)+1,FALSE)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0" s="67">
        <v>1</v>
      </c>
      <c r="AE790" s="67">
        <v>1</v>
      </c>
      <c r="AF790" s="68">
        <v>0</v>
      </c>
      <c r="AG790" s="99">
        <f ca="1">ROUND(VLOOKUP(1,enemy_base_stats!$A:$F,2,FALSE) * Y790* J790*O790*E790*S790*AD790*[2]ステータス!$B$2,0)</f>
        <v>4162</v>
      </c>
      <c r="AH790" s="99">
        <f ca="1">ROUND(VLOOKUP(1,enemy_base_stats!$A:$F,3,FALSE) * Z790*K790*P790*F790*T790*AE790 * W790*[2]ステータス!$C$2,0)</f>
        <v>273</v>
      </c>
      <c r="AI790" s="99">
        <f ca="1">ROUND(VLOOKUP(1,enemy_base_stats!$A:$F,4,FALSE) * AA790*L790*Q790*G790*U790*AF790*[2]ステータス!$D$2,0)</f>
        <v>0</v>
      </c>
      <c r="AJ790" s="99">
        <f ca="1">ROUND(VLOOKUP(100,enemy_base_stats!$A:$F,2,FALSE) * Y790* J790*O790*E790*S790*AD790*[2]ステータス!$B$2,0)</f>
        <v>168961</v>
      </c>
      <c r="AK790" s="99">
        <f ca="1">ROUND(VLOOKUP(100,enemy_base_stats!$A:$F,3,FALSE)* Z790* K790*P790*F790*T790*AE790 * W790*[2]ステータス!$C$2,0)</f>
        <v>11079</v>
      </c>
      <c r="AL790" s="99">
        <f ca="1">ROUND(VLOOKUP(100,enemy_base_stats!$A:$F,4,FALSE)* AA790* L790*Q790*G790*U790*AF790*[2]ステータス!$D$2,0)</f>
        <v>0</v>
      </c>
      <c r="AM790" s="97">
        <f ca="1">VLOOKUP(M790,[2]character_tribe_i18n!$A:$I,9,FALSE)</f>
        <v>680</v>
      </c>
      <c r="AN790" s="97">
        <v>0</v>
      </c>
      <c r="AO790" s="98">
        <v>0</v>
      </c>
      <c r="AP790" s="58" t="s">
        <v>72</v>
      </c>
      <c r="AQ790" s="34">
        <f t="shared" ca="1" si="46"/>
        <v>789</v>
      </c>
    </row>
    <row r="791" spans="1:43" ht="21" customHeight="1" x14ac:dyDescent="0.15">
      <c r="A791" s="7">
        <f t="shared" ca="1" si="45"/>
        <v>790</v>
      </c>
      <c r="B791" s="6" t="str">
        <f ca="1">VLOOKUP(A791,[2]characters!$A:$C,3,FALSE)</f>
        <v>戦略級の才脳 ノイマン</v>
      </c>
      <c r="C791" s="9">
        <f ca="1">VLOOKUP(A791,[2]characters!$A:$I,9,FALSE)</f>
        <v>5</v>
      </c>
      <c r="D791" s="9" t="str">
        <f ca="1">VLOOKUP(A791,[2]characters!$A:$H,8,FALSE)</f>
        <v>blue</v>
      </c>
      <c r="E791" s="97">
        <f ca="1">VLOOKUP(D791,[2]属性!$A:$E,2,FALSE)</f>
        <v>1</v>
      </c>
      <c r="F791" s="97">
        <f ca="1">VLOOKUP(D791,[2]属性!$A:$E,3,FALSE)</f>
        <v>0.98</v>
      </c>
      <c r="G791" s="97">
        <f ca="1">VLOOKUP(D791,[2]属性!$A:$F,4,FALSE)</f>
        <v>1</v>
      </c>
      <c r="H791" s="9" t="str">
        <f ca="1">VLOOKUP(A791,[2]characters!$A:$K,11,FALSE)</f>
        <v>attack</v>
      </c>
      <c r="I791" s="6" t="str">
        <f ca="1">VLOOKUP(H791,[2]character_type_i18n!$A:$F,3,FALSE)</f>
        <v>攻撃タイプ</v>
      </c>
      <c r="J791" s="97">
        <f ca="1">VLOOKUP(H791,[2]character_type_i18n!$A:$F,4,FALSE)</f>
        <v>1</v>
      </c>
      <c r="K791" s="97">
        <f ca="1">VLOOKUP(H791,[2]character_type_i18n!$A:$F,5,FALSE)</f>
        <v>1.33</v>
      </c>
      <c r="L791" s="97">
        <f ca="1">VLOOKUP(H791,[2]character_type_i18n!$A:$F,6,FALSE)</f>
        <v>1</v>
      </c>
      <c r="M791" s="9" t="str">
        <f ca="1">VLOOKUP(A791,[2]characters!$A:$M,13,FALSE)</f>
        <v>machine</v>
      </c>
      <c r="N791" s="6" t="str">
        <f ca="1">VLOOKUP(M791,[2]character_tribe_i18n!$A:$F,3,FALSE)</f>
        <v>マシン</v>
      </c>
      <c r="O791" s="97">
        <f ca="1">VLOOKUP(M791,[2]character_tribe_i18n!$A:$F,4,FALSE)</f>
        <v>1</v>
      </c>
      <c r="P791" s="97">
        <f ca="1">VLOOKUP(M791,[2]character_tribe_i18n!$A:$F,5,FALSE)</f>
        <v>1</v>
      </c>
      <c r="Q791" s="97">
        <f ca="1">VLOOKUP(M791,[2]character_tribe_i18n!$A:$F,6,FALSE)</f>
        <v>1</v>
      </c>
      <c r="R791" s="98" t="s">
        <v>98</v>
      </c>
      <c r="S791" s="97">
        <f>VLOOKUP($R791,ラベル別係数!$A$1:$E$7,3,FALSE)</f>
        <v>5</v>
      </c>
      <c r="T791" s="97">
        <f>VLOOKUP($R791,ラベル別係数!$A$1:$E$7,4,FALSE)</f>
        <v>1.3</v>
      </c>
      <c r="U791" s="97">
        <f>VLOOKUP($R791,ラベル別係数!$A$1:$E$7,5,FALSE)</f>
        <v>0.8</v>
      </c>
      <c r="V791" s="98">
        <v>3</v>
      </c>
      <c r="W791" s="99">
        <f>VLOOKUP(V791,ターン数別攻撃係数!$A$1:$B$1000,2,FALSE)</f>
        <v>1</v>
      </c>
      <c r="X791" s="9">
        <f ca="1">VLOOKUP(C791,サイズ別係数!A$2:B$9,2,FALSE)</f>
        <v>60</v>
      </c>
      <c r="Y791" s="97">
        <f ca="1">VLOOKUP($X791,サイズ別係数!$B:$E,2,FALSE)</f>
        <v>1.7</v>
      </c>
      <c r="Z791" s="97">
        <f ca="1">VLOOKUP($X791,サイズ別係数!$B:$E,3,FALSE)</f>
        <v>1.4</v>
      </c>
      <c r="AA791" s="97">
        <f ca="1">VLOOKUP($X791,サイズ別係数!$B:$E,4,FALSE)</f>
        <v>1</v>
      </c>
      <c r="AB791" s="10">
        <v>0</v>
      </c>
      <c r="AC791" s="6" t="str">
        <f ca="1">VLOOKUP($AB791,OFFSET([3]enemy_skill_sets!$B$2,0,0,COUNTA([3]enemy_skill_sets!$A:$A),MATCH(AC$1,[3]enemy_skill_sets!$1:$1,0)-MATCH($AB$1,[3]enemy_skill_sets!$1:$1,0)+1),MATCH(AC$1,[3]enemy_skill_sets!$1:$1,0)-MATCH($AB$1,[3]enemy_skill_sets!$1:$1,0)+1,FALSE)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1" s="67">
        <v>1</v>
      </c>
      <c r="AE791" s="67">
        <v>1</v>
      </c>
      <c r="AF791" s="68">
        <v>0</v>
      </c>
      <c r="AG791" s="99">
        <f ca="1">ROUND(VLOOKUP(1,enemy_base_stats!$A:$F,2,FALSE) * Y791* J791*O791*E791*S791*AD791*[2]ステータス!$B$2,0)</f>
        <v>4250</v>
      </c>
      <c r="AH791" s="99">
        <f ca="1">ROUND(VLOOKUP(1,enemy_base_stats!$A:$F,3,FALSE) * Z791*K791*P791*F791*T791*AE791 * W791*[2]ステータス!$C$2,0)</f>
        <v>356</v>
      </c>
      <c r="AI791" s="99">
        <f ca="1">ROUND(VLOOKUP(1,enemy_base_stats!$A:$F,4,FALSE) * AA791*L791*Q791*G791*U791*AF791*[2]ステータス!$D$2,0)</f>
        <v>0</v>
      </c>
      <c r="AJ791" s="99">
        <f ca="1">ROUND(VLOOKUP(100,enemy_base_stats!$A:$F,2,FALSE) * Y791* J791*O791*E791*S791*AD791*[2]ステータス!$B$2,0)</f>
        <v>172550</v>
      </c>
      <c r="AK791" s="99">
        <f ca="1">ROUND(VLOOKUP(100,enemy_base_stats!$A:$F,3,FALSE)* Z791* K791*P791*F791*T791*AE791 * W791*[2]ステータス!$C$2,0)</f>
        <v>14447</v>
      </c>
      <c r="AL791" s="99">
        <f ca="1">ROUND(VLOOKUP(100,enemy_base_stats!$A:$F,4,FALSE)* AA791* L791*Q791*G791*U791*AF791*[2]ステータス!$D$2,0)</f>
        <v>0</v>
      </c>
      <c r="AM791" s="97">
        <f ca="1">VLOOKUP(M791,[2]character_tribe_i18n!$A:$I,9,FALSE)</f>
        <v>520</v>
      </c>
      <c r="AN791" s="97">
        <v>0</v>
      </c>
      <c r="AO791" s="98">
        <v>0</v>
      </c>
      <c r="AP791" s="58" t="s">
        <v>72</v>
      </c>
      <c r="AQ791" s="34">
        <f t="shared" ca="1" si="46"/>
        <v>790</v>
      </c>
    </row>
    <row r="792" spans="1:43" ht="21" customHeight="1" x14ac:dyDescent="0.15">
      <c r="A792" s="7">
        <f t="shared" ca="1" si="45"/>
        <v>791</v>
      </c>
      <c r="B792" s="6" t="str">
        <f ca="1">VLOOKUP(A792,[2]characters!$A:$C,3,FALSE)</f>
        <v>無差別求の破者 ノイマン</v>
      </c>
      <c r="C792" s="9">
        <f ca="1">VLOOKUP(A792,[2]characters!$A:$I,9,FALSE)</f>
        <v>6</v>
      </c>
      <c r="D792" s="9" t="str">
        <f ca="1">VLOOKUP(A792,[2]characters!$A:$H,8,FALSE)</f>
        <v>blue</v>
      </c>
      <c r="E792" s="97">
        <f ca="1">VLOOKUP(D792,[2]属性!$A:$E,2,FALSE)</f>
        <v>1</v>
      </c>
      <c r="F792" s="97">
        <f ca="1">VLOOKUP(D792,[2]属性!$A:$E,3,FALSE)</f>
        <v>0.98</v>
      </c>
      <c r="G792" s="97">
        <f ca="1">VLOOKUP(D792,[2]属性!$A:$F,4,FALSE)</f>
        <v>1</v>
      </c>
      <c r="H792" s="9" t="str">
        <f ca="1">VLOOKUP(A792,[2]characters!$A:$K,11,FALSE)</f>
        <v>attack</v>
      </c>
      <c r="I792" s="6" t="str">
        <f ca="1">VLOOKUP(H792,[2]character_type_i18n!$A:$F,3,FALSE)</f>
        <v>攻撃タイプ</v>
      </c>
      <c r="J792" s="97">
        <f ca="1">VLOOKUP(H792,[2]character_type_i18n!$A:$F,4,FALSE)</f>
        <v>1</v>
      </c>
      <c r="K792" s="97">
        <f ca="1">VLOOKUP(H792,[2]character_type_i18n!$A:$F,5,FALSE)</f>
        <v>1.33</v>
      </c>
      <c r="L792" s="97">
        <f ca="1">VLOOKUP(H792,[2]character_type_i18n!$A:$F,6,FALSE)</f>
        <v>1</v>
      </c>
      <c r="M792" s="9" t="str">
        <f ca="1">VLOOKUP(A792,[2]characters!$A:$M,13,FALSE)</f>
        <v>academia</v>
      </c>
      <c r="N792" s="6" t="str">
        <f ca="1">VLOOKUP(M792,[2]character_tribe_i18n!$A:$F,3,FALSE)</f>
        <v>アカデミア</v>
      </c>
      <c r="O792" s="97">
        <f ca="1">VLOOKUP(M792,[2]character_tribe_i18n!$A:$F,4,FALSE)</f>
        <v>1</v>
      </c>
      <c r="P792" s="97">
        <f ca="1">VLOOKUP(M792,[2]character_tribe_i18n!$A:$F,5,FALSE)</f>
        <v>1</v>
      </c>
      <c r="Q792" s="97">
        <f ca="1">VLOOKUP(M792,[2]character_tribe_i18n!$A:$F,6,FALSE)</f>
        <v>1</v>
      </c>
      <c r="R792" s="98" t="s">
        <v>98</v>
      </c>
      <c r="S792" s="97">
        <f>VLOOKUP($R792,ラベル別係数!$A$1:$E$7,3,FALSE)</f>
        <v>5</v>
      </c>
      <c r="T792" s="97">
        <f>VLOOKUP($R792,ラベル別係数!$A$1:$E$7,4,FALSE)</f>
        <v>1.3</v>
      </c>
      <c r="U792" s="97">
        <f>VLOOKUP($R792,ラベル別係数!$A$1:$E$7,5,FALSE)</f>
        <v>0.8</v>
      </c>
      <c r="V792" s="98">
        <v>3</v>
      </c>
      <c r="W792" s="99">
        <f>VLOOKUP(V792,ターン数別攻撃係数!$A$1:$B$1000,2,FALSE)</f>
        <v>1</v>
      </c>
      <c r="X792" s="9">
        <f ca="1">VLOOKUP(C792,サイズ別係数!A$2:B$9,2,FALSE)</f>
        <v>60</v>
      </c>
      <c r="Y792" s="97">
        <f ca="1">VLOOKUP($X792,サイズ別係数!$B:$E,2,FALSE)</f>
        <v>1.7</v>
      </c>
      <c r="Z792" s="97">
        <f ca="1">VLOOKUP($X792,サイズ別係数!$B:$E,3,FALSE)</f>
        <v>1.4</v>
      </c>
      <c r="AA792" s="97">
        <f ca="1">VLOOKUP($X792,サイズ別係数!$B:$E,4,FALSE)</f>
        <v>1</v>
      </c>
      <c r="AB792" s="10">
        <v>0</v>
      </c>
      <c r="AC792" s="6" t="str">
        <f ca="1">VLOOKUP($AB792,OFFSET([3]enemy_skill_sets!$B$2,0,0,COUNTA([3]enemy_skill_sets!$A:$A),MATCH(AC$1,[3]enemy_skill_sets!$1:$1,0)-MATCH($AB$1,[3]enemy_skill_sets!$1:$1,0)+1),MATCH(AC$1,[3]enemy_skill_sets!$1:$1,0)-MATCH($AB$1,[3]enemy_skill_sets!$1:$1,0)+1,FALSE)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2" s="67">
        <v>1</v>
      </c>
      <c r="AE792" s="67">
        <v>1</v>
      </c>
      <c r="AF792" s="68">
        <v>0</v>
      </c>
      <c r="AG792" s="99">
        <f ca="1">ROUND(VLOOKUP(1,enemy_base_stats!$A:$F,2,FALSE) * Y792* J792*O792*E792*S792*AD792*[2]ステータス!$B$2,0)</f>
        <v>4250</v>
      </c>
      <c r="AH792" s="99">
        <f ca="1">ROUND(VLOOKUP(1,enemy_base_stats!$A:$F,3,FALSE) * Z792*K792*P792*F792*T792*AE792 * W792*[2]ステータス!$C$2,0)</f>
        <v>356</v>
      </c>
      <c r="AI792" s="99">
        <f ca="1">ROUND(VLOOKUP(1,enemy_base_stats!$A:$F,4,FALSE) * AA792*L792*Q792*G792*U792*AF792*[2]ステータス!$D$2,0)</f>
        <v>0</v>
      </c>
      <c r="AJ792" s="99">
        <f ca="1">ROUND(VLOOKUP(100,enemy_base_stats!$A:$F,2,FALSE) * Y792* J792*O792*E792*S792*AD792*[2]ステータス!$B$2,0)</f>
        <v>172550</v>
      </c>
      <c r="AK792" s="99">
        <f ca="1">ROUND(VLOOKUP(100,enemy_base_stats!$A:$F,3,FALSE)* Z792* K792*P792*F792*T792*AE792 * W792*[2]ステータス!$C$2,0)</f>
        <v>14447</v>
      </c>
      <c r="AL792" s="99">
        <f ca="1">ROUND(VLOOKUP(100,enemy_base_stats!$A:$F,4,FALSE)* AA792* L792*Q792*G792*U792*AF792*[2]ステータス!$D$2,0)</f>
        <v>0</v>
      </c>
      <c r="AM792" s="97">
        <f ca="1">VLOOKUP(M792,[2]character_tribe_i18n!$A:$I,9,FALSE)</f>
        <v>400</v>
      </c>
      <c r="AN792" s="97">
        <v>0</v>
      </c>
      <c r="AO792" s="98">
        <v>0</v>
      </c>
      <c r="AP792" s="58" t="s">
        <v>72</v>
      </c>
      <c r="AQ792" s="34">
        <f t="shared" ca="1" si="46"/>
        <v>791</v>
      </c>
    </row>
    <row r="793" spans="1:43" ht="21" customHeight="1" x14ac:dyDescent="0.15">
      <c r="A793" s="7">
        <f t="shared" ca="1" si="45"/>
        <v>792</v>
      </c>
      <c r="B793" s="6" t="str">
        <f ca="1">VLOOKUP(A793,[2]characters!$A:$C,3,FALSE)</f>
        <v>片還の収波 フーリエ</v>
      </c>
      <c r="C793" s="9">
        <f ca="1">VLOOKUP(A793,[2]characters!$A:$I,9,FALSE)</f>
        <v>5</v>
      </c>
      <c r="D793" s="9" t="str">
        <f ca="1">VLOOKUP(A793,[2]characters!$A:$H,8,FALSE)</f>
        <v>yellow</v>
      </c>
      <c r="E793" s="97">
        <f ca="1">VLOOKUP(D793,[2]属性!$A:$E,2,FALSE)</f>
        <v>0.98</v>
      </c>
      <c r="F793" s="97">
        <f ca="1">VLOOKUP(D793,[2]属性!$A:$E,3,FALSE)</f>
        <v>1.01</v>
      </c>
      <c r="G793" s="97">
        <f ca="1">VLOOKUP(D793,[2]属性!$A:$F,4,FALSE)</f>
        <v>1</v>
      </c>
      <c r="H793" s="9" t="str">
        <f ca="1">VLOOKUP(A793,[2]characters!$A:$K,11,FALSE)</f>
        <v>technical</v>
      </c>
      <c r="I793" s="6" t="str">
        <f ca="1">VLOOKUP(H793,[2]character_type_i18n!$A:$F,3,FALSE)</f>
        <v>テクニカルタイプ</v>
      </c>
      <c r="J793" s="97">
        <f ca="1">VLOOKUP(H793,[2]character_type_i18n!$A:$F,4,FALSE)</f>
        <v>0.9</v>
      </c>
      <c r="K793" s="97">
        <f ca="1">VLOOKUP(H793,[2]character_type_i18n!$A:$F,5,FALSE)</f>
        <v>0.9</v>
      </c>
      <c r="L793" s="97">
        <f ca="1">VLOOKUP(H793,[2]character_type_i18n!$A:$F,6,FALSE)</f>
        <v>1</v>
      </c>
      <c r="M793" s="9" t="str">
        <f ca="1">VLOOKUP(A793,[2]characters!$A:$M,13,FALSE)</f>
        <v>human</v>
      </c>
      <c r="N793" s="6" t="str">
        <f ca="1">VLOOKUP(M793,[2]character_tribe_i18n!$A:$F,3,FALSE)</f>
        <v>ヒューマン</v>
      </c>
      <c r="O793" s="97">
        <f ca="1">VLOOKUP(M793,[2]character_tribe_i18n!$A:$F,4,FALSE)</f>
        <v>0.94</v>
      </c>
      <c r="P793" s="97">
        <f ca="1">VLOOKUP(M793,[2]character_tribe_i18n!$A:$F,5,FALSE)</f>
        <v>0.99</v>
      </c>
      <c r="Q793" s="97">
        <f ca="1">VLOOKUP(M793,[2]character_tribe_i18n!$A:$F,6,FALSE)</f>
        <v>1</v>
      </c>
      <c r="R793" s="98" t="s">
        <v>98</v>
      </c>
      <c r="S793" s="97">
        <f>VLOOKUP($R793,ラベル別係数!$A$1:$E$7,3,FALSE)</f>
        <v>5</v>
      </c>
      <c r="T793" s="97">
        <f>VLOOKUP($R793,ラベル別係数!$A$1:$E$7,4,FALSE)</f>
        <v>1.3</v>
      </c>
      <c r="U793" s="97">
        <f>VLOOKUP($R793,ラベル別係数!$A$1:$E$7,5,FALSE)</f>
        <v>0.8</v>
      </c>
      <c r="V793" s="98">
        <v>3</v>
      </c>
      <c r="W793" s="99">
        <f>VLOOKUP(V793,ターン数別攻撃係数!$A$1:$B$1000,2,FALSE)</f>
        <v>1</v>
      </c>
      <c r="X793" s="9">
        <f ca="1">VLOOKUP(C793,サイズ別係数!A$2:B$9,2,FALSE)</f>
        <v>60</v>
      </c>
      <c r="Y793" s="97">
        <f ca="1">VLOOKUP($X793,サイズ別係数!$B:$E,2,FALSE)</f>
        <v>1.7</v>
      </c>
      <c r="Z793" s="97">
        <f ca="1">VLOOKUP($X793,サイズ別係数!$B:$E,3,FALSE)</f>
        <v>1.4</v>
      </c>
      <c r="AA793" s="97">
        <f ca="1">VLOOKUP($X793,サイズ別係数!$B:$E,4,FALSE)</f>
        <v>1</v>
      </c>
      <c r="AB793" s="10">
        <v>0</v>
      </c>
      <c r="AC793" s="6" t="str">
        <f ca="1">VLOOKUP($AB793,OFFSET([3]enemy_skill_sets!$B$2,0,0,COUNTA([3]enemy_skill_sets!$A:$A),MATCH(AC$1,[3]enemy_skill_sets!$1:$1,0)-MATCH($AB$1,[3]enemy_skill_sets!$1:$1,0)+1),MATCH(AC$1,[3]enemy_skill_sets!$1:$1,0)-MATCH($AB$1,[3]enemy_skill_sets!$1:$1,0)+1,FALSE)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3" s="67">
        <v>1</v>
      </c>
      <c r="AE793" s="67">
        <v>1</v>
      </c>
      <c r="AF793" s="68">
        <v>0</v>
      </c>
      <c r="AG793" s="99">
        <f ca="1">ROUND(VLOOKUP(1,enemy_base_stats!$A:$F,2,FALSE) * Y793* J793*O793*E793*S793*AD793*[2]ステータス!$B$2,0)</f>
        <v>3524</v>
      </c>
      <c r="AH793" s="99">
        <f ca="1">ROUND(VLOOKUP(1,enemy_base_stats!$A:$F,3,FALSE) * Z793*K793*P793*F793*T793*AE793 * W793*[2]ステータス!$C$2,0)</f>
        <v>246</v>
      </c>
      <c r="AI793" s="99">
        <f ca="1">ROUND(VLOOKUP(1,enemy_base_stats!$A:$F,4,FALSE) * AA793*L793*Q793*G793*U793*AF793*[2]ステータス!$D$2,0)</f>
        <v>0</v>
      </c>
      <c r="AJ793" s="99">
        <f ca="1">ROUND(VLOOKUP(100,enemy_base_stats!$A:$F,2,FALSE) * Y793* J793*O793*E793*S793*AD793*[2]ステータス!$B$2,0)</f>
        <v>143058</v>
      </c>
      <c r="AK793" s="99">
        <f ca="1">ROUND(VLOOKUP(100,enemy_base_stats!$A:$F,3,FALSE)* Z793* K793*P793*F793*T793*AE793 * W793*[2]ステータス!$C$2,0)</f>
        <v>9974</v>
      </c>
      <c r="AL793" s="99">
        <f ca="1">ROUND(VLOOKUP(100,enemy_base_stats!$A:$F,4,FALSE)* AA793* L793*Q793*G793*U793*AF793*[2]ステータス!$D$2,0)</f>
        <v>0</v>
      </c>
      <c r="AM793" s="97">
        <f ca="1">VLOOKUP(M793,[2]character_tribe_i18n!$A:$I,9,FALSE)</f>
        <v>400</v>
      </c>
      <c r="AN793" s="97">
        <v>0</v>
      </c>
      <c r="AO793" s="98">
        <v>0</v>
      </c>
      <c r="AP793" s="58" t="s">
        <v>72</v>
      </c>
      <c r="AQ793" s="34">
        <f t="shared" ca="1" si="46"/>
        <v>792</v>
      </c>
    </row>
    <row r="794" spans="1:43" ht="21" customHeight="1" x14ac:dyDescent="0.15">
      <c r="A794" s="7">
        <f t="shared" ca="1" si="45"/>
        <v>793</v>
      </c>
      <c r="B794" s="6" t="str">
        <f ca="1">VLOOKUP(A794,[2]characters!$A:$C,3,FALSE)</f>
        <v>熱解する求波導 フーリエ</v>
      </c>
      <c r="C794" s="9">
        <f ca="1">VLOOKUP(A794,[2]characters!$A:$I,9,FALSE)</f>
        <v>6</v>
      </c>
      <c r="D794" s="9" t="str">
        <f ca="1">VLOOKUP(A794,[2]characters!$A:$H,8,FALSE)</f>
        <v>yellow</v>
      </c>
      <c r="E794" s="97">
        <f ca="1">VLOOKUP(D794,[2]属性!$A:$E,2,FALSE)</f>
        <v>0.98</v>
      </c>
      <c r="F794" s="97">
        <f ca="1">VLOOKUP(D794,[2]属性!$A:$E,3,FALSE)</f>
        <v>1.01</v>
      </c>
      <c r="G794" s="97">
        <f ca="1">VLOOKUP(D794,[2]属性!$A:$F,4,FALSE)</f>
        <v>1</v>
      </c>
      <c r="H794" s="9" t="str">
        <f ca="1">VLOOKUP(A794,[2]characters!$A:$K,11,FALSE)</f>
        <v>technical</v>
      </c>
      <c r="I794" s="6" t="str">
        <f ca="1">VLOOKUP(H794,[2]character_type_i18n!$A:$F,3,FALSE)</f>
        <v>テクニカルタイプ</v>
      </c>
      <c r="J794" s="97">
        <f ca="1">VLOOKUP(H794,[2]character_type_i18n!$A:$F,4,FALSE)</f>
        <v>0.9</v>
      </c>
      <c r="K794" s="97">
        <f ca="1">VLOOKUP(H794,[2]character_type_i18n!$A:$F,5,FALSE)</f>
        <v>0.9</v>
      </c>
      <c r="L794" s="97">
        <f ca="1">VLOOKUP(H794,[2]character_type_i18n!$A:$F,6,FALSE)</f>
        <v>1</v>
      </c>
      <c r="M794" s="9" t="str">
        <f ca="1">VLOOKUP(A794,[2]characters!$A:$M,13,FALSE)</f>
        <v>academia</v>
      </c>
      <c r="N794" s="6" t="str">
        <f ca="1">VLOOKUP(M794,[2]character_tribe_i18n!$A:$F,3,FALSE)</f>
        <v>アカデミア</v>
      </c>
      <c r="O794" s="97">
        <f ca="1">VLOOKUP(M794,[2]character_tribe_i18n!$A:$F,4,FALSE)</f>
        <v>1</v>
      </c>
      <c r="P794" s="97">
        <f ca="1">VLOOKUP(M794,[2]character_tribe_i18n!$A:$F,5,FALSE)</f>
        <v>1</v>
      </c>
      <c r="Q794" s="97">
        <f ca="1">VLOOKUP(M794,[2]character_tribe_i18n!$A:$F,6,FALSE)</f>
        <v>1</v>
      </c>
      <c r="R794" s="98" t="s">
        <v>98</v>
      </c>
      <c r="S794" s="97">
        <f>VLOOKUP($R794,ラベル別係数!$A$1:$E$7,3,FALSE)</f>
        <v>5</v>
      </c>
      <c r="T794" s="97">
        <f>VLOOKUP($R794,ラベル別係数!$A$1:$E$7,4,FALSE)</f>
        <v>1.3</v>
      </c>
      <c r="U794" s="97">
        <f>VLOOKUP($R794,ラベル別係数!$A$1:$E$7,5,FALSE)</f>
        <v>0.8</v>
      </c>
      <c r="V794" s="98">
        <v>3</v>
      </c>
      <c r="W794" s="99">
        <f>VLOOKUP(V794,ターン数別攻撃係数!$A$1:$B$1000,2,FALSE)</f>
        <v>1</v>
      </c>
      <c r="X794" s="9">
        <f ca="1">VLOOKUP(C794,サイズ別係数!A$2:B$9,2,FALSE)</f>
        <v>60</v>
      </c>
      <c r="Y794" s="97">
        <f ca="1">VLOOKUP($X794,サイズ別係数!$B:$E,2,FALSE)</f>
        <v>1.7</v>
      </c>
      <c r="Z794" s="97">
        <f ca="1">VLOOKUP($X794,サイズ別係数!$B:$E,3,FALSE)</f>
        <v>1.4</v>
      </c>
      <c r="AA794" s="97">
        <f ca="1">VLOOKUP($X794,サイズ別係数!$B:$E,4,FALSE)</f>
        <v>1</v>
      </c>
      <c r="AB794" s="10">
        <v>0</v>
      </c>
      <c r="AC794" s="6" t="str">
        <f ca="1">VLOOKUP($AB794,OFFSET([3]enemy_skill_sets!$B$2,0,0,COUNTA([3]enemy_skill_sets!$A:$A),MATCH(AC$1,[3]enemy_skill_sets!$1:$1,0)-MATCH($AB$1,[3]enemy_skill_sets!$1:$1,0)+1),MATCH(AC$1,[3]enemy_skill_sets!$1:$1,0)-MATCH($AB$1,[3]enemy_skill_sets!$1:$1,0)+1,FALSE)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4" s="67">
        <v>1</v>
      </c>
      <c r="AE794" s="67">
        <v>1</v>
      </c>
      <c r="AF794" s="68">
        <v>0</v>
      </c>
      <c r="AG794" s="99">
        <f ca="1">ROUND(VLOOKUP(1,enemy_base_stats!$A:$F,2,FALSE) * Y794* J794*O794*E794*S794*AD794*[2]ステータス!$B$2,0)</f>
        <v>3749</v>
      </c>
      <c r="AH794" s="99">
        <f ca="1">ROUND(VLOOKUP(1,enemy_base_stats!$A:$F,3,FALSE) * Z794*K794*P794*F794*T794*AE794 * W794*[2]ステータス!$C$2,0)</f>
        <v>248</v>
      </c>
      <c r="AI794" s="99">
        <f ca="1">ROUND(VLOOKUP(1,enemy_base_stats!$A:$F,4,FALSE) * AA794*L794*Q794*G794*U794*AF794*[2]ステータス!$D$2,0)</f>
        <v>0</v>
      </c>
      <c r="AJ794" s="99">
        <f ca="1">ROUND(VLOOKUP(100,enemy_base_stats!$A:$F,2,FALSE) * Y794* J794*O794*E794*S794*AD794*[2]ステータス!$B$2,0)</f>
        <v>152189</v>
      </c>
      <c r="AK794" s="99">
        <f ca="1">ROUND(VLOOKUP(100,enemy_base_stats!$A:$F,3,FALSE)* Z794* K794*P794*F794*T794*AE794 * W794*[2]ステータス!$C$2,0)</f>
        <v>10075</v>
      </c>
      <c r="AL794" s="99">
        <f ca="1">ROUND(VLOOKUP(100,enemy_base_stats!$A:$F,4,FALSE)* AA794* L794*Q794*G794*U794*AF794*[2]ステータス!$D$2,0)</f>
        <v>0</v>
      </c>
      <c r="AM794" s="97">
        <f ca="1">VLOOKUP(M794,[2]character_tribe_i18n!$A:$I,9,FALSE)</f>
        <v>400</v>
      </c>
      <c r="AN794" s="97">
        <v>0</v>
      </c>
      <c r="AO794" s="98">
        <v>0</v>
      </c>
      <c r="AP794" s="58" t="s">
        <v>72</v>
      </c>
      <c r="AQ794" s="34">
        <f t="shared" ca="1" si="46"/>
        <v>793</v>
      </c>
    </row>
    <row r="795" spans="1:43" ht="21" customHeight="1" x14ac:dyDescent="0.15">
      <c r="A795" s="7">
        <f t="shared" ca="1" si="45"/>
        <v>794</v>
      </c>
      <c r="B795" s="6" t="str">
        <f ca="1">VLOOKUP(A795,[2]characters!$A:$C,3,FALSE)</f>
        <v>卒業のウィルス ハッピー</v>
      </c>
      <c r="C795" s="9">
        <f ca="1">VLOOKUP(A795,[2]characters!$A:$I,9,FALSE)</f>
        <v>3</v>
      </c>
      <c r="D795" s="9" t="str">
        <f ca="1">VLOOKUP(A795,[2]characters!$A:$H,8,FALSE)</f>
        <v>green</v>
      </c>
      <c r="E795" s="97">
        <f ca="1">VLOOKUP(D795,[2]属性!$A:$E,2,FALSE)</f>
        <v>1.02</v>
      </c>
      <c r="F795" s="97">
        <f ca="1">VLOOKUP(D795,[2]属性!$A:$E,3,FALSE)</f>
        <v>0.98</v>
      </c>
      <c r="G795" s="97">
        <f ca="1">VLOOKUP(D795,[2]属性!$A:$F,4,FALSE)</f>
        <v>1</v>
      </c>
      <c r="H795" s="9" t="str">
        <f ca="1">VLOOKUP(A795,[2]characters!$A:$K,11,FALSE)</f>
        <v>heal</v>
      </c>
      <c r="I795" s="6" t="str">
        <f ca="1">VLOOKUP(H795,[2]character_type_i18n!$A:$F,3,FALSE)</f>
        <v>回復タイプ</v>
      </c>
      <c r="J795" s="97">
        <f ca="1">VLOOKUP(H795,[2]character_type_i18n!$A:$F,4,FALSE)</f>
        <v>0.8</v>
      </c>
      <c r="K795" s="97">
        <f ca="1">VLOOKUP(H795,[2]character_type_i18n!$A:$F,5,FALSE)</f>
        <v>0.78</v>
      </c>
      <c r="L795" s="97">
        <f ca="1">VLOOKUP(H795,[2]character_type_i18n!$A:$F,6,FALSE)</f>
        <v>1</v>
      </c>
      <c r="M795" s="9" t="str">
        <f ca="1">VLOOKUP(A795,[2]characters!$A:$M,13,FALSE)</f>
        <v>unknown</v>
      </c>
      <c r="N795" s="6" t="str">
        <f ca="1">VLOOKUP(M795,[2]character_tribe_i18n!$A:$F,3,FALSE)</f>
        <v>Unknown</v>
      </c>
      <c r="O795" s="97">
        <f ca="1">VLOOKUP(M795,[2]character_tribe_i18n!$A:$F,4,FALSE)</f>
        <v>1</v>
      </c>
      <c r="P795" s="97">
        <f ca="1">VLOOKUP(M795,[2]character_tribe_i18n!$A:$F,5,FALSE)</f>
        <v>1</v>
      </c>
      <c r="Q795" s="97">
        <f ca="1">VLOOKUP(M795,[2]character_tribe_i18n!$A:$F,6,FALSE)</f>
        <v>1</v>
      </c>
      <c r="R795" s="98" t="s">
        <v>98</v>
      </c>
      <c r="S795" s="97">
        <f>VLOOKUP($R795,ラベル別係数!$A$1:$E$7,3,FALSE)</f>
        <v>5</v>
      </c>
      <c r="T795" s="97">
        <f>VLOOKUP($R795,ラベル別係数!$A$1:$E$7,4,FALSE)</f>
        <v>1.3</v>
      </c>
      <c r="U795" s="97">
        <f>VLOOKUP($R795,ラベル別係数!$A$1:$E$7,5,FALSE)</f>
        <v>0.8</v>
      </c>
      <c r="V795" s="98">
        <v>3</v>
      </c>
      <c r="W795" s="99">
        <f>VLOOKUP(V795,ターン数別攻撃係数!$A$1:$B$1000,2,FALSE)</f>
        <v>1</v>
      </c>
      <c r="X795" s="9">
        <f ca="1">VLOOKUP(C795,サイズ別係数!A$2:B$9,2,FALSE)</f>
        <v>25</v>
      </c>
      <c r="Y795" s="97">
        <f ca="1">VLOOKUP($X795,サイズ別係数!$B:$E,2,FALSE)</f>
        <v>1.2</v>
      </c>
      <c r="Z795" s="97">
        <f ca="1">VLOOKUP($X795,サイズ別係数!$B:$E,3,FALSE)</f>
        <v>1.25</v>
      </c>
      <c r="AA795" s="97">
        <f ca="1">VLOOKUP($X795,サイズ別係数!$B:$E,4,FALSE)</f>
        <v>1.1499999999999999</v>
      </c>
      <c r="AB795" s="10">
        <v>0</v>
      </c>
      <c r="AC795" s="6" t="str">
        <f ca="1">VLOOKUP($AB795,OFFSET([3]enemy_skill_sets!$B$2,0,0,COUNTA([3]enemy_skill_sets!$A:$A),MATCH(AC$1,[3]enemy_skill_sets!$1:$1,0)-MATCH($AB$1,[3]enemy_skill_sets!$1:$1,0)+1),MATCH(AC$1,[3]enemy_skill_sets!$1:$1,0)-MATCH($AB$1,[3]enemy_skill_sets!$1:$1,0)+1,FALSE)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5" s="67">
        <v>1</v>
      </c>
      <c r="AE795" s="67">
        <v>1</v>
      </c>
      <c r="AF795" s="68">
        <v>0</v>
      </c>
      <c r="AG795" s="99">
        <f ca="1">ROUND(VLOOKUP(1,enemy_base_stats!$A:$F,2,FALSE) * Y795* J795*O795*E795*S795*AD795*[2]ステータス!$B$2,0)</f>
        <v>2448</v>
      </c>
      <c r="AH795" s="99">
        <f ca="1">ROUND(VLOOKUP(1,enemy_base_stats!$A:$F,3,FALSE) * Z795*K795*P795*F795*T795*AE795 * W795*[2]ステータス!$C$2,0)</f>
        <v>186</v>
      </c>
      <c r="AI795" s="99">
        <f ca="1">ROUND(VLOOKUP(1,enemy_base_stats!$A:$F,4,FALSE) * AA795*L795*Q795*G795*U795*AF795*[2]ステータス!$D$2,0)</f>
        <v>0</v>
      </c>
      <c r="AJ795" s="99">
        <f ca="1">ROUND(VLOOKUP(100,enemy_base_stats!$A:$F,2,FALSE) * Y795* J795*O795*E795*S795*AD795*[2]ステータス!$B$2,0)</f>
        <v>99389</v>
      </c>
      <c r="AK795" s="99">
        <f ca="1">ROUND(VLOOKUP(100,enemy_base_stats!$A:$F,3,FALSE)* Z795* K795*P795*F795*T795*AE795 * W795*[2]ステータス!$C$2,0)</f>
        <v>7565</v>
      </c>
      <c r="AL795" s="99">
        <f ca="1">ROUND(VLOOKUP(100,enemy_base_stats!$A:$F,4,FALSE)* AA795* L795*Q795*G795*U795*AF795*[2]ステータス!$D$2,0)</f>
        <v>0</v>
      </c>
      <c r="AM795" s="97">
        <f ca="1">VLOOKUP(M795,[2]character_tribe_i18n!$A:$I,9,FALSE)</f>
        <v>340</v>
      </c>
      <c r="AN795" s="97">
        <v>0</v>
      </c>
      <c r="AO795" s="98">
        <v>0</v>
      </c>
      <c r="AP795" s="58" t="s">
        <v>72</v>
      </c>
      <c r="AQ795" s="34">
        <f t="shared" ca="1" si="46"/>
        <v>794</v>
      </c>
    </row>
    <row r="796" spans="1:43" ht="21" customHeight="1" x14ac:dyDescent="0.15">
      <c r="A796" s="7">
        <f t="shared" ca="1" si="45"/>
        <v>795</v>
      </c>
      <c r="B796" s="6" t="str">
        <f ca="1">VLOOKUP(A796,[2]characters!$A:$C,3,FALSE)</f>
        <v>桜花の果実</v>
      </c>
      <c r="C796" s="9">
        <f ca="1">VLOOKUP(A796,[2]characters!$A:$I,9,FALSE)</f>
        <v>3</v>
      </c>
      <c r="D796" s="9" t="str">
        <f ca="1">VLOOKUP(A796,[2]characters!$A:$H,8,FALSE)</f>
        <v>blue</v>
      </c>
      <c r="E796" s="97">
        <f ca="1">VLOOKUP(D796,[2]属性!$A:$E,2,FALSE)</f>
        <v>1</v>
      </c>
      <c r="F796" s="97">
        <f ca="1">VLOOKUP(D796,[2]属性!$A:$E,3,FALSE)</f>
        <v>0.98</v>
      </c>
      <c r="G796" s="97">
        <f ca="1">VLOOKUP(D796,[2]属性!$A:$F,4,FALSE)</f>
        <v>1</v>
      </c>
      <c r="H796" s="9" t="str">
        <f ca="1">VLOOKUP(A796,[2]characters!$A:$K,11,FALSE)</f>
        <v>skilllevel</v>
      </c>
      <c r="I796" s="6" t="str">
        <f ca="1">VLOOKUP(H796,[2]character_type_i18n!$A:$F,3,FALSE)</f>
        <v>スキルレベル素材</v>
      </c>
      <c r="J796" s="97">
        <f ca="1">VLOOKUP(H796,[2]character_type_i18n!$A:$F,4,FALSE)</f>
        <v>0.1</v>
      </c>
      <c r="K796" s="97">
        <f ca="1">VLOOKUP(H796,[2]character_type_i18n!$A:$F,5,FALSE)</f>
        <v>0.05</v>
      </c>
      <c r="L796" s="97">
        <f ca="1">VLOOKUP(H796,[2]character_type_i18n!$A:$F,6,FALSE)</f>
        <v>1</v>
      </c>
      <c r="M796" s="9" t="str">
        <f ca="1">VLOOKUP(A796,[2]characters!$A:$M,13,FALSE)</f>
        <v>unknown</v>
      </c>
      <c r="N796" s="6" t="str">
        <f ca="1">VLOOKUP(M796,[2]character_tribe_i18n!$A:$F,3,FALSE)</f>
        <v>Unknown</v>
      </c>
      <c r="O796" s="97">
        <f ca="1">VLOOKUP(M796,[2]character_tribe_i18n!$A:$F,4,FALSE)</f>
        <v>1</v>
      </c>
      <c r="P796" s="97">
        <f ca="1">VLOOKUP(M796,[2]character_tribe_i18n!$A:$F,5,FALSE)</f>
        <v>1</v>
      </c>
      <c r="Q796" s="97">
        <f ca="1">VLOOKUP(M796,[2]character_tribe_i18n!$A:$F,6,FALSE)</f>
        <v>1</v>
      </c>
      <c r="R796" s="98" t="s">
        <v>98</v>
      </c>
      <c r="S796" s="97">
        <f>VLOOKUP($R796,ラベル別係数!$A$1:$E$7,3,FALSE)</f>
        <v>5</v>
      </c>
      <c r="T796" s="97">
        <f>VLOOKUP($R796,ラベル別係数!$A$1:$E$7,4,FALSE)</f>
        <v>1.3</v>
      </c>
      <c r="U796" s="97">
        <f>VLOOKUP($R796,ラベル別係数!$A$1:$E$7,5,FALSE)</f>
        <v>0.8</v>
      </c>
      <c r="V796" s="98">
        <v>3</v>
      </c>
      <c r="W796" s="99">
        <f>VLOOKUP(V796,ターン数別攻撃係数!$A$1:$B$1000,2,FALSE)</f>
        <v>1</v>
      </c>
      <c r="X796" s="9">
        <f ca="1">VLOOKUP(C796,サイズ別係数!A$2:B$9,2,FALSE)</f>
        <v>25</v>
      </c>
      <c r="Y796" s="97">
        <f ca="1">VLOOKUP($X796,サイズ別係数!$B:$E,2,FALSE)</f>
        <v>1.2</v>
      </c>
      <c r="Z796" s="97">
        <f ca="1">VLOOKUP($X796,サイズ別係数!$B:$E,3,FALSE)</f>
        <v>1.25</v>
      </c>
      <c r="AA796" s="97">
        <f ca="1">VLOOKUP($X796,サイズ別係数!$B:$E,4,FALSE)</f>
        <v>1.1499999999999999</v>
      </c>
      <c r="AB796" s="10">
        <v>0</v>
      </c>
      <c r="AC796" s="6" t="str">
        <f ca="1">VLOOKUP($AB796,OFFSET([3]enemy_skill_sets!$B$2,0,0,COUNTA([3]enemy_skill_sets!$A:$A),MATCH(AC$1,[3]enemy_skill_sets!$1:$1,0)-MATCH($AB$1,[3]enemy_skill_sets!$1:$1,0)+1),MATCH(AC$1,[3]enemy_skill_sets!$1:$1,0)-MATCH($AB$1,[3]enemy_skill_sets!$1:$1,0)+1,FALSE)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6" s="67">
        <v>1</v>
      </c>
      <c r="AE796" s="67">
        <v>1</v>
      </c>
      <c r="AF796" s="68">
        <v>0</v>
      </c>
      <c r="AG796" s="99">
        <f ca="1">ROUND(VLOOKUP(1,enemy_base_stats!$A:$F,2,FALSE) * Y796* J796*O796*E796*S796*AD796*[2]ステータス!$B$2,0)</f>
        <v>300</v>
      </c>
      <c r="AH796" s="99">
        <f ca="1">ROUND(VLOOKUP(1,enemy_base_stats!$A:$F,3,FALSE) * Z796*K796*P796*F796*T796*AE796 * W796*[2]ステータス!$C$2,0)</f>
        <v>12</v>
      </c>
      <c r="AI796" s="99">
        <f ca="1">ROUND(VLOOKUP(1,enemy_base_stats!$A:$F,4,FALSE) * AA796*L796*Q796*G796*U796*AF796*[2]ステータス!$D$2,0)</f>
        <v>0</v>
      </c>
      <c r="AJ796" s="99">
        <f ca="1">ROUND(VLOOKUP(100,enemy_base_stats!$A:$F,2,FALSE) * Y796* J796*O796*E796*S796*AD796*[2]ステータス!$B$2,0)</f>
        <v>12180</v>
      </c>
      <c r="AK796" s="99">
        <f ca="1">ROUND(VLOOKUP(100,enemy_base_stats!$A:$F,3,FALSE)* Z796* K796*P796*F796*T796*AE796 * W796*[2]ステータス!$C$2,0)</f>
        <v>485</v>
      </c>
      <c r="AL796" s="99">
        <f ca="1">ROUND(VLOOKUP(100,enemy_base_stats!$A:$F,4,FALSE)* AA796* L796*Q796*G796*U796*AF796*[2]ステータス!$D$2,0)</f>
        <v>0</v>
      </c>
      <c r="AM796" s="97">
        <f ca="1">VLOOKUP(M796,[2]character_tribe_i18n!$A:$I,9,FALSE)</f>
        <v>340</v>
      </c>
      <c r="AN796" s="97">
        <v>0</v>
      </c>
      <c r="AO796" s="98">
        <v>0</v>
      </c>
      <c r="AP796" s="58" t="s">
        <v>72</v>
      </c>
      <c r="AQ796" s="34">
        <f t="shared" ca="1" si="46"/>
        <v>795</v>
      </c>
    </row>
    <row r="797" spans="1:43" ht="21" customHeight="1" x14ac:dyDescent="0.15">
      <c r="A797" s="7">
        <f t="shared" ca="1" si="45"/>
        <v>796</v>
      </c>
      <c r="B797" s="6" t="str">
        <f ca="1">VLOOKUP(A797,[2]characters!$A:$C,3,FALSE)</f>
        <v>超越凌駕 ラグランジュ</v>
      </c>
      <c r="C797" s="9">
        <f ca="1">VLOOKUP(A797,[2]characters!$A:$I,9,FALSE)</f>
        <v>6</v>
      </c>
      <c r="D797" s="9" t="str">
        <f ca="1">VLOOKUP(A797,[2]characters!$A:$H,8,FALSE)</f>
        <v>red</v>
      </c>
      <c r="E797" s="97">
        <f ca="1">VLOOKUP(D797,[2]属性!$A:$E,2,FALSE)</f>
        <v>1</v>
      </c>
      <c r="F797" s="97">
        <f ca="1">VLOOKUP(D797,[2]属性!$A:$E,3,FALSE)</f>
        <v>1.02</v>
      </c>
      <c r="G797" s="97">
        <f ca="1">VLOOKUP(D797,[2]属性!$A:$F,4,FALSE)</f>
        <v>1</v>
      </c>
      <c r="H797" s="9" t="str">
        <f ca="1">VLOOKUP(A797,[2]characters!$A:$K,11,FALSE)</f>
        <v>technical</v>
      </c>
      <c r="I797" s="6" t="str">
        <f ca="1">VLOOKUP(H797,[2]character_type_i18n!$A:$F,3,FALSE)</f>
        <v>テクニカルタイプ</v>
      </c>
      <c r="J797" s="97">
        <f ca="1">VLOOKUP(H797,[2]character_type_i18n!$A:$F,4,FALSE)</f>
        <v>0.9</v>
      </c>
      <c r="K797" s="97">
        <f ca="1">VLOOKUP(H797,[2]character_type_i18n!$A:$F,5,FALSE)</f>
        <v>0.9</v>
      </c>
      <c r="L797" s="97">
        <f ca="1">VLOOKUP(H797,[2]character_type_i18n!$A:$F,6,FALSE)</f>
        <v>1</v>
      </c>
      <c r="M797" s="9" t="str">
        <f ca="1">VLOOKUP(A797,[2]characters!$A:$M,13,FALSE)</f>
        <v>human</v>
      </c>
      <c r="N797" s="6" t="str">
        <f ca="1">VLOOKUP(M797,[2]character_tribe_i18n!$A:$F,3,FALSE)</f>
        <v>ヒューマン</v>
      </c>
      <c r="O797" s="97">
        <f ca="1">VLOOKUP(M797,[2]character_tribe_i18n!$A:$F,4,FALSE)</f>
        <v>0.94</v>
      </c>
      <c r="P797" s="97">
        <f ca="1">VLOOKUP(M797,[2]character_tribe_i18n!$A:$F,5,FALSE)</f>
        <v>0.99</v>
      </c>
      <c r="Q797" s="97">
        <f ca="1">VLOOKUP(M797,[2]character_tribe_i18n!$A:$F,6,FALSE)</f>
        <v>1</v>
      </c>
      <c r="R797" s="98" t="s">
        <v>98</v>
      </c>
      <c r="S797" s="97">
        <f>VLOOKUP($R797,ラベル別係数!$A$1:$E$7,3,FALSE)</f>
        <v>5</v>
      </c>
      <c r="T797" s="97">
        <f>VLOOKUP($R797,ラベル別係数!$A$1:$E$7,4,FALSE)</f>
        <v>1.3</v>
      </c>
      <c r="U797" s="97">
        <f>VLOOKUP($R797,ラベル別係数!$A$1:$E$7,5,FALSE)</f>
        <v>0.8</v>
      </c>
      <c r="V797" s="98">
        <v>3</v>
      </c>
      <c r="W797" s="99">
        <f>VLOOKUP(V797,ターン数別攻撃係数!$A$1:$B$1000,2,FALSE)</f>
        <v>1</v>
      </c>
      <c r="X797" s="9">
        <f ca="1">VLOOKUP(C797,サイズ別係数!A$2:B$9,2,FALSE)</f>
        <v>60</v>
      </c>
      <c r="Y797" s="97">
        <f ca="1">VLOOKUP($X797,サイズ別係数!$B:$E,2,FALSE)</f>
        <v>1.7</v>
      </c>
      <c r="Z797" s="97">
        <f ca="1">VLOOKUP($X797,サイズ別係数!$B:$E,3,FALSE)</f>
        <v>1.4</v>
      </c>
      <c r="AA797" s="97">
        <f ca="1">VLOOKUP($X797,サイズ別係数!$B:$E,4,FALSE)</f>
        <v>1</v>
      </c>
      <c r="AB797" s="10">
        <v>0</v>
      </c>
      <c r="AC797" s="6" t="str">
        <f ca="1">VLOOKUP($AB797,OFFSET([3]enemy_skill_sets!$B$2,0,0,COUNTA([3]enemy_skill_sets!$A:$A),MATCH(AC$1,[3]enemy_skill_sets!$1:$1,0)-MATCH($AB$1,[3]enemy_skill_sets!$1:$1,0)+1),MATCH(AC$1,[3]enemy_skill_sets!$1:$1,0)-MATCH($AB$1,[3]enemy_skill_sets!$1:$1,0)+1,FALSE)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7" s="67">
        <v>1</v>
      </c>
      <c r="AE797" s="67">
        <v>1</v>
      </c>
      <c r="AF797" s="68">
        <v>0</v>
      </c>
      <c r="AG797" s="99">
        <f ca="1">ROUND(VLOOKUP(1,enemy_base_stats!$A:$F,2,FALSE) * Y797* J797*O797*E797*S797*AD797*[2]ステータス!$B$2,0)</f>
        <v>3596</v>
      </c>
      <c r="AH797" s="99">
        <f ca="1">ROUND(VLOOKUP(1,enemy_base_stats!$A:$F,3,FALSE) * Z797*K797*P797*F797*T797*AE797 * W797*[2]ステータス!$C$2,0)</f>
        <v>248</v>
      </c>
      <c r="AI797" s="99">
        <f ca="1">ROUND(VLOOKUP(1,enemy_base_stats!$A:$F,4,FALSE) * AA797*L797*Q797*G797*U797*AF797*[2]ステータス!$D$2,0)</f>
        <v>0</v>
      </c>
      <c r="AJ797" s="99">
        <f ca="1">ROUND(VLOOKUP(100,enemy_base_stats!$A:$F,2,FALSE) * Y797* J797*O797*E797*S797*AD797*[2]ステータス!$B$2,0)</f>
        <v>145977</v>
      </c>
      <c r="AK797" s="99">
        <f ca="1">ROUND(VLOOKUP(100,enemy_base_stats!$A:$F,3,FALSE)* Z797* K797*P797*F797*T797*AE797 * W797*[2]ステータス!$C$2,0)</f>
        <v>10073</v>
      </c>
      <c r="AL797" s="99">
        <f ca="1">ROUND(VLOOKUP(100,enemy_base_stats!$A:$F,4,FALSE)* AA797* L797*Q797*G797*U797*AF797*[2]ステータス!$D$2,0)</f>
        <v>0</v>
      </c>
      <c r="AM797" s="97">
        <f ca="1">VLOOKUP(M797,[2]character_tribe_i18n!$A:$I,9,FALSE)</f>
        <v>400</v>
      </c>
      <c r="AN797" s="97">
        <v>0</v>
      </c>
      <c r="AO797" s="98">
        <v>0</v>
      </c>
      <c r="AP797" s="58" t="s">
        <v>72</v>
      </c>
      <c r="AQ797" s="34">
        <f t="shared" ca="1" si="46"/>
        <v>796</v>
      </c>
    </row>
    <row r="798" spans="1:43" ht="21" customHeight="1" x14ac:dyDescent="0.15">
      <c r="A798" s="7">
        <f t="shared" ca="1" si="45"/>
        <v>797</v>
      </c>
      <c r="B798" s="6" t="str">
        <f ca="1">VLOOKUP(A798,[2]characters!$A:$C,3,FALSE)</f>
        <v>崩烙の世解 シュレディンガー</v>
      </c>
      <c r="C798" s="9">
        <f ca="1">VLOOKUP(A798,[2]characters!$A:$I,9,FALSE)</f>
        <v>6</v>
      </c>
      <c r="D798" s="9" t="str">
        <f ca="1">VLOOKUP(A798,[2]characters!$A:$H,8,FALSE)</f>
        <v>red</v>
      </c>
      <c r="E798" s="97">
        <f ca="1">VLOOKUP(D798,[2]属性!$A:$E,2,FALSE)</f>
        <v>1</v>
      </c>
      <c r="F798" s="97">
        <f ca="1">VLOOKUP(D798,[2]属性!$A:$E,3,FALSE)</f>
        <v>1.02</v>
      </c>
      <c r="G798" s="97">
        <f ca="1">VLOOKUP(D798,[2]属性!$A:$F,4,FALSE)</f>
        <v>1</v>
      </c>
      <c r="H798" s="9" t="str">
        <f ca="1">VLOOKUP(A798,[2]characters!$A:$K,11,FALSE)</f>
        <v>balance</v>
      </c>
      <c r="I798" s="6" t="str">
        <f ca="1">VLOOKUP(H798,[2]character_type_i18n!$A:$F,3,FALSE)</f>
        <v>バランスタイプ</v>
      </c>
      <c r="J798" s="97">
        <f ca="1">VLOOKUP(H798,[2]character_type_i18n!$A:$F,4,FALSE)</f>
        <v>1</v>
      </c>
      <c r="K798" s="97">
        <f ca="1">VLOOKUP(H798,[2]character_type_i18n!$A:$F,5,FALSE)</f>
        <v>1</v>
      </c>
      <c r="L798" s="97">
        <f ca="1">VLOOKUP(H798,[2]character_type_i18n!$A:$F,6,FALSE)</f>
        <v>1</v>
      </c>
      <c r="M798" s="9" t="str">
        <f ca="1">VLOOKUP(A798,[2]characters!$A:$M,13,FALSE)</f>
        <v>animal</v>
      </c>
      <c r="N798" s="6" t="str">
        <f ca="1">VLOOKUP(M798,[2]character_tribe_i18n!$A:$F,3,FALSE)</f>
        <v>アニマル</v>
      </c>
      <c r="O798" s="97">
        <f ca="1">VLOOKUP(M798,[2]character_tribe_i18n!$A:$F,4,FALSE)</f>
        <v>1</v>
      </c>
      <c r="P798" s="97">
        <f ca="1">VLOOKUP(M798,[2]character_tribe_i18n!$A:$F,5,FALSE)</f>
        <v>1.1000000000000001</v>
      </c>
      <c r="Q798" s="97">
        <f ca="1">VLOOKUP(M798,[2]character_tribe_i18n!$A:$F,6,FALSE)</f>
        <v>1</v>
      </c>
      <c r="R798" s="98" t="s">
        <v>98</v>
      </c>
      <c r="S798" s="97">
        <f>VLOOKUP($R798,ラベル別係数!$A$1:$E$7,3,FALSE)</f>
        <v>5</v>
      </c>
      <c r="T798" s="97">
        <f>VLOOKUP($R798,ラベル別係数!$A$1:$E$7,4,FALSE)</f>
        <v>1.3</v>
      </c>
      <c r="U798" s="97">
        <f>VLOOKUP($R798,ラベル別係数!$A$1:$E$7,5,FALSE)</f>
        <v>0.8</v>
      </c>
      <c r="V798" s="98">
        <v>3</v>
      </c>
      <c r="W798" s="99">
        <f>VLOOKUP(V798,ターン数別攻撃係数!$A$1:$B$1000,2,FALSE)</f>
        <v>1</v>
      </c>
      <c r="X798" s="9">
        <f ca="1">VLOOKUP(C798,サイズ別係数!A$2:B$9,2,FALSE)</f>
        <v>60</v>
      </c>
      <c r="Y798" s="97">
        <f ca="1">VLOOKUP($X798,サイズ別係数!$B:$E,2,FALSE)</f>
        <v>1.7</v>
      </c>
      <c r="Z798" s="97">
        <f ca="1">VLOOKUP($X798,サイズ別係数!$B:$E,3,FALSE)</f>
        <v>1.4</v>
      </c>
      <c r="AA798" s="97">
        <f ca="1">VLOOKUP($X798,サイズ別係数!$B:$E,4,FALSE)</f>
        <v>1</v>
      </c>
      <c r="AB798" s="10">
        <v>0</v>
      </c>
      <c r="AC798" s="6" t="str">
        <f ca="1">VLOOKUP($AB798,OFFSET([3]enemy_skill_sets!$B$2,0,0,COUNTA([3]enemy_skill_sets!$A:$A),MATCH(AC$1,[3]enemy_skill_sets!$1:$1,0)-MATCH($AB$1,[3]enemy_skill_sets!$1:$1,0)+1),MATCH(AC$1,[3]enemy_skill_sets!$1:$1,0)-MATCH($AB$1,[3]enemy_skill_sets!$1:$1,0)+1,FALSE)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8" s="67">
        <v>1</v>
      </c>
      <c r="AE798" s="67">
        <v>1</v>
      </c>
      <c r="AF798" s="68">
        <v>0</v>
      </c>
      <c r="AG798" s="99">
        <f ca="1">ROUND(VLOOKUP(1,enemy_base_stats!$A:$F,2,FALSE) * Y798* J798*O798*E798*S798*AD798*[2]ステータス!$B$2,0)</f>
        <v>4250</v>
      </c>
      <c r="AH798" s="99">
        <f ca="1">ROUND(VLOOKUP(1,enemy_base_stats!$A:$F,3,FALSE) * Z798*K798*P798*F798*T798*AE798 * W798*[2]ステータス!$C$2,0)</f>
        <v>306</v>
      </c>
      <c r="AI798" s="99">
        <f ca="1">ROUND(VLOOKUP(1,enemy_base_stats!$A:$F,4,FALSE) * AA798*L798*Q798*G798*U798*AF798*[2]ステータス!$D$2,0)</f>
        <v>0</v>
      </c>
      <c r="AJ798" s="99">
        <f ca="1">ROUND(VLOOKUP(100,enemy_base_stats!$A:$F,2,FALSE) * Y798* J798*O798*E798*S798*AD798*[2]ステータス!$B$2,0)</f>
        <v>172550</v>
      </c>
      <c r="AK798" s="99">
        <f ca="1">ROUND(VLOOKUP(100,enemy_base_stats!$A:$F,3,FALSE)* Z798* K798*P798*F798*T798*AE798 * W798*[2]ステータス!$C$2,0)</f>
        <v>12436</v>
      </c>
      <c r="AL798" s="99">
        <f ca="1">ROUND(VLOOKUP(100,enemy_base_stats!$A:$F,4,FALSE)* AA798* L798*Q798*G798*U798*AF798*[2]ステータス!$D$2,0)</f>
        <v>0</v>
      </c>
      <c r="AM798" s="97">
        <f ca="1">VLOOKUP(M798,[2]character_tribe_i18n!$A:$I,9,FALSE)</f>
        <v>480</v>
      </c>
      <c r="AN798" s="97">
        <v>0</v>
      </c>
      <c r="AO798" s="98">
        <v>0</v>
      </c>
      <c r="AP798" s="58" t="s">
        <v>72</v>
      </c>
      <c r="AQ798" s="34">
        <f t="shared" ca="1" si="46"/>
        <v>797</v>
      </c>
    </row>
    <row r="799" spans="1:43" ht="21" customHeight="1" x14ac:dyDescent="0.15">
      <c r="A799" s="7">
        <f t="shared" ca="1" si="45"/>
        <v>798</v>
      </c>
      <c r="B799" s="6" t="str">
        <f ca="1">VLOOKUP(A799,[2]characters!$A:$C,3,FALSE)</f>
        <v>煌式の大機刃 オイラー</v>
      </c>
      <c r="C799" s="9">
        <f ca="1">VLOOKUP(A799,[2]characters!$A:$I,9,FALSE)</f>
        <v>6</v>
      </c>
      <c r="D799" s="9" t="str">
        <f ca="1">VLOOKUP(A799,[2]characters!$A:$H,8,FALSE)</f>
        <v>green</v>
      </c>
      <c r="E799" s="97">
        <f ca="1">VLOOKUP(D799,[2]属性!$A:$E,2,FALSE)</f>
        <v>1.02</v>
      </c>
      <c r="F799" s="97">
        <f ca="1">VLOOKUP(D799,[2]属性!$A:$E,3,FALSE)</f>
        <v>0.98</v>
      </c>
      <c r="G799" s="97">
        <f ca="1">VLOOKUP(D799,[2]属性!$A:$F,4,FALSE)</f>
        <v>1</v>
      </c>
      <c r="H799" s="9" t="str">
        <f ca="1">VLOOKUP(A799,[2]characters!$A:$K,11,FALSE)</f>
        <v>balance</v>
      </c>
      <c r="I799" s="6" t="str">
        <f ca="1">VLOOKUP(H799,[2]character_type_i18n!$A:$F,3,FALSE)</f>
        <v>バランスタイプ</v>
      </c>
      <c r="J799" s="97">
        <f ca="1">VLOOKUP(H799,[2]character_type_i18n!$A:$F,4,FALSE)</f>
        <v>1</v>
      </c>
      <c r="K799" s="97">
        <f ca="1">VLOOKUP(H799,[2]character_type_i18n!$A:$F,5,FALSE)</f>
        <v>1</v>
      </c>
      <c r="L799" s="97">
        <f ca="1">VLOOKUP(H799,[2]character_type_i18n!$A:$F,6,FALSE)</f>
        <v>1</v>
      </c>
      <c r="M799" s="9" t="str">
        <f ca="1">VLOOKUP(A799,[2]characters!$A:$M,13,FALSE)</f>
        <v>human</v>
      </c>
      <c r="N799" s="6" t="str">
        <f ca="1">VLOOKUP(M799,[2]character_tribe_i18n!$A:$F,3,FALSE)</f>
        <v>ヒューマン</v>
      </c>
      <c r="O799" s="97">
        <f ca="1">VLOOKUP(M799,[2]character_tribe_i18n!$A:$F,4,FALSE)</f>
        <v>0.94</v>
      </c>
      <c r="P799" s="97">
        <f ca="1">VLOOKUP(M799,[2]character_tribe_i18n!$A:$F,5,FALSE)</f>
        <v>0.99</v>
      </c>
      <c r="Q799" s="97">
        <f ca="1">VLOOKUP(M799,[2]character_tribe_i18n!$A:$F,6,FALSE)</f>
        <v>1</v>
      </c>
      <c r="R799" s="98" t="s">
        <v>98</v>
      </c>
      <c r="S799" s="97">
        <f>VLOOKUP($R799,ラベル別係数!$A$1:$E$7,3,FALSE)</f>
        <v>5</v>
      </c>
      <c r="T799" s="97">
        <f>VLOOKUP($R799,ラベル別係数!$A$1:$E$7,4,FALSE)</f>
        <v>1.3</v>
      </c>
      <c r="U799" s="97">
        <f>VLOOKUP($R799,ラベル別係数!$A$1:$E$7,5,FALSE)</f>
        <v>0.8</v>
      </c>
      <c r="V799" s="98">
        <v>3</v>
      </c>
      <c r="W799" s="99">
        <f>VLOOKUP(V799,ターン数別攻撃係数!$A$1:$B$1000,2,FALSE)</f>
        <v>1</v>
      </c>
      <c r="X799" s="9">
        <f ca="1">VLOOKUP(C799,サイズ別係数!A$2:B$9,2,FALSE)</f>
        <v>60</v>
      </c>
      <c r="Y799" s="97">
        <f ca="1">VLOOKUP($X799,サイズ別係数!$B:$E,2,FALSE)</f>
        <v>1.7</v>
      </c>
      <c r="Z799" s="97">
        <f ca="1">VLOOKUP($X799,サイズ別係数!$B:$E,3,FALSE)</f>
        <v>1.4</v>
      </c>
      <c r="AA799" s="97">
        <f ca="1">VLOOKUP($X799,サイズ別係数!$B:$E,4,FALSE)</f>
        <v>1</v>
      </c>
      <c r="AB799" s="10">
        <v>0</v>
      </c>
      <c r="AC799" s="6" t="str">
        <f ca="1">VLOOKUP($AB799,OFFSET([3]enemy_skill_sets!$B$2,0,0,COUNTA([3]enemy_skill_sets!$A:$A),MATCH(AC$1,[3]enemy_skill_sets!$1:$1,0)-MATCH($AB$1,[3]enemy_skill_sets!$1:$1,0)+1),MATCH(AC$1,[3]enemy_skill_sets!$1:$1,0)-MATCH($AB$1,[3]enemy_skill_sets!$1:$1,0)+1,FALSE)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799" s="67">
        <v>1</v>
      </c>
      <c r="AE799" s="67">
        <v>1</v>
      </c>
      <c r="AF799" s="68">
        <v>0</v>
      </c>
      <c r="AG799" s="99">
        <f ca="1">ROUND(VLOOKUP(1,enemy_base_stats!$A:$F,2,FALSE) * Y799* J799*O799*E799*S799*AD799*[2]ステータス!$B$2,0)</f>
        <v>4075</v>
      </c>
      <c r="AH799" s="99">
        <f ca="1">ROUND(VLOOKUP(1,enemy_base_stats!$A:$F,3,FALSE) * Z799*K799*P799*F799*T799*AE799 * W799*[2]ステータス!$C$2,0)</f>
        <v>265</v>
      </c>
      <c r="AI799" s="99">
        <f ca="1">ROUND(VLOOKUP(1,enemy_base_stats!$A:$F,4,FALSE) * AA799*L799*Q799*G799*U799*AF799*[2]ステータス!$D$2,0)</f>
        <v>0</v>
      </c>
      <c r="AJ799" s="99">
        <f ca="1">ROUND(VLOOKUP(100,enemy_base_stats!$A:$F,2,FALSE) * Y799* J799*O799*E799*S799*AD799*[2]ステータス!$B$2,0)</f>
        <v>165441</v>
      </c>
      <c r="AK799" s="99">
        <f ca="1">ROUND(VLOOKUP(100,enemy_base_stats!$A:$F,3,FALSE)* Z799* K799*P799*F799*T799*AE799 * W799*[2]ステータス!$C$2,0)</f>
        <v>10754</v>
      </c>
      <c r="AL799" s="99">
        <f ca="1">ROUND(VLOOKUP(100,enemy_base_stats!$A:$F,4,FALSE)* AA799* L799*Q799*G799*U799*AF799*[2]ステータス!$D$2,0)</f>
        <v>0</v>
      </c>
      <c r="AM799" s="97">
        <f ca="1">VLOOKUP(M799,[2]character_tribe_i18n!$A:$I,9,FALSE)</f>
        <v>400</v>
      </c>
      <c r="AN799" s="97">
        <v>0</v>
      </c>
      <c r="AO799" s="98">
        <v>0</v>
      </c>
      <c r="AP799" s="58" t="s">
        <v>72</v>
      </c>
      <c r="AQ799" s="34">
        <f t="shared" ca="1" si="46"/>
        <v>798</v>
      </c>
    </row>
    <row r="800" spans="1:43" ht="21" customHeight="1" x14ac:dyDescent="0.15">
      <c r="A800" s="7">
        <f t="shared" ca="1" si="45"/>
        <v>799</v>
      </c>
      <c r="B800" s="6" t="str">
        <f ca="1">VLOOKUP(A800,[2]characters!$A:$C,3,FALSE)</f>
        <v>電讃の魔機 チューリング</v>
      </c>
      <c r="C800" s="9">
        <f ca="1">VLOOKUP(A800,[2]characters!$A:$I,9,FALSE)</f>
        <v>6</v>
      </c>
      <c r="D800" s="9" t="str">
        <f ca="1">VLOOKUP(A800,[2]characters!$A:$H,8,FALSE)</f>
        <v>green</v>
      </c>
      <c r="E800" s="97">
        <f ca="1">VLOOKUP(D800,[2]属性!$A:$E,2,FALSE)</f>
        <v>1.02</v>
      </c>
      <c r="F800" s="97">
        <f ca="1">VLOOKUP(D800,[2]属性!$A:$E,3,FALSE)</f>
        <v>0.98</v>
      </c>
      <c r="G800" s="97">
        <f ca="1">VLOOKUP(D800,[2]属性!$A:$F,4,FALSE)</f>
        <v>1</v>
      </c>
      <c r="H800" s="9" t="str">
        <f ca="1">VLOOKUP(A800,[2]characters!$A:$K,11,FALSE)</f>
        <v>hp</v>
      </c>
      <c r="I800" s="6" t="str">
        <f ca="1">VLOOKUP(H800,[2]character_type_i18n!$A:$F,3,FALSE)</f>
        <v>体力タイプ</v>
      </c>
      <c r="J800" s="97">
        <f ca="1">VLOOKUP(H800,[2]character_type_i18n!$A:$F,4,FALSE)</f>
        <v>1.45</v>
      </c>
      <c r="K800" s="97">
        <f ca="1">VLOOKUP(H800,[2]character_type_i18n!$A:$F,5,FALSE)</f>
        <v>0.85</v>
      </c>
      <c r="L800" s="97">
        <f ca="1">VLOOKUP(H800,[2]character_type_i18n!$A:$F,6,FALSE)</f>
        <v>1</v>
      </c>
      <c r="M800" s="9" t="str">
        <f ca="1">VLOOKUP(A800,[2]characters!$A:$M,13,FALSE)</f>
        <v>human</v>
      </c>
      <c r="N800" s="6" t="str">
        <f ca="1">VLOOKUP(M800,[2]character_tribe_i18n!$A:$F,3,FALSE)</f>
        <v>ヒューマン</v>
      </c>
      <c r="O800" s="97">
        <f ca="1">VLOOKUP(M800,[2]character_tribe_i18n!$A:$F,4,FALSE)</f>
        <v>0.94</v>
      </c>
      <c r="P800" s="97">
        <f ca="1">VLOOKUP(M800,[2]character_tribe_i18n!$A:$F,5,FALSE)</f>
        <v>0.99</v>
      </c>
      <c r="Q800" s="97">
        <f ca="1">VLOOKUP(M800,[2]character_tribe_i18n!$A:$F,6,FALSE)</f>
        <v>1</v>
      </c>
      <c r="R800" s="98" t="s">
        <v>98</v>
      </c>
      <c r="S800" s="97">
        <f>VLOOKUP($R800,ラベル別係数!$A$1:$E$7,3,FALSE)</f>
        <v>5</v>
      </c>
      <c r="T800" s="97">
        <f>VLOOKUP($R800,ラベル別係数!$A$1:$E$7,4,FALSE)</f>
        <v>1.3</v>
      </c>
      <c r="U800" s="97">
        <f>VLOOKUP($R800,ラベル別係数!$A$1:$E$7,5,FALSE)</f>
        <v>0.8</v>
      </c>
      <c r="V800" s="98">
        <v>3</v>
      </c>
      <c r="W800" s="99">
        <f>VLOOKUP(V800,ターン数別攻撃係数!$A$1:$B$1000,2,FALSE)</f>
        <v>1</v>
      </c>
      <c r="X800" s="9">
        <f ca="1">VLOOKUP(C800,サイズ別係数!A$2:B$9,2,FALSE)</f>
        <v>60</v>
      </c>
      <c r="Y800" s="97">
        <f ca="1">VLOOKUP($X800,サイズ別係数!$B:$E,2,FALSE)</f>
        <v>1.7</v>
      </c>
      <c r="Z800" s="97">
        <f ca="1">VLOOKUP($X800,サイズ別係数!$B:$E,3,FALSE)</f>
        <v>1.4</v>
      </c>
      <c r="AA800" s="97">
        <f ca="1">VLOOKUP($X800,サイズ別係数!$B:$E,4,FALSE)</f>
        <v>1</v>
      </c>
      <c r="AB800" s="10">
        <v>0</v>
      </c>
      <c r="AC800" s="6" t="str">
        <f ca="1">VLOOKUP($AB800,OFFSET([3]enemy_skill_sets!$B$2,0,0,COUNTA([3]enemy_skill_sets!$A:$A),MATCH(AC$1,[3]enemy_skill_sets!$1:$1,0)-MATCH($AB$1,[3]enemy_skill_sets!$1:$1,0)+1),MATCH(AC$1,[3]enemy_skill_sets!$1:$1,0)-MATCH($AB$1,[3]enemy_skill_sets!$1:$1,0)+1,FALSE)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0" s="67">
        <v>1</v>
      </c>
      <c r="AE800" s="67">
        <v>1</v>
      </c>
      <c r="AF800" s="68">
        <v>0</v>
      </c>
      <c r="AG800" s="99">
        <f ca="1">ROUND(VLOOKUP(1,enemy_base_stats!$A:$F,2,FALSE) * Y800* J800*O800*E800*S800*AD800*[2]ステータス!$B$2,0)</f>
        <v>5909</v>
      </c>
      <c r="AH800" s="99">
        <f ca="1">ROUND(VLOOKUP(1,enemy_base_stats!$A:$F,3,FALSE) * Z800*K800*P800*F800*T800*AE800 * W800*[2]ステータス!$C$2,0)</f>
        <v>225</v>
      </c>
      <c r="AI800" s="99">
        <f ca="1">ROUND(VLOOKUP(1,enemy_base_stats!$A:$F,4,FALSE) * AA800*L800*Q800*G800*U800*AF800*[2]ステータス!$D$2,0)</f>
        <v>0</v>
      </c>
      <c r="AJ800" s="99">
        <f ca="1">ROUND(VLOOKUP(100,enemy_base_stats!$A:$F,2,FALSE) * Y800* J800*O800*E800*S800*AD800*[2]ステータス!$B$2,0)</f>
        <v>239889</v>
      </c>
      <c r="AK800" s="99">
        <f ca="1">ROUND(VLOOKUP(100,enemy_base_stats!$A:$F,3,FALSE)* Z800* K800*P800*F800*T800*AE800 * W800*[2]ステータス!$C$2,0)</f>
        <v>9140</v>
      </c>
      <c r="AL800" s="99">
        <f ca="1">ROUND(VLOOKUP(100,enemy_base_stats!$A:$F,4,FALSE)* AA800* L800*Q800*G800*U800*AF800*[2]ステータス!$D$2,0)</f>
        <v>0</v>
      </c>
      <c r="AM800" s="97">
        <f ca="1">VLOOKUP(M800,[2]character_tribe_i18n!$A:$I,9,FALSE)</f>
        <v>400</v>
      </c>
      <c r="AN800" s="97">
        <v>0</v>
      </c>
      <c r="AO800" s="98">
        <v>0</v>
      </c>
      <c r="AP800" s="58" t="s">
        <v>72</v>
      </c>
      <c r="AQ800" s="34">
        <f t="shared" ref="AQ800:AQ801" ca="1" si="47">A800</f>
        <v>799</v>
      </c>
    </row>
    <row r="801" spans="1:43" ht="21" customHeight="1" x14ac:dyDescent="0.15">
      <c r="A801" s="7">
        <f t="shared" ca="1" si="45"/>
        <v>800</v>
      </c>
      <c r="B801" s="6" t="str">
        <f ca="1">VLOOKUP(A801,[2]characters!$A:$C,3,FALSE)</f>
        <v>蒼穹包む命題 ヘンペル</v>
      </c>
      <c r="C801" s="9">
        <f ca="1">VLOOKUP(A801,[2]characters!$A:$I,9,FALSE)</f>
        <v>6</v>
      </c>
      <c r="D801" s="9" t="str">
        <f ca="1">VLOOKUP(A801,[2]characters!$A:$H,8,FALSE)</f>
        <v>blue</v>
      </c>
      <c r="E801" s="97">
        <f ca="1">VLOOKUP(D801,[2]属性!$A:$E,2,FALSE)</f>
        <v>1</v>
      </c>
      <c r="F801" s="97">
        <f ca="1">VLOOKUP(D801,[2]属性!$A:$E,3,FALSE)</f>
        <v>0.98</v>
      </c>
      <c r="G801" s="97">
        <f ca="1">VLOOKUP(D801,[2]属性!$A:$F,4,FALSE)</f>
        <v>1</v>
      </c>
      <c r="H801" s="9" t="str">
        <f ca="1">VLOOKUP(A801,[2]characters!$A:$K,11,FALSE)</f>
        <v>technical</v>
      </c>
      <c r="I801" s="6" t="str">
        <f ca="1">VLOOKUP(H801,[2]character_type_i18n!$A:$F,3,FALSE)</f>
        <v>テクニカルタイプ</v>
      </c>
      <c r="J801" s="97">
        <f ca="1">VLOOKUP(H801,[2]character_type_i18n!$A:$F,4,FALSE)</f>
        <v>0.9</v>
      </c>
      <c r="K801" s="97">
        <f ca="1">VLOOKUP(H801,[2]character_type_i18n!$A:$F,5,FALSE)</f>
        <v>0.9</v>
      </c>
      <c r="L801" s="97">
        <f ca="1">VLOOKUP(H801,[2]character_type_i18n!$A:$F,6,FALSE)</f>
        <v>1</v>
      </c>
      <c r="M801" s="9" t="str">
        <f ca="1">VLOOKUP(A801,[2]characters!$A:$M,13,FALSE)</f>
        <v>human</v>
      </c>
      <c r="N801" s="6" t="str">
        <f ca="1">VLOOKUP(M801,[2]character_tribe_i18n!$A:$F,3,FALSE)</f>
        <v>ヒューマン</v>
      </c>
      <c r="O801" s="97">
        <f ca="1">VLOOKUP(M801,[2]character_tribe_i18n!$A:$F,4,FALSE)</f>
        <v>0.94</v>
      </c>
      <c r="P801" s="97">
        <f ca="1">VLOOKUP(M801,[2]character_tribe_i18n!$A:$F,5,FALSE)</f>
        <v>0.99</v>
      </c>
      <c r="Q801" s="97">
        <f ca="1">VLOOKUP(M801,[2]character_tribe_i18n!$A:$F,6,FALSE)</f>
        <v>1</v>
      </c>
      <c r="R801" s="98" t="s">
        <v>98</v>
      </c>
      <c r="S801" s="97">
        <f>VLOOKUP($R801,ラベル別係数!$A$1:$E$7,3,FALSE)</f>
        <v>5</v>
      </c>
      <c r="T801" s="97">
        <f>VLOOKUP($R801,ラベル別係数!$A$1:$E$7,4,FALSE)</f>
        <v>1.3</v>
      </c>
      <c r="U801" s="97">
        <f>VLOOKUP($R801,ラベル別係数!$A$1:$E$7,5,FALSE)</f>
        <v>0.8</v>
      </c>
      <c r="V801" s="98">
        <v>3</v>
      </c>
      <c r="W801" s="99">
        <f>VLOOKUP(V801,ターン数別攻撃係数!$A$1:$B$1000,2,FALSE)</f>
        <v>1</v>
      </c>
      <c r="X801" s="9">
        <f ca="1">VLOOKUP(C801,サイズ別係数!A$2:B$9,2,FALSE)</f>
        <v>60</v>
      </c>
      <c r="Y801" s="97">
        <f ca="1">VLOOKUP($X801,サイズ別係数!$B:$E,2,FALSE)</f>
        <v>1.7</v>
      </c>
      <c r="Z801" s="97">
        <f ca="1">VLOOKUP($X801,サイズ別係数!$B:$E,3,FALSE)</f>
        <v>1.4</v>
      </c>
      <c r="AA801" s="97">
        <f ca="1">VLOOKUP($X801,サイズ別係数!$B:$E,4,FALSE)</f>
        <v>1</v>
      </c>
      <c r="AB801" s="10">
        <v>0</v>
      </c>
      <c r="AC801" s="6" t="str">
        <f ca="1">VLOOKUP($AB801,OFFSET([3]enemy_skill_sets!$B$2,0,0,COUNTA([3]enemy_skill_sets!$A:$A),MATCH(AC$1,[3]enemy_skill_sets!$1:$1,0)-MATCH($AB$1,[3]enemy_skill_sets!$1:$1,0)+1),MATCH(AC$1,[3]enemy_skill_sets!$1:$1,0)-MATCH($AB$1,[3]enemy_skill_sets!$1:$1,0)+1,FALSE)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1" s="67">
        <v>1</v>
      </c>
      <c r="AE801" s="67">
        <v>1</v>
      </c>
      <c r="AF801" s="68">
        <v>0</v>
      </c>
      <c r="AG801" s="99">
        <f ca="1">ROUND(VLOOKUP(1,enemy_base_stats!$A:$F,2,FALSE) * Y801* J801*O801*E801*S801*AD801*[2]ステータス!$B$2,0)</f>
        <v>3596</v>
      </c>
      <c r="AH801" s="99">
        <f ca="1">ROUND(VLOOKUP(1,enemy_base_stats!$A:$F,3,FALSE) * Z801*K801*P801*F801*T801*AE801 * W801*[2]ステータス!$C$2,0)</f>
        <v>238</v>
      </c>
      <c r="AI801" s="99">
        <f ca="1">ROUND(VLOOKUP(1,enemy_base_stats!$A:$F,4,FALSE) * AA801*L801*Q801*G801*U801*AF801*[2]ステータス!$D$2,0)</f>
        <v>0</v>
      </c>
      <c r="AJ801" s="99">
        <f ca="1">ROUND(VLOOKUP(100,enemy_base_stats!$A:$F,2,FALSE) * Y801* J801*O801*E801*S801*AD801*[2]ステータス!$B$2,0)</f>
        <v>145977</v>
      </c>
      <c r="AK801" s="99">
        <f ca="1">ROUND(VLOOKUP(100,enemy_base_stats!$A:$F,3,FALSE)* Z801* K801*P801*F801*T801*AE801 * W801*[2]ステータス!$C$2,0)</f>
        <v>9678</v>
      </c>
      <c r="AL801" s="99">
        <f ca="1">ROUND(VLOOKUP(100,enemy_base_stats!$A:$F,4,FALSE)* AA801* L801*Q801*G801*U801*AF801*[2]ステータス!$D$2,0)</f>
        <v>0</v>
      </c>
      <c r="AM801" s="97">
        <f ca="1">VLOOKUP(M801,[2]character_tribe_i18n!$A:$I,9,FALSE)</f>
        <v>400</v>
      </c>
      <c r="AN801" s="97">
        <v>0</v>
      </c>
      <c r="AO801" s="98">
        <v>0</v>
      </c>
      <c r="AP801" s="58" t="s">
        <v>72</v>
      </c>
      <c r="AQ801" s="34">
        <f t="shared" ca="1" si="47"/>
        <v>800</v>
      </c>
    </row>
    <row r="802" spans="1:43" ht="21" customHeight="1" x14ac:dyDescent="0.15">
      <c r="A802" s="7">
        <f t="shared" ca="1" si="45"/>
        <v>801</v>
      </c>
      <c r="B802" s="6" t="str">
        <f ca="1">VLOOKUP(A802,[2]characters!$A:$C,3,FALSE)</f>
        <v>覚世の大機神 オーディン</v>
      </c>
      <c r="C802" s="9">
        <f ca="1">VLOOKUP(A802,[2]characters!$A:$I,9,FALSE)</f>
        <v>6</v>
      </c>
      <c r="D802" s="9" t="str">
        <f ca="1">VLOOKUP(A802,[2]characters!$A:$H,8,FALSE)</f>
        <v>blue</v>
      </c>
      <c r="E802" s="97">
        <f ca="1">VLOOKUP(D802,[2]属性!$A:$E,2,FALSE)</f>
        <v>1</v>
      </c>
      <c r="F802" s="97">
        <f ca="1">VLOOKUP(D802,[2]属性!$A:$E,3,FALSE)</f>
        <v>0.98</v>
      </c>
      <c r="G802" s="97">
        <f ca="1">VLOOKUP(D802,[2]属性!$A:$F,4,FALSE)</f>
        <v>1</v>
      </c>
      <c r="H802" s="9" t="str">
        <f ca="1">VLOOKUP(A802,[2]characters!$A:$K,11,FALSE)</f>
        <v>hp</v>
      </c>
      <c r="I802" s="6" t="str">
        <f ca="1">VLOOKUP(H802,[2]character_type_i18n!$A:$F,3,FALSE)</f>
        <v>体力タイプ</v>
      </c>
      <c r="J802" s="97">
        <f ca="1">VLOOKUP(H802,[2]character_type_i18n!$A:$F,4,FALSE)</f>
        <v>1.45</v>
      </c>
      <c r="K802" s="97">
        <f ca="1">VLOOKUP(H802,[2]character_type_i18n!$A:$F,5,FALSE)</f>
        <v>0.85</v>
      </c>
      <c r="L802" s="97">
        <f ca="1">VLOOKUP(H802,[2]character_type_i18n!$A:$F,6,FALSE)</f>
        <v>1</v>
      </c>
      <c r="M802" s="9" t="str">
        <f ca="1">VLOOKUP(A802,[2]characters!$A:$M,13,FALSE)</f>
        <v>machine</v>
      </c>
      <c r="N802" s="6" t="str">
        <f ca="1">VLOOKUP(M802,[2]character_tribe_i18n!$A:$F,3,FALSE)</f>
        <v>マシン</v>
      </c>
      <c r="O802" s="97">
        <f ca="1">VLOOKUP(M802,[2]character_tribe_i18n!$A:$F,4,FALSE)</f>
        <v>1</v>
      </c>
      <c r="P802" s="97">
        <f ca="1">VLOOKUP(M802,[2]character_tribe_i18n!$A:$F,5,FALSE)</f>
        <v>1</v>
      </c>
      <c r="Q802" s="97">
        <f ca="1">VLOOKUP(M802,[2]character_tribe_i18n!$A:$F,6,FALSE)</f>
        <v>1</v>
      </c>
      <c r="R802" s="98" t="s">
        <v>98</v>
      </c>
      <c r="S802" s="97">
        <f>VLOOKUP($R802,ラベル別係数!$A$1:$E$7,3,FALSE)</f>
        <v>5</v>
      </c>
      <c r="T802" s="97">
        <f>VLOOKUP($R802,ラベル別係数!$A$1:$E$7,4,FALSE)</f>
        <v>1.3</v>
      </c>
      <c r="U802" s="97">
        <f>VLOOKUP($R802,ラベル別係数!$A$1:$E$7,5,FALSE)</f>
        <v>0.8</v>
      </c>
      <c r="V802" s="98">
        <v>3</v>
      </c>
      <c r="W802" s="99">
        <f>VLOOKUP(V802,ターン数別攻撃係数!$A$1:$B$1000,2,FALSE)</f>
        <v>1</v>
      </c>
      <c r="X802" s="9">
        <f ca="1">VLOOKUP(C802,サイズ別係数!A$2:B$9,2,FALSE)</f>
        <v>60</v>
      </c>
      <c r="Y802" s="97">
        <f ca="1">VLOOKUP($X802,サイズ別係数!$B:$E,2,FALSE)</f>
        <v>1.7</v>
      </c>
      <c r="Z802" s="97">
        <f ca="1">VLOOKUP($X802,サイズ別係数!$B:$E,3,FALSE)</f>
        <v>1.4</v>
      </c>
      <c r="AA802" s="97">
        <f ca="1">VLOOKUP($X802,サイズ別係数!$B:$E,4,FALSE)</f>
        <v>1</v>
      </c>
      <c r="AB802" s="10">
        <v>0</v>
      </c>
      <c r="AC802" s="6" t="str">
        <f ca="1">VLOOKUP($AB802,OFFSET([3]enemy_skill_sets!$B$2,0,0,COUNTA([3]enemy_skill_sets!$A:$A),MATCH(AC$1,[3]enemy_skill_sets!$1:$1,0)-MATCH($AB$1,[3]enemy_skill_sets!$1:$1,0)+1),MATCH(AC$1,[3]enemy_skill_sets!$1:$1,0)-MATCH($AB$1,[3]enemy_skill_sets!$1:$1,0)+1,FALSE)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2" s="67">
        <v>1</v>
      </c>
      <c r="AE802" s="67">
        <v>1</v>
      </c>
      <c r="AF802" s="68">
        <v>0</v>
      </c>
      <c r="AG802" s="99">
        <f ca="1">ROUND(VLOOKUP(1,enemy_base_stats!$A:$F,2,FALSE) * Y802* J802*O802*E802*S802*AD802*[2]ステータス!$B$2,0)</f>
        <v>6163</v>
      </c>
      <c r="AH802" s="99">
        <f ca="1">ROUND(VLOOKUP(1,enemy_base_stats!$A:$F,3,FALSE) * Z802*K802*P802*F802*T802*AE802 * W802*[2]ステータス!$C$2,0)</f>
        <v>227</v>
      </c>
      <c r="AI802" s="99">
        <f ca="1">ROUND(VLOOKUP(1,enemy_base_stats!$A:$F,4,FALSE) * AA802*L802*Q802*G802*U802*AF802*[2]ステータス!$D$2,0)</f>
        <v>0</v>
      </c>
      <c r="AJ802" s="99">
        <f ca="1">ROUND(VLOOKUP(100,enemy_base_stats!$A:$F,2,FALSE) * Y802* J802*O802*E802*S802*AD802*[2]ステータス!$B$2,0)</f>
        <v>250198</v>
      </c>
      <c r="AK802" s="99">
        <f ca="1">ROUND(VLOOKUP(100,enemy_base_stats!$A:$F,3,FALSE)* Z802* K802*P802*F802*T802*AE802 * W802*[2]ステータス!$C$2,0)</f>
        <v>9233</v>
      </c>
      <c r="AL802" s="99">
        <f ca="1">ROUND(VLOOKUP(100,enemy_base_stats!$A:$F,4,FALSE)* AA802* L802*Q802*G802*U802*AF802*[2]ステータス!$D$2,0)</f>
        <v>0</v>
      </c>
      <c r="AM802" s="97">
        <f ca="1">VLOOKUP(M802,[2]character_tribe_i18n!$A:$I,9,FALSE)</f>
        <v>520</v>
      </c>
      <c r="AN802" s="97">
        <v>0</v>
      </c>
      <c r="AO802" s="98">
        <v>0</v>
      </c>
      <c r="AP802" s="58" t="s">
        <v>72</v>
      </c>
      <c r="AQ802" s="34">
        <f t="shared" ref="AQ802:AQ838" ca="1" si="48">A802</f>
        <v>801</v>
      </c>
    </row>
    <row r="803" spans="1:43" ht="21" customHeight="1" x14ac:dyDescent="0.15">
      <c r="A803" s="7">
        <f t="shared" ca="1" si="45"/>
        <v>802</v>
      </c>
      <c r="B803" s="6" t="str">
        <f ca="1">VLOOKUP(A803,[2]characters!$A:$C,3,FALSE)</f>
        <v>四聖結終の超獣 麒麟</v>
      </c>
      <c r="C803" s="9">
        <f ca="1">VLOOKUP(A803,[2]characters!$A:$I,9,FALSE)</f>
        <v>6</v>
      </c>
      <c r="D803" s="9" t="str">
        <f ca="1">VLOOKUP(A803,[2]characters!$A:$H,8,FALSE)</f>
        <v>yellow</v>
      </c>
      <c r="E803" s="97">
        <f ca="1">VLOOKUP(D803,[2]属性!$A:$E,2,FALSE)</f>
        <v>0.98</v>
      </c>
      <c r="F803" s="97">
        <f ca="1">VLOOKUP(D803,[2]属性!$A:$E,3,FALSE)</f>
        <v>1.01</v>
      </c>
      <c r="G803" s="97">
        <f ca="1">VLOOKUP(D803,[2]属性!$A:$F,4,FALSE)</f>
        <v>1</v>
      </c>
      <c r="H803" s="9" t="str">
        <f ca="1">VLOOKUP(A803,[2]characters!$A:$K,11,FALSE)</f>
        <v>balance</v>
      </c>
      <c r="I803" s="6" t="str">
        <f ca="1">VLOOKUP(H803,[2]character_type_i18n!$A:$F,3,FALSE)</f>
        <v>バランスタイプ</v>
      </c>
      <c r="J803" s="97">
        <f ca="1">VLOOKUP(H803,[2]character_type_i18n!$A:$F,4,FALSE)</f>
        <v>1</v>
      </c>
      <c r="K803" s="97">
        <f ca="1">VLOOKUP(H803,[2]character_type_i18n!$A:$F,5,FALSE)</f>
        <v>1</v>
      </c>
      <c r="L803" s="97">
        <f ca="1">VLOOKUP(H803,[2]character_type_i18n!$A:$F,6,FALSE)</f>
        <v>1</v>
      </c>
      <c r="M803" s="9" t="str">
        <f ca="1">VLOOKUP(A803,[2]characters!$A:$M,13,FALSE)</f>
        <v>god</v>
      </c>
      <c r="N803" s="6" t="str">
        <f ca="1">VLOOKUP(M803,[2]character_tribe_i18n!$A:$F,3,FALSE)</f>
        <v>ゴッド</v>
      </c>
      <c r="O803" s="97">
        <f ca="1">VLOOKUP(M803,[2]character_tribe_i18n!$A:$F,4,FALSE)</f>
        <v>0.96</v>
      </c>
      <c r="P803" s="97">
        <f ca="1">VLOOKUP(M803,[2]character_tribe_i18n!$A:$F,5,FALSE)</f>
        <v>1.02</v>
      </c>
      <c r="Q803" s="97">
        <f ca="1">VLOOKUP(M803,[2]character_tribe_i18n!$A:$F,6,FALSE)</f>
        <v>1</v>
      </c>
      <c r="R803" s="98" t="s">
        <v>98</v>
      </c>
      <c r="S803" s="97">
        <f>VLOOKUP($R803,ラベル別係数!$A$1:$E$7,3,FALSE)</f>
        <v>5</v>
      </c>
      <c r="T803" s="97">
        <f>VLOOKUP($R803,ラベル別係数!$A$1:$E$7,4,FALSE)</f>
        <v>1.3</v>
      </c>
      <c r="U803" s="97">
        <f>VLOOKUP($R803,ラベル別係数!$A$1:$E$7,5,FALSE)</f>
        <v>0.8</v>
      </c>
      <c r="V803" s="98">
        <v>3</v>
      </c>
      <c r="W803" s="99">
        <f>VLOOKUP(V803,ターン数別攻撃係数!$A$1:$B$1000,2,FALSE)</f>
        <v>1</v>
      </c>
      <c r="X803" s="9">
        <f ca="1">VLOOKUP(C803,サイズ別係数!A$2:B$9,2,FALSE)</f>
        <v>60</v>
      </c>
      <c r="Y803" s="97">
        <f ca="1">VLOOKUP($X803,サイズ別係数!$B:$E,2,FALSE)</f>
        <v>1.7</v>
      </c>
      <c r="Z803" s="97">
        <f ca="1">VLOOKUP($X803,サイズ別係数!$B:$E,3,FALSE)</f>
        <v>1.4</v>
      </c>
      <c r="AA803" s="97">
        <f ca="1">VLOOKUP($X803,サイズ別係数!$B:$E,4,FALSE)</f>
        <v>1</v>
      </c>
      <c r="AB803" s="10">
        <v>0</v>
      </c>
      <c r="AC803" s="6" t="str">
        <f ca="1">VLOOKUP($AB803,OFFSET([3]enemy_skill_sets!$B$2,0,0,COUNTA([3]enemy_skill_sets!$A:$A),MATCH(AC$1,[3]enemy_skill_sets!$1:$1,0)-MATCH($AB$1,[3]enemy_skill_sets!$1:$1,0)+1),MATCH(AC$1,[3]enemy_skill_sets!$1:$1,0)-MATCH($AB$1,[3]enemy_skill_sets!$1:$1,0)+1,FALSE)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3" s="67">
        <v>1</v>
      </c>
      <c r="AE803" s="67">
        <v>1</v>
      </c>
      <c r="AF803" s="68">
        <v>0</v>
      </c>
      <c r="AG803" s="99">
        <f ca="1">ROUND(VLOOKUP(1,enemy_base_stats!$A:$F,2,FALSE) * Y803* J803*O803*E803*S803*AD803*[2]ステータス!$B$2,0)</f>
        <v>3998</v>
      </c>
      <c r="AH803" s="99">
        <f ca="1">ROUND(VLOOKUP(1,enemy_base_stats!$A:$F,3,FALSE) * Z803*K803*P803*F803*T803*AE803 * W803*[2]ステータス!$C$2,0)</f>
        <v>281</v>
      </c>
      <c r="AI803" s="99">
        <f ca="1">ROUND(VLOOKUP(1,enemy_base_stats!$A:$F,4,FALSE) * AA803*L803*Q803*G803*U803*AF803*[2]ステータス!$D$2,0)</f>
        <v>0</v>
      </c>
      <c r="AJ803" s="99">
        <f ca="1">ROUND(VLOOKUP(100,enemy_base_stats!$A:$F,2,FALSE) * Y803* J803*O803*E803*S803*AD803*[2]ステータス!$B$2,0)</f>
        <v>162335</v>
      </c>
      <c r="AK803" s="99">
        <f ca="1">ROUND(VLOOKUP(100,enemy_base_stats!$A:$F,3,FALSE)* Z803* K803*P803*F803*T803*AE803 * W803*[2]ステータス!$C$2,0)</f>
        <v>11419</v>
      </c>
      <c r="AL803" s="99">
        <f ca="1">ROUND(VLOOKUP(100,enemy_base_stats!$A:$F,4,FALSE)* AA803* L803*Q803*G803*U803*AF803*[2]ステータス!$D$2,0)</f>
        <v>0</v>
      </c>
      <c r="AM803" s="97">
        <f ca="1">VLOOKUP(M803,[2]character_tribe_i18n!$A:$I,9,FALSE)</f>
        <v>680</v>
      </c>
      <c r="AN803" s="97">
        <v>0</v>
      </c>
      <c r="AO803" s="98">
        <v>0</v>
      </c>
      <c r="AP803" s="58" t="s">
        <v>72</v>
      </c>
      <c r="AQ803" s="34">
        <f t="shared" ca="1" si="48"/>
        <v>802</v>
      </c>
    </row>
    <row r="804" spans="1:43" ht="21" customHeight="1" x14ac:dyDescent="0.15">
      <c r="A804" s="7">
        <f t="shared" ca="1" si="45"/>
        <v>803</v>
      </c>
      <c r="B804" s="6" t="str">
        <f ca="1">VLOOKUP(A804,[2]characters!$A:$C,3,FALSE)</f>
        <v>大宇宙の膨超 ハップル</v>
      </c>
      <c r="C804" s="9">
        <f ca="1">VLOOKUP(A804,[2]characters!$A:$I,9,FALSE)</f>
        <v>6</v>
      </c>
      <c r="D804" s="9" t="str">
        <f ca="1">VLOOKUP(A804,[2]characters!$A:$H,8,FALSE)</f>
        <v>yellow</v>
      </c>
      <c r="E804" s="97">
        <f ca="1">VLOOKUP(D804,[2]属性!$A:$E,2,FALSE)</f>
        <v>0.98</v>
      </c>
      <c r="F804" s="97">
        <f ca="1">VLOOKUP(D804,[2]属性!$A:$E,3,FALSE)</f>
        <v>1.01</v>
      </c>
      <c r="G804" s="97">
        <f ca="1">VLOOKUP(D804,[2]属性!$A:$F,4,FALSE)</f>
        <v>1</v>
      </c>
      <c r="H804" s="9" t="str">
        <f ca="1">VLOOKUP(A804,[2]characters!$A:$K,11,FALSE)</f>
        <v>technical</v>
      </c>
      <c r="I804" s="6" t="str">
        <f ca="1">VLOOKUP(H804,[2]character_type_i18n!$A:$F,3,FALSE)</f>
        <v>テクニカルタイプ</v>
      </c>
      <c r="J804" s="97">
        <f ca="1">VLOOKUP(H804,[2]character_type_i18n!$A:$F,4,FALSE)</f>
        <v>0.9</v>
      </c>
      <c r="K804" s="97">
        <f ca="1">VLOOKUP(H804,[2]character_type_i18n!$A:$F,5,FALSE)</f>
        <v>0.9</v>
      </c>
      <c r="L804" s="97">
        <f ca="1">VLOOKUP(H804,[2]character_type_i18n!$A:$F,6,FALSE)</f>
        <v>1</v>
      </c>
      <c r="M804" s="9" t="str">
        <f ca="1">VLOOKUP(A804,[2]characters!$A:$M,13,FALSE)</f>
        <v>human</v>
      </c>
      <c r="N804" s="6" t="str">
        <f ca="1">VLOOKUP(M804,[2]character_tribe_i18n!$A:$F,3,FALSE)</f>
        <v>ヒューマン</v>
      </c>
      <c r="O804" s="97">
        <f ca="1">VLOOKUP(M804,[2]character_tribe_i18n!$A:$F,4,FALSE)</f>
        <v>0.94</v>
      </c>
      <c r="P804" s="97">
        <f ca="1">VLOOKUP(M804,[2]character_tribe_i18n!$A:$F,5,FALSE)</f>
        <v>0.99</v>
      </c>
      <c r="Q804" s="97">
        <f ca="1">VLOOKUP(M804,[2]character_tribe_i18n!$A:$F,6,FALSE)</f>
        <v>1</v>
      </c>
      <c r="R804" s="98" t="s">
        <v>98</v>
      </c>
      <c r="S804" s="97">
        <f>VLOOKUP($R804,ラベル別係数!$A$1:$E$7,3,FALSE)</f>
        <v>5</v>
      </c>
      <c r="T804" s="97">
        <f>VLOOKUP($R804,ラベル別係数!$A$1:$E$7,4,FALSE)</f>
        <v>1.3</v>
      </c>
      <c r="U804" s="97">
        <f>VLOOKUP($R804,ラベル別係数!$A$1:$E$7,5,FALSE)</f>
        <v>0.8</v>
      </c>
      <c r="V804" s="98">
        <v>3</v>
      </c>
      <c r="W804" s="99">
        <f>VLOOKUP(V804,ターン数別攻撃係数!$A$1:$B$1000,2,FALSE)</f>
        <v>1</v>
      </c>
      <c r="X804" s="9">
        <f ca="1">VLOOKUP(C804,サイズ別係数!A$2:B$9,2,FALSE)</f>
        <v>60</v>
      </c>
      <c r="Y804" s="97">
        <f ca="1">VLOOKUP($X804,サイズ別係数!$B:$E,2,FALSE)</f>
        <v>1.7</v>
      </c>
      <c r="Z804" s="97">
        <f ca="1">VLOOKUP($X804,サイズ別係数!$B:$E,3,FALSE)</f>
        <v>1.4</v>
      </c>
      <c r="AA804" s="97">
        <f ca="1">VLOOKUP($X804,サイズ別係数!$B:$E,4,FALSE)</f>
        <v>1</v>
      </c>
      <c r="AB804" s="10">
        <v>0</v>
      </c>
      <c r="AC804" s="6" t="str">
        <f ca="1">VLOOKUP($AB804,OFFSET([3]enemy_skill_sets!$B$2,0,0,COUNTA([3]enemy_skill_sets!$A:$A),MATCH(AC$1,[3]enemy_skill_sets!$1:$1,0)-MATCH($AB$1,[3]enemy_skill_sets!$1:$1,0)+1),MATCH(AC$1,[3]enemy_skill_sets!$1:$1,0)-MATCH($AB$1,[3]enemy_skill_sets!$1:$1,0)+1,FALSE)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4" s="67">
        <v>1</v>
      </c>
      <c r="AE804" s="67">
        <v>1</v>
      </c>
      <c r="AF804" s="68">
        <v>0</v>
      </c>
      <c r="AG804" s="99">
        <f ca="1">ROUND(VLOOKUP(1,enemy_base_stats!$A:$F,2,FALSE) * Y804* J804*O804*E804*S804*AD804*[2]ステータス!$B$2,0)</f>
        <v>3524</v>
      </c>
      <c r="AH804" s="99">
        <f ca="1">ROUND(VLOOKUP(1,enemy_base_stats!$A:$F,3,FALSE) * Z804*K804*P804*F804*T804*AE804 * W804*[2]ステータス!$C$2,0)</f>
        <v>246</v>
      </c>
      <c r="AI804" s="99">
        <f ca="1">ROUND(VLOOKUP(1,enemy_base_stats!$A:$F,4,FALSE) * AA804*L804*Q804*G804*U804*AF804*[2]ステータス!$D$2,0)</f>
        <v>0</v>
      </c>
      <c r="AJ804" s="99">
        <f ca="1">ROUND(VLOOKUP(100,enemy_base_stats!$A:$F,2,FALSE) * Y804* J804*O804*E804*S804*AD804*[2]ステータス!$B$2,0)</f>
        <v>143058</v>
      </c>
      <c r="AK804" s="99">
        <f ca="1">ROUND(VLOOKUP(100,enemy_base_stats!$A:$F,3,FALSE)* Z804* K804*P804*F804*T804*AE804 * W804*[2]ステータス!$C$2,0)</f>
        <v>9974</v>
      </c>
      <c r="AL804" s="99">
        <f ca="1">ROUND(VLOOKUP(100,enemy_base_stats!$A:$F,4,FALSE)* AA804* L804*Q804*G804*U804*AF804*[2]ステータス!$D$2,0)</f>
        <v>0</v>
      </c>
      <c r="AM804" s="97">
        <f ca="1">VLOOKUP(M804,[2]character_tribe_i18n!$A:$I,9,FALSE)</f>
        <v>400</v>
      </c>
      <c r="AN804" s="97">
        <v>0</v>
      </c>
      <c r="AO804" s="98">
        <v>0</v>
      </c>
      <c r="AP804" s="58" t="s">
        <v>72</v>
      </c>
      <c r="AQ804" s="34">
        <f t="shared" ca="1" si="48"/>
        <v>803</v>
      </c>
    </row>
    <row r="805" spans="1:43" ht="21" customHeight="1" x14ac:dyDescent="0.15">
      <c r="A805" s="7">
        <f t="shared" ca="1" si="45"/>
        <v>804</v>
      </c>
      <c r="B805" s="6" t="str">
        <f ca="1">VLOOKUP(A805,[2]characters!$A:$C,3,FALSE)</f>
        <v>豪電の守護芯 ファラデー</v>
      </c>
      <c r="C805" s="9">
        <f ca="1">VLOOKUP(A805,[2]characters!$A:$I,9,FALSE)</f>
        <v>6</v>
      </c>
      <c r="D805" s="9" t="str">
        <f ca="1">VLOOKUP(A805,[2]characters!$A:$H,8,FALSE)</f>
        <v>yellow</v>
      </c>
      <c r="E805" s="97">
        <f ca="1">VLOOKUP(D805,[2]属性!$A:$E,2,FALSE)</f>
        <v>0.98</v>
      </c>
      <c r="F805" s="97">
        <f ca="1">VLOOKUP(D805,[2]属性!$A:$E,3,FALSE)</f>
        <v>1.01</v>
      </c>
      <c r="G805" s="97">
        <f ca="1">VLOOKUP(D805,[2]属性!$A:$F,4,FALSE)</f>
        <v>1</v>
      </c>
      <c r="H805" s="9" t="str">
        <f ca="1">VLOOKUP(A805,[2]characters!$A:$K,11,FALSE)</f>
        <v>balance</v>
      </c>
      <c r="I805" s="6" t="str">
        <f ca="1">VLOOKUP(H805,[2]character_type_i18n!$A:$F,3,FALSE)</f>
        <v>バランスタイプ</v>
      </c>
      <c r="J805" s="97">
        <f ca="1">VLOOKUP(H805,[2]character_type_i18n!$A:$F,4,FALSE)</f>
        <v>1</v>
      </c>
      <c r="K805" s="97">
        <f ca="1">VLOOKUP(H805,[2]character_type_i18n!$A:$F,5,FALSE)</f>
        <v>1</v>
      </c>
      <c r="L805" s="97">
        <f ca="1">VLOOKUP(H805,[2]character_type_i18n!$A:$F,6,FALSE)</f>
        <v>1</v>
      </c>
      <c r="M805" s="9" t="str">
        <f ca="1">VLOOKUP(A805,[2]characters!$A:$M,13,FALSE)</f>
        <v>human</v>
      </c>
      <c r="N805" s="6" t="str">
        <f ca="1">VLOOKUP(M805,[2]character_tribe_i18n!$A:$F,3,FALSE)</f>
        <v>ヒューマン</v>
      </c>
      <c r="O805" s="97">
        <f ca="1">VLOOKUP(M805,[2]character_tribe_i18n!$A:$F,4,FALSE)</f>
        <v>0.94</v>
      </c>
      <c r="P805" s="97">
        <f ca="1">VLOOKUP(M805,[2]character_tribe_i18n!$A:$F,5,FALSE)</f>
        <v>0.99</v>
      </c>
      <c r="Q805" s="97">
        <f ca="1">VLOOKUP(M805,[2]character_tribe_i18n!$A:$F,6,FALSE)</f>
        <v>1</v>
      </c>
      <c r="R805" s="98" t="s">
        <v>98</v>
      </c>
      <c r="S805" s="97">
        <f>VLOOKUP($R805,ラベル別係数!$A$1:$E$7,3,FALSE)</f>
        <v>5</v>
      </c>
      <c r="T805" s="97">
        <f>VLOOKUP($R805,ラベル別係数!$A$1:$E$7,4,FALSE)</f>
        <v>1.3</v>
      </c>
      <c r="U805" s="97">
        <f>VLOOKUP($R805,ラベル別係数!$A$1:$E$7,5,FALSE)</f>
        <v>0.8</v>
      </c>
      <c r="V805" s="98">
        <v>3</v>
      </c>
      <c r="W805" s="99">
        <f>VLOOKUP(V805,ターン数別攻撃係数!$A$1:$B$1000,2,FALSE)</f>
        <v>1</v>
      </c>
      <c r="X805" s="9">
        <f ca="1">VLOOKUP(C805,サイズ別係数!A$2:B$9,2,FALSE)</f>
        <v>60</v>
      </c>
      <c r="Y805" s="97">
        <f ca="1">VLOOKUP($X805,サイズ別係数!$B:$E,2,FALSE)</f>
        <v>1.7</v>
      </c>
      <c r="Z805" s="97">
        <f ca="1">VLOOKUP($X805,サイズ別係数!$B:$E,3,FALSE)</f>
        <v>1.4</v>
      </c>
      <c r="AA805" s="97">
        <f ca="1">VLOOKUP($X805,サイズ別係数!$B:$E,4,FALSE)</f>
        <v>1</v>
      </c>
      <c r="AB805" s="10">
        <v>0</v>
      </c>
      <c r="AC805" s="6" t="str">
        <f ca="1">VLOOKUP($AB805,OFFSET([3]enemy_skill_sets!$B$2,0,0,COUNTA([3]enemy_skill_sets!$A:$A),MATCH(AC$1,[3]enemy_skill_sets!$1:$1,0)-MATCH($AB$1,[3]enemy_skill_sets!$1:$1,0)+1),MATCH(AC$1,[3]enemy_skill_sets!$1:$1,0)-MATCH($AB$1,[3]enemy_skill_sets!$1:$1,0)+1,FALSE)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5" s="67">
        <v>1</v>
      </c>
      <c r="AE805" s="67">
        <v>1</v>
      </c>
      <c r="AF805" s="68">
        <v>0</v>
      </c>
      <c r="AG805" s="99">
        <f ca="1">ROUND(VLOOKUP(1,enemy_base_stats!$A:$F,2,FALSE) * Y805* J805*O805*E805*S805*AD805*[2]ステータス!$B$2,0)</f>
        <v>3915</v>
      </c>
      <c r="AH805" s="99">
        <f ca="1">ROUND(VLOOKUP(1,enemy_base_stats!$A:$F,3,FALSE) * Z805*K805*P805*F805*T805*AE805 * W805*[2]ステータス!$C$2,0)</f>
        <v>273</v>
      </c>
      <c r="AI805" s="99">
        <f ca="1">ROUND(VLOOKUP(1,enemy_base_stats!$A:$F,4,FALSE) * AA805*L805*Q805*G805*U805*AF805*[2]ステータス!$D$2,0)</f>
        <v>0</v>
      </c>
      <c r="AJ805" s="99">
        <f ca="1">ROUND(VLOOKUP(100,enemy_base_stats!$A:$F,2,FALSE) * Y805* J805*O805*E805*S805*AD805*[2]ステータス!$B$2,0)</f>
        <v>158953</v>
      </c>
      <c r="AK805" s="99">
        <f ca="1">ROUND(VLOOKUP(100,enemy_base_stats!$A:$F,3,FALSE)* Z805* K805*P805*F805*T805*AE805 * W805*[2]ステータス!$C$2,0)</f>
        <v>11083</v>
      </c>
      <c r="AL805" s="99">
        <f ca="1">ROUND(VLOOKUP(100,enemy_base_stats!$A:$F,4,FALSE)* AA805* L805*Q805*G805*U805*AF805*[2]ステータス!$D$2,0)</f>
        <v>0</v>
      </c>
      <c r="AM805" s="97">
        <f ca="1">VLOOKUP(M805,[2]character_tribe_i18n!$A:$I,9,FALSE)</f>
        <v>400</v>
      </c>
      <c r="AN805" s="97">
        <v>0</v>
      </c>
      <c r="AO805" s="98">
        <v>0</v>
      </c>
      <c r="AP805" s="58" t="s">
        <v>72</v>
      </c>
      <c r="AQ805" s="34">
        <f t="shared" ca="1" si="48"/>
        <v>804</v>
      </c>
    </row>
    <row r="806" spans="1:43" ht="21" customHeight="1" x14ac:dyDescent="0.15">
      <c r="A806" s="7">
        <f t="shared" ca="1" si="45"/>
        <v>805</v>
      </c>
      <c r="B806" s="6" t="str">
        <f ca="1">VLOOKUP(A806,[2]characters!$A:$C,3,FALSE)</f>
        <v>熱環の大逆聖 ベリアル</v>
      </c>
      <c r="C806" s="9">
        <f ca="1">VLOOKUP(A806,[2]characters!$A:$I,9,FALSE)</f>
        <v>6</v>
      </c>
      <c r="D806" s="9" t="str">
        <f ca="1">VLOOKUP(A806,[2]characters!$A:$H,8,FALSE)</f>
        <v>red</v>
      </c>
      <c r="E806" s="97">
        <f ca="1">VLOOKUP(D806,[2]属性!$A:$E,2,FALSE)</f>
        <v>1</v>
      </c>
      <c r="F806" s="97">
        <f ca="1">VLOOKUP(D806,[2]属性!$A:$E,3,FALSE)</f>
        <v>1.02</v>
      </c>
      <c r="G806" s="97">
        <f ca="1">VLOOKUP(D806,[2]属性!$A:$F,4,FALSE)</f>
        <v>1</v>
      </c>
      <c r="H806" s="9" t="str">
        <f ca="1">VLOOKUP(A806,[2]characters!$A:$K,11,FALSE)</f>
        <v>attack</v>
      </c>
      <c r="I806" s="6" t="str">
        <f ca="1">VLOOKUP(H806,[2]character_type_i18n!$A:$F,3,FALSE)</f>
        <v>攻撃タイプ</v>
      </c>
      <c r="J806" s="97">
        <f ca="1">VLOOKUP(H806,[2]character_type_i18n!$A:$F,4,FALSE)</f>
        <v>1</v>
      </c>
      <c r="K806" s="97">
        <f ca="1">VLOOKUP(H806,[2]character_type_i18n!$A:$F,5,FALSE)</f>
        <v>1.33</v>
      </c>
      <c r="L806" s="97">
        <f ca="1">VLOOKUP(H806,[2]character_type_i18n!$A:$F,6,FALSE)</f>
        <v>1</v>
      </c>
      <c r="M806" s="9" t="str">
        <f ca="1">VLOOKUP(A806,[2]characters!$A:$M,13,FALSE)</f>
        <v>god</v>
      </c>
      <c r="N806" s="6" t="str">
        <f ca="1">VLOOKUP(M806,[2]character_tribe_i18n!$A:$F,3,FALSE)</f>
        <v>ゴッド</v>
      </c>
      <c r="O806" s="97">
        <f ca="1">VLOOKUP(M806,[2]character_tribe_i18n!$A:$F,4,FALSE)</f>
        <v>0.96</v>
      </c>
      <c r="P806" s="97">
        <f ca="1">VLOOKUP(M806,[2]character_tribe_i18n!$A:$F,5,FALSE)</f>
        <v>1.02</v>
      </c>
      <c r="Q806" s="97">
        <f ca="1">VLOOKUP(M806,[2]character_tribe_i18n!$A:$F,6,FALSE)</f>
        <v>1</v>
      </c>
      <c r="R806" s="98" t="s">
        <v>98</v>
      </c>
      <c r="S806" s="97">
        <f>VLOOKUP($R806,ラベル別係数!$A$1:$E$7,3,FALSE)</f>
        <v>5</v>
      </c>
      <c r="T806" s="97">
        <f>VLOOKUP($R806,ラベル別係数!$A$1:$E$7,4,FALSE)</f>
        <v>1.3</v>
      </c>
      <c r="U806" s="97">
        <f>VLOOKUP($R806,ラベル別係数!$A$1:$E$7,5,FALSE)</f>
        <v>0.8</v>
      </c>
      <c r="V806" s="98">
        <v>2</v>
      </c>
      <c r="W806" s="99">
        <f>VLOOKUP(V806,ターン数別攻撃係数!$A$1:$B$1000,2,FALSE)</f>
        <v>0.75</v>
      </c>
      <c r="X806" s="9">
        <f ca="1">VLOOKUP(C806,サイズ別係数!A$2:B$9,2,FALSE)</f>
        <v>60</v>
      </c>
      <c r="Y806" s="97">
        <f ca="1">VLOOKUP($X806,サイズ別係数!$B:$E,2,FALSE)</f>
        <v>1.7</v>
      </c>
      <c r="Z806" s="97">
        <f ca="1">VLOOKUP($X806,サイズ別係数!$B:$E,3,FALSE)</f>
        <v>1.4</v>
      </c>
      <c r="AA806" s="97">
        <f ca="1">VLOOKUP($X806,サイズ別係数!$B:$E,4,FALSE)</f>
        <v>1</v>
      </c>
      <c r="AB806" s="10">
        <v>0</v>
      </c>
      <c r="AC806" s="6" t="str">
        <f ca="1">VLOOKUP($AB806,OFFSET([3]enemy_skill_sets!$B$2,0,0,COUNTA([3]enemy_skill_sets!$A:$A),MATCH(AC$1,[3]enemy_skill_sets!$1:$1,0)-MATCH($AB$1,[3]enemy_skill_sets!$1:$1,0)+1),MATCH(AC$1,[3]enemy_skill_sets!$1:$1,0)-MATCH($AB$1,[3]enemy_skill_sets!$1:$1,0)+1,FALSE)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6" s="67">
        <v>1</v>
      </c>
      <c r="AE806" s="67">
        <v>1</v>
      </c>
      <c r="AF806" s="68">
        <v>0</v>
      </c>
      <c r="AG806" s="99">
        <f ca="1">ROUND(VLOOKUP(1,enemy_base_stats!$A:$F,2,FALSE) * Y806* J806*O806*E806*S806*AD806*[2]ステータス!$B$2,0)</f>
        <v>4080</v>
      </c>
      <c r="AH806" s="99">
        <f ca="1">ROUND(VLOOKUP(1,enemy_base_stats!$A:$F,3,FALSE) * Z806*K806*P806*F806*T806*AE806 * W806*[2]ステータス!$C$2,0)</f>
        <v>283</v>
      </c>
      <c r="AI806" s="99">
        <f ca="1">ROUND(VLOOKUP(1,enemy_base_stats!$A:$F,4,FALSE) * AA806*L806*Q806*G806*U806*AF806*[2]ステータス!$D$2,0)</f>
        <v>0</v>
      </c>
      <c r="AJ806" s="99">
        <f ca="1">ROUND(VLOOKUP(100,enemy_base_stats!$A:$F,2,FALSE) * Y806* J806*O806*E806*S806*AD806*[2]ステータス!$B$2,0)</f>
        <v>165648</v>
      </c>
      <c r="AK806" s="99">
        <f ca="1">ROUND(VLOOKUP(100,enemy_base_stats!$A:$F,3,FALSE)* Z806* K806*P806*F806*T806*AE806 * W806*[2]ステータス!$C$2,0)</f>
        <v>11503</v>
      </c>
      <c r="AL806" s="99">
        <f ca="1">ROUND(VLOOKUP(100,enemy_base_stats!$A:$F,4,FALSE)* AA806* L806*Q806*G806*U806*AF806*[2]ステータス!$D$2,0)</f>
        <v>0</v>
      </c>
      <c r="AM806" s="97">
        <f ca="1">VLOOKUP(M806,[2]character_tribe_i18n!$A:$I,9,FALSE)</f>
        <v>680</v>
      </c>
      <c r="AN806" s="97">
        <v>0</v>
      </c>
      <c r="AO806" s="98">
        <v>0</v>
      </c>
      <c r="AP806" s="58" t="s">
        <v>72</v>
      </c>
      <c r="AQ806" s="34">
        <f t="shared" ca="1" si="48"/>
        <v>805</v>
      </c>
    </row>
    <row r="807" spans="1:43" ht="21" customHeight="1" x14ac:dyDescent="0.15">
      <c r="A807" s="7">
        <f t="shared" ca="1" si="45"/>
        <v>806</v>
      </c>
      <c r="B807" s="6" t="str">
        <f ca="1">VLOOKUP(A807,[2]characters!$A:$C,3,FALSE)</f>
        <v>全解の預智聖 オセ</v>
      </c>
      <c r="C807" s="9">
        <f ca="1">VLOOKUP(A807,[2]characters!$A:$I,9,FALSE)</f>
        <v>6</v>
      </c>
      <c r="D807" s="9" t="str">
        <f ca="1">VLOOKUP(A807,[2]characters!$A:$H,8,FALSE)</f>
        <v>green</v>
      </c>
      <c r="E807" s="97">
        <f ca="1">VLOOKUP(D807,[2]属性!$A:$E,2,FALSE)</f>
        <v>1.02</v>
      </c>
      <c r="F807" s="97">
        <f ca="1">VLOOKUP(D807,[2]属性!$A:$E,3,FALSE)</f>
        <v>0.98</v>
      </c>
      <c r="G807" s="97">
        <f ca="1">VLOOKUP(D807,[2]属性!$A:$F,4,FALSE)</f>
        <v>1</v>
      </c>
      <c r="H807" s="9" t="str">
        <f ca="1">VLOOKUP(A807,[2]characters!$A:$K,11,FALSE)</f>
        <v>attack</v>
      </c>
      <c r="I807" s="6" t="str">
        <f ca="1">VLOOKUP(H807,[2]character_type_i18n!$A:$F,3,FALSE)</f>
        <v>攻撃タイプ</v>
      </c>
      <c r="J807" s="97">
        <f ca="1">VLOOKUP(H807,[2]character_type_i18n!$A:$F,4,FALSE)</f>
        <v>1</v>
      </c>
      <c r="K807" s="97">
        <f ca="1">VLOOKUP(H807,[2]character_type_i18n!$A:$F,5,FALSE)</f>
        <v>1.33</v>
      </c>
      <c r="L807" s="97">
        <f ca="1">VLOOKUP(H807,[2]character_type_i18n!$A:$F,6,FALSE)</f>
        <v>1</v>
      </c>
      <c r="M807" s="9" t="str">
        <f ca="1">VLOOKUP(A807,[2]characters!$A:$M,13,FALSE)</f>
        <v>god</v>
      </c>
      <c r="N807" s="6" t="str">
        <f ca="1">VLOOKUP(M807,[2]character_tribe_i18n!$A:$F,3,FALSE)</f>
        <v>ゴッド</v>
      </c>
      <c r="O807" s="97">
        <f ca="1">VLOOKUP(M807,[2]character_tribe_i18n!$A:$F,4,FALSE)</f>
        <v>0.96</v>
      </c>
      <c r="P807" s="97">
        <f ca="1">VLOOKUP(M807,[2]character_tribe_i18n!$A:$F,5,FALSE)</f>
        <v>1.02</v>
      </c>
      <c r="Q807" s="97">
        <f ca="1">VLOOKUP(M807,[2]character_tribe_i18n!$A:$F,6,FALSE)</f>
        <v>1</v>
      </c>
      <c r="R807" s="98" t="s">
        <v>98</v>
      </c>
      <c r="S807" s="97">
        <f>VLOOKUP($R807,ラベル別係数!$A$1:$E$7,3,FALSE)</f>
        <v>5</v>
      </c>
      <c r="T807" s="97">
        <f>VLOOKUP($R807,ラベル別係数!$A$1:$E$7,4,FALSE)</f>
        <v>1.3</v>
      </c>
      <c r="U807" s="97">
        <f>VLOOKUP($R807,ラベル別係数!$A$1:$E$7,5,FALSE)</f>
        <v>0.8</v>
      </c>
      <c r="V807" s="98">
        <v>2</v>
      </c>
      <c r="W807" s="99">
        <f>VLOOKUP(V807,ターン数別攻撃係数!$A$1:$B$1000,2,FALSE)</f>
        <v>0.75</v>
      </c>
      <c r="X807" s="9">
        <f ca="1">VLOOKUP(C807,サイズ別係数!A$2:B$9,2,FALSE)</f>
        <v>60</v>
      </c>
      <c r="Y807" s="97">
        <f ca="1">VLOOKUP($X807,サイズ別係数!$B:$E,2,FALSE)</f>
        <v>1.7</v>
      </c>
      <c r="Z807" s="97">
        <f ca="1">VLOOKUP($X807,サイズ別係数!$B:$E,3,FALSE)</f>
        <v>1.4</v>
      </c>
      <c r="AA807" s="97">
        <f ca="1">VLOOKUP($X807,サイズ別係数!$B:$E,4,FALSE)</f>
        <v>1</v>
      </c>
      <c r="AB807" s="10">
        <v>0</v>
      </c>
      <c r="AC807" s="6" t="str">
        <f ca="1">VLOOKUP($AB807,OFFSET([3]enemy_skill_sets!$B$2,0,0,COUNTA([3]enemy_skill_sets!$A:$A),MATCH(AC$1,[3]enemy_skill_sets!$1:$1,0)-MATCH($AB$1,[3]enemy_skill_sets!$1:$1,0)+1),MATCH(AC$1,[3]enemy_skill_sets!$1:$1,0)-MATCH($AB$1,[3]enemy_skill_sets!$1:$1,0)+1,FALSE)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7" s="67">
        <v>1</v>
      </c>
      <c r="AE807" s="67">
        <v>1</v>
      </c>
      <c r="AF807" s="68">
        <v>0</v>
      </c>
      <c r="AG807" s="99">
        <f ca="1">ROUND(VLOOKUP(1,enemy_base_stats!$A:$F,2,FALSE) * Y807* J807*O807*E807*S807*AD807*[2]ステータス!$B$2,0)</f>
        <v>4162</v>
      </c>
      <c r="AH807" s="99">
        <f ca="1">ROUND(VLOOKUP(1,enemy_base_stats!$A:$F,3,FALSE) * Z807*K807*P807*F807*T807*AE807 * W807*[2]ステータス!$C$2,0)</f>
        <v>272</v>
      </c>
      <c r="AI807" s="99">
        <f ca="1">ROUND(VLOOKUP(1,enemy_base_stats!$A:$F,4,FALSE) * AA807*L807*Q807*G807*U807*AF807*[2]ステータス!$D$2,0)</f>
        <v>0</v>
      </c>
      <c r="AJ807" s="99">
        <f ca="1">ROUND(VLOOKUP(100,enemy_base_stats!$A:$F,2,FALSE) * Y807* J807*O807*E807*S807*AD807*[2]ステータス!$B$2,0)</f>
        <v>168961</v>
      </c>
      <c r="AK807" s="99">
        <f ca="1">ROUND(VLOOKUP(100,enemy_base_stats!$A:$F,3,FALSE)* Z807* K807*P807*F807*T807*AE807 * W807*[2]ステータス!$C$2,0)</f>
        <v>11052</v>
      </c>
      <c r="AL807" s="99">
        <f ca="1">ROUND(VLOOKUP(100,enemy_base_stats!$A:$F,4,FALSE)* AA807* L807*Q807*G807*U807*AF807*[2]ステータス!$D$2,0)</f>
        <v>0</v>
      </c>
      <c r="AM807" s="97">
        <f ca="1">VLOOKUP(M807,[2]character_tribe_i18n!$A:$I,9,FALSE)</f>
        <v>680</v>
      </c>
      <c r="AN807" s="97">
        <v>0</v>
      </c>
      <c r="AO807" s="98">
        <v>0</v>
      </c>
      <c r="AP807" s="58" t="s">
        <v>72</v>
      </c>
      <c r="AQ807" s="34">
        <f t="shared" ca="1" si="48"/>
        <v>806</v>
      </c>
    </row>
    <row r="808" spans="1:43" ht="21" customHeight="1" x14ac:dyDescent="0.15">
      <c r="A808" s="7">
        <f t="shared" ca="1" si="45"/>
        <v>807</v>
      </c>
      <c r="B808" s="6" t="str">
        <f ca="1">VLOOKUP(A808,[2]characters!$A:$C,3,FALSE)</f>
        <v>襲愛の真公爵 フォルネウス</v>
      </c>
      <c r="C808" s="9">
        <f ca="1">VLOOKUP(A808,[2]characters!$A:$I,9,FALSE)</f>
        <v>6</v>
      </c>
      <c r="D808" s="9" t="str">
        <f ca="1">VLOOKUP(A808,[2]characters!$A:$H,8,FALSE)</f>
        <v>blue</v>
      </c>
      <c r="E808" s="97">
        <f ca="1">VLOOKUP(D808,[2]属性!$A:$E,2,FALSE)</f>
        <v>1</v>
      </c>
      <c r="F808" s="97">
        <f ca="1">VLOOKUP(D808,[2]属性!$A:$E,3,FALSE)</f>
        <v>0.98</v>
      </c>
      <c r="G808" s="97">
        <f ca="1">VLOOKUP(D808,[2]属性!$A:$F,4,FALSE)</f>
        <v>1</v>
      </c>
      <c r="H808" s="9" t="str">
        <f ca="1">VLOOKUP(A808,[2]characters!$A:$K,11,FALSE)</f>
        <v>attack</v>
      </c>
      <c r="I808" s="6" t="str">
        <f ca="1">VLOOKUP(H808,[2]character_type_i18n!$A:$F,3,FALSE)</f>
        <v>攻撃タイプ</v>
      </c>
      <c r="J808" s="97">
        <f ca="1">VLOOKUP(H808,[2]character_type_i18n!$A:$F,4,FALSE)</f>
        <v>1</v>
      </c>
      <c r="K808" s="97">
        <f ca="1">VLOOKUP(H808,[2]character_type_i18n!$A:$F,5,FALSE)</f>
        <v>1.33</v>
      </c>
      <c r="L808" s="97">
        <f ca="1">VLOOKUP(H808,[2]character_type_i18n!$A:$F,6,FALSE)</f>
        <v>1</v>
      </c>
      <c r="M808" s="9" t="str">
        <f ca="1">VLOOKUP(A808,[2]characters!$A:$M,13,FALSE)</f>
        <v>god</v>
      </c>
      <c r="N808" s="6" t="str">
        <f ca="1">VLOOKUP(M808,[2]character_tribe_i18n!$A:$F,3,FALSE)</f>
        <v>ゴッド</v>
      </c>
      <c r="O808" s="97">
        <f ca="1">VLOOKUP(M808,[2]character_tribe_i18n!$A:$F,4,FALSE)</f>
        <v>0.96</v>
      </c>
      <c r="P808" s="97">
        <f ca="1">VLOOKUP(M808,[2]character_tribe_i18n!$A:$F,5,FALSE)</f>
        <v>1.02</v>
      </c>
      <c r="Q808" s="97">
        <f ca="1">VLOOKUP(M808,[2]character_tribe_i18n!$A:$F,6,FALSE)</f>
        <v>1</v>
      </c>
      <c r="R808" s="98" t="s">
        <v>98</v>
      </c>
      <c r="S808" s="97">
        <f>VLOOKUP($R808,ラベル別係数!$A$1:$E$7,3,FALSE)</f>
        <v>5</v>
      </c>
      <c r="T808" s="97">
        <f>VLOOKUP($R808,ラベル別係数!$A$1:$E$7,4,FALSE)</f>
        <v>1.3</v>
      </c>
      <c r="U808" s="97">
        <f>VLOOKUP($R808,ラベル別係数!$A$1:$E$7,5,FALSE)</f>
        <v>0.8</v>
      </c>
      <c r="V808" s="98">
        <v>2</v>
      </c>
      <c r="W808" s="99">
        <f>VLOOKUP(V808,ターン数別攻撃係数!$A$1:$B$1000,2,FALSE)</f>
        <v>0.75</v>
      </c>
      <c r="X808" s="9">
        <f ca="1">VLOOKUP(C808,サイズ別係数!A$2:B$9,2,FALSE)</f>
        <v>60</v>
      </c>
      <c r="Y808" s="97">
        <f ca="1">VLOOKUP($X808,サイズ別係数!$B:$E,2,FALSE)</f>
        <v>1.7</v>
      </c>
      <c r="Z808" s="97">
        <f ca="1">VLOOKUP($X808,サイズ別係数!$B:$E,3,FALSE)</f>
        <v>1.4</v>
      </c>
      <c r="AA808" s="97">
        <f ca="1">VLOOKUP($X808,サイズ別係数!$B:$E,4,FALSE)</f>
        <v>1</v>
      </c>
      <c r="AB808" s="10">
        <v>0</v>
      </c>
      <c r="AC808" s="6" t="str">
        <f ca="1">VLOOKUP($AB808,OFFSET([3]enemy_skill_sets!$B$2,0,0,COUNTA([3]enemy_skill_sets!$A:$A),MATCH(AC$1,[3]enemy_skill_sets!$1:$1,0)-MATCH($AB$1,[3]enemy_skill_sets!$1:$1,0)+1),MATCH(AC$1,[3]enemy_skill_sets!$1:$1,0)-MATCH($AB$1,[3]enemy_skill_sets!$1:$1,0)+1,FALSE)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8" s="67">
        <v>1</v>
      </c>
      <c r="AE808" s="67">
        <v>1</v>
      </c>
      <c r="AF808" s="68">
        <v>0</v>
      </c>
      <c r="AG808" s="99">
        <f ca="1">ROUND(VLOOKUP(1,enemy_base_stats!$A:$F,2,FALSE) * Y808* J808*O808*E808*S808*AD808*[2]ステータス!$B$2,0)</f>
        <v>4080</v>
      </c>
      <c r="AH808" s="99">
        <f ca="1">ROUND(VLOOKUP(1,enemy_base_stats!$A:$F,3,FALSE) * Z808*K808*P808*F808*T808*AE808 * W808*[2]ステータス!$C$2,0)</f>
        <v>272</v>
      </c>
      <c r="AI808" s="99">
        <f ca="1">ROUND(VLOOKUP(1,enemy_base_stats!$A:$F,4,FALSE) * AA808*L808*Q808*G808*U808*AF808*[2]ステータス!$D$2,0)</f>
        <v>0</v>
      </c>
      <c r="AJ808" s="99">
        <f ca="1">ROUND(VLOOKUP(100,enemy_base_stats!$A:$F,2,FALSE) * Y808* J808*O808*E808*S808*AD808*[2]ステータス!$B$2,0)</f>
        <v>165648</v>
      </c>
      <c r="AK808" s="99">
        <f ca="1">ROUND(VLOOKUP(100,enemy_base_stats!$A:$F,3,FALSE)* Z808* K808*P808*F808*T808*AE808 * W808*[2]ステータス!$C$2,0)</f>
        <v>11052</v>
      </c>
      <c r="AL808" s="99">
        <f ca="1">ROUND(VLOOKUP(100,enemy_base_stats!$A:$F,4,FALSE)* AA808* L808*Q808*G808*U808*AF808*[2]ステータス!$D$2,0)</f>
        <v>0</v>
      </c>
      <c r="AM808" s="97">
        <f ca="1">VLOOKUP(M808,[2]character_tribe_i18n!$A:$I,9,FALSE)</f>
        <v>680</v>
      </c>
      <c r="AN808" s="97">
        <v>0</v>
      </c>
      <c r="AO808" s="98">
        <v>0</v>
      </c>
      <c r="AP808" s="58" t="s">
        <v>72</v>
      </c>
      <c r="AQ808" s="34">
        <f t="shared" ca="1" si="48"/>
        <v>807</v>
      </c>
    </row>
    <row r="809" spans="1:43" ht="21" customHeight="1" x14ac:dyDescent="0.15">
      <c r="A809" s="7">
        <f t="shared" ca="1" si="45"/>
        <v>808</v>
      </c>
      <c r="B809" s="6" t="str">
        <f ca="1">VLOOKUP(A809,[2]characters!$A:$C,3,FALSE)</f>
        <v>天地万物の烈神母 イザナミ</v>
      </c>
      <c r="C809" s="9">
        <f ca="1">VLOOKUP(A809,[2]characters!$A:$I,9,FALSE)</f>
        <v>6</v>
      </c>
      <c r="D809" s="9" t="str">
        <f ca="1">VLOOKUP(A809,[2]characters!$A:$H,8,FALSE)</f>
        <v>yellow</v>
      </c>
      <c r="E809" s="97">
        <f ca="1">VLOOKUP(D809,[2]属性!$A:$E,2,FALSE)</f>
        <v>0.98</v>
      </c>
      <c r="F809" s="97">
        <f ca="1">VLOOKUP(D809,[2]属性!$A:$E,3,FALSE)</f>
        <v>1.01</v>
      </c>
      <c r="G809" s="97">
        <f ca="1">VLOOKUP(D809,[2]属性!$A:$F,4,FALSE)</f>
        <v>1</v>
      </c>
      <c r="H809" s="9" t="str">
        <f ca="1">VLOOKUP(A809,[2]characters!$A:$K,11,FALSE)</f>
        <v>attack</v>
      </c>
      <c r="I809" s="6" t="str">
        <f ca="1">VLOOKUP(H809,[2]character_type_i18n!$A:$F,3,FALSE)</f>
        <v>攻撃タイプ</v>
      </c>
      <c r="J809" s="97">
        <f ca="1">VLOOKUP(H809,[2]character_type_i18n!$A:$F,4,FALSE)</f>
        <v>1</v>
      </c>
      <c r="K809" s="97">
        <f ca="1">VLOOKUP(H809,[2]character_type_i18n!$A:$F,5,FALSE)</f>
        <v>1.33</v>
      </c>
      <c r="L809" s="97">
        <f ca="1">VLOOKUP(H809,[2]character_type_i18n!$A:$F,6,FALSE)</f>
        <v>1</v>
      </c>
      <c r="M809" s="9" t="str">
        <f ca="1">VLOOKUP(A809,[2]characters!$A:$M,13,FALSE)</f>
        <v>god</v>
      </c>
      <c r="N809" s="6" t="str">
        <f ca="1">VLOOKUP(M809,[2]character_tribe_i18n!$A:$F,3,FALSE)</f>
        <v>ゴッド</v>
      </c>
      <c r="O809" s="97">
        <f ca="1">VLOOKUP(M809,[2]character_tribe_i18n!$A:$F,4,FALSE)</f>
        <v>0.96</v>
      </c>
      <c r="P809" s="97">
        <f ca="1">VLOOKUP(M809,[2]character_tribe_i18n!$A:$F,5,FALSE)</f>
        <v>1.02</v>
      </c>
      <c r="Q809" s="97">
        <f ca="1">VLOOKUP(M809,[2]character_tribe_i18n!$A:$F,6,FALSE)</f>
        <v>1</v>
      </c>
      <c r="R809" s="98" t="s">
        <v>98</v>
      </c>
      <c r="S809" s="97">
        <f>VLOOKUP($R809,ラベル別係数!$A$1:$E$7,3,FALSE)</f>
        <v>5</v>
      </c>
      <c r="T809" s="97">
        <f>VLOOKUP($R809,ラベル別係数!$A$1:$E$7,4,FALSE)</f>
        <v>1.3</v>
      </c>
      <c r="U809" s="97">
        <f>VLOOKUP($R809,ラベル別係数!$A$1:$E$7,5,FALSE)</f>
        <v>0.8</v>
      </c>
      <c r="V809" s="98">
        <v>2</v>
      </c>
      <c r="W809" s="99">
        <f>VLOOKUP(V809,ターン数別攻撃係数!$A$1:$B$1000,2,FALSE)</f>
        <v>0.75</v>
      </c>
      <c r="X809" s="9">
        <f ca="1">VLOOKUP(C809,サイズ別係数!A$2:B$9,2,FALSE)</f>
        <v>60</v>
      </c>
      <c r="Y809" s="97">
        <f ca="1">VLOOKUP($X809,サイズ別係数!$B:$E,2,FALSE)</f>
        <v>1.7</v>
      </c>
      <c r="Z809" s="97">
        <f ca="1">VLOOKUP($X809,サイズ別係数!$B:$E,3,FALSE)</f>
        <v>1.4</v>
      </c>
      <c r="AA809" s="97">
        <f ca="1">VLOOKUP($X809,サイズ別係数!$B:$E,4,FALSE)</f>
        <v>1</v>
      </c>
      <c r="AB809" s="10">
        <v>0</v>
      </c>
      <c r="AC809" s="6" t="str">
        <f ca="1">VLOOKUP($AB809,OFFSET([3]enemy_skill_sets!$B$2,0,0,COUNTA([3]enemy_skill_sets!$A:$A),MATCH(AC$1,[3]enemy_skill_sets!$1:$1,0)-MATCH($AB$1,[3]enemy_skill_sets!$1:$1,0)+1),MATCH(AC$1,[3]enemy_skill_sets!$1:$1,0)-MATCH($AB$1,[3]enemy_skill_sets!$1:$1,0)+1,FALSE)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09" s="67">
        <v>1</v>
      </c>
      <c r="AE809" s="67">
        <v>1</v>
      </c>
      <c r="AF809" s="68">
        <v>0</v>
      </c>
      <c r="AG809" s="99">
        <f ca="1">ROUND(VLOOKUP(1,enemy_base_stats!$A:$F,2,FALSE) * Y809* J809*O809*E809*S809*AD809*[2]ステータス!$B$2,0)</f>
        <v>3998</v>
      </c>
      <c r="AH809" s="99">
        <f ca="1">ROUND(VLOOKUP(1,enemy_base_stats!$A:$F,3,FALSE) * Z809*K809*P809*F809*T809*AE809 * W809*[2]ステータス!$C$2,0)</f>
        <v>281</v>
      </c>
      <c r="AI809" s="99">
        <f ca="1">ROUND(VLOOKUP(1,enemy_base_stats!$A:$F,4,FALSE) * AA809*L809*Q809*G809*U809*AF809*[2]ステータス!$D$2,0)</f>
        <v>0</v>
      </c>
      <c r="AJ809" s="99">
        <f ca="1">ROUND(VLOOKUP(100,enemy_base_stats!$A:$F,2,FALSE) * Y809* J809*O809*E809*S809*AD809*[2]ステータス!$B$2,0)</f>
        <v>162335</v>
      </c>
      <c r="AK809" s="99">
        <f ca="1">ROUND(VLOOKUP(100,enemy_base_stats!$A:$F,3,FALSE)* Z809* K809*P809*F809*T809*AE809 * W809*[2]ステータス!$C$2,0)</f>
        <v>11390</v>
      </c>
      <c r="AL809" s="99">
        <f ca="1">ROUND(VLOOKUP(100,enemy_base_stats!$A:$F,4,FALSE)* AA809* L809*Q809*G809*U809*AF809*[2]ステータス!$D$2,0)</f>
        <v>0</v>
      </c>
      <c r="AM809" s="97">
        <f ca="1">VLOOKUP(M809,[2]character_tribe_i18n!$A:$I,9,FALSE)</f>
        <v>680</v>
      </c>
      <c r="AN809" s="97">
        <v>0</v>
      </c>
      <c r="AO809" s="98">
        <v>0</v>
      </c>
      <c r="AP809" s="58" t="s">
        <v>72</v>
      </c>
      <c r="AQ809" s="34">
        <f t="shared" ca="1" si="48"/>
        <v>808</v>
      </c>
    </row>
    <row r="810" spans="1:43" ht="21" customHeight="1" x14ac:dyDescent="0.15">
      <c r="A810" s="7">
        <f t="shared" ca="1" si="45"/>
        <v>809</v>
      </c>
      <c r="B810" s="6" t="str">
        <f ca="1">VLOOKUP(A810,[2]characters!$A:$C,3,FALSE)</f>
        <v>天然理心の激凛 沖田総司</v>
      </c>
      <c r="C810" s="9">
        <f ca="1">VLOOKUP(A810,[2]characters!$A:$I,9,FALSE)</f>
        <v>6</v>
      </c>
      <c r="D810" s="9" t="str">
        <f ca="1">VLOOKUP(A810,[2]characters!$A:$H,8,FALSE)</f>
        <v>blue</v>
      </c>
      <c r="E810" s="97">
        <f ca="1">VLOOKUP(D810,[2]属性!$A:$E,2,FALSE)</f>
        <v>1</v>
      </c>
      <c r="F810" s="97">
        <f ca="1">VLOOKUP(D810,[2]属性!$A:$E,3,FALSE)</f>
        <v>0.98</v>
      </c>
      <c r="G810" s="97">
        <f ca="1">VLOOKUP(D810,[2]属性!$A:$F,4,FALSE)</f>
        <v>1</v>
      </c>
      <c r="H810" s="9" t="str">
        <f ca="1">VLOOKUP(A810,[2]characters!$A:$K,11,FALSE)</f>
        <v>balance</v>
      </c>
      <c r="I810" s="6" t="str">
        <f ca="1">VLOOKUP(H810,[2]character_type_i18n!$A:$F,3,FALSE)</f>
        <v>バランスタイプ</v>
      </c>
      <c r="J810" s="97">
        <f ca="1">VLOOKUP(H810,[2]character_type_i18n!$A:$F,4,FALSE)</f>
        <v>1</v>
      </c>
      <c r="K810" s="97">
        <f ca="1">VLOOKUP(H810,[2]character_type_i18n!$A:$F,5,FALSE)</f>
        <v>1</v>
      </c>
      <c r="L810" s="97">
        <f ca="1">VLOOKUP(H810,[2]character_type_i18n!$A:$F,6,FALSE)</f>
        <v>1</v>
      </c>
      <c r="M810" s="9" t="str">
        <f ca="1">VLOOKUP(A810,[2]characters!$A:$M,13,FALSE)</f>
        <v>human</v>
      </c>
      <c r="N810" s="6" t="str">
        <f ca="1">VLOOKUP(M810,[2]character_tribe_i18n!$A:$F,3,FALSE)</f>
        <v>ヒューマン</v>
      </c>
      <c r="O810" s="97">
        <f ca="1">VLOOKUP(M810,[2]character_tribe_i18n!$A:$F,4,FALSE)</f>
        <v>0.94</v>
      </c>
      <c r="P810" s="97">
        <f ca="1">VLOOKUP(M810,[2]character_tribe_i18n!$A:$F,5,FALSE)</f>
        <v>0.99</v>
      </c>
      <c r="Q810" s="97">
        <f ca="1">VLOOKUP(M810,[2]character_tribe_i18n!$A:$F,6,FALSE)</f>
        <v>1</v>
      </c>
      <c r="R810" s="98" t="s">
        <v>98</v>
      </c>
      <c r="S810" s="97">
        <f>VLOOKUP($R810,ラベル別係数!$A$1:$E$7,3,FALSE)</f>
        <v>5</v>
      </c>
      <c r="T810" s="97">
        <f>VLOOKUP($R810,ラベル別係数!$A$1:$E$7,4,FALSE)</f>
        <v>1.3</v>
      </c>
      <c r="U810" s="97">
        <f>VLOOKUP($R810,ラベル別係数!$A$1:$E$7,5,FALSE)</f>
        <v>0.8</v>
      </c>
      <c r="V810" s="98">
        <v>2</v>
      </c>
      <c r="W810" s="99">
        <f>VLOOKUP(V810,ターン数別攻撃係数!$A$1:$B$1000,2,FALSE)</f>
        <v>0.75</v>
      </c>
      <c r="X810" s="9">
        <f ca="1">VLOOKUP(C810,サイズ別係数!A$2:B$9,2,FALSE)</f>
        <v>60</v>
      </c>
      <c r="Y810" s="97">
        <f ca="1">VLOOKUP($X810,サイズ別係数!$B:$E,2,FALSE)</f>
        <v>1.7</v>
      </c>
      <c r="Z810" s="97">
        <f ca="1">VLOOKUP($X810,サイズ別係数!$B:$E,3,FALSE)</f>
        <v>1.4</v>
      </c>
      <c r="AA810" s="97">
        <f ca="1">VLOOKUP($X810,サイズ別係数!$B:$E,4,FALSE)</f>
        <v>1</v>
      </c>
      <c r="AB810" s="10">
        <v>0</v>
      </c>
      <c r="AC810" s="6" t="str">
        <f ca="1">VLOOKUP($AB810,OFFSET([3]enemy_skill_sets!$B$2,0,0,COUNTA([3]enemy_skill_sets!$A:$A),MATCH(AC$1,[3]enemy_skill_sets!$1:$1,0)-MATCH($AB$1,[3]enemy_skill_sets!$1:$1,0)+1),MATCH(AC$1,[3]enemy_skill_sets!$1:$1,0)-MATCH($AB$1,[3]enemy_skill_sets!$1:$1,0)+1,FALSE)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0" s="67">
        <v>1</v>
      </c>
      <c r="AE810" s="67">
        <v>1</v>
      </c>
      <c r="AF810" s="68">
        <v>0</v>
      </c>
      <c r="AG810" s="99">
        <f ca="1">ROUND(VLOOKUP(1,enemy_base_stats!$A:$F,2,FALSE) * Y810* J810*O810*E810*S810*AD810*[2]ステータス!$B$2,0)</f>
        <v>3995</v>
      </c>
      <c r="AH810" s="99">
        <f ca="1">ROUND(VLOOKUP(1,enemy_base_stats!$A:$F,3,FALSE) * Z810*K810*P810*F810*T810*AE810 * W810*[2]ステータス!$C$2,0)</f>
        <v>199</v>
      </c>
      <c r="AI810" s="99">
        <f ca="1">ROUND(VLOOKUP(1,enemy_base_stats!$A:$F,4,FALSE) * AA810*L810*Q810*G810*U810*AF810*[2]ステータス!$D$2,0)</f>
        <v>0</v>
      </c>
      <c r="AJ810" s="99">
        <f ca="1">ROUND(VLOOKUP(100,enemy_base_stats!$A:$F,2,FALSE) * Y810* J810*O810*E810*S810*AD810*[2]ステータス!$B$2,0)</f>
        <v>162197</v>
      </c>
      <c r="AK810" s="99">
        <f ca="1">ROUND(VLOOKUP(100,enemy_base_stats!$A:$F,3,FALSE)* Z810* K810*P810*F810*T810*AE810 * W810*[2]ステータス!$C$2,0)</f>
        <v>8065</v>
      </c>
      <c r="AL810" s="99">
        <f ca="1">ROUND(VLOOKUP(100,enemy_base_stats!$A:$F,4,FALSE)* AA810* L810*Q810*G810*U810*AF810*[2]ステータス!$D$2,0)</f>
        <v>0</v>
      </c>
      <c r="AM810" s="97">
        <f ca="1">VLOOKUP(M810,[2]character_tribe_i18n!$A:$I,9,FALSE)</f>
        <v>400</v>
      </c>
      <c r="AN810" s="97">
        <v>0</v>
      </c>
      <c r="AO810" s="98">
        <v>0</v>
      </c>
      <c r="AP810" s="58" t="s">
        <v>72</v>
      </c>
      <c r="AQ810" s="34">
        <f t="shared" ca="1" si="48"/>
        <v>809</v>
      </c>
    </row>
    <row r="811" spans="1:43" ht="21" customHeight="1" x14ac:dyDescent="0.15">
      <c r="A811" s="7">
        <f t="shared" ca="1" si="45"/>
        <v>810</v>
      </c>
      <c r="B811" s="6" t="str">
        <f ca="1">VLOOKUP(A811,[2]characters!$A:$C,3,FALSE)</f>
        <v>君臨大御神 アマテラス</v>
      </c>
      <c r="C811" s="9">
        <f ca="1">VLOOKUP(A811,[2]characters!$A:$I,9,FALSE)</f>
        <v>6</v>
      </c>
      <c r="D811" s="9" t="str">
        <f ca="1">VLOOKUP(A811,[2]characters!$A:$H,8,FALSE)</f>
        <v>red</v>
      </c>
      <c r="E811" s="97">
        <f ca="1">VLOOKUP(D811,[2]属性!$A:$E,2,FALSE)</f>
        <v>1</v>
      </c>
      <c r="F811" s="97">
        <f ca="1">VLOOKUP(D811,[2]属性!$A:$E,3,FALSE)</f>
        <v>1.02</v>
      </c>
      <c r="G811" s="97">
        <f ca="1">VLOOKUP(D811,[2]属性!$A:$F,4,FALSE)</f>
        <v>1</v>
      </c>
      <c r="H811" s="9" t="str">
        <f ca="1">VLOOKUP(A811,[2]characters!$A:$K,11,FALSE)</f>
        <v>attack</v>
      </c>
      <c r="I811" s="6" t="str">
        <f ca="1">VLOOKUP(H811,[2]character_type_i18n!$A:$F,3,FALSE)</f>
        <v>攻撃タイプ</v>
      </c>
      <c r="J811" s="97">
        <f ca="1">VLOOKUP(H811,[2]character_type_i18n!$A:$F,4,FALSE)</f>
        <v>1</v>
      </c>
      <c r="K811" s="97">
        <f ca="1">VLOOKUP(H811,[2]character_type_i18n!$A:$F,5,FALSE)</f>
        <v>1.33</v>
      </c>
      <c r="L811" s="97">
        <f ca="1">VLOOKUP(H811,[2]character_type_i18n!$A:$F,6,FALSE)</f>
        <v>1</v>
      </c>
      <c r="M811" s="9" t="str">
        <f ca="1">VLOOKUP(A811,[2]characters!$A:$M,13,FALSE)</f>
        <v>god</v>
      </c>
      <c r="N811" s="6" t="str">
        <f ca="1">VLOOKUP(M811,[2]character_tribe_i18n!$A:$F,3,FALSE)</f>
        <v>ゴッド</v>
      </c>
      <c r="O811" s="97">
        <f ca="1">VLOOKUP(M811,[2]character_tribe_i18n!$A:$F,4,FALSE)</f>
        <v>0.96</v>
      </c>
      <c r="P811" s="97">
        <f ca="1">VLOOKUP(M811,[2]character_tribe_i18n!$A:$F,5,FALSE)</f>
        <v>1.02</v>
      </c>
      <c r="Q811" s="97">
        <f ca="1">VLOOKUP(M811,[2]character_tribe_i18n!$A:$F,6,FALSE)</f>
        <v>1</v>
      </c>
      <c r="R811" s="98" t="s">
        <v>98</v>
      </c>
      <c r="S811" s="97">
        <f>VLOOKUP($R811,ラベル別係数!$A$1:$E$7,3,FALSE)</f>
        <v>5</v>
      </c>
      <c r="T811" s="97">
        <f>VLOOKUP($R811,ラベル別係数!$A$1:$E$7,4,FALSE)</f>
        <v>1.3</v>
      </c>
      <c r="U811" s="97">
        <f>VLOOKUP($R811,ラベル別係数!$A$1:$E$7,5,FALSE)</f>
        <v>0.8</v>
      </c>
      <c r="V811" s="98">
        <v>2</v>
      </c>
      <c r="W811" s="99">
        <f>VLOOKUP(V811,ターン数別攻撃係数!$A$1:$B$1000,2,FALSE)</f>
        <v>0.75</v>
      </c>
      <c r="X811" s="9">
        <f ca="1">VLOOKUP(C811,サイズ別係数!A$2:B$9,2,FALSE)</f>
        <v>60</v>
      </c>
      <c r="Y811" s="97">
        <f ca="1">VLOOKUP($X811,サイズ別係数!$B:$E,2,FALSE)</f>
        <v>1.7</v>
      </c>
      <c r="Z811" s="97">
        <f ca="1">VLOOKUP($X811,サイズ別係数!$B:$E,3,FALSE)</f>
        <v>1.4</v>
      </c>
      <c r="AA811" s="97">
        <f ca="1">VLOOKUP($X811,サイズ別係数!$B:$E,4,FALSE)</f>
        <v>1</v>
      </c>
      <c r="AB811" s="10">
        <v>0</v>
      </c>
      <c r="AC811" s="6" t="str">
        <f ca="1">VLOOKUP($AB811,OFFSET([3]enemy_skill_sets!$B$2,0,0,COUNTA([3]enemy_skill_sets!$A:$A),MATCH(AC$1,[3]enemy_skill_sets!$1:$1,0)-MATCH($AB$1,[3]enemy_skill_sets!$1:$1,0)+1),MATCH(AC$1,[3]enemy_skill_sets!$1:$1,0)-MATCH($AB$1,[3]enemy_skill_sets!$1:$1,0)+1,FALSE)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1" s="67">
        <v>1</v>
      </c>
      <c r="AE811" s="67">
        <v>1</v>
      </c>
      <c r="AF811" s="68">
        <v>0</v>
      </c>
      <c r="AG811" s="99">
        <f ca="1">ROUND(VLOOKUP(1,enemy_base_stats!$A:$F,2,FALSE) * Y811* J811*O811*E811*S811*AD811*[2]ステータス!$B$2,0)</f>
        <v>4080</v>
      </c>
      <c r="AH811" s="99">
        <f ca="1">ROUND(VLOOKUP(1,enemy_base_stats!$A:$F,3,FALSE) * Z811*K811*P811*F811*T811*AE811 * W811*[2]ステータス!$C$2,0)</f>
        <v>283</v>
      </c>
      <c r="AI811" s="99">
        <f ca="1">ROUND(VLOOKUP(1,enemy_base_stats!$A:$F,4,FALSE) * AA811*L811*Q811*G811*U811*AF811*[2]ステータス!$D$2,0)</f>
        <v>0</v>
      </c>
      <c r="AJ811" s="99">
        <f ca="1">ROUND(VLOOKUP(100,enemy_base_stats!$A:$F,2,FALSE) * Y811* J811*O811*E811*S811*AD811*[2]ステータス!$B$2,0)</f>
        <v>165648</v>
      </c>
      <c r="AK811" s="99">
        <f ca="1">ROUND(VLOOKUP(100,enemy_base_stats!$A:$F,3,FALSE)* Z811* K811*P811*F811*T811*AE811 * W811*[2]ステータス!$C$2,0)</f>
        <v>11503</v>
      </c>
      <c r="AL811" s="99">
        <f ca="1">ROUND(VLOOKUP(100,enemy_base_stats!$A:$F,4,FALSE)* AA811* L811*Q811*G811*U811*AF811*[2]ステータス!$D$2,0)</f>
        <v>0</v>
      </c>
      <c r="AM811" s="97">
        <f ca="1">VLOOKUP(M811,[2]character_tribe_i18n!$A:$I,9,FALSE)</f>
        <v>680</v>
      </c>
      <c r="AN811" s="97">
        <v>0</v>
      </c>
      <c r="AO811" s="98">
        <v>0</v>
      </c>
      <c r="AP811" s="58" t="s">
        <v>72</v>
      </c>
      <c r="AQ811" s="34">
        <f t="shared" ca="1" si="48"/>
        <v>810</v>
      </c>
    </row>
    <row r="812" spans="1:43" ht="21" customHeight="1" x14ac:dyDescent="0.15">
      <c r="A812" s="7">
        <f t="shared" ca="1" si="45"/>
        <v>811</v>
      </c>
      <c r="B812" s="6" t="str">
        <f ca="1">VLOOKUP(A812,[2]characters!$A:$C,3,FALSE)</f>
        <v>咲き誇る旅航者 親指姫</v>
      </c>
      <c r="C812" s="9">
        <f ca="1">VLOOKUP(A812,[2]characters!$A:$I,9,FALSE)</f>
        <v>6</v>
      </c>
      <c r="D812" s="9" t="str">
        <f ca="1">VLOOKUP(A812,[2]characters!$A:$H,8,FALSE)</f>
        <v>red</v>
      </c>
      <c r="E812" s="97">
        <f ca="1">VLOOKUP(D812,[2]属性!$A:$E,2,FALSE)</f>
        <v>1</v>
      </c>
      <c r="F812" s="97">
        <f ca="1">VLOOKUP(D812,[2]属性!$A:$E,3,FALSE)</f>
        <v>1.02</v>
      </c>
      <c r="G812" s="97">
        <f ca="1">VLOOKUP(D812,[2]属性!$A:$F,4,FALSE)</f>
        <v>1</v>
      </c>
      <c r="H812" s="9" t="str">
        <f ca="1">VLOOKUP(A812,[2]characters!$A:$K,11,FALSE)</f>
        <v>heal</v>
      </c>
      <c r="I812" s="6" t="str">
        <f ca="1">VLOOKUP(H812,[2]character_type_i18n!$A:$F,3,FALSE)</f>
        <v>回復タイプ</v>
      </c>
      <c r="J812" s="97">
        <f ca="1">VLOOKUP(H812,[2]character_type_i18n!$A:$F,4,FALSE)</f>
        <v>0.8</v>
      </c>
      <c r="K812" s="97">
        <f ca="1">VLOOKUP(H812,[2]character_type_i18n!$A:$F,5,FALSE)</f>
        <v>0.78</v>
      </c>
      <c r="L812" s="97">
        <f ca="1">VLOOKUP(H812,[2]character_type_i18n!$A:$F,6,FALSE)</f>
        <v>1</v>
      </c>
      <c r="M812" s="9" t="str">
        <f ca="1">VLOOKUP(A812,[2]characters!$A:$M,13,FALSE)</f>
        <v>human</v>
      </c>
      <c r="N812" s="6" t="str">
        <f ca="1">VLOOKUP(M812,[2]character_tribe_i18n!$A:$F,3,FALSE)</f>
        <v>ヒューマン</v>
      </c>
      <c r="O812" s="97">
        <f ca="1">VLOOKUP(M812,[2]character_tribe_i18n!$A:$F,4,FALSE)</f>
        <v>0.94</v>
      </c>
      <c r="P812" s="97">
        <f ca="1">VLOOKUP(M812,[2]character_tribe_i18n!$A:$F,5,FALSE)</f>
        <v>0.99</v>
      </c>
      <c r="Q812" s="97">
        <f ca="1">VLOOKUP(M812,[2]character_tribe_i18n!$A:$F,6,FALSE)</f>
        <v>1</v>
      </c>
      <c r="R812" s="98" t="s">
        <v>136</v>
      </c>
      <c r="S812" s="97">
        <f>VLOOKUP($R812,ラベル別係数!$A$1:$E$7,3,FALSE)</f>
        <v>5</v>
      </c>
      <c r="T812" s="97">
        <f>VLOOKUP($R812,ラベル別係数!$A$1:$E$7,4,FALSE)</f>
        <v>1.3</v>
      </c>
      <c r="U812" s="97">
        <f>VLOOKUP($R812,ラベル別係数!$A$1:$E$7,5,FALSE)</f>
        <v>0.8</v>
      </c>
      <c r="V812" s="98">
        <v>2</v>
      </c>
      <c r="W812" s="99">
        <f>VLOOKUP(V812,ターン数別攻撃係数!$A$1:$B$1000,2,FALSE)</f>
        <v>0.75</v>
      </c>
      <c r="X812" s="9">
        <f ca="1">VLOOKUP(C812,サイズ別係数!A$2:B$9,2,FALSE)</f>
        <v>60</v>
      </c>
      <c r="Y812" s="97">
        <f ca="1">VLOOKUP($X812,サイズ別係数!$B:$E,2,FALSE)</f>
        <v>1.7</v>
      </c>
      <c r="Z812" s="97">
        <f ca="1">VLOOKUP($X812,サイズ別係数!$B:$E,3,FALSE)</f>
        <v>1.4</v>
      </c>
      <c r="AA812" s="97">
        <f ca="1">VLOOKUP($X812,サイズ別係数!$B:$E,4,FALSE)</f>
        <v>1</v>
      </c>
      <c r="AB812" s="10">
        <v>0</v>
      </c>
      <c r="AC812" s="6" t="str">
        <f ca="1">VLOOKUP($AB812,OFFSET([3]enemy_skill_sets!$B$2,0,0,COUNTA([3]enemy_skill_sets!$A:$A),MATCH(AC$1,[3]enemy_skill_sets!$1:$1,0)-MATCH($AB$1,[3]enemy_skill_sets!$1:$1,0)+1),MATCH(AC$1,[3]enemy_skill_sets!$1:$1,0)-MATCH($AB$1,[3]enemy_skill_sets!$1:$1,0)+1,FALSE)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2" s="67">
        <v>1</v>
      </c>
      <c r="AE812" s="67">
        <v>1</v>
      </c>
      <c r="AF812" s="68">
        <v>0</v>
      </c>
      <c r="AG812" s="99">
        <f ca="1">ROUND(VLOOKUP(1,enemy_base_stats!$A:$F,2,FALSE) * Y812* J812*O812*E812*S812*AD812*[2]ステータス!$B$2,0)</f>
        <v>3196</v>
      </c>
      <c r="AH812" s="99">
        <f ca="1">ROUND(VLOOKUP(1,enemy_base_stats!$A:$F,3,FALSE) * Z812*K812*P812*F812*T812*AE812 * W812*[2]ステータス!$C$2,0)</f>
        <v>161</v>
      </c>
      <c r="AI812" s="99">
        <f ca="1">ROUND(VLOOKUP(1,enemy_base_stats!$A:$F,4,FALSE) * AA812*L812*Q812*G812*U812*AF812*[2]ステータス!$D$2,0)</f>
        <v>0</v>
      </c>
      <c r="AJ812" s="99">
        <f ca="1">ROUND(VLOOKUP(100,enemy_base_stats!$A:$F,2,FALSE) * Y812* J812*O812*E812*S812*AD812*[2]ステータス!$B$2,0)</f>
        <v>129758</v>
      </c>
      <c r="AK812" s="99">
        <f ca="1">ROUND(VLOOKUP(100,enemy_base_stats!$A:$F,3,FALSE)* Z812* K812*P812*F812*T812*AE812 * W812*[2]ステータス!$C$2,0)</f>
        <v>6548</v>
      </c>
      <c r="AL812" s="99">
        <f ca="1">ROUND(VLOOKUP(100,enemy_base_stats!$A:$F,4,FALSE)* AA812* L812*Q812*G812*U812*AF812*[2]ステータス!$D$2,0)</f>
        <v>0</v>
      </c>
      <c r="AM812" s="97">
        <f ca="1">VLOOKUP(M812,[2]character_tribe_i18n!$A:$I,9,FALSE)</f>
        <v>400</v>
      </c>
      <c r="AN812" s="97">
        <v>0</v>
      </c>
      <c r="AO812" s="98">
        <v>0</v>
      </c>
      <c r="AP812" s="58" t="s">
        <v>72</v>
      </c>
      <c r="AQ812" s="34">
        <f t="shared" ca="1" si="48"/>
        <v>811</v>
      </c>
    </row>
    <row r="813" spans="1:43" ht="21" customHeight="1" x14ac:dyDescent="0.15">
      <c r="A813" s="7">
        <f t="shared" ca="1" si="45"/>
        <v>812</v>
      </c>
      <c r="B813" s="6" t="str">
        <f ca="1">VLOOKUP(A813,[2]characters!$A:$C,3,FALSE)</f>
        <v>凶膨なる殲滅 アザゼル</v>
      </c>
      <c r="C813" s="9">
        <f ca="1">VLOOKUP(A813,[2]characters!$A:$I,9,FALSE)</f>
        <v>6</v>
      </c>
      <c r="D813" s="9" t="str">
        <f ca="1">VLOOKUP(A813,[2]characters!$A:$H,8,FALSE)</f>
        <v>green</v>
      </c>
      <c r="E813" s="97">
        <f ca="1">VLOOKUP(D813,[2]属性!$A:$E,2,FALSE)</f>
        <v>1.02</v>
      </c>
      <c r="F813" s="97">
        <f ca="1">VLOOKUP(D813,[2]属性!$A:$E,3,FALSE)</f>
        <v>0.98</v>
      </c>
      <c r="G813" s="97">
        <f ca="1">VLOOKUP(D813,[2]属性!$A:$F,4,FALSE)</f>
        <v>1</v>
      </c>
      <c r="H813" s="9" t="str">
        <f ca="1">VLOOKUP(A813,[2]characters!$A:$K,11,FALSE)</f>
        <v>technical</v>
      </c>
      <c r="I813" s="6" t="str">
        <f ca="1">VLOOKUP(H813,[2]character_type_i18n!$A:$F,3,FALSE)</f>
        <v>テクニカルタイプ</v>
      </c>
      <c r="J813" s="97">
        <f ca="1">VLOOKUP(H813,[2]character_type_i18n!$A:$F,4,FALSE)</f>
        <v>0.9</v>
      </c>
      <c r="K813" s="97">
        <f ca="1">VLOOKUP(H813,[2]character_type_i18n!$A:$F,5,FALSE)</f>
        <v>0.9</v>
      </c>
      <c r="L813" s="97">
        <f ca="1">VLOOKUP(H813,[2]character_type_i18n!$A:$F,6,FALSE)</f>
        <v>1</v>
      </c>
      <c r="M813" s="9" t="str">
        <f ca="1">VLOOKUP(A813,[2]characters!$A:$M,13,FALSE)</f>
        <v>god</v>
      </c>
      <c r="N813" s="6" t="str">
        <f ca="1">VLOOKUP(M813,[2]character_tribe_i18n!$A:$F,3,FALSE)</f>
        <v>ゴッド</v>
      </c>
      <c r="O813" s="97">
        <f ca="1">VLOOKUP(M813,[2]character_tribe_i18n!$A:$F,4,FALSE)</f>
        <v>0.96</v>
      </c>
      <c r="P813" s="97">
        <f ca="1">VLOOKUP(M813,[2]character_tribe_i18n!$A:$F,5,FALSE)</f>
        <v>1.02</v>
      </c>
      <c r="Q813" s="97">
        <f ca="1">VLOOKUP(M813,[2]character_tribe_i18n!$A:$F,6,FALSE)</f>
        <v>1</v>
      </c>
      <c r="R813" s="98" t="s">
        <v>98</v>
      </c>
      <c r="S813" s="97">
        <f>VLOOKUP($R813,ラベル別係数!$A$1:$E$7,3,FALSE)</f>
        <v>5</v>
      </c>
      <c r="T813" s="97">
        <f>VLOOKUP($R813,ラベル別係数!$A$1:$E$7,4,FALSE)</f>
        <v>1.3</v>
      </c>
      <c r="U813" s="97">
        <f>VLOOKUP($R813,ラベル別係数!$A$1:$E$7,5,FALSE)</f>
        <v>0.8</v>
      </c>
      <c r="V813" s="98">
        <v>2</v>
      </c>
      <c r="W813" s="99">
        <f>VLOOKUP(V813,ターン数別攻撃係数!$A$1:$B$1000,2,FALSE)</f>
        <v>0.75</v>
      </c>
      <c r="X813" s="9">
        <f ca="1">VLOOKUP(C813,サイズ別係数!A$2:B$9,2,FALSE)</f>
        <v>60</v>
      </c>
      <c r="Y813" s="97">
        <f ca="1">VLOOKUP($X813,サイズ別係数!$B:$E,2,FALSE)</f>
        <v>1.7</v>
      </c>
      <c r="Z813" s="97">
        <f ca="1">VLOOKUP($X813,サイズ別係数!$B:$E,3,FALSE)</f>
        <v>1.4</v>
      </c>
      <c r="AA813" s="97">
        <f ca="1">VLOOKUP($X813,サイズ別係数!$B:$E,4,FALSE)</f>
        <v>1</v>
      </c>
      <c r="AB813" s="10">
        <v>0</v>
      </c>
      <c r="AC813" s="6" t="str">
        <f ca="1">VLOOKUP($AB813,OFFSET([3]enemy_skill_sets!$B$2,0,0,COUNTA([3]enemy_skill_sets!$A:$A),MATCH(AC$1,[3]enemy_skill_sets!$1:$1,0)-MATCH($AB$1,[3]enemy_skill_sets!$1:$1,0)+1),MATCH(AC$1,[3]enemy_skill_sets!$1:$1,0)-MATCH($AB$1,[3]enemy_skill_sets!$1:$1,0)+1,FALSE)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3" s="67">
        <v>1</v>
      </c>
      <c r="AE813" s="67">
        <v>1</v>
      </c>
      <c r="AF813" s="68">
        <v>0</v>
      </c>
      <c r="AG813" s="99">
        <f ca="1">ROUND(VLOOKUP(1,enemy_base_stats!$A:$F,2,FALSE) * Y813* J813*O813*E813*S813*AD813*[2]ステータス!$B$2,0)</f>
        <v>3745</v>
      </c>
      <c r="AH813" s="99">
        <f ca="1">ROUND(VLOOKUP(1,enemy_base_stats!$A:$F,3,FALSE) * Z813*K813*P813*F813*T813*AE813 * W813*[2]ステータス!$C$2,0)</f>
        <v>184</v>
      </c>
      <c r="AI813" s="99">
        <f ca="1">ROUND(VLOOKUP(1,enemy_base_stats!$A:$F,4,FALSE) * AA813*L813*Q813*G813*U813*AF813*[2]ステータス!$D$2,0)</f>
        <v>0</v>
      </c>
      <c r="AJ813" s="99">
        <f ca="1">ROUND(VLOOKUP(100,enemy_base_stats!$A:$F,2,FALSE) * Y813* J813*O813*E813*S813*AD813*[2]ステータス!$B$2,0)</f>
        <v>152065</v>
      </c>
      <c r="AK813" s="99">
        <f ca="1">ROUND(VLOOKUP(100,enemy_base_stats!$A:$F,3,FALSE)* Z813* K813*P813*F813*T813*AE813 * W813*[2]ステータス!$C$2,0)</f>
        <v>7479</v>
      </c>
      <c r="AL813" s="99">
        <f ca="1">ROUND(VLOOKUP(100,enemy_base_stats!$A:$F,4,FALSE)* AA813* L813*Q813*G813*U813*AF813*[2]ステータス!$D$2,0)</f>
        <v>0</v>
      </c>
      <c r="AM813" s="97">
        <f ca="1">VLOOKUP(M813,[2]character_tribe_i18n!$A:$I,9,FALSE)</f>
        <v>680</v>
      </c>
      <c r="AN813" s="97">
        <v>0</v>
      </c>
      <c r="AO813" s="98">
        <v>0</v>
      </c>
      <c r="AP813" s="58" t="s">
        <v>72</v>
      </c>
      <c r="AQ813" s="34">
        <f t="shared" ca="1" si="48"/>
        <v>812</v>
      </c>
    </row>
    <row r="814" spans="1:43" ht="21" customHeight="1" x14ac:dyDescent="0.15">
      <c r="A814" s="7">
        <f t="shared" ca="1" si="45"/>
        <v>813</v>
      </c>
      <c r="B814" s="6" t="str">
        <f ca="1">VLOOKUP(A814,[2]characters!$A:$C,3,FALSE)</f>
        <v>絆の大冒険 ヘンゼル＆グレーテル</v>
      </c>
      <c r="C814" s="9">
        <f ca="1">VLOOKUP(A814,[2]characters!$A:$I,9,FALSE)</f>
        <v>6</v>
      </c>
      <c r="D814" s="9" t="str">
        <f ca="1">VLOOKUP(A814,[2]characters!$A:$H,8,FALSE)</f>
        <v>yellow</v>
      </c>
      <c r="E814" s="97">
        <f ca="1">VLOOKUP(D814,[2]属性!$A:$E,2,FALSE)</f>
        <v>0.98</v>
      </c>
      <c r="F814" s="97">
        <f ca="1">VLOOKUP(D814,[2]属性!$A:$E,3,FALSE)</f>
        <v>1.01</v>
      </c>
      <c r="G814" s="97">
        <f ca="1">VLOOKUP(D814,[2]属性!$A:$F,4,FALSE)</f>
        <v>1</v>
      </c>
      <c r="H814" s="9" t="str">
        <f ca="1">VLOOKUP(A814,[2]characters!$A:$K,11,FALSE)</f>
        <v>balance</v>
      </c>
      <c r="I814" s="6" t="str">
        <f ca="1">VLOOKUP(H814,[2]character_type_i18n!$A:$F,3,FALSE)</f>
        <v>バランスタイプ</v>
      </c>
      <c r="J814" s="97">
        <f ca="1">VLOOKUP(H814,[2]character_type_i18n!$A:$F,4,FALSE)</f>
        <v>1</v>
      </c>
      <c r="K814" s="97">
        <f ca="1">VLOOKUP(H814,[2]character_type_i18n!$A:$F,5,FALSE)</f>
        <v>1</v>
      </c>
      <c r="L814" s="97">
        <f ca="1">VLOOKUP(H814,[2]character_type_i18n!$A:$F,6,FALSE)</f>
        <v>1</v>
      </c>
      <c r="M814" s="9" t="str">
        <f ca="1">VLOOKUP(A814,[2]characters!$A:$M,13,FALSE)</f>
        <v>human</v>
      </c>
      <c r="N814" s="6" t="str">
        <f ca="1">VLOOKUP(M814,[2]character_tribe_i18n!$A:$F,3,FALSE)</f>
        <v>ヒューマン</v>
      </c>
      <c r="O814" s="97">
        <f ca="1">VLOOKUP(M814,[2]character_tribe_i18n!$A:$F,4,FALSE)</f>
        <v>0.94</v>
      </c>
      <c r="P814" s="97">
        <f ca="1">VLOOKUP(M814,[2]character_tribe_i18n!$A:$F,5,FALSE)</f>
        <v>0.99</v>
      </c>
      <c r="Q814" s="97">
        <f ca="1">VLOOKUP(M814,[2]character_tribe_i18n!$A:$F,6,FALSE)</f>
        <v>1</v>
      </c>
      <c r="R814" s="98" t="s">
        <v>98</v>
      </c>
      <c r="S814" s="97">
        <f>VLOOKUP($R814,ラベル別係数!$A$1:$E$7,3,FALSE)</f>
        <v>5</v>
      </c>
      <c r="T814" s="97">
        <f>VLOOKUP($R814,ラベル別係数!$A$1:$E$7,4,FALSE)</f>
        <v>1.3</v>
      </c>
      <c r="U814" s="97">
        <f>VLOOKUP($R814,ラベル別係数!$A$1:$E$7,5,FALSE)</f>
        <v>0.8</v>
      </c>
      <c r="V814" s="98">
        <v>2</v>
      </c>
      <c r="W814" s="99">
        <f>VLOOKUP(V814,ターン数別攻撃係数!$A$1:$B$1000,2,FALSE)</f>
        <v>0.75</v>
      </c>
      <c r="X814" s="9">
        <f ca="1">VLOOKUP(C814,サイズ別係数!A$2:B$9,2,FALSE)</f>
        <v>60</v>
      </c>
      <c r="Y814" s="97">
        <f ca="1">VLOOKUP($X814,サイズ別係数!$B:$E,2,FALSE)</f>
        <v>1.7</v>
      </c>
      <c r="Z814" s="97">
        <f ca="1">VLOOKUP($X814,サイズ別係数!$B:$E,3,FALSE)</f>
        <v>1.4</v>
      </c>
      <c r="AA814" s="97">
        <f ca="1">VLOOKUP($X814,サイズ別係数!$B:$E,4,FALSE)</f>
        <v>1</v>
      </c>
      <c r="AB814" s="10">
        <v>0</v>
      </c>
      <c r="AC814" s="6" t="str">
        <f ca="1">VLOOKUP($AB814,OFFSET([3]enemy_skill_sets!$B$2,0,0,COUNTA([3]enemy_skill_sets!$A:$A),MATCH(AC$1,[3]enemy_skill_sets!$1:$1,0)-MATCH($AB$1,[3]enemy_skill_sets!$1:$1,0)+1),MATCH(AC$1,[3]enemy_skill_sets!$1:$1,0)-MATCH($AB$1,[3]enemy_skill_sets!$1:$1,0)+1,FALSE)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4" s="67">
        <v>1</v>
      </c>
      <c r="AE814" s="67">
        <v>1</v>
      </c>
      <c r="AF814" s="68">
        <v>0</v>
      </c>
      <c r="AG814" s="99">
        <f ca="1">ROUND(VLOOKUP(1,enemy_base_stats!$A:$F,2,FALSE) * Y814* J814*O814*E814*S814*AD814*[2]ステータス!$B$2,0)</f>
        <v>3915</v>
      </c>
      <c r="AH814" s="99">
        <f ca="1">ROUND(VLOOKUP(1,enemy_base_stats!$A:$F,3,FALSE) * Z814*K814*P814*F814*T814*AE814 * W814*[2]ステータス!$C$2,0)</f>
        <v>205</v>
      </c>
      <c r="AI814" s="99">
        <f ca="1">ROUND(VLOOKUP(1,enemy_base_stats!$A:$F,4,FALSE) * AA814*L814*Q814*G814*U814*AF814*[2]ステータス!$D$2,0)</f>
        <v>0</v>
      </c>
      <c r="AJ814" s="99">
        <f ca="1">ROUND(VLOOKUP(100,enemy_base_stats!$A:$F,2,FALSE) * Y814* J814*O814*E814*S814*AD814*[2]ステータス!$B$2,0)</f>
        <v>158953</v>
      </c>
      <c r="AK814" s="99">
        <f ca="1">ROUND(VLOOKUP(100,enemy_base_stats!$A:$F,3,FALSE)* Z814* K814*P814*F814*T814*AE814 * W814*[2]ステータス!$C$2,0)</f>
        <v>8312</v>
      </c>
      <c r="AL814" s="99">
        <f ca="1">ROUND(VLOOKUP(100,enemy_base_stats!$A:$F,4,FALSE)* AA814* L814*Q814*G814*U814*AF814*[2]ステータス!$D$2,0)</f>
        <v>0</v>
      </c>
      <c r="AM814" s="97">
        <f ca="1">VLOOKUP(M814,[2]character_tribe_i18n!$A:$I,9,FALSE)</f>
        <v>400</v>
      </c>
      <c r="AN814" s="97">
        <v>0</v>
      </c>
      <c r="AO814" s="98">
        <v>0</v>
      </c>
      <c r="AP814" s="58" t="s">
        <v>72</v>
      </c>
      <c r="AQ814" s="34">
        <f t="shared" ca="1" si="48"/>
        <v>813</v>
      </c>
    </row>
    <row r="815" spans="1:43" ht="21" customHeight="1" x14ac:dyDescent="0.15">
      <c r="A815" s="7">
        <f t="shared" ca="1" si="45"/>
        <v>814</v>
      </c>
      <c r="B815" s="6" t="str">
        <f ca="1">VLOOKUP(A815,[2]characters!$A:$C,3,FALSE)</f>
        <v>戦場疾駆の鋼蹄 ジャンヌ</v>
      </c>
      <c r="C815" s="9">
        <f ca="1">VLOOKUP(A815,[2]characters!$A:$I,9,FALSE)</f>
        <v>6</v>
      </c>
      <c r="D815" s="9" t="str">
        <f ca="1">VLOOKUP(A815,[2]characters!$A:$H,8,FALSE)</f>
        <v>blue</v>
      </c>
      <c r="E815" s="97">
        <f ca="1">VLOOKUP(D815,[2]属性!$A:$E,2,FALSE)</f>
        <v>1</v>
      </c>
      <c r="F815" s="97">
        <f ca="1">VLOOKUP(D815,[2]属性!$A:$E,3,FALSE)</f>
        <v>0.98</v>
      </c>
      <c r="G815" s="97">
        <f ca="1">VLOOKUP(D815,[2]属性!$A:$F,4,FALSE)</f>
        <v>1</v>
      </c>
      <c r="H815" s="9" t="str">
        <f ca="1">VLOOKUP(A815,[2]characters!$A:$K,11,FALSE)</f>
        <v>heal</v>
      </c>
      <c r="I815" s="6" t="str">
        <f ca="1">VLOOKUP(H815,[2]character_type_i18n!$A:$F,3,FALSE)</f>
        <v>回復タイプ</v>
      </c>
      <c r="J815" s="97">
        <f ca="1">VLOOKUP(H815,[2]character_type_i18n!$A:$F,4,FALSE)</f>
        <v>0.8</v>
      </c>
      <c r="K815" s="97">
        <f ca="1">VLOOKUP(H815,[2]character_type_i18n!$A:$F,5,FALSE)</f>
        <v>0.78</v>
      </c>
      <c r="L815" s="97">
        <f ca="1">VLOOKUP(H815,[2]character_type_i18n!$A:$F,6,FALSE)</f>
        <v>1</v>
      </c>
      <c r="M815" s="9" t="str">
        <f ca="1">VLOOKUP(A815,[2]characters!$A:$M,13,FALSE)</f>
        <v>human</v>
      </c>
      <c r="N815" s="6" t="str">
        <f ca="1">VLOOKUP(M815,[2]character_tribe_i18n!$A:$F,3,FALSE)</f>
        <v>ヒューマン</v>
      </c>
      <c r="O815" s="97">
        <f ca="1">VLOOKUP(M815,[2]character_tribe_i18n!$A:$F,4,FALSE)</f>
        <v>0.94</v>
      </c>
      <c r="P815" s="97">
        <f ca="1">VLOOKUP(M815,[2]character_tribe_i18n!$A:$F,5,FALSE)</f>
        <v>0.99</v>
      </c>
      <c r="Q815" s="97">
        <f ca="1">VLOOKUP(M815,[2]character_tribe_i18n!$A:$F,6,FALSE)</f>
        <v>1</v>
      </c>
      <c r="R815" s="98" t="s">
        <v>98</v>
      </c>
      <c r="S815" s="97">
        <f>VLOOKUP($R815,ラベル別係数!$A$1:$E$7,3,FALSE)</f>
        <v>5</v>
      </c>
      <c r="T815" s="97">
        <f>VLOOKUP($R815,ラベル別係数!$A$1:$E$7,4,FALSE)</f>
        <v>1.3</v>
      </c>
      <c r="U815" s="97">
        <f>VLOOKUP($R815,ラベル別係数!$A$1:$E$7,5,FALSE)</f>
        <v>0.8</v>
      </c>
      <c r="V815" s="98">
        <v>2</v>
      </c>
      <c r="W815" s="99">
        <f>VLOOKUP(V815,ターン数別攻撃係数!$A$1:$B$1000,2,FALSE)</f>
        <v>0.75</v>
      </c>
      <c r="X815" s="9">
        <f ca="1">VLOOKUP(C815,サイズ別係数!A$2:B$9,2,FALSE)</f>
        <v>60</v>
      </c>
      <c r="Y815" s="97">
        <f ca="1">VLOOKUP($X815,サイズ別係数!$B:$E,2,FALSE)</f>
        <v>1.7</v>
      </c>
      <c r="Z815" s="97">
        <f ca="1">VLOOKUP($X815,サイズ別係数!$B:$E,3,FALSE)</f>
        <v>1.4</v>
      </c>
      <c r="AA815" s="97">
        <f ca="1">VLOOKUP($X815,サイズ別係数!$B:$E,4,FALSE)</f>
        <v>1</v>
      </c>
      <c r="AB815" s="10">
        <v>0</v>
      </c>
      <c r="AC815" s="6" t="str">
        <f ca="1">VLOOKUP($AB815,OFFSET([3]enemy_skill_sets!$B$2,0,0,COUNTA([3]enemy_skill_sets!$A:$A),MATCH(AC$1,[3]enemy_skill_sets!$1:$1,0)-MATCH($AB$1,[3]enemy_skill_sets!$1:$1,0)+1),MATCH(AC$1,[3]enemy_skill_sets!$1:$1,0)-MATCH($AB$1,[3]enemy_skill_sets!$1:$1,0)+1,FALSE)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5" s="67">
        <v>1</v>
      </c>
      <c r="AE815" s="67">
        <v>1</v>
      </c>
      <c r="AF815" s="68">
        <v>0</v>
      </c>
      <c r="AG815" s="99">
        <f ca="1">ROUND(VLOOKUP(1,enemy_base_stats!$A:$F,2,FALSE) * Y815* J815*O815*E815*S815*AD815*[2]ステータス!$B$2,0)</f>
        <v>3196</v>
      </c>
      <c r="AH815" s="99">
        <f ca="1">ROUND(VLOOKUP(1,enemy_base_stats!$A:$F,3,FALSE) * Z815*K815*P815*F815*T815*AE815 * W815*[2]ステータス!$C$2,0)</f>
        <v>155</v>
      </c>
      <c r="AI815" s="99">
        <f ca="1">ROUND(VLOOKUP(1,enemy_base_stats!$A:$F,4,FALSE) * AA815*L815*Q815*G815*U815*AF815*[2]ステータス!$D$2,0)</f>
        <v>0</v>
      </c>
      <c r="AJ815" s="99">
        <f ca="1">ROUND(VLOOKUP(100,enemy_base_stats!$A:$F,2,FALSE) * Y815* J815*O815*E815*S815*AD815*[2]ステータス!$B$2,0)</f>
        <v>129758</v>
      </c>
      <c r="AK815" s="99">
        <f ca="1">ROUND(VLOOKUP(100,enemy_base_stats!$A:$F,3,FALSE)* Z815* K815*P815*F815*T815*AE815 * W815*[2]ステータス!$C$2,0)</f>
        <v>6291</v>
      </c>
      <c r="AL815" s="99">
        <f ca="1">ROUND(VLOOKUP(100,enemy_base_stats!$A:$F,4,FALSE)* AA815* L815*Q815*G815*U815*AF815*[2]ステータス!$D$2,0)</f>
        <v>0</v>
      </c>
      <c r="AM815" s="97">
        <f ca="1">VLOOKUP(M815,[2]character_tribe_i18n!$A:$I,9,FALSE)</f>
        <v>400</v>
      </c>
      <c r="AN815" s="97">
        <v>0</v>
      </c>
      <c r="AO815" s="98">
        <v>0</v>
      </c>
      <c r="AP815" s="58" t="s">
        <v>72</v>
      </c>
      <c r="AQ815" s="34">
        <f t="shared" ca="1" si="48"/>
        <v>814</v>
      </c>
    </row>
    <row r="816" spans="1:43" ht="21" customHeight="1" x14ac:dyDescent="0.15">
      <c r="A816" s="7">
        <f t="shared" ca="1" si="45"/>
        <v>815</v>
      </c>
      <c r="B816" s="6" t="str">
        <f ca="1">VLOOKUP(A816,[2]characters!$A:$C,3,FALSE)</f>
        <v>解砲の鴉眼 八咫烏</v>
      </c>
      <c r="C816" s="9">
        <f ca="1">VLOOKUP(A816,[2]characters!$A:$I,9,FALSE)</f>
        <v>6</v>
      </c>
      <c r="D816" s="9" t="str">
        <f ca="1">VLOOKUP(A816,[2]characters!$A:$H,8,FALSE)</f>
        <v>green</v>
      </c>
      <c r="E816" s="97">
        <f ca="1">VLOOKUP(D816,[2]属性!$A:$E,2,FALSE)</f>
        <v>1.02</v>
      </c>
      <c r="F816" s="97">
        <f ca="1">VLOOKUP(D816,[2]属性!$A:$E,3,FALSE)</f>
        <v>0.98</v>
      </c>
      <c r="G816" s="97">
        <f ca="1">VLOOKUP(D816,[2]属性!$A:$F,4,FALSE)</f>
        <v>1</v>
      </c>
      <c r="H816" s="9" t="str">
        <f ca="1">VLOOKUP(A816,[2]characters!$A:$K,11,FALSE)</f>
        <v>balance</v>
      </c>
      <c r="I816" s="6" t="str">
        <f ca="1">VLOOKUP(H816,[2]character_type_i18n!$A:$F,3,FALSE)</f>
        <v>バランスタイプ</v>
      </c>
      <c r="J816" s="97">
        <f ca="1">VLOOKUP(H816,[2]character_type_i18n!$A:$F,4,FALSE)</f>
        <v>1</v>
      </c>
      <c r="K816" s="97">
        <f ca="1">VLOOKUP(H816,[2]character_type_i18n!$A:$F,5,FALSE)</f>
        <v>1</v>
      </c>
      <c r="L816" s="97">
        <f ca="1">VLOOKUP(H816,[2]character_type_i18n!$A:$F,6,FALSE)</f>
        <v>1</v>
      </c>
      <c r="M816" s="9" t="str">
        <f ca="1">VLOOKUP(A816,[2]characters!$A:$M,13,FALSE)</f>
        <v>animal</v>
      </c>
      <c r="N816" s="6" t="str">
        <f ca="1">VLOOKUP(M816,[2]character_tribe_i18n!$A:$F,3,FALSE)</f>
        <v>アニマル</v>
      </c>
      <c r="O816" s="97">
        <f ca="1">VLOOKUP(M816,[2]character_tribe_i18n!$A:$F,4,FALSE)</f>
        <v>1</v>
      </c>
      <c r="P816" s="97">
        <f ca="1">VLOOKUP(M816,[2]character_tribe_i18n!$A:$F,5,FALSE)</f>
        <v>1.1000000000000001</v>
      </c>
      <c r="Q816" s="97">
        <f ca="1">VLOOKUP(M816,[2]character_tribe_i18n!$A:$F,6,FALSE)</f>
        <v>1</v>
      </c>
      <c r="R816" s="98" t="s">
        <v>98</v>
      </c>
      <c r="S816" s="97">
        <f>VLOOKUP($R816,ラベル別係数!$A$1:$E$7,3,FALSE)</f>
        <v>5</v>
      </c>
      <c r="T816" s="97">
        <f>VLOOKUP($R816,ラベル別係数!$A$1:$E$7,4,FALSE)</f>
        <v>1.3</v>
      </c>
      <c r="U816" s="97">
        <f>VLOOKUP($R816,ラベル別係数!$A$1:$E$7,5,FALSE)</f>
        <v>0.8</v>
      </c>
      <c r="V816" s="98">
        <v>2</v>
      </c>
      <c r="W816" s="99">
        <f>VLOOKUP(V816,ターン数別攻撃係数!$A$1:$B$1000,2,FALSE)</f>
        <v>0.75</v>
      </c>
      <c r="X816" s="9">
        <f ca="1">VLOOKUP(C816,サイズ別係数!A$2:B$9,2,FALSE)</f>
        <v>60</v>
      </c>
      <c r="Y816" s="97">
        <f ca="1">VLOOKUP($X816,サイズ別係数!$B:$E,2,FALSE)</f>
        <v>1.7</v>
      </c>
      <c r="Z816" s="97">
        <f ca="1">VLOOKUP($X816,サイズ別係数!$B:$E,3,FALSE)</f>
        <v>1.4</v>
      </c>
      <c r="AA816" s="97">
        <f ca="1">VLOOKUP($X816,サイズ別係数!$B:$E,4,FALSE)</f>
        <v>1</v>
      </c>
      <c r="AB816" s="10">
        <v>0</v>
      </c>
      <c r="AC816" s="6" t="str">
        <f ca="1">VLOOKUP($AB816,OFFSET([3]enemy_skill_sets!$B$2,0,0,COUNTA([3]enemy_skill_sets!$A:$A),MATCH(AC$1,[3]enemy_skill_sets!$1:$1,0)-MATCH($AB$1,[3]enemy_skill_sets!$1:$1,0)+1),MATCH(AC$1,[3]enemy_skill_sets!$1:$1,0)-MATCH($AB$1,[3]enemy_skill_sets!$1:$1,0)+1,FALSE)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6" s="67">
        <v>1</v>
      </c>
      <c r="AE816" s="67">
        <v>1</v>
      </c>
      <c r="AF816" s="68">
        <v>0</v>
      </c>
      <c r="AG816" s="99">
        <f ca="1">ROUND(VLOOKUP(1,enemy_base_stats!$A:$F,2,FALSE) * Y816* J816*O816*E816*S816*AD816*[2]ステータス!$B$2,0)</f>
        <v>4335</v>
      </c>
      <c r="AH816" s="99">
        <f ca="1">ROUND(VLOOKUP(1,enemy_base_stats!$A:$F,3,FALSE) * Z816*K816*P816*F816*T816*AE816 * W816*[2]ステータス!$C$2,0)</f>
        <v>221</v>
      </c>
      <c r="AI816" s="99">
        <f ca="1">ROUND(VLOOKUP(1,enemy_base_stats!$A:$F,4,FALSE) * AA816*L816*Q816*G816*U816*AF816*[2]ステータス!$D$2,0)</f>
        <v>0</v>
      </c>
      <c r="AJ816" s="99">
        <f ca="1">ROUND(VLOOKUP(100,enemy_base_stats!$A:$F,2,FALSE) * Y816* J816*O816*E816*S816*AD816*[2]ステータス!$B$2,0)</f>
        <v>176001</v>
      </c>
      <c r="AK816" s="99">
        <f ca="1">ROUND(VLOOKUP(100,enemy_base_stats!$A:$F,3,FALSE)* Z816* K816*P816*F816*T816*AE816 * W816*[2]ステータス!$C$2,0)</f>
        <v>8961</v>
      </c>
      <c r="AL816" s="99">
        <f ca="1">ROUND(VLOOKUP(100,enemy_base_stats!$A:$F,4,FALSE)* AA816* L816*Q816*G816*U816*AF816*[2]ステータス!$D$2,0)</f>
        <v>0</v>
      </c>
      <c r="AM816" s="97">
        <f ca="1">VLOOKUP(M816,[2]character_tribe_i18n!$A:$I,9,FALSE)</f>
        <v>480</v>
      </c>
      <c r="AN816" s="97">
        <v>0</v>
      </c>
      <c r="AO816" s="98">
        <v>0</v>
      </c>
      <c r="AP816" s="58" t="s">
        <v>72</v>
      </c>
      <c r="AQ816" s="34">
        <f t="shared" ca="1" si="48"/>
        <v>815</v>
      </c>
    </row>
    <row r="817" spans="1:43" ht="21" customHeight="1" x14ac:dyDescent="0.15">
      <c r="A817" s="7">
        <f t="shared" ca="1" si="45"/>
        <v>816</v>
      </c>
      <c r="B817" s="6" t="str">
        <f ca="1">VLOOKUP(A817,[2]characters!$A:$C,3,FALSE)</f>
        <v>極・二天一流 宮本武蔵</v>
      </c>
      <c r="C817" s="9">
        <f ca="1">VLOOKUP(A817,[2]characters!$A:$I,9,FALSE)</f>
        <v>6</v>
      </c>
      <c r="D817" s="9" t="str">
        <f ca="1">VLOOKUP(A817,[2]characters!$A:$H,8,FALSE)</f>
        <v>yellow</v>
      </c>
      <c r="E817" s="97">
        <f ca="1">VLOOKUP(D817,[2]属性!$A:$E,2,FALSE)</f>
        <v>0.98</v>
      </c>
      <c r="F817" s="97">
        <f ca="1">VLOOKUP(D817,[2]属性!$A:$E,3,FALSE)</f>
        <v>1.01</v>
      </c>
      <c r="G817" s="97">
        <f ca="1">VLOOKUP(D817,[2]属性!$A:$F,4,FALSE)</f>
        <v>1</v>
      </c>
      <c r="H817" s="9" t="str">
        <f ca="1">VLOOKUP(A817,[2]characters!$A:$K,11,FALSE)</f>
        <v>attack</v>
      </c>
      <c r="I817" s="6" t="str">
        <f ca="1">VLOOKUP(H817,[2]character_type_i18n!$A:$F,3,FALSE)</f>
        <v>攻撃タイプ</v>
      </c>
      <c r="J817" s="97">
        <f ca="1">VLOOKUP(H817,[2]character_type_i18n!$A:$F,4,FALSE)</f>
        <v>1</v>
      </c>
      <c r="K817" s="97">
        <f ca="1">VLOOKUP(H817,[2]character_type_i18n!$A:$F,5,FALSE)</f>
        <v>1.33</v>
      </c>
      <c r="L817" s="97">
        <f ca="1">VLOOKUP(H817,[2]character_type_i18n!$A:$F,6,FALSE)</f>
        <v>1</v>
      </c>
      <c r="M817" s="9" t="str">
        <f ca="1">VLOOKUP(A817,[2]characters!$A:$M,13,FALSE)</f>
        <v>human</v>
      </c>
      <c r="N817" s="6" t="str">
        <f ca="1">VLOOKUP(M817,[2]character_tribe_i18n!$A:$F,3,FALSE)</f>
        <v>ヒューマン</v>
      </c>
      <c r="O817" s="97">
        <f ca="1">VLOOKUP(M817,[2]character_tribe_i18n!$A:$F,4,FALSE)</f>
        <v>0.94</v>
      </c>
      <c r="P817" s="97">
        <f ca="1">VLOOKUP(M817,[2]character_tribe_i18n!$A:$F,5,FALSE)</f>
        <v>0.99</v>
      </c>
      <c r="Q817" s="97">
        <f ca="1">VLOOKUP(M817,[2]character_tribe_i18n!$A:$F,6,FALSE)</f>
        <v>1</v>
      </c>
      <c r="R817" s="98" t="s">
        <v>98</v>
      </c>
      <c r="S817" s="97">
        <f>VLOOKUP($R817,ラベル別係数!$A$1:$E$7,3,FALSE)</f>
        <v>5</v>
      </c>
      <c r="T817" s="97">
        <f>VLOOKUP($R817,ラベル別係数!$A$1:$E$7,4,FALSE)</f>
        <v>1.3</v>
      </c>
      <c r="U817" s="97">
        <f>VLOOKUP($R817,ラベル別係数!$A$1:$E$7,5,FALSE)</f>
        <v>0.8</v>
      </c>
      <c r="V817" s="98">
        <v>2</v>
      </c>
      <c r="W817" s="99">
        <f>VLOOKUP(V817,ターン数別攻撃係数!$A$1:$B$1000,2,FALSE)</f>
        <v>0.75</v>
      </c>
      <c r="X817" s="9">
        <f ca="1">VLOOKUP(C817,サイズ別係数!A$2:B$9,2,FALSE)</f>
        <v>60</v>
      </c>
      <c r="Y817" s="97">
        <f ca="1">VLOOKUP($X817,サイズ別係数!$B:$E,2,FALSE)</f>
        <v>1.7</v>
      </c>
      <c r="Z817" s="97">
        <f ca="1">VLOOKUP($X817,サイズ別係数!$B:$E,3,FALSE)</f>
        <v>1.4</v>
      </c>
      <c r="AA817" s="97">
        <f ca="1">VLOOKUP($X817,サイズ別係数!$B:$E,4,FALSE)</f>
        <v>1</v>
      </c>
      <c r="AB817" s="10">
        <v>0</v>
      </c>
      <c r="AC817" s="6" t="str">
        <f ca="1">VLOOKUP($AB817,OFFSET([3]enemy_skill_sets!$B$2,0,0,COUNTA([3]enemy_skill_sets!$A:$A),MATCH(AC$1,[3]enemy_skill_sets!$1:$1,0)-MATCH($AB$1,[3]enemy_skill_sets!$1:$1,0)+1),MATCH(AC$1,[3]enemy_skill_sets!$1:$1,0)-MATCH($AB$1,[3]enemy_skill_sets!$1:$1,0)+1,FALSE)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7" s="67">
        <v>1</v>
      </c>
      <c r="AE817" s="67">
        <v>1</v>
      </c>
      <c r="AF817" s="68">
        <v>0</v>
      </c>
      <c r="AG817" s="99">
        <f ca="1">ROUND(VLOOKUP(1,enemy_base_stats!$A:$F,2,FALSE) * Y817* J817*O817*E817*S817*AD817*[2]ステータス!$B$2,0)</f>
        <v>3915</v>
      </c>
      <c r="AH817" s="99">
        <f ca="1">ROUND(VLOOKUP(1,enemy_base_stats!$A:$F,3,FALSE) * Z817*K817*P817*F817*T817*AE817 * W817*[2]ステータス!$C$2,0)</f>
        <v>272</v>
      </c>
      <c r="AI817" s="99">
        <f ca="1">ROUND(VLOOKUP(1,enemy_base_stats!$A:$F,4,FALSE) * AA817*L817*Q817*G817*U817*AF817*[2]ステータス!$D$2,0)</f>
        <v>0</v>
      </c>
      <c r="AJ817" s="99">
        <f ca="1">ROUND(VLOOKUP(100,enemy_base_stats!$A:$F,2,FALSE) * Y817* J817*O817*E817*S817*AD817*[2]ステータス!$B$2,0)</f>
        <v>158953</v>
      </c>
      <c r="AK817" s="99">
        <f ca="1">ROUND(VLOOKUP(100,enemy_base_stats!$A:$F,3,FALSE)* Z817* K817*P817*F817*T817*AE817 * W817*[2]ステータス!$C$2,0)</f>
        <v>11055</v>
      </c>
      <c r="AL817" s="99">
        <f ca="1">ROUND(VLOOKUP(100,enemy_base_stats!$A:$F,4,FALSE)* AA817* L817*Q817*G817*U817*AF817*[2]ステータス!$D$2,0)</f>
        <v>0</v>
      </c>
      <c r="AM817" s="97">
        <f ca="1">VLOOKUP(M817,[2]character_tribe_i18n!$A:$I,9,FALSE)</f>
        <v>400</v>
      </c>
      <c r="AN817" s="97">
        <v>0</v>
      </c>
      <c r="AO817" s="98">
        <v>0</v>
      </c>
      <c r="AP817" s="58" t="s">
        <v>72</v>
      </c>
      <c r="AQ817" s="34">
        <f t="shared" ca="1" si="48"/>
        <v>816</v>
      </c>
    </row>
    <row r="818" spans="1:43" ht="21" customHeight="1" x14ac:dyDescent="0.15">
      <c r="A818" s="7">
        <f t="shared" ca="1" si="45"/>
        <v>817</v>
      </c>
      <c r="B818" s="6" t="str">
        <f ca="1">VLOOKUP(A818,[2]characters!$A:$C,3,FALSE)</f>
        <v>決戦の抗弾 D.R.T.H.</v>
      </c>
      <c r="C818" s="9">
        <f ca="1">VLOOKUP(A818,[2]characters!$A:$I,9,FALSE)</f>
        <v>6</v>
      </c>
      <c r="D818" s="9" t="str">
        <f ca="1">VLOOKUP(A818,[2]characters!$A:$H,8,FALSE)</f>
        <v>red</v>
      </c>
      <c r="E818" s="97">
        <f ca="1">VLOOKUP(D818,[2]属性!$A:$E,2,FALSE)</f>
        <v>1</v>
      </c>
      <c r="F818" s="97">
        <f ca="1">VLOOKUP(D818,[2]属性!$A:$E,3,FALSE)</f>
        <v>1.02</v>
      </c>
      <c r="G818" s="97">
        <f ca="1">VLOOKUP(D818,[2]属性!$A:$F,4,FALSE)</f>
        <v>1</v>
      </c>
      <c r="H818" s="9" t="str">
        <f ca="1">VLOOKUP(A818,[2]characters!$A:$K,11,FALSE)</f>
        <v>balance</v>
      </c>
      <c r="I818" s="6" t="str">
        <f ca="1">VLOOKUP(H818,[2]character_type_i18n!$A:$F,3,FALSE)</f>
        <v>バランスタイプ</v>
      </c>
      <c r="J818" s="97">
        <f ca="1">VLOOKUP(H818,[2]character_type_i18n!$A:$F,4,FALSE)</f>
        <v>1</v>
      </c>
      <c r="K818" s="97">
        <f ca="1">VLOOKUP(H818,[2]character_type_i18n!$A:$F,5,FALSE)</f>
        <v>1</v>
      </c>
      <c r="L818" s="97">
        <f ca="1">VLOOKUP(H818,[2]character_type_i18n!$A:$F,6,FALSE)</f>
        <v>1</v>
      </c>
      <c r="M818" s="9" t="str">
        <f ca="1">VLOOKUP(A818,[2]characters!$A:$M,13,FALSE)</f>
        <v>human</v>
      </c>
      <c r="N818" s="6" t="str">
        <f ca="1">VLOOKUP(M818,[2]character_tribe_i18n!$A:$F,3,FALSE)</f>
        <v>ヒューマン</v>
      </c>
      <c r="O818" s="97">
        <f ca="1">VLOOKUP(M818,[2]character_tribe_i18n!$A:$F,4,FALSE)</f>
        <v>0.94</v>
      </c>
      <c r="P818" s="97">
        <f ca="1">VLOOKUP(M818,[2]character_tribe_i18n!$A:$F,5,FALSE)</f>
        <v>0.99</v>
      </c>
      <c r="Q818" s="97">
        <f ca="1">VLOOKUP(M818,[2]character_tribe_i18n!$A:$F,6,FALSE)</f>
        <v>1</v>
      </c>
      <c r="R818" s="98" t="s">
        <v>98</v>
      </c>
      <c r="S818" s="97">
        <f>VLOOKUP($R818,ラベル別係数!$A$1:$E$7,3,FALSE)</f>
        <v>5</v>
      </c>
      <c r="T818" s="97">
        <f>VLOOKUP($R818,ラベル別係数!$A$1:$E$7,4,FALSE)</f>
        <v>1.3</v>
      </c>
      <c r="U818" s="97">
        <f>VLOOKUP($R818,ラベル別係数!$A$1:$E$7,5,FALSE)</f>
        <v>0.8</v>
      </c>
      <c r="V818" s="98">
        <v>2</v>
      </c>
      <c r="W818" s="99">
        <f>VLOOKUP(V818,ターン数別攻撃係数!$A$1:$B$1000,2,FALSE)</f>
        <v>0.75</v>
      </c>
      <c r="X818" s="9">
        <f ca="1">VLOOKUP(C818,サイズ別係数!A$2:B$9,2,FALSE)</f>
        <v>60</v>
      </c>
      <c r="Y818" s="97">
        <f ca="1">VLOOKUP($X818,サイズ別係数!$B:$E,2,FALSE)</f>
        <v>1.7</v>
      </c>
      <c r="Z818" s="97">
        <f ca="1">VLOOKUP($X818,サイズ別係数!$B:$E,3,FALSE)</f>
        <v>1.4</v>
      </c>
      <c r="AA818" s="97">
        <f ca="1">VLOOKUP($X818,サイズ別係数!$B:$E,4,FALSE)</f>
        <v>1</v>
      </c>
      <c r="AB818" s="10">
        <v>0</v>
      </c>
      <c r="AC818" s="6" t="str">
        <f ca="1">VLOOKUP($AB818,OFFSET([3]enemy_skill_sets!$B$2,0,0,COUNTA([3]enemy_skill_sets!$A:$A),MATCH(AC$1,[3]enemy_skill_sets!$1:$1,0)-MATCH($AB$1,[3]enemy_skill_sets!$1:$1,0)+1),MATCH(AC$1,[3]enemy_skill_sets!$1:$1,0)-MATCH($AB$1,[3]enemy_skill_sets!$1:$1,0)+1,FALSE)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8" s="67">
        <v>1</v>
      </c>
      <c r="AE818" s="67">
        <v>1</v>
      </c>
      <c r="AF818" s="68">
        <v>0</v>
      </c>
      <c r="AG818" s="99">
        <f ca="1">ROUND(VLOOKUP(1,enemy_base_stats!$A:$F,2,FALSE) * Y818* J818*O818*E818*S818*AD818*[2]ステータス!$B$2,0)</f>
        <v>3995</v>
      </c>
      <c r="AH818" s="99">
        <f ca="1">ROUND(VLOOKUP(1,enemy_base_stats!$A:$F,3,FALSE) * Z818*K818*P818*F818*T818*AE818 * W818*[2]ステータス!$C$2,0)</f>
        <v>207</v>
      </c>
      <c r="AI818" s="99">
        <f ca="1">ROUND(VLOOKUP(1,enemy_base_stats!$A:$F,4,FALSE) * AA818*L818*Q818*G818*U818*AF818*[2]ステータス!$D$2,0)</f>
        <v>0</v>
      </c>
      <c r="AJ818" s="99">
        <f ca="1">ROUND(VLOOKUP(100,enemy_base_stats!$A:$F,2,FALSE) * Y818* J818*O818*E818*S818*AD818*[2]ステータス!$B$2,0)</f>
        <v>162197</v>
      </c>
      <c r="AK818" s="99">
        <f ca="1">ROUND(VLOOKUP(100,enemy_base_stats!$A:$F,3,FALSE)* Z818* K818*P818*F818*T818*AE818 * W818*[2]ステータス!$C$2,0)</f>
        <v>8394</v>
      </c>
      <c r="AL818" s="99">
        <f ca="1">ROUND(VLOOKUP(100,enemy_base_stats!$A:$F,4,FALSE)* AA818* L818*Q818*G818*U818*AF818*[2]ステータス!$D$2,0)</f>
        <v>0</v>
      </c>
      <c r="AM818" s="97">
        <f ca="1">VLOOKUP(M818,[2]character_tribe_i18n!$A:$I,9,FALSE)</f>
        <v>400</v>
      </c>
      <c r="AN818" s="97">
        <v>0</v>
      </c>
      <c r="AO818" s="98">
        <v>0</v>
      </c>
      <c r="AP818" s="58" t="s">
        <v>72</v>
      </c>
      <c r="AQ818" s="34">
        <f t="shared" ca="1" si="48"/>
        <v>817</v>
      </c>
    </row>
    <row r="819" spans="1:43" ht="21" customHeight="1" x14ac:dyDescent="0.15">
      <c r="A819" s="7">
        <f t="shared" ca="1" si="45"/>
        <v>818</v>
      </c>
      <c r="B819" s="6" t="str">
        <f ca="1">VLOOKUP(A819,[2]characters!$A:$C,3,FALSE)</f>
        <v>虚空を飾る大輪 オズ</v>
      </c>
      <c r="C819" s="9">
        <f ca="1">VLOOKUP(A819,[2]characters!$A:$I,9,FALSE)</f>
        <v>6</v>
      </c>
      <c r="D819" s="9" t="str">
        <f ca="1">VLOOKUP(A819,[2]characters!$A:$H,8,FALSE)</f>
        <v>green</v>
      </c>
      <c r="E819" s="97">
        <f ca="1">VLOOKUP(D819,[2]属性!$A:$E,2,FALSE)</f>
        <v>1.02</v>
      </c>
      <c r="F819" s="97">
        <f ca="1">VLOOKUP(D819,[2]属性!$A:$E,3,FALSE)</f>
        <v>0.98</v>
      </c>
      <c r="G819" s="97">
        <f ca="1">VLOOKUP(D819,[2]属性!$A:$F,4,FALSE)</f>
        <v>1</v>
      </c>
      <c r="H819" s="9" t="str">
        <f ca="1">VLOOKUP(A819,[2]characters!$A:$K,11,FALSE)</f>
        <v>technical</v>
      </c>
      <c r="I819" s="6" t="str">
        <f ca="1">VLOOKUP(H819,[2]character_type_i18n!$A:$F,3,FALSE)</f>
        <v>テクニカルタイプ</v>
      </c>
      <c r="J819" s="97">
        <f ca="1">VLOOKUP(H819,[2]character_type_i18n!$A:$F,4,FALSE)</f>
        <v>0.9</v>
      </c>
      <c r="K819" s="97">
        <f ca="1">VLOOKUP(H819,[2]character_type_i18n!$A:$F,5,FALSE)</f>
        <v>0.9</v>
      </c>
      <c r="L819" s="97">
        <f ca="1">VLOOKUP(H819,[2]character_type_i18n!$A:$F,6,FALSE)</f>
        <v>1</v>
      </c>
      <c r="M819" s="9" t="str">
        <f ca="1">VLOOKUP(A819,[2]characters!$A:$M,13,FALSE)</f>
        <v>human</v>
      </c>
      <c r="N819" s="6" t="str">
        <f ca="1">VLOOKUP(M819,[2]character_tribe_i18n!$A:$F,3,FALSE)</f>
        <v>ヒューマン</v>
      </c>
      <c r="O819" s="97">
        <f ca="1">VLOOKUP(M819,[2]character_tribe_i18n!$A:$F,4,FALSE)</f>
        <v>0.94</v>
      </c>
      <c r="P819" s="97">
        <f ca="1">VLOOKUP(M819,[2]character_tribe_i18n!$A:$F,5,FALSE)</f>
        <v>0.99</v>
      </c>
      <c r="Q819" s="97">
        <f ca="1">VLOOKUP(M819,[2]character_tribe_i18n!$A:$F,6,FALSE)</f>
        <v>1</v>
      </c>
      <c r="R819" s="98" t="s">
        <v>98</v>
      </c>
      <c r="S819" s="97">
        <f>VLOOKUP($R819,ラベル別係数!$A$1:$E$7,3,FALSE)</f>
        <v>5</v>
      </c>
      <c r="T819" s="97">
        <f>VLOOKUP($R819,ラベル別係数!$A$1:$E$7,4,FALSE)</f>
        <v>1.3</v>
      </c>
      <c r="U819" s="97">
        <f>VLOOKUP($R819,ラベル別係数!$A$1:$E$7,5,FALSE)</f>
        <v>0.8</v>
      </c>
      <c r="V819" s="98">
        <v>3</v>
      </c>
      <c r="W819" s="99">
        <f>VLOOKUP(V819,ターン数別攻撃係数!$A$1:$B$1000,2,FALSE)</f>
        <v>1</v>
      </c>
      <c r="X819" s="9">
        <f ca="1">VLOOKUP(C819,サイズ別係数!A$2:B$9,2,FALSE)</f>
        <v>60</v>
      </c>
      <c r="Y819" s="97">
        <f ca="1">VLOOKUP($X819,サイズ別係数!$B:$E,2,FALSE)</f>
        <v>1.7</v>
      </c>
      <c r="Z819" s="97">
        <f ca="1">VLOOKUP($X819,サイズ別係数!$B:$E,3,FALSE)</f>
        <v>1.4</v>
      </c>
      <c r="AA819" s="97">
        <f ca="1">VLOOKUP($X819,サイズ別係数!$B:$E,4,FALSE)</f>
        <v>1</v>
      </c>
      <c r="AB819" s="10">
        <v>0</v>
      </c>
      <c r="AC819" s="6" t="str">
        <f ca="1">VLOOKUP($AB819,OFFSET([3]enemy_skill_sets!$B$2,0,0,COUNTA([3]enemy_skill_sets!$A:$A),MATCH(AC$1,[3]enemy_skill_sets!$1:$1,0)-MATCH($AB$1,[3]enemy_skill_sets!$1:$1,0)+1),MATCH(AC$1,[3]enemy_skill_sets!$1:$1,0)-MATCH($AB$1,[3]enemy_skill_sets!$1:$1,0)+1,FALSE)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19" s="67">
        <v>1</v>
      </c>
      <c r="AE819" s="67">
        <v>1</v>
      </c>
      <c r="AF819" s="68">
        <v>0</v>
      </c>
      <c r="AG819" s="99">
        <f ca="1">ROUND(VLOOKUP(1,enemy_base_stats!$A:$F,2,FALSE) * Y819* J819*O819*E819*S819*AD819*[2]ステータス!$B$2,0)</f>
        <v>3667</v>
      </c>
      <c r="AH819" s="99">
        <f ca="1">ROUND(VLOOKUP(1,enemy_base_stats!$A:$F,3,FALSE) * Z819*K819*P819*F819*T819*AE819 * W819*[2]ステータス!$C$2,0)</f>
        <v>238</v>
      </c>
      <c r="AI819" s="99">
        <f ca="1">ROUND(VLOOKUP(1,enemy_base_stats!$A:$F,4,FALSE) * AA819*L819*Q819*G819*U819*AF819*[2]ステータス!$D$2,0)</f>
        <v>0</v>
      </c>
      <c r="AJ819" s="99">
        <f ca="1">ROUND(VLOOKUP(100,enemy_base_stats!$A:$F,2,FALSE) * Y819* J819*O819*E819*S819*AD819*[2]ステータス!$B$2,0)</f>
        <v>148897</v>
      </c>
      <c r="AK819" s="99">
        <f ca="1">ROUND(VLOOKUP(100,enemy_base_stats!$A:$F,3,FALSE)* Z819* K819*P819*F819*T819*AE819 * W819*[2]ステータス!$C$2,0)</f>
        <v>9678</v>
      </c>
      <c r="AL819" s="99">
        <f ca="1">ROUND(VLOOKUP(100,enemy_base_stats!$A:$F,4,FALSE)* AA819* L819*Q819*G819*U819*AF819*[2]ステータス!$D$2,0)</f>
        <v>0</v>
      </c>
      <c r="AM819" s="97">
        <f ca="1">VLOOKUP(M819,[2]character_tribe_i18n!$A:$I,9,FALSE)</f>
        <v>400</v>
      </c>
      <c r="AN819" s="97">
        <v>0</v>
      </c>
      <c r="AO819" s="98">
        <v>0</v>
      </c>
      <c r="AP819" s="58" t="s">
        <v>72</v>
      </c>
      <c r="AQ819" s="34">
        <f t="shared" ca="1" si="48"/>
        <v>818</v>
      </c>
    </row>
    <row r="820" spans="1:43" ht="21" customHeight="1" x14ac:dyDescent="0.15">
      <c r="A820" s="7">
        <f t="shared" ca="1" si="45"/>
        <v>819</v>
      </c>
      <c r="B820" s="6" t="str">
        <f ca="1">VLOOKUP(A820,[2]characters!$A:$C,3,FALSE)</f>
        <v>讐命の我突 モルドレッド</v>
      </c>
      <c r="C820" s="9">
        <f ca="1">VLOOKUP(A820,[2]characters!$A:$I,9,FALSE)</f>
        <v>6</v>
      </c>
      <c r="D820" s="9" t="str">
        <f ca="1">VLOOKUP(A820,[2]characters!$A:$H,8,FALSE)</f>
        <v>blue</v>
      </c>
      <c r="E820" s="97">
        <f ca="1">VLOOKUP(D820,[2]属性!$A:$E,2,FALSE)</f>
        <v>1</v>
      </c>
      <c r="F820" s="97">
        <f ca="1">VLOOKUP(D820,[2]属性!$A:$E,3,FALSE)</f>
        <v>0.98</v>
      </c>
      <c r="G820" s="97">
        <f ca="1">VLOOKUP(D820,[2]属性!$A:$F,4,FALSE)</f>
        <v>1</v>
      </c>
      <c r="H820" s="9" t="str">
        <f ca="1">VLOOKUP(A820,[2]characters!$A:$K,11,FALSE)</f>
        <v>technical</v>
      </c>
      <c r="I820" s="6" t="str">
        <f ca="1">VLOOKUP(H820,[2]character_type_i18n!$A:$F,3,FALSE)</f>
        <v>テクニカルタイプ</v>
      </c>
      <c r="J820" s="97">
        <f ca="1">VLOOKUP(H820,[2]character_type_i18n!$A:$F,4,FALSE)</f>
        <v>0.9</v>
      </c>
      <c r="K820" s="97">
        <f ca="1">VLOOKUP(H820,[2]character_type_i18n!$A:$F,5,FALSE)</f>
        <v>0.9</v>
      </c>
      <c r="L820" s="97">
        <f ca="1">VLOOKUP(H820,[2]character_type_i18n!$A:$F,6,FALSE)</f>
        <v>1</v>
      </c>
      <c r="M820" s="9" t="str">
        <f ca="1">VLOOKUP(A820,[2]characters!$A:$M,13,FALSE)</f>
        <v>human</v>
      </c>
      <c r="N820" s="6" t="str">
        <f ca="1">VLOOKUP(M820,[2]character_tribe_i18n!$A:$F,3,FALSE)</f>
        <v>ヒューマン</v>
      </c>
      <c r="O820" s="97">
        <f ca="1">VLOOKUP(M820,[2]character_tribe_i18n!$A:$F,4,FALSE)</f>
        <v>0.94</v>
      </c>
      <c r="P820" s="97">
        <f ca="1">VLOOKUP(M820,[2]character_tribe_i18n!$A:$F,5,FALSE)</f>
        <v>0.99</v>
      </c>
      <c r="Q820" s="97">
        <f ca="1">VLOOKUP(M820,[2]character_tribe_i18n!$A:$F,6,FALSE)</f>
        <v>1</v>
      </c>
      <c r="R820" s="98" t="s">
        <v>98</v>
      </c>
      <c r="S820" s="97">
        <f>VLOOKUP($R820,ラベル別係数!$A$1:$E$7,3,FALSE)</f>
        <v>5</v>
      </c>
      <c r="T820" s="97">
        <f>VLOOKUP($R820,ラベル別係数!$A$1:$E$7,4,FALSE)</f>
        <v>1.3</v>
      </c>
      <c r="U820" s="97">
        <f>VLOOKUP($R820,ラベル別係数!$A$1:$E$7,5,FALSE)</f>
        <v>0.8</v>
      </c>
      <c r="V820" s="98">
        <v>2</v>
      </c>
      <c r="W820" s="99">
        <f>VLOOKUP(V820,ターン数別攻撃係数!$A$1:$B$1000,2,FALSE)</f>
        <v>0.75</v>
      </c>
      <c r="X820" s="9">
        <f ca="1">VLOOKUP(C820,サイズ別係数!A$2:B$9,2,FALSE)</f>
        <v>60</v>
      </c>
      <c r="Y820" s="97">
        <f ca="1">VLOOKUP($X820,サイズ別係数!$B:$E,2,FALSE)</f>
        <v>1.7</v>
      </c>
      <c r="Z820" s="97">
        <f ca="1">VLOOKUP($X820,サイズ別係数!$B:$E,3,FALSE)</f>
        <v>1.4</v>
      </c>
      <c r="AA820" s="97">
        <f ca="1">VLOOKUP($X820,サイズ別係数!$B:$E,4,FALSE)</f>
        <v>1</v>
      </c>
      <c r="AB820" s="10">
        <v>0</v>
      </c>
      <c r="AC820" s="6" t="str">
        <f ca="1">VLOOKUP($AB820,OFFSET([3]enemy_skill_sets!$B$2,0,0,COUNTA([3]enemy_skill_sets!$A:$A),MATCH(AC$1,[3]enemy_skill_sets!$1:$1,0)-MATCH($AB$1,[3]enemy_skill_sets!$1:$1,0)+1),MATCH(AC$1,[3]enemy_skill_sets!$1:$1,0)-MATCH($AB$1,[3]enemy_skill_sets!$1:$1,0)+1,FALSE)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0" s="67">
        <v>1</v>
      </c>
      <c r="AE820" s="67">
        <v>1</v>
      </c>
      <c r="AF820" s="68">
        <v>0</v>
      </c>
      <c r="AG820" s="99">
        <f ca="1">ROUND(VLOOKUP(1,enemy_base_stats!$A:$F,2,FALSE) * Y820* J820*O820*E820*S820*AD820*[2]ステータス!$B$2,0)</f>
        <v>3596</v>
      </c>
      <c r="AH820" s="99">
        <f ca="1">ROUND(VLOOKUP(1,enemy_base_stats!$A:$F,3,FALSE) * Z820*K820*P820*F820*T820*AE820 * W820*[2]ステータス!$C$2,0)</f>
        <v>179</v>
      </c>
      <c r="AI820" s="99">
        <f ca="1">ROUND(VLOOKUP(1,enemy_base_stats!$A:$F,4,FALSE) * AA820*L820*Q820*G820*U820*AF820*[2]ステータス!$D$2,0)</f>
        <v>0</v>
      </c>
      <c r="AJ820" s="99">
        <f ca="1">ROUND(VLOOKUP(100,enemy_base_stats!$A:$F,2,FALSE) * Y820* J820*O820*E820*S820*AD820*[2]ステータス!$B$2,0)</f>
        <v>145977</v>
      </c>
      <c r="AK820" s="99">
        <f ca="1">ROUND(VLOOKUP(100,enemy_base_stats!$A:$F,3,FALSE)* Z820* K820*P820*F820*T820*AE820 * W820*[2]ステータス!$C$2,0)</f>
        <v>7259</v>
      </c>
      <c r="AL820" s="99">
        <f ca="1">ROUND(VLOOKUP(100,enemy_base_stats!$A:$F,4,FALSE)* AA820* L820*Q820*G820*U820*AF820*[2]ステータス!$D$2,0)</f>
        <v>0</v>
      </c>
      <c r="AM820" s="97">
        <f ca="1">VLOOKUP(M820,[2]character_tribe_i18n!$A:$I,9,FALSE)</f>
        <v>400</v>
      </c>
      <c r="AN820" s="97">
        <v>0</v>
      </c>
      <c r="AO820" s="98">
        <v>0</v>
      </c>
      <c r="AP820" s="58" t="s">
        <v>72</v>
      </c>
      <c r="AQ820" s="34">
        <f t="shared" ca="1" si="48"/>
        <v>819</v>
      </c>
    </row>
    <row r="821" spans="1:43" ht="21" customHeight="1" x14ac:dyDescent="0.15">
      <c r="A821" s="7">
        <f t="shared" ca="1" si="45"/>
        <v>820</v>
      </c>
      <c r="B821" s="6" t="str">
        <f ca="1">VLOOKUP(A821,[2]characters!$A:$C,3,FALSE)</f>
        <v>凶心者の聖儀 アーサー</v>
      </c>
      <c r="C821" s="9">
        <f ca="1">VLOOKUP(A821,[2]characters!$A:$I,9,FALSE)</f>
        <v>6</v>
      </c>
      <c r="D821" s="9" t="str">
        <f ca="1">VLOOKUP(A821,[2]characters!$A:$H,8,FALSE)</f>
        <v>red</v>
      </c>
      <c r="E821" s="97">
        <f ca="1">VLOOKUP(D821,[2]属性!$A:$E,2,FALSE)</f>
        <v>1</v>
      </c>
      <c r="F821" s="97">
        <f ca="1">VLOOKUP(D821,[2]属性!$A:$E,3,FALSE)</f>
        <v>1.02</v>
      </c>
      <c r="G821" s="97">
        <f ca="1">VLOOKUP(D821,[2]属性!$A:$F,4,FALSE)</f>
        <v>1</v>
      </c>
      <c r="H821" s="9" t="str">
        <f ca="1">VLOOKUP(A821,[2]characters!$A:$K,11,FALSE)</f>
        <v>balance</v>
      </c>
      <c r="I821" s="6" t="str">
        <f ca="1">VLOOKUP(H821,[2]character_type_i18n!$A:$F,3,FALSE)</f>
        <v>バランスタイプ</v>
      </c>
      <c r="J821" s="97">
        <f ca="1">VLOOKUP(H821,[2]character_type_i18n!$A:$F,4,FALSE)</f>
        <v>1</v>
      </c>
      <c r="K821" s="97">
        <f ca="1">VLOOKUP(H821,[2]character_type_i18n!$A:$F,5,FALSE)</f>
        <v>1</v>
      </c>
      <c r="L821" s="97">
        <f ca="1">VLOOKUP(H821,[2]character_type_i18n!$A:$F,6,FALSE)</f>
        <v>1</v>
      </c>
      <c r="M821" s="9" t="str">
        <f ca="1">VLOOKUP(A821,[2]characters!$A:$M,13,FALSE)</f>
        <v>human</v>
      </c>
      <c r="N821" s="6" t="str">
        <f ca="1">VLOOKUP(M821,[2]character_tribe_i18n!$A:$F,3,FALSE)</f>
        <v>ヒューマン</v>
      </c>
      <c r="O821" s="97">
        <f ca="1">VLOOKUP(M821,[2]character_tribe_i18n!$A:$F,4,FALSE)</f>
        <v>0.94</v>
      </c>
      <c r="P821" s="97">
        <f ca="1">VLOOKUP(M821,[2]character_tribe_i18n!$A:$F,5,FALSE)</f>
        <v>0.99</v>
      </c>
      <c r="Q821" s="97">
        <f ca="1">VLOOKUP(M821,[2]character_tribe_i18n!$A:$F,6,FALSE)</f>
        <v>1</v>
      </c>
      <c r="R821" s="98" t="s">
        <v>98</v>
      </c>
      <c r="S821" s="97">
        <f>VLOOKUP($R821,ラベル別係数!$A$1:$E$7,3,FALSE)</f>
        <v>5</v>
      </c>
      <c r="T821" s="97">
        <f>VLOOKUP($R821,ラベル別係数!$A$1:$E$7,4,FALSE)</f>
        <v>1.3</v>
      </c>
      <c r="U821" s="97">
        <f>VLOOKUP($R821,ラベル別係数!$A$1:$E$7,5,FALSE)</f>
        <v>0.8</v>
      </c>
      <c r="V821" s="98">
        <v>2</v>
      </c>
      <c r="W821" s="99">
        <f>VLOOKUP(V821,ターン数別攻撃係数!$A$1:$B$1000,2,FALSE)</f>
        <v>0.75</v>
      </c>
      <c r="X821" s="9">
        <f ca="1">VLOOKUP(C821,サイズ別係数!A$2:B$9,2,FALSE)</f>
        <v>60</v>
      </c>
      <c r="Y821" s="97">
        <f ca="1">VLOOKUP($X821,サイズ別係数!$B:$E,2,FALSE)</f>
        <v>1.7</v>
      </c>
      <c r="Z821" s="97">
        <f ca="1">VLOOKUP($X821,サイズ別係数!$B:$E,3,FALSE)</f>
        <v>1.4</v>
      </c>
      <c r="AA821" s="97">
        <f ca="1">VLOOKUP($X821,サイズ別係数!$B:$E,4,FALSE)</f>
        <v>1</v>
      </c>
      <c r="AB821" s="10">
        <v>0</v>
      </c>
      <c r="AC821" s="6" t="str">
        <f ca="1">VLOOKUP($AB821,OFFSET([3]enemy_skill_sets!$B$2,0,0,COUNTA([3]enemy_skill_sets!$A:$A),MATCH(AC$1,[3]enemy_skill_sets!$1:$1,0)-MATCH($AB$1,[3]enemy_skill_sets!$1:$1,0)+1),MATCH(AC$1,[3]enemy_skill_sets!$1:$1,0)-MATCH($AB$1,[3]enemy_skill_sets!$1:$1,0)+1,FALSE)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1" s="67">
        <v>1</v>
      </c>
      <c r="AE821" s="67">
        <v>1</v>
      </c>
      <c r="AF821" s="68">
        <v>0</v>
      </c>
      <c r="AG821" s="99">
        <f ca="1">ROUND(VLOOKUP(1,enemy_base_stats!$A:$F,2,FALSE) * Y821* J821*O821*E821*S821*AD821*[2]ステータス!$B$2,0)</f>
        <v>3995</v>
      </c>
      <c r="AH821" s="99">
        <f ca="1">ROUND(VLOOKUP(1,enemy_base_stats!$A:$F,3,FALSE) * Z821*K821*P821*F821*T821*AE821 * W821*[2]ステータス!$C$2,0)</f>
        <v>207</v>
      </c>
      <c r="AI821" s="99">
        <f ca="1">ROUND(VLOOKUP(1,enemy_base_stats!$A:$F,4,FALSE) * AA821*L821*Q821*G821*U821*AF821*[2]ステータス!$D$2,0)</f>
        <v>0</v>
      </c>
      <c r="AJ821" s="99">
        <f ca="1">ROUND(VLOOKUP(100,enemy_base_stats!$A:$F,2,FALSE) * Y821* J821*O821*E821*S821*AD821*[2]ステータス!$B$2,0)</f>
        <v>162197</v>
      </c>
      <c r="AK821" s="99">
        <f ca="1">ROUND(VLOOKUP(100,enemy_base_stats!$A:$F,3,FALSE)* Z821* K821*P821*F821*T821*AE821 * W821*[2]ステータス!$C$2,0)</f>
        <v>8394</v>
      </c>
      <c r="AL821" s="99">
        <f ca="1">ROUND(VLOOKUP(100,enemy_base_stats!$A:$F,4,FALSE)* AA821* L821*Q821*G821*U821*AF821*[2]ステータス!$D$2,0)</f>
        <v>0</v>
      </c>
      <c r="AM821" s="97">
        <f ca="1">VLOOKUP(M821,[2]character_tribe_i18n!$A:$I,9,FALSE)</f>
        <v>400</v>
      </c>
      <c r="AN821" s="97">
        <v>0</v>
      </c>
      <c r="AO821" s="98">
        <v>0</v>
      </c>
      <c r="AP821" s="58" t="s">
        <v>72</v>
      </c>
      <c r="AQ821" s="34">
        <f t="shared" ca="1" si="48"/>
        <v>820</v>
      </c>
    </row>
    <row r="822" spans="1:43" ht="21" customHeight="1" x14ac:dyDescent="0.15">
      <c r="A822" s="7">
        <f t="shared" ca="1" si="45"/>
        <v>821</v>
      </c>
      <c r="B822" s="6" t="str">
        <f ca="1">VLOOKUP(A822,[2]characters!$A:$C,3,FALSE)</f>
        <v>急蹴の硬機脚 ブートレグ・ペロー</v>
      </c>
      <c r="C822" s="9">
        <f ca="1">VLOOKUP(A822,[2]characters!$A:$I,9,FALSE)</f>
        <v>6</v>
      </c>
      <c r="D822" s="9" t="str">
        <f ca="1">VLOOKUP(A822,[2]characters!$A:$H,8,FALSE)</f>
        <v>red</v>
      </c>
      <c r="E822" s="97">
        <f ca="1">VLOOKUP(D822,[2]属性!$A:$E,2,FALSE)</f>
        <v>1</v>
      </c>
      <c r="F822" s="97">
        <f ca="1">VLOOKUP(D822,[2]属性!$A:$E,3,FALSE)</f>
        <v>1.02</v>
      </c>
      <c r="G822" s="97">
        <f ca="1">VLOOKUP(D822,[2]属性!$A:$F,4,FALSE)</f>
        <v>1</v>
      </c>
      <c r="H822" s="9" t="str">
        <f ca="1">VLOOKUP(A822,[2]characters!$A:$K,11,FALSE)</f>
        <v>hp</v>
      </c>
      <c r="I822" s="6" t="str">
        <f ca="1">VLOOKUP(H822,[2]character_type_i18n!$A:$F,3,FALSE)</f>
        <v>体力タイプ</v>
      </c>
      <c r="J822" s="97">
        <f ca="1">VLOOKUP(H822,[2]character_type_i18n!$A:$F,4,FALSE)</f>
        <v>1.45</v>
      </c>
      <c r="K822" s="97">
        <f ca="1">VLOOKUP(H822,[2]character_type_i18n!$A:$F,5,FALSE)</f>
        <v>0.85</v>
      </c>
      <c r="L822" s="97">
        <f ca="1">VLOOKUP(H822,[2]character_type_i18n!$A:$F,6,FALSE)</f>
        <v>1</v>
      </c>
      <c r="M822" s="9" t="str">
        <f ca="1">VLOOKUP(A822,[2]characters!$A:$M,13,FALSE)</f>
        <v>animal</v>
      </c>
      <c r="N822" s="6" t="str">
        <f ca="1">VLOOKUP(M822,[2]character_tribe_i18n!$A:$F,3,FALSE)</f>
        <v>アニマル</v>
      </c>
      <c r="O822" s="97">
        <f ca="1">VLOOKUP(M822,[2]character_tribe_i18n!$A:$F,4,FALSE)</f>
        <v>1</v>
      </c>
      <c r="P822" s="97">
        <f ca="1">VLOOKUP(M822,[2]character_tribe_i18n!$A:$F,5,FALSE)</f>
        <v>1.1000000000000001</v>
      </c>
      <c r="Q822" s="97">
        <f ca="1">VLOOKUP(M822,[2]character_tribe_i18n!$A:$F,6,FALSE)</f>
        <v>1</v>
      </c>
      <c r="R822" s="98" t="s">
        <v>98</v>
      </c>
      <c r="S822" s="97">
        <f>VLOOKUP($R822,ラベル別係数!$A$1:$E$7,3,FALSE)</f>
        <v>5</v>
      </c>
      <c r="T822" s="97">
        <f>VLOOKUP($R822,ラベル別係数!$A$1:$E$7,4,FALSE)</f>
        <v>1.3</v>
      </c>
      <c r="U822" s="97">
        <f>VLOOKUP($R822,ラベル別係数!$A$1:$E$7,5,FALSE)</f>
        <v>0.8</v>
      </c>
      <c r="V822" s="98">
        <v>2</v>
      </c>
      <c r="W822" s="99">
        <f>VLOOKUP(V822,ターン数別攻撃係数!$A$1:$B$1000,2,FALSE)</f>
        <v>0.75</v>
      </c>
      <c r="X822" s="9">
        <f ca="1">VLOOKUP(C822,サイズ別係数!A$2:B$9,2,FALSE)</f>
        <v>60</v>
      </c>
      <c r="Y822" s="97">
        <f ca="1">VLOOKUP($X822,サイズ別係数!$B:$E,2,FALSE)</f>
        <v>1.7</v>
      </c>
      <c r="Z822" s="97">
        <f ca="1">VLOOKUP($X822,サイズ別係数!$B:$E,3,FALSE)</f>
        <v>1.4</v>
      </c>
      <c r="AA822" s="97">
        <f ca="1">VLOOKUP($X822,サイズ別係数!$B:$E,4,FALSE)</f>
        <v>1</v>
      </c>
      <c r="AB822" s="10">
        <v>0</v>
      </c>
      <c r="AC822" s="6" t="str">
        <f ca="1">VLOOKUP($AB822,OFFSET([3]enemy_skill_sets!$B$2,0,0,COUNTA([3]enemy_skill_sets!$A:$A),MATCH(AC$1,[3]enemy_skill_sets!$1:$1,0)-MATCH($AB$1,[3]enemy_skill_sets!$1:$1,0)+1),MATCH(AC$1,[3]enemy_skill_sets!$1:$1,0)-MATCH($AB$1,[3]enemy_skill_sets!$1:$1,0)+1,FALSE)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2" s="67">
        <v>1</v>
      </c>
      <c r="AE822" s="67">
        <v>1</v>
      </c>
      <c r="AF822" s="68">
        <v>0</v>
      </c>
      <c r="AG822" s="99">
        <f ca="1">ROUND(VLOOKUP(1,enemy_base_stats!$A:$F,2,FALSE) * Y822* J822*O822*E822*S822*AD822*[2]ステータス!$B$2,0)</f>
        <v>6163</v>
      </c>
      <c r="AH822" s="99">
        <f ca="1">ROUND(VLOOKUP(1,enemy_base_stats!$A:$F,3,FALSE) * Z822*K822*P822*F822*T822*AE822 * W822*[2]ステータス!$C$2,0)</f>
        <v>195</v>
      </c>
      <c r="AI822" s="99">
        <f ca="1">ROUND(VLOOKUP(1,enemy_base_stats!$A:$F,4,FALSE) * AA822*L822*Q822*G822*U822*AF822*[2]ステータス!$D$2,0)</f>
        <v>0</v>
      </c>
      <c r="AJ822" s="99">
        <f ca="1">ROUND(VLOOKUP(100,enemy_base_stats!$A:$F,2,FALSE) * Y822* J822*O822*E822*S822*AD822*[2]ステータス!$B$2,0)</f>
        <v>250198</v>
      </c>
      <c r="AK822" s="99">
        <f ca="1">ROUND(VLOOKUP(100,enemy_base_stats!$A:$F,3,FALSE)* Z822* K822*P822*F822*T822*AE822 * W822*[2]ステータス!$C$2,0)</f>
        <v>7928</v>
      </c>
      <c r="AL822" s="99">
        <f ca="1">ROUND(VLOOKUP(100,enemy_base_stats!$A:$F,4,FALSE)* AA822* L822*Q822*G822*U822*AF822*[2]ステータス!$D$2,0)</f>
        <v>0</v>
      </c>
      <c r="AM822" s="97">
        <f ca="1">VLOOKUP(M822,[2]character_tribe_i18n!$A:$I,9,FALSE)</f>
        <v>480</v>
      </c>
      <c r="AN822" s="97">
        <v>0</v>
      </c>
      <c r="AO822" s="98">
        <v>0</v>
      </c>
      <c r="AP822" s="58" t="s">
        <v>72</v>
      </c>
      <c r="AQ822" s="34">
        <f t="shared" ca="1" si="48"/>
        <v>821</v>
      </c>
    </row>
    <row r="823" spans="1:43" ht="21" customHeight="1" x14ac:dyDescent="0.15">
      <c r="A823" s="7">
        <f t="shared" ca="1" si="45"/>
        <v>822</v>
      </c>
      <c r="B823" s="6" t="str">
        <f ca="1">VLOOKUP(A823,[2]characters!$A:$C,3,FALSE)</f>
        <v>操魂の蒐集家 グリム</v>
      </c>
      <c r="C823" s="9">
        <f ca="1">VLOOKUP(A823,[2]characters!$A:$I,9,FALSE)</f>
        <v>6</v>
      </c>
      <c r="D823" s="9" t="str">
        <f ca="1">VLOOKUP(A823,[2]characters!$A:$H,8,FALSE)</f>
        <v>green</v>
      </c>
      <c r="E823" s="97">
        <f ca="1">VLOOKUP(D823,[2]属性!$A:$E,2,FALSE)</f>
        <v>1.02</v>
      </c>
      <c r="F823" s="97">
        <f ca="1">VLOOKUP(D823,[2]属性!$A:$E,3,FALSE)</f>
        <v>0.98</v>
      </c>
      <c r="G823" s="97">
        <f ca="1">VLOOKUP(D823,[2]属性!$A:$F,4,FALSE)</f>
        <v>1</v>
      </c>
      <c r="H823" s="9" t="str">
        <f ca="1">VLOOKUP(A823,[2]characters!$A:$K,11,FALSE)</f>
        <v>balance</v>
      </c>
      <c r="I823" s="6" t="str">
        <f ca="1">VLOOKUP(H823,[2]character_type_i18n!$A:$F,3,FALSE)</f>
        <v>バランスタイプ</v>
      </c>
      <c r="J823" s="97">
        <f ca="1">VLOOKUP(H823,[2]character_type_i18n!$A:$F,4,FALSE)</f>
        <v>1</v>
      </c>
      <c r="K823" s="97">
        <f ca="1">VLOOKUP(H823,[2]character_type_i18n!$A:$F,5,FALSE)</f>
        <v>1</v>
      </c>
      <c r="L823" s="97">
        <f ca="1">VLOOKUP(H823,[2]character_type_i18n!$A:$F,6,FALSE)</f>
        <v>1</v>
      </c>
      <c r="M823" s="9" t="str">
        <f ca="1">VLOOKUP(A823,[2]characters!$A:$M,13,FALSE)</f>
        <v>human</v>
      </c>
      <c r="N823" s="6" t="str">
        <f ca="1">VLOOKUP(M823,[2]character_tribe_i18n!$A:$F,3,FALSE)</f>
        <v>ヒューマン</v>
      </c>
      <c r="O823" s="97">
        <f ca="1">VLOOKUP(M823,[2]character_tribe_i18n!$A:$F,4,FALSE)</f>
        <v>0.94</v>
      </c>
      <c r="P823" s="97">
        <f ca="1">VLOOKUP(M823,[2]character_tribe_i18n!$A:$F,5,FALSE)</f>
        <v>0.99</v>
      </c>
      <c r="Q823" s="97">
        <f ca="1">VLOOKUP(M823,[2]character_tribe_i18n!$A:$F,6,FALSE)</f>
        <v>1</v>
      </c>
      <c r="R823" s="98" t="s">
        <v>98</v>
      </c>
      <c r="S823" s="97">
        <f>VLOOKUP($R823,ラベル別係数!$A$1:$E$7,3,FALSE)</f>
        <v>5</v>
      </c>
      <c r="T823" s="97">
        <f>VLOOKUP($R823,ラベル別係数!$A$1:$E$7,4,FALSE)</f>
        <v>1.3</v>
      </c>
      <c r="U823" s="97">
        <f>VLOOKUP($R823,ラベル別係数!$A$1:$E$7,5,FALSE)</f>
        <v>0.8</v>
      </c>
      <c r="V823" s="98">
        <v>3</v>
      </c>
      <c r="W823" s="99">
        <f>VLOOKUP(V823,ターン数別攻撃係数!$A$1:$B$1000,2,FALSE)</f>
        <v>1</v>
      </c>
      <c r="X823" s="9">
        <f ca="1">VLOOKUP(C823,サイズ別係数!A$2:B$9,2,FALSE)</f>
        <v>60</v>
      </c>
      <c r="Y823" s="97">
        <f ca="1">VLOOKUP($X823,サイズ別係数!$B:$E,2,FALSE)</f>
        <v>1.7</v>
      </c>
      <c r="Z823" s="97">
        <f ca="1">VLOOKUP($X823,サイズ別係数!$B:$E,3,FALSE)</f>
        <v>1.4</v>
      </c>
      <c r="AA823" s="97">
        <f ca="1">VLOOKUP($X823,サイズ別係数!$B:$E,4,FALSE)</f>
        <v>1</v>
      </c>
      <c r="AB823" s="10">
        <v>0</v>
      </c>
      <c r="AC823" s="6" t="str">
        <f ca="1">VLOOKUP($AB823,OFFSET([3]enemy_skill_sets!$B$2,0,0,COUNTA([3]enemy_skill_sets!$A:$A),MATCH(AC$1,[3]enemy_skill_sets!$1:$1,0)-MATCH($AB$1,[3]enemy_skill_sets!$1:$1,0)+1),MATCH(AC$1,[3]enemy_skill_sets!$1:$1,0)-MATCH($AB$1,[3]enemy_skill_sets!$1:$1,0)+1,FALSE)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3" s="67">
        <v>1</v>
      </c>
      <c r="AE823" s="67">
        <v>1</v>
      </c>
      <c r="AF823" s="68">
        <v>0</v>
      </c>
      <c r="AG823" s="99">
        <f ca="1">ROUND(VLOOKUP(1,enemy_base_stats!$A:$F,2,FALSE) * Y823* J823*O823*E823*S823*AD823*[2]ステータス!$B$2,0)</f>
        <v>4075</v>
      </c>
      <c r="AH823" s="99">
        <f ca="1">ROUND(VLOOKUP(1,enemy_base_stats!$A:$F,3,FALSE) * Z823*K823*P823*F823*T823*AE823 * W823*[2]ステータス!$C$2,0)</f>
        <v>265</v>
      </c>
      <c r="AI823" s="99">
        <f ca="1">ROUND(VLOOKUP(1,enemy_base_stats!$A:$F,4,FALSE) * AA823*L823*Q823*G823*U823*AF823*[2]ステータス!$D$2,0)</f>
        <v>0</v>
      </c>
      <c r="AJ823" s="99">
        <f ca="1">ROUND(VLOOKUP(100,enemy_base_stats!$A:$F,2,FALSE) * Y823* J823*O823*E823*S823*AD823*[2]ステータス!$B$2,0)</f>
        <v>165441</v>
      </c>
      <c r="AK823" s="99">
        <f ca="1">ROUND(VLOOKUP(100,enemy_base_stats!$A:$F,3,FALSE)* Z823* K823*P823*F823*T823*AE823 * W823*[2]ステータス!$C$2,0)</f>
        <v>10754</v>
      </c>
      <c r="AL823" s="99">
        <f ca="1">ROUND(VLOOKUP(100,enemy_base_stats!$A:$F,4,FALSE)* AA823* L823*Q823*G823*U823*AF823*[2]ステータス!$D$2,0)</f>
        <v>0</v>
      </c>
      <c r="AM823" s="97">
        <f ca="1">VLOOKUP(M823,[2]character_tribe_i18n!$A:$I,9,FALSE)</f>
        <v>400</v>
      </c>
      <c r="AN823" s="97">
        <v>0</v>
      </c>
      <c r="AO823" s="98">
        <v>0</v>
      </c>
      <c r="AP823" s="58" t="s">
        <v>72</v>
      </c>
      <c r="AQ823" s="34">
        <f t="shared" ca="1" si="48"/>
        <v>822</v>
      </c>
    </row>
    <row r="824" spans="1:43" ht="21" customHeight="1" x14ac:dyDescent="0.15">
      <c r="A824" s="7">
        <f t="shared" ca="1" si="45"/>
        <v>823</v>
      </c>
      <c r="B824" s="6" t="str">
        <f ca="1">VLOOKUP(A824,[2]characters!$A:$C,3,FALSE)</f>
        <v>跳鼠の睡奏楽 ハーメルン</v>
      </c>
      <c r="C824" s="9">
        <f ca="1">VLOOKUP(A824,[2]characters!$A:$I,9,FALSE)</f>
        <v>6</v>
      </c>
      <c r="D824" s="9" t="str">
        <f ca="1">VLOOKUP(A824,[2]characters!$A:$H,8,FALSE)</f>
        <v>green</v>
      </c>
      <c r="E824" s="97">
        <f ca="1">VLOOKUP(D824,[2]属性!$A:$E,2,FALSE)</f>
        <v>1.02</v>
      </c>
      <c r="F824" s="97">
        <f ca="1">VLOOKUP(D824,[2]属性!$A:$E,3,FALSE)</f>
        <v>0.98</v>
      </c>
      <c r="G824" s="97">
        <f ca="1">VLOOKUP(D824,[2]属性!$A:$F,4,FALSE)</f>
        <v>1</v>
      </c>
      <c r="H824" s="9" t="str">
        <f ca="1">VLOOKUP(A824,[2]characters!$A:$K,11,FALSE)</f>
        <v>technical</v>
      </c>
      <c r="I824" s="6" t="str">
        <f ca="1">VLOOKUP(H824,[2]character_type_i18n!$A:$F,3,FALSE)</f>
        <v>テクニカルタイプ</v>
      </c>
      <c r="J824" s="97">
        <f ca="1">VLOOKUP(H824,[2]character_type_i18n!$A:$F,4,FALSE)</f>
        <v>0.9</v>
      </c>
      <c r="K824" s="97">
        <f ca="1">VLOOKUP(H824,[2]character_type_i18n!$A:$F,5,FALSE)</f>
        <v>0.9</v>
      </c>
      <c r="L824" s="97">
        <f ca="1">VLOOKUP(H824,[2]character_type_i18n!$A:$F,6,FALSE)</f>
        <v>1</v>
      </c>
      <c r="M824" s="9" t="str">
        <f ca="1">VLOOKUP(A824,[2]characters!$A:$M,13,FALSE)</f>
        <v>human</v>
      </c>
      <c r="N824" s="6" t="str">
        <f ca="1">VLOOKUP(M824,[2]character_tribe_i18n!$A:$F,3,FALSE)</f>
        <v>ヒューマン</v>
      </c>
      <c r="O824" s="97">
        <f ca="1">VLOOKUP(M824,[2]character_tribe_i18n!$A:$F,4,FALSE)</f>
        <v>0.94</v>
      </c>
      <c r="P824" s="97">
        <f ca="1">VLOOKUP(M824,[2]character_tribe_i18n!$A:$F,5,FALSE)</f>
        <v>0.99</v>
      </c>
      <c r="Q824" s="97">
        <f ca="1">VLOOKUP(M824,[2]character_tribe_i18n!$A:$F,6,FALSE)</f>
        <v>1</v>
      </c>
      <c r="R824" s="98" t="s">
        <v>98</v>
      </c>
      <c r="S824" s="97">
        <f>VLOOKUP($R824,ラベル別係数!$A$1:$E$7,3,FALSE)</f>
        <v>5</v>
      </c>
      <c r="T824" s="97">
        <f>VLOOKUP($R824,ラベル別係数!$A$1:$E$7,4,FALSE)</f>
        <v>1.3</v>
      </c>
      <c r="U824" s="97">
        <f>VLOOKUP($R824,ラベル別係数!$A$1:$E$7,5,FALSE)</f>
        <v>0.8</v>
      </c>
      <c r="V824" s="98">
        <v>3</v>
      </c>
      <c r="W824" s="99">
        <f>VLOOKUP(V824,ターン数別攻撃係数!$A$1:$B$1000,2,FALSE)</f>
        <v>1</v>
      </c>
      <c r="X824" s="9">
        <f ca="1">VLOOKUP(C824,サイズ別係数!A$2:B$9,2,FALSE)</f>
        <v>60</v>
      </c>
      <c r="Y824" s="97">
        <f ca="1">VLOOKUP($X824,サイズ別係数!$B:$E,2,FALSE)</f>
        <v>1.7</v>
      </c>
      <c r="Z824" s="97">
        <f ca="1">VLOOKUP($X824,サイズ別係数!$B:$E,3,FALSE)</f>
        <v>1.4</v>
      </c>
      <c r="AA824" s="97">
        <f ca="1">VLOOKUP($X824,サイズ別係数!$B:$E,4,FALSE)</f>
        <v>1</v>
      </c>
      <c r="AB824" s="10">
        <v>0</v>
      </c>
      <c r="AC824" s="6" t="str">
        <f ca="1">VLOOKUP($AB824,OFFSET([3]enemy_skill_sets!$B$2,0,0,COUNTA([3]enemy_skill_sets!$A:$A),MATCH(AC$1,[3]enemy_skill_sets!$1:$1,0)-MATCH($AB$1,[3]enemy_skill_sets!$1:$1,0)+1),MATCH(AC$1,[3]enemy_skill_sets!$1:$1,0)-MATCH($AB$1,[3]enemy_skill_sets!$1:$1,0)+1,FALSE)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4" s="67">
        <v>1</v>
      </c>
      <c r="AE824" s="67">
        <v>1</v>
      </c>
      <c r="AF824" s="68">
        <v>0</v>
      </c>
      <c r="AG824" s="99">
        <f ca="1">ROUND(VLOOKUP(1,enemy_base_stats!$A:$F,2,FALSE) * Y824* J824*O824*E824*S824*AD824*[2]ステータス!$B$2,0)</f>
        <v>3667</v>
      </c>
      <c r="AH824" s="99">
        <f ca="1">ROUND(VLOOKUP(1,enemy_base_stats!$A:$F,3,FALSE) * Z824*K824*P824*F824*T824*AE824 * W824*[2]ステータス!$C$2,0)</f>
        <v>238</v>
      </c>
      <c r="AI824" s="99">
        <f ca="1">ROUND(VLOOKUP(1,enemy_base_stats!$A:$F,4,FALSE) * AA824*L824*Q824*G824*U824*AF824*[2]ステータス!$D$2,0)</f>
        <v>0</v>
      </c>
      <c r="AJ824" s="99">
        <f ca="1">ROUND(VLOOKUP(100,enemy_base_stats!$A:$F,2,FALSE) * Y824* J824*O824*E824*S824*AD824*[2]ステータス!$B$2,0)</f>
        <v>148897</v>
      </c>
      <c r="AK824" s="99">
        <f ca="1">ROUND(VLOOKUP(100,enemy_base_stats!$A:$F,3,FALSE)* Z824* K824*P824*F824*T824*AE824 * W824*[2]ステータス!$C$2,0)</f>
        <v>9678</v>
      </c>
      <c r="AL824" s="99">
        <f ca="1">ROUND(VLOOKUP(100,enemy_base_stats!$A:$F,4,FALSE)* AA824* L824*Q824*G824*U824*AF824*[2]ステータス!$D$2,0)</f>
        <v>0</v>
      </c>
      <c r="AM824" s="97">
        <f ca="1">VLOOKUP(M824,[2]character_tribe_i18n!$A:$I,9,FALSE)</f>
        <v>400</v>
      </c>
      <c r="AN824" s="97">
        <v>0</v>
      </c>
      <c r="AO824" s="98">
        <v>0</v>
      </c>
      <c r="AP824" s="58" t="s">
        <v>72</v>
      </c>
      <c r="AQ824" s="34">
        <f t="shared" ca="1" si="48"/>
        <v>823</v>
      </c>
    </row>
    <row r="825" spans="1:43" ht="21" customHeight="1" x14ac:dyDescent="0.15">
      <c r="A825" s="7">
        <f t="shared" ca="1" si="45"/>
        <v>824</v>
      </c>
      <c r="B825" s="6" t="str">
        <f ca="1">VLOOKUP(A825,[2]characters!$A:$C,3,FALSE)</f>
        <v>悪意の団塊  Gスター・チルドレン</v>
      </c>
      <c r="C825" s="9">
        <f ca="1">VLOOKUP(A825,[2]characters!$A:$I,9,FALSE)</f>
        <v>6</v>
      </c>
      <c r="D825" s="9" t="str">
        <f ca="1">VLOOKUP(A825,[2]characters!$A:$H,8,FALSE)</f>
        <v>yellow</v>
      </c>
      <c r="E825" s="97">
        <f ca="1">VLOOKUP(D825,[2]属性!$A:$E,2,FALSE)</f>
        <v>0.98</v>
      </c>
      <c r="F825" s="97">
        <f ca="1">VLOOKUP(D825,[2]属性!$A:$E,3,FALSE)</f>
        <v>1.01</v>
      </c>
      <c r="G825" s="97">
        <f ca="1">VLOOKUP(D825,[2]属性!$A:$F,4,FALSE)</f>
        <v>1</v>
      </c>
      <c r="H825" s="9" t="str">
        <f ca="1">VLOOKUP(A825,[2]characters!$A:$K,11,FALSE)</f>
        <v>hp</v>
      </c>
      <c r="I825" s="6" t="str">
        <f ca="1">VLOOKUP(H825,[2]character_type_i18n!$A:$F,3,FALSE)</f>
        <v>体力タイプ</v>
      </c>
      <c r="J825" s="103">
        <v>1</v>
      </c>
      <c r="K825" s="103">
        <v>1.33</v>
      </c>
      <c r="L825" s="103">
        <v>1</v>
      </c>
      <c r="M825" s="9" t="str">
        <f ca="1">VLOOKUP(A825,[2]characters!$A:$M,13,FALSE)</f>
        <v>unknown</v>
      </c>
      <c r="N825" s="6" t="str">
        <f ca="1">VLOOKUP(M825,[2]character_tribe_i18n!$A:$F,3,FALSE)</f>
        <v>Unknown</v>
      </c>
      <c r="O825" s="103">
        <v>0.94</v>
      </c>
      <c r="P825" s="103">
        <v>0.99</v>
      </c>
      <c r="Q825" s="103">
        <v>1</v>
      </c>
      <c r="R825" s="98" t="s">
        <v>98</v>
      </c>
      <c r="S825" s="97">
        <f>VLOOKUP($R825,ラベル別係数!$A$1:$E$7,3,FALSE)</f>
        <v>5</v>
      </c>
      <c r="T825" s="97">
        <f>VLOOKUP($R825,ラベル別係数!$A$1:$E$7,4,FALSE)</f>
        <v>1.3</v>
      </c>
      <c r="U825" s="97">
        <f>VLOOKUP($R825,ラベル別係数!$A$1:$E$7,5,FALSE)</f>
        <v>0.8</v>
      </c>
      <c r="V825" s="98">
        <v>3</v>
      </c>
      <c r="W825" s="99">
        <f>VLOOKUP(V825,ターン数別攻撃係数!$A$1:$B$1000,2,FALSE)</f>
        <v>1</v>
      </c>
      <c r="X825" s="9">
        <f ca="1">VLOOKUP(C825,サイズ別係数!A$2:B$9,2,FALSE)</f>
        <v>60</v>
      </c>
      <c r="Y825" s="97">
        <f ca="1">VLOOKUP($X825,サイズ別係数!$B:$E,2,FALSE)</f>
        <v>1.7</v>
      </c>
      <c r="Z825" s="97">
        <f ca="1">VLOOKUP($X825,サイズ別係数!$B:$E,3,FALSE)</f>
        <v>1.4</v>
      </c>
      <c r="AA825" s="97">
        <f ca="1">VLOOKUP($X825,サイズ別係数!$B:$E,4,FALSE)</f>
        <v>1</v>
      </c>
      <c r="AB825" s="10">
        <v>0</v>
      </c>
      <c r="AC825" s="6" t="str">
        <f ca="1">VLOOKUP($AB825,OFFSET([3]enemy_skill_sets!$B$2,0,0,COUNTA([3]enemy_skill_sets!$A:$A),MATCH(AC$1,[3]enemy_skill_sets!$1:$1,0)-MATCH($AB$1,[3]enemy_skill_sets!$1:$1,0)+1),MATCH(AC$1,[3]enemy_skill_sets!$1:$1,0)-MATCH($AB$1,[3]enemy_skill_sets!$1:$1,0)+1,FALSE)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5" s="67">
        <v>1</v>
      </c>
      <c r="AE825" s="67">
        <v>1</v>
      </c>
      <c r="AF825" s="68">
        <v>0</v>
      </c>
      <c r="AG825" s="99">
        <f ca="1">ROUND(VLOOKUP(1,enemy_base_stats!$A:$F,2,FALSE) * Y825* J825*O825*E825*S825*AD825*[2]ステータス!$B$2,0)</f>
        <v>3915</v>
      </c>
      <c r="AH825" s="99">
        <f ca="1">ROUND(VLOOKUP(1,enemy_base_stats!$A:$F,3,FALSE) * Z825*K825*P825*F825*T825*AE825 * W825*[2]ステータス!$C$2,0)</f>
        <v>363</v>
      </c>
      <c r="AI825" s="99">
        <f ca="1">ROUND(VLOOKUP(1,enemy_base_stats!$A:$F,4,FALSE) * AA825*L825*Q825*G825*U825*AF825*[2]ステータス!$D$2,0)</f>
        <v>0</v>
      </c>
      <c r="AJ825" s="99">
        <f ca="1">ROUND(VLOOKUP(100,enemy_base_stats!$A:$F,2,FALSE) * Y825* J825*O825*E825*S825*AD825*[2]ステータス!$B$2,0)</f>
        <v>158953</v>
      </c>
      <c r="AK825" s="99">
        <f ca="1">ROUND(VLOOKUP(100,enemy_base_stats!$A:$F,3,FALSE)* Z825* K825*P825*F825*T825*AE825 * W825*[2]ステータス!$C$2,0)</f>
        <v>14740</v>
      </c>
      <c r="AL825" s="99">
        <f ca="1">ROUND(VLOOKUP(100,enemy_base_stats!$A:$F,4,FALSE)* AA825* L825*Q825*G825*U825*AF825*[2]ステータス!$D$2,0)</f>
        <v>0</v>
      </c>
      <c r="AM825" s="102">
        <v>800</v>
      </c>
      <c r="AN825" s="97">
        <v>0</v>
      </c>
      <c r="AO825" s="98">
        <v>0</v>
      </c>
      <c r="AP825" s="58" t="s">
        <v>72</v>
      </c>
      <c r="AQ825" s="34">
        <f t="shared" ca="1" si="48"/>
        <v>824</v>
      </c>
    </row>
    <row r="826" spans="1:43" ht="21" customHeight="1" x14ac:dyDescent="0.15">
      <c r="A826" s="7">
        <f t="shared" ca="1" si="45"/>
        <v>825</v>
      </c>
      <c r="B826" s="6" t="str">
        <f ca="1">VLOOKUP(A826,[2]characters!$A:$C,3,FALSE)</f>
        <v>彩愛なる豊穣妃神 フレイヤ</v>
      </c>
      <c r="C826" s="9">
        <f ca="1">VLOOKUP(A826,[2]characters!$A:$I,9,FALSE)</f>
        <v>6</v>
      </c>
      <c r="D826" s="9" t="str">
        <f ca="1">VLOOKUP(A826,[2]characters!$A:$H,8,FALSE)</f>
        <v>blue</v>
      </c>
      <c r="E826" s="97">
        <f ca="1">VLOOKUP(D826,[2]属性!$A:$E,2,FALSE)</f>
        <v>1</v>
      </c>
      <c r="F826" s="97">
        <f ca="1">VLOOKUP(D826,[2]属性!$A:$E,3,FALSE)</f>
        <v>0.98</v>
      </c>
      <c r="G826" s="97">
        <f ca="1">VLOOKUP(D826,[2]属性!$A:$F,4,FALSE)</f>
        <v>1</v>
      </c>
      <c r="H826" s="9" t="str">
        <f ca="1">VLOOKUP(A826,[2]characters!$A:$K,11,FALSE)</f>
        <v>heal</v>
      </c>
      <c r="I826" s="6" t="str">
        <f ca="1">VLOOKUP(H826,[2]character_type_i18n!$A:$F,3,FALSE)</f>
        <v>回復タイプ</v>
      </c>
      <c r="J826" s="97">
        <f ca="1">VLOOKUP(H826,[2]character_type_i18n!$A:$F,4,FALSE)</f>
        <v>0.8</v>
      </c>
      <c r="K826" s="97">
        <f ca="1">VLOOKUP(H826,[2]character_type_i18n!$A:$F,5,FALSE)</f>
        <v>0.78</v>
      </c>
      <c r="L826" s="97">
        <f ca="1">VLOOKUP(H826,[2]character_type_i18n!$A:$F,6,FALSE)</f>
        <v>1</v>
      </c>
      <c r="M826" s="9" t="str">
        <f ca="1">VLOOKUP(A826,[2]characters!$A:$M,13,FALSE)</f>
        <v>animal</v>
      </c>
      <c r="N826" s="6" t="str">
        <f ca="1">VLOOKUP(M826,[2]character_tribe_i18n!$A:$F,3,FALSE)</f>
        <v>アニマル</v>
      </c>
      <c r="O826" s="97">
        <f ca="1">VLOOKUP(M826,[2]character_tribe_i18n!$A:$F,4,FALSE)</f>
        <v>1</v>
      </c>
      <c r="P826" s="97">
        <f ca="1">VLOOKUP(M826,[2]character_tribe_i18n!$A:$F,5,FALSE)</f>
        <v>1.1000000000000001</v>
      </c>
      <c r="Q826" s="97">
        <f ca="1">VLOOKUP(M826,[2]character_tribe_i18n!$A:$F,6,FALSE)</f>
        <v>1</v>
      </c>
      <c r="R826" s="98" t="s">
        <v>98</v>
      </c>
      <c r="S826" s="97">
        <f>VLOOKUP($R826,ラベル別係数!$A$1:$E$7,3,FALSE)</f>
        <v>5</v>
      </c>
      <c r="T826" s="97">
        <f>VLOOKUP($R826,ラベル別係数!$A$1:$E$7,4,FALSE)</f>
        <v>1.3</v>
      </c>
      <c r="U826" s="97">
        <f>VLOOKUP($R826,ラベル別係数!$A$1:$E$7,5,FALSE)</f>
        <v>0.8</v>
      </c>
      <c r="V826" s="98">
        <v>3</v>
      </c>
      <c r="W826" s="99">
        <f>VLOOKUP(V826,ターン数別攻撃係数!$A$1:$B$1000,2,FALSE)</f>
        <v>1</v>
      </c>
      <c r="X826" s="9">
        <f ca="1">VLOOKUP(C826,サイズ別係数!A$2:B$9,2,FALSE)</f>
        <v>60</v>
      </c>
      <c r="Y826" s="97">
        <f ca="1">VLOOKUP($X826,サイズ別係数!$B:$E,2,FALSE)</f>
        <v>1.7</v>
      </c>
      <c r="Z826" s="97">
        <f ca="1">VLOOKUP($X826,サイズ別係数!$B:$E,3,FALSE)</f>
        <v>1.4</v>
      </c>
      <c r="AA826" s="97">
        <f ca="1">VLOOKUP($X826,サイズ別係数!$B:$E,4,FALSE)</f>
        <v>1</v>
      </c>
      <c r="AB826" s="10">
        <v>0</v>
      </c>
      <c r="AC826" s="6" t="str">
        <f ca="1">VLOOKUP($AB826,OFFSET([3]enemy_skill_sets!$B$2,0,0,COUNTA([3]enemy_skill_sets!$A:$A),MATCH(AC$1,[3]enemy_skill_sets!$1:$1,0)-MATCH($AB$1,[3]enemy_skill_sets!$1:$1,0)+1),MATCH(AC$1,[3]enemy_skill_sets!$1:$1,0)-MATCH($AB$1,[3]enemy_skill_sets!$1:$1,0)+1,FALSE)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6" s="67">
        <v>1</v>
      </c>
      <c r="AE826" s="67">
        <v>1</v>
      </c>
      <c r="AF826" s="68">
        <v>0</v>
      </c>
      <c r="AG826" s="99">
        <f ca="1">ROUND(VLOOKUP(1,enemy_base_stats!$A:$F,2,FALSE) * Y826* J826*O826*E826*S826*AD826*[2]ステータス!$B$2,0)</f>
        <v>3400</v>
      </c>
      <c r="AH826" s="99">
        <f ca="1">ROUND(VLOOKUP(1,enemy_base_stats!$A:$F,3,FALSE) * Z826*K826*P826*F826*T826*AE826 * W826*[2]ステータス!$C$2,0)</f>
        <v>230</v>
      </c>
      <c r="AI826" s="99">
        <f ca="1">ROUND(VLOOKUP(1,enemy_base_stats!$A:$F,4,FALSE) * AA826*L826*Q826*G826*U826*AF826*[2]ステータス!$D$2,0)</f>
        <v>0</v>
      </c>
      <c r="AJ826" s="99">
        <f ca="1">ROUND(VLOOKUP(100,enemy_base_stats!$A:$F,2,FALSE) * Y826* J826*O826*E826*S826*AD826*[2]ステータス!$B$2,0)</f>
        <v>138040</v>
      </c>
      <c r="AK826" s="99">
        <f ca="1">ROUND(VLOOKUP(100,enemy_base_stats!$A:$F,3,FALSE)* Z826* K826*P826*F826*T826*AE826 * W826*[2]ステータス!$C$2,0)</f>
        <v>9320</v>
      </c>
      <c r="AL826" s="99">
        <f ca="1">ROUND(VLOOKUP(100,enemy_base_stats!$A:$F,4,FALSE)* AA826* L826*Q826*G826*U826*AF826*[2]ステータス!$D$2,0)</f>
        <v>0</v>
      </c>
      <c r="AM826" s="97">
        <f ca="1">VLOOKUP(M826,[2]character_tribe_i18n!$A:$I,9,FALSE)</f>
        <v>480</v>
      </c>
      <c r="AN826" s="97">
        <v>0</v>
      </c>
      <c r="AO826" s="98">
        <v>0</v>
      </c>
      <c r="AP826" s="58" t="s">
        <v>72</v>
      </c>
      <c r="AQ826" s="34">
        <f t="shared" ca="1" si="48"/>
        <v>825</v>
      </c>
    </row>
    <row r="827" spans="1:43" ht="21" customHeight="1" x14ac:dyDescent="0.15">
      <c r="A827" s="7">
        <f t="shared" ca="1" si="45"/>
        <v>826</v>
      </c>
      <c r="B827" s="6" t="str">
        <f ca="1">VLOOKUP(A827,[2]characters!$A:$C,3,FALSE)</f>
        <v>崇紅なる豊穣皇神 フレイ</v>
      </c>
      <c r="C827" s="9">
        <f ca="1">VLOOKUP(A827,[2]characters!$A:$I,9,FALSE)</f>
        <v>6</v>
      </c>
      <c r="D827" s="9" t="str">
        <f ca="1">VLOOKUP(A827,[2]characters!$A:$H,8,FALSE)</f>
        <v>red</v>
      </c>
      <c r="E827" s="97">
        <f ca="1">VLOOKUP(D827,[2]属性!$A:$E,2,FALSE)</f>
        <v>1</v>
      </c>
      <c r="F827" s="97">
        <f ca="1">VLOOKUP(D827,[2]属性!$A:$E,3,FALSE)</f>
        <v>1.02</v>
      </c>
      <c r="G827" s="97">
        <f ca="1">VLOOKUP(D827,[2]属性!$A:$F,4,FALSE)</f>
        <v>1</v>
      </c>
      <c r="H827" s="9" t="str">
        <f ca="1">VLOOKUP(A827,[2]characters!$A:$K,11,FALSE)</f>
        <v>attack</v>
      </c>
      <c r="I827" s="6" t="str">
        <f ca="1">VLOOKUP(H827,[2]character_type_i18n!$A:$F,3,FALSE)</f>
        <v>攻撃タイプ</v>
      </c>
      <c r="J827" s="97">
        <f ca="1">VLOOKUP(H827,[2]character_type_i18n!$A:$F,4,FALSE)</f>
        <v>1</v>
      </c>
      <c r="K827" s="97">
        <f ca="1">VLOOKUP(H827,[2]character_type_i18n!$A:$F,5,FALSE)</f>
        <v>1.33</v>
      </c>
      <c r="L827" s="97">
        <f ca="1">VLOOKUP(H827,[2]character_type_i18n!$A:$F,6,FALSE)</f>
        <v>1</v>
      </c>
      <c r="M827" s="9" t="str">
        <f ca="1">VLOOKUP(A827,[2]characters!$A:$M,13,FALSE)</f>
        <v>animal</v>
      </c>
      <c r="N827" s="6" t="str">
        <f ca="1">VLOOKUP(M827,[2]character_tribe_i18n!$A:$F,3,FALSE)</f>
        <v>アニマル</v>
      </c>
      <c r="O827" s="97">
        <f ca="1">VLOOKUP(M827,[2]character_tribe_i18n!$A:$F,4,FALSE)</f>
        <v>1</v>
      </c>
      <c r="P827" s="97">
        <f ca="1">VLOOKUP(M827,[2]character_tribe_i18n!$A:$F,5,FALSE)</f>
        <v>1.1000000000000001</v>
      </c>
      <c r="Q827" s="97">
        <f ca="1">VLOOKUP(M827,[2]character_tribe_i18n!$A:$F,6,FALSE)</f>
        <v>1</v>
      </c>
      <c r="R827" s="98" t="s">
        <v>98</v>
      </c>
      <c r="S827" s="97">
        <f>VLOOKUP($R827,ラベル別係数!$A$1:$E$7,3,FALSE)</f>
        <v>5</v>
      </c>
      <c r="T827" s="97">
        <f>VLOOKUP($R827,ラベル別係数!$A$1:$E$7,4,FALSE)</f>
        <v>1.3</v>
      </c>
      <c r="U827" s="97">
        <f>VLOOKUP($R827,ラベル別係数!$A$1:$E$7,5,FALSE)</f>
        <v>0.8</v>
      </c>
      <c r="V827" s="98">
        <v>3</v>
      </c>
      <c r="W827" s="99">
        <f>VLOOKUP(V827,ターン数別攻撃係数!$A$1:$B$1000,2,FALSE)</f>
        <v>1</v>
      </c>
      <c r="X827" s="9">
        <f ca="1">VLOOKUP(C827,サイズ別係数!A$2:B$9,2,FALSE)</f>
        <v>60</v>
      </c>
      <c r="Y827" s="97">
        <f ca="1">VLOOKUP($X827,サイズ別係数!$B:$E,2,FALSE)</f>
        <v>1.7</v>
      </c>
      <c r="Z827" s="97">
        <f ca="1">VLOOKUP($X827,サイズ別係数!$B:$E,3,FALSE)</f>
        <v>1.4</v>
      </c>
      <c r="AA827" s="97">
        <f ca="1">VLOOKUP($X827,サイズ別係数!$B:$E,4,FALSE)</f>
        <v>1</v>
      </c>
      <c r="AB827" s="10">
        <v>0</v>
      </c>
      <c r="AC827" s="6" t="str">
        <f ca="1">VLOOKUP($AB827,OFFSET([3]enemy_skill_sets!$B$2,0,0,COUNTA([3]enemy_skill_sets!$A:$A),MATCH(AC$1,[3]enemy_skill_sets!$1:$1,0)-MATCH($AB$1,[3]enemy_skill_sets!$1:$1,0)+1),MATCH(AC$1,[3]enemy_skill_sets!$1:$1,0)-MATCH($AB$1,[3]enemy_skill_sets!$1:$1,0)+1,FALSE)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7" s="67">
        <v>1</v>
      </c>
      <c r="AE827" s="67">
        <v>1</v>
      </c>
      <c r="AF827" s="68">
        <v>0</v>
      </c>
      <c r="AG827" s="99">
        <f ca="1">ROUND(VLOOKUP(1,enemy_base_stats!$A:$F,2,FALSE) * Y827* J827*O827*E827*S827*AD827*[2]ステータス!$B$2,0)</f>
        <v>4250</v>
      </c>
      <c r="AH827" s="99">
        <f ca="1">ROUND(VLOOKUP(1,enemy_base_stats!$A:$F,3,FALSE) * Z827*K827*P827*F827*T827*AE827 * W827*[2]ステータス!$C$2,0)</f>
        <v>407</v>
      </c>
      <c r="AI827" s="99">
        <f ca="1">ROUND(VLOOKUP(1,enemy_base_stats!$A:$F,4,FALSE) * AA827*L827*Q827*G827*U827*AF827*[2]ステータス!$D$2,0)</f>
        <v>0</v>
      </c>
      <c r="AJ827" s="99">
        <f ca="1">ROUND(VLOOKUP(100,enemy_base_stats!$A:$F,2,FALSE) * Y827* J827*O827*E827*S827*AD827*[2]ステータス!$B$2,0)</f>
        <v>172550</v>
      </c>
      <c r="AK827" s="99">
        <f ca="1">ROUND(VLOOKUP(100,enemy_base_stats!$A:$F,3,FALSE)* Z827* K827*P827*F827*T827*AE827 * W827*[2]ステータス!$C$2,0)</f>
        <v>16540</v>
      </c>
      <c r="AL827" s="99">
        <f ca="1">ROUND(VLOOKUP(100,enemy_base_stats!$A:$F,4,FALSE)* AA827* L827*Q827*G827*U827*AF827*[2]ステータス!$D$2,0)</f>
        <v>0</v>
      </c>
      <c r="AM827" s="97">
        <f ca="1">VLOOKUP(M827,[2]character_tribe_i18n!$A:$I,9,FALSE)</f>
        <v>480</v>
      </c>
      <c r="AN827" s="97">
        <v>0</v>
      </c>
      <c r="AO827" s="98">
        <v>0</v>
      </c>
      <c r="AP827" s="58" t="s">
        <v>72</v>
      </c>
      <c r="AQ827" s="34">
        <f t="shared" ca="1" si="48"/>
        <v>826</v>
      </c>
    </row>
    <row r="828" spans="1:43" ht="21" customHeight="1" x14ac:dyDescent="0.15">
      <c r="A828" s="7">
        <f t="shared" ca="1" si="45"/>
        <v>827</v>
      </c>
      <c r="B828" s="6" t="str">
        <f ca="1">VLOOKUP(A828,[2]characters!$A:$C,3,FALSE)</f>
        <v>光神しき彩雲龍 アルフヘイム</v>
      </c>
      <c r="C828" s="9">
        <f ca="1">VLOOKUP(A828,[2]characters!$A:$I,9,FALSE)</f>
        <v>6</v>
      </c>
      <c r="D828" s="9" t="str">
        <f ca="1">VLOOKUP(A828,[2]characters!$A:$H,8,FALSE)</f>
        <v>yellow</v>
      </c>
      <c r="E828" s="97">
        <f ca="1">VLOOKUP(D828,[2]属性!$A:$E,2,FALSE)</f>
        <v>0.98</v>
      </c>
      <c r="F828" s="97">
        <f ca="1">VLOOKUP(D828,[2]属性!$A:$E,3,FALSE)</f>
        <v>1.01</v>
      </c>
      <c r="G828" s="97">
        <f ca="1">VLOOKUP(D828,[2]属性!$A:$F,4,FALSE)</f>
        <v>1</v>
      </c>
      <c r="H828" s="9" t="str">
        <f ca="1">VLOOKUP(A828,[2]characters!$A:$K,11,FALSE)</f>
        <v>attack</v>
      </c>
      <c r="I828" s="6" t="str">
        <f ca="1">VLOOKUP(H828,[2]character_type_i18n!$A:$F,3,FALSE)</f>
        <v>攻撃タイプ</v>
      </c>
      <c r="J828" s="97">
        <f ca="1">VLOOKUP(H828,[2]character_type_i18n!$A:$F,4,FALSE)</f>
        <v>1</v>
      </c>
      <c r="K828" s="97">
        <f ca="1">VLOOKUP(H828,[2]character_type_i18n!$A:$F,5,FALSE)</f>
        <v>1.33</v>
      </c>
      <c r="L828" s="97">
        <f ca="1">VLOOKUP(H828,[2]character_type_i18n!$A:$F,6,FALSE)</f>
        <v>1</v>
      </c>
      <c r="M828" s="9" t="str">
        <f ca="1">VLOOKUP(A828,[2]characters!$A:$M,13,FALSE)</f>
        <v>dragon</v>
      </c>
      <c r="N828" s="6" t="str">
        <f ca="1">VLOOKUP(M828,[2]character_tribe_i18n!$A:$F,3,FALSE)</f>
        <v>ドラゴン</v>
      </c>
      <c r="O828" s="97">
        <f ca="1">VLOOKUP(M828,[2]character_tribe_i18n!$A:$F,4,FALSE)</f>
        <v>1.1499999999999999</v>
      </c>
      <c r="P828" s="97">
        <f ca="1">VLOOKUP(M828,[2]character_tribe_i18n!$A:$F,5,FALSE)</f>
        <v>1.1000000000000001</v>
      </c>
      <c r="Q828" s="97">
        <f ca="1">VLOOKUP(M828,[2]character_tribe_i18n!$A:$F,6,FALSE)</f>
        <v>1</v>
      </c>
      <c r="R828" s="98" t="s">
        <v>98</v>
      </c>
      <c r="S828" s="97">
        <f>VLOOKUP($R828,ラベル別係数!$A$1:$E$7,3,FALSE)</f>
        <v>5</v>
      </c>
      <c r="T828" s="97">
        <f>VLOOKUP($R828,ラベル別係数!$A$1:$E$7,4,FALSE)</f>
        <v>1.3</v>
      </c>
      <c r="U828" s="97">
        <f>VLOOKUP($R828,ラベル別係数!$A$1:$E$7,5,FALSE)</f>
        <v>0.8</v>
      </c>
      <c r="V828" s="98">
        <v>3</v>
      </c>
      <c r="W828" s="99">
        <f>VLOOKUP(V828,ターン数別攻撃係数!$A$1:$B$1000,2,FALSE)</f>
        <v>1</v>
      </c>
      <c r="X828" s="9">
        <f ca="1">VLOOKUP(C828,サイズ別係数!A$2:B$9,2,FALSE)</f>
        <v>60</v>
      </c>
      <c r="Y828" s="97">
        <f ca="1">VLOOKUP($X828,サイズ別係数!$B:$E,2,FALSE)</f>
        <v>1.7</v>
      </c>
      <c r="Z828" s="97">
        <f ca="1">VLOOKUP($X828,サイズ別係数!$B:$E,3,FALSE)</f>
        <v>1.4</v>
      </c>
      <c r="AA828" s="97">
        <f ca="1">VLOOKUP($X828,サイズ別係数!$B:$E,4,FALSE)</f>
        <v>1</v>
      </c>
      <c r="AB828" s="10">
        <v>0</v>
      </c>
      <c r="AC828" s="6" t="str">
        <f ca="1">VLOOKUP($AB828,OFFSET([3]enemy_skill_sets!$B$2,0,0,COUNTA([3]enemy_skill_sets!$A:$A),MATCH(AC$1,[3]enemy_skill_sets!$1:$1,0)-MATCH($AB$1,[3]enemy_skill_sets!$1:$1,0)+1),MATCH(AC$1,[3]enemy_skill_sets!$1:$1,0)-MATCH($AB$1,[3]enemy_skill_sets!$1:$1,0)+1,FALSE)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8" s="67">
        <v>1</v>
      </c>
      <c r="AE828" s="67">
        <v>1</v>
      </c>
      <c r="AF828" s="68">
        <v>0</v>
      </c>
      <c r="AG828" s="99">
        <f ca="1">ROUND(VLOOKUP(1,enemy_base_stats!$A:$F,2,FALSE) * Y828* J828*O828*E828*S828*AD828*[2]ステータス!$B$2,0)</f>
        <v>4790</v>
      </c>
      <c r="AH828" s="99">
        <f ca="1">ROUND(VLOOKUP(1,enemy_base_stats!$A:$F,3,FALSE) * Z828*K828*P828*F828*T828*AE828 * W828*[2]ステータス!$C$2,0)</f>
        <v>403</v>
      </c>
      <c r="AI828" s="99">
        <f ca="1">ROUND(VLOOKUP(1,enemy_base_stats!$A:$F,4,FALSE) * AA828*L828*Q828*G828*U828*AF828*[2]ステータス!$D$2,0)</f>
        <v>0</v>
      </c>
      <c r="AJ828" s="99">
        <f ca="1">ROUND(VLOOKUP(100,enemy_base_stats!$A:$F,2,FALSE) * Y828* J828*O828*E828*S828*AD828*[2]ステータス!$B$2,0)</f>
        <v>194464</v>
      </c>
      <c r="AK828" s="99">
        <f ca="1">ROUND(VLOOKUP(100,enemy_base_stats!$A:$F,3,FALSE)* Z828* K828*P828*F828*T828*AE828 * W828*[2]ステータス!$C$2,0)</f>
        <v>16378</v>
      </c>
      <c r="AL828" s="99">
        <f ca="1">ROUND(VLOOKUP(100,enemy_base_stats!$A:$F,4,FALSE)* AA828* L828*Q828*G828*U828*AF828*[2]ステータス!$D$2,0)</f>
        <v>0</v>
      </c>
      <c r="AM828" s="97">
        <f ca="1">VLOOKUP(M828,[2]character_tribe_i18n!$A:$I,9,FALSE)</f>
        <v>540</v>
      </c>
      <c r="AN828" s="97">
        <v>0</v>
      </c>
      <c r="AO828" s="98">
        <v>0</v>
      </c>
      <c r="AP828" s="58" t="s">
        <v>72</v>
      </c>
      <c r="AQ828" s="34">
        <f t="shared" ca="1" si="48"/>
        <v>827</v>
      </c>
    </row>
    <row r="829" spans="1:43" ht="21" customHeight="1" x14ac:dyDescent="0.15">
      <c r="A829" s="7">
        <f t="shared" ca="1" si="45"/>
        <v>828</v>
      </c>
      <c r="B829" s="6" t="str">
        <f ca="1">VLOOKUP(A829,[2]characters!$A:$C,3,FALSE)</f>
        <v>双究の覇翼 フギンとムニン</v>
      </c>
      <c r="C829" s="9">
        <f ca="1">VLOOKUP(A829,[2]characters!$A:$I,9,FALSE)</f>
        <v>6</v>
      </c>
      <c r="D829" s="9" t="str">
        <f ca="1">VLOOKUP(A829,[2]characters!$A:$H,8,FALSE)</f>
        <v>blue</v>
      </c>
      <c r="E829" s="97">
        <f ca="1">VLOOKUP(D829,[2]属性!$A:$E,2,FALSE)</f>
        <v>1</v>
      </c>
      <c r="F829" s="97">
        <f ca="1">VLOOKUP(D829,[2]属性!$A:$E,3,FALSE)</f>
        <v>0.98</v>
      </c>
      <c r="G829" s="97">
        <f ca="1">VLOOKUP(D829,[2]属性!$A:$F,4,FALSE)</f>
        <v>1</v>
      </c>
      <c r="H829" s="9" t="str">
        <f ca="1">VLOOKUP(A829,[2]characters!$A:$K,11,FALSE)</f>
        <v>technical</v>
      </c>
      <c r="I829" s="6" t="str">
        <f ca="1">VLOOKUP(H829,[2]character_type_i18n!$A:$F,3,FALSE)</f>
        <v>テクニカルタイプ</v>
      </c>
      <c r="J829" s="103">
        <v>1</v>
      </c>
      <c r="K829" s="103">
        <v>1.33</v>
      </c>
      <c r="L829" s="103">
        <v>1</v>
      </c>
      <c r="M829" s="9" t="str">
        <f ca="1">VLOOKUP(A829,[2]characters!$A:$M,13,FALSE)</f>
        <v>machine</v>
      </c>
      <c r="N829" s="6" t="str">
        <f ca="1">VLOOKUP(M829,[2]character_tribe_i18n!$A:$F,3,FALSE)</f>
        <v>マシン</v>
      </c>
      <c r="O829" s="97">
        <f ca="1">VLOOKUP(M829,[2]character_tribe_i18n!$A:$F,4,FALSE)</f>
        <v>1</v>
      </c>
      <c r="P829" s="97">
        <f ca="1">VLOOKUP(M829,[2]character_tribe_i18n!$A:$F,5,FALSE)</f>
        <v>1</v>
      </c>
      <c r="Q829" s="97">
        <f ca="1">VLOOKUP(M829,[2]character_tribe_i18n!$A:$F,6,FALSE)</f>
        <v>1</v>
      </c>
      <c r="R829" s="98" t="s">
        <v>98</v>
      </c>
      <c r="S829" s="97">
        <f>VLOOKUP($R829,ラベル別係数!$A$1:$E$7,3,FALSE)</f>
        <v>5</v>
      </c>
      <c r="T829" s="97">
        <f>VLOOKUP($R829,ラベル別係数!$A$1:$E$7,4,FALSE)</f>
        <v>1.3</v>
      </c>
      <c r="U829" s="97">
        <f>VLOOKUP($R829,ラベル別係数!$A$1:$E$7,5,FALSE)</f>
        <v>0.8</v>
      </c>
      <c r="V829" s="98">
        <v>3</v>
      </c>
      <c r="W829" s="99">
        <f>VLOOKUP(V829,ターン数別攻撃係数!$A$1:$B$1000,2,FALSE)</f>
        <v>1</v>
      </c>
      <c r="X829" s="9">
        <f ca="1">VLOOKUP(C829,サイズ別係数!A$2:B$9,2,FALSE)</f>
        <v>60</v>
      </c>
      <c r="Y829" s="97">
        <f ca="1">VLOOKUP($X829,サイズ別係数!$B:$E,2,FALSE)</f>
        <v>1.7</v>
      </c>
      <c r="Z829" s="97">
        <f ca="1">VLOOKUP($X829,サイズ別係数!$B:$E,3,FALSE)</f>
        <v>1.4</v>
      </c>
      <c r="AA829" s="97">
        <f ca="1">VLOOKUP($X829,サイズ別係数!$B:$E,4,FALSE)</f>
        <v>1</v>
      </c>
      <c r="AB829" s="10">
        <v>0</v>
      </c>
      <c r="AC829" s="6" t="str">
        <f ca="1">VLOOKUP($AB829,OFFSET([3]enemy_skill_sets!$B$2,0,0,COUNTA([3]enemy_skill_sets!$A:$A),MATCH(AC$1,[3]enemy_skill_sets!$1:$1,0)-MATCH($AB$1,[3]enemy_skill_sets!$1:$1,0)+1),MATCH(AC$1,[3]enemy_skill_sets!$1:$1,0)-MATCH($AB$1,[3]enemy_skill_sets!$1:$1,0)+1,FALSE)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29" s="67">
        <v>1</v>
      </c>
      <c r="AE829" s="67">
        <v>1</v>
      </c>
      <c r="AF829" s="68">
        <v>0</v>
      </c>
      <c r="AG829" s="99">
        <f ca="1">ROUND(VLOOKUP(1,enemy_base_stats!$A:$F,2,FALSE) * Y829* J829*O829*E829*S829*AD829*[2]ステータス!$B$2,0)</f>
        <v>4250</v>
      </c>
      <c r="AH829" s="99">
        <f ca="1">ROUND(VLOOKUP(1,enemy_base_stats!$A:$F,3,FALSE) * Z829*K829*P829*F829*T829*AE829 * W829*[2]ステータス!$C$2,0)</f>
        <v>356</v>
      </c>
      <c r="AI829" s="99">
        <f ca="1">ROUND(VLOOKUP(1,enemy_base_stats!$A:$F,4,FALSE) * AA829*L829*Q829*G829*U829*AF829*[2]ステータス!$D$2,0)</f>
        <v>0</v>
      </c>
      <c r="AJ829" s="99">
        <f ca="1">ROUND(VLOOKUP(100,enemy_base_stats!$A:$F,2,FALSE) * Y829* J829*O829*E829*S829*AD829*[2]ステータス!$B$2,0)</f>
        <v>172550</v>
      </c>
      <c r="AK829" s="99">
        <f ca="1">ROUND(VLOOKUP(100,enemy_base_stats!$A:$F,3,FALSE)* Z829* K829*P829*F829*T829*AE829 * W829*[2]ステータス!$C$2,0)</f>
        <v>14447</v>
      </c>
      <c r="AL829" s="99">
        <f ca="1">ROUND(VLOOKUP(100,enemy_base_stats!$A:$F,4,FALSE)* AA829* L829*Q829*G829*U829*AF829*[2]ステータス!$D$2,0)</f>
        <v>0</v>
      </c>
      <c r="AM829" s="97">
        <f ca="1">VLOOKUP(M829,[2]character_tribe_i18n!$A:$I,9,FALSE)</f>
        <v>520</v>
      </c>
      <c r="AN829" s="97">
        <v>0</v>
      </c>
      <c r="AO829" s="98">
        <v>0</v>
      </c>
      <c r="AP829" s="58" t="s">
        <v>72</v>
      </c>
      <c r="AQ829" s="34">
        <f t="shared" ca="1" si="48"/>
        <v>828</v>
      </c>
    </row>
    <row r="830" spans="1:43" ht="21" customHeight="1" x14ac:dyDescent="0.15">
      <c r="A830" s="7">
        <f t="shared" ca="1" si="45"/>
        <v>829</v>
      </c>
      <c r="B830" s="6" t="str">
        <f ca="1">VLOOKUP(A830,[2]characters!$A:$C,3,FALSE)</f>
        <v>銃刃乱舞の怪猫 クルミ</v>
      </c>
      <c r="C830" s="9">
        <f ca="1">VLOOKUP(A830,[2]characters!$A:$I,9,FALSE)</f>
        <v>6</v>
      </c>
      <c r="D830" s="9" t="str">
        <f ca="1">VLOOKUP(A830,[2]characters!$A:$H,8,FALSE)</f>
        <v>red</v>
      </c>
      <c r="E830" s="97">
        <f ca="1">VLOOKUP(D830,[2]属性!$A:$E,2,FALSE)</f>
        <v>1</v>
      </c>
      <c r="F830" s="97">
        <f ca="1">VLOOKUP(D830,[2]属性!$A:$E,3,FALSE)</f>
        <v>1.02</v>
      </c>
      <c r="G830" s="97">
        <f ca="1">VLOOKUP(D830,[2]属性!$A:$F,4,FALSE)</f>
        <v>1</v>
      </c>
      <c r="H830" s="9" t="str">
        <f ca="1">VLOOKUP(A830,[2]characters!$A:$K,11,FALSE)</f>
        <v>attack</v>
      </c>
      <c r="I830" s="6" t="str">
        <f ca="1">VLOOKUP(H830,[2]character_type_i18n!$A:$F,3,FALSE)</f>
        <v>攻撃タイプ</v>
      </c>
      <c r="J830" s="97">
        <f ca="1">VLOOKUP(H830,[2]character_type_i18n!$A:$F,4,FALSE)</f>
        <v>1</v>
      </c>
      <c r="K830" s="97">
        <f ca="1">VLOOKUP(H830,[2]character_type_i18n!$A:$F,5,FALSE)</f>
        <v>1.33</v>
      </c>
      <c r="L830" s="97">
        <f ca="1">VLOOKUP(H830,[2]character_type_i18n!$A:$F,6,FALSE)</f>
        <v>1</v>
      </c>
      <c r="M830" s="9" t="str">
        <f ca="1">VLOOKUP(A830,[2]characters!$A:$M,13,FALSE)</f>
        <v>unknown</v>
      </c>
      <c r="N830" s="6" t="str">
        <f ca="1">VLOOKUP(M830,[2]character_tribe_i18n!$A:$F,3,FALSE)</f>
        <v>Unknown</v>
      </c>
      <c r="O830" s="97">
        <f ca="1">VLOOKUP(M830,[2]character_tribe_i18n!$A:$F,4,FALSE)</f>
        <v>1</v>
      </c>
      <c r="P830" s="97">
        <f ca="1">VLOOKUP(M830,[2]character_tribe_i18n!$A:$F,5,FALSE)</f>
        <v>1</v>
      </c>
      <c r="Q830" s="97">
        <f ca="1">VLOOKUP(M830,[2]character_tribe_i18n!$A:$F,6,FALSE)</f>
        <v>1</v>
      </c>
      <c r="R830" s="98" t="s">
        <v>98</v>
      </c>
      <c r="S830" s="97">
        <f>VLOOKUP($R830,ラベル別係数!$A$1:$E$7,3,FALSE)</f>
        <v>5</v>
      </c>
      <c r="T830" s="97">
        <f>VLOOKUP($R830,ラベル別係数!$A$1:$E$7,4,FALSE)</f>
        <v>1.3</v>
      </c>
      <c r="U830" s="97">
        <f>VLOOKUP($R830,ラベル別係数!$A$1:$E$7,5,FALSE)</f>
        <v>0.8</v>
      </c>
      <c r="V830" s="98">
        <v>3</v>
      </c>
      <c r="W830" s="99">
        <f>VLOOKUP(V830,ターン数別攻撃係数!$A$1:$B$1000,2,FALSE)</f>
        <v>1</v>
      </c>
      <c r="X830" s="9">
        <f ca="1">VLOOKUP(C830,サイズ別係数!A$2:B$9,2,FALSE)</f>
        <v>60</v>
      </c>
      <c r="Y830" s="97">
        <f ca="1">VLOOKUP($X830,サイズ別係数!$B:$E,2,FALSE)</f>
        <v>1.7</v>
      </c>
      <c r="Z830" s="97">
        <f ca="1">VLOOKUP($X830,サイズ別係数!$B:$E,3,FALSE)</f>
        <v>1.4</v>
      </c>
      <c r="AA830" s="97">
        <f ca="1">VLOOKUP($X830,サイズ別係数!$B:$E,4,FALSE)</f>
        <v>1</v>
      </c>
      <c r="AB830" s="10">
        <v>0</v>
      </c>
      <c r="AC830" s="6" t="str">
        <f ca="1">VLOOKUP($AB830,OFFSET([3]enemy_skill_sets!$B$2,0,0,COUNTA([3]enemy_skill_sets!$A:$A),MATCH(AC$1,[3]enemy_skill_sets!$1:$1,0)-MATCH($AB$1,[3]enemy_skill_sets!$1:$1,0)+1),MATCH(AC$1,[3]enemy_skill_sets!$1:$1,0)-MATCH($AB$1,[3]enemy_skill_sets!$1:$1,0)+1,FALSE)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0" s="67">
        <v>1</v>
      </c>
      <c r="AE830" s="67">
        <v>1</v>
      </c>
      <c r="AF830" s="68">
        <v>0</v>
      </c>
      <c r="AG830" s="99">
        <f ca="1">ROUND(VLOOKUP(1,enemy_base_stats!$A:$F,2,FALSE) * Y830* J830*O830*E830*S830*AD830*[2]ステータス!$B$2,0)</f>
        <v>4250</v>
      </c>
      <c r="AH830" s="99">
        <f ca="1">ROUND(VLOOKUP(1,enemy_base_stats!$A:$F,3,FALSE) * Z830*K830*P830*F830*T830*AE830 * W830*[2]ステータス!$C$2,0)</f>
        <v>370</v>
      </c>
      <c r="AI830" s="99">
        <f ca="1">ROUND(VLOOKUP(1,enemy_base_stats!$A:$F,4,FALSE) * AA830*L830*Q830*G830*U830*AF830*[2]ステータス!$D$2,0)</f>
        <v>0</v>
      </c>
      <c r="AJ830" s="99">
        <f ca="1">ROUND(VLOOKUP(100,enemy_base_stats!$A:$F,2,FALSE) * Y830* J830*O830*E830*S830*AD830*[2]ステータス!$B$2,0)</f>
        <v>172550</v>
      </c>
      <c r="AK830" s="99">
        <f ca="1">ROUND(VLOOKUP(100,enemy_base_stats!$A:$F,3,FALSE)* Z830* K830*P830*F830*T830*AE830 * W830*[2]ステータス!$C$2,0)</f>
        <v>15036</v>
      </c>
      <c r="AL830" s="99">
        <f ca="1">ROUND(VLOOKUP(100,enemy_base_stats!$A:$F,4,FALSE)* AA830* L830*Q830*G830*U830*AF830*[2]ステータス!$D$2,0)</f>
        <v>0</v>
      </c>
      <c r="AM830" s="97">
        <f ca="1">VLOOKUP(M830,[2]character_tribe_i18n!$A:$I,9,FALSE)</f>
        <v>340</v>
      </c>
      <c r="AN830" s="97">
        <v>0</v>
      </c>
      <c r="AO830" s="98">
        <v>0</v>
      </c>
      <c r="AP830" s="58" t="s">
        <v>72</v>
      </c>
      <c r="AQ830" s="34">
        <f t="shared" ca="1" si="48"/>
        <v>829</v>
      </c>
    </row>
    <row r="831" spans="1:43" ht="21" customHeight="1" x14ac:dyDescent="0.15">
      <c r="A831" s="7">
        <f t="shared" ca="1" si="45"/>
        <v>830</v>
      </c>
      <c r="B831" s="6" t="str">
        <f ca="1">VLOOKUP(A831,[2]characters!$A:$C,3,FALSE)</f>
        <v>清兆の天狗礫 フウガ</v>
      </c>
      <c r="C831" s="9">
        <f ca="1">VLOOKUP(A831,[2]characters!$A:$I,9,FALSE)</f>
        <v>6</v>
      </c>
      <c r="D831" s="9" t="str">
        <f ca="1">VLOOKUP(A831,[2]characters!$A:$H,8,FALSE)</f>
        <v>green</v>
      </c>
      <c r="E831" s="97">
        <f ca="1">VLOOKUP(D831,[2]属性!$A:$E,2,FALSE)</f>
        <v>1.02</v>
      </c>
      <c r="F831" s="97">
        <f ca="1">VLOOKUP(D831,[2]属性!$A:$E,3,FALSE)</f>
        <v>0.98</v>
      </c>
      <c r="G831" s="97">
        <f ca="1">VLOOKUP(D831,[2]属性!$A:$F,4,FALSE)</f>
        <v>1</v>
      </c>
      <c r="H831" s="9" t="str">
        <f ca="1">VLOOKUP(A831,[2]characters!$A:$K,11,FALSE)</f>
        <v>balance</v>
      </c>
      <c r="I831" s="6" t="str">
        <f ca="1">VLOOKUP(H831,[2]character_type_i18n!$A:$F,3,FALSE)</f>
        <v>バランスタイプ</v>
      </c>
      <c r="J831" s="97">
        <f ca="1">VLOOKUP(H831,[2]character_type_i18n!$A:$F,4,FALSE)</f>
        <v>1</v>
      </c>
      <c r="K831" s="97">
        <f ca="1">VLOOKUP(H831,[2]character_type_i18n!$A:$F,5,FALSE)</f>
        <v>1</v>
      </c>
      <c r="L831" s="97">
        <f ca="1">VLOOKUP(H831,[2]character_type_i18n!$A:$F,6,FALSE)</f>
        <v>1</v>
      </c>
      <c r="M831" s="9" t="str">
        <f ca="1">VLOOKUP(A831,[2]characters!$A:$M,13,FALSE)</f>
        <v>unknown</v>
      </c>
      <c r="N831" s="6" t="str">
        <f ca="1">VLOOKUP(M831,[2]character_tribe_i18n!$A:$F,3,FALSE)</f>
        <v>Unknown</v>
      </c>
      <c r="O831" s="97">
        <f ca="1">VLOOKUP(M831,[2]character_tribe_i18n!$A:$F,4,FALSE)</f>
        <v>1</v>
      </c>
      <c r="P831" s="97">
        <f ca="1">VLOOKUP(M831,[2]character_tribe_i18n!$A:$F,5,FALSE)</f>
        <v>1</v>
      </c>
      <c r="Q831" s="97">
        <f ca="1">VLOOKUP(M831,[2]character_tribe_i18n!$A:$F,6,FALSE)</f>
        <v>1</v>
      </c>
      <c r="R831" s="98" t="s">
        <v>98</v>
      </c>
      <c r="S831" s="97">
        <f>VLOOKUP($R831,ラベル別係数!$A$1:$E$7,3,FALSE)</f>
        <v>5</v>
      </c>
      <c r="T831" s="97">
        <f>VLOOKUP($R831,ラベル別係数!$A$1:$E$7,4,FALSE)</f>
        <v>1.3</v>
      </c>
      <c r="U831" s="97">
        <f>VLOOKUP($R831,ラベル別係数!$A$1:$E$7,5,FALSE)</f>
        <v>0.8</v>
      </c>
      <c r="V831" s="98">
        <v>3</v>
      </c>
      <c r="W831" s="99">
        <f>VLOOKUP(V831,ターン数別攻撃係数!$A$1:$B$1000,2,FALSE)</f>
        <v>1</v>
      </c>
      <c r="X831" s="9">
        <f ca="1">VLOOKUP(C831,サイズ別係数!A$2:B$9,2,FALSE)</f>
        <v>60</v>
      </c>
      <c r="Y831" s="97">
        <f ca="1">VLOOKUP($X831,サイズ別係数!$B:$E,2,FALSE)</f>
        <v>1.7</v>
      </c>
      <c r="Z831" s="97">
        <f ca="1">VLOOKUP($X831,サイズ別係数!$B:$E,3,FALSE)</f>
        <v>1.4</v>
      </c>
      <c r="AA831" s="97">
        <f ca="1">VLOOKUP($X831,サイズ別係数!$B:$E,4,FALSE)</f>
        <v>1</v>
      </c>
      <c r="AB831" s="10">
        <v>0</v>
      </c>
      <c r="AC831" s="6" t="str">
        <f ca="1">VLOOKUP($AB831,OFFSET([3]enemy_skill_sets!$B$2,0,0,COUNTA([3]enemy_skill_sets!$A:$A),MATCH(AC$1,[3]enemy_skill_sets!$1:$1,0)-MATCH($AB$1,[3]enemy_skill_sets!$1:$1,0)+1),MATCH(AC$1,[3]enemy_skill_sets!$1:$1,0)-MATCH($AB$1,[3]enemy_skill_sets!$1:$1,0)+1,FALSE)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1" s="67">
        <v>1</v>
      </c>
      <c r="AE831" s="67">
        <v>1</v>
      </c>
      <c r="AF831" s="68">
        <v>0</v>
      </c>
      <c r="AG831" s="99">
        <f ca="1">ROUND(VLOOKUP(1,enemy_base_stats!$A:$F,2,FALSE) * Y831* J831*O831*E831*S831*AD831*[2]ステータス!$B$2,0)</f>
        <v>4335</v>
      </c>
      <c r="AH831" s="99">
        <f ca="1">ROUND(VLOOKUP(1,enemy_base_stats!$A:$F,3,FALSE) * Z831*K831*P831*F831*T831*AE831 * W831*[2]ステータス!$C$2,0)</f>
        <v>268</v>
      </c>
      <c r="AI831" s="99">
        <f ca="1">ROUND(VLOOKUP(1,enemy_base_stats!$A:$F,4,FALSE) * AA831*L831*Q831*G831*U831*AF831*[2]ステータス!$D$2,0)</f>
        <v>0</v>
      </c>
      <c r="AJ831" s="99">
        <f ca="1">ROUND(VLOOKUP(100,enemy_base_stats!$A:$F,2,FALSE) * Y831* J831*O831*E831*S831*AD831*[2]ステータス!$B$2,0)</f>
        <v>176001</v>
      </c>
      <c r="AK831" s="99">
        <f ca="1">ROUND(VLOOKUP(100,enemy_base_stats!$A:$F,3,FALSE)* Z831* K831*P831*F831*T831*AE831 * W831*[2]ステータス!$C$2,0)</f>
        <v>10862</v>
      </c>
      <c r="AL831" s="99">
        <f ca="1">ROUND(VLOOKUP(100,enemy_base_stats!$A:$F,4,FALSE)* AA831* L831*Q831*G831*U831*AF831*[2]ステータス!$D$2,0)</f>
        <v>0</v>
      </c>
      <c r="AM831" s="97">
        <f ca="1">VLOOKUP(M831,[2]character_tribe_i18n!$A:$I,9,FALSE)</f>
        <v>340</v>
      </c>
      <c r="AN831" s="97">
        <v>0</v>
      </c>
      <c r="AO831" s="98">
        <v>0</v>
      </c>
      <c r="AP831" s="58" t="s">
        <v>72</v>
      </c>
      <c r="AQ831" s="34">
        <f t="shared" ca="1" si="48"/>
        <v>830</v>
      </c>
    </row>
    <row r="832" spans="1:43" ht="21" customHeight="1" x14ac:dyDescent="0.15">
      <c r="A832" s="7">
        <f t="shared" ca="1" si="45"/>
        <v>831</v>
      </c>
      <c r="B832" s="6" t="str">
        <f ca="1">VLOOKUP(A832,[2]characters!$A:$C,3,FALSE)</f>
        <v>万鬼乱襲の大創帥 ショウキ</v>
      </c>
      <c r="C832" s="9">
        <f ca="1">VLOOKUP(A832,[2]characters!$A:$I,9,FALSE)</f>
        <v>6</v>
      </c>
      <c r="D832" s="9" t="str">
        <f ca="1">VLOOKUP(A832,[2]characters!$A:$H,8,FALSE)</f>
        <v>green</v>
      </c>
      <c r="E832" s="97">
        <f ca="1">VLOOKUP(D832,[2]属性!$A:$E,2,FALSE)</f>
        <v>1.02</v>
      </c>
      <c r="F832" s="97">
        <f ca="1">VLOOKUP(D832,[2]属性!$A:$E,3,FALSE)</f>
        <v>0.98</v>
      </c>
      <c r="G832" s="97">
        <f ca="1">VLOOKUP(D832,[2]属性!$A:$F,4,FALSE)</f>
        <v>1</v>
      </c>
      <c r="H832" s="9" t="str">
        <f ca="1">VLOOKUP(A832,[2]characters!$A:$K,11,FALSE)</f>
        <v>technical</v>
      </c>
      <c r="I832" s="6" t="str">
        <f ca="1">VLOOKUP(H832,[2]character_type_i18n!$A:$F,3,FALSE)</f>
        <v>テクニカルタイプ</v>
      </c>
      <c r="J832" s="97">
        <f ca="1">VLOOKUP(H832,[2]character_type_i18n!$A:$F,4,FALSE)</f>
        <v>0.9</v>
      </c>
      <c r="K832" s="97">
        <f ca="1">VLOOKUP(H832,[2]character_type_i18n!$A:$F,5,FALSE)</f>
        <v>0.9</v>
      </c>
      <c r="L832" s="97">
        <f ca="1">VLOOKUP(H832,[2]character_type_i18n!$A:$F,6,FALSE)</f>
        <v>1</v>
      </c>
      <c r="M832" s="9" t="str">
        <f ca="1">VLOOKUP(A832,[2]characters!$A:$M,13,FALSE)</f>
        <v>human</v>
      </c>
      <c r="N832" s="6" t="str">
        <f ca="1">VLOOKUP(M832,[2]character_tribe_i18n!$A:$F,3,FALSE)</f>
        <v>ヒューマン</v>
      </c>
      <c r="O832" s="97">
        <f ca="1">VLOOKUP(M832,[2]character_tribe_i18n!$A:$F,4,FALSE)</f>
        <v>0.94</v>
      </c>
      <c r="P832" s="97">
        <f ca="1">VLOOKUP(M832,[2]character_tribe_i18n!$A:$F,5,FALSE)</f>
        <v>0.99</v>
      </c>
      <c r="Q832" s="97">
        <f ca="1">VLOOKUP(M832,[2]character_tribe_i18n!$A:$F,6,FALSE)</f>
        <v>1</v>
      </c>
      <c r="R832" s="98" t="s">
        <v>98</v>
      </c>
      <c r="S832" s="97">
        <f>VLOOKUP($R832,ラベル別係数!$A$1:$E$7,3,FALSE)</f>
        <v>5</v>
      </c>
      <c r="T832" s="97">
        <f>VLOOKUP($R832,ラベル別係数!$A$1:$E$7,4,FALSE)</f>
        <v>1.3</v>
      </c>
      <c r="U832" s="97">
        <f>VLOOKUP($R832,ラベル別係数!$A$1:$E$7,5,FALSE)</f>
        <v>0.8</v>
      </c>
      <c r="V832" s="98">
        <v>1</v>
      </c>
      <c r="W832" s="99">
        <f>VLOOKUP(V832,ターン数別攻撃係数!$A$1:$B$1000,2,FALSE)</f>
        <v>0.55000000000000004</v>
      </c>
      <c r="X832" s="9">
        <f ca="1">VLOOKUP(C832,サイズ別係数!A$2:B$9,2,FALSE)</f>
        <v>60</v>
      </c>
      <c r="Y832" s="97">
        <f ca="1">VLOOKUP($X832,サイズ別係数!$B:$E,2,FALSE)</f>
        <v>1.7</v>
      </c>
      <c r="Z832" s="97">
        <f ca="1">VLOOKUP($X832,サイズ別係数!$B:$E,3,FALSE)</f>
        <v>1.4</v>
      </c>
      <c r="AA832" s="97">
        <f ca="1">VLOOKUP($X832,サイズ別係数!$B:$E,4,FALSE)</f>
        <v>1</v>
      </c>
      <c r="AB832" s="10">
        <v>0</v>
      </c>
      <c r="AC832" s="6" t="str">
        <f ca="1">VLOOKUP($AB832,OFFSET([3]enemy_skill_sets!$B$2,0,0,COUNTA([3]enemy_skill_sets!$A:$A),MATCH(AC$1,[3]enemy_skill_sets!$1:$1,0)-MATCH($AB$1,[3]enemy_skill_sets!$1:$1,0)+1),MATCH(AC$1,[3]enemy_skill_sets!$1:$1,0)-MATCH($AB$1,[3]enemy_skill_sets!$1:$1,0)+1,FALSE)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2" s="67">
        <v>1</v>
      </c>
      <c r="AE832" s="67">
        <v>1</v>
      </c>
      <c r="AF832" s="68">
        <v>0</v>
      </c>
      <c r="AG832" s="99">
        <f ca="1">ROUND(VLOOKUP(1,enemy_base_stats!$A:$F,2,FALSE) * Y832* J832*O832*E832*S832*AD832*[2]ステータス!$B$2,0)</f>
        <v>3667</v>
      </c>
      <c r="AH832" s="99">
        <f ca="1">ROUND(VLOOKUP(1,enemy_base_stats!$A:$F,3,FALSE) * Z832*K832*P832*F832*T832*AE832 * W832*[2]ステータス!$C$2,0)</f>
        <v>131</v>
      </c>
      <c r="AI832" s="99">
        <f ca="1">ROUND(VLOOKUP(1,enemy_base_stats!$A:$F,4,FALSE) * AA832*L832*Q832*G832*U832*AF832*[2]ステータス!$D$2,0)</f>
        <v>0</v>
      </c>
      <c r="AJ832" s="99">
        <f ca="1">ROUND(VLOOKUP(100,enemy_base_stats!$A:$F,2,FALSE) * Y832* J832*O832*E832*S832*AD832*[2]ステータス!$B$2,0)</f>
        <v>148897</v>
      </c>
      <c r="AK832" s="99">
        <f ca="1">ROUND(VLOOKUP(100,enemy_base_stats!$A:$F,3,FALSE)* Z832* K832*P832*F832*T832*AE832 * W832*[2]ステータス!$C$2,0)</f>
        <v>5323</v>
      </c>
      <c r="AL832" s="99">
        <f ca="1">ROUND(VLOOKUP(100,enemy_base_stats!$A:$F,4,FALSE)* AA832* L832*Q832*G832*U832*AF832*[2]ステータス!$D$2,0)</f>
        <v>0</v>
      </c>
      <c r="AM832" s="97">
        <f ca="1">VLOOKUP(M832,[2]character_tribe_i18n!$A:$I,9,FALSE)</f>
        <v>400</v>
      </c>
      <c r="AN832" s="97">
        <v>0</v>
      </c>
      <c r="AO832" s="98">
        <v>0</v>
      </c>
      <c r="AP832" s="58" t="s">
        <v>72</v>
      </c>
      <c r="AQ832" s="34">
        <f t="shared" ca="1" si="48"/>
        <v>831</v>
      </c>
    </row>
    <row r="833" spans="1:43" ht="21" customHeight="1" x14ac:dyDescent="0.15">
      <c r="A833" s="7">
        <f t="shared" ca="1" si="45"/>
        <v>832</v>
      </c>
      <c r="B833" s="6" t="str">
        <f ca="1">VLOOKUP(A833,[2]characters!$A:$C,3,FALSE)</f>
        <v>狂花吹雪く旋獄鬼神 ヨミ</v>
      </c>
      <c r="C833" s="9">
        <f ca="1">VLOOKUP(A833,[2]characters!$A:$I,9,FALSE)</f>
        <v>6</v>
      </c>
      <c r="D833" s="9" t="str">
        <f ca="1">VLOOKUP(A833,[2]characters!$A:$H,8,FALSE)</f>
        <v>yellow</v>
      </c>
      <c r="E833" s="97">
        <f ca="1">VLOOKUP(D833,[2]属性!$A:$E,2,FALSE)</f>
        <v>0.98</v>
      </c>
      <c r="F833" s="97">
        <f ca="1">VLOOKUP(D833,[2]属性!$A:$E,3,FALSE)</f>
        <v>1.01</v>
      </c>
      <c r="G833" s="97">
        <f ca="1">VLOOKUP(D833,[2]属性!$A:$F,4,FALSE)</f>
        <v>1</v>
      </c>
      <c r="H833" s="9" t="str">
        <f ca="1">VLOOKUP(A833,[2]characters!$A:$K,11,FALSE)</f>
        <v>attack</v>
      </c>
      <c r="I833" s="6" t="str">
        <f ca="1">VLOOKUP(H833,[2]character_type_i18n!$A:$F,3,FALSE)</f>
        <v>攻撃タイプ</v>
      </c>
      <c r="J833" s="97">
        <f ca="1">VLOOKUP(H833,[2]character_type_i18n!$A:$F,4,FALSE)</f>
        <v>1</v>
      </c>
      <c r="K833" s="97">
        <f ca="1">VLOOKUP(H833,[2]character_type_i18n!$A:$F,5,FALSE)</f>
        <v>1.33</v>
      </c>
      <c r="L833" s="97">
        <f ca="1">VLOOKUP(H833,[2]character_type_i18n!$A:$F,6,FALSE)</f>
        <v>1</v>
      </c>
      <c r="M833" s="9" t="str">
        <f ca="1">VLOOKUP(A833,[2]characters!$A:$M,13,FALSE)</f>
        <v>god</v>
      </c>
      <c r="N833" s="6" t="str">
        <f ca="1">VLOOKUP(M833,[2]character_tribe_i18n!$A:$F,3,FALSE)</f>
        <v>ゴッド</v>
      </c>
      <c r="O833" s="97">
        <f ca="1">VLOOKUP(M833,[2]character_tribe_i18n!$A:$F,4,FALSE)</f>
        <v>0.96</v>
      </c>
      <c r="P833" s="97">
        <f ca="1">VLOOKUP(M833,[2]character_tribe_i18n!$A:$F,5,FALSE)</f>
        <v>1.02</v>
      </c>
      <c r="Q833" s="97">
        <f ca="1">VLOOKUP(M833,[2]character_tribe_i18n!$A:$F,6,FALSE)</f>
        <v>1</v>
      </c>
      <c r="R833" s="98" t="s">
        <v>98</v>
      </c>
      <c r="S833" s="97">
        <f>VLOOKUP($R833,ラベル別係数!$A$1:$E$7,3,FALSE)</f>
        <v>5</v>
      </c>
      <c r="T833" s="97">
        <f>VLOOKUP($R833,ラベル別係数!$A$1:$E$7,4,FALSE)</f>
        <v>1.3</v>
      </c>
      <c r="U833" s="97">
        <f>VLOOKUP($R833,ラベル別係数!$A$1:$E$7,5,FALSE)</f>
        <v>0.8</v>
      </c>
      <c r="V833" s="98">
        <v>1</v>
      </c>
      <c r="W833" s="99">
        <f>VLOOKUP(V833,ターン数別攻撃係数!$A$1:$B$1000,2,FALSE)</f>
        <v>0.55000000000000004</v>
      </c>
      <c r="X833" s="9">
        <f ca="1">VLOOKUP(C833,サイズ別係数!A$2:B$9,2,FALSE)</f>
        <v>60</v>
      </c>
      <c r="Y833" s="97">
        <f ca="1">VLOOKUP($X833,サイズ別係数!$B:$E,2,FALSE)</f>
        <v>1.7</v>
      </c>
      <c r="Z833" s="97">
        <f ca="1">VLOOKUP($X833,サイズ別係数!$B:$E,3,FALSE)</f>
        <v>1.4</v>
      </c>
      <c r="AA833" s="97">
        <f ca="1">VLOOKUP($X833,サイズ別係数!$B:$E,4,FALSE)</f>
        <v>1</v>
      </c>
      <c r="AB833" s="10">
        <v>0</v>
      </c>
      <c r="AC833" s="6" t="str">
        <f ca="1">VLOOKUP($AB833,OFFSET([3]enemy_skill_sets!$B$2,0,0,COUNTA([3]enemy_skill_sets!$A:$A),MATCH(AC$1,[3]enemy_skill_sets!$1:$1,0)-MATCH($AB$1,[3]enemy_skill_sets!$1:$1,0)+1),MATCH(AC$1,[3]enemy_skill_sets!$1:$1,0)-MATCH($AB$1,[3]enemy_skill_sets!$1:$1,0)+1,FALSE)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3" s="67">
        <v>1</v>
      </c>
      <c r="AE833" s="67">
        <v>1</v>
      </c>
      <c r="AF833" s="68">
        <v>0</v>
      </c>
      <c r="AG833" s="99">
        <f ca="1">ROUND(VLOOKUP(1,enemy_base_stats!$A:$F,2,FALSE) * Y833* J833*O833*E833*S833*AD833*[2]ステータス!$B$2,0)</f>
        <v>3998</v>
      </c>
      <c r="AH833" s="99">
        <f ca="1">ROUND(VLOOKUP(1,enemy_base_stats!$A:$F,3,FALSE) * Z833*K833*P833*F833*T833*AE833 * W833*[2]ステータス!$C$2,0)</f>
        <v>206</v>
      </c>
      <c r="AI833" s="99">
        <f ca="1">ROUND(VLOOKUP(1,enemy_base_stats!$A:$F,4,FALSE) * AA833*L833*Q833*G833*U833*AF833*[2]ステータス!$D$2,0)</f>
        <v>0</v>
      </c>
      <c r="AJ833" s="99">
        <f ca="1">ROUND(VLOOKUP(100,enemy_base_stats!$A:$F,2,FALSE) * Y833* J833*O833*E833*S833*AD833*[2]ステータス!$B$2,0)</f>
        <v>162335</v>
      </c>
      <c r="AK833" s="99">
        <f ca="1">ROUND(VLOOKUP(100,enemy_base_stats!$A:$F,3,FALSE)* Z833* K833*P833*F833*T833*AE833 * W833*[2]ステータス!$C$2,0)</f>
        <v>8353</v>
      </c>
      <c r="AL833" s="99">
        <f ca="1">ROUND(VLOOKUP(100,enemy_base_stats!$A:$F,4,FALSE)* AA833* L833*Q833*G833*U833*AF833*[2]ステータス!$D$2,0)</f>
        <v>0</v>
      </c>
      <c r="AM833" s="97">
        <f ca="1">VLOOKUP(M833,[2]character_tribe_i18n!$A:$I,9,FALSE)</f>
        <v>680</v>
      </c>
      <c r="AN833" s="97">
        <v>0</v>
      </c>
      <c r="AO833" s="98">
        <v>0</v>
      </c>
      <c r="AP833" s="58" t="s">
        <v>72</v>
      </c>
      <c r="AQ833" s="34">
        <f t="shared" ca="1" si="48"/>
        <v>832</v>
      </c>
    </row>
    <row r="834" spans="1:43" ht="21" customHeight="1" x14ac:dyDescent="0.15">
      <c r="A834" s="7">
        <f t="shared" ca="1" si="45"/>
        <v>833</v>
      </c>
      <c r="B834" s="6" t="str">
        <f ca="1">VLOOKUP(A834,[2]characters!$A:$C,3,FALSE)</f>
        <v>維界の復世神 ヴィシュヌ</v>
      </c>
      <c r="C834" s="9">
        <f ca="1">VLOOKUP(A834,[2]characters!$A:$I,9,FALSE)</f>
        <v>6</v>
      </c>
      <c r="D834" s="9" t="str">
        <f ca="1">VLOOKUP(A834,[2]characters!$A:$H,8,FALSE)</f>
        <v>yellow</v>
      </c>
      <c r="E834" s="97">
        <f ca="1">VLOOKUP(D834,[2]属性!$A:$E,2,FALSE)</f>
        <v>0.98</v>
      </c>
      <c r="F834" s="97">
        <f ca="1">VLOOKUP(D834,[2]属性!$A:$E,3,FALSE)</f>
        <v>1.01</v>
      </c>
      <c r="G834" s="97">
        <f ca="1">VLOOKUP(D834,[2]属性!$A:$F,4,FALSE)</f>
        <v>1</v>
      </c>
      <c r="H834" s="9" t="str">
        <f ca="1">VLOOKUP(A834,[2]characters!$A:$K,11,FALSE)</f>
        <v>attack</v>
      </c>
      <c r="I834" s="6" t="str">
        <f ca="1">VLOOKUP(H834,[2]character_type_i18n!$A:$F,3,FALSE)</f>
        <v>攻撃タイプ</v>
      </c>
      <c r="J834" s="97">
        <f ca="1">VLOOKUP(H834,[2]character_type_i18n!$A:$F,4,FALSE)</f>
        <v>1</v>
      </c>
      <c r="K834" s="97">
        <f ca="1">VLOOKUP(H834,[2]character_type_i18n!$A:$F,5,FALSE)</f>
        <v>1.33</v>
      </c>
      <c r="L834" s="97">
        <f ca="1">VLOOKUP(H834,[2]character_type_i18n!$A:$F,6,FALSE)</f>
        <v>1</v>
      </c>
      <c r="M834" s="9" t="str">
        <f ca="1">VLOOKUP(A834,[2]characters!$A:$M,13,FALSE)</f>
        <v>god</v>
      </c>
      <c r="N834" s="6" t="str">
        <f ca="1">VLOOKUP(M834,[2]character_tribe_i18n!$A:$F,3,FALSE)</f>
        <v>ゴッド</v>
      </c>
      <c r="O834" s="97">
        <f ca="1">VLOOKUP(M834,[2]character_tribe_i18n!$A:$F,4,FALSE)</f>
        <v>0.96</v>
      </c>
      <c r="P834" s="97">
        <f ca="1">VLOOKUP(M834,[2]character_tribe_i18n!$A:$F,5,FALSE)</f>
        <v>1.02</v>
      </c>
      <c r="Q834" s="97">
        <f ca="1">VLOOKUP(M834,[2]character_tribe_i18n!$A:$F,6,FALSE)</f>
        <v>1</v>
      </c>
      <c r="R834" s="98" t="s">
        <v>98</v>
      </c>
      <c r="S834" s="97">
        <f>VLOOKUP($R834,ラベル別係数!$A$1:$E$7,3,FALSE)</f>
        <v>5</v>
      </c>
      <c r="T834" s="97">
        <f>VLOOKUP($R834,ラベル別係数!$A$1:$E$7,4,FALSE)</f>
        <v>1.3</v>
      </c>
      <c r="U834" s="97">
        <f>VLOOKUP($R834,ラベル別係数!$A$1:$E$7,5,FALSE)</f>
        <v>0.8</v>
      </c>
      <c r="V834" s="98">
        <v>3</v>
      </c>
      <c r="W834" s="99">
        <f>VLOOKUP(V834,ターン数別攻撃係数!$A$1:$B$1000,2,FALSE)</f>
        <v>1</v>
      </c>
      <c r="X834" s="9">
        <f ca="1">VLOOKUP(C834,サイズ別係数!A$2:B$9,2,FALSE)</f>
        <v>60</v>
      </c>
      <c r="Y834" s="97">
        <f ca="1">VLOOKUP($X834,サイズ別係数!$B:$E,2,FALSE)</f>
        <v>1.7</v>
      </c>
      <c r="Z834" s="97">
        <f ca="1">VLOOKUP($X834,サイズ別係数!$B:$E,3,FALSE)</f>
        <v>1.4</v>
      </c>
      <c r="AA834" s="97">
        <f ca="1">VLOOKUP($X834,サイズ別係数!$B:$E,4,FALSE)</f>
        <v>1</v>
      </c>
      <c r="AB834" s="10">
        <v>0</v>
      </c>
      <c r="AC834" s="6" t="str">
        <f ca="1">VLOOKUP($AB834,OFFSET([3]enemy_skill_sets!$B$2,0,0,COUNTA([3]enemy_skill_sets!$A:$A),MATCH(AC$1,[3]enemy_skill_sets!$1:$1,0)-MATCH($AB$1,[3]enemy_skill_sets!$1:$1,0)+1),MATCH(AC$1,[3]enemy_skill_sets!$1:$1,0)-MATCH($AB$1,[3]enemy_skill_sets!$1:$1,0)+1,FALSE)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4" s="67">
        <v>1</v>
      </c>
      <c r="AE834" s="67">
        <v>1</v>
      </c>
      <c r="AF834" s="68">
        <v>0</v>
      </c>
      <c r="AG834" s="99">
        <f ca="1">ROUND(VLOOKUP(1,enemy_base_stats!$A:$F,2,FALSE) * Y834* J834*O834*E834*S834*AD834*[2]ステータス!$B$2,0)</f>
        <v>3998</v>
      </c>
      <c r="AH834" s="99">
        <f ca="1">ROUND(VLOOKUP(1,enemy_base_stats!$A:$F,3,FALSE) * Z834*K834*P834*F834*T834*AE834 * W834*[2]ステータス!$C$2,0)</f>
        <v>374</v>
      </c>
      <c r="AI834" s="99">
        <f ca="1">ROUND(VLOOKUP(1,enemy_base_stats!$A:$F,4,FALSE) * AA834*L834*Q834*G834*U834*AF834*[2]ステータス!$D$2,0)</f>
        <v>0</v>
      </c>
      <c r="AJ834" s="99">
        <f ca="1">ROUND(VLOOKUP(100,enemy_base_stats!$A:$F,2,FALSE) * Y834* J834*O834*E834*S834*AD834*[2]ステータス!$B$2,0)</f>
        <v>162335</v>
      </c>
      <c r="AK834" s="99">
        <f ca="1">ROUND(VLOOKUP(100,enemy_base_stats!$A:$F,3,FALSE)* Z834* K834*P834*F834*T834*AE834 * W834*[2]ステータス!$C$2,0)</f>
        <v>15187</v>
      </c>
      <c r="AL834" s="99">
        <f ca="1">ROUND(VLOOKUP(100,enemy_base_stats!$A:$F,4,FALSE)* AA834* L834*Q834*G834*U834*AF834*[2]ステータス!$D$2,0)</f>
        <v>0</v>
      </c>
      <c r="AM834" s="97">
        <f ca="1">VLOOKUP(M834,[2]character_tribe_i18n!$A:$I,9,FALSE)</f>
        <v>680</v>
      </c>
      <c r="AN834" s="97">
        <v>0</v>
      </c>
      <c r="AO834" s="98">
        <v>0</v>
      </c>
      <c r="AP834" s="58" t="s">
        <v>72</v>
      </c>
      <c r="AQ834" s="34">
        <f t="shared" ca="1" si="48"/>
        <v>833</v>
      </c>
    </row>
    <row r="835" spans="1:43" ht="21" customHeight="1" x14ac:dyDescent="0.15">
      <c r="A835" s="7">
        <f t="shared" ref="A835:A898" ca="1" si="49">INDIRECT(ADDRESS(ROW(),COLUMN(),1,TRUE,"[CharacterMasterData.xlsm]characters"))</f>
        <v>834</v>
      </c>
      <c r="B835" s="6" t="str">
        <f ca="1">VLOOKUP(A835,[2]characters!$A:$C,3,FALSE)</f>
        <v>破界する裁滅神 シヴァ</v>
      </c>
      <c r="C835" s="9">
        <f ca="1">VLOOKUP(A835,[2]characters!$A:$I,9,FALSE)</f>
        <v>6</v>
      </c>
      <c r="D835" s="9" t="str">
        <f ca="1">VLOOKUP(A835,[2]characters!$A:$H,8,FALSE)</f>
        <v>blue</v>
      </c>
      <c r="E835" s="97">
        <f ca="1">VLOOKUP(D835,[2]属性!$A:$E,2,FALSE)</f>
        <v>1</v>
      </c>
      <c r="F835" s="97">
        <f ca="1">VLOOKUP(D835,[2]属性!$A:$E,3,FALSE)</f>
        <v>0.98</v>
      </c>
      <c r="G835" s="97">
        <f ca="1">VLOOKUP(D835,[2]属性!$A:$F,4,FALSE)</f>
        <v>1</v>
      </c>
      <c r="H835" s="9" t="str">
        <f ca="1">VLOOKUP(A835,[2]characters!$A:$K,11,FALSE)</f>
        <v>balance</v>
      </c>
      <c r="I835" s="6" t="str">
        <f ca="1">VLOOKUP(H835,[2]character_type_i18n!$A:$F,3,FALSE)</f>
        <v>バランスタイプ</v>
      </c>
      <c r="J835" s="97">
        <v>1</v>
      </c>
      <c r="K835" s="97">
        <v>1.33</v>
      </c>
      <c r="L835" s="97">
        <f ca="1">VLOOKUP(H835,[2]character_type_i18n!$A:$F,6,FALSE)</f>
        <v>1</v>
      </c>
      <c r="M835" s="9" t="str">
        <f ca="1">VLOOKUP(A835,[2]characters!$A:$M,13,FALSE)</f>
        <v>god</v>
      </c>
      <c r="N835" s="6" t="str">
        <f ca="1">VLOOKUP(M835,[2]character_tribe_i18n!$A:$F,3,FALSE)</f>
        <v>ゴッド</v>
      </c>
      <c r="O835" s="97">
        <f ca="1">VLOOKUP(M835,[2]character_tribe_i18n!$A:$F,4,FALSE)</f>
        <v>0.96</v>
      </c>
      <c r="P835" s="97">
        <f ca="1">VLOOKUP(M835,[2]character_tribe_i18n!$A:$F,5,FALSE)</f>
        <v>1.02</v>
      </c>
      <c r="Q835" s="97">
        <f ca="1">VLOOKUP(M835,[2]character_tribe_i18n!$A:$F,6,FALSE)</f>
        <v>1</v>
      </c>
      <c r="R835" s="98" t="s">
        <v>98</v>
      </c>
      <c r="S835" s="97">
        <f>VLOOKUP($R835,ラベル別係数!$A$1:$E$7,3,FALSE)</f>
        <v>5</v>
      </c>
      <c r="T835" s="97">
        <f>VLOOKUP($R835,ラベル別係数!$A$1:$E$7,4,FALSE)</f>
        <v>1.3</v>
      </c>
      <c r="U835" s="97">
        <f>VLOOKUP($R835,ラベル別係数!$A$1:$E$7,5,FALSE)</f>
        <v>0.8</v>
      </c>
      <c r="V835" s="98">
        <v>3</v>
      </c>
      <c r="W835" s="99">
        <f>VLOOKUP(V835,ターン数別攻撃係数!$A$1:$B$1000,2,FALSE)</f>
        <v>1</v>
      </c>
      <c r="X835" s="9">
        <f ca="1">VLOOKUP(C835,サイズ別係数!A$2:B$9,2,FALSE)</f>
        <v>60</v>
      </c>
      <c r="Y835" s="97">
        <f ca="1">VLOOKUP($X835,サイズ別係数!$B:$E,2,FALSE)</f>
        <v>1.7</v>
      </c>
      <c r="Z835" s="97">
        <f ca="1">VLOOKUP($X835,サイズ別係数!$B:$E,3,FALSE)</f>
        <v>1.4</v>
      </c>
      <c r="AA835" s="97">
        <f ca="1">VLOOKUP($X835,サイズ別係数!$B:$E,4,FALSE)</f>
        <v>1</v>
      </c>
      <c r="AB835" s="10">
        <v>0</v>
      </c>
      <c r="AC835" s="6" t="str">
        <f ca="1">VLOOKUP($AB835,OFFSET([3]enemy_skill_sets!$B$2,0,0,COUNTA([3]enemy_skill_sets!$A:$A),MATCH(AC$1,[3]enemy_skill_sets!$1:$1,0)-MATCH($AB$1,[3]enemy_skill_sets!$1:$1,0)+1),MATCH(AC$1,[3]enemy_skill_sets!$1:$1,0)-MATCH($AB$1,[3]enemy_skill_sets!$1:$1,0)+1,FALSE)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5" s="67">
        <v>1</v>
      </c>
      <c r="AE835" s="67">
        <v>1</v>
      </c>
      <c r="AF835" s="68">
        <v>0</v>
      </c>
      <c r="AG835" s="99">
        <f ca="1">ROUND(VLOOKUP(1,enemy_base_stats!$A:$F,2,FALSE) * Y835* J835*O835*E835*S835*AD835*[2]ステータス!$B$2,0)</f>
        <v>4080</v>
      </c>
      <c r="AH835" s="99">
        <f ca="1">ROUND(VLOOKUP(1,enemy_base_stats!$A:$F,3,FALSE) * Z835*K835*P835*F835*T835*AE835 * W835*[2]ステータス!$C$2,0)</f>
        <v>363</v>
      </c>
      <c r="AI835" s="99">
        <f ca="1">ROUND(VLOOKUP(1,enemy_base_stats!$A:$F,4,FALSE) * AA835*L835*Q835*G835*U835*AF835*[2]ステータス!$D$2,0)</f>
        <v>0</v>
      </c>
      <c r="AJ835" s="99">
        <f ca="1">ROUND(VLOOKUP(100,enemy_base_stats!$A:$F,2,FALSE) * Y835* J835*O835*E835*S835*AD835*[2]ステータス!$B$2,0)</f>
        <v>165648</v>
      </c>
      <c r="AK835" s="99">
        <f ca="1">ROUND(VLOOKUP(100,enemy_base_stats!$A:$F,3,FALSE)* Z835* K835*P835*F835*T835*AE835 * W835*[2]ステータス!$C$2,0)</f>
        <v>14736</v>
      </c>
      <c r="AL835" s="99">
        <f ca="1">ROUND(VLOOKUP(100,enemy_base_stats!$A:$F,4,FALSE)* AA835* L835*Q835*G835*U835*AF835*[2]ステータス!$D$2,0)</f>
        <v>0</v>
      </c>
      <c r="AM835" s="97">
        <f ca="1">VLOOKUP(M835,[2]character_tribe_i18n!$A:$I,9,FALSE)</f>
        <v>680</v>
      </c>
      <c r="AN835" s="97">
        <v>0</v>
      </c>
      <c r="AO835" s="98">
        <v>0</v>
      </c>
      <c r="AP835" s="58" t="s">
        <v>72</v>
      </c>
      <c r="AQ835" s="34">
        <f t="shared" ca="1" si="48"/>
        <v>834</v>
      </c>
    </row>
    <row r="836" spans="1:43" ht="21" customHeight="1" x14ac:dyDescent="0.15">
      <c r="A836" s="7">
        <f t="shared" ca="1" si="49"/>
        <v>835</v>
      </c>
      <c r="B836" s="6" t="str">
        <f ca="1">VLOOKUP(A836,[2]characters!$A:$C,3,FALSE)</f>
        <v>流奏の鳳楽神 サラスヴァティ</v>
      </c>
      <c r="C836" s="9">
        <f ca="1">VLOOKUP(A836,[2]characters!$A:$I,9,FALSE)</f>
        <v>6</v>
      </c>
      <c r="D836" s="9" t="str">
        <f ca="1">VLOOKUP(A836,[2]characters!$A:$H,8,FALSE)</f>
        <v>blue</v>
      </c>
      <c r="E836" s="97">
        <f ca="1">VLOOKUP(D836,[2]属性!$A:$E,2,FALSE)</f>
        <v>1</v>
      </c>
      <c r="F836" s="97">
        <f ca="1">VLOOKUP(D836,[2]属性!$A:$E,3,FALSE)</f>
        <v>0.98</v>
      </c>
      <c r="G836" s="97">
        <f ca="1">VLOOKUP(D836,[2]属性!$A:$F,4,FALSE)</f>
        <v>1</v>
      </c>
      <c r="H836" s="9" t="str">
        <f ca="1">VLOOKUP(A836,[2]characters!$A:$K,11,FALSE)</f>
        <v>balance</v>
      </c>
      <c r="I836" s="6" t="str">
        <f ca="1">VLOOKUP(H836,[2]character_type_i18n!$A:$F,3,FALSE)</f>
        <v>バランスタイプ</v>
      </c>
      <c r="J836" s="97">
        <f ca="1">VLOOKUP(H836,[2]character_type_i18n!$A:$F,4,FALSE)</f>
        <v>1</v>
      </c>
      <c r="K836" s="97">
        <f ca="1">VLOOKUP(H836,[2]character_type_i18n!$A:$F,5,FALSE)</f>
        <v>1</v>
      </c>
      <c r="L836" s="97">
        <f ca="1">VLOOKUP(H836,[2]character_type_i18n!$A:$F,6,FALSE)</f>
        <v>1</v>
      </c>
      <c r="M836" s="9" t="str">
        <f ca="1">VLOOKUP(A836,[2]characters!$A:$M,13,FALSE)</f>
        <v>god</v>
      </c>
      <c r="N836" s="6" t="str">
        <f ca="1">VLOOKUP(M836,[2]character_tribe_i18n!$A:$F,3,FALSE)</f>
        <v>ゴッド</v>
      </c>
      <c r="O836" s="97">
        <f ca="1">VLOOKUP(M836,[2]character_tribe_i18n!$A:$F,4,FALSE)</f>
        <v>0.96</v>
      </c>
      <c r="P836" s="97">
        <f ca="1">VLOOKUP(M836,[2]character_tribe_i18n!$A:$F,5,FALSE)</f>
        <v>1.02</v>
      </c>
      <c r="Q836" s="97">
        <f ca="1">VLOOKUP(M836,[2]character_tribe_i18n!$A:$F,6,FALSE)</f>
        <v>1</v>
      </c>
      <c r="R836" s="98" t="s">
        <v>98</v>
      </c>
      <c r="S836" s="97">
        <f>VLOOKUP($R836,ラベル別係数!$A$1:$E$7,3,FALSE)</f>
        <v>5</v>
      </c>
      <c r="T836" s="97">
        <f>VLOOKUP($R836,ラベル別係数!$A$1:$E$7,4,FALSE)</f>
        <v>1.3</v>
      </c>
      <c r="U836" s="97">
        <f>VLOOKUP($R836,ラベル別係数!$A$1:$E$7,5,FALSE)</f>
        <v>0.8</v>
      </c>
      <c r="V836" s="98">
        <v>3</v>
      </c>
      <c r="W836" s="99">
        <f>VLOOKUP(V836,ターン数別攻撃係数!$A$1:$B$1000,2,FALSE)</f>
        <v>1</v>
      </c>
      <c r="X836" s="9">
        <f ca="1">VLOOKUP(C836,サイズ別係数!A$2:B$9,2,FALSE)</f>
        <v>60</v>
      </c>
      <c r="Y836" s="97">
        <f ca="1">VLOOKUP($X836,サイズ別係数!$B:$E,2,FALSE)</f>
        <v>1.7</v>
      </c>
      <c r="Z836" s="97">
        <f ca="1">VLOOKUP($X836,サイズ別係数!$B:$E,3,FALSE)</f>
        <v>1.4</v>
      </c>
      <c r="AA836" s="97">
        <f ca="1">VLOOKUP($X836,サイズ別係数!$B:$E,4,FALSE)</f>
        <v>1</v>
      </c>
      <c r="AB836" s="10">
        <v>0</v>
      </c>
      <c r="AC836" s="6" t="str">
        <f ca="1">VLOOKUP($AB836,OFFSET([3]enemy_skill_sets!$B$2,0,0,COUNTA([3]enemy_skill_sets!$A:$A),MATCH(AC$1,[3]enemy_skill_sets!$1:$1,0)-MATCH($AB$1,[3]enemy_skill_sets!$1:$1,0)+1),MATCH(AC$1,[3]enemy_skill_sets!$1:$1,0)-MATCH($AB$1,[3]enemy_skill_sets!$1:$1,0)+1,FALSE)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6" s="67">
        <v>1</v>
      </c>
      <c r="AE836" s="67">
        <v>1</v>
      </c>
      <c r="AF836" s="68">
        <v>0</v>
      </c>
      <c r="AG836" s="99">
        <f ca="1">ROUND(VLOOKUP(1,enemy_base_stats!$A:$F,2,FALSE) * Y836* J836*O836*E836*S836*AD836*[2]ステータス!$B$2,0)</f>
        <v>4080</v>
      </c>
      <c r="AH836" s="99">
        <f ca="1">ROUND(VLOOKUP(1,enemy_base_stats!$A:$F,3,FALSE) * Z836*K836*P836*F836*T836*AE836 * W836*[2]ステータス!$C$2,0)</f>
        <v>273</v>
      </c>
      <c r="AI836" s="99">
        <f ca="1">ROUND(VLOOKUP(1,enemy_base_stats!$A:$F,4,FALSE) * AA836*L836*Q836*G836*U836*AF836*[2]ステータス!$D$2,0)</f>
        <v>0</v>
      </c>
      <c r="AJ836" s="99">
        <f ca="1">ROUND(VLOOKUP(100,enemy_base_stats!$A:$F,2,FALSE) * Y836* J836*O836*E836*S836*AD836*[2]ステータス!$B$2,0)</f>
        <v>165648</v>
      </c>
      <c r="AK836" s="99">
        <f ca="1">ROUND(VLOOKUP(100,enemy_base_stats!$A:$F,3,FALSE)* Z836* K836*P836*F836*T836*AE836 * W836*[2]ステータス!$C$2,0)</f>
        <v>11079</v>
      </c>
      <c r="AL836" s="99">
        <f ca="1">ROUND(VLOOKUP(100,enemy_base_stats!$A:$F,4,FALSE)* AA836* L836*Q836*G836*U836*AF836*[2]ステータス!$D$2,0)</f>
        <v>0</v>
      </c>
      <c r="AM836" s="97">
        <f ca="1">VLOOKUP(M836,[2]character_tribe_i18n!$A:$I,9,FALSE)</f>
        <v>680</v>
      </c>
      <c r="AN836" s="97">
        <v>0</v>
      </c>
      <c r="AO836" s="98">
        <v>0</v>
      </c>
      <c r="AP836" s="58" t="s">
        <v>72</v>
      </c>
      <c r="AQ836" s="34">
        <f t="shared" ca="1" si="48"/>
        <v>835</v>
      </c>
    </row>
    <row r="837" spans="1:43" ht="21" customHeight="1" x14ac:dyDescent="0.15">
      <c r="A837" s="7">
        <f t="shared" ca="1" si="49"/>
        <v>836</v>
      </c>
      <c r="B837" s="6" t="str">
        <f ca="1">VLOOKUP(A837,[2]characters!$A:$C,3,FALSE)</f>
        <v>射愛の恋華天神 カーマ</v>
      </c>
      <c r="C837" s="9">
        <f ca="1">VLOOKUP(A837,[2]characters!$A:$I,9,FALSE)</f>
        <v>6</v>
      </c>
      <c r="D837" s="9" t="str">
        <f ca="1">VLOOKUP(A837,[2]characters!$A:$H,8,FALSE)</f>
        <v>red</v>
      </c>
      <c r="E837" s="97">
        <f ca="1">VLOOKUP(D837,[2]属性!$A:$E,2,FALSE)</f>
        <v>1</v>
      </c>
      <c r="F837" s="97">
        <f ca="1">VLOOKUP(D837,[2]属性!$A:$E,3,FALSE)</f>
        <v>1.02</v>
      </c>
      <c r="G837" s="97">
        <f ca="1">VLOOKUP(D837,[2]属性!$A:$F,4,FALSE)</f>
        <v>1</v>
      </c>
      <c r="H837" s="9" t="s">
        <v>151</v>
      </c>
      <c r="I837" s="6" t="str">
        <f>VLOOKUP(H837,[2]character_type_i18n!$A:$F,3,FALSE)</f>
        <v>攻撃タイプ</v>
      </c>
      <c r="J837" s="97">
        <f>VLOOKUP(H837,[2]character_type_i18n!$A:$F,4,FALSE)</f>
        <v>1</v>
      </c>
      <c r="K837" s="97">
        <f>VLOOKUP(H837,[2]character_type_i18n!$A:$F,5,FALSE)</f>
        <v>1.33</v>
      </c>
      <c r="L837" s="97">
        <f>VLOOKUP(H837,[2]character_type_i18n!$A:$F,6,FALSE)</f>
        <v>1</v>
      </c>
      <c r="M837" s="9" t="str">
        <f ca="1">VLOOKUP(A837,[2]characters!$A:$M,13,FALSE)</f>
        <v>god</v>
      </c>
      <c r="N837" s="6" t="str">
        <f ca="1">VLOOKUP(M837,[2]character_tribe_i18n!$A:$F,3,FALSE)</f>
        <v>ゴッド</v>
      </c>
      <c r="O837" s="97">
        <f ca="1">VLOOKUP(M837,[2]character_tribe_i18n!$A:$F,4,FALSE)</f>
        <v>0.96</v>
      </c>
      <c r="P837" s="97">
        <f ca="1">VLOOKUP(M837,[2]character_tribe_i18n!$A:$F,5,FALSE)</f>
        <v>1.02</v>
      </c>
      <c r="Q837" s="97">
        <f ca="1">VLOOKUP(M837,[2]character_tribe_i18n!$A:$F,6,FALSE)</f>
        <v>1</v>
      </c>
      <c r="R837" s="98" t="s">
        <v>98</v>
      </c>
      <c r="S837" s="97">
        <f>VLOOKUP($R837,ラベル別係数!$A$1:$E$7,3,FALSE)</f>
        <v>5</v>
      </c>
      <c r="T837" s="97">
        <f>VLOOKUP($R837,ラベル別係数!$A$1:$E$7,4,FALSE)</f>
        <v>1.3</v>
      </c>
      <c r="U837" s="97">
        <f>VLOOKUP($R837,ラベル別係数!$A$1:$E$7,5,FALSE)</f>
        <v>0.8</v>
      </c>
      <c r="V837" s="98">
        <v>3</v>
      </c>
      <c r="W837" s="99">
        <f>VLOOKUP(V837,ターン数別攻撃係数!$A$1:$B$1000,2,FALSE)</f>
        <v>1</v>
      </c>
      <c r="X837" s="9">
        <f ca="1">VLOOKUP(C837,サイズ別係数!A$2:B$9,2,FALSE)</f>
        <v>60</v>
      </c>
      <c r="Y837" s="97">
        <f ca="1">VLOOKUP($X837,サイズ別係数!$B:$E,2,FALSE)</f>
        <v>1.7</v>
      </c>
      <c r="Z837" s="97">
        <f ca="1">VLOOKUP($X837,サイズ別係数!$B:$E,3,FALSE)</f>
        <v>1.4</v>
      </c>
      <c r="AA837" s="97">
        <f ca="1">VLOOKUP($X837,サイズ別係数!$B:$E,4,FALSE)</f>
        <v>1</v>
      </c>
      <c r="AB837" s="10">
        <v>0</v>
      </c>
      <c r="AC837" s="6" t="str">
        <f ca="1">VLOOKUP($AB837,OFFSET([3]enemy_skill_sets!$B$2,0,0,COUNTA([3]enemy_skill_sets!$A:$A),MATCH(AC$1,[3]enemy_skill_sets!$1:$1,0)-MATCH($AB$1,[3]enemy_skill_sets!$1:$1,0)+1),MATCH(AC$1,[3]enemy_skill_sets!$1:$1,0)-MATCH($AB$1,[3]enemy_skill_sets!$1:$1,0)+1,FALSE)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7" s="67">
        <v>1</v>
      </c>
      <c r="AE837" s="67">
        <v>1</v>
      </c>
      <c r="AF837" s="68">
        <v>0</v>
      </c>
      <c r="AG837" s="99">
        <f ca="1">ROUND(VLOOKUP(1,enemy_base_stats!$A:$F,2,FALSE) * Y837* J837*O837*E837*S837*AD837*[2]ステータス!$B$2,0)</f>
        <v>4080</v>
      </c>
      <c r="AH837" s="99">
        <f ca="1">ROUND(VLOOKUP(1,enemy_base_stats!$A:$F,3,FALSE) * Z837*K837*P837*F837*T837*AE837 * W837*[2]ステータス!$C$2,0)</f>
        <v>378</v>
      </c>
      <c r="AI837" s="99">
        <f ca="1">ROUND(VLOOKUP(1,enemy_base_stats!$A:$F,4,FALSE) * AA837*L837*Q837*G837*U837*AF837*[2]ステータス!$D$2,0)</f>
        <v>0</v>
      </c>
      <c r="AJ837" s="99">
        <f ca="1">ROUND(VLOOKUP(100,enemy_base_stats!$A:$F,2,FALSE) * Y837* J837*O837*E837*S837*AD837*[2]ステータス!$B$2,0)</f>
        <v>165648</v>
      </c>
      <c r="AK837" s="99">
        <f ca="1">ROUND(VLOOKUP(100,enemy_base_stats!$A:$F,3,FALSE)* Z837* K837*P837*F837*T837*AE837 * W837*[2]ステータス!$C$2,0)</f>
        <v>15337</v>
      </c>
      <c r="AL837" s="99">
        <f ca="1">ROUND(VLOOKUP(100,enemy_base_stats!$A:$F,4,FALSE)* AA837* L837*Q837*G837*U837*AF837*[2]ステータス!$D$2,0)</f>
        <v>0</v>
      </c>
      <c r="AM837" s="97">
        <f ca="1">VLOOKUP(M837,[2]character_tribe_i18n!$A:$I,9,FALSE)</f>
        <v>680</v>
      </c>
      <c r="AN837" s="97">
        <v>0</v>
      </c>
      <c r="AO837" s="98">
        <v>0</v>
      </c>
      <c r="AP837" s="58" t="s">
        <v>72</v>
      </c>
      <c r="AQ837" s="34">
        <f t="shared" ca="1" si="48"/>
        <v>836</v>
      </c>
    </row>
    <row r="838" spans="1:43" ht="21" customHeight="1" x14ac:dyDescent="0.15">
      <c r="A838" s="7">
        <f t="shared" ca="1" si="49"/>
        <v>837</v>
      </c>
      <c r="B838" s="6" t="str">
        <f ca="1">VLOOKUP(A838,[2]characters!$A:$C,3,FALSE)</f>
        <v>リトルハンプティ</v>
      </c>
      <c r="C838" s="9">
        <f ca="1">VLOOKUP(A838,[2]characters!$A:$I,9,FALSE)</f>
        <v>6</v>
      </c>
      <c r="D838" s="9" t="str">
        <f ca="1">VLOOKUP(A838,[2]characters!$A:$H,8,FALSE)</f>
        <v>yellow</v>
      </c>
      <c r="E838" s="97">
        <f ca="1">VLOOKUP(D838,[2]属性!$A:$E,2,FALSE)</f>
        <v>0.98</v>
      </c>
      <c r="F838" s="97">
        <f ca="1">VLOOKUP(D838,[2]属性!$A:$E,3,FALSE)</f>
        <v>1.01</v>
      </c>
      <c r="G838" s="97">
        <f ca="1">VLOOKUP(D838,[2]属性!$A:$F,4,FALSE)</f>
        <v>1</v>
      </c>
      <c r="H838" s="9" t="str">
        <f ca="1">VLOOKUP(A838,[2]characters!$A:$K,11,FALSE)</f>
        <v>evolution</v>
      </c>
      <c r="I838" s="6" t="str">
        <f ca="1">VLOOKUP(H838,[2]character_type_i18n!$A:$F,3,FALSE)</f>
        <v>覚醒素材タイプ</v>
      </c>
      <c r="J838" s="97">
        <f ca="1">VLOOKUP(H838,[2]character_type_i18n!$A:$F,4,FALSE)</f>
        <v>0.1</v>
      </c>
      <c r="K838" s="97">
        <f ca="1">VLOOKUP(H838,[2]character_type_i18n!$A:$F,5,FALSE)</f>
        <v>0.05</v>
      </c>
      <c r="L838" s="97">
        <f ca="1">VLOOKUP(H838,[2]character_type_i18n!$A:$F,6,FALSE)</f>
        <v>1</v>
      </c>
      <c r="M838" s="9" t="str">
        <f ca="1">VLOOKUP(A838,[2]characters!$A:$M,13,FALSE)</f>
        <v>unknown</v>
      </c>
      <c r="N838" s="6" t="str">
        <f ca="1">VLOOKUP(M838,[2]character_tribe_i18n!$A:$F,3,FALSE)</f>
        <v>Unknown</v>
      </c>
      <c r="O838" s="97">
        <f ca="1">VLOOKUP(M838,[2]character_tribe_i18n!$A:$F,4,FALSE)</f>
        <v>1</v>
      </c>
      <c r="P838" s="97">
        <f ca="1">VLOOKUP(M838,[2]character_tribe_i18n!$A:$F,5,FALSE)</f>
        <v>1</v>
      </c>
      <c r="Q838" s="97">
        <f ca="1">VLOOKUP(M838,[2]character_tribe_i18n!$A:$F,6,FALSE)</f>
        <v>1</v>
      </c>
      <c r="R838" s="98" t="s">
        <v>98</v>
      </c>
      <c r="S838" s="97">
        <f>VLOOKUP($R838,ラベル別係数!$A$1:$E$7,3,FALSE)</f>
        <v>5</v>
      </c>
      <c r="T838" s="97">
        <f>VLOOKUP($R838,ラベル別係数!$A$1:$E$7,4,FALSE)</f>
        <v>1.3</v>
      </c>
      <c r="U838" s="97">
        <f>VLOOKUP($R838,ラベル別係数!$A$1:$E$7,5,FALSE)</f>
        <v>0.8</v>
      </c>
      <c r="V838" s="98">
        <v>3</v>
      </c>
      <c r="W838" s="99">
        <f>VLOOKUP(V838,ターン数別攻撃係数!$A$1:$B$1000,2,FALSE)</f>
        <v>1</v>
      </c>
      <c r="X838" s="9">
        <f ca="1">VLOOKUP(C838,サイズ別係数!A$2:B$9,2,FALSE)</f>
        <v>60</v>
      </c>
      <c r="Y838" s="97">
        <f ca="1">VLOOKUP($X838,サイズ別係数!$B:$E,2,FALSE)</f>
        <v>1.7</v>
      </c>
      <c r="Z838" s="97">
        <f ca="1">VLOOKUP($X838,サイズ別係数!$B:$E,3,FALSE)</f>
        <v>1.4</v>
      </c>
      <c r="AA838" s="97">
        <f ca="1">VLOOKUP($X838,サイズ別係数!$B:$E,4,FALSE)</f>
        <v>1</v>
      </c>
      <c r="AB838" s="10">
        <v>0</v>
      </c>
      <c r="AC838" s="6" t="str">
        <f ca="1">VLOOKUP($AB838,OFFSET([3]enemy_skill_sets!$B$2,0,0,COUNTA([3]enemy_skill_sets!$A:$A),MATCH(AC$1,[3]enemy_skill_sets!$1:$1,0)-MATCH($AB$1,[3]enemy_skill_sets!$1:$1,0)+1),MATCH(AC$1,[3]enemy_skill_sets!$1:$1,0)-MATCH($AB$1,[3]enemy_skill_sets!$1:$1,0)+1,FALSE)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8" s="67">
        <v>1</v>
      </c>
      <c r="AE838" s="67">
        <v>1</v>
      </c>
      <c r="AF838" s="68">
        <v>0</v>
      </c>
      <c r="AG838" s="99">
        <f ca="1">ROUND(VLOOKUP(1,enemy_base_stats!$A:$F,2,FALSE) * Y838* J838*O838*E838*S838*AD838*[2]ステータス!$B$2,0)</f>
        <v>417</v>
      </c>
      <c r="AH838" s="99">
        <f ca="1">ROUND(VLOOKUP(1,enemy_base_stats!$A:$F,3,FALSE) * Z838*K838*P838*F838*T838*AE838 * W838*[2]ステータス!$C$2,0)</f>
        <v>14</v>
      </c>
      <c r="AI838" s="99">
        <f ca="1">ROUND(VLOOKUP(1,enemy_base_stats!$A:$F,4,FALSE) * AA838*L838*Q838*G838*U838*AF838*[2]ステータス!$D$2,0)</f>
        <v>0</v>
      </c>
      <c r="AJ838" s="99">
        <f ca="1">ROUND(VLOOKUP(100,enemy_base_stats!$A:$F,2,FALSE) * Y838* J838*O838*E838*S838*AD838*[2]ステータス!$B$2,0)</f>
        <v>16910</v>
      </c>
      <c r="AK838" s="99">
        <f ca="1">ROUND(VLOOKUP(100,enemy_base_stats!$A:$F,3,FALSE)* Z838* K838*P838*F838*T838*AE838 * W838*[2]ステータス!$C$2,0)</f>
        <v>560</v>
      </c>
      <c r="AL838" s="99">
        <f ca="1">ROUND(VLOOKUP(100,enemy_base_stats!$A:$F,4,FALSE)* AA838* L838*Q838*G838*U838*AF838*[2]ステータス!$D$2,0)</f>
        <v>0</v>
      </c>
      <c r="AM838" s="97">
        <f ca="1">VLOOKUP(M838,[2]character_tribe_i18n!$A:$I,9,FALSE)</f>
        <v>340</v>
      </c>
      <c r="AN838" s="97">
        <v>0</v>
      </c>
      <c r="AO838" s="98">
        <v>0</v>
      </c>
      <c r="AP838" s="58" t="s">
        <v>72</v>
      </c>
      <c r="AQ838" s="34">
        <f t="shared" ca="1" si="48"/>
        <v>837</v>
      </c>
    </row>
    <row r="839" spans="1:43" ht="21" customHeight="1" x14ac:dyDescent="0.15">
      <c r="A839" s="7">
        <f t="shared" ca="1" si="49"/>
        <v>838</v>
      </c>
      <c r="B839" s="6" t="str">
        <f ca="1">VLOOKUP(A839,[2]characters!$A:$C,3,FALSE)</f>
        <v>巌鋼の爆烈志士 近藤勇</v>
      </c>
      <c r="C839" s="9">
        <f ca="1">VLOOKUP(A839,[2]characters!$A:$I,9,FALSE)</f>
        <v>6</v>
      </c>
      <c r="D839" s="9" t="str">
        <f ca="1">VLOOKUP(A839,[2]characters!$A:$H,8,FALSE)</f>
        <v>red</v>
      </c>
      <c r="E839" s="97">
        <f ca="1">VLOOKUP(D839,[2]属性!$A:$E,2,FALSE)</f>
        <v>1</v>
      </c>
      <c r="F839" s="97">
        <f ca="1">VLOOKUP(D839,[2]属性!$A:$E,3,FALSE)</f>
        <v>1.02</v>
      </c>
      <c r="G839" s="97">
        <f ca="1">VLOOKUP(D839,[2]属性!$A:$F,4,FALSE)</f>
        <v>1</v>
      </c>
      <c r="H839" s="9" t="str">
        <f ca="1">VLOOKUP(A839,[2]characters!$A:$K,11,FALSE)</f>
        <v>hp</v>
      </c>
      <c r="I839" s="6" t="str">
        <f ca="1">VLOOKUP(H839,[2]character_type_i18n!$A:$F,3,FALSE)</f>
        <v>体力タイプ</v>
      </c>
      <c r="J839" s="97">
        <f ca="1">VLOOKUP(H839,[2]character_type_i18n!$A:$F,4,FALSE)</f>
        <v>1.45</v>
      </c>
      <c r="K839" s="97">
        <f ca="1">VLOOKUP(H839,[2]character_type_i18n!$A:$F,5,FALSE)</f>
        <v>0.85</v>
      </c>
      <c r="L839" s="97">
        <f ca="1">VLOOKUP(H839,[2]character_type_i18n!$A:$F,6,FALSE)</f>
        <v>1</v>
      </c>
      <c r="M839" s="9" t="str">
        <f ca="1">VLOOKUP(A839,[2]characters!$A:$M,13,FALSE)</f>
        <v>human</v>
      </c>
      <c r="N839" s="6" t="str">
        <f ca="1">VLOOKUP(M839,[2]character_tribe_i18n!$A:$F,3,FALSE)</f>
        <v>ヒューマン</v>
      </c>
      <c r="O839" s="97">
        <f ca="1">VLOOKUP(M839,[2]character_tribe_i18n!$A:$F,4,FALSE)</f>
        <v>0.94</v>
      </c>
      <c r="P839" s="97">
        <f ca="1">VLOOKUP(M839,[2]character_tribe_i18n!$A:$F,5,FALSE)</f>
        <v>0.99</v>
      </c>
      <c r="Q839" s="97">
        <f ca="1">VLOOKUP(M839,[2]character_tribe_i18n!$A:$F,6,FALSE)</f>
        <v>1</v>
      </c>
      <c r="R839" s="98" t="s">
        <v>98</v>
      </c>
      <c r="S839" s="97">
        <f>VLOOKUP($R839,ラベル別係数!$A$1:$E$7,3,FALSE)</f>
        <v>5</v>
      </c>
      <c r="T839" s="97">
        <f>VLOOKUP($R839,ラベル別係数!$A$1:$E$7,4,FALSE)</f>
        <v>1.3</v>
      </c>
      <c r="U839" s="97">
        <f>VLOOKUP($R839,ラベル別係数!$A$1:$E$7,5,FALSE)</f>
        <v>0.8</v>
      </c>
      <c r="V839" s="98">
        <v>3</v>
      </c>
      <c r="W839" s="99">
        <f>VLOOKUP(V839,ターン数別攻撃係数!$A$1:$B$1000,2,FALSE)</f>
        <v>1</v>
      </c>
      <c r="X839" s="9">
        <f ca="1">VLOOKUP(C839,サイズ別係数!A$2:B$9,2,FALSE)</f>
        <v>60</v>
      </c>
      <c r="Y839" s="97">
        <f ca="1">VLOOKUP($X839,サイズ別係数!$B:$E,2,FALSE)</f>
        <v>1.7</v>
      </c>
      <c r="Z839" s="97">
        <f ca="1">VLOOKUP($X839,サイズ別係数!$B:$E,3,FALSE)</f>
        <v>1.4</v>
      </c>
      <c r="AA839" s="97">
        <f ca="1">VLOOKUP($X839,サイズ別係数!$B:$E,4,FALSE)</f>
        <v>1</v>
      </c>
      <c r="AB839" s="10">
        <v>0</v>
      </c>
      <c r="AC839" s="6" t="str">
        <f ca="1">VLOOKUP($AB839,OFFSET([3]enemy_skill_sets!$B$2,0,0,COUNTA([3]enemy_skill_sets!$A:$A),MATCH(AC$1,[3]enemy_skill_sets!$1:$1,0)-MATCH($AB$1,[3]enemy_skill_sets!$1:$1,0)+1),MATCH(AC$1,[3]enemy_skill_sets!$1:$1,0)-MATCH($AB$1,[3]enemy_skill_sets!$1:$1,0)+1,FALSE)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39" s="67">
        <v>1</v>
      </c>
      <c r="AE839" s="67">
        <v>1</v>
      </c>
      <c r="AF839" s="68">
        <v>0</v>
      </c>
      <c r="AG839" s="99">
        <f ca="1">ROUND(VLOOKUP(1,enemy_base_stats!$A:$F,2,FALSE) * Y839* J839*O839*E839*S839*AD839*[2]ステータス!$B$2,0)</f>
        <v>5793</v>
      </c>
      <c r="AH839" s="99">
        <f ca="1">ROUND(VLOOKUP(1,enemy_base_stats!$A:$F,3,FALSE) * Z839*K839*P839*F839*T839*AE839 * W839*[2]ステータス!$C$2,0)</f>
        <v>234</v>
      </c>
      <c r="AI839" s="99">
        <f ca="1">ROUND(VLOOKUP(1,enemy_base_stats!$A:$F,4,FALSE) * AA839*L839*Q839*G839*U839*AF839*[2]ステータス!$D$2,0)</f>
        <v>0</v>
      </c>
      <c r="AJ839" s="99">
        <f ca="1">ROUND(VLOOKUP(100,enemy_base_stats!$A:$F,2,FALSE) * Y839* J839*O839*E839*S839*AD839*[2]ステータス!$B$2,0)</f>
        <v>235186</v>
      </c>
      <c r="AK839" s="99">
        <f ca="1">ROUND(VLOOKUP(100,enemy_base_stats!$A:$F,3,FALSE)* Z839* K839*P839*F839*T839*AE839 * W839*[2]ステータス!$C$2,0)</f>
        <v>9514</v>
      </c>
      <c r="AL839" s="99">
        <f ca="1">ROUND(VLOOKUP(100,enemy_base_stats!$A:$F,4,FALSE)* AA839* L839*Q839*G839*U839*AF839*[2]ステータス!$D$2,0)</f>
        <v>0</v>
      </c>
      <c r="AM839" s="97">
        <f ca="1">VLOOKUP(M839,[2]character_tribe_i18n!$A:$I,9,FALSE)</f>
        <v>400</v>
      </c>
      <c r="AN839" s="97">
        <v>0</v>
      </c>
      <c r="AO839" s="98">
        <v>0</v>
      </c>
      <c r="AP839" s="58" t="s">
        <v>72</v>
      </c>
      <c r="AQ839" s="34">
        <f t="shared" ref="AQ839:AQ863" ca="1" si="50">A839</f>
        <v>838</v>
      </c>
    </row>
    <row r="840" spans="1:43" ht="21" customHeight="1" x14ac:dyDescent="0.15">
      <c r="A840" s="7">
        <f t="shared" ca="1" si="49"/>
        <v>839</v>
      </c>
      <c r="B840" s="6" t="str">
        <f ca="1">VLOOKUP(A840,[2]characters!$A:$C,3,FALSE)</f>
        <v>真覇の勇魔剣 ランスロット</v>
      </c>
      <c r="C840" s="9">
        <f ca="1">VLOOKUP(A840,[2]characters!$A:$I,9,FALSE)</f>
        <v>6</v>
      </c>
      <c r="D840" s="9" t="str">
        <f ca="1">VLOOKUP(A840,[2]characters!$A:$H,8,FALSE)</f>
        <v>green</v>
      </c>
      <c r="E840" s="97">
        <f ca="1">VLOOKUP(D840,[2]属性!$A:$E,2,FALSE)</f>
        <v>1.02</v>
      </c>
      <c r="F840" s="97">
        <f ca="1">VLOOKUP(D840,[2]属性!$A:$E,3,FALSE)</f>
        <v>0.98</v>
      </c>
      <c r="G840" s="97">
        <f ca="1">VLOOKUP(D840,[2]属性!$A:$F,4,FALSE)</f>
        <v>1</v>
      </c>
      <c r="H840" s="9" t="str">
        <f ca="1">VLOOKUP(A840,[2]characters!$A:$K,11,FALSE)</f>
        <v>balance</v>
      </c>
      <c r="I840" s="6" t="str">
        <f ca="1">VLOOKUP(H840,[2]character_type_i18n!$A:$F,3,FALSE)</f>
        <v>バランスタイプ</v>
      </c>
      <c r="J840" s="97">
        <f ca="1">VLOOKUP(H840,[2]character_type_i18n!$A:$F,4,FALSE)</f>
        <v>1</v>
      </c>
      <c r="K840" s="97">
        <f ca="1">VLOOKUP(H840,[2]character_type_i18n!$A:$F,5,FALSE)</f>
        <v>1</v>
      </c>
      <c r="L840" s="97">
        <f ca="1">VLOOKUP(H840,[2]character_type_i18n!$A:$F,6,FALSE)</f>
        <v>1</v>
      </c>
      <c r="M840" s="9" t="str">
        <f ca="1">VLOOKUP(A840,[2]characters!$A:$M,13,FALSE)</f>
        <v>human</v>
      </c>
      <c r="N840" s="6" t="str">
        <f ca="1">VLOOKUP(M840,[2]character_tribe_i18n!$A:$F,3,FALSE)</f>
        <v>ヒューマン</v>
      </c>
      <c r="O840" s="97">
        <f ca="1">VLOOKUP(M840,[2]character_tribe_i18n!$A:$F,4,FALSE)</f>
        <v>0.94</v>
      </c>
      <c r="P840" s="97">
        <f ca="1">VLOOKUP(M840,[2]character_tribe_i18n!$A:$F,5,FALSE)</f>
        <v>0.99</v>
      </c>
      <c r="Q840" s="97">
        <f ca="1">VLOOKUP(M840,[2]character_tribe_i18n!$A:$F,6,FALSE)</f>
        <v>1</v>
      </c>
      <c r="R840" s="98" t="s">
        <v>98</v>
      </c>
      <c r="S840" s="97">
        <f>VLOOKUP($R840,ラベル別係数!$A$1:$E$7,3,FALSE)</f>
        <v>5</v>
      </c>
      <c r="T840" s="97">
        <f>VLOOKUP($R840,ラベル別係数!$A$1:$E$7,4,FALSE)</f>
        <v>1.3</v>
      </c>
      <c r="U840" s="97">
        <f>VLOOKUP($R840,ラベル別係数!$A$1:$E$7,5,FALSE)</f>
        <v>0.8</v>
      </c>
      <c r="V840" s="98">
        <v>3</v>
      </c>
      <c r="W840" s="99">
        <f>VLOOKUP(V840,ターン数別攻撃係数!$A$1:$B$1000,2,FALSE)</f>
        <v>1</v>
      </c>
      <c r="X840" s="9">
        <f ca="1">VLOOKUP(C840,サイズ別係数!A$2:B$9,2,FALSE)</f>
        <v>60</v>
      </c>
      <c r="Y840" s="97">
        <f ca="1">VLOOKUP($X840,サイズ別係数!$B:$E,2,FALSE)</f>
        <v>1.7</v>
      </c>
      <c r="Z840" s="97">
        <f ca="1">VLOOKUP($X840,サイズ別係数!$B:$E,3,FALSE)</f>
        <v>1.4</v>
      </c>
      <c r="AA840" s="97">
        <f ca="1">VLOOKUP($X840,サイズ別係数!$B:$E,4,FALSE)</f>
        <v>1</v>
      </c>
      <c r="AB840" s="10">
        <v>0</v>
      </c>
      <c r="AC840" s="6" t="str">
        <f ca="1">VLOOKUP($AB840,OFFSET([3]enemy_skill_sets!$B$2,0,0,COUNTA([3]enemy_skill_sets!$A:$A),MATCH(AC$1,[3]enemy_skill_sets!$1:$1,0)-MATCH($AB$1,[3]enemy_skill_sets!$1:$1,0)+1),MATCH(AC$1,[3]enemy_skill_sets!$1:$1,0)-MATCH($AB$1,[3]enemy_skill_sets!$1:$1,0)+1,FALSE)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0" s="67">
        <v>1</v>
      </c>
      <c r="AE840" s="67">
        <v>1</v>
      </c>
      <c r="AF840" s="68">
        <v>0</v>
      </c>
      <c r="AG840" s="99">
        <f ca="1">ROUND(VLOOKUP(1,enemy_base_stats!$A:$F,2,FALSE) * Y840* J840*O840*E840*S840*AD840*[2]ステータス!$B$2,0)</f>
        <v>4075</v>
      </c>
      <c r="AH840" s="99">
        <f ca="1">ROUND(VLOOKUP(1,enemy_base_stats!$A:$F,3,FALSE) * Z840*K840*P840*F840*T840*AE840 * W840*[2]ステータス!$C$2,0)</f>
        <v>265</v>
      </c>
      <c r="AI840" s="99">
        <f ca="1">ROUND(VLOOKUP(1,enemy_base_stats!$A:$F,4,FALSE) * AA840*L840*Q840*G840*U840*AF840*[2]ステータス!$D$2,0)</f>
        <v>0</v>
      </c>
      <c r="AJ840" s="99">
        <f ca="1">ROUND(VLOOKUP(100,enemy_base_stats!$A:$F,2,FALSE) * Y840* J840*O840*E840*S840*AD840*[2]ステータス!$B$2,0)</f>
        <v>165441</v>
      </c>
      <c r="AK840" s="99">
        <f ca="1">ROUND(VLOOKUP(100,enemy_base_stats!$A:$F,3,FALSE)* Z840* K840*P840*F840*T840*AE840 * W840*[2]ステータス!$C$2,0)</f>
        <v>10754</v>
      </c>
      <c r="AL840" s="99">
        <f ca="1">ROUND(VLOOKUP(100,enemy_base_stats!$A:$F,4,FALSE)* AA840* L840*Q840*G840*U840*AF840*[2]ステータス!$D$2,0)</f>
        <v>0</v>
      </c>
      <c r="AM840" s="97">
        <f ca="1">VLOOKUP(M840,[2]character_tribe_i18n!$A:$I,9,FALSE)</f>
        <v>400</v>
      </c>
      <c r="AN840" s="97">
        <v>0</v>
      </c>
      <c r="AO840" s="98">
        <v>0</v>
      </c>
      <c r="AP840" s="58" t="s">
        <v>72</v>
      </c>
      <c r="AQ840" s="34">
        <f t="shared" ca="1" si="50"/>
        <v>839</v>
      </c>
    </row>
    <row r="841" spans="1:43" ht="21" customHeight="1" x14ac:dyDescent="0.15">
      <c r="A841" s="7">
        <f t="shared" ca="1" si="49"/>
        <v>840</v>
      </c>
      <c r="B841" s="6" t="str">
        <f ca="1">VLOOKUP(A841,[2]characters!$A:$C,3,FALSE)</f>
        <v>フェニックス</v>
      </c>
      <c r="C841" s="9">
        <f ca="1">VLOOKUP(A841,[2]characters!$A:$I,9,FALSE)</f>
        <v>4</v>
      </c>
      <c r="D841" s="9" t="str">
        <f ca="1">VLOOKUP(A841,[2]characters!$A:$H,8,FALSE)</f>
        <v>red</v>
      </c>
      <c r="E841" s="97">
        <f ca="1">VLOOKUP(D841,[2]属性!$A:$E,2,FALSE)</f>
        <v>1</v>
      </c>
      <c r="F841" s="97">
        <f ca="1">VLOOKUP(D841,[2]属性!$A:$E,3,FALSE)</f>
        <v>1.02</v>
      </c>
      <c r="G841" s="97">
        <f ca="1">VLOOKUP(D841,[2]属性!$A:$F,4,FALSE)</f>
        <v>1</v>
      </c>
      <c r="H841" s="9" t="str">
        <f ca="1">VLOOKUP(A841,[2]characters!$A:$K,11,FALSE)</f>
        <v>hp</v>
      </c>
      <c r="I841" s="6" t="str">
        <f ca="1">VLOOKUP(H841,[2]character_type_i18n!$A:$F,3,FALSE)</f>
        <v>体力タイプ</v>
      </c>
      <c r="J841" s="97">
        <f ca="1">VLOOKUP(H841,[2]character_type_i18n!$A:$F,4,FALSE)</f>
        <v>1.45</v>
      </c>
      <c r="K841" s="97">
        <f ca="1">VLOOKUP(H841,[2]character_type_i18n!$A:$F,5,FALSE)</f>
        <v>0.85</v>
      </c>
      <c r="L841" s="97">
        <f ca="1">VLOOKUP(H841,[2]character_type_i18n!$A:$F,6,FALSE)</f>
        <v>1</v>
      </c>
      <c r="M841" s="9" t="str">
        <f ca="1">VLOOKUP(A841,[2]characters!$A:$M,13,FALSE)</f>
        <v>animal</v>
      </c>
      <c r="N841" s="6" t="str">
        <f ca="1">VLOOKUP(M841,[2]character_tribe_i18n!$A:$F,3,FALSE)</f>
        <v>アニマル</v>
      </c>
      <c r="O841" s="97">
        <f ca="1">VLOOKUP(M841,[2]character_tribe_i18n!$A:$F,4,FALSE)</f>
        <v>1</v>
      </c>
      <c r="P841" s="97">
        <f ca="1">VLOOKUP(M841,[2]character_tribe_i18n!$A:$F,5,FALSE)</f>
        <v>1.1000000000000001</v>
      </c>
      <c r="Q841" s="97">
        <f ca="1">VLOOKUP(M841,[2]character_tribe_i18n!$A:$F,6,FALSE)</f>
        <v>1</v>
      </c>
      <c r="R841" s="98" t="s">
        <v>98</v>
      </c>
      <c r="S841" s="97">
        <f>VLOOKUP($R841,ラベル別係数!$A$1:$E$7,3,FALSE)</f>
        <v>5</v>
      </c>
      <c r="T841" s="97">
        <f>VLOOKUP($R841,ラベル別係数!$A$1:$E$7,4,FALSE)</f>
        <v>1.3</v>
      </c>
      <c r="U841" s="97">
        <f>VLOOKUP($R841,ラベル別係数!$A$1:$E$7,5,FALSE)</f>
        <v>0.8</v>
      </c>
      <c r="V841" s="98">
        <v>3</v>
      </c>
      <c r="W841" s="99">
        <f>VLOOKUP(V841,ターン数別攻撃係数!$A$1:$B$1000,2,FALSE)</f>
        <v>1</v>
      </c>
      <c r="X841" s="9">
        <f ca="1">VLOOKUP(C841,サイズ別係数!A$2:B$9,2,FALSE)</f>
        <v>30</v>
      </c>
      <c r="Y841" s="97">
        <f ca="1">VLOOKUP($X841,サイズ別係数!$B:$E,2,FALSE)</f>
        <v>1.3</v>
      </c>
      <c r="Z841" s="97">
        <f ca="1">VLOOKUP($X841,サイズ別係数!$B:$E,3,FALSE)</f>
        <v>1.3</v>
      </c>
      <c r="AA841" s="97">
        <f ca="1">VLOOKUP($X841,サイズ別係数!$B:$E,4,FALSE)</f>
        <v>1.1000000000000001</v>
      </c>
      <c r="AB841" s="10">
        <v>0</v>
      </c>
      <c r="AC841" s="6" t="str">
        <f ca="1">VLOOKUP($AB841,OFFSET([3]enemy_skill_sets!$B$2,0,0,COUNTA([3]enemy_skill_sets!$A:$A),MATCH(AC$1,[3]enemy_skill_sets!$1:$1,0)-MATCH($AB$1,[3]enemy_skill_sets!$1:$1,0)+1),MATCH(AC$1,[3]enemy_skill_sets!$1:$1,0)-MATCH($AB$1,[3]enemy_skill_sets!$1:$1,0)+1,FALSE)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1" s="67">
        <v>1</v>
      </c>
      <c r="AE841" s="67">
        <v>1</v>
      </c>
      <c r="AF841" s="68">
        <v>0</v>
      </c>
      <c r="AG841" s="99">
        <f ca="1">ROUND(VLOOKUP(1,enemy_base_stats!$A:$F,2,FALSE) * Y841* J841*O841*E841*S841*AD841*[2]ステータス!$B$2,0)</f>
        <v>4713</v>
      </c>
      <c r="AH841" s="99">
        <f ca="1">ROUND(VLOOKUP(1,enemy_base_stats!$A:$F,3,FALSE) * Z841*K841*P841*F841*T841*AE841 * W841*[2]ステータス!$C$2,0)</f>
        <v>242</v>
      </c>
      <c r="AI841" s="99">
        <f ca="1">ROUND(VLOOKUP(1,enemy_base_stats!$A:$F,4,FALSE) * AA841*L841*Q841*G841*U841*AF841*[2]ステータス!$D$2,0)</f>
        <v>0</v>
      </c>
      <c r="AJ841" s="99">
        <f ca="1">ROUND(VLOOKUP(100,enemy_base_stats!$A:$F,2,FALSE) * Y841* J841*O841*E841*S841*AD841*[2]ステータス!$B$2,0)</f>
        <v>191328</v>
      </c>
      <c r="AK841" s="99">
        <f ca="1">ROUND(VLOOKUP(100,enemy_base_stats!$A:$F,3,FALSE)* Z841* K841*P841*F841*T841*AE841 * W841*[2]ステータス!$C$2,0)</f>
        <v>9816</v>
      </c>
      <c r="AL841" s="99">
        <f ca="1">ROUND(VLOOKUP(100,enemy_base_stats!$A:$F,4,FALSE)* AA841* L841*Q841*G841*U841*AF841*[2]ステータス!$D$2,0)</f>
        <v>0</v>
      </c>
      <c r="AM841" s="97">
        <f ca="1">VLOOKUP(M841,[2]character_tribe_i18n!$A:$I,9,FALSE)</f>
        <v>480</v>
      </c>
      <c r="AN841" s="97">
        <v>0</v>
      </c>
      <c r="AO841" s="98">
        <v>0</v>
      </c>
      <c r="AP841" s="58" t="s">
        <v>72</v>
      </c>
      <c r="AQ841" s="34">
        <f t="shared" ca="1" si="50"/>
        <v>840</v>
      </c>
    </row>
    <row r="842" spans="1:43" ht="21" customHeight="1" x14ac:dyDescent="0.15">
      <c r="A842" s="7">
        <f t="shared" ca="1" si="49"/>
        <v>841</v>
      </c>
      <c r="B842" s="6" t="str">
        <f ca="1">VLOOKUP(A842,[2]characters!$A:$C,3,FALSE)</f>
        <v>排斥の不死鳥 フェニックス</v>
      </c>
      <c r="C842" s="9">
        <f ca="1">VLOOKUP(A842,[2]characters!$A:$I,9,FALSE)</f>
        <v>5</v>
      </c>
      <c r="D842" s="9" t="str">
        <f ca="1">VLOOKUP(A842,[2]characters!$A:$H,8,FALSE)</f>
        <v>red</v>
      </c>
      <c r="E842" s="97">
        <f ca="1">VLOOKUP(D842,[2]属性!$A:$E,2,FALSE)</f>
        <v>1</v>
      </c>
      <c r="F842" s="97">
        <f ca="1">VLOOKUP(D842,[2]属性!$A:$E,3,FALSE)</f>
        <v>1.02</v>
      </c>
      <c r="G842" s="97">
        <f ca="1">VLOOKUP(D842,[2]属性!$A:$F,4,FALSE)</f>
        <v>1</v>
      </c>
      <c r="H842" s="9" t="str">
        <f ca="1">VLOOKUP(A842,[2]characters!$A:$K,11,FALSE)</f>
        <v>hp</v>
      </c>
      <c r="I842" s="6" t="str">
        <f ca="1">VLOOKUP(H842,[2]character_type_i18n!$A:$F,3,FALSE)</f>
        <v>体力タイプ</v>
      </c>
      <c r="J842" s="97">
        <f ca="1">VLOOKUP(H842,[2]character_type_i18n!$A:$F,4,FALSE)</f>
        <v>1.45</v>
      </c>
      <c r="K842" s="97">
        <f ca="1">VLOOKUP(H842,[2]character_type_i18n!$A:$F,5,FALSE)</f>
        <v>0.85</v>
      </c>
      <c r="L842" s="97">
        <f ca="1">VLOOKUP(H842,[2]character_type_i18n!$A:$F,6,FALSE)</f>
        <v>1</v>
      </c>
      <c r="M842" s="9" t="str">
        <f ca="1">VLOOKUP(A842,[2]characters!$A:$M,13,FALSE)</f>
        <v>animal</v>
      </c>
      <c r="N842" s="6" t="str">
        <f ca="1">VLOOKUP(M842,[2]character_tribe_i18n!$A:$F,3,FALSE)</f>
        <v>アニマル</v>
      </c>
      <c r="O842" s="97">
        <f ca="1">VLOOKUP(M842,[2]character_tribe_i18n!$A:$F,4,FALSE)</f>
        <v>1</v>
      </c>
      <c r="P842" s="97">
        <f ca="1">VLOOKUP(M842,[2]character_tribe_i18n!$A:$F,5,FALSE)</f>
        <v>1.1000000000000001</v>
      </c>
      <c r="Q842" s="97">
        <f ca="1">VLOOKUP(M842,[2]character_tribe_i18n!$A:$F,6,FALSE)</f>
        <v>1</v>
      </c>
      <c r="R842" s="98" t="s">
        <v>98</v>
      </c>
      <c r="S842" s="97">
        <f>VLOOKUP($R842,ラベル別係数!$A$1:$E$7,3,FALSE)</f>
        <v>5</v>
      </c>
      <c r="T842" s="97">
        <f>VLOOKUP($R842,ラベル別係数!$A$1:$E$7,4,FALSE)</f>
        <v>1.3</v>
      </c>
      <c r="U842" s="97">
        <f>VLOOKUP($R842,ラベル別係数!$A$1:$E$7,5,FALSE)</f>
        <v>0.8</v>
      </c>
      <c r="V842" s="98">
        <v>3</v>
      </c>
      <c r="W842" s="99">
        <f>VLOOKUP(V842,ターン数別攻撃係数!$A$1:$B$1000,2,FALSE)</f>
        <v>1</v>
      </c>
      <c r="X842" s="9">
        <f ca="1">VLOOKUP(C842,サイズ別係数!A$2:B$9,2,FALSE)</f>
        <v>60</v>
      </c>
      <c r="Y842" s="97">
        <f ca="1">VLOOKUP($X842,サイズ別係数!$B:$E,2,FALSE)</f>
        <v>1.7</v>
      </c>
      <c r="Z842" s="97">
        <f ca="1">VLOOKUP($X842,サイズ別係数!$B:$E,3,FALSE)</f>
        <v>1.4</v>
      </c>
      <c r="AA842" s="97">
        <f ca="1">VLOOKUP($X842,サイズ別係数!$B:$E,4,FALSE)</f>
        <v>1</v>
      </c>
      <c r="AB842" s="10">
        <v>0</v>
      </c>
      <c r="AC842" s="6" t="str">
        <f ca="1">VLOOKUP($AB842,OFFSET([3]enemy_skill_sets!$B$2,0,0,COUNTA([3]enemy_skill_sets!$A:$A),MATCH(AC$1,[3]enemy_skill_sets!$1:$1,0)-MATCH($AB$1,[3]enemy_skill_sets!$1:$1,0)+1),MATCH(AC$1,[3]enemy_skill_sets!$1:$1,0)-MATCH($AB$1,[3]enemy_skill_sets!$1:$1,0)+1,FALSE)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2" s="67">
        <v>1</v>
      </c>
      <c r="AE842" s="67">
        <v>1</v>
      </c>
      <c r="AF842" s="68">
        <v>0</v>
      </c>
      <c r="AG842" s="99">
        <f ca="1">ROUND(VLOOKUP(1,enemy_base_stats!$A:$F,2,FALSE) * Y842* J842*O842*E842*S842*AD842*[2]ステータス!$B$2,0)</f>
        <v>6163</v>
      </c>
      <c r="AH842" s="99">
        <f ca="1">ROUND(VLOOKUP(1,enemy_base_stats!$A:$F,3,FALSE) * Z842*K842*P842*F842*T842*AE842 * W842*[2]ステータス!$C$2,0)</f>
        <v>260</v>
      </c>
      <c r="AI842" s="99">
        <f ca="1">ROUND(VLOOKUP(1,enemy_base_stats!$A:$F,4,FALSE) * AA842*L842*Q842*G842*U842*AF842*[2]ステータス!$D$2,0)</f>
        <v>0</v>
      </c>
      <c r="AJ842" s="99">
        <f ca="1">ROUND(VLOOKUP(100,enemy_base_stats!$A:$F,2,FALSE) * Y842* J842*O842*E842*S842*AD842*[2]ステータス!$B$2,0)</f>
        <v>250198</v>
      </c>
      <c r="AK842" s="99">
        <f ca="1">ROUND(VLOOKUP(100,enemy_base_stats!$A:$F,3,FALSE)* Z842* K842*P842*F842*T842*AE842 * W842*[2]ステータス!$C$2,0)</f>
        <v>10571</v>
      </c>
      <c r="AL842" s="99">
        <f ca="1">ROUND(VLOOKUP(100,enemy_base_stats!$A:$F,4,FALSE)* AA842* L842*Q842*G842*U842*AF842*[2]ステータス!$D$2,0)</f>
        <v>0</v>
      </c>
      <c r="AM842" s="97">
        <f ca="1">VLOOKUP(M842,[2]character_tribe_i18n!$A:$I,9,FALSE)</f>
        <v>480</v>
      </c>
      <c r="AN842" s="97">
        <v>0</v>
      </c>
      <c r="AO842" s="98">
        <v>0</v>
      </c>
      <c r="AP842" s="58" t="s">
        <v>72</v>
      </c>
      <c r="AQ842" s="34">
        <f t="shared" ca="1" si="50"/>
        <v>841</v>
      </c>
    </row>
    <row r="843" spans="1:43" ht="21" customHeight="1" x14ac:dyDescent="0.15">
      <c r="A843" s="7">
        <f t="shared" ca="1" si="49"/>
        <v>842</v>
      </c>
      <c r="B843" s="6" t="str">
        <f ca="1">VLOOKUP(A843,[2]characters!$A:$C,3,FALSE)</f>
        <v>セイレーン</v>
      </c>
      <c r="C843" s="9">
        <f ca="1">VLOOKUP(A843,[2]characters!$A:$I,9,FALSE)</f>
        <v>4</v>
      </c>
      <c r="D843" s="9" t="str">
        <f ca="1">VLOOKUP(A843,[2]characters!$A:$H,8,FALSE)</f>
        <v>blue</v>
      </c>
      <c r="E843" s="97">
        <f ca="1">VLOOKUP(D843,[2]属性!$A:$E,2,FALSE)</f>
        <v>1</v>
      </c>
      <c r="F843" s="97">
        <f ca="1">VLOOKUP(D843,[2]属性!$A:$E,3,FALSE)</f>
        <v>0.98</v>
      </c>
      <c r="G843" s="97">
        <f ca="1">VLOOKUP(D843,[2]属性!$A:$F,4,FALSE)</f>
        <v>1</v>
      </c>
      <c r="H843" s="9" t="str">
        <f ca="1">VLOOKUP(A843,[2]characters!$A:$K,11,FALSE)</f>
        <v>heal</v>
      </c>
      <c r="I843" s="6" t="str">
        <f ca="1">VLOOKUP(H843,[2]character_type_i18n!$A:$F,3,FALSE)</f>
        <v>回復タイプ</v>
      </c>
      <c r="J843" s="97">
        <f ca="1">VLOOKUP(H843,[2]character_type_i18n!$A:$F,4,FALSE)</f>
        <v>0.8</v>
      </c>
      <c r="K843" s="97">
        <f ca="1">VLOOKUP(H843,[2]character_type_i18n!$A:$F,5,FALSE)</f>
        <v>0.78</v>
      </c>
      <c r="L843" s="97">
        <f ca="1">VLOOKUP(H843,[2]character_type_i18n!$A:$F,6,FALSE)</f>
        <v>1</v>
      </c>
      <c r="M843" s="9" t="str">
        <f ca="1">VLOOKUP(A843,[2]characters!$A:$M,13,FALSE)</f>
        <v>animal</v>
      </c>
      <c r="N843" s="6" t="str">
        <f ca="1">VLOOKUP(M843,[2]character_tribe_i18n!$A:$F,3,FALSE)</f>
        <v>アニマル</v>
      </c>
      <c r="O843" s="97">
        <f ca="1">VLOOKUP(M843,[2]character_tribe_i18n!$A:$F,4,FALSE)</f>
        <v>1</v>
      </c>
      <c r="P843" s="97">
        <f ca="1">VLOOKUP(M843,[2]character_tribe_i18n!$A:$F,5,FALSE)</f>
        <v>1.1000000000000001</v>
      </c>
      <c r="Q843" s="97">
        <f ca="1">VLOOKUP(M843,[2]character_tribe_i18n!$A:$F,6,FALSE)</f>
        <v>1</v>
      </c>
      <c r="R843" s="98" t="s">
        <v>98</v>
      </c>
      <c r="S843" s="97">
        <f>VLOOKUP($R843,ラベル別係数!$A$1:$E$7,3,FALSE)</f>
        <v>5</v>
      </c>
      <c r="T843" s="97">
        <f>VLOOKUP($R843,ラベル別係数!$A$1:$E$7,4,FALSE)</f>
        <v>1.3</v>
      </c>
      <c r="U843" s="97">
        <f>VLOOKUP($R843,ラベル別係数!$A$1:$E$7,5,FALSE)</f>
        <v>0.8</v>
      </c>
      <c r="V843" s="98">
        <v>3</v>
      </c>
      <c r="W843" s="99">
        <f>VLOOKUP(V843,ターン数別攻撃係数!$A$1:$B$1000,2,FALSE)</f>
        <v>1</v>
      </c>
      <c r="X843" s="9">
        <f ca="1">VLOOKUP(C843,サイズ別係数!A$2:B$9,2,FALSE)</f>
        <v>30</v>
      </c>
      <c r="Y843" s="97">
        <f ca="1">VLOOKUP($X843,サイズ別係数!$B:$E,2,FALSE)</f>
        <v>1.3</v>
      </c>
      <c r="Z843" s="97">
        <f ca="1">VLOOKUP($X843,サイズ別係数!$B:$E,3,FALSE)</f>
        <v>1.3</v>
      </c>
      <c r="AA843" s="97">
        <f ca="1">VLOOKUP($X843,サイズ別係数!$B:$E,4,FALSE)</f>
        <v>1.1000000000000001</v>
      </c>
      <c r="AB843" s="10">
        <v>0</v>
      </c>
      <c r="AC843" s="6" t="str">
        <f ca="1">VLOOKUP($AB843,OFFSET([3]enemy_skill_sets!$B$2,0,0,COUNTA([3]enemy_skill_sets!$A:$A),MATCH(AC$1,[3]enemy_skill_sets!$1:$1,0)-MATCH($AB$1,[3]enemy_skill_sets!$1:$1,0)+1),MATCH(AC$1,[3]enemy_skill_sets!$1:$1,0)-MATCH($AB$1,[3]enemy_skill_sets!$1:$1,0)+1,FALSE)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3" s="67">
        <v>1</v>
      </c>
      <c r="AE843" s="67">
        <v>1</v>
      </c>
      <c r="AF843" s="68">
        <v>0</v>
      </c>
      <c r="AG843" s="99">
        <f ca="1">ROUND(VLOOKUP(1,enemy_base_stats!$A:$F,2,FALSE) * Y843* J843*O843*E843*S843*AD843*[2]ステータス!$B$2,0)</f>
        <v>2600</v>
      </c>
      <c r="AH843" s="99">
        <f ca="1">ROUND(VLOOKUP(1,enemy_base_stats!$A:$F,3,FALSE) * Z843*K843*P843*F843*T843*AE843 * W843*[2]ステータス!$C$2,0)</f>
        <v>213</v>
      </c>
      <c r="AI843" s="99">
        <f ca="1">ROUND(VLOOKUP(1,enemy_base_stats!$A:$F,4,FALSE) * AA843*L843*Q843*G843*U843*AF843*[2]ステータス!$D$2,0)</f>
        <v>0</v>
      </c>
      <c r="AJ843" s="99">
        <f ca="1">ROUND(VLOOKUP(100,enemy_base_stats!$A:$F,2,FALSE) * Y843* J843*O843*E843*S843*AD843*[2]ステータス!$B$2,0)</f>
        <v>105560</v>
      </c>
      <c r="AK843" s="99">
        <f ca="1">ROUND(VLOOKUP(100,enemy_base_stats!$A:$F,3,FALSE)* Z843* K843*P843*F843*T843*AE843 * W843*[2]ステータス!$C$2,0)</f>
        <v>8654</v>
      </c>
      <c r="AL843" s="99">
        <f ca="1">ROUND(VLOOKUP(100,enemy_base_stats!$A:$F,4,FALSE)* AA843* L843*Q843*G843*U843*AF843*[2]ステータス!$D$2,0)</f>
        <v>0</v>
      </c>
      <c r="AM843" s="97">
        <f ca="1">VLOOKUP(M843,[2]character_tribe_i18n!$A:$I,9,FALSE)</f>
        <v>480</v>
      </c>
      <c r="AN843" s="97">
        <v>0</v>
      </c>
      <c r="AO843" s="98">
        <v>0</v>
      </c>
      <c r="AP843" s="58" t="s">
        <v>72</v>
      </c>
      <c r="AQ843" s="34">
        <f t="shared" ca="1" si="50"/>
        <v>842</v>
      </c>
    </row>
    <row r="844" spans="1:43" ht="21" customHeight="1" x14ac:dyDescent="0.15">
      <c r="A844" s="7">
        <f t="shared" ca="1" si="49"/>
        <v>843</v>
      </c>
      <c r="B844" s="6" t="str">
        <f ca="1">VLOOKUP(A844,[2]characters!$A:$C,3,FALSE)</f>
        <v>荒れ狂う乱歌 セイレーン</v>
      </c>
      <c r="C844" s="9">
        <f ca="1">VLOOKUP(A844,[2]characters!$A:$I,9,FALSE)</f>
        <v>5</v>
      </c>
      <c r="D844" s="9" t="str">
        <f ca="1">VLOOKUP(A844,[2]characters!$A:$H,8,FALSE)</f>
        <v>blue</v>
      </c>
      <c r="E844" s="97">
        <f ca="1">VLOOKUP(D844,[2]属性!$A:$E,2,FALSE)</f>
        <v>1</v>
      </c>
      <c r="F844" s="97">
        <f ca="1">VLOOKUP(D844,[2]属性!$A:$E,3,FALSE)</f>
        <v>0.98</v>
      </c>
      <c r="G844" s="97">
        <f ca="1">VLOOKUP(D844,[2]属性!$A:$F,4,FALSE)</f>
        <v>1</v>
      </c>
      <c r="H844" s="9" t="str">
        <f ca="1">VLOOKUP(A844,[2]characters!$A:$K,11,FALSE)</f>
        <v>heal</v>
      </c>
      <c r="I844" s="6" t="str">
        <f ca="1">VLOOKUP(H844,[2]character_type_i18n!$A:$F,3,FALSE)</f>
        <v>回復タイプ</v>
      </c>
      <c r="J844" s="97">
        <f ca="1">VLOOKUP(H844,[2]character_type_i18n!$A:$F,4,FALSE)</f>
        <v>0.8</v>
      </c>
      <c r="K844" s="97">
        <f ca="1">VLOOKUP(H844,[2]character_type_i18n!$A:$F,5,FALSE)</f>
        <v>0.78</v>
      </c>
      <c r="L844" s="97">
        <f ca="1">VLOOKUP(H844,[2]character_type_i18n!$A:$F,6,FALSE)</f>
        <v>1</v>
      </c>
      <c r="M844" s="9" t="str">
        <f ca="1">VLOOKUP(A844,[2]characters!$A:$M,13,FALSE)</f>
        <v>animal</v>
      </c>
      <c r="N844" s="6" t="str">
        <f ca="1">VLOOKUP(M844,[2]character_tribe_i18n!$A:$F,3,FALSE)</f>
        <v>アニマル</v>
      </c>
      <c r="O844" s="97">
        <f ca="1">VLOOKUP(M844,[2]character_tribe_i18n!$A:$F,4,FALSE)</f>
        <v>1</v>
      </c>
      <c r="P844" s="97">
        <f ca="1">VLOOKUP(M844,[2]character_tribe_i18n!$A:$F,5,FALSE)</f>
        <v>1.1000000000000001</v>
      </c>
      <c r="Q844" s="97">
        <f ca="1">VLOOKUP(M844,[2]character_tribe_i18n!$A:$F,6,FALSE)</f>
        <v>1</v>
      </c>
      <c r="R844" s="98" t="s">
        <v>98</v>
      </c>
      <c r="S844" s="97">
        <f>VLOOKUP($R844,ラベル別係数!$A$1:$E$7,3,FALSE)</f>
        <v>5</v>
      </c>
      <c r="T844" s="97">
        <f>VLOOKUP($R844,ラベル別係数!$A$1:$E$7,4,FALSE)</f>
        <v>1.3</v>
      </c>
      <c r="U844" s="97">
        <f>VLOOKUP($R844,ラベル別係数!$A$1:$E$7,5,FALSE)</f>
        <v>0.8</v>
      </c>
      <c r="V844" s="98">
        <v>3</v>
      </c>
      <c r="W844" s="99">
        <f>VLOOKUP(V844,ターン数別攻撃係数!$A$1:$B$1000,2,FALSE)</f>
        <v>1</v>
      </c>
      <c r="X844" s="9">
        <f ca="1">VLOOKUP(C844,サイズ別係数!A$2:B$9,2,FALSE)</f>
        <v>60</v>
      </c>
      <c r="Y844" s="97">
        <f ca="1">VLOOKUP($X844,サイズ別係数!$B:$E,2,FALSE)</f>
        <v>1.7</v>
      </c>
      <c r="Z844" s="97">
        <f ca="1">VLOOKUP($X844,サイズ別係数!$B:$E,3,FALSE)</f>
        <v>1.4</v>
      </c>
      <c r="AA844" s="97">
        <f ca="1">VLOOKUP($X844,サイズ別係数!$B:$E,4,FALSE)</f>
        <v>1</v>
      </c>
      <c r="AB844" s="10">
        <v>0</v>
      </c>
      <c r="AC844" s="6" t="str">
        <f ca="1">VLOOKUP($AB844,OFFSET([3]enemy_skill_sets!$B$2,0,0,COUNTA([3]enemy_skill_sets!$A:$A),MATCH(AC$1,[3]enemy_skill_sets!$1:$1,0)-MATCH($AB$1,[3]enemy_skill_sets!$1:$1,0)+1),MATCH(AC$1,[3]enemy_skill_sets!$1:$1,0)-MATCH($AB$1,[3]enemy_skill_sets!$1:$1,0)+1,FALSE)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4" s="67">
        <v>1</v>
      </c>
      <c r="AE844" s="67">
        <v>1</v>
      </c>
      <c r="AF844" s="68">
        <v>0</v>
      </c>
      <c r="AG844" s="99">
        <f ca="1">ROUND(VLOOKUP(1,enemy_base_stats!$A:$F,2,FALSE) * Y844* J844*O844*E844*S844*AD844*[2]ステータス!$B$2,0)</f>
        <v>3400</v>
      </c>
      <c r="AH844" s="99">
        <f ca="1">ROUND(VLOOKUP(1,enemy_base_stats!$A:$F,3,FALSE) * Z844*K844*P844*F844*T844*AE844 * W844*[2]ステータス!$C$2,0)</f>
        <v>230</v>
      </c>
      <c r="AI844" s="99">
        <f ca="1">ROUND(VLOOKUP(1,enemy_base_stats!$A:$F,4,FALSE) * AA844*L844*Q844*G844*U844*AF844*[2]ステータス!$D$2,0)</f>
        <v>0</v>
      </c>
      <c r="AJ844" s="99">
        <f ca="1">ROUND(VLOOKUP(100,enemy_base_stats!$A:$F,2,FALSE) * Y844* J844*O844*E844*S844*AD844*[2]ステータス!$B$2,0)</f>
        <v>138040</v>
      </c>
      <c r="AK844" s="99">
        <f ca="1">ROUND(VLOOKUP(100,enemy_base_stats!$A:$F,3,FALSE)* Z844* K844*P844*F844*T844*AE844 * W844*[2]ステータス!$C$2,0)</f>
        <v>9320</v>
      </c>
      <c r="AL844" s="99">
        <f ca="1">ROUND(VLOOKUP(100,enemy_base_stats!$A:$F,4,FALSE)* AA844* L844*Q844*G844*U844*AF844*[2]ステータス!$D$2,0)</f>
        <v>0</v>
      </c>
      <c r="AM844" s="97">
        <f ca="1">VLOOKUP(M844,[2]character_tribe_i18n!$A:$I,9,FALSE)</f>
        <v>480</v>
      </c>
      <c r="AN844" s="97">
        <v>0</v>
      </c>
      <c r="AO844" s="98">
        <v>0</v>
      </c>
      <c r="AP844" s="58" t="s">
        <v>72</v>
      </c>
      <c r="AQ844" s="34">
        <f t="shared" ca="1" si="50"/>
        <v>843</v>
      </c>
    </row>
    <row r="845" spans="1:43" ht="21" customHeight="1" x14ac:dyDescent="0.15">
      <c r="A845" s="7">
        <f t="shared" ca="1" si="49"/>
        <v>844</v>
      </c>
      <c r="B845" s="6" t="str">
        <f ca="1">VLOOKUP(A845,[2]characters!$A:$C,3,FALSE)</f>
        <v>ベルゼブブ</v>
      </c>
      <c r="C845" s="9">
        <f ca="1">VLOOKUP(A845,[2]characters!$A:$I,9,FALSE)</f>
        <v>5</v>
      </c>
      <c r="D845" s="9" t="str">
        <f ca="1">VLOOKUP(A845,[2]characters!$A:$H,8,FALSE)</f>
        <v>green</v>
      </c>
      <c r="E845" s="97">
        <f ca="1">VLOOKUP(D845,[2]属性!$A:$E,2,FALSE)</f>
        <v>1.02</v>
      </c>
      <c r="F845" s="97">
        <f ca="1">VLOOKUP(D845,[2]属性!$A:$E,3,FALSE)</f>
        <v>0.98</v>
      </c>
      <c r="G845" s="97">
        <f ca="1">VLOOKUP(D845,[2]属性!$A:$F,4,FALSE)</f>
        <v>1</v>
      </c>
      <c r="H845" s="9" t="str">
        <f ca="1">VLOOKUP(A845,[2]characters!$A:$K,11,FALSE)</f>
        <v>technical</v>
      </c>
      <c r="I845" s="6" t="str">
        <f ca="1">VLOOKUP(H845,[2]character_type_i18n!$A:$F,3,FALSE)</f>
        <v>テクニカルタイプ</v>
      </c>
      <c r="J845" s="97">
        <f ca="1">VLOOKUP(H845,[2]character_type_i18n!$A:$F,4,FALSE)</f>
        <v>0.9</v>
      </c>
      <c r="K845" s="97">
        <f ca="1">VLOOKUP(H845,[2]character_type_i18n!$A:$F,5,FALSE)</f>
        <v>0.9</v>
      </c>
      <c r="L845" s="97">
        <f ca="1">VLOOKUP(H845,[2]character_type_i18n!$A:$F,6,FALSE)</f>
        <v>1</v>
      </c>
      <c r="M845" s="9" t="str">
        <f ca="1">VLOOKUP(A845,[2]characters!$A:$M,13,FALSE)</f>
        <v>god</v>
      </c>
      <c r="N845" s="6" t="str">
        <f ca="1">VLOOKUP(M845,[2]character_tribe_i18n!$A:$F,3,FALSE)</f>
        <v>ゴッド</v>
      </c>
      <c r="O845" s="97">
        <f ca="1">VLOOKUP(M845,[2]character_tribe_i18n!$A:$F,4,FALSE)</f>
        <v>0.96</v>
      </c>
      <c r="P845" s="97">
        <f ca="1">VLOOKUP(M845,[2]character_tribe_i18n!$A:$F,5,FALSE)</f>
        <v>1.02</v>
      </c>
      <c r="Q845" s="97">
        <f ca="1">VLOOKUP(M845,[2]character_tribe_i18n!$A:$F,6,FALSE)</f>
        <v>1</v>
      </c>
      <c r="R845" s="98" t="s">
        <v>98</v>
      </c>
      <c r="S845" s="97">
        <f>VLOOKUP($R845,ラベル別係数!$A$1:$E$7,3,FALSE)</f>
        <v>5</v>
      </c>
      <c r="T845" s="97">
        <f>VLOOKUP($R845,ラベル別係数!$A$1:$E$7,4,FALSE)</f>
        <v>1.3</v>
      </c>
      <c r="U845" s="97">
        <f>VLOOKUP($R845,ラベル別係数!$A$1:$E$7,5,FALSE)</f>
        <v>0.8</v>
      </c>
      <c r="V845" s="98">
        <v>3</v>
      </c>
      <c r="W845" s="99">
        <f>VLOOKUP(V845,ターン数別攻撃係数!$A$1:$B$1000,2,FALSE)</f>
        <v>1</v>
      </c>
      <c r="X845" s="9">
        <f ca="1">VLOOKUP(C845,サイズ別係数!A$2:B$9,2,FALSE)</f>
        <v>60</v>
      </c>
      <c r="Y845" s="97">
        <f ca="1">VLOOKUP($X845,サイズ別係数!$B:$E,2,FALSE)</f>
        <v>1.7</v>
      </c>
      <c r="Z845" s="97">
        <f ca="1">VLOOKUP($X845,サイズ別係数!$B:$E,3,FALSE)</f>
        <v>1.4</v>
      </c>
      <c r="AA845" s="97">
        <f ca="1">VLOOKUP($X845,サイズ別係数!$B:$E,4,FALSE)</f>
        <v>1</v>
      </c>
      <c r="AB845" s="10">
        <v>0</v>
      </c>
      <c r="AC845" s="6" t="str">
        <f ca="1">VLOOKUP($AB845,OFFSET([3]enemy_skill_sets!$B$2,0,0,COUNTA([3]enemy_skill_sets!$A:$A),MATCH(AC$1,[3]enemy_skill_sets!$1:$1,0)-MATCH($AB$1,[3]enemy_skill_sets!$1:$1,0)+1),MATCH(AC$1,[3]enemy_skill_sets!$1:$1,0)-MATCH($AB$1,[3]enemy_skill_sets!$1:$1,0)+1,FALSE)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5" s="67">
        <v>1</v>
      </c>
      <c r="AE845" s="67">
        <v>1</v>
      </c>
      <c r="AF845" s="68">
        <v>0</v>
      </c>
      <c r="AG845" s="99">
        <f ca="1">ROUND(VLOOKUP(1,enemy_base_stats!$A:$F,2,FALSE) * Y845* J845*O845*E845*S845*AD845*[2]ステータス!$B$2,0)</f>
        <v>3745</v>
      </c>
      <c r="AH845" s="99">
        <f ca="1">ROUND(VLOOKUP(1,enemy_base_stats!$A:$F,3,FALSE) * Z845*K845*P845*F845*T845*AE845 * W845*[2]ステータス!$C$2,0)</f>
        <v>246</v>
      </c>
      <c r="AI845" s="99">
        <f ca="1">ROUND(VLOOKUP(1,enemy_base_stats!$A:$F,4,FALSE) * AA845*L845*Q845*G845*U845*AF845*[2]ステータス!$D$2,0)</f>
        <v>0</v>
      </c>
      <c r="AJ845" s="99">
        <f ca="1">ROUND(VLOOKUP(100,enemy_base_stats!$A:$F,2,FALSE) * Y845* J845*O845*E845*S845*AD845*[2]ステータス!$B$2,0)</f>
        <v>152065</v>
      </c>
      <c r="AK845" s="99">
        <f ca="1">ROUND(VLOOKUP(100,enemy_base_stats!$A:$F,3,FALSE)* Z845* K845*P845*F845*T845*AE845 * W845*[2]ステータス!$C$2,0)</f>
        <v>9971</v>
      </c>
      <c r="AL845" s="99">
        <f ca="1">ROUND(VLOOKUP(100,enemy_base_stats!$A:$F,4,FALSE)* AA845* L845*Q845*G845*U845*AF845*[2]ステータス!$D$2,0)</f>
        <v>0</v>
      </c>
      <c r="AM845" s="97">
        <f ca="1">VLOOKUP(M845,[2]character_tribe_i18n!$A:$I,9,FALSE)</f>
        <v>680</v>
      </c>
      <c r="AN845" s="97">
        <v>0</v>
      </c>
      <c r="AO845" s="98">
        <v>0</v>
      </c>
      <c r="AP845" s="58" t="s">
        <v>72</v>
      </c>
      <c r="AQ845" s="34">
        <f t="shared" ca="1" si="50"/>
        <v>844</v>
      </c>
    </row>
    <row r="846" spans="1:43" ht="21" customHeight="1" x14ac:dyDescent="0.15">
      <c r="A846" s="7">
        <f t="shared" ca="1" si="49"/>
        <v>845</v>
      </c>
      <c r="B846" s="6" t="str">
        <f ca="1">VLOOKUP(A846,[2]characters!$A:$C,3,FALSE)</f>
        <v>妖艶なる蝿王 ベルゼブブ</v>
      </c>
      <c r="C846" s="9">
        <f ca="1">VLOOKUP(A846,[2]characters!$A:$I,9,FALSE)</f>
        <v>6</v>
      </c>
      <c r="D846" s="9" t="str">
        <f ca="1">VLOOKUP(A846,[2]characters!$A:$H,8,FALSE)</f>
        <v>green</v>
      </c>
      <c r="E846" s="97">
        <f ca="1">VLOOKUP(D846,[2]属性!$A:$E,2,FALSE)</f>
        <v>1.02</v>
      </c>
      <c r="F846" s="97">
        <f ca="1">VLOOKUP(D846,[2]属性!$A:$E,3,FALSE)</f>
        <v>0.98</v>
      </c>
      <c r="G846" s="97">
        <f ca="1">VLOOKUP(D846,[2]属性!$A:$F,4,FALSE)</f>
        <v>1</v>
      </c>
      <c r="H846" s="9" t="str">
        <f ca="1">VLOOKUP(A846,[2]characters!$A:$K,11,FALSE)</f>
        <v>technical</v>
      </c>
      <c r="I846" s="6" t="str">
        <f ca="1">VLOOKUP(H846,[2]character_type_i18n!$A:$F,3,FALSE)</f>
        <v>テクニカルタイプ</v>
      </c>
      <c r="J846" s="97">
        <f ca="1">VLOOKUP(H846,[2]character_type_i18n!$A:$F,4,FALSE)</f>
        <v>0.9</v>
      </c>
      <c r="K846" s="97">
        <f ca="1">VLOOKUP(H846,[2]character_type_i18n!$A:$F,5,FALSE)</f>
        <v>0.9</v>
      </c>
      <c r="L846" s="97">
        <f ca="1">VLOOKUP(H846,[2]character_type_i18n!$A:$F,6,FALSE)</f>
        <v>1</v>
      </c>
      <c r="M846" s="9" t="str">
        <f ca="1">VLOOKUP(A846,[2]characters!$A:$M,13,FALSE)</f>
        <v>god</v>
      </c>
      <c r="N846" s="6" t="str">
        <f ca="1">VLOOKUP(M846,[2]character_tribe_i18n!$A:$F,3,FALSE)</f>
        <v>ゴッド</v>
      </c>
      <c r="O846" s="97">
        <f ca="1">VLOOKUP(M846,[2]character_tribe_i18n!$A:$F,4,FALSE)</f>
        <v>0.96</v>
      </c>
      <c r="P846" s="97">
        <f ca="1">VLOOKUP(M846,[2]character_tribe_i18n!$A:$F,5,FALSE)</f>
        <v>1.02</v>
      </c>
      <c r="Q846" s="97">
        <f ca="1">VLOOKUP(M846,[2]character_tribe_i18n!$A:$F,6,FALSE)</f>
        <v>1</v>
      </c>
      <c r="R846" s="98" t="s">
        <v>98</v>
      </c>
      <c r="S846" s="97">
        <f>VLOOKUP($R846,ラベル別係数!$A$1:$E$7,3,FALSE)</f>
        <v>5</v>
      </c>
      <c r="T846" s="97">
        <f>VLOOKUP($R846,ラベル別係数!$A$1:$E$7,4,FALSE)</f>
        <v>1.3</v>
      </c>
      <c r="U846" s="97">
        <f>VLOOKUP($R846,ラベル別係数!$A$1:$E$7,5,FALSE)</f>
        <v>0.8</v>
      </c>
      <c r="V846" s="98">
        <v>3</v>
      </c>
      <c r="W846" s="99">
        <f>VLOOKUP(V846,ターン数別攻撃係数!$A$1:$B$1000,2,FALSE)</f>
        <v>1</v>
      </c>
      <c r="X846" s="9">
        <f ca="1">VLOOKUP(C846,サイズ別係数!A$2:B$9,2,FALSE)</f>
        <v>60</v>
      </c>
      <c r="Y846" s="97">
        <f ca="1">VLOOKUP($X846,サイズ別係数!$B:$E,2,FALSE)</f>
        <v>1.7</v>
      </c>
      <c r="Z846" s="97">
        <f ca="1">VLOOKUP($X846,サイズ別係数!$B:$E,3,FALSE)</f>
        <v>1.4</v>
      </c>
      <c r="AA846" s="97">
        <f ca="1">VLOOKUP($X846,サイズ別係数!$B:$E,4,FALSE)</f>
        <v>1</v>
      </c>
      <c r="AB846" s="10">
        <v>0</v>
      </c>
      <c r="AC846" s="6" t="str">
        <f ca="1">VLOOKUP($AB846,OFFSET([3]enemy_skill_sets!$B$2,0,0,COUNTA([3]enemy_skill_sets!$A:$A),MATCH(AC$1,[3]enemy_skill_sets!$1:$1,0)-MATCH($AB$1,[3]enemy_skill_sets!$1:$1,0)+1),MATCH(AC$1,[3]enemy_skill_sets!$1:$1,0)-MATCH($AB$1,[3]enemy_skill_sets!$1:$1,0)+1,FALSE)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6" s="67">
        <v>1</v>
      </c>
      <c r="AE846" s="67">
        <v>1</v>
      </c>
      <c r="AF846" s="68">
        <v>0</v>
      </c>
      <c r="AG846" s="99">
        <f ca="1">ROUND(VLOOKUP(1,enemy_base_stats!$A:$F,2,FALSE) * Y846* J846*O846*E846*S846*AD846*[2]ステータス!$B$2,0)</f>
        <v>3745</v>
      </c>
      <c r="AH846" s="99">
        <f ca="1">ROUND(VLOOKUP(1,enemy_base_stats!$A:$F,3,FALSE) * Z846*K846*P846*F846*T846*AE846 * W846*[2]ステータス!$C$2,0)</f>
        <v>246</v>
      </c>
      <c r="AI846" s="99">
        <f ca="1">ROUND(VLOOKUP(1,enemy_base_stats!$A:$F,4,FALSE) * AA846*L846*Q846*G846*U846*AF846*[2]ステータス!$D$2,0)</f>
        <v>0</v>
      </c>
      <c r="AJ846" s="99">
        <f ca="1">ROUND(VLOOKUP(100,enemy_base_stats!$A:$F,2,FALSE) * Y846* J846*O846*E846*S846*AD846*[2]ステータス!$B$2,0)</f>
        <v>152065</v>
      </c>
      <c r="AK846" s="99">
        <f ca="1">ROUND(VLOOKUP(100,enemy_base_stats!$A:$F,3,FALSE)* Z846* K846*P846*F846*T846*AE846 * W846*[2]ステータス!$C$2,0)</f>
        <v>9971</v>
      </c>
      <c r="AL846" s="99">
        <f ca="1">ROUND(VLOOKUP(100,enemy_base_stats!$A:$F,4,FALSE)* AA846* L846*Q846*G846*U846*AF846*[2]ステータス!$D$2,0)</f>
        <v>0</v>
      </c>
      <c r="AM846" s="97">
        <f ca="1">VLOOKUP(M846,[2]character_tribe_i18n!$A:$I,9,FALSE)</f>
        <v>680</v>
      </c>
      <c r="AN846" s="97">
        <v>0</v>
      </c>
      <c r="AO846" s="98">
        <v>0</v>
      </c>
      <c r="AP846" s="58" t="s">
        <v>72</v>
      </c>
      <c r="AQ846" s="34">
        <f t="shared" ca="1" si="50"/>
        <v>845</v>
      </c>
    </row>
    <row r="847" spans="1:43" ht="21" customHeight="1" x14ac:dyDescent="0.15">
      <c r="A847" s="7">
        <f t="shared" ca="1" si="49"/>
        <v>846</v>
      </c>
      <c r="B847" s="6" t="str">
        <f ca="1">VLOOKUP(A847,[2]characters!$A:$C,3,FALSE)</f>
        <v>ルシファー</v>
      </c>
      <c r="C847" s="9">
        <f ca="1">VLOOKUP(A847,[2]characters!$A:$I,9,FALSE)</f>
        <v>5</v>
      </c>
      <c r="D847" s="9" t="str">
        <f ca="1">VLOOKUP(A847,[2]characters!$A:$H,8,FALSE)</f>
        <v>green</v>
      </c>
      <c r="E847" s="97">
        <f ca="1">VLOOKUP(D847,[2]属性!$A:$E,2,FALSE)</f>
        <v>1.02</v>
      </c>
      <c r="F847" s="97">
        <f ca="1">VLOOKUP(D847,[2]属性!$A:$E,3,FALSE)</f>
        <v>0.98</v>
      </c>
      <c r="G847" s="97">
        <f ca="1">VLOOKUP(D847,[2]属性!$A:$F,4,FALSE)</f>
        <v>1</v>
      </c>
      <c r="H847" s="9" t="str">
        <f ca="1">VLOOKUP(A847,[2]characters!$A:$K,11,FALSE)</f>
        <v>attack</v>
      </c>
      <c r="I847" s="6" t="str">
        <f ca="1">VLOOKUP(H847,[2]character_type_i18n!$A:$F,3,FALSE)</f>
        <v>攻撃タイプ</v>
      </c>
      <c r="J847" s="97">
        <f ca="1">VLOOKUP(H847,[2]character_type_i18n!$A:$F,4,FALSE)</f>
        <v>1</v>
      </c>
      <c r="K847" s="97">
        <f ca="1">VLOOKUP(H847,[2]character_type_i18n!$A:$F,5,FALSE)</f>
        <v>1.33</v>
      </c>
      <c r="L847" s="97">
        <f ca="1">VLOOKUP(H847,[2]character_type_i18n!$A:$F,6,FALSE)</f>
        <v>1</v>
      </c>
      <c r="M847" s="9" t="str">
        <f ca="1">VLOOKUP(A847,[2]characters!$A:$M,13,FALSE)</f>
        <v>god</v>
      </c>
      <c r="N847" s="6" t="str">
        <f ca="1">VLOOKUP(M847,[2]character_tribe_i18n!$A:$F,3,FALSE)</f>
        <v>ゴッド</v>
      </c>
      <c r="O847" s="97">
        <f ca="1">VLOOKUP(M847,[2]character_tribe_i18n!$A:$F,4,FALSE)</f>
        <v>0.96</v>
      </c>
      <c r="P847" s="97">
        <f ca="1">VLOOKUP(M847,[2]character_tribe_i18n!$A:$F,5,FALSE)</f>
        <v>1.02</v>
      </c>
      <c r="Q847" s="97">
        <f ca="1">VLOOKUP(M847,[2]character_tribe_i18n!$A:$F,6,FALSE)</f>
        <v>1</v>
      </c>
      <c r="R847" s="98" t="s">
        <v>98</v>
      </c>
      <c r="S847" s="97">
        <f>VLOOKUP($R847,ラベル別係数!$A$1:$E$7,3,FALSE)</f>
        <v>5</v>
      </c>
      <c r="T847" s="97">
        <f>VLOOKUP($R847,ラベル別係数!$A$1:$E$7,4,FALSE)</f>
        <v>1.3</v>
      </c>
      <c r="U847" s="97">
        <f>VLOOKUP($R847,ラベル別係数!$A$1:$E$7,5,FALSE)</f>
        <v>0.8</v>
      </c>
      <c r="V847" s="98">
        <v>3</v>
      </c>
      <c r="W847" s="99">
        <f>VLOOKUP(V847,ターン数別攻撃係数!$A$1:$B$1000,2,FALSE)</f>
        <v>1</v>
      </c>
      <c r="X847" s="9">
        <f ca="1">VLOOKUP(C847,サイズ別係数!A$2:B$9,2,FALSE)</f>
        <v>60</v>
      </c>
      <c r="Y847" s="97">
        <f ca="1">VLOOKUP($X847,サイズ別係数!$B:$E,2,FALSE)</f>
        <v>1.7</v>
      </c>
      <c r="Z847" s="97">
        <f ca="1">VLOOKUP($X847,サイズ別係数!$B:$E,3,FALSE)</f>
        <v>1.4</v>
      </c>
      <c r="AA847" s="97">
        <f ca="1">VLOOKUP($X847,サイズ別係数!$B:$E,4,FALSE)</f>
        <v>1</v>
      </c>
      <c r="AB847" s="10">
        <v>0</v>
      </c>
      <c r="AC847" s="6" t="str">
        <f ca="1">VLOOKUP($AB847,OFFSET([3]enemy_skill_sets!$B$2,0,0,COUNTA([3]enemy_skill_sets!$A:$A),MATCH(AC$1,[3]enemy_skill_sets!$1:$1,0)-MATCH($AB$1,[3]enemy_skill_sets!$1:$1,0)+1),MATCH(AC$1,[3]enemy_skill_sets!$1:$1,0)-MATCH($AB$1,[3]enemy_skill_sets!$1:$1,0)+1,FALSE)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7" s="67">
        <v>1</v>
      </c>
      <c r="AE847" s="67">
        <v>1</v>
      </c>
      <c r="AF847" s="68">
        <v>0</v>
      </c>
      <c r="AG847" s="99">
        <f ca="1">ROUND(VLOOKUP(1,enemy_base_stats!$A:$F,2,FALSE) * Y847* J847*O847*E847*S847*AD847*[2]ステータス!$B$2,0)</f>
        <v>4162</v>
      </c>
      <c r="AH847" s="99">
        <f ca="1">ROUND(VLOOKUP(1,enemy_base_stats!$A:$F,3,FALSE) * Z847*K847*P847*F847*T847*AE847 * W847*[2]ステータス!$C$2,0)</f>
        <v>363</v>
      </c>
      <c r="AI847" s="99">
        <f ca="1">ROUND(VLOOKUP(1,enemy_base_stats!$A:$F,4,FALSE) * AA847*L847*Q847*G847*U847*AF847*[2]ステータス!$D$2,0)</f>
        <v>0</v>
      </c>
      <c r="AJ847" s="99">
        <f ca="1">ROUND(VLOOKUP(100,enemy_base_stats!$A:$F,2,FALSE) * Y847* J847*O847*E847*S847*AD847*[2]ステータス!$B$2,0)</f>
        <v>168961</v>
      </c>
      <c r="AK847" s="99">
        <f ca="1">ROUND(VLOOKUP(100,enemy_base_stats!$A:$F,3,FALSE)* Z847* K847*P847*F847*T847*AE847 * W847*[2]ステータス!$C$2,0)</f>
        <v>14736</v>
      </c>
      <c r="AL847" s="99">
        <f ca="1">ROUND(VLOOKUP(100,enemy_base_stats!$A:$F,4,FALSE)* AA847* L847*Q847*G847*U847*AF847*[2]ステータス!$D$2,0)</f>
        <v>0</v>
      </c>
      <c r="AM847" s="97">
        <f ca="1">VLOOKUP(M847,[2]character_tribe_i18n!$A:$I,9,FALSE)</f>
        <v>680</v>
      </c>
      <c r="AN847" s="97">
        <v>0</v>
      </c>
      <c r="AO847" s="98">
        <v>0</v>
      </c>
      <c r="AP847" s="58" t="s">
        <v>72</v>
      </c>
      <c r="AQ847" s="34">
        <f t="shared" ca="1" si="50"/>
        <v>846</v>
      </c>
    </row>
    <row r="848" spans="1:43" ht="21" customHeight="1" x14ac:dyDescent="0.15">
      <c r="A848" s="7">
        <f t="shared" ca="1" si="49"/>
        <v>847</v>
      </c>
      <c r="B848" s="6" t="str">
        <f ca="1">VLOOKUP(A848,[2]characters!$A:$C,3,FALSE)</f>
        <v>傲慢なる堕天史 ルシファー</v>
      </c>
      <c r="C848" s="9">
        <f ca="1">VLOOKUP(A848,[2]characters!$A:$I,9,FALSE)</f>
        <v>6</v>
      </c>
      <c r="D848" s="9" t="str">
        <f ca="1">VLOOKUP(A848,[2]characters!$A:$H,8,FALSE)</f>
        <v>green</v>
      </c>
      <c r="E848" s="97">
        <f ca="1">VLOOKUP(D848,[2]属性!$A:$E,2,FALSE)</f>
        <v>1.02</v>
      </c>
      <c r="F848" s="97">
        <f ca="1">VLOOKUP(D848,[2]属性!$A:$E,3,FALSE)</f>
        <v>0.98</v>
      </c>
      <c r="G848" s="97">
        <f ca="1">VLOOKUP(D848,[2]属性!$A:$F,4,FALSE)</f>
        <v>1</v>
      </c>
      <c r="H848" s="9" t="str">
        <f ca="1">VLOOKUP(A848,[2]characters!$A:$K,11,FALSE)</f>
        <v>attack</v>
      </c>
      <c r="I848" s="6" t="str">
        <f ca="1">VLOOKUP(H848,[2]character_type_i18n!$A:$F,3,FALSE)</f>
        <v>攻撃タイプ</v>
      </c>
      <c r="J848" s="97">
        <f ca="1">VLOOKUP(H848,[2]character_type_i18n!$A:$F,4,FALSE)</f>
        <v>1</v>
      </c>
      <c r="K848" s="97">
        <f ca="1">VLOOKUP(H848,[2]character_type_i18n!$A:$F,5,FALSE)</f>
        <v>1.33</v>
      </c>
      <c r="L848" s="97">
        <f ca="1">VLOOKUP(H848,[2]character_type_i18n!$A:$F,6,FALSE)</f>
        <v>1</v>
      </c>
      <c r="M848" s="9" t="str">
        <f ca="1">VLOOKUP(A848,[2]characters!$A:$M,13,FALSE)</f>
        <v>god</v>
      </c>
      <c r="N848" s="6" t="str">
        <f ca="1">VLOOKUP(M848,[2]character_tribe_i18n!$A:$F,3,FALSE)</f>
        <v>ゴッド</v>
      </c>
      <c r="O848" s="97">
        <f ca="1">VLOOKUP(M848,[2]character_tribe_i18n!$A:$F,4,FALSE)</f>
        <v>0.96</v>
      </c>
      <c r="P848" s="97">
        <f ca="1">VLOOKUP(M848,[2]character_tribe_i18n!$A:$F,5,FALSE)</f>
        <v>1.02</v>
      </c>
      <c r="Q848" s="97">
        <f ca="1">VLOOKUP(M848,[2]character_tribe_i18n!$A:$F,6,FALSE)</f>
        <v>1</v>
      </c>
      <c r="R848" s="98" t="s">
        <v>98</v>
      </c>
      <c r="S848" s="97">
        <f>VLOOKUP($R848,ラベル別係数!$A$1:$E$7,3,FALSE)</f>
        <v>5</v>
      </c>
      <c r="T848" s="97">
        <f>VLOOKUP($R848,ラベル別係数!$A$1:$E$7,4,FALSE)</f>
        <v>1.3</v>
      </c>
      <c r="U848" s="97">
        <f>VLOOKUP($R848,ラベル別係数!$A$1:$E$7,5,FALSE)</f>
        <v>0.8</v>
      </c>
      <c r="V848" s="98">
        <v>3</v>
      </c>
      <c r="W848" s="99">
        <f>VLOOKUP(V848,ターン数別攻撃係数!$A$1:$B$1000,2,FALSE)</f>
        <v>1</v>
      </c>
      <c r="X848" s="9">
        <f ca="1">VLOOKUP(C848,サイズ別係数!A$2:B$9,2,FALSE)</f>
        <v>60</v>
      </c>
      <c r="Y848" s="97">
        <f ca="1">VLOOKUP($X848,サイズ別係数!$B:$E,2,FALSE)</f>
        <v>1.7</v>
      </c>
      <c r="Z848" s="97">
        <f ca="1">VLOOKUP($X848,サイズ別係数!$B:$E,3,FALSE)</f>
        <v>1.4</v>
      </c>
      <c r="AA848" s="97">
        <f ca="1">VLOOKUP($X848,サイズ別係数!$B:$E,4,FALSE)</f>
        <v>1</v>
      </c>
      <c r="AB848" s="10">
        <v>0</v>
      </c>
      <c r="AC848" s="6" t="str">
        <f ca="1">VLOOKUP($AB848,OFFSET([3]enemy_skill_sets!$B$2,0,0,COUNTA([3]enemy_skill_sets!$A:$A),MATCH(AC$1,[3]enemy_skill_sets!$1:$1,0)-MATCH($AB$1,[3]enemy_skill_sets!$1:$1,0)+1),MATCH(AC$1,[3]enemy_skill_sets!$1:$1,0)-MATCH($AB$1,[3]enemy_skill_sets!$1:$1,0)+1,FALSE)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8" s="67">
        <v>1</v>
      </c>
      <c r="AE848" s="67">
        <v>1</v>
      </c>
      <c r="AF848" s="68">
        <v>0</v>
      </c>
      <c r="AG848" s="99">
        <f ca="1">ROUND(VLOOKUP(1,enemy_base_stats!$A:$F,2,FALSE) * Y848* J848*O848*E848*S848*AD848*[2]ステータス!$B$2,0)</f>
        <v>4162</v>
      </c>
      <c r="AH848" s="99">
        <f ca="1">ROUND(VLOOKUP(1,enemy_base_stats!$A:$F,3,FALSE) * Z848*K848*P848*F848*T848*AE848 * W848*[2]ステータス!$C$2,0)</f>
        <v>363</v>
      </c>
      <c r="AI848" s="99">
        <f ca="1">ROUND(VLOOKUP(1,enemy_base_stats!$A:$F,4,FALSE) * AA848*L848*Q848*G848*U848*AF848*[2]ステータス!$D$2,0)</f>
        <v>0</v>
      </c>
      <c r="AJ848" s="99">
        <f ca="1">ROUND(VLOOKUP(100,enemy_base_stats!$A:$F,2,FALSE) * Y848* J848*O848*E848*S848*AD848*[2]ステータス!$B$2,0)</f>
        <v>168961</v>
      </c>
      <c r="AK848" s="99">
        <f ca="1">ROUND(VLOOKUP(100,enemy_base_stats!$A:$F,3,FALSE)* Z848* K848*P848*F848*T848*AE848 * W848*[2]ステータス!$C$2,0)</f>
        <v>14736</v>
      </c>
      <c r="AL848" s="99">
        <f ca="1">ROUND(VLOOKUP(100,enemy_base_stats!$A:$F,4,FALSE)* AA848* L848*Q848*G848*U848*AF848*[2]ステータス!$D$2,0)</f>
        <v>0</v>
      </c>
      <c r="AM848" s="97">
        <f ca="1">VLOOKUP(M848,[2]character_tribe_i18n!$A:$I,9,FALSE)</f>
        <v>680</v>
      </c>
      <c r="AN848" s="97">
        <v>0</v>
      </c>
      <c r="AO848" s="98">
        <v>0</v>
      </c>
      <c r="AP848" s="58" t="s">
        <v>72</v>
      </c>
      <c r="AQ848" s="34">
        <f t="shared" ca="1" si="50"/>
        <v>847</v>
      </c>
    </row>
    <row r="849" spans="1:43" ht="21" customHeight="1" x14ac:dyDescent="0.15">
      <c r="A849" s="7">
        <f t="shared" ca="1" si="49"/>
        <v>848</v>
      </c>
      <c r="B849" s="6" t="str">
        <f ca="1">VLOOKUP(A849,[2]characters!$A:$C,3,FALSE)</f>
        <v>メタトロン</v>
      </c>
      <c r="C849" s="9">
        <f ca="1">VLOOKUP(A849,[2]characters!$A:$I,9,FALSE)</f>
        <v>5</v>
      </c>
      <c r="D849" s="9" t="str">
        <f ca="1">VLOOKUP(A849,[2]characters!$A:$H,8,FALSE)</f>
        <v>red</v>
      </c>
      <c r="E849" s="97">
        <f ca="1">VLOOKUP(D849,[2]属性!$A:$E,2,FALSE)</f>
        <v>1</v>
      </c>
      <c r="F849" s="97">
        <f ca="1">VLOOKUP(D849,[2]属性!$A:$E,3,FALSE)</f>
        <v>1.02</v>
      </c>
      <c r="G849" s="97">
        <f ca="1">VLOOKUP(D849,[2]属性!$A:$F,4,FALSE)</f>
        <v>1</v>
      </c>
      <c r="H849" s="9" t="str">
        <f ca="1">VLOOKUP(A849,[2]characters!$A:$K,11,FALSE)</f>
        <v>balance</v>
      </c>
      <c r="I849" s="6" t="str">
        <f ca="1">VLOOKUP(H849,[2]character_type_i18n!$A:$F,3,FALSE)</f>
        <v>バランスタイプ</v>
      </c>
      <c r="J849" s="97">
        <f ca="1">VLOOKUP(H849,[2]character_type_i18n!$A:$F,4,FALSE)</f>
        <v>1</v>
      </c>
      <c r="K849" s="97">
        <f ca="1">VLOOKUP(H849,[2]character_type_i18n!$A:$F,5,FALSE)</f>
        <v>1</v>
      </c>
      <c r="L849" s="97">
        <f ca="1">VLOOKUP(H849,[2]character_type_i18n!$A:$F,6,FALSE)</f>
        <v>1</v>
      </c>
      <c r="M849" s="9" t="str">
        <f ca="1">VLOOKUP(A849,[2]characters!$A:$M,13,FALSE)</f>
        <v>god</v>
      </c>
      <c r="N849" s="6" t="str">
        <f ca="1">VLOOKUP(M849,[2]character_tribe_i18n!$A:$F,3,FALSE)</f>
        <v>ゴッド</v>
      </c>
      <c r="O849" s="97">
        <f ca="1">VLOOKUP(M849,[2]character_tribe_i18n!$A:$F,4,FALSE)</f>
        <v>0.96</v>
      </c>
      <c r="P849" s="97">
        <f ca="1">VLOOKUP(M849,[2]character_tribe_i18n!$A:$F,5,FALSE)</f>
        <v>1.02</v>
      </c>
      <c r="Q849" s="97">
        <f ca="1">VLOOKUP(M849,[2]character_tribe_i18n!$A:$F,6,FALSE)</f>
        <v>1</v>
      </c>
      <c r="R849" s="98" t="s">
        <v>98</v>
      </c>
      <c r="S849" s="97">
        <f>VLOOKUP($R849,ラベル別係数!$A$1:$E$7,3,FALSE)</f>
        <v>5</v>
      </c>
      <c r="T849" s="97">
        <f>VLOOKUP($R849,ラベル別係数!$A$1:$E$7,4,FALSE)</f>
        <v>1.3</v>
      </c>
      <c r="U849" s="97">
        <f>VLOOKUP($R849,ラベル別係数!$A$1:$E$7,5,FALSE)</f>
        <v>0.8</v>
      </c>
      <c r="V849" s="98">
        <v>3</v>
      </c>
      <c r="W849" s="99">
        <f>VLOOKUP(V849,ターン数別攻撃係数!$A$1:$B$1000,2,FALSE)</f>
        <v>1</v>
      </c>
      <c r="X849" s="9">
        <f ca="1">VLOOKUP(C849,サイズ別係数!A$2:B$9,2,FALSE)</f>
        <v>60</v>
      </c>
      <c r="Y849" s="97">
        <f ca="1">VLOOKUP($X849,サイズ別係数!$B:$E,2,FALSE)</f>
        <v>1.7</v>
      </c>
      <c r="Z849" s="97">
        <f ca="1">VLOOKUP($X849,サイズ別係数!$B:$E,3,FALSE)</f>
        <v>1.4</v>
      </c>
      <c r="AA849" s="97">
        <f ca="1">VLOOKUP($X849,サイズ別係数!$B:$E,4,FALSE)</f>
        <v>1</v>
      </c>
      <c r="AB849" s="10">
        <v>0</v>
      </c>
      <c r="AC849" s="6" t="str">
        <f ca="1">VLOOKUP($AB849,OFFSET([3]enemy_skill_sets!$B$2,0,0,COUNTA([3]enemy_skill_sets!$A:$A),MATCH(AC$1,[3]enemy_skill_sets!$1:$1,0)-MATCH($AB$1,[3]enemy_skill_sets!$1:$1,0)+1),MATCH(AC$1,[3]enemy_skill_sets!$1:$1,0)-MATCH($AB$1,[3]enemy_skill_sets!$1:$1,0)+1,FALSE)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49" s="67">
        <v>1</v>
      </c>
      <c r="AE849" s="67">
        <v>1</v>
      </c>
      <c r="AF849" s="68">
        <v>0</v>
      </c>
      <c r="AG849" s="99">
        <f ca="1">ROUND(VLOOKUP(1,enemy_base_stats!$A:$F,2,FALSE) * Y849* J849*O849*E849*S849*AD849*[2]ステータス!$B$2,0)</f>
        <v>4080</v>
      </c>
      <c r="AH849" s="99">
        <f ca="1">ROUND(VLOOKUP(1,enemy_base_stats!$A:$F,3,FALSE) * Z849*K849*P849*F849*T849*AE849 * W849*[2]ステータス!$C$2,0)</f>
        <v>284</v>
      </c>
      <c r="AI849" s="99">
        <f ca="1">ROUND(VLOOKUP(1,enemy_base_stats!$A:$F,4,FALSE) * AA849*L849*Q849*G849*U849*AF849*[2]ステータス!$D$2,0)</f>
        <v>0</v>
      </c>
      <c r="AJ849" s="99">
        <f ca="1">ROUND(VLOOKUP(100,enemy_base_stats!$A:$F,2,FALSE) * Y849* J849*O849*E849*S849*AD849*[2]ステータス!$B$2,0)</f>
        <v>165648</v>
      </c>
      <c r="AK849" s="99">
        <f ca="1">ROUND(VLOOKUP(100,enemy_base_stats!$A:$F,3,FALSE)* Z849* K849*P849*F849*T849*AE849 * W849*[2]ステータス!$C$2,0)</f>
        <v>11532</v>
      </c>
      <c r="AL849" s="99">
        <f ca="1">ROUND(VLOOKUP(100,enemy_base_stats!$A:$F,4,FALSE)* AA849* L849*Q849*G849*U849*AF849*[2]ステータス!$D$2,0)</f>
        <v>0</v>
      </c>
      <c r="AM849" s="97">
        <f ca="1">VLOOKUP(M849,[2]character_tribe_i18n!$A:$I,9,FALSE)</f>
        <v>680</v>
      </c>
      <c r="AN849" s="97">
        <v>0</v>
      </c>
      <c r="AO849" s="98">
        <v>0</v>
      </c>
      <c r="AP849" s="58" t="s">
        <v>72</v>
      </c>
      <c r="AQ849" s="34">
        <f t="shared" ca="1" si="50"/>
        <v>848</v>
      </c>
    </row>
    <row r="850" spans="1:43" ht="21" customHeight="1" x14ac:dyDescent="0.15">
      <c r="A850" s="7">
        <f t="shared" ca="1" si="49"/>
        <v>849</v>
      </c>
      <c r="B850" s="6" t="str">
        <f ca="1">VLOOKUP(A850,[2]characters!$A:$C,3,FALSE)</f>
        <v>燦然たる天使 メタトロン・ラヴァ</v>
      </c>
      <c r="C850" s="9">
        <f ca="1">VLOOKUP(A850,[2]characters!$A:$I,9,FALSE)</f>
        <v>6</v>
      </c>
      <c r="D850" s="9" t="str">
        <f ca="1">VLOOKUP(A850,[2]characters!$A:$H,8,FALSE)</f>
        <v>red</v>
      </c>
      <c r="E850" s="97">
        <f ca="1">VLOOKUP(D850,[2]属性!$A:$E,2,FALSE)</f>
        <v>1</v>
      </c>
      <c r="F850" s="97">
        <f ca="1">VLOOKUP(D850,[2]属性!$A:$E,3,FALSE)</f>
        <v>1.02</v>
      </c>
      <c r="G850" s="97">
        <f ca="1">VLOOKUP(D850,[2]属性!$A:$F,4,FALSE)</f>
        <v>1</v>
      </c>
      <c r="H850" s="9" t="str">
        <f ca="1">VLOOKUP(A850,[2]characters!$A:$K,11,FALSE)</f>
        <v>balance</v>
      </c>
      <c r="I850" s="6" t="str">
        <f ca="1">VLOOKUP(H850,[2]character_type_i18n!$A:$F,3,FALSE)</f>
        <v>バランスタイプ</v>
      </c>
      <c r="J850" s="97">
        <f ca="1">VLOOKUP(H850,[2]character_type_i18n!$A:$F,4,FALSE)</f>
        <v>1</v>
      </c>
      <c r="K850" s="97">
        <f ca="1">VLOOKUP(H850,[2]character_type_i18n!$A:$F,5,FALSE)</f>
        <v>1</v>
      </c>
      <c r="L850" s="97">
        <f ca="1">VLOOKUP(H850,[2]character_type_i18n!$A:$F,6,FALSE)</f>
        <v>1</v>
      </c>
      <c r="M850" s="9" t="str">
        <f ca="1">VLOOKUP(A850,[2]characters!$A:$M,13,FALSE)</f>
        <v>god</v>
      </c>
      <c r="N850" s="6" t="str">
        <f ca="1">VLOOKUP(M850,[2]character_tribe_i18n!$A:$F,3,FALSE)</f>
        <v>ゴッド</v>
      </c>
      <c r="O850" s="97">
        <f ca="1">VLOOKUP(M850,[2]character_tribe_i18n!$A:$F,4,FALSE)</f>
        <v>0.96</v>
      </c>
      <c r="P850" s="97">
        <f ca="1">VLOOKUP(M850,[2]character_tribe_i18n!$A:$F,5,FALSE)</f>
        <v>1.02</v>
      </c>
      <c r="Q850" s="97">
        <f ca="1">VLOOKUP(M850,[2]character_tribe_i18n!$A:$F,6,FALSE)</f>
        <v>1</v>
      </c>
      <c r="R850" s="98" t="s">
        <v>98</v>
      </c>
      <c r="S850" s="97">
        <f>VLOOKUP($R850,ラベル別係数!$A$1:$E$7,3,FALSE)</f>
        <v>5</v>
      </c>
      <c r="T850" s="97">
        <f>VLOOKUP($R850,ラベル別係数!$A$1:$E$7,4,FALSE)</f>
        <v>1.3</v>
      </c>
      <c r="U850" s="97">
        <f>VLOOKUP($R850,ラベル別係数!$A$1:$E$7,5,FALSE)</f>
        <v>0.8</v>
      </c>
      <c r="V850" s="98">
        <v>3</v>
      </c>
      <c r="W850" s="99">
        <f>VLOOKUP(V850,ターン数別攻撃係数!$A$1:$B$1000,2,FALSE)</f>
        <v>1</v>
      </c>
      <c r="X850" s="9">
        <f ca="1">VLOOKUP(C850,サイズ別係数!A$2:B$9,2,FALSE)</f>
        <v>60</v>
      </c>
      <c r="Y850" s="97">
        <f ca="1">VLOOKUP($X850,サイズ別係数!$B:$E,2,FALSE)</f>
        <v>1.7</v>
      </c>
      <c r="Z850" s="97">
        <f ca="1">VLOOKUP($X850,サイズ別係数!$B:$E,3,FALSE)</f>
        <v>1.4</v>
      </c>
      <c r="AA850" s="97">
        <f ca="1">VLOOKUP($X850,サイズ別係数!$B:$E,4,FALSE)</f>
        <v>1</v>
      </c>
      <c r="AB850" s="10">
        <v>0</v>
      </c>
      <c r="AC850" s="6" t="str">
        <f ca="1">VLOOKUP($AB850,OFFSET([3]enemy_skill_sets!$B$2,0,0,COUNTA([3]enemy_skill_sets!$A:$A),MATCH(AC$1,[3]enemy_skill_sets!$1:$1,0)-MATCH($AB$1,[3]enemy_skill_sets!$1:$1,0)+1),MATCH(AC$1,[3]enemy_skill_sets!$1:$1,0)-MATCH($AB$1,[3]enemy_skill_sets!$1:$1,0)+1,FALSE)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0" s="67">
        <v>1</v>
      </c>
      <c r="AE850" s="67">
        <v>1</v>
      </c>
      <c r="AF850" s="68">
        <v>0</v>
      </c>
      <c r="AG850" s="99">
        <f ca="1">ROUND(VLOOKUP(1,enemy_base_stats!$A:$F,2,FALSE) * Y850* J850*O850*E850*S850*AD850*[2]ステータス!$B$2,0)</f>
        <v>4080</v>
      </c>
      <c r="AH850" s="99">
        <f ca="1">ROUND(VLOOKUP(1,enemy_base_stats!$A:$F,3,FALSE) * Z850*K850*P850*F850*T850*AE850 * W850*[2]ステータス!$C$2,0)</f>
        <v>284</v>
      </c>
      <c r="AI850" s="99">
        <f ca="1">ROUND(VLOOKUP(1,enemy_base_stats!$A:$F,4,FALSE) * AA850*L850*Q850*G850*U850*AF850*[2]ステータス!$D$2,0)</f>
        <v>0</v>
      </c>
      <c r="AJ850" s="99">
        <f ca="1">ROUND(VLOOKUP(100,enemy_base_stats!$A:$F,2,FALSE) * Y850* J850*O850*E850*S850*AD850*[2]ステータス!$B$2,0)</f>
        <v>165648</v>
      </c>
      <c r="AK850" s="99">
        <f ca="1">ROUND(VLOOKUP(100,enemy_base_stats!$A:$F,3,FALSE)* Z850* K850*P850*F850*T850*AE850 * W850*[2]ステータス!$C$2,0)</f>
        <v>11532</v>
      </c>
      <c r="AL850" s="99">
        <f ca="1">ROUND(VLOOKUP(100,enemy_base_stats!$A:$F,4,FALSE)* AA850* L850*Q850*G850*U850*AF850*[2]ステータス!$D$2,0)</f>
        <v>0</v>
      </c>
      <c r="AM850" s="97">
        <f ca="1">VLOOKUP(M850,[2]character_tribe_i18n!$A:$I,9,FALSE)</f>
        <v>680</v>
      </c>
      <c r="AN850" s="97">
        <v>0</v>
      </c>
      <c r="AO850" s="98">
        <v>0</v>
      </c>
      <c r="AP850" s="58" t="s">
        <v>72</v>
      </c>
      <c r="AQ850" s="34">
        <f t="shared" ca="1" si="50"/>
        <v>849</v>
      </c>
    </row>
    <row r="851" spans="1:43" ht="21" customHeight="1" x14ac:dyDescent="0.15">
      <c r="A851" s="7">
        <f t="shared" ca="1" si="49"/>
        <v>850</v>
      </c>
      <c r="B851" s="6" t="str">
        <f ca="1">VLOOKUP(A851,[2]characters!$A:$C,3,FALSE)</f>
        <v>バアル</v>
      </c>
      <c r="C851" s="9">
        <f ca="1">VLOOKUP(A851,[2]characters!$A:$I,9,FALSE)</f>
        <v>5</v>
      </c>
      <c r="D851" s="9" t="str">
        <f ca="1">VLOOKUP(A851,[2]characters!$A:$H,8,FALSE)</f>
        <v>green</v>
      </c>
      <c r="E851" s="97">
        <f ca="1">VLOOKUP(D851,[2]属性!$A:$E,2,FALSE)</f>
        <v>1.02</v>
      </c>
      <c r="F851" s="97">
        <f ca="1">VLOOKUP(D851,[2]属性!$A:$E,3,FALSE)</f>
        <v>0.98</v>
      </c>
      <c r="G851" s="97">
        <f ca="1">VLOOKUP(D851,[2]属性!$A:$F,4,FALSE)</f>
        <v>1</v>
      </c>
      <c r="H851" s="9" t="str">
        <f ca="1">VLOOKUP(A851,[2]characters!$A:$K,11,FALSE)</f>
        <v>technical</v>
      </c>
      <c r="I851" s="6" t="str">
        <f ca="1">VLOOKUP(H851,[2]character_type_i18n!$A:$F,3,FALSE)</f>
        <v>テクニカルタイプ</v>
      </c>
      <c r="J851" s="97">
        <f ca="1">VLOOKUP(H851,[2]character_type_i18n!$A:$F,4,FALSE)</f>
        <v>0.9</v>
      </c>
      <c r="K851" s="97">
        <f ca="1">VLOOKUP(H851,[2]character_type_i18n!$A:$F,5,FALSE)</f>
        <v>0.9</v>
      </c>
      <c r="L851" s="97">
        <f ca="1">VLOOKUP(H851,[2]character_type_i18n!$A:$F,6,FALSE)</f>
        <v>1</v>
      </c>
      <c r="M851" s="9" t="str">
        <f ca="1">VLOOKUP(A851,[2]characters!$A:$M,13,FALSE)</f>
        <v>god</v>
      </c>
      <c r="N851" s="6" t="str">
        <f ca="1">VLOOKUP(M851,[2]character_tribe_i18n!$A:$F,3,FALSE)</f>
        <v>ゴッド</v>
      </c>
      <c r="O851" s="97">
        <f ca="1">VLOOKUP(M851,[2]character_tribe_i18n!$A:$F,4,FALSE)</f>
        <v>0.96</v>
      </c>
      <c r="P851" s="97">
        <f ca="1">VLOOKUP(M851,[2]character_tribe_i18n!$A:$F,5,FALSE)</f>
        <v>1.02</v>
      </c>
      <c r="Q851" s="97">
        <f ca="1">VLOOKUP(M851,[2]character_tribe_i18n!$A:$F,6,FALSE)</f>
        <v>1</v>
      </c>
      <c r="R851" s="98" t="s">
        <v>98</v>
      </c>
      <c r="S851" s="97">
        <f>VLOOKUP($R851,ラベル別係数!$A$1:$E$7,3,FALSE)</f>
        <v>5</v>
      </c>
      <c r="T851" s="97">
        <f>VLOOKUP($R851,ラベル別係数!$A$1:$E$7,4,FALSE)</f>
        <v>1.3</v>
      </c>
      <c r="U851" s="97">
        <f>VLOOKUP($R851,ラベル別係数!$A$1:$E$7,5,FALSE)</f>
        <v>0.8</v>
      </c>
      <c r="V851" s="98">
        <v>3</v>
      </c>
      <c r="W851" s="99">
        <f>VLOOKUP(V851,ターン数別攻撃係数!$A$1:$B$1000,2,FALSE)</f>
        <v>1</v>
      </c>
      <c r="X851" s="9">
        <f ca="1">VLOOKUP(C851,サイズ別係数!A$2:B$9,2,FALSE)</f>
        <v>60</v>
      </c>
      <c r="Y851" s="97">
        <f ca="1">VLOOKUP($X851,サイズ別係数!$B:$E,2,FALSE)</f>
        <v>1.7</v>
      </c>
      <c r="Z851" s="97">
        <f ca="1">VLOOKUP($X851,サイズ別係数!$B:$E,3,FALSE)</f>
        <v>1.4</v>
      </c>
      <c r="AA851" s="97">
        <f ca="1">VLOOKUP($X851,サイズ別係数!$B:$E,4,FALSE)</f>
        <v>1</v>
      </c>
      <c r="AB851" s="10">
        <v>0</v>
      </c>
      <c r="AC851" s="6" t="str">
        <f ca="1">VLOOKUP($AB851,OFFSET([3]enemy_skill_sets!$B$2,0,0,COUNTA([3]enemy_skill_sets!$A:$A),MATCH(AC$1,[3]enemy_skill_sets!$1:$1,0)-MATCH($AB$1,[3]enemy_skill_sets!$1:$1,0)+1),MATCH(AC$1,[3]enemy_skill_sets!$1:$1,0)-MATCH($AB$1,[3]enemy_skill_sets!$1:$1,0)+1,FALSE)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1" s="67">
        <v>1</v>
      </c>
      <c r="AE851" s="67">
        <v>1</v>
      </c>
      <c r="AF851" s="68">
        <v>0</v>
      </c>
      <c r="AG851" s="99">
        <f ca="1">ROUND(VLOOKUP(1,enemy_base_stats!$A:$F,2,FALSE) * Y851* J851*O851*E851*S851*AD851*[2]ステータス!$B$2,0)</f>
        <v>3745</v>
      </c>
      <c r="AH851" s="99">
        <f ca="1">ROUND(VLOOKUP(1,enemy_base_stats!$A:$F,3,FALSE) * Z851*K851*P851*F851*T851*AE851 * W851*[2]ステータス!$C$2,0)</f>
        <v>246</v>
      </c>
      <c r="AI851" s="99">
        <f ca="1">ROUND(VLOOKUP(1,enemy_base_stats!$A:$F,4,FALSE) * AA851*L851*Q851*G851*U851*AF851*[2]ステータス!$D$2,0)</f>
        <v>0</v>
      </c>
      <c r="AJ851" s="99">
        <f ca="1">ROUND(VLOOKUP(100,enemy_base_stats!$A:$F,2,FALSE) * Y851* J851*O851*E851*S851*AD851*[2]ステータス!$B$2,0)</f>
        <v>152065</v>
      </c>
      <c r="AK851" s="99">
        <f ca="1">ROUND(VLOOKUP(100,enemy_base_stats!$A:$F,3,FALSE)* Z851* K851*P851*F851*T851*AE851 * W851*[2]ステータス!$C$2,0)</f>
        <v>9971</v>
      </c>
      <c r="AL851" s="99">
        <f ca="1">ROUND(VLOOKUP(100,enemy_base_stats!$A:$F,4,FALSE)* AA851* L851*Q851*G851*U851*AF851*[2]ステータス!$D$2,0)</f>
        <v>0</v>
      </c>
      <c r="AM851" s="97">
        <f ca="1">VLOOKUP(M851,[2]character_tribe_i18n!$A:$I,9,FALSE)</f>
        <v>680</v>
      </c>
      <c r="AN851" s="97">
        <v>0</v>
      </c>
      <c r="AO851" s="98">
        <v>0</v>
      </c>
      <c r="AP851" s="58" t="s">
        <v>72</v>
      </c>
      <c r="AQ851" s="34">
        <f t="shared" ca="1" si="50"/>
        <v>850</v>
      </c>
    </row>
    <row r="852" spans="1:43" ht="21" customHeight="1" x14ac:dyDescent="0.15">
      <c r="A852" s="7">
        <f t="shared" ca="1" si="49"/>
        <v>851</v>
      </c>
      <c r="B852" s="6" t="str">
        <f ca="1">VLOOKUP(A852,[2]characters!$A:$C,3,FALSE)</f>
        <v>寡黙なる凶王 バアル</v>
      </c>
      <c r="C852" s="9">
        <f ca="1">VLOOKUP(A852,[2]characters!$A:$I,9,FALSE)</f>
        <v>6</v>
      </c>
      <c r="D852" s="9" t="str">
        <f ca="1">VLOOKUP(A852,[2]characters!$A:$H,8,FALSE)</f>
        <v>green</v>
      </c>
      <c r="E852" s="97">
        <f ca="1">VLOOKUP(D852,[2]属性!$A:$E,2,FALSE)</f>
        <v>1.02</v>
      </c>
      <c r="F852" s="97">
        <f ca="1">VLOOKUP(D852,[2]属性!$A:$E,3,FALSE)</f>
        <v>0.98</v>
      </c>
      <c r="G852" s="97">
        <f ca="1">VLOOKUP(D852,[2]属性!$A:$F,4,FALSE)</f>
        <v>1</v>
      </c>
      <c r="H852" s="9" t="str">
        <f ca="1">VLOOKUP(A852,[2]characters!$A:$K,11,FALSE)</f>
        <v>technical</v>
      </c>
      <c r="I852" s="6" t="str">
        <f ca="1">VLOOKUP(H852,[2]character_type_i18n!$A:$F,3,FALSE)</f>
        <v>テクニカルタイプ</v>
      </c>
      <c r="J852" s="97">
        <f ca="1">VLOOKUP(H852,[2]character_type_i18n!$A:$F,4,FALSE)</f>
        <v>0.9</v>
      </c>
      <c r="K852" s="97">
        <f ca="1">VLOOKUP(H852,[2]character_type_i18n!$A:$F,5,FALSE)</f>
        <v>0.9</v>
      </c>
      <c r="L852" s="97">
        <f ca="1">VLOOKUP(H852,[2]character_type_i18n!$A:$F,6,FALSE)</f>
        <v>1</v>
      </c>
      <c r="M852" s="9" t="str">
        <f ca="1">VLOOKUP(A852,[2]characters!$A:$M,13,FALSE)</f>
        <v>god</v>
      </c>
      <c r="N852" s="6" t="str">
        <f ca="1">VLOOKUP(M852,[2]character_tribe_i18n!$A:$F,3,FALSE)</f>
        <v>ゴッド</v>
      </c>
      <c r="O852" s="97">
        <f ca="1">VLOOKUP(M852,[2]character_tribe_i18n!$A:$F,4,FALSE)</f>
        <v>0.96</v>
      </c>
      <c r="P852" s="97">
        <f ca="1">VLOOKUP(M852,[2]character_tribe_i18n!$A:$F,5,FALSE)</f>
        <v>1.02</v>
      </c>
      <c r="Q852" s="97">
        <f ca="1">VLOOKUP(M852,[2]character_tribe_i18n!$A:$F,6,FALSE)</f>
        <v>1</v>
      </c>
      <c r="R852" s="98" t="s">
        <v>98</v>
      </c>
      <c r="S852" s="97">
        <f>VLOOKUP($R852,ラベル別係数!$A$1:$E$7,3,FALSE)</f>
        <v>5</v>
      </c>
      <c r="T852" s="97">
        <f>VLOOKUP($R852,ラベル別係数!$A$1:$E$7,4,FALSE)</f>
        <v>1.3</v>
      </c>
      <c r="U852" s="97">
        <f>VLOOKUP($R852,ラベル別係数!$A$1:$E$7,5,FALSE)</f>
        <v>0.8</v>
      </c>
      <c r="V852" s="98">
        <v>3</v>
      </c>
      <c r="W852" s="99">
        <f>VLOOKUP(V852,ターン数別攻撃係数!$A$1:$B$1000,2,FALSE)</f>
        <v>1</v>
      </c>
      <c r="X852" s="9">
        <f ca="1">VLOOKUP(C852,サイズ別係数!A$2:B$9,2,FALSE)</f>
        <v>60</v>
      </c>
      <c r="Y852" s="97">
        <f ca="1">VLOOKUP($X852,サイズ別係数!$B:$E,2,FALSE)</f>
        <v>1.7</v>
      </c>
      <c r="Z852" s="97">
        <f ca="1">VLOOKUP($X852,サイズ別係数!$B:$E,3,FALSE)</f>
        <v>1.4</v>
      </c>
      <c r="AA852" s="97">
        <f ca="1">VLOOKUP($X852,サイズ別係数!$B:$E,4,FALSE)</f>
        <v>1</v>
      </c>
      <c r="AB852" s="10">
        <v>0</v>
      </c>
      <c r="AC852" s="6" t="str">
        <f ca="1">VLOOKUP($AB852,OFFSET([3]enemy_skill_sets!$B$2,0,0,COUNTA([3]enemy_skill_sets!$A:$A),MATCH(AC$1,[3]enemy_skill_sets!$1:$1,0)-MATCH($AB$1,[3]enemy_skill_sets!$1:$1,0)+1),MATCH(AC$1,[3]enemy_skill_sets!$1:$1,0)-MATCH($AB$1,[3]enemy_skill_sets!$1:$1,0)+1,FALSE)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2" s="67">
        <v>1</v>
      </c>
      <c r="AE852" s="67">
        <v>1</v>
      </c>
      <c r="AF852" s="68">
        <v>0</v>
      </c>
      <c r="AG852" s="99">
        <f ca="1">ROUND(VLOOKUP(1,enemy_base_stats!$A:$F,2,FALSE) * Y852* J852*O852*E852*S852*AD852*[2]ステータス!$B$2,0)</f>
        <v>3745</v>
      </c>
      <c r="AH852" s="99">
        <f ca="1">ROUND(VLOOKUP(1,enemy_base_stats!$A:$F,3,FALSE) * Z852*K852*P852*F852*T852*AE852 * W852*[2]ステータス!$C$2,0)</f>
        <v>246</v>
      </c>
      <c r="AI852" s="99">
        <f ca="1">ROUND(VLOOKUP(1,enemy_base_stats!$A:$F,4,FALSE) * AA852*L852*Q852*G852*U852*AF852*[2]ステータス!$D$2,0)</f>
        <v>0</v>
      </c>
      <c r="AJ852" s="99">
        <f ca="1">ROUND(VLOOKUP(100,enemy_base_stats!$A:$F,2,FALSE) * Y852* J852*O852*E852*S852*AD852*[2]ステータス!$B$2,0)</f>
        <v>152065</v>
      </c>
      <c r="AK852" s="99">
        <f ca="1">ROUND(VLOOKUP(100,enemy_base_stats!$A:$F,3,FALSE)* Z852* K852*P852*F852*T852*AE852 * W852*[2]ステータス!$C$2,0)</f>
        <v>9971</v>
      </c>
      <c r="AL852" s="99">
        <f ca="1">ROUND(VLOOKUP(100,enemy_base_stats!$A:$F,4,FALSE)* AA852* L852*Q852*G852*U852*AF852*[2]ステータス!$D$2,0)</f>
        <v>0</v>
      </c>
      <c r="AM852" s="97">
        <f ca="1">VLOOKUP(M852,[2]character_tribe_i18n!$A:$I,9,FALSE)</f>
        <v>680</v>
      </c>
      <c r="AN852" s="97">
        <v>0</v>
      </c>
      <c r="AO852" s="98">
        <v>0</v>
      </c>
      <c r="AP852" s="58" t="s">
        <v>72</v>
      </c>
      <c r="AQ852" s="34">
        <f t="shared" ca="1" si="50"/>
        <v>851</v>
      </c>
    </row>
    <row r="853" spans="1:43" ht="21" customHeight="1" x14ac:dyDescent="0.15">
      <c r="A853" s="7">
        <f t="shared" ca="1" si="49"/>
        <v>852</v>
      </c>
      <c r="B853" s="6" t="str">
        <f ca="1">VLOOKUP(A853,[2]characters!$A:$C,3,FALSE)</f>
        <v>サキエル</v>
      </c>
      <c r="C853" s="9">
        <f ca="1">VLOOKUP(A853,[2]characters!$A:$I,9,FALSE)</f>
        <v>4</v>
      </c>
      <c r="D853" s="9" t="str">
        <f ca="1">VLOOKUP(A853,[2]characters!$A:$H,8,FALSE)</f>
        <v>blue</v>
      </c>
      <c r="E853" s="97">
        <f ca="1">VLOOKUP(D853,[2]属性!$A:$E,2,FALSE)</f>
        <v>1</v>
      </c>
      <c r="F853" s="97">
        <f ca="1">VLOOKUP(D853,[2]属性!$A:$E,3,FALSE)</f>
        <v>0.98</v>
      </c>
      <c r="G853" s="97">
        <f ca="1">VLOOKUP(D853,[2]属性!$A:$F,4,FALSE)</f>
        <v>1</v>
      </c>
      <c r="H853" s="9" t="str">
        <f ca="1">VLOOKUP(A853,[2]characters!$A:$K,11,FALSE)</f>
        <v>hp</v>
      </c>
      <c r="I853" s="6" t="str">
        <f ca="1">VLOOKUP(H853,[2]character_type_i18n!$A:$F,3,FALSE)</f>
        <v>体力タイプ</v>
      </c>
      <c r="J853" s="97">
        <f ca="1">VLOOKUP(H853,[2]character_type_i18n!$A:$F,4,FALSE)</f>
        <v>1.45</v>
      </c>
      <c r="K853" s="97">
        <f ca="1">VLOOKUP(H853,[2]character_type_i18n!$A:$F,5,FALSE)</f>
        <v>0.85</v>
      </c>
      <c r="L853" s="97">
        <f ca="1">VLOOKUP(H853,[2]character_type_i18n!$A:$F,6,FALSE)</f>
        <v>1</v>
      </c>
      <c r="M853" s="9" t="str">
        <f ca="1">VLOOKUP(A853,[2]characters!$A:$M,13,FALSE)</f>
        <v>god</v>
      </c>
      <c r="N853" s="6" t="str">
        <f ca="1">VLOOKUP(M853,[2]character_tribe_i18n!$A:$F,3,FALSE)</f>
        <v>ゴッド</v>
      </c>
      <c r="O853" s="97">
        <f ca="1">VLOOKUP(M853,[2]character_tribe_i18n!$A:$F,4,FALSE)</f>
        <v>0.96</v>
      </c>
      <c r="P853" s="97">
        <f ca="1">VLOOKUP(M853,[2]character_tribe_i18n!$A:$F,5,FALSE)</f>
        <v>1.02</v>
      </c>
      <c r="Q853" s="97">
        <f ca="1">VLOOKUP(M853,[2]character_tribe_i18n!$A:$F,6,FALSE)</f>
        <v>1</v>
      </c>
      <c r="R853" s="98" t="s">
        <v>98</v>
      </c>
      <c r="S853" s="97">
        <f>VLOOKUP($R853,ラベル別係数!$A$1:$E$7,3,FALSE)</f>
        <v>5</v>
      </c>
      <c r="T853" s="97">
        <f>VLOOKUP($R853,ラベル別係数!$A$1:$E$7,4,FALSE)</f>
        <v>1.3</v>
      </c>
      <c r="U853" s="97">
        <f>VLOOKUP($R853,ラベル別係数!$A$1:$E$7,5,FALSE)</f>
        <v>0.8</v>
      </c>
      <c r="V853" s="98">
        <v>3</v>
      </c>
      <c r="W853" s="99">
        <f>VLOOKUP(V853,ターン数別攻撃係数!$A$1:$B$1000,2,FALSE)</f>
        <v>1</v>
      </c>
      <c r="X853" s="9">
        <f ca="1">VLOOKUP(C853,サイズ別係数!A$2:B$9,2,FALSE)</f>
        <v>30</v>
      </c>
      <c r="Y853" s="97">
        <f ca="1">VLOOKUP($X853,サイズ別係数!$B:$E,2,FALSE)</f>
        <v>1.3</v>
      </c>
      <c r="Z853" s="97">
        <f ca="1">VLOOKUP($X853,サイズ別係数!$B:$E,3,FALSE)</f>
        <v>1.3</v>
      </c>
      <c r="AA853" s="97">
        <f ca="1">VLOOKUP($X853,サイズ別係数!$B:$E,4,FALSE)</f>
        <v>1.1000000000000001</v>
      </c>
      <c r="AB853" s="10">
        <v>0</v>
      </c>
      <c r="AC853" s="6" t="str">
        <f ca="1">VLOOKUP($AB853,OFFSET([3]enemy_skill_sets!$B$2,0,0,COUNTA([3]enemy_skill_sets!$A:$A),MATCH(AC$1,[3]enemy_skill_sets!$1:$1,0)-MATCH($AB$1,[3]enemy_skill_sets!$1:$1,0)+1),MATCH(AC$1,[3]enemy_skill_sets!$1:$1,0)-MATCH($AB$1,[3]enemy_skill_sets!$1:$1,0)+1,FALSE)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3" s="67">
        <v>1</v>
      </c>
      <c r="AE853" s="67">
        <v>1</v>
      </c>
      <c r="AF853" s="68">
        <v>0</v>
      </c>
      <c r="AG853" s="99">
        <f ca="1">ROUND(VLOOKUP(1,enemy_base_stats!$A:$F,2,FALSE) * Y853* J853*O853*E853*S853*AD853*[2]ステータス!$B$2,0)</f>
        <v>4524</v>
      </c>
      <c r="AH853" s="99">
        <f ca="1">ROUND(VLOOKUP(1,enemy_base_stats!$A:$F,3,FALSE) * Z853*K853*P853*F853*T853*AE853 * W853*[2]ステータス!$C$2,0)</f>
        <v>215</v>
      </c>
      <c r="AI853" s="99">
        <f ca="1">ROUND(VLOOKUP(1,enemy_base_stats!$A:$F,4,FALSE) * AA853*L853*Q853*G853*U853*AF853*[2]ステータス!$D$2,0)</f>
        <v>0</v>
      </c>
      <c r="AJ853" s="99">
        <f ca="1">ROUND(VLOOKUP(100,enemy_base_stats!$A:$F,2,FALSE) * Y853* J853*O853*E853*S853*AD853*[2]ステータス!$B$2,0)</f>
        <v>183674</v>
      </c>
      <c r="AK853" s="99">
        <f ca="1">ROUND(VLOOKUP(100,enemy_base_stats!$A:$F,3,FALSE)* Z853* K853*P853*F853*T853*AE853 * W853*[2]ステータス!$C$2,0)</f>
        <v>8745</v>
      </c>
      <c r="AL853" s="99">
        <f ca="1">ROUND(VLOOKUP(100,enemy_base_stats!$A:$F,4,FALSE)* AA853* L853*Q853*G853*U853*AF853*[2]ステータス!$D$2,0)</f>
        <v>0</v>
      </c>
      <c r="AM853" s="97">
        <f ca="1">VLOOKUP(M853,[2]character_tribe_i18n!$A:$I,9,FALSE)</f>
        <v>680</v>
      </c>
      <c r="AN853" s="97">
        <v>0</v>
      </c>
      <c r="AO853" s="98">
        <v>0</v>
      </c>
      <c r="AP853" s="58" t="s">
        <v>72</v>
      </c>
      <c r="AQ853" s="34">
        <f t="shared" ca="1" si="50"/>
        <v>852</v>
      </c>
    </row>
    <row r="854" spans="1:43" ht="21" customHeight="1" x14ac:dyDescent="0.15">
      <c r="A854" s="7">
        <f t="shared" ca="1" si="49"/>
        <v>853</v>
      </c>
      <c r="B854" s="6" t="str">
        <f ca="1">VLOOKUP(A854,[2]characters!$A:$C,3,FALSE)</f>
        <v>裂爪の天使 サキエル・ティア</v>
      </c>
      <c r="C854" s="9">
        <f ca="1">VLOOKUP(A854,[2]characters!$A:$I,9,FALSE)</f>
        <v>5</v>
      </c>
      <c r="D854" s="9" t="str">
        <f ca="1">VLOOKUP(A854,[2]characters!$A:$H,8,FALSE)</f>
        <v>blue</v>
      </c>
      <c r="E854" s="97">
        <f ca="1">VLOOKUP(D854,[2]属性!$A:$E,2,FALSE)</f>
        <v>1</v>
      </c>
      <c r="F854" s="97">
        <f ca="1">VLOOKUP(D854,[2]属性!$A:$E,3,FALSE)</f>
        <v>0.98</v>
      </c>
      <c r="G854" s="97">
        <f ca="1">VLOOKUP(D854,[2]属性!$A:$F,4,FALSE)</f>
        <v>1</v>
      </c>
      <c r="H854" s="9" t="str">
        <f ca="1">VLOOKUP(A854,[2]characters!$A:$K,11,FALSE)</f>
        <v>hp</v>
      </c>
      <c r="I854" s="6" t="str">
        <f ca="1">VLOOKUP(H854,[2]character_type_i18n!$A:$F,3,FALSE)</f>
        <v>体力タイプ</v>
      </c>
      <c r="J854" s="97">
        <f ca="1">VLOOKUP(H854,[2]character_type_i18n!$A:$F,4,FALSE)</f>
        <v>1.45</v>
      </c>
      <c r="K854" s="97">
        <f ca="1">VLOOKUP(H854,[2]character_type_i18n!$A:$F,5,FALSE)</f>
        <v>0.85</v>
      </c>
      <c r="L854" s="97">
        <f ca="1">VLOOKUP(H854,[2]character_type_i18n!$A:$F,6,FALSE)</f>
        <v>1</v>
      </c>
      <c r="M854" s="9" t="str">
        <f ca="1">VLOOKUP(A854,[2]characters!$A:$M,13,FALSE)</f>
        <v>god</v>
      </c>
      <c r="N854" s="6" t="str">
        <f ca="1">VLOOKUP(M854,[2]character_tribe_i18n!$A:$F,3,FALSE)</f>
        <v>ゴッド</v>
      </c>
      <c r="O854" s="97">
        <f ca="1">VLOOKUP(M854,[2]character_tribe_i18n!$A:$F,4,FALSE)</f>
        <v>0.96</v>
      </c>
      <c r="P854" s="97">
        <f ca="1">VLOOKUP(M854,[2]character_tribe_i18n!$A:$F,5,FALSE)</f>
        <v>1.02</v>
      </c>
      <c r="Q854" s="97">
        <f ca="1">VLOOKUP(M854,[2]character_tribe_i18n!$A:$F,6,FALSE)</f>
        <v>1</v>
      </c>
      <c r="R854" s="98" t="s">
        <v>98</v>
      </c>
      <c r="S854" s="97">
        <f>VLOOKUP($R854,ラベル別係数!$A$1:$E$7,3,FALSE)</f>
        <v>5</v>
      </c>
      <c r="T854" s="97">
        <f>VLOOKUP($R854,ラベル別係数!$A$1:$E$7,4,FALSE)</f>
        <v>1.3</v>
      </c>
      <c r="U854" s="97">
        <f>VLOOKUP($R854,ラベル別係数!$A$1:$E$7,5,FALSE)</f>
        <v>0.8</v>
      </c>
      <c r="V854" s="98">
        <v>3</v>
      </c>
      <c r="W854" s="99">
        <f>VLOOKUP(V854,ターン数別攻撃係数!$A$1:$B$1000,2,FALSE)</f>
        <v>1</v>
      </c>
      <c r="X854" s="9">
        <f ca="1">VLOOKUP(C854,サイズ別係数!A$2:B$9,2,FALSE)</f>
        <v>60</v>
      </c>
      <c r="Y854" s="97">
        <f ca="1">VLOOKUP($X854,サイズ別係数!$B:$E,2,FALSE)</f>
        <v>1.7</v>
      </c>
      <c r="Z854" s="97">
        <f ca="1">VLOOKUP($X854,サイズ別係数!$B:$E,3,FALSE)</f>
        <v>1.4</v>
      </c>
      <c r="AA854" s="97">
        <f ca="1">VLOOKUP($X854,サイズ別係数!$B:$E,4,FALSE)</f>
        <v>1</v>
      </c>
      <c r="AB854" s="10">
        <v>0</v>
      </c>
      <c r="AC854" s="6" t="str">
        <f ca="1">VLOOKUP($AB854,OFFSET([3]enemy_skill_sets!$B$2,0,0,COUNTA([3]enemy_skill_sets!$A:$A),MATCH(AC$1,[3]enemy_skill_sets!$1:$1,0)-MATCH($AB$1,[3]enemy_skill_sets!$1:$1,0)+1),MATCH(AC$1,[3]enemy_skill_sets!$1:$1,0)-MATCH($AB$1,[3]enemy_skill_sets!$1:$1,0)+1,FALSE)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4" s="67">
        <v>1</v>
      </c>
      <c r="AE854" s="67">
        <v>1</v>
      </c>
      <c r="AF854" s="68">
        <v>0</v>
      </c>
      <c r="AG854" s="99">
        <f ca="1">ROUND(VLOOKUP(1,enemy_base_stats!$A:$F,2,FALSE) * Y854* J854*O854*E854*S854*AD854*[2]ステータス!$B$2,0)</f>
        <v>5916</v>
      </c>
      <c r="AH854" s="99">
        <f ca="1">ROUND(VLOOKUP(1,enemy_base_stats!$A:$F,3,FALSE) * Z854*K854*P854*F854*T854*AE854 * W854*[2]ステータス!$C$2,0)</f>
        <v>232</v>
      </c>
      <c r="AI854" s="99">
        <f ca="1">ROUND(VLOOKUP(1,enemy_base_stats!$A:$F,4,FALSE) * AA854*L854*Q854*G854*U854*AF854*[2]ステータス!$D$2,0)</f>
        <v>0</v>
      </c>
      <c r="AJ854" s="99">
        <f ca="1">ROUND(VLOOKUP(100,enemy_base_stats!$A:$F,2,FALSE) * Y854* J854*O854*E854*S854*AD854*[2]ステータス!$B$2,0)</f>
        <v>240190</v>
      </c>
      <c r="AK854" s="99">
        <f ca="1">ROUND(VLOOKUP(100,enemy_base_stats!$A:$F,3,FALSE)* Z854* K854*P854*F854*T854*AE854 * W854*[2]ステータス!$C$2,0)</f>
        <v>9417</v>
      </c>
      <c r="AL854" s="99">
        <f ca="1">ROUND(VLOOKUP(100,enemy_base_stats!$A:$F,4,FALSE)* AA854* L854*Q854*G854*U854*AF854*[2]ステータス!$D$2,0)</f>
        <v>0</v>
      </c>
      <c r="AM854" s="97">
        <f ca="1">VLOOKUP(M854,[2]character_tribe_i18n!$A:$I,9,FALSE)</f>
        <v>680</v>
      </c>
      <c r="AN854" s="97">
        <v>0</v>
      </c>
      <c r="AO854" s="98">
        <v>0</v>
      </c>
      <c r="AP854" s="58" t="s">
        <v>72</v>
      </c>
      <c r="AQ854" s="34">
        <f t="shared" ca="1" si="50"/>
        <v>853</v>
      </c>
    </row>
    <row r="855" spans="1:43" ht="21" customHeight="1" x14ac:dyDescent="0.15">
      <c r="A855" s="7">
        <f t="shared" ca="1" si="49"/>
        <v>854</v>
      </c>
      <c r="B855" s="6" t="str">
        <f ca="1">VLOOKUP(A855,[2]characters!$A:$C,3,FALSE)</f>
        <v>フラウロス</v>
      </c>
      <c r="C855" s="9">
        <f ca="1">VLOOKUP(A855,[2]characters!$A:$I,9,FALSE)</f>
        <v>4</v>
      </c>
      <c r="D855" s="9" t="str">
        <f ca="1">VLOOKUP(A855,[2]characters!$A:$H,8,FALSE)</f>
        <v>yellow</v>
      </c>
      <c r="E855" s="97">
        <f ca="1">VLOOKUP(D855,[2]属性!$A:$E,2,FALSE)</f>
        <v>0.98</v>
      </c>
      <c r="F855" s="97">
        <f ca="1">VLOOKUP(D855,[2]属性!$A:$E,3,FALSE)</f>
        <v>1.01</v>
      </c>
      <c r="G855" s="97">
        <f ca="1">VLOOKUP(D855,[2]属性!$A:$F,4,FALSE)</f>
        <v>1</v>
      </c>
      <c r="H855" s="9" t="str">
        <f ca="1">VLOOKUP(A855,[2]characters!$A:$K,11,FALSE)</f>
        <v>attack</v>
      </c>
      <c r="I855" s="6" t="str">
        <f ca="1">VLOOKUP(H855,[2]character_type_i18n!$A:$F,3,FALSE)</f>
        <v>攻撃タイプ</v>
      </c>
      <c r="J855" s="97">
        <f ca="1">VLOOKUP(H855,[2]character_type_i18n!$A:$F,4,FALSE)</f>
        <v>1</v>
      </c>
      <c r="K855" s="97">
        <f ca="1">VLOOKUP(H855,[2]character_type_i18n!$A:$F,5,FALSE)</f>
        <v>1.33</v>
      </c>
      <c r="L855" s="97">
        <f ca="1">VLOOKUP(H855,[2]character_type_i18n!$A:$F,6,FALSE)</f>
        <v>1</v>
      </c>
      <c r="M855" s="9" t="str">
        <f ca="1">VLOOKUP(A855,[2]characters!$A:$M,13,FALSE)</f>
        <v>animal</v>
      </c>
      <c r="N855" s="6" t="str">
        <f ca="1">VLOOKUP(M855,[2]character_tribe_i18n!$A:$F,3,FALSE)</f>
        <v>アニマル</v>
      </c>
      <c r="O855" s="97">
        <f ca="1">VLOOKUP(M855,[2]character_tribe_i18n!$A:$F,4,FALSE)</f>
        <v>1</v>
      </c>
      <c r="P855" s="97">
        <f ca="1">VLOOKUP(M855,[2]character_tribe_i18n!$A:$F,5,FALSE)</f>
        <v>1.1000000000000001</v>
      </c>
      <c r="Q855" s="97">
        <f ca="1">VLOOKUP(M855,[2]character_tribe_i18n!$A:$F,6,FALSE)</f>
        <v>1</v>
      </c>
      <c r="R855" s="98" t="s">
        <v>98</v>
      </c>
      <c r="S855" s="97">
        <f>VLOOKUP($R855,ラベル別係数!$A$1:$E$7,3,FALSE)</f>
        <v>5</v>
      </c>
      <c r="T855" s="97">
        <f>VLOOKUP($R855,ラベル別係数!$A$1:$E$7,4,FALSE)</f>
        <v>1.3</v>
      </c>
      <c r="U855" s="97">
        <f>VLOOKUP($R855,ラベル別係数!$A$1:$E$7,5,FALSE)</f>
        <v>0.8</v>
      </c>
      <c r="V855" s="98">
        <v>3</v>
      </c>
      <c r="W855" s="99">
        <f>VLOOKUP(V855,ターン数別攻撃係数!$A$1:$B$1000,2,FALSE)</f>
        <v>1</v>
      </c>
      <c r="X855" s="9">
        <f ca="1">VLOOKUP(C855,サイズ別係数!A$2:B$9,2,FALSE)</f>
        <v>30</v>
      </c>
      <c r="Y855" s="97">
        <f ca="1">VLOOKUP($X855,サイズ別係数!$B:$E,2,FALSE)</f>
        <v>1.3</v>
      </c>
      <c r="Z855" s="97">
        <f ca="1">VLOOKUP($X855,サイズ別係数!$B:$E,3,FALSE)</f>
        <v>1.3</v>
      </c>
      <c r="AA855" s="97">
        <f ca="1">VLOOKUP($X855,サイズ別係数!$B:$E,4,FALSE)</f>
        <v>1.1000000000000001</v>
      </c>
      <c r="AB855" s="10">
        <v>0</v>
      </c>
      <c r="AC855" s="6" t="str">
        <f ca="1">VLOOKUP($AB855,OFFSET([3]enemy_skill_sets!$B$2,0,0,COUNTA([3]enemy_skill_sets!$A:$A),MATCH(AC$1,[3]enemy_skill_sets!$1:$1,0)-MATCH($AB$1,[3]enemy_skill_sets!$1:$1,0)+1),MATCH(AC$1,[3]enemy_skill_sets!$1:$1,0)-MATCH($AB$1,[3]enemy_skill_sets!$1:$1,0)+1,FALSE)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5" s="67">
        <v>1</v>
      </c>
      <c r="AE855" s="67">
        <v>1</v>
      </c>
      <c r="AF855" s="68">
        <v>0</v>
      </c>
      <c r="AG855" s="99">
        <f ca="1">ROUND(VLOOKUP(1,enemy_base_stats!$A:$F,2,FALSE) * Y855* J855*O855*E855*S855*AD855*[2]ステータス!$B$2,0)</f>
        <v>3185</v>
      </c>
      <c r="AH855" s="99">
        <f ca="1">ROUND(VLOOKUP(1,enemy_base_stats!$A:$F,3,FALSE) * Z855*K855*P855*F855*T855*AE855 * W855*[2]ステータス!$C$2,0)</f>
        <v>375</v>
      </c>
      <c r="AI855" s="99">
        <f ca="1">ROUND(VLOOKUP(1,enemy_base_stats!$A:$F,4,FALSE) * AA855*L855*Q855*G855*U855*AF855*[2]ステータス!$D$2,0)</f>
        <v>0</v>
      </c>
      <c r="AJ855" s="99">
        <f ca="1">ROUND(VLOOKUP(100,enemy_base_stats!$A:$F,2,FALSE) * Y855* J855*O855*E855*S855*AD855*[2]ステータス!$B$2,0)</f>
        <v>129311</v>
      </c>
      <c r="AK855" s="99">
        <f ca="1">ROUND(VLOOKUP(100,enemy_base_stats!$A:$F,3,FALSE)* Z855* K855*P855*F855*T855*AE855 * W855*[2]ステータス!$C$2,0)</f>
        <v>15208</v>
      </c>
      <c r="AL855" s="99">
        <f ca="1">ROUND(VLOOKUP(100,enemy_base_stats!$A:$F,4,FALSE)* AA855* L855*Q855*G855*U855*AF855*[2]ステータス!$D$2,0)</f>
        <v>0</v>
      </c>
      <c r="AM855" s="97">
        <f ca="1">VLOOKUP(M855,[2]character_tribe_i18n!$A:$I,9,FALSE)</f>
        <v>480</v>
      </c>
      <c r="AN855" s="97">
        <v>0</v>
      </c>
      <c r="AO855" s="98">
        <v>0</v>
      </c>
      <c r="AP855" s="58" t="s">
        <v>72</v>
      </c>
      <c r="AQ855" s="34">
        <f t="shared" ca="1" si="50"/>
        <v>854</v>
      </c>
    </row>
    <row r="856" spans="1:43" ht="21" customHeight="1" x14ac:dyDescent="0.15">
      <c r="A856" s="7">
        <f t="shared" ca="1" si="49"/>
        <v>855</v>
      </c>
      <c r="B856" s="6" t="str">
        <f ca="1">VLOOKUP(A856,[2]characters!$A:$C,3,FALSE)</f>
        <v>豹魔の侠客 フラウロス</v>
      </c>
      <c r="C856" s="9">
        <f ca="1">VLOOKUP(A856,[2]characters!$A:$I,9,FALSE)</f>
        <v>5</v>
      </c>
      <c r="D856" s="9" t="str">
        <f ca="1">VLOOKUP(A856,[2]characters!$A:$H,8,FALSE)</f>
        <v>yellow</v>
      </c>
      <c r="E856" s="97">
        <f ca="1">VLOOKUP(D856,[2]属性!$A:$E,2,FALSE)</f>
        <v>0.98</v>
      </c>
      <c r="F856" s="97">
        <f ca="1">VLOOKUP(D856,[2]属性!$A:$E,3,FALSE)</f>
        <v>1.01</v>
      </c>
      <c r="G856" s="97">
        <f ca="1">VLOOKUP(D856,[2]属性!$A:$F,4,FALSE)</f>
        <v>1</v>
      </c>
      <c r="H856" s="9" t="str">
        <f ca="1">VLOOKUP(A856,[2]characters!$A:$K,11,FALSE)</f>
        <v>attack</v>
      </c>
      <c r="I856" s="6" t="str">
        <f ca="1">VLOOKUP(H856,[2]character_type_i18n!$A:$F,3,FALSE)</f>
        <v>攻撃タイプ</v>
      </c>
      <c r="J856" s="97">
        <f ca="1">VLOOKUP(H856,[2]character_type_i18n!$A:$F,4,FALSE)</f>
        <v>1</v>
      </c>
      <c r="K856" s="97">
        <f ca="1">VLOOKUP(H856,[2]character_type_i18n!$A:$F,5,FALSE)</f>
        <v>1.33</v>
      </c>
      <c r="L856" s="97">
        <f ca="1">VLOOKUP(H856,[2]character_type_i18n!$A:$F,6,FALSE)</f>
        <v>1</v>
      </c>
      <c r="M856" s="9" t="str">
        <f ca="1">VLOOKUP(A856,[2]characters!$A:$M,13,FALSE)</f>
        <v>animal</v>
      </c>
      <c r="N856" s="6" t="str">
        <f ca="1">VLOOKUP(M856,[2]character_tribe_i18n!$A:$F,3,FALSE)</f>
        <v>アニマル</v>
      </c>
      <c r="O856" s="97">
        <f ca="1">VLOOKUP(M856,[2]character_tribe_i18n!$A:$F,4,FALSE)</f>
        <v>1</v>
      </c>
      <c r="P856" s="97">
        <f ca="1">VLOOKUP(M856,[2]character_tribe_i18n!$A:$F,5,FALSE)</f>
        <v>1.1000000000000001</v>
      </c>
      <c r="Q856" s="97">
        <f ca="1">VLOOKUP(M856,[2]character_tribe_i18n!$A:$F,6,FALSE)</f>
        <v>1</v>
      </c>
      <c r="R856" s="98" t="s">
        <v>98</v>
      </c>
      <c r="S856" s="97">
        <f>VLOOKUP($R856,ラベル別係数!$A$1:$E$7,3,FALSE)</f>
        <v>5</v>
      </c>
      <c r="T856" s="97">
        <f>VLOOKUP($R856,ラベル別係数!$A$1:$E$7,4,FALSE)</f>
        <v>1.3</v>
      </c>
      <c r="U856" s="97">
        <f>VLOOKUP($R856,ラベル別係数!$A$1:$E$7,5,FALSE)</f>
        <v>0.8</v>
      </c>
      <c r="V856" s="98">
        <v>3</v>
      </c>
      <c r="W856" s="99">
        <f>VLOOKUP(V856,ターン数別攻撃係数!$A$1:$B$1000,2,FALSE)</f>
        <v>1</v>
      </c>
      <c r="X856" s="9">
        <f ca="1">VLOOKUP(C856,サイズ別係数!A$2:B$9,2,FALSE)</f>
        <v>60</v>
      </c>
      <c r="Y856" s="97">
        <f ca="1">VLOOKUP($X856,サイズ別係数!$B:$E,2,FALSE)</f>
        <v>1.7</v>
      </c>
      <c r="Z856" s="97">
        <f ca="1">VLOOKUP($X856,サイズ別係数!$B:$E,3,FALSE)</f>
        <v>1.4</v>
      </c>
      <c r="AA856" s="97">
        <f ca="1">VLOOKUP($X856,サイズ別係数!$B:$E,4,FALSE)</f>
        <v>1</v>
      </c>
      <c r="AB856" s="10">
        <v>0</v>
      </c>
      <c r="AC856" s="6" t="str">
        <f ca="1">VLOOKUP($AB856,OFFSET([3]enemy_skill_sets!$B$2,0,0,COUNTA([3]enemy_skill_sets!$A:$A),MATCH(AC$1,[3]enemy_skill_sets!$1:$1,0)-MATCH($AB$1,[3]enemy_skill_sets!$1:$1,0)+1),MATCH(AC$1,[3]enemy_skill_sets!$1:$1,0)-MATCH($AB$1,[3]enemy_skill_sets!$1:$1,0)+1,FALSE)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6" s="67">
        <v>1</v>
      </c>
      <c r="AE856" s="67">
        <v>1</v>
      </c>
      <c r="AF856" s="68">
        <v>0</v>
      </c>
      <c r="AG856" s="99">
        <f ca="1">ROUND(VLOOKUP(1,enemy_base_stats!$A:$F,2,FALSE) * Y856* J856*O856*E856*S856*AD856*[2]ステータス!$B$2,0)</f>
        <v>4165</v>
      </c>
      <c r="AH856" s="99">
        <f ca="1">ROUND(VLOOKUP(1,enemy_base_stats!$A:$F,3,FALSE) * Z856*K856*P856*F856*T856*AE856 * W856*[2]ステータス!$C$2,0)</f>
        <v>403</v>
      </c>
      <c r="AI856" s="99">
        <f ca="1">ROUND(VLOOKUP(1,enemy_base_stats!$A:$F,4,FALSE) * AA856*L856*Q856*G856*U856*AF856*[2]ステータス!$D$2,0)</f>
        <v>0</v>
      </c>
      <c r="AJ856" s="99">
        <f ca="1">ROUND(VLOOKUP(100,enemy_base_stats!$A:$F,2,FALSE) * Y856* J856*O856*E856*S856*AD856*[2]ステータス!$B$2,0)</f>
        <v>169099</v>
      </c>
      <c r="AK856" s="99">
        <f ca="1">ROUND(VLOOKUP(100,enemy_base_stats!$A:$F,3,FALSE)* Z856* K856*P856*F856*T856*AE856 * W856*[2]ステータス!$C$2,0)</f>
        <v>16378</v>
      </c>
      <c r="AL856" s="99">
        <f ca="1">ROUND(VLOOKUP(100,enemy_base_stats!$A:$F,4,FALSE)* AA856* L856*Q856*G856*U856*AF856*[2]ステータス!$D$2,0)</f>
        <v>0</v>
      </c>
      <c r="AM856" s="97">
        <f ca="1">VLOOKUP(M856,[2]character_tribe_i18n!$A:$I,9,FALSE)</f>
        <v>480</v>
      </c>
      <c r="AN856" s="97">
        <v>0</v>
      </c>
      <c r="AO856" s="98">
        <v>0</v>
      </c>
      <c r="AP856" s="58" t="s">
        <v>72</v>
      </c>
      <c r="AQ856" s="34">
        <f t="shared" ca="1" si="50"/>
        <v>855</v>
      </c>
    </row>
    <row r="857" spans="1:43" ht="21" customHeight="1" x14ac:dyDescent="0.15">
      <c r="A857" s="7">
        <f t="shared" ca="1" si="49"/>
        <v>856</v>
      </c>
      <c r="B857" s="6" t="str">
        <f ca="1">VLOOKUP(A857,[2]characters!$A:$C,3,FALSE)</f>
        <v>リフレクト＆M.I.R.R.O.R.</v>
      </c>
      <c r="C857" s="9">
        <f ca="1">VLOOKUP(A857,[2]characters!$A:$I,9,FALSE)</f>
        <v>4</v>
      </c>
      <c r="D857" s="9" t="str">
        <f ca="1">VLOOKUP(A857,[2]characters!$A:$H,8,FALSE)</f>
        <v>red</v>
      </c>
      <c r="E857" s="97">
        <f ca="1">VLOOKUP(D857,[2]属性!$A:$E,2,FALSE)</f>
        <v>1</v>
      </c>
      <c r="F857" s="97">
        <f ca="1">VLOOKUP(D857,[2]属性!$A:$E,3,FALSE)</f>
        <v>1.02</v>
      </c>
      <c r="G857" s="97">
        <f ca="1">VLOOKUP(D857,[2]属性!$A:$F,4,FALSE)</f>
        <v>1</v>
      </c>
      <c r="H857" s="9" t="str">
        <f ca="1">VLOOKUP(A857,[2]characters!$A:$K,11,FALSE)</f>
        <v>technical</v>
      </c>
      <c r="I857" s="6" t="str">
        <f ca="1">VLOOKUP(H857,[2]character_type_i18n!$A:$F,3,FALSE)</f>
        <v>テクニカルタイプ</v>
      </c>
      <c r="J857" s="97">
        <f ca="1">VLOOKUP(H857,[2]character_type_i18n!$A:$F,4,FALSE)</f>
        <v>0.9</v>
      </c>
      <c r="K857" s="97">
        <f ca="1">VLOOKUP(H857,[2]character_type_i18n!$A:$F,5,FALSE)</f>
        <v>0.9</v>
      </c>
      <c r="L857" s="97">
        <f ca="1">VLOOKUP(H857,[2]character_type_i18n!$A:$F,6,FALSE)</f>
        <v>1</v>
      </c>
      <c r="M857" s="9" t="str">
        <f ca="1">VLOOKUP(A857,[2]characters!$A:$M,13,FALSE)</f>
        <v>human</v>
      </c>
      <c r="N857" s="6" t="str">
        <f ca="1">VLOOKUP(M857,[2]character_tribe_i18n!$A:$F,3,FALSE)</f>
        <v>ヒューマン</v>
      </c>
      <c r="O857" s="97">
        <f ca="1">VLOOKUP(M857,[2]character_tribe_i18n!$A:$F,4,FALSE)</f>
        <v>0.94</v>
      </c>
      <c r="P857" s="97">
        <f ca="1">VLOOKUP(M857,[2]character_tribe_i18n!$A:$F,5,FALSE)</f>
        <v>0.99</v>
      </c>
      <c r="Q857" s="97">
        <f ca="1">VLOOKUP(M857,[2]character_tribe_i18n!$A:$F,6,FALSE)</f>
        <v>1</v>
      </c>
      <c r="R857" s="98" t="s">
        <v>98</v>
      </c>
      <c r="S857" s="97">
        <f>VLOOKUP($R857,ラベル別係数!$A$1:$E$7,3,FALSE)</f>
        <v>5</v>
      </c>
      <c r="T857" s="97">
        <f>VLOOKUP($R857,ラベル別係数!$A$1:$E$7,4,FALSE)</f>
        <v>1.3</v>
      </c>
      <c r="U857" s="97">
        <f>VLOOKUP($R857,ラベル別係数!$A$1:$E$7,5,FALSE)</f>
        <v>0.8</v>
      </c>
      <c r="V857" s="98">
        <v>3</v>
      </c>
      <c r="W857" s="99">
        <f>VLOOKUP(V857,ターン数別攻撃係数!$A$1:$B$1000,2,FALSE)</f>
        <v>1</v>
      </c>
      <c r="X857" s="9">
        <f ca="1">VLOOKUP(C857,サイズ別係数!A$2:B$9,2,FALSE)</f>
        <v>30</v>
      </c>
      <c r="Y857" s="97">
        <f ca="1">VLOOKUP($X857,サイズ別係数!$B:$E,2,FALSE)</f>
        <v>1.3</v>
      </c>
      <c r="Z857" s="97">
        <f ca="1">VLOOKUP($X857,サイズ別係数!$B:$E,3,FALSE)</f>
        <v>1.3</v>
      </c>
      <c r="AA857" s="97">
        <f ca="1">VLOOKUP($X857,サイズ別係数!$B:$E,4,FALSE)</f>
        <v>1.1000000000000001</v>
      </c>
      <c r="AB857" s="10">
        <v>0</v>
      </c>
      <c r="AC857" s="6" t="str">
        <f ca="1">VLOOKUP($AB857,OFFSET([3]enemy_skill_sets!$B$2,0,0,COUNTA([3]enemy_skill_sets!$A:$A),MATCH(AC$1,[3]enemy_skill_sets!$1:$1,0)-MATCH($AB$1,[3]enemy_skill_sets!$1:$1,0)+1),MATCH(AC$1,[3]enemy_skill_sets!$1:$1,0)-MATCH($AB$1,[3]enemy_skill_sets!$1:$1,0)+1,FALSE)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7" s="67">
        <v>1</v>
      </c>
      <c r="AE857" s="67">
        <v>1</v>
      </c>
      <c r="AF857" s="68">
        <v>0</v>
      </c>
      <c r="AG857" s="99">
        <f ca="1">ROUND(VLOOKUP(1,enemy_base_stats!$A:$F,2,FALSE) * Y857* J857*O857*E857*S857*AD857*[2]ステータス!$B$2,0)</f>
        <v>2750</v>
      </c>
      <c r="AH857" s="99">
        <f ca="1">ROUND(VLOOKUP(1,enemy_base_stats!$A:$F,3,FALSE) * Z857*K857*P857*F857*T857*AE857 * W857*[2]ステータス!$C$2,0)</f>
        <v>230</v>
      </c>
      <c r="AI857" s="99">
        <f ca="1">ROUND(VLOOKUP(1,enemy_base_stats!$A:$F,4,FALSE) * AA857*L857*Q857*G857*U857*AF857*[2]ステータス!$D$2,0)</f>
        <v>0</v>
      </c>
      <c r="AJ857" s="99">
        <f ca="1">ROUND(VLOOKUP(100,enemy_base_stats!$A:$F,2,FALSE) * Y857* J857*O857*E857*S857*AD857*[2]ステータス!$B$2,0)</f>
        <v>111630</v>
      </c>
      <c r="AK857" s="99">
        <f ca="1">ROUND(VLOOKUP(100,enemy_base_stats!$A:$F,3,FALSE)* Z857* K857*P857*F857*T857*AE857 * W857*[2]ステータス!$C$2,0)</f>
        <v>9354</v>
      </c>
      <c r="AL857" s="99">
        <f ca="1">ROUND(VLOOKUP(100,enemy_base_stats!$A:$F,4,FALSE)* AA857* L857*Q857*G857*U857*AF857*[2]ステータス!$D$2,0)</f>
        <v>0</v>
      </c>
      <c r="AM857" s="97">
        <f ca="1">VLOOKUP(M857,[2]character_tribe_i18n!$A:$I,9,FALSE)</f>
        <v>400</v>
      </c>
      <c r="AN857" s="97">
        <v>0</v>
      </c>
      <c r="AO857" s="98">
        <v>0</v>
      </c>
      <c r="AP857" s="58" t="s">
        <v>72</v>
      </c>
      <c r="AQ857" s="34">
        <f t="shared" ca="1" si="50"/>
        <v>856</v>
      </c>
    </row>
    <row r="858" spans="1:43" ht="21" customHeight="1" x14ac:dyDescent="0.15">
      <c r="A858" s="7">
        <f t="shared" ca="1" si="49"/>
        <v>857</v>
      </c>
      <c r="B858" s="6" t="str">
        <f ca="1">VLOOKUP(A858,[2]characters!$A:$C,3,FALSE)</f>
        <v>嫉心のリフレクト＆M.I.R.R.O.R.</v>
      </c>
      <c r="C858" s="9">
        <f ca="1">VLOOKUP(A858,[2]characters!$A:$I,9,FALSE)</f>
        <v>5</v>
      </c>
      <c r="D858" s="9" t="str">
        <f ca="1">VLOOKUP(A858,[2]characters!$A:$H,8,FALSE)</f>
        <v>red</v>
      </c>
      <c r="E858" s="97">
        <f ca="1">VLOOKUP(D858,[2]属性!$A:$E,2,FALSE)</f>
        <v>1</v>
      </c>
      <c r="F858" s="97">
        <f ca="1">VLOOKUP(D858,[2]属性!$A:$E,3,FALSE)</f>
        <v>1.02</v>
      </c>
      <c r="G858" s="97">
        <f ca="1">VLOOKUP(D858,[2]属性!$A:$F,4,FALSE)</f>
        <v>1</v>
      </c>
      <c r="H858" s="9" t="str">
        <f ca="1">VLOOKUP(A858,[2]characters!$A:$K,11,FALSE)</f>
        <v>technical</v>
      </c>
      <c r="I858" s="6" t="str">
        <f ca="1">VLOOKUP(H858,[2]character_type_i18n!$A:$F,3,FALSE)</f>
        <v>テクニカルタイプ</v>
      </c>
      <c r="J858" s="97">
        <f ca="1">VLOOKUP(H858,[2]character_type_i18n!$A:$F,4,FALSE)</f>
        <v>0.9</v>
      </c>
      <c r="K858" s="97">
        <f ca="1">VLOOKUP(H858,[2]character_type_i18n!$A:$F,5,FALSE)</f>
        <v>0.9</v>
      </c>
      <c r="L858" s="97">
        <f ca="1">VLOOKUP(H858,[2]character_type_i18n!$A:$F,6,FALSE)</f>
        <v>1</v>
      </c>
      <c r="M858" s="9" t="str">
        <f ca="1">VLOOKUP(A858,[2]characters!$A:$M,13,FALSE)</f>
        <v>human</v>
      </c>
      <c r="N858" s="6" t="str">
        <f ca="1">VLOOKUP(M858,[2]character_tribe_i18n!$A:$F,3,FALSE)</f>
        <v>ヒューマン</v>
      </c>
      <c r="O858" s="97">
        <f ca="1">VLOOKUP(M858,[2]character_tribe_i18n!$A:$F,4,FALSE)</f>
        <v>0.94</v>
      </c>
      <c r="P858" s="97">
        <f ca="1">VLOOKUP(M858,[2]character_tribe_i18n!$A:$F,5,FALSE)</f>
        <v>0.99</v>
      </c>
      <c r="Q858" s="97">
        <f ca="1">VLOOKUP(M858,[2]character_tribe_i18n!$A:$F,6,FALSE)</f>
        <v>1</v>
      </c>
      <c r="R858" s="98" t="s">
        <v>98</v>
      </c>
      <c r="S858" s="97">
        <f>VLOOKUP($R858,ラベル別係数!$A$1:$E$7,3,FALSE)</f>
        <v>5</v>
      </c>
      <c r="T858" s="97">
        <f>VLOOKUP($R858,ラベル別係数!$A$1:$E$7,4,FALSE)</f>
        <v>1.3</v>
      </c>
      <c r="U858" s="97">
        <f>VLOOKUP($R858,ラベル別係数!$A$1:$E$7,5,FALSE)</f>
        <v>0.8</v>
      </c>
      <c r="V858" s="98">
        <v>3</v>
      </c>
      <c r="W858" s="99">
        <f>VLOOKUP(V858,ターン数別攻撃係数!$A$1:$B$1000,2,FALSE)</f>
        <v>1</v>
      </c>
      <c r="X858" s="9">
        <f ca="1">VLOOKUP(C858,サイズ別係数!A$2:B$9,2,FALSE)</f>
        <v>60</v>
      </c>
      <c r="Y858" s="97">
        <f ca="1">VLOOKUP($X858,サイズ別係数!$B:$E,2,FALSE)</f>
        <v>1.7</v>
      </c>
      <c r="Z858" s="97">
        <f ca="1">VLOOKUP($X858,サイズ別係数!$B:$E,3,FALSE)</f>
        <v>1.4</v>
      </c>
      <c r="AA858" s="97">
        <f ca="1">VLOOKUP($X858,サイズ別係数!$B:$E,4,FALSE)</f>
        <v>1</v>
      </c>
      <c r="AB858" s="10">
        <v>0</v>
      </c>
      <c r="AC858" s="6" t="str">
        <f ca="1">VLOOKUP($AB858,OFFSET([3]enemy_skill_sets!$B$2,0,0,COUNTA([3]enemy_skill_sets!$A:$A),MATCH(AC$1,[3]enemy_skill_sets!$1:$1,0)-MATCH($AB$1,[3]enemy_skill_sets!$1:$1,0)+1),MATCH(AC$1,[3]enemy_skill_sets!$1:$1,0)-MATCH($AB$1,[3]enemy_skill_sets!$1:$1,0)+1,FALSE)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8" s="67">
        <v>1</v>
      </c>
      <c r="AE858" s="67">
        <v>1</v>
      </c>
      <c r="AF858" s="68">
        <v>0</v>
      </c>
      <c r="AG858" s="99">
        <f ca="1">ROUND(VLOOKUP(1,enemy_base_stats!$A:$F,2,FALSE) * Y858* J858*O858*E858*S858*AD858*[2]ステータス!$B$2,0)</f>
        <v>3596</v>
      </c>
      <c r="AH858" s="99">
        <f ca="1">ROUND(VLOOKUP(1,enemy_base_stats!$A:$F,3,FALSE) * Z858*K858*P858*F858*T858*AE858 * W858*[2]ステータス!$C$2,0)</f>
        <v>248</v>
      </c>
      <c r="AI858" s="99">
        <f ca="1">ROUND(VLOOKUP(1,enemy_base_stats!$A:$F,4,FALSE) * AA858*L858*Q858*G858*U858*AF858*[2]ステータス!$D$2,0)</f>
        <v>0</v>
      </c>
      <c r="AJ858" s="99">
        <f ca="1">ROUND(VLOOKUP(100,enemy_base_stats!$A:$F,2,FALSE) * Y858* J858*O858*E858*S858*AD858*[2]ステータス!$B$2,0)</f>
        <v>145977</v>
      </c>
      <c r="AK858" s="99">
        <f ca="1">ROUND(VLOOKUP(100,enemy_base_stats!$A:$F,3,FALSE)* Z858* K858*P858*F858*T858*AE858 * W858*[2]ステータス!$C$2,0)</f>
        <v>10073</v>
      </c>
      <c r="AL858" s="99">
        <f ca="1">ROUND(VLOOKUP(100,enemy_base_stats!$A:$F,4,FALSE)* AA858* L858*Q858*G858*U858*AF858*[2]ステータス!$D$2,0)</f>
        <v>0</v>
      </c>
      <c r="AM858" s="97">
        <f ca="1">VLOOKUP(M858,[2]character_tribe_i18n!$A:$I,9,FALSE)</f>
        <v>400</v>
      </c>
      <c r="AN858" s="97">
        <v>0</v>
      </c>
      <c r="AO858" s="98">
        <v>0</v>
      </c>
      <c r="AP858" s="58" t="s">
        <v>72</v>
      </c>
      <c r="AQ858" s="34">
        <f t="shared" ca="1" si="50"/>
        <v>857</v>
      </c>
    </row>
    <row r="859" spans="1:43" ht="21" customHeight="1" x14ac:dyDescent="0.15">
      <c r="A859" s="7">
        <f t="shared" ca="1" si="49"/>
        <v>858</v>
      </c>
      <c r="B859" s="6" t="str">
        <f ca="1">VLOOKUP(A859,[2]characters!$A:$C,3,FALSE)</f>
        <v>Mr.ホエール</v>
      </c>
      <c r="C859" s="9">
        <f ca="1">VLOOKUP(A859,[2]characters!$A:$I,9,FALSE)</f>
        <v>4</v>
      </c>
      <c r="D859" s="9" t="str">
        <f ca="1">VLOOKUP(A859,[2]characters!$A:$H,8,FALSE)</f>
        <v>yellow</v>
      </c>
      <c r="E859" s="97">
        <f ca="1">VLOOKUP(D859,[2]属性!$A:$E,2,FALSE)</f>
        <v>0.98</v>
      </c>
      <c r="F859" s="97">
        <f ca="1">VLOOKUP(D859,[2]属性!$A:$E,3,FALSE)</f>
        <v>1.01</v>
      </c>
      <c r="G859" s="97">
        <f ca="1">VLOOKUP(D859,[2]属性!$A:$F,4,FALSE)</f>
        <v>1</v>
      </c>
      <c r="H859" s="9" t="str">
        <f ca="1">VLOOKUP(A859,[2]characters!$A:$K,11,FALSE)</f>
        <v>hp</v>
      </c>
      <c r="I859" s="6" t="str">
        <f ca="1">VLOOKUP(H859,[2]character_type_i18n!$A:$F,3,FALSE)</f>
        <v>体力タイプ</v>
      </c>
      <c r="J859" s="97">
        <f ca="1">VLOOKUP(H859,[2]character_type_i18n!$A:$F,4,FALSE)</f>
        <v>1.45</v>
      </c>
      <c r="K859" s="97">
        <f ca="1">VLOOKUP(H859,[2]character_type_i18n!$A:$F,5,FALSE)</f>
        <v>0.85</v>
      </c>
      <c r="L859" s="97">
        <f ca="1">VLOOKUP(H859,[2]character_type_i18n!$A:$F,6,FALSE)</f>
        <v>1</v>
      </c>
      <c r="M859" s="9" t="str">
        <f ca="1">VLOOKUP(A859,[2]characters!$A:$M,13,FALSE)</f>
        <v>machine</v>
      </c>
      <c r="N859" s="6" t="str">
        <f ca="1">VLOOKUP(M859,[2]character_tribe_i18n!$A:$F,3,FALSE)</f>
        <v>マシン</v>
      </c>
      <c r="O859" s="97">
        <f ca="1">VLOOKUP(M859,[2]character_tribe_i18n!$A:$F,4,FALSE)</f>
        <v>1</v>
      </c>
      <c r="P859" s="97">
        <f ca="1">VLOOKUP(M859,[2]character_tribe_i18n!$A:$F,5,FALSE)</f>
        <v>1</v>
      </c>
      <c r="Q859" s="97">
        <f ca="1">VLOOKUP(M859,[2]character_tribe_i18n!$A:$F,6,FALSE)</f>
        <v>1</v>
      </c>
      <c r="R859" s="98" t="s">
        <v>98</v>
      </c>
      <c r="S859" s="97">
        <f>VLOOKUP($R859,ラベル別係数!$A$1:$E$7,3,FALSE)</f>
        <v>5</v>
      </c>
      <c r="T859" s="97">
        <f>VLOOKUP($R859,ラベル別係数!$A$1:$E$7,4,FALSE)</f>
        <v>1.3</v>
      </c>
      <c r="U859" s="97">
        <f>VLOOKUP($R859,ラベル別係数!$A$1:$E$7,5,FALSE)</f>
        <v>0.8</v>
      </c>
      <c r="V859" s="98">
        <v>3</v>
      </c>
      <c r="W859" s="99">
        <f>VLOOKUP(V859,ターン数別攻撃係数!$A$1:$B$1000,2,FALSE)</f>
        <v>1</v>
      </c>
      <c r="X859" s="9">
        <f ca="1">VLOOKUP(C859,サイズ別係数!A$2:B$9,2,FALSE)</f>
        <v>30</v>
      </c>
      <c r="Y859" s="97">
        <f ca="1">VLOOKUP($X859,サイズ別係数!$B:$E,2,FALSE)</f>
        <v>1.3</v>
      </c>
      <c r="Z859" s="97">
        <f ca="1">VLOOKUP($X859,サイズ別係数!$B:$E,3,FALSE)</f>
        <v>1.3</v>
      </c>
      <c r="AA859" s="97">
        <f ca="1">VLOOKUP($X859,サイズ別係数!$B:$E,4,FALSE)</f>
        <v>1.1000000000000001</v>
      </c>
      <c r="AB859" s="10">
        <v>0</v>
      </c>
      <c r="AC859" s="6" t="str">
        <f ca="1">VLOOKUP($AB859,OFFSET([3]enemy_skill_sets!$B$2,0,0,COUNTA([3]enemy_skill_sets!$A:$A),MATCH(AC$1,[3]enemy_skill_sets!$1:$1,0)-MATCH($AB$1,[3]enemy_skill_sets!$1:$1,0)+1),MATCH(AC$1,[3]enemy_skill_sets!$1:$1,0)-MATCH($AB$1,[3]enemy_skill_sets!$1:$1,0)+1,FALSE)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59" s="67">
        <v>1</v>
      </c>
      <c r="AE859" s="67">
        <v>1</v>
      </c>
      <c r="AF859" s="68">
        <v>0</v>
      </c>
      <c r="AG859" s="99">
        <f ca="1">ROUND(VLOOKUP(1,enemy_base_stats!$A:$F,2,FALSE) * Y859* J859*O859*E859*S859*AD859*[2]ステータス!$B$2,0)</f>
        <v>4618</v>
      </c>
      <c r="AH859" s="99">
        <f ca="1">ROUND(VLOOKUP(1,enemy_base_stats!$A:$F,3,FALSE) * Z859*K859*P859*F859*T859*AE859 * W859*[2]ステータス!$C$2,0)</f>
        <v>218</v>
      </c>
      <c r="AI859" s="99">
        <f ca="1">ROUND(VLOOKUP(1,enemy_base_stats!$A:$F,4,FALSE) * AA859*L859*Q859*G859*U859*AF859*[2]ステータス!$D$2,0)</f>
        <v>0</v>
      </c>
      <c r="AJ859" s="99">
        <f ca="1">ROUND(VLOOKUP(100,enemy_base_stats!$A:$F,2,FALSE) * Y859* J859*O859*E859*S859*AD859*[2]ステータス!$B$2,0)</f>
        <v>187501</v>
      </c>
      <c r="AK859" s="99">
        <f ca="1">ROUND(VLOOKUP(100,enemy_base_stats!$A:$F,3,FALSE)* Z859* K859*P859*F859*T859*AE859 * W859*[2]ステータス!$C$2,0)</f>
        <v>8836</v>
      </c>
      <c r="AL859" s="99">
        <f ca="1">ROUND(VLOOKUP(100,enemy_base_stats!$A:$F,4,FALSE)* AA859* L859*Q859*G859*U859*AF859*[2]ステータス!$D$2,0)</f>
        <v>0</v>
      </c>
      <c r="AM859" s="97">
        <f ca="1">VLOOKUP(M859,[2]character_tribe_i18n!$A:$I,9,FALSE)</f>
        <v>520</v>
      </c>
      <c r="AN859" s="97">
        <v>0</v>
      </c>
      <c r="AO859" s="98">
        <v>0</v>
      </c>
      <c r="AP859" s="58" t="s">
        <v>72</v>
      </c>
      <c r="AQ859" s="34">
        <f t="shared" ca="1" si="50"/>
        <v>858</v>
      </c>
    </row>
    <row r="860" spans="1:43" ht="21" customHeight="1" x14ac:dyDescent="0.15">
      <c r="A860" s="7">
        <f t="shared" ca="1" si="49"/>
        <v>859</v>
      </c>
      <c r="B860" s="6" t="str">
        <f ca="1">VLOOKUP(A860,[2]characters!$A:$C,3,FALSE)</f>
        <v>夢鯨大食 Mr.ホエール</v>
      </c>
      <c r="C860" s="9">
        <f ca="1">VLOOKUP(A860,[2]characters!$A:$I,9,FALSE)</f>
        <v>5</v>
      </c>
      <c r="D860" s="9" t="str">
        <f ca="1">VLOOKUP(A860,[2]characters!$A:$H,8,FALSE)</f>
        <v>yellow</v>
      </c>
      <c r="E860" s="97">
        <f ca="1">VLOOKUP(D860,[2]属性!$A:$E,2,FALSE)</f>
        <v>0.98</v>
      </c>
      <c r="F860" s="97">
        <f ca="1">VLOOKUP(D860,[2]属性!$A:$E,3,FALSE)</f>
        <v>1.01</v>
      </c>
      <c r="G860" s="97">
        <f ca="1">VLOOKUP(D860,[2]属性!$A:$F,4,FALSE)</f>
        <v>1</v>
      </c>
      <c r="H860" s="9" t="str">
        <f ca="1">VLOOKUP(A860,[2]characters!$A:$K,11,FALSE)</f>
        <v>hp</v>
      </c>
      <c r="I860" s="6" t="str">
        <f ca="1">VLOOKUP(H860,[2]character_type_i18n!$A:$F,3,FALSE)</f>
        <v>体力タイプ</v>
      </c>
      <c r="J860" s="97">
        <f ca="1">VLOOKUP(H860,[2]character_type_i18n!$A:$F,4,FALSE)</f>
        <v>1.45</v>
      </c>
      <c r="K860" s="97">
        <f ca="1">VLOOKUP(H860,[2]character_type_i18n!$A:$F,5,FALSE)</f>
        <v>0.85</v>
      </c>
      <c r="L860" s="97">
        <f ca="1">VLOOKUP(H860,[2]character_type_i18n!$A:$F,6,FALSE)</f>
        <v>1</v>
      </c>
      <c r="M860" s="9" t="str">
        <f ca="1">VLOOKUP(A860,[2]characters!$A:$M,13,FALSE)</f>
        <v>machine</v>
      </c>
      <c r="N860" s="6" t="str">
        <f ca="1">VLOOKUP(M860,[2]character_tribe_i18n!$A:$F,3,FALSE)</f>
        <v>マシン</v>
      </c>
      <c r="O860" s="97">
        <f ca="1">VLOOKUP(M860,[2]character_tribe_i18n!$A:$F,4,FALSE)</f>
        <v>1</v>
      </c>
      <c r="P860" s="97">
        <f ca="1">VLOOKUP(M860,[2]character_tribe_i18n!$A:$F,5,FALSE)</f>
        <v>1</v>
      </c>
      <c r="Q860" s="97">
        <f ca="1">VLOOKUP(M860,[2]character_tribe_i18n!$A:$F,6,FALSE)</f>
        <v>1</v>
      </c>
      <c r="R860" s="98" t="s">
        <v>98</v>
      </c>
      <c r="S860" s="97">
        <f>VLOOKUP($R860,ラベル別係数!$A$1:$E$7,3,FALSE)</f>
        <v>5</v>
      </c>
      <c r="T860" s="97">
        <f>VLOOKUP($R860,ラベル別係数!$A$1:$E$7,4,FALSE)</f>
        <v>1.3</v>
      </c>
      <c r="U860" s="97">
        <f>VLOOKUP($R860,ラベル別係数!$A$1:$E$7,5,FALSE)</f>
        <v>0.8</v>
      </c>
      <c r="V860" s="98">
        <v>3</v>
      </c>
      <c r="W860" s="99">
        <f>VLOOKUP(V860,ターン数別攻撃係数!$A$1:$B$1000,2,FALSE)</f>
        <v>1</v>
      </c>
      <c r="X860" s="9">
        <f ca="1">VLOOKUP(C860,サイズ別係数!A$2:B$9,2,FALSE)</f>
        <v>60</v>
      </c>
      <c r="Y860" s="97">
        <f ca="1">VLOOKUP($X860,サイズ別係数!$B:$E,2,FALSE)</f>
        <v>1.7</v>
      </c>
      <c r="Z860" s="97">
        <f ca="1">VLOOKUP($X860,サイズ別係数!$B:$E,3,FALSE)</f>
        <v>1.4</v>
      </c>
      <c r="AA860" s="97">
        <f ca="1">VLOOKUP($X860,サイズ別係数!$B:$E,4,FALSE)</f>
        <v>1</v>
      </c>
      <c r="AB860" s="10">
        <v>0</v>
      </c>
      <c r="AC860" s="6" t="str">
        <f ca="1">VLOOKUP($AB860,OFFSET([3]enemy_skill_sets!$B$2,0,0,COUNTA([3]enemy_skill_sets!$A:$A),MATCH(AC$1,[3]enemy_skill_sets!$1:$1,0)-MATCH($AB$1,[3]enemy_skill_sets!$1:$1,0)+1),MATCH(AC$1,[3]enemy_skill_sets!$1:$1,0)-MATCH($AB$1,[3]enemy_skill_sets!$1:$1,0)+1,FALSE)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0" s="67">
        <v>1</v>
      </c>
      <c r="AE860" s="67">
        <v>1</v>
      </c>
      <c r="AF860" s="68">
        <v>0</v>
      </c>
      <c r="AG860" s="99">
        <f ca="1">ROUND(VLOOKUP(1,enemy_base_stats!$A:$F,2,FALSE) * Y860* J860*O860*E860*S860*AD860*[2]ステータス!$B$2,0)</f>
        <v>6039</v>
      </c>
      <c r="AH860" s="99">
        <f ca="1">ROUND(VLOOKUP(1,enemy_base_stats!$A:$F,3,FALSE) * Z860*K860*P860*F860*T860*AE860 * W860*[2]ステータス!$C$2,0)</f>
        <v>234</v>
      </c>
      <c r="AI860" s="99">
        <f ca="1">ROUND(VLOOKUP(1,enemy_base_stats!$A:$F,4,FALSE) * AA860*L860*Q860*G860*U860*AF860*[2]ステータス!$D$2,0)</f>
        <v>0</v>
      </c>
      <c r="AJ860" s="99">
        <f ca="1">ROUND(VLOOKUP(100,enemy_base_stats!$A:$F,2,FALSE) * Y860* J860*O860*E860*S860*AD860*[2]ステータス!$B$2,0)</f>
        <v>245194</v>
      </c>
      <c r="AK860" s="99">
        <f ca="1">ROUND(VLOOKUP(100,enemy_base_stats!$A:$F,3,FALSE)* Z860* K860*P860*F860*T860*AE860 * W860*[2]ステータス!$C$2,0)</f>
        <v>9515</v>
      </c>
      <c r="AL860" s="99">
        <f ca="1">ROUND(VLOOKUP(100,enemy_base_stats!$A:$F,4,FALSE)* AA860* L860*Q860*G860*U860*AF860*[2]ステータス!$D$2,0)</f>
        <v>0</v>
      </c>
      <c r="AM860" s="97">
        <f ca="1">VLOOKUP(M860,[2]character_tribe_i18n!$A:$I,9,FALSE)</f>
        <v>520</v>
      </c>
      <c r="AN860" s="97">
        <v>0</v>
      </c>
      <c r="AO860" s="98">
        <v>0</v>
      </c>
      <c r="AP860" s="58" t="s">
        <v>72</v>
      </c>
      <c r="AQ860" s="34">
        <f t="shared" ca="1" si="50"/>
        <v>859</v>
      </c>
    </row>
    <row r="861" spans="1:43" ht="21" customHeight="1" x14ac:dyDescent="0.15">
      <c r="A861" s="7">
        <f t="shared" ca="1" si="49"/>
        <v>860</v>
      </c>
      <c r="B861" s="6" t="str">
        <f ca="1">VLOOKUP(A861,[2]characters!$A:$C,3,FALSE)</f>
        <v>叶望の幻燈 ジーナ</v>
      </c>
      <c r="C861" s="9">
        <f ca="1">VLOOKUP(A861,[2]characters!$A:$I,9,FALSE)</f>
        <v>5</v>
      </c>
      <c r="D861" s="9" t="str">
        <f ca="1">VLOOKUP(A861,[2]characters!$A:$H,8,FALSE)</f>
        <v>blue</v>
      </c>
      <c r="E861" s="97">
        <f ca="1">VLOOKUP(D861,[2]属性!$A:$E,2,FALSE)</f>
        <v>1</v>
      </c>
      <c r="F861" s="97">
        <f ca="1">VLOOKUP(D861,[2]属性!$A:$E,3,FALSE)</f>
        <v>0.98</v>
      </c>
      <c r="G861" s="97">
        <f ca="1">VLOOKUP(D861,[2]属性!$A:$F,4,FALSE)</f>
        <v>1</v>
      </c>
      <c r="H861" s="9" t="str">
        <f ca="1">VLOOKUP(A861,[2]characters!$A:$K,11,FALSE)</f>
        <v>hp</v>
      </c>
      <c r="I861" s="6" t="str">
        <f ca="1">VLOOKUP(H861,[2]character_type_i18n!$A:$F,3,FALSE)</f>
        <v>体力タイプ</v>
      </c>
      <c r="J861" s="97">
        <f ca="1">VLOOKUP(H861,[2]character_type_i18n!$A:$F,4,FALSE)</f>
        <v>1.45</v>
      </c>
      <c r="K861" s="97">
        <f ca="1">VLOOKUP(H861,[2]character_type_i18n!$A:$F,5,FALSE)</f>
        <v>0.85</v>
      </c>
      <c r="L861" s="97">
        <f ca="1">VLOOKUP(H861,[2]character_type_i18n!$A:$F,6,FALSE)</f>
        <v>1</v>
      </c>
      <c r="M861" s="9" t="str">
        <f ca="1">VLOOKUP(A861,[2]characters!$A:$M,13,FALSE)</f>
        <v>unknown</v>
      </c>
      <c r="N861" s="6" t="str">
        <f ca="1">VLOOKUP(M861,[2]character_tribe_i18n!$A:$F,3,FALSE)</f>
        <v>Unknown</v>
      </c>
      <c r="O861" s="97">
        <f ca="1">VLOOKUP(M861,[2]character_tribe_i18n!$A:$F,4,FALSE)</f>
        <v>1</v>
      </c>
      <c r="P861" s="97">
        <f ca="1">VLOOKUP(M861,[2]character_tribe_i18n!$A:$F,5,FALSE)</f>
        <v>1</v>
      </c>
      <c r="Q861" s="97">
        <f ca="1">VLOOKUP(M861,[2]character_tribe_i18n!$A:$F,6,FALSE)</f>
        <v>1</v>
      </c>
      <c r="R861" s="98" t="s">
        <v>98</v>
      </c>
      <c r="S861" s="97">
        <f>VLOOKUP($R861,ラベル別係数!$A$1:$E$7,3,FALSE)</f>
        <v>5</v>
      </c>
      <c r="T861" s="97">
        <f>VLOOKUP($R861,ラベル別係数!$A$1:$E$7,4,FALSE)</f>
        <v>1.3</v>
      </c>
      <c r="U861" s="97">
        <f>VLOOKUP($R861,ラベル別係数!$A$1:$E$7,5,FALSE)</f>
        <v>0.8</v>
      </c>
      <c r="V861" s="98">
        <v>3</v>
      </c>
      <c r="W861" s="99">
        <f>VLOOKUP(V861,ターン数別攻撃係数!$A$1:$B$1000,2,FALSE)</f>
        <v>1</v>
      </c>
      <c r="X861" s="9">
        <f ca="1">VLOOKUP(C861,サイズ別係数!A$2:B$9,2,FALSE)</f>
        <v>60</v>
      </c>
      <c r="Y861" s="97">
        <f ca="1">VLOOKUP($X861,サイズ別係数!$B:$E,2,FALSE)</f>
        <v>1.7</v>
      </c>
      <c r="Z861" s="97">
        <f ca="1">VLOOKUP($X861,サイズ別係数!$B:$E,3,FALSE)</f>
        <v>1.4</v>
      </c>
      <c r="AA861" s="97">
        <f ca="1">VLOOKUP($X861,サイズ別係数!$B:$E,4,FALSE)</f>
        <v>1</v>
      </c>
      <c r="AB861" s="10">
        <v>0</v>
      </c>
      <c r="AC861" s="6" t="str">
        <f ca="1">VLOOKUP($AB861,OFFSET([3]enemy_skill_sets!$B$2,0,0,COUNTA([3]enemy_skill_sets!$A:$A),MATCH(AC$1,[3]enemy_skill_sets!$1:$1,0)-MATCH($AB$1,[3]enemy_skill_sets!$1:$1,0)+1),MATCH(AC$1,[3]enemy_skill_sets!$1:$1,0)-MATCH($AB$1,[3]enemy_skill_sets!$1:$1,0)+1,FALSE)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1" s="67">
        <v>1</v>
      </c>
      <c r="AE861" s="67">
        <v>1</v>
      </c>
      <c r="AF861" s="68">
        <v>0</v>
      </c>
      <c r="AG861" s="99">
        <f ca="1">ROUND(VLOOKUP(1,enemy_base_stats!$A:$F,2,FALSE) * Y861* J861*O861*E861*S861*AD861*[2]ステータス!$B$2,0)</f>
        <v>6163</v>
      </c>
      <c r="AH861" s="99">
        <f ca="1">ROUND(VLOOKUP(1,enemy_base_stats!$A:$F,3,FALSE) * Z861*K861*P861*F861*T861*AE861 * W861*[2]ステータス!$C$2,0)</f>
        <v>227</v>
      </c>
      <c r="AI861" s="99">
        <f ca="1">ROUND(VLOOKUP(1,enemy_base_stats!$A:$F,4,FALSE) * AA861*L861*Q861*G861*U861*AF861*[2]ステータス!$D$2,0)</f>
        <v>0</v>
      </c>
      <c r="AJ861" s="99">
        <f ca="1">ROUND(VLOOKUP(100,enemy_base_stats!$A:$F,2,FALSE) * Y861* J861*O861*E861*S861*AD861*[2]ステータス!$B$2,0)</f>
        <v>250198</v>
      </c>
      <c r="AK861" s="99">
        <f ca="1">ROUND(VLOOKUP(100,enemy_base_stats!$A:$F,3,FALSE)* Z861* K861*P861*F861*T861*AE861 * W861*[2]ステータス!$C$2,0)</f>
        <v>9233</v>
      </c>
      <c r="AL861" s="99">
        <f ca="1">ROUND(VLOOKUP(100,enemy_base_stats!$A:$F,4,FALSE)* AA861* L861*Q861*G861*U861*AF861*[2]ステータス!$D$2,0)</f>
        <v>0</v>
      </c>
      <c r="AM861" s="97">
        <f ca="1">VLOOKUP(M861,[2]character_tribe_i18n!$A:$I,9,FALSE)</f>
        <v>340</v>
      </c>
      <c r="AN861" s="97">
        <v>0</v>
      </c>
      <c r="AO861" s="98">
        <v>0</v>
      </c>
      <c r="AP861" s="58" t="s">
        <v>72</v>
      </c>
      <c r="AQ861" s="34">
        <f t="shared" ca="1" si="50"/>
        <v>860</v>
      </c>
    </row>
    <row r="862" spans="1:43" ht="21" customHeight="1" x14ac:dyDescent="0.15">
      <c r="A862" s="7">
        <f t="shared" ca="1" si="49"/>
        <v>861</v>
      </c>
      <c r="B862" s="6" t="str">
        <f ca="1">VLOOKUP(A862,[2]characters!$A:$C,3,FALSE)</f>
        <v>青燈の巨躯 ジーナ</v>
      </c>
      <c r="C862" s="9">
        <f ca="1">VLOOKUP(A862,[2]characters!$A:$I,9,FALSE)</f>
        <v>6</v>
      </c>
      <c r="D862" s="9" t="str">
        <f ca="1">VLOOKUP(A862,[2]characters!$A:$H,8,FALSE)</f>
        <v>blue</v>
      </c>
      <c r="E862" s="97">
        <f ca="1">VLOOKUP(D862,[2]属性!$A:$E,2,FALSE)</f>
        <v>1</v>
      </c>
      <c r="F862" s="97">
        <f ca="1">VLOOKUP(D862,[2]属性!$A:$E,3,FALSE)</f>
        <v>0.98</v>
      </c>
      <c r="G862" s="97">
        <f ca="1">VLOOKUP(D862,[2]属性!$A:$F,4,FALSE)</f>
        <v>1</v>
      </c>
      <c r="H862" s="9" t="str">
        <f ca="1">VLOOKUP(A862,[2]characters!$A:$K,11,FALSE)</f>
        <v>hp</v>
      </c>
      <c r="I862" s="6" t="str">
        <f ca="1">VLOOKUP(H862,[2]character_type_i18n!$A:$F,3,FALSE)</f>
        <v>体力タイプ</v>
      </c>
      <c r="J862" s="97">
        <f ca="1">VLOOKUP(H862,[2]character_type_i18n!$A:$F,4,FALSE)</f>
        <v>1.45</v>
      </c>
      <c r="K862" s="97">
        <f ca="1">VLOOKUP(H862,[2]character_type_i18n!$A:$F,5,FALSE)</f>
        <v>0.85</v>
      </c>
      <c r="L862" s="97">
        <f ca="1">VLOOKUP(H862,[2]character_type_i18n!$A:$F,6,FALSE)</f>
        <v>1</v>
      </c>
      <c r="M862" s="9" t="str">
        <f ca="1">VLOOKUP(A862,[2]characters!$A:$M,13,FALSE)</f>
        <v>unknown</v>
      </c>
      <c r="N862" s="6" t="str">
        <f ca="1">VLOOKUP(M862,[2]character_tribe_i18n!$A:$F,3,FALSE)</f>
        <v>Unknown</v>
      </c>
      <c r="O862" s="97">
        <f ca="1">VLOOKUP(M862,[2]character_tribe_i18n!$A:$F,4,FALSE)</f>
        <v>1</v>
      </c>
      <c r="P862" s="97">
        <f ca="1">VLOOKUP(M862,[2]character_tribe_i18n!$A:$F,5,FALSE)</f>
        <v>1</v>
      </c>
      <c r="Q862" s="97">
        <f ca="1">VLOOKUP(M862,[2]character_tribe_i18n!$A:$F,6,FALSE)</f>
        <v>1</v>
      </c>
      <c r="R862" s="98" t="s">
        <v>98</v>
      </c>
      <c r="S862" s="97">
        <f>VLOOKUP($R862,ラベル別係数!$A$1:$E$7,3,FALSE)</f>
        <v>5</v>
      </c>
      <c r="T862" s="97">
        <f>VLOOKUP($R862,ラベル別係数!$A$1:$E$7,4,FALSE)</f>
        <v>1.3</v>
      </c>
      <c r="U862" s="97">
        <f>VLOOKUP($R862,ラベル別係数!$A$1:$E$7,5,FALSE)</f>
        <v>0.8</v>
      </c>
      <c r="V862" s="98">
        <v>3</v>
      </c>
      <c r="W862" s="99">
        <f>VLOOKUP(V862,ターン数別攻撃係数!$A$1:$B$1000,2,FALSE)</f>
        <v>1</v>
      </c>
      <c r="X862" s="9">
        <f ca="1">VLOOKUP(C862,サイズ別係数!A$2:B$9,2,FALSE)</f>
        <v>60</v>
      </c>
      <c r="Y862" s="97">
        <f ca="1">VLOOKUP($X862,サイズ別係数!$B:$E,2,FALSE)</f>
        <v>1.7</v>
      </c>
      <c r="Z862" s="97">
        <f ca="1">VLOOKUP($X862,サイズ別係数!$B:$E,3,FALSE)</f>
        <v>1.4</v>
      </c>
      <c r="AA862" s="97">
        <f ca="1">VLOOKUP($X862,サイズ別係数!$B:$E,4,FALSE)</f>
        <v>1</v>
      </c>
      <c r="AB862" s="10">
        <v>0</v>
      </c>
      <c r="AC862" s="6" t="str">
        <f ca="1">VLOOKUP($AB862,OFFSET([3]enemy_skill_sets!$B$2,0,0,COUNTA([3]enemy_skill_sets!$A:$A),MATCH(AC$1,[3]enemy_skill_sets!$1:$1,0)-MATCH($AB$1,[3]enemy_skill_sets!$1:$1,0)+1),MATCH(AC$1,[3]enemy_skill_sets!$1:$1,0)-MATCH($AB$1,[3]enemy_skill_sets!$1:$1,0)+1,FALSE)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2" s="67">
        <v>1</v>
      </c>
      <c r="AE862" s="67">
        <v>1</v>
      </c>
      <c r="AF862" s="68">
        <v>0</v>
      </c>
      <c r="AG862" s="99">
        <f ca="1">ROUND(VLOOKUP(1,enemy_base_stats!$A:$F,2,FALSE) * Y862* J862*O862*E862*S862*AD862*[2]ステータス!$B$2,0)</f>
        <v>6163</v>
      </c>
      <c r="AH862" s="99">
        <f ca="1">ROUND(VLOOKUP(1,enemy_base_stats!$A:$F,3,FALSE) * Z862*K862*P862*F862*T862*AE862 * W862*[2]ステータス!$C$2,0)</f>
        <v>227</v>
      </c>
      <c r="AI862" s="99">
        <f ca="1">ROUND(VLOOKUP(1,enemy_base_stats!$A:$F,4,FALSE) * AA862*L862*Q862*G862*U862*AF862*[2]ステータス!$D$2,0)</f>
        <v>0</v>
      </c>
      <c r="AJ862" s="99">
        <f ca="1">ROUND(VLOOKUP(100,enemy_base_stats!$A:$F,2,FALSE) * Y862* J862*O862*E862*S862*AD862*[2]ステータス!$B$2,0)</f>
        <v>250198</v>
      </c>
      <c r="AK862" s="99">
        <f ca="1">ROUND(VLOOKUP(100,enemy_base_stats!$A:$F,3,FALSE)* Z862* K862*P862*F862*T862*AE862 * W862*[2]ステータス!$C$2,0)</f>
        <v>9233</v>
      </c>
      <c r="AL862" s="99">
        <f ca="1">ROUND(VLOOKUP(100,enemy_base_stats!$A:$F,4,FALSE)* AA862* L862*Q862*G862*U862*AF862*[2]ステータス!$D$2,0)</f>
        <v>0</v>
      </c>
      <c r="AM862" s="97">
        <f ca="1">VLOOKUP(M862,[2]character_tribe_i18n!$A:$I,9,FALSE)</f>
        <v>340</v>
      </c>
      <c r="AN862" s="97">
        <v>0</v>
      </c>
      <c r="AO862" s="98">
        <v>0</v>
      </c>
      <c r="AP862" s="58" t="s">
        <v>72</v>
      </c>
      <c r="AQ862" s="34">
        <f t="shared" ca="1" si="50"/>
        <v>861</v>
      </c>
    </row>
    <row r="863" spans="1:43" ht="21" customHeight="1" x14ac:dyDescent="0.15">
      <c r="A863" s="7">
        <f t="shared" ca="1" si="49"/>
        <v>862</v>
      </c>
      <c r="B863" s="6" t="str">
        <f ca="1">VLOOKUP(A863,[2]characters!$A:$C,3,FALSE)</f>
        <v>ブレーメン</v>
      </c>
      <c r="C863" s="9">
        <f ca="1">VLOOKUP(A863,[2]characters!$A:$I,9,FALSE)</f>
        <v>4</v>
      </c>
      <c r="D863" s="9" t="str">
        <f ca="1">VLOOKUP(A863,[2]characters!$A:$H,8,FALSE)</f>
        <v>red</v>
      </c>
      <c r="E863" s="97">
        <f ca="1">VLOOKUP(D863,[2]属性!$A:$E,2,FALSE)</f>
        <v>1</v>
      </c>
      <c r="F863" s="97">
        <f ca="1">VLOOKUP(D863,[2]属性!$A:$E,3,FALSE)</f>
        <v>1.02</v>
      </c>
      <c r="G863" s="97">
        <f ca="1">VLOOKUP(D863,[2]属性!$A:$F,4,FALSE)</f>
        <v>1</v>
      </c>
      <c r="H863" s="9" t="str">
        <f ca="1">VLOOKUP(A863,[2]characters!$A:$K,11,FALSE)</f>
        <v>balance</v>
      </c>
      <c r="I863" s="6" t="str">
        <f ca="1">VLOOKUP(H863,[2]character_type_i18n!$A:$F,3,FALSE)</f>
        <v>バランスタイプ</v>
      </c>
      <c r="J863" s="97">
        <f ca="1">VLOOKUP(H863,[2]character_type_i18n!$A:$F,4,FALSE)</f>
        <v>1</v>
      </c>
      <c r="K863" s="97">
        <f ca="1">VLOOKUP(H863,[2]character_type_i18n!$A:$F,5,FALSE)</f>
        <v>1</v>
      </c>
      <c r="L863" s="97">
        <f ca="1">VLOOKUP(H863,[2]character_type_i18n!$A:$F,6,FALSE)</f>
        <v>1</v>
      </c>
      <c r="M863" s="9" t="str">
        <f ca="1">VLOOKUP(A863,[2]characters!$A:$M,13,FALSE)</f>
        <v>animal</v>
      </c>
      <c r="N863" s="6" t="str">
        <f ca="1">VLOOKUP(M863,[2]character_tribe_i18n!$A:$F,3,FALSE)</f>
        <v>アニマル</v>
      </c>
      <c r="O863" s="97">
        <f ca="1">VLOOKUP(M863,[2]character_tribe_i18n!$A:$F,4,FALSE)</f>
        <v>1</v>
      </c>
      <c r="P863" s="97">
        <f ca="1">VLOOKUP(M863,[2]character_tribe_i18n!$A:$F,5,FALSE)</f>
        <v>1.1000000000000001</v>
      </c>
      <c r="Q863" s="97">
        <f ca="1">VLOOKUP(M863,[2]character_tribe_i18n!$A:$F,6,FALSE)</f>
        <v>1</v>
      </c>
      <c r="R863" s="98" t="s">
        <v>98</v>
      </c>
      <c r="S863" s="97">
        <f>VLOOKUP($R863,ラベル別係数!$A$1:$E$7,3,FALSE)</f>
        <v>5</v>
      </c>
      <c r="T863" s="97">
        <f>VLOOKUP($R863,ラベル別係数!$A$1:$E$7,4,FALSE)</f>
        <v>1.3</v>
      </c>
      <c r="U863" s="97">
        <f>VLOOKUP($R863,ラベル別係数!$A$1:$E$7,5,FALSE)</f>
        <v>0.8</v>
      </c>
      <c r="V863" s="98">
        <v>3</v>
      </c>
      <c r="W863" s="99">
        <f>VLOOKUP(V863,ターン数別攻撃係数!$A$1:$B$1000,2,FALSE)</f>
        <v>1</v>
      </c>
      <c r="X863" s="9">
        <f ca="1">VLOOKUP(C863,サイズ別係数!A$2:B$9,2,FALSE)</f>
        <v>30</v>
      </c>
      <c r="Y863" s="97">
        <f ca="1">VLOOKUP($X863,サイズ別係数!$B:$E,2,FALSE)</f>
        <v>1.3</v>
      </c>
      <c r="Z863" s="97">
        <f ca="1">VLOOKUP($X863,サイズ別係数!$B:$E,3,FALSE)</f>
        <v>1.3</v>
      </c>
      <c r="AA863" s="97">
        <f ca="1">VLOOKUP($X863,サイズ別係数!$B:$E,4,FALSE)</f>
        <v>1.1000000000000001</v>
      </c>
      <c r="AB863" s="10">
        <v>0</v>
      </c>
      <c r="AC863" s="6" t="str">
        <f ca="1">VLOOKUP($AB863,OFFSET([3]enemy_skill_sets!$B$2,0,0,COUNTA([3]enemy_skill_sets!$A:$A),MATCH(AC$1,[3]enemy_skill_sets!$1:$1,0)-MATCH($AB$1,[3]enemy_skill_sets!$1:$1,0)+1),MATCH(AC$1,[3]enemy_skill_sets!$1:$1,0)-MATCH($AB$1,[3]enemy_skill_sets!$1:$1,0)+1,FALSE)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3" s="67">
        <v>1</v>
      </c>
      <c r="AE863" s="67">
        <v>1</v>
      </c>
      <c r="AF863" s="68">
        <v>0</v>
      </c>
      <c r="AG863" s="99">
        <f ca="1">ROUND(VLOOKUP(1,enemy_base_stats!$A:$F,2,FALSE) * Y863* J863*O863*E863*S863*AD863*[2]ステータス!$B$2,0)</f>
        <v>3250</v>
      </c>
      <c r="AH863" s="99">
        <f ca="1">ROUND(VLOOKUP(1,enemy_base_stats!$A:$F,3,FALSE) * Z863*K863*P863*F863*T863*AE863 * W863*[2]ステータス!$C$2,0)</f>
        <v>284</v>
      </c>
      <c r="AI863" s="99">
        <f ca="1">ROUND(VLOOKUP(1,enemy_base_stats!$A:$F,4,FALSE) * AA863*L863*Q863*G863*U863*AF863*[2]ステータス!$D$2,0)</f>
        <v>0</v>
      </c>
      <c r="AJ863" s="99">
        <f ca="1">ROUND(VLOOKUP(100,enemy_base_stats!$A:$F,2,FALSE) * Y863* J863*O863*E863*S863*AD863*[2]ステータス!$B$2,0)</f>
        <v>131950</v>
      </c>
      <c r="AK863" s="99">
        <f ca="1">ROUND(VLOOKUP(100,enemy_base_stats!$A:$F,3,FALSE)* Z863* K863*P863*F863*T863*AE863 * W863*[2]ステータス!$C$2,0)</f>
        <v>11548</v>
      </c>
      <c r="AL863" s="99">
        <f ca="1">ROUND(VLOOKUP(100,enemy_base_stats!$A:$F,4,FALSE)* AA863* L863*Q863*G863*U863*AF863*[2]ステータス!$D$2,0)</f>
        <v>0</v>
      </c>
      <c r="AM863" s="97">
        <f ca="1">VLOOKUP(M863,[2]character_tribe_i18n!$A:$I,9,FALSE)</f>
        <v>480</v>
      </c>
      <c r="AN863" s="97">
        <v>0</v>
      </c>
      <c r="AO863" s="98">
        <v>0</v>
      </c>
      <c r="AP863" s="58" t="s">
        <v>72</v>
      </c>
      <c r="AQ863" s="34">
        <f t="shared" ca="1" si="50"/>
        <v>862</v>
      </c>
    </row>
    <row r="864" spans="1:43" ht="21" customHeight="1" x14ac:dyDescent="0.15">
      <c r="A864" s="7">
        <f t="shared" ca="1" si="49"/>
        <v>863</v>
      </c>
      <c r="B864" s="6" t="str">
        <f ca="1">VLOOKUP(A864,[2]characters!$A:$C,3,FALSE)</f>
        <v>歓揮の楽団長 ブレーメン</v>
      </c>
      <c r="C864" s="9">
        <f ca="1">VLOOKUP(A864,[2]characters!$A:$I,9,FALSE)</f>
        <v>5</v>
      </c>
      <c r="D864" s="9" t="str">
        <f ca="1">VLOOKUP(A864,[2]characters!$A:$H,8,FALSE)</f>
        <v>red</v>
      </c>
      <c r="E864" s="97">
        <f ca="1">VLOOKUP(D864,[2]属性!$A:$E,2,FALSE)</f>
        <v>1</v>
      </c>
      <c r="F864" s="97">
        <f ca="1">VLOOKUP(D864,[2]属性!$A:$E,3,FALSE)</f>
        <v>1.02</v>
      </c>
      <c r="G864" s="97">
        <f ca="1">VLOOKUP(D864,[2]属性!$A:$F,4,FALSE)</f>
        <v>1</v>
      </c>
      <c r="H864" s="9" t="str">
        <f ca="1">VLOOKUP(A864,[2]characters!$A:$K,11,FALSE)</f>
        <v>balance</v>
      </c>
      <c r="I864" s="6" t="str">
        <f ca="1">VLOOKUP(H864,[2]character_type_i18n!$A:$F,3,FALSE)</f>
        <v>バランスタイプ</v>
      </c>
      <c r="J864" s="97">
        <f ca="1">VLOOKUP(H864,[2]character_type_i18n!$A:$F,4,FALSE)</f>
        <v>1</v>
      </c>
      <c r="K864" s="97">
        <f ca="1">VLOOKUP(H864,[2]character_type_i18n!$A:$F,5,FALSE)</f>
        <v>1</v>
      </c>
      <c r="L864" s="97">
        <f ca="1">VLOOKUP(H864,[2]character_type_i18n!$A:$F,6,FALSE)</f>
        <v>1</v>
      </c>
      <c r="M864" s="9" t="str">
        <f ca="1">VLOOKUP(A864,[2]characters!$A:$M,13,FALSE)</f>
        <v>animal</v>
      </c>
      <c r="N864" s="6" t="str">
        <f ca="1">VLOOKUP(M864,[2]character_tribe_i18n!$A:$F,3,FALSE)</f>
        <v>アニマル</v>
      </c>
      <c r="O864" s="97">
        <f ca="1">VLOOKUP(M864,[2]character_tribe_i18n!$A:$F,4,FALSE)</f>
        <v>1</v>
      </c>
      <c r="P864" s="97">
        <f ca="1">VLOOKUP(M864,[2]character_tribe_i18n!$A:$F,5,FALSE)</f>
        <v>1.1000000000000001</v>
      </c>
      <c r="Q864" s="97">
        <f ca="1">VLOOKUP(M864,[2]character_tribe_i18n!$A:$F,6,FALSE)</f>
        <v>1</v>
      </c>
      <c r="R864" s="98" t="s">
        <v>98</v>
      </c>
      <c r="S864" s="97">
        <f>VLOOKUP($R864,ラベル別係数!$A$1:$E$7,3,FALSE)</f>
        <v>5</v>
      </c>
      <c r="T864" s="97">
        <f>VLOOKUP($R864,ラベル別係数!$A$1:$E$7,4,FALSE)</f>
        <v>1.3</v>
      </c>
      <c r="U864" s="97">
        <f>VLOOKUP($R864,ラベル別係数!$A$1:$E$7,5,FALSE)</f>
        <v>0.8</v>
      </c>
      <c r="V864" s="98">
        <v>3</v>
      </c>
      <c r="W864" s="99">
        <f>VLOOKUP(V864,ターン数別攻撃係数!$A$1:$B$1000,2,FALSE)</f>
        <v>1</v>
      </c>
      <c r="X864" s="9">
        <f ca="1">VLOOKUP(C864,サイズ別係数!A$2:B$9,2,FALSE)</f>
        <v>60</v>
      </c>
      <c r="Y864" s="97">
        <f ca="1">VLOOKUP($X864,サイズ別係数!$B:$E,2,FALSE)</f>
        <v>1.7</v>
      </c>
      <c r="Z864" s="97">
        <f ca="1">VLOOKUP($X864,サイズ別係数!$B:$E,3,FALSE)</f>
        <v>1.4</v>
      </c>
      <c r="AA864" s="97">
        <f ca="1">VLOOKUP($X864,サイズ別係数!$B:$E,4,FALSE)</f>
        <v>1</v>
      </c>
      <c r="AB864" s="10">
        <v>0</v>
      </c>
      <c r="AC864" s="6" t="str">
        <f ca="1">VLOOKUP($AB864,OFFSET([3]enemy_skill_sets!$B$2,0,0,COUNTA([3]enemy_skill_sets!$A:$A),MATCH(AC$1,[3]enemy_skill_sets!$1:$1,0)-MATCH($AB$1,[3]enemy_skill_sets!$1:$1,0)+1),MATCH(AC$1,[3]enemy_skill_sets!$1:$1,0)-MATCH($AB$1,[3]enemy_skill_sets!$1:$1,0)+1,FALSE)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4" s="67">
        <v>1</v>
      </c>
      <c r="AE864" s="67">
        <v>1</v>
      </c>
      <c r="AF864" s="68">
        <v>0</v>
      </c>
      <c r="AG864" s="99">
        <f ca="1">ROUND(VLOOKUP(1,enemy_base_stats!$A:$F,2,FALSE) * Y864* J864*O864*E864*S864*AD864*[2]ステータス!$B$2,0)</f>
        <v>4250</v>
      </c>
      <c r="AH864" s="99">
        <f ca="1">ROUND(VLOOKUP(1,enemy_base_stats!$A:$F,3,FALSE) * Z864*K864*P864*F864*T864*AE864 * W864*[2]ステータス!$C$2,0)</f>
        <v>306</v>
      </c>
      <c r="AI864" s="99">
        <f ca="1">ROUND(VLOOKUP(1,enemy_base_stats!$A:$F,4,FALSE) * AA864*L864*Q864*G864*U864*AF864*[2]ステータス!$D$2,0)</f>
        <v>0</v>
      </c>
      <c r="AJ864" s="99">
        <f ca="1">ROUND(VLOOKUP(100,enemy_base_stats!$A:$F,2,FALSE) * Y864* J864*O864*E864*S864*AD864*[2]ステータス!$B$2,0)</f>
        <v>172550</v>
      </c>
      <c r="AK864" s="99">
        <f ca="1">ROUND(VLOOKUP(100,enemy_base_stats!$A:$F,3,FALSE)* Z864* K864*P864*F864*T864*AE864 * W864*[2]ステータス!$C$2,0)</f>
        <v>12436</v>
      </c>
      <c r="AL864" s="99">
        <f ca="1">ROUND(VLOOKUP(100,enemy_base_stats!$A:$F,4,FALSE)* AA864* L864*Q864*G864*U864*AF864*[2]ステータス!$D$2,0)</f>
        <v>0</v>
      </c>
      <c r="AM864" s="97">
        <f ca="1">VLOOKUP(M864,[2]character_tribe_i18n!$A:$I,9,FALSE)</f>
        <v>480</v>
      </c>
      <c r="AN864" s="97">
        <v>0</v>
      </c>
      <c r="AO864" s="98">
        <v>0</v>
      </c>
      <c r="AP864" s="58" t="s">
        <v>72</v>
      </c>
      <c r="AQ864" s="34">
        <f t="shared" ref="AQ864:AQ911" ca="1" si="51">A864</f>
        <v>863</v>
      </c>
    </row>
    <row r="865" spans="1:43" ht="21" customHeight="1" x14ac:dyDescent="0.15">
      <c r="A865" s="7">
        <f t="shared" ca="1" si="49"/>
        <v>864</v>
      </c>
      <c r="B865" s="6" t="str">
        <f ca="1">VLOOKUP(A865,[2]characters!$A:$C,3,FALSE)</f>
        <v>ピノキオ</v>
      </c>
      <c r="C865" s="9">
        <f ca="1">VLOOKUP(A865,[2]characters!$A:$I,9,FALSE)</f>
        <v>4</v>
      </c>
      <c r="D865" s="9" t="str">
        <f ca="1">VLOOKUP(A865,[2]characters!$A:$H,8,FALSE)</f>
        <v>green</v>
      </c>
      <c r="E865" s="97">
        <f ca="1">VLOOKUP(D865,[2]属性!$A:$E,2,FALSE)</f>
        <v>1.02</v>
      </c>
      <c r="F865" s="97">
        <f ca="1">VLOOKUP(D865,[2]属性!$A:$E,3,FALSE)</f>
        <v>0.98</v>
      </c>
      <c r="G865" s="97">
        <f ca="1">VLOOKUP(D865,[2]属性!$A:$F,4,FALSE)</f>
        <v>1</v>
      </c>
      <c r="H865" s="9" t="str">
        <f ca="1">VLOOKUP(A865,[2]characters!$A:$K,11,FALSE)</f>
        <v>attack</v>
      </c>
      <c r="I865" s="6" t="str">
        <f ca="1">VLOOKUP(H865,[2]character_type_i18n!$A:$F,3,FALSE)</f>
        <v>攻撃タイプ</v>
      </c>
      <c r="J865" s="97">
        <f ca="1">VLOOKUP(H865,[2]character_type_i18n!$A:$F,4,FALSE)</f>
        <v>1</v>
      </c>
      <c r="K865" s="97">
        <f ca="1">VLOOKUP(H865,[2]character_type_i18n!$A:$F,5,FALSE)</f>
        <v>1.33</v>
      </c>
      <c r="L865" s="97">
        <f ca="1">VLOOKUP(H865,[2]character_type_i18n!$A:$F,6,FALSE)</f>
        <v>1</v>
      </c>
      <c r="M865" s="9" t="str">
        <f ca="1">VLOOKUP(A865,[2]characters!$A:$M,13,FALSE)</f>
        <v>machine</v>
      </c>
      <c r="N865" s="6" t="str">
        <f ca="1">VLOOKUP(M865,[2]character_tribe_i18n!$A:$F,3,FALSE)</f>
        <v>マシン</v>
      </c>
      <c r="O865" s="97">
        <f ca="1">VLOOKUP(M865,[2]character_tribe_i18n!$A:$F,4,FALSE)</f>
        <v>1</v>
      </c>
      <c r="P865" s="97">
        <f ca="1">VLOOKUP(M865,[2]character_tribe_i18n!$A:$F,5,FALSE)</f>
        <v>1</v>
      </c>
      <c r="Q865" s="97">
        <f ca="1">VLOOKUP(M865,[2]character_tribe_i18n!$A:$F,6,FALSE)</f>
        <v>1</v>
      </c>
      <c r="R865" s="98" t="s">
        <v>98</v>
      </c>
      <c r="S865" s="97">
        <f>VLOOKUP($R865,ラベル別係数!$A$1:$E$7,3,FALSE)</f>
        <v>5</v>
      </c>
      <c r="T865" s="97">
        <f>VLOOKUP($R865,ラベル別係数!$A$1:$E$7,4,FALSE)</f>
        <v>1.3</v>
      </c>
      <c r="U865" s="97">
        <f>VLOOKUP($R865,ラベル別係数!$A$1:$E$7,5,FALSE)</f>
        <v>0.8</v>
      </c>
      <c r="V865" s="98">
        <v>3</v>
      </c>
      <c r="W865" s="99">
        <f>VLOOKUP(V865,ターン数別攻撃係数!$A$1:$B$1000,2,FALSE)</f>
        <v>1</v>
      </c>
      <c r="X865" s="9">
        <f ca="1">VLOOKUP(C865,サイズ別係数!A$2:B$9,2,FALSE)</f>
        <v>30</v>
      </c>
      <c r="Y865" s="97">
        <f ca="1">VLOOKUP($X865,サイズ別係数!$B:$E,2,FALSE)</f>
        <v>1.3</v>
      </c>
      <c r="Z865" s="97">
        <f ca="1">VLOOKUP($X865,サイズ別係数!$B:$E,3,FALSE)</f>
        <v>1.3</v>
      </c>
      <c r="AA865" s="97">
        <f ca="1">VLOOKUP($X865,サイズ別係数!$B:$E,4,FALSE)</f>
        <v>1.1000000000000001</v>
      </c>
      <c r="AB865" s="10">
        <v>0</v>
      </c>
      <c r="AC865" s="6" t="str">
        <f ca="1">VLOOKUP($AB865,OFFSET([3]enemy_skill_sets!$B$2,0,0,COUNTA([3]enemy_skill_sets!$A:$A),MATCH(AC$1,[3]enemy_skill_sets!$1:$1,0)-MATCH($AB$1,[3]enemy_skill_sets!$1:$1,0)+1),MATCH(AC$1,[3]enemy_skill_sets!$1:$1,0)-MATCH($AB$1,[3]enemy_skill_sets!$1:$1,0)+1,FALSE)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5" s="67">
        <v>1</v>
      </c>
      <c r="AE865" s="67">
        <v>1</v>
      </c>
      <c r="AF865" s="68">
        <v>0</v>
      </c>
      <c r="AG865" s="99">
        <f ca="1">ROUND(VLOOKUP(1,enemy_base_stats!$A:$F,2,FALSE) * Y865* J865*O865*E865*S865*AD865*[2]ステータス!$B$2,0)</f>
        <v>3315</v>
      </c>
      <c r="AH865" s="99">
        <f ca="1">ROUND(VLOOKUP(1,enemy_base_stats!$A:$F,3,FALSE) * Z865*K865*P865*F865*T865*AE865 * W865*[2]ステータス!$C$2,0)</f>
        <v>330</v>
      </c>
      <c r="AI865" s="99">
        <f ca="1">ROUND(VLOOKUP(1,enemy_base_stats!$A:$F,4,FALSE) * AA865*L865*Q865*G865*U865*AF865*[2]ステータス!$D$2,0)</f>
        <v>0</v>
      </c>
      <c r="AJ865" s="99">
        <f ca="1">ROUND(VLOOKUP(100,enemy_base_stats!$A:$F,2,FALSE) * Y865* J865*O865*E865*S865*AD865*[2]ステータス!$B$2,0)</f>
        <v>134589</v>
      </c>
      <c r="AK865" s="99">
        <f ca="1">ROUND(VLOOKUP(100,enemy_base_stats!$A:$F,3,FALSE)* Z865* K865*P865*F865*T865*AE865 * W865*[2]ステータス!$C$2,0)</f>
        <v>13415</v>
      </c>
      <c r="AL865" s="99">
        <f ca="1">ROUND(VLOOKUP(100,enemy_base_stats!$A:$F,4,FALSE)* AA865* L865*Q865*G865*U865*AF865*[2]ステータス!$D$2,0)</f>
        <v>0</v>
      </c>
      <c r="AM865" s="97">
        <f ca="1">VLOOKUP(M865,[2]character_tribe_i18n!$A:$I,9,FALSE)</f>
        <v>520</v>
      </c>
      <c r="AN865" s="97">
        <v>0</v>
      </c>
      <c r="AO865" s="98">
        <v>0</v>
      </c>
      <c r="AP865" s="58" t="s">
        <v>72</v>
      </c>
      <c r="AQ865" s="34">
        <f t="shared" ca="1" si="51"/>
        <v>864</v>
      </c>
    </row>
    <row r="866" spans="1:43" ht="21" customHeight="1" x14ac:dyDescent="0.15">
      <c r="A866" s="7">
        <f t="shared" ca="1" si="49"/>
        <v>865</v>
      </c>
      <c r="B866" s="6" t="str">
        <f ca="1">VLOOKUP(A866,[2]characters!$A:$C,3,FALSE)</f>
        <v>無情の感線 ピノキオ</v>
      </c>
      <c r="C866" s="9">
        <f ca="1">VLOOKUP(A866,[2]characters!$A:$I,9,FALSE)</f>
        <v>5</v>
      </c>
      <c r="D866" s="9" t="str">
        <f ca="1">VLOOKUP(A866,[2]characters!$A:$H,8,FALSE)</f>
        <v>green</v>
      </c>
      <c r="E866" s="97">
        <f ca="1">VLOOKUP(D866,[2]属性!$A:$E,2,FALSE)</f>
        <v>1.02</v>
      </c>
      <c r="F866" s="97">
        <f ca="1">VLOOKUP(D866,[2]属性!$A:$E,3,FALSE)</f>
        <v>0.98</v>
      </c>
      <c r="G866" s="97">
        <f ca="1">VLOOKUP(D866,[2]属性!$A:$F,4,FALSE)</f>
        <v>1</v>
      </c>
      <c r="H866" s="9" t="str">
        <f ca="1">VLOOKUP(A866,[2]characters!$A:$K,11,FALSE)</f>
        <v>attack</v>
      </c>
      <c r="I866" s="6" t="str">
        <f ca="1">VLOOKUP(H866,[2]character_type_i18n!$A:$F,3,FALSE)</f>
        <v>攻撃タイプ</v>
      </c>
      <c r="J866" s="97">
        <f ca="1">VLOOKUP(H866,[2]character_type_i18n!$A:$F,4,FALSE)</f>
        <v>1</v>
      </c>
      <c r="K866" s="97">
        <f ca="1">VLOOKUP(H866,[2]character_type_i18n!$A:$F,5,FALSE)</f>
        <v>1.33</v>
      </c>
      <c r="L866" s="97">
        <f ca="1">VLOOKUP(H866,[2]character_type_i18n!$A:$F,6,FALSE)</f>
        <v>1</v>
      </c>
      <c r="M866" s="9" t="str">
        <f ca="1">VLOOKUP(A866,[2]characters!$A:$M,13,FALSE)</f>
        <v>machine</v>
      </c>
      <c r="N866" s="6" t="str">
        <f ca="1">VLOOKUP(M866,[2]character_tribe_i18n!$A:$F,3,FALSE)</f>
        <v>マシン</v>
      </c>
      <c r="O866" s="97">
        <f ca="1">VLOOKUP(M866,[2]character_tribe_i18n!$A:$F,4,FALSE)</f>
        <v>1</v>
      </c>
      <c r="P866" s="97">
        <f ca="1">VLOOKUP(M866,[2]character_tribe_i18n!$A:$F,5,FALSE)</f>
        <v>1</v>
      </c>
      <c r="Q866" s="97">
        <f ca="1">VLOOKUP(M866,[2]character_tribe_i18n!$A:$F,6,FALSE)</f>
        <v>1</v>
      </c>
      <c r="R866" s="98" t="s">
        <v>98</v>
      </c>
      <c r="S866" s="97">
        <f>VLOOKUP($R866,ラベル別係数!$A$1:$E$7,3,FALSE)</f>
        <v>5</v>
      </c>
      <c r="T866" s="97">
        <f>VLOOKUP($R866,ラベル別係数!$A$1:$E$7,4,FALSE)</f>
        <v>1.3</v>
      </c>
      <c r="U866" s="97">
        <f>VLOOKUP($R866,ラベル別係数!$A$1:$E$7,5,FALSE)</f>
        <v>0.8</v>
      </c>
      <c r="V866" s="98">
        <v>3</v>
      </c>
      <c r="W866" s="99">
        <f>VLOOKUP(V866,ターン数別攻撃係数!$A$1:$B$1000,2,FALSE)</f>
        <v>1</v>
      </c>
      <c r="X866" s="9">
        <f ca="1">VLOOKUP(C866,サイズ別係数!A$2:B$9,2,FALSE)</f>
        <v>60</v>
      </c>
      <c r="Y866" s="97">
        <f ca="1">VLOOKUP($X866,サイズ別係数!$B:$E,2,FALSE)</f>
        <v>1.7</v>
      </c>
      <c r="Z866" s="97">
        <f ca="1">VLOOKUP($X866,サイズ別係数!$B:$E,3,FALSE)</f>
        <v>1.4</v>
      </c>
      <c r="AA866" s="97">
        <f ca="1">VLOOKUP($X866,サイズ別係数!$B:$E,4,FALSE)</f>
        <v>1</v>
      </c>
      <c r="AB866" s="10">
        <v>0</v>
      </c>
      <c r="AC866" s="6" t="str">
        <f ca="1">VLOOKUP($AB866,OFFSET([3]enemy_skill_sets!$B$2,0,0,COUNTA([3]enemy_skill_sets!$A:$A),MATCH(AC$1,[3]enemy_skill_sets!$1:$1,0)-MATCH($AB$1,[3]enemy_skill_sets!$1:$1,0)+1),MATCH(AC$1,[3]enemy_skill_sets!$1:$1,0)-MATCH($AB$1,[3]enemy_skill_sets!$1:$1,0)+1,FALSE)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6" s="67">
        <v>1</v>
      </c>
      <c r="AE866" s="67">
        <v>1</v>
      </c>
      <c r="AF866" s="68">
        <v>0</v>
      </c>
      <c r="AG866" s="99">
        <f ca="1">ROUND(VLOOKUP(1,enemy_base_stats!$A:$F,2,FALSE) * Y866* J866*O866*E866*S866*AD866*[2]ステータス!$B$2,0)</f>
        <v>4335</v>
      </c>
      <c r="AH866" s="99">
        <f ca="1">ROUND(VLOOKUP(1,enemy_base_stats!$A:$F,3,FALSE) * Z866*K866*P866*F866*T866*AE866 * W866*[2]ステータス!$C$2,0)</f>
        <v>356</v>
      </c>
      <c r="AI866" s="99">
        <f ca="1">ROUND(VLOOKUP(1,enemy_base_stats!$A:$F,4,FALSE) * AA866*L866*Q866*G866*U866*AF866*[2]ステータス!$D$2,0)</f>
        <v>0</v>
      </c>
      <c r="AJ866" s="99">
        <f ca="1">ROUND(VLOOKUP(100,enemy_base_stats!$A:$F,2,FALSE) * Y866* J866*O866*E866*S866*AD866*[2]ステータス!$B$2,0)</f>
        <v>176001</v>
      </c>
      <c r="AK866" s="99">
        <f ca="1">ROUND(VLOOKUP(100,enemy_base_stats!$A:$F,3,FALSE)* Z866* K866*P866*F866*T866*AE866 * W866*[2]ステータス!$C$2,0)</f>
        <v>14447</v>
      </c>
      <c r="AL866" s="99">
        <f ca="1">ROUND(VLOOKUP(100,enemy_base_stats!$A:$F,4,FALSE)* AA866* L866*Q866*G866*U866*AF866*[2]ステータス!$D$2,0)</f>
        <v>0</v>
      </c>
      <c r="AM866" s="97">
        <f ca="1">VLOOKUP(M866,[2]character_tribe_i18n!$A:$I,9,FALSE)</f>
        <v>520</v>
      </c>
      <c r="AN866" s="97">
        <v>0</v>
      </c>
      <c r="AO866" s="98">
        <v>0</v>
      </c>
      <c r="AP866" s="58" t="s">
        <v>72</v>
      </c>
      <c r="AQ866" s="34">
        <f t="shared" ca="1" si="51"/>
        <v>865</v>
      </c>
    </row>
    <row r="867" spans="1:43" ht="21" customHeight="1" x14ac:dyDescent="0.15">
      <c r="A867" s="7">
        <f t="shared" ca="1" si="49"/>
        <v>866</v>
      </c>
      <c r="B867" s="6" t="str">
        <f ca="1">VLOOKUP(A867,[2]characters!$A:$C,3,FALSE)</f>
        <v>無敗の司令姫 白雪姫</v>
      </c>
      <c r="C867" s="9">
        <f ca="1">VLOOKUP(A867,[2]characters!$A:$I,9,FALSE)</f>
        <v>5</v>
      </c>
      <c r="D867" s="9" t="str">
        <f ca="1">VLOOKUP(A867,[2]characters!$A:$H,8,FALSE)</f>
        <v>blue</v>
      </c>
      <c r="E867" s="97">
        <f ca="1">VLOOKUP(D867,[2]属性!$A:$E,2,FALSE)</f>
        <v>1</v>
      </c>
      <c r="F867" s="97">
        <f ca="1">VLOOKUP(D867,[2]属性!$A:$E,3,FALSE)</f>
        <v>0.98</v>
      </c>
      <c r="G867" s="97">
        <f ca="1">VLOOKUP(D867,[2]属性!$A:$F,4,FALSE)</f>
        <v>1</v>
      </c>
      <c r="H867" s="9" t="str">
        <f ca="1">VLOOKUP(A867,[2]characters!$A:$K,11,FALSE)</f>
        <v>balance</v>
      </c>
      <c r="I867" s="6" t="str">
        <f ca="1">VLOOKUP(H867,[2]character_type_i18n!$A:$F,3,FALSE)</f>
        <v>バランスタイプ</v>
      </c>
      <c r="J867" s="97">
        <f ca="1">VLOOKUP(H867,[2]character_type_i18n!$A:$F,4,FALSE)</f>
        <v>1</v>
      </c>
      <c r="K867" s="97">
        <f ca="1">VLOOKUP(H867,[2]character_type_i18n!$A:$F,5,FALSE)</f>
        <v>1</v>
      </c>
      <c r="L867" s="97">
        <f ca="1">VLOOKUP(H867,[2]character_type_i18n!$A:$F,6,FALSE)</f>
        <v>1</v>
      </c>
      <c r="M867" s="9" t="str">
        <f ca="1">VLOOKUP(A867,[2]characters!$A:$M,13,FALSE)</f>
        <v>human</v>
      </c>
      <c r="N867" s="6" t="str">
        <f ca="1">VLOOKUP(M867,[2]character_tribe_i18n!$A:$F,3,FALSE)</f>
        <v>ヒューマン</v>
      </c>
      <c r="O867" s="97">
        <f ca="1">VLOOKUP(M867,[2]character_tribe_i18n!$A:$F,4,FALSE)</f>
        <v>0.94</v>
      </c>
      <c r="P867" s="97">
        <f ca="1">VLOOKUP(M867,[2]character_tribe_i18n!$A:$F,5,FALSE)</f>
        <v>0.99</v>
      </c>
      <c r="Q867" s="97">
        <f ca="1">VLOOKUP(M867,[2]character_tribe_i18n!$A:$F,6,FALSE)</f>
        <v>1</v>
      </c>
      <c r="R867" s="98" t="s">
        <v>98</v>
      </c>
      <c r="S867" s="97">
        <f>VLOOKUP($R867,ラベル別係数!$A$1:$E$7,3,FALSE)</f>
        <v>5</v>
      </c>
      <c r="T867" s="97">
        <f>VLOOKUP($R867,ラベル別係数!$A$1:$E$7,4,FALSE)</f>
        <v>1.3</v>
      </c>
      <c r="U867" s="97">
        <f>VLOOKUP($R867,ラベル別係数!$A$1:$E$7,5,FALSE)</f>
        <v>0.8</v>
      </c>
      <c r="V867" s="98">
        <v>3</v>
      </c>
      <c r="W867" s="99">
        <f>VLOOKUP(V867,ターン数別攻撃係数!$A$1:$B$1000,2,FALSE)</f>
        <v>1</v>
      </c>
      <c r="X867" s="9">
        <f ca="1">VLOOKUP(C867,サイズ別係数!A$2:B$9,2,FALSE)</f>
        <v>60</v>
      </c>
      <c r="Y867" s="97">
        <f ca="1">VLOOKUP($X867,サイズ別係数!$B:$E,2,FALSE)</f>
        <v>1.7</v>
      </c>
      <c r="Z867" s="97">
        <f ca="1">VLOOKUP($X867,サイズ別係数!$B:$E,3,FALSE)</f>
        <v>1.4</v>
      </c>
      <c r="AA867" s="97">
        <f ca="1">VLOOKUP($X867,サイズ別係数!$B:$E,4,FALSE)</f>
        <v>1</v>
      </c>
      <c r="AB867" s="10">
        <v>0</v>
      </c>
      <c r="AC867" s="6" t="str">
        <f ca="1">VLOOKUP($AB867,OFFSET([3]enemy_skill_sets!$B$2,0,0,COUNTA([3]enemy_skill_sets!$A:$A),MATCH(AC$1,[3]enemy_skill_sets!$1:$1,0)-MATCH($AB$1,[3]enemy_skill_sets!$1:$1,0)+1),MATCH(AC$1,[3]enemy_skill_sets!$1:$1,0)-MATCH($AB$1,[3]enemy_skill_sets!$1:$1,0)+1,FALSE)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7" s="67">
        <v>1</v>
      </c>
      <c r="AE867" s="67">
        <v>1</v>
      </c>
      <c r="AF867" s="68">
        <v>0</v>
      </c>
      <c r="AG867" s="99">
        <f ca="1">ROUND(VLOOKUP(1,enemy_base_stats!$A:$F,2,FALSE) * Y867* J867*O867*E867*S867*AD867*[2]ステータス!$B$2,0)</f>
        <v>3995</v>
      </c>
      <c r="AH867" s="99">
        <f ca="1">ROUND(VLOOKUP(1,enemy_base_stats!$A:$F,3,FALSE) * Z867*K867*P867*F867*T867*AE867 * W867*[2]ステータス!$C$2,0)</f>
        <v>265</v>
      </c>
      <c r="AI867" s="99">
        <f ca="1">ROUND(VLOOKUP(1,enemy_base_stats!$A:$F,4,FALSE) * AA867*L867*Q867*G867*U867*AF867*[2]ステータス!$D$2,0)</f>
        <v>0</v>
      </c>
      <c r="AJ867" s="99">
        <f ca="1">ROUND(VLOOKUP(100,enemy_base_stats!$A:$F,2,FALSE) * Y867* J867*O867*E867*S867*AD867*[2]ステータス!$B$2,0)</f>
        <v>162197</v>
      </c>
      <c r="AK867" s="99">
        <f ca="1">ROUND(VLOOKUP(100,enemy_base_stats!$A:$F,3,FALSE)* Z867* K867*P867*F867*T867*AE867 * W867*[2]ステータス!$C$2,0)</f>
        <v>10754</v>
      </c>
      <c r="AL867" s="99">
        <f ca="1">ROUND(VLOOKUP(100,enemy_base_stats!$A:$F,4,FALSE)* AA867* L867*Q867*G867*U867*AF867*[2]ステータス!$D$2,0)</f>
        <v>0</v>
      </c>
      <c r="AM867" s="97">
        <f ca="1">VLOOKUP(M867,[2]character_tribe_i18n!$A:$I,9,FALSE)</f>
        <v>400</v>
      </c>
      <c r="AN867" s="97">
        <v>0</v>
      </c>
      <c r="AO867" s="98">
        <v>0</v>
      </c>
      <c r="AP867" s="58" t="s">
        <v>72</v>
      </c>
      <c r="AQ867" s="34">
        <f t="shared" ca="1" si="51"/>
        <v>866</v>
      </c>
    </row>
    <row r="868" spans="1:43" ht="21" customHeight="1" x14ac:dyDescent="0.15">
      <c r="A868" s="7">
        <f t="shared" ca="1" si="49"/>
        <v>867</v>
      </c>
      <c r="B868" s="6" t="str">
        <f ca="1">VLOOKUP(A868,[2]characters!$A:$C,3,FALSE)</f>
        <v>華麗なる作戦 白雪姫</v>
      </c>
      <c r="C868" s="9">
        <f ca="1">VLOOKUP(A868,[2]characters!$A:$I,9,FALSE)</f>
        <v>6</v>
      </c>
      <c r="D868" s="9" t="str">
        <f ca="1">VLOOKUP(A868,[2]characters!$A:$H,8,FALSE)</f>
        <v>blue</v>
      </c>
      <c r="E868" s="97">
        <f ca="1">VLOOKUP(D868,[2]属性!$A:$E,2,FALSE)</f>
        <v>1</v>
      </c>
      <c r="F868" s="97">
        <f ca="1">VLOOKUP(D868,[2]属性!$A:$E,3,FALSE)</f>
        <v>0.98</v>
      </c>
      <c r="G868" s="97">
        <f ca="1">VLOOKUP(D868,[2]属性!$A:$F,4,FALSE)</f>
        <v>1</v>
      </c>
      <c r="H868" s="9" t="str">
        <f ca="1">VLOOKUP(A868,[2]characters!$A:$K,11,FALSE)</f>
        <v>balance</v>
      </c>
      <c r="I868" s="6" t="str">
        <f ca="1">VLOOKUP(H868,[2]character_type_i18n!$A:$F,3,FALSE)</f>
        <v>バランスタイプ</v>
      </c>
      <c r="J868" s="97">
        <f ca="1">VLOOKUP(H868,[2]character_type_i18n!$A:$F,4,FALSE)</f>
        <v>1</v>
      </c>
      <c r="K868" s="97">
        <f ca="1">VLOOKUP(H868,[2]character_type_i18n!$A:$F,5,FALSE)</f>
        <v>1</v>
      </c>
      <c r="L868" s="97">
        <f ca="1">VLOOKUP(H868,[2]character_type_i18n!$A:$F,6,FALSE)</f>
        <v>1</v>
      </c>
      <c r="M868" s="9" t="str">
        <f ca="1">VLOOKUP(A868,[2]characters!$A:$M,13,FALSE)</f>
        <v>human</v>
      </c>
      <c r="N868" s="6" t="str">
        <f ca="1">VLOOKUP(M868,[2]character_tribe_i18n!$A:$F,3,FALSE)</f>
        <v>ヒューマン</v>
      </c>
      <c r="O868" s="97">
        <f ca="1">VLOOKUP(M868,[2]character_tribe_i18n!$A:$F,4,FALSE)</f>
        <v>0.94</v>
      </c>
      <c r="P868" s="97">
        <f ca="1">VLOOKUP(M868,[2]character_tribe_i18n!$A:$F,5,FALSE)</f>
        <v>0.99</v>
      </c>
      <c r="Q868" s="97">
        <f ca="1">VLOOKUP(M868,[2]character_tribe_i18n!$A:$F,6,FALSE)</f>
        <v>1</v>
      </c>
      <c r="R868" s="98" t="s">
        <v>98</v>
      </c>
      <c r="S868" s="97">
        <f>VLOOKUP($R868,ラベル別係数!$A$1:$E$7,3,FALSE)</f>
        <v>5</v>
      </c>
      <c r="T868" s="97">
        <f>VLOOKUP($R868,ラベル別係数!$A$1:$E$7,4,FALSE)</f>
        <v>1.3</v>
      </c>
      <c r="U868" s="97">
        <f>VLOOKUP($R868,ラベル別係数!$A$1:$E$7,5,FALSE)</f>
        <v>0.8</v>
      </c>
      <c r="V868" s="98">
        <v>3</v>
      </c>
      <c r="W868" s="99">
        <f>VLOOKUP(V868,ターン数別攻撃係数!$A$1:$B$1000,2,FALSE)</f>
        <v>1</v>
      </c>
      <c r="X868" s="9">
        <f ca="1">VLOOKUP(C868,サイズ別係数!A$2:B$9,2,FALSE)</f>
        <v>60</v>
      </c>
      <c r="Y868" s="97">
        <f ca="1">VLOOKUP($X868,サイズ別係数!$B:$E,2,FALSE)</f>
        <v>1.7</v>
      </c>
      <c r="Z868" s="97">
        <f ca="1">VLOOKUP($X868,サイズ別係数!$B:$E,3,FALSE)</f>
        <v>1.4</v>
      </c>
      <c r="AA868" s="97">
        <f ca="1">VLOOKUP($X868,サイズ別係数!$B:$E,4,FALSE)</f>
        <v>1</v>
      </c>
      <c r="AB868" s="10">
        <v>0</v>
      </c>
      <c r="AC868" s="6" t="str">
        <f ca="1">VLOOKUP($AB868,OFFSET([3]enemy_skill_sets!$B$2,0,0,COUNTA([3]enemy_skill_sets!$A:$A),MATCH(AC$1,[3]enemy_skill_sets!$1:$1,0)-MATCH($AB$1,[3]enemy_skill_sets!$1:$1,0)+1),MATCH(AC$1,[3]enemy_skill_sets!$1:$1,0)-MATCH($AB$1,[3]enemy_skill_sets!$1:$1,0)+1,FALSE)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8" s="67">
        <v>1</v>
      </c>
      <c r="AE868" s="67">
        <v>1</v>
      </c>
      <c r="AF868" s="68">
        <v>0</v>
      </c>
      <c r="AG868" s="99">
        <f ca="1">ROUND(VLOOKUP(1,enemy_base_stats!$A:$F,2,FALSE) * Y868* J868*O868*E868*S868*AD868*[2]ステータス!$B$2,0)</f>
        <v>3995</v>
      </c>
      <c r="AH868" s="99">
        <f ca="1">ROUND(VLOOKUP(1,enemy_base_stats!$A:$F,3,FALSE) * Z868*K868*P868*F868*T868*AE868 * W868*[2]ステータス!$C$2,0)</f>
        <v>265</v>
      </c>
      <c r="AI868" s="99">
        <f ca="1">ROUND(VLOOKUP(1,enemy_base_stats!$A:$F,4,FALSE) * AA868*L868*Q868*G868*U868*AF868*[2]ステータス!$D$2,0)</f>
        <v>0</v>
      </c>
      <c r="AJ868" s="99">
        <f ca="1">ROUND(VLOOKUP(100,enemy_base_stats!$A:$F,2,FALSE) * Y868* J868*O868*E868*S868*AD868*[2]ステータス!$B$2,0)</f>
        <v>162197</v>
      </c>
      <c r="AK868" s="99">
        <f ca="1">ROUND(VLOOKUP(100,enemy_base_stats!$A:$F,3,FALSE)* Z868* K868*P868*F868*T868*AE868 * W868*[2]ステータス!$C$2,0)</f>
        <v>10754</v>
      </c>
      <c r="AL868" s="99">
        <f ca="1">ROUND(VLOOKUP(100,enemy_base_stats!$A:$F,4,FALSE)* AA868* L868*Q868*G868*U868*AF868*[2]ステータス!$D$2,0)</f>
        <v>0</v>
      </c>
      <c r="AM868" s="97">
        <f ca="1">VLOOKUP(M868,[2]character_tribe_i18n!$A:$I,9,FALSE)</f>
        <v>400</v>
      </c>
      <c r="AN868" s="97">
        <v>0</v>
      </c>
      <c r="AO868" s="98">
        <v>0</v>
      </c>
      <c r="AP868" s="58" t="s">
        <v>72</v>
      </c>
      <c r="AQ868" s="34">
        <f t="shared" ca="1" si="51"/>
        <v>867</v>
      </c>
    </row>
    <row r="869" spans="1:43" ht="21" customHeight="1" x14ac:dyDescent="0.15">
      <c r="A869" s="7">
        <f t="shared" ca="1" si="49"/>
        <v>868</v>
      </c>
      <c r="B869" s="6" t="str">
        <f ca="1">VLOOKUP(A869,[2]characters!$A:$C,3,FALSE)</f>
        <v>アラジンと殲滅機兵LAMP</v>
      </c>
      <c r="C869" s="9">
        <f ca="1">VLOOKUP(A869,[2]characters!$A:$I,9,FALSE)</f>
        <v>5</v>
      </c>
      <c r="D869" s="9" t="str">
        <f ca="1">VLOOKUP(A869,[2]characters!$A:$H,8,FALSE)</f>
        <v>yellow</v>
      </c>
      <c r="E869" s="97">
        <f ca="1">VLOOKUP(D869,[2]属性!$A:$E,2,FALSE)</f>
        <v>0.98</v>
      </c>
      <c r="F869" s="97">
        <f ca="1">VLOOKUP(D869,[2]属性!$A:$E,3,FALSE)</f>
        <v>1.01</v>
      </c>
      <c r="G869" s="97">
        <f ca="1">VLOOKUP(D869,[2]属性!$A:$F,4,FALSE)</f>
        <v>1</v>
      </c>
      <c r="H869" s="9" t="str">
        <f ca="1">VLOOKUP(A869,[2]characters!$A:$K,11,FALSE)</f>
        <v>hp</v>
      </c>
      <c r="I869" s="6" t="str">
        <f ca="1">VLOOKUP(H869,[2]character_type_i18n!$A:$F,3,FALSE)</f>
        <v>体力タイプ</v>
      </c>
      <c r="J869" s="97">
        <f ca="1">VLOOKUP(H869,[2]character_type_i18n!$A:$F,4,FALSE)</f>
        <v>1.45</v>
      </c>
      <c r="K869" s="97">
        <f ca="1">VLOOKUP(H869,[2]character_type_i18n!$A:$F,5,FALSE)</f>
        <v>0.85</v>
      </c>
      <c r="L869" s="97">
        <f ca="1">VLOOKUP(H869,[2]character_type_i18n!$A:$F,6,FALSE)</f>
        <v>1</v>
      </c>
      <c r="M869" s="9" t="str">
        <f ca="1">VLOOKUP(A869,[2]characters!$A:$M,13,FALSE)</f>
        <v>human</v>
      </c>
      <c r="N869" s="6" t="str">
        <f ca="1">VLOOKUP(M869,[2]character_tribe_i18n!$A:$F,3,FALSE)</f>
        <v>ヒューマン</v>
      </c>
      <c r="O869" s="97">
        <f ca="1">VLOOKUP(M869,[2]character_tribe_i18n!$A:$F,4,FALSE)</f>
        <v>0.94</v>
      </c>
      <c r="P869" s="97">
        <f ca="1">VLOOKUP(M869,[2]character_tribe_i18n!$A:$F,5,FALSE)</f>
        <v>0.99</v>
      </c>
      <c r="Q869" s="97">
        <f ca="1">VLOOKUP(M869,[2]character_tribe_i18n!$A:$F,6,FALSE)</f>
        <v>1</v>
      </c>
      <c r="R869" s="98" t="s">
        <v>98</v>
      </c>
      <c r="S869" s="97">
        <f>VLOOKUP($R869,ラベル別係数!$A$1:$E$7,3,FALSE)</f>
        <v>5</v>
      </c>
      <c r="T869" s="97">
        <f>VLOOKUP($R869,ラベル別係数!$A$1:$E$7,4,FALSE)</f>
        <v>1.3</v>
      </c>
      <c r="U869" s="97">
        <f>VLOOKUP($R869,ラベル別係数!$A$1:$E$7,5,FALSE)</f>
        <v>0.8</v>
      </c>
      <c r="V869" s="98">
        <v>3</v>
      </c>
      <c r="W869" s="99">
        <f>VLOOKUP(V869,ターン数別攻撃係数!$A$1:$B$1000,2,FALSE)</f>
        <v>1</v>
      </c>
      <c r="X869" s="9">
        <f ca="1">VLOOKUP(C869,サイズ別係数!A$2:B$9,2,FALSE)</f>
        <v>60</v>
      </c>
      <c r="Y869" s="97">
        <f ca="1">VLOOKUP($X869,サイズ別係数!$B:$E,2,FALSE)</f>
        <v>1.7</v>
      </c>
      <c r="Z869" s="97">
        <f ca="1">VLOOKUP($X869,サイズ別係数!$B:$E,3,FALSE)</f>
        <v>1.4</v>
      </c>
      <c r="AA869" s="97">
        <f ca="1">VLOOKUP($X869,サイズ別係数!$B:$E,4,FALSE)</f>
        <v>1</v>
      </c>
      <c r="AB869" s="10">
        <v>0</v>
      </c>
      <c r="AC869" s="6" t="str">
        <f ca="1">VLOOKUP($AB869,OFFSET([3]enemy_skill_sets!$B$2,0,0,COUNTA([3]enemy_skill_sets!$A:$A),MATCH(AC$1,[3]enemy_skill_sets!$1:$1,0)-MATCH($AB$1,[3]enemy_skill_sets!$1:$1,0)+1),MATCH(AC$1,[3]enemy_skill_sets!$1:$1,0)-MATCH($AB$1,[3]enemy_skill_sets!$1:$1,0)+1,FALSE)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69" s="67">
        <v>1</v>
      </c>
      <c r="AE869" s="67">
        <v>1</v>
      </c>
      <c r="AF869" s="68">
        <v>0</v>
      </c>
      <c r="AG869" s="99">
        <f ca="1">ROUND(VLOOKUP(1,enemy_base_stats!$A:$F,2,FALSE) * Y869* J869*O869*E869*S869*AD869*[2]ステータス!$B$2,0)</f>
        <v>5677</v>
      </c>
      <c r="AH869" s="99">
        <f ca="1">ROUND(VLOOKUP(1,enemy_base_stats!$A:$F,3,FALSE) * Z869*K869*P869*F869*T869*AE869 * W869*[2]ステータス!$C$2,0)</f>
        <v>232</v>
      </c>
      <c r="AI869" s="99">
        <f ca="1">ROUND(VLOOKUP(1,enemy_base_stats!$A:$F,4,FALSE) * AA869*L869*Q869*G869*U869*AF869*[2]ステータス!$D$2,0)</f>
        <v>0</v>
      </c>
      <c r="AJ869" s="99">
        <f ca="1">ROUND(VLOOKUP(100,enemy_base_stats!$A:$F,2,FALSE) * Y869* J869*O869*E869*S869*AD869*[2]ステータス!$B$2,0)</f>
        <v>230482</v>
      </c>
      <c r="AK869" s="99">
        <f ca="1">ROUND(VLOOKUP(100,enemy_base_stats!$A:$F,3,FALSE)* Z869* K869*P869*F869*T869*AE869 * W869*[2]ステータス!$C$2,0)</f>
        <v>9420</v>
      </c>
      <c r="AL869" s="99">
        <f ca="1">ROUND(VLOOKUP(100,enemy_base_stats!$A:$F,4,FALSE)* AA869* L869*Q869*G869*U869*AF869*[2]ステータス!$D$2,0)</f>
        <v>0</v>
      </c>
      <c r="AM869" s="97">
        <f ca="1">VLOOKUP(M869,[2]character_tribe_i18n!$A:$I,9,FALSE)</f>
        <v>400</v>
      </c>
      <c r="AN869" s="97">
        <v>0</v>
      </c>
      <c r="AO869" s="98">
        <v>0</v>
      </c>
      <c r="AP869" s="58" t="s">
        <v>72</v>
      </c>
      <c r="AQ869" s="34">
        <f t="shared" ca="1" si="51"/>
        <v>868</v>
      </c>
    </row>
    <row r="870" spans="1:43" ht="21" customHeight="1" x14ac:dyDescent="0.15">
      <c r="A870" s="7">
        <f t="shared" ca="1" si="49"/>
        <v>869</v>
      </c>
      <c r="B870" s="6" t="str">
        <f ca="1">VLOOKUP(A870,[2]characters!$A:$C,3,FALSE)</f>
        <v xml:space="preserve">マスター･アラジンと殲滅機兵LAMP </v>
      </c>
      <c r="C870" s="9">
        <f ca="1">VLOOKUP(A870,[2]characters!$A:$I,9,FALSE)</f>
        <v>6</v>
      </c>
      <c r="D870" s="9" t="str">
        <f ca="1">VLOOKUP(A870,[2]characters!$A:$H,8,FALSE)</f>
        <v>yellow</v>
      </c>
      <c r="E870" s="97">
        <f ca="1">VLOOKUP(D870,[2]属性!$A:$E,2,FALSE)</f>
        <v>0.98</v>
      </c>
      <c r="F870" s="97">
        <f ca="1">VLOOKUP(D870,[2]属性!$A:$E,3,FALSE)</f>
        <v>1.01</v>
      </c>
      <c r="G870" s="97">
        <f ca="1">VLOOKUP(D870,[2]属性!$A:$F,4,FALSE)</f>
        <v>1</v>
      </c>
      <c r="H870" s="9" t="str">
        <f ca="1">VLOOKUP(A870,[2]characters!$A:$K,11,FALSE)</f>
        <v>hp</v>
      </c>
      <c r="I870" s="6" t="str">
        <f ca="1">VLOOKUP(H870,[2]character_type_i18n!$A:$F,3,FALSE)</f>
        <v>体力タイプ</v>
      </c>
      <c r="J870" s="97">
        <f ca="1">VLOOKUP(H870,[2]character_type_i18n!$A:$F,4,FALSE)</f>
        <v>1.45</v>
      </c>
      <c r="K870" s="97">
        <f ca="1">VLOOKUP(H870,[2]character_type_i18n!$A:$F,5,FALSE)</f>
        <v>0.85</v>
      </c>
      <c r="L870" s="97">
        <f ca="1">VLOOKUP(H870,[2]character_type_i18n!$A:$F,6,FALSE)</f>
        <v>1</v>
      </c>
      <c r="M870" s="9" t="str">
        <f ca="1">VLOOKUP(A870,[2]characters!$A:$M,13,FALSE)</f>
        <v>human</v>
      </c>
      <c r="N870" s="6" t="str">
        <f ca="1">VLOOKUP(M870,[2]character_tribe_i18n!$A:$F,3,FALSE)</f>
        <v>ヒューマン</v>
      </c>
      <c r="O870" s="97">
        <f ca="1">VLOOKUP(M870,[2]character_tribe_i18n!$A:$F,4,FALSE)</f>
        <v>0.94</v>
      </c>
      <c r="P870" s="97">
        <f ca="1">VLOOKUP(M870,[2]character_tribe_i18n!$A:$F,5,FALSE)</f>
        <v>0.99</v>
      </c>
      <c r="Q870" s="97">
        <f ca="1">VLOOKUP(M870,[2]character_tribe_i18n!$A:$F,6,FALSE)</f>
        <v>1</v>
      </c>
      <c r="R870" s="98" t="s">
        <v>98</v>
      </c>
      <c r="S870" s="97">
        <f>VLOOKUP($R870,ラベル別係数!$A$1:$E$7,3,FALSE)</f>
        <v>5</v>
      </c>
      <c r="T870" s="97">
        <f>VLOOKUP($R870,ラベル別係数!$A$1:$E$7,4,FALSE)</f>
        <v>1.3</v>
      </c>
      <c r="U870" s="97">
        <f>VLOOKUP($R870,ラベル別係数!$A$1:$E$7,5,FALSE)</f>
        <v>0.8</v>
      </c>
      <c r="V870" s="98">
        <v>3</v>
      </c>
      <c r="W870" s="99">
        <f>VLOOKUP(V870,ターン数別攻撃係数!$A$1:$B$1000,2,FALSE)</f>
        <v>1</v>
      </c>
      <c r="X870" s="9">
        <f ca="1">VLOOKUP(C870,サイズ別係数!A$2:B$9,2,FALSE)</f>
        <v>60</v>
      </c>
      <c r="Y870" s="97">
        <f ca="1">VLOOKUP($X870,サイズ別係数!$B:$E,2,FALSE)</f>
        <v>1.7</v>
      </c>
      <c r="Z870" s="97">
        <f ca="1">VLOOKUP($X870,サイズ別係数!$B:$E,3,FALSE)</f>
        <v>1.4</v>
      </c>
      <c r="AA870" s="97">
        <f ca="1">VLOOKUP($X870,サイズ別係数!$B:$E,4,FALSE)</f>
        <v>1</v>
      </c>
      <c r="AB870" s="10">
        <v>0</v>
      </c>
      <c r="AC870" s="6" t="str">
        <f ca="1">VLOOKUP($AB870,OFFSET([3]enemy_skill_sets!$B$2,0,0,COUNTA([3]enemy_skill_sets!$A:$A),MATCH(AC$1,[3]enemy_skill_sets!$1:$1,0)-MATCH($AB$1,[3]enemy_skill_sets!$1:$1,0)+1),MATCH(AC$1,[3]enemy_skill_sets!$1:$1,0)-MATCH($AB$1,[3]enemy_skill_sets!$1:$1,0)+1,FALSE)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0" s="67">
        <v>1</v>
      </c>
      <c r="AE870" s="67">
        <v>1</v>
      </c>
      <c r="AF870" s="68">
        <v>0</v>
      </c>
      <c r="AG870" s="99">
        <f ca="1">ROUND(VLOOKUP(1,enemy_base_stats!$A:$F,2,FALSE) * Y870* J870*O870*E870*S870*AD870*[2]ステータス!$B$2,0)</f>
        <v>5677</v>
      </c>
      <c r="AH870" s="99">
        <f ca="1">ROUND(VLOOKUP(1,enemy_base_stats!$A:$F,3,FALSE) * Z870*K870*P870*F870*T870*AE870 * W870*[2]ステータス!$C$2,0)</f>
        <v>232</v>
      </c>
      <c r="AI870" s="99">
        <f ca="1">ROUND(VLOOKUP(1,enemy_base_stats!$A:$F,4,FALSE) * AA870*L870*Q870*G870*U870*AF870*[2]ステータス!$D$2,0)</f>
        <v>0</v>
      </c>
      <c r="AJ870" s="99">
        <f ca="1">ROUND(VLOOKUP(100,enemy_base_stats!$A:$F,2,FALSE) * Y870* J870*O870*E870*S870*AD870*[2]ステータス!$B$2,0)</f>
        <v>230482</v>
      </c>
      <c r="AK870" s="99">
        <f ca="1">ROUND(VLOOKUP(100,enemy_base_stats!$A:$F,3,FALSE)* Z870* K870*P870*F870*T870*AE870 * W870*[2]ステータス!$C$2,0)</f>
        <v>9420</v>
      </c>
      <c r="AL870" s="99">
        <f ca="1">ROUND(VLOOKUP(100,enemy_base_stats!$A:$F,4,FALSE)* AA870* L870*Q870*G870*U870*AF870*[2]ステータス!$D$2,0)</f>
        <v>0</v>
      </c>
      <c r="AM870" s="97">
        <f ca="1">VLOOKUP(M870,[2]character_tribe_i18n!$A:$I,9,FALSE)</f>
        <v>400</v>
      </c>
      <c r="AN870" s="97">
        <v>0</v>
      </c>
      <c r="AO870" s="98">
        <v>0</v>
      </c>
      <c r="AP870" s="58" t="s">
        <v>72</v>
      </c>
      <c r="AQ870" s="34">
        <f t="shared" ca="1" si="51"/>
        <v>869</v>
      </c>
    </row>
    <row r="871" spans="1:43" ht="21" customHeight="1" x14ac:dyDescent="0.15">
      <c r="A871" s="7">
        <f t="shared" ca="1" si="49"/>
        <v>870</v>
      </c>
      <c r="B871" s="6" t="str">
        <f ca="1">VLOOKUP(A871,[2]characters!$A:$C,3,FALSE)</f>
        <v>フロイト</v>
      </c>
      <c r="C871" s="9">
        <f ca="1">VLOOKUP(A871,[2]characters!$A:$I,9,FALSE)</f>
        <v>5</v>
      </c>
      <c r="D871" s="9" t="str">
        <f ca="1">VLOOKUP(A871,[2]characters!$A:$H,8,FALSE)</f>
        <v>red</v>
      </c>
      <c r="E871" s="97">
        <f ca="1">VLOOKUP(D871,[2]属性!$A:$E,2,FALSE)</f>
        <v>1</v>
      </c>
      <c r="F871" s="97">
        <f ca="1">VLOOKUP(D871,[2]属性!$A:$E,3,FALSE)</f>
        <v>1.02</v>
      </c>
      <c r="G871" s="97">
        <f ca="1">VLOOKUP(D871,[2]属性!$A:$F,4,FALSE)</f>
        <v>1</v>
      </c>
      <c r="H871" s="9" t="str">
        <f ca="1">VLOOKUP(A871,[2]characters!$A:$K,11,FALSE)</f>
        <v>balance</v>
      </c>
      <c r="I871" s="6" t="str">
        <f ca="1">VLOOKUP(H871,[2]character_type_i18n!$A:$F,3,FALSE)</f>
        <v>バランスタイプ</v>
      </c>
      <c r="J871" s="97">
        <f ca="1">VLOOKUP(H871,[2]character_type_i18n!$A:$F,4,FALSE)</f>
        <v>1</v>
      </c>
      <c r="K871" s="97">
        <f ca="1">VLOOKUP(H871,[2]character_type_i18n!$A:$F,5,FALSE)</f>
        <v>1</v>
      </c>
      <c r="L871" s="97">
        <f ca="1">VLOOKUP(H871,[2]character_type_i18n!$A:$F,6,FALSE)</f>
        <v>1</v>
      </c>
      <c r="M871" s="9" t="str">
        <f ca="1">VLOOKUP(A871,[2]characters!$A:$M,13,FALSE)</f>
        <v>academia</v>
      </c>
      <c r="N871" s="6" t="str">
        <f ca="1">VLOOKUP(M871,[2]character_tribe_i18n!$A:$F,3,FALSE)</f>
        <v>アカデミア</v>
      </c>
      <c r="O871" s="97">
        <f ca="1">VLOOKUP(M871,[2]character_tribe_i18n!$A:$F,4,FALSE)</f>
        <v>1</v>
      </c>
      <c r="P871" s="97">
        <f ca="1">VLOOKUP(M871,[2]character_tribe_i18n!$A:$F,5,FALSE)</f>
        <v>1</v>
      </c>
      <c r="Q871" s="97">
        <f ca="1">VLOOKUP(M871,[2]character_tribe_i18n!$A:$F,6,FALSE)</f>
        <v>1</v>
      </c>
      <c r="R871" s="98" t="s">
        <v>98</v>
      </c>
      <c r="S871" s="97">
        <f>VLOOKUP($R871,ラベル別係数!$A$1:$E$7,3,FALSE)</f>
        <v>5</v>
      </c>
      <c r="T871" s="97">
        <f>VLOOKUP($R871,ラベル別係数!$A$1:$E$7,4,FALSE)</f>
        <v>1.3</v>
      </c>
      <c r="U871" s="97">
        <f>VLOOKUP($R871,ラベル別係数!$A$1:$E$7,5,FALSE)</f>
        <v>0.8</v>
      </c>
      <c r="V871" s="98">
        <v>3</v>
      </c>
      <c r="W871" s="99">
        <f>VLOOKUP(V871,ターン数別攻撃係数!$A$1:$B$1000,2,FALSE)</f>
        <v>1</v>
      </c>
      <c r="X871" s="9">
        <f ca="1">VLOOKUP(C871,サイズ別係数!A$2:B$9,2,FALSE)</f>
        <v>60</v>
      </c>
      <c r="Y871" s="97">
        <f ca="1">VLOOKUP($X871,サイズ別係数!$B:$E,2,FALSE)</f>
        <v>1.7</v>
      </c>
      <c r="Z871" s="97">
        <f ca="1">VLOOKUP($X871,サイズ別係数!$B:$E,3,FALSE)</f>
        <v>1.4</v>
      </c>
      <c r="AA871" s="97">
        <f ca="1">VLOOKUP($X871,サイズ別係数!$B:$E,4,FALSE)</f>
        <v>1</v>
      </c>
      <c r="AB871" s="10">
        <v>0</v>
      </c>
      <c r="AC871" s="6" t="str">
        <f ca="1">VLOOKUP($AB871,OFFSET([3]enemy_skill_sets!$B$2,0,0,COUNTA([3]enemy_skill_sets!$A:$A),MATCH(AC$1,[3]enemy_skill_sets!$1:$1,0)-MATCH($AB$1,[3]enemy_skill_sets!$1:$1,0)+1),MATCH(AC$1,[3]enemy_skill_sets!$1:$1,0)-MATCH($AB$1,[3]enemy_skill_sets!$1:$1,0)+1,FALSE)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1" s="67">
        <v>1</v>
      </c>
      <c r="AE871" s="67">
        <v>1</v>
      </c>
      <c r="AF871" s="68">
        <v>0</v>
      </c>
      <c r="AG871" s="99">
        <f ca="1">ROUND(VLOOKUP(1,enemy_base_stats!$A:$F,2,FALSE) * Y871* J871*O871*E871*S871*AD871*[2]ステータス!$B$2,0)</f>
        <v>4250</v>
      </c>
      <c r="AH871" s="99">
        <f ca="1">ROUND(VLOOKUP(1,enemy_base_stats!$A:$F,3,FALSE) * Z871*K871*P871*F871*T871*AE871 * W871*[2]ステータス!$C$2,0)</f>
        <v>278</v>
      </c>
      <c r="AI871" s="99">
        <f ca="1">ROUND(VLOOKUP(1,enemy_base_stats!$A:$F,4,FALSE) * AA871*L871*Q871*G871*U871*AF871*[2]ステータス!$D$2,0)</f>
        <v>0</v>
      </c>
      <c r="AJ871" s="99">
        <f ca="1">ROUND(VLOOKUP(100,enemy_base_stats!$A:$F,2,FALSE) * Y871* J871*O871*E871*S871*AD871*[2]ステータス!$B$2,0)</f>
        <v>172550</v>
      </c>
      <c r="AK871" s="99">
        <f ca="1">ROUND(VLOOKUP(100,enemy_base_stats!$A:$F,3,FALSE)* Z871* K871*P871*F871*T871*AE871 * W871*[2]ステータス!$C$2,0)</f>
        <v>11305</v>
      </c>
      <c r="AL871" s="99">
        <f ca="1">ROUND(VLOOKUP(100,enemy_base_stats!$A:$F,4,FALSE)* AA871* L871*Q871*G871*U871*AF871*[2]ステータス!$D$2,0)</f>
        <v>0</v>
      </c>
      <c r="AM871" s="97">
        <f ca="1">VLOOKUP(M871,[2]character_tribe_i18n!$A:$I,9,FALSE)</f>
        <v>400</v>
      </c>
      <c r="AN871" s="97">
        <v>0</v>
      </c>
      <c r="AO871" s="98">
        <v>0</v>
      </c>
      <c r="AP871" s="58" t="s">
        <v>72</v>
      </c>
      <c r="AQ871" s="34">
        <f t="shared" ca="1" si="51"/>
        <v>870</v>
      </c>
    </row>
    <row r="872" spans="1:43" ht="21" customHeight="1" x14ac:dyDescent="0.15">
      <c r="A872" s="7">
        <f t="shared" ca="1" si="49"/>
        <v>871</v>
      </c>
      <c r="B872" s="6" t="str">
        <f ca="1">VLOOKUP(A872,[2]characters!$A:$C,3,FALSE)</f>
        <v>無我夢中の羊狩り フロイト</v>
      </c>
      <c r="C872" s="9">
        <f ca="1">VLOOKUP(A872,[2]characters!$A:$I,9,FALSE)</f>
        <v>6</v>
      </c>
      <c r="D872" s="9" t="str">
        <f ca="1">VLOOKUP(A872,[2]characters!$A:$H,8,FALSE)</f>
        <v>red</v>
      </c>
      <c r="E872" s="97">
        <f ca="1">VLOOKUP(D872,[2]属性!$A:$E,2,FALSE)</f>
        <v>1</v>
      </c>
      <c r="F872" s="97">
        <f ca="1">VLOOKUP(D872,[2]属性!$A:$E,3,FALSE)</f>
        <v>1.02</v>
      </c>
      <c r="G872" s="97">
        <f ca="1">VLOOKUP(D872,[2]属性!$A:$F,4,FALSE)</f>
        <v>1</v>
      </c>
      <c r="H872" s="9" t="str">
        <f ca="1">VLOOKUP(A872,[2]characters!$A:$K,11,FALSE)</f>
        <v>balance</v>
      </c>
      <c r="I872" s="6" t="str">
        <f ca="1">VLOOKUP(H872,[2]character_type_i18n!$A:$F,3,FALSE)</f>
        <v>バランスタイプ</v>
      </c>
      <c r="J872" s="97">
        <f ca="1">VLOOKUP(H872,[2]character_type_i18n!$A:$F,4,FALSE)</f>
        <v>1</v>
      </c>
      <c r="K872" s="97">
        <f ca="1">VLOOKUP(H872,[2]character_type_i18n!$A:$F,5,FALSE)</f>
        <v>1</v>
      </c>
      <c r="L872" s="97">
        <f ca="1">VLOOKUP(H872,[2]character_type_i18n!$A:$F,6,FALSE)</f>
        <v>1</v>
      </c>
      <c r="M872" s="9" t="str">
        <f ca="1">VLOOKUP(A872,[2]characters!$A:$M,13,FALSE)</f>
        <v>academia</v>
      </c>
      <c r="N872" s="6" t="str">
        <f ca="1">VLOOKUP(M872,[2]character_tribe_i18n!$A:$F,3,FALSE)</f>
        <v>アカデミア</v>
      </c>
      <c r="O872" s="97">
        <f ca="1">VLOOKUP(M872,[2]character_tribe_i18n!$A:$F,4,FALSE)</f>
        <v>1</v>
      </c>
      <c r="P872" s="97">
        <f ca="1">VLOOKUP(M872,[2]character_tribe_i18n!$A:$F,5,FALSE)</f>
        <v>1</v>
      </c>
      <c r="Q872" s="97">
        <f ca="1">VLOOKUP(M872,[2]character_tribe_i18n!$A:$F,6,FALSE)</f>
        <v>1</v>
      </c>
      <c r="R872" s="98" t="s">
        <v>98</v>
      </c>
      <c r="S872" s="97">
        <f>VLOOKUP($R872,ラベル別係数!$A$1:$E$7,3,FALSE)</f>
        <v>5</v>
      </c>
      <c r="T872" s="97">
        <f>VLOOKUP($R872,ラベル別係数!$A$1:$E$7,4,FALSE)</f>
        <v>1.3</v>
      </c>
      <c r="U872" s="97">
        <f>VLOOKUP($R872,ラベル別係数!$A$1:$E$7,5,FALSE)</f>
        <v>0.8</v>
      </c>
      <c r="V872" s="98">
        <v>3</v>
      </c>
      <c r="W872" s="99">
        <f>VLOOKUP(V872,ターン数別攻撃係数!$A$1:$B$1000,2,FALSE)</f>
        <v>1</v>
      </c>
      <c r="X872" s="9">
        <f ca="1">VLOOKUP(C872,サイズ別係数!A$2:B$9,2,FALSE)</f>
        <v>60</v>
      </c>
      <c r="Y872" s="97">
        <f ca="1">VLOOKUP($X872,サイズ別係数!$B:$E,2,FALSE)</f>
        <v>1.7</v>
      </c>
      <c r="Z872" s="97">
        <f ca="1">VLOOKUP($X872,サイズ別係数!$B:$E,3,FALSE)</f>
        <v>1.4</v>
      </c>
      <c r="AA872" s="97">
        <f ca="1">VLOOKUP($X872,サイズ別係数!$B:$E,4,FALSE)</f>
        <v>1</v>
      </c>
      <c r="AB872" s="10">
        <v>0</v>
      </c>
      <c r="AC872" s="6" t="str">
        <f ca="1">VLOOKUP($AB872,OFFSET([3]enemy_skill_sets!$B$2,0,0,COUNTA([3]enemy_skill_sets!$A:$A),MATCH(AC$1,[3]enemy_skill_sets!$1:$1,0)-MATCH($AB$1,[3]enemy_skill_sets!$1:$1,0)+1),MATCH(AC$1,[3]enemy_skill_sets!$1:$1,0)-MATCH($AB$1,[3]enemy_skill_sets!$1:$1,0)+1,FALSE)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2" s="67">
        <v>1</v>
      </c>
      <c r="AE872" s="67">
        <v>1</v>
      </c>
      <c r="AF872" s="68">
        <v>0</v>
      </c>
      <c r="AG872" s="99">
        <f ca="1">ROUND(VLOOKUP(1,enemy_base_stats!$A:$F,2,FALSE) * Y872* J872*O872*E872*S872*AD872*[2]ステータス!$B$2,0)</f>
        <v>4250</v>
      </c>
      <c r="AH872" s="99">
        <f ca="1">ROUND(VLOOKUP(1,enemy_base_stats!$A:$F,3,FALSE) * Z872*K872*P872*F872*T872*AE872 * W872*[2]ステータス!$C$2,0)</f>
        <v>278</v>
      </c>
      <c r="AI872" s="99">
        <f ca="1">ROUND(VLOOKUP(1,enemy_base_stats!$A:$F,4,FALSE) * AA872*L872*Q872*G872*U872*AF872*[2]ステータス!$D$2,0)</f>
        <v>0</v>
      </c>
      <c r="AJ872" s="99">
        <f ca="1">ROUND(VLOOKUP(100,enemy_base_stats!$A:$F,2,FALSE) * Y872* J872*O872*E872*S872*AD872*[2]ステータス!$B$2,0)</f>
        <v>172550</v>
      </c>
      <c r="AK872" s="99">
        <f ca="1">ROUND(VLOOKUP(100,enemy_base_stats!$A:$F,3,FALSE)* Z872* K872*P872*F872*T872*AE872 * W872*[2]ステータス!$C$2,0)</f>
        <v>11305</v>
      </c>
      <c r="AL872" s="99">
        <f ca="1">ROUND(VLOOKUP(100,enemy_base_stats!$A:$F,4,FALSE)* AA872* L872*Q872*G872*U872*AF872*[2]ステータス!$D$2,0)</f>
        <v>0</v>
      </c>
      <c r="AM872" s="97">
        <f ca="1">VLOOKUP(M872,[2]character_tribe_i18n!$A:$I,9,FALSE)</f>
        <v>400</v>
      </c>
      <c r="AN872" s="97">
        <v>0</v>
      </c>
      <c r="AO872" s="98">
        <v>0</v>
      </c>
      <c r="AP872" s="58" t="s">
        <v>72</v>
      </c>
      <c r="AQ872" s="34">
        <f t="shared" ca="1" si="51"/>
        <v>871</v>
      </c>
    </row>
    <row r="873" spans="1:43" ht="21" customHeight="1" x14ac:dyDescent="0.15">
      <c r="A873" s="7">
        <f t="shared" ca="1" si="49"/>
        <v>872</v>
      </c>
      <c r="B873" s="6" t="str">
        <f ca="1">VLOOKUP(A873,[2]characters!$A:$C,3,FALSE)</f>
        <v>シュヴァルツシルト</v>
      </c>
      <c r="C873" s="9">
        <f ca="1">VLOOKUP(A873,[2]characters!$A:$I,9,FALSE)</f>
        <v>5</v>
      </c>
      <c r="D873" s="9" t="str">
        <f ca="1">VLOOKUP(A873,[2]characters!$A:$H,8,FALSE)</f>
        <v>blue</v>
      </c>
      <c r="E873" s="97">
        <f ca="1">VLOOKUP(D873,[2]属性!$A:$E,2,FALSE)</f>
        <v>1</v>
      </c>
      <c r="F873" s="97">
        <f ca="1">VLOOKUP(D873,[2]属性!$A:$E,3,FALSE)</f>
        <v>0.98</v>
      </c>
      <c r="G873" s="97">
        <f ca="1">VLOOKUP(D873,[2]属性!$A:$F,4,FALSE)</f>
        <v>1</v>
      </c>
      <c r="H873" s="9" t="str">
        <f ca="1">VLOOKUP(A873,[2]characters!$A:$K,11,FALSE)</f>
        <v>attack</v>
      </c>
      <c r="I873" s="6" t="str">
        <f ca="1">VLOOKUP(H873,[2]character_type_i18n!$A:$F,3,FALSE)</f>
        <v>攻撃タイプ</v>
      </c>
      <c r="J873" s="97">
        <f ca="1">VLOOKUP(H873,[2]character_type_i18n!$A:$F,4,FALSE)</f>
        <v>1</v>
      </c>
      <c r="K873" s="97">
        <f ca="1">VLOOKUP(H873,[2]character_type_i18n!$A:$F,5,FALSE)</f>
        <v>1.33</v>
      </c>
      <c r="L873" s="97">
        <f ca="1">VLOOKUP(H873,[2]character_type_i18n!$A:$F,6,FALSE)</f>
        <v>1</v>
      </c>
      <c r="M873" s="9" t="str">
        <f ca="1">VLOOKUP(A873,[2]characters!$A:$M,13,FALSE)</f>
        <v>academia</v>
      </c>
      <c r="N873" s="6" t="str">
        <f ca="1">VLOOKUP(M873,[2]character_tribe_i18n!$A:$F,3,FALSE)</f>
        <v>アカデミア</v>
      </c>
      <c r="O873" s="97">
        <f ca="1">VLOOKUP(M873,[2]character_tribe_i18n!$A:$F,4,FALSE)</f>
        <v>1</v>
      </c>
      <c r="P873" s="97">
        <f ca="1">VLOOKUP(M873,[2]character_tribe_i18n!$A:$F,5,FALSE)</f>
        <v>1</v>
      </c>
      <c r="Q873" s="97">
        <f ca="1">VLOOKUP(M873,[2]character_tribe_i18n!$A:$F,6,FALSE)</f>
        <v>1</v>
      </c>
      <c r="R873" s="98" t="s">
        <v>98</v>
      </c>
      <c r="S873" s="97">
        <f>VLOOKUP($R873,ラベル別係数!$A$1:$E$7,3,FALSE)</f>
        <v>5</v>
      </c>
      <c r="T873" s="97">
        <f>VLOOKUP($R873,ラベル別係数!$A$1:$E$7,4,FALSE)</f>
        <v>1.3</v>
      </c>
      <c r="U873" s="97">
        <f>VLOOKUP($R873,ラベル別係数!$A$1:$E$7,5,FALSE)</f>
        <v>0.8</v>
      </c>
      <c r="V873" s="98">
        <v>3</v>
      </c>
      <c r="W873" s="99">
        <f>VLOOKUP(V873,ターン数別攻撃係数!$A$1:$B$1000,2,FALSE)</f>
        <v>1</v>
      </c>
      <c r="X873" s="9">
        <f ca="1">VLOOKUP(C873,サイズ別係数!A$2:B$9,2,FALSE)</f>
        <v>60</v>
      </c>
      <c r="Y873" s="97">
        <f ca="1">VLOOKUP($X873,サイズ別係数!$B:$E,2,FALSE)</f>
        <v>1.7</v>
      </c>
      <c r="Z873" s="97">
        <f ca="1">VLOOKUP($X873,サイズ別係数!$B:$E,3,FALSE)</f>
        <v>1.4</v>
      </c>
      <c r="AA873" s="97">
        <f ca="1">VLOOKUP($X873,サイズ別係数!$B:$E,4,FALSE)</f>
        <v>1</v>
      </c>
      <c r="AB873" s="10">
        <v>0</v>
      </c>
      <c r="AC873" s="6" t="str">
        <f ca="1">VLOOKUP($AB873,OFFSET([3]enemy_skill_sets!$B$2,0,0,COUNTA([3]enemy_skill_sets!$A:$A),MATCH(AC$1,[3]enemy_skill_sets!$1:$1,0)-MATCH($AB$1,[3]enemy_skill_sets!$1:$1,0)+1),MATCH(AC$1,[3]enemy_skill_sets!$1:$1,0)-MATCH($AB$1,[3]enemy_skill_sets!$1:$1,0)+1,FALSE)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3" s="67">
        <v>1</v>
      </c>
      <c r="AE873" s="67">
        <v>1</v>
      </c>
      <c r="AF873" s="68">
        <v>0</v>
      </c>
      <c r="AG873" s="99">
        <f ca="1">ROUND(VLOOKUP(1,enemy_base_stats!$A:$F,2,FALSE) * Y873* J873*O873*E873*S873*AD873*[2]ステータス!$B$2,0)</f>
        <v>4250</v>
      </c>
      <c r="AH873" s="99">
        <f ca="1">ROUND(VLOOKUP(1,enemy_base_stats!$A:$F,3,FALSE) * Z873*K873*P873*F873*T873*AE873 * W873*[2]ステータス!$C$2,0)</f>
        <v>356</v>
      </c>
      <c r="AI873" s="99">
        <f ca="1">ROUND(VLOOKUP(1,enemy_base_stats!$A:$F,4,FALSE) * AA873*L873*Q873*G873*U873*AF873*[2]ステータス!$D$2,0)</f>
        <v>0</v>
      </c>
      <c r="AJ873" s="99">
        <f ca="1">ROUND(VLOOKUP(100,enemy_base_stats!$A:$F,2,FALSE) * Y873* J873*O873*E873*S873*AD873*[2]ステータス!$B$2,0)</f>
        <v>172550</v>
      </c>
      <c r="AK873" s="99">
        <f ca="1">ROUND(VLOOKUP(100,enemy_base_stats!$A:$F,3,FALSE)* Z873* K873*P873*F873*T873*AE873 * W873*[2]ステータス!$C$2,0)</f>
        <v>14447</v>
      </c>
      <c r="AL873" s="99">
        <f ca="1">ROUND(VLOOKUP(100,enemy_base_stats!$A:$F,4,FALSE)* AA873* L873*Q873*G873*U873*AF873*[2]ステータス!$D$2,0)</f>
        <v>0</v>
      </c>
      <c r="AM873" s="97">
        <f ca="1">VLOOKUP(M873,[2]character_tribe_i18n!$A:$I,9,FALSE)</f>
        <v>400</v>
      </c>
      <c r="AN873" s="97">
        <v>0</v>
      </c>
      <c r="AO873" s="98">
        <v>0</v>
      </c>
      <c r="AP873" s="58" t="s">
        <v>72</v>
      </c>
      <c r="AQ873" s="34">
        <f t="shared" ca="1" si="51"/>
        <v>872</v>
      </c>
    </row>
    <row r="874" spans="1:43" ht="21" customHeight="1" x14ac:dyDescent="0.15">
      <c r="A874" s="7">
        <f t="shared" ca="1" si="49"/>
        <v>873</v>
      </c>
      <c r="B874" s="6" t="str">
        <f ca="1">VLOOKUP(A874,[2]characters!$A:$C,3,FALSE)</f>
        <v>時歪の特異天 シュヴァルツシルト</v>
      </c>
      <c r="C874" s="9">
        <f ca="1">VLOOKUP(A874,[2]characters!$A:$I,9,FALSE)</f>
        <v>6</v>
      </c>
      <c r="D874" s="9" t="str">
        <f ca="1">VLOOKUP(A874,[2]characters!$A:$H,8,FALSE)</f>
        <v>blue</v>
      </c>
      <c r="E874" s="97">
        <f ca="1">VLOOKUP(D874,[2]属性!$A:$E,2,FALSE)</f>
        <v>1</v>
      </c>
      <c r="F874" s="97">
        <f ca="1">VLOOKUP(D874,[2]属性!$A:$E,3,FALSE)</f>
        <v>0.98</v>
      </c>
      <c r="G874" s="97">
        <f ca="1">VLOOKUP(D874,[2]属性!$A:$F,4,FALSE)</f>
        <v>1</v>
      </c>
      <c r="H874" s="9" t="str">
        <f ca="1">VLOOKUP(A874,[2]characters!$A:$K,11,FALSE)</f>
        <v>attack</v>
      </c>
      <c r="I874" s="6" t="str">
        <f ca="1">VLOOKUP(H874,[2]character_type_i18n!$A:$F,3,FALSE)</f>
        <v>攻撃タイプ</v>
      </c>
      <c r="J874" s="97">
        <f ca="1">VLOOKUP(H874,[2]character_type_i18n!$A:$F,4,FALSE)</f>
        <v>1</v>
      </c>
      <c r="K874" s="97">
        <f ca="1">VLOOKUP(H874,[2]character_type_i18n!$A:$F,5,FALSE)</f>
        <v>1.33</v>
      </c>
      <c r="L874" s="97">
        <f ca="1">VLOOKUP(H874,[2]character_type_i18n!$A:$F,6,FALSE)</f>
        <v>1</v>
      </c>
      <c r="M874" s="9" t="str">
        <f ca="1">VLOOKUP(A874,[2]characters!$A:$M,13,FALSE)</f>
        <v>academia</v>
      </c>
      <c r="N874" s="6" t="str">
        <f ca="1">VLOOKUP(M874,[2]character_tribe_i18n!$A:$F,3,FALSE)</f>
        <v>アカデミア</v>
      </c>
      <c r="O874" s="97">
        <f ca="1">VLOOKUP(M874,[2]character_tribe_i18n!$A:$F,4,FALSE)</f>
        <v>1</v>
      </c>
      <c r="P874" s="97">
        <f ca="1">VLOOKUP(M874,[2]character_tribe_i18n!$A:$F,5,FALSE)</f>
        <v>1</v>
      </c>
      <c r="Q874" s="97">
        <f ca="1">VLOOKUP(M874,[2]character_tribe_i18n!$A:$F,6,FALSE)</f>
        <v>1</v>
      </c>
      <c r="R874" s="98" t="s">
        <v>98</v>
      </c>
      <c r="S874" s="97">
        <f>VLOOKUP($R874,ラベル別係数!$A$1:$E$7,3,FALSE)</f>
        <v>5</v>
      </c>
      <c r="T874" s="97">
        <f>VLOOKUP($R874,ラベル別係数!$A$1:$E$7,4,FALSE)</f>
        <v>1.3</v>
      </c>
      <c r="U874" s="97">
        <f>VLOOKUP($R874,ラベル別係数!$A$1:$E$7,5,FALSE)</f>
        <v>0.8</v>
      </c>
      <c r="V874" s="98">
        <v>3</v>
      </c>
      <c r="W874" s="99">
        <f>VLOOKUP(V874,ターン数別攻撃係数!$A$1:$B$1000,2,FALSE)</f>
        <v>1</v>
      </c>
      <c r="X874" s="9">
        <f ca="1">VLOOKUP(C874,サイズ別係数!A$2:B$9,2,FALSE)</f>
        <v>60</v>
      </c>
      <c r="Y874" s="97">
        <f ca="1">VLOOKUP($X874,サイズ別係数!$B:$E,2,FALSE)</f>
        <v>1.7</v>
      </c>
      <c r="Z874" s="97">
        <f ca="1">VLOOKUP($X874,サイズ別係数!$B:$E,3,FALSE)</f>
        <v>1.4</v>
      </c>
      <c r="AA874" s="97">
        <f ca="1">VLOOKUP($X874,サイズ別係数!$B:$E,4,FALSE)</f>
        <v>1</v>
      </c>
      <c r="AB874" s="10">
        <v>0</v>
      </c>
      <c r="AC874" s="6" t="str">
        <f ca="1">VLOOKUP($AB874,OFFSET([3]enemy_skill_sets!$B$2,0,0,COUNTA([3]enemy_skill_sets!$A:$A),MATCH(AC$1,[3]enemy_skill_sets!$1:$1,0)-MATCH($AB$1,[3]enemy_skill_sets!$1:$1,0)+1),MATCH(AC$1,[3]enemy_skill_sets!$1:$1,0)-MATCH($AB$1,[3]enemy_skill_sets!$1:$1,0)+1,FALSE)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4" s="67">
        <v>1</v>
      </c>
      <c r="AE874" s="67">
        <v>1</v>
      </c>
      <c r="AF874" s="68">
        <v>0</v>
      </c>
      <c r="AG874" s="99">
        <f ca="1">ROUND(VLOOKUP(1,enemy_base_stats!$A:$F,2,FALSE) * Y874* J874*O874*E874*S874*AD874*[2]ステータス!$B$2,0)</f>
        <v>4250</v>
      </c>
      <c r="AH874" s="99">
        <f ca="1">ROUND(VLOOKUP(1,enemy_base_stats!$A:$F,3,FALSE) * Z874*K874*P874*F874*T874*AE874 * W874*[2]ステータス!$C$2,0)</f>
        <v>356</v>
      </c>
      <c r="AI874" s="99">
        <f ca="1">ROUND(VLOOKUP(1,enemy_base_stats!$A:$F,4,FALSE) * AA874*L874*Q874*G874*U874*AF874*[2]ステータス!$D$2,0)</f>
        <v>0</v>
      </c>
      <c r="AJ874" s="99">
        <f ca="1">ROUND(VLOOKUP(100,enemy_base_stats!$A:$F,2,FALSE) * Y874* J874*O874*E874*S874*AD874*[2]ステータス!$B$2,0)</f>
        <v>172550</v>
      </c>
      <c r="AK874" s="99">
        <f ca="1">ROUND(VLOOKUP(100,enemy_base_stats!$A:$F,3,FALSE)* Z874* K874*P874*F874*T874*AE874 * W874*[2]ステータス!$C$2,0)</f>
        <v>14447</v>
      </c>
      <c r="AL874" s="99">
        <f ca="1">ROUND(VLOOKUP(100,enemy_base_stats!$A:$F,4,FALSE)* AA874* L874*Q874*G874*U874*AF874*[2]ステータス!$D$2,0)</f>
        <v>0</v>
      </c>
      <c r="AM874" s="97">
        <f ca="1">VLOOKUP(M874,[2]character_tribe_i18n!$A:$I,9,FALSE)</f>
        <v>400</v>
      </c>
      <c r="AN874" s="97">
        <v>0</v>
      </c>
      <c r="AO874" s="98">
        <v>0</v>
      </c>
      <c r="AP874" s="58" t="s">
        <v>72</v>
      </c>
      <c r="AQ874" s="34">
        <f t="shared" ca="1" si="51"/>
        <v>873</v>
      </c>
    </row>
    <row r="875" spans="1:43" ht="21" customHeight="1" x14ac:dyDescent="0.15">
      <c r="A875" s="7">
        <f t="shared" ca="1" si="49"/>
        <v>874</v>
      </c>
      <c r="B875" s="6" t="str">
        <f ca="1">VLOOKUP(A875,[2]characters!$A:$C,3,FALSE)</f>
        <v>フレネル</v>
      </c>
      <c r="C875" s="9">
        <f ca="1">VLOOKUP(A875,[2]characters!$A:$I,9,FALSE)</f>
        <v>5</v>
      </c>
      <c r="D875" s="9" t="str">
        <f ca="1">VLOOKUP(A875,[2]characters!$A:$H,8,FALSE)</f>
        <v>yellow</v>
      </c>
      <c r="E875" s="97">
        <f ca="1">VLOOKUP(D875,[2]属性!$A:$E,2,FALSE)</f>
        <v>0.98</v>
      </c>
      <c r="F875" s="97">
        <f ca="1">VLOOKUP(D875,[2]属性!$A:$E,3,FALSE)</f>
        <v>1.01</v>
      </c>
      <c r="G875" s="97">
        <f ca="1">VLOOKUP(D875,[2]属性!$A:$F,4,FALSE)</f>
        <v>1</v>
      </c>
      <c r="H875" s="9" t="str">
        <f ca="1">VLOOKUP(A875,[2]characters!$A:$K,11,FALSE)</f>
        <v>attack</v>
      </c>
      <c r="I875" s="6" t="str">
        <f ca="1">VLOOKUP(H875,[2]character_type_i18n!$A:$F,3,FALSE)</f>
        <v>攻撃タイプ</v>
      </c>
      <c r="J875" s="97">
        <f ca="1">VLOOKUP(H875,[2]character_type_i18n!$A:$F,4,FALSE)</f>
        <v>1</v>
      </c>
      <c r="K875" s="97">
        <f ca="1">VLOOKUP(H875,[2]character_type_i18n!$A:$F,5,FALSE)</f>
        <v>1.33</v>
      </c>
      <c r="L875" s="97">
        <f ca="1">VLOOKUP(H875,[2]character_type_i18n!$A:$F,6,FALSE)</f>
        <v>1</v>
      </c>
      <c r="M875" s="9" t="str">
        <f ca="1">VLOOKUP(A875,[2]characters!$A:$M,13,FALSE)</f>
        <v>academia</v>
      </c>
      <c r="N875" s="6" t="str">
        <f ca="1">VLOOKUP(M875,[2]character_tribe_i18n!$A:$F,3,FALSE)</f>
        <v>アカデミア</v>
      </c>
      <c r="O875" s="97">
        <f ca="1">VLOOKUP(M875,[2]character_tribe_i18n!$A:$F,4,FALSE)</f>
        <v>1</v>
      </c>
      <c r="P875" s="97">
        <f ca="1">VLOOKUP(M875,[2]character_tribe_i18n!$A:$F,5,FALSE)</f>
        <v>1</v>
      </c>
      <c r="Q875" s="97">
        <f ca="1">VLOOKUP(M875,[2]character_tribe_i18n!$A:$F,6,FALSE)</f>
        <v>1</v>
      </c>
      <c r="R875" s="98" t="s">
        <v>98</v>
      </c>
      <c r="S875" s="97">
        <f>VLOOKUP($R875,ラベル別係数!$A$1:$E$7,3,FALSE)</f>
        <v>5</v>
      </c>
      <c r="T875" s="97">
        <f>VLOOKUP($R875,ラベル別係数!$A$1:$E$7,4,FALSE)</f>
        <v>1.3</v>
      </c>
      <c r="U875" s="97">
        <f>VLOOKUP($R875,ラベル別係数!$A$1:$E$7,5,FALSE)</f>
        <v>0.8</v>
      </c>
      <c r="V875" s="98">
        <v>3</v>
      </c>
      <c r="W875" s="99">
        <f>VLOOKUP(V875,ターン数別攻撃係数!$A$1:$B$1000,2,FALSE)</f>
        <v>1</v>
      </c>
      <c r="X875" s="9">
        <f ca="1">VLOOKUP(C875,サイズ別係数!A$2:B$9,2,FALSE)</f>
        <v>60</v>
      </c>
      <c r="Y875" s="97">
        <f ca="1">VLOOKUP($X875,サイズ別係数!$B:$E,2,FALSE)</f>
        <v>1.7</v>
      </c>
      <c r="Z875" s="97">
        <f ca="1">VLOOKUP($X875,サイズ別係数!$B:$E,3,FALSE)</f>
        <v>1.4</v>
      </c>
      <c r="AA875" s="97">
        <f ca="1">VLOOKUP($X875,サイズ別係数!$B:$E,4,FALSE)</f>
        <v>1</v>
      </c>
      <c r="AB875" s="10">
        <v>0</v>
      </c>
      <c r="AC875" s="6" t="str">
        <f ca="1">VLOOKUP($AB875,OFFSET([3]enemy_skill_sets!$B$2,0,0,COUNTA([3]enemy_skill_sets!$A:$A),MATCH(AC$1,[3]enemy_skill_sets!$1:$1,0)-MATCH($AB$1,[3]enemy_skill_sets!$1:$1,0)+1),MATCH(AC$1,[3]enemy_skill_sets!$1:$1,0)-MATCH($AB$1,[3]enemy_skill_sets!$1:$1,0)+1,FALSE)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5" s="67">
        <v>1</v>
      </c>
      <c r="AE875" s="67">
        <v>1</v>
      </c>
      <c r="AF875" s="68">
        <v>0</v>
      </c>
      <c r="AG875" s="99">
        <f ca="1">ROUND(VLOOKUP(1,enemy_base_stats!$A:$F,2,FALSE) * Y875* J875*O875*E875*S875*AD875*[2]ステータス!$B$2,0)</f>
        <v>4165</v>
      </c>
      <c r="AH875" s="99">
        <f ca="1">ROUND(VLOOKUP(1,enemy_base_stats!$A:$F,3,FALSE) * Z875*K875*P875*F875*T875*AE875 * W875*[2]ステータス!$C$2,0)</f>
        <v>367</v>
      </c>
      <c r="AI875" s="99">
        <f ca="1">ROUND(VLOOKUP(1,enemy_base_stats!$A:$F,4,FALSE) * AA875*L875*Q875*G875*U875*AF875*[2]ステータス!$D$2,0)</f>
        <v>0</v>
      </c>
      <c r="AJ875" s="99">
        <f ca="1">ROUND(VLOOKUP(100,enemy_base_stats!$A:$F,2,FALSE) * Y875* J875*O875*E875*S875*AD875*[2]ステータス!$B$2,0)</f>
        <v>169099</v>
      </c>
      <c r="AK875" s="99">
        <f ca="1">ROUND(VLOOKUP(100,enemy_base_stats!$A:$F,3,FALSE)* Z875* K875*P875*F875*T875*AE875 * W875*[2]ステータス!$C$2,0)</f>
        <v>14889</v>
      </c>
      <c r="AL875" s="99">
        <f ca="1">ROUND(VLOOKUP(100,enemy_base_stats!$A:$F,4,FALSE)* AA875* L875*Q875*G875*U875*AF875*[2]ステータス!$D$2,0)</f>
        <v>0</v>
      </c>
      <c r="AM875" s="97">
        <f ca="1">VLOOKUP(M875,[2]character_tribe_i18n!$A:$I,9,FALSE)</f>
        <v>400</v>
      </c>
      <c r="AN875" s="97">
        <v>0</v>
      </c>
      <c r="AO875" s="98">
        <v>0</v>
      </c>
      <c r="AP875" s="58" t="s">
        <v>72</v>
      </c>
      <c r="AQ875" s="34">
        <f t="shared" ca="1" si="51"/>
        <v>874</v>
      </c>
    </row>
    <row r="876" spans="1:43" ht="21" customHeight="1" x14ac:dyDescent="0.15">
      <c r="A876" s="7">
        <f t="shared" ca="1" si="49"/>
        <v>875</v>
      </c>
      <c r="B876" s="6" t="str">
        <f ca="1">VLOOKUP(A876,[2]characters!$A:$C,3,FALSE)</f>
        <v>覇導の光跡 フレネル</v>
      </c>
      <c r="C876" s="9">
        <f ca="1">VLOOKUP(A876,[2]characters!$A:$I,9,FALSE)</f>
        <v>6</v>
      </c>
      <c r="D876" s="9" t="str">
        <f ca="1">VLOOKUP(A876,[2]characters!$A:$H,8,FALSE)</f>
        <v>yellow</v>
      </c>
      <c r="E876" s="97">
        <f ca="1">VLOOKUP(D876,[2]属性!$A:$E,2,FALSE)</f>
        <v>0.98</v>
      </c>
      <c r="F876" s="97">
        <f ca="1">VLOOKUP(D876,[2]属性!$A:$E,3,FALSE)</f>
        <v>1.01</v>
      </c>
      <c r="G876" s="97">
        <f ca="1">VLOOKUP(D876,[2]属性!$A:$F,4,FALSE)</f>
        <v>1</v>
      </c>
      <c r="H876" s="9" t="str">
        <f ca="1">VLOOKUP(A876,[2]characters!$A:$K,11,FALSE)</f>
        <v>attack</v>
      </c>
      <c r="I876" s="6" t="str">
        <f ca="1">VLOOKUP(H876,[2]character_type_i18n!$A:$F,3,FALSE)</f>
        <v>攻撃タイプ</v>
      </c>
      <c r="J876" s="97">
        <f ca="1">VLOOKUP(H876,[2]character_type_i18n!$A:$F,4,FALSE)</f>
        <v>1</v>
      </c>
      <c r="K876" s="97">
        <f ca="1">VLOOKUP(H876,[2]character_type_i18n!$A:$F,5,FALSE)</f>
        <v>1.33</v>
      </c>
      <c r="L876" s="97">
        <f ca="1">VLOOKUP(H876,[2]character_type_i18n!$A:$F,6,FALSE)</f>
        <v>1</v>
      </c>
      <c r="M876" s="9" t="str">
        <f ca="1">VLOOKUP(A876,[2]characters!$A:$M,13,FALSE)</f>
        <v>academia</v>
      </c>
      <c r="N876" s="6" t="str">
        <f ca="1">VLOOKUP(M876,[2]character_tribe_i18n!$A:$F,3,FALSE)</f>
        <v>アカデミア</v>
      </c>
      <c r="O876" s="97">
        <f ca="1">VLOOKUP(M876,[2]character_tribe_i18n!$A:$F,4,FALSE)</f>
        <v>1</v>
      </c>
      <c r="P876" s="97">
        <f ca="1">VLOOKUP(M876,[2]character_tribe_i18n!$A:$F,5,FALSE)</f>
        <v>1</v>
      </c>
      <c r="Q876" s="97">
        <f ca="1">VLOOKUP(M876,[2]character_tribe_i18n!$A:$F,6,FALSE)</f>
        <v>1</v>
      </c>
      <c r="R876" s="98" t="s">
        <v>98</v>
      </c>
      <c r="S876" s="97">
        <f>VLOOKUP($R876,ラベル別係数!$A$1:$E$7,3,FALSE)</f>
        <v>5</v>
      </c>
      <c r="T876" s="97">
        <f>VLOOKUP($R876,ラベル別係数!$A$1:$E$7,4,FALSE)</f>
        <v>1.3</v>
      </c>
      <c r="U876" s="97">
        <f>VLOOKUP($R876,ラベル別係数!$A$1:$E$7,5,FALSE)</f>
        <v>0.8</v>
      </c>
      <c r="V876" s="98">
        <v>3</v>
      </c>
      <c r="W876" s="99">
        <f>VLOOKUP(V876,ターン数別攻撃係数!$A$1:$B$1000,2,FALSE)</f>
        <v>1</v>
      </c>
      <c r="X876" s="9">
        <f ca="1">VLOOKUP(C876,サイズ別係数!A$2:B$9,2,FALSE)</f>
        <v>60</v>
      </c>
      <c r="Y876" s="97">
        <f ca="1">VLOOKUP($X876,サイズ別係数!$B:$E,2,FALSE)</f>
        <v>1.7</v>
      </c>
      <c r="Z876" s="97">
        <f ca="1">VLOOKUP($X876,サイズ別係数!$B:$E,3,FALSE)</f>
        <v>1.4</v>
      </c>
      <c r="AA876" s="97">
        <f ca="1">VLOOKUP($X876,サイズ別係数!$B:$E,4,FALSE)</f>
        <v>1</v>
      </c>
      <c r="AB876" s="10">
        <v>0</v>
      </c>
      <c r="AC876" s="6" t="str">
        <f ca="1">VLOOKUP($AB876,OFFSET([3]enemy_skill_sets!$B$2,0,0,COUNTA([3]enemy_skill_sets!$A:$A),MATCH(AC$1,[3]enemy_skill_sets!$1:$1,0)-MATCH($AB$1,[3]enemy_skill_sets!$1:$1,0)+1),MATCH(AC$1,[3]enemy_skill_sets!$1:$1,0)-MATCH($AB$1,[3]enemy_skill_sets!$1:$1,0)+1,FALSE)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6" s="67">
        <v>1</v>
      </c>
      <c r="AE876" s="67">
        <v>1</v>
      </c>
      <c r="AF876" s="68">
        <v>0</v>
      </c>
      <c r="AG876" s="99">
        <f ca="1">ROUND(VLOOKUP(1,enemy_base_stats!$A:$F,2,FALSE) * Y876* J876*O876*E876*S876*AD876*[2]ステータス!$B$2,0)</f>
        <v>4165</v>
      </c>
      <c r="AH876" s="99">
        <f ca="1">ROUND(VLOOKUP(1,enemy_base_stats!$A:$F,3,FALSE) * Z876*K876*P876*F876*T876*AE876 * W876*[2]ステータス!$C$2,0)</f>
        <v>367</v>
      </c>
      <c r="AI876" s="99">
        <f ca="1">ROUND(VLOOKUP(1,enemy_base_stats!$A:$F,4,FALSE) * AA876*L876*Q876*G876*U876*AF876*[2]ステータス!$D$2,0)</f>
        <v>0</v>
      </c>
      <c r="AJ876" s="99">
        <f ca="1">ROUND(VLOOKUP(100,enemy_base_stats!$A:$F,2,FALSE) * Y876* J876*O876*E876*S876*AD876*[2]ステータス!$B$2,0)</f>
        <v>169099</v>
      </c>
      <c r="AK876" s="99">
        <f ca="1">ROUND(VLOOKUP(100,enemy_base_stats!$A:$F,3,FALSE)* Z876* K876*P876*F876*T876*AE876 * W876*[2]ステータス!$C$2,0)</f>
        <v>14889</v>
      </c>
      <c r="AL876" s="99">
        <f ca="1">ROUND(VLOOKUP(100,enemy_base_stats!$A:$F,4,FALSE)* AA876* L876*Q876*G876*U876*AF876*[2]ステータス!$D$2,0)</f>
        <v>0</v>
      </c>
      <c r="AM876" s="97">
        <f ca="1">VLOOKUP(M876,[2]character_tribe_i18n!$A:$I,9,FALSE)</f>
        <v>400</v>
      </c>
      <c r="AN876" s="97">
        <v>0</v>
      </c>
      <c r="AO876" s="98">
        <v>0</v>
      </c>
      <c r="AP876" s="58" t="s">
        <v>72</v>
      </c>
      <c r="AQ876" s="34">
        <f t="shared" ca="1" si="51"/>
        <v>875</v>
      </c>
    </row>
    <row r="877" spans="1:43" ht="21" customHeight="1" x14ac:dyDescent="0.15">
      <c r="A877" s="7">
        <f t="shared" ca="1" si="49"/>
        <v>876</v>
      </c>
      <c r="B877" s="6" t="str">
        <f ca="1">VLOOKUP(A877,[2]characters!$A:$C,3,FALSE)</f>
        <v>イフリート</v>
      </c>
      <c r="C877" s="9">
        <f ca="1">VLOOKUP(A877,[2]characters!$A:$I,9,FALSE)</f>
        <v>4</v>
      </c>
      <c r="D877" s="9" t="str">
        <f ca="1">VLOOKUP(A877,[2]characters!$A:$H,8,FALSE)</f>
        <v>red</v>
      </c>
      <c r="E877" s="97">
        <f ca="1">VLOOKUP(D877,[2]属性!$A:$E,2,FALSE)</f>
        <v>1</v>
      </c>
      <c r="F877" s="97">
        <f ca="1">VLOOKUP(D877,[2]属性!$A:$E,3,FALSE)</f>
        <v>1.02</v>
      </c>
      <c r="G877" s="97">
        <f ca="1">VLOOKUP(D877,[2]属性!$A:$F,4,FALSE)</f>
        <v>1</v>
      </c>
      <c r="H877" s="9" t="str">
        <f ca="1">VLOOKUP(A877,[2]characters!$A:$K,11,FALSE)</f>
        <v>attack</v>
      </c>
      <c r="I877" s="6" t="str">
        <f ca="1">VLOOKUP(H877,[2]character_type_i18n!$A:$F,3,FALSE)</f>
        <v>攻撃タイプ</v>
      </c>
      <c r="J877" s="97">
        <f ca="1">VLOOKUP(H877,[2]character_type_i18n!$A:$F,4,FALSE)</f>
        <v>1</v>
      </c>
      <c r="K877" s="97">
        <f ca="1">VLOOKUP(H877,[2]character_type_i18n!$A:$F,5,FALSE)</f>
        <v>1.33</v>
      </c>
      <c r="L877" s="97">
        <f ca="1">VLOOKUP(H877,[2]character_type_i18n!$A:$F,6,FALSE)</f>
        <v>1</v>
      </c>
      <c r="M877" s="9" t="str">
        <f ca="1">VLOOKUP(A877,[2]characters!$A:$M,13,FALSE)</f>
        <v>god</v>
      </c>
      <c r="N877" s="6" t="str">
        <f ca="1">VLOOKUP(M877,[2]character_tribe_i18n!$A:$F,3,FALSE)</f>
        <v>ゴッド</v>
      </c>
      <c r="O877" s="97">
        <f ca="1">VLOOKUP(M877,[2]character_tribe_i18n!$A:$F,4,FALSE)</f>
        <v>0.96</v>
      </c>
      <c r="P877" s="97">
        <f ca="1">VLOOKUP(M877,[2]character_tribe_i18n!$A:$F,5,FALSE)</f>
        <v>1.02</v>
      </c>
      <c r="Q877" s="97">
        <f ca="1">VLOOKUP(M877,[2]character_tribe_i18n!$A:$F,6,FALSE)</f>
        <v>1</v>
      </c>
      <c r="R877" s="98" t="s">
        <v>98</v>
      </c>
      <c r="S877" s="97">
        <f>VLOOKUP($R877,ラベル別係数!$A$1:$E$7,3,FALSE)</f>
        <v>5</v>
      </c>
      <c r="T877" s="97">
        <f>VLOOKUP($R877,ラベル別係数!$A$1:$E$7,4,FALSE)</f>
        <v>1.3</v>
      </c>
      <c r="U877" s="97">
        <f>VLOOKUP($R877,ラベル別係数!$A$1:$E$7,5,FALSE)</f>
        <v>0.8</v>
      </c>
      <c r="V877" s="98">
        <v>3</v>
      </c>
      <c r="W877" s="99">
        <f>VLOOKUP(V877,ターン数別攻撃係数!$A$1:$B$1000,2,FALSE)</f>
        <v>1</v>
      </c>
      <c r="X877" s="9">
        <f ca="1">VLOOKUP(C877,サイズ別係数!A$2:B$9,2,FALSE)</f>
        <v>30</v>
      </c>
      <c r="Y877" s="97">
        <f ca="1">VLOOKUP($X877,サイズ別係数!$B:$E,2,FALSE)</f>
        <v>1.3</v>
      </c>
      <c r="Z877" s="97">
        <f ca="1">VLOOKUP($X877,サイズ別係数!$B:$E,3,FALSE)</f>
        <v>1.3</v>
      </c>
      <c r="AA877" s="97">
        <f ca="1">VLOOKUP($X877,サイズ別係数!$B:$E,4,FALSE)</f>
        <v>1.1000000000000001</v>
      </c>
      <c r="AB877" s="10">
        <v>0</v>
      </c>
      <c r="AC877" s="6" t="str">
        <f ca="1">VLOOKUP($AB877,OFFSET([3]enemy_skill_sets!$B$2,0,0,COUNTA([3]enemy_skill_sets!$A:$A),MATCH(AC$1,[3]enemy_skill_sets!$1:$1,0)-MATCH($AB$1,[3]enemy_skill_sets!$1:$1,0)+1),MATCH(AC$1,[3]enemy_skill_sets!$1:$1,0)-MATCH($AB$1,[3]enemy_skill_sets!$1:$1,0)+1,FALSE)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7" s="67">
        <v>1</v>
      </c>
      <c r="AE877" s="67">
        <v>1</v>
      </c>
      <c r="AF877" s="68">
        <v>0</v>
      </c>
      <c r="AG877" s="99">
        <f ca="1">ROUND(VLOOKUP(1,enemy_base_stats!$A:$F,2,FALSE) * Y877* J877*O877*E877*S877*AD877*[2]ステータス!$B$2,0)</f>
        <v>3120</v>
      </c>
      <c r="AH877" s="99">
        <f ca="1">ROUND(VLOOKUP(1,enemy_base_stats!$A:$F,3,FALSE) * Z877*K877*P877*F877*T877*AE877 * W877*[2]ステータス!$C$2,0)</f>
        <v>351</v>
      </c>
      <c r="AI877" s="99">
        <f ca="1">ROUND(VLOOKUP(1,enemy_base_stats!$A:$F,4,FALSE) * AA877*L877*Q877*G877*U877*AF877*[2]ステータス!$D$2,0)</f>
        <v>0</v>
      </c>
      <c r="AJ877" s="99">
        <f ca="1">ROUND(VLOOKUP(100,enemy_base_stats!$A:$F,2,FALSE) * Y877* J877*O877*E877*S877*AD877*[2]ステータス!$B$2,0)</f>
        <v>126672</v>
      </c>
      <c r="AK877" s="99">
        <f ca="1">ROUND(VLOOKUP(100,enemy_base_stats!$A:$F,3,FALSE)* Z877* K877*P877*F877*T877*AE877 * W877*[2]ステータス!$C$2,0)</f>
        <v>14242</v>
      </c>
      <c r="AL877" s="99">
        <f ca="1">ROUND(VLOOKUP(100,enemy_base_stats!$A:$F,4,FALSE)* AA877* L877*Q877*G877*U877*AF877*[2]ステータス!$D$2,0)</f>
        <v>0</v>
      </c>
      <c r="AM877" s="97">
        <f ca="1">VLOOKUP(M877,[2]character_tribe_i18n!$A:$I,9,FALSE)</f>
        <v>680</v>
      </c>
      <c r="AN877" s="97">
        <v>0</v>
      </c>
      <c r="AO877" s="98">
        <v>0</v>
      </c>
      <c r="AP877" s="58" t="s">
        <v>72</v>
      </c>
      <c r="AQ877" s="34">
        <f t="shared" ca="1" si="51"/>
        <v>876</v>
      </c>
    </row>
    <row r="878" spans="1:43" ht="21" customHeight="1" x14ac:dyDescent="0.15">
      <c r="A878" s="7">
        <f t="shared" ca="1" si="49"/>
        <v>877</v>
      </c>
      <c r="B878" s="6" t="str">
        <f ca="1">VLOOKUP(A878,[2]characters!$A:$C,3,FALSE)</f>
        <v>自律の協炎 イフリート</v>
      </c>
      <c r="C878" s="9">
        <f ca="1">VLOOKUP(A878,[2]characters!$A:$I,9,FALSE)</f>
        <v>5</v>
      </c>
      <c r="D878" s="9" t="str">
        <f ca="1">VLOOKUP(A878,[2]characters!$A:$H,8,FALSE)</f>
        <v>red</v>
      </c>
      <c r="E878" s="97">
        <f ca="1">VLOOKUP(D878,[2]属性!$A:$E,2,FALSE)</f>
        <v>1</v>
      </c>
      <c r="F878" s="97">
        <f ca="1">VLOOKUP(D878,[2]属性!$A:$E,3,FALSE)</f>
        <v>1.02</v>
      </c>
      <c r="G878" s="97">
        <f ca="1">VLOOKUP(D878,[2]属性!$A:$F,4,FALSE)</f>
        <v>1</v>
      </c>
      <c r="H878" s="9" t="str">
        <f ca="1">VLOOKUP(A878,[2]characters!$A:$K,11,FALSE)</f>
        <v>attack</v>
      </c>
      <c r="I878" s="6" t="str">
        <f ca="1">VLOOKUP(H878,[2]character_type_i18n!$A:$F,3,FALSE)</f>
        <v>攻撃タイプ</v>
      </c>
      <c r="J878" s="97">
        <f ca="1">VLOOKUP(H878,[2]character_type_i18n!$A:$F,4,FALSE)</f>
        <v>1</v>
      </c>
      <c r="K878" s="97">
        <f ca="1">VLOOKUP(H878,[2]character_type_i18n!$A:$F,5,FALSE)</f>
        <v>1.33</v>
      </c>
      <c r="L878" s="97">
        <f ca="1">VLOOKUP(H878,[2]character_type_i18n!$A:$F,6,FALSE)</f>
        <v>1</v>
      </c>
      <c r="M878" s="9" t="str">
        <f ca="1">VLOOKUP(A878,[2]characters!$A:$M,13,FALSE)</f>
        <v>god</v>
      </c>
      <c r="N878" s="6" t="str">
        <f ca="1">VLOOKUP(M878,[2]character_tribe_i18n!$A:$F,3,FALSE)</f>
        <v>ゴッド</v>
      </c>
      <c r="O878" s="97">
        <f ca="1">VLOOKUP(M878,[2]character_tribe_i18n!$A:$F,4,FALSE)</f>
        <v>0.96</v>
      </c>
      <c r="P878" s="97">
        <f ca="1">VLOOKUP(M878,[2]character_tribe_i18n!$A:$F,5,FALSE)</f>
        <v>1.02</v>
      </c>
      <c r="Q878" s="97">
        <f ca="1">VLOOKUP(M878,[2]character_tribe_i18n!$A:$F,6,FALSE)</f>
        <v>1</v>
      </c>
      <c r="R878" s="98" t="s">
        <v>98</v>
      </c>
      <c r="S878" s="97">
        <f>VLOOKUP($R878,ラベル別係数!$A$1:$E$7,3,FALSE)</f>
        <v>5</v>
      </c>
      <c r="T878" s="97">
        <f>VLOOKUP($R878,ラベル別係数!$A$1:$E$7,4,FALSE)</f>
        <v>1.3</v>
      </c>
      <c r="U878" s="97">
        <f>VLOOKUP($R878,ラベル別係数!$A$1:$E$7,5,FALSE)</f>
        <v>0.8</v>
      </c>
      <c r="V878" s="98">
        <v>3</v>
      </c>
      <c r="W878" s="99">
        <f>VLOOKUP(V878,ターン数別攻撃係数!$A$1:$B$1000,2,FALSE)</f>
        <v>1</v>
      </c>
      <c r="X878" s="9">
        <f ca="1">VLOOKUP(C878,サイズ別係数!A$2:B$9,2,FALSE)</f>
        <v>60</v>
      </c>
      <c r="Y878" s="97">
        <f ca="1">VLOOKUP($X878,サイズ別係数!$B:$E,2,FALSE)</f>
        <v>1.7</v>
      </c>
      <c r="Z878" s="97">
        <f ca="1">VLOOKUP($X878,サイズ別係数!$B:$E,3,FALSE)</f>
        <v>1.4</v>
      </c>
      <c r="AA878" s="97">
        <f ca="1">VLOOKUP($X878,サイズ別係数!$B:$E,4,FALSE)</f>
        <v>1</v>
      </c>
      <c r="AB878" s="10">
        <v>0</v>
      </c>
      <c r="AC878" s="6" t="str">
        <f ca="1">VLOOKUP($AB878,OFFSET([3]enemy_skill_sets!$B$2,0,0,COUNTA([3]enemy_skill_sets!$A:$A),MATCH(AC$1,[3]enemy_skill_sets!$1:$1,0)-MATCH($AB$1,[3]enemy_skill_sets!$1:$1,0)+1),MATCH(AC$1,[3]enemy_skill_sets!$1:$1,0)-MATCH($AB$1,[3]enemy_skill_sets!$1:$1,0)+1,FALSE)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8" s="67">
        <v>1</v>
      </c>
      <c r="AE878" s="67">
        <v>1</v>
      </c>
      <c r="AF878" s="68">
        <v>0</v>
      </c>
      <c r="AG878" s="99">
        <f ca="1">ROUND(VLOOKUP(1,enemy_base_stats!$A:$F,2,FALSE) * Y878* J878*O878*E878*S878*AD878*[2]ステータス!$B$2,0)</f>
        <v>4080</v>
      </c>
      <c r="AH878" s="99">
        <f ca="1">ROUND(VLOOKUP(1,enemy_base_stats!$A:$F,3,FALSE) * Z878*K878*P878*F878*T878*AE878 * W878*[2]ステータス!$C$2,0)</f>
        <v>378</v>
      </c>
      <c r="AI878" s="99">
        <f ca="1">ROUND(VLOOKUP(1,enemy_base_stats!$A:$F,4,FALSE) * AA878*L878*Q878*G878*U878*AF878*[2]ステータス!$D$2,0)</f>
        <v>0</v>
      </c>
      <c r="AJ878" s="99">
        <f ca="1">ROUND(VLOOKUP(100,enemy_base_stats!$A:$F,2,FALSE) * Y878* J878*O878*E878*S878*AD878*[2]ステータス!$B$2,0)</f>
        <v>165648</v>
      </c>
      <c r="AK878" s="99">
        <f ca="1">ROUND(VLOOKUP(100,enemy_base_stats!$A:$F,3,FALSE)* Z878* K878*P878*F878*T878*AE878 * W878*[2]ステータス!$C$2,0)</f>
        <v>15337</v>
      </c>
      <c r="AL878" s="99">
        <f ca="1">ROUND(VLOOKUP(100,enemy_base_stats!$A:$F,4,FALSE)* AA878* L878*Q878*G878*U878*AF878*[2]ステータス!$D$2,0)</f>
        <v>0</v>
      </c>
      <c r="AM878" s="97">
        <f ca="1">VLOOKUP(M878,[2]character_tribe_i18n!$A:$I,9,FALSE)</f>
        <v>680</v>
      </c>
      <c r="AN878" s="97">
        <v>0</v>
      </c>
      <c r="AO878" s="98">
        <v>0</v>
      </c>
      <c r="AP878" s="58" t="s">
        <v>72</v>
      </c>
      <c r="AQ878" s="34">
        <f t="shared" ca="1" si="51"/>
        <v>877</v>
      </c>
    </row>
    <row r="879" spans="1:43" ht="21" customHeight="1" x14ac:dyDescent="0.15">
      <c r="A879" s="7">
        <f t="shared" ca="1" si="49"/>
        <v>878</v>
      </c>
      <c r="B879" s="6" t="str">
        <f ca="1">VLOOKUP(A879,[2]characters!$A:$C,3,FALSE)</f>
        <v>イグニス</v>
      </c>
      <c r="C879" s="9">
        <f ca="1">VLOOKUP(A879,[2]characters!$A:$I,9,FALSE)</f>
        <v>4</v>
      </c>
      <c r="D879" s="9" t="str">
        <f ca="1">VLOOKUP(A879,[2]characters!$A:$H,8,FALSE)</f>
        <v>red</v>
      </c>
      <c r="E879" s="97">
        <f ca="1">VLOOKUP(D879,[2]属性!$A:$E,2,FALSE)</f>
        <v>1</v>
      </c>
      <c r="F879" s="97">
        <f ca="1">VLOOKUP(D879,[2]属性!$A:$E,3,FALSE)</f>
        <v>1.02</v>
      </c>
      <c r="G879" s="97">
        <f ca="1">VLOOKUP(D879,[2]属性!$A:$F,4,FALSE)</f>
        <v>1</v>
      </c>
      <c r="H879" s="9" t="str">
        <f ca="1">VLOOKUP(A879,[2]characters!$A:$K,11,FALSE)</f>
        <v>balance</v>
      </c>
      <c r="I879" s="6" t="str">
        <f ca="1">VLOOKUP(H879,[2]character_type_i18n!$A:$F,3,FALSE)</f>
        <v>バランスタイプ</v>
      </c>
      <c r="J879" s="97">
        <f ca="1">VLOOKUP(H879,[2]character_type_i18n!$A:$F,4,FALSE)</f>
        <v>1</v>
      </c>
      <c r="K879" s="97">
        <f ca="1">VLOOKUP(H879,[2]character_type_i18n!$A:$F,5,FALSE)</f>
        <v>1</v>
      </c>
      <c r="L879" s="97">
        <f ca="1">VLOOKUP(H879,[2]character_type_i18n!$A:$F,6,FALSE)</f>
        <v>1</v>
      </c>
      <c r="M879" s="9" t="str">
        <f ca="1">VLOOKUP(A879,[2]characters!$A:$M,13,FALSE)</f>
        <v>god</v>
      </c>
      <c r="N879" s="6" t="str">
        <f ca="1">VLOOKUP(M879,[2]character_tribe_i18n!$A:$F,3,FALSE)</f>
        <v>ゴッド</v>
      </c>
      <c r="O879" s="97">
        <f ca="1">VLOOKUP(M879,[2]character_tribe_i18n!$A:$F,4,FALSE)</f>
        <v>0.96</v>
      </c>
      <c r="P879" s="97">
        <f ca="1">VLOOKUP(M879,[2]character_tribe_i18n!$A:$F,5,FALSE)</f>
        <v>1.02</v>
      </c>
      <c r="Q879" s="97">
        <f ca="1">VLOOKUP(M879,[2]character_tribe_i18n!$A:$F,6,FALSE)</f>
        <v>1</v>
      </c>
      <c r="R879" s="98" t="s">
        <v>98</v>
      </c>
      <c r="S879" s="97">
        <f>VLOOKUP($R879,ラベル別係数!$A$1:$E$7,3,FALSE)</f>
        <v>5</v>
      </c>
      <c r="T879" s="97">
        <f>VLOOKUP($R879,ラベル別係数!$A$1:$E$7,4,FALSE)</f>
        <v>1.3</v>
      </c>
      <c r="U879" s="97">
        <f>VLOOKUP($R879,ラベル別係数!$A$1:$E$7,5,FALSE)</f>
        <v>0.8</v>
      </c>
      <c r="V879" s="98">
        <v>3</v>
      </c>
      <c r="W879" s="99">
        <f>VLOOKUP(V879,ターン数別攻撃係数!$A$1:$B$1000,2,FALSE)</f>
        <v>1</v>
      </c>
      <c r="X879" s="9">
        <f ca="1">VLOOKUP(C879,サイズ別係数!A$2:B$9,2,FALSE)</f>
        <v>30</v>
      </c>
      <c r="Y879" s="97">
        <f ca="1">VLOOKUP($X879,サイズ別係数!$B:$E,2,FALSE)</f>
        <v>1.3</v>
      </c>
      <c r="Z879" s="97">
        <f ca="1">VLOOKUP($X879,サイズ別係数!$B:$E,3,FALSE)</f>
        <v>1.3</v>
      </c>
      <c r="AA879" s="97">
        <f ca="1">VLOOKUP($X879,サイズ別係数!$B:$E,4,FALSE)</f>
        <v>1.1000000000000001</v>
      </c>
      <c r="AB879" s="10">
        <v>0</v>
      </c>
      <c r="AC879" s="6" t="str">
        <f ca="1">VLOOKUP($AB879,OFFSET([3]enemy_skill_sets!$B$2,0,0,COUNTA([3]enemy_skill_sets!$A:$A),MATCH(AC$1,[3]enemy_skill_sets!$1:$1,0)-MATCH($AB$1,[3]enemy_skill_sets!$1:$1,0)+1),MATCH(AC$1,[3]enemy_skill_sets!$1:$1,0)-MATCH($AB$1,[3]enemy_skill_sets!$1:$1,0)+1,FALSE)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79" s="67">
        <v>1</v>
      </c>
      <c r="AE879" s="67">
        <v>1</v>
      </c>
      <c r="AF879" s="68">
        <v>0</v>
      </c>
      <c r="AG879" s="99">
        <f ca="1">ROUND(VLOOKUP(1,enemy_base_stats!$A:$F,2,FALSE) * Y879* J879*O879*E879*S879*AD879*[2]ステータス!$B$2,0)</f>
        <v>3120</v>
      </c>
      <c r="AH879" s="99">
        <f ca="1">ROUND(VLOOKUP(1,enemy_base_stats!$A:$F,3,FALSE) * Z879*K879*P879*F879*T879*AE879 * W879*[2]ステータス!$C$2,0)</f>
        <v>264</v>
      </c>
      <c r="AI879" s="99">
        <f ca="1">ROUND(VLOOKUP(1,enemy_base_stats!$A:$F,4,FALSE) * AA879*L879*Q879*G879*U879*AF879*[2]ステータス!$D$2,0)</f>
        <v>0</v>
      </c>
      <c r="AJ879" s="99">
        <f ca="1">ROUND(VLOOKUP(100,enemy_base_stats!$A:$F,2,FALSE) * Y879* J879*O879*E879*S879*AD879*[2]ステータス!$B$2,0)</f>
        <v>126672</v>
      </c>
      <c r="AK879" s="99">
        <f ca="1">ROUND(VLOOKUP(100,enemy_base_stats!$A:$F,3,FALSE)* Z879* K879*P879*F879*T879*AE879 * W879*[2]ステータス!$C$2,0)</f>
        <v>10708</v>
      </c>
      <c r="AL879" s="99">
        <f ca="1">ROUND(VLOOKUP(100,enemy_base_stats!$A:$F,4,FALSE)* AA879* L879*Q879*G879*U879*AF879*[2]ステータス!$D$2,0)</f>
        <v>0</v>
      </c>
      <c r="AM879" s="97">
        <f ca="1">VLOOKUP(M879,[2]character_tribe_i18n!$A:$I,9,FALSE)</f>
        <v>680</v>
      </c>
      <c r="AN879" s="97">
        <v>0</v>
      </c>
      <c r="AO879" s="98">
        <v>0</v>
      </c>
      <c r="AP879" s="58" t="s">
        <v>72</v>
      </c>
      <c r="AQ879" s="34">
        <f t="shared" ca="1" si="51"/>
        <v>878</v>
      </c>
    </row>
    <row r="880" spans="1:43" ht="21" customHeight="1" x14ac:dyDescent="0.15">
      <c r="A880" s="7">
        <f t="shared" ca="1" si="49"/>
        <v>879</v>
      </c>
      <c r="B880" s="6" t="str">
        <f ca="1">VLOOKUP(A880,[2]characters!$A:$C,3,FALSE)</f>
        <v>イグニス・フューリー</v>
      </c>
      <c r="C880" s="9">
        <f ca="1">VLOOKUP(A880,[2]characters!$A:$I,9,FALSE)</f>
        <v>5</v>
      </c>
      <c r="D880" s="9" t="str">
        <f ca="1">VLOOKUP(A880,[2]characters!$A:$H,8,FALSE)</f>
        <v>red</v>
      </c>
      <c r="E880" s="97">
        <f ca="1">VLOOKUP(D880,[2]属性!$A:$E,2,FALSE)</f>
        <v>1</v>
      </c>
      <c r="F880" s="97">
        <f ca="1">VLOOKUP(D880,[2]属性!$A:$E,3,FALSE)</f>
        <v>1.02</v>
      </c>
      <c r="G880" s="97">
        <f ca="1">VLOOKUP(D880,[2]属性!$A:$F,4,FALSE)</f>
        <v>1</v>
      </c>
      <c r="H880" s="9" t="str">
        <f ca="1">VLOOKUP(A880,[2]characters!$A:$K,11,FALSE)</f>
        <v>balance</v>
      </c>
      <c r="I880" s="6" t="str">
        <f ca="1">VLOOKUP(H880,[2]character_type_i18n!$A:$F,3,FALSE)</f>
        <v>バランスタイプ</v>
      </c>
      <c r="J880" s="97">
        <f ca="1">VLOOKUP(H880,[2]character_type_i18n!$A:$F,4,FALSE)</f>
        <v>1</v>
      </c>
      <c r="K880" s="97">
        <f ca="1">VLOOKUP(H880,[2]character_type_i18n!$A:$F,5,FALSE)</f>
        <v>1</v>
      </c>
      <c r="L880" s="97">
        <f ca="1">VLOOKUP(H880,[2]character_type_i18n!$A:$F,6,FALSE)</f>
        <v>1</v>
      </c>
      <c r="M880" s="9" t="str">
        <f ca="1">VLOOKUP(A880,[2]characters!$A:$M,13,FALSE)</f>
        <v>god</v>
      </c>
      <c r="N880" s="6" t="str">
        <f ca="1">VLOOKUP(M880,[2]character_tribe_i18n!$A:$F,3,FALSE)</f>
        <v>ゴッド</v>
      </c>
      <c r="O880" s="97">
        <f ca="1">VLOOKUP(M880,[2]character_tribe_i18n!$A:$F,4,FALSE)</f>
        <v>0.96</v>
      </c>
      <c r="P880" s="97">
        <f ca="1">VLOOKUP(M880,[2]character_tribe_i18n!$A:$F,5,FALSE)</f>
        <v>1.02</v>
      </c>
      <c r="Q880" s="97">
        <f ca="1">VLOOKUP(M880,[2]character_tribe_i18n!$A:$F,6,FALSE)</f>
        <v>1</v>
      </c>
      <c r="R880" s="98" t="s">
        <v>98</v>
      </c>
      <c r="S880" s="97">
        <f>VLOOKUP($R880,ラベル別係数!$A$1:$E$7,3,FALSE)</f>
        <v>5</v>
      </c>
      <c r="T880" s="97">
        <f>VLOOKUP($R880,ラベル別係数!$A$1:$E$7,4,FALSE)</f>
        <v>1.3</v>
      </c>
      <c r="U880" s="97">
        <f>VLOOKUP($R880,ラベル別係数!$A$1:$E$7,5,FALSE)</f>
        <v>0.8</v>
      </c>
      <c r="V880" s="98">
        <v>3</v>
      </c>
      <c r="W880" s="99">
        <f>VLOOKUP(V880,ターン数別攻撃係数!$A$1:$B$1000,2,FALSE)</f>
        <v>1</v>
      </c>
      <c r="X880" s="9">
        <f ca="1">VLOOKUP(C880,サイズ別係数!A$2:B$9,2,FALSE)</f>
        <v>60</v>
      </c>
      <c r="Y880" s="97">
        <f ca="1">VLOOKUP($X880,サイズ別係数!$B:$E,2,FALSE)</f>
        <v>1.7</v>
      </c>
      <c r="Z880" s="97">
        <f ca="1">VLOOKUP($X880,サイズ別係数!$B:$E,3,FALSE)</f>
        <v>1.4</v>
      </c>
      <c r="AA880" s="97">
        <f ca="1">VLOOKUP($X880,サイズ別係数!$B:$E,4,FALSE)</f>
        <v>1</v>
      </c>
      <c r="AB880" s="10">
        <v>0</v>
      </c>
      <c r="AC880" s="6" t="str">
        <f ca="1">VLOOKUP($AB880,OFFSET([3]enemy_skill_sets!$B$2,0,0,COUNTA([3]enemy_skill_sets!$A:$A),MATCH(AC$1,[3]enemy_skill_sets!$1:$1,0)-MATCH($AB$1,[3]enemy_skill_sets!$1:$1,0)+1),MATCH(AC$1,[3]enemy_skill_sets!$1:$1,0)-MATCH($AB$1,[3]enemy_skill_sets!$1:$1,0)+1,FALSE)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0" s="67">
        <v>1</v>
      </c>
      <c r="AE880" s="67">
        <v>1</v>
      </c>
      <c r="AF880" s="68">
        <v>0</v>
      </c>
      <c r="AG880" s="99">
        <f ca="1">ROUND(VLOOKUP(1,enemy_base_stats!$A:$F,2,FALSE) * Y880* J880*O880*E880*S880*AD880*[2]ステータス!$B$2,0)</f>
        <v>4080</v>
      </c>
      <c r="AH880" s="99">
        <f ca="1">ROUND(VLOOKUP(1,enemy_base_stats!$A:$F,3,FALSE) * Z880*K880*P880*F880*T880*AE880 * W880*[2]ステータス!$C$2,0)</f>
        <v>284</v>
      </c>
      <c r="AI880" s="99">
        <f ca="1">ROUND(VLOOKUP(1,enemy_base_stats!$A:$F,4,FALSE) * AA880*L880*Q880*G880*U880*AF880*[2]ステータス!$D$2,0)</f>
        <v>0</v>
      </c>
      <c r="AJ880" s="99">
        <f ca="1">ROUND(VLOOKUP(100,enemy_base_stats!$A:$F,2,FALSE) * Y880* J880*O880*E880*S880*AD880*[2]ステータス!$B$2,0)</f>
        <v>165648</v>
      </c>
      <c r="AK880" s="99">
        <f ca="1">ROUND(VLOOKUP(100,enemy_base_stats!$A:$F,3,FALSE)* Z880* K880*P880*F880*T880*AE880 * W880*[2]ステータス!$C$2,0)</f>
        <v>11532</v>
      </c>
      <c r="AL880" s="99">
        <f ca="1">ROUND(VLOOKUP(100,enemy_base_stats!$A:$F,4,FALSE)* AA880* L880*Q880*G880*U880*AF880*[2]ステータス!$D$2,0)</f>
        <v>0</v>
      </c>
      <c r="AM880" s="97">
        <f ca="1">VLOOKUP(M880,[2]character_tribe_i18n!$A:$I,9,FALSE)</f>
        <v>680</v>
      </c>
      <c r="AN880" s="97">
        <v>0</v>
      </c>
      <c r="AO880" s="98">
        <v>0</v>
      </c>
      <c r="AP880" s="58" t="s">
        <v>72</v>
      </c>
      <c r="AQ880" s="34">
        <f t="shared" ca="1" si="51"/>
        <v>879</v>
      </c>
    </row>
    <row r="881" spans="1:43" ht="21" customHeight="1" x14ac:dyDescent="0.15">
      <c r="A881" s="7">
        <f t="shared" ca="1" si="49"/>
        <v>880</v>
      </c>
      <c r="B881" s="6" t="str">
        <f ca="1">VLOOKUP(A881,[2]characters!$A:$C,3,FALSE)</f>
        <v>ハーシェル</v>
      </c>
      <c r="C881" s="9">
        <f ca="1">VLOOKUP(A881,[2]characters!$A:$I,9,FALSE)</f>
        <v>5</v>
      </c>
      <c r="D881" s="9" t="str">
        <f ca="1">VLOOKUP(A881,[2]characters!$A:$H,8,FALSE)</f>
        <v>yellow</v>
      </c>
      <c r="E881" s="97">
        <f ca="1">VLOOKUP(D881,[2]属性!$A:$E,2,FALSE)</f>
        <v>0.98</v>
      </c>
      <c r="F881" s="97">
        <f ca="1">VLOOKUP(D881,[2]属性!$A:$E,3,FALSE)</f>
        <v>1.01</v>
      </c>
      <c r="G881" s="97">
        <f ca="1">VLOOKUP(D881,[2]属性!$A:$F,4,FALSE)</f>
        <v>1</v>
      </c>
      <c r="H881" s="9" t="str">
        <f ca="1">VLOOKUP(A881,[2]characters!$A:$K,11,FALSE)</f>
        <v>heal</v>
      </c>
      <c r="I881" s="6" t="str">
        <f ca="1">VLOOKUP(H881,[2]character_type_i18n!$A:$F,3,FALSE)</f>
        <v>回復タイプ</v>
      </c>
      <c r="J881" s="97">
        <f ca="1">VLOOKUP(H881,[2]character_type_i18n!$A:$F,4,FALSE)</f>
        <v>0.8</v>
      </c>
      <c r="K881" s="97">
        <f ca="1">VLOOKUP(H881,[2]character_type_i18n!$A:$F,5,FALSE)</f>
        <v>0.78</v>
      </c>
      <c r="L881" s="97">
        <f ca="1">VLOOKUP(H881,[2]character_type_i18n!$A:$F,6,FALSE)</f>
        <v>1</v>
      </c>
      <c r="M881" s="9" t="str">
        <f ca="1">VLOOKUP(A881,[2]characters!$A:$M,13,FALSE)</f>
        <v>academia</v>
      </c>
      <c r="N881" s="6" t="str">
        <f ca="1">VLOOKUP(M881,[2]character_tribe_i18n!$A:$F,3,FALSE)</f>
        <v>アカデミア</v>
      </c>
      <c r="O881" s="97">
        <f ca="1">VLOOKUP(M881,[2]character_tribe_i18n!$A:$F,4,FALSE)</f>
        <v>1</v>
      </c>
      <c r="P881" s="97">
        <f ca="1">VLOOKUP(M881,[2]character_tribe_i18n!$A:$F,5,FALSE)</f>
        <v>1</v>
      </c>
      <c r="Q881" s="97">
        <f ca="1">VLOOKUP(M881,[2]character_tribe_i18n!$A:$F,6,FALSE)</f>
        <v>1</v>
      </c>
      <c r="R881" s="98" t="s">
        <v>98</v>
      </c>
      <c r="S881" s="97">
        <f>VLOOKUP($R881,ラベル別係数!$A$1:$E$7,3,FALSE)</f>
        <v>5</v>
      </c>
      <c r="T881" s="97">
        <f>VLOOKUP($R881,ラベル別係数!$A$1:$E$7,4,FALSE)</f>
        <v>1.3</v>
      </c>
      <c r="U881" s="97">
        <f>VLOOKUP($R881,ラベル別係数!$A$1:$E$7,5,FALSE)</f>
        <v>0.8</v>
      </c>
      <c r="V881" s="98">
        <v>3</v>
      </c>
      <c r="W881" s="99">
        <f>VLOOKUP(V881,ターン数別攻撃係数!$A$1:$B$1000,2,FALSE)</f>
        <v>1</v>
      </c>
      <c r="X881" s="9">
        <f ca="1">VLOOKUP(C881,サイズ別係数!A$2:B$9,2,FALSE)</f>
        <v>60</v>
      </c>
      <c r="Y881" s="97">
        <f ca="1">VLOOKUP($X881,サイズ別係数!$B:$E,2,FALSE)</f>
        <v>1.7</v>
      </c>
      <c r="Z881" s="97">
        <f ca="1">VLOOKUP($X881,サイズ別係数!$B:$E,3,FALSE)</f>
        <v>1.4</v>
      </c>
      <c r="AA881" s="97">
        <f ca="1">VLOOKUP($X881,サイズ別係数!$B:$E,4,FALSE)</f>
        <v>1</v>
      </c>
      <c r="AB881" s="10">
        <v>0</v>
      </c>
      <c r="AC881" s="6" t="str">
        <f ca="1">VLOOKUP($AB881,OFFSET([3]enemy_skill_sets!$B$2,0,0,COUNTA([3]enemy_skill_sets!$A:$A),MATCH(AC$1,[3]enemy_skill_sets!$1:$1,0)-MATCH($AB$1,[3]enemy_skill_sets!$1:$1,0)+1),MATCH(AC$1,[3]enemy_skill_sets!$1:$1,0)-MATCH($AB$1,[3]enemy_skill_sets!$1:$1,0)+1,FALSE)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1" s="67">
        <v>1</v>
      </c>
      <c r="AE881" s="67">
        <v>1</v>
      </c>
      <c r="AF881" s="68">
        <v>0</v>
      </c>
      <c r="AG881" s="99">
        <f ca="1">ROUND(VLOOKUP(1,enemy_base_stats!$A:$F,2,FALSE) * Y881* J881*O881*E881*S881*AD881*[2]ステータス!$B$2,0)</f>
        <v>3332</v>
      </c>
      <c r="AH881" s="99">
        <f ca="1">ROUND(VLOOKUP(1,enemy_base_stats!$A:$F,3,FALSE) * Z881*K881*P881*F881*T881*AE881 * W881*[2]ステータス!$C$2,0)</f>
        <v>215</v>
      </c>
      <c r="AI881" s="99">
        <f ca="1">ROUND(VLOOKUP(1,enemy_base_stats!$A:$F,4,FALSE) * AA881*L881*Q881*G881*U881*AF881*[2]ステータス!$D$2,0)</f>
        <v>0</v>
      </c>
      <c r="AJ881" s="99">
        <f ca="1">ROUND(VLOOKUP(100,enemy_base_stats!$A:$F,2,FALSE) * Y881* J881*O881*E881*S881*AD881*[2]ステータス!$B$2,0)</f>
        <v>135279</v>
      </c>
      <c r="AK881" s="99">
        <f ca="1">ROUND(VLOOKUP(100,enemy_base_stats!$A:$F,3,FALSE)* Z881* K881*P881*F881*T881*AE881 * W881*[2]ステータス!$C$2,0)</f>
        <v>8732</v>
      </c>
      <c r="AL881" s="99">
        <f ca="1">ROUND(VLOOKUP(100,enemy_base_stats!$A:$F,4,FALSE)* AA881* L881*Q881*G881*U881*AF881*[2]ステータス!$D$2,0)</f>
        <v>0</v>
      </c>
      <c r="AM881" s="97">
        <f ca="1">VLOOKUP(M881,[2]character_tribe_i18n!$A:$I,9,FALSE)</f>
        <v>400</v>
      </c>
      <c r="AN881" s="97">
        <v>0</v>
      </c>
      <c r="AO881" s="98">
        <v>0</v>
      </c>
      <c r="AP881" s="58" t="s">
        <v>72</v>
      </c>
      <c r="AQ881" s="34">
        <f t="shared" ca="1" si="51"/>
        <v>880</v>
      </c>
    </row>
    <row r="882" spans="1:43" ht="21" customHeight="1" x14ac:dyDescent="0.15">
      <c r="A882" s="7">
        <f t="shared" ca="1" si="49"/>
        <v>881</v>
      </c>
      <c r="B882" s="6" t="str">
        <f ca="1">VLOOKUP(A882,[2]characters!$A:$C,3,FALSE)</f>
        <v>銀河究星の望観者 ハーシェル</v>
      </c>
      <c r="C882" s="9">
        <f ca="1">VLOOKUP(A882,[2]characters!$A:$I,9,FALSE)</f>
        <v>6</v>
      </c>
      <c r="D882" s="9" t="str">
        <f ca="1">VLOOKUP(A882,[2]characters!$A:$H,8,FALSE)</f>
        <v>yellow</v>
      </c>
      <c r="E882" s="97">
        <f ca="1">VLOOKUP(D882,[2]属性!$A:$E,2,FALSE)</f>
        <v>0.98</v>
      </c>
      <c r="F882" s="97">
        <f ca="1">VLOOKUP(D882,[2]属性!$A:$E,3,FALSE)</f>
        <v>1.01</v>
      </c>
      <c r="G882" s="97">
        <f ca="1">VLOOKUP(D882,[2]属性!$A:$F,4,FALSE)</f>
        <v>1</v>
      </c>
      <c r="H882" s="9" t="str">
        <f ca="1">VLOOKUP(A882,[2]characters!$A:$K,11,FALSE)</f>
        <v>heal</v>
      </c>
      <c r="I882" s="6" t="str">
        <f ca="1">VLOOKUP(H882,[2]character_type_i18n!$A:$F,3,FALSE)</f>
        <v>回復タイプ</v>
      </c>
      <c r="J882" s="97">
        <f ca="1">VLOOKUP(H882,[2]character_type_i18n!$A:$F,4,FALSE)</f>
        <v>0.8</v>
      </c>
      <c r="K882" s="97">
        <f ca="1">VLOOKUP(H882,[2]character_type_i18n!$A:$F,5,FALSE)</f>
        <v>0.78</v>
      </c>
      <c r="L882" s="97">
        <f ca="1">VLOOKUP(H882,[2]character_type_i18n!$A:$F,6,FALSE)</f>
        <v>1</v>
      </c>
      <c r="M882" s="9" t="str">
        <f ca="1">VLOOKUP(A882,[2]characters!$A:$M,13,FALSE)</f>
        <v>academia</v>
      </c>
      <c r="N882" s="6" t="str">
        <f ca="1">VLOOKUP(M882,[2]character_tribe_i18n!$A:$F,3,FALSE)</f>
        <v>アカデミア</v>
      </c>
      <c r="O882" s="97">
        <f ca="1">VLOOKUP(M882,[2]character_tribe_i18n!$A:$F,4,FALSE)</f>
        <v>1</v>
      </c>
      <c r="P882" s="97">
        <f ca="1">VLOOKUP(M882,[2]character_tribe_i18n!$A:$F,5,FALSE)</f>
        <v>1</v>
      </c>
      <c r="Q882" s="97">
        <f ca="1">VLOOKUP(M882,[2]character_tribe_i18n!$A:$F,6,FALSE)</f>
        <v>1</v>
      </c>
      <c r="R882" s="98" t="s">
        <v>98</v>
      </c>
      <c r="S882" s="97">
        <f>VLOOKUP($R882,ラベル別係数!$A$1:$E$7,3,FALSE)</f>
        <v>5</v>
      </c>
      <c r="T882" s="97">
        <f>VLOOKUP($R882,ラベル別係数!$A$1:$E$7,4,FALSE)</f>
        <v>1.3</v>
      </c>
      <c r="U882" s="97">
        <f>VLOOKUP($R882,ラベル別係数!$A$1:$E$7,5,FALSE)</f>
        <v>0.8</v>
      </c>
      <c r="V882" s="98">
        <v>3</v>
      </c>
      <c r="W882" s="99">
        <f>VLOOKUP(V882,ターン数別攻撃係数!$A$1:$B$1000,2,FALSE)</f>
        <v>1</v>
      </c>
      <c r="X882" s="9">
        <f ca="1">VLOOKUP(C882,サイズ別係数!A$2:B$9,2,FALSE)</f>
        <v>60</v>
      </c>
      <c r="Y882" s="97">
        <f ca="1">VLOOKUP($X882,サイズ別係数!$B:$E,2,FALSE)</f>
        <v>1.7</v>
      </c>
      <c r="Z882" s="97">
        <f ca="1">VLOOKUP($X882,サイズ別係数!$B:$E,3,FALSE)</f>
        <v>1.4</v>
      </c>
      <c r="AA882" s="97">
        <f ca="1">VLOOKUP($X882,サイズ別係数!$B:$E,4,FALSE)</f>
        <v>1</v>
      </c>
      <c r="AB882" s="10">
        <v>0</v>
      </c>
      <c r="AC882" s="6" t="str">
        <f ca="1">VLOOKUP($AB882,OFFSET([3]enemy_skill_sets!$B$2,0,0,COUNTA([3]enemy_skill_sets!$A:$A),MATCH(AC$1,[3]enemy_skill_sets!$1:$1,0)-MATCH($AB$1,[3]enemy_skill_sets!$1:$1,0)+1),MATCH(AC$1,[3]enemy_skill_sets!$1:$1,0)-MATCH($AB$1,[3]enemy_skill_sets!$1:$1,0)+1,FALSE)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2" s="67">
        <v>1</v>
      </c>
      <c r="AE882" s="67">
        <v>1</v>
      </c>
      <c r="AF882" s="68">
        <v>0</v>
      </c>
      <c r="AG882" s="99">
        <f ca="1">ROUND(VLOOKUP(1,enemy_base_stats!$A:$F,2,FALSE) * Y882* J882*O882*E882*S882*AD882*[2]ステータス!$B$2,0)</f>
        <v>3332</v>
      </c>
      <c r="AH882" s="99">
        <f ca="1">ROUND(VLOOKUP(1,enemy_base_stats!$A:$F,3,FALSE) * Z882*K882*P882*F882*T882*AE882 * W882*[2]ステータス!$C$2,0)</f>
        <v>215</v>
      </c>
      <c r="AI882" s="99">
        <f ca="1">ROUND(VLOOKUP(1,enemy_base_stats!$A:$F,4,FALSE) * AA882*L882*Q882*G882*U882*AF882*[2]ステータス!$D$2,0)</f>
        <v>0</v>
      </c>
      <c r="AJ882" s="99">
        <f ca="1">ROUND(VLOOKUP(100,enemy_base_stats!$A:$F,2,FALSE) * Y882* J882*O882*E882*S882*AD882*[2]ステータス!$B$2,0)</f>
        <v>135279</v>
      </c>
      <c r="AK882" s="99">
        <f ca="1">ROUND(VLOOKUP(100,enemy_base_stats!$A:$F,3,FALSE)* Z882* K882*P882*F882*T882*AE882 * W882*[2]ステータス!$C$2,0)</f>
        <v>8732</v>
      </c>
      <c r="AL882" s="99">
        <f ca="1">ROUND(VLOOKUP(100,enemy_base_stats!$A:$F,4,FALSE)* AA882* L882*Q882*G882*U882*AF882*[2]ステータス!$D$2,0)</f>
        <v>0</v>
      </c>
      <c r="AM882" s="97">
        <f ca="1">VLOOKUP(M882,[2]character_tribe_i18n!$A:$I,9,FALSE)</f>
        <v>400</v>
      </c>
      <c r="AN882" s="97">
        <v>0</v>
      </c>
      <c r="AO882" s="98">
        <v>0</v>
      </c>
      <c r="AP882" s="58" t="s">
        <v>72</v>
      </c>
      <c r="AQ882" s="34">
        <f t="shared" ca="1" si="51"/>
        <v>881</v>
      </c>
    </row>
    <row r="883" spans="1:43" ht="21" customHeight="1" x14ac:dyDescent="0.15">
      <c r="A883" s="7">
        <f t="shared" ca="1" si="49"/>
        <v>882</v>
      </c>
      <c r="B883" s="6" t="str">
        <f ca="1">VLOOKUP(A883,[2]characters!$A:$C,3,FALSE)</f>
        <v>歪極する星壊 シュヴァルツシルト</v>
      </c>
      <c r="C883" s="9">
        <f ca="1">VLOOKUP(A883,[2]characters!$A:$I,9,FALSE)</f>
        <v>6</v>
      </c>
      <c r="D883" s="9" t="str">
        <f ca="1">VLOOKUP(A883,[2]characters!$A:$H,8,FALSE)</f>
        <v>blue</v>
      </c>
      <c r="E883" s="97">
        <f ca="1">VLOOKUP(D883,[2]属性!$A:$E,2,FALSE)</f>
        <v>1</v>
      </c>
      <c r="F883" s="97">
        <f ca="1">VLOOKUP(D883,[2]属性!$A:$E,3,FALSE)</f>
        <v>0.98</v>
      </c>
      <c r="G883" s="97">
        <f ca="1">VLOOKUP(D883,[2]属性!$A:$F,4,FALSE)</f>
        <v>1</v>
      </c>
      <c r="H883" s="9" t="str">
        <f ca="1">VLOOKUP(A883,[2]characters!$A:$K,11,FALSE)</f>
        <v>attack</v>
      </c>
      <c r="I883" s="6" t="str">
        <f ca="1">VLOOKUP(H883,[2]character_type_i18n!$A:$F,3,FALSE)</f>
        <v>攻撃タイプ</v>
      </c>
      <c r="J883" s="97">
        <f ca="1">VLOOKUP(H883,[2]character_type_i18n!$A:$F,4,FALSE)</f>
        <v>1</v>
      </c>
      <c r="K883" s="97">
        <f ca="1">VLOOKUP(H883,[2]character_type_i18n!$A:$F,5,FALSE)</f>
        <v>1.33</v>
      </c>
      <c r="L883" s="97">
        <f ca="1">VLOOKUP(H883,[2]character_type_i18n!$A:$F,6,FALSE)</f>
        <v>1</v>
      </c>
      <c r="M883" s="105" t="s">
        <v>152</v>
      </c>
      <c r="N883" s="6" t="str">
        <f>VLOOKUP(M883,[2]character_tribe_i18n!$A:$F,3,FALSE)</f>
        <v>t</v>
      </c>
      <c r="O883" s="97">
        <f>VLOOKUP(M883,[2]character_tribe_i18n!$A:$F,4,FALSE)</f>
        <v>1</v>
      </c>
      <c r="P883" s="97">
        <f>VLOOKUP(M883,[2]character_tribe_i18n!$A:$F,5,FALSE)</f>
        <v>1</v>
      </c>
      <c r="Q883" s="97">
        <f>VLOOKUP(M883,[2]character_tribe_i18n!$A:$F,6,FALSE)</f>
        <v>1</v>
      </c>
      <c r="R883" s="98" t="s">
        <v>98</v>
      </c>
      <c r="S883" s="97">
        <f>VLOOKUP($R883,ラベル別係数!$A$1:$E$7,3,FALSE)</f>
        <v>5</v>
      </c>
      <c r="T883" s="97">
        <f>VLOOKUP($R883,ラベル別係数!$A$1:$E$7,4,FALSE)</f>
        <v>1.3</v>
      </c>
      <c r="U883" s="97">
        <f>VLOOKUP($R883,ラベル別係数!$A$1:$E$7,5,FALSE)</f>
        <v>0.8</v>
      </c>
      <c r="V883" s="98">
        <v>3</v>
      </c>
      <c r="W883" s="99">
        <f>VLOOKUP(V883,ターン数別攻撃係数!$A$1:$B$1000,2,FALSE)</f>
        <v>1</v>
      </c>
      <c r="X883" s="9">
        <f ca="1">VLOOKUP(C883,サイズ別係数!A$2:B$9,2,FALSE)</f>
        <v>60</v>
      </c>
      <c r="Y883" s="97">
        <f ca="1">VLOOKUP($X883,サイズ別係数!$B:$E,2,FALSE)</f>
        <v>1.7</v>
      </c>
      <c r="Z883" s="97">
        <f ca="1">VLOOKUP($X883,サイズ別係数!$B:$E,3,FALSE)</f>
        <v>1.4</v>
      </c>
      <c r="AA883" s="97">
        <f ca="1">VLOOKUP($X883,サイズ別係数!$B:$E,4,FALSE)</f>
        <v>1</v>
      </c>
      <c r="AB883" s="10">
        <v>0</v>
      </c>
      <c r="AC883" s="6" t="str">
        <f ca="1">VLOOKUP($AB883,OFFSET([3]enemy_skill_sets!$B$2,0,0,COUNTA([3]enemy_skill_sets!$A:$A),MATCH(AC$1,[3]enemy_skill_sets!$1:$1,0)-MATCH($AB$1,[3]enemy_skill_sets!$1:$1,0)+1),MATCH(AC$1,[3]enemy_skill_sets!$1:$1,0)-MATCH($AB$1,[3]enemy_skill_sets!$1:$1,0)+1,FALSE)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3" s="67">
        <v>1</v>
      </c>
      <c r="AE883" s="67">
        <v>1</v>
      </c>
      <c r="AF883" s="68">
        <v>0</v>
      </c>
      <c r="AG883" s="99">
        <f ca="1">ROUND(VLOOKUP(1,enemy_base_stats!$A:$F,2,FALSE) * Y883* J883*O883*E883*S883*AD883*[2]ステータス!$B$2,0)</f>
        <v>4250</v>
      </c>
      <c r="AH883" s="99">
        <f ca="1">ROUND(VLOOKUP(1,enemy_base_stats!$A:$F,3,FALSE) * Z883*K883*P883*F883*T883*AE883 * W883*[2]ステータス!$C$2,0)</f>
        <v>356</v>
      </c>
      <c r="AI883" s="99">
        <f ca="1">ROUND(VLOOKUP(1,enemy_base_stats!$A:$F,4,FALSE) * AA883*L883*Q883*G883*U883*AF883*[2]ステータス!$D$2,0)</f>
        <v>0</v>
      </c>
      <c r="AJ883" s="99">
        <f ca="1">ROUND(VLOOKUP(100,enemy_base_stats!$A:$F,2,FALSE) * Y883* J883*O883*E883*S883*AD883*[2]ステータス!$B$2,0)</f>
        <v>172550</v>
      </c>
      <c r="AK883" s="99">
        <f ca="1">ROUND(VLOOKUP(100,enemy_base_stats!$A:$F,3,FALSE)* Z883* K883*P883*F883*T883*AE883 * W883*[2]ステータス!$C$2,0)</f>
        <v>14447</v>
      </c>
      <c r="AL883" s="99">
        <f ca="1">ROUND(VLOOKUP(100,enemy_base_stats!$A:$F,4,FALSE)* AA883* L883*Q883*G883*U883*AF883*[2]ステータス!$D$2,0)</f>
        <v>0</v>
      </c>
      <c r="AM883" s="97">
        <f>VLOOKUP(M883,[2]character_tribe_i18n!$A:$I,9,FALSE)</f>
        <v>400</v>
      </c>
      <c r="AN883" s="97">
        <v>0</v>
      </c>
      <c r="AO883" s="98">
        <v>0</v>
      </c>
      <c r="AP883" s="58" t="s">
        <v>72</v>
      </c>
      <c r="AQ883" s="34">
        <f t="shared" ca="1" si="51"/>
        <v>882</v>
      </c>
    </row>
    <row r="884" spans="1:43" ht="21" customHeight="1" x14ac:dyDescent="0.15">
      <c r="A884" s="7">
        <f t="shared" ca="1" si="49"/>
        <v>883</v>
      </c>
      <c r="B884" s="6" t="str">
        <f ca="1">VLOOKUP(A884,[2]characters!$A:$C,3,FALSE)</f>
        <v>灼動する猛巨炎 プロメテウス</v>
      </c>
      <c r="C884" s="9">
        <f ca="1">VLOOKUP(A884,[2]characters!$A:$I,9,FALSE)</f>
        <v>6</v>
      </c>
      <c r="D884" s="9" t="str">
        <f ca="1">VLOOKUP(A884,[2]characters!$A:$H,8,FALSE)</f>
        <v>red</v>
      </c>
      <c r="E884" s="97">
        <f ca="1">VLOOKUP(D884,[2]属性!$A:$E,2,FALSE)</f>
        <v>1</v>
      </c>
      <c r="F884" s="97">
        <f ca="1">VLOOKUP(D884,[2]属性!$A:$E,3,FALSE)</f>
        <v>1.02</v>
      </c>
      <c r="G884" s="97">
        <f ca="1">VLOOKUP(D884,[2]属性!$A:$F,4,FALSE)</f>
        <v>1</v>
      </c>
      <c r="H884" s="9" t="str">
        <f ca="1">VLOOKUP(A884,[2]characters!$A:$K,11,FALSE)</f>
        <v>hp</v>
      </c>
      <c r="I884" s="6" t="str">
        <f ca="1">VLOOKUP(H884,[2]character_type_i18n!$A:$F,3,FALSE)</f>
        <v>体力タイプ</v>
      </c>
      <c r="J884" s="97">
        <f ca="1">VLOOKUP(H884,[2]character_type_i18n!$A:$F,4,FALSE)</f>
        <v>1.45</v>
      </c>
      <c r="K884" s="97">
        <f ca="1">VLOOKUP(H884,[2]character_type_i18n!$A:$F,5,FALSE)</f>
        <v>0.85</v>
      </c>
      <c r="L884" s="97">
        <f ca="1">VLOOKUP(H884,[2]character_type_i18n!$A:$F,6,FALSE)</f>
        <v>1</v>
      </c>
      <c r="M884" s="9" t="str">
        <f ca="1">VLOOKUP(A884,[2]characters!$A:$M,13,FALSE)</f>
        <v>god</v>
      </c>
      <c r="N884" s="6" t="str">
        <f ca="1">VLOOKUP(M884,[2]character_tribe_i18n!$A:$F,3,FALSE)</f>
        <v>ゴッド</v>
      </c>
      <c r="O884" s="97">
        <f ca="1">VLOOKUP(M884,[2]character_tribe_i18n!$A:$F,4,FALSE)</f>
        <v>0.96</v>
      </c>
      <c r="P884" s="97">
        <f ca="1">VLOOKUP(M884,[2]character_tribe_i18n!$A:$F,5,FALSE)</f>
        <v>1.02</v>
      </c>
      <c r="Q884" s="97">
        <f ca="1">VLOOKUP(M884,[2]character_tribe_i18n!$A:$F,6,FALSE)</f>
        <v>1</v>
      </c>
      <c r="R884" s="98" t="s">
        <v>98</v>
      </c>
      <c r="S884" s="97">
        <f>VLOOKUP($R884,ラベル別係数!$A$1:$E$7,3,FALSE)</f>
        <v>5</v>
      </c>
      <c r="T884" s="97">
        <f>VLOOKUP($R884,ラベル別係数!$A$1:$E$7,4,FALSE)</f>
        <v>1.3</v>
      </c>
      <c r="U884" s="97">
        <f>VLOOKUP($R884,ラベル別係数!$A$1:$E$7,5,FALSE)</f>
        <v>0.8</v>
      </c>
      <c r="V884" s="98">
        <v>3</v>
      </c>
      <c r="W884" s="99">
        <f>VLOOKUP(V884,ターン数別攻撃係数!$A$1:$B$1000,2,FALSE)</f>
        <v>1</v>
      </c>
      <c r="X884" s="9">
        <f ca="1">VLOOKUP(C884,サイズ別係数!A$2:B$9,2,FALSE)</f>
        <v>60</v>
      </c>
      <c r="Y884" s="97">
        <f ca="1">VLOOKUP($X884,サイズ別係数!$B:$E,2,FALSE)</f>
        <v>1.7</v>
      </c>
      <c r="Z884" s="97">
        <f ca="1">VLOOKUP($X884,サイズ別係数!$B:$E,3,FALSE)</f>
        <v>1.4</v>
      </c>
      <c r="AA884" s="97">
        <f ca="1">VLOOKUP($X884,サイズ別係数!$B:$E,4,FALSE)</f>
        <v>1</v>
      </c>
      <c r="AB884" s="10">
        <v>0</v>
      </c>
      <c r="AC884" s="6" t="str">
        <f ca="1">VLOOKUP($AB884,OFFSET([3]enemy_skill_sets!$B$2,0,0,COUNTA([3]enemy_skill_sets!$A:$A),MATCH(AC$1,[3]enemy_skill_sets!$1:$1,0)-MATCH($AB$1,[3]enemy_skill_sets!$1:$1,0)+1),MATCH(AC$1,[3]enemy_skill_sets!$1:$1,0)-MATCH($AB$1,[3]enemy_skill_sets!$1:$1,0)+1,FALSE)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4" s="67">
        <v>1</v>
      </c>
      <c r="AE884" s="67">
        <v>1</v>
      </c>
      <c r="AF884" s="68">
        <v>0</v>
      </c>
      <c r="AG884" s="99">
        <f ca="1">ROUND(VLOOKUP(1,enemy_base_stats!$A:$F,2,FALSE) * Y884* J884*O884*E884*S884*AD884*[2]ステータス!$B$2,0)</f>
        <v>5916</v>
      </c>
      <c r="AH884" s="99">
        <f ca="1">ROUND(VLOOKUP(1,enemy_base_stats!$A:$F,3,FALSE) * Z884*K884*P884*F884*T884*AE884 * W884*[2]ステータス!$C$2,0)</f>
        <v>241</v>
      </c>
      <c r="AI884" s="99">
        <f ca="1">ROUND(VLOOKUP(1,enemy_base_stats!$A:$F,4,FALSE) * AA884*L884*Q884*G884*U884*AF884*[2]ステータス!$D$2,0)</f>
        <v>0</v>
      </c>
      <c r="AJ884" s="99">
        <f ca="1">ROUND(VLOOKUP(100,enemy_base_stats!$A:$F,2,FALSE) * Y884* J884*O884*E884*S884*AD884*[2]ステータス!$B$2,0)</f>
        <v>240190</v>
      </c>
      <c r="AK884" s="99">
        <f ca="1">ROUND(VLOOKUP(100,enemy_base_stats!$A:$F,3,FALSE)* Z884* K884*P884*F884*T884*AE884 * W884*[2]ステータス!$C$2,0)</f>
        <v>9802</v>
      </c>
      <c r="AL884" s="99">
        <f ca="1">ROUND(VLOOKUP(100,enemy_base_stats!$A:$F,4,FALSE)* AA884* L884*Q884*G884*U884*AF884*[2]ステータス!$D$2,0)</f>
        <v>0</v>
      </c>
      <c r="AM884" s="97">
        <f ca="1">VLOOKUP(M884,[2]character_tribe_i18n!$A:$I,9,FALSE)</f>
        <v>680</v>
      </c>
      <c r="AN884" s="97">
        <v>0</v>
      </c>
      <c r="AO884" s="98">
        <v>0</v>
      </c>
      <c r="AP884" s="58" t="s">
        <v>72</v>
      </c>
      <c r="AQ884" s="34">
        <f t="shared" ca="1" si="51"/>
        <v>883</v>
      </c>
    </row>
    <row r="885" spans="1:43" ht="21" customHeight="1" x14ac:dyDescent="0.15">
      <c r="A885" s="7">
        <f t="shared" ca="1" si="49"/>
        <v>884</v>
      </c>
      <c r="B885" s="6" t="str">
        <f ca="1">VLOOKUP(A885,[2]characters!$A:$C,3,FALSE)</f>
        <v>咲園の爛漫神 アフロディーテ</v>
      </c>
      <c r="C885" s="9">
        <f ca="1">VLOOKUP(A885,[2]characters!$A:$I,9,FALSE)</f>
        <v>6</v>
      </c>
      <c r="D885" s="9" t="str">
        <f ca="1">VLOOKUP(A885,[2]characters!$A:$H,8,FALSE)</f>
        <v>green</v>
      </c>
      <c r="E885" s="97">
        <f ca="1">VLOOKUP(D885,[2]属性!$A:$E,2,FALSE)</f>
        <v>1.02</v>
      </c>
      <c r="F885" s="97">
        <f ca="1">VLOOKUP(D885,[2]属性!$A:$E,3,FALSE)</f>
        <v>0.98</v>
      </c>
      <c r="G885" s="97">
        <f ca="1">VLOOKUP(D885,[2]属性!$A:$F,4,FALSE)</f>
        <v>1</v>
      </c>
      <c r="H885" s="9" t="str">
        <f ca="1">VLOOKUP(A885,[2]characters!$A:$K,11,FALSE)</f>
        <v>hp</v>
      </c>
      <c r="I885" s="6" t="str">
        <f ca="1">VLOOKUP(H885,[2]character_type_i18n!$A:$F,3,FALSE)</f>
        <v>体力タイプ</v>
      </c>
      <c r="J885" s="97">
        <f ca="1">VLOOKUP(H885,[2]character_type_i18n!$A:$F,4,FALSE)</f>
        <v>1.45</v>
      </c>
      <c r="K885" s="97">
        <f ca="1">VLOOKUP(H885,[2]character_type_i18n!$A:$F,5,FALSE)</f>
        <v>0.85</v>
      </c>
      <c r="L885" s="97">
        <f ca="1">VLOOKUP(H885,[2]character_type_i18n!$A:$F,6,FALSE)</f>
        <v>1</v>
      </c>
      <c r="M885" s="9" t="str">
        <f ca="1">VLOOKUP(A885,[2]characters!$A:$M,13,FALSE)</f>
        <v>god</v>
      </c>
      <c r="N885" s="6" t="str">
        <f ca="1">VLOOKUP(M885,[2]character_tribe_i18n!$A:$F,3,FALSE)</f>
        <v>ゴッド</v>
      </c>
      <c r="O885" s="97">
        <f ca="1">VLOOKUP(M885,[2]character_tribe_i18n!$A:$F,4,FALSE)</f>
        <v>0.96</v>
      </c>
      <c r="P885" s="97">
        <f ca="1">VLOOKUP(M885,[2]character_tribe_i18n!$A:$F,5,FALSE)</f>
        <v>1.02</v>
      </c>
      <c r="Q885" s="97">
        <f ca="1">VLOOKUP(M885,[2]character_tribe_i18n!$A:$F,6,FALSE)</f>
        <v>1</v>
      </c>
      <c r="R885" s="98" t="s">
        <v>98</v>
      </c>
      <c r="S885" s="97">
        <f>VLOOKUP($R885,ラベル別係数!$A$1:$E$7,3,FALSE)</f>
        <v>5</v>
      </c>
      <c r="T885" s="97">
        <f>VLOOKUP($R885,ラベル別係数!$A$1:$E$7,4,FALSE)</f>
        <v>1.3</v>
      </c>
      <c r="U885" s="97">
        <f>VLOOKUP($R885,ラベル別係数!$A$1:$E$7,5,FALSE)</f>
        <v>0.8</v>
      </c>
      <c r="V885" s="98">
        <v>3</v>
      </c>
      <c r="W885" s="99">
        <f>VLOOKUP(V885,ターン数別攻撃係数!$A$1:$B$1000,2,FALSE)</f>
        <v>1</v>
      </c>
      <c r="X885" s="9">
        <f ca="1">VLOOKUP(C885,サイズ別係数!A$2:B$9,2,FALSE)</f>
        <v>60</v>
      </c>
      <c r="Y885" s="97">
        <f ca="1">VLOOKUP($X885,サイズ別係数!$B:$E,2,FALSE)</f>
        <v>1.7</v>
      </c>
      <c r="Z885" s="97">
        <f ca="1">VLOOKUP($X885,サイズ別係数!$B:$E,3,FALSE)</f>
        <v>1.4</v>
      </c>
      <c r="AA885" s="97">
        <f ca="1">VLOOKUP($X885,サイズ別係数!$B:$E,4,FALSE)</f>
        <v>1</v>
      </c>
      <c r="AB885" s="10">
        <v>0</v>
      </c>
      <c r="AC885" s="6" t="str">
        <f ca="1">VLOOKUP($AB885,OFFSET([3]enemy_skill_sets!$B$2,0,0,COUNTA([3]enemy_skill_sets!$A:$A),MATCH(AC$1,[3]enemy_skill_sets!$1:$1,0)-MATCH($AB$1,[3]enemy_skill_sets!$1:$1,0)+1),MATCH(AC$1,[3]enemy_skill_sets!$1:$1,0)-MATCH($AB$1,[3]enemy_skill_sets!$1:$1,0)+1,FALSE)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5" s="67">
        <v>1</v>
      </c>
      <c r="AE885" s="67">
        <v>1</v>
      </c>
      <c r="AF885" s="68">
        <v>0</v>
      </c>
      <c r="AG885" s="99">
        <f ca="1">ROUND(VLOOKUP(1,enemy_base_stats!$A:$F,2,FALSE) * Y885* J885*O885*E885*S885*AD885*[2]ステータス!$B$2,0)</f>
        <v>6034</v>
      </c>
      <c r="AH885" s="99">
        <f ca="1">ROUND(VLOOKUP(1,enemy_base_stats!$A:$F,3,FALSE) * Z885*K885*P885*F885*T885*AE885 * W885*[2]ステータス!$C$2,0)</f>
        <v>232</v>
      </c>
      <c r="AI885" s="99">
        <f ca="1">ROUND(VLOOKUP(1,enemy_base_stats!$A:$F,4,FALSE) * AA885*L885*Q885*G885*U885*AF885*[2]ステータス!$D$2,0)</f>
        <v>0</v>
      </c>
      <c r="AJ885" s="99">
        <f ca="1">ROUND(VLOOKUP(100,enemy_base_stats!$A:$F,2,FALSE) * Y885* J885*O885*E885*S885*AD885*[2]ステータス!$B$2,0)</f>
        <v>244993</v>
      </c>
      <c r="AK885" s="99">
        <f ca="1">ROUND(VLOOKUP(100,enemy_base_stats!$A:$F,3,FALSE)* Z885* K885*P885*F885*T885*AE885 * W885*[2]ステータス!$C$2,0)</f>
        <v>9417</v>
      </c>
      <c r="AL885" s="99">
        <f ca="1">ROUND(VLOOKUP(100,enemy_base_stats!$A:$F,4,FALSE)* AA885* L885*Q885*G885*U885*AF885*[2]ステータス!$D$2,0)</f>
        <v>0</v>
      </c>
      <c r="AM885" s="97">
        <f ca="1">VLOOKUP(M885,[2]character_tribe_i18n!$A:$I,9,FALSE)</f>
        <v>680</v>
      </c>
      <c r="AN885" s="97">
        <v>0</v>
      </c>
      <c r="AO885" s="98">
        <v>0</v>
      </c>
      <c r="AP885" s="58" t="s">
        <v>72</v>
      </c>
      <c r="AQ885" s="34">
        <f t="shared" ca="1" si="51"/>
        <v>884</v>
      </c>
    </row>
    <row r="886" spans="1:43" ht="21" customHeight="1" x14ac:dyDescent="0.15">
      <c r="A886" s="7">
        <f t="shared" ca="1" si="49"/>
        <v>885</v>
      </c>
      <c r="B886" s="6" t="str">
        <f ca="1">VLOOKUP(A886,[2]characters!$A:$C,3,FALSE)</f>
        <v>御群の絶海女神 テティス</v>
      </c>
      <c r="C886" s="9">
        <f ca="1">VLOOKUP(A886,[2]characters!$A:$I,9,FALSE)</f>
        <v>6</v>
      </c>
      <c r="D886" s="9" t="str">
        <f ca="1">VLOOKUP(A886,[2]characters!$A:$H,8,FALSE)</f>
        <v>blue</v>
      </c>
      <c r="E886" s="97">
        <f ca="1">VLOOKUP(D886,[2]属性!$A:$E,2,FALSE)</f>
        <v>1</v>
      </c>
      <c r="F886" s="97">
        <f ca="1">VLOOKUP(D886,[2]属性!$A:$E,3,FALSE)</f>
        <v>0.98</v>
      </c>
      <c r="G886" s="97">
        <f ca="1">VLOOKUP(D886,[2]属性!$A:$F,4,FALSE)</f>
        <v>1</v>
      </c>
      <c r="H886" s="9" t="str">
        <f ca="1">VLOOKUP(A886,[2]characters!$A:$K,11,FALSE)</f>
        <v>hp</v>
      </c>
      <c r="I886" s="6" t="str">
        <f ca="1">VLOOKUP(H886,[2]character_type_i18n!$A:$F,3,FALSE)</f>
        <v>体力タイプ</v>
      </c>
      <c r="J886" s="97">
        <f ca="1">VLOOKUP(H886,[2]character_type_i18n!$A:$F,4,FALSE)</f>
        <v>1.45</v>
      </c>
      <c r="K886" s="97">
        <f ca="1">VLOOKUP(H886,[2]character_type_i18n!$A:$F,5,FALSE)</f>
        <v>0.85</v>
      </c>
      <c r="L886" s="97">
        <f ca="1">VLOOKUP(H886,[2]character_type_i18n!$A:$F,6,FALSE)</f>
        <v>1</v>
      </c>
      <c r="M886" s="9" t="str">
        <f ca="1">VLOOKUP(A886,[2]characters!$A:$M,13,FALSE)</f>
        <v>god</v>
      </c>
      <c r="N886" s="6" t="str">
        <f ca="1">VLOOKUP(M886,[2]character_tribe_i18n!$A:$F,3,FALSE)</f>
        <v>ゴッド</v>
      </c>
      <c r="O886" s="97">
        <f ca="1">VLOOKUP(M886,[2]character_tribe_i18n!$A:$F,4,FALSE)</f>
        <v>0.96</v>
      </c>
      <c r="P886" s="97">
        <f ca="1">VLOOKUP(M886,[2]character_tribe_i18n!$A:$F,5,FALSE)</f>
        <v>1.02</v>
      </c>
      <c r="Q886" s="97">
        <f ca="1">VLOOKUP(M886,[2]character_tribe_i18n!$A:$F,6,FALSE)</f>
        <v>1</v>
      </c>
      <c r="R886" s="98" t="s">
        <v>98</v>
      </c>
      <c r="S886" s="97">
        <f>VLOOKUP($R886,ラベル別係数!$A$1:$E$7,3,FALSE)</f>
        <v>5</v>
      </c>
      <c r="T886" s="97">
        <f>VLOOKUP($R886,ラベル別係数!$A$1:$E$7,4,FALSE)</f>
        <v>1.3</v>
      </c>
      <c r="U886" s="97">
        <f>VLOOKUP($R886,ラベル別係数!$A$1:$E$7,5,FALSE)</f>
        <v>0.8</v>
      </c>
      <c r="V886" s="98">
        <v>3</v>
      </c>
      <c r="W886" s="99">
        <f>VLOOKUP(V886,ターン数別攻撃係数!$A$1:$B$1000,2,FALSE)</f>
        <v>1</v>
      </c>
      <c r="X886" s="9">
        <f ca="1">VLOOKUP(C886,サイズ別係数!A$2:B$9,2,FALSE)</f>
        <v>60</v>
      </c>
      <c r="Y886" s="97">
        <f ca="1">VLOOKUP($X886,サイズ別係数!$B:$E,2,FALSE)</f>
        <v>1.7</v>
      </c>
      <c r="Z886" s="97">
        <f ca="1">VLOOKUP($X886,サイズ別係数!$B:$E,3,FALSE)</f>
        <v>1.4</v>
      </c>
      <c r="AA886" s="97">
        <f ca="1">VLOOKUP($X886,サイズ別係数!$B:$E,4,FALSE)</f>
        <v>1</v>
      </c>
      <c r="AB886" s="10">
        <v>0</v>
      </c>
      <c r="AC886" s="6" t="str">
        <f ca="1">VLOOKUP($AB886,OFFSET([3]enemy_skill_sets!$B$2,0,0,COUNTA([3]enemy_skill_sets!$A:$A),MATCH(AC$1,[3]enemy_skill_sets!$1:$1,0)-MATCH($AB$1,[3]enemy_skill_sets!$1:$1,0)+1),MATCH(AC$1,[3]enemy_skill_sets!$1:$1,0)-MATCH($AB$1,[3]enemy_skill_sets!$1:$1,0)+1,FALSE)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6" s="67">
        <v>1</v>
      </c>
      <c r="AE886" s="67">
        <v>1</v>
      </c>
      <c r="AF886" s="68">
        <v>0</v>
      </c>
      <c r="AG886" s="99">
        <f ca="1">ROUND(VLOOKUP(1,enemy_base_stats!$A:$F,2,FALSE) * Y886* J886*O886*E886*S886*AD886*[2]ステータス!$B$2,0)</f>
        <v>5916</v>
      </c>
      <c r="AH886" s="99">
        <f ca="1">ROUND(VLOOKUP(1,enemy_base_stats!$A:$F,3,FALSE) * Z886*K886*P886*F886*T886*AE886 * W886*[2]ステータス!$C$2,0)</f>
        <v>232</v>
      </c>
      <c r="AI886" s="99">
        <f ca="1">ROUND(VLOOKUP(1,enemy_base_stats!$A:$F,4,FALSE) * AA886*L886*Q886*G886*U886*AF886*[2]ステータス!$D$2,0)</f>
        <v>0</v>
      </c>
      <c r="AJ886" s="99">
        <f ca="1">ROUND(VLOOKUP(100,enemy_base_stats!$A:$F,2,FALSE) * Y886* J886*O886*E886*S886*AD886*[2]ステータス!$B$2,0)</f>
        <v>240190</v>
      </c>
      <c r="AK886" s="99">
        <f ca="1">ROUND(VLOOKUP(100,enemy_base_stats!$A:$F,3,FALSE)* Z886* K886*P886*F886*T886*AE886 * W886*[2]ステータス!$C$2,0)</f>
        <v>9417</v>
      </c>
      <c r="AL886" s="99">
        <f ca="1">ROUND(VLOOKUP(100,enemy_base_stats!$A:$F,4,FALSE)* AA886* L886*Q886*G886*U886*AF886*[2]ステータス!$D$2,0)</f>
        <v>0</v>
      </c>
      <c r="AM886" s="97">
        <f ca="1">VLOOKUP(M886,[2]character_tribe_i18n!$A:$I,9,FALSE)</f>
        <v>680</v>
      </c>
      <c r="AN886" s="97">
        <v>0</v>
      </c>
      <c r="AO886" s="98">
        <v>0</v>
      </c>
      <c r="AP886" s="58" t="s">
        <v>72</v>
      </c>
      <c r="AQ886" s="34">
        <f t="shared" ca="1" si="51"/>
        <v>885</v>
      </c>
    </row>
    <row r="887" spans="1:43" ht="21" customHeight="1" x14ac:dyDescent="0.15">
      <c r="A887" s="7">
        <f t="shared" ca="1" si="49"/>
        <v>886</v>
      </c>
      <c r="B887" s="6" t="str">
        <f ca="1">VLOOKUP(A887,[2]characters!$A:$C,3,FALSE)</f>
        <v>星義司る天聖神 アストライアー</v>
      </c>
      <c r="C887" s="9">
        <f ca="1">VLOOKUP(A887,[2]characters!$A:$I,9,FALSE)</f>
        <v>6</v>
      </c>
      <c r="D887" s="9" t="str">
        <f ca="1">VLOOKUP(A887,[2]characters!$A:$H,8,FALSE)</f>
        <v>yellow</v>
      </c>
      <c r="E887" s="97">
        <f ca="1">VLOOKUP(D887,[2]属性!$A:$E,2,FALSE)</f>
        <v>0.98</v>
      </c>
      <c r="F887" s="97">
        <f ca="1">VLOOKUP(D887,[2]属性!$A:$E,3,FALSE)</f>
        <v>1.01</v>
      </c>
      <c r="G887" s="97">
        <f ca="1">VLOOKUP(D887,[2]属性!$A:$F,4,FALSE)</f>
        <v>1</v>
      </c>
      <c r="H887" s="9" t="str">
        <f ca="1">VLOOKUP(A887,[2]characters!$A:$K,11,FALSE)</f>
        <v>balance</v>
      </c>
      <c r="I887" s="6" t="str">
        <f ca="1">VLOOKUP(H887,[2]character_type_i18n!$A:$F,3,FALSE)</f>
        <v>バランスタイプ</v>
      </c>
      <c r="J887" s="97">
        <f ca="1">VLOOKUP(H887,[2]character_type_i18n!$A:$F,4,FALSE)</f>
        <v>1</v>
      </c>
      <c r="K887" s="97">
        <f ca="1">VLOOKUP(H887,[2]character_type_i18n!$A:$F,5,FALSE)</f>
        <v>1</v>
      </c>
      <c r="L887" s="97">
        <f ca="1">VLOOKUP(H887,[2]character_type_i18n!$A:$F,6,FALSE)</f>
        <v>1</v>
      </c>
      <c r="M887" s="9" t="str">
        <f ca="1">VLOOKUP(A887,[2]characters!$A:$M,13,FALSE)</f>
        <v>god</v>
      </c>
      <c r="N887" s="6" t="str">
        <f ca="1">VLOOKUP(M887,[2]character_tribe_i18n!$A:$F,3,FALSE)</f>
        <v>ゴッド</v>
      </c>
      <c r="O887" s="97">
        <f ca="1">VLOOKUP(M887,[2]character_tribe_i18n!$A:$F,4,FALSE)</f>
        <v>0.96</v>
      </c>
      <c r="P887" s="97">
        <f ca="1">VLOOKUP(M887,[2]character_tribe_i18n!$A:$F,5,FALSE)</f>
        <v>1.02</v>
      </c>
      <c r="Q887" s="97">
        <f ca="1">VLOOKUP(M887,[2]character_tribe_i18n!$A:$F,6,FALSE)</f>
        <v>1</v>
      </c>
      <c r="R887" s="98" t="s">
        <v>98</v>
      </c>
      <c r="S887" s="97">
        <f>VLOOKUP($R887,ラベル別係数!$A$1:$E$7,3,FALSE)</f>
        <v>5</v>
      </c>
      <c r="T887" s="97">
        <f>VLOOKUP($R887,ラベル別係数!$A$1:$E$7,4,FALSE)</f>
        <v>1.3</v>
      </c>
      <c r="U887" s="97">
        <f>VLOOKUP($R887,ラベル別係数!$A$1:$E$7,5,FALSE)</f>
        <v>0.8</v>
      </c>
      <c r="V887" s="98">
        <v>3</v>
      </c>
      <c r="W887" s="99">
        <f>VLOOKUP(V887,ターン数別攻撃係数!$A$1:$B$1000,2,FALSE)</f>
        <v>1</v>
      </c>
      <c r="X887" s="9">
        <f ca="1">VLOOKUP(C887,サイズ別係数!A$2:B$9,2,FALSE)</f>
        <v>60</v>
      </c>
      <c r="Y887" s="97">
        <f ca="1">VLOOKUP($X887,サイズ別係数!$B:$E,2,FALSE)</f>
        <v>1.7</v>
      </c>
      <c r="Z887" s="97">
        <f ca="1">VLOOKUP($X887,サイズ別係数!$B:$E,3,FALSE)</f>
        <v>1.4</v>
      </c>
      <c r="AA887" s="97">
        <f ca="1">VLOOKUP($X887,サイズ別係数!$B:$E,4,FALSE)</f>
        <v>1</v>
      </c>
      <c r="AB887" s="10">
        <v>0</v>
      </c>
      <c r="AC887" s="6" t="str">
        <f ca="1">VLOOKUP($AB887,OFFSET([3]enemy_skill_sets!$B$2,0,0,COUNTA([3]enemy_skill_sets!$A:$A),MATCH(AC$1,[3]enemy_skill_sets!$1:$1,0)-MATCH($AB$1,[3]enemy_skill_sets!$1:$1,0)+1),MATCH(AC$1,[3]enemy_skill_sets!$1:$1,0)-MATCH($AB$1,[3]enemy_skill_sets!$1:$1,0)+1,FALSE)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7" s="67">
        <v>1</v>
      </c>
      <c r="AE887" s="67">
        <v>1</v>
      </c>
      <c r="AF887" s="68">
        <v>0</v>
      </c>
      <c r="AG887" s="99">
        <f ca="1">ROUND(VLOOKUP(1,enemy_base_stats!$A:$F,2,FALSE) * Y887* J887*O887*E887*S887*AD887*[2]ステータス!$B$2,0)</f>
        <v>3998</v>
      </c>
      <c r="AH887" s="99">
        <f ca="1">ROUND(VLOOKUP(1,enemy_base_stats!$A:$F,3,FALSE) * Z887*K887*P887*F887*T887*AE887 * W887*[2]ステータス!$C$2,0)</f>
        <v>281</v>
      </c>
      <c r="AI887" s="99">
        <f ca="1">ROUND(VLOOKUP(1,enemy_base_stats!$A:$F,4,FALSE) * AA887*L887*Q887*G887*U887*AF887*[2]ステータス!$D$2,0)</f>
        <v>0</v>
      </c>
      <c r="AJ887" s="99">
        <f ca="1">ROUND(VLOOKUP(100,enemy_base_stats!$A:$F,2,FALSE) * Y887* J887*O887*E887*S887*AD887*[2]ステータス!$B$2,0)</f>
        <v>162335</v>
      </c>
      <c r="AK887" s="99">
        <f ca="1">ROUND(VLOOKUP(100,enemy_base_stats!$A:$F,3,FALSE)* Z887* K887*P887*F887*T887*AE887 * W887*[2]ステータス!$C$2,0)</f>
        <v>11419</v>
      </c>
      <c r="AL887" s="99">
        <f ca="1">ROUND(VLOOKUP(100,enemy_base_stats!$A:$F,4,FALSE)* AA887* L887*Q887*G887*U887*AF887*[2]ステータス!$D$2,0)</f>
        <v>0</v>
      </c>
      <c r="AM887" s="97">
        <f ca="1">VLOOKUP(M887,[2]character_tribe_i18n!$A:$I,9,FALSE)</f>
        <v>680</v>
      </c>
      <c r="AN887" s="97">
        <v>0</v>
      </c>
      <c r="AO887" s="98">
        <v>0</v>
      </c>
      <c r="AP887" s="58" t="s">
        <v>72</v>
      </c>
      <c r="AQ887" s="34">
        <f t="shared" ca="1" si="51"/>
        <v>886</v>
      </c>
    </row>
    <row r="888" spans="1:43" ht="21" customHeight="1" x14ac:dyDescent="0.15">
      <c r="A888" s="7">
        <f t="shared" ca="1" si="49"/>
        <v>887</v>
      </c>
      <c r="B888" s="6" t="str">
        <f ca="1">VLOOKUP(A888,[2]characters!$A:$C,3,FALSE)</f>
        <v>エリス</v>
      </c>
      <c r="C888" s="9">
        <f ca="1">VLOOKUP(A888,[2]characters!$A:$I,9,FALSE)</f>
        <v>5</v>
      </c>
      <c r="D888" s="9" t="str">
        <f ca="1">VLOOKUP(A888,[2]characters!$A:$H,8,FALSE)</f>
        <v>red</v>
      </c>
      <c r="E888" s="97">
        <f ca="1">VLOOKUP(D888,[2]属性!$A:$E,2,FALSE)</f>
        <v>1</v>
      </c>
      <c r="F888" s="97">
        <f ca="1">VLOOKUP(D888,[2]属性!$A:$E,3,FALSE)</f>
        <v>1.02</v>
      </c>
      <c r="G888" s="97">
        <f ca="1">VLOOKUP(D888,[2]属性!$A:$F,4,FALSE)</f>
        <v>1</v>
      </c>
      <c r="H888" s="9" t="str">
        <f ca="1">VLOOKUP(A888,[2]characters!$A:$K,11,FALSE)</f>
        <v>attack</v>
      </c>
      <c r="I888" s="6" t="str">
        <f ca="1">VLOOKUP(H888,[2]character_type_i18n!$A:$F,3,FALSE)</f>
        <v>攻撃タイプ</v>
      </c>
      <c r="J888" s="97">
        <f ca="1">VLOOKUP(H888,[2]character_type_i18n!$A:$F,4,FALSE)</f>
        <v>1</v>
      </c>
      <c r="K888" s="97">
        <f ca="1">VLOOKUP(H888,[2]character_type_i18n!$A:$F,5,FALSE)</f>
        <v>1.33</v>
      </c>
      <c r="L888" s="97">
        <f ca="1">VLOOKUP(H888,[2]character_type_i18n!$A:$F,6,FALSE)</f>
        <v>1</v>
      </c>
      <c r="M888" s="105" t="s">
        <v>156</v>
      </c>
      <c r="N888" s="6" t="str">
        <f>VLOOKUP(M888,[2]character_tribe_i18n!$A:$F,3,FALSE)</f>
        <v>ヒューマン</v>
      </c>
      <c r="O888" s="97">
        <f>VLOOKUP(M888,[2]character_tribe_i18n!$A:$F,4,FALSE)</f>
        <v>0.94</v>
      </c>
      <c r="P888" s="97">
        <f>VLOOKUP(M888,[2]character_tribe_i18n!$A:$F,5,FALSE)</f>
        <v>0.99</v>
      </c>
      <c r="Q888" s="97">
        <f>VLOOKUP(M888,[2]character_tribe_i18n!$A:$F,6,FALSE)</f>
        <v>1</v>
      </c>
      <c r="R888" s="98" t="s">
        <v>98</v>
      </c>
      <c r="S888" s="97">
        <f>VLOOKUP($R888,ラベル別係数!$A$1:$E$7,3,FALSE)</f>
        <v>5</v>
      </c>
      <c r="T888" s="97">
        <f>VLOOKUP($R888,ラベル別係数!$A$1:$E$7,4,FALSE)</f>
        <v>1.3</v>
      </c>
      <c r="U888" s="97">
        <f>VLOOKUP($R888,ラベル別係数!$A$1:$E$7,5,FALSE)</f>
        <v>0.8</v>
      </c>
      <c r="V888" s="98">
        <v>3</v>
      </c>
      <c r="W888" s="99">
        <f>VLOOKUP(V888,ターン数別攻撃係数!$A$1:$B$1000,2,FALSE)</f>
        <v>1</v>
      </c>
      <c r="X888" s="9">
        <f ca="1">VLOOKUP(C888,サイズ別係数!A$2:B$9,2,FALSE)</f>
        <v>60</v>
      </c>
      <c r="Y888" s="97">
        <f ca="1">VLOOKUP($X888,サイズ別係数!$B:$E,2,FALSE)</f>
        <v>1.7</v>
      </c>
      <c r="Z888" s="97">
        <f ca="1">VLOOKUP($X888,サイズ別係数!$B:$E,3,FALSE)</f>
        <v>1.4</v>
      </c>
      <c r="AA888" s="97">
        <f ca="1">VLOOKUP($X888,サイズ別係数!$B:$E,4,FALSE)</f>
        <v>1</v>
      </c>
      <c r="AB888" s="10">
        <v>0</v>
      </c>
      <c r="AC888" s="6" t="str">
        <f ca="1">VLOOKUP($AB888,OFFSET([3]enemy_skill_sets!$B$2,0,0,COUNTA([3]enemy_skill_sets!$A:$A),MATCH(AC$1,[3]enemy_skill_sets!$1:$1,0)-MATCH($AB$1,[3]enemy_skill_sets!$1:$1,0)+1),MATCH(AC$1,[3]enemy_skill_sets!$1:$1,0)-MATCH($AB$1,[3]enemy_skill_sets!$1:$1,0)+1,FALSE)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8" s="67">
        <v>1</v>
      </c>
      <c r="AE888" s="67">
        <v>1</v>
      </c>
      <c r="AF888" s="68">
        <v>0</v>
      </c>
      <c r="AG888" s="99">
        <f ca="1">ROUND(VLOOKUP(1,enemy_base_stats!$A:$F,2,FALSE) * Y888* J888*O888*E888*S888*AD888*[2]ステータス!$B$2,0)</f>
        <v>3995</v>
      </c>
      <c r="AH888" s="99">
        <f ca="1">ROUND(VLOOKUP(1,enemy_base_stats!$A:$F,3,FALSE) * Z888*K888*P888*F888*T888*AE888 * W888*[2]ステータス!$C$2,0)</f>
        <v>367</v>
      </c>
      <c r="AI888" s="99">
        <f ca="1">ROUND(VLOOKUP(1,enemy_base_stats!$A:$F,4,FALSE) * AA888*L888*Q888*G888*U888*AF888*[2]ステータス!$D$2,0)</f>
        <v>0</v>
      </c>
      <c r="AJ888" s="99">
        <f ca="1">ROUND(VLOOKUP(100,enemy_base_stats!$A:$F,2,FALSE) * Y888* J888*O888*E888*S888*AD888*[2]ステータス!$B$2,0)</f>
        <v>162197</v>
      </c>
      <c r="AK888" s="99">
        <f ca="1">ROUND(VLOOKUP(100,enemy_base_stats!$A:$F,3,FALSE)* Z888* K888*P888*F888*T888*AE888 * W888*[2]ステータス!$C$2,0)</f>
        <v>14886</v>
      </c>
      <c r="AL888" s="99">
        <f ca="1">ROUND(VLOOKUP(100,enemy_base_stats!$A:$F,4,FALSE)* AA888* L888*Q888*G888*U888*AF888*[2]ステータス!$D$2,0)</f>
        <v>0</v>
      </c>
      <c r="AM888" s="97">
        <f>VLOOKUP(M888,[2]character_tribe_i18n!$A:$I,9,FALSE)</f>
        <v>400</v>
      </c>
      <c r="AN888" s="97">
        <v>0</v>
      </c>
      <c r="AO888" s="98">
        <v>0</v>
      </c>
      <c r="AP888" s="58" t="s">
        <v>72</v>
      </c>
      <c r="AQ888" s="34">
        <f t="shared" ca="1" si="51"/>
        <v>887</v>
      </c>
    </row>
    <row r="889" spans="1:43" ht="21" customHeight="1" x14ac:dyDescent="0.15">
      <c r="A889" s="7">
        <f t="shared" ca="1" si="49"/>
        <v>888</v>
      </c>
      <c r="B889" s="6" t="str">
        <f ca="1">VLOOKUP(A889,[2]characters!$A:$C,3,FALSE)</f>
        <v>禍根の暴送者 エリス</v>
      </c>
      <c r="C889" s="9">
        <f ca="1">VLOOKUP(A889,[2]characters!$A:$I,9,FALSE)</f>
        <v>6</v>
      </c>
      <c r="D889" s="9" t="str">
        <f ca="1">VLOOKUP(A889,[2]characters!$A:$H,8,FALSE)</f>
        <v>red</v>
      </c>
      <c r="E889" s="97">
        <f ca="1">VLOOKUP(D889,[2]属性!$A:$E,2,FALSE)</f>
        <v>1</v>
      </c>
      <c r="F889" s="97">
        <f ca="1">VLOOKUP(D889,[2]属性!$A:$E,3,FALSE)</f>
        <v>1.02</v>
      </c>
      <c r="G889" s="97">
        <f ca="1">VLOOKUP(D889,[2]属性!$A:$F,4,FALSE)</f>
        <v>1</v>
      </c>
      <c r="H889" s="9" t="str">
        <f ca="1">VLOOKUP(A889,[2]characters!$A:$K,11,FALSE)</f>
        <v>attack</v>
      </c>
      <c r="I889" s="6" t="str">
        <f ca="1">VLOOKUP(H889,[2]character_type_i18n!$A:$F,3,FALSE)</f>
        <v>攻撃タイプ</v>
      </c>
      <c r="J889" s="97">
        <f ca="1">VLOOKUP(H889,[2]character_type_i18n!$A:$F,4,FALSE)</f>
        <v>1</v>
      </c>
      <c r="K889" s="97">
        <f ca="1">VLOOKUP(H889,[2]character_type_i18n!$A:$F,5,FALSE)</f>
        <v>1.33</v>
      </c>
      <c r="L889" s="97">
        <f ca="1">VLOOKUP(H889,[2]character_type_i18n!$A:$F,6,FALSE)</f>
        <v>1</v>
      </c>
      <c r="M889" s="105" t="s">
        <v>156</v>
      </c>
      <c r="N889" s="6" t="str">
        <f>VLOOKUP(M889,[2]character_tribe_i18n!$A:$F,3,FALSE)</f>
        <v>ヒューマン</v>
      </c>
      <c r="O889" s="97">
        <f>VLOOKUP(M889,[2]character_tribe_i18n!$A:$F,4,FALSE)</f>
        <v>0.94</v>
      </c>
      <c r="P889" s="97">
        <f>VLOOKUP(M889,[2]character_tribe_i18n!$A:$F,5,FALSE)</f>
        <v>0.99</v>
      </c>
      <c r="Q889" s="97">
        <f>VLOOKUP(M889,[2]character_tribe_i18n!$A:$F,6,FALSE)</f>
        <v>1</v>
      </c>
      <c r="R889" s="98" t="s">
        <v>98</v>
      </c>
      <c r="S889" s="97">
        <f>VLOOKUP($R889,ラベル別係数!$A$1:$E$7,3,FALSE)</f>
        <v>5</v>
      </c>
      <c r="T889" s="97">
        <f>VLOOKUP($R889,ラベル別係数!$A$1:$E$7,4,FALSE)</f>
        <v>1.3</v>
      </c>
      <c r="U889" s="97">
        <f>VLOOKUP($R889,ラベル別係数!$A$1:$E$7,5,FALSE)</f>
        <v>0.8</v>
      </c>
      <c r="V889" s="98">
        <v>3</v>
      </c>
      <c r="W889" s="99">
        <f>VLOOKUP(V889,ターン数別攻撃係数!$A$1:$B$1000,2,FALSE)</f>
        <v>1</v>
      </c>
      <c r="X889" s="9">
        <f ca="1">VLOOKUP(C889,サイズ別係数!A$2:B$9,2,FALSE)</f>
        <v>60</v>
      </c>
      <c r="Y889" s="97">
        <f ca="1">VLOOKUP($X889,サイズ別係数!$B:$E,2,FALSE)</f>
        <v>1.7</v>
      </c>
      <c r="Z889" s="97">
        <f ca="1">VLOOKUP($X889,サイズ別係数!$B:$E,3,FALSE)</f>
        <v>1.4</v>
      </c>
      <c r="AA889" s="97">
        <f ca="1">VLOOKUP($X889,サイズ別係数!$B:$E,4,FALSE)</f>
        <v>1</v>
      </c>
      <c r="AB889" s="10">
        <v>0</v>
      </c>
      <c r="AC889" s="6" t="str">
        <f ca="1">VLOOKUP($AB889,OFFSET([3]enemy_skill_sets!$B$2,0,0,COUNTA([3]enemy_skill_sets!$A:$A),MATCH(AC$1,[3]enemy_skill_sets!$1:$1,0)-MATCH($AB$1,[3]enemy_skill_sets!$1:$1,0)+1),MATCH(AC$1,[3]enemy_skill_sets!$1:$1,0)-MATCH($AB$1,[3]enemy_skill_sets!$1:$1,0)+1,FALSE)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89" s="67">
        <v>1</v>
      </c>
      <c r="AE889" s="67">
        <v>1</v>
      </c>
      <c r="AF889" s="68">
        <v>0</v>
      </c>
      <c r="AG889" s="99">
        <f ca="1">ROUND(VLOOKUP(1,enemy_base_stats!$A:$F,2,FALSE) * Y889* J889*O889*E889*S889*AD889*[2]ステータス!$B$2,0)</f>
        <v>3995</v>
      </c>
      <c r="AH889" s="99">
        <f ca="1">ROUND(VLOOKUP(1,enemy_base_stats!$A:$F,3,FALSE) * Z889*K889*P889*F889*T889*AE889 * W889*[2]ステータス!$C$2,0)</f>
        <v>367</v>
      </c>
      <c r="AI889" s="99">
        <f ca="1">ROUND(VLOOKUP(1,enemy_base_stats!$A:$F,4,FALSE) * AA889*L889*Q889*G889*U889*AF889*[2]ステータス!$D$2,0)</f>
        <v>0</v>
      </c>
      <c r="AJ889" s="99">
        <f ca="1">ROUND(VLOOKUP(100,enemy_base_stats!$A:$F,2,FALSE) * Y889* J889*O889*E889*S889*AD889*[2]ステータス!$B$2,0)</f>
        <v>162197</v>
      </c>
      <c r="AK889" s="99">
        <f ca="1">ROUND(VLOOKUP(100,enemy_base_stats!$A:$F,3,FALSE)* Z889* K889*P889*F889*T889*AE889 * W889*[2]ステータス!$C$2,0)</f>
        <v>14886</v>
      </c>
      <c r="AL889" s="99">
        <f ca="1">ROUND(VLOOKUP(100,enemy_base_stats!$A:$F,4,FALSE)* AA889* L889*Q889*G889*U889*AF889*[2]ステータス!$D$2,0)</f>
        <v>0</v>
      </c>
      <c r="AM889" s="97">
        <f>VLOOKUP(M889,[2]character_tribe_i18n!$A:$I,9,FALSE)</f>
        <v>400</v>
      </c>
      <c r="AN889" s="97">
        <v>0</v>
      </c>
      <c r="AO889" s="98">
        <v>0</v>
      </c>
      <c r="AP889" s="58" t="s">
        <v>72</v>
      </c>
      <c r="AQ889" s="34">
        <f t="shared" ca="1" si="51"/>
        <v>888</v>
      </c>
    </row>
    <row r="890" spans="1:43" ht="21" customHeight="1" x14ac:dyDescent="0.15">
      <c r="A890" s="7">
        <f t="shared" ca="1" si="49"/>
        <v>889</v>
      </c>
      <c r="B890" s="6" t="str">
        <f ca="1">VLOOKUP(A890,[2]characters!$A:$C,3,FALSE)</f>
        <v>未定</v>
      </c>
      <c r="C890" s="9">
        <f ca="1">VLOOKUP(A890,[2]characters!$A:$I,9,FALSE)</f>
        <v>5</v>
      </c>
      <c r="D890" s="9" t="str">
        <f ca="1">VLOOKUP(A890,[2]characters!$A:$H,8,FALSE)</f>
        <v>green</v>
      </c>
      <c r="E890" s="97">
        <f ca="1">VLOOKUP(D890,[2]属性!$A:$E,2,FALSE)</f>
        <v>1.02</v>
      </c>
      <c r="F890" s="97">
        <f ca="1">VLOOKUP(D890,[2]属性!$A:$E,3,FALSE)</f>
        <v>0.98</v>
      </c>
      <c r="G890" s="97">
        <f ca="1">VLOOKUP(D890,[2]属性!$A:$F,4,FALSE)</f>
        <v>1</v>
      </c>
      <c r="H890" s="9" t="str">
        <f ca="1">VLOOKUP(A890,[2]characters!$A:$K,11,FALSE)</f>
        <v>balance</v>
      </c>
      <c r="I890" s="6" t="str">
        <f ca="1">VLOOKUP(H890,[2]character_type_i18n!$A:$F,3,FALSE)</f>
        <v>バランスタイプ</v>
      </c>
      <c r="J890" s="97">
        <f ca="1">VLOOKUP(H890,[2]character_type_i18n!$A:$F,4,FALSE)</f>
        <v>1</v>
      </c>
      <c r="K890" s="97">
        <f ca="1">VLOOKUP(H890,[2]character_type_i18n!$A:$F,5,FALSE)</f>
        <v>1</v>
      </c>
      <c r="L890" s="97">
        <f ca="1">VLOOKUP(H890,[2]character_type_i18n!$A:$F,6,FALSE)</f>
        <v>1</v>
      </c>
      <c r="M890" s="9" t="str">
        <f ca="1">VLOOKUP(A890,[2]characters!$A:$M,13,FALSE)</f>
        <v>academia</v>
      </c>
      <c r="N890" s="6" t="str">
        <f ca="1">VLOOKUP(M890,[2]character_tribe_i18n!$A:$F,3,FALSE)</f>
        <v>アカデミア</v>
      </c>
      <c r="O890" s="97">
        <f ca="1">VLOOKUP(M890,[2]character_tribe_i18n!$A:$F,4,FALSE)</f>
        <v>1</v>
      </c>
      <c r="P890" s="97">
        <f ca="1">VLOOKUP(M890,[2]character_tribe_i18n!$A:$F,5,FALSE)</f>
        <v>1</v>
      </c>
      <c r="Q890" s="97">
        <f ca="1">VLOOKUP(M890,[2]character_tribe_i18n!$A:$F,6,FALSE)</f>
        <v>1</v>
      </c>
      <c r="R890" s="98" t="s">
        <v>98</v>
      </c>
      <c r="S890" s="97">
        <f>VLOOKUP($R890,ラベル別係数!$A$1:$E$7,3,FALSE)</f>
        <v>5</v>
      </c>
      <c r="T890" s="97">
        <f>VLOOKUP($R890,ラベル別係数!$A$1:$E$7,4,FALSE)</f>
        <v>1.3</v>
      </c>
      <c r="U890" s="97">
        <f>VLOOKUP($R890,ラベル別係数!$A$1:$E$7,5,FALSE)</f>
        <v>0.8</v>
      </c>
      <c r="V890" s="98">
        <v>3</v>
      </c>
      <c r="W890" s="99">
        <f>VLOOKUP(V890,ターン数別攻撃係数!$A$1:$B$1000,2,FALSE)</f>
        <v>1</v>
      </c>
      <c r="X890" s="9">
        <f ca="1">VLOOKUP(C890,サイズ別係数!A$2:B$9,2,FALSE)</f>
        <v>60</v>
      </c>
      <c r="Y890" s="97">
        <f ca="1">VLOOKUP($X890,サイズ別係数!$B:$E,2,FALSE)</f>
        <v>1.7</v>
      </c>
      <c r="Z890" s="97">
        <f ca="1">VLOOKUP($X890,サイズ別係数!$B:$E,3,FALSE)</f>
        <v>1.4</v>
      </c>
      <c r="AA890" s="97">
        <f ca="1">VLOOKUP($X890,サイズ別係数!$B:$E,4,FALSE)</f>
        <v>1</v>
      </c>
      <c r="AB890" s="10">
        <v>0</v>
      </c>
      <c r="AC890" s="6" t="str">
        <f ca="1">VLOOKUP($AB890,OFFSET([3]enemy_skill_sets!$B$2,0,0,COUNTA([3]enemy_skill_sets!$A:$A),MATCH(AC$1,[3]enemy_skill_sets!$1:$1,0)-MATCH($AB$1,[3]enemy_skill_sets!$1:$1,0)+1),MATCH(AC$1,[3]enemy_skill_sets!$1:$1,0)-MATCH($AB$1,[3]enemy_skill_sets!$1:$1,0)+1,FALSE)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0" s="67">
        <v>1</v>
      </c>
      <c r="AE890" s="67">
        <v>1</v>
      </c>
      <c r="AF890" s="68">
        <v>0</v>
      </c>
      <c r="AG890" s="99">
        <f ca="1">ROUND(VLOOKUP(1,enemy_base_stats!$A:$F,2,FALSE) * Y890* J890*O890*E890*S890*AD890*[2]ステータス!$B$2,0)</f>
        <v>4335</v>
      </c>
      <c r="AH890" s="99">
        <f ca="1">ROUND(VLOOKUP(1,enemy_base_stats!$A:$F,3,FALSE) * Z890*K890*P890*F890*T890*AE890 * W890*[2]ステータス!$C$2,0)</f>
        <v>268</v>
      </c>
      <c r="AI890" s="99">
        <f ca="1">ROUND(VLOOKUP(1,enemy_base_stats!$A:$F,4,FALSE) * AA890*L890*Q890*G890*U890*AF890*[2]ステータス!$D$2,0)</f>
        <v>0</v>
      </c>
      <c r="AJ890" s="99">
        <f ca="1">ROUND(VLOOKUP(100,enemy_base_stats!$A:$F,2,FALSE) * Y890* J890*O890*E890*S890*AD890*[2]ステータス!$B$2,0)</f>
        <v>176001</v>
      </c>
      <c r="AK890" s="99">
        <f ca="1">ROUND(VLOOKUP(100,enemy_base_stats!$A:$F,3,FALSE)* Z890* K890*P890*F890*T890*AE890 * W890*[2]ステータス!$C$2,0)</f>
        <v>10862</v>
      </c>
      <c r="AL890" s="99">
        <f ca="1">ROUND(VLOOKUP(100,enemy_base_stats!$A:$F,4,FALSE)* AA890* L890*Q890*G890*U890*AF890*[2]ステータス!$D$2,0)</f>
        <v>0</v>
      </c>
      <c r="AM890" s="97">
        <f ca="1">VLOOKUP(M890,[2]character_tribe_i18n!$A:$I,9,FALSE)</f>
        <v>400</v>
      </c>
      <c r="AN890" s="97">
        <v>0</v>
      </c>
      <c r="AO890" s="98">
        <v>0</v>
      </c>
      <c r="AP890" s="58" t="s">
        <v>72</v>
      </c>
      <c r="AQ890" s="34">
        <f t="shared" ca="1" si="51"/>
        <v>889</v>
      </c>
    </row>
    <row r="891" spans="1:43" ht="21" customHeight="1" x14ac:dyDescent="0.15">
      <c r="A891" s="7">
        <f t="shared" ca="1" si="49"/>
        <v>890</v>
      </c>
      <c r="B891" s="6" t="str">
        <f ca="1">VLOOKUP(A891,[2]characters!$A:$C,3,FALSE)</f>
        <v>未定</v>
      </c>
      <c r="C891" s="9">
        <f ca="1">VLOOKUP(A891,[2]characters!$A:$I,9,FALSE)</f>
        <v>6</v>
      </c>
      <c r="D891" s="9" t="str">
        <f ca="1">VLOOKUP(A891,[2]characters!$A:$H,8,FALSE)</f>
        <v>green</v>
      </c>
      <c r="E891" s="97">
        <f ca="1">VLOOKUP(D891,[2]属性!$A:$E,2,FALSE)</f>
        <v>1.02</v>
      </c>
      <c r="F891" s="97">
        <f ca="1">VLOOKUP(D891,[2]属性!$A:$E,3,FALSE)</f>
        <v>0.98</v>
      </c>
      <c r="G891" s="97">
        <f ca="1">VLOOKUP(D891,[2]属性!$A:$F,4,FALSE)</f>
        <v>1</v>
      </c>
      <c r="H891" s="9" t="str">
        <f ca="1">VLOOKUP(A891,[2]characters!$A:$K,11,FALSE)</f>
        <v>balance</v>
      </c>
      <c r="I891" s="6" t="str">
        <f ca="1">VLOOKUP(H891,[2]character_type_i18n!$A:$F,3,FALSE)</f>
        <v>バランスタイプ</v>
      </c>
      <c r="J891" s="97">
        <f ca="1">VLOOKUP(H891,[2]character_type_i18n!$A:$F,4,FALSE)</f>
        <v>1</v>
      </c>
      <c r="K891" s="97">
        <f ca="1">VLOOKUP(H891,[2]character_type_i18n!$A:$F,5,FALSE)</f>
        <v>1</v>
      </c>
      <c r="L891" s="97">
        <f ca="1">VLOOKUP(H891,[2]character_type_i18n!$A:$F,6,FALSE)</f>
        <v>1</v>
      </c>
      <c r="M891" s="9" t="str">
        <f ca="1">VLOOKUP(A891,[2]characters!$A:$M,13,FALSE)</f>
        <v>academia</v>
      </c>
      <c r="N891" s="6" t="str">
        <f ca="1">VLOOKUP(M891,[2]character_tribe_i18n!$A:$F,3,FALSE)</f>
        <v>アカデミア</v>
      </c>
      <c r="O891" s="97">
        <f ca="1">VLOOKUP(M891,[2]character_tribe_i18n!$A:$F,4,FALSE)</f>
        <v>1</v>
      </c>
      <c r="P891" s="97">
        <f ca="1">VLOOKUP(M891,[2]character_tribe_i18n!$A:$F,5,FALSE)</f>
        <v>1</v>
      </c>
      <c r="Q891" s="97">
        <f ca="1">VLOOKUP(M891,[2]character_tribe_i18n!$A:$F,6,FALSE)</f>
        <v>1</v>
      </c>
      <c r="R891" s="98" t="s">
        <v>98</v>
      </c>
      <c r="S891" s="97">
        <f>VLOOKUP($R891,ラベル別係数!$A$1:$E$7,3,FALSE)</f>
        <v>5</v>
      </c>
      <c r="T891" s="97">
        <f>VLOOKUP($R891,ラベル別係数!$A$1:$E$7,4,FALSE)</f>
        <v>1.3</v>
      </c>
      <c r="U891" s="97">
        <f>VLOOKUP($R891,ラベル別係数!$A$1:$E$7,5,FALSE)</f>
        <v>0.8</v>
      </c>
      <c r="V891" s="98">
        <v>3</v>
      </c>
      <c r="W891" s="99">
        <f>VLOOKUP(V891,ターン数別攻撃係数!$A$1:$B$1000,2,FALSE)</f>
        <v>1</v>
      </c>
      <c r="X891" s="9">
        <f ca="1">VLOOKUP(C891,サイズ別係数!A$2:B$9,2,FALSE)</f>
        <v>60</v>
      </c>
      <c r="Y891" s="97">
        <f ca="1">VLOOKUP($X891,サイズ別係数!$B:$E,2,FALSE)</f>
        <v>1.7</v>
      </c>
      <c r="Z891" s="97">
        <f ca="1">VLOOKUP($X891,サイズ別係数!$B:$E,3,FALSE)</f>
        <v>1.4</v>
      </c>
      <c r="AA891" s="97">
        <f ca="1">VLOOKUP($X891,サイズ別係数!$B:$E,4,FALSE)</f>
        <v>1</v>
      </c>
      <c r="AB891" s="10">
        <v>0</v>
      </c>
      <c r="AC891" s="6" t="str">
        <f ca="1">VLOOKUP($AB891,OFFSET([3]enemy_skill_sets!$B$2,0,0,COUNTA([3]enemy_skill_sets!$A:$A),MATCH(AC$1,[3]enemy_skill_sets!$1:$1,0)-MATCH($AB$1,[3]enemy_skill_sets!$1:$1,0)+1),MATCH(AC$1,[3]enemy_skill_sets!$1:$1,0)-MATCH($AB$1,[3]enemy_skill_sets!$1:$1,0)+1,FALSE)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1" s="67">
        <v>1</v>
      </c>
      <c r="AE891" s="67">
        <v>1</v>
      </c>
      <c r="AF891" s="68">
        <v>0</v>
      </c>
      <c r="AG891" s="99">
        <f ca="1">ROUND(VLOOKUP(1,enemy_base_stats!$A:$F,2,FALSE) * Y891* J891*O891*E891*S891*AD891*[2]ステータス!$B$2,0)</f>
        <v>4335</v>
      </c>
      <c r="AH891" s="99">
        <f ca="1">ROUND(VLOOKUP(1,enemy_base_stats!$A:$F,3,FALSE) * Z891*K891*P891*F891*T891*AE891 * W891*[2]ステータス!$C$2,0)</f>
        <v>268</v>
      </c>
      <c r="AI891" s="99">
        <f ca="1">ROUND(VLOOKUP(1,enemy_base_stats!$A:$F,4,FALSE) * AA891*L891*Q891*G891*U891*AF891*[2]ステータス!$D$2,0)</f>
        <v>0</v>
      </c>
      <c r="AJ891" s="99">
        <f ca="1">ROUND(VLOOKUP(100,enemy_base_stats!$A:$F,2,FALSE) * Y891* J891*O891*E891*S891*AD891*[2]ステータス!$B$2,0)</f>
        <v>176001</v>
      </c>
      <c r="AK891" s="99">
        <f ca="1">ROUND(VLOOKUP(100,enemy_base_stats!$A:$F,3,FALSE)* Z891* K891*P891*F891*T891*AE891 * W891*[2]ステータス!$C$2,0)</f>
        <v>10862</v>
      </c>
      <c r="AL891" s="99">
        <f ca="1">ROUND(VLOOKUP(100,enemy_base_stats!$A:$F,4,FALSE)* AA891* L891*Q891*G891*U891*AF891*[2]ステータス!$D$2,0)</f>
        <v>0</v>
      </c>
      <c r="AM891" s="97">
        <f ca="1">VLOOKUP(M891,[2]character_tribe_i18n!$A:$I,9,FALSE)</f>
        <v>400</v>
      </c>
      <c r="AN891" s="97">
        <v>0</v>
      </c>
      <c r="AO891" s="98">
        <v>0</v>
      </c>
      <c r="AP891" s="58" t="s">
        <v>72</v>
      </c>
      <c r="AQ891" s="34">
        <f t="shared" ca="1" si="51"/>
        <v>890</v>
      </c>
    </row>
    <row r="892" spans="1:43" ht="21" customHeight="1" x14ac:dyDescent="0.15">
      <c r="A892" s="7">
        <f t="shared" ca="1" si="49"/>
        <v>891</v>
      </c>
      <c r="B892" s="6" t="str">
        <f ca="1">VLOOKUP(A892,[2]characters!$A:$C,3,FALSE)</f>
        <v>コルキス</v>
      </c>
      <c r="C892" s="9">
        <f ca="1">VLOOKUP(A892,[2]characters!$A:$I,9,FALSE)</f>
        <v>5</v>
      </c>
      <c r="D892" s="9" t="str">
        <f ca="1">VLOOKUP(A892,[2]characters!$A:$H,8,FALSE)</f>
        <v>blue</v>
      </c>
      <c r="E892" s="97">
        <f ca="1">VLOOKUP(D892,[2]属性!$A:$E,2,FALSE)</f>
        <v>1</v>
      </c>
      <c r="F892" s="97">
        <f ca="1">VLOOKUP(D892,[2]属性!$A:$E,3,FALSE)</f>
        <v>0.98</v>
      </c>
      <c r="G892" s="97">
        <f ca="1">VLOOKUP(D892,[2]属性!$A:$F,4,FALSE)</f>
        <v>1</v>
      </c>
      <c r="H892" s="9" t="str">
        <f ca="1">VLOOKUP(A892,[2]characters!$A:$K,11,FALSE)</f>
        <v>hp</v>
      </c>
      <c r="I892" s="6" t="str">
        <f ca="1">VLOOKUP(H892,[2]character_type_i18n!$A:$F,3,FALSE)</f>
        <v>体力タイプ</v>
      </c>
      <c r="J892" s="97">
        <f ca="1">VLOOKUP(H892,[2]character_type_i18n!$A:$F,4,FALSE)</f>
        <v>1.45</v>
      </c>
      <c r="K892" s="97">
        <f ca="1">VLOOKUP(H892,[2]character_type_i18n!$A:$F,5,FALSE)</f>
        <v>0.85</v>
      </c>
      <c r="L892" s="97">
        <f ca="1">VLOOKUP(H892,[2]character_type_i18n!$A:$F,6,FALSE)</f>
        <v>1</v>
      </c>
      <c r="M892" s="9" t="str">
        <f ca="1">VLOOKUP(A892,[2]characters!$A:$M,13,FALSE)</f>
        <v>god</v>
      </c>
      <c r="N892" s="6" t="str">
        <f ca="1">VLOOKUP(M892,[2]character_tribe_i18n!$A:$F,3,FALSE)</f>
        <v>ゴッド</v>
      </c>
      <c r="O892" s="97">
        <f ca="1">VLOOKUP(M892,[2]character_tribe_i18n!$A:$F,4,FALSE)</f>
        <v>0.96</v>
      </c>
      <c r="P892" s="97">
        <f ca="1">VLOOKUP(M892,[2]character_tribe_i18n!$A:$F,5,FALSE)</f>
        <v>1.02</v>
      </c>
      <c r="Q892" s="97">
        <f ca="1">VLOOKUP(M892,[2]character_tribe_i18n!$A:$F,6,FALSE)</f>
        <v>1</v>
      </c>
      <c r="R892" s="98" t="s">
        <v>98</v>
      </c>
      <c r="S892" s="97">
        <f>VLOOKUP($R892,ラベル別係数!$A$1:$E$7,3,FALSE)</f>
        <v>5</v>
      </c>
      <c r="T892" s="97">
        <f>VLOOKUP($R892,ラベル別係数!$A$1:$E$7,4,FALSE)</f>
        <v>1.3</v>
      </c>
      <c r="U892" s="97">
        <f>VLOOKUP($R892,ラベル別係数!$A$1:$E$7,5,FALSE)</f>
        <v>0.8</v>
      </c>
      <c r="V892" s="98">
        <v>3</v>
      </c>
      <c r="W892" s="99">
        <f>VLOOKUP(V892,ターン数別攻撃係数!$A$1:$B$1000,2,FALSE)</f>
        <v>1</v>
      </c>
      <c r="X892" s="9">
        <f ca="1">VLOOKUP(C892,サイズ別係数!A$2:B$9,2,FALSE)</f>
        <v>60</v>
      </c>
      <c r="Y892" s="97">
        <f ca="1">VLOOKUP($X892,サイズ別係数!$B:$E,2,FALSE)</f>
        <v>1.7</v>
      </c>
      <c r="Z892" s="97">
        <f ca="1">VLOOKUP($X892,サイズ別係数!$B:$E,3,FALSE)</f>
        <v>1.4</v>
      </c>
      <c r="AA892" s="97">
        <f ca="1">VLOOKUP($X892,サイズ別係数!$B:$E,4,FALSE)</f>
        <v>1</v>
      </c>
      <c r="AB892" s="10">
        <v>0</v>
      </c>
      <c r="AC892" s="6" t="str">
        <f ca="1">VLOOKUP($AB892,OFFSET([3]enemy_skill_sets!$B$2,0,0,COUNTA([3]enemy_skill_sets!$A:$A),MATCH(AC$1,[3]enemy_skill_sets!$1:$1,0)-MATCH($AB$1,[3]enemy_skill_sets!$1:$1,0)+1),MATCH(AC$1,[3]enemy_skill_sets!$1:$1,0)-MATCH($AB$1,[3]enemy_skill_sets!$1:$1,0)+1,FALSE)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2" s="67">
        <v>1</v>
      </c>
      <c r="AE892" s="67">
        <v>1</v>
      </c>
      <c r="AF892" s="68">
        <v>0</v>
      </c>
      <c r="AG892" s="99">
        <f ca="1">ROUND(VLOOKUP(1,enemy_base_stats!$A:$F,2,FALSE) * Y892* J892*O892*E892*S892*AD892*[2]ステータス!$B$2,0)</f>
        <v>5916</v>
      </c>
      <c r="AH892" s="99">
        <f ca="1">ROUND(VLOOKUP(1,enemy_base_stats!$A:$F,3,FALSE) * Z892*K892*P892*F892*T892*AE892 * W892*[2]ステータス!$C$2,0)</f>
        <v>232</v>
      </c>
      <c r="AI892" s="99">
        <f ca="1">ROUND(VLOOKUP(1,enemy_base_stats!$A:$F,4,FALSE) * AA892*L892*Q892*G892*U892*AF892*[2]ステータス!$D$2,0)</f>
        <v>0</v>
      </c>
      <c r="AJ892" s="99">
        <f ca="1">ROUND(VLOOKUP(100,enemy_base_stats!$A:$F,2,FALSE) * Y892* J892*O892*E892*S892*AD892*[2]ステータス!$B$2,0)</f>
        <v>240190</v>
      </c>
      <c r="AK892" s="99">
        <f ca="1">ROUND(VLOOKUP(100,enemy_base_stats!$A:$F,3,FALSE)* Z892* K892*P892*F892*T892*AE892 * W892*[2]ステータス!$C$2,0)</f>
        <v>9417</v>
      </c>
      <c r="AL892" s="99">
        <f ca="1">ROUND(VLOOKUP(100,enemy_base_stats!$A:$F,4,FALSE)* AA892* L892*Q892*G892*U892*AF892*[2]ステータス!$D$2,0)</f>
        <v>0</v>
      </c>
      <c r="AM892" s="97">
        <f ca="1">VLOOKUP(M892,[2]character_tribe_i18n!$A:$I,9,FALSE)</f>
        <v>680</v>
      </c>
      <c r="AN892" s="97">
        <v>0</v>
      </c>
      <c r="AO892" s="98">
        <v>0</v>
      </c>
      <c r="AP892" s="58" t="s">
        <v>72</v>
      </c>
      <c r="AQ892" s="34">
        <f t="shared" ca="1" si="51"/>
        <v>891</v>
      </c>
    </row>
    <row r="893" spans="1:43" ht="21" customHeight="1" x14ac:dyDescent="0.15">
      <c r="A893" s="7">
        <f t="shared" ca="1" si="49"/>
        <v>892</v>
      </c>
      <c r="B893" s="6" t="str">
        <f ca="1">VLOOKUP(A893,[2]characters!$A:$C,3,FALSE)</f>
        <v>金碧の羊星 コルキス</v>
      </c>
      <c r="C893" s="9">
        <f ca="1">VLOOKUP(A893,[2]characters!$A:$I,9,FALSE)</f>
        <v>6</v>
      </c>
      <c r="D893" s="9" t="str">
        <f ca="1">VLOOKUP(A893,[2]characters!$A:$H,8,FALSE)</f>
        <v>blue</v>
      </c>
      <c r="E893" s="97">
        <f ca="1">VLOOKUP(D893,[2]属性!$A:$E,2,FALSE)</f>
        <v>1</v>
      </c>
      <c r="F893" s="97">
        <f ca="1">VLOOKUP(D893,[2]属性!$A:$E,3,FALSE)</f>
        <v>0.98</v>
      </c>
      <c r="G893" s="97">
        <f ca="1">VLOOKUP(D893,[2]属性!$A:$F,4,FALSE)</f>
        <v>1</v>
      </c>
      <c r="H893" s="9" t="str">
        <f ca="1">VLOOKUP(A893,[2]characters!$A:$K,11,FALSE)</f>
        <v>hp</v>
      </c>
      <c r="I893" s="6" t="str">
        <f ca="1">VLOOKUP(H893,[2]character_type_i18n!$A:$F,3,FALSE)</f>
        <v>体力タイプ</v>
      </c>
      <c r="J893" s="97">
        <f ca="1">VLOOKUP(H893,[2]character_type_i18n!$A:$F,4,FALSE)</f>
        <v>1.45</v>
      </c>
      <c r="K893" s="97">
        <f ca="1">VLOOKUP(H893,[2]character_type_i18n!$A:$F,5,FALSE)</f>
        <v>0.85</v>
      </c>
      <c r="L893" s="97">
        <f ca="1">VLOOKUP(H893,[2]character_type_i18n!$A:$F,6,FALSE)</f>
        <v>1</v>
      </c>
      <c r="M893" s="9" t="str">
        <f ca="1">VLOOKUP(A893,[2]characters!$A:$M,13,FALSE)</f>
        <v>god</v>
      </c>
      <c r="N893" s="6" t="str">
        <f ca="1">VLOOKUP(M893,[2]character_tribe_i18n!$A:$F,3,FALSE)</f>
        <v>ゴッド</v>
      </c>
      <c r="O893" s="97">
        <f ca="1">VLOOKUP(M893,[2]character_tribe_i18n!$A:$F,4,FALSE)</f>
        <v>0.96</v>
      </c>
      <c r="P893" s="97">
        <f ca="1">VLOOKUP(M893,[2]character_tribe_i18n!$A:$F,5,FALSE)</f>
        <v>1.02</v>
      </c>
      <c r="Q893" s="97">
        <f ca="1">VLOOKUP(M893,[2]character_tribe_i18n!$A:$F,6,FALSE)</f>
        <v>1</v>
      </c>
      <c r="R893" s="98" t="s">
        <v>98</v>
      </c>
      <c r="S893" s="97">
        <f>VLOOKUP($R893,ラベル別係数!$A$1:$E$7,3,FALSE)</f>
        <v>5</v>
      </c>
      <c r="T893" s="97">
        <f>VLOOKUP($R893,ラベル別係数!$A$1:$E$7,4,FALSE)</f>
        <v>1.3</v>
      </c>
      <c r="U893" s="97">
        <f>VLOOKUP($R893,ラベル別係数!$A$1:$E$7,5,FALSE)</f>
        <v>0.8</v>
      </c>
      <c r="V893" s="98">
        <v>3</v>
      </c>
      <c r="W893" s="99">
        <f>VLOOKUP(V893,ターン数別攻撃係数!$A$1:$B$1000,2,FALSE)</f>
        <v>1</v>
      </c>
      <c r="X893" s="9">
        <f ca="1">VLOOKUP(C893,サイズ別係数!A$2:B$9,2,FALSE)</f>
        <v>60</v>
      </c>
      <c r="Y893" s="97">
        <f ca="1">VLOOKUP($X893,サイズ別係数!$B:$E,2,FALSE)</f>
        <v>1.7</v>
      </c>
      <c r="Z893" s="97">
        <f ca="1">VLOOKUP($X893,サイズ別係数!$B:$E,3,FALSE)</f>
        <v>1.4</v>
      </c>
      <c r="AA893" s="97">
        <f ca="1">VLOOKUP($X893,サイズ別係数!$B:$E,4,FALSE)</f>
        <v>1</v>
      </c>
      <c r="AB893" s="10">
        <v>0</v>
      </c>
      <c r="AC893" s="6" t="str">
        <f ca="1">VLOOKUP($AB893,OFFSET([3]enemy_skill_sets!$B$2,0,0,COUNTA([3]enemy_skill_sets!$A:$A),MATCH(AC$1,[3]enemy_skill_sets!$1:$1,0)-MATCH($AB$1,[3]enemy_skill_sets!$1:$1,0)+1),MATCH(AC$1,[3]enemy_skill_sets!$1:$1,0)-MATCH($AB$1,[3]enemy_skill_sets!$1:$1,0)+1,FALSE)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3" s="67">
        <v>1</v>
      </c>
      <c r="AE893" s="67">
        <v>1</v>
      </c>
      <c r="AF893" s="68">
        <v>0</v>
      </c>
      <c r="AG893" s="99">
        <f ca="1">ROUND(VLOOKUP(1,enemy_base_stats!$A:$F,2,FALSE) * Y893* J893*O893*E893*S893*AD893*[2]ステータス!$B$2,0)</f>
        <v>5916</v>
      </c>
      <c r="AH893" s="99">
        <f ca="1">ROUND(VLOOKUP(1,enemy_base_stats!$A:$F,3,FALSE) * Z893*K893*P893*F893*T893*AE893 * W893*[2]ステータス!$C$2,0)</f>
        <v>232</v>
      </c>
      <c r="AI893" s="99">
        <f ca="1">ROUND(VLOOKUP(1,enemy_base_stats!$A:$F,4,FALSE) * AA893*L893*Q893*G893*U893*AF893*[2]ステータス!$D$2,0)</f>
        <v>0</v>
      </c>
      <c r="AJ893" s="99">
        <f ca="1">ROUND(VLOOKUP(100,enemy_base_stats!$A:$F,2,FALSE) * Y893* J893*O893*E893*S893*AD893*[2]ステータス!$B$2,0)</f>
        <v>240190</v>
      </c>
      <c r="AK893" s="99">
        <f ca="1">ROUND(VLOOKUP(100,enemy_base_stats!$A:$F,3,FALSE)* Z893* K893*P893*F893*T893*AE893 * W893*[2]ステータス!$C$2,0)</f>
        <v>9417</v>
      </c>
      <c r="AL893" s="99">
        <f ca="1">ROUND(VLOOKUP(100,enemy_base_stats!$A:$F,4,FALSE)* AA893* L893*Q893*G893*U893*AF893*[2]ステータス!$D$2,0)</f>
        <v>0</v>
      </c>
      <c r="AM893" s="97">
        <f ca="1">VLOOKUP(M893,[2]character_tribe_i18n!$A:$I,9,FALSE)</f>
        <v>680</v>
      </c>
      <c r="AN893" s="97">
        <v>0</v>
      </c>
      <c r="AO893" s="98">
        <v>0</v>
      </c>
      <c r="AP893" s="58" t="s">
        <v>72</v>
      </c>
      <c r="AQ893" s="34">
        <f t="shared" ca="1" si="51"/>
        <v>892</v>
      </c>
    </row>
    <row r="894" spans="1:43" ht="21" customHeight="1" x14ac:dyDescent="0.15">
      <c r="A894" s="7">
        <f t="shared" ca="1" si="49"/>
        <v>893</v>
      </c>
      <c r="B894" s="6" t="str">
        <f ca="1">VLOOKUP(A894,[2]characters!$A:$C,3,FALSE)</f>
        <v>アテナ</v>
      </c>
      <c r="C894" s="9">
        <f ca="1">VLOOKUP(A894,[2]characters!$A:$I,9,FALSE)</f>
        <v>5</v>
      </c>
      <c r="D894" s="9" t="str">
        <f ca="1">VLOOKUP(A894,[2]characters!$A:$H,8,FALSE)</f>
        <v>yellow</v>
      </c>
      <c r="E894" s="97">
        <f ca="1">VLOOKUP(D894,[2]属性!$A:$E,2,FALSE)</f>
        <v>0.98</v>
      </c>
      <c r="F894" s="97">
        <f ca="1">VLOOKUP(D894,[2]属性!$A:$E,3,FALSE)</f>
        <v>1.01</v>
      </c>
      <c r="G894" s="97">
        <f ca="1">VLOOKUP(D894,[2]属性!$A:$F,4,FALSE)</f>
        <v>1</v>
      </c>
      <c r="H894" s="9" t="str">
        <f ca="1">VLOOKUP(A894,[2]characters!$A:$K,11,FALSE)</f>
        <v>balance</v>
      </c>
      <c r="I894" s="6" t="str">
        <f ca="1">VLOOKUP(H894,[2]character_type_i18n!$A:$F,3,FALSE)</f>
        <v>バランスタイプ</v>
      </c>
      <c r="J894" s="97">
        <f ca="1">VLOOKUP(H894,[2]character_type_i18n!$A:$F,4,FALSE)</f>
        <v>1</v>
      </c>
      <c r="K894" s="97">
        <f ca="1">VLOOKUP(H894,[2]character_type_i18n!$A:$F,5,FALSE)</f>
        <v>1</v>
      </c>
      <c r="L894" s="97">
        <f ca="1">VLOOKUP(H894,[2]character_type_i18n!$A:$F,6,FALSE)</f>
        <v>1</v>
      </c>
      <c r="M894" s="9" t="str">
        <f ca="1">VLOOKUP(A894,[2]characters!$A:$M,13,FALSE)</f>
        <v>god</v>
      </c>
      <c r="N894" s="6" t="str">
        <f ca="1">VLOOKUP(M894,[2]character_tribe_i18n!$A:$F,3,FALSE)</f>
        <v>ゴッド</v>
      </c>
      <c r="O894" s="97">
        <f ca="1">VLOOKUP(M894,[2]character_tribe_i18n!$A:$F,4,FALSE)</f>
        <v>0.96</v>
      </c>
      <c r="P894" s="97">
        <f ca="1">VLOOKUP(M894,[2]character_tribe_i18n!$A:$F,5,FALSE)</f>
        <v>1.02</v>
      </c>
      <c r="Q894" s="97">
        <f ca="1">VLOOKUP(M894,[2]character_tribe_i18n!$A:$F,6,FALSE)</f>
        <v>1</v>
      </c>
      <c r="R894" s="98" t="s">
        <v>98</v>
      </c>
      <c r="S894" s="97">
        <f>VLOOKUP($R894,ラベル別係数!$A$1:$E$7,3,FALSE)</f>
        <v>5</v>
      </c>
      <c r="T894" s="97">
        <f>VLOOKUP($R894,ラベル別係数!$A$1:$E$7,4,FALSE)</f>
        <v>1.3</v>
      </c>
      <c r="U894" s="97">
        <f>VLOOKUP($R894,ラベル別係数!$A$1:$E$7,5,FALSE)</f>
        <v>0.8</v>
      </c>
      <c r="V894" s="98">
        <v>3</v>
      </c>
      <c r="W894" s="99">
        <f>VLOOKUP(V894,ターン数別攻撃係数!$A$1:$B$1000,2,FALSE)</f>
        <v>1</v>
      </c>
      <c r="X894" s="9">
        <f ca="1">VLOOKUP(C894,サイズ別係数!A$2:B$9,2,FALSE)</f>
        <v>60</v>
      </c>
      <c r="Y894" s="97">
        <f ca="1">VLOOKUP($X894,サイズ別係数!$B:$E,2,FALSE)</f>
        <v>1.7</v>
      </c>
      <c r="Z894" s="97">
        <f ca="1">VLOOKUP($X894,サイズ別係数!$B:$E,3,FALSE)</f>
        <v>1.4</v>
      </c>
      <c r="AA894" s="97">
        <f ca="1">VLOOKUP($X894,サイズ別係数!$B:$E,4,FALSE)</f>
        <v>1</v>
      </c>
      <c r="AB894" s="10">
        <v>0</v>
      </c>
      <c r="AC894" s="6" t="str">
        <f ca="1">VLOOKUP($AB894,OFFSET([3]enemy_skill_sets!$B$2,0,0,COUNTA([3]enemy_skill_sets!$A:$A),MATCH(AC$1,[3]enemy_skill_sets!$1:$1,0)-MATCH($AB$1,[3]enemy_skill_sets!$1:$1,0)+1),MATCH(AC$1,[3]enemy_skill_sets!$1:$1,0)-MATCH($AB$1,[3]enemy_skill_sets!$1:$1,0)+1,FALSE)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4" s="67">
        <v>1</v>
      </c>
      <c r="AE894" s="67">
        <v>1</v>
      </c>
      <c r="AF894" s="68">
        <v>0</v>
      </c>
      <c r="AG894" s="99">
        <f ca="1">ROUND(VLOOKUP(1,enemy_base_stats!$A:$F,2,FALSE) * Y894* J894*O894*E894*S894*AD894*[2]ステータス!$B$2,0)</f>
        <v>3998</v>
      </c>
      <c r="AH894" s="99">
        <f ca="1">ROUND(VLOOKUP(1,enemy_base_stats!$A:$F,3,FALSE) * Z894*K894*P894*F894*T894*AE894 * W894*[2]ステータス!$C$2,0)</f>
        <v>281</v>
      </c>
      <c r="AI894" s="99">
        <f ca="1">ROUND(VLOOKUP(1,enemy_base_stats!$A:$F,4,FALSE) * AA894*L894*Q894*G894*U894*AF894*[2]ステータス!$D$2,0)</f>
        <v>0</v>
      </c>
      <c r="AJ894" s="99">
        <f ca="1">ROUND(VLOOKUP(100,enemy_base_stats!$A:$F,2,FALSE) * Y894* J894*O894*E894*S894*AD894*[2]ステータス!$B$2,0)</f>
        <v>162335</v>
      </c>
      <c r="AK894" s="99">
        <f ca="1">ROUND(VLOOKUP(100,enemy_base_stats!$A:$F,3,FALSE)* Z894* K894*P894*F894*T894*AE894 * W894*[2]ステータス!$C$2,0)</f>
        <v>11419</v>
      </c>
      <c r="AL894" s="99">
        <f ca="1">ROUND(VLOOKUP(100,enemy_base_stats!$A:$F,4,FALSE)* AA894* L894*Q894*G894*U894*AF894*[2]ステータス!$D$2,0)</f>
        <v>0</v>
      </c>
      <c r="AM894" s="97">
        <f ca="1">VLOOKUP(M894,[2]character_tribe_i18n!$A:$I,9,FALSE)</f>
        <v>680</v>
      </c>
      <c r="AN894" s="97">
        <v>0</v>
      </c>
      <c r="AO894" s="98">
        <v>0</v>
      </c>
      <c r="AP894" s="58" t="s">
        <v>72</v>
      </c>
      <c r="AQ894" s="34">
        <f t="shared" ca="1" si="51"/>
        <v>893</v>
      </c>
    </row>
    <row r="895" spans="1:43" ht="21" customHeight="1" x14ac:dyDescent="0.15">
      <c r="A895" s="7">
        <f t="shared" ca="1" si="49"/>
        <v>894</v>
      </c>
      <c r="B895" s="6" t="str">
        <f ca="1">VLOOKUP(A895,[2]characters!$A:$C,3,FALSE)</f>
        <v>聖澄の戦慧神 アテナ</v>
      </c>
      <c r="C895" s="9">
        <f ca="1">VLOOKUP(A895,[2]characters!$A:$I,9,FALSE)</f>
        <v>6</v>
      </c>
      <c r="D895" s="9" t="str">
        <f ca="1">VLOOKUP(A895,[2]characters!$A:$H,8,FALSE)</f>
        <v>yellow</v>
      </c>
      <c r="E895" s="97">
        <f ca="1">VLOOKUP(D895,[2]属性!$A:$E,2,FALSE)</f>
        <v>0.98</v>
      </c>
      <c r="F895" s="97">
        <f ca="1">VLOOKUP(D895,[2]属性!$A:$E,3,FALSE)</f>
        <v>1.01</v>
      </c>
      <c r="G895" s="97">
        <f ca="1">VLOOKUP(D895,[2]属性!$A:$F,4,FALSE)</f>
        <v>1</v>
      </c>
      <c r="H895" s="9" t="str">
        <f ca="1">VLOOKUP(A895,[2]characters!$A:$K,11,FALSE)</f>
        <v>balance</v>
      </c>
      <c r="I895" s="6" t="str">
        <f ca="1">VLOOKUP(H895,[2]character_type_i18n!$A:$F,3,FALSE)</f>
        <v>バランスタイプ</v>
      </c>
      <c r="J895" s="97">
        <f ca="1">VLOOKUP(H895,[2]character_type_i18n!$A:$F,4,FALSE)</f>
        <v>1</v>
      </c>
      <c r="K895" s="97">
        <f ca="1">VLOOKUP(H895,[2]character_type_i18n!$A:$F,5,FALSE)</f>
        <v>1</v>
      </c>
      <c r="L895" s="97">
        <f ca="1">VLOOKUP(H895,[2]character_type_i18n!$A:$F,6,FALSE)</f>
        <v>1</v>
      </c>
      <c r="M895" s="9" t="str">
        <f ca="1">VLOOKUP(A895,[2]characters!$A:$M,13,FALSE)</f>
        <v>god</v>
      </c>
      <c r="N895" s="6" t="str">
        <f ca="1">VLOOKUP(M895,[2]character_tribe_i18n!$A:$F,3,FALSE)</f>
        <v>ゴッド</v>
      </c>
      <c r="O895" s="97">
        <f ca="1">VLOOKUP(M895,[2]character_tribe_i18n!$A:$F,4,FALSE)</f>
        <v>0.96</v>
      </c>
      <c r="P895" s="97">
        <f ca="1">VLOOKUP(M895,[2]character_tribe_i18n!$A:$F,5,FALSE)</f>
        <v>1.02</v>
      </c>
      <c r="Q895" s="97">
        <f ca="1">VLOOKUP(M895,[2]character_tribe_i18n!$A:$F,6,FALSE)</f>
        <v>1</v>
      </c>
      <c r="R895" s="98" t="s">
        <v>98</v>
      </c>
      <c r="S895" s="97">
        <f>VLOOKUP($R895,ラベル別係数!$A$1:$E$7,3,FALSE)</f>
        <v>5</v>
      </c>
      <c r="T895" s="97">
        <f>VLOOKUP($R895,ラベル別係数!$A$1:$E$7,4,FALSE)</f>
        <v>1.3</v>
      </c>
      <c r="U895" s="97">
        <f>VLOOKUP($R895,ラベル別係数!$A$1:$E$7,5,FALSE)</f>
        <v>0.8</v>
      </c>
      <c r="V895" s="98">
        <v>3</v>
      </c>
      <c r="W895" s="99">
        <f>VLOOKUP(V895,ターン数別攻撃係数!$A$1:$B$1000,2,FALSE)</f>
        <v>1</v>
      </c>
      <c r="X895" s="9">
        <f ca="1">VLOOKUP(C895,サイズ別係数!A$2:B$9,2,FALSE)</f>
        <v>60</v>
      </c>
      <c r="Y895" s="97">
        <f ca="1">VLOOKUP($X895,サイズ別係数!$B:$E,2,FALSE)</f>
        <v>1.7</v>
      </c>
      <c r="Z895" s="97">
        <f ca="1">VLOOKUP($X895,サイズ別係数!$B:$E,3,FALSE)</f>
        <v>1.4</v>
      </c>
      <c r="AA895" s="97">
        <f ca="1">VLOOKUP($X895,サイズ別係数!$B:$E,4,FALSE)</f>
        <v>1</v>
      </c>
      <c r="AB895" s="10">
        <v>0</v>
      </c>
      <c r="AC895" s="6" t="str">
        <f ca="1">VLOOKUP($AB895,OFFSET([3]enemy_skill_sets!$B$2,0,0,COUNTA([3]enemy_skill_sets!$A:$A),MATCH(AC$1,[3]enemy_skill_sets!$1:$1,0)-MATCH($AB$1,[3]enemy_skill_sets!$1:$1,0)+1),MATCH(AC$1,[3]enemy_skill_sets!$1:$1,0)-MATCH($AB$1,[3]enemy_skill_sets!$1:$1,0)+1,FALSE)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5" s="67">
        <v>1</v>
      </c>
      <c r="AE895" s="67">
        <v>1</v>
      </c>
      <c r="AF895" s="68">
        <v>0</v>
      </c>
      <c r="AG895" s="99">
        <f ca="1">ROUND(VLOOKUP(1,enemy_base_stats!$A:$F,2,FALSE) * Y895* J895*O895*E895*S895*AD895*[2]ステータス!$B$2,0)</f>
        <v>3998</v>
      </c>
      <c r="AH895" s="99">
        <f ca="1">ROUND(VLOOKUP(1,enemy_base_stats!$A:$F,3,FALSE) * Z895*K895*P895*F895*T895*AE895 * W895*[2]ステータス!$C$2,0)</f>
        <v>281</v>
      </c>
      <c r="AI895" s="99">
        <f ca="1">ROUND(VLOOKUP(1,enemy_base_stats!$A:$F,4,FALSE) * AA895*L895*Q895*G895*U895*AF895*[2]ステータス!$D$2,0)</f>
        <v>0</v>
      </c>
      <c r="AJ895" s="99">
        <f ca="1">ROUND(VLOOKUP(100,enemy_base_stats!$A:$F,2,FALSE) * Y895* J895*O895*E895*S895*AD895*[2]ステータス!$B$2,0)</f>
        <v>162335</v>
      </c>
      <c r="AK895" s="99">
        <f ca="1">ROUND(VLOOKUP(100,enemy_base_stats!$A:$F,3,FALSE)* Z895* K895*P895*F895*T895*AE895 * W895*[2]ステータス!$C$2,0)</f>
        <v>11419</v>
      </c>
      <c r="AL895" s="99">
        <f ca="1">ROUND(VLOOKUP(100,enemy_base_stats!$A:$F,4,FALSE)* AA895* L895*Q895*G895*U895*AF895*[2]ステータス!$D$2,0)</f>
        <v>0</v>
      </c>
      <c r="AM895" s="97">
        <f ca="1">VLOOKUP(M895,[2]character_tribe_i18n!$A:$I,9,FALSE)</f>
        <v>680</v>
      </c>
      <c r="AN895" s="97">
        <v>0</v>
      </c>
      <c r="AO895" s="98">
        <v>0</v>
      </c>
      <c r="AP895" s="58" t="s">
        <v>72</v>
      </c>
      <c r="AQ895" s="34">
        <f t="shared" ca="1" si="51"/>
        <v>894</v>
      </c>
    </row>
    <row r="896" spans="1:43" ht="21" customHeight="1" x14ac:dyDescent="0.15">
      <c r="A896" s="7">
        <f t="shared" ca="1" si="49"/>
        <v>895</v>
      </c>
      <c r="B896" s="6" t="str">
        <f ca="1">VLOOKUP(A896,[2]characters!$A:$C,3,FALSE)</f>
        <v>滅焼の大神狼 フェンリル</v>
      </c>
      <c r="C896" s="9">
        <f ca="1">VLOOKUP(A896,[2]characters!$A:$I,9,FALSE)</f>
        <v>6</v>
      </c>
      <c r="D896" s="9" t="str">
        <f ca="1">VLOOKUP(A896,[2]characters!$A:$H,8,FALSE)</f>
        <v>red</v>
      </c>
      <c r="E896" s="97">
        <f ca="1">VLOOKUP(D896,[2]属性!$A:$E,2,FALSE)</f>
        <v>1</v>
      </c>
      <c r="F896" s="97">
        <f ca="1">VLOOKUP(D896,[2]属性!$A:$E,3,FALSE)</f>
        <v>1.02</v>
      </c>
      <c r="G896" s="97">
        <f ca="1">VLOOKUP(D896,[2]属性!$A:$F,4,FALSE)</f>
        <v>1</v>
      </c>
      <c r="H896" s="9" t="str">
        <f ca="1">VLOOKUP(A896,[2]characters!$A:$K,11,FALSE)</f>
        <v>attack</v>
      </c>
      <c r="I896" s="6" t="str">
        <f ca="1">VLOOKUP(H896,[2]character_type_i18n!$A:$F,3,FALSE)</f>
        <v>攻撃タイプ</v>
      </c>
      <c r="J896" s="97">
        <f ca="1">VLOOKUP(H896,[2]character_type_i18n!$A:$F,4,FALSE)</f>
        <v>1</v>
      </c>
      <c r="K896" s="97">
        <f ca="1">VLOOKUP(H896,[2]character_type_i18n!$A:$F,5,FALSE)</f>
        <v>1.33</v>
      </c>
      <c r="L896" s="97">
        <f ca="1">VLOOKUP(H896,[2]character_type_i18n!$A:$F,6,FALSE)</f>
        <v>1</v>
      </c>
      <c r="M896" s="9" t="str">
        <f ca="1">VLOOKUP(A896,[2]characters!$A:$M,13,FALSE)</f>
        <v>animal</v>
      </c>
      <c r="N896" s="6" t="str">
        <f ca="1">VLOOKUP(M896,[2]character_tribe_i18n!$A:$F,3,FALSE)</f>
        <v>アニマル</v>
      </c>
      <c r="O896" s="97">
        <f ca="1">VLOOKUP(M896,[2]character_tribe_i18n!$A:$F,4,FALSE)</f>
        <v>1</v>
      </c>
      <c r="P896" s="97">
        <f ca="1">VLOOKUP(M896,[2]character_tribe_i18n!$A:$F,5,FALSE)</f>
        <v>1.1000000000000001</v>
      </c>
      <c r="Q896" s="97">
        <f ca="1">VLOOKUP(M896,[2]character_tribe_i18n!$A:$F,6,FALSE)</f>
        <v>1</v>
      </c>
      <c r="R896" s="98" t="s">
        <v>98</v>
      </c>
      <c r="S896" s="97">
        <f>VLOOKUP($R896,ラベル別係数!$A$1:$E$7,3,FALSE)</f>
        <v>5</v>
      </c>
      <c r="T896" s="97">
        <f>VLOOKUP($R896,ラベル別係数!$A$1:$E$7,4,FALSE)</f>
        <v>1.3</v>
      </c>
      <c r="U896" s="97">
        <f>VLOOKUP($R896,ラベル別係数!$A$1:$E$7,5,FALSE)</f>
        <v>0.8</v>
      </c>
      <c r="V896" s="98">
        <v>3</v>
      </c>
      <c r="W896" s="99">
        <f>VLOOKUP(V896,ターン数別攻撃係数!$A$1:$B$1000,2,FALSE)</f>
        <v>1</v>
      </c>
      <c r="X896" s="9">
        <f ca="1">VLOOKUP(C896,サイズ別係数!A$2:B$9,2,FALSE)</f>
        <v>60</v>
      </c>
      <c r="Y896" s="97">
        <f ca="1">VLOOKUP($X896,サイズ別係数!$B:$E,2,FALSE)</f>
        <v>1.7</v>
      </c>
      <c r="Z896" s="97">
        <f ca="1">VLOOKUP($X896,サイズ別係数!$B:$E,3,FALSE)</f>
        <v>1.4</v>
      </c>
      <c r="AA896" s="97">
        <f ca="1">VLOOKUP($X896,サイズ別係数!$B:$E,4,FALSE)</f>
        <v>1</v>
      </c>
      <c r="AB896" s="10">
        <v>0</v>
      </c>
      <c r="AC896" s="6" t="str">
        <f ca="1">VLOOKUP($AB896,OFFSET([3]enemy_skill_sets!$B$2,0,0,COUNTA([3]enemy_skill_sets!$A:$A),MATCH(AC$1,[3]enemy_skill_sets!$1:$1,0)-MATCH($AB$1,[3]enemy_skill_sets!$1:$1,0)+1),MATCH(AC$1,[3]enemy_skill_sets!$1:$1,0)-MATCH($AB$1,[3]enemy_skill_sets!$1:$1,0)+1,FALSE)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6" s="67">
        <v>1</v>
      </c>
      <c r="AE896" s="67">
        <v>1</v>
      </c>
      <c r="AF896" s="68">
        <v>0</v>
      </c>
      <c r="AG896" s="99">
        <f ca="1">ROUND(VLOOKUP(1,enemy_base_stats!$A:$F,2,FALSE) * Y896* J896*O896*E896*S896*AD896*[2]ステータス!$B$2,0)</f>
        <v>4250</v>
      </c>
      <c r="AH896" s="99">
        <f ca="1">ROUND(VLOOKUP(1,enemy_base_stats!$A:$F,3,FALSE) * Z896*K896*P896*F896*T896*AE896 * W896*[2]ステータス!$C$2,0)</f>
        <v>407</v>
      </c>
      <c r="AI896" s="99">
        <f ca="1">ROUND(VLOOKUP(1,enemy_base_stats!$A:$F,4,FALSE) * AA896*L896*Q896*G896*U896*AF896*[2]ステータス!$D$2,0)</f>
        <v>0</v>
      </c>
      <c r="AJ896" s="99">
        <f ca="1">ROUND(VLOOKUP(100,enemy_base_stats!$A:$F,2,FALSE) * Y896* J896*O896*E896*S896*AD896*[2]ステータス!$B$2,0)</f>
        <v>172550</v>
      </c>
      <c r="AK896" s="99">
        <f ca="1">ROUND(VLOOKUP(100,enemy_base_stats!$A:$F,3,FALSE)* Z896* K896*P896*F896*T896*AE896 * W896*[2]ステータス!$C$2,0)</f>
        <v>16540</v>
      </c>
      <c r="AL896" s="99">
        <f ca="1">ROUND(VLOOKUP(100,enemy_base_stats!$A:$F,4,FALSE)* AA896* L896*Q896*G896*U896*AF896*[2]ステータス!$D$2,0)</f>
        <v>0</v>
      </c>
      <c r="AM896" s="97">
        <f ca="1">VLOOKUP(M896,[2]character_tribe_i18n!$A:$I,9,FALSE)</f>
        <v>480</v>
      </c>
      <c r="AN896" s="97">
        <v>0</v>
      </c>
      <c r="AO896" s="98">
        <v>0</v>
      </c>
      <c r="AP896" s="58" t="s">
        <v>72</v>
      </c>
      <c r="AQ896" s="34">
        <f t="shared" ca="1" si="51"/>
        <v>895</v>
      </c>
    </row>
    <row r="897" spans="1:43" ht="21" customHeight="1" x14ac:dyDescent="0.15">
      <c r="A897" s="7">
        <f t="shared" ca="1" si="49"/>
        <v>896</v>
      </c>
      <c r="B897" s="6" t="str">
        <f ca="1">VLOOKUP(A897,[2]characters!$A:$C,3,FALSE)</f>
        <v>天衣紡ぐ麗鶴 ハヅル</v>
      </c>
      <c r="C897" s="9">
        <f ca="1">VLOOKUP(A897,[2]characters!$A:$I,9,FALSE)</f>
        <v>6</v>
      </c>
      <c r="D897" s="9" t="str">
        <f ca="1">VLOOKUP(A897,[2]characters!$A:$H,8,FALSE)</f>
        <v>red</v>
      </c>
      <c r="E897" s="97">
        <f ca="1">VLOOKUP(D897,[2]属性!$A:$E,2,FALSE)</f>
        <v>1</v>
      </c>
      <c r="F897" s="97">
        <f ca="1">VLOOKUP(D897,[2]属性!$A:$E,3,FALSE)</f>
        <v>1.02</v>
      </c>
      <c r="G897" s="97">
        <f ca="1">VLOOKUP(D897,[2]属性!$A:$F,4,FALSE)</f>
        <v>1</v>
      </c>
      <c r="H897" s="9" t="str">
        <f ca="1">VLOOKUP(A897,[2]characters!$A:$K,11,FALSE)</f>
        <v>balance</v>
      </c>
      <c r="I897" s="6" t="str">
        <f ca="1">VLOOKUP(H897,[2]character_type_i18n!$A:$F,3,FALSE)</f>
        <v>バランスタイプ</v>
      </c>
      <c r="J897" s="97">
        <f ca="1">VLOOKUP(H897,[2]character_type_i18n!$A:$F,4,FALSE)</f>
        <v>1</v>
      </c>
      <c r="K897" s="97">
        <f ca="1">VLOOKUP(H897,[2]character_type_i18n!$A:$F,5,FALSE)</f>
        <v>1</v>
      </c>
      <c r="L897" s="97">
        <f ca="1">VLOOKUP(H897,[2]character_type_i18n!$A:$F,6,FALSE)</f>
        <v>1</v>
      </c>
      <c r="M897" s="9" t="str">
        <f ca="1">VLOOKUP(A897,[2]characters!$A:$M,13,FALSE)</f>
        <v>animal</v>
      </c>
      <c r="N897" s="6" t="str">
        <f ca="1">VLOOKUP(M897,[2]character_tribe_i18n!$A:$F,3,FALSE)</f>
        <v>アニマル</v>
      </c>
      <c r="O897" s="97">
        <f ca="1">VLOOKUP(M897,[2]character_tribe_i18n!$A:$F,4,FALSE)</f>
        <v>1</v>
      </c>
      <c r="P897" s="97">
        <f ca="1">VLOOKUP(M897,[2]character_tribe_i18n!$A:$F,5,FALSE)</f>
        <v>1.1000000000000001</v>
      </c>
      <c r="Q897" s="97">
        <f ca="1">VLOOKUP(M897,[2]character_tribe_i18n!$A:$F,6,FALSE)</f>
        <v>1</v>
      </c>
      <c r="R897" s="98" t="s">
        <v>98</v>
      </c>
      <c r="S897" s="97">
        <f>VLOOKUP($R897,ラベル別係数!$A$1:$E$7,3,FALSE)</f>
        <v>5</v>
      </c>
      <c r="T897" s="97">
        <f>VLOOKUP($R897,ラベル別係数!$A$1:$E$7,4,FALSE)</f>
        <v>1.3</v>
      </c>
      <c r="U897" s="97">
        <f>VLOOKUP($R897,ラベル別係数!$A$1:$E$7,5,FALSE)</f>
        <v>0.8</v>
      </c>
      <c r="V897" s="98">
        <v>3</v>
      </c>
      <c r="W897" s="99">
        <f>VLOOKUP(V897,ターン数別攻撃係数!$A$1:$B$1000,2,FALSE)</f>
        <v>1</v>
      </c>
      <c r="X897" s="9">
        <f ca="1">VLOOKUP(C897,サイズ別係数!A$2:B$9,2,FALSE)</f>
        <v>60</v>
      </c>
      <c r="Y897" s="97">
        <f ca="1">VLOOKUP($X897,サイズ別係数!$B:$E,2,FALSE)</f>
        <v>1.7</v>
      </c>
      <c r="Z897" s="97">
        <f ca="1">VLOOKUP($X897,サイズ別係数!$B:$E,3,FALSE)</f>
        <v>1.4</v>
      </c>
      <c r="AA897" s="97">
        <f ca="1">VLOOKUP($X897,サイズ別係数!$B:$E,4,FALSE)</f>
        <v>1</v>
      </c>
      <c r="AB897" s="10">
        <v>0</v>
      </c>
      <c r="AC897" s="6" t="str">
        <f ca="1">VLOOKUP($AB897,OFFSET([3]enemy_skill_sets!$B$2,0,0,COUNTA([3]enemy_skill_sets!$A:$A),MATCH(AC$1,[3]enemy_skill_sets!$1:$1,0)-MATCH($AB$1,[3]enemy_skill_sets!$1:$1,0)+1),MATCH(AC$1,[3]enemy_skill_sets!$1:$1,0)-MATCH($AB$1,[3]enemy_skill_sets!$1:$1,0)+1,FALSE)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7" s="67">
        <v>1</v>
      </c>
      <c r="AE897" s="67">
        <v>1</v>
      </c>
      <c r="AF897" s="68">
        <v>0</v>
      </c>
      <c r="AG897" s="99">
        <f ca="1">ROUND(VLOOKUP(1,enemy_base_stats!$A:$F,2,FALSE) * Y897* J897*O897*E897*S897*AD897*[2]ステータス!$B$2,0)</f>
        <v>4250</v>
      </c>
      <c r="AH897" s="99">
        <f ca="1">ROUND(VLOOKUP(1,enemy_base_stats!$A:$F,3,FALSE) * Z897*K897*P897*F897*T897*AE897 * W897*[2]ステータス!$C$2,0)</f>
        <v>306</v>
      </c>
      <c r="AI897" s="99">
        <f ca="1">ROUND(VLOOKUP(1,enemy_base_stats!$A:$F,4,FALSE) * AA897*L897*Q897*G897*U897*AF897*[2]ステータス!$D$2,0)</f>
        <v>0</v>
      </c>
      <c r="AJ897" s="99">
        <f ca="1">ROUND(VLOOKUP(100,enemy_base_stats!$A:$F,2,FALSE) * Y897* J897*O897*E897*S897*AD897*[2]ステータス!$B$2,0)</f>
        <v>172550</v>
      </c>
      <c r="AK897" s="99">
        <f ca="1">ROUND(VLOOKUP(100,enemy_base_stats!$A:$F,3,FALSE)* Z897* K897*P897*F897*T897*AE897 * W897*[2]ステータス!$C$2,0)</f>
        <v>12436</v>
      </c>
      <c r="AL897" s="99">
        <f ca="1">ROUND(VLOOKUP(100,enemy_base_stats!$A:$F,4,FALSE)* AA897* L897*Q897*G897*U897*AF897*[2]ステータス!$D$2,0)</f>
        <v>0</v>
      </c>
      <c r="AM897" s="97">
        <f ca="1">VLOOKUP(M897,[2]character_tribe_i18n!$A:$I,9,FALSE)</f>
        <v>480</v>
      </c>
      <c r="AN897" s="97">
        <v>0</v>
      </c>
      <c r="AO897" s="98">
        <v>0</v>
      </c>
      <c r="AP897" s="58" t="s">
        <v>72</v>
      </c>
      <c r="AQ897" s="34">
        <f t="shared" ca="1" si="51"/>
        <v>896</v>
      </c>
    </row>
    <row r="898" spans="1:43" ht="21" customHeight="1" x14ac:dyDescent="0.15">
      <c r="A898" s="7">
        <f t="shared" ca="1" si="49"/>
        <v>897</v>
      </c>
      <c r="B898" s="6" t="str">
        <f ca="1">VLOOKUP(A898,[2]characters!$A:$C,3,FALSE)</f>
        <v>天跳兎破 イナバ</v>
      </c>
      <c r="C898" s="9">
        <f ca="1">VLOOKUP(A898,[2]characters!$A:$I,9,FALSE)</f>
        <v>6</v>
      </c>
      <c r="D898" s="9" t="str">
        <f ca="1">VLOOKUP(A898,[2]characters!$A:$H,8,FALSE)</f>
        <v>green</v>
      </c>
      <c r="E898" s="97">
        <f ca="1">VLOOKUP(D898,[2]属性!$A:$E,2,FALSE)</f>
        <v>1.02</v>
      </c>
      <c r="F898" s="97">
        <f ca="1">VLOOKUP(D898,[2]属性!$A:$E,3,FALSE)</f>
        <v>0.98</v>
      </c>
      <c r="G898" s="97">
        <f ca="1">VLOOKUP(D898,[2]属性!$A:$F,4,FALSE)</f>
        <v>1</v>
      </c>
      <c r="H898" s="9" t="str">
        <f ca="1">VLOOKUP(A898,[2]characters!$A:$K,11,FALSE)</f>
        <v>balance</v>
      </c>
      <c r="I898" s="6" t="str">
        <f ca="1">VLOOKUP(H898,[2]character_type_i18n!$A:$F,3,FALSE)</f>
        <v>バランスタイプ</v>
      </c>
      <c r="J898" s="97">
        <f ca="1">VLOOKUP(H898,[2]character_type_i18n!$A:$F,4,FALSE)</f>
        <v>1</v>
      </c>
      <c r="K898" s="97">
        <f ca="1">VLOOKUP(H898,[2]character_type_i18n!$A:$F,5,FALSE)</f>
        <v>1</v>
      </c>
      <c r="L898" s="97">
        <f ca="1">VLOOKUP(H898,[2]character_type_i18n!$A:$F,6,FALSE)</f>
        <v>1</v>
      </c>
      <c r="M898" s="9" t="str">
        <f ca="1">VLOOKUP(A898,[2]characters!$A:$M,13,FALSE)</f>
        <v>animal</v>
      </c>
      <c r="N898" s="6" t="str">
        <f ca="1">VLOOKUP(M898,[2]character_tribe_i18n!$A:$F,3,FALSE)</f>
        <v>アニマル</v>
      </c>
      <c r="O898" s="97">
        <f ca="1">VLOOKUP(M898,[2]character_tribe_i18n!$A:$F,4,FALSE)</f>
        <v>1</v>
      </c>
      <c r="P898" s="97">
        <f ca="1">VLOOKUP(M898,[2]character_tribe_i18n!$A:$F,5,FALSE)</f>
        <v>1.1000000000000001</v>
      </c>
      <c r="Q898" s="97">
        <f ca="1">VLOOKUP(M898,[2]character_tribe_i18n!$A:$F,6,FALSE)</f>
        <v>1</v>
      </c>
      <c r="R898" s="98" t="s">
        <v>98</v>
      </c>
      <c r="S898" s="97">
        <f>VLOOKUP($R898,ラベル別係数!$A$1:$E$7,3,FALSE)</f>
        <v>5</v>
      </c>
      <c r="T898" s="97">
        <f>VLOOKUP($R898,ラベル別係数!$A$1:$E$7,4,FALSE)</f>
        <v>1.3</v>
      </c>
      <c r="U898" s="97">
        <f>VLOOKUP($R898,ラベル別係数!$A$1:$E$7,5,FALSE)</f>
        <v>0.8</v>
      </c>
      <c r="V898" s="98">
        <v>3</v>
      </c>
      <c r="W898" s="99">
        <f>VLOOKUP(V898,ターン数別攻撃係数!$A$1:$B$1000,2,FALSE)</f>
        <v>1</v>
      </c>
      <c r="X898" s="9">
        <f ca="1">VLOOKUP(C898,サイズ別係数!A$2:B$9,2,FALSE)</f>
        <v>60</v>
      </c>
      <c r="Y898" s="97">
        <f ca="1">VLOOKUP($X898,サイズ別係数!$B:$E,2,FALSE)</f>
        <v>1.7</v>
      </c>
      <c r="Z898" s="97">
        <f ca="1">VLOOKUP($X898,サイズ別係数!$B:$E,3,FALSE)</f>
        <v>1.4</v>
      </c>
      <c r="AA898" s="97">
        <f ca="1">VLOOKUP($X898,サイズ別係数!$B:$E,4,FALSE)</f>
        <v>1</v>
      </c>
      <c r="AB898" s="10">
        <v>0</v>
      </c>
      <c r="AC898" s="6" t="str">
        <f ca="1">VLOOKUP($AB898,OFFSET([3]enemy_skill_sets!$B$2,0,0,COUNTA([3]enemy_skill_sets!$A:$A),MATCH(AC$1,[3]enemy_skill_sets!$1:$1,0)-MATCH($AB$1,[3]enemy_skill_sets!$1:$1,0)+1),MATCH(AC$1,[3]enemy_skill_sets!$1:$1,0)-MATCH($AB$1,[3]enemy_skill_sets!$1:$1,0)+1,FALSE)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8" s="67">
        <v>1</v>
      </c>
      <c r="AE898" s="67">
        <v>1</v>
      </c>
      <c r="AF898" s="68">
        <v>0</v>
      </c>
      <c r="AG898" s="99">
        <f ca="1">ROUND(VLOOKUP(1,enemy_base_stats!$A:$F,2,FALSE) * Y898* J898*O898*E898*S898*AD898*[2]ステータス!$B$2,0)</f>
        <v>4335</v>
      </c>
      <c r="AH898" s="99">
        <f ca="1">ROUND(VLOOKUP(1,enemy_base_stats!$A:$F,3,FALSE) * Z898*K898*P898*F898*T898*AE898 * W898*[2]ステータス!$C$2,0)</f>
        <v>294</v>
      </c>
      <c r="AI898" s="99">
        <f ca="1">ROUND(VLOOKUP(1,enemy_base_stats!$A:$F,4,FALSE) * AA898*L898*Q898*G898*U898*AF898*[2]ステータス!$D$2,0)</f>
        <v>0</v>
      </c>
      <c r="AJ898" s="99">
        <f ca="1">ROUND(VLOOKUP(100,enemy_base_stats!$A:$F,2,FALSE) * Y898* J898*O898*E898*S898*AD898*[2]ステータス!$B$2,0)</f>
        <v>176001</v>
      </c>
      <c r="AK898" s="99">
        <f ca="1">ROUND(VLOOKUP(100,enemy_base_stats!$A:$F,3,FALSE)* Z898* K898*P898*F898*T898*AE898 * W898*[2]ステータス!$C$2,0)</f>
        <v>11948</v>
      </c>
      <c r="AL898" s="99">
        <f ca="1">ROUND(VLOOKUP(100,enemy_base_stats!$A:$F,4,FALSE)* AA898* L898*Q898*G898*U898*AF898*[2]ステータス!$D$2,0)</f>
        <v>0</v>
      </c>
      <c r="AM898" s="97">
        <f ca="1">VLOOKUP(M898,[2]character_tribe_i18n!$A:$I,9,FALSE)</f>
        <v>480</v>
      </c>
      <c r="AN898" s="97">
        <v>0</v>
      </c>
      <c r="AO898" s="98">
        <v>0</v>
      </c>
      <c r="AP898" s="58" t="s">
        <v>72</v>
      </c>
      <c r="AQ898" s="34">
        <f t="shared" ca="1" si="51"/>
        <v>897</v>
      </c>
    </row>
    <row r="899" spans="1:43" ht="21" customHeight="1" x14ac:dyDescent="0.15">
      <c r="A899" s="7">
        <f t="shared" ref="A899:A964" ca="1" si="52">INDIRECT(ADDRESS(ROW(),COLUMN(),1,TRUE,"[CharacterMasterData.xlsm]characters"))</f>
        <v>898</v>
      </c>
      <c r="B899" s="6" t="str">
        <f ca="1">VLOOKUP(A899,[2]characters!$A:$C,3,FALSE)</f>
        <v>傾神の最愛姫 スフィンクス</v>
      </c>
      <c r="C899" s="9">
        <f ca="1">VLOOKUP(A899,[2]characters!$A:$I,9,FALSE)</f>
        <v>6</v>
      </c>
      <c r="D899" s="9" t="str">
        <f ca="1">VLOOKUP(A899,[2]characters!$A:$H,8,FALSE)</f>
        <v>yellow</v>
      </c>
      <c r="E899" s="97">
        <f ca="1">VLOOKUP(D899,[2]属性!$A:$E,2,FALSE)</f>
        <v>0.98</v>
      </c>
      <c r="F899" s="97">
        <f ca="1">VLOOKUP(D899,[2]属性!$A:$E,3,FALSE)</f>
        <v>1.01</v>
      </c>
      <c r="G899" s="97">
        <f ca="1">VLOOKUP(D899,[2]属性!$A:$F,4,FALSE)</f>
        <v>1</v>
      </c>
      <c r="H899" s="9" t="str">
        <f ca="1">VLOOKUP(A899,[2]characters!$A:$K,11,FALSE)</f>
        <v>heal</v>
      </c>
      <c r="I899" s="6" t="str">
        <f ca="1">VLOOKUP(H899,[2]character_type_i18n!$A:$F,3,FALSE)</f>
        <v>回復タイプ</v>
      </c>
      <c r="J899" s="97">
        <f ca="1">VLOOKUP(H899,[2]character_type_i18n!$A:$F,4,FALSE)</f>
        <v>0.8</v>
      </c>
      <c r="K899" s="97">
        <f ca="1">VLOOKUP(H899,[2]character_type_i18n!$A:$F,5,FALSE)</f>
        <v>0.78</v>
      </c>
      <c r="L899" s="97">
        <f ca="1">VLOOKUP(H899,[2]character_type_i18n!$A:$F,6,FALSE)</f>
        <v>1</v>
      </c>
      <c r="M899" s="9" t="str">
        <f ca="1">VLOOKUP(A899,[2]characters!$A:$M,13,FALSE)</f>
        <v>animal</v>
      </c>
      <c r="N899" s="6" t="str">
        <f ca="1">VLOOKUP(M899,[2]character_tribe_i18n!$A:$F,3,FALSE)</f>
        <v>アニマル</v>
      </c>
      <c r="O899" s="97">
        <f ca="1">VLOOKUP(M899,[2]character_tribe_i18n!$A:$F,4,FALSE)</f>
        <v>1</v>
      </c>
      <c r="P899" s="97">
        <f ca="1">VLOOKUP(M899,[2]character_tribe_i18n!$A:$F,5,FALSE)</f>
        <v>1.1000000000000001</v>
      </c>
      <c r="Q899" s="97">
        <f ca="1">VLOOKUP(M899,[2]character_tribe_i18n!$A:$F,6,FALSE)</f>
        <v>1</v>
      </c>
      <c r="R899" s="98" t="s">
        <v>98</v>
      </c>
      <c r="S899" s="97">
        <f>VLOOKUP($R899,ラベル別係数!$A$1:$E$7,3,FALSE)</f>
        <v>5</v>
      </c>
      <c r="T899" s="97">
        <f>VLOOKUP($R899,ラベル別係数!$A$1:$E$7,4,FALSE)</f>
        <v>1.3</v>
      </c>
      <c r="U899" s="97">
        <f>VLOOKUP($R899,ラベル別係数!$A$1:$E$7,5,FALSE)</f>
        <v>0.8</v>
      </c>
      <c r="V899" s="98">
        <v>3</v>
      </c>
      <c r="W899" s="99">
        <f>VLOOKUP(V899,ターン数別攻撃係数!$A$1:$B$1000,2,FALSE)</f>
        <v>1</v>
      </c>
      <c r="X899" s="9">
        <f ca="1">VLOOKUP(C899,サイズ別係数!A$2:B$9,2,FALSE)</f>
        <v>60</v>
      </c>
      <c r="Y899" s="97">
        <f ca="1">VLOOKUP($X899,サイズ別係数!$B:$E,2,FALSE)</f>
        <v>1.7</v>
      </c>
      <c r="Z899" s="97">
        <f ca="1">VLOOKUP($X899,サイズ別係数!$B:$E,3,FALSE)</f>
        <v>1.4</v>
      </c>
      <c r="AA899" s="97">
        <f ca="1">VLOOKUP($X899,サイズ別係数!$B:$E,4,FALSE)</f>
        <v>1</v>
      </c>
      <c r="AB899" s="10">
        <v>0</v>
      </c>
      <c r="AC899" s="6" t="str">
        <f ca="1">VLOOKUP($AB899,OFFSET([3]enemy_skill_sets!$B$2,0,0,COUNTA([3]enemy_skill_sets!$A:$A),MATCH(AC$1,[3]enemy_skill_sets!$1:$1,0)-MATCH($AB$1,[3]enemy_skill_sets!$1:$1,0)+1),MATCH(AC$1,[3]enemy_skill_sets!$1:$1,0)-MATCH($AB$1,[3]enemy_skill_sets!$1:$1,0)+1,FALSE)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899" s="67">
        <v>1</v>
      </c>
      <c r="AE899" s="67">
        <v>1</v>
      </c>
      <c r="AF899" s="68">
        <v>0</v>
      </c>
      <c r="AG899" s="99">
        <f ca="1">ROUND(VLOOKUP(1,enemy_base_stats!$A:$F,2,FALSE) * Y899* J899*O899*E899*S899*AD899*[2]ステータス!$B$2,0)</f>
        <v>3332</v>
      </c>
      <c r="AH899" s="99">
        <f ca="1">ROUND(VLOOKUP(1,enemy_base_stats!$A:$F,3,FALSE) * Z899*K899*P899*F899*T899*AE899 * W899*[2]ステータス!$C$2,0)</f>
        <v>237</v>
      </c>
      <c r="AI899" s="99">
        <f ca="1">ROUND(VLOOKUP(1,enemy_base_stats!$A:$F,4,FALSE) * AA899*L899*Q899*G899*U899*AF899*[2]ステータス!$D$2,0)</f>
        <v>0</v>
      </c>
      <c r="AJ899" s="99">
        <f ca="1">ROUND(VLOOKUP(100,enemy_base_stats!$A:$F,2,FALSE) * Y899* J899*O899*E899*S899*AD899*[2]ステータス!$B$2,0)</f>
        <v>135279</v>
      </c>
      <c r="AK899" s="99">
        <f ca="1">ROUND(VLOOKUP(100,enemy_base_stats!$A:$F,3,FALSE)* Z899* K899*P899*F899*T899*AE899 * W899*[2]ステータス!$C$2,0)</f>
        <v>9605</v>
      </c>
      <c r="AL899" s="99">
        <f ca="1">ROUND(VLOOKUP(100,enemy_base_stats!$A:$F,4,FALSE)* AA899* L899*Q899*G899*U899*AF899*[2]ステータス!$D$2,0)</f>
        <v>0</v>
      </c>
      <c r="AM899" s="97">
        <f ca="1">VLOOKUP(M899,[2]character_tribe_i18n!$A:$I,9,FALSE)</f>
        <v>480</v>
      </c>
      <c r="AN899" s="97">
        <v>0</v>
      </c>
      <c r="AO899" s="98">
        <v>0</v>
      </c>
      <c r="AP899" s="58" t="s">
        <v>72</v>
      </c>
      <c r="AQ899" s="34">
        <f t="shared" ca="1" si="51"/>
        <v>898</v>
      </c>
    </row>
    <row r="900" spans="1:43" ht="21" customHeight="1" x14ac:dyDescent="0.15">
      <c r="A900" s="7">
        <f t="shared" ca="1" si="52"/>
        <v>899</v>
      </c>
      <c r="B900" s="6" t="str">
        <f ca="1">VLOOKUP(A900,[2]characters!$A:$C,3,FALSE)</f>
        <v>楽園からの帰還 アザゼル</v>
      </c>
      <c r="C900" s="9">
        <f ca="1">VLOOKUP(A900,[2]characters!$A:$I,9,FALSE)</f>
        <v>5</v>
      </c>
      <c r="D900" s="9" t="str">
        <f ca="1">VLOOKUP(A900,[2]characters!$A:$H,8,FALSE)</f>
        <v>green</v>
      </c>
      <c r="E900" s="97">
        <f ca="1">VLOOKUP(D900,[2]属性!$A:$E,2,FALSE)</f>
        <v>1.02</v>
      </c>
      <c r="F900" s="97">
        <f ca="1">VLOOKUP(D900,[2]属性!$A:$E,3,FALSE)</f>
        <v>0.98</v>
      </c>
      <c r="G900" s="97">
        <f ca="1">VLOOKUP(D900,[2]属性!$A:$F,4,FALSE)</f>
        <v>1</v>
      </c>
      <c r="H900" s="9" t="str">
        <f ca="1">VLOOKUP(A900,[2]characters!$A:$K,11,FALSE)</f>
        <v>technical</v>
      </c>
      <c r="I900" s="6" t="str">
        <f ca="1">VLOOKUP(H900,[2]character_type_i18n!$A:$F,3,FALSE)</f>
        <v>テクニカルタイプ</v>
      </c>
      <c r="J900" s="106">
        <v>1</v>
      </c>
      <c r="K900" s="106">
        <v>1</v>
      </c>
      <c r="L900" s="106">
        <f ca="1">VLOOKUP(H900,[2]character_type_i18n!$A:$F,6,FALSE)</f>
        <v>1</v>
      </c>
      <c r="M900" s="9" t="s">
        <v>140</v>
      </c>
      <c r="N900" s="6" t="str">
        <f>VLOOKUP(M900,[2]character_tribe_i18n!$A:$F,3,FALSE)</f>
        <v>ゴッド</v>
      </c>
      <c r="O900" s="97">
        <f>VLOOKUP(M900,[2]character_tribe_i18n!$A:$F,4,FALSE)</f>
        <v>0.96</v>
      </c>
      <c r="P900" s="97">
        <f>VLOOKUP(M900,[2]character_tribe_i18n!$A:$F,5,FALSE)</f>
        <v>1.02</v>
      </c>
      <c r="Q900" s="97">
        <f>VLOOKUP(M900,[2]character_tribe_i18n!$A:$F,6,FALSE)</f>
        <v>1</v>
      </c>
      <c r="R900" s="98" t="s">
        <v>98</v>
      </c>
      <c r="S900" s="97">
        <f>VLOOKUP($R900,ラベル別係数!$A$1:$E$7,3,FALSE)</f>
        <v>5</v>
      </c>
      <c r="T900" s="97">
        <f>VLOOKUP($R900,ラベル別係数!$A$1:$E$7,4,FALSE)</f>
        <v>1.3</v>
      </c>
      <c r="U900" s="97">
        <f>VLOOKUP($R900,ラベル別係数!$A$1:$E$7,5,FALSE)</f>
        <v>0.8</v>
      </c>
      <c r="V900" s="98">
        <v>3</v>
      </c>
      <c r="W900" s="99">
        <f>VLOOKUP(V900,ターン数別攻撃係数!$A$1:$B$1000,2,FALSE)</f>
        <v>1</v>
      </c>
      <c r="X900" s="9">
        <f ca="1">VLOOKUP(C900,サイズ別係数!A$2:B$9,2,FALSE)</f>
        <v>60</v>
      </c>
      <c r="Y900" s="97">
        <f ca="1">VLOOKUP($X900,サイズ別係数!$B:$E,2,FALSE)</f>
        <v>1.7</v>
      </c>
      <c r="Z900" s="97">
        <f ca="1">VLOOKUP($X900,サイズ別係数!$B:$E,3,FALSE)</f>
        <v>1.4</v>
      </c>
      <c r="AA900" s="97">
        <f ca="1">VLOOKUP($X900,サイズ別係数!$B:$E,4,FALSE)</f>
        <v>1</v>
      </c>
      <c r="AB900" s="10">
        <v>0</v>
      </c>
      <c r="AC900" s="6" t="str">
        <f ca="1">VLOOKUP($AB900,OFFSET([3]enemy_skill_sets!$B$2,0,0,COUNTA([3]enemy_skill_sets!$A:$A),MATCH(AC$1,[3]enemy_skill_sets!$1:$1,0)-MATCH($AB$1,[3]enemy_skill_sets!$1:$1,0)+1),MATCH(AC$1,[3]enemy_skill_sets!$1:$1,0)-MATCH($AB$1,[3]enemy_skill_sets!$1:$1,0)+1,FALSE)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0" s="67">
        <v>1</v>
      </c>
      <c r="AE900" s="67">
        <v>1</v>
      </c>
      <c r="AF900" s="68">
        <v>0</v>
      </c>
      <c r="AG900" s="99">
        <f ca="1">ROUND(VLOOKUP(1,enemy_base_stats!$A:$F,2,FALSE) * Y900* J900*O900*E900*S900*AD900*[2]ステータス!$B$2,0)</f>
        <v>4162</v>
      </c>
      <c r="AH900" s="99">
        <f ca="1">ROUND(VLOOKUP(1,enemy_base_stats!$A:$F,3,FALSE) * Z900*K900*P900*F900*T900*AE900 * W900*[2]ステータス!$C$2,0)</f>
        <v>273</v>
      </c>
      <c r="AI900" s="99">
        <f ca="1">ROUND(VLOOKUP(1,enemy_base_stats!$A:$F,4,FALSE) * AA900*L900*Q900*G900*U900*AF900*[2]ステータス!$D$2,0)</f>
        <v>0</v>
      </c>
      <c r="AJ900" s="99">
        <f ca="1">ROUND(VLOOKUP(100,enemy_base_stats!$A:$F,2,FALSE) * Y900* J900*O900*E900*S900*AD900*[2]ステータス!$B$2,0)</f>
        <v>168961</v>
      </c>
      <c r="AK900" s="99">
        <f ca="1">ROUND(VLOOKUP(100,enemy_base_stats!$A:$F,3,FALSE)* Z900* K900*P900*F900*T900*AE900 * W900*[2]ステータス!$C$2,0)</f>
        <v>11079</v>
      </c>
      <c r="AL900" s="99">
        <f ca="1">ROUND(VLOOKUP(100,enemy_base_stats!$A:$F,4,FALSE)* AA900* L900*Q900*G900*U900*AF900*[2]ステータス!$D$2,0)</f>
        <v>0</v>
      </c>
      <c r="AM900" s="97">
        <f>VLOOKUP(M900,[2]character_tribe_i18n!$A:$I,9,FALSE)</f>
        <v>680</v>
      </c>
      <c r="AN900" s="97">
        <v>0</v>
      </c>
      <c r="AO900" s="98">
        <v>0</v>
      </c>
      <c r="AP900" s="58" t="s">
        <v>72</v>
      </c>
      <c r="AQ900" s="34">
        <f t="shared" ca="1" si="51"/>
        <v>899</v>
      </c>
    </row>
    <row r="901" spans="1:43" ht="21" customHeight="1" x14ac:dyDescent="0.15">
      <c r="A901" s="7">
        <f t="shared" ca="1" si="52"/>
        <v>900</v>
      </c>
      <c r="B901" s="6" t="str">
        <f ca="1">VLOOKUP(A901,[2]characters!$A:$C,3,FALSE)</f>
        <v>桃源郷での大宴会 アザゼル</v>
      </c>
      <c r="C901" s="9">
        <f ca="1">VLOOKUP(A901,[2]characters!$A:$I,9,FALSE)</f>
        <v>6</v>
      </c>
      <c r="D901" s="9" t="str">
        <f ca="1">VLOOKUP(A901,[2]characters!$A:$H,8,FALSE)</f>
        <v>green</v>
      </c>
      <c r="E901" s="97">
        <f ca="1">VLOOKUP(D901,[2]属性!$A:$E,2,FALSE)</f>
        <v>1.02</v>
      </c>
      <c r="F901" s="97">
        <f ca="1">VLOOKUP(D901,[2]属性!$A:$E,3,FALSE)</f>
        <v>0.98</v>
      </c>
      <c r="G901" s="97">
        <f ca="1">VLOOKUP(D901,[2]属性!$A:$F,4,FALSE)</f>
        <v>1</v>
      </c>
      <c r="H901" s="9" t="str">
        <f ca="1">VLOOKUP(A901,[2]characters!$A:$K,11,FALSE)</f>
        <v>technical</v>
      </c>
      <c r="I901" s="6" t="str">
        <f ca="1">VLOOKUP(H901,[2]character_type_i18n!$A:$F,3,FALSE)</f>
        <v>テクニカルタイプ</v>
      </c>
      <c r="J901" s="106">
        <v>1</v>
      </c>
      <c r="K901" s="106">
        <v>1</v>
      </c>
      <c r="L901" s="106">
        <f ca="1">VLOOKUP(H901,[2]character_type_i18n!$A:$F,6,FALSE)</f>
        <v>1</v>
      </c>
      <c r="M901" s="9" t="s">
        <v>140</v>
      </c>
      <c r="N901" s="6" t="str">
        <f>VLOOKUP(M901,[2]character_tribe_i18n!$A:$F,3,FALSE)</f>
        <v>ゴッド</v>
      </c>
      <c r="O901" s="97">
        <f>VLOOKUP(M901,[2]character_tribe_i18n!$A:$F,4,FALSE)</f>
        <v>0.96</v>
      </c>
      <c r="P901" s="97">
        <f>VLOOKUP(M901,[2]character_tribe_i18n!$A:$F,5,FALSE)</f>
        <v>1.02</v>
      </c>
      <c r="Q901" s="97">
        <f>VLOOKUP(M901,[2]character_tribe_i18n!$A:$F,6,FALSE)</f>
        <v>1</v>
      </c>
      <c r="R901" s="98" t="s">
        <v>98</v>
      </c>
      <c r="S901" s="97">
        <f>VLOOKUP($R901,ラベル別係数!$A$1:$E$7,3,FALSE)</f>
        <v>5</v>
      </c>
      <c r="T901" s="97">
        <f>VLOOKUP($R901,ラベル別係数!$A$1:$E$7,4,FALSE)</f>
        <v>1.3</v>
      </c>
      <c r="U901" s="97">
        <f>VLOOKUP($R901,ラベル別係数!$A$1:$E$7,5,FALSE)</f>
        <v>0.8</v>
      </c>
      <c r="V901" s="98">
        <v>3</v>
      </c>
      <c r="W901" s="99">
        <f>VLOOKUP(V901,ターン数別攻撃係数!$A$1:$B$1000,2,FALSE)</f>
        <v>1</v>
      </c>
      <c r="X901" s="9">
        <f ca="1">VLOOKUP(C901,サイズ別係数!A$2:B$9,2,FALSE)</f>
        <v>60</v>
      </c>
      <c r="Y901" s="97">
        <f ca="1">VLOOKUP($X901,サイズ別係数!$B:$E,2,FALSE)</f>
        <v>1.7</v>
      </c>
      <c r="Z901" s="97">
        <f ca="1">VLOOKUP($X901,サイズ別係数!$B:$E,3,FALSE)</f>
        <v>1.4</v>
      </c>
      <c r="AA901" s="97">
        <f ca="1">VLOOKUP($X901,サイズ別係数!$B:$E,4,FALSE)</f>
        <v>1</v>
      </c>
      <c r="AB901" s="10">
        <v>0</v>
      </c>
      <c r="AC901" s="6" t="str">
        <f ca="1">VLOOKUP($AB901,OFFSET([3]enemy_skill_sets!$B$2,0,0,COUNTA([3]enemy_skill_sets!$A:$A),MATCH(AC$1,[3]enemy_skill_sets!$1:$1,0)-MATCH($AB$1,[3]enemy_skill_sets!$1:$1,0)+1),MATCH(AC$1,[3]enemy_skill_sets!$1:$1,0)-MATCH($AB$1,[3]enemy_skill_sets!$1:$1,0)+1,FALSE)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1" s="67">
        <v>1</v>
      </c>
      <c r="AE901" s="67">
        <v>1</v>
      </c>
      <c r="AF901" s="68">
        <v>0</v>
      </c>
      <c r="AG901" s="99">
        <f ca="1">ROUND(VLOOKUP(1,enemy_base_stats!$A:$F,2,FALSE) * Y901* J901*O901*E901*S901*AD901*[2]ステータス!$B$2,0)</f>
        <v>4162</v>
      </c>
      <c r="AH901" s="99">
        <f ca="1">ROUND(VLOOKUP(1,enemy_base_stats!$A:$F,3,FALSE) * Z901*K901*P901*F901*T901*AE901 * W901*[2]ステータス!$C$2,0)</f>
        <v>273</v>
      </c>
      <c r="AI901" s="99">
        <f ca="1">ROUND(VLOOKUP(1,enemy_base_stats!$A:$F,4,FALSE) * AA901*L901*Q901*G901*U901*AF901*[2]ステータス!$D$2,0)</f>
        <v>0</v>
      </c>
      <c r="AJ901" s="99">
        <f ca="1">ROUND(VLOOKUP(100,enemy_base_stats!$A:$F,2,FALSE) * Y901* J901*O901*E901*S901*AD901*[2]ステータス!$B$2,0)</f>
        <v>168961</v>
      </c>
      <c r="AK901" s="99">
        <f ca="1">ROUND(VLOOKUP(100,enemy_base_stats!$A:$F,3,FALSE)* Z901* K901*P901*F901*T901*AE901 * W901*[2]ステータス!$C$2,0)</f>
        <v>11079</v>
      </c>
      <c r="AL901" s="99">
        <f ca="1">ROUND(VLOOKUP(100,enemy_base_stats!$A:$F,4,FALSE)* AA901* L901*Q901*G901*U901*AF901*[2]ステータス!$D$2,0)</f>
        <v>0</v>
      </c>
      <c r="AM901" s="97">
        <f>VLOOKUP(M901,[2]character_tribe_i18n!$A:$I,9,FALSE)</f>
        <v>680</v>
      </c>
      <c r="AN901" s="97">
        <v>0</v>
      </c>
      <c r="AO901" s="98">
        <v>0</v>
      </c>
      <c r="AP901" s="58" t="s">
        <v>72</v>
      </c>
      <c r="AQ901" s="34">
        <f t="shared" ca="1" si="51"/>
        <v>900</v>
      </c>
    </row>
    <row r="902" spans="1:43" ht="21" customHeight="1" x14ac:dyDescent="0.15">
      <c r="A902" s="7">
        <f t="shared" ca="1" si="52"/>
        <v>901</v>
      </c>
      <c r="B902" s="6" t="str">
        <f ca="1">VLOOKUP(A902,[2]characters!$A:$C,3,FALSE)</f>
        <v>恩愛性ニムダ</v>
      </c>
      <c r="C902" s="9">
        <f ca="1">VLOOKUP(A902,[2]characters!$A:$I,9,FALSE)</f>
        <v>4</v>
      </c>
      <c r="D902" s="9" t="str">
        <f ca="1">VLOOKUP(A902,[2]characters!$A:$H,8,FALSE)</f>
        <v>yellow</v>
      </c>
      <c r="E902" s="97">
        <f ca="1">VLOOKUP(D902,[2]属性!$A:$E,2,FALSE)</f>
        <v>0.98</v>
      </c>
      <c r="F902" s="97">
        <f ca="1">VLOOKUP(D902,[2]属性!$A:$E,3,FALSE)</f>
        <v>1.01</v>
      </c>
      <c r="G902" s="97">
        <f ca="1">VLOOKUP(D902,[2]属性!$A:$F,4,FALSE)</f>
        <v>1</v>
      </c>
      <c r="H902" s="9" t="str">
        <f ca="1">VLOOKUP(A902,[2]characters!$A:$K,11,FALSE)</f>
        <v>technical</v>
      </c>
      <c r="I902" s="6" t="str">
        <f ca="1">VLOOKUP(H902,[2]character_type_i18n!$A:$F,3,FALSE)</f>
        <v>テクニカルタイプ</v>
      </c>
      <c r="J902" s="106">
        <v>1</v>
      </c>
      <c r="K902" s="106">
        <v>1</v>
      </c>
      <c r="L902" s="106">
        <f ca="1">VLOOKUP(H902,[2]character_type_i18n!$A:$F,6,FALSE)</f>
        <v>1</v>
      </c>
      <c r="M902" s="9" t="s">
        <v>141</v>
      </c>
      <c r="N902" s="6" t="str">
        <f>VLOOKUP(M902,[2]character_tribe_i18n!$A:$F,3,FALSE)</f>
        <v>Unknown</v>
      </c>
      <c r="O902" s="97">
        <f>VLOOKUP(M902,[2]character_tribe_i18n!$A:$F,4,FALSE)</f>
        <v>1</v>
      </c>
      <c r="P902" s="97">
        <f>VLOOKUP(M902,[2]character_tribe_i18n!$A:$F,5,FALSE)</f>
        <v>1</v>
      </c>
      <c r="Q902" s="97">
        <f>VLOOKUP(M902,[2]character_tribe_i18n!$A:$F,6,FALSE)</f>
        <v>1</v>
      </c>
      <c r="R902" s="98" t="s">
        <v>98</v>
      </c>
      <c r="S902" s="97">
        <f>VLOOKUP($R902,ラベル別係数!$A$1:$E$7,3,FALSE)</f>
        <v>5</v>
      </c>
      <c r="T902" s="97">
        <f>VLOOKUP($R902,ラベル別係数!$A$1:$E$7,4,FALSE)</f>
        <v>1.3</v>
      </c>
      <c r="U902" s="97">
        <f>VLOOKUP($R902,ラベル別係数!$A$1:$E$7,5,FALSE)</f>
        <v>0.8</v>
      </c>
      <c r="V902" s="98">
        <v>3</v>
      </c>
      <c r="W902" s="99">
        <f>VLOOKUP(V902,ターン数別攻撃係数!$A$1:$B$1000,2,FALSE)</f>
        <v>1</v>
      </c>
      <c r="X902" s="9">
        <f ca="1">VLOOKUP(C902,サイズ別係数!A$2:B$9,2,FALSE)</f>
        <v>30</v>
      </c>
      <c r="Y902" s="97">
        <f ca="1">VLOOKUP($X902,サイズ別係数!$B:$E,2,FALSE)</f>
        <v>1.3</v>
      </c>
      <c r="Z902" s="97">
        <f ca="1">VLOOKUP($X902,サイズ別係数!$B:$E,3,FALSE)</f>
        <v>1.3</v>
      </c>
      <c r="AA902" s="97">
        <f ca="1">VLOOKUP($X902,サイズ別係数!$B:$E,4,FALSE)</f>
        <v>1.1000000000000001</v>
      </c>
      <c r="AB902" s="10">
        <v>0</v>
      </c>
      <c r="AC902" s="6" t="str">
        <f ca="1">VLOOKUP($AB902,OFFSET([3]enemy_skill_sets!$B$2,0,0,COUNTA([3]enemy_skill_sets!$A:$A),MATCH(AC$1,[3]enemy_skill_sets!$1:$1,0)-MATCH($AB$1,[3]enemy_skill_sets!$1:$1,0)+1),MATCH(AC$1,[3]enemy_skill_sets!$1:$1,0)-MATCH($AB$1,[3]enemy_skill_sets!$1:$1,0)+1,FALSE)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2" s="67">
        <v>1</v>
      </c>
      <c r="AE902" s="67">
        <v>1</v>
      </c>
      <c r="AF902" s="68">
        <v>0</v>
      </c>
      <c r="AG902" s="99">
        <f ca="1">ROUND(VLOOKUP(1,enemy_base_stats!$A:$F,2,FALSE) * Y902* J902*O902*E902*S902*AD902*[2]ステータス!$B$2,0)</f>
        <v>3185</v>
      </c>
      <c r="AH902" s="99">
        <f ca="1">ROUND(VLOOKUP(1,enemy_base_stats!$A:$F,3,FALSE) * Z902*K902*P902*F902*T902*AE902 * W902*[2]ステータス!$C$2,0)</f>
        <v>256</v>
      </c>
      <c r="AI902" s="99">
        <f ca="1">ROUND(VLOOKUP(1,enemy_base_stats!$A:$F,4,FALSE) * AA902*L902*Q902*G902*U902*AF902*[2]ステータス!$D$2,0)</f>
        <v>0</v>
      </c>
      <c r="AJ902" s="99">
        <f ca="1">ROUND(VLOOKUP(100,enemy_base_stats!$A:$F,2,FALSE) * Y902* J902*O902*E902*S902*AD902*[2]ステータス!$B$2,0)</f>
        <v>129311</v>
      </c>
      <c r="AK902" s="99">
        <f ca="1">ROUND(VLOOKUP(100,enemy_base_stats!$A:$F,3,FALSE)* Z902* K902*P902*F902*T902*AE902 * W902*[2]ステータス!$C$2,0)</f>
        <v>10395</v>
      </c>
      <c r="AL902" s="99">
        <f ca="1">ROUND(VLOOKUP(100,enemy_base_stats!$A:$F,4,FALSE)* AA902* L902*Q902*G902*U902*AF902*[2]ステータス!$D$2,0)</f>
        <v>0</v>
      </c>
      <c r="AM902" s="97">
        <f>VLOOKUP(M902,[2]character_tribe_i18n!$A:$I,9,FALSE)</f>
        <v>340</v>
      </c>
      <c r="AN902" s="97">
        <v>0</v>
      </c>
      <c r="AO902" s="98">
        <v>0</v>
      </c>
      <c r="AP902" s="58" t="s">
        <v>72</v>
      </c>
      <c r="AQ902" s="34">
        <f t="shared" ca="1" si="51"/>
        <v>901</v>
      </c>
    </row>
    <row r="903" spans="1:43" ht="21" customHeight="1" x14ac:dyDescent="0.15">
      <c r="A903" s="7">
        <f t="shared" ca="1" si="52"/>
        <v>902</v>
      </c>
      <c r="B903" s="6" t="str">
        <f ca="1">VLOOKUP(A903,[2]characters!$A:$C,3,FALSE)</f>
        <v>集団恩愛性ニムダL</v>
      </c>
      <c r="C903" s="9">
        <f ca="1">VLOOKUP(A903,[2]characters!$A:$I,9,FALSE)</f>
        <v>5</v>
      </c>
      <c r="D903" s="9" t="str">
        <f ca="1">VLOOKUP(A903,[2]characters!$A:$H,8,FALSE)</f>
        <v>yellow</v>
      </c>
      <c r="E903" s="97">
        <f ca="1">VLOOKUP(D903,[2]属性!$A:$E,2,FALSE)</f>
        <v>0.98</v>
      </c>
      <c r="F903" s="97">
        <f ca="1">VLOOKUP(D903,[2]属性!$A:$E,3,FALSE)</f>
        <v>1.01</v>
      </c>
      <c r="G903" s="97">
        <f ca="1">VLOOKUP(D903,[2]属性!$A:$F,4,FALSE)</f>
        <v>1</v>
      </c>
      <c r="H903" s="9" t="str">
        <f ca="1">VLOOKUP(A903,[2]characters!$A:$K,11,FALSE)</f>
        <v>technical</v>
      </c>
      <c r="I903" s="6" t="str">
        <f ca="1">VLOOKUP(H903,[2]character_type_i18n!$A:$F,3,FALSE)</f>
        <v>テクニカルタイプ</v>
      </c>
      <c r="J903" s="106">
        <v>1</v>
      </c>
      <c r="K903" s="106">
        <v>1</v>
      </c>
      <c r="L903" s="106">
        <f ca="1">VLOOKUP(H903,[2]character_type_i18n!$A:$F,6,FALSE)</f>
        <v>1</v>
      </c>
      <c r="M903" s="9" t="s">
        <v>141</v>
      </c>
      <c r="N903" s="6" t="str">
        <f>VLOOKUP(M903,[2]character_tribe_i18n!$A:$F,3,FALSE)</f>
        <v>Unknown</v>
      </c>
      <c r="O903" s="97">
        <f>VLOOKUP(M903,[2]character_tribe_i18n!$A:$F,4,FALSE)</f>
        <v>1</v>
      </c>
      <c r="P903" s="97">
        <f>VLOOKUP(M903,[2]character_tribe_i18n!$A:$F,5,FALSE)</f>
        <v>1</v>
      </c>
      <c r="Q903" s="97">
        <f>VLOOKUP(M903,[2]character_tribe_i18n!$A:$F,6,FALSE)</f>
        <v>1</v>
      </c>
      <c r="R903" s="98" t="s">
        <v>98</v>
      </c>
      <c r="S903" s="97">
        <f>VLOOKUP($R903,ラベル別係数!$A$1:$E$7,3,FALSE)</f>
        <v>5</v>
      </c>
      <c r="T903" s="97">
        <f>VLOOKUP($R903,ラベル別係数!$A$1:$E$7,4,FALSE)</f>
        <v>1.3</v>
      </c>
      <c r="U903" s="97">
        <f>VLOOKUP($R903,ラベル別係数!$A$1:$E$7,5,FALSE)</f>
        <v>0.8</v>
      </c>
      <c r="V903" s="98">
        <v>3</v>
      </c>
      <c r="W903" s="99">
        <f>VLOOKUP(V903,ターン数別攻撃係数!$A$1:$B$1000,2,FALSE)</f>
        <v>1</v>
      </c>
      <c r="X903" s="9">
        <f ca="1">VLOOKUP(C903,サイズ別係数!A$2:B$9,2,FALSE)</f>
        <v>60</v>
      </c>
      <c r="Y903" s="97">
        <f ca="1">VLOOKUP($X903,サイズ別係数!$B:$E,2,FALSE)</f>
        <v>1.7</v>
      </c>
      <c r="Z903" s="97">
        <f ca="1">VLOOKUP($X903,サイズ別係数!$B:$E,3,FALSE)</f>
        <v>1.4</v>
      </c>
      <c r="AA903" s="97">
        <f ca="1">VLOOKUP($X903,サイズ別係数!$B:$E,4,FALSE)</f>
        <v>1</v>
      </c>
      <c r="AB903" s="10">
        <v>0</v>
      </c>
      <c r="AC903" s="6" t="str">
        <f ca="1">VLOOKUP($AB903,OFFSET([3]enemy_skill_sets!$B$2,0,0,COUNTA([3]enemy_skill_sets!$A:$A),MATCH(AC$1,[3]enemy_skill_sets!$1:$1,0)-MATCH($AB$1,[3]enemy_skill_sets!$1:$1,0)+1),MATCH(AC$1,[3]enemy_skill_sets!$1:$1,0)-MATCH($AB$1,[3]enemy_skill_sets!$1:$1,0)+1,FALSE)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3" s="67">
        <v>1</v>
      </c>
      <c r="AE903" s="67">
        <v>1</v>
      </c>
      <c r="AF903" s="68">
        <v>0</v>
      </c>
      <c r="AG903" s="99">
        <f ca="1">ROUND(VLOOKUP(1,enemy_base_stats!$A:$F,2,FALSE) * Y903* J903*O903*E903*S903*AD903*[2]ステータス!$B$2,0)</f>
        <v>4165</v>
      </c>
      <c r="AH903" s="99">
        <f ca="1">ROUND(VLOOKUP(1,enemy_base_stats!$A:$F,3,FALSE) * Z903*K903*P903*F903*T903*AE903 * W903*[2]ステータス!$C$2,0)</f>
        <v>276</v>
      </c>
      <c r="AI903" s="99">
        <f ca="1">ROUND(VLOOKUP(1,enemy_base_stats!$A:$F,4,FALSE) * AA903*L903*Q903*G903*U903*AF903*[2]ステータス!$D$2,0)</f>
        <v>0</v>
      </c>
      <c r="AJ903" s="99">
        <f ca="1">ROUND(VLOOKUP(100,enemy_base_stats!$A:$F,2,FALSE) * Y903* J903*O903*E903*S903*AD903*[2]ステータス!$B$2,0)</f>
        <v>169099</v>
      </c>
      <c r="AK903" s="99">
        <f ca="1">ROUND(VLOOKUP(100,enemy_base_stats!$A:$F,3,FALSE)* Z903* K903*P903*F903*T903*AE903 * W903*[2]ステータス!$C$2,0)</f>
        <v>11195</v>
      </c>
      <c r="AL903" s="99">
        <f ca="1">ROUND(VLOOKUP(100,enemy_base_stats!$A:$F,4,FALSE)* AA903* L903*Q903*G903*U903*AF903*[2]ステータス!$D$2,0)</f>
        <v>0</v>
      </c>
      <c r="AM903" s="97">
        <f>VLOOKUP(M903,[2]character_tribe_i18n!$A:$I,9,FALSE)</f>
        <v>340</v>
      </c>
      <c r="AN903" s="97">
        <v>0</v>
      </c>
      <c r="AO903" s="98">
        <v>0</v>
      </c>
      <c r="AP903" s="58" t="s">
        <v>72</v>
      </c>
      <c r="AQ903" s="34">
        <f t="shared" ca="1" si="51"/>
        <v>902</v>
      </c>
    </row>
    <row r="904" spans="1:43" ht="21" customHeight="1" x14ac:dyDescent="0.15">
      <c r="A904" s="7">
        <f t="shared" ca="1" si="52"/>
        <v>903</v>
      </c>
      <c r="B904" s="6" t="str">
        <f ca="1">VLOOKUP(A904,[2]characters!$A:$C,3,FALSE)</f>
        <v>ハローキティ</v>
      </c>
      <c r="C904" s="9">
        <f ca="1">VLOOKUP(A904,[2]characters!$A:$I,9,FALSE)</f>
        <v>4</v>
      </c>
      <c r="D904" s="9" t="str">
        <f ca="1">VLOOKUP(A904,[2]characters!$A:$H,8,FALSE)</f>
        <v>red</v>
      </c>
      <c r="E904" s="97">
        <f ca="1">VLOOKUP(D904,[2]属性!$A:$E,2,FALSE)</f>
        <v>1</v>
      </c>
      <c r="F904" s="97">
        <f ca="1">VLOOKUP(D904,[2]属性!$A:$E,3,FALSE)</f>
        <v>1.02</v>
      </c>
      <c r="G904" s="97">
        <f ca="1">VLOOKUP(D904,[2]属性!$A:$F,4,FALSE)</f>
        <v>1</v>
      </c>
      <c r="H904" s="9" t="str">
        <f ca="1">VLOOKUP(A904,[2]characters!$A:$K,11,FALSE)</f>
        <v>balance</v>
      </c>
      <c r="I904" s="6" t="str">
        <f ca="1">VLOOKUP(H904,[2]character_type_i18n!$A:$F,3,FALSE)</f>
        <v>バランスタイプ</v>
      </c>
      <c r="J904" s="106">
        <v>1</v>
      </c>
      <c r="K904" s="106">
        <v>1</v>
      </c>
      <c r="L904" s="106">
        <f ca="1">VLOOKUP(H904,[2]character_type_i18n!$A:$F,6,FALSE)</f>
        <v>1</v>
      </c>
      <c r="M904" s="9" t="s">
        <v>142</v>
      </c>
      <c r="N904" s="6" t="str">
        <f>VLOOKUP(M904,[2]character_tribe_i18n!$A:$F,3,FALSE)</f>
        <v>Unknown</v>
      </c>
      <c r="O904" s="97">
        <f>VLOOKUP(M904,[2]character_tribe_i18n!$A:$F,4,FALSE)</f>
        <v>1</v>
      </c>
      <c r="P904" s="97">
        <f>VLOOKUP(M904,[2]character_tribe_i18n!$A:$F,5,FALSE)</f>
        <v>1</v>
      </c>
      <c r="Q904" s="97">
        <f>VLOOKUP(M904,[2]character_tribe_i18n!$A:$F,6,FALSE)</f>
        <v>1</v>
      </c>
      <c r="R904" s="98" t="s">
        <v>98</v>
      </c>
      <c r="S904" s="97">
        <f>VLOOKUP($R904,ラベル別係数!$A$1:$E$7,3,FALSE)</f>
        <v>5</v>
      </c>
      <c r="T904" s="97">
        <f>VLOOKUP($R904,ラベル別係数!$A$1:$E$7,4,FALSE)</f>
        <v>1.3</v>
      </c>
      <c r="U904" s="97">
        <f>VLOOKUP($R904,ラベル別係数!$A$1:$E$7,5,FALSE)</f>
        <v>0.8</v>
      </c>
      <c r="V904" s="98">
        <v>3</v>
      </c>
      <c r="W904" s="99">
        <f>VLOOKUP(V904,ターン数別攻撃係数!$A$1:$B$1000,2,FALSE)</f>
        <v>1</v>
      </c>
      <c r="X904" s="9">
        <f ca="1">VLOOKUP(C904,サイズ別係数!A$2:B$9,2,FALSE)</f>
        <v>30</v>
      </c>
      <c r="Y904" s="97">
        <f ca="1">VLOOKUP($X904,サイズ別係数!$B:$E,2,FALSE)</f>
        <v>1.3</v>
      </c>
      <c r="Z904" s="97">
        <f ca="1">VLOOKUP($X904,サイズ別係数!$B:$E,3,FALSE)</f>
        <v>1.3</v>
      </c>
      <c r="AA904" s="97">
        <f ca="1">VLOOKUP($X904,サイズ別係数!$B:$E,4,FALSE)</f>
        <v>1.1000000000000001</v>
      </c>
      <c r="AB904" s="10">
        <v>0</v>
      </c>
      <c r="AC904" s="6" t="str">
        <f ca="1">VLOOKUP($AB904,OFFSET([3]enemy_skill_sets!$B$2,0,0,COUNTA([3]enemy_skill_sets!$A:$A),MATCH(AC$1,[3]enemy_skill_sets!$1:$1,0)-MATCH($AB$1,[3]enemy_skill_sets!$1:$1,0)+1),MATCH(AC$1,[3]enemy_skill_sets!$1:$1,0)-MATCH($AB$1,[3]enemy_skill_sets!$1:$1,0)+1,FALSE)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4" s="67">
        <v>1</v>
      </c>
      <c r="AE904" s="67">
        <v>1</v>
      </c>
      <c r="AF904" s="68">
        <v>0</v>
      </c>
      <c r="AG904" s="99">
        <f ca="1">ROUND(VLOOKUP(1,enemy_base_stats!$A:$F,2,FALSE) * Y904* J904*O904*E904*S904*AD904*[2]ステータス!$B$2,0)</f>
        <v>3250</v>
      </c>
      <c r="AH904" s="99">
        <f ca="1">ROUND(VLOOKUP(1,enemy_base_stats!$A:$F,3,FALSE) * Z904*K904*P904*F904*T904*AE904 * W904*[2]ステータス!$C$2,0)</f>
        <v>259</v>
      </c>
      <c r="AI904" s="99">
        <f ca="1">ROUND(VLOOKUP(1,enemy_base_stats!$A:$F,4,FALSE) * AA904*L904*Q904*G904*U904*AF904*[2]ステータス!$D$2,0)</f>
        <v>0</v>
      </c>
      <c r="AJ904" s="99">
        <f ca="1">ROUND(VLOOKUP(100,enemy_base_stats!$A:$F,2,FALSE) * Y904* J904*O904*E904*S904*AD904*[2]ステータス!$B$2,0)</f>
        <v>131950</v>
      </c>
      <c r="AK904" s="99">
        <f ca="1">ROUND(VLOOKUP(100,enemy_base_stats!$A:$F,3,FALSE)* Z904* K904*P904*F904*T904*AE904 * W904*[2]ステータス!$C$2,0)</f>
        <v>10498</v>
      </c>
      <c r="AL904" s="99">
        <f ca="1">ROUND(VLOOKUP(100,enemy_base_stats!$A:$F,4,FALSE)* AA904* L904*Q904*G904*U904*AF904*[2]ステータス!$D$2,0)</f>
        <v>0</v>
      </c>
      <c r="AM904" s="97">
        <f>VLOOKUP(M904,[2]character_tribe_i18n!$A:$I,9,FALSE)</f>
        <v>340</v>
      </c>
      <c r="AN904" s="97">
        <v>0</v>
      </c>
      <c r="AO904" s="98">
        <v>0</v>
      </c>
      <c r="AP904" s="58" t="s">
        <v>72</v>
      </c>
      <c r="AQ904" s="34">
        <f t="shared" ca="1" si="51"/>
        <v>903</v>
      </c>
    </row>
    <row r="905" spans="1:43" ht="21" customHeight="1" x14ac:dyDescent="0.15">
      <c r="A905" s="7">
        <f t="shared" ca="1" si="52"/>
        <v>904</v>
      </c>
      <c r="B905" s="6" t="str">
        <f ca="1">VLOOKUP(A905,[2]characters!$A:$C,3,FALSE)</f>
        <v>りんごの馬車　ハローキティ</v>
      </c>
      <c r="C905" s="9">
        <f ca="1">VLOOKUP(A905,[2]characters!$A:$I,9,FALSE)</f>
        <v>5</v>
      </c>
      <c r="D905" s="9" t="str">
        <f ca="1">VLOOKUP(A905,[2]characters!$A:$H,8,FALSE)</f>
        <v>red</v>
      </c>
      <c r="E905" s="97">
        <f ca="1">VLOOKUP(D905,[2]属性!$A:$E,2,FALSE)</f>
        <v>1</v>
      </c>
      <c r="F905" s="97">
        <f ca="1">VLOOKUP(D905,[2]属性!$A:$E,3,FALSE)</f>
        <v>1.02</v>
      </c>
      <c r="G905" s="97">
        <f ca="1">VLOOKUP(D905,[2]属性!$A:$F,4,FALSE)</f>
        <v>1</v>
      </c>
      <c r="H905" s="9" t="str">
        <f ca="1">VLOOKUP(A905,[2]characters!$A:$K,11,FALSE)</f>
        <v>balance</v>
      </c>
      <c r="I905" s="6" t="str">
        <f ca="1">VLOOKUP(H905,[2]character_type_i18n!$A:$F,3,FALSE)</f>
        <v>バランスタイプ</v>
      </c>
      <c r="J905" s="106">
        <v>1</v>
      </c>
      <c r="K905" s="106">
        <v>1</v>
      </c>
      <c r="L905" s="106">
        <f ca="1">VLOOKUP(H905,[2]character_type_i18n!$A:$F,6,FALSE)</f>
        <v>1</v>
      </c>
      <c r="M905" s="9" t="s">
        <v>142</v>
      </c>
      <c r="N905" s="6" t="str">
        <f>VLOOKUP(M905,[2]character_tribe_i18n!$A:$F,3,FALSE)</f>
        <v>Unknown</v>
      </c>
      <c r="O905" s="97">
        <f>VLOOKUP(M905,[2]character_tribe_i18n!$A:$F,4,FALSE)</f>
        <v>1</v>
      </c>
      <c r="P905" s="97">
        <f>VLOOKUP(M905,[2]character_tribe_i18n!$A:$F,5,FALSE)</f>
        <v>1</v>
      </c>
      <c r="Q905" s="97">
        <f>VLOOKUP(M905,[2]character_tribe_i18n!$A:$F,6,FALSE)</f>
        <v>1</v>
      </c>
      <c r="R905" s="98" t="s">
        <v>98</v>
      </c>
      <c r="S905" s="97">
        <f>VLOOKUP($R905,ラベル別係数!$A$1:$E$7,3,FALSE)</f>
        <v>5</v>
      </c>
      <c r="T905" s="97">
        <f>VLOOKUP($R905,ラベル別係数!$A$1:$E$7,4,FALSE)</f>
        <v>1.3</v>
      </c>
      <c r="U905" s="97">
        <f>VLOOKUP($R905,ラベル別係数!$A$1:$E$7,5,FALSE)</f>
        <v>0.8</v>
      </c>
      <c r="V905" s="98">
        <v>3</v>
      </c>
      <c r="W905" s="99">
        <f>VLOOKUP(V905,ターン数別攻撃係数!$A$1:$B$1000,2,FALSE)</f>
        <v>1</v>
      </c>
      <c r="X905" s="9">
        <f ca="1">VLOOKUP(C905,サイズ別係数!A$2:B$9,2,FALSE)</f>
        <v>60</v>
      </c>
      <c r="Y905" s="97">
        <f ca="1">VLOOKUP($X905,サイズ別係数!$B:$E,2,FALSE)</f>
        <v>1.7</v>
      </c>
      <c r="Z905" s="97">
        <f ca="1">VLOOKUP($X905,サイズ別係数!$B:$E,3,FALSE)</f>
        <v>1.4</v>
      </c>
      <c r="AA905" s="97">
        <f ca="1">VLOOKUP($X905,サイズ別係数!$B:$E,4,FALSE)</f>
        <v>1</v>
      </c>
      <c r="AB905" s="10">
        <v>0</v>
      </c>
      <c r="AC905" s="6" t="str">
        <f ca="1">VLOOKUP($AB905,OFFSET([3]enemy_skill_sets!$B$2,0,0,COUNTA([3]enemy_skill_sets!$A:$A),MATCH(AC$1,[3]enemy_skill_sets!$1:$1,0)-MATCH($AB$1,[3]enemy_skill_sets!$1:$1,0)+1),MATCH(AC$1,[3]enemy_skill_sets!$1:$1,0)-MATCH($AB$1,[3]enemy_skill_sets!$1:$1,0)+1,FALSE)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5" s="67">
        <v>1</v>
      </c>
      <c r="AE905" s="67">
        <v>1</v>
      </c>
      <c r="AF905" s="68">
        <v>0</v>
      </c>
      <c r="AG905" s="99">
        <f ca="1">ROUND(VLOOKUP(1,enemy_base_stats!$A:$F,2,FALSE) * Y905* J905*O905*E905*S905*AD905*[2]ステータス!$B$2,0)</f>
        <v>4250</v>
      </c>
      <c r="AH905" s="99">
        <f ca="1">ROUND(VLOOKUP(1,enemy_base_stats!$A:$F,3,FALSE) * Z905*K905*P905*F905*T905*AE905 * W905*[2]ステータス!$C$2,0)</f>
        <v>278</v>
      </c>
      <c r="AI905" s="99">
        <f ca="1">ROUND(VLOOKUP(1,enemy_base_stats!$A:$F,4,FALSE) * AA905*L905*Q905*G905*U905*AF905*[2]ステータス!$D$2,0)</f>
        <v>0</v>
      </c>
      <c r="AJ905" s="99">
        <f ca="1">ROUND(VLOOKUP(100,enemy_base_stats!$A:$F,2,FALSE) * Y905* J905*O905*E905*S905*AD905*[2]ステータス!$B$2,0)</f>
        <v>172550</v>
      </c>
      <c r="AK905" s="99">
        <f ca="1">ROUND(VLOOKUP(100,enemy_base_stats!$A:$F,3,FALSE)* Z905* K905*P905*F905*T905*AE905 * W905*[2]ステータス!$C$2,0)</f>
        <v>11305</v>
      </c>
      <c r="AL905" s="99">
        <f ca="1">ROUND(VLOOKUP(100,enemy_base_stats!$A:$F,4,FALSE)* AA905* L905*Q905*G905*U905*AF905*[2]ステータス!$D$2,0)</f>
        <v>0</v>
      </c>
      <c r="AM905" s="97">
        <f>VLOOKUP(M905,[2]character_tribe_i18n!$A:$I,9,FALSE)</f>
        <v>340</v>
      </c>
      <c r="AN905" s="97">
        <v>0</v>
      </c>
      <c r="AO905" s="98">
        <v>0</v>
      </c>
      <c r="AP905" s="58" t="s">
        <v>72</v>
      </c>
      <c r="AQ905" s="34">
        <f t="shared" ca="1" si="51"/>
        <v>904</v>
      </c>
    </row>
    <row r="906" spans="1:43" ht="21" customHeight="1" x14ac:dyDescent="0.15">
      <c r="A906" s="7">
        <f t="shared" ca="1" si="52"/>
        <v>905</v>
      </c>
      <c r="B906" s="6" t="str">
        <f ca="1">VLOOKUP(A906,[2]characters!$A:$C,3,FALSE)</f>
        <v>KIRIMIちゃん.</v>
      </c>
      <c r="C906" s="9">
        <f ca="1">VLOOKUP(A906,[2]characters!$A:$I,9,FALSE)</f>
        <v>4</v>
      </c>
      <c r="D906" s="9" t="str">
        <f ca="1">VLOOKUP(A906,[2]characters!$A:$H,8,FALSE)</f>
        <v>red</v>
      </c>
      <c r="E906" s="97">
        <f ca="1">VLOOKUP(D906,[2]属性!$A:$E,2,FALSE)</f>
        <v>1</v>
      </c>
      <c r="F906" s="97">
        <f ca="1">VLOOKUP(D906,[2]属性!$A:$E,3,FALSE)</f>
        <v>1.02</v>
      </c>
      <c r="G906" s="97">
        <f ca="1">VLOOKUP(D906,[2]属性!$A:$F,4,FALSE)</f>
        <v>1</v>
      </c>
      <c r="H906" s="9" t="str">
        <f ca="1">VLOOKUP(A906,[2]characters!$A:$K,11,FALSE)</f>
        <v>hp</v>
      </c>
      <c r="I906" s="6" t="str">
        <f ca="1">VLOOKUP(H906,[2]character_type_i18n!$A:$F,3,FALSE)</f>
        <v>体力タイプ</v>
      </c>
      <c r="J906" s="106">
        <v>1</v>
      </c>
      <c r="K906" s="106">
        <v>1</v>
      </c>
      <c r="L906" s="106">
        <f ca="1">VLOOKUP(H906,[2]character_type_i18n!$A:$F,6,FALSE)</f>
        <v>1</v>
      </c>
      <c r="M906" s="9" t="s">
        <v>142</v>
      </c>
      <c r="N906" s="6" t="str">
        <f>VLOOKUP(M906,[2]character_tribe_i18n!$A:$F,3,FALSE)</f>
        <v>Unknown</v>
      </c>
      <c r="O906" s="97">
        <f>VLOOKUP(M906,[2]character_tribe_i18n!$A:$F,4,FALSE)</f>
        <v>1</v>
      </c>
      <c r="P906" s="97">
        <f>VLOOKUP(M906,[2]character_tribe_i18n!$A:$F,5,FALSE)</f>
        <v>1</v>
      </c>
      <c r="Q906" s="97">
        <f>VLOOKUP(M906,[2]character_tribe_i18n!$A:$F,6,FALSE)</f>
        <v>1</v>
      </c>
      <c r="R906" s="98" t="s">
        <v>98</v>
      </c>
      <c r="S906" s="97">
        <f>VLOOKUP($R906,ラベル別係数!$A$1:$E$7,3,FALSE)</f>
        <v>5</v>
      </c>
      <c r="T906" s="97">
        <f>VLOOKUP($R906,ラベル別係数!$A$1:$E$7,4,FALSE)</f>
        <v>1.3</v>
      </c>
      <c r="U906" s="97">
        <f>VLOOKUP($R906,ラベル別係数!$A$1:$E$7,5,FALSE)</f>
        <v>0.8</v>
      </c>
      <c r="V906" s="98">
        <v>3</v>
      </c>
      <c r="W906" s="99">
        <f>VLOOKUP(V906,ターン数別攻撃係数!$A$1:$B$1000,2,FALSE)</f>
        <v>1</v>
      </c>
      <c r="X906" s="9">
        <f ca="1">VLOOKUP(C906,サイズ別係数!A$2:B$9,2,FALSE)</f>
        <v>30</v>
      </c>
      <c r="Y906" s="97">
        <f ca="1">VLOOKUP($X906,サイズ別係数!$B:$E,2,FALSE)</f>
        <v>1.3</v>
      </c>
      <c r="Z906" s="97">
        <f ca="1">VLOOKUP($X906,サイズ別係数!$B:$E,3,FALSE)</f>
        <v>1.3</v>
      </c>
      <c r="AA906" s="97">
        <f ca="1">VLOOKUP($X906,サイズ別係数!$B:$E,4,FALSE)</f>
        <v>1.1000000000000001</v>
      </c>
      <c r="AB906" s="10">
        <v>0</v>
      </c>
      <c r="AC906" s="6" t="str">
        <f ca="1">VLOOKUP($AB906,OFFSET([3]enemy_skill_sets!$B$2,0,0,COUNTA([3]enemy_skill_sets!$A:$A),MATCH(AC$1,[3]enemy_skill_sets!$1:$1,0)-MATCH($AB$1,[3]enemy_skill_sets!$1:$1,0)+1),MATCH(AC$1,[3]enemy_skill_sets!$1:$1,0)-MATCH($AB$1,[3]enemy_skill_sets!$1:$1,0)+1,FALSE)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6" s="67">
        <v>1</v>
      </c>
      <c r="AE906" s="67">
        <v>1</v>
      </c>
      <c r="AF906" s="68">
        <v>0</v>
      </c>
      <c r="AG906" s="99">
        <f ca="1">ROUND(VLOOKUP(1,enemy_base_stats!$A:$F,2,FALSE) * Y906* J906*O906*E906*S906*AD906*[2]ステータス!$B$2,0)</f>
        <v>3250</v>
      </c>
      <c r="AH906" s="99">
        <f ca="1">ROUND(VLOOKUP(1,enemy_base_stats!$A:$F,3,FALSE) * Z906*K906*P906*F906*T906*AE906 * W906*[2]ステータス!$C$2,0)</f>
        <v>259</v>
      </c>
      <c r="AI906" s="99">
        <f ca="1">ROUND(VLOOKUP(1,enemy_base_stats!$A:$F,4,FALSE) * AA906*L906*Q906*G906*U906*AF906*[2]ステータス!$D$2,0)</f>
        <v>0</v>
      </c>
      <c r="AJ906" s="99">
        <f ca="1">ROUND(VLOOKUP(100,enemy_base_stats!$A:$F,2,FALSE) * Y906* J906*O906*E906*S906*AD906*[2]ステータス!$B$2,0)</f>
        <v>131950</v>
      </c>
      <c r="AK906" s="99">
        <f ca="1">ROUND(VLOOKUP(100,enemy_base_stats!$A:$F,3,FALSE)* Z906* K906*P906*F906*T906*AE906 * W906*[2]ステータス!$C$2,0)</f>
        <v>10498</v>
      </c>
      <c r="AL906" s="99">
        <f ca="1">ROUND(VLOOKUP(100,enemy_base_stats!$A:$F,4,FALSE)* AA906* L906*Q906*G906*U906*AF906*[2]ステータス!$D$2,0)</f>
        <v>0</v>
      </c>
      <c r="AM906" s="97">
        <f>VLOOKUP(M906,[2]character_tribe_i18n!$A:$I,9,FALSE)</f>
        <v>340</v>
      </c>
      <c r="AN906" s="97">
        <v>0</v>
      </c>
      <c r="AO906" s="98">
        <v>0</v>
      </c>
      <c r="AP906" s="58" t="s">
        <v>72</v>
      </c>
      <c r="AQ906" s="34">
        <f t="shared" ca="1" si="51"/>
        <v>905</v>
      </c>
    </row>
    <row r="907" spans="1:43" ht="21" customHeight="1" x14ac:dyDescent="0.15">
      <c r="A907" s="7">
        <f t="shared" ca="1" si="52"/>
        <v>906</v>
      </c>
      <c r="B907" s="6" t="str">
        <f ca="1">VLOOKUP(A907,[2]characters!$A:$C,3,FALSE)</f>
        <v>おいしくたべてね KIRIMIちゃん.</v>
      </c>
      <c r="C907" s="9">
        <f ca="1">VLOOKUP(A907,[2]characters!$A:$I,9,FALSE)</f>
        <v>5</v>
      </c>
      <c r="D907" s="9" t="str">
        <f ca="1">VLOOKUP(A907,[2]characters!$A:$H,8,FALSE)</f>
        <v>red</v>
      </c>
      <c r="E907" s="97">
        <f ca="1">VLOOKUP(D907,[2]属性!$A:$E,2,FALSE)</f>
        <v>1</v>
      </c>
      <c r="F907" s="97">
        <f ca="1">VLOOKUP(D907,[2]属性!$A:$E,3,FALSE)</f>
        <v>1.02</v>
      </c>
      <c r="G907" s="97">
        <f ca="1">VLOOKUP(D907,[2]属性!$A:$F,4,FALSE)</f>
        <v>1</v>
      </c>
      <c r="H907" s="9" t="str">
        <f ca="1">VLOOKUP(A907,[2]characters!$A:$K,11,FALSE)</f>
        <v>hp</v>
      </c>
      <c r="I907" s="6" t="str">
        <f ca="1">VLOOKUP(H907,[2]character_type_i18n!$A:$F,3,FALSE)</f>
        <v>体力タイプ</v>
      </c>
      <c r="J907" s="106">
        <v>1</v>
      </c>
      <c r="K907" s="106">
        <v>1</v>
      </c>
      <c r="L907" s="106">
        <f ca="1">VLOOKUP(H907,[2]character_type_i18n!$A:$F,6,FALSE)</f>
        <v>1</v>
      </c>
      <c r="M907" s="9" t="s">
        <v>142</v>
      </c>
      <c r="N907" s="6" t="str">
        <f>VLOOKUP(M907,[2]character_tribe_i18n!$A:$F,3,FALSE)</f>
        <v>Unknown</v>
      </c>
      <c r="O907" s="97">
        <f>VLOOKUP(M907,[2]character_tribe_i18n!$A:$F,4,FALSE)</f>
        <v>1</v>
      </c>
      <c r="P907" s="97">
        <f>VLOOKUP(M907,[2]character_tribe_i18n!$A:$F,5,FALSE)</f>
        <v>1</v>
      </c>
      <c r="Q907" s="97">
        <f>VLOOKUP(M907,[2]character_tribe_i18n!$A:$F,6,FALSE)</f>
        <v>1</v>
      </c>
      <c r="R907" s="98" t="s">
        <v>98</v>
      </c>
      <c r="S907" s="97">
        <f>VLOOKUP($R907,ラベル別係数!$A$1:$E$7,3,FALSE)</f>
        <v>5</v>
      </c>
      <c r="T907" s="97">
        <f>VLOOKUP($R907,ラベル別係数!$A$1:$E$7,4,FALSE)</f>
        <v>1.3</v>
      </c>
      <c r="U907" s="97">
        <f>VLOOKUP($R907,ラベル別係数!$A$1:$E$7,5,FALSE)</f>
        <v>0.8</v>
      </c>
      <c r="V907" s="98">
        <v>3</v>
      </c>
      <c r="W907" s="99">
        <f>VLOOKUP(V907,ターン数別攻撃係数!$A$1:$B$1000,2,FALSE)</f>
        <v>1</v>
      </c>
      <c r="X907" s="9">
        <f ca="1">VLOOKUP(C907,サイズ別係数!A$2:B$9,2,FALSE)</f>
        <v>60</v>
      </c>
      <c r="Y907" s="97">
        <f ca="1">VLOOKUP($X907,サイズ別係数!$B:$E,2,FALSE)</f>
        <v>1.7</v>
      </c>
      <c r="Z907" s="97">
        <f ca="1">VLOOKUP($X907,サイズ別係数!$B:$E,3,FALSE)</f>
        <v>1.4</v>
      </c>
      <c r="AA907" s="97">
        <f ca="1">VLOOKUP($X907,サイズ別係数!$B:$E,4,FALSE)</f>
        <v>1</v>
      </c>
      <c r="AB907" s="10">
        <v>0</v>
      </c>
      <c r="AC907" s="6" t="str">
        <f ca="1">VLOOKUP($AB907,OFFSET([3]enemy_skill_sets!$B$2,0,0,COUNTA([3]enemy_skill_sets!$A:$A),MATCH(AC$1,[3]enemy_skill_sets!$1:$1,0)-MATCH($AB$1,[3]enemy_skill_sets!$1:$1,0)+1),MATCH(AC$1,[3]enemy_skill_sets!$1:$1,0)-MATCH($AB$1,[3]enemy_skill_sets!$1:$1,0)+1,FALSE)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7" s="67">
        <v>1</v>
      </c>
      <c r="AE907" s="67">
        <v>1</v>
      </c>
      <c r="AF907" s="68">
        <v>0</v>
      </c>
      <c r="AG907" s="99">
        <f ca="1">ROUND(VLOOKUP(1,enemy_base_stats!$A:$F,2,FALSE) * Y907* J907*O907*E907*S907*AD907*[2]ステータス!$B$2,0)</f>
        <v>4250</v>
      </c>
      <c r="AH907" s="99">
        <f ca="1">ROUND(VLOOKUP(1,enemy_base_stats!$A:$F,3,FALSE) * Z907*K907*P907*F907*T907*AE907 * W907*[2]ステータス!$C$2,0)</f>
        <v>278</v>
      </c>
      <c r="AI907" s="99">
        <f ca="1">ROUND(VLOOKUP(1,enemy_base_stats!$A:$F,4,FALSE) * AA907*L907*Q907*G907*U907*AF907*[2]ステータス!$D$2,0)</f>
        <v>0</v>
      </c>
      <c r="AJ907" s="99">
        <f ca="1">ROUND(VLOOKUP(100,enemy_base_stats!$A:$F,2,FALSE) * Y907* J907*O907*E907*S907*AD907*[2]ステータス!$B$2,0)</f>
        <v>172550</v>
      </c>
      <c r="AK907" s="99">
        <f ca="1">ROUND(VLOOKUP(100,enemy_base_stats!$A:$F,3,FALSE)* Z907* K907*P907*F907*T907*AE907 * W907*[2]ステータス!$C$2,0)</f>
        <v>11305</v>
      </c>
      <c r="AL907" s="99">
        <f ca="1">ROUND(VLOOKUP(100,enemy_base_stats!$A:$F,4,FALSE)* AA907* L907*Q907*G907*U907*AF907*[2]ステータス!$D$2,0)</f>
        <v>0</v>
      </c>
      <c r="AM907" s="97">
        <f>VLOOKUP(M907,[2]character_tribe_i18n!$A:$I,9,FALSE)</f>
        <v>340</v>
      </c>
      <c r="AN907" s="97">
        <v>0</v>
      </c>
      <c r="AO907" s="98">
        <v>0</v>
      </c>
      <c r="AP907" s="58" t="s">
        <v>72</v>
      </c>
      <c r="AQ907" s="34">
        <f t="shared" ca="1" si="51"/>
        <v>906</v>
      </c>
    </row>
    <row r="908" spans="1:43" ht="21" customHeight="1" x14ac:dyDescent="0.15">
      <c r="A908" s="7">
        <f t="shared" ca="1" si="52"/>
        <v>907</v>
      </c>
      <c r="B908" s="6" t="str">
        <f ca="1">VLOOKUP(A908,[2]characters!$A:$C,3,FALSE)</f>
        <v>ハローキティのリボン</v>
      </c>
      <c r="C908" s="9">
        <f ca="1">VLOOKUP(A908,[2]characters!$A:$I,9,FALSE)</f>
        <v>5</v>
      </c>
      <c r="D908" s="9" t="str">
        <f ca="1">VLOOKUP(A908,[2]characters!$A:$H,8,FALSE)</f>
        <v>red</v>
      </c>
      <c r="E908" s="97">
        <f ca="1">VLOOKUP(D908,[2]属性!$A:$E,2,FALSE)</f>
        <v>1</v>
      </c>
      <c r="F908" s="97">
        <f ca="1">VLOOKUP(D908,[2]属性!$A:$E,3,FALSE)</f>
        <v>1.02</v>
      </c>
      <c r="G908" s="97">
        <f ca="1">VLOOKUP(D908,[2]属性!$A:$F,4,FALSE)</f>
        <v>1</v>
      </c>
      <c r="H908" s="9" t="str">
        <f ca="1">VLOOKUP(A908,[2]characters!$A:$K,11,FALSE)</f>
        <v>evolution</v>
      </c>
      <c r="I908" s="6" t="str">
        <f ca="1">VLOOKUP(H908,[2]character_type_i18n!$A:$F,3,FALSE)</f>
        <v>覚醒素材タイプ</v>
      </c>
      <c r="J908" s="106">
        <v>1</v>
      </c>
      <c r="K908" s="106">
        <v>1</v>
      </c>
      <c r="L908" s="106">
        <f ca="1">VLOOKUP(H908,[2]character_type_i18n!$A:$F,6,FALSE)</f>
        <v>1</v>
      </c>
      <c r="M908" s="9" t="s">
        <v>142</v>
      </c>
      <c r="N908" s="6" t="str">
        <f>VLOOKUP(M908,[2]character_tribe_i18n!$A:$F,3,FALSE)</f>
        <v>Unknown</v>
      </c>
      <c r="O908" s="97">
        <f>VLOOKUP(M908,[2]character_tribe_i18n!$A:$F,4,FALSE)</f>
        <v>1</v>
      </c>
      <c r="P908" s="97">
        <f>VLOOKUP(M908,[2]character_tribe_i18n!$A:$F,5,FALSE)</f>
        <v>1</v>
      </c>
      <c r="Q908" s="97">
        <f>VLOOKUP(M908,[2]character_tribe_i18n!$A:$F,6,FALSE)</f>
        <v>1</v>
      </c>
      <c r="R908" s="98" t="s">
        <v>98</v>
      </c>
      <c r="S908" s="97">
        <f>VLOOKUP($R908,ラベル別係数!$A$1:$E$7,3,FALSE)</f>
        <v>5</v>
      </c>
      <c r="T908" s="97">
        <f>VLOOKUP($R908,ラベル別係数!$A$1:$E$7,4,FALSE)</f>
        <v>1.3</v>
      </c>
      <c r="U908" s="97">
        <f>VLOOKUP($R908,ラベル別係数!$A$1:$E$7,5,FALSE)</f>
        <v>0.8</v>
      </c>
      <c r="V908" s="98">
        <v>3</v>
      </c>
      <c r="W908" s="99">
        <f>VLOOKUP(V908,ターン数別攻撃係数!$A$1:$B$1000,2,FALSE)</f>
        <v>1</v>
      </c>
      <c r="X908" s="9">
        <f ca="1">VLOOKUP(C908,サイズ別係数!A$2:B$9,2,FALSE)</f>
        <v>60</v>
      </c>
      <c r="Y908" s="97">
        <f ca="1">VLOOKUP($X908,サイズ別係数!$B:$E,2,FALSE)</f>
        <v>1.7</v>
      </c>
      <c r="Z908" s="97">
        <f ca="1">VLOOKUP($X908,サイズ別係数!$B:$E,3,FALSE)</f>
        <v>1.4</v>
      </c>
      <c r="AA908" s="97">
        <f ca="1">VLOOKUP($X908,サイズ別係数!$B:$E,4,FALSE)</f>
        <v>1</v>
      </c>
      <c r="AB908" s="10">
        <v>0</v>
      </c>
      <c r="AC908" s="6" t="str">
        <f ca="1">VLOOKUP($AB908,OFFSET([3]enemy_skill_sets!$B$2,0,0,COUNTA([3]enemy_skill_sets!$A:$A),MATCH(AC$1,[3]enemy_skill_sets!$1:$1,0)-MATCH($AB$1,[3]enemy_skill_sets!$1:$1,0)+1),MATCH(AC$1,[3]enemy_skill_sets!$1:$1,0)-MATCH($AB$1,[3]enemy_skill_sets!$1:$1,0)+1,FALSE)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8" s="67">
        <v>1</v>
      </c>
      <c r="AE908" s="67">
        <v>1</v>
      </c>
      <c r="AF908" s="68">
        <v>0</v>
      </c>
      <c r="AG908" s="99">
        <f ca="1">ROUND(VLOOKUP(1,enemy_base_stats!$A:$F,2,FALSE) * Y908* J908*O908*E908*S908*AD908*[2]ステータス!$B$2,0)</f>
        <v>4250</v>
      </c>
      <c r="AH908" s="99">
        <f ca="1">ROUND(VLOOKUP(1,enemy_base_stats!$A:$F,3,FALSE) * Z908*K908*P908*F908*T908*AE908 * W908*[2]ステータス!$C$2,0)</f>
        <v>278</v>
      </c>
      <c r="AI908" s="99">
        <f ca="1">ROUND(VLOOKUP(1,enemy_base_stats!$A:$F,4,FALSE) * AA908*L908*Q908*G908*U908*AF908*[2]ステータス!$D$2,0)</f>
        <v>0</v>
      </c>
      <c r="AJ908" s="99">
        <f ca="1">ROUND(VLOOKUP(100,enemy_base_stats!$A:$F,2,FALSE) * Y908* J908*O908*E908*S908*AD908*[2]ステータス!$B$2,0)</f>
        <v>172550</v>
      </c>
      <c r="AK908" s="99">
        <f ca="1">ROUND(VLOOKUP(100,enemy_base_stats!$A:$F,3,FALSE)* Z908* K908*P908*F908*T908*AE908 * W908*[2]ステータス!$C$2,0)</f>
        <v>11305</v>
      </c>
      <c r="AL908" s="99">
        <f ca="1">ROUND(VLOOKUP(100,enemy_base_stats!$A:$F,4,FALSE)* AA908* L908*Q908*G908*U908*AF908*[2]ステータス!$D$2,0)</f>
        <v>0</v>
      </c>
      <c r="AM908" s="97">
        <f>VLOOKUP(M908,[2]character_tribe_i18n!$A:$I,9,FALSE)</f>
        <v>340</v>
      </c>
      <c r="AN908" s="97">
        <v>0</v>
      </c>
      <c r="AO908" s="98">
        <v>0</v>
      </c>
      <c r="AP908" s="58" t="s">
        <v>72</v>
      </c>
      <c r="AQ908" s="34">
        <f t="shared" ca="1" si="51"/>
        <v>907</v>
      </c>
    </row>
    <row r="909" spans="1:43" ht="21" customHeight="1" x14ac:dyDescent="0.15">
      <c r="A909" s="7">
        <f t="shared" ca="1" si="52"/>
        <v>908</v>
      </c>
      <c r="B909" s="6" t="str">
        <f ca="1">VLOOKUP(A909,[2]characters!$A:$C,3,FALSE)</f>
        <v>ママの作ったアップルパイ</v>
      </c>
      <c r="C909" s="9">
        <f ca="1">VLOOKUP(A909,[2]characters!$A:$I,9,FALSE)</f>
        <v>4</v>
      </c>
      <c r="D909" s="9" t="str">
        <f ca="1">VLOOKUP(A909,[2]characters!$A:$H,8,FALSE)</f>
        <v>red</v>
      </c>
      <c r="E909" s="97">
        <f ca="1">VLOOKUP(D909,[2]属性!$A:$E,2,FALSE)</f>
        <v>1</v>
      </c>
      <c r="F909" s="97">
        <f ca="1">VLOOKUP(D909,[2]属性!$A:$E,3,FALSE)</f>
        <v>1.02</v>
      </c>
      <c r="G909" s="97">
        <f ca="1">VLOOKUP(D909,[2]属性!$A:$F,4,FALSE)</f>
        <v>1</v>
      </c>
      <c r="H909" s="9" t="str">
        <f ca="1">VLOOKUP(A909,[2]characters!$A:$K,11,FALSE)</f>
        <v>evolution</v>
      </c>
      <c r="I909" s="6" t="str">
        <f ca="1">VLOOKUP(H909,[2]character_type_i18n!$A:$F,3,FALSE)</f>
        <v>覚醒素材タイプ</v>
      </c>
      <c r="J909" s="106">
        <v>1</v>
      </c>
      <c r="K909" s="106">
        <v>1</v>
      </c>
      <c r="L909" s="106">
        <f ca="1">VLOOKUP(H909,[2]character_type_i18n!$A:$F,6,FALSE)</f>
        <v>1</v>
      </c>
      <c r="M909" s="9" t="s">
        <v>142</v>
      </c>
      <c r="N909" s="6" t="str">
        <f>VLOOKUP(M909,[2]character_tribe_i18n!$A:$F,3,FALSE)</f>
        <v>Unknown</v>
      </c>
      <c r="O909" s="97">
        <f>VLOOKUP(M909,[2]character_tribe_i18n!$A:$F,4,FALSE)</f>
        <v>1</v>
      </c>
      <c r="P909" s="97">
        <f>VLOOKUP(M909,[2]character_tribe_i18n!$A:$F,5,FALSE)</f>
        <v>1</v>
      </c>
      <c r="Q909" s="97">
        <f>VLOOKUP(M909,[2]character_tribe_i18n!$A:$F,6,FALSE)</f>
        <v>1</v>
      </c>
      <c r="R909" s="98" t="s">
        <v>98</v>
      </c>
      <c r="S909" s="97">
        <f>VLOOKUP($R909,ラベル別係数!$A$1:$E$7,3,FALSE)</f>
        <v>5</v>
      </c>
      <c r="T909" s="97">
        <f>VLOOKUP($R909,ラベル別係数!$A$1:$E$7,4,FALSE)</f>
        <v>1.3</v>
      </c>
      <c r="U909" s="97">
        <f>VLOOKUP($R909,ラベル別係数!$A$1:$E$7,5,FALSE)</f>
        <v>0.8</v>
      </c>
      <c r="V909" s="98">
        <v>3</v>
      </c>
      <c r="W909" s="99">
        <f>VLOOKUP(V909,ターン数別攻撃係数!$A$1:$B$1000,2,FALSE)</f>
        <v>1</v>
      </c>
      <c r="X909" s="9">
        <f ca="1">VLOOKUP(C909,サイズ別係数!A$2:B$9,2,FALSE)</f>
        <v>30</v>
      </c>
      <c r="Y909" s="97">
        <f ca="1">VLOOKUP($X909,サイズ別係数!$B:$E,2,FALSE)</f>
        <v>1.3</v>
      </c>
      <c r="Z909" s="97">
        <f ca="1">VLOOKUP($X909,サイズ別係数!$B:$E,3,FALSE)</f>
        <v>1.3</v>
      </c>
      <c r="AA909" s="97">
        <f ca="1">VLOOKUP($X909,サイズ別係数!$B:$E,4,FALSE)</f>
        <v>1.1000000000000001</v>
      </c>
      <c r="AB909" s="10">
        <v>0</v>
      </c>
      <c r="AC909" s="6" t="str">
        <f ca="1">VLOOKUP($AB909,OFFSET([3]enemy_skill_sets!$B$2,0,0,COUNTA([3]enemy_skill_sets!$A:$A),MATCH(AC$1,[3]enemy_skill_sets!$1:$1,0)-MATCH($AB$1,[3]enemy_skill_sets!$1:$1,0)+1),MATCH(AC$1,[3]enemy_skill_sets!$1:$1,0)-MATCH($AB$1,[3]enemy_skill_sets!$1:$1,0)+1,FALSE)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09" s="67">
        <v>1</v>
      </c>
      <c r="AE909" s="67">
        <v>1</v>
      </c>
      <c r="AF909" s="68">
        <v>0</v>
      </c>
      <c r="AG909" s="99">
        <f ca="1">ROUND(VLOOKUP(1,enemy_base_stats!$A:$F,2,FALSE) * Y909* J909*O909*E909*S909*AD909*[2]ステータス!$B$2,0)</f>
        <v>3250</v>
      </c>
      <c r="AH909" s="99">
        <f ca="1">ROUND(VLOOKUP(1,enemy_base_stats!$A:$F,3,FALSE) * Z909*K909*P909*F909*T909*AE909 * W909*[2]ステータス!$C$2,0)</f>
        <v>259</v>
      </c>
      <c r="AI909" s="99">
        <f ca="1">ROUND(VLOOKUP(1,enemy_base_stats!$A:$F,4,FALSE) * AA909*L909*Q909*G909*U909*AF909*[2]ステータス!$D$2,0)</f>
        <v>0</v>
      </c>
      <c r="AJ909" s="99">
        <f ca="1">ROUND(VLOOKUP(100,enemy_base_stats!$A:$F,2,FALSE) * Y909* J909*O909*E909*S909*AD909*[2]ステータス!$B$2,0)</f>
        <v>131950</v>
      </c>
      <c r="AK909" s="99">
        <f ca="1">ROUND(VLOOKUP(100,enemy_base_stats!$A:$F,3,FALSE)* Z909* K909*P909*F909*T909*AE909 * W909*[2]ステータス!$C$2,0)</f>
        <v>10498</v>
      </c>
      <c r="AL909" s="99">
        <f ca="1">ROUND(VLOOKUP(100,enemy_base_stats!$A:$F,4,FALSE)* AA909* L909*Q909*G909*U909*AF909*[2]ステータス!$D$2,0)</f>
        <v>0</v>
      </c>
      <c r="AM909" s="97">
        <f>VLOOKUP(M909,[2]character_tribe_i18n!$A:$I,9,FALSE)</f>
        <v>340</v>
      </c>
      <c r="AN909" s="97">
        <v>0</v>
      </c>
      <c r="AO909" s="98">
        <v>0</v>
      </c>
      <c r="AP909" s="58" t="s">
        <v>72</v>
      </c>
      <c r="AQ909" s="34">
        <f t="shared" ca="1" si="51"/>
        <v>908</v>
      </c>
    </row>
    <row r="910" spans="1:43" ht="21" customHeight="1" x14ac:dyDescent="0.15">
      <c r="A910" s="7">
        <f t="shared" ca="1" si="52"/>
        <v>909</v>
      </c>
      <c r="B910" s="6" t="str">
        <f ca="1">VLOOKUP(A910,[2]characters!$A:$C,3,FALSE)</f>
        <v>光愛の弾幕 D.R.T.H.</v>
      </c>
      <c r="C910" s="9">
        <f ca="1">VLOOKUP(A910,[2]characters!$A:$I,9,FALSE)</f>
        <v>5</v>
      </c>
      <c r="D910" s="9" t="str">
        <f ca="1">VLOOKUP(A910,[2]characters!$A:$H,8,FALSE)</f>
        <v>red</v>
      </c>
      <c r="E910" s="97">
        <f ca="1">VLOOKUP(D910,[2]属性!$A:$E,2,FALSE)</f>
        <v>1</v>
      </c>
      <c r="F910" s="97">
        <f ca="1">VLOOKUP(D910,[2]属性!$A:$E,3,FALSE)</f>
        <v>1.02</v>
      </c>
      <c r="G910" s="97">
        <f ca="1">VLOOKUP(D910,[2]属性!$A:$F,4,FALSE)</f>
        <v>1</v>
      </c>
      <c r="H910" s="9" t="str">
        <f ca="1">VLOOKUP(A910,[2]characters!$A:$K,11,FALSE)</f>
        <v>balance</v>
      </c>
      <c r="I910" s="6" t="str">
        <f ca="1">VLOOKUP(H910,[2]character_type_i18n!$A:$F,3,FALSE)</f>
        <v>バランスタイプ</v>
      </c>
      <c r="J910" s="106">
        <v>1</v>
      </c>
      <c r="K910" s="106">
        <v>1</v>
      </c>
      <c r="L910" s="106">
        <f ca="1">VLOOKUP(H910,[2]character_type_i18n!$A:$F,6,FALSE)</f>
        <v>1</v>
      </c>
      <c r="M910" s="9" t="s">
        <v>143</v>
      </c>
      <c r="N910" s="6" t="str">
        <f>VLOOKUP(M910,[2]character_tribe_i18n!$A:$F,3,FALSE)</f>
        <v>ヒューマン</v>
      </c>
      <c r="O910" s="97">
        <f>VLOOKUP(M910,[2]character_tribe_i18n!$A:$F,4,FALSE)</f>
        <v>0.94</v>
      </c>
      <c r="P910" s="97">
        <f>VLOOKUP(M910,[2]character_tribe_i18n!$A:$F,5,FALSE)</f>
        <v>0.99</v>
      </c>
      <c r="Q910" s="97">
        <f>VLOOKUP(M910,[2]character_tribe_i18n!$A:$F,6,FALSE)</f>
        <v>1</v>
      </c>
      <c r="R910" s="98" t="s">
        <v>98</v>
      </c>
      <c r="S910" s="97">
        <f>VLOOKUP($R910,ラベル別係数!$A$1:$E$7,3,FALSE)</f>
        <v>5</v>
      </c>
      <c r="T910" s="97">
        <f>VLOOKUP($R910,ラベル別係数!$A$1:$E$7,4,FALSE)</f>
        <v>1.3</v>
      </c>
      <c r="U910" s="97">
        <f>VLOOKUP($R910,ラベル別係数!$A$1:$E$7,5,FALSE)</f>
        <v>0.8</v>
      </c>
      <c r="V910" s="98">
        <v>3</v>
      </c>
      <c r="W910" s="99">
        <f>VLOOKUP(V910,ターン数別攻撃係数!$A$1:$B$1000,2,FALSE)</f>
        <v>1</v>
      </c>
      <c r="X910" s="9">
        <f ca="1">VLOOKUP(C910,サイズ別係数!A$2:B$9,2,FALSE)</f>
        <v>60</v>
      </c>
      <c r="Y910" s="97">
        <f ca="1">VLOOKUP($X910,サイズ別係数!$B:$E,2,FALSE)</f>
        <v>1.7</v>
      </c>
      <c r="Z910" s="97">
        <f ca="1">VLOOKUP($X910,サイズ別係数!$B:$E,3,FALSE)</f>
        <v>1.4</v>
      </c>
      <c r="AA910" s="97">
        <f ca="1">VLOOKUP($X910,サイズ別係数!$B:$E,4,FALSE)</f>
        <v>1</v>
      </c>
      <c r="AB910" s="10">
        <v>0</v>
      </c>
      <c r="AC910" s="6" t="str">
        <f ca="1">VLOOKUP($AB910,OFFSET([3]enemy_skill_sets!$B$2,0,0,COUNTA([3]enemy_skill_sets!$A:$A),MATCH(AC$1,[3]enemy_skill_sets!$1:$1,0)-MATCH($AB$1,[3]enemy_skill_sets!$1:$1,0)+1),MATCH(AC$1,[3]enemy_skill_sets!$1:$1,0)-MATCH($AB$1,[3]enemy_skill_sets!$1:$1,0)+1,FALSE)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0" s="67">
        <v>1</v>
      </c>
      <c r="AE910" s="67">
        <v>1</v>
      </c>
      <c r="AF910" s="68">
        <v>0</v>
      </c>
      <c r="AG910" s="99">
        <f ca="1">ROUND(VLOOKUP(1,enemy_base_stats!$A:$F,2,FALSE) * Y910* J910*O910*E910*S910*AD910*[2]ステータス!$B$2,0)</f>
        <v>3995</v>
      </c>
      <c r="AH910" s="99">
        <f ca="1">ROUND(VLOOKUP(1,enemy_base_stats!$A:$F,3,FALSE) * Z910*K910*P910*F910*T910*AE910 * W910*[2]ステータス!$C$2,0)</f>
        <v>276</v>
      </c>
      <c r="AI910" s="99">
        <f ca="1">ROUND(VLOOKUP(1,enemy_base_stats!$A:$F,4,FALSE) * AA910*L910*Q910*G910*U910*AF910*[2]ステータス!$D$2,0)</f>
        <v>0</v>
      </c>
      <c r="AJ910" s="99">
        <f ca="1">ROUND(VLOOKUP(100,enemy_base_stats!$A:$F,2,FALSE) * Y910* J910*O910*E910*S910*AD910*[2]ステータス!$B$2,0)</f>
        <v>162197</v>
      </c>
      <c r="AK910" s="99">
        <f ca="1">ROUND(VLOOKUP(100,enemy_base_stats!$A:$F,3,FALSE)* Z910* K910*P910*F910*T910*AE910 * W910*[2]ステータス!$C$2,0)</f>
        <v>11192</v>
      </c>
      <c r="AL910" s="99">
        <f ca="1">ROUND(VLOOKUP(100,enemy_base_stats!$A:$F,4,FALSE)* AA910* L910*Q910*G910*U910*AF910*[2]ステータス!$D$2,0)</f>
        <v>0</v>
      </c>
      <c r="AM910" s="97">
        <f>VLOOKUP(M910,[2]character_tribe_i18n!$A:$I,9,FALSE)</f>
        <v>400</v>
      </c>
      <c r="AN910" s="97">
        <v>0</v>
      </c>
      <c r="AO910" s="98">
        <v>0</v>
      </c>
      <c r="AP910" s="58" t="s">
        <v>72</v>
      </c>
      <c r="AQ910" s="34">
        <f t="shared" ca="1" si="51"/>
        <v>909</v>
      </c>
    </row>
    <row r="911" spans="1:43" ht="21" customHeight="1" x14ac:dyDescent="0.15">
      <c r="A911" s="7">
        <f t="shared" ca="1" si="52"/>
        <v>910</v>
      </c>
      <c r="B911" s="6" t="str">
        <f ca="1">VLOOKUP(A911,[2]characters!$A:$C,3,FALSE)</f>
        <v>輝愛の大弾幕 D.R.T.H.</v>
      </c>
      <c r="C911" s="9">
        <f ca="1">VLOOKUP(A911,[2]characters!$A:$I,9,FALSE)</f>
        <v>6</v>
      </c>
      <c r="D911" s="9" t="str">
        <f ca="1">VLOOKUP(A911,[2]characters!$A:$H,8,FALSE)</f>
        <v>red</v>
      </c>
      <c r="E911" s="97">
        <f ca="1">VLOOKUP(D911,[2]属性!$A:$E,2,FALSE)</f>
        <v>1</v>
      </c>
      <c r="F911" s="97">
        <f ca="1">VLOOKUP(D911,[2]属性!$A:$E,3,FALSE)</f>
        <v>1.02</v>
      </c>
      <c r="G911" s="97">
        <f ca="1">VLOOKUP(D911,[2]属性!$A:$F,4,FALSE)</f>
        <v>1</v>
      </c>
      <c r="H911" s="9" t="str">
        <f ca="1">VLOOKUP(A911,[2]characters!$A:$K,11,FALSE)</f>
        <v>balance</v>
      </c>
      <c r="I911" s="6" t="str">
        <f ca="1">VLOOKUP(H911,[2]character_type_i18n!$A:$F,3,FALSE)</f>
        <v>バランスタイプ</v>
      </c>
      <c r="J911" s="106">
        <v>1</v>
      </c>
      <c r="K911" s="106">
        <v>1</v>
      </c>
      <c r="L911" s="106">
        <f ca="1">VLOOKUP(H911,[2]character_type_i18n!$A:$F,6,FALSE)</f>
        <v>1</v>
      </c>
      <c r="M911" s="9" t="s">
        <v>143</v>
      </c>
      <c r="N911" s="6" t="str">
        <f>VLOOKUP(M911,[2]character_tribe_i18n!$A:$F,3,FALSE)</f>
        <v>ヒューマン</v>
      </c>
      <c r="O911" s="97">
        <f>VLOOKUP(M911,[2]character_tribe_i18n!$A:$F,4,FALSE)</f>
        <v>0.94</v>
      </c>
      <c r="P911" s="97">
        <f>VLOOKUP(M911,[2]character_tribe_i18n!$A:$F,5,FALSE)</f>
        <v>0.99</v>
      </c>
      <c r="Q911" s="97">
        <f>VLOOKUP(M911,[2]character_tribe_i18n!$A:$F,6,FALSE)</f>
        <v>1</v>
      </c>
      <c r="R911" s="98" t="s">
        <v>98</v>
      </c>
      <c r="S911" s="97">
        <f>VLOOKUP($R911,ラベル別係数!$A$1:$E$7,3,FALSE)</f>
        <v>5</v>
      </c>
      <c r="T911" s="97">
        <f>VLOOKUP($R911,ラベル別係数!$A$1:$E$7,4,FALSE)</f>
        <v>1.3</v>
      </c>
      <c r="U911" s="97">
        <f>VLOOKUP($R911,ラベル別係数!$A$1:$E$7,5,FALSE)</f>
        <v>0.8</v>
      </c>
      <c r="V911" s="98">
        <v>3</v>
      </c>
      <c r="W911" s="99">
        <f>VLOOKUP(V911,ターン数別攻撃係数!$A$1:$B$1000,2,FALSE)</f>
        <v>1</v>
      </c>
      <c r="X911" s="9">
        <f ca="1">VLOOKUP(C911,サイズ別係数!A$2:B$9,2,FALSE)</f>
        <v>60</v>
      </c>
      <c r="Y911" s="97">
        <f ca="1">VLOOKUP($X911,サイズ別係数!$B:$E,2,FALSE)</f>
        <v>1.7</v>
      </c>
      <c r="Z911" s="97">
        <f ca="1">VLOOKUP($X911,サイズ別係数!$B:$E,3,FALSE)</f>
        <v>1.4</v>
      </c>
      <c r="AA911" s="97">
        <f ca="1">VLOOKUP($X911,サイズ別係数!$B:$E,4,FALSE)</f>
        <v>1</v>
      </c>
      <c r="AB911" s="10">
        <v>0</v>
      </c>
      <c r="AC911" s="6" t="str">
        <f ca="1">VLOOKUP($AB911,OFFSET([3]enemy_skill_sets!$B$2,0,0,COUNTA([3]enemy_skill_sets!$A:$A),MATCH(AC$1,[3]enemy_skill_sets!$1:$1,0)-MATCH($AB$1,[3]enemy_skill_sets!$1:$1,0)+1),MATCH(AC$1,[3]enemy_skill_sets!$1:$1,0)-MATCH($AB$1,[3]enemy_skill_sets!$1:$1,0)+1,FALSE)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1" s="67">
        <v>1</v>
      </c>
      <c r="AE911" s="67">
        <v>1</v>
      </c>
      <c r="AF911" s="68">
        <v>0</v>
      </c>
      <c r="AG911" s="99">
        <f ca="1">ROUND(VLOOKUP(1,enemy_base_stats!$A:$F,2,FALSE) * Y911* J911*O911*E911*S911*AD911*[2]ステータス!$B$2,0)</f>
        <v>3995</v>
      </c>
      <c r="AH911" s="99">
        <f ca="1">ROUND(VLOOKUP(1,enemy_base_stats!$A:$F,3,FALSE) * Z911*K911*P911*F911*T911*AE911 * W911*[2]ステータス!$C$2,0)</f>
        <v>276</v>
      </c>
      <c r="AI911" s="99">
        <f ca="1">ROUND(VLOOKUP(1,enemy_base_stats!$A:$F,4,FALSE) * AA911*L911*Q911*G911*U911*AF911*[2]ステータス!$D$2,0)</f>
        <v>0</v>
      </c>
      <c r="AJ911" s="99">
        <f ca="1">ROUND(VLOOKUP(100,enemy_base_stats!$A:$F,2,FALSE) * Y911* J911*O911*E911*S911*AD911*[2]ステータス!$B$2,0)</f>
        <v>162197</v>
      </c>
      <c r="AK911" s="99">
        <f ca="1">ROUND(VLOOKUP(100,enemy_base_stats!$A:$F,3,FALSE)* Z911* K911*P911*F911*T911*AE911 * W911*[2]ステータス!$C$2,0)</f>
        <v>11192</v>
      </c>
      <c r="AL911" s="99">
        <f ca="1">ROUND(VLOOKUP(100,enemy_base_stats!$A:$F,4,FALSE)* AA911* L911*Q911*G911*U911*AF911*[2]ステータス!$D$2,0)</f>
        <v>0</v>
      </c>
      <c r="AM911" s="97">
        <f>VLOOKUP(M911,[2]character_tribe_i18n!$A:$I,9,FALSE)</f>
        <v>400</v>
      </c>
      <c r="AN911" s="97">
        <v>0</v>
      </c>
      <c r="AO911" s="98">
        <v>0</v>
      </c>
      <c r="AP911" s="58" t="s">
        <v>72</v>
      </c>
      <c r="AQ911" s="34">
        <f t="shared" ca="1" si="51"/>
        <v>910</v>
      </c>
    </row>
    <row r="912" spans="1:43" ht="21" customHeight="1" x14ac:dyDescent="0.15">
      <c r="A912" s="7">
        <f t="shared" ca="1" si="52"/>
        <v>911</v>
      </c>
      <c r="B912" s="6" t="str">
        <f ca="1">VLOOKUP(A912,[2]characters!$A:$C,3,FALSE)</f>
        <v>マイメロディ</v>
      </c>
      <c r="C912" s="9">
        <f ca="1">VLOOKUP(A912,[2]characters!$A:$I,9,FALSE)</f>
        <v>4</v>
      </c>
      <c r="D912" s="9" t="str">
        <f ca="1">VLOOKUP(A912,[2]characters!$A:$H,8,FALSE)</f>
        <v>red</v>
      </c>
      <c r="E912" s="97">
        <f ca="1">VLOOKUP(D912,[2]属性!$A:$E,2,FALSE)</f>
        <v>1</v>
      </c>
      <c r="F912" s="97">
        <f ca="1">VLOOKUP(D912,[2]属性!$A:$E,3,FALSE)</f>
        <v>1.02</v>
      </c>
      <c r="G912" s="97">
        <f ca="1">VLOOKUP(D912,[2]属性!$A:$F,4,FALSE)</f>
        <v>1</v>
      </c>
      <c r="H912" s="9" t="str">
        <f ca="1">VLOOKUP(A912,[2]characters!$A:$K,11,FALSE)</f>
        <v>attack</v>
      </c>
      <c r="I912" s="6" t="str">
        <f ca="1">VLOOKUP(H912,[2]character_type_i18n!$A:$F,3,FALSE)</f>
        <v>攻撃タイプ</v>
      </c>
      <c r="J912" s="106">
        <v>1</v>
      </c>
      <c r="K912" s="106">
        <v>1</v>
      </c>
      <c r="L912" s="106">
        <f ca="1">VLOOKUP(H912,[2]character_type_i18n!$A:$F,6,FALSE)</f>
        <v>1</v>
      </c>
      <c r="M912" s="9" t="s">
        <v>142</v>
      </c>
      <c r="N912" s="6" t="str">
        <f>VLOOKUP(M912,[2]character_tribe_i18n!$A:$F,3,FALSE)</f>
        <v>Unknown</v>
      </c>
      <c r="O912" s="97">
        <f>VLOOKUP(M912,[2]character_tribe_i18n!$A:$F,4,FALSE)</f>
        <v>1</v>
      </c>
      <c r="P912" s="97">
        <f>VLOOKUP(M912,[2]character_tribe_i18n!$A:$F,5,FALSE)</f>
        <v>1</v>
      </c>
      <c r="Q912" s="97">
        <f>VLOOKUP(M912,[2]character_tribe_i18n!$A:$F,6,FALSE)</f>
        <v>1</v>
      </c>
      <c r="R912" s="98" t="s">
        <v>98</v>
      </c>
      <c r="S912" s="97">
        <f>VLOOKUP($R912,ラベル別係数!$A$1:$E$7,3,FALSE)</f>
        <v>5</v>
      </c>
      <c r="T912" s="97">
        <f>VLOOKUP($R912,ラベル別係数!$A$1:$E$7,4,FALSE)</f>
        <v>1.3</v>
      </c>
      <c r="U912" s="97">
        <f>VLOOKUP($R912,ラベル別係数!$A$1:$E$7,5,FALSE)</f>
        <v>0.8</v>
      </c>
      <c r="V912" s="98">
        <v>3</v>
      </c>
      <c r="W912" s="99">
        <f>VLOOKUP(V912,ターン数別攻撃係数!$A$1:$B$1000,2,FALSE)</f>
        <v>1</v>
      </c>
      <c r="X912" s="9">
        <f ca="1">VLOOKUP(C912,サイズ別係数!A$2:B$9,2,FALSE)</f>
        <v>30</v>
      </c>
      <c r="Y912" s="97">
        <f ca="1">VLOOKUP($X912,サイズ別係数!$B:$E,2,FALSE)</f>
        <v>1.3</v>
      </c>
      <c r="Z912" s="97">
        <f ca="1">VLOOKUP($X912,サイズ別係数!$B:$E,3,FALSE)</f>
        <v>1.3</v>
      </c>
      <c r="AA912" s="97">
        <f ca="1">VLOOKUP($X912,サイズ別係数!$B:$E,4,FALSE)</f>
        <v>1.1000000000000001</v>
      </c>
      <c r="AB912" s="10">
        <v>0</v>
      </c>
      <c r="AC912" s="6" t="str">
        <f ca="1">VLOOKUP($AB912,OFFSET([3]enemy_skill_sets!$B$2,0,0,COUNTA([3]enemy_skill_sets!$A:$A),MATCH(AC$1,[3]enemy_skill_sets!$1:$1,0)-MATCH($AB$1,[3]enemy_skill_sets!$1:$1,0)+1),MATCH(AC$1,[3]enemy_skill_sets!$1:$1,0)-MATCH($AB$1,[3]enemy_skill_sets!$1:$1,0)+1,FALSE)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2" s="67">
        <v>1</v>
      </c>
      <c r="AE912" s="67">
        <v>1</v>
      </c>
      <c r="AF912" s="68">
        <v>0</v>
      </c>
      <c r="AG912" s="99">
        <f ca="1">ROUND(VLOOKUP(1,enemy_base_stats!$A:$F,2,FALSE) * Y912* J912*O912*E912*S912*AD912*[2]ステータス!$B$2,0)</f>
        <v>3250</v>
      </c>
      <c r="AH912" s="99">
        <f ca="1">ROUND(VLOOKUP(1,enemy_base_stats!$A:$F,3,FALSE) * Z912*K912*P912*F912*T912*AE912 * W912*[2]ステータス!$C$2,0)</f>
        <v>259</v>
      </c>
      <c r="AI912" s="99">
        <f ca="1">ROUND(VLOOKUP(1,enemy_base_stats!$A:$F,4,FALSE) * AA912*L912*Q912*G912*U912*AF912*[2]ステータス!$D$2,0)</f>
        <v>0</v>
      </c>
      <c r="AJ912" s="99">
        <f ca="1">ROUND(VLOOKUP(100,enemy_base_stats!$A:$F,2,FALSE) * Y912* J912*O912*E912*S912*AD912*[2]ステータス!$B$2,0)</f>
        <v>131950</v>
      </c>
      <c r="AK912" s="99">
        <f ca="1">ROUND(VLOOKUP(100,enemy_base_stats!$A:$F,3,FALSE)* Z912* K912*P912*F912*T912*AE912 * W912*[2]ステータス!$C$2,0)</f>
        <v>10498</v>
      </c>
      <c r="AL912" s="99">
        <f ca="1">ROUND(VLOOKUP(100,enemy_base_stats!$A:$F,4,FALSE)* AA912* L912*Q912*G912*U912*AF912*[2]ステータス!$D$2,0)</f>
        <v>0</v>
      </c>
      <c r="AM912" s="97">
        <f>VLOOKUP(M912,[2]character_tribe_i18n!$A:$I,9,FALSE)</f>
        <v>340</v>
      </c>
      <c r="AN912" s="97">
        <v>0</v>
      </c>
      <c r="AO912" s="98">
        <v>0</v>
      </c>
      <c r="AP912" s="58" t="s">
        <v>72</v>
      </c>
      <c r="AQ912" s="34">
        <f t="shared" ref="AQ912:AQ963" ca="1" si="53">A912</f>
        <v>911</v>
      </c>
    </row>
    <row r="913" spans="1:43" ht="21" customHeight="1" x14ac:dyDescent="0.15">
      <c r="A913" s="7">
        <f t="shared" ca="1" si="52"/>
        <v>912</v>
      </c>
      <c r="B913" s="6" t="str">
        <f ca="1">VLOOKUP(A913,[2]characters!$A:$C,3,FALSE)</f>
        <v>フラットくんと一緒 マイメロディ</v>
      </c>
      <c r="C913" s="9">
        <f ca="1">VLOOKUP(A913,[2]characters!$A:$I,9,FALSE)</f>
        <v>5</v>
      </c>
      <c r="D913" s="9" t="str">
        <f ca="1">VLOOKUP(A913,[2]characters!$A:$H,8,FALSE)</f>
        <v>red</v>
      </c>
      <c r="E913" s="97">
        <f ca="1">VLOOKUP(D913,[2]属性!$A:$E,2,FALSE)</f>
        <v>1</v>
      </c>
      <c r="F913" s="97">
        <f ca="1">VLOOKUP(D913,[2]属性!$A:$E,3,FALSE)</f>
        <v>1.02</v>
      </c>
      <c r="G913" s="97">
        <f ca="1">VLOOKUP(D913,[2]属性!$A:$F,4,FALSE)</f>
        <v>1</v>
      </c>
      <c r="H913" s="9" t="str">
        <f ca="1">VLOOKUP(A913,[2]characters!$A:$K,11,FALSE)</f>
        <v>attack</v>
      </c>
      <c r="I913" s="6" t="str">
        <f ca="1">VLOOKUP(H913,[2]character_type_i18n!$A:$F,3,FALSE)</f>
        <v>攻撃タイプ</v>
      </c>
      <c r="J913" s="106">
        <v>1</v>
      </c>
      <c r="K913" s="106">
        <v>1</v>
      </c>
      <c r="L913" s="106">
        <f ca="1">VLOOKUP(H913,[2]character_type_i18n!$A:$F,6,FALSE)</f>
        <v>1</v>
      </c>
      <c r="M913" s="9" t="s">
        <v>142</v>
      </c>
      <c r="N913" s="6" t="str">
        <f>VLOOKUP(M913,[2]character_tribe_i18n!$A:$F,3,FALSE)</f>
        <v>Unknown</v>
      </c>
      <c r="O913" s="97">
        <f>VLOOKUP(M913,[2]character_tribe_i18n!$A:$F,4,FALSE)</f>
        <v>1</v>
      </c>
      <c r="P913" s="97">
        <f>VLOOKUP(M913,[2]character_tribe_i18n!$A:$F,5,FALSE)</f>
        <v>1</v>
      </c>
      <c r="Q913" s="97">
        <f>VLOOKUP(M913,[2]character_tribe_i18n!$A:$F,6,FALSE)</f>
        <v>1</v>
      </c>
      <c r="R913" s="98" t="s">
        <v>98</v>
      </c>
      <c r="S913" s="97">
        <f>VLOOKUP($R913,ラベル別係数!$A$1:$E$7,3,FALSE)</f>
        <v>5</v>
      </c>
      <c r="T913" s="97">
        <f>VLOOKUP($R913,ラベル別係数!$A$1:$E$7,4,FALSE)</f>
        <v>1.3</v>
      </c>
      <c r="U913" s="97">
        <f>VLOOKUP($R913,ラベル別係数!$A$1:$E$7,5,FALSE)</f>
        <v>0.8</v>
      </c>
      <c r="V913" s="98">
        <v>3</v>
      </c>
      <c r="W913" s="99">
        <f>VLOOKUP(V913,ターン数別攻撃係数!$A$1:$B$1000,2,FALSE)</f>
        <v>1</v>
      </c>
      <c r="X913" s="9">
        <f ca="1">VLOOKUP(C913,サイズ別係数!A$2:B$9,2,FALSE)</f>
        <v>60</v>
      </c>
      <c r="Y913" s="97">
        <f ca="1">VLOOKUP($X913,サイズ別係数!$B:$E,2,FALSE)</f>
        <v>1.7</v>
      </c>
      <c r="Z913" s="97">
        <f ca="1">VLOOKUP($X913,サイズ別係数!$B:$E,3,FALSE)</f>
        <v>1.4</v>
      </c>
      <c r="AA913" s="97">
        <f ca="1">VLOOKUP($X913,サイズ別係数!$B:$E,4,FALSE)</f>
        <v>1</v>
      </c>
      <c r="AB913" s="10">
        <v>0</v>
      </c>
      <c r="AC913" s="6" t="str">
        <f ca="1">VLOOKUP($AB913,OFFSET([3]enemy_skill_sets!$B$2,0,0,COUNTA([3]enemy_skill_sets!$A:$A),MATCH(AC$1,[3]enemy_skill_sets!$1:$1,0)-MATCH($AB$1,[3]enemy_skill_sets!$1:$1,0)+1),MATCH(AC$1,[3]enemy_skill_sets!$1:$1,0)-MATCH($AB$1,[3]enemy_skill_sets!$1:$1,0)+1,FALSE)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3" s="67">
        <v>1</v>
      </c>
      <c r="AE913" s="67">
        <v>1</v>
      </c>
      <c r="AF913" s="68">
        <v>0</v>
      </c>
      <c r="AG913" s="99">
        <f ca="1">ROUND(VLOOKUP(1,enemy_base_stats!$A:$F,2,FALSE) * Y913* J913*O913*E913*S913*AD913*[2]ステータス!$B$2,0)</f>
        <v>4250</v>
      </c>
      <c r="AH913" s="99">
        <f ca="1">ROUND(VLOOKUP(1,enemy_base_stats!$A:$F,3,FALSE) * Z913*K913*P913*F913*T913*AE913 * W913*[2]ステータス!$C$2,0)</f>
        <v>278</v>
      </c>
      <c r="AI913" s="99">
        <f ca="1">ROUND(VLOOKUP(1,enemy_base_stats!$A:$F,4,FALSE) * AA913*L913*Q913*G913*U913*AF913*[2]ステータス!$D$2,0)</f>
        <v>0</v>
      </c>
      <c r="AJ913" s="99">
        <f ca="1">ROUND(VLOOKUP(100,enemy_base_stats!$A:$F,2,FALSE) * Y913* J913*O913*E913*S913*AD913*[2]ステータス!$B$2,0)</f>
        <v>172550</v>
      </c>
      <c r="AK913" s="99">
        <f ca="1">ROUND(VLOOKUP(100,enemy_base_stats!$A:$F,3,FALSE)* Z913* K913*P913*F913*T913*AE913 * W913*[2]ステータス!$C$2,0)</f>
        <v>11305</v>
      </c>
      <c r="AL913" s="99">
        <f ca="1">ROUND(VLOOKUP(100,enemy_base_stats!$A:$F,4,FALSE)* AA913* L913*Q913*G913*U913*AF913*[2]ステータス!$D$2,0)</f>
        <v>0</v>
      </c>
      <c r="AM913" s="97">
        <f>VLOOKUP(M913,[2]character_tribe_i18n!$A:$I,9,FALSE)</f>
        <v>340</v>
      </c>
      <c r="AN913" s="97">
        <v>0</v>
      </c>
      <c r="AO913" s="98">
        <v>0</v>
      </c>
      <c r="AP913" s="58" t="s">
        <v>72</v>
      </c>
      <c r="AQ913" s="34">
        <f t="shared" ca="1" si="53"/>
        <v>912</v>
      </c>
    </row>
    <row r="914" spans="1:43" ht="21" customHeight="1" x14ac:dyDescent="0.15">
      <c r="A914" s="7">
        <f t="shared" ca="1" si="52"/>
        <v>913</v>
      </c>
      <c r="B914" s="6" t="str">
        <f ca="1">VLOOKUP(A914,[2]characters!$A:$C,3,FALSE)</f>
        <v>幸福の縁廻　ニーベルゲン</v>
      </c>
      <c r="C914" s="9">
        <f ca="1">VLOOKUP(A914,[2]characters!$A:$I,9,FALSE)</f>
        <v>4</v>
      </c>
      <c r="D914" s="9" t="str">
        <f ca="1">VLOOKUP(A914,[2]characters!$A:$H,8,FALSE)</f>
        <v>green</v>
      </c>
      <c r="E914" s="97">
        <f ca="1">VLOOKUP(D914,[2]属性!$A:$E,2,FALSE)</f>
        <v>1.02</v>
      </c>
      <c r="F914" s="97">
        <f ca="1">VLOOKUP(D914,[2]属性!$A:$E,3,FALSE)</f>
        <v>0.98</v>
      </c>
      <c r="G914" s="97">
        <f ca="1">VLOOKUP(D914,[2]属性!$A:$F,4,FALSE)</f>
        <v>1</v>
      </c>
      <c r="H914" s="9" t="str">
        <f ca="1">VLOOKUP(A914,[2]characters!$A:$K,11,FALSE)</f>
        <v>balance</v>
      </c>
      <c r="I914" s="6" t="str">
        <f ca="1">VLOOKUP(H914,[2]character_type_i18n!$A:$F,3,FALSE)</f>
        <v>バランスタイプ</v>
      </c>
      <c r="J914" s="106">
        <v>1</v>
      </c>
      <c r="K914" s="106">
        <v>1</v>
      </c>
      <c r="L914" s="106">
        <f ca="1">VLOOKUP(H914,[2]character_type_i18n!$A:$F,6,FALSE)</f>
        <v>1</v>
      </c>
      <c r="M914" s="9" t="s">
        <v>142</v>
      </c>
      <c r="N914" s="6" t="str">
        <f>VLOOKUP(M914,[2]character_tribe_i18n!$A:$F,3,FALSE)</f>
        <v>Unknown</v>
      </c>
      <c r="O914" s="97">
        <f>VLOOKUP(M914,[2]character_tribe_i18n!$A:$F,4,FALSE)</f>
        <v>1</v>
      </c>
      <c r="P914" s="97">
        <f>VLOOKUP(M914,[2]character_tribe_i18n!$A:$F,5,FALSE)</f>
        <v>1</v>
      </c>
      <c r="Q914" s="97">
        <f>VLOOKUP(M914,[2]character_tribe_i18n!$A:$F,6,FALSE)</f>
        <v>1</v>
      </c>
      <c r="R914" s="98" t="s">
        <v>98</v>
      </c>
      <c r="S914" s="97">
        <f>VLOOKUP($R914,ラベル別係数!$A$1:$E$7,3,FALSE)</f>
        <v>5</v>
      </c>
      <c r="T914" s="97">
        <f>VLOOKUP($R914,ラベル別係数!$A$1:$E$7,4,FALSE)</f>
        <v>1.3</v>
      </c>
      <c r="U914" s="97">
        <f>VLOOKUP($R914,ラベル別係数!$A$1:$E$7,5,FALSE)</f>
        <v>0.8</v>
      </c>
      <c r="V914" s="98">
        <v>3</v>
      </c>
      <c r="W914" s="99">
        <f>VLOOKUP(V914,ターン数別攻撃係数!$A$1:$B$1000,2,FALSE)</f>
        <v>1</v>
      </c>
      <c r="X914" s="9">
        <f ca="1">VLOOKUP(C914,サイズ別係数!A$2:B$9,2,FALSE)</f>
        <v>30</v>
      </c>
      <c r="Y914" s="97">
        <f ca="1">VLOOKUP($X914,サイズ別係数!$B:$E,2,FALSE)</f>
        <v>1.3</v>
      </c>
      <c r="Z914" s="97">
        <f ca="1">VLOOKUP($X914,サイズ別係数!$B:$E,3,FALSE)</f>
        <v>1.3</v>
      </c>
      <c r="AA914" s="97">
        <f ca="1">VLOOKUP($X914,サイズ別係数!$B:$E,4,FALSE)</f>
        <v>1.1000000000000001</v>
      </c>
      <c r="AB914" s="10">
        <v>0</v>
      </c>
      <c r="AC914" s="6" t="str">
        <f ca="1">VLOOKUP($AB914,OFFSET([3]enemy_skill_sets!$B$2,0,0,COUNTA([3]enemy_skill_sets!$A:$A),MATCH(AC$1,[3]enemy_skill_sets!$1:$1,0)-MATCH($AB$1,[3]enemy_skill_sets!$1:$1,0)+1),MATCH(AC$1,[3]enemy_skill_sets!$1:$1,0)-MATCH($AB$1,[3]enemy_skill_sets!$1:$1,0)+1,FALSE)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4" s="67">
        <v>1</v>
      </c>
      <c r="AE914" s="67">
        <v>1</v>
      </c>
      <c r="AF914" s="68">
        <v>0</v>
      </c>
      <c r="AG914" s="99">
        <f ca="1">ROUND(VLOOKUP(1,enemy_base_stats!$A:$F,2,FALSE) * Y914* J914*O914*E914*S914*AD914*[2]ステータス!$B$2,0)</f>
        <v>3315</v>
      </c>
      <c r="AH914" s="99">
        <f ca="1">ROUND(VLOOKUP(1,enemy_base_stats!$A:$F,3,FALSE) * Z914*K914*P914*F914*T914*AE914 * W914*[2]ステータス!$C$2,0)</f>
        <v>248</v>
      </c>
      <c r="AI914" s="99">
        <f ca="1">ROUND(VLOOKUP(1,enemy_base_stats!$A:$F,4,FALSE) * AA914*L914*Q914*G914*U914*AF914*[2]ステータス!$D$2,0)</f>
        <v>0</v>
      </c>
      <c r="AJ914" s="99">
        <f ca="1">ROUND(VLOOKUP(100,enemy_base_stats!$A:$F,2,FALSE) * Y914* J914*O914*E914*S914*AD914*[2]ステータス!$B$2,0)</f>
        <v>134589</v>
      </c>
      <c r="AK914" s="99">
        <f ca="1">ROUND(VLOOKUP(100,enemy_base_stats!$A:$F,3,FALSE)* Z914* K914*P914*F914*T914*AE914 * W914*[2]ステータス!$C$2,0)</f>
        <v>10086</v>
      </c>
      <c r="AL914" s="99">
        <f ca="1">ROUND(VLOOKUP(100,enemy_base_stats!$A:$F,4,FALSE)* AA914* L914*Q914*G914*U914*AF914*[2]ステータス!$D$2,0)</f>
        <v>0</v>
      </c>
      <c r="AM914" s="97">
        <f>VLOOKUP(M914,[2]character_tribe_i18n!$A:$I,9,FALSE)</f>
        <v>340</v>
      </c>
      <c r="AN914" s="97">
        <v>0</v>
      </c>
      <c r="AO914" s="98">
        <v>0</v>
      </c>
      <c r="AP914" s="58" t="s">
        <v>72</v>
      </c>
      <c r="AQ914" s="34">
        <f t="shared" ca="1" si="53"/>
        <v>913</v>
      </c>
    </row>
    <row r="915" spans="1:43" ht="21" customHeight="1" x14ac:dyDescent="0.15">
      <c r="A915" s="7">
        <f t="shared" ca="1" si="52"/>
        <v>914</v>
      </c>
      <c r="B915" s="6" t="str">
        <f ca="1">VLOOKUP(A915,[2]characters!$A:$C,3,FALSE)</f>
        <v>淡色を廻る倖せ　ニーベルゲン</v>
      </c>
      <c r="C915" s="9">
        <f ca="1">VLOOKUP(A915,[2]characters!$A:$I,9,FALSE)</f>
        <v>5</v>
      </c>
      <c r="D915" s="9" t="str">
        <f ca="1">VLOOKUP(A915,[2]characters!$A:$H,8,FALSE)</f>
        <v>green</v>
      </c>
      <c r="E915" s="97">
        <f ca="1">VLOOKUP(D915,[2]属性!$A:$E,2,FALSE)</f>
        <v>1.02</v>
      </c>
      <c r="F915" s="97">
        <f ca="1">VLOOKUP(D915,[2]属性!$A:$E,3,FALSE)</f>
        <v>0.98</v>
      </c>
      <c r="G915" s="97">
        <f ca="1">VLOOKUP(D915,[2]属性!$A:$F,4,FALSE)</f>
        <v>1</v>
      </c>
      <c r="H915" s="9" t="str">
        <f ca="1">VLOOKUP(A915,[2]characters!$A:$K,11,FALSE)</f>
        <v>balance</v>
      </c>
      <c r="I915" s="6" t="str">
        <f ca="1">VLOOKUP(H915,[2]character_type_i18n!$A:$F,3,FALSE)</f>
        <v>バランスタイプ</v>
      </c>
      <c r="J915" s="106">
        <v>1</v>
      </c>
      <c r="K915" s="106">
        <v>1</v>
      </c>
      <c r="L915" s="106">
        <f ca="1">VLOOKUP(H915,[2]character_type_i18n!$A:$F,6,FALSE)</f>
        <v>1</v>
      </c>
      <c r="M915" s="9" t="s">
        <v>142</v>
      </c>
      <c r="N915" s="6" t="str">
        <f>VLOOKUP(M915,[2]character_tribe_i18n!$A:$F,3,FALSE)</f>
        <v>Unknown</v>
      </c>
      <c r="O915" s="97">
        <f>VLOOKUP(M915,[2]character_tribe_i18n!$A:$F,4,FALSE)</f>
        <v>1</v>
      </c>
      <c r="P915" s="97">
        <f>VLOOKUP(M915,[2]character_tribe_i18n!$A:$F,5,FALSE)</f>
        <v>1</v>
      </c>
      <c r="Q915" s="97">
        <f>VLOOKUP(M915,[2]character_tribe_i18n!$A:$F,6,FALSE)</f>
        <v>1</v>
      </c>
      <c r="R915" s="98" t="s">
        <v>98</v>
      </c>
      <c r="S915" s="97">
        <f>VLOOKUP($R915,ラベル別係数!$A$1:$E$7,3,FALSE)</f>
        <v>5</v>
      </c>
      <c r="T915" s="97">
        <f>VLOOKUP($R915,ラベル別係数!$A$1:$E$7,4,FALSE)</f>
        <v>1.3</v>
      </c>
      <c r="U915" s="97">
        <f>VLOOKUP($R915,ラベル別係数!$A$1:$E$7,5,FALSE)</f>
        <v>0.8</v>
      </c>
      <c r="V915" s="98">
        <v>3</v>
      </c>
      <c r="W915" s="99">
        <f>VLOOKUP(V915,ターン数別攻撃係数!$A$1:$B$1000,2,FALSE)</f>
        <v>1</v>
      </c>
      <c r="X915" s="9">
        <f ca="1">VLOOKUP(C915,サイズ別係数!A$2:B$9,2,FALSE)</f>
        <v>60</v>
      </c>
      <c r="Y915" s="97">
        <f ca="1">VLOOKUP($X915,サイズ別係数!$B:$E,2,FALSE)</f>
        <v>1.7</v>
      </c>
      <c r="Z915" s="97">
        <f ca="1">VLOOKUP($X915,サイズ別係数!$B:$E,3,FALSE)</f>
        <v>1.4</v>
      </c>
      <c r="AA915" s="97">
        <f ca="1">VLOOKUP($X915,サイズ別係数!$B:$E,4,FALSE)</f>
        <v>1</v>
      </c>
      <c r="AB915" s="10">
        <v>0</v>
      </c>
      <c r="AC915" s="6" t="str">
        <f ca="1">VLOOKUP($AB915,OFFSET([3]enemy_skill_sets!$B$2,0,0,COUNTA([3]enemy_skill_sets!$A:$A),MATCH(AC$1,[3]enemy_skill_sets!$1:$1,0)-MATCH($AB$1,[3]enemy_skill_sets!$1:$1,0)+1),MATCH(AC$1,[3]enemy_skill_sets!$1:$1,0)-MATCH($AB$1,[3]enemy_skill_sets!$1:$1,0)+1,FALSE)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5" s="67">
        <v>1</v>
      </c>
      <c r="AE915" s="67">
        <v>1</v>
      </c>
      <c r="AF915" s="68">
        <v>0</v>
      </c>
      <c r="AG915" s="99">
        <f ca="1">ROUND(VLOOKUP(1,enemy_base_stats!$A:$F,2,FALSE) * Y915* J915*O915*E915*S915*AD915*[2]ステータス!$B$2,0)</f>
        <v>4335</v>
      </c>
      <c r="AH915" s="99">
        <f ca="1">ROUND(VLOOKUP(1,enemy_base_stats!$A:$F,3,FALSE) * Z915*K915*P915*F915*T915*AE915 * W915*[2]ステータス!$C$2,0)</f>
        <v>268</v>
      </c>
      <c r="AI915" s="99">
        <f ca="1">ROUND(VLOOKUP(1,enemy_base_stats!$A:$F,4,FALSE) * AA915*L915*Q915*G915*U915*AF915*[2]ステータス!$D$2,0)</f>
        <v>0</v>
      </c>
      <c r="AJ915" s="99">
        <f ca="1">ROUND(VLOOKUP(100,enemy_base_stats!$A:$F,2,FALSE) * Y915* J915*O915*E915*S915*AD915*[2]ステータス!$B$2,0)</f>
        <v>176001</v>
      </c>
      <c r="AK915" s="99">
        <f ca="1">ROUND(VLOOKUP(100,enemy_base_stats!$A:$F,3,FALSE)* Z915* K915*P915*F915*T915*AE915 * W915*[2]ステータス!$C$2,0)</f>
        <v>10862</v>
      </c>
      <c r="AL915" s="99">
        <f ca="1">ROUND(VLOOKUP(100,enemy_base_stats!$A:$F,4,FALSE)* AA915* L915*Q915*G915*U915*AF915*[2]ステータス!$D$2,0)</f>
        <v>0</v>
      </c>
      <c r="AM915" s="97">
        <f>VLOOKUP(M915,[2]character_tribe_i18n!$A:$I,9,FALSE)</f>
        <v>340</v>
      </c>
      <c r="AN915" s="97">
        <v>0</v>
      </c>
      <c r="AO915" s="98">
        <v>0</v>
      </c>
      <c r="AP915" s="58" t="s">
        <v>72</v>
      </c>
      <c r="AQ915" s="34">
        <f t="shared" ca="1" si="53"/>
        <v>914</v>
      </c>
    </row>
    <row r="916" spans="1:43" ht="21" customHeight="1" x14ac:dyDescent="0.15">
      <c r="A916" s="7">
        <f t="shared" ca="1" si="52"/>
        <v>915</v>
      </c>
      <c r="B916" s="6" t="str">
        <f ca="1">VLOOKUP(A916,[2]characters!$A:$C,3,FALSE)</f>
        <v>休息者　カカシ</v>
      </c>
      <c r="C916" s="9">
        <f ca="1">VLOOKUP(A916,[2]characters!$A:$I,9,FALSE)</f>
        <v>4</v>
      </c>
      <c r="D916" s="9" t="str">
        <f ca="1">VLOOKUP(A916,[2]characters!$A:$H,8,FALSE)</f>
        <v>green</v>
      </c>
      <c r="E916" s="97">
        <f ca="1">VLOOKUP(D916,[2]属性!$A:$E,2,FALSE)</f>
        <v>1.02</v>
      </c>
      <c r="F916" s="97">
        <f ca="1">VLOOKUP(D916,[2]属性!$A:$E,3,FALSE)</f>
        <v>0.98</v>
      </c>
      <c r="G916" s="97">
        <f ca="1">VLOOKUP(D916,[2]属性!$A:$F,4,FALSE)</f>
        <v>1</v>
      </c>
      <c r="H916" s="9" t="str">
        <f ca="1">VLOOKUP(A916,[2]characters!$A:$K,11,FALSE)</f>
        <v>technical</v>
      </c>
      <c r="I916" s="6" t="str">
        <f ca="1">VLOOKUP(H916,[2]character_type_i18n!$A:$F,3,FALSE)</f>
        <v>テクニカルタイプ</v>
      </c>
      <c r="J916" s="106">
        <v>1</v>
      </c>
      <c r="K916" s="106">
        <v>1</v>
      </c>
      <c r="L916" s="106">
        <f ca="1">VLOOKUP(H916,[2]character_type_i18n!$A:$F,6,FALSE)</f>
        <v>1</v>
      </c>
      <c r="M916" s="9" t="s">
        <v>144</v>
      </c>
      <c r="N916" s="6" t="str">
        <f>VLOOKUP(M916,[2]character_tribe_i18n!$A:$F,3,FALSE)</f>
        <v>ヒューマン</v>
      </c>
      <c r="O916" s="97">
        <f>VLOOKUP(M916,[2]character_tribe_i18n!$A:$F,4,FALSE)</f>
        <v>0.94</v>
      </c>
      <c r="P916" s="97">
        <f>VLOOKUP(M916,[2]character_tribe_i18n!$A:$F,5,FALSE)</f>
        <v>0.99</v>
      </c>
      <c r="Q916" s="97">
        <f>VLOOKUP(M916,[2]character_tribe_i18n!$A:$F,6,FALSE)</f>
        <v>1</v>
      </c>
      <c r="R916" s="98" t="s">
        <v>98</v>
      </c>
      <c r="S916" s="97">
        <f>VLOOKUP($R916,ラベル別係数!$A$1:$E$7,3,FALSE)</f>
        <v>5</v>
      </c>
      <c r="T916" s="97">
        <f>VLOOKUP($R916,ラベル別係数!$A$1:$E$7,4,FALSE)</f>
        <v>1.3</v>
      </c>
      <c r="U916" s="97">
        <f>VLOOKUP($R916,ラベル別係数!$A$1:$E$7,5,FALSE)</f>
        <v>0.8</v>
      </c>
      <c r="V916" s="98">
        <v>3</v>
      </c>
      <c r="W916" s="99">
        <f>VLOOKUP(V916,ターン数別攻撃係数!$A$1:$B$1000,2,FALSE)</f>
        <v>1</v>
      </c>
      <c r="X916" s="9">
        <f ca="1">VLOOKUP(C916,サイズ別係数!A$2:B$9,2,FALSE)</f>
        <v>30</v>
      </c>
      <c r="Y916" s="97">
        <f ca="1">VLOOKUP($X916,サイズ別係数!$B:$E,2,FALSE)</f>
        <v>1.3</v>
      </c>
      <c r="Z916" s="97">
        <f ca="1">VLOOKUP($X916,サイズ別係数!$B:$E,3,FALSE)</f>
        <v>1.3</v>
      </c>
      <c r="AA916" s="97">
        <f ca="1">VLOOKUP($X916,サイズ別係数!$B:$E,4,FALSE)</f>
        <v>1.1000000000000001</v>
      </c>
      <c r="AB916" s="10">
        <v>0</v>
      </c>
      <c r="AC916" s="6" t="str">
        <f ca="1">VLOOKUP($AB916,OFFSET([3]enemy_skill_sets!$B$2,0,0,COUNTA([3]enemy_skill_sets!$A:$A),MATCH(AC$1,[3]enemy_skill_sets!$1:$1,0)-MATCH($AB$1,[3]enemy_skill_sets!$1:$1,0)+1),MATCH(AC$1,[3]enemy_skill_sets!$1:$1,0)-MATCH($AB$1,[3]enemy_skill_sets!$1:$1,0)+1,FALSE)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6" s="67">
        <v>1</v>
      </c>
      <c r="AE916" s="67">
        <v>1</v>
      </c>
      <c r="AF916" s="68">
        <v>0</v>
      </c>
      <c r="AG916" s="99">
        <f ca="1">ROUND(VLOOKUP(1,enemy_base_stats!$A:$F,2,FALSE) * Y916* J916*O916*E916*S916*AD916*[2]ステータス!$B$2,0)</f>
        <v>3116</v>
      </c>
      <c r="AH916" s="99">
        <f ca="1">ROUND(VLOOKUP(1,enemy_base_stats!$A:$F,3,FALSE) * Z916*K916*P916*F916*T916*AE916 * W916*[2]ステータス!$C$2,0)</f>
        <v>246</v>
      </c>
      <c r="AI916" s="99">
        <f ca="1">ROUND(VLOOKUP(1,enemy_base_stats!$A:$F,4,FALSE) * AA916*L916*Q916*G916*U916*AF916*[2]ステータス!$D$2,0)</f>
        <v>0</v>
      </c>
      <c r="AJ916" s="99">
        <f ca="1">ROUND(VLOOKUP(100,enemy_base_stats!$A:$F,2,FALSE) * Y916* J916*O916*E916*S916*AD916*[2]ステータス!$B$2,0)</f>
        <v>126514</v>
      </c>
      <c r="AK916" s="99">
        <f ca="1">ROUND(VLOOKUP(100,enemy_base_stats!$A:$F,3,FALSE)* Z916* K916*P916*F916*T916*AE916 * W916*[2]ステータス!$C$2,0)</f>
        <v>9985</v>
      </c>
      <c r="AL916" s="99">
        <f ca="1">ROUND(VLOOKUP(100,enemy_base_stats!$A:$F,4,FALSE)* AA916* L916*Q916*G916*U916*AF916*[2]ステータス!$D$2,0)</f>
        <v>0</v>
      </c>
      <c r="AM916" s="97">
        <f>VLOOKUP(M916,[2]character_tribe_i18n!$A:$I,9,FALSE)</f>
        <v>400</v>
      </c>
      <c r="AN916" s="97">
        <v>0</v>
      </c>
      <c r="AO916" s="98">
        <v>0</v>
      </c>
      <c r="AP916" s="58" t="s">
        <v>72</v>
      </c>
      <c r="AQ916" s="34">
        <f t="shared" ca="1" si="53"/>
        <v>915</v>
      </c>
    </row>
    <row r="917" spans="1:43" ht="21" customHeight="1" x14ac:dyDescent="0.15">
      <c r="A917" s="7">
        <f t="shared" ca="1" si="52"/>
        <v>916</v>
      </c>
      <c r="B917" s="6" t="str">
        <f ca="1">VLOOKUP(A917,[2]characters!$A:$C,3,FALSE)</f>
        <v>翠線譜の音色　カカシ</v>
      </c>
      <c r="C917" s="9">
        <f ca="1">VLOOKUP(A917,[2]characters!$A:$I,9,FALSE)</f>
        <v>5</v>
      </c>
      <c r="D917" s="9" t="str">
        <f ca="1">VLOOKUP(A917,[2]characters!$A:$H,8,FALSE)</f>
        <v>green</v>
      </c>
      <c r="E917" s="97">
        <f ca="1">VLOOKUP(D917,[2]属性!$A:$E,2,FALSE)</f>
        <v>1.02</v>
      </c>
      <c r="F917" s="97">
        <f ca="1">VLOOKUP(D917,[2]属性!$A:$E,3,FALSE)</f>
        <v>0.98</v>
      </c>
      <c r="G917" s="97">
        <f ca="1">VLOOKUP(D917,[2]属性!$A:$F,4,FALSE)</f>
        <v>1</v>
      </c>
      <c r="H917" s="9" t="str">
        <f ca="1">VLOOKUP(A917,[2]characters!$A:$K,11,FALSE)</f>
        <v>technical</v>
      </c>
      <c r="I917" s="6" t="str">
        <f ca="1">VLOOKUP(H917,[2]character_type_i18n!$A:$F,3,FALSE)</f>
        <v>テクニカルタイプ</v>
      </c>
      <c r="J917" s="106">
        <v>1</v>
      </c>
      <c r="K917" s="106">
        <v>1</v>
      </c>
      <c r="L917" s="106">
        <f ca="1">VLOOKUP(H917,[2]character_type_i18n!$A:$F,6,FALSE)</f>
        <v>1</v>
      </c>
      <c r="M917" s="9" t="s">
        <v>144</v>
      </c>
      <c r="N917" s="6" t="str">
        <f>VLOOKUP(M917,[2]character_tribe_i18n!$A:$F,3,FALSE)</f>
        <v>ヒューマン</v>
      </c>
      <c r="O917" s="97">
        <f>VLOOKUP(M917,[2]character_tribe_i18n!$A:$F,4,FALSE)</f>
        <v>0.94</v>
      </c>
      <c r="P917" s="97">
        <f>VLOOKUP(M917,[2]character_tribe_i18n!$A:$F,5,FALSE)</f>
        <v>0.99</v>
      </c>
      <c r="Q917" s="97">
        <f>VLOOKUP(M917,[2]character_tribe_i18n!$A:$F,6,FALSE)</f>
        <v>1</v>
      </c>
      <c r="R917" s="98" t="s">
        <v>98</v>
      </c>
      <c r="S917" s="97">
        <f>VLOOKUP($R917,ラベル別係数!$A$1:$E$7,3,FALSE)</f>
        <v>5</v>
      </c>
      <c r="T917" s="97">
        <f>VLOOKUP($R917,ラベル別係数!$A$1:$E$7,4,FALSE)</f>
        <v>1.3</v>
      </c>
      <c r="U917" s="97">
        <f>VLOOKUP($R917,ラベル別係数!$A$1:$E$7,5,FALSE)</f>
        <v>0.8</v>
      </c>
      <c r="V917" s="98">
        <v>3</v>
      </c>
      <c r="W917" s="99">
        <f>VLOOKUP(V917,ターン数別攻撃係数!$A$1:$B$1000,2,FALSE)</f>
        <v>1</v>
      </c>
      <c r="X917" s="9">
        <f ca="1">VLOOKUP(C917,サイズ別係数!A$2:B$9,2,FALSE)</f>
        <v>60</v>
      </c>
      <c r="Y917" s="97">
        <f ca="1">VLOOKUP($X917,サイズ別係数!$B:$E,2,FALSE)</f>
        <v>1.7</v>
      </c>
      <c r="Z917" s="97">
        <f ca="1">VLOOKUP($X917,サイズ別係数!$B:$E,3,FALSE)</f>
        <v>1.4</v>
      </c>
      <c r="AA917" s="97">
        <f ca="1">VLOOKUP($X917,サイズ別係数!$B:$E,4,FALSE)</f>
        <v>1</v>
      </c>
      <c r="AB917" s="10">
        <v>0</v>
      </c>
      <c r="AC917" s="6" t="str">
        <f ca="1">VLOOKUP($AB917,OFFSET([3]enemy_skill_sets!$B$2,0,0,COUNTA([3]enemy_skill_sets!$A:$A),MATCH(AC$1,[3]enemy_skill_sets!$1:$1,0)-MATCH($AB$1,[3]enemy_skill_sets!$1:$1,0)+1),MATCH(AC$1,[3]enemy_skill_sets!$1:$1,0)-MATCH($AB$1,[3]enemy_skill_sets!$1:$1,0)+1,FALSE)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7" s="67">
        <v>1</v>
      </c>
      <c r="AE917" s="67">
        <v>1</v>
      </c>
      <c r="AF917" s="68">
        <v>0</v>
      </c>
      <c r="AG917" s="99">
        <f ca="1">ROUND(VLOOKUP(1,enemy_base_stats!$A:$F,2,FALSE) * Y917* J917*O917*E917*S917*AD917*[2]ステータス!$B$2,0)</f>
        <v>4075</v>
      </c>
      <c r="AH917" s="99">
        <f ca="1">ROUND(VLOOKUP(1,enemy_base_stats!$A:$F,3,FALSE) * Z917*K917*P917*F917*T917*AE917 * W917*[2]ステータス!$C$2,0)</f>
        <v>265</v>
      </c>
      <c r="AI917" s="99">
        <f ca="1">ROUND(VLOOKUP(1,enemy_base_stats!$A:$F,4,FALSE) * AA917*L917*Q917*G917*U917*AF917*[2]ステータス!$D$2,0)</f>
        <v>0</v>
      </c>
      <c r="AJ917" s="99">
        <f ca="1">ROUND(VLOOKUP(100,enemy_base_stats!$A:$F,2,FALSE) * Y917* J917*O917*E917*S917*AD917*[2]ステータス!$B$2,0)</f>
        <v>165441</v>
      </c>
      <c r="AK917" s="99">
        <f ca="1">ROUND(VLOOKUP(100,enemy_base_stats!$A:$F,3,FALSE)* Z917* K917*P917*F917*T917*AE917 * W917*[2]ステータス!$C$2,0)</f>
        <v>10754</v>
      </c>
      <c r="AL917" s="99">
        <f ca="1">ROUND(VLOOKUP(100,enemy_base_stats!$A:$F,4,FALSE)* AA917* L917*Q917*G917*U917*AF917*[2]ステータス!$D$2,0)</f>
        <v>0</v>
      </c>
      <c r="AM917" s="97">
        <f>VLOOKUP(M917,[2]character_tribe_i18n!$A:$I,9,FALSE)</f>
        <v>400</v>
      </c>
      <c r="AN917" s="97">
        <v>0</v>
      </c>
      <c r="AO917" s="98">
        <v>0</v>
      </c>
      <c r="AP917" s="58" t="s">
        <v>72</v>
      </c>
      <c r="AQ917" s="34">
        <f t="shared" ca="1" si="53"/>
        <v>916</v>
      </c>
    </row>
    <row r="918" spans="1:43" ht="21" customHeight="1" x14ac:dyDescent="0.15">
      <c r="A918" s="7">
        <f t="shared" ca="1" si="52"/>
        <v>917</v>
      </c>
      <c r="B918" s="6" t="str">
        <f ca="1">VLOOKUP(A918,[2]characters!$A:$C,3,FALSE)</f>
        <v>けろけろけろっぴ</v>
      </c>
      <c r="C918" s="9">
        <f ca="1">VLOOKUP(A918,[2]characters!$A:$I,9,FALSE)</f>
        <v>3</v>
      </c>
      <c r="D918" s="9" t="str">
        <f ca="1">VLOOKUP(A918,[2]characters!$A:$H,8,FALSE)</f>
        <v>green</v>
      </c>
      <c r="E918" s="97">
        <f ca="1">VLOOKUP(D918,[2]属性!$A:$E,2,FALSE)</f>
        <v>1.02</v>
      </c>
      <c r="F918" s="97">
        <f ca="1">VLOOKUP(D918,[2]属性!$A:$E,3,FALSE)</f>
        <v>0.98</v>
      </c>
      <c r="G918" s="97">
        <f ca="1">VLOOKUP(D918,[2]属性!$A:$F,4,FALSE)</f>
        <v>1</v>
      </c>
      <c r="H918" s="9" t="str">
        <f ca="1">VLOOKUP(A918,[2]characters!$A:$K,11,FALSE)</f>
        <v>balance</v>
      </c>
      <c r="I918" s="6" t="str">
        <f ca="1">VLOOKUP(H918,[2]character_type_i18n!$A:$F,3,FALSE)</f>
        <v>バランスタイプ</v>
      </c>
      <c r="J918" s="106">
        <v>1</v>
      </c>
      <c r="K918" s="106">
        <v>1</v>
      </c>
      <c r="L918" s="106">
        <f ca="1">VLOOKUP(H918,[2]character_type_i18n!$A:$F,6,FALSE)</f>
        <v>1</v>
      </c>
      <c r="M918" s="9" t="s">
        <v>142</v>
      </c>
      <c r="N918" s="6" t="str">
        <f>VLOOKUP(M918,[2]character_tribe_i18n!$A:$F,3,FALSE)</f>
        <v>Unknown</v>
      </c>
      <c r="O918" s="97">
        <f>VLOOKUP(M918,[2]character_tribe_i18n!$A:$F,4,FALSE)</f>
        <v>1</v>
      </c>
      <c r="P918" s="97">
        <f>VLOOKUP(M918,[2]character_tribe_i18n!$A:$F,5,FALSE)</f>
        <v>1</v>
      </c>
      <c r="Q918" s="97">
        <f>VLOOKUP(M918,[2]character_tribe_i18n!$A:$F,6,FALSE)</f>
        <v>1</v>
      </c>
      <c r="R918" s="98" t="s">
        <v>98</v>
      </c>
      <c r="S918" s="97">
        <f>VLOOKUP($R918,ラベル別係数!$A$1:$E$7,3,FALSE)</f>
        <v>5</v>
      </c>
      <c r="T918" s="97">
        <f>VLOOKUP($R918,ラベル別係数!$A$1:$E$7,4,FALSE)</f>
        <v>1.3</v>
      </c>
      <c r="U918" s="97">
        <f>VLOOKUP($R918,ラベル別係数!$A$1:$E$7,5,FALSE)</f>
        <v>0.8</v>
      </c>
      <c r="V918" s="98">
        <v>3</v>
      </c>
      <c r="W918" s="99">
        <f>VLOOKUP(V918,ターン数別攻撃係数!$A$1:$B$1000,2,FALSE)</f>
        <v>1</v>
      </c>
      <c r="X918" s="9">
        <f ca="1">VLOOKUP(C918,サイズ別係数!A$2:B$9,2,FALSE)</f>
        <v>25</v>
      </c>
      <c r="Y918" s="97">
        <f ca="1">VLOOKUP($X918,サイズ別係数!$B:$E,2,FALSE)</f>
        <v>1.2</v>
      </c>
      <c r="Z918" s="97">
        <f ca="1">VLOOKUP($X918,サイズ別係数!$B:$E,3,FALSE)</f>
        <v>1.25</v>
      </c>
      <c r="AA918" s="97">
        <f ca="1">VLOOKUP($X918,サイズ別係数!$B:$E,4,FALSE)</f>
        <v>1.1499999999999999</v>
      </c>
      <c r="AB918" s="10">
        <v>0</v>
      </c>
      <c r="AC918" s="6" t="str">
        <f ca="1">VLOOKUP($AB918,OFFSET([3]enemy_skill_sets!$B$2,0,0,COUNTA([3]enemy_skill_sets!$A:$A),MATCH(AC$1,[3]enemy_skill_sets!$1:$1,0)-MATCH($AB$1,[3]enemy_skill_sets!$1:$1,0)+1),MATCH(AC$1,[3]enemy_skill_sets!$1:$1,0)-MATCH($AB$1,[3]enemy_skill_sets!$1:$1,0)+1,FALSE)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8" s="67">
        <v>1</v>
      </c>
      <c r="AE918" s="67">
        <v>1</v>
      </c>
      <c r="AF918" s="68">
        <v>0</v>
      </c>
      <c r="AG918" s="99">
        <f ca="1">ROUND(VLOOKUP(1,enemy_base_stats!$A:$F,2,FALSE) * Y918* J918*O918*E918*S918*AD918*[2]ステータス!$B$2,0)</f>
        <v>3060</v>
      </c>
      <c r="AH918" s="99">
        <f ca="1">ROUND(VLOOKUP(1,enemy_base_stats!$A:$F,3,FALSE) * Z918*K918*P918*F918*T918*AE918 * W918*[2]ステータス!$C$2,0)</f>
        <v>239</v>
      </c>
      <c r="AI918" s="99">
        <f ca="1">ROUND(VLOOKUP(1,enemy_base_stats!$A:$F,4,FALSE) * AA918*L918*Q918*G918*U918*AF918*[2]ステータス!$D$2,0)</f>
        <v>0</v>
      </c>
      <c r="AJ918" s="99">
        <f ca="1">ROUND(VLOOKUP(100,enemy_base_stats!$A:$F,2,FALSE) * Y918* J918*O918*E918*S918*AD918*[2]ステータス!$B$2,0)</f>
        <v>124236</v>
      </c>
      <c r="AK918" s="99">
        <f ca="1">ROUND(VLOOKUP(100,enemy_base_stats!$A:$F,3,FALSE)* Z918* K918*P918*F918*T918*AE918 * W918*[2]ステータス!$C$2,0)</f>
        <v>9698</v>
      </c>
      <c r="AL918" s="99">
        <f ca="1">ROUND(VLOOKUP(100,enemy_base_stats!$A:$F,4,FALSE)* AA918* L918*Q918*G918*U918*AF918*[2]ステータス!$D$2,0)</f>
        <v>0</v>
      </c>
      <c r="AM918" s="97">
        <f>VLOOKUP(M918,[2]character_tribe_i18n!$A:$I,9,FALSE)</f>
        <v>340</v>
      </c>
      <c r="AN918" s="97">
        <v>0</v>
      </c>
      <c r="AO918" s="98">
        <v>0</v>
      </c>
      <c r="AP918" s="58" t="s">
        <v>72</v>
      </c>
      <c r="AQ918" s="34">
        <f t="shared" ca="1" si="53"/>
        <v>917</v>
      </c>
    </row>
    <row r="919" spans="1:43" ht="21" customHeight="1" x14ac:dyDescent="0.15">
      <c r="A919" s="7">
        <f t="shared" ca="1" si="52"/>
        <v>918</v>
      </c>
      <c r="B919" s="6" t="str">
        <f ca="1">VLOOKUP(A919,[2]characters!$A:$C,3,FALSE)</f>
        <v>てるてる天気 けろけろけろっぴ</v>
      </c>
      <c r="C919" s="9">
        <f ca="1">VLOOKUP(A919,[2]characters!$A:$I,9,FALSE)</f>
        <v>4</v>
      </c>
      <c r="D919" s="9" t="str">
        <f ca="1">VLOOKUP(A919,[2]characters!$A:$H,8,FALSE)</f>
        <v>green</v>
      </c>
      <c r="E919" s="97">
        <f ca="1">VLOOKUP(D919,[2]属性!$A:$E,2,FALSE)</f>
        <v>1.02</v>
      </c>
      <c r="F919" s="97">
        <f ca="1">VLOOKUP(D919,[2]属性!$A:$E,3,FALSE)</f>
        <v>0.98</v>
      </c>
      <c r="G919" s="97">
        <f ca="1">VLOOKUP(D919,[2]属性!$A:$F,4,FALSE)</f>
        <v>1</v>
      </c>
      <c r="H919" s="9" t="str">
        <f ca="1">VLOOKUP(A919,[2]characters!$A:$K,11,FALSE)</f>
        <v>balance</v>
      </c>
      <c r="I919" s="6" t="str">
        <f ca="1">VLOOKUP(H919,[2]character_type_i18n!$A:$F,3,FALSE)</f>
        <v>バランスタイプ</v>
      </c>
      <c r="J919" s="106">
        <v>1</v>
      </c>
      <c r="K919" s="106">
        <v>1</v>
      </c>
      <c r="L919" s="106">
        <f ca="1">VLOOKUP(H919,[2]character_type_i18n!$A:$F,6,FALSE)</f>
        <v>1</v>
      </c>
      <c r="M919" s="9" t="s">
        <v>142</v>
      </c>
      <c r="N919" s="6" t="str">
        <f>VLOOKUP(M919,[2]character_tribe_i18n!$A:$F,3,FALSE)</f>
        <v>Unknown</v>
      </c>
      <c r="O919" s="97">
        <f>VLOOKUP(M919,[2]character_tribe_i18n!$A:$F,4,FALSE)</f>
        <v>1</v>
      </c>
      <c r="P919" s="97">
        <f>VLOOKUP(M919,[2]character_tribe_i18n!$A:$F,5,FALSE)</f>
        <v>1</v>
      </c>
      <c r="Q919" s="97">
        <f>VLOOKUP(M919,[2]character_tribe_i18n!$A:$F,6,FALSE)</f>
        <v>1</v>
      </c>
      <c r="R919" s="98" t="s">
        <v>98</v>
      </c>
      <c r="S919" s="97">
        <f>VLOOKUP($R919,ラベル別係数!$A$1:$E$7,3,FALSE)</f>
        <v>5</v>
      </c>
      <c r="T919" s="97">
        <f>VLOOKUP($R919,ラベル別係数!$A$1:$E$7,4,FALSE)</f>
        <v>1.3</v>
      </c>
      <c r="U919" s="97">
        <f>VLOOKUP($R919,ラベル別係数!$A$1:$E$7,5,FALSE)</f>
        <v>0.8</v>
      </c>
      <c r="V919" s="98">
        <v>3</v>
      </c>
      <c r="W919" s="99">
        <f>VLOOKUP(V919,ターン数別攻撃係数!$A$1:$B$1000,2,FALSE)</f>
        <v>1</v>
      </c>
      <c r="X919" s="9">
        <f ca="1">VLOOKUP(C919,サイズ別係数!A$2:B$9,2,FALSE)</f>
        <v>30</v>
      </c>
      <c r="Y919" s="97">
        <f ca="1">VLOOKUP($X919,サイズ別係数!$B:$E,2,FALSE)</f>
        <v>1.3</v>
      </c>
      <c r="Z919" s="97">
        <f ca="1">VLOOKUP($X919,サイズ別係数!$B:$E,3,FALSE)</f>
        <v>1.3</v>
      </c>
      <c r="AA919" s="97">
        <f ca="1">VLOOKUP($X919,サイズ別係数!$B:$E,4,FALSE)</f>
        <v>1.1000000000000001</v>
      </c>
      <c r="AB919" s="10">
        <v>0</v>
      </c>
      <c r="AC919" s="6" t="str">
        <f ca="1">VLOOKUP($AB919,OFFSET([3]enemy_skill_sets!$B$2,0,0,COUNTA([3]enemy_skill_sets!$A:$A),MATCH(AC$1,[3]enemy_skill_sets!$1:$1,0)-MATCH($AB$1,[3]enemy_skill_sets!$1:$1,0)+1),MATCH(AC$1,[3]enemy_skill_sets!$1:$1,0)-MATCH($AB$1,[3]enemy_skill_sets!$1:$1,0)+1,FALSE)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19" s="67">
        <v>1</v>
      </c>
      <c r="AE919" s="67">
        <v>1</v>
      </c>
      <c r="AF919" s="68">
        <v>0</v>
      </c>
      <c r="AG919" s="99">
        <f ca="1">ROUND(VLOOKUP(1,enemy_base_stats!$A:$F,2,FALSE) * Y919* J919*O919*E919*S919*AD919*[2]ステータス!$B$2,0)</f>
        <v>3315</v>
      </c>
      <c r="AH919" s="99">
        <f ca="1">ROUND(VLOOKUP(1,enemy_base_stats!$A:$F,3,FALSE) * Z919*K919*P919*F919*T919*AE919 * W919*[2]ステータス!$C$2,0)</f>
        <v>248</v>
      </c>
      <c r="AI919" s="99">
        <f ca="1">ROUND(VLOOKUP(1,enemy_base_stats!$A:$F,4,FALSE) * AA919*L919*Q919*G919*U919*AF919*[2]ステータス!$D$2,0)</f>
        <v>0</v>
      </c>
      <c r="AJ919" s="99">
        <f ca="1">ROUND(VLOOKUP(100,enemy_base_stats!$A:$F,2,FALSE) * Y919* J919*O919*E919*S919*AD919*[2]ステータス!$B$2,0)</f>
        <v>134589</v>
      </c>
      <c r="AK919" s="99">
        <f ca="1">ROUND(VLOOKUP(100,enemy_base_stats!$A:$F,3,FALSE)* Z919* K919*P919*F919*T919*AE919 * W919*[2]ステータス!$C$2,0)</f>
        <v>10086</v>
      </c>
      <c r="AL919" s="99">
        <f ca="1">ROUND(VLOOKUP(100,enemy_base_stats!$A:$F,4,FALSE)* AA919* L919*Q919*G919*U919*AF919*[2]ステータス!$D$2,0)</f>
        <v>0</v>
      </c>
      <c r="AM919" s="97">
        <f>VLOOKUP(M919,[2]character_tribe_i18n!$A:$I,9,FALSE)</f>
        <v>340</v>
      </c>
      <c r="AN919" s="97">
        <v>0</v>
      </c>
      <c r="AO919" s="98">
        <v>0</v>
      </c>
      <c r="AP919" s="58" t="s">
        <v>72</v>
      </c>
      <c r="AQ919" s="34">
        <f t="shared" ca="1" si="53"/>
        <v>918</v>
      </c>
    </row>
    <row r="920" spans="1:43" ht="21" customHeight="1" x14ac:dyDescent="0.15">
      <c r="A920" s="7">
        <f t="shared" ca="1" si="52"/>
        <v>919</v>
      </c>
      <c r="B920" s="6" t="str">
        <f ca="1">VLOOKUP(A920,[2]characters!$A:$C,3,FALSE)</f>
        <v>甘美の誘惑 モルドレッド</v>
      </c>
      <c r="C920" s="9">
        <f ca="1">VLOOKUP(A920,[2]characters!$A:$I,9,FALSE)</f>
        <v>5</v>
      </c>
      <c r="D920" s="9" t="str">
        <f ca="1">VLOOKUP(A920,[2]characters!$A:$H,8,FALSE)</f>
        <v>blue</v>
      </c>
      <c r="E920" s="97">
        <f ca="1">VLOOKUP(D920,[2]属性!$A:$E,2,FALSE)</f>
        <v>1</v>
      </c>
      <c r="F920" s="97">
        <f ca="1">VLOOKUP(D920,[2]属性!$A:$E,3,FALSE)</f>
        <v>0.98</v>
      </c>
      <c r="G920" s="97">
        <f ca="1">VLOOKUP(D920,[2]属性!$A:$F,4,FALSE)</f>
        <v>1</v>
      </c>
      <c r="H920" s="9" t="str">
        <f ca="1">VLOOKUP(A920,[2]characters!$A:$K,11,FALSE)</f>
        <v>heal</v>
      </c>
      <c r="I920" s="6" t="str">
        <f ca="1">VLOOKUP(H920,[2]character_type_i18n!$A:$F,3,FALSE)</f>
        <v>回復タイプ</v>
      </c>
      <c r="J920" s="106">
        <v>1</v>
      </c>
      <c r="K920" s="106">
        <v>1</v>
      </c>
      <c r="L920" s="106">
        <f ca="1">VLOOKUP(H920,[2]character_type_i18n!$A:$F,6,FALSE)</f>
        <v>1</v>
      </c>
      <c r="M920" s="9" t="s">
        <v>145</v>
      </c>
      <c r="N920" s="6" t="str">
        <f>VLOOKUP(M920,[2]character_tribe_i18n!$A:$F,3,FALSE)</f>
        <v>ヒューマン</v>
      </c>
      <c r="O920" s="97">
        <f>VLOOKUP(M920,[2]character_tribe_i18n!$A:$F,4,FALSE)</f>
        <v>0.94</v>
      </c>
      <c r="P920" s="97">
        <f>VLOOKUP(M920,[2]character_tribe_i18n!$A:$F,5,FALSE)</f>
        <v>0.99</v>
      </c>
      <c r="Q920" s="97">
        <f>VLOOKUP(M920,[2]character_tribe_i18n!$A:$F,6,FALSE)</f>
        <v>1</v>
      </c>
      <c r="R920" s="98" t="s">
        <v>98</v>
      </c>
      <c r="S920" s="97">
        <f>VLOOKUP($R920,ラベル別係数!$A$1:$E$7,3,FALSE)</f>
        <v>5</v>
      </c>
      <c r="T920" s="97">
        <f>VLOOKUP($R920,ラベル別係数!$A$1:$E$7,4,FALSE)</f>
        <v>1.3</v>
      </c>
      <c r="U920" s="97">
        <f>VLOOKUP($R920,ラベル別係数!$A$1:$E$7,5,FALSE)</f>
        <v>0.8</v>
      </c>
      <c r="V920" s="98">
        <v>3</v>
      </c>
      <c r="W920" s="99">
        <f>VLOOKUP(V920,ターン数別攻撃係数!$A$1:$B$1000,2,FALSE)</f>
        <v>1</v>
      </c>
      <c r="X920" s="9">
        <f ca="1">VLOOKUP(C920,サイズ別係数!A$2:B$9,2,FALSE)</f>
        <v>60</v>
      </c>
      <c r="Y920" s="97">
        <f ca="1">VLOOKUP($X920,サイズ別係数!$B:$E,2,FALSE)</f>
        <v>1.7</v>
      </c>
      <c r="Z920" s="97">
        <f ca="1">VLOOKUP($X920,サイズ別係数!$B:$E,3,FALSE)</f>
        <v>1.4</v>
      </c>
      <c r="AA920" s="97">
        <f ca="1">VLOOKUP($X920,サイズ別係数!$B:$E,4,FALSE)</f>
        <v>1</v>
      </c>
      <c r="AB920" s="10">
        <v>0</v>
      </c>
      <c r="AC920" s="6" t="str">
        <f ca="1">VLOOKUP($AB920,OFFSET([3]enemy_skill_sets!$B$2,0,0,COUNTA([3]enemy_skill_sets!$A:$A),MATCH(AC$1,[3]enemy_skill_sets!$1:$1,0)-MATCH($AB$1,[3]enemy_skill_sets!$1:$1,0)+1),MATCH(AC$1,[3]enemy_skill_sets!$1:$1,0)-MATCH($AB$1,[3]enemy_skill_sets!$1:$1,0)+1,FALSE)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0" s="67">
        <v>1</v>
      </c>
      <c r="AE920" s="67">
        <v>1</v>
      </c>
      <c r="AF920" s="68">
        <v>0</v>
      </c>
      <c r="AG920" s="99">
        <f ca="1">ROUND(VLOOKUP(1,enemy_base_stats!$A:$F,2,FALSE) * Y920* J920*O920*E920*S920*AD920*[2]ステータス!$B$2,0)</f>
        <v>3995</v>
      </c>
      <c r="AH920" s="99">
        <f ca="1">ROUND(VLOOKUP(1,enemy_base_stats!$A:$F,3,FALSE) * Z920*K920*P920*F920*T920*AE920 * W920*[2]ステータス!$C$2,0)</f>
        <v>265</v>
      </c>
      <c r="AI920" s="99">
        <f ca="1">ROUND(VLOOKUP(1,enemy_base_stats!$A:$F,4,FALSE) * AA920*L920*Q920*G920*U920*AF920*[2]ステータス!$D$2,0)</f>
        <v>0</v>
      </c>
      <c r="AJ920" s="99">
        <f ca="1">ROUND(VLOOKUP(100,enemy_base_stats!$A:$F,2,FALSE) * Y920* J920*O920*E920*S920*AD920*[2]ステータス!$B$2,0)</f>
        <v>162197</v>
      </c>
      <c r="AK920" s="99">
        <f ca="1">ROUND(VLOOKUP(100,enemy_base_stats!$A:$F,3,FALSE)* Z920* K920*P920*F920*T920*AE920 * W920*[2]ステータス!$C$2,0)</f>
        <v>10754</v>
      </c>
      <c r="AL920" s="99">
        <f ca="1">ROUND(VLOOKUP(100,enemy_base_stats!$A:$F,4,FALSE)* AA920* L920*Q920*G920*U920*AF920*[2]ステータス!$D$2,0)</f>
        <v>0</v>
      </c>
      <c r="AM920" s="97">
        <f>VLOOKUP(M920,[2]character_tribe_i18n!$A:$I,9,FALSE)</f>
        <v>400</v>
      </c>
      <c r="AN920" s="97">
        <v>0</v>
      </c>
      <c r="AO920" s="98">
        <v>0</v>
      </c>
      <c r="AP920" s="58" t="s">
        <v>72</v>
      </c>
      <c r="AQ920" s="34">
        <f t="shared" ca="1" si="53"/>
        <v>919</v>
      </c>
    </row>
    <row r="921" spans="1:43" ht="21" customHeight="1" x14ac:dyDescent="0.15">
      <c r="A921" s="7">
        <f t="shared" ca="1" si="52"/>
        <v>920</v>
      </c>
      <c r="B921" s="6" t="str">
        <f ca="1">VLOOKUP(A921,[2]characters!$A:$C,3,FALSE)</f>
        <v>甘美の誘迷 モルドレッド</v>
      </c>
      <c r="C921" s="9">
        <f ca="1">VLOOKUP(A921,[2]characters!$A:$I,9,FALSE)</f>
        <v>6</v>
      </c>
      <c r="D921" s="9" t="str">
        <f ca="1">VLOOKUP(A921,[2]characters!$A:$H,8,FALSE)</f>
        <v>blue</v>
      </c>
      <c r="E921" s="97">
        <f ca="1">VLOOKUP(D921,[2]属性!$A:$E,2,FALSE)</f>
        <v>1</v>
      </c>
      <c r="F921" s="97">
        <f ca="1">VLOOKUP(D921,[2]属性!$A:$E,3,FALSE)</f>
        <v>0.98</v>
      </c>
      <c r="G921" s="97">
        <f ca="1">VLOOKUP(D921,[2]属性!$A:$F,4,FALSE)</f>
        <v>1</v>
      </c>
      <c r="H921" s="9" t="str">
        <f ca="1">VLOOKUP(A921,[2]characters!$A:$K,11,FALSE)</f>
        <v>heal</v>
      </c>
      <c r="I921" s="6" t="str">
        <f ca="1">VLOOKUP(H921,[2]character_type_i18n!$A:$F,3,FALSE)</f>
        <v>回復タイプ</v>
      </c>
      <c r="J921" s="106">
        <v>1</v>
      </c>
      <c r="K921" s="106">
        <v>1</v>
      </c>
      <c r="L921" s="106">
        <f ca="1">VLOOKUP(H921,[2]character_type_i18n!$A:$F,6,FALSE)</f>
        <v>1</v>
      </c>
      <c r="M921" s="9" t="s">
        <v>145</v>
      </c>
      <c r="N921" s="6" t="str">
        <f>VLOOKUP(M921,[2]character_tribe_i18n!$A:$F,3,FALSE)</f>
        <v>ヒューマン</v>
      </c>
      <c r="O921" s="97">
        <f>VLOOKUP(M921,[2]character_tribe_i18n!$A:$F,4,FALSE)</f>
        <v>0.94</v>
      </c>
      <c r="P921" s="97">
        <f>VLOOKUP(M921,[2]character_tribe_i18n!$A:$F,5,FALSE)</f>
        <v>0.99</v>
      </c>
      <c r="Q921" s="97">
        <f>VLOOKUP(M921,[2]character_tribe_i18n!$A:$F,6,FALSE)</f>
        <v>1</v>
      </c>
      <c r="R921" s="98" t="s">
        <v>98</v>
      </c>
      <c r="S921" s="97">
        <f>VLOOKUP($R921,ラベル別係数!$A$1:$E$7,3,FALSE)</f>
        <v>5</v>
      </c>
      <c r="T921" s="97">
        <f>VLOOKUP($R921,ラベル別係数!$A$1:$E$7,4,FALSE)</f>
        <v>1.3</v>
      </c>
      <c r="U921" s="97">
        <f>VLOOKUP($R921,ラベル別係数!$A$1:$E$7,5,FALSE)</f>
        <v>0.8</v>
      </c>
      <c r="V921" s="98">
        <v>3</v>
      </c>
      <c r="W921" s="99">
        <f>VLOOKUP(V921,ターン数別攻撃係数!$A$1:$B$1000,2,FALSE)</f>
        <v>1</v>
      </c>
      <c r="X921" s="9">
        <f ca="1">VLOOKUP(C921,サイズ別係数!A$2:B$9,2,FALSE)</f>
        <v>60</v>
      </c>
      <c r="Y921" s="97">
        <f ca="1">VLOOKUP($X921,サイズ別係数!$B:$E,2,FALSE)</f>
        <v>1.7</v>
      </c>
      <c r="Z921" s="97">
        <f ca="1">VLOOKUP($X921,サイズ別係数!$B:$E,3,FALSE)</f>
        <v>1.4</v>
      </c>
      <c r="AA921" s="97">
        <f ca="1">VLOOKUP($X921,サイズ別係数!$B:$E,4,FALSE)</f>
        <v>1</v>
      </c>
      <c r="AB921" s="10">
        <v>0</v>
      </c>
      <c r="AC921" s="6" t="str">
        <f ca="1">VLOOKUP($AB921,OFFSET([3]enemy_skill_sets!$B$2,0,0,COUNTA([3]enemy_skill_sets!$A:$A),MATCH(AC$1,[3]enemy_skill_sets!$1:$1,0)-MATCH($AB$1,[3]enemy_skill_sets!$1:$1,0)+1),MATCH(AC$1,[3]enemy_skill_sets!$1:$1,0)-MATCH($AB$1,[3]enemy_skill_sets!$1:$1,0)+1,FALSE)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1" s="67">
        <v>1</v>
      </c>
      <c r="AE921" s="67">
        <v>1</v>
      </c>
      <c r="AF921" s="68">
        <v>0</v>
      </c>
      <c r="AG921" s="99">
        <f ca="1">ROUND(VLOOKUP(1,enemy_base_stats!$A:$F,2,FALSE) * Y921* J921*O921*E921*S921*AD921*[2]ステータス!$B$2,0)</f>
        <v>3995</v>
      </c>
      <c r="AH921" s="99">
        <f ca="1">ROUND(VLOOKUP(1,enemy_base_stats!$A:$F,3,FALSE) * Z921*K921*P921*F921*T921*AE921 * W921*[2]ステータス!$C$2,0)</f>
        <v>265</v>
      </c>
      <c r="AI921" s="99">
        <f ca="1">ROUND(VLOOKUP(1,enemy_base_stats!$A:$F,4,FALSE) * AA921*L921*Q921*G921*U921*AF921*[2]ステータス!$D$2,0)</f>
        <v>0</v>
      </c>
      <c r="AJ921" s="99">
        <f ca="1">ROUND(VLOOKUP(100,enemy_base_stats!$A:$F,2,FALSE) * Y921* J921*O921*E921*S921*AD921*[2]ステータス!$B$2,0)</f>
        <v>162197</v>
      </c>
      <c r="AK921" s="99">
        <f ca="1">ROUND(VLOOKUP(100,enemy_base_stats!$A:$F,3,FALSE)* Z921* K921*P921*F921*T921*AE921 * W921*[2]ステータス!$C$2,0)</f>
        <v>10754</v>
      </c>
      <c r="AL921" s="99">
        <f ca="1">ROUND(VLOOKUP(100,enemy_base_stats!$A:$F,4,FALSE)* AA921* L921*Q921*G921*U921*AF921*[2]ステータス!$D$2,0)</f>
        <v>0</v>
      </c>
      <c r="AM921" s="97">
        <f>VLOOKUP(M921,[2]character_tribe_i18n!$A:$I,9,FALSE)</f>
        <v>400</v>
      </c>
      <c r="AN921" s="97">
        <v>0</v>
      </c>
      <c r="AO921" s="98">
        <v>0</v>
      </c>
      <c r="AP921" s="58" t="s">
        <v>72</v>
      </c>
      <c r="AQ921" s="34">
        <f t="shared" ca="1" si="53"/>
        <v>920</v>
      </c>
    </row>
    <row r="922" spans="1:43" ht="21" customHeight="1" x14ac:dyDescent="0.15">
      <c r="A922" s="7">
        <f t="shared" ca="1" si="52"/>
        <v>921</v>
      </c>
      <c r="B922" s="6" t="str">
        <f ca="1">VLOOKUP(A922,[2]characters!$A:$C,3,FALSE)</f>
        <v>クロミ</v>
      </c>
      <c r="C922" s="9">
        <f ca="1">VLOOKUP(A922,[2]characters!$A:$I,9,FALSE)</f>
        <v>3</v>
      </c>
      <c r="D922" s="9" t="str">
        <f ca="1">VLOOKUP(A922,[2]characters!$A:$H,8,FALSE)</f>
        <v>blue</v>
      </c>
      <c r="E922" s="97">
        <f ca="1">VLOOKUP(D922,[2]属性!$A:$E,2,FALSE)</f>
        <v>1</v>
      </c>
      <c r="F922" s="97">
        <f ca="1">VLOOKUP(D922,[2]属性!$A:$E,3,FALSE)</f>
        <v>0.98</v>
      </c>
      <c r="G922" s="97">
        <f ca="1">VLOOKUP(D922,[2]属性!$A:$F,4,FALSE)</f>
        <v>1</v>
      </c>
      <c r="H922" s="9" t="str">
        <f ca="1">VLOOKUP(A922,[2]characters!$A:$K,11,FALSE)</f>
        <v>technical</v>
      </c>
      <c r="I922" s="6" t="str">
        <f ca="1">VLOOKUP(H922,[2]character_type_i18n!$A:$F,3,FALSE)</f>
        <v>テクニカルタイプ</v>
      </c>
      <c r="J922" s="106">
        <v>1</v>
      </c>
      <c r="K922" s="106">
        <v>1</v>
      </c>
      <c r="L922" s="106">
        <f ca="1">VLOOKUP(H922,[2]character_type_i18n!$A:$F,6,FALSE)</f>
        <v>1</v>
      </c>
      <c r="M922" s="9" t="s">
        <v>142</v>
      </c>
      <c r="N922" s="6" t="str">
        <f>VLOOKUP(M922,[2]character_tribe_i18n!$A:$F,3,FALSE)</f>
        <v>Unknown</v>
      </c>
      <c r="O922" s="97">
        <f>VLOOKUP(M922,[2]character_tribe_i18n!$A:$F,4,FALSE)</f>
        <v>1</v>
      </c>
      <c r="P922" s="97">
        <f>VLOOKUP(M922,[2]character_tribe_i18n!$A:$F,5,FALSE)</f>
        <v>1</v>
      </c>
      <c r="Q922" s="97">
        <f>VLOOKUP(M922,[2]character_tribe_i18n!$A:$F,6,FALSE)</f>
        <v>1</v>
      </c>
      <c r="R922" s="98" t="s">
        <v>98</v>
      </c>
      <c r="S922" s="97">
        <f>VLOOKUP($R922,ラベル別係数!$A$1:$E$7,3,FALSE)</f>
        <v>5</v>
      </c>
      <c r="T922" s="97">
        <f>VLOOKUP($R922,ラベル別係数!$A$1:$E$7,4,FALSE)</f>
        <v>1.3</v>
      </c>
      <c r="U922" s="97">
        <f>VLOOKUP($R922,ラベル別係数!$A$1:$E$7,5,FALSE)</f>
        <v>0.8</v>
      </c>
      <c r="V922" s="98">
        <v>3</v>
      </c>
      <c r="W922" s="99">
        <f>VLOOKUP(V922,ターン数別攻撃係数!$A$1:$B$1000,2,FALSE)</f>
        <v>1</v>
      </c>
      <c r="X922" s="9">
        <f ca="1">VLOOKUP(C922,サイズ別係数!A$2:B$9,2,FALSE)</f>
        <v>25</v>
      </c>
      <c r="Y922" s="97">
        <f ca="1">VLOOKUP($X922,サイズ別係数!$B:$E,2,FALSE)</f>
        <v>1.2</v>
      </c>
      <c r="Z922" s="97">
        <f ca="1">VLOOKUP($X922,サイズ別係数!$B:$E,3,FALSE)</f>
        <v>1.25</v>
      </c>
      <c r="AA922" s="97">
        <f ca="1">VLOOKUP($X922,サイズ別係数!$B:$E,4,FALSE)</f>
        <v>1.1499999999999999</v>
      </c>
      <c r="AB922" s="10">
        <v>0</v>
      </c>
      <c r="AC922" s="6" t="str">
        <f ca="1">VLOOKUP($AB922,OFFSET([3]enemy_skill_sets!$B$2,0,0,COUNTA([3]enemy_skill_sets!$A:$A),MATCH(AC$1,[3]enemy_skill_sets!$1:$1,0)-MATCH($AB$1,[3]enemy_skill_sets!$1:$1,0)+1),MATCH(AC$1,[3]enemy_skill_sets!$1:$1,0)-MATCH($AB$1,[3]enemy_skill_sets!$1:$1,0)+1,FALSE)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2" s="67">
        <v>1</v>
      </c>
      <c r="AE922" s="67">
        <v>1</v>
      </c>
      <c r="AF922" s="68">
        <v>0</v>
      </c>
      <c r="AG922" s="99">
        <f ca="1">ROUND(VLOOKUP(1,enemy_base_stats!$A:$F,2,FALSE) * Y922* J922*O922*E922*S922*AD922*[2]ステータス!$B$2,0)</f>
        <v>3000</v>
      </c>
      <c r="AH922" s="99">
        <f ca="1">ROUND(VLOOKUP(1,enemy_base_stats!$A:$F,3,FALSE) * Z922*K922*P922*F922*T922*AE922 * W922*[2]ステータス!$C$2,0)</f>
        <v>239</v>
      </c>
      <c r="AI922" s="99">
        <f ca="1">ROUND(VLOOKUP(1,enemy_base_stats!$A:$F,4,FALSE) * AA922*L922*Q922*G922*U922*AF922*[2]ステータス!$D$2,0)</f>
        <v>0</v>
      </c>
      <c r="AJ922" s="99">
        <f ca="1">ROUND(VLOOKUP(100,enemy_base_stats!$A:$F,2,FALSE) * Y922* J922*O922*E922*S922*AD922*[2]ステータス!$B$2,0)</f>
        <v>121800</v>
      </c>
      <c r="AK922" s="99">
        <f ca="1">ROUND(VLOOKUP(100,enemy_base_stats!$A:$F,3,FALSE)* Z922* K922*P922*F922*T922*AE922 * W922*[2]ステータス!$C$2,0)</f>
        <v>9698</v>
      </c>
      <c r="AL922" s="99">
        <f ca="1">ROUND(VLOOKUP(100,enemy_base_stats!$A:$F,4,FALSE)* AA922* L922*Q922*G922*U922*AF922*[2]ステータス!$D$2,0)</f>
        <v>0</v>
      </c>
      <c r="AM922" s="97">
        <f>VLOOKUP(M922,[2]character_tribe_i18n!$A:$I,9,FALSE)</f>
        <v>340</v>
      </c>
      <c r="AN922" s="97">
        <v>0</v>
      </c>
      <c r="AO922" s="98">
        <v>0</v>
      </c>
      <c r="AP922" s="58" t="s">
        <v>72</v>
      </c>
      <c r="AQ922" s="34">
        <f t="shared" ca="1" si="53"/>
        <v>921</v>
      </c>
    </row>
    <row r="923" spans="1:43" ht="21" customHeight="1" x14ac:dyDescent="0.15">
      <c r="A923" s="7">
        <f t="shared" ca="1" si="52"/>
        <v>922</v>
      </c>
      <c r="B923" s="6" t="str">
        <f ca="1">VLOOKUP(A923,[2]characters!$A:$C,3,FALSE)</f>
        <v>アタイとバク クロミ</v>
      </c>
      <c r="C923" s="9">
        <f ca="1">VLOOKUP(A923,[2]characters!$A:$I,9,FALSE)</f>
        <v>4</v>
      </c>
      <c r="D923" s="9" t="str">
        <f ca="1">VLOOKUP(A923,[2]characters!$A:$H,8,FALSE)</f>
        <v>blue</v>
      </c>
      <c r="E923" s="97">
        <f ca="1">VLOOKUP(D923,[2]属性!$A:$E,2,FALSE)</f>
        <v>1</v>
      </c>
      <c r="F923" s="97">
        <f ca="1">VLOOKUP(D923,[2]属性!$A:$E,3,FALSE)</f>
        <v>0.98</v>
      </c>
      <c r="G923" s="97">
        <f ca="1">VLOOKUP(D923,[2]属性!$A:$F,4,FALSE)</f>
        <v>1</v>
      </c>
      <c r="H923" s="9" t="str">
        <f ca="1">VLOOKUP(A923,[2]characters!$A:$K,11,FALSE)</f>
        <v>technical</v>
      </c>
      <c r="I923" s="6" t="str">
        <f ca="1">VLOOKUP(H923,[2]character_type_i18n!$A:$F,3,FALSE)</f>
        <v>テクニカルタイプ</v>
      </c>
      <c r="J923" s="106">
        <v>1</v>
      </c>
      <c r="K923" s="106">
        <v>1</v>
      </c>
      <c r="L923" s="106">
        <f ca="1">VLOOKUP(H923,[2]character_type_i18n!$A:$F,6,FALSE)</f>
        <v>1</v>
      </c>
      <c r="M923" s="9" t="s">
        <v>142</v>
      </c>
      <c r="N923" s="6" t="str">
        <f>VLOOKUP(M923,[2]character_tribe_i18n!$A:$F,3,FALSE)</f>
        <v>Unknown</v>
      </c>
      <c r="O923" s="97">
        <f>VLOOKUP(M923,[2]character_tribe_i18n!$A:$F,4,FALSE)</f>
        <v>1</v>
      </c>
      <c r="P923" s="97">
        <f>VLOOKUP(M923,[2]character_tribe_i18n!$A:$F,5,FALSE)</f>
        <v>1</v>
      </c>
      <c r="Q923" s="97">
        <f>VLOOKUP(M923,[2]character_tribe_i18n!$A:$F,6,FALSE)</f>
        <v>1</v>
      </c>
      <c r="R923" s="98" t="s">
        <v>98</v>
      </c>
      <c r="S923" s="97">
        <f>VLOOKUP($R923,ラベル別係数!$A$1:$E$7,3,FALSE)</f>
        <v>5</v>
      </c>
      <c r="T923" s="97">
        <f>VLOOKUP($R923,ラベル別係数!$A$1:$E$7,4,FALSE)</f>
        <v>1.3</v>
      </c>
      <c r="U923" s="97">
        <f>VLOOKUP($R923,ラベル別係数!$A$1:$E$7,5,FALSE)</f>
        <v>0.8</v>
      </c>
      <c r="V923" s="98">
        <v>3</v>
      </c>
      <c r="W923" s="99">
        <f>VLOOKUP(V923,ターン数別攻撃係数!$A$1:$B$1000,2,FALSE)</f>
        <v>1</v>
      </c>
      <c r="X923" s="9">
        <f ca="1">VLOOKUP(C923,サイズ別係数!A$2:B$9,2,FALSE)</f>
        <v>30</v>
      </c>
      <c r="Y923" s="97">
        <f ca="1">VLOOKUP($X923,サイズ別係数!$B:$E,2,FALSE)</f>
        <v>1.3</v>
      </c>
      <c r="Z923" s="97">
        <f ca="1">VLOOKUP($X923,サイズ別係数!$B:$E,3,FALSE)</f>
        <v>1.3</v>
      </c>
      <c r="AA923" s="97">
        <f ca="1">VLOOKUP($X923,サイズ別係数!$B:$E,4,FALSE)</f>
        <v>1.1000000000000001</v>
      </c>
      <c r="AB923" s="10">
        <v>0</v>
      </c>
      <c r="AC923" s="6" t="str">
        <f ca="1">VLOOKUP($AB923,OFFSET([3]enemy_skill_sets!$B$2,0,0,COUNTA([3]enemy_skill_sets!$A:$A),MATCH(AC$1,[3]enemy_skill_sets!$1:$1,0)-MATCH($AB$1,[3]enemy_skill_sets!$1:$1,0)+1),MATCH(AC$1,[3]enemy_skill_sets!$1:$1,0)-MATCH($AB$1,[3]enemy_skill_sets!$1:$1,0)+1,FALSE)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3" s="67">
        <v>1</v>
      </c>
      <c r="AE923" s="67">
        <v>1</v>
      </c>
      <c r="AF923" s="68">
        <v>0</v>
      </c>
      <c r="AG923" s="99">
        <f ca="1">ROUND(VLOOKUP(1,enemy_base_stats!$A:$F,2,FALSE) * Y923* J923*O923*E923*S923*AD923*[2]ステータス!$B$2,0)</f>
        <v>3250</v>
      </c>
      <c r="AH923" s="99">
        <f ca="1">ROUND(VLOOKUP(1,enemy_base_stats!$A:$F,3,FALSE) * Z923*K923*P923*F923*T923*AE923 * W923*[2]ステータス!$C$2,0)</f>
        <v>248</v>
      </c>
      <c r="AI923" s="99">
        <f ca="1">ROUND(VLOOKUP(1,enemy_base_stats!$A:$F,4,FALSE) * AA923*L923*Q923*G923*U923*AF923*[2]ステータス!$D$2,0)</f>
        <v>0</v>
      </c>
      <c r="AJ923" s="99">
        <f ca="1">ROUND(VLOOKUP(100,enemy_base_stats!$A:$F,2,FALSE) * Y923* J923*O923*E923*S923*AD923*[2]ステータス!$B$2,0)</f>
        <v>131950</v>
      </c>
      <c r="AK923" s="99">
        <f ca="1">ROUND(VLOOKUP(100,enemy_base_stats!$A:$F,3,FALSE)* Z923* K923*P923*F923*T923*AE923 * W923*[2]ステータス!$C$2,0)</f>
        <v>10086</v>
      </c>
      <c r="AL923" s="99">
        <f ca="1">ROUND(VLOOKUP(100,enemy_base_stats!$A:$F,4,FALSE)* AA923* L923*Q923*G923*U923*AF923*[2]ステータス!$D$2,0)</f>
        <v>0</v>
      </c>
      <c r="AM923" s="97">
        <f>VLOOKUP(M923,[2]character_tribe_i18n!$A:$I,9,FALSE)</f>
        <v>340</v>
      </c>
      <c r="AN923" s="97">
        <v>0</v>
      </c>
      <c r="AO923" s="98">
        <v>0</v>
      </c>
      <c r="AP923" s="58" t="s">
        <v>72</v>
      </c>
      <c r="AQ923" s="34">
        <f t="shared" ca="1" si="53"/>
        <v>922</v>
      </c>
    </row>
    <row r="924" spans="1:43" ht="21" customHeight="1" x14ac:dyDescent="0.15">
      <c r="A924" s="7">
        <f t="shared" ca="1" si="52"/>
        <v>923</v>
      </c>
      <c r="B924" s="6" t="str">
        <f ca="1">VLOOKUP(A924,[2]characters!$A:$C,3,FALSE)</f>
        <v>バッドばつ丸</v>
      </c>
      <c r="C924" s="9">
        <f ca="1">VLOOKUP(A924,[2]characters!$A:$I,9,FALSE)</f>
        <v>3</v>
      </c>
      <c r="D924" s="9" t="str">
        <f ca="1">VLOOKUP(A924,[2]characters!$A:$H,8,FALSE)</f>
        <v>blue</v>
      </c>
      <c r="E924" s="97">
        <f ca="1">VLOOKUP(D924,[2]属性!$A:$E,2,FALSE)</f>
        <v>1</v>
      </c>
      <c r="F924" s="97">
        <f ca="1">VLOOKUP(D924,[2]属性!$A:$E,3,FALSE)</f>
        <v>0.98</v>
      </c>
      <c r="G924" s="97">
        <f ca="1">VLOOKUP(D924,[2]属性!$A:$F,4,FALSE)</f>
        <v>1</v>
      </c>
      <c r="H924" s="9" t="str">
        <f ca="1">VLOOKUP(A924,[2]characters!$A:$K,11,FALSE)</f>
        <v>attack</v>
      </c>
      <c r="I924" s="6" t="str">
        <f ca="1">VLOOKUP(H924,[2]character_type_i18n!$A:$F,3,FALSE)</f>
        <v>攻撃タイプ</v>
      </c>
      <c r="J924" s="106">
        <v>1</v>
      </c>
      <c r="K924" s="106">
        <v>1</v>
      </c>
      <c r="L924" s="106">
        <f ca="1">VLOOKUP(H924,[2]character_type_i18n!$A:$F,6,FALSE)</f>
        <v>1</v>
      </c>
      <c r="M924" s="9" t="s">
        <v>142</v>
      </c>
      <c r="N924" s="6" t="str">
        <f>VLOOKUP(M924,[2]character_tribe_i18n!$A:$F,3,FALSE)</f>
        <v>Unknown</v>
      </c>
      <c r="O924" s="97">
        <f>VLOOKUP(M924,[2]character_tribe_i18n!$A:$F,4,FALSE)</f>
        <v>1</v>
      </c>
      <c r="P924" s="97">
        <f>VLOOKUP(M924,[2]character_tribe_i18n!$A:$F,5,FALSE)</f>
        <v>1</v>
      </c>
      <c r="Q924" s="97">
        <f>VLOOKUP(M924,[2]character_tribe_i18n!$A:$F,6,FALSE)</f>
        <v>1</v>
      </c>
      <c r="R924" s="98" t="s">
        <v>98</v>
      </c>
      <c r="S924" s="97">
        <f>VLOOKUP($R924,ラベル別係数!$A$1:$E$7,3,FALSE)</f>
        <v>5</v>
      </c>
      <c r="T924" s="97">
        <f>VLOOKUP($R924,ラベル別係数!$A$1:$E$7,4,FALSE)</f>
        <v>1.3</v>
      </c>
      <c r="U924" s="97">
        <f>VLOOKUP($R924,ラベル別係数!$A$1:$E$7,5,FALSE)</f>
        <v>0.8</v>
      </c>
      <c r="V924" s="98">
        <v>3</v>
      </c>
      <c r="W924" s="99">
        <f>VLOOKUP(V924,ターン数別攻撃係数!$A$1:$B$1000,2,FALSE)</f>
        <v>1</v>
      </c>
      <c r="X924" s="9">
        <f ca="1">VLOOKUP(C924,サイズ別係数!A$2:B$9,2,FALSE)</f>
        <v>25</v>
      </c>
      <c r="Y924" s="97">
        <f ca="1">VLOOKUP($X924,サイズ別係数!$B:$E,2,FALSE)</f>
        <v>1.2</v>
      </c>
      <c r="Z924" s="97">
        <f ca="1">VLOOKUP($X924,サイズ別係数!$B:$E,3,FALSE)</f>
        <v>1.25</v>
      </c>
      <c r="AA924" s="97">
        <f ca="1">VLOOKUP($X924,サイズ別係数!$B:$E,4,FALSE)</f>
        <v>1.1499999999999999</v>
      </c>
      <c r="AB924" s="10">
        <v>0</v>
      </c>
      <c r="AC924" s="6" t="str">
        <f ca="1">VLOOKUP($AB924,OFFSET([3]enemy_skill_sets!$B$2,0,0,COUNTA([3]enemy_skill_sets!$A:$A),MATCH(AC$1,[3]enemy_skill_sets!$1:$1,0)-MATCH($AB$1,[3]enemy_skill_sets!$1:$1,0)+1),MATCH(AC$1,[3]enemy_skill_sets!$1:$1,0)-MATCH($AB$1,[3]enemy_skill_sets!$1:$1,0)+1,FALSE)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4" s="67">
        <v>1</v>
      </c>
      <c r="AE924" s="67">
        <v>1</v>
      </c>
      <c r="AF924" s="68">
        <v>0</v>
      </c>
      <c r="AG924" s="99">
        <f ca="1">ROUND(VLOOKUP(1,enemy_base_stats!$A:$F,2,FALSE) * Y924* J924*O924*E924*S924*AD924*[2]ステータス!$B$2,0)</f>
        <v>3000</v>
      </c>
      <c r="AH924" s="99">
        <f ca="1">ROUND(VLOOKUP(1,enemy_base_stats!$A:$F,3,FALSE) * Z924*K924*P924*F924*T924*AE924 * W924*[2]ステータス!$C$2,0)</f>
        <v>239</v>
      </c>
      <c r="AI924" s="99">
        <f ca="1">ROUND(VLOOKUP(1,enemy_base_stats!$A:$F,4,FALSE) * AA924*L924*Q924*G924*U924*AF924*[2]ステータス!$D$2,0)</f>
        <v>0</v>
      </c>
      <c r="AJ924" s="99">
        <f ca="1">ROUND(VLOOKUP(100,enemy_base_stats!$A:$F,2,FALSE) * Y924* J924*O924*E924*S924*AD924*[2]ステータス!$B$2,0)</f>
        <v>121800</v>
      </c>
      <c r="AK924" s="99">
        <f ca="1">ROUND(VLOOKUP(100,enemy_base_stats!$A:$F,3,FALSE)* Z924* K924*P924*F924*T924*AE924 * W924*[2]ステータス!$C$2,0)</f>
        <v>9698</v>
      </c>
      <c r="AL924" s="99">
        <f ca="1">ROUND(VLOOKUP(100,enemy_base_stats!$A:$F,4,FALSE)* AA924* L924*Q924*G924*U924*AF924*[2]ステータス!$D$2,0)</f>
        <v>0</v>
      </c>
      <c r="AM924" s="97">
        <f>VLOOKUP(M924,[2]character_tribe_i18n!$A:$I,9,FALSE)</f>
        <v>340</v>
      </c>
      <c r="AN924" s="97">
        <v>0</v>
      </c>
      <c r="AO924" s="98">
        <v>0</v>
      </c>
      <c r="AP924" s="58" t="s">
        <v>72</v>
      </c>
      <c r="AQ924" s="34">
        <f t="shared" ca="1" si="53"/>
        <v>923</v>
      </c>
    </row>
    <row r="925" spans="1:43" ht="21" customHeight="1" x14ac:dyDescent="0.15">
      <c r="A925" s="7">
        <f t="shared" ca="1" si="52"/>
        <v>924</v>
      </c>
      <c r="B925" s="6" t="str">
        <f ca="1">VLOOKUP(A925,[2]characters!$A:$C,3,FALSE)</f>
        <v>いたずら大好き　バッドばつ丸</v>
      </c>
      <c r="C925" s="9">
        <f ca="1">VLOOKUP(A925,[2]characters!$A:$I,9,FALSE)</f>
        <v>4</v>
      </c>
      <c r="D925" s="9" t="str">
        <f ca="1">VLOOKUP(A925,[2]characters!$A:$H,8,FALSE)</f>
        <v>blue</v>
      </c>
      <c r="E925" s="97">
        <f ca="1">VLOOKUP(D925,[2]属性!$A:$E,2,FALSE)</f>
        <v>1</v>
      </c>
      <c r="F925" s="97">
        <f ca="1">VLOOKUP(D925,[2]属性!$A:$E,3,FALSE)</f>
        <v>0.98</v>
      </c>
      <c r="G925" s="97">
        <f ca="1">VLOOKUP(D925,[2]属性!$A:$F,4,FALSE)</f>
        <v>1</v>
      </c>
      <c r="H925" s="9" t="str">
        <f ca="1">VLOOKUP(A925,[2]characters!$A:$K,11,FALSE)</f>
        <v>attack</v>
      </c>
      <c r="I925" s="6" t="str">
        <f ca="1">VLOOKUP(H925,[2]character_type_i18n!$A:$F,3,FALSE)</f>
        <v>攻撃タイプ</v>
      </c>
      <c r="J925" s="106">
        <v>1</v>
      </c>
      <c r="K925" s="106">
        <v>1</v>
      </c>
      <c r="L925" s="106">
        <f ca="1">VLOOKUP(H925,[2]character_type_i18n!$A:$F,6,FALSE)</f>
        <v>1</v>
      </c>
      <c r="M925" s="9" t="s">
        <v>142</v>
      </c>
      <c r="N925" s="6" t="str">
        <f>VLOOKUP(M925,[2]character_tribe_i18n!$A:$F,3,FALSE)</f>
        <v>Unknown</v>
      </c>
      <c r="O925" s="97">
        <f>VLOOKUP(M925,[2]character_tribe_i18n!$A:$F,4,FALSE)</f>
        <v>1</v>
      </c>
      <c r="P925" s="97">
        <f>VLOOKUP(M925,[2]character_tribe_i18n!$A:$F,5,FALSE)</f>
        <v>1</v>
      </c>
      <c r="Q925" s="97">
        <f>VLOOKUP(M925,[2]character_tribe_i18n!$A:$F,6,FALSE)</f>
        <v>1</v>
      </c>
      <c r="R925" s="98" t="s">
        <v>98</v>
      </c>
      <c r="S925" s="97">
        <f>VLOOKUP($R925,ラベル別係数!$A$1:$E$7,3,FALSE)</f>
        <v>5</v>
      </c>
      <c r="T925" s="97">
        <f>VLOOKUP($R925,ラベル別係数!$A$1:$E$7,4,FALSE)</f>
        <v>1.3</v>
      </c>
      <c r="U925" s="97">
        <f>VLOOKUP($R925,ラベル別係数!$A$1:$E$7,5,FALSE)</f>
        <v>0.8</v>
      </c>
      <c r="V925" s="98">
        <v>3</v>
      </c>
      <c r="W925" s="99">
        <f>VLOOKUP(V925,ターン数別攻撃係数!$A$1:$B$1000,2,FALSE)</f>
        <v>1</v>
      </c>
      <c r="X925" s="9">
        <f ca="1">VLOOKUP(C925,サイズ別係数!A$2:B$9,2,FALSE)</f>
        <v>30</v>
      </c>
      <c r="Y925" s="97">
        <f ca="1">VLOOKUP($X925,サイズ別係数!$B:$E,2,FALSE)</f>
        <v>1.3</v>
      </c>
      <c r="Z925" s="97">
        <f ca="1">VLOOKUP($X925,サイズ別係数!$B:$E,3,FALSE)</f>
        <v>1.3</v>
      </c>
      <c r="AA925" s="97">
        <f ca="1">VLOOKUP($X925,サイズ別係数!$B:$E,4,FALSE)</f>
        <v>1.1000000000000001</v>
      </c>
      <c r="AB925" s="10">
        <v>0</v>
      </c>
      <c r="AC925" s="6" t="str">
        <f ca="1">VLOOKUP($AB925,OFFSET([3]enemy_skill_sets!$B$2,0,0,COUNTA([3]enemy_skill_sets!$A:$A),MATCH(AC$1,[3]enemy_skill_sets!$1:$1,0)-MATCH($AB$1,[3]enemy_skill_sets!$1:$1,0)+1),MATCH(AC$1,[3]enemy_skill_sets!$1:$1,0)-MATCH($AB$1,[3]enemy_skill_sets!$1:$1,0)+1,FALSE)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5" s="67">
        <v>1</v>
      </c>
      <c r="AE925" s="67">
        <v>1</v>
      </c>
      <c r="AF925" s="68">
        <v>0</v>
      </c>
      <c r="AG925" s="99">
        <f ca="1">ROUND(VLOOKUP(1,enemy_base_stats!$A:$F,2,FALSE) * Y925* J925*O925*E925*S925*AD925*[2]ステータス!$B$2,0)</f>
        <v>3250</v>
      </c>
      <c r="AH925" s="99">
        <f ca="1">ROUND(VLOOKUP(1,enemy_base_stats!$A:$F,3,FALSE) * Z925*K925*P925*F925*T925*AE925 * W925*[2]ステータス!$C$2,0)</f>
        <v>248</v>
      </c>
      <c r="AI925" s="99">
        <f ca="1">ROUND(VLOOKUP(1,enemy_base_stats!$A:$F,4,FALSE) * AA925*L925*Q925*G925*U925*AF925*[2]ステータス!$D$2,0)</f>
        <v>0</v>
      </c>
      <c r="AJ925" s="99">
        <f ca="1">ROUND(VLOOKUP(100,enemy_base_stats!$A:$F,2,FALSE) * Y925* J925*O925*E925*S925*AD925*[2]ステータス!$B$2,0)</f>
        <v>131950</v>
      </c>
      <c r="AK925" s="99">
        <f ca="1">ROUND(VLOOKUP(100,enemy_base_stats!$A:$F,3,FALSE)* Z925* K925*P925*F925*T925*AE925 * W925*[2]ステータス!$C$2,0)</f>
        <v>10086</v>
      </c>
      <c r="AL925" s="99">
        <f ca="1">ROUND(VLOOKUP(100,enemy_base_stats!$A:$F,4,FALSE)* AA925* L925*Q925*G925*U925*AF925*[2]ステータス!$D$2,0)</f>
        <v>0</v>
      </c>
      <c r="AM925" s="97">
        <f>VLOOKUP(M925,[2]character_tribe_i18n!$A:$I,9,FALSE)</f>
        <v>340</v>
      </c>
      <c r="AN925" s="97">
        <v>0</v>
      </c>
      <c r="AO925" s="98">
        <v>0</v>
      </c>
      <c r="AP925" s="58" t="s">
        <v>72</v>
      </c>
      <c r="AQ925" s="34">
        <f t="shared" ca="1" si="53"/>
        <v>924</v>
      </c>
    </row>
    <row r="926" spans="1:43" ht="21" customHeight="1" x14ac:dyDescent="0.15">
      <c r="A926" s="7">
        <f t="shared" ca="1" si="52"/>
        <v>925</v>
      </c>
      <c r="B926" s="6" t="str">
        <f ca="1">VLOOKUP(A926,[2]characters!$A:$C,3,FALSE)</f>
        <v>シナモロール</v>
      </c>
      <c r="C926" s="9">
        <f ca="1">VLOOKUP(A926,[2]characters!$A:$I,9,FALSE)</f>
        <v>4</v>
      </c>
      <c r="D926" s="9" t="str">
        <f ca="1">VLOOKUP(A926,[2]characters!$A:$H,8,FALSE)</f>
        <v>yellow</v>
      </c>
      <c r="E926" s="97">
        <f ca="1">VLOOKUP(D926,[2]属性!$A:$E,2,FALSE)</f>
        <v>0.98</v>
      </c>
      <c r="F926" s="97">
        <f ca="1">VLOOKUP(D926,[2]属性!$A:$E,3,FALSE)</f>
        <v>1.01</v>
      </c>
      <c r="G926" s="97">
        <f ca="1">VLOOKUP(D926,[2]属性!$A:$F,4,FALSE)</f>
        <v>1</v>
      </c>
      <c r="H926" s="9" t="str">
        <f ca="1">VLOOKUP(A926,[2]characters!$A:$K,11,FALSE)</f>
        <v>heal</v>
      </c>
      <c r="I926" s="6" t="str">
        <f ca="1">VLOOKUP(H926,[2]character_type_i18n!$A:$F,3,FALSE)</f>
        <v>回復タイプ</v>
      </c>
      <c r="J926" s="106">
        <v>1</v>
      </c>
      <c r="K926" s="106">
        <v>1</v>
      </c>
      <c r="L926" s="106">
        <f ca="1">VLOOKUP(H926,[2]character_type_i18n!$A:$F,6,FALSE)</f>
        <v>1</v>
      </c>
      <c r="M926" s="9" t="s">
        <v>142</v>
      </c>
      <c r="N926" s="6" t="str">
        <f>VLOOKUP(M926,[2]character_tribe_i18n!$A:$F,3,FALSE)</f>
        <v>Unknown</v>
      </c>
      <c r="O926" s="97">
        <f>VLOOKUP(M926,[2]character_tribe_i18n!$A:$F,4,FALSE)</f>
        <v>1</v>
      </c>
      <c r="P926" s="97">
        <f>VLOOKUP(M926,[2]character_tribe_i18n!$A:$F,5,FALSE)</f>
        <v>1</v>
      </c>
      <c r="Q926" s="97">
        <f>VLOOKUP(M926,[2]character_tribe_i18n!$A:$F,6,FALSE)</f>
        <v>1</v>
      </c>
      <c r="R926" s="98" t="s">
        <v>98</v>
      </c>
      <c r="S926" s="97">
        <f>VLOOKUP($R926,ラベル別係数!$A$1:$E$7,3,FALSE)</f>
        <v>5</v>
      </c>
      <c r="T926" s="97">
        <f>VLOOKUP($R926,ラベル別係数!$A$1:$E$7,4,FALSE)</f>
        <v>1.3</v>
      </c>
      <c r="U926" s="97">
        <f>VLOOKUP($R926,ラベル別係数!$A$1:$E$7,5,FALSE)</f>
        <v>0.8</v>
      </c>
      <c r="V926" s="98">
        <v>3</v>
      </c>
      <c r="W926" s="99">
        <f>VLOOKUP(V926,ターン数別攻撃係数!$A$1:$B$1000,2,FALSE)</f>
        <v>1</v>
      </c>
      <c r="X926" s="9">
        <f ca="1">VLOOKUP(C926,サイズ別係数!A$2:B$9,2,FALSE)</f>
        <v>30</v>
      </c>
      <c r="Y926" s="97">
        <f ca="1">VLOOKUP($X926,サイズ別係数!$B:$E,2,FALSE)</f>
        <v>1.3</v>
      </c>
      <c r="Z926" s="97">
        <f ca="1">VLOOKUP($X926,サイズ別係数!$B:$E,3,FALSE)</f>
        <v>1.3</v>
      </c>
      <c r="AA926" s="97">
        <f ca="1">VLOOKUP($X926,サイズ別係数!$B:$E,4,FALSE)</f>
        <v>1.1000000000000001</v>
      </c>
      <c r="AB926" s="10">
        <v>0</v>
      </c>
      <c r="AC926" s="6" t="str">
        <f ca="1">VLOOKUP($AB926,OFFSET([3]enemy_skill_sets!$B$2,0,0,COUNTA([3]enemy_skill_sets!$A:$A),MATCH(AC$1,[3]enemy_skill_sets!$1:$1,0)-MATCH($AB$1,[3]enemy_skill_sets!$1:$1,0)+1),MATCH(AC$1,[3]enemy_skill_sets!$1:$1,0)-MATCH($AB$1,[3]enemy_skill_sets!$1:$1,0)+1,FALSE)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6" s="67">
        <v>1</v>
      </c>
      <c r="AE926" s="67">
        <v>1</v>
      </c>
      <c r="AF926" s="68">
        <v>0</v>
      </c>
      <c r="AG926" s="99">
        <f ca="1">ROUND(VLOOKUP(1,enemy_base_stats!$A:$F,2,FALSE) * Y926* J926*O926*E926*S926*AD926*[2]ステータス!$B$2,0)</f>
        <v>3185</v>
      </c>
      <c r="AH926" s="99">
        <f ca="1">ROUND(VLOOKUP(1,enemy_base_stats!$A:$F,3,FALSE) * Z926*K926*P926*F926*T926*AE926 * W926*[2]ステータス!$C$2,0)</f>
        <v>256</v>
      </c>
      <c r="AI926" s="99">
        <f ca="1">ROUND(VLOOKUP(1,enemy_base_stats!$A:$F,4,FALSE) * AA926*L926*Q926*G926*U926*AF926*[2]ステータス!$D$2,0)</f>
        <v>0</v>
      </c>
      <c r="AJ926" s="99">
        <f ca="1">ROUND(VLOOKUP(100,enemy_base_stats!$A:$F,2,FALSE) * Y926* J926*O926*E926*S926*AD926*[2]ステータス!$B$2,0)</f>
        <v>129311</v>
      </c>
      <c r="AK926" s="99">
        <f ca="1">ROUND(VLOOKUP(100,enemy_base_stats!$A:$F,3,FALSE)* Z926* K926*P926*F926*T926*AE926 * W926*[2]ステータス!$C$2,0)</f>
        <v>10395</v>
      </c>
      <c r="AL926" s="99">
        <f ca="1">ROUND(VLOOKUP(100,enemy_base_stats!$A:$F,4,FALSE)* AA926* L926*Q926*G926*U926*AF926*[2]ステータス!$D$2,0)</f>
        <v>0</v>
      </c>
      <c r="AM926" s="97">
        <f>VLOOKUP(M926,[2]character_tribe_i18n!$A:$I,9,FALSE)</f>
        <v>340</v>
      </c>
      <c r="AN926" s="97">
        <v>0</v>
      </c>
      <c r="AO926" s="98">
        <v>0</v>
      </c>
      <c r="AP926" s="58" t="s">
        <v>72</v>
      </c>
      <c r="AQ926" s="34">
        <f t="shared" ca="1" si="53"/>
        <v>925</v>
      </c>
    </row>
    <row r="927" spans="1:43" ht="21" customHeight="1" x14ac:dyDescent="0.15">
      <c r="A927" s="7">
        <f t="shared" ca="1" si="52"/>
        <v>926</v>
      </c>
      <c r="B927" s="6" t="str">
        <f ca="1">VLOOKUP(A927,[2]characters!$A:$C,3,FALSE)</f>
        <v>ふわふわおさんぽ♪ シナモロール</v>
      </c>
      <c r="C927" s="9">
        <f ca="1">VLOOKUP(A927,[2]characters!$A:$I,9,FALSE)</f>
        <v>5</v>
      </c>
      <c r="D927" s="9" t="str">
        <f ca="1">VLOOKUP(A927,[2]characters!$A:$H,8,FALSE)</f>
        <v>yellow</v>
      </c>
      <c r="E927" s="97">
        <f ca="1">VLOOKUP(D927,[2]属性!$A:$E,2,FALSE)</f>
        <v>0.98</v>
      </c>
      <c r="F927" s="97">
        <f ca="1">VLOOKUP(D927,[2]属性!$A:$E,3,FALSE)</f>
        <v>1.01</v>
      </c>
      <c r="G927" s="97">
        <f ca="1">VLOOKUP(D927,[2]属性!$A:$F,4,FALSE)</f>
        <v>1</v>
      </c>
      <c r="H927" s="9" t="str">
        <f ca="1">VLOOKUP(A927,[2]characters!$A:$K,11,FALSE)</f>
        <v>heal</v>
      </c>
      <c r="I927" s="6" t="str">
        <f ca="1">VLOOKUP(H927,[2]character_type_i18n!$A:$F,3,FALSE)</f>
        <v>回復タイプ</v>
      </c>
      <c r="J927" s="106">
        <v>1</v>
      </c>
      <c r="K927" s="106">
        <v>1</v>
      </c>
      <c r="L927" s="106">
        <f ca="1">VLOOKUP(H927,[2]character_type_i18n!$A:$F,6,FALSE)</f>
        <v>1</v>
      </c>
      <c r="M927" s="9" t="s">
        <v>142</v>
      </c>
      <c r="N927" s="6" t="str">
        <f>VLOOKUP(M927,[2]character_tribe_i18n!$A:$F,3,FALSE)</f>
        <v>Unknown</v>
      </c>
      <c r="O927" s="97">
        <f>VLOOKUP(M927,[2]character_tribe_i18n!$A:$F,4,FALSE)</f>
        <v>1</v>
      </c>
      <c r="P927" s="97">
        <f>VLOOKUP(M927,[2]character_tribe_i18n!$A:$F,5,FALSE)</f>
        <v>1</v>
      </c>
      <c r="Q927" s="97">
        <f>VLOOKUP(M927,[2]character_tribe_i18n!$A:$F,6,FALSE)</f>
        <v>1</v>
      </c>
      <c r="R927" s="98" t="s">
        <v>98</v>
      </c>
      <c r="S927" s="97">
        <f>VLOOKUP($R927,ラベル別係数!$A$1:$E$7,3,FALSE)</f>
        <v>5</v>
      </c>
      <c r="T927" s="97">
        <f>VLOOKUP($R927,ラベル別係数!$A$1:$E$7,4,FALSE)</f>
        <v>1.3</v>
      </c>
      <c r="U927" s="97">
        <f>VLOOKUP($R927,ラベル別係数!$A$1:$E$7,5,FALSE)</f>
        <v>0.8</v>
      </c>
      <c r="V927" s="98">
        <v>3</v>
      </c>
      <c r="W927" s="99">
        <f>VLOOKUP(V927,ターン数別攻撃係数!$A$1:$B$1000,2,FALSE)</f>
        <v>1</v>
      </c>
      <c r="X927" s="9">
        <f ca="1">VLOOKUP(C927,サイズ別係数!A$2:B$9,2,FALSE)</f>
        <v>60</v>
      </c>
      <c r="Y927" s="97">
        <f ca="1">VLOOKUP($X927,サイズ別係数!$B:$E,2,FALSE)</f>
        <v>1.7</v>
      </c>
      <c r="Z927" s="97">
        <f ca="1">VLOOKUP($X927,サイズ別係数!$B:$E,3,FALSE)</f>
        <v>1.4</v>
      </c>
      <c r="AA927" s="97">
        <f ca="1">VLOOKUP($X927,サイズ別係数!$B:$E,4,FALSE)</f>
        <v>1</v>
      </c>
      <c r="AB927" s="10">
        <v>0</v>
      </c>
      <c r="AC927" s="6" t="str">
        <f ca="1">VLOOKUP($AB927,OFFSET([3]enemy_skill_sets!$B$2,0,0,COUNTA([3]enemy_skill_sets!$A:$A),MATCH(AC$1,[3]enemy_skill_sets!$1:$1,0)-MATCH($AB$1,[3]enemy_skill_sets!$1:$1,0)+1),MATCH(AC$1,[3]enemy_skill_sets!$1:$1,0)-MATCH($AB$1,[3]enemy_skill_sets!$1:$1,0)+1,FALSE)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7" s="67">
        <v>1</v>
      </c>
      <c r="AE927" s="67">
        <v>1</v>
      </c>
      <c r="AF927" s="68">
        <v>0</v>
      </c>
      <c r="AG927" s="99">
        <f ca="1">ROUND(VLOOKUP(1,enemy_base_stats!$A:$F,2,FALSE) * Y927* J927*O927*E927*S927*AD927*[2]ステータス!$B$2,0)</f>
        <v>4165</v>
      </c>
      <c r="AH927" s="99">
        <f ca="1">ROUND(VLOOKUP(1,enemy_base_stats!$A:$F,3,FALSE) * Z927*K927*P927*F927*T927*AE927 * W927*[2]ステータス!$C$2,0)</f>
        <v>276</v>
      </c>
      <c r="AI927" s="99">
        <f ca="1">ROUND(VLOOKUP(1,enemy_base_stats!$A:$F,4,FALSE) * AA927*L927*Q927*G927*U927*AF927*[2]ステータス!$D$2,0)</f>
        <v>0</v>
      </c>
      <c r="AJ927" s="99">
        <f ca="1">ROUND(VLOOKUP(100,enemy_base_stats!$A:$F,2,FALSE) * Y927* J927*O927*E927*S927*AD927*[2]ステータス!$B$2,0)</f>
        <v>169099</v>
      </c>
      <c r="AK927" s="99">
        <f ca="1">ROUND(VLOOKUP(100,enemy_base_stats!$A:$F,3,FALSE)* Z927* K927*P927*F927*T927*AE927 * W927*[2]ステータス!$C$2,0)</f>
        <v>11195</v>
      </c>
      <c r="AL927" s="99">
        <f ca="1">ROUND(VLOOKUP(100,enemy_base_stats!$A:$F,4,FALSE)* AA927* L927*Q927*G927*U927*AF927*[2]ステータス!$D$2,0)</f>
        <v>0</v>
      </c>
      <c r="AM927" s="97">
        <f>VLOOKUP(M927,[2]character_tribe_i18n!$A:$I,9,FALSE)</f>
        <v>340</v>
      </c>
      <c r="AN927" s="97">
        <v>0</v>
      </c>
      <c r="AO927" s="98">
        <v>0</v>
      </c>
      <c r="AP927" s="58" t="s">
        <v>72</v>
      </c>
      <c r="AQ927" s="34">
        <f t="shared" ca="1" si="53"/>
        <v>926</v>
      </c>
    </row>
    <row r="928" spans="1:43" ht="21" customHeight="1" x14ac:dyDescent="0.15">
      <c r="A928" s="7">
        <f t="shared" ca="1" si="52"/>
        <v>927</v>
      </c>
      <c r="B928" s="6" t="str">
        <f ca="1">VLOOKUP(A928,[2]characters!$A:$C,3,FALSE)</f>
        <v>ポムポムプリン</v>
      </c>
      <c r="C928" s="9">
        <f ca="1">VLOOKUP(A928,[2]characters!$A:$I,9,FALSE)</f>
        <v>3</v>
      </c>
      <c r="D928" s="9" t="str">
        <f ca="1">VLOOKUP(A928,[2]characters!$A:$H,8,FALSE)</f>
        <v>yellow</v>
      </c>
      <c r="E928" s="97">
        <f ca="1">VLOOKUP(D928,[2]属性!$A:$E,2,FALSE)</f>
        <v>0.98</v>
      </c>
      <c r="F928" s="97">
        <f ca="1">VLOOKUP(D928,[2]属性!$A:$E,3,FALSE)</f>
        <v>1.01</v>
      </c>
      <c r="G928" s="97">
        <f ca="1">VLOOKUP(D928,[2]属性!$A:$F,4,FALSE)</f>
        <v>1</v>
      </c>
      <c r="H928" s="9" t="str">
        <f ca="1">VLOOKUP(A928,[2]characters!$A:$K,11,FALSE)</f>
        <v>hp</v>
      </c>
      <c r="I928" s="6" t="str">
        <f ca="1">VLOOKUP(H928,[2]character_type_i18n!$A:$F,3,FALSE)</f>
        <v>体力タイプ</v>
      </c>
      <c r="J928" s="106">
        <v>1</v>
      </c>
      <c r="K928" s="106">
        <v>1</v>
      </c>
      <c r="L928" s="106">
        <f ca="1">VLOOKUP(H928,[2]character_type_i18n!$A:$F,6,FALSE)</f>
        <v>1</v>
      </c>
      <c r="M928" s="9" t="s">
        <v>142</v>
      </c>
      <c r="N928" s="6" t="str">
        <f>VLOOKUP(M928,[2]character_tribe_i18n!$A:$F,3,FALSE)</f>
        <v>Unknown</v>
      </c>
      <c r="O928" s="97">
        <f>VLOOKUP(M928,[2]character_tribe_i18n!$A:$F,4,FALSE)</f>
        <v>1</v>
      </c>
      <c r="P928" s="97">
        <f>VLOOKUP(M928,[2]character_tribe_i18n!$A:$F,5,FALSE)</f>
        <v>1</v>
      </c>
      <c r="Q928" s="97">
        <f>VLOOKUP(M928,[2]character_tribe_i18n!$A:$F,6,FALSE)</f>
        <v>1</v>
      </c>
      <c r="R928" s="98" t="s">
        <v>98</v>
      </c>
      <c r="S928" s="97">
        <f>VLOOKUP($R928,ラベル別係数!$A$1:$E$7,3,FALSE)</f>
        <v>5</v>
      </c>
      <c r="T928" s="97">
        <f>VLOOKUP($R928,ラベル別係数!$A$1:$E$7,4,FALSE)</f>
        <v>1.3</v>
      </c>
      <c r="U928" s="97">
        <f>VLOOKUP($R928,ラベル別係数!$A$1:$E$7,5,FALSE)</f>
        <v>0.8</v>
      </c>
      <c r="V928" s="98">
        <v>3</v>
      </c>
      <c r="W928" s="99">
        <f>VLOOKUP(V928,ターン数別攻撃係数!$A$1:$B$1000,2,FALSE)</f>
        <v>1</v>
      </c>
      <c r="X928" s="9">
        <f ca="1">VLOOKUP(C928,サイズ別係数!A$2:B$9,2,FALSE)</f>
        <v>25</v>
      </c>
      <c r="Y928" s="97">
        <f ca="1">VLOOKUP($X928,サイズ別係数!$B:$E,2,FALSE)</f>
        <v>1.2</v>
      </c>
      <c r="Z928" s="97">
        <f ca="1">VLOOKUP($X928,サイズ別係数!$B:$E,3,FALSE)</f>
        <v>1.25</v>
      </c>
      <c r="AA928" s="97">
        <f ca="1">VLOOKUP($X928,サイズ別係数!$B:$E,4,FALSE)</f>
        <v>1.1499999999999999</v>
      </c>
      <c r="AB928" s="10">
        <v>0</v>
      </c>
      <c r="AC928" s="6" t="str">
        <f ca="1">VLOOKUP($AB928,OFFSET([3]enemy_skill_sets!$B$2,0,0,COUNTA([3]enemy_skill_sets!$A:$A),MATCH(AC$1,[3]enemy_skill_sets!$1:$1,0)-MATCH($AB$1,[3]enemy_skill_sets!$1:$1,0)+1),MATCH(AC$1,[3]enemy_skill_sets!$1:$1,0)-MATCH($AB$1,[3]enemy_skill_sets!$1:$1,0)+1,FALSE)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8" s="67">
        <v>1</v>
      </c>
      <c r="AE928" s="67">
        <v>1</v>
      </c>
      <c r="AF928" s="68">
        <v>0</v>
      </c>
      <c r="AG928" s="99">
        <f ca="1">ROUND(VLOOKUP(1,enemy_base_stats!$A:$F,2,FALSE) * Y928* J928*O928*E928*S928*AD928*[2]ステータス!$B$2,0)</f>
        <v>2940</v>
      </c>
      <c r="AH928" s="99">
        <f ca="1">ROUND(VLOOKUP(1,enemy_base_stats!$A:$F,3,FALSE) * Z928*K928*P928*F928*T928*AE928 * W928*[2]ステータス!$C$2,0)</f>
        <v>246</v>
      </c>
      <c r="AI928" s="99">
        <f ca="1">ROUND(VLOOKUP(1,enemy_base_stats!$A:$F,4,FALSE) * AA928*L928*Q928*G928*U928*AF928*[2]ステータス!$D$2,0)</f>
        <v>0</v>
      </c>
      <c r="AJ928" s="99">
        <f ca="1">ROUND(VLOOKUP(100,enemy_base_stats!$A:$F,2,FALSE) * Y928* J928*O928*E928*S928*AD928*[2]ステータス!$B$2,0)</f>
        <v>119364</v>
      </c>
      <c r="AK928" s="99">
        <f ca="1">ROUND(VLOOKUP(100,enemy_base_stats!$A:$F,3,FALSE)* Z928* K928*P928*F928*T928*AE928 * W928*[2]ステータス!$C$2,0)</f>
        <v>9995</v>
      </c>
      <c r="AL928" s="99">
        <f ca="1">ROUND(VLOOKUP(100,enemy_base_stats!$A:$F,4,FALSE)* AA928* L928*Q928*G928*U928*AF928*[2]ステータス!$D$2,0)</f>
        <v>0</v>
      </c>
      <c r="AM928" s="97">
        <f>VLOOKUP(M928,[2]character_tribe_i18n!$A:$I,9,FALSE)</f>
        <v>340</v>
      </c>
      <c r="AN928" s="97">
        <v>0</v>
      </c>
      <c r="AO928" s="98">
        <v>0</v>
      </c>
      <c r="AP928" s="58" t="s">
        <v>72</v>
      </c>
      <c r="AQ928" s="34">
        <f t="shared" ca="1" si="53"/>
        <v>927</v>
      </c>
    </row>
    <row r="929" spans="1:43" ht="21" customHeight="1" x14ac:dyDescent="0.15">
      <c r="A929" s="7">
        <f t="shared" ca="1" si="52"/>
        <v>928</v>
      </c>
      <c r="B929" s="6" t="str">
        <f ca="1">VLOOKUP(A929,[2]characters!$A:$C,3,FALSE)</f>
        <v>一緒におでかけ ポムポムプリン</v>
      </c>
      <c r="C929" s="9">
        <f ca="1">VLOOKUP(A929,[2]characters!$A:$I,9,FALSE)</f>
        <v>4</v>
      </c>
      <c r="D929" s="9" t="str">
        <f ca="1">VLOOKUP(A929,[2]characters!$A:$H,8,FALSE)</f>
        <v>yellow</v>
      </c>
      <c r="E929" s="97">
        <f ca="1">VLOOKUP(D929,[2]属性!$A:$E,2,FALSE)</f>
        <v>0.98</v>
      </c>
      <c r="F929" s="97">
        <f ca="1">VLOOKUP(D929,[2]属性!$A:$E,3,FALSE)</f>
        <v>1.01</v>
      </c>
      <c r="G929" s="97">
        <f ca="1">VLOOKUP(D929,[2]属性!$A:$F,4,FALSE)</f>
        <v>1</v>
      </c>
      <c r="H929" s="9" t="str">
        <f ca="1">VLOOKUP(A929,[2]characters!$A:$K,11,FALSE)</f>
        <v>hp</v>
      </c>
      <c r="I929" s="6" t="str">
        <f ca="1">VLOOKUP(H929,[2]character_type_i18n!$A:$F,3,FALSE)</f>
        <v>体力タイプ</v>
      </c>
      <c r="J929" s="106">
        <v>1</v>
      </c>
      <c r="K929" s="106">
        <v>1</v>
      </c>
      <c r="L929" s="106">
        <f ca="1">VLOOKUP(H929,[2]character_type_i18n!$A:$F,6,FALSE)</f>
        <v>1</v>
      </c>
      <c r="M929" s="9" t="s">
        <v>142</v>
      </c>
      <c r="N929" s="6" t="str">
        <f>VLOOKUP(M929,[2]character_tribe_i18n!$A:$F,3,FALSE)</f>
        <v>Unknown</v>
      </c>
      <c r="O929" s="97">
        <f>VLOOKUP(M929,[2]character_tribe_i18n!$A:$F,4,FALSE)</f>
        <v>1</v>
      </c>
      <c r="P929" s="97">
        <f>VLOOKUP(M929,[2]character_tribe_i18n!$A:$F,5,FALSE)</f>
        <v>1</v>
      </c>
      <c r="Q929" s="97">
        <f>VLOOKUP(M929,[2]character_tribe_i18n!$A:$F,6,FALSE)</f>
        <v>1</v>
      </c>
      <c r="R929" s="98" t="s">
        <v>98</v>
      </c>
      <c r="S929" s="97">
        <f>VLOOKUP($R929,ラベル別係数!$A$1:$E$7,3,FALSE)</f>
        <v>5</v>
      </c>
      <c r="T929" s="97">
        <f>VLOOKUP($R929,ラベル別係数!$A$1:$E$7,4,FALSE)</f>
        <v>1.3</v>
      </c>
      <c r="U929" s="97">
        <f>VLOOKUP($R929,ラベル別係数!$A$1:$E$7,5,FALSE)</f>
        <v>0.8</v>
      </c>
      <c r="V929" s="98">
        <v>3</v>
      </c>
      <c r="W929" s="99">
        <f>VLOOKUP(V929,ターン数別攻撃係数!$A$1:$B$1000,2,FALSE)</f>
        <v>1</v>
      </c>
      <c r="X929" s="9">
        <f ca="1">VLOOKUP(C929,サイズ別係数!A$2:B$9,2,FALSE)</f>
        <v>30</v>
      </c>
      <c r="Y929" s="97">
        <f ca="1">VLOOKUP($X929,サイズ別係数!$B:$E,2,FALSE)</f>
        <v>1.3</v>
      </c>
      <c r="Z929" s="97">
        <f ca="1">VLOOKUP($X929,サイズ別係数!$B:$E,3,FALSE)</f>
        <v>1.3</v>
      </c>
      <c r="AA929" s="97">
        <f ca="1">VLOOKUP($X929,サイズ別係数!$B:$E,4,FALSE)</f>
        <v>1.1000000000000001</v>
      </c>
      <c r="AB929" s="10">
        <v>0</v>
      </c>
      <c r="AC929" s="6" t="str">
        <f ca="1">VLOOKUP($AB929,OFFSET([3]enemy_skill_sets!$B$2,0,0,COUNTA([3]enemy_skill_sets!$A:$A),MATCH(AC$1,[3]enemy_skill_sets!$1:$1,0)-MATCH($AB$1,[3]enemy_skill_sets!$1:$1,0)+1),MATCH(AC$1,[3]enemy_skill_sets!$1:$1,0)-MATCH($AB$1,[3]enemy_skill_sets!$1:$1,0)+1,FALSE)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29" s="67">
        <v>1</v>
      </c>
      <c r="AE929" s="67">
        <v>1</v>
      </c>
      <c r="AF929" s="68">
        <v>0</v>
      </c>
      <c r="AG929" s="99">
        <f ca="1">ROUND(VLOOKUP(1,enemy_base_stats!$A:$F,2,FALSE) * Y929* J929*O929*E929*S929*AD929*[2]ステータス!$B$2,0)</f>
        <v>3185</v>
      </c>
      <c r="AH929" s="99">
        <f ca="1">ROUND(VLOOKUP(1,enemy_base_stats!$A:$F,3,FALSE) * Z929*K929*P929*F929*T929*AE929 * W929*[2]ステータス!$C$2,0)</f>
        <v>256</v>
      </c>
      <c r="AI929" s="99">
        <f ca="1">ROUND(VLOOKUP(1,enemy_base_stats!$A:$F,4,FALSE) * AA929*L929*Q929*G929*U929*AF929*[2]ステータス!$D$2,0)</f>
        <v>0</v>
      </c>
      <c r="AJ929" s="99">
        <f ca="1">ROUND(VLOOKUP(100,enemy_base_stats!$A:$F,2,FALSE) * Y929* J929*O929*E929*S929*AD929*[2]ステータス!$B$2,0)</f>
        <v>129311</v>
      </c>
      <c r="AK929" s="99">
        <f ca="1">ROUND(VLOOKUP(100,enemy_base_stats!$A:$F,3,FALSE)* Z929* K929*P929*F929*T929*AE929 * W929*[2]ステータス!$C$2,0)</f>
        <v>10395</v>
      </c>
      <c r="AL929" s="99">
        <f ca="1">ROUND(VLOOKUP(100,enemy_base_stats!$A:$F,4,FALSE)* AA929* L929*Q929*G929*U929*AF929*[2]ステータス!$D$2,0)</f>
        <v>0</v>
      </c>
      <c r="AM929" s="97">
        <f>VLOOKUP(M929,[2]character_tribe_i18n!$A:$I,9,FALSE)</f>
        <v>340</v>
      </c>
      <c r="AN929" s="97">
        <v>0</v>
      </c>
      <c r="AO929" s="98">
        <v>0</v>
      </c>
      <c r="AP929" s="58" t="s">
        <v>72</v>
      </c>
      <c r="AQ929" s="34">
        <f t="shared" ca="1" si="53"/>
        <v>928</v>
      </c>
    </row>
    <row r="930" spans="1:43" ht="21" customHeight="1" x14ac:dyDescent="0.15">
      <c r="A930" s="7">
        <f t="shared" ca="1" si="52"/>
        <v>929</v>
      </c>
      <c r="B930" s="6" t="str">
        <f ca="1">VLOOKUP(A930,[2]characters!$A:$C,3,FALSE)</f>
        <v>ゼウス</v>
      </c>
      <c r="C930" s="9">
        <f ca="1">VLOOKUP(A930,[2]characters!$A:$I,9,FALSE)</f>
        <v>5</v>
      </c>
      <c r="D930" s="9" t="str">
        <f ca="1">VLOOKUP(A930,[2]characters!$A:$H,8,FALSE)</f>
        <v>yellow</v>
      </c>
      <c r="E930" s="97">
        <f ca="1">VLOOKUP(D930,[2]属性!$A:$E,2,FALSE)</f>
        <v>0.98</v>
      </c>
      <c r="F930" s="97">
        <f ca="1">VLOOKUP(D930,[2]属性!$A:$E,3,FALSE)</f>
        <v>1.01</v>
      </c>
      <c r="G930" s="97">
        <f ca="1">VLOOKUP(D930,[2]属性!$A:$F,4,FALSE)</f>
        <v>1</v>
      </c>
      <c r="H930" s="9" t="str">
        <f ca="1">VLOOKUP(A930,[2]characters!$A:$K,11,FALSE)</f>
        <v>balance</v>
      </c>
      <c r="I930" s="6" t="str">
        <f ca="1">VLOOKUP(H930,[2]character_type_i18n!$A:$F,3,FALSE)</f>
        <v>バランスタイプ</v>
      </c>
      <c r="J930" s="97">
        <f ca="1">VLOOKUP(H930,[2]character_type_i18n!$A:$F,4,FALSE)</f>
        <v>1</v>
      </c>
      <c r="K930" s="97">
        <f ca="1">VLOOKUP(H930,[2]character_type_i18n!$A:$F,5,FALSE)</f>
        <v>1</v>
      </c>
      <c r="L930" s="97">
        <f ca="1">VLOOKUP(H930,[2]character_type_i18n!$A:$F,6,FALSE)</f>
        <v>1</v>
      </c>
      <c r="M930" s="9" t="str">
        <f ca="1">VLOOKUP(A930,[2]characters!$A:$M,13,FALSE)</f>
        <v>god</v>
      </c>
      <c r="N930" s="6" t="str">
        <f ca="1">VLOOKUP(M930,[2]character_tribe_i18n!$A:$F,3,FALSE)</f>
        <v>ゴッド</v>
      </c>
      <c r="O930" s="97">
        <f ca="1">VLOOKUP(M930,[2]character_tribe_i18n!$A:$F,4,FALSE)</f>
        <v>0.96</v>
      </c>
      <c r="P930" s="97">
        <f ca="1">VLOOKUP(M930,[2]character_tribe_i18n!$A:$F,5,FALSE)</f>
        <v>1.02</v>
      </c>
      <c r="Q930" s="97">
        <f ca="1">VLOOKUP(M930,[2]character_tribe_i18n!$A:$F,6,FALSE)</f>
        <v>1</v>
      </c>
      <c r="R930" s="98" t="s">
        <v>98</v>
      </c>
      <c r="S930" s="97">
        <f>VLOOKUP($R930,ラベル別係数!$A$1:$E$7,3,FALSE)</f>
        <v>5</v>
      </c>
      <c r="T930" s="97">
        <f>VLOOKUP($R930,ラベル別係数!$A$1:$E$7,4,FALSE)</f>
        <v>1.3</v>
      </c>
      <c r="U930" s="97">
        <f>VLOOKUP($R930,ラベル別係数!$A$1:$E$7,5,FALSE)</f>
        <v>0.8</v>
      </c>
      <c r="V930" s="98">
        <v>3</v>
      </c>
      <c r="W930" s="99">
        <f>VLOOKUP(V930,ターン数別攻撃係数!$A$1:$B$1000,2,FALSE)</f>
        <v>1</v>
      </c>
      <c r="X930" s="9">
        <f ca="1">VLOOKUP(C930,サイズ別係数!A$2:B$9,2,FALSE)</f>
        <v>60</v>
      </c>
      <c r="Y930" s="97">
        <f ca="1">VLOOKUP($X930,サイズ別係数!$B:$E,2,FALSE)</f>
        <v>1.7</v>
      </c>
      <c r="Z930" s="97">
        <f ca="1">VLOOKUP($X930,サイズ別係数!$B:$E,3,FALSE)</f>
        <v>1.4</v>
      </c>
      <c r="AA930" s="97">
        <f ca="1">VLOOKUP($X930,サイズ別係数!$B:$E,4,FALSE)</f>
        <v>1</v>
      </c>
      <c r="AB930" s="10">
        <v>0</v>
      </c>
      <c r="AC930" s="6" t="str">
        <f ca="1">VLOOKUP($AB930,OFFSET([3]enemy_skill_sets!$B$2,0,0,COUNTA([3]enemy_skill_sets!$A:$A),MATCH(AC$1,[3]enemy_skill_sets!$1:$1,0)-MATCH($AB$1,[3]enemy_skill_sets!$1:$1,0)+1),MATCH(AC$1,[3]enemy_skill_sets!$1:$1,0)-MATCH($AB$1,[3]enemy_skill_sets!$1:$1,0)+1,FALSE)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0" s="67">
        <v>1</v>
      </c>
      <c r="AE930" s="67">
        <v>1</v>
      </c>
      <c r="AF930" s="68">
        <v>0</v>
      </c>
      <c r="AG930" s="99">
        <f ca="1">ROUND(VLOOKUP(1,enemy_base_stats!$A:$F,2,FALSE) * Y930* J930*O930*E930*S930*AD930*[2]ステータス!$B$2,0)</f>
        <v>3998</v>
      </c>
      <c r="AH930" s="99">
        <f ca="1">ROUND(VLOOKUP(1,enemy_base_stats!$A:$F,3,FALSE) * Z930*K930*P930*F930*T930*AE930 * W930*[2]ステータス!$C$2,0)</f>
        <v>281</v>
      </c>
      <c r="AI930" s="99">
        <f ca="1">ROUND(VLOOKUP(1,enemy_base_stats!$A:$F,4,FALSE) * AA930*L930*Q930*G930*U930*AF930*[2]ステータス!$D$2,0)</f>
        <v>0</v>
      </c>
      <c r="AJ930" s="99">
        <f ca="1">ROUND(VLOOKUP(100,enemy_base_stats!$A:$F,2,FALSE) * Y930* J930*O930*E930*S930*AD930*[2]ステータス!$B$2,0)</f>
        <v>162335</v>
      </c>
      <c r="AK930" s="99">
        <f ca="1">ROUND(VLOOKUP(100,enemy_base_stats!$A:$F,3,FALSE)* Z930* K930*P930*F930*T930*AE930 * W930*[2]ステータス!$C$2,0)</f>
        <v>11419</v>
      </c>
      <c r="AL930" s="99">
        <f ca="1">ROUND(VLOOKUP(100,enemy_base_stats!$A:$F,4,FALSE)* AA930* L930*Q930*G930*U930*AF930*[2]ステータス!$D$2,0)</f>
        <v>0</v>
      </c>
      <c r="AM930" s="97">
        <f ca="1">VLOOKUP(M930,[2]character_tribe_i18n!$A:$I,9,FALSE)</f>
        <v>680</v>
      </c>
      <c r="AN930" s="97">
        <v>0</v>
      </c>
      <c r="AO930" s="98">
        <v>0</v>
      </c>
      <c r="AP930" s="58" t="s">
        <v>72</v>
      </c>
      <c r="AQ930" s="34">
        <f t="shared" ca="1" si="53"/>
        <v>929</v>
      </c>
    </row>
    <row r="931" spans="1:43" ht="21" customHeight="1" x14ac:dyDescent="0.15">
      <c r="A931" s="7">
        <f t="shared" ca="1" si="52"/>
        <v>930</v>
      </c>
      <c r="B931" s="6" t="str">
        <f ca="1">VLOOKUP(A931,[2]characters!$A:$C,3,FALSE)</f>
        <v>烙雷の全能神 ゼウス</v>
      </c>
      <c r="C931" s="9">
        <f ca="1">VLOOKUP(A931,[2]characters!$A:$I,9,FALSE)</f>
        <v>6</v>
      </c>
      <c r="D931" s="9" t="str">
        <f ca="1">VLOOKUP(A931,[2]characters!$A:$H,8,FALSE)</f>
        <v>yellow</v>
      </c>
      <c r="E931" s="97">
        <f ca="1">VLOOKUP(D931,[2]属性!$A:$E,2,FALSE)</f>
        <v>0.98</v>
      </c>
      <c r="F931" s="97">
        <f ca="1">VLOOKUP(D931,[2]属性!$A:$E,3,FALSE)</f>
        <v>1.01</v>
      </c>
      <c r="G931" s="97">
        <f ca="1">VLOOKUP(D931,[2]属性!$A:$F,4,FALSE)</f>
        <v>1</v>
      </c>
      <c r="H931" s="9" t="str">
        <f ca="1">VLOOKUP(A931,[2]characters!$A:$K,11,FALSE)</f>
        <v>balance</v>
      </c>
      <c r="I931" s="6" t="str">
        <f ca="1">VLOOKUP(H931,[2]character_type_i18n!$A:$F,3,FALSE)</f>
        <v>バランスタイプ</v>
      </c>
      <c r="J931" s="97">
        <f ca="1">VLOOKUP(H931,[2]character_type_i18n!$A:$F,4,FALSE)</f>
        <v>1</v>
      </c>
      <c r="K931" s="97">
        <f ca="1">VLOOKUP(H931,[2]character_type_i18n!$A:$F,5,FALSE)</f>
        <v>1</v>
      </c>
      <c r="L931" s="97">
        <f ca="1">VLOOKUP(H931,[2]character_type_i18n!$A:$F,6,FALSE)</f>
        <v>1</v>
      </c>
      <c r="M931" s="9" t="str">
        <f ca="1">VLOOKUP(A931,[2]characters!$A:$M,13,FALSE)</f>
        <v>god</v>
      </c>
      <c r="N931" s="6" t="str">
        <f ca="1">VLOOKUP(M931,[2]character_tribe_i18n!$A:$F,3,FALSE)</f>
        <v>ゴッド</v>
      </c>
      <c r="O931" s="97">
        <f ca="1">VLOOKUP(M931,[2]character_tribe_i18n!$A:$F,4,FALSE)</f>
        <v>0.96</v>
      </c>
      <c r="P931" s="97">
        <f ca="1">VLOOKUP(M931,[2]character_tribe_i18n!$A:$F,5,FALSE)</f>
        <v>1.02</v>
      </c>
      <c r="Q931" s="97">
        <f ca="1">VLOOKUP(M931,[2]character_tribe_i18n!$A:$F,6,FALSE)</f>
        <v>1</v>
      </c>
      <c r="R931" s="98" t="s">
        <v>98</v>
      </c>
      <c r="S931" s="97">
        <f>VLOOKUP($R931,ラベル別係数!$A$1:$E$7,3,FALSE)</f>
        <v>5</v>
      </c>
      <c r="T931" s="97">
        <f>VLOOKUP($R931,ラベル別係数!$A$1:$E$7,4,FALSE)</f>
        <v>1.3</v>
      </c>
      <c r="U931" s="97">
        <f>VLOOKUP($R931,ラベル別係数!$A$1:$E$7,5,FALSE)</f>
        <v>0.8</v>
      </c>
      <c r="V931" s="98">
        <v>3</v>
      </c>
      <c r="W931" s="99">
        <f>VLOOKUP(V931,ターン数別攻撃係数!$A$1:$B$1000,2,FALSE)</f>
        <v>1</v>
      </c>
      <c r="X931" s="9">
        <f ca="1">VLOOKUP(C931,サイズ別係数!A$2:B$9,2,FALSE)</f>
        <v>60</v>
      </c>
      <c r="Y931" s="97">
        <f ca="1">VLOOKUP($X931,サイズ別係数!$B:$E,2,FALSE)</f>
        <v>1.7</v>
      </c>
      <c r="Z931" s="97">
        <f ca="1">VLOOKUP($X931,サイズ別係数!$B:$E,3,FALSE)</f>
        <v>1.4</v>
      </c>
      <c r="AA931" s="97">
        <f ca="1">VLOOKUP($X931,サイズ別係数!$B:$E,4,FALSE)</f>
        <v>1</v>
      </c>
      <c r="AB931" s="10">
        <v>0</v>
      </c>
      <c r="AC931" s="6" t="str">
        <f ca="1">VLOOKUP($AB931,OFFSET([3]enemy_skill_sets!$B$2,0,0,COUNTA([3]enemy_skill_sets!$A:$A),MATCH(AC$1,[3]enemy_skill_sets!$1:$1,0)-MATCH($AB$1,[3]enemy_skill_sets!$1:$1,0)+1),MATCH(AC$1,[3]enemy_skill_sets!$1:$1,0)-MATCH($AB$1,[3]enemy_skill_sets!$1:$1,0)+1,FALSE)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1" s="67">
        <v>1</v>
      </c>
      <c r="AE931" s="67">
        <v>1</v>
      </c>
      <c r="AF931" s="68">
        <v>0</v>
      </c>
      <c r="AG931" s="99">
        <f ca="1">ROUND(VLOOKUP(1,enemy_base_stats!$A:$F,2,FALSE) * Y931* J931*O931*E931*S931*AD931*[2]ステータス!$B$2,0)</f>
        <v>3998</v>
      </c>
      <c r="AH931" s="99">
        <f ca="1">ROUND(VLOOKUP(1,enemy_base_stats!$A:$F,3,FALSE) * Z931*K931*P931*F931*T931*AE931 * W931*[2]ステータス!$C$2,0)</f>
        <v>281</v>
      </c>
      <c r="AI931" s="99">
        <f ca="1">ROUND(VLOOKUP(1,enemy_base_stats!$A:$F,4,FALSE) * AA931*L931*Q931*G931*U931*AF931*[2]ステータス!$D$2,0)</f>
        <v>0</v>
      </c>
      <c r="AJ931" s="99">
        <f ca="1">ROUND(VLOOKUP(100,enemy_base_stats!$A:$F,2,FALSE) * Y931* J931*O931*E931*S931*AD931*[2]ステータス!$B$2,0)</f>
        <v>162335</v>
      </c>
      <c r="AK931" s="99">
        <f ca="1">ROUND(VLOOKUP(100,enemy_base_stats!$A:$F,3,FALSE)* Z931* K931*P931*F931*T931*AE931 * W931*[2]ステータス!$C$2,0)</f>
        <v>11419</v>
      </c>
      <c r="AL931" s="99">
        <f ca="1">ROUND(VLOOKUP(100,enemy_base_stats!$A:$F,4,FALSE)* AA931* L931*Q931*G931*U931*AF931*[2]ステータス!$D$2,0)</f>
        <v>0</v>
      </c>
      <c r="AM931" s="97">
        <f ca="1">VLOOKUP(M931,[2]character_tribe_i18n!$A:$I,9,FALSE)</f>
        <v>680</v>
      </c>
      <c r="AN931" s="97">
        <v>0</v>
      </c>
      <c r="AO931" s="98">
        <v>0</v>
      </c>
      <c r="AP931" s="58" t="s">
        <v>72</v>
      </c>
      <c r="AQ931" s="34">
        <f t="shared" ca="1" si="53"/>
        <v>930</v>
      </c>
    </row>
    <row r="932" spans="1:43" ht="21" customHeight="1" x14ac:dyDescent="0.15">
      <c r="A932" s="7">
        <f t="shared" ca="1" si="52"/>
        <v>931</v>
      </c>
      <c r="B932" s="6" t="str">
        <f ca="1">VLOOKUP(A932,[2]characters!$A:$C,3,FALSE)</f>
        <v>ネルソン</v>
      </c>
      <c r="C932" s="9">
        <f ca="1">VLOOKUP(A932,[2]characters!$A:$I,9,FALSE)</f>
        <v>4</v>
      </c>
      <c r="D932" s="9" t="str">
        <f ca="1">VLOOKUP(A932,[2]characters!$A:$H,8,FALSE)</f>
        <v>green</v>
      </c>
      <c r="E932" s="97">
        <f ca="1">VLOOKUP(D932,[2]属性!$A:$E,2,FALSE)</f>
        <v>1.02</v>
      </c>
      <c r="F932" s="97">
        <f ca="1">VLOOKUP(D932,[2]属性!$A:$E,3,FALSE)</f>
        <v>0.98</v>
      </c>
      <c r="G932" s="97">
        <f ca="1">VLOOKUP(D932,[2]属性!$A:$F,4,FALSE)</f>
        <v>1</v>
      </c>
      <c r="H932" s="9" t="str">
        <f ca="1">VLOOKUP(A932,[2]characters!$A:$K,11,FALSE)</f>
        <v>technical</v>
      </c>
      <c r="I932" s="6" t="str">
        <f ca="1">VLOOKUP(H932,[2]character_type_i18n!$A:$F,3,FALSE)</f>
        <v>テクニカルタイプ</v>
      </c>
      <c r="J932" s="97">
        <f ca="1">VLOOKUP(H932,[2]character_type_i18n!$A:$F,4,FALSE)</f>
        <v>0.9</v>
      </c>
      <c r="K932" s="97">
        <f ca="1">VLOOKUP(H932,[2]character_type_i18n!$A:$F,5,FALSE)</f>
        <v>0.9</v>
      </c>
      <c r="L932" s="97">
        <f ca="1">VLOOKUP(H932,[2]character_type_i18n!$A:$F,6,FALSE)</f>
        <v>1</v>
      </c>
      <c r="M932" s="9" t="str">
        <f ca="1">VLOOKUP(A932,[2]characters!$A:$M,13,FALSE)</f>
        <v>human</v>
      </c>
      <c r="N932" s="6" t="str">
        <f ca="1">VLOOKUP(M932,[2]character_tribe_i18n!$A:$F,3,FALSE)</f>
        <v>ヒューマン</v>
      </c>
      <c r="O932" s="97">
        <f ca="1">VLOOKUP(M932,[2]character_tribe_i18n!$A:$F,4,FALSE)</f>
        <v>0.94</v>
      </c>
      <c r="P932" s="97">
        <f ca="1">VLOOKUP(M932,[2]character_tribe_i18n!$A:$F,5,FALSE)</f>
        <v>0.99</v>
      </c>
      <c r="Q932" s="97">
        <f ca="1">VLOOKUP(M932,[2]character_tribe_i18n!$A:$F,6,FALSE)</f>
        <v>1</v>
      </c>
      <c r="R932" s="98" t="s">
        <v>98</v>
      </c>
      <c r="S932" s="97">
        <f>VLOOKUP($R932,ラベル別係数!$A$1:$E$7,3,FALSE)</f>
        <v>5</v>
      </c>
      <c r="T932" s="97">
        <f>VLOOKUP($R932,ラベル別係数!$A$1:$E$7,4,FALSE)</f>
        <v>1.3</v>
      </c>
      <c r="U932" s="97">
        <f>VLOOKUP($R932,ラベル別係数!$A$1:$E$7,5,FALSE)</f>
        <v>0.8</v>
      </c>
      <c r="V932" s="98">
        <v>3</v>
      </c>
      <c r="W932" s="99">
        <f>VLOOKUP(V932,ターン数別攻撃係数!$A$1:$B$1000,2,FALSE)</f>
        <v>1</v>
      </c>
      <c r="X932" s="9">
        <f ca="1">VLOOKUP(C932,サイズ別係数!A$2:B$9,2,FALSE)</f>
        <v>30</v>
      </c>
      <c r="Y932" s="97">
        <f ca="1">VLOOKUP($X932,サイズ別係数!$B:$E,2,FALSE)</f>
        <v>1.3</v>
      </c>
      <c r="Z932" s="97">
        <f ca="1">VLOOKUP($X932,サイズ別係数!$B:$E,3,FALSE)</f>
        <v>1.3</v>
      </c>
      <c r="AA932" s="97">
        <f ca="1">VLOOKUP($X932,サイズ別係数!$B:$E,4,FALSE)</f>
        <v>1.1000000000000001</v>
      </c>
      <c r="AB932" s="10">
        <v>0</v>
      </c>
      <c r="AC932" s="6" t="str">
        <f ca="1">VLOOKUP($AB932,OFFSET([3]enemy_skill_sets!$B$2,0,0,COUNTA([3]enemy_skill_sets!$A:$A),MATCH(AC$1,[3]enemy_skill_sets!$1:$1,0)-MATCH($AB$1,[3]enemy_skill_sets!$1:$1,0)+1),MATCH(AC$1,[3]enemy_skill_sets!$1:$1,0)-MATCH($AB$1,[3]enemy_skill_sets!$1:$1,0)+1,FALSE)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2" s="67">
        <v>1</v>
      </c>
      <c r="AE932" s="67">
        <v>1</v>
      </c>
      <c r="AF932" s="68">
        <v>0</v>
      </c>
      <c r="AG932" s="99">
        <f ca="1">ROUND(VLOOKUP(1,enemy_base_stats!$A:$F,2,FALSE) * Y932* J932*O932*E932*S932*AD932*[2]ステータス!$B$2,0)</f>
        <v>2804</v>
      </c>
      <c r="AH932" s="99">
        <f ca="1">ROUND(VLOOKUP(1,enemy_base_stats!$A:$F,3,FALSE) * Z932*K932*P932*F932*T932*AE932 * W932*[2]ステータス!$C$2,0)</f>
        <v>221</v>
      </c>
      <c r="AI932" s="99">
        <f ca="1">ROUND(VLOOKUP(1,enemy_base_stats!$A:$F,4,FALSE) * AA932*L932*Q932*G932*U932*AF932*[2]ステータス!$D$2,0)</f>
        <v>0</v>
      </c>
      <c r="AJ932" s="99">
        <f ca="1">ROUND(VLOOKUP(100,enemy_base_stats!$A:$F,2,FALSE) * Y932* J932*O932*E932*S932*AD932*[2]ステータス!$B$2,0)</f>
        <v>113862</v>
      </c>
      <c r="AK932" s="99">
        <f ca="1">ROUND(VLOOKUP(100,enemy_base_stats!$A:$F,3,FALSE)* Z932* K932*P932*F932*T932*AE932 * W932*[2]ステータス!$C$2,0)</f>
        <v>8987</v>
      </c>
      <c r="AL932" s="99">
        <f ca="1">ROUND(VLOOKUP(100,enemy_base_stats!$A:$F,4,FALSE)* AA932* L932*Q932*G932*U932*AF932*[2]ステータス!$D$2,0)</f>
        <v>0</v>
      </c>
      <c r="AM932" s="97">
        <f ca="1">VLOOKUP(M932,[2]character_tribe_i18n!$A:$I,9,FALSE)</f>
        <v>400</v>
      </c>
      <c r="AN932" s="97">
        <v>0</v>
      </c>
      <c r="AO932" s="98">
        <v>0</v>
      </c>
      <c r="AP932" s="58" t="s">
        <v>72</v>
      </c>
      <c r="AQ932" s="34">
        <f t="shared" ca="1" si="53"/>
        <v>931</v>
      </c>
    </row>
    <row r="933" spans="1:43" ht="21" customHeight="1" x14ac:dyDescent="0.15">
      <c r="A933" s="7">
        <f t="shared" ca="1" si="52"/>
        <v>932</v>
      </c>
      <c r="B933" s="6" t="str">
        <f ca="1">VLOOKUP(A933,[2]characters!$A:$C,3,FALSE)</f>
        <v>隻眼の英堤 ネルソン</v>
      </c>
      <c r="C933" s="9">
        <f ca="1">VLOOKUP(A933,[2]characters!$A:$I,9,FALSE)</f>
        <v>5</v>
      </c>
      <c r="D933" s="9" t="str">
        <f ca="1">VLOOKUP(A933,[2]characters!$A:$H,8,FALSE)</f>
        <v>green</v>
      </c>
      <c r="E933" s="97">
        <f ca="1">VLOOKUP(D933,[2]属性!$A:$E,2,FALSE)</f>
        <v>1.02</v>
      </c>
      <c r="F933" s="97">
        <f ca="1">VLOOKUP(D933,[2]属性!$A:$E,3,FALSE)</f>
        <v>0.98</v>
      </c>
      <c r="G933" s="97">
        <f ca="1">VLOOKUP(D933,[2]属性!$A:$F,4,FALSE)</f>
        <v>1</v>
      </c>
      <c r="H933" s="9" t="str">
        <f ca="1">VLOOKUP(A933,[2]characters!$A:$K,11,FALSE)</f>
        <v>technical</v>
      </c>
      <c r="I933" s="6" t="str">
        <f ca="1">VLOOKUP(H933,[2]character_type_i18n!$A:$F,3,FALSE)</f>
        <v>テクニカルタイプ</v>
      </c>
      <c r="J933" s="97">
        <f ca="1">VLOOKUP(H933,[2]character_type_i18n!$A:$F,4,FALSE)</f>
        <v>0.9</v>
      </c>
      <c r="K933" s="97">
        <f ca="1">VLOOKUP(H933,[2]character_type_i18n!$A:$F,5,FALSE)</f>
        <v>0.9</v>
      </c>
      <c r="L933" s="97">
        <f ca="1">VLOOKUP(H933,[2]character_type_i18n!$A:$F,6,FALSE)</f>
        <v>1</v>
      </c>
      <c r="M933" s="9" t="str">
        <f ca="1">VLOOKUP(A933,[2]characters!$A:$M,13,FALSE)</f>
        <v>human</v>
      </c>
      <c r="N933" s="6" t="str">
        <f ca="1">VLOOKUP(M933,[2]character_tribe_i18n!$A:$F,3,FALSE)</f>
        <v>ヒューマン</v>
      </c>
      <c r="O933" s="97">
        <f ca="1">VLOOKUP(M933,[2]character_tribe_i18n!$A:$F,4,FALSE)</f>
        <v>0.94</v>
      </c>
      <c r="P933" s="97">
        <f ca="1">VLOOKUP(M933,[2]character_tribe_i18n!$A:$F,5,FALSE)</f>
        <v>0.99</v>
      </c>
      <c r="Q933" s="97">
        <f ca="1">VLOOKUP(M933,[2]character_tribe_i18n!$A:$F,6,FALSE)</f>
        <v>1</v>
      </c>
      <c r="R933" s="98" t="s">
        <v>98</v>
      </c>
      <c r="S933" s="97">
        <f>VLOOKUP($R933,ラベル別係数!$A$1:$E$7,3,FALSE)</f>
        <v>5</v>
      </c>
      <c r="T933" s="97">
        <f>VLOOKUP($R933,ラベル別係数!$A$1:$E$7,4,FALSE)</f>
        <v>1.3</v>
      </c>
      <c r="U933" s="97">
        <f>VLOOKUP($R933,ラベル別係数!$A$1:$E$7,5,FALSE)</f>
        <v>0.8</v>
      </c>
      <c r="V933" s="98">
        <v>3</v>
      </c>
      <c r="W933" s="99">
        <f>VLOOKUP(V933,ターン数別攻撃係数!$A$1:$B$1000,2,FALSE)</f>
        <v>1</v>
      </c>
      <c r="X933" s="9">
        <f ca="1">VLOOKUP(C933,サイズ別係数!A$2:B$9,2,FALSE)</f>
        <v>60</v>
      </c>
      <c r="Y933" s="97">
        <f ca="1">VLOOKUP($X933,サイズ別係数!$B:$E,2,FALSE)</f>
        <v>1.7</v>
      </c>
      <c r="Z933" s="97">
        <f ca="1">VLOOKUP($X933,サイズ別係数!$B:$E,3,FALSE)</f>
        <v>1.4</v>
      </c>
      <c r="AA933" s="97">
        <f ca="1">VLOOKUP($X933,サイズ別係数!$B:$E,4,FALSE)</f>
        <v>1</v>
      </c>
      <c r="AB933" s="10">
        <v>0</v>
      </c>
      <c r="AC933" s="6" t="str">
        <f ca="1">VLOOKUP($AB933,OFFSET([3]enemy_skill_sets!$B$2,0,0,COUNTA([3]enemy_skill_sets!$A:$A),MATCH(AC$1,[3]enemy_skill_sets!$1:$1,0)-MATCH($AB$1,[3]enemy_skill_sets!$1:$1,0)+1),MATCH(AC$1,[3]enemy_skill_sets!$1:$1,0)-MATCH($AB$1,[3]enemy_skill_sets!$1:$1,0)+1,FALSE)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3" s="67">
        <v>1</v>
      </c>
      <c r="AE933" s="67">
        <v>1</v>
      </c>
      <c r="AF933" s="68">
        <v>0</v>
      </c>
      <c r="AG933" s="99">
        <f ca="1">ROUND(VLOOKUP(1,enemy_base_stats!$A:$F,2,FALSE) * Y933* J933*O933*E933*S933*AD933*[2]ステータス!$B$2,0)</f>
        <v>3667</v>
      </c>
      <c r="AH933" s="99">
        <f ca="1">ROUND(VLOOKUP(1,enemy_base_stats!$A:$F,3,FALSE) * Z933*K933*P933*F933*T933*AE933 * W933*[2]ステータス!$C$2,0)</f>
        <v>238</v>
      </c>
      <c r="AI933" s="99">
        <f ca="1">ROUND(VLOOKUP(1,enemy_base_stats!$A:$F,4,FALSE) * AA933*L933*Q933*G933*U933*AF933*[2]ステータス!$D$2,0)</f>
        <v>0</v>
      </c>
      <c r="AJ933" s="99">
        <f ca="1">ROUND(VLOOKUP(100,enemy_base_stats!$A:$F,2,FALSE) * Y933* J933*O933*E933*S933*AD933*[2]ステータス!$B$2,0)</f>
        <v>148897</v>
      </c>
      <c r="AK933" s="99">
        <f ca="1">ROUND(VLOOKUP(100,enemy_base_stats!$A:$F,3,FALSE)* Z933* K933*P933*F933*T933*AE933 * W933*[2]ステータス!$C$2,0)</f>
        <v>9678</v>
      </c>
      <c r="AL933" s="99">
        <f ca="1">ROUND(VLOOKUP(100,enemy_base_stats!$A:$F,4,FALSE)* AA933* L933*Q933*G933*U933*AF933*[2]ステータス!$D$2,0)</f>
        <v>0</v>
      </c>
      <c r="AM933" s="97">
        <f ca="1">VLOOKUP(M933,[2]character_tribe_i18n!$A:$I,9,FALSE)</f>
        <v>400</v>
      </c>
      <c r="AN933" s="97">
        <v>0</v>
      </c>
      <c r="AO933" s="98">
        <v>0</v>
      </c>
      <c r="AP933" s="58" t="s">
        <v>72</v>
      </c>
      <c r="AQ933" s="34">
        <f t="shared" ca="1" si="53"/>
        <v>932</v>
      </c>
    </row>
    <row r="934" spans="1:43" ht="21" customHeight="1" x14ac:dyDescent="0.15">
      <c r="A934" s="7">
        <f t="shared" ca="1" si="52"/>
        <v>933</v>
      </c>
      <c r="B934" s="6" t="str">
        <f ca="1">VLOOKUP(A934,[2]characters!$A:$C,3,FALSE)</f>
        <v>ヴェルサイユ</v>
      </c>
      <c r="C934" s="9">
        <f ca="1">VLOOKUP(A934,[2]characters!$A:$I,9,FALSE)</f>
        <v>4</v>
      </c>
      <c r="D934" s="9" t="str">
        <f ca="1">VLOOKUP(A934,[2]characters!$A:$H,8,FALSE)</f>
        <v>yellow</v>
      </c>
      <c r="E934" s="97">
        <f ca="1">VLOOKUP(D934,[2]属性!$A:$E,2,FALSE)</f>
        <v>0.98</v>
      </c>
      <c r="F934" s="97">
        <f ca="1">VLOOKUP(D934,[2]属性!$A:$E,3,FALSE)</f>
        <v>1.01</v>
      </c>
      <c r="G934" s="97">
        <f ca="1">VLOOKUP(D934,[2]属性!$A:$F,4,FALSE)</f>
        <v>1</v>
      </c>
      <c r="H934" s="9" t="str">
        <f ca="1">VLOOKUP(A934,[2]characters!$A:$K,11,FALSE)</f>
        <v>attack</v>
      </c>
      <c r="I934" s="6" t="str">
        <f ca="1">VLOOKUP(H934,[2]character_type_i18n!$A:$F,3,FALSE)</f>
        <v>攻撃タイプ</v>
      </c>
      <c r="J934" s="97">
        <f ca="1">VLOOKUP(H934,[2]character_type_i18n!$A:$F,4,FALSE)</f>
        <v>1</v>
      </c>
      <c r="K934" s="97">
        <f ca="1">VLOOKUP(H934,[2]character_type_i18n!$A:$F,5,FALSE)</f>
        <v>1.33</v>
      </c>
      <c r="L934" s="97">
        <f ca="1">VLOOKUP(H934,[2]character_type_i18n!$A:$F,6,FALSE)</f>
        <v>1</v>
      </c>
      <c r="M934" s="9" t="str">
        <f ca="1">VLOOKUP(A934,[2]characters!$A:$M,13,FALSE)</f>
        <v>unknown</v>
      </c>
      <c r="N934" s="6" t="str">
        <f ca="1">VLOOKUP(M934,[2]character_tribe_i18n!$A:$F,3,FALSE)</f>
        <v>Unknown</v>
      </c>
      <c r="O934" s="97">
        <f ca="1">VLOOKUP(M934,[2]character_tribe_i18n!$A:$F,4,FALSE)</f>
        <v>1</v>
      </c>
      <c r="P934" s="97">
        <f ca="1">VLOOKUP(M934,[2]character_tribe_i18n!$A:$F,5,FALSE)</f>
        <v>1</v>
      </c>
      <c r="Q934" s="97">
        <f ca="1">VLOOKUP(M934,[2]character_tribe_i18n!$A:$F,6,FALSE)</f>
        <v>1</v>
      </c>
      <c r="R934" s="98" t="s">
        <v>98</v>
      </c>
      <c r="S934" s="97">
        <f>VLOOKUP($R934,ラベル別係数!$A$1:$E$7,3,FALSE)</f>
        <v>5</v>
      </c>
      <c r="T934" s="97">
        <f>VLOOKUP($R934,ラベル別係数!$A$1:$E$7,4,FALSE)</f>
        <v>1.3</v>
      </c>
      <c r="U934" s="97">
        <f>VLOOKUP($R934,ラベル別係数!$A$1:$E$7,5,FALSE)</f>
        <v>0.8</v>
      </c>
      <c r="V934" s="98">
        <v>3</v>
      </c>
      <c r="W934" s="99">
        <f>VLOOKUP(V934,ターン数別攻撃係数!$A$1:$B$1000,2,FALSE)</f>
        <v>1</v>
      </c>
      <c r="X934" s="9">
        <f ca="1">VLOOKUP(C934,サイズ別係数!A$2:B$9,2,FALSE)</f>
        <v>30</v>
      </c>
      <c r="Y934" s="97">
        <f ca="1">VLOOKUP($X934,サイズ別係数!$B:$E,2,FALSE)</f>
        <v>1.3</v>
      </c>
      <c r="Z934" s="97">
        <f ca="1">VLOOKUP($X934,サイズ別係数!$B:$E,3,FALSE)</f>
        <v>1.3</v>
      </c>
      <c r="AA934" s="97">
        <f ca="1">VLOOKUP($X934,サイズ別係数!$B:$E,4,FALSE)</f>
        <v>1.1000000000000001</v>
      </c>
      <c r="AB934" s="10">
        <v>0</v>
      </c>
      <c r="AC934" s="6" t="str">
        <f ca="1">VLOOKUP($AB934,OFFSET([3]enemy_skill_sets!$B$2,0,0,COUNTA([3]enemy_skill_sets!$A:$A),MATCH(AC$1,[3]enemy_skill_sets!$1:$1,0)-MATCH($AB$1,[3]enemy_skill_sets!$1:$1,0)+1),MATCH(AC$1,[3]enemy_skill_sets!$1:$1,0)-MATCH($AB$1,[3]enemy_skill_sets!$1:$1,0)+1,FALSE)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4" s="67">
        <v>1</v>
      </c>
      <c r="AE934" s="67">
        <v>1</v>
      </c>
      <c r="AF934" s="68">
        <v>0</v>
      </c>
      <c r="AG934" s="99">
        <f ca="1">ROUND(VLOOKUP(1,enemy_base_stats!$A:$F,2,FALSE) * Y934* J934*O934*E934*S934*AD934*[2]ステータス!$B$2,0)</f>
        <v>3185</v>
      </c>
      <c r="AH934" s="99">
        <f ca="1">ROUND(VLOOKUP(1,enemy_base_stats!$A:$F,3,FALSE) * Z934*K934*P934*F934*T934*AE934 * W934*[2]ステータス!$C$2,0)</f>
        <v>341</v>
      </c>
      <c r="AI934" s="99">
        <f ca="1">ROUND(VLOOKUP(1,enemy_base_stats!$A:$F,4,FALSE) * AA934*L934*Q934*G934*U934*AF934*[2]ステータス!$D$2,0)</f>
        <v>0</v>
      </c>
      <c r="AJ934" s="99">
        <f ca="1">ROUND(VLOOKUP(100,enemy_base_stats!$A:$F,2,FALSE) * Y934* J934*O934*E934*S934*AD934*[2]ステータス!$B$2,0)</f>
        <v>129311</v>
      </c>
      <c r="AK934" s="99">
        <f ca="1">ROUND(VLOOKUP(100,enemy_base_stats!$A:$F,3,FALSE)* Z934* K934*P934*F934*T934*AE934 * W934*[2]ステータス!$C$2,0)</f>
        <v>13825</v>
      </c>
      <c r="AL934" s="99">
        <f ca="1">ROUND(VLOOKUP(100,enemy_base_stats!$A:$F,4,FALSE)* AA934* L934*Q934*G934*U934*AF934*[2]ステータス!$D$2,0)</f>
        <v>0</v>
      </c>
      <c r="AM934" s="97">
        <f ca="1">VLOOKUP(M934,[2]character_tribe_i18n!$A:$I,9,FALSE)</f>
        <v>340</v>
      </c>
      <c r="AN934" s="97">
        <v>0</v>
      </c>
      <c r="AO934" s="98">
        <v>0</v>
      </c>
      <c r="AP934" s="58" t="s">
        <v>72</v>
      </c>
      <c r="AQ934" s="34">
        <f t="shared" ca="1" si="53"/>
        <v>933</v>
      </c>
    </row>
    <row r="935" spans="1:43" ht="21" customHeight="1" x14ac:dyDescent="0.15">
      <c r="A935" s="7">
        <f t="shared" ca="1" si="52"/>
        <v>934</v>
      </c>
      <c r="B935" s="6" t="str">
        <f ca="1">VLOOKUP(A935,[2]characters!$A:$C,3,FALSE)</f>
        <v>絢爛たる燈城 ヴェルサイユ</v>
      </c>
      <c r="C935" s="9">
        <f ca="1">VLOOKUP(A935,[2]characters!$A:$I,9,FALSE)</f>
        <v>5</v>
      </c>
      <c r="D935" s="9" t="str">
        <f ca="1">VLOOKUP(A935,[2]characters!$A:$H,8,FALSE)</f>
        <v>yellow</v>
      </c>
      <c r="E935" s="97">
        <f ca="1">VLOOKUP(D935,[2]属性!$A:$E,2,FALSE)</f>
        <v>0.98</v>
      </c>
      <c r="F935" s="97">
        <f ca="1">VLOOKUP(D935,[2]属性!$A:$E,3,FALSE)</f>
        <v>1.01</v>
      </c>
      <c r="G935" s="97">
        <f ca="1">VLOOKUP(D935,[2]属性!$A:$F,4,FALSE)</f>
        <v>1</v>
      </c>
      <c r="H935" s="9" t="str">
        <f ca="1">VLOOKUP(A935,[2]characters!$A:$K,11,FALSE)</f>
        <v>attack</v>
      </c>
      <c r="I935" s="6" t="str">
        <f ca="1">VLOOKUP(H935,[2]character_type_i18n!$A:$F,3,FALSE)</f>
        <v>攻撃タイプ</v>
      </c>
      <c r="J935" s="97">
        <f ca="1">VLOOKUP(H935,[2]character_type_i18n!$A:$F,4,FALSE)</f>
        <v>1</v>
      </c>
      <c r="K935" s="97">
        <f ca="1">VLOOKUP(H935,[2]character_type_i18n!$A:$F,5,FALSE)</f>
        <v>1.33</v>
      </c>
      <c r="L935" s="97">
        <f ca="1">VLOOKUP(H935,[2]character_type_i18n!$A:$F,6,FALSE)</f>
        <v>1</v>
      </c>
      <c r="M935" s="9" t="str">
        <f ca="1">VLOOKUP(A935,[2]characters!$A:$M,13,FALSE)</f>
        <v>unknown</v>
      </c>
      <c r="N935" s="6" t="str">
        <f ca="1">VLOOKUP(M935,[2]character_tribe_i18n!$A:$F,3,FALSE)</f>
        <v>Unknown</v>
      </c>
      <c r="O935" s="97">
        <f ca="1">VLOOKUP(M935,[2]character_tribe_i18n!$A:$F,4,FALSE)</f>
        <v>1</v>
      </c>
      <c r="P935" s="97">
        <f ca="1">VLOOKUP(M935,[2]character_tribe_i18n!$A:$F,5,FALSE)</f>
        <v>1</v>
      </c>
      <c r="Q935" s="97">
        <f ca="1">VLOOKUP(M935,[2]character_tribe_i18n!$A:$F,6,FALSE)</f>
        <v>1</v>
      </c>
      <c r="R935" s="98" t="s">
        <v>98</v>
      </c>
      <c r="S935" s="97">
        <f>VLOOKUP($R935,ラベル別係数!$A$1:$E$7,3,FALSE)</f>
        <v>5</v>
      </c>
      <c r="T935" s="97">
        <f>VLOOKUP($R935,ラベル別係数!$A$1:$E$7,4,FALSE)</f>
        <v>1.3</v>
      </c>
      <c r="U935" s="97">
        <f>VLOOKUP($R935,ラベル別係数!$A$1:$E$7,5,FALSE)</f>
        <v>0.8</v>
      </c>
      <c r="V935" s="98">
        <v>3</v>
      </c>
      <c r="W935" s="99">
        <f>VLOOKUP(V935,ターン数別攻撃係数!$A$1:$B$1000,2,FALSE)</f>
        <v>1</v>
      </c>
      <c r="X935" s="9">
        <f ca="1">VLOOKUP(C935,サイズ別係数!A$2:B$9,2,FALSE)</f>
        <v>60</v>
      </c>
      <c r="Y935" s="97">
        <f ca="1">VLOOKUP($X935,サイズ別係数!$B:$E,2,FALSE)</f>
        <v>1.7</v>
      </c>
      <c r="Z935" s="97">
        <f ca="1">VLOOKUP($X935,サイズ別係数!$B:$E,3,FALSE)</f>
        <v>1.4</v>
      </c>
      <c r="AA935" s="97">
        <f ca="1">VLOOKUP($X935,サイズ別係数!$B:$E,4,FALSE)</f>
        <v>1</v>
      </c>
      <c r="AB935" s="10">
        <v>0</v>
      </c>
      <c r="AC935" s="6" t="str">
        <f ca="1">VLOOKUP($AB935,OFFSET([3]enemy_skill_sets!$B$2,0,0,COUNTA([3]enemy_skill_sets!$A:$A),MATCH(AC$1,[3]enemy_skill_sets!$1:$1,0)-MATCH($AB$1,[3]enemy_skill_sets!$1:$1,0)+1),MATCH(AC$1,[3]enemy_skill_sets!$1:$1,0)-MATCH($AB$1,[3]enemy_skill_sets!$1:$1,0)+1,FALSE)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5" s="67">
        <v>1</v>
      </c>
      <c r="AE935" s="67">
        <v>1</v>
      </c>
      <c r="AF935" s="68">
        <v>0</v>
      </c>
      <c r="AG935" s="99">
        <f ca="1">ROUND(VLOOKUP(1,enemy_base_stats!$A:$F,2,FALSE) * Y935* J935*O935*E935*S935*AD935*[2]ステータス!$B$2,0)</f>
        <v>4165</v>
      </c>
      <c r="AH935" s="99">
        <f ca="1">ROUND(VLOOKUP(1,enemy_base_stats!$A:$F,3,FALSE) * Z935*K935*P935*F935*T935*AE935 * W935*[2]ステータス!$C$2,0)</f>
        <v>367</v>
      </c>
      <c r="AI935" s="99">
        <f ca="1">ROUND(VLOOKUP(1,enemy_base_stats!$A:$F,4,FALSE) * AA935*L935*Q935*G935*U935*AF935*[2]ステータス!$D$2,0)</f>
        <v>0</v>
      </c>
      <c r="AJ935" s="99">
        <f ca="1">ROUND(VLOOKUP(100,enemy_base_stats!$A:$F,2,FALSE) * Y935* J935*O935*E935*S935*AD935*[2]ステータス!$B$2,0)</f>
        <v>169099</v>
      </c>
      <c r="AK935" s="99">
        <f ca="1">ROUND(VLOOKUP(100,enemy_base_stats!$A:$F,3,FALSE)* Z935* K935*P935*F935*T935*AE935 * W935*[2]ステータス!$C$2,0)</f>
        <v>14889</v>
      </c>
      <c r="AL935" s="99">
        <f ca="1">ROUND(VLOOKUP(100,enemy_base_stats!$A:$F,4,FALSE)* AA935* L935*Q935*G935*U935*AF935*[2]ステータス!$D$2,0)</f>
        <v>0</v>
      </c>
      <c r="AM935" s="97">
        <f ca="1">VLOOKUP(M935,[2]character_tribe_i18n!$A:$I,9,FALSE)</f>
        <v>340</v>
      </c>
      <c r="AN935" s="97">
        <v>0</v>
      </c>
      <c r="AO935" s="98">
        <v>0</v>
      </c>
      <c r="AP935" s="58" t="s">
        <v>72</v>
      </c>
      <c r="AQ935" s="34">
        <f t="shared" ca="1" si="53"/>
        <v>934</v>
      </c>
    </row>
    <row r="936" spans="1:43" ht="21" customHeight="1" x14ac:dyDescent="0.15">
      <c r="A936" s="7">
        <f t="shared" ca="1" si="52"/>
        <v>935</v>
      </c>
      <c r="B936" s="6" t="str">
        <f ca="1">VLOOKUP(A936,[2]characters!$A:$C,3,FALSE)</f>
        <v>ルイ16世</v>
      </c>
      <c r="C936" s="9">
        <f ca="1">VLOOKUP(A936,[2]characters!$A:$I,9,FALSE)</f>
        <v>5</v>
      </c>
      <c r="D936" s="9" t="str">
        <f ca="1">VLOOKUP(A936,[2]characters!$A:$H,8,FALSE)</f>
        <v>red</v>
      </c>
      <c r="E936" s="97">
        <f ca="1">VLOOKUP(D936,[2]属性!$A:$E,2,FALSE)</f>
        <v>1</v>
      </c>
      <c r="F936" s="97">
        <f ca="1">VLOOKUP(D936,[2]属性!$A:$E,3,FALSE)</f>
        <v>1.02</v>
      </c>
      <c r="G936" s="97">
        <f ca="1">VLOOKUP(D936,[2]属性!$A:$F,4,FALSE)</f>
        <v>1</v>
      </c>
      <c r="H936" s="9" t="str">
        <f ca="1">VLOOKUP(A936,[2]characters!$A:$K,11,FALSE)</f>
        <v>balance</v>
      </c>
      <c r="I936" s="6" t="str">
        <f ca="1">VLOOKUP(H936,[2]character_type_i18n!$A:$F,3,FALSE)</f>
        <v>バランスタイプ</v>
      </c>
      <c r="J936" s="97">
        <f ca="1">VLOOKUP(H936,[2]character_type_i18n!$A:$F,4,FALSE)</f>
        <v>1</v>
      </c>
      <c r="K936" s="97">
        <f ca="1">VLOOKUP(H936,[2]character_type_i18n!$A:$F,5,FALSE)</f>
        <v>1</v>
      </c>
      <c r="L936" s="97">
        <f ca="1">VLOOKUP(H936,[2]character_type_i18n!$A:$F,6,FALSE)</f>
        <v>1</v>
      </c>
      <c r="M936" s="9" t="str">
        <f ca="1">VLOOKUP(A936,[2]characters!$A:$M,13,FALSE)</f>
        <v>human</v>
      </c>
      <c r="N936" s="6" t="str">
        <f ca="1">VLOOKUP(M936,[2]character_tribe_i18n!$A:$F,3,FALSE)</f>
        <v>ヒューマン</v>
      </c>
      <c r="O936" s="97">
        <f ca="1">VLOOKUP(M936,[2]character_tribe_i18n!$A:$F,4,FALSE)</f>
        <v>0.94</v>
      </c>
      <c r="P936" s="97">
        <f ca="1">VLOOKUP(M936,[2]character_tribe_i18n!$A:$F,5,FALSE)</f>
        <v>0.99</v>
      </c>
      <c r="Q936" s="97">
        <f ca="1">VLOOKUP(M936,[2]character_tribe_i18n!$A:$F,6,FALSE)</f>
        <v>1</v>
      </c>
      <c r="R936" s="98" t="s">
        <v>98</v>
      </c>
      <c r="S936" s="97">
        <f>VLOOKUP($R936,ラベル別係数!$A$1:$E$7,3,FALSE)</f>
        <v>5</v>
      </c>
      <c r="T936" s="97">
        <f>VLOOKUP($R936,ラベル別係数!$A$1:$E$7,4,FALSE)</f>
        <v>1.3</v>
      </c>
      <c r="U936" s="97">
        <f>VLOOKUP($R936,ラベル別係数!$A$1:$E$7,5,FALSE)</f>
        <v>0.8</v>
      </c>
      <c r="V936" s="98">
        <v>3</v>
      </c>
      <c r="W936" s="99">
        <f>VLOOKUP(V936,ターン数別攻撃係数!$A$1:$B$1000,2,FALSE)</f>
        <v>1</v>
      </c>
      <c r="X936" s="9">
        <f ca="1">VLOOKUP(C936,サイズ別係数!A$2:B$9,2,FALSE)</f>
        <v>60</v>
      </c>
      <c r="Y936" s="97">
        <f ca="1">VLOOKUP($X936,サイズ別係数!$B:$E,2,FALSE)</f>
        <v>1.7</v>
      </c>
      <c r="Z936" s="97">
        <f ca="1">VLOOKUP($X936,サイズ別係数!$B:$E,3,FALSE)</f>
        <v>1.4</v>
      </c>
      <c r="AA936" s="97">
        <f ca="1">VLOOKUP($X936,サイズ別係数!$B:$E,4,FALSE)</f>
        <v>1</v>
      </c>
      <c r="AB936" s="10">
        <v>0</v>
      </c>
      <c r="AC936" s="6" t="str">
        <f ca="1">VLOOKUP($AB936,OFFSET([3]enemy_skill_sets!$B$2,0,0,COUNTA([3]enemy_skill_sets!$A:$A),MATCH(AC$1,[3]enemy_skill_sets!$1:$1,0)-MATCH($AB$1,[3]enemy_skill_sets!$1:$1,0)+1),MATCH(AC$1,[3]enemy_skill_sets!$1:$1,0)-MATCH($AB$1,[3]enemy_skill_sets!$1:$1,0)+1,FALSE)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6" s="67">
        <v>1</v>
      </c>
      <c r="AE936" s="67">
        <v>1</v>
      </c>
      <c r="AF936" s="68">
        <v>0</v>
      </c>
      <c r="AG936" s="99">
        <f ca="1">ROUND(VLOOKUP(1,enemy_base_stats!$A:$F,2,FALSE) * Y936* J936*O936*E936*S936*AD936*[2]ステータス!$B$2,0)</f>
        <v>3995</v>
      </c>
      <c r="AH936" s="99">
        <f ca="1">ROUND(VLOOKUP(1,enemy_base_stats!$A:$F,3,FALSE) * Z936*K936*P936*F936*T936*AE936 * W936*[2]ステータス!$C$2,0)</f>
        <v>276</v>
      </c>
      <c r="AI936" s="99">
        <f ca="1">ROUND(VLOOKUP(1,enemy_base_stats!$A:$F,4,FALSE) * AA936*L936*Q936*G936*U936*AF936*[2]ステータス!$D$2,0)</f>
        <v>0</v>
      </c>
      <c r="AJ936" s="99">
        <f ca="1">ROUND(VLOOKUP(100,enemy_base_stats!$A:$F,2,FALSE) * Y936* J936*O936*E936*S936*AD936*[2]ステータス!$B$2,0)</f>
        <v>162197</v>
      </c>
      <c r="AK936" s="99">
        <f ca="1">ROUND(VLOOKUP(100,enemy_base_stats!$A:$F,3,FALSE)* Z936* K936*P936*F936*T936*AE936 * W936*[2]ステータス!$C$2,0)</f>
        <v>11192</v>
      </c>
      <c r="AL936" s="99">
        <f ca="1">ROUND(VLOOKUP(100,enemy_base_stats!$A:$F,4,FALSE)* AA936* L936*Q936*G936*U936*AF936*[2]ステータス!$D$2,0)</f>
        <v>0</v>
      </c>
      <c r="AM936" s="97">
        <f ca="1">VLOOKUP(M936,[2]character_tribe_i18n!$A:$I,9,FALSE)</f>
        <v>400</v>
      </c>
      <c r="AN936" s="97">
        <v>0</v>
      </c>
      <c r="AO936" s="98">
        <v>0</v>
      </c>
      <c r="AP936" s="58" t="s">
        <v>72</v>
      </c>
      <c r="AQ936" s="34">
        <f t="shared" ca="1" si="53"/>
        <v>935</v>
      </c>
    </row>
    <row r="937" spans="1:43" ht="21" customHeight="1" x14ac:dyDescent="0.15">
      <c r="A937" s="7">
        <f t="shared" ca="1" si="52"/>
        <v>936</v>
      </c>
      <c r="B937" s="6" t="str">
        <f ca="1">VLOOKUP(A937,[2]characters!$A:$C,3,FALSE)</f>
        <v>憲誓の煉王 ルイ16世</v>
      </c>
      <c r="C937" s="9">
        <f ca="1">VLOOKUP(A937,[2]characters!$A:$I,9,FALSE)</f>
        <v>6</v>
      </c>
      <c r="D937" s="9" t="str">
        <f ca="1">VLOOKUP(A937,[2]characters!$A:$H,8,FALSE)</f>
        <v>red</v>
      </c>
      <c r="E937" s="97">
        <f ca="1">VLOOKUP(D937,[2]属性!$A:$E,2,FALSE)</f>
        <v>1</v>
      </c>
      <c r="F937" s="97">
        <f ca="1">VLOOKUP(D937,[2]属性!$A:$E,3,FALSE)</f>
        <v>1.02</v>
      </c>
      <c r="G937" s="97">
        <f ca="1">VLOOKUP(D937,[2]属性!$A:$F,4,FALSE)</f>
        <v>1</v>
      </c>
      <c r="H937" s="9" t="str">
        <f ca="1">VLOOKUP(A937,[2]characters!$A:$K,11,FALSE)</f>
        <v>balance</v>
      </c>
      <c r="I937" s="6" t="str">
        <f ca="1">VLOOKUP(H937,[2]character_type_i18n!$A:$F,3,FALSE)</f>
        <v>バランスタイプ</v>
      </c>
      <c r="J937" s="97">
        <f ca="1">VLOOKUP(H937,[2]character_type_i18n!$A:$F,4,FALSE)</f>
        <v>1</v>
      </c>
      <c r="K937" s="97">
        <f ca="1">VLOOKUP(H937,[2]character_type_i18n!$A:$F,5,FALSE)</f>
        <v>1</v>
      </c>
      <c r="L937" s="97">
        <f ca="1">VLOOKUP(H937,[2]character_type_i18n!$A:$F,6,FALSE)</f>
        <v>1</v>
      </c>
      <c r="M937" s="9" t="str">
        <f ca="1">VLOOKUP(A937,[2]characters!$A:$M,13,FALSE)</f>
        <v>human</v>
      </c>
      <c r="N937" s="6" t="str">
        <f ca="1">VLOOKUP(M937,[2]character_tribe_i18n!$A:$F,3,FALSE)</f>
        <v>ヒューマン</v>
      </c>
      <c r="O937" s="97">
        <f ca="1">VLOOKUP(M937,[2]character_tribe_i18n!$A:$F,4,FALSE)</f>
        <v>0.94</v>
      </c>
      <c r="P937" s="97">
        <f ca="1">VLOOKUP(M937,[2]character_tribe_i18n!$A:$F,5,FALSE)</f>
        <v>0.99</v>
      </c>
      <c r="Q937" s="97">
        <f ca="1">VLOOKUP(M937,[2]character_tribe_i18n!$A:$F,6,FALSE)</f>
        <v>1</v>
      </c>
      <c r="R937" s="98" t="s">
        <v>98</v>
      </c>
      <c r="S937" s="97">
        <f>VLOOKUP($R937,ラベル別係数!$A$1:$E$7,3,FALSE)</f>
        <v>5</v>
      </c>
      <c r="T937" s="97">
        <f>VLOOKUP($R937,ラベル別係数!$A$1:$E$7,4,FALSE)</f>
        <v>1.3</v>
      </c>
      <c r="U937" s="97">
        <f>VLOOKUP($R937,ラベル別係数!$A$1:$E$7,5,FALSE)</f>
        <v>0.8</v>
      </c>
      <c r="V937" s="98">
        <v>3</v>
      </c>
      <c r="W937" s="99">
        <f>VLOOKUP(V937,ターン数別攻撃係数!$A$1:$B$1000,2,FALSE)</f>
        <v>1</v>
      </c>
      <c r="X937" s="9">
        <f ca="1">VLOOKUP(C937,サイズ別係数!A$2:B$9,2,FALSE)</f>
        <v>60</v>
      </c>
      <c r="Y937" s="97">
        <f ca="1">VLOOKUP($X937,サイズ別係数!$B:$E,2,FALSE)</f>
        <v>1.7</v>
      </c>
      <c r="Z937" s="97">
        <f ca="1">VLOOKUP($X937,サイズ別係数!$B:$E,3,FALSE)</f>
        <v>1.4</v>
      </c>
      <c r="AA937" s="97">
        <f ca="1">VLOOKUP($X937,サイズ別係数!$B:$E,4,FALSE)</f>
        <v>1</v>
      </c>
      <c r="AB937" s="10">
        <v>0</v>
      </c>
      <c r="AC937" s="6" t="str">
        <f ca="1">VLOOKUP($AB937,OFFSET([3]enemy_skill_sets!$B$2,0,0,COUNTA([3]enemy_skill_sets!$A:$A),MATCH(AC$1,[3]enemy_skill_sets!$1:$1,0)-MATCH($AB$1,[3]enemy_skill_sets!$1:$1,0)+1),MATCH(AC$1,[3]enemy_skill_sets!$1:$1,0)-MATCH($AB$1,[3]enemy_skill_sets!$1:$1,0)+1,FALSE)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7" s="67">
        <v>1</v>
      </c>
      <c r="AE937" s="67">
        <v>1</v>
      </c>
      <c r="AF937" s="68">
        <v>0</v>
      </c>
      <c r="AG937" s="99">
        <f ca="1">ROUND(VLOOKUP(1,enemy_base_stats!$A:$F,2,FALSE) * Y937* J937*O937*E937*S937*AD937*[2]ステータス!$B$2,0)</f>
        <v>3995</v>
      </c>
      <c r="AH937" s="99">
        <f ca="1">ROUND(VLOOKUP(1,enemy_base_stats!$A:$F,3,FALSE) * Z937*K937*P937*F937*T937*AE937 * W937*[2]ステータス!$C$2,0)</f>
        <v>276</v>
      </c>
      <c r="AI937" s="99">
        <f ca="1">ROUND(VLOOKUP(1,enemy_base_stats!$A:$F,4,FALSE) * AA937*L937*Q937*G937*U937*AF937*[2]ステータス!$D$2,0)</f>
        <v>0</v>
      </c>
      <c r="AJ937" s="99">
        <f ca="1">ROUND(VLOOKUP(100,enemy_base_stats!$A:$F,2,FALSE) * Y937* J937*O937*E937*S937*AD937*[2]ステータス!$B$2,0)</f>
        <v>162197</v>
      </c>
      <c r="AK937" s="99">
        <f ca="1">ROUND(VLOOKUP(100,enemy_base_stats!$A:$F,3,FALSE)* Z937* K937*P937*F937*T937*AE937 * W937*[2]ステータス!$C$2,0)</f>
        <v>11192</v>
      </c>
      <c r="AL937" s="99">
        <f ca="1">ROUND(VLOOKUP(100,enemy_base_stats!$A:$F,4,FALSE)* AA937* L937*Q937*G937*U937*AF937*[2]ステータス!$D$2,0)</f>
        <v>0</v>
      </c>
      <c r="AM937" s="97">
        <f ca="1">VLOOKUP(M937,[2]character_tribe_i18n!$A:$I,9,FALSE)</f>
        <v>400</v>
      </c>
      <c r="AN937" s="97">
        <v>0</v>
      </c>
      <c r="AO937" s="98">
        <v>0</v>
      </c>
      <c r="AP937" s="58" t="s">
        <v>72</v>
      </c>
      <c r="AQ937" s="34">
        <f t="shared" ca="1" si="53"/>
        <v>936</v>
      </c>
    </row>
    <row r="938" spans="1:43" ht="21" customHeight="1" x14ac:dyDescent="0.15">
      <c r="A938" s="7">
        <f t="shared" ca="1" si="52"/>
        <v>937</v>
      </c>
      <c r="B938" s="6" t="str">
        <f ca="1">VLOOKUP(A938,[2]characters!$A:$C,3,FALSE)</f>
        <v>ナポレオン</v>
      </c>
      <c r="C938" s="9">
        <f ca="1">VLOOKUP(A938,[2]characters!$A:$I,9,FALSE)</f>
        <v>5</v>
      </c>
      <c r="D938" s="9" t="str">
        <f ca="1">VLOOKUP(A938,[2]characters!$A:$H,8,FALSE)</f>
        <v>red</v>
      </c>
      <c r="E938" s="97">
        <f ca="1">VLOOKUP(D938,[2]属性!$A:$E,2,FALSE)</f>
        <v>1</v>
      </c>
      <c r="F938" s="97">
        <f ca="1">VLOOKUP(D938,[2]属性!$A:$E,3,FALSE)</f>
        <v>1.02</v>
      </c>
      <c r="G938" s="97">
        <f ca="1">VLOOKUP(D938,[2]属性!$A:$F,4,FALSE)</f>
        <v>1</v>
      </c>
      <c r="H938" s="9" t="str">
        <f ca="1">VLOOKUP(A938,[2]characters!$A:$K,11,FALSE)</f>
        <v>balance</v>
      </c>
      <c r="I938" s="6" t="str">
        <f ca="1">VLOOKUP(H938,[2]character_type_i18n!$A:$F,3,FALSE)</f>
        <v>バランスタイプ</v>
      </c>
      <c r="J938" s="97">
        <f ca="1">VLOOKUP(H938,[2]character_type_i18n!$A:$F,4,FALSE)</f>
        <v>1</v>
      </c>
      <c r="K938" s="97">
        <f ca="1">VLOOKUP(H938,[2]character_type_i18n!$A:$F,5,FALSE)</f>
        <v>1</v>
      </c>
      <c r="L938" s="97">
        <f ca="1">VLOOKUP(H938,[2]character_type_i18n!$A:$F,6,FALSE)</f>
        <v>1</v>
      </c>
      <c r="M938" s="9" t="str">
        <f ca="1">VLOOKUP(A938,[2]characters!$A:$M,13,FALSE)</f>
        <v>human</v>
      </c>
      <c r="N938" s="6" t="str">
        <f ca="1">VLOOKUP(M938,[2]character_tribe_i18n!$A:$F,3,FALSE)</f>
        <v>ヒューマン</v>
      </c>
      <c r="O938" s="97">
        <f ca="1">VLOOKUP(M938,[2]character_tribe_i18n!$A:$F,4,FALSE)</f>
        <v>0.94</v>
      </c>
      <c r="P938" s="97">
        <f ca="1">VLOOKUP(M938,[2]character_tribe_i18n!$A:$F,5,FALSE)</f>
        <v>0.99</v>
      </c>
      <c r="Q938" s="97">
        <f ca="1">VLOOKUP(M938,[2]character_tribe_i18n!$A:$F,6,FALSE)</f>
        <v>1</v>
      </c>
      <c r="R938" s="98" t="s">
        <v>98</v>
      </c>
      <c r="S938" s="97">
        <f>VLOOKUP($R938,ラベル別係数!$A$1:$E$7,3,FALSE)</f>
        <v>5</v>
      </c>
      <c r="T938" s="97">
        <f>VLOOKUP($R938,ラベル別係数!$A$1:$E$7,4,FALSE)</f>
        <v>1.3</v>
      </c>
      <c r="U938" s="97">
        <f>VLOOKUP($R938,ラベル別係数!$A$1:$E$7,5,FALSE)</f>
        <v>0.8</v>
      </c>
      <c r="V938" s="98">
        <v>3</v>
      </c>
      <c r="W938" s="99">
        <f>VLOOKUP(V938,ターン数別攻撃係数!$A$1:$B$1000,2,FALSE)</f>
        <v>1</v>
      </c>
      <c r="X938" s="9">
        <f ca="1">VLOOKUP(C938,サイズ別係数!A$2:B$9,2,FALSE)</f>
        <v>60</v>
      </c>
      <c r="Y938" s="97">
        <f ca="1">VLOOKUP($X938,サイズ別係数!$B:$E,2,FALSE)</f>
        <v>1.7</v>
      </c>
      <c r="Z938" s="97">
        <f ca="1">VLOOKUP($X938,サイズ別係数!$B:$E,3,FALSE)</f>
        <v>1.4</v>
      </c>
      <c r="AA938" s="97">
        <f ca="1">VLOOKUP($X938,サイズ別係数!$B:$E,4,FALSE)</f>
        <v>1</v>
      </c>
      <c r="AB938" s="10">
        <v>0</v>
      </c>
      <c r="AC938" s="6" t="str">
        <f ca="1">VLOOKUP($AB938,OFFSET([3]enemy_skill_sets!$B$2,0,0,COUNTA([3]enemy_skill_sets!$A:$A),MATCH(AC$1,[3]enemy_skill_sets!$1:$1,0)-MATCH($AB$1,[3]enemy_skill_sets!$1:$1,0)+1),MATCH(AC$1,[3]enemy_skill_sets!$1:$1,0)-MATCH($AB$1,[3]enemy_skill_sets!$1:$1,0)+1,FALSE)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8" s="67">
        <v>1</v>
      </c>
      <c r="AE938" s="67">
        <v>1</v>
      </c>
      <c r="AF938" s="68">
        <v>0</v>
      </c>
      <c r="AG938" s="99">
        <f ca="1">ROUND(VLOOKUP(1,enemy_base_stats!$A:$F,2,FALSE) * Y938* J938*O938*E938*S938*AD938*[2]ステータス!$B$2,0)</f>
        <v>3995</v>
      </c>
      <c r="AH938" s="99">
        <f ca="1">ROUND(VLOOKUP(1,enemy_base_stats!$A:$F,3,FALSE) * Z938*K938*P938*F938*T938*AE938 * W938*[2]ステータス!$C$2,0)</f>
        <v>276</v>
      </c>
      <c r="AI938" s="99">
        <f ca="1">ROUND(VLOOKUP(1,enemy_base_stats!$A:$F,4,FALSE) * AA938*L938*Q938*G938*U938*AF938*[2]ステータス!$D$2,0)</f>
        <v>0</v>
      </c>
      <c r="AJ938" s="99">
        <f ca="1">ROUND(VLOOKUP(100,enemy_base_stats!$A:$F,2,FALSE) * Y938* J938*O938*E938*S938*AD938*[2]ステータス!$B$2,0)</f>
        <v>162197</v>
      </c>
      <c r="AK938" s="99">
        <f ca="1">ROUND(VLOOKUP(100,enemy_base_stats!$A:$F,3,FALSE)* Z938* K938*P938*F938*T938*AE938 * W938*[2]ステータス!$C$2,0)</f>
        <v>11192</v>
      </c>
      <c r="AL938" s="99">
        <f ca="1">ROUND(VLOOKUP(100,enemy_base_stats!$A:$F,4,FALSE)* AA938* L938*Q938*G938*U938*AF938*[2]ステータス!$D$2,0)</f>
        <v>0</v>
      </c>
      <c r="AM938" s="97">
        <f ca="1">VLOOKUP(M938,[2]character_tribe_i18n!$A:$I,9,FALSE)</f>
        <v>400</v>
      </c>
      <c r="AN938" s="97">
        <v>0</v>
      </c>
      <c r="AO938" s="98">
        <v>0</v>
      </c>
      <c r="AP938" s="58" t="s">
        <v>72</v>
      </c>
      <c r="AQ938" s="34">
        <f t="shared" ca="1" si="53"/>
        <v>937</v>
      </c>
    </row>
    <row r="939" spans="1:43" ht="21" customHeight="1" x14ac:dyDescent="0.15">
      <c r="A939" s="7">
        <f t="shared" ca="1" si="52"/>
        <v>938</v>
      </c>
      <c r="B939" s="6" t="str">
        <f ca="1">VLOOKUP(A939,[2]characters!$A:$C,3,FALSE)</f>
        <v>炎焔宿す革命皇 ナポレオン</v>
      </c>
      <c r="C939" s="9">
        <f ca="1">VLOOKUP(A939,[2]characters!$A:$I,9,FALSE)</f>
        <v>6</v>
      </c>
      <c r="D939" s="9" t="str">
        <f ca="1">VLOOKUP(A939,[2]characters!$A:$H,8,FALSE)</f>
        <v>red</v>
      </c>
      <c r="E939" s="97">
        <f ca="1">VLOOKUP(D939,[2]属性!$A:$E,2,FALSE)</f>
        <v>1</v>
      </c>
      <c r="F939" s="97">
        <f ca="1">VLOOKUP(D939,[2]属性!$A:$E,3,FALSE)</f>
        <v>1.02</v>
      </c>
      <c r="G939" s="97">
        <f ca="1">VLOOKUP(D939,[2]属性!$A:$F,4,FALSE)</f>
        <v>1</v>
      </c>
      <c r="H939" s="9" t="str">
        <f ca="1">VLOOKUP(A939,[2]characters!$A:$K,11,FALSE)</f>
        <v>balance</v>
      </c>
      <c r="I939" s="6" t="str">
        <f ca="1">VLOOKUP(H939,[2]character_type_i18n!$A:$F,3,FALSE)</f>
        <v>バランスタイプ</v>
      </c>
      <c r="J939" s="97">
        <f ca="1">VLOOKUP(H939,[2]character_type_i18n!$A:$F,4,FALSE)</f>
        <v>1</v>
      </c>
      <c r="K939" s="97">
        <f ca="1">VLOOKUP(H939,[2]character_type_i18n!$A:$F,5,FALSE)</f>
        <v>1</v>
      </c>
      <c r="L939" s="97">
        <f ca="1">VLOOKUP(H939,[2]character_type_i18n!$A:$F,6,FALSE)</f>
        <v>1</v>
      </c>
      <c r="M939" s="9" t="str">
        <f ca="1">VLOOKUP(A939,[2]characters!$A:$M,13,FALSE)</f>
        <v>human</v>
      </c>
      <c r="N939" s="6" t="str">
        <f ca="1">VLOOKUP(M939,[2]character_tribe_i18n!$A:$F,3,FALSE)</f>
        <v>ヒューマン</v>
      </c>
      <c r="O939" s="97">
        <f ca="1">VLOOKUP(M939,[2]character_tribe_i18n!$A:$F,4,FALSE)</f>
        <v>0.94</v>
      </c>
      <c r="P939" s="97">
        <f ca="1">VLOOKUP(M939,[2]character_tribe_i18n!$A:$F,5,FALSE)</f>
        <v>0.99</v>
      </c>
      <c r="Q939" s="97">
        <f ca="1">VLOOKUP(M939,[2]character_tribe_i18n!$A:$F,6,FALSE)</f>
        <v>1</v>
      </c>
      <c r="R939" s="98" t="s">
        <v>98</v>
      </c>
      <c r="S939" s="97">
        <f>VLOOKUP($R939,ラベル別係数!$A$1:$E$7,3,FALSE)</f>
        <v>5</v>
      </c>
      <c r="T939" s="97">
        <f>VLOOKUP($R939,ラベル別係数!$A$1:$E$7,4,FALSE)</f>
        <v>1.3</v>
      </c>
      <c r="U939" s="97">
        <f>VLOOKUP($R939,ラベル別係数!$A$1:$E$7,5,FALSE)</f>
        <v>0.8</v>
      </c>
      <c r="V939" s="98">
        <v>3</v>
      </c>
      <c r="W939" s="99">
        <f>VLOOKUP(V939,ターン数別攻撃係数!$A$1:$B$1000,2,FALSE)</f>
        <v>1</v>
      </c>
      <c r="X939" s="9">
        <f ca="1">VLOOKUP(C939,サイズ別係数!A$2:B$9,2,FALSE)</f>
        <v>60</v>
      </c>
      <c r="Y939" s="97">
        <f ca="1">VLOOKUP($X939,サイズ別係数!$B:$E,2,FALSE)</f>
        <v>1.7</v>
      </c>
      <c r="Z939" s="97">
        <f ca="1">VLOOKUP($X939,サイズ別係数!$B:$E,3,FALSE)</f>
        <v>1.4</v>
      </c>
      <c r="AA939" s="97">
        <f ca="1">VLOOKUP($X939,サイズ別係数!$B:$E,4,FALSE)</f>
        <v>1</v>
      </c>
      <c r="AB939" s="10">
        <v>0</v>
      </c>
      <c r="AC939" s="6" t="str">
        <f ca="1">VLOOKUP($AB939,OFFSET([3]enemy_skill_sets!$B$2,0,0,COUNTA([3]enemy_skill_sets!$A:$A),MATCH(AC$1,[3]enemy_skill_sets!$1:$1,0)-MATCH($AB$1,[3]enemy_skill_sets!$1:$1,0)+1),MATCH(AC$1,[3]enemy_skill_sets!$1:$1,0)-MATCH($AB$1,[3]enemy_skill_sets!$1:$1,0)+1,FALSE)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39" s="67">
        <v>1</v>
      </c>
      <c r="AE939" s="67">
        <v>1</v>
      </c>
      <c r="AF939" s="68">
        <v>0</v>
      </c>
      <c r="AG939" s="99">
        <f ca="1">ROUND(VLOOKUP(1,enemy_base_stats!$A:$F,2,FALSE) * Y939* J939*O939*E939*S939*AD939*[2]ステータス!$B$2,0)</f>
        <v>3995</v>
      </c>
      <c r="AH939" s="99">
        <f ca="1">ROUND(VLOOKUP(1,enemy_base_stats!$A:$F,3,FALSE) * Z939*K939*P939*F939*T939*AE939 * W939*[2]ステータス!$C$2,0)</f>
        <v>276</v>
      </c>
      <c r="AI939" s="99">
        <f ca="1">ROUND(VLOOKUP(1,enemy_base_stats!$A:$F,4,FALSE) * AA939*L939*Q939*G939*U939*AF939*[2]ステータス!$D$2,0)</f>
        <v>0</v>
      </c>
      <c r="AJ939" s="99">
        <f ca="1">ROUND(VLOOKUP(100,enemy_base_stats!$A:$F,2,FALSE) * Y939* J939*O939*E939*S939*AD939*[2]ステータス!$B$2,0)</f>
        <v>162197</v>
      </c>
      <c r="AK939" s="99">
        <f ca="1">ROUND(VLOOKUP(100,enemy_base_stats!$A:$F,3,FALSE)* Z939* K939*P939*F939*T939*AE939 * W939*[2]ステータス!$C$2,0)</f>
        <v>11192</v>
      </c>
      <c r="AL939" s="99">
        <f ca="1">ROUND(VLOOKUP(100,enemy_base_stats!$A:$F,4,FALSE)* AA939* L939*Q939*G939*U939*AF939*[2]ステータス!$D$2,0)</f>
        <v>0</v>
      </c>
      <c r="AM939" s="97">
        <f ca="1">VLOOKUP(M939,[2]character_tribe_i18n!$A:$I,9,FALSE)</f>
        <v>400</v>
      </c>
      <c r="AN939" s="97">
        <v>0</v>
      </c>
      <c r="AO939" s="98">
        <v>0</v>
      </c>
      <c r="AP939" s="58" t="s">
        <v>72</v>
      </c>
      <c r="AQ939" s="34">
        <f t="shared" ca="1" si="53"/>
        <v>938</v>
      </c>
    </row>
    <row r="940" spans="1:43" ht="21" customHeight="1" x14ac:dyDescent="0.15">
      <c r="A940" s="7">
        <f t="shared" ca="1" si="52"/>
        <v>939</v>
      </c>
      <c r="B940" s="6" t="str">
        <f ca="1">VLOOKUP(A940,[2]characters!$A:$C,3,FALSE)</f>
        <v>バスティーユ</v>
      </c>
      <c r="C940" s="9">
        <f ca="1">VLOOKUP(A940,[2]characters!$A:$I,9,FALSE)</f>
        <v>4</v>
      </c>
      <c r="D940" s="9" t="str">
        <f ca="1">VLOOKUP(A940,[2]characters!$A:$H,8,FALSE)</f>
        <v>green</v>
      </c>
      <c r="E940" s="97">
        <f ca="1">VLOOKUP(D940,[2]属性!$A:$E,2,FALSE)</f>
        <v>1.02</v>
      </c>
      <c r="F940" s="97">
        <f ca="1">VLOOKUP(D940,[2]属性!$A:$E,3,FALSE)</f>
        <v>0.98</v>
      </c>
      <c r="G940" s="97">
        <f ca="1">VLOOKUP(D940,[2]属性!$A:$F,4,FALSE)</f>
        <v>1</v>
      </c>
      <c r="H940" s="9" t="str">
        <f ca="1">VLOOKUP(A940,[2]characters!$A:$K,11,FALSE)</f>
        <v>hp</v>
      </c>
      <c r="I940" s="6" t="str">
        <f ca="1">VLOOKUP(H940,[2]character_type_i18n!$A:$F,3,FALSE)</f>
        <v>体力タイプ</v>
      </c>
      <c r="J940" s="97">
        <f ca="1">VLOOKUP(H940,[2]character_type_i18n!$A:$F,4,FALSE)</f>
        <v>1.45</v>
      </c>
      <c r="K940" s="97">
        <f ca="1">VLOOKUP(H940,[2]character_type_i18n!$A:$F,5,FALSE)</f>
        <v>0.85</v>
      </c>
      <c r="L940" s="97">
        <f ca="1">VLOOKUP(H940,[2]character_type_i18n!$A:$F,6,FALSE)</f>
        <v>1</v>
      </c>
      <c r="M940" s="9" t="str">
        <f ca="1">VLOOKUP(A940,[2]characters!$A:$M,13,FALSE)</f>
        <v>unknown</v>
      </c>
      <c r="N940" s="6" t="str">
        <f ca="1">VLOOKUP(M940,[2]character_tribe_i18n!$A:$F,3,FALSE)</f>
        <v>Unknown</v>
      </c>
      <c r="O940" s="97">
        <f ca="1">VLOOKUP(M940,[2]character_tribe_i18n!$A:$F,4,FALSE)</f>
        <v>1</v>
      </c>
      <c r="P940" s="97">
        <f ca="1">VLOOKUP(M940,[2]character_tribe_i18n!$A:$F,5,FALSE)</f>
        <v>1</v>
      </c>
      <c r="Q940" s="97">
        <f ca="1">VLOOKUP(M940,[2]character_tribe_i18n!$A:$F,6,FALSE)</f>
        <v>1</v>
      </c>
      <c r="R940" s="98" t="s">
        <v>98</v>
      </c>
      <c r="S940" s="97">
        <f>VLOOKUP($R940,ラベル別係数!$A$1:$E$7,3,FALSE)</f>
        <v>5</v>
      </c>
      <c r="T940" s="97">
        <f>VLOOKUP($R940,ラベル別係数!$A$1:$E$7,4,FALSE)</f>
        <v>1.3</v>
      </c>
      <c r="U940" s="97">
        <f>VLOOKUP($R940,ラベル別係数!$A$1:$E$7,5,FALSE)</f>
        <v>0.8</v>
      </c>
      <c r="V940" s="98">
        <v>3</v>
      </c>
      <c r="W940" s="99">
        <f>VLOOKUP(V940,ターン数別攻撃係数!$A$1:$B$1000,2,FALSE)</f>
        <v>1</v>
      </c>
      <c r="X940" s="9">
        <f ca="1">VLOOKUP(C940,サイズ別係数!A$2:B$9,2,FALSE)</f>
        <v>30</v>
      </c>
      <c r="Y940" s="97">
        <f ca="1">VLOOKUP($X940,サイズ別係数!$B:$E,2,FALSE)</f>
        <v>1.3</v>
      </c>
      <c r="Z940" s="97">
        <f ca="1">VLOOKUP($X940,サイズ別係数!$B:$E,3,FALSE)</f>
        <v>1.3</v>
      </c>
      <c r="AA940" s="97">
        <f ca="1">VLOOKUP($X940,サイズ別係数!$B:$E,4,FALSE)</f>
        <v>1.1000000000000001</v>
      </c>
      <c r="AB940" s="10">
        <v>0</v>
      </c>
      <c r="AC940" s="6" t="str">
        <f ca="1">VLOOKUP($AB940,OFFSET([3]enemy_skill_sets!$B$2,0,0,COUNTA([3]enemy_skill_sets!$A:$A),MATCH(AC$1,[3]enemy_skill_sets!$1:$1,0)-MATCH($AB$1,[3]enemy_skill_sets!$1:$1,0)+1),MATCH(AC$1,[3]enemy_skill_sets!$1:$1,0)-MATCH($AB$1,[3]enemy_skill_sets!$1:$1,0)+1,FALSE)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0" s="67">
        <v>1</v>
      </c>
      <c r="AE940" s="67">
        <v>1</v>
      </c>
      <c r="AF940" s="68">
        <v>0</v>
      </c>
      <c r="AG940" s="99">
        <f ca="1">ROUND(VLOOKUP(1,enemy_base_stats!$A:$F,2,FALSE) * Y940* J940*O940*E940*S940*AD940*[2]ステータス!$B$2,0)</f>
        <v>4807</v>
      </c>
      <c r="AH940" s="99">
        <f ca="1">ROUND(VLOOKUP(1,enemy_base_stats!$A:$F,3,FALSE) * Z940*K940*P940*F940*T940*AE940 * W940*[2]ステータス!$C$2,0)</f>
        <v>211</v>
      </c>
      <c r="AI940" s="99">
        <f ca="1">ROUND(VLOOKUP(1,enemy_base_stats!$A:$F,4,FALSE) * AA940*L940*Q940*G940*U940*AF940*[2]ステータス!$D$2,0)</f>
        <v>0</v>
      </c>
      <c r="AJ940" s="99">
        <f ca="1">ROUND(VLOOKUP(100,enemy_base_stats!$A:$F,2,FALSE) * Y940* J940*O940*E940*S940*AD940*[2]ステータス!$B$2,0)</f>
        <v>195154</v>
      </c>
      <c r="AK940" s="99">
        <f ca="1">ROUND(VLOOKUP(100,enemy_base_stats!$A:$F,3,FALSE)* Z940* K940*P940*F940*T940*AE940 * W940*[2]ステータス!$C$2,0)</f>
        <v>8573</v>
      </c>
      <c r="AL940" s="99">
        <f ca="1">ROUND(VLOOKUP(100,enemy_base_stats!$A:$F,4,FALSE)* AA940* L940*Q940*G940*U940*AF940*[2]ステータス!$D$2,0)</f>
        <v>0</v>
      </c>
      <c r="AM940" s="97">
        <f ca="1">VLOOKUP(M940,[2]character_tribe_i18n!$A:$I,9,FALSE)</f>
        <v>340</v>
      </c>
      <c r="AN940" s="97">
        <v>0</v>
      </c>
      <c r="AO940" s="98">
        <v>0</v>
      </c>
      <c r="AP940" s="58" t="s">
        <v>72</v>
      </c>
      <c r="AQ940" s="34">
        <f t="shared" ca="1" si="53"/>
        <v>939</v>
      </c>
    </row>
    <row r="941" spans="1:43" ht="21" customHeight="1" x14ac:dyDescent="0.15">
      <c r="A941" s="7">
        <f t="shared" ca="1" si="52"/>
        <v>940</v>
      </c>
      <c r="B941" s="6" t="str">
        <f ca="1">VLOOKUP(A941,[2]characters!$A:$C,3,FALSE)</f>
        <v>不壊の大要塞 バスティーユ</v>
      </c>
      <c r="C941" s="9">
        <f ca="1">VLOOKUP(A941,[2]characters!$A:$I,9,FALSE)</f>
        <v>5</v>
      </c>
      <c r="D941" s="9" t="str">
        <f ca="1">VLOOKUP(A941,[2]characters!$A:$H,8,FALSE)</f>
        <v>green</v>
      </c>
      <c r="E941" s="97">
        <f ca="1">VLOOKUP(D941,[2]属性!$A:$E,2,FALSE)</f>
        <v>1.02</v>
      </c>
      <c r="F941" s="97">
        <f ca="1">VLOOKUP(D941,[2]属性!$A:$E,3,FALSE)</f>
        <v>0.98</v>
      </c>
      <c r="G941" s="97">
        <f ca="1">VLOOKUP(D941,[2]属性!$A:$F,4,FALSE)</f>
        <v>1</v>
      </c>
      <c r="H941" s="9" t="str">
        <f ca="1">VLOOKUP(A941,[2]characters!$A:$K,11,FALSE)</f>
        <v>hp</v>
      </c>
      <c r="I941" s="6" t="str">
        <f ca="1">VLOOKUP(H941,[2]character_type_i18n!$A:$F,3,FALSE)</f>
        <v>体力タイプ</v>
      </c>
      <c r="J941" s="97">
        <f ca="1">VLOOKUP(H941,[2]character_type_i18n!$A:$F,4,FALSE)</f>
        <v>1.45</v>
      </c>
      <c r="K941" s="97">
        <f ca="1">VLOOKUP(H941,[2]character_type_i18n!$A:$F,5,FALSE)</f>
        <v>0.85</v>
      </c>
      <c r="L941" s="97">
        <f ca="1">VLOOKUP(H941,[2]character_type_i18n!$A:$F,6,FALSE)</f>
        <v>1</v>
      </c>
      <c r="M941" s="9" t="str">
        <f ca="1">VLOOKUP(A941,[2]characters!$A:$M,13,FALSE)</f>
        <v>unknown</v>
      </c>
      <c r="N941" s="6" t="str">
        <f ca="1">VLOOKUP(M941,[2]character_tribe_i18n!$A:$F,3,FALSE)</f>
        <v>Unknown</v>
      </c>
      <c r="O941" s="97">
        <f ca="1">VLOOKUP(M941,[2]character_tribe_i18n!$A:$F,4,FALSE)</f>
        <v>1</v>
      </c>
      <c r="P941" s="97">
        <f ca="1">VLOOKUP(M941,[2]character_tribe_i18n!$A:$F,5,FALSE)</f>
        <v>1</v>
      </c>
      <c r="Q941" s="97">
        <f ca="1">VLOOKUP(M941,[2]character_tribe_i18n!$A:$F,6,FALSE)</f>
        <v>1</v>
      </c>
      <c r="R941" s="98" t="s">
        <v>98</v>
      </c>
      <c r="S941" s="97">
        <f>VLOOKUP($R941,ラベル別係数!$A$1:$E$7,3,FALSE)</f>
        <v>5</v>
      </c>
      <c r="T941" s="97">
        <f>VLOOKUP($R941,ラベル別係数!$A$1:$E$7,4,FALSE)</f>
        <v>1.3</v>
      </c>
      <c r="U941" s="97">
        <f>VLOOKUP($R941,ラベル別係数!$A$1:$E$7,5,FALSE)</f>
        <v>0.8</v>
      </c>
      <c r="V941" s="98">
        <v>3</v>
      </c>
      <c r="W941" s="99">
        <f>VLOOKUP(V941,ターン数別攻撃係数!$A$1:$B$1000,2,FALSE)</f>
        <v>1</v>
      </c>
      <c r="X941" s="9">
        <f ca="1">VLOOKUP(C941,サイズ別係数!A$2:B$9,2,FALSE)</f>
        <v>60</v>
      </c>
      <c r="Y941" s="97">
        <f ca="1">VLOOKUP($X941,サイズ別係数!$B:$E,2,FALSE)</f>
        <v>1.7</v>
      </c>
      <c r="Z941" s="97">
        <f ca="1">VLOOKUP($X941,サイズ別係数!$B:$E,3,FALSE)</f>
        <v>1.4</v>
      </c>
      <c r="AA941" s="97">
        <f ca="1">VLOOKUP($X941,サイズ別係数!$B:$E,4,FALSE)</f>
        <v>1</v>
      </c>
      <c r="AB941" s="10">
        <v>0</v>
      </c>
      <c r="AC941" s="6" t="str">
        <f ca="1">VLOOKUP($AB941,OFFSET([3]enemy_skill_sets!$B$2,0,0,COUNTA([3]enemy_skill_sets!$A:$A),MATCH(AC$1,[3]enemy_skill_sets!$1:$1,0)-MATCH($AB$1,[3]enemy_skill_sets!$1:$1,0)+1),MATCH(AC$1,[3]enemy_skill_sets!$1:$1,0)-MATCH($AB$1,[3]enemy_skill_sets!$1:$1,0)+1,FALSE)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1" s="67">
        <v>1</v>
      </c>
      <c r="AE941" s="67">
        <v>1</v>
      </c>
      <c r="AF941" s="68">
        <v>0</v>
      </c>
      <c r="AG941" s="99">
        <f ca="1">ROUND(VLOOKUP(1,enemy_base_stats!$A:$F,2,FALSE) * Y941* J941*O941*E941*S941*AD941*[2]ステータス!$B$2,0)</f>
        <v>6286</v>
      </c>
      <c r="AH941" s="99">
        <f ca="1">ROUND(VLOOKUP(1,enemy_base_stats!$A:$F,3,FALSE) * Z941*K941*P941*F941*T941*AE941 * W941*[2]ステータス!$C$2,0)</f>
        <v>227</v>
      </c>
      <c r="AI941" s="99">
        <f ca="1">ROUND(VLOOKUP(1,enemy_base_stats!$A:$F,4,FALSE) * AA941*L941*Q941*G941*U941*AF941*[2]ステータス!$D$2,0)</f>
        <v>0</v>
      </c>
      <c r="AJ941" s="99">
        <f ca="1">ROUND(VLOOKUP(100,enemy_base_stats!$A:$F,2,FALSE) * Y941* J941*O941*E941*S941*AD941*[2]ステータス!$B$2,0)</f>
        <v>255201</v>
      </c>
      <c r="AK941" s="99">
        <f ca="1">ROUND(VLOOKUP(100,enemy_base_stats!$A:$F,3,FALSE)* Z941* K941*P941*F941*T941*AE941 * W941*[2]ステータス!$C$2,0)</f>
        <v>9233</v>
      </c>
      <c r="AL941" s="99">
        <f ca="1">ROUND(VLOOKUP(100,enemy_base_stats!$A:$F,4,FALSE)* AA941* L941*Q941*G941*U941*AF941*[2]ステータス!$D$2,0)</f>
        <v>0</v>
      </c>
      <c r="AM941" s="97">
        <f ca="1">VLOOKUP(M941,[2]character_tribe_i18n!$A:$I,9,FALSE)</f>
        <v>340</v>
      </c>
      <c r="AN941" s="97">
        <v>0</v>
      </c>
      <c r="AO941" s="98">
        <v>0</v>
      </c>
      <c r="AP941" s="58" t="s">
        <v>72</v>
      </c>
      <c r="AQ941" s="34">
        <f t="shared" ca="1" si="53"/>
        <v>940</v>
      </c>
    </row>
    <row r="942" spans="1:43" ht="21" customHeight="1" x14ac:dyDescent="0.15">
      <c r="A942" s="7">
        <f t="shared" ca="1" si="52"/>
        <v>941</v>
      </c>
      <c r="B942" s="6" t="str">
        <f ca="1">VLOOKUP(A942,[2]characters!$A:$C,3,FALSE)</f>
        <v>アントワネット</v>
      </c>
      <c r="C942" s="9">
        <f ca="1">VLOOKUP(A942,[2]characters!$A:$I,9,FALSE)</f>
        <v>5</v>
      </c>
      <c r="D942" s="9" t="str">
        <f ca="1">VLOOKUP(A942,[2]characters!$A:$H,8,FALSE)</f>
        <v>blue</v>
      </c>
      <c r="E942" s="97">
        <f ca="1">VLOOKUP(D942,[2]属性!$A:$E,2,FALSE)</f>
        <v>1</v>
      </c>
      <c r="F942" s="97">
        <f ca="1">VLOOKUP(D942,[2]属性!$A:$E,3,FALSE)</f>
        <v>0.98</v>
      </c>
      <c r="G942" s="97">
        <f ca="1">VLOOKUP(D942,[2]属性!$A:$F,4,FALSE)</f>
        <v>1</v>
      </c>
      <c r="H942" s="9" t="str">
        <f ca="1">VLOOKUP(A942,[2]characters!$A:$K,11,FALSE)</f>
        <v>technical</v>
      </c>
      <c r="I942" s="6" t="str">
        <f ca="1">VLOOKUP(H942,[2]character_type_i18n!$A:$F,3,FALSE)</f>
        <v>テクニカルタイプ</v>
      </c>
      <c r="J942" s="97">
        <f ca="1">VLOOKUP(H942,[2]character_type_i18n!$A:$F,4,FALSE)</f>
        <v>0.9</v>
      </c>
      <c r="K942" s="97">
        <f ca="1">VLOOKUP(H942,[2]character_type_i18n!$A:$F,5,FALSE)</f>
        <v>0.9</v>
      </c>
      <c r="L942" s="97">
        <f ca="1">VLOOKUP(H942,[2]character_type_i18n!$A:$F,6,FALSE)</f>
        <v>1</v>
      </c>
      <c r="M942" s="9" t="str">
        <f ca="1">VLOOKUP(A942,[2]characters!$A:$M,13,FALSE)</f>
        <v>human</v>
      </c>
      <c r="N942" s="6" t="str">
        <f ca="1">VLOOKUP(M942,[2]character_tribe_i18n!$A:$F,3,FALSE)</f>
        <v>ヒューマン</v>
      </c>
      <c r="O942" s="97">
        <f ca="1">VLOOKUP(M942,[2]character_tribe_i18n!$A:$F,4,FALSE)</f>
        <v>0.94</v>
      </c>
      <c r="P942" s="97">
        <f ca="1">VLOOKUP(M942,[2]character_tribe_i18n!$A:$F,5,FALSE)</f>
        <v>0.99</v>
      </c>
      <c r="Q942" s="97">
        <f ca="1">VLOOKUP(M942,[2]character_tribe_i18n!$A:$F,6,FALSE)</f>
        <v>1</v>
      </c>
      <c r="R942" s="98" t="s">
        <v>98</v>
      </c>
      <c r="S942" s="97">
        <f>VLOOKUP($R942,ラベル別係数!$A$1:$E$7,3,FALSE)</f>
        <v>5</v>
      </c>
      <c r="T942" s="97">
        <f>VLOOKUP($R942,ラベル別係数!$A$1:$E$7,4,FALSE)</f>
        <v>1.3</v>
      </c>
      <c r="U942" s="97">
        <f>VLOOKUP($R942,ラベル別係数!$A$1:$E$7,5,FALSE)</f>
        <v>0.8</v>
      </c>
      <c r="V942" s="98">
        <v>3</v>
      </c>
      <c r="W942" s="99">
        <f>VLOOKUP(V942,ターン数別攻撃係数!$A$1:$B$1000,2,FALSE)</f>
        <v>1</v>
      </c>
      <c r="X942" s="9">
        <f ca="1">VLOOKUP(C942,サイズ別係数!A$2:B$9,2,FALSE)</f>
        <v>60</v>
      </c>
      <c r="Y942" s="97">
        <f ca="1">VLOOKUP($X942,サイズ別係数!$B:$E,2,FALSE)</f>
        <v>1.7</v>
      </c>
      <c r="Z942" s="97">
        <f ca="1">VLOOKUP($X942,サイズ別係数!$B:$E,3,FALSE)</f>
        <v>1.4</v>
      </c>
      <c r="AA942" s="97">
        <f ca="1">VLOOKUP($X942,サイズ別係数!$B:$E,4,FALSE)</f>
        <v>1</v>
      </c>
      <c r="AB942" s="10">
        <v>0</v>
      </c>
      <c r="AC942" s="6" t="str">
        <f ca="1">VLOOKUP($AB942,OFFSET([3]enemy_skill_sets!$B$2,0,0,COUNTA([3]enemy_skill_sets!$A:$A),MATCH(AC$1,[3]enemy_skill_sets!$1:$1,0)-MATCH($AB$1,[3]enemy_skill_sets!$1:$1,0)+1),MATCH(AC$1,[3]enemy_skill_sets!$1:$1,0)-MATCH($AB$1,[3]enemy_skill_sets!$1:$1,0)+1,FALSE)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2" s="67">
        <v>1</v>
      </c>
      <c r="AE942" s="67">
        <v>1</v>
      </c>
      <c r="AF942" s="68">
        <v>0</v>
      </c>
      <c r="AG942" s="99">
        <f ca="1">ROUND(VLOOKUP(1,enemy_base_stats!$A:$F,2,FALSE) * Y942* J942*O942*E942*S942*AD942*[2]ステータス!$B$2,0)</f>
        <v>3596</v>
      </c>
      <c r="AH942" s="99">
        <f ca="1">ROUND(VLOOKUP(1,enemy_base_stats!$A:$F,3,FALSE) * Z942*K942*P942*F942*T942*AE942 * W942*[2]ステータス!$C$2,0)</f>
        <v>238</v>
      </c>
      <c r="AI942" s="99">
        <f ca="1">ROUND(VLOOKUP(1,enemy_base_stats!$A:$F,4,FALSE) * AA942*L942*Q942*G942*U942*AF942*[2]ステータス!$D$2,0)</f>
        <v>0</v>
      </c>
      <c r="AJ942" s="99">
        <f ca="1">ROUND(VLOOKUP(100,enemy_base_stats!$A:$F,2,FALSE) * Y942* J942*O942*E942*S942*AD942*[2]ステータス!$B$2,0)</f>
        <v>145977</v>
      </c>
      <c r="AK942" s="99">
        <f ca="1">ROUND(VLOOKUP(100,enemy_base_stats!$A:$F,3,FALSE)* Z942* K942*P942*F942*T942*AE942 * W942*[2]ステータス!$C$2,0)</f>
        <v>9678</v>
      </c>
      <c r="AL942" s="99">
        <f ca="1">ROUND(VLOOKUP(100,enemy_base_stats!$A:$F,4,FALSE)* AA942* L942*Q942*G942*U942*AF942*[2]ステータス!$D$2,0)</f>
        <v>0</v>
      </c>
      <c r="AM942" s="97">
        <f ca="1">VLOOKUP(M942,[2]character_tribe_i18n!$A:$I,9,FALSE)</f>
        <v>400</v>
      </c>
      <c r="AN942" s="97">
        <v>0</v>
      </c>
      <c r="AO942" s="98">
        <v>0</v>
      </c>
      <c r="AP942" s="58" t="s">
        <v>72</v>
      </c>
      <c r="AQ942" s="34">
        <f t="shared" ca="1" si="53"/>
        <v>941</v>
      </c>
    </row>
    <row r="943" spans="1:43" ht="21" customHeight="1" x14ac:dyDescent="0.15">
      <c r="A943" s="7">
        <f t="shared" ca="1" si="52"/>
        <v>942</v>
      </c>
      <c r="B943" s="6" t="str">
        <f ca="1">VLOOKUP(A943,[2]characters!$A:$C,3,FALSE)</f>
        <v>華戯たる傲妃 アントワネット</v>
      </c>
      <c r="C943" s="9">
        <f ca="1">VLOOKUP(A943,[2]characters!$A:$I,9,FALSE)</f>
        <v>6</v>
      </c>
      <c r="D943" s="9" t="str">
        <f ca="1">VLOOKUP(A943,[2]characters!$A:$H,8,FALSE)</f>
        <v>blue</v>
      </c>
      <c r="E943" s="97">
        <f ca="1">VLOOKUP(D943,[2]属性!$A:$E,2,FALSE)</f>
        <v>1</v>
      </c>
      <c r="F943" s="97">
        <f ca="1">VLOOKUP(D943,[2]属性!$A:$E,3,FALSE)</f>
        <v>0.98</v>
      </c>
      <c r="G943" s="97">
        <f ca="1">VLOOKUP(D943,[2]属性!$A:$F,4,FALSE)</f>
        <v>1</v>
      </c>
      <c r="H943" s="9" t="str">
        <f ca="1">VLOOKUP(A943,[2]characters!$A:$K,11,FALSE)</f>
        <v>technical</v>
      </c>
      <c r="I943" s="6" t="str">
        <f ca="1">VLOOKUP(H943,[2]character_type_i18n!$A:$F,3,FALSE)</f>
        <v>テクニカルタイプ</v>
      </c>
      <c r="J943" s="97">
        <f ca="1">VLOOKUP(H943,[2]character_type_i18n!$A:$F,4,FALSE)</f>
        <v>0.9</v>
      </c>
      <c r="K943" s="97">
        <f ca="1">VLOOKUP(H943,[2]character_type_i18n!$A:$F,5,FALSE)</f>
        <v>0.9</v>
      </c>
      <c r="L943" s="97">
        <f ca="1">VLOOKUP(H943,[2]character_type_i18n!$A:$F,6,FALSE)</f>
        <v>1</v>
      </c>
      <c r="M943" s="9" t="str">
        <f ca="1">VLOOKUP(A943,[2]characters!$A:$M,13,FALSE)</f>
        <v>human</v>
      </c>
      <c r="N943" s="6" t="str">
        <f ca="1">VLOOKUP(M943,[2]character_tribe_i18n!$A:$F,3,FALSE)</f>
        <v>ヒューマン</v>
      </c>
      <c r="O943" s="97">
        <f ca="1">VLOOKUP(M943,[2]character_tribe_i18n!$A:$F,4,FALSE)</f>
        <v>0.94</v>
      </c>
      <c r="P943" s="97">
        <f ca="1">VLOOKUP(M943,[2]character_tribe_i18n!$A:$F,5,FALSE)</f>
        <v>0.99</v>
      </c>
      <c r="Q943" s="97">
        <f ca="1">VLOOKUP(M943,[2]character_tribe_i18n!$A:$F,6,FALSE)</f>
        <v>1</v>
      </c>
      <c r="R943" s="98" t="s">
        <v>98</v>
      </c>
      <c r="S943" s="97">
        <f>VLOOKUP($R943,ラベル別係数!$A$1:$E$7,3,FALSE)</f>
        <v>5</v>
      </c>
      <c r="T943" s="97">
        <f>VLOOKUP($R943,ラベル別係数!$A$1:$E$7,4,FALSE)</f>
        <v>1.3</v>
      </c>
      <c r="U943" s="97">
        <f>VLOOKUP($R943,ラベル別係数!$A$1:$E$7,5,FALSE)</f>
        <v>0.8</v>
      </c>
      <c r="V943" s="98">
        <v>3</v>
      </c>
      <c r="W943" s="99">
        <f>VLOOKUP(V943,ターン数別攻撃係数!$A$1:$B$1000,2,FALSE)</f>
        <v>1</v>
      </c>
      <c r="X943" s="9">
        <f ca="1">VLOOKUP(C943,サイズ別係数!A$2:B$9,2,FALSE)</f>
        <v>60</v>
      </c>
      <c r="Y943" s="97">
        <f ca="1">VLOOKUP($X943,サイズ別係数!$B:$E,2,FALSE)</f>
        <v>1.7</v>
      </c>
      <c r="Z943" s="97">
        <f ca="1">VLOOKUP($X943,サイズ別係数!$B:$E,3,FALSE)</f>
        <v>1.4</v>
      </c>
      <c r="AA943" s="97">
        <f ca="1">VLOOKUP($X943,サイズ別係数!$B:$E,4,FALSE)</f>
        <v>1</v>
      </c>
      <c r="AB943" s="10">
        <v>0</v>
      </c>
      <c r="AC943" s="6" t="str">
        <f ca="1">VLOOKUP($AB943,OFFSET([3]enemy_skill_sets!$B$2,0,0,COUNTA([3]enemy_skill_sets!$A:$A),MATCH(AC$1,[3]enemy_skill_sets!$1:$1,0)-MATCH($AB$1,[3]enemy_skill_sets!$1:$1,0)+1),MATCH(AC$1,[3]enemy_skill_sets!$1:$1,0)-MATCH($AB$1,[3]enemy_skill_sets!$1:$1,0)+1,FALSE)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3" s="67">
        <v>1</v>
      </c>
      <c r="AE943" s="67">
        <v>1</v>
      </c>
      <c r="AF943" s="68">
        <v>0</v>
      </c>
      <c r="AG943" s="99">
        <f ca="1">ROUND(VLOOKUP(1,enemy_base_stats!$A:$F,2,FALSE) * Y943* J943*O943*E943*S943*AD943*[2]ステータス!$B$2,0)</f>
        <v>3596</v>
      </c>
      <c r="AH943" s="99">
        <f ca="1">ROUND(VLOOKUP(1,enemy_base_stats!$A:$F,3,FALSE) * Z943*K943*P943*F943*T943*AE943 * W943*[2]ステータス!$C$2,0)</f>
        <v>238</v>
      </c>
      <c r="AI943" s="99">
        <f ca="1">ROUND(VLOOKUP(1,enemy_base_stats!$A:$F,4,FALSE) * AA943*L943*Q943*G943*U943*AF943*[2]ステータス!$D$2,0)</f>
        <v>0</v>
      </c>
      <c r="AJ943" s="99">
        <f ca="1">ROUND(VLOOKUP(100,enemy_base_stats!$A:$F,2,FALSE) * Y943* J943*O943*E943*S943*AD943*[2]ステータス!$B$2,0)</f>
        <v>145977</v>
      </c>
      <c r="AK943" s="99">
        <f ca="1">ROUND(VLOOKUP(100,enemy_base_stats!$A:$F,3,FALSE)* Z943* K943*P943*F943*T943*AE943 * W943*[2]ステータス!$C$2,0)</f>
        <v>9678</v>
      </c>
      <c r="AL943" s="99">
        <f ca="1">ROUND(VLOOKUP(100,enemy_base_stats!$A:$F,4,FALSE)* AA943* L943*Q943*G943*U943*AF943*[2]ステータス!$D$2,0)</f>
        <v>0</v>
      </c>
      <c r="AM943" s="97">
        <f ca="1">VLOOKUP(M943,[2]character_tribe_i18n!$A:$I,9,FALSE)</f>
        <v>400</v>
      </c>
      <c r="AN943" s="97">
        <v>0</v>
      </c>
      <c r="AO943" s="98">
        <v>0</v>
      </c>
      <c r="AP943" s="58" t="s">
        <v>72</v>
      </c>
      <c r="AQ943" s="34">
        <f t="shared" ca="1" si="53"/>
        <v>942</v>
      </c>
    </row>
    <row r="944" spans="1:43" ht="21" customHeight="1" x14ac:dyDescent="0.15">
      <c r="A944" s="7">
        <f t="shared" ca="1" si="52"/>
        <v>943</v>
      </c>
      <c r="B944" s="6" t="str">
        <f ca="1">VLOOKUP(A944,[2]characters!$A:$C,3,FALSE)</f>
        <v>サンソン</v>
      </c>
      <c r="C944" s="9">
        <f ca="1">VLOOKUP(A944,[2]characters!$A:$I,9,FALSE)</f>
        <v>5</v>
      </c>
      <c r="D944" s="9" t="str">
        <f ca="1">VLOOKUP(A944,[2]characters!$A:$H,8,FALSE)</f>
        <v>yellow</v>
      </c>
      <c r="E944" s="97">
        <f ca="1">VLOOKUP(D944,[2]属性!$A:$E,2,FALSE)</f>
        <v>0.98</v>
      </c>
      <c r="F944" s="97">
        <f ca="1">VLOOKUP(D944,[2]属性!$A:$E,3,FALSE)</f>
        <v>1.01</v>
      </c>
      <c r="G944" s="97">
        <f ca="1">VLOOKUP(D944,[2]属性!$A:$F,4,FALSE)</f>
        <v>1</v>
      </c>
      <c r="H944" s="9" t="str">
        <f ca="1">VLOOKUP(A944,[2]characters!$A:$K,11,FALSE)</f>
        <v>attack</v>
      </c>
      <c r="I944" s="6" t="str">
        <f ca="1">VLOOKUP(H944,[2]character_type_i18n!$A:$F,3,FALSE)</f>
        <v>攻撃タイプ</v>
      </c>
      <c r="J944" s="97">
        <f ca="1">VLOOKUP(H944,[2]character_type_i18n!$A:$F,4,FALSE)</f>
        <v>1</v>
      </c>
      <c r="K944" s="97">
        <f ca="1">VLOOKUP(H944,[2]character_type_i18n!$A:$F,5,FALSE)</f>
        <v>1.33</v>
      </c>
      <c r="L944" s="97">
        <f ca="1">VLOOKUP(H944,[2]character_type_i18n!$A:$F,6,FALSE)</f>
        <v>1</v>
      </c>
      <c r="M944" s="9" t="str">
        <f ca="1">VLOOKUP(A944,[2]characters!$A:$M,13,FALSE)</f>
        <v>human</v>
      </c>
      <c r="N944" s="6" t="str">
        <f ca="1">VLOOKUP(M944,[2]character_tribe_i18n!$A:$F,3,FALSE)</f>
        <v>ヒューマン</v>
      </c>
      <c r="O944" s="97">
        <f ca="1">VLOOKUP(M944,[2]character_tribe_i18n!$A:$F,4,FALSE)</f>
        <v>0.94</v>
      </c>
      <c r="P944" s="97">
        <f ca="1">VLOOKUP(M944,[2]character_tribe_i18n!$A:$F,5,FALSE)</f>
        <v>0.99</v>
      </c>
      <c r="Q944" s="97">
        <f ca="1">VLOOKUP(M944,[2]character_tribe_i18n!$A:$F,6,FALSE)</f>
        <v>1</v>
      </c>
      <c r="R944" s="98" t="s">
        <v>98</v>
      </c>
      <c r="S944" s="97">
        <f>VLOOKUP($R944,ラベル別係数!$A$1:$E$7,3,FALSE)</f>
        <v>5</v>
      </c>
      <c r="T944" s="97">
        <f>VLOOKUP($R944,ラベル別係数!$A$1:$E$7,4,FALSE)</f>
        <v>1.3</v>
      </c>
      <c r="U944" s="97">
        <f>VLOOKUP($R944,ラベル別係数!$A$1:$E$7,5,FALSE)</f>
        <v>0.8</v>
      </c>
      <c r="V944" s="98">
        <v>3</v>
      </c>
      <c r="W944" s="99">
        <f>VLOOKUP(V944,ターン数別攻撃係数!$A$1:$B$1000,2,FALSE)</f>
        <v>1</v>
      </c>
      <c r="X944" s="9">
        <f ca="1">VLOOKUP(C944,サイズ別係数!A$2:B$9,2,FALSE)</f>
        <v>60</v>
      </c>
      <c r="Y944" s="97">
        <f ca="1">VLOOKUP($X944,サイズ別係数!$B:$E,2,FALSE)</f>
        <v>1.7</v>
      </c>
      <c r="Z944" s="97">
        <f ca="1">VLOOKUP($X944,サイズ別係数!$B:$E,3,FALSE)</f>
        <v>1.4</v>
      </c>
      <c r="AA944" s="97">
        <f ca="1">VLOOKUP($X944,サイズ別係数!$B:$E,4,FALSE)</f>
        <v>1</v>
      </c>
      <c r="AB944" s="10">
        <v>0</v>
      </c>
      <c r="AC944" s="6" t="str">
        <f ca="1">VLOOKUP($AB944,OFFSET([3]enemy_skill_sets!$B$2,0,0,COUNTA([3]enemy_skill_sets!$A:$A),MATCH(AC$1,[3]enemy_skill_sets!$1:$1,0)-MATCH($AB$1,[3]enemy_skill_sets!$1:$1,0)+1),MATCH(AC$1,[3]enemy_skill_sets!$1:$1,0)-MATCH($AB$1,[3]enemy_skill_sets!$1:$1,0)+1,FALSE)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4" s="67">
        <v>1</v>
      </c>
      <c r="AE944" s="67">
        <v>1</v>
      </c>
      <c r="AF944" s="68">
        <v>0</v>
      </c>
      <c r="AG944" s="99">
        <f ca="1">ROUND(VLOOKUP(1,enemy_base_stats!$A:$F,2,FALSE) * Y944* J944*O944*E944*S944*AD944*[2]ステータス!$B$2,0)</f>
        <v>3915</v>
      </c>
      <c r="AH944" s="99">
        <f ca="1">ROUND(VLOOKUP(1,enemy_base_stats!$A:$F,3,FALSE) * Z944*K944*P944*F944*T944*AE944 * W944*[2]ステータス!$C$2,0)</f>
        <v>363</v>
      </c>
      <c r="AI944" s="99">
        <f ca="1">ROUND(VLOOKUP(1,enemy_base_stats!$A:$F,4,FALSE) * AA944*L944*Q944*G944*U944*AF944*[2]ステータス!$D$2,0)</f>
        <v>0</v>
      </c>
      <c r="AJ944" s="99">
        <f ca="1">ROUND(VLOOKUP(100,enemy_base_stats!$A:$F,2,FALSE) * Y944* J944*O944*E944*S944*AD944*[2]ステータス!$B$2,0)</f>
        <v>158953</v>
      </c>
      <c r="AK944" s="99">
        <f ca="1">ROUND(VLOOKUP(100,enemy_base_stats!$A:$F,3,FALSE)* Z944* K944*P944*F944*T944*AE944 * W944*[2]ステータス!$C$2,0)</f>
        <v>14740</v>
      </c>
      <c r="AL944" s="99">
        <f ca="1">ROUND(VLOOKUP(100,enemy_base_stats!$A:$F,4,FALSE)* AA944* L944*Q944*G944*U944*AF944*[2]ステータス!$D$2,0)</f>
        <v>0</v>
      </c>
      <c r="AM944" s="97">
        <f ca="1">VLOOKUP(M944,[2]character_tribe_i18n!$A:$I,9,FALSE)</f>
        <v>400</v>
      </c>
      <c r="AN944" s="97">
        <v>0</v>
      </c>
      <c r="AO944" s="98">
        <v>0</v>
      </c>
      <c r="AP944" s="58" t="s">
        <v>72</v>
      </c>
      <c r="AQ944" s="34">
        <f t="shared" ca="1" si="53"/>
        <v>943</v>
      </c>
    </row>
    <row r="945" spans="1:43" ht="21" customHeight="1" x14ac:dyDescent="0.15">
      <c r="A945" s="7">
        <f t="shared" ca="1" si="52"/>
        <v>944</v>
      </c>
      <c r="B945" s="6" t="str">
        <f ca="1">VLOOKUP(A945,[2]characters!$A:$C,3,FALSE)</f>
        <v>王敬の執行者 サンソン</v>
      </c>
      <c r="C945" s="9">
        <f ca="1">VLOOKUP(A945,[2]characters!$A:$I,9,FALSE)</f>
        <v>6</v>
      </c>
      <c r="D945" s="9" t="str">
        <f ca="1">VLOOKUP(A945,[2]characters!$A:$H,8,FALSE)</f>
        <v>yellow</v>
      </c>
      <c r="E945" s="97">
        <f ca="1">VLOOKUP(D945,[2]属性!$A:$E,2,FALSE)</f>
        <v>0.98</v>
      </c>
      <c r="F945" s="97">
        <f ca="1">VLOOKUP(D945,[2]属性!$A:$E,3,FALSE)</f>
        <v>1.01</v>
      </c>
      <c r="G945" s="97">
        <f ca="1">VLOOKUP(D945,[2]属性!$A:$F,4,FALSE)</f>
        <v>1</v>
      </c>
      <c r="H945" s="9" t="str">
        <f ca="1">VLOOKUP(A945,[2]characters!$A:$K,11,FALSE)</f>
        <v>attack</v>
      </c>
      <c r="I945" s="6" t="str">
        <f ca="1">VLOOKUP(H945,[2]character_type_i18n!$A:$F,3,FALSE)</f>
        <v>攻撃タイプ</v>
      </c>
      <c r="J945" s="97">
        <f ca="1">VLOOKUP(H945,[2]character_type_i18n!$A:$F,4,FALSE)</f>
        <v>1</v>
      </c>
      <c r="K945" s="97">
        <f ca="1">VLOOKUP(H945,[2]character_type_i18n!$A:$F,5,FALSE)</f>
        <v>1.33</v>
      </c>
      <c r="L945" s="97">
        <f ca="1">VLOOKUP(H945,[2]character_type_i18n!$A:$F,6,FALSE)</f>
        <v>1</v>
      </c>
      <c r="M945" s="9" t="str">
        <f ca="1">VLOOKUP(A945,[2]characters!$A:$M,13,FALSE)</f>
        <v>human</v>
      </c>
      <c r="N945" s="6" t="str">
        <f ca="1">VLOOKUP(M945,[2]character_tribe_i18n!$A:$F,3,FALSE)</f>
        <v>ヒューマン</v>
      </c>
      <c r="O945" s="97">
        <f ca="1">VLOOKUP(M945,[2]character_tribe_i18n!$A:$F,4,FALSE)</f>
        <v>0.94</v>
      </c>
      <c r="P945" s="97">
        <f ca="1">VLOOKUP(M945,[2]character_tribe_i18n!$A:$F,5,FALSE)</f>
        <v>0.99</v>
      </c>
      <c r="Q945" s="97">
        <f ca="1">VLOOKUP(M945,[2]character_tribe_i18n!$A:$F,6,FALSE)</f>
        <v>1</v>
      </c>
      <c r="R945" s="98" t="s">
        <v>98</v>
      </c>
      <c r="S945" s="97">
        <f>VLOOKUP($R945,ラベル別係数!$A$1:$E$7,3,FALSE)</f>
        <v>5</v>
      </c>
      <c r="T945" s="97">
        <f>VLOOKUP($R945,ラベル別係数!$A$1:$E$7,4,FALSE)</f>
        <v>1.3</v>
      </c>
      <c r="U945" s="97">
        <f>VLOOKUP($R945,ラベル別係数!$A$1:$E$7,5,FALSE)</f>
        <v>0.8</v>
      </c>
      <c r="V945" s="98">
        <v>3</v>
      </c>
      <c r="W945" s="99">
        <f>VLOOKUP(V945,ターン数別攻撃係数!$A$1:$B$1000,2,FALSE)</f>
        <v>1</v>
      </c>
      <c r="X945" s="9">
        <f ca="1">VLOOKUP(C945,サイズ別係数!A$2:B$9,2,FALSE)</f>
        <v>60</v>
      </c>
      <c r="Y945" s="97">
        <f ca="1">VLOOKUP($X945,サイズ別係数!$B:$E,2,FALSE)</f>
        <v>1.7</v>
      </c>
      <c r="Z945" s="97">
        <f ca="1">VLOOKUP($X945,サイズ別係数!$B:$E,3,FALSE)</f>
        <v>1.4</v>
      </c>
      <c r="AA945" s="97">
        <f ca="1">VLOOKUP($X945,サイズ別係数!$B:$E,4,FALSE)</f>
        <v>1</v>
      </c>
      <c r="AB945" s="10">
        <v>0</v>
      </c>
      <c r="AC945" s="6" t="str">
        <f ca="1">VLOOKUP($AB945,OFFSET([3]enemy_skill_sets!$B$2,0,0,COUNTA([3]enemy_skill_sets!$A:$A),MATCH(AC$1,[3]enemy_skill_sets!$1:$1,0)-MATCH($AB$1,[3]enemy_skill_sets!$1:$1,0)+1),MATCH(AC$1,[3]enemy_skill_sets!$1:$1,0)-MATCH($AB$1,[3]enemy_skill_sets!$1:$1,0)+1,FALSE)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5" s="67">
        <v>1</v>
      </c>
      <c r="AE945" s="67">
        <v>1</v>
      </c>
      <c r="AF945" s="68">
        <v>0</v>
      </c>
      <c r="AG945" s="99">
        <f ca="1">ROUND(VLOOKUP(1,enemy_base_stats!$A:$F,2,FALSE) * Y945* J945*O945*E945*S945*AD945*[2]ステータス!$B$2,0)</f>
        <v>3915</v>
      </c>
      <c r="AH945" s="99">
        <f ca="1">ROUND(VLOOKUP(1,enemy_base_stats!$A:$F,3,FALSE) * Z945*K945*P945*F945*T945*AE945 * W945*[2]ステータス!$C$2,0)</f>
        <v>363</v>
      </c>
      <c r="AI945" s="99">
        <f ca="1">ROUND(VLOOKUP(1,enemy_base_stats!$A:$F,4,FALSE) * AA945*L945*Q945*G945*U945*AF945*[2]ステータス!$D$2,0)</f>
        <v>0</v>
      </c>
      <c r="AJ945" s="99">
        <f ca="1">ROUND(VLOOKUP(100,enemy_base_stats!$A:$F,2,FALSE) * Y945* J945*O945*E945*S945*AD945*[2]ステータス!$B$2,0)</f>
        <v>158953</v>
      </c>
      <c r="AK945" s="99">
        <f ca="1">ROUND(VLOOKUP(100,enemy_base_stats!$A:$F,3,FALSE)* Z945* K945*P945*F945*T945*AE945 * W945*[2]ステータス!$C$2,0)</f>
        <v>14740</v>
      </c>
      <c r="AL945" s="99">
        <f ca="1">ROUND(VLOOKUP(100,enemy_base_stats!$A:$F,4,FALSE)* AA945* L945*Q945*G945*U945*AF945*[2]ステータス!$D$2,0)</f>
        <v>0</v>
      </c>
      <c r="AM945" s="97">
        <f ca="1">VLOOKUP(M945,[2]character_tribe_i18n!$A:$I,9,FALSE)</f>
        <v>400</v>
      </c>
      <c r="AN945" s="97">
        <v>0</v>
      </c>
      <c r="AO945" s="98">
        <v>0</v>
      </c>
      <c r="AP945" s="58" t="s">
        <v>72</v>
      </c>
      <c r="AQ945" s="34">
        <f t="shared" ca="1" si="53"/>
        <v>944</v>
      </c>
    </row>
    <row r="946" spans="1:43" ht="21" customHeight="1" x14ac:dyDescent="0.15">
      <c r="A946" s="7">
        <f t="shared" ca="1" si="52"/>
        <v>945</v>
      </c>
      <c r="B946" s="6" t="str">
        <f ca="1">VLOOKUP(A946,[2]characters!$A:$C,3,FALSE)</f>
        <v>ブリューナク</v>
      </c>
      <c r="C946" s="9">
        <f ca="1">VLOOKUP(A946,[2]characters!$A:$I,9,FALSE)</f>
        <v>5</v>
      </c>
      <c r="D946" s="9" t="str">
        <f ca="1">VLOOKUP(A946,[2]characters!$A:$H,8,FALSE)</f>
        <v>red</v>
      </c>
      <c r="E946" s="97">
        <f ca="1">VLOOKUP(D946,[2]属性!$A:$E,2,FALSE)</f>
        <v>1</v>
      </c>
      <c r="F946" s="97">
        <f ca="1">VLOOKUP(D946,[2]属性!$A:$E,3,FALSE)</f>
        <v>1.02</v>
      </c>
      <c r="G946" s="97">
        <f ca="1">VLOOKUP(D946,[2]属性!$A:$F,4,FALSE)</f>
        <v>1</v>
      </c>
      <c r="H946" s="9" t="str">
        <f ca="1">VLOOKUP(A946,[2]characters!$A:$K,11,FALSE)</f>
        <v>attack</v>
      </c>
      <c r="I946" s="6" t="str">
        <f ca="1">VLOOKUP(H946,[2]character_type_i18n!$A:$F,3,FALSE)</f>
        <v>攻撃タイプ</v>
      </c>
      <c r="J946" s="97">
        <f ca="1">VLOOKUP(H946,[2]character_type_i18n!$A:$F,4,FALSE)</f>
        <v>1</v>
      </c>
      <c r="K946" s="97">
        <f ca="1">VLOOKUP(H946,[2]character_type_i18n!$A:$F,5,FALSE)</f>
        <v>1.33</v>
      </c>
      <c r="L946" s="97">
        <f ca="1">VLOOKUP(H946,[2]character_type_i18n!$A:$F,6,FALSE)</f>
        <v>1</v>
      </c>
      <c r="M946" s="9" t="str">
        <f ca="1">VLOOKUP(A946,[2]characters!$A:$M,13,FALSE)</f>
        <v>academia</v>
      </c>
      <c r="N946" s="6" t="str">
        <f ca="1">VLOOKUP(M946,[2]character_tribe_i18n!$A:$F,3,FALSE)</f>
        <v>アカデミア</v>
      </c>
      <c r="O946" s="97">
        <f ca="1">VLOOKUP(M946,[2]character_tribe_i18n!$A:$F,4,FALSE)</f>
        <v>1</v>
      </c>
      <c r="P946" s="97">
        <f ca="1">VLOOKUP(M946,[2]character_tribe_i18n!$A:$F,5,FALSE)</f>
        <v>1</v>
      </c>
      <c r="Q946" s="97">
        <f ca="1">VLOOKUP(M946,[2]character_tribe_i18n!$A:$F,6,FALSE)</f>
        <v>1</v>
      </c>
      <c r="R946" s="98" t="s">
        <v>98</v>
      </c>
      <c r="S946" s="97">
        <f>VLOOKUP($R946,ラベル別係数!$A$1:$E$7,3,FALSE)</f>
        <v>5</v>
      </c>
      <c r="T946" s="97">
        <f>VLOOKUP($R946,ラベル別係数!$A$1:$E$7,4,FALSE)</f>
        <v>1.3</v>
      </c>
      <c r="U946" s="97">
        <f>VLOOKUP($R946,ラベル別係数!$A$1:$E$7,5,FALSE)</f>
        <v>0.8</v>
      </c>
      <c r="V946" s="98">
        <v>3</v>
      </c>
      <c r="W946" s="99">
        <f>VLOOKUP(V946,ターン数別攻撃係数!$A$1:$B$1000,2,FALSE)</f>
        <v>1</v>
      </c>
      <c r="X946" s="9">
        <f ca="1">VLOOKUP(C946,サイズ別係数!A$2:B$9,2,FALSE)</f>
        <v>60</v>
      </c>
      <c r="Y946" s="97">
        <f ca="1">VLOOKUP($X946,サイズ別係数!$B:$E,2,FALSE)</f>
        <v>1.7</v>
      </c>
      <c r="Z946" s="97">
        <f ca="1">VLOOKUP($X946,サイズ別係数!$B:$E,3,FALSE)</f>
        <v>1.4</v>
      </c>
      <c r="AA946" s="97">
        <f ca="1">VLOOKUP($X946,サイズ別係数!$B:$E,4,FALSE)</f>
        <v>1</v>
      </c>
      <c r="AB946" s="10">
        <v>0</v>
      </c>
      <c r="AC946" s="6" t="str">
        <f ca="1">VLOOKUP($AB946,OFFSET([3]enemy_skill_sets!$B$2,0,0,COUNTA([3]enemy_skill_sets!$A:$A),MATCH(AC$1,[3]enemy_skill_sets!$1:$1,0)-MATCH($AB$1,[3]enemy_skill_sets!$1:$1,0)+1),MATCH(AC$1,[3]enemy_skill_sets!$1:$1,0)-MATCH($AB$1,[3]enemy_skill_sets!$1:$1,0)+1,FALSE)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6" s="67">
        <v>1</v>
      </c>
      <c r="AE946" s="67">
        <v>1</v>
      </c>
      <c r="AF946" s="68">
        <v>0</v>
      </c>
      <c r="AG946" s="99">
        <f ca="1">ROUND(VLOOKUP(1,enemy_base_stats!$A:$F,2,FALSE) * Y946* J946*O946*E946*S946*AD946*[2]ステータス!$B$2,0)</f>
        <v>4250</v>
      </c>
      <c r="AH946" s="99">
        <f ca="1">ROUND(VLOOKUP(1,enemy_base_stats!$A:$F,3,FALSE) * Z946*K946*P946*F946*T946*AE946 * W946*[2]ステータス!$C$2,0)</f>
        <v>370</v>
      </c>
      <c r="AI946" s="99">
        <f ca="1">ROUND(VLOOKUP(1,enemy_base_stats!$A:$F,4,FALSE) * AA946*L946*Q946*G946*U946*AF946*[2]ステータス!$D$2,0)</f>
        <v>0</v>
      </c>
      <c r="AJ946" s="99">
        <f ca="1">ROUND(VLOOKUP(100,enemy_base_stats!$A:$F,2,FALSE) * Y946* J946*O946*E946*S946*AD946*[2]ステータス!$B$2,0)</f>
        <v>172550</v>
      </c>
      <c r="AK946" s="99">
        <f ca="1">ROUND(VLOOKUP(100,enemy_base_stats!$A:$F,3,FALSE)* Z946* K946*P946*F946*T946*AE946 * W946*[2]ステータス!$C$2,0)</f>
        <v>15036</v>
      </c>
      <c r="AL946" s="99">
        <f ca="1">ROUND(VLOOKUP(100,enemy_base_stats!$A:$F,4,FALSE)* AA946* L946*Q946*G946*U946*AF946*[2]ステータス!$D$2,0)</f>
        <v>0</v>
      </c>
      <c r="AM946" s="97">
        <f ca="1">VLOOKUP(M946,[2]character_tribe_i18n!$A:$I,9,FALSE)</f>
        <v>400</v>
      </c>
      <c r="AN946" s="97">
        <v>0</v>
      </c>
      <c r="AO946" s="98">
        <v>0</v>
      </c>
      <c r="AP946" s="58" t="s">
        <v>72</v>
      </c>
      <c r="AQ946" s="34">
        <f t="shared" ca="1" si="53"/>
        <v>945</v>
      </c>
    </row>
    <row r="947" spans="1:43" ht="21" customHeight="1" x14ac:dyDescent="0.15">
      <c r="A947" s="7">
        <f t="shared" ca="1" si="52"/>
        <v>946</v>
      </c>
      <c r="B947" s="6" t="str">
        <f ca="1">VLOOKUP(A947,[2]characters!$A:$C,3,FALSE)</f>
        <v>ブリューナク</v>
      </c>
      <c r="C947" s="9">
        <f ca="1">VLOOKUP(A947,[2]characters!$A:$I,9,FALSE)</f>
        <v>6</v>
      </c>
      <c r="D947" s="9" t="str">
        <f ca="1">VLOOKUP(A947,[2]characters!$A:$H,8,FALSE)</f>
        <v>red</v>
      </c>
      <c r="E947" s="97">
        <f ca="1">VLOOKUP(D947,[2]属性!$A:$E,2,FALSE)</f>
        <v>1</v>
      </c>
      <c r="F947" s="97">
        <f ca="1">VLOOKUP(D947,[2]属性!$A:$E,3,FALSE)</f>
        <v>1.02</v>
      </c>
      <c r="G947" s="97">
        <f ca="1">VLOOKUP(D947,[2]属性!$A:$F,4,FALSE)</f>
        <v>1</v>
      </c>
      <c r="H947" s="9" t="str">
        <f ca="1">VLOOKUP(A947,[2]characters!$A:$K,11,FALSE)</f>
        <v>attack</v>
      </c>
      <c r="I947" s="6" t="str">
        <f ca="1">VLOOKUP(H947,[2]character_type_i18n!$A:$F,3,FALSE)</f>
        <v>攻撃タイプ</v>
      </c>
      <c r="J947" s="97">
        <f ca="1">VLOOKUP(H947,[2]character_type_i18n!$A:$F,4,FALSE)</f>
        <v>1</v>
      </c>
      <c r="K947" s="97">
        <f ca="1">VLOOKUP(H947,[2]character_type_i18n!$A:$F,5,FALSE)</f>
        <v>1.33</v>
      </c>
      <c r="L947" s="97">
        <f ca="1">VLOOKUP(H947,[2]character_type_i18n!$A:$F,6,FALSE)</f>
        <v>1</v>
      </c>
      <c r="M947" s="9" t="str">
        <f ca="1">VLOOKUP(A947,[2]characters!$A:$M,13,FALSE)</f>
        <v>academia</v>
      </c>
      <c r="N947" s="6" t="str">
        <f ca="1">VLOOKUP(M947,[2]character_tribe_i18n!$A:$F,3,FALSE)</f>
        <v>アカデミア</v>
      </c>
      <c r="O947" s="97">
        <f ca="1">VLOOKUP(M947,[2]character_tribe_i18n!$A:$F,4,FALSE)</f>
        <v>1</v>
      </c>
      <c r="P947" s="97">
        <f ca="1">VLOOKUP(M947,[2]character_tribe_i18n!$A:$F,5,FALSE)</f>
        <v>1</v>
      </c>
      <c r="Q947" s="97">
        <f ca="1">VLOOKUP(M947,[2]character_tribe_i18n!$A:$F,6,FALSE)</f>
        <v>1</v>
      </c>
      <c r="R947" s="98" t="s">
        <v>98</v>
      </c>
      <c r="S947" s="97">
        <f>VLOOKUP($R947,ラベル別係数!$A$1:$E$7,3,FALSE)</f>
        <v>5</v>
      </c>
      <c r="T947" s="97">
        <f>VLOOKUP($R947,ラベル別係数!$A$1:$E$7,4,FALSE)</f>
        <v>1.3</v>
      </c>
      <c r="U947" s="97">
        <f>VLOOKUP($R947,ラベル別係数!$A$1:$E$7,5,FALSE)</f>
        <v>0.8</v>
      </c>
      <c r="V947" s="98">
        <v>3</v>
      </c>
      <c r="W947" s="99">
        <f>VLOOKUP(V947,ターン数別攻撃係数!$A$1:$B$1000,2,FALSE)</f>
        <v>1</v>
      </c>
      <c r="X947" s="9">
        <f ca="1">VLOOKUP(C947,サイズ別係数!A$2:B$9,2,FALSE)</f>
        <v>60</v>
      </c>
      <c r="Y947" s="97">
        <f ca="1">VLOOKUP($X947,サイズ別係数!$B:$E,2,FALSE)</f>
        <v>1.7</v>
      </c>
      <c r="Z947" s="97">
        <f ca="1">VLOOKUP($X947,サイズ別係数!$B:$E,3,FALSE)</f>
        <v>1.4</v>
      </c>
      <c r="AA947" s="97">
        <f ca="1">VLOOKUP($X947,サイズ別係数!$B:$E,4,FALSE)</f>
        <v>1</v>
      </c>
      <c r="AB947" s="10">
        <v>0</v>
      </c>
      <c r="AC947" s="6" t="str">
        <f ca="1">VLOOKUP($AB947,OFFSET([3]enemy_skill_sets!$B$2,0,0,COUNTA([3]enemy_skill_sets!$A:$A),MATCH(AC$1,[3]enemy_skill_sets!$1:$1,0)-MATCH($AB$1,[3]enemy_skill_sets!$1:$1,0)+1),MATCH(AC$1,[3]enemy_skill_sets!$1:$1,0)-MATCH($AB$1,[3]enemy_skill_sets!$1:$1,0)+1,FALSE)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7" s="67">
        <v>1</v>
      </c>
      <c r="AE947" s="67">
        <v>1</v>
      </c>
      <c r="AF947" s="68">
        <v>0</v>
      </c>
      <c r="AG947" s="99">
        <f ca="1">ROUND(VLOOKUP(1,enemy_base_stats!$A:$F,2,FALSE) * Y947* J947*O947*E947*S947*AD947*[2]ステータス!$B$2,0)</f>
        <v>4250</v>
      </c>
      <c r="AH947" s="99">
        <f ca="1">ROUND(VLOOKUP(1,enemy_base_stats!$A:$F,3,FALSE) * Z947*K947*P947*F947*T947*AE947 * W947*[2]ステータス!$C$2,0)</f>
        <v>370</v>
      </c>
      <c r="AI947" s="99">
        <f ca="1">ROUND(VLOOKUP(1,enemy_base_stats!$A:$F,4,FALSE) * AA947*L947*Q947*G947*U947*AF947*[2]ステータス!$D$2,0)</f>
        <v>0</v>
      </c>
      <c r="AJ947" s="99">
        <f ca="1">ROUND(VLOOKUP(100,enemy_base_stats!$A:$F,2,FALSE) * Y947* J947*O947*E947*S947*AD947*[2]ステータス!$B$2,0)</f>
        <v>172550</v>
      </c>
      <c r="AK947" s="99">
        <f ca="1">ROUND(VLOOKUP(100,enemy_base_stats!$A:$F,3,FALSE)* Z947* K947*P947*F947*T947*AE947 * W947*[2]ステータス!$C$2,0)</f>
        <v>15036</v>
      </c>
      <c r="AL947" s="99">
        <f ca="1">ROUND(VLOOKUP(100,enemy_base_stats!$A:$F,4,FALSE)* AA947* L947*Q947*G947*U947*AF947*[2]ステータス!$D$2,0)</f>
        <v>0</v>
      </c>
      <c r="AM947" s="97">
        <f ca="1">VLOOKUP(M947,[2]character_tribe_i18n!$A:$I,9,FALSE)</f>
        <v>400</v>
      </c>
      <c r="AN947" s="97">
        <v>0</v>
      </c>
      <c r="AO947" s="98">
        <v>0</v>
      </c>
      <c r="AP947" s="58" t="s">
        <v>72</v>
      </c>
      <c r="AQ947" s="34">
        <f t="shared" ca="1" si="53"/>
        <v>946</v>
      </c>
    </row>
    <row r="948" spans="1:43" ht="21" customHeight="1" x14ac:dyDescent="0.15">
      <c r="A948" s="7">
        <f t="shared" ca="1" si="52"/>
        <v>947</v>
      </c>
      <c r="B948" s="6" t="str">
        <f ca="1">VLOOKUP(A948,[2]characters!$A:$C,3,FALSE)</f>
        <v>ゲイボルグ</v>
      </c>
      <c r="C948" s="9">
        <f ca="1">VLOOKUP(A948,[2]characters!$A:$I,9,FALSE)</f>
        <v>5</v>
      </c>
      <c r="D948" s="9" t="str">
        <f ca="1">VLOOKUP(A948,[2]characters!$A:$H,8,FALSE)</f>
        <v>green</v>
      </c>
      <c r="E948" s="97">
        <f ca="1">VLOOKUP(D948,[2]属性!$A:$E,2,FALSE)</f>
        <v>1.02</v>
      </c>
      <c r="F948" s="97">
        <f ca="1">VLOOKUP(D948,[2]属性!$A:$E,3,FALSE)</f>
        <v>0.98</v>
      </c>
      <c r="G948" s="97">
        <f ca="1">VLOOKUP(D948,[2]属性!$A:$F,4,FALSE)</f>
        <v>1</v>
      </c>
      <c r="H948" s="9" t="str">
        <f ca="1">VLOOKUP(A948,[2]characters!$A:$K,11,FALSE)</f>
        <v>attack</v>
      </c>
      <c r="I948" s="6" t="str">
        <f ca="1">VLOOKUP(H948,[2]character_type_i18n!$A:$F,3,FALSE)</f>
        <v>攻撃タイプ</v>
      </c>
      <c r="J948" s="97">
        <f ca="1">VLOOKUP(H948,[2]character_type_i18n!$A:$F,4,FALSE)</f>
        <v>1</v>
      </c>
      <c r="K948" s="97">
        <f ca="1">VLOOKUP(H948,[2]character_type_i18n!$A:$F,5,FALSE)</f>
        <v>1.33</v>
      </c>
      <c r="L948" s="97">
        <f ca="1">VLOOKUP(H948,[2]character_type_i18n!$A:$F,6,FALSE)</f>
        <v>1</v>
      </c>
      <c r="M948" s="9" t="str">
        <f ca="1">VLOOKUP(A948,[2]characters!$A:$M,13,FALSE)</f>
        <v>weapon</v>
      </c>
      <c r="N948" s="6" t="str">
        <f ca="1">VLOOKUP(M948,[2]character_tribe_i18n!$A:$F,3,FALSE)</f>
        <v>ウェポン</v>
      </c>
      <c r="O948" s="97">
        <f ca="1">VLOOKUP(M948,[2]character_tribe_i18n!$A:$F,4,FALSE)</f>
        <v>1</v>
      </c>
      <c r="P948" s="97">
        <f ca="1">VLOOKUP(M948,[2]character_tribe_i18n!$A:$F,5,FALSE)</f>
        <v>1</v>
      </c>
      <c r="Q948" s="97">
        <f ca="1">VLOOKUP(M948,[2]character_tribe_i18n!$A:$F,6,FALSE)</f>
        <v>1</v>
      </c>
      <c r="R948" s="98" t="s">
        <v>98</v>
      </c>
      <c r="S948" s="97">
        <f>VLOOKUP($R948,ラベル別係数!$A$1:$E$7,3,FALSE)</f>
        <v>5</v>
      </c>
      <c r="T948" s="97">
        <f>VLOOKUP($R948,ラベル別係数!$A$1:$E$7,4,FALSE)</f>
        <v>1.3</v>
      </c>
      <c r="U948" s="97">
        <f>VLOOKUP($R948,ラベル別係数!$A$1:$E$7,5,FALSE)</f>
        <v>0.8</v>
      </c>
      <c r="V948" s="98">
        <v>3</v>
      </c>
      <c r="W948" s="99">
        <f>VLOOKUP(V948,ターン数別攻撃係数!$A$1:$B$1000,2,FALSE)</f>
        <v>1</v>
      </c>
      <c r="X948" s="9">
        <f ca="1">VLOOKUP(C948,サイズ別係数!A$2:B$9,2,FALSE)</f>
        <v>60</v>
      </c>
      <c r="Y948" s="97">
        <f ca="1">VLOOKUP($X948,サイズ別係数!$B:$E,2,FALSE)</f>
        <v>1.7</v>
      </c>
      <c r="Z948" s="97">
        <f ca="1">VLOOKUP($X948,サイズ別係数!$B:$E,3,FALSE)</f>
        <v>1.4</v>
      </c>
      <c r="AA948" s="97">
        <f ca="1">VLOOKUP($X948,サイズ別係数!$B:$E,4,FALSE)</f>
        <v>1</v>
      </c>
      <c r="AB948" s="10">
        <v>0</v>
      </c>
      <c r="AC948" s="6" t="str">
        <f ca="1">VLOOKUP($AB948,OFFSET([3]enemy_skill_sets!$B$2,0,0,COUNTA([3]enemy_skill_sets!$A:$A),MATCH(AC$1,[3]enemy_skill_sets!$1:$1,0)-MATCH($AB$1,[3]enemy_skill_sets!$1:$1,0)+1),MATCH(AC$1,[3]enemy_skill_sets!$1:$1,0)-MATCH($AB$1,[3]enemy_skill_sets!$1:$1,0)+1,FALSE)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8" s="67">
        <v>1</v>
      </c>
      <c r="AE948" s="67">
        <v>1</v>
      </c>
      <c r="AF948" s="68">
        <v>0</v>
      </c>
      <c r="AG948" s="99">
        <f ca="1">ROUND(VLOOKUP(1,enemy_base_stats!$A:$F,2,FALSE) * Y948* J948*O948*E948*S948*AD948*[2]ステータス!$B$2,0)</f>
        <v>4335</v>
      </c>
      <c r="AH948" s="99">
        <f ca="1">ROUND(VLOOKUP(1,enemy_base_stats!$A:$F,3,FALSE) * Z948*K948*P948*F948*T948*AE948 * W948*[2]ステータス!$C$2,0)</f>
        <v>356</v>
      </c>
      <c r="AI948" s="99">
        <f ca="1">ROUND(VLOOKUP(1,enemy_base_stats!$A:$F,4,FALSE) * AA948*L948*Q948*G948*U948*AF948*[2]ステータス!$D$2,0)</f>
        <v>0</v>
      </c>
      <c r="AJ948" s="99">
        <f ca="1">ROUND(VLOOKUP(100,enemy_base_stats!$A:$F,2,FALSE) * Y948* J948*O948*E948*S948*AD948*[2]ステータス!$B$2,0)</f>
        <v>176001</v>
      </c>
      <c r="AK948" s="99">
        <f ca="1">ROUND(VLOOKUP(100,enemy_base_stats!$A:$F,3,FALSE)* Z948* K948*P948*F948*T948*AE948 * W948*[2]ステータス!$C$2,0)</f>
        <v>14447</v>
      </c>
      <c r="AL948" s="99">
        <f ca="1">ROUND(VLOOKUP(100,enemy_base_stats!$A:$F,4,FALSE)* AA948* L948*Q948*G948*U948*AF948*[2]ステータス!$D$2,0)</f>
        <v>0</v>
      </c>
      <c r="AM948" s="97">
        <f ca="1">VLOOKUP(M948,[2]character_tribe_i18n!$A:$I,9,FALSE)</f>
        <v>400</v>
      </c>
      <c r="AN948" s="97">
        <v>0</v>
      </c>
      <c r="AO948" s="98">
        <v>0</v>
      </c>
      <c r="AP948" s="58" t="s">
        <v>72</v>
      </c>
      <c r="AQ948" s="34">
        <f t="shared" ca="1" si="53"/>
        <v>947</v>
      </c>
    </row>
    <row r="949" spans="1:43" ht="21" customHeight="1" x14ac:dyDescent="0.15">
      <c r="A949" s="7">
        <f t="shared" ca="1" si="52"/>
        <v>948</v>
      </c>
      <c r="B949" s="6" t="str">
        <f ca="1">VLOOKUP(A949,[2]characters!$A:$C,3,FALSE)</f>
        <v>裂雷の必撃鏃 ゲイボルグ</v>
      </c>
      <c r="C949" s="9">
        <f ca="1">VLOOKUP(A949,[2]characters!$A:$I,9,FALSE)</f>
        <v>6</v>
      </c>
      <c r="D949" s="9" t="str">
        <f ca="1">VLOOKUP(A949,[2]characters!$A:$H,8,FALSE)</f>
        <v>green</v>
      </c>
      <c r="E949" s="97">
        <f ca="1">VLOOKUP(D949,[2]属性!$A:$E,2,FALSE)</f>
        <v>1.02</v>
      </c>
      <c r="F949" s="97">
        <f ca="1">VLOOKUP(D949,[2]属性!$A:$E,3,FALSE)</f>
        <v>0.98</v>
      </c>
      <c r="G949" s="97">
        <f ca="1">VLOOKUP(D949,[2]属性!$A:$F,4,FALSE)</f>
        <v>1</v>
      </c>
      <c r="H949" s="9" t="str">
        <f ca="1">VLOOKUP(A949,[2]characters!$A:$K,11,FALSE)</f>
        <v>attack</v>
      </c>
      <c r="I949" s="6" t="str">
        <f ca="1">VLOOKUP(H949,[2]character_type_i18n!$A:$F,3,FALSE)</f>
        <v>攻撃タイプ</v>
      </c>
      <c r="J949" s="97">
        <f ca="1">VLOOKUP(H949,[2]character_type_i18n!$A:$F,4,FALSE)</f>
        <v>1</v>
      </c>
      <c r="K949" s="97">
        <f ca="1">VLOOKUP(H949,[2]character_type_i18n!$A:$F,5,FALSE)</f>
        <v>1.33</v>
      </c>
      <c r="L949" s="97">
        <f ca="1">VLOOKUP(H949,[2]character_type_i18n!$A:$F,6,FALSE)</f>
        <v>1</v>
      </c>
      <c r="M949" s="9" t="str">
        <f ca="1">VLOOKUP(A949,[2]characters!$A:$M,13,FALSE)</f>
        <v>weapon</v>
      </c>
      <c r="N949" s="6" t="str">
        <f ca="1">VLOOKUP(M949,[2]character_tribe_i18n!$A:$F,3,FALSE)</f>
        <v>ウェポン</v>
      </c>
      <c r="O949" s="97">
        <f ca="1">VLOOKUP(M949,[2]character_tribe_i18n!$A:$F,4,FALSE)</f>
        <v>1</v>
      </c>
      <c r="P949" s="97">
        <f ca="1">VLOOKUP(M949,[2]character_tribe_i18n!$A:$F,5,FALSE)</f>
        <v>1</v>
      </c>
      <c r="Q949" s="97">
        <f ca="1">VLOOKUP(M949,[2]character_tribe_i18n!$A:$F,6,FALSE)</f>
        <v>1</v>
      </c>
      <c r="R949" s="98" t="s">
        <v>98</v>
      </c>
      <c r="S949" s="97">
        <f>VLOOKUP($R949,ラベル別係数!$A$1:$E$7,3,FALSE)</f>
        <v>5</v>
      </c>
      <c r="T949" s="97">
        <f>VLOOKUP($R949,ラベル別係数!$A$1:$E$7,4,FALSE)</f>
        <v>1.3</v>
      </c>
      <c r="U949" s="97">
        <f>VLOOKUP($R949,ラベル別係数!$A$1:$E$7,5,FALSE)</f>
        <v>0.8</v>
      </c>
      <c r="V949" s="98">
        <v>3</v>
      </c>
      <c r="W949" s="99">
        <f>VLOOKUP(V949,ターン数別攻撃係数!$A$1:$B$1000,2,FALSE)</f>
        <v>1</v>
      </c>
      <c r="X949" s="9">
        <f ca="1">VLOOKUP(C949,サイズ別係数!A$2:B$9,2,FALSE)</f>
        <v>60</v>
      </c>
      <c r="Y949" s="97">
        <f ca="1">VLOOKUP($X949,サイズ別係数!$B:$E,2,FALSE)</f>
        <v>1.7</v>
      </c>
      <c r="Z949" s="97">
        <f ca="1">VLOOKUP($X949,サイズ別係数!$B:$E,3,FALSE)</f>
        <v>1.4</v>
      </c>
      <c r="AA949" s="97">
        <f ca="1">VLOOKUP($X949,サイズ別係数!$B:$E,4,FALSE)</f>
        <v>1</v>
      </c>
      <c r="AB949" s="10">
        <v>0</v>
      </c>
      <c r="AC949" s="6" t="str">
        <f ca="1">VLOOKUP($AB949,OFFSET([3]enemy_skill_sets!$B$2,0,0,COUNTA([3]enemy_skill_sets!$A:$A),MATCH(AC$1,[3]enemy_skill_sets!$1:$1,0)-MATCH($AB$1,[3]enemy_skill_sets!$1:$1,0)+1),MATCH(AC$1,[3]enemy_skill_sets!$1:$1,0)-MATCH($AB$1,[3]enemy_skill_sets!$1:$1,0)+1,FALSE)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49" s="67">
        <v>1</v>
      </c>
      <c r="AE949" s="67">
        <v>1</v>
      </c>
      <c r="AF949" s="68">
        <v>0</v>
      </c>
      <c r="AG949" s="99">
        <f ca="1">ROUND(VLOOKUP(1,enemy_base_stats!$A:$F,2,FALSE) * Y949* J949*O949*E949*S949*AD949*[2]ステータス!$B$2,0)</f>
        <v>4335</v>
      </c>
      <c r="AH949" s="99">
        <f ca="1">ROUND(VLOOKUP(1,enemy_base_stats!$A:$F,3,FALSE) * Z949*K949*P949*F949*T949*AE949 * W949*[2]ステータス!$C$2,0)</f>
        <v>356</v>
      </c>
      <c r="AI949" s="99">
        <f ca="1">ROUND(VLOOKUP(1,enemy_base_stats!$A:$F,4,FALSE) * AA949*L949*Q949*G949*U949*AF949*[2]ステータス!$D$2,0)</f>
        <v>0</v>
      </c>
      <c r="AJ949" s="99">
        <f ca="1">ROUND(VLOOKUP(100,enemy_base_stats!$A:$F,2,FALSE) * Y949* J949*O949*E949*S949*AD949*[2]ステータス!$B$2,0)</f>
        <v>176001</v>
      </c>
      <c r="AK949" s="99">
        <f ca="1">ROUND(VLOOKUP(100,enemy_base_stats!$A:$F,3,FALSE)* Z949* K949*P949*F949*T949*AE949 * W949*[2]ステータス!$C$2,0)</f>
        <v>14447</v>
      </c>
      <c r="AL949" s="99">
        <f ca="1">ROUND(VLOOKUP(100,enemy_base_stats!$A:$F,4,FALSE)* AA949* L949*Q949*G949*U949*AF949*[2]ステータス!$D$2,0)</f>
        <v>0</v>
      </c>
      <c r="AM949" s="97">
        <f ca="1">VLOOKUP(M949,[2]character_tribe_i18n!$A:$I,9,FALSE)</f>
        <v>400</v>
      </c>
      <c r="AN949" s="97">
        <v>0</v>
      </c>
      <c r="AO949" s="98">
        <v>0</v>
      </c>
      <c r="AP949" s="58" t="s">
        <v>72</v>
      </c>
      <c r="AQ949" s="34">
        <f t="shared" ca="1" si="53"/>
        <v>948</v>
      </c>
    </row>
    <row r="950" spans="1:43" ht="21" customHeight="1" x14ac:dyDescent="0.15">
      <c r="A950" s="7">
        <f t="shared" ca="1" si="52"/>
        <v>949</v>
      </c>
      <c r="B950" s="6" t="str">
        <f ca="1">VLOOKUP(A950,[2]characters!$A:$C,3,FALSE)</f>
        <v>トライデント</v>
      </c>
      <c r="C950" s="9">
        <f ca="1">VLOOKUP(A950,[2]characters!$A:$I,9,FALSE)</f>
        <v>5</v>
      </c>
      <c r="D950" s="9" t="str">
        <f ca="1">VLOOKUP(A950,[2]characters!$A:$H,8,FALSE)</f>
        <v>blue</v>
      </c>
      <c r="E950" s="97">
        <f ca="1">VLOOKUP(D950,[2]属性!$A:$E,2,FALSE)</f>
        <v>1</v>
      </c>
      <c r="F950" s="97">
        <f ca="1">VLOOKUP(D950,[2]属性!$A:$E,3,FALSE)</f>
        <v>0.98</v>
      </c>
      <c r="G950" s="97">
        <f ca="1">VLOOKUP(D950,[2]属性!$A:$F,4,FALSE)</f>
        <v>1</v>
      </c>
      <c r="H950" s="9" t="str">
        <f ca="1">VLOOKUP(A950,[2]characters!$A:$K,11,FALSE)</f>
        <v>balance</v>
      </c>
      <c r="I950" s="6" t="str">
        <f ca="1">VLOOKUP(H950,[2]character_type_i18n!$A:$F,3,FALSE)</f>
        <v>バランスタイプ</v>
      </c>
      <c r="J950" s="97">
        <f ca="1">VLOOKUP(H950,[2]character_type_i18n!$A:$F,4,FALSE)</f>
        <v>1</v>
      </c>
      <c r="K950" s="97">
        <f ca="1">VLOOKUP(H950,[2]character_type_i18n!$A:$F,5,FALSE)</f>
        <v>1</v>
      </c>
      <c r="L950" s="97">
        <f ca="1">VLOOKUP(H950,[2]character_type_i18n!$A:$F,6,FALSE)</f>
        <v>1</v>
      </c>
      <c r="M950" s="9" t="str">
        <f ca="1">VLOOKUP(A950,[2]characters!$A:$M,13,FALSE)</f>
        <v>weapon</v>
      </c>
      <c r="N950" s="6" t="str">
        <f ca="1">VLOOKUP(M950,[2]character_tribe_i18n!$A:$F,3,FALSE)</f>
        <v>ウェポン</v>
      </c>
      <c r="O950" s="97">
        <f ca="1">VLOOKUP(M950,[2]character_tribe_i18n!$A:$F,4,FALSE)</f>
        <v>1</v>
      </c>
      <c r="P950" s="97">
        <f ca="1">VLOOKUP(M950,[2]character_tribe_i18n!$A:$F,5,FALSE)</f>
        <v>1</v>
      </c>
      <c r="Q950" s="97">
        <f ca="1">VLOOKUP(M950,[2]character_tribe_i18n!$A:$F,6,FALSE)</f>
        <v>1</v>
      </c>
      <c r="R950" s="98" t="s">
        <v>98</v>
      </c>
      <c r="S950" s="97">
        <f>VLOOKUP($R950,ラベル別係数!$A$1:$E$7,3,FALSE)</f>
        <v>5</v>
      </c>
      <c r="T950" s="97">
        <f>VLOOKUP($R950,ラベル別係数!$A$1:$E$7,4,FALSE)</f>
        <v>1.3</v>
      </c>
      <c r="U950" s="97">
        <f>VLOOKUP($R950,ラベル別係数!$A$1:$E$7,5,FALSE)</f>
        <v>0.8</v>
      </c>
      <c r="V950" s="98">
        <v>3</v>
      </c>
      <c r="W950" s="99">
        <f>VLOOKUP(V950,ターン数別攻撃係数!$A$1:$B$1000,2,FALSE)</f>
        <v>1</v>
      </c>
      <c r="X950" s="9">
        <f ca="1">VLOOKUP(C950,サイズ別係数!A$2:B$9,2,FALSE)</f>
        <v>60</v>
      </c>
      <c r="Y950" s="97">
        <f ca="1">VLOOKUP($X950,サイズ別係数!$B:$E,2,FALSE)</f>
        <v>1.7</v>
      </c>
      <c r="Z950" s="97">
        <f ca="1">VLOOKUP($X950,サイズ別係数!$B:$E,3,FALSE)</f>
        <v>1.4</v>
      </c>
      <c r="AA950" s="97">
        <f ca="1">VLOOKUP($X950,サイズ別係数!$B:$E,4,FALSE)</f>
        <v>1</v>
      </c>
      <c r="AB950" s="10">
        <v>0</v>
      </c>
      <c r="AC950" s="6" t="str">
        <f ca="1">VLOOKUP($AB950,OFFSET([3]enemy_skill_sets!$B$2,0,0,COUNTA([3]enemy_skill_sets!$A:$A),MATCH(AC$1,[3]enemy_skill_sets!$1:$1,0)-MATCH($AB$1,[3]enemy_skill_sets!$1:$1,0)+1),MATCH(AC$1,[3]enemy_skill_sets!$1:$1,0)-MATCH($AB$1,[3]enemy_skill_sets!$1:$1,0)+1,FALSE)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0" s="67">
        <v>1</v>
      </c>
      <c r="AE950" s="67">
        <v>1</v>
      </c>
      <c r="AF950" s="68">
        <v>0</v>
      </c>
      <c r="AG950" s="99">
        <f ca="1">ROUND(VLOOKUP(1,enemy_base_stats!$A:$F,2,FALSE) * Y950* J950*O950*E950*S950*AD950*[2]ステータス!$B$2,0)</f>
        <v>4250</v>
      </c>
      <c r="AH950" s="99">
        <f ca="1">ROUND(VLOOKUP(1,enemy_base_stats!$A:$F,3,FALSE) * Z950*K950*P950*F950*T950*AE950 * W950*[2]ステータス!$C$2,0)</f>
        <v>268</v>
      </c>
      <c r="AI950" s="99">
        <f ca="1">ROUND(VLOOKUP(1,enemy_base_stats!$A:$F,4,FALSE) * AA950*L950*Q950*G950*U950*AF950*[2]ステータス!$D$2,0)</f>
        <v>0</v>
      </c>
      <c r="AJ950" s="99">
        <f ca="1">ROUND(VLOOKUP(100,enemy_base_stats!$A:$F,2,FALSE) * Y950* J950*O950*E950*S950*AD950*[2]ステータス!$B$2,0)</f>
        <v>172550</v>
      </c>
      <c r="AK950" s="99">
        <f ca="1">ROUND(VLOOKUP(100,enemy_base_stats!$A:$F,3,FALSE)* Z950* K950*P950*F950*T950*AE950 * W950*[2]ステータス!$C$2,0)</f>
        <v>10862</v>
      </c>
      <c r="AL950" s="99">
        <f ca="1">ROUND(VLOOKUP(100,enemy_base_stats!$A:$F,4,FALSE)* AA950* L950*Q950*G950*U950*AF950*[2]ステータス!$D$2,0)</f>
        <v>0</v>
      </c>
      <c r="AM950" s="97">
        <f ca="1">VLOOKUP(M950,[2]character_tribe_i18n!$A:$I,9,FALSE)</f>
        <v>400</v>
      </c>
      <c r="AN950" s="97">
        <v>0</v>
      </c>
      <c r="AO950" s="98">
        <v>0</v>
      </c>
      <c r="AP950" s="58" t="s">
        <v>72</v>
      </c>
      <c r="AQ950" s="34">
        <f t="shared" ca="1" si="53"/>
        <v>949</v>
      </c>
    </row>
    <row r="951" spans="1:43" ht="21" customHeight="1" x14ac:dyDescent="0.15">
      <c r="A951" s="7">
        <f t="shared" ca="1" si="52"/>
        <v>950</v>
      </c>
      <c r="B951" s="6" t="str">
        <f ca="1">VLOOKUP(A951,[2]characters!$A:$C,3,FALSE)</f>
        <v>海洪操る三叉戟 トライデント</v>
      </c>
      <c r="C951" s="9">
        <f ca="1">VLOOKUP(A951,[2]characters!$A:$I,9,FALSE)</f>
        <v>6</v>
      </c>
      <c r="D951" s="9" t="str">
        <f ca="1">VLOOKUP(A951,[2]characters!$A:$H,8,FALSE)</f>
        <v>blue</v>
      </c>
      <c r="E951" s="97">
        <f ca="1">VLOOKUP(D951,[2]属性!$A:$E,2,FALSE)</f>
        <v>1</v>
      </c>
      <c r="F951" s="97">
        <f ca="1">VLOOKUP(D951,[2]属性!$A:$E,3,FALSE)</f>
        <v>0.98</v>
      </c>
      <c r="G951" s="97">
        <f ca="1">VLOOKUP(D951,[2]属性!$A:$F,4,FALSE)</f>
        <v>1</v>
      </c>
      <c r="H951" s="9" t="str">
        <f ca="1">VLOOKUP(A951,[2]characters!$A:$K,11,FALSE)</f>
        <v>balance</v>
      </c>
      <c r="I951" s="6" t="str">
        <f ca="1">VLOOKUP(H951,[2]character_type_i18n!$A:$F,3,FALSE)</f>
        <v>バランスタイプ</v>
      </c>
      <c r="J951" s="97">
        <f ca="1">VLOOKUP(H951,[2]character_type_i18n!$A:$F,4,FALSE)</f>
        <v>1</v>
      </c>
      <c r="K951" s="97">
        <f ca="1">VLOOKUP(H951,[2]character_type_i18n!$A:$F,5,FALSE)</f>
        <v>1</v>
      </c>
      <c r="L951" s="97">
        <f ca="1">VLOOKUP(H951,[2]character_type_i18n!$A:$F,6,FALSE)</f>
        <v>1</v>
      </c>
      <c r="M951" s="9" t="str">
        <f ca="1">VLOOKUP(A951,[2]characters!$A:$M,13,FALSE)</f>
        <v>weapon</v>
      </c>
      <c r="N951" s="6" t="str">
        <f ca="1">VLOOKUP(M951,[2]character_tribe_i18n!$A:$F,3,FALSE)</f>
        <v>ウェポン</v>
      </c>
      <c r="O951" s="97">
        <f ca="1">VLOOKUP(M951,[2]character_tribe_i18n!$A:$F,4,FALSE)</f>
        <v>1</v>
      </c>
      <c r="P951" s="97">
        <f ca="1">VLOOKUP(M951,[2]character_tribe_i18n!$A:$F,5,FALSE)</f>
        <v>1</v>
      </c>
      <c r="Q951" s="97">
        <f ca="1">VLOOKUP(M951,[2]character_tribe_i18n!$A:$F,6,FALSE)</f>
        <v>1</v>
      </c>
      <c r="R951" s="98" t="s">
        <v>98</v>
      </c>
      <c r="S951" s="97">
        <f>VLOOKUP($R951,ラベル別係数!$A$1:$E$7,3,FALSE)</f>
        <v>5</v>
      </c>
      <c r="T951" s="97">
        <f>VLOOKUP($R951,ラベル別係数!$A$1:$E$7,4,FALSE)</f>
        <v>1.3</v>
      </c>
      <c r="U951" s="97">
        <f>VLOOKUP($R951,ラベル別係数!$A$1:$E$7,5,FALSE)</f>
        <v>0.8</v>
      </c>
      <c r="V951" s="98">
        <v>3</v>
      </c>
      <c r="W951" s="99">
        <f>VLOOKUP(V951,ターン数別攻撃係数!$A$1:$B$1000,2,FALSE)</f>
        <v>1</v>
      </c>
      <c r="X951" s="9">
        <f ca="1">VLOOKUP(C951,サイズ別係数!A$2:B$9,2,FALSE)</f>
        <v>60</v>
      </c>
      <c r="Y951" s="97">
        <f ca="1">VLOOKUP($X951,サイズ別係数!$B:$E,2,FALSE)</f>
        <v>1.7</v>
      </c>
      <c r="Z951" s="97">
        <f ca="1">VLOOKUP($X951,サイズ別係数!$B:$E,3,FALSE)</f>
        <v>1.4</v>
      </c>
      <c r="AA951" s="97">
        <f ca="1">VLOOKUP($X951,サイズ別係数!$B:$E,4,FALSE)</f>
        <v>1</v>
      </c>
      <c r="AB951" s="10">
        <v>0</v>
      </c>
      <c r="AC951" s="6" t="str">
        <f ca="1">VLOOKUP($AB951,OFFSET([3]enemy_skill_sets!$B$2,0,0,COUNTA([3]enemy_skill_sets!$A:$A),MATCH(AC$1,[3]enemy_skill_sets!$1:$1,0)-MATCH($AB$1,[3]enemy_skill_sets!$1:$1,0)+1),MATCH(AC$1,[3]enemy_skill_sets!$1:$1,0)-MATCH($AB$1,[3]enemy_skill_sets!$1:$1,0)+1,FALSE)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1" s="67">
        <v>1</v>
      </c>
      <c r="AE951" s="67">
        <v>1</v>
      </c>
      <c r="AF951" s="68">
        <v>0</v>
      </c>
      <c r="AG951" s="99">
        <f ca="1">ROUND(VLOOKUP(1,enemy_base_stats!$A:$F,2,FALSE) * Y951* J951*O951*E951*S951*AD951*[2]ステータス!$B$2,0)</f>
        <v>4250</v>
      </c>
      <c r="AH951" s="99">
        <f ca="1">ROUND(VLOOKUP(1,enemy_base_stats!$A:$F,3,FALSE) * Z951*K951*P951*F951*T951*AE951 * W951*[2]ステータス!$C$2,0)</f>
        <v>268</v>
      </c>
      <c r="AI951" s="99">
        <f ca="1">ROUND(VLOOKUP(1,enemy_base_stats!$A:$F,4,FALSE) * AA951*L951*Q951*G951*U951*AF951*[2]ステータス!$D$2,0)</f>
        <v>0</v>
      </c>
      <c r="AJ951" s="99">
        <f ca="1">ROUND(VLOOKUP(100,enemy_base_stats!$A:$F,2,FALSE) * Y951* J951*O951*E951*S951*AD951*[2]ステータス!$B$2,0)</f>
        <v>172550</v>
      </c>
      <c r="AK951" s="99">
        <f ca="1">ROUND(VLOOKUP(100,enemy_base_stats!$A:$F,3,FALSE)* Z951* K951*P951*F951*T951*AE951 * W951*[2]ステータス!$C$2,0)</f>
        <v>10862</v>
      </c>
      <c r="AL951" s="99">
        <f ca="1">ROUND(VLOOKUP(100,enemy_base_stats!$A:$F,4,FALSE)* AA951* L951*Q951*G951*U951*AF951*[2]ステータス!$D$2,0)</f>
        <v>0</v>
      </c>
      <c r="AM951" s="97">
        <f ca="1">VLOOKUP(M951,[2]character_tribe_i18n!$A:$I,9,FALSE)</f>
        <v>400</v>
      </c>
      <c r="AN951" s="97">
        <v>0</v>
      </c>
      <c r="AO951" s="98">
        <v>0</v>
      </c>
      <c r="AP951" s="58" t="s">
        <v>72</v>
      </c>
      <c r="AQ951" s="34">
        <f t="shared" ca="1" si="53"/>
        <v>950</v>
      </c>
    </row>
    <row r="952" spans="1:43" ht="21" customHeight="1" x14ac:dyDescent="0.15">
      <c r="A952" s="7">
        <f t="shared" ca="1" si="52"/>
        <v>951</v>
      </c>
      <c r="B952" s="6" t="str">
        <f ca="1">VLOOKUP(A952,[2]characters!$A:$C,3,FALSE)</f>
        <v>グングニル</v>
      </c>
      <c r="C952" s="9">
        <f ca="1">VLOOKUP(A952,[2]characters!$A:$I,9,FALSE)</f>
        <v>5</v>
      </c>
      <c r="D952" s="9" t="str">
        <f ca="1">VLOOKUP(A952,[2]characters!$A:$H,8,FALSE)</f>
        <v>yellow</v>
      </c>
      <c r="E952" s="97">
        <f ca="1">VLOOKUP(D952,[2]属性!$A:$E,2,FALSE)</f>
        <v>0.98</v>
      </c>
      <c r="F952" s="97">
        <f ca="1">VLOOKUP(D952,[2]属性!$A:$E,3,FALSE)</f>
        <v>1.01</v>
      </c>
      <c r="G952" s="97">
        <f ca="1">VLOOKUP(D952,[2]属性!$A:$F,4,FALSE)</f>
        <v>1</v>
      </c>
      <c r="H952" s="9" t="str">
        <f ca="1">VLOOKUP(A952,[2]characters!$A:$K,11,FALSE)</f>
        <v>attack</v>
      </c>
      <c r="I952" s="6" t="str">
        <f ca="1">VLOOKUP(H952,[2]character_type_i18n!$A:$F,3,FALSE)</f>
        <v>攻撃タイプ</v>
      </c>
      <c r="J952" s="97">
        <f ca="1">VLOOKUP(H952,[2]character_type_i18n!$A:$F,4,FALSE)</f>
        <v>1</v>
      </c>
      <c r="K952" s="97">
        <f ca="1">VLOOKUP(H952,[2]character_type_i18n!$A:$F,5,FALSE)</f>
        <v>1.33</v>
      </c>
      <c r="L952" s="97">
        <f ca="1">VLOOKUP(H952,[2]character_type_i18n!$A:$F,6,FALSE)</f>
        <v>1</v>
      </c>
      <c r="M952" s="9" t="str">
        <f ca="1">VLOOKUP(A952,[2]characters!$A:$M,13,FALSE)</f>
        <v>weapon</v>
      </c>
      <c r="N952" s="6" t="str">
        <f ca="1">VLOOKUP(M952,[2]character_tribe_i18n!$A:$F,3,FALSE)</f>
        <v>ウェポン</v>
      </c>
      <c r="O952" s="97">
        <f ca="1">VLOOKUP(M952,[2]character_tribe_i18n!$A:$F,4,FALSE)</f>
        <v>1</v>
      </c>
      <c r="P952" s="97">
        <f ca="1">VLOOKUP(M952,[2]character_tribe_i18n!$A:$F,5,FALSE)</f>
        <v>1</v>
      </c>
      <c r="Q952" s="97">
        <f ca="1">VLOOKUP(M952,[2]character_tribe_i18n!$A:$F,6,FALSE)</f>
        <v>1</v>
      </c>
      <c r="R952" s="98" t="s">
        <v>98</v>
      </c>
      <c r="S952" s="97">
        <f>VLOOKUP($R952,ラベル別係数!$A$1:$E$7,3,FALSE)</f>
        <v>5</v>
      </c>
      <c r="T952" s="97">
        <f>VLOOKUP($R952,ラベル別係数!$A$1:$E$7,4,FALSE)</f>
        <v>1.3</v>
      </c>
      <c r="U952" s="97">
        <f>VLOOKUP($R952,ラベル別係数!$A$1:$E$7,5,FALSE)</f>
        <v>0.8</v>
      </c>
      <c r="V952" s="98">
        <v>3</v>
      </c>
      <c r="W952" s="99">
        <f>VLOOKUP(V952,ターン数別攻撃係数!$A$1:$B$1000,2,FALSE)</f>
        <v>1</v>
      </c>
      <c r="X952" s="9">
        <f ca="1">VLOOKUP(C952,サイズ別係数!A$2:B$9,2,FALSE)</f>
        <v>60</v>
      </c>
      <c r="Y952" s="97">
        <f ca="1">VLOOKUP($X952,サイズ別係数!$B:$E,2,FALSE)</f>
        <v>1.7</v>
      </c>
      <c r="Z952" s="97">
        <f ca="1">VLOOKUP($X952,サイズ別係数!$B:$E,3,FALSE)</f>
        <v>1.4</v>
      </c>
      <c r="AA952" s="97">
        <f ca="1">VLOOKUP($X952,サイズ別係数!$B:$E,4,FALSE)</f>
        <v>1</v>
      </c>
      <c r="AB952" s="10">
        <v>0</v>
      </c>
      <c r="AC952" s="6" t="str">
        <f ca="1">VLOOKUP($AB952,OFFSET([3]enemy_skill_sets!$B$2,0,0,COUNTA([3]enemy_skill_sets!$A:$A),MATCH(AC$1,[3]enemy_skill_sets!$1:$1,0)-MATCH($AB$1,[3]enemy_skill_sets!$1:$1,0)+1),MATCH(AC$1,[3]enemy_skill_sets!$1:$1,0)-MATCH($AB$1,[3]enemy_skill_sets!$1:$1,0)+1,FALSE)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2" s="67">
        <v>1</v>
      </c>
      <c r="AE952" s="67">
        <v>1</v>
      </c>
      <c r="AF952" s="68">
        <v>0</v>
      </c>
      <c r="AG952" s="99">
        <f ca="1">ROUND(VLOOKUP(1,enemy_base_stats!$A:$F,2,FALSE) * Y952* J952*O952*E952*S952*AD952*[2]ステータス!$B$2,0)</f>
        <v>4165</v>
      </c>
      <c r="AH952" s="99">
        <f ca="1">ROUND(VLOOKUP(1,enemy_base_stats!$A:$F,3,FALSE) * Z952*K952*P952*F952*T952*AE952 * W952*[2]ステータス!$C$2,0)</f>
        <v>367</v>
      </c>
      <c r="AI952" s="99">
        <f ca="1">ROUND(VLOOKUP(1,enemy_base_stats!$A:$F,4,FALSE) * AA952*L952*Q952*G952*U952*AF952*[2]ステータス!$D$2,0)</f>
        <v>0</v>
      </c>
      <c r="AJ952" s="99">
        <f ca="1">ROUND(VLOOKUP(100,enemy_base_stats!$A:$F,2,FALSE) * Y952* J952*O952*E952*S952*AD952*[2]ステータス!$B$2,0)</f>
        <v>169099</v>
      </c>
      <c r="AK952" s="99">
        <f ca="1">ROUND(VLOOKUP(100,enemy_base_stats!$A:$F,3,FALSE)* Z952* K952*P952*F952*T952*AE952 * W952*[2]ステータス!$C$2,0)</f>
        <v>14889</v>
      </c>
      <c r="AL952" s="99">
        <f ca="1">ROUND(VLOOKUP(100,enemy_base_stats!$A:$F,4,FALSE)* AA952* L952*Q952*G952*U952*AF952*[2]ステータス!$D$2,0)</f>
        <v>0</v>
      </c>
      <c r="AM952" s="97">
        <f ca="1">VLOOKUP(M952,[2]character_tribe_i18n!$A:$I,9,FALSE)</f>
        <v>400</v>
      </c>
      <c r="AN952" s="97">
        <v>0</v>
      </c>
      <c r="AO952" s="98">
        <v>0</v>
      </c>
      <c r="AP952" s="58" t="s">
        <v>72</v>
      </c>
      <c r="AQ952" s="34">
        <f t="shared" ca="1" si="53"/>
        <v>951</v>
      </c>
    </row>
    <row r="953" spans="1:43" ht="21" customHeight="1" x14ac:dyDescent="0.15">
      <c r="A953" s="7">
        <f t="shared" ca="1" si="52"/>
        <v>952</v>
      </c>
      <c r="B953" s="6" t="str">
        <f ca="1">VLOOKUP(A953,[2]characters!$A:$C,3,FALSE)</f>
        <v>勝臨の機鋭槍 グングニル</v>
      </c>
      <c r="C953" s="9">
        <f ca="1">VLOOKUP(A953,[2]characters!$A:$I,9,FALSE)</f>
        <v>6</v>
      </c>
      <c r="D953" s="9" t="str">
        <f ca="1">VLOOKUP(A953,[2]characters!$A:$H,8,FALSE)</f>
        <v>yellow</v>
      </c>
      <c r="E953" s="97">
        <f ca="1">VLOOKUP(D953,[2]属性!$A:$E,2,FALSE)</f>
        <v>0.98</v>
      </c>
      <c r="F953" s="97">
        <f ca="1">VLOOKUP(D953,[2]属性!$A:$E,3,FALSE)</f>
        <v>1.01</v>
      </c>
      <c r="G953" s="97">
        <f ca="1">VLOOKUP(D953,[2]属性!$A:$F,4,FALSE)</f>
        <v>1</v>
      </c>
      <c r="H953" s="9" t="str">
        <f ca="1">VLOOKUP(A953,[2]characters!$A:$K,11,FALSE)</f>
        <v>attack</v>
      </c>
      <c r="I953" s="6" t="str">
        <f ca="1">VLOOKUP(H953,[2]character_type_i18n!$A:$F,3,FALSE)</f>
        <v>攻撃タイプ</v>
      </c>
      <c r="J953" s="97">
        <f ca="1">VLOOKUP(H953,[2]character_type_i18n!$A:$F,4,FALSE)</f>
        <v>1</v>
      </c>
      <c r="K953" s="97">
        <f ca="1">VLOOKUP(H953,[2]character_type_i18n!$A:$F,5,FALSE)</f>
        <v>1.33</v>
      </c>
      <c r="L953" s="97">
        <f ca="1">VLOOKUP(H953,[2]character_type_i18n!$A:$F,6,FALSE)</f>
        <v>1</v>
      </c>
      <c r="M953" s="9" t="str">
        <f ca="1">VLOOKUP(A953,[2]characters!$A:$M,13,FALSE)</f>
        <v>weapon</v>
      </c>
      <c r="N953" s="6" t="str">
        <f ca="1">VLOOKUP(M953,[2]character_tribe_i18n!$A:$F,3,FALSE)</f>
        <v>ウェポン</v>
      </c>
      <c r="O953" s="97">
        <f ca="1">VLOOKUP(M953,[2]character_tribe_i18n!$A:$F,4,FALSE)</f>
        <v>1</v>
      </c>
      <c r="P953" s="97">
        <f ca="1">VLOOKUP(M953,[2]character_tribe_i18n!$A:$F,5,FALSE)</f>
        <v>1</v>
      </c>
      <c r="Q953" s="97">
        <f ca="1">VLOOKUP(M953,[2]character_tribe_i18n!$A:$F,6,FALSE)</f>
        <v>1</v>
      </c>
      <c r="R953" s="98" t="s">
        <v>98</v>
      </c>
      <c r="S953" s="97">
        <f>VLOOKUP($R953,ラベル別係数!$A$1:$E$7,3,FALSE)</f>
        <v>5</v>
      </c>
      <c r="T953" s="97">
        <f>VLOOKUP($R953,ラベル別係数!$A$1:$E$7,4,FALSE)</f>
        <v>1.3</v>
      </c>
      <c r="U953" s="97">
        <f>VLOOKUP($R953,ラベル別係数!$A$1:$E$7,5,FALSE)</f>
        <v>0.8</v>
      </c>
      <c r="V953" s="98">
        <v>3</v>
      </c>
      <c r="W953" s="99">
        <f>VLOOKUP(V953,ターン数別攻撃係数!$A$1:$B$1000,2,FALSE)</f>
        <v>1</v>
      </c>
      <c r="X953" s="9">
        <f ca="1">VLOOKUP(C953,サイズ別係数!A$2:B$9,2,FALSE)</f>
        <v>60</v>
      </c>
      <c r="Y953" s="97">
        <f ca="1">VLOOKUP($X953,サイズ別係数!$B:$E,2,FALSE)</f>
        <v>1.7</v>
      </c>
      <c r="Z953" s="97">
        <f ca="1">VLOOKUP($X953,サイズ別係数!$B:$E,3,FALSE)</f>
        <v>1.4</v>
      </c>
      <c r="AA953" s="97">
        <f ca="1">VLOOKUP($X953,サイズ別係数!$B:$E,4,FALSE)</f>
        <v>1</v>
      </c>
      <c r="AB953" s="10">
        <v>0</v>
      </c>
      <c r="AC953" s="6" t="str">
        <f ca="1">VLOOKUP($AB953,OFFSET([3]enemy_skill_sets!$B$2,0,0,COUNTA([3]enemy_skill_sets!$A:$A),MATCH(AC$1,[3]enemy_skill_sets!$1:$1,0)-MATCH($AB$1,[3]enemy_skill_sets!$1:$1,0)+1),MATCH(AC$1,[3]enemy_skill_sets!$1:$1,0)-MATCH($AB$1,[3]enemy_skill_sets!$1:$1,0)+1,FALSE)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3" s="67">
        <v>1</v>
      </c>
      <c r="AE953" s="67">
        <v>1</v>
      </c>
      <c r="AF953" s="68">
        <v>0</v>
      </c>
      <c r="AG953" s="99">
        <f ca="1">ROUND(VLOOKUP(1,enemy_base_stats!$A:$F,2,FALSE) * Y953* J953*O953*E953*S953*AD953*[2]ステータス!$B$2,0)</f>
        <v>4165</v>
      </c>
      <c r="AH953" s="99">
        <f ca="1">ROUND(VLOOKUP(1,enemy_base_stats!$A:$F,3,FALSE) * Z953*K953*P953*F953*T953*AE953 * W953*[2]ステータス!$C$2,0)</f>
        <v>367</v>
      </c>
      <c r="AI953" s="99">
        <f ca="1">ROUND(VLOOKUP(1,enemy_base_stats!$A:$F,4,FALSE) * AA953*L953*Q953*G953*U953*AF953*[2]ステータス!$D$2,0)</f>
        <v>0</v>
      </c>
      <c r="AJ953" s="99">
        <f ca="1">ROUND(VLOOKUP(100,enemy_base_stats!$A:$F,2,FALSE) * Y953* J953*O953*E953*S953*AD953*[2]ステータス!$B$2,0)</f>
        <v>169099</v>
      </c>
      <c r="AK953" s="99">
        <f ca="1">ROUND(VLOOKUP(100,enemy_base_stats!$A:$F,3,FALSE)* Z953* K953*P953*F953*T953*AE953 * W953*[2]ステータス!$C$2,0)</f>
        <v>14889</v>
      </c>
      <c r="AL953" s="99">
        <f ca="1">ROUND(VLOOKUP(100,enemy_base_stats!$A:$F,4,FALSE)* AA953* L953*Q953*G953*U953*AF953*[2]ステータス!$D$2,0)</f>
        <v>0</v>
      </c>
      <c r="AM953" s="97">
        <f ca="1">VLOOKUP(M953,[2]character_tribe_i18n!$A:$I,9,FALSE)</f>
        <v>400</v>
      </c>
      <c r="AN953" s="97">
        <v>0</v>
      </c>
      <c r="AO953" s="98">
        <v>0</v>
      </c>
      <c r="AP953" s="58" t="s">
        <v>72</v>
      </c>
      <c r="AQ953" s="34">
        <f t="shared" ca="1" si="53"/>
        <v>952</v>
      </c>
    </row>
    <row r="954" spans="1:43" ht="21" customHeight="1" x14ac:dyDescent="0.15">
      <c r="A954" s="7">
        <f t="shared" ca="1" si="52"/>
        <v>953</v>
      </c>
      <c r="B954" s="6" t="str">
        <f ca="1">VLOOKUP(A954,[2]characters!$A:$C,3,FALSE)</f>
        <v>ハイゼンベルク</v>
      </c>
      <c r="C954" s="9">
        <f ca="1">VLOOKUP(A954,[2]characters!$A:$I,9,FALSE)</f>
        <v>5</v>
      </c>
      <c r="D954" s="9" t="str">
        <f ca="1">VLOOKUP(A954,[2]characters!$A:$H,8,FALSE)</f>
        <v>green</v>
      </c>
      <c r="E954" s="97">
        <f ca="1">VLOOKUP(D954,[2]属性!$A:$E,2,FALSE)</f>
        <v>1.02</v>
      </c>
      <c r="F954" s="97">
        <f ca="1">VLOOKUP(D954,[2]属性!$A:$E,3,FALSE)</f>
        <v>0.98</v>
      </c>
      <c r="G954" s="97">
        <f ca="1">VLOOKUP(D954,[2]属性!$A:$F,4,FALSE)</f>
        <v>1</v>
      </c>
      <c r="H954" s="9" t="str">
        <f ca="1">VLOOKUP(A954,[2]characters!$A:$K,11,FALSE)</f>
        <v>attack</v>
      </c>
      <c r="I954" s="6" t="str">
        <f ca="1">VLOOKUP(H954,[2]character_type_i18n!$A:$F,3,FALSE)</f>
        <v>攻撃タイプ</v>
      </c>
      <c r="J954" s="97">
        <f ca="1">VLOOKUP(H954,[2]character_type_i18n!$A:$F,4,FALSE)</f>
        <v>1</v>
      </c>
      <c r="K954" s="97">
        <f ca="1">VLOOKUP(H954,[2]character_type_i18n!$A:$F,5,FALSE)</f>
        <v>1.33</v>
      </c>
      <c r="L954" s="97">
        <f ca="1">VLOOKUP(H954,[2]character_type_i18n!$A:$F,6,FALSE)</f>
        <v>1</v>
      </c>
      <c r="M954" s="9" t="str">
        <f ca="1">VLOOKUP(A954,[2]characters!$A:$M,13,FALSE)</f>
        <v>academia</v>
      </c>
      <c r="N954" s="6" t="str">
        <f ca="1">VLOOKUP(M954,[2]character_tribe_i18n!$A:$F,3,FALSE)</f>
        <v>アカデミア</v>
      </c>
      <c r="O954" s="97">
        <f ca="1">VLOOKUP(M954,[2]character_tribe_i18n!$A:$F,4,FALSE)</f>
        <v>1</v>
      </c>
      <c r="P954" s="97">
        <f ca="1">VLOOKUP(M954,[2]character_tribe_i18n!$A:$F,5,FALSE)</f>
        <v>1</v>
      </c>
      <c r="Q954" s="97">
        <f ca="1">VLOOKUP(M954,[2]character_tribe_i18n!$A:$F,6,FALSE)</f>
        <v>1</v>
      </c>
      <c r="R954" s="98" t="s">
        <v>98</v>
      </c>
      <c r="S954" s="97">
        <f>VLOOKUP($R954,ラベル別係数!$A$1:$E$7,3,FALSE)</f>
        <v>5</v>
      </c>
      <c r="T954" s="97">
        <f>VLOOKUP($R954,ラベル別係数!$A$1:$E$7,4,FALSE)</f>
        <v>1.3</v>
      </c>
      <c r="U954" s="97">
        <f>VLOOKUP($R954,ラベル別係数!$A$1:$E$7,5,FALSE)</f>
        <v>0.8</v>
      </c>
      <c r="V954" s="98">
        <v>3</v>
      </c>
      <c r="W954" s="99">
        <f>VLOOKUP(V954,ターン数別攻撃係数!$A$1:$B$1000,2,FALSE)</f>
        <v>1</v>
      </c>
      <c r="X954" s="9">
        <f ca="1">VLOOKUP(C954,サイズ別係数!A$2:B$9,2,FALSE)</f>
        <v>60</v>
      </c>
      <c r="Y954" s="97">
        <f ca="1">VLOOKUP($X954,サイズ別係数!$B:$E,2,FALSE)</f>
        <v>1.7</v>
      </c>
      <c r="Z954" s="97">
        <f ca="1">VLOOKUP($X954,サイズ別係数!$B:$E,3,FALSE)</f>
        <v>1.4</v>
      </c>
      <c r="AA954" s="97">
        <f ca="1">VLOOKUP($X954,サイズ別係数!$B:$E,4,FALSE)</f>
        <v>1</v>
      </c>
      <c r="AB954" s="10">
        <v>0</v>
      </c>
      <c r="AC954" s="6" t="str">
        <f ca="1">VLOOKUP($AB954,OFFSET([3]enemy_skill_sets!$B$2,0,0,COUNTA([3]enemy_skill_sets!$A:$A),MATCH(AC$1,[3]enemy_skill_sets!$1:$1,0)-MATCH($AB$1,[3]enemy_skill_sets!$1:$1,0)+1),MATCH(AC$1,[3]enemy_skill_sets!$1:$1,0)-MATCH($AB$1,[3]enemy_skill_sets!$1:$1,0)+1,FALSE)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4" s="67">
        <v>1</v>
      </c>
      <c r="AE954" s="67">
        <v>1</v>
      </c>
      <c r="AF954" s="68">
        <v>0</v>
      </c>
      <c r="AG954" s="99">
        <f ca="1">ROUND(VLOOKUP(1,enemy_base_stats!$A:$F,2,FALSE) * Y954* J954*O954*E954*S954*AD954*[2]ステータス!$B$2,0)</f>
        <v>4335</v>
      </c>
      <c r="AH954" s="99">
        <f ca="1">ROUND(VLOOKUP(1,enemy_base_stats!$A:$F,3,FALSE) * Z954*K954*P954*F954*T954*AE954 * W954*[2]ステータス!$C$2,0)</f>
        <v>356</v>
      </c>
      <c r="AI954" s="99">
        <f ca="1">ROUND(VLOOKUP(1,enemy_base_stats!$A:$F,4,FALSE) * AA954*L954*Q954*G954*U954*AF954*[2]ステータス!$D$2,0)</f>
        <v>0</v>
      </c>
      <c r="AJ954" s="99">
        <f ca="1">ROUND(VLOOKUP(100,enemy_base_stats!$A:$F,2,FALSE) * Y954* J954*O954*E954*S954*AD954*[2]ステータス!$B$2,0)</f>
        <v>176001</v>
      </c>
      <c r="AK954" s="99">
        <f ca="1">ROUND(VLOOKUP(100,enemy_base_stats!$A:$F,3,FALSE)* Z954* K954*P954*F954*T954*AE954 * W954*[2]ステータス!$C$2,0)</f>
        <v>14447</v>
      </c>
      <c r="AL954" s="99">
        <f ca="1">ROUND(VLOOKUP(100,enemy_base_stats!$A:$F,4,FALSE)* AA954* L954*Q954*G954*U954*AF954*[2]ステータス!$D$2,0)</f>
        <v>0</v>
      </c>
      <c r="AM954" s="97">
        <f ca="1">VLOOKUP(M954,[2]character_tribe_i18n!$A:$I,9,FALSE)</f>
        <v>400</v>
      </c>
      <c r="AN954" s="97">
        <v>0</v>
      </c>
      <c r="AO954" s="98">
        <v>0</v>
      </c>
      <c r="AP954" s="58" t="s">
        <v>72</v>
      </c>
      <c r="AQ954" s="34">
        <f t="shared" ca="1" si="53"/>
        <v>953</v>
      </c>
    </row>
    <row r="955" spans="1:43" ht="21" customHeight="1" x14ac:dyDescent="0.15">
      <c r="A955" s="7">
        <f t="shared" ca="1" si="52"/>
        <v>954</v>
      </c>
      <c r="B955" s="6" t="str">
        <f ca="1">VLOOKUP(A955,[2]characters!$A:$C,3,FALSE)</f>
        <v>不確の量熔者 ハイゼンベルク</v>
      </c>
      <c r="C955" s="9">
        <f ca="1">VLOOKUP(A955,[2]characters!$A:$I,9,FALSE)</f>
        <v>6</v>
      </c>
      <c r="D955" s="9" t="str">
        <f ca="1">VLOOKUP(A955,[2]characters!$A:$H,8,FALSE)</f>
        <v>green</v>
      </c>
      <c r="E955" s="97">
        <f ca="1">VLOOKUP(D955,[2]属性!$A:$E,2,FALSE)</f>
        <v>1.02</v>
      </c>
      <c r="F955" s="97">
        <f ca="1">VLOOKUP(D955,[2]属性!$A:$E,3,FALSE)</f>
        <v>0.98</v>
      </c>
      <c r="G955" s="97">
        <f ca="1">VLOOKUP(D955,[2]属性!$A:$F,4,FALSE)</f>
        <v>1</v>
      </c>
      <c r="H955" s="9" t="str">
        <f ca="1">VLOOKUP(A955,[2]characters!$A:$K,11,FALSE)</f>
        <v>attack</v>
      </c>
      <c r="I955" s="6" t="str">
        <f ca="1">VLOOKUP(H955,[2]character_type_i18n!$A:$F,3,FALSE)</f>
        <v>攻撃タイプ</v>
      </c>
      <c r="J955" s="97">
        <f ca="1">VLOOKUP(H955,[2]character_type_i18n!$A:$F,4,FALSE)</f>
        <v>1</v>
      </c>
      <c r="K955" s="97">
        <f ca="1">VLOOKUP(H955,[2]character_type_i18n!$A:$F,5,FALSE)</f>
        <v>1.33</v>
      </c>
      <c r="L955" s="97">
        <f ca="1">VLOOKUP(H955,[2]character_type_i18n!$A:$F,6,FALSE)</f>
        <v>1</v>
      </c>
      <c r="M955" s="9" t="str">
        <f ca="1">VLOOKUP(A955,[2]characters!$A:$M,13,FALSE)</f>
        <v>academia</v>
      </c>
      <c r="N955" s="6" t="str">
        <f ca="1">VLOOKUP(M955,[2]character_tribe_i18n!$A:$F,3,FALSE)</f>
        <v>アカデミア</v>
      </c>
      <c r="O955" s="97">
        <f ca="1">VLOOKUP(M955,[2]character_tribe_i18n!$A:$F,4,FALSE)</f>
        <v>1</v>
      </c>
      <c r="P955" s="97">
        <f ca="1">VLOOKUP(M955,[2]character_tribe_i18n!$A:$F,5,FALSE)</f>
        <v>1</v>
      </c>
      <c r="Q955" s="97">
        <f ca="1">VLOOKUP(M955,[2]character_tribe_i18n!$A:$F,6,FALSE)</f>
        <v>1</v>
      </c>
      <c r="R955" s="98" t="s">
        <v>98</v>
      </c>
      <c r="S955" s="97">
        <f>VLOOKUP($R955,ラベル別係数!$A$1:$E$7,3,FALSE)</f>
        <v>5</v>
      </c>
      <c r="T955" s="97">
        <f>VLOOKUP($R955,ラベル別係数!$A$1:$E$7,4,FALSE)</f>
        <v>1.3</v>
      </c>
      <c r="U955" s="97">
        <f>VLOOKUP($R955,ラベル別係数!$A$1:$E$7,5,FALSE)</f>
        <v>0.8</v>
      </c>
      <c r="V955" s="98">
        <v>3</v>
      </c>
      <c r="W955" s="99">
        <f>VLOOKUP(V955,ターン数別攻撃係数!$A$1:$B$1000,2,FALSE)</f>
        <v>1</v>
      </c>
      <c r="X955" s="9">
        <f ca="1">VLOOKUP(C955,サイズ別係数!A$2:B$9,2,FALSE)</f>
        <v>60</v>
      </c>
      <c r="Y955" s="97">
        <f ca="1">VLOOKUP($X955,サイズ別係数!$B:$E,2,FALSE)</f>
        <v>1.7</v>
      </c>
      <c r="Z955" s="97">
        <f ca="1">VLOOKUP($X955,サイズ別係数!$B:$E,3,FALSE)</f>
        <v>1.4</v>
      </c>
      <c r="AA955" s="97">
        <f ca="1">VLOOKUP($X955,サイズ別係数!$B:$E,4,FALSE)</f>
        <v>1</v>
      </c>
      <c r="AB955" s="10">
        <v>0</v>
      </c>
      <c r="AC955" s="6" t="str">
        <f ca="1">VLOOKUP($AB955,OFFSET([3]enemy_skill_sets!$B$2,0,0,COUNTA([3]enemy_skill_sets!$A:$A),MATCH(AC$1,[3]enemy_skill_sets!$1:$1,0)-MATCH($AB$1,[3]enemy_skill_sets!$1:$1,0)+1),MATCH(AC$1,[3]enemy_skill_sets!$1:$1,0)-MATCH($AB$1,[3]enemy_skill_sets!$1:$1,0)+1,FALSE)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5" s="67">
        <v>1</v>
      </c>
      <c r="AE955" s="67">
        <v>1</v>
      </c>
      <c r="AF955" s="68">
        <v>0</v>
      </c>
      <c r="AG955" s="99">
        <f ca="1">ROUND(VLOOKUP(1,enemy_base_stats!$A:$F,2,FALSE) * Y955* J955*O955*E955*S955*AD955*[2]ステータス!$B$2,0)</f>
        <v>4335</v>
      </c>
      <c r="AH955" s="99">
        <f ca="1">ROUND(VLOOKUP(1,enemy_base_stats!$A:$F,3,FALSE) * Z955*K955*P955*F955*T955*AE955 * W955*[2]ステータス!$C$2,0)</f>
        <v>356</v>
      </c>
      <c r="AI955" s="99">
        <f ca="1">ROUND(VLOOKUP(1,enemy_base_stats!$A:$F,4,FALSE) * AA955*L955*Q955*G955*U955*AF955*[2]ステータス!$D$2,0)</f>
        <v>0</v>
      </c>
      <c r="AJ955" s="99">
        <f ca="1">ROUND(VLOOKUP(100,enemy_base_stats!$A:$F,2,FALSE) * Y955* J955*O955*E955*S955*AD955*[2]ステータス!$B$2,0)</f>
        <v>176001</v>
      </c>
      <c r="AK955" s="99">
        <f ca="1">ROUND(VLOOKUP(100,enemy_base_stats!$A:$F,3,FALSE)* Z955* K955*P955*F955*T955*AE955 * W955*[2]ステータス!$C$2,0)</f>
        <v>14447</v>
      </c>
      <c r="AL955" s="99">
        <f ca="1">ROUND(VLOOKUP(100,enemy_base_stats!$A:$F,4,FALSE)* AA955* L955*Q955*G955*U955*AF955*[2]ステータス!$D$2,0)</f>
        <v>0</v>
      </c>
      <c r="AM955" s="97">
        <f ca="1">VLOOKUP(M955,[2]character_tribe_i18n!$A:$I,9,FALSE)</f>
        <v>400</v>
      </c>
      <c r="AN955" s="97">
        <v>0</v>
      </c>
      <c r="AO955" s="98">
        <v>0</v>
      </c>
      <c r="AP955" s="58" t="s">
        <v>72</v>
      </c>
      <c r="AQ955" s="34">
        <f t="shared" ca="1" si="53"/>
        <v>954</v>
      </c>
    </row>
    <row r="956" spans="1:43" ht="21" customHeight="1" x14ac:dyDescent="0.15">
      <c r="A956" s="7">
        <f t="shared" ca="1" si="52"/>
        <v>955</v>
      </c>
      <c r="B956" s="6" t="str">
        <f ca="1">VLOOKUP(A956,[2]characters!$A:$C,3,FALSE)</f>
        <v>マクローリン</v>
      </c>
      <c r="C956" s="9">
        <f ca="1">VLOOKUP(A956,[2]characters!$A:$I,9,FALSE)</f>
        <v>5</v>
      </c>
      <c r="D956" s="9" t="str">
        <f ca="1">VLOOKUP(A956,[2]characters!$A:$H,8,FALSE)</f>
        <v>red</v>
      </c>
      <c r="E956" s="97">
        <f ca="1">VLOOKUP(D956,[2]属性!$A:$E,2,FALSE)</f>
        <v>1</v>
      </c>
      <c r="F956" s="97">
        <f ca="1">VLOOKUP(D956,[2]属性!$A:$E,3,FALSE)</f>
        <v>1.02</v>
      </c>
      <c r="G956" s="97">
        <f ca="1">VLOOKUP(D956,[2]属性!$A:$F,4,FALSE)</f>
        <v>1</v>
      </c>
      <c r="H956" s="9" t="str">
        <f ca="1">VLOOKUP(A956,[2]characters!$A:$K,11,FALSE)</f>
        <v>technical</v>
      </c>
      <c r="I956" s="6" t="str">
        <f ca="1">VLOOKUP(H956,[2]character_type_i18n!$A:$F,3,FALSE)</f>
        <v>テクニカルタイプ</v>
      </c>
      <c r="J956" s="97">
        <f ca="1">VLOOKUP(H956,[2]character_type_i18n!$A:$F,4,FALSE)</f>
        <v>0.9</v>
      </c>
      <c r="K956" s="97">
        <f ca="1">VLOOKUP(H956,[2]character_type_i18n!$A:$F,5,FALSE)</f>
        <v>0.9</v>
      </c>
      <c r="L956" s="97">
        <f ca="1">VLOOKUP(H956,[2]character_type_i18n!$A:$F,6,FALSE)</f>
        <v>1</v>
      </c>
      <c r="M956" s="9" t="str">
        <f ca="1">VLOOKUP(A956,[2]characters!$A:$M,13,FALSE)</f>
        <v>academia</v>
      </c>
      <c r="N956" s="6" t="str">
        <f ca="1">VLOOKUP(M956,[2]character_tribe_i18n!$A:$F,3,FALSE)</f>
        <v>アカデミア</v>
      </c>
      <c r="O956" s="97">
        <f ca="1">VLOOKUP(M956,[2]character_tribe_i18n!$A:$F,4,FALSE)</f>
        <v>1</v>
      </c>
      <c r="P956" s="97">
        <f ca="1">VLOOKUP(M956,[2]character_tribe_i18n!$A:$F,5,FALSE)</f>
        <v>1</v>
      </c>
      <c r="Q956" s="97">
        <f ca="1">VLOOKUP(M956,[2]character_tribe_i18n!$A:$F,6,FALSE)</f>
        <v>1</v>
      </c>
      <c r="R956" s="98" t="s">
        <v>98</v>
      </c>
      <c r="S956" s="97">
        <f>VLOOKUP($R956,ラベル別係数!$A$1:$E$7,3,FALSE)</f>
        <v>5</v>
      </c>
      <c r="T956" s="97">
        <f>VLOOKUP($R956,ラベル別係数!$A$1:$E$7,4,FALSE)</f>
        <v>1.3</v>
      </c>
      <c r="U956" s="97">
        <f>VLOOKUP($R956,ラベル別係数!$A$1:$E$7,5,FALSE)</f>
        <v>0.8</v>
      </c>
      <c r="V956" s="98">
        <v>3</v>
      </c>
      <c r="W956" s="99">
        <f>VLOOKUP(V956,ターン数別攻撃係数!$A$1:$B$1000,2,FALSE)</f>
        <v>1</v>
      </c>
      <c r="X956" s="9">
        <f ca="1">VLOOKUP(C956,サイズ別係数!A$2:B$9,2,FALSE)</f>
        <v>60</v>
      </c>
      <c r="Y956" s="97">
        <f ca="1">VLOOKUP($X956,サイズ別係数!$B:$E,2,FALSE)</f>
        <v>1.7</v>
      </c>
      <c r="Z956" s="97">
        <f ca="1">VLOOKUP($X956,サイズ別係数!$B:$E,3,FALSE)</f>
        <v>1.4</v>
      </c>
      <c r="AA956" s="97">
        <f ca="1">VLOOKUP($X956,サイズ別係数!$B:$E,4,FALSE)</f>
        <v>1</v>
      </c>
      <c r="AB956" s="10">
        <v>0</v>
      </c>
      <c r="AC956" s="6" t="str">
        <f ca="1">VLOOKUP($AB956,OFFSET([3]enemy_skill_sets!$B$2,0,0,COUNTA([3]enemy_skill_sets!$A:$A),MATCH(AC$1,[3]enemy_skill_sets!$1:$1,0)-MATCH($AB$1,[3]enemy_skill_sets!$1:$1,0)+1),MATCH(AC$1,[3]enemy_skill_sets!$1:$1,0)-MATCH($AB$1,[3]enemy_skill_sets!$1:$1,0)+1,FALSE)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6" s="67">
        <v>1</v>
      </c>
      <c r="AE956" s="67">
        <v>1</v>
      </c>
      <c r="AF956" s="68">
        <v>0</v>
      </c>
      <c r="AG956" s="99">
        <f ca="1">ROUND(VLOOKUP(1,enemy_base_stats!$A:$F,2,FALSE) * Y956* J956*O956*E956*S956*AD956*[2]ステータス!$B$2,0)</f>
        <v>3825</v>
      </c>
      <c r="AH956" s="99">
        <f ca="1">ROUND(VLOOKUP(1,enemy_base_stats!$A:$F,3,FALSE) * Z956*K956*P956*F956*T956*AE956 * W956*[2]ステータス!$C$2,0)</f>
        <v>251</v>
      </c>
      <c r="AI956" s="99">
        <f ca="1">ROUND(VLOOKUP(1,enemy_base_stats!$A:$F,4,FALSE) * AA956*L956*Q956*G956*U956*AF956*[2]ステータス!$D$2,0)</f>
        <v>0</v>
      </c>
      <c r="AJ956" s="99">
        <f ca="1">ROUND(VLOOKUP(100,enemy_base_stats!$A:$F,2,FALSE) * Y956* J956*O956*E956*S956*AD956*[2]ステータス!$B$2,0)</f>
        <v>155295</v>
      </c>
      <c r="AK956" s="99">
        <f ca="1">ROUND(VLOOKUP(100,enemy_base_stats!$A:$F,3,FALSE)* Z956* K956*P956*F956*T956*AE956 * W956*[2]ステータス!$C$2,0)</f>
        <v>10175</v>
      </c>
      <c r="AL956" s="99">
        <f ca="1">ROUND(VLOOKUP(100,enemy_base_stats!$A:$F,4,FALSE)* AA956* L956*Q956*G956*U956*AF956*[2]ステータス!$D$2,0)</f>
        <v>0</v>
      </c>
      <c r="AM956" s="97">
        <f ca="1">VLOOKUP(M956,[2]character_tribe_i18n!$A:$I,9,FALSE)</f>
        <v>400</v>
      </c>
      <c r="AN956" s="97">
        <v>0</v>
      </c>
      <c r="AO956" s="98">
        <v>0</v>
      </c>
      <c r="AP956" s="58" t="s">
        <v>72</v>
      </c>
      <c r="AQ956" s="34">
        <f t="shared" ca="1" si="53"/>
        <v>955</v>
      </c>
    </row>
    <row r="957" spans="1:43" ht="21" customHeight="1" x14ac:dyDescent="0.15">
      <c r="A957" s="7">
        <f t="shared" ca="1" si="52"/>
        <v>956</v>
      </c>
      <c r="B957" s="6" t="str">
        <f ca="1">VLOOKUP(A957,[2]characters!$A:$C,3,FALSE)</f>
        <v>導環の崇論 マクローリン</v>
      </c>
      <c r="C957" s="9">
        <f ca="1">VLOOKUP(A957,[2]characters!$A:$I,9,FALSE)</f>
        <v>6</v>
      </c>
      <c r="D957" s="9" t="str">
        <f ca="1">VLOOKUP(A957,[2]characters!$A:$H,8,FALSE)</f>
        <v>red</v>
      </c>
      <c r="E957" s="97">
        <f ca="1">VLOOKUP(D957,[2]属性!$A:$E,2,FALSE)</f>
        <v>1</v>
      </c>
      <c r="F957" s="97">
        <f ca="1">VLOOKUP(D957,[2]属性!$A:$E,3,FALSE)</f>
        <v>1.02</v>
      </c>
      <c r="G957" s="97">
        <f ca="1">VLOOKUP(D957,[2]属性!$A:$F,4,FALSE)</f>
        <v>1</v>
      </c>
      <c r="H957" s="9" t="str">
        <f ca="1">VLOOKUP(A957,[2]characters!$A:$K,11,FALSE)</f>
        <v>technical</v>
      </c>
      <c r="I957" s="6" t="str">
        <f ca="1">VLOOKUP(H957,[2]character_type_i18n!$A:$F,3,FALSE)</f>
        <v>テクニカルタイプ</v>
      </c>
      <c r="J957" s="97">
        <f ca="1">VLOOKUP(H957,[2]character_type_i18n!$A:$F,4,FALSE)</f>
        <v>0.9</v>
      </c>
      <c r="K957" s="97">
        <f ca="1">VLOOKUP(H957,[2]character_type_i18n!$A:$F,5,FALSE)</f>
        <v>0.9</v>
      </c>
      <c r="L957" s="97">
        <f ca="1">VLOOKUP(H957,[2]character_type_i18n!$A:$F,6,FALSE)</f>
        <v>1</v>
      </c>
      <c r="M957" s="9" t="str">
        <f ca="1">VLOOKUP(A957,[2]characters!$A:$M,13,FALSE)</f>
        <v>academia</v>
      </c>
      <c r="N957" s="6" t="str">
        <f ca="1">VLOOKUP(M957,[2]character_tribe_i18n!$A:$F,3,FALSE)</f>
        <v>アカデミア</v>
      </c>
      <c r="O957" s="97">
        <f ca="1">VLOOKUP(M957,[2]character_tribe_i18n!$A:$F,4,FALSE)</f>
        <v>1</v>
      </c>
      <c r="P957" s="97">
        <f ca="1">VLOOKUP(M957,[2]character_tribe_i18n!$A:$F,5,FALSE)</f>
        <v>1</v>
      </c>
      <c r="Q957" s="97">
        <f ca="1">VLOOKUP(M957,[2]character_tribe_i18n!$A:$F,6,FALSE)</f>
        <v>1</v>
      </c>
      <c r="R957" s="98" t="s">
        <v>98</v>
      </c>
      <c r="S957" s="97">
        <f>VLOOKUP($R957,ラベル別係数!$A$1:$E$7,3,FALSE)</f>
        <v>5</v>
      </c>
      <c r="T957" s="97">
        <f>VLOOKUP($R957,ラベル別係数!$A$1:$E$7,4,FALSE)</f>
        <v>1.3</v>
      </c>
      <c r="U957" s="97">
        <f>VLOOKUP($R957,ラベル別係数!$A$1:$E$7,5,FALSE)</f>
        <v>0.8</v>
      </c>
      <c r="V957" s="98">
        <v>3</v>
      </c>
      <c r="W957" s="99">
        <f>VLOOKUP(V957,ターン数別攻撃係数!$A$1:$B$1000,2,FALSE)</f>
        <v>1</v>
      </c>
      <c r="X957" s="9">
        <f ca="1">VLOOKUP(C957,サイズ別係数!A$2:B$9,2,FALSE)</f>
        <v>60</v>
      </c>
      <c r="Y957" s="97">
        <f ca="1">VLOOKUP($X957,サイズ別係数!$B:$E,2,FALSE)</f>
        <v>1.7</v>
      </c>
      <c r="Z957" s="97">
        <f ca="1">VLOOKUP($X957,サイズ別係数!$B:$E,3,FALSE)</f>
        <v>1.4</v>
      </c>
      <c r="AA957" s="97">
        <f ca="1">VLOOKUP($X957,サイズ別係数!$B:$E,4,FALSE)</f>
        <v>1</v>
      </c>
      <c r="AB957" s="10">
        <v>0</v>
      </c>
      <c r="AC957" s="6" t="str">
        <f ca="1">VLOOKUP($AB957,OFFSET([3]enemy_skill_sets!$B$2,0,0,COUNTA([3]enemy_skill_sets!$A:$A),MATCH(AC$1,[3]enemy_skill_sets!$1:$1,0)-MATCH($AB$1,[3]enemy_skill_sets!$1:$1,0)+1),MATCH(AC$1,[3]enemy_skill_sets!$1:$1,0)-MATCH($AB$1,[3]enemy_skill_sets!$1:$1,0)+1,FALSE)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7" s="67">
        <v>1</v>
      </c>
      <c r="AE957" s="67">
        <v>1</v>
      </c>
      <c r="AF957" s="68">
        <v>0</v>
      </c>
      <c r="AG957" s="99">
        <f ca="1">ROUND(VLOOKUP(1,enemy_base_stats!$A:$F,2,FALSE) * Y957* J957*O957*E957*S957*AD957*[2]ステータス!$B$2,0)</f>
        <v>3825</v>
      </c>
      <c r="AH957" s="99">
        <f ca="1">ROUND(VLOOKUP(1,enemy_base_stats!$A:$F,3,FALSE) * Z957*K957*P957*F957*T957*AE957 * W957*[2]ステータス!$C$2,0)</f>
        <v>251</v>
      </c>
      <c r="AI957" s="99">
        <f ca="1">ROUND(VLOOKUP(1,enemy_base_stats!$A:$F,4,FALSE) * AA957*L957*Q957*G957*U957*AF957*[2]ステータス!$D$2,0)</f>
        <v>0</v>
      </c>
      <c r="AJ957" s="99">
        <f ca="1">ROUND(VLOOKUP(100,enemy_base_stats!$A:$F,2,FALSE) * Y957* J957*O957*E957*S957*AD957*[2]ステータス!$B$2,0)</f>
        <v>155295</v>
      </c>
      <c r="AK957" s="99">
        <f ca="1">ROUND(VLOOKUP(100,enemy_base_stats!$A:$F,3,FALSE)* Z957* K957*P957*F957*T957*AE957 * W957*[2]ステータス!$C$2,0)</f>
        <v>10175</v>
      </c>
      <c r="AL957" s="99">
        <f ca="1">ROUND(VLOOKUP(100,enemy_base_stats!$A:$F,4,FALSE)* AA957* L957*Q957*G957*U957*AF957*[2]ステータス!$D$2,0)</f>
        <v>0</v>
      </c>
      <c r="AM957" s="97">
        <f ca="1">VLOOKUP(M957,[2]character_tribe_i18n!$A:$I,9,FALSE)</f>
        <v>400</v>
      </c>
      <c r="AN957" s="97">
        <v>0</v>
      </c>
      <c r="AO957" s="98">
        <v>0</v>
      </c>
      <c r="AP957" s="58" t="s">
        <v>72</v>
      </c>
      <c r="AQ957" s="34">
        <f t="shared" ca="1" si="53"/>
        <v>956</v>
      </c>
    </row>
    <row r="958" spans="1:43" ht="21" customHeight="1" x14ac:dyDescent="0.15">
      <c r="A958" s="7">
        <f t="shared" ca="1" si="52"/>
        <v>957</v>
      </c>
      <c r="B958" s="6" t="str">
        <f ca="1">VLOOKUP(A958,[2]characters!$A:$C,3,FALSE)</f>
        <v>浮環の流律論 マクローリン</v>
      </c>
      <c r="C958" s="9">
        <f ca="1">VLOOKUP(A958,[2]characters!$A:$I,9,FALSE)</f>
        <v>6</v>
      </c>
      <c r="D958" s="9" t="str">
        <f ca="1">VLOOKUP(A958,[2]characters!$A:$H,8,FALSE)</f>
        <v>red</v>
      </c>
      <c r="E958" s="97">
        <f ca="1">VLOOKUP(D958,[2]属性!$A:$E,2,FALSE)</f>
        <v>1</v>
      </c>
      <c r="F958" s="97">
        <f ca="1">VLOOKUP(D958,[2]属性!$A:$E,3,FALSE)</f>
        <v>1.02</v>
      </c>
      <c r="G958" s="97">
        <f ca="1">VLOOKUP(D958,[2]属性!$A:$F,4,FALSE)</f>
        <v>1</v>
      </c>
      <c r="H958" s="9" t="str">
        <f ca="1">VLOOKUP(A958,[2]characters!$A:$K,11,FALSE)</f>
        <v>hp</v>
      </c>
      <c r="I958" s="6" t="str">
        <f ca="1">VLOOKUP(H958,[2]character_type_i18n!$A:$F,3,FALSE)</f>
        <v>体力タイプ</v>
      </c>
      <c r="J958" s="97">
        <f ca="1">VLOOKUP(H958,[2]character_type_i18n!$A:$F,4,FALSE)</f>
        <v>1.45</v>
      </c>
      <c r="K958" s="97">
        <f ca="1">VLOOKUP(H958,[2]character_type_i18n!$A:$F,5,FALSE)</f>
        <v>0.85</v>
      </c>
      <c r="L958" s="97">
        <f ca="1">VLOOKUP(H958,[2]character_type_i18n!$A:$F,6,FALSE)</f>
        <v>1</v>
      </c>
      <c r="M958" s="9" t="str">
        <f ca="1">VLOOKUP(A958,[2]characters!$A:$M,13,FALSE)</f>
        <v>academia</v>
      </c>
      <c r="N958" s="6" t="str">
        <f ca="1">VLOOKUP(M958,[2]character_tribe_i18n!$A:$F,3,FALSE)</f>
        <v>アカデミア</v>
      </c>
      <c r="O958" s="97">
        <f ca="1">VLOOKUP(M958,[2]character_tribe_i18n!$A:$F,4,FALSE)</f>
        <v>1</v>
      </c>
      <c r="P958" s="97">
        <f ca="1">VLOOKUP(M958,[2]character_tribe_i18n!$A:$F,5,FALSE)</f>
        <v>1</v>
      </c>
      <c r="Q958" s="97">
        <f ca="1">VLOOKUP(M958,[2]character_tribe_i18n!$A:$F,6,FALSE)</f>
        <v>1</v>
      </c>
      <c r="R958" s="98" t="s">
        <v>98</v>
      </c>
      <c r="S958" s="97">
        <f>VLOOKUP($R958,ラベル別係数!$A$1:$E$7,3,FALSE)</f>
        <v>5</v>
      </c>
      <c r="T958" s="97">
        <f>VLOOKUP($R958,ラベル別係数!$A$1:$E$7,4,FALSE)</f>
        <v>1.3</v>
      </c>
      <c r="U958" s="97">
        <f>VLOOKUP($R958,ラベル別係数!$A$1:$E$7,5,FALSE)</f>
        <v>0.8</v>
      </c>
      <c r="V958" s="98">
        <v>3</v>
      </c>
      <c r="W958" s="99">
        <f>VLOOKUP(V958,ターン数別攻撃係数!$A$1:$B$1000,2,FALSE)</f>
        <v>1</v>
      </c>
      <c r="X958" s="9">
        <f ca="1">VLOOKUP(C958,サイズ別係数!A$2:B$9,2,FALSE)</f>
        <v>60</v>
      </c>
      <c r="Y958" s="97">
        <f ca="1">VLOOKUP($X958,サイズ別係数!$B:$E,2,FALSE)</f>
        <v>1.7</v>
      </c>
      <c r="Z958" s="97">
        <f ca="1">VLOOKUP($X958,サイズ別係数!$B:$E,3,FALSE)</f>
        <v>1.4</v>
      </c>
      <c r="AA958" s="97">
        <f ca="1">VLOOKUP($X958,サイズ別係数!$B:$E,4,FALSE)</f>
        <v>1</v>
      </c>
      <c r="AB958" s="10">
        <v>0</v>
      </c>
      <c r="AC958" s="6" t="str">
        <f ca="1">VLOOKUP($AB958,OFFSET([3]enemy_skill_sets!$B$2,0,0,COUNTA([3]enemy_skill_sets!$A:$A),MATCH(AC$1,[3]enemy_skill_sets!$1:$1,0)-MATCH($AB$1,[3]enemy_skill_sets!$1:$1,0)+1),MATCH(AC$1,[3]enemy_skill_sets!$1:$1,0)-MATCH($AB$1,[3]enemy_skill_sets!$1:$1,0)+1,FALSE)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8" s="67">
        <v>1</v>
      </c>
      <c r="AE958" s="67">
        <v>1</v>
      </c>
      <c r="AF958" s="68">
        <v>0</v>
      </c>
      <c r="AG958" s="99">
        <f ca="1">ROUND(VLOOKUP(1,enemy_base_stats!$A:$F,2,FALSE) * Y958* J958*O958*E958*S958*AD958*[2]ステータス!$B$2,0)</f>
        <v>6163</v>
      </c>
      <c r="AH958" s="99">
        <f ca="1">ROUND(VLOOKUP(1,enemy_base_stats!$A:$F,3,FALSE) * Z958*K958*P958*F958*T958*AE958 * W958*[2]ステータス!$C$2,0)</f>
        <v>237</v>
      </c>
      <c r="AI958" s="99">
        <f ca="1">ROUND(VLOOKUP(1,enemy_base_stats!$A:$F,4,FALSE) * AA958*L958*Q958*G958*U958*AF958*[2]ステータス!$D$2,0)</f>
        <v>0</v>
      </c>
      <c r="AJ958" s="99">
        <f ca="1">ROUND(VLOOKUP(100,enemy_base_stats!$A:$F,2,FALSE) * Y958* J958*O958*E958*S958*AD958*[2]ステータス!$B$2,0)</f>
        <v>250198</v>
      </c>
      <c r="AK958" s="99">
        <f ca="1">ROUND(VLOOKUP(100,enemy_base_stats!$A:$F,3,FALSE)* Z958* K958*P958*F958*T958*AE958 * W958*[2]ステータス!$C$2,0)</f>
        <v>9610</v>
      </c>
      <c r="AL958" s="99">
        <f ca="1">ROUND(VLOOKUP(100,enemy_base_stats!$A:$F,4,FALSE)* AA958* L958*Q958*G958*U958*AF958*[2]ステータス!$D$2,0)</f>
        <v>0</v>
      </c>
      <c r="AM958" s="97">
        <f ca="1">VLOOKUP(M958,[2]character_tribe_i18n!$A:$I,9,FALSE)</f>
        <v>400</v>
      </c>
      <c r="AN958" s="97">
        <v>0</v>
      </c>
      <c r="AO958" s="98">
        <v>0</v>
      </c>
      <c r="AP958" s="58" t="s">
        <v>72</v>
      </c>
      <c r="AQ958" s="34">
        <f t="shared" ca="1" si="53"/>
        <v>957</v>
      </c>
    </row>
    <row r="959" spans="1:43" ht="21" customHeight="1" x14ac:dyDescent="0.15">
      <c r="A959" s="7">
        <f t="shared" ca="1" si="52"/>
        <v>958</v>
      </c>
      <c r="B959" s="6" t="str">
        <f ca="1">VLOOKUP(A959,[2]characters!$A:$C,3,FALSE)</f>
        <v>ド・モルガン</v>
      </c>
      <c r="C959" s="9">
        <f ca="1">VLOOKUP(A959,[2]characters!$A:$I,9,FALSE)</f>
        <v>5</v>
      </c>
      <c r="D959" s="9" t="str">
        <f ca="1">VLOOKUP(A959,[2]characters!$A:$H,8,FALSE)</f>
        <v>green</v>
      </c>
      <c r="E959" s="97">
        <f ca="1">VLOOKUP(D959,[2]属性!$A:$E,2,FALSE)</f>
        <v>1.02</v>
      </c>
      <c r="F959" s="97">
        <f ca="1">VLOOKUP(D959,[2]属性!$A:$E,3,FALSE)</f>
        <v>0.98</v>
      </c>
      <c r="G959" s="97">
        <f ca="1">VLOOKUP(D959,[2]属性!$A:$F,4,FALSE)</f>
        <v>1</v>
      </c>
      <c r="H959" s="9" t="str">
        <f ca="1">VLOOKUP(A959,[2]characters!$A:$K,11,FALSE)</f>
        <v>balance</v>
      </c>
      <c r="I959" s="6" t="str">
        <f ca="1">VLOOKUP(H959,[2]character_type_i18n!$A:$F,3,FALSE)</f>
        <v>バランスタイプ</v>
      </c>
      <c r="J959" s="97">
        <f ca="1">VLOOKUP(H959,[2]character_type_i18n!$A:$F,4,FALSE)</f>
        <v>1</v>
      </c>
      <c r="K959" s="97">
        <f ca="1">VLOOKUP(H959,[2]character_type_i18n!$A:$F,5,FALSE)</f>
        <v>1</v>
      </c>
      <c r="L959" s="97">
        <f ca="1">VLOOKUP(H959,[2]character_type_i18n!$A:$F,6,FALSE)</f>
        <v>1</v>
      </c>
      <c r="M959" s="9" t="str">
        <f ca="1">VLOOKUP(A959,[2]characters!$A:$M,13,FALSE)</f>
        <v>academia</v>
      </c>
      <c r="N959" s="6" t="str">
        <f ca="1">VLOOKUP(M959,[2]character_tribe_i18n!$A:$F,3,FALSE)</f>
        <v>アカデミア</v>
      </c>
      <c r="O959" s="97">
        <f ca="1">VLOOKUP(M959,[2]character_tribe_i18n!$A:$F,4,FALSE)</f>
        <v>1</v>
      </c>
      <c r="P959" s="97">
        <f ca="1">VLOOKUP(M959,[2]character_tribe_i18n!$A:$F,5,FALSE)</f>
        <v>1</v>
      </c>
      <c r="Q959" s="97">
        <f ca="1">VLOOKUP(M959,[2]character_tribe_i18n!$A:$F,6,FALSE)</f>
        <v>1</v>
      </c>
      <c r="R959" s="98" t="s">
        <v>98</v>
      </c>
      <c r="S959" s="97">
        <f>VLOOKUP($R959,ラベル別係数!$A$1:$E$7,3,FALSE)</f>
        <v>5</v>
      </c>
      <c r="T959" s="97">
        <f>VLOOKUP($R959,ラベル別係数!$A$1:$E$7,4,FALSE)</f>
        <v>1.3</v>
      </c>
      <c r="U959" s="97">
        <f>VLOOKUP($R959,ラベル別係数!$A$1:$E$7,5,FALSE)</f>
        <v>0.8</v>
      </c>
      <c r="V959" s="98">
        <v>3</v>
      </c>
      <c r="W959" s="99">
        <f>VLOOKUP(V959,ターン数別攻撃係数!$A$1:$B$1000,2,FALSE)</f>
        <v>1</v>
      </c>
      <c r="X959" s="9">
        <f ca="1">VLOOKUP(C959,サイズ別係数!A$2:B$9,2,FALSE)</f>
        <v>60</v>
      </c>
      <c r="Y959" s="97">
        <f ca="1">VLOOKUP($X959,サイズ別係数!$B:$E,2,FALSE)</f>
        <v>1.7</v>
      </c>
      <c r="Z959" s="97">
        <f ca="1">VLOOKUP($X959,サイズ別係数!$B:$E,3,FALSE)</f>
        <v>1.4</v>
      </c>
      <c r="AA959" s="97">
        <f ca="1">VLOOKUP($X959,サイズ別係数!$B:$E,4,FALSE)</f>
        <v>1</v>
      </c>
      <c r="AB959" s="10">
        <v>0</v>
      </c>
      <c r="AC959" s="6" t="str">
        <f ca="1">VLOOKUP($AB959,OFFSET([3]enemy_skill_sets!$B$2,0,0,COUNTA([3]enemy_skill_sets!$A:$A),MATCH(AC$1,[3]enemy_skill_sets!$1:$1,0)-MATCH($AB$1,[3]enemy_skill_sets!$1:$1,0)+1),MATCH(AC$1,[3]enemy_skill_sets!$1:$1,0)-MATCH($AB$1,[3]enemy_skill_sets!$1:$1,0)+1,FALSE)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59" s="67">
        <v>1</v>
      </c>
      <c r="AE959" s="67">
        <v>1</v>
      </c>
      <c r="AF959" s="68">
        <v>0</v>
      </c>
      <c r="AG959" s="99">
        <f ca="1">ROUND(VLOOKUP(1,enemy_base_stats!$A:$F,2,FALSE) * Y959* J959*O959*E959*S959*AD959*[2]ステータス!$B$2,0)</f>
        <v>4335</v>
      </c>
      <c r="AH959" s="99">
        <f ca="1">ROUND(VLOOKUP(1,enemy_base_stats!$A:$F,3,FALSE) * Z959*K959*P959*F959*T959*AE959 * W959*[2]ステータス!$C$2,0)</f>
        <v>268</v>
      </c>
      <c r="AI959" s="99">
        <f ca="1">ROUND(VLOOKUP(1,enemy_base_stats!$A:$F,4,FALSE) * AA959*L959*Q959*G959*U959*AF959*[2]ステータス!$D$2,0)</f>
        <v>0</v>
      </c>
      <c r="AJ959" s="99">
        <f ca="1">ROUND(VLOOKUP(100,enemy_base_stats!$A:$F,2,FALSE) * Y959* J959*O959*E959*S959*AD959*[2]ステータス!$B$2,0)</f>
        <v>176001</v>
      </c>
      <c r="AK959" s="99">
        <f ca="1">ROUND(VLOOKUP(100,enemy_base_stats!$A:$F,3,FALSE)* Z959* K959*P959*F959*T959*AE959 * W959*[2]ステータス!$C$2,0)</f>
        <v>10862</v>
      </c>
      <c r="AL959" s="99">
        <f ca="1">ROUND(VLOOKUP(100,enemy_base_stats!$A:$F,4,FALSE)* AA959* L959*Q959*G959*U959*AF959*[2]ステータス!$D$2,0)</f>
        <v>0</v>
      </c>
      <c r="AM959" s="97">
        <f ca="1">VLOOKUP(M959,[2]character_tribe_i18n!$A:$I,9,FALSE)</f>
        <v>400</v>
      </c>
      <c r="AN959" s="97">
        <v>0</v>
      </c>
      <c r="AO959" s="98">
        <v>0</v>
      </c>
      <c r="AP959" s="58" t="s">
        <v>72</v>
      </c>
      <c r="AQ959" s="34">
        <f t="shared" ca="1" si="53"/>
        <v>958</v>
      </c>
    </row>
    <row r="960" spans="1:43" ht="21" customHeight="1" x14ac:dyDescent="0.15">
      <c r="A960" s="7">
        <f t="shared" ca="1" si="52"/>
        <v>959</v>
      </c>
      <c r="B960" s="6" t="str">
        <f ca="1">VLOOKUP(A960,[2]characters!$A:$C,3,FALSE)</f>
        <v>双世の論和 ド・モルガン</v>
      </c>
      <c r="C960" s="9">
        <f ca="1">VLOOKUP(A960,[2]characters!$A:$I,9,FALSE)</f>
        <v>6</v>
      </c>
      <c r="D960" s="9" t="str">
        <f ca="1">VLOOKUP(A960,[2]characters!$A:$H,8,FALSE)</f>
        <v>green</v>
      </c>
      <c r="E960" s="97">
        <f ca="1">VLOOKUP(D960,[2]属性!$A:$E,2,FALSE)</f>
        <v>1.02</v>
      </c>
      <c r="F960" s="97">
        <f ca="1">VLOOKUP(D960,[2]属性!$A:$E,3,FALSE)</f>
        <v>0.98</v>
      </c>
      <c r="G960" s="97">
        <f ca="1">VLOOKUP(D960,[2]属性!$A:$F,4,FALSE)</f>
        <v>1</v>
      </c>
      <c r="H960" s="9" t="str">
        <f ca="1">VLOOKUP(A960,[2]characters!$A:$K,11,FALSE)</f>
        <v>balance</v>
      </c>
      <c r="I960" s="6" t="str">
        <f ca="1">VLOOKUP(H960,[2]character_type_i18n!$A:$F,3,FALSE)</f>
        <v>バランスタイプ</v>
      </c>
      <c r="J960" s="97">
        <f ca="1">VLOOKUP(H960,[2]character_type_i18n!$A:$F,4,FALSE)</f>
        <v>1</v>
      </c>
      <c r="K960" s="97">
        <f ca="1">VLOOKUP(H960,[2]character_type_i18n!$A:$F,5,FALSE)</f>
        <v>1</v>
      </c>
      <c r="L960" s="97">
        <f ca="1">VLOOKUP(H960,[2]character_type_i18n!$A:$F,6,FALSE)</f>
        <v>1</v>
      </c>
      <c r="M960" s="9" t="str">
        <f ca="1">VLOOKUP(A960,[2]characters!$A:$M,13,FALSE)</f>
        <v>academia</v>
      </c>
      <c r="N960" s="6" t="str">
        <f ca="1">VLOOKUP(M960,[2]character_tribe_i18n!$A:$F,3,FALSE)</f>
        <v>アカデミア</v>
      </c>
      <c r="O960" s="97">
        <f ca="1">VLOOKUP(M960,[2]character_tribe_i18n!$A:$F,4,FALSE)</f>
        <v>1</v>
      </c>
      <c r="P960" s="97">
        <f ca="1">VLOOKUP(M960,[2]character_tribe_i18n!$A:$F,5,FALSE)</f>
        <v>1</v>
      </c>
      <c r="Q960" s="97">
        <f ca="1">VLOOKUP(M960,[2]character_tribe_i18n!$A:$F,6,FALSE)</f>
        <v>1</v>
      </c>
      <c r="R960" s="98" t="s">
        <v>98</v>
      </c>
      <c r="S960" s="97">
        <f>VLOOKUP($R960,ラベル別係数!$A$1:$E$7,3,FALSE)</f>
        <v>5</v>
      </c>
      <c r="T960" s="97">
        <f>VLOOKUP($R960,ラベル別係数!$A$1:$E$7,4,FALSE)</f>
        <v>1.3</v>
      </c>
      <c r="U960" s="97">
        <f>VLOOKUP($R960,ラベル別係数!$A$1:$E$7,5,FALSE)</f>
        <v>0.8</v>
      </c>
      <c r="V960" s="98">
        <v>3</v>
      </c>
      <c r="W960" s="99">
        <f>VLOOKUP(V960,ターン数別攻撃係数!$A$1:$B$1000,2,FALSE)</f>
        <v>1</v>
      </c>
      <c r="X960" s="9">
        <f ca="1">VLOOKUP(C960,サイズ別係数!A$2:B$9,2,FALSE)</f>
        <v>60</v>
      </c>
      <c r="Y960" s="97">
        <f ca="1">VLOOKUP($X960,サイズ別係数!$B:$E,2,FALSE)</f>
        <v>1.7</v>
      </c>
      <c r="Z960" s="97">
        <f ca="1">VLOOKUP($X960,サイズ別係数!$B:$E,3,FALSE)</f>
        <v>1.4</v>
      </c>
      <c r="AA960" s="97">
        <f ca="1">VLOOKUP($X960,サイズ別係数!$B:$E,4,FALSE)</f>
        <v>1</v>
      </c>
      <c r="AB960" s="10">
        <v>0</v>
      </c>
      <c r="AC960" s="6" t="str">
        <f ca="1">VLOOKUP($AB960,OFFSET([3]enemy_skill_sets!$B$2,0,0,COUNTA([3]enemy_skill_sets!$A:$A),MATCH(AC$1,[3]enemy_skill_sets!$1:$1,0)-MATCH($AB$1,[3]enemy_skill_sets!$1:$1,0)+1),MATCH(AC$1,[3]enemy_skill_sets!$1:$1,0)-MATCH($AB$1,[3]enemy_skill_sets!$1:$1,0)+1,FALSE)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0" s="67">
        <v>1</v>
      </c>
      <c r="AE960" s="67">
        <v>1</v>
      </c>
      <c r="AF960" s="68">
        <v>0</v>
      </c>
      <c r="AG960" s="99">
        <f ca="1">ROUND(VLOOKUP(1,enemy_base_stats!$A:$F,2,FALSE) * Y960* J960*O960*E960*S960*AD960*[2]ステータス!$B$2,0)</f>
        <v>4335</v>
      </c>
      <c r="AH960" s="99">
        <f ca="1">ROUND(VLOOKUP(1,enemy_base_stats!$A:$F,3,FALSE) * Z960*K960*P960*F960*T960*AE960 * W960*[2]ステータス!$C$2,0)</f>
        <v>268</v>
      </c>
      <c r="AI960" s="99">
        <f ca="1">ROUND(VLOOKUP(1,enemy_base_stats!$A:$F,4,FALSE) * AA960*L960*Q960*G960*U960*AF960*[2]ステータス!$D$2,0)</f>
        <v>0</v>
      </c>
      <c r="AJ960" s="99">
        <f ca="1">ROUND(VLOOKUP(100,enemy_base_stats!$A:$F,2,FALSE) * Y960* J960*O960*E960*S960*AD960*[2]ステータス!$B$2,0)</f>
        <v>176001</v>
      </c>
      <c r="AK960" s="99">
        <f ca="1">ROUND(VLOOKUP(100,enemy_base_stats!$A:$F,3,FALSE)* Z960* K960*P960*F960*T960*AE960 * W960*[2]ステータス!$C$2,0)</f>
        <v>10862</v>
      </c>
      <c r="AL960" s="99">
        <f ca="1">ROUND(VLOOKUP(100,enemy_base_stats!$A:$F,4,FALSE)* AA960* L960*Q960*G960*U960*AF960*[2]ステータス!$D$2,0)</f>
        <v>0</v>
      </c>
      <c r="AM960" s="97">
        <f ca="1">VLOOKUP(M960,[2]character_tribe_i18n!$A:$I,9,FALSE)</f>
        <v>400</v>
      </c>
      <c r="AN960" s="97">
        <v>0</v>
      </c>
      <c r="AO960" s="98">
        <v>0</v>
      </c>
      <c r="AP960" s="58" t="s">
        <v>72</v>
      </c>
      <c r="AQ960" s="34">
        <f t="shared" ca="1" si="53"/>
        <v>959</v>
      </c>
    </row>
    <row r="961" spans="1:43" ht="21" customHeight="1" x14ac:dyDescent="0.15">
      <c r="A961" s="7">
        <f t="shared" ca="1" si="52"/>
        <v>960</v>
      </c>
      <c r="B961" s="6" t="str">
        <f ca="1">VLOOKUP(A961,[2]characters!$A:$C,3,FALSE)</f>
        <v>双対する真偽者 ド・モルガン</v>
      </c>
      <c r="C961" s="9">
        <f ca="1">VLOOKUP(A961,[2]characters!$A:$I,9,FALSE)</f>
        <v>6</v>
      </c>
      <c r="D961" s="9" t="str">
        <f ca="1">VLOOKUP(A961,[2]characters!$A:$H,8,FALSE)</f>
        <v>green</v>
      </c>
      <c r="E961" s="97">
        <f ca="1">VLOOKUP(D961,[2]属性!$A:$E,2,FALSE)</f>
        <v>1.02</v>
      </c>
      <c r="F961" s="97">
        <f ca="1">VLOOKUP(D961,[2]属性!$A:$E,3,FALSE)</f>
        <v>0.98</v>
      </c>
      <c r="G961" s="97">
        <f ca="1">VLOOKUP(D961,[2]属性!$A:$F,4,FALSE)</f>
        <v>1</v>
      </c>
      <c r="H961" s="9" t="str">
        <f ca="1">VLOOKUP(A961,[2]characters!$A:$K,11,FALSE)</f>
        <v>heal</v>
      </c>
      <c r="I961" s="6" t="str">
        <f ca="1">VLOOKUP(H961,[2]character_type_i18n!$A:$F,3,FALSE)</f>
        <v>回復タイプ</v>
      </c>
      <c r="J961" s="97">
        <f ca="1">VLOOKUP(H961,[2]character_type_i18n!$A:$F,4,FALSE)</f>
        <v>0.8</v>
      </c>
      <c r="K961" s="97">
        <f ca="1">VLOOKUP(H961,[2]character_type_i18n!$A:$F,5,FALSE)</f>
        <v>0.78</v>
      </c>
      <c r="L961" s="97">
        <f ca="1">VLOOKUP(H961,[2]character_type_i18n!$A:$F,6,FALSE)</f>
        <v>1</v>
      </c>
      <c r="M961" s="9" t="str">
        <f ca="1">VLOOKUP(A961,[2]characters!$A:$M,13,FALSE)</f>
        <v>academia</v>
      </c>
      <c r="N961" s="6" t="str">
        <f ca="1">VLOOKUP(M961,[2]character_tribe_i18n!$A:$F,3,FALSE)</f>
        <v>アカデミア</v>
      </c>
      <c r="O961" s="97">
        <f ca="1">VLOOKUP(M961,[2]character_tribe_i18n!$A:$F,4,FALSE)</f>
        <v>1</v>
      </c>
      <c r="P961" s="97">
        <f ca="1">VLOOKUP(M961,[2]character_tribe_i18n!$A:$F,5,FALSE)</f>
        <v>1</v>
      </c>
      <c r="Q961" s="97">
        <f ca="1">VLOOKUP(M961,[2]character_tribe_i18n!$A:$F,6,FALSE)</f>
        <v>1</v>
      </c>
      <c r="R961" s="98" t="s">
        <v>98</v>
      </c>
      <c r="S961" s="97">
        <f>VLOOKUP($R961,ラベル別係数!$A$1:$E$7,3,FALSE)</f>
        <v>5</v>
      </c>
      <c r="T961" s="97">
        <f>VLOOKUP($R961,ラベル別係数!$A$1:$E$7,4,FALSE)</f>
        <v>1.3</v>
      </c>
      <c r="U961" s="97">
        <f>VLOOKUP($R961,ラベル別係数!$A$1:$E$7,5,FALSE)</f>
        <v>0.8</v>
      </c>
      <c r="V961" s="98">
        <v>3</v>
      </c>
      <c r="W961" s="99">
        <f>VLOOKUP(V961,ターン数別攻撃係数!$A$1:$B$1000,2,FALSE)</f>
        <v>1</v>
      </c>
      <c r="X961" s="9">
        <f ca="1">VLOOKUP(C961,サイズ別係数!A$2:B$9,2,FALSE)</f>
        <v>60</v>
      </c>
      <c r="Y961" s="97">
        <f ca="1">VLOOKUP($X961,サイズ別係数!$B:$E,2,FALSE)</f>
        <v>1.7</v>
      </c>
      <c r="Z961" s="97">
        <f ca="1">VLOOKUP($X961,サイズ別係数!$B:$E,3,FALSE)</f>
        <v>1.4</v>
      </c>
      <c r="AA961" s="97">
        <f ca="1">VLOOKUP($X961,サイズ別係数!$B:$E,4,FALSE)</f>
        <v>1</v>
      </c>
      <c r="AB961" s="10">
        <v>0</v>
      </c>
      <c r="AC961" s="6" t="str">
        <f ca="1">VLOOKUP($AB961,OFFSET([3]enemy_skill_sets!$B$2,0,0,COUNTA([3]enemy_skill_sets!$A:$A),MATCH(AC$1,[3]enemy_skill_sets!$1:$1,0)-MATCH($AB$1,[3]enemy_skill_sets!$1:$1,0)+1),MATCH(AC$1,[3]enemy_skill_sets!$1:$1,0)-MATCH($AB$1,[3]enemy_skill_sets!$1:$1,0)+1,FALSE)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1" s="67">
        <v>1</v>
      </c>
      <c r="AE961" s="67">
        <v>1</v>
      </c>
      <c r="AF961" s="68">
        <v>0</v>
      </c>
      <c r="AG961" s="99">
        <f ca="1">ROUND(VLOOKUP(1,enemy_base_stats!$A:$F,2,FALSE) * Y961* J961*O961*E961*S961*AD961*[2]ステータス!$B$2,0)</f>
        <v>3468</v>
      </c>
      <c r="AH961" s="99">
        <f ca="1">ROUND(VLOOKUP(1,enemy_base_stats!$A:$F,3,FALSE) * Z961*K961*P961*F961*T961*AE961 * W961*[2]ステータス!$C$2,0)</f>
        <v>209</v>
      </c>
      <c r="AI961" s="99">
        <f ca="1">ROUND(VLOOKUP(1,enemy_base_stats!$A:$F,4,FALSE) * AA961*L961*Q961*G961*U961*AF961*[2]ステータス!$D$2,0)</f>
        <v>0</v>
      </c>
      <c r="AJ961" s="99">
        <f ca="1">ROUND(VLOOKUP(100,enemy_base_stats!$A:$F,2,FALSE) * Y961* J961*O961*E961*S961*AD961*[2]ステータス!$B$2,0)</f>
        <v>140801</v>
      </c>
      <c r="AK961" s="99">
        <f ca="1">ROUND(VLOOKUP(100,enemy_base_stats!$A:$F,3,FALSE)* Z961* K961*P961*F961*T961*AE961 * W961*[2]ステータス!$C$2,0)</f>
        <v>8472</v>
      </c>
      <c r="AL961" s="99">
        <f ca="1">ROUND(VLOOKUP(100,enemy_base_stats!$A:$F,4,FALSE)* AA961* L961*Q961*G961*U961*AF961*[2]ステータス!$D$2,0)</f>
        <v>0</v>
      </c>
      <c r="AM961" s="97">
        <f ca="1">VLOOKUP(M961,[2]character_tribe_i18n!$A:$I,9,FALSE)</f>
        <v>400</v>
      </c>
      <c r="AN961" s="97">
        <v>0</v>
      </c>
      <c r="AO961" s="98">
        <v>0</v>
      </c>
      <c r="AP961" s="58" t="s">
        <v>72</v>
      </c>
      <c r="AQ961" s="34">
        <f t="shared" ca="1" si="53"/>
        <v>960</v>
      </c>
    </row>
    <row r="962" spans="1:43" ht="21" customHeight="1" x14ac:dyDescent="0.15">
      <c r="A962" s="7">
        <f t="shared" ca="1" si="52"/>
        <v>961</v>
      </c>
      <c r="B962" s="6" t="str">
        <f ca="1">VLOOKUP(A962,[2]characters!$A:$C,3,FALSE)</f>
        <v>狂奏・混業剣 ガレス</v>
      </c>
      <c r="C962" s="9">
        <f ca="1">VLOOKUP(A962,[2]characters!$A:$I,9,FALSE)</f>
        <v>6</v>
      </c>
      <c r="D962" s="9" t="str">
        <f ca="1">VLOOKUP(A962,[2]characters!$A:$H,8,FALSE)</f>
        <v>green</v>
      </c>
      <c r="E962" s="97">
        <f ca="1">VLOOKUP(D962,[2]属性!$A:$E,2,FALSE)</f>
        <v>1.02</v>
      </c>
      <c r="F962" s="97">
        <f ca="1">VLOOKUP(D962,[2]属性!$A:$E,3,FALSE)</f>
        <v>0.98</v>
      </c>
      <c r="G962" s="97">
        <f ca="1">VLOOKUP(D962,[2]属性!$A:$F,4,FALSE)</f>
        <v>1</v>
      </c>
      <c r="H962" s="105" t="s">
        <v>154</v>
      </c>
      <c r="I962" s="6" t="str">
        <f>VLOOKUP(H962,[2]character_type_i18n!$A:$F,3,FALSE)</f>
        <v>テクニカルタイプ</v>
      </c>
      <c r="J962" s="97">
        <f>VLOOKUP(H962,[2]character_type_i18n!$A:$F,4,FALSE)</f>
        <v>0.9</v>
      </c>
      <c r="K962" s="97">
        <f>VLOOKUP(H962,[2]character_type_i18n!$A:$F,5,FALSE)</f>
        <v>0.9</v>
      </c>
      <c r="L962" s="97">
        <f>VLOOKUP(H962,[2]character_type_i18n!$A:$F,6,FALSE)</f>
        <v>1</v>
      </c>
      <c r="M962" s="105" t="s">
        <v>153</v>
      </c>
      <c r="N962" s="6" t="str">
        <f>VLOOKUP(M962,[2]character_tribe_i18n!$A:$F,3,FALSE)</f>
        <v>ヒューマン</v>
      </c>
      <c r="O962" s="97">
        <f>VLOOKUP(M962,[2]character_tribe_i18n!$A:$F,4,FALSE)</f>
        <v>0.94</v>
      </c>
      <c r="P962" s="97">
        <f>VLOOKUP(M962,[2]character_tribe_i18n!$A:$F,5,FALSE)</f>
        <v>0.99</v>
      </c>
      <c r="Q962" s="97">
        <f>VLOOKUP(M962,[2]character_tribe_i18n!$A:$F,6,FALSE)</f>
        <v>1</v>
      </c>
      <c r="R962" s="98" t="s">
        <v>98</v>
      </c>
      <c r="S962" s="97">
        <f>VLOOKUP($R962,ラベル別係数!$A$1:$E$7,3,FALSE)</f>
        <v>5</v>
      </c>
      <c r="T962" s="97">
        <f>VLOOKUP($R962,ラベル別係数!$A$1:$E$7,4,FALSE)</f>
        <v>1.3</v>
      </c>
      <c r="U962" s="97">
        <f>VLOOKUP($R962,ラベル別係数!$A$1:$E$7,5,FALSE)</f>
        <v>0.8</v>
      </c>
      <c r="V962" s="98">
        <v>3</v>
      </c>
      <c r="W962" s="99">
        <f>VLOOKUP(V962,ターン数別攻撃係数!$A$1:$B$1000,2,FALSE)</f>
        <v>1</v>
      </c>
      <c r="X962" s="9">
        <f ca="1">VLOOKUP(C962,サイズ別係数!A$2:B$9,2,FALSE)</f>
        <v>60</v>
      </c>
      <c r="Y962" s="97">
        <f ca="1">VLOOKUP($X962,サイズ別係数!$B:$E,2,FALSE)</f>
        <v>1.7</v>
      </c>
      <c r="Z962" s="97">
        <f ca="1">VLOOKUP($X962,サイズ別係数!$B:$E,3,FALSE)</f>
        <v>1.4</v>
      </c>
      <c r="AA962" s="97">
        <f ca="1">VLOOKUP($X962,サイズ別係数!$B:$E,4,FALSE)</f>
        <v>1</v>
      </c>
      <c r="AB962" s="10">
        <v>0</v>
      </c>
      <c r="AC962" s="6" t="str">
        <f ca="1">VLOOKUP($AB962,OFFSET([3]enemy_skill_sets!$B$2,0,0,COUNTA([3]enemy_skill_sets!$A:$A),MATCH(AC$1,[3]enemy_skill_sets!$1:$1,0)-MATCH($AB$1,[3]enemy_skill_sets!$1:$1,0)+1),MATCH(AC$1,[3]enemy_skill_sets!$1:$1,0)-MATCH($AB$1,[3]enemy_skill_sets!$1:$1,0)+1,FALSE)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2" s="67">
        <v>1</v>
      </c>
      <c r="AE962" s="67">
        <v>1</v>
      </c>
      <c r="AF962" s="68">
        <v>0</v>
      </c>
      <c r="AG962" s="99">
        <f ca="1">ROUND(VLOOKUP(1,enemy_base_stats!$A:$F,2,FALSE) * Y962* J962*O962*E962*S962*AD962*[2]ステータス!$B$2,0)</f>
        <v>3667</v>
      </c>
      <c r="AH962" s="99">
        <f ca="1">ROUND(VLOOKUP(1,enemy_base_stats!$A:$F,3,FALSE) * Z962*K962*P962*F962*T962*AE962 * W962*[2]ステータス!$C$2,0)</f>
        <v>238</v>
      </c>
      <c r="AI962" s="99">
        <f ca="1">ROUND(VLOOKUP(1,enemy_base_stats!$A:$F,4,FALSE) * AA962*L962*Q962*G962*U962*AF962*[2]ステータス!$D$2,0)</f>
        <v>0</v>
      </c>
      <c r="AJ962" s="99">
        <f ca="1">ROUND(VLOOKUP(100,enemy_base_stats!$A:$F,2,FALSE) * Y962* J962*O962*E962*S962*AD962*[2]ステータス!$B$2,0)</f>
        <v>148897</v>
      </c>
      <c r="AK962" s="99">
        <f ca="1">ROUND(VLOOKUP(100,enemy_base_stats!$A:$F,3,FALSE)* Z962* K962*P962*F962*T962*AE962 * W962*[2]ステータス!$C$2,0)</f>
        <v>9678</v>
      </c>
      <c r="AL962" s="99">
        <f ca="1">ROUND(VLOOKUP(100,enemy_base_stats!$A:$F,4,FALSE)* AA962* L962*Q962*G962*U962*AF962*[2]ステータス!$D$2,0)</f>
        <v>0</v>
      </c>
      <c r="AM962" s="97">
        <f>VLOOKUP(M962,[2]character_tribe_i18n!$A:$I,9,FALSE)</f>
        <v>400</v>
      </c>
      <c r="AN962" s="97">
        <v>0</v>
      </c>
      <c r="AO962" s="98">
        <v>0</v>
      </c>
      <c r="AP962" s="58" t="s">
        <v>72</v>
      </c>
      <c r="AQ962" s="34">
        <f t="shared" ca="1" si="53"/>
        <v>961</v>
      </c>
    </row>
    <row r="963" spans="1:43" ht="21" customHeight="1" x14ac:dyDescent="0.15">
      <c r="A963" s="7">
        <f t="shared" ref="A963:A1026" ca="1" si="54">INDIRECT(ADDRESS(ROW(),COLUMN(),1,TRUE,"[CharacterMasterData.xlsm]characters"))</f>
        <v>962</v>
      </c>
      <c r="B963" s="6" t="str">
        <f ca="1">VLOOKUP(A963,[2]characters!$A:$C,3,FALSE)</f>
        <v>酩酊する大宴龍 ヤマタノオロチ</v>
      </c>
      <c r="C963" s="9">
        <f ca="1">VLOOKUP(A963,[2]characters!$A:$I,9,FALSE)</f>
        <v>6</v>
      </c>
      <c r="D963" s="9" t="str">
        <f ca="1">VLOOKUP(A963,[2]characters!$A:$H,8,FALSE)</f>
        <v>green</v>
      </c>
      <c r="E963" s="97">
        <f ca="1">VLOOKUP(D963,[2]属性!$A:$E,2,FALSE)</f>
        <v>1.02</v>
      </c>
      <c r="F963" s="97">
        <f ca="1">VLOOKUP(D963,[2]属性!$A:$E,3,FALSE)</f>
        <v>0.98</v>
      </c>
      <c r="G963" s="97">
        <f ca="1">VLOOKUP(D963,[2]属性!$A:$F,4,FALSE)</f>
        <v>1</v>
      </c>
      <c r="H963" s="9" t="str">
        <f ca="1">VLOOKUP(A963,[2]characters!$A:$K,11,FALSE)</f>
        <v>hp</v>
      </c>
      <c r="I963" s="6" t="str">
        <f ca="1">VLOOKUP(H963,[2]character_type_i18n!$A:$F,3,FALSE)</f>
        <v>体力タイプ</v>
      </c>
      <c r="J963" s="97">
        <f ca="1">VLOOKUP(H963,[2]character_type_i18n!$A:$F,4,FALSE)</f>
        <v>1.45</v>
      </c>
      <c r="K963" s="97">
        <f ca="1">VLOOKUP(H963,[2]character_type_i18n!$A:$F,5,FALSE)</f>
        <v>0.85</v>
      </c>
      <c r="L963" s="97">
        <f ca="1">VLOOKUP(H963,[2]character_type_i18n!$A:$F,6,FALSE)</f>
        <v>1</v>
      </c>
      <c r="M963" s="9" t="str">
        <f ca="1">VLOOKUP(A963,[2]characters!$A:$M,13,FALSE)</f>
        <v>dragon</v>
      </c>
      <c r="N963" s="6" t="str">
        <f ca="1">VLOOKUP(M963,[2]character_tribe_i18n!$A:$F,3,FALSE)</f>
        <v>ドラゴン</v>
      </c>
      <c r="O963" s="97">
        <f ca="1">VLOOKUP(M963,[2]character_tribe_i18n!$A:$F,4,FALSE)</f>
        <v>1.1499999999999999</v>
      </c>
      <c r="P963" s="97">
        <f ca="1">VLOOKUP(M963,[2]character_tribe_i18n!$A:$F,5,FALSE)</f>
        <v>1.1000000000000001</v>
      </c>
      <c r="Q963" s="97">
        <f ca="1">VLOOKUP(M963,[2]character_tribe_i18n!$A:$F,6,FALSE)</f>
        <v>1</v>
      </c>
      <c r="R963" s="98" t="s">
        <v>98</v>
      </c>
      <c r="S963" s="97">
        <f>VLOOKUP($R963,ラベル別係数!$A$1:$E$7,3,FALSE)</f>
        <v>5</v>
      </c>
      <c r="T963" s="97">
        <f>VLOOKUP($R963,ラベル別係数!$A$1:$E$7,4,FALSE)</f>
        <v>1.3</v>
      </c>
      <c r="U963" s="97">
        <f>VLOOKUP($R963,ラベル別係数!$A$1:$E$7,5,FALSE)</f>
        <v>0.8</v>
      </c>
      <c r="V963" s="98">
        <v>3</v>
      </c>
      <c r="W963" s="99">
        <f>VLOOKUP(V963,ターン数別攻撃係数!$A$1:$B$1000,2,FALSE)</f>
        <v>1</v>
      </c>
      <c r="X963" s="9">
        <f ca="1">VLOOKUP(C963,サイズ別係数!A$2:B$9,2,FALSE)</f>
        <v>60</v>
      </c>
      <c r="Y963" s="97">
        <f ca="1">VLOOKUP($X963,サイズ別係数!$B:$E,2,FALSE)</f>
        <v>1.7</v>
      </c>
      <c r="Z963" s="97">
        <f ca="1">VLOOKUP($X963,サイズ別係数!$B:$E,3,FALSE)</f>
        <v>1.4</v>
      </c>
      <c r="AA963" s="97">
        <f ca="1">VLOOKUP($X963,サイズ別係数!$B:$E,4,FALSE)</f>
        <v>1</v>
      </c>
      <c r="AB963" s="10">
        <v>0</v>
      </c>
      <c r="AC963" s="6" t="str">
        <f ca="1">VLOOKUP($AB963,OFFSET([3]enemy_skill_sets!$B$2,0,0,COUNTA([3]enemy_skill_sets!$A:$A),MATCH(AC$1,[3]enemy_skill_sets!$1:$1,0)-MATCH($AB$1,[3]enemy_skill_sets!$1:$1,0)+1),MATCH(AC$1,[3]enemy_skill_sets!$1:$1,0)-MATCH($AB$1,[3]enemy_skill_sets!$1:$1,0)+1,FALSE)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3" s="67">
        <v>1</v>
      </c>
      <c r="AE963" s="67">
        <v>1</v>
      </c>
      <c r="AF963" s="68">
        <v>0</v>
      </c>
      <c r="AG963" s="99">
        <f ca="1">ROUND(VLOOKUP(1,enemy_base_stats!$A:$F,2,FALSE) * Y963* J963*O963*E963*S963*AD963*[2]ステータス!$B$2,0)</f>
        <v>7229</v>
      </c>
      <c r="AH963" s="99">
        <f ca="1">ROUND(VLOOKUP(1,enemy_base_stats!$A:$F,3,FALSE) * Z963*K963*P963*F963*T963*AE963 * W963*[2]ステータス!$C$2,0)</f>
        <v>250</v>
      </c>
      <c r="AI963" s="99">
        <f ca="1">ROUND(VLOOKUP(1,enemy_base_stats!$A:$F,4,FALSE) * AA963*L963*Q963*G963*U963*AF963*[2]ステータス!$D$2,0)</f>
        <v>0</v>
      </c>
      <c r="AJ963" s="99">
        <f ca="1">ROUND(VLOOKUP(100,enemy_base_stats!$A:$F,2,FALSE) * Y963* J963*O963*E963*S963*AD963*[2]ステータス!$B$2,0)</f>
        <v>293482</v>
      </c>
      <c r="AK963" s="99">
        <f ca="1">ROUND(VLOOKUP(100,enemy_base_stats!$A:$F,3,FALSE)* Z963* K963*P963*F963*T963*AE963 * W963*[2]ステータス!$C$2,0)</f>
        <v>10156</v>
      </c>
      <c r="AL963" s="99">
        <f ca="1">ROUND(VLOOKUP(100,enemy_base_stats!$A:$F,4,FALSE)* AA963* L963*Q963*G963*U963*AF963*[2]ステータス!$D$2,0)</f>
        <v>0</v>
      </c>
      <c r="AM963" s="97">
        <f ca="1">VLOOKUP(M963,[2]character_tribe_i18n!$A:$I,9,FALSE)</f>
        <v>540</v>
      </c>
      <c r="AN963" s="97">
        <v>0</v>
      </c>
      <c r="AO963" s="98">
        <v>0</v>
      </c>
      <c r="AP963" s="58" t="s">
        <v>72</v>
      </c>
      <c r="AQ963" s="34">
        <f t="shared" ca="1" si="53"/>
        <v>962</v>
      </c>
    </row>
    <row r="964" spans="1:43" ht="21" customHeight="1" x14ac:dyDescent="0.15">
      <c r="A964" s="7">
        <f t="shared" ca="1" si="52"/>
        <v>963</v>
      </c>
      <c r="B964" s="6" t="str">
        <f ca="1">VLOOKUP(A964,[2]characters!$A:$C,3,FALSE)</f>
        <v>天蛇の閃皇貴魔 アスタロト</v>
      </c>
      <c r="C964" s="9">
        <f ca="1">VLOOKUP(A964,[2]characters!$A:$I,9,FALSE)</f>
        <v>6</v>
      </c>
      <c r="D964" s="9" t="str">
        <f ca="1">VLOOKUP(A964,[2]characters!$A:$H,8,FALSE)</f>
        <v>yellow</v>
      </c>
      <c r="E964" s="97">
        <f ca="1">VLOOKUP(D964,[2]属性!$A:$E,2,FALSE)</f>
        <v>0.98</v>
      </c>
      <c r="F964" s="97">
        <f ca="1">VLOOKUP(D964,[2]属性!$A:$E,3,FALSE)</f>
        <v>1.01</v>
      </c>
      <c r="G964" s="97">
        <f ca="1">VLOOKUP(D964,[2]属性!$A:$F,4,FALSE)</f>
        <v>1</v>
      </c>
      <c r="H964" s="9" t="str">
        <f ca="1">VLOOKUP(A964,[2]characters!$A:$K,11,FALSE)</f>
        <v>attack</v>
      </c>
      <c r="I964" s="6" t="str">
        <f ca="1">VLOOKUP(H964,[2]character_type_i18n!$A:$F,3,FALSE)</f>
        <v>攻撃タイプ</v>
      </c>
      <c r="J964" s="97">
        <f ca="1">VLOOKUP(H964,[2]character_type_i18n!$A:$F,4,FALSE)</f>
        <v>1</v>
      </c>
      <c r="K964" s="97">
        <f ca="1">VLOOKUP(H964,[2]character_type_i18n!$A:$F,5,FALSE)</f>
        <v>1.33</v>
      </c>
      <c r="L964" s="97">
        <f ca="1">VLOOKUP(H964,[2]character_type_i18n!$A:$F,6,FALSE)</f>
        <v>1</v>
      </c>
      <c r="M964" s="9" t="str">
        <f ca="1">VLOOKUP(A964,[2]characters!$A:$M,13,FALSE)</f>
        <v>god</v>
      </c>
      <c r="N964" s="6" t="str">
        <f ca="1">VLOOKUP(M964,[2]character_tribe_i18n!$A:$F,3,FALSE)</f>
        <v>ゴッド</v>
      </c>
      <c r="O964" s="97">
        <f ca="1">VLOOKUP(M964,[2]character_tribe_i18n!$A:$F,4,FALSE)</f>
        <v>0.96</v>
      </c>
      <c r="P964" s="97">
        <f ca="1">VLOOKUP(M964,[2]character_tribe_i18n!$A:$F,5,FALSE)</f>
        <v>1.02</v>
      </c>
      <c r="Q964" s="97">
        <f ca="1">VLOOKUP(M964,[2]character_tribe_i18n!$A:$F,6,FALSE)</f>
        <v>1</v>
      </c>
      <c r="R964" s="98" t="s">
        <v>98</v>
      </c>
      <c r="S964" s="97">
        <f>VLOOKUP($R964,ラベル別係数!$A$1:$E$7,3,FALSE)</f>
        <v>5</v>
      </c>
      <c r="T964" s="97">
        <f>VLOOKUP($R964,ラベル別係数!$A$1:$E$7,4,FALSE)</f>
        <v>1.3</v>
      </c>
      <c r="U964" s="97">
        <f>VLOOKUP($R964,ラベル別係数!$A$1:$E$7,5,FALSE)</f>
        <v>0.8</v>
      </c>
      <c r="V964" s="98">
        <v>3</v>
      </c>
      <c r="W964" s="99">
        <f>VLOOKUP(V964,ターン数別攻撃係数!$A$1:$B$1000,2,FALSE)</f>
        <v>1</v>
      </c>
      <c r="X964" s="9">
        <f ca="1">VLOOKUP(C964,サイズ別係数!A$2:B$9,2,FALSE)</f>
        <v>60</v>
      </c>
      <c r="Y964" s="97">
        <f ca="1">VLOOKUP($X964,サイズ別係数!$B:$E,2,FALSE)</f>
        <v>1.7</v>
      </c>
      <c r="Z964" s="97">
        <f ca="1">VLOOKUP($X964,サイズ別係数!$B:$E,3,FALSE)</f>
        <v>1.4</v>
      </c>
      <c r="AA964" s="97">
        <f ca="1">VLOOKUP($X964,サイズ別係数!$B:$E,4,FALSE)</f>
        <v>1</v>
      </c>
      <c r="AB964" s="10">
        <v>0</v>
      </c>
      <c r="AC964" s="6" t="str">
        <f ca="1">VLOOKUP($AB964,OFFSET([3]enemy_skill_sets!$B$2,0,0,COUNTA([3]enemy_skill_sets!$A:$A),MATCH(AC$1,[3]enemy_skill_sets!$1:$1,0)-MATCH($AB$1,[3]enemy_skill_sets!$1:$1,0)+1),MATCH(AC$1,[3]enemy_skill_sets!$1:$1,0)-MATCH($AB$1,[3]enemy_skill_sets!$1:$1,0)+1,FALSE)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4" s="67">
        <v>1</v>
      </c>
      <c r="AE964" s="67">
        <v>1</v>
      </c>
      <c r="AF964" s="68">
        <v>0</v>
      </c>
      <c r="AG964" s="99">
        <f ca="1">ROUND(VLOOKUP(1,enemy_base_stats!$A:$F,2,FALSE) * Y964* J964*O964*E964*S964*AD964*[2]ステータス!$B$2,0)</f>
        <v>3998</v>
      </c>
      <c r="AH964" s="99">
        <f ca="1">ROUND(VLOOKUP(1,enemy_base_stats!$A:$F,3,FALSE) * Z964*K964*P964*F964*T964*AE964 * W964*[2]ステータス!$C$2,0)</f>
        <v>374</v>
      </c>
      <c r="AI964" s="99">
        <f ca="1">ROUND(VLOOKUP(1,enemy_base_stats!$A:$F,4,FALSE) * AA964*L964*Q964*G964*U964*AF964*[2]ステータス!$D$2,0)</f>
        <v>0</v>
      </c>
      <c r="AJ964" s="99">
        <f ca="1">ROUND(VLOOKUP(100,enemy_base_stats!$A:$F,2,FALSE) * Y964* J964*O964*E964*S964*AD964*[2]ステータス!$B$2,0)</f>
        <v>162335</v>
      </c>
      <c r="AK964" s="99">
        <f ca="1">ROUND(VLOOKUP(100,enemy_base_stats!$A:$F,3,FALSE)* Z964* K964*P964*F964*T964*AE964 * W964*[2]ステータス!$C$2,0)</f>
        <v>15187</v>
      </c>
      <c r="AL964" s="99">
        <f ca="1">ROUND(VLOOKUP(100,enemy_base_stats!$A:$F,4,FALSE)* AA964* L964*Q964*G964*U964*AF964*[2]ステータス!$D$2,0)</f>
        <v>0</v>
      </c>
      <c r="AM964" s="97">
        <f ca="1">VLOOKUP(M964,[2]character_tribe_i18n!$A:$I,9,FALSE)</f>
        <v>680</v>
      </c>
      <c r="AN964" s="97">
        <v>0</v>
      </c>
      <c r="AO964" s="98">
        <v>0</v>
      </c>
      <c r="AP964" s="58" t="s">
        <v>72</v>
      </c>
      <c r="AQ964" s="34">
        <f t="shared" ref="AQ964:AQ976" ca="1" si="55">A964</f>
        <v>963</v>
      </c>
    </row>
    <row r="965" spans="1:43" ht="21" customHeight="1" x14ac:dyDescent="0.15">
      <c r="A965" s="7">
        <f t="shared" ca="1" si="54"/>
        <v>964</v>
      </c>
      <c r="B965" s="6" t="str">
        <f ca="1">VLOOKUP(A965,[2]characters!$A:$C,3,FALSE)</f>
        <v>海破雨散の海龍 リヴァイアサン</v>
      </c>
      <c r="C965" s="9">
        <f ca="1">VLOOKUP(A965,[2]characters!$A:$I,9,FALSE)</f>
        <v>6</v>
      </c>
      <c r="D965" s="9" t="str">
        <f ca="1">VLOOKUP(A965,[2]characters!$A:$H,8,FALSE)</f>
        <v>blue</v>
      </c>
      <c r="E965" s="97">
        <f ca="1">VLOOKUP(D965,[2]属性!$A:$E,2,FALSE)</f>
        <v>1</v>
      </c>
      <c r="F965" s="97">
        <f ca="1">VLOOKUP(D965,[2]属性!$A:$E,3,FALSE)</f>
        <v>0.98</v>
      </c>
      <c r="G965" s="97">
        <f ca="1">VLOOKUP(D965,[2]属性!$A:$F,4,FALSE)</f>
        <v>1</v>
      </c>
      <c r="H965" s="9" t="str">
        <f ca="1">VLOOKUP(A965,[2]characters!$A:$K,11,FALSE)</f>
        <v>balance</v>
      </c>
      <c r="I965" s="6" t="str">
        <f ca="1">VLOOKUP(H965,[2]character_type_i18n!$A:$F,3,FALSE)</f>
        <v>バランスタイプ</v>
      </c>
      <c r="J965" s="97">
        <f ca="1">VLOOKUP(H965,[2]character_type_i18n!$A:$F,4,FALSE)</f>
        <v>1</v>
      </c>
      <c r="K965" s="97">
        <f ca="1">VLOOKUP(H965,[2]character_type_i18n!$A:$F,5,FALSE)</f>
        <v>1</v>
      </c>
      <c r="L965" s="97">
        <f ca="1">VLOOKUP(H965,[2]character_type_i18n!$A:$F,6,FALSE)</f>
        <v>1</v>
      </c>
      <c r="M965" s="9" t="str">
        <f ca="1">VLOOKUP(A965,[2]characters!$A:$M,13,FALSE)</f>
        <v>dragon</v>
      </c>
      <c r="N965" s="6" t="str">
        <f ca="1">VLOOKUP(M965,[2]character_tribe_i18n!$A:$F,3,FALSE)</f>
        <v>ドラゴン</v>
      </c>
      <c r="O965" s="97">
        <f ca="1">VLOOKUP(M965,[2]character_tribe_i18n!$A:$F,4,FALSE)</f>
        <v>1.1499999999999999</v>
      </c>
      <c r="P965" s="97">
        <f ca="1">VLOOKUP(M965,[2]character_tribe_i18n!$A:$F,5,FALSE)</f>
        <v>1.1000000000000001</v>
      </c>
      <c r="Q965" s="97">
        <f ca="1">VLOOKUP(M965,[2]character_tribe_i18n!$A:$F,6,FALSE)</f>
        <v>1</v>
      </c>
      <c r="R965" s="98" t="s">
        <v>98</v>
      </c>
      <c r="S965" s="97">
        <f>VLOOKUP($R965,ラベル別係数!$A$1:$E$7,3,FALSE)</f>
        <v>5</v>
      </c>
      <c r="T965" s="97">
        <f>VLOOKUP($R965,ラベル別係数!$A$1:$E$7,4,FALSE)</f>
        <v>1.3</v>
      </c>
      <c r="U965" s="97">
        <f>VLOOKUP($R965,ラベル別係数!$A$1:$E$7,5,FALSE)</f>
        <v>0.8</v>
      </c>
      <c r="V965" s="98">
        <v>3</v>
      </c>
      <c r="W965" s="99">
        <f>VLOOKUP(V965,ターン数別攻撃係数!$A$1:$B$1000,2,FALSE)</f>
        <v>1</v>
      </c>
      <c r="X965" s="9">
        <f ca="1">VLOOKUP(C965,サイズ別係数!A$2:B$9,2,FALSE)</f>
        <v>60</v>
      </c>
      <c r="Y965" s="97">
        <f ca="1">VLOOKUP($X965,サイズ別係数!$B:$E,2,FALSE)</f>
        <v>1.7</v>
      </c>
      <c r="Z965" s="97">
        <f ca="1">VLOOKUP($X965,サイズ別係数!$B:$E,3,FALSE)</f>
        <v>1.4</v>
      </c>
      <c r="AA965" s="97">
        <f ca="1">VLOOKUP($X965,サイズ別係数!$B:$E,4,FALSE)</f>
        <v>1</v>
      </c>
      <c r="AB965" s="10">
        <v>0</v>
      </c>
      <c r="AC965" s="6" t="str">
        <f ca="1">VLOOKUP($AB965,OFFSET([3]enemy_skill_sets!$B$2,0,0,COUNTA([3]enemy_skill_sets!$A:$A),MATCH(AC$1,[3]enemy_skill_sets!$1:$1,0)-MATCH($AB$1,[3]enemy_skill_sets!$1:$1,0)+1),MATCH(AC$1,[3]enemy_skill_sets!$1:$1,0)-MATCH($AB$1,[3]enemy_skill_sets!$1:$1,0)+1,FALSE)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5" s="67">
        <v>1</v>
      </c>
      <c r="AE965" s="67">
        <v>1</v>
      </c>
      <c r="AF965" s="68">
        <v>0</v>
      </c>
      <c r="AG965" s="99">
        <f ca="1">ROUND(VLOOKUP(1,enemy_base_stats!$A:$F,2,FALSE) * Y965* J965*O965*E965*S965*AD965*[2]ステータス!$B$2,0)</f>
        <v>4888</v>
      </c>
      <c r="AH965" s="99">
        <f ca="1">ROUND(VLOOKUP(1,enemy_base_stats!$A:$F,3,FALSE) * Z965*K965*P965*F965*T965*AE965 * W965*[2]ステータス!$C$2,0)</f>
        <v>294</v>
      </c>
      <c r="AI965" s="99">
        <f ca="1">ROUND(VLOOKUP(1,enemy_base_stats!$A:$F,4,FALSE) * AA965*L965*Q965*G965*U965*AF965*[2]ステータス!$D$2,0)</f>
        <v>0</v>
      </c>
      <c r="AJ965" s="99">
        <f ca="1">ROUND(VLOOKUP(100,enemy_base_stats!$A:$F,2,FALSE) * Y965* J965*O965*E965*S965*AD965*[2]ステータス!$B$2,0)</f>
        <v>198433</v>
      </c>
      <c r="AK965" s="99">
        <f ca="1">ROUND(VLOOKUP(100,enemy_base_stats!$A:$F,3,FALSE)* Z965* K965*P965*F965*T965*AE965 * W965*[2]ステータス!$C$2,0)</f>
        <v>11948</v>
      </c>
      <c r="AL965" s="99">
        <f ca="1">ROUND(VLOOKUP(100,enemy_base_stats!$A:$F,4,FALSE)* AA965* L965*Q965*G965*U965*AF965*[2]ステータス!$D$2,0)</f>
        <v>0</v>
      </c>
      <c r="AM965" s="97">
        <f ca="1">VLOOKUP(M965,[2]character_tribe_i18n!$A:$I,9,FALSE)</f>
        <v>540</v>
      </c>
      <c r="AN965" s="97">
        <v>0</v>
      </c>
      <c r="AO965" s="98">
        <v>0</v>
      </c>
      <c r="AP965" s="58" t="s">
        <v>72</v>
      </c>
      <c r="AQ965" s="34">
        <f t="shared" ca="1" si="55"/>
        <v>964</v>
      </c>
    </row>
    <row r="966" spans="1:43" ht="21" customHeight="1" x14ac:dyDescent="0.15">
      <c r="A966" s="7">
        <f t="shared" ca="1" si="54"/>
        <v>965</v>
      </c>
      <c r="B966" s="6" t="str">
        <f ca="1">VLOOKUP(A966,[2]characters!$A:$C,3,FALSE)</f>
        <v>穿熱の緋龍王 キング・ドライグ</v>
      </c>
      <c r="C966" s="9">
        <f ca="1">VLOOKUP(A966,[2]characters!$A:$I,9,FALSE)</f>
        <v>6</v>
      </c>
      <c r="D966" s="9" t="str">
        <f ca="1">VLOOKUP(A966,[2]characters!$A:$H,8,FALSE)</f>
        <v>red</v>
      </c>
      <c r="E966" s="97">
        <f ca="1">VLOOKUP(D966,[2]属性!$A:$E,2,FALSE)</f>
        <v>1</v>
      </c>
      <c r="F966" s="97">
        <f ca="1">VLOOKUP(D966,[2]属性!$A:$E,3,FALSE)</f>
        <v>1.02</v>
      </c>
      <c r="G966" s="97">
        <f ca="1">VLOOKUP(D966,[2]属性!$A:$F,4,FALSE)</f>
        <v>1</v>
      </c>
      <c r="H966" s="9" t="str">
        <f ca="1">VLOOKUP(A966,[2]characters!$A:$K,11,FALSE)</f>
        <v>attack</v>
      </c>
      <c r="I966" s="6" t="str">
        <f ca="1">VLOOKUP(H966,[2]character_type_i18n!$A:$F,3,FALSE)</f>
        <v>攻撃タイプ</v>
      </c>
      <c r="J966" s="97">
        <f ca="1">VLOOKUP(H966,[2]character_type_i18n!$A:$F,4,FALSE)</f>
        <v>1</v>
      </c>
      <c r="K966" s="97">
        <f ca="1">VLOOKUP(H966,[2]character_type_i18n!$A:$F,5,FALSE)</f>
        <v>1.33</v>
      </c>
      <c r="L966" s="97">
        <f ca="1">VLOOKUP(H966,[2]character_type_i18n!$A:$F,6,FALSE)</f>
        <v>1</v>
      </c>
      <c r="M966" s="9" t="str">
        <f ca="1">VLOOKUP(A966,[2]characters!$A:$M,13,FALSE)</f>
        <v>dragon</v>
      </c>
      <c r="N966" s="6" t="str">
        <f ca="1">VLOOKUP(M966,[2]character_tribe_i18n!$A:$F,3,FALSE)</f>
        <v>ドラゴン</v>
      </c>
      <c r="O966" s="97">
        <f ca="1">VLOOKUP(M966,[2]character_tribe_i18n!$A:$F,4,FALSE)</f>
        <v>1.1499999999999999</v>
      </c>
      <c r="P966" s="97">
        <f ca="1">VLOOKUP(M966,[2]character_tribe_i18n!$A:$F,5,FALSE)</f>
        <v>1.1000000000000001</v>
      </c>
      <c r="Q966" s="97">
        <f ca="1">VLOOKUP(M966,[2]character_tribe_i18n!$A:$F,6,FALSE)</f>
        <v>1</v>
      </c>
      <c r="R966" s="98" t="s">
        <v>98</v>
      </c>
      <c r="S966" s="97">
        <f>VLOOKUP($R966,ラベル別係数!$A$1:$E$7,3,FALSE)</f>
        <v>5</v>
      </c>
      <c r="T966" s="97">
        <f>VLOOKUP($R966,ラベル別係数!$A$1:$E$7,4,FALSE)</f>
        <v>1.3</v>
      </c>
      <c r="U966" s="97">
        <f>VLOOKUP($R966,ラベル別係数!$A$1:$E$7,5,FALSE)</f>
        <v>0.8</v>
      </c>
      <c r="V966" s="98">
        <v>3</v>
      </c>
      <c r="W966" s="99">
        <f>VLOOKUP(V966,ターン数別攻撃係数!$A$1:$B$1000,2,FALSE)</f>
        <v>1</v>
      </c>
      <c r="X966" s="9">
        <f ca="1">VLOOKUP(C966,サイズ別係数!A$2:B$9,2,FALSE)</f>
        <v>60</v>
      </c>
      <c r="Y966" s="97">
        <f ca="1">VLOOKUP($X966,サイズ別係数!$B:$E,2,FALSE)</f>
        <v>1.7</v>
      </c>
      <c r="Z966" s="97">
        <f ca="1">VLOOKUP($X966,サイズ別係数!$B:$E,3,FALSE)</f>
        <v>1.4</v>
      </c>
      <c r="AA966" s="97">
        <f ca="1">VLOOKUP($X966,サイズ別係数!$B:$E,4,FALSE)</f>
        <v>1</v>
      </c>
      <c r="AB966" s="10">
        <v>0</v>
      </c>
      <c r="AC966" s="6" t="str">
        <f ca="1">VLOOKUP($AB966,OFFSET([3]enemy_skill_sets!$B$2,0,0,COUNTA([3]enemy_skill_sets!$A:$A),MATCH(AC$1,[3]enemy_skill_sets!$1:$1,0)-MATCH($AB$1,[3]enemy_skill_sets!$1:$1,0)+1),MATCH(AC$1,[3]enemy_skill_sets!$1:$1,0)-MATCH($AB$1,[3]enemy_skill_sets!$1:$1,0)+1,FALSE)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6" s="67">
        <v>1</v>
      </c>
      <c r="AE966" s="67">
        <v>1</v>
      </c>
      <c r="AF966" s="68">
        <v>0</v>
      </c>
      <c r="AG966" s="99">
        <f ca="1">ROUND(VLOOKUP(1,enemy_base_stats!$A:$F,2,FALSE) * Y966* J966*O966*E966*S966*AD966*[2]ステータス!$B$2,0)</f>
        <v>4888</v>
      </c>
      <c r="AH966" s="99">
        <f ca="1">ROUND(VLOOKUP(1,enemy_base_stats!$A:$F,3,FALSE) * Z966*K966*P966*F966*T966*AE966 * W966*[2]ステータス!$C$2,0)</f>
        <v>407</v>
      </c>
      <c r="AI966" s="99">
        <f ca="1">ROUND(VLOOKUP(1,enemy_base_stats!$A:$F,4,FALSE) * AA966*L966*Q966*G966*U966*AF966*[2]ステータス!$D$2,0)</f>
        <v>0</v>
      </c>
      <c r="AJ966" s="99">
        <f ca="1">ROUND(VLOOKUP(100,enemy_base_stats!$A:$F,2,FALSE) * Y966* J966*O966*E966*S966*AD966*[2]ステータス!$B$2,0)</f>
        <v>198433</v>
      </c>
      <c r="AK966" s="99">
        <f ca="1">ROUND(VLOOKUP(100,enemy_base_stats!$A:$F,3,FALSE)* Z966* K966*P966*F966*T966*AE966 * W966*[2]ステータス!$C$2,0)</f>
        <v>16540</v>
      </c>
      <c r="AL966" s="99">
        <f ca="1">ROUND(VLOOKUP(100,enemy_base_stats!$A:$F,4,FALSE)* AA966* L966*Q966*G966*U966*AF966*[2]ステータス!$D$2,0)</f>
        <v>0</v>
      </c>
      <c r="AM966" s="97">
        <f ca="1">VLOOKUP(M966,[2]character_tribe_i18n!$A:$I,9,FALSE)</f>
        <v>540</v>
      </c>
      <c r="AN966" s="97">
        <v>0</v>
      </c>
      <c r="AO966" s="98">
        <v>0</v>
      </c>
      <c r="AP966" s="58" t="s">
        <v>72</v>
      </c>
      <c r="AQ966" s="34">
        <f t="shared" ca="1" si="55"/>
        <v>965</v>
      </c>
    </row>
    <row r="967" spans="1:43" ht="21" customHeight="1" x14ac:dyDescent="0.15">
      <c r="A967" s="7">
        <f t="shared" ca="1" si="54"/>
        <v>966</v>
      </c>
      <c r="B967" s="6" t="str">
        <f ca="1">VLOOKUP(A967,[2]characters!$A:$C,3,FALSE)</f>
        <v>麗嵐の颯愛志士 土方歳三</v>
      </c>
      <c r="C967" s="9">
        <f ca="1">VLOOKUP(A967,[2]characters!$A:$I,9,FALSE)</f>
        <v>6</v>
      </c>
      <c r="D967" s="9" t="str">
        <f ca="1">VLOOKUP(A967,[2]characters!$A:$H,8,FALSE)</f>
        <v>green</v>
      </c>
      <c r="E967" s="97">
        <f ca="1">VLOOKUP(D967,[2]属性!$A:$E,2,FALSE)</f>
        <v>1.02</v>
      </c>
      <c r="F967" s="97">
        <f ca="1">VLOOKUP(D967,[2]属性!$A:$E,3,FALSE)</f>
        <v>0.98</v>
      </c>
      <c r="G967" s="97">
        <f ca="1">VLOOKUP(D967,[2]属性!$A:$F,4,FALSE)</f>
        <v>1</v>
      </c>
      <c r="H967" s="9" t="str">
        <f ca="1">VLOOKUP(A967,[2]characters!$A:$K,11,FALSE)</f>
        <v>attack</v>
      </c>
      <c r="I967" s="6" t="str">
        <f ca="1">VLOOKUP(H967,[2]character_type_i18n!$A:$F,3,FALSE)</f>
        <v>攻撃タイプ</v>
      </c>
      <c r="J967" s="97">
        <f ca="1">VLOOKUP(H967,[2]character_type_i18n!$A:$F,4,FALSE)</f>
        <v>1</v>
      </c>
      <c r="K967" s="97">
        <f ca="1">VLOOKUP(H967,[2]character_type_i18n!$A:$F,5,FALSE)</f>
        <v>1.33</v>
      </c>
      <c r="L967" s="97">
        <f ca="1">VLOOKUP(H967,[2]character_type_i18n!$A:$F,6,FALSE)</f>
        <v>1</v>
      </c>
      <c r="M967" s="9" t="str">
        <f ca="1">VLOOKUP(A967,[2]characters!$A:$M,13,FALSE)</f>
        <v>human</v>
      </c>
      <c r="N967" s="6" t="str">
        <f ca="1">VLOOKUP(M967,[2]character_tribe_i18n!$A:$F,3,FALSE)</f>
        <v>ヒューマン</v>
      </c>
      <c r="O967" s="97">
        <f ca="1">VLOOKUP(M967,[2]character_tribe_i18n!$A:$F,4,FALSE)</f>
        <v>0.94</v>
      </c>
      <c r="P967" s="97">
        <f ca="1">VLOOKUP(M967,[2]character_tribe_i18n!$A:$F,5,FALSE)</f>
        <v>0.99</v>
      </c>
      <c r="Q967" s="97">
        <f ca="1">VLOOKUP(M967,[2]character_tribe_i18n!$A:$F,6,FALSE)</f>
        <v>1</v>
      </c>
      <c r="R967" s="98" t="s">
        <v>98</v>
      </c>
      <c r="S967" s="97">
        <f>VLOOKUP($R967,ラベル別係数!$A$1:$E$7,3,FALSE)</f>
        <v>5</v>
      </c>
      <c r="T967" s="97">
        <f>VLOOKUP($R967,ラベル別係数!$A$1:$E$7,4,FALSE)</f>
        <v>1.3</v>
      </c>
      <c r="U967" s="97">
        <f>VLOOKUP($R967,ラベル別係数!$A$1:$E$7,5,FALSE)</f>
        <v>0.8</v>
      </c>
      <c r="V967" s="98">
        <v>3</v>
      </c>
      <c r="W967" s="99">
        <f>VLOOKUP(V967,ターン数別攻撃係数!$A$1:$B$1000,2,FALSE)</f>
        <v>1</v>
      </c>
      <c r="X967" s="9">
        <f ca="1">VLOOKUP(C967,サイズ別係数!A$2:B$9,2,FALSE)</f>
        <v>60</v>
      </c>
      <c r="Y967" s="97">
        <f ca="1">VLOOKUP($X967,サイズ別係数!$B:$E,2,FALSE)</f>
        <v>1.7</v>
      </c>
      <c r="Z967" s="97">
        <f ca="1">VLOOKUP($X967,サイズ別係数!$B:$E,3,FALSE)</f>
        <v>1.4</v>
      </c>
      <c r="AA967" s="97">
        <f ca="1">VLOOKUP($X967,サイズ別係数!$B:$E,4,FALSE)</f>
        <v>1</v>
      </c>
      <c r="AB967" s="10">
        <v>0</v>
      </c>
      <c r="AC967" s="6" t="str">
        <f ca="1">VLOOKUP($AB967,OFFSET([3]enemy_skill_sets!$B$2,0,0,COUNTA([3]enemy_skill_sets!$A:$A),MATCH(AC$1,[3]enemy_skill_sets!$1:$1,0)-MATCH($AB$1,[3]enemy_skill_sets!$1:$1,0)+1),MATCH(AC$1,[3]enemy_skill_sets!$1:$1,0)-MATCH($AB$1,[3]enemy_skill_sets!$1:$1,0)+1,FALSE)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7" s="67">
        <v>1</v>
      </c>
      <c r="AE967" s="67">
        <v>1</v>
      </c>
      <c r="AF967" s="68">
        <v>0</v>
      </c>
      <c r="AG967" s="99">
        <f ca="1">ROUND(VLOOKUP(1,enemy_base_stats!$A:$F,2,FALSE) * Y967* J967*O967*E967*S967*AD967*[2]ステータス!$B$2,0)</f>
        <v>4075</v>
      </c>
      <c r="AH967" s="99">
        <f ca="1">ROUND(VLOOKUP(1,enemy_base_stats!$A:$F,3,FALSE) * Z967*K967*P967*F967*T967*AE967 * W967*[2]ステータス!$C$2,0)</f>
        <v>352</v>
      </c>
      <c r="AI967" s="99">
        <f ca="1">ROUND(VLOOKUP(1,enemy_base_stats!$A:$F,4,FALSE) * AA967*L967*Q967*G967*U967*AF967*[2]ステータス!$D$2,0)</f>
        <v>0</v>
      </c>
      <c r="AJ967" s="99">
        <f ca="1">ROUND(VLOOKUP(100,enemy_base_stats!$A:$F,2,FALSE) * Y967* J967*O967*E967*S967*AD967*[2]ステータス!$B$2,0)</f>
        <v>165441</v>
      </c>
      <c r="AK967" s="99">
        <f ca="1">ROUND(VLOOKUP(100,enemy_base_stats!$A:$F,3,FALSE)* Z967* K967*P967*F967*T967*AE967 * W967*[2]ステータス!$C$2,0)</f>
        <v>14302</v>
      </c>
      <c r="AL967" s="99">
        <f ca="1">ROUND(VLOOKUP(100,enemy_base_stats!$A:$F,4,FALSE)* AA967* L967*Q967*G967*U967*AF967*[2]ステータス!$D$2,0)</f>
        <v>0</v>
      </c>
      <c r="AM967" s="97">
        <f ca="1">VLOOKUP(M967,[2]character_tribe_i18n!$A:$I,9,FALSE)</f>
        <v>400</v>
      </c>
      <c r="AN967" s="97">
        <v>0</v>
      </c>
      <c r="AO967" s="98">
        <v>0</v>
      </c>
      <c r="AP967" s="58" t="s">
        <v>72</v>
      </c>
      <c r="AQ967" s="34">
        <f t="shared" ca="1" si="55"/>
        <v>966</v>
      </c>
    </row>
    <row r="968" spans="1:43" ht="21" customHeight="1" x14ac:dyDescent="0.15">
      <c r="A968" s="7">
        <f t="shared" ca="1" si="54"/>
        <v>967</v>
      </c>
      <c r="B968" s="6" t="str">
        <f ca="1">VLOOKUP(A968,[2]characters!$A:$C,3,FALSE)</f>
        <v>討滅の凶妖志士 斎藤一</v>
      </c>
      <c r="C968" s="9">
        <f ca="1">VLOOKUP(A968,[2]characters!$A:$I,9,FALSE)</f>
        <v>6</v>
      </c>
      <c r="D968" s="9" t="str">
        <f ca="1">VLOOKUP(A968,[2]characters!$A:$H,8,FALSE)</f>
        <v>yellow</v>
      </c>
      <c r="E968" s="97">
        <f ca="1">VLOOKUP(D968,[2]属性!$A:$E,2,FALSE)</f>
        <v>0.98</v>
      </c>
      <c r="F968" s="97">
        <f ca="1">VLOOKUP(D968,[2]属性!$A:$E,3,FALSE)</f>
        <v>1.01</v>
      </c>
      <c r="G968" s="97">
        <f ca="1">VLOOKUP(D968,[2]属性!$A:$F,4,FALSE)</f>
        <v>1</v>
      </c>
      <c r="H968" s="9" t="str">
        <f ca="1">VLOOKUP(A968,[2]characters!$A:$K,11,FALSE)</f>
        <v>technical</v>
      </c>
      <c r="I968" s="6" t="str">
        <f ca="1">VLOOKUP(H968,[2]character_type_i18n!$A:$F,3,FALSE)</f>
        <v>テクニカルタイプ</v>
      </c>
      <c r="J968" s="97">
        <f ca="1">VLOOKUP(H968,[2]character_type_i18n!$A:$F,4,FALSE)</f>
        <v>0.9</v>
      </c>
      <c r="K968" s="97">
        <f ca="1">VLOOKUP(H968,[2]character_type_i18n!$A:$F,5,FALSE)</f>
        <v>0.9</v>
      </c>
      <c r="L968" s="97">
        <f ca="1">VLOOKUP(H968,[2]character_type_i18n!$A:$F,6,FALSE)</f>
        <v>1</v>
      </c>
      <c r="M968" s="9" t="str">
        <f ca="1">VLOOKUP(A968,[2]characters!$A:$M,13,FALSE)</f>
        <v>human</v>
      </c>
      <c r="N968" s="6" t="str">
        <f ca="1">VLOOKUP(M968,[2]character_tribe_i18n!$A:$F,3,FALSE)</f>
        <v>ヒューマン</v>
      </c>
      <c r="O968" s="97">
        <f ca="1">VLOOKUP(M968,[2]character_tribe_i18n!$A:$F,4,FALSE)</f>
        <v>0.94</v>
      </c>
      <c r="P968" s="97">
        <f ca="1">VLOOKUP(M968,[2]character_tribe_i18n!$A:$F,5,FALSE)</f>
        <v>0.99</v>
      </c>
      <c r="Q968" s="97">
        <f ca="1">VLOOKUP(M968,[2]character_tribe_i18n!$A:$F,6,FALSE)</f>
        <v>1</v>
      </c>
      <c r="R968" s="98" t="s">
        <v>98</v>
      </c>
      <c r="S968" s="97">
        <f>VLOOKUP($R968,ラベル別係数!$A$1:$E$7,3,FALSE)</f>
        <v>5</v>
      </c>
      <c r="T968" s="97">
        <f>VLOOKUP($R968,ラベル別係数!$A$1:$E$7,4,FALSE)</f>
        <v>1.3</v>
      </c>
      <c r="U968" s="97">
        <f>VLOOKUP($R968,ラベル別係数!$A$1:$E$7,5,FALSE)</f>
        <v>0.8</v>
      </c>
      <c r="V968" s="98">
        <v>3</v>
      </c>
      <c r="W968" s="99">
        <f>VLOOKUP(V968,ターン数別攻撃係数!$A$1:$B$1000,2,FALSE)</f>
        <v>1</v>
      </c>
      <c r="X968" s="9">
        <f ca="1">VLOOKUP(C968,サイズ別係数!A$2:B$9,2,FALSE)</f>
        <v>60</v>
      </c>
      <c r="Y968" s="97">
        <f ca="1">VLOOKUP($X968,サイズ別係数!$B:$E,2,FALSE)</f>
        <v>1.7</v>
      </c>
      <c r="Z968" s="97">
        <f ca="1">VLOOKUP($X968,サイズ別係数!$B:$E,3,FALSE)</f>
        <v>1.4</v>
      </c>
      <c r="AA968" s="97">
        <f ca="1">VLOOKUP($X968,サイズ別係数!$B:$E,4,FALSE)</f>
        <v>1</v>
      </c>
      <c r="AB968" s="10">
        <v>0</v>
      </c>
      <c r="AC968" s="6" t="str">
        <f ca="1">VLOOKUP($AB968,OFFSET([3]enemy_skill_sets!$B$2,0,0,COUNTA([3]enemy_skill_sets!$A:$A),MATCH(AC$1,[3]enemy_skill_sets!$1:$1,0)-MATCH($AB$1,[3]enemy_skill_sets!$1:$1,0)+1),MATCH(AC$1,[3]enemy_skill_sets!$1:$1,0)-MATCH($AB$1,[3]enemy_skill_sets!$1:$1,0)+1,FALSE)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8" s="67">
        <v>1</v>
      </c>
      <c r="AE968" s="67">
        <v>1</v>
      </c>
      <c r="AF968" s="68">
        <v>0</v>
      </c>
      <c r="AG968" s="99">
        <f ca="1">ROUND(VLOOKUP(1,enemy_base_stats!$A:$F,2,FALSE) * Y968* J968*O968*E968*S968*AD968*[2]ステータス!$B$2,0)</f>
        <v>3524</v>
      </c>
      <c r="AH968" s="99">
        <f ca="1">ROUND(VLOOKUP(1,enemy_base_stats!$A:$F,3,FALSE) * Z968*K968*P968*F968*T968*AE968 * W968*[2]ステータス!$C$2,0)</f>
        <v>246</v>
      </c>
      <c r="AI968" s="99">
        <f ca="1">ROUND(VLOOKUP(1,enemy_base_stats!$A:$F,4,FALSE) * AA968*L968*Q968*G968*U968*AF968*[2]ステータス!$D$2,0)</f>
        <v>0</v>
      </c>
      <c r="AJ968" s="99">
        <f ca="1">ROUND(VLOOKUP(100,enemy_base_stats!$A:$F,2,FALSE) * Y968* J968*O968*E968*S968*AD968*[2]ステータス!$B$2,0)</f>
        <v>143058</v>
      </c>
      <c r="AK968" s="99">
        <f ca="1">ROUND(VLOOKUP(100,enemy_base_stats!$A:$F,3,FALSE)* Z968* K968*P968*F968*T968*AE968 * W968*[2]ステータス!$C$2,0)</f>
        <v>9974</v>
      </c>
      <c r="AL968" s="99">
        <f ca="1">ROUND(VLOOKUP(100,enemy_base_stats!$A:$F,4,FALSE)* AA968* L968*Q968*G968*U968*AF968*[2]ステータス!$D$2,0)</f>
        <v>0</v>
      </c>
      <c r="AM968" s="97">
        <f ca="1">VLOOKUP(M968,[2]character_tribe_i18n!$A:$I,9,FALSE)</f>
        <v>400</v>
      </c>
      <c r="AN968" s="97">
        <v>0</v>
      </c>
      <c r="AO968" s="98">
        <v>0</v>
      </c>
      <c r="AP968" s="58" t="s">
        <v>72</v>
      </c>
      <c r="AQ968" s="34">
        <f t="shared" ca="1" si="55"/>
        <v>967</v>
      </c>
    </row>
    <row r="969" spans="1:43" ht="21" customHeight="1" x14ac:dyDescent="0.15">
      <c r="A969" s="7">
        <f t="shared" ca="1" si="54"/>
        <v>968</v>
      </c>
      <c r="B969" s="6" t="str">
        <f ca="1">VLOOKUP(A969,[2]characters!$A:$C,3,FALSE)</f>
        <v>夢謀の愚幻者 フール</v>
      </c>
      <c r="C969" s="9">
        <f ca="1">VLOOKUP(A969,[2]characters!$A:$I,9,FALSE)</f>
        <v>6</v>
      </c>
      <c r="D969" s="9" t="str">
        <f ca="1">VLOOKUP(A969,[2]characters!$A:$H,8,FALSE)</f>
        <v>blue</v>
      </c>
      <c r="E969" s="97">
        <f ca="1">VLOOKUP(D969,[2]属性!$A:$E,2,FALSE)</f>
        <v>1</v>
      </c>
      <c r="F969" s="97">
        <f ca="1">VLOOKUP(D969,[2]属性!$A:$E,3,FALSE)</f>
        <v>0.98</v>
      </c>
      <c r="G969" s="97">
        <f ca="1">VLOOKUP(D969,[2]属性!$A:$F,4,FALSE)</f>
        <v>1</v>
      </c>
      <c r="H969" s="9" t="str">
        <f ca="1">VLOOKUP(A969,[2]characters!$A:$K,11,FALSE)</f>
        <v>technical</v>
      </c>
      <c r="I969" s="6" t="str">
        <f ca="1">VLOOKUP(H969,[2]character_type_i18n!$A:$F,3,FALSE)</f>
        <v>テクニカルタイプ</v>
      </c>
      <c r="J969" s="97">
        <f ca="1">VLOOKUP(H969,[2]character_type_i18n!$A:$F,4,FALSE)</f>
        <v>0.9</v>
      </c>
      <c r="K969" s="97">
        <f ca="1">VLOOKUP(H969,[2]character_type_i18n!$A:$F,5,FALSE)</f>
        <v>0.9</v>
      </c>
      <c r="L969" s="97">
        <f ca="1">VLOOKUP(H969,[2]character_type_i18n!$A:$F,6,FALSE)</f>
        <v>1</v>
      </c>
      <c r="M969" s="9" t="str">
        <f ca="1">VLOOKUP(A969,[2]characters!$A:$M,13,FALSE)</f>
        <v>god</v>
      </c>
      <c r="N969" s="6" t="str">
        <f ca="1">VLOOKUP(M969,[2]character_tribe_i18n!$A:$F,3,FALSE)</f>
        <v>ゴッド</v>
      </c>
      <c r="O969" s="97">
        <f ca="1">VLOOKUP(M969,[2]character_tribe_i18n!$A:$F,4,FALSE)</f>
        <v>0.96</v>
      </c>
      <c r="P969" s="97">
        <f ca="1">VLOOKUP(M969,[2]character_tribe_i18n!$A:$F,5,FALSE)</f>
        <v>1.02</v>
      </c>
      <c r="Q969" s="97">
        <f ca="1">VLOOKUP(M969,[2]character_tribe_i18n!$A:$F,6,FALSE)</f>
        <v>1</v>
      </c>
      <c r="R969" s="98" t="s">
        <v>98</v>
      </c>
      <c r="S969" s="97">
        <f>VLOOKUP($R969,ラベル別係数!$A$1:$E$7,3,FALSE)</f>
        <v>5</v>
      </c>
      <c r="T969" s="97">
        <f>VLOOKUP($R969,ラベル別係数!$A$1:$E$7,4,FALSE)</f>
        <v>1.3</v>
      </c>
      <c r="U969" s="97">
        <f>VLOOKUP($R969,ラベル別係数!$A$1:$E$7,5,FALSE)</f>
        <v>0.8</v>
      </c>
      <c r="V969" s="98">
        <v>3</v>
      </c>
      <c r="W969" s="99">
        <f>VLOOKUP(V969,ターン数別攻撃係数!$A$1:$B$1000,2,FALSE)</f>
        <v>1</v>
      </c>
      <c r="X969" s="9">
        <f ca="1">VLOOKUP(C969,サイズ別係数!A$2:B$9,2,FALSE)</f>
        <v>60</v>
      </c>
      <c r="Y969" s="97">
        <f ca="1">VLOOKUP($X969,サイズ別係数!$B:$E,2,FALSE)</f>
        <v>1.7</v>
      </c>
      <c r="Z969" s="97">
        <f ca="1">VLOOKUP($X969,サイズ別係数!$B:$E,3,FALSE)</f>
        <v>1.4</v>
      </c>
      <c r="AA969" s="97">
        <f ca="1">VLOOKUP($X969,サイズ別係数!$B:$E,4,FALSE)</f>
        <v>1</v>
      </c>
      <c r="AB969" s="10">
        <v>0</v>
      </c>
      <c r="AC969" s="6" t="str">
        <f ca="1">VLOOKUP($AB969,OFFSET([3]enemy_skill_sets!$B$2,0,0,COUNTA([3]enemy_skill_sets!$A:$A),MATCH(AC$1,[3]enemy_skill_sets!$1:$1,0)-MATCH($AB$1,[3]enemy_skill_sets!$1:$1,0)+1),MATCH(AC$1,[3]enemy_skill_sets!$1:$1,0)-MATCH($AB$1,[3]enemy_skill_sets!$1:$1,0)+1,FALSE)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69" s="67">
        <v>1</v>
      </c>
      <c r="AE969" s="67">
        <v>1</v>
      </c>
      <c r="AF969" s="68">
        <v>0</v>
      </c>
      <c r="AG969" s="99">
        <f ca="1">ROUND(VLOOKUP(1,enemy_base_stats!$A:$F,2,FALSE) * Y969* J969*O969*E969*S969*AD969*[2]ステータス!$B$2,0)</f>
        <v>3672</v>
      </c>
      <c r="AH969" s="99">
        <f ca="1">ROUND(VLOOKUP(1,enemy_base_stats!$A:$F,3,FALSE) * Z969*K969*P969*F969*T969*AE969 * W969*[2]ステータス!$C$2,0)</f>
        <v>246</v>
      </c>
      <c r="AI969" s="99">
        <f ca="1">ROUND(VLOOKUP(1,enemy_base_stats!$A:$F,4,FALSE) * AA969*L969*Q969*G969*U969*AF969*[2]ステータス!$D$2,0)</f>
        <v>0</v>
      </c>
      <c r="AJ969" s="99">
        <f ca="1">ROUND(VLOOKUP(100,enemy_base_stats!$A:$F,2,FALSE) * Y969* J969*O969*E969*S969*AD969*[2]ステータス!$B$2,0)</f>
        <v>149083</v>
      </c>
      <c r="AK969" s="99">
        <f ca="1">ROUND(VLOOKUP(100,enemy_base_stats!$A:$F,3,FALSE)* Z969* K969*P969*F969*T969*AE969 * W969*[2]ステータス!$C$2,0)</f>
        <v>9971</v>
      </c>
      <c r="AL969" s="99">
        <f ca="1">ROUND(VLOOKUP(100,enemy_base_stats!$A:$F,4,FALSE)* AA969* L969*Q969*G969*U969*AF969*[2]ステータス!$D$2,0)</f>
        <v>0</v>
      </c>
      <c r="AM969" s="97">
        <f ca="1">VLOOKUP(M969,[2]character_tribe_i18n!$A:$I,9,FALSE)</f>
        <v>680</v>
      </c>
      <c r="AN969" s="97">
        <v>0</v>
      </c>
      <c r="AO969" s="98">
        <v>0</v>
      </c>
      <c r="AP969" s="58" t="s">
        <v>72</v>
      </c>
      <c r="AQ969" s="34">
        <f t="shared" ca="1" si="55"/>
        <v>968</v>
      </c>
    </row>
    <row r="970" spans="1:43" ht="21" customHeight="1" x14ac:dyDescent="0.15">
      <c r="A970" s="7">
        <f t="shared" ca="1" si="54"/>
        <v>969</v>
      </c>
      <c r="B970" s="6" t="str">
        <f ca="1">VLOOKUP(A970,[2]characters!$A:$C,3,FALSE)</f>
        <v>超排撃の焔砲巨神 ユミル</v>
      </c>
      <c r="C970" s="9">
        <f ca="1">VLOOKUP(A970,[2]characters!$A:$I,9,FALSE)</f>
        <v>6</v>
      </c>
      <c r="D970" s="9" t="str">
        <f ca="1">VLOOKUP(A970,[2]characters!$A:$H,8,FALSE)</f>
        <v>red</v>
      </c>
      <c r="E970" s="97">
        <f ca="1">VLOOKUP(D970,[2]属性!$A:$E,2,FALSE)</f>
        <v>1</v>
      </c>
      <c r="F970" s="97">
        <f ca="1">VLOOKUP(D970,[2]属性!$A:$E,3,FALSE)</f>
        <v>1.02</v>
      </c>
      <c r="G970" s="97">
        <f ca="1">VLOOKUP(D970,[2]属性!$A:$F,4,FALSE)</f>
        <v>1</v>
      </c>
      <c r="H970" s="9" t="str">
        <f ca="1">VLOOKUP(A970,[2]characters!$A:$K,11,FALSE)</f>
        <v>hp</v>
      </c>
      <c r="I970" s="6" t="str">
        <f ca="1">VLOOKUP(H970,[2]character_type_i18n!$A:$F,3,FALSE)</f>
        <v>体力タイプ</v>
      </c>
      <c r="J970" s="97">
        <f ca="1">VLOOKUP(H970,[2]character_type_i18n!$A:$F,4,FALSE)</f>
        <v>1.45</v>
      </c>
      <c r="K970" s="97">
        <f ca="1">VLOOKUP(H970,[2]character_type_i18n!$A:$F,5,FALSE)</f>
        <v>0.85</v>
      </c>
      <c r="L970" s="97">
        <f ca="1">VLOOKUP(H970,[2]character_type_i18n!$A:$F,6,FALSE)</f>
        <v>1</v>
      </c>
      <c r="M970" s="9" t="str">
        <f ca="1">VLOOKUP(A970,[2]characters!$A:$M,13,FALSE)</f>
        <v>machine</v>
      </c>
      <c r="N970" s="6" t="str">
        <f ca="1">VLOOKUP(M970,[2]character_tribe_i18n!$A:$F,3,FALSE)</f>
        <v>マシン</v>
      </c>
      <c r="O970" s="97">
        <f ca="1">VLOOKUP(M970,[2]character_tribe_i18n!$A:$F,4,FALSE)</f>
        <v>1</v>
      </c>
      <c r="P970" s="97">
        <f ca="1">VLOOKUP(M970,[2]character_tribe_i18n!$A:$F,5,FALSE)</f>
        <v>1</v>
      </c>
      <c r="Q970" s="97">
        <f ca="1">VLOOKUP(M970,[2]character_tribe_i18n!$A:$F,6,FALSE)</f>
        <v>1</v>
      </c>
      <c r="R970" s="98" t="s">
        <v>98</v>
      </c>
      <c r="S970" s="97">
        <f>VLOOKUP($R970,ラベル別係数!$A$1:$E$7,3,FALSE)</f>
        <v>5</v>
      </c>
      <c r="T970" s="97">
        <f>VLOOKUP($R970,ラベル別係数!$A$1:$E$7,4,FALSE)</f>
        <v>1.3</v>
      </c>
      <c r="U970" s="97">
        <f>VLOOKUP($R970,ラベル別係数!$A$1:$E$7,5,FALSE)</f>
        <v>0.8</v>
      </c>
      <c r="V970" s="98">
        <v>3</v>
      </c>
      <c r="W970" s="99">
        <f>VLOOKUP(V970,ターン数別攻撃係数!$A$1:$B$1000,2,FALSE)</f>
        <v>1</v>
      </c>
      <c r="X970" s="9">
        <f ca="1">VLOOKUP(C970,サイズ別係数!A$2:B$9,2,FALSE)</f>
        <v>60</v>
      </c>
      <c r="Y970" s="97">
        <f ca="1">VLOOKUP($X970,サイズ別係数!$B:$E,2,FALSE)</f>
        <v>1.7</v>
      </c>
      <c r="Z970" s="97">
        <f ca="1">VLOOKUP($X970,サイズ別係数!$B:$E,3,FALSE)</f>
        <v>1.4</v>
      </c>
      <c r="AA970" s="97">
        <f ca="1">VLOOKUP($X970,サイズ別係数!$B:$E,4,FALSE)</f>
        <v>1</v>
      </c>
      <c r="AB970" s="10">
        <v>0</v>
      </c>
      <c r="AC970" s="6" t="str">
        <f ca="1">VLOOKUP($AB970,OFFSET([3]enemy_skill_sets!$B$2,0,0,COUNTA([3]enemy_skill_sets!$A:$A),MATCH(AC$1,[3]enemy_skill_sets!$1:$1,0)-MATCH($AB$1,[3]enemy_skill_sets!$1:$1,0)+1),MATCH(AC$1,[3]enemy_skill_sets!$1:$1,0)-MATCH($AB$1,[3]enemy_skill_sets!$1:$1,0)+1,FALSE)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0" s="67">
        <v>1</v>
      </c>
      <c r="AE970" s="67">
        <v>1</v>
      </c>
      <c r="AF970" s="68">
        <v>0</v>
      </c>
      <c r="AG970" s="99">
        <f ca="1">ROUND(VLOOKUP(1,enemy_base_stats!$A:$F,2,FALSE) * Y970* J970*O970*E970*S970*AD970*[2]ステータス!$B$2,0)</f>
        <v>6163</v>
      </c>
      <c r="AH970" s="99">
        <f ca="1">ROUND(VLOOKUP(1,enemy_base_stats!$A:$F,3,FALSE) * Z970*K970*P970*F970*T970*AE970 * W970*[2]ステータス!$C$2,0)</f>
        <v>237</v>
      </c>
      <c r="AI970" s="99">
        <f ca="1">ROUND(VLOOKUP(1,enemy_base_stats!$A:$F,4,FALSE) * AA970*L970*Q970*G970*U970*AF970*[2]ステータス!$D$2,0)</f>
        <v>0</v>
      </c>
      <c r="AJ970" s="99">
        <f ca="1">ROUND(VLOOKUP(100,enemy_base_stats!$A:$F,2,FALSE) * Y970* J970*O970*E970*S970*AD970*[2]ステータス!$B$2,0)</f>
        <v>250198</v>
      </c>
      <c r="AK970" s="99">
        <f ca="1">ROUND(VLOOKUP(100,enemy_base_stats!$A:$F,3,FALSE)* Z970* K970*P970*F970*T970*AE970 * W970*[2]ステータス!$C$2,0)</f>
        <v>9610</v>
      </c>
      <c r="AL970" s="99">
        <f ca="1">ROUND(VLOOKUP(100,enemy_base_stats!$A:$F,4,FALSE)* AA970* L970*Q970*G970*U970*AF970*[2]ステータス!$D$2,0)</f>
        <v>0</v>
      </c>
      <c r="AM970" s="97">
        <f ca="1">VLOOKUP(M970,[2]character_tribe_i18n!$A:$I,9,FALSE)</f>
        <v>520</v>
      </c>
      <c r="AN970" s="97">
        <v>0</v>
      </c>
      <c r="AO970" s="98">
        <v>0</v>
      </c>
      <c r="AP970" s="58" t="s">
        <v>72</v>
      </c>
      <c r="AQ970" s="34">
        <f t="shared" ca="1" si="55"/>
        <v>969</v>
      </c>
    </row>
    <row r="971" spans="1:43" ht="21" customHeight="1" x14ac:dyDescent="0.15">
      <c r="A971" s="7">
        <f t="shared" ca="1" si="54"/>
        <v>970</v>
      </c>
      <c r="B971" s="6" t="str">
        <f ca="1">VLOOKUP(A971,[2]characters!$A:$C,3,FALSE)</f>
        <v>目醒の鋏牙 ラプンツェル</v>
      </c>
      <c r="C971" s="9">
        <f ca="1">VLOOKUP(A971,[2]characters!$A:$I,9,FALSE)</f>
        <v>6</v>
      </c>
      <c r="D971" s="9" t="str">
        <f ca="1">VLOOKUP(A971,[2]characters!$A:$H,8,FALSE)</f>
        <v>yellow</v>
      </c>
      <c r="E971" s="97">
        <f ca="1">VLOOKUP(D971,[2]属性!$A:$E,2,FALSE)</f>
        <v>0.98</v>
      </c>
      <c r="F971" s="97">
        <f ca="1">VLOOKUP(D971,[2]属性!$A:$E,3,FALSE)</f>
        <v>1.01</v>
      </c>
      <c r="G971" s="97">
        <f ca="1">VLOOKUP(D971,[2]属性!$A:$F,4,FALSE)</f>
        <v>1</v>
      </c>
      <c r="H971" s="9" t="str">
        <f ca="1">VLOOKUP(A971,[2]characters!$A:$K,11,FALSE)</f>
        <v>balance</v>
      </c>
      <c r="I971" s="6" t="str">
        <f ca="1">VLOOKUP(H971,[2]character_type_i18n!$A:$F,3,FALSE)</f>
        <v>バランスタイプ</v>
      </c>
      <c r="J971" s="97">
        <f ca="1">VLOOKUP(H971,[2]character_type_i18n!$A:$F,4,FALSE)</f>
        <v>1</v>
      </c>
      <c r="K971" s="97">
        <f ca="1">VLOOKUP(H971,[2]character_type_i18n!$A:$F,5,FALSE)</f>
        <v>1</v>
      </c>
      <c r="L971" s="97">
        <f ca="1">VLOOKUP(H971,[2]character_type_i18n!$A:$F,6,FALSE)</f>
        <v>1</v>
      </c>
      <c r="M971" s="9" t="str">
        <f ca="1">VLOOKUP(A971,[2]characters!$A:$M,13,FALSE)</f>
        <v>human</v>
      </c>
      <c r="N971" s="6" t="str">
        <f ca="1">VLOOKUP(M971,[2]character_tribe_i18n!$A:$F,3,FALSE)</f>
        <v>ヒューマン</v>
      </c>
      <c r="O971" s="97">
        <f ca="1">VLOOKUP(M971,[2]character_tribe_i18n!$A:$F,4,FALSE)</f>
        <v>0.94</v>
      </c>
      <c r="P971" s="97">
        <f ca="1">VLOOKUP(M971,[2]character_tribe_i18n!$A:$F,5,FALSE)</f>
        <v>0.99</v>
      </c>
      <c r="Q971" s="97">
        <f ca="1">VLOOKUP(M971,[2]character_tribe_i18n!$A:$F,6,FALSE)</f>
        <v>1</v>
      </c>
      <c r="R971" s="98" t="s">
        <v>98</v>
      </c>
      <c r="S971" s="97">
        <f>VLOOKUP($R971,ラベル別係数!$A$1:$E$7,3,FALSE)</f>
        <v>5</v>
      </c>
      <c r="T971" s="97">
        <f>VLOOKUP($R971,ラベル別係数!$A$1:$E$7,4,FALSE)</f>
        <v>1.3</v>
      </c>
      <c r="U971" s="97">
        <f>VLOOKUP($R971,ラベル別係数!$A$1:$E$7,5,FALSE)</f>
        <v>0.8</v>
      </c>
      <c r="V971" s="98">
        <v>3</v>
      </c>
      <c r="W971" s="99">
        <f>VLOOKUP(V971,ターン数別攻撃係数!$A$1:$B$1000,2,FALSE)</f>
        <v>1</v>
      </c>
      <c r="X971" s="9">
        <f ca="1">VLOOKUP(C971,サイズ別係数!A$2:B$9,2,FALSE)</f>
        <v>60</v>
      </c>
      <c r="Y971" s="97">
        <f ca="1">VLOOKUP($X971,サイズ別係数!$B:$E,2,FALSE)</f>
        <v>1.7</v>
      </c>
      <c r="Z971" s="97">
        <f ca="1">VLOOKUP($X971,サイズ別係数!$B:$E,3,FALSE)</f>
        <v>1.4</v>
      </c>
      <c r="AA971" s="97">
        <f ca="1">VLOOKUP($X971,サイズ別係数!$B:$E,4,FALSE)</f>
        <v>1</v>
      </c>
      <c r="AB971" s="10">
        <v>0</v>
      </c>
      <c r="AC971" s="6" t="str">
        <f ca="1">VLOOKUP($AB971,OFFSET([3]enemy_skill_sets!$B$2,0,0,COUNTA([3]enemy_skill_sets!$A:$A),MATCH(AC$1,[3]enemy_skill_sets!$1:$1,0)-MATCH($AB$1,[3]enemy_skill_sets!$1:$1,0)+1),MATCH(AC$1,[3]enemy_skill_sets!$1:$1,0)-MATCH($AB$1,[3]enemy_skill_sets!$1:$1,0)+1,FALSE)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1" s="67">
        <v>1</v>
      </c>
      <c r="AE971" s="67">
        <v>1</v>
      </c>
      <c r="AF971" s="68">
        <v>0</v>
      </c>
      <c r="AG971" s="99">
        <f ca="1">ROUND(VLOOKUP(1,enemy_base_stats!$A:$F,2,FALSE) * Y971* J971*O971*E971*S971*AD971*[2]ステータス!$B$2,0)</f>
        <v>3915</v>
      </c>
      <c r="AH971" s="99">
        <f ca="1">ROUND(VLOOKUP(1,enemy_base_stats!$A:$F,3,FALSE) * Z971*K971*P971*F971*T971*AE971 * W971*[2]ステータス!$C$2,0)</f>
        <v>273</v>
      </c>
      <c r="AI971" s="99">
        <f ca="1">ROUND(VLOOKUP(1,enemy_base_stats!$A:$F,4,FALSE) * AA971*L971*Q971*G971*U971*AF971*[2]ステータス!$D$2,0)</f>
        <v>0</v>
      </c>
      <c r="AJ971" s="99">
        <f ca="1">ROUND(VLOOKUP(100,enemy_base_stats!$A:$F,2,FALSE) * Y971* J971*O971*E971*S971*AD971*[2]ステータス!$B$2,0)</f>
        <v>158953</v>
      </c>
      <c r="AK971" s="99">
        <f ca="1">ROUND(VLOOKUP(100,enemy_base_stats!$A:$F,3,FALSE)* Z971* K971*P971*F971*T971*AE971 * W971*[2]ステータス!$C$2,0)</f>
        <v>11083</v>
      </c>
      <c r="AL971" s="99">
        <f ca="1">ROUND(VLOOKUP(100,enemy_base_stats!$A:$F,4,FALSE)* AA971* L971*Q971*G971*U971*AF971*[2]ステータス!$D$2,0)</f>
        <v>0</v>
      </c>
      <c r="AM971" s="97">
        <f ca="1">VLOOKUP(M971,[2]character_tribe_i18n!$A:$I,9,FALSE)</f>
        <v>400</v>
      </c>
      <c r="AN971" s="97">
        <v>0</v>
      </c>
      <c r="AO971" s="98">
        <v>0</v>
      </c>
      <c r="AP971" s="58" t="s">
        <v>72</v>
      </c>
      <c r="AQ971" s="34">
        <f t="shared" ca="1" si="55"/>
        <v>970</v>
      </c>
    </row>
    <row r="972" spans="1:43" ht="21" customHeight="1" x14ac:dyDescent="0.15">
      <c r="A972" s="7">
        <f t="shared" ca="1" si="54"/>
        <v>971</v>
      </c>
      <c r="B972" s="6" t="str">
        <f ca="1">VLOOKUP(A972,[2]characters!$A:$C,3,FALSE)</f>
        <v>機獅蛮勇 ブレイブリー・ライオン</v>
      </c>
      <c r="C972" s="9">
        <f ca="1">VLOOKUP(A972,[2]characters!$A:$I,9,FALSE)</f>
        <v>6</v>
      </c>
      <c r="D972" s="9" t="str">
        <f ca="1">VLOOKUP(A972,[2]characters!$A:$H,8,FALSE)</f>
        <v>yellow</v>
      </c>
      <c r="E972" s="97">
        <f ca="1">VLOOKUP(D972,[2]属性!$A:$E,2,FALSE)</f>
        <v>0.98</v>
      </c>
      <c r="F972" s="97">
        <f ca="1">VLOOKUP(D972,[2]属性!$A:$E,3,FALSE)</f>
        <v>1.01</v>
      </c>
      <c r="G972" s="97">
        <f ca="1">VLOOKUP(D972,[2]属性!$A:$F,4,FALSE)</f>
        <v>1</v>
      </c>
      <c r="H972" s="9" t="str">
        <f ca="1">VLOOKUP(A972,[2]characters!$A:$K,11,FALSE)</f>
        <v>hp</v>
      </c>
      <c r="I972" s="6" t="str">
        <f ca="1">VLOOKUP(H972,[2]character_type_i18n!$A:$F,3,FALSE)</f>
        <v>体力タイプ</v>
      </c>
      <c r="J972" s="97">
        <f ca="1">VLOOKUP(H972,[2]character_type_i18n!$A:$F,4,FALSE)</f>
        <v>1.45</v>
      </c>
      <c r="K972" s="97">
        <f ca="1">VLOOKUP(H972,[2]character_type_i18n!$A:$F,5,FALSE)</f>
        <v>0.85</v>
      </c>
      <c r="L972" s="97">
        <f ca="1">VLOOKUP(H972,[2]character_type_i18n!$A:$F,6,FALSE)</f>
        <v>1</v>
      </c>
      <c r="M972" s="9" t="str">
        <f ca="1">VLOOKUP(A972,[2]characters!$A:$M,13,FALSE)</f>
        <v>animal</v>
      </c>
      <c r="N972" s="6" t="str">
        <f ca="1">VLOOKUP(M972,[2]character_tribe_i18n!$A:$F,3,FALSE)</f>
        <v>アニマル</v>
      </c>
      <c r="O972" s="97">
        <f ca="1">VLOOKUP(M972,[2]character_tribe_i18n!$A:$F,4,FALSE)</f>
        <v>1</v>
      </c>
      <c r="P972" s="97">
        <f ca="1">VLOOKUP(M972,[2]character_tribe_i18n!$A:$F,5,FALSE)</f>
        <v>1.1000000000000001</v>
      </c>
      <c r="Q972" s="97">
        <f ca="1">VLOOKUP(M972,[2]character_tribe_i18n!$A:$F,6,FALSE)</f>
        <v>1</v>
      </c>
      <c r="R972" s="98" t="s">
        <v>98</v>
      </c>
      <c r="S972" s="97">
        <f>VLOOKUP($R972,ラベル別係数!$A$1:$E$7,3,FALSE)</f>
        <v>5</v>
      </c>
      <c r="T972" s="97">
        <f>VLOOKUP($R972,ラベル別係数!$A$1:$E$7,4,FALSE)</f>
        <v>1.3</v>
      </c>
      <c r="U972" s="97">
        <f>VLOOKUP($R972,ラベル別係数!$A$1:$E$7,5,FALSE)</f>
        <v>0.8</v>
      </c>
      <c r="V972" s="98">
        <v>3</v>
      </c>
      <c r="W972" s="99">
        <f>VLOOKUP(V972,ターン数別攻撃係数!$A$1:$B$1000,2,FALSE)</f>
        <v>1</v>
      </c>
      <c r="X972" s="9">
        <f ca="1">VLOOKUP(C972,サイズ別係数!A$2:B$9,2,FALSE)</f>
        <v>60</v>
      </c>
      <c r="Y972" s="97">
        <f ca="1">VLOOKUP($X972,サイズ別係数!$B:$E,2,FALSE)</f>
        <v>1.7</v>
      </c>
      <c r="Z972" s="97">
        <f ca="1">VLOOKUP($X972,サイズ別係数!$B:$E,3,FALSE)</f>
        <v>1.4</v>
      </c>
      <c r="AA972" s="97">
        <f ca="1">VLOOKUP($X972,サイズ別係数!$B:$E,4,FALSE)</f>
        <v>1</v>
      </c>
      <c r="AB972" s="10">
        <v>0</v>
      </c>
      <c r="AC972" s="6" t="str">
        <f ca="1">VLOOKUP($AB972,OFFSET([3]enemy_skill_sets!$B$2,0,0,COUNTA([3]enemy_skill_sets!$A:$A),MATCH(AC$1,[3]enemy_skill_sets!$1:$1,0)-MATCH($AB$1,[3]enemy_skill_sets!$1:$1,0)+1),MATCH(AC$1,[3]enemy_skill_sets!$1:$1,0)-MATCH($AB$1,[3]enemy_skill_sets!$1:$1,0)+1,FALSE)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2" s="67">
        <v>1</v>
      </c>
      <c r="AE972" s="67">
        <v>1</v>
      </c>
      <c r="AF972" s="68">
        <v>0</v>
      </c>
      <c r="AG972" s="99">
        <f ca="1">ROUND(VLOOKUP(1,enemy_base_stats!$A:$F,2,FALSE) * Y972* J972*O972*E972*S972*AD972*[2]ステータス!$B$2,0)</f>
        <v>6039</v>
      </c>
      <c r="AH972" s="99">
        <f ca="1">ROUND(VLOOKUP(1,enemy_base_stats!$A:$F,3,FALSE) * Z972*K972*P972*F972*T972*AE972 * W972*[2]ステータス!$C$2,0)</f>
        <v>258</v>
      </c>
      <c r="AI972" s="99">
        <f ca="1">ROUND(VLOOKUP(1,enemy_base_stats!$A:$F,4,FALSE) * AA972*L972*Q972*G972*U972*AF972*[2]ステータス!$D$2,0)</f>
        <v>0</v>
      </c>
      <c r="AJ972" s="99">
        <f ca="1">ROUND(VLOOKUP(100,enemy_base_stats!$A:$F,2,FALSE) * Y972* J972*O972*E972*S972*AD972*[2]ステータス!$B$2,0)</f>
        <v>245194</v>
      </c>
      <c r="AK972" s="99">
        <f ca="1">ROUND(VLOOKUP(100,enemy_base_stats!$A:$F,3,FALSE)* Z972* K972*P972*F972*T972*AE972 * W972*[2]ステータス!$C$2,0)</f>
        <v>10467</v>
      </c>
      <c r="AL972" s="99">
        <f ca="1">ROUND(VLOOKUP(100,enemy_base_stats!$A:$F,4,FALSE)* AA972* L972*Q972*G972*U972*AF972*[2]ステータス!$D$2,0)</f>
        <v>0</v>
      </c>
      <c r="AM972" s="97">
        <f ca="1">VLOOKUP(M972,[2]character_tribe_i18n!$A:$I,9,FALSE)</f>
        <v>480</v>
      </c>
      <c r="AN972" s="97">
        <v>0</v>
      </c>
      <c r="AO972" s="98">
        <v>0</v>
      </c>
      <c r="AP972" s="58" t="s">
        <v>72</v>
      </c>
      <c r="AQ972" s="34">
        <f t="shared" ca="1" si="55"/>
        <v>971</v>
      </c>
    </row>
    <row r="973" spans="1:43" ht="21" customHeight="1" x14ac:dyDescent="0.15">
      <c r="A973" s="7">
        <f t="shared" ca="1" si="54"/>
        <v>972</v>
      </c>
      <c r="B973" s="6" t="str">
        <f ca="1">VLOOKUP(A973,[2]characters!$A:$C,3,FALSE)</f>
        <v>コーシー</v>
      </c>
      <c r="C973" s="9">
        <f ca="1">VLOOKUP(A973,[2]characters!$A:$I,9,FALSE)</f>
        <v>5</v>
      </c>
      <c r="D973" s="9" t="str">
        <f ca="1">VLOOKUP(A973,[2]characters!$A:$H,8,FALSE)</f>
        <v>red</v>
      </c>
      <c r="E973" s="97">
        <f ca="1">VLOOKUP(D973,[2]属性!$A:$E,2,FALSE)</f>
        <v>1</v>
      </c>
      <c r="F973" s="97">
        <f ca="1">VLOOKUP(D973,[2]属性!$A:$E,3,FALSE)</f>
        <v>1.02</v>
      </c>
      <c r="G973" s="97">
        <f ca="1">VLOOKUP(D973,[2]属性!$A:$F,4,FALSE)</f>
        <v>1</v>
      </c>
      <c r="H973" s="9" t="str">
        <f ca="1">VLOOKUP(A973,[2]characters!$A:$K,11,FALSE)</f>
        <v>attack</v>
      </c>
      <c r="I973" s="6" t="str">
        <f ca="1">VLOOKUP(H973,[2]character_type_i18n!$A:$F,3,FALSE)</f>
        <v>攻撃タイプ</v>
      </c>
      <c r="J973" s="97">
        <f ca="1">VLOOKUP(H973,[2]character_type_i18n!$A:$F,4,FALSE)</f>
        <v>1</v>
      </c>
      <c r="K973" s="97">
        <f ca="1">VLOOKUP(H973,[2]character_type_i18n!$A:$F,5,FALSE)</f>
        <v>1.33</v>
      </c>
      <c r="L973" s="97">
        <f ca="1">VLOOKUP(H973,[2]character_type_i18n!$A:$F,6,FALSE)</f>
        <v>1</v>
      </c>
      <c r="M973" s="9" t="str">
        <f ca="1">VLOOKUP(A973,[2]characters!$A:$M,13,FALSE)</f>
        <v>academia</v>
      </c>
      <c r="N973" s="6" t="str">
        <f ca="1">VLOOKUP(M973,[2]character_tribe_i18n!$A:$F,3,FALSE)</f>
        <v>アカデミア</v>
      </c>
      <c r="O973" s="97">
        <f ca="1">VLOOKUP(M973,[2]character_tribe_i18n!$A:$F,4,FALSE)</f>
        <v>1</v>
      </c>
      <c r="P973" s="97">
        <f ca="1">VLOOKUP(M973,[2]character_tribe_i18n!$A:$F,5,FALSE)</f>
        <v>1</v>
      </c>
      <c r="Q973" s="97">
        <f ca="1">VLOOKUP(M973,[2]character_tribe_i18n!$A:$F,6,FALSE)</f>
        <v>1</v>
      </c>
      <c r="R973" s="98" t="s">
        <v>98</v>
      </c>
      <c r="S973" s="97">
        <f>VLOOKUP($R973,ラベル別係数!$A$1:$E$7,3,FALSE)</f>
        <v>5</v>
      </c>
      <c r="T973" s="97">
        <f>VLOOKUP($R973,ラベル別係数!$A$1:$E$7,4,FALSE)</f>
        <v>1.3</v>
      </c>
      <c r="U973" s="97">
        <f>VLOOKUP($R973,ラベル別係数!$A$1:$E$7,5,FALSE)</f>
        <v>0.8</v>
      </c>
      <c r="V973" s="98">
        <v>3</v>
      </c>
      <c r="W973" s="99">
        <f>VLOOKUP(V973,ターン数別攻撃係数!$A$1:$B$1000,2,FALSE)</f>
        <v>1</v>
      </c>
      <c r="X973" s="9">
        <f ca="1">VLOOKUP(C973,サイズ別係数!A$2:B$9,2,FALSE)</f>
        <v>60</v>
      </c>
      <c r="Y973" s="97">
        <f ca="1">VLOOKUP($X973,サイズ別係数!$B:$E,2,FALSE)</f>
        <v>1.7</v>
      </c>
      <c r="Z973" s="97">
        <f ca="1">VLOOKUP($X973,サイズ別係数!$B:$E,3,FALSE)</f>
        <v>1.4</v>
      </c>
      <c r="AA973" s="97">
        <f ca="1">VLOOKUP($X973,サイズ別係数!$B:$E,4,FALSE)</f>
        <v>1</v>
      </c>
      <c r="AB973" s="10">
        <v>0</v>
      </c>
      <c r="AC973" s="6" t="str">
        <f ca="1">VLOOKUP($AB973,OFFSET([3]enemy_skill_sets!$B$2,0,0,COUNTA([3]enemy_skill_sets!$A:$A),MATCH(AC$1,[3]enemy_skill_sets!$1:$1,0)-MATCH($AB$1,[3]enemy_skill_sets!$1:$1,0)+1),MATCH(AC$1,[3]enemy_skill_sets!$1:$1,0)-MATCH($AB$1,[3]enemy_skill_sets!$1:$1,0)+1,FALSE)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3" s="67">
        <v>1</v>
      </c>
      <c r="AE973" s="67">
        <v>1</v>
      </c>
      <c r="AF973" s="68">
        <v>0</v>
      </c>
      <c r="AG973" s="99">
        <f ca="1">ROUND(VLOOKUP(1,enemy_base_stats!$A:$F,2,FALSE) * Y973* J973*O973*E973*S973*AD973*[2]ステータス!$B$2,0)</f>
        <v>4250</v>
      </c>
      <c r="AH973" s="99">
        <f ca="1">ROUND(VLOOKUP(1,enemy_base_stats!$A:$F,3,FALSE) * Z973*K973*P973*F973*T973*AE973 * W973*[2]ステータス!$C$2,0)</f>
        <v>370</v>
      </c>
      <c r="AI973" s="99">
        <f ca="1">ROUND(VLOOKUP(1,enemy_base_stats!$A:$F,4,FALSE) * AA973*L973*Q973*G973*U973*AF973*[2]ステータス!$D$2,0)</f>
        <v>0</v>
      </c>
      <c r="AJ973" s="99">
        <f ca="1">ROUND(VLOOKUP(100,enemy_base_stats!$A:$F,2,FALSE) * Y973* J973*O973*E973*S973*AD973*[2]ステータス!$B$2,0)</f>
        <v>172550</v>
      </c>
      <c r="AK973" s="99">
        <f ca="1">ROUND(VLOOKUP(100,enemy_base_stats!$A:$F,3,FALSE)* Z973* K973*P973*F973*T973*AE973 * W973*[2]ステータス!$C$2,0)</f>
        <v>15036</v>
      </c>
      <c r="AL973" s="99">
        <f ca="1">ROUND(VLOOKUP(100,enemy_base_stats!$A:$F,4,FALSE)* AA973* L973*Q973*G973*U973*AF973*[2]ステータス!$D$2,0)</f>
        <v>0</v>
      </c>
      <c r="AM973" s="97">
        <f ca="1">VLOOKUP(M973,[2]character_tribe_i18n!$A:$I,9,FALSE)</f>
        <v>400</v>
      </c>
      <c r="AN973" s="97">
        <v>0</v>
      </c>
      <c r="AO973" s="98">
        <v>0</v>
      </c>
      <c r="AP973" s="58" t="s">
        <v>72</v>
      </c>
      <c r="AQ973" s="34">
        <f t="shared" ca="1" si="55"/>
        <v>972</v>
      </c>
    </row>
    <row r="974" spans="1:43" ht="21" customHeight="1" x14ac:dyDescent="0.15">
      <c r="A974" s="7">
        <f t="shared" ca="1" si="54"/>
        <v>973</v>
      </c>
      <c r="B974" s="6" t="str">
        <f ca="1">VLOOKUP(A974,[2]characters!$A:$C,3,FALSE)</f>
        <v>幻蜜なる怪跡 コーシー</v>
      </c>
      <c r="C974" s="9">
        <f ca="1">VLOOKUP(A974,[2]characters!$A:$I,9,FALSE)</f>
        <v>6</v>
      </c>
      <c r="D974" s="9" t="str">
        <f ca="1">VLOOKUP(A974,[2]characters!$A:$H,8,FALSE)</f>
        <v>red</v>
      </c>
      <c r="E974" s="97">
        <f ca="1">VLOOKUP(D974,[2]属性!$A:$E,2,FALSE)</f>
        <v>1</v>
      </c>
      <c r="F974" s="97">
        <f ca="1">VLOOKUP(D974,[2]属性!$A:$E,3,FALSE)</f>
        <v>1.02</v>
      </c>
      <c r="G974" s="97">
        <f ca="1">VLOOKUP(D974,[2]属性!$A:$F,4,FALSE)</f>
        <v>1</v>
      </c>
      <c r="H974" s="9" t="str">
        <f ca="1">VLOOKUP(A974,[2]characters!$A:$K,11,FALSE)</f>
        <v>attack</v>
      </c>
      <c r="I974" s="6" t="str">
        <f ca="1">VLOOKUP(H974,[2]character_type_i18n!$A:$F,3,FALSE)</f>
        <v>攻撃タイプ</v>
      </c>
      <c r="J974" s="97">
        <f ca="1">VLOOKUP(H974,[2]character_type_i18n!$A:$F,4,FALSE)</f>
        <v>1</v>
      </c>
      <c r="K974" s="97">
        <f ca="1">VLOOKUP(H974,[2]character_type_i18n!$A:$F,5,FALSE)</f>
        <v>1.33</v>
      </c>
      <c r="L974" s="97">
        <f ca="1">VLOOKUP(H974,[2]character_type_i18n!$A:$F,6,FALSE)</f>
        <v>1</v>
      </c>
      <c r="M974" s="9" t="str">
        <f ca="1">VLOOKUP(A974,[2]characters!$A:$M,13,FALSE)</f>
        <v>academia</v>
      </c>
      <c r="N974" s="6" t="str">
        <f ca="1">VLOOKUP(M974,[2]character_tribe_i18n!$A:$F,3,FALSE)</f>
        <v>アカデミア</v>
      </c>
      <c r="O974" s="97">
        <f ca="1">VLOOKUP(M974,[2]character_tribe_i18n!$A:$F,4,FALSE)</f>
        <v>1</v>
      </c>
      <c r="P974" s="97">
        <f ca="1">VLOOKUP(M974,[2]character_tribe_i18n!$A:$F,5,FALSE)</f>
        <v>1</v>
      </c>
      <c r="Q974" s="97">
        <f ca="1">VLOOKUP(M974,[2]character_tribe_i18n!$A:$F,6,FALSE)</f>
        <v>1</v>
      </c>
      <c r="R974" s="98" t="s">
        <v>98</v>
      </c>
      <c r="S974" s="97">
        <f>VLOOKUP($R974,ラベル別係数!$A$1:$E$7,3,FALSE)</f>
        <v>5</v>
      </c>
      <c r="T974" s="97">
        <f>VLOOKUP($R974,ラベル別係数!$A$1:$E$7,4,FALSE)</f>
        <v>1.3</v>
      </c>
      <c r="U974" s="97">
        <f>VLOOKUP($R974,ラベル別係数!$A$1:$E$7,5,FALSE)</f>
        <v>0.8</v>
      </c>
      <c r="V974" s="98">
        <v>3</v>
      </c>
      <c r="W974" s="99">
        <f>VLOOKUP(V974,ターン数別攻撃係数!$A$1:$B$1000,2,FALSE)</f>
        <v>1</v>
      </c>
      <c r="X974" s="9">
        <f ca="1">VLOOKUP(C974,サイズ別係数!A$2:B$9,2,FALSE)</f>
        <v>60</v>
      </c>
      <c r="Y974" s="97">
        <f ca="1">VLOOKUP($X974,サイズ別係数!$B:$E,2,FALSE)</f>
        <v>1.7</v>
      </c>
      <c r="Z974" s="97">
        <f ca="1">VLOOKUP($X974,サイズ別係数!$B:$E,3,FALSE)</f>
        <v>1.4</v>
      </c>
      <c r="AA974" s="97">
        <f ca="1">VLOOKUP($X974,サイズ別係数!$B:$E,4,FALSE)</f>
        <v>1</v>
      </c>
      <c r="AB974" s="10">
        <v>0</v>
      </c>
      <c r="AC974" s="6" t="str">
        <f ca="1">VLOOKUP($AB974,OFFSET([3]enemy_skill_sets!$B$2,0,0,COUNTA([3]enemy_skill_sets!$A:$A),MATCH(AC$1,[3]enemy_skill_sets!$1:$1,0)-MATCH($AB$1,[3]enemy_skill_sets!$1:$1,0)+1),MATCH(AC$1,[3]enemy_skill_sets!$1:$1,0)-MATCH($AB$1,[3]enemy_skill_sets!$1:$1,0)+1,FALSE)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4" s="67">
        <v>1</v>
      </c>
      <c r="AE974" s="67">
        <v>1</v>
      </c>
      <c r="AF974" s="68">
        <v>0</v>
      </c>
      <c r="AG974" s="99">
        <f ca="1">ROUND(VLOOKUP(1,enemy_base_stats!$A:$F,2,FALSE) * Y974* J974*O974*E974*S974*AD974*[2]ステータス!$B$2,0)</f>
        <v>4250</v>
      </c>
      <c r="AH974" s="99">
        <f ca="1">ROUND(VLOOKUP(1,enemy_base_stats!$A:$F,3,FALSE) * Z974*K974*P974*F974*T974*AE974 * W974*[2]ステータス!$C$2,0)</f>
        <v>370</v>
      </c>
      <c r="AI974" s="99">
        <f ca="1">ROUND(VLOOKUP(1,enemy_base_stats!$A:$F,4,FALSE) * AA974*L974*Q974*G974*U974*AF974*[2]ステータス!$D$2,0)</f>
        <v>0</v>
      </c>
      <c r="AJ974" s="99">
        <f ca="1">ROUND(VLOOKUP(100,enemy_base_stats!$A:$F,2,FALSE) * Y974* J974*O974*E974*S974*AD974*[2]ステータス!$B$2,0)</f>
        <v>172550</v>
      </c>
      <c r="AK974" s="99">
        <f ca="1">ROUND(VLOOKUP(100,enemy_base_stats!$A:$F,3,FALSE)* Z974* K974*P974*F974*T974*AE974 * W974*[2]ステータス!$C$2,0)</f>
        <v>15036</v>
      </c>
      <c r="AL974" s="99">
        <f ca="1">ROUND(VLOOKUP(100,enemy_base_stats!$A:$F,4,FALSE)* AA974* L974*Q974*G974*U974*AF974*[2]ステータス!$D$2,0)</f>
        <v>0</v>
      </c>
      <c r="AM974" s="97">
        <f ca="1">VLOOKUP(M974,[2]character_tribe_i18n!$A:$I,9,FALSE)</f>
        <v>400</v>
      </c>
      <c r="AN974" s="97">
        <v>0</v>
      </c>
      <c r="AO974" s="98">
        <v>0</v>
      </c>
      <c r="AP974" s="58" t="s">
        <v>72</v>
      </c>
      <c r="AQ974" s="34">
        <f t="shared" ca="1" si="55"/>
        <v>973</v>
      </c>
    </row>
    <row r="975" spans="1:43" ht="21" customHeight="1" x14ac:dyDescent="0.15">
      <c r="A975" s="7">
        <f t="shared" ca="1" si="54"/>
        <v>974</v>
      </c>
      <c r="B975" s="6" t="str">
        <f ca="1">VLOOKUP(A975,[2]characters!$A:$C,3,FALSE)</f>
        <v>ブール</v>
      </c>
      <c r="C975" s="9">
        <f ca="1">VLOOKUP(A975,[2]characters!$A:$I,9,FALSE)</f>
        <v>5</v>
      </c>
      <c r="D975" s="9" t="str">
        <f ca="1">VLOOKUP(A975,[2]characters!$A:$H,8,FALSE)</f>
        <v>blue</v>
      </c>
      <c r="E975" s="97">
        <f ca="1">VLOOKUP(D975,[2]属性!$A:$E,2,FALSE)</f>
        <v>1</v>
      </c>
      <c r="F975" s="97">
        <f ca="1">VLOOKUP(D975,[2]属性!$A:$E,3,FALSE)</f>
        <v>0.98</v>
      </c>
      <c r="G975" s="97">
        <f ca="1">VLOOKUP(D975,[2]属性!$A:$F,4,FALSE)</f>
        <v>1</v>
      </c>
      <c r="H975" s="9" t="str">
        <f ca="1">VLOOKUP(A975,[2]characters!$A:$K,11,FALSE)</f>
        <v>balance</v>
      </c>
      <c r="I975" s="6" t="str">
        <f ca="1">VLOOKUP(H975,[2]character_type_i18n!$A:$F,3,FALSE)</f>
        <v>バランスタイプ</v>
      </c>
      <c r="J975" s="97">
        <f ca="1">VLOOKUP(H975,[2]character_type_i18n!$A:$F,4,FALSE)</f>
        <v>1</v>
      </c>
      <c r="K975" s="97">
        <f ca="1">VLOOKUP(H975,[2]character_type_i18n!$A:$F,5,FALSE)</f>
        <v>1</v>
      </c>
      <c r="L975" s="97">
        <f ca="1">VLOOKUP(H975,[2]character_type_i18n!$A:$F,6,FALSE)</f>
        <v>1</v>
      </c>
      <c r="M975" s="9" t="str">
        <f ca="1">VLOOKUP(A975,[2]characters!$A:$M,13,FALSE)</f>
        <v>academia</v>
      </c>
      <c r="N975" s="6" t="str">
        <f ca="1">VLOOKUP(M975,[2]character_tribe_i18n!$A:$F,3,FALSE)</f>
        <v>アカデミア</v>
      </c>
      <c r="O975" s="97">
        <f ca="1">VLOOKUP(M975,[2]character_tribe_i18n!$A:$F,4,FALSE)</f>
        <v>1</v>
      </c>
      <c r="P975" s="97">
        <f ca="1">VLOOKUP(M975,[2]character_tribe_i18n!$A:$F,5,FALSE)</f>
        <v>1</v>
      </c>
      <c r="Q975" s="97">
        <f ca="1">VLOOKUP(M975,[2]character_tribe_i18n!$A:$F,6,FALSE)</f>
        <v>1</v>
      </c>
      <c r="R975" s="98" t="s">
        <v>98</v>
      </c>
      <c r="S975" s="97">
        <f>VLOOKUP($R975,ラベル別係数!$A$1:$E$7,3,FALSE)</f>
        <v>5</v>
      </c>
      <c r="T975" s="97">
        <f>VLOOKUP($R975,ラベル別係数!$A$1:$E$7,4,FALSE)</f>
        <v>1.3</v>
      </c>
      <c r="U975" s="97">
        <f>VLOOKUP($R975,ラベル別係数!$A$1:$E$7,5,FALSE)</f>
        <v>0.8</v>
      </c>
      <c r="V975" s="98">
        <v>3</v>
      </c>
      <c r="W975" s="99">
        <f>VLOOKUP(V975,ターン数別攻撃係数!$A$1:$B$1000,2,FALSE)</f>
        <v>1</v>
      </c>
      <c r="X975" s="9">
        <f ca="1">VLOOKUP(C975,サイズ別係数!A$2:B$9,2,FALSE)</f>
        <v>60</v>
      </c>
      <c r="Y975" s="97">
        <f ca="1">VLOOKUP($X975,サイズ別係数!$B:$E,2,FALSE)</f>
        <v>1.7</v>
      </c>
      <c r="Z975" s="97">
        <f ca="1">VLOOKUP($X975,サイズ別係数!$B:$E,3,FALSE)</f>
        <v>1.4</v>
      </c>
      <c r="AA975" s="97">
        <f ca="1">VLOOKUP($X975,サイズ別係数!$B:$E,4,FALSE)</f>
        <v>1</v>
      </c>
      <c r="AB975" s="10">
        <v>0</v>
      </c>
      <c r="AC975" s="6" t="str">
        <f ca="1">VLOOKUP($AB975,OFFSET([3]enemy_skill_sets!$B$2,0,0,COUNTA([3]enemy_skill_sets!$A:$A),MATCH(AC$1,[3]enemy_skill_sets!$1:$1,0)-MATCH($AB$1,[3]enemy_skill_sets!$1:$1,0)+1),MATCH(AC$1,[3]enemy_skill_sets!$1:$1,0)-MATCH($AB$1,[3]enemy_skill_sets!$1:$1,0)+1,FALSE)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5" s="67">
        <v>1</v>
      </c>
      <c r="AE975" s="67">
        <v>1</v>
      </c>
      <c r="AF975" s="68">
        <v>0</v>
      </c>
      <c r="AG975" s="99">
        <f ca="1">ROUND(VLOOKUP(1,enemy_base_stats!$A:$F,2,FALSE) * Y975* J975*O975*E975*S975*AD975*[2]ステータス!$B$2,0)</f>
        <v>4250</v>
      </c>
      <c r="AH975" s="99">
        <f ca="1">ROUND(VLOOKUP(1,enemy_base_stats!$A:$F,3,FALSE) * Z975*K975*P975*F975*T975*AE975 * W975*[2]ステータス!$C$2,0)</f>
        <v>268</v>
      </c>
      <c r="AI975" s="99">
        <f ca="1">ROUND(VLOOKUP(1,enemy_base_stats!$A:$F,4,FALSE) * AA975*L975*Q975*G975*U975*AF975*[2]ステータス!$D$2,0)</f>
        <v>0</v>
      </c>
      <c r="AJ975" s="99">
        <f ca="1">ROUND(VLOOKUP(100,enemy_base_stats!$A:$F,2,FALSE) * Y975* J975*O975*E975*S975*AD975*[2]ステータス!$B$2,0)</f>
        <v>172550</v>
      </c>
      <c r="AK975" s="99">
        <f ca="1">ROUND(VLOOKUP(100,enemy_base_stats!$A:$F,3,FALSE)* Z975* K975*P975*F975*T975*AE975 * W975*[2]ステータス!$C$2,0)</f>
        <v>10862</v>
      </c>
      <c r="AL975" s="99">
        <f ca="1">ROUND(VLOOKUP(100,enemy_base_stats!$A:$F,4,FALSE)* AA975* L975*Q975*G975*U975*AF975*[2]ステータス!$D$2,0)</f>
        <v>0</v>
      </c>
      <c r="AM975" s="97">
        <f ca="1">VLOOKUP(M975,[2]character_tribe_i18n!$A:$I,9,FALSE)</f>
        <v>400</v>
      </c>
      <c r="AN975" s="97">
        <v>0</v>
      </c>
      <c r="AO975" s="98">
        <v>0</v>
      </c>
      <c r="AP975" s="58" t="s">
        <v>72</v>
      </c>
      <c r="AQ975" s="34">
        <f t="shared" ca="1" si="55"/>
        <v>974</v>
      </c>
    </row>
    <row r="976" spans="1:43" ht="21" customHeight="1" x14ac:dyDescent="0.15">
      <c r="A976" s="7">
        <f t="shared" ca="1" si="54"/>
        <v>975</v>
      </c>
      <c r="B976" s="6" t="str">
        <f ca="1">VLOOKUP(A976,[2]characters!$A:$C,3,FALSE)</f>
        <v>綺号を巡る輝翼 ブール</v>
      </c>
      <c r="C976" s="9">
        <f ca="1">VLOOKUP(A976,[2]characters!$A:$I,9,FALSE)</f>
        <v>6</v>
      </c>
      <c r="D976" s="9" t="str">
        <f ca="1">VLOOKUP(A976,[2]characters!$A:$H,8,FALSE)</f>
        <v>blue</v>
      </c>
      <c r="E976" s="97">
        <f ca="1">VLOOKUP(D976,[2]属性!$A:$E,2,FALSE)</f>
        <v>1</v>
      </c>
      <c r="F976" s="97">
        <f ca="1">VLOOKUP(D976,[2]属性!$A:$E,3,FALSE)</f>
        <v>0.98</v>
      </c>
      <c r="G976" s="97">
        <f ca="1">VLOOKUP(D976,[2]属性!$A:$F,4,FALSE)</f>
        <v>1</v>
      </c>
      <c r="H976" s="9" t="str">
        <f ca="1">VLOOKUP(A976,[2]characters!$A:$K,11,FALSE)</f>
        <v>balance</v>
      </c>
      <c r="I976" s="6" t="str">
        <f ca="1">VLOOKUP(H976,[2]character_type_i18n!$A:$F,3,FALSE)</f>
        <v>バランスタイプ</v>
      </c>
      <c r="J976" s="97">
        <f ca="1">VLOOKUP(H976,[2]character_type_i18n!$A:$F,4,FALSE)</f>
        <v>1</v>
      </c>
      <c r="K976" s="97">
        <f ca="1">VLOOKUP(H976,[2]character_type_i18n!$A:$F,5,FALSE)</f>
        <v>1</v>
      </c>
      <c r="L976" s="97">
        <f ca="1">VLOOKUP(H976,[2]character_type_i18n!$A:$F,6,FALSE)</f>
        <v>1</v>
      </c>
      <c r="M976" s="9" t="str">
        <f ca="1">VLOOKUP(A976,[2]characters!$A:$M,13,FALSE)</f>
        <v>academia</v>
      </c>
      <c r="N976" s="6" t="str">
        <f ca="1">VLOOKUP(M976,[2]character_tribe_i18n!$A:$F,3,FALSE)</f>
        <v>アカデミア</v>
      </c>
      <c r="O976" s="97">
        <f ca="1">VLOOKUP(M976,[2]character_tribe_i18n!$A:$F,4,FALSE)</f>
        <v>1</v>
      </c>
      <c r="P976" s="97">
        <f ca="1">VLOOKUP(M976,[2]character_tribe_i18n!$A:$F,5,FALSE)</f>
        <v>1</v>
      </c>
      <c r="Q976" s="97">
        <f ca="1">VLOOKUP(M976,[2]character_tribe_i18n!$A:$F,6,FALSE)</f>
        <v>1</v>
      </c>
      <c r="R976" s="98" t="s">
        <v>98</v>
      </c>
      <c r="S976" s="97">
        <f>VLOOKUP($R976,ラベル別係数!$A$1:$E$7,3,FALSE)</f>
        <v>5</v>
      </c>
      <c r="T976" s="97">
        <f>VLOOKUP($R976,ラベル別係数!$A$1:$E$7,4,FALSE)</f>
        <v>1.3</v>
      </c>
      <c r="U976" s="97">
        <f>VLOOKUP($R976,ラベル別係数!$A$1:$E$7,5,FALSE)</f>
        <v>0.8</v>
      </c>
      <c r="V976" s="98">
        <v>3</v>
      </c>
      <c r="W976" s="99">
        <f>VLOOKUP(V976,ターン数別攻撃係数!$A$1:$B$1000,2,FALSE)</f>
        <v>1</v>
      </c>
      <c r="X976" s="9">
        <f ca="1">VLOOKUP(C976,サイズ別係数!A$2:B$9,2,FALSE)</f>
        <v>60</v>
      </c>
      <c r="Y976" s="97">
        <f ca="1">VLOOKUP($X976,サイズ別係数!$B:$E,2,FALSE)</f>
        <v>1.7</v>
      </c>
      <c r="Z976" s="97">
        <f ca="1">VLOOKUP($X976,サイズ別係数!$B:$E,3,FALSE)</f>
        <v>1.4</v>
      </c>
      <c r="AA976" s="97">
        <f ca="1">VLOOKUP($X976,サイズ別係数!$B:$E,4,FALSE)</f>
        <v>1</v>
      </c>
      <c r="AB976" s="10">
        <v>0</v>
      </c>
      <c r="AC976" s="6" t="str">
        <f ca="1">VLOOKUP($AB976,OFFSET([3]enemy_skill_sets!$B$2,0,0,COUNTA([3]enemy_skill_sets!$A:$A),MATCH(AC$1,[3]enemy_skill_sets!$1:$1,0)-MATCH($AB$1,[3]enemy_skill_sets!$1:$1,0)+1),MATCH(AC$1,[3]enemy_skill_sets!$1:$1,0)-MATCH($AB$1,[3]enemy_skill_sets!$1:$1,0)+1,FALSE)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6" s="67">
        <v>1</v>
      </c>
      <c r="AE976" s="67">
        <v>1</v>
      </c>
      <c r="AF976" s="68">
        <v>0</v>
      </c>
      <c r="AG976" s="99">
        <f ca="1">ROUND(VLOOKUP(1,enemy_base_stats!$A:$F,2,FALSE) * Y976* J976*O976*E976*S976*AD976*[2]ステータス!$B$2,0)</f>
        <v>4250</v>
      </c>
      <c r="AH976" s="99">
        <f ca="1">ROUND(VLOOKUP(1,enemy_base_stats!$A:$F,3,FALSE) * Z976*K976*P976*F976*T976*AE976 * W976*[2]ステータス!$C$2,0)</f>
        <v>268</v>
      </c>
      <c r="AI976" s="99">
        <f ca="1">ROUND(VLOOKUP(1,enemy_base_stats!$A:$F,4,FALSE) * AA976*L976*Q976*G976*U976*AF976*[2]ステータス!$D$2,0)</f>
        <v>0</v>
      </c>
      <c r="AJ976" s="99">
        <f ca="1">ROUND(VLOOKUP(100,enemy_base_stats!$A:$F,2,FALSE) * Y976* J976*O976*E976*S976*AD976*[2]ステータス!$B$2,0)</f>
        <v>172550</v>
      </c>
      <c r="AK976" s="99">
        <f ca="1">ROUND(VLOOKUP(100,enemy_base_stats!$A:$F,3,FALSE)* Z976* K976*P976*F976*T976*AE976 * W976*[2]ステータス!$C$2,0)</f>
        <v>10862</v>
      </c>
      <c r="AL976" s="99">
        <f ca="1">ROUND(VLOOKUP(100,enemy_base_stats!$A:$F,4,FALSE)* AA976* L976*Q976*G976*U976*AF976*[2]ステータス!$D$2,0)</f>
        <v>0</v>
      </c>
      <c r="AM976" s="97">
        <f ca="1">VLOOKUP(M976,[2]character_tribe_i18n!$A:$I,9,FALSE)</f>
        <v>400</v>
      </c>
      <c r="AN976" s="97">
        <v>0</v>
      </c>
      <c r="AO976" s="98">
        <v>0</v>
      </c>
      <c r="AP976" s="58" t="s">
        <v>72</v>
      </c>
      <c r="AQ976" s="34">
        <f t="shared" ca="1" si="55"/>
        <v>975</v>
      </c>
    </row>
    <row r="977" spans="1:43" ht="21" customHeight="1" x14ac:dyDescent="0.15">
      <c r="A977" s="7">
        <f t="shared" ca="1" si="54"/>
        <v>976</v>
      </c>
      <c r="B977" s="6" t="str">
        <f ca="1">VLOOKUP(A977,[2]characters!$A:$C,3,FALSE)</f>
        <v>ウザリーマン</v>
      </c>
      <c r="C977" s="9">
        <f ca="1">VLOOKUP(A977,[2]characters!$A:$I,9,FALSE)</f>
        <v>3</v>
      </c>
      <c r="D977" s="9" t="str">
        <f ca="1">VLOOKUP(A977,[2]characters!$A:$H,8,FALSE)</f>
        <v>red</v>
      </c>
      <c r="E977" s="97">
        <f ca="1">VLOOKUP(D977,[2]属性!$A:$E,2,FALSE)</f>
        <v>1</v>
      </c>
      <c r="F977" s="97">
        <f ca="1">VLOOKUP(D977,[2]属性!$A:$E,3,FALSE)</f>
        <v>1.02</v>
      </c>
      <c r="G977" s="97">
        <f ca="1">VLOOKUP(D977,[2]属性!$A:$F,4,FALSE)</f>
        <v>1</v>
      </c>
      <c r="H977" s="9" t="str">
        <f ca="1">VLOOKUP(A977,[2]characters!$A:$K,11,FALSE)</f>
        <v>technical</v>
      </c>
      <c r="I977" s="6" t="str">
        <f ca="1">VLOOKUP(H977,[2]character_type_i18n!$A:$F,3,FALSE)</f>
        <v>テクニカルタイプ</v>
      </c>
      <c r="J977" s="97">
        <f ca="1">VLOOKUP(H977,[2]character_type_i18n!$A:$F,4,FALSE)</f>
        <v>0.9</v>
      </c>
      <c r="K977" s="97">
        <f ca="1">VLOOKUP(H977,[2]character_type_i18n!$A:$F,5,FALSE)</f>
        <v>0.9</v>
      </c>
      <c r="L977" s="97">
        <f ca="1">VLOOKUP(H977,[2]character_type_i18n!$A:$F,6,FALSE)</f>
        <v>1</v>
      </c>
      <c r="M977" s="9" t="str">
        <f ca="1">VLOOKUP(A977,[2]characters!$A:$M,13,FALSE)</f>
        <v>unknown</v>
      </c>
      <c r="N977" s="6" t="str">
        <f ca="1">VLOOKUP(M977,[2]character_tribe_i18n!$A:$F,3,FALSE)</f>
        <v>Unknown</v>
      </c>
      <c r="O977" s="97">
        <f ca="1">VLOOKUP(M977,[2]character_tribe_i18n!$A:$F,4,FALSE)</f>
        <v>1</v>
      </c>
      <c r="P977" s="97">
        <f ca="1">VLOOKUP(M977,[2]character_tribe_i18n!$A:$F,5,FALSE)</f>
        <v>1</v>
      </c>
      <c r="Q977" s="97">
        <f ca="1">VLOOKUP(M977,[2]character_tribe_i18n!$A:$F,6,FALSE)</f>
        <v>1</v>
      </c>
      <c r="R977" s="98" t="s">
        <v>98</v>
      </c>
      <c r="S977" s="97">
        <f>VLOOKUP($R977,ラベル別係数!$A$1:$E$7,3,FALSE)</f>
        <v>5</v>
      </c>
      <c r="T977" s="97">
        <f>VLOOKUP($R977,ラベル別係数!$A$1:$E$7,4,FALSE)</f>
        <v>1.3</v>
      </c>
      <c r="U977" s="97">
        <f>VLOOKUP($R977,ラベル別係数!$A$1:$E$7,5,FALSE)</f>
        <v>0.8</v>
      </c>
      <c r="V977" s="98">
        <v>3</v>
      </c>
      <c r="W977" s="99">
        <f>VLOOKUP(V977,ターン数別攻撃係数!$A$1:$B$1000,2,FALSE)</f>
        <v>1</v>
      </c>
      <c r="X977" s="9">
        <f ca="1">VLOOKUP(C977,サイズ別係数!A$2:B$9,2,FALSE)</f>
        <v>25</v>
      </c>
      <c r="Y977" s="97">
        <f ca="1">VLOOKUP($X977,サイズ別係数!$B:$E,2,FALSE)</f>
        <v>1.2</v>
      </c>
      <c r="Z977" s="97">
        <f ca="1">VLOOKUP($X977,サイズ別係数!$B:$E,3,FALSE)</f>
        <v>1.25</v>
      </c>
      <c r="AA977" s="97">
        <f ca="1">VLOOKUP($X977,サイズ別係数!$B:$E,4,FALSE)</f>
        <v>1.1499999999999999</v>
      </c>
      <c r="AB977" s="10">
        <v>0</v>
      </c>
      <c r="AC977" s="6" t="str">
        <f ca="1">VLOOKUP($AB977,OFFSET([3]enemy_skill_sets!$B$2,0,0,COUNTA([3]enemy_skill_sets!$A:$A),MATCH(AC$1,[3]enemy_skill_sets!$1:$1,0)-MATCH($AB$1,[3]enemy_skill_sets!$1:$1,0)+1),MATCH(AC$1,[3]enemy_skill_sets!$1:$1,0)-MATCH($AB$1,[3]enemy_skill_sets!$1:$1,0)+1,FALSE)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7" s="67">
        <v>1</v>
      </c>
      <c r="AE977" s="67">
        <v>1</v>
      </c>
      <c r="AF977" s="68">
        <v>0</v>
      </c>
      <c r="AG977" s="99">
        <f ca="1">ROUND(VLOOKUP(1,enemy_base_stats!$A:$F,2,FALSE) * Y977* J977*O977*E977*S977*AD977*[2]ステータス!$B$2,0)</f>
        <v>2700</v>
      </c>
      <c r="AH977" s="99">
        <f ca="1">ROUND(VLOOKUP(1,enemy_base_stats!$A:$F,3,FALSE) * Z977*K977*P977*F977*T977*AE977 * W977*[2]ステータス!$C$2,0)</f>
        <v>224</v>
      </c>
      <c r="AI977" s="99">
        <f ca="1">ROUND(VLOOKUP(1,enemy_base_stats!$A:$F,4,FALSE) * AA977*L977*Q977*G977*U977*AF977*[2]ステータス!$D$2,0)</f>
        <v>0</v>
      </c>
      <c r="AJ977" s="99">
        <f ca="1">ROUND(VLOOKUP(100,enemy_base_stats!$A:$F,2,FALSE) * Y977* J977*O977*E977*S977*AD977*[2]ステータス!$B$2,0)</f>
        <v>109620</v>
      </c>
      <c r="AK977" s="99">
        <f ca="1">ROUND(VLOOKUP(100,enemy_base_stats!$A:$F,3,FALSE)* Z977* K977*P977*F977*T977*AE977 * W977*[2]ステータス!$C$2,0)</f>
        <v>9085</v>
      </c>
      <c r="AL977" s="99">
        <f ca="1">ROUND(VLOOKUP(100,enemy_base_stats!$A:$F,4,FALSE)* AA977* L977*Q977*G977*U977*AF977*[2]ステータス!$D$2,0)</f>
        <v>0</v>
      </c>
      <c r="AM977" s="97">
        <f ca="1">VLOOKUP(M977,[2]character_tribe_i18n!$A:$I,9,FALSE)</f>
        <v>340</v>
      </c>
      <c r="AN977" s="97">
        <v>0</v>
      </c>
      <c r="AO977" s="98">
        <v>0</v>
      </c>
      <c r="AP977" s="58" t="s">
        <v>72</v>
      </c>
      <c r="AQ977" s="34">
        <f t="shared" ref="AQ977:AQ1040" ca="1" si="56">A977</f>
        <v>976</v>
      </c>
    </row>
    <row r="978" spans="1:43" ht="21" customHeight="1" x14ac:dyDescent="0.15">
      <c r="A978" s="7">
        <f t="shared" ca="1" si="54"/>
        <v>977</v>
      </c>
      <c r="B978" s="6" t="str">
        <f ca="1">VLOOKUP(A978,[2]characters!$A:$C,3,FALSE)</f>
        <v>リヴァイ お掃除ver</v>
      </c>
      <c r="C978" s="9">
        <f ca="1">VLOOKUP(A978,[2]characters!$A:$I,9,FALSE)</f>
        <v>4</v>
      </c>
      <c r="D978" s="9" t="str">
        <f ca="1">VLOOKUP(A978,[2]characters!$A:$H,8,FALSE)</f>
        <v>blue</v>
      </c>
      <c r="E978" s="97">
        <f ca="1">VLOOKUP(D978,[2]属性!$A:$E,2,FALSE)</f>
        <v>1</v>
      </c>
      <c r="F978" s="97">
        <f ca="1">VLOOKUP(D978,[2]属性!$A:$E,3,FALSE)</f>
        <v>0.98</v>
      </c>
      <c r="G978" s="97">
        <f ca="1">VLOOKUP(D978,[2]属性!$A:$F,4,FALSE)</f>
        <v>1</v>
      </c>
      <c r="H978" s="9" t="str">
        <f ca="1">VLOOKUP(A978,[2]characters!$A:$K,11,FALSE)</f>
        <v>balance</v>
      </c>
      <c r="I978" s="6" t="str">
        <f ca="1">VLOOKUP(H978,[2]character_type_i18n!$A:$F,3,FALSE)</f>
        <v>バランスタイプ</v>
      </c>
      <c r="J978" s="97">
        <f ca="1">VLOOKUP(H978,[2]character_type_i18n!$A:$F,4,FALSE)</f>
        <v>1</v>
      </c>
      <c r="K978" s="97">
        <f ca="1">VLOOKUP(H978,[2]character_type_i18n!$A:$F,5,FALSE)</f>
        <v>1</v>
      </c>
      <c r="L978" s="97">
        <f ca="1">VLOOKUP(H978,[2]character_type_i18n!$A:$F,6,FALSE)</f>
        <v>1</v>
      </c>
      <c r="M978" s="9" t="str">
        <f ca="1">VLOOKUP(A978,[2]characters!$A:$M,13,FALSE)</f>
        <v>human</v>
      </c>
      <c r="N978" s="6" t="str">
        <f ca="1">VLOOKUP(M978,[2]character_tribe_i18n!$A:$F,3,FALSE)</f>
        <v>ヒューマン</v>
      </c>
      <c r="O978" s="97">
        <f ca="1">VLOOKUP(M978,[2]character_tribe_i18n!$A:$F,4,FALSE)</f>
        <v>0.94</v>
      </c>
      <c r="P978" s="97">
        <f ca="1">VLOOKUP(M978,[2]character_tribe_i18n!$A:$F,5,FALSE)</f>
        <v>0.99</v>
      </c>
      <c r="Q978" s="97">
        <f ca="1">VLOOKUP(M978,[2]character_tribe_i18n!$A:$F,6,FALSE)</f>
        <v>1</v>
      </c>
      <c r="R978" s="98" t="s">
        <v>98</v>
      </c>
      <c r="S978" s="97">
        <f>VLOOKUP($R978,ラベル別係数!$A$1:$E$7,3,FALSE)</f>
        <v>5</v>
      </c>
      <c r="T978" s="97">
        <f>VLOOKUP($R978,ラベル別係数!$A$1:$E$7,4,FALSE)</f>
        <v>1.3</v>
      </c>
      <c r="U978" s="97">
        <f>VLOOKUP($R978,ラベル別係数!$A$1:$E$7,5,FALSE)</f>
        <v>0.8</v>
      </c>
      <c r="V978" s="98">
        <v>3</v>
      </c>
      <c r="W978" s="99">
        <f>VLOOKUP(V978,ターン数別攻撃係数!$A$1:$B$1000,2,FALSE)</f>
        <v>1</v>
      </c>
      <c r="X978" s="9">
        <f ca="1">VLOOKUP(C978,サイズ別係数!A$2:B$9,2,FALSE)</f>
        <v>30</v>
      </c>
      <c r="Y978" s="97">
        <f ca="1">VLOOKUP($X978,サイズ別係数!$B:$E,2,FALSE)</f>
        <v>1.3</v>
      </c>
      <c r="Z978" s="97">
        <f ca="1">VLOOKUP($X978,サイズ別係数!$B:$E,3,FALSE)</f>
        <v>1.3</v>
      </c>
      <c r="AA978" s="97">
        <f ca="1">VLOOKUP($X978,サイズ別係数!$B:$E,4,FALSE)</f>
        <v>1.1000000000000001</v>
      </c>
      <c r="AB978" s="10">
        <v>0</v>
      </c>
      <c r="AC978" s="6" t="str">
        <f ca="1">VLOOKUP($AB978,OFFSET([3]enemy_skill_sets!$B$2,0,0,COUNTA([3]enemy_skill_sets!$A:$A),MATCH(AC$1,[3]enemy_skill_sets!$1:$1,0)-MATCH($AB$1,[3]enemy_skill_sets!$1:$1,0)+1),MATCH(AC$1,[3]enemy_skill_sets!$1:$1,0)-MATCH($AB$1,[3]enemy_skill_sets!$1:$1,0)+1,FALSE)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8" s="67">
        <v>1</v>
      </c>
      <c r="AE978" s="67">
        <v>1</v>
      </c>
      <c r="AF978" s="68">
        <v>0</v>
      </c>
      <c r="AG978" s="99">
        <f ca="1">ROUND(VLOOKUP(1,enemy_base_stats!$A:$F,2,FALSE) * Y978* J978*O978*E978*S978*AD978*[2]ステータス!$B$2,0)</f>
        <v>3055</v>
      </c>
      <c r="AH978" s="99">
        <f ca="1">ROUND(VLOOKUP(1,enemy_base_stats!$A:$F,3,FALSE) * Z978*K978*P978*F978*T978*AE978 * W978*[2]ステータス!$C$2,0)</f>
        <v>246</v>
      </c>
      <c r="AI978" s="99">
        <f ca="1">ROUND(VLOOKUP(1,enemy_base_stats!$A:$F,4,FALSE) * AA978*L978*Q978*G978*U978*AF978*[2]ステータス!$D$2,0)</f>
        <v>0</v>
      </c>
      <c r="AJ978" s="99">
        <f ca="1">ROUND(VLOOKUP(100,enemy_base_stats!$A:$F,2,FALSE) * Y978* J978*O978*E978*S978*AD978*[2]ステータス!$B$2,0)</f>
        <v>124033</v>
      </c>
      <c r="AK978" s="99">
        <f ca="1">ROUND(VLOOKUP(100,enemy_base_stats!$A:$F,3,FALSE)* Z978* K978*P978*F978*T978*AE978 * W978*[2]ステータス!$C$2,0)</f>
        <v>9985</v>
      </c>
      <c r="AL978" s="99">
        <f ca="1">ROUND(VLOOKUP(100,enemy_base_stats!$A:$F,4,FALSE)* AA978* L978*Q978*G978*U978*AF978*[2]ステータス!$D$2,0)</f>
        <v>0</v>
      </c>
      <c r="AM978" s="97">
        <f ca="1">VLOOKUP(M978,[2]character_tribe_i18n!$A:$I,9,FALSE)</f>
        <v>400</v>
      </c>
      <c r="AN978" s="97">
        <v>0</v>
      </c>
      <c r="AO978" s="98">
        <v>0</v>
      </c>
      <c r="AP978" s="58" t="s">
        <v>72</v>
      </c>
      <c r="AQ978" s="34">
        <f t="shared" ca="1" si="56"/>
        <v>977</v>
      </c>
    </row>
    <row r="979" spans="1:43" ht="21" customHeight="1" x14ac:dyDescent="0.15">
      <c r="A979" s="7">
        <f t="shared" ca="1" si="54"/>
        <v>978</v>
      </c>
      <c r="B979" s="6" t="str">
        <f ca="1">VLOOKUP(A979,[2]characters!$A:$C,3,FALSE)</f>
        <v>潔癖の掃討 リヴァイ お掃除ver</v>
      </c>
      <c r="C979" s="9">
        <f ca="1">VLOOKUP(A979,[2]characters!$A:$I,9,FALSE)</f>
        <v>5</v>
      </c>
      <c r="D979" s="9" t="str">
        <f ca="1">VLOOKUP(A979,[2]characters!$A:$H,8,FALSE)</f>
        <v>blue</v>
      </c>
      <c r="E979" s="97">
        <f ca="1">VLOOKUP(D979,[2]属性!$A:$E,2,FALSE)</f>
        <v>1</v>
      </c>
      <c r="F979" s="97">
        <f ca="1">VLOOKUP(D979,[2]属性!$A:$E,3,FALSE)</f>
        <v>0.98</v>
      </c>
      <c r="G979" s="97">
        <f ca="1">VLOOKUP(D979,[2]属性!$A:$F,4,FALSE)</f>
        <v>1</v>
      </c>
      <c r="H979" s="9" t="str">
        <f ca="1">VLOOKUP(A979,[2]characters!$A:$K,11,FALSE)</f>
        <v>balance</v>
      </c>
      <c r="I979" s="6" t="str">
        <f ca="1">VLOOKUP(H979,[2]character_type_i18n!$A:$F,3,FALSE)</f>
        <v>バランスタイプ</v>
      </c>
      <c r="J979" s="97">
        <f ca="1">VLOOKUP(H979,[2]character_type_i18n!$A:$F,4,FALSE)</f>
        <v>1</v>
      </c>
      <c r="K979" s="97">
        <f ca="1">VLOOKUP(H979,[2]character_type_i18n!$A:$F,5,FALSE)</f>
        <v>1</v>
      </c>
      <c r="L979" s="97">
        <f ca="1">VLOOKUP(H979,[2]character_type_i18n!$A:$F,6,FALSE)</f>
        <v>1</v>
      </c>
      <c r="M979" s="9" t="str">
        <f ca="1">VLOOKUP(A979,[2]characters!$A:$M,13,FALSE)</f>
        <v>human</v>
      </c>
      <c r="N979" s="6" t="str">
        <f ca="1">VLOOKUP(M979,[2]character_tribe_i18n!$A:$F,3,FALSE)</f>
        <v>ヒューマン</v>
      </c>
      <c r="O979" s="97">
        <f ca="1">VLOOKUP(M979,[2]character_tribe_i18n!$A:$F,4,FALSE)</f>
        <v>0.94</v>
      </c>
      <c r="P979" s="97">
        <f ca="1">VLOOKUP(M979,[2]character_tribe_i18n!$A:$F,5,FALSE)</f>
        <v>0.99</v>
      </c>
      <c r="Q979" s="97">
        <f ca="1">VLOOKUP(M979,[2]character_tribe_i18n!$A:$F,6,FALSE)</f>
        <v>1</v>
      </c>
      <c r="R979" s="98" t="s">
        <v>98</v>
      </c>
      <c r="S979" s="97">
        <f>VLOOKUP($R979,ラベル別係数!$A$1:$E$7,3,FALSE)</f>
        <v>5</v>
      </c>
      <c r="T979" s="97">
        <f>VLOOKUP($R979,ラベル別係数!$A$1:$E$7,4,FALSE)</f>
        <v>1.3</v>
      </c>
      <c r="U979" s="97">
        <f>VLOOKUP($R979,ラベル別係数!$A$1:$E$7,5,FALSE)</f>
        <v>0.8</v>
      </c>
      <c r="V979" s="98">
        <v>3</v>
      </c>
      <c r="W979" s="99">
        <f>VLOOKUP(V979,ターン数別攻撃係数!$A$1:$B$1000,2,FALSE)</f>
        <v>1</v>
      </c>
      <c r="X979" s="9">
        <f ca="1">VLOOKUP(C979,サイズ別係数!A$2:B$9,2,FALSE)</f>
        <v>60</v>
      </c>
      <c r="Y979" s="97">
        <f ca="1">VLOOKUP($X979,サイズ別係数!$B:$E,2,FALSE)</f>
        <v>1.7</v>
      </c>
      <c r="Z979" s="97">
        <f ca="1">VLOOKUP($X979,サイズ別係数!$B:$E,3,FALSE)</f>
        <v>1.4</v>
      </c>
      <c r="AA979" s="97">
        <f ca="1">VLOOKUP($X979,サイズ別係数!$B:$E,4,FALSE)</f>
        <v>1</v>
      </c>
      <c r="AB979" s="10">
        <v>0</v>
      </c>
      <c r="AC979" s="6" t="str">
        <f ca="1">VLOOKUP($AB979,OFFSET([3]enemy_skill_sets!$B$2,0,0,COUNTA([3]enemy_skill_sets!$A:$A),MATCH(AC$1,[3]enemy_skill_sets!$1:$1,0)-MATCH($AB$1,[3]enemy_skill_sets!$1:$1,0)+1),MATCH(AC$1,[3]enemy_skill_sets!$1:$1,0)-MATCH($AB$1,[3]enemy_skill_sets!$1:$1,0)+1,FALSE)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79" s="67">
        <v>1</v>
      </c>
      <c r="AE979" s="67">
        <v>1</v>
      </c>
      <c r="AF979" s="68">
        <v>0</v>
      </c>
      <c r="AG979" s="99">
        <f ca="1">ROUND(VLOOKUP(1,enemy_base_stats!$A:$F,2,FALSE) * Y979* J979*O979*E979*S979*AD979*[2]ステータス!$B$2,0)</f>
        <v>3995</v>
      </c>
      <c r="AH979" s="99">
        <f ca="1">ROUND(VLOOKUP(1,enemy_base_stats!$A:$F,3,FALSE) * Z979*K979*P979*F979*T979*AE979 * W979*[2]ステータス!$C$2,0)</f>
        <v>265</v>
      </c>
      <c r="AI979" s="99">
        <f ca="1">ROUND(VLOOKUP(1,enemy_base_stats!$A:$F,4,FALSE) * AA979*L979*Q979*G979*U979*AF979*[2]ステータス!$D$2,0)</f>
        <v>0</v>
      </c>
      <c r="AJ979" s="99">
        <f ca="1">ROUND(VLOOKUP(100,enemy_base_stats!$A:$F,2,FALSE) * Y979* J979*O979*E979*S979*AD979*[2]ステータス!$B$2,0)</f>
        <v>162197</v>
      </c>
      <c r="AK979" s="99">
        <f ca="1">ROUND(VLOOKUP(100,enemy_base_stats!$A:$F,3,FALSE)* Z979* K979*P979*F979*T979*AE979 * W979*[2]ステータス!$C$2,0)</f>
        <v>10754</v>
      </c>
      <c r="AL979" s="99">
        <f ca="1">ROUND(VLOOKUP(100,enemy_base_stats!$A:$F,4,FALSE)* AA979* L979*Q979*G979*U979*AF979*[2]ステータス!$D$2,0)</f>
        <v>0</v>
      </c>
      <c r="AM979" s="97">
        <f ca="1">VLOOKUP(M979,[2]character_tribe_i18n!$A:$I,9,FALSE)</f>
        <v>400</v>
      </c>
      <c r="AN979" s="97">
        <v>0</v>
      </c>
      <c r="AO979" s="98">
        <v>0</v>
      </c>
      <c r="AP979" s="58" t="s">
        <v>72</v>
      </c>
      <c r="AQ979" s="34">
        <f t="shared" ca="1" si="56"/>
        <v>978</v>
      </c>
    </row>
    <row r="980" spans="1:43" ht="21" customHeight="1" x14ac:dyDescent="0.15">
      <c r="A980" s="7">
        <f t="shared" ca="1" si="54"/>
        <v>979</v>
      </c>
      <c r="B980" s="6" t="str">
        <f ca="1">VLOOKUP(A980,[2]characters!$A:$C,3,FALSE)</f>
        <v>超大型巨人</v>
      </c>
      <c r="C980" s="9">
        <f ca="1">VLOOKUP(A980,[2]characters!$A:$I,9,FALSE)</f>
        <v>5</v>
      </c>
      <c r="D980" s="9" t="str">
        <f ca="1">VLOOKUP(A980,[2]characters!$A:$H,8,FALSE)</f>
        <v>red</v>
      </c>
      <c r="E980" s="97">
        <f ca="1">VLOOKUP(D980,[2]属性!$A:$E,2,FALSE)</f>
        <v>1</v>
      </c>
      <c r="F980" s="97">
        <f ca="1">VLOOKUP(D980,[2]属性!$A:$E,3,FALSE)</f>
        <v>1.02</v>
      </c>
      <c r="G980" s="97">
        <f ca="1">VLOOKUP(D980,[2]属性!$A:$F,4,FALSE)</f>
        <v>1</v>
      </c>
      <c r="H980" s="9" t="str">
        <f ca="1">VLOOKUP(A980,[2]characters!$A:$K,11,FALSE)</f>
        <v>hp</v>
      </c>
      <c r="I980" s="6" t="str">
        <f ca="1">VLOOKUP(H980,[2]character_type_i18n!$A:$F,3,FALSE)</f>
        <v>体力タイプ</v>
      </c>
      <c r="J980" s="97">
        <f ca="1">VLOOKUP(H980,[2]character_type_i18n!$A:$F,4,FALSE)</f>
        <v>1.45</v>
      </c>
      <c r="K980" s="97">
        <f ca="1">VLOOKUP(H980,[2]character_type_i18n!$A:$F,5,FALSE)</f>
        <v>0.85</v>
      </c>
      <c r="L980" s="97">
        <f ca="1">VLOOKUP(H980,[2]character_type_i18n!$A:$F,6,FALSE)</f>
        <v>1</v>
      </c>
      <c r="M980" s="105" t="s">
        <v>152</v>
      </c>
      <c r="N980" s="6" t="str">
        <f>VLOOKUP(M980,[2]character_tribe_i18n!$A:$F,3,FALSE)</f>
        <v>t</v>
      </c>
      <c r="O980" s="97">
        <f>VLOOKUP(M980,[2]character_tribe_i18n!$A:$F,4,FALSE)</f>
        <v>1</v>
      </c>
      <c r="P980" s="97">
        <f>VLOOKUP(M980,[2]character_tribe_i18n!$A:$F,5,FALSE)</f>
        <v>1</v>
      </c>
      <c r="Q980" s="97">
        <f>VLOOKUP(M980,[2]character_tribe_i18n!$A:$F,6,FALSE)</f>
        <v>1</v>
      </c>
      <c r="R980" s="98" t="s">
        <v>98</v>
      </c>
      <c r="S980" s="97">
        <f>VLOOKUP($R980,ラベル別係数!$A$1:$E$7,3,FALSE)</f>
        <v>5</v>
      </c>
      <c r="T980" s="97">
        <f>VLOOKUP($R980,ラベル別係数!$A$1:$E$7,4,FALSE)</f>
        <v>1.3</v>
      </c>
      <c r="U980" s="97">
        <f>VLOOKUP($R980,ラベル別係数!$A$1:$E$7,5,FALSE)</f>
        <v>0.8</v>
      </c>
      <c r="V980" s="98">
        <v>3</v>
      </c>
      <c r="W980" s="99">
        <f>VLOOKUP(V980,ターン数別攻撃係数!$A$1:$B$1000,2,FALSE)</f>
        <v>1</v>
      </c>
      <c r="X980" s="9">
        <f ca="1">VLOOKUP(C980,サイズ別係数!A$2:B$9,2,FALSE)</f>
        <v>60</v>
      </c>
      <c r="Y980" s="97">
        <f ca="1">VLOOKUP($X980,サイズ別係数!$B:$E,2,FALSE)</f>
        <v>1.7</v>
      </c>
      <c r="Z980" s="97">
        <f ca="1">VLOOKUP($X980,サイズ別係数!$B:$E,3,FALSE)</f>
        <v>1.4</v>
      </c>
      <c r="AA980" s="97">
        <f ca="1">VLOOKUP($X980,サイズ別係数!$B:$E,4,FALSE)</f>
        <v>1</v>
      </c>
      <c r="AB980" s="10">
        <v>0</v>
      </c>
      <c r="AC980" s="6" t="str">
        <f ca="1">VLOOKUP($AB980,OFFSET([3]enemy_skill_sets!$B$2,0,0,COUNTA([3]enemy_skill_sets!$A:$A),MATCH(AC$1,[3]enemy_skill_sets!$1:$1,0)-MATCH($AB$1,[3]enemy_skill_sets!$1:$1,0)+1),MATCH(AC$1,[3]enemy_skill_sets!$1:$1,0)-MATCH($AB$1,[3]enemy_skill_sets!$1:$1,0)+1,FALSE)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0" s="67">
        <v>1</v>
      </c>
      <c r="AE980" s="67">
        <v>1</v>
      </c>
      <c r="AF980" s="68">
        <v>0</v>
      </c>
      <c r="AG980" s="99">
        <f ca="1">ROUND(VLOOKUP(1,enemy_base_stats!$A:$F,2,FALSE) * Y980* J980*O980*E980*S980*AD980*[2]ステータス!$B$2,0)</f>
        <v>6163</v>
      </c>
      <c r="AH980" s="99">
        <f ca="1">ROUND(VLOOKUP(1,enemy_base_stats!$A:$F,3,FALSE) * Z980*K980*P980*F980*T980*AE980 * W980*[2]ステータス!$C$2,0)</f>
        <v>237</v>
      </c>
      <c r="AI980" s="99">
        <f ca="1">ROUND(VLOOKUP(1,enemy_base_stats!$A:$F,4,FALSE) * AA980*L980*Q980*G980*U980*AF980*[2]ステータス!$D$2,0)</f>
        <v>0</v>
      </c>
      <c r="AJ980" s="99">
        <f ca="1">ROUND(VLOOKUP(100,enemy_base_stats!$A:$F,2,FALSE) * Y980* J980*O980*E980*S980*AD980*[2]ステータス!$B$2,0)</f>
        <v>250198</v>
      </c>
      <c r="AK980" s="99">
        <f ca="1">ROUND(VLOOKUP(100,enemy_base_stats!$A:$F,3,FALSE)* Z980* K980*P980*F980*T980*AE980 * W980*[2]ステータス!$C$2,0)</f>
        <v>9610</v>
      </c>
      <c r="AL980" s="99">
        <f ca="1">ROUND(VLOOKUP(100,enemy_base_stats!$A:$F,4,FALSE)* AA980* L980*Q980*G980*U980*AF980*[2]ステータス!$D$2,0)</f>
        <v>0</v>
      </c>
      <c r="AM980" s="97">
        <f>VLOOKUP(M980,[2]character_tribe_i18n!$A:$I,9,FALSE)</f>
        <v>400</v>
      </c>
      <c r="AN980" s="97">
        <v>0</v>
      </c>
      <c r="AO980" s="98">
        <v>0</v>
      </c>
      <c r="AP980" s="58" t="s">
        <v>72</v>
      </c>
      <c r="AQ980" s="34">
        <f t="shared" ca="1" si="56"/>
        <v>979</v>
      </c>
    </row>
    <row r="981" spans="1:43" ht="21" customHeight="1" x14ac:dyDescent="0.15">
      <c r="A981" s="7">
        <f t="shared" ca="1" si="54"/>
        <v>980</v>
      </c>
      <c r="B981" s="6" t="str">
        <f ca="1">VLOOKUP(A981,[2]characters!$A:$C,3,FALSE)</f>
        <v>猛熱の災厄 超大型巨人</v>
      </c>
      <c r="C981" s="9">
        <f ca="1">VLOOKUP(A981,[2]characters!$A:$I,9,FALSE)</f>
        <v>6</v>
      </c>
      <c r="D981" s="9" t="str">
        <f ca="1">VLOOKUP(A981,[2]characters!$A:$H,8,FALSE)</f>
        <v>red</v>
      </c>
      <c r="E981" s="97">
        <f ca="1">VLOOKUP(D981,[2]属性!$A:$E,2,FALSE)</f>
        <v>1</v>
      </c>
      <c r="F981" s="97">
        <f ca="1">VLOOKUP(D981,[2]属性!$A:$E,3,FALSE)</f>
        <v>1.02</v>
      </c>
      <c r="G981" s="97">
        <f ca="1">VLOOKUP(D981,[2]属性!$A:$F,4,FALSE)</f>
        <v>1</v>
      </c>
      <c r="H981" s="9" t="str">
        <f ca="1">VLOOKUP(A981,[2]characters!$A:$K,11,FALSE)</f>
        <v>hp</v>
      </c>
      <c r="I981" s="6" t="str">
        <f ca="1">VLOOKUP(H981,[2]character_type_i18n!$A:$F,3,FALSE)</f>
        <v>体力タイプ</v>
      </c>
      <c r="J981" s="97">
        <f ca="1">VLOOKUP(H981,[2]character_type_i18n!$A:$F,4,FALSE)</f>
        <v>1.45</v>
      </c>
      <c r="K981" s="97">
        <f ca="1">VLOOKUP(H981,[2]character_type_i18n!$A:$F,5,FALSE)</f>
        <v>0.85</v>
      </c>
      <c r="L981" s="97">
        <f ca="1">VLOOKUP(H981,[2]character_type_i18n!$A:$F,6,FALSE)</f>
        <v>1</v>
      </c>
      <c r="M981" s="105" t="s">
        <v>152</v>
      </c>
      <c r="N981" s="6" t="str">
        <f>VLOOKUP(M981,[2]character_tribe_i18n!$A:$F,3,FALSE)</f>
        <v>t</v>
      </c>
      <c r="O981" s="97">
        <f>VLOOKUP(M981,[2]character_tribe_i18n!$A:$F,4,FALSE)</f>
        <v>1</v>
      </c>
      <c r="P981" s="97">
        <f>VLOOKUP(M981,[2]character_tribe_i18n!$A:$F,5,FALSE)</f>
        <v>1</v>
      </c>
      <c r="Q981" s="97">
        <f>VLOOKUP(M981,[2]character_tribe_i18n!$A:$F,6,FALSE)</f>
        <v>1</v>
      </c>
      <c r="R981" s="98" t="s">
        <v>98</v>
      </c>
      <c r="S981" s="97">
        <f>VLOOKUP($R981,ラベル別係数!$A$1:$E$7,3,FALSE)</f>
        <v>5</v>
      </c>
      <c r="T981" s="97">
        <f>VLOOKUP($R981,ラベル別係数!$A$1:$E$7,4,FALSE)</f>
        <v>1.3</v>
      </c>
      <c r="U981" s="97">
        <f>VLOOKUP($R981,ラベル別係数!$A$1:$E$7,5,FALSE)</f>
        <v>0.8</v>
      </c>
      <c r="V981" s="98">
        <v>3</v>
      </c>
      <c r="W981" s="99">
        <f>VLOOKUP(V981,ターン数別攻撃係数!$A$1:$B$1000,2,FALSE)</f>
        <v>1</v>
      </c>
      <c r="X981" s="9">
        <f ca="1">VLOOKUP(C981,サイズ別係数!A$2:B$9,2,FALSE)</f>
        <v>60</v>
      </c>
      <c r="Y981" s="97">
        <f ca="1">VLOOKUP($X981,サイズ別係数!$B:$E,2,FALSE)</f>
        <v>1.7</v>
      </c>
      <c r="Z981" s="97">
        <f ca="1">VLOOKUP($X981,サイズ別係数!$B:$E,3,FALSE)</f>
        <v>1.4</v>
      </c>
      <c r="AA981" s="97">
        <f ca="1">VLOOKUP($X981,サイズ別係数!$B:$E,4,FALSE)</f>
        <v>1</v>
      </c>
      <c r="AB981" s="10">
        <v>0</v>
      </c>
      <c r="AC981" s="6" t="str">
        <f ca="1">VLOOKUP($AB981,OFFSET([3]enemy_skill_sets!$B$2,0,0,COUNTA([3]enemy_skill_sets!$A:$A),MATCH(AC$1,[3]enemy_skill_sets!$1:$1,0)-MATCH($AB$1,[3]enemy_skill_sets!$1:$1,0)+1),MATCH(AC$1,[3]enemy_skill_sets!$1:$1,0)-MATCH($AB$1,[3]enemy_skill_sets!$1:$1,0)+1,FALSE)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1" s="67">
        <v>1</v>
      </c>
      <c r="AE981" s="67">
        <v>1</v>
      </c>
      <c r="AF981" s="68">
        <v>0</v>
      </c>
      <c r="AG981" s="99">
        <f ca="1">ROUND(VLOOKUP(1,enemy_base_stats!$A:$F,2,FALSE) * Y981* J981*O981*E981*S981*AD981*[2]ステータス!$B$2,0)</f>
        <v>6163</v>
      </c>
      <c r="AH981" s="99">
        <f ca="1">ROUND(VLOOKUP(1,enemy_base_stats!$A:$F,3,FALSE) * Z981*K981*P981*F981*T981*AE981 * W981*[2]ステータス!$C$2,0)</f>
        <v>237</v>
      </c>
      <c r="AI981" s="99">
        <f ca="1">ROUND(VLOOKUP(1,enemy_base_stats!$A:$F,4,FALSE) * AA981*L981*Q981*G981*U981*AF981*[2]ステータス!$D$2,0)</f>
        <v>0</v>
      </c>
      <c r="AJ981" s="99">
        <f ca="1">ROUND(VLOOKUP(100,enemy_base_stats!$A:$F,2,FALSE) * Y981* J981*O981*E981*S981*AD981*[2]ステータス!$B$2,0)</f>
        <v>250198</v>
      </c>
      <c r="AK981" s="99">
        <f ca="1">ROUND(VLOOKUP(100,enemy_base_stats!$A:$F,3,FALSE)* Z981* K981*P981*F981*T981*AE981 * W981*[2]ステータス!$C$2,0)</f>
        <v>9610</v>
      </c>
      <c r="AL981" s="99">
        <f ca="1">ROUND(VLOOKUP(100,enemy_base_stats!$A:$F,4,FALSE)* AA981* L981*Q981*G981*U981*AF981*[2]ステータス!$D$2,0)</f>
        <v>0</v>
      </c>
      <c r="AM981" s="97">
        <f>VLOOKUP(M981,[2]character_tribe_i18n!$A:$I,9,FALSE)</f>
        <v>400</v>
      </c>
      <c r="AN981" s="97">
        <v>0</v>
      </c>
      <c r="AO981" s="98">
        <v>0</v>
      </c>
      <c r="AP981" s="58" t="s">
        <v>72</v>
      </c>
      <c r="AQ981" s="34">
        <f t="shared" ca="1" si="56"/>
        <v>980</v>
      </c>
    </row>
    <row r="982" spans="1:43" ht="21" customHeight="1" x14ac:dyDescent="0.15">
      <c r="A982" s="7">
        <f t="shared" ca="1" si="54"/>
        <v>981</v>
      </c>
      <c r="B982" s="6" t="str">
        <f ca="1">VLOOKUP(A982,[2]characters!$A:$C,3,FALSE)</f>
        <v>女型の巨人</v>
      </c>
      <c r="C982" s="9">
        <f ca="1">VLOOKUP(A982,[2]characters!$A:$I,9,FALSE)</f>
        <v>4</v>
      </c>
      <c r="D982" s="9" t="str">
        <f ca="1">VLOOKUP(A982,[2]characters!$A:$H,8,FALSE)</f>
        <v>green</v>
      </c>
      <c r="E982" s="97">
        <f ca="1">VLOOKUP(D982,[2]属性!$A:$E,2,FALSE)</f>
        <v>1.02</v>
      </c>
      <c r="F982" s="97">
        <f ca="1">VLOOKUP(D982,[2]属性!$A:$E,3,FALSE)</f>
        <v>0.98</v>
      </c>
      <c r="G982" s="97">
        <f ca="1">VLOOKUP(D982,[2]属性!$A:$F,4,FALSE)</f>
        <v>1</v>
      </c>
      <c r="H982" s="9" t="str">
        <f ca="1">VLOOKUP(A982,[2]characters!$A:$K,11,FALSE)</f>
        <v>balance</v>
      </c>
      <c r="I982" s="6" t="str">
        <f ca="1">VLOOKUP(H982,[2]character_type_i18n!$A:$F,3,FALSE)</f>
        <v>バランスタイプ</v>
      </c>
      <c r="J982" s="97">
        <f ca="1">VLOOKUP(H982,[2]character_type_i18n!$A:$F,4,FALSE)</f>
        <v>1</v>
      </c>
      <c r="K982" s="97">
        <f ca="1">VLOOKUP(H982,[2]character_type_i18n!$A:$F,5,FALSE)</f>
        <v>1</v>
      </c>
      <c r="L982" s="97">
        <f ca="1">VLOOKUP(H982,[2]character_type_i18n!$A:$F,6,FALSE)</f>
        <v>1</v>
      </c>
      <c r="M982" s="105" t="s">
        <v>152</v>
      </c>
      <c r="N982" s="6" t="str">
        <f>VLOOKUP(M982,[2]character_tribe_i18n!$A:$F,3,FALSE)</f>
        <v>t</v>
      </c>
      <c r="O982" s="97">
        <f>VLOOKUP(M982,[2]character_tribe_i18n!$A:$F,4,FALSE)</f>
        <v>1</v>
      </c>
      <c r="P982" s="97">
        <f>VLOOKUP(M982,[2]character_tribe_i18n!$A:$F,5,FALSE)</f>
        <v>1</v>
      </c>
      <c r="Q982" s="97">
        <f>VLOOKUP(M982,[2]character_tribe_i18n!$A:$F,6,FALSE)</f>
        <v>1</v>
      </c>
      <c r="R982" s="98" t="s">
        <v>98</v>
      </c>
      <c r="S982" s="97">
        <f>VLOOKUP($R982,ラベル別係数!$A$1:$E$7,3,FALSE)</f>
        <v>5</v>
      </c>
      <c r="T982" s="97">
        <f>VLOOKUP($R982,ラベル別係数!$A$1:$E$7,4,FALSE)</f>
        <v>1.3</v>
      </c>
      <c r="U982" s="97">
        <f>VLOOKUP($R982,ラベル別係数!$A$1:$E$7,5,FALSE)</f>
        <v>0.8</v>
      </c>
      <c r="V982" s="98">
        <v>3</v>
      </c>
      <c r="W982" s="99">
        <f>VLOOKUP(V982,ターン数別攻撃係数!$A$1:$B$1000,2,FALSE)</f>
        <v>1</v>
      </c>
      <c r="X982" s="9">
        <f ca="1">VLOOKUP(C982,サイズ別係数!A$2:B$9,2,FALSE)</f>
        <v>30</v>
      </c>
      <c r="Y982" s="97">
        <f ca="1">VLOOKUP($X982,サイズ別係数!$B:$E,2,FALSE)</f>
        <v>1.3</v>
      </c>
      <c r="Z982" s="97">
        <f ca="1">VLOOKUP($X982,サイズ別係数!$B:$E,3,FALSE)</f>
        <v>1.3</v>
      </c>
      <c r="AA982" s="97">
        <f ca="1">VLOOKUP($X982,サイズ別係数!$B:$E,4,FALSE)</f>
        <v>1.1000000000000001</v>
      </c>
      <c r="AB982" s="10">
        <v>0</v>
      </c>
      <c r="AC982" s="6" t="str">
        <f ca="1">VLOOKUP($AB982,OFFSET([3]enemy_skill_sets!$B$2,0,0,COUNTA([3]enemy_skill_sets!$A:$A),MATCH(AC$1,[3]enemy_skill_sets!$1:$1,0)-MATCH($AB$1,[3]enemy_skill_sets!$1:$1,0)+1),MATCH(AC$1,[3]enemy_skill_sets!$1:$1,0)-MATCH($AB$1,[3]enemy_skill_sets!$1:$1,0)+1,FALSE)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2" s="67">
        <v>1</v>
      </c>
      <c r="AE982" s="67">
        <v>1</v>
      </c>
      <c r="AF982" s="68">
        <v>0</v>
      </c>
      <c r="AG982" s="99">
        <f ca="1">ROUND(VLOOKUP(1,enemy_base_stats!$A:$F,2,FALSE) * Y982* J982*O982*E982*S982*AD982*[2]ステータス!$B$2,0)</f>
        <v>3315</v>
      </c>
      <c r="AH982" s="99">
        <f ca="1">ROUND(VLOOKUP(1,enemy_base_stats!$A:$F,3,FALSE) * Z982*K982*P982*F982*T982*AE982 * W982*[2]ステータス!$C$2,0)</f>
        <v>248</v>
      </c>
      <c r="AI982" s="99">
        <f ca="1">ROUND(VLOOKUP(1,enemy_base_stats!$A:$F,4,FALSE) * AA982*L982*Q982*G982*U982*AF982*[2]ステータス!$D$2,0)</f>
        <v>0</v>
      </c>
      <c r="AJ982" s="99">
        <f ca="1">ROUND(VLOOKUP(100,enemy_base_stats!$A:$F,2,FALSE) * Y982* J982*O982*E982*S982*AD982*[2]ステータス!$B$2,0)</f>
        <v>134589</v>
      </c>
      <c r="AK982" s="99">
        <f ca="1">ROUND(VLOOKUP(100,enemy_base_stats!$A:$F,3,FALSE)* Z982* K982*P982*F982*T982*AE982 * W982*[2]ステータス!$C$2,0)</f>
        <v>10086</v>
      </c>
      <c r="AL982" s="99">
        <f ca="1">ROUND(VLOOKUP(100,enemy_base_stats!$A:$F,4,FALSE)* AA982* L982*Q982*G982*U982*AF982*[2]ステータス!$D$2,0)</f>
        <v>0</v>
      </c>
      <c r="AM982" s="97">
        <f>VLOOKUP(M982,[2]character_tribe_i18n!$A:$I,9,FALSE)</f>
        <v>400</v>
      </c>
      <c r="AN982" s="97">
        <v>0</v>
      </c>
      <c r="AO982" s="98">
        <v>0</v>
      </c>
      <c r="AP982" s="58" t="s">
        <v>72</v>
      </c>
      <c r="AQ982" s="34">
        <f t="shared" ca="1" si="56"/>
        <v>981</v>
      </c>
    </row>
    <row r="983" spans="1:43" ht="21" customHeight="1" x14ac:dyDescent="0.15">
      <c r="A983" s="7">
        <f t="shared" ca="1" si="54"/>
        <v>982</v>
      </c>
      <c r="B983" s="6" t="str">
        <f ca="1">VLOOKUP(A983,[2]characters!$A:$C,3,FALSE)</f>
        <v>柔靭なる剛脚 女型の巨人</v>
      </c>
      <c r="C983" s="9">
        <f ca="1">VLOOKUP(A983,[2]characters!$A:$I,9,FALSE)</f>
        <v>5</v>
      </c>
      <c r="D983" s="9" t="str">
        <f ca="1">VLOOKUP(A983,[2]characters!$A:$H,8,FALSE)</f>
        <v>green</v>
      </c>
      <c r="E983" s="97">
        <f ca="1">VLOOKUP(D983,[2]属性!$A:$E,2,FALSE)</f>
        <v>1.02</v>
      </c>
      <c r="F983" s="97">
        <f ca="1">VLOOKUP(D983,[2]属性!$A:$E,3,FALSE)</f>
        <v>0.98</v>
      </c>
      <c r="G983" s="97">
        <f ca="1">VLOOKUP(D983,[2]属性!$A:$F,4,FALSE)</f>
        <v>1</v>
      </c>
      <c r="H983" s="9" t="str">
        <f ca="1">VLOOKUP(A983,[2]characters!$A:$K,11,FALSE)</f>
        <v>balance</v>
      </c>
      <c r="I983" s="6" t="str">
        <f ca="1">VLOOKUP(H983,[2]character_type_i18n!$A:$F,3,FALSE)</f>
        <v>バランスタイプ</v>
      </c>
      <c r="J983" s="97">
        <f ca="1">VLOOKUP(H983,[2]character_type_i18n!$A:$F,4,FALSE)</f>
        <v>1</v>
      </c>
      <c r="K983" s="97">
        <f ca="1">VLOOKUP(H983,[2]character_type_i18n!$A:$F,5,FALSE)</f>
        <v>1</v>
      </c>
      <c r="L983" s="97">
        <f ca="1">VLOOKUP(H983,[2]character_type_i18n!$A:$F,6,FALSE)</f>
        <v>1</v>
      </c>
      <c r="M983" s="105" t="s">
        <v>152</v>
      </c>
      <c r="N983" s="6" t="str">
        <f>VLOOKUP(M983,[2]character_tribe_i18n!$A:$F,3,FALSE)</f>
        <v>t</v>
      </c>
      <c r="O983" s="97">
        <f>VLOOKUP(M983,[2]character_tribe_i18n!$A:$F,4,FALSE)</f>
        <v>1</v>
      </c>
      <c r="P983" s="97">
        <f>VLOOKUP(M983,[2]character_tribe_i18n!$A:$F,5,FALSE)</f>
        <v>1</v>
      </c>
      <c r="Q983" s="97">
        <f>VLOOKUP(M983,[2]character_tribe_i18n!$A:$F,6,FALSE)</f>
        <v>1</v>
      </c>
      <c r="R983" s="98" t="s">
        <v>98</v>
      </c>
      <c r="S983" s="97">
        <f>VLOOKUP($R983,ラベル別係数!$A$1:$E$7,3,FALSE)</f>
        <v>5</v>
      </c>
      <c r="T983" s="97">
        <f>VLOOKUP($R983,ラベル別係数!$A$1:$E$7,4,FALSE)</f>
        <v>1.3</v>
      </c>
      <c r="U983" s="97">
        <f>VLOOKUP($R983,ラベル別係数!$A$1:$E$7,5,FALSE)</f>
        <v>0.8</v>
      </c>
      <c r="V983" s="98">
        <v>3</v>
      </c>
      <c r="W983" s="99">
        <f>VLOOKUP(V983,ターン数別攻撃係数!$A$1:$B$1000,2,FALSE)</f>
        <v>1</v>
      </c>
      <c r="X983" s="9">
        <f ca="1">VLOOKUP(C983,サイズ別係数!A$2:B$9,2,FALSE)</f>
        <v>60</v>
      </c>
      <c r="Y983" s="97">
        <f ca="1">VLOOKUP($X983,サイズ別係数!$B:$E,2,FALSE)</f>
        <v>1.7</v>
      </c>
      <c r="Z983" s="97">
        <f ca="1">VLOOKUP($X983,サイズ別係数!$B:$E,3,FALSE)</f>
        <v>1.4</v>
      </c>
      <c r="AA983" s="97">
        <f ca="1">VLOOKUP($X983,サイズ別係数!$B:$E,4,FALSE)</f>
        <v>1</v>
      </c>
      <c r="AB983" s="10">
        <v>0</v>
      </c>
      <c r="AC983" s="6" t="str">
        <f ca="1">VLOOKUP($AB983,OFFSET([3]enemy_skill_sets!$B$2,0,0,COUNTA([3]enemy_skill_sets!$A:$A),MATCH(AC$1,[3]enemy_skill_sets!$1:$1,0)-MATCH($AB$1,[3]enemy_skill_sets!$1:$1,0)+1),MATCH(AC$1,[3]enemy_skill_sets!$1:$1,0)-MATCH($AB$1,[3]enemy_skill_sets!$1:$1,0)+1,FALSE)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3" s="67">
        <v>1</v>
      </c>
      <c r="AE983" s="67">
        <v>1</v>
      </c>
      <c r="AF983" s="68">
        <v>0</v>
      </c>
      <c r="AG983" s="99">
        <f ca="1">ROUND(VLOOKUP(1,enemy_base_stats!$A:$F,2,FALSE) * Y983* J983*O983*E983*S983*AD983*[2]ステータス!$B$2,0)</f>
        <v>4335</v>
      </c>
      <c r="AH983" s="99">
        <f ca="1">ROUND(VLOOKUP(1,enemy_base_stats!$A:$F,3,FALSE) * Z983*K983*P983*F983*T983*AE983 * W983*[2]ステータス!$C$2,0)</f>
        <v>268</v>
      </c>
      <c r="AI983" s="99">
        <f ca="1">ROUND(VLOOKUP(1,enemy_base_stats!$A:$F,4,FALSE) * AA983*L983*Q983*G983*U983*AF983*[2]ステータス!$D$2,0)</f>
        <v>0</v>
      </c>
      <c r="AJ983" s="99">
        <f ca="1">ROUND(VLOOKUP(100,enemy_base_stats!$A:$F,2,FALSE) * Y983* J983*O983*E983*S983*AD983*[2]ステータス!$B$2,0)</f>
        <v>176001</v>
      </c>
      <c r="AK983" s="99">
        <f ca="1">ROUND(VLOOKUP(100,enemy_base_stats!$A:$F,3,FALSE)* Z983* K983*P983*F983*T983*AE983 * W983*[2]ステータス!$C$2,0)</f>
        <v>10862</v>
      </c>
      <c r="AL983" s="99">
        <f ca="1">ROUND(VLOOKUP(100,enemy_base_stats!$A:$F,4,FALSE)* AA983* L983*Q983*G983*U983*AF983*[2]ステータス!$D$2,0)</f>
        <v>0</v>
      </c>
      <c r="AM983" s="97">
        <f>VLOOKUP(M983,[2]character_tribe_i18n!$A:$I,9,FALSE)</f>
        <v>400</v>
      </c>
      <c r="AN983" s="97">
        <v>0</v>
      </c>
      <c r="AO983" s="98">
        <v>0</v>
      </c>
      <c r="AP983" s="58" t="s">
        <v>72</v>
      </c>
      <c r="AQ983" s="34">
        <f t="shared" ca="1" si="56"/>
        <v>982</v>
      </c>
    </row>
    <row r="984" spans="1:43" ht="21" customHeight="1" x14ac:dyDescent="0.15">
      <c r="A984" s="7">
        <f t="shared" ca="1" si="54"/>
        <v>983</v>
      </c>
      <c r="B984" s="6" t="str">
        <f ca="1">VLOOKUP(A984,[2]characters!$A:$C,3,FALSE)</f>
        <v>鎧の巨人</v>
      </c>
      <c r="C984" s="9">
        <f ca="1">VLOOKUP(A984,[2]characters!$A:$I,9,FALSE)</f>
        <v>4</v>
      </c>
      <c r="D984" s="9" t="str">
        <f ca="1">VLOOKUP(A984,[2]characters!$A:$H,8,FALSE)</f>
        <v>yellow</v>
      </c>
      <c r="E984" s="97">
        <f ca="1">VLOOKUP(D984,[2]属性!$A:$E,2,FALSE)</f>
        <v>0.98</v>
      </c>
      <c r="F984" s="97">
        <f ca="1">VLOOKUP(D984,[2]属性!$A:$E,3,FALSE)</f>
        <v>1.01</v>
      </c>
      <c r="G984" s="97">
        <f ca="1">VLOOKUP(D984,[2]属性!$A:$F,4,FALSE)</f>
        <v>1</v>
      </c>
      <c r="H984" s="9" t="str">
        <f ca="1">VLOOKUP(A984,[2]characters!$A:$K,11,FALSE)</f>
        <v>attack</v>
      </c>
      <c r="I984" s="6" t="str">
        <f ca="1">VLOOKUP(H984,[2]character_type_i18n!$A:$F,3,FALSE)</f>
        <v>攻撃タイプ</v>
      </c>
      <c r="J984" s="97">
        <f ca="1">VLOOKUP(H984,[2]character_type_i18n!$A:$F,4,FALSE)</f>
        <v>1</v>
      </c>
      <c r="K984" s="97">
        <f ca="1">VLOOKUP(H984,[2]character_type_i18n!$A:$F,5,FALSE)</f>
        <v>1.33</v>
      </c>
      <c r="L984" s="97">
        <f ca="1">VLOOKUP(H984,[2]character_type_i18n!$A:$F,6,FALSE)</f>
        <v>1</v>
      </c>
      <c r="M984" s="105" t="s">
        <v>152</v>
      </c>
      <c r="N984" s="6" t="str">
        <f>VLOOKUP(M984,[2]character_tribe_i18n!$A:$F,3,FALSE)</f>
        <v>t</v>
      </c>
      <c r="O984" s="97">
        <f>VLOOKUP(M984,[2]character_tribe_i18n!$A:$F,4,FALSE)</f>
        <v>1</v>
      </c>
      <c r="P984" s="97">
        <f>VLOOKUP(M984,[2]character_tribe_i18n!$A:$F,5,FALSE)</f>
        <v>1</v>
      </c>
      <c r="Q984" s="97">
        <f>VLOOKUP(M984,[2]character_tribe_i18n!$A:$F,6,FALSE)</f>
        <v>1</v>
      </c>
      <c r="R984" s="98" t="s">
        <v>98</v>
      </c>
      <c r="S984" s="97">
        <f>VLOOKUP($R984,ラベル別係数!$A$1:$E$7,3,FALSE)</f>
        <v>5</v>
      </c>
      <c r="T984" s="97">
        <f>VLOOKUP($R984,ラベル別係数!$A$1:$E$7,4,FALSE)</f>
        <v>1.3</v>
      </c>
      <c r="U984" s="97">
        <f>VLOOKUP($R984,ラベル別係数!$A$1:$E$7,5,FALSE)</f>
        <v>0.8</v>
      </c>
      <c r="V984" s="98">
        <v>3</v>
      </c>
      <c r="W984" s="99">
        <f>VLOOKUP(V984,ターン数別攻撃係数!$A$1:$B$1000,2,FALSE)</f>
        <v>1</v>
      </c>
      <c r="X984" s="9">
        <f ca="1">VLOOKUP(C984,サイズ別係数!A$2:B$9,2,FALSE)</f>
        <v>30</v>
      </c>
      <c r="Y984" s="97">
        <f ca="1">VLOOKUP($X984,サイズ別係数!$B:$E,2,FALSE)</f>
        <v>1.3</v>
      </c>
      <c r="Z984" s="97">
        <f ca="1">VLOOKUP($X984,サイズ別係数!$B:$E,3,FALSE)</f>
        <v>1.3</v>
      </c>
      <c r="AA984" s="97">
        <f ca="1">VLOOKUP($X984,サイズ別係数!$B:$E,4,FALSE)</f>
        <v>1.1000000000000001</v>
      </c>
      <c r="AB984" s="10">
        <v>0</v>
      </c>
      <c r="AC984" s="6" t="str">
        <f ca="1">VLOOKUP($AB984,OFFSET([3]enemy_skill_sets!$B$2,0,0,COUNTA([3]enemy_skill_sets!$A:$A),MATCH(AC$1,[3]enemy_skill_sets!$1:$1,0)-MATCH($AB$1,[3]enemy_skill_sets!$1:$1,0)+1),MATCH(AC$1,[3]enemy_skill_sets!$1:$1,0)-MATCH($AB$1,[3]enemy_skill_sets!$1:$1,0)+1,FALSE)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4" s="67">
        <v>1</v>
      </c>
      <c r="AE984" s="67">
        <v>1</v>
      </c>
      <c r="AF984" s="68">
        <v>0</v>
      </c>
      <c r="AG984" s="99">
        <f ca="1">ROUND(VLOOKUP(1,enemy_base_stats!$A:$F,2,FALSE) * Y984* J984*O984*E984*S984*AD984*[2]ステータス!$B$2,0)</f>
        <v>3185</v>
      </c>
      <c r="AH984" s="99">
        <f ca="1">ROUND(VLOOKUP(1,enemy_base_stats!$A:$F,3,FALSE) * Z984*K984*P984*F984*T984*AE984 * W984*[2]ステータス!$C$2,0)</f>
        <v>341</v>
      </c>
      <c r="AI984" s="99">
        <f ca="1">ROUND(VLOOKUP(1,enemy_base_stats!$A:$F,4,FALSE) * AA984*L984*Q984*G984*U984*AF984*[2]ステータス!$D$2,0)</f>
        <v>0</v>
      </c>
      <c r="AJ984" s="99">
        <f ca="1">ROUND(VLOOKUP(100,enemy_base_stats!$A:$F,2,FALSE) * Y984* J984*O984*E984*S984*AD984*[2]ステータス!$B$2,0)</f>
        <v>129311</v>
      </c>
      <c r="AK984" s="99">
        <f ca="1">ROUND(VLOOKUP(100,enemy_base_stats!$A:$F,3,FALSE)* Z984* K984*P984*F984*T984*AE984 * W984*[2]ステータス!$C$2,0)</f>
        <v>13825</v>
      </c>
      <c r="AL984" s="99">
        <f ca="1">ROUND(VLOOKUP(100,enemy_base_stats!$A:$F,4,FALSE)* AA984* L984*Q984*G984*U984*AF984*[2]ステータス!$D$2,0)</f>
        <v>0</v>
      </c>
      <c r="AM984" s="97">
        <f>VLOOKUP(M984,[2]character_tribe_i18n!$A:$I,9,FALSE)</f>
        <v>400</v>
      </c>
      <c r="AN984" s="97">
        <v>0</v>
      </c>
      <c r="AO984" s="98">
        <v>0</v>
      </c>
      <c r="AP984" s="58" t="s">
        <v>72</v>
      </c>
      <c r="AQ984" s="34">
        <f t="shared" ca="1" si="56"/>
        <v>983</v>
      </c>
    </row>
    <row r="985" spans="1:43" ht="21" customHeight="1" x14ac:dyDescent="0.15">
      <c r="A985" s="7">
        <f t="shared" ca="1" si="54"/>
        <v>984</v>
      </c>
      <c r="B985" s="6" t="str">
        <f ca="1">VLOOKUP(A985,[2]characters!$A:$C,3,FALSE)</f>
        <v>破壁の剛弾 鎧の巨人</v>
      </c>
      <c r="C985" s="9">
        <f ca="1">VLOOKUP(A985,[2]characters!$A:$I,9,FALSE)</f>
        <v>5</v>
      </c>
      <c r="D985" s="9" t="str">
        <f ca="1">VLOOKUP(A985,[2]characters!$A:$H,8,FALSE)</f>
        <v>yellow</v>
      </c>
      <c r="E985" s="97">
        <f ca="1">VLOOKUP(D985,[2]属性!$A:$E,2,FALSE)</f>
        <v>0.98</v>
      </c>
      <c r="F985" s="97">
        <f ca="1">VLOOKUP(D985,[2]属性!$A:$E,3,FALSE)</f>
        <v>1.01</v>
      </c>
      <c r="G985" s="97">
        <f ca="1">VLOOKUP(D985,[2]属性!$A:$F,4,FALSE)</f>
        <v>1</v>
      </c>
      <c r="H985" s="9" t="str">
        <f ca="1">VLOOKUP(A985,[2]characters!$A:$K,11,FALSE)</f>
        <v>attack</v>
      </c>
      <c r="I985" s="6" t="str">
        <f ca="1">VLOOKUP(H985,[2]character_type_i18n!$A:$F,3,FALSE)</f>
        <v>攻撃タイプ</v>
      </c>
      <c r="J985" s="97">
        <f ca="1">VLOOKUP(H985,[2]character_type_i18n!$A:$F,4,FALSE)</f>
        <v>1</v>
      </c>
      <c r="K985" s="97">
        <f ca="1">VLOOKUP(H985,[2]character_type_i18n!$A:$F,5,FALSE)</f>
        <v>1.33</v>
      </c>
      <c r="L985" s="97">
        <f ca="1">VLOOKUP(H985,[2]character_type_i18n!$A:$F,6,FALSE)</f>
        <v>1</v>
      </c>
      <c r="M985" s="105" t="s">
        <v>152</v>
      </c>
      <c r="N985" s="6" t="str">
        <f>VLOOKUP(M985,[2]character_tribe_i18n!$A:$F,3,FALSE)</f>
        <v>t</v>
      </c>
      <c r="O985" s="97">
        <f>VLOOKUP(M985,[2]character_tribe_i18n!$A:$F,4,FALSE)</f>
        <v>1</v>
      </c>
      <c r="P985" s="97">
        <f>VLOOKUP(M985,[2]character_tribe_i18n!$A:$F,5,FALSE)</f>
        <v>1</v>
      </c>
      <c r="Q985" s="97">
        <f>VLOOKUP(M985,[2]character_tribe_i18n!$A:$F,6,FALSE)</f>
        <v>1</v>
      </c>
      <c r="R985" s="98" t="s">
        <v>98</v>
      </c>
      <c r="S985" s="97">
        <f>VLOOKUP($R985,ラベル別係数!$A$1:$E$7,3,FALSE)</f>
        <v>5</v>
      </c>
      <c r="T985" s="97">
        <f>VLOOKUP($R985,ラベル別係数!$A$1:$E$7,4,FALSE)</f>
        <v>1.3</v>
      </c>
      <c r="U985" s="97">
        <f>VLOOKUP($R985,ラベル別係数!$A$1:$E$7,5,FALSE)</f>
        <v>0.8</v>
      </c>
      <c r="V985" s="98">
        <v>3</v>
      </c>
      <c r="W985" s="99">
        <f>VLOOKUP(V985,ターン数別攻撃係数!$A$1:$B$1000,2,FALSE)</f>
        <v>1</v>
      </c>
      <c r="X985" s="9">
        <f ca="1">VLOOKUP(C985,サイズ別係数!A$2:B$9,2,FALSE)</f>
        <v>60</v>
      </c>
      <c r="Y985" s="97">
        <f ca="1">VLOOKUP($X985,サイズ別係数!$B:$E,2,FALSE)</f>
        <v>1.7</v>
      </c>
      <c r="Z985" s="97">
        <f ca="1">VLOOKUP($X985,サイズ別係数!$B:$E,3,FALSE)</f>
        <v>1.4</v>
      </c>
      <c r="AA985" s="97">
        <f ca="1">VLOOKUP($X985,サイズ別係数!$B:$E,4,FALSE)</f>
        <v>1</v>
      </c>
      <c r="AB985" s="10">
        <v>0</v>
      </c>
      <c r="AC985" s="6" t="str">
        <f ca="1">VLOOKUP($AB985,OFFSET([3]enemy_skill_sets!$B$2,0,0,COUNTA([3]enemy_skill_sets!$A:$A),MATCH(AC$1,[3]enemy_skill_sets!$1:$1,0)-MATCH($AB$1,[3]enemy_skill_sets!$1:$1,0)+1),MATCH(AC$1,[3]enemy_skill_sets!$1:$1,0)-MATCH($AB$1,[3]enemy_skill_sets!$1:$1,0)+1,FALSE)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5" s="67">
        <v>1</v>
      </c>
      <c r="AE985" s="67">
        <v>1</v>
      </c>
      <c r="AF985" s="68">
        <v>0</v>
      </c>
      <c r="AG985" s="99">
        <f ca="1">ROUND(VLOOKUP(1,enemy_base_stats!$A:$F,2,FALSE) * Y985* J985*O985*E985*S985*AD985*[2]ステータス!$B$2,0)</f>
        <v>4165</v>
      </c>
      <c r="AH985" s="99">
        <f ca="1">ROUND(VLOOKUP(1,enemy_base_stats!$A:$F,3,FALSE) * Z985*K985*P985*F985*T985*AE985 * W985*[2]ステータス!$C$2,0)</f>
        <v>367</v>
      </c>
      <c r="AI985" s="99">
        <f ca="1">ROUND(VLOOKUP(1,enemy_base_stats!$A:$F,4,FALSE) * AA985*L985*Q985*G985*U985*AF985*[2]ステータス!$D$2,0)</f>
        <v>0</v>
      </c>
      <c r="AJ985" s="99">
        <f ca="1">ROUND(VLOOKUP(100,enemy_base_stats!$A:$F,2,FALSE) * Y985* J985*O985*E985*S985*AD985*[2]ステータス!$B$2,0)</f>
        <v>169099</v>
      </c>
      <c r="AK985" s="99">
        <f ca="1">ROUND(VLOOKUP(100,enemy_base_stats!$A:$F,3,FALSE)* Z985* K985*P985*F985*T985*AE985 * W985*[2]ステータス!$C$2,0)</f>
        <v>14889</v>
      </c>
      <c r="AL985" s="99">
        <f ca="1">ROUND(VLOOKUP(100,enemy_base_stats!$A:$F,4,FALSE)* AA985* L985*Q985*G985*U985*AF985*[2]ステータス!$D$2,0)</f>
        <v>0</v>
      </c>
      <c r="AM985" s="97">
        <f>VLOOKUP(M985,[2]character_tribe_i18n!$A:$I,9,FALSE)</f>
        <v>400</v>
      </c>
      <c r="AN985" s="97">
        <v>0</v>
      </c>
      <c r="AO985" s="98">
        <v>0</v>
      </c>
      <c r="AP985" s="58" t="s">
        <v>72</v>
      </c>
      <c r="AQ985" s="34">
        <f t="shared" ca="1" si="56"/>
        <v>984</v>
      </c>
    </row>
    <row r="986" spans="1:43" ht="21" customHeight="1" x14ac:dyDescent="0.15">
      <c r="A986" s="7">
        <f t="shared" ca="1" si="54"/>
        <v>985</v>
      </c>
      <c r="B986" s="6" t="str">
        <f ca="1">VLOOKUP(A986,[2]characters!$A:$C,3,FALSE)</f>
        <v>エレン</v>
      </c>
      <c r="C986" s="9">
        <f ca="1">VLOOKUP(A986,[2]characters!$A:$I,9,FALSE)</f>
        <v>5</v>
      </c>
      <c r="D986" s="9" t="str">
        <f ca="1">VLOOKUP(A986,[2]characters!$A:$H,8,FALSE)</f>
        <v>red</v>
      </c>
      <c r="E986" s="97">
        <f ca="1">VLOOKUP(D986,[2]属性!$A:$E,2,FALSE)</f>
        <v>1</v>
      </c>
      <c r="F986" s="97">
        <f ca="1">VLOOKUP(D986,[2]属性!$A:$E,3,FALSE)</f>
        <v>1.02</v>
      </c>
      <c r="G986" s="97">
        <f ca="1">VLOOKUP(D986,[2]属性!$A:$F,4,FALSE)</f>
        <v>1</v>
      </c>
      <c r="H986" s="9" t="str">
        <f ca="1">VLOOKUP(A986,[2]characters!$A:$K,11,FALSE)</f>
        <v>balance</v>
      </c>
      <c r="I986" s="6" t="str">
        <f ca="1">VLOOKUP(H986,[2]character_type_i18n!$A:$F,3,FALSE)</f>
        <v>バランスタイプ</v>
      </c>
      <c r="J986" s="97">
        <f ca="1">VLOOKUP(H986,[2]character_type_i18n!$A:$F,4,FALSE)</f>
        <v>1</v>
      </c>
      <c r="K986" s="97">
        <f ca="1">VLOOKUP(H986,[2]character_type_i18n!$A:$F,5,FALSE)</f>
        <v>1</v>
      </c>
      <c r="L986" s="97">
        <f ca="1">VLOOKUP(H986,[2]character_type_i18n!$A:$F,6,FALSE)</f>
        <v>1</v>
      </c>
      <c r="M986" s="9" t="str">
        <f ca="1">VLOOKUP(A986,[2]characters!$A:$M,13,FALSE)</f>
        <v>human</v>
      </c>
      <c r="N986" s="6" t="str">
        <f ca="1">VLOOKUP(M986,[2]character_tribe_i18n!$A:$F,3,FALSE)</f>
        <v>ヒューマン</v>
      </c>
      <c r="O986" s="97">
        <f ca="1">VLOOKUP(M986,[2]character_tribe_i18n!$A:$F,4,FALSE)</f>
        <v>0.94</v>
      </c>
      <c r="P986" s="97">
        <f ca="1">VLOOKUP(M986,[2]character_tribe_i18n!$A:$F,5,FALSE)</f>
        <v>0.99</v>
      </c>
      <c r="Q986" s="97">
        <f ca="1">VLOOKUP(M986,[2]character_tribe_i18n!$A:$F,6,FALSE)</f>
        <v>1</v>
      </c>
      <c r="R986" s="98" t="s">
        <v>98</v>
      </c>
      <c r="S986" s="97">
        <f>VLOOKUP($R986,ラベル別係数!$A$1:$E$7,3,FALSE)</f>
        <v>5</v>
      </c>
      <c r="T986" s="97">
        <f>VLOOKUP($R986,ラベル別係数!$A$1:$E$7,4,FALSE)</f>
        <v>1.3</v>
      </c>
      <c r="U986" s="97">
        <f>VLOOKUP($R986,ラベル別係数!$A$1:$E$7,5,FALSE)</f>
        <v>0.8</v>
      </c>
      <c r="V986" s="98">
        <v>3</v>
      </c>
      <c r="W986" s="99">
        <f>VLOOKUP(V986,ターン数別攻撃係数!$A$1:$B$1000,2,FALSE)</f>
        <v>1</v>
      </c>
      <c r="X986" s="9">
        <f ca="1">VLOOKUP(C986,サイズ別係数!A$2:B$9,2,FALSE)</f>
        <v>60</v>
      </c>
      <c r="Y986" s="97">
        <f ca="1">VLOOKUP($X986,サイズ別係数!$B:$E,2,FALSE)</f>
        <v>1.7</v>
      </c>
      <c r="Z986" s="97">
        <f ca="1">VLOOKUP($X986,サイズ別係数!$B:$E,3,FALSE)</f>
        <v>1.4</v>
      </c>
      <c r="AA986" s="97">
        <f ca="1">VLOOKUP($X986,サイズ別係数!$B:$E,4,FALSE)</f>
        <v>1</v>
      </c>
      <c r="AB986" s="10">
        <v>0</v>
      </c>
      <c r="AC986" s="6" t="str">
        <f ca="1">VLOOKUP($AB986,OFFSET([3]enemy_skill_sets!$B$2,0,0,COUNTA([3]enemy_skill_sets!$A:$A),MATCH(AC$1,[3]enemy_skill_sets!$1:$1,0)-MATCH($AB$1,[3]enemy_skill_sets!$1:$1,0)+1),MATCH(AC$1,[3]enemy_skill_sets!$1:$1,0)-MATCH($AB$1,[3]enemy_skill_sets!$1:$1,0)+1,FALSE)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6" s="67">
        <v>1</v>
      </c>
      <c r="AE986" s="67">
        <v>1</v>
      </c>
      <c r="AF986" s="68">
        <v>0</v>
      </c>
      <c r="AG986" s="99">
        <f ca="1">ROUND(VLOOKUP(1,enemy_base_stats!$A:$F,2,FALSE) * Y986* J986*O986*E986*S986*AD986*[2]ステータス!$B$2,0)</f>
        <v>3995</v>
      </c>
      <c r="AH986" s="99">
        <f ca="1">ROUND(VLOOKUP(1,enemy_base_stats!$A:$F,3,FALSE) * Z986*K986*P986*F986*T986*AE986 * W986*[2]ステータス!$C$2,0)</f>
        <v>276</v>
      </c>
      <c r="AI986" s="99">
        <f ca="1">ROUND(VLOOKUP(1,enemy_base_stats!$A:$F,4,FALSE) * AA986*L986*Q986*G986*U986*AF986*[2]ステータス!$D$2,0)</f>
        <v>0</v>
      </c>
      <c r="AJ986" s="99">
        <f ca="1">ROUND(VLOOKUP(100,enemy_base_stats!$A:$F,2,FALSE) * Y986* J986*O986*E986*S986*AD986*[2]ステータス!$B$2,0)</f>
        <v>162197</v>
      </c>
      <c r="AK986" s="99">
        <f ca="1">ROUND(VLOOKUP(100,enemy_base_stats!$A:$F,3,FALSE)* Z986* K986*P986*F986*T986*AE986 * W986*[2]ステータス!$C$2,0)</f>
        <v>11192</v>
      </c>
      <c r="AL986" s="99">
        <f ca="1">ROUND(VLOOKUP(100,enemy_base_stats!$A:$F,4,FALSE)* AA986* L986*Q986*G986*U986*AF986*[2]ステータス!$D$2,0)</f>
        <v>0</v>
      </c>
      <c r="AM986" s="97">
        <f ca="1">VLOOKUP(M986,[2]character_tribe_i18n!$A:$I,9,FALSE)</f>
        <v>400</v>
      </c>
      <c r="AN986" s="97">
        <v>0</v>
      </c>
      <c r="AO986" s="98">
        <v>0</v>
      </c>
      <c r="AP986" s="58" t="s">
        <v>72</v>
      </c>
      <c r="AQ986" s="34">
        <f t="shared" ca="1" si="56"/>
        <v>985</v>
      </c>
    </row>
    <row r="987" spans="1:43" ht="21" customHeight="1" x14ac:dyDescent="0.15">
      <c r="A987" s="7">
        <f t="shared" ca="1" si="54"/>
        <v>986</v>
      </c>
      <c r="B987" s="6" t="str">
        <f ca="1">VLOOKUP(A987,[2]characters!$A:$C,3,FALSE)</f>
        <v>復讐の誓約 エレン</v>
      </c>
      <c r="C987" s="9">
        <f ca="1">VLOOKUP(A987,[2]characters!$A:$I,9,FALSE)</f>
        <v>6</v>
      </c>
      <c r="D987" s="9" t="str">
        <f ca="1">VLOOKUP(A987,[2]characters!$A:$H,8,FALSE)</f>
        <v>red</v>
      </c>
      <c r="E987" s="97">
        <f ca="1">VLOOKUP(D987,[2]属性!$A:$E,2,FALSE)</f>
        <v>1</v>
      </c>
      <c r="F987" s="97">
        <f ca="1">VLOOKUP(D987,[2]属性!$A:$E,3,FALSE)</f>
        <v>1.02</v>
      </c>
      <c r="G987" s="97">
        <f ca="1">VLOOKUP(D987,[2]属性!$A:$F,4,FALSE)</f>
        <v>1</v>
      </c>
      <c r="H987" s="9" t="str">
        <f ca="1">VLOOKUP(A987,[2]characters!$A:$K,11,FALSE)</f>
        <v>balance</v>
      </c>
      <c r="I987" s="6" t="str">
        <f ca="1">VLOOKUP(H987,[2]character_type_i18n!$A:$F,3,FALSE)</f>
        <v>バランスタイプ</v>
      </c>
      <c r="J987" s="97">
        <f ca="1">VLOOKUP(H987,[2]character_type_i18n!$A:$F,4,FALSE)</f>
        <v>1</v>
      </c>
      <c r="K987" s="97">
        <f ca="1">VLOOKUP(H987,[2]character_type_i18n!$A:$F,5,FALSE)</f>
        <v>1</v>
      </c>
      <c r="L987" s="97">
        <f ca="1">VLOOKUP(H987,[2]character_type_i18n!$A:$F,6,FALSE)</f>
        <v>1</v>
      </c>
      <c r="M987" s="9" t="str">
        <f ca="1">VLOOKUP(A987,[2]characters!$A:$M,13,FALSE)</f>
        <v>human</v>
      </c>
      <c r="N987" s="6" t="str">
        <f ca="1">VLOOKUP(M987,[2]character_tribe_i18n!$A:$F,3,FALSE)</f>
        <v>ヒューマン</v>
      </c>
      <c r="O987" s="97">
        <f ca="1">VLOOKUP(M987,[2]character_tribe_i18n!$A:$F,4,FALSE)</f>
        <v>0.94</v>
      </c>
      <c r="P987" s="97">
        <f ca="1">VLOOKUP(M987,[2]character_tribe_i18n!$A:$F,5,FALSE)</f>
        <v>0.99</v>
      </c>
      <c r="Q987" s="97">
        <f ca="1">VLOOKUP(M987,[2]character_tribe_i18n!$A:$F,6,FALSE)</f>
        <v>1</v>
      </c>
      <c r="R987" s="98" t="s">
        <v>98</v>
      </c>
      <c r="S987" s="97">
        <f>VLOOKUP($R987,ラベル別係数!$A$1:$E$7,3,FALSE)</f>
        <v>5</v>
      </c>
      <c r="T987" s="97">
        <f>VLOOKUP($R987,ラベル別係数!$A$1:$E$7,4,FALSE)</f>
        <v>1.3</v>
      </c>
      <c r="U987" s="97">
        <f>VLOOKUP($R987,ラベル別係数!$A$1:$E$7,5,FALSE)</f>
        <v>0.8</v>
      </c>
      <c r="V987" s="98">
        <v>3</v>
      </c>
      <c r="W987" s="99">
        <f>VLOOKUP(V987,ターン数別攻撃係数!$A$1:$B$1000,2,FALSE)</f>
        <v>1</v>
      </c>
      <c r="X987" s="9">
        <f ca="1">VLOOKUP(C987,サイズ別係数!A$2:B$9,2,FALSE)</f>
        <v>60</v>
      </c>
      <c r="Y987" s="97">
        <f ca="1">VLOOKUP($X987,サイズ別係数!$B:$E,2,FALSE)</f>
        <v>1.7</v>
      </c>
      <c r="Z987" s="97">
        <f ca="1">VLOOKUP($X987,サイズ別係数!$B:$E,3,FALSE)</f>
        <v>1.4</v>
      </c>
      <c r="AA987" s="97">
        <f ca="1">VLOOKUP($X987,サイズ別係数!$B:$E,4,FALSE)</f>
        <v>1</v>
      </c>
      <c r="AB987" s="10">
        <v>0</v>
      </c>
      <c r="AC987" s="6" t="str">
        <f ca="1">VLOOKUP($AB987,OFFSET([3]enemy_skill_sets!$B$2,0,0,COUNTA([3]enemy_skill_sets!$A:$A),MATCH(AC$1,[3]enemy_skill_sets!$1:$1,0)-MATCH($AB$1,[3]enemy_skill_sets!$1:$1,0)+1),MATCH(AC$1,[3]enemy_skill_sets!$1:$1,0)-MATCH($AB$1,[3]enemy_skill_sets!$1:$1,0)+1,FALSE)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7" s="67">
        <v>1</v>
      </c>
      <c r="AE987" s="67">
        <v>1</v>
      </c>
      <c r="AF987" s="68">
        <v>0</v>
      </c>
      <c r="AG987" s="99">
        <f ca="1">ROUND(VLOOKUP(1,enemy_base_stats!$A:$F,2,FALSE) * Y987* J987*O987*E987*S987*AD987*[2]ステータス!$B$2,0)</f>
        <v>3995</v>
      </c>
      <c r="AH987" s="99">
        <f ca="1">ROUND(VLOOKUP(1,enemy_base_stats!$A:$F,3,FALSE) * Z987*K987*P987*F987*T987*AE987 * W987*[2]ステータス!$C$2,0)</f>
        <v>276</v>
      </c>
      <c r="AI987" s="99">
        <f ca="1">ROUND(VLOOKUP(1,enemy_base_stats!$A:$F,4,FALSE) * AA987*L987*Q987*G987*U987*AF987*[2]ステータス!$D$2,0)</f>
        <v>0</v>
      </c>
      <c r="AJ987" s="99">
        <f ca="1">ROUND(VLOOKUP(100,enemy_base_stats!$A:$F,2,FALSE) * Y987* J987*O987*E987*S987*AD987*[2]ステータス!$B$2,0)</f>
        <v>162197</v>
      </c>
      <c r="AK987" s="99">
        <f ca="1">ROUND(VLOOKUP(100,enemy_base_stats!$A:$F,3,FALSE)* Z987* K987*P987*F987*T987*AE987 * W987*[2]ステータス!$C$2,0)</f>
        <v>11192</v>
      </c>
      <c r="AL987" s="99">
        <f ca="1">ROUND(VLOOKUP(100,enemy_base_stats!$A:$F,4,FALSE)* AA987* L987*Q987*G987*U987*AF987*[2]ステータス!$D$2,0)</f>
        <v>0</v>
      </c>
      <c r="AM987" s="97">
        <f ca="1">VLOOKUP(M987,[2]character_tribe_i18n!$A:$I,9,FALSE)</f>
        <v>400</v>
      </c>
      <c r="AN987" s="97">
        <v>0</v>
      </c>
      <c r="AO987" s="98">
        <v>0</v>
      </c>
      <c r="AP987" s="58" t="s">
        <v>72</v>
      </c>
      <c r="AQ987" s="34">
        <f t="shared" ca="1" si="56"/>
        <v>986</v>
      </c>
    </row>
    <row r="988" spans="1:43" ht="21" customHeight="1" x14ac:dyDescent="0.15">
      <c r="A988" s="7">
        <f t="shared" ca="1" si="54"/>
        <v>987</v>
      </c>
      <c r="B988" s="6" t="str">
        <f ca="1">VLOOKUP(A988,[2]characters!$A:$C,3,FALSE)</f>
        <v>撃壊の眼煌 エレン巨人</v>
      </c>
      <c r="C988" s="9">
        <f ca="1">VLOOKUP(A988,[2]characters!$A:$I,9,FALSE)</f>
        <v>6</v>
      </c>
      <c r="D988" s="9" t="str">
        <f ca="1">VLOOKUP(A988,[2]characters!$A:$H,8,FALSE)</f>
        <v>blue</v>
      </c>
      <c r="E988" s="97">
        <f ca="1">VLOOKUP(D988,[2]属性!$A:$E,2,FALSE)</f>
        <v>1</v>
      </c>
      <c r="F988" s="97">
        <f ca="1">VLOOKUP(D988,[2]属性!$A:$E,3,FALSE)</f>
        <v>0.98</v>
      </c>
      <c r="G988" s="97">
        <f ca="1">VLOOKUP(D988,[2]属性!$A:$F,4,FALSE)</f>
        <v>1</v>
      </c>
      <c r="H988" s="9" t="str">
        <f ca="1">VLOOKUP(A988,[2]characters!$A:$K,11,FALSE)</f>
        <v>attack</v>
      </c>
      <c r="I988" s="6" t="str">
        <f ca="1">VLOOKUP(H988,[2]character_type_i18n!$A:$F,3,FALSE)</f>
        <v>攻撃タイプ</v>
      </c>
      <c r="J988" s="97">
        <f ca="1">VLOOKUP(H988,[2]character_type_i18n!$A:$F,4,FALSE)</f>
        <v>1</v>
      </c>
      <c r="K988" s="97">
        <f ca="1">VLOOKUP(H988,[2]character_type_i18n!$A:$F,5,FALSE)</f>
        <v>1.33</v>
      </c>
      <c r="L988" s="97">
        <f ca="1">VLOOKUP(H988,[2]character_type_i18n!$A:$F,6,FALSE)</f>
        <v>1</v>
      </c>
      <c r="M988" s="105" t="s">
        <v>152</v>
      </c>
      <c r="N988" s="6" t="str">
        <f>VLOOKUP(M988,[2]character_tribe_i18n!$A:$F,3,FALSE)</f>
        <v>t</v>
      </c>
      <c r="O988" s="97">
        <f>VLOOKUP(M988,[2]character_tribe_i18n!$A:$F,4,FALSE)</f>
        <v>1</v>
      </c>
      <c r="P988" s="97">
        <f>VLOOKUP(M988,[2]character_tribe_i18n!$A:$F,5,FALSE)</f>
        <v>1</v>
      </c>
      <c r="Q988" s="97">
        <f>VLOOKUP(M988,[2]character_tribe_i18n!$A:$F,6,FALSE)</f>
        <v>1</v>
      </c>
      <c r="R988" s="98" t="s">
        <v>98</v>
      </c>
      <c r="S988" s="97">
        <f>VLOOKUP($R988,ラベル別係数!$A$1:$E$7,3,FALSE)</f>
        <v>5</v>
      </c>
      <c r="T988" s="97">
        <f>VLOOKUP($R988,ラベル別係数!$A$1:$E$7,4,FALSE)</f>
        <v>1.3</v>
      </c>
      <c r="U988" s="97">
        <f>VLOOKUP($R988,ラベル別係数!$A$1:$E$7,5,FALSE)</f>
        <v>0.8</v>
      </c>
      <c r="V988" s="98">
        <v>3</v>
      </c>
      <c r="W988" s="99">
        <f>VLOOKUP(V988,ターン数別攻撃係数!$A$1:$B$1000,2,FALSE)</f>
        <v>1</v>
      </c>
      <c r="X988" s="9">
        <f ca="1">VLOOKUP(C988,サイズ別係数!A$2:B$9,2,FALSE)</f>
        <v>60</v>
      </c>
      <c r="Y988" s="97">
        <f ca="1">VLOOKUP($X988,サイズ別係数!$B:$E,2,FALSE)</f>
        <v>1.7</v>
      </c>
      <c r="Z988" s="97">
        <f ca="1">VLOOKUP($X988,サイズ別係数!$B:$E,3,FALSE)</f>
        <v>1.4</v>
      </c>
      <c r="AA988" s="97">
        <f ca="1">VLOOKUP($X988,サイズ別係数!$B:$E,4,FALSE)</f>
        <v>1</v>
      </c>
      <c r="AB988" s="10">
        <v>0</v>
      </c>
      <c r="AC988" s="6" t="str">
        <f ca="1">VLOOKUP($AB988,OFFSET([3]enemy_skill_sets!$B$2,0,0,COUNTA([3]enemy_skill_sets!$A:$A),MATCH(AC$1,[3]enemy_skill_sets!$1:$1,0)-MATCH($AB$1,[3]enemy_skill_sets!$1:$1,0)+1),MATCH(AC$1,[3]enemy_skill_sets!$1:$1,0)-MATCH($AB$1,[3]enemy_skill_sets!$1:$1,0)+1,FALSE)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8" s="67">
        <v>1</v>
      </c>
      <c r="AE988" s="67">
        <v>1</v>
      </c>
      <c r="AF988" s="68">
        <v>0</v>
      </c>
      <c r="AG988" s="99">
        <f ca="1">ROUND(VLOOKUP(1,enemy_base_stats!$A:$F,2,FALSE) * Y988* J988*O988*E988*S988*AD988*[2]ステータス!$B$2,0)</f>
        <v>4250</v>
      </c>
      <c r="AH988" s="99">
        <f ca="1">ROUND(VLOOKUP(1,enemy_base_stats!$A:$F,3,FALSE) * Z988*K988*P988*F988*T988*AE988 * W988*[2]ステータス!$C$2,0)</f>
        <v>356</v>
      </c>
      <c r="AI988" s="99">
        <f ca="1">ROUND(VLOOKUP(1,enemy_base_stats!$A:$F,4,FALSE) * AA988*L988*Q988*G988*U988*AF988*[2]ステータス!$D$2,0)</f>
        <v>0</v>
      </c>
      <c r="AJ988" s="99">
        <f ca="1">ROUND(VLOOKUP(100,enemy_base_stats!$A:$F,2,FALSE) * Y988* J988*O988*E988*S988*AD988*[2]ステータス!$B$2,0)</f>
        <v>172550</v>
      </c>
      <c r="AK988" s="99">
        <f ca="1">ROUND(VLOOKUP(100,enemy_base_stats!$A:$F,3,FALSE)* Z988* K988*P988*F988*T988*AE988 * W988*[2]ステータス!$C$2,0)</f>
        <v>14447</v>
      </c>
      <c r="AL988" s="99">
        <f ca="1">ROUND(VLOOKUP(100,enemy_base_stats!$A:$F,4,FALSE)* AA988* L988*Q988*G988*U988*AF988*[2]ステータス!$D$2,0)</f>
        <v>0</v>
      </c>
      <c r="AM988" s="97">
        <f>VLOOKUP(M988,[2]character_tribe_i18n!$A:$I,9,FALSE)</f>
        <v>400</v>
      </c>
      <c r="AN988" s="97">
        <v>0</v>
      </c>
      <c r="AO988" s="98">
        <v>0</v>
      </c>
      <c r="AP988" s="58" t="s">
        <v>72</v>
      </c>
      <c r="AQ988" s="34">
        <f t="shared" ca="1" si="56"/>
        <v>987</v>
      </c>
    </row>
    <row r="989" spans="1:43" ht="21" customHeight="1" x14ac:dyDescent="0.15">
      <c r="A989" s="7">
        <f t="shared" ca="1" si="54"/>
        <v>988</v>
      </c>
      <c r="B989" s="6" t="str">
        <f ca="1">VLOOKUP(A989,[2]characters!$A:$C,3,FALSE)</f>
        <v>ミカサ</v>
      </c>
      <c r="C989" s="9">
        <f ca="1">VLOOKUP(A989,[2]characters!$A:$I,9,FALSE)</f>
        <v>5</v>
      </c>
      <c r="D989" s="9" t="str">
        <f ca="1">VLOOKUP(A989,[2]characters!$A:$H,8,FALSE)</f>
        <v>red</v>
      </c>
      <c r="E989" s="97">
        <f ca="1">VLOOKUP(D989,[2]属性!$A:$E,2,FALSE)</f>
        <v>1</v>
      </c>
      <c r="F989" s="97">
        <f ca="1">VLOOKUP(D989,[2]属性!$A:$E,3,FALSE)</f>
        <v>1.02</v>
      </c>
      <c r="G989" s="97">
        <f ca="1">VLOOKUP(D989,[2]属性!$A:$F,4,FALSE)</f>
        <v>1</v>
      </c>
      <c r="H989" s="9" t="str">
        <f ca="1">VLOOKUP(A989,[2]characters!$A:$K,11,FALSE)</f>
        <v>attack</v>
      </c>
      <c r="I989" s="6" t="str">
        <f ca="1">VLOOKUP(H989,[2]character_type_i18n!$A:$F,3,FALSE)</f>
        <v>攻撃タイプ</v>
      </c>
      <c r="J989" s="97">
        <f ca="1">VLOOKUP(H989,[2]character_type_i18n!$A:$F,4,FALSE)</f>
        <v>1</v>
      </c>
      <c r="K989" s="97">
        <f ca="1">VLOOKUP(H989,[2]character_type_i18n!$A:$F,5,FALSE)</f>
        <v>1.33</v>
      </c>
      <c r="L989" s="97">
        <f ca="1">VLOOKUP(H989,[2]character_type_i18n!$A:$F,6,FALSE)</f>
        <v>1</v>
      </c>
      <c r="M989" s="9" t="str">
        <f ca="1">VLOOKUP(A989,[2]characters!$A:$M,13,FALSE)</f>
        <v>human</v>
      </c>
      <c r="N989" s="6" t="str">
        <f ca="1">VLOOKUP(M989,[2]character_tribe_i18n!$A:$F,3,FALSE)</f>
        <v>ヒューマン</v>
      </c>
      <c r="O989" s="97">
        <f ca="1">VLOOKUP(M989,[2]character_tribe_i18n!$A:$F,4,FALSE)</f>
        <v>0.94</v>
      </c>
      <c r="P989" s="97">
        <f ca="1">VLOOKUP(M989,[2]character_tribe_i18n!$A:$F,5,FALSE)</f>
        <v>0.99</v>
      </c>
      <c r="Q989" s="97">
        <f ca="1">VLOOKUP(M989,[2]character_tribe_i18n!$A:$F,6,FALSE)</f>
        <v>1</v>
      </c>
      <c r="R989" s="98" t="s">
        <v>98</v>
      </c>
      <c r="S989" s="97">
        <f>VLOOKUP($R989,ラベル別係数!$A$1:$E$7,3,FALSE)</f>
        <v>5</v>
      </c>
      <c r="T989" s="97">
        <f>VLOOKUP($R989,ラベル別係数!$A$1:$E$7,4,FALSE)</f>
        <v>1.3</v>
      </c>
      <c r="U989" s="97">
        <f>VLOOKUP($R989,ラベル別係数!$A$1:$E$7,5,FALSE)</f>
        <v>0.8</v>
      </c>
      <c r="V989" s="98">
        <v>3</v>
      </c>
      <c r="W989" s="99">
        <f>VLOOKUP(V989,ターン数別攻撃係数!$A$1:$B$1000,2,FALSE)</f>
        <v>1</v>
      </c>
      <c r="X989" s="9">
        <f ca="1">VLOOKUP(C989,サイズ別係数!A$2:B$9,2,FALSE)</f>
        <v>60</v>
      </c>
      <c r="Y989" s="97">
        <f ca="1">VLOOKUP($X989,サイズ別係数!$B:$E,2,FALSE)</f>
        <v>1.7</v>
      </c>
      <c r="Z989" s="97">
        <f ca="1">VLOOKUP($X989,サイズ別係数!$B:$E,3,FALSE)</f>
        <v>1.4</v>
      </c>
      <c r="AA989" s="97">
        <f ca="1">VLOOKUP($X989,サイズ別係数!$B:$E,4,FALSE)</f>
        <v>1</v>
      </c>
      <c r="AB989" s="10">
        <v>0</v>
      </c>
      <c r="AC989" s="6" t="str">
        <f ca="1">VLOOKUP($AB989,OFFSET([3]enemy_skill_sets!$B$2,0,0,COUNTA([3]enemy_skill_sets!$A:$A),MATCH(AC$1,[3]enemy_skill_sets!$1:$1,0)-MATCH($AB$1,[3]enemy_skill_sets!$1:$1,0)+1),MATCH(AC$1,[3]enemy_skill_sets!$1:$1,0)-MATCH($AB$1,[3]enemy_skill_sets!$1:$1,0)+1,FALSE)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89" s="67">
        <v>1</v>
      </c>
      <c r="AE989" s="67">
        <v>1</v>
      </c>
      <c r="AF989" s="68">
        <v>0</v>
      </c>
      <c r="AG989" s="99">
        <f ca="1">ROUND(VLOOKUP(1,enemy_base_stats!$A:$F,2,FALSE) * Y989* J989*O989*E989*S989*AD989*[2]ステータス!$B$2,0)</f>
        <v>3995</v>
      </c>
      <c r="AH989" s="99">
        <f ca="1">ROUND(VLOOKUP(1,enemy_base_stats!$A:$F,3,FALSE) * Z989*K989*P989*F989*T989*AE989 * W989*[2]ステータス!$C$2,0)</f>
        <v>367</v>
      </c>
      <c r="AI989" s="99">
        <f ca="1">ROUND(VLOOKUP(1,enemy_base_stats!$A:$F,4,FALSE) * AA989*L989*Q989*G989*U989*AF989*[2]ステータス!$D$2,0)</f>
        <v>0</v>
      </c>
      <c r="AJ989" s="99">
        <f ca="1">ROUND(VLOOKUP(100,enemy_base_stats!$A:$F,2,FALSE) * Y989* J989*O989*E989*S989*AD989*[2]ステータス!$B$2,0)</f>
        <v>162197</v>
      </c>
      <c r="AK989" s="99">
        <f ca="1">ROUND(VLOOKUP(100,enemy_base_stats!$A:$F,3,FALSE)* Z989* K989*P989*F989*T989*AE989 * W989*[2]ステータス!$C$2,0)</f>
        <v>14886</v>
      </c>
      <c r="AL989" s="99">
        <f ca="1">ROUND(VLOOKUP(100,enemy_base_stats!$A:$F,4,FALSE)* AA989* L989*Q989*G989*U989*AF989*[2]ステータス!$D$2,0)</f>
        <v>0</v>
      </c>
      <c r="AM989" s="97">
        <f ca="1">VLOOKUP(M989,[2]character_tribe_i18n!$A:$I,9,FALSE)</f>
        <v>400</v>
      </c>
      <c r="AN989" s="97">
        <v>0</v>
      </c>
      <c r="AO989" s="98">
        <v>0</v>
      </c>
      <c r="AP989" s="58" t="s">
        <v>72</v>
      </c>
      <c r="AQ989" s="34">
        <f t="shared" ca="1" si="56"/>
        <v>988</v>
      </c>
    </row>
    <row r="990" spans="1:43" ht="21" customHeight="1" x14ac:dyDescent="0.15">
      <c r="A990" s="7">
        <f t="shared" ca="1" si="54"/>
        <v>989</v>
      </c>
      <c r="B990" s="6" t="str">
        <f ca="1">VLOOKUP(A990,[2]characters!$A:$C,3,FALSE)</f>
        <v>稀代の逸材 ミカサ</v>
      </c>
      <c r="C990" s="9">
        <f ca="1">VLOOKUP(A990,[2]characters!$A:$I,9,FALSE)</f>
        <v>6</v>
      </c>
      <c r="D990" s="9" t="str">
        <f ca="1">VLOOKUP(A990,[2]characters!$A:$H,8,FALSE)</f>
        <v>red</v>
      </c>
      <c r="E990" s="97">
        <f ca="1">VLOOKUP(D990,[2]属性!$A:$E,2,FALSE)</f>
        <v>1</v>
      </c>
      <c r="F990" s="97">
        <f ca="1">VLOOKUP(D990,[2]属性!$A:$E,3,FALSE)</f>
        <v>1.02</v>
      </c>
      <c r="G990" s="97">
        <f ca="1">VLOOKUP(D990,[2]属性!$A:$F,4,FALSE)</f>
        <v>1</v>
      </c>
      <c r="H990" s="9" t="str">
        <f ca="1">VLOOKUP(A990,[2]characters!$A:$K,11,FALSE)</f>
        <v>attack</v>
      </c>
      <c r="I990" s="6" t="str">
        <f ca="1">VLOOKUP(H990,[2]character_type_i18n!$A:$F,3,FALSE)</f>
        <v>攻撃タイプ</v>
      </c>
      <c r="J990" s="97">
        <f ca="1">VLOOKUP(H990,[2]character_type_i18n!$A:$F,4,FALSE)</f>
        <v>1</v>
      </c>
      <c r="K990" s="97">
        <f ca="1">VLOOKUP(H990,[2]character_type_i18n!$A:$F,5,FALSE)</f>
        <v>1.33</v>
      </c>
      <c r="L990" s="97">
        <f ca="1">VLOOKUP(H990,[2]character_type_i18n!$A:$F,6,FALSE)</f>
        <v>1</v>
      </c>
      <c r="M990" s="9" t="str">
        <f ca="1">VLOOKUP(A990,[2]characters!$A:$M,13,FALSE)</f>
        <v>human</v>
      </c>
      <c r="N990" s="6" t="str">
        <f ca="1">VLOOKUP(M990,[2]character_tribe_i18n!$A:$F,3,FALSE)</f>
        <v>ヒューマン</v>
      </c>
      <c r="O990" s="97">
        <f ca="1">VLOOKUP(M990,[2]character_tribe_i18n!$A:$F,4,FALSE)</f>
        <v>0.94</v>
      </c>
      <c r="P990" s="97">
        <f ca="1">VLOOKUP(M990,[2]character_tribe_i18n!$A:$F,5,FALSE)</f>
        <v>0.99</v>
      </c>
      <c r="Q990" s="97">
        <f ca="1">VLOOKUP(M990,[2]character_tribe_i18n!$A:$F,6,FALSE)</f>
        <v>1</v>
      </c>
      <c r="R990" s="98" t="s">
        <v>98</v>
      </c>
      <c r="S990" s="97">
        <f>VLOOKUP($R990,ラベル別係数!$A$1:$E$7,3,FALSE)</f>
        <v>5</v>
      </c>
      <c r="T990" s="97">
        <f>VLOOKUP($R990,ラベル別係数!$A$1:$E$7,4,FALSE)</f>
        <v>1.3</v>
      </c>
      <c r="U990" s="97">
        <f>VLOOKUP($R990,ラベル別係数!$A$1:$E$7,5,FALSE)</f>
        <v>0.8</v>
      </c>
      <c r="V990" s="98">
        <v>3</v>
      </c>
      <c r="W990" s="99">
        <f>VLOOKUP(V990,ターン数別攻撃係数!$A$1:$B$1000,2,FALSE)</f>
        <v>1</v>
      </c>
      <c r="X990" s="9">
        <f ca="1">VLOOKUP(C990,サイズ別係数!A$2:B$9,2,FALSE)</f>
        <v>60</v>
      </c>
      <c r="Y990" s="97">
        <f ca="1">VLOOKUP($X990,サイズ別係数!$B:$E,2,FALSE)</f>
        <v>1.7</v>
      </c>
      <c r="Z990" s="97">
        <f ca="1">VLOOKUP($X990,サイズ別係数!$B:$E,3,FALSE)</f>
        <v>1.4</v>
      </c>
      <c r="AA990" s="97">
        <f ca="1">VLOOKUP($X990,サイズ別係数!$B:$E,4,FALSE)</f>
        <v>1</v>
      </c>
      <c r="AB990" s="10">
        <v>0</v>
      </c>
      <c r="AC990" s="6" t="str">
        <f ca="1">VLOOKUP($AB990,OFFSET([3]enemy_skill_sets!$B$2,0,0,COUNTA([3]enemy_skill_sets!$A:$A),MATCH(AC$1,[3]enemy_skill_sets!$1:$1,0)-MATCH($AB$1,[3]enemy_skill_sets!$1:$1,0)+1),MATCH(AC$1,[3]enemy_skill_sets!$1:$1,0)-MATCH($AB$1,[3]enemy_skill_sets!$1:$1,0)+1,FALSE)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0" s="67">
        <v>1</v>
      </c>
      <c r="AE990" s="67">
        <v>1</v>
      </c>
      <c r="AF990" s="68">
        <v>0</v>
      </c>
      <c r="AG990" s="99">
        <f ca="1">ROUND(VLOOKUP(1,enemy_base_stats!$A:$F,2,FALSE) * Y990* J990*O990*E990*S990*AD990*[2]ステータス!$B$2,0)</f>
        <v>3995</v>
      </c>
      <c r="AH990" s="99">
        <f ca="1">ROUND(VLOOKUP(1,enemy_base_stats!$A:$F,3,FALSE) * Z990*K990*P990*F990*T990*AE990 * W990*[2]ステータス!$C$2,0)</f>
        <v>367</v>
      </c>
      <c r="AI990" s="99">
        <f ca="1">ROUND(VLOOKUP(1,enemy_base_stats!$A:$F,4,FALSE) * AA990*L990*Q990*G990*U990*AF990*[2]ステータス!$D$2,0)</f>
        <v>0</v>
      </c>
      <c r="AJ990" s="99">
        <f ca="1">ROUND(VLOOKUP(100,enemy_base_stats!$A:$F,2,FALSE) * Y990* J990*O990*E990*S990*AD990*[2]ステータス!$B$2,0)</f>
        <v>162197</v>
      </c>
      <c r="AK990" s="99">
        <f ca="1">ROUND(VLOOKUP(100,enemy_base_stats!$A:$F,3,FALSE)* Z990* K990*P990*F990*T990*AE990 * W990*[2]ステータス!$C$2,0)</f>
        <v>14886</v>
      </c>
      <c r="AL990" s="99">
        <f ca="1">ROUND(VLOOKUP(100,enemy_base_stats!$A:$F,4,FALSE)* AA990* L990*Q990*G990*U990*AF990*[2]ステータス!$D$2,0)</f>
        <v>0</v>
      </c>
      <c r="AM990" s="97">
        <f ca="1">VLOOKUP(M990,[2]character_tribe_i18n!$A:$I,9,FALSE)</f>
        <v>400</v>
      </c>
      <c r="AN990" s="97">
        <v>0</v>
      </c>
      <c r="AO990" s="98">
        <v>0</v>
      </c>
      <c r="AP990" s="58" t="s">
        <v>72</v>
      </c>
      <c r="AQ990" s="34">
        <f t="shared" ca="1" si="56"/>
        <v>989</v>
      </c>
    </row>
    <row r="991" spans="1:43" ht="21" customHeight="1" x14ac:dyDescent="0.15">
      <c r="A991" s="7">
        <f t="shared" ca="1" si="54"/>
        <v>990</v>
      </c>
      <c r="B991" s="6" t="str">
        <f ca="1">VLOOKUP(A991,[2]characters!$A:$C,3,FALSE)</f>
        <v>エルヴィン</v>
      </c>
      <c r="C991" s="9">
        <f ca="1">VLOOKUP(A991,[2]characters!$A:$I,9,FALSE)</f>
        <v>4</v>
      </c>
      <c r="D991" s="9" t="str">
        <f ca="1">VLOOKUP(A991,[2]characters!$A:$H,8,FALSE)</f>
        <v>red</v>
      </c>
      <c r="E991" s="97">
        <f ca="1">VLOOKUP(D991,[2]属性!$A:$E,2,FALSE)</f>
        <v>1</v>
      </c>
      <c r="F991" s="97">
        <f ca="1">VLOOKUP(D991,[2]属性!$A:$E,3,FALSE)</f>
        <v>1.02</v>
      </c>
      <c r="G991" s="97">
        <f ca="1">VLOOKUP(D991,[2]属性!$A:$F,4,FALSE)</f>
        <v>1</v>
      </c>
      <c r="H991" s="9" t="str">
        <f ca="1">VLOOKUP(A991,[2]characters!$A:$K,11,FALSE)</f>
        <v>balance</v>
      </c>
      <c r="I991" s="6" t="str">
        <f ca="1">VLOOKUP(H991,[2]character_type_i18n!$A:$F,3,FALSE)</f>
        <v>バランスタイプ</v>
      </c>
      <c r="J991" s="97">
        <f ca="1">VLOOKUP(H991,[2]character_type_i18n!$A:$F,4,FALSE)</f>
        <v>1</v>
      </c>
      <c r="K991" s="97">
        <f ca="1">VLOOKUP(H991,[2]character_type_i18n!$A:$F,5,FALSE)</f>
        <v>1</v>
      </c>
      <c r="L991" s="97">
        <f ca="1">VLOOKUP(H991,[2]character_type_i18n!$A:$F,6,FALSE)</f>
        <v>1</v>
      </c>
      <c r="M991" s="9" t="str">
        <f ca="1">VLOOKUP(A991,[2]characters!$A:$M,13,FALSE)</f>
        <v>human</v>
      </c>
      <c r="N991" s="6" t="str">
        <f ca="1">VLOOKUP(M991,[2]character_tribe_i18n!$A:$F,3,FALSE)</f>
        <v>ヒューマン</v>
      </c>
      <c r="O991" s="97">
        <f ca="1">VLOOKUP(M991,[2]character_tribe_i18n!$A:$F,4,FALSE)</f>
        <v>0.94</v>
      </c>
      <c r="P991" s="97">
        <f ca="1">VLOOKUP(M991,[2]character_tribe_i18n!$A:$F,5,FALSE)</f>
        <v>0.99</v>
      </c>
      <c r="Q991" s="97">
        <f ca="1">VLOOKUP(M991,[2]character_tribe_i18n!$A:$F,6,FALSE)</f>
        <v>1</v>
      </c>
      <c r="R991" s="98" t="s">
        <v>98</v>
      </c>
      <c r="S991" s="97">
        <f>VLOOKUP($R991,ラベル別係数!$A$1:$E$7,3,FALSE)</f>
        <v>5</v>
      </c>
      <c r="T991" s="97">
        <f>VLOOKUP($R991,ラベル別係数!$A$1:$E$7,4,FALSE)</f>
        <v>1.3</v>
      </c>
      <c r="U991" s="97">
        <f>VLOOKUP($R991,ラベル別係数!$A$1:$E$7,5,FALSE)</f>
        <v>0.8</v>
      </c>
      <c r="V991" s="98">
        <v>3</v>
      </c>
      <c r="W991" s="99">
        <f>VLOOKUP(V991,ターン数別攻撃係数!$A$1:$B$1000,2,FALSE)</f>
        <v>1</v>
      </c>
      <c r="X991" s="9">
        <f ca="1">VLOOKUP(C991,サイズ別係数!A$2:B$9,2,FALSE)</f>
        <v>30</v>
      </c>
      <c r="Y991" s="97">
        <f ca="1">VLOOKUP($X991,サイズ別係数!$B:$E,2,FALSE)</f>
        <v>1.3</v>
      </c>
      <c r="Z991" s="97">
        <f ca="1">VLOOKUP($X991,サイズ別係数!$B:$E,3,FALSE)</f>
        <v>1.3</v>
      </c>
      <c r="AA991" s="97">
        <f ca="1">VLOOKUP($X991,サイズ別係数!$B:$E,4,FALSE)</f>
        <v>1.1000000000000001</v>
      </c>
      <c r="AB991" s="10">
        <v>0</v>
      </c>
      <c r="AC991" s="6" t="str">
        <f ca="1">VLOOKUP($AB991,OFFSET([3]enemy_skill_sets!$B$2,0,0,COUNTA([3]enemy_skill_sets!$A:$A),MATCH(AC$1,[3]enemy_skill_sets!$1:$1,0)-MATCH($AB$1,[3]enemy_skill_sets!$1:$1,0)+1),MATCH(AC$1,[3]enemy_skill_sets!$1:$1,0)-MATCH($AB$1,[3]enemy_skill_sets!$1:$1,0)+1,FALSE)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1" s="67">
        <v>1</v>
      </c>
      <c r="AE991" s="67">
        <v>1</v>
      </c>
      <c r="AF991" s="68">
        <v>0</v>
      </c>
      <c r="AG991" s="99">
        <f ca="1">ROUND(VLOOKUP(1,enemy_base_stats!$A:$F,2,FALSE) * Y991* J991*O991*E991*S991*AD991*[2]ステータス!$B$2,0)</f>
        <v>3055</v>
      </c>
      <c r="AH991" s="99">
        <f ca="1">ROUND(VLOOKUP(1,enemy_base_stats!$A:$F,3,FALSE) * Z991*K991*P991*F991*T991*AE991 * W991*[2]ステータス!$C$2,0)</f>
        <v>256</v>
      </c>
      <c r="AI991" s="99">
        <f ca="1">ROUND(VLOOKUP(1,enemy_base_stats!$A:$F,4,FALSE) * AA991*L991*Q991*G991*U991*AF991*[2]ステータス!$D$2,0)</f>
        <v>0</v>
      </c>
      <c r="AJ991" s="99">
        <f ca="1">ROUND(VLOOKUP(100,enemy_base_stats!$A:$F,2,FALSE) * Y991* J991*O991*E991*S991*AD991*[2]ステータス!$B$2,0)</f>
        <v>124033</v>
      </c>
      <c r="AK991" s="99">
        <f ca="1">ROUND(VLOOKUP(100,enemy_base_stats!$A:$F,3,FALSE)* Z991* K991*P991*F991*T991*AE991 * W991*[2]ステータス!$C$2,0)</f>
        <v>10393</v>
      </c>
      <c r="AL991" s="99">
        <f ca="1">ROUND(VLOOKUP(100,enemy_base_stats!$A:$F,4,FALSE)* AA991* L991*Q991*G991*U991*AF991*[2]ステータス!$D$2,0)</f>
        <v>0</v>
      </c>
      <c r="AM991" s="97">
        <f ca="1">VLOOKUP(M991,[2]character_tribe_i18n!$A:$I,9,FALSE)</f>
        <v>400</v>
      </c>
      <c r="AN991" s="97">
        <v>0</v>
      </c>
      <c r="AO991" s="98">
        <v>0</v>
      </c>
      <c r="AP991" s="58" t="s">
        <v>72</v>
      </c>
      <c r="AQ991" s="34">
        <f t="shared" ca="1" si="56"/>
        <v>990</v>
      </c>
    </row>
    <row r="992" spans="1:43" ht="21" customHeight="1" x14ac:dyDescent="0.15">
      <c r="A992" s="7">
        <f t="shared" ca="1" si="54"/>
        <v>991</v>
      </c>
      <c r="B992" s="6" t="str">
        <f ca="1">VLOOKUP(A992,[2]characters!$A:$C,3,FALSE)</f>
        <v>反撃の核心 エルヴィン</v>
      </c>
      <c r="C992" s="9">
        <f ca="1">VLOOKUP(A992,[2]characters!$A:$I,9,FALSE)</f>
        <v>5</v>
      </c>
      <c r="D992" s="9" t="str">
        <f ca="1">VLOOKUP(A992,[2]characters!$A:$H,8,FALSE)</f>
        <v>red</v>
      </c>
      <c r="E992" s="97">
        <f ca="1">VLOOKUP(D992,[2]属性!$A:$E,2,FALSE)</f>
        <v>1</v>
      </c>
      <c r="F992" s="97">
        <f ca="1">VLOOKUP(D992,[2]属性!$A:$E,3,FALSE)</f>
        <v>1.02</v>
      </c>
      <c r="G992" s="97">
        <f ca="1">VLOOKUP(D992,[2]属性!$A:$F,4,FALSE)</f>
        <v>1</v>
      </c>
      <c r="H992" s="9" t="str">
        <f ca="1">VLOOKUP(A992,[2]characters!$A:$K,11,FALSE)</f>
        <v>balance</v>
      </c>
      <c r="I992" s="6" t="str">
        <f ca="1">VLOOKUP(H992,[2]character_type_i18n!$A:$F,3,FALSE)</f>
        <v>バランスタイプ</v>
      </c>
      <c r="J992" s="97">
        <f ca="1">VLOOKUP(H992,[2]character_type_i18n!$A:$F,4,FALSE)</f>
        <v>1</v>
      </c>
      <c r="K992" s="97">
        <f ca="1">VLOOKUP(H992,[2]character_type_i18n!$A:$F,5,FALSE)</f>
        <v>1</v>
      </c>
      <c r="L992" s="97">
        <f ca="1">VLOOKUP(H992,[2]character_type_i18n!$A:$F,6,FALSE)</f>
        <v>1</v>
      </c>
      <c r="M992" s="9" t="str">
        <f ca="1">VLOOKUP(A992,[2]characters!$A:$M,13,FALSE)</f>
        <v>human</v>
      </c>
      <c r="N992" s="6" t="str">
        <f ca="1">VLOOKUP(M992,[2]character_tribe_i18n!$A:$F,3,FALSE)</f>
        <v>ヒューマン</v>
      </c>
      <c r="O992" s="97">
        <f ca="1">VLOOKUP(M992,[2]character_tribe_i18n!$A:$F,4,FALSE)</f>
        <v>0.94</v>
      </c>
      <c r="P992" s="97">
        <f ca="1">VLOOKUP(M992,[2]character_tribe_i18n!$A:$F,5,FALSE)</f>
        <v>0.99</v>
      </c>
      <c r="Q992" s="97">
        <f ca="1">VLOOKUP(M992,[2]character_tribe_i18n!$A:$F,6,FALSE)</f>
        <v>1</v>
      </c>
      <c r="R992" s="98" t="s">
        <v>98</v>
      </c>
      <c r="S992" s="97">
        <f>VLOOKUP($R992,ラベル別係数!$A$1:$E$7,3,FALSE)</f>
        <v>5</v>
      </c>
      <c r="T992" s="97">
        <f>VLOOKUP($R992,ラベル別係数!$A$1:$E$7,4,FALSE)</f>
        <v>1.3</v>
      </c>
      <c r="U992" s="97">
        <f>VLOOKUP($R992,ラベル別係数!$A$1:$E$7,5,FALSE)</f>
        <v>0.8</v>
      </c>
      <c r="V992" s="98">
        <v>3</v>
      </c>
      <c r="W992" s="99">
        <f>VLOOKUP(V992,ターン数別攻撃係数!$A$1:$B$1000,2,FALSE)</f>
        <v>1</v>
      </c>
      <c r="X992" s="9">
        <f ca="1">VLOOKUP(C992,サイズ別係数!A$2:B$9,2,FALSE)</f>
        <v>60</v>
      </c>
      <c r="Y992" s="97">
        <f ca="1">VLOOKUP($X992,サイズ別係数!$B:$E,2,FALSE)</f>
        <v>1.7</v>
      </c>
      <c r="Z992" s="97">
        <f ca="1">VLOOKUP($X992,サイズ別係数!$B:$E,3,FALSE)</f>
        <v>1.4</v>
      </c>
      <c r="AA992" s="97">
        <f ca="1">VLOOKUP($X992,サイズ別係数!$B:$E,4,FALSE)</f>
        <v>1</v>
      </c>
      <c r="AB992" s="10">
        <v>0</v>
      </c>
      <c r="AC992" s="6" t="str">
        <f ca="1">VLOOKUP($AB992,OFFSET([3]enemy_skill_sets!$B$2,0,0,COUNTA([3]enemy_skill_sets!$A:$A),MATCH(AC$1,[3]enemy_skill_sets!$1:$1,0)-MATCH($AB$1,[3]enemy_skill_sets!$1:$1,0)+1),MATCH(AC$1,[3]enemy_skill_sets!$1:$1,0)-MATCH($AB$1,[3]enemy_skill_sets!$1:$1,0)+1,FALSE)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2" s="67">
        <v>1</v>
      </c>
      <c r="AE992" s="67">
        <v>1</v>
      </c>
      <c r="AF992" s="68">
        <v>0</v>
      </c>
      <c r="AG992" s="99">
        <f ca="1">ROUND(VLOOKUP(1,enemy_base_stats!$A:$F,2,FALSE) * Y992* J992*O992*E992*S992*AD992*[2]ステータス!$B$2,0)</f>
        <v>3995</v>
      </c>
      <c r="AH992" s="99">
        <f ca="1">ROUND(VLOOKUP(1,enemy_base_stats!$A:$F,3,FALSE) * Z992*K992*P992*F992*T992*AE992 * W992*[2]ステータス!$C$2,0)</f>
        <v>276</v>
      </c>
      <c r="AI992" s="99">
        <f ca="1">ROUND(VLOOKUP(1,enemy_base_stats!$A:$F,4,FALSE) * AA992*L992*Q992*G992*U992*AF992*[2]ステータス!$D$2,0)</f>
        <v>0</v>
      </c>
      <c r="AJ992" s="99">
        <f ca="1">ROUND(VLOOKUP(100,enemy_base_stats!$A:$F,2,FALSE) * Y992* J992*O992*E992*S992*AD992*[2]ステータス!$B$2,0)</f>
        <v>162197</v>
      </c>
      <c r="AK992" s="99">
        <f ca="1">ROUND(VLOOKUP(100,enemy_base_stats!$A:$F,3,FALSE)* Z992* K992*P992*F992*T992*AE992 * W992*[2]ステータス!$C$2,0)</f>
        <v>11192</v>
      </c>
      <c r="AL992" s="99">
        <f ca="1">ROUND(VLOOKUP(100,enemy_base_stats!$A:$F,4,FALSE)* AA992* L992*Q992*G992*U992*AF992*[2]ステータス!$D$2,0)</f>
        <v>0</v>
      </c>
      <c r="AM992" s="97">
        <f ca="1">VLOOKUP(M992,[2]character_tribe_i18n!$A:$I,9,FALSE)</f>
        <v>400</v>
      </c>
      <c r="AN992" s="97">
        <v>0</v>
      </c>
      <c r="AO992" s="98">
        <v>0</v>
      </c>
      <c r="AP992" s="58" t="s">
        <v>72</v>
      </c>
      <c r="AQ992" s="34">
        <f t="shared" ca="1" si="56"/>
        <v>991</v>
      </c>
    </row>
    <row r="993" spans="1:43" ht="21" customHeight="1" x14ac:dyDescent="0.15">
      <c r="A993" s="7">
        <f t="shared" ca="1" si="54"/>
        <v>992</v>
      </c>
      <c r="B993" s="6" t="str">
        <f ca="1">VLOOKUP(A993,[2]characters!$A:$C,3,FALSE)</f>
        <v>ハンジ</v>
      </c>
      <c r="C993" s="9">
        <f ca="1">VLOOKUP(A993,[2]characters!$A:$I,9,FALSE)</f>
        <v>4</v>
      </c>
      <c r="D993" s="9" t="str">
        <f ca="1">VLOOKUP(A993,[2]characters!$A:$H,8,FALSE)</f>
        <v>green</v>
      </c>
      <c r="E993" s="97">
        <f ca="1">VLOOKUP(D993,[2]属性!$A:$E,2,FALSE)</f>
        <v>1.02</v>
      </c>
      <c r="F993" s="97">
        <f ca="1">VLOOKUP(D993,[2]属性!$A:$E,3,FALSE)</f>
        <v>0.98</v>
      </c>
      <c r="G993" s="97">
        <f ca="1">VLOOKUP(D993,[2]属性!$A:$F,4,FALSE)</f>
        <v>1</v>
      </c>
      <c r="H993" s="9" t="str">
        <f ca="1">VLOOKUP(A993,[2]characters!$A:$K,11,FALSE)</f>
        <v>technical</v>
      </c>
      <c r="I993" s="6" t="str">
        <f ca="1">VLOOKUP(H993,[2]character_type_i18n!$A:$F,3,FALSE)</f>
        <v>テクニカルタイプ</v>
      </c>
      <c r="J993" s="97">
        <f ca="1">VLOOKUP(H993,[2]character_type_i18n!$A:$F,4,FALSE)</f>
        <v>0.9</v>
      </c>
      <c r="K993" s="97">
        <f ca="1">VLOOKUP(H993,[2]character_type_i18n!$A:$F,5,FALSE)</f>
        <v>0.9</v>
      </c>
      <c r="L993" s="97">
        <f ca="1">VLOOKUP(H993,[2]character_type_i18n!$A:$F,6,FALSE)</f>
        <v>1</v>
      </c>
      <c r="M993" s="9" t="str">
        <f ca="1">VLOOKUP(A993,[2]characters!$A:$M,13,FALSE)</f>
        <v>human</v>
      </c>
      <c r="N993" s="6" t="str">
        <f ca="1">VLOOKUP(M993,[2]character_tribe_i18n!$A:$F,3,FALSE)</f>
        <v>ヒューマン</v>
      </c>
      <c r="O993" s="97">
        <f ca="1">VLOOKUP(M993,[2]character_tribe_i18n!$A:$F,4,FALSE)</f>
        <v>0.94</v>
      </c>
      <c r="P993" s="97">
        <f ca="1">VLOOKUP(M993,[2]character_tribe_i18n!$A:$F,5,FALSE)</f>
        <v>0.99</v>
      </c>
      <c r="Q993" s="97">
        <f ca="1">VLOOKUP(M993,[2]character_tribe_i18n!$A:$F,6,FALSE)</f>
        <v>1</v>
      </c>
      <c r="R993" s="98" t="s">
        <v>98</v>
      </c>
      <c r="S993" s="97">
        <f>VLOOKUP($R993,ラベル別係数!$A$1:$E$7,3,FALSE)</f>
        <v>5</v>
      </c>
      <c r="T993" s="97">
        <f>VLOOKUP($R993,ラベル別係数!$A$1:$E$7,4,FALSE)</f>
        <v>1.3</v>
      </c>
      <c r="U993" s="97">
        <f>VLOOKUP($R993,ラベル別係数!$A$1:$E$7,5,FALSE)</f>
        <v>0.8</v>
      </c>
      <c r="V993" s="98">
        <v>3</v>
      </c>
      <c r="W993" s="99">
        <f>VLOOKUP(V993,ターン数別攻撃係数!$A$1:$B$1000,2,FALSE)</f>
        <v>1</v>
      </c>
      <c r="X993" s="9">
        <f ca="1">VLOOKUP(C993,サイズ別係数!A$2:B$9,2,FALSE)</f>
        <v>30</v>
      </c>
      <c r="Y993" s="97">
        <f ca="1">VLOOKUP($X993,サイズ別係数!$B:$E,2,FALSE)</f>
        <v>1.3</v>
      </c>
      <c r="Z993" s="97">
        <f ca="1">VLOOKUP($X993,サイズ別係数!$B:$E,3,FALSE)</f>
        <v>1.3</v>
      </c>
      <c r="AA993" s="97">
        <f ca="1">VLOOKUP($X993,サイズ別係数!$B:$E,4,FALSE)</f>
        <v>1.1000000000000001</v>
      </c>
      <c r="AB993" s="10">
        <v>0</v>
      </c>
      <c r="AC993" s="6" t="str">
        <f ca="1">VLOOKUP($AB993,OFFSET([3]enemy_skill_sets!$B$2,0,0,COUNTA([3]enemy_skill_sets!$A:$A),MATCH(AC$1,[3]enemy_skill_sets!$1:$1,0)-MATCH($AB$1,[3]enemy_skill_sets!$1:$1,0)+1),MATCH(AC$1,[3]enemy_skill_sets!$1:$1,0)-MATCH($AB$1,[3]enemy_skill_sets!$1:$1,0)+1,FALSE)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3" s="67">
        <v>1</v>
      </c>
      <c r="AE993" s="67">
        <v>1</v>
      </c>
      <c r="AF993" s="68">
        <v>0</v>
      </c>
      <c r="AG993" s="99">
        <f ca="1">ROUND(VLOOKUP(1,enemy_base_stats!$A:$F,2,FALSE) * Y993* J993*O993*E993*S993*AD993*[2]ステータス!$B$2,0)</f>
        <v>2804</v>
      </c>
      <c r="AH993" s="99">
        <f ca="1">ROUND(VLOOKUP(1,enemy_base_stats!$A:$F,3,FALSE) * Z993*K993*P993*F993*T993*AE993 * W993*[2]ステータス!$C$2,0)</f>
        <v>221</v>
      </c>
      <c r="AI993" s="99">
        <f ca="1">ROUND(VLOOKUP(1,enemy_base_stats!$A:$F,4,FALSE) * AA993*L993*Q993*G993*U993*AF993*[2]ステータス!$D$2,0)</f>
        <v>0</v>
      </c>
      <c r="AJ993" s="99">
        <f ca="1">ROUND(VLOOKUP(100,enemy_base_stats!$A:$F,2,FALSE) * Y993* J993*O993*E993*S993*AD993*[2]ステータス!$B$2,0)</f>
        <v>113862</v>
      </c>
      <c r="AK993" s="99">
        <f ca="1">ROUND(VLOOKUP(100,enemy_base_stats!$A:$F,3,FALSE)* Z993* K993*P993*F993*T993*AE993 * W993*[2]ステータス!$C$2,0)</f>
        <v>8987</v>
      </c>
      <c r="AL993" s="99">
        <f ca="1">ROUND(VLOOKUP(100,enemy_base_stats!$A:$F,4,FALSE)* AA993* L993*Q993*G993*U993*AF993*[2]ステータス!$D$2,0)</f>
        <v>0</v>
      </c>
      <c r="AM993" s="97">
        <f ca="1">VLOOKUP(M993,[2]character_tribe_i18n!$A:$I,9,FALSE)</f>
        <v>400</v>
      </c>
      <c r="AN993" s="97">
        <v>0</v>
      </c>
      <c r="AO993" s="98">
        <v>0</v>
      </c>
      <c r="AP993" s="58" t="s">
        <v>72</v>
      </c>
      <c r="AQ993" s="34">
        <f t="shared" ca="1" si="56"/>
        <v>992</v>
      </c>
    </row>
    <row r="994" spans="1:43" ht="21" customHeight="1" x14ac:dyDescent="0.15">
      <c r="A994" s="7">
        <f t="shared" ca="1" si="54"/>
        <v>993</v>
      </c>
      <c r="B994" s="6" t="str">
        <f ca="1">VLOOKUP(A994,[2]characters!$A:$C,3,FALSE)</f>
        <v>巨躯への執着 ハンジ</v>
      </c>
      <c r="C994" s="9">
        <f ca="1">VLOOKUP(A994,[2]characters!$A:$I,9,FALSE)</f>
        <v>5</v>
      </c>
      <c r="D994" s="9" t="str">
        <f ca="1">VLOOKUP(A994,[2]characters!$A:$H,8,FALSE)</f>
        <v>green</v>
      </c>
      <c r="E994" s="97">
        <f ca="1">VLOOKUP(D994,[2]属性!$A:$E,2,FALSE)</f>
        <v>1.02</v>
      </c>
      <c r="F994" s="97">
        <f ca="1">VLOOKUP(D994,[2]属性!$A:$E,3,FALSE)</f>
        <v>0.98</v>
      </c>
      <c r="G994" s="97">
        <f ca="1">VLOOKUP(D994,[2]属性!$A:$F,4,FALSE)</f>
        <v>1</v>
      </c>
      <c r="H994" s="9" t="str">
        <f ca="1">VLOOKUP(A994,[2]characters!$A:$K,11,FALSE)</f>
        <v>technical</v>
      </c>
      <c r="I994" s="6" t="str">
        <f ca="1">VLOOKUP(H994,[2]character_type_i18n!$A:$F,3,FALSE)</f>
        <v>テクニカルタイプ</v>
      </c>
      <c r="J994" s="97">
        <f ca="1">VLOOKUP(H994,[2]character_type_i18n!$A:$F,4,FALSE)</f>
        <v>0.9</v>
      </c>
      <c r="K994" s="97">
        <f ca="1">VLOOKUP(H994,[2]character_type_i18n!$A:$F,5,FALSE)</f>
        <v>0.9</v>
      </c>
      <c r="L994" s="97">
        <f ca="1">VLOOKUP(H994,[2]character_type_i18n!$A:$F,6,FALSE)</f>
        <v>1</v>
      </c>
      <c r="M994" s="9" t="str">
        <f ca="1">VLOOKUP(A994,[2]characters!$A:$M,13,FALSE)</f>
        <v>human</v>
      </c>
      <c r="N994" s="6" t="str">
        <f ca="1">VLOOKUP(M994,[2]character_tribe_i18n!$A:$F,3,FALSE)</f>
        <v>ヒューマン</v>
      </c>
      <c r="O994" s="97">
        <f ca="1">VLOOKUP(M994,[2]character_tribe_i18n!$A:$F,4,FALSE)</f>
        <v>0.94</v>
      </c>
      <c r="P994" s="97">
        <f ca="1">VLOOKUP(M994,[2]character_tribe_i18n!$A:$F,5,FALSE)</f>
        <v>0.99</v>
      </c>
      <c r="Q994" s="97">
        <f ca="1">VLOOKUP(M994,[2]character_tribe_i18n!$A:$F,6,FALSE)</f>
        <v>1</v>
      </c>
      <c r="R994" s="98" t="s">
        <v>98</v>
      </c>
      <c r="S994" s="97">
        <f>VLOOKUP($R994,ラベル別係数!$A$1:$E$7,3,FALSE)</f>
        <v>5</v>
      </c>
      <c r="T994" s="97">
        <f>VLOOKUP($R994,ラベル別係数!$A$1:$E$7,4,FALSE)</f>
        <v>1.3</v>
      </c>
      <c r="U994" s="97">
        <f>VLOOKUP($R994,ラベル別係数!$A$1:$E$7,5,FALSE)</f>
        <v>0.8</v>
      </c>
      <c r="V994" s="98">
        <v>3</v>
      </c>
      <c r="W994" s="99">
        <f>VLOOKUP(V994,ターン数別攻撃係数!$A$1:$B$1000,2,FALSE)</f>
        <v>1</v>
      </c>
      <c r="X994" s="9">
        <f ca="1">VLOOKUP(C994,サイズ別係数!A$2:B$9,2,FALSE)</f>
        <v>60</v>
      </c>
      <c r="Y994" s="97">
        <f ca="1">VLOOKUP($X994,サイズ別係数!$B:$E,2,FALSE)</f>
        <v>1.7</v>
      </c>
      <c r="Z994" s="97">
        <f ca="1">VLOOKUP($X994,サイズ別係数!$B:$E,3,FALSE)</f>
        <v>1.4</v>
      </c>
      <c r="AA994" s="97">
        <f ca="1">VLOOKUP($X994,サイズ別係数!$B:$E,4,FALSE)</f>
        <v>1</v>
      </c>
      <c r="AB994" s="10">
        <v>0</v>
      </c>
      <c r="AC994" s="6" t="str">
        <f ca="1">VLOOKUP($AB994,OFFSET([3]enemy_skill_sets!$B$2,0,0,COUNTA([3]enemy_skill_sets!$A:$A),MATCH(AC$1,[3]enemy_skill_sets!$1:$1,0)-MATCH($AB$1,[3]enemy_skill_sets!$1:$1,0)+1),MATCH(AC$1,[3]enemy_skill_sets!$1:$1,0)-MATCH($AB$1,[3]enemy_skill_sets!$1:$1,0)+1,FALSE)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4" s="67">
        <v>1</v>
      </c>
      <c r="AE994" s="67">
        <v>1</v>
      </c>
      <c r="AF994" s="68">
        <v>0</v>
      </c>
      <c r="AG994" s="99">
        <f ca="1">ROUND(VLOOKUP(1,enemy_base_stats!$A:$F,2,FALSE) * Y994* J994*O994*E994*S994*AD994*[2]ステータス!$B$2,0)</f>
        <v>3667</v>
      </c>
      <c r="AH994" s="99">
        <f ca="1">ROUND(VLOOKUP(1,enemy_base_stats!$A:$F,3,FALSE) * Z994*K994*P994*F994*T994*AE994 * W994*[2]ステータス!$C$2,0)</f>
        <v>238</v>
      </c>
      <c r="AI994" s="99">
        <f ca="1">ROUND(VLOOKUP(1,enemy_base_stats!$A:$F,4,FALSE) * AA994*L994*Q994*G994*U994*AF994*[2]ステータス!$D$2,0)</f>
        <v>0</v>
      </c>
      <c r="AJ994" s="99">
        <f ca="1">ROUND(VLOOKUP(100,enemy_base_stats!$A:$F,2,FALSE) * Y994* J994*O994*E994*S994*AD994*[2]ステータス!$B$2,0)</f>
        <v>148897</v>
      </c>
      <c r="AK994" s="99">
        <f ca="1">ROUND(VLOOKUP(100,enemy_base_stats!$A:$F,3,FALSE)* Z994* K994*P994*F994*T994*AE994 * W994*[2]ステータス!$C$2,0)</f>
        <v>9678</v>
      </c>
      <c r="AL994" s="99">
        <f ca="1">ROUND(VLOOKUP(100,enemy_base_stats!$A:$F,4,FALSE)* AA994* L994*Q994*G994*U994*AF994*[2]ステータス!$D$2,0)</f>
        <v>0</v>
      </c>
      <c r="AM994" s="97">
        <f ca="1">VLOOKUP(M994,[2]character_tribe_i18n!$A:$I,9,FALSE)</f>
        <v>400</v>
      </c>
      <c r="AN994" s="97">
        <v>0</v>
      </c>
      <c r="AO994" s="98">
        <v>0</v>
      </c>
      <c r="AP994" s="58" t="s">
        <v>72</v>
      </c>
      <c r="AQ994" s="34">
        <f t="shared" ca="1" si="56"/>
        <v>993</v>
      </c>
    </row>
    <row r="995" spans="1:43" ht="21" customHeight="1" x14ac:dyDescent="0.15">
      <c r="A995" s="7">
        <f t="shared" ca="1" si="54"/>
        <v>994</v>
      </c>
      <c r="B995" s="6" t="str">
        <f ca="1">VLOOKUP(A995,[2]characters!$A:$C,3,FALSE)</f>
        <v>アルミン</v>
      </c>
      <c r="C995" s="9">
        <f ca="1">VLOOKUP(A995,[2]characters!$A:$I,9,FALSE)</f>
        <v>4</v>
      </c>
      <c r="D995" s="9" t="str">
        <f ca="1">VLOOKUP(A995,[2]characters!$A:$H,8,FALSE)</f>
        <v>green</v>
      </c>
      <c r="E995" s="97">
        <f ca="1">VLOOKUP(D995,[2]属性!$A:$E,2,FALSE)</f>
        <v>1.02</v>
      </c>
      <c r="F995" s="97">
        <f ca="1">VLOOKUP(D995,[2]属性!$A:$E,3,FALSE)</f>
        <v>0.98</v>
      </c>
      <c r="G995" s="97">
        <f ca="1">VLOOKUP(D995,[2]属性!$A:$F,4,FALSE)</f>
        <v>1</v>
      </c>
      <c r="H995" s="9" t="str">
        <f ca="1">VLOOKUP(A995,[2]characters!$A:$K,11,FALSE)</f>
        <v>balance</v>
      </c>
      <c r="I995" s="6" t="str">
        <f ca="1">VLOOKUP(H995,[2]character_type_i18n!$A:$F,3,FALSE)</f>
        <v>バランスタイプ</v>
      </c>
      <c r="J995" s="97">
        <f ca="1">VLOOKUP(H995,[2]character_type_i18n!$A:$F,4,FALSE)</f>
        <v>1</v>
      </c>
      <c r="K995" s="97">
        <f ca="1">VLOOKUP(H995,[2]character_type_i18n!$A:$F,5,FALSE)</f>
        <v>1</v>
      </c>
      <c r="L995" s="97">
        <f ca="1">VLOOKUP(H995,[2]character_type_i18n!$A:$F,6,FALSE)</f>
        <v>1</v>
      </c>
      <c r="M995" s="9" t="str">
        <f ca="1">VLOOKUP(A995,[2]characters!$A:$M,13,FALSE)</f>
        <v>human</v>
      </c>
      <c r="N995" s="6" t="str">
        <f ca="1">VLOOKUP(M995,[2]character_tribe_i18n!$A:$F,3,FALSE)</f>
        <v>ヒューマン</v>
      </c>
      <c r="O995" s="97">
        <f ca="1">VLOOKUP(M995,[2]character_tribe_i18n!$A:$F,4,FALSE)</f>
        <v>0.94</v>
      </c>
      <c r="P995" s="97">
        <f ca="1">VLOOKUP(M995,[2]character_tribe_i18n!$A:$F,5,FALSE)</f>
        <v>0.99</v>
      </c>
      <c r="Q995" s="97">
        <f ca="1">VLOOKUP(M995,[2]character_tribe_i18n!$A:$F,6,FALSE)</f>
        <v>1</v>
      </c>
      <c r="R995" s="98" t="s">
        <v>98</v>
      </c>
      <c r="S995" s="97">
        <f>VLOOKUP($R995,ラベル別係数!$A$1:$E$7,3,FALSE)</f>
        <v>5</v>
      </c>
      <c r="T995" s="97">
        <f>VLOOKUP($R995,ラベル別係数!$A$1:$E$7,4,FALSE)</f>
        <v>1.3</v>
      </c>
      <c r="U995" s="97">
        <f>VLOOKUP($R995,ラベル別係数!$A$1:$E$7,5,FALSE)</f>
        <v>0.8</v>
      </c>
      <c r="V995" s="98">
        <v>3</v>
      </c>
      <c r="W995" s="99">
        <f>VLOOKUP(V995,ターン数別攻撃係数!$A$1:$B$1000,2,FALSE)</f>
        <v>1</v>
      </c>
      <c r="X995" s="9">
        <f ca="1">VLOOKUP(C995,サイズ別係数!A$2:B$9,2,FALSE)</f>
        <v>30</v>
      </c>
      <c r="Y995" s="97">
        <f ca="1">VLOOKUP($X995,サイズ別係数!$B:$E,2,FALSE)</f>
        <v>1.3</v>
      </c>
      <c r="Z995" s="97">
        <f ca="1">VLOOKUP($X995,サイズ別係数!$B:$E,3,FALSE)</f>
        <v>1.3</v>
      </c>
      <c r="AA995" s="97">
        <f ca="1">VLOOKUP($X995,サイズ別係数!$B:$E,4,FALSE)</f>
        <v>1.1000000000000001</v>
      </c>
      <c r="AB995" s="10">
        <v>0</v>
      </c>
      <c r="AC995" s="6" t="str">
        <f ca="1">VLOOKUP($AB995,OFFSET([3]enemy_skill_sets!$B$2,0,0,COUNTA([3]enemy_skill_sets!$A:$A),MATCH(AC$1,[3]enemy_skill_sets!$1:$1,0)-MATCH($AB$1,[3]enemy_skill_sets!$1:$1,0)+1),MATCH(AC$1,[3]enemy_skill_sets!$1:$1,0)-MATCH($AB$1,[3]enemy_skill_sets!$1:$1,0)+1,FALSE)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5" s="67">
        <v>1</v>
      </c>
      <c r="AE995" s="67">
        <v>1</v>
      </c>
      <c r="AF995" s="68">
        <v>0</v>
      </c>
      <c r="AG995" s="99">
        <f ca="1">ROUND(VLOOKUP(1,enemy_base_stats!$A:$F,2,FALSE) * Y995* J995*O995*E995*S995*AD995*[2]ステータス!$B$2,0)</f>
        <v>3116</v>
      </c>
      <c r="AH995" s="99">
        <f ca="1">ROUND(VLOOKUP(1,enemy_base_stats!$A:$F,3,FALSE) * Z995*K995*P995*F995*T995*AE995 * W995*[2]ステータス!$C$2,0)</f>
        <v>246</v>
      </c>
      <c r="AI995" s="99">
        <f ca="1">ROUND(VLOOKUP(1,enemy_base_stats!$A:$F,4,FALSE) * AA995*L995*Q995*G995*U995*AF995*[2]ステータス!$D$2,0)</f>
        <v>0</v>
      </c>
      <c r="AJ995" s="99">
        <f ca="1">ROUND(VLOOKUP(100,enemy_base_stats!$A:$F,2,FALSE) * Y995* J995*O995*E995*S995*AD995*[2]ステータス!$B$2,0)</f>
        <v>126514</v>
      </c>
      <c r="AK995" s="99">
        <f ca="1">ROUND(VLOOKUP(100,enemy_base_stats!$A:$F,3,FALSE)* Z995* K995*P995*F995*T995*AE995 * W995*[2]ステータス!$C$2,0)</f>
        <v>9985</v>
      </c>
      <c r="AL995" s="99">
        <f ca="1">ROUND(VLOOKUP(100,enemy_base_stats!$A:$F,4,FALSE)* AA995* L995*Q995*G995*U995*AF995*[2]ステータス!$D$2,0)</f>
        <v>0</v>
      </c>
      <c r="AM995" s="97">
        <f ca="1">VLOOKUP(M995,[2]character_tribe_i18n!$A:$I,9,FALSE)</f>
        <v>400</v>
      </c>
      <c r="AN995" s="97">
        <v>0</v>
      </c>
      <c r="AO995" s="98">
        <v>0</v>
      </c>
      <c r="AP995" s="58" t="s">
        <v>72</v>
      </c>
      <c r="AQ995" s="34">
        <f t="shared" ca="1" si="56"/>
        <v>994</v>
      </c>
    </row>
    <row r="996" spans="1:43" ht="21" customHeight="1" x14ac:dyDescent="0.15">
      <c r="A996" s="7">
        <f t="shared" ca="1" si="54"/>
        <v>995</v>
      </c>
      <c r="B996" s="6" t="str">
        <f ca="1">VLOOKUP(A996,[2]characters!$A:$C,3,FALSE)</f>
        <v>疾駆する閃略 アルミン</v>
      </c>
      <c r="C996" s="9">
        <f ca="1">VLOOKUP(A996,[2]characters!$A:$I,9,FALSE)</f>
        <v>5</v>
      </c>
      <c r="D996" s="9" t="str">
        <f ca="1">VLOOKUP(A996,[2]characters!$A:$H,8,FALSE)</f>
        <v>green</v>
      </c>
      <c r="E996" s="97">
        <f ca="1">VLOOKUP(D996,[2]属性!$A:$E,2,FALSE)</f>
        <v>1.02</v>
      </c>
      <c r="F996" s="97">
        <f ca="1">VLOOKUP(D996,[2]属性!$A:$E,3,FALSE)</f>
        <v>0.98</v>
      </c>
      <c r="G996" s="97">
        <f ca="1">VLOOKUP(D996,[2]属性!$A:$F,4,FALSE)</f>
        <v>1</v>
      </c>
      <c r="H996" s="9" t="str">
        <f ca="1">VLOOKUP(A996,[2]characters!$A:$K,11,FALSE)</f>
        <v>balance</v>
      </c>
      <c r="I996" s="6" t="str">
        <f ca="1">VLOOKUP(H996,[2]character_type_i18n!$A:$F,3,FALSE)</f>
        <v>バランスタイプ</v>
      </c>
      <c r="J996" s="97">
        <f ca="1">VLOOKUP(H996,[2]character_type_i18n!$A:$F,4,FALSE)</f>
        <v>1</v>
      </c>
      <c r="K996" s="97">
        <f ca="1">VLOOKUP(H996,[2]character_type_i18n!$A:$F,5,FALSE)</f>
        <v>1</v>
      </c>
      <c r="L996" s="97">
        <f ca="1">VLOOKUP(H996,[2]character_type_i18n!$A:$F,6,FALSE)</f>
        <v>1</v>
      </c>
      <c r="M996" s="9" t="str">
        <f ca="1">VLOOKUP(A996,[2]characters!$A:$M,13,FALSE)</f>
        <v>human</v>
      </c>
      <c r="N996" s="6" t="str">
        <f ca="1">VLOOKUP(M996,[2]character_tribe_i18n!$A:$F,3,FALSE)</f>
        <v>ヒューマン</v>
      </c>
      <c r="O996" s="97">
        <f ca="1">VLOOKUP(M996,[2]character_tribe_i18n!$A:$F,4,FALSE)</f>
        <v>0.94</v>
      </c>
      <c r="P996" s="97">
        <f ca="1">VLOOKUP(M996,[2]character_tribe_i18n!$A:$F,5,FALSE)</f>
        <v>0.99</v>
      </c>
      <c r="Q996" s="97">
        <f ca="1">VLOOKUP(M996,[2]character_tribe_i18n!$A:$F,6,FALSE)</f>
        <v>1</v>
      </c>
      <c r="R996" s="98" t="s">
        <v>98</v>
      </c>
      <c r="S996" s="97">
        <f>VLOOKUP($R996,ラベル別係数!$A$1:$E$7,3,FALSE)</f>
        <v>5</v>
      </c>
      <c r="T996" s="97">
        <f>VLOOKUP($R996,ラベル別係数!$A$1:$E$7,4,FALSE)</f>
        <v>1.3</v>
      </c>
      <c r="U996" s="97">
        <f>VLOOKUP($R996,ラベル別係数!$A$1:$E$7,5,FALSE)</f>
        <v>0.8</v>
      </c>
      <c r="V996" s="98">
        <v>3</v>
      </c>
      <c r="W996" s="99">
        <f>VLOOKUP(V996,ターン数別攻撃係数!$A$1:$B$1000,2,FALSE)</f>
        <v>1</v>
      </c>
      <c r="X996" s="9">
        <f ca="1">VLOOKUP(C996,サイズ別係数!A$2:B$9,2,FALSE)</f>
        <v>60</v>
      </c>
      <c r="Y996" s="97">
        <f ca="1">VLOOKUP($X996,サイズ別係数!$B:$E,2,FALSE)</f>
        <v>1.7</v>
      </c>
      <c r="Z996" s="97">
        <f ca="1">VLOOKUP($X996,サイズ別係数!$B:$E,3,FALSE)</f>
        <v>1.4</v>
      </c>
      <c r="AA996" s="97">
        <f ca="1">VLOOKUP($X996,サイズ別係数!$B:$E,4,FALSE)</f>
        <v>1</v>
      </c>
      <c r="AB996" s="10">
        <v>0</v>
      </c>
      <c r="AC996" s="6" t="str">
        <f ca="1">VLOOKUP($AB996,OFFSET([3]enemy_skill_sets!$B$2,0,0,COUNTA([3]enemy_skill_sets!$A:$A),MATCH(AC$1,[3]enemy_skill_sets!$1:$1,0)-MATCH($AB$1,[3]enemy_skill_sets!$1:$1,0)+1),MATCH(AC$1,[3]enemy_skill_sets!$1:$1,0)-MATCH($AB$1,[3]enemy_skill_sets!$1:$1,0)+1,FALSE)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6" s="67">
        <v>1</v>
      </c>
      <c r="AE996" s="67">
        <v>1</v>
      </c>
      <c r="AF996" s="68">
        <v>0</v>
      </c>
      <c r="AG996" s="99">
        <f ca="1">ROUND(VLOOKUP(1,enemy_base_stats!$A:$F,2,FALSE) * Y996* J996*O996*E996*S996*AD996*[2]ステータス!$B$2,0)</f>
        <v>4075</v>
      </c>
      <c r="AH996" s="99">
        <f ca="1">ROUND(VLOOKUP(1,enemy_base_stats!$A:$F,3,FALSE) * Z996*K996*P996*F996*T996*AE996 * W996*[2]ステータス!$C$2,0)</f>
        <v>265</v>
      </c>
      <c r="AI996" s="99">
        <f ca="1">ROUND(VLOOKUP(1,enemy_base_stats!$A:$F,4,FALSE) * AA996*L996*Q996*G996*U996*AF996*[2]ステータス!$D$2,0)</f>
        <v>0</v>
      </c>
      <c r="AJ996" s="99">
        <f ca="1">ROUND(VLOOKUP(100,enemy_base_stats!$A:$F,2,FALSE) * Y996* J996*O996*E996*S996*AD996*[2]ステータス!$B$2,0)</f>
        <v>165441</v>
      </c>
      <c r="AK996" s="99">
        <f ca="1">ROUND(VLOOKUP(100,enemy_base_stats!$A:$F,3,FALSE)* Z996* K996*P996*F996*T996*AE996 * W996*[2]ステータス!$C$2,0)</f>
        <v>10754</v>
      </c>
      <c r="AL996" s="99">
        <f ca="1">ROUND(VLOOKUP(100,enemy_base_stats!$A:$F,4,FALSE)* AA996* L996*Q996*G996*U996*AF996*[2]ステータス!$D$2,0)</f>
        <v>0</v>
      </c>
      <c r="AM996" s="97">
        <f ca="1">VLOOKUP(M996,[2]character_tribe_i18n!$A:$I,9,FALSE)</f>
        <v>400</v>
      </c>
      <c r="AN996" s="97">
        <v>0</v>
      </c>
      <c r="AO996" s="98">
        <v>0</v>
      </c>
      <c r="AP996" s="58" t="s">
        <v>72</v>
      </c>
      <c r="AQ996" s="34">
        <f t="shared" ca="1" si="56"/>
        <v>995</v>
      </c>
    </row>
    <row r="997" spans="1:43" ht="21" customHeight="1" x14ac:dyDescent="0.15">
      <c r="A997" s="7">
        <f t="shared" ca="1" si="54"/>
        <v>996</v>
      </c>
      <c r="B997" s="6" t="str">
        <f ca="1">VLOOKUP(A997,[2]characters!$A:$C,3,FALSE)</f>
        <v>リヴァイ</v>
      </c>
      <c r="C997" s="9">
        <f ca="1">VLOOKUP(A997,[2]characters!$A:$I,9,FALSE)</f>
        <v>5</v>
      </c>
      <c r="D997" s="9" t="str">
        <f ca="1">VLOOKUP(A997,[2]characters!$A:$H,8,FALSE)</f>
        <v>blue</v>
      </c>
      <c r="E997" s="97">
        <f ca="1">VLOOKUP(D997,[2]属性!$A:$E,2,FALSE)</f>
        <v>1</v>
      </c>
      <c r="F997" s="97">
        <f ca="1">VLOOKUP(D997,[2]属性!$A:$E,3,FALSE)</f>
        <v>0.98</v>
      </c>
      <c r="G997" s="97">
        <f ca="1">VLOOKUP(D997,[2]属性!$A:$F,4,FALSE)</f>
        <v>1</v>
      </c>
      <c r="H997" s="9" t="str">
        <f ca="1">VLOOKUP(A997,[2]characters!$A:$K,11,FALSE)</f>
        <v>attack</v>
      </c>
      <c r="I997" s="6" t="str">
        <f ca="1">VLOOKUP(H997,[2]character_type_i18n!$A:$F,3,FALSE)</f>
        <v>攻撃タイプ</v>
      </c>
      <c r="J997" s="97">
        <f ca="1">VLOOKUP(H997,[2]character_type_i18n!$A:$F,4,FALSE)</f>
        <v>1</v>
      </c>
      <c r="K997" s="97">
        <f ca="1">VLOOKUP(H997,[2]character_type_i18n!$A:$F,5,FALSE)</f>
        <v>1.33</v>
      </c>
      <c r="L997" s="97">
        <f ca="1">VLOOKUP(H997,[2]character_type_i18n!$A:$F,6,FALSE)</f>
        <v>1</v>
      </c>
      <c r="M997" s="9" t="str">
        <f ca="1">VLOOKUP(A997,[2]characters!$A:$M,13,FALSE)</f>
        <v>human</v>
      </c>
      <c r="N997" s="6" t="str">
        <f ca="1">VLOOKUP(M997,[2]character_tribe_i18n!$A:$F,3,FALSE)</f>
        <v>ヒューマン</v>
      </c>
      <c r="O997" s="97">
        <f ca="1">VLOOKUP(M997,[2]character_tribe_i18n!$A:$F,4,FALSE)</f>
        <v>0.94</v>
      </c>
      <c r="P997" s="97">
        <f ca="1">VLOOKUP(M997,[2]character_tribe_i18n!$A:$F,5,FALSE)</f>
        <v>0.99</v>
      </c>
      <c r="Q997" s="97">
        <f ca="1">VLOOKUP(M997,[2]character_tribe_i18n!$A:$F,6,FALSE)</f>
        <v>1</v>
      </c>
      <c r="R997" s="98" t="s">
        <v>98</v>
      </c>
      <c r="S997" s="97">
        <f>VLOOKUP($R997,ラベル別係数!$A$1:$E$7,3,FALSE)</f>
        <v>5</v>
      </c>
      <c r="T997" s="97">
        <f>VLOOKUP($R997,ラベル別係数!$A$1:$E$7,4,FALSE)</f>
        <v>1.3</v>
      </c>
      <c r="U997" s="97">
        <f>VLOOKUP($R997,ラベル別係数!$A$1:$E$7,5,FALSE)</f>
        <v>0.8</v>
      </c>
      <c r="V997" s="98">
        <v>3</v>
      </c>
      <c r="W997" s="99">
        <f>VLOOKUP(V997,ターン数別攻撃係数!$A$1:$B$1000,2,FALSE)</f>
        <v>1</v>
      </c>
      <c r="X997" s="9">
        <f ca="1">VLOOKUP(C997,サイズ別係数!A$2:B$9,2,FALSE)</f>
        <v>60</v>
      </c>
      <c r="Y997" s="97">
        <f ca="1">VLOOKUP($X997,サイズ別係数!$B:$E,2,FALSE)</f>
        <v>1.7</v>
      </c>
      <c r="Z997" s="97">
        <f ca="1">VLOOKUP($X997,サイズ別係数!$B:$E,3,FALSE)</f>
        <v>1.4</v>
      </c>
      <c r="AA997" s="97">
        <f ca="1">VLOOKUP($X997,サイズ別係数!$B:$E,4,FALSE)</f>
        <v>1</v>
      </c>
      <c r="AB997" s="10">
        <v>0</v>
      </c>
      <c r="AC997" s="6" t="str">
        <f ca="1">VLOOKUP($AB997,OFFSET([3]enemy_skill_sets!$B$2,0,0,COUNTA([3]enemy_skill_sets!$A:$A),MATCH(AC$1,[3]enemy_skill_sets!$1:$1,0)-MATCH($AB$1,[3]enemy_skill_sets!$1:$1,0)+1),MATCH(AC$1,[3]enemy_skill_sets!$1:$1,0)-MATCH($AB$1,[3]enemy_skill_sets!$1:$1,0)+1,FALSE)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7" s="67">
        <v>1</v>
      </c>
      <c r="AE997" s="67">
        <v>1</v>
      </c>
      <c r="AF997" s="68">
        <v>0</v>
      </c>
      <c r="AG997" s="99">
        <f ca="1">ROUND(VLOOKUP(1,enemy_base_stats!$A:$F,2,FALSE) * Y997* J997*O997*E997*S997*AD997*[2]ステータス!$B$2,0)</f>
        <v>3995</v>
      </c>
      <c r="AH997" s="99">
        <f ca="1">ROUND(VLOOKUP(1,enemy_base_stats!$A:$F,3,FALSE) * Z997*K997*P997*F997*T997*AE997 * W997*[2]ステータス!$C$2,0)</f>
        <v>352</v>
      </c>
      <c r="AI997" s="99">
        <f ca="1">ROUND(VLOOKUP(1,enemy_base_stats!$A:$F,4,FALSE) * AA997*L997*Q997*G997*U997*AF997*[2]ステータス!$D$2,0)</f>
        <v>0</v>
      </c>
      <c r="AJ997" s="99">
        <f ca="1">ROUND(VLOOKUP(100,enemy_base_stats!$A:$F,2,FALSE) * Y997* J997*O997*E997*S997*AD997*[2]ステータス!$B$2,0)</f>
        <v>162197</v>
      </c>
      <c r="AK997" s="99">
        <f ca="1">ROUND(VLOOKUP(100,enemy_base_stats!$A:$F,3,FALSE)* Z997* K997*P997*F997*T997*AE997 * W997*[2]ステータス!$C$2,0)</f>
        <v>14302</v>
      </c>
      <c r="AL997" s="99">
        <f ca="1">ROUND(VLOOKUP(100,enemy_base_stats!$A:$F,4,FALSE)* AA997* L997*Q997*G997*U997*AF997*[2]ステータス!$D$2,0)</f>
        <v>0</v>
      </c>
      <c r="AM997" s="97">
        <f ca="1">VLOOKUP(M997,[2]character_tribe_i18n!$A:$I,9,FALSE)</f>
        <v>400</v>
      </c>
      <c r="AN997" s="97">
        <v>0</v>
      </c>
      <c r="AO997" s="98">
        <v>0</v>
      </c>
      <c r="AP997" s="58" t="s">
        <v>72</v>
      </c>
      <c r="AQ997" s="34">
        <f t="shared" ca="1" si="56"/>
        <v>996</v>
      </c>
    </row>
    <row r="998" spans="1:43" ht="21" customHeight="1" x14ac:dyDescent="0.15">
      <c r="A998" s="7">
        <f t="shared" ca="1" si="54"/>
        <v>997</v>
      </c>
      <c r="B998" s="6" t="str">
        <f ca="1">VLOOKUP(A998,[2]characters!$A:$C,3,FALSE)</f>
        <v>人類最強 リヴァイ</v>
      </c>
      <c r="C998" s="9">
        <f ca="1">VLOOKUP(A998,[2]characters!$A:$I,9,FALSE)</f>
        <v>6</v>
      </c>
      <c r="D998" s="9" t="str">
        <f ca="1">VLOOKUP(A998,[2]characters!$A:$H,8,FALSE)</f>
        <v>blue</v>
      </c>
      <c r="E998" s="97">
        <f ca="1">VLOOKUP(D998,[2]属性!$A:$E,2,FALSE)</f>
        <v>1</v>
      </c>
      <c r="F998" s="97">
        <f ca="1">VLOOKUP(D998,[2]属性!$A:$E,3,FALSE)</f>
        <v>0.98</v>
      </c>
      <c r="G998" s="97">
        <f ca="1">VLOOKUP(D998,[2]属性!$A:$F,4,FALSE)</f>
        <v>1</v>
      </c>
      <c r="H998" s="9" t="str">
        <f ca="1">VLOOKUP(A998,[2]characters!$A:$K,11,FALSE)</f>
        <v>attack</v>
      </c>
      <c r="I998" s="6" t="str">
        <f ca="1">VLOOKUP(H998,[2]character_type_i18n!$A:$F,3,FALSE)</f>
        <v>攻撃タイプ</v>
      </c>
      <c r="J998" s="97">
        <f ca="1">VLOOKUP(H998,[2]character_type_i18n!$A:$F,4,FALSE)</f>
        <v>1</v>
      </c>
      <c r="K998" s="97">
        <f ca="1">VLOOKUP(H998,[2]character_type_i18n!$A:$F,5,FALSE)</f>
        <v>1.33</v>
      </c>
      <c r="L998" s="97">
        <f ca="1">VLOOKUP(H998,[2]character_type_i18n!$A:$F,6,FALSE)</f>
        <v>1</v>
      </c>
      <c r="M998" s="9" t="str">
        <f ca="1">VLOOKUP(A998,[2]characters!$A:$M,13,FALSE)</f>
        <v>human</v>
      </c>
      <c r="N998" s="6" t="str">
        <f ca="1">VLOOKUP(M998,[2]character_tribe_i18n!$A:$F,3,FALSE)</f>
        <v>ヒューマン</v>
      </c>
      <c r="O998" s="97">
        <f ca="1">VLOOKUP(M998,[2]character_tribe_i18n!$A:$F,4,FALSE)</f>
        <v>0.94</v>
      </c>
      <c r="P998" s="97">
        <f ca="1">VLOOKUP(M998,[2]character_tribe_i18n!$A:$F,5,FALSE)</f>
        <v>0.99</v>
      </c>
      <c r="Q998" s="97">
        <f ca="1">VLOOKUP(M998,[2]character_tribe_i18n!$A:$F,6,FALSE)</f>
        <v>1</v>
      </c>
      <c r="R998" s="98" t="s">
        <v>98</v>
      </c>
      <c r="S998" s="97">
        <f>VLOOKUP($R998,ラベル別係数!$A$1:$E$7,3,FALSE)</f>
        <v>5</v>
      </c>
      <c r="T998" s="97">
        <f>VLOOKUP($R998,ラベル別係数!$A$1:$E$7,4,FALSE)</f>
        <v>1.3</v>
      </c>
      <c r="U998" s="97">
        <f>VLOOKUP($R998,ラベル別係数!$A$1:$E$7,5,FALSE)</f>
        <v>0.8</v>
      </c>
      <c r="V998" s="98">
        <v>3</v>
      </c>
      <c r="W998" s="99">
        <f>VLOOKUP(V998,ターン数別攻撃係数!$A$1:$B$1000,2,FALSE)</f>
        <v>1</v>
      </c>
      <c r="X998" s="9">
        <f ca="1">VLOOKUP(C998,サイズ別係数!A$2:B$9,2,FALSE)</f>
        <v>60</v>
      </c>
      <c r="Y998" s="97">
        <f ca="1">VLOOKUP($X998,サイズ別係数!$B:$E,2,FALSE)</f>
        <v>1.7</v>
      </c>
      <c r="Z998" s="97">
        <f ca="1">VLOOKUP($X998,サイズ別係数!$B:$E,3,FALSE)</f>
        <v>1.4</v>
      </c>
      <c r="AA998" s="97">
        <f ca="1">VLOOKUP($X998,サイズ別係数!$B:$E,4,FALSE)</f>
        <v>1</v>
      </c>
      <c r="AB998" s="10">
        <v>0</v>
      </c>
      <c r="AC998" s="6" t="str">
        <f ca="1">VLOOKUP($AB998,OFFSET([3]enemy_skill_sets!$B$2,0,0,COUNTA([3]enemy_skill_sets!$A:$A),MATCH(AC$1,[3]enemy_skill_sets!$1:$1,0)-MATCH($AB$1,[3]enemy_skill_sets!$1:$1,0)+1),MATCH(AC$1,[3]enemy_skill_sets!$1:$1,0)-MATCH($AB$1,[3]enemy_skill_sets!$1:$1,0)+1,FALSE)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8" s="67">
        <v>1</v>
      </c>
      <c r="AE998" s="67">
        <v>1</v>
      </c>
      <c r="AF998" s="68">
        <v>0</v>
      </c>
      <c r="AG998" s="99">
        <f ca="1">ROUND(VLOOKUP(1,enemy_base_stats!$A:$F,2,FALSE) * Y998* J998*O998*E998*S998*AD998*[2]ステータス!$B$2,0)</f>
        <v>3995</v>
      </c>
      <c r="AH998" s="99">
        <f ca="1">ROUND(VLOOKUP(1,enemy_base_stats!$A:$F,3,FALSE) * Z998*K998*P998*F998*T998*AE998 * W998*[2]ステータス!$C$2,0)</f>
        <v>352</v>
      </c>
      <c r="AI998" s="99">
        <f ca="1">ROUND(VLOOKUP(1,enemy_base_stats!$A:$F,4,FALSE) * AA998*L998*Q998*G998*U998*AF998*[2]ステータス!$D$2,0)</f>
        <v>0</v>
      </c>
      <c r="AJ998" s="99">
        <f ca="1">ROUND(VLOOKUP(100,enemy_base_stats!$A:$F,2,FALSE) * Y998* J998*O998*E998*S998*AD998*[2]ステータス!$B$2,0)</f>
        <v>162197</v>
      </c>
      <c r="AK998" s="99">
        <f ca="1">ROUND(VLOOKUP(100,enemy_base_stats!$A:$F,3,FALSE)* Z998* K998*P998*F998*T998*AE998 * W998*[2]ステータス!$C$2,0)</f>
        <v>14302</v>
      </c>
      <c r="AL998" s="99">
        <f ca="1">ROUND(VLOOKUP(100,enemy_base_stats!$A:$F,4,FALSE)* AA998* L998*Q998*G998*U998*AF998*[2]ステータス!$D$2,0)</f>
        <v>0</v>
      </c>
      <c r="AM998" s="97">
        <f ca="1">VLOOKUP(M998,[2]character_tribe_i18n!$A:$I,9,FALSE)</f>
        <v>400</v>
      </c>
      <c r="AN998" s="97">
        <v>0</v>
      </c>
      <c r="AO998" s="98">
        <v>0</v>
      </c>
      <c r="AP998" s="58" t="s">
        <v>72</v>
      </c>
      <c r="AQ998" s="34">
        <f t="shared" ca="1" si="56"/>
        <v>997</v>
      </c>
    </row>
    <row r="999" spans="1:43" ht="21" customHeight="1" x14ac:dyDescent="0.15">
      <c r="A999" s="7">
        <f t="shared" ca="1" si="54"/>
        <v>998</v>
      </c>
      <c r="B999" s="6" t="str">
        <f ca="1">VLOOKUP(A999,[2]characters!$A:$C,3,FALSE)</f>
        <v>サシャ</v>
      </c>
      <c r="C999" s="9">
        <f ca="1">VLOOKUP(A999,[2]characters!$A:$I,9,FALSE)</f>
        <v>4</v>
      </c>
      <c r="D999" s="9" t="str">
        <f ca="1">VLOOKUP(A999,[2]characters!$A:$H,8,FALSE)</f>
        <v>blue</v>
      </c>
      <c r="E999" s="97">
        <f ca="1">VLOOKUP(D999,[2]属性!$A:$E,2,FALSE)</f>
        <v>1</v>
      </c>
      <c r="F999" s="97">
        <f ca="1">VLOOKUP(D999,[2]属性!$A:$E,3,FALSE)</f>
        <v>0.98</v>
      </c>
      <c r="G999" s="97">
        <f ca="1">VLOOKUP(D999,[2]属性!$A:$F,4,FALSE)</f>
        <v>1</v>
      </c>
      <c r="H999" s="9" t="str">
        <f ca="1">VLOOKUP(A999,[2]characters!$A:$K,11,FALSE)</f>
        <v>hp</v>
      </c>
      <c r="I999" s="6" t="str">
        <f ca="1">VLOOKUP(H999,[2]character_type_i18n!$A:$F,3,FALSE)</f>
        <v>体力タイプ</v>
      </c>
      <c r="J999" s="97">
        <f ca="1">VLOOKUP(H999,[2]character_type_i18n!$A:$F,4,FALSE)</f>
        <v>1.45</v>
      </c>
      <c r="K999" s="97">
        <f ca="1">VLOOKUP(H999,[2]character_type_i18n!$A:$F,5,FALSE)</f>
        <v>0.85</v>
      </c>
      <c r="L999" s="97">
        <f ca="1">VLOOKUP(H999,[2]character_type_i18n!$A:$F,6,FALSE)</f>
        <v>1</v>
      </c>
      <c r="M999" s="9" t="str">
        <f ca="1">VLOOKUP(A999,[2]characters!$A:$M,13,FALSE)</f>
        <v>human</v>
      </c>
      <c r="N999" s="6" t="str">
        <f ca="1">VLOOKUP(M999,[2]character_tribe_i18n!$A:$F,3,FALSE)</f>
        <v>ヒューマン</v>
      </c>
      <c r="O999" s="97">
        <f ca="1">VLOOKUP(M999,[2]character_tribe_i18n!$A:$F,4,FALSE)</f>
        <v>0.94</v>
      </c>
      <c r="P999" s="97">
        <f ca="1">VLOOKUP(M999,[2]character_tribe_i18n!$A:$F,5,FALSE)</f>
        <v>0.99</v>
      </c>
      <c r="Q999" s="97">
        <f ca="1">VLOOKUP(M999,[2]character_tribe_i18n!$A:$F,6,FALSE)</f>
        <v>1</v>
      </c>
      <c r="R999" s="98" t="s">
        <v>98</v>
      </c>
      <c r="S999" s="97">
        <f>VLOOKUP($R999,ラベル別係数!$A$1:$E$7,3,FALSE)</f>
        <v>5</v>
      </c>
      <c r="T999" s="97">
        <f>VLOOKUP($R999,ラベル別係数!$A$1:$E$7,4,FALSE)</f>
        <v>1.3</v>
      </c>
      <c r="U999" s="97">
        <f>VLOOKUP($R999,ラベル別係数!$A$1:$E$7,5,FALSE)</f>
        <v>0.8</v>
      </c>
      <c r="V999" s="98">
        <v>3</v>
      </c>
      <c r="W999" s="99">
        <f>VLOOKUP(V999,ターン数別攻撃係数!$A$1:$B$1000,2,FALSE)</f>
        <v>1</v>
      </c>
      <c r="X999" s="9">
        <f ca="1">VLOOKUP(C999,サイズ別係数!A$2:B$9,2,FALSE)</f>
        <v>30</v>
      </c>
      <c r="Y999" s="97">
        <f ca="1">VLOOKUP($X999,サイズ別係数!$B:$E,2,FALSE)</f>
        <v>1.3</v>
      </c>
      <c r="Z999" s="97">
        <f ca="1">VLOOKUP($X999,サイズ別係数!$B:$E,3,FALSE)</f>
        <v>1.3</v>
      </c>
      <c r="AA999" s="97">
        <f ca="1">VLOOKUP($X999,サイズ別係数!$B:$E,4,FALSE)</f>
        <v>1.1000000000000001</v>
      </c>
      <c r="AB999" s="10">
        <v>0</v>
      </c>
      <c r="AC999" s="6" t="str">
        <f ca="1">VLOOKUP($AB999,OFFSET([3]enemy_skill_sets!$B$2,0,0,COUNTA([3]enemy_skill_sets!$A:$A),MATCH(AC$1,[3]enemy_skill_sets!$1:$1,0)-MATCH($AB$1,[3]enemy_skill_sets!$1:$1,0)+1),MATCH(AC$1,[3]enemy_skill_sets!$1:$1,0)-MATCH($AB$1,[3]enemy_skill_sets!$1:$1,0)+1,FALSE)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999" s="67">
        <v>1</v>
      </c>
      <c r="AE999" s="67">
        <v>1</v>
      </c>
      <c r="AF999" s="68">
        <v>0</v>
      </c>
      <c r="AG999" s="99">
        <f ca="1">ROUND(VLOOKUP(1,enemy_base_stats!$A:$F,2,FALSE) * Y999* J999*O999*E999*S999*AD999*[2]ステータス!$B$2,0)</f>
        <v>4430</v>
      </c>
      <c r="AH999" s="99">
        <f ca="1">ROUND(VLOOKUP(1,enemy_base_stats!$A:$F,3,FALSE) * Z999*K999*P999*F999*T999*AE999 * W999*[2]ステータス!$C$2,0)</f>
        <v>209</v>
      </c>
      <c r="AI999" s="99">
        <f ca="1">ROUND(VLOOKUP(1,enemy_base_stats!$A:$F,4,FALSE) * AA999*L999*Q999*G999*U999*AF999*[2]ステータス!$D$2,0)</f>
        <v>0</v>
      </c>
      <c r="AJ999" s="99">
        <f ca="1">ROUND(VLOOKUP(100,enemy_base_stats!$A:$F,2,FALSE) * Y999* J999*O999*E999*S999*AD999*[2]ステータス!$B$2,0)</f>
        <v>179848</v>
      </c>
      <c r="AK999" s="99">
        <f ca="1">ROUND(VLOOKUP(100,enemy_base_stats!$A:$F,3,FALSE)* Z999* K999*P999*F999*T999*AE999 * W999*[2]ステータス!$C$2,0)</f>
        <v>8488</v>
      </c>
      <c r="AL999" s="99">
        <f ca="1">ROUND(VLOOKUP(100,enemy_base_stats!$A:$F,4,FALSE)* AA999* L999*Q999*G999*U999*AF999*[2]ステータス!$D$2,0)</f>
        <v>0</v>
      </c>
      <c r="AM999" s="97">
        <f ca="1">VLOOKUP(M999,[2]character_tribe_i18n!$A:$I,9,FALSE)</f>
        <v>400</v>
      </c>
      <c r="AN999" s="97">
        <v>0</v>
      </c>
      <c r="AO999" s="98">
        <v>0</v>
      </c>
      <c r="AP999" s="58" t="s">
        <v>72</v>
      </c>
      <c r="AQ999" s="34">
        <f t="shared" ca="1" si="56"/>
        <v>998</v>
      </c>
    </row>
    <row r="1000" spans="1:43" ht="21" customHeight="1" x14ac:dyDescent="0.15">
      <c r="A1000" s="7">
        <f t="shared" ca="1" si="54"/>
        <v>999</v>
      </c>
      <c r="B1000" s="6" t="str">
        <f ca="1">VLOOKUP(A1000,[2]characters!$A:$C,3,FALSE)</f>
        <v>無尽蔵の食猟 サシャ</v>
      </c>
      <c r="C1000" s="9">
        <f ca="1">VLOOKUP(A1000,[2]characters!$A:$I,9,FALSE)</f>
        <v>5</v>
      </c>
      <c r="D1000" s="9" t="str">
        <f ca="1">VLOOKUP(A1000,[2]characters!$A:$H,8,FALSE)</f>
        <v>blue</v>
      </c>
      <c r="E1000" s="97">
        <f ca="1">VLOOKUP(D1000,[2]属性!$A:$E,2,FALSE)</f>
        <v>1</v>
      </c>
      <c r="F1000" s="97">
        <f ca="1">VLOOKUP(D1000,[2]属性!$A:$E,3,FALSE)</f>
        <v>0.98</v>
      </c>
      <c r="G1000" s="97">
        <f ca="1">VLOOKUP(D1000,[2]属性!$A:$F,4,FALSE)</f>
        <v>1</v>
      </c>
      <c r="H1000" s="9" t="str">
        <f ca="1">VLOOKUP(A1000,[2]characters!$A:$K,11,FALSE)</f>
        <v>hp</v>
      </c>
      <c r="I1000" s="6" t="str">
        <f ca="1">VLOOKUP(H1000,[2]character_type_i18n!$A:$F,3,FALSE)</f>
        <v>体力タイプ</v>
      </c>
      <c r="J1000" s="97">
        <f ca="1">VLOOKUP(H1000,[2]character_type_i18n!$A:$F,4,FALSE)</f>
        <v>1.45</v>
      </c>
      <c r="K1000" s="97">
        <f ca="1">VLOOKUP(H1000,[2]character_type_i18n!$A:$F,5,FALSE)</f>
        <v>0.85</v>
      </c>
      <c r="L1000" s="97">
        <f ca="1">VLOOKUP(H1000,[2]character_type_i18n!$A:$F,6,FALSE)</f>
        <v>1</v>
      </c>
      <c r="M1000" s="9" t="str">
        <f ca="1">VLOOKUP(A1000,[2]characters!$A:$M,13,FALSE)</f>
        <v>human</v>
      </c>
      <c r="N1000" s="6" t="str">
        <f ca="1">VLOOKUP(M1000,[2]character_tribe_i18n!$A:$F,3,FALSE)</f>
        <v>ヒューマン</v>
      </c>
      <c r="O1000" s="97">
        <f ca="1">VLOOKUP(M1000,[2]character_tribe_i18n!$A:$F,4,FALSE)</f>
        <v>0.94</v>
      </c>
      <c r="P1000" s="97">
        <f ca="1">VLOOKUP(M1000,[2]character_tribe_i18n!$A:$F,5,FALSE)</f>
        <v>0.99</v>
      </c>
      <c r="Q1000" s="97">
        <f ca="1">VLOOKUP(M1000,[2]character_tribe_i18n!$A:$F,6,FALSE)</f>
        <v>1</v>
      </c>
      <c r="R1000" s="98" t="s">
        <v>98</v>
      </c>
      <c r="S1000" s="97">
        <f>VLOOKUP($R1000,ラベル別係数!$A$1:$E$7,3,FALSE)</f>
        <v>5</v>
      </c>
      <c r="T1000" s="97">
        <f>VLOOKUP($R1000,ラベル別係数!$A$1:$E$7,4,FALSE)</f>
        <v>1.3</v>
      </c>
      <c r="U1000" s="97">
        <f>VLOOKUP($R1000,ラベル別係数!$A$1:$E$7,5,FALSE)</f>
        <v>0.8</v>
      </c>
      <c r="V1000" s="98">
        <v>3</v>
      </c>
      <c r="W1000" s="99">
        <f>VLOOKUP(V1000,ターン数別攻撃係数!$A$1:$B$1000,2,FALSE)</f>
        <v>1</v>
      </c>
      <c r="X1000" s="9">
        <f ca="1">VLOOKUP(C1000,サイズ別係数!A$2:B$9,2,FALSE)</f>
        <v>60</v>
      </c>
      <c r="Y1000" s="97">
        <f ca="1">VLOOKUP($X1000,サイズ別係数!$B:$E,2,FALSE)</f>
        <v>1.7</v>
      </c>
      <c r="Z1000" s="97">
        <f ca="1">VLOOKUP($X1000,サイズ別係数!$B:$E,3,FALSE)</f>
        <v>1.4</v>
      </c>
      <c r="AA1000" s="97">
        <f ca="1">VLOOKUP($X1000,サイズ別係数!$B:$E,4,FALSE)</f>
        <v>1</v>
      </c>
      <c r="AB1000" s="10">
        <v>0</v>
      </c>
      <c r="AC1000" s="6" t="str">
        <f ca="1">VLOOKUP($AB1000,OFFSET([3]enemy_skill_sets!$B$2,0,0,COUNTA([3]enemy_skill_sets!$A:$A),MATCH(AC$1,[3]enemy_skill_sets!$1:$1,0)-MATCH($AB$1,[3]enemy_skill_sets!$1:$1,0)+1),MATCH(AC$1,[3]enemy_skill_sets!$1:$1,0)-MATCH($AB$1,[3]enemy_skill_sets!$1:$1,0)+1,FALSE)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0" s="67">
        <v>1</v>
      </c>
      <c r="AE1000" s="67">
        <v>1</v>
      </c>
      <c r="AF1000" s="68">
        <v>0</v>
      </c>
      <c r="AG1000" s="99">
        <f ca="1">ROUND(VLOOKUP(1,enemy_base_stats!$A:$F,2,FALSE) * Y1000* J1000*O1000*E1000*S1000*AD1000*[2]ステータス!$B$2,0)</f>
        <v>5793</v>
      </c>
      <c r="AH1000" s="99">
        <f ca="1">ROUND(VLOOKUP(1,enemy_base_stats!$A:$F,3,FALSE) * Z1000*K1000*P1000*F1000*T1000*AE1000 * W1000*[2]ステータス!$C$2,0)</f>
        <v>225</v>
      </c>
      <c r="AI1000" s="99">
        <f ca="1">ROUND(VLOOKUP(1,enemy_base_stats!$A:$F,4,FALSE) * AA1000*L1000*Q1000*G1000*U1000*AF1000*[2]ステータス!$D$2,0)</f>
        <v>0</v>
      </c>
      <c r="AJ1000" s="99">
        <f ca="1">ROUND(VLOOKUP(100,enemy_base_stats!$A:$F,2,FALSE) * Y1000* J1000*O1000*E1000*S1000*AD1000*[2]ステータス!$B$2,0)</f>
        <v>235186</v>
      </c>
      <c r="AK1000" s="99">
        <f ca="1">ROUND(VLOOKUP(100,enemy_base_stats!$A:$F,3,FALSE)* Z1000* K1000*P1000*F1000*T1000*AE1000 * W1000*[2]ステータス!$C$2,0)</f>
        <v>9140</v>
      </c>
      <c r="AL1000" s="99">
        <f ca="1">ROUND(VLOOKUP(100,enemy_base_stats!$A:$F,4,FALSE)* AA1000* L1000*Q1000*G1000*U1000*AF1000*[2]ステータス!$D$2,0)</f>
        <v>0</v>
      </c>
      <c r="AM1000" s="97">
        <f ca="1">VLOOKUP(M1000,[2]character_tribe_i18n!$A:$I,9,FALSE)</f>
        <v>400</v>
      </c>
      <c r="AN1000" s="97">
        <v>0</v>
      </c>
      <c r="AO1000" s="98">
        <v>0</v>
      </c>
      <c r="AP1000" s="58" t="s">
        <v>72</v>
      </c>
      <c r="AQ1000" s="34">
        <f t="shared" ca="1" si="56"/>
        <v>999</v>
      </c>
    </row>
    <row r="1001" spans="1:43" ht="21" customHeight="1" x14ac:dyDescent="0.15">
      <c r="A1001" s="7">
        <f t="shared" ca="1" si="54"/>
        <v>1000</v>
      </c>
      <c r="B1001" s="6" t="str">
        <f ca="1">VLOOKUP(A1001,[2]characters!$A:$C,3,FALSE)</f>
        <v>クリスタ</v>
      </c>
      <c r="C1001" s="9">
        <f ca="1">VLOOKUP(A1001,[2]characters!$A:$I,9,FALSE)</f>
        <v>4</v>
      </c>
      <c r="D1001" s="9" t="str">
        <f ca="1">VLOOKUP(A1001,[2]characters!$A:$H,8,FALSE)</f>
        <v>yellow</v>
      </c>
      <c r="E1001" s="97">
        <f ca="1">VLOOKUP(D1001,[2]属性!$A:$E,2,FALSE)</f>
        <v>0.98</v>
      </c>
      <c r="F1001" s="97">
        <f ca="1">VLOOKUP(D1001,[2]属性!$A:$E,3,FALSE)</f>
        <v>1.01</v>
      </c>
      <c r="G1001" s="97">
        <f ca="1">VLOOKUP(D1001,[2]属性!$A:$F,4,FALSE)</f>
        <v>1</v>
      </c>
      <c r="H1001" s="9" t="str">
        <f ca="1">VLOOKUP(A1001,[2]characters!$A:$K,11,FALSE)</f>
        <v>heal</v>
      </c>
      <c r="I1001" s="6" t="str">
        <f ca="1">VLOOKUP(H1001,[2]character_type_i18n!$A:$F,3,FALSE)</f>
        <v>回復タイプ</v>
      </c>
      <c r="J1001" s="97">
        <f ca="1">VLOOKUP(H1001,[2]character_type_i18n!$A:$F,4,FALSE)</f>
        <v>0.8</v>
      </c>
      <c r="K1001" s="97">
        <f ca="1">VLOOKUP(H1001,[2]character_type_i18n!$A:$F,5,FALSE)</f>
        <v>0.78</v>
      </c>
      <c r="L1001" s="97">
        <f ca="1">VLOOKUP(H1001,[2]character_type_i18n!$A:$F,6,FALSE)</f>
        <v>1</v>
      </c>
      <c r="M1001" s="9" t="str">
        <f ca="1">VLOOKUP(A1001,[2]characters!$A:$M,13,FALSE)</f>
        <v>human</v>
      </c>
      <c r="N1001" s="6" t="str">
        <f ca="1">VLOOKUP(M1001,[2]character_tribe_i18n!$A:$F,3,FALSE)</f>
        <v>ヒューマン</v>
      </c>
      <c r="O1001" s="97">
        <f ca="1">VLOOKUP(M1001,[2]character_tribe_i18n!$A:$F,4,FALSE)</f>
        <v>0.94</v>
      </c>
      <c r="P1001" s="97">
        <f ca="1">VLOOKUP(M1001,[2]character_tribe_i18n!$A:$F,5,FALSE)</f>
        <v>0.99</v>
      </c>
      <c r="Q1001" s="97">
        <f ca="1">VLOOKUP(M1001,[2]character_tribe_i18n!$A:$F,6,FALSE)</f>
        <v>1</v>
      </c>
      <c r="R1001" s="98" t="s">
        <v>98</v>
      </c>
      <c r="S1001" s="97">
        <f>VLOOKUP($R1001,ラベル別係数!$A$1:$E$7,3,FALSE)</f>
        <v>5</v>
      </c>
      <c r="T1001" s="97">
        <f>VLOOKUP($R1001,ラベル別係数!$A$1:$E$7,4,FALSE)</f>
        <v>1.3</v>
      </c>
      <c r="U1001" s="97">
        <f>VLOOKUP($R1001,ラベル別係数!$A$1:$E$7,5,FALSE)</f>
        <v>0.8</v>
      </c>
      <c r="V1001" s="98">
        <v>3</v>
      </c>
      <c r="W1001" s="99">
        <f>VLOOKUP(V1001,ターン数別攻撃係数!$A$1:$B$1000,2,FALSE)</f>
        <v>1</v>
      </c>
      <c r="X1001" s="9">
        <f ca="1">VLOOKUP(C1001,サイズ別係数!A$2:B$9,2,FALSE)</f>
        <v>30</v>
      </c>
      <c r="Y1001" s="97">
        <f ca="1">VLOOKUP($X1001,サイズ別係数!$B:$E,2,FALSE)</f>
        <v>1.3</v>
      </c>
      <c r="Z1001" s="97">
        <f ca="1">VLOOKUP($X1001,サイズ別係数!$B:$E,3,FALSE)</f>
        <v>1.3</v>
      </c>
      <c r="AA1001" s="97">
        <f ca="1">VLOOKUP($X1001,サイズ別係数!$B:$E,4,FALSE)</f>
        <v>1.1000000000000001</v>
      </c>
      <c r="AB1001" s="10">
        <v>0</v>
      </c>
      <c r="AC1001" s="6" t="str">
        <f ca="1">VLOOKUP($AB1001,OFFSET([3]enemy_skill_sets!$B$2,0,0,COUNTA([3]enemy_skill_sets!$A:$A),MATCH(AC$1,[3]enemy_skill_sets!$1:$1,0)-MATCH($AB$1,[3]enemy_skill_sets!$1:$1,0)+1),MATCH(AC$1,[3]enemy_skill_sets!$1:$1,0)-MATCH($AB$1,[3]enemy_skill_sets!$1:$1,0)+1,FALSE)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1" s="67">
        <v>1</v>
      </c>
      <c r="AE1001" s="67">
        <v>1</v>
      </c>
      <c r="AF1001" s="68">
        <v>0</v>
      </c>
      <c r="AG1001" s="99">
        <f ca="1">ROUND(VLOOKUP(1,enemy_base_stats!$A:$F,2,FALSE) * Y1001* J1001*O1001*E1001*S1001*AD1001*[2]ステータス!$B$2,0)</f>
        <v>2395</v>
      </c>
      <c r="AH1001" s="99">
        <f ca="1">ROUND(VLOOKUP(1,enemy_base_stats!$A:$F,3,FALSE) * Z1001*K1001*P1001*F1001*T1001*AE1001 * W1001*[2]ステータス!$C$2,0)</f>
        <v>198</v>
      </c>
      <c r="AI1001" s="99">
        <f ca="1">ROUND(VLOOKUP(1,enemy_base_stats!$A:$F,4,FALSE) * AA1001*L1001*Q1001*G1001*U1001*AF1001*[2]ステータス!$D$2,0)</f>
        <v>0</v>
      </c>
      <c r="AJ1001" s="99">
        <f ca="1">ROUND(VLOOKUP(100,enemy_base_stats!$A:$F,2,FALSE) * Y1001* J1001*O1001*E1001*S1001*AD1001*[2]ステータス!$B$2,0)</f>
        <v>97242</v>
      </c>
      <c r="AK1001" s="99">
        <f ca="1">ROUND(VLOOKUP(100,enemy_base_stats!$A:$F,3,FALSE)* Z1001* K1001*P1001*F1001*T1001*AE1001 * W1001*[2]ステータス!$C$2,0)</f>
        <v>8027</v>
      </c>
      <c r="AL1001" s="99">
        <f ca="1">ROUND(VLOOKUP(100,enemy_base_stats!$A:$F,4,FALSE)* AA1001* L1001*Q1001*G1001*U1001*AF1001*[2]ステータス!$D$2,0)</f>
        <v>0</v>
      </c>
      <c r="AM1001" s="97">
        <f ca="1">VLOOKUP(M1001,[2]character_tribe_i18n!$A:$I,9,FALSE)</f>
        <v>400</v>
      </c>
      <c r="AN1001" s="97">
        <v>0</v>
      </c>
      <c r="AO1001" s="98">
        <v>0</v>
      </c>
      <c r="AP1001" s="58" t="s">
        <v>72</v>
      </c>
      <c r="AQ1001" s="34">
        <f t="shared" ca="1" si="56"/>
        <v>1000</v>
      </c>
    </row>
    <row r="1002" spans="1:43" ht="21" customHeight="1" x14ac:dyDescent="0.15">
      <c r="A1002" s="7">
        <f t="shared" ca="1" si="54"/>
        <v>1001</v>
      </c>
      <c r="B1002" s="6" t="str">
        <f ca="1">VLOOKUP(A1002,[2]characters!$A:$C,3,FALSE)</f>
        <v>細愛の女神 クリスタ</v>
      </c>
      <c r="C1002" s="9">
        <f ca="1">VLOOKUP(A1002,[2]characters!$A:$I,9,FALSE)</f>
        <v>5</v>
      </c>
      <c r="D1002" s="9" t="str">
        <f ca="1">VLOOKUP(A1002,[2]characters!$A:$H,8,FALSE)</f>
        <v>yellow</v>
      </c>
      <c r="E1002" s="97">
        <f ca="1">VLOOKUP(D1002,[2]属性!$A:$E,2,FALSE)</f>
        <v>0.98</v>
      </c>
      <c r="F1002" s="97">
        <f ca="1">VLOOKUP(D1002,[2]属性!$A:$E,3,FALSE)</f>
        <v>1.01</v>
      </c>
      <c r="G1002" s="97">
        <f ca="1">VLOOKUP(D1002,[2]属性!$A:$F,4,FALSE)</f>
        <v>1</v>
      </c>
      <c r="H1002" s="9" t="str">
        <f ca="1">VLOOKUP(A1002,[2]characters!$A:$K,11,FALSE)</f>
        <v>heal</v>
      </c>
      <c r="I1002" s="6" t="str">
        <f ca="1">VLOOKUP(H1002,[2]character_type_i18n!$A:$F,3,FALSE)</f>
        <v>回復タイプ</v>
      </c>
      <c r="J1002" s="97">
        <f ca="1">VLOOKUP(H1002,[2]character_type_i18n!$A:$F,4,FALSE)</f>
        <v>0.8</v>
      </c>
      <c r="K1002" s="97">
        <f ca="1">VLOOKUP(H1002,[2]character_type_i18n!$A:$F,5,FALSE)</f>
        <v>0.78</v>
      </c>
      <c r="L1002" s="97">
        <f ca="1">VLOOKUP(H1002,[2]character_type_i18n!$A:$F,6,FALSE)</f>
        <v>1</v>
      </c>
      <c r="M1002" s="9" t="str">
        <f ca="1">VLOOKUP(A1002,[2]characters!$A:$M,13,FALSE)</f>
        <v>human</v>
      </c>
      <c r="N1002" s="6" t="str">
        <f ca="1">VLOOKUP(M1002,[2]character_tribe_i18n!$A:$F,3,FALSE)</f>
        <v>ヒューマン</v>
      </c>
      <c r="O1002" s="97">
        <f ca="1">VLOOKUP(M1002,[2]character_tribe_i18n!$A:$F,4,FALSE)</f>
        <v>0.94</v>
      </c>
      <c r="P1002" s="97">
        <f ca="1">VLOOKUP(M1002,[2]character_tribe_i18n!$A:$F,5,FALSE)</f>
        <v>0.99</v>
      </c>
      <c r="Q1002" s="97">
        <f ca="1">VLOOKUP(M1002,[2]character_tribe_i18n!$A:$F,6,FALSE)</f>
        <v>1</v>
      </c>
      <c r="R1002" s="98" t="s">
        <v>98</v>
      </c>
      <c r="S1002" s="97">
        <f>VLOOKUP($R1002,ラベル別係数!$A$1:$E$7,3,FALSE)</f>
        <v>5</v>
      </c>
      <c r="T1002" s="97">
        <f>VLOOKUP($R1002,ラベル別係数!$A$1:$E$7,4,FALSE)</f>
        <v>1.3</v>
      </c>
      <c r="U1002" s="97">
        <f>VLOOKUP($R1002,ラベル別係数!$A$1:$E$7,5,FALSE)</f>
        <v>0.8</v>
      </c>
      <c r="V1002" s="98">
        <v>3</v>
      </c>
      <c r="W1002" s="99">
        <f>VLOOKUP(V1002,ターン数別攻撃係数!$A$1:$B$1000,2,FALSE)</f>
        <v>1</v>
      </c>
      <c r="X1002" s="9">
        <f ca="1">VLOOKUP(C1002,サイズ別係数!A$2:B$9,2,FALSE)</f>
        <v>60</v>
      </c>
      <c r="Y1002" s="97">
        <f ca="1">VLOOKUP($X1002,サイズ別係数!$B:$E,2,FALSE)</f>
        <v>1.7</v>
      </c>
      <c r="Z1002" s="97">
        <f ca="1">VLOOKUP($X1002,サイズ別係数!$B:$E,3,FALSE)</f>
        <v>1.4</v>
      </c>
      <c r="AA1002" s="97">
        <f ca="1">VLOOKUP($X1002,サイズ別係数!$B:$E,4,FALSE)</f>
        <v>1</v>
      </c>
      <c r="AB1002" s="10">
        <v>0</v>
      </c>
      <c r="AC1002" s="6" t="str">
        <f ca="1">VLOOKUP($AB1002,OFFSET([3]enemy_skill_sets!$B$2,0,0,COUNTA([3]enemy_skill_sets!$A:$A),MATCH(AC$1,[3]enemy_skill_sets!$1:$1,0)-MATCH($AB$1,[3]enemy_skill_sets!$1:$1,0)+1),MATCH(AC$1,[3]enemy_skill_sets!$1:$1,0)-MATCH($AB$1,[3]enemy_skill_sets!$1:$1,0)+1,FALSE)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2" s="67">
        <v>1</v>
      </c>
      <c r="AE1002" s="67">
        <v>1</v>
      </c>
      <c r="AF1002" s="68">
        <v>0</v>
      </c>
      <c r="AG1002" s="99">
        <f ca="1">ROUND(VLOOKUP(1,enemy_base_stats!$A:$F,2,FALSE) * Y1002* J1002*O1002*E1002*S1002*AD1002*[2]ステータス!$B$2,0)</f>
        <v>3132</v>
      </c>
      <c r="AH1002" s="99">
        <f ca="1">ROUND(VLOOKUP(1,enemy_base_stats!$A:$F,3,FALSE) * Z1002*K1002*P1002*F1002*T1002*AE1002 * W1002*[2]ステータス!$C$2,0)</f>
        <v>213</v>
      </c>
      <c r="AI1002" s="99">
        <f ca="1">ROUND(VLOOKUP(1,enemy_base_stats!$A:$F,4,FALSE) * AA1002*L1002*Q1002*G1002*U1002*AF1002*[2]ステータス!$D$2,0)</f>
        <v>0</v>
      </c>
      <c r="AJ1002" s="99">
        <f ca="1">ROUND(VLOOKUP(100,enemy_base_stats!$A:$F,2,FALSE) * Y1002* J1002*O1002*E1002*S1002*AD1002*[2]ステータス!$B$2,0)</f>
        <v>127162</v>
      </c>
      <c r="AK1002" s="99">
        <f ca="1">ROUND(VLOOKUP(100,enemy_base_stats!$A:$F,3,FALSE)* Z1002* K1002*P1002*F1002*T1002*AE1002 * W1002*[2]ステータス!$C$2,0)</f>
        <v>8644</v>
      </c>
      <c r="AL1002" s="99">
        <f ca="1">ROUND(VLOOKUP(100,enemy_base_stats!$A:$F,4,FALSE)* AA1002* L1002*Q1002*G1002*U1002*AF1002*[2]ステータス!$D$2,0)</f>
        <v>0</v>
      </c>
      <c r="AM1002" s="97">
        <f ca="1">VLOOKUP(M1002,[2]character_tribe_i18n!$A:$I,9,FALSE)</f>
        <v>400</v>
      </c>
      <c r="AN1002" s="97">
        <v>0</v>
      </c>
      <c r="AO1002" s="98">
        <v>0</v>
      </c>
      <c r="AP1002" s="58" t="s">
        <v>72</v>
      </c>
      <c r="AQ1002" s="34">
        <f t="shared" ca="1" si="56"/>
        <v>1001</v>
      </c>
    </row>
    <row r="1003" spans="1:43" ht="21" customHeight="1" x14ac:dyDescent="0.15">
      <c r="A1003" s="7">
        <f t="shared" ca="1" si="54"/>
        <v>1002</v>
      </c>
      <c r="B1003" s="6" t="str">
        <f ca="1">VLOOKUP(A1003,[2]characters!$A:$C,3,FALSE)</f>
        <v>ジャン</v>
      </c>
      <c r="C1003" s="9">
        <f ca="1">VLOOKUP(A1003,[2]characters!$A:$I,9,FALSE)</f>
        <v>4</v>
      </c>
      <c r="D1003" s="9" t="str">
        <f ca="1">VLOOKUP(A1003,[2]characters!$A:$H,8,FALSE)</f>
        <v>yellow</v>
      </c>
      <c r="E1003" s="97">
        <f ca="1">VLOOKUP(D1003,[2]属性!$A:$E,2,FALSE)</f>
        <v>0.98</v>
      </c>
      <c r="F1003" s="97">
        <f ca="1">VLOOKUP(D1003,[2]属性!$A:$E,3,FALSE)</f>
        <v>1.01</v>
      </c>
      <c r="G1003" s="97">
        <f ca="1">VLOOKUP(D1003,[2]属性!$A:$F,4,FALSE)</f>
        <v>1</v>
      </c>
      <c r="H1003" s="9" t="str">
        <f ca="1">VLOOKUP(A1003,[2]characters!$A:$K,11,FALSE)</f>
        <v>balance</v>
      </c>
      <c r="I1003" s="6" t="str">
        <f ca="1">VLOOKUP(H1003,[2]character_type_i18n!$A:$F,3,FALSE)</f>
        <v>バランスタイプ</v>
      </c>
      <c r="J1003" s="97">
        <f ca="1">VLOOKUP(H1003,[2]character_type_i18n!$A:$F,4,FALSE)</f>
        <v>1</v>
      </c>
      <c r="K1003" s="97">
        <f ca="1">VLOOKUP(H1003,[2]character_type_i18n!$A:$F,5,FALSE)</f>
        <v>1</v>
      </c>
      <c r="L1003" s="97">
        <f ca="1">VLOOKUP(H1003,[2]character_type_i18n!$A:$F,6,FALSE)</f>
        <v>1</v>
      </c>
      <c r="M1003" s="9" t="str">
        <f ca="1">VLOOKUP(A1003,[2]characters!$A:$M,13,FALSE)</f>
        <v>human</v>
      </c>
      <c r="N1003" s="6" t="str">
        <f ca="1">VLOOKUP(M1003,[2]character_tribe_i18n!$A:$F,3,FALSE)</f>
        <v>ヒューマン</v>
      </c>
      <c r="O1003" s="97">
        <f ca="1">VLOOKUP(M1003,[2]character_tribe_i18n!$A:$F,4,FALSE)</f>
        <v>0.94</v>
      </c>
      <c r="P1003" s="97">
        <f ca="1">VLOOKUP(M1003,[2]character_tribe_i18n!$A:$F,5,FALSE)</f>
        <v>0.99</v>
      </c>
      <c r="Q1003" s="97">
        <f ca="1">VLOOKUP(M1003,[2]character_tribe_i18n!$A:$F,6,FALSE)</f>
        <v>1</v>
      </c>
      <c r="R1003" s="98" t="s">
        <v>98</v>
      </c>
      <c r="S1003" s="97">
        <f>VLOOKUP($R1003,ラベル別係数!$A$1:$E$7,3,FALSE)</f>
        <v>5</v>
      </c>
      <c r="T1003" s="97">
        <f>VLOOKUP($R1003,ラベル別係数!$A$1:$E$7,4,FALSE)</f>
        <v>1.3</v>
      </c>
      <c r="U1003" s="97">
        <f>VLOOKUP($R1003,ラベル別係数!$A$1:$E$7,5,FALSE)</f>
        <v>0.8</v>
      </c>
      <c r="V1003" s="98">
        <v>3</v>
      </c>
      <c r="W1003" s="99">
        <f>VLOOKUP(V1003,ターン数別攻撃係数!$A$1:$B$1000,2,FALSE)</f>
        <v>1</v>
      </c>
      <c r="X1003" s="9">
        <f ca="1">VLOOKUP(C1003,サイズ別係数!A$2:B$9,2,FALSE)</f>
        <v>30</v>
      </c>
      <c r="Y1003" s="97">
        <f ca="1">VLOOKUP($X1003,サイズ別係数!$B:$E,2,FALSE)</f>
        <v>1.3</v>
      </c>
      <c r="Z1003" s="97">
        <f ca="1">VLOOKUP($X1003,サイズ別係数!$B:$E,3,FALSE)</f>
        <v>1.3</v>
      </c>
      <c r="AA1003" s="97">
        <f ca="1">VLOOKUP($X1003,サイズ別係数!$B:$E,4,FALSE)</f>
        <v>1.1000000000000001</v>
      </c>
      <c r="AB1003" s="10">
        <v>0</v>
      </c>
      <c r="AC1003" s="6" t="str">
        <f ca="1">VLOOKUP($AB1003,OFFSET([3]enemy_skill_sets!$B$2,0,0,COUNTA([3]enemy_skill_sets!$A:$A),MATCH(AC$1,[3]enemy_skill_sets!$1:$1,0)-MATCH($AB$1,[3]enemy_skill_sets!$1:$1,0)+1),MATCH(AC$1,[3]enemy_skill_sets!$1:$1,0)-MATCH($AB$1,[3]enemy_skill_sets!$1:$1,0)+1,FALSE)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3" s="67">
        <v>1</v>
      </c>
      <c r="AE1003" s="67">
        <v>1</v>
      </c>
      <c r="AF1003" s="68">
        <v>0</v>
      </c>
      <c r="AG1003" s="99">
        <f ca="1">ROUND(VLOOKUP(1,enemy_base_stats!$A:$F,2,FALSE) * Y1003* J1003*O1003*E1003*S1003*AD1003*[2]ステータス!$B$2,0)</f>
        <v>2994</v>
      </c>
      <c r="AH1003" s="99">
        <f ca="1">ROUND(VLOOKUP(1,enemy_base_stats!$A:$F,3,FALSE) * Z1003*K1003*P1003*F1003*T1003*AE1003 * W1003*[2]ステータス!$C$2,0)</f>
        <v>253</v>
      </c>
      <c r="AI1003" s="99">
        <f ca="1">ROUND(VLOOKUP(1,enemy_base_stats!$A:$F,4,FALSE) * AA1003*L1003*Q1003*G1003*U1003*AF1003*[2]ステータス!$D$2,0)</f>
        <v>0</v>
      </c>
      <c r="AJ1003" s="99">
        <f ca="1">ROUND(VLOOKUP(100,enemy_base_stats!$A:$F,2,FALSE) * Y1003* J1003*O1003*E1003*S1003*AD1003*[2]ステータス!$B$2,0)</f>
        <v>121552</v>
      </c>
      <c r="AK1003" s="99">
        <f ca="1">ROUND(VLOOKUP(100,enemy_base_stats!$A:$F,3,FALSE)* Z1003* K1003*P1003*F1003*T1003*AE1003 * W1003*[2]ステータス!$C$2,0)</f>
        <v>10291</v>
      </c>
      <c r="AL1003" s="99">
        <f ca="1">ROUND(VLOOKUP(100,enemy_base_stats!$A:$F,4,FALSE)* AA1003* L1003*Q1003*G1003*U1003*AF1003*[2]ステータス!$D$2,0)</f>
        <v>0</v>
      </c>
      <c r="AM1003" s="97">
        <f ca="1">VLOOKUP(M1003,[2]character_tribe_i18n!$A:$I,9,FALSE)</f>
        <v>400</v>
      </c>
      <c r="AN1003" s="97">
        <v>0</v>
      </c>
      <c r="AO1003" s="98">
        <v>0</v>
      </c>
      <c r="AP1003" s="58" t="s">
        <v>72</v>
      </c>
      <c r="AQ1003" s="34">
        <f t="shared" ca="1" si="56"/>
        <v>1002</v>
      </c>
    </row>
    <row r="1004" spans="1:43" ht="21" customHeight="1" x14ac:dyDescent="0.15">
      <c r="A1004" s="7">
        <f t="shared" ca="1" si="54"/>
        <v>1003</v>
      </c>
      <c r="B1004" s="6" t="str">
        <f ca="1">VLOOKUP(A1004,[2]characters!$A:$C,3,FALSE)</f>
        <v>真義の勇抱 ジャン</v>
      </c>
      <c r="C1004" s="9">
        <f ca="1">VLOOKUP(A1004,[2]characters!$A:$I,9,FALSE)</f>
        <v>5</v>
      </c>
      <c r="D1004" s="9" t="str">
        <f ca="1">VLOOKUP(A1004,[2]characters!$A:$H,8,FALSE)</f>
        <v>yellow</v>
      </c>
      <c r="E1004" s="97">
        <f ca="1">VLOOKUP(D1004,[2]属性!$A:$E,2,FALSE)</f>
        <v>0.98</v>
      </c>
      <c r="F1004" s="97">
        <f ca="1">VLOOKUP(D1004,[2]属性!$A:$E,3,FALSE)</f>
        <v>1.01</v>
      </c>
      <c r="G1004" s="97">
        <f ca="1">VLOOKUP(D1004,[2]属性!$A:$F,4,FALSE)</f>
        <v>1</v>
      </c>
      <c r="H1004" s="9" t="str">
        <f ca="1">VLOOKUP(A1004,[2]characters!$A:$K,11,FALSE)</f>
        <v>balance</v>
      </c>
      <c r="I1004" s="6" t="str">
        <f ca="1">VLOOKUP(H1004,[2]character_type_i18n!$A:$F,3,FALSE)</f>
        <v>バランスタイプ</v>
      </c>
      <c r="J1004" s="97">
        <f ca="1">VLOOKUP(H1004,[2]character_type_i18n!$A:$F,4,FALSE)</f>
        <v>1</v>
      </c>
      <c r="K1004" s="97">
        <f ca="1">VLOOKUP(H1004,[2]character_type_i18n!$A:$F,5,FALSE)</f>
        <v>1</v>
      </c>
      <c r="L1004" s="97">
        <f ca="1">VLOOKUP(H1004,[2]character_type_i18n!$A:$F,6,FALSE)</f>
        <v>1</v>
      </c>
      <c r="M1004" s="9" t="str">
        <f ca="1">VLOOKUP(A1004,[2]characters!$A:$M,13,FALSE)</f>
        <v>human</v>
      </c>
      <c r="N1004" s="6" t="str">
        <f ca="1">VLOOKUP(M1004,[2]character_tribe_i18n!$A:$F,3,FALSE)</f>
        <v>ヒューマン</v>
      </c>
      <c r="O1004" s="97">
        <f ca="1">VLOOKUP(M1004,[2]character_tribe_i18n!$A:$F,4,FALSE)</f>
        <v>0.94</v>
      </c>
      <c r="P1004" s="97">
        <f ca="1">VLOOKUP(M1004,[2]character_tribe_i18n!$A:$F,5,FALSE)</f>
        <v>0.99</v>
      </c>
      <c r="Q1004" s="97">
        <f ca="1">VLOOKUP(M1004,[2]character_tribe_i18n!$A:$F,6,FALSE)</f>
        <v>1</v>
      </c>
      <c r="R1004" s="98" t="s">
        <v>98</v>
      </c>
      <c r="S1004" s="97">
        <f>VLOOKUP($R1004,ラベル別係数!$A$1:$E$7,3,FALSE)</f>
        <v>5</v>
      </c>
      <c r="T1004" s="97">
        <f>VLOOKUP($R1004,ラベル別係数!$A$1:$E$7,4,FALSE)</f>
        <v>1.3</v>
      </c>
      <c r="U1004" s="97">
        <f>VLOOKUP($R1004,ラベル別係数!$A$1:$E$7,5,FALSE)</f>
        <v>0.8</v>
      </c>
      <c r="V1004" s="98">
        <v>3</v>
      </c>
      <c r="W1004" s="99">
        <f>VLOOKUP(V1004,ターン数別攻撃係数!$A$1:$B$1000,2,FALSE)</f>
        <v>1</v>
      </c>
      <c r="X1004" s="9">
        <f ca="1">VLOOKUP(C1004,サイズ別係数!A$2:B$9,2,FALSE)</f>
        <v>60</v>
      </c>
      <c r="Y1004" s="97">
        <f ca="1">VLOOKUP($X1004,サイズ別係数!$B:$E,2,FALSE)</f>
        <v>1.7</v>
      </c>
      <c r="Z1004" s="97">
        <f ca="1">VLOOKUP($X1004,サイズ別係数!$B:$E,3,FALSE)</f>
        <v>1.4</v>
      </c>
      <c r="AA1004" s="97">
        <f ca="1">VLOOKUP($X1004,サイズ別係数!$B:$E,4,FALSE)</f>
        <v>1</v>
      </c>
      <c r="AB1004" s="10">
        <v>0</v>
      </c>
      <c r="AC1004" s="6" t="str">
        <f ca="1">VLOOKUP($AB1004,OFFSET([3]enemy_skill_sets!$B$2,0,0,COUNTA([3]enemy_skill_sets!$A:$A),MATCH(AC$1,[3]enemy_skill_sets!$1:$1,0)-MATCH($AB$1,[3]enemy_skill_sets!$1:$1,0)+1),MATCH(AC$1,[3]enemy_skill_sets!$1:$1,0)-MATCH($AB$1,[3]enemy_skill_sets!$1:$1,0)+1,FALSE)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4" s="67">
        <v>1</v>
      </c>
      <c r="AE1004" s="67">
        <v>1</v>
      </c>
      <c r="AF1004" s="68">
        <v>0</v>
      </c>
      <c r="AG1004" s="99">
        <f ca="1">ROUND(VLOOKUP(1,enemy_base_stats!$A:$F,2,FALSE) * Y1004* J1004*O1004*E1004*S1004*AD1004*[2]ステータス!$B$2,0)</f>
        <v>3915</v>
      </c>
      <c r="AH1004" s="99">
        <f ca="1">ROUND(VLOOKUP(1,enemy_base_stats!$A:$F,3,FALSE) * Z1004*K1004*P1004*F1004*T1004*AE1004 * W1004*[2]ステータス!$C$2,0)</f>
        <v>273</v>
      </c>
      <c r="AI1004" s="99">
        <f ca="1">ROUND(VLOOKUP(1,enemy_base_stats!$A:$F,4,FALSE) * AA1004*L1004*Q1004*G1004*U1004*AF1004*[2]ステータス!$D$2,0)</f>
        <v>0</v>
      </c>
      <c r="AJ1004" s="99">
        <f ca="1">ROUND(VLOOKUP(100,enemy_base_stats!$A:$F,2,FALSE) * Y1004* J1004*O1004*E1004*S1004*AD1004*[2]ステータス!$B$2,0)</f>
        <v>158953</v>
      </c>
      <c r="AK1004" s="99">
        <f ca="1">ROUND(VLOOKUP(100,enemy_base_stats!$A:$F,3,FALSE)* Z1004* K1004*P1004*F1004*T1004*AE1004 * W1004*[2]ステータス!$C$2,0)</f>
        <v>11083</v>
      </c>
      <c r="AL1004" s="99">
        <f ca="1">ROUND(VLOOKUP(100,enemy_base_stats!$A:$F,4,FALSE)* AA1004* L1004*Q1004*G1004*U1004*AF1004*[2]ステータス!$D$2,0)</f>
        <v>0</v>
      </c>
      <c r="AM1004" s="97">
        <f ca="1">VLOOKUP(M1004,[2]character_tribe_i18n!$A:$I,9,FALSE)</f>
        <v>400</v>
      </c>
      <c r="AN1004" s="97">
        <v>0</v>
      </c>
      <c r="AO1004" s="98">
        <v>0</v>
      </c>
      <c r="AP1004" s="58" t="s">
        <v>72</v>
      </c>
      <c r="AQ1004" s="34">
        <f t="shared" ca="1" si="56"/>
        <v>1003</v>
      </c>
    </row>
    <row r="1005" spans="1:43" ht="21" customHeight="1" x14ac:dyDescent="0.15">
      <c r="A1005" s="7">
        <f t="shared" ca="1" si="54"/>
        <v>1004</v>
      </c>
      <c r="B1005" s="6" t="str">
        <f ca="1">VLOOKUP(A1005,[2]characters!$A:$C,3,FALSE)</f>
        <v>アメミット</v>
      </c>
      <c r="C1005" s="9">
        <f ca="1">VLOOKUP(A1005,[2]characters!$A:$I,9,FALSE)</f>
        <v>4</v>
      </c>
      <c r="D1005" s="9" t="str">
        <f ca="1">VLOOKUP(A1005,[2]characters!$A:$H,8,FALSE)</f>
        <v>blue</v>
      </c>
      <c r="E1005" s="97">
        <f ca="1">VLOOKUP(D1005,[2]属性!$A:$E,2,FALSE)</f>
        <v>1</v>
      </c>
      <c r="F1005" s="97">
        <f ca="1">VLOOKUP(D1005,[2]属性!$A:$E,3,FALSE)</f>
        <v>0.98</v>
      </c>
      <c r="G1005" s="97">
        <f ca="1">VLOOKUP(D1005,[2]属性!$A:$F,4,FALSE)</f>
        <v>1</v>
      </c>
      <c r="H1005" s="9" t="str">
        <f ca="1">VLOOKUP(A1005,[2]characters!$A:$K,11,FALSE)</f>
        <v>attack</v>
      </c>
      <c r="I1005" s="6" t="str">
        <f ca="1">VLOOKUP(H1005,[2]character_type_i18n!$A:$F,3,FALSE)</f>
        <v>攻撃タイプ</v>
      </c>
      <c r="J1005" s="97">
        <f ca="1">VLOOKUP(H1005,[2]character_type_i18n!$A:$F,4,FALSE)</f>
        <v>1</v>
      </c>
      <c r="K1005" s="97">
        <f ca="1">VLOOKUP(H1005,[2]character_type_i18n!$A:$F,5,FALSE)</f>
        <v>1.33</v>
      </c>
      <c r="L1005" s="97">
        <f ca="1">VLOOKUP(H1005,[2]character_type_i18n!$A:$F,6,FALSE)</f>
        <v>1</v>
      </c>
      <c r="M1005" s="9" t="str">
        <f ca="1">VLOOKUP(A1005,[2]characters!$A:$M,13,FALSE)</f>
        <v>animal</v>
      </c>
      <c r="N1005" s="6" t="str">
        <f ca="1">VLOOKUP(M1005,[2]character_tribe_i18n!$A:$F,3,FALSE)</f>
        <v>アニマル</v>
      </c>
      <c r="O1005" s="97">
        <f ca="1">VLOOKUP(M1005,[2]character_tribe_i18n!$A:$F,4,FALSE)</f>
        <v>1</v>
      </c>
      <c r="P1005" s="97">
        <f ca="1">VLOOKUP(M1005,[2]character_tribe_i18n!$A:$F,5,FALSE)</f>
        <v>1.1000000000000001</v>
      </c>
      <c r="Q1005" s="97">
        <f ca="1">VLOOKUP(M1005,[2]character_tribe_i18n!$A:$F,6,FALSE)</f>
        <v>1</v>
      </c>
      <c r="R1005" s="98" t="s">
        <v>98</v>
      </c>
      <c r="S1005" s="97">
        <f>VLOOKUP($R1005,ラベル別係数!$A$1:$E$7,3,FALSE)</f>
        <v>5</v>
      </c>
      <c r="T1005" s="97">
        <f>VLOOKUP($R1005,ラベル別係数!$A$1:$E$7,4,FALSE)</f>
        <v>1.3</v>
      </c>
      <c r="U1005" s="97">
        <f>VLOOKUP($R1005,ラベル別係数!$A$1:$E$7,5,FALSE)</f>
        <v>0.8</v>
      </c>
      <c r="V1005" s="98">
        <v>3</v>
      </c>
      <c r="W1005" s="99">
        <f>VLOOKUP(V1005,ターン数別攻撃係数!$A$1:$B$1000,2,FALSE)</f>
        <v>1</v>
      </c>
      <c r="X1005" s="9">
        <f ca="1">VLOOKUP(C1005,サイズ別係数!A$2:B$9,2,FALSE)</f>
        <v>30</v>
      </c>
      <c r="Y1005" s="97">
        <f ca="1">VLOOKUP($X1005,サイズ別係数!$B:$E,2,FALSE)</f>
        <v>1.3</v>
      </c>
      <c r="Z1005" s="97">
        <f ca="1">VLOOKUP($X1005,サイズ別係数!$B:$E,3,FALSE)</f>
        <v>1.3</v>
      </c>
      <c r="AA1005" s="97">
        <f ca="1">VLOOKUP($X1005,サイズ別係数!$B:$E,4,FALSE)</f>
        <v>1.1000000000000001</v>
      </c>
      <c r="AB1005" s="10">
        <v>0</v>
      </c>
      <c r="AC1005" s="6" t="str">
        <f ca="1">VLOOKUP($AB1005,OFFSET([3]enemy_skill_sets!$B$2,0,0,COUNTA([3]enemy_skill_sets!$A:$A),MATCH(AC$1,[3]enemy_skill_sets!$1:$1,0)-MATCH($AB$1,[3]enemy_skill_sets!$1:$1,0)+1),MATCH(AC$1,[3]enemy_skill_sets!$1:$1,0)-MATCH($AB$1,[3]enemy_skill_sets!$1:$1,0)+1,FALSE)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5" s="67">
        <v>1</v>
      </c>
      <c r="AE1005" s="67">
        <v>1</v>
      </c>
      <c r="AF1005" s="68">
        <v>0</v>
      </c>
      <c r="AG1005" s="99">
        <f ca="1">ROUND(VLOOKUP(1,enemy_base_stats!$A:$F,2,FALSE) * Y1005* J1005*O1005*E1005*S1005*AD1005*[2]ステータス!$B$2,0)</f>
        <v>3250</v>
      </c>
      <c r="AH1005" s="99">
        <f ca="1">ROUND(VLOOKUP(1,enemy_base_stats!$A:$F,3,FALSE) * Z1005*K1005*P1005*F1005*T1005*AE1005 * W1005*[2]ステータス!$C$2,0)</f>
        <v>363</v>
      </c>
      <c r="AI1005" s="99">
        <f ca="1">ROUND(VLOOKUP(1,enemy_base_stats!$A:$F,4,FALSE) * AA1005*L1005*Q1005*G1005*U1005*AF1005*[2]ステータス!$D$2,0)</f>
        <v>0</v>
      </c>
      <c r="AJ1005" s="99">
        <f ca="1">ROUND(VLOOKUP(100,enemy_base_stats!$A:$F,2,FALSE) * Y1005* J1005*O1005*E1005*S1005*AD1005*[2]ステータス!$B$2,0)</f>
        <v>131950</v>
      </c>
      <c r="AK1005" s="99">
        <f ca="1">ROUND(VLOOKUP(100,enemy_base_stats!$A:$F,3,FALSE)* Z1005* K1005*P1005*F1005*T1005*AE1005 * W1005*[2]ステータス!$C$2,0)</f>
        <v>14756</v>
      </c>
      <c r="AL1005" s="99">
        <f ca="1">ROUND(VLOOKUP(100,enemy_base_stats!$A:$F,4,FALSE)* AA1005* L1005*Q1005*G1005*U1005*AF1005*[2]ステータス!$D$2,0)</f>
        <v>0</v>
      </c>
      <c r="AM1005" s="97">
        <f ca="1">VLOOKUP(M1005,[2]character_tribe_i18n!$A:$I,9,FALSE)</f>
        <v>480</v>
      </c>
      <c r="AN1005" s="97">
        <v>0</v>
      </c>
      <c r="AO1005" s="98">
        <v>0</v>
      </c>
      <c r="AP1005" s="58" t="s">
        <v>72</v>
      </c>
      <c r="AQ1005" s="34">
        <f t="shared" ca="1" si="56"/>
        <v>1004</v>
      </c>
    </row>
    <row r="1006" spans="1:43" ht="21" customHeight="1" x14ac:dyDescent="0.15">
      <c r="A1006" s="7">
        <f t="shared" ca="1" si="54"/>
        <v>1005</v>
      </c>
      <c r="B1006" s="6" t="str">
        <f ca="1">VLOOKUP(A1006,[2]characters!$A:$C,3,FALSE)</f>
        <v>恐牙なる魂喰獣 アメミット</v>
      </c>
      <c r="C1006" s="9">
        <f ca="1">VLOOKUP(A1006,[2]characters!$A:$I,9,FALSE)</f>
        <v>5</v>
      </c>
      <c r="D1006" s="9" t="str">
        <f ca="1">VLOOKUP(A1006,[2]characters!$A:$H,8,FALSE)</f>
        <v>blue</v>
      </c>
      <c r="E1006" s="97">
        <f ca="1">VLOOKUP(D1006,[2]属性!$A:$E,2,FALSE)</f>
        <v>1</v>
      </c>
      <c r="F1006" s="97">
        <f ca="1">VLOOKUP(D1006,[2]属性!$A:$E,3,FALSE)</f>
        <v>0.98</v>
      </c>
      <c r="G1006" s="97">
        <f ca="1">VLOOKUP(D1006,[2]属性!$A:$F,4,FALSE)</f>
        <v>1</v>
      </c>
      <c r="H1006" s="9" t="str">
        <f ca="1">VLOOKUP(A1006,[2]characters!$A:$K,11,FALSE)</f>
        <v>attack</v>
      </c>
      <c r="I1006" s="6" t="str">
        <f ca="1">VLOOKUP(H1006,[2]character_type_i18n!$A:$F,3,FALSE)</f>
        <v>攻撃タイプ</v>
      </c>
      <c r="J1006" s="97">
        <f ca="1">VLOOKUP(H1006,[2]character_type_i18n!$A:$F,4,FALSE)</f>
        <v>1</v>
      </c>
      <c r="K1006" s="97">
        <f ca="1">VLOOKUP(H1006,[2]character_type_i18n!$A:$F,5,FALSE)</f>
        <v>1.33</v>
      </c>
      <c r="L1006" s="97">
        <f ca="1">VLOOKUP(H1006,[2]character_type_i18n!$A:$F,6,FALSE)</f>
        <v>1</v>
      </c>
      <c r="M1006" s="9" t="str">
        <f ca="1">VLOOKUP(A1006,[2]characters!$A:$M,13,FALSE)</f>
        <v>animal</v>
      </c>
      <c r="N1006" s="6" t="str">
        <f ca="1">VLOOKUP(M1006,[2]character_tribe_i18n!$A:$F,3,FALSE)</f>
        <v>アニマル</v>
      </c>
      <c r="O1006" s="97">
        <f ca="1">VLOOKUP(M1006,[2]character_tribe_i18n!$A:$F,4,FALSE)</f>
        <v>1</v>
      </c>
      <c r="P1006" s="97">
        <f ca="1">VLOOKUP(M1006,[2]character_tribe_i18n!$A:$F,5,FALSE)</f>
        <v>1.1000000000000001</v>
      </c>
      <c r="Q1006" s="97">
        <f ca="1">VLOOKUP(M1006,[2]character_tribe_i18n!$A:$F,6,FALSE)</f>
        <v>1</v>
      </c>
      <c r="R1006" s="98" t="s">
        <v>98</v>
      </c>
      <c r="S1006" s="97">
        <f>VLOOKUP($R1006,ラベル別係数!$A$1:$E$7,3,FALSE)</f>
        <v>5</v>
      </c>
      <c r="T1006" s="97">
        <f>VLOOKUP($R1006,ラベル別係数!$A$1:$E$7,4,FALSE)</f>
        <v>1.3</v>
      </c>
      <c r="U1006" s="97">
        <f>VLOOKUP($R1006,ラベル別係数!$A$1:$E$7,5,FALSE)</f>
        <v>0.8</v>
      </c>
      <c r="V1006" s="98">
        <v>3</v>
      </c>
      <c r="W1006" s="99">
        <f>VLOOKUP(V1006,ターン数別攻撃係数!$A$1:$B$1000,2,FALSE)</f>
        <v>1</v>
      </c>
      <c r="X1006" s="9">
        <f ca="1">VLOOKUP(C1006,サイズ別係数!A$2:B$9,2,FALSE)</f>
        <v>60</v>
      </c>
      <c r="Y1006" s="97">
        <f ca="1">VLOOKUP($X1006,サイズ別係数!$B:$E,2,FALSE)</f>
        <v>1.7</v>
      </c>
      <c r="Z1006" s="97">
        <f ca="1">VLOOKUP($X1006,サイズ別係数!$B:$E,3,FALSE)</f>
        <v>1.4</v>
      </c>
      <c r="AA1006" s="97">
        <f ca="1">VLOOKUP($X1006,サイズ別係数!$B:$E,4,FALSE)</f>
        <v>1</v>
      </c>
      <c r="AB1006" s="10">
        <v>0</v>
      </c>
      <c r="AC1006" s="6" t="str">
        <f ca="1">VLOOKUP($AB1006,OFFSET([3]enemy_skill_sets!$B$2,0,0,COUNTA([3]enemy_skill_sets!$A:$A),MATCH(AC$1,[3]enemy_skill_sets!$1:$1,0)-MATCH($AB$1,[3]enemy_skill_sets!$1:$1,0)+1),MATCH(AC$1,[3]enemy_skill_sets!$1:$1,0)-MATCH($AB$1,[3]enemy_skill_sets!$1:$1,0)+1,FALSE)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6" s="67">
        <v>1</v>
      </c>
      <c r="AE1006" s="67">
        <v>1</v>
      </c>
      <c r="AF1006" s="68">
        <v>0</v>
      </c>
      <c r="AG1006" s="99">
        <f ca="1">ROUND(VLOOKUP(1,enemy_base_stats!$A:$F,2,FALSE) * Y1006* J1006*O1006*E1006*S1006*AD1006*[2]ステータス!$B$2,0)</f>
        <v>4250</v>
      </c>
      <c r="AH1006" s="99">
        <f ca="1">ROUND(VLOOKUP(1,enemy_base_stats!$A:$F,3,FALSE) * Z1006*K1006*P1006*F1006*T1006*AE1006 * W1006*[2]ステータス!$C$2,0)</f>
        <v>391</v>
      </c>
      <c r="AI1006" s="99">
        <f ca="1">ROUND(VLOOKUP(1,enemy_base_stats!$A:$F,4,FALSE) * AA1006*L1006*Q1006*G1006*U1006*AF1006*[2]ステータス!$D$2,0)</f>
        <v>0</v>
      </c>
      <c r="AJ1006" s="99">
        <f ca="1">ROUND(VLOOKUP(100,enemy_base_stats!$A:$F,2,FALSE) * Y1006* J1006*O1006*E1006*S1006*AD1006*[2]ステータス!$B$2,0)</f>
        <v>172550</v>
      </c>
      <c r="AK1006" s="99">
        <f ca="1">ROUND(VLOOKUP(100,enemy_base_stats!$A:$F,3,FALSE)* Z1006* K1006*P1006*F1006*T1006*AE1006 * W1006*[2]ステータス!$C$2,0)</f>
        <v>15891</v>
      </c>
      <c r="AL1006" s="99">
        <f ca="1">ROUND(VLOOKUP(100,enemy_base_stats!$A:$F,4,FALSE)* AA1006* L1006*Q1006*G1006*U1006*AF1006*[2]ステータス!$D$2,0)</f>
        <v>0</v>
      </c>
      <c r="AM1006" s="97">
        <f ca="1">VLOOKUP(M1006,[2]character_tribe_i18n!$A:$I,9,FALSE)</f>
        <v>480</v>
      </c>
      <c r="AN1006" s="97">
        <v>0</v>
      </c>
      <c r="AO1006" s="98">
        <v>0</v>
      </c>
      <c r="AP1006" s="58" t="s">
        <v>72</v>
      </c>
      <c r="AQ1006" s="34">
        <f t="shared" ca="1" si="56"/>
        <v>1005</v>
      </c>
    </row>
    <row r="1007" spans="1:43" ht="21" customHeight="1" x14ac:dyDescent="0.15">
      <c r="A1007" s="7">
        <f t="shared" ca="1" si="54"/>
        <v>1006</v>
      </c>
      <c r="B1007" s="6" t="str">
        <f ca="1">VLOOKUP(A1007,[2]characters!$A:$C,3,FALSE)</f>
        <v>セルケト</v>
      </c>
      <c r="C1007" s="9">
        <f ca="1">VLOOKUP(A1007,[2]characters!$A:$I,9,FALSE)</f>
        <v>4</v>
      </c>
      <c r="D1007" s="9" t="str">
        <f ca="1">VLOOKUP(A1007,[2]characters!$A:$H,8,FALSE)</f>
        <v>red</v>
      </c>
      <c r="E1007" s="97">
        <f ca="1">VLOOKUP(D1007,[2]属性!$A:$E,2,FALSE)</f>
        <v>1</v>
      </c>
      <c r="F1007" s="97">
        <f ca="1">VLOOKUP(D1007,[2]属性!$A:$E,3,FALSE)</f>
        <v>1.02</v>
      </c>
      <c r="G1007" s="97">
        <f ca="1">VLOOKUP(D1007,[2]属性!$A:$F,4,FALSE)</f>
        <v>1</v>
      </c>
      <c r="H1007" s="9" t="s">
        <v>146</v>
      </c>
      <c r="I1007" s="6" t="str">
        <f>VLOOKUP(H1007,[2]character_type_i18n!$A:$F,3,FALSE)</f>
        <v>バランスタイプ</v>
      </c>
      <c r="J1007" s="97">
        <f>VLOOKUP(H1007,[2]character_type_i18n!$A:$F,4,FALSE)</f>
        <v>1</v>
      </c>
      <c r="K1007" s="97">
        <f>VLOOKUP(H1007,[2]character_type_i18n!$A:$F,5,FALSE)</f>
        <v>1</v>
      </c>
      <c r="L1007" s="97">
        <f>VLOOKUP(H1007,[2]character_type_i18n!$A:$F,6,FALSE)</f>
        <v>1</v>
      </c>
      <c r="M1007" s="9" t="str">
        <f ca="1">VLOOKUP(A1007,[2]characters!$A:$M,13,FALSE)</f>
        <v>god</v>
      </c>
      <c r="N1007" s="6" t="str">
        <f ca="1">VLOOKUP(M1007,[2]character_tribe_i18n!$A:$F,3,FALSE)</f>
        <v>ゴッド</v>
      </c>
      <c r="O1007" s="97">
        <f ca="1">VLOOKUP(M1007,[2]character_tribe_i18n!$A:$F,4,FALSE)</f>
        <v>0.96</v>
      </c>
      <c r="P1007" s="97">
        <f ca="1">VLOOKUP(M1007,[2]character_tribe_i18n!$A:$F,5,FALSE)</f>
        <v>1.02</v>
      </c>
      <c r="Q1007" s="97">
        <f ca="1">VLOOKUP(M1007,[2]character_tribe_i18n!$A:$F,6,FALSE)</f>
        <v>1</v>
      </c>
      <c r="R1007" s="98" t="s">
        <v>98</v>
      </c>
      <c r="S1007" s="97">
        <f>VLOOKUP($R1007,ラベル別係数!$A$1:$E$7,3,FALSE)</f>
        <v>5</v>
      </c>
      <c r="T1007" s="97">
        <f>VLOOKUP($R1007,ラベル別係数!$A$1:$E$7,4,FALSE)</f>
        <v>1.3</v>
      </c>
      <c r="U1007" s="97">
        <f>VLOOKUP($R1007,ラベル別係数!$A$1:$E$7,5,FALSE)</f>
        <v>0.8</v>
      </c>
      <c r="V1007" s="98">
        <v>3</v>
      </c>
      <c r="W1007" s="99">
        <f>VLOOKUP(V1007,ターン数別攻撃係数!$A$1:$B$1000,2,FALSE)</f>
        <v>1</v>
      </c>
      <c r="X1007" s="9">
        <f ca="1">VLOOKUP(C1007,サイズ別係数!A$2:B$9,2,FALSE)</f>
        <v>30</v>
      </c>
      <c r="Y1007" s="97">
        <f ca="1">VLOOKUP($X1007,サイズ別係数!$B:$E,2,FALSE)</f>
        <v>1.3</v>
      </c>
      <c r="Z1007" s="97">
        <f ca="1">VLOOKUP($X1007,サイズ別係数!$B:$E,3,FALSE)</f>
        <v>1.3</v>
      </c>
      <c r="AA1007" s="97">
        <f ca="1">VLOOKUP($X1007,サイズ別係数!$B:$E,4,FALSE)</f>
        <v>1.1000000000000001</v>
      </c>
      <c r="AB1007" s="10">
        <v>0</v>
      </c>
      <c r="AC1007" s="6" t="str">
        <f ca="1">VLOOKUP($AB1007,OFFSET([3]enemy_skill_sets!$B$2,0,0,COUNTA([3]enemy_skill_sets!$A:$A),MATCH(AC$1,[3]enemy_skill_sets!$1:$1,0)-MATCH($AB$1,[3]enemy_skill_sets!$1:$1,0)+1),MATCH(AC$1,[3]enemy_skill_sets!$1:$1,0)-MATCH($AB$1,[3]enemy_skill_sets!$1:$1,0)+1,FALSE)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7" s="67">
        <v>1</v>
      </c>
      <c r="AE1007" s="67">
        <v>1</v>
      </c>
      <c r="AF1007" s="68">
        <v>0</v>
      </c>
      <c r="AG1007" s="99">
        <f ca="1">ROUND(VLOOKUP(1,enemy_base_stats!$A:$F,2,FALSE) * Y1007* J1007*O1007*E1007*S1007*AD1007*[2]ステータス!$B$2,0)</f>
        <v>3120</v>
      </c>
      <c r="AH1007" s="99">
        <f ca="1">ROUND(VLOOKUP(1,enemy_base_stats!$A:$F,3,FALSE) * Z1007*K1007*P1007*F1007*T1007*AE1007 * W1007*[2]ステータス!$C$2,0)</f>
        <v>264</v>
      </c>
      <c r="AI1007" s="99">
        <f ca="1">ROUND(VLOOKUP(1,enemy_base_stats!$A:$F,4,FALSE) * AA1007*L1007*Q1007*G1007*U1007*AF1007*[2]ステータス!$D$2,0)</f>
        <v>0</v>
      </c>
      <c r="AJ1007" s="99">
        <f ca="1">ROUND(VLOOKUP(100,enemy_base_stats!$A:$F,2,FALSE) * Y1007* J1007*O1007*E1007*S1007*AD1007*[2]ステータス!$B$2,0)</f>
        <v>126672</v>
      </c>
      <c r="AK1007" s="99">
        <f ca="1">ROUND(VLOOKUP(100,enemy_base_stats!$A:$F,3,FALSE)* Z1007* K1007*P1007*F1007*T1007*AE1007 * W1007*[2]ステータス!$C$2,0)</f>
        <v>10708</v>
      </c>
      <c r="AL1007" s="99">
        <f ca="1">ROUND(VLOOKUP(100,enemy_base_stats!$A:$F,4,FALSE)* AA1007* L1007*Q1007*G1007*U1007*AF1007*[2]ステータス!$D$2,0)</f>
        <v>0</v>
      </c>
      <c r="AM1007" s="97">
        <f ca="1">VLOOKUP(M1007,[2]character_tribe_i18n!$A:$I,9,FALSE)</f>
        <v>680</v>
      </c>
      <c r="AN1007" s="97">
        <v>0</v>
      </c>
      <c r="AO1007" s="98">
        <v>0</v>
      </c>
      <c r="AP1007" s="58" t="s">
        <v>72</v>
      </c>
      <c r="AQ1007" s="34">
        <f t="shared" ca="1" si="56"/>
        <v>1006</v>
      </c>
    </row>
    <row r="1008" spans="1:43" ht="21" customHeight="1" x14ac:dyDescent="0.15">
      <c r="A1008" s="7">
        <f t="shared" ca="1" si="54"/>
        <v>1007</v>
      </c>
      <c r="B1008" s="6" t="str">
        <f ca="1">VLOOKUP(A1008,[2]characters!$A:$C,3,FALSE)</f>
        <v>癒命の守蠍神 セルケト</v>
      </c>
      <c r="C1008" s="9">
        <f ca="1">VLOOKUP(A1008,[2]characters!$A:$I,9,FALSE)</f>
        <v>5</v>
      </c>
      <c r="D1008" s="9" t="str">
        <f ca="1">VLOOKUP(A1008,[2]characters!$A:$H,8,FALSE)</f>
        <v>red</v>
      </c>
      <c r="E1008" s="97">
        <f ca="1">VLOOKUP(D1008,[2]属性!$A:$E,2,FALSE)</f>
        <v>1</v>
      </c>
      <c r="F1008" s="97">
        <f ca="1">VLOOKUP(D1008,[2]属性!$A:$E,3,FALSE)</f>
        <v>1.02</v>
      </c>
      <c r="G1008" s="97">
        <f ca="1">VLOOKUP(D1008,[2]属性!$A:$F,4,FALSE)</f>
        <v>1</v>
      </c>
      <c r="H1008" s="9" t="s">
        <v>146</v>
      </c>
      <c r="I1008" s="6" t="str">
        <f>VLOOKUP(H1008,[2]character_type_i18n!$A:$F,3,FALSE)</f>
        <v>バランスタイプ</v>
      </c>
      <c r="J1008" s="97">
        <f>VLOOKUP(H1008,[2]character_type_i18n!$A:$F,4,FALSE)</f>
        <v>1</v>
      </c>
      <c r="K1008" s="97">
        <f>VLOOKUP(H1008,[2]character_type_i18n!$A:$F,5,FALSE)</f>
        <v>1</v>
      </c>
      <c r="L1008" s="97">
        <f>VLOOKUP(H1008,[2]character_type_i18n!$A:$F,6,FALSE)</f>
        <v>1</v>
      </c>
      <c r="M1008" s="9" t="str">
        <f ca="1">VLOOKUP(A1008,[2]characters!$A:$M,13,FALSE)</f>
        <v>god</v>
      </c>
      <c r="N1008" s="6" t="str">
        <f ca="1">VLOOKUP(M1008,[2]character_tribe_i18n!$A:$F,3,FALSE)</f>
        <v>ゴッド</v>
      </c>
      <c r="O1008" s="97">
        <f ca="1">VLOOKUP(M1008,[2]character_tribe_i18n!$A:$F,4,FALSE)</f>
        <v>0.96</v>
      </c>
      <c r="P1008" s="97">
        <f ca="1">VLOOKUP(M1008,[2]character_tribe_i18n!$A:$F,5,FALSE)</f>
        <v>1.02</v>
      </c>
      <c r="Q1008" s="97">
        <f ca="1">VLOOKUP(M1008,[2]character_tribe_i18n!$A:$F,6,FALSE)</f>
        <v>1</v>
      </c>
      <c r="R1008" s="98" t="s">
        <v>98</v>
      </c>
      <c r="S1008" s="97">
        <f>VLOOKUP($R1008,ラベル別係数!$A$1:$E$7,3,FALSE)</f>
        <v>5</v>
      </c>
      <c r="T1008" s="97">
        <f>VLOOKUP($R1008,ラベル別係数!$A$1:$E$7,4,FALSE)</f>
        <v>1.3</v>
      </c>
      <c r="U1008" s="97">
        <f>VLOOKUP($R1008,ラベル別係数!$A$1:$E$7,5,FALSE)</f>
        <v>0.8</v>
      </c>
      <c r="V1008" s="98">
        <v>3</v>
      </c>
      <c r="W1008" s="99">
        <f>VLOOKUP(V1008,ターン数別攻撃係数!$A$1:$B$1000,2,FALSE)</f>
        <v>1</v>
      </c>
      <c r="X1008" s="9">
        <f ca="1">VLOOKUP(C1008,サイズ別係数!A$2:B$9,2,FALSE)</f>
        <v>60</v>
      </c>
      <c r="Y1008" s="97">
        <f ca="1">VLOOKUP($X1008,サイズ別係数!$B:$E,2,FALSE)</f>
        <v>1.7</v>
      </c>
      <c r="Z1008" s="97">
        <f ca="1">VLOOKUP($X1008,サイズ別係数!$B:$E,3,FALSE)</f>
        <v>1.4</v>
      </c>
      <c r="AA1008" s="97">
        <f ca="1">VLOOKUP($X1008,サイズ別係数!$B:$E,4,FALSE)</f>
        <v>1</v>
      </c>
      <c r="AB1008" s="10">
        <v>0</v>
      </c>
      <c r="AC1008" s="6" t="str">
        <f ca="1">VLOOKUP($AB1008,OFFSET([3]enemy_skill_sets!$B$2,0,0,COUNTA([3]enemy_skill_sets!$A:$A),MATCH(AC$1,[3]enemy_skill_sets!$1:$1,0)-MATCH($AB$1,[3]enemy_skill_sets!$1:$1,0)+1),MATCH(AC$1,[3]enemy_skill_sets!$1:$1,0)-MATCH($AB$1,[3]enemy_skill_sets!$1:$1,0)+1,FALSE)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8" s="67">
        <v>1</v>
      </c>
      <c r="AE1008" s="67">
        <v>1</v>
      </c>
      <c r="AF1008" s="68">
        <v>0</v>
      </c>
      <c r="AG1008" s="99">
        <f ca="1">ROUND(VLOOKUP(1,enemy_base_stats!$A:$F,2,FALSE) * Y1008* J1008*O1008*E1008*S1008*AD1008*[2]ステータス!$B$2,0)</f>
        <v>4080</v>
      </c>
      <c r="AH1008" s="99">
        <f ca="1">ROUND(VLOOKUP(1,enemy_base_stats!$A:$F,3,FALSE) * Z1008*K1008*P1008*F1008*T1008*AE1008 * W1008*[2]ステータス!$C$2,0)</f>
        <v>284</v>
      </c>
      <c r="AI1008" s="99">
        <f ca="1">ROUND(VLOOKUP(1,enemy_base_stats!$A:$F,4,FALSE) * AA1008*L1008*Q1008*G1008*U1008*AF1008*[2]ステータス!$D$2,0)</f>
        <v>0</v>
      </c>
      <c r="AJ1008" s="99">
        <f ca="1">ROUND(VLOOKUP(100,enemy_base_stats!$A:$F,2,FALSE) * Y1008* J1008*O1008*E1008*S1008*AD1008*[2]ステータス!$B$2,0)</f>
        <v>165648</v>
      </c>
      <c r="AK1008" s="99">
        <f ca="1">ROUND(VLOOKUP(100,enemy_base_stats!$A:$F,3,FALSE)* Z1008* K1008*P1008*F1008*T1008*AE1008 * W1008*[2]ステータス!$C$2,0)</f>
        <v>11532</v>
      </c>
      <c r="AL1008" s="99">
        <f ca="1">ROUND(VLOOKUP(100,enemy_base_stats!$A:$F,4,FALSE)* AA1008* L1008*Q1008*G1008*U1008*AF1008*[2]ステータス!$D$2,0)</f>
        <v>0</v>
      </c>
      <c r="AM1008" s="97">
        <f ca="1">VLOOKUP(M1008,[2]character_tribe_i18n!$A:$I,9,FALSE)</f>
        <v>680</v>
      </c>
      <c r="AN1008" s="97">
        <v>0</v>
      </c>
      <c r="AO1008" s="98">
        <v>0</v>
      </c>
      <c r="AP1008" s="58" t="s">
        <v>72</v>
      </c>
      <c r="AQ1008" s="34">
        <f t="shared" ca="1" si="56"/>
        <v>1007</v>
      </c>
    </row>
    <row r="1009" spans="1:43" ht="21" customHeight="1" x14ac:dyDescent="0.15">
      <c r="A1009" s="7">
        <f t="shared" ca="1" si="54"/>
        <v>1008</v>
      </c>
      <c r="B1009" s="6" t="str">
        <f ca="1">VLOOKUP(A1009,[2]characters!$A:$C,3,FALSE)</f>
        <v>オシリス</v>
      </c>
      <c r="C1009" s="9">
        <f ca="1">VLOOKUP(A1009,[2]characters!$A:$I,9,FALSE)</f>
        <v>5</v>
      </c>
      <c r="D1009" s="9" t="str">
        <f ca="1">VLOOKUP(A1009,[2]characters!$A:$H,8,FALSE)</f>
        <v>green</v>
      </c>
      <c r="E1009" s="97">
        <f ca="1">VLOOKUP(D1009,[2]属性!$A:$E,2,FALSE)</f>
        <v>1.02</v>
      </c>
      <c r="F1009" s="97">
        <f ca="1">VLOOKUP(D1009,[2]属性!$A:$E,3,FALSE)</f>
        <v>0.98</v>
      </c>
      <c r="G1009" s="97">
        <f ca="1">VLOOKUP(D1009,[2]属性!$A:$F,4,FALSE)</f>
        <v>1</v>
      </c>
      <c r="H1009" s="9" t="str">
        <f ca="1">VLOOKUP(A1009,[2]characters!$A:$K,11,FALSE)</f>
        <v>attack</v>
      </c>
      <c r="I1009" s="6" t="str">
        <f ca="1">VLOOKUP(H1009,[2]character_type_i18n!$A:$F,3,FALSE)</f>
        <v>攻撃タイプ</v>
      </c>
      <c r="J1009" s="97">
        <f ca="1">VLOOKUP(H1009,[2]character_type_i18n!$A:$F,4,FALSE)</f>
        <v>1</v>
      </c>
      <c r="K1009" s="97">
        <f ca="1">VLOOKUP(H1009,[2]character_type_i18n!$A:$F,5,FALSE)</f>
        <v>1.33</v>
      </c>
      <c r="L1009" s="97">
        <f ca="1">VLOOKUP(H1009,[2]character_type_i18n!$A:$F,6,FALSE)</f>
        <v>1</v>
      </c>
      <c r="M1009" s="9" t="str">
        <f ca="1">VLOOKUP(A1009,[2]characters!$A:$M,13,FALSE)</f>
        <v>god</v>
      </c>
      <c r="N1009" s="6" t="str">
        <f ca="1">VLOOKUP(M1009,[2]character_tribe_i18n!$A:$F,3,FALSE)</f>
        <v>ゴッド</v>
      </c>
      <c r="O1009" s="97">
        <f ca="1">VLOOKUP(M1009,[2]character_tribe_i18n!$A:$F,4,FALSE)</f>
        <v>0.96</v>
      </c>
      <c r="P1009" s="97">
        <f ca="1">VLOOKUP(M1009,[2]character_tribe_i18n!$A:$F,5,FALSE)</f>
        <v>1.02</v>
      </c>
      <c r="Q1009" s="97">
        <f ca="1">VLOOKUP(M1009,[2]character_tribe_i18n!$A:$F,6,FALSE)</f>
        <v>1</v>
      </c>
      <c r="R1009" s="98" t="s">
        <v>98</v>
      </c>
      <c r="S1009" s="97">
        <f>VLOOKUP($R1009,ラベル別係数!$A$1:$E$7,3,FALSE)</f>
        <v>5</v>
      </c>
      <c r="T1009" s="97">
        <f>VLOOKUP($R1009,ラベル別係数!$A$1:$E$7,4,FALSE)</f>
        <v>1.3</v>
      </c>
      <c r="U1009" s="97">
        <f>VLOOKUP($R1009,ラベル別係数!$A$1:$E$7,5,FALSE)</f>
        <v>0.8</v>
      </c>
      <c r="V1009" s="98">
        <v>3</v>
      </c>
      <c r="W1009" s="99">
        <f>VLOOKUP(V1009,ターン数別攻撃係数!$A$1:$B$1000,2,FALSE)</f>
        <v>1</v>
      </c>
      <c r="X1009" s="9">
        <f ca="1">VLOOKUP(C1009,サイズ別係数!A$2:B$9,2,FALSE)</f>
        <v>60</v>
      </c>
      <c r="Y1009" s="97">
        <f ca="1">VLOOKUP($X1009,サイズ別係数!$B:$E,2,FALSE)</f>
        <v>1.7</v>
      </c>
      <c r="Z1009" s="97">
        <f ca="1">VLOOKUP($X1009,サイズ別係数!$B:$E,3,FALSE)</f>
        <v>1.4</v>
      </c>
      <c r="AA1009" s="97">
        <f ca="1">VLOOKUP($X1009,サイズ別係数!$B:$E,4,FALSE)</f>
        <v>1</v>
      </c>
      <c r="AB1009" s="10">
        <v>0</v>
      </c>
      <c r="AC1009" s="6" t="str">
        <f ca="1">VLOOKUP($AB1009,OFFSET([3]enemy_skill_sets!$B$2,0,0,COUNTA([3]enemy_skill_sets!$A:$A),MATCH(AC$1,[3]enemy_skill_sets!$1:$1,0)-MATCH($AB$1,[3]enemy_skill_sets!$1:$1,0)+1),MATCH(AC$1,[3]enemy_skill_sets!$1:$1,0)-MATCH($AB$1,[3]enemy_skill_sets!$1:$1,0)+1,FALSE)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09" s="67">
        <v>1</v>
      </c>
      <c r="AE1009" s="67">
        <v>1</v>
      </c>
      <c r="AF1009" s="68">
        <v>0</v>
      </c>
      <c r="AG1009" s="99">
        <f ca="1">ROUND(VLOOKUP(1,enemy_base_stats!$A:$F,2,FALSE) * Y1009* J1009*O1009*E1009*S1009*AD1009*[2]ステータス!$B$2,0)</f>
        <v>4162</v>
      </c>
      <c r="AH1009" s="99">
        <f ca="1">ROUND(VLOOKUP(1,enemy_base_stats!$A:$F,3,FALSE) * Z1009*K1009*P1009*F1009*T1009*AE1009 * W1009*[2]ステータス!$C$2,0)</f>
        <v>363</v>
      </c>
      <c r="AI1009" s="99">
        <f ca="1">ROUND(VLOOKUP(1,enemy_base_stats!$A:$F,4,FALSE) * AA1009*L1009*Q1009*G1009*U1009*AF1009*[2]ステータス!$D$2,0)</f>
        <v>0</v>
      </c>
      <c r="AJ1009" s="99">
        <f ca="1">ROUND(VLOOKUP(100,enemy_base_stats!$A:$F,2,FALSE) * Y1009* J1009*O1009*E1009*S1009*AD1009*[2]ステータス!$B$2,0)</f>
        <v>168961</v>
      </c>
      <c r="AK1009" s="99">
        <f ca="1">ROUND(VLOOKUP(100,enemy_base_stats!$A:$F,3,FALSE)* Z1009* K1009*P1009*F1009*T1009*AE1009 * W1009*[2]ステータス!$C$2,0)</f>
        <v>14736</v>
      </c>
      <c r="AL1009" s="99">
        <f ca="1">ROUND(VLOOKUP(100,enemy_base_stats!$A:$F,4,FALSE)* AA1009* L1009*Q1009*G1009*U1009*AF1009*[2]ステータス!$D$2,0)</f>
        <v>0</v>
      </c>
      <c r="AM1009" s="97">
        <f ca="1">VLOOKUP(M1009,[2]character_tribe_i18n!$A:$I,9,FALSE)</f>
        <v>680</v>
      </c>
      <c r="AN1009" s="97">
        <v>0</v>
      </c>
      <c r="AO1009" s="98">
        <v>0</v>
      </c>
      <c r="AP1009" s="58" t="s">
        <v>72</v>
      </c>
      <c r="AQ1009" s="34">
        <f t="shared" ca="1" si="56"/>
        <v>1008</v>
      </c>
    </row>
    <row r="1010" spans="1:43" ht="21" customHeight="1" x14ac:dyDescent="0.15">
      <c r="A1010" s="7">
        <f t="shared" ca="1" si="54"/>
        <v>1009</v>
      </c>
      <c r="B1010" s="6" t="str">
        <f ca="1">VLOOKUP(A1010,[2]characters!$A:$C,3,FALSE)</f>
        <v>再醒の冥皇神 オシリス</v>
      </c>
      <c r="C1010" s="9">
        <f ca="1">VLOOKUP(A1010,[2]characters!$A:$I,9,FALSE)</f>
        <v>6</v>
      </c>
      <c r="D1010" s="9" t="str">
        <f ca="1">VLOOKUP(A1010,[2]characters!$A:$H,8,FALSE)</f>
        <v>green</v>
      </c>
      <c r="E1010" s="97">
        <f ca="1">VLOOKUP(D1010,[2]属性!$A:$E,2,FALSE)</f>
        <v>1.02</v>
      </c>
      <c r="F1010" s="97">
        <f ca="1">VLOOKUP(D1010,[2]属性!$A:$E,3,FALSE)</f>
        <v>0.98</v>
      </c>
      <c r="G1010" s="97">
        <f ca="1">VLOOKUP(D1010,[2]属性!$A:$F,4,FALSE)</f>
        <v>1</v>
      </c>
      <c r="H1010" s="9" t="str">
        <f ca="1">VLOOKUP(A1010,[2]characters!$A:$K,11,FALSE)</f>
        <v>attack</v>
      </c>
      <c r="I1010" s="6" t="str">
        <f ca="1">VLOOKUP(H1010,[2]character_type_i18n!$A:$F,3,FALSE)</f>
        <v>攻撃タイプ</v>
      </c>
      <c r="J1010" s="97">
        <f ca="1">VLOOKUP(H1010,[2]character_type_i18n!$A:$F,4,FALSE)</f>
        <v>1</v>
      </c>
      <c r="K1010" s="97">
        <f ca="1">VLOOKUP(H1010,[2]character_type_i18n!$A:$F,5,FALSE)</f>
        <v>1.33</v>
      </c>
      <c r="L1010" s="97">
        <f ca="1">VLOOKUP(H1010,[2]character_type_i18n!$A:$F,6,FALSE)</f>
        <v>1</v>
      </c>
      <c r="M1010" s="9" t="str">
        <f ca="1">VLOOKUP(A1010,[2]characters!$A:$M,13,FALSE)</f>
        <v>god</v>
      </c>
      <c r="N1010" s="6" t="str">
        <f ca="1">VLOOKUP(M1010,[2]character_tribe_i18n!$A:$F,3,FALSE)</f>
        <v>ゴッド</v>
      </c>
      <c r="O1010" s="97">
        <f ca="1">VLOOKUP(M1010,[2]character_tribe_i18n!$A:$F,4,FALSE)</f>
        <v>0.96</v>
      </c>
      <c r="P1010" s="97">
        <f ca="1">VLOOKUP(M1010,[2]character_tribe_i18n!$A:$F,5,FALSE)</f>
        <v>1.02</v>
      </c>
      <c r="Q1010" s="97">
        <f ca="1">VLOOKUP(M1010,[2]character_tribe_i18n!$A:$F,6,FALSE)</f>
        <v>1</v>
      </c>
      <c r="R1010" s="98" t="s">
        <v>98</v>
      </c>
      <c r="S1010" s="97">
        <f>VLOOKUP($R1010,ラベル別係数!$A$1:$E$7,3,FALSE)</f>
        <v>5</v>
      </c>
      <c r="T1010" s="97">
        <f>VLOOKUP($R1010,ラベル別係数!$A$1:$E$7,4,FALSE)</f>
        <v>1.3</v>
      </c>
      <c r="U1010" s="97">
        <f>VLOOKUP($R1010,ラベル別係数!$A$1:$E$7,5,FALSE)</f>
        <v>0.8</v>
      </c>
      <c r="V1010" s="98">
        <v>3</v>
      </c>
      <c r="W1010" s="99">
        <f>VLOOKUP(V1010,ターン数別攻撃係数!$A$1:$B$1000,2,FALSE)</f>
        <v>1</v>
      </c>
      <c r="X1010" s="9">
        <f ca="1">VLOOKUP(C1010,サイズ別係数!A$2:B$9,2,FALSE)</f>
        <v>60</v>
      </c>
      <c r="Y1010" s="97">
        <f ca="1">VLOOKUP($X1010,サイズ別係数!$B:$E,2,FALSE)</f>
        <v>1.7</v>
      </c>
      <c r="Z1010" s="97">
        <f ca="1">VLOOKUP($X1010,サイズ別係数!$B:$E,3,FALSE)</f>
        <v>1.4</v>
      </c>
      <c r="AA1010" s="97">
        <f ca="1">VLOOKUP($X1010,サイズ別係数!$B:$E,4,FALSE)</f>
        <v>1</v>
      </c>
      <c r="AB1010" s="10">
        <v>0</v>
      </c>
      <c r="AC1010" s="6" t="str">
        <f ca="1">VLOOKUP($AB1010,OFFSET([3]enemy_skill_sets!$B$2,0,0,COUNTA([3]enemy_skill_sets!$A:$A),MATCH(AC$1,[3]enemy_skill_sets!$1:$1,0)-MATCH($AB$1,[3]enemy_skill_sets!$1:$1,0)+1),MATCH(AC$1,[3]enemy_skill_sets!$1:$1,0)-MATCH($AB$1,[3]enemy_skill_sets!$1:$1,0)+1,FALSE)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0" s="67">
        <v>1</v>
      </c>
      <c r="AE1010" s="67">
        <v>1</v>
      </c>
      <c r="AF1010" s="68">
        <v>0</v>
      </c>
      <c r="AG1010" s="99">
        <f ca="1">ROUND(VLOOKUP(1,enemy_base_stats!$A:$F,2,FALSE) * Y1010* J1010*O1010*E1010*S1010*AD1010*[2]ステータス!$B$2,0)</f>
        <v>4162</v>
      </c>
      <c r="AH1010" s="99">
        <f ca="1">ROUND(VLOOKUP(1,enemy_base_stats!$A:$F,3,FALSE) * Z1010*K1010*P1010*F1010*T1010*AE1010 * W1010*[2]ステータス!$C$2,0)</f>
        <v>363</v>
      </c>
      <c r="AI1010" s="99">
        <f ca="1">ROUND(VLOOKUP(1,enemy_base_stats!$A:$F,4,FALSE) * AA1010*L1010*Q1010*G1010*U1010*AF1010*[2]ステータス!$D$2,0)</f>
        <v>0</v>
      </c>
      <c r="AJ1010" s="99">
        <f ca="1">ROUND(VLOOKUP(100,enemy_base_stats!$A:$F,2,FALSE) * Y1010* J1010*O1010*E1010*S1010*AD1010*[2]ステータス!$B$2,0)</f>
        <v>168961</v>
      </c>
      <c r="AK1010" s="99">
        <f ca="1">ROUND(VLOOKUP(100,enemy_base_stats!$A:$F,3,FALSE)* Z1010* K1010*P1010*F1010*T1010*AE1010 * W1010*[2]ステータス!$C$2,0)</f>
        <v>14736</v>
      </c>
      <c r="AL1010" s="99">
        <f ca="1">ROUND(VLOOKUP(100,enemy_base_stats!$A:$F,4,FALSE)* AA1010* L1010*Q1010*G1010*U1010*AF1010*[2]ステータス!$D$2,0)</f>
        <v>0</v>
      </c>
      <c r="AM1010" s="97">
        <f ca="1">VLOOKUP(M1010,[2]character_tribe_i18n!$A:$I,9,FALSE)</f>
        <v>680</v>
      </c>
      <c r="AN1010" s="97">
        <v>0</v>
      </c>
      <c r="AO1010" s="98">
        <v>0</v>
      </c>
      <c r="AP1010" s="58" t="s">
        <v>72</v>
      </c>
      <c r="AQ1010" s="34">
        <f t="shared" ca="1" si="56"/>
        <v>1009</v>
      </c>
    </row>
    <row r="1011" spans="1:43" ht="21" customHeight="1" x14ac:dyDescent="0.15">
      <c r="A1011" s="7">
        <f t="shared" ca="1" si="54"/>
        <v>1010</v>
      </c>
      <c r="B1011" s="6" t="str">
        <f ca="1">VLOOKUP(A1011,[2]characters!$A:$C,3,FALSE)</f>
        <v>セト</v>
      </c>
      <c r="C1011" s="9">
        <f ca="1">VLOOKUP(A1011,[2]characters!$A:$I,9,FALSE)</f>
        <v>5</v>
      </c>
      <c r="D1011" s="9" t="str">
        <f ca="1">VLOOKUP(A1011,[2]characters!$A:$H,8,FALSE)</f>
        <v>blue</v>
      </c>
      <c r="E1011" s="97">
        <f ca="1">VLOOKUP(D1011,[2]属性!$A:$E,2,FALSE)</f>
        <v>1</v>
      </c>
      <c r="F1011" s="97">
        <f ca="1">VLOOKUP(D1011,[2]属性!$A:$E,3,FALSE)</f>
        <v>0.98</v>
      </c>
      <c r="G1011" s="97">
        <f ca="1">VLOOKUP(D1011,[2]属性!$A:$F,4,FALSE)</f>
        <v>1</v>
      </c>
      <c r="H1011" s="9" t="str">
        <f ca="1">VLOOKUP(A1011,[2]characters!$A:$K,11,FALSE)</f>
        <v>technical</v>
      </c>
      <c r="I1011" s="6" t="str">
        <f ca="1">VLOOKUP(H1011,[2]character_type_i18n!$A:$F,3,FALSE)</f>
        <v>テクニカルタイプ</v>
      </c>
      <c r="J1011" s="97">
        <f ca="1">VLOOKUP(H1011,[2]character_type_i18n!$A:$F,4,FALSE)</f>
        <v>0.9</v>
      </c>
      <c r="K1011" s="97">
        <f ca="1">VLOOKUP(H1011,[2]character_type_i18n!$A:$F,5,FALSE)</f>
        <v>0.9</v>
      </c>
      <c r="L1011" s="97">
        <f ca="1">VLOOKUP(H1011,[2]character_type_i18n!$A:$F,6,FALSE)</f>
        <v>1</v>
      </c>
      <c r="M1011" s="9" t="str">
        <f ca="1">VLOOKUP(A1011,[2]characters!$A:$M,13,FALSE)</f>
        <v>god</v>
      </c>
      <c r="N1011" s="6" t="str">
        <f ca="1">VLOOKUP(M1011,[2]character_tribe_i18n!$A:$F,3,FALSE)</f>
        <v>ゴッド</v>
      </c>
      <c r="O1011" s="97">
        <f ca="1">VLOOKUP(M1011,[2]character_tribe_i18n!$A:$F,4,FALSE)</f>
        <v>0.96</v>
      </c>
      <c r="P1011" s="97">
        <f ca="1">VLOOKUP(M1011,[2]character_tribe_i18n!$A:$F,5,FALSE)</f>
        <v>1.02</v>
      </c>
      <c r="Q1011" s="97">
        <f ca="1">VLOOKUP(M1011,[2]character_tribe_i18n!$A:$F,6,FALSE)</f>
        <v>1</v>
      </c>
      <c r="R1011" s="98" t="s">
        <v>98</v>
      </c>
      <c r="S1011" s="97">
        <f>VLOOKUP($R1011,ラベル別係数!$A$1:$E$7,3,FALSE)</f>
        <v>5</v>
      </c>
      <c r="T1011" s="97">
        <f>VLOOKUP($R1011,ラベル別係数!$A$1:$E$7,4,FALSE)</f>
        <v>1.3</v>
      </c>
      <c r="U1011" s="97">
        <f>VLOOKUP($R1011,ラベル別係数!$A$1:$E$7,5,FALSE)</f>
        <v>0.8</v>
      </c>
      <c r="V1011" s="98">
        <v>3</v>
      </c>
      <c r="W1011" s="99">
        <f>VLOOKUP(V1011,ターン数別攻撃係数!$A$1:$B$1000,2,FALSE)</f>
        <v>1</v>
      </c>
      <c r="X1011" s="9">
        <f ca="1">VLOOKUP(C1011,サイズ別係数!A$2:B$9,2,FALSE)</f>
        <v>60</v>
      </c>
      <c r="Y1011" s="97">
        <f ca="1">VLOOKUP($X1011,サイズ別係数!$B:$E,2,FALSE)</f>
        <v>1.7</v>
      </c>
      <c r="Z1011" s="97">
        <f ca="1">VLOOKUP($X1011,サイズ別係数!$B:$E,3,FALSE)</f>
        <v>1.4</v>
      </c>
      <c r="AA1011" s="97">
        <f ca="1">VLOOKUP($X1011,サイズ別係数!$B:$E,4,FALSE)</f>
        <v>1</v>
      </c>
      <c r="AB1011" s="10">
        <v>0</v>
      </c>
      <c r="AC1011" s="6" t="str">
        <f ca="1">VLOOKUP($AB1011,OFFSET([3]enemy_skill_sets!$B$2,0,0,COUNTA([3]enemy_skill_sets!$A:$A),MATCH(AC$1,[3]enemy_skill_sets!$1:$1,0)-MATCH($AB$1,[3]enemy_skill_sets!$1:$1,0)+1),MATCH(AC$1,[3]enemy_skill_sets!$1:$1,0)-MATCH($AB$1,[3]enemy_skill_sets!$1:$1,0)+1,FALSE)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1" s="67">
        <v>1</v>
      </c>
      <c r="AE1011" s="67">
        <v>1</v>
      </c>
      <c r="AF1011" s="68">
        <v>0</v>
      </c>
      <c r="AG1011" s="99">
        <f ca="1">ROUND(VLOOKUP(1,enemy_base_stats!$A:$F,2,FALSE) * Y1011* J1011*O1011*E1011*S1011*AD1011*[2]ステータス!$B$2,0)</f>
        <v>3672</v>
      </c>
      <c r="AH1011" s="99">
        <f ca="1">ROUND(VLOOKUP(1,enemy_base_stats!$A:$F,3,FALSE) * Z1011*K1011*P1011*F1011*T1011*AE1011 * W1011*[2]ステータス!$C$2,0)</f>
        <v>246</v>
      </c>
      <c r="AI1011" s="99">
        <f ca="1">ROUND(VLOOKUP(1,enemy_base_stats!$A:$F,4,FALSE) * AA1011*L1011*Q1011*G1011*U1011*AF1011*[2]ステータス!$D$2,0)</f>
        <v>0</v>
      </c>
      <c r="AJ1011" s="99">
        <f ca="1">ROUND(VLOOKUP(100,enemy_base_stats!$A:$F,2,FALSE) * Y1011* J1011*O1011*E1011*S1011*AD1011*[2]ステータス!$B$2,0)</f>
        <v>149083</v>
      </c>
      <c r="AK1011" s="99">
        <f ca="1">ROUND(VLOOKUP(100,enemy_base_stats!$A:$F,3,FALSE)* Z1011* K1011*P1011*F1011*T1011*AE1011 * W1011*[2]ステータス!$C$2,0)</f>
        <v>9971</v>
      </c>
      <c r="AL1011" s="99">
        <f ca="1">ROUND(VLOOKUP(100,enemy_base_stats!$A:$F,4,FALSE)* AA1011* L1011*Q1011*G1011*U1011*AF1011*[2]ステータス!$D$2,0)</f>
        <v>0</v>
      </c>
      <c r="AM1011" s="97">
        <f ca="1">VLOOKUP(M1011,[2]character_tribe_i18n!$A:$I,9,FALSE)</f>
        <v>680</v>
      </c>
      <c r="AN1011" s="97">
        <v>0</v>
      </c>
      <c r="AO1011" s="98">
        <v>0</v>
      </c>
      <c r="AP1011" s="58" t="s">
        <v>72</v>
      </c>
      <c r="AQ1011" s="34">
        <f t="shared" ca="1" si="56"/>
        <v>1010</v>
      </c>
    </row>
    <row r="1012" spans="1:43" ht="21" customHeight="1" x14ac:dyDescent="0.15">
      <c r="A1012" s="7">
        <f t="shared" ca="1" si="54"/>
        <v>1011</v>
      </c>
      <c r="B1012" s="6" t="str">
        <f ca="1">VLOOKUP(A1012,[2]characters!$A:$C,3,FALSE)</f>
        <v>偉獰なる荒嵐神 セト</v>
      </c>
      <c r="C1012" s="9">
        <f ca="1">VLOOKUP(A1012,[2]characters!$A:$I,9,FALSE)</f>
        <v>6</v>
      </c>
      <c r="D1012" s="9" t="str">
        <f ca="1">VLOOKUP(A1012,[2]characters!$A:$H,8,FALSE)</f>
        <v>blue</v>
      </c>
      <c r="E1012" s="97">
        <f ca="1">VLOOKUP(D1012,[2]属性!$A:$E,2,FALSE)</f>
        <v>1</v>
      </c>
      <c r="F1012" s="97">
        <f ca="1">VLOOKUP(D1012,[2]属性!$A:$E,3,FALSE)</f>
        <v>0.98</v>
      </c>
      <c r="G1012" s="97">
        <f ca="1">VLOOKUP(D1012,[2]属性!$A:$F,4,FALSE)</f>
        <v>1</v>
      </c>
      <c r="H1012" s="9" t="str">
        <f ca="1">VLOOKUP(A1012,[2]characters!$A:$K,11,FALSE)</f>
        <v>technical</v>
      </c>
      <c r="I1012" s="6" t="str">
        <f ca="1">VLOOKUP(H1012,[2]character_type_i18n!$A:$F,3,FALSE)</f>
        <v>テクニカルタイプ</v>
      </c>
      <c r="J1012" s="97">
        <f ca="1">VLOOKUP(H1012,[2]character_type_i18n!$A:$F,4,FALSE)</f>
        <v>0.9</v>
      </c>
      <c r="K1012" s="97">
        <f ca="1">VLOOKUP(H1012,[2]character_type_i18n!$A:$F,5,FALSE)</f>
        <v>0.9</v>
      </c>
      <c r="L1012" s="97">
        <f ca="1">VLOOKUP(H1012,[2]character_type_i18n!$A:$F,6,FALSE)</f>
        <v>1</v>
      </c>
      <c r="M1012" s="9" t="str">
        <f ca="1">VLOOKUP(A1012,[2]characters!$A:$M,13,FALSE)</f>
        <v>god</v>
      </c>
      <c r="N1012" s="6" t="str">
        <f ca="1">VLOOKUP(M1012,[2]character_tribe_i18n!$A:$F,3,FALSE)</f>
        <v>ゴッド</v>
      </c>
      <c r="O1012" s="97">
        <f ca="1">VLOOKUP(M1012,[2]character_tribe_i18n!$A:$F,4,FALSE)</f>
        <v>0.96</v>
      </c>
      <c r="P1012" s="97">
        <f ca="1">VLOOKUP(M1012,[2]character_tribe_i18n!$A:$F,5,FALSE)</f>
        <v>1.02</v>
      </c>
      <c r="Q1012" s="97">
        <f ca="1">VLOOKUP(M1012,[2]character_tribe_i18n!$A:$F,6,FALSE)</f>
        <v>1</v>
      </c>
      <c r="R1012" s="98" t="s">
        <v>98</v>
      </c>
      <c r="S1012" s="97">
        <f>VLOOKUP($R1012,ラベル別係数!$A$1:$E$7,3,FALSE)</f>
        <v>5</v>
      </c>
      <c r="T1012" s="97">
        <f>VLOOKUP($R1012,ラベル別係数!$A$1:$E$7,4,FALSE)</f>
        <v>1.3</v>
      </c>
      <c r="U1012" s="97">
        <f>VLOOKUP($R1012,ラベル別係数!$A$1:$E$7,5,FALSE)</f>
        <v>0.8</v>
      </c>
      <c r="V1012" s="98">
        <v>3</v>
      </c>
      <c r="W1012" s="99">
        <f>VLOOKUP(V1012,ターン数別攻撃係数!$A$1:$B$1000,2,FALSE)</f>
        <v>1</v>
      </c>
      <c r="X1012" s="9">
        <f ca="1">VLOOKUP(C1012,サイズ別係数!A$2:B$9,2,FALSE)</f>
        <v>60</v>
      </c>
      <c r="Y1012" s="97">
        <f ca="1">VLOOKUP($X1012,サイズ別係数!$B:$E,2,FALSE)</f>
        <v>1.7</v>
      </c>
      <c r="Z1012" s="97">
        <f ca="1">VLOOKUP($X1012,サイズ別係数!$B:$E,3,FALSE)</f>
        <v>1.4</v>
      </c>
      <c r="AA1012" s="97">
        <f ca="1">VLOOKUP($X1012,サイズ別係数!$B:$E,4,FALSE)</f>
        <v>1</v>
      </c>
      <c r="AB1012" s="10">
        <v>0</v>
      </c>
      <c r="AC1012" s="6" t="str">
        <f ca="1">VLOOKUP($AB1012,OFFSET([3]enemy_skill_sets!$B$2,0,0,COUNTA([3]enemy_skill_sets!$A:$A),MATCH(AC$1,[3]enemy_skill_sets!$1:$1,0)-MATCH($AB$1,[3]enemy_skill_sets!$1:$1,0)+1),MATCH(AC$1,[3]enemy_skill_sets!$1:$1,0)-MATCH($AB$1,[3]enemy_skill_sets!$1:$1,0)+1,FALSE)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2" s="67">
        <v>1</v>
      </c>
      <c r="AE1012" s="67">
        <v>1</v>
      </c>
      <c r="AF1012" s="68">
        <v>0</v>
      </c>
      <c r="AG1012" s="99">
        <f ca="1">ROUND(VLOOKUP(1,enemy_base_stats!$A:$F,2,FALSE) * Y1012* J1012*O1012*E1012*S1012*AD1012*[2]ステータス!$B$2,0)</f>
        <v>3672</v>
      </c>
      <c r="AH1012" s="99">
        <f ca="1">ROUND(VLOOKUP(1,enemy_base_stats!$A:$F,3,FALSE) * Z1012*K1012*P1012*F1012*T1012*AE1012 * W1012*[2]ステータス!$C$2,0)</f>
        <v>246</v>
      </c>
      <c r="AI1012" s="99">
        <f ca="1">ROUND(VLOOKUP(1,enemy_base_stats!$A:$F,4,FALSE) * AA1012*L1012*Q1012*G1012*U1012*AF1012*[2]ステータス!$D$2,0)</f>
        <v>0</v>
      </c>
      <c r="AJ1012" s="99">
        <f ca="1">ROUND(VLOOKUP(100,enemy_base_stats!$A:$F,2,FALSE) * Y1012* J1012*O1012*E1012*S1012*AD1012*[2]ステータス!$B$2,0)</f>
        <v>149083</v>
      </c>
      <c r="AK1012" s="99">
        <f ca="1">ROUND(VLOOKUP(100,enemy_base_stats!$A:$F,3,FALSE)* Z1012* K1012*P1012*F1012*T1012*AE1012 * W1012*[2]ステータス!$C$2,0)</f>
        <v>9971</v>
      </c>
      <c r="AL1012" s="99">
        <f ca="1">ROUND(VLOOKUP(100,enemy_base_stats!$A:$F,4,FALSE)* AA1012* L1012*Q1012*G1012*U1012*AF1012*[2]ステータス!$D$2,0)</f>
        <v>0</v>
      </c>
      <c r="AM1012" s="97">
        <f ca="1">VLOOKUP(M1012,[2]character_tribe_i18n!$A:$I,9,FALSE)</f>
        <v>680</v>
      </c>
      <c r="AN1012" s="97">
        <v>0</v>
      </c>
      <c r="AO1012" s="98">
        <v>0</v>
      </c>
      <c r="AP1012" s="58" t="s">
        <v>72</v>
      </c>
      <c r="AQ1012" s="34">
        <f t="shared" ca="1" si="56"/>
        <v>1011</v>
      </c>
    </row>
    <row r="1013" spans="1:43" ht="21" customHeight="1" x14ac:dyDescent="0.15">
      <c r="A1013" s="7">
        <f t="shared" ca="1" si="54"/>
        <v>1012</v>
      </c>
      <c r="B1013" s="6" t="str">
        <f ca="1">VLOOKUP(A1013,[2]characters!$A:$C,3,FALSE)</f>
        <v>ラー</v>
      </c>
      <c r="C1013" s="9">
        <f ca="1">VLOOKUP(A1013,[2]characters!$A:$I,9,FALSE)</f>
        <v>5</v>
      </c>
      <c r="D1013" s="9" t="str">
        <f ca="1">VLOOKUP(A1013,[2]characters!$A:$H,8,FALSE)</f>
        <v>red</v>
      </c>
      <c r="E1013" s="97">
        <f ca="1">VLOOKUP(D1013,[2]属性!$A:$E,2,FALSE)</f>
        <v>1</v>
      </c>
      <c r="F1013" s="97">
        <f ca="1">VLOOKUP(D1013,[2]属性!$A:$E,3,FALSE)</f>
        <v>1.02</v>
      </c>
      <c r="G1013" s="97">
        <f ca="1">VLOOKUP(D1013,[2]属性!$A:$F,4,FALSE)</f>
        <v>1</v>
      </c>
      <c r="H1013" s="9" t="str">
        <f ca="1">VLOOKUP(A1013,[2]characters!$A:$K,11,FALSE)</f>
        <v>balance</v>
      </c>
      <c r="I1013" s="6" t="str">
        <f ca="1">VLOOKUP(H1013,[2]character_type_i18n!$A:$F,3,FALSE)</f>
        <v>バランスタイプ</v>
      </c>
      <c r="J1013" s="97">
        <f ca="1">VLOOKUP(H1013,[2]character_type_i18n!$A:$F,4,FALSE)</f>
        <v>1</v>
      </c>
      <c r="K1013" s="97">
        <f ca="1">VLOOKUP(H1013,[2]character_type_i18n!$A:$F,5,FALSE)</f>
        <v>1</v>
      </c>
      <c r="L1013" s="97">
        <f ca="1">VLOOKUP(H1013,[2]character_type_i18n!$A:$F,6,FALSE)</f>
        <v>1</v>
      </c>
      <c r="M1013" s="9" t="str">
        <f ca="1">VLOOKUP(A1013,[2]characters!$A:$M,13,FALSE)</f>
        <v>god</v>
      </c>
      <c r="N1013" s="6" t="str">
        <f ca="1">VLOOKUP(M1013,[2]character_tribe_i18n!$A:$F,3,FALSE)</f>
        <v>ゴッド</v>
      </c>
      <c r="O1013" s="97">
        <f ca="1">VLOOKUP(M1013,[2]character_tribe_i18n!$A:$F,4,FALSE)</f>
        <v>0.96</v>
      </c>
      <c r="P1013" s="97">
        <f ca="1">VLOOKUP(M1013,[2]character_tribe_i18n!$A:$F,5,FALSE)</f>
        <v>1.02</v>
      </c>
      <c r="Q1013" s="97">
        <f ca="1">VLOOKUP(M1013,[2]character_tribe_i18n!$A:$F,6,FALSE)</f>
        <v>1</v>
      </c>
      <c r="R1013" s="98" t="s">
        <v>98</v>
      </c>
      <c r="S1013" s="97">
        <f>VLOOKUP($R1013,ラベル別係数!$A$1:$E$7,3,FALSE)</f>
        <v>5</v>
      </c>
      <c r="T1013" s="97">
        <f>VLOOKUP($R1013,ラベル別係数!$A$1:$E$7,4,FALSE)</f>
        <v>1.3</v>
      </c>
      <c r="U1013" s="97">
        <f>VLOOKUP($R1013,ラベル別係数!$A$1:$E$7,5,FALSE)</f>
        <v>0.8</v>
      </c>
      <c r="V1013" s="98">
        <v>3</v>
      </c>
      <c r="W1013" s="99">
        <f>VLOOKUP(V1013,ターン数別攻撃係数!$A$1:$B$1000,2,FALSE)</f>
        <v>1</v>
      </c>
      <c r="X1013" s="9">
        <f ca="1">VLOOKUP(C1013,サイズ別係数!A$2:B$9,2,FALSE)</f>
        <v>60</v>
      </c>
      <c r="Y1013" s="97">
        <f ca="1">VLOOKUP($X1013,サイズ別係数!$B:$E,2,FALSE)</f>
        <v>1.7</v>
      </c>
      <c r="Z1013" s="97">
        <f ca="1">VLOOKUP($X1013,サイズ別係数!$B:$E,3,FALSE)</f>
        <v>1.4</v>
      </c>
      <c r="AA1013" s="97">
        <f ca="1">VLOOKUP($X1013,サイズ別係数!$B:$E,4,FALSE)</f>
        <v>1</v>
      </c>
      <c r="AB1013" s="10">
        <v>0</v>
      </c>
      <c r="AC1013" s="6" t="str">
        <f ca="1">VLOOKUP($AB1013,OFFSET([3]enemy_skill_sets!$B$2,0,0,COUNTA([3]enemy_skill_sets!$A:$A),MATCH(AC$1,[3]enemy_skill_sets!$1:$1,0)-MATCH($AB$1,[3]enemy_skill_sets!$1:$1,0)+1),MATCH(AC$1,[3]enemy_skill_sets!$1:$1,0)-MATCH($AB$1,[3]enemy_skill_sets!$1:$1,0)+1,FALSE)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3" s="67">
        <v>1</v>
      </c>
      <c r="AE1013" s="67">
        <v>1</v>
      </c>
      <c r="AF1013" s="68">
        <v>0</v>
      </c>
      <c r="AG1013" s="99">
        <f ca="1">ROUND(VLOOKUP(1,enemy_base_stats!$A:$F,2,FALSE) * Y1013* J1013*O1013*E1013*S1013*AD1013*[2]ステータス!$B$2,0)</f>
        <v>4080</v>
      </c>
      <c r="AH1013" s="99">
        <f ca="1">ROUND(VLOOKUP(1,enemy_base_stats!$A:$F,3,FALSE) * Z1013*K1013*P1013*F1013*T1013*AE1013 * W1013*[2]ステータス!$C$2,0)</f>
        <v>284</v>
      </c>
      <c r="AI1013" s="99">
        <f ca="1">ROUND(VLOOKUP(1,enemy_base_stats!$A:$F,4,FALSE) * AA1013*L1013*Q1013*G1013*U1013*AF1013*[2]ステータス!$D$2,0)</f>
        <v>0</v>
      </c>
      <c r="AJ1013" s="99">
        <f ca="1">ROUND(VLOOKUP(100,enemy_base_stats!$A:$F,2,FALSE) * Y1013* J1013*O1013*E1013*S1013*AD1013*[2]ステータス!$B$2,0)</f>
        <v>165648</v>
      </c>
      <c r="AK1013" s="99">
        <f ca="1">ROUND(VLOOKUP(100,enemy_base_stats!$A:$F,3,FALSE)* Z1013* K1013*P1013*F1013*T1013*AE1013 * W1013*[2]ステータス!$C$2,0)</f>
        <v>11532</v>
      </c>
      <c r="AL1013" s="99">
        <f ca="1">ROUND(VLOOKUP(100,enemy_base_stats!$A:$F,4,FALSE)* AA1013* L1013*Q1013*G1013*U1013*AF1013*[2]ステータス!$D$2,0)</f>
        <v>0</v>
      </c>
      <c r="AM1013" s="97">
        <f ca="1">VLOOKUP(M1013,[2]character_tribe_i18n!$A:$I,9,FALSE)</f>
        <v>680</v>
      </c>
      <c r="AN1013" s="97">
        <v>0</v>
      </c>
      <c r="AO1013" s="98">
        <v>0</v>
      </c>
      <c r="AP1013" s="58" t="s">
        <v>72</v>
      </c>
      <c r="AQ1013" s="34">
        <f t="shared" ca="1" si="56"/>
        <v>1012</v>
      </c>
    </row>
    <row r="1014" spans="1:43" ht="21" customHeight="1" x14ac:dyDescent="0.15">
      <c r="A1014" s="7">
        <f t="shared" ca="1" si="54"/>
        <v>1013</v>
      </c>
      <c r="B1014" s="6" t="str">
        <f ca="1">VLOOKUP(A1014,[2]characters!$A:$C,3,FALSE)</f>
        <v>聖陽昇る緋洸神 ラー</v>
      </c>
      <c r="C1014" s="9">
        <f ca="1">VLOOKUP(A1014,[2]characters!$A:$I,9,FALSE)</f>
        <v>6</v>
      </c>
      <c r="D1014" s="9" t="str">
        <f ca="1">VLOOKUP(A1014,[2]characters!$A:$H,8,FALSE)</f>
        <v>red</v>
      </c>
      <c r="E1014" s="97">
        <f ca="1">VLOOKUP(D1014,[2]属性!$A:$E,2,FALSE)</f>
        <v>1</v>
      </c>
      <c r="F1014" s="97">
        <f ca="1">VLOOKUP(D1014,[2]属性!$A:$E,3,FALSE)</f>
        <v>1.02</v>
      </c>
      <c r="G1014" s="97">
        <f ca="1">VLOOKUP(D1014,[2]属性!$A:$F,4,FALSE)</f>
        <v>1</v>
      </c>
      <c r="H1014" s="9" t="str">
        <f ca="1">VLOOKUP(A1014,[2]characters!$A:$K,11,FALSE)</f>
        <v>balance</v>
      </c>
      <c r="I1014" s="6" t="str">
        <f ca="1">VLOOKUP(H1014,[2]character_type_i18n!$A:$F,3,FALSE)</f>
        <v>バランスタイプ</v>
      </c>
      <c r="J1014" s="97">
        <f ca="1">VLOOKUP(H1014,[2]character_type_i18n!$A:$F,4,FALSE)</f>
        <v>1</v>
      </c>
      <c r="K1014" s="97">
        <f ca="1">VLOOKUP(H1014,[2]character_type_i18n!$A:$F,5,FALSE)</f>
        <v>1</v>
      </c>
      <c r="L1014" s="97">
        <f ca="1">VLOOKUP(H1014,[2]character_type_i18n!$A:$F,6,FALSE)</f>
        <v>1</v>
      </c>
      <c r="M1014" s="9" t="str">
        <f ca="1">VLOOKUP(A1014,[2]characters!$A:$M,13,FALSE)</f>
        <v>god</v>
      </c>
      <c r="N1014" s="6" t="str">
        <f ca="1">VLOOKUP(M1014,[2]character_tribe_i18n!$A:$F,3,FALSE)</f>
        <v>ゴッド</v>
      </c>
      <c r="O1014" s="97">
        <f ca="1">VLOOKUP(M1014,[2]character_tribe_i18n!$A:$F,4,FALSE)</f>
        <v>0.96</v>
      </c>
      <c r="P1014" s="97">
        <f ca="1">VLOOKUP(M1014,[2]character_tribe_i18n!$A:$F,5,FALSE)</f>
        <v>1.02</v>
      </c>
      <c r="Q1014" s="97">
        <f ca="1">VLOOKUP(M1014,[2]character_tribe_i18n!$A:$F,6,FALSE)</f>
        <v>1</v>
      </c>
      <c r="R1014" s="98" t="s">
        <v>98</v>
      </c>
      <c r="S1014" s="97">
        <f>VLOOKUP($R1014,ラベル別係数!$A$1:$E$7,3,FALSE)</f>
        <v>5</v>
      </c>
      <c r="T1014" s="97">
        <f>VLOOKUP($R1014,ラベル別係数!$A$1:$E$7,4,FALSE)</f>
        <v>1.3</v>
      </c>
      <c r="U1014" s="97">
        <f>VLOOKUP($R1014,ラベル別係数!$A$1:$E$7,5,FALSE)</f>
        <v>0.8</v>
      </c>
      <c r="V1014" s="98">
        <v>3</v>
      </c>
      <c r="W1014" s="99">
        <f>VLOOKUP(V1014,ターン数別攻撃係数!$A$1:$B$1000,2,FALSE)</f>
        <v>1</v>
      </c>
      <c r="X1014" s="9">
        <f ca="1">VLOOKUP(C1014,サイズ別係数!A$2:B$9,2,FALSE)</f>
        <v>60</v>
      </c>
      <c r="Y1014" s="97">
        <f ca="1">VLOOKUP($X1014,サイズ別係数!$B:$E,2,FALSE)</f>
        <v>1.7</v>
      </c>
      <c r="Z1014" s="97">
        <f ca="1">VLOOKUP($X1014,サイズ別係数!$B:$E,3,FALSE)</f>
        <v>1.4</v>
      </c>
      <c r="AA1014" s="97">
        <f ca="1">VLOOKUP($X1014,サイズ別係数!$B:$E,4,FALSE)</f>
        <v>1</v>
      </c>
      <c r="AB1014" s="10">
        <v>0</v>
      </c>
      <c r="AC1014" s="6" t="str">
        <f ca="1">VLOOKUP($AB1014,OFFSET([3]enemy_skill_sets!$B$2,0,0,COUNTA([3]enemy_skill_sets!$A:$A),MATCH(AC$1,[3]enemy_skill_sets!$1:$1,0)-MATCH($AB$1,[3]enemy_skill_sets!$1:$1,0)+1),MATCH(AC$1,[3]enemy_skill_sets!$1:$1,0)-MATCH($AB$1,[3]enemy_skill_sets!$1:$1,0)+1,FALSE)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4" s="67">
        <v>1</v>
      </c>
      <c r="AE1014" s="67">
        <v>1</v>
      </c>
      <c r="AF1014" s="68">
        <v>0</v>
      </c>
      <c r="AG1014" s="99">
        <f ca="1">ROUND(VLOOKUP(1,enemy_base_stats!$A:$F,2,FALSE) * Y1014* J1014*O1014*E1014*S1014*AD1014*[2]ステータス!$B$2,0)</f>
        <v>4080</v>
      </c>
      <c r="AH1014" s="99">
        <f ca="1">ROUND(VLOOKUP(1,enemy_base_stats!$A:$F,3,FALSE) * Z1014*K1014*P1014*F1014*T1014*AE1014 * W1014*[2]ステータス!$C$2,0)</f>
        <v>284</v>
      </c>
      <c r="AI1014" s="99">
        <f ca="1">ROUND(VLOOKUP(1,enemy_base_stats!$A:$F,4,FALSE) * AA1014*L1014*Q1014*G1014*U1014*AF1014*[2]ステータス!$D$2,0)</f>
        <v>0</v>
      </c>
      <c r="AJ1014" s="99">
        <f ca="1">ROUND(VLOOKUP(100,enemy_base_stats!$A:$F,2,FALSE) * Y1014* J1014*O1014*E1014*S1014*AD1014*[2]ステータス!$B$2,0)</f>
        <v>165648</v>
      </c>
      <c r="AK1014" s="99">
        <f ca="1">ROUND(VLOOKUP(100,enemy_base_stats!$A:$F,3,FALSE)* Z1014* K1014*P1014*F1014*T1014*AE1014 * W1014*[2]ステータス!$C$2,0)</f>
        <v>11532</v>
      </c>
      <c r="AL1014" s="99">
        <f ca="1">ROUND(VLOOKUP(100,enemy_base_stats!$A:$F,4,FALSE)* AA1014* L1014*Q1014*G1014*U1014*AF1014*[2]ステータス!$D$2,0)</f>
        <v>0</v>
      </c>
      <c r="AM1014" s="97">
        <f ca="1">VLOOKUP(M1014,[2]character_tribe_i18n!$A:$I,9,FALSE)</f>
        <v>680</v>
      </c>
      <c r="AN1014" s="97">
        <v>0</v>
      </c>
      <c r="AO1014" s="98">
        <v>0</v>
      </c>
      <c r="AP1014" s="58" t="s">
        <v>72</v>
      </c>
      <c r="AQ1014" s="34">
        <f t="shared" ca="1" si="56"/>
        <v>1013</v>
      </c>
    </row>
    <row r="1015" spans="1:43" ht="21" customHeight="1" x14ac:dyDescent="0.15">
      <c r="A1015" s="7">
        <f t="shared" ca="1" si="54"/>
        <v>1014</v>
      </c>
      <c r="B1015" s="6" t="str">
        <f ca="1">VLOOKUP(A1015,[2]characters!$A:$C,3,FALSE)</f>
        <v>イシス</v>
      </c>
      <c r="C1015" s="9">
        <f ca="1">VLOOKUP(A1015,[2]characters!$A:$I,9,FALSE)</f>
        <v>5</v>
      </c>
      <c r="D1015" s="9" t="str">
        <f ca="1">VLOOKUP(A1015,[2]characters!$A:$H,8,FALSE)</f>
        <v>green</v>
      </c>
      <c r="E1015" s="97">
        <f ca="1">VLOOKUP(D1015,[2]属性!$A:$E,2,FALSE)</f>
        <v>1.02</v>
      </c>
      <c r="F1015" s="97">
        <f ca="1">VLOOKUP(D1015,[2]属性!$A:$E,3,FALSE)</f>
        <v>0.98</v>
      </c>
      <c r="G1015" s="97">
        <f ca="1">VLOOKUP(D1015,[2]属性!$A:$F,4,FALSE)</f>
        <v>1</v>
      </c>
      <c r="H1015" s="9" t="str">
        <f ca="1">VLOOKUP(A1015,[2]characters!$A:$K,11,FALSE)</f>
        <v>hp</v>
      </c>
      <c r="I1015" s="6" t="str">
        <f ca="1">VLOOKUP(H1015,[2]character_type_i18n!$A:$F,3,FALSE)</f>
        <v>体力タイプ</v>
      </c>
      <c r="J1015" s="97">
        <f ca="1">VLOOKUP(H1015,[2]character_type_i18n!$A:$F,4,FALSE)</f>
        <v>1.45</v>
      </c>
      <c r="K1015" s="97">
        <f ca="1">VLOOKUP(H1015,[2]character_type_i18n!$A:$F,5,FALSE)</f>
        <v>0.85</v>
      </c>
      <c r="L1015" s="97">
        <f ca="1">VLOOKUP(H1015,[2]character_type_i18n!$A:$F,6,FALSE)</f>
        <v>1</v>
      </c>
      <c r="M1015" s="9" t="str">
        <f ca="1">VLOOKUP(A1015,[2]characters!$A:$M,13,FALSE)</f>
        <v>god</v>
      </c>
      <c r="N1015" s="6" t="str">
        <f ca="1">VLOOKUP(M1015,[2]character_tribe_i18n!$A:$F,3,FALSE)</f>
        <v>ゴッド</v>
      </c>
      <c r="O1015" s="97">
        <f ca="1">VLOOKUP(M1015,[2]character_tribe_i18n!$A:$F,4,FALSE)</f>
        <v>0.96</v>
      </c>
      <c r="P1015" s="97">
        <f ca="1">VLOOKUP(M1015,[2]character_tribe_i18n!$A:$F,5,FALSE)</f>
        <v>1.02</v>
      </c>
      <c r="Q1015" s="97">
        <f ca="1">VLOOKUP(M1015,[2]character_tribe_i18n!$A:$F,6,FALSE)</f>
        <v>1</v>
      </c>
      <c r="R1015" s="98" t="s">
        <v>98</v>
      </c>
      <c r="S1015" s="97">
        <f>VLOOKUP($R1015,ラベル別係数!$A$1:$E$7,3,FALSE)</f>
        <v>5</v>
      </c>
      <c r="T1015" s="97">
        <f>VLOOKUP($R1015,ラベル別係数!$A$1:$E$7,4,FALSE)</f>
        <v>1.3</v>
      </c>
      <c r="U1015" s="97">
        <f>VLOOKUP($R1015,ラベル別係数!$A$1:$E$7,5,FALSE)</f>
        <v>0.8</v>
      </c>
      <c r="V1015" s="98">
        <v>3</v>
      </c>
      <c r="W1015" s="99">
        <f>VLOOKUP(V1015,ターン数別攻撃係数!$A$1:$B$1000,2,FALSE)</f>
        <v>1</v>
      </c>
      <c r="X1015" s="9">
        <f ca="1">VLOOKUP(C1015,サイズ別係数!A$2:B$9,2,FALSE)</f>
        <v>60</v>
      </c>
      <c r="Y1015" s="97">
        <f ca="1">VLOOKUP($X1015,サイズ別係数!$B:$E,2,FALSE)</f>
        <v>1.7</v>
      </c>
      <c r="Z1015" s="97">
        <f ca="1">VLOOKUP($X1015,サイズ別係数!$B:$E,3,FALSE)</f>
        <v>1.4</v>
      </c>
      <c r="AA1015" s="97">
        <f ca="1">VLOOKUP($X1015,サイズ別係数!$B:$E,4,FALSE)</f>
        <v>1</v>
      </c>
      <c r="AB1015" s="10">
        <v>0</v>
      </c>
      <c r="AC1015" s="6" t="str">
        <f ca="1">VLOOKUP($AB1015,OFFSET([3]enemy_skill_sets!$B$2,0,0,COUNTA([3]enemy_skill_sets!$A:$A),MATCH(AC$1,[3]enemy_skill_sets!$1:$1,0)-MATCH($AB$1,[3]enemy_skill_sets!$1:$1,0)+1),MATCH(AC$1,[3]enemy_skill_sets!$1:$1,0)-MATCH($AB$1,[3]enemy_skill_sets!$1:$1,0)+1,FALSE)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5" s="67">
        <v>1</v>
      </c>
      <c r="AE1015" s="67">
        <v>1</v>
      </c>
      <c r="AF1015" s="68">
        <v>0</v>
      </c>
      <c r="AG1015" s="99">
        <f ca="1">ROUND(VLOOKUP(1,enemy_base_stats!$A:$F,2,FALSE) * Y1015* J1015*O1015*E1015*S1015*AD1015*[2]ステータス!$B$2,0)</f>
        <v>6034</v>
      </c>
      <c r="AH1015" s="99">
        <f ca="1">ROUND(VLOOKUP(1,enemy_base_stats!$A:$F,3,FALSE) * Z1015*K1015*P1015*F1015*T1015*AE1015 * W1015*[2]ステータス!$C$2,0)</f>
        <v>232</v>
      </c>
      <c r="AI1015" s="99">
        <f ca="1">ROUND(VLOOKUP(1,enemy_base_stats!$A:$F,4,FALSE) * AA1015*L1015*Q1015*G1015*U1015*AF1015*[2]ステータス!$D$2,0)</f>
        <v>0</v>
      </c>
      <c r="AJ1015" s="99">
        <f ca="1">ROUND(VLOOKUP(100,enemy_base_stats!$A:$F,2,FALSE) * Y1015* J1015*O1015*E1015*S1015*AD1015*[2]ステータス!$B$2,0)</f>
        <v>244993</v>
      </c>
      <c r="AK1015" s="99">
        <f ca="1">ROUND(VLOOKUP(100,enemy_base_stats!$A:$F,3,FALSE)* Z1015* K1015*P1015*F1015*T1015*AE1015 * W1015*[2]ステータス!$C$2,0)</f>
        <v>9417</v>
      </c>
      <c r="AL1015" s="99">
        <f ca="1">ROUND(VLOOKUP(100,enemy_base_stats!$A:$F,4,FALSE)* AA1015* L1015*Q1015*G1015*U1015*AF1015*[2]ステータス!$D$2,0)</f>
        <v>0</v>
      </c>
      <c r="AM1015" s="97">
        <f ca="1">VLOOKUP(M1015,[2]character_tribe_i18n!$A:$I,9,FALSE)</f>
        <v>680</v>
      </c>
      <c r="AN1015" s="97">
        <v>0</v>
      </c>
      <c r="AO1015" s="98">
        <v>0</v>
      </c>
      <c r="AP1015" s="58" t="s">
        <v>72</v>
      </c>
      <c r="AQ1015" s="34">
        <f t="shared" ca="1" si="56"/>
        <v>1014</v>
      </c>
    </row>
    <row r="1016" spans="1:43" ht="21" customHeight="1" x14ac:dyDescent="0.15">
      <c r="A1016" s="7">
        <f t="shared" ca="1" si="54"/>
        <v>1015</v>
      </c>
      <c r="B1016" s="6" t="str">
        <f ca="1">VLOOKUP(A1016,[2]characters!$A:$C,3,FALSE)</f>
        <v>繁翠なる蘇聖神 イシス</v>
      </c>
      <c r="C1016" s="9">
        <f ca="1">VLOOKUP(A1016,[2]characters!$A:$I,9,FALSE)</f>
        <v>6</v>
      </c>
      <c r="D1016" s="9" t="str">
        <f ca="1">VLOOKUP(A1016,[2]characters!$A:$H,8,FALSE)</f>
        <v>green</v>
      </c>
      <c r="E1016" s="97">
        <f ca="1">VLOOKUP(D1016,[2]属性!$A:$E,2,FALSE)</f>
        <v>1.02</v>
      </c>
      <c r="F1016" s="97">
        <f ca="1">VLOOKUP(D1016,[2]属性!$A:$E,3,FALSE)</f>
        <v>0.98</v>
      </c>
      <c r="G1016" s="97">
        <f ca="1">VLOOKUP(D1016,[2]属性!$A:$F,4,FALSE)</f>
        <v>1</v>
      </c>
      <c r="H1016" s="9" t="str">
        <f ca="1">VLOOKUP(A1016,[2]characters!$A:$K,11,FALSE)</f>
        <v>hp</v>
      </c>
      <c r="I1016" s="6" t="str">
        <f ca="1">VLOOKUP(H1016,[2]character_type_i18n!$A:$F,3,FALSE)</f>
        <v>体力タイプ</v>
      </c>
      <c r="J1016" s="97">
        <f ca="1">VLOOKUP(H1016,[2]character_type_i18n!$A:$F,4,FALSE)</f>
        <v>1.45</v>
      </c>
      <c r="K1016" s="97">
        <f ca="1">VLOOKUP(H1016,[2]character_type_i18n!$A:$F,5,FALSE)</f>
        <v>0.85</v>
      </c>
      <c r="L1016" s="97">
        <f ca="1">VLOOKUP(H1016,[2]character_type_i18n!$A:$F,6,FALSE)</f>
        <v>1</v>
      </c>
      <c r="M1016" s="9" t="str">
        <f ca="1">VLOOKUP(A1016,[2]characters!$A:$M,13,FALSE)</f>
        <v>god</v>
      </c>
      <c r="N1016" s="6" t="str">
        <f ca="1">VLOOKUP(M1016,[2]character_tribe_i18n!$A:$F,3,FALSE)</f>
        <v>ゴッド</v>
      </c>
      <c r="O1016" s="97">
        <f ca="1">VLOOKUP(M1016,[2]character_tribe_i18n!$A:$F,4,FALSE)</f>
        <v>0.96</v>
      </c>
      <c r="P1016" s="97">
        <f ca="1">VLOOKUP(M1016,[2]character_tribe_i18n!$A:$F,5,FALSE)</f>
        <v>1.02</v>
      </c>
      <c r="Q1016" s="97">
        <f ca="1">VLOOKUP(M1016,[2]character_tribe_i18n!$A:$F,6,FALSE)</f>
        <v>1</v>
      </c>
      <c r="R1016" s="98" t="s">
        <v>98</v>
      </c>
      <c r="S1016" s="97">
        <f>VLOOKUP($R1016,ラベル別係数!$A$1:$E$7,3,FALSE)</f>
        <v>5</v>
      </c>
      <c r="T1016" s="97">
        <f>VLOOKUP($R1016,ラベル別係数!$A$1:$E$7,4,FALSE)</f>
        <v>1.3</v>
      </c>
      <c r="U1016" s="97">
        <f>VLOOKUP($R1016,ラベル別係数!$A$1:$E$7,5,FALSE)</f>
        <v>0.8</v>
      </c>
      <c r="V1016" s="98">
        <v>3</v>
      </c>
      <c r="W1016" s="99">
        <f>VLOOKUP(V1016,ターン数別攻撃係数!$A$1:$B$1000,2,FALSE)</f>
        <v>1</v>
      </c>
      <c r="X1016" s="9">
        <f ca="1">VLOOKUP(C1016,サイズ別係数!A$2:B$9,2,FALSE)</f>
        <v>60</v>
      </c>
      <c r="Y1016" s="97">
        <f ca="1">VLOOKUP($X1016,サイズ別係数!$B:$E,2,FALSE)</f>
        <v>1.7</v>
      </c>
      <c r="Z1016" s="97">
        <f ca="1">VLOOKUP($X1016,サイズ別係数!$B:$E,3,FALSE)</f>
        <v>1.4</v>
      </c>
      <c r="AA1016" s="97">
        <f ca="1">VLOOKUP($X1016,サイズ別係数!$B:$E,4,FALSE)</f>
        <v>1</v>
      </c>
      <c r="AB1016" s="10">
        <v>0</v>
      </c>
      <c r="AC1016" s="6" t="str">
        <f ca="1">VLOOKUP($AB1016,OFFSET([3]enemy_skill_sets!$B$2,0,0,COUNTA([3]enemy_skill_sets!$A:$A),MATCH(AC$1,[3]enemy_skill_sets!$1:$1,0)-MATCH($AB$1,[3]enemy_skill_sets!$1:$1,0)+1),MATCH(AC$1,[3]enemy_skill_sets!$1:$1,0)-MATCH($AB$1,[3]enemy_skill_sets!$1:$1,0)+1,FALSE)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6" s="67">
        <v>1</v>
      </c>
      <c r="AE1016" s="67">
        <v>1</v>
      </c>
      <c r="AF1016" s="68">
        <v>0</v>
      </c>
      <c r="AG1016" s="99">
        <f ca="1">ROUND(VLOOKUP(1,enemy_base_stats!$A:$F,2,FALSE) * Y1016* J1016*O1016*E1016*S1016*AD1016*[2]ステータス!$B$2,0)</f>
        <v>6034</v>
      </c>
      <c r="AH1016" s="99">
        <f ca="1">ROUND(VLOOKUP(1,enemy_base_stats!$A:$F,3,FALSE) * Z1016*K1016*P1016*F1016*T1016*AE1016 * W1016*[2]ステータス!$C$2,0)</f>
        <v>232</v>
      </c>
      <c r="AI1016" s="99">
        <f ca="1">ROUND(VLOOKUP(1,enemy_base_stats!$A:$F,4,FALSE) * AA1016*L1016*Q1016*G1016*U1016*AF1016*[2]ステータス!$D$2,0)</f>
        <v>0</v>
      </c>
      <c r="AJ1016" s="99">
        <f ca="1">ROUND(VLOOKUP(100,enemy_base_stats!$A:$F,2,FALSE) * Y1016* J1016*O1016*E1016*S1016*AD1016*[2]ステータス!$B$2,0)</f>
        <v>244993</v>
      </c>
      <c r="AK1016" s="99">
        <f ca="1">ROUND(VLOOKUP(100,enemy_base_stats!$A:$F,3,FALSE)* Z1016* K1016*P1016*F1016*T1016*AE1016 * W1016*[2]ステータス!$C$2,0)</f>
        <v>9417</v>
      </c>
      <c r="AL1016" s="99">
        <f ca="1">ROUND(VLOOKUP(100,enemy_base_stats!$A:$F,4,FALSE)* AA1016* L1016*Q1016*G1016*U1016*AF1016*[2]ステータス!$D$2,0)</f>
        <v>0</v>
      </c>
      <c r="AM1016" s="97">
        <f ca="1">VLOOKUP(M1016,[2]character_tribe_i18n!$A:$I,9,FALSE)</f>
        <v>680</v>
      </c>
      <c r="AN1016" s="97">
        <v>0</v>
      </c>
      <c r="AO1016" s="98">
        <v>0</v>
      </c>
      <c r="AP1016" s="58" t="s">
        <v>72</v>
      </c>
      <c r="AQ1016" s="34">
        <f t="shared" ca="1" si="56"/>
        <v>1015</v>
      </c>
    </row>
    <row r="1017" spans="1:43" ht="21" customHeight="1" x14ac:dyDescent="0.15">
      <c r="A1017" s="7">
        <f t="shared" ca="1" si="54"/>
        <v>1016</v>
      </c>
      <c r="B1017" s="6" t="str">
        <f ca="1">VLOOKUP(A1017,[2]characters!$A:$C,3,FALSE)</f>
        <v>ハトホル</v>
      </c>
      <c r="C1017" s="9">
        <f ca="1">VLOOKUP(A1017,[2]characters!$A:$I,9,FALSE)</f>
        <v>4</v>
      </c>
      <c r="D1017" s="9" t="str">
        <f ca="1">VLOOKUP(A1017,[2]characters!$A:$H,8,FALSE)</f>
        <v>blue</v>
      </c>
      <c r="E1017" s="97">
        <f ca="1">VLOOKUP(D1017,[2]属性!$A:$E,2,FALSE)</f>
        <v>1</v>
      </c>
      <c r="F1017" s="97">
        <f ca="1">VLOOKUP(D1017,[2]属性!$A:$E,3,FALSE)</f>
        <v>0.98</v>
      </c>
      <c r="G1017" s="97">
        <f ca="1">VLOOKUP(D1017,[2]属性!$A:$F,4,FALSE)</f>
        <v>1</v>
      </c>
      <c r="H1017" s="9" t="str">
        <f ca="1">VLOOKUP(A1017,[2]characters!$A:$K,11,FALSE)</f>
        <v>heal</v>
      </c>
      <c r="I1017" s="6" t="str">
        <f ca="1">VLOOKUP(H1017,[2]character_type_i18n!$A:$F,3,FALSE)</f>
        <v>回復タイプ</v>
      </c>
      <c r="J1017" s="97">
        <f ca="1">VLOOKUP(H1017,[2]character_type_i18n!$A:$F,4,FALSE)</f>
        <v>0.8</v>
      </c>
      <c r="K1017" s="97">
        <f ca="1">VLOOKUP(H1017,[2]character_type_i18n!$A:$F,5,FALSE)</f>
        <v>0.78</v>
      </c>
      <c r="L1017" s="97">
        <f ca="1">VLOOKUP(H1017,[2]character_type_i18n!$A:$F,6,FALSE)</f>
        <v>1</v>
      </c>
      <c r="M1017" s="9" t="str">
        <f ca="1">VLOOKUP(A1017,[2]characters!$A:$M,13,FALSE)</f>
        <v>god</v>
      </c>
      <c r="N1017" s="6" t="str">
        <f ca="1">VLOOKUP(M1017,[2]character_tribe_i18n!$A:$F,3,FALSE)</f>
        <v>ゴッド</v>
      </c>
      <c r="O1017" s="97">
        <f ca="1">VLOOKUP(M1017,[2]character_tribe_i18n!$A:$F,4,FALSE)</f>
        <v>0.96</v>
      </c>
      <c r="P1017" s="97">
        <f ca="1">VLOOKUP(M1017,[2]character_tribe_i18n!$A:$F,5,FALSE)</f>
        <v>1.02</v>
      </c>
      <c r="Q1017" s="97">
        <f ca="1">VLOOKUP(M1017,[2]character_tribe_i18n!$A:$F,6,FALSE)</f>
        <v>1</v>
      </c>
      <c r="R1017" s="98" t="s">
        <v>98</v>
      </c>
      <c r="S1017" s="97">
        <f>VLOOKUP($R1017,ラベル別係数!$A$1:$E$7,3,FALSE)</f>
        <v>5</v>
      </c>
      <c r="T1017" s="97">
        <f>VLOOKUP($R1017,ラベル別係数!$A$1:$E$7,4,FALSE)</f>
        <v>1.3</v>
      </c>
      <c r="U1017" s="97">
        <f>VLOOKUP($R1017,ラベル別係数!$A$1:$E$7,5,FALSE)</f>
        <v>0.8</v>
      </c>
      <c r="V1017" s="98">
        <v>3</v>
      </c>
      <c r="W1017" s="99">
        <f>VLOOKUP(V1017,ターン数別攻撃係数!$A$1:$B$1000,2,FALSE)</f>
        <v>1</v>
      </c>
      <c r="X1017" s="9">
        <f ca="1">VLOOKUP(C1017,サイズ別係数!A$2:B$9,2,FALSE)</f>
        <v>30</v>
      </c>
      <c r="Y1017" s="97">
        <f ca="1">VLOOKUP($X1017,サイズ別係数!$B:$E,2,FALSE)</f>
        <v>1.3</v>
      </c>
      <c r="Z1017" s="97">
        <f ca="1">VLOOKUP($X1017,サイズ別係数!$B:$E,3,FALSE)</f>
        <v>1.3</v>
      </c>
      <c r="AA1017" s="97">
        <f ca="1">VLOOKUP($X1017,サイズ別係数!$B:$E,4,FALSE)</f>
        <v>1.1000000000000001</v>
      </c>
      <c r="AB1017" s="10">
        <v>0</v>
      </c>
      <c r="AC1017" s="6" t="str">
        <f ca="1">VLOOKUP($AB1017,OFFSET([3]enemy_skill_sets!$B$2,0,0,COUNTA([3]enemy_skill_sets!$A:$A),MATCH(AC$1,[3]enemy_skill_sets!$1:$1,0)-MATCH($AB$1,[3]enemy_skill_sets!$1:$1,0)+1),MATCH(AC$1,[3]enemy_skill_sets!$1:$1,0)-MATCH($AB$1,[3]enemy_skill_sets!$1:$1,0)+1,FALSE)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7" s="67">
        <v>1</v>
      </c>
      <c r="AE1017" s="67">
        <v>1</v>
      </c>
      <c r="AF1017" s="68">
        <v>0</v>
      </c>
      <c r="AG1017" s="99">
        <f ca="1">ROUND(VLOOKUP(1,enemy_base_stats!$A:$F,2,FALSE) * Y1017* J1017*O1017*E1017*S1017*AD1017*[2]ステータス!$B$2,0)</f>
        <v>2496</v>
      </c>
      <c r="AH1017" s="99">
        <f ca="1">ROUND(VLOOKUP(1,enemy_base_stats!$A:$F,3,FALSE) * Z1017*K1017*P1017*F1017*T1017*AE1017 * W1017*[2]ステータス!$C$2,0)</f>
        <v>198</v>
      </c>
      <c r="AI1017" s="99">
        <f ca="1">ROUND(VLOOKUP(1,enemy_base_stats!$A:$F,4,FALSE) * AA1017*L1017*Q1017*G1017*U1017*AF1017*[2]ステータス!$D$2,0)</f>
        <v>0</v>
      </c>
      <c r="AJ1017" s="99">
        <f ca="1">ROUND(VLOOKUP(100,enemy_base_stats!$A:$F,2,FALSE) * Y1017* J1017*O1017*E1017*S1017*AD1017*[2]ステータス!$B$2,0)</f>
        <v>101338</v>
      </c>
      <c r="AK1017" s="99">
        <f ca="1">ROUND(VLOOKUP(100,enemy_base_stats!$A:$F,3,FALSE)* Z1017* K1017*P1017*F1017*T1017*AE1017 * W1017*[2]ステータス!$C$2,0)</f>
        <v>8025</v>
      </c>
      <c r="AL1017" s="99">
        <f ca="1">ROUND(VLOOKUP(100,enemy_base_stats!$A:$F,4,FALSE)* AA1017* L1017*Q1017*G1017*U1017*AF1017*[2]ステータス!$D$2,0)</f>
        <v>0</v>
      </c>
      <c r="AM1017" s="97">
        <f ca="1">VLOOKUP(M1017,[2]character_tribe_i18n!$A:$I,9,FALSE)</f>
        <v>680</v>
      </c>
      <c r="AN1017" s="97">
        <v>0</v>
      </c>
      <c r="AO1017" s="98">
        <v>0</v>
      </c>
      <c r="AP1017" s="58" t="s">
        <v>72</v>
      </c>
      <c r="AQ1017" s="34">
        <f t="shared" ca="1" si="56"/>
        <v>1016</v>
      </c>
    </row>
    <row r="1018" spans="1:43" ht="21" customHeight="1" x14ac:dyDescent="0.15">
      <c r="A1018" s="7">
        <f t="shared" ca="1" si="54"/>
        <v>1017</v>
      </c>
      <c r="B1018" s="6" t="str">
        <f ca="1">VLOOKUP(A1018,[2]characters!$A:$C,3,FALSE)</f>
        <v>命瞳の慈母神 ハトホル</v>
      </c>
      <c r="C1018" s="9">
        <f ca="1">VLOOKUP(A1018,[2]characters!$A:$I,9,FALSE)</f>
        <v>5</v>
      </c>
      <c r="D1018" s="9" t="str">
        <f ca="1">VLOOKUP(A1018,[2]characters!$A:$H,8,FALSE)</f>
        <v>blue</v>
      </c>
      <c r="E1018" s="97">
        <f ca="1">VLOOKUP(D1018,[2]属性!$A:$E,2,FALSE)</f>
        <v>1</v>
      </c>
      <c r="F1018" s="97">
        <f ca="1">VLOOKUP(D1018,[2]属性!$A:$E,3,FALSE)</f>
        <v>0.98</v>
      </c>
      <c r="G1018" s="97">
        <f ca="1">VLOOKUP(D1018,[2]属性!$A:$F,4,FALSE)</f>
        <v>1</v>
      </c>
      <c r="H1018" s="9" t="str">
        <f ca="1">VLOOKUP(A1018,[2]characters!$A:$K,11,FALSE)</f>
        <v>heal</v>
      </c>
      <c r="I1018" s="6" t="str">
        <f ca="1">VLOOKUP(H1018,[2]character_type_i18n!$A:$F,3,FALSE)</f>
        <v>回復タイプ</v>
      </c>
      <c r="J1018" s="97">
        <f ca="1">VLOOKUP(H1018,[2]character_type_i18n!$A:$F,4,FALSE)</f>
        <v>0.8</v>
      </c>
      <c r="K1018" s="97">
        <f ca="1">VLOOKUP(H1018,[2]character_type_i18n!$A:$F,5,FALSE)</f>
        <v>0.78</v>
      </c>
      <c r="L1018" s="97">
        <f ca="1">VLOOKUP(H1018,[2]character_type_i18n!$A:$F,6,FALSE)</f>
        <v>1</v>
      </c>
      <c r="M1018" s="9" t="str">
        <f ca="1">VLOOKUP(A1018,[2]characters!$A:$M,13,FALSE)</f>
        <v>god</v>
      </c>
      <c r="N1018" s="6" t="str">
        <f ca="1">VLOOKUP(M1018,[2]character_tribe_i18n!$A:$F,3,FALSE)</f>
        <v>ゴッド</v>
      </c>
      <c r="O1018" s="97">
        <f ca="1">VLOOKUP(M1018,[2]character_tribe_i18n!$A:$F,4,FALSE)</f>
        <v>0.96</v>
      </c>
      <c r="P1018" s="97">
        <f ca="1">VLOOKUP(M1018,[2]character_tribe_i18n!$A:$F,5,FALSE)</f>
        <v>1.02</v>
      </c>
      <c r="Q1018" s="97">
        <f ca="1">VLOOKUP(M1018,[2]character_tribe_i18n!$A:$F,6,FALSE)</f>
        <v>1</v>
      </c>
      <c r="R1018" s="98" t="s">
        <v>98</v>
      </c>
      <c r="S1018" s="97">
        <f>VLOOKUP($R1018,ラベル別係数!$A$1:$E$7,3,FALSE)</f>
        <v>5</v>
      </c>
      <c r="T1018" s="97">
        <f>VLOOKUP($R1018,ラベル別係数!$A$1:$E$7,4,FALSE)</f>
        <v>1.3</v>
      </c>
      <c r="U1018" s="97">
        <f>VLOOKUP($R1018,ラベル別係数!$A$1:$E$7,5,FALSE)</f>
        <v>0.8</v>
      </c>
      <c r="V1018" s="98">
        <v>3</v>
      </c>
      <c r="W1018" s="99">
        <f>VLOOKUP(V1018,ターン数別攻撃係数!$A$1:$B$1000,2,FALSE)</f>
        <v>1</v>
      </c>
      <c r="X1018" s="9">
        <f ca="1">VLOOKUP(C1018,サイズ別係数!A$2:B$9,2,FALSE)</f>
        <v>60</v>
      </c>
      <c r="Y1018" s="97">
        <f ca="1">VLOOKUP($X1018,サイズ別係数!$B:$E,2,FALSE)</f>
        <v>1.7</v>
      </c>
      <c r="Z1018" s="97">
        <f ca="1">VLOOKUP($X1018,サイズ別係数!$B:$E,3,FALSE)</f>
        <v>1.4</v>
      </c>
      <c r="AA1018" s="97">
        <f ca="1">VLOOKUP($X1018,サイズ別係数!$B:$E,4,FALSE)</f>
        <v>1</v>
      </c>
      <c r="AB1018" s="10">
        <v>0</v>
      </c>
      <c r="AC1018" s="6" t="str">
        <f ca="1">VLOOKUP($AB1018,OFFSET([3]enemy_skill_sets!$B$2,0,0,COUNTA([3]enemy_skill_sets!$A:$A),MATCH(AC$1,[3]enemy_skill_sets!$1:$1,0)-MATCH($AB$1,[3]enemy_skill_sets!$1:$1,0)+1),MATCH(AC$1,[3]enemy_skill_sets!$1:$1,0)-MATCH($AB$1,[3]enemy_skill_sets!$1:$1,0)+1,FALSE)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8" s="67">
        <v>1</v>
      </c>
      <c r="AE1018" s="67">
        <v>1</v>
      </c>
      <c r="AF1018" s="68">
        <v>0</v>
      </c>
      <c r="AG1018" s="99">
        <f ca="1">ROUND(VLOOKUP(1,enemy_base_stats!$A:$F,2,FALSE) * Y1018* J1018*O1018*E1018*S1018*AD1018*[2]ステータス!$B$2,0)</f>
        <v>3264</v>
      </c>
      <c r="AH1018" s="99">
        <f ca="1">ROUND(VLOOKUP(1,enemy_base_stats!$A:$F,3,FALSE) * Z1018*K1018*P1018*F1018*T1018*AE1018 * W1018*[2]ステータス!$C$2,0)</f>
        <v>213</v>
      </c>
      <c r="AI1018" s="99">
        <f ca="1">ROUND(VLOOKUP(1,enemy_base_stats!$A:$F,4,FALSE) * AA1018*L1018*Q1018*G1018*U1018*AF1018*[2]ステータス!$D$2,0)</f>
        <v>0</v>
      </c>
      <c r="AJ1018" s="99">
        <f ca="1">ROUND(VLOOKUP(100,enemy_base_stats!$A:$F,2,FALSE) * Y1018* J1018*O1018*E1018*S1018*AD1018*[2]ステータス!$B$2,0)</f>
        <v>132518</v>
      </c>
      <c r="AK1018" s="99">
        <f ca="1">ROUND(VLOOKUP(100,enemy_base_stats!$A:$F,3,FALSE)* Z1018* K1018*P1018*F1018*T1018*AE1018 * W1018*[2]ステータス!$C$2,0)</f>
        <v>8642</v>
      </c>
      <c r="AL1018" s="99">
        <f ca="1">ROUND(VLOOKUP(100,enemy_base_stats!$A:$F,4,FALSE)* AA1018* L1018*Q1018*G1018*U1018*AF1018*[2]ステータス!$D$2,0)</f>
        <v>0</v>
      </c>
      <c r="AM1018" s="97">
        <f ca="1">VLOOKUP(M1018,[2]character_tribe_i18n!$A:$I,9,FALSE)</f>
        <v>680</v>
      </c>
      <c r="AN1018" s="97">
        <v>0</v>
      </c>
      <c r="AO1018" s="98">
        <v>0</v>
      </c>
      <c r="AP1018" s="58" t="s">
        <v>72</v>
      </c>
      <c r="AQ1018" s="34">
        <f t="shared" ca="1" si="56"/>
        <v>1017</v>
      </c>
    </row>
    <row r="1019" spans="1:43" ht="21" customHeight="1" x14ac:dyDescent="0.15">
      <c r="A1019" s="7">
        <f t="shared" ca="1" si="54"/>
        <v>1018</v>
      </c>
      <c r="B1019" s="6" t="str">
        <f ca="1">VLOOKUP(A1019,[2]characters!$A:$C,3,FALSE)</f>
        <v>バステト</v>
      </c>
      <c r="C1019" s="9">
        <f ca="1">VLOOKUP(A1019,[2]characters!$A:$I,9,FALSE)</f>
        <v>5</v>
      </c>
      <c r="D1019" s="9" t="str">
        <f ca="1">VLOOKUP(A1019,[2]characters!$A:$H,8,FALSE)</f>
        <v>yellow</v>
      </c>
      <c r="E1019" s="97">
        <f ca="1">VLOOKUP(D1019,[2]属性!$A:$E,2,FALSE)</f>
        <v>0.98</v>
      </c>
      <c r="F1019" s="97">
        <f ca="1">VLOOKUP(D1019,[2]属性!$A:$E,3,FALSE)</f>
        <v>1.01</v>
      </c>
      <c r="G1019" s="97">
        <f ca="1">VLOOKUP(D1019,[2]属性!$A:$F,4,FALSE)</f>
        <v>1</v>
      </c>
      <c r="H1019" s="9" t="str">
        <f ca="1">VLOOKUP(A1019,[2]characters!$A:$K,11,FALSE)</f>
        <v>attack</v>
      </c>
      <c r="I1019" s="6" t="str">
        <f ca="1">VLOOKUP(H1019,[2]character_type_i18n!$A:$F,3,FALSE)</f>
        <v>攻撃タイプ</v>
      </c>
      <c r="J1019" s="97">
        <f ca="1">VLOOKUP(H1019,[2]character_type_i18n!$A:$F,4,FALSE)</f>
        <v>1</v>
      </c>
      <c r="K1019" s="97">
        <f ca="1">VLOOKUP(H1019,[2]character_type_i18n!$A:$F,5,FALSE)</f>
        <v>1.33</v>
      </c>
      <c r="L1019" s="97">
        <f ca="1">VLOOKUP(H1019,[2]character_type_i18n!$A:$F,6,FALSE)</f>
        <v>1</v>
      </c>
      <c r="M1019" s="9" t="str">
        <f ca="1">VLOOKUP(A1019,[2]characters!$A:$M,13,FALSE)</f>
        <v>god</v>
      </c>
      <c r="N1019" s="6" t="str">
        <f ca="1">VLOOKUP(M1019,[2]character_tribe_i18n!$A:$F,3,FALSE)</f>
        <v>ゴッド</v>
      </c>
      <c r="O1019" s="97">
        <f ca="1">VLOOKUP(M1019,[2]character_tribe_i18n!$A:$F,4,FALSE)</f>
        <v>0.96</v>
      </c>
      <c r="P1019" s="97">
        <f ca="1">VLOOKUP(M1019,[2]character_tribe_i18n!$A:$F,5,FALSE)</f>
        <v>1.02</v>
      </c>
      <c r="Q1019" s="97">
        <f ca="1">VLOOKUP(M1019,[2]character_tribe_i18n!$A:$F,6,FALSE)</f>
        <v>1</v>
      </c>
      <c r="R1019" s="98" t="s">
        <v>98</v>
      </c>
      <c r="S1019" s="97">
        <f>VLOOKUP($R1019,ラベル別係数!$A$1:$E$7,3,FALSE)</f>
        <v>5</v>
      </c>
      <c r="T1019" s="97">
        <f>VLOOKUP($R1019,ラベル別係数!$A$1:$E$7,4,FALSE)</f>
        <v>1.3</v>
      </c>
      <c r="U1019" s="97">
        <f>VLOOKUP($R1019,ラベル別係数!$A$1:$E$7,5,FALSE)</f>
        <v>0.8</v>
      </c>
      <c r="V1019" s="98">
        <v>3</v>
      </c>
      <c r="W1019" s="99">
        <f>VLOOKUP(V1019,ターン数別攻撃係数!$A$1:$B$1000,2,FALSE)</f>
        <v>1</v>
      </c>
      <c r="X1019" s="9">
        <f ca="1">VLOOKUP(C1019,サイズ別係数!A$2:B$9,2,FALSE)</f>
        <v>60</v>
      </c>
      <c r="Y1019" s="97">
        <f ca="1">VLOOKUP($X1019,サイズ別係数!$B:$E,2,FALSE)</f>
        <v>1.7</v>
      </c>
      <c r="Z1019" s="97">
        <f ca="1">VLOOKUP($X1019,サイズ別係数!$B:$E,3,FALSE)</f>
        <v>1.4</v>
      </c>
      <c r="AA1019" s="97">
        <f ca="1">VLOOKUP($X1019,サイズ別係数!$B:$E,4,FALSE)</f>
        <v>1</v>
      </c>
      <c r="AB1019" s="10">
        <v>0</v>
      </c>
      <c r="AC1019" s="6" t="str">
        <f ca="1">VLOOKUP($AB1019,OFFSET([3]enemy_skill_sets!$B$2,0,0,COUNTA([3]enemy_skill_sets!$A:$A),MATCH(AC$1,[3]enemy_skill_sets!$1:$1,0)-MATCH($AB$1,[3]enemy_skill_sets!$1:$1,0)+1),MATCH(AC$1,[3]enemy_skill_sets!$1:$1,0)-MATCH($AB$1,[3]enemy_skill_sets!$1:$1,0)+1,FALSE)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19" s="67">
        <v>1</v>
      </c>
      <c r="AE1019" s="67">
        <v>1</v>
      </c>
      <c r="AF1019" s="68">
        <v>0</v>
      </c>
      <c r="AG1019" s="99">
        <f ca="1">ROUND(VLOOKUP(1,enemy_base_stats!$A:$F,2,FALSE) * Y1019* J1019*O1019*E1019*S1019*AD1019*[2]ステータス!$B$2,0)</f>
        <v>3998</v>
      </c>
      <c r="AH1019" s="99">
        <f ca="1">ROUND(VLOOKUP(1,enemy_base_stats!$A:$F,3,FALSE) * Z1019*K1019*P1019*F1019*T1019*AE1019 * W1019*[2]ステータス!$C$2,0)</f>
        <v>374</v>
      </c>
      <c r="AI1019" s="99">
        <f ca="1">ROUND(VLOOKUP(1,enemy_base_stats!$A:$F,4,FALSE) * AA1019*L1019*Q1019*G1019*U1019*AF1019*[2]ステータス!$D$2,0)</f>
        <v>0</v>
      </c>
      <c r="AJ1019" s="99">
        <f ca="1">ROUND(VLOOKUP(100,enemy_base_stats!$A:$F,2,FALSE) * Y1019* J1019*O1019*E1019*S1019*AD1019*[2]ステータス!$B$2,0)</f>
        <v>162335</v>
      </c>
      <c r="AK1019" s="99">
        <f ca="1">ROUND(VLOOKUP(100,enemy_base_stats!$A:$F,3,FALSE)* Z1019* K1019*P1019*F1019*T1019*AE1019 * W1019*[2]ステータス!$C$2,0)</f>
        <v>15187</v>
      </c>
      <c r="AL1019" s="99">
        <f ca="1">ROUND(VLOOKUP(100,enemy_base_stats!$A:$F,4,FALSE)* AA1019* L1019*Q1019*G1019*U1019*AF1019*[2]ステータス!$D$2,0)</f>
        <v>0</v>
      </c>
      <c r="AM1019" s="97">
        <f ca="1">VLOOKUP(M1019,[2]character_tribe_i18n!$A:$I,9,FALSE)</f>
        <v>680</v>
      </c>
      <c r="AN1019" s="97">
        <v>0</v>
      </c>
      <c r="AO1019" s="98">
        <v>0</v>
      </c>
      <c r="AP1019" s="58" t="s">
        <v>72</v>
      </c>
      <c r="AQ1019" s="34">
        <f t="shared" ca="1" si="56"/>
        <v>1018</v>
      </c>
    </row>
    <row r="1020" spans="1:43" ht="21" customHeight="1" x14ac:dyDescent="0.15">
      <c r="A1020" s="7">
        <f t="shared" ca="1" si="54"/>
        <v>1019</v>
      </c>
      <c r="B1020" s="6" t="str">
        <f ca="1">VLOOKUP(A1020,[2]characters!$A:$C,3,FALSE)</f>
        <v>愛鈴鳴る寵猫神 バステト</v>
      </c>
      <c r="C1020" s="9">
        <f ca="1">VLOOKUP(A1020,[2]characters!$A:$I,9,FALSE)</f>
        <v>6</v>
      </c>
      <c r="D1020" s="9" t="str">
        <f ca="1">VLOOKUP(A1020,[2]characters!$A:$H,8,FALSE)</f>
        <v>yellow</v>
      </c>
      <c r="E1020" s="97">
        <f ca="1">VLOOKUP(D1020,[2]属性!$A:$E,2,FALSE)</f>
        <v>0.98</v>
      </c>
      <c r="F1020" s="97">
        <f ca="1">VLOOKUP(D1020,[2]属性!$A:$E,3,FALSE)</f>
        <v>1.01</v>
      </c>
      <c r="G1020" s="97">
        <f ca="1">VLOOKUP(D1020,[2]属性!$A:$F,4,FALSE)</f>
        <v>1</v>
      </c>
      <c r="H1020" s="9" t="str">
        <f ca="1">VLOOKUP(A1020,[2]characters!$A:$K,11,FALSE)</f>
        <v>attack</v>
      </c>
      <c r="I1020" s="6" t="str">
        <f ca="1">VLOOKUP(H1020,[2]character_type_i18n!$A:$F,3,FALSE)</f>
        <v>攻撃タイプ</v>
      </c>
      <c r="J1020" s="97">
        <f ca="1">VLOOKUP(H1020,[2]character_type_i18n!$A:$F,4,FALSE)</f>
        <v>1</v>
      </c>
      <c r="K1020" s="97">
        <f ca="1">VLOOKUP(H1020,[2]character_type_i18n!$A:$F,5,FALSE)</f>
        <v>1.33</v>
      </c>
      <c r="L1020" s="97">
        <f ca="1">VLOOKUP(H1020,[2]character_type_i18n!$A:$F,6,FALSE)</f>
        <v>1</v>
      </c>
      <c r="M1020" s="9" t="str">
        <f ca="1">VLOOKUP(A1020,[2]characters!$A:$M,13,FALSE)</f>
        <v>god</v>
      </c>
      <c r="N1020" s="6" t="str">
        <f ca="1">VLOOKUP(M1020,[2]character_tribe_i18n!$A:$F,3,FALSE)</f>
        <v>ゴッド</v>
      </c>
      <c r="O1020" s="97">
        <f ca="1">VLOOKUP(M1020,[2]character_tribe_i18n!$A:$F,4,FALSE)</f>
        <v>0.96</v>
      </c>
      <c r="P1020" s="97">
        <f ca="1">VLOOKUP(M1020,[2]character_tribe_i18n!$A:$F,5,FALSE)</f>
        <v>1.02</v>
      </c>
      <c r="Q1020" s="97">
        <f ca="1">VLOOKUP(M1020,[2]character_tribe_i18n!$A:$F,6,FALSE)</f>
        <v>1</v>
      </c>
      <c r="R1020" s="98" t="s">
        <v>98</v>
      </c>
      <c r="S1020" s="97">
        <f>VLOOKUP($R1020,ラベル別係数!$A$1:$E$7,3,FALSE)</f>
        <v>5</v>
      </c>
      <c r="T1020" s="97">
        <f>VLOOKUP($R1020,ラベル別係数!$A$1:$E$7,4,FALSE)</f>
        <v>1.3</v>
      </c>
      <c r="U1020" s="97">
        <f>VLOOKUP($R1020,ラベル別係数!$A$1:$E$7,5,FALSE)</f>
        <v>0.8</v>
      </c>
      <c r="V1020" s="98">
        <v>3</v>
      </c>
      <c r="W1020" s="99">
        <f>VLOOKUP(V1020,ターン数別攻撃係数!$A$1:$B$1000,2,FALSE)</f>
        <v>1</v>
      </c>
      <c r="X1020" s="9">
        <f ca="1">VLOOKUP(C1020,サイズ別係数!A$2:B$9,2,FALSE)</f>
        <v>60</v>
      </c>
      <c r="Y1020" s="97">
        <f ca="1">VLOOKUP($X1020,サイズ別係数!$B:$E,2,FALSE)</f>
        <v>1.7</v>
      </c>
      <c r="Z1020" s="97">
        <f ca="1">VLOOKUP($X1020,サイズ別係数!$B:$E,3,FALSE)</f>
        <v>1.4</v>
      </c>
      <c r="AA1020" s="97">
        <f ca="1">VLOOKUP($X1020,サイズ別係数!$B:$E,4,FALSE)</f>
        <v>1</v>
      </c>
      <c r="AB1020" s="10">
        <v>0</v>
      </c>
      <c r="AC1020" s="6" t="str">
        <f ca="1">VLOOKUP($AB1020,OFFSET([3]enemy_skill_sets!$B$2,0,0,COUNTA([3]enemy_skill_sets!$A:$A),MATCH(AC$1,[3]enemy_skill_sets!$1:$1,0)-MATCH($AB$1,[3]enemy_skill_sets!$1:$1,0)+1),MATCH(AC$1,[3]enemy_skill_sets!$1:$1,0)-MATCH($AB$1,[3]enemy_skill_sets!$1:$1,0)+1,FALSE)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0" s="67">
        <v>1</v>
      </c>
      <c r="AE1020" s="67">
        <v>1</v>
      </c>
      <c r="AF1020" s="68">
        <v>0</v>
      </c>
      <c r="AG1020" s="99">
        <f ca="1">ROUND(VLOOKUP(1,enemy_base_stats!$A:$F,2,FALSE) * Y1020* J1020*O1020*E1020*S1020*AD1020*[2]ステータス!$B$2,0)</f>
        <v>3998</v>
      </c>
      <c r="AH1020" s="99">
        <f ca="1">ROUND(VLOOKUP(1,enemy_base_stats!$A:$F,3,FALSE) * Z1020*K1020*P1020*F1020*T1020*AE1020 * W1020*[2]ステータス!$C$2,0)</f>
        <v>374</v>
      </c>
      <c r="AI1020" s="99">
        <f ca="1">ROUND(VLOOKUP(1,enemy_base_stats!$A:$F,4,FALSE) * AA1020*L1020*Q1020*G1020*U1020*AF1020*[2]ステータス!$D$2,0)</f>
        <v>0</v>
      </c>
      <c r="AJ1020" s="99">
        <f ca="1">ROUND(VLOOKUP(100,enemy_base_stats!$A:$F,2,FALSE) * Y1020* J1020*O1020*E1020*S1020*AD1020*[2]ステータス!$B$2,0)</f>
        <v>162335</v>
      </c>
      <c r="AK1020" s="99">
        <f ca="1">ROUND(VLOOKUP(100,enemy_base_stats!$A:$F,3,FALSE)* Z1020* K1020*P1020*F1020*T1020*AE1020 * W1020*[2]ステータス!$C$2,0)</f>
        <v>15187</v>
      </c>
      <c r="AL1020" s="99">
        <f ca="1">ROUND(VLOOKUP(100,enemy_base_stats!$A:$F,4,FALSE)* AA1020* L1020*Q1020*G1020*U1020*AF1020*[2]ステータス!$D$2,0)</f>
        <v>0</v>
      </c>
      <c r="AM1020" s="97">
        <f ca="1">VLOOKUP(M1020,[2]character_tribe_i18n!$A:$I,9,FALSE)</f>
        <v>680</v>
      </c>
      <c r="AN1020" s="97">
        <v>0</v>
      </c>
      <c r="AO1020" s="98">
        <v>0</v>
      </c>
      <c r="AP1020" s="58" t="s">
        <v>72</v>
      </c>
      <c r="AQ1020" s="34">
        <f t="shared" ca="1" si="56"/>
        <v>1019</v>
      </c>
    </row>
    <row r="1021" spans="1:43" ht="21" customHeight="1" x14ac:dyDescent="0.15">
      <c r="A1021" s="7">
        <f t="shared" ca="1" si="54"/>
        <v>1020</v>
      </c>
      <c r="B1021" s="6" t="str">
        <f ca="1">VLOOKUP(A1021,[2]characters!$A:$C,3,FALSE)</f>
        <v>静御前</v>
      </c>
      <c r="C1021" s="9">
        <f ca="1">VLOOKUP(A1021,[2]characters!$A:$I,9,FALSE)</f>
        <v>4</v>
      </c>
      <c r="D1021" s="9" t="str">
        <f ca="1">VLOOKUP(A1021,[2]characters!$A:$H,8,FALSE)</f>
        <v>red</v>
      </c>
      <c r="E1021" s="97">
        <f ca="1">VLOOKUP(D1021,[2]属性!$A:$E,2,FALSE)</f>
        <v>1</v>
      </c>
      <c r="F1021" s="97">
        <f ca="1">VLOOKUP(D1021,[2]属性!$A:$E,3,FALSE)</f>
        <v>1.02</v>
      </c>
      <c r="G1021" s="97">
        <f ca="1">VLOOKUP(D1021,[2]属性!$A:$F,4,FALSE)</f>
        <v>1</v>
      </c>
      <c r="H1021" s="9" t="str">
        <f ca="1">VLOOKUP(A1021,[2]characters!$A:$K,11,FALSE)</f>
        <v>technical</v>
      </c>
      <c r="I1021" s="6" t="str">
        <f ca="1">VLOOKUP(H1021,[2]character_type_i18n!$A:$F,3,FALSE)</f>
        <v>テクニカルタイプ</v>
      </c>
      <c r="J1021" s="97">
        <f ca="1">VLOOKUP(H1021,[2]character_type_i18n!$A:$F,4,FALSE)</f>
        <v>0.9</v>
      </c>
      <c r="K1021" s="97">
        <f ca="1">VLOOKUP(H1021,[2]character_type_i18n!$A:$F,5,FALSE)</f>
        <v>0.9</v>
      </c>
      <c r="L1021" s="97">
        <f ca="1">VLOOKUP(H1021,[2]character_type_i18n!$A:$F,6,FALSE)</f>
        <v>1</v>
      </c>
      <c r="M1021" s="9" t="str">
        <f ca="1">VLOOKUP(A1021,[2]characters!$A:$M,13,FALSE)</f>
        <v>human</v>
      </c>
      <c r="N1021" s="6" t="str">
        <f ca="1">VLOOKUP(M1021,[2]character_tribe_i18n!$A:$F,3,FALSE)</f>
        <v>ヒューマン</v>
      </c>
      <c r="O1021" s="97">
        <f ca="1">VLOOKUP(M1021,[2]character_tribe_i18n!$A:$F,4,FALSE)</f>
        <v>0.94</v>
      </c>
      <c r="P1021" s="97">
        <f ca="1">VLOOKUP(M1021,[2]character_tribe_i18n!$A:$F,5,FALSE)</f>
        <v>0.99</v>
      </c>
      <c r="Q1021" s="97">
        <f ca="1">VLOOKUP(M1021,[2]character_tribe_i18n!$A:$F,6,FALSE)</f>
        <v>1</v>
      </c>
      <c r="R1021" s="98" t="s">
        <v>98</v>
      </c>
      <c r="S1021" s="97">
        <f>VLOOKUP($R1021,ラベル別係数!$A$1:$E$7,3,FALSE)</f>
        <v>5</v>
      </c>
      <c r="T1021" s="97">
        <f>VLOOKUP($R1021,ラベル別係数!$A$1:$E$7,4,FALSE)</f>
        <v>1.3</v>
      </c>
      <c r="U1021" s="97">
        <f>VLOOKUP($R1021,ラベル別係数!$A$1:$E$7,5,FALSE)</f>
        <v>0.8</v>
      </c>
      <c r="V1021" s="98">
        <v>3</v>
      </c>
      <c r="W1021" s="99">
        <f>VLOOKUP(V1021,ターン数別攻撃係数!$A$1:$B$1000,2,FALSE)</f>
        <v>1</v>
      </c>
      <c r="X1021" s="9">
        <f ca="1">VLOOKUP(C1021,サイズ別係数!A$2:B$9,2,FALSE)</f>
        <v>30</v>
      </c>
      <c r="Y1021" s="97">
        <f ca="1">VLOOKUP($X1021,サイズ別係数!$B:$E,2,FALSE)</f>
        <v>1.3</v>
      </c>
      <c r="Z1021" s="97">
        <f ca="1">VLOOKUP($X1021,サイズ別係数!$B:$E,3,FALSE)</f>
        <v>1.3</v>
      </c>
      <c r="AA1021" s="97">
        <f ca="1">VLOOKUP($X1021,サイズ別係数!$B:$E,4,FALSE)</f>
        <v>1.1000000000000001</v>
      </c>
      <c r="AB1021" s="10">
        <v>0</v>
      </c>
      <c r="AC1021" s="6" t="str">
        <f ca="1">VLOOKUP($AB1021,OFFSET([3]enemy_skill_sets!$B$2,0,0,COUNTA([3]enemy_skill_sets!$A:$A),MATCH(AC$1,[3]enemy_skill_sets!$1:$1,0)-MATCH($AB$1,[3]enemy_skill_sets!$1:$1,0)+1),MATCH(AC$1,[3]enemy_skill_sets!$1:$1,0)-MATCH($AB$1,[3]enemy_skill_sets!$1:$1,0)+1,FALSE)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1" s="67">
        <v>1</v>
      </c>
      <c r="AE1021" s="67">
        <v>1</v>
      </c>
      <c r="AF1021" s="68">
        <v>0</v>
      </c>
      <c r="AG1021" s="99">
        <f ca="1">ROUND(VLOOKUP(1,enemy_base_stats!$A:$F,2,FALSE) * Y1021* J1021*O1021*E1021*S1021*AD1021*[2]ステータス!$B$2,0)</f>
        <v>2750</v>
      </c>
      <c r="AH1021" s="99">
        <f ca="1">ROUND(VLOOKUP(1,enemy_base_stats!$A:$F,3,FALSE) * Z1021*K1021*P1021*F1021*T1021*AE1021 * W1021*[2]ステータス!$C$2,0)</f>
        <v>230</v>
      </c>
      <c r="AI1021" s="99">
        <f ca="1">ROUND(VLOOKUP(1,enemy_base_stats!$A:$F,4,FALSE) * AA1021*L1021*Q1021*G1021*U1021*AF1021*[2]ステータス!$D$2,0)</f>
        <v>0</v>
      </c>
      <c r="AJ1021" s="99">
        <f ca="1">ROUND(VLOOKUP(100,enemy_base_stats!$A:$F,2,FALSE) * Y1021* J1021*O1021*E1021*S1021*AD1021*[2]ステータス!$B$2,0)</f>
        <v>111630</v>
      </c>
      <c r="AK1021" s="99">
        <f ca="1">ROUND(VLOOKUP(100,enemy_base_stats!$A:$F,3,FALSE)* Z1021* K1021*P1021*F1021*T1021*AE1021 * W1021*[2]ステータス!$C$2,0)</f>
        <v>9354</v>
      </c>
      <c r="AL1021" s="99">
        <f ca="1">ROUND(VLOOKUP(100,enemy_base_stats!$A:$F,4,FALSE)* AA1021* L1021*Q1021*G1021*U1021*AF1021*[2]ステータス!$D$2,0)</f>
        <v>0</v>
      </c>
      <c r="AM1021" s="97">
        <f ca="1">VLOOKUP(M1021,[2]character_tribe_i18n!$A:$I,9,FALSE)</f>
        <v>400</v>
      </c>
      <c r="AN1021" s="97">
        <v>0</v>
      </c>
      <c r="AO1021" s="98">
        <v>0</v>
      </c>
      <c r="AP1021" s="58" t="s">
        <v>72</v>
      </c>
      <c r="AQ1021" s="34">
        <f t="shared" ca="1" si="56"/>
        <v>1020</v>
      </c>
    </row>
    <row r="1022" spans="1:43" ht="21" customHeight="1" x14ac:dyDescent="0.15">
      <c r="A1022" s="7">
        <f t="shared" ca="1" si="54"/>
        <v>1021</v>
      </c>
      <c r="B1022" s="6" t="str">
        <f ca="1">VLOOKUP(A1022,[2]characters!$A:$C,3,FALSE)</f>
        <v>焔耀の舞姫 静御前</v>
      </c>
      <c r="C1022" s="9">
        <f ca="1">VLOOKUP(A1022,[2]characters!$A:$I,9,FALSE)</f>
        <v>5</v>
      </c>
      <c r="D1022" s="9" t="str">
        <f ca="1">VLOOKUP(A1022,[2]characters!$A:$H,8,FALSE)</f>
        <v>red</v>
      </c>
      <c r="E1022" s="97">
        <f ca="1">VLOOKUP(D1022,[2]属性!$A:$E,2,FALSE)</f>
        <v>1</v>
      </c>
      <c r="F1022" s="97">
        <f ca="1">VLOOKUP(D1022,[2]属性!$A:$E,3,FALSE)</f>
        <v>1.02</v>
      </c>
      <c r="G1022" s="97">
        <f ca="1">VLOOKUP(D1022,[2]属性!$A:$F,4,FALSE)</f>
        <v>1</v>
      </c>
      <c r="H1022" s="9" t="str">
        <f ca="1">VLOOKUP(A1022,[2]characters!$A:$K,11,FALSE)</f>
        <v>technical</v>
      </c>
      <c r="I1022" s="6" t="str">
        <f ca="1">VLOOKUP(H1022,[2]character_type_i18n!$A:$F,3,FALSE)</f>
        <v>テクニカルタイプ</v>
      </c>
      <c r="J1022" s="97">
        <f ca="1">VLOOKUP(H1022,[2]character_type_i18n!$A:$F,4,FALSE)</f>
        <v>0.9</v>
      </c>
      <c r="K1022" s="97">
        <f ca="1">VLOOKUP(H1022,[2]character_type_i18n!$A:$F,5,FALSE)</f>
        <v>0.9</v>
      </c>
      <c r="L1022" s="97">
        <f ca="1">VLOOKUP(H1022,[2]character_type_i18n!$A:$F,6,FALSE)</f>
        <v>1</v>
      </c>
      <c r="M1022" s="9" t="str">
        <f ca="1">VLOOKUP(A1022,[2]characters!$A:$M,13,FALSE)</f>
        <v>human</v>
      </c>
      <c r="N1022" s="6" t="str">
        <f ca="1">VLOOKUP(M1022,[2]character_tribe_i18n!$A:$F,3,FALSE)</f>
        <v>ヒューマン</v>
      </c>
      <c r="O1022" s="97">
        <f ca="1">VLOOKUP(M1022,[2]character_tribe_i18n!$A:$F,4,FALSE)</f>
        <v>0.94</v>
      </c>
      <c r="P1022" s="97">
        <f ca="1">VLOOKUP(M1022,[2]character_tribe_i18n!$A:$F,5,FALSE)</f>
        <v>0.99</v>
      </c>
      <c r="Q1022" s="97">
        <f ca="1">VLOOKUP(M1022,[2]character_tribe_i18n!$A:$F,6,FALSE)</f>
        <v>1</v>
      </c>
      <c r="R1022" s="98" t="s">
        <v>98</v>
      </c>
      <c r="S1022" s="97">
        <f>VLOOKUP($R1022,ラベル別係数!$A$1:$E$7,3,FALSE)</f>
        <v>5</v>
      </c>
      <c r="T1022" s="97">
        <f>VLOOKUP($R1022,ラベル別係数!$A$1:$E$7,4,FALSE)</f>
        <v>1.3</v>
      </c>
      <c r="U1022" s="97">
        <f>VLOOKUP($R1022,ラベル別係数!$A$1:$E$7,5,FALSE)</f>
        <v>0.8</v>
      </c>
      <c r="V1022" s="98">
        <v>3</v>
      </c>
      <c r="W1022" s="99">
        <f>VLOOKUP(V1022,ターン数別攻撃係数!$A$1:$B$1000,2,FALSE)</f>
        <v>1</v>
      </c>
      <c r="X1022" s="9">
        <f ca="1">VLOOKUP(C1022,サイズ別係数!A$2:B$9,2,FALSE)</f>
        <v>60</v>
      </c>
      <c r="Y1022" s="97">
        <f ca="1">VLOOKUP($X1022,サイズ別係数!$B:$E,2,FALSE)</f>
        <v>1.7</v>
      </c>
      <c r="Z1022" s="97">
        <f ca="1">VLOOKUP($X1022,サイズ別係数!$B:$E,3,FALSE)</f>
        <v>1.4</v>
      </c>
      <c r="AA1022" s="97">
        <f ca="1">VLOOKUP($X1022,サイズ別係数!$B:$E,4,FALSE)</f>
        <v>1</v>
      </c>
      <c r="AB1022" s="10">
        <v>0</v>
      </c>
      <c r="AC1022" s="6" t="str">
        <f ca="1">VLOOKUP($AB1022,OFFSET([3]enemy_skill_sets!$B$2,0,0,COUNTA([3]enemy_skill_sets!$A:$A),MATCH(AC$1,[3]enemy_skill_sets!$1:$1,0)-MATCH($AB$1,[3]enemy_skill_sets!$1:$1,0)+1),MATCH(AC$1,[3]enemy_skill_sets!$1:$1,0)-MATCH($AB$1,[3]enemy_skill_sets!$1:$1,0)+1,FALSE)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2" s="67">
        <v>1</v>
      </c>
      <c r="AE1022" s="67">
        <v>1</v>
      </c>
      <c r="AF1022" s="68">
        <v>0</v>
      </c>
      <c r="AG1022" s="99">
        <f ca="1">ROUND(VLOOKUP(1,enemy_base_stats!$A:$F,2,FALSE) * Y1022* J1022*O1022*E1022*S1022*AD1022*[2]ステータス!$B$2,0)</f>
        <v>3596</v>
      </c>
      <c r="AH1022" s="99">
        <f ca="1">ROUND(VLOOKUP(1,enemy_base_stats!$A:$F,3,FALSE) * Z1022*K1022*P1022*F1022*T1022*AE1022 * W1022*[2]ステータス!$C$2,0)</f>
        <v>248</v>
      </c>
      <c r="AI1022" s="99">
        <f ca="1">ROUND(VLOOKUP(1,enemy_base_stats!$A:$F,4,FALSE) * AA1022*L1022*Q1022*G1022*U1022*AF1022*[2]ステータス!$D$2,0)</f>
        <v>0</v>
      </c>
      <c r="AJ1022" s="99">
        <f ca="1">ROUND(VLOOKUP(100,enemy_base_stats!$A:$F,2,FALSE) * Y1022* J1022*O1022*E1022*S1022*AD1022*[2]ステータス!$B$2,0)</f>
        <v>145977</v>
      </c>
      <c r="AK1022" s="99">
        <f ca="1">ROUND(VLOOKUP(100,enemy_base_stats!$A:$F,3,FALSE)* Z1022* K1022*P1022*F1022*T1022*AE1022 * W1022*[2]ステータス!$C$2,0)</f>
        <v>10073</v>
      </c>
      <c r="AL1022" s="99">
        <f ca="1">ROUND(VLOOKUP(100,enemy_base_stats!$A:$F,4,FALSE)* AA1022* L1022*Q1022*G1022*U1022*AF1022*[2]ステータス!$D$2,0)</f>
        <v>0</v>
      </c>
      <c r="AM1022" s="97">
        <f ca="1">VLOOKUP(M1022,[2]character_tribe_i18n!$A:$I,9,FALSE)</f>
        <v>400</v>
      </c>
      <c r="AN1022" s="97">
        <v>0</v>
      </c>
      <c r="AO1022" s="98">
        <v>0</v>
      </c>
      <c r="AP1022" s="58" t="s">
        <v>72</v>
      </c>
      <c r="AQ1022" s="34">
        <f t="shared" ca="1" si="56"/>
        <v>1021</v>
      </c>
    </row>
    <row r="1023" spans="1:43" ht="21" customHeight="1" x14ac:dyDescent="0.15">
      <c r="A1023" s="7">
        <f t="shared" ca="1" si="54"/>
        <v>1022</v>
      </c>
      <c r="B1023" s="6" t="str">
        <f ca="1">VLOOKUP(A1023,[2]characters!$A:$C,3,FALSE)</f>
        <v>那須与一</v>
      </c>
      <c r="C1023" s="9">
        <f ca="1">VLOOKUP(A1023,[2]characters!$A:$I,9,FALSE)</f>
        <v>4</v>
      </c>
      <c r="D1023" s="9" t="str">
        <f ca="1">VLOOKUP(A1023,[2]characters!$A:$H,8,FALSE)</f>
        <v>green</v>
      </c>
      <c r="E1023" s="97">
        <f ca="1">VLOOKUP(D1023,[2]属性!$A:$E,2,FALSE)</f>
        <v>1.02</v>
      </c>
      <c r="F1023" s="97">
        <f ca="1">VLOOKUP(D1023,[2]属性!$A:$E,3,FALSE)</f>
        <v>0.98</v>
      </c>
      <c r="G1023" s="97">
        <f ca="1">VLOOKUP(D1023,[2]属性!$A:$F,4,FALSE)</f>
        <v>1</v>
      </c>
      <c r="H1023" s="9" t="str">
        <f ca="1">VLOOKUP(A1023,[2]characters!$A:$K,11,FALSE)</f>
        <v>technical</v>
      </c>
      <c r="I1023" s="6" t="str">
        <f ca="1">VLOOKUP(H1023,[2]character_type_i18n!$A:$F,3,FALSE)</f>
        <v>テクニカルタイプ</v>
      </c>
      <c r="J1023" s="97">
        <f ca="1">VLOOKUP(H1023,[2]character_type_i18n!$A:$F,4,FALSE)</f>
        <v>0.9</v>
      </c>
      <c r="K1023" s="97">
        <f ca="1">VLOOKUP(H1023,[2]character_type_i18n!$A:$F,5,FALSE)</f>
        <v>0.9</v>
      </c>
      <c r="L1023" s="97">
        <f ca="1">VLOOKUP(H1023,[2]character_type_i18n!$A:$F,6,FALSE)</f>
        <v>1</v>
      </c>
      <c r="M1023" s="9" t="str">
        <f ca="1">VLOOKUP(A1023,[2]characters!$A:$M,13,FALSE)</f>
        <v>human</v>
      </c>
      <c r="N1023" s="6" t="str">
        <f ca="1">VLOOKUP(M1023,[2]character_tribe_i18n!$A:$F,3,FALSE)</f>
        <v>ヒューマン</v>
      </c>
      <c r="O1023" s="97">
        <f ca="1">VLOOKUP(M1023,[2]character_tribe_i18n!$A:$F,4,FALSE)</f>
        <v>0.94</v>
      </c>
      <c r="P1023" s="97">
        <f ca="1">VLOOKUP(M1023,[2]character_tribe_i18n!$A:$F,5,FALSE)</f>
        <v>0.99</v>
      </c>
      <c r="Q1023" s="97">
        <f ca="1">VLOOKUP(M1023,[2]character_tribe_i18n!$A:$F,6,FALSE)</f>
        <v>1</v>
      </c>
      <c r="R1023" s="98" t="s">
        <v>98</v>
      </c>
      <c r="S1023" s="97">
        <f>VLOOKUP($R1023,ラベル別係数!$A$1:$E$7,3,FALSE)</f>
        <v>5</v>
      </c>
      <c r="T1023" s="97">
        <f>VLOOKUP($R1023,ラベル別係数!$A$1:$E$7,4,FALSE)</f>
        <v>1.3</v>
      </c>
      <c r="U1023" s="97">
        <f>VLOOKUP($R1023,ラベル別係数!$A$1:$E$7,5,FALSE)</f>
        <v>0.8</v>
      </c>
      <c r="V1023" s="98">
        <v>3</v>
      </c>
      <c r="W1023" s="99">
        <f>VLOOKUP(V1023,ターン数別攻撃係数!$A$1:$B$1000,2,FALSE)</f>
        <v>1</v>
      </c>
      <c r="X1023" s="9">
        <f ca="1">VLOOKUP(C1023,サイズ別係数!A$2:B$9,2,FALSE)</f>
        <v>30</v>
      </c>
      <c r="Y1023" s="97">
        <f ca="1">VLOOKUP($X1023,サイズ別係数!$B:$E,2,FALSE)</f>
        <v>1.3</v>
      </c>
      <c r="Z1023" s="97">
        <f ca="1">VLOOKUP($X1023,サイズ別係数!$B:$E,3,FALSE)</f>
        <v>1.3</v>
      </c>
      <c r="AA1023" s="97">
        <f ca="1">VLOOKUP($X1023,サイズ別係数!$B:$E,4,FALSE)</f>
        <v>1.1000000000000001</v>
      </c>
      <c r="AB1023" s="10">
        <v>0</v>
      </c>
      <c r="AC1023" s="6" t="str">
        <f ca="1">VLOOKUP($AB1023,OFFSET([3]enemy_skill_sets!$B$2,0,0,COUNTA([3]enemy_skill_sets!$A:$A),MATCH(AC$1,[3]enemy_skill_sets!$1:$1,0)-MATCH($AB$1,[3]enemy_skill_sets!$1:$1,0)+1),MATCH(AC$1,[3]enemy_skill_sets!$1:$1,0)-MATCH($AB$1,[3]enemy_skill_sets!$1:$1,0)+1,FALSE)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3" s="67">
        <v>1</v>
      </c>
      <c r="AE1023" s="67">
        <v>1</v>
      </c>
      <c r="AF1023" s="68">
        <v>0</v>
      </c>
      <c r="AG1023" s="99">
        <f ca="1">ROUND(VLOOKUP(1,enemy_base_stats!$A:$F,2,FALSE) * Y1023* J1023*O1023*E1023*S1023*AD1023*[2]ステータス!$B$2,0)</f>
        <v>2804</v>
      </c>
      <c r="AH1023" s="99">
        <f ca="1">ROUND(VLOOKUP(1,enemy_base_stats!$A:$F,3,FALSE) * Z1023*K1023*P1023*F1023*T1023*AE1023 * W1023*[2]ステータス!$C$2,0)</f>
        <v>221</v>
      </c>
      <c r="AI1023" s="99">
        <f ca="1">ROUND(VLOOKUP(1,enemy_base_stats!$A:$F,4,FALSE) * AA1023*L1023*Q1023*G1023*U1023*AF1023*[2]ステータス!$D$2,0)</f>
        <v>0</v>
      </c>
      <c r="AJ1023" s="99">
        <f ca="1">ROUND(VLOOKUP(100,enemy_base_stats!$A:$F,2,FALSE) * Y1023* J1023*O1023*E1023*S1023*AD1023*[2]ステータス!$B$2,0)</f>
        <v>113862</v>
      </c>
      <c r="AK1023" s="99">
        <f ca="1">ROUND(VLOOKUP(100,enemy_base_stats!$A:$F,3,FALSE)* Z1023* K1023*P1023*F1023*T1023*AE1023 * W1023*[2]ステータス!$C$2,0)</f>
        <v>8987</v>
      </c>
      <c r="AL1023" s="99">
        <f ca="1">ROUND(VLOOKUP(100,enemy_base_stats!$A:$F,4,FALSE)* AA1023* L1023*Q1023*G1023*U1023*AF1023*[2]ステータス!$D$2,0)</f>
        <v>0</v>
      </c>
      <c r="AM1023" s="97">
        <f ca="1">VLOOKUP(M1023,[2]character_tribe_i18n!$A:$I,9,FALSE)</f>
        <v>400</v>
      </c>
      <c r="AN1023" s="97">
        <v>0</v>
      </c>
      <c r="AO1023" s="98">
        <v>0</v>
      </c>
      <c r="AP1023" s="58" t="s">
        <v>72</v>
      </c>
      <c r="AQ1023" s="34">
        <f t="shared" ca="1" si="56"/>
        <v>1022</v>
      </c>
    </row>
    <row r="1024" spans="1:43" ht="21" customHeight="1" x14ac:dyDescent="0.15">
      <c r="A1024" s="7">
        <f t="shared" ca="1" si="54"/>
        <v>1023</v>
      </c>
      <c r="B1024" s="6" t="str">
        <f ca="1">VLOOKUP(A1024,[2]characters!$A:$C,3,FALSE)</f>
        <v>心射抜く投擲者 那須与一</v>
      </c>
      <c r="C1024" s="9">
        <f ca="1">VLOOKUP(A1024,[2]characters!$A:$I,9,FALSE)</f>
        <v>5</v>
      </c>
      <c r="D1024" s="9" t="str">
        <f ca="1">VLOOKUP(A1024,[2]characters!$A:$H,8,FALSE)</f>
        <v>green</v>
      </c>
      <c r="E1024" s="97">
        <f ca="1">VLOOKUP(D1024,[2]属性!$A:$E,2,FALSE)</f>
        <v>1.02</v>
      </c>
      <c r="F1024" s="97">
        <f ca="1">VLOOKUP(D1024,[2]属性!$A:$E,3,FALSE)</f>
        <v>0.98</v>
      </c>
      <c r="G1024" s="97">
        <f ca="1">VLOOKUP(D1024,[2]属性!$A:$F,4,FALSE)</f>
        <v>1</v>
      </c>
      <c r="H1024" s="9" t="str">
        <f ca="1">VLOOKUP(A1024,[2]characters!$A:$K,11,FALSE)</f>
        <v>technical</v>
      </c>
      <c r="I1024" s="6" t="str">
        <f ca="1">VLOOKUP(H1024,[2]character_type_i18n!$A:$F,3,FALSE)</f>
        <v>テクニカルタイプ</v>
      </c>
      <c r="J1024" s="97">
        <f ca="1">VLOOKUP(H1024,[2]character_type_i18n!$A:$F,4,FALSE)</f>
        <v>0.9</v>
      </c>
      <c r="K1024" s="97">
        <f ca="1">VLOOKUP(H1024,[2]character_type_i18n!$A:$F,5,FALSE)</f>
        <v>0.9</v>
      </c>
      <c r="L1024" s="97">
        <f ca="1">VLOOKUP(H1024,[2]character_type_i18n!$A:$F,6,FALSE)</f>
        <v>1</v>
      </c>
      <c r="M1024" s="9" t="str">
        <f ca="1">VLOOKUP(A1024,[2]characters!$A:$M,13,FALSE)</f>
        <v>human</v>
      </c>
      <c r="N1024" s="6" t="str">
        <f ca="1">VLOOKUP(M1024,[2]character_tribe_i18n!$A:$F,3,FALSE)</f>
        <v>ヒューマン</v>
      </c>
      <c r="O1024" s="97">
        <f ca="1">VLOOKUP(M1024,[2]character_tribe_i18n!$A:$F,4,FALSE)</f>
        <v>0.94</v>
      </c>
      <c r="P1024" s="97">
        <f ca="1">VLOOKUP(M1024,[2]character_tribe_i18n!$A:$F,5,FALSE)</f>
        <v>0.99</v>
      </c>
      <c r="Q1024" s="97">
        <f ca="1">VLOOKUP(M1024,[2]character_tribe_i18n!$A:$F,6,FALSE)</f>
        <v>1</v>
      </c>
      <c r="R1024" s="98" t="s">
        <v>98</v>
      </c>
      <c r="S1024" s="97">
        <f>VLOOKUP($R1024,ラベル別係数!$A$1:$E$7,3,FALSE)</f>
        <v>5</v>
      </c>
      <c r="T1024" s="97">
        <f>VLOOKUP($R1024,ラベル別係数!$A$1:$E$7,4,FALSE)</f>
        <v>1.3</v>
      </c>
      <c r="U1024" s="97">
        <f>VLOOKUP($R1024,ラベル別係数!$A$1:$E$7,5,FALSE)</f>
        <v>0.8</v>
      </c>
      <c r="V1024" s="98">
        <v>3</v>
      </c>
      <c r="W1024" s="99">
        <f>VLOOKUP(V1024,ターン数別攻撃係数!$A$1:$B$1000,2,FALSE)</f>
        <v>1</v>
      </c>
      <c r="X1024" s="9">
        <f ca="1">VLOOKUP(C1024,サイズ別係数!A$2:B$9,2,FALSE)</f>
        <v>60</v>
      </c>
      <c r="Y1024" s="97">
        <f ca="1">VLOOKUP($X1024,サイズ別係数!$B:$E,2,FALSE)</f>
        <v>1.7</v>
      </c>
      <c r="Z1024" s="97">
        <f ca="1">VLOOKUP($X1024,サイズ別係数!$B:$E,3,FALSE)</f>
        <v>1.4</v>
      </c>
      <c r="AA1024" s="97">
        <f ca="1">VLOOKUP($X1024,サイズ別係数!$B:$E,4,FALSE)</f>
        <v>1</v>
      </c>
      <c r="AB1024" s="10">
        <v>0</v>
      </c>
      <c r="AC1024" s="6" t="str">
        <f ca="1">VLOOKUP($AB1024,OFFSET([3]enemy_skill_sets!$B$2,0,0,COUNTA([3]enemy_skill_sets!$A:$A),MATCH(AC$1,[3]enemy_skill_sets!$1:$1,0)-MATCH($AB$1,[3]enemy_skill_sets!$1:$1,0)+1),MATCH(AC$1,[3]enemy_skill_sets!$1:$1,0)-MATCH($AB$1,[3]enemy_skill_sets!$1:$1,0)+1,FALSE)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4" s="67">
        <v>1</v>
      </c>
      <c r="AE1024" s="67">
        <v>1</v>
      </c>
      <c r="AF1024" s="68">
        <v>0</v>
      </c>
      <c r="AG1024" s="99">
        <f ca="1">ROUND(VLOOKUP(1,enemy_base_stats!$A:$F,2,FALSE) * Y1024* J1024*O1024*E1024*S1024*AD1024*[2]ステータス!$B$2,0)</f>
        <v>3667</v>
      </c>
      <c r="AH1024" s="99">
        <f ca="1">ROUND(VLOOKUP(1,enemy_base_stats!$A:$F,3,FALSE) * Z1024*K1024*P1024*F1024*T1024*AE1024 * W1024*[2]ステータス!$C$2,0)</f>
        <v>238</v>
      </c>
      <c r="AI1024" s="99">
        <f ca="1">ROUND(VLOOKUP(1,enemy_base_stats!$A:$F,4,FALSE) * AA1024*L1024*Q1024*G1024*U1024*AF1024*[2]ステータス!$D$2,0)</f>
        <v>0</v>
      </c>
      <c r="AJ1024" s="99">
        <f ca="1">ROUND(VLOOKUP(100,enemy_base_stats!$A:$F,2,FALSE) * Y1024* J1024*O1024*E1024*S1024*AD1024*[2]ステータス!$B$2,0)</f>
        <v>148897</v>
      </c>
      <c r="AK1024" s="99">
        <f ca="1">ROUND(VLOOKUP(100,enemy_base_stats!$A:$F,3,FALSE)* Z1024* K1024*P1024*F1024*T1024*AE1024 * W1024*[2]ステータス!$C$2,0)</f>
        <v>9678</v>
      </c>
      <c r="AL1024" s="99">
        <f ca="1">ROUND(VLOOKUP(100,enemy_base_stats!$A:$F,4,FALSE)* AA1024* L1024*Q1024*G1024*U1024*AF1024*[2]ステータス!$D$2,0)</f>
        <v>0</v>
      </c>
      <c r="AM1024" s="97">
        <f ca="1">VLOOKUP(M1024,[2]character_tribe_i18n!$A:$I,9,FALSE)</f>
        <v>400</v>
      </c>
      <c r="AN1024" s="97">
        <v>0</v>
      </c>
      <c r="AO1024" s="98">
        <v>0</v>
      </c>
      <c r="AP1024" s="58" t="s">
        <v>72</v>
      </c>
      <c r="AQ1024" s="34">
        <f t="shared" ca="1" si="56"/>
        <v>1023</v>
      </c>
    </row>
    <row r="1025" spans="1:43" ht="21" customHeight="1" x14ac:dyDescent="0.15">
      <c r="A1025" s="7">
        <f t="shared" ca="1" si="54"/>
        <v>1024</v>
      </c>
      <c r="B1025" s="6" t="str">
        <f ca="1">VLOOKUP(A1025,[2]characters!$A:$C,3,FALSE)</f>
        <v>武蔵坊弁慶</v>
      </c>
      <c r="C1025" s="9">
        <f ca="1">VLOOKUP(A1025,[2]characters!$A:$I,9,FALSE)</f>
        <v>5</v>
      </c>
      <c r="D1025" s="9" t="str">
        <f ca="1">VLOOKUP(A1025,[2]characters!$A:$H,8,FALSE)</f>
        <v>yellow</v>
      </c>
      <c r="E1025" s="97">
        <f ca="1">VLOOKUP(D1025,[2]属性!$A:$E,2,FALSE)</f>
        <v>0.98</v>
      </c>
      <c r="F1025" s="97">
        <f ca="1">VLOOKUP(D1025,[2]属性!$A:$E,3,FALSE)</f>
        <v>1.01</v>
      </c>
      <c r="G1025" s="97">
        <f ca="1">VLOOKUP(D1025,[2]属性!$A:$F,4,FALSE)</f>
        <v>1</v>
      </c>
      <c r="H1025" s="9" t="str">
        <f ca="1">VLOOKUP(A1025,[2]characters!$A:$K,11,FALSE)</f>
        <v>attack</v>
      </c>
      <c r="I1025" s="6" t="str">
        <f ca="1">VLOOKUP(H1025,[2]character_type_i18n!$A:$F,3,FALSE)</f>
        <v>攻撃タイプ</v>
      </c>
      <c r="J1025" s="97">
        <f ca="1">VLOOKUP(H1025,[2]character_type_i18n!$A:$F,4,FALSE)</f>
        <v>1</v>
      </c>
      <c r="K1025" s="97">
        <f ca="1">VLOOKUP(H1025,[2]character_type_i18n!$A:$F,5,FALSE)</f>
        <v>1.33</v>
      </c>
      <c r="L1025" s="97">
        <f ca="1">VLOOKUP(H1025,[2]character_type_i18n!$A:$F,6,FALSE)</f>
        <v>1</v>
      </c>
      <c r="M1025" s="9" t="str">
        <f ca="1">VLOOKUP(A1025,[2]characters!$A:$M,13,FALSE)</f>
        <v>human</v>
      </c>
      <c r="N1025" s="6" t="str">
        <f ca="1">VLOOKUP(M1025,[2]character_tribe_i18n!$A:$F,3,FALSE)</f>
        <v>ヒューマン</v>
      </c>
      <c r="O1025" s="97">
        <f ca="1">VLOOKUP(M1025,[2]character_tribe_i18n!$A:$F,4,FALSE)</f>
        <v>0.94</v>
      </c>
      <c r="P1025" s="97">
        <f ca="1">VLOOKUP(M1025,[2]character_tribe_i18n!$A:$F,5,FALSE)</f>
        <v>0.99</v>
      </c>
      <c r="Q1025" s="97">
        <f ca="1">VLOOKUP(M1025,[2]character_tribe_i18n!$A:$F,6,FALSE)</f>
        <v>1</v>
      </c>
      <c r="R1025" s="98" t="s">
        <v>98</v>
      </c>
      <c r="S1025" s="97">
        <f>VLOOKUP($R1025,ラベル別係数!$A$1:$E$7,3,FALSE)</f>
        <v>5</v>
      </c>
      <c r="T1025" s="97">
        <f>VLOOKUP($R1025,ラベル別係数!$A$1:$E$7,4,FALSE)</f>
        <v>1.3</v>
      </c>
      <c r="U1025" s="97">
        <f>VLOOKUP($R1025,ラベル別係数!$A$1:$E$7,5,FALSE)</f>
        <v>0.8</v>
      </c>
      <c r="V1025" s="98">
        <v>3</v>
      </c>
      <c r="W1025" s="99">
        <f>VLOOKUP(V1025,ターン数別攻撃係数!$A$1:$B$1000,2,FALSE)</f>
        <v>1</v>
      </c>
      <c r="X1025" s="9">
        <f ca="1">VLOOKUP(C1025,サイズ別係数!A$2:B$9,2,FALSE)</f>
        <v>60</v>
      </c>
      <c r="Y1025" s="97">
        <f ca="1">VLOOKUP($X1025,サイズ別係数!$B:$E,2,FALSE)</f>
        <v>1.7</v>
      </c>
      <c r="Z1025" s="97">
        <f ca="1">VLOOKUP($X1025,サイズ別係数!$B:$E,3,FALSE)</f>
        <v>1.4</v>
      </c>
      <c r="AA1025" s="97">
        <f ca="1">VLOOKUP($X1025,サイズ別係数!$B:$E,4,FALSE)</f>
        <v>1</v>
      </c>
      <c r="AB1025" s="10">
        <v>0</v>
      </c>
      <c r="AC1025" s="6" t="str">
        <f ca="1">VLOOKUP($AB1025,OFFSET([3]enemy_skill_sets!$B$2,0,0,COUNTA([3]enemy_skill_sets!$A:$A),MATCH(AC$1,[3]enemy_skill_sets!$1:$1,0)-MATCH($AB$1,[3]enemy_skill_sets!$1:$1,0)+1),MATCH(AC$1,[3]enemy_skill_sets!$1:$1,0)-MATCH($AB$1,[3]enemy_skill_sets!$1:$1,0)+1,FALSE)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5" s="67">
        <v>1</v>
      </c>
      <c r="AE1025" s="67">
        <v>1</v>
      </c>
      <c r="AF1025" s="68">
        <v>0</v>
      </c>
      <c r="AG1025" s="99">
        <f ca="1">ROUND(VLOOKUP(1,enemy_base_stats!$A:$F,2,FALSE) * Y1025* J1025*O1025*E1025*S1025*AD1025*[2]ステータス!$B$2,0)</f>
        <v>3915</v>
      </c>
      <c r="AH1025" s="99">
        <f ca="1">ROUND(VLOOKUP(1,enemy_base_stats!$A:$F,3,FALSE) * Z1025*K1025*P1025*F1025*T1025*AE1025 * W1025*[2]ステータス!$C$2,0)</f>
        <v>363</v>
      </c>
      <c r="AI1025" s="99">
        <f ca="1">ROUND(VLOOKUP(1,enemy_base_stats!$A:$F,4,FALSE) * AA1025*L1025*Q1025*G1025*U1025*AF1025*[2]ステータス!$D$2,0)</f>
        <v>0</v>
      </c>
      <c r="AJ1025" s="99">
        <f ca="1">ROUND(VLOOKUP(100,enemy_base_stats!$A:$F,2,FALSE) * Y1025* J1025*O1025*E1025*S1025*AD1025*[2]ステータス!$B$2,0)</f>
        <v>158953</v>
      </c>
      <c r="AK1025" s="99">
        <f ca="1">ROUND(VLOOKUP(100,enemy_base_stats!$A:$F,3,FALSE)* Z1025* K1025*P1025*F1025*T1025*AE1025 * W1025*[2]ステータス!$C$2,0)</f>
        <v>14740</v>
      </c>
      <c r="AL1025" s="99">
        <f ca="1">ROUND(VLOOKUP(100,enemy_base_stats!$A:$F,4,FALSE)* AA1025* L1025*Q1025*G1025*U1025*AF1025*[2]ステータス!$D$2,0)</f>
        <v>0</v>
      </c>
      <c r="AM1025" s="97">
        <f ca="1">VLOOKUP(M1025,[2]character_tribe_i18n!$A:$I,9,FALSE)</f>
        <v>400</v>
      </c>
      <c r="AN1025" s="97">
        <v>0</v>
      </c>
      <c r="AO1025" s="98">
        <v>0</v>
      </c>
      <c r="AP1025" s="58" t="s">
        <v>72</v>
      </c>
      <c r="AQ1025" s="34">
        <f t="shared" ca="1" si="56"/>
        <v>1024</v>
      </c>
    </row>
    <row r="1026" spans="1:43" ht="21" customHeight="1" x14ac:dyDescent="0.15">
      <c r="A1026" s="7">
        <f t="shared" ca="1" si="54"/>
        <v>1025</v>
      </c>
      <c r="B1026" s="6" t="str">
        <f ca="1">VLOOKUP(A1026,[2]characters!$A:$C,3,FALSE)</f>
        <v>多重撃の荒法師 武蔵坊弁慶</v>
      </c>
      <c r="C1026" s="9">
        <f ca="1">VLOOKUP(A1026,[2]characters!$A:$I,9,FALSE)</f>
        <v>6</v>
      </c>
      <c r="D1026" s="9" t="str">
        <f ca="1">VLOOKUP(A1026,[2]characters!$A:$H,8,FALSE)</f>
        <v>yellow</v>
      </c>
      <c r="E1026" s="97">
        <f ca="1">VLOOKUP(D1026,[2]属性!$A:$E,2,FALSE)</f>
        <v>0.98</v>
      </c>
      <c r="F1026" s="97">
        <f ca="1">VLOOKUP(D1026,[2]属性!$A:$E,3,FALSE)</f>
        <v>1.01</v>
      </c>
      <c r="G1026" s="97">
        <f ca="1">VLOOKUP(D1026,[2]属性!$A:$F,4,FALSE)</f>
        <v>1</v>
      </c>
      <c r="H1026" s="9" t="str">
        <f ca="1">VLOOKUP(A1026,[2]characters!$A:$K,11,FALSE)</f>
        <v>attack</v>
      </c>
      <c r="I1026" s="6" t="str">
        <f ca="1">VLOOKUP(H1026,[2]character_type_i18n!$A:$F,3,FALSE)</f>
        <v>攻撃タイプ</v>
      </c>
      <c r="J1026" s="97">
        <f ca="1">VLOOKUP(H1026,[2]character_type_i18n!$A:$F,4,FALSE)</f>
        <v>1</v>
      </c>
      <c r="K1026" s="97">
        <f ca="1">VLOOKUP(H1026,[2]character_type_i18n!$A:$F,5,FALSE)</f>
        <v>1.33</v>
      </c>
      <c r="L1026" s="97">
        <f ca="1">VLOOKUP(H1026,[2]character_type_i18n!$A:$F,6,FALSE)</f>
        <v>1</v>
      </c>
      <c r="M1026" s="9" t="str">
        <f ca="1">VLOOKUP(A1026,[2]characters!$A:$M,13,FALSE)</f>
        <v>human</v>
      </c>
      <c r="N1026" s="6" t="str">
        <f ca="1">VLOOKUP(M1026,[2]character_tribe_i18n!$A:$F,3,FALSE)</f>
        <v>ヒューマン</v>
      </c>
      <c r="O1026" s="97">
        <f ca="1">VLOOKUP(M1026,[2]character_tribe_i18n!$A:$F,4,FALSE)</f>
        <v>0.94</v>
      </c>
      <c r="P1026" s="97">
        <f ca="1">VLOOKUP(M1026,[2]character_tribe_i18n!$A:$F,5,FALSE)</f>
        <v>0.99</v>
      </c>
      <c r="Q1026" s="97">
        <f ca="1">VLOOKUP(M1026,[2]character_tribe_i18n!$A:$F,6,FALSE)</f>
        <v>1</v>
      </c>
      <c r="R1026" s="98" t="s">
        <v>98</v>
      </c>
      <c r="S1026" s="97">
        <f>VLOOKUP($R1026,ラベル別係数!$A$1:$E$7,3,FALSE)</f>
        <v>5</v>
      </c>
      <c r="T1026" s="97">
        <f>VLOOKUP($R1026,ラベル別係数!$A$1:$E$7,4,FALSE)</f>
        <v>1.3</v>
      </c>
      <c r="U1026" s="97">
        <f>VLOOKUP($R1026,ラベル別係数!$A$1:$E$7,5,FALSE)</f>
        <v>0.8</v>
      </c>
      <c r="V1026" s="98">
        <v>3</v>
      </c>
      <c r="W1026" s="99">
        <f>VLOOKUP(V1026,ターン数別攻撃係数!$A$1:$B$1000,2,FALSE)</f>
        <v>1</v>
      </c>
      <c r="X1026" s="9">
        <f ca="1">VLOOKUP(C1026,サイズ別係数!A$2:B$9,2,FALSE)</f>
        <v>60</v>
      </c>
      <c r="Y1026" s="97">
        <f ca="1">VLOOKUP($X1026,サイズ別係数!$B:$E,2,FALSE)</f>
        <v>1.7</v>
      </c>
      <c r="Z1026" s="97">
        <f ca="1">VLOOKUP($X1026,サイズ別係数!$B:$E,3,FALSE)</f>
        <v>1.4</v>
      </c>
      <c r="AA1026" s="97">
        <f ca="1">VLOOKUP($X1026,サイズ別係数!$B:$E,4,FALSE)</f>
        <v>1</v>
      </c>
      <c r="AB1026" s="10">
        <v>0</v>
      </c>
      <c r="AC1026" s="6" t="str">
        <f ca="1">VLOOKUP($AB1026,OFFSET([3]enemy_skill_sets!$B$2,0,0,COUNTA([3]enemy_skill_sets!$A:$A),MATCH(AC$1,[3]enemy_skill_sets!$1:$1,0)-MATCH($AB$1,[3]enemy_skill_sets!$1:$1,0)+1),MATCH(AC$1,[3]enemy_skill_sets!$1:$1,0)-MATCH($AB$1,[3]enemy_skill_sets!$1:$1,0)+1,FALSE)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6" s="67">
        <v>1</v>
      </c>
      <c r="AE1026" s="67">
        <v>1</v>
      </c>
      <c r="AF1026" s="68">
        <v>0</v>
      </c>
      <c r="AG1026" s="99">
        <f ca="1">ROUND(VLOOKUP(1,enemy_base_stats!$A:$F,2,FALSE) * Y1026* J1026*O1026*E1026*S1026*AD1026*[2]ステータス!$B$2,0)</f>
        <v>3915</v>
      </c>
      <c r="AH1026" s="99">
        <f ca="1">ROUND(VLOOKUP(1,enemy_base_stats!$A:$F,3,FALSE) * Z1026*K1026*P1026*F1026*T1026*AE1026 * W1026*[2]ステータス!$C$2,0)</f>
        <v>363</v>
      </c>
      <c r="AI1026" s="99">
        <f ca="1">ROUND(VLOOKUP(1,enemy_base_stats!$A:$F,4,FALSE) * AA1026*L1026*Q1026*G1026*U1026*AF1026*[2]ステータス!$D$2,0)</f>
        <v>0</v>
      </c>
      <c r="AJ1026" s="99">
        <f ca="1">ROUND(VLOOKUP(100,enemy_base_stats!$A:$F,2,FALSE) * Y1026* J1026*O1026*E1026*S1026*AD1026*[2]ステータス!$B$2,0)</f>
        <v>158953</v>
      </c>
      <c r="AK1026" s="99">
        <f ca="1">ROUND(VLOOKUP(100,enemy_base_stats!$A:$F,3,FALSE)* Z1026* K1026*P1026*F1026*T1026*AE1026 * W1026*[2]ステータス!$C$2,0)</f>
        <v>14740</v>
      </c>
      <c r="AL1026" s="99">
        <f ca="1">ROUND(VLOOKUP(100,enemy_base_stats!$A:$F,4,FALSE)* AA1026* L1026*Q1026*G1026*U1026*AF1026*[2]ステータス!$D$2,0)</f>
        <v>0</v>
      </c>
      <c r="AM1026" s="97">
        <f ca="1">VLOOKUP(M1026,[2]character_tribe_i18n!$A:$I,9,FALSE)</f>
        <v>400</v>
      </c>
      <c r="AN1026" s="97">
        <v>0</v>
      </c>
      <c r="AO1026" s="98">
        <v>0</v>
      </c>
      <c r="AP1026" s="58" t="s">
        <v>72</v>
      </c>
      <c r="AQ1026" s="34">
        <f t="shared" ca="1" si="56"/>
        <v>1025</v>
      </c>
    </row>
    <row r="1027" spans="1:43" ht="21" customHeight="1" x14ac:dyDescent="0.15">
      <c r="A1027" s="7">
        <f t="shared" ref="A1027:A1079" ca="1" si="57">INDIRECT(ADDRESS(ROW(),COLUMN(),1,TRUE,"[CharacterMasterData.xlsm]characters"))</f>
        <v>1026</v>
      </c>
      <c r="B1027" s="6" t="str">
        <f ca="1">VLOOKUP(A1027,[2]characters!$A:$C,3,FALSE)</f>
        <v>蝉丸</v>
      </c>
      <c r="C1027" s="9">
        <f ca="1">VLOOKUP(A1027,[2]characters!$A:$I,9,FALSE)</f>
        <v>4</v>
      </c>
      <c r="D1027" s="9" t="str">
        <f ca="1">VLOOKUP(A1027,[2]characters!$A:$H,8,FALSE)</f>
        <v>red</v>
      </c>
      <c r="E1027" s="97">
        <f ca="1">VLOOKUP(D1027,[2]属性!$A:$E,2,FALSE)</f>
        <v>1</v>
      </c>
      <c r="F1027" s="97">
        <f ca="1">VLOOKUP(D1027,[2]属性!$A:$E,3,FALSE)</f>
        <v>1.02</v>
      </c>
      <c r="G1027" s="97">
        <f ca="1">VLOOKUP(D1027,[2]属性!$A:$F,4,FALSE)</f>
        <v>1</v>
      </c>
      <c r="H1027" s="9" t="str">
        <f ca="1">VLOOKUP(A1027,[2]characters!$A:$K,11,FALSE)</f>
        <v>attack</v>
      </c>
      <c r="I1027" s="6" t="str">
        <f ca="1">VLOOKUP(H1027,[2]character_type_i18n!$A:$F,3,FALSE)</f>
        <v>攻撃タイプ</v>
      </c>
      <c r="J1027" s="97">
        <f ca="1">VLOOKUP(H1027,[2]character_type_i18n!$A:$F,4,FALSE)</f>
        <v>1</v>
      </c>
      <c r="K1027" s="97">
        <f ca="1">VLOOKUP(H1027,[2]character_type_i18n!$A:$F,5,FALSE)</f>
        <v>1.33</v>
      </c>
      <c r="L1027" s="97">
        <f ca="1">VLOOKUP(H1027,[2]character_type_i18n!$A:$F,6,FALSE)</f>
        <v>1</v>
      </c>
      <c r="M1027" s="9" t="str">
        <f ca="1">VLOOKUP(A1027,[2]characters!$A:$M,13,FALSE)</f>
        <v>human</v>
      </c>
      <c r="N1027" s="6" t="str">
        <f ca="1">VLOOKUP(M1027,[2]character_tribe_i18n!$A:$F,3,FALSE)</f>
        <v>ヒューマン</v>
      </c>
      <c r="O1027" s="97">
        <f ca="1">VLOOKUP(M1027,[2]character_tribe_i18n!$A:$F,4,FALSE)</f>
        <v>0.94</v>
      </c>
      <c r="P1027" s="97">
        <f ca="1">VLOOKUP(M1027,[2]character_tribe_i18n!$A:$F,5,FALSE)</f>
        <v>0.99</v>
      </c>
      <c r="Q1027" s="97">
        <f ca="1">VLOOKUP(M1027,[2]character_tribe_i18n!$A:$F,6,FALSE)</f>
        <v>1</v>
      </c>
      <c r="R1027" s="98" t="s">
        <v>98</v>
      </c>
      <c r="S1027" s="97">
        <f>VLOOKUP($R1027,ラベル別係数!$A$1:$E$7,3,FALSE)</f>
        <v>5</v>
      </c>
      <c r="T1027" s="97">
        <f>VLOOKUP($R1027,ラベル別係数!$A$1:$E$7,4,FALSE)</f>
        <v>1.3</v>
      </c>
      <c r="U1027" s="97">
        <f>VLOOKUP($R1027,ラベル別係数!$A$1:$E$7,5,FALSE)</f>
        <v>0.8</v>
      </c>
      <c r="V1027" s="98">
        <v>3</v>
      </c>
      <c r="W1027" s="99">
        <f>VLOOKUP(V1027,ターン数別攻撃係数!$A$1:$B$1000,2,FALSE)</f>
        <v>1</v>
      </c>
      <c r="X1027" s="9">
        <f ca="1">VLOOKUP(C1027,サイズ別係数!A$2:B$9,2,FALSE)</f>
        <v>30</v>
      </c>
      <c r="Y1027" s="97">
        <f ca="1">VLOOKUP($X1027,サイズ別係数!$B:$E,2,FALSE)</f>
        <v>1.3</v>
      </c>
      <c r="Z1027" s="97">
        <f ca="1">VLOOKUP($X1027,サイズ別係数!$B:$E,3,FALSE)</f>
        <v>1.3</v>
      </c>
      <c r="AA1027" s="97">
        <f ca="1">VLOOKUP($X1027,サイズ別係数!$B:$E,4,FALSE)</f>
        <v>1.1000000000000001</v>
      </c>
      <c r="AB1027" s="10">
        <v>0</v>
      </c>
      <c r="AC1027" s="6" t="str">
        <f ca="1">VLOOKUP($AB1027,OFFSET([3]enemy_skill_sets!$B$2,0,0,COUNTA([3]enemy_skill_sets!$A:$A),MATCH(AC$1,[3]enemy_skill_sets!$1:$1,0)-MATCH($AB$1,[3]enemy_skill_sets!$1:$1,0)+1),MATCH(AC$1,[3]enemy_skill_sets!$1:$1,0)-MATCH($AB$1,[3]enemy_skill_sets!$1:$1,0)+1,FALSE)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7" s="67">
        <v>1</v>
      </c>
      <c r="AE1027" s="67">
        <v>1</v>
      </c>
      <c r="AF1027" s="68">
        <v>0</v>
      </c>
      <c r="AG1027" s="99">
        <f ca="1">ROUND(VLOOKUP(1,enemy_base_stats!$A:$F,2,FALSE) * Y1027* J1027*O1027*E1027*S1027*AD1027*[2]ステータス!$B$2,0)</f>
        <v>3055</v>
      </c>
      <c r="AH1027" s="99">
        <f ca="1">ROUND(VLOOKUP(1,enemy_base_stats!$A:$F,3,FALSE) * Z1027*K1027*P1027*F1027*T1027*AE1027 * W1027*[2]ステータス!$C$2,0)</f>
        <v>340</v>
      </c>
      <c r="AI1027" s="99">
        <f ca="1">ROUND(VLOOKUP(1,enemy_base_stats!$A:$F,4,FALSE) * AA1027*L1027*Q1027*G1027*U1027*AF1027*[2]ステータス!$D$2,0)</f>
        <v>0</v>
      </c>
      <c r="AJ1027" s="99">
        <f ca="1">ROUND(VLOOKUP(100,enemy_base_stats!$A:$F,2,FALSE) * Y1027* J1027*O1027*E1027*S1027*AD1027*[2]ステータス!$B$2,0)</f>
        <v>124033</v>
      </c>
      <c r="AK1027" s="99">
        <f ca="1">ROUND(VLOOKUP(100,enemy_base_stats!$A:$F,3,FALSE)* Z1027* K1027*P1027*F1027*T1027*AE1027 * W1027*[2]ステータス!$C$2,0)</f>
        <v>13823</v>
      </c>
      <c r="AL1027" s="99">
        <f ca="1">ROUND(VLOOKUP(100,enemy_base_stats!$A:$F,4,FALSE)* AA1027* L1027*Q1027*G1027*U1027*AF1027*[2]ステータス!$D$2,0)</f>
        <v>0</v>
      </c>
      <c r="AM1027" s="97">
        <f ca="1">VLOOKUP(M1027,[2]character_tribe_i18n!$A:$I,9,FALSE)</f>
        <v>400</v>
      </c>
      <c r="AN1027" s="97">
        <v>0</v>
      </c>
      <c r="AO1027" s="98">
        <v>0</v>
      </c>
      <c r="AP1027" s="58" t="s">
        <v>72</v>
      </c>
      <c r="AQ1027" s="34">
        <f t="shared" ca="1" si="56"/>
        <v>1026</v>
      </c>
    </row>
    <row r="1028" spans="1:43" ht="21" customHeight="1" x14ac:dyDescent="0.15">
      <c r="A1028" s="7">
        <f t="shared" ca="1" si="57"/>
        <v>1027</v>
      </c>
      <c r="B1028" s="6" t="str">
        <f ca="1">VLOOKUP(A1028,[2]characters!$A:$C,3,FALSE)</f>
        <v>弾丸多重奏 蝉丸</v>
      </c>
      <c r="C1028" s="9">
        <f ca="1">VLOOKUP(A1028,[2]characters!$A:$I,9,FALSE)</f>
        <v>5</v>
      </c>
      <c r="D1028" s="9" t="str">
        <f ca="1">VLOOKUP(A1028,[2]characters!$A:$H,8,FALSE)</f>
        <v>red</v>
      </c>
      <c r="E1028" s="97">
        <f ca="1">VLOOKUP(D1028,[2]属性!$A:$E,2,FALSE)</f>
        <v>1</v>
      </c>
      <c r="F1028" s="97">
        <f ca="1">VLOOKUP(D1028,[2]属性!$A:$E,3,FALSE)</f>
        <v>1.02</v>
      </c>
      <c r="G1028" s="97">
        <f ca="1">VLOOKUP(D1028,[2]属性!$A:$F,4,FALSE)</f>
        <v>1</v>
      </c>
      <c r="H1028" s="9" t="str">
        <f ca="1">VLOOKUP(A1028,[2]characters!$A:$K,11,FALSE)</f>
        <v>attack</v>
      </c>
      <c r="I1028" s="6" t="str">
        <f ca="1">VLOOKUP(H1028,[2]character_type_i18n!$A:$F,3,FALSE)</f>
        <v>攻撃タイプ</v>
      </c>
      <c r="J1028" s="97">
        <f ca="1">VLOOKUP(H1028,[2]character_type_i18n!$A:$F,4,FALSE)</f>
        <v>1</v>
      </c>
      <c r="K1028" s="97">
        <f ca="1">VLOOKUP(H1028,[2]character_type_i18n!$A:$F,5,FALSE)</f>
        <v>1.33</v>
      </c>
      <c r="L1028" s="97">
        <f ca="1">VLOOKUP(H1028,[2]character_type_i18n!$A:$F,6,FALSE)</f>
        <v>1</v>
      </c>
      <c r="M1028" s="9" t="str">
        <f ca="1">VLOOKUP(A1028,[2]characters!$A:$M,13,FALSE)</f>
        <v>human</v>
      </c>
      <c r="N1028" s="6" t="str">
        <f ca="1">VLOOKUP(M1028,[2]character_tribe_i18n!$A:$F,3,FALSE)</f>
        <v>ヒューマン</v>
      </c>
      <c r="O1028" s="97">
        <f ca="1">VLOOKUP(M1028,[2]character_tribe_i18n!$A:$F,4,FALSE)</f>
        <v>0.94</v>
      </c>
      <c r="P1028" s="97">
        <f ca="1">VLOOKUP(M1028,[2]character_tribe_i18n!$A:$F,5,FALSE)</f>
        <v>0.99</v>
      </c>
      <c r="Q1028" s="97">
        <f ca="1">VLOOKUP(M1028,[2]character_tribe_i18n!$A:$F,6,FALSE)</f>
        <v>1</v>
      </c>
      <c r="R1028" s="98" t="s">
        <v>98</v>
      </c>
      <c r="S1028" s="97">
        <f>VLOOKUP($R1028,ラベル別係数!$A$1:$E$7,3,FALSE)</f>
        <v>5</v>
      </c>
      <c r="T1028" s="97">
        <f>VLOOKUP($R1028,ラベル別係数!$A$1:$E$7,4,FALSE)</f>
        <v>1.3</v>
      </c>
      <c r="U1028" s="97">
        <f>VLOOKUP($R1028,ラベル別係数!$A$1:$E$7,5,FALSE)</f>
        <v>0.8</v>
      </c>
      <c r="V1028" s="98">
        <v>3</v>
      </c>
      <c r="W1028" s="99">
        <f>VLOOKUP(V1028,ターン数別攻撃係数!$A$1:$B$1000,2,FALSE)</f>
        <v>1</v>
      </c>
      <c r="X1028" s="9">
        <f ca="1">VLOOKUP(C1028,サイズ別係数!A$2:B$9,2,FALSE)</f>
        <v>60</v>
      </c>
      <c r="Y1028" s="97">
        <f ca="1">VLOOKUP($X1028,サイズ別係数!$B:$E,2,FALSE)</f>
        <v>1.7</v>
      </c>
      <c r="Z1028" s="97">
        <f ca="1">VLOOKUP($X1028,サイズ別係数!$B:$E,3,FALSE)</f>
        <v>1.4</v>
      </c>
      <c r="AA1028" s="97">
        <f ca="1">VLOOKUP($X1028,サイズ別係数!$B:$E,4,FALSE)</f>
        <v>1</v>
      </c>
      <c r="AB1028" s="10">
        <v>0</v>
      </c>
      <c r="AC1028" s="6" t="str">
        <f ca="1">VLOOKUP($AB1028,OFFSET([3]enemy_skill_sets!$B$2,0,0,COUNTA([3]enemy_skill_sets!$A:$A),MATCH(AC$1,[3]enemy_skill_sets!$1:$1,0)-MATCH($AB$1,[3]enemy_skill_sets!$1:$1,0)+1),MATCH(AC$1,[3]enemy_skill_sets!$1:$1,0)-MATCH($AB$1,[3]enemy_skill_sets!$1:$1,0)+1,FALSE)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8" s="67">
        <v>1</v>
      </c>
      <c r="AE1028" s="67">
        <v>1</v>
      </c>
      <c r="AF1028" s="68">
        <v>0</v>
      </c>
      <c r="AG1028" s="99">
        <f ca="1">ROUND(VLOOKUP(1,enemy_base_stats!$A:$F,2,FALSE) * Y1028* J1028*O1028*E1028*S1028*AD1028*[2]ステータス!$B$2,0)</f>
        <v>3995</v>
      </c>
      <c r="AH1028" s="99">
        <f ca="1">ROUND(VLOOKUP(1,enemy_base_stats!$A:$F,3,FALSE) * Z1028*K1028*P1028*F1028*T1028*AE1028 * W1028*[2]ステータス!$C$2,0)</f>
        <v>367</v>
      </c>
      <c r="AI1028" s="99">
        <f ca="1">ROUND(VLOOKUP(1,enemy_base_stats!$A:$F,4,FALSE) * AA1028*L1028*Q1028*G1028*U1028*AF1028*[2]ステータス!$D$2,0)</f>
        <v>0</v>
      </c>
      <c r="AJ1028" s="99">
        <f ca="1">ROUND(VLOOKUP(100,enemy_base_stats!$A:$F,2,FALSE) * Y1028* J1028*O1028*E1028*S1028*AD1028*[2]ステータス!$B$2,0)</f>
        <v>162197</v>
      </c>
      <c r="AK1028" s="99">
        <f ca="1">ROUND(VLOOKUP(100,enemy_base_stats!$A:$F,3,FALSE)* Z1028* K1028*P1028*F1028*T1028*AE1028 * W1028*[2]ステータス!$C$2,0)</f>
        <v>14886</v>
      </c>
      <c r="AL1028" s="99">
        <f ca="1">ROUND(VLOOKUP(100,enemy_base_stats!$A:$F,4,FALSE)* AA1028* L1028*Q1028*G1028*U1028*AF1028*[2]ステータス!$D$2,0)</f>
        <v>0</v>
      </c>
      <c r="AM1028" s="97">
        <f ca="1">VLOOKUP(M1028,[2]character_tribe_i18n!$A:$I,9,FALSE)</f>
        <v>400</v>
      </c>
      <c r="AN1028" s="97">
        <v>0</v>
      </c>
      <c r="AO1028" s="98">
        <v>0</v>
      </c>
      <c r="AP1028" s="58" t="s">
        <v>72</v>
      </c>
      <c r="AQ1028" s="34">
        <f t="shared" ca="1" si="56"/>
        <v>1027</v>
      </c>
    </row>
    <row r="1029" spans="1:43" ht="21" customHeight="1" x14ac:dyDescent="0.15">
      <c r="A1029" s="7">
        <f t="shared" ca="1" si="57"/>
        <v>1028</v>
      </c>
      <c r="B1029" s="6" t="str">
        <f ca="1">VLOOKUP(A1029,[2]characters!$A:$C,3,FALSE)</f>
        <v>牛若丸</v>
      </c>
      <c r="C1029" s="9">
        <f ca="1">VLOOKUP(A1029,[2]characters!$A:$I,9,FALSE)</f>
        <v>5</v>
      </c>
      <c r="D1029" s="9" t="str">
        <f ca="1">VLOOKUP(A1029,[2]characters!$A:$H,8,FALSE)</f>
        <v>green</v>
      </c>
      <c r="E1029" s="97">
        <f ca="1">VLOOKUP(D1029,[2]属性!$A:$E,2,FALSE)</f>
        <v>1.02</v>
      </c>
      <c r="F1029" s="97">
        <f ca="1">VLOOKUP(D1029,[2]属性!$A:$E,3,FALSE)</f>
        <v>0.98</v>
      </c>
      <c r="G1029" s="97">
        <f ca="1">VLOOKUP(D1029,[2]属性!$A:$F,4,FALSE)</f>
        <v>1</v>
      </c>
      <c r="H1029" s="9" t="str">
        <f ca="1">VLOOKUP(A1029,[2]characters!$A:$K,11,FALSE)</f>
        <v>balance</v>
      </c>
      <c r="I1029" s="6" t="str">
        <f ca="1">VLOOKUP(H1029,[2]character_type_i18n!$A:$F,3,FALSE)</f>
        <v>バランスタイプ</v>
      </c>
      <c r="J1029" s="97">
        <f ca="1">VLOOKUP(H1029,[2]character_type_i18n!$A:$F,4,FALSE)</f>
        <v>1</v>
      </c>
      <c r="K1029" s="97">
        <f ca="1">VLOOKUP(H1029,[2]character_type_i18n!$A:$F,5,FALSE)</f>
        <v>1</v>
      </c>
      <c r="L1029" s="97">
        <f ca="1">VLOOKUP(H1029,[2]character_type_i18n!$A:$F,6,FALSE)</f>
        <v>1</v>
      </c>
      <c r="M1029" s="9" t="str">
        <f ca="1">VLOOKUP(A1029,[2]characters!$A:$M,13,FALSE)</f>
        <v>human</v>
      </c>
      <c r="N1029" s="6" t="str">
        <f ca="1">VLOOKUP(M1029,[2]character_tribe_i18n!$A:$F,3,FALSE)</f>
        <v>ヒューマン</v>
      </c>
      <c r="O1029" s="97">
        <f ca="1">VLOOKUP(M1029,[2]character_tribe_i18n!$A:$F,4,FALSE)</f>
        <v>0.94</v>
      </c>
      <c r="P1029" s="97">
        <f ca="1">VLOOKUP(M1029,[2]character_tribe_i18n!$A:$F,5,FALSE)</f>
        <v>0.99</v>
      </c>
      <c r="Q1029" s="97">
        <f ca="1">VLOOKUP(M1029,[2]character_tribe_i18n!$A:$F,6,FALSE)</f>
        <v>1</v>
      </c>
      <c r="R1029" s="98" t="s">
        <v>98</v>
      </c>
      <c r="S1029" s="97">
        <f>VLOOKUP($R1029,ラベル別係数!$A$1:$E$7,3,FALSE)</f>
        <v>5</v>
      </c>
      <c r="T1029" s="97">
        <f>VLOOKUP($R1029,ラベル別係数!$A$1:$E$7,4,FALSE)</f>
        <v>1.3</v>
      </c>
      <c r="U1029" s="97">
        <f>VLOOKUP($R1029,ラベル別係数!$A$1:$E$7,5,FALSE)</f>
        <v>0.8</v>
      </c>
      <c r="V1029" s="98">
        <v>3</v>
      </c>
      <c r="W1029" s="99">
        <f>VLOOKUP(V1029,ターン数別攻撃係数!$A$1:$B$1000,2,FALSE)</f>
        <v>1</v>
      </c>
      <c r="X1029" s="9">
        <f ca="1">VLOOKUP(C1029,サイズ別係数!A$2:B$9,2,FALSE)</f>
        <v>60</v>
      </c>
      <c r="Y1029" s="97">
        <f ca="1">VLOOKUP($X1029,サイズ別係数!$B:$E,2,FALSE)</f>
        <v>1.7</v>
      </c>
      <c r="Z1029" s="97">
        <f ca="1">VLOOKUP($X1029,サイズ別係数!$B:$E,3,FALSE)</f>
        <v>1.4</v>
      </c>
      <c r="AA1029" s="97">
        <f ca="1">VLOOKUP($X1029,サイズ別係数!$B:$E,4,FALSE)</f>
        <v>1</v>
      </c>
      <c r="AB1029" s="10">
        <v>0</v>
      </c>
      <c r="AC1029" s="6" t="str">
        <f ca="1">VLOOKUP($AB1029,OFFSET([3]enemy_skill_sets!$B$2,0,0,COUNTA([3]enemy_skill_sets!$A:$A),MATCH(AC$1,[3]enemy_skill_sets!$1:$1,0)-MATCH($AB$1,[3]enemy_skill_sets!$1:$1,0)+1),MATCH(AC$1,[3]enemy_skill_sets!$1:$1,0)-MATCH($AB$1,[3]enemy_skill_sets!$1:$1,0)+1,FALSE)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29" s="67">
        <v>1</v>
      </c>
      <c r="AE1029" s="67">
        <v>1</v>
      </c>
      <c r="AF1029" s="68">
        <v>0</v>
      </c>
      <c r="AG1029" s="99">
        <f ca="1">ROUND(VLOOKUP(1,enemy_base_stats!$A:$F,2,FALSE) * Y1029* J1029*O1029*E1029*S1029*AD1029*[2]ステータス!$B$2,0)</f>
        <v>4075</v>
      </c>
      <c r="AH1029" s="99">
        <f ca="1">ROUND(VLOOKUP(1,enemy_base_stats!$A:$F,3,FALSE) * Z1029*K1029*P1029*F1029*T1029*AE1029 * W1029*[2]ステータス!$C$2,0)</f>
        <v>265</v>
      </c>
      <c r="AI1029" s="99">
        <f ca="1">ROUND(VLOOKUP(1,enemy_base_stats!$A:$F,4,FALSE) * AA1029*L1029*Q1029*G1029*U1029*AF1029*[2]ステータス!$D$2,0)</f>
        <v>0</v>
      </c>
      <c r="AJ1029" s="99">
        <f ca="1">ROUND(VLOOKUP(100,enemy_base_stats!$A:$F,2,FALSE) * Y1029* J1029*O1029*E1029*S1029*AD1029*[2]ステータス!$B$2,0)</f>
        <v>165441</v>
      </c>
      <c r="AK1029" s="99">
        <f ca="1">ROUND(VLOOKUP(100,enemy_base_stats!$A:$F,3,FALSE)* Z1029* K1029*P1029*F1029*T1029*AE1029 * W1029*[2]ステータス!$C$2,0)</f>
        <v>10754</v>
      </c>
      <c r="AL1029" s="99">
        <f ca="1">ROUND(VLOOKUP(100,enemy_base_stats!$A:$F,4,FALSE)* AA1029* L1029*Q1029*G1029*U1029*AF1029*[2]ステータス!$D$2,0)</f>
        <v>0</v>
      </c>
      <c r="AM1029" s="97">
        <f ca="1">VLOOKUP(M1029,[2]character_tribe_i18n!$A:$I,9,FALSE)</f>
        <v>400</v>
      </c>
      <c r="AN1029" s="97">
        <v>0</v>
      </c>
      <c r="AO1029" s="98">
        <v>0</v>
      </c>
      <c r="AP1029" s="58" t="s">
        <v>72</v>
      </c>
      <c r="AQ1029" s="34">
        <f t="shared" ca="1" si="56"/>
        <v>1028</v>
      </c>
    </row>
    <row r="1030" spans="1:43" ht="21" customHeight="1" x14ac:dyDescent="0.15">
      <c r="A1030" s="7">
        <f t="shared" ca="1" si="57"/>
        <v>1029</v>
      </c>
      <c r="B1030" s="6" t="str">
        <f ca="1">VLOOKUP(A1030,[2]characters!$A:$C,3,FALSE)</f>
        <v>天賦の軍才 牛若丸</v>
      </c>
      <c r="C1030" s="9">
        <f ca="1">VLOOKUP(A1030,[2]characters!$A:$I,9,FALSE)</f>
        <v>6</v>
      </c>
      <c r="D1030" s="9" t="str">
        <f ca="1">VLOOKUP(A1030,[2]characters!$A:$H,8,FALSE)</f>
        <v>green</v>
      </c>
      <c r="E1030" s="97">
        <f ca="1">VLOOKUP(D1030,[2]属性!$A:$E,2,FALSE)</f>
        <v>1.02</v>
      </c>
      <c r="F1030" s="97">
        <f ca="1">VLOOKUP(D1030,[2]属性!$A:$E,3,FALSE)</f>
        <v>0.98</v>
      </c>
      <c r="G1030" s="97">
        <f ca="1">VLOOKUP(D1030,[2]属性!$A:$F,4,FALSE)</f>
        <v>1</v>
      </c>
      <c r="H1030" s="9" t="str">
        <f ca="1">VLOOKUP(A1030,[2]characters!$A:$K,11,FALSE)</f>
        <v>balance</v>
      </c>
      <c r="I1030" s="6" t="str">
        <f ca="1">VLOOKUP(H1030,[2]character_type_i18n!$A:$F,3,FALSE)</f>
        <v>バランスタイプ</v>
      </c>
      <c r="J1030" s="97">
        <f ca="1">VLOOKUP(H1030,[2]character_type_i18n!$A:$F,4,FALSE)</f>
        <v>1</v>
      </c>
      <c r="K1030" s="97">
        <f ca="1">VLOOKUP(H1030,[2]character_type_i18n!$A:$F,5,FALSE)</f>
        <v>1</v>
      </c>
      <c r="L1030" s="97">
        <f ca="1">VLOOKUP(H1030,[2]character_type_i18n!$A:$F,6,FALSE)</f>
        <v>1</v>
      </c>
      <c r="M1030" s="9" t="str">
        <f ca="1">VLOOKUP(A1030,[2]characters!$A:$M,13,FALSE)</f>
        <v>human</v>
      </c>
      <c r="N1030" s="6" t="str">
        <f ca="1">VLOOKUP(M1030,[2]character_tribe_i18n!$A:$F,3,FALSE)</f>
        <v>ヒューマン</v>
      </c>
      <c r="O1030" s="97">
        <f ca="1">VLOOKUP(M1030,[2]character_tribe_i18n!$A:$F,4,FALSE)</f>
        <v>0.94</v>
      </c>
      <c r="P1030" s="97">
        <f ca="1">VLOOKUP(M1030,[2]character_tribe_i18n!$A:$F,5,FALSE)</f>
        <v>0.99</v>
      </c>
      <c r="Q1030" s="97">
        <f ca="1">VLOOKUP(M1030,[2]character_tribe_i18n!$A:$F,6,FALSE)</f>
        <v>1</v>
      </c>
      <c r="R1030" s="98" t="s">
        <v>98</v>
      </c>
      <c r="S1030" s="97">
        <f>VLOOKUP($R1030,ラベル別係数!$A$1:$E$7,3,FALSE)</f>
        <v>5</v>
      </c>
      <c r="T1030" s="97">
        <f>VLOOKUP($R1030,ラベル別係数!$A$1:$E$7,4,FALSE)</f>
        <v>1.3</v>
      </c>
      <c r="U1030" s="97">
        <f>VLOOKUP($R1030,ラベル別係数!$A$1:$E$7,5,FALSE)</f>
        <v>0.8</v>
      </c>
      <c r="V1030" s="98">
        <v>3</v>
      </c>
      <c r="W1030" s="99">
        <f>VLOOKUP(V1030,ターン数別攻撃係数!$A$1:$B$1000,2,FALSE)</f>
        <v>1</v>
      </c>
      <c r="X1030" s="9">
        <f ca="1">VLOOKUP(C1030,サイズ別係数!A$2:B$9,2,FALSE)</f>
        <v>60</v>
      </c>
      <c r="Y1030" s="97">
        <f ca="1">VLOOKUP($X1030,サイズ別係数!$B:$E,2,FALSE)</f>
        <v>1.7</v>
      </c>
      <c r="Z1030" s="97">
        <f ca="1">VLOOKUP($X1030,サイズ別係数!$B:$E,3,FALSE)</f>
        <v>1.4</v>
      </c>
      <c r="AA1030" s="97">
        <f ca="1">VLOOKUP($X1030,サイズ別係数!$B:$E,4,FALSE)</f>
        <v>1</v>
      </c>
      <c r="AB1030" s="10">
        <v>0</v>
      </c>
      <c r="AC1030" s="6" t="str">
        <f ca="1">VLOOKUP($AB1030,OFFSET([3]enemy_skill_sets!$B$2,0,0,COUNTA([3]enemy_skill_sets!$A:$A),MATCH(AC$1,[3]enemy_skill_sets!$1:$1,0)-MATCH($AB$1,[3]enemy_skill_sets!$1:$1,0)+1),MATCH(AC$1,[3]enemy_skill_sets!$1:$1,0)-MATCH($AB$1,[3]enemy_skill_sets!$1:$1,0)+1,FALSE)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0" s="67">
        <v>1</v>
      </c>
      <c r="AE1030" s="67">
        <v>1</v>
      </c>
      <c r="AF1030" s="68">
        <v>0</v>
      </c>
      <c r="AG1030" s="99">
        <f ca="1">ROUND(VLOOKUP(1,enemy_base_stats!$A:$F,2,FALSE) * Y1030* J1030*O1030*E1030*S1030*AD1030*[2]ステータス!$B$2,0)</f>
        <v>4075</v>
      </c>
      <c r="AH1030" s="99">
        <f ca="1">ROUND(VLOOKUP(1,enemy_base_stats!$A:$F,3,FALSE) * Z1030*K1030*P1030*F1030*T1030*AE1030 * W1030*[2]ステータス!$C$2,0)</f>
        <v>265</v>
      </c>
      <c r="AI1030" s="99">
        <f ca="1">ROUND(VLOOKUP(1,enemy_base_stats!$A:$F,4,FALSE) * AA1030*L1030*Q1030*G1030*U1030*AF1030*[2]ステータス!$D$2,0)</f>
        <v>0</v>
      </c>
      <c r="AJ1030" s="99">
        <f ca="1">ROUND(VLOOKUP(100,enemy_base_stats!$A:$F,2,FALSE) * Y1030* J1030*O1030*E1030*S1030*AD1030*[2]ステータス!$B$2,0)</f>
        <v>165441</v>
      </c>
      <c r="AK1030" s="99">
        <f ca="1">ROUND(VLOOKUP(100,enemy_base_stats!$A:$F,3,FALSE)* Z1030* K1030*P1030*F1030*T1030*AE1030 * W1030*[2]ステータス!$C$2,0)</f>
        <v>10754</v>
      </c>
      <c r="AL1030" s="99">
        <f ca="1">ROUND(VLOOKUP(100,enemy_base_stats!$A:$F,4,FALSE)* AA1030* L1030*Q1030*G1030*U1030*AF1030*[2]ステータス!$D$2,0)</f>
        <v>0</v>
      </c>
      <c r="AM1030" s="97">
        <f ca="1">VLOOKUP(M1030,[2]character_tribe_i18n!$A:$I,9,FALSE)</f>
        <v>400</v>
      </c>
      <c r="AN1030" s="97">
        <v>0</v>
      </c>
      <c r="AO1030" s="98">
        <v>0</v>
      </c>
      <c r="AP1030" s="58" t="s">
        <v>72</v>
      </c>
      <c r="AQ1030" s="34">
        <f t="shared" ca="1" si="56"/>
        <v>1029</v>
      </c>
    </row>
    <row r="1031" spans="1:43" ht="21" customHeight="1" x14ac:dyDescent="0.15">
      <c r="A1031" s="7">
        <f t="shared" ca="1" si="57"/>
        <v>1030</v>
      </c>
      <c r="B1031" s="6" t="str">
        <f ca="1">VLOOKUP(A1031,[2]characters!$A:$C,3,FALSE)</f>
        <v>百戦錬磨のカリスマ 源義経</v>
      </c>
      <c r="C1031" s="9">
        <f ca="1">VLOOKUP(A1031,[2]characters!$A:$I,9,FALSE)</f>
        <v>6</v>
      </c>
      <c r="D1031" s="9" t="str">
        <f ca="1">VLOOKUP(A1031,[2]characters!$A:$H,8,FALSE)</f>
        <v>green</v>
      </c>
      <c r="E1031" s="97">
        <f ca="1">VLOOKUP(D1031,[2]属性!$A:$E,2,FALSE)</f>
        <v>1.02</v>
      </c>
      <c r="F1031" s="97">
        <f ca="1">VLOOKUP(D1031,[2]属性!$A:$E,3,FALSE)</f>
        <v>0.98</v>
      </c>
      <c r="G1031" s="97">
        <f ca="1">VLOOKUP(D1031,[2]属性!$A:$F,4,FALSE)</f>
        <v>1</v>
      </c>
      <c r="H1031" s="9" t="str">
        <f ca="1">VLOOKUP(A1031,[2]characters!$A:$K,11,FALSE)</f>
        <v>balance</v>
      </c>
      <c r="I1031" s="6" t="str">
        <f ca="1">VLOOKUP(H1031,[2]character_type_i18n!$A:$F,3,FALSE)</f>
        <v>バランスタイプ</v>
      </c>
      <c r="J1031" s="97">
        <f ca="1">VLOOKUP(H1031,[2]character_type_i18n!$A:$F,4,FALSE)</f>
        <v>1</v>
      </c>
      <c r="K1031" s="97">
        <f ca="1">VLOOKUP(H1031,[2]character_type_i18n!$A:$F,5,FALSE)</f>
        <v>1</v>
      </c>
      <c r="L1031" s="97">
        <f ca="1">VLOOKUP(H1031,[2]character_type_i18n!$A:$F,6,FALSE)</f>
        <v>1</v>
      </c>
      <c r="M1031" s="9" t="str">
        <f ca="1">VLOOKUP(A1031,[2]characters!$A:$M,13,FALSE)</f>
        <v>human</v>
      </c>
      <c r="N1031" s="6" t="str">
        <f ca="1">VLOOKUP(M1031,[2]character_tribe_i18n!$A:$F,3,FALSE)</f>
        <v>ヒューマン</v>
      </c>
      <c r="O1031" s="97">
        <f ca="1">VLOOKUP(M1031,[2]character_tribe_i18n!$A:$F,4,FALSE)</f>
        <v>0.94</v>
      </c>
      <c r="P1031" s="97">
        <f ca="1">VLOOKUP(M1031,[2]character_tribe_i18n!$A:$F,5,FALSE)</f>
        <v>0.99</v>
      </c>
      <c r="Q1031" s="97">
        <f ca="1">VLOOKUP(M1031,[2]character_tribe_i18n!$A:$F,6,FALSE)</f>
        <v>1</v>
      </c>
      <c r="R1031" s="98" t="s">
        <v>98</v>
      </c>
      <c r="S1031" s="97">
        <f>VLOOKUP($R1031,ラベル別係数!$A$1:$E$7,3,FALSE)</f>
        <v>5</v>
      </c>
      <c r="T1031" s="97">
        <f>VLOOKUP($R1031,ラベル別係数!$A$1:$E$7,4,FALSE)</f>
        <v>1.3</v>
      </c>
      <c r="U1031" s="97">
        <f>VLOOKUP($R1031,ラベル別係数!$A$1:$E$7,5,FALSE)</f>
        <v>0.8</v>
      </c>
      <c r="V1031" s="98">
        <v>3</v>
      </c>
      <c r="W1031" s="99">
        <f>VLOOKUP(V1031,ターン数別攻撃係数!$A$1:$B$1000,2,FALSE)</f>
        <v>1</v>
      </c>
      <c r="X1031" s="9">
        <f ca="1">VLOOKUP(C1031,サイズ別係数!A$2:B$9,2,FALSE)</f>
        <v>60</v>
      </c>
      <c r="Y1031" s="97">
        <f ca="1">VLOOKUP($X1031,サイズ別係数!$B:$E,2,FALSE)</f>
        <v>1.7</v>
      </c>
      <c r="Z1031" s="97">
        <f ca="1">VLOOKUP($X1031,サイズ別係数!$B:$E,3,FALSE)</f>
        <v>1.4</v>
      </c>
      <c r="AA1031" s="97">
        <f ca="1">VLOOKUP($X1031,サイズ別係数!$B:$E,4,FALSE)</f>
        <v>1</v>
      </c>
      <c r="AB1031" s="10">
        <v>0</v>
      </c>
      <c r="AC1031" s="6" t="str">
        <f ca="1">VLOOKUP($AB1031,OFFSET([3]enemy_skill_sets!$B$2,0,0,COUNTA([3]enemy_skill_sets!$A:$A),MATCH(AC$1,[3]enemy_skill_sets!$1:$1,0)-MATCH($AB$1,[3]enemy_skill_sets!$1:$1,0)+1),MATCH(AC$1,[3]enemy_skill_sets!$1:$1,0)-MATCH($AB$1,[3]enemy_skill_sets!$1:$1,0)+1,FALSE)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1" s="67">
        <v>1</v>
      </c>
      <c r="AE1031" s="67">
        <v>1</v>
      </c>
      <c r="AF1031" s="68">
        <v>0</v>
      </c>
      <c r="AG1031" s="99">
        <f ca="1">ROUND(VLOOKUP(1,enemy_base_stats!$A:$F,2,FALSE) * Y1031* J1031*O1031*E1031*S1031*AD1031*[2]ステータス!$B$2,0)</f>
        <v>4075</v>
      </c>
      <c r="AH1031" s="99">
        <f ca="1">ROUND(VLOOKUP(1,enemy_base_stats!$A:$F,3,FALSE) * Z1031*K1031*P1031*F1031*T1031*AE1031 * W1031*[2]ステータス!$C$2,0)</f>
        <v>265</v>
      </c>
      <c r="AI1031" s="99">
        <f ca="1">ROUND(VLOOKUP(1,enemy_base_stats!$A:$F,4,FALSE) * AA1031*L1031*Q1031*G1031*U1031*AF1031*[2]ステータス!$D$2,0)</f>
        <v>0</v>
      </c>
      <c r="AJ1031" s="99">
        <f ca="1">ROUND(VLOOKUP(100,enemy_base_stats!$A:$F,2,FALSE) * Y1031* J1031*O1031*E1031*S1031*AD1031*[2]ステータス!$B$2,0)</f>
        <v>165441</v>
      </c>
      <c r="AK1031" s="99">
        <f ca="1">ROUND(VLOOKUP(100,enemy_base_stats!$A:$F,3,FALSE)* Z1031* K1031*P1031*F1031*T1031*AE1031 * W1031*[2]ステータス!$C$2,0)</f>
        <v>10754</v>
      </c>
      <c r="AL1031" s="99">
        <f ca="1">ROUND(VLOOKUP(100,enemy_base_stats!$A:$F,4,FALSE)* AA1031* L1031*Q1031*G1031*U1031*AF1031*[2]ステータス!$D$2,0)</f>
        <v>0</v>
      </c>
      <c r="AM1031" s="97">
        <f ca="1">VLOOKUP(M1031,[2]character_tribe_i18n!$A:$I,9,FALSE)</f>
        <v>400</v>
      </c>
      <c r="AN1031" s="97">
        <v>0</v>
      </c>
      <c r="AO1031" s="98">
        <v>0</v>
      </c>
      <c r="AP1031" s="58" t="s">
        <v>72</v>
      </c>
      <c r="AQ1031" s="34">
        <f t="shared" ca="1" si="56"/>
        <v>1030</v>
      </c>
    </row>
    <row r="1032" spans="1:43" ht="21" customHeight="1" x14ac:dyDescent="0.15">
      <c r="A1032" s="7">
        <f t="shared" ca="1" si="57"/>
        <v>1031</v>
      </c>
      <c r="B1032" s="6" t="str">
        <f ca="1">VLOOKUP(A1032,[2]characters!$A:$C,3,FALSE)</f>
        <v>紫式部</v>
      </c>
      <c r="C1032" s="9">
        <f ca="1">VLOOKUP(A1032,[2]characters!$A:$I,9,FALSE)</f>
        <v>5</v>
      </c>
      <c r="D1032" s="9" t="str">
        <f ca="1">VLOOKUP(A1032,[2]characters!$A:$H,8,FALSE)</f>
        <v>blue</v>
      </c>
      <c r="E1032" s="97">
        <f ca="1">VLOOKUP(D1032,[2]属性!$A:$E,2,FALSE)</f>
        <v>1</v>
      </c>
      <c r="F1032" s="97">
        <f ca="1">VLOOKUP(D1032,[2]属性!$A:$E,3,FALSE)</f>
        <v>0.98</v>
      </c>
      <c r="G1032" s="97">
        <f ca="1">VLOOKUP(D1032,[2]属性!$A:$F,4,FALSE)</f>
        <v>1</v>
      </c>
      <c r="H1032" s="9" t="str">
        <f ca="1">VLOOKUP(A1032,[2]characters!$A:$K,11,FALSE)</f>
        <v>technical</v>
      </c>
      <c r="I1032" s="6" t="str">
        <f ca="1">VLOOKUP(H1032,[2]character_type_i18n!$A:$F,3,FALSE)</f>
        <v>テクニカルタイプ</v>
      </c>
      <c r="J1032" s="97">
        <f ca="1">VLOOKUP(H1032,[2]character_type_i18n!$A:$F,4,FALSE)</f>
        <v>0.9</v>
      </c>
      <c r="K1032" s="97">
        <f ca="1">VLOOKUP(H1032,[2]character_type_i18n!$A:$F,5,FALSE)</f>
        <v>0.9</v>
      </c>
      <c r="L1032" s="97">
        <f ca="1">VLOOKUP(H1032,[2]character_type_i18n!$A:$F,6,FALSE)</f>
        <v>1</v>
      </c>
      <c r="M1032" s="9" t="str">
        <f ca="1">VLOOKUP(A1032,[2]characters!$A:$M,13,FALSE)</f>
        <v>human</v>
      </c>
      <c r="N1032" s="6" t="str">
        <f ca="1">VLOOKUP(M1032,[2]character_tribe_i18n!$A:$F,3,FALSE)</f>
        <v>ヒューマン</v>
      </c>
      <c r="O1032" s="97">
        <f ca="1">VLOOKUP(M1032,[2]character_tribe_i18n!$A:$F,4,FALSE)</f>
        <v>0.94</v>
      </c>
      <c r="P1032" s="97">
        <f ca="1">VLOOKUP(M1032,[2]character_tribe_i18n!$A:$F,5,FALSE)</f>
        <v>0.99</v>
      </c>
      <c r="Q1032" s="97">
        <f ca="1">VLOOKUP(M1032,[2]character_tribe_i18n!$A:$F,6,FALSE)</f>
        <v>1</v>
      </c>
      <c r="R1032" s="98" t="s">
        <v>98</v>
      </c>
      <c r="S1032" s="97">
        <f>VLOOKUP($R1032,ラベル別係数!$A$1:$E$7,3,FALSE)</f>
        <v>5</v>
      </c>
      <c r="T1032" s="97">
        <f>VLOOKUP($R1032,ラベル別係数!$A$1:$E$7,4,FALSE)</f>
        <v>1.3</v>
      </c>
      <c r="U1032" s="97">
        <f>VLOOKUP($R1032,ラベル別係数!$A$1:$E$7,5,FALSE)</f>
        <v>0.8</v>
      </c>
      <c r="V1032" s="98">
        <v>3</v>
      </c>
      <c r="W1032" s="99">
        <f>VLOOKUP(V1032,ターン数別攻撃係数!$A$1:$B$1000,2,FALSE)</f>
        <v>1</v>
      </c>
      <c r="X1032" s="9">
        <f ca="1">VLOOKUP(C1032,サイズ別係数!A$2:B$9,2,FALSE)</f>
        <v>60</v>
      </c>
      <c r="Y1032" s="97">
        <f ca="1">VLOOKUP($X1032,サイズ別係数!$B:$E,2,FALSE)</f>
        <v>1.7</v>
      </c>
      <c r="Z1032" s="97">
        <f ca="1">VLOOKUP($X1032,サイズ別係数!$B:$E,3,FALSE)</f>
        <v>1.4</v>
      </c>
      <c r="AA1032" s="97">
        <f ca="1">VLOOKUP($X1032,サイズ別係数!$B:$E,4,FALSE)</f>
        <v>1</v>
      </c>
      <c r="AB1032" s="10">
        <v>0</v>
      </c>
      <c r="AC1032" s="6" t="str">
        <f ca="1">VLOOKUP($AB1032,OFFSET([3]enemy_skill_sets!$B$2,0,0,COUNTA([3]enemy_skill_sets!$A:$A),MATCH(AC$1,[3]enemy_skill_sets!$1:$1,0)-MATCH($AB$1,[3]enemy_skill_sets!$1:$1,0)+1),MATCH(AC$1,[3]enemy_skill_sets!$1:$1,0)-MATCH($AB$1,[3]enemy_skill_sets!$1:$1,0)+1,FALSE)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2" s="67">
        <v>1</v>
      </c>
      <c r="AE1032" s="67">
        <v>1</v>
      </c>
      <c r="AF1032" s="68">
        <v>0</v>
      </c>
      <c r="AG1032" s="99">
        <f ca="1">ROUND(VLOOKUP(1,enemy_base_stats!$A:$F,2,FALSE) * Y1032* J1032*O1032*E1032*S1032*AD1032*[2]ステータス!$B$2,0)</f>
        <v>3596</v>
      </c>
      <c r="AH1032" s="99">
        <f ca="1">ROUND(VLOOKUP(1,enemy_base_stats!$A:$F,3,FALSE) * Z1032*K1032*P1032*F1032*T1032*AE1032 * W1032*[2]ステータス!$C$2,0)</f>
        <v>238</v>
      </c>
      <c r="AI1032" s="99">
        <f ca="1">ROUND(VLOOKUP(1,enemy_base_stats!$A:$F,4,FALSE) * AA1032*L1032*Q1032*G1032*U1032*AF1032*[2]ステータス!$D$2,0)</f>
        <v>0</v>
      </c>
      <c r="AJ1032" s="99">
        <f ca="1">ROUND(VLOOKUP(100,enemy_base_stats!$A:$F,2,FALSE) * Y1032* J1032*O1032*E1032*S1032*AD1032*[2]ステータス!$B$2,0)</f>
        <v>145977</v>
      </c>
      <c r="AK1032" s="99">
        <f ca="1">ROUND(VLOOKUP(100,enemy_base_stats!$A:$F,3,FALSE)* Z1032* K1032*P1032*F1032*T1032*AE1032 * W1032*[2]ステータス!$C$2,0)</f>
        <v>9678</v>
      </c>
      <c r="AL1032" s="99">
        <f ca="1">ROUND(VLOOKUP(100,enemy_base_stats!$A:$F,4,FALSE)* AA1032* L1032*Q1032*G1032*U1032*AF1032*[2]ステータス!$D$2,0)</f>
        <v>0</v>
      </c>
      <c r="AM1032" s="97">
        <f ca="1">VLOOKUP(M1032,[2]character_tribe_i18n!$A:$I,9,FALSE)</f>
        <v>400</v>
      </c>
      <c r="AN1032" s="97">
        <v>0</v>
      </c>
      <c r="AO1032" s="98">
        <v>0</v>
      </c>
      <c r="AP1032" s="58" t="s">
        <v>72</v>
      </c>
      <c r="AQ1032" s="34">
        <f t="shared" ca="1" si="56"/>
        <v>1031</v>
      </c>
    </row>
    <row r="1033" spans="1:43" ht="21" customHeight="1" x14ac:dyDescent="0.15">
      <c r="A1033" s="7">
        <f t="shared" ca="1" si="57"/>
        <v>1032</v>
      </c>
      <c r="B1033" s="6" t="str">
        <f ca="1">VLOOKUP(A1033,[2]characters!$A:$C,3,FALSE)</f>
        <v>彩気煥発の創作人 紫式部</v>
      </c>
      <c r="C1033" s="9">
        <f ca="1">VLOOKUP(A1033,[2]characters!$A:$I,9,FALSE)</f>
        <v>6</v>
      </c>
      <c r="D1033" s="9" t="str">
        <f ca="1">VLOOKUP(A1033,[2]characters!$A:$H,8,FALSE)</f>
        <v>blue</v>
      </c>
      <c r="E1033" s="97">
        <f ca="1">VLOOKUP(D1033,[2]属性!$A:$E,2,FALSE)</f>
        <v>1</v>
      </c>
      <c r="F1033" s="97">
        <f ca="1">VLOOKUP(D1033,[2]属性!$A:$E,3,FALSE)</f>
        <v>0.98</v>
      </c>
      <c r="G1033" s="97">
        <f ca="1">VLOOKUP(D1033,[2]属性!$A:$F,4,FALSE)</f>
        <v>1</v>
      </c>
      <c r="H1033" s="9" t="str">
        <f ca="1">VLOOKUP(A1033,[2]characters!$A:$K,11,FALSE)</f>
        <v>technical</v>
      </c>
      <c r="I1033" s="6" t="str">
        <f ca="1">VLOOKUP(H1033,[2]character_type_i18n!$A:$F,3,FALSE)</f>
        <v>テクニカルタイプ</v>
      </c>
      <c r="J1033" s="97">
        <f ca="1">VLOOKUP(H1033,[2]character_type_i18n!$A:$F,4,FALSE)</f>
        <v>0.9</v>
      </c>
      <c r="K1033" s="97">
        <f ca="1">VLOOKUP(H1033,[2]character_type_i18n!$A:$F,5,FALSE)</f>
        <v>0.9</v>
      </c>
      <c r="L1033" s="97">
        <f ca="1">VLOOKUP(H1033,[2]character_type_i18n!$A:$F,6,FALSE)</f>
        <v>1</v>
      </c>
      <c r="M1033" s="9" t="str">
        <f ca="1">VLOOKUP(A1033,[2]characters!$A:$M,13,FALSE)</f>
        <v>human</v>
      </c>
      <c r="N1033" s="6" t="str">
        <f ca="1">VLOOKUP(M1033,[2]character_tribe_i18n!$A:$F,3,FALSE)</f>
        <v>ヒューマン</v>
      </c>
      <c r="O1033" s="97">
        <f ca="1">VLOOKUP(M1033,[2]character_tribe_i18n!$A:$F,4,FALSE)</f>
        <v>0.94</v>
      </c>
      <c r="P1033" s="97">
        <f ca="1">VLOOKUP(M1033,[2]character_tribe_i18n!$A:$F,5,FALSE)</f>
        <v>0.99</v>
      </c>
      <c r="Q1033" s="97">
        <f ca="1">VLOOKUP(M1033,[2]character_tribe_i18n!$A:$F,6,FALSE)</f>
        <v>1</v>
      </c>
      <c r="R1033" s="98" t="s">
        <v>98</v>
      </c>
      <c r="S1033" s="97">
        <f>VLOOKUP($R1033,ラベル別係数!$A$1:$E$7,3,FALSE)</f>
        <v>5</v>
      </c>
      <c r="T1033" s="97">
        <f>VLOOKUP($R1033,ラベル別係数!$A$1:$E$7,4,FALSE)</f>
        <v>1.3</v>
      </c>
      <c r="U1033" s="97">
        <f>VLOOKUP($R1033,ラベル別係数!$A$1:$E$7,5,FALSE)</f>
        <v>0.8</v>
      </c>
      <c r="V1033" s="98">
        <v>3</v>
      </c>
      <c r="W1033" s="99">
        <f>VLOOKUP(V1033,ターン数別攻撃係数!$A$1:$B$1000,2,FALSE)</f>
        <v>1</v>
      </c>
      <c r="X1033" s="9">
        <f ca="1">VLOOKUP(C1033,サイズ別係数!A$2:B$9,2,FALSE)</f>
        <v>60</v>
      </c>
      <c r="Y1033" s="97">
        <f ca="1">VLOOKUP($X1033,サイズ別係数!$B:$E,2,FALSE)</f>
        <v>1.7</v>
      </c>
      <c r="Z1033" s="97">
        <f ca="1">VLOOKUP($X1033,サイズ別係数!$B:$E,3,FALSE)</f>
        <v>1.4</v>
      </c>
      <c r="AA1033" s="97">
        <f ca="1">VLOOKUP($X1033,サイズ別係数!$B:$E,4,FALSE)</f>
        <v>1</v>
      </c>
      <c r="AB1033" s="10">
        <v>0</v>
      </c>
      <c r="AC1033" s="6" t="str">
        <f ca="1">VLOOKUP($AB1033,OFFSET([3]enemy_skill_sets!$B$2,0,0,COUNTA([3]enemy_skill_sets!$A:$A),MATCH(AC$1,[3]enemy_skill_sets!$1:$1,0)-MATCH($AB$1,[3]enemy_skill_sets!$1:$1,0)+1),MATCH(AC$1,[3]enemy_skill_sets!$1:$1,0)-MATCH($AB$1,[3]enemy_skill_sets!$1:$1,0)+1,FALSE)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3" s="67">
        <v>1</v>
      </c>
      <c r="AE1033" s="67">
        <v>1</v>
      </c>
      <c r="AF1033" s="68">
        <v>0</v>
      </c>
      <c r="AG1033" s="99">
        <f ca="1">ROUND(VLOOKUP(1,enemy_base_stats!$A:$F,2,FALSE) * Y1033* J1033*O1033*E1033*S1033*AD1033*[2]ステータス!$B$2,0)</f>
        <v>3596</v>
      </c>
      <c r="AH1033" s="99">
        <f ca="1">ROUND(VLOOKUP(1,enemy_base_stats!$A:$F,3,FALSE) * Z1033*K1033*P1033*F1033*T1033*AE1033 * W1033*[2]ステータス!$C$2,0)</f>
        <v>238</v>
      </c>
      <c r="AI1033" s="99">
        <f ca="1">ROUND(VLOOKUP(1,enemy_base_stats!$A:$F,4,FALSE) * AA1033*L1033*Q1033*G1033*U1033*AF1033*[2]ステータス!$D$2,0)</f>
        <v>0</v>
      </c>
      <c r="AJ1033" s="99">
        <f ca="1">ROUND(VLOOKUP(100,enemy_base_stats!$A:$F,2,FALSE) * Y1033* J1033*O1033*E1033*S1033*AD1033*[2]ステータス!$B$2,0)</f>
        <v>145977</v>
      </c>
      <c r="AK1033" s="99">
        <f ca="1">ROUND(VLOOKUP(100,enemy_base_stats!$A:$F,3,FALSE)* Z1033* K1033*P1033*F1033*T1033*AE1033 * W1033*[2]ステータス!$C$2,0)</f>
        <v>9678</v>
      </c>
      <c r="AL1033" s="99">
        <f ca="1">ROUND(VLOOKUP(100,enemy_base_stats!$A:$F,4,FALSE)* AA1033* L1033*Q1033*G1033*U1033*AF1033*[2]ステータス!$D$2,0)</f>
        <v>0</v>
      </c>
      <c r="AM1033" s="97">
        <f ca="1">VLOOKUP(M1033,[2]character_tribe_i18n!$A:$I,9,FALSE)</f>
        <v>400</v>
      </c>
      <c r="AN1033" s="97">
        <v>0</v>
      </c>
      <c r="AO1033" s="98">
        <v>0</v>
      </c>
      <c r="AP1033" s="58" t="s">
        <v>72</v>
      </c>
      <c r="AQ1033" s="34">
        <f t="shared" ca="1" si="56"/>
        <v>1032</v>
      </c>
    </row>
    <row r="1034" spans="1:43" ht="21" customHeight="1" x14ac:dyDescent="0.15">
      <c r="A1034" s="7">
        <f t="shared" ca="1" si="57"/>
        <v>1033</v>
      </c>
      <c r="B1034" s="6" t="str">
        <f ca="1">VLOOKUP(A1034,[2]characters!$A:$C,3,FALSE)</f>
        <v>清少納言</v>
      </c>
      <c r="C1034" s="9">
        <f ca="1">VLOOKUP(A1034,[2]characters!$A:$I,9,FALSE)</f>
        <v>5</v>
      </c>
      <c r="D1034" s="9" t="str">
        <f ca="1">VLOOKUP(A1034,[2]characters!$A:$H,8,FALSE)</f>
        <v>yellow</v>
      </c>
      <c r="E1034" s="97">
        <f ca="1">VLOOKUP(D1034,[2]属性!$A:$E,2,FALSE)</f>
        <v>0.98</v>
      </c>
      <c r="F1034" s="97">
        <f ca="1">VLOOKUP(D1034,[2]属性!$A:$E,3,FALSE)</f>
        <v>1.01</v>
      </c>
      <c r="G1034" s="97">
        <f ca="1">VLOOKUP(D1034,[2]属性!$A:$F,4,FALSE)</f>
        <v>1</v>
      </c>
      <c r="H1034" s="9" t="str">
        <f ca="1">VLOOKUP(A1034,[2]characters!$A:$K,11,FALSE)</f>
        <v>heal</v>
      </c>
      <c r="I1034" s="6" t="str">
        <f ca="1">VLOOKUP(H1034,[2]character_type_i18n!$A:$F,3,FALSE)</f>
        <v>回復タイプ</v>
      </c>
      <c r="J1034" s="97">
        <f ca="1">VLOOKUP(H1034,[2]character_type_i18n!$A:$F,4,FALSE)</f>
        <v>0.8</v>
      </c>
      <c r="K1034" s="97">
        <f ca="1">VLOOKUP(H1034,[2]character_type_i18n!$A:$F,5,FALSE)</f>
        <v>0.78</v>
      </c>
      <c r="L1034" s="97">
        <f ca="1">VLOOKUP(H1034,[2]character_type_i18n!$A:$F,6,FALSE)</f>
        <v>1</v>
      </c>
      <c r="M1034" s="9" t="str">
        <f ca="1">VLOOKUP(A1034,[2]characters!$A:$M,13,FALSE)</f>
        <v>human</v>
      </c>
      <c r="N1034" s="6" t="str">
        <f ca="1">VLOOKUP(M1034,[2]character_tribe_i18n!$A:$F,3,FALSE)</f>
        <v>ヒューマン</v>
      </c>
      <c r="O1034" s="97">
        <f ca="1">VLOOKUP(M1034,[2]character_tribe_i18n!$A:$F,4,FALSE)</f>
        <v>0.94</v>
      </c>
      <c r="P1034" s="97">
        <f ca="1">VLOOKUP(M1034,[2]character_tribe_i18n!$A:$F,5,FALSE)</f>
        <v>0.99</v>
      </c>
      <c r="Q1034" s="97">
        <f ca="1">VLOOKUP(M1034,[2]character_tribe_i18n!$A:$F,6,FALSE)</f>
        <v>1</v>
      </c>
      <c r="R1034" s="98" t="s">
        <v>98</v>
      </c>
      <c r="S1034" s="97">
        <f>VLOOKUP($R1034,ラベル別係数!$A$1:$E$7,3,FALSE)</f>
        <v>5</v>
      </c>
      <c r="T1034" s="97">
        <f>VLOOKUP($R1034,ラベル別係数!$A$1:$E$7,4,FALSE)</f>
        <v>1.3</v>
      </c>
      <c r="U1034" s="97">
        <f>VLOOKUP($R1034,ラベル別係数!$A$1:$E$7,5,FALSE)</f>
        <v>0.8</v>
      </c>
      <c r="V1034" s="98">
        <v>3</v>
      </c>
      <c r="W1034" s="99">
        <f>VLOOKUP(V1034,ターン数別攻撃係数!$A$1:$B$1000,2,FALSE)</f>
        <v>1</v>
      </c>
      <c r="X1034" s="9">
        <f ca="1">VLOOKUP(C1034,サイズ別係数!A$2:B$9,2,FALSE)</f>
        <v>60</v>
      </c>
      <c r="Y1034" s="97">
        <f ca="1">VLOOKUP($X1034,サイズ別係数!$B:$E,2,FALSE)</f>
        <v>1.7</v>
      </c>
      <c r="Z1034" s="97">
        <f ca="1">VLOOKUP($X1034,サイズ別係数!$B:$E,3,FALSE)</f>
        <v>1.4</v>
      </c>
      <c r="AA1034" s="97">
        <f ca="1">VLOOKUP($X1034,サイズ別係数!$B:$E,4,FALSE)</f>
        <v>1</v>
      </c>
      <c r="AB1034" s="10">
        <v>0</v>
      </c>
      <c r="AC1034" s="6" t="str">
        <f ca="1">VLOOKUP($AB1034,OFFSET([3]enemy_skill_sets!$B$2,0,0,COUNTA([3]enemy_skill_sets!$A:$A),MATCH(AC$1,[3]enemy_skill_sets!$1:$1,0)-MATCH($AB$1,[3]enemy_skill_sets!$1:$1,0)+1),MATCH(AC$1,[3]enemy_skill_sets!$1:$1,0)-MATCH($AB$1,[3]enemy_skill_sets!$1:$1,0)+1,FALSE)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4" s="67">
        <v>1</v>
      </c>
      <c r="AE1034" s="67">
        <v>1</v>
      </c>
      <c r="AF1034" s="68">
        <v>0</v>
      </c>
      <c r="AG1034" s="99">
        <f ca="1">ROUND(VLOOKUP(1,enemy_base_stats!$A:$F,2,FALSE) * Y1034* J1034*O1034*E1034*S1034*AD1034*[2]ステータス!$B$2,0)</f>
        <v>3132</v>
      </c>
      <c r="AH1034" s="99">
        <f ca="1">ROUND(VLOOKUP(1,enemy_base_stats!$A:$F,3,FALSE) * Z1034*K1034*P1034*F1034*T1034*AE1034 * W1034*[2]ステータス!$C$2,0)</f>
        <v>213</v>
      </c>
      <c r="AI1034" s="99">
        <f ca="1">ROUND(VLOOKUP(1,enemy_base_stats!$A:$F,4,FALSE) * AA1034*L1034*Q1034*G1034*U1034*AF1034*[2]ステータス!$D$2,0)</f>
        <v>0</v>
      </c>
      <c r="AJ1034" s="99">
        <f ca="1">ROUND(VLOOKUP(100,enemy_base_stats!$A:$F,2,FALSE) * Y1034* J1034*O1034*E1034*S1034*AD1034*[2]ステータス!$B$2,0)</f>
        <v>127162</v>
      </c>
      <c r="AK1034" s="99">
        <f ca="1">ROUND(VLOOKUP(100,enemy_base_stats!$A:$F,3,FALSE)* Z1034* K1034*P1034*F1034*T1034*AE1034 * W1034*[2]ステータス!$C$2,0)</f>
        <v>8644</v>
      </c>
      <c r="AL1034" s="99">
        <f ca="1">ROUND(VLOOKUP(100,enemy_base_stats!$A:$F,4,FALSE)* AA1034* L1034*Q1034*G1034*U1034*AF1034*[2]ステータス!$D$2,0)</f>
        <v>0</v>
      </c>
      <c r="AM1034" s="97">
        <f ca="1">VLOOKUP(M1034,[2]character_tribe_i18n!$A:$I,9,FALSE)</f>
        <v>400</v>
      </c>
      <c r="AN1034" s="97">
        <v>0</v>
      </c>
      <c r="AO1034" s="98">
        <v>0</v>
      </c>
      <c r="AP1034" s="58" t="s">
        <v>72</v>
      </c>
      <c r="AQ1034" s="34">
        <f t="shared" ca="1" si="56"/>
        <v>1033</v>
      </c>
    </row>
    <row r="1035" spans="1:43" ht="21" customHeight="1" x14ac:dyDescent="0.15">
      <c r="A1035" s="7">
        <f t="shared" ca="1" si="57"/>
        <v>1034</v>
      </c>
      <c r="B1035" s="6" t="str">
        <f ca="1">VLOOKUP(A1035,[2]characters!$A:$C,3,FALSE)</f>
        <v>爛漫なる随筆家 清少納言</v>
      </c>
      <c r="C1035" s="9">
        <f ca="1">VLOOKUP(A1035,[2]characters!$A:$I,9,FALSE)</f>
        <v>6</v>
      </c>
      <c r="D1035" s="9" t="str">
        <f ca="1">VLOOKUP(A1035,[2]characters!$A:$H,8,FALSE)</f>
        <v>yellow</v>
      </c>
      <c r="E1035" s="97">
        <f ca="1">VLOOKUP(D1035,[2]属性!$A:$E,2,FALSE)</f>
        <v>0.98</v>
      </c>
      <c r="F1035" s="97">
        <f ca="1">VLOOKUP(D1035,[2]属性!$A:$E,3,FALSE)</f>
        <v>1.01</v>
      </c>
      <c r="G1035" s="97">
        <f ca="1">VLOOKUP(D1035,[2]属性!$A:$F,4,FALSE)</f>
        <v>1</v>
      </c>
      <c r="H1035" s="9" t="str">
        <f ca="1">VLOOKUP(A1035,[2]characters!$A:$K,11,FALSE)</f>
        <v>heal</v>
      </c>
      <c r="I1035" s="6" t="str">
        <f ca="1">VLOOKUP(H1035,[2]character_type_i18n!$A:$F,3,FALSE)</f>
        <v>回復タイプ</v>
      </c>
      <c r="J1035" s="97">
        <f ca="1">VLOOKUP(H1035,[2]character_type_i18n!$A:$F,4,FALSE)</f>
        <v>0.8</v>
      </c>
      <c r="K1035" s="97">
        <f ca="1">VLOOKUP(H1035,[2]character_type_i18n!$A:$F,5,FALSE)</f>
        <v>0.78</v>
      </c>
      <c r="L1035" s="97">
        <f ca="1">VLOOKUP(H1035,[2]character_type_i18n!$A:$F,6,FALSE)</f>
        <v>1</v>
      </c>
      <c r="M1035" s="9" t="str">
        <f ca="1">VLOOKUP(A1035,[2]characters!$A:$M,13,FALSE)</f>
        <v>human</v>
      </c>
      <c r="N1035" s="6" t="str">
        <f ca="1">VLOOKUP(M1035,[2]character_tribe_i18n!$A:$F,3,FALSE)</f>
        <v>ヒューマン</v>
      </c>
      <c r="O1035" s="97">
        <f ca="1">VLOOKUP(M1035,[2]character_tribe_i18n!$A:$F,4,FALSE)</f>
        <v>0.94</v>
      </c>
      <c r="P1035" s="97">
        <f ca="1">VLOOKUP(M1035,[2]character_tribe_i18n!$A:$F,5,FALSE)</f>
        <v>0.99</v>
      </c>
      <c r="Q1035" s="97">
        <f ca="1">VLOOKUP(M1035,[2]character_tribe_i18n!$A:$F,6,FALSE)</f>
        <v>1</v>
      </c>
      <c r="R1035" s="98" t="s">
        <v>98</v>
      </c>
      <c r="S1035" s="97">
        <f>VLOOKUP($R1035,ラベル別係数!$A$1:$E$7,3,FALSE)</f>
        <v>5</v>
      </c>
      <c r="T1035" s="97">
        <f>VLOOKUP($R1035,ラベル別係数!$A$1:$E$7,4,FALSE)</f>
        <v>1.3</v>
      </c>
      <c r="U1035" s="97">
        <f>VLOOKUP($R1035,ラベル別係数!$A$1:$E$7,5,FALSE)</f>
        <v>0.8</v>
      </c>
      <c r="V1035" s="98">
        <v>3</v>
      </c>
      <c r="W1035" s="99">
        <f>VLOOKUP(V1035,ターン数別攻撃係数!$A$1:$B$1000,2,FALSE)</f>
        <v>1</v>
      </c>
      <c r="X1035" s="9">
        <f ca="1">VLOOKUP(C1035,サイズ別係数!A$2:B$9,2,FALSE)</f>
        <v>60</v>
      </c>
      <c r="Y1035" s="97">
        <f ca="1">VLOOKUP($X1035,サイズ別係数!$B:$E,2,FALSE)</f>
        <v>1.7</v>
      </c>
      <c r="Z1035" s="97">
        <f ca="1">VLOOKUP($X1035,サイズ別係数!$B:$E,3,FALSE)</f>
        <v>1.4</v>
      </c>
      <c r="AA1035" s="97">
        <f ca="1">VLOOKUP($X1035,サイズ別係数!$B:$E,4,FALSE)</f>
        <v>1</v>
      </c>
      <c r="AB1035" s="10">
        <v>0</v>
      </c>
      <c r="AC1035" s="6" t="str">
        <f ca="1">VLOOKUP($AB1035,OFFSET([3]enemy_skill_sets!$B$2,0,0,COUNTA([3]enemy_skill_sets!$A:$A),MATCH(AC$1,[3]enemy_skill_sets!$1:$1,0)-MATCH($AB$1,[3]enemy_skill_sets!$1:$1,0)+1),MATCH(AC$1,[3]enemy_skill_sets!$1:$1,0)-MATCH($AB$1,[3]enemy_skill_sets!$1:$1,0)+1,FALSE)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5" s="67">
        <v>1</v>
      </c>
      <c r="AE1035" s="67">
        <v>1</v>
      </c>
      <c r="AF1035" s="68">
        <v>0</v>
      </c>
      <c r="AG1035" s="99">
        <f ca="1">ROUND(VLOOKUP(1,enemy_base_stats!$A:$F,2,FALSE) * Y1035* J1035*O1035*E1035*S1035*AD1035*[2]ステータス!$B$2,0)</f>
        <v>3132</v>
      </c>
      <c r="AH1035" s="99">
        <f ca="1">ROUND(VLOOKUP(1,enemy_base_stats!$A:$F,3,FALSE) * Z1035*K1035*P1035*F1035*T1035*AE1035 * W1035*[2]ステータス!$C$2,0)</f>
        <v>213</v>
      </c>
      <c r="AI1035" s="99">
        <f ca="1">ROUND(VLOOKUP(1,enemy_base_stats!$A:$F,4,FALSE) * AA1035*L1035*Q1035*G1035*U1035*AF1035*[2]ステータス!$D$2,0)</f>
        <v>0</v>
      </c>
      <c r="AJ1035" s="99">
        <f ca="1">ROUND(VLOOKUP(100,enemy_base_stats!$A:$F,2,FALSE) * Y1035* J1035*O1035*E1035*S1035*AD1035*[2]ステータス!$B$2,0)</f>
        <v>127162</v>
      </c>
      <c r="AK1035" s="99">
        <f ca="1">ROUND(VLOOKUP(100,enemy_base_stats!$A:$F,3,FALSE)* Z1035* K1035*P1035*F1035*T1035*AE1035 * W1035*[2]ステータス!$C$2,0)</f>
        <v>8644</v>
      </c>
      <c r="AL1035" s="99">
        <f ca="1">ROUND(VLOOKUP(100,enemy_base_stats!$A:$F,4,FALSE)* AA1035* L1035*Q1035*G1035*U1035*AF1035*[2]ステータス!$D$2,0)</f>
        <v>0</v>
      </c>
      <c r="AM1035" s="97">
        <f ca="1">VLOOKUP(M1035,[2]character_tribe_i18n!$A:$I,9,FALSE)</f>
        <v>400</v>
      </c>
      <c r="AN1035" s="97">
        <v>0</v>
      </c>
      <c r="AO1035" s="98">
        <v>0</v>
      </c>
      <c r="AP1035" s="58" t="s">
        <v>72</v>
      </c>
      <c r="AQ1035" s="34">
        <f t="shared" ca="1" si="56"/>
        <v>1034</v>
      </c>
    </row>
    <row r="1036" spans="1:43" ht="21" customHeight="1" x14ac:dyDescent="0.15">
      <c r="A1036" s="7">
        <f t="shared" ca="1" si="57"/>
        <v>1035</v>
      </c>
      <c r="B1036" s="6" t="str">
        <f ca="1">VLOOKUP(A1036,[2]characters!$A:$C,3,FALSE)</f>
        <v>スカルズ</v>
      </c>
      <c r="C1036" s="9">
        <f ca="1">VLOOKUP(A1036,[2]characters!$A:$I,9,FALSE)</f>
        <v>5</v>
      </c>
      <c r="D1036" s="9" t="str">
        <f ca="1">VLOOKUP(A1036,[2]characters!$A:$H,8,FALSE)</f>
        <v>green</v>
      </c>
      <c r="E1036" s="97">
        <f ca="1">VLOOKUP(D1036,[2]属性!$A:$E,2,FALSE)</f>
        <v>1.02</v>
      </c>
      <c r="F1036" s="97">
        <f ca="1">VLOOKUP(D1036,[2]属性!$A:$E,3,FALSE)</f>
        <v>0.98</v>
      </c>
      <c r="G1036" s="97">
        <f ca="1">VLOOKUP(D1036,[2]属性!$A:$F,4,FALSE)</f>
        <v>1</v>
      </c>
      <c r="H1036" s="9" t="str">
        <f ca="1">VLOOKUP(A1036,[2]characters!$A:$K,11,FALSE)</f>
        <v>hp</v>
      </c>
      <c r="I1036" s="6" t="str">
        <f ca="1">VLOOKUP(H1036,[2]character_type_i18n!$A:$F,3,FALSE)</f>
        <v>体力タイプ</v>
      </c>
      <c r="J1036" s="97">
        <f ca="1">VLOOKUP(H1036,[2]character_type_i18n!$A:$F,4,FALSE)</f>
        <v>1.45</v>
      </c>
      <c r="K1036" s="97">
        <f ca="1">VLOOKUP(H1036,[2]character_type_i18n!$A:$F,5,FALSE)</f>
        <v>0.85</v>
      </c>
      <c r="L1036" s="97">
        <f ca="1">VLOOKUP(H1036,[2]character_type_i18n!$A:$F,6,FALSE)</f>
        <v>1</v>
      </c>
      <c r="M1036" s="9" t="str">
        <f ca="1">VLOOKUP(A1036,[2]characters!$A:$M,13,FALSE)</f>
        <v>animal</v>
      </c>
      <c r="N1036" s="6" t="str">
        <f ca="1">VLOOKUP(M1036,[2]character_tribe_i18n!$A:$F,3,FALSE)</f>
        <v>アニマル</v>
      </c>
      <c r="O1036" s="97">
        <f ca="1">VLOOKUP(M1036,[2]character_tribe_i18n!$A:$F,4,FALSE)</f>
        <v>1</v>
      </c>
      <c r="P1036" s="97">
        <f ca="1">VLOOKUP(M1036,[2]character_tribe_i18n!$A:$F,5,FALSE)</f>
        <v>1.1000000000000001</v>
      </c>
      <c r="Q1036" s="97">
        <f ca="1">VLOOKUP(M1036,[2]character_tribe_i18n!$A:$F,6,FALSE)</f>
        <v>1</v>
      </c>
      <c r="R1036" s="98" t="s">
        <v>98</v>
      </c>
      <c r="S1036" s="97">
        <f>VLOOKUP($R1036,ラベル別係数!$A$1:$E$7,3,FALSE)</f>
        <v>5</v>
      </c>
      <c r="T1036" s="97">
        <f>VLOOKUP($R1036,ラベル別係数!$A$1:$E$7,4,FALSE)</f>
        <v>1.3</v>
      </c>
      <c r="U1036" s="97">
        <f>VLOOKUP($R1036,ラベル別係数!$A$1:$E$7,5,FALSE)</f>
        <v>0.8</v>
      </c>
      <c r="V1036" s="98">
        <v>3</v>
      </c>
      <c r="W1036" s="99">
        <f>VLOOKUP(V1036,ターン数別攻撃係数!$A$1:$B$1000,2,FALSE)</f>
        <v>1</v>
      </c>
      <c r="X1036" s="9">
        <f ca="1">VLOOKUP(C1036,サイズ別係数!A$2:B$9,2,FALSE)</f>
        <v>60</v>
      </c>
      <c r="Y1036" s="97">
        <f ca="1">VLOOKUP($X1036,サイズ別係数!$B:$E,2,FALSE)</f>
        <v>1.7</v>
      </c>
      <c r="Z1036" s="97">
        <f ca="1">VLOOKUP($X1036,サイズ別係数!$B:$E,3,FALSE)</f>
        <v>1.4</v>
      </c>
      <c r="AA1036" s="97">
        <f ca="1">VLOOKUP($X1036,サイズ別係数!$B:$E,4,FALSE)</f>
        <v>1</v>
      </c>
      <c r="AB1036" s="10">
        <v>0</v>
      </c>
      <c r="AC1036" s="6" t="str">
        <f ca="1">VLOOKUP($AB1036,OFFSET([3]enemy_skill_sets!$B$2,0,0,COUNTA([3]enemy_skill_sets!$A:$A),MATCH(AC$1,[3]enemy_skill_sets!$1:$1,0)-MATCH($AB$1,[3]enemy_skill_sets!$1:$1,0)+1),MATCH(AC$1,[3]enemy_skill_sets!$1:$1,0)-MATCH($AB$1,[3]enemy_skill_sets!$1:$1,0)+1,FALSE)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6" s="67">
        <v>1</v>
      </c>
      <c r="AE1036" s="67">
        <v>1</v>
      </c>
      <c r="AF1036" s="68">
        <v>0</v>
      </c>
      <c r="AG1036" s="41">
        <v>3902</v>
      </c>
      <c r="AH1036" s="41">
        <v>241</v>
      </c>
      <c r="AI1036" s="99">
        <f ca="1">ROUND(VLOOKUP(1,enemy_base_stats!$A:$F,4,FALSE) * AA1036*L1036*Q1036*G1036*U1036*AF1036*[2]ステータス!$D$2,0)</f>
        <v>0</v>
      </c>
      <c r="AJ1036" s="41">
        <v>158401</v>
      </c>
      <c r="AK1036" s="41">
        <v>9776</v>
      </c>
      <c r="AL1036" s="99">
        <f ca="1">ROUND(VLOOKUP(100,enemy_base_stats!$A:$F,4,FALSE)* AA1036* L1036*Q1036*G1036*U1036*AF1036*[2]ステータス!$D$2,0)</f>
        <v>0</v>
      </c>
      <c r="AM1036" s="102">
        <v>340</v>
      </c>
      <c r="AN1036" s="97">
        <v>0</v>
      </c>
      <c r="AO1036" s="98">
        <v>0</v>
      </c>
      <c r="AP1036" s="58" t="s">
        <v>72</v>
      </c>
      <c r="AQ1036" s="34">
        <f t="shared" ca="1" si="56"/>
        <v>1035</v>
      </c>
    </row>
    <row r="1037" spans="1:43" ht="21" customHeight="1" x14ac:dyDescent="0.15">
      <c r="A1037" s="7">
        <f t="shared" ca="1" si="57"/>
        <v>1036</v>
      </c>
      <c r="B1037" s="6" t="str">
        <f ca="1">VLOOKUP(A1037,[2]characters!$A:$C,3,FALSE)</f>
        <v>復讐の形骸 スカルズ</v>
      </c>
      <c r="C1037" s="9">
        <f ca="1">VLOOKUP(A1037,[2]characters!$A:$I,9,FALSE)</f>
        <v>6</v>
      </c>
      <c r="D1037" s="9" t="str">
        <f ca="1">VLOOKUP(A1037,[2]characters!$A:$H,8,FALSE)</f>
        <v>green</v>
      </c>
      <c r="E1037" s="97">
        <f ca="1">VLOOKUP(D1037,[2]属性!$A:$E,2,FALSE)</f>
        <v>1.02</v>
      </c>
      <c r="F1037" s="97">
        <f ca="1">VLOOKUP(D1037,[2]属性!$A:$E,3,FALSE)</f>
        <v>0.98</v>
      </c>
      <c r="G1037" s="97">
        <f ca="1">VLOOKUP(D1037,[2]属性!$A:$F,4,FALSE)</f>
        <v>1</v>
      </c>
      <c r="H1037" s="9" t="str">
        <f ca="1">VLOOKUP(A1037,[2]characters!$A:$K,11,FALSE)</f>
        <v>hp</v>
      </c>
      <c r="I1037" s="6" t="str">
        <f ca="1">VLOOKUP(H1037,[2]character_type_i18n!$A:$F,3,FALSE)</f>
        <v>体力タイプ</v>
      </c>
      <c r="J1037" s="97">
        <f ca="1">VLOOKUP(H1037,[2]character_type_i18n!$A:$F,4,FALSE)</f>
        <v>1.45</v>
      </c>
      <c r="K1037" s="97">
        <f ca="1">VLOOKUP(H1037,[2]character_type_i18n!$A:$F,5,FALSE)</f>
        <v>0.85</v>
      </c>
      <c r="L1037" s="97">
        <f ca="1">VLOOKUP(H1037,[2]character_type_i18n!$A:$F,6,FALSE)</f>
        <v>1</v>
      </c>
      <c r="M1037" s="9" t="str">
        <f ca="1">VLOOKUP(A1037,[2]characters!$A:$M,13,FALSE)</f>
        <v>animal</v>
      </c>
      <c r="N1037" s="6" t="str">
        <f ca="1">VLOOKUP(M1037,[2]character_tribe_i18n!$A:$F,3,FALSE)</f>
        <v>アニマル</v>
      </c>
      <c r="O1037" s="97">
        <f ca="1">VLOOKUP(M1037,[2]character_tribe_i18n!$A:$F,4,FALSE)</f>
        <v>1</v>
      </c>
      <c r="P1037" s="97">
        <f ca="1">VLOOKUP(M1037,[2]character_tribe_i18n!$A:$F,5,FALSE)</f>
        <v>1.1000000000000001</v>
      </c>
      <c r="Q1037" s="97">
        <f ca="1">VLOOKUP(M1037,[2]character_tribe_i18n!$A:$F,6,FALSE)</f>
        <v>1</v>
      </c>
      <c r="R1037" s="98" t="s">
        <v>98</v>
      </c>
      <c r="S1037" s="97">
        <f>VLOOKUP($R1037,ラベル別係数!$A$1:$E$7,3,FALSE)</f>
        <v>5</v>
      </c>
      <c r="T1037" s="97">
        <f>VLOOKUP($R1037,ラベル別係数!$A$1:$E$7,4,FALSE)</f>
        <v>1.3</v>
      </c>
      <c r="U1037" s="97">
        <f>VLOOKUP($R1037,ラベル別係数!$A$1:$E$7,5,FALSE)</f>
        <v>0.8</v>
      </c>
      <c r="V1037" s="98">
        <v>3</v>
      </c>
      <c r="W1037" s="99">
        <f>VLOOKUP(V1037,ターン数別攻撃係数!$A$1:$B$1000,2,FALSE)</f>
        <v>1</v>
      </c>
      <c r="X1037" s="9">
        <f ca="1">VLOOKUP(C1037,サイズ別係数!A$2:B$9,2,FALSE)</f>
        <v>60</v>
      </c>
      <c r="Y1037" s="97">
        <f ca="1">VLOOKUP($X1037,サイズ別係数!$B:$E,2,FALSE)</f>
        <v>1.7</v>
      </c>
      <c r="Z1037" s="97">
        <f ca="1">VLOOKUP($X1037,サイズ別係数!$B:$E,3,FALSE)</f>
        <v>1.4</v>
      </c>
      <c r="AA1037" s="97">
        <f ca="1">VLOOKUP($X1037,サイズ別係数!$B:$E,4,FALSE)</f>
        <v>1</v>
      </c>
      <c r="AB1037" s="10">
        <v>0</v>
      </c>
      <c r="AC1037" s="6" t="str">
        <f ca="1">VLOOKUP($AB1037,OFFSET([3]enemy_skill_sets!$B$2,0,0,COUNTA([3]enemy_skill_sets!$A:$A),MATCH(AC$1,[3]enemy_skill_sets!$1:$1,0)-MATCH($AB$1,[3]enemy_skill_sets!$1:$1,0)+1),MATCH(AC$1,[3]enemy_skill_sets!$1:$1,0)-MATCH($AB$1,[3]enemy_skill_sets!$1:$1,0)+1,FALSE)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7" s="67">
        <v>1</v>
      </c>
      <c r="AE1037" s="67">
        <v>1</v>
      </c>
      <c r="AF1037" s="68">
        <v>0</v>
      </c>
      <c r="AG1037" s="41">
        <v>3902</v>
      </c>
      <c r="AH1037" s="41">
        <v>241</v>
      </c>
      <c r="AI1037" s="99">
        <f ca="1">ROUND(VLOOKUP(1,enemy_base_stats!$A:$F,4,FALSE) * AA1037*L1037*Q1037*G1037*U1037*AF1037*[2]ステータス!$D$2,0)</f>
        <v>0</v>
      </c>
      <c r="AJ1037" s="41">
        <v>158401</v>
      </c>
      <c r="AK1037" s="41">
        <v>9776</v>
      </c>
      <c r="AL1037" s="99">
        <f ca="1">ROUND(VLOOKUP(100,enemy_base_stats!$A:$F,4,FALSE)* AA1037* L1037*Q1037*G1037*U1037*AF1037*[2]ステータス!$D$2,0)</f>
        <v>0</v>
      </c>
      <c r="AM1037" s="102">
        <v>340</v>
      </c>
      <c r="AN1037" s="97">
        <v>0</v>
      </c>
      <c r="AO1037" s="98">
        <v>0</v>
      </c>
      <c r="AP1037" s="58" t="s">
        <v>72</v>
      </c>
      <c r="AQ1037" s="34">
        <f t="shared" ca="1" si="56"/>
        <v>1036</v>
      </c>
    </row>
    <row r="1038" spans="1:43" ht="21" customHeight="1" x14ac:dyDescent="0.15">
      <c r="A1038" s="7">
        <f t="shared" ca="1" si="57"/>
        <v>1037</v>
      </c>
      <c r="B1038" s="6" t="str">
        <f ca="1">VLOOKUP(A1038,[2]characters!$A:$C,3,FALSE)</f>
        <v>ミューズ</v>
      </c>
      <c r="C1038" s="9">
        <f ca="1">VLOOKUP(A1038,[2]characters!$A:$I,9,FALSE)</f>
        <v>5</v>
      </c>
      <c r="D1038" s="9" t="str">
        <f ca="1">VLOOKUP(A1038,[2]characters!$A:$H,8,FALSE)</f>
        <v>yellow</v>
      </c>
      <c r="E1038" s="97">
        <f ca="1">VLOOKUP(D1038,[2]属性!$A:$E,2,FALSE)</f>
        <v>0.98</v>
      </c>
      <c r="F1038" s="97">
        <f ca="1">VLOOKUP(D1038,[2]属性!$A:$E,3,FALSE)</f>
        <v>1.01</v>
      </c>
      <c r="G1038" s="97">
        <f ca="1">VLOOKUP(D1038,[2]属性!$A:$F,4,FALSE)</f>
        <v>1</v>
      </c>
      <c r="H1038" s="9" t="str">
        <f ca="1">VLOOKUP(A1038,[2]characters!$A:$K,11,FALSE)</f>
        <v>balance</v>
      </c>
      <c r="I1038" s="6" t="str">
        <f ca="1">VLOOKUP(H1038,[2]character_type_i18n!$A:$F,3,FALSE)</f>
        <v>バランスタイプ</v>
      </c>
      <c r="J1038" s="97">
        <f ca="1">VLOOKUP(H1038,[2]character_type_i18n!$A:$F,4,FALSE)</f>
        <v>1</v>
      </c>
      <c r="K1038" s="97">
        <f ca="1">VLOOKUP(H1038,[2]character_type_i18n!$A:$F,5,FALSE)</f>
        <v>1</v>
      </c>
      <c r="L1038" s="97">
        <f ca="1">VLOOKUP(H1038,[2]character_type_i18n!$A:$F,6,FALSE)</f>
        <v>1</v>
      </c>
      <c r="M1038" s="9" t="str">
        <f ca="1">VLOOKUP(A1038,[2]characters!$A:$M,13,FALSE)</f>
        <v>unknown</v>
      </c>
      <c r="N1038" s="6" t="str">
        <f ca="1">VLOOKUP(M1038,[2]character_tribe_i18n!$A:$F,3,FALSE)</f>
        <v>Unknown</v>
      </c>
      <c r="O1038" s="97">
        <f ca="1">VLOOKUP(M1038,[2]character_tribe_i18n!$A:$F,4,FALSE)</f>
        <v>1</v>
      </c>
      <c r="P1038" s="97">
        <f ca="1">VLOOKUP(M1038,[2]character_tribe_i18n!$A:$F,5,FALSE)</f>
        <v>1</v>
      </c>
      <c r="Q1038" s="97">
        <f ca="1">VLOOKUP(M1038,[2]character_tribe_i18n!$A:$F,6,FALSE)</f>
        <v>1</v>
      </c>
      <c r="R1038" s="98" t="s">
        <v>98</v>
      </c>
      <c r="S1038" s="97">
        <f>VLOOKUP($R1038,ラベル別係数!$A$1:$E$7,3,FALSE)</f>
        <v>5</v>
      </c>
      <c r="T1038" s="97">
        <f>VLOOKUP($R1038,ラベル別係数!$A$1:$E$7,4,FALSE)</f>
        <v>1.3</v>
      </c>
      <c r="U1038" s="97">
        <f>VLOOKUP($R1038,ラベル別係数!$A$1:$E$7,5,FALSE)</f>
        <v>0.8</v>
      </c>
      <c r="V1038" s="98">
        <v>3</v>
      </c>
      <c r="W1038" s="99">
        <f>VLOOKUP(V1038,ターン数別攻撃係数!$A$1:$B$1000,2,FALSE)</f>
        <v>1</v>
      </c>
      <c r="X1038" s="9">
        <f ca="1">VLOOKUP(C1038,サイズ別係数!A$2:B$9,2,FALSE)</f>
        <v>60</v>
      </c>
      <c r="Y1038" s="97">
        <f ca="1">VLOOKUP($X1038,サイズ別係数!$B:$E,2,FALSE)</f>
        <v>1.7</v>
      </c>
      <c r="Z1038" s="97">
        <f ca="1">VLOOKUP($X1038,サイズ別係数!$B:$E,3,FALSE)</f>
        <v>1.4</v>
      </c>
      <c r="AA1038" s="97">
        <f ca="1">VLOOKUP($X1038,サイズ別係数!$B:$E,4,FALSE)</f>
        <v>1</v>
      </c>
      <c r="AB1038" s="10">
        <v>0</v>
      </c>
      <c r="AC1038" s="6" t="str">
        <f ca="1">VLOOKUP($AB1038,OFFSET([3]enemy_skill_sets!$B$2,0,0,COUNTA([3]enemy_skill_sets!$A:$A),MATCH(AC$1,[3]enemy_skill_sets!$1:$1,0)-MATCH($AB$1,[3]enemy_skill_sets!$1:$1,0)+1),MATCH(AC$1,[3]enemy_skill_sets!$1:$1,0)-MATCH($AB$1,[3]enemy_skill_sets!$1:$1,0)+1,FALSE)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8" s="67">
        <v>1</v>
      </c>
      <c r="AE1038" s="67">
        <v>1</v>
      </c>
      <c r="AF1038" s="68">
        <v>0</v>
      </c>
      <c r="AG1038" s="99">
        <f ca="1">ROUND(VLOOKUP(1,enemy_base_stats!$A:$F,2,FALSE) * Y1038* J1038*O1038*E1038*S1038*AD1038*[2]ステータス!$B$2,0)</f>
        <v>4165</v>
      </c>
      <c r="AH1038" s="99">
        <f ca="1">ROUND(VLOOKUP(1,enemy_base_stats!$A:$F,3,FALSE) * Z1038*K1038*P1038*F1038*T1038*AE1038 * W1038*[2]ステータス!$C$2,0)</f>
        <v>276</v>
      </c>
      <c r="AI1038" s="99">
        <f ca="1">ROUND(VLOOKUP(1,enemy_base_stats!$A:$F,4,FALSE) * AA1038*L1038*Q1038*G1038*U1038*AF1038*[2]ステータス!$D$2,0)</f>
        <v>0</v>
      </c>
      <c r="AJ1038" s="99">
        <f ca="1">ROUND(VLOOKUP(100,enemy_base_stats!$A:$F,2,FALSE) * Y1038* J1038*O1038*E1038*S1038*AD1038*[2]ステータス!$B$2,0)</f>
        <v>169099</v>
      </c>
      <c r="AK1038" s="99">
        <f ca="1">ROUND(VLOOKUP(100,enemy_base_stats!$A:$F,3,FALSE)* Z1038* K1038*P1038*F1038*T1038*AE1038 * W1038*[2]ステータス!$C$2,0)</f>
        <v>11195</v>
      </c>
      <c r="AL1038" s="99">
        <f ca="1">ROUND(VLOOKUP(100,enemy_base_stats!$A:$F,4,FALSE)* AA1038* L1038*Q1038*G1038*U1038*AF1038*[2]ステータス!$D$2,0)</f>
        <v>0</v>
      </c>
      <c r="AM1038" s="97">
        <f ca="1">VLOOKUP(M1038,[2]character_tribe_i18n!$A:$I,9,FALSE)</f>
        <v>340</v>
      </c>
      <c r="AN1038" s="97">
        <v>0</v>
      </c>
      <c r="AO1038" s="98">
        <v>0</v>
      </c>
      <c r="AP1038" s="58" t="s">
        <v>72</v>
      </c>
      <c r="AQ1038" s="34">
        <f t="shared" ca="1" si="56"/>
        <v>1037</v>
      </c>
    </row>
    <row r="1039" spans="1:43" ht="21" customHeight="1" x14ac:dyDescent="0.15">
      <c r="A1039" s="7">
        <f t="shared" ca="1" si="57"/>
        <v>1038</v>
      </c>
      <c r="B1039" s="6" t="str">
        <f ca="1">VLOOKUP(A1039,[2]characters!$A:$C,3,FALSE)</f>
        <v>歌音届ける楽愛神 ミューズ</v>
      </c>
      <c r="C1039" s="9">
        <f ca="1">VLOOKUP(A1039,[2]characters!$A:$I,9,FALSE)</f>
        <v>6</v>
      </c>
      <c r="D1039" s="9" t="str">
        <f ca="1">VLOOKUP(A1039,[2]characters!$A:$H,8,FALSE)</f>
        <v>yellow</v>
      </c>
      <c r="E1039" s="97">
        <f ca="1">VLOOKUP(D1039,[2]属性!$A:$E,2,FALSE)</f>
        <v>0.98</v>
      </c>
      <c r="F1039" s="97">
        <f ca="1">VLOOKUP(D1039,[2]属性!$A:$E,3,FALSE)</f>
        <v>1.01</v>
      </c>
      <c r="G1039" s="97">
        <f ca="1">VLOOKUP(D1039,[2]属性!$A:$F,4,FALSE)</f>
        <v>1</v>
      </c>
      <c r="H1039" s="9" t="str">
        <f ca="1">VLOOKUP(A1039,[2]characters!$A:$K,11,FALSE)</f>
        <v>balance</v>
      </c>
      <c r="I1039" s="6" t="str">
        <f ca="1">VLOOKUP(H1039,[2]character_type_i18n!$A:$F,3,FALSE)</f>
        <v>バランスタイプ</v>
      </c>
      <c r="J1039" s="97">
        <f ca="1">VLOOKUP(H1039,[2]character_type_i18n!$A:$F,4,FALSE)</f>
        <v>1</v>
      </c>
      <c r="K1039" s="97">
        <f ca="1">VLOOKUP(H1039,[2]character_type_i18n!$A:$F,5,FALSE)</f>
        <v>1</v>
      </c>
      <c r="L1039" s="97">
        <f ca="1">VLOOKUP(H1039,[2]character_type_i18n!$A:$F,6,FALSE)</f>
        <v>1</v>
      </c>
      <c r="M1039" s="9" t="str">
        <f ca="1">VLOOKUP(A1039,[2]characters!$A:$M,13,FALSE)</f>
        <v>unknown</v>
      </c>
      <c r="N1039" s="6" t="str">
        <f ca="1">VLOOKUP(M1039,[2]character_tribe_i18n!$A:$F,3,FALSE)</f>
        <v>Unknown</v>
      </c>
      <c r="O1039" s="97">
        <f ca="1">VLOOKUP(M1039,[2]character_tribe_i18n!$A:$F,4,FALSE)</f>
        <v>1</v>
      </c>
      <c r="P1039" s="97">
        <f ca="1">VLOOKUP(M1039,[2]character_tribe_i18n!$A:$F,5,FALSE)</f>
        <v>1</v>
      </c>
      <c r="Q1039" s="97">
        <f ca="1">VLOOKUP(M1039,[2]character_tribe_i18n!$A:$F,6,FALSE)</f>
        <v>1</v>
      </c>
      <c r="R1039" s="98" t="s">
        <v>98</v>
      </c>
      <c r="S1039" s="97">
        <f>VLOOKUP($R1039,ラベル別係数!$A$1:$E$7,3,FALSE)</f>
        <v>5</v>
      </c>
      <c r="T1039" s="97">
        <f>VLOOKUP($R1039,ラベル別係数!$A$1:$E$7,4,FALSE)</f>
        <v>1.3</v>
      </c>
      <c r="U1039" s="97">
        <f>VLOOKUP($R1039,ラベル別係数!$A$1:$E$7,5,FALSE)</f>
        <v>0.8</v>
      </c>
      <c r="V1039" s="98">
        <v>3</v>
      </c>
      <c r="W1039" s="99">
        <f>VLOOKUP(V1039,ターン数別攻撃係数!$A$1:$B$1000,2,FALSE)</f>
        <v>1</v>
      </c>
      <c r="X1039" s="9">
        <f ca="1">VLOOKUP(C1039,サイズ別係数!A$2:B$9,2,FALSE)</f>
        <v>60</v>
      </c>
      <c r="Y1039" s="97">
        <f ca="1">VLOOKUP($X1039,サイズ別係数!$B:$E,2,FALSE)</f>
        <v>1.7</v>
      </c>
      <c r="Z1039" s="97">
        <f ca="1">VLOOKUP($X1039,サイズ別係数!$B:$E,3,FALSE)</f>
        <v>1.4</v>
      </c>
      <c r="AA1039" s="97">
        <f ca="1">VLOOKUP($X1039,サイズ別係数!$B:$E,4,FALSE)</f>
        <v>1</v>
      </c>
      <c r="AB1039" s="10">
        <v>0</v>
      </c>
      <c r="AC1039" s="6" t="str">
        <f ca="1">VLOOKUP($AB1039,OFFSET([3]enemy_skill_sets!$B$2,0,0,COUNTA([3]enemy_skill_sets!$A:$A),MATCH(AC$1,[3]enemy_skill_sets!$1:$1,0)-MATCH($AB$1,[3]enemy_skill_sets!$1:$1,0)+1),MATCH(AC$1,[3]enemy_skill_sets!$1:$1,0)-MATCH($AB$1,[3]enemy_skill_sets!$1:$1,0)+1,FALSE)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39" s="67">
        <v>1</v>
      </c>
      <c r="AE1039" s="67">
        <v>1</v>
      </c>
      <c r="AF1039" s="68">
        <v>0</v>
      </c>
      <c r="AG1039" s="99">
        <f ca="1">ROUND(VLOOKUP(1,enemy_base_stats!$A:$F,2,FALSE) * Y1039* J1039*O1039*E1039*S1039*AD1039*[2]ステータス!$B$2,0)</f>
        <v>4165</v>
      </c>
      <c r="AH1039" s="99">
        <f ca="1">ROUND(VLOOKUP(1,enemy_base_stats!$A:$F,3,FALSE) * Z1039*K1039*P1039*F1039*T1039*AE1039 * W1039*[2]ステータス!$C$2,0)</f>
        <v>276</v>
      </c>
      <c r="AI1039" s="99">
        <f ca="1">ROUND(VLOOKUP(1,enemy_base_stats!$A:$F,4,FALSE) * AA1039*L1039*Q1039*G1039*U1039*AF1039*[2]ステータス!$D$2,0)</f>
        <v>0</v>
      </c>
      <c r="AJ1039" s="99">
        <f ca="1">ROUND(VLOOKUP(100,enemy_base_stats!$A:$F,2,FALSE) * Y1039* J1039*O1039*E1039*S1039*AD1039*[2]ステータス!$B$2,0)</f>
        <v>169099</v>
      </c>
      <c r="AK1039" s="99">
        <f ca="1">ROUND(VLOOKUP(100,enemy_base_stats!$A:$F,3,FALSE)* Z1039* K1039*P1039*F1039*T1039*AE1039 * W1039*[2]ステータス!$C$2,0)</f>
        <v>11195</v>
      </c>
      <c r="AL1039" s="99">
        <f ca="1">ROUND(VLOOKUP(100,enemy_base_stats!$A:$F,4,FALSE)* AA1039* L1039*Q1039*G1039*U1039*AF1039*[2]ステータス!$D$2,0)</f>
        <v>0</v>
      </c>
      <c r="AM1039" s="97">
        <f ca="1">VLOOKUP(M1039,[2]character_tribe_i18n!$A:$I,9,FALSE)</f>
        <v>340</v>
      </c>
      <c r="AN1039" s="97">
        <v>0</v>
      </c>
      <c r="AO1039" s="98">
        <v>0</v>
      </c>
      <c r="AP1039" s="58" t="s">
        <v>72</v>
      </c>
      <c r="AQ1039" s="34">
        <f t="shared" ca="1" si="56"/>
        <v>1038</v>
      </c>
    </row>
    <row r="1040" spans="1:43" ht="21" customHeight="1" x14ac:dyDescent="0.15">
      <c r="A1040" s="7">
        <f t="shared" ca="1" si="57"/>
        <v>1039</v>
      </c>
      <c r="B1040" s="6" t="str">
        <f ca="1">VLOOKUP(A1040,[2]characters!$A:$C,3,FALSE)</f>
        <v>ディラック</v>
      </c>
      <c r="C1040" s="9">
        <f ca="1">VLOOKUP(A1040,[2]characters!$A:$I,9,FALSE)</f>
        <v>5</v>
      </c>
      <c r="D1040" s="9" t="str">
        <f ca="1">VLOOKUP(A1040,[2]characters!$A:$H,8,FALSE)</f>
        <v>blue</v>
      </c>
      <c r="E1040" s="97">
        <f ca="1">VLOOKUP(D1040,[2]属性!$A:$E,2,FALSE)</f>
        <v>1</v>
      </c>
      <c r="F1040" s="97">
        <f ca="1">VLOOKUP(D1040,[2]属性!$A:$E,3,FALSE)</f>
        <v>0.98</v>
      </c>
      <c r="G1040" s="97">
        <f ca="1">VLOOKUP(D1040,[2]属性!$A:$F,4,FALSE)</f>
        <v>1</v>
      </c>
      <c r="H1040" s="9" t="str">
        <f ca="1">VLOOKUP(A1040,[2]characters!$A:$K,11,FALSE)</f>
        <v>technical</v>
      </c>
      <c r="I1040" s="6" t="str">
        <f ca="1">VLOOKUP(H1040,[2]character_type_i18n!$A:$F,3,FALSE)</f>
        <v>テクニカルタイプ</v>
      </c>
      <c r="J1040" s="97">
        <f ca="1">VLOOKUP(H1040,[2]character_type_i18n!$A:$F,4,FALSE)</f>
        <v>0.9</v>
      </c>
      <c r="K1040" s="97">
        <f ca="1">VLOOKUP(H1040,[2]character_type_i18n!$A:$F,5,FALSE)</f>
        <v>0.9</v>
      </c>
      <c r="L1040" s="97">
        <f ca="1">VLOOKUP(H1040,[2]character_type_i18n!$A:$F,6,FALSE)</f>
        <v>1</v>
      </c>
      <c r="M1040" s="9" t="str">
        <f ca="1">VLOOKUP(A1040,[2]characters!$A:$M,13,FALSE)</f>
        <v>academia</v>
      </c>
      <c r="N1040" s="6" t="str">
        <f ca="1">VLOOKUP(M1040,[2]character_tribe_i18n!$A:$F,3,FALSE)</f>
        <v>アカデミア</v>
      </c>
      <c r="O1040" s="97">
        <f ca="1">VLOOKUP(M1040,[2]character_tribe_i18n!$A:$F,4,FALSE)</f>
        <v>1</v>
      </c>
      <c r="P1040" s="97">
        <f ca="1">VLOOKUP(M1040,[2]character_tribe_i18n!$A:$F,5,FALSE)</f>
        <v>1</v>
      </c>
      <c r="Q1040" s="97">
        <f ca="1">VLOOKUP(M1040,[2]character_tribe_i18n!$A:$F,6,FALSE)</f>
        <v>1</v>
      </c>
      <c r="R1040" s="98" t="s">
        <v>98</v>
      </c>
      <c r="S1040" s="97">
        <f>VLOOKUP($R1040,ラベル別係数!$A$1:$E$7,3,FALSE)</f>
        <v>5</v>
      </c>
      <c r="T1040" s="97">
        <f>VLOOKUP($R1040,ラベル別係数!$A$1:$E$7,4,FALSE)</f>
        <v>1.3</v>
      </c>
      <c r="U1040" s="97">
        <f>VLOOKUP($R1040,ラベル別係数!$A$1:$E$7,5,FALSE)</f>
        <v>0.8</v>
      </c>
      <c r="V1040" s="98">
        <v>3</v>
      </c>
      <c r="W1040" s="99">
        <f>VLOOKUP(V1040,ターン数別攻撃係数!$A$1:$B$1000,2,FALSE)</f>
        <v>1</v>
      </c>
      <c r="X1040" s="9">
        <f ca="1">VLOOKUP(C1040,サイズ別係数!A$2:B$9,2,FALSE)</f>
        <v>60</v>
      </c>
      <c r="Y1040" s="97">
        <f ca="1">VLOOKUP($X1040,サイズ別係数!$B:$E,2,FALSE)</f>
        <v>1.7</v>
      </c>
      <c r="Z1040" s="97">
        <f ca="1">VLOOKUP($X1040,サイズ別係数!$B:$E,3,FALSE)</f>
        <v>1.4</v>
      </c>
      <c r="AA1040" s="97">
        <f ca="1">VLOOKUP($X1040,サイズ別係数!$B:$E,4,FALSE)</f>
        <v>1</v>
      </c>
      <c r="AB1040" s="10">
        <v>0</v>
      </c>
      <c r="AC1040" s="6" t="str">
        <f ca="1">VLOOKUP($AB1040,OFFSET([3]enemy_skill_sets!$B$2,0,0,COUNTA([3]enemy_skill_sets!$A:$A),MATCH(AC$1,[3]enemy_skill_sets!$1:$1,0)-MATCH($AB$1,[3]enemy_skill_sets!$1:$1,0)+1),MATCH(AC$1,[3]enemy_skill_sets!$1:$1,0)-MATCH($AB$1,[3]enemy_skill_sets!$1:$1,0)+1,FALSE)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0" s="67">
        <v>1</v>
      </c>
      <c r="AE1040" s="67">
        <v>1</v>
      </c>
      <c r="AF1040" s="68">
        <v>0</v>
      </c>
      <c r="AG1040" s="99">
        <f ca="1">ROUND(VLOOKUP(1,enemy_base_stats!$A:$F,2,FALSE) * Y1040* J1040*O1040*E1040*S1040*AD1040*[2]ステータス!$B$2,0)</f>
        <v>3825</v>
      </c>
      <c r="AH1040" s="99">
        <f ca="1">ROUND(VLOOKUP(1,enemy_base_stats!$A:$F,3,FALSE) * Z1040*K1040*P1040*F1040*T1040*AE1040 * W1040*[2]ステータス!$C$2,0)</f>
        <v>241</v>
      </c>
      <c r="AI1040" s="99">
        <f ca="1">ROUND(VLOOKUP(1,enemy_base_stats!$A:$F,4,FALSE) * AA1040*L1040*Q1040*G1040*U1040*AF1040*[2]ステータス!$D$2,0)</f>
        <v>0</v>
      </c>
      <c r="AJ1040" s="99">
        <f ca="1">ROUND(VLOOKUP(100,enemy_base_stats!$A:$F,2,FALSE) * Y1040* J1040*O1040*E1040*S1040*AD1040*[2]ステータス!$B$2,0)</f>
        <v>155295</v>
      </c>
      <c r="AK1040" s="99">
        <f ca="1">ROUND(VLOOKUP(100,enemy_base_stats!$A:$F,3,FALSE)* Z1040* K1040*P1040*F1040*T1040*AE1040 * W1040*[2]ステータス!$C$2,0)</f>
        <v>9776</v>
      </c>
      <c r="AL1040" s="99">
        <f ca="1">ROUND(VLOOKUP(100,enemy_base_stats!$A:$F,4,FALSE)* AA1040* L1040*Q1040*G1040*U1040*AF1040*[2]ステータス!$D$2,0)</f>
        <v>0</v>
      </c>
      <c r="AM1040" s="97">
        <f ca="1">VLOOKUP(M1040,[2]character_tribe_i18n!$A:$I,9,FALSE)</f>
        <v>400</v>
      </c>
      <c r="AN1040" s="97">
        <v>0</v>
      </c>
      <c r="AO1040" s="98">
        <v>0</v>
      </c>
      <c r="AP1040" s="58" t="s">
        <v>72</v>
      </c>
      <c r="AQ1040" s="34">
        <f t="shared" ca="1" si="56"/>
        <v>1039</v>
      </c>
    </row>
    <row r="1041" spans="1:43" ht="21" customHeight="1" x14ac:dyDescent="0.15">
      <c r="A1041" s="7">
        <f t="shared" ca="1" si="57"/>
        <v>1040</v>
      </c>
      <c r="B1041" s="6" t="str">
        <f ca="1">VLOOKUP(A1041,[2]characters!$A:$C,3,FALSE)</f>
        <v>蒼流の電磁団 ディラック</v>
      </c>
      <c r="C1041" s="9">
        <f ca="1">VLOOKUP(A1041,[2]characters!$A:$I,9,FALSE)</f>
        <v>6</v>
      </c>
      <c r="D1041" s="9" t="str">
        <f ca="1">VLOOKUP(A1041,[2]characters!$A:$H,8,FALSE)</f>
        <v>blue</v>
      </c>
      <c r="E1041" s="97">
        <f ca="1">VLOOKUP(D1041,[2]属性!$A:$E,2,FALSE)</f>
        <v>1</v>
      </c>
      <c r="F1041" s="97">
        <f ca="1">VLOOKUP(D1041,[2]属性!$A:$E,3,FALSE)</f>
        <v>0.98</v>
      </c>
      <c r="G1041" s="97">
        <f ca="1">VLOOKUP(D1041,[2]属性!$A:$F,4,FALSE)</f>
        <v>1</v>
      </c>
      <c r="H1041" s="9" t="str">
        <f ca="1">VLOOKUP(A1041,[2]characters!$A:$K,11,FALSE)</f>
        <v>technical</v>
      </c>
      <c r="I1041" s="6" t="str">
        <f ca="1">VLOOKUP(H1041,[2]character_type_i18n!$A:$F,3,FALSE)</f>
        <v>テクニカルタイプ</v>
      </c>
      <c r="J1041" s="97">
        <f ca="1">VLOOKUP(H1041,[2]character_type_i18n!$A:$F,4,FALSE)</f>
        <v>0.9</v>
      </c>
      <c r="K1041" s="97">
        <f ca="1">VLOOKUP(H1041,[2]character_type_i18n!$A:$F,5,FALSE)</f>
        <v>0.9</v>
      </c>
      <c r="L1041" s="97">
        <f ca="1">VLOOKUP(H1041,[2]character_type_i18n!$A:$F,6,FALSE)</f>
        <v>1</v>
      </c>
      <c r="M1041" s="9" t="str">
        <f ca="1">VLOOKUP(A1041,[2]characters!$A:$M,13,FALSE)</f>
        <v>academia</v>
      </c>
      <c r="N1041" s="6" t="str">
        <f ca="1">VLOOKUP(M1041,[2]character_tribe_i18n!$A:$F,3,FALSE)</f>
        <v>アカデミア</v>
      </c>
      <c r="O1041" s="97">
        <f ca="1">VLOOKUP(M1041,[2]character_tribe_i18n!$A:$F,4,FALSE)</f>
        <v>1</v>
      </c>
      <c r="P1041" s="97">
        <f ca="1">VLOOKUP(M1041,[2]character_tribe_i18n!$A:$F,5,FALSE)</f>
        <v>1</v>
      </c>
      <c r="Q1041" s="97">
        <f ca="1">VLOOKUP(M1041,[2]character_tribe_i18n!$A:$F,6,FALSE)</f>
        <v>1</v>
      </c>
      <c r="R1041" s="98" t="s">
        <v>98</v>
      </c>
      <c r="S1041" s="97">
        <f>VLOOKUP($R1041,ラベル別係数!$A$1:$E$7,3,FALSE)</f>
        <v>5</v>
      </c>
      <c r="T1041" s="97">
        <f>VLOOKUP($R1041,ラベル別係数!$A$1:$E$7,4,FALSE)</f>
        <v>1.3</v>
      </c>
      <c r="U1041" s="97">
        <f>VLOOKUP($R1041,ラベル別係数!$A$1:$E$7,5,FALSE)</f>
        <v>0.8</v>
      </c>
      <c r="V1041" s="98">
        <v>3</v>
      </c>
      <c r="W1041" s="99">
        <f>VLOOKUP(V1041,ターン数別攻撃係数!$A$1:$B$1000,2,FALSE)</f>
        <v>1</v>
      </c>
      <c r="X1041" s="9">
        <f ca="1">VLOOKUP(C1041,サイズ別係数!A$2:B$9,2,FALSE)</f>
        <v>60</v>
      </c>
      <c r="Y1041" s="97">
        <f ca="1">VLOOKUP($X1041,サイズ別係数!$B:$E,2,FALSE)</f>
        <v>1.7</v>
      </c>
      <c r="Z1041" s="97">
        <f ca="1">VLOOKUP($X1041,サイズ別係数!$B:$E,3,FALSE)</f>
        <v>1.4</v>
      </c>
      <c r="AA1041" s="97">
        <f ca="1">VLOOKUP($X1041,サイズ別係数!$B:$E,4,FALSE)</f>
        <v>1</v>
      </c>
      <c r="AB1041" s="10">
        <v>0</v>
      </c>
      <c r="AC1041" s="6" t="str">
        <f ca="1">VLOOKUP($AB1041,OFFSET([3]enemy_skill_sets!$B$2,0,0,COUNTA([3]enemy_skill_sets!$A:$A),MATCH(AC$1,[3]enemy_skill_sets!$1:$1,0)-MATCH($AB$1,[3]enemy_skill_sets!$1:$1,0)+1),MATCH(AC$1,[3]enemy_skill_sets!$1:$1,0)-MATCH($AB$1,[3]enemy_skill_sets!$1:$1,0)+1,FALSE)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1" s="67">
        <v>1</v>
      </c>
      <c r="AE1041" s="67">
        <v>1</v>
      </c>
      <c r="AF1041" s="68">
        <v>0</v>
      </c>
      <c r="AG1041" s="99">
        <f ca="1">ROUND(VLOOKUP(1,enemy_base_stats!$A:$F,2,FALSE) * Y1041* J1041*O1041*E1041*S1041*AD1041*[2]ステータス!$B$2,0)</f>
        <v>3825</v>
      </c>
      <c r="AH1041" s="99">
        <f ca="1">ROUND(VLOOKUP(1,enemy_base_stats!$A:$F,3,FALSE) * Z1041*K1041*P1041*F1041*T1041*AE1041 * W1041*[2]ステータス!$C$2,0)</f>
        <v>241</v>
      </c>
      <c r="AI1041" s="99">
        <f ca="1">ROUND(VLOOKUP(1,enemy_base_stats!$A:$F,4,FALSE) * AA1041*L1041*Q1041*G1041*U1041*AF1041*[2]ステータス!$D$2,0)</f>
        <v>0</v>
      </c>
      <c r="AJ1041" s="99">
        <f ca="1">ROUND(VLOOKUP(100,enemy_base_stats!$A:$F,2,FALSE) * Y1041* J1041*O1041*E1041*S1041*AD1041*[2]ステータス!$B$2,0)</f>
        <v>155295</v>
      </c>
      <c r="AK1041" s="99">
        <f ca="1">ROUND(VLOOKUP(100,enemy_base_stats!$A:$F,3,FALSE)* Z1041* K1041*P1041*F1041*T1041*AE1041 * W1041*[2]ステータス!$C$2,0)</f>
        <v>9776</v>
      </c>
      <c r="AL1041" s="99">
        <f ca="1">ROUND(VLOOKUP(100,enemy_base_stats!$A:$F,4,FALSE)* AA1041* L1041*Q1041*G1041*U1041*AF1041*[2]ステータス!$D$2,0)</f>
        <v>0</v>
      </c>
      <c r="AM1041" s="97">
        <f ca="1">VLOOKUP(M1041,[2]character_tribe_i18n!$A:$I,9,FALSE)</f>
        <v>400</v>
      </c>
      <c r="AN1041" s="97">
        <v>0</v>
      </c>
      <c r="AO1041" s="98">
        <v>0</v>
      </c>
      <c r="AP1041" s="58" t="s">
        <v>72</v>
      </c>
      <c r="AQ1041" s="34">
        <f t="shared" ref="AQ1041:AQ1083" ca="1" si="58">A1041</f>
        <v>1040</v>
      </c>
    </row>
    <row r="1042" spans="1:43" ht="21" customHeight="1" x14ac:dyDescent="0.15">
      <c r="A1042" s="7">
        <f t="shared" ca="1" si="57"/>
        <v>1041</v>
      </c>
      <c r="B1042" s="6" t="str">
        <f ca="1">VLOOKUP(A1042,[2]characters!$A:$C,3,FALSE)</f>
        <v>織姫</v>
      </c>
      <c r="C1042" s="9">
        <f ca="1">VLOOKUP(A1042,[2]characters!$A:$I,9,FALSE)</f>
        <v>5</v>
      </c>
      <c r="D1042" s="9" t="str">
        <f ca="1">VLOOKUP(A1042,[2]characters!$A:$H,8,FALSE)</f>
        <v>red</v>
      </c>
      <c r="E1042" s="97">
        <f ca="1">VLOOKUP(D1042,[2]属性!$A:$E,2,FALSE)</f>
        <v>1</v>
      </c>
      <c r="F1042" s="97">
        <f ca="1">VLOOKUP(D1042,[2]属性!$A:$E,3,FALSE)</f>
        <v>1.02</v>
      </c>
      <c r="G1042" s="97">
        <f ca="1">VLOOKUP(D1042,[2]属性!$A:$F,4,FALSE)</f>
        <v>1</v>
      </c>
      <c r="H1042" s="9" t="str">
        <f ca="1">VLOOKUP(A1042,[2]characters!$A:$K,11,FALSE)</f>
        <v>attack</v>
      </c>
      <c r="I1042" s="6" t="str">
        <f ca="1">VLOOKUP(H1042,[2]character_type_i18n!$A:$F,3,FALSE)</f>
        <v>攻撃タイプ</v>
      </c>
      <c r="J1042" s="97">
        <f ca="1">VLOOKUP(H1042,[2]character_type_i18n!$A:$F,4,FALSE)</f>
        <v>1</v>
      </c>
      <c r="K1042" s="97">
        <f ca="1">VLOOKUP(H1042,[2]character_type_i18n!$A:$F,5,FALSE)</f>
        <v>1.33</v>
      </c>
      <c r="L1042" s="97">
        <f ca="1">VLOOKUP(H1042,[2]character_type_i18n!$A:$F,6,FALSE)</f>
        <v>1</v>
      </c>
      <c r="M1042" s="9" t="str">
        <f ca="1">VLOOKUP(A1042,[2]characters!$A:$M,13,FALSE)</f>
        <v>god</v>
      </c>
      <c r="N1042" s="6" t="str">
        <f ca="1">VLOOKUP(M1042,[2]character_tribe_i18n!$A:$F,3,FALSE)</f>
        <v>ゴッド</v>
      </c>
      <c r="O1042" s="97">
        <f ca="1">VLOOKUP(M1042,[2]character_tribe_i18n!$A:$F,4,FALSE)</f>
        <v>0.96</v>
      </c>
      <c r="P1042" s="97">
        <f ca="1">VLOOKUP(M1042,[2]character_tribe_i18n!$A:$F,5,FALSE)</f>
        <v>1.02</v>
      </c>
      <c r="Q1042" s="97">
        <f ca="1">VLOOKUP(M1042,[2]character_tribe_i18n!$A:$F,6,FALSE)</f>
        <v>1</v>
      </c>
      <c r="R1042" s="98" t="s">
        <v>98</v>
      </c>
      <c r="S1042" s="97">
        <f>VLOOKUP($R1042,ラベル別係数!$A$1:$E$7,3,FALSE)</f>
        <v>5</v>
      </c>
      <c r="T1042" s="97">
        <f>VLOOKUP($R1042,ラベル別係数!$A$1:$E$7,4,FALSE)</f>
        <v>1.3</v>
      </c>
      <c r="U1042" s="97">
        <f>VLOOKUP($R1042,ラベル別係数!$A$1:$E$7,5,FALSE)</f>
        <v>0.8</v>
      </c>
      <c r="V1042" s="98">
        <v>3</v>
      </c>
      <c r="W1042" s="99">
        <f>VLOOKUP(V1042,ターン数別攻撃係数!$A$1:$B$1000,2,FALSE)</f>
        <v>1</v>
      </c>
      <c r="X1042" s="9">
        <f ca="1">VLOOKUP(C1042,サイズ別係数!A$2:B$9,2,FALSE)</f>
        <v>60</v>
      </c>
      <c r="Y1042" s="97">
        <f ca="1">VLOOKUP($X1042,サイズ別係数!$B:$E,2,FALSE)</f>
        <v>1.7</v>
      </c>
      <c r="Z1042" s="97">
        <f ca="1">VLOOKUP($X1042,サイズ別係数!$B:$E,3,FALSE)</f>
        <v>1.4</v>
      </c>
      <c r="AA1042" s="97">
        <f ca="1">VLOOKUP($X1042,サイズ別係数!$B:$E,4,FALSE)</f>
        <v>1</v>
      </c>
      <c r="AB1042" s="10">
        <v>0</v>
      </c>
      <c r="AC1042" s="6" t="str">
        <f ca="1">VLOOKUP($AB1042,OFFSET([3]enemy_skill_sets!$B$2,0,0,COUNTA([3]enemy_skill_sets!$A:$A),MATCH(AC$1,[3]enemy_skill_sets!$1:$1,0)-MATCH($AB$1,[3]enemy_skill_sets!$1:$1,0)+1),MATCH(AC$1,[3]enemy_skill_sets!$1:$1,0)-MATCH($AB$1,[3]enemy_skill_sets!$1:$1,0)+1,FALSE)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2" s="67">
        <v>1</v>
      </c>
      <c r="AE1042" s="67">
        <v>1</v>
      </c>
      <c r="AF1042" s="68">
        <v>0</v>
      </c>
      <c r="AG1042" s="99">
        <f ca="1">ROUND(VLOOKUP(1,enemy_base_stats!$A:$F,2,FALSE) * Y1042* J1042*O1042*E1042*S1042*AD1042*[2]ステータス!$B$2,0)</f>
        <v>4080</v>
      </c>
      <c r="AH1042" s="99">
        <f ca="1">ROUND(VLOOKUP(1,enemy_base_stats!$A:$F,3,FALSE) * Z1042*K1042*P1042*F1042*T1042*AE1042 * W1042*[2]ステータス!$C$2,0)</f>
        <v>378</v>
      </c>
      <c r="AI1042" s="99">
        <f ca="1">ROUND(VLOOKUP(1,enemy_base_stats!$A:$F,4,FALSE) * AA1042*L1042*Q1042*G1042*U1042*AF1042*[2]ステータス!$D$2,0)</f>
        <v>0</v>
      </c>
      <c r="AJ1042" s="99">
        <f ca="1">ROUND(VLOOKUP(100,enemy_base_stats!$A:$F,2,FALSE) * Y1042* J1042*O1042*E1042*S1042*AD1042*[2]ステータス!$B$2,0)</f>
        <v>165648</v>
      </c>
      <c r="AK1042" s="99">
        <f ca="1">ROUND(VLOOKUP(100,enemy_base_stats!$A:$F,3,FALSE)* Z1042* K1042*P1042*F1042*T1042*AE1042 * W1042*[2]ステータス!$C$2,0)</f>
        <v>15337</v>
      </c>
      <c r="AL1042" s="99">
        <f ca="1">ROUND(VLOOKUP(100,enemy_base_stats!$A:$F,4,FALSE)* AA1042* L1042*Q1042*G1042*U1042*AF1042*[2]ステータス!$D$2,0)</f>
        <v>0</v>
      </c>
      <c r="AM1042" s="97">
        <f ca="1">VLOOKUP(M1042,[2]character_tribe_i18n!$A:$I,9,FALSE)</f>
        <v>680</v>
      </c>
      <c r="AN1042" s="97">
        <v>0</v>
      </c>
      <c r="AO1042" s="98">
        <v>0</v>
      </c>
      <c r="AP1042" s="58" t="s">
        <v>72</v>
      </c>
      <c r="AQ1042" s="34">
        <f t="shared" ca="1" si="58"/>
        <v>1041</v>
      </c>
    </row>
    <row r="1043" spans="1:43" ht="21" customHeight="1" x14ac:dyDescent="0.15">
      <c r="A1043" s="7">
        <f t="shared" ca="1" si="57"/>
        <v>1042</v>
      </c>
      <c r="B1043" s="6" t="str">
        <f ca="1">VLOOKUP(A1043,[2]characters!$A:$C,3,FALSE)</f>
        <v>希紡の天帝姫 織姫</v>
      </c>
      <c r="C1043" s="9">
        <f ca="1">VLOOKUP(A1043,[2]characters!$A:$I,9,FALSE)</f>
        <v>6</v>
      </c>
      <c r="D1043" s="9" t="str">
        <f ca="1">VLOOKUP(A1043,[2]characters!$A:$H,8,FALSE)</f>
        <v>red</v>
      </c>
      <c r="E1043" s="97">
        <f ca="1">VLOOKUP(D1043,[2]属性!$A:$E,2,FALSE)</f>
        <v>1</v>
      </c>
      <c r="F1043" s="97">
        <f ca="1">VLOOKUP(D1043,[2]属性!$A:$E,3,FALSE)</f>
        <v>1.02</v>
      </c>
      <c r="G1043" s="97">
        <f ca="1">VLOOKUP(D1043,[2]属性!$A:$F,4,FALSE)</f>
        <v>1</v>
      </c>
      <c r="H1043" s="9" t="str">
        <f ca="1">VLOOKUP(A1043,[2]characters!$A:$K,11,FALSE)</f>
        <v>attack</v>
      </c>
      <c r="I1043" s="6" t="str">
        <f ca="1">VLOOKUP(H1043,[2]character_type_i18n!$A:$F,3,FALSE)</f>
        <v>攻撃タイプ</v>
      </c>
      <c r="J1043" s="97">
        <f ca="1">VLOOKUP(H1043,[2]character_type_i18n!$A:$F,4,FALSE)</f>
        <v>1</v>
      </c>
      <c r="K1043" s="97">
        <f ca="1">VLOOKUP(H1043,[2]character_type_i18n!$A:$F,5,FALSE)</f>
        <v>1.33</v>
      </c>
      <c r="L1043" s="97">
        <f ca="1">VLOOKUP(H1043,[2]character_type_i18n!$A:$F,6,FALSE)</f>
        <v>1</v>
      </c>
      <c r="M1043" s="9" t="str">
        <f ca="1">VLOOKUP(A1043,[2]characters!$A:$M,13,FALSE)</f>
        <v>god</v>
      </c>
      <c r="N1043" s="6" t="str">
        <f ca="1">VLOOKUP(M1043,[2]character_tribe_i18n!$A:$F,3,FALSE)</f>
        <v>ゴッド</v>
      </c>
      <c r="O1043" s="97">
        <f ca="1">VLOOKUP(M1043,[2]character_tribe_i18n!$A:$F,4,FALSE)</f>
        <v>0.96</v>
      </c>
      <c r="P1043" s="97">
        <f ca="1">VLOOKUP(M1043,[2]character_tribe_i18n!$A:$F,5,FALSE)</f>
        <v>1.02</v>
      </c>
      <c r="Q1043" s="97">
        <f ca="1">VLOOKUP(M1043,[2]character_tribe_i18n!$A:$F,6,FALSE)</f>
        <v>1</v>
      </c>
      <c r="R1043" s="98" t="s">
        <v>98</v>
      </c>
      <c r="S1043" s="97">
        <f>VLOOKUP($R1043,ラベル別係数!$A$1:$E$7,3,FALSE)</f>
        <v>5</v>
      </c>
      <c r="T1043" s="97">
        <f>VLOOKUP($R1043,ラベル別係数!$A$1:$E$7,4,FALSE)</f>
        <v>1.3</v>
      </c>
      <c r="U1043" s="97">
        <f>VLOOKUP($R1043,ラベル別係数!$A$1:$E$7,5,FALSE)</f>
        <v>0.8</v>
      </c>
      <c r="V1043" s="98">
        <v>3</v>
      </c>
      <c r="W1043" s="99">
        <f>VLOOKUP(V1043,ターン数別攻撃係数!$A$1:$B$1000,2,FALSE)</f>
        <v>1</v>
      </c>
      <c r="X1043" s="9">
        <f ca="1">VLOOKUP(C1043,サイズ別係数!A$2:B$9,2,FALSE)</f>
        <v>60</v>
      </c>
      <c r="Y1043" s="97">
        <f ca="1">VLOOKUP($X1043,サイズ別係数!$B:$E,2,FALSE)</f>
        <v>1.7</v>
      </c>
      <c r="Z1043" s="97">
        <f ca="1">VLOOKUP($X1043,サイズ別係数!$B:$E,3,FALSE)</f>
        <v>1.4</v>
      </c>
      <c r="AA1043" s="97">
        <f ca="1">VLOOKUP($X1043,サイズ別係数!$B:$E,4,FALSE)</f>
        <v>1</v>
      </c>
      <c r="AB1043" s="10">
        <v>0</v>
      </c>
      <c r="AC1043" s="6" t="str">
        <f ca="1">VLOOKUP($AB1043,OFFSET([3]enemy_skill_sets!$B$2,0,0,COUNTA([3]enemy_skill_sets!$A:$A),MATCH(AC$1,[3]enemy_skill_sets!$1:$1,0)-MATCH($AB$1,[3]enemy_skill_sets!$1:$1,0)+1),MATCH(AC$1,[3]enemy_skill_sets!$1:$1,0)-MATCH($AB$1,[3]enemy_skill_sets!$1:$1,0)+1,FALSE)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3" s="67">
        <v>1</v>
      </c>
      <c r="AE1043" s="67">
        <v>1</v>
      </c>
      <c r="AF1043" s="68">
        <v>0</v>
      </c>
      <c r="AG1043" s="99">
        <f ca="1">ROUND(VLOOKUP(1,enemy_base_stats!$A:$F,2,FALSE) * Y1043* J1043*O1043*E1043*S1043*AD1043*[2]ステータス!$B$2,0)</f>
        <v>4080</v>
      </c>
      <c r="AH1043" s="99">
        <f ca="1">ROUND(VLOOKUP(1,enemy_base_stats!$A:$F,3,FALSE) * Z1043*K1043*P1043*F1043*T1043*AE1043 * W1043*[2]ステータス!$C$2,0)</f>
        <v>378</v>
      </c>
      <c r="AI1043" s="99">
        <f ca="1">ROUND(VLOOKUP(1,enemy_base_stats!$A:$F,4,FALSE) * AA1043*L1043*Q1043*G1043*U1043*AF1043*[2]ステータス!$D$2,0)</f>
        <v>0</v>
      </c>
      <c r="AJ1043" s="99">
        <f ca="1">ROUND(VLOOKUP(100,enemy_base_stats!$A:$F,2,FALSE) * Y1043* J1043*O1043*E1043*S1043*AD1043*[2]ステータス!$B$2,0)</f>
        <v>165648</v>
      </c>
      <c r="AK1043" s="99">
        <f ca="1">ROUND(VLOOKUP(100,enemy_base_stats!$A:$F,3,FALSE)* Z1043* K1043*P1043*F1043*T1043*AE1043 * W1043*[2]ステータス!$C$2,0)</f>
        <v>15337</v>
      </c>
      <c r="AL1043" s="99">
        <f ca="1">ROUND(VLOOKUP(100,enemy_base_stats!$A:$F,4,FALSE)* AA1043* L1043*Q1043*G1043*U1043*AF1043*[2]ステータス!$D$2,0)</f>
        <v>0</v>
      </c>
      <c r="AM1043" s="97">
        <f ca="1">VLOOKUP(M1043,[2]character_tribe_i18n!$A:$I,9,FALSE)</f>
        <v>680</v>
      </c>
      <c r="AN1043" s="97">
        <v>0</v>
      </c>
      <c r="AO1043" s="98">
        <v>0</v>
      </c>
      <c r="AP1043" s="58" t="s">
        <v>72</v>
      </c>
      <c r="AQ1043" s="34">
        <f t="shared" ca="1" si="58"/>
        <v>1042</v>
      </c>
    </row>
    <row r="1044" spans="1:43" ht="21" customHeight="1" x14ac:dyDescent="0.15">
      <c r="A1044" s="7">
        <f t="shared" ca="1" si="57"/>
        <v>1043</v>
      </c>
      <c r="B1044" s="6" t="str">
        <f ca="1">VLOOKUP(A1044,[2]characters!$A:$C,3,FALSE)</f>
        <v>彦星</v>
      </c>
      <c r="C1044" s="9">
        <f ca="1">VLOOKUP(A1044,[2]characters!$A:$I,9,FALSE)</f>
        <v>5</v>
      </c>
      <c r="D1044" s="9" t="str">
        <f ca="1">VLOOKUP(A1044,[2]characters!$A:$H,8,FALSE)</f>
        <v>green</v>
      </c>
      <c r="E1044" s="97">
        <f ca="1">VLOOKUP(D1044,[2]属性!$A:$E,2,FALSE)</f>
        <v>1.02</v>
      </c>
      <c r="F1044" s="97">
        <f ca="1">VLOOKUP(D1044,[2]属性!$A:$E,3,FALSE)</f>
        <v>0.98</v>
      </c>
      <c r="G1044" s="97">
        <f ca="1">VLOOKUP(D1044,[2]属性!$A:$F,4,FALSE)</f>
        <v>1</v>
      </c>
      <c r="H1044" s="9" t="str">
        <f ca="1">VLOOKUP(A1044,[2]characters!$A:$K,11,FALSE)</f>
        <v>technical</v>
      </c>
      <c r="I1044" s="6" t="str">
        <f ca="1">VLOOKUP(H1044,[2]character_type_i18n!$A:$F,3,FALSE)</f>
        <v>テクニカルタイプ</v>
      </c>
      <c r="J1044" s="97">
        <f ca="1">VLOOKUP(H1044,[2]character_type_i18n!$A:$F,4,FALSE)</f>
        <v>0.9</v>
      </c>
      <c r="K1044" s="97">
        <f ca="1">VLOOKUP(H1044,[2]character_type_i18n!$A:$F,5,FALSE)</f>
        <v>0.9</v>
      </c>
      <c r="L1044" s="97">
        <f ca="1">VLOOKUP(H1044,[2]character_type_i18n!$A:$F,6,FALSE)</f>
        <v>1</v>
      </c>
      <c r="M1044" s="9" t="str">
        <f ca="1">VLOOKUP(A1044,[2]characters!$A:$M,13,FALSE)</f>
        <v>god</v>
      </c>
      <c r="N1044" s="6" t="str">
        <f ca="1">VLOOKUP(M1044,[2]character_tribe_i18n!$A:$F,3,FALSE)</f>
        <v>ゴッド</v>
      </c>
      <c r="O1044" s="97">
        <f ca="1">VLOOKUP(M1044,[2]character_tribe_i18n!$A:$F,4,FALSE)</f>
        <v>0.96</v>
      </c>
      <c r="P1044" s="97">
        <f ca="1">VLOOKUP(M1044,[2]character_tribe_i18n!$A:$F,5,FALSE)</f>
        <v>1.02</v>
      </c>
      <c r="Q1044" s="97">
        <f ca="1">VLOOKUP(M1044,[2]character_tribe_i18n!$A:$F,6,FALSE)</f>
        <v>1</v>
      </c>
      <c r="R1044" s="98" t="s">
        <v>98</v>
      </c>
      <c r="S1044" s="97">
        <f>VLOOKUP($R1044,ラベル別係数!$A$1:$E$7,3,FALSE)</f>
        <v>5</v>
      </c>
      <c r="T1044" s="97">
        <f>VLOOKUP($R1044,ラベル別係数!$A$1:$E$7,4,FALSE)</f>
        <v>1.3</v>
      </c>
      <c r="U1044" s="97">
        <f>VLOOKUP($R1044,ラベル別係数!$A$1:$E$7,5,FALSE)</f>
        <v>0.8</v>
      </c>
      <c r="V1044" s="98">
        <v>3</v>
      </c>
      <c r="W1044" s="99">
        <f>VLOOKUP(V1044,ターン数別攻撃係数!$A$1:$B$1000,2,FALSE)</f>
        <v>1</v>
      </c>
      <c r="X1044" s="9">
        <f ca="1">VLOOKUP(C1044,サイズ別係数!A$2:B$9,2,FALSE)</f>
        <v>60</v>
      </c>
      <c r="Y1044" s="97">
        <f ca="1">VLOOKUP($X1044,サイズ別係数!$B:$E,2,FALSE)</f>
        <v>1.7</v>
      </c>
      <c r="Z1044" s="97">
        <f ca="1">VLOOKUP($X1044,サイズ別係数!$B:$E,3,FALSE)</f>
        <v>1.4</v>
      </c>
      <c r="AA1044" s="97">
        <f ca="1">VLOOKUP($X1044,サイズ別係数!$B:$E,4,FALSE)</f>
        <v>1</v>
      </c>
      <c r="AB1044" s="10">
        <v>0</v>
      </c>
      <c r="AC1044" s="6" t="str">
        <f ca="1">VLOOKUP($AB1044,OFFSET([3]enemy_skill_sets!$B$2,0,0,COUNTA([3]enemy_skill_sets!$A:$A),MATCH(AC$1,[3]enemy_skill_sets!$1:$1,0)-MATCH($AB$1,[3]enemy_skill_sets!$1:$1,0)+1),MATCH(AC$1,[3]enemy_skill_sets!$1:$1,0)-MATCH($AB$1,[3]enemy_skill_sets!$1:$1,0)+1,FALSE)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4" s="67">
        <v>1</v>
      </c>
      <c r="AE1044" s="67">
        <v>1</v>
      </c>
      <c r="AF1044" s="68">
        <v>0</v>
      </c>
      <c r="AG1044" s="99">
        <f ca="1">ROUND(VLOOKUP(1,enemy_base_stats!$A:$F,2,FALSE) * Y1044* J1044*O1044*E1044*S1044*AD1044*[2]ステータス!$B$2,0)</f>
        <v>3745</v>
      </c>
      <c r="AH1044" s="99">
        <f ca="1">ROUND(VLOOKUP(1,enemy_base_stats!$A:$F,3,FALSE) * Z1044*K1044*P1044*F1044*T1044*AE1044 * W1044*[2]ステータス!$C$2,0)</f>
        <v>246</v>
      </c>
      <c r="AI1044" s="99">
        <f ca="1">ROUND(VLOOKUP(1,enemy_base_stats!$A:$F,4,FALSE) * AA1044*L1044*Q1044*G1044*U1044*AF1044*[2]ステータス!$D$2,0)</f>
        <v>0</v>
      </c>
      <c r="AJ1044" s="99">
        <f ca="1">ROUND(VLOOKUP(100,enemy_base_stats!$A:$F,2,FALSE) * Y1044* J1044*O1044*E1044*S1044*AD1044*[2]ステータス!$B$2,0)</f>
        <v>152065</v>
      </c>
      <c r="AK1044" s="99">
        <f ca="1">ROUND(VLOOKUP(100,enemy_base_stats!$A:$F,3,FALSE)* Z1044* K1044*P1044*F1044*T1044*AE1044 * W1044*[2]ステータス!$C$2,0)</f>
        <v>9971</v>
      </c>
      <c r="AL1044" s="99">
        <f ca="1">ROUND(VLOOKUP(100,enemy_base_stats!$A:$F,4,FALSE)* AA1044* L1044*Q1044*G1044*U1044*AF1044*[2]ステータス!$D$2,0)</f>
        <v>0</v>
      </c>
      <c r="AM1044" s="97">
        <f ca="1">VLOOKUP(M1044,[2]character_tribe_i18n!$A:$I,9,FALSE)</f>
        <v>680</v>
      </c>
      <c r="AN1044" s="97">
        <v>0</v>
      </c>
      <c r="AO1044" s="98">
        <v>0</v>
      </c>
      <c r="AP1044" s="58" t="s">
        <v>72</v>
      </c>
      <c r="AQ1044" s="34">
        <f t="shared" ca="1" si="58"/>
        <v>1043</v>
      </c>
    </row>
    <row r="1045" spans="1:43" ht="21" customHeight="1" x14ac:dyDescent="0.15">
      <c r="A1045" s="7">
        <f t="shared" ca="1" si="57"/>
        <v>1044</v>
      </c>
      <c r="B1045" s="6" t="str">
        <f ca="1">VLOOKUP(A1045,[2]characters!$A:$C,3,FALSE)</f>
        <v>恋狩の色星主  彦星</v>
      </c>
      <c r="C1045" s="9">
        <f ca="1">VLOOKUP(A1045,[2]characters!$A:$I,9,FALSE)</f>
        <v>6</v>
      </c>
      <c r="D1045" s="9" t="str">
        <f ca="1">VLOOKUP(A1045,[2]characters!$A:$H,8,FALSE)</f>
        <v>green</v>
      </c>
      <c r="E1045" s="97">
        <f ca="1">VLOOKUP(D1045,[2]属性!$A:$E,2,FALSE)</f>
        <v>1.02</v>
      </c>
      <c r="F1045" s="97">
        <f ca="1">VLOOKUP(D1045,[2]属性!$A:$E,3,FALSE)</f>
        <v>0.98</v>
      </c>
      <c r="G1045" s="97">
        <f ca="1">VLOOKUP(D1045,[2]属性!$A:$F,4,FALSE)</f>
        <v>1</v>
      </c>
      <c r="H1045" s="9" t="str">
        <f ca="1">VLOOKUP(A1045,[2]characters!$A:$K,11,FALSE)</f>
        <v>technical</v>
      </c>
      <c r="I1045" s="6" t="str">
        <f ca="1">VLOOKUP(H1045,[2]character_type_i18n!$A:$F,3,FALSE)</f>
        <v>テクニカルタイプ</v>
      </c>
      <c r="J1045" s="97">
        <f ca="1">VLOOKUP(H1045,[2]character_type_i18n!$A:$F,4,FALSE)</f>
        <v>0.9</v>
      </c>
      <c r="K1045" s="97">
        <f ca="1">VLOOKUP(H1045,[2]character_type_i18n!$A:$F,5,FALSE)</f>
        <v>0.9</v>
      </c>
      <c r="L1045" s="97">
        <f ca="1">VLOOKUP(H1045,[2]character_type_i18n!$A:$F,6,FALSE)</f>
        <v>1</v>
      </c>
      <c r="M1045" s="9" t="str">
        <f ca="1">VLOOKUP(A1045,[2]characters!$A:$M,13,FALSE)</f>
        <v>god</v>
      </c>
      <c r="N1045" s="6" t="str">
        <f ca="1">VLOOKUP(M1045,[2]character_tribe_i18n!$A:$F,3,FALSE)</f>
        <v>ゴッド</v>
      </c>
      <c r="O1045" s="97">
        <f ca="1">VLOOKUP(M1045,[2]character_tribe_i18n!$A:$F,4,FALSE)</f>
        <v>0.96</v>
      </c>
      <c r="P1045" s="97">
        <f ca="1">VLOOKUP(M1045,[2]character_tribe_i18n!$A:$F,5,FALSE)</f>
        <v>1.02</v>
      </c>
      <c r="Q1045" s="97">
        <f ca="1">VLOOKUP(M1045,[2]character_tribe_i18n!$A:$F,6,FALSE)</f>
        <v>1</v>
      </c>
      <c r="R1045" s="98" t="s">
        <v>98</v>
      </c>
      <c r="S1045" s="97">
        <f>VLOOKUP($R1045,ラベル別係数!$A$1:$E$7,3,FALSE)</f>
        <v>5</v>
      </c>
      <c r="T1045" s="97">
        <f>VLOOKUP($R1045,ラベル別係数!$A$1:$E$7,4,FALSE)</f>
        <v>1.3</v>
      </c>
      <c r="U1045" s="97">
        <f>VLOOKUP($R1045,ラベル別係数!$A$1:$E$7,5,FALSE)</f>
        <v>0.8</v>
      </c>
      <c r="V1045" s="98">
        <v>3</v>
      </c>
      <c r="W1045" s="99">
        <f>VLOOKUP(V1045,ターン数別攻撃係数!$A$1:$B$1000,2,FALSE)</f>
        <v>1</v>
      </c>
      <c r="X1045" s="9">
        <f ca="1">VLOOKUP(C1045,サイズ別係数!A$2:B$9,2,FALSE)</f>
        <v>60</v>
      </c>
      <c r="Y1045" s="97">
        <f ca="1">VLOOKUP($X1045,サイズ別係数!$B:$E,2,FALSE)</f>
        <v>1.7</v>
      </c>
      <c r="Z1045" s="97">
        <f ca="1">VLOOKUP($X1045,サイズ別係数!$B:$E,3,FALSE)</f>
        <v>1.4</v>
      </c>
      <c r="AA1045" s="97">
        <f ca="1">VLOOKUP($X1045,サイズ別係数!$B:$E,4,FALSE)</f>
        <v>1</v>
      </c>
      <c r="AB1045" s="10">
        <v>0</v>
      </c>
      <c r="AC1045" s="6" t="str">
        <f ca="1">VLOOKUP($AB1045,OFFSET([3]enemy_skill_sets!$B$2,0,0,COUNTA([3]enemy_skill_sets!$A:$A),MATCH(AC$1,[3]enemy_skill_sets!$1:$1,0)-MATCH($AB$1,[3]enemy_skill_sets!$1:$1,0)+1),MATCH(AC$1,[3]enemy_skill_sets!$1:$1,0)-MATCH($AB$1,[3]enemy_skill_sets!$1:$1,0)+1,FALSE)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5" s="67">
        <v>1</v>
      </c>
      <c r="AE1045" s="67">
        <v>1</v>
      </c>
      <c r="AF1045" s="68">
        <v>0</v>
      </c>
      <c r="AG1045" s="99">
        <f ca="1">ROUND(VLOOKUP(1,enemy_base_stats!$A:$F,2,FALSE) * Y1045* J1045*O1045*E1045*S1045*AD1045*[2]ステータス!$B$2,0)</f>
        <v>3745</v>
      </c>
      <c r="AH1045" s="99">
        <f ca="1">ROUND(VLOOKUP(1,enemy_base_stats!$A:$F,3,FALSE) * Z1045*K1045*P1045*F1045*T1045*AE1045 * W1045*[2]ステータス!$C$2,0)</f>
        <v>246</v>
      </c>
      <c r="AI1045" s="99">
        <f ca="1">ROUND(VLOOKUP(1,enemy_base_stats!$A:$F,4,FALSE) * AA1045*L1045*Q1045*G1045*U1045*AF1045*[2]ステータス!$D$2,0)</f>
        <v>0</v>
      </c>
      <c r="AJ1045" s="99">
        <f ca="1">ROUND(VLOOKUP(100,enemy_base_stats!$A:$F,2,FALSE) * Y1045* J1045*O1045*E1045*S1045*AD1045*[2]ステータス!$B$2,0)</f>
        <v>152065</v>
      </c>
      <c r="AK1045" s="99">
        <f ca="1">ROUND(VLOOKUP(100,enemy_base_stats!$A:$F,3,FALSE)* Z1045* K1045*P1045*F1045*T1045*AE1045 * W1045*[2]ステータス!$C$2,0)</f>
        <v>9971</v>
      </c>
      <c r="AL1045" s="99">
        <f ca="1">ROUND(VLOOKUP(100,enemy_base_stats!$A:$F,4,FALSE)* AA1045* L1045*Q1045*G1045*U1045*AF1045*[2]ステータス!$D$2,0)</f>
        <v>0</v>
      </c>
      <c r="AM1045" s="97">
        <f ca="1">VLOOKUP(M1045,[2]character_tribe_i18n!$A:$I,9,FALSE)</f>
        <v>680</v>
      </c>
      <c r="AN1045" s="97">
        <v>0</v>
      </c>
      <c r="AO1045" s="98">
        <v>0</v>
      </c>
      <c r="AP1045" s="58" t="s">
        <v>72</v>
      </c>
      <c r="AQ1045" s="34">
        <f t="shared" ca="1" si="58"/>
        <v>1044</v>
      </c>
    </row>
    <row r="1046" spans="1:43" ht="21" customHeight="1" x14ac:dyDescent="0.15">
      <c r="A1046" s="7">
        <f t="shared" ca="1" si="57"/>
        <v>1045</v>
      </c>
      <c r="B1046" s="6" t="str">
        <f ca="1">VLOOKUP(A1046,[2]characters!$A:$C,3,FALSE)</f>
        <v>漂解の海原 シュレディンガー</v>
      </c>
      <c r="C1046" s="9">
        <f ca="1">VLOOKUP(A1046,[2]characters!$A:$I,9,FALSE)</f>
        <v>6</v>
      </c>
      <c r="D1046" s="100" t="s">
        <v>147</v>
      </c>
      <c r="E1046" s="97">
        <f>VLOOKUP(D1046,[2]属性!$A:$E,2,FALSE)</f>
        <v>1</v>
      </c>
      <c r="F1046" s="97">
        <f>VLOOKUP(D1046,[2]属性!$A:$E,3,FALSE)</f>
        <v>1.02</v>
      </c>
      <c r="G1046" s="97">
        <f>VLOOKUP(D1046,[2]属性!$A:$F,4,FALSE)</f>
        <v>1</v>
      </c>
      <c r="H1046" s="9" t="str">
        <f ca="1">VLOOKUP(A1046,[2]characters!$A:$K,11,FALSE)</f>
        <v>balance</v>
      </c>
      <c r="I1046" s="6" t="str">
        <f ca="1">VLOOKUP(H1046,[2]character_type_i18n!$A:$F,3,FALSE)</f>
        <v>バランスタイプ</v>
      </c>
      <c r="J1046" s="97">
        <f ca="1">VLOOKUP(H1046,[2]character_type_i18n!$A:$F,4,FALSE)</f>
        <v>1</v>
      </c>
      <c r="K1046" s="97">
        <f ca="1">VLOOKUP(H1046,[2]character_type_i18n!$A:$F,5,FALSE)</f>
        <v>1</v>
      </c>
      <c r="L1046" s="97">
        <f ca="1">VLOOKUP(H1046,[2]character_type_i18n!$A:$F,6,FALSE)</f>
        <v>1</v>
      </c>
      <c r="M1046" s="9" t="str">
        <f ca="1">VLOOKUP(A1046,[2]characters!$A:$M,13,FALSE)</f>
        <v>academia</v>
      </c>
      <c r="N1046" s="6" t="str">
        <f ca="1">VLOOKUP(M1046,[2]character_tribe_i18n!$A:$F,3,FALSE)</f>
        <v>アカデミア</v>
      </c>
      <c r="O1046" s="97">
        <f ca="1">VLOOKUP(M1046,[2]character_tribe_i18n!$A:$F,4,FALSE)</f>
        <v>1</v>
      </c>
      <c r="P1046" s="97">
        <f ca="1">VLOOKUP(M1046,[2]character_tribe_i18n!$A:$F,5,FALSE)</f>
        <v>1</v>
      </c>
      <c r="Q1046" s="97">
        <f ca="1">VLOOKUP(M1046,[2]character_tribe_i18n!$A:$F,6,FALSE)</f>
        <v>1</v>
      </c>
      <c r="R1046" s="98" t="s">
        <v>98</v>
      </c>
      <c r="S1046" s="97">
        <f>VLOOKUP($R1046,ラベル別係数!$A$1:$E$7,3,FALSE)</f>
        <v>5</v>
      </c>
      <c r="T1046" s="97">
        <f>VLOOKUP($R1046,ラベル別係数!$A$1:$E$7,4,FALSE)</f>
        <v>1.3</v>
      </c>
      <c r="U1046" s="97">
        <f>VLOOKUP($R1046,ラベル別係数!$A$1:$E$7,5,FALSE)</f>
        <v>0.8</v>
      </c>
      <c r="V1046" s="98">
        <v>3</v>
      </c>
      <c r="W1046" s="99">
        <f>VLOOKUP(V1046,ターン数別攻撃係数!$A$1:$B$1000,2,FALSE)</f>
        <v>1</v>
      </c>
      <c r="X1046" s="9">
        <f ca="1">VLOOKUP(C1046,サイズ別係数!A$2:B$9,2,FALSE)</f>
        <v>60</v>
      </c>
      <c r="Y1046" s="97">
        <f ca="1">VLOOKUP($X1046,サイズ別係数!$B:$E,2,FALSE)</f>
        <v>1.7</v>
      </c>
      <c r="Z1046" s="97">
        <f ca="1">VLOOKUP($X1046,サイズ別係数!$B:$E,3,FALSE)</f>
        <v>1.4</v>
      </c>
      <c r="AA1046" s="97">
        <f ca="1">VLOOKUP($X1046,サイズ別係数!$B:$E,4,FALSE)</f>
        <v>1</v>
      </c>
      <c r="AB1046" s="10">
        <v>0</v>
      </c>
      <c r="AC1046" s="6" t="str">
        <f ca="1">VLOOKUP($AB1046,OFFSET([3]enemy_skill_sets!$B$2,0,0,COUNTA([3]enemy_skill_sets!$A:$A),MATCH(AC$1,[3]enemy_skill_sets!$1:$1,0)-MATCH($AB$1,[3]enemy_skill_sets!$1:$1,0)+1),MATCH(AC$1,[3]enemy_skill_sets!$1:$1,0)-MATCH($AB$1,[3]enemy_skill_sets!$1:$1,0)+1,FALSE)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6" s="67">
        <v>1</v>
      </c>
      <c r="AE1046" s="67">
        <v>1</v>
      </c>
      <c r="AF1046" s="68">
        <v>0</v>
      </c>
      <c r="AG1046" s="110">
        <v>4250</v>
      </c>
      <c r="AH1046" s="110">
        <v>306</v>
      </c>
      <c r="AI1046" s="99">
        <f ca="1">ROUND(VLOOKUP(1,enemy_base_stats!$A:$F,4,FALSE) * AA1046*L1046*Q1046*G1046*U1046*AF1046*[2]ステータス!$D$2,0)</f>
        <v>0</v>
      </c>
      <c r="AJ1046" s="110">
        <v>172550</v>
      </c>
      <c r="AK1046" s="110">
        <v>12436</v>
      </c>
      <c r="AL1046" s="99">
        <f ca="1">ROUND(VLOOKUP(100,enemy_base_stats!$A:$F,4,FALSE)* AA1046* L1046*Q1046*G1046*U1046*AF1046*[2]ステータス!$D$2,0)</f>
        <v>0</v>
      </c>
      <c r="AM1046" s="102">
        <v>480</v>
      </c>
      <c r="AN1046" s="97">
        <v>0</v>
      </c>
      <c r="AO1046" s="98">
        <v>0</v>
      </c>
      <c r="AP1046" s="58" t="s">
        <v>72</v>
      </c>
      <c r="AQ1046" s="34">
        <f t="shared" ca="1" si="58"/>
        <v>1045</v>
      </c>
    </row>
    <row r="1047" spans="1:43" ht="21" customHeight="1" x14ac:dyDescent="0.15">
      <c r="A1047" s="7">
        <f t="shared" ca="1" si="57"/>
        <v>1046</v>
      </c>
      <c r="B1047" s="6" t="str">
        <f ca="1">VLOOKUP(A1047,[2]characters!$A:$C,3,FALSE)</f>
        <v>涼求の炎狼 フェンリル</v>
      </c>
      <c r="C1047" s="9">
        <f ca="1">VLOOKUP(A1047,[2]characters!$A:$I,9,FALSE)</f>
        <v>5</v>
      </c>
      <c r="D1047" s="100" t="s">
        <v>147</v>
      </c>
      <c r="E1047" s="97">
        <f>VLOOKUP(D1047,[2]属性!$A:$E,2,FALSE)</f>
        <v>1</v>
      </c>
      <c r="F1047" s="97">
        <f>VLOOKUP(D1047,[2]属性!$A:$E,3,FALSE)</f>
        <v>1.02</v>
      </c>
      <c r="G1047" s="97">
        <f>VLOOKUP(D1047,[2]属性!$A:$F,4,FALSE)</f>
        <v>1</v>
      </c>
      <c r="H1047" s="9" t="str">
        <f ca="1">VLOOKUP(A1047,[2]characters!$A:$K,11,FALSE)</f>
        <v>attack</v>
      </c>
      <c r="I1047" s="6" t="str">
        <f ca="1">VLOOKUP(H1047,[2]character_type_i18n!$A:$F,3,FALSE)</f>
        <v>攻撃タイプ</v>
      </c>
      <c r="J1047" s="97">
        <f ca="1">VLOOKUP(H1047,[2]character_type_i18n!$A:$F,4,FALSE)</f>
        <v>1</v>
      </c>
      <c r="K1047" s="97">
        <f ca="1">VLOOKUP(H1047,[2]character_type_i18n!$A:$F,5,FALSE)</f>
        <v>1.33</v>
      </c>
      <c r="L1047" s="97">
        <f ca="1">VLOOKUP(H1047,[2]character_type_i18n!$A:$F,6,FALSE)</f>
        <v>1</v>
      </c>
      <c r="M1047" s="9" t="str">
        <f ca="1">VLOOKUP(A1047,[2]characters!$A:$M,13,FALSE)</f>
        <v>animal</v>
      </c>
      <c r="N1047" s="6" t="str">
        <f ca="1">VLOOKUP(M1047,[2]character_tribe_i18n!$A:$F,3,FALSE)</f>
        <v>アニマル</v>
      </c>
      <c r="O1047" s="97">
        <f ca="1">VLOOKUP(M1047,[2]character_tribe_i18n!$A:$F,4,FALSE)</f>
        <v>1</v>
      </c>
      <c r="P1047" s="97">
        <f ca="1">VLOOKUP(M1047,[2]character_tribe_i18n!$A:$F,5,FALSE)</f>
        <v>1.1000000000000001</v>
      </c>
      <c r="Q1047" s="97">
        <f ca="1">VLOOKUP(M1047,[2]character_tribe_i18n!$A:$F,6,FALSE)</f>
        <v>1</v>
      </c>
      <c r="R1047" s="98" t="s">
        <v>98</v>
      </c>
      <c r="S1047" s="97">
        <f>VLOOKUP($R1047,ラベル別係数!$A$1:$E$7,3,FALSE)</f>
        <v>5</v>
      </c>
      <c r="T1047" s="97">
        <f>VLOOKUP($R1047,ラベル別係数!$A$1:$E$7,4,FALSE)</f>
        <v>1.3</v>
      </c>
      <c r="U1047" s="97">
        <f>VLOOKUP($R1047,ラベル別係数!$A$1:$E$7,5,FALSE)</f>
        <v>0.8</v>
      </c>
      <c r="V1047" s="98">
        <v>3</v>
      </c>
      <c r="W1047" s="99">
        <f>VLOOKUP(V1047,ターン数別攻撃係数!$A$1:$B$1000,2,FALSE)</f>
        <v>1</v>
      </c>
      <c r="X1047" s="9">
        <f ca="1">VLOOKUP(C1047,サイズ別係数!A$2:B$9,2,FALSE)</f>
        <v>60</v>
      </c>
      <c r="Y1047" s="97">
        <f ca="1">VLOOKUP($X1047,サイズ別係数!$B:$E,2,FALSE)</f>
        <v>1.7</v>
      </c>
      <c r="Z1047" s="97">
        <f ca="1">VLOOKUP($X1047,サイズ別係数!$B:$E,3,FALSE)</f>
        <v>1.4</v>
      </c>
      <c r="AA1047" s="97">
        <f ca="1">VLOOKUP($X1047,サイズ別係数!$B:$E,4,FALSE)</f>
        <v>1</v>
      </c>
      <c r="AB1047" s="10">
        <v>0</v>
      </c>
      <c r="AC1047" s="6" t="str">
        <f ca="1">VLOOKUP($AB1047,OFFSET([3]enemy_skill_sets!$B$2,0,0,COUNTA([3]enemy_skill_sets!$A:$A),MATCH(AC$1,[3]enemy_skill_sets!$1:$1,0)-MATCH($AB$1,[3]enemy_skill_sets!$1:$1,0)+1),MATCH(AC$1,[3]enemy_skill_sets!$1:$1,0)-MATCH($AB$1,[3]enemy_skill_sets!$1:$1,0)+1,FALSE)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7" s="67">
        <v>1</v>
      </c>
      <c r="AE1047" s="67">
        <v>1</v>
      </c>
      <c r="AF1047" s="68">
        <v>0</v>
      </c>
      <c r="AG1047" s="110">
        <v>4250</v>
      </c>
      <c r="AH1047" s="99">
        <f ca="1">ROUND(VLOOKUP(1,enemy_base_stats!$A:$F,3,FALSE) * Z1047*K1047*P1047*F1047*T1047*AE1047 * W1047*[2]ステータス!$C$2,0)</f>
        <v>407</v>
      </c>
      <c r="AI1047" s="99">
        <f ca="1">ROUND(VLOOKUP(1,enemy_base_stats!$A:$F,4,FALSE) * AA1047*L1047*Q1047*G1047*U1047*AF1047*[2]ステータス!$D$2,0)</f>
        <v>0</v>
      </c>
      <c r="AJ1047" s="99">
        <f ca="1">ROUND(VLOOKUP(100,enemy_base_stats!$A:$F,2,FALSE) * Y1047* J1047*O1047*E1047*S1047*AD1047*[2]ステータス!$B$2,0)</f>
        <v>172550</v>
      </c>
      <c r="AK1047" s="99">
        <f ca="1">ROUND(VLOOKUP(100,enemy_base_stats!$A:$F,3,FALSE)* Z1047* K1047*P1047*F1047*T1047*AE1047 * W1047*[2]ステータス!$C$2,0)</f>
        <v>16540</v>
      </c>
      <c r="AL1047" s="99">
        <f ca="1">ROUND(VLOOKUP(100,enemy_base_stats!$A:$F,4,FALSE)* AA1047* L1047*Q1047*G1047*U1047*AF1047*[2]ステータス!$D$2,0)</f>
        <v>0</v>
      </c>
      <c r="AM1047" s="97">
        <f ca="1">VLOOKUP(M1047,[2]character_tribe_i18n!$A:$I,9,FALSE)</f>
        <v>480</v>
      </c>
      <c r="AN1047" s="97">
        <v>0</v>
      </c>
      <c r="AO1047" s="98">
        <v>0</v>
      </c>
      <c r="AP1047" s="58" t="s">
        <v>72</v>
      </c>
      <c r="AQ1047" s="34">
        <f t="shared" ca="1" si="58"/>
        <v>1046</v>
      </c>
    </row>
    <row r="1048" spans="1:43" ht="21" customHeight="1" x14ac:dyDescent="0.15">
      <c r="A1048" s="7">
        <f t="shared" ca="1" si="57"/>
        <v>1047</v>
      </c>
      <c r="B1048" s="6" t="str">
        <f ca="1">VLOOKUP(A1048,[2]characters!$A:$C,3,FALSE)</f>
        <v>波浪の夏閃 オイラー</v>
      </c>
      <c r="C1048" s="9">
        <f ca="1">VLOOKUP(A1048,[2]characters!$A:$I,9,FALSE)</f>
        <v>6</v>
      </c>
      <c r="D1048" s="100" t="s">
        <v>148</v>
      </c>
      <c r="E1048" s="97">
        <f>VLOOKUP(D1048,[2]属性!$A:$E,2,FALSE)</f>
        <v>1.02</v>
      </c>
      <c r="F1048" s="97">
        <f>VLOOKUP(D1048,[2]属性!$A:$E,3,FALSE)</f>
        <v>0.98</v>
      </c>
      <c r="G1048" s="97">
        <f>VLOOKUP(D1048,[2]属性!$A:$F,4,FALSE)</f>
        <v>1</v>
      </c>
      <c r="H1048" s="9" t="str">
        <f ca="1">VLOOKUP(A1048,[2]characters!$A:$K,11,FALSE)</f>
        <v>balance</v>
      </c>
      <c r="I1048" s="6" t="str">
        <f ca="1">VLOOKUP(H1048,[2]character_type_i18n!$A:$F,3,FALSE)</f>
        <v>バランスタイプ</v>
      </c>
      <c r="J1048" s="97">
        <f ca="1">VLOOKUP(H1048,[2]character_type_i18n!$A:$F,4,FALSE)</f>
        <v>1</v>
      </c>
      <c r="K1048" s="97">
        <f ca="1">VLOOKUP(H1048,[2]character_type_i18n!$A:$F,5,FALSE)</f>
        <v>1</v>
      </c>
      <c r="L1048" s="97">
        <f ca="1">VLOOKUP(H1048,[2]character_type_i18n!$A:$F,6,FALSE)</f>
        <v>1</v>
      </c>
      <c r="M1048" s="9" t="str">
        <f ca="1">VLOOKUP(A1048,[2]characters!$A:$M,13,FALSE)</f>
        <v>academia</v>
      </c>
      <c r="N1048" s="6" t="str">
        <f ca="1">VLOOKUP(M1048,[2]character_tribe_i18n!$A:$F,3,FALSE)</f>
        <v>アカデミア</v>
      </c>
      <c r="O1048" s="97">
        <f ca="1">VLOOKUP(M1048,[2]character_tribe_i18n!$A:$F,4,FALSE)</f>
        <v>1</v>
      </c>
      <c r="P1048" s="97">
        <f ca="1">VLOOKUP(M1048,[2]character_tribe_i18n!$A:$F,5,FALSE)</f>
        <v>1</v>
      </c>
      <c r="Q1048" s="97">
        <f ca="1">VLOOKUP(M1048,[2]character_tribe_i18n!$A:$F,6,FALSE)</f>
        <v>1</v>
      </c>
      <c r="R1048" s="98" t="s">
        <v>98</v>
      </c>
      <c r="S1048" s="97">
        <f>VLOOKUP($R1048,ラベル別係数!$A$1:$E$7,3,FALSE)</f>
        <v>5</v>
      </c>
      <c r="T1048" s="97">
        <f>VLOOKUP($R1048,ラベル別係数!$A$1:$E$7,4,FALSE)</f>
        <v>1.3</v>
      </c>
      <c r="U1048" s="97">
        <f>VLOOKUP($R1048,ラベル別係数!$A$1:$E$7,5,FALSE)</f>
        <v>0.8</v>
      </c>
      <c r="V1048" s="98">
        <v>3</v>
      </c>
      <c r="W1048" s="99">
        <f>VLOOKUP(V1048,ターン数別攻撃係数!$A$1:$B$1000,2,FALSE)</f>
        <v>1</v>
      </c>
      <c r="X1048" s="9">
        <f ca="1">VLOOKUP(C1048,サイズ別係数!A$2:B$9,2,FALSE)</f>
        <v>60</v>
      </c>
      <c r="Y1048" s="97">
        <f ca="1">VLOOKUP($X1048,サイズ別係数!$B:$E,2,FALSE)</f>
        <v>1.7</v>
      </c>
      <c r="Z1048" s="97">
        <f ca="1">VLOOKUP($X1048,サイズ別係数!$B:$E,3,FALSE)</f>
        <v>1.4</v>
      </c>
      <c r="AA1048" s="97">
        <f ca="1">VLOOKUP($X1048,サイズ別係数!$B:$E,4,FALSE)</f>
        <v>1</v>
      </c>
      <c r="AB1048" s="10">
        <v>0</v>
      </c>
      <c r="AC1048" s="6" t="str">
        <f ca="1">VLOOKUP($AB1048,OFFSET([3]enemy_skill_sets!$B$2,0,0,COUNTA([3]enemy_skill_sets!$A:$A),MATCH(AC$1,[3]enemy_skill_sets!$1:$1,0)-MATCH($AB$1,[3]enemy_skill_sets!$1:$1,0)+1),MATCH(AC$1,[3]enemy_skill_sets!$1:$1,0)-MATCH($AB$1,[3]enemy_skill_sets!$1:$1,0)+1,FALSE)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8" s="67">
        <v>1</v>
      </c>
      <c r="AE1048" s="67">
        <v>1</v>
      </c>
      <c r="AF1048" s="68">
        <v>0</v>
      </c>
      <c r="AG1048" s="110">
        <v>4075</v>
      </c>
      <c r="AH1048" s="110">
        <v>265</v>
      </c>
      <c r="AI1048" s="99">
        <f ca="1">ROUND(VLOOKUP(1,enemy_base_stats!$A:$F,4,FALSE) * AA1048*L1048*Q1048*G1048*U1048*AF1048*[2]ステータス!$D$2,0)</f>
        <v>0</v>
      </c>
      <c r="AJ1048" s="110">
        <v>165441</v>
      </c>
      <c r="AK1048" s="110">
        <v>10754</v>
      </c>
      <c r="AL1048" s="99">
        <f ca="1">ROUND(VLOOKUP(100,enemy_base_stats!$A:$F,4,FALSE)* AA1048* L1048*Q1048*G1048*U1048*AF1048*[2]ステータス!$D$2,0)</f>
        <v>0</v>
      </c>
      <c r="AM1048" s="97">
        <f ca="1">VLOOKUP(M1048,[2]character_tribe_i18n!$A:$I,9,FALSE)</f>
        <v>400</v>
      </c>
      <c r="AN1048" s="97">
        <v>0</v>
      </c>
      <c r="AO1048" s="98">
        <v>0</v>
      </c>
      <c r="AP1048" s="58" t="s">
        <v>72</v>
      </c>
      <c r="AQ1048" s="34">
        <f t="shared" ca="1" si="58"/>
        <v>1047</v>
      </c>
    </row>
    <row r="1049" spans="1:43" ht="21" customHeight="1" x14ac:dyDescent="0.15">
      <c r="A1049" s="7">
        <f t="shared" ca="1" si="57"/>
        <v>1048</v>
      </c>
      <c r="B1049" s="6" t="str">
        <f ca="1">VLOOKUP(A1049,[2]characters!$A:$C,3,FALSE)</f>
        <v>砂上の城主竜 ケツァクアトル</v>
      </c>
      <c r="C1049" s="9">
        <f ca="1">VLOOKUP(A1049,[2]characters!$A:$I,9,FALSE)</f>
        <v>5</v>
      </c>
      <c r="D1049" s="100" t="s">
        <v>148</v>
      </c>
      <c r="E1049" s="97">
        <f>VLOOKUP(D1049,[2]属性!$A:$E,2,FALSE)</f>
        <v>1.02</v>
      </c>
      <c r="F1049" s="97">
        <f>VLOOKUP(D1049,[2]属性!$A:$E,3,FALSE)</f>
        <v>0.98</v>
      </c>
      <c r="G1049" s="97">
        <f>VLOOKUP(D1049,[2]属性!$A:$F,4,FALSE)</f>
        <v>1</v>
      </c>
      <c r="H1049" s="9" t="str">
        <f ca="1">VLOOKUP(A1049,[2]characters!$A:$K,11,FALSE)</f>
        <v>hp</v>
      </c>
      <c r="I1049" s="6" t="str">
        <f ca="1">VLOOKUP(H1049,[2]character_type_i18n!$A:$F,3,FALSE)</f>
        <v>体力タイプ</v>
      </c>
      <c r="J1049" s="97">
        <f ca="1">VLOOKUP(H1049,[2]character_type_i18n!$A:$F,4,FALSE)</f>
        <v>1.45</v>
      </c>
      <c r="K1049" s="97">
        <f ca="1">VLOOKUP(H1049,[2]character_type_i18n!$A:$F,5,FALSE)</f>
        <v>0.85</v>
      </c>
      <c r="L1049" s="97">
        <f ca="1">VLOOKUP(H1049,[2]character_type_i18n!$A:$F,6,FALSE)</f>
        <v>1</v>
      </c>
      <c r="M1049" s="9" t="str">
        <f ca="1">VLOOKUP(A1049,[2]characters!$A:$M,13,FALSE)</f>
        <v>dragon</v>
      </c>
      <c r="N1049" s="6" t="str">
        <f ca="1">VLOOKUP(M1049,[2]character_tribe_i18n!$A:$F,3,FALSE)</f>
        <v>ドラゴン</v>
      </c>
      <c r="O1049" s="97">
        <f ca="1">VLOOKUP(M1049,[2]character_tribe_i18n!$A:$F,4,FALSE)</f>
        <v>1.1499999999999999</v>
      </c>
      <c r="P1049" s="97">
        <f ca="1">VLOOKUP(M1049,[2]character_tribe_i18n!$A:$F,5,FALSE)</f>
        <v>1.1000000000000001</v>
      </c>
      <c r="Q1049" s="97">
        <f ca="1">VLOOKUP(M1049,[2]character_tribe_i18n!$A:$F,6,FALSE)</f>
        <v>1</v>
      </c>
      <c r="R1049" s="98" t="s">
        <v>98</v>
      </c>
      <c r="S1049" s="97">
        <f>VLOOKUP($R1049,ラベル別係数!$A$1:$E$7,3,FALSE)</f>
        <v>5</v>
      </c>
      <c r="T1049" s="97">
        <f>VLOOKUP($R1049,ラベル別係数!$A$1:$E$7,4,FALSE)</f>
        <v>1.3</v>
      </c>
      <c r="U1049" s="97">
        <f>VLOOKUP($R1049,ラベル別係数!$A$1:$E$7,5,FALSE)</f>
        <v>0.8</v>
      </c>
      <c r="V1049" s="98">
        <v>3</v>
      </c>
      <c r="W1049" s="99">
        <f>VLOOKUP(V1049,ターン数別攻撃係数!$A$1:$B$1000,2,FALSE)</f>
        <v>1</v>
      </c>
      <c r="X1049" s="9">
        <f ca="1">VLOOKUP(C1049,サイズ別係数!A$2:B$9,2,FALSE)</f>
        <v>60</v>
      </c>
      <c r="Y1049" s="97">
        <f ca="1">VLOOKUP($X1049,サイズ別係数!$B:$E,2,FALSE)</f>
        <v>1.7</v>
      </c>
      <c r="Z1049" s="97">
        <f ca="1">VLOOKUP($X1049,サイズ別係数!$B:$E,3,FALSE)</f>
        <v>1.4</v>
      </c>
      <c r="AA1049" s="97">
        <f ca="1">VLOOKUP($X1049,サイズ別係数!$B:$E,4,FALSE)</f>
        <v>1</v>
      </c>
      <c r="AB1049" s="10">
        <v>0</v>
      </c>
      <c r="AC1049" s="6" t="str">
        <f ca="1">VLOOKUP($AB1049,OFFSET([3]enemy_skill_sets!$B$2,0,0,COUNTA([3]enemy_skill_sets!$A:$A),MATCH(AC$1,[3]enemy_skill_sets!$1:$1,0)-MATCH($AB$1,[3]enemy_skill_sets!$1:$1,0)+1),MATCH(AC$1,[3]enemy_skill_sets!$1:$1,0)-MATCH($AB$1,[3]enemy_skill_sets!$1:$1,0)+1,FALSE)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49" s="67">
        <v>1</v>
      </c>
      <c r="AE1049" s="67">
        <v>1</v>
      </c>
      <c r="AF1049" s="68">
        <v>0</v>
      </c>
      <c r="AG1049" s="99">
        <f ca="1">ROUND(VLOOKUP(1,enemy_base_stats!$A:$F,2,FALSE) * Y1049* J1049*O1049*E1049*S1049*AD1049*[2]ステータス!$B$2,0)</f>
        <v>7229</v>
      </c>
      <c r="AH1049" s="99">
        <f ca="1">ROUND(VLOOKUP(1,enemy_base_stats!$A:$F,3,FALSE) * Z1049*K1049*P1049*F1049*T1049*AE1049 * W1049*[2]ステータス!$C$2,0)</f>
        <v>250</v>
      </c>
      <c r="AI1049" s="99">
        <f ca="1">ROUND(VLOOKUP(1,enemy_base_stats!$A:$F,4,FALSE) * AA1049*L1049*Q1049*G1049*U1049*AF1049*[2]ステータス!$D$2,0)</f>
        <v>0</v>
      </c>
      <c r="AJ1049" s="99">
        <f ca="1">ROUND(VLOOKUP(100,enemy_base_stats!$A:$F,2,FALSE) * Y1049* J1049*O1049*E1049*S1049*AD1049*[2]ステータス!$B$2,0)</f>
        <v>293482</v>
      </c>
      <c r="AK1049" s="99">
        <f ca="1">ROUND(VLOOKUP(100,enemy_base_stats!$A:$F,3,FALSE)* Z1049* K1049*P1049*F1049*T1049*AE1049 * W1049*[2]ステータス!$C$2,0)</f>
        <v>10156</v>
      </c>
      <c r="AL1049" s="99">
        <f ca="1">ROUND(VLOOKUP(100,enemy_base_stats!$A:$F,4,FALSE)* AA1049* L1049*Q1049*G1049*U1049*AF1049*[2]ステータス!$D$2,0)</f>
        <v>0</v>
      </c>
      <c r="AM1049" s="97">
        <f ca="1">VLOOKUP(M1049,[2]character_tribe_i18n!$A:$I,9,FALSE)</f>
        <v>540</v>
      </c>
      <c r="AN1049" s="97">
        <v>0</v>
      </c>
      <c r="AO1049" s="98">
        <v>0</v>
      </c>
      <c r="AP1049" s="58" t="s">
        <v>72</v>
      </c>
      <c r="AQ1049" s="34">
        <f t="shared" ca="1" si="58"/>
        <v>1048</v>
      </c>
    </row>
    <row r="1050" spans="1:43" ht="21" customHeight="1" x14ac:dyDescent="0.15">
      <c r="A1050" s="7">
        <f t="shared" ca="1" si="57"/>
        <v>1049</v>
      </c>
      <c r="B1050" s="6" t="str">
        <f ca="1">VLOOKUP(A1050,[2]characters!$A:$C,3,FALSE)</f>
        <v>深秘の水宙 メビウス</v>
      </c>
      <c r="C1050" s="9">
        <f ca="1">VLOOKUP(A1050,[2]characters!$A:$I,9,FALSE)</f>
        <v>6</v>
      </c>
      <c r="D1050" s="100" t="s">
        <v>149</v>
      </c>
      <c r="E1050" s="97">
        <f>VLOOKUP(D1050,[2]属性!$A:$E,2,FALSE)</f>
        <v>1</v>
      </c>
      <c r="F1050" s="97">
        <f>VLOOKUP(D1050,[2]属性!$A:$E,3,FALSE)</f>
        <v>0.98</v>
      </c>
      <c r="G1050" s="97">
        <f>VLOOKUP(D1050,[2]属性!$A:$F,4,FALSE)</f>
        <v>1</v>
      </c>
      <c r="H1050" s="9" t="str">
        <f ca="1">VLOOKUP(A1050,[2]characters!$A:$K,11,FALSE)</f>
        <v>balance</v>
      </c>
      <c r="I1050" s="6" t="str">
        <f ca="1">VLOOKUP(H1050,[2]character_type_i18n!$A:$F,3,FALSE)</f>
        <v>バランスタイプ</v>
      </c>
      <c r="J1050" s="97">
        <f ca="1">VLOOKUP(H1050,[2]character_type_i18n!$A:$F,4,FALSE)</f>
        <v>1</v>
      </c>
      <c r="K1050" s="97">
        <f ca="1">VLOOKUP(H1050,[2]character_type_i18n!$A:$F,5,FALSE)</f>
        <v>1</v>
      </c>
      <c r="L1050" s="97">
        <f ca="1">VLOOKUP(H1050,[2]character_type_i18n!$A:$F,6,FALSE)</f>
        <v>1</v>
      </c>
      <c r="M1050" s="9" t="str">
        <f ca="1">VLOOKUP(A1050,[2]characters!$A:$M,13,FALSE)</f>
        <v>academia</v>
      </c>
      <c r="N1050" s="6" t="str">
        <f ca="1">VLOOKUP(M1050,[2]character_tribe_i18n!$A:$F,3,FALSE)</f>
        <v>アカデミア</v>
      </c>
      <c r="O1050" s="97">
        <f ca="1">VLOOKUP(M1050,[2]character_tribe_i18n!$A:$F,4,FALSE)</f>
        <v>1</v>
      </c>
      <c r="P1050" s="97">
        <f ca="1">VLOOKUP(M1050,[2]character_tribe_i18n!$A:$F,5,FALSE)</f>
        <v>1</v>
      </c>
      <c r="Q1050" s="97">
        <f ca="1">VLOOKUP(M1050,[2]character_tribe_i18n!$A:$F,6,FALSE)</f>
        <v>1</v>
      </c>
      <c r="R1050" s="98" t="s">
        <v>98</v>
      </c>
      <c r="S1050" s="97">
        <f>VLOOKUP($R1050,ラベル別係数!$A$1:$E$7,3,FALSE)</f>
        <v>5</v>
      </c>
      <c r="T1050" s="97">
        <f>VLOOKUP($R1050,ラベル別係数!$A$1:$E$7,4,FALSE)</f>
        <v>1.3</v>
      </c>
      <c r="U1050" s="97">
        <f>VLOOKUP($R1050,ラベル別係数!$A$1:$E$7,5,FALSE)</f>
        <v>0.8</v>
      </c>
      <c r="V1050" s="98">
        <v>3</v>
      </c>
      <c r="W1050" s="99">
        <f>VLOOKUP(V1050,ターン数別攻撃係数!$A$1:$B$1000,2,FALSE)</f>
        <v>1</v>
      </c>
      <c r="X1050" s="9">
        <f ca="1">VLOOKUP(C1050,サイズ別係数!A$2:B$9,2,FALSE)</f>
        <v>60</v>
      </c>
      <c r="Y1050" s="97">
        <f ca="1">VLOOKUP($X1050,サイズ別係数!$B:$E,2,FALSE)</f>
        <v>1.7</v>
      </c>
      <c r="Z1050" s="97">
        <f ca="1">VLOOKUP($X1050,サイズ別係数!$B:$E,3,FALSE)</f>
        <v>1.4</v>
      </c>
      <c r="AA1050" s="97">
        <f ca="1">VLOOKUP($X1050,サイズ別係数!$B:$E,4,FALSE)</f>
        <v>1</v>
      </c>
      <c r="AB1050" s="10">
        <v>0</v>
      </c>
      <c r="AC1050" s="6" t="str">
        <f ca="1">VLOOKUP($AB1050,OFFSET([3]enemy_skill_sets!$B$2,0,0,COUNTA([3]enemy_skill_sets!$A:$A),MATCH(AC$1,[3]enemy_skill_sets!$1:$1,0)-MATCH($AB$1,[3]enemy_skill_sets!$1:$1,0)+1),MATCH(AC$1,[3]enemy_skill_sets!$1:$1,0)-MATCH($AB$1,[3]enemy_skill_sets!$1:$1,0)+1,FALSE)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0" s="67">
        <v>1</v>
      </c>
      <c r="AE1050" s="67">
        <v>1</v>
      </c>
      <c r="AF1050" s="68">
        <v>0</v>
      </c>
      <c r="AG1050" s="110">
        <v>3995</v>
      </c>
      <c r="AH1050" s="110">
        <v>265</v>
      </c>
      <c r="AI1050" s="99">
        <f ca="1">ROUND(VLOOKUP(1,enemy_base_stats!$A:$F,4,FALSE) * AA1050*L1050*Q1050*G1050*U1050*AF1050*[2]ステータス!$D$2,0)</f>
        <v>0</v>
      </c>
      <c r="AJ1050" s="110">
        <v>162197</v>
      </c>
      <c r="AK1050" s="110">
        <v>10754</v>
      </c>
      <c r="AL1050" s="99">
        <f ca="1">ROUND(VLOOKUP(100,enemy_base_stats!$A:$F,4,FALSE)* AA1050* L1050*Q1050*G1050*U1050*AF1050*[2]ステータス!$D$2,0)</f>
        <v>0</v>
      </c>
      <c r="AM1050" s="97">
        <f ca="1">VLOOKUP(M1050,[2]character_tribe_i18n!$A:$I,9,FALSE)</f>
        <v>400</v>
      </c>
      <c r="AN1050" s="97">
        <v>0</v>
      </c>
      <c r="AO1050" s="98">
        <v>0</v>
      </c>
      <c r="AP1050" s="58" t="s">
        <v>72</v>
      </c>
      <c r="AQ1050" s="34">
        <f t="shared" ca="1" si="58"/>
        <v>1049</v>
      </c>
    </row>
    <row r="1051" spans="1:43" ht="21" customHeight="1" x14ac:dyDescent="0.15">
      <c r="A1051" s="7">
        <f t="shared" ca="1" si="57"/>
        <v>1050</v>
      </c>
      <c r="B1051" s="6" t="str">
        <f ca="1">VLOOKUP(A1051,[2]characters!$A:$C,3,FALSE)</f>
        <v>廻遊の水獣宰相 ルキフグス</v>
      </c>
      <c r="C1051" s="9">
        <f ca="1">VLOOKUP(A1051,[2]characters!$A:$I,9,FALSE)</f>
        <v>5</v>
      </c>
      <c r="D1051" s="100" t="s">
        <v>149</v>
      </c>
      <c r="E1051" s="97">
        <f>VLOOKUP(D1051,[2]属性!$A:$E,2,FALSE)</f>
        <v>1</v>
      </c>
      <c r="F1051" s="97">
        <f>VLOOKUP(D1051,[2]属性!$A:$E,3,FALSE)</f>
        <v>0.98</v>
      </c>
      <c r="G1051" s="97">
        <f>VLOOKUP(D1051,[2]属性!$A:$F,4,FALSE)</f>
        <v>1</v>
      </c>
      <c r="H1051" s="9" t="str">
        <f ca="1">VLOOKUP(A1051,[2]characters!$A:$K,11,FALSE)</f>
        <v>balance</v>
      </c>
      <c r="I1051" s="6" t="str">
        <f ca="1">VLOOKUP(H1051,[2]character_type_i18n!$A:$F,3,FALSE)</f>
        <v>バランスタイプ</v>
      </c>
      <c r="J1051" s="97">
        <f ca="1">VLOOKUP(H1051,[2]character_type_i18n!$A:$F,4,FALSE)</f>
        <v>1</v>
      </c>
      <c r="K1051" s="97">
        <f ca="1">VLOOKUP(H1051,[2]character_type_i18n!$A:$F,5,FALSE)</f>
        <v>1</v>
      </c>
      <c r="L1051" s="97">
        <f ca="1">VLOOKUP(H1051,[2]character_type_i18n!$A:$F,6,FALSE)</f>
        <v>1</v>
      </c>
      <c r="M1051" s="9" t="str">
        <f ca="1">VLOOKUP(A1051,[2]characters!$A:$M,13,FALSE)</f>
        <v>god</v>
      </c>
      <c r="N1051" s="6" t="str">
        <f ca="1">VLOOKUP(M1051,[2]character_tribe_i18n!$A:$F,3,FALSE)</f>
        <v>ゴッド</v>
      </c>
      <c r="O1051" s="97">
        <f ca="1">VLOOKUP(M1051,[2]character_tribe_i18n!$A:$F,4,FALSE)</f>
        <v>0.96</v>
      </c>
      <c r="P1051" s="97">
        <f ca="1">VLOOKUP(M1051,[2]character_tribe_i18n!$A:$F,5,FALSE)</f>
        <v>1.02</v>
      </c>
      <c r="Q1051" s="97">
        <f ca="1">VLOOKUP(M1051,[2]character_tribe_i18n!$A:$F,6,FALSE)</f>
        <v>1</v>
      </c>
      <c r="R1051" s="98" t="s">
        <v>98</v>
      </c>
      <c r="S1051" s="97">
        <f>VLOOKUP($R1051,ラベル別係数!$A$1:$E$7,3,FALSE)</f>
        <v>5</v>
      </c>
      <c r="T1051" s="97">
        <f>VLOOKUP($R1051,ラベル別係数!$A$1:$E$7,4,FALSE)</f>
        <v>1.3</v>
      </c>
      <c r="U1051" s="97">
        <f>VLOOKUP($R1051,ラベル別係数!$A$1:$E$7,5,FALSE)</f>
        <v>0.8</v>
      </c>
      <c r="V1051" s="98">
        <v>3</v>
      </c>
      <c r="W1051" s="99">
        <f>VLOOKUP(V1051,ターン数別攻撃係数!$A$1:$B$1000,2,FALSE)</f>
        <v>1</v>
      </c>
      <c r="X1051" s="9">
        <f ca="1">VLOOKUP(C1051,サイズ別係数!A$2:B$9,2,FALSE)</f>
        <v>60</v>
      </c>
      <c r="Y1051" s="97">
        <f ca="1">VLOOKUP($X1051,サイズ別係数!$B:$E,2,FALSE)</f>
        <v>1.7</v>
      </c>
      <c r="Z1051" s="97">
        <f ca="1">VLOOKUP($X1051,サイズ別係数!$B:$E,3,FALSE)</f>
        <v>1.4</v>
      </c>
      <c r="AA1051" s="97">
        <f ca="1">VLOOKUP($X1051,サイズ別係数!$B:$E,4,FALSE)</f>
        <v>1</v>
      </c>
      <c r="AB1051" s="10">
        <v>0</v>
      </c>
      <c r="AC1051" s="6" t="str">
        <f ca="1">VLOOKUP($AB1051,OFFSET([3]enemy_skill_sets!$B$2,0,0,COUNTA([3]enemy_skill_sets!$A:$A),MATCH(AC$1,[3]enemy_skill_sets!$1:$1,0)-MATCH($AB$1,[3]enemy_skill_sets!$1:$1,0)+1),MATCH(AC$1,[3]enemy_skill_sets!$1:$1,0)-MATCH($AB$1,[3]enemy_skill_sets!$1:$1,0)+1,FALSE)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1" s="67">
        <v>1</v>
      </c>
      <c r="AE1051" s="67">
        <v>1</v>
      </c>
      <c r="AF1051" s="68">
        <v>0</v>
      </c>
      <c r="AG1051" s="99">
        <f ca="1">ROUND(VLOOKUP(1,enemy_base_stats!$A:$F,2,FALSE) * Y1051* J1051*O1051*E1051*S1051*AD1051*[2]ステータス!$B$2,0)</f>
        <v>4080</v>
      </c>
      <c r="AH1051" s="99">
        <f ca="1">ROUND(VLOOKUP(1,enemy_base_stats!$A:$F,3,FALSE) * Z1051*K1051*P1051*F1051*T1051*AE1051 * W1051*[2]ステータス!$C$2,0)</f>
        <v>273</v>
      </c>
      <c r="AI1051" s="99">
        <f ca="1">ROUND(VLOOKUP(1,enemy_base_stats!$A:$F,4,FALSE) * AA1051*L1051*Q1051*G1051*U1051*AF1051*[2]ステータス!$D$2,0)</f>
        <v>0</v>
      </c>
      <c r="AJ1051" s="99">
        <f ca="1">ROUND(VLOOKUP(100,enemy_base_stats!$A:$F,2,FALSE) * Y1051* J1051*O1051*E1051*S1051*AD1051*[2]ステータス!$B$2,0)</f>
        <v>165648</v>
      </c>
      <c r="AK1051" s="99">
        <f ca="1">ROUND(VLOOKUP(100,enemy_base_stats!$A:$F,3,FALSE)* Z1051* K1051*P1051*F1051*T1051*AE1051 * W1051*[2]ステータス!$C$2,0)</f>
        <v>11079</v>
      </c>
      <c r="AL1051" s="99">
        <f ca="1">ROUND(VLOOKUP(100,enemy_base_stats!$A:$F,4,FALSE)* AA1051* L1051*Q1051*G1051*U1051*AF1051*[2]ステータス!$D$2,0)</f>
        <v>0</v>
      </c>
      <c r="AM1051" s="97">
        <f ca="1">VLOOKUP(M1051,[2]character_tribe_i18n!$A:$I,9,FALSE)</f>
        <v>680</v>
      </c>
      <c r="AN1051" s="97">
        <v>0</v>
      </c>
      <c r="AO1051" s="98">
        <v>0</v>
      </c>
      <c r="AP1051" s="58" t="s">
        <v>72</v>
      </c>
      <c r="AQ1051" s="34">
        <f t="shared" ca="1" si="58"/>
        <v>1050</v>
      </c>
    </row>
    <row r="1052" spans="1:43" ht="21" customHeight="1" x14ac:dyDescent="0.15">
      <c r="A1052" s="7">
        <f t="shared" ca="1" si="57"/>
        <v>1051</v>
      </c>
      <c r="B1052" s="6" t="str">
        <f ca="1">VLOOKUP(A1052,[2]characters!$A:$C,3,FALSE)</f>
        <v>嬌電の飛沫 ファラデー</v>
      </c>
      <c r="C1052" s="9">
        <f ca="1">VLOOKUP(A1052,[2]characters!$A:$I,9,FALSE)</f>
        <v>6</v>
      </c>
      <c r="D1052" s="100" t="s">
        <v>150</v>
      </c>
      <c r="E1052" s="97">
        <f>VLOOKUP(D1052,[2]属性!$A:$E,2,FALSE)</f>
        <v>0.98</v>
      </c>
      <c r="F1052" s="97">
        <f>VLOOKUP(D1052,[2]属性!$A:$E,3,FALSE)</f>
        <v>1.01</v>
      </c>
      <c r="G1052" s="97">
        <f>VLOOKUP(D1052,[2]属性!$A:$F,4,FALSE)</f>
        <v>1</v>
      </c>
      <c r="H1052" s="9" t="str">
        <f ca="1">VLOOKUP(A1052,[2]characters!$A:$K,11,FALSE)</f>
        <v>balance</v>
      </c>
      <c r="I1052" s="6" t="str">
        <f ca="1">VLOOKUP(H1052,[2]character_type_i18n!$A:$F,3,FALSE)</f>
        <v>バランスタイプ</v>
      </c>
      <c r="J1052" s="97">
        <f ca="1">VLOOKUP(H1052,[2]character_type_i18n!$A:$F,4,FALSE)</f>
        <v>1</v>
      </c>
      <c r="K1052" s="97">
        <f ca="1">VLOOKUP(H1052,[2]character_type_i18n!$A:$F,5,FALSE)</f>
        <v>1</v>
      </c>
      <c r="L1052" s="97">
        <f ca="1">VLOOKUP(H1052,[2]character_type_i18n!$A:$F,6,FALSE)</f>
        <v>1</v>
      </c>
      <c r="M1052" s="9" t="str">
        <f ca="1">VLOOKUP(A1052,[2]characters!$A:$M,13,FALSE)</f>
        <v>academia</v>
      </c>
      <c r="N1052" s="6" t="str">
        <f ca="1">VLOOKUP(M1052,[2]character_tribe_i18n!$A:$F,3,FALSE)</f>
        <v>アカデミア</v>
      </c>
      <c r="O1052" s="97">
        <f ca="1">VLOOKUP(M1052,[2]character_tribe_i18n!$A:$F,4,FALSE)</f>
        <v>1</v>
      </c>
      <c r="P1052" s="97">
        <f ca="1">VLOOKUP(M1052,[2]character_tribe_i18n!$A:$F,5,FALSE)</f>
        <v>1</v>
      </c>
      <c r="Q1052" s="97">
        <f ca="1">VLOOKUP(M1052,[2]character_tribe_i18n!$A:$F,6,FALSE)</f>
        <v>1</v>
      </c>
      <c r="R1052" s="98" t="s">
        <v>98</v>
      </c>
      <c r="S1052" s="97">
        <f>VLOOKUP($R1052,ラベル別係数!$A$1:$E$7,3,FALSE)</f>
        <v>5</v>
      </c>
      <c r="T1052" s="97">
        <f>VLOOKUP($R1052,ラベル別係数!$A$1:$E$7,4,FALSE)</f>
        <v>1.3</v>
      </c>
      <c r="U1052" s="97">
        <f>VLOOKUP($R1052,ラベル別係数!$A$1:$E$7,5,FALSE)</f>
        <v>0.8</v>
      </c>
      <c r="V1052" s="98">
        <v>3</v>
      </c>
      <c r="W1052" s="99">
        <f>VLOOKUP(V1052,ターン数別攻撃係数!$A$1:$B$1000,2,FALSE)</f>
        <v>1</v>
      </c>
      <c r="X1052" s="9">
        <f ca="1">VLOOKUP(C1052,サイズ別係数!A$2:B$9,2,FALSE)</f>
        <v>60</v>
      </c>
      <c r="Y1052" s="97">
        <f ca="1">VLOOKUP($X1052,サイズ別係数!$B:$E,2,FALSE)</f>
        <v>1.7</v>
      </c>
      <c r="Z1052" s="97">
        <f ca="1">VLOOKUP($X1052,サイズ別係数!$B:$E,3,FALSE)</f>
        <v>1.4</v>
      </c>
      <c r="AA1052" s="97">
        <f ca="1">VLOOKUP($X1052,サイズ別係数!$B:$E,4,FALSE)</f>
        <v>1</v>
      </c>
      <c r="AB1052" s="10">
        <v>0</v>
      </c>
      <c r="AC1052" s="6" t="str">
        <f ca="1">VLOOKUP($AB1052,OFFSET([3]enemy_skill_sets!$B$2,0,0,COUNTA([3]enemy_skill_sets!$A:$A),MATCH(AC$1,[3]enemy_skill_sets!$1:$1,0)-MATCH($AB$1,[3]enemy_skill_sets!$1:$1,0)+1),MATCH(AC$1,[3]enemy_skill_sets!$1:$1,0)-MATCH($AB$1,[3]enemy_skill_sets!$1:$1,0)+1,FALSE)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2" s="67">
        <v>1</v>
      </c>
      <c r="AE1052" s="67">
        <v>1</v>
      </c>
      <c r="AF1052" s="68">
        <v>0</v>
      </c>
      <c r="AG1052" s="110">
        <v>3915</v>
      </c>
      <c r="AH1052" s="110">
        <v>273</v>
      </c>
      <c r="AI1052" s="99">
        <f ca="1">ROUND(VLOOKUP(1,enemy_base_stats!$A:$F,4,FALSE) * AA1052*L1052*Q1052*G1052*U1052*AF1052*[2]ステータス!$D$2,0)</f>
        <v>0</v>
      </c>
      <c r="AJ1052" s="110">
        <v>158953</v>
      </c>
      <c r="AK1052" s="110">
        <v>11083</v>
      </c>
      <c r="AL1052" s="99">
        <f ca="1">ROUND(VLOOKUP(100,enemy_base_stats!$A:$F,4,FALSE)* AA1052* L1052*Q1052*G1052*U1052*AF1052*[2]ステータス!$D$2,0)</f>
        <v>0</v>
      </c>
      <c r="AM1052" s="97">
        <f ca="1">VLOOKUP(M1052,[2]character_tribe_i18n!$A:$I,9,FALSE)</f>
        <v>400</v>
      </c>
      <c r="AN1052" s="97">
        <v>0</v>
      </c>
      <c r="AO1052" s="98">
        <v>0</v>
      </c>
      <c r="AP1052" s="58" t="s">
        <v>72</v>
      </c>
      <c r="AQ1052" s="34">
        <f t="shared" ca="1" si="58"/>
        <v>1051</v>
      </c>
    </row>
    <row r="1053" spans="1:43" ht="21" customHeight="1" x14ac:dyDescent="0.15">
      <c r="A1053" s="7">
        <f t="shared" ca="1" si="57"/>
        <v>1052</v>
      </c>
      <c r="B1053" s="6" t="str">
        <f ca="1">VLOOKUP(A1053,[2]characters!$A:$C,3,FALSE)</f>
        <v>戯魚群の潜光 バルドル</v>
      </c>
      <c r="C1053" s="9">
        <f ca="1">VLOOKUP(A1053,[2]characters!$A:$I,9,FALSE)</f>
        <v>5</v>
      </c>
      <c r="D1053" s="100" t="s">
        <v>150</v>
      </c>
      <c r="E1053" s="97">
        <f>VLOOKUP(D1053,[2]属性!$A:$E,2,FALSE)</f>
        <v>0.98</v>
      </c>
      <c r="F1053" s="97">
        <f>VLOOKUP(D1053,[2]属性!$A:$E,3,FALSE)</f>
        <v>1.01</v>
      </c>
      <c r="G1053" s="97">
        <f>VLOOKUP(D1053,[2]属性!$A:$F,4,FALSE)</f>
        <v>1</v>
      </c>
      <c r="H1053" s="9" t="str">
        <f ca="1">VLOOKUP(A1053,[2]characters!$A:$K,11,FALSE)</f>
        <v>heal</v>
      </c>
      <c r="I1053" s="6" t="str">
        <f ca="1">VLOOKUP(H1053,[2]character_type_i18n!$A:$F,3,FALSE)</f>
        <v>回復タイプ</v>
      </c>
      <c r="J1053" s="97">
        <f ca="1">VLOOKUP(H1053,[2]character_type_i18n!$A:$F,4,FALSE)</f>
        <v>0.8</v>
      </c>
      <c r="K1053" s="97">
        <f ca="1">VLOOKUP(H1053,[2]character_type_i18n!$A:$F,5,FALSE)</f>
        <v>0.78</v>
      </c>
      <c r="L1053" s="97">
        <f ca="1">VLOOKUP(H1053,[2]character_type_i18n!$A:$F,6,FALSE)</f>
        <v>1</v>
      </c>
      <c r="M1053" s="9" t="str">
        <f ca="1">VLOOKUP(A1053,[2]characters!$A:$M,13,FALSE)</f>
        <v>god</v>
      </c>
      <c r="N1053" s="6" t="str">
        <f ca="1">VLOOKUP(M1053,[2]character_tribe_i18n!$A:$F,3,FALSE)</f>
        <v>ゴッド</v>
      </c>
      <c r="O1053" s="97">
        <f ca="1">VLOOKUP(M1053,[2]character_tribe_i18n!$A:$F,4,FALSE)</f>
        <v>0.96</v>
      </c>
      <c r="P1053" s="97">
        <f ca="1">VLOOKUP(M1053,[2]character_tribe_i18n!$A:$F,5,FALSE)</f>
        <v>1.02</v>
      </c>
      <c r="Q1053" s="97">
        <f ca="1">VLOOKUP(M1053,[2]character_tribe_i18n!$A:$F,6,FALSE)</f>
        <v>1</v>
      </c>
      <c r="R1053" s="98" t="s">
        <v>98</v>
      </c>
      <c r="S1053" s="97">
        <f>VLOOKUP($R1053,ラベル別係数!$A$1:$E$7,3,FALSE)</f>
        <v>5</v>
      </c>
      <c r="T1053" s="97">
        <f>VLOOKUP($R1053,ラベル別係数!$A$1:$E$7,4,FALSE)</f>
        <v>1.3</v>
      </c>
      <c r="U1053" s="97">
        <f>VLOOKUP($R1053,ラベル別係数!$A$1:$E$7,5,FALSE)</f>
        <v>0.8</v>
      </c>
      <c r="V1053" s="98">
        <v>3</v>
      </c>
      <c r="W1053" s="99">
        <f>VLOOKUP(V1053,ターン数別攻撃係数!$A$1:$B$1000,2,FALSE)</f>
        <v>1</v>
      </c>
      <c r="X1053" s="9">
        <f ca="1">VLOOKUP(C1053,サイズ別係数!A$2:B$9,2,FALSE)</f>
        <v>60</v>
      </c>
      <c r="Y1053" s="97">
        <f ca="1">VLOOKUP($X1053,サイズ別係数!$B:$E,2,FALSE)</f>
        <v>1.7</v>
      </c>
      <c r="Z1053" s="97">
        <f ca="1">VLOOKUP($X1053,サイズ別係数!$B:$E,3,FALSE)</f>
        <v>1.4</v>
      </c>
      <c r="AA1053" s="97">
        <f ca="1">VLOOKUP($X1053,サイズ別係数!$B:$E,4,FALSE)</f>
        <v>1</v>
      </c>
      <c r="AB1053" s="10">
        <v>0</v>
      </c>
      <c r="AC1053" s="6" t="str">
        <f ca="1">VLOOKUP($AB1053,OFFSET([3]enemy_skill_sets!$B$2,0,0,COUNTA([3]enemy_skill_sets!$A:$A),MATCH(AC$1,[3]enemy_skill_sets!$1:$1,0)-MATCH($AB$1,[3]enemy_skill_sets!$1:$1,0)+1),MATCH(AC$1,[3]enemy_skill_sets!$1:$1,0)-MATCH($AB$1,[3]enemy_skill_sets!$1:$1,0)+1,FALSE)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3" s="67">
        <v>1</v>
      </c>
      <c r="AE1053" s="67">
        <v>1</v>
      </c>
      <c r="AF1053" s="68">
        <v>0</v>
      </c>
      <c r="AG1053" s="99">
        <f ca="1">ROUND(VLOOKUP(1,enemy_base_stats!$A:$F,2,FALSE) * Y1053* J1053*O1053*E1053*S1053*AD1053*[2]ステータス!$B$2,0)</f>
        <v>3199</v>
      </c>
      <c r="AH1053" s="99">
        <f ca="1">ROUND(VLOOKUP(1,enemy_base_stats!$A:$F,3,FALSE) * Z1053*K1053*P1053*F1053*T1053*AE1053 * W1053*[2]ステータス!$C$2,0)</f>
        <v>219</v>
      </c>
      <c r="AI1053" s="99">
        <f ca="1">ROUND(VLOOKUP(1,enemy_base_stats!$A:$F,4,FALSE) * AA1053*L1053*Q1053*G1053*U1053*AF1053*[2]ステータス!$D$2,0)</f>
        <v>0</v>
      </c>
      <c r="AJ1053" s="99">
        <f ca="1">ROUND(VLOOKUP(100,enemy_base_stats!$A:$F,2,FALSE) * Y1053* J1053*O1053*E1053*S1053*AD1053*[2]ステータス!$B$2,0)</f>
        <v>129868</v>
      </c>
      <c r="AK1053" s="99">
        <f ca="1">ROUND(VLOOKUP(100,enemy_base_stats!$A:$F,3,FALSE)* Z1053* K1053*P1053*F1053*T1053*AE1053 * W1053*[2]ステータス!$C$2,0)</f>
        <v>8906</v>
      </c>
      <c r="AL1053" s="99">
        <f ca="1">ROUND(VLOOKUP(100,enemy_base_stats!$A:$F,4,FALSE)* AA1053* L1053*Q1053*G1053*U1053*AF1053*[2]ステータス!$D$2,0)</f>
        <v>0</v>
      </c>
      <c r="AM1053" s="97">
        <f ca="1">VLOOKUP(M1053,[2]character_tribe_i18n!$A:$I,9,FALSE)</f>
        <v>680</v>
      </c>
      <c r="AN1053" s="97">
        <v>0</v>
      </c>
      <c r="AO1053" s="98">
        <v>0</v>
      </c>
      <c r="AP1053" s="58" t="s">
        <v>72</v>
      </c>
      <c r="AQ1053" s="34">
        <f t="shared" ca="1" si="58"/>
        <v>1052</v>
      </c>
    </row>
    <row r="1054" spans="1:43" ht="21" customHeight="1" x14ac:dyDescent="0.15">
      <c r="A1054" s="7">
        <f t="shared" ca="1" si="57"/>
        <v>1053</v>
      </c>
      <c r="B1054" s="6" t="str">
        <f ca="1">VLOOKUP(A1054,[2]characters!$A:$C,3,FALSE)</f>
        <v>常夏の眩獣 麒麟</v>
      </c>
      <c r="C1054" s="9">
        <f ca="1">VLOOKUP(A1054,[2]characters!$A:$I,9,FALSE)</f>
        <v>5</v>
      </c>
      <c r="D1054" s="100" t="s">
        <v>150</v>
      </c>
      <c r="E1054" s="97">
        <f>VLOOKUP(D1054,[2]属性!$A:$E,2,FALSE)</f>
        <v>0.98</v>
      </c>
      <c r="F1054" s="97">
        <f>VLOOKUP(D1054,[2]属性!$A:$E,3,FALSE)</f>
        <v>1.01</v>
      </c>
      <c r="G1054" s="97">
        <f>VLOOKUP(D1054,[2]属性!$A:$F,4,FALSE)</f>
        <v>1</v>
      </c>
      <c r="H1054" s="9" t="str">
        <f ca="1">VLOOKUP(A1054,[2]characters!$A:$K,11,FALSE)</f>
        <v>balance</v>
      </c>
      <c r="I1054" s="6" t="str">
        <f ca="1">VLOOKUP(H1054,[2]character_type_i18n!$A:$F,3,FALSE)</f>
        <v>バランスタイプ</v>
      </c>
      <c r="J1054" s="97">
        <f ca="1">VLOOKUP(H1054,[2]character_type_i18n!$A:$F,4,FALSE)</f>
        <v>1</v>
      </c>
      <c r="K1054" s="97">
        <f ca="1">VLOOKUP(H1054,[2]character_type_i18n!$A:$F,5,FALSE)</f>
        <v>1</v>
      </c>
      <c r="L1054" s="97">
        <f ca="1">VLOOKUP(H1054,[2]character_type_i18n!$A:$F,6,FALSE)</f>
        <v>1</v>
      </c>
      <c r="M1054" s="9" t="str">
        <f ca="1">VLOOKUP(A1054,[2]characters!$A:$M,13,FALSE)</f>
        <v>god</v>
      </c>
      <c r="N1054" s="6" t="str">
        <f ca="1">VLOOKUP(M1054,[2]character_tribe_i18n!$A:$F,3,FALSE)</f>
        <v>ゴッド</v>
      </c>
      <c r="O1054" s="97">
        <f ca="1">VLOOKUP(M1054,[2]character_tribe_i18n!$A:$F,4,FALSE)</f>
        <v>0.96</v>
      </c>
      <c r="P1054" s="97">
        <f ca="1">VLOOKUP(M1054,[2]character_tribe_i18n!$A:$F,5,FALSE)</f>
        <v>1.02</v>
      </c>
      <c r="Q1054" s="97">
        <f ca="1">VLOOKUP(M1054,[2]character_tribe_i18n!$A:$F,6,FALSE)</f>
        <v>1</v>
      </c>
      <c r="R1054" s="98" t="s">
        <v>98</v>
      </c>
      <c r="S1054" s="97">
        <f>VLOOKUP($R1054,ラベル別係数!$A$1:$E$7,3,FALSE)</f>
        <v>5</v>
      </c>
      <c r="T1054" s="97">
        <f>VLOOKUP($R1054,ラベル別係数!$A$1:$E$7,4,FALSE)</f>
        <v>1.3</v>
      </c>
      <c r="U1054" s="97">
        <f>VLOOKUP($R1054,ラベル別係数!$A$1:$E$7,5,FALSE)</f>
        <v>0.8</v>
      </c>
      <c r="V1054" s="98">
        <v>3</v>
      </c>
      <c r="W1054" s="99">
        <f>VLOOKUP(V1054,ターン数別攻撃係数!$A$1:$B$1000,2,FALSE)</f>
        <v>1</v>
      </c>
      <c r="X1054" s="9">
        <f ca="1">VLOOKUP(C1054,サイズ別係数!A$2:B$9,2,FALSE)</f>
        <v>60</v>
      </c>
      <c r="Y1054" s="97">
        <f ca="1">VLOOKUP($X1054,サイズ別係数!$B:$E,2,FALSE)</f>
        <v>1.7</v>
      </c>
      <c r="Z1054" s="97">
        <f ca="1">VLOOKUP($X1054,サイズ別係数!$B:$E,3,FALSE)</f>
        <v>1.4</v>
      </c>
      <c r="AA1054" s="97">
        <f ca="1">VLOOKUP($X1054,サイズ別係数!$B:$E,4,FALSE)</f>
        <v>1</v>
      </c>
      <c r="AB1054" s="10">
        <v>0</v>
      </c>
      <c r="AC1054" s="6" t="str">
        <f ca="1">VLOOKUP($AB1054,OFFSET([3]enemy_skill_sets!$B$2,0,0,COUNTA([3]enemy_skill_sets!$A:$A),MATCH(AC$1,[3]enemy_skill_sets!$1:$1,0)-MATCH($AB$1,[3]enemy_skill_sets!$1:$1,0)+1),MATCH(AC$1,[3]enemy_skill_sets!$1:$1,0)-MATCH($AB$1,[3]enemy_skill_sets!$1:$1,0)+1,FALSE)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4" s="67">
        <v>1</v>
      </c>
      <c r="AE1054" s="67">
        <v>1</v>
      </c>
      <c r="AF1054" s="68">
        <v>0</v>
      </c>
      <c r="AG1054" s="99">
        <f ca="1">ROUND(VLOOKUP(1,enemy_base_stats!$A:$F,2,FALSE) * Y1054* J1054*O1054*E1054*S1054*AD1054*[2]ステータス!$B$2,0)</f>
        <v>3998</v>
      </c>
      <c r="AH1054" s="99">
        <f ca="1">ROUND(VLOOKUP(1,enemy_base_stats!$A:$F,3,FALSE) * Z1054*K1054*P1054*F1054*T1054*AE1054 * W1054*[2]ステータス!$C$2,0)</f>
        <v>281</v>
      </c>
      <c r="AI1054" s="99">
        <f ca="1">ROUND(VLOOKUP(1,enemy_base_stats!$A:$F,4,FALSE) * AA1054*L1054*Q1054*G1054*U1054*AF1054*[2]ステータス!$D$2,0)</f>
        <v>0</v>
      </c>
      <c r="AJ1054" s="99">
        <f ca="1">ROUND(VLOOKUP(100,enemy_base_stats!$A:$F,2,FALSE) * Y1054* J1054*O1054*E1054*S1054*AD1054*[2]ステータス!$B$2,0)</f>
        <v>162335</v>
      </c>
      <c r="AK1054" s="99">
        <f ca="1">ROUND(VLOOKUP(100,enemy_base_stats!$A:$F,3,FALSE)* Z1054* K1054*P1054*F1054*T1054*AE1054 * W1054*[2]ステータス!$C$2,0)</f>
        <v>11419</v>
      </c>
      <c r="AL1054" s="99">
        <f ca="1">ROUND(VLOOKUP(100,enemy_base_stats!$A:$F,4,FALSE)* AA1054* L1054*Q1054*G1054*U1054*AF1054*[2]ステータス!$D$2,0)</f>
        <v>0</v>
      </c>
      <c r="AM1054" s="97">
        <f ca="1">VLOOKUP(M1054,[2]character_tribe_i18n!$A:$I,9,FALSE)</f>
        <v>680</v>
      </c>
      <c r="AN1054" s="97">
        <v>0</v>
      </c>
      <c r="AO1054" s="98">
        <v>0</v>
      </c>
      <c r="AP1054" s="58" t="s">
        <v>72</v>
      </c>
      <c r="AQ1054" s="34">
        <f t="shared" ca="1" si="58"/>
        <v>1053</v>
      </c>
    </row>
    <row r="1055" spans="1:43" ht="21" customHeight="1" x14ac:dyDescent="0.15">
      <c r="A1055" s="7">
        <f t="shared" ca="1" si="57"/>
        <v>1054</v>
      </c>
      <c r="B1055" s="6" t="str">
        <f ca="1">VLOOKUP(A1055,[2]characters!$A:$C,3,FALSE)</f>
        <v>炎陽の臨海 麒麟</v>
      </c>
      <c r="C1055" s="9">
        <f ca="1">VLOOKUP(A1055,[2]characters!$A:$I,9,FALSE)</f>
        <v>6</v>
      </c>
      <c r="D1055" s="100" t="s">
        <v>150</v>
      </c>
      <c r="E1055" s="97">
        <f>VLOOKUP(D1055,[2]属性!$A:$E,2,FALSE)</f>
        <v>0.98</v>
      </c>
      <c r="F1055" s="97">
        <f>VLOOKUP(D1055,[2]属性!$A:$E,3,FALSE)</f>
        <v>1.01</v>
      </c>
      <c r="G1055" s="97">
        <f>VLOOKUP(D1055,[2]属性!$A:$F,4,FALSE)</f>
        <v>1</v>
      </c>
      <c r="H1055" s="9" t="str">
        <f ca="1">VLOOKUP(A1055,[2]characters!$A:$K,11,FALSE)</f>
        <v>balance</v>
      </c>
      <c r="I1055" s="6" t="str">
        <f ca="1">VLOOKUP(H1055,[2]character_type_i18n!$A:$F,3,FALSE)</f>
        <v>バランスタイプ</v>
      </c>
      <c r="J1055" s="97">
        <f ca="1">VLOOKUP(H1055,[2]character_type_i18n!$A:$F,4,FALSE)</f>
        <v>1</v>
      </c>
      <c r="K1055" s="97">
        <f ca="1">VLOOKUP(H1055,[2]character_type_i18n!$A:$F,5,FALSE)</f>
        <v>1</v>
      </c>
      <c r="L1055" s="97">
        <f ca="1">VLOOKUP(H1055,[2]character_type_i18n!$A:$F,6,FALSE)</f>
        <v>1</v>
      </c>
      <c r="M1055" s="9" t="str">
        <f ca="1">VLOOKUP(A1055,[2]characters!$A:$M,13,FALSE)</f>
        <v>god</v>
      </c>
      <c r="N1055" s="6" t="str">
        <f ca="1">VLOOKUP(M1055,[2]character_tribe_i18n!$A:$F,3,FALSE)</f>
        <v>ゴッド</v>
      </c>
      <c r="O1055" s="97">
        <f ca="1">VLOOKUP(M1055,[2]character_tribe_i18n!$A:$F,4,FALSE)</f>
        <v>0.96</v>
      </c>
      <c r="P1055" s="97">
        <f ca="1">VLOOKUP(M1055,[2]character_tribe_i18n!$A:$F,5,FALSE)</f>
        <v>1.02</v>
      </c>
      <c r="Q1055" s="97">
        <f ca="1">VLOOKUP(M1055,[2]character_tribe_i18n!$A:$F,6,FALSE)</f>
        <v>1</v>
      </c>
      <c r="R1055" s="98" t="s">
        <v>98</v>
      </c>
      <c r="S1055" s="97">
        <f>VLOOKUP($R1055,ラベル別係数!$A$1:$E$7,3,FALSE)</f>
        <v>5</v>
      </c>
      <c r="T1055" s="97">
        <f>VLOOKUP($R1055,ラベル別係数!$A$1:$E$7,4,FALSE)</f>
        <v>1.3</v>
      </c>
      <c r="U1055" s="97">
        <f>VLOOKUP($R1055,ラベル別係数!$A$1:$E$7,5,FALSE)</f>
        <v>0.8</v>
      </c>
      <c r="V1055" s="98">
        <v>3</v>
      </c>
      <c r="W1055" s="99">
        <f>VLOOKUP(V1055,ターン数別攻撃係数!$A$1:$B$1000,2,FALSE)</f>
        <v>1</v>
      </c>
      <c r="X1055" s="9">
        <f ca="1">VLOOKUP(C1055,サイズ別係数!A$2:B$9,2,FALSE)</f>
        <v>60</v>
      </c>
      <c r="Y1055" s="97">
        <f ca="1">VLOOKUP($X1055,サイズ別係数!$B:$E,2,FALSE)</f>
        <v>1.7</v>
      </c>
      <c r="Z1055" s="97">
        <f ca="1">VLOOKUP($X1055,サイズ別係数!$B:$E,3,FALSE)</f>
        <v>1.4</v>
      </c>
      <c r="AA1055" s="97">
        <f ca="1">VLOOKUP($X1055,サイズ別係数!$B:$E,4,FALSE)</f>
        <v>1</v>
      </c>
      <c r="AB1055" s="10">
        <v>0</v>
      </c>
      <c r="AC1055" s="6" t="str">
        <f ca="1">VLOOKUP($AB1055,OFFSET([3]enemy_skill_sets!$B$2,0,0,COUNTA([3]enemy_skill_sets!$A:$A),MATCH(AC$1,[3]enemy_skill_sets!$1:$1,0)-MATCH($AB$1,[3]enemy_skill_sets!$1:$1,0)+1),MATCH(AC$1,[3]enemy_skill_sets!$1:$1,0)-MATCH($AB$1,[3]enemy_skill_sets!$1:$1,0)+1,FALSE)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5" s="67">
        <v>1</v>
      </c>
      <c r="AE1055" s="67">
        <v>1</v>
      </c>
      <c r="AF1055" s="68">
        <v>0</v>
      </c>
      <c r="AG1055" s="99">
        <f ca="1">ROUND(VLOOKUP(1,enemy_base_stats!$A:$F,2,FALSE) * Y1055* J1055*O1055*E1055*S1055*AD1055*[2]ステータス!$B$2,0)</f>
        <v>3998</v>
      </c>
      <c r="AH1055" s="99">
        <f ca="1">ROUND(VLOOKUP(1,enemy_base_stats!$A:$F,3,FALSE) * Z1055*K1055*P1055*F1055*T1055*AE1055 * W1055*[2]ステータス!$C$2,0)</f>
        <v>281</v>
      </c>
      <c r="AI1055" s="99">
        <f ca="1">ROUND(VLOOKUP(1,enemy_base_stats!$A:$F,4,FALSE) * AA1055*L1055*Q1055*G1055*U1055*AF1055*[2]ステータス!$D$2,0)</f>
        <v>0</v>
      </c>
      <c r="AJ1055" s="99">
        <f ca="1">ROUND(VLOOKUP(100,enemy_base_stats!$A:$F,2,FALSE) * Y1055* J1055*O1055*E1055*S1055*AD1055*[2]ステータス!$B$2,0)</f>
        <v>162335</v>
      </c>
      <c r="AK1055" s="99">
        <f ca="1">ROUND(VLOOKUP(100,enemy_base_stats!$A:$F,3,FALSE)* Z1055* K1055*P1055*F1055*T1055*AE1055 * W1055*[2]ステータス!$C$2,0)</f>
        <v>11419</v>
      </c>
      <c r="AL1055" s="99">
        <f ca="1">ROUND(VLOOKUP(100,enemy_base_stats!$A:$F,4,FALSE)* AA1055* L1055*Q1055*G1055*U1055*AF1055*[2]ステータス!$D$2,0)</f>
        <v>0</v>
      </c>
      <c r="AM1055" s="97">
        <f ca="1">VLOOKUP(M1055,[2]character_tribe_i18n!$A:$I,9,FALSE)</f>
        <v>680</v>
      </c>
      <c r="AN1055" s="97">
        <v>0</v>
      </c>
      <c r="AO1055" s="98">
        <v>0</v>
      </c>
      <c r="AP1055" s="58" t="s">
        <v>72</v>
      </c>
      <c r="AQ1055" s="34">
        <f t="shared" ca="1" si="58"/>
        <v>1054</v>
      </c>
    </row>
    <row r="1056" spans="1:43" ht="21" customHeight="1" x14ac:dyDescent="0.15">
      <c r="A1056" s="7">
        <f t="shared" ca="1" si="57"/>
        <v>1055</v>
      </c>
      <c r="B1056" s="6" t="str">
        <f ca="1">VLOOKUP(A1056,[2]characters!$A:$C,3,FALSE)</f>
        <v>豪焔の轟暴聖 ベリアル</v>
      </c>
      <c r="C1056" s="9">
        <f ca="1">VLOOKUP(A1056,[2]characters!$A:$I,9,FALSE)</f>
        <v>6</v>
      </c>
      <c r="D1056" s="9" t="str">
        <f ca="1">VLOOKUP(A1056,[2]characters!$A:$H,8,FALSE)</f>
        <v>red</v>
      </c>
      <c r="E1056" s="97">
        <f ca="1">VLOOKUP(D1056,[2]属性!$A:$E,2,FALSE)</f>
        <v>1</v>
      </c>
      <c r="F1056" s="97">
        <f ca="1">VLOOKUP(D1056,[2]属性!$A:$E,3,FALSE)</f>
        <v>1.02</v>
      </c>
      <c r="G1056" s="97">
        <f ca="1">VLOOKUP(D1056,[2]属性!$A:$F,4,FALSE)</f>
        <v>1</v>
      </c>
      <c r="H1056" s="9" t="str">
        <f ca="1">VLOOKUP(A1056,[2]characters!$A:$K,11,FALSE)</f>
        <v>attack</v>
      </c>
      <c r="I1056" s="6" t="str">
        <f ca="1">VLOOKUP(H1056,[2]character_type_i18n!$A:$F,3,FALSE)</f>
        <v>攻撃タイプ</v>
      </c>
      <c r="J1056" s="97">
        <f ca="1">VLOOKUP(H1056,[2]character_type_i18n!$A:$F,4,FALSE)</f>
        <v>1</v>
      </c>
      <c r="K1056" s="97">
        <f ca="1">VLOOKUP(H1056,[2]character_type_i18n!$A:$F,5,FALSE)</f>
        <v>1.33</v>
      </c>
      <c r="L1056" s="97">
        <f ca="1">VLOOKUP(H1056,[2]character_type_i18n!$A:$F,6,FALSE)</f>
        <v>1</v>
      </c>
      <c r="M1056" s="9" t="str">
        <f ca="1">VLOOKUP(A1056,[2]characters!$A:$M,13,FALSE)</f>
        <v>demon</v>
      </c>
      <c r="N1056" s="6" t="str">
        <f ca="1">VLOOKUP(M1056,[2]character_tribe_i18n!$A:$F,3,FALSE)</f>
        <v>デーモン</v>
      </c>
      <c r="O1056" s="97">
        <f ca="1">VLOOKUP(M1056,[2]character_tribe_i18n!$A:$F,4,FALSE)</f>
        <v>1</v>
      </c>
      <c r="P1056" s="97">
        <f ca="1">VLOOKUP(M1056,[2]character_tribe_i18n!$A:$F,5,FALSE)</f>
        <v>1</v>
      </c>
      <c r="Q1056" s="97">
        <f ca="1">VLOOKUP(M1056,[2]character_tribe_i18n!$A:$F,6,FALSE)</f>
        <v>1</v>
      </c>
      <c r="R1056" s="98" t="s">
        <v>98</v>
      </c>
      <c r="S1056" s="97">
        <f>VLOOKUP($R1056,ラベル別係数!$A$1:$E$7,3,FALSE)</f>
        <v>5</v>
      </c>
      <c r="T1056" s="97">
        <f>VLOOKUP($R1056,ラベル別係数!$A$1:$E$7,4,FALSE)</f>
        <v>1.3</v>
      </c>
      <c r="U1056" s="97">
        <f>VLOOKUP($R1056,ラベル別係数!$A$1:$E$7,5,FALSE)</f>
        <v>0.8</v>
      </c>
      <c r="V1056" s="98">
        <v>3</v>
      </c>
      <c r="W1056" s="99">
        <f>VLOOKUP(V1056,ターン数別攻撃係数!$A$1:$B$1000,2,FALSE)</f>
        <v>1</v>
      </c>
      <c r="X1056" s="9">
        <f ca="1">VLOOKUP(C1056,サイズ別係数!A$2:B$9,2,FALSE)</f>
        <v>60</v>
      </c>
      <c r="Y1056" s="97">
        <f ca="1">VLOOKUP($X1056,サイズ別係数!$B:$E,2,FALSE)</f>
        <v>1.7</v>
      </c>
      <c r="Z1056" s="97">
        <f ca="1">VLOOKUP($X1056,サイズ別係数!$B:$E,3,FALSE)</f>
        <v>1.4</v>
      </c>
      <c r="AA1056" s="97">
        <f ca="1">VLOOKUP($X1056,サイズ別係数!$B:$E,4,FALSE)</f>
        <v>1</v>
      </c>
      <c r="AB1056" s="10">
        <v>0</v>
      </c>
      <c r="AC1056" s="6" t="str">
        <f ca="1">VLOOKUP($AB1056,OFFSET([3]enemy_skill_sets!$B$2,0,0,COUNTA([3]enemy_skill_sets!$A:$A),MATCH(AC$1,[3]enemy_skill_sets!$1:$1,0)-MATCH($AB$1,[3]enemy_skill_sets!$1:$1,0)+1),MATCH(AC$1,[3]enemy_skill_sets!$1:$1,0)-MATCH($AB$1,[3]enemy_skill_sets!$1:$1,0)+1,FALSE)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6" s="67">
        <v>1</v>
      </c>
      <c r="AE1056" s="67">
        <v>1</v>
      </c>
      <c r="AF1056" s="68">
        <v>0</v>
      </c>
      <c r="AG1056" s="99">
        <f ca="1">ROUND(VLOOKUP(1,enemy_base_stats!$A:$F,2,FALSE) * Y1056* J1056*O1056*E1056*S1056*AD1056*[2]ステータス!$B$2,0)</f>
        <v>4250</v>
      </c>
      <c r="AH1056" s="99">
        <f ca="1">ROUND(VLOOKUP(1,enemy_base_stats!$A:$F,3,FALSE) * Z1056*K1056*P1056*F1056*T1056*AE1056 * W1056*[2]ステータス!$C$2,0)</f>
        <v>370</v>
      </c>
      <c r="AI1056" s="99">
        <f ca="1">ROUND(VLOOKUP(1,enemy_base_stats!$A:$F,4,FALSE) * AA1056*L1056*Q1056*G1056*U1056*AF1056*[2]ステータス!$D$2,0)</f>
        <v>0</v>
      </c>
      <c r="AJ1056" s="99">
        <f ca="1">ROUND(VLOOKUP(100,enemy_base_stats!$A:$F,2,FALSE) * Y1056* J1056*O1056*E1056*S1056*AD1056*[2]ステータス!$B$2,0)</f>
        <v>172550</v>
      </c>
      <c r="AK1056" s="99">
        <f ca="1">ROUND(VLOOKUP(100,enemy_base_stats!$A:$F,3,FALSE)* Z1056* K1056*P1056*F1056*T1056*AE1056 * W1056*[2]ステータス!$C$2,0)</f>
        <v>15036</v>
      </c>
      <c r="AL1056" s="99">
        <f ca="1">ROUND(VLOOKUP(100,enemy_base_stats!$A:$F,4,FALSE)* AA1056* L1056*Q1056*G1056*U1056*AF1056*[2]ステータス!$D$2,0)</f>
        <v>0</v>
      </c>
      <c r="AM1056" s="97">
        <f ca="1">VLOOKUP(M1056,[2]character_tribe_i18n!$A:$I,9,FALSE)</f>
        <v>400</v>
      </c>
      <c r="AN1056" s="97">
        <v>0</v>
      </c>
      <c r="AO1056" s="98">
        <v>0</v>
      </c>
      <c r="AP1056" s="58" t="s">
        <v>72</v>
      </c>
      <c r="AQ1056" s="34">
        <f t="shared" ca="1" si="58"/>
        <v>1055</v>
      </c>
    </row>
    <row r="1057" spans="1:43" ht="21" customHeight="1" x14ac:dyDescent="0.15">
      <c r="A1057" s="7">
        <f t="shared" ca="1" si="57"/>
        <v>1056</v>
      </c>
      <c r="B1057" s="6" t="str">
        <f ca="1">VLOOKUP(A1057,[2]characters!$A:$C,3,FALSE)</f>
        <v>神解の預欺皇 オセ</v>
      </c>
      <c r="C1057" s="9">
        <f ca="1">VLOOKUP(A1057,[2]characters!$A:$I,9,FALSE)</f>
        <v>6</v>
      </c>
      <c r="D1057" s="9" t="str">
        <f ca="1">VLOOKUP(A1057,[2]characters!$A:$H,8,FALSE)</f>
        <v>green</v>
      </c>
      <c r="E1057" s="97">
        <f ca="1">VLOOKUP(D1057,[2]属性!$A:$E,2,FALSE)</f>
        <v>1.02</v>
      </c>
      <c r="F1057" s="97">
        <f ca="1">VLOOKUP(D1057,[2]属性!$A:$E,3,FALSE)</f>
        <v>0.98</v>
      </c>
      <c r="G1057" s="97">
        <f ca="1">VLOOKUP(D1057,[2]属性!$A:$F,4,FALSE)</f>
        <v>1</v>
      </c>
      <c r="H1057" s="9" t="str">
        <f ca="1">VLOOKUP(A1057,[2]characters!$A:$K,11,FALSE)</f>
        <v>attack</v>
      </c>
      <c r="I1057" s="6" t="str">
        <f ca="1">VLOOKUP(H1057,[2]character_type_i18n!$A:$F,3,FALSE)</f>
        <v>攻撃タイプ</v>
      </c>
      <c r="J1057" s="97">
        <f ca="1">VLOOKUP(H1057,[2]character_type_i18n!$A:$F,4,FALSE)</f>
        <v>1</v>
      </c>
      <c r="K1057" s="97">
        <f ca="1">VLOOKUP(H1057,[2]character_type_i18n!$A:$F,5,FALSE)</f>
        <v>1.33</v>
      </c>
      <c r="L1057" s="97">
        <f ca="1">VLOOKUP(H1057,[2]character_type_i18n!$A:$F,6,FALSE)</f>
        <v>1</v>
      </c>
      <c r="M1057" s="9" t="str">
        <f ca="1">VLOOKUP(A1057,[2]characters!$A:$M,13,FALSE)</f>
        <v>demon</v>
      </c>
      <c r="N1057" s="6" t="str">
        <f ca="1">VLOOKUP(M1057,[2]character_tribe_i18n!$A:$F,3,FALSE)</f>
        <v>デーモン</v>
      </c>
      <c r="O1057" s="97">
        <f ca="1">VLOOKUP(M1057,[2]character_tribe_i18n!$A:$F,4,FALSE)</f>
        <v>1</v>
      </c>
      <c r="P1057" s="97">
        <f ca="1">VLOOKUP(M1057,[2]character_tribe_i18n!$A:$F,5,FALSE)</f>
        <v>1</v>
      </c>
      <c r="Q1057" s="97">
        <f ca="1">VLOOKUP(M1057,[2]character_tribe_i18n!$A:$F,6,FALSE)</f>
        <v>1</v>
      </c>
      <c r="R1057" s="98" t="s">
        <v>98</v>
      </c>
      <c r="S1057" s="97">
        <f>VLOOKUP($R1057,ラベル別係数!$A$1:$E$7,3,FALSE)</f>
        <v>5</v>
      </c>
      <c r="T1057" s="97">
        <f>VLOOKUP($R1057,ラベル別係数!$A$1:$E$7,4,FALSE)</f>
        <v>1.3</v>
      </c>
      <c r="U1057" s="97">
        <f>VLOOKUP($R1057,ラベル別係数!$A$1:$E$7,5,FALSE)</f>
        <v>0.8</v>
      </c>
      <c r="V1057" s="98">
        <v>3</v>
      </c>
      <c r="W1057" s="99">
        <f>VLOOKUP(V1057,ターン数別攻撃係数!$A$1:$B$1000,2,FALSE)</f>
        <v>1</v>
      </c>
      <c r="X1057" s="100">
        <v>30</v>
      </c>
      <c r="Y1057" s="102">
        <v>1.7</v>
      </c>
      <c r="Z1057" s="102">
        <v>1.4</v>
      </c>
      <c r="AA1057" s="102">
        <v>1</v>
      </c>
      <c r="AB1057" s="10">
        <v>0</v>
      </c>
      <c r="AC1057" s="6" t="str">
        <f ca="1">VLOOKUP($AB1057,OFFSET([3]enemy_skill_sets!$B$2,0,0,COUNTA([3]enemy_skill_sets!$A:$A),MATCH(AC$1,[3]enemy_skill_sets!$1:$1,0)-MATCH($AB$1,[3]enemy_skill_sets!$1:$1,0)+1),MATCH(AC$1,[3]enemy_skill_sets!$1:$1,0)-MATCH($AB$1,[3]enemy_skill_sets!$1:$1,0)+1,FALSE)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7" s="67">
        <v>1</v>
      </c>
      <c r="AE1057" s="67">
        <v>1</v>
      </c>
      <c r="AF1057" s="68">
        <v>0</v>
      </c>
      <c r="AG1057" s="99">
        <f ca="1">ROUND(VLOOKUP(1,enemy_base_stats!$A:$F,2,FALSE) * Y1057* J1057*O1057*E1057*S1057*AD1057*[2]ステータス!$B$2,0)</f>
        <v>4335</v>
      </c>
      <c r="AH1057" s="99">
        <f ca="1">ROUND(VLOOKUP(1,enemy_base_stats!$A:$F,3,FALSE) * Z1057*K1057*P1057*F1057*T1057*AE1057 * W1057*[2]ステータス!$C$2,0)</f>
        <v>356</v>
      </c>
      <c r="AI1057" s="99">
        <f ca="1">ROUND(VLOOKUP(1,enemy_base_stats!$A:$F,4,FALSE) * AA1057*L1057*Q1057*G1057*U1057*AF1057*[2]ステータス!$D$2,0)</f>
        <v>0</v>
      </c>
      <c r="AJ1057" s="99">
        <f ca="1">ROUND(VLOOKUP(100,enemy_base_stats!$A:$F,2,FALSE) * Y1057* J1057*O1057*E1057*S1057*AD1057*[2]ステータス!$B$2,0)</f>
        <v>176001</v>
      </c>
      <c r="AK1057" s="99">
        <f ca="1">ROUND(VLOOKUP(100,enemy_base_stats!$A:$F,3,FALSE)* Z1057* K1057*P1057*F1057*T1057*AE1057 * W1057*[2]ステータス!$C$2,0)</f>
        <v>14447</v>
      </c>
      <c r="AL1057" s="99">
        <f ca="1">ROUND(VLOOKUP(100,enemy_base_stats!$A:$F,4,FALSE)* AA1057* L1057*Q1057*G1057*U1057*AF1057*[2]ステータス!$D$2,0)</f>
        <v>0</v>
      </c>
      <c r="AM1057" s="97">
        <f ca="1">VLOOKUP(M1057,[2]character_tribe_i18n!$A:$I,9,FALSE)</f>
        <v>400</v>
      </c>
      <c r="AN1057" s="97">
        <v>0</v>
      </c>
      <c r="AO1057" s="98">
        <v>0</v>
      </c>
      <c r="AP1057" s="58" t="s">
        <v>72</v>
      </c>
      <c r="AQ1057" s="34">
        <f t="shared" ca="1" si="58"/>
        <v>1056</v>
      </c>
    </row>
    <row r="1058" spans="1:43" ht="21" customHeight="1" x14ac:dyDescent="0.15">
      <c r="A1058" s="7">
        <f t="shared" ca="1" si="57"/>
        <v>1057</v>
      </c>
      <c r="B1058" s="6" t="str">
        <f ca="1">VLOOKUP(A1058,[2]characters!$A:$C,3,FALSE)</f>
        <v>疑愛の永遠公爵 フォルネウス</v>
      </c>
      <c r="C1058" s="9">
        <f ca="1">VLOOKUP(A1058,[2]characters!$A:$I,9,FALSE)</f>
        <v>6</v>
      </c>
      <c r="D1058" s="9" t="str">
        <f ca="1">VLOOKUP(A1058,[2]characters!$A:$H,8,FALSE)</f>
        <v>blue</v>
      </c>
      <c r="E1058" s="97">
        <f ca="1">VLOOKUP(D1058,[2]属性!$A:$E,2,FALSE)</f>
        <v>1</v>
      </c>
      <c r="F1058" s="97">
        <f ca="1">VLOOKUP(D1058,[2]属性!$A:$E,3,FALSE)</f>
        <v>0.98</v>
      </c>
      <c r="G1058" s="97">
        <f ca="1">VLOOKUP(D1058,[2]属性!$A:$F,4,FALSE)</f>
        <v>1</v>
      </c>
      <c r="H1058" s="9" t="str">
        <f ca="1">VLOOKUP(A1058,[2]characters!$A:$K,11,FALSE)</f>
        <v>attack</v>
      </c>
      <c r="I1058" s="6" t="str">
        <f ca="1">VLOOKUP(H1058,[2]character_type_i18n!$A:$F,3,FALSE)</f>
        <v>攻撃タイプ</v>
      </c>
      <c r="J1058" s="97">
        <f ca="1">VLOOKUP(H1058,[2]character_type_i18n!$A:$F,4,FALSE)</f>
        <v>1</v>
      </c>
      <c r="K1058" s="97">
        <f ca="1">VLOOKUP(H1058,[2]character_type_i18n!$A:$F,5,FALSE)</f>
        <v>1.33</v>
      </c>
      <c r="L1058" s="97">
        <f ca="1">VLOOKUP(H1058,[2]character_type_i18n!$A:$F,6,FALSE)</f>
        <v>1</v>
      </c>
      <c r="M1058" s="9" t="str">
        <f ca="1">VLOOKUP(A1058,[2]characters!$A:$M,13,FALSE)</f>
        <v>demon</v>
      </c>
      <c r="N1058" s="6" t="str">
        <f ca="1">VLOOKUP(M1058,[2]character_tribe_i18n!$A:$F,3,FALSE)</f>
        <v>デーモン</v>
      </c>
      <c r="O1058" s="97">
        <f ca="1">VLOOKUP(M1058,[2]character_tribe_i18n!$A:$F,4,FALSE)</f>
        <v>1</v>
      </c>
      <c r="P1058" s="97">
        <f ca="1">VLOOKUP(M1058,[2]character_tribe_i18n!$A:$F,5,FALSE)</f>
        <v>1</v>
      </c>
      <c r="Q1058" s="97">
        <f ca="1">VLOOKUP(M1058,[2]character_tribe_i18n!$A:$F,6,FALSE)</f>
        <v>1</v>
      </c>
      <c r="R1058" s="98" t="s">
        <v>98</v>
      </c>
      <c r="S1058" s="97">
        <f>VLOOKUP($R1058,ラベル別係数!$A$1:$E$7,3,FALSE)</f>
        <v>5</v>
      </c>
      <c r="T1058" s="97">
        <f>VLOOKUP($R1058,ラベル別係数!$A$1:$E$7,4,FALSE)</f>
        <v>1.3</v>
      </c>
      <c r="U1058" s="97">
        <f>VLOOKUP($R1058,ラベル別係数!$A$1:$E$7,5,FALSE)</f>
        <v>0.8</v>
      </c>
      <c r="V1058" s="98">
        <v>3</v>
      </c>
      <c r="W1058" s="99">
        <f>VLOOKUP(V1058,ターン数別攻撃係数!$A$1:$B$1000,2,FALSE)</f>
        <v>1</v>
      </c>
      <c r="X1058" s="9">
        <f ca="1">VLOOKUP(C1058,サイズ別係数!A$2:B$9,2,FALSE)</f>
        <v>60</v>
      </c>
      <c r="Y1058" s="97">
        <f ca="1">VLOOKUP($X1058,サイズ別係数!$B:$E,2,FALSE)</f>
        <v>1.7</v>
      </c>
      <c r="Z1058" s="97">
        <f ca="1">VLOOKUP($X1058,サイズ別係数!$B:$E,3,FALSE)</f>
        <v>1.4</v>
      </c>
      <c r="AA1058" s="97">
        <f ca="1">VLOOKUP($X1058,サイズ別係数!$B:$E,4,FALSE)</f>
        <v>1</v>
      </c>
      <c r="AB1058" s="10">
        <v>0</v>
      </c>
      <c r="AC1058" s="6" t="str">
        <f ca="1">VLOOKUP($AB1058,OFFSET([3]enemy_skill_sets!$B$2,0,0,COUNTA([3]enemy_skill_sets!$A:$A),MATCH(AC$1,[3]enemy_skill_sets!$1:$1,0)-MATCH($AB$1,[3]enemy_skill_sets!$1:$1,0)+1),MATCH(AC$1,[3]enemy_skill_sets!$1:$1,0)-MATCH($AB$1,[3]enemy_skill_sets!$1:$1,0)+1,FALSE)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8" s="67">
        <v>1</v>
      </c>
      <c r="AE1058" s="67">
        <v>1</v>
      </c>
      <c r="AF1058" s="68">
        <v>0</v>
      </c>
      <c r="AG1058" s="99">
        <f ca="1">ROUND(VLOOKUP(1,enemy_base_stats!$A:$F,2,FALSE) * Y1058* J1058*O1058*E1058*S1058*AD1058*[2]ステータス!$B$2,0)</f>
        <v>4250</v>
      </c>
      <c r="AH1058" s="99">
        <f ca="1">ROUND(VLOOKUP(1,enemy_base_stats!$A:$F,3,FALSE) * Z1058*K1058*P1058*F1058*T1058*AE1058 * W1058*[2]ステータス!$C$2,0)</f>
        <v>356</v>
      </c>
      <c r="AI1058" s="99">
        <f ca="1">ROUND(VLOOKUP(1,enemy_base_stats!$A:$F,4,FALSE) * AA1058*L1058*Q1058*G1058*U1058*AF1058*[2]ステータス!$D$2,0)</f>
        <v>0</v>
      </c>
      <c r="AJ1058" s="99">
        <f ca="1">ROUND(VLOOKUP(100,enemy_base_stats!$A:$F,2,FALSE) * Y1058* J1058*O1058*E1058*S1058*AD1058*[2]ステータス!$B$2,0)</f>
        <v>172550</v>
      </c>
      <c r="AK1058" s="99">
        <f ca="1">ROUND(VLOOKUP(100,enemy_base_stats!$A:$F,3,FALSE)* Z1058* K1058*P1058*F1058*T1058*AE1058 * W1058*[2]ステータス!$C$2,0)</f>
        <v>14447</v>
      </c>
      <c r="AL1058" s="99">
        <f ca="1">ROUND(VLOOKUP(100,enemy_base_stats!$A:$F,4,FALSE)* AA1058* L1058*Q1058*G1058*U1058*AF1058*[2]ステータス!$D$2,0)</f>
        <v>0</v>
      </c>
      <c r="AM1058" s="97">
        <f ca="1">VLOOKUP(M1058,[2]character_tribe_i18n!$A:$I,9,FALSE)</f>
        <v>400</v>
      </c>
      <c r="AN1058" s="97">
        <v>0</v>
      </c>
      <c r="AO1058" s="98">
        <v>0</v>
      </c>
      <c r="AP1058" s="58" t="s">
        <v>72</v>
      </c>
      <c r="AQ1058" s="34">
        <f t="shared" ca="1" si="58"/>
        <v>1057</v>
      </c>
    </row>
    <row r="1059" spans="1:43" ht="21" customHeight="1" x14ac:dyDescent="0.15">
      <c r="A1059" s="7">
        <f t="shared" ca="1" si="57"/>
        <v>1058</v>
      </c>
      <c r="B1059" s="6" t="str">
        <f ca="1">VLOOKUP(A1059,[2]characters!$A:$C,3,FALSE)</f>
        <v>黄泉守誘の命神母 イザナミ</v>
      </c>
      <c r="C1059" s="9">
        <f ca="1">VLOOKUP(A1059,[2]characters!$A:$I,9,FALSE)</f>
        <v>6</v>
      </c>
      <c r="D1059" s="9" t="str">
        <f ca="1">VLOOKUP(A1059,[2]characters!$A:$H,8,FALSE)</f>
        <v>yellow</v>
      </c>
      <c r="E1059" s="97">
        <f ca="1">VLOOKUP(D1059,[2]属性!$A:$E,2,FALSE)</f>
        <v>0.98</v>
      </c>
      <c r="F1059" s="97">
        <f ca="1">VLOOKUP(D1059,[2]属性!$A:$E,3,FALSE)</f>
        <v>1.01</v>
      </c>
      <c r="G1059" s="97">
        <f ca="1">VLOOKUP(D1059,[2]属性!$A:$F,4,FALSE)</f>
        <v>1</v>
      </c>
      <c r="H1059" s="9" t="str">
        <f ca="1">VLOOKUP(A1059,[2]characters!$A:$K,11,FALSE)</f>
        <v>attack</v>
      </c>
      <c r="I1059" s="6" t="str">
        <f ca="1">VLOOKUP(H1059,[2]character_type_i18n!$A:$F,3,FALSE)</f>
        <v>攻撃タイプ</v>
      </c>
      <c r="J1059" s="97">
        <f ca="1">VLOOKUP(H1059,[2]character_type_i18n!$A:$F,4,FALSE)</f>
        <v>1</v>
      </c>
      <c r="K1059" s="97">
        <f ca="1">VLOOKUP(H1059,[2]character_type_i18n!$A:$F,5,FALSE)</f>
        <v>1.33</v>
      </c>
      <c r="L1059" s="97">
        <f ca="1">VLOOKUP(H1059,[2]character_type_i18n!$A:$F,6,FALSE)</f>
        <v>1</v>
      </c>
      <c r="M1059" s="9" t="str">
        <f ca="1">VLOOKUP(A1059,[2]characters!$A:$M,13,FALSE)</f>
        <v>god</v>
      </c>
      <c r="N1059" s="6" t="str">
        <f ca="1">VLOOKUP(M1059,[2]character_tribe_i18n!$A:$F,3,FALSE)</f>
        <v>ゴッド</v>
      </c>
      <c r="O1059" s="97">
        <f ca="1">VLOOKUP(M1059,[2]character_tribe_i18n!$A:$F,4,FALSE)</f>
        <v>0.96</v>
      </c>
      <c r="P1059" s="97">
        <f ca="1">VLOOKUP(M1059,[2]character_tribe_i18n!$A:$F,5,FALSE)</f>
        <v>1.02</v>
      </c>
      <c r="Q1059" s="97">
        <f ca="1">VLOOKUP(M1059,[2]character_tribe_i18n!$A:$F,6,FALSE)</f>
        <v>1</v>
      </c>
      <c r="R1059" s="98" t="s">
        <v>98</v>
      </c>
      <c r="S1059" s="97">
        <f>VLOOKUP($R1059,ラベル別係数!$A$1:$E$7,3,FALSE)</f>
        <v>5</v>
      </c>
      <c r="T1059" s="97">
        <f>VLOOKUP($R1059,ラベル別係数!$A$1:$E$7,4,FALSE)</f>
        <v>1.3</v>
      </c>
      <c r="U1059" s="97">
        <f>VLOOKUP($R1059,ラベル別係数!$A$1:$E$7,5,FALSE)</f>
        <v>0.8</v>
      </c>
      <c r="V1059" s="98">
        <v>3</v>
      </c>
      <c r="W1059" s="99">
        <f>VLOOKUP(V1059,ターン数別攻撃係数!$A$1:$B$1000,2,FALSE)</f>
        <v>1</v>
      </c>
      <c r="X1059" s="9">
        <f ca="1">VLOOKUP(C1059,サイズ別係数!A$2:B$9,2,FALSE)</f>
        <v>60</v>
      </c>
      <c r="Y1059" s="97">
        <f ca="1">VLOOKUP($X1059,サイズ別係数!$B:$E,2,FALSE)</f>
        <v>1.7</v>
      </c>
      <c r="Z1059" s="97">
        <f ca="1">VLOOKUP($X1059,サイズ別係数!$B:$E,3,FALSE)</f>
        <v>1.4</v>
      </c>
      <c r="AA1059" s="97">
        <f ca="1">VLOOKUP($X1059,サイズ別係数!$B:$E,4,FALSE)</f>
        <v>1</v>
      </c>
      <c r="AB1059" s="10">
        <v>0</v>
      </c>
      <c r="AC1059" s="6" t="str">
        <f ca="1">VLOOKUP($AB1059,OFFSET([3]enemy_skill_sets!$B$2,0,0,COUNTA([3]enemy_skill_sets!$A:$A),MATCH(AC$1,[3]enemy_skill_sets!$1:$1,0)-MATCH($AB$1,[3]enemy_skill_sets!$1:$1,0)+1),MATCH(AC$1,[3]enemy_skill_sets!$1:$1,0)-MATCH($AB$1,[3]enemy_skill_sets!$1:$1,0)+1,FALSE)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59" s="67">
        <v>1</v>
      </c>
      <c r="AE1059" s="67">
        <v>1</v>
      </c>
      <c r="AF1059" s="68">
        <v>0</v>
      </c>
      <c r="AG1059" s="99">
        <f ca="1">ROUND(VLOOKUP(1,enemy_base_stats!$A:$F,2,FALSE) * Y1059* J1059*O1059*E1059*S1059*AD1059*[2]ステータス!$B$2,0)</f>
        <v>3998</v>
      </c>
      <c r="AH1059" s="99">
        <f ca="1">ROUND(VLOOKUP(1,enemy_base_stats!$A:$F,3,FALSE) * Z1059*K1059*P1059*F1059*T1059*AE1059 * W1059*[2]ステータス!$C$2,0)</f>
        <v>374</v>
      </c>
      <c r="AI1059" s="99">
        <f ca="1">ROUND(VLOOKUP(1,enemy_base_stats!$A:$F,4,FALSE) * AA1059*L1059*Q1059*G1059*U1059*AF1059*[2]ステータス!$D$2,0)</f>
        <v>0</v>
      </c>
      <c r="AJ1059" s="99">
        <f ca="1">ROUND(VLOOKUP(100,enemy_base_stats!$A:$F,2,FALSE) * Y1059* J1059*O1059*E1059*S1059*AD1059*[2]ステータス!$B$2,0)</f>
        <v>162335</v>
      </c>
      <c r="AK1059" s="99">
        <f ca="1">ROUND(VLOOKUP(100,enemy_base_stats!$A:$F,3,FALSE)* Z1059* K1059*P1059*F1059*T1059*AE1059 * W1059*[2]ステータス!$C$2,0)</f>
        <v>15187</v>
      </c>
      <c r="AL1059" s="99">
        <f ca="1">ROUND(VLOOKUP(100,enemy_base_stats!$A:$F,4,FALSE)* AA1059* L1059*Q1059*G1059*U1059*AF1059*[2]ステータス!$D$2,0)</f>
        <v>0</v>
      </c>
      <c r="AM1059" s="97">
        <f ca="1">VLOOKUP(M1059,[2]character_tribe_i18n!$A:$I,9,FALSE)</f>
        <v>680</v>
      </c>
      <c r="AN1059" s="97">
        <v>0</v>
      </c>
      <c r="AO1059" s="98">
        <v>0</v>
      </c>
      <c r="AP1059" s="58" t="s">
        <v>72</v>
      </c>
      <c r="AQ1059" s="34">
        <f t="shared" ca="1" si="58"/>
        <v>1058</v>
      </c>
    </row>
    <row r="1060" spans="1:43" ht="21" customHeight="1" x14ac:dyDescent="0.15">
      <c r="A1060" s="7">
        <f t="shared" ca="1" si="57"/>
        <v>1059</v>
      </c>
      <c r="B1060" s="6" t="str">
        <f ca="1">VLOOKUP(A1060,[2]characters!$A:$C,3,FALSE)</f>
        <v>パズズ</v>
      </c>
      <c r="C1060" s="9">
        <f ca="1">VLOOKUP(A1060,[2]characters!$A:$I,9,FALSE)</f>
        <v>4</v>
      </c>
      <c r="D1060" s="9" t="str">
        <f ca="1">VLOOKUP(A1060,[2]characters!$A:$H,8,FALSE)</f>
        <v>green</v>
      </c>
      <c r="E1060" s="97">
        <f ca="1">VLOOKUP(D1060,[2]属性!$A:$E,2,FALSE)</f>
        <v>1.02</v>
      </c>
      <c r="F1060" s="97">
        <f ca="1">VLOOKUP(D1060,[2]属性!$A:$E,3,FALSE)</f>
        <v>0.98</v>
      </c>
      <c r="G1060" s="97">
        <f ca="1">VLOOKUP(D1060,[2]属性!$A:$F,4,FALSE)</f>
        <v>1</v>
      </c>
      <c r="H1060" s="9" t="str">
        <f ca="1">VLOOKUP(A1060,[2]characters!$A:$K,11,FALSE)</f>
        <v>balance</v>
      </c>
      <c r="I1060" s="6" t="str">
        <f ca="1">VLOOKUP(H1060,[2]character_type_i18n!$A:$F,3,FALSE)</f>
        <v>バランスタイプ</v>
      </c>
      <c r="J1060" s="97">
        <f ca="1">VLOOKUP(H1060,[2]character_type_i18n!$A:$F,4,FALSE)</f>
        <v>1</v>
      </c>
      <c r="K1060" s="97">
        <f ca="1">VLOOKUP(H1060,[2]character_type_i18n!$A:$F,5,FALSE)</f>
        <v>1</v>
      </c>
      <c r="L1060" s="97">
        <f ca="1">VLOOKUP(H1060,[2]character_type_i18n!$A:$F,6,FALSE)</f>
        <v>1</v>
      </c>
      <c r="M1060" s="9" t="str">
        <f ca="1">VLOOKUP(A1060,[2]characters!$A:$M,13,FALSE)</f>
        <v>god</v>
      </c>
      <c r="N1060" s="6" t="str">
        <f ca="1">VLOOKUP(M1060,[2]character_tribe_i18n!$A:$F,3,FALSE)</f>
        <v>ゴッド</v>
      </c>
      <c r="O1060" s="97">
        <f ca="1">VLOOKUP(M1060,[2]character_tribe_i18n!$A:$F,4,FALSE)</f>
        <v>0.96</v>
      </c>
      <c r="P1060" s="97">
        <f ca="1">VLOOKUP(M1060,[2]character_tribe_i18n!$A:$F,5,FALSE)</f>
        <v>1.02</v>
      </c>
      <c r="Q1060" s="97">
        <f ca="1">VLOOKUP(M1060,[2]character_tribe_i18n!$A:$F,6,FALSE)</f>
        <v>1</v>
      </c>
      <c r="R1060" s="98" t="s">
        <v>98</v>
      </c>
      <c r="S1060" s="97">
        <f>VLOOKUP($R1060,ラベル別係数!$A$1:$E$7,3,FALSE)</f>
        <v>5</v>
      </c>
      <c r="T1060" s="97">
        <f>VLOOKUP($R1060,ラベル別係数!$A$1:$E$7,4,FALSE)</f>
        <v>1.3</v>
      </c>
      <c r="U1060" s="97">
        <f>VLOOKUP($R1060,ラベル別係数!$A$1:$E$7,5,FALSE)</f>
        <v>0.8</v>
      </c>
      <c r="V1060" s="98">
        <v>3</v>
      </c>
      <c r="W1060" s="99">
        <f>VLOOKUP(V1060,ターン数別攻撃係数!$A$1:$B$1000,2,FALSE)</f>
        <v>1</v>
      </c>
      <c r="X1060" s="9">
        <f ca="1">VLOOKUP(C1060,サイズ別係数!A$2:B$9,2,FALSE)</f>
        <v>30</v>
      </c>
      <c r="Y1060" s="97">
        <f ca="1">VLOOKUP($X1060,サイズ別係数!$B:$E,2,FALSE)</f>
        <v>1.3</v>
      </c>
      <c r="Z1060" s="97">
        <f ca="1">VLOOKUP($X1060,サイズ別係数!$B:$E,3,FALSE)</f>
        <v>1.3</v>
      </c>
      <c r="AA1060" s="97">
        <f ca="1">VLOOKUP($X1060,サイズ別係数!$B:$E,4,FALSE)</f>
        <v>1.1000000000000001</v>
      </c>
      <c r="AB1060" s="10">
        <v>0</v>
      </c>
      <c r="AC1060" s="6" t="str">
        <f ca="1">VLOOKUP($AB1060,OFFSET([3]enemy_skill_sets!$B$2,0,0,COUNTA([3]enemy_skill_sets!$A:$A),MATCH(AC$1,[3]enemy_skill_sets!$1:$1,0)-MATCH($AB$1,[3]enemy_skill_sets!$1:$1,0)+1),MATCH(AC$1,[3]enemy_skill_sets!$1:$1,0)-MATCH($AB$1,[3]enemy_skill_sets!$1:$1,0)+1,FALSE)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0" s="67">
        <v>1</v>
      </c>
      <c r="AE1060" s="67">
        <v>1</v>
      </c>
      <c r="AF1060" s="68">
        <v>0</v>
      </c>
      <c r="AG1060" s="99">
        <f ca="1">ROUND(VLOOKUP(1,enemy_base_stats!$A:$F,2,FALSE) * Y1060* J1060*O1060*E1060*S1060*AD1060*[2]ステータス!$B$2,0)</f>
        <v>3182</v>
      </c>
      <c r="AH1060" s="99">
        <f ca="1">ROUND(VLOOKUP(1,enemy_base_stats!$A:$F,3,FALSE) * Z1060*K1060*P1060*F1060*T1060*AE1060 * W1060*[2]ステータス!$C$2,0)</f>
        <v>253</v>
      </c>
      <c r="AI1060" s="99">
        <f ca="1">ROUND(VLOOKUP(1,enemy_base_stats!$A:$F,4,FALSE) * AA1060*L1060*Q1060*G1060*U1060*AF1060*[2]ステータス!$D$2,0)</f>
        <v>0</v>
      </c>
      <c r="AJ1060" s="99">
        <f ca="1">ROUND(VLOOKUP(100,enemy_base_stats!$A:$F,2,FALSE) * Y1060* J1060*O1060*E1060*S1060*AD1060*[2]ステータス!$B$2,0)</f>
        <v>129205</v>
      </c>
      <c r="AK1060" s="99">
        <f ca="1">ROUND(VLOOKUP(100,enemy_base_stats!$A:$F,3,FALSE)* Z1060* K1060*P1060*F1060*T1060*AE1060 * W1060*[2]ステータス!$C$2,0)</f>
        <v>10288</v>
      </c>
      <c r="AL1060" s="99">
        <f ca="1">ROUND(VLOOKUP(100,enemy_base_stats!$A:$F,4,FALSE)* AA1060* L1060*Q1060*G1060*U1060*AF1060*[2]ステータス!$D$2,0)</f>
        <v>0</v>
      </c>
      <c r="AM1060" s="97">
        <f ca="1">VLOOKUP(M1060,[2]character_tribe_i18n!$A:$I,9,FALSE)</f>
        <v>680</v>
      </c>
      <c r="AN1060" s="97">
        <v>0</v>
      </c>
      <c r="AO1060" s="98">
        <v>0</v>
      </c>
      <c r="AP1060" s="58" t="s">
        <v>72</v>
      </c>
      <c r="AQ1060" s="34">
        <f t="shared" ref="AQ1060:AQ1079" ca="1" si="59">A1060</f>
        <v>1059</v>
      </c>
    </row>
    <row r="1061" spans="1:43" ht="21" customHeight="1" x14ac:dyDescent="0.15">
      <c r="A1061" s="7">
        <f t="shared" ca="1" si="57"/>
        <v>1060</v>
      </c>
      <c r="B1061" s="6" t="str">
        <f ca="1">VLOOKUP(A1061,[2]characters!$A:$C,3,FALSE)</f>
        <v>熱扇風の幼魔 パズズ</v>
      </c>
      <c r="C1061" s="9">
        <f ca="1">VLOOKUP(A1061,[2]characters!$A:$I,9,FALSE)</f>
        <v>5</v>
      </c>
      <c r="D1061" s="9" t="str">
        <f ca="1">VLOOKUP(A1061,[2]characters!$A:$H,8,FALSE)</f>
        <v>green</v>
      </c>
      <c r="E1061" s="97">
        <f ca="1">VLOOKUP(D1061,[2]属性!$A:$E,2,FALSE)</f>
        <v>1.02</v>
      </c>
      <c r="F1061" s="97">
        <f ca="1">VLOOKUP(D1061,[2]属性!$A:$E,3,FALSE)</f>
        <v>0.98</v>
      </c>
      <c r="G1061" s="97">
        <f ca="1">VLOOKUP(D1061,[2]属性!$A:$F,4,FALSE)</f>
        <v>1</v>
      </c>
      <c r="H1061" s="9" t="str">
        <f ca="1">VLOOKUP(A1061,[2]characters!$A:$K,11,FALSE)</f>
        <v>balance</v>
      </c>
      <c r="I1061" s="6" t="str">
        <f ca="1">VLOOKUP(H1061,[2]character_type_i18n!$A:$F,3,FALSE)</f>
        <v>バランスタイプ</v>
      </c>
      <c r="J1061" s="97">
        <f ca="1">VLOOKUP(H1061,[2]character_type_i18n!$A:$F,4,FALSE)</f>
        <v>1</v>
      </c>
      <c r="K1061" s="97">
        <f ca="1">VLOOKUP(H1061,[2]character_type_i18n!$A:$F,5,FALSE)</f>
        <v>1</v>
      </c>
      <c r="L1061" s="97">
        <f ca="1">VLOOKUP(H1061,[2]character_type_i18n!$A:$F,6,FALSE)</f>
        <v>1</v>
      </c>
      <c r="M1061" s="9" t="str">
        <f ca="1">VLOOKUP(A1061,[2]characters!$A:$M,13,FALSE)</f>
        <v>god</v>
      </c>
      <c r="N1061" s="6" t="str">
        <f ca="1">VLOOKUP(M1061,[2]character_tribe_i18n!$A:$F,3,FALSE)</f>
        <v>ゴッド</v>
      </c>
      <c r="O1061" s="97">
        <f ca="1">VLOOKUP(M1061,[2]character_tribe_i18n!$A:$F,4,FALSE)</f>
        <v>0.96</v>
      </c>
      <c r="P1061" s="97">
        <f ca="1">VLOOKUP(M1061,[2]character_tribe_i18n!$A:$F,5,FALSE)</f>
        <v>1.02</v>
      </c>
      <c r="Q1061" s="97">
        <f ca="1">VLOOKUP(M1061,[2]character_tribe_i18n!$A:$F,6,FALSE)</f>
        <v>1</v>
      </c>
      <c r="R1061" s="98" t="s">
        <v>98</v>
      </c>
      <c r="S1061" s="97">
        <f>VLOOKUP($R1061,ラベル別係数!$A$1:$E$7,3,FALSE)</f>
        <v>5</v>
      </c>
      <c r="T1061" s="97">
        <f>VLOOKUP($R1061,ラベル別係数!$A$1:$E$7,4,FALSE)</f>
        <v>1.3</v>
      </c>
      <c r="U1061" s="97">
        <f>VLOOKUP($R1061,ラベル別係数!$A$1:$E$7,5,FALSE)</f>
        <v>0.8</v>
      </c>
      <c r="V1061" s="98">
        <v>3</v>
      </c>
      <c r="W1061" s="99">
        <f>VLOOKUP(V1061,ターン数別攻撃係数!$A$1:$B$1000,2,FALSE)</f>
        <v>1</v>
      </c>
      <c r="X1061" s="9">
        <f ca="1">VLOOKUP(C1061,サイズ別係数!A$2:B$9,2,FALSE)</f>
        <v>60</v>
      </c>
      <c r="Y1061" s="97">
        <f ca="1">VLOOKUP($X1061,サイズ別係数!$B:$E,2,FALSE)</f>
        <v>1.7</v>
      </c>
      <c r="Z1061" s="97">
        <f ca="1">VLOOKUP($X1061,サイズ別係数!$B:$E,3,FALSE)</f>
        <v>1.4</v>
      </c>
      <c r="AA1061" s="97">
        <f ca="1">VLOOKUP($X1061,サイズ別係数!$B:$E,4,FALSE)</f>
        <v>1</v>
      </c>
      <c r="AB1061" s="10">
        <v>0</v>
      </c>
      <c r="AC1061" s="6" t="str">
        <f ca="1">VLOOKUP($AB1061,OFFSET([3]enemy_skill_sets!$B$2,0,0,COUNTA([3]enemy_skill_sets!$A:$A),MATCH(AC$1,[3]enemy_skill_sets!$1:$1,0)-MATCH($AB$1,[3]enemy_skill_sets!$1:$1,0)+1),MATCH(AC$1,[3]enemy_skill_sets!$1:$1,0)-MATCH($AB$1,[3]enemy_skill_sets!$1:$1,0)+1,FALSE)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1" s="67">
        <v>1</v>
      </c>
      <c r="AE1061" s="67">
        <v>1</v>
      </c>
      <c r="AF1061" s="68">
        <v>0</v>
      </c>
      <c r="AG1061" s="99">
        <f ca="1">ROUND(VLOOKUP(1,enemy_base_stats!$A:$F,2,FALSE) * Y1061* J1061*O1061*E1061*S1061*AD1061*[2]ステータス!$B$2,0)</f>
        <v>4162</v>
      </c>
      <c r="AH1061" s="99">
        <f ca="1">ROUND(VLOOKUP(1,enemy_base_stats!$A:$F,3,FALSE) * Z1061*K1061*P1061*F1061*T1061*AE1061 * W1061*[2]ステータス!$C$2,0)</f>
        <v>273</v>
      </c>
      <c r="AI1061" s="99">
        <f ca="1">ROUND(VLOOKUP(1,enemy_base_stats!$A:$F,4,FALSE) * AA1061*L1061*Q1061*G1061*U1061*AF1061*[2]ステータス!$D$2,0)</f>
        <v>0</v>
      </c>
      <c r="AJ1061" s="99">
        <f ca="1">ROUND(VLOOKUP(100,enemy_base_stats!$A:$F,2,FALSE) * Y1061* J1061*O1061*E1061*S1061*AD1061*[2]ステータス!$B$2,0)</f>
        <v>168961</v>
      </c>
      <c r="AK1061" s="99">
        <f ca="1">ROUND(VLOOKUP(100,enemy_base_stats!$A:$F,3,FALSE)* Z1061* K1061*P1061*F1061*T1061*AE1061 * W1061*[2]ステータス!$C$2,0)</f>
        <v>11079</v>
      </c>
      <c r="AL1061" s="99">
        <f ca="1">ROUND(VLOOKUP(100,enemy_base_stats!$A:$F,4,FALSE)* AA1061* L1061*Q1061*G1061*U1061*AF1061*[2]ステータス!$D$2,0)</f>
        <v>0</v>
      </c>
      <c r="AM1061" s="97">
        <f ca="1">VLOOKUP(M1061,[2]character_tribe_i18n!$A:$I,9,FALSE)</f>
        <v>680</v>
      </c>
      <c r="AN1061" s="97">
        <v>0</v>
      </c>
      <c r="AO1061" s="98">
        <v>0</v>
      </c>
      <c r="AP1061" s="58" t="s">
        <v>72</v>
      </c>
      <c r="AQ1061" s="34">
        <f t="shared" ca="1" si="59"/>
        <v>1060</v>
      </c>
    </row>
    <row r="1062" spans="1:43" ht="21" customHeight="1" x14ac:dyDescent="0.15">
      <c r="A1062" s="7">
        <f t="shared" ca="1" si="57"/>
        <v>1061</v>
      </c>
      <c r="B1062" s="6" t="str">
        <f ca="1">VLOOKUP(A1062,[2]characters!$A:$C,3,FALSE)</f>
        <v>フンババ</v>
      </c>
      <c r="C1062" s="9">
        <f ca="1">VLOOKUP(A1062,[2]characters!$A:$I,9,FALSE)</f>
        <v>4</v>
      </c>
      <c r="D1062" s="9" t="str">
        <f ca="1">VLOOKUP(A1062,[2]characters!$A:$H,8,FALSE)</f>
        <v>yellow</v>
      </c>
      <c r="E1062" s="97">
        <f ca="1">VLOOKUP(D1062,[2]属性!$A:$E,2,FALSE)</f>
        <v>0.98</v>
      </c>
      <c r="F1062" s="97">
        <f ca="1">VLOOKUP(D1062,[2]属性!$A:$E,3,FALSE)</f>
        <v>1.01</v>
      </c>
      <c r="G1062" s="97">
        <f ca="1">VLOOKUP(D1062,[2]属性!$A:$F,4,FALSE)</f>
        <v>1</v>
      </c>
      <c r="H1062" s="9" t="str">
        <f ca="1">VLOOKUP(A1062,[2]characters!$A:$K,11,FALSE)</f>
        <v>hp</v>
      </c>
      <c r="I1062" s="6" t="str">
        <f ca="1">VLOOKUP(H1062,[2]character_type_i18n!$A:$F,3,FALSE)</f>
        <v>体力タイプ</v>
      </c>
      <c r="J1062" s="97">
        <f ca="1">VLOOKUP(H1062,[2]character_type_i18n!$A:$F,4,FALSE)</f>
        <v>1.45</v>
      </c>
      <c r="K1062" s="97">
        <f ca="1">VLOOKUP(H1062,[2]character_type_i18n!$A:$F,5,FALSE)</f>
        <v>0.85</v>
      </c>
      <c r="L1062" s="97">
        <f ca="1">VLOOKUP(H1062,[2]character_type_i18n!$A:$F,6,FALSE)</f>
        <v>1</v>
      </c>
      <c r="M1062" s="9" t="str">
        <f ca="1">VLOOKUP(A1062,[2]characters!$A:$M,13,FALSE)</f>
        <v>animal</v>
      </c>
      <c r="N1062" s="6" t="str">
        <f ca="1">VLOOKUP(M1062,[2]character_tribe_i18n!$A:$F,3,FALSE)</f>
        <v>アニマル</v>
      </c>
      <c r="O1062" s="97">
        <f ca="1">VLOOKUP(M1062,[2]character_tribe_i18n!$A:$F,4,FALSE)</f>
        <v>1</v>
      </c>
      <c r="P1062" s="97">
        <f ca="1">VLOOKUP(M1062,[2]character_tribe_i18n!$A:$F,5,FALSE)</f>
        <v>1.1000000000000001</v>
      </c>
      <c r="Q1062" s="97">
        <f ca="1">VLOOKUP(M1062,[2]character_tribe_i18n!$A:$F,6,FALSE)</f>
        <v>1</v>
      </c>
      <c r="R1062" s="98" t="s">
        <v>98</v>
      </c>
      <c r="S1062" s="97">
        <f>VLOOKUP($R1062,ラベル別係数!$A$1:$E$7,3,FALSE)</f>
        <v>5</v>
      </c>
      <c r="T1062" s="97">
        <f>VLOOKUP($R1062,ラベル別係数!$A$1:$E$7,4,FALSE)</f>
        <v>1.3</v>
      </c>
      <c r="U1062" s="97">
        <f>VLOOKUP($R1062,ラベル別係数!$A$1:$E$7,5,FALSE)</f>
        <v>0.8</v>
      </c>
      <c r="V1062" s="98">
        <v>3</v>
      </c>
      <c r="W1062" s="99">
        <f>VLOOKUP(V1062,ターン数別攻撃係数!$A$1:$B$1000,2,FALSE)</f>
        <v>1</v>
      </c>
      <c r="X1062" s="9">
        <f ca="1">VLOOKUP(C1062,サイズ別係数!A$2:B$9,2,FALSE)</f>
        <v>30</v>
      </c>
      <c r="Y1062" s="97">
        <f ca="1">VLOOKUP($X1062,サイズ別係数!$B:$E,2,FALSE)</f>
        <v>1.3</v>
      </c>
      <c r="Z1062" s="97">
        <f ca="1">VLOOKUP($X1062,サイズ別係数!$B:$E,3,FALSE)</f>
        <v>1.3</v>
      </c>
      <c r="AA1062" s="97">
        <f ca="1">VLOOKUP($X1062,サイズ別係数!$B:$E,4,FALSE)</f>
        <v>1.1000000000000001</v>
      </c>
      <c r="AB1062" s="10">
        <v>0</v>
      </c>
      <c r="AC1062" s="6" t="str">
        <f ca="1">VLOOKUP($AB1062,OFFSET([3]enemy_skill_sets!$B$2,0,0,COUNTA([3]enemy_skill_sets!$A:$A),MATCH(AC$1,[3]enemy_skill_sets!$1:$1,0)-MATCH($AB$1,[3]enemy_skill_sets!$1:$1,0)+1),MATCH(AC$1,[3]enemy_skill_sets!$1:$1,0)-MATCH($AB$1,[3]enemy_skill_sets!$1:$1,0)+1,FALSE)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2" s="67">
        <v>1</v>
      </c>
      <c r="AE1062" s="67">
        <v>1</v>
      </c>
      <c r="AF1062" s="68">
        <v>0</v>
      </c>
      <c r="AG1062" s="99">
        <f ca="1">ROUND(VLOOKUP(1,enemy_base_stats!$A:$F,2,FALSE) * Y1062* J1062*O1062*E1062*S1062*AD1062*[2]ステータス!$B$2,0)</f>
        <v>4618</v>
      </c>
      <c r="AH1062" s="99">
        <f ca="1">ROUND(VLOOKUP(1,enemy_base_stats!$A:$F,3,FALSE) * Z1062*K1062*P1062*F1062*T1062*AE1062 * W1062*[2]ステータス!$C$2,0)</f>
        <v>239</v>
      </c>
      <c r="AI1062" s="99">
        <f ca="1">ROUND(VLOOKUP(1,enemy_base_stats!$A:$F,4,FALSE) * AA1062*L1062*Q1062*G1062*U1062*AF1062*[2]ステータス!$D$2,0)</f>
        <v>0</v>
      </c>
      <c r="AJ1062" s="99">
        <f ca="1">ROUND(VLOOKUP(100,enemy_base_stats!$A:$F,2,FALSE) * Y1062* J1062*O1062*E1062*S1062*AD1062*[2]ステータス!$B$2,0)</f>
        <v>187501</v>
      </c>
      <c r="AK1062" s="99">
        <f ca="1">ROUND(VLOOKUP(100,enemy_base_stats!$A:$F,3,FALSE)* Z1062* K1062*P1062*F1062*T1062*AE1062 * W1062*[2]ステータス!$C$2,0)</f>
        <v>9719</v>
      </c>
      <c r="AL1062" s="99">
        <f ca="1">ROUND(VLOOKUP(100,enemy_base_stats!$A:$F,4,FALSE)* AA1062* L1062*Q1062*G1062*U1062*AF1062*[2]ステータス!$D$2,0)</f>
        <v>0</v>
      </c>
      <c r="AM1062" s="97">
        <f ca="1">VLOOKUP(M1062,[2]character_tribe_i18n!$A:$I,9,FALSE)</f>
        <v>480</v>
      </c>
      <c r="AN1062" s="97">
        <v>0</v>
      </c>
      <c r="AO1062" s="98">
        <v>0</v>
      </c>
      <c r="AP1062" s="58" t="s">
        <v>72</v>
      </c>
      <c r="AQ1062" s="34">
        <f t="shared" ca="1" si="59"/>
        <v>1061</v>
      </c>
    </row>
    <row r="1063" spans="1:43" ht="21" customHeight="1" x14ac:dyDescent="0.15">
      <c r="A1063" s="7">
        <f t="shared" ca="1" si="57"/>
        <v>1062</v>
      </c>
      <c r="B1063" s="6" t="str">
        <f ca="1">VLOOKUP(A1063,[2]characters!$A:$C,3,FALSE)</f>
        <v>停止不能の蛮躯 フンババ</v>
      </c>
      <c r="C1063" s="9">
        <f ca="1">VLOOKUP(A1063,[2]characters!$A:$I,9,FALSE)</f>
        <v>5</v>
      </c>
      <c r="D1063" s="9" t="str">
        <f ca="1">VLOOKUP(A1063,[2]characters!$A:$H,8,FALSE)</f>
        <v>yellow</v>
      </c>
      <c r="E1063" s="97">
        <f ca="1">VLOOKUP(D1063,[2]属性!$A:$E,2,FALSE)</f>
        <v>0.98</v>
      </c>
      <c r="F1063" s="97">
        <f ca="1">VLOOKUP(D1063,[2]属性!$A:$E,3,FALSE)</f>
        <v>1.01</v>
      </c>
      <c r="G1063" s="97">
        <f ca="1">VLOOKUP(D1063,[2]属性!$A:$F,4,FALSE)</f>
        <v>1</v>
      </c>
      <c r="H1063" s="9" t="str">
        <f ca="1">VLOOKUP(A1063,[2]characters!$A:$K,11,FALSE)</f>
        <v>hp</v>
      </c>
      <c r="I1063" s="6" t="str">
        <f ca="1">VLOOKUP(H1063,[2]character_type_i18n!$A:$F,3,FALSE)</f>
        <v>体力タイプ</v>
      </c>
      <c r="J1063" s="97">
        <f ca="1">VLOOKUP(H1063,[2]character_type_i18n!$A:$F,4,FALSE)</f>
        <v>1.45</v>
      </c>
      <c r="K1063" s="97">
        <f ca="1">VLOOKUP(H1063,[2]character_type_i18n!$A:$F,5,FALSE)</f>
        <v>0.85</v>
      </c>
      <c r="L1063" s="97">
        <f ca="1">VLOOKUP(H1063,[2]character_type_i18n!$A:$F,6,FALSE)</f>
        <v>1</v>
      </c>
      <c r="M1063" s="9" t="str">
        <f ca="1">VLOOKUP(A1063,[2]characters!$A:$M,13,FALSE)</f>
        <v>animal</v>
      </c>
      <c r="N1063" s="6" t="str">
        <f ca="1">VLOOKUP(M1063,[2]character_tribe_i18n!$A:$F,3,FALSE)</f>
        <v>アニマル</v>
      </c>
      <c r="O1063" s="97">
        <f ca="1">VLOOKUP(M1063,[2]character_tribe_i18n!$A:$F,4,FALSE)</f>
        <v>1</v>
      </c>
      <c r="P1063" s="97">
        <f ca="1">VLOOKUP(M1063,[2]character_tribe_i18n!$A:$F,5,FALSE)</f>
        <v>1.1000000000000001</v>
      </c>
      <c r="Q1063" s="97">
        <f ca="1">VLOOKUP(M1063,[2]character_tribe_i18n!$A:$F,6,FALSE)</f>
        <v>1</v>
      </c>
      <c r="R1063" s="98" t="s">
        <v>98</v>
      </c>
      <c r="S1063" s="97">
        <f>VLOOKUP($R1063,ラベル別係数!$A$1:$E$7,3,FALSE)</f>
        <v>5</v>
      </c>
      <c r="T1063" s="97">
        <f>VLOOKUP($R1063,ラベル別係数!$A$1:$E$7,4,FALSE)</f>
        <v>1.3</v>
      </c>
      <c r="U1063" s="97">
        <f>VLOOKUP($R1063,ラベル別係数!$A$1:$E$7,5,FALSE)</f>
        <v>0.8</v>
      </c>
      <c r="V1063" s="98">
        <v>3</v>
      </c>
      <c r="W1063" s="99">
        <f>VLOOKUP(V1063,ターン数別攻撃係数!$A$1:$B$1000,2,FALSE)</f>
        <v>1</v>
      </c>
      <c r="X1063" s="9">
        <f ca="1">VLOOKUP(C1063,サイズ別係数!A$2:B$9,2,FALSE)</f>
        <v>60</v>
      </c>
      <c r="Y1063" s="97">
        <f ca="1">VLOOKUP($X1063,サイズ別係数!$B:$E,2,FALSE)</f>
        <v>1.7</v>
      </c>
      <c r="Z1063" s="97">
        <f ca="1">VLOOKUP($X1063,サイズ別係数!$B:$E,3,FALSE)</f>
        <v>1.4</v>
      </c>
      <c r="AA1063" s="97">
        <f ca="1">VLOOKUP($X1063,サイズ別係数!$B:$E,4,FALSE)</f>
        <v>1</v>
      </c>
      <c r="AB1063" s="10">
        <v>0</v>
      </c>
      <c r="AC1063" s="6" t="str">
        <f ca="1">VLOOKUP($AB1063,OFFSET([3]enemy_skill_sets!$B$2,0,0,COUNTA([3]enemy_skill_sets!$A:$A),MATCH(AC$1,[3]enemy_skill_sets!$1:$1,0)-MATCH($AB$1,[3]enemy_skill_sets!$1:$1,0)+1),MATCH(AC$1,[3]enemy_skill_sets!$1:$1,0)-MATCH($AB$1,[3]enemy_skill_sets!$1:$1,0)+1,FALSE)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3" s="67">
        <v>1</v>
      </c>
      <c r="AE1063" s="67">
        <v>1</v>
      </c>
      <c r="AF1063" s="68">
        <v>0</v>
      </c>
      <c r="AG1063" s="99">
        <f ca="1">ROUND(VLOOKUP(1,enemy_base_stats!$A:$F,2,FALSE) * Y1063* J1063*O1063*E1063*S1063*AD1063*[2]ステータス!$B$2,0)</f>
        <v>6039</v>
      </c>
      <c r="AH1063" s="99">
        <f ca="1">ROUND(VLOOKUP(1,enemy_base_stats!$A:$F,3,FALSE) * Z1063*K1063*P1063*F1063*T1063*AE1063 * W1063*[2]ステータス!$C$2,0)</f>
        <v>258</v>
      </c>
      <c r="AI1063" s="99">
        <f ca="1">ROUND(VLOOKUP(1,enemy_base_stats!$A:$F,4,FALSE) * AA1063*L1063*Q1063*G1063*U1063*AF1063*[2]ステータス!$D$2,0)</f>
        <v>0</v>
      </c>
      <c r="AJ1063" s="99">
        <f ca="1">ROUND(VLOOKUP(100,enemy_base_stats!$A:$F,2,FALSE) * Y1063* J1063*O1063*E1063*S1063*AD1063*[2]ステータス!$B$2,0)</f>
        <v>245194</v>
      </c>
      <c r="AK1063" s="99">
        <f ca="1">ROUND(VLOOKUP(100,enemy_base_stats!$A:$F,3,FALSE)* Z1063* K1063*P1063*F1063*T1063*AE1063 * W1063*[2]ステータス!$C$2,0)</f>
        <v>10467</v>
      </c>
      <c r="AL1063" s="99">
        <f ca="1">ROUND(VLOOKUP(100,enemy_base_stats!$A:$F,4,FALSE)* AA1063* L1063*Q1063*G1063*U1063*AF1063*[2]ステータス!$D$2,0)</f>
        <v>0</v>
      </c>
      <c r="AM1063" s="97">
        <f ca="1">VLOOKUP(M1063,[2]character_tribe_i18n!$A:$I,9,FALSE)</f>
        <v>480</v>
      </c>
      <c r="AN1063" s="97">
        <v>0</v>
      </c>
      <c r="AO1063" s="98">
        <v>0</v>
      </c>
      <c r="AP1063" s="58" t="s">
        <v>72</v>
      </c>
      <c r="AQ1063" s="34">
        <f t="shared" ca="1" si="59"/>
        <v>1062</v>
      </c>
    </row>
    <row r="1064" spans="1:43" ht="21" customHeight="1" x14ac:dyDescent="0.15">
      <c r="A1064" s="7">
        <f t="shared" ca="1" si="57"/>
        <v>1063</v>
      </c>
      <c r="B1064" s="6" t="str">
        <f ca="1">VLOOKUP(A1064,[2]characters!$A:$C,3,FALSE)</f>
        <v>ティアマト</v>
      </c>
      <c r="C1064" s="9">
        <f ca="1">VLOOKUP(A1064,[2]characters!$A:$I,9,FALSE)</f>
        <v>5</v>
      </c>
      <c r="D1064" s="9" t="str">
        <f ca="1">VLOOKUP(A1064,[2]characters!$A:$H,8,FALSE)</f>
        <v>blue</v>
      </c>
      <c r="E1064" s="97">
        <f ca="1">VLOOKUP(D1064,[2]属性!$A:$E,2,FALSE)</f>
        <v>1</v>
      </c>
      <c r="F1064" s="97">
        <f ca="1">VLOOKUP(D1064,[2]属性!$A:$E,3,FALSE)</f>
        <v>0.98</v>
      </c>
      <c r="G1064" s="97">
        <f ca="1">VLOOKUP(D1064,[2]属性!$A:$F,4,FALSE)</f>
        <v>1</v>
      </c>
      <c r="H1064" s="9" t="str">
        <f ca="1">VLOOKUP(A1064,[2]characters!$A:$K,11,FALSE)</f>
        <v>technical</v>
      </c>
      <c r="I1064" s="6" t="str">
        <f ca="1">VLOOKUP(H1064,[2]character_type_i18n!$A:$F,3,FALSE)</f>
        <v>テクニカルタイプ</v>
      </c>
      <c r="J1064" s="97">
        <f ca="1">VLOOKUP(H1064,[2]character_type_i18n!$A:$F,4,FALSE)</f>
        <v>0.9</v>
      </c>
      <c r="K1064" s="97">
        <f ca="1">VLOOKUP(H1064,[2]character_type_i18n!$A:$F,5,FALSE)</f>
        <v>0.9</v>
      </c>
      <c r="L1064" s="97">
        <f ca="1">VLOOKUP(H1064,[2]character_type_i18n!$A:$F,6,FALSE)</f>
        <v>1</v>
      </c>
      <c r="M1064" s="9" t="str">
        <f ca="1">VLOOKUP(A1064,[2]characters!$A:$M,13,FALSE)</f>
        <v>god</v>
      </c>
      <c r="N1064" s="6" t="str">
        <f ca="1">VLOOKUP(M1064,[2]character_tribe_i18n!$A:$F,3,FALSE)</f>
        <v>ゴッド</v>
      </c>
      <c r="O1064" s="97">
        <f ca="1">VLOOKUP(M1064,[2]character_tribe_i18n!$A:$F,4,FALSE)</f>
        <v>0.96</v>
      </c>
      <c r="P1064" s="97">
        <f ca="1">VLOOKUP(M1064,[2]character_tribe_i18n!$A:$F,5,FALSE)</f>
        <v>1.02</v>
      </c>
      <c r="Q1064" s="97">
        <f ca="1">VLOOKUP(M1064,[2]character_tribe_i18n!$A:$F,6,FALSE)</f>
        <v>1</v>
      </c>
      <c r="R1064" s="98" t="s">
        <v>98</v>
      </c>
      <c r="S1064" s="97">
        <f>VLOOKUP($R1064,ラベル別係数!$A$1:$E$7,3,FALSE)</f>
        <v>5</v>
      </c>
      <c r="T1064" s="97">
        <f>VLOOKUP($R1064,ラベル別係数!$A$1:$E$7,4,FALSE)</f>
        <v>1.3</v>
      </c>
      <c r="U1064" s="97">
        <f>VLOOKUP($R1064,ラベル別係数!$A$1:$E$7,5,FALSE)</f>
        <v>0.8</v>
      </c>
      <c r="V1064" s="98">
        <v>3</v>
      </c>
      <c r="W1064" s="99">
        <f>VLOOKUP(V1064,ターン数別攻撃係数!$A$1:$B$1000,2,FALSE)</f>
        <v>1</v>
      </c>
      <c r="X1064" s="9">
        <f ca="1">VLOOKUP(C1064,サイズ別係数!A$2:B$9,2,FALSE)</f>
        <v>60</v>
      </c>
      <c r="Y1064" s="97">
        <f ca="1">VLOOKUP($X1064,サイズ別係数!$B:$E,2,FALSE)</f>
        <v>1.7</v>
      </c>
      <c r="Z1064" s="97">
        <f ca="1">VLOOKUP($X1064,サイズ別係数!$B:$E,3,FALSE)</f>
        <v>1.4</v>
      </c>
      <c r="AA1064" s="97">
        <f ca="1">VLOOKUP($X1064,サイズ別係数!$B:$E,4,FALSE)</f>
        <v>1</v>
      </c>
      <c r="AB1064" s="10">
        <v>0</v>
      </c>
      <c r="AC1064" s="6" t="str">
        <f ca="1">VLOOKUP($AB1064,OFFSET([3]enemy_skill_sets!$B$2,0,0,COUNTA([3]enemy_skill_sets!$A:$A),MATCH(AC$1,[3]enemy_skill_sets!$1:$1,0)-MATCH($AB$1,[3]enemy_skill_sets!$1:$1,0)+1),MATCH(AC$1,[3]enemy_skill_sets!$1:$1,0)-MATCH($AB$1,[3]enemy_skill_sets!$1:$1,0)+1,FALSE)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4" s="67">
        <v>1</v>
      </c>
      <c r="AE1064" s="67">
        <v>1</v>
      </c>
      <c r="AF1064" s="68">
        <v>0</v>
      </c>
      <c r="AG1064" s="99">
        <f ca="1">ROUND(VLOOKUP(1,enemy_base_stats!$A:$F,2,FALSE) * Y1064* J1064*O1064*E1064*S1064*AD1064*[2]ステータス!$B$2,0)</f>
        <v>3672</v>
      </c>
      <c r="AH1064" s="99">
        <f ca="1">ROUND(VLOOKUP(1,enemy_base_stats!$A:$F,3,FALSE) * Z1064*K1064*P1064*F1064*T1064*AE1064 * W1064*[2]ステータス!$C$2,0)</f>
        <v>246</v>
      </c>
      <c r="AI1064" s="99">
        <f ca="1">ROUND(VLOOKUP(1,enemy_base_stats!$A:$F,4,FALSE) * AA1064*L1064*Q1064*G1064*U1064*AF1064*[2]ステータス!$D$2,0)</f>
        <v>0</v>
      </c>
      <c r="AJ1064" s="99">
        <f ca="1">ROUND(VLOOKUP(100,enemy_base_stats!$A:$F,2,FALSE) * Y1064* J1064*O1064*E1064*S1064*AD1064*[2]ステータス!$B$2,0)</f>
        <v>149083</v>
      </c>
      <c r="AK1064" s="99">
        <f ca="1">ROUND(VLOOKUP(100,enemy_base_stats!$A:$F,3,FALSE)* Z1064* K1064*P1064*F1064*T1064*AE1064 * W1064*[2]ステータス!$C$2,0)</f>
        <v>9971</v>
      </c>
      <c r="AL1064" s="99">
        <f ca="1">ROUND(VLOOKUP(100,enemy_base_stats!$A:$F,4,FALSE)* AA1064* L1064*Q1064*G1064*U1064*AF1064*[2]ステータス!$D$2,0)</f>
        <v>0</v>
      </c>
      <c r="AM1064" s="97">
        <f ca="1">VLOOKUP(M1064,[2]character_tribe_i18n!$A:$I,9,FALSE)</f>
        <v>680</v>
      </c>
      <c r="AN1064" s="97">
        <v>0</v>
      </c>
      <c r="AO1064" s="98">
        <v>0</v>
      </c>
      <c r="AP1064" s="58" t="s">
        <v>72</v>
      </c>
      <c r="AQ1064" s="34">
        <f t="shared" ca="1" si="59"/>
        <v>1063</v>
      </c>
    </row>
    <row r="1065" spans="1:43" ht="21" customHeight="1" x14ac:dyDescent="0.15">
      <c r="A1065" s="7">
        <f t="shared" ca="1" si="57"/>
        <v>1064</v>
      </c>
      <c r="B1065" s="6" t="str">
        <f ca="1">VLOOKUP(A1065,[2]characters!$A:$C,3,FALSE)</f>
        <v>混沌の猛飛沫 ティアマト</v>
      </c>
      <c r="C1065" s="9">
        <f ca="1">VLOOKUP(A1065,[2]characters!$A:$I,9,FALSE)</f>
        <v>6</v>
      </c>
      <c r="D1065" s="9" t="str">
        <f ca="1">VLOOKUP(A1065,[2]characters!$A:$H,8,FALSE)</f>
        <v>blue</v>
      </c>
      <c r="E1065" s="97">
        <f ca="1">VLOOKUP(D1065,[2]属性!$A:$E,2,FALSE)</f>
        <v>1</v>
      </c>
      <c r="F1065" s="97">
        <f ca="1">VLOOKUP(D1065,[2]属性!$A:$E,3,FALSE)</f>
        <v>0.98</v>
      </c>
      <c r="G1065" s="97">
        <f ca="1">VLOOKUP(D1065,[2]属性!$A:$F,4,FALSE)</f>
        <v>1</v>
      </c>
      <c r="H1065" s="9" t="str">
        <f ca="1">VLOOKUP(A1065,[2]characters!$A:$K,11,FALSE)</f>
        <v>technical</v>
      </c>
      <c r="I1065" s="6" t="str">
        <f ca="1">VLOOKUP(H1065,[2]character_type_i18n!$A:$F,3,FALSE)</f>
        <v>テクニカルタイプ</v>
      </c>
      <c r="J1065" s="97">
        <f ca="1">VLOOKUP(H1065,[2]character_type_i18n!$A:$F,4,FALSE)</f>
        <v>0.9</v>
      </c>
      <c r="K1065" s="97">
        <f ca="1">VLOOKUP(H1065,[2]character_type_i18n!$A:$F,5,FALSE)</f>
        <v>0.9</v>
      </c>
      <c r="L1065" s="97">
        <f ca="1">VLOOKUP(H1065,[2]character_type_i18n!$A:$F,6,FALSE)</f>
        <v>1</v>
      </c>
      <c r="M1065" s="9" t="str">
        <f ca="1">VLOOKUP(A1065,[2]characters!$A:$M,13,FALSE)</f>
        <v>god</v>
      </c>
      <c r="N1065" s="6" t="str">
        <f ca="1">VLOOKUP(M1065,[2]character_tribe_i18n!$A:$F,3,FALSE)</f>
        <v>ゴッド</v>
      </c>
      <c r="O1065" s="97">
        <f ca="1">VLOOKUP(M1065,[2]character_tribe_i18n!$A:$F,4,FALSE)</f>
        <v>0.96</v>
      </c>
      <c r="P1065" s="97">
        <f ca="1">VLOOKUP(M1065,[2]character_tribe_i18n!$A:$F,5,FALSE)</f>
        <v>1.02</v>
      </c>
      <c r="Q1065" s="97">
        <f ca="1">VLOOKUP(M1065,[2]character_tribe_i18n!$A:$F,6,FALSE)</f>
        <v>1</v>
      </c>
      <c r="R1065" s="98" t="s">
        <v>98</v>
      </c>
      <c r="S1065" s="97">
        <f>VLOOKUP($R1065,ラベル別係数!$A$1:$E$7,3,FALSE)</f>
        <v>5</v>
      </c>
      <c r="T1065" s="97">
        <f>VLOOKUP($R1065,ラベル別係数!$A$1:$E$7,4,FALSE)</f>
        <v>1.3</v>
      </c>
      <c r="U1065" s="97">
        <f>VLOOKUP($R1065,ラベル別係数!$A$1:$E$7,5,FALSE)</f>
        <v>0.8</v>
      </c>
      <c r="V1065" s="98">
        <v>3</v>
      </c>
      <c r="W1065" s="99">
        <f>VLOOKUP(V1065,ターン数別攻撃係数!$A$1:$B$1000,2,FALSE)</f>
        <v>1</v>
      </c>
      <c r="X1065" s="9">
        <f ca="1">VLOOKUP(C1065,サイズ別係数!A$2:B$9,2,FALSE)</f>
        <v>60</v>
      </c>
      <c r="Y1065" s="97">
        <f ca="1">VLOOKUP($X1065,サイズ別係数!$B:$E,2,FALSE)</f>
        <v>1.7</v>
      </c>
      <c r="Z1065" s="97">
        <f ca="1">VLOOKUP($X1065,サイズ別係数!$B:$E,3,FALSE)</f>
        <v>1.4</v>
      </c>
      <c r="AA1065" s="97">
        <f ca="1">VLOOKUP($X1065,サイズ別係数!$B:$E,4,FALSE)</f>
        <v>1</v>
      </c>
      <c r="AB1065" s="10">
        <v>0</v>
      </c>
      <c r="AC1065" s="6" t="str">
        <f ca="1">VLOOKUP($AB1065,OFFSET([3]enemy_skill_sets!$B$2,0,0,COUNTA([3]enemy_skill_sets!$A:$A),MATCH(AC$1,[3]enemy_skill_sets!$1:$1,0)-MATCH($AB$1,[3]enemy_skill_sets!$1:$1,0)+1),MATCH(AC$1,[3]enemy_skill_sets!$1:$1,0)-MATCH($AB$1,[3]enemy_skill_sets!$1:$1,0)+1,FALSE)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5" s="67">
        <v>1</v>
      </c>
      <c r="AE1065" s="67">
        <v>1</v>
      </c>
      <c r="AF1065" s="68">
        <v>0</v>
      </c>
      <c r="AG1065" s="99">
        <f ca="1">ROUND(VLOOKUP(1,enemy_base_stats!$A:$F,2,FALSE) * Y1065* J1065*O1065*E1065*S1065*AD1065*[2]ステータス!$B$2,0)</f>
        <v>3672</v>
      </c>
      <c r="AH1065" s="99">
        <f ca="1">ROUND(VLOOKUP(1,enemy_base_stats!$A:$F,3,FALSE) * Z1065*K1065*P1065*F1065*T1065*AE1065 * W1065*[2]ステータス!$C$2,0)</f>
        <v>246</v>
      </c>
      <c r="AI1065" s="99">
        <f ca="1">ROUND(VLOOKUP(1,enemy_base_stats!$A:$F,4,FALSE) * AA1065*L1065*Q1065*G1065*U1065*AF1065*[2]ステータス!$D$2,0)</f>
        <v>0</v>
      </c>
      <c r="AJ1065" s="99">
        <f ca="1">ROUND(VLOOKUP(100,enemy_base_stats!$A:$F,2,FALSE) * Y1065* J1065*O1065*E1065*S1065*AD1065*[2]ステータス!$B$2,0)</f>
        <v>149083</v>
      </c>
      <c r="AK1065" s="99">
        <f ca="1">ROUND(VLOOKUP(100,enemy_base_stats!$A:$F,3,FALSE)* Z1065* K1065*P1065*F1065*T1065*AE1065 * W1065*[2]ステータス!$C$2,0)</f>
        <v>9971</v>
      </c>
      <c r="AL1065" s="99">
        <f ca="1">ROUND(VLOOKUP(100,enemy_base_stats!$A:$F,4,FALSE)* AA1065* L1065*Q1065*G1065*U1065*AF1065*[2]ステータス!$D$2,0)</f>
        <v>0</v>
      </c>
      <c r="AM1065" s="97">
        <f ca="1">VLOOKUP(M1065,[2]character_tribe_i18n!$A:$I,9,FALSE)</f>
        <v>680</v>
      </c>
      <c r="AN1065" s="97">
        <v>0</v>
      </c>
      <c r="AO1065" s="98">
        <v>0</v>
      </c>
      <c r="AP1065" s="58" t="s">
        <v>72</v>
      </c>
      <c r="AQ1065" s="34">
        <f t="shared" ca="1" si="59"/>
        <v>1064</v>
      </c>
    </row>
    <row r="1066" spans="1:43" ht="21" customHeight="1" x14ac:dyDescent="0.15">
      <c r="A1066" s="7">
        <f t="shared" ca="1" si="57"/>
        <v>1065</v>
      </c>
      <c r="B1066" s="6" t="str">
        <f ca="1">VLOOKUP(A1066,[2]characters!$A:$C,3,FALSE)</f>
        <v>ギルガメッシュ</v>
      </c>
      <c r="C1066" s="9">
        <f ca="1">VLOOKUP(A1066,[2]characters!$A:$I,9,FALSE)</f>
        <v>5</v>
      </c>
      <c r="D1066" s="9" t="str">
        <f ca="1">VLOOKUP(A1066,[2]characters!$A:$H,8,FALSE)</f>
        <v>red</v>
      </c>
      <c r="E1066" s="97">
        <f ca="1">VLOOKUP(D1066,[2]属性!$A:$E,2,FALSE)</f>
        <v>1</v>
      </c>
      <c r="F1066" s="97">
        <f ca="1">VLOOKUP(D1066,[2]属性!$A:$E,3,FALSE)</f>
        <v>1.02</v>
      </c>
      <c r="G1066" s="97">
        <f ca="1">VLOOKUP(D1066,[2]属性!$A:$F,4,FALSE)</f>
        <v>1</v>
      </c>
      <c r="H1066" s="9" t="str">
        <f ca="1">VLOOKUP(A1066,[2]characters!$A:$K,11,FALSE)</f>
        <v>attack</v>
      </c>
      <c r="I1066" s="6" t="str">
        <f ca="1">VLOOKUP(H1066,[2]character_type_i18n!$A:$F,3,FALSE)</f>
        <v>攻撃タイプ</v>
      </c>
      <c r="J1066" s="97">
        <f ca="1">VLOOKUP(H1066,[2]character_type_i18n!$A:$F,4,FALSE)</f>
        <v>1</v>
      </c>
      <c r="K1066" s="97">
        <f ca="1">VLOOKUP(H1066,[2]character_type_i18n!$A:$F,5,FALSE)</f>
        <v>1.33</v>
      </c>
      <c r="L1066" s="97">
        <f ca="1">VLOOKUP(H1066,[2]character_type_i18n!$A:$F,6,FALSE)</f>
        <v>1</v>
      </c>
      <c r="M1066" s="9" t="str">
        <f ca="1">VLOOKUP(A1066,[2]characters!$A:$M,13,FALSE)</f>
        <v>god</v>
      </c>
      <c r="N1066" s="6" t="str">
        <f ca="1">VLOOKUP(M1066,[2]character_tribe_i18n!$A:$F,3,FALSE)</f>
        <v>ゴッド</v>
      </c>
      <c r="O1066" s="97">
        <f ca="1">VLOOKUP(M1066,[2]character_tribe_i18n!$A:$F,4,FALSE)</f>
        <v>0.96</v>
      </c>
      <c r="P1066" s="97">
        <f ca="1">VLOOKUP(M1066,[2]character_tribe_i18n!$A:$F,5,FALSE)</f>
        <v>1.02</v>
      </c>
      <c r="Q1066" s="97">
        <f ca="1">VLOOKUP(M1066,[2]character_tribe_i18n!$A:$F,6,FALSE)</f>
        <v>1</v>
      </c>
      <c r="R1066" s="98" t="s">
        <v>98</v>
      </c>
      <c r="S1066" s="97">
        <f>VLOOKUP($R1066,ラベル別係数!$A$1:$E$7,3,FALSE)</f>
        <v>5</v>
      </c>
      <c r="T1066" s="97">
        <f>VLOOKUP($R1066,ラベル別係数!$A$1:$E$7,4,FALSE)</f>
        <v>1.3</v>
      </c>
      <c r="U1066" s="97">
        <f>VLOOKUP($R1066,ラベル別係数!$A$1:$E$7,5,FALSE)</f>
        <v>0.8</v>
      </c>
      <c r="V1066" s="98">
        <v>3</v>
      </c>
      <c r="W1066" s="99">
        <f>VLOOKUP(V1066,ターン数別攻撃係数!$A$1:$B$1000,2,FALSE)</f>
        <v>1</v>
      </c>
      <c r="X1066" s="9">
        <f ca="1">VLOOKUP(C1066,サイズ別係数!A$2:B$9,2,FALSE)</f>
        <v>60</v>
      </c>
      <c r="Y1066" s="97">
        <f ca="1">VLOOKUP($X1066,サイズ別係数!$B:$E,2,FALSE)</f>
        <v>1.7</v>
      </c>
      <c r="Z1066" s="97">
        <f ca="1">VLOOKUP($X1066,サイズ別係数!$B:$E,3,FALSE)</f>
        <v>1.4</v>
      </c>
      <c r="AA1066" s="97">
        <f ca="1">VLOOKUP($X1066,サイズ別係数!$B:$E,4,FALSE)</f>
        <v>1</v>
      </c>
      <c r="AB1066" s="10">
        <v>0</v>
      </c>
      <c r="AC1066" s="6" t="str">
        <f ca="1">VLOOKUP($AB1066,OFFSET([3]enemy_skill_sets!$B$2,0,0,COUNTA([3]enemy_skill_sets!$A:$A),MATCH(AC$1,[3]enemy_skill_sets!$1:$1,0)-MATCH($AB$1,[3]enemy_skill_sets!$1:$1,0)+1),MATCH(AC$1,[3]enemy_skill_sets!$1:$1,0)-MATCH($AB$1,[3]enemy_skill_sets!$1:$1,0)+1,FALSE)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6" s="67">
        <v>1</v>
      </c>
      <c r="AE1066" s="67">
        <v>1</v>
      </c>
      <c r="AF1066" s="68">
        <v>0</v>
      </c>
      <c r="AG1066" s="99">
        <f ca="1">ROUND(VLOOKUP(1,enemy_base_stats!$A:$F,2,FALSE) * Y1066* J1066*O1066*E1066*S1066*AD1066*[2]ステータス!$B$2,0)</f>
        <v>4080</v>
      </c>
      <c r="AH1066" s="99">
        <f ca="1">ROUND(VLOOKUP(1,enemy_base_stats!$A:$F,3,FALSE) * Z1066*K1066*P1066*F1066*T1066*AE1066 * W1066*[2]ステータス!$C$2,0)</f>
        <v>378</v>
      </c>
      <c r="AI1066" s="99">
        <f ca="1">ROUND(VLOOKUP(1,enemy_base_stats!$A:$F,4,FALSE) * AA1066*L1066*Q1066*G1066*U1066*AF1066*[2]ステータス!$D$2,0)</f>
        <v>0</v>
      </c>
      <c r="AJ1066" s="99">
        <f ca="1">ROUND(VLOOKUP(100,enemy_base_stats!$A:$F,2,FALSE) * Y1066* J1066*O1066*E1066*S1066*AD1066*[2]ステータス!$B$2,0)</f>
        <v>165648</v>
      </c>
      <c r="AK1066" s="99">
        <f ca="1">ROUND(VLOOKUP(100,enemy_base_stats!$A:$F,3,FALSE)* Z1066* K1066*P1066*F1066*T1066*AE1066 * W1066*[2]ステータス!$C$2,0)</f>
        <v>15337</v>
      </c>
      <c r="AL1066" s="99">
        <f ca="1">ROUND(VLOOKUP(100,enemy_base_stats!$A:$F,4,FALSE)* AA1066* L1066*Q1066*G1066*U1066*AF1066*[2]ステータス!$D$2,0)</f>
        <v>0</v>
      </c>
      <c r="AM1066" s="97">
        <f ca="1">VLOOKUP(M1066,[2]character_tribe_i18n!$A:$I,9,FALSE)</f>
        <v>680</v>
      </c>
      <c r="AN1066" s="97">
        <v>0</v>
      </c>
      <c r="AO1066" s="98">
        <v>0</v>
      </c>
      <c r="AP1066" s="58" t="s">
        <v>72</v>
      </c>
      <c r="AQ1066" s="34">
        <f t="shared" ca="1" si="59"/>
        <v>1065</v>
      </c>
    </row>
    <row r="1067" spans="1:43" ht="21" customHeight="1" x14ac:dyDescent="0.15">
      <c r="A1067" s="7">
        <f t="shared" ca="1" si="57"/>
        <v>1066</v>
      </c>
      <c r="B1067" s="6" t="str">
        <f ca="1">VLOOKUP(A1067,[2]characters!$A:$C,3,FALSE)</f>
        <v>放縦の序獅子 ギルガメッシュ</v>
      </c>
      <c r="C1067" s="9">
        <f ca="1">VLOOKUP(A1067,[2]characters!$A:$I,9,FALSE)</f>
        <v>6</v>
      </c>
      <c r="D1067" s="9" t="str">
        <f ca="1">VLOOKUP(A1067,[2]characters!$A:$H,8,FALSE)</f>
        <v>red</v>
      </c>
      <c r="E1067" s="97">
        <f ca="1">VLOOKUP(D1067,[2]属性!$A:$E,2,FALSE)</f>
        <v>1</v>
      </c>
      <c r="F1067" s="97">
        <f ca="1">VLOOKUP(D1067,[2]属性!$A:$E,3,FALSE)</f>
        <v>1.02</v>
      </c>
      <c r="G1067" s="97">
        <f ca="1">VLOOKUP(D1067,[2]属性!$A:$F,4,FALSE)</f>
        <v>1</v>
      </c>
      <c r="H1067" s="9" t="str">
        <f ca="1">VLOOKUP(A1067,[2]characters!$A:$K,11,FALSE)</f>
        <v>attack</v>
      </c>
      <c r="I1067" s="6" t="str">
        <f ca="1">VLOOKUP(H1067,[2]character_type_i18n!$A:$F,3,FALSE)</f>
        <v>攻撃タイプ</v>
      </c>
      <c r="J1067" s="97">
        <f ca="1">VLOOKUP(H1067,[2]character_type_i18n!$A:$F,4,FALSE)</f>
        <v>1</v>
      </c>
      <c r="K1067" s="97">
        <f ca="1">VLOOKUP(H1067,[2]character_type_i18n!$A:$F,5,FALSE)</f>
        <v>1.33</v>
      </c>
      <c r="L1067" s="97">
        <f ca="1">VLOOKUP(H1067,[2]character_type_i18n!$A:$F,6,FALSE)</f>
        <v>1</v>
      </c>
      <c r="M1067" s="9" t="str">
        <f ca="1">VLOOKUP(A1067,[2]characters!$A:$M,13,FALSE)</f>
        <v>god</v>
      </c>
      <c r="N1067" s="6" t="str">
        <f ca="1">VLOOKUP(M1067,[2]character_tribe_i18n!$A:$F,3,FALSE)</f>
        <v>ゴッド</v>
      </c>
      <c r="O1067" s="97">
        <f ca="1">VLOOKUP(M1067,[2]character_tribe_i18n!$A:$F,4,FALSE)</f>
        <v>0.96</v>
      </c>
      <c r="P1067" s="97">
        <f ca="1">VLOOKUP(M1067,[2]character_tribe_i18n!$A:$F,5,FALSE)</f>
        <v>1.02</v>
      </c>
      <c r="Q1067" s="97">
        <f ca="1">VLOOKUP(M1067,[2]character_tribe_i18n!$A:$F,6,FALSE)</f>
        <v>1</v>
      </c>
      <c r="R1067" s="98" t="s">
        <v>98</v>
      </c>
      <c r="S1067" s="97">
        <f>VLOOKUP($R1067,ラベル別係数!$A$1:$E$7,3,FALSE)</f>
        <v>5</v>
      </c>
      <c r="T1067" s="97">
        <f>VLOOKUP($R1067,ラベル別係数!$A$1:$E$7,4,FALSE)</f>
        <v>1.3</v>
      </c>
      <c r="U1067" s="97">
        <f>VLOOKUP($R1067,ラベル別係数!$A$1:$E$7,5,FALSE)</f>
        <v>0.8</v>
      </c>
      <c r="V1067" s="98">
        <v>3</v>
      </c>
      <c r="W1067" s="99">
        <f>VLOOKUP(V1067,ターン数別攻撃係数!$A$1:$B$1000,2,FALSE)</f>
        <v>1</v>
      </c>
      <c r="X1067" s="9">
        <f ca="1">VLOOKUP(C1067,サイズ別係数!A$2:B$9,2,FALSE)</f>
        <v>60</v>
      </c>
      <c r="Y1067" s="97">
        <f ca="1">VLOOKUP($X1067,サイズ別係数!$B:$E,2,FALSE)</f>
        <v>1.7</v>
      </c>
      <c r="Z1067" s="97">
        <f ca="1">VLOOKUP($X1067,サイズ別係数!$B:$E,3,FALSE)</f>
        <v>1.4</v>
      </c>
      <c r="AA1067" s="97">
        <f ca="1">VLOOKUP($X1067,サイズ別係数!$B:$E,4,FALSE)</f>
        <v>1</v>
      </c>
      <c r="AB1067" s="10">
        <v>0</v>
      </c>
      <c r="AC1067" s="6" t="str">
        <f ca="1">VLOOKUP($AB1067,OFFSET([3]enemy_skill_sets!$B$2,0,0,COUNTA([3]enemy_skill_sets!$A:$A),MATCH(AC$1,[3]enemy_skill_sets!$1:$1,0)-MATCH($AB$1,[3]enemy_skill_sets!$1:$1,0)+1),MATCH(AC$1,[3]enemy_skill_sets!$1:$1,0)-MATCH($AB$1,[3]enemy_skill_sets!$1:$1,0)+1,FALSE)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7" s="67">
        <v>1</v>
      </c>
      <c r="AE1067" s="67">
        <v>1</v>
      </c>
      <c r="AF1067" s="68">
        <v>0</v>
      </c>
      <c r="AG1067" s="99">
        <f ca="1">ROUND(VLOOKUP(1,enemy_base_stats!$A:$F,2,FALSE) * Y1067* J1067*O1067*E1067*S1067*AD1067*[2]ステータス!$B$2,0)</f>
        <v>4080</v>
      </c>
      <c r="AH1067" s="99">
        <f ca="1">ROUND(VLOOKUP(1,enemy_base_stats!$A:$F,3,FALSE) * Z1067*K1067*P1067*F1067*T1067*AE1067 * W1067*[2]ステータス!$C$2,0)</f>
        <v>378</v>
      </c>
      <c r="AI1067" s="99">
        <f ca="1">ROUND(VLOOKUP(1,enemy_base_stats!$A:$F,4,FALSE) * AA1067*L1067*Q1067*G1067*U1067*AF1067*[2]ステータス!$D$2,0)</f>
        <v>0</v>
      </c>
      <c r="AJ1067" s="99">
        <f ca="1">ROUND(VLOOKUP(100,enemy_base_stats!$A:$F,2,FALSE) * Y1067* J1067*O1067*E1067*S1067*AD1067*[2]ステータス!$B$2,0)</f>
        <v>165648</v>
      </c>
      <c r="AK1067" s="99">
        <f ca="1">ROUND(VLOOKUP(100,enemy_base_stats!$A:$F,3,FALSE)* Z1067* K1067*P1067*F1067*T1067*AE1067 * W1067*[2]ステータス!$C$2,0)</f>
        <v>15337</v>
      </c>
      <c r="AL1067" s="99">
        <f ca="1">ROUND(VLOOKUP(100,enemy_base_stats!$A:$F,4,FALSE)* AA1067* L1067*Q1067*G1067*U1067*AF1067*[2]ステータス!$D$2,0)</f>
        <v>0</v>
      </c>
      <c r="AM1067" s="97">
        <f ca="1">VLOOKUP(M1067,[2]character_tribe_i18n!$A:$I,9,FALSE)</f>
        <v>680</v>
      </c>
      <c r="AN1067" s="97">
        <v>0</v>
      </c>
      <c r="AO1067" s="98">
        <v>0</v>
      </c>
      <c r="AP1067" s="58" t="s">
        <v>72</v>
      </c>
      <c r="AQ1067" s="34">
        <f t="shared" ca="1" si="59"/>
        <v>1066</v>
      </c>
    </row>
    <row r="1068" spans="1:43" ht="21" customHeight="1" x14ac:dyDescent="0.15">
      <c r="A1068" s="7">
        <f t="shared" ca="1" si="57"/>
        <v>1067</v>
      </c>
      <c r="B1068" s="6" t="str">
        <f ca="1">VLOOKUP(A1068,[2]characters!$A:$C,3,FALSE)</f>
        <v>ウシュムガル</v>
      </c>
      <c r="C1068" s="9">
        <f ca="1">VLOOKUP(A1068,[2]characters!$A:$I,9,FALSE)</f>
        <v>4</v>
      </c>
      <c r="D1068" s="9" t="str">
        <f ca="1">VLOOKUP(A1068,[2]characters!$A:$H,8,FALSE)</f>
        <v>red</v>
      </c>
      <c r="E1068" s="97">
        <f ca="1">VLOOKUP(D1068,[2]属性!$A:$E,2,FALSE)</f>
        <v>1</v>
      </c>
      <c r="F1068" s="97">
        <f ca="1">VLOOKUP(D1068,[2]属性!$A:$E,3,FALSE)</f>
        <v>1.02</v>
      </c>
      <c r="G1068" s="97">
        <f ca="1">VLOOKUP(D1068,[2]属性!$A:$F,4,FALSE)</f>
        <v>1</v>
      </c>
      <c r="H1068" s="9" t="str">
        <f ca="1">VLOOKUP(A1068,[2]characters!$A:$K,11,FALSE)</f>
        <v>balance</v>
      </c>
      <c r="I1068" s="6" t="str">
        <f ca="1">VLOOKUP(H1068,[2]character_type_i18n!$A:$F,3,FALSE)</f>
        <v>バランスタイプ</v>
      </c>
      <c r="J1068" s="97">
        <f ca="1">VLOOKUP(H1068,[2]character_type_i18n!$A:$F,4,FALSE)</f>
        <v>1</v>
      </c>
      <c r="K1068" s="97">
        <f ca="1">VLOOKUP(H1068,[2]character_type_i18n!$A:$F,5,FALSE)</f>
        <v>1</v>
      </c>
      <c r="L1068" s="97">
        <f ca="1">VLOOKUP(H1068,[2]character_type_i18n!$A:$F,6,FALSE)</f>
        <v>1</v>
      </c>
      <c r="M1068" s="9" t="str">
        <f ca="1">VLOOKUP(A1068,[2]characters!$A:$M,13,FALSE)</f>
        <v>dragon</v>
      </c>
      <c r="N1068" s="6" t="str">
        <f ca="1">VLOOKUP(M1068,[2]character_tribe_i18n!$A:$F,3,FALSE)</f>
        <v>ドラゴン</v>
      </c>
      <c r="O1068" s="97">
        <f ca="1">VLOOKUP(M1068,[2]character_tribe_i18n!$A:$F,4,FALSE)</f>
        <v>1.1499999999999999</v>
      </c>
      <c r="P1068" s="97">
        <f ca="1">VLOOKUP(M1068,[2]character_tribe_i18n!$A:$F,5,FALSE)</f>
        <v>1.1000000000000001</v>
      </c>
      <c r="Q1068" s="97">
        <f ca="1">VLOOKUP(M1068,[2]character_tribe_i18n!$A:$F,6,FALSE)</f>
        <v>1</v>
      </c>
      <c r="R1068" s="98" t="s">
        <v>98</v>
      </c>
      <c r="S1068" s="97">
        <f>VLOOKUP($R1068,ラベル別係数!$A$1:$E$7,3,FALSE)</f>
        <v>5</v>
      </c>
      <c r="T1068" s="97">
        <f>VLOOKUP($R1068,ラベル別係数!$A$1:$E$7,4,FALSE)</f>
        <v>1.3</v>
      </c>
      <c r="U1068" s="97">
        <f>VLOOKUP($R1068,ラベル別係数!$A$1:$E$7,5,FALSE)</f>
        <v>0.8</v>
      </c>
      <c r="V1068" s="98">
        <v>3</v>
      </c>
      <c r="W1068" s="99">
        <f>VLOOKUP(V1068,ターン数別攻撃係数!$A$1:$B$1000,2,FALSE)</f>
        <v>1</v>
      </c>
      <c r="X1068" s="9">
        <f ca="1">VLOOKUP(C1068,サイズ別係数!A$2:B$9,2,FALSE)</f>
        <v>30</v>
      </c>
      <c r="Y1068" s="97">
        <f ca="1">VLOOKUP($X1068,サイズ別係数!$B:$E,2,FALSE)</f>
        <v>1.3</v>
      </c>
      <c r="Z1068" s="97">
        <f ca="1">VLOOKUP($X1068,サイズ別係数!$B:$E,3,FALSE)</f>
        <v>1.3</v>
      </c>
      <c r="AA1068" s="97">
        <f ca="1">VLOOKUP($X1068,サイズ別係数!$B:$E,4,FALSE)</f>
        <v>1.1000000000000001</v>
      </c>
      <c r="AB1068" s="10">
        <v>0</v>
      </c>
      <c r="AC1068" s="6" t="str">
        <f ca="1">VLOOKUP($AB1068,OFFSET([3]enemy_skill_sets!$B$2,0,0,COUNTA([3]enemy_skill_sets!$A:$A),MATCH(AC$1,[3]enemy_skill_sets!$1:$1,0)-MATCH($AB$1,[3]enemy_skill_sets!$1:$1,0)+1),MATCH(AC$1,[3]enemy_skill_sets!$1:$1,0)-MATCH($AB$1,[3]enemy_skill_sets!$1:$1,0)+1,FALSE)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8" s="67">
        <v>1</v>
      </c>
      <c r="AE1068" s="67">
        <v>1</v>
      </c>
      <c r="AF1068" s="68">
        <v>0</v>
      </c>
      <c r="AG1068" s="99">
        <f ca="1">ROUND(VLOOKUP(1,enemy_base_stats!$A:$F,2,FALSE) * Y1068* J1068*O1068*E1068*S1068*AD1068*[2]ステータス!$B$2,0)</f>
        <v>3738</v>
      </c>
      <c r="AH1068" s="99">
        <f ca="1">ROUND(VLOOKUP(1,enemy_base_stats!$A:$F,3,FALSE) * Z1068*K1068*P1068*F1068*T1068*AE1068 * W1068*[2]ステータス!$C$2,0)</f>
        <v>284</v>
      </c>
      <c r="AI1068" s="99">
        <f ca="1">ROUND(VLOOKUP(1,enemy_base_stats!$A:$F,4,FALSE) * AA1068*L1068*Q1068*G1068*U1068*AF1068*[2]ステータス!$D$2,0)</f>
        <v>0</v>
      </c>
      <c r="AJ1068" s="99">
        <f ca="1">ROUND(VLOOKUP(100,enemy_base_stats!$A:$F,2,FALSE) * Y1068* J1068*O1068*E1068*S1068*AD1068*[2]ステータス!$B$2,0)</f>
        <v>151743</v>
      </c>
      <c r="AK1068" s="99">
        <f ca="1">ROUND(VLOOKUP(100,enemy_base_stats!$A:$F,3,FALSE)* Z1068* K1068*P1068*F1068*T1068*AE1068 * W1068*[2]ステータス!$C$2,0)</f>
        <v>11548</v>
      </c>
      <c r="AL1068" s="99">
        <f ca="1">ROUND(VLOOKUP(100,enemy_base_stats!$A:$F,4,FALSE)* AA1068* L1068*Q1068*G1068*U1068*AF1068*[2]ステータス!$D$2,0)</f>
        <v>0</v>
      </c>
      <c r="AM1068" s="97">
        <f ca="1">VLOOKUP(M1068,[2]character_tribe_i18n!$A:$I,9,FALSE)</f>
        <v>540</v>
      </c>
      <c r="AN1068" s="97">
        <v>0</v>
      </c>
      <c r="AO1068" s="98">
        <v>0</v>
      </c>
      <c r="AP1068" s="58" t="s">
        <v>72</v>
      </c>
      <c r="AQ1068" s="34">
        <f t="shared" ca="1" si="59"/>
        <v>1067</v>
      </c>
    </row>
    <row r="1069" spans="1:43" ht="21" customHeight="1" x14ac:dyDescent="0.15">
      <c r="A1069" s="7">
        <f t="shared" ca="1" si="57"/>
        <v>1068</v>
      </c>
      <c r="B1069" s="6" t="str">
        <f ca="1">VLOOKUP(A1069,[2]characters!$A:$C,3,FALSE)</f>
        <v>想母の羽龍 ウシュムガル</v>
      </c>
      <c r="C1069" s="9">
        <f ca="1">VLOOKUP(A1069,[2]characters!$A:$I,9,FALSE)</f>
        <v>5</v>
      </c>
      <c r="D1069" s="9" t="str">
        <f ca="1">VLOOKUP(A1069,[2]characters!$A:$H,8,FALSE)</f>
        <v>red</v>
      </c>
      <c r="E1069" s="97">
        <f ca="1">VLOOKUP(D1069,[2]属性!$A:$E,2,FALSE)</f>
        <v>1</v>
      </c>
      <c r="F1069" s="97">
        <f ca="1">VLOOKUP(D1069,[2]属性!$A:$E,3,FALSE)</f>
        <v>1.02</v>
      </c>
      <c r="G1069" s="97">
        <f ca="1">VLOOKUP(D1069,[2]属性!$A:$F,4,FALSE)</f>
        <v>1</v>
      </c>
      <c r="H1069" s="9" t="str">
        <f ca="1">VLOOKUP(A1069,[2]characters!$A:$K,11,FALSE)</f>
        <v>balance</v>
      </c>
      <c r="I1069" s="6" t="str">
        <f ca="1">VLOOKUP(H1069,[2]character_type_i18n!$A:$F,3,FALSE)</f>
        <v>バランスタイプ</v>
      </c>
      <c r="J1069" s="97">
        <f ca="1">VLOOKUP(H1069,[2]character_type_i18n!$A:$F,4,FALSE)</f>
        <v>1</v>
      </c>
      <c r="K1069" s="97">
        <f ca="1">VLOOKUP(H1069,[2]character_type_i18n!$A:$F,5,FALSE)</f>
        <v>1</v>
      </c>
      <c r="L1069" s="97">
        <f ca="1">VLOOKUP(H1069,[2]character_type_i18n!$A:$F,6,FALSE)</f>
        <v>1</v>
      </c>
      <c r="M1069" s="9" t="str">
        <f ca="1">VLOOKUP(A1069,[2]characters!$A:$M,13,FALSE)</f>
        <v>dragon</v>
      </c>
      <c r="N1069" s="6" t="str">
        <f ca="1">VLOOKUP(M1069,[2]character_tribe_i18n!$A:$F,3,FALSE)</f>
        <v>ドラゴン</v>
      </c>
      <c r="O1069" s="97">
        <f ca="1">VLOOKUP(M1069,[2]character_tribe_i18n!$A:$F,4,FALSE)</f>
        <v>1.1499999999999999</v>
      </c>
      <c r="P1069" s="97">
        <f ca="1">VLOOKUP(M1069,[2]character_tribe_i18n!$A:$F,5,FALSE)</f>
        <v>1.1000000000000001</v>
      </c>
      <c r="Q1069" s="97">
        <f ca="1">VLOOKUP(M1069,[2]character_tribe_i18n!$A:$F,6,FALSE)</f>
        <v>1</v>
      </c>
      <c r="R1069" s="98" t="s">
        <v>98</v>
      </c>
      <c r="S1069" s="97">
        <f>VLOOKUP($R1069,ラベル別係数!$A$1:$E$7,3,FALSE)</f>
        <v>5</v>
      </c>
      <c r="T1069" s="97">
        <f>VLOOKUP($R1069,ラベル別係数!$A$1:$E$7,4,FALSE)</f>
        <v>1.3</v>
      </c>
      <c r="U1069" s="97">
        <f>VLOOKUP($R1069,ラベル別係数!$A$1:$E$7,5,FALSE)</f>
        <v>0.8</v>
      </c>
      <c r="V1069" s="98">
        <v>3</v>
      </c>
      <c r="W1069" s="99">
        <f>VLOOKUP(V1069,ターン数別攻撃係数!$A$1:$B$1000,2,FALSE)</f>
        <v>1</v>
      </c>
      <c r="X1069" s="9">
        <f ca="1">VLOOKUP(C1069,サイズ別係数!A$2:B$9,2,FALSE)</f>
        <v>60</v>
      </c>
      <c r="Y1069" s="97">
        <f ca="1">VLOOKUP($X1069,サイズ別係数!$B:$E,2,FALSE)</f>
        <v>1.7</v>
      </c>
      <c r="Z1069" s="97">
        <f ca="1">VLOOKUP($X1069,サイズ別係数!$B:$E,3,FALSE)</f>
        <v>1.4</v>
      </c>
      <c r="AA1069" s="97">
        <f ca="1">VLOOKUP($X1069,サイズ別係数!$B:$E,4,FALSE)</f>
        <v>1</v>
      </c>
      <c r="AB1069" s="10">
        <v>0</v>
      </c>
      <c r="AC1069" s="6" t="str">
        <f ca="1">VLOOKUP($AB1069,OFFSET([3]enemy_skill_sets!$B$2,0,0,COUNTA([3]enemy_skill_sets!$A:$A),MATCH(AC$1,[3]enemy_skill_sets!$1:$1,0)-MATCH($AB$1,[3]enemy_skill_sets!$1:$1,0)+1),MATCH(AC$1,[3]enemy_skill_sets!$1:$1,0)-MATCH($AB$1,[3]enemy_skill_sets!$1:$1,0)+1,FALSE)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69" s="67">
        <v>1</v>
      </c>
      <c r="AE1069" s="67">
        <v>1</v>
      </c>
      <c r="AF1069" s="68">
        <v>0</v>
      </c>
      <c r="AG1069" s="99">
        <f ca="1">ROUND(VLOOKUP(1,enemy_base_stats!$A:$F,2,FALSE) * Y1069* J1069*O1069*E1069*S1069*AD1069*[2]ステータス!$B$2,0)</f>
        <v>4888</v>
      </c>
      <c r="AH1069" s="99">
        <f ca="1">ROUND(VLOOKUP(1,enemy_base_stats!$A:$F,3,FALSE) * Z1069*K1069*P1069*F1069*T1069*AE1069 * W1069*[2]ステータス!$C$2,0)</f>
        <v>306</v>
      </c>
      <c r="AI1069" s="99">
        <f ca="1">ROUND(VLOOKUP(1,enemy_base_stats!$A:$F,4,FALSE) * AA1069*L1069*Q1069*G1069*U1069*AF1069*[2]ステータス!$D$2,0)</f>
        <v>0</v>
      </c>
      <c r="AJ1069" s="99">
        <f ca="1">ROUND(VLOOKUP(100,enemy_base_stats!$A:$F,2,FALSE) * Y1069* J1069*O1069*E1069*S1069*AD1069*[2]ステータス!$B$2,0)</f>
        <v>198433</v>
      </c>
      <c r="AK1069" s="99">
        <f ca="1">ROUND(VLOOKUP(100,enemy_base_stats!$A:$F,3,FALSE)* Z1069* K1069*P1069*F1069*T1069*AE1069 * W1069*[2]ステータス!$C$2,0)</f>
        <v>12436</v>
      </c>
      <c r="AL1069" s="99">
        <f ca="1">ROUND(VLOOKUP(100,enemy_base_stats!$A:$F,4,FALSE)* AA1069* L1069*Q1069*G1069*U1069*AF1069*[2]ステータス!$D$2,0)</f>
        <v>0</v>
      </c>
      <c r="AM1069" s="97">
        <f ca="1">VLOOKUP(M1069,[2]character_tribe_i18n!$A:$I,9,FALSE)</f>
        <v>540</v>
      </c>
      <c r="AN1069" s="97">
        <v>0</v>
      </c>
      <c r="AO1069" s="98">
        <v>0</v>
      </c>
      <c r="AP1069" s="58" t="s">
        <v>72</v>
      </c>
      <c r="AQ1069" s="34">
        <f t="shared" ca="1" si="59"/>
        <v>1068</v>
      </c>
    </row>
    <row r="1070" spans="1:43" ht="21" customHeight="1" x14ac:dyDescent="0.15">
      <c r="A1070" s="7">
        <f t="shared" ca="1" si="57"/>
        <v>1069</v>
      </c>
      <c r="B1070" s="6" t="str">
        <f ca="1">VLOOKUP(A1070,[2]characters!$A:$C,3,FALSE)</f>
        <v>イシュタル</v>
      </c>
      <c r="C1070" s="9">
        <f ca="1">VLOOKUP(A1070,[2]characters!$A:$I,9,FALSE)</f>
        <v>5</v>
      </c>
      <c r="D1070" s="9" t="str">
        <f ca="1">VLOOKUP(A1070,[2]characters!$A:$H,8,FALSE)</f>
        <v>green</v>
      </c>
      <c r="E1070" s="97">
        <f ca="1">VLOOKUP(D1070,[2]属性!$A:$E,2,FALSE)</f>
        <v>1.02</v>
      </c>
      <c r="F1070" s="97">
        <f ca="1">VLOOKUP(D1070,[2]属性!$A:$E,3,FALSE)</f>
        <v>0.98</v>
      </c>
      <c r="G1070" s="97">
        <f ca="1">VLOOKUP(D1070,[2]属性!$A:$F,4,FALSE)</f>
        <v>1</v>
      </c>
      <c r="H1070" s="9" t="str">
        <f ca="1">VLOOKUP(A1070,[2]characters!$A:$K,11,FALSE)</f>
        <v>technical</v>
      </c>
      <c r="I1070" s="6" t="str">
        <f ca="1">VLOOKUP(H1070,[2]character_type_i18n!$A:$F,3,FALSE)</f>
        <v>テクニカルタイプ</v>
      </c>
      <c r="J1070" s="97">
        <f ca="1">VLOOKUP(H1070,[2]character_type_i18n!$A:$F,4,FALSE)</f>
        <v>0.9</v>
      </c>
      <c r="K1070" s="97">
        <f ca="1">VLOOKUP(H1070,[2]character_type_i18n!$A:$F,5,FALSE)</f>
        <v>0.9</v>
      </c>
      <c r="L1070" s="97">
        <f ca="1">VLOOKUP(H1070,[2]character_type_i18n!$A:$F,6,FALSE)</f>
        <v>1</v>
      </c>
      <c r="M1070" s="9" t="str">
        <f ca="1">VLOOKUP(A1070,[2]characters!$A:$M,13,FALSE)</f>
        <v>god</v>
      </c>
      <c r="N1070" s="6" t="str">
        <f ca="1">VLOOKUP(M1070,[2]character_tribe_i18n!$A:$F,3,FALSE)</f>
        <v>ゴッド</v>
      </c>
      <c r="O1070" s="97">
        <f ca="1">VLOOKUP(M1070,[2]character_tribe_i18n!$A:$F,4,FALSE)</f>
        <v>0.96</v>
      </c>
      <c r="P1070" s="97">
        <f ca="1">VLOOKUP(M1070,[2]character_tribe_i18n!$A:$F,5,FALSE)</f>
        <v>1.02</v>
      </c>
      <c r="Q1070" s="97">
        <f ca="1">VLOOKUP(M1070,[2]character_tribe_i18n!$A:$F,6,FALSE)</f>
        <v>1</v>
      </c>
      <c r="R1070" s="98" t="s">
        <v>98</v>
      </c>
      <c r="S1070" s="97">
        <f>VLOOKUP($R1070,ラベル別係数!$A$1:$E$7,3,FALSE)</f>
        <v>5</v>
      </c>
      <c r="T1070" s="97">
        <f>VLOOKUP($R1070,ラベル別係数!$A$1:$E$7,4,FALSE)</f>
        <v>1.3</v>
      </c>
      <c r="U1070" s="97">
        <f>VLOOKUP($R1070,ラベル別係数!$A$1:$E$7,5,FALSE)</f>
        <v>0.8</v>
      </c>
      <c r="V1070" s="98">
        <v>3</v>
      </c>
      <c r="W1070" s="99">
        <f>VLOOKUP(V1070,ターン数別攻撃係数!$A$1:$B$1000,2,FALSE)</f>
        <v>1</v>
      </c>
      <c r="X1070" s="9">
        <f ca="1">VLOOKUP(C1070,サイズ別係数!A$2:B$9,2,FALSE)</f>
        <v>60</v>
      </c>
      <c r="Y1070" s="97">
        <f ca="1">VLOOKUP($X1070,サイズ別係数!$B:$E,2,FALSE)</f>
        <v>1.7</v>
      </c>
      <c r="Z1070" s="97">
        <f ca="1">VLOOKUP($X1070,サイズ別係数!$B:$E,3,FALSE)</f>
        <v>1.4</v>
      </c>
      <c r="AA1070" s="97">
        <f ca="1">VLOOKUP($X1070,サイズ別係数!$B:$E,4,FALSE)</f>
        <v>1</v>
      </c>
      <c r="AB1070" s="10">
        <v>0</v>
      </c>
      <c r="AC1070" s="6" t="str">
        <f ca="1">VLOOKUP($AB1070,OFFSET([3]enemy_skill_sets!$B$2,0,0,COUNTA([3]enemy_skill_sets!$A:$A),MATCH(AC$1,[3]enemy_skill_sets!$1:$1,0)-MATCH($AB$1,[3]enemy_skill_sets!$1:$1,0)+1),MATCH(AC$1,[3]enemy_skill_sets!$1:$1,0)-MATCH($AB$1,[3]enemy_skill_sets!$1:$1,0)+1,FALSE)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0" s="67">
        <v>1</v>
      </c>
      <c r="AE1070" s="67">
        <v>1</v>
      </c>
      <c r="AF1070" s="68">
        <v>0</v>
      </c>
      <c r="AG1070" s="99">
        <f ca="1">ROUND(VLOOKUP(1,enemy_base_stats!$A:$F,2,FALSE) * Y1070* J1070*O1070*E1070*S1070*AD1070*[2]ステータス!$B$2,0)</f>
        <v>3745</v>
      </c>
      <c r="AH1070" s="99">
        <f ca="1">ROUND(VLOOKUP(1,enemy_base_stats!$A:$F,3,FALSE) * Z1070*K1070*P1070*F1070*T1070*AE1070 * W1070*[2]ステータス!$C$2,0)</f>
        <v>246</v>
      </c>
      <c r="AI1070" s="99">
        <f ca="1">ROUND(VLOOKUP(1,enemy_base_stats!$A:$F,4,FALSE) * AA1070*L1070*Q1070*G1070*U1070*AF1070*[2]ステータス!$D$2,0)</f>
        <v>0</v>
      </c>
      <c r="AJ1070" s="99">
        <f ca="1">ROUND(VLOOKUP(100,enemy_base_stats!$A:$F,2,FALSE) * Y1070* J1070*O1070*E1070*S1070*AD1070*[2]ステータス!$B$2,0)</f>
        <v>152065</v>
      </c>
      <c r="AK1070" s="99">
        <f ca="1">ROUND(VLOOKUP(100,enemy_base_stats!$A:$F,3,FALSE)* Z1070* K1070*P1070*F1070*T1070*AE1070 * W1070*[2]ステータス!$C$2,0)</f>
        <v>9971</v>
      </c>
      <c r="AL1070" s="99">
        <f ca="1">ROUND(VLOOKUP(100,enemy_base_stats!$A:$F,4,FALSE)* AA1070* L1070*Q1070*G1070*U1070*AF1070*[2]ステータス!$D$2,0)</f>
        <v>0</v>
      </c>
      <c r="AM1070" s="97">
        <f ca="1">VLOOKUP(M1070,[2]character_tribe_i18n!$A:$I,9,FALSE)</f>
        <v>680</v>
      </c>
      <c r="AN1070" s="97">
        <v>0</v>
      </c>
      <c r="AO1070" s="98">
        <v>0</v>
      </c>
      <c r="AP1070" s="58" t="s">
        <v>72</v>
      </c>
      <c r="AQ1070" s="34">
        <f t="shared" ca="1" si="59"/>
        <v>1069</v>
      </c>
    </row>
    <row r="1071" spans="1:43" ht="21" customHeight="1" x14ac:dyDescent="0.15">
      <c r="A1071" s="7">
        <f t="shared" ca="1" si="57"/>
        <v>1070</v>
      </c>
      <c r="B1071" s="6" t="str">
        <f ca="1">VLOOKUP(A1071,[2]characters!$A:$C,3,FALSE)</f>
        <v>駆脳する造愛 イシュタル</v>
      </c>
      <c r="C1071" s="9">
        <f ca="1">VLOOKUP(A1071,[2]characters!$A:$I,9,FALSE)</f>
        <v>6</v>
      </c>
      <c r="D1071" s="9" t="str">
        <f ca="1">VLOOKUP(A1071,[2]characters!$A:$H,8,FALSE)</f>
        <v>green</v>
      </c>
      <c r="E1071" s="97">
        <f ca="1">VLOOKUP(D1071,[2]属性!$A:$E,2,FALSE)</f>
        <v>1.02</v>
      </c>
      <c r="F1071" s="97">
        <f ca="1">VLOOKUP(D1071,[2]属性!$A:$E,3,FALSE)</f>
        <v>0.98</v>
      </c>
      <c r="G1071" s="97">
        <f ca="1">VLOOKUP(D1071,[2]属性!$A:$F,4,FALSE)</f>
        <v>1</v>
      </c>
      <c r="H1071" s="9" t="str">
        <f ca="1">VLOOKUP(A1071,[2]characters!$A:$K,11,FALSE)</f>
        <v>technical</v>
      </c>
      <c r="I1071" s="6" t="str">
        <f ca="1">VLOOKUP(H1071,[2]character_type_i18n!$A:$F,3,FALSE)</f>
        <v>テクニカルタイプ</v>
      </c>
      <c r="J1071" s="97">
        <f ca="1">VLOOKUP(H1071,[2]character_type_i18n!$A:$F,4,FALSE)</f>
        <v>0.9</v>
      </c>
      <c r="K1071" s="97">
        <f ca="1">VLOOKUP(H1071,[2]character_type_i18n!$A:$F,5,FALSE)</f>
        <v>0.9</v>
      </c>
      <c r="L1071" s="97">
        <f ca="1">VLOOKUP(H1071,[2]character_type_i18n!$A:$F,6,FALSE)</f>
        <v>1</v>
      </c>
      <c r="M1071" s="9" t="str">
        <f ca="1">VLOOKUP(A1071,[2]characters!$A:$M,13,FALSE)</f>
        <v>god</v>
      </c>
      <c r="N1071" s="6" t="str">
        <f ca="1">VLOOKUP(M1071,[2]character_tribe_i18n!$A:$F,3,FALSE)</f>
        <v>ゴッド</v>
      </c>
      <c r="O1071" s="97">
        <f ca="1">VLOOKUP(M1071,[2]character_tribe_i18n!$A:$F,4,FALSE)</f>
        <v>0.96</v>
      </c>
      <c r="P1071" s="97">
        <f ca="1">VLOOKUP(M1071,[2]character_tribe_i18n!$A:$F,5,FALSE)</f>
        <v>1.02</v>
      </c>
      <c r="Q1071" s="97">
        <f ca="1">VLOOKUP(M1071,[2]character_tribe_i18n!$A:$F,6,FALSE)</f>
        <v>1</v>
      </c>
      <c r="R1071" s="98" t="s">
        <v>98</v>
      </c>
      <c r="S1071" s="97">
        <f>VLOOKUP($R1071,ラベル別係数!$A$1:$E$7,3,FALSE)</f>
        <v>5</v>
      </c>
      <c r="T1071" s="97">
        <f>VLOOKUP($R1071,ラベル別係数!$A$1:$E$7,4,FALSE)</f>
        <v>1.3</v>
      </c>
      <c r="U1071" s="97">
        <f>VLOOKUP($R1071,ラベル別係数!$A$1:$E$7,5,FALSE)</f>
        <v>0.8</v>
      </c>
      <c r="V1071" s="98">
        <v>3</v>
      </c>
      <c r="W1071" s="99">
        <f>VLOOKUP(V1071,ターン数別攻撃係数!$A$1:$B$1000,2,FALSE)</f>
        <v>1</v>
      </c>
      <c r="X1071" s="9">
        <f ca="1">VLOOKUP(C1071,サイズ別係数!A$2:B$9,2,FALSE)</f>
        <v>60</v>
      </c>
      <c r="Y1071" s="97">
        <f ca="1">VLOOKUP($X1071,サイズ別係数!$B:$E,2,FALSE)</f>
        <v>1.7</v>
      </c>
      <c r="Z1071" s="97">
        <f ca="1">VLOOKUP($X1071,サイズ別係数!$B:$E,3,FALSE)</f>
        <v>1.4</v>
      </c>
      <c r="AA1071" s="97">
        <f ca="1">VLOOKUP($X1071,サイズ別係数!$B:$E,4,FALSE)</f>
        <v>1</v>
      </c>
      <c r="AB1071" s="10">
        <v>0</v>
      </c>
      <c r="AC1071" s="6" t="str">
        <f ca="1">VLOOKUP($AB1071,OFFSET([3]enemy_skill_sets!$B$2,0,0,COUNTA([3]enemy_skill_sets!$A:$A),MATCH(AC$1,[3]enemy_skill_sets!$1:$1,0)-MATCH($AB$1,[3]enemy_skill_sets!$1:$1,0)+1),MATCH(AC$1,[3]enemy_skill_sets!$1:$1,0)-MATCH($AB$1,[3]enemy_skill_sets!$1:$1,0)+1,FALSE)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1" s="67">
        <v>1</v>
      </c>
      <c r="AE1071" s="67">
        <v>1</v>
      </c>
      <c r="AF1071" s="68">
        <v>0</v>
      </c>
      <c r="AG1071" s="99">
        <f ca="1">ROUND(VLOOKUP(1,enemy_base_stats!$A:$F,2,FALSE) * Y1071* J1071*O1071*E1071*S1071*AD1071*[2]ステータス!$B$2,0)</f>
        <v>3745</v>
      </c>
      <c r="AH1071" s="99">
        <f ca="1">ROUND(VLOOKUP(1,enemy_base_stats!$A:$F,3,FALSE) * Z1071*K1071*P1071*F1071*T1071*AE1071 * W1071*[2]ステータス!$C$2,0)</f>
        <v>246</v>
      </c>
      <c r="AI1071" s="99">
        <f ca="1">ROUND(VLOOKUP(1,enemy_base_stats!$A:$F,4,FALSE) * AA1071*L1071*Q1071*G1071*U1071*AF1071*[2]ステータス!$D$2,0)</f>
        <v>0</v>
      </c>
      <c r="AJ1071" s="99">
        <f ca="1">ROUND(VLOOKUP(100,enemy_base_stats!$A:$F,2,FALSE) * Y1071* J1071*O1071*E1071*S1071*AD1071*[2]ステータス!$B$2,0)</f>
        <v>152065</v>
      </c>
      <c r="AK1071" s="99">
        <f ca="1">ROUND(VLOOKUP(100,enemy_base_stats!$A:$F,3,FALSE)* Z1071* K1071*P1071*F1071*T1071*AE1071 * W1071*[2]ステータス!$C$2,0)</f>
        <v>9971</v>
      </c>
      <c r="AL1071" s="99">
        <f ca="1">ROUND(VLOOKUP(100,enemy_base_stats!$A:$F,4,FALSE)* AA1071* L1071*Q1071*G1071*U1071*AF1071*[2]ステータス!$D$2,0)</f>
        <v>0</v>
      </c>
      <c r="AM1071" s="97">
        <f ca="1">VLOOKUP(M1071,[2]character_tribe_i18n!$A:$I,9,FALSE)</f>
        <v>680</v>
      </c>
      <c r="AN1071" s="97">
        <v>0</v>
      </c>
      <c r="AO1071" s="98">
        <v>0</v>
      </c>
      <c r="AP1071" s="58" t="s">
        <v>72</v>
      </c>
      <c r="AQ1071" s="34">
        <f t="shared" ca="1" si="59"/>
        <v>1070</v>
      </c>
    </row>
    <row r="1072" spans="1:43" ht="21" customHeight="1" x14ac:dyDescent="0.15">
      <c r="A1072" s="7">
        <f t="shared" ca="1" si="57"/>
        <v>1071</v>
      </c>
      <c r="B1072" s="6" t="str">
        <f ca="1">VLOOKUP(A1072,[2]characters!$A:$C,3,FALSE)</f>
        <v>イシュタル_分岐覚醒</v>
      </c>
      <c r="C1072" s="9">
        <f ca="1">VLOOKUP(A1072,[2]characters!$A:$I,9,FALSE)</f>
        <v>6</v>
      </c>
      <c r="D1072" s="9" t="str">
        <f ca="1">VLOOKUP(A1072,[2]characters!$A:$H,8,FALSE)</f>
        <v>green</v>
      </c>
      <c r="E1072" s="97">
        <f ca="1">VLOOKUP(D1072,[2]属性!$A:$E,2,FALSE)</f>
        <v>1.02</v>
      </c>
      <c r="F1072" s="97">
        <f ca="1">VLOOKUP(D1072,[2]属性!$A:$E,3,FALSE)</f>
        <v>0.98</v>
      </c>
      <c r="G1072" s="97">
        <f ca="1">VLOOKUP(D1072,[2]属性!$A:$F,4,FALSE)</f>
        <v>1</v>
      </c>
      <c r="H1072" s="9" t="str">
        <f ca="1">VLOOKUP(A1072,[2]characters!$A:$K,11,FALSE)</f>
        <v>attack</v>
      </c>
      <c r="I1072" s="6" t="str">
        <f ca="1">VLOOKUP(H1072,[2]character_type_i18n!$A:$F,3,FALSE)</f>
        <v>攻撃タイプ</v>
      </c>
      <c r="J1072" s="97">
        <f ca="1">VLOOKUP(H1072,[2]character_type_i18n!$A:$F,4,FALSE)</f>
        <v>1</v>
      </c>
      <c r="K1072" s="97">
        <f ca="1">VLOOKUP(H1072,[2]character_type_i18n!$A:$F,5,FALSE)</f>
        <v>1.33</v>
      </c>
      <c r="L1072" s="97">
        <f ca="1">VLOOKUP(H1072,[2]character_type_i18n!$A:$F,6,FALSE)</f>
        <v>1</v>
      </c>
      <c r="M1072" s="9" t="str">
        <f ca="1">VLOOKUP(A1072,[2]characters!$A:$M,13,FALSE)</f>
        <v>god</v>
      </c>
      <c r="N1072" s="6" t="str">
        <f ca="1">VLOOKUP(M1072,[2]character_tribe_i18n!$A:$F,3,FALSE)</f>
        <v>ゴッド</v>
      </c>
      <c r="O1072" s="97">
        <f ca="1">VLOOKUP(M1072,[2]character_tribe_i18n!$A:$F,4,FALSE)</f>
        <v>0.96</v>
      </c>
      <c r="P1072" s="97">
        <f ca="1">VLOOKUP(M1072,[2]character_tribe_i18n!$A:$F,5,FALSE)</f>
        <v>1.02</v>
      </c>
      <c r="Q1072" s="97">
        <f ca="1">VLOOKUP(M1072,[2]character_tribe_i18n!$A:$F,6,FALSE)</f>
        <v>1</v>
      </c>
      <c r="R1072" s="98" t="s">
        <v>98</v>
      </c>
      <c r="S1072" s="97">
        <f>VLOOKUP($R1072,ラベル別係数!$A$1:$E$7,3,FALSE)</f>
        <v>5</v>
      </c>
      <c r="T1072" s="97">
        <f>VLOOKUP($R1072,ラベル別係数!$A$1:$E$7,4,FALSE)</f>
        <v>1.3</v>
      </c>
      <c r="U1072" s="97">
        <f>VLOOKUP($R1072,ラベル別係数!$A$1:$E$7,5,FALSE)</f>
        <v>0.8</v>
      </c>
      <c r="V1072" s="98">
        <v>3</v>
      </c>
      <c r="W1072" s="99">
        <f>VLOOKUP(V1072,ターン数別攻撃係数!$A$1:$B$1000,2,FALSE)</f>
        <v>1</v>
      </c>
      <c r="X1072" s="9">
        <f ca="1">VLOOKUP(C1072,サイズ別係数!A$2:B$9,2,FALSE)</f>
        <v>60</v>
      </c>
      <c r="Y1072" s="97">
        <f ca="1">VLOOKUP($X1072,サイズ別係数!$B:$E,2,FALSE)</f>
        <v>1.7</v>
      </c>
      <c r="Z1072" s="97">
        <f ca="1">VLOOKUP($X1072,サイズ別係数!$B:$E,3,FALSE)</f>
        <v>1.4</v>
      </c>
      <c r="AA1072" s="97">
        <f ca="1">VLOOKUP($X1072,サイズ別係数!$B:$E,4,FALSE)</f>
        <v>1</v>
      </c>
      <c r="AB1072" s="10">
        <v>0</v>
      </c>
      <c r="AC1072" s="6" t="str">
        <f ca="1">VLOOKUP($AB1072,OFFSET([3]enemy_skill_sets!$B$2,0,0,COUNTA([3]enemy_skill_sets!$A:$A),MATCH(AC$1,[3]enemy_skill_sets!$1:$1,0)-MATCH($AB$1,[3]enemy_skill_sets!$1:$1,0)+1),MATCH(AC$1,[3]enemy_skill_sets!$1:$1,0)-MATCH($AB$1,[3]enemy_skill_sets!$1:$1,0)+1,FALSE)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2" s="67">
        <v>1</v>
      </c>
      <c r="AE1072" s="67">
        <v>1</v>
      </c>
      <c r="AF1072" s="68">
        <v>0</v>
      </c>
      <c r="AG1072" s="99">
        <f ca="1">ROUND(VLOOKUP(1,enemy_base_stats!$A:$F,2,FALSE) * Y1072* J1072*O1072*E1072*S1072*AD1072*[2]ステータス!$B$2,0)</f>
        <v>4162</v>
      </c>
      <c r="AH1072" s="99">
        <f ca="1">ROUND(VLOOKUP(1,enemy_base_stats!$A:$F,3,FALSE) * Z1072*K1072*P1072*F1072*T1072*AE1072 * W1072*[2]ステータス!$C$2,0)</f>
        <v>363</v>
      </c>
      <c r="AI1072" s="99">
        <f ca="1">ROUND(VLOOKUP(1,enemy_base_stats!$A:$F,4,FALSE) * AA1072*L1072*Q1072*G1072*U1072*AF1072*[2]ステータス!$D$2,0)</f>
        <v>0</v>
      </c>
      <c r="AJ1072" s="99">
        <f ca="1">ROUND(VLOOKUP(100,enemy_base_stats!$A:$F,2,FALSE) * Y1072* J1072*O1072*E1072*S1072*AD1072*[2]ステータス!$B$2,0)</f>
        <v>168961</v>
      </c>
      <c r="AK1072" s="99">
        <f ca="1">ROUND(VLOOKUP(100,enemy_base_stats!$A:$F,3,FALSE)* Z1072* K1072*P1072*F1072*T1072*AE1072 * W1072*[2]ステータス!$C$2,0)</f>
        <v>14736</v>
      </c>
      <c r="AL1072" s="99">
        <f ca="1">ROUND(VLOOKUP(100,enemy_base_stats!$A:$F,4,FALSE)* AA1072* L1072*Q1072*G1072*U1072*AF1072*[2]ステータス!$D$2,0)</f>
        <v>0</v>
      </c>
      <c r="AM1072" s="97">
        <f ca="1">VLOOKUP(M1072,[2]character_tribe_i18n!$A:$I,9,FALSE)</f>
        <v>680</v>
      </c>
      <c r="AN1072" s="97">
        <v>0</v>
      </c>
      <c r="AO1072" s="98">
        <v>0</v>
      </c>
      <c r="AP1072" s="58" t="s">
        <v>72</v>
      </c>
      <c r="AQ1072" s="34">
        <f t="shared" ca="1" si="59"/>
        <v>1071</v>
      </c>
    </row>
    <row r="1073" spans="1:43" ht="21" customHeight="1" x14ac:dyDescent="0.15">
      <c r="A1073" s="7">
        <f t="shared" ca="1" si="57"/>
        <v>1072</v>
      </c>
      <c r="B1073" s="6" t="str">
        <f ca="1">VLOOKUP(A1073,[2]characters!$A:$C,3,FALSE)</f>
        <v>エンキドゥ</v>
      </c>
      <c r="C1073" s="9">
        <f ca="1">VLOOKUP(A1073,[2]characters!$A:$I,9,FALSE)</f>
        <v>5</v>
      </c>
      <c r="D1073" s="9" t="str">
        <f ca="1">VLOOKUP(A1073,[2]characters!$A:$H,8,FALSE)</f>
        <v>blue</v>
      </c>
      <c r="E1073" s="97">
        <f ca="1">VLOOKUP(D1073,[2]属性!$A:$E,2,FALSE)</f>
        <v>1</v>
      </c>
      <c r="F1073" s="97">
        <f ca="1">VLOOKUP(D1073,[2]属性!$A:$E,3,FALSE)</f>
        <v>0.98</v>
      </c>
      <c r="G1073" s="97">
        <f ca="1">VLOOKUP(D1073,[2]属性!$A:$F,4,FALSE)</f>
        <v>1</v>
      </c>
      <c r="H1073" s="9" t="str">
        <f ca="1">VLOOKUP(A1073,[2]characters!$A:$K,11,FALSE)</f>
        <v>attack</v>
      </c>
      <c r="I1073" s="6" t="str">
        <f ca="1">VLOOKUP(H1073,[2]character_type_i18n!$A:$F,3,FALSE)</f>
        <v>攻撃タイプ</v>
      </c>
      <c r="J1073" s="97">
        <f ca="1">VLOOKUP(H1073,[2]character_type_i18n!$A:$F,4,FALSE)</f>
        <v>1</v>
      </c>
      <c r="K1073" s="97">
        <f ca="1">VLOOKUP(H1073,[2]character_type_i18n!$A:$F,5,FALSE)</f>
        <v>1.33</v>
      </c>
      <c r="L1073" s="97">
        <f ca="1">VLOOKUP(H1073,[2]character_type_i18n!$A:$F,6,FALSE)</f>
        <v>1</v>
      </c>
      <c r="M1073" s="9" t="str">
        <f ca="1">VLOOKUP(A1073,[2]characters!$A:$M,13,FALSE)</f>
        <v>human</v>
      </c>
      <c r="N1073" s="6" t="str">
        <f ca="1">VLOOKUP(M1073,[2]character_tribe_i18n!$A:$F,3,FALSE)</f>
        <v>ヒューマン</v>
      </c>
      <c r="O1073" s="97">
        <f ca="1">VLOOKUP(M1073,[2]character_tribe_i18n!$A:$F,4,FALSE)</f>
        <v>0.94</v>
      </c>
      <c r="P1073" s="97">
        <f ca="1">VLOOKUP(M1073,[2]character_tribe_i18n!$A:$F,5,FALSE)</f>
        <v>0.99</v>
      </c>
      <c r="Q1073" s="97">
        <f ca="1">VLOOKUP(M1073,[2]character_tribe_i18n!$A:$F,6,FALSE)</f>
        <v>1</v>
      </c>
      <c r="R1073" s="98" t="s">
        <v>98</v>
      </c>
      <c r="S1073" s="97">
        <f>VLOOKUP($R1073,ラベル別係数!$A$1:$E$7,3,FALSE)</f>
        <v>5</v>
      </c>
      <c r="T1073" s="97">
        <f>VLOOKUP($R1073,ラベル別係数!$A$1:$E$7,4,FALSE)</f>
        <v>1.3</v>
      </c>
      <c r="U1073" s="97">
        <f>VLOOKUP($R1073,ラベル別係数!$A$1:$E$7,5,FALSE)</f>
        <v>0.8</v>
      </c>
      <c r="V1073" s="98">
        <v>3</v>
      </c>
      <c r="W1073" s="99">
        <f>VLOOKUP(V1073,ターン数別攻撃係数!$A$1:$B$1000,2,FALSE)</f>
        <v>1</v>
      </c>
      <c r="X1073" s="9">
        <f ca="1">VLOOKUP(C1073,サイズ別係数!A$2:B$9,2,FALSE)</f>
        <v>60</v>
      </c>
      <c r="Y1073" s="97">
        <f ca="1">VLOOKUP($X1073,サイズ別係数!$B:$E,2,FALSE)</f>
        <v>1.7</v>
      </c>
      <c r="Z1073" s="97">
        <f ca="1">VLOOKUP($X1073,サイズ別係数!$B:$E,3,FALSE)</f>
        <v>1.4</v>
      </c>
      <c r="AA1073" s="97">
        <f ca="1">VLOOKUP($X1073,サイズ別係数!$B:$E,4,FALSE)</f>
        <v>1</v>
      </c>
      <c r="AB1073" s="10">
        <v>0</v>
      </c>
      <c r="AC1073" s="6" t="str">
        <f ca="1">VLOOKUP($AB1073,OFFSET([3]enemy_skill_sets!$B$2,0,0,COUNTA([3]enemy_skill_sets!$A:$A),MATCH(AC$1,[3]enemy_skill_sets!$1:$1,0)-MATCH($AB$1,[3]enemy_skill_sets!$1:$1,0)+1),MATCH(AC$1,[3]enemy_skill_sets!$1:$1,0)-MATCH($AB$1,[3]enemy_skill_sets!$1:$1,0)+1,FALSE)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3" s="67">
        <v>1</v>
      </c>
      <c r="AE1073" s="67">
        <v>1</v>
      </c>
      <c r="AF1073" s="68">
        <v>0</v>
      </c>
      <c r="AG1073" s="99">
        <f ca="1">ROUND(VLOOKUP(1,enemy_base_stats!$A:$F,2,FALSE) * Y1073* J1073*O1073*E1073*S1073*AD1073*[2]ステータス!$B$2,0)</f>
        <v>3995</v>
      </c>
      <c r="AH1073" s="99">
        <f ca="1">ROUND(VLOOKUP(1,enemy_base_stats!$A:$F,3,FALSE) * Z1073*K1073*P1073*F1073*T1073*AE1073 * W1073*[2]ステータス!$C$2,0)</f>
        <v>352</v>
      </c>
      <c r="AI1073" s="99">
        <f ca="1">ROUND(VLOOKUP(1,enemy_base_stats!$A:$F,4,FALSE) * AA1073*L1073*Q1073*G1073*U1073*AF1073*[2]ステータス!$D$2,0)</f>
        <v>0</v>
      </c>
      <c r="AJ1073" s="99">
        <f ca="1">ROUND(VLOOKUP(100,enemy_base_stats!$A:$F,2,FALSE) * Y1073* J1073*O1073*E1073*S1073*AD1073*[2]ステータス!$B$2,0)</f>
        <v>162197</v>
      </c>
      <c r="AK1073" s="99">
        <f ca="1">ROUND(VLOOKUP(100,enemy_base_stats!$A:$F,3,FALSE)* Z1073* K1073*P1073*F1073*T1073*AE1073 * W1073*[2]ステータス!$C$2,0)</f>
        <v>14302</v>
      </c>
      <c r="AL1073" s="99">
        <f ca="1">ROUND(VLOOKUP(100,enemy_base_stats!$A:$F,4,FALSE)* AA1073* L1073*Q1073*G1073*U1073*AF1073*[2]ステータス!$D$2,0)</f>
        <v>0</v>
      </c>
      <c r="AM1073" s="97">
        <f ca="1">VLOOKUP(M1073,[2]character_tribe_i18n!$A:$I,9,FALSE)</f>
        <v>400</v>
      </c>
      <c r="AN1073" s="97">
        <v>0</v>
      </c>
      <c r="AO1073" s="98">
        <v>0</v>
      </c>
      <c r="AP1073" s="58" t="s">
        <v>72</v>
      </c>
      <c r="AQ1073" s="34">
        <f t="shared" ca="1" si="59"/>
        <v>1072</v>
      </c>
    </row>
    <row r="1074" spans="1:43" ht="21" customHeight="1" x14ac:dyDescent="0.15">
      <c r="A1074" s="7">
        <f t="shared" ca="1" si="57"/>
        <v>1073</v>
      </c>
      <c r="B1074" s="6" t="str">
        <f ca="1">VLOOKUP(A1074,[2]characters!$A:$C,3,FALSE)</f>
        <v>静穏なる獣勇 エンキドゥ</v>
      </c>
      <c r="C1074" s="9">
        <f ca="1">VLOOKUP(A1074,[2]characters!$A:$I,9,FALSE)</f>
        <v>6</v>
      </c>
      <c r="D1074" s="9" t="str">
        <f ca="1">VLOOKUP(A1074,[2]characters!$A:$H,8,FALSE)</f>
        <v>blue</v>
      </c>
      <c r="E1074" s="97">
        <f ca="1">VLOOKUP(D1074,[2]属性!$A:$E,2,FALSE)</f>
        <v>1</v>
      </c>
      <c r="F1074" s="97">
        <f ca="1">VLOOKUP(D1074,[2]属性!$A:$E,3,FALSE)</f>
        <v>0.98</v>
      </c>
      <c r="G1074" s="97">
        <f ca="1">VLOOKUP(D1074,[2]属性!$A:$F,4,FALSE)</f>
        <v>1</v>
      </c>
      <c r="H1074" s="9" t="str">
        <f ca="1">VLOOKUP(A1074,[2]characters!$A:$K,11,FALSE)</f>
        <v>attack</v>
      </c>
      <c r="I1074" s="6" t="str">
        <f ca="1">VLOOKUP(H1074,[2]character_type_i18n!$A:$F,3,FALSE)</f>
        <v>攻撃タイプ</v>
      </c>
      <c r="J1074" s="97">
        <f ca="1">VLOOKUP(H1074,[2]character_type_i18n!$A:$F,4,FALSE)</f>
        <v>1</v>
      </c>
      <c r="K1074" s="97">
        <f ca="1">VLOOKUP(H1074,[2]character_type_i18n!$A:$F,5,FALSE)</f>
        <v>1.33</v>
      </c>
      <c r="L1074" s="97">
        <f ca="1">VLOOKUP(H1074,[2]character_type_i18n!$A:$F,6,FALSE)</f>
        <v>1</v>
      </c>
      <c r="M1074" s="9" t="str">
        <f ca="1">VLOOKUP(A1074,[2]characters!$A:$M,13,FALSE)</f>
        <v>human</v>
      </c>
      <c r="N1074" s="6" t="str">
        <f ca="1">VLOOKUP(M1074,[2]character_tribe_i18n!$A:$F,3,FALSE)</f>
        <v>ヒューマン</v>
      </c>
      <c r="O1074" s="97">
        <f ca="1">VLOOKUP(M1074,[2]character_tribe_i18n!$A:$F,4,FALSE)</f>
        <v>0.94</v>
      </c>
      <c r="P1074" s="97">
        <f ca="1">VLOOKUP(M1074,[2]character_tribe_i18n!$A:$F,5,FALSE)</f>
        <v>0.99</v>
      </c>
      <c r="Q1074" s="97">
        <f ca="1">VLOOKUP(M1074,[2]character_tribe_i18n!$A:$F,6,FALSE)</f>
        <v>1</v>
      </c>
      <c r="R1074" s="98" t="s">
        <v>98</v>
      </c>
      <c r="S1074" s="97">
        <f>VLOOKUP($R1074,ラベル別係数!$A$1:$E$7,3,FALSE)</f>
        <v>5</v>
      </c>
      <c r="T1074" s="97">
        <f>VLOOKUP($R1074,ラベル別係数!$A$1:$E$7,4,FALSE)</f>
        <v>1.3</v>
      </c>
      <c r="U1074" s="97">
        <f>VLOOKUP($R1074,ラベル別係数!$A$1:$E$7,5,FALSE)</f>
        <v>0.8</v>
      </c>
      <c r="V1074" s="98">
        <v>3</v>
      </c>
      <c r="W1074" s="99">
        <f>VLOOKUP(V1074,ターン数別攻撃係数!$A$1:$B$1000,2,FALSE)</f>
        <v>1</v>
      </c>
      <c r="X1074" s="9">
        <f ca="1">VLOOKUP(C1074,サイズ別係数!A$2:B$9,2,FALSE)</f>
        <v>60</v>
      </c>
      <c r="Y1074" s="97">
        <f ca="1">VLOOKUP($X1074,サイズ別係数!$B:$E,2,FALSE)</f>
        <v>1.7</v>
      </c>
      <c r="Z1074" s="97">
        <f ca="1">VLOOKUP($X1074,サイズ別係数!$B:$E,3,FALSE)</f>
        <v>1.4</v>
      </c>
      <c r="AA1074" s="97">
        <f ca="1">VLOOKUP($X1074,サイズ別係数!$B:$E,4,FALSE)</f>
        <v>1</v>
      </c>
      <c r="AB1074" s="10">
        <v>0</v>
      </c>
      <c r="AC1074" s="6" t="str">
        <f ca="1">VLOOKUP($AB1074,OFFSET([3]enemy_skill_sets!$B$2,0,0,COUNTA([3]enemy_skill_sets!$A:$A),MATCH(AC$1,[3]enemy_skill_sets!$1:$1,0)-MATCH($AB$1,[3]enemy_skill_sets!$1:$1,0)+1),MATCH(AC$1,[3]enemy_skill_sets!$1:$1,0)-MATCH($AB$1,[3]enemy_skill_sets!$1:$1,0)+1,FALSE)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4" s="67">
        <v>1</v>
      </c>
      <c r="AE1074" s="67">
        <v>1</v>
      </c>
      <c r="AF1074" s="68">
        <v>0</v>
      </c>
      <c r="AG1074" s="99">
        <f ca="1">ROUND(VLOOKUP(1,enemy_base_stats!$A:$F,2,FALSE) * Y1074* J1074*O1074*E1074*S1074*AD1074*[2]ステータス!$B$2,0)</f>
        <v>3995</v>
      </c>
      <c r="AH1074" s="99">
        <f ca="1">ROUND(VLOOKUP(1,enemy_base_stats!$A:$F,3,FALSE) * Z1074*K1074*P1074*F1074*T1074*AE1074 * W1074*[2]ステータス!$C$2,0)</f>
        <v>352</v>
      </c>
      <c r="AI1074" s="99">
        <f ca="1">ROUND(VLOOKUP(1,enemy_base_stats!$A:$F,4,FALSE) * AA1074*L1074*Q1074*G1074*U1074*AF1074*[2]ステータス!$D$2,0)</f>
        <v>0</v>
      </c>
      <c r="AJ1074" s="99">
        <f ca="1">ROUND(VLOOKUP(100,enemy_base_stats!$A:$F,2,FALSE) * Y1074* J1074*O1074*E1074*S1074*AD1074*[2]ステータス!$B$2,0)</f>
        <v>162197</v>
      </c>
      <c r="AK1074" s="99">
        <f ca="1">ROUND(VLOOKUP(100,enemy_base_stats!$A:$F,3,FALSE)* Z1074* K1074*P1074*F1074*T1074*AE1074 * W1074*[2]ステータス!$C$2,0)</f>
        <v>14302</v>
      </c>
      <c r="AL1074" s="99">
        <f ca="1">ROUND(VLOOKUP(100,enemy_base_stats!$A:$F,4,FALSE)* AA1074* L1074*Q1074*G1074*U1074*AF1074*[2]ステータス!$D$2,0)</f>
        <v>0</v>
      </c>
      <c r="AM1074" s="97">
        <f ca="1">VLOOKUP(M1074,[2]character_tribe_i18n!$A:$I,9,FALSE)</f>
        <v>400</v>
      </c>
      <c r="AN1074" s="97">
        <v>0</v>
      </c>
      <c r="AO1074" s="98">
        <v>0</v>
      </c>
      <c r="AP1074" s="58" t="s">
        <v>72</v>
      </c>
      <c r="AQ1074" s="34">
        <f t="shared" ca="1" si="59"/>
        <v>1073</v>
      </c>
    </row>
    <row r="1075" spans="1:43" ht="21" customHeight="1" x14ac:dyDescent="0.15">
      <c r="A1075" s="7">
        <f t="shared" ca="1" si="57"/>
        <v>1074</v>
      </c>
      <c r="B1075" s="6" t="str">
        <f ca="1">VLOOKUP(A1075,[2]characters!$A:$C,3,FALSE)</f>
        <v>マルドゥク</v>
      </c>
      <c r="C1075" s="9">
        <f ca="1">VLOOKUP(A1075,[2]characters!$A:$I,9,FALSE)</f>
        <v>5</v>
      </c>
      <c r="D1075" s="9" t="str">
        <f ca="1">VLOOKUP(A1075,[2]characters!$A:$H,8,FALSE)</f>
        <v>yellow</v>
      </c>
      <c r="E1075" s="97">
        <f ca="1">VLOOKUP(D1075,[2]属性!$A:$E,2,FALSE)</f>
        <v>0.98</v>
      </c>
      <c r="F1075" s="97">
        <f ca="1">VLOOKUP(D1075,[2]属性!$A:$E,3,FALSE)</f>
        <v>1.01</v>
      </c>
      <c r="G1075" s="97">
        <f ca="1">VLOOKUP(D1075,[2]属性!$A:$F,4,FALSE)</f>
        <v>1</v>
      </c>
      <c r="H1075" s="100" t="s">
        <v>155</v>
      </c>
      <c r="I1075" s="6" t="str">
        <f>VLOOKUP(H1075,[2]character_type_i18n!$A:$F,3,FALSE)</f>
        <v>テクニカルタイプ</v>
      </c>
      <c r="J1075" s="97">
        <f>VLOOKUP(H1075,[2]character_type_i18n!$A:$F,4,FALSE)</f>
        <v>0.9</v>
      </c>
      <c r="K1075" s="97">
        <f>VLOOKUP(H1075,[2]character_type_i18n!$A:$F,5,FALSE)</f>
        <v>0.9</v>
      </c>
      <c r="L1075" s="97">
        <f>VLOOKUP(H1075,[2]character_type_i18n!$A:$F,6,FALSE)</f>
        <v>1</v>
      </c>
      <c r="M1075" s="9" t="str">
        <f ca="1">VLOOKUP(A1075,[2]characters!$A:$M,13,FALSE)</f>
        <v>god</v>
      </c>
      <c r="N1075" s="6" t="str">
        <f ca="1">VLOOKUP(M1075,[2]character_tribe_i18n!$A:$F,3,FALSE)</f>
        <v>ゴッド</v>
      </c>
      <c r="O1075" s="97">
        <f ca="1">VLOOKUP(M1075,[2]character_tribe_i18n!$A:$F,4,FALSE)</f>
        <v>0.96</v>
      </c>
      <c r="P1075" s="97">
        <f ca="1">VLOOKUP(M1075,[2]character_tribe_i18n!$A:$F,5,FALSE)</f>
        <v>1.02</v>
      </c>
      <c r="Q1075" s="97">
        <f ca="1">VLOOKUP(M1075,[2]character_tribe_i18n!$A:$F,6,FALSE)</f>
        <v>1</v>
      </c>
      <c r="R1075" s="98" t="s">
        <v>98</v>
      </c>
      <c r="S1075" s="97">
        <f>VLOOKUP($R1075,ラベル別係数!$A$1:$E$7,3,FALSE)</f>
        <v>5</v>
      </c>
      <c r="T1075" s="97">
        <f>VLOOKUP($R1075,ラベル別係数!$A$1:$E$7,4,FALSE)</f>
        <v>1.3</v>
      </c>
      <c r="U1075" s="97">
        <f>VLOOKUP($R1075,ラベル別係数!$A$1:$E$7,5,FALSE)</f>
        <v>0.8</v>
      </c>
      <c r="V1075" s="98">
        <v>3</v>
      </c>
      <c r="W1075" s="99">
        <f>VLOOKUP(V1075,ターン数別攻撃係数!$A$1:$B$1000,2,FALSE)</f>
        <v>1</v>
      </c>
      <c r="X1075" s="9">
        <f ca="1">VLOOKUP(C1075,サイズ別係数!A$2:B$9,2,FALSE)</f>
        <v>60</v>
      </c>
      <c r="Y1075" s="97">
        <f ca="1">VLOOKUP($X1075,サイズ別係数!$B:$E,2,FALSE)</f>
        <v>1.7</v>
      </c>
      <c r="Z1075" s="97">
        <f ca="1">VLOOKUP($X1075,サイズ別係数!$B:$E,3,FALSE)</f>
        <v>1.4</v>
      </c>
      <c r="AA1075" s="97">
        <f ca="1">VLOOKUP($X1075,サイズ別係数!$B:$E,4,FALSE)</f>
        <v>1</v>
      </c>
      <c r="AB1075" s="10">
        <v>0</v>
      </c>
      <c r="AC1075" s="6" t="str">
        <f ca="1">VLOOKUP($AB1075,OFFSET([3]enemy_skill_sets!$B$2,0,0,COUNTA([3]enemy_skill_sets!$A:$A),MATCH(AC$1,[3]enemy_skill_sets!$1:$1,0)-MATCH($AB$1,[3]enemy_skill_sets!$1:$1,0)+1),MATCH(AC$1,[3]enemy_skill_sets!$1:$1,0)-MATCH($AB$1,[3]enemy_skill_sets!$1:$1,0)+1,FALSE)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5" s="67">
        <v>1</v>
      </c>
      <c r="AE1075" s="67">
        <v>1</v>
      </c>
      <c r="AF1075" s="68">
        <v>0</v>
      </c>
      <c r="AG1075" s="99">
        <f ca="1">ROUND(VLOOKUP(1,enemy_base_stats!$A:$F,2,FALSE) * Y1075* J1075*O1075*E1075*S1075*AD1075*[2]ステータス!$B$2,0)</f>
        <v>3599</v>
      </c>
      <c r="AH1075" s="99">
        <f ca="1">ROUND(VLOOKUP(1,enemy_base_stats!$A:$F,3,FALSE) * Z1075*K1075*P1075*F1075*T1075*AE1075 * W1075*[2]ステータス!$C$2,0)</f>
        <v>253</v>
      </c>
      <c r="AI1075" s="99">
        <f ca="1">ROUND(VLOOKUP(1,enemy_base_stats!$A:$F,4,FALSE) * AA1075*L1075*Q1075*G1075*U1075*AF1075*[2]ステータス!$D$2,0)</f>
        <v>0</v>
      </c>
      <c r="AJ1075" s="99">
        <f ca="1">ROUND(VLOOKUP(100,enemy_base_stats!$A:$F,2,FALSE) * Y1075* J1075*O1075*E1075*S1075*AD1075*[2]ステータス!$B$2,0)</f>
        <v>146102</v>
      </c>
      <c r="AK1075" s="99">
        <f ca="1">ROUND(VLOOKUP(100,enemy_base_stats!$A:$F,3,FALSE)* Z1075* K1075*P1075*F1075*T1075*AE1075 * W1075*[2]ステータス!$C$2,0)</f>
        <v>10277</v>
      </c>
      <c r="AL1075" s="99">
        <f ca="1">ROUND(VLOOKUP(100,enemy_base_stats!$A:$F,4,FALSE)* AA1075* L1075*Q1075*G1075*U1075*AF1075*[2]ステータス!$D$2,0)</f>
        <v>0</v>
      </c>
      <c r="AM1075" s="97">
        <f ca="1">VLOOKUP(M1075,[2]character_tribe_i18n!$A:$I,9,FALSE)</f>
        <v>680</v>
      </c>
      <c r="AN1075" s="97">
        <v>0</v>
      </c>
      <c r="AO1075" s="98">
        <v>0</v>
      </c>
      <c r="AP1075" s="58" t="s">
        <v>72</v>
      </c>
      <c r="AQ1075" s="34">
        <f t="shared" ca="1" si="59"/>
        <v>1074</v>
      </c>
    </row>
    <row r="1076" spans="1:43" ht="21" customHeight="1" x14ac:dyDescent="0.15">
      <c r="A1076" s="7">
        <f t="shared" ca="1" si="57"/>
        <v>1075</v>
      </c>
      <c r="B1076" s="6" t="str">
        <f ca="1">VLOOKUP(A1076,[2]characters!$A:$C,3,FALSE)</f>
        <v>虚塔の神王 マルドゥク</v>
      </c>
      <c r="C1076" s="9">
        <f ca="1">VLOOKUP(A1076,[2]characters!$A:$I,9,FALSE)</f>
        <v>6</v>
      </c>
      <c r="D1076" s="9" t="str">
        <f ca="1">VLOOKUP(A1076,[2]characters!$A:$H,8,FALSE)</f>
        <v>yellow</v>
      </c>
      <c r="E1076" s="97">
        <f ca="1">VLOOKUP(D1076,[2]属性!$A:$E,2,FALSE)</f>
        <v>0.98</v>
      </c>
      <c r="F1076" s="97">
        <f ca="1">VLOOKUP(D1076,[2]属性!$A:$E,3,FALSE)</f>
        <v>1.01</v>
      </c>
      <c r="G1076" s="97">
        <f ca="1">VLOOKUP(D1076,[2]属性!$A:$F,4,FALSE)</f>
        <v>1</v>
      </c>
      <c r="H1076" s="100" t="s">
        <v>155</v>
      </c>
      <c r="I1076" s="6" t="str">
        <f>VLOOKUP(H1076,[2]character_type_i18n!$A:$F,3,FALSE)</f>
        <v>テクニカルタイプ</v>
      </c>
      <c r="J1076" s="97">
        <f>VLOOKUP(H1076,[2]character_type_i18n!$A:$F,4,FALSE)</f>
        <v>0.9</v>
      </c>
      <c r="K1076" s="97">
        <f>VLOOKUP(H1076,[2]character_type_i18n!$A:$F,5,FALSE)</f>
        <v>0.9</v>
      </c>
      <c r="L1076" s="97">
        <f>VLOOKUP(H1076,[2]character_type_i18n!$A:$F,6,FALSE)</f>
        <v>1</v>
      </c>
      <c r="M1076" s="9" t="str">
        <f ca="1">VLOOKUP(A1076,[2]characters!$A:$M,13,FALSE)</f>
        <v>god</v>
      </c>
      <c r="N1076" s="6" t="str">
        <f ca="1">VLOOKUP(M1076,[2]character_tribe_i18n!$A:$F,3,FALSE)</f>
        <v>ゴッド</v>
      </c>
      <c r="O1076" s="97">
        <f ca="1">VLOOKUP(M1076,[2]character_tribe_i18n!$A:$F,4,FALSE)</f>
        <v>0.96</v>
      </c>
      <c r="P1076" s="97">
        <f ca="1">VLOOKUP(M1076,[2]character_tribe_i18n!$A:$F,5,FALSE)</f>
        <v>1.02</v>
      </c>
      <c r="Q1076" s="97">
        <f ca="1">VLOOKUP(M1076,[2]character_tribe_i18n!$A:$F,6,FALSE)</f>
        <v>1</v>
      </c>
      <c r="R1076" s="98" t="s">
        <v>98</v>
      </c>
      <c r="S1076" s="97">
        <f>VLOOKUP($R1076,ラベル別係数!$A$1:$E$7,3,FALSE)</f>
        <v>5</v>
      </c>
      <c r="T1076" s="97">
        <f>VLOOKUP($R1076,ラベル別係数!$A$1:$E$7,4,FALSE)</f>
        <v>1.3</v>
      </c>
      <c r="U1076" s="97">
        <f>VLOOKUP($R1076,ラベル別係数!$A$1:$E$7,5,FALSE)</f>
        <v>0.8</v>
      </c>
      <c r="V1076" s="98">
        <v>3</v>
      </c>
      <c r="W1076" s="99">
        <f>VLOOKUP(V1076,ターン数別攻撃係数!$A$1:$B$1000,2,FALSE)</f>
        <v>1</v>
      </c>
      <c r="X1076" s="9">
        <f ca="1">VLOOKUP(C1076,サイズ別係数!A$2:B$9,2,FALSE)</f>
        <v>60</v>
      </c>
      <c r="Y1076" s="97">
        <f ca="1">VLOOKUP($X1076,サイズ別係数!$B:$E,2,FALSE)</f>
        <v>1.7</v>
      </c>
      <c r="Z1076" s="97">
        <f ca="1">VLOOKUP($X1076,サイズ別係数!$B:$E,3,FALSE)</f>
        <v>1.4</v>
      </c>
      <c r="AA1076" s="97">
        <f ca="1">VLOOKUP($X1076,サイズ別係数!$B:$E,4,FALSE)</f>
        <v>1</v>
      </c>
      <c r="AB1076" s="10">
        <v>0</v>
      </c>
      <c r="AC1076" s="6" t="str">
        <f ca="1">VLOOKUP($AB1076,OFFSET([3]enemy_skill_sets!$B$2,0,0,COUNTA([3]enemy_skill_sets!$A:$A),MATCH(AC$1,[3]enemy_skill_sets!$1:$1,0)-MATCH($AB$1,[3]enemy_skill_sets!$1:$1,0)+1),MATCH(AC$1,[3]enemy_skill_sets!$1:$1,0)-MATCH($AB$1,[3]enemy_skill_sets!$1:$1,0)+1,FALSE)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6" s="67">
        <v>1</v>
      </c>
      <c r="AE1076" s="67">
        <v>1</v>
      </c>
      <c r="AF1076" s="68">
        <v>0</v>
      </c>
      <c r="AG1076" s="99">
        <f ca="1">ROUND(VLOOKUP(1,enemy_base_stats!$A:$F,2,FALSE) * Y1076* J1076*O1076*E1076*S1076*AD1076*[2]ステータス!$B$2,0)</f>
        <v>3599</v>
      </c>
      <c r="AH1076" s="99">
        <f ca="1">ROUND(VLOOKUP(1,enemy_base_stats!$A:$F,3,FALSE) * Z1076*K1076*P1076*F1076*T1076*AE1076 * W1076*[2]ステータス!$C$2,0)</f>
        <v>253</v>
      </c>
      <c r="AI1076" s="99">
        <f ca="1">ROUND(VLOOKUP(1,enemy_base_stats!$A:$F,4,FALSE) * AA1076*L1076*Q1076*G1076*U1076*AF1076*[2]ステータス!$D$2,0)</f>
        <v>0</v>
      </c>
      <c r="AJ1076" s="99">
        <f ca="1">ROUND(VLOOKUP(100,enemy_base_stats!$A:$F,2,FALSE) * Y1076* J1076*O1076*E1076*S1076*AD1076*[2]ステータス!$B$2,0)</f>
        <v>146102</v>
      </c>
      <c r="AK1076" s="99">
        <f ca="1">ROUND(VLOOKUP(100,enemy_base_stats!$A:$F,3,FALSE)* Z1076* K1076*P1076*F1076*T1076*AE1076 * W1076*[2]ステータス!$C$2,0)</f>
        <v>10277</v>
      </c>
      <c r="AL1076" s="99">
        <f ca="1">ROUND(VLOOKUP(100,enemy_base_stats!$A:$F,4,FALSE)* AA1076* L1076*Q1076*G1076*U1076*AF1076*[2]ステータス!$D$2,0)</f>
        <v>0</v>
      </c>
      <c r="AM1076" s="97">
        <f ca="1">VLOOKUP(M1076,[2]character_tribe_i18n!$A:$I,9,FALSE)</f>
        <v>680</v>
      </c>
      <c r="AN1076" s="97">
        <v>0</v>
      </c>
      <c r="AO1076" s="98">
        <v>0</v>
      </c>
      <c r="AP1076" s="58" t="s">
        <v>72</v>
      </c>
      <c r="AQ1076" s="34">
        <f t="shared" ca="1" si="59"/>
        <v>1075</v>
      </c>
    </row>
    <row r="1077" spans="1:43" ht="21" customHeight="1" x14ac:dyDescent="0.15">
      <c r="A1077" s="7">
        <f t="shared" ca="1" si="57"/>
        <v>1076</v>
      </c>
      <c r="B1077" s="6" t="str">
        <f ca="1">VLOOKUP(A1077,[2]characters!$A:$C,3,FALSE)</f>
        <v>パレート</v>
      </c>
      <c r="C1077" s="9">
        <f ca="1">VLOOKUP(A1077,[2]characters!$A:$I,9,FALSE)</f>
        <v>5</v>
      </c>
      <c r="D1077" s="9" t="str">
        <f ca="1">VLOOKUP(A1077,[2]characters!$A:$H,8,FALSE)</f>
        <v>green</v>
      </c>
      <c r="E1077" s="97">
        <f ca="1">VLOOKUP(D1077,[2]属性!$A:$E,2,FALSE)</f>
        <v>1.02</v>
      </c>
      <c r="F1077" s="97">
        <f ca="1">VLOOKUP(D1077,[2]属性!$A:$E,3,FALSE)</f>
        <v>0.98</v>
      </c>
      <c r="G1077" s="97">
        <f ca="1">VLOOKUP(D1077,[2]属性!$A:$F,4,FALSE)</f>
        <v>1</v>
      </c>
      <c r="H1077" s="9" t="str">
        <f ca="1">VLOOKUP(A1077,[2]characters!$A:$K,11,FALSE)</f>
        <v>balance</v>
      </c>
      <c r="I1077" s="6" t="str">
        <f ca="1">VLOOKUP(H1077,[2]character_type_i18n!$A:$F,3,FALSE)</f>
        <v>バランスタイプ</v>
      </c>
      <c r="J1077" s="97">
        <f ca="1">VLOOKUP(H1077,[2]character_type_i18n!$A:$F,4,FALSE)</f>
        <v>1</v>
      </c>
      <c r="K1077" s="97">
        <f ca="1">VLOOKUP(H1077,[2]character_type_i18n!$A:$F,5,FALSE)</f>
        <v>1</v>
      </c>
      <c r="L1077" s="97">
        <f ca="1">VLOOKUP(H1077,[2]character_type_i18n!$A:$F,6,FALSE)</f>
        <v>1</v>
      </c>
      <c r="M1077" s="9" t="str">
        <f ca="1">VLOOKUP(A1077,[2]characters!$A:$M,13,FALSE)</f>
        <v>academia</v>
      </c>
      <c r="N1077" s="6" t="str">
        <f ca="1">VLOOKUP(M1077,[2]character_tribe_i18n!$A:$F,3,FALSE)</f>
        <v>アカデミア</v>
      </c>
      <c r="O1077" s="97">
        <f ca="1">VLOOKUP(M1077,[2]character_tribe_i18n!$A:$F,4,FALSE)</f>
        <v>1</v>
      </c>
      <c r="P1077" s="97">
        <f ca="1">VLOOKUP(M1077,[2]character_tribe_i18n!$A:$F,5,FALSE)</f>
        <v>1</v>
      </c>
      <c r="Q1077" s="97">
        <f ca="1">VLOOKUP(M1077,[2]character_tribe_i18n!$A:$F,6,FALSE)</f>
        <v>1</v>
      </c>
      <c r="R1077" s="98" t="s">
        <v>98</v>
      </c>
      <c r="S1077" s="97">
        <f>VLOOKUP($R1077,ラベル別係数!$A$1:$E$7,3,FALSE)</f>
        <v>5</v>
      </c>
      <c r="T1077" s="97">
        <f>VLOOKUP($R1077,ラベル別係数!$A$1:$E$7,4,FALSE)</f>
        <v>1.3</v>
      </c>
      <c r="U1077" s="97">
        <f>VLOOKUP($R1077,ラベル別係数!$A$1:$E$7,5,FALSE)</f>
        <v>0.8</v>
      </c>
      <c r="V1077" s="98">
        <v>3</v>
      </c>
      <c r="W1077" s="99">
        <f>VLOOKUP(V1077,ターン数別攻撃係数!$A$1:$B$1000,2,FALSE)</f>
        <v>1</v>
      </c>
      <c r="X1077" s="9">
        <f ca="1">VLOOKUP(C1077,サイズ別係数!A$2:B$9,2,FALSE)</f>
        <v>60</v>
      </c>
      <c r="Y1077" s="97">
        <f ca="1">VLOOKUP($X1077,サイズ別係数!$B:$E,2,FALSE)</f>
        <v>1.7</v>
      </c>
      <c r="Z1077" s="97">
        <f ca="1">VLOOKUP($X1077,サイズ別係数!$B:$E,3,FALSE)</f>
        <v>1.4</v>
      </c>
      <c r="AA1077" s="97">
        <f ca="1">VLOOKUP($X1077,サイズ別係数!$B:$E,4,FALSE)</f>
        <v>1</v>
      </c>
      <c r="AB1077" s="10">
        <v>0</v>
      </c>
      <c r="AC1077" s="6" t="str">
        <f ca="1">VLOOKUP($AB1077,OFFSET([3]enemy_skill_sets!$B$2,0,0,COUNTA([3]enemy_skill_sets!$A:$A),MATCH(AC$1,[3]enemy_skill_sets!$1:$1,0)-MATCH($AB$1,[3]enemy_skill_sets!$1:$1,0)+1),MATCH(AC$1,[3]enemy_skill_sets!$1:$1,0)-MATCH($AB$1,[3]enemy_skill_sets!$1:$1,0)+1,FALSE)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7" s="67">
        <v>1</v>
      </c>
      <c r="AE1077" s="67">
        <v>1</v>
      </c>
      <c r="AF1077" s="68">
        <v>0</v>
      </c>
      <c r="AG1077" s="99">
        <f ca="1">ROUND(VLOOKUP(1,enemy_base_stats!$A:$F,2,FALSE) * Y1077* J1077*O1077*E1077*S1077*AD1077*[2]ステータス!$B$2,0)</f>
        <v>4335</v>
      </c>
      <c r="AH1077" s="99">
        <f ca="1">ROUND(VLOOKUP(1,enemy_base_stats!$A:$F,3,FALSE) * Z1077*K1077*P1077*F1077*T1077*AE1077 * W1077*[2]ステータス!$C$2,0)</f>
        <v>268</v>
      </c>
      <c r="AI1077" s="99">
        <f ca="1">ROUND(VLOOKUP(1,enemy_base_stats!$A:$F,4,FALSE) * AA1077*L1077*Q1077*G1077*U1077*AF1077*[2]ステータス!$D$2,0)</f>
        <v>0</v>
      </c>
      <c r="AJ1077" s="99">
        <f ca="1">ROUND(VLOOKUP(100,enemy_base_stats!$A:$F,2,FALSE) * Y1077* J1077*O1077*E1077*S1077*AD1077*[2]ステータス!$B$2,0)</f>
        <v>176001</v>
      </c>
      <c r="AK1077" s="99">
        <f ca="1">ROUND(VLOOKUP(100,enemy_base_stats!$A:$F,3,FALSE)* Z1077* K1077*P1077*F1077*T1077*AE1077 * W1077*[2]ステータス!$C$2,0)</f>
        <v>10862</v>
      </c>
      <c r="AL1077" s="99">
        <f ca="1">ROUND(VLOOKUP(100,enemy_base_stats!$A:$F,4,FALSE)* AA1077* L1077*Q1077*G1077*U1077*AF1077*[2]ステータス!$D$2,0)</f>
        <v>0</v>
      </c>
      <c r="AM1077" s="97">
        <f ca="1">VLOOKUP(M1077,[2]character_tribe_i18n!$A:$I,9,FALSE)</f>
        <v>400</v>
      </c>
      <c r="AN1077" s="97">
        <v>0</v>
      </c>
      <c r="AO1077" s="98">
        <v>0</v>
      </c>
      <c r="AP1077" s="58" t="s">
        <v>72</v>
      </c>
      <c r="AQ1077" s="34">
        <f t="shared" ca="1" si="59"/>
        <v>1076</v>
      </c>
    </row>
    <row r="1078" spans="1:43" ht="21" customHeight="1" x14ac:dyDescent="0.15">
      <c r="A1078" s="7">
        <f t="shared" ca="1" si="57"/>
        <v>1077</v>
      </c>
      <c r="B1078" s="6" t="str">
        <f ca="1">VLOOKUP(A1078,[2]characters!$A:$C,3,FALSE)</f>
        <v>彩適な幸詠隊 パレート</v>
      </c>
      <c r="C1078" s="9">
        <f ca="1">VLOOKUP(A1078,[2]characters!$A:$I,9,FALSE)</f>
        <v>6</v>
      </c>
      <c r="D1078" s="9" t="str">
        <f ca="1">VLOOKUP(A1078,[2]characters!$A:$H,8,FALSE)</f>
        <v>green</v>
      </c>
      <c r="E1078" s="97">
        <f ca="1">VLOOKUP(D1078,[2]属性!$A:$E,2,FALSE)</f>
        <v>1.02</v>
      </c>
      <c r="F1078" s="97">
        <f ca="1">VLOOKUP(D1078,[2]属性!$A:$E,3,FALSE)</f>
        <v>0.98</v>
      </c>
      <c r="G1078" s="97">
        <f ca="1">VLOOKUP(D1078,[2]属性!$A:$F,4,FALSE)</f>
        <v>1</v>
      </c>
      <c r="H1078" s="9" t="str">
        <f ca="1">VLOOKUP(A1078,[2]characters!$A:$K,11,FALSE)</f>
        <v>balance</v>
      </c>
      <c r="I1078" s="6" t="str">
        <f ca="1">VLOOKUP(H1078,[2]character_type_i18n!$A:$F,3,FALSE)</f>
        <v>バランスタイプ</v>
      </c>
      <c r="J1078" s="97">
        <f ca="1">VLOOKUP(H1078,[2]character_type_i18n!$A:$F,4,FALSE)</f>
        <v>1</v>
      </c>
      <c r="K1078" s="97">
        <f ca="1">VLOOKUP(H1078,[2]character_type_i18n!$A:$F,5,FALSE)</f>
        <v>1</v>
      </c>
      <c r="L1078" s="97">
        <f ca="1">VLOOKUP(H1078,[2]character_type_i18n!$A:$F,6,FALSE)</f>
        <v>1</v>
      </c>
      <c r="M1078" s="9" t="str">
        <f ca="1">VLOOKUP(A1078,[2]characters!$A:$M,13,FALSE)</f>
        <v>academia</v>
      </c>
      <c r="N1078" s="6" t="str">
        <f ca="1">VLOOKUP(M1078,[2]character_tribe_i18n!$A:$F,3,FALSE)</f>
        <v>アカデミア</v>
      </c>
      <c r="O1078" s="97">
        <f ca="1">VLOOKUP(M1078,[2]character_tribe_i18n!$A:$F,4,FALSE)</f>
        <v>1</v>
      </c>
      <c r="P1078" s="97">
        <f ca="1">VLOOKUP(M1078,[2]character_tribe_i18n!$A:$F,5,FALSE)</f>
        <v>1</v>
      </c>
      <c r="Q1078" s="97">
        <f ca="1">VLOOKUP(M1078,[2]character_tribe_i18n!$A:$F,6,FALSE)</f>
        <v>1</v>
      </c>
      <c r="R1078" s="98" t="s">
        <v>98</v>
      </c>
      <c r="S1078" s="97">
        <f>VLOOKUP($R1078,ラベル別係数!$A$1:$E$7,3,FALSE)</f>
        <v>5</v>
      </c>
      <c r="T1078" s="97">
        <f>VLOOKUP($R1078,ラベル別係数!$A$1:$E$7,4,FALSE)</f>
        <v>1.3</v>
      </c>
      <c r="U1078" s="97">
        <f>VLOOKUP($R1078,ラベル別係数!$A$1:$E$7,5,FALSE)</f>
        <v>0.8</v>
      </c>
      <c r="V1078" s="98">
        <v>3</v>
      </c>
      <c r="W1078" s="99">
        <f>VLOOKUP(V1078,ターン数別攻撃係数!$A$1:$B$1000,2,FALSE)</f>
        <v>1</v>
      </c>
      <c r="X1078" s="9">
        <f ca="1">VLOOKUP(C1078,サイズ別係数!A$2:B$9,2,FALSE)</f>
        <v>60</v>
      </c>
      <c r="Y1078" s="97">
        <f ca="1">VLOOKUP($X1078,サイズ別係数!$B:$E,2,FALSE)</f>
        <v>1.7</v>
      </c>
      <c r="Z1078" s="97">
        <f ca="1">VLOOKUP($X1078,サイズ別係数!$B:$E,3,FALSE)</f>
        <v>1.4</v>
      </c>
      <c r="AA1078" s="97">
        <f ca="1">VLOOKUP($X1078,サイズ別係数!$B:$E,4,FALSE)</f>
        <v>1</v>
      </c>
      <c r="AB1078" s="10">
        <v>0</v>
      </c>
      <c r="AC1078" s="6" t="str">
        <f ca="1">VLOOKUP($AB1078,OFFSET([3]enemy_skill_sets!$B$2,0,0,COUNTA([3]enemy_skill_sets!$A:$A),MATCH(AC$1,[3]enemy_skill_sets!$1:$1,0)-MATCH($AB$1,[3]enemy_skill_sets!$1:$1,0)+1),MATCH(AC$1,[3]enemy_skill_sets!$1:$1,0)-MATCH($AB$1,[3]enemy_skill_sets!$1:$1,0)+1,FALSE)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8" s="67">
        <v>1</v>
      </c>
      <c r="AE1078" s="67">
        <v>1</v>
      </c>
      <c r="AF1078" s="68">
        <v>0</v>
      </c>
      <c r="AG1078" s="99">
        <f ca="1">ROUND(VLOOKUP(1,enemy_base_stats!$A:$F,2,FALSE) * Y1078* J1078*O1078*E1078*S1078*AD1078*[2]ステータス!$B$2,0)</f>
        <v>4335</v>
      </c>
      <c r="AH1078" s="99">
        <f ca="1">ROUND(VLOOKUP(1,enemy_base_stats!$A:$F,3,FALSE) * Z1078*K1078*P1078*F1078*T1078*AE1078 * W1078*[2]ステータス!$C$2,0)</f>
        <v>268</v>
      </c>
      <c r="AI1078" s="99">
        <f ca="1">ROUND(VLOOKUP(1,enemy_base_stats!$A:$F,4,FALSE) * AA1078*L1078*Q1078*G1078*U1078*AF1078*[2]ステータス!$D$2,0)</f>
        <v>0</v>
      </c>
      <c r="AJ1078" s="99">
        <f ca="1">ROUND(VLOOKUP(100,enemy_base_stats!$A:$F,2,FALSE) * Y1078* J1078*O1078*E1078*S1078*AD1078*[2]ステータス!$B$2,0)</f>
        <v>176001</v>
      </c>
      <c r="AK1078" s="99">
        <f ca="1">ROUND(VLOOKUP(100,enemy_base_stats!$A:$F,3,FALSE)* Z1078* K1078*P1078*F1078*T1078*AE1078 * W1078*[2]ステータス!$C$2,0)</f>
        <v>10862</v>
      </c>
      <c r="AL1078" s="99">
        <f ca="1">ROUND(VLOOKUP(100,enemy_base_stats!$A:$F,4,FALSE)* AA1078* L1078*Q1078*G1078*U1078*AF1078*[2]ステータス!$D$2,0)</f>
        <v>0</v>
      </c>
      <c r="AM1078" s="97">
        <f ca="1">VLOOKUP(M1078,[2]character_tribe_i18n!$A:$I,9,FALSE)</f>
        <v>400</v>
      </c>
      <c r="AN1078" s="97">
        <v>0</v>
      </c>
      <c r="AO1078" s="98">
        <v>0</v>
      </c>
      <c r="AP1078" s="58" t="s">
        <v>72</v>
      </c>
      <c r="AQ1078" s="34">
        <f t="shared" ca="1" si="59"/>
        <v>1077</v>
      </c>
    </row>
    <row r="1079" spans="1:43" ht="21" customHeight="1" x14ac:dyDescent="0.15">
      <c r="A1079" s="7">
        <f t="shared" ca="1" si="57"/>
        <v>1078</v>
      </c>
      <c r="B1079" s="6" t="str">
        <f ca="1">VLOOKUP(A1079,[2]characters!$A:$C,3,FALSE)</f>
        <v>合奏の飛論理 パレート</v>
      </c>
      <c r="C1079" s="9">
        <f ca="1">VLOOKUP(A1079,[2]characters!$A:$I,9,FALSE)</f>
        <v>6</v>
      </c>
      <c r="D1079" s="9" t="str">
        <f ca="1">VLOOKUP(A1079,[2]characters!$A:$H,8,FALSE)</f>
        <v>green</v>
      </c>
      <c r="E1079" s="97">
        <f ca="1">VLOOKUP(D1079,[2]属性!$A:$E,2,FALSE)</f>
        <v>1.02</v>
      </c>
      <c r="F1079" s="97">
        <f ca="1">VLOOKUP(D1079,[2]属性!$A:$E,3,FALSE)</f>
        <v>0.98</v>
      </c>
      <c r="G1079" s="97">
        <f ca="1">VLOOKUP(D1079,[2]属性!$A:$F,4,FALSE)</f>
        <v>1</v>
      </c>
      <c r="H1079" s="9" t="str">
        <f ca="1">VLOOKUP(A1079,[2]characters!$A:$K,11,FALSE)</f>
        <v>balance</v>
      </c>
      <c r="I1079" s="6" t="str">
        <f ca="1">VLOOKUP(H1079,[2]character_type_i18n!$A:$F,3,FALSE)</f>
        <v>バランスタイプ</v>
      </c>
      <c r="J1079" s="97">
        <f ca="1">VLOOKUP(H1079,[2]character_type_i18n!$A:$F,4,FALSE)</f>
        <v>1</v>
      </c>
      <c r="K1079" s="97">
        <f ca="1">VLOOKUP(H1079,[2]character_type_i18n!$A:$F,5,FALSE)</f>
        <v>1</v>
      </c>
      <c r="L1079" s="97">
        <f ca="1">VLOOKUP(H1079,[2]character_type_i18n!$A:$F,6,FALSE)</f>
        <v>1</v>
      </c>
      <c r="M1079" s="9" t="str">
        <f ca="1">VLOOKUP(A1079,[2]characters!$A:$M,13,FALSE)</f>
        <v>academia</v>
      </c>
      <c r="N1079" s="6" t="str">
        <f ca="1">VLOOKUP(M1079,[2]character_tribe_i18n!$A:$F,3,FALSE)</f>
        <v>アカデミア</v>
      </c>
      <c r="O1079" s="97">
        <f ca="1">VLOOKUP(M1079,[2]character_tribe_i18n!$A:$F,4,FALSE)</f>
        <v>1</v>
      </c>
      <c r="P1079" s="97">
        <f ca="1">VLOOKUP(M1079,[2]character_tribe_i18n!$A:$F,5,FALSE)</f>
        <v>1</v>
      </c>
      <c r="Q1079" s="97">
        <f ca="1">VLOOKUP(M1079,[2]character_tribe_i18n!$A:$F,6,FALSE)</f>
        <v>1</v>
      </c>
      <c r="R1079" s="98" t="s">
        <v>98</v>
      </c>
      <c r="S1079" s="97">
        <f>VLOOKUP($R1079,ラベル別係数!$A$1:$E$7,3,FALSE)</f>
        <v>5</v>
      </c>
      <c r="T1079" s="97">
        <f>VLOOKUP($R1079,ラベル別係数!$A$1:$E$7,4,FALSE)</f>
        <v>1.3</v>
      </c>
      <c r="U1079" s="97">
        <f>VLOOKUP($R1079,ラベル別係数!$A$1:$E$7,5,FALSE)</f>
        <v>0.8</v>
      </c>
      <c r="V1079" s="98">
        <v>3</v>
      </c>
      <c r="W1079" s="99">
        <f>VLOOKUP(V1079,ターン数別攻撃係数!$A$1:$B$1000,2,FALSE)</f>
        <v>1</v>
      </c>
      <c r="X1079" s="9">
        <f ca="1">VLOOKUP(C1079,サイズ別係数!A$2:B$9,2,FALSE)</f>
        <v>60</v>
      </c>
      <c r="Y1079" s="97">
        <f ca="1">VLOOKUP($X1079,サイズ別係数!$B:$E,2,FALSE)</f>
        <v>1.7</v>
      </c>
      <c r="Z1079" s="97">
        <f ca="1">VLOOKUP($X1079,サイズ別係数!$B:$E,3,FALSE)</f>
        <v>1.4</v>
      </c>
      <c r="AA1079" s="97">
        <f ca="1">VLOOKUP($X1079,サイズ別係数!$B:$E,4,FALSE)</f>
        <v>1</v>
      </c>
      <c r="AB1079" s="10">
        <v>0</v>
      </c>
      <c r="AC1079" s="6" t="str">
        <f ca="1">VLOOKUP($AB1079,OFFSET([3]enemy_skill_sets!$B$2,0,0,COUNTA([3]enemy_skill_sets!$A:$A),MATCH(AC$1,[3]enemy_skill_sets!$1:$1,0)-MATCH($AB$1,[3]enemy_skill_sets!$1:$1,0)+1),MATCH(AC$1,[3]enemy_skill_sets!$1:$1,0)-MATCH($AB$1,[3]enemy_skill_sets!$1:$1,0)+1,FALSE)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79" s="67">
        <v>1</v>
      </c>
      <c r="AE1079" s="67">
        <v>1</v>
      </c>
      <c r="AF1079" s="68">
        <v>0</v>
      </c>
      <c r="AG1079" s="99">
        <f ca="1">ROUND(VLOOKUP(1,enemy_base_stats!$A:$F,2,FALSE) * Y1079* J1079*O1079*E1079*S1079*AD1079*[2]ステータス!$B$2,0)</f>
        <v>4335</v>
      </c>
      <c r="AH1079" s="99">
        <f ca="1">ROUND(VLOOKUP(1,enemy_base_stats!$A:$F,3,FALSE) * Z1079*K1079*P1079*F1079*T1079*AE1079 * W1079*[2]ステータス!$C$2,0)</f>
        <v>268</v>
      </c>
      <c r="AI1079" s="99">
        <f ca="1">ROUND(VLOOKUP(1,enemy_base_stats!$A:$F,4,FALSE) * AA1079*L1079*Q1079*G1079*U1079*AF1079*[2]ステータス!$D$2,0)</f>
        <v>0</v>
      </c>
      <c r="AJ1079" s="99">
        <f ca="1">ROUND(VLOOKUP(100,enemy_base_stats!$A:$F,2,FALSE) * Y1079* J1079*O1079*E1079*S1079*AD1079*[2]ステータス!$B$2,0)</f>
        <v>176001</v>
      </c>
      <c r="AK1079" s="99">
        <f ca="1">ROUND(VLOOKUP(100,enemy_base_stats!$A:$F,3,FALSE)* Z1079* K1079*P1079*F1079*T1079*AE1079 * W1079*[2]ステータス!$C$2,0)</f>
        <v>10862</v>
      </c>
      <c r="AL1079" s="99">
        <f ca="1">ROUND(VLOOKUP(100,enemy_base_stats!$A:$F,4,FALSE)* AA1079* L1079*Q1079*G1079*U1079*AF1079*[2]ステータス!$D$2,0)</f>
        <v>0</v>
      </c>
      <c r="AM1079" s="97">
        <f ca="1">VLOOKUP(M1079,[2]character_tribe_i18n!$A:$I,9,FALSE)</f>
        <v>400</v>
      </c>
      <c r="AN1079" s="97">
        <v>0</v>
      </c>
      <c r="AO1079" s="98">
        <v>0</v>
      </c>
      <c r="AP1079" s="58" t="s">
        <v>72</v>
      </c>
      <c r="AQ1079" s="34">
        <f t="shared" ca="1" si="59"/>
        <v>1078</v>
      </c>
    </row>
    <row r="1080" spans="1:43" ht="21" customHeight="1" x14ac:dyDescent="0.15">
      <c r="A1080" s="7">
        <v>1079</v>
      </c>
      <c r="B1080" s="6" t="str">
        <f>VLOOKUP(A1080,[2]characters!$A:$C,3,FALSE)</f>
        <v>炎のアニバーサリーダック</v>
      </c>
      <c r="C1080" s="9">
        <f>VLOOKUP(A1080,[2]characters!$A:$I,9,FALSE)</f>
        <v>6</v>
      </c>
      <c r="D1080" s="9" t="str">
        <f>VLOOKUP(A1080,[2]characters!$A:$H,8,FALSE)</f>
        <v>red</v>
      </c>
      <c r="E1080" s="24">
        <f>VLOOKUP(D1080,[2]属性!$A:$E,2,FALSE)</f>
        <v>1</v>
      </c>
      <c r="F1080" s="24">
        <f>VLOOKUP(D1080,[2]属性!$A:$E,3,FALSE)</f>
        <v>1.02</v>
      </c>
      <c r="G1080" s="24">
        <f>VLOOKUP(D1080,[2]属性!$A:$F,4,FALSE)</f>
        <v>1</v>
      </c>
      <c r="H1080" s="9" t="str">
        <f>VLOOKUP(A1080,[2]characters!$A:$K,11,FALSE)</f>
        <v>exp</v>
      </c>
      <c r="I1080" s="14" t="str">
        <f>VLOOKUP(H1080,[2]character_type_i18n!$A:$F,3,FALSE)</f>
        <v>強化素材タイプ</v>
      </c>
      <c r="J1080" s="36">
        <f>VLOOKUP(H1080,[2]character_type_i18n!$A:$F,4,FALSE)</f>
        <v>0.1</v>
      </c>
      <c r="K1080" s="36">
        <f>VLOOKUP(H1080,[2]character_type_i18n!$A:$F,5,FALSE)</f>
        <v>0.05</v>
      </c>
      <c r="L1080" s="36">
        <f>VLOOKUP(H1080,[2]character_type_i18n!$A:$F,6,FALSE)</f>
        <v>1</v>
      </c>
      <c r="M1080" s="9" t="str">
        <f>VLOOKUP(A1080,[2]characters!$A:$M,13,FALSE)</f>
        <v>unknown</v>
      </c>
      <c r="N1080" s="14" t="str">
        <f>VLOOKUP(M1080,[2]character_tribe_i18n!$A:$F,3,FALSE)</f>
        <v>Unknown</v>
      </c>
      <c r="O1080" s="24">
        <f>VLOOKUP(M1080,[2]character_tribe_i18n!$A:$F,4,FALSE)</f>
        <v>1</v>
      </c>
      <c r="P1080" s="24">
        <f>VLOOKUP(M1080,[2]character_tribe_i18n!$A:$F,5,FALSE)</f>
        <v>1</v>
      </c>
      <c r="Q1080" s="24">
        <f>VLOOKUP(M1080,[2]character_tribe_i18n!$A:$F,6,FALSE)</f>
        <v>1</v>
      </c>
      <c r="R1080" s="25" t="s">
        <v>98</v>
      </c>
      <c r="S1080" s="24">
        <f>VLOOKUP($R1080,ラベル別係数!$A$1:$E$7,3,FALSE)</f>
        <v>5</v>
      </c>
      <c r="T1080" s="24">
        <f>VLOOKUP($R1080,ラベル別係数!$A$1:$E$7,4,FALSE)</f>
        <v>1.3</v>
      </c>
      <c r="U1080" s="24">
        <f>VLOOKUP($R1080,ラベル別係数!$A$1:$E$7,5,FALSE)</f>
        <v>0.8</v>
      </c>
      <c r="V1080" s="27">
        <v>3</v>
      </c>
      <c r="W1080" s="28">
        <f>VLOOKUP(V1080,ターン数別攻撃係数!$A$1:$B$1000,2,FALSE)</f>
        <v>1</v>
      </c>
      <c r="X1080" s="107">
        <v>20</v>
      </c>
      <c r="Y1080" s="26">
        <f>VLOOKUP($X1080,サイズ別係数!$B:$E,2,FALSE)</f>
        <v>1.1000000000000001</v>
      </c>
      <c r="Z1080" s="26">
        <f>VLOOKUP($X1080,サイズ別係数!$B:$E,3,FALSE)</f>
        <v>1.2</v>
      </c>
      <c r="AA1080" s="26">
        <f>VLOOKUP($X1080,サイズ別係数!$B:$E,4,FALSE)</f>
        <v>1.2</v>
      </c>
      <c r="AB1080" s="5">
        <v>0</v>
      </c>
      <c r="AC1080" s="34" t="str">
        <f ca="1">VLOOKUP($AB1080,OFFSET([3]enemy_skill_sets!$B$2,0,0,COUNTA([3]enemy_skill_sets!$A:$A),MATCH(AC$1,[3]enemy_skill_sets!$1:$1,0)-MATCH($AB$1,[3]enemy_skill_sets!$1:$1,0)+1),MATCH(AC$1,[3]enemy_skill_sets!$1:$1,0)-MATCH($AB$1,[3]enemy_skill_sets!$1:$1,0)+1,FALSE)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0" s="67">
        <v>1</v>
      </c>
      <c r="AE1080" s="67">
        <v>1</v>
      </c>
      <c r="AF1080" s="37">
        <v>0</v>
      </c>
      <c r="AG1080" s="104">
        <v>100</v>
      </c>
      <c r="AH1080" s="104">
        <v>1000</v>
      </c>
      <c r="AI1080" s="104">
        <v>0</v>
      </c>
      <c r="AJ1080" s="104">
        <v>100</v>
      </c>
      <c r="AK1080" s="104">
        <v>1000</v>
      </c>
      <c r="AL1080" s="104">
        <v>0</v>
      </c>
      <c r="AM1080" s="64">
        <v>2000000</v>
      </c>
      <c r="AN1080" s="36">
        <v>0</v>
      </c>
      <c r="AO1080" s="53">
        <v>0</v>
      </c>
      <c r="AP1080" s="58" t="s">
        <v>72</v>
      </c>
      <c r="AQ1080" s="71">
        <f t="shared" si="58"/>
        <v>1079</v>
      </c>
    </row>
    <row r="1081" spans="1:43" ht="21" customHeight="1" x14ac:dyDescent="0.15">
      <c r="A1081" s="7">
        <v>1080</v>
      </c>
      <c r="B1081" s="6" t="str">
        <f>VLOOKUP(A1081,[2]characters!$A:$C,3,FALSE)</f>
        <v>森のアニバーサリーダック</v>
      </c>
      <c r="C1081" s="9">
        <f>VLOOKUP(A1081,[2]characters!$A:$I,9,FALSE)</f>
        <v>6</v>
      </c>
      <c r="D1081" s="9" t="str">
        <f>VLOOKUP(A1081,[2]characters!$A:$H,8,FALSE)</f>
        <v>green</v>
      </c>
      <c r="E1081" s="24">
        <f>VLOOKUP(D1081,[2]属性!$A:$E,2,FALSE)</f>
        <v>1.02</v>
      </c>
      <c r="F1081" s="24">
        <f>VLOOKUP(D1081,[2]属性!$A:$E,3,FALSE)</f>
        <v>0.98</v>
      </c>
      <c r="G1081" s="24">
        <f>VLOOKUP(D1081,[2]属性!$A:$F,4,FALSE)</f>
        <v>1</v>
      </c>
      <c r="H1081" s="9" t="str">
        <f>VLOOKUP(A1081,[2]characters!$A:$K,11,FALSE)</f>
        <v>exp</v>
      </c>
      <c r="I1081" s="14" t="str">
        <f>VLOOKUP(H1081,[2]character_type_i18n!$A:$F,3,FALSE)</f>
        <v>強化素材タイプ</v>
      </c>
      <c r="J1081" s="36">
        <f>VLOOKUP(H1081,[2]character_type_i18n!$A:$F,4,FALSE)</f>
        <v>0.1</v>
      </c>
      <c r="K1081" s="36">
        <f>VLOOKUP(H1081,[2]character_type_i18n!$A:$F,5,FALSE)</f>
        <v>0.05</v>
      </c>
      <c r="L1081" s="36">
        <f>VLOOKUP(H1081,[2]character_type_i18n!$A:$F,6,FALSE)</f>
        <v>1</v>
      </c>
      <c r="M1081" s="9" t="str">
        <f>VLOOKUP(A1081,[2]characters!$A:$M,13,FALSE)</f>
        <v>unknown</v>
      </c>
      <c r="N1081" s="14" t="str">
        <f>VLOOKUP(M1081,[2]character_tribe_i18n!$A:$F,3,FALSE)</f>
        <v>Unknown</v>
      </c>
      <c r="O1081" s="24">
        <f>VLOOKUP(M1081,[2]character_tribe_i18n!$A:$F,4,FALSE)</f>
        <v>1</v>
      </c>
      <c r="P1081" s="24">
        <f>VLOOKUP(M1081,[2]character_tribe_i18n!$A:$F,5,FALSE)</f>
        <v>1</v>
      </c>
      <c r="Q1081" s="24">
        <f>VLOOKUP(M1081,[2]character_tribe_i18n!$A:$F,6,FALSE)</f>
        <v>1</v>
      </c>
      <c r="R1081" s="25" t="s">
        <v>98</v>
      </c>
      <c r="S1081" s="24">
        <f>VLOOKUP($R1081,ラベル別係数!$A$1:$E$7,3,FALSE)</f>
        <v>5</v>
      </c>
      <c r="T1081" s="24">
        <f>VLOOKUP($R1081,ラベル別係数!$A$1:$E$7,4,FALSE)</f>
        <v>1.3</v>
      </c>
      <c r="U1081" s="24">
        <f>VLOOKUP($R1081,ラベル別係数!$A$1:$E$7,5,FALSE)</f>
        <v>0.8</v>
      </c>
      <c r="V1081" s="27">
        <v>3</v>
      </c>
      <c r="W1081" s="28">
        <f>VLOOKUP(V1081,ターン数別攻撃係数!$A$1:$B$1000,2,FALSE)</f>
        <v>1</v>
      </c>
      <c r="X1081" s="107">
        <v>20</v>
      </c>
      <c r="Y1081" s="26">
        <f>VLOOKUP($X1081,サイズ別係数!$B:$E,2,FALSE)</f>
        <v>1.1000000000000001</v>
      </c>
      <c r="Z1081" s="26">
        <f>VLOOKUP($X1081,サイズ別係数!$B:$E,3,FALSE)</f>
        <v>1.2</v>
      </c>
      <c r="AA1081" s="26">
        <f>VLOOKUP($X1081,サイズ別係数!$B:$E,4,FALSE)</f>
        <v>1.2</v>
      </c>
      <c r="AB1081" s="5">
        <v>0</v>
      </c>
      <c r="AC1081" s="34" t="str">
        <f ca="1">VLOOKUP($AB1081,OFFSET([3]enemy_skill_sets!$B$2,0,0,COUNTA([3]enemy_skill_sets!$A:$A),MATCH(AC$1,[3]enemy_skill_sets!$1:$1,0)-MATCH($AB$1,[3]enemy_skill_sets!$1:$1,0)+1),MATCH(AC$1,[3]enemy_skill_sets!$1:$1,0)-MATCH($AB$1,[3]enemy_skill_sets!$1:$1,0)+1,FALSE)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1" s="67">
        <v>1</v>
      </c>
      <c r="AE1081" s="67">
        <v>1</v>
      </c>
      <c r="AF1081" s="37">
        <v>0</v>
      </c>
      <c r="AG1081" s="104">
        <v>100</v>
      </c>
      <c r="AH1081" s="104">
        <v>1000</v>
      </c>
      <c r="AI1081" s="104">
        <v>0</v>
      </c>
      <c r="AJ1081" s="104">
        <v>100</v>
      </c>
      <c r="AK1081" s="104">
        <v>1000</v>
      </c>
      <c r="AL1081" s="104">
        <v>0</v>
      </c>
      <c r="AM1081" s="64">
        <v>2000000</v>
      </c>
      <c r="AN1081" s="36">
        <v>0</v>
      </c>
      <c r="AO1081" s="53">
        <v>0</v>
      </c>
      <c r="AP1081" s="58" t="s">
        <v>72</v>
      </c>
      <c r="AQ1081" s="71">
        <f t="shared" si="58"/>
        <v>1080</v>
      </c>
    </row>
    <row r="1082" spans="1:43" ht="21" customHeight="1" x14ac:dyDescent="0.15">
      <c r="A1082" s="7">
        <v>1081</v>
      </c>
      <c r="B1082" s="6" t="str">
        <f>VLOOKUP(A1082,[2]characters!$A:$C,3,FALSE)</f>
        <v>水のアニバーサリーダック</v>
      </c>
      <c r="C1082" s="9">
        <f>VLOOKUP(A1082,[2]characters!$A:$I,9,FALSE)</f>
        <v>6</v>
      </c>
      <c r="D1082" s="9" t="str">
        <f>VLOOKUP(A1082,[2]characters!$A:$H,8,FALSE)</f>
        <v>blue</v>
      </c>
      <c r="E1082" s="24">
        <f>VLOOKUP(D1082,[2]属性!$A:$E,2,FALSE)</f>
        <v>1</v>
      </c>
      <c r="F1082" s="24">
        <f>VLOOKUP(D1082,[2]属性!$A:$E,3,FALSE)</f>
        <v>0.98</v>
      </c>
      <c r="G1082" s="24">
        <f>VLOOKUP(D1082,[2]属性!$A:$F,4,FALSE)</f>
        <v>1</v>
      </c>
      <c r="H1082" s="9" t="str">
        <f>VLOOKUP(A1082,[2]characters!$A:$K,11,FALSE)</f>
        <v>exp</v>
      </c>
      <c r="I1082" s="14" t="str">
        <f>VLOOKUP(H1082,[2]character_type_i18n!$A:$F,3,FALSE)</f>
        <v>強化素材タイプ</v>
      </c>
      <c r="J1082" s="36">
        <f>VLOOKUP(H1082,[2]character_type_i18n!$A:$F,4,FALSE)</f>
        <v>0.1</v>
      </c>
      <c r="K1082" s="36">
        <f>VLOOKUP(H1082,[2]character_type_i18n!$A:$F,5,FALSE)</f>
        <v>0.05</v>
      </c>
      <c r="L1082" s="36">
        <f>VLOOKUP(H1082,[2]character_type_i18n!$A:$F,6,FALSE)</f>
        <v>1</v>
      </c>
      <c r="M1082" s="9" t="str">
        <f>VLOOKUP(A1082,[2]characters!$A:$M,13,FALSE)</f>
        <v>unknown</v>
      </c>
      <c r="N1082" s="14" t="str">
        <f>VLOOKUP(M1082,[2]character_tribe_i18n!$A:$F,3,FALSE)</f>
        <v>Unknown</v>
      </c>
      <c r="O1082" s="24">
        <f>VLOOKUP(M1082,[2]character_tribe_i18n!$A:$F,4,FALSE)</f>
        <v>1</v>
      </c>
      <c r="P1082" s="24">
        <f>VLOOKUP(M1082,[2]character_tribe_i18n!$A:$F,5,FALSE)</f>
        <v>1</v>
      </c>
      <c r="Q1082" s="24">
        <f>VLOOKUP(M1082,[2]character_tribe_i18n!$A:$F,6,FALSE)</f>
        <v>1</v>
      </c>
      <c r="R1082" s="25" t="s">
        <v>98</v>
      </c>
      <c r="S1082" s="24">
        <f>VLOOKUP($R1082,ラベル別係数!$A$1:$E$7,3,FALSE)</f>
        <v>5</v>
      </c>
      <c r="T1082" s="24">
        <f>VLOOKUP($R1082,ラベル別係数!$A$1:$E$7,4,FALSE)</f>
        <v>1.3</v>
      </c>
      <c r="U1082" s="24">
        <f>VLOOKUP($R1082,ラベル別係数!$A$1:$E$7,5,FALSE)</f>
        <v>0.8</v>
      </c>
      <c r="V1082" s="27">
        <v>3</v>
      </c>
      <c r="W1082" s="28">
        <f>VLOOKUP(V1082,ターン数別攻撃係数!$A$1:$B$1000,2,FALSE)</f>
        <v>1</v>
      </c>
      <c r="X1082" s="107">
        <v>20</v>
      </c>
      <c r="Y1082" s="26">
        <f>VLOOKUP($X1082,サイズ別係数!$B:$E,2,FALSE)</f>
        <v>1.1000000000000001</v>
      </c>
      <c r="Z1082" s="26">
        <f>VLOOKUP($X1082,サイズ別係数!$B:$E,3,FALSE)</f>
        <v>1.2</v>
      </c>
      <c r="AA1082" s="26">
        <f>VLOOKUP($X1082,サイズ別係数!$B:$E,4,FALSE)</f>
        <v>1.2</v>
      </c>
      <c r="AB1082" s="5">
        <v>0</v>
      </c>
      <c r="AC1082" s="34" t="str">
        <f ca="1">VLOOKUP($AB1082,OFFSET([3]enemy_skill_sets!$B$2,0,0,COUNTA([3]enemy_skill_sets!$A:$A),MATCH(AC$1,[3]enemy_skill_sets!$1:$1,0)-MATCH($AB$1,[3]enemy_skill_sets!$1:$1,0)+1),MATCH(AC$1,[3]enemy_skill_sets!$1:$1,0)-MATCH($AB$1,[3]enemy_skill_sets!$1:$1,0)+1,FALSE)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2" s="67">
        <v>1</v>
      </c>
      <c r="AE1082" s="67">
        <v>1</v>
      </c>
      <c r="AF1082" s="37">
        <v>0</v>
      </c>
      <c r="AG1082" s="104">
        <v>100</v>
      </c>
      <c r="AH1082" s="104">
        <v>1000</v>
      </c>
      <c r="AI1082" s="104">
        <v>0</v>
      </c>
      <c r="AJ1082" s="104">
        <v>100</v>
      </c>
      <c r="AK1082" s="104">
        <v>1000</v>
      </c>
      <c r="AL1082" s="104">
        <v>0</v>
      </c>
      <c r="AM1082" s="64">
        <v>2000000</v>
      </c>
      <c r="AN1082" s="36">
        <v>0</v>
      </c>
      <c r="AO1082" s="53">
        <v>0</v>
      </c>
      <c r="AP1082" s="58" t="s">
        <v>72</v>
      </c>
      <c r="AQ1082" s="71">
        <f t="shared" si="58"/>
        <v>1081</v>
      </c>
    </row>
    <row r="1083" spans="1:43" ht="21" customHeight="1" x14ac:dyDescent="0.15">
      <c r="A1083" s="7">
        <v>1082</v>
      </c>
      <c r="B1083" s="6" t="str">
        <f>VLOOKUP(A1083,[2]characters!$A:$C,3,FALSE)</f>
        <v>雷のアニバーサリーダック</v>
      </c>
      <c r="C1083" s="9">
        <f>VLOOKUP(A1083,[2]characters!$A:$I,9,FALSE)</f>
        <v>6</v>
      </c>
      <c r="D1083" s="9" t="str">
        <f>VLOOKUP(A1083,[2]characters!$A:$H,8,FALSE)</f>
        <v>yellow</v>
      </c>
      <c r="E1083" s="24">
        <f>VLOOKUP(D1083,[2]属性!$A:$E,2,FALSE)</f>
        <v>0.98</v>
      </c>
      <c r="F1083" s="24">
        <f>VLOOKUP(D1083,[2]属性!$A:$E,3,FALSE)</f>
        <v>1.01</v>
      </c>
      <c r="G1083" s="24">
        <f>VLOOKUP(D1083,[2]属性!$A:$F,4,FALSE)</f>
        <v>1</v>
      </c>
      <c r="H1083" s="9" t="str">
        <f>VLOOKUP(A1083,[2]characters!$A:$K,11,FALSE)</f>
        <v>exp</v>
      </c>
      <c r="I1083" s="14" t="str">
        <f>VLOOKUP(H1083,[2]character_type_i18n!$A:$F,3,FALSE)</f>
        <v>強化素材タイプ</v>
      </c>
      <c r="J1083" s="36">
        <f>VLOOKUP(H1083,[2]character_type_i18n!$A:$F,4,FALSE)</f>
        <v>0.1</v>
      </c>
      <c r="K1083" s="36">
        <f>VLOOKUP(H1083,[2]character_type_i18n!$A:$F,5,FALSE)</f>
        <v>0.05</v>
      </c>
      <c r="L1083" s="36">
        <f>VLOOKUP(H1083,[2]character_type_i18n!$A:$F,6,FALSE)</f>
        <v>1</v>
      </c>
      <c r="M1083" s="9" t="str">
        <f>VLOOKUP(A1083,[2]characters!$A:$M,13,FALSE)</f>
        <v>unknown</v>
      </c>
      <c r="N1083" s="14" t="str">
        <f>VLOOKUP(M1083,[2]character_tribe_i18n!$A:$F,3,FALSE)</f>
        <v>Unknown</v>
      </c>
      <c r="O1083" s="24">
        <f>VLOOKUP(M1083,[2]character_tribe_i18n!$A:$F,4,FALSE)</f>
        <v>1</v>
      </c>
      <c r="P1083" s="24">
        <f>VLOOKUP(M1083,[2]character_tribe_i18n!$A:$F,5,FALSE)</f>
        <v>1</v>
      </c>
      <c r="Q1083" s="24">
        <f>VLOOKUP(M1083,[2]character_tribe_i18n!$A:$F,6,FALSE)</f>
        <v>1</v>
      </c>
      <c r="R1083" s="25" t="s">
        <v>98</v>
      </c>
      <c r="S1083" s="24">
        <f>VLOOKUP($R1083,ラベル別係数!$A$1:$E$7,3,FALSE)</f>
        <v>5</v>
      </c>
      <c r="T1083" s="24">
        <f>VLOOKUP($R1083,ラベル別係数!$A$1:$E$7,4,FALSE)</f>
        <v>1.3</v>
      </c>
      <c r="U1083" s="24">
        <f>VLOOKUP($R1083,ラベル別係数!$A$1:$E$7,5,FALSE)</f>
        <v>0.8</v>
      </c>
      <c r="V1083" s="27">
        <v>3</v>
      </c>
      <c r="W1083" s="28">
        <f>VLOOKUP(V1083,ターン数別攻撃係数!$A$1:$B$1000,2,FALSE)</f>
        <v>1</v>
      </c>
      <c r="X1083" s="107">
        <v>20</v>
      </c>
      <c r="Y1083" s="26">
        <f>VLOOKUP($X1083,サイズ別係数!$B:$E,2,FALSE)</f>
        <v>1.1000000000000001</v>
      </c>
      <c r="Z1083" s="26">
        <f>VLOOKUP($X1083,サイズ別係数!$B:$E,3,FALSE)</f>
        <v>1.2</v>
      </c>
      <c r="AA1083" s="26">
        <f>VLOOKUP($X1083,サイズ別係数!$B:$E,4,FALSE)</f>
        <v>1.2</v>
      </c>
      <c r="AB1083" s="5">
        <v>0</v>
      </c>
      <c r="AC1083" s="34" t="str">
        <f ca="1">VLOOKUP($AB1083,OFFSET([3]enemy_skill_sets!$B$2,0,0,COUNTA([3]enemy_skill_sets!$A:$A),MATCH(AC$1,[3]enemy_skill_sets!$1:$1,0)-MATCH($AB$1,[3]enemy_skill_sets!$1:$1,0)+1),MATCH(AC$1,[3]enemy_skill_sets!$1:$1,0)-MATCH($AB$1,[3]enemy_skill_sets!$1:$1,0)+1,FALSE)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3" s="67">
        <v>1</v>
      </c>
      <c r="AE1083" s="67">
        <v>1</v>
      </c>
      <c r="AF1083" s="37">
        <v>0</v>
      </c>
      <c r="AG1083" s="104">
        <v>100</v>
      </c>
      <c r="AH1083" s="104">
        <v>1000</v>
      </c>
      <c r="AI1083" s="104">
        <v>0</v>
      </c>
      <c r="AJ1083" s="104">
        <v>100</v>
      </c>
      <c r="AK1083" s="104">
        <v>1000</v>
      </c>
      <c r="AL1083" s="104">
        <v>0</v>
      </c>
      <c r="AM1083" s="64">
        <v>2000000</v>
      </c>
      <c r="AN1083" s="36">
        <v>0</v>
      </c>
      <c r="AO1083" s="53">
        <v>0</v>
      </c>
      <c r="AP1083" s="58" t="s">
        <v>72</v>
      </c>
      <c r="AQ1083" s="71">
        <f t="shared" si="58"/>
        <v>1082</v>
      </c>
    </row>
    <row r="1084" spans="1:43" ht="21" customHeight="1" x14ac:dyDescent="0.15">
      <c r="A1084" s="7">
        <v>1083</v>
      </c>
      <c r="B1084" s="6" t="str">
        <f>VLOOKUP(A1084,[2]characters!$A:$C,3,FALSE)</f>
        <v>マジシャン</v>
      </c>
      <c r="C1084" s="9">
        <f>VLOOKUP(A1084,[2]characters!$A:$I,9,FALSE)</f>
        <v>5</v>
      </c>
      <c r="D1084" s="9" t="str">
        <f>VLOOKUP(A1084,[2]characters!$A:$H,8,FALSE)</f>
        <v>yellow</v>
      </c>
      <c r="E1084" s="24">
        <f>VLOOKUP(D1084,[2]属性!$A:$E,2,FALSE)</f>
        <v>0.98</v>
      </c>
      <c r="F1084" s="24">
        <f>VLOOKUP(D1084,[2]属性!$A:$E,3,FALSE)</f>
        <v>1.01</v>
      </c>
      <c r="G1084" s="24">
        <f>VLOOKUP(D1084,[2]属性!$A:$F,4,FALSE)</f>
        <v>1</v>
      </c>
      <c r="H1084" s="9" t="str">
        <f>VLOOKUP(A1084,[2]characters!$A:$K,11,FALSE)</f>
        <v>technical</v>
      </c>
      <c r="I1084" s="14" t="str">
        <f>VLOOKUP(H1084,[2]character_type_i18n!$A:$F,3,FALSE)</f>
        <v>テクニカルタイプ</v>
      </c>
      <c r="J1084" s="36">
        <f>VLOOKUP(H1084,[2]character_type_i18n!$A:$F,4,FALSE)</f>
        <v>0.9</v>
      </c>
      <c r="K1084" s="36">
        <f>VLOOKUP(H1084,[2]character_type_i18n!$A:$F,5,FALSE)</f>
        <v>0.9</v>
      </c>
      <c r="L1084" s="36">
        <f>VLOOKUP(H1084,[2]character_type_i18n!$A:$F,6,FALSE)</f>
        <v>1</v>
      </c>
      <c r="M1084" s="9" t="str">
        <f>VLOOKUP(A1084,[2]characters!$A:$M,13,FALSE)</f>
        <v>god</v>
      </c>
      <c r="N1084" s="14" t="str">
        <f>VLOOKUP(M1084,[2]character_tribe_i18n!$A:$F,3,FALSE)</f>
        <v>ゴッド</v>
      </c>
      <c r="O1084" s="24">
        <f>VLOOKUP(M1084,[2]character_tribe_i18n!$A:$F,4,FALSE)</f>
        <v>0.96</v>
      </c>
      <c r="P1084" s="24">
        <f>VLOOKUP(M1084,[2]character_tribe_i18n!$A:$F,5,FALSE)</f>
        <v>1.02</v>
      </c>
      <c r="Q1084" s="24">
        <f>VLOOKUP(M1084,[2]character_tribe_i18n!$A:$F,6,FALSE)</f>
        <v>1</v>
      </c>
      <c r="R1084" s="25" t="s">
        <v>98</v>
      </c>
      <c r="S1084" s="24">
        <f>VLOOKUP($R1084,ラベル別係数!$A$1:$E$7,3,FALSE)</f>
        <v>5</v>
      </c>
      <c r="T1084" s="24">
        <f>VLOOKUP($R1084,ラベル別係数!$A$1:$E$7,4,FALSE)</f>
        <v>1.3</v>
      </c>
      <c r="U1084" s="24">
        <f>VLOOKUP($R1084,ラベル別係数!$A$1:$E$7,5,FALSE)</f>
        <v>0.8</v>
      </c>
      <c r="V1084" s="27">
        <v>3</v>
      </c>
      <c r="W1084" s="28">
        <f>VLOOKUP(V1084,ターン数別攻撃係数!$A$1:$B$1000,2,FALSE)</f>
        <v>1</v>
      </c>
      <c r="X1084" s="9">
        <f>VLOOKUP(C1084,サイズ別係数!A$2:B$9,2,FALSE)</f>
        <v>60</v>
      </c>
      <c r="Y1084" s="26">
        <f>VLOOKUP($X1084,サイズ別係数!$B:$E,2,FALSE)</f>
        <v>1.7</v>
      </c>
      <c r="Z1084" s="26">
        <f>VLOOKUP($X1084,サイズ別係数!$B:$E,3,FALSE)</f>
        <v>1.4</v>
      </c>
      <c r="AA1084" s="26">
        <f>VLOOKUP($X1084,サイズ別係数!$B:$E,4,FALSE)</f>
        <v>1</v>
      </c>
      <c r="AB1084" s="5">
        <v>0</v>
      </c>
      <c r="AC1084" s="34" t="str">
        <f ca="1">VLOOKUP($AB1084,OFFSET([3]enemy_skill_sets!$B$2,0,0,COUNTA([3]enemy_skill_sets!$A:$A),MATCH(AC$1,[3]enemy_skill_sets!$1:$1,0)-MATCH($AB$1,[3]enemy_skill_sets!$1:$1,0)+1),MATCH(AC$1,[3]enemy_skill_sets!$1:$1,0)-MATCH($AB$1,[3]enemy_skill_sets!$1:$1,0)+1,FALSE)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4" s="67">
        <v>1</v>
      </c>
      <c r="AE1084" s="67">
        <v>1</v>
      </c>
      <c r="AF1084" s="37">
        <v>0</v>
      </c>
      <c r="AG1084" s="99">
        <f>ROUND(VLOOKUP(1,enemy_base_stats!$A:$F,2,FALSE) * Y1084* J1084*O1084*E1084*S1084*AD1084*[2]ステータス!$B$2,0)</f>
        <v>3599</v>
      </c>
      <c r="AH1084" s="99">
        <f>ROUND(VLOOKUP(1,enemy_base_stats!$A:$F,3,FALSE) * Z1084*K1084*P1084*F1084*T1084*AE1084 * W1084*[2]ステータス!$C$2,0)</f>
        <v>253</v>
      </c>
      <c r="AI1084" s="99">
        <f>ROUND(VLOOKUP(1,enemy_base_stats!$A:$F,4,FALSE) * AA1084*L1084*Q1084*G1084*U1084*AF1084*[2]ステータス!$D$2,0)</f>
        <v>0</v>
      </c>
      <c r="AJ1084" s="99">
        <f>ROUND(VLOOKUP(100,enemy_base_stats!$A:$F,2,FALSE) * Y1084* J1084*O1084*E1084*S1084*AD1084*[2]ステータス!$B$2,0)</f>
        <v>146102</v>
      </c>
      <c r="AK1084" s="99">
        <f>ROUND(VLOOKUP(100,enemy_base_stats!$A:$F,3,FALSE)* Z1084* K1084*P1084*F1084*T1084*AE1084 * W1084*[2]ステータス!$C$2,0)</f>
        <v>10277</v>
      </c>
      <c r="AL1084" s="99">
        <f>ROUND(VLOOKUP(100,enemy_base_stats!$A:$F,4,FALSE)* AA1084* L1084*Q1084*G1084*U1084*AF1084*[2]ステータス!$D$2,0)</f>
        <v>0</v>
      </c>
      <c r="AM1084" s="97">
        <f>VLOOKUP(M1084,[2]character_tribe_i18n!$A:$I,9,FALSE)</f>
        <v>680</v>
      </c>
      <c r="AN1084" s="36">
        <v>0</v>
      </c>
      <c r="AO1084" s="53">
        <v>0</v>
      </c>
      <c r="AP1084" s="58" t="s">
        <v>72</v>
      </c>
      <c r="AQ1084" s="71">
        <f t="shared" ref="AQ1084:AQ1114" si="60">A1084</f>
        <v>1083</v>
      </c>
    </row>
    <row r="1085" spans="1:43" ht="21" customHeight="1" x14ac:dyDescent="0.15">
      <c r="A1085" s="7">
        <v>1084</v>
      </c>
      <c r="B1085" s="6" t="str">
        <f>VLOOKUP(A1085,[2]characters!$A:$C,3,FALSE)</f>
        <v>驚創する術想師  マジシャン</v>
      </c>
      <c r="C1085" s="9">
        <f>VLOOKUP(A1085,[2]characters!$A:$I,9,FALSE)</f>
        <v>6</v>
      </c>
      <c r="D1085" s="9" t="str">
        <f>VLOOKUP(A1085,[2]characters!$A:$H,8,FALSE)</f>
        <v>yellow</v>
      </c>
      <c r="E1085" s="24">
        <f>VLOOKUP(D1085,[2]属性!$A:$E,2,FALSE)</f>
        <v>0.98</v>
      </c>
      <c r="F1085" s="24">
        <f>VLOOKUP(D1085,[2]属性!$A:$E,3,FALSE)</f>
        <v>1.01</v>
      </c>
      <c r="G1085" s="24">
        <f>VLOOKUP(D1085,[2]属性!$A:$F,4,FALSE)</f>
        <v>1</v>
      </c>
      <c r="H1085" s="9" t="str">
        <f>VLOOKUP(A1085,[2]characters!$A:$K,11,FALSE)</f>
        <v>technical</v>
      </c>
      <c r="I1085" s="14" t="str">
        <f>VLOOKUP(H1085,[2]character_type_i18n!$A:$F,3,FALSE)</f>
        <v>テクニカルタイプ</v>
      </c>
      <c r="J1085" s="36">
        <f>VLOOKUP(H1085,[2]character_type_i18n!$A:$F,4,FALSE)</f>
        <v>0.9</v>
      </c>
      <c r="K1085" s="36">
        <f>VLOOKUP(H1085,[2]character_type_i18n!$A:$F,5,FALSE)</f>
        <v>0.9</v>
      </c>
      <c r="L1085" s="36">
        <f>VLOOKUP(H1085,[2]character_type_i18n!$A:$F,6,FALSE)</f>
        <v>1</v>
      </c>
      <c r="M1085" s="9" t="str">
        <f>VLOOKUP(A1085,[2]characters!$A:$M,13,FALSE)</f>
        <v>god</v>
      </c>
      <c r="N1085" s="14" t="str">
        <f>VLOOKUP(M1085,[2]character_tribe_i18n!$A:$F,3,FALSE)</f>
        <v>ゴッド</v>
      </c>
      <c r="O1085" s="24">
        <f>VLOOKUP(M1085,[2]character_tribe_i18n!$A:$F,4,FALSE)</f>
        <v>0.96</v>
      </c>
      <c r="P1085" s="24">
        <f>VLOOKUP(M1085,[2]character_tribe_i18n!$A:$F,5,FALSE)</f>
        <v>1.02</v>
      </c>
      <c r="Q1085" s="24">
        <f>VLOOKUP(M1085,[2]character_tribe_i18n!$A:$F,6,FALSE)</f>
        <v>1</v>
      </c>
      <c r="R1085" s="25" t="s">
        <v>98</v>
      </c>
      <c r="S1085" s="24">
        <f>VLOOKUP($R1085,ラベル別係数!$A$1:$E$7,3,FALSE)</f>
        <v>5</v>
      </c>
      <c r="T1085" s="24">
        <f>VLOOKUP($R1085,ラベル別係数!$A$1:$E$7,4,FALSE)</f>
        <v>1.3</v>
      </c>
      <c r="U1085" s="24">
        <f>VLOOKUP($R1085,ラベル別係数!$A$1:$E$7,5,FALSE)</f>
        <v>0.8</v>
      </c>
      <c r="V1085" s="27">
        <v>3</v>
      </c>
      <c r="W1085" s="28">
        <f>VLOOKUP(V1085,ターン数別攻撃係数!$A$1:$B$1000,2,FALSE)</f>
        <v>1</v>
      </c>
      <c r="X1085" s="9">
        <f>VLOOKUP(C1085,サイズ別係数!A$2:B$9,2,FALSE)</f>
        <v>60</v>
      </c>
      <c r="Y1085" s="26">
        <f>VLOOKUP($X1085,サイズ別係数!$B:$E,2,FALSE)</f>
        <v>1.7</v>
      </c>
      <c r="Z1085" s="26">
        <f>VLOOKUP($X1085,サイズ別係数!$B:$E,3,FALSE)</f>
        <v>1.4</v>
      </c>
      <c r="AA1085" s="26">
        <f>VLOOKUP($X1085,サイズ別係数!$B:$E,4,FALSE)</f>
        <v>1</v>
      </c>
      <c r="AB1085" s="5">
        <v>0</v>
      </c>
      <c r="AC1085" s="34" t="str">
        <f ca="1">VLOOKUP($AB1085,OFFSET([3]enemy_skill_sets!$B$2,0,0,COUNTA([3]enemy_skill_sets!$A:$A),MATCH(AC$1,[3]enemy_skill_sets!$1:$1,0)-MATCH($AB$1,[3]enemy_skill_sets!$1:$1,0)+1),MATCH(AC$1,[3]enemy_skill_sets!$1:$1,0)-MATCH($AB$1,[3]enemy_skill_sets!$1:$1,0)+1,FALSE)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5" s="67">
        <v>1</v>
      </c>
      <c r="AE1085" s="67">
        <v>1</v>
      </c>
      <c r="AF1085" s="37">
        <v>0</v>
      </c>
      <c r="AG1085" s="99">
        <f>ROUND(VLOOKUP(1,enemy_base_stats!$A:$F,2,FALSE) * Y1085* J1085*O1085*E1085*S1085*AD1085*[2]ステータス!$B$2,0)</f>
        <v>3599</v>
      </c>
      <c r="AH1085" s="99">
        <f>ROUND(VLOOKUP(1,enemy_base_stats!$A:$F,3,FALSE) * Z1085*K1085*P1085*F1085*T1085*AE1085 * W1085*[2]ステータス!$C$2,0)</f>
        <v>253</v>
      </c>
      <c r="AI1085" s="99">
        <f>ROUND(VLOOKUP(1,enemy_base_stats!$A:$F,4,FALSE) * AA1085*L1085*Q1085*G1085*U1085*AF1085*[2]ステータス!$D$2,0)</f>
        <v>0</v>
      </c>
      <c r="AJ1085" s="99">
        <f>ROUND(VLOOKUP(100,enemy_base_stats!$A:$F,2,FALSE) * Y1085* J1085*O1085*E1085*S1085*AD1085*[2]ステータス!$B$2,0)</f>
        <v>146102</v>
      </c>
      <c r="AK1085" s="99">
        <f>ROUND(VLOOKUP(100,enemy_base_stats!$A:$F,3,FALSE)* Z1085* K1085*P1085*F1085*T1085*AE1085 * W1085*[2]ステータス!$C$2,0)</f>
        <v>10277</v>
      </c>
      <c r="AL1085" s="99">
        <f>ROUND(VLOOKUP(100,enemy_base_stats!$A:$F,4,FALSE)* AA1085* L1085*Q1085*G1085*U1085*AF1085*[2]ステータス!$D$2,0)</f>
        <v>0</v>
      </c>
      <c r="AM1085" s="97">
        <f>VLOOKUP(M1085,[2]character_tribe_i18n!$A:$I,9,FALSE)</f>
        <v>680</v>
      </c>
      <c r="AN1085" s="36">
        <v>0</v>
      </c>
      <c r="AO1085" s="53">
        <v>0</v>
      </c>
      <c r="AP1085" s="58" t="s">
        <v>72</v>
      </c>
      <c r="AQ1085" s="71">
        <f t="shared" si="60"/>
        <v>1084</v>
      </c>
    </row>
    <row r="1086" spans="1:43" ht="21" customHeight="1" x14ac:dyDescent="0.15">
      <c r="A1086" s="7">
        <v>1085</v>
      </c>
      <c r="B1086" s="6" t="str">
        <f>VLOOKUP(A1086,[2]characters!$A:$C,3,FALSE)</f>
        <v>ルメートル</v>
      </c>
      <c r="C1086" s="9">
        <f>VLOOKUP(A1086,[2]characters!$A:$I,9,FALSE)</f>
        <v>5</v>
      </c>
      <c r="D1086" s="9" t="str">
        <f>VLOOKUP(A1086,[2]characters!$A:$H,8,FALSE)</f>
        <v>green</v>
      </c>
      <c r="E1086" s="24">
        <f>VLOOKUP(D1086,[2]属性!$A:$E,2,FALSE)</f>
        <v>1.02</v>
      </c>
      <c r="F1086" s="24">
        <f>VLOOKUP(D1086,[2]属性!$A:$E,3,FALSE)</f>
        <v>0.98</v>
      </c>
      <c r="G1086" s="24">
        <f>VLOOKUP(D1086,[2]属性!$A:$F,4,FALSE)</f>
        <v>1</v>
      </c>
      <c r="H1086" s="9" t="str">
        <f>VLOOKUP(A1086,[2]characters!$A:$K,11,FALSE)</f>
        <v>technical</v>
      </c>
      <c r="I1086" s="14" t="str">
        <f>VLOOKUP(H1086,[2]character_type_i18n!$A:$F,3,FALSE)</f>
        <v>テクニカルタイプ</v>
      </c>
      <c r="J1086" s="36">
        <f>VLOOKUP(H1086,[2]character_type_i18n!$A:$F,4,FALSE)</f>
        <v>0.9</v>
      </c>
      <c r="K1086" s="36">
        <f>VLOOKUP(H1086,[2]character_type_i18n!$A:$F,5,FALSE)</f>
        <v>0.9</v>
      </c>
      <c r="L1086" s="36">
        <f>VLOOKUP(H1086,[2]character_type_i18n!$A:$F,6,FALSE)</f>
        <v>1</v>
      </c>
      <c r="M1086" s="9" t="str">
        <f>VLOOKUP(A1086,[2]characters!$A:$M,13,FALSE)</f>
        <v>academia</v>
      </c>
      <c r="N1086" s="14" t="str">
        <f>VLOOKUP(M1086,[2]character_tribe_i18n!$A:$F,3,FALSE)</f>
        <v>アカデミア</v>
      </c>
      <c r="O1086" s="24">
        <f>VLOOKUP(M1086,[2]character_tribe_i18n!$A:$F,4,FALSE)</f>
        <v>1</v>
      </c>
      <c r="P1086" s="24">
        <f>VLOOKUP(M1086,[2]character_tribe_i18n!$A:$F,5,FALSE)</f>
        <v>1</v>
      </c>
      <c r="Q1086" s="24">
        <f>VLOOKUP(M1086,[2]character_tribe_i18n!$A:$F,6,FALSE)</f>
        <v>1</v>
      </c>
      <c r="R1086" s="25" t="s">
        <v>98</v>
      </c>
      <c r="S1086" s="24">
        <f>VLOOKUP($R1086,ラベル別係数!$A$1:$E$7,3,FALSE)</f>
        <v>5</v>
      </c>
      <c r="T1086" s="24">
        <f>VLOOKUP($R1086,ラベル別係数!$A$1:$E$7,4,FALSE)</f>
        <v>1.3</v>
      </c>
      <c r="U1086" s="24">
        <f>VLOOKUP($R1086,ラベル別係数!$A$1:$E$7,5,FALSE)</f>
        <v>0.8</v>
      </c>
      <c r="V1086" s="27">
        <v>3</v>
      </c>
      <c r="W1086" s="28">
        <f>VLOOKUP(V1086,ターン数別攻撃係数!$A$1:$B$1000,2,FALSE)</f>
        <v>1</v>
      </c>
      <c r="X1086" s="9">
        <f>VLOOKUP(C1086,サイズ別係数!A$2:B$9,2,FALSE)</f>
        <v>60</v>
      </c>
      <c r="Y1086" s="26">
        <f>VLOOKUP($X1086,サイズ別係数!$B:$E,2,FALSE)</f>
        <v>1.7</v>
      </c>
      <c r="Z1086" s="26">
        <f>VLOOKUP($X1086,サイズ別係数!$B:$E,3,FALSE)</f>
        <v>1.4</v>
      </c>
      <c r="AA1086" s="26">
        <f>VLOOKUP($X1086,サイズ別係数!$B:$E,4,FALSE)</f>
        <v>1</v>
      </c>
      <c r="AB1086" s="5">
        <v>0</v>
      </c>
      <c r="AC1086" s="34" t="str">
        <f ca="1">VLOOKUP($AB1086,OFFSET([3]enemy_skill_sets!$B$2,0,0,COUNTA([3]enemy_skill_sets!$A:$A),MATCH(AC$1,[3]enemy_skill_sets!$1:$1,0)-MATCH($AB$1,[3]enemy_skill_sets!$1:$1,0)+1),MATCH(AC$1,[3]enemy_skill_sets!$1:$1,0)-MATCH($AB$1,[3]enemy_skill_sets!$1:$1,0)+1,FALSE)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6" s="67">
        <v>1</v>
      </c>
      <c r="AE1086" s="67">
        <v>1</v>
      </c>
      <c r="AF1086" s="37">
        <v>0</v>
      </c>
      <c r="AG1086" s="99">
        <f>ROUND(VLOOKUP(1,enemy_base_stats!$A:$F,2,FALSE) * Y1086* J1086*O1086*E1086*S1086*AD1086*[2]ステータス!$B$2,0)</f>
        <v>3902</v>
      </c>
      <c r="AH1086" s="99">
        <f>ROUND(VLOOKUP(1,enemy_base_stats!$A:$F,3,FALSE) * Z1086*K1086*P1086*F1086*T1086*AE1086 * W1086*[2]ステータス!$C$2,0)</f>
        <v>241</v>
      </c>
      <c r="AI1086" s="99">
        <f>ROUND(VLOOKUP(1,enemy_base_stats!$A:$F,4,FALSE) * AA1086*L1086*Q1086*G1086*U1086*AF1086*[2]ステータス!$D$2,0)</f>
        <v>0</v>
      </c>
      <c r="AJ1086" s="99">
        <f>ROUND(VLOOKUP(100,enemy_base_stats!$A:$F,2,FALSE) * Y1086* J1086*O1086*E1086*S1086*AD1086*[2]ステータス!$B$2,0)</f>
        <v>158401</v>
      </c>
      <c r="AK1086" s="99">
        <f>ROUND(VLOOKUP(100,enemy_base_stats!$A:$F,3,FALSE)* Z1086* K1086*P1086*F1086*T1086*AE1086 * W1086*[2]ステータス!$C$2,0)</f>
        <v>9776</v>
      </c>
      <c r="AL1086" s="99">
        <f>ROUND(VLOOKUP(100,enemy_base_stats!$A:$F,4,FALSE)* AA1086* L1086*Q1086*G1086*U1086*AF1086*[2]ステータス!$D$2,0)</f>
        <v>0</v>
      </c>
      <c r="AM1086" s="97">
        <f>VLOOKUP(M1086,[2]character_tribe_i18n!$A:$I,9,FALSE)</f>
        <v>400</v>
      </c>
      <c r="AN1086" s="36">
        <v>0</v>
      </c>
      <c r="AO1086" s="53">
        <v>0</v>
      </c>
      <c r="AP1086" s="58" t="s">
        <v>72</v>
      </c>
      <c r="AQ1086" s="71">
        <f t="shared" si="60"/>
        <v>1085</v>
      </c>
    </row>
    <row r="1087" spans="1:43" ht="21" customHeight="1" x14ac:dyDescent="0.15">
      <c r="A1087" s="7">
        <v>1086</v>
      </c>
      <c r="B1087" s="6" t="str">
        <f>VLOOKUP(A1087,[2]characters!$A:$C,3,FALSE)</f>
        <v>宇宙の線術家 ルメートル</v>
      </c>
      <c r="C1087" s="9">
        <f>VLOOKUP(A1087,[2]characters!$A:$I,9,FALSE)</f>
        <v>6</v>
      </c>
      <c r="D1087" s="9" t="str">
        <f>VLOOKUP(A1087,[2]characters!$A:$H,8,FALSE)</f>
        <v>green</v>
      </c>
      <c r="E1087" s="24">
        <f>VLOOKUP(D1087,[2]属性!$A:$E,2,FALSE)</f>
        <v>1.02</v>
      </c>
      <c r="F1087" s="24">
        <f>VLOOKUP(D1087,[2]属性!$A:$E,3,FALSE)</f>
        <v>0.98</v>
      </c>
      <c r="G1087" s="24">
        <f>VLOOKUP(D1087,[2]属性!$A:$F,4,FALSE)</f>
        <v>1</v>
      </c>
      <c r="H1087" s="9" t="str">
        <f>VLOOKUP(A1087,[2]characters!$A:$K,11,FALSE)</f>
        <v>technical</v>
      </c>
      <c r="I1087" s="14" t="str">
        <f>VLOOKUP(H1087,[2]character_type_i18n!$A:$F,3,FALSE)</f>
        <v>テクニカルタイプ</v>
      </c>
      <c r="J1087" s="36">
        <f>VLOOKUP(H1087,[2]character_type_i18n!$A:$F,4,FALSE)</f>
        <v>0.9</v>
      </c>
      <c r="K1087" s="36">
        <f>VLOOKUP(H1087,[2]character_type_i18n!$A:$F,5,FALSE)</f>
        <v>0.9</v>
      </c>
      <c r="L1087" s="36">
        <f>VLOOKUP(H1087,[2]character_type_i18n!$A:$F,6,FALSE)</f>
        <v>1</v>
      </c>
      <c r="M1087" s="9" t="str">
        <f>VLOOKUP(A1087,[2]characters!$A:$M,13,FALSE)</f>
        <v>academia</v>
      </c>
      <c r="N1087" s="14" t="str">
        <f>VLOOKUP(M1087,[2]character_tribe_i18n!$A:$F,3,FALSE)</f>
        <v>アカデミア</v>
      </c>
      <c r="O1087" s="24">
        <f>VLOOKUP(M1087,[2]character_tribe_i18n!$A:$F,4,FALSE)</f>
        <v>1</v>
      </c>
      <c r="P1087" s="24">
        <f>VLOOKUP(M1087,[2]character_tribe_i18n!$A:$F,5,FALSE)</f>
        <v>1</v>
      </c>
      <c r="Q1087" s="24">
        <f>VLOOKUP(M1087,[2]character_tribe_i18n!$A:$F,6,FALSE)</f>
        <v>1</v>
      </c>
      <c r="R1087" s="25" t="s">
        <v>98</v>
      </c>
      <c r="S1087" s="24">
        <f>VLOOKUP($R1087,ラベル別係数!$A$1:$E$7,3,FALSE)</f>
        <v>5</v>
      </c>
      <c r="T1087" s="24">
        <f>VLOOKUP($R1087,ラベル別係数!$A$1:$E$7,4,FALSE)</f>
        <v>1.3</v>
      </c>
      <c r="U1087" s="24">
        <f>VLOOKUP($R1087,ラベル別係数!$A$1:$E$7,5,FALSE)</f>
        <v>0.8</v>
      </c>
      <c r="V1087" s="27">
        <v>3</v>
      </c>
      <c r="W1087" s="28">
        <f>VLOOKUP(V1087,ターン数別攻撃係数!$A$1:$B$1000,2,FALSE)</f>
        <v>1</v>
      </c>
      <c r="X1087" s="9">
        <f>VLOOKUP(C1087,サイズ別係数!A$2:B$9,2,FALSE)</f>
        <v>60</v>
      </c>
      <c r="Y1087" s="26">
        <f>VLOOKUP($X1087,サイズ別係数!$B:$E,2,FALSE)</f>
        <v>1.7</v>
      </c>
      <c r="Z1087" s="26">
        <f>VLOOKUP($X1087,サイズ別係数!$B:$E,3,FALSE)</f>
        <v>1.4</v>
      </c>
      <c r="AA1087" s="26">
        <f>VLOOKUP($X1087,サイズ別係数!$B:$E,4,FALSE)</f>
        <v>1</v>
      </c>
      <c r="AB1087" s="5">
        <v>0</v>
      </c>
      <c r="AC1087" s="34" t="str">
        <f ca="1">VLOOKUP($AB1087,OFFSET([3]enemy_skill_sets!$B$2,0,0,COUNTA([3]enemy_skill_sets!$A:$A),MATCH(AC$1,[3]enemy_skill_sets!$1:$1,0)-MATCH($AB$1,[3]enemy_skill_sets!$1:$1,0)+1),MATCH(AC$1,[3]enemy_skill_sets!$1:$1,0)-MATCH($AB$1,[3]enemy_skill_sets!$1:$1,0)+1,FALSE)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7" s="67">
        <v>1</v>
      </c>
      <c r="AE1087" s="67">
        <v>1</v>
      </c>
      <c r="AF1087" s="37">
        <v>0</v>
      </c>
      <c r="AG1087" s="99">
        <f>ROUND(VLOOKUP(1,enemy_base_stats!$A:$F,2,FALSE) * Y1087* J1087*O1087*E1087*S1087*AD1087*[2]ステータス!$B$2,0)</f>
        <v>3902</v>
      </c>
      <c r="AH1087" s="99">
        <f>ROUND(VLOOKUP(1,enemy_base_stats!$A:$F,3,FALSE) * Z1087*K1087*P1087*F1087*T1087*AE1087 * W1087*[2]ステータス!$C$2,0)</f>
        <v>241</v>
      </c>
      <c r="AI1087" s="99">
        <f>ROUND(VLOOKUP(1,enemy_base_stats!$A:$F,4,FALSE) * AA1087*L1087*Q1087*G1087*U1087*AF1087*[2]ステータス!$D$2,0)</f>
        <v>0</v>
      </c>
      <c r="AJ1087" s="99">
        <f>ROUND(VLOOKUP(100,enemy_base_stats!$A:$F,2,FALSE) * Y1087* J1087*O1087*E1087*S1087*AD1087*[2]ステータス!$B$2,0)</f>
        <v>158401</v>
      </c>
      <c r="AK1087" s="99">
        <f>ROUND(VLOOKUP(100,enemy_base_stats!$A:$F,3,FALSE)* Z1087* K1087*P1087*F1087*T1087*AE1087 * W1087*[2]ステータス!$C$2,0)</f>
        <v>9776</v>
      </c>
      <c r="AL1087" s="99">
        <f>ROUND(VLOOKUP(100,enemy_base_stats!$A:$F,4,FALSE)* AA1087* L1087*Q1087*G1087*U1087*AF1087*[2]ステータス!$D$2,0)</f>
        <v>0</v>
      </c>
      <c r="AM1087" s="97">
        <f>VLOOKUP(M1087,[2]character_tribe_i18n!$A:$I,9,FALSE)</f>
        <v>400</v>
      </c>
      <c r="AN1087" s="36">
        <v>0</v>
      </c>
      <c r="AO1087" s="53">
        <v>0</v>
      </c>
      <c r="AP1087" s="58" t="s">
        <v>72</v>
      </c>
      <c r="AQ1087" s="71">
        <f t="shared" si="60"/>
        <v>1086</v>
      </c>
    </row>
    <row r="1088" spans="1:43" ht="21" customHeight="1" x14ac:dyDescent="0.15">
      <c r="A1088" s="7">
        <v>1087</v>
      </c>
      <c r="B1088" s="6" t="str">
        <f>VLOOKUP(A1088,[2]characters!$A:$C,3,FALSE)</f>
        <v>宇宙線の神業師 ルメートル</v>
      </c>
      <c r="C1088" s="9">
        <f>VLOOKUP(A1088,[2]characters!$A:$I,9,FALSE)</f>
        <v>6</v>
      </c>
      <c r="D1088" s="9" t="str">
        <f>VLOOKUP(A1088,[2]characters!$A:$H,8,FALSE)</f>
        <v>green</v>
      </c>
      <c r="E1088" s="24">
        <f>VLOOKUP(D1088,[2]属性!$A:$E,2,FALSE)</f>
        <v>1.02</v>
      </c>
      <c r="F1088" s="24">
        <f>VLOOKUP(D1088,[2]属性!$A:$E,3,FALSE)</f>
        <v>0.98</v>
      </c>
      <c r="G1088" s="24">
        <f>VLOOKUP(D1088,[2]属性!$A:$F,4,FALSE)</f>
        <v>1</v>
      </c>
      <c r="H1088" s="9" t="str">
        <f>VLOOKUP(A1088,[2]characters!$A:$K,11,FALSE)</f>
        <v>balance</v>
      </c>
      <c r="I1088" s="14" t="str">
        <f>VLOOKUP(H1088,[2]character_type_i18n!$A:$F,3,FALSE)</f>
        <v>バランスタイプ</v>
      </c>
      <c r="J1088" s="36">
        <f>VLOOKUP(H1088,[2]character_type_i18n!$A:$F,4,FALSE)</f>
        <v>1</v>
      </c>
      <c r="K1088" s="36">
        <f>VLOOKUP(H1088,[2]character_type_i18n!$A:$F,5,FALSE)</f>
        <v>1</v>
      </c>
      <c r="L1088" s="36">
        <f>VLOOKUP(H1088,[2]character_type_i18n!$A:$F,6,FALSE)</f>
        <v>1</v>
      </c>
      <c r="M1088" s="9" t="str">
        <f>VLOOKUP(A1088,[2]characters!$A:$M,13,FALSE)</f>
        <v>academia</v>
      </c>
      <c r="N1088" s="14" t="str">
        <f>VLOOKUP(M1088,[2]character_tribe_i18n!$A:$F,3,FALSE)</f>
        <v>アカデミア</v>
      </c>
      <c r="O1088" s="24">
        <f>VLOOKUP(M1088,[2]character_tribe_i18n!$A:$F,4,FALSE)</f>
        <v>1</v>
      </c>
      <c r="P1088" s="24">
        <f>VLOOKUP(M1088,[2]character_tribe_i18n!$A:$F,5,FALSE)</f>
        <v>1</v>
      </c>
      <c r="Q1088" s="24">
        <f>VLOOKUP(M1088,[2]character_tribe_i18n!$A:$F,6,FALSE)</f>
        <v>1</v>
      </c>
      <c r="R1088" s="25" t="s">
        <v>98</v>
      </c>
      <c r="S1088" s="24">
        <f>VLOOKUP($R1088,ラベル別係数!$A$1:$E$7,3,FALSE)</f>
        <v>5</v>
      </c>
      <c r="T1088" s="24">
        <f>VLOOKUP($R1088,ラベル別係数!$A$1:$E$7,4,FALSE)</f>
        <v>1.3</v>
      </c>
      <c r="U1088" s="24">
        <f>VLOOKUP($R1088,ラベル別係数!$A$1:$E$7,5,FALSE)</f>
        <v>0.8</v>
      </c>
      <c r="V1088" s="27">
        <v>3</v>
      </c>
      <c r="W1088" s="28">
        <f>VLOOKUP(V1088,ターン数別攻撃係数!$A$1:$B$1000,2,FALSE)</f>
        <v>1</v>
      </c>
      <c r="X1088" s="9">
        <f>VLOOKUP(C1088,サイズ別係数!A$2:B$9,2,FALSE)</f>
        <v>60</v>
      </c>
      <c r="Y1088" s="26">
        <f>VLOOKUP($X1088,サイズ別係数!$B:$E,2,FALSE)</f>
        <v>1.7</v>
      </c>
      <c r="Z1088" s="26">
        <f>VLOOKUP($X1088,サイズ別係数!$B:$E,3,FALSE)</f>
        <v>1.4</v>
      </c>
      <c r="AA1088" s="26">
        <f>VLOOKUP($X1088,サイズ別係数!$B:$E,4,FALSE)</f>
        <v>1</v>
      </c>
      <c r="AB1088" s="5">
        <v>0</v>
      </c>
      <c r="AC1088" s="34" t="str">
        <f ca="1">VLOOKUP($AB1088,OFFSET([3]enemy_skill_sets!$B$2,0,0,COUNTA([3]enemy_skill_sets!$A:$A),MATCH(AC$1,[3]enemy_skill_sets!$1:$1,0)-MATCH($AB$1,[3]enemy_skill_sets!$1:$1,0)+1),MATCH(AC$1,[3]enemy_skill_sets!$1:$1,0)-MATCH($AB$1,[3]enemy_skill_sets!$1:$1,0)+1,FALSE)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8" s="67">
        <v>1</v>
      </c>
      <c r="AE1088" s="67">
        <v>1</v>
      </c>
      <c r="AF1088" s="37">
        <v>0</v>
      </c>
      <c r="AG1088" s="99">
        <f>ROUND(VLOOKUP(1,enemy_base_stats!$A:$F,2,FALSE) * Y1088* J1088*O1088*E1088*S1088*AD1088*[2]ステータス!$B$2,0)</f>
        <v>4335</v>
      </c>
      <c r="AH1088" s="99">
        <f>ROUND(VLOOKUP(1,enemy_base_stats!$A:$F,3,FALSE) * Z1088*K1088*P1088*F1088*T1088*AE1088 * W1088*[2]ステータス!$C$2,0)</f>
        <v>268</v>
      </c>
      <c r="AI1088" s="99">
        <f>ROUND(VLOOKUP(1,enemy_base_stats!$A:$F,4,FALSE) * AA1088*L1088*Q1088*G1088*U1088*AF1088*[2]ステータス!$D$2,0)</f>
        <v>0</v>
      </c>
      <c r="AJ1088" s="99">
        <f>ROUND(VLOOKUP(100,enemy_base_stats!$A:$F,2,FALSE) * Y1088* J1088*O1088*E1088*S1088*AD1088*[2]ステータス!$B$2,0)</f>
        <v>176001</v>
      </c>
      <c r="AK1088" s="99">
        <f>ROUND(VLOOKUP(100,enemy_base_stats!$A:$F,3,FALSE)* Z1088* K1088*P1088*F1088*T1088*AE1088 * W1088*[2]ステータス!$C$2,0)</f>
        <v>10862</v>
      </c>
      <c r="AL1088" s="99">
        <f>ROUND(VLOOKUP(100,enemy_base_stats!$A:$F,4,FALSE)* AA1088* L1088*Q1088*G1088*U1088*AF1088*[2]ステータス!$D$2,0)</f>
        <v>0</v>
      </c>
      <c r="AM1088" s="97">
        <f>VLOOKUP(M1088,[2]character_tribe_i18n!$A:$I,9,FALSE)</f>
        <v>400</v>
      </c>
      <c r="AN1088" s="36">
        <v>0</v>
      </c>
      <c r="AO1088" s="53">
        <v>0</v>
      </c>
      <c r="AP1088" s="58" t="s">
        <v>72</v>
      </c>
      <c r="AQ1088" s="71">
        <f t="shared" si="60"/>
        <v>1087</v>
      </c>
    </row>
    <row r="1089" spans="1:43" ht="21" customHeight="1" x14ac:dyDescent="0.15">
      <c r="A1089" s="7">
        <v>1088</v>
      </c>
      <c r="B1089" s="6" t="str">
        <f>VLOOKUP(A1089,[2]characters!$A:$C,3,FALSE)</f>
        <v>ミケランジェロ</v>
      </c>
      <c r="C1089" s="9">
        <f>VLOOKUP(A1089,[2]characters!$A:$I,9,FALSE)</f>
        <v>5</v>
      </c>
      <c r="D1089" s="9" t="str">
        <f>VLOOKUP(A1089,[2]characters!$A:$H,8,FALSE)</f>
        <v>green</v>
      </c>
      <c r="E1089" s="24">
        <f>VLOOKUP(D1089,[2]属性!$A:$E,2,FALSE)</f>
        <v>1.02</v>
      </c>
      <c r="F1089" s="24">
        <f>VLOOKUP(D1089,[2]属性!$A:$E,3,FALSE)</f>
        <v>0.98</v>
      </c>
      <c r="G1089" s="24">
        <f>VLOOKUP(D1089,[2]属性!$A:$F,4,FALSE)</f>
        <v>1</v>
      </c>
      <c r="H1089" s="9" t="str">
        <f>VLOOKUP(A1089,[2]characters!$A:$K,11,FALSE)</f>
        <v>technical</v>
      </c>
      <c r="I1089" s="14" t="str">
        <f>VLOOKUP(H1089,[2]character_type_i18n!$A:$F,3,FALSE)</f>
        <v>テクニカルタイプ</v>
      </c>
      <c r="J1089" s="36">
        <f>VLOOKUP(H1089,[2]character_type_i18n!$A:$F,4,FALSE)</f>
        <v>0.9</v>
      </c>
      <c r="K1089" s="36">
        <f>VLOOKUP(H1089,[2]character_type_i18n!$A:$F,5,FALSE)</f>
        <v>0.9</v>
      </c>
      <c r="L1089" s="36">
        <f>VLOOKUP(H1089,[2]character_type_i18n!$A:$F,6,FALSE)</f>
        <v>1</v>
      </c>
      <c r="M1089" s="9" t="str">
        <f>VLOOKUP(A1089,[2]characters!$A:$M,13,FALSE)</f>
        <v>unknown</v>
      </c>
      <c r="N1089" s="14" t="str">
        <f>VLOOKUP(M1089,[2]character_tribe_i18n!$A:$F,3,FALSE)</f>
        <v>Unknown</v>
      </c>
      <c r="O1089" s="24">
        <f>VLOOKUP(M1089,[2]character_tribe_i18n!$A:$F,4,FALSE)</f>
        <v>1</v>
      </c>
      <c r="P1089" s="24">
        <f>VLOOKUP(M1089,[2]character_tribe_i18n!$A:$F,5,FALSE)</f>
        <v>1</v>
      </c>
      <c r="Q1089" s="24">
        <f>VLOOKUP(M1089,[2]character_tribe_i18n!$A:$F,6,FALSE)</f>
        <v>1</v>
      </c>
      <c r="R1089" s="25" t="s">
        <v>98</v>
      </c>
      <c r="S1089" s="24">
        <f>VLOOKUP($R1089,ラベル別係数!$A$1:$E$7,3,FALSE)</f>
        <v>5</v>
      </c>
      <c r="T1089" s="24">
        <f>VLOOKUP($R1089,ラベル別係数!$A$1:$E$7,4,FALSE)</f>
        <v>1.3</v>
      </c>
      <c r="U1089" s="24">
        <f>VLOOKUP($R1089,ラベル別係数!$A$1:$E$7,5,FALSE)</f>
        <v>0.8</v>
      </c>
      <c r="V1089" s="27">
        <v>3</v>
      </c>
      <c r="W1089" s="28">
        <f>VLOOKUP(V1089,ターン数別攻撃係数!$A$1:$B$1000,2,FALSE)</f>
        <v>1</v>
      </c>
      <c r="X1089" s="9">
        <f>VLOOKUP(C1089,サイズ別係数!A$2:B$9,2,FALSE)</f>
        <v>60</v>
      </c>
      <c r="Y1089" s="26">
        <f>VLOOKUP($X1089,サイズ別係数!$B:$E,2,FALSE)</f>
        <v>1.7</v>
      </c>
      <c r="Z1089" s="26">
        <f>VLOOKUP($X1089,サイズ別係数!$B:$E,3,FALSE)</f>
        <v>1.4</v>
      </c>
      <c r="AA1089" s="26">
        <f>VLOOKUP($X1089,サイズ別係数!$B:$E,4,FALSE)</f>
        <v>1</v>
      </c>
      <c r="AB1089" s="5">
        <v>0</v>
      </c>
      <c r="AC1089" s="34" t="str">
        <f ca="1">VLOOKUP($AB1089,OFFSET([3]enemy_skill_sets!$B$2,0,0,COUNTA([3]enemy_skill_sets!$A:$A),MATCH(AC$1,[3]enemy_skill_sets!$1:$1,0)-MATCH($AB$1,[3]enemy_skill_sets!$1:$1,0)+1),MATCH(AC$1,[3]enemy_skill_sets!$1:$1,0)-MATCH($AB$1,[3]enemy_skill_sets!$1:$1,0)+1,FALSE)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89" s="67">
        <v>1</v>
      </c>
      <c r="AE1089" s="67">
        <v>1</v>
      </c>
      <c r="AF1089" s="37">
        <v>0</v>
      </c>
      <c r="AG1089" s="99">
        <f>ROUND(VLOOKUP(1,enemy_base_stats!$A:$F,2,FALSE) * Y1089* J1089*O1089*E1089*S1089*AD1089*[2]ステータス!$B$2,0)</f>
        <v>3902</v>
      </c>
      <c r="AH1089" s="99">
        <f>ROUND(VLOOKUP(1,enemy_base_stats!$A:$F,3,FALSE) * Z1089*K1089*P1089*F1089*T1089*AE1089 * W1089*[2]ステータス!$C$2,0)</f>
        <v>241</v>
      </c>
      <c r="AI1089" s="99">
        <f>ROUND(VLOOKUP(1,enemy_base_stats!$A:$F,4,FALSE) * AA1089*L1089*Q1089*G1089*U1089*AF1089*[2]ステータス!$D$2,0)</f>
        <v>0</v>
      </c>
      <c r="AJ1089" s="99">
        <f>ROUND(VLOOKUP(100,enemy_base_stats!$A:$F,2,FALSE) * Y1089* J1089*O1089*E1089*S1089*AD1089*[2]ステータス!$B$2,0)</f>
        <v>158401</v>
      </c>
      <c r="AK1089" s="99">
        <f>ROUND(VLOOKUP(100,enemy_base_stats!$A:$F,3,FALSE)* Z1089* K1089*P1089*F1089*T1089*AE1089 * W1089*[2]ステータス!$C$2,0)</f>
        <v>9776</v>
      </c>
      <c r="AL1089" s="99">
        <f>ROUND(VLOOKUP(100,enemy_base_stats!$A:$F,4,FALSE)* AA1089* L1089*Q1089*G1089*U1089*AF1089*[2]ステータス!$D$2,0)</f>
        <v>0</v>
      </c>
      <c r="AM1089" s="97">
        <f>VLOOKUP(M1089,[2]character_tribe_i18n!$A:$I,9,FALSE)</f>
        <v>340</v>
      </c>
      <c r="AN1089" s="36">
        <v>0</v>
      </c>
      <c r="AO1089" s="53">
        <v>0</v>
      </c>
      <c r="AP1089" s="58" t="s">
        <v>72</v>
      </c>
      <c r="AQ1089" s="71">
        <f t="shared" si="60"/>
        <v>1088</v>
      </c>
    </row>
    <row r="1090" spans="1:43" ht="21" customHeight="1" x14ac:dyDescent="0.15">
      <c r="A1090" s="7">
        <v>1089</v>
      </c>
      <c r="B1090" s="6" t="str">
        <f>VLOOKUP(A1090,[2]characters!$A:$C,3,FALSE)</f>
        <v>破壊の発誕 ミケランジェロ</v>
      </c>
      <c r="C1090" s="9">
        <f>VLOOKUP(A1090,[2]characters!$A:$I,9,FALSE)</f>
        <v>6</v>
      </c>
      <c r="D1090" s="9" t="str">
        <f>VLOOKUP(A1090,[2]characters!$A:$H,8,FALSE)</f>
        <v>green</v>
      </c>
      <c r="E1090" s="24">
        <f>VLOOKUP(D1090,[2]属性!$A:$E,2,FALSE)</f>
        <v>1.02</v>
      </c>
      <c r="F1090" s="24">
        <f>VLOOKUP(D1090,[2]属性!$A:$E,3,FALSE)</f>
        <v>0.98</v>
      </c>
      <c r="G1090" s="24">
        <f>VLOOKUP(D1090,[2]属性!$A:$F,4,FALSE)</f>
        <v>1</v>
      </c>
      <c r="H1090" s="9" t="str">
        <f>VLOOKUP(A1090,[2]characters!$A:$K,11,FALSE)</f>
        <v>technical</v>
      </c>
      <c r="I1090" s="14" t="str">
        <f>VLOOKUP(H1090,[2]character_type_i18n!$A:$F,3,FALSE)</f>
        <v>テクニカルタイプ</v>
      </c>
      <c r="J1090" s="36">
        <f>VLOOKUP(H1090,[2]character_type_i18n!$A:$F,4,FALSE)</f>
        <v>0.9</v>
      </c>
      <c r="K1090" s="36">
        <f>VLOOKUP(H1090,[2]character_type_i18n!$A:$F,5,FALSE)</f>
        <v>0.9</v>
      </c>
      <c r="L1090" s="36">
        <f>VLOOKUP(H1090,[2]character_type_i18n!$A:$F,6,FALSE)</f>
        <v>1</v>
      </c>
      <c r="M1090" s="9" t="str">
        <f>VLOOKUP(A1090,[2]characters!$A:$M,13,FALSE)</f>
        <v>unknown</v>
      </c>
      <c r="N1090" s="14" t="str">
        <f>VLOOKUP(M1090,[2]character_tribe_i18n!$A:$F,3,FALSE)</f>
        <v>Unknown</v>
      </c>
      <c r="O1090" s="24">
        <f>VLOOKUP(M1090,[2]character_tribe_i18n!$A:$F,4,FALSE)</f>
        <v>1</v>
      </c>
      <c r="P1090" s="24">
        <f>VLOOKUP(M1090,[2]character_tribe_i18n!$A:$F,5,FALSE)</f>
        <v>1</v>
      </c>
      <c r="Q1090" s="24">
        <f>VLOOKUP(M1090,[2]character_tribe_i18n!$A:$F,6,FALSE)</f>
        <v>1</v>
      </c>
      <c r="R1090" s="25" t="s">
        <v>98</v>
      </c>
      <c r="S1090" s="24">
        <f>VLOOKUP($R1090,ラベル別係数!$A$1:$E$7,3,FALSE)</f>
        <v>5</v>
      </c>
      <c r="T1090" s="24">
        <f>VLOOKUP($R1090,ラベル別係数!$A$1:$E$7,4,FALSE)</f>
        <v>1.3</v>
      </c>
      <c r="U1090" s="24">
        <f>VLOOKUP($R1090,ラベル別係数!$A$1:$E$7,5,FALSE)</f>
        <v>0.8</v>
      </c>
      <c r="V1090" s="27">
        <v>3</v>
      </c>
      <c r="W1090" s="28">
        <f>VLOOKUP(V1090,ターン数別攻撃係数!$A$1:$B$1000,2,FALSE)</f>
        <v>1</v>
      </c>
      <c r="X1090" s="9">
        <f>VLOOKUP(C1090,サイズ別係数!A$2:B$9,2,FALSE)</f>
        <v>60</v>
      </c>
      <c r="Y1090" s="26">
        <f>VLOOKUP($X1090,サイズ別係数!$B:$E,2,FALSE)</f>
        <v>1.7</v>
      </c>
      <c r="Z1090" s="26">
        <f>VLOOKUP($X1090,サイズ別係数!$B:$E,3,FALSE)</f>
        <v>1.4</v>
      </c>
      <c r="AA1090" s="26">
        <f>VLOOKUP($X1090,サイズ別係数!$B:$E,4,FALSE)</f>
        <v>1</v>
      </c>
      <c r="AB1090" s="5">
        <v>0</v>
      </c>
      <c r="AC1090" s="34" t="str">
        <f ca="1">VLOOKUP($AB1090,OFFSET([3]enemy_skill_sets!$B$2,0,0,COUNTA([3]enemy_skill_sets!$A:$A),MATCH(AC$1,[3]enemy_skill_sets!$1:$1,0)-MATCH($AB$1,[3]enemy_skill_sets!$1:$1,0)+1),MATCH(AC$1,[3]enemy_skill_sets!$1:$1,0)-MATCH($AB$1,[3]enemy_skill_sets!$1:$1,0)+1,FALSE)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0" s="67">
        <v>1</v>
      </c>
      <c r="AE1090" s="67">
        <v>1</v>
      </c>
      <c r="AF1090" s="37">
        <v>0</v>
      </c>
      <c r="AG1090" s="99">
        <f>ROUND(VLOOKUP(1,enemy_base_stats!$A:$F,2,FALSE) * Y1090* J1090*O1090*E1090*S1090*AD1090*[2]ステータス!$B$2,0)</f>
        <v>3902</v>
      </c>
      <c r="AH1090" s="99">
        <f>ROUND(VLOOKUP(1,enemy_base_stats!$A:$F,3,FALSE) * Z1090*K1090*P1090*F1090*T1090*AE1090 * W1090*[2]ステータス!$C$2,0)</f>
        <v>241</v>
      </c>
      <c r="AI1090" s="99">
        <f>ROUND(VLOOKUP(1,enemy_base_stats!$A:$F,4,FALSE) * AA1090*L1090*Q1090*G1090*U1090*AF1090*[2]ステータス!$D$2,0)</f>
        <v>0</v>
      </c>
      <c r="AJ1090" s="99">
        <f>ROUND(VLOOKUP(100,enemy_base_stats!$A:$F,2,FALSE) * Y1090* J1090*O1090*E1090*S1090*AD1090*[2]ステータス!$B$2,0)</f>
        <v>158401</v>
      </c>
      <c r="AK1090" s="99">
        <f>ROUND(VLOOKUP(100,enemy_base_stats!$A:$F,3,FALSE)* Z1090* K1090*P1090*F1090*T1090*AE1090 * W1090*[2]ステータス!$C$2,0)</f>
        <v>9776</v>
      </c>
      <c r="AL1090" s="99">
        <f>ROUND(VLOOKUP(100,enemy_base_stats!$A:$F,4,FALSE)* AA1090* L1090*Q1090*G1090*U1090*AF1090*[2]ステータス!$D$2,0)</f>
        <v>0</v>
      </c>
      <c r="AM1090" s="97">
        <f>VLOOKUP(M1090,[2]character_tribe_i18n!$A:$I,9,FALSE)</f>
        <v>340</v>
      </c>
      <c r="AN1090" s="36">
        <v>0</v>
      </c>
      <c r="AO1090" s="53">
        <v>0</v>
      </c>
      <c r="AP1090" s="58" t="s">
        <v>72</v>
      </c>
      <c r="AQ1090" s="71">
        <f t="shared" si="60"/>
        <v>1089</v>
      </c>
    </row>
    <row r="1091" spans="1:43" ht="21" customHeight="1" x14ac:dyDescent="0.15">
      <c r="A1091" s="7">
        <v>1090</v>
      </c>
      <c r="B1091" s="6" t="str">
        <f>VLOOKUP(A1091,[2]characters!$A:$C,3,FALSE)</f>
        <v>ラプラス</v>
      </c>
      <c r="C1091" s="9">
        <f>VLOOKUP(A1091,[2]characters!$A:$I,9,FALSE)</f>
        <v>5</v>
      </c>
      <c r="D1091" s="9" t="str">
        <f>VLOOKUP(A1091,[2]characters!$A:$H,8,FALSE)</f>
        <v>yellow</v>
      </c>
      <c r="E1091" s="24">
        <f>VLOOKUP(D1091,[2]属性!$A:$E,2,FALSE)</f>
        <v>0.98</v>
      </c>
      <c r="F1091" s="24">
        <f>VLOOKUP(D1091,[2]属性!$A:$E,3,FALSE)</f>
        <v>1.01</v>
      </c>
      <c r="G1091" s="24">
        <f>VLOOKUP(D1091,[2]属性!$A:$F,4,FALSE)</f>
        <v>1</v>
      </c>
      <c r="H1091" s="9" t="str">
        <f>VLOOKUP(A1091,[2]characters!$A:$K,11,FALSE)</f>
        <v>attack</v>
      </c>
      <c r="I1091" s="14" t="str">
        <f>VLOOKUP(H1091,[2]character_type_i18n!$A:$F,3,FALSE)</f>
        <v>攻撃タイプ</v>
      </c>
      <c r="J1091" s="36">
        <f>VLOOKUP(H1091,[2]character_type_i18n!$A:$F,4,FALSE)</f>
        <v>1</v>
      </c>
      <c r="K1091" s="36">
        <f>VLOOKUP(H1091,[2]character_type_i18n!$A:$F,5,FALSE)</f>
        <v>1.33</v>
      </c>
      <c r="L1091" s="36">
        <f>VLOOKUP(H1091,[2]character_type_i18n!$A:$F,6,FALSE)</f>
        <v>1</v>
      </c>
      <c r="M1091" s="9" t="str">
        <f>VLOOKUP(A1091,[2]characters!$A:$M,13,FALSE)</f>
        <v>academia</v>
      </c>
      <c r="N1091" s="14" t="str">
        <f>VLOOKUP(M1091,[2]character_tribe_i18n!$A:$F,3,FALSE)</f>
        <v>アカデミア</v>
      </c>
      <c r="O1091" s="24">
        <f>VLOOKUP(M1091,[2]character_tribe_i18n!$A:$F,4,FALSE)</f>
        <v>1</v>
      </c>
      <c r="P1091" s="24">
        <f>VLOOKUP(M1091,[2]character_tribe_i18n!$A:$F,5,FALSE)</f>
        <v>1</v>
      </c>
      <c r="Q1091" s="24">
        <f>VLOOKUP(M1091,[2]character_tribe_i18n!$A:$F,6,FALSE)</f>
        <v>1</v>
      </c>
      <c r="R1091" s="25" t="s">
        <v>98</v>
      </c>
      <c r="S1091" s="24">
        <f>VLOOKUP($R1091,ラベル別係数!$A$1:$E$7,3,FALSE)</f>
        <v>5</v>
      </c>
      <c r="T1091" s="24">
        <f>VLOOKUP($R1091,ラベル別係数!$A$1:$E$7,4,FALSE)</f>
        <v>1.3</v>
      </c>
      <c r="U1091" s="24">
        <f>VLOOKUP($R1091,ラベル別係数!$A$1:$E$7,5,FALSE)</f>
        <v>0.8</v>
      </c>
      <c r="V1091" s="27">
        <v>3</v>
      </c>
      <c r="W1091" s="28">
        <f>VLOOKUP(V1091,ターン数別攻撃係数!$A$1:$B$1000,2,FALSE)</f>
        <v>1</v>
      </c>
      <c r="X1091" s="9">
        <f>VLOOKUP(C1091,サイズ別係数!A$2:B$9,2,FALSE)</f>
        <v>60</v>
      </c>
      <c r="Y1091" s="26">
        <f>VLOOKUP($X1091,サイズ別係数!$B:$E,2,FALSE)</f>
        <v>1.7</v>
      </c>
      <c r="Z1091" s="26">
        <f>VLOOKUP($X1091,サイズ別係数!$B:$E,3,FALSE)</f>
        <v>1.4</v>
      </c>
      <c r="AA1091" s="26">
        <f>VLOOKUP($X1091,サイズ別係数!$B:$E,4,FALSE)</f>
        <v>1</v>
      </c>
      <c r="AB1091" s="5">
        <v>0</v>
      </c>
      <c r="AC1091" s="34" t="str">
        <f ca="1">VLOOKUP($AB1091,OFFSET([3]enemy_skill_sets!$B$2,0,0,COUNTA([3]enemy_skill_sets!$A:$A),MATCH(AC$1,[3]enemy_skill_sets!$1:$1,0)-MATCH($AB$1,[3]enemy_skill_sets!$1:$1,0)+1),MATCH(AC$1,[3]enemy_skill_sets!$1:$1,0)-MATCH($AB$1,[3]enemy_skill_sets!$1:$1,0)+1,FALSE)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1" s="67">
        <v>1</v>
      </c>
      <c r="AE1091" s="67">
        <v>1</v>
      </c>
      <c r="AF1091" s="37">
        <v>0</v>
      </c>
      <c r="AG1091" s="99">
        <f>ROUND(VLOOKUP(1,enemy_base_stats!$A:$F,2,FALSE) * Y1091* J1091*O1091*E1091*S1091*AD1091*[2]ステータス!$B$2,0)</f>
        <v>4165</v>
      </c>
      <c r="AH1091" s="99">
        <f>ROUND(VLOOKUP(1,enemy_base_stats!$A:$F,3,FALSE) * Z1091*K1091*P1091*F1091*T1091*AE1091 * W1091*[2]ステータス!$C$2,0)</f>
        <v>367</v>
      </c>
      <c r="AI1091" s="99">
        <f>ROUND(VLOOKUP(1,enemy_base_stats!$A:$F,4,FALSE) * AA1091*L1091*Q1091*G1091*U1091*AF1091*[2]ステータス!$D$2,0)</f>
        <v>0</v>
      </c>
      <c r="AJ1091" s="99">
        <f>ROUND(VLOOKUP(100,enemy_base_stats!$A:$F,2,FALSE) * Y1091* J1091*O1091*E1091*S1091*AD1091*[2]ステータス!$B$2,0)</f>
        <v>169099</v>
      </c>
      <c r="AK1091" s="99">
        <f>ROUND(VLOOKUP(100,enemy_base_stats!$A:$F,3,FALSE)* Z1091* K1091*P1091*F1091*T1091*AE1091 * W1091*[2]ステータス!$C$2,0)</f>
        <v>14889</v>
      </c>
      <c r="AL1091" s="99">
        <f>ROUND(VLOOKUP(100,enemy_base_stats!$A:$F,4,FALSE)* AA1091* L1091*Q1091*G1091*U1091*AF1091*[2]ステータス!$D$2,0)</f>
        <v>0</v>
      </c>
      <c r="AM1091" s="97">
        <f>VLOOKUP(M1091,[2]character_tribe_i18n!$A:$I,9,FALSE)</f>
        <v>400</v>
      </c>
      <c r="AN1091" s="36">
        <v>0</v>
      </c>
      <c r="AO1091" s="53">
        <v>0</v>
      </c>
      <c r="AP1091" s="58" t="s">
        <v>72</v>
      </c>
      <c r="AQ1091" s="71">
        <f t="shared" si="60"/>
        <v>1090</v>
      </c>
    </row>
    <row r="1092" spans="1:43" ht="21" customHeight="1" x14ac:dyDescent="0.15">
      <c r="A1092" s="7">
        <v>1091</v>
      </c>
      <c r="B1092" s="6" t="str">
        <f>VLOOKUP(A1092,[2]characters!$A:$C,3,FALSE)</f>
        <v>予眼する魔姫 ラプラス</v>
      </c>
      <c r="C1092" s="9">
        <f>VLOOKUP(A1092,[2]characters!$A:$I,9,FALSE)</f>
        <v>6</v>
      </c>
      <c r="D1092" s="9" t="str">
        <f>VLOOKUP(A1092,[2]characters!$A:$H,8,FALSE)</f>
        <v>yellow</v>
      </c>
      <c r="E1092" s="24">
        <f>VLOOKUP(D1092,[2]属性!$A:$E,2,FALSE)</f>
        <v>0.98</v>
      </c>
      <c r="F1092" s="24">
        <f>VLOOKUP(D1092,[2]属性!$A:$E,3,FALSE)</f>
        <v>1.01</v>
      </c>
      <c r="G1092" s="24">
        <f>VLOOKUP(D1092,[2]属性!$A:$F,4,FALSE)</f>
        <v>1</v>
      </c>
      <c r="H1092" s="9" t="str">
        <f>VLOOKUP(A1092,[2]characters!$A:$K,11,FALSE)</f>
        <v>attack</v>
      </c>
      <c r="I1092" s="14" t="str">
        <f>VLOOKUP(H1092,[2]character_type_i18n!$A:$F,3,FALSE)</f>
        <v>攻撃タイプ</v>
      </c>
      <c r="J1092" s="36">
        <f>VLOOKUP(H1092,[2]character_type_i18n!$A:$F,4,FALSE)</f>
        <v>1</v>
      </c>
      <c r="K1092" s="36">
        <f>VLOOKUP(H1092,[2]character_type_i18n!$A:$F,5,FALSE)</f>
        <v>1.33</v>
      </c>
      <c r="L1092" s="36">
        <f>VLOOKUP(H1092,[2]character_type_i18n!$A:$F,6,FALSE)</f>
        <v>1</v>
      </c>
      <c r="M1092" s="9" t="str">
        <f>VLOOKUP(A1092,[2]characters!$A:$M,13,FALSE)</f>
        <v>academia</v>
      </c>
      <c r="N1092" s="14" t="str">
        <f>VLOOKUP(M1092,[2]character_tribe_i18n!$A:$F,3,FALSE)</f>
        <v>アカデミア</v>
      </c>
      <c r="O1092" s="24">
        <f>VLOOKUP(M1092,[2]character_tribe_i18n!$A:$F,4,FALSE)</f>
        <v>1</v>
      </c>
      <c r="P1092" s="24">
        <f>VLOOKUP(M1092,[2]character_tribe_i18n!$A:$F,5,FALSE)</f>
        <v>1</v>
      </c>
      <c r="Q1092" s="24">
        <f>VLOOKUP(M1092,[2]character_tribe_i18n!$A:$F,6,FALSE)</f>
        <v>1</v>
      </c>
      <c r="R1092" s="25" t="s">
        <v>98</v>
      </c>
      <c r="S1092" s="24">
        <f>VLOOKUP($R1092,ラベル別係数!$A$1:$E$7,3,FALSE)</f>
        <v>5</v>
      </c>
      <c r="T1092" s="24">
        <f>VLOOKUP($R1092,ラベル別係数!$A$1:$E$7,4,FALSE)</f>
        <v>1.3</v>
      </c>
      <c r="U1092" s="24">
        <f>VLOOKUP($R1092,ラベル別係数!$A$1:$E$7,5,FALSE)</f>
        <v>0.8</v>
      </c>
      <c r="V1092" s="27">
        <v>3</v>
      </c>
      <c r="W1092" s="28">
        <f>VLOOKUP(V1092,ターン数別攻撃係数!$A$1:$B$1000,2,FALSE)</f>
        <v>1</v>
      </c>
      <c r="X1092" s="9">
        <f>VLOOKUP(C1092,サイズ別係数!A$2:B$9,2,FALSE)</f>
        <v>60</v>
      </c>
      <c r="Y1092" s="26">
        <f>VLOOKUP($X1092,サイズ別係数!$B:$E,2,FALSE)</f>
        <v>1.7</v>
      </c>
      <c r="Z1092" s="26">
        <f>VLOOKUP($X1092,サイズ別係数!$B:$E,3,FALSE)</f>
        <v>1.4</v>
      </c>
      <c r="AA1092" s="26">
        <f>VLOOKUP($X1092,サイズ別係数!$B:$E,4,FALSE)</f>
        <v>1</v>
      </c>
      <c r="AB1092" s="5">
        <v>0</v>
      </c>
      <c r="AC1092" s="34" t="str">
        <f ca="1">VLOOKUP($AB1092,OFFSET([3]enemy_skill_sets!$B$2,0,0,COUNTA([3]enemy_skill_sets!$A:$A),MATCH(AC$1,[3]enemy_skill_sets!$1:$1,0)-MATCH($AB$1,[3]enemy_skill_sets!$1:$1,0)+1),MATCH(AC$1,[3]enemy_skill_sets!$1:$1,0)-MATCH($AB$1,[3]enemy_skill_sets!$1:$1,0)+1,FALSE)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2" s="67">
        <v>1</v>
      </c>
      <c r="AE1092" s="67">
        <v>1</v>
      </c>
      <c r="AF1092" s="37">
        <v>0</v>
      </c>
      <c r="AG1092" s="99">
        <f>ROUND(VLOOKUP(1,enemy_base_stats!$A:$F,2,FALSE) * Y1092* J1092*O1092*E1092*S1092*AD1092*[2]ステータス!$B$2,0)</f>
        <v>4165</v>
      </c>
      <c r="AH1092" s="99">
        <f>ROUND(VLOOKUP(1,enemy_base_stats!$A:$F,3,FALSE) * Z1092*K1092*P1092*F1092*T1092*AE1092 * W1092*[2]ステータス!$C$2,0)</f>
        <v>367</v>
      </c>
      <c r="AI1092" s="99">
        <f>ROUND(VLOOKUP(1,enemy_base_stats!$A:$F,4,FALSE) * AA1092*L1092*Q1092*G1092*U1092*AF1092*[2]ステータス!$D$2,0)</f>
        <v>0</v>
      </c>
      <c r="AJ1092" s="99">
        <f>ROUND(VLOOKUP(100,enemy_base_stats!$A:$F,2,FALSE) * Y1092* J1092*O1092*E1092*S1092*AD1092*[2]ステータス!$B$2,0)</f>
        <v>169099</v>
      </c>
      <c r="AK1092" s="99">
        <f>ROUND(VLOOKUP(100,enemy_base_stats!$A:$F,3,FALSE)* Z1092* K1092*P1092*F1092*T1092*AE1092 * W1092*[2]ステータス!$C$2,0)</f>
        <v>14889</v>
      </c>
      <c r="AL1092" s="99">
        <f>ROUND(VLOOKUP(100,enemy_base_stats!$A:$F,4,FALSE)* AA1092* L1092*Q1092*G1092*U1092*AF1092*[2]ステータス!$D$2,0)</f>
        <v>0</v>
      </c>
      <c r="AM1092" s="97">
        <f>VLOOKUP(M1092,[2]character_tribe_i18n!$A:$I,9,FALSE)</f>
        <v>400</v>
      </c>
      <c r="AN1092" s="36">
        <v>0</v>
      </c>
      <c r="AO1092" s="53">
        <v>0</v>
      </c>
      <c r="AP1092" s="58" t="s">
        <v>72</v>
      </c>
      <c r="AQ1092" s="71">
        <f t="shared" si="60"/>
        <v>1091</v>
      </c>
    </row>
    <row r="1093" spans="1:43" ht="21" customHeight="1" x14ac:dyDescent="0.15">
      <c r="A1093" s="7">
        <v>1092</v>
      </c>
      <c r="B1093" s="6" t="str">
        <f>VLOOKUP(A1093,[2]characters!$A:$C,3,FALSE)</f>
        <v>究護の戦王子 レイヴン</v>
      </c>
      <c r="C1093" s="9">
        <f>VLOOKUP(A1093,[2]characters!$A:$I,9,FALSE)</f>
        <v>6</v>
      </c>
      <c r="D1093" s="9" t="str">
        <f>VLOOKUP(A1093,[2]characters!$A:$H,8,FALSE)</f>
        <v>green</v>
      </c>
      <c r="E1093" s="24">
        <f>VLOOKUP(D1093,[2]属性!$A:$E,2,FALSE)</f>
        <v>1.02</v>
      </c>
      <c r="F1093" s="24">
        <f>VLOOKUP(D1093,[2]属性!$A:$E,3,FALSE)</f>
        <v>0.98</v>
      </c>
      <c r="G1093" s="24">
        <f>VLOOKUP(D1093,[2]属性!$A:$F,4,FALSE)</f>
        <v>1</v>
      </c>
      <c r="H1093" s="9" t="str">
        <f>VLOOKUP(A1093,[2]characters!$A:$K,11,FALSE)</f>
        <v>attack</v>
      </c>
      <c r="I1093" s="14" t="str">
        <f>VLOOKUP(H1093,[2]character_type_i18n!$A:$F,3,FALSE)</f>
        <v>攻撃タイプ</v>
      </c>
      <c r="J1093" s="36">
        <f>VLOOKUP(H1093,[2]character_type_i18n!$A:$F,4,FALSE)</f>
        <v>1</v>
      </c>
      <c r="K1093" s="36">
        <f>VLOOKUP(H1093,[2]character_type_i18n!$A:$F,5,FALSE)</f>
        <v>1.33</v>
      </c>
      <c r="L1093" s="36">
        <f>VLOOKUP(H1093,[2]character_type_i18n!$A:$F,6,FALSE)</f>
        <v>1</v>
      </c>
      <c r="M1093" s="9" t="str">
        <f>VLOOKUP(A1093,[2]characters!$A:$M,13,FALSE)</f>
        <v>human</v>
      </c>
      <c r="N1093" s="14" t="str">
        <f>VLOOKUP(M1093,[2]character_tribe_i18n!$A:$F,3,FALSE)</f>
        <v>ヒューマン</v>
      </c>
      <c r="O1093" s="24">
        <f>VLOOKUP(M1093,[2]character_tribe_i18n!$A:$F,4,FALSE)</f>
        <v>0.94</v>
      </c>
      <c r="P1093" s="24">
        <f>VLOOKUP(M1093,[2]character_tribe_i18n!$A:$F,5,FALSE)</f>
        <v>0.99</v>
      </c>
      <c r="Q1093" s="24">
        <f>VLOOKUP(M1093,[2]character_tribe_i18n!$A:$F,6,FALSE)</f>
        <v>1</v>
      </c>
      <c r="R1093" s="25" t="s">
        <v>98</v>
      </c>
      <c r="S1093" s="24">
        <f>VLOOKUP($R1093,ラベル別係数!$A$1:$E$7,3,FALSE)</f>
        <v>5</v>
      </c>
      <c r="T1093" s="24">
        <f>VLOOKUP($R1093,ラベル別係数!$A$1:$E$7,4,FALSE)</f>
        <v>1.3</v>
      </c>
      <c r="U1093" s="24">
        <f>VLOOKUP($R1093,ラベル別係数!$A$1:$E$7,5,FALSE)</f>
        <v>0.8</v>
      </c>
      <c r="V1093" s="27">
        <v>3</v>
      </c>
      <c r="W1093" s="28">
        <f>VLOOKUP(V1093,ターン数別攻撃係数!$A$1:$B$1000,2,FALSE)</f>
        <v>1</v>
      </c>
      <c r="X1093" s="9">
        <f>VLOOKUP(C1093,サイズ別係数!A$2:B$9,2,FALSE)</f>
        <v>60</v>
      </c>
      <c r="Y1093" s="26">
        <f>VLOOKUP($X1093,サイズ別係数!$B:$E,2,FALSE)</f>
        <v>1.7</v>
      </c>
      <c r="Z1093" s="26">
        <f>VLOOKUP($X1093,サイズ別係数!$B:$E,3,FALSE)</f>
        <v>1.4</v>
      </c>
      <c r="AA1093" s="26">
        <f>VLOOKUP($X1093,サイズ別係数!$B:$E,4,FALSE)</f>
        <v>1</v>
      </c>
      <c r="AB1093" s="5">
        <v>0</v>
      </c>
      <c r="AC1093" s="34" t="str">
        <f ca="1">VLOOKUP($AB1093,OFFSET([3]enemy_skill_sets!$B$2,0,0,COUNTA([3]enemy_skill_sets!$A:$A),MATCH(AC$1,[3]enemy_skill_sets!$1:$1,0)-MATCH($AB$1,[3]enemy_skill_sets!$1:$1,0)+1),MATCH(AC$1,[3]enemy_skill_sets!$1:$1,0)-MATCH($AB$1,[3]enemy_skill_sets!$1:$1,0)+1,FALSE)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3" s="67">
        <v>1</v>
      </c>
      <c r="AE1093" s="67">
        <v>1</v>
      </c>
      <c r="AF1093" s="37">
        <v>0</v>
      </c>
      <c r="AG1093" s="99">
        <f>ROUND(VLOOKUP(1,enemy_base_stats!$A:$F,2,FALSE) * Y1093* J1093*O1093*E1093*S1093*AD1093*[2]ステータス!$B$2,0)</f>
        <v>4075</v>
      </c>
      <c r="AH1093" s="99">
        <f>ROUND(VLOOKUP(1,enemy_base_stats!$A:$F,3,FALSE) * Z1093*K1093*P1093*F1093*T1093*AE1093 * W1093*[2]ステータス!$C$2,0)</f>
        <v>352</v>
      </c>
      <c r="AI1093" s="99">
        <f>ROUND(VLOOKUP(1,enemy_base_stats!$A:$F,4,FALSE) * AA1093*L1093*Q1093*G1093*U1093*AF1093*[2]ステータス!$D$2,0)</f>
        <v>0</v>
      </c>
      <c r="AJ1093" s="99">
        <f>ROUND(VLOOKUP(100,enemy_base_stats!$A:$F,2,FALSE) * Y1093* J1093*O1093*E1093*S1093*AD1093*[2]ステータス!$B$2,0)</f>
        <v>165441</v>
      </c>
      <c r="AK1093" s="99">
        <f>ROUND(VLOOKUP(100,enemy_base_stats!$A:$F,3,FALSE)* Z1093* K1093*P1093*F1093*T1093*AE1093 * W1093*[2]ステータス!$C$2,0)</f>
        <v>14302</v>
      </c>
      <c r="AL1093" s="99">
        <f>ROUND(VLOOKUP(100,enemy_base_stats!$A:$F,4,FALSE)* AA1093* L1093*Q1093*G1093*U1093*AF1093*[2]ステータス!$D$2,0)</f>
        <v>0</v>
      </c>
      <c r="AM1093" s="97">
        <f>VLOOKUP(M1093,[2]character_tribe_i18n!$A:$I,9,FALSE)</f>
        <v>400</v>
      </c>
      <c r="AN1093" s="36">
        <v>0</v>
      </c>
      <c r="AO1093" s="53">
        <v>0</v>
      </c>
      <c r="AP1093" s="58" t="s">
        <v>72</v>
      </c>
      <c r="AQ1093" s="71">
        <f t="shared" si="60"/>
        <v>1092</v>
      </c>
    </row>
    <row r="1094" spans="1:43" ht="21" customHeight="1" x14ac:dyDescent="0.15">
      <c r="A1094" s="7">
        <v>1093</v>
      </c>
      <c r="B1094" s="6" t="str">
        <f>VLOOKUP(A1094,[2]characters!$A:$C,3,FALSE)</f>
        <v>未定</v>
      </c>
      <c r="C1094" s="9">
        <f>VLOOKUP(A1094,[2]characters!$A:$I,9,FALSE)</f>
        <v>6</v>
      </c>
      <c r="D1094" s="9" t="str">
        <f>VLOOKUP(A1094,[2]characters!$A:$H,8,FALSE)</f>
        <v>yellow</v>
      </c>
      <c r="E1094" s="24">
        <f>VLOOKUP(D1094,[2]属性!$A:$E,2,FALSE)</f>
        <v>0.98</v>
      </c>
      <c r="F1094" s="24">
        <f>VLOOKUP(D1094,[2]属性!$A:$E,3,FALSE)</f>
        <v>1.01</v>
      </c>
      <c r="G1094" s="24">
        <f>VLOOKUP(D1094,[2]属性!$A:$F,4,FALSE)</f>
        <v>1</v>
      </c>
      <c r="H1094" s="9" t="str">
        <f>VLOOKUP(A1094,[2]characters!$A:$K,11,FALSE)</f>
        <v>attack</v>
      </c>
      <c r="I1094" s="14" t="str">
        <f>VLOOKUP(H1094,[2]character_type_i18n!$A:$F,3,FALSE)</f>
        <v>攻撃タイプ</v>
      </c>
      <c r="J1094" s="36">
        <f>VLOOKUP(H1094,[2]character_type_i18n!$A:$F,4,FALSE)</f>
        <v>1</v>
      </c>
      <c r="K1094" s="36">
        <f>VLOOKUP(H1094,[2]character_type_i18n!$A:$F,5,FALSE)</f>
        <v>1.33</v>
      </c>
      <c r="L1094" s="36">
        <f>VLOOKUP(H1094,[2]character_type_i18n!$A:$F,6,FALSE)</f>
        <v>1</v>
      </c>
      <c r="M1094" s="9" t="str">
        <f>VLOOKUP(A1094,[2]characters!$A:$M,13,FALSE)</f>
        <v>unknown</v>
      </c>
      <c r="N1094" s="14" t="str">
        <f>VLOOKUP(M1094,[2]character_tribe_i18n!$A:$F,3,FALSE)</f>
        <v>Unknown</v>
      </c>
      <c r="O1094" s="24">
        <f>VLOOKUP(M1094,[2]character_tribe_i18n!$A:$F,4,FALSE)</f>
        <v>1</v>
      </c>
      <c r="P1094" s="24">
        <f>VLOOKUP(M1094,[2]character_tribe_i18n!$A:$F,5,FALSE)</f>
        <v>1</v>
      </c>
      <c r="Q1094" s="24">
        <f>VLOOKUP(M1094,[2]character_tribe_i18n!$A:$F,6,FALSE)</f>
        <v>1</v>
      </c>
      <c r="R1094" s="25" t="s">
        <v>98</v>
      </c>
      <c r="S1094" s="24">
        <f>VLOOKUP($R1094,ラベル別係数!$A$1:$E$7,3,FALSE)</f>
        <v>5</v>
      </c>
      <c r="T1094" s="24">
        <f>VLOOKUP($R1094,ラベル別係数!$A$1:$E$7,4,FALSE)</f>
        <v>1.3</v>
      </c>
      <c r="U1094" s="24">
        <f>VLOOKUP($R1094,ラベル別係数!$A$1:$E$7,5,FALSE)</f>
        <v>0.8</v>
      </c>
      <c r="V1094" s="27">
        <v>3</v>
      </c>
      <c r="W1094" s="28">
        <f>VLOOKUP(V1094,ターン数別攻撃係数!$A$1:$B$1000,2,FALSE)</f>
        <v>1</v>
      </c>
      <c r="X1094" s="9">
        <f>VLOOKUP(C1094,サイズ別係数!A$2:B$9,2,FALSE)</f>
        <v>60</v>
      </c>
      <c r="Y1094" s="26">
        <f>VLOOKUP($X1094,サイズ別係数!$B:$E,2,FALSE)</f>
        <v>1.7</v>
      </c>
      <c r="Z1094" s="26">
        <f>VLOOKUP($X1094,サイズ別係数!$B:$E,3,FALSE)</f>
        <v>1.4</v>
      </c>
      <c r="AA1094" s="26">
        <f>VLOOKUP($X1094,サイズ別係数!$B:$E,4,FALSE)</f>
        <v>1</v>
      </c>
      <c r="AB1094" s="5">
        <v>0</v>
      </c>
      <c r="AC1094" s="34" t="str">
        <f ca="1">VLOOKUP($AB1094,OFFSET([3]enemy_skill_sets!$B$2,0,0,COUNTA([3]enemy_skill_sets!$A:$A),MATCH(AC$1,[3]enemy_skill_sets!$1:$1,0)-MATCH($AB$1,[3]enemy_skill_sets!$1:$1,0)+1),MATCH(AC$1,[3]enemy_skill_sets!$1:$1,0)-MATCH($AB$1,[3]enemy_skill_sets!$1:$1,0)+1,FALSE)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4" s="67">
        <v>1</v>
      </c>
      <c r="AE1094" s="67">
        <v>1</v>
      </c>
      <c r="AF1094" s="37">
        <v>0</v>
      </c>
      <c r="AG1094" s="99">
        <f>ROUND(VLOOKUP(1,enemy_base_stats!$A:$F,2,FALSE) * Y1094* J1094*O1094*E1094*S1094*AD1094*[2]ステータス!$B$2,0)</f>
        <v>4165</v>
      </c>
      <c r="AH1094" s="99">
        <f>ROUND(VLOOKUP(1,enemy_base_stats!$A:$F,3,FALSE) * Z1094*K1094*P1094*F1094*T1094*AE1094 * W1094*[2]ステータス!$C$2,0)</f>
        <v>367</v>
      </c>
      <c r="AI1094" s="99">
        <f>ROUND(VLOOKUP(1,enemy_base_stats!$A:$F,4,FALSE) * AA1094*L1094*Q1094*G1094*U1094*AF1094*[2]ステータス!$D$2,0)</f>
        <v>0</v>
      </c>
      <c r="AJ1094" s="99">
        <f>ROUND(VLOOKUP(100,enemy_base_stats!$A:$F,2,FALSE) * Y1094* J1094*O1094*E1094*S1094*AD1094*[2]ステータス!$B$2,0)</f>
        <v>169099</v>
      </c>
      <c r="AK1094" s="99">
        <f>ROUND(VLOOKUP(100,enemy_base_stats!$A:$F,3,FALSE)* Z1094* K1094*P1094*F1094*T1094*AE1094 * W1094*[2]ステータス!$C$2,0)</f>
        <v>14889</v>
      </c>
      <c r="AL1094" s="99">
        <f>ROUND(VLOOKUP(100,enemy_base_stats!$A:$F,4,FALSE)* AA1094* L1094*Q1094*G1094*U1094*AF1094*[2]ステータス!$D$2,0)</f>
        <v>0</v>
      </c>
      <c r="AM1094" s="97">
        <f>VLOOKUP(M1094,[2]character_tribe_i18n!$A:$I,9,FALSE)</f>
        <v>340</v>
      </c>
      <c r="AN1094" s="36">
        <v>0</v>
      </c>
      <c r="AO1094" s="53">
        <v>0</v>
      </c>
      <c r="AP1094" s="58" t="s">
        <v>72</v>
      </c>
      <c r="AQ1094" s="71">
        <f t="shared" si="60"/>
        <v>1093</v>
      </c>
    </row>
    <row r="1095" spans="1:43" ht="21" customHeight="1" x14ac:dyDescent="0.15">
      <c r="A1095" s="7">
        <v>1094</v>
      </c>
      <c r="B1095" s="6" t="str">
        <f>VLOOKUP(A1095,[2]characters!$A:$C,3,FALSE)</f>
        <v>メルクシャ</v>
      </c>
      <c r="C1095" s="9">
        <f>VLOOKUP(A1095,[2]characters!$A:$I,9,FALSE)</f>
        <v>4</v>
      </c>
      <c r="D1095" s="9" t="str">
        <f>VLOOKUP(A1095,[2]characters!$A:$H,8,FALSE)</f>
        <v>blue</v>
      </c>
      <c r="E1095" s="24">
        <f>VLOOKUP(D1095,[2]属性!$A:$E,2,FALSE)</f>
        <v>1</v>
      </c>
      <c r="F1095" s="24">
        <f>VLOOKUP(D1095,[2]属性!$A:$E,3,FALSE)</f>
        <v>0.98</v>
      </c>
      <c r="G1095" s="24">
        <f>VLOOKUP(D1095,[2]属性!$A:$F,4,FALSE)</f>
        <v>1</v>
      </c>
      <c r="H1095" s="9" t="str">
        <f>VLOOKUP(A1095,[2]characters!$A:$K,11,FALSE)</f>
        <v>technical</v>
      </c>
      <c r="I1095" s="14" t="str">
        <f>VLOOKUP(H1095,[2]character_type_i18n!$A:$F,3,FALSE)</f>
        <v>テクニカルタイプ</v>
      </c>
      <c r="J1095" s="36">
        <f>VLOOKUP(H1095,[2]character_type_i18n!$A:$F,4,FALSE)</f>
        <v>0.9</v>
      </c>
      <c r="K1095" s="36">
        <f>VLOOKUP(H1095,[2]character_type_i18n!$A:$F,5,FALSE)</f>
        <v>0.9</v>
      </c>
      <c r="L1095" s="36">
        <f>VLOOKUP(H1095,[2]character_type_i18n!$A:$F,6,FALSE)</f>
        <v>1</v>
      </c>
      <c r="M1095" s="9" t="str">
        <f>VLOOKUP(A1095,[2]characters!$A:$M,13,FALSE)</f>
        <v>animal</v>
      </c>
      <c r="N1095" s="14" t="str">
        <f>VLOOKUP(M1095,[2]character_tribe_i18n!$A:$F,3,FALSE)</f>
        <v>アニマル</v>
      </c>
      <c r="O1095" s="24">
        <f>VLOOKUP(M1095,[2]character_tribe_i18n!$A:$F,4,FALSE)</f>
        <v>1</v>
      </c>
      <c r="P1095" s="24">
        <f>VLOOKUP(M1095,[2]character_tribe_i18n!$A:$F,5,FALSE)</f>
        <v>1.1000000000000001</v>
      </c>
      <c r="Q1095" s="24">
        <f>VLOOKUP(M1095,[2]character_tribe_i18n!$A:$F,6,FALSE)</f>
        <v>1</v>
      </c>
      <c r="R1095" s="25" t="s">
        <v>98</v>
      </c>
      <c r="S1095" s="24">
        <f>VLOOKUP($R1095,ラベル別係数!$A$1:$E$7,3,FALSE)</f>
        <v>5</v>
      </c>
      <c r="T1095" s="24">
        <f>VLOOKUP($R1095,ラベル別係数!$A$1:$E$7,4,FALSE)</f>
        <v>1.3</v>
      </c>
      <c r="U1095" s="24">
        <f>VLOOKUP($R1095,ラベル別係数!$A$1:$E$7,5,FALSE)</f>
        <v>0.8</v>
      </c>
      <c r="V1095" s="27">
        <v>3</v>
      </c>
      <c r="W1095" s="28">
        <f>VLOOKUP(V1095,ターン数別攻撃係数!$A$1:$B$1000,2,FALSE)</f>
        <v>1</v>
      </c>
      <c r="X1095" s="9">
        <f>VLOOKUP(C1095,サイズ別係数!A$2:B$9,2,FALSE)</f>
        <v>30</v>
      </c>
      <c r="Y1095" s="26">
        <f>VLOOKUP($X1095,サイズ別係数!$B:$E,2,FALSE)</f>
        <v>1.3</v>
      </c>
      <c r="Z1095" s="26">
        <f>VLOOKUP($X1095,サイズ別係数!$B:$E,3,FALSE)</f>
        <v>1.3</v>
      </c>
      <c r="AA1095" s="26">
        <f>VLOOKUP($X1095,サイズ別係数!$B:$E,4,FALSE)</f>
        <v>1.1000000000000001</v>
      </c>
      <c r="AB1095" s="5">
        <v>0</v>
      </c>
      <c r="AC1095" s="34" t="str">
        <f ca="1">VLOOKUP($AB1095,OFFSET([3]enemy_skill_sets!$B$2,0,0,COUNTA([3]enemy_skill_sets!$A:$A),MATCH(AC$1,[3]enemy_skill_sets!$1:$1,0)-MATCH($AB$1,[3]enemy_skill_sets!$1:$1,0)+1),MATCH(AC$1,[3]enemy_skill_sets!$1:$1,0)-MATCH($AB$1,[3]enemy_skill_sets!$1:$1,0)+1,FALSE)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5" s="67">
        <v>1</v>
      </c>
      <c r="AE1095" s="67">
        <v>1</v>
      </c>
      <c r="AF1095" s="37">
        <v>0</v>
      </c>
      <c r="AG1095" s="99">
        <f>ROUND(VLOOKUP(1,enemy_base_stats!$A:$F,2,FALSE) * Y1095* J1095*O1095*E1095*S1095*AD1095*[2]ステータス!$B$2,0)</f>
        <v>2925</v>
      </c>
      <c r="AH1095" s="99">
        <f>ROUND(VLOOKUP(1,enemy_base_stats!$A:$F,3,FALSE) * Z1095*K1095*P1095*F1095*T1095*AE1095 * W1095*[2]ステータス!$C$2,0)</f>
        <v>246</v>
      </c>
      <c r="AI1095" s="99">
        <f>ROUND(VLOOKUP(1,enemy_base_stats!$A:$F,4,FALSE) * AA1095*L1095*Q1095*G1095*U1095*AF1095*[2]ステータス!$D$2,0)</f>
        <v>0</v>
      </c>
      <c r="AJ1095" s="99">
        <f>ROUND(VLOOKUP(100,enemy_base_stats!$A:$F,2,FALSE) * Y1095* J1095*O1095*E1095*S1095*AD1095*[2]ステータス!$B$2,0)</f>
        <v>118755</v>
      </c>
      <c r="AK1095" s="99">
        <f>ROUND(VLOOKUP(100,enemy_base_stats!$A:$F,3,FALSE)* Z1095* K1095*P1095*F1095*T1095*AE1095 * W1095*[2]ステータス!$C$2,0)</f>
        <v>9985</v>
      </c>
      <c r="AL1095" s="99">
        <f>ROUND(VLOOKUP(100,enemy_base_stats!$A:$F,4,FALSE)* AA1095* L1095*Q1095*G1095*U1095*AF1095*[2]ステータス!$D$2,0)</f>
        <v>0</v>
      </c>
      <c r="AM1095" s="97">
        <f>VLOOKUP(M1095,[2]character_tribe_i18n!$A:$I,9,FALSE)</f>
        <v>480</v>
      </c>
      <c r="AN1095" s="36">
        <v>0</v>
      </c>
      <c r="AO1095" s="53">
        <v>0</v>
      </c>
      <c r="AP1095" s="58" t="s">
        <v>72</v>
      </c>
      <c r="AQ1095" s="71">
        <f t="shared" si="60"/>
        <v>1094</v>
      </c>
    </row>
    <row r="1096" spans="1:43" ht="21" customHeight="1" x14ac:dyDescent="0.15">
      <c r="A1096" s="7">
        <v>1095</v>
      </c>
      <c r="B1096" s="6" t="str">
        <f>VLOOKUP(A1096,[2]characters!$A:$C,3,FALSE)</f>
        <v>誓愛の絵花 メルクシャ</v>
      </c>
      <c r="C1096" s="9">
        <f>VLOOKUP(A1096,[2]characters!$A:$I,9,FALSE)</f>
        <v>5</v>
      </c>
      <c r="D1096" s="9" t="str">
        <f>VLOOKUP(A1096,[2]characters!$A:$H,8,FALSE)</f>
        <v>blue</v>
      </c>
      <c r="E1096" s="24">
        <f>VLOOKUP(D1096,[2]属性!$A:$E,2,FALSE)</f>
        <v>1</v>
      </c>
      <c r="F1096" s="24">
        <f>VLOOKUP(D1096,[2]属性!$A:$E,3,FALSE)</f>
        <v>0.98</v>
      </c>
      <c r="G1096" s="24">
        <f>VLOOKUP(D1096,[2]属性!$A:$F,4,FALSE)</f>
        <v>1</v>
      </c>
      <c r="H1096" s="9" t="str">
        <f>VLOOKUP(A1096,[2]characters!$A:$K,11,FALSE)</f>
        <v>technical</v>
      </c>
      <c r="I1096" s="14" t="str">
        <f>VLOOKUP(H1096,[2]character_type_i18n!$A:$F,3,FALSE)</f>
        <v>テクニカルタイプ</v>
      </c>
      <c r="J1096" s="36">
        <f>VLOOKUP(H1096,[2]character_type_i18n!$A:$F,4,FALSE)</f>
        <v>0.9</v>
      </c>
      <c r="K1096" s="36">
        <f>VLOOKUP(H1096,[2]character_type_i18n!$A:$F,5,FALSE)</f>
        <v>0.9</v>
      </c>
      <c r="L1096" s="36">
        <f>VLOOKUP(H1096,[2]character_type_i18n!$A:$F,6,FALSE)</f>
        <v>1</v>
      </c>
      <c r="M1096" s="9" t="str">
        <f>VLOOKUP(A1096,[2]characters!$A:$M,13,FALSE)</f>
        <v>animal</v>
      </c>
      <c r="N1096" s="14" t="str">
        <f>VLOOKUP(M1096,[2]character_tribe_i18n!$A:$F,3,FALSE)</f>
        <v>アニマル</v>
      </c>
      <c r="O1096" s="24">
        <f>VLOOKUP(M1096,[2]character_tribe_i18n!$A:$F,4,FALSE)</f>
        <v>1</v>
      </c>
      <c r="P1096" s="24">
        <f>VLOOKUP(M1096,[2]character_tribe_i18n!$A:$F,5,FALSE)</f>
        <v>1.1000000000000001</v>
      </c>
      <c r="Q1096" s="24">
        <f>VLOOKUP(M1096,[2]character_tribe_i18n!$A:$F,6,FALSE)</f>
        <v>1</v>
      </c>
      <c r="R1096" s="25" t="s">
        <v>98</v>
      </c>
      <c r="S1096" s="24">
        <f>VLOOKUP($R1096,ラベル別係数!$A$1:$E$7,3,FALSE)</f>
        <v>5</v>
      </c>
      <c r="T1096" s="24">
        <f>VLOOKUP($R1096,ラベル別係数!$A$1:$E$7,4,FALSE)</f>
        <v>1.3</v>
      </c>
      <c r="U1096" s="24">
        <f>VLOOKUP($R1096,ラベル別係数!$A$1:$E$7,5,FALSE)</f>
        <v>0.8</v>
      </c>
      <c r="V1096" s="27">
        <v>3</v>
      </c>
      <c r="W1096" s="28">
        <f>VLOOKUP(V1096,ターン数別攻撃係数!$A$1:$B$1000,2,FALSE)</f>
        <v>1</v>
      </c>
      <c r="X1096" s="9">
        <f>VLOOKUP(C1096,サイズ別係数!A$2:B$9,2,FALSE)</f>
        <v>60</v>
      </c>
      <c r="Y1096" s="26">
        <f>VLOOKUP($X1096,サイズ別係数!$B:$E,2,FALSE)</f>
        <v>1.7</v>
      </c>
      <c r="Z1096" s="26">
        <f>VLOOKUP($X1096,サイズ別係数!$B:$E,3,FALSE)</f>
        <v>1.4</v>
      </c>
      <c r="AA1096" s="26">
        <f>VLOOKUP($X1096,サイズ別係数!$B:$E,4,FALSE)</f>
        <v>1</v>
      </c>
      <c r="AB1096" s="5">
        <v>0</v>
      </c>
      <c r="AC1096" s="34" t="str">
        <f ca="1">VLOOKUP($AB1096,OFFSET([3]enemy_skill_sets!$B$2,0,0,COUNTA([3]enemy_skill_sets!$A:$A),MATCH(AC$1,[3]enemy_skill_sets!$1:$1,0)-MATCH($AB$1,[3]enemy_skill_sets!$1:$1,0)+1),MATCH(AC$1,[3]enemy_skill_sets!$1:$1,0)-MATCH($AB$1,[3]enemy_skill_sets!$1:$1,0)+1,FALSE)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6" s="67">
        <v>1</v>
      </c>
      <c r="AE1096" s="67">
        <v>1</v>
      </c>
      <c r="AF1096" s="37">
        <v>0</v>
      </c>
      <c r="AG1096" s="99">
        <f>ROUND(VLOOKUP(1,enemy_base_stats!$A:$F,2,FALSE) * Y1096* J1096*O1096*E1096*S1096*AD1096*[2]ステータス!$B$2,0)</f>
        <v>3825</v>
      </c>
      <c r="AH1096" s="99">
        <f>ROUND(VLOOKUP(1,enemy_base_stats!$A:$F,3,FALSE) * Z1096*K1096*P1096*F1096*T1096*AE1096 * W1096*[2]ステータス!$C$2,0)</f>
        <v>265</v>
      </c>
      <c r="AI1096" s="99">
        <f>ROUND(VLOOKUP(1,enemy_base_stats!$A:$F,4,FALSE) * AA1096*L1096*Q1096*G1096*U1096*AF1096*[2]ステータス!$D$2,0)</f>
        <v>0</v>
      </c>
      <c r="AJ1096" s="99">
        <f>ROUND(VLOOKUP(100,enemy_base_stats!$A:$F,2,FALSE) * Y1096* J1096*O1096*E1096*S1096*AD1096*[2]ステータス!$B$2,0)</f>
        <v>155295</v>
      </c>
      <c r="AK1096" s="99">
        <f>ROUND(VLOOKUP(100,enemy_base_stats!$A:$F,3,FALSE)* Z1096* K1096*P1096*F1096*T1096*AE1096 * W1096*[2]ステータス!$C$2,0)</f>
        <v>10754</v>
      </c>
      <c r="AL1096" s="99">
        <f>ROUND(VLOOKUP(100,enemy_base_stats!$A:$F,4,FALSE)* AA1096* L1096*Q1096*G1096*U1096*AF1096*[2]ステータス!$D$2,0)</f>
        <v>0</v>
      </c>
      <c r="AM1096" s="97">
        <f>VLOOKUP(M1096,[2]character_tribe_i18n!$A:$I,9,FALSE)</f>
        <v>480</v>
      </c>
      <c r="AN1096" s="36">
        <v>0</v>
      </c>
      <c r="AO1096" s="53">
        <v>0</v>
      </c>
      <c r="AP1096" s="58" t="s">
        <v>72</v>
      </c>
      <c r="AQ1096" s="71">
        <f t="shared" si="60"/>
        <v>1095</v>
      </c>
    </row>
    <row r="1097" spans="1:43" ht="21" customHeight="1" x14ac:dyDescent="0.15">
      <c r="A1097" s="7">
        <v>1096</v>
      </c>
      <c r="B1097" s="6" t="str">
        <f>VLOOKUP(A1097,[2]characters!$A:$C,3,FALSE)</f>
        <v>ジャ・リダルサ</v>
      </c>
      <c r="C1097" s="9">
        <f>VLOOKUP(A1097,[2]characters!$A:$I,9,FALSE)</f>
        <v>4</v>
      </c>
      <c r="D1097" s="9" t="str">
        <f>VLOOKUP(A1097,[2]characters!$A:$H,8,FALSE)</f>
        <v>red</v>
      </c>
      <c r="E1097" s="24">
        <f>VLOOKUP(D1097,[2]属性!$A:$E,2,FALSE)</f>
        <v>1</v>
      </c>
      <c r="F1097" s="24">
        <f>VLOOKUP(D1097,[2]属性!$A:$E,3,FALSE)</f>
        <v>1.02</v>
      </c>
      <c r="G1097" s="24">
        <f>VLOOKUP(D1097,[2]属性!$A:$F,4,FALSE)</f>
        <v>1</v>
      </c>
      <c r="H1097" s="9" t="str">
        <f>VLOOKUP(A1097,[2]characters!$A:$K,11,FALSE)</f>
        <v>technical</v>
      </c>
      <c r="I1097" s="14" t="str">
        <f>VLOOKUP(H1097,[2]character_type_i18n!$A:$F,3,FALSE)</f>
        <v>テクニカルタイプ</v>
      </c>
      <c r="J1097" s="36">
        <f>VLOOKUP(H1097,[2]character_type_i18n!$A:$F,4,FALSE)</f>
        <v>0.9</v>
      </c>
      <c r="K1097" s="36">
        <f>VLOOKUP(H1097,[2]character_type_i18n!$A:$F,5,FALSE)</f>
        <v>0.9</v>
      </c>
      <c r="L1097" s="36">
        <f>VLOOKUP(H1097,[2]character_type_i18n!$A:$F,6,FALSE)</f>
        <v>1</v>
      </c>
      <c r="M1097" s="9" t="str">
        <f>VLOOKUP(A1097,[2]characters!$A:$M,13,FALSE)</f>
        <v>unknown</v>
      </c>
      <c r="N1097" s="14" t="str">
        <f>VLOOKUP(M1097,[2]character_tribe_i18n!$A:$F,3,FALSE)</f>
        <v>Unknown</v>
      </c>
      <c r="O1097" s="24">
        <f>VLOOKUP(M1097,[2]character_tribe_i18n!$A:$F,4,FALSE)</f>
        <v>1</v>
      </c>
      <c r="P1097" s="24">
        <f>VLOOKUP(M1097,[2]character_tribe_i18n!$A:$F,5,FALSE)</f>
        <v>1</v>
      </c>
      <c r="Q1097" s="24">
        <f>VLOOKUP(M1097,[2]character_tribe_i18n!$A:$F,6,FALSE)</f>
        <v>1</v>
      </c>
      <c r="R1097" s="25" t="s">
        <v>98</v>
      </c>
      <c r="S1097" s="24">
        <f>VLOOKUP($R1097,ラベル別係数!$A$1:$E$7,3,FALSE)</f>
        <v>5</v>
      </c>
      <c r="T1097" s="24">
        <f>VLOOKUP($R1097,ラベル別係数!$A$1:$E$7,4,FALSE)</f>
        <v>1.3</v>
      </c>
      <c r="U1097" s="24">
        <f>VLOOKUP($R1097,ラベル別係数!$A$1:$E$7,5,FALSE)</f>
        <v>0.8</v>
      </c>
      <c r="V1097" s="27">
        <v>3</v>
      </c>
      <c r="W1097" s="28">
        <f>VLOOKUP(V1097,ターン数別攻撃係数!$A$1:$B$1000,2,FALSE)</f>
        <v>1</v>
      </c>
      <c r="X1097" s="9">
        <f>VLOOKUP(C1097,サイズ別係数!A$2:B$9,2,FALSE)</f>
        <v>30</v>
      </c>
      <c r="Y1097" s="26">
        <f>VLOOKUP($X1097,サイズ別係数!$B:$E,2,FALSE)</f>
        <v>1.3</v>
      </c>
      <c r="Z1097" s="26">
        <f>VLOOKUP($X1097,サイズ別係数!$B:$E,3,FALSE)</f>
        <v>1.3</v>
      </c>
      <c r="AA1097" s="26">
        <f>VLOOKUP($X1097,サイズ別係数!$B:$E,4,FALSE)</f>
        <v>1.1000000000000001</v>
      </c>
      <c r="AB1097" s="5">
        <v>0</v>
      </c>
      <c r="AC1097" s="34" t="str">
        <f ca="1">VLOOKUP($AB1097,OFFSET([3]enemy_skill_sets!$B$2,0,0,COUNTA([3]enemy_skill_sets!$A:$A),MATCH(AC$1,[3]enemy_skill_sets!$1:$1,0)-MATCH($AB$1,[3]enemy_skill_sets!$1:$1,0)+1),MATCH(AC$1,[3]enemy_skill_sets!$1:$1,0)-MATCH($AB$1,[3]enemy_skill_sets!$1:$1,0)+1,FALSE)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7" s="67">
        <v>1</v>
      </c>
      <c r="AE1097" s="67">
        <v>1</v>
      </c>
      <c r="AF1097" s="37">
        <v>0</v>
      </c>
      <c r="AG1097" s="99">
        <f>ROUND(VLOOKUP(1,enemy_base_stats!$A:$F,2,FALSE) * Y1097* J1097*O1097*E1097*S1097*AD1097*[2]ステータス!$B$2,0)</f>
        <v>2925</v>
      </c>
      <c r="AH1097" s="99">
        <f>ROUND(VLOOKUP(1,enemy_base_stats!$A:$F,3,FALSE) * Z1097*K1097*P1097*F1097*T1097*AE1097 * W1097*[2]ステータス!$C$2,0)</f>
        <v>233</v>
      </c>
      <c r="AI1097" s="99">
        <f>ROUND(VLOOKUP(1,enemy_base_stats!$A:$F,4,FALSE) * AA1097*L1097*Q1097*G1097*U1097*AF1097*[2]ステータス!$D$2,0)</f>
        <v>0</v>
      </c>
      <c r="AJ1097" s="99">
        <f>ROUND(VLOOKUP(100,enemy_base_stats!$A:$F,2,FALSE) * Y1097* J1097*O1097*E1097*S1097*AD1097*[2]ステータス!$B$2,0)</f>
        <v>118755</v>
      </c>
      <c r="AK1097" s="99">
        <f>ROUND(VLOOKUP(100,enemy_base_stats!$A:$F,3,FALSE)* Z1097* K1097*P1097*F1097*T1097*AE1097 * W1097*[2]ステータス!$C$2,0)</f>
        <v>9448</v>
      </c>
      <c r="AL1097" s="99">
        <f>ROUND(VLOOKUP(100,enemy_base_stats!$A:$F,4,FALSE)* AA1097* L1097*Q1097*G1097*U1097*AF1097*[2]ステータス!$D$2,0)</f>
        <v>0</v>
      </c>
      <c r="AM1097" s="97">
        <f>VLOOKUP(M1097,[2]character_tribe_i18n!$A:$I,9,FALSE)</f>
        <v>340</v>
      </c>
      <c r="AN1097" s="36">
        <v>0</v>
      </c>
      <c r="AO1097" s="53">
        <v>0</v>
      </c>
      <c r="AP1097" s="58" t="s">
        <v>72</v>
      </c>
      <c r="AQ1097" s="71">
        <f t="shared" si="60"/>
        <v>1096</v>
      </c>
    </row>
    <row r="1098" spans="1:43" ht="21" customHeight="1" x14ac:dyDescent="0.15">
      <c r="A1098" s="7">
        <v>1097</v>
      </c>
      <c r="B1098" s="6" t="str">
        <f>VLOOKUP(A1098,[2]characters!$A:$C,3,FALSE)</f>
        <v>超現実才奇 ジャ・リダルサ</v>
      </c>
      <c r="C1098" s="9">
        <f>VLOOKUP(A1098,[2]characters!$A:$I,9,FALSE)</f>
        <v>5</v>
      </c>
      <c r="D1098" s="9" t="str">
        <f>VLOOKUP(A1098,[2]characters!$A:$H,8,FALSE)</f>
        <v>red</v>
      </c>
      <c r="E1098" s="24">
        <f>VLOOKUP(D1098,[2]属性!$A:$E,2,FALSE)</f>
        <v>1</v>
      </c>
      <c r="F1098" s="24">
        <f>VLOOKUP(D1098,[2]属性!$A:$E,3,FALSE)</f>
        <v>1.02</v>
      </c>
      <c r="G1098" s="24">
        <f>VLOOKUP(D1098,[2]属性!$A:$F,4,FALSE)</f>
        <v>1</v>
      </c>
      <c r="H1098" s="9" t="str">
        <f>VLOOKUP(A1098,[2]characters!$A:$K,11,FALSE)</f>
        <v>technical</v>
      </c>
      <c r="I1098" s="14" t="str">
        <f>VLOOKUP(H1098,[2]character_type_i18n!$A:$F,3,FALSE)</f>
        <v>テクニカルタイプ</v>
      </c>
      <c r="J1098" s="36">
        <f>VLOOKUP(H1098,[2]character_type_i18n!$A:$F,4,FALSE)</f>
        <v>0.9</v>
      </c>
      <c r="K1098" s="36">
        <f>VLOOKUP(H1098,[2]character_type_i18n!$A:$F,5,FALSE)</f>
        <v>0.9</v>
      </c>
      <c r="L1098" s="36">
        <f>VLOOKUP(H1098,[2]character_type_i18n!$A:$F,6,FALSE)</f>
        <v>1</v>
      </c>
      <c r="M1098" s="9" t="str">
        <f>VLOOKUP(A1098,[2]characters!$A:$M,13,FALSE)</f>
        <v>unknown</v>
      </c>
      <c r="N1098" s="14" t="str">
        <f>VLOOKUP(M1098,[2]character_tribe_i18n!$A:$F,3,FALSE)</f>
        <v>Unknown</v>
      </c>
      <c r="O1098" s="24">
        <f>VLOOKUP(M1098,[2]character_tribe_i18n!$A:$F,4,FALSE)</f>
        <v>1</v>
      </c>
      <c r="P1098" s="24">
        <f>VLOOKUP(M1098,[2]character_tribe_i18n!$A:$F,5,FALSE)</f>
        <v>1</v>
      </c>
      <c r="Q1098" s="24">
        <f>VLOOKUP(M1098,[2]character_tribe_i18n!$A:$F,6,FALSE)</f>
        <v>1</v>
      </c>
      <c r="R1098" s="25" t="s">
        <v>98</v>
      </c>
      <c r="S1098" s="24">
        <f>VLOOKUP($R1098,ラベル別係数!$A$1:$E$7,3,FALSE)</f>
        <v>5</v>
      </c>
      <c r="T1098" s="24">
        <f>VLOOKUP($R1098,ラベル別係数!$A$1:$E$7,4,FALSE)</f>
        <v>1.3</v>
      </c>
      <c r="U1098" s="24">
        <f>VLOOKUP($R1098,ラベル別係数!$A$1:$E$7,5,FALSE)</f>
        <v>0.8</v>
      </c>
      <c r="V1098" s="27">
        <v>3</v>
      </c>
      <c r="W1098" s="28">
        <f>VLOOKUP(V1098,ターン数別攻撃係数!$A$1:$B$1000,2,FALSE)</f>
        <v>1</v>
      </c>
      <c r="X1098" s="9">
        <f>VLOOKUP(C1098,サイズ別係数!A$2:B$9,2,FALSE)</f>
        <v>60</v>
      </c>
      <c r="Y1098" s="26">
        <f>VLOOKUP($X1098,サイズ別係数!$B:$E,2,FALSE)</f>
        <v>1.7</v>
      </c>
      <c r="Z1098" s="26">
        <f>VLOOKUP($X1098,サイズ別係数!$B:$E,3,FALSE)</f>
        <v>1.4</v>
      </c>
      <c r="AA1098" s="26">
        <f>VLOOKUP($X1098,サイズ別係数!$B:$E,4,FALSE)</f>
        <v>1</v>
      </c>
      <c r="AB1098" s="5">
        <v>0</v>
      </c>
      <c r="AC1098" s="34" t="str">
        <f ca="1">VLOOKUP($AB1098,OFFSET([3]enemy_skill_sets!$B$2,0,0,COUNTA([3]enemy_skill_sets!$A:$A),MATCH(AC$1,[3]enemy_skill_sets!$1:$1,0)-MATCH($AB$1,[3]enemy_skill_sets!$1:$1,0)+1),MATCH(AC$1,[3]enemy_skill_sets!$1:$1,0)-MATCH($AB$1,[3]enemy_skill_sets!$1:$1,0)+1,FALSE)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8" s="67">
        <v>1</v>
      </c>
      <c r="AE1098" s="67">
        <v>1</v>
      </c>
      <c r="AF1098" s="37">
        <v>0</v>
      </c>
      <c r="AG1098" s="99">
        <f>ROUND(VLOOKUP(1,enemy_base_stats!$A:$F,2,FALSE) * Y1098* J1098*O1098*E1098*S1098*AD1098*[2]ステータス!$B$2,0)</f>
        <v>3825</v>
      </c>
      <c r="AH1098" s="99">
        <f>ROUND(VLOOKUP(1,enemy_base_stats!$A:$F,3,FALSE) * Z1098*K1098*P1098*F1098*T1098*AE1098 * W1098*[2]ステータス!$C$2,0)</f>
        <v>251</v>
      </c>
      <c r="AI1098" s="99">
        <f>ROUND(VLOOKUP(1,enemy_base_stats!$A:$F,4,FALSE) * AA1098*L1098*Q1098*G1098*U1098*AF1098*[2]ステータス!$D$2,0)</f>
        <v>0</v>
      </c>
      <c r="AJ1098" s="99">
        <f>ROUND(VLOOKUP(100,enemy_base_stats!$A:$F,2,FALSE) * Y1098* J1098*O1098*E1098*S1098*AD1098*[2]ステータス!$B$2,0)</f>
        <v>155295</v>
      </c>
      <c r="AK1098" s="99">
        <f>ROUND(VLOOKUP(100,enemy_base_stats!$A:$F,3,FALSE)* Z1098* K1098*P1098*F1098*T1098*AE1098 * W1098*[2]ステータス!$C$2,0)</f>
        <v>10175</v>
      </c>
      <c r="AL1098" s="99">
        <f>ROUND(VLOOKUP(100,enemy_base_stats!$A:$F,4,FALSE)* AA1098* L1098*Q1098*G1098*U1098*AF1098*[2]ステータス!$D$2,0)</f>
        <v>0</v>
      </c>
      <c r="AM1098" s="97">
        <f>VLOOKUP(M1098,[2]character_tribe_i18n!$A:$I,9,FALSE)</f>
        <v>340</v>
      </c>
      <c r="AN1098" s="36">
        <v>0</v>
      </c>
      <c r="AO1098" s="53">
        <v>0</v>
      </c>
      <c r="AP1098" s="58" t="s">
        <v>72</v>
      </c>
      <c r="AQ1098" s="71">
        <f t="shared" si="60"/>
        <v>1097</v>
      </c>
    </row>
    <row r="1099" spans="1:43" ht="21" customHeight="1" x14ac:dyDescent="0.15">
      <c r="A1099" s="7">
        <v>1098</v>
      </c>
      <c r="B1099" s="6" t="str">
        <f>VLOOKUP(A1099,[2]characters!$A:$C,3,FALSE)</f>
        <v>ルピカ</v>
      </c>
      <c r="C1099" s="9">
        <f>VLOOKUP(A1099,[2]characters!$A:$I,9,FALSE)</f>
        <v>5</v>
      </c>
      <c r="D1099" s="9" t="str">
        <f>VLOOKUP(A1099,[2]characters!$A:$H,8,FALSE)</f>
        <v>yellow</v>
      </c>
      <c r="E1099" s="24">
        <f>VLOOKUP(D1099,[2]属性!$A:$E,2,FALSE)</f>
        <v>0.98</v>
      </c>
      <c r="F1099" s="24">
        <f>VLOOKUP(D1099,[2]属性!$A:$E,3,FALSE)</f>
        <v>1.01</v>
      </c>
      <c r="G1099" s="24">
        <f>VLOOKUP(D1099,[2]属性!$A:$F,4,FALSE)</f>
        <v>1</v>
      </c>
      <c r="H1099" s="9" t="str">
        <f>VLOOKUP(A1099,[2]characters!$A:$K,11,FALSE)</f>
        <v>technical</v>
      </c>
      <c r="I1099" s="14" t="str">
        <f>VLOOKUP(H1099,[2]character_type_i18n!$A:$F,3,FALSE)</f>
        <v>テクニカルタイプ</v>
      </c>
      <c r="J1099" s="36">
        <f>VLOOKUP(H1099,[2]character_type_i18n!$A:$F,4,FALSE)</f>
        <v>0.9</v>
      </c>
      <c r="K1099" s="36">
        <f>VLOOKUP(H1099,[2]character_type_i18n!$A:$F,5,FALSE)</f>
        <v>0.9</v>
      </c>
      <c r="L1099" s="36">
        <f>VLOOKUP(H1099,[2]character_type_i18n!$A:$F,6,FALSE)</f>
        <v>1</v>
      </c>
      <c r="M1099" s="9" t="str">
        <f>VLOOKUP(A1099,[2]characters!$A:$M,13,FALSE)</f>
        <v>human</v>
      </c>
      <c r="N1099" s="14" t="str">
        <f>VLOOKUP(M1099,[2]character_tribe_i18n!$A:$F,3,FALSE)</f>
        <v>ヒューマン</v>
      </c>
      <c r="O1099" s="24">
        <f>VLOOKUP(M1099,[2]character_tribe_i18n!$A:$F,4,FALSE)</f>
        <v>0.94</v>
      </c>
      <c r="P1099" s="24">
        <f>VLOOKUP(M1099,[2]character_tribe_i18n!$A:$F,5,FALSE)</f>
        <v>0.99</v>
      </c>
      <c r="Q1099" s="24">
        <f>VLOOKUP(M1099,[2]character_tribe_i18n!$A:$F,6,FALSE)</f>
        <v>1</v>
      </c>
      <c r="R1099" s="25" t="s">
        <v>98</v>
      </c>
      <c r="S1099" s="24">
        <f>VLOOKUP($R1099,ラベル別係数!$A$1:$E$7,3,FALSE)</f>
        <v>5</v>
      </c>
      <c r="T1099" s="24">
        <f>VLOOKUP($R1099,ラベル別係数!$A$1:$E$7,4,FALSE)</f>
        <v>1.3</v>
      </c>
      <c r="U1099" s="24">
        <f>VLOOKUP($R1099,ラベル別係数!$A$1:$E$7,5,FALSE)</f>
        <v>0.8</v>
      </c>
      <c r="V1099" s="27">
        <v>3</v>
      </c>
      <c r="W1099" s="28">
        <f>VLOOKUP(V1099,ターン数別攻撃係数!$A$1:$B$1000,2,FALSE)</f>
        <v>1</v>
      </c>
      <c r="X1099" s="9">
        <f>VLOOKUP(C1099,サイズ別係数!A$2:B$9,2,FALSE)</f>
        <v>60</v>
      </c>
      <c r="Y1099" s="26">
        <f>VLOOKUP($X1099,サイズ別係数!$B:$E,2,FALSE)</f>
        <v>1.7</v>
      </c>
      <c r="Z1099" s="26">
        <f>VLOOKUP($X1099,サイズ別係数!$B:$E,3,FALSE)</f>
        <v>1.4</v>
      </c>
      <c r="AA1099" s="26">
        <f>VLOOKUP($X1099,サイズ別係数!$B:$E,4,FALSE)</f>
        <v>1</v>
      </c>
      <c r="AB1099" s="5">
        <v>0</v>
      </c>
      <c r="AC1099" s="34" t="str">
        <f ca="1">VLOOKUP($AB1099,OFFSET([3]enemy_skill_sets!$B$2,0,0,COUNTA([3]enemy_skill_sets!$A:$A),MATCH(AC$1,[3]enemy_skill_sets!$1:$1,0)-MATCH($AB$1,[3]enemy_skill_sets!$1:$1,0)+1),MATCH(AC$1,[3]enemy_skill_sets!$1:$1,0)-MATCH($AB$1,[3]enemy_skill_sets!$1:$1,0)+1,FALSE)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099" s="67">
        <v>1</v>
      </c>
      <c r="AE1099" s="67">
        <v>1</v>
      </c>
      <c r="AF1099" s="37">
        <v>0</v>
      </c>
      <c r="AG1099" s="99">
        <f>ROUND(VLOOKUP(1,enemy_base_stats!$A:$F,2,FALSE) * Y1099* J1099*O1099*E1099*S1099*AD1099*[2]ステータス!$B$2,0)</f>
        <v>3524</v>
      </c>
      <c r="AH1099" s="99">
        <f>ROUND(VLOOKUP(1,enemy_base_stats!$A:$F,3,FALSE) * Z1099*K1099*P1099*F1099*T1099*AE1099 * W1099*[2]ステータス!$C$2,0)</f>
        <v>246</v>
      </c>
      <c r="AI1099" s="99">
        <f>ROUND(VLOOKUP(1,enemy_base_stats!$A:$F,4,FALSE) * AA1099*L1099*Q1099*G1099*U1099*AF1099*[2]ステータス!$D$2,0)</f>
        <v>0</v>
      </c>
      <c r="AJ1099" s="99">
        <f>ROUND(VLOOKUP(100,enemy_base_stats!$A:$F,2,FALSE) * Y1099* J1099*O1099*E1099*S1099*AD1099*[2]ステータス!$B$2,0)</f>
        <v>143058</v>
      </c>
      <c r="AK1099" s="99">
        <f>ROUND(VLOOKUP(100,enemy_base_stats!$A:$F,3,FALSE)* Z1099* K1099*P1099*F1099*T1099*AE1099 * W1099*[2]ステータス!$C$2,0)</f>
        <v>9974</v>
      </c>
      <c r="AL1099" s="99">
        <f>ROUND(VLOOKUP(100,enemy_base_stats!$A:$F,4,FALSE)* AA1099* L1099*Q1099*G1099*U1099*AF1099*[2]ステータス!$D$2,0)</f>
        <v>0</v>
      </c>
      <c r="AM1099" s="97">
        <f>VLOOKUP(M1099,[2]character_tribe_i18n!$A:$I,9,FALSE)</f>
        <v>400</v>
      </c>
      <c r="AN1099" s="36">
        <v>0</v>
      </c>
      <c r="AO1099" s="53">
        <v>0</v>
      </c>
      <c r="AP1099" s="58" t="s">
        <v>72</v>
      </c>
      <c r="AQ1099" s="71">
        <f t="shared" si="60"/>
        <v>1098</v>
      </c>
    </row>
    <row r="1100" spans="1:43" ht="21" customHeight="1" x14ac:dyDescent="0.15">
      <c r="A1100" s="7">
        <v>1099</v>
      </c>
      <c r="B1100" s="6" t="str">
        <f>VLOOKUP(A1100,[2]characters!$A:$C,3,FALSE)</f>
        <v>破築の連創 ルピカ</v>
      </c>
      <c r="C1100" s="9">
        <f>VLOOKUP(A1100,[2]characters!$A:$I,9,FALSE)</f>
        <v>6</v>
      </c>
      <c r="D1100" s="9" t="str">
        <f>VLOOKUP(A1100,[2]characters!$A:$H,8,FALSE)</f>
        <v>yellow</v>
      </c>
      <c r="E1100" s="24">
        <f>VLOOKUP(D1100,[2]属性!$A:$E,2,FALSE)</f>
        <v>0.98</v>
      </c>
      <c r="F1100" s="24">
        <f>VLOOKUP(D1100,[2]属性!$A:$E,3,FALSE)</f>
        <v>1.01</v>
      </c>
      <c r="G1100" s="24">
        <f>VLOOKUP(D1100,[2]属性!$A:$F,4,FALSE)</f>
        <v>1</v>
      </c>
      <c r="H1100" s="9" t="str">
        <f>VLOOKUP(A1100,[2]characters!$A:$K,11,FALSE)</f>
        <v>technical</v>
      </c>
      <c r="I1100" s="14" t="str">
        <f>VLOOKUP(H1100,[2]character_type_i18n!$A:$F,3,FALSE)</f>
        <v>テクニカルタイプ</v>
      </c>
      <c r="J1100" s="36">
        <f>VLOOKUP(H1100,[2]character_type_i18n!$A:$F,4,FALSE)</f>
        <v>0.9</v>
      </c>
      <c r="K1100" s="36">
        <f>VLOOKUP(H1100,[2]character_type_i18n!$A:$F,5,FALSE)</f>
        <v>0.9</v>
      </c>
      <c r="L1100" s="36">
        <f>VLOOKUP(H1100,[2]character_type_i18n!$A:$F,6,FALSE)</f>
        <v>1</v>
      </c>
      <c r="M1100" s="9" t="str">
        <f>VLOOKUP(A1100,[2]characters!$A:$M,13,FALSE)</f>
        <v>human</v>
      </c>
      <c r="N1100" s="14" t="str">
        <f>VLOOKUP(M1100,[2]character_tribe_i18n!$A:$F,3,FALSE)</f>
        <v>ヒューマン</v>
      </c>
      <c r="O1100" s="24">
        <f>VLOOKUP(M1100,[2]character_tribe_i18n!$A:$F,4,FALSE)</f>
        <v>0.94</v>
      </c>
      <c r="P1100" s="24">
        <f>VLOOKUP(M1100,[2]character_tribe_i18n!$A:$F,5,FALSE)</f>
        <v>0.99</v>
      </c>
      <c r="Q1100" s="24">
        <f>VLOOKUP(M1100,[2]character_tribe_i18n!$A:$F,6,FALSE)</f>
        <v>1</v>
      </c>
      <c r="R1100" s="25" t="s">
        <v>98</v>
      </c>
      <c r="S1100" s="24">
        <f>VLOOKUP($R1100,ラベル別係数!$A$1:$E$7,3,FALSE)</f>
        <v>5</v>
      </c>
      <c r="T1100" s="24">
        <f>VLOOKUP($R1100,ラベル別係数!$A$1:$E$7,4,FALSE)</f>
        <v>1.3</v>
      </c>
      <c r="U1100" s="24">
        <f>VLOOKUP($R1100,ラベル別係数!$A$1:$E$7,5,FALSE)</f>
        <v>0.8</v>
      </c>
      <c r="V1100" s="27">
        <v>3</v>
      </c>
      <c r="W1100" s="28">
        <f>VLOOKUP(V1100,ターン数別攻撃係数!$A$1:$B$1000,2,FALSE)</f>
        <v>1</v>
      </c>
      <c r="X1100" s="9">
        <f>VLOOKUP(C1100,サイズ別係数!A$2:B$9,2,FALSE)</f>
        <v>60</v>
      </c>
      <c r="Y1100" s="26">
        <f>VLOOKUP($X1100,サイズ別係数!$B:$E,2,FALSE)</f>
        <v>1.7</v>
      </c>
      <c r="Z1100" s="26">
        <f>VLOOKUP($X1100,サイズ別係数!$B:$E,3,FALSE)</f>
        <v>1.4</v>
      </c>
      <c r="AA1100" s="26">
        <f>VLOOKUP($X1100,サイズ別係数!$B:$E,4,FALSE)</f>
        <v>1</v>
      </c>
      <c r="AB1100" s="5">
        <v>0</v>
      </c>
      <c r="AC1100" s="34" t="str">
        <f ca="1">VLOOKUP($AB1100,OFFSET([3]enemy_skill_sets!$B$2,0,0,COUNTA([3]enemy_skill_sets!$A:$A),MATCH(AC$1,[3]enemy_skill_sets!$1:$1,0)-MATCH($AB$1,[3]enemy_skill_sets!$1:$1,0)+1),MATCH(AC$1,[3]enemy_skill_sets!$1:$1,0)-MATCH($AB$1,[3]enemy_skill_sets!$1:$1,0)+1,FALSE)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0" s="67">
        <v>1</v>
      </c>
      <c r="AE1100" s="67">
        <v>1</v>
      </c>
      <c r="AF1100" s="37">
        <v>0</v>
      </c>
      <c r="AG1100" s="99">
        <f>ROUND(VLOOKUP(1,enemy_base_stats!$A:$F,2,FALSE) * Y1100* J1100*O1100*E1100*S1100*AD1100*[2]ステータス!$B$2,0)</f>
        <v>3524</v>
      </c>
      <c r="AH1100" s="99">
        <f>ROUND(VLOOKUP(1,enemy_base_stats!$A:$F,3,FALSE) * Z1100*K1100*P1100*F1100*T1100*AE1100 * W1100*[2]ステータス!$C$2,0)</f>
        <v>246</v>
      </c>
      <c r="AI1100" s="99">
        <f>ROUND(VLOOKUP(1,enemy_base_stats!$A:$F,4,FALSE) * AA1100*L1100*Q1100*G1100*U1100*AF1100*[2]ステータス!$D$2,0)</f>
        <v>0</v>
      </c>
      <c r="AJ1100" s="99">
        <f>ROUND(VLOOKUP(100,enemy_base_stats!$A:$F,2,FALSE) * Y1100* J1100*O1100*E1100*S1100*AD1100*[2]ステータス!$B$2,0)</f>
        <v>143058</v>
      </c>
      <c r="AK1100" s="99">
        <f>ROUND(VLOOKUP(100,enemy_base_stats!$A:$F,3,FALSE)* Z1100* K1100*P1100*F1100*T1100*AE1100 * W1100*[2]ステータス!$C$2,0)</f>
        <v>9974</v>
      </c>
      <c r="AL1100" s="99">
        <f>ROUND(VLOOKUP(100,enemy_base_stats!$A:$F,4,FALSE)* AA1100* L1100*Q1100*G1100*U1100*AF1100*[2]ステータス!$D$2,0)</f>
        <v>0</v>
      </c>
      <c r="AM1100" s="97">
        <f>VLOOKUP(M1100,[2]character_tribe_i18n!$A:$I,9,FALSE)</f>
        <v>400</v>
      </c>
      <c r="AN1100" s="36">
        <v>0</v>
      </c>
      <c r="AO1100" s="53">
        <v>0</v>
      </c>
      <c r="AP1100" s="58" t="s">
        <v>72</v>
      </c>
      <c r="AQ1100" s="71">
        <f t="shared" si="60"/>
        <v>1099</v>
      </c>
    </row>
    <row r="1101" spans="1:43" ht="21" customHeight="1" x14ac:dyDescent="0.15">
      <c r="A1101" s="7">
        <v>1100</v>
      </c>
      <c r="B1101" s="6" t="str">
        <f>VLOOKUP(A1101,[2]characters!$A:$C,3,FALSE)</f>
        <v>北斎</v>
      </c>
      <c r="C1101" s="9">
        <f>VLOOKUP(A1101,[2]characters!$A:$I,9,FALSE)</f>
        <v>5</v>
      </c>
      <c r="D1101" s="9" t="str">
        <f>VLOOKUP(A1101,[2]characters!$A:$H,8,FALSE)</f>
        <v>red</v>
      </c>
      <c r="E1101" s="24">
        <f>VLOOKUP(D1101,[2]属性!$A:$E,2,FALSE)</f>
        <v>1</v>
      </c>
      <c r="F1101" s="24">
        <f>VLOOKUP(D1101,[2]属性!$A:$E,3,FALSE)</f>
        <v>1.02</v>
      </c>
      <c r="G1101" s="24">
        <f>VLOOKUP(D1101,[2]属性!$A:$F,4,FALSE)</f>
        <v>1</v>
      </c>
      <c r="H1101" s="9" t="str">
        <f>VLOOKUP(A1101,[2]characters!$A:$K,11,FALSE)</f>
        <v>attack</v>
      </c>
      <c r="I1101" s="14" t="str">
        <f>VLOOKUP(H1101,[2]character_type_i18n!$A:$F,3,FALSE)</f>
        <v>攻撃タイプ</v>
      </c>
      <c r="J1101" s="36">
        <f>VLOOKUP(H1101,[2]character_type_i18n!$A:$F,4,FALSE)</f>
        <v>1</v>
      </c>
      <c r="K1101" s="36">
        <f>VLOOKUP(H1101,[2]character_type_i18n!$A:$F,5,FALSE)</f>
        <v>1.33</v>
      </c>
      <c r="L1101" s="36">
        <f>VLOOKUP(H1101,[2]character_type_i18n!$A:$F,6,FALSE)</f>
        <v>1</v>
      </c>
      <c r="M1101" s="9" t="str">
        <f>VLOOKUP(A1101,[2]characters!$A:$M,13,FALSE)</f>
        <v>human</v>
      </c>
      <c r="N1101" s="14" t="str">
        <f>VLOOKUP(M1101,[2]character_tribe_i18n!$A:$F,3,FALSE)</f>
        <v>ヒューマン</v>
      </c>
      <c r="O1101" s="24">
        <f>VLOOKUP(M1101,[2]character_tribe_i18n!$A:$F,4,FALSE)</f>
        <v>0.94</v>
      </c>
      <c r="P1101" s="24">
        <f>VLOOKUP(M1101,[2]character_tribe_i18n!$A:$F,5,FALSE)</f>
        <v>0.99</v>
      </c>
      <c r="Q1101" s="24">
        <f>VLOOKUP(M1101,[2]character_tribe_i18n!$A:$F,6,FALSE)</f>
        <v>1</v>
      </c>
      <c r="R1101" s="25" t="s">
        <v>98</v>
      </c>
      <c r="S1101" s="24">
        <f>VLOOKUP($R1101,ラベル別係数!$A$1:$E$7,3,FALSE)</f>
        <v>5</v>
      </c>
      <c r="T1101" s="24">
        <f>VLOOKUP($R1101,ラベル別係数!$A$1:$E$7,4,FALSE)</f>
        <v>1.3</v>
      </c>
      <c r="U1101" s="24">
        <f>VLOOKUP($R1101,ラベル別係数!$A$1:$E$7,5,FALSE)</f>
        <v>0.8</v>
      </c>
      <c r="V1101" s="27">
        <v>3</v>
      </c>
      <c r="W1101" s="28">
        <f>VLOOKUP(V1101,ターン数別攻撃係数!$A$1:$B$1000,2,FALSE)</f>
        <v>1</v>
      </c>
      <c r="X1101" s="9">
        <f>VLOOKUP(C1101,サイズ別係数!A$2:B$9,2,FALSE)</f>
        <v>60</v>
      </c>
      <c r="Y1101" s="26">
        <f>VLOOKUP($X1101,サイズ別係数!$B:$E,2,FALSE)</f>
        <v>1.7</v>
      </c>
      <c r="Z1101" s="26">
        <f>VLOOKUP($X1101,サイズ別係数!$B:$E,3,FALSE)</f>
        <v>1.4</v>
      </c>
      <c r="AA1101" s="26">
        <f>VLOOKUP($X1101,サイズ別係数!$B:$E,4,FALSE)</f>
        <v>1</v>
      </c>
      <c r="AB1101" s="5">
        <v>0</v>
      </c>
      <c r="AC1101" s="34" t="str">
        <f ca="1">VLOOKUP($AB1101,OFFSET([3]enemy_skill_sets!$B$2,0,0,COUNTA([3]enemy_skill_sets!$A:$A),MATCH(AC$1,[3]enemy_skill_sets!$1:$1,0)-MATCH($AB$1,[3]enemy_skill_sets!$1:$1,0)+1),MATCH(AC$1,[3]enemy_skill_sets!$1:$1,0)-MATCH($AB$1,[3]enemy_skill_sets!$1:$1,0)+1,FALSE)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1" s="67">
        <v>1</v>
      </c>
      <c r="AE1101" s="67">
        <v>1</v>
      </c>
      <c r="AF1101" s="37">
        <v>0</v>
      </c>
      <c r="AG1101" s="99">
        <f>ROUND(VLOOKUP(1,enemy_base_stats!$A:$F,2,FALSE) * Y1101* J1101*O1101*E1101*S1101*AD1101*[2]ステータス!$B$2,0)</f>
        <v>3995</v>
      </c>
      <c r="AH1101" s="99">
        <f>ROUND(VLOOKUP(1,enemy_base_stats!$A:$F,3,FALSE) * Z1101*K1101*P1101*F1101*T1101*AE1101 * W1101*[2]ステータス!$C$2,0)</f>
        <v>367</v>
      </c>
      <c r="AI1101" s="99">
        <f>ROUND(VLOOKUP(1,enemy_base_stats!$A:$F,4,FALSE) * AA1101*L1101*Q1101*G1101*U1101*AF1101*[2]ステータス!$D$2,0)</f>
        <v>0</v>
      </c>
      <c r="AJ1101" s="99">
        <f>ROUND(VLOOKUP(100,enemy_base_stats!$A:$F,2,FALSE) * Y1101* J1101*O1101*E1101*S1101*AD1101*[2]ステータス!$B$2,0)</f>
        <v>162197</v>
      </c>
      <c r="AK1101" s="99">
        <f>ROUND(VLOOKUP(100,enemy_base_stats!$A:$F,3,FALSE)* Z1101* K1101*P1101*F1101*T1101*AE1101 * W1101*[2]ステータス!$C$2,0)</f>
        <v>14886</v>
      </c>
      <c r="AL1101" s="99">
        <f>ROUND(VLOOKUP(100,enemy_base_stats!$A:$F,4,FALSE)* AA1101* L1101*Q1101*G1101*U1101*AF1101*[2]ステータス!$D$2,0)</f>
        <v>0</v>
      </c>
      <c r="AM1101" s="97">
        <f>VLOOKUP(M1101,[2]character_tribe_i18n!$A:$I,9,FALSE)</f>
        <v>400</v>
      </c>
      <c r="AN1101" s="36">
        <v>0</v>
      </c>
      <c r="AO1101" s="53">
        <v>0</v>
      </c>
      <c r="AP1101" s="58" t="s">
        <v>72</v>
      </c>
      <c r="AQ1101" s="71">
        <f t="shared" si="60"/>
        <v>1100</v>
      </c>
    </row>
    <row r="1102" spans="1:43" ht="21" customHeight="1" x14ac:dyDescent="0.15">
      <c r="A1102" s="7">
        <v>1101</v>
      </c>
      <c r="B1102" s="6" t="str">
        <f>VLOOKUP(A1102,[2]characters!$A:$C,3,FALSE)</f>
        <v>浮世万物の筆刻者 北斎</v>
      </c>
      <c r="C1102" s="9">
        <f>VLOOKUP(A1102,[2]characters!$A:$I,9,FALSE)</f>
        <v>6</v>
      </c>
      <c r="D1102" s="9" t="str">
        <f>VLOOKUP(A1102,[2]characters!$A:$H,8,FALSE)</f>
        <v>red</v>
      </c>
      <c r="E1102" s="24">
        <f>VLOOKUP(D1102,[2]属性!$A:$E,2,FALSE)</f>
        <v>1</v>
      </c>
      <c r="F1102" s="24">
        <f>VLOOKUP(D1102,[2]属性!$A:$E,3,FALSE)</f>
        <v>1.02</v>
      </c>
      <c r="G1102" s="24">
        <f>VLOOKUP(D1102,[2]属性!$A:$F,4,FALSE)</f>
        <v>1</v>
      </c>
      <c r="H1102" s="9" t="str">
        <f>VLOOKUP(A1102,[2]characters!$A:$K,11,FALSE)</f>
        <v>attack</v>
      </c>
      <c r="I1102" s="14" t="str">
        <f>VLOOKUP(H1102,[2]character_type_i18n!$A:$F,3,FALSE)</f>
        <v>攻撃タイプ</v>
      </c>
      <c r="J1102" s="36">
        <f>VLOOKUP(H1102,[2]character_type_i18n!$A:$F,4,FALSE)</f>
        <v>1</v>
      </c>
      <c r="K1102" s="36">
        <f>VLOOKUP(H1102,[2]character_type_i18n!$A:$F,5,FALSE)</f>
        <v>1.33</v>
      </c>
      <c r="L1102" s="36">
        <f>VLOOKUP(H1102,[2]character_type_i18n!$A:$F,6,FALSE)</f>
        <v>1</v>
      </c>
      <c r="M1102" s="9" t="str">
        <f>VLOOKUP(A1102,[2]characters!$A:$M,13,FALSE)</f>
        <v>human</v>
      </c>
      <c r="N1102" s="14" t="str">
        <f>VLOOKUP(M1102,[2]character_tribe_i18n!$A:$F,3,FALSE)</f>
        <v>ヒューマン</v>
      </c>
      <c r="O1102" s="24">
        <f>VLOOKUP(M1102,[2]character_tribe_i18n!$A:$F,4,FALSE)</f>
        <v>0.94</v>
      </c>
      <c r="P1102" s="24">
        <f>VLOOKUP(M1102,[2]character_tribe_i18n!$A:$F,5,FALSE)</f>
        <v>0.99</v>
      </c>
      <c r="Q1102" s="24">
        <f>VLOOKUP(M1102,[2]character_tribe_i18n!$A:$F,6,FALSE)</f>
        <v>1</v>
      </c>
      <c r="R1102" s="25" t="s">
        <v>98</v>
      </c>
      <c r="S1102" s="24">
        <f>VLOOKUP($R1102,ラベル別係数!$A$1:$E$7,3,FALSE)</f>
        <v>5</v>
      </c>
      <c r="T1102" s="24">
        <f>VLOOKUP($R1102,ラベル別係数!$A$1:$E$7,4,FALSE)</f>
        <v>1.3</v>
      </c>
      <c r="U1102" s="24">
        <f>VLOOKUP($R1102,ラベル別係数!$A$1:$E$7,5,FALSE)</f>
        <v>0.8</v>
      </c>
      <c r="V1102" s="27">
        <v>3</v>
      </c>
      <c r="W1102" s="28">
        <f>VLOOKUP(V1102,ターン数別攻撃係数!$A$1:$B$1000,2,FALSE)</f>
        <v>1</v>
      </c>
      <c r="X1102" s="9">
        <f>VLOOKUP(C1102,サイズ別係数!A$2:B$9,2,FALSE)</f>
        <v>60</v>
      </c>
      <c r="Y1102" s="26">
        <f>VLOOKUP($X1102,サイズ別係数!$B:$E,2,FALSE)</f>
        <v>1.7</v>
      </c>
      <c r="Z1102" s="26">
        <f>VLOOKUP($X1102,サイズ別係数!$B:$E,3,FALSE)</f>
        <v>1.4</v>
      </c>
      <c r="AA1102" s="26">
        <f>VLOOKUP($X1102,サイズ別係数!$B:$E,4,FALSE)</f>
        <v>1</v>
      </c>
      <c r="AB1102" s="5">
        <v>0</v>
      </c>
      <c r="AC1102" s="34" t="str">
        <f ca="1">VLOOKUP($AB1102,OFFSET([3]enemy_skill_sets!$B$2,0,0,COUNTA([3]enemy_skill_sets!$A:$A),MATCH(AC$1,[3]enemy_skill_sets!$1:$1,0)-MATCH($AB$1,[3]enemy_skill_sets!$1:$1,0)+1),MATCH(AC$1,[3]enemy_skill_sets!$1:$1,0)-MATCH($AB$1,[3]enemy_skill_sets!$1:$1,0)+1,FALSE)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2" s="67">
        <v>1</v>
      </c>
      <c r="AE1102" s="67">
        <v>1</v>
      </c>
      <c r="AF1102" s="37">
        <v>0</v>
      </c>
      <c r="AG1102" s="99">
        <f>ROUND(VLOOKUP(1,enemy_base_stats!$A:$F,2,FALSE) * Y1102* J1102*O1102*E1102*S1102*AD1102*[2]ステータス!$B$2,0)</f>
        <v>3995</v>
      </c>
      <c r="AH1102" s="99">
        <f>ROUND(VLOOKUP(1,enemy_base_stats!$A:$F,3,FALSE) * Z1102*K1102*P1102*F1102*T1102*AE1102 * W1102*[2]ステータス!$C$2,0)</f>
        <v>367</v>
      </c>
      <c r="AI1102" s="99">
        <f>ROUND(VLOOKUP(1,enemy_base_stats!$A:$F,4,FALSE) * AA1102*L1102*Q1102*G1102*U1102*AF1102*[2]ステータス!$D$2,0)</f>
        <v>0</v>
      </c>
      <c r="AJ1102" s="99">
        <f>ROUND(VLOOKUP(100,enemy_base_stats!$A:$F,2,FALSE) * Y1102* J1102*O1102*E1102*S1102*AD1102*[2]ステータス!$B$2,0)</f>
        <v>162197</v>
      </c>
      <c r="AK1102" s="99">
        <f>ROUND(VLOOKUP(100,enemy_base_stats!$A:$F,3,FALSE)* Z1102* K1102*P1102*F1102*T1102*AE1102 * W1102*[2]ステータス!$C$2,0)</f>
        <v>14886</v>
      </c>
      <c r="AL1102" s="99">
        <f>ROUND(VLOOKUP(100,enemy_base_stats!$A:$F,4,FALSE)* AA1102* L1102*Q1102*G1102*U1102*AF1102*[2]ステータス!$D$2,0)</f>
        <v>0</v>
      </c>
      <c r="AM1102" s="97">
        <f>VLOOKUP(M1102,[2]character_tribe_i18n!$A:$I,9,FALSE)</f>
        <v>400</v>
      </c>
      <c r="AN1102" s="36">
        <v>0</v>
      </c>
      <c r="AO1102" s="53">
        <v>0</v>
      </c>
      <c r="AP1102" s="58" t="s">
        <v>72</v>
      </c>
      <c r="AQ1102" s="71">
        <f t="shared" si="60"/>
        <v>1101</v>
      </c>
    </row>
    <row r="1103" spans="1:43" ht="21" customHeight="1" x14ac:dyDescent="0.15">
      <c r="A1103" s="7">
        <v>1102</v>
      </c>
      <c r="B1103" s="6" t="str">
        <f>VLOOKUP(A1103,[2]characters!$A:$C,3,FALSE)</f>
        <v>ドガ</v>
      </c>
      <c r="C1103" s="9">
        <f>VLOOKUP(A1103,[2]characters!$A:$I,9,FALSE)</f>
        <v>5</v>
      </c>
      <c r="D1103" s="9" t="str">
        <f>VLOOKUP(A1103,[2]characters!$A:$H,8,FALSE)</f>
        <v>green</v>
      </c>
      <c r="E1103" s="24">
        <f>VLOOKUP(D1103,[2]属性!$A:$E,2,FALSE)</f>
        <v>1.02</v>
      </c>
      <c r="F1103" s="24">
        <f>VLOOKUP(D1103,[2]属性!$A:$E,3,FALSE)</f>
        <v>0.98</v>
      </c>
      <c r="G1103" s="24">
        <f>VLOOKUP(D1103,[2]属性!$A:$F,4,FALSE)</f>
        <v>1</v>
      </c>
      <c r="H1103" s="9" t="str">
        <f>VLOOKUP(A1103,[2]characters!$A:$K,11,FALSE)</f>
        <v>balance</v>
      </c>
      <c r="I1103" s="14" t="str">
        <f>VLOOKUP(H1103,[2]character_type_i18n!$A:$F,3,FALSE)</f>
        <v>バランスタイプ</v>
      </c>
      <c r="J1103" s="36">
        <f>VLOOKUP(H1103,[2]character_type_i18n!$A:$F,4,FALSE)</f>
        <v>1</v>
      </c>
      <c r="K1103" s="36">
        <f>VLOOKUP(H1103,[2]character_type_i18n!$A:$F,5,FALSE)</f>
        <v>1</v>
      </c>
      <c r="L1103" s="36">
        <f>VLOOKUP(H1103,[2]character_type_i18n!$A:$F,6,FALSE)</f>
        <v>1</v>
      </c>
      <c r="M1103" s="9" t="str">
        <f>VLOOKUP(A1103,[2]characters!$A:$M,13,FALSE)</f>
        <v>animal</v>
      </c>
      <c r="N1103" s="14" t="str">
        <f>VLOOKUP(M1103,[2]character_tribe_i18n!$A:$F,3,FALSE)</f>
        <v>アニマル</v>
      </c>
      <c r="O1103" s="24">
        <f>VLOOKUP(M1103,[2]character_tribe_i18n!$A:$F,4,FALSE)</f>
        <v>1</v>
      </c>
      <c r="P1103" s="24">
        <f>VLOOKUP(M1103,[2]character_tribe_i18n!$A:$F,5,FALSE)</f>
        <v>1.1000000000000001</v>
      </c>
      <c r="Q1103" s="24">
        <f>VLOOKUP(M1103,[2]character_tribe_i18n!$A:$F,6,FALSE)</f>
        <v>1</v>
      </c>
      <c r="R1103" s="25" t="s">
        <v>98</v>
      </c>
      <c r="S1103" s="24">
        <f>VLOOKUP($R1103,ラベル別係数!$A$1:$E$7,3,FALSE)</f>
        <v>5</v>
      </c>
      <c r="T1103" s="24">
        <f>VLOOKUP($R1103,ラベル別係数!$A$1:$E$7,4,FALSE)</f>
        <v>1.3</v>
      </c>
      <c r="U1103" s="24">
        <f>VLOOKUP($R1103,ラベル別係数!$A$1:$E$7,5,FALSE)</f>
        <v>0.8</v>
      </c>
      <c r="V1103" s="27">
        <v>3</v>
      </c>
      <c r="W1103" s="28">
        <f>VLOOKUP(V1103,ターン数別攻撃係数!$A$1:$B$1000,2,FALSE)</f>
        <v>1</v>
      </c>
      <c r="X1103" s="9">
        <f>VLOOKUP(C1103,サイズ別係数!A$2:B$9,2,FALSE)</f>
        <v>60</v>
      </c>
      <c r="Y1103" s="26">
        <f>VLOOKUP($X1103,サイズ別係数!$B:$E,2,FALSE)</f>
        <v>1.7</v>
      </c>
      <c r="Z1103" s="26">
        <f>VLOOKUP($X1103,サイズ別係数!$B:$E,3,FALSE)</f>
        <v>1.4</v>
      </c>
      <c r="AA1103" s="26">
        <f>VLOOKUP($X1103,サイズ別係数!$B:$E,4,FALSE)</f>
        <v>1</v>
      </c>
      <c r="AB1103" s="5">
        <v>0</v>
      </c>
      <c r="AC1103" s="34" t="str">
        <f ca="1">VLOOKUP($AB1103,OFFSET([3]enemy_skill_sets!$B$2,0,0,COUNTA([3]enemy_skill_sets!$A:$A),MATCH(AC$1,[3]enemy_skill_sets!$1:$1,0)-MATCH($AB$1,[3]enemy_skill_sets!$1:$1,0)+1),MATCH(AC$1,[3]enemy_skill_sets!$1:$1,0)-MATCH($AB$1,[3]enemy_skill_sets!$1:$1,0)+1,FALSE)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3" s="67">
        <v>1</v>
      </c>
      <c r="AE1103" s="67">
        <v>1</v>
      </c>
      <c r="AF1103" s="37">
        <v>0</v>
      </c>
      <c r="AG1103" s="99">
        <f>ROUND(VLOOKUP(1,enemy_base_stats!$A:$F,2,FALSE) * Y1103* J1103*O1103*E1103*S1103*AD1103*[2]ステータス!$B$2,0)</f>
        <v>4335</v>
      </c>
      <c r="AH1103" s="99">
        <f>ROUND(VLOOKUP(1,enemy_base_stats!$A:$F,3,FALSE) * Z1103*K1103*P1103*F1103*T1103*AE1103 * W1103*[2]ステータス!$C$2,0)</f>
        <v>294</v>
      </c>
      <c r="AI1103" s="99">
        <f>ROUND(VLOOKUP(1,enemy_base_stats!$A:$F,4,FALSE) * AA1103*L1103*Q1103*G1103*U1103*AF1103*[2]ステータス!$D$2,0)</f>
        <v>0</v>
      </c>
      <c r="AJ1103" s="99">
        <f>ROUND(VLOOKUP(100,enemy_base_stats!$A:$F,2,FALSE) * Y1103* J1103*O1103*E1103*S1103*AD1103*[2]ステータス!$B$2,0)</f>
        <v>176001</v>
      </c>
      <c r="AK1103" s="99">
        <f>ROUND(VLOOKUP(100,enemy_base_stats!$A:$F,3,FALSE)* Z1103* K1103*P1103*F1103*T1103*AE1103 * W1103*[2]ステータス!$C$2,0)</f>
        <v>11948</v>
      </c>
      <c r="AL1103" s="99">
        <f>ROUND(VLOOKUP(100,enemy_base_stats!$A:$F,4,FALSE)* AA1103* L1103*Q1103*G1103*U1103*AF1103*[2]ステータス!$D$2,0)</f>
        <v>0</v>
      </c>
      <c r="AM1103" s="97">
        <f>VLOOKUP(M1103,[2]character_tribe_i18n!$A:$I,9,FALSE)</f>
        <v>480</v>
      </c>
      <c r="AN1103" s="36">
        <v>0</v>
      </c>
      <c r="AO1103" s="53">
        <v>0</v>
      </c>
      <c r="AP1103" s="58" t="s">
        <v>72</v>
      </c>
      <c r="AQ1103" s="71">
        <f t="shared" si="60"/>
        <v>1102</v>
      </c>
    </row>
    <row r="1104" spans="1:43" ht="21" customHeight="1" x14ac:dyDescent="0.15">
      <c r="A1104" s="7">
        <v>1103</v>
      </c>
      <c r="B1104" s="6" t="str">
        <f>VLOOKUP(A1104,[2]characters!$A:$C,3,FALSE)</f>
        <v>舞台裏の鼠展 ドガ</v>
      </c>
      <c r="C1104" s="9">
        <f>VLOOKUP(A1104,[2]characters!$A:$I,9,FALSE)</f>
        <v>6</v>
      </c>
      <c r="D1104" s="9" t="str">
        <f>VLOOKUP(A1104,[2]characters!$A:$H,8,FALSE)</f>
        <v>green</v>
      </c>
      <c r="E1104" s="24">
        <f>VLOOKUP(D1104,[2]属性!$A:$E,2,FALSE)</f>
        <v>1.02</v>
      </c>
      <c r="F1104" s="24">
        <f>VLOOKUP(D1104,[2]属性!$A:$E,3,FALSE)</f>
        <v>0.98</v>
      </c>
      <c r="G1104" s="24">
        <f>VLOOKUP(D1104,[2]属性!$A:$F,4,FALSE)</f>
        <v>1</v>
      </c>
      <c r="H1104" s="9" t="str">
        <f>VLOOKUP(A1104,[2]characters!$A:$K,11,FALSE)</f>
        <v>balance</v>
      </c>
      <c r="I1104" s="14" t="str">
        <f>VLOOKUP(H1104,[2]character_type_i18n!$A:$F,3,FALSE)</f>
        <v>バランスタイプ</v>
      </c>
      <c r="J1104" s="36">
        <f>VLOOKUP(H1104,[2]character_type_i18n!$A:$F,4,FALSE)</f>
        <v>1</v>
      </c>
      <c r="K1104" s="36">
        <f>VLOOKUP(H1104,[2]character_type_i18n!$A:$F,5,FALSE)</f>
        <v>1</v>
      </c>
      <c r="L1104" s="36">
        <f>VLOOKUP(H1104,[2]character_type_i18n!$A:$F,6,FALSE)</f>
        <v>1</v>
      </c>
      <c r="M1104" s="9" t="str">
        <f>VLOOKUP(A1104,[2]characters!$A:$M,13,FALSE)</f>
        <v>animal</v>
      </c>
      <c r="N1104" s="14" t="str">
        <f>VLOOKUP(M1104,[2]character_tribe_i18n!$A:$F,3,FALSE)</f>
        <v>アニマル</v>
      </c>
      <c r="O1104" s="24">
        <f>VLOOKUP(M1104,[2]character_tribe_i18n!$A:$F,4,FALSE)</f>
        <v>1</v>
      </c>
      <c r="P1104" s="24">
        <f>VLOOKUP(M1104,[2]character_tribe_i18n!$A:$F,5,FALSE)</f>
        <v>1.1000000000000001</v>
      </c>
      <c r="Q1104" s="24">
        <f>VLOOKUP(M1104,[2]character_tribe_i18n!$A:$F,6,FALSE)</f>
        <v>1</v>
      </c>
      <c r="R1104" s="25" t="s">
        <v>98</v>
      </c>
      <c r="S1104" s="24">
        <f>VLOOKUP($R1104,ラベル別係数!$A$1:$E$7,3,FALSE)</f>
        <v>5</v>
      </c>
      <c r="T1104" s="24">
        <f>VLOOKUP($R1104,ラベル別係数!$A$1:$E$7,4,FALSE)</f>
        <v>1.3</v>
      </c>
      <c r="U1104" s="24">
        <f>VLOOKUP($R1104,ラベル別係数!$A$1:$E$7,5,FALSE)</f>
        <v>0.8</v>
      </c>
      <c r="V1104" s="27">
        <v>3</v>
      </c>
      <c r="W1104" s="28">
        <f>VLOOKUP(V1104,ターン数別攻撃係数!$A$1:$B$1000,2,FALSE)</f>
        <v>1</v>
      </c>
      <c r="X1104" s="9">
        <f>VLOOKUP(C1104,サイズ別係数!A$2:B$9,2,FALSE)</f>
        <v>60</v>
      </c>
      <c r="Y1104" s="26">
        <f>VLOOKUP($X1104,サイズ別係数!$B:$E,2,FALSE)</f>
        <v>1.7</v>
      </c>
      <c r="Z1104" s="26">
        <f>VLOOKUP($X1104,サイズ別係数!$B:$E,3,FALSE)</f>
        <v>1.4</v>
      </c>
      <c r="AA1104" s="26">
        <f>VLOOKUP($X1104,サイズ別係数!$B:$E,4,FALSE)</f>
        <v>1</v>
      </c>
      <c r="AB1104" s="5">
        <v>0</v>
      </c>
      <c r="AC1104" s="34" t="str">
        <f ca="1">VLOOKUP($AB1104,OFFSET([3]enemy_skill_sets!$B$2,0,0,COUNTA([3]enemy_skill_sets!$A:$A),MATCH(AC$1,[3]enemy_skill_sets!$1:$1,0)-MATCH($AB$1,[3]enemy_skill_sets!$1:$1,0)+1),MATCH(AC$1,[3]enemy_skill_sets!$1:$1,0)-MATCH($AB$1,[3]enemy_skill_sets!$1:$1,0)+1,FALSE)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4" s="67">
        <v>1</v>
      </c>
      <c r="AE1104" s="67">
        <v>1</v>
      </c>
      <c r="AF1104" s="37">
        <v>0</v>
      </c>
      <c r="AG1104" s="99">
        <f>ROUND(VLOOKUP(1,enemy_base_stats!$A:$F,2,FALSE) * Y1104* J1104*O1104*E1104*S1104*AD1104*[2]ステータス!$B$2,0)</f>
        <v>4335</v>
      </c>
      <c r="AH1104" s="99">
        <f>ROUND(VLOOKUP(1,enemy_base_stats!$A:$F,3,FALSE) * Z1104*K1104*P1104*F1104*T1104*AE1104 * W1104*[2]ステータス!$C$2,0)</f>
        <v>294</v>
      </c>
      <c r="AI1104" s="99">
        <f>ROUND(VLOOKUP(1,enemy_base_stats!$A:$F,4,FALSE) * AA1104*L1104*Q1104*G1104*U1104*AF1104*[2]ステータス!$D$2,0)</f>
        <v>0</v>
      </c>
      <c r="AJ1104" s="99">
        <f>ROUND(VLOOKUP(100,enemy_base_stats!$A:$F,2,FALSE) * Y1104* J1104*O1104*E1104*S1104*AD1104*[2]ステータス!$B$2,0)</f>
        <v>176001</v>
      </c>
      <c r="AK1104" s="99">
        <f>ROUND(VLOOKUP(100,enemy_base_stats!$A:$F,3,FALSE)* Z1104* K1104*P1104*F1104*T1104*AE1104 * W1104*[2]ステータス!$C$2,0)</f>
        <v>11948</v>
      </c>
      <c r="AL1104" s="99">
        <f>ROUND(VLOOKUP(100,enemy_base_stats!$A:$F,4,FALSE)* AA1104* L1104*Q1104*G1104*U1104*AF1104*[2]ステータス!$D$2,0)</f>
        <v>0</v>
      </c>
      <c r="AM1104" s="97">
        <f>VLOOKUP(M1104,[2]character_tribe_i18n!$A:$I,9,FALSE)</f>
        <v>480</v>
      </c>
      <c r="AN1104" s="36">
        <v>0</v>
      </c>
      <c r="AO1104" s="53">
        <v>0</v>
      </c>
      <c r="AP1104" s="58" t="s">
        <v>72</v>
      </c>
      <c r="AQ1104" s="71">
        <f t="shared" si="60"/>
        <v>1103</v>
      </c>
    </row>
    <row r="1105" spans="1:43" ht="21" customHeight="1" x14ac:dyDescent="0.15">
      <c r="A1105" s="7">
        <v>1104</v>
      </c>
      <c r="B1105" s="6" t="str">
        <f>VLOOKUP(A1105,[2]characters!$A:$C,3,FALSE)</f>
        <v>クリムト</v>
      </c>
      <c r="C1105" s="9">
        <f>VLOOKUP(A1105,[2]characters!$A:$I,9,FALSE)</f>
        <v>4</v>
      </c>
      <c r="D1105" s="9" t="str">
        <f>VLOOKUP(A1105,[2]characters!$A:$H,8,FALSE)</f>
        <v>blue</v>
      </c>
      <c r="E1105" s="24">
        <f>VLOOKUP(D1105,[2]属性!$A:$E,2,FALSE)</f>
        <v>1</v>
      </c>
      <c r="F1105" s="24">
        <f>VLOOKUP(D1105,[2]属性!$A:$E,3,FALSE)</f>
        <v>0.98</v>
      </c>
      <c r="G1105" s="24">
        <f>VLOOKUP(D1105,[2]属性!$A:$F,4,FALSE)</f>
        <v>1</v>
      </c>
      <c r="H1105" s="9" t="str">
        <f>VLOOKUP(A1105,[2]characters!$A:$K,11,FALSE)</f>
        <v>technical</v>
      </c>
      <c r="I1105" s="14" t="str">
        <f>VLOOKUP(H1105,[2]character_type_i18n!$A:$F,3,FALSE)</f>
        <v>テクニカルタイプ</v>
      </c>
      <c r="J1105" s="36">
        <f>VLOOKUP(H1105,[2]character_type_i18n!$A:$F,4,FALSE)</f>
        <v>0.9</v>
      </c>
      <c r="K1105" s="36">
        <f>VLOOKUP(H1105,[2]character_type_i18n!$A:$F,5,FALSE)</f>
        <v>0.9</v>
      </c>
      <c r="L1105" s="36">
        <f>VLOOKUP(H1105,[2]character_type_i18n!$A:$F,6,FALSE)</f>
        <v>1</v>
      </c>
      <c r="M1105" s="9" t="str">
        <f>VLOOKUP(A1105,[2]characters!$A:$M,13,FALSE)</f>
        <v>human</v>
      </c>
      <c r="N1105" s="14" t="str">
        <f>VLOOKUP(M1105,[2]character_tribe_i18n!$A:$F,3,FALSE)</f>
        <v>ヒューマン</v>
      </c>
      <c r="O1105" s="24">
        <f>VLOOKUP(M1105,[2]character_tribe_i18n!$A:$F,4,FALSE)</f>
        <v>0.94</v>
      </c>
      <c r="P1105" s="24">
        <f>VLOOKUP(M1105,[2]character_tribe_i18n!$A:$F,5,FALSE)</f>
        <v>0.99</v>
      </c>
      <c r="Q1105" s="24">
        <f>VLOOKUP(M1105,[2]character_tribe_i18n!$A:$F,6,FALSE)</f>
        <v>1</v>
      </c>
      <c r="R1105" s="25" t="s">
        <v>98</v>
      </c>
      <c r="S1105" s="24">
        <f>VLOOKUP($R1105,ラベル別係数!$A$1:$E$7,3,FALSE)</f>
        <v>5</v>
      </c>
      <c r="T1105" s="24">
        <f>VLOOKUP($R1105,ラベル別係数!$A$1:$E$7,4,FALSE)</f>
        <v>1.3</v>
      </c>
      <c r="U1105" s="24">
        <f>VLOOKUP($R1105,ラベル別係数!$A$1:$E$7,5,FALSE)</f>
        <v>0.8</v>
      </c>
      <c r="V1105" s="27">
        <v>3</v>
      </c>
      <c r="W1105" s="28">
        <f>VLOOKUP(V1105,ターン数別攻撃係数!$A$1:$B$1000,2,FALSE)</f>
        <v>1</v>
      </c>
      <c r="X1105" s="9">
        <f>VLOOKUP(C1105,サイズ別係数!A$2:B$9,2,FALSE)</f>
        <v>30</v>
      </c>
      <c r="Y1105" s="26">
        <f>VLOOKUP($X1105,サイズ別係数!$B:$E,2,FALSE)</f>
        <v>1.3</v>
      </c>
      <c r="Z1105" s="26">
        <f>VLOOKUP($X1105,サイズ別係数!$B:$E,3,FALSE)</f>
        <v>1.3</v>
      </c>
      <c r="AA1105" s="26">
        <f>VLOOKUP($X1105,サイズ別係数!$B:$E,4,FALSE)</f>
        <v>1.1000000000000001</v>
      </c>
      <c r="AB1105" s="5">
        <v>0</v>
      </c>
      <c r="AC1105" s="34" t="str">
        <f ca="1">VLOOKUP($AB1105,OFFSET([3]enemy_skill_sets!$B$2,0,0,COUNTA([3]enemy_skill_sets!$A:$A),MATCH(AC$1,[3]enemy_skill_sets!$1:$1,0)-MATCH($AB$1,[3]enemy_skill_sets!$1:$1,0)+1),MATCH(AC$1,[3]enemy_skill_sets!$1:$1,0)-MATCH($AB$1,[3]enemy_skill_sets!$1:$1,0)+1,FALSE)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5" s="67">
        <v>1</v>
      </c>
      <c r="AE1105" s="67">
        <v>1</v>
      </c>
      <c r="AF1105" s="37">
        <v>0</v>
      </c>
      <c r="AG1105" s="99">
        <f>ROUND(VLOOKUP(1,enemy_base_stats!$A:$F,2,FALSE) * Y1105* J1105*O1105*E1105*S1105*AD1105*[2]ステータス!$B$2,0)</f>
        <v>2750</v>
      </c>
      <c r="AH1105" s="99">
        <f>ROUND(VLOOKUP(1,enemy_base_stats!$A:$F,3,FALSE) * Z1105*K1105*P1105*F1105*T1105*AE1105 * W1105*[2]ステータス!$C$2,0)</f>
        <v>221</v>
      </c>
      <c r="AI1105" s="99">
        <f>ROUND(VLOOKUP(1,enemy_base_stats!$A:$F,4,FALSE) * AA1105*L1105*Q1105*G1105*U1105*AF1105*[2]ステータス!$D$2,0)</f>
        <v>0</v>
      </c>
      <c r="AJ1105" s="99">
        <f>ROUND(VLOOKUP(100,enemy_base_stats!$A:$F,2,FALSE) * Y1105* J1105*O1105*E1105*S1105*AD1105*[2]ステータス!$B$2,0)</f>
        <v>111630</v>
      </c>
      <c r="AK1105" s="99">
        <f>ROUND(VLOOKUP(100,enemy_base_stats!$A:$F,3,FALSE)* Z1105* K1105*P1105*F1105*T1105*AE1105 * W1105*[2]ステータス!$C$2,0)</f>
        <v>8987</v>
      </c>
      <c r="AL1105" s="99">
        <f>ROUND(VLOOKUP(100,enemy_base_stats!$A:$F,4,FALSE)* AA1105* L1105*Q1105*G1105*U1105*AF1105*[2]ステータス!$D$2,0)</f>
        <v>0</v>
      </c>
      <c r="AM1105" s="97">
        <f>VLOOKUP(M1105,[2]character_tribe_i18n!$A:$I,9,FALSE)</f>
        <v>400</v>
      </c>
      <c r="AN1105" s="36">
        <v>0</v>
      </c>
      <c r="AO1105" s="53">
        <v>0</v>
      </c>
      <c r="AP1105" s="58" t="s">
        <v>72</v>
      </c>
      <c r="AQ1105" s="71">
        <f t="shared" si="60"/>
        <v>1104</v>
      </c>
    </row>
    <row r="1106" spans="1:43" ht="21" customHeight="1" x14ac:dyDescent="0.15">
      <c r="A1106" s="7">
        <v>1105</v>
      </c>
      <c r="B1106" s="6" t="str">
        <f>VLOOKUP(A1106,[2]characters!$A:$C,3,FALSE)</f>
        <v>甘美なる背徳 クリムト</v>
      </c>
      <c r="C1106" s="9">
        <f>VLOOKUP(A1106,[2]characters!$A:$I,9,FALSE)</f>
        <v>5</v>
      </c>
      <c r="D1106" s="9" t="str">
        <f>VLOOKUP(A1106,[2]characters!$A:$H,8,FALSE)</f>
        <v>blue</v>
      </c>
      <c r="E1106" s="24">
        <f>VLOOKUP(D1106,[2]属性!$A:$E,2,FALSE)</f>
        <v>1</v>
      </c>
      <c r="F1106" s="24">
        <f>VLOOKUP(D1106,[2]属性!$A:$E,3,FALSE)</f>
        <v>0.98</v>
      </c>
      <c r="G1106" s="24">
        <f>VLOOKUP(D1106,[2]属性!$A:$F,4,FALSE)</f>
        <v>1</v>
      </c>
      <c r="H1106" s="9" t="str">
        <f>VLOOKUP(A1106,[2]characters!$A:$K,11,FALSE)</f>
        <v>technical</v>
      </c>
      <c r="I1106" s="14" t="str">
        <f>VLOOKUP(H1106,[2]character_type_i18n!$A:$F,3,FALSE)</f>
        <v>テクニカルタイプ</v>
      </c>
      <c r="J1106" s="36">
        <f>VLOOKUP(H1106,[2]character_type_i18n!$A:$F,4,FALSE)</f>
        <v>0.9</v>
      </c>
      <c r="K1106" s="36">
        <f>VLOOKUP(H1106,[2]character_type_i18n!$A:$F,5,FALSE)</f>
        <v>0.9</v>
      </c>
      <c r="L1106" s="36">
        <f>VLOOKUP(H1106,[2]character_type_i18n!$A:$F,6,FALSE)</f>
        <v>1</v>
      </c>
      <c r="M1106" s="9" t="str">
        <f>VLOOKUP(A1106,[2]characters!$A:$M,13,FALSE)</f>
        <v>human</v>
      </c>
      <c r="N1106" s="14" t="str">
        <f>VLOOKUP(M1106,[2]character_tribe_i18n!$A:$F,3,FALSE)</f>
        <v>ヒューマン</v>
      </c>
      <c r="O1106" s="24">
        <f>VLOOKUP(M1106,[2]character_tribe_i18n!$A:$F,4,FALSE)</f>
        <v>0.94</v>
      </c>
      <c r="P1106" s="24">
        <f>VLOOKUP(M1106,[2]character_tribe_i18n!$A:$F,5,FALSE)</f>
        <v>0.99</v>
      </c>
      <c r="Q1106" s="24">
        <f>VLOOKUP(M1106,[2]character_tribe_i18n!$A:$F,6,FALSE)</f>
        <v>1</v>
      </c>
      <c r="R1106" s="25" t="s">
        <v>98</v>
      </c>
      <c r="S1106" s="24">
        <f>VLOOKUP($R1106,ラベル別係数!$A$1:$E$7,3,FALSE)</f>
        <v>5</v>
      </c>
      <c r="T1106" s="24">
        <f>VLOOKUP($R1106,ラベル別係数!$A$1:$E$7,4,FALSE)</f>
        <v>1.3</v>
      </c>
      <c r="U1106" s="24">
        <f>VLOOKUP($R1106,ラベル別係数!$A$1:$E$7,5,FALSE)</f>
        <v>0.8</v>
      </c>
      <c r="V1106" s="27">
        <v>3</v>
      </c>
      <c r="W1106" s="28">
        <f>VLOOKUP(V1106,ターン数別攻撃係数!$A$1:$B$1000,2,FALSE)</f>
        <v>1</v>
      </c>
      <c r="X1106" s="9">
        <f>VLOOKUP(C1106,サイズ別係数!A$2:B$9,2,FALSE)</f>
        <v>60</v>
      </c>
      <c r="Y1106" s="26">
        <f>VLOOKUP($X1106,サイズ別係数!$B:$E,2,FALSE)</f>
        <v>1.7</v>
      </c>
      <c r="Z1106" s="26">
        <f>VLOOKUP($X1106,サイズ別係数!$B:$E,3,FALSE)</f>
        <v>1.4</v>
      </c>
      <c r="AA1106" s="26">
        <f>VLOOKUP($X1106,サイズ別係数!$B:$E,4,FALSE)</f>
        <v>1</v>
      </c>
      <c r="AB1106" s="5">
        <v>0</v>
      </c>
      <c r="AC1106" s="34" t="str">
        <f ca="1">VLOOKUP($AB1106,OFFSET([3]enemy_skill_sets!$B$2,0,0,COUNTA([3]enemy_skill_sets!$A:$A),MATCH(AC$1,[3]enemy_skill_sets!$1:$1,0)-MATCH($AB$1,[3]enemy_skill_sets!$1:$1,0)+1),MATCH(AC$1,[3]enemy_skill_sets!$1:$1,0)-MATCH($AB$1,[3]enemy_skill_sets!$1:$1,0)+1,FALSE)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6" s="67">
        <v>1</v>
      </c>
      <c r="AE1106" s="67">
        <v>1</v>
      </c>
      <c r="AF1106" s="37">
        <v>0</v>
      </c>
      <c r="AG1106" s="99">
        <f>ROUND(VLOOKUP(1,enemy_base_stats!$A:$F,2,FALSE) * Y1106* J1106*O1106*E1106*S1106*AD1106*[2]ステータス!$B$2,0)</f>
        <v>3596</v>
      </c>
      <c r="AH1106" s="99">
        <f>ROUND(VLOOKUP(1,enemy_base_stats!$A:$F,3,FALSE) * Z1106*K1106*P1106*F1106*T1106*AE1106 * W1106*[2]ステータス!$C$2,0)</f>
        <v>238</v>
      </c>
      <c r="AI1106" s="99">
        <f>ROUND(VLOOKUP(1,enemy_base_stats!$A:$F,4,FALSE) * AA1106*L1106*Q1106*G1106*U1106*AF1106*[2]ステータス!$D$2,0)</f>
        <v>0</v>
      </c>
      <c r="AJ1106" s="99">
        <f>ROUND(VLOOKUP(100,enemy_base_stats!$A:$F,2,FALSE) * Y1106* J1106*O1106*E1106*S1106*AD1106*[2]ステータス!$B$2,0)</f>
        <v>145977</v>
      </c>
      <c r="AK1106" s="99">
        <f>ROUND(VLOOKUP(100,enemy_base_stats!$A:$F,3,FALSE)* Z1106* K1106*P1106*F1106*T1106*AE1106 * W1106*[2]ステータス!$C$2,0)</f>
        <v>9678</v>
      </c>
      <c r="AL1106" s="99">
        <f>ROUND(VLOOKUP(100,enemy_base_stats!$A:$F,4,FALSE)* AA1106* L1106*Q1106*G1106*U1106*AF1106*[2]ステータス!$D$2,0)</f>
        <v>0</v>
      </c>
      <c r="AM1106" s="97">
        <f>VLOOKUP(M1106,[2]character_tribe_i18n!$A:$I,9,FALSE)</f>
        <v>400</v>
      </c>
      <c r="AN1106" s="36">
        <v>0</v>
      </c>
      <c r="AO1106" s="53">
        <v>0</v>
      </c>
      <c r="AP1106" s="58" t="s">
        <v>72</v>
      </c>
      <c r="AQ1106" s="71">
        <f t="shared" si="60"/>
        <v>1105</v>
      </c>
    </row>
    <row r="1107" spans="1:43" ht="21" customHeight="1" x14ac:dyDescent="0.15">
      <c r="A1107" s="7">
        <v>1106</v>
      </c>
      <c r="B1107" s="6" t="str">
        <f>VLOOKUP(A1107,[2]characters!$A:$C,3,FALSE)</f>
        <v>ラファエロ</v>
      </c>
      <c r="C1107" s="9">
        <f>VLOOKUP(A1107,[2]characters!$A:$I,9,FALSE)</f>
        <v>5</v>
      </c>
      <c r="D1107" s="9" t="str">
        <f>VLOOKUP(A1107,[2]characters!$A:$H,8,FALSE)</f>
        <v>yellow</v>
      </c>
      <c r="E1107" s="24">
        <f>VLOOKUP(D1107,[2]属性!$A:$E,2,FALSE)</f>
        <v>0.98</v>
      </c>
      <c r="F1107" s="24">
        <f>VLOOKUP(D1107,[2]属性!$A:$E,3,FALSE)</f>
        <v>1.01</v>
      </c>
      <c r="G1107" s="24">
        <f>VLOOKUP(D1107,[2]属性!$A:$F,4,FALSE)</f>
        <v>1</v>
      </c>
      <c r="H1107" s="9" t="str">
        <f>VLOOKUP(A1107,[2]characters!$A:$K,11,FALSE)</f>
        <v>attack</v>
      </c>
      <c r="I1107" s="14" t="str">
        <f>VLOOKUP(H1107,[2]character_type_i18n!$A:$F,3,FALSE)</f>
        <v>攻撃タイプ</v>
      </c>
      <c r="J1107" s="36">
        <f>VLOOKUP(H1107,[2]character_type_i18n!$A:$F,4,FALSE)</f>
        <v>1</v>
      </c>
      <c r="K1107" s="36">
        <f>VLOOKUP(H1107,[2]character_type_i18n!$A:$F,5,FALSE)</f>
        <v>1.33</v>
      </c>
      <c r="L1107" s="36">
        <f>VLOOKUP(H1107,[2]character_type_i18n!$A:$F,6,FALSE)</f>
        <v>1</v>
      </c>
      <c r="M1107" s="9" t="str">
        <f>VLOOKUP(A1107,[2]characters!$A:$M,13,FALSE)</f>
        <v>human</v>
      </c>
      <c r="N1107" s="14" t="str">
        <f>VLOOKUP(M1107,[2]character_tribe_i18n!$A:$F,3,FALSE)</f>
        <v>ヒューマン</v>
      </c>
      <c r="O1107" s="24">
        <f>VLOOKUP(M1107,[2]character_tribe_i18n!$A:$F,4,FALSE)</f>
        <v>0.94</v>
      </c>
      <c r="P1107" s="24">
        <f>VLOOKUP(M1107,[2]character_tribe_i18n!$A:$F,5,FALSE)</f>
        <v>0.99</v>
      </c>
      <c r="Q1107" s="24">
        <f>VLOOKUP(M1107,[2]character_tribe_i18n!$A:$F,6,FALSE)</f>
        <v>1</v>
      </c>
      <c r="R1107" s="25" t="s">
        <v>98</v>
      </c>
      <c r="S1107" s="24">
        <f>VLOOKUP($R1107,ラベル別係数!$A$1:$E$7,3,FALSE)</f>
        <v>5</v>
      </c>
      <c r="T1107" s="24">
        <f>VLOOKUP($R1107,ラベル別係数!$A$1:$E$7,4,FALSE)</f>
        <v>1.3</v>
      </c>
      <c r="U1107" s="24">
        <f>VLOOKUP($R1107,ラベル別係数!$A$1:$E$7,5,FALSE)</f>
        <v>0.8</v>
      </c>
      <c r="V1107" s="27">
        <v>3</v>
      </c>
      <c r="W1107" s="28">
        <f>VLOOKUP(V1107,ターン数別攻撃係数!$A$1:$B$1000,2,FALSE)</f>
        <v>1</v>
      </c>
      <c r="X1107" s="9">
        <f>VLOOKUP(C1107,サイズ別係数!A$2:B$9,2,FALSE)</f>
        <v>60</v>
      </c>
      <c r="Y1107" s="26">
        <f>VLOOKUP($X1107,サイズ別係数!$B:$E,2,FALSE)</f>
        <v>1.7</v>
      </c>
      <c r="Z1107" s="26">
        <f>VLOOKUP($X1107,サイズ別係数!$B:$E,3,FALSE)</f>
        <v>1.4</v>
      </c>
      <c r="AA1107" s="26">
        <f>VLOOKUP($X1107,サイズ別係数!$B:$E,4,FALSE)</f>
        <v>1</v>
      </c>
      <c r="AB1107" s="5">
        <v>0</v>
      </c>
      <c r="AC1107" s="34" t="str">
        <f ca="1">VLOOKUP($AB1107,OFFSET([3]enemy_skill_sets!$B$2,0,0,COUNTA([3]enemy_skill_sets!$A:$A),MATCH(AC$1,[3]enemy_skill_sets!$1:$1,0)-MATCH($AB$1,[3]enemy_skill_sets!$1:$1,0)+1),MATCH(AC$1,[3]enemy_skill_sets!$1:$1,0)-MATCH($AB$1,[3]enemy_skill_sets!$1:$1,0)+1,FALSE)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7" s="67">
        <v>1</v>
      </c>
      <c r="AE1107" s="67">
        <v>1</v>
      </c>
      <c r="AF1107" s="37">
        <v>0</v>
      </c>
      <c r="AG1107" s="99">
        <f>ROUND(VLOOKUP(1,enemy_base_stats!$A:$F,2,FALSE) * Y1107* J1107*O1107*E1107*S1107*AD1107*[2]ステータス!$B$2,0)</f>
        <v>3915</v>
      </c>
      <c r="AH1107" s="99">
        <f>ROUND(VLOOKUP(1,enemy_base_stats!$A:$F,3,FALSE) * Z1107*K1107*P1107*F1107*T1107*AE1107 * W1107*[2]ステータス!$C$2,0)</f>
        <v>363</v>
      </c>
      <c r="AI1107" s="99">
        <f>ROUND(VLOOKUP(1,enemy_base_stats!$A:$F,4,FALSE) * AA1107*L1107*Q1107*G1107*U1107*AF1107*[2]ステータス!$D$2,0)</f>
        <v>0</v>
      </c>
      <c r="AJ1107" s="99">
        <f>ROUND(VLOOKUP(100,enemy_base_stats!$A:$F,2,FALSE) * Y1107* J1107*O1107*E1107*S1107*AD1107*[2]ステータス!$B$2,0)</f>
        <v>158953</v>
      </c>
      <c r="AK1107" s="99">
        <f>ROUND(VLOOKUP(100,enemy_base_stats!$A:$F,3,FALSE)* Z1107* K1107*P1107*F1107*T1107*AE1107 * W1107*[2]ステータス!$C$2,0)</f>
        <v>14740</v>
      </c>
      <c r="AL1107" s="99">
        <f>ROUND(VLOOKUP(100,enemy_base_stats!$A:$F,4,FALSE)* AA1107* L1107*Q1107*G1107*U1107*AF1107*[2]ステータス!$D$2,0)</f>
        <v>0</v>
      </c>
      <c r="AM1107" s="97">
        <f>VLOOKUP(M1107,[2]character_tribe_i18n!$A:$I,9,FALSE)</f>
        <v>400</v>
      </c>
      <c r="AN1107" s="36">
        <v>0</v>
      </c>
      <c r="AO1107" s="53">
        <v>0</v>
      </c>
      <c r="AP1107" s="58" t="s">
        <v>72</v>
      </c>
      <c r="AQ1107" s="71">
        <f t="shared" si="60"/>
        <v>1106</v>
      </c>
    </row>
    <row r="1108" spans="1:43" ht="21" customHeight="1" x14ac:dyDescent="0.15">
      <c r="A1108" s="7">
        <v>1107</v>
      </c>
      <c r="B1108" s="6" t="str">
        <f>VLOOKUP(A1108,[2]characters!$A:$C,3,FALSE)</f>
        <v>天浄の鮮風 ラファエロ</v>
      </c>
      <c r="C1108" s="9">
        <f>VLOOKUP(A1108,[2]characters!$A:$I,9,FALSE)</f>
        <v>6</v>
      </c>
      <c r="D1108" s="9" t="str">
        <f>VLOOKUP(A1108,[2]characters!$A:$H,8,FALSE)</f>
        <v>yellow</v>
      </c>
      <c r="E1108" s="24">
        <f>VLOOKUP(D1108,[2]属性!$A:$E,2,FALSE)</f>
        <v>0.98</v>
      </c>
      <c r="F1108" s="24">
        <f>VLOOKUP(D1108,[2]属性!$A:$E,3,FALSE)</f>
        <v>1.01</v>
      </c>
      <c r="G1108" s="24">
        <f>VLOOKUP(D1108,[2]属性!$A:$F,4,FALSE)</f>
        <v>1</v>
      </c>
      <c r="H1108" s="9" t="str">
        <f>VLOOKUP(A1108,[2]characters!$A:$K,11,FALSE)</f>
        <v>attack</v>
      </c>
      <c r="I1108" s="14" t="str">
        <f>VLOOKUP(H1108,[2]character_type_i18n!$A:$F,3,FALSE)</f>
        <v>攻撃タイプ</v>
      </c>
      <c r="J1108" s="36">
        <f>VLOOKUP(H1108,[2]character_type_i18n!$A:$F,4,FALSE)</f>
        <v>1</v>
      </c>
      <c r="K1108" s="36">
        <f>VLOOKUP(H1108,[2]character_type_i18n!$A:$F,5,FALSE)</f>
        <v>1.33</v>
      </c>
      <c r="L1108" s="36">
        <f>VLOOKUP(H1108,[2]character_type_i18n!$A:$F,6,FALSE)</f>
        <v>1</v>
      </c>
      <c r="M1108" s="9" t="str">
        <f>VLOOKUP(A1108,[2]characters!$A:$M,13,FALSE)</f>
        <v>human</v>
      </c>
      <c r="N1108" s="14" t="str">
        <f>VLOOKUP(M1108,[2]character_tribe_i18n!$A:$F,3,FALSE)</f>
        <v>ヒューマン</v>
      </c>
      <c r="O1108" s="24">
        <f>VLOOKUP(M1108,[2]character_tribe_i18n!$A:$F,4,FALSE)</f>
        <v>0.94</v>
      </c>
      <c r="P1108" s="24">
        <f>VLOOKUP(M1108,[2]character_tribe_i18n!$A:$F,5,FALSE)</f>
        <v>0.99</v>
      </c>
      <c r="Q1108" s="24">
        <f>VLOOKUP(M1108,[2]character_tribe_i18n!$A:$F,6,FALSE)</f>
        <v>1</v>
      </c>
      <c r="R1108" s="25" t="s">
        <v>98</v>
      </c>
      <c r="S1108" s="24">
        <f>VLOOKUP($R1108,ラベル別係数!$A$1:$E$7,3,FALSE)</f>
        <v>5</v>
      </c>
      <c r="T1108" s="24">
        <f>VLOOKUP($R1108,ラベル別係数!$A$1:$E$7,4,FALSE)</f>
        <v>1.3</v>
      </c>
      <c r="U1108" s="24">
        <f>VLOOKUP($R1108,ラベル別係数!$A$1:$E$7,5,FALSE)</f>
        <v>0.8</v>
      </c>
      <c r="V1108" s="27">
        <v>3</v>
      </c>
      <c r="W1108" s="28">
        <f>VLOOKUP(V1108,ターン数別攻撃係数!$A$1:$B$1000,2,FALSE)</f>
        <v>1</v>
      </c>
      <c r="X1108" s="9">
        <f>VLOOKUP(C1108,サイズ別係数!A$2:B$9,2,FALSE)</f>
        <v>60</v>
      </c>
      <c r="Y1108" s="26">
        <f>VLOOKUP($X1108,サイズ別係数!$B:$E,2,FALSE)</f>
        <v>1.7</v>
      </c>
      <c r="Z1108" s="26">
        <f>VLOOKUP($X1108,サイズ別係数!$B:$E,3,FALSE)</f>
        <v>1.4</v>
      </c>
      <c r="AA1108" s="26">
        <f>VLOOKUP($X1108,サイズ別係数!$B:$E,4,FALSE)</f>
        <v>1</v>
      </c>
      <c r="AB1108" s="5">
        <v>0</v>
      </c>
      <c r="AC1108" s="34" t="str">
        <f ca="1">VLOOKUP($AB1108,OFFSET([3]enemy_skill_sets!$B$2,0,0,COUNTA([3]enemy_skill_sets!$A:$A),MATCH(AC$1,[3]enemy_skill_sets!$1:$1,0)-MATCH($AB$1,[3]enemy_skill_sets!$1:$1,0)+1),MATCH(AC$1,[3]enemy_skill_sets!$1:$1,0)-MATCH($AB$1,[3]enemy_skill_sets!$1:$1,0)+1,FALSE)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8" s="67">
        <v>1</v>
      </c>
      <c r="AE1108" s="67">
        <v>1</v>
      </c>
      <c r="AF1108" s="37">
        <v>0</v>
      </c>
      <c r="AG1108" s="99">
        <f>ROUND(VLOOKUP(1,enemy_base_stats!$A:$F,2,FALSE) * Y1108* J1108*O1108*E1108*S1108*AD1108*[2]ステータス!$B$2,0)</f>
        <v>3915</v>
      </c>
      <c r="AH1108" s="99">
        <f>ROUND(VLOOKUP(1,enemy_base_stats!$A:$F,3,FALSE) * Z1108*K1108*P1108*F1108*T1108*AE1108 * W1108*[2]ステータス!$C$2,0)</f>
        <v>363</v>
      </c>
      <c r="AI1108" s="99">
        <f>ROUND(VLOOKUP(1,enemy_base_stats!$A:$F,4,FALSE) * AA1108*L1108*Q1108*G1108*U1108*AF1108*[2]ステータス!$D$2,0)</f>
        <v>0</v>
      </c>
      <c r="AJ1108" s="99">
        <f>ROUND(VLOOKUP(100,enemy_base_stats!$A:$F,2,FALSE) * Y1108* J1108*O1108*E1108*S1108*AD1108*[2]ステータス!$B$2,0)</f>
        <v>158953</v>
      </c>
      <c r="AK1108" s="99">
        <f>ROUND(VLOOKUP(100,enemy_base_stats!$A:$F,3,FALSE)* Z1108* K1108*P1108*F1108*T1108*AE1108 * W1108*[2]ステータス!$C$2,0)</f>
        <v>14740</v>
      </c>
      <c r="AL1108" s="99">
        <f>ROUND(VLOOKUP(100,enemy_base_stats!$A:$F,4,FALSE)* AA1108* L1108*Q1108*G1108*U1108*AF1108*[2]ステータス!$D$2,0)</f>
        <v>0</v>
      </c>
      <c r="AM1108" s="97">
        <f>VLOOKUP(M1108,[2]character_tribe_i18n!$A:$I,9,FALSE)</f>
        <v>400</v>
      </c>
      <c r="AN1108" s="36">
        <v>0</v>
      </c>
      <c r="AO1108" s="53">
        <v>0</v>
      </c>
      <c r="AP1108" s="58" t="s">
        <v>72</v>
      </c>
      <c r="AQ1108" s="71">
        <f t="shared" si="60"/>
        <v>1107</v>
      </c>
    </row>
    <row r="1109" spans="1:43" ht="21" customHeight="1" x14ac:dyDescent="0.15">
      <c r="A1109" s="7">
        <v>1108</v>
      </c>
      <c r="B1109" s="6" t="str">
        <f>VLOOKUP(A1109,[2]characters!$A:$C,3,FALSE)</f>
        <v>交鏡の光波 フレネル</v>
      </c>
      <c r="C1109" s="9">
        <f>VLOOKUP(A1109,[2]characters!$A:$I,9,FALSE)</f>
        <v>6</v>
      </c>
      <c r="D1109" s="9" t="str">
        <f>VLOOKUP(A1109,[2]characters!$A:$H,8,FALSE)</f>
        <v>yellow</v>
      </c>
      <c r="E1109" s="24">
        <f>VLOOKUP(D1109,[2]属性!$A:$E,2,FALSE)</f>
        <v>0.98</v>
      </c>
      <c r="F1109" s="24">
        <f>VLOOKUP(D1109,[2]属性!$A:$E,3,FALSE)</f>
        <v>1.01</v>
      </c>
      <c r="G1109" s="24">
        <f>VLOOKUP(D1109,[2]属性!$A:$F,4,FALSE)</f>
        <v>1</v>
      </c>
      <c r="H1109" s="9" t="str">
        <f>VLOOKUP(A1109,[2]characters!$A:$K,11,FALSE)</f>
        <v>attack</v>
      </c>
      <c r="I1109" s="14" t="str">
        <f>VLOOKUP(H1109,[2]character_type_i18n!$A:$F,3,FALSE)</f>
        <v>攻撃タイプ</v>
      </c>
      <c r="J1109" s="36">
        <f>VLOOKUP(H1109,[2]character_type_i18n!$A:$F,4,FALSE)</f>
        <v>1</v>
      </c>
      <c r="K1109" s="36">
        <f>VLOOKUP(H1109,[2]character_type_i18n!$A:$F,5,FALSE)</f>
        <v>1.33</v>
      </c>
      <c r="L1109" s="36">
        <f>VLOOKUP(H1109,[2]character_type_i18n!$A:$F,6,FALSE)</f>
        <v>1</v>
      </c>
      <c r="M1109" s="9" t="str">
        <f>VLOOKUP(A1109,[2]characters!$A:$M,13,FALSE)</f>
        <v>academia</v>
      </c>
      <c r="N1109" s="14" t="str">
        <f>VLOOKUP(M1109,[2]character_tribe_i18n!$A:$F,3,FALSE)</f>
        <v>アカデミア</v>
      </c>
      <c r="O1109" s="24">
        <f>VLOOKUP(M1109,[2]character_tribe_i18n!$A:$F,4,FALSE)</f>
        <v>1</v>
      </c>
      <c r="P1109" s="24">
        <f>VLOOKUP(M1109,[2]character_tribe_i18n!$A:$F,5,FALSE)</f>
        <v>1</v>
      </c>
      <c r="Q1109" s="24">
        <f>VLOOKUP(M1109,[2]character_tribe_i18n!$A:$F,6,FALSE)</f>
        <v>1</v>
      </c>
      <c r="R1109" s="25" t="s">
        <v>98</v>
      </c>
      <c r="S1109" s="24">
        <f>VLOOKUP($R1109,ラベル別係数!$A$1:$E$7,3,FALSE)</f>
        <v>5</v>
      </c>
      <c r="T1109" s="24">
        <f>VLOOKUP($R1109,ラベル別係数!$A$1:$E$7,4,FALSE)</f>
        <v>1.3</v>
      </c>
      <c r="U1109" s="24">
        <f>VLOOKUP($R1109,ラベル別係数!$A$1:$E$7,5,FALSE)</f>
        <v>0.8</v>
      </c>
      <c r="V1109" s="27">
        <v>3</v>
      </c>
      <c r="W1109" s="28">
        <f>VLOOKUP(V1109,ターン数別攻撃係数!$A$1:$B$1000,2,FALSE)</f>
        <v>1</v>
      </c>
      <c r="X1109" s="9">
        <f>VLOOKUP(C1109,サイズ別係数!A$2:B$9,2,FALSE)</f>
        <v>60</v>
      </c>
      <c r="Y1109" s="26">
        <f>VLOOKUP($X1109,サイズ別係数!$B:$E,2,FALSE)</f>
        <v>1.7</v>
      </c>
      <c r="Z1109" s="26">
        <f>VLOOKUP($X1109,サイズ別係数!$B:$E,3,FALSE)</f>
        <v>1.4</v>
      </c>
      <c r="AA1109" s="26">
        <f>VLOOKUP($X1109,サイズ別係数!$B:$E,4,FALSE)</f>
        <v>1</v>
      </c>
      <c r="AB1109" s="5">
        <v>0</v>
      </c>
      <c r="AC1109" s="34" t="str">
        <f ca="1">VLOOKUP($AB1109,OFFSET([3]enemy_skill_sets!$B$2,0,0,COUNTA([3]enemy_skill_sets!$A:$A),MATCH(AC$1,[3]enemy_skill_sets!$1:$1,0)-MATCH($AB$1,[3]enemy_skill_sets!$1:$1,0)+1),MATCH(AC$1,[3]enemy_skill_sets!$1:$1,0)-MATCH($AB$1,[3]enemy_skill_sets!$1:$1,0)+1,FALSE)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09" s="67">
        <v>1</v>
      </c>
      <c r="AE1109" s="67">
        <v>1</v>
      </c>
      <c r="AF1109" s="37">
        <v>0</v>
      </c>
      <c r="AG1109" s="99">
        <f>ROUND(VLOOKUP(1,enemy_base_stats!$A:$F,2,FALSE) * Y1109* J1109*O1109*E1109*S1109*AD1109*[2]ステータス!$B$2,0)</f>
        <v>4165</v>
      </c>
      <c r="AH1109" s="99">
        <f>ROUND(VLOOKUP(1,enemy_base_stats!$A:$F,3,FALSE) * Z1109*K1109*P1109*F1109*T1109*AE1109 * W1109*[2]ステータス!$C$2,0)</f>
        <v>367</v>
      </c>
      <c r="AI1109" s="99">
        <f>ROUND(VLOOKUP(1,enemy_base_stats!$A:$F,4,FALSE) * AA1109*L1109*Q1109*G1109*U1109*AF1109*[2]ステータス!$D$2,0)</f>
        <v>0</v>
      </c>
      <c r="AJ1109" s="99">
        <f>ROUND(VLOOKUP(100,enemy_base_stats!$A:$F,2,FALSE) * Y1109* J1109*O1109*E1109*S1109*AD1109*[2]ステータス!$B$2,0)</f>
        <v>169099</v>
      </c>
      <c r="AK1109" s="99">
        <f>ROUND(VLOOKUP(100,enemy_base_stats!$A:$F,3,FALSE)* Z1109* K1109*P1109*F1109*T1109*AE1109 * W1109*[2]ステータス!$C$2,0)</f>
        <v>14889</v>
      </c>
      <c r="AL1109" s="99">
        <f>ROUND(VLOOKUP(100,enemy_base_stats!$A:$F,4,FALSE)* AA1109* L1109*Q1109*G1109*U1109*AF1109*[2]ステータス!$D$2,0)</f>
        <v>0</v>
      </c>
      <c r="AM1109" s="97">
        <f>VLOOKUP(M1109,[2]character_tribe_i18n!$A:$I,9,FALSE)</f>
        <v>400</v>
      </c>
      <c r="AN1109" s="36">
        <v>0</v>
      </c>
      <c r="AO1109" s="53">
        <v>0</v>
      </c>
      <c r="AP1109" s="58" t="s">
        <v>72</v>
      </c>
      <c r="AQ1109" s="71">
        <f t="shared" si="60"/>
        <v>1108</v>
      </c>
    </row>
    <row r="1110" spans="1:43" ht="21" customHeight="1" x14ac:dyDescent="0.15">
      <c r="A1110" s="7">
        <v>1109</v>
      </c>
      <c r="B1110" s="6" t="str">
        <f>VLOOKUP(A1110,[2]characters!$A:$C,3,FALSE)</f>
        <v>セキ</v>
      </c>
      <c r="C1110" s="9">
        <f>VLOOKUP(A1110,[2]characters!$A:$I,9,FALSE)</f>
        <v>5</v>
      </c>
      <c r="D1110" s="9" t="str">
        <f>VLOOKUP(A1110,[2]characters!$A:$H,8,FALSE)</f>
        <v>red</v>
      </c>
      <c r="E1110" s="24">
        <f>VLOOKUP(D1110,[2]属性!$A:$E,2,FALSE)</f>
        <v>1</v>
      </c>
      <c r="F1110" s="24">
        <f>VLOOKUP(D1110,[2]属性!$A:$E,3,FALSE)</f>
        <v>1.02</v>
      </c>
      <c r="G1110" s="24">
        <f>VLOOKUP(D1110,[2]属性!$A:$F,4,FALSE)</f>
        <v>1</v>
      </c>
      <c r="H1110" s="9" t="str">
        <f>VLOOKUP(A1110,[2]characters!$A:$K,11,FALSE)</f>
        <v>technical</v>
      </c>
      <c r="I1110" s="14" t="str">
        <f>VLOOKUP(H1110,[2]character_type_i18n!$A:$F,3,FALSE)</f>
        <v>テクニカルタイプ</v>
      </c>
      <c r="J1110" s="36">
        <f>VLOOKUP(H1110,[2]character_type_i18n!$A:$F,4,FALSE)</f>
        <v>0.9</v>
      </c>
      <c r="K1110" s="36">
        <f>VLOOKUP(H1110,[2]character_type_i18n!$A:$F,5,FALSE)</f>
        <v>0.9</v>
      </c>
      <c r="L1110" s="36">
        <f>VLOOKUP(H1110,[2]character_type_i18n!$A:$F,6,FALSE)</f>
        <v>1</v>
      </c>
      <c r="M1110" s="9" t="str">
        <f>VLOOKUP(A1110,[2]characters!$A:$M,13,FALSE)</f>
        <v>academia</v>
      </c>
      <c r="N1110" s="14" t="str">
        <f>VLOOKUP(M1110,[2]character_tribe_i18n!$A:$F,3,FALSE)</f>
        <v>アカデミア</v>
      </c>
      <c r="O1110" s="24">
        <f>VLOOKUP(M1110,[2]character_tribe_i18n!$A:$F,4,FALSE)</f>
        <v>1</v>
      </c>
      <c r="P1110" s="24">
        <f>VLOOKUP(M1110,[2]character_tribe_i18n!$A:$F,5,FALSE)</f>
        <v>1</v>
      </c>
      <c r="Q1110" s="24">
        <f>VLOOKUP(M1110,[2]character_tribe_i18n!$A:$F,6,FALSE)</f>
        <v>1</v>
      </c>
      <c r="R1110" s="25" t="s">
        <v>98</v>
      </c>
      <c r="S1110" s="24">
        <f>VLOOKUP($R1110,ラベル別係数!$A$1:$E$7,3,FALSE)</f>
        <v>5</v>
      </c>
      <c r="T1110" s="24">
        <f>VLOOKUP($R1110,ラベル別係数!$A$1:$E$7,4,FALSE)</f>
        <v>1.3</v>
      </c>
      <c r="U1110" s="24">
        <f>VLOOKUP($R1110,ラベル別係数!$A$1:$E$7,5,FALSE)</f>
        <v>0.8</v>
      </c>
      <c r="V1110" s="27">
        <v>3</v>
      </c>
      <c r="W1110" s="28">
        <f>VLOOKUP(V1110,ターン数別攻撃係数!$A$1:$B$1000,2,FALSE)</f>
        <v>1</v>
      </c>
      <c r="X1110" s="9">
        <f>VLOOKUP(C1110,サイズ別係数!A$2:B$9,2,FALSE)</f>
        <v>60</v>
      </c>
      <c r="Y1110" s="26">
        <f>VLOOKUP($X1110,サイズ別係数!$B:$E,2,FALSE)</f>
        <v>1.7</v>
      </c>
      <c r="Z1110" s="26">
        <f>VLOOKUP($X1110,サイズ別係数!$B:$E,3,FALSE)</f>
        <v>1.4</v>
      </c>
      <c r="AA1110" s="26">
        <f>VLOOKUP($X1110,サイズ別係数!$B:$E,4,FALSE)</f>
        <v>1</v>
      </c>
      <c r="AB1110" s="5">
        <v>0</v>
      </c>
      <c r="AC1110" s="34" t="str">
        <f ca="1">VLOOKUP($AB1110,OFFSET([3]enemy_skill_sets!$B$2,0,0,COUNTA([3]enemy_skill_sets!$A:$A),MATCH(AC$1,[3]enemy_skill_sets!$1:$1,0)-MATCH($AB$1,[3]enemy_skill_sets!$1:$1,0)+1),MATCH(AC$1,[3]enemy_skill_sets!$1:$1,0)-MATCH($AB$1,[3]enemy_skill_sets!$1:$1,0)+1,FALSE)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0" s="67">
        <v>1</v>
      </c>
      <c r="AE1110" s="67">
        <v>1</v>
      </c>
      <c r="AF1110" s="37">
        <v>0</v>
      </c>
      <c r="AG1110" s="99">
        <f>ROUND(VLOOKUP(1,enemy_base_stats!$A:$F,2,FALSE) * Y1110* J1110*O1110*E1110*S1110*AD1110*[2]ステータス!$B$2,0)</f>
        <v>3825</v>
      </c>
      <c r="AH1110" s="99">
        <f>ROUND(VLOOKUP(1,enemy_base_stats!$A:$F,3,FALSE) * Z1110*K1110*P1110*F1110*T1110*AE1110 * W1110*[2]ステータス!$C$2,0)</f>
        <v>251</v>
      </c>
      <c r="AI1110" s="99">
        <f>ROUND(VLOOKUP(1,enemy_base_stats!$A:$F,4,FALSE) * AA1110*L1110*Q1110*G1110*U1110*AF1110*[2]ステータス!$D$2,0)</f>
        <v>0</v>
      </c>
      <c r="AJ1110" s="99">
        <f>ROUND(VLOOKUP(100,enemy_base_stats!$A:$F,2,FALSE) * Y1110* J1110*O1110*E1110*S1110*AD1110*[2]ステータス!$B$2,0)</f>
        <v>155295</v>
      </c>
      <c r="AK1110" s="99">
        <f>ROUND(VLOOKUP(100,enemy_base_stats!$A:$F,3,FALSE)* Z1110* K1110*P1110*F1110*T1110*AE1110 * W1110*[2]ステータス!$C$2,0)</f>
        <v>10175</v>
      </c>
      <c r="AL1110" s="99">
        <f>ROUND(VLOOKUP(100,enemy_base_stats!$A:$F,4,FALSE)* AA1110* L1110*Q1110*G1110*U1110*AF1110*[2]ステータス!$D$2,0)</f>
        <v>0</v>
      </c>
      <c r="AM1110" s="97">
        <f>VLOOKUP(M1110,[2]character_tribe_i18n!$A:$I,9,FALSE)</f>
        <v>400</v>
      </c>
      <c r="AN1110" s="36">
        <v>0</v>
      </c>
      <c r="AO1110" s="53">
        <v>0</v>
      </c>
      <c r="AP1110" s="58" t="s">
        <v>72</v>
      </c>
      <c r="AQ1110" s="71">
        <f t="shared" si="60"/>
        <v>1109</v>
      </c>
    </row>
    <row r="1111" spans="1:43" ht="21" customHeight="1" x14ac:dyDescent="0.15">
      <c r="A1111" s="7">
        <v>1110</v>
      </c>
      <c r="B1111" s="6" t="str">
        <f>VLOOKUP(A1111,[2]characters!$A:$C,3,FALSE)</f>
        <v>天竄の炎斬式 セキ</v>
      </c>
      <c r="C1111" s="9">
        <f>VLOOKUP(A1111,[2]characters!$A:$I,9,FALSE)</f>
        <v>6</v>
      </c>
      <c r="D1111" s="9" t="str">
        <f>VLOOKUP(A1111,[2]characters!$A:$H,8,FALSE)</f>
        <v>red</v>
      </c>
      <c r="E1111" s="24">
        <f>VLOOKUP(D1111,[2]属性!$A:$E,2,FALSE)</f>
        <v>1</v>
      </c>
      <c r="F1111" s="24">
        <f>VLOOKUP(D1111,[2]属性!$A:$E,3,FALSE)</f>
        <v>1.02</v>
      </c>
      <c r="G1111" s="24">
        <f>VLOOKUP(D1111,[2]属性!$A:$F,4,FALSE)</f>
        <v>1</v>
      </c>
      <c r="H1111" s="9" t="str">
        <f>VLOOKUP(A1111,[2]characters!$A:$K,11,FALSE)</f>
        <v>technical</v>
      </c>
      <c r="I1111" s="14" t="str">
        <f>VLOOKUP(H1111,[2]character_type_i18n!$A:$F,3,FALSE)</f>
        <v>テクニカルタイプ</v>
      </c>
      <c r="J1111" s="36">
        <f>VLOOKUP(H1111,[2]character_type_i18n!$A:$F,4,FALSE)</f>
        <v>0.9</v>
      </c>
      <c r="K1111" s="36">
        <f>VLOOKUP(H1111,[2]character_type_i18n!$A:$F,5,FALSE)</f>
        <v>0.9</v>
      </c>
      <c r="L1111" s="36">
        <f>VLOOKUP(H1111,[2]character_type_i18n!$A:$F,6,FALSE)</f>
        <v>1</v>
      </c>
      <c r="M1111" s="9" t="str">
        <f>VLOOKUP(A1111,[2]characters!$A:$M,13,FALSE)</f>
        <v>academia</v>
      </c>
      <c r="N1111" s="14" t="str">
        <f>VLOOKUP(M1111,[2]character_tribe_i18n!$A:$F,3,FALSE)</f>
        <v>アカデミア</v>
      </c>
      <c r="O1111" s="24">
        <f>VLOOKUP(M1111,[2]character_tribe_i18n!$A:$F,4,FALSE)</f>
        <v>1</v>
      </c>
      <c r="P1111" s="24">
        <f>VLOOKUP(M1111,[2]character_tribe_i18n!$A:$F,5,FALSE)</f>
        <v>1</v>
      </c>
      <c r="Q1111" s="24">
        <f>VLOOKUP(M1111,[2]character_tribe_i18n!$A:$F,6,FALSE)</f>
        <v>1</v>
      </c>
      <c r="R1111" s="25" t="s">
        <v>98</v>
      </c>
      <c r="S1111" s="24">
        <f>VLOOKUP($R1111,ラベル別係数!$A$1:$E$7,3,FALSE)</f>
        <v>5</v>
      </c>
      <c r="T1111" s="24">
        <f>VLOOKUP($R1111,ラベル別係数!$A$1:$E$7,4,FALSE)</f>
        <v>1.3</v>
      </c>
      <c r="U1111" s="24">
        <f>VLOOKUP($R1111,ラベル別係数!$A$1:$E$7,5,FALSE)</f>
        <v>0.8</v>
      </c>
      <c r="V1111" s="27">
        <v>3</v>
      </c>
      <c r="W1111" s="28">
        <f>VLOOKUP(V1111,ターン数別攻撃係数!$A$1:$B$1000,2,FALSE)</f>
        <v>1</v>
      </c>
      <c r="X1111" s="9">
        <f>VLOOKUP(C1111,サイズ別係数!A$2:B$9,2,FALSE)</f>
        <v>60</v>
      </c>
      <c r="Y1111" s="26">
        <f>VLOOKUP($X1111,サイズ別係数!$B:$E,2,FALSE)</f>
        <v>1.7</v>
      </c>
      <c r="Z1111" s="26">
        <f>VLOOKUP($X1111,サイズ別係数!$B:$E,3,FALSE)</f>
        <v>1.4</v>
      </c>
      <c r="AA1111" s="26">
        <f>VLOOKUP($X1111,サイズ別係数!$B:$E,4,FALSE)</f>
        <v>1</v>
      </c>
      <c r="AB1111" s="5">
        <v>0</v>
      </c>
      <c r="AC1111" s="34" t="str">
        <f ca="1">VLOOKUP($AB1111,OFFSET([3]enemy_skill_sets!$B$2,0,0,COUNTA([3]enemy_skill_sets!$A:$A),MATCH(AC$1,[3]enemy_skill_sets!$1:$1,0)-MATCH($AB$1,[3]enemy_skill_sets!$1:$1,0)+1),MATCH(AC$1,[3]enemy_skill_sets!$1:$1,0)-MATCH($AB$1,[3]enemy_skill_sets!$1:$1,0)+1,FALSE)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1" s="67">
        <v>1</v>
      </c>
      <c r="AE1111" s="67">
        <v>1</v>
      </c>
      <c r="AF1111" s="37">
        <v>0</v>
      </c>
      <c r="AG1111" s="99">
        <f>ROUND(VLOOKUP(1,enemy_base_stats!$A:$F,2,FALSE) * Y1111* J1111*O1111*E1111*S1111*AD1111*[2]ステータス!$B$2,0)</f>
        <v>3825</v>
      </c>
      <c r="AH1111" s="99">
        <f>ROUND(VLOOKUP(1,enemy_base_stats!$A:$F,3,FALSE) * Z1111*K1111*P1111*F1111*T1111*AE1111 * W1111*[2]ステータス!$C$2,0)</f>
        <v>251</v>
      </c>
      <c r="AI1111" s="99">
        <f>ROUND(VLOOKUP(1,enemy_base_stats!$A:$F,4,FALSE) * AA1111*L1111*Q1111*G1111*U1111*AF1111*[2]ステータス!$D$2,0)</f>
        <v>0</v>
      </c>
      <c r="AJ1111" s="99">
        <f>ROUND(VLOOKUP(100,enemy_base_stats!$A:$F,2,FALSE) * Y1111* J1111*O1111*E1111*S1111*AD1111*[2]ステータス!$B$2,0)</f>
        <v>155295</v>
      </c>
      <c r="AK1111" s="99">
        <f>ROUND(VLOOKUP(100,enemy_base_stats!$A:$F,3,FALSE)* Z1111* K1111*P1111*F1111*T1111*AE1111 * W1111*[2]ステータス!$C$2,0)</f>
        <v>10175</v>
      </c>
      <c r="AL1111" s="99">
        <f>ROUND(VLOOKUP(100,enemy_base_stats!$A:$F,4,FALSE)* AA1111* L1111*Q1111*G1111*U1111*AF1111*[2]ステータス!$D$2,0)</f>
        <v>0</v>
      </c>
      <c r="AM1111" s="97">
        <f>VLOOKUP(M1111,[2]character_tribe_i18n!$A:$I,9,FALSE)</f>
        <v>400</v>
      </c>
      <c r="AN1111" s="36">
        <v>0</v>
      </c>
      <c r="AO1111" s="53">
        <v>0</v>
      </c>
      <c r="AP1111" s="58" t="s">
        <v>72</v>
      </c>
      <c r="AQ1111" s="71">
        <f t="shared" si="60"/>
        <v>1110</v>
      </c>
    </row>
    <row r="1112" spans="1:43" ht="21" customHeight="1" x14ac:dyDescent="0.15">
      <c r="A1112" s="7">
        <v>1111</v>
      </c>
      <c r="B1112" s="6" t="str">
        <f>VLOOKUP(A1112,[2]characters!$A:$C,3,FALSE)</f>
        <v>ウィグナー</v>
      </c>
      <c r="C1112" s="9">
        <f>VLOOKUP(A1112,[2]characters!$A:$I,9,FALSE)</f>
        <v>5</v>
      </c>
      <c r="D1112" s="9" t="str">
        <f>VLOOKUP(A1112,[2]characters!$A:$H,8,FALSE)</f>
        <v>blue</v>
      </c>
      <c r="E1112" s="24">
        <f>VLOOKUP(D1112,[2]属性!$A:$E,2,FALSE)</f>
        <v>1</v>
      </c>
      <c r="F1112" s="24">
        <f>VLOOKUP(D1112,[2]属性!$A:$E,3,FALSE)</f>
        <v>0.98</v>
      </c>
      <c r="G1112" s="24">
        <f>VLOOKUP(D1112,[2]属性!$A:$F,4,FALSE)</f>
        <v>1</v>
      </c>
      <c r="H1112" s="9" t="str">
        <f>VLOOKUP(A1112,[2]characters!$A:$K,11,FALSE)</f>
        <v>attack</v>
      </c>
      <c r="I1112" s="14" t="str">
        <f>VLOOKUP(H1112,[2]character_type_i18n!$A:$F,3,FALSE)</f>
        <v>攻撃タイプ</v>
      </c>
      <c r="J1112" s="36">
        <f>VLOOKUP(H1112,[2]character_type_i18n!$A:$F,4,FALSE)</f>
        <v>1</v>
      </c>
      <c r="K1112" s="36">
        <f>VLOOKUP(H1112,[2]character_type_i18n!$A:$F,5,FALSE)</f>
        <v>1.33</v>
      </c>
      <c r="L1112" s="36">
        <f>VLOOKUP(H1112,[2]character_type_i18n!$A:$F,6,FALSE)</f>
        <v>1</v>
      </c>
      <c r="M1112" s="9" t="str">
        <f>VLOOKUP(A1112,[2]characters!$A:$M,13,FALSE)</f>
        <v>academia</v>
      </c>
      <c r="N1112" s="14" t="str">
        <f>VLOOKUP(M1112,[2]character_tribe_i18n!$A:$F,3,FALSE)</f>
        <v>アカデミア</v>
      </c>
      <c r="O1112" s="24">
        <f>VLOOKUP(M1112,[2]character_tribe_i18n!$A:$F,4,FALSE)</f>
        <v>1</v>
      </c>
      <c r="P1112" s="24">
        <f>VLOOKUP(M1112,[2]character_tribe_i18n!$A:$F,5,FALSE)</f>
        <v>1</v>
      </c>
      <c r="Q1112" s="24">
        <f>VLOOKUP(M1112,[2]character_tribe_i18n!$A:$F,6,FALSE)</f>
        <v>1</v>
      </c>
      <c r="R1112" s="25" t="s">
        <v>98</v>
      </c>
      <c r="S1112" s="24">
        <f>VLOOKUP($R1112,ラベル別係数!$A$1:$E$7,3,FALSE)</f>
        <v>5</v>
      </c>
      <c r="T1112" s="24">
        <f>VLOOKUP($R1112,ラベル別係数!$A$1:$E$7,4,FALSE)</f>
        <v>1.3</v>
      </c>
      <c r="U1112" s="24">
        <f>VLOOKUP($R1112,ラベル別係数!$A$1:$E$7,5,FALSE)</f>
        <v>0.8</v>
      </c>
      <c r="V1112" s="27">
        <v>3</v>
      </c>
      <c r="W1112" s="28">
        <f>VLOOKUP(V1112,ターン数別攻撃係数!$A$1:$B$1000,2,FALSE)</f>
        <v>1</v>
      </c>
      <c r="X1112" s="9">
        <f>VLOOKUP(C1112,サイズ別係数!A$2:B$9,2,FALSE)</f>
        <v>60</v>
      </c>
      <c r="Y1112" s="26">
        <f>VLOOKUP($X1112,サイズ別係数!$B:$E,2,FALSE)</f>
        <v>1.7</v>
      </c>
      <c r="Z1112" s="26">
        <f>VLOOKUP($X1112,サイズ別係数!$B:$E,3,FALSE)</f>
        <v>1.4</v>
      </c>
      <c r="AA1112" s="26">
        <f>VLOOKUP($X1112,サイズ別係数!$B:$E,4,FALSE)</f>
        <v>1</v>
      </c>
      <c r="AB1112" s="5">
        <v>0</v>
      </c>
      <c r="AC1112" s="34" t="str">
        <f ca="1">VLOOKUP($AB1112,OFFSET([3]enemy_skill_sets!$B$2,0,0,COUNTA([3]enemy_skill_sets!$A:$A),MATCH(AC$1,[3]enemy_skill_sets!$1:$1,0)-MATCH($AB$1,[3]enemy_skill_sets!$1:$1,0)+1),MATCH(AC$1,[3]enemy_skill_sets!$1:$1,0)-MATCH($AB$1,[3]enemy_skill_sets!$1:$1,0)+1,FALSE)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2" s="67">
        <v>1</v>
      </c>
      <c r="AE1112" s="67">
        <v>1</v>
      </c>
      <c r="AF1112" s="37">
        <v>0</v>
      </c>
      <c r="AG1112" s="99">
        <f>ROUND(VLOOKUP(1,enemy_base_stats!$A:$F,2,FALSE) * Y1112* J1112*O1112*E1112*S1112*AD1112*[2]ステータス!$B$2,0)</f>
        <v>4250</v>
      </c>
      <c r="AH1112" s="99">
        <f>ROUND(VLOOKUP(1,enemy_base_stats!$A:$F,3,FALSE) * Z1112*K1112*P1112*F1112*T1112*AE1112 * W1112*[2]ステータス!$C$2,0)</f>
        <v>356</v>
      </c>
      <c r="AI1112" s="99">
        <f>ROUND(VLOOKUP(1,enemy_base_stats!$A:$F,4,FALSE) * AA1112*L1112*Q1112*G1112*U1112*AF1112*[2]ステータス!$D$2,0)</f>
        <v>0</v>
      </c>
      <c r="AJ1112" s="99">
        <f>ROUND(VLOOKUP(100,enemy_base_stats!$A:$F,2,FALSE) * Y1112* J1112*O1112*E1112*S1112*AD1112*[2]ステータス!$B$2,0)</f>
        <v>172550</v>
      </c>
      <c r="AK1112" s="99">
        <f>ROUND(VLOOKUP(100,enemy_base_stats!$A:$F,3,FALSE)* Z1112* K1112*P1112*F1112*T1112*AE1112 * W1112*[2]ステータス!$C$2,0)</f>
        <v>14447</v>
      </c>
      <c r="AL1112" s="99">
        <f>ROUND(VLOOKUP(100,enemy_base_stats!$A:$F,4,FALSE)* AA1112* L1112*Q1112*G1112*U1112*AF1112*[2]ステータス!$D$2,0)</f>
        <v>0</v>
      </c>
      <c r="AM1112" s="97">
        <f>VLOOKUP(M1112,[2]character_tribe_i18n!$A:$I,9,FALSE)</f>
        <v>400</v>
      </c>
      <c r="AN1112" s="36">
        <v>0</v>
      </c>
      <c r="AO1112" s="53">
        <v>0</v>
      </c>
      <c r="AP1112" s="58" t="s">
        <v>72</v>
      </c>
      <c r="AQ1112" s="71">
        <f t="shared" si="60"/>
        <v>1111</v>
      </c>
    </row>
    <row r="1113" spans="1:43" ht="21" customHeight="1" x14ac:dyDescent="0.15">
      <c r="A1113" s="7">
        <v>1112</v>
      </c>
      <c r="B1113" s="6" t="str">
        <f>VLOOKUP(A1113,[2]characters!$A:$C,3,FALSE)</f>
        <v>正統なる傑晶 ウィグナー</v>
      </c>
      <c r="C1113" s="9">
        <f>VLOOKUP(A1113,[2]characters!$A:$I,9,FALSE)</f>
        <v>6</v>
      </c>
      <c r="D1113" s="9" t="str">
        <f>VLOOKUP(A1113,[2]characters!$A:$H,8,FALSE)</f>
        <v>blue</v>
      </c>
      <c r="E1113" s="24">
        <f>VLOOKUP(D1113,[2]属性!$A:$E,2,FALSE)</f>
        <v>1</v>
      </c>
      <c r="F1113" s="24">
        <f>VLOOKUP(D1113,[2]属性!$A:$E,3,FALSE)</f>
        <v>0.98</v>
      </c>
      <c r="G1113" s="24">
        <f>VLOOKUP(D1113,[2]属性!$A:$F,4,FALSE)</f>
        <v>1</v>
      </c>
      <c r="H1113" s="9" t="str">
        <f>VLOOKUP(A1113,[2]characters!$A:$K,11,FALSE)</f>
        <v>attack</v>
      </c>
      <c r="I1113" s="14" t="str">
        <f>VLOOKUP(H1113,[2]character_type_i18n!$A:$F,3,FALSE)</f>
        <v>攻撃タイプ</v>
      </c>
      <c r="J1113" s="36">
        <f>VLOOKUP(H1113,[2]character_type_i18n!$A:$F,4,FALSE)</f>
        <v>1</v>
      </c>
      <c r="K1113" s="36">
        <f>VLOOKUP(H1113,[2]character_type_i18n!$A:$F,5,FALSE)</f>
        <v>1.33</v>
      </c>
      <c r="L1113" s="36">
        <f>VLOOKUP(H1113,[2]character_type_i18n!$A:$F,6,FALSE)</f>
        <v>1</v>
      </c>
      <c r="M1113" s="9" t="str">
        <f>VLOOKUP(A1113,[2]characters!$A:$M,13,FALSE)</f>
        <v>academia</v>
      </c>
      <c r="N1113" s="14" t="str">
        <f>VLOOKUP(M1113,[2]character_tribe_i18n!$A:$F,3,FALSE)</f>
        <v>アカデミア</v>
      </c>
      <c r="O1113" s="24">
        <f>VLOOKUP(M1113,[2]character_tribe_i18n!$A:$F,4,FALSE)</f>
        <v>1</v>
      </c>
      <c r="P1113" s="24">
        <f>VLOOKUP(M1113,[2]character_tribe_i18n!$A:$F,5,FALSE)</f>
        <v>1</v>
      </c>
      <c r="Q1113" s="24">
        <f>VLOOKUP(M1113,[2]character_tribe_i18n!$A:$F,6,FALSE)</f>
        <v>1</v>
      </c>
      <c r="R1113" s="25" t="s">
        <v>98</v>
      </c>
      <c r="S1113" s="24">
        <f>VLOOKUP($R1113,ラベル別係数!$A$1:$E$7,3,FALSE)</f>
        <v>5</v>
      </c>
      <c r="T1113" s="24">
        <f>VLOOKUP($R1113,ラベル別係数!$A$1:$E$7,4,FALSE)</f>
        <v>1.3</v>
      </c>
      <c r="U1113" s="24">
        <f>VLOOKUP($R1113,ラベル別係数!$A$1:$E$7,5,FALSE)</f>
        <v>0.8</v>
      </c>
      <c r="V1113" s="27">
        <v>3</v>
      </c>
      <c r="W1113" s="28">
        <f>VLOOKUP(V1113,ターン数別攻撃係数!$A$1:$B$1000,2,FALSE)</f>
        <v>1</v>
      </c>
      <c r="X1113" s="9">
        <f>VLOOKUP(C1113,サイズ別係数!A$2:B$9,2,FALSE)</f>
        <v>60</v>
      </c>
      <c r="Y1113" s="26">
        <f>VLOOKUP($X1113,サイズ別係数!$B:$E,2,FALSE)</f>
        <v>1.7</v>
      </c>
      <c r="Z1113" s="26">
        <f>VLOOKUP($X1113,サイズ別係数!$B:$E,3,FALSE)</f>
        <v>1.4</v>
      </c>
      <c r="AA1113" s="26">
        <f>VLOOKUP($X1113,サイズ別係数!$B:$E,4,FALSE)</f>
        <v>1</v>
      </c>
      <c r="AB1113" s="5">
        <v>0</v>
      </c>
      <c r="AC1113" s="34" t="str">
        <f ca="1">VLOOKUP($AB1113,OFFSET([3]enemy_skill_sets!$B$2,0,0,COUNTA([3]enemy_skill_sets!$A:$A),MATCH(AC$1,[3]enemy_skill_sets!$1:$1,0)-MATCH($AB$1,[3]enemy_skill_sets!$1:$1,0)+1),MATCH(AC$1,[3]enemy_skill_sets!$1:$1,0)-MATCH($AB$1,[3]enemy_skill_sets!$1:$1,0)+1,FALSE)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3" s="67">
        <v>1</v>
      </c>
      <c r="AE1113" s="67">
        <v>1</v>
      </c>
      <c r="AF1113" s="37">
        <v>0</v>
      </c>
      <c r="AG1113" s="99">
        <f>ROUND(VLOOKUP(1,enemy_base_stats!$A:$F,2,FALSE) * Y1113* J1113*O1113*E1113*S1113*AD1113*[2]ステータス!$B$2,0)</f>
        <v>4250</v>
      </c>
      <c r="AH1113" s="99">
        <f>ROUND(VLOOKUP(1,enemy_base_stats!$A:$F,3,FALSE) * Z1113*K1113*P1113*F1113*T1113*AE1113 * W1113*[2]ステータス!$C$2,0)</f>
        <v>356</v>
      </c>
      <c r="AI1113" s="99">
        <f>ROUND(VLOOKUP(1,enemy_base_stats!$A:$F,4,FALSE) * AA1113*L1113*Q1113*G1113*U1113*AF1113*[2]ステータス!$D$2,0)</f>
        <v>0</v>
      </c>
      <c r="AJ1113" s="99">
        <f>ROUND(VLOOKUP(100,enemy_base_stats!$A:$F,2,FALSE) * Y1113* J1113*O1113*E1113*S1113*AD1113*[2]ステータス!$B$2,0)</f>
        <v>172550</v>
      </c>
      <c r="AK1113" s="99">
        <f>ROUND(VLOOKUP(100,enemy_base_stats!$A:$F,3,FALSE)* Z1113* K1113*P1113*F1113*T1113*AE1113 * W1113*[2]ステータス!$C$2,0)</f>
        <v>14447</v>
      </c>
      <c r="AL1113" s="99">
        <f>ROUND(VLOOKUP(100,enemy_base_stats!$A:$F,4,FALSE)* AA1113* L1113*Q1113*G1113*U1113*AF1113*[2]ステータス!$D$2,0)</f>
        <v>0</v>
      </c>
      <c r="AM1113" s="97">
        <f>VLOOKUP(M1113,[2]character_tribe_i18n!$A:$I,9,FALSE)</f>
        <v>400</v>
      </c>
      <c r="AN1113" s="36">
        <v>0</v>
      </c>
      <c r="AO1113" s="53">
        <v>0</v>
      </c>
      <c r="AP1113" s="58" t="s">
        <v>72</v>
      </c>
      <c r="AQ1113" s="71">
        <f t="shared" si="60"/>
        <v>1112</v>
      </c>
    </row>
    <row r="1114" spans="1:43" ht="21" customHeight="1" x14ac:dyDescent="0.15">
      <c r="A1114" s="7">
        <v>1113</v>
      </c>
      <c r="B1114" s="6" t="str">
        <f>VLOOKUP(A1114,[2]characters!$A:$C,3,FALSE)</f>
        <v>聖結たる輝晶獣 ウィグナー</v>
      </c>
      <c r="C1114" s="9">
        <f>VLOOKUP(A1114,[2]characters!$A:$I,9,FALSE)</f>
        <v>6</v>
      </c>
      <c r="D1114" s="9" t="str">
        <f>VLOOKUP(A1114,[2]characters!$A:$H,8,FALSE)</f>
        <v>blue</v>
      </c>
      <c r="E1114" s="24">
        <f>VLOOKUP(D1114,[2]属性!$A:$E,2,FALSE)</f>
        <v>1</v>
      </c>
      <c r="F1114" s="24">
        <f>VLOOKUP(D1114,[2]属性!$A:$E,3,FALSE)</f>
        <v>0.98</v>
      </c>
      <c r="G1114" s="24">
        <f>VLOOKUP(D1114,[2]属性!$A:$F,4,FALSE)</f>
        <v>1</v>
      </c>
      <c r="H1114" s="9" t="str">
        <f>VLOOKUP(A1114,[2]characters!$A:$K,11,FALSE)</f>
        <v>balance</v>
      </c>
      <c r="I1114" s="14" t="str">
        <f>VLOOKUP(H1114,[2]character_type_i18n!$A:$F,3,FALSE)</f>
        <v>バランスタイプ</v>
      </c>
      <c r="J1114" s="36">
        <f>VLOOKUP(H1114,[2]character_type_i18n!$A:$F,4,FALSE)</f>
        <v>1</v>
      </c>
      <c r="K1114" s="36">
        <f>VLOOKUP(H1114,[2]character_type_i18n!$A:$F,5,FALSE)</f>
        <v>1</v>
      </c>
      <c r="L1114" s="36">
        <f>VLOOKUP(H1114,[2]character_type_i18n!$A:$F,6,FALSE)</f>
        <v>1</v>
      </c>
      <c r="M1114" s="9" t="str">
        <f>VLOOKUP(A1114,[2]characters!$A:$M,13,FALSE)</f>
        <v>academia</v>
      </c>
      <c r="N1114" s="14" t="str">
        <f>VLOOKUP(M1114,[2]character_tribe_i18n!$A:$F,3,FALSE)</f>
        <v>アカデミア</v>
      </c>
      <c r="O1114" s="24">
        <f>VLOOKUP(M1114,[2]character_tribe_i18n!$A:$F,4,FALSE)</f>
        <v>1</v>
      </c>
      <c r="P1114" s="24">
        <f>VLOOKUP(M1114,[2]character_tribe_i18n!$A:$F,5,FALSE)</f>
        <v>1</v>
      </c>
      <c r="Q1114" s="24">
        <f>VLOOKUP(M1114,[2]character_tribe_i18n!$A:$F,6,FALSE)</f>
        <v>1</v>
      </c>
      <c r="R1114" s="25" t="s">
        <v>98</v>
      </c>
      <c r="S1114" s="24">
        <f>VLOOKUP($R1114,ラベル別係数!$A$1:$E$7,3,FALSE)</f>
        <v>5</v>
      </c>
      <c r="T1114" s="24">
        <f>VLOOKUP($R1114,ラベル別係数!$A$1:$E$7,4,FALSE)</f>
        <v>1.3</v>
      </c>
      <c r="U1114" s="24">
        <f>VLOOKUP($R1114,ラベル別係数!$A$1:$E$7,5,FALSE)</f>
        <v>0.8</v>
      </c>
      <c r="V1114" s="27">
        <v>3</v>
      </c>
      <c r="W1114" s="28">
        <f>VLOOKUP(V1114,ターン数別攻撃係数!$A$1:$B$1000,2,FALSE)</f>
        <v>1</v>
      </c>
      <c r="X1114" s="9">
        <f>VLOOKUP(C1114,サイズ別係数!A$2:B$9,2,FALSE)</f>
        <v>60</v>
      </c>
      <c r="Y1114" s="26">
        <f>VLOOKUP($X1114,サイズ別係数!$B:$E,2,FALSE)</f>
        <v>1.7</v>
      </c>
      <c r="Z1114" s="26">
        <f>VLOOKUP($X1114,サイズ別係数!$B:$E,3,FALSE)</f>
        <v>1.4</v>
      </c>
      <c r="AA1114" s="26">
        <f>VLOOKUP($X1114,サイズ別係数!$B:$E,4,FALSE)</f>
        <v>1</v>
      </c>
      <c r="AB1114" s="5">
        <v>0</v>
      </c>
      <c r="AC1114" s="34" t="str">
        <f ca="1">VLOOKUP($AB1114,OFFSET([3]enemy_skill_sets!$B$2,0,0,COUNTA([3]enemy_skill_sets!$A:$A),MATCH(AC$1,[3]enemy_skill_sets!$1:$1,0)-MATCH($AB$1,[3]enemy_skill_sets!$1:$1,0)+1),MATCH(AC$1,[3]enemy_skill_sets!$1:$1,0)-MATCH($AB$1,[3]enemy_skill_sets!$1:$1,0)+1,FALSE)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4" s="67">
        <v>1</v>
      </c>
      <c r="AE1114" s="67">
        <v>1</v>
      </c>
      <c r="AF1114" s="37">
        <v>0</v>
      </c>
      <c r="AG1114" s="99">
        <f>ROUND(VLOOKUP(1,enemy_base_stats!$A:$F,2,FALSE) * Y1114* J1114*O1114*E1114*S1114*AD1114*[2]ステータス!$B$2,0)</f>
        <v>4250</v>
      </c>
      <c r="AH1114" s="99">
        <f>ROUND(VLOOKUP(1,enemy_base_stats!$A:$F,3,FALSE) * Z1114*K1114*P1114*F1114*T1114*AE1114 * W1114*[2]ステータス!$C$2,0)</f>
        <v>268</v>
      </c>
      <c r="AI1114" s="99">
        <f>ROUND(VLOOKUP(1,enemy_base_stats!$A:$F,4,FALSE) * AA1114*L1114*Q1114*G1114*U1114*AF1114*[2]ステータス!$D$2,0)</f>
        <v>0</v>
      </c>
      <c r="AJ1114" s="99">
        <f>ROUND(VLOOKUP(100,enemy_base_stats!$A:$F,2,FALSE) * Y1114* J1114*O1114*E1114*S1114*AD1114*[2]ステータス!$B$2,0)</f>
        <v>172550</v>
      </c>
      <c r="AK1114" s="99">
        <f>ROUND(VLOOKUP(100,enemy_base_stats!$A:$F,3,FALSE)* Z1114* K1114*P1114*F1114*T1114*AE1114 * W1114*[2]ステータス!$C$2,0)</f>
        <v>10862</v>
      </c>
      <c r="AL1114" s="99">
        <f>ROUND(VLOOKUP(100,enemy_base_stats!$A:$F,4,FALSE)* AA1114* L1114*Q1114*G1114*U1114*AF1114*[2]ステータス!$D$2,0)</f>
        <v>0</v>
      </c>
      <c r="AM1114" s="97">
        <f>VLOOKUP(M1114,[2]character_tribe_i18n!$A:$I,9,FALSE)</f>
        <v>400</v>
      </c>
      <c r="AN1114" s="36">
        <v>0</v>
      </c>
      <c r="AO1114" s="53">
        <v>0</v>
      </c>
      <c r="AP1114" s="58" t="s">
        <v>72</v>
      </c>
      <c r="AQ1114" s="71">
        <f t="shared" si="60"/>
        <v>1113</v>
      </c>
    </row>
    <row r="1115" spans="1:43" ht="21" customHeight="1" x14ac:dyDescent="0.15">
      <c r="A1115" s="7">
        <v>1114</v>
      </c>
      <c r="B1115" s="6" t="str">
        <f>VLOOKUP(A1115,[2]characters!$A:$C,3,FALSE)</f>
        <v>ボナンザ</v>
      </c>
      <c r="C1115" s="9">
        <f>VLOOKUP(A1115,[2]characters!$A:$I,9,FALSE)</f>
        <v>5</v>
      </c>
      <c r="D1115" s="9" t="str">
        <f>VLOOKUP(A1115,[2]characters!$A:$H,8,FALSE)</f>
        <v>green</v>
      </c>
      <c r="E1115" s="24">
        <f>VLOOKUP(D1115,[2]属性!$A:$E,2,FALSE)</f>
        <v>1.02</v>
      </c>
      <c r="F1115" s="24">
        <f>VLOOKUP(D1115,[2]属性!$A:$E,3,FALSE)</f>
        <v>0.98</v>
      </c>
      <c r="G1115" s="24">
        <f>VLOOKUP(D1115,[2]属性!$A:$F,4,FALSE)</f>
        <v>1</v>
      </c>
      <c r="H1115" s="9" t="str">
        <f>VLOOKUP(A1115,[2]characters!$A:$K,11,FALSE)</f>
        <v>technical</v>
      </c>
      <c r="I1115" s="14" t="str">
        <f>VLOOKUP(H1115,[2]character_type_i18n!$A:$F,3,FALSE)</f>
        <v>テクニカルタイプ</v>
      </c>
      <c r="J1115" s="36">
        <f>VLOOKUP(H1115,[2]character_type_i18n!$A:$F,4,FALSE)</f>
        <v>0.9</v>
      </c>
      <c r="K1115" s="36">
        <f>VLOOKUP(H1115,[2]character_type_i18n!$A:$F,5,FALSE)</f>
        <v>0.9</v>
      </c>
      <c r="L1115" s="36">
        <f>VLOOKUP(H1115,[2]character_type_i18n!$A:$F,6,FALSE)</f>
        <v>1</v>
      </c>
      <c r="M1115" s="100" t="s">
        <v>163</v>
      </c>
      <c r="N1115" s="14" t="str">
        <f>VLOOKUP(M1115,[2]character_tribe_i18n!$A:$F,3,FALSE)</f>
        <v>アニマル</v>
      </c>
      <c r="O1115" s="24">
        <f>VLOOKUP(M1115,[2]character_tribe_i18n!$A:$F,4,FALSE)</f>
        <v>1</v>
      </c>
      <c r="P1115" s="24">
        <f>VLOOKUP(M1115,[2]character_tribe_i18n!$A:$F,5,FALSE)</f>
        <v>1.1000000000000001</v>
      </c>
      <c r="Q1115" s="24">
        <f>VLOOKUP(M1115,[2]character_tribe_i18n!$A:$F,6,FALSE)</f>
        <v>1</v>
      </c>
      <c r="R1115" s="25" t="s">
        <v>98</v>
      </c>
      <c r="S1115" s="24">
        <f>VLOOKUP($R1115,ラベル別係数!$A$1:$E$7,3,FALSE)</f>
        <v>5</v>
      </c>
      <c r="T1115" s="24">
        <f>VLOOKUP($R1115,ラベル別係数!$A$1:$E$7,4,FALSE)</f>
        <v>1.3</v>
      </c>
      <c r="U1115" s="24">
        <f>VLOOKUP($R1115,ラベル別係数!$A$1:$E$7,5,FALSE)</f>
        <v>0.8</v>
      </c>
      <c r="V1115" s="27">
        <v>3</v>
      </c>
      <c r="W1115" s="28">
        <f>VLOOKUP(V1115,ターン数別攻撃係数!$A$1:$B$1000,2,FALSE)</f>
        <v>1</v>
      </c>
      <c r="X1115" s="9">
        <f>VLOOKUP(C1115,サイズ別係数!A$2:B$9,2,FALSE)</f>
        <v>60</v>
      </c>
      <c r="Y1115" s="26">
        <f>VLOOKUP($X1115,サイズ別係数!$B:$E,2,FALSE)</f>
        <v>1.7</v>
      </c>
      <c r="Z1115" s="26">
        <f>VLOOKUP($X1115,サイズ別係数!$B:$E,3,FALSE)</f>
        <v>1.4</v>
      </c>
      <c r="AA1115" s="26">
        <f>VLOOKUP($X1115,サイズ別係数!$B:$E,4,FALSE)</f>
        <v>1</v>
      </c>
      <c r="AB1115" s="5">
        <v>0</v>
      </c>
      <c r="AC1115" s="34" t="str">
        <f ca="1">VLOOKUP($AB1115,OFFSET([3]enemy_skill_sets!$B$2,0,0,COUNTA([3]enemy_skill_sets!$A:$A),MATCH(AC$1,[3]enemy_skill_sets!$1:$1,0)-MATCH($AB$1,[3]enemy_skill_sets!$1:$1,0)+1),MATCH(AC$1,[3]enemy_skill_sets!$1:$1,0)-MATCH($AB$1,[3]enemy_skill_sets!$1:$1,0)+1,FALSE)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5" s="67">
        <v>1</v>
      </c>
      <c r="AE1115" s="67">
        <v>1</v>
      </c>
      <c r="AF1115" s="37">
        <v>0</v>
      </c>
      <c r="AG1115" s="99">
        <f>ROUND(VLOOKUP(1,enemy_base_stats!$A:$F,2,FALSE) * Y1115* J1115*O1115*E1115*S1115*AD1115*[2]ステータス!$B$2,0)</f>
        <v>3902</v>
      </c>
      <c r="AH1115" s="99">
        <f>ROUND(VLOOKUP(1,enemy_base_stats!$A:$F,3,FALSE) * Z1115*K1115*P1115*F1115*T1115*AE1115 * W1115*[2]ステータス!$C$2,0)</f>
        <v>265</v>
      </c>
      <c r="AI1115" s="99">
        <f>ROUND(VLOOKUP(1,enemy_base_stats!$A:$F,4,FALSE) * AA1115*L1115*Q1115*G1115*U1115*AF1115*[2]ステータス!$D$2,0)</f>
        <v>0</v>
      </c>
      <c r="AJ1115" s="99">
        <f>ROUND(VLOOKUP(100,enemy_base_stats!$A:$F,2,FALSE) * Y1115* J1115*O1115*E1115*S1115*AD1115*[2]ステータス!$B$2,0)</f>
        <v>158401</v>
      </c>
      <c r="AK1115" s="99">
        <f>ROUND(VLOOKUP(100,enemy_base_stats!$A:$F,3,FALSE)* Z1115* K1115*P1115*F1115*T1115*AE1115 * W1115*[2]ステータス!$C$2,0)</f>
        <v>10754</v>
      </c>
      <c r="AL1115" s="99">
        <f>ROUND(VLOOKUP(100,enemy_base_stats!$A:$F,4,FALSE)* AA1115* L1115*Q1115*G1115*U1115*AF1115*[2]ステータス!$D$2,0)</f>
        <v>0</v>
      </c>
      <c r="AM1115" s="97">
        <f>VLOOKUP(M1115,[2]character_tribe_i18n!$A:$I,9,FALSE)</f>
        <v>480</v>
      </c>
      <c r="AN1115" s="36">
        <v>0</v>
      </c>
      <c r="AO1115" s="53">
        <v>0</v>
      </c>
      <c r="AP1115" s="58" t="s">
        <v>72</v>
      </c>
      <c r="AQ1115" s="71">
        <f t="shared" ref="AQ1115:AQ1132" si="61">A1115</f>
        <v>1114</v>
      </c>
    </row>
    <row r="1116" spans="1:43" ht="21" customHeight="1" x14ac:dyDescent="0.15">
      <c r="A1116" s="7">
        <v>1115</v>
      </c>
      <c r="B1116" s="6" t="str">
        <f>VLOOKUP(A1116,[2]characters!$A:$C,3,FALSE)</f>
        <v>アヴァルシアの女王 ボナンザ</v>
      </c>
      <c r="C1116" s="9">
        <f>VLOOKUP(A1116,[2]characters!$A:$I,9,FALSE)</f>
        <v>6</v>
      </c>
      <c r="D1116" s="9" t="str">
        <f>VLOOKUP(A1116,[2]characters!$A:$H,8,FALSE)</f>
        <v>green</v>
      </c>
      <c r="E1116" s="24">
        <f>VLOOKUP(D1116,[2]属性!$A:$E,2,FALSE)</f>
        <v>1.02</v>
      </c>
      <c r="F1116" s="24">
        <f>VLOOKUP(D1116,[2]属性!$A:$E,3,FALSE)</f>
        <v>0.98</v>
      </c>
      <c r="G1116" s="24">
        <f>VLOOKUP(D1116,[2]属性!$A:$F,4,FALSE)</f>
        <v>1</v>
      </c>
      <c r="H1116" s="9" t="str">
        <f>VLOOKUP(A1116,[2]characters!$A:$K,11,FALSE)</f>
        <v>technical</v>
      </c>
      <c r="I1116" s="14" t="str">
        <f>VLOOKUP(H1116,[2]character_type_i18n!$A:$F,3,FALSE)</f>
        <v>テクニカルタイプ</v>
      </c>
      <c r="J1116" s="36">
        <f>VLOOKUP(H1116,[2]character_type_i18n!$A:$F,4,FALSE)</f>
        <v>0.9</v>
      </c>
      <c r="K1116" s="36">
        <f>VLOOKUP(H1116,[2]character_type_i18n!$A:$F,5,FALSE)</f>
        <v>0.9</v>
      </c>
      <c r="L1116" s="36">
        <f>VLOOKUP(H1116,[2]character_type_i18n!$A:$F,6,FALSE)</f>
        <v>1</v>
      </c>
      <c r="M1116" s="100" t="s">
        <v>164</v>
      </c>
      <c r="N1116" s="14" t="str">
        <f>VLOOKUP(M1116,[2]character_tribe_i18n!$A:$F,3,FALSE)</f>
        <v>アニマル</v>
      </c>
      <c r="O1116" s="24">
        <f>VLOOKUP(M1116,[2]character_tribe_i18n!$A:$F,4,FALSE)</f>
        <v>1</v>
      </c>
      <c r="P1116" s="24">
        <f>VLOOKUP(M1116,[2]character_tribe_i18n!$A:$F,5,FALSE)</f>
        <v>1.1000000000000001</v>
      </c>
      <c r="Q1116" s="24">
        <f>VLOOKUP(M1116,[2]character_tribe_i18n!$A:$F,6,FALSE)</f>
        <v>1</v>
      </c>
      <c r="R1116" s="25" t="s">
        <v>98</v>
      </c>
      <c r="S1116" s="24">
        <f>VLOOKUP($R1116,ラベル別係数!$A$1:$E$7,3,FALSE)</f>
        <v>5</v>
      </c>
      <c r="T1116" s="24">
        <f>VLOOKUP($R1116,ラベル別係数!$A$1:$E$7,4,FALSE)</f>
        <v>1.3</v>
      </c>
      <c r="U1116" s="24">
        <f>VLOOKUP($R1116,ラベル別係数!$A$1:$E$7,5,FALSE)</f>
        <v>0.8</v>
      </c>
      <c r="V1116" s="27">
        <v>3</v>
      </c>
      <c r="W1116" s="28">
        <f>VLOOKUP(V1116,ターン数別攻撃係数!$A$1:$B$1000,2,FALSE)</f>
        <v>1</v>
      </c>
      <c r="X1116" s="9">
        <f>VLOOKUP(C1116,サイズ別係数!A$2:B$9,2,FALSE)</f>
        <v>60</v>
      </c>
      <c r="Y1116" s="26">
        <f>VLOOKUP($X1116,サイズ別係数!$B:$E,2,FALSE)</f>
        <v>1.7</v>
      </c>
      <c r="Z1116" s="26">
        <f>VLOOKUP($X1116,サイズ別係数!$B:$E,3,FALSE)</f>
        <v>1.4</v>
      </c>
      <c r="AA1116" s="26">
        <f>VLOOKUP($X1116,サイズ別係数!$B:$E,4,FALSE)</f>
        <v>1</v>
      </c>
      <c r="AB1116" s="5">
        <v>0</v>
      </c>
      <c r="AC1116" s="34" t="str">
        <f ca="1">VLOOKUP($AB1116,OFFSET([3]enemy_skill_sets!$B$2,0,0,COUNTA([3]enemy_skill_sets!$A:$A),MATCH(AC$1,[3]enemy_skill_sets!$1:$1,0)-MATCH($AB$1,[3]enemy_skill_sets!$1:$1,0)+1),MATCH(AC$1,[3]enemy_skill_sets!$1:$1,0)-MATCH($AB$1,[3]enemy_skill_sets!$1:$1,0)+1,FALSE)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6" s="67">
        <v>1</v>
      </c>
      <c r="AE1116" s="67">
        <v>1</v>
      </c>
      <c r="AF1116" s="37">
        <v>0</v>
      </c>
      <c r="AG1116" s="99">
        <f>ROUND(VLOOKUP(1,enemy_base_stats!$A:$F,2,FALSE) * Y1116* J1116*O1116*E1116*S1116*AD1116*[2]ステータス!$B$2,0)</f>
        <v>3902</v>
      </c>
      <c r="AH1116" s="99">
        <f>ROUND(VLOOKUP(1,enemy_base_stats!$A:$F,3,FALSE) * Z1116*K1116*P1116*F1116*T1116*AE1116 * W1116*[2]ステータス!$C$2,0)</f>
        <v>265</v>
      </c>
      <c r="AI1116" s="99">
        <f>ROUND(VLOOKUP(1,enemy_base_stats!$A:$F,4,FALSE) * AA1116*L1116*Q1116*G1116*U1116*AF1116*[2]ステータス!$D$2,0)</f>
        <v>0</v>
      </c>
      <c r="AJ1116" s="99">
        <f>ROUND(VLOOKUP(100,enemy_base_stats!$A:$F,2,FALSE) * Y1116* J1116*O1116*E1116*S1116*AD1116*[2]ステータス!$B$2,0)</f>
        <v>158401</v>
      </c>
      <c r="AK1116" s="99">
        <f>ROUND(VLOOKUP(100,enemy_base_stats!$A:$F,3,FALSE)* Z1116* K1116*P1116*F1116*T1116*AE1116 * W1116*[2]ステータス!$C$2,0)</f>
        <v>10754</v>
      </c>
      <c r="AL1116" s="99">
        <f>ROUND(VLOOKUP(100,enemy_base_stats!$A:$F,4,FALSE)* AA1116* L1116*Q1116*G1116*U1116*AF1116*[2]ステータス!$D$2,0)</f>
        <v>0</v>
      </c>
      <c r="AM1116" s="97">
        <f>VLOOKUP(M1116,[2]character_tribe_i18n!$A:$I,9,FALSE)</f>
        <v>480</v>
      </c>
      <c r="AN1116" s="36">
        <v>0</v>
      </c>
      <c r="AO1116" s="53">
        <v>0</v>
      </c>
      <c r="AP1116" s="58" t="s">
        <v>72</v>
      </c>
      <c r="AQ1116" s="71">
        <f t="shared" si="61"/>
        <v>1115</v>
      </c>
    </row>
    <row r="1117" spans="1:43" ht="21" customHeight="1" x14ac:dyDescent="0.15">
      <c r="A1117" s="7">
        <v>1116</v>
      </c>
      <c r="B1117" s="6" t="str">
        <f>VLOOKUP(A1117,[2]characters!$A:$C,3,FALSE)</f>
        <v>天檄総氏神 アマテラス</v>
      </c>
      <c r="C1117" s="9">
        <f>VLOOKUP(A1117,[2]characters!$A:$I,9,FALSE)</f>
        <v>6</v>
      </c>
      <c r="D1117" s="9" t="str">
        <f>VLOOKUP(A1117,[2]characters!$A:$H,8,FALSE)</f>
        <v>red</v>
      </c>
      <c r="E1117" s="24">
        <f>VLOOKUP(D1117,[2]属性!$A:$E,2,FALSE)</f>
        <v>1</v>
      </c>
      <c r="F1117" s="24">
        <f>VLOOKUP(D1117,[2]属性!$A:$E,3,FALSE)</f>
        <v>1.02</v>
      </c>
      <c r="G1117" s="24">
        <f>VLOOKUP(D1117,[2]属性!$A:$F,4,FALSE)</f>
        <v>1</v>
      </c>
      <c r="H1117" s="9" t="str">
        <f>VLOOKUP(A1117,[2]characters!$A:$K,11,FALSE)</f>
        <v>attack</v>
      </c>
      <c r="I1117" s="14" t="str">
        <f>VLOOKUP(H1117,[2]character_type_i18n!$A:$F,3,FALSE)</f>
        <v>攻撃タイプ</v>
      </c>
      <c r="J1117" s="36">
        <f>VLOOKUP(H1117,[2]character_type_i18n!$A:$F,4,FALSE)</f>
        <v>1</v>
      </c>
      <c r="K1117" s="36">
        <f>VLOOKUP(H1117,[2]character_type_i18n!$A:$F,5,FALSE)</f>
        <v>1.33</v>
      </c>
      <c r="L1117" s="36">
        <f>VLOOKUP(H1117,[2]character_type_i18n!$A:$F,6,FALSE)</f>
        <v>1</v>
      </c>
      <c r="M1117" s="9" t="str">
        <f>VLOOKUP(A1117,[2]characters!$A:$M,13,FALSE)</f>
        <v>god</v>
      </c>
      <c r="N1117" s="14" t="str">
        <f>VLOOKUP(M1117,[2]character_tribe_i18n!$A:$F,3,FALSE)</f>
        <v>ゴッド</v>
      </c>
      <c r="O1117" s="24">
        <f>VLOOKUP(M1117,[2]character_tribe_i18n!$A:$F,4,FALSE)</f>
        <v>0.96</v>
      </c>
      <c r="P1117" s="24">
        <f>VLOOKUP(M1117,[2]character_tribe_i18n!$A:$F,5,FALSE)</f>
        <v>1.02</v>
      </c>
      <c r="Q1117" s="24">
        <f>VLOOKUP(M1117,[2]character_tribe_i18n!$A:$F,6,FALSE)</f>
        <v>1</v>
      </c>
      <c r="R1117" s="25" t="s">
        <v>98</v>
      </c>
      <c r="S1117" s="24">
        <f>VLOOKUP($R1117,ラベル別係数!$A$1:$E$7,3,FALSE)</f>
        <v>5</v>
      </c>
      <c r="T1117" s="24">
        <f>VLOOKUP($R1117,ラベル別係数!$A$1:$E$7,4,FALSE)</f>
        <v>1.3</v>
      </c>
      <c r="U1117" s="24">
        <f>VLOOKUP($R1117,ラベル別係数!$A$1:$E$7,5,FALSE)</f>
        <v>0.8</v>
      </c>
      <c r="V1117" s="27">
        <v>3</v>
      </c>
      <c r="W1117" s="28">
        <f>VLOOKUP(V1117,ターン数別攻撃係数!$A$1:$B$1000,2,FALSE)</f>
        <v>1</v>
      </c>
      <c r="X1117" s="9">
        <f>VLOOKUP(C1117,サイズ別係数!A$2:B$9,2,FALSE)</f>
        <v>60</v>
      </c>
      <c r="Y1117" s="26">
        <f>VLOOKUP($X1117,サイズ別係数!$B:$E,2,FALSE)</f>
        <v>1.7</v>
      </c>
      <c r="Z1117" s="26">
        <f>VLOOKUP($X1117,サイズ別係数!$B:$E,3,FALSE)</f>
        <v>1.4</v>
      </c>
      <c r="AA1117" s="26">
        <f>VLOOKUP($X1117,サイズ別係数!$B:$E,4,FALSE)</f>
        <v>1</v>
      </c>
      <c r="AB1117" s="5">
        <v>0</v>
      </c>
      <c r="AC1117" s="34" t="str">
        <f ca="1">VLOOKUP($AB1117,OFFSET([3]enemy_skill_sets!$B$2,0,0,COUNTA([3]enemy_skill_sets!$A:$A),MATCH(AC$1,[3]enemy_skill_sets!$1:$1,0)-MATCH($AB$1,[3]enemy_skill_sets!$1:$1,0)+1),MATCH(AC$1,[3]enemy_skill_sets!$1:$1,0)-MATCH($AB$1,[3]enemy_skill_sets!$1:$1,0)+1,FALSE)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7" s="67">
        <v>1</v>
      </c>
      <c r="AE1117" s="67">
        <v>1</v>
      </c>
      <c r="AF1117" s="37">
        <v>0</v>
      </c>
      <c r="AG1117" s="99">
        <f>ROUND(VLOOKUP(1,enemy_base_stats!$A:$F,2,FALSE) * Y1117* J1117*O1117*E1117*S1117*AD1117*[2]ステータス!$B$2,0)</f>
        <v>4080</v>
      </c>
      <c r="AH1117" s="99">
        <f>ROUND(VLOOKUP(1,enemy_base_stats!$A:$F,3,FALSE) * Z1117*K1117*P1117*F1117*T1117*AE1117 * W1117*[2]ステータス!$C$2,0)</f>
        <v>378</v>
      </c>
      <c r="AI1117" s="99">
        <f>ROUND(VLOOKUP(1,enemy_base_stats!$A:$F,4,FALSE) * AA1117*L1117*Q1117*G1117*U1117*AF1117*[2]ステータス!$D$2,0)</f>
        <v>0</v>
      </c>
      <c r="AJ1117" s="99">
        <f>ROUND(VLOOKUP(100,enemy_base_stats!$A:$F,2,FALSE) * Y1117* J1117*O1117*E1117*S1117*AD1117*[2]ステータス!$B$2,0)</f>
        <v>165648</v>
      </c>
      <c r="AK1117" s="99">
        <f>ROUND(VLOOKUP(100,enemy_base_stats!$A:$F,3,FALSE)* Z1117* K1117*P1117*F1117*T1117*AE1117 * W1117*[2]ステータス!$C$2,0)</f>
        <v>15337</v>
      </c>
      <c r="AL1117" s="99">
        <f>ROUND(VLOOKUP(100,enemy_base_stats!$A:$F,4,FALSE)* AA1117* L1117*Q1117*G1117*U1117*AF1117*[2]ステータス!$D$2,0)</f>
        <v>0</v>
      </c>
      <c r="AM1117" s="97">
        <f>VLOOKUP(M1117,[2]character_tribe_i18n!$A:$I,9,FALSE)</f>
        <v>680</v>
      </c>
      <c r="AN1117" s="36">
        <v>0</v>
      </c>
      <c r="AO1117" s="53">
        <v>0</v>
      </c>
      <c r="AP1117" s="58" t="s">
        <v>72</v>
      </c>
      <c r="AQ1117" s="71">
        <f t="shared" si="61"/>
        <v>1116</v>
      </c>
    </row>
    <row r="1118" spans="1:43" ht="21" customHeight="1" x14ac:dyDescent="0.15">
      <c r="A1118" s="7">
        <v>1117</v>
      </c>
      <c r="B1118" s="6" t="str">
        <f>VLOOKUP(A1118,[2]characters!$A:$C,3,FALSE)</f>
        <v>凶天慟地の覇腕 アザゼル</v>
      </c>
      <c r="C1118" s="9">
        <f>VLOOKUP(A1118,[2]characters!$A:$I,9,FALSE)</f>
        <v>6</v>
      </c>
      <c r="D1118" s="9" t="str">
        <f>VLOOKUP(A1118,[2]characters!$A:$H,8,FALSE)</f>
        <v>green</v>
      </c>
      <c r="E1118" s="24">
        <f>VLOOKUP(D1118,[2]属性!$A:$E,2,FALSE)</f>
        <v>1.02</v>
      </c>
      <c r="F1118" s="24">
        <f>VLOOKUP(D1118,[2]属性!$A:$E,3,FALSE)</f>
        <v>0.98</v>
      </c>
      <c r="G1118" s="24">
        <f>VLOOKUP(D1118,[2]属性!$A:$F,4,FALSE)</f>
        <v>1</v>
      </c>
      <c r="H1118" s="9" t="str">
        <f>VLOOKUP(A1118,[2]characters!$A:$K,11,FALSE)</f>
        <v>technical</v>
      </c>
      <c r="I1118" s="14" t="str">
        <f>VLOOKUP(H1118,[2]character_type_i18n!$A:$F,3,FALSE)</f>
        <v>テクニカルタイプ</v>
      </c>
      <c r="J1118" s="36">
        <f>VLOOKUP(H1118,[2]character_type_i18n!$A:$F,4,FALSE)</f>
        <v>0.9</v>
      </c>
      <c r="K1118" s="36">
        <f>VLOOKUP(H1118,[2]character_type_i18n!$A:$F,5,FALSE)</f>
        <v>0.9</v>
      </c>
      <c r="L1118" s="36">
        <f>VLOOKUP(H1118,[2]character_type_i18n!$A:$F,6,FALSE)</f>
        <v>1</v>
      </c>
      <c r="M1118" s="9" t="str">
        <f>VLOOKUP(A1118,[2]characters!$A:$M,13,FALSE)</f>
        <v>demon</v>
      </c>
      <c r="N1118" s="14" t="str">
        <f>VLOOKUP(M1118,[2]character_tribe_i18n!$A:$F,3,FALSE)</f>
        <v>デーモン</v>
      </c>
      <c r="O1118" s="24">
        <f>VLOOKUP(M1118,[2]character_tribe_i18n!$A:$F,4,FALSE)</f>
        <v>1</v>
      </c>
      <c r="P1118" s="24">
        <f>VLOOKUP(M1118,[2]character_tribe_i18n!$A:$F,5,FALSE)</f>
        <v>1</v>
      </c>
      <c r="Q1118" s="24">
        <f>VLOOKUP(M1118,[2]character_tribe_i18n!$A:$F,6,FALSE)</f>
        <v>1</v>
      </c>
      <c r="R1118" s="25" t="s">
        <v>98</v>
      </c>
      <c r="S1118" s="24">
        <f>VLOOKUP($R1118,ラベル別係数!$A$1:$E$7,3,FALSE)</f>
        <v>5</v>
      </c>
      <c r="T1118" s="24">
        <f>VLOOKUP($R1118,ラベル別係数!$A$1:$E$7,4,FALSE)</f>
        <v>1.3</v>
      </c>
      <c r="U1118" s="24">
        <f>VLOOKUP($R1118,ラベル別係数!$A$1:$E$7,5,FALSE)</f>
        <v>0.8</v>
      </c>
      <c r="V1118" s="27">
        <v>3</v>
      </c>
      <c r="W1118" s="28">
        <f>VLOOKUP(V1118,ターン数別攻撃係数!$A$1:$B$1000,2,FALSE)</f>
        <v>1</v>
      </c>
      <c r="X1118" s="9">
        <f>VLOOKUP(C1118,サイズ別係数!A$2:B$9,2,FALSE)</f>
        <v>60</v>
      </c>
      <c r="Y1118" s="26">
        <f>VLOOKUP($X1118,サイズ別係数!$B:$E,2,FALSE)</f>
        <v>1.7</v>
      </c>
      <c r="Z1118" s="26">
        <f>VLOOKUP($X1118,サイズ別係数!$B:$E,3,FALSE)</f>
        <v>1.4</v>
      </c>
      <c r="AA1118" s="26">
        <f>VLOOKUP($X1118,サイズ別係数!$B:$E,4,FALSE)</f>
        <v>1</v>
      </c>
      <c r="AB1118" s="5">
        <v>0</v>
      </c>
      <c r="AC1118" s="34" t="str">
        <f ca="1">VLOOKUP($AB1118,OFFSET([3]enemy_skill_sets!$B$2,0,0,COUNTA([3]enemy_skill_sets!$A:$A),MATCH(AC$1,[3]enemy_skill_sets!$1:$1,0)-MATCH($AB$1,[3]enemy_skill_sets!$1:$1,0)+1),MATCH(AC$1,[3]enemy_skill_sets!$1:$1,0)-MATCH($AB$1,[3]enemy_skill_sets!$1:$1,0)+1,FALSE)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8" s="67">
        <v>1</v>
      </c>
      <c r="AE1118" s="67">
        <v>1</v>
      </c>
      <c r="AF1118" s="37">
        <v>0</v>
      </c>
      <c r="AG1118" s="99">
        <f>ROUND(VLOOKUP(1,enemy_base_stats!$A:$F,2,FALSE) * Y1118* J1118*O1118*E1118*S1118*AD1118*[2]ステータス!$B$2,0)</f>
        <v>3902</v>
      </c>
      <c r="AH1118" s="99">
        <f>ROUND(VLOOKUP(1,enemy_base_stats!$A:$F,3,FALSE) * Z1118*K1118*P1118*F1118*T1118*AE1118 * W1118*[2]ステータス!$C$2,0)</f>
        <v>241</v>
      </c>
      <c r="AI1118" s="99">
        <f>ROUND(VLOOKUP(1,enemy_base_stats!$A:$F,4,FALSE) * AA1118*L1118*Q1118*G1118*U1118*AF1118*[2]ステータス!$D$2,0)</f>
        <v>0</v>
      </c>
      <c r="AJ1118" s="99">
        <f>ROUND(VLOOKUP(100,enemy_base_stats!$A:$F,2,FALSE) * Y1118* J1118*O1118*E1118*S1118*AD1118*[2]ステータス!$B$2,0)</f>
        <v>158401</v>
      </c>
      <c r="AK1118" s="99">
        <f>ROUND(VLOOKUP(100,enemy_base_stats!$A:$F,3,FALSE)* Z1118* K1118*P1118*F1118*T1118*AE1118 * W1118*[2]ステータス!$C$2,0)</f>
        <v>9776</v>
      </c>
      <c r="AL1118" s="99">
        <f>ROUND(VLOOKUP(100,enemy_base_stats!$A:$F,4,FALSE)* AA1118* L1118*Q1118*G1118*U1118*AF1118*[2]ステータス!$D$2,0)</f>
        <v>0</v>
      </c>
      <c r="AM1118" s="97">
        <f>VLOOKUP(M1118,[2]character_tribe_i18n!$A:$I,9,FALSE)</f>
        <v>400</v>
      </c>
      <c r="AN1118" s="36">
        <v>0</v>
      </c>
      <c r="AO1118" s="53">
        <v>0</v>
      </c>
      <c r="AP1118" s="58" t="s">
        <v>72</v>
      </c>
      <c r="AQ1118" s="71">
        <f t="shared" si="61"/>
        <v>1117</v>
      </c>
    </row>
    <row r="1119" spans="1:43" ht="21" customHeight="1" x14ac:dyDescent="0.15">
      <c r="A1119" s="7">
        <v>1118</v>
      </c>
      <c r="B1119" s="6" t="str">
        <f>VLOOKUP(A1119,[2]characters!$A:$C,3,FALSE)</f>
        <v>超過速路の閃導者 ジャンヌ</v>
      </c>
      <c r="C1119" s="9">
        <f>VLOOKUP(A1119,[2]characters!$A:$I,9,FALSE)</f>
        <v>6</v>
      </c>
      <c r="D1119" s="9" t="str">
        <f>VLOOKUP(A1119,[2]characters!$A:$H,8,FALSE)</f>
        <v>blue</v>
      </c>
      <c r="E1119" s="24">
        <f>VLOOKUP(D1119,[2]属性!$A:$E,2,FALSE)</f>
        <v>1</v>
      </c>
      <c r="F1119" s="24">
        <f>VLOOKUP(D1119,[2]属性!$A:$E,3,FALSE)</f>
        <v>0.98</v>
      </c>
      <c r="G1119" s="24">
        <f>VLOOKUP(D1119,[2]属性!$A:$F,4,FALSE)</f>
        <v>1</v>
      </c>
      <c r="H1119" s="9" t="str">
        <f>VLOOKUP(A1119,[2]characters!$A:$K,11,FALSE)</f>
        <v>heal</v>
      </c>
      <c r="I1119" s="14" t="str">
        <f>VLOOKUP(H1119,[2]character_type_i18n!$A:$F,3,FALSE)</f>
        <v>回復タイプ</v>
      </c>
      <c r="J1119" s="36">
        <f>VLOOKUP(H1119,[2]character_type_i18n!$A:$F,4,FALSE)</f>
        <v>0.8</v>
      </c>
      <c r="K1119" s="36">
        <f>VLOOKUP(H1119,[2]character_type_i18n!$A:$F,5,FALSE)</f>
        <v>0.78</v>
      </c>
      <c r="L1119" s="36">
        <f>VLOOKUP(H1119,[2]character_type_i18n!$A:$F,6,FALSE)</f>
        <v>1</v>
      </c>
      <c r="M1119" s="9" t="str">
        <f>VLOOKUP(A1119,[2]characters!$A:$M,13,FALSE)</f>
        <v>human</v>
      </c>
      <c r="N1119" s="14" t="str">
        <f>VLOOKUP(M1119,[2]character_tribe_i18n!$A:$F,3,FALSE)</f>
        <v>ヒューマン</v>
      </c>
      <c r="O1119" s="24">
        <f>VLOOKUP(M1119,[2]character_tribe_i18n!$A:$F,4,FALSE)</f>
        <v>0.94</v>
      </c>
      <c r="P1119" s="24">
        <f>VLOOKUP(M1119,[2]character_tribe_i18n!$A:$F,5,FALSE)</f>
        <v>0.99</v>
      </c>
      <c r="Q1119" s="24">
        <f>VLOOKUP(M1119,[2]character_tribe_i18n!$A:$F,6,FALSE)</f>
        <v>1</v>
      </c>
      <c r="R1119" s="25" t="s">
        <v>98</v>
      </c>
      <c r="S1119" s="24">
        <f>VLOOKUP($R1119,ラベル別係数!$A$1:$E$7,3,FALSE)</f>
        <v>5</v>
      </c>
      <c r="T1119" s="24">
        <f>VLOOKUP($R1119,ラベル別係数!$A$1:$E$7,4,FALSE)</f>
        <v>1.3</v>
      </c>
      <c r="U1119" s="24">
        <f>VLOOKUP($R1119,ラベル別係数!$A$1:$E$7,5,FALSE)</f>
        <v>0.8</v>
      </c>
      <c r="V1119" s="27">
        <v>3</v>
      </c>
      <c r="W1119" s="28">
        <f>VLOOKUP(V1119,ターン数別攻撃係数!$A$1:$B$1000,2,FALSE)</f>
        <v>1</v>
      </c>
      <c r="X1119" s="9">
        <f>VLOOKUP(C1119,サイズ別係数!A$2:B$9,2,FALSE)</f>
        <v>60</v>
      </c>
      <c r="Y1119" s="26">
        <f>VLOOKUP($X1119,サイズ別係数!$B:$E,2,FALSE)</f>
        <v>1.7</v>
      </c>
      <c r="Z1119" s="26">
        <f>VLOOKUP($X1119,サイズ別係数!$B:$E,3,FALSE)</f>
        <v>1.4</v>
      </c>
      <c r="AA1119" s="26">
        <f>VLOOKUP($X1119,サイズ別係数!$B:$E,4,FALSE)</f>
        <v>1</v>
      </c>
      <c r="AB1119" s="5">
        <v>0</v>
      </c>
      <c r="AC1119" s="34" t="str">
        <f ca="1">VLOOKUP($AB1119,OFFSET([3]enemy_skill_sets!$B$2,0,0,COUNTA([3]enemy_skill_sets!$A:$A),MATCH(AC$1,[3]enemy_skill_sets!$1:$1,0)-MATCH($AB$1,[3]enemy_skill_sets!$1:$1,0)+1),MATCH(AC$1,[3]enemy_skill_sets!$1:$1,0)-MATCH($AB$1,[3]enemy_skill_sets!$1:$1,0)+1,FALSE)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19" s="67">
        <v>1</v>
      </c>
      <c r="AE1119" s="67">
        <v>1</v>
      </c>
      <c r="AF1119" s="37">
        <v>0</v>
      </c>
      <c r="AG1119" s="99">
        <f>ROUND(VLOOKUP(1,enemy_base_stats!$A:$F,2,FALSE) * Y1119* J1119*O1119*E1119*S1119*AD1119*[2]ステータス!$B$2,0)</f>
        <v>3196</v>
      </c>
      <c r="AH1119" s="99">
        <f>ROUND(VLOOKUP(1,enemy_base_stats!$A:$F,3,FALSE) * Z1119*K1119*P1119*F1119*T1119*AE1119 * W1119*[2]ステータス!$C$2,0)</f>
        <v>207</v>
      </c>
      <c r="AI1119" s="99">
        <f>ROUND(VLOOKUP(1,enemy_base_stats!$A:$F,4,FALSE) * AA1119*L1119*Q1119*G1119*U1119*AF1119*[2]ステータス!$D$2,0)</f>
        <v>0</v>
      </c>
      <c r="AJ1119" s="99">
        <f>ROUND(VLOOKUP(100,enemy_base_stats!$A:$F,2,FALSE) * Y1119* J1119*O1119*E1119*S1119*AD1119*[2]ステータス!$B$2,0)</f>
        <v>129758</v>
      </c>
      <c r="AK1119" s="99">
        <f>ROUND(VLOOKUP(100,enemy_base_stats!$A:$F,3,FALSE)* Z1119* K1119*P1119*F1119*T1119*AE1119 * W1119*[2]ステータス!$C$2,0)</f>
        <v>8388</v>
      </c>
      <c r="AL1119" s="99">
        <f>ROUND(VLOOKUP(100,enemy_base_stats!$A:$F,4,FALSE)* AA1119* L1119*Q1119*G1119*U1119*AF1119*[2]ステータス!$D$2,0)</f>
        <v>0</v>
      </c>
      <c r="AM1119" s="97">
        <f>VLOOKUP(M1119,[2]character_tribe_i18n!$A:$I,9,FALSE)</f>
        <v>400</v>
      </c>
      <c r="AN1119" s="36">
        <v>0</v>
      </c>
      <c r="AO1119" s="53">
        <v>0</v>
      </c>
      <c r="AP1119" s="58" t="s">
        <v>72</v>
      </c>
      <c r="AQ1119" s="71">
        <f t="shared" si="61"/>
        <v>1118</v>
      </c>
    </row>
    <row r="1120" spans="1:43" ht="21" customHeight="1" x14ac:dyDescent="0.15">
      <c r="A1120" s="7">
        <v>1119</v>
      </c>
      <c r="B1120" s="6" t="str">
        <f>VLOOKUP(A1120,[2]characters!$A:$C,3,FALSE)</f>
        <v>刹・廻天一流 宮本武蔵</v>
      </c>
      <c r="C1120" s="9">
        <f>VLOOKUP(A1120,[2]characters!$A:$I,9,FALSE)</f>
        <v>6</v>
      </c>
      <c r="D1120" s="9" t="str">
        <f>VLOOKUP(A1120,[2]characters!$A:$H,8,FALSE)</f>
        <v>yellow</v>
      </c>
      <c r="E1120" s="24">
        <f>VLOOKUP(D1120,[2]属性!$A:$E,2,FALSE)</f>
        <v>0.98</v>
      </c>
      <c r="F1120" s="24">
        <f>VLOOKUP(D1120,[2]属性!$A:$E,3,FALSE)</f>
        <v>1.01</v>
      </c>
      <c r="G1120" s="24">
        <f>VLOOKUP(D1120,[2]属性!$A:$F,4,FALSE)</f>
        <v>1</v>
      </c>
      <c r="H1120" s="9" t="str">
        <f>VLOOKUP(A1120,[2]characters!$A:$K,11,FALSE)</f>
        <v>attack</v>
      </c>
      <c r="I1120" s="14" t="str">
        <f>VLOOKUP(H1120,[2]character_type_i18n!$A:$F,3,FALSE)</f>
        <v>攻撃タイプ</v>
      </c>
      <c r="J1120" s="36">
        <f>VLOOKUP(H1120,[2]character_type_i18n!$A:$F,4,FALSE)</f>
        <v>1</v>
      </c>
      <c r="K1120" s="36">
        <f>VLOOKUP(H1120,[2]character_type_i18n!$A:$F,5,FALSE)</f>
        <v>1.33</v>
      </c>
      <c r="L1120" s="36">
        <f>VLOOKUP(H1120,[2]character_type_i18n!$A:$F,6,FALSE)</f>
        <v>1</v>
      </c>
      <c r="M1120" s="9" t="str">
        <f>VLOOKUP(A1120,[2]characters!$A:$M,13,FALSE)</f>
        <v>human</v>
      </c>
      <c r="N1120" s="14" t="str">
        <f>VLOOKUP(M1120,[2]character_tribe_i18n!$A:$F,3,FALSE)</f>
        <v>ヒューマン</v>
      </c>
      <c r="O1120" s="24">
        <f>VLOOKUP(M1120,[2]character_tribe_i18n!$A:$F,4,FALSE)</f>
        <v>0.94</v>
      </c>
      <c r="P1120" s="24">
        <f>VLOOKUP(M1120,[2]character_tribe_i18n!$A:$F,5,FALSE)</f>
        <v>0.99</v>
      </c>
      <c r="Q1120" s="24">
        <f>VLOOKUP(M1120,[2]character_tribe_i18n!$A:$F,6,FALSE)</f>
        <v>1</v>
      </c>
      <c r="R1120" s="25" t="s">
        <v>98</v>
      </c>
      <c r="S1120" s="24">
        <f>VLOOKUP($R1120,ラベル別係数!$A$1:$E$7,3,FALSE)</f>
        <v>5</v>
      </c>
      <c r="T1120" s="24">
        <f>VLOOKUP($R1120,ラベル別係数!$A$1:$E$7,4,FALSE)</f>
        <v>1.3</v>
      </c>
      <c r="U1120" s="24">
        <f>VLOOKUP($R1120,ラベル別係数!$A$1:$E$7,5,FALSE)</f>
        <v>0.8</v>
      </c>
      <c r="V1120" s="27">
        <v>3</v>
      </c>
      <c r="W1120" s="28">
        <f>VLOOKUP(V1120,ターン数別攻撃係数!$A$1:$B$1000,2,FALSE)</f>
        <v>1</v>
      </c>
      <c r="X1120" s="9">
        <f>VLOOKUP(C1120,サイズ別係数!A$2:B$9,2,FALSE)</f>
        <v>60</v>
      </c>
      <c r="Y1120" s="26">
        <f>VLOOKUP($X1120,サイズ別係数!$B:$E,2,FALSE)</f>
        <v>1.7</v>
      </c>
      <c r="Z1120" s="26">
        <f>VLOOKUP($X1120,サイズ別係数!$B:$E,3,FALSE)</f>
        <v>1.4</v>
      </c>
      <c r="AA1120" s="26">
        <f>VLOOKUP($X1120,サイズ別係数!$B:$E,4,FALSE)</f>
        <v>1</v>
      </c>
      <c r="AB1120" s="5">
        <v>0</v>
      </c>
      <c r="AC1120" s="34" t="str">
        <f ca="1">VLOOKUP($AB1120,OFFSET([3]enemy_skill_sets!$B$2,0,0,COUNTA([3]enemy_skill_sets!$A:$A),MATCH(AC$1,[3]enemy_skill_sets!$1:$1,0)-MATCH($AB$1,[3]enemy_skill_sets!$1:$1,0)+1),MATCH(AC$1,[3]enemy_skill_sets!$1:$1,0)-MATCH($AB$1,[3]enemy_skill_sets!$1:$1,0)+1,FALSE)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0" s="67">
        <v>1</v>
      </c>
      <c r="AE1120" s="67">
        <v>1</v>
      </c>
      <c r="AF1120" s="37">
        <v>0</v>
      </c>
      <c r="AG1120" s="99">
        <f>ROUND(VLOOKUP(1,enemy_base_stats!$A:$F,2,FALSE) * Y1120* J1120*O1120*E1120*S1120*AD1120*[2]ステータス!$B$2,0)</f>
        <v>3915</v>
      </c>
      <c r="AH1120" s="99">
        <f>ROUND(VLOOKUP(1,enemy_base_stats!$A:$F,3,FALSE) * Z1120*K1120*P1120*F1120*T1120*AE1120 * W1120*[2]ステータス!$C$2,0)</f>
        <v>363</v>
      </c>
      <c r="AI1120" s="99">
        <f>ROUND(VLOOKUP(1,enemy_base_stats!$A:$F,4,FALSE) * AA1120*L1120*Q1120*G1120*U1120*AF1120*[2]ステータス!$D$2,0)</f>
        <v>0</v>
      </c>
      <c r="AJ1120" s="99">
        <f>ROUND(VLOOKUP(100,enemy_base_stats!$A:$F,2,FALSE) * Y1120* J1120*O1120*E1120*S1120*AD1120*[2]ステータス!$B$2,0)</f>
        <v>158953</v>
      </c>
      <c r="AK1120" s="99">
        <f>ROUND(VLOOKUP(100,enemy_base_stats!$A:$F,3,FALSE)* Z1120* K1120*P1120*F1120*T1120*AE1120 * W1120*[2]ステータス!$C$2,0)</f>
        <v>14740</v>
      </c>
      <c r="AL1120" s="99">
        <f>ROUND(VLOOKUP(100,enemy_base_stats!$A:$F,4,FALSE)* AA1120* L1120*Q1120*G1120*U1120*AF1120*[2]ステータス!$D$2,0)</f>
        <v>0</v>
      </c>
      <c r="AM1120" s="97">
        <f>VLOOKUP(M1120,[2]character_tribe_i18n!$A:$I,9,FALSE)</f>
        <v>400</v>
      </c>
      <c r="AN1120" s="36">
        <v>0</v>
      </c>
      <c r="AO1120" s="53">
        <v>0</v>
      </c>
      <c r="AP1120" s="58" t="s">
        <v>72</v>
      </c>
      <c r="AQ1120" s="71">
        <f t="shared" si="61"/>
        <v>1119</v>
      </c>
    </row>
    <row r="1121" spans="1:43" ht="21" customHeight="1" x14ac:dyDescent="0.15">
      <c r="A1121" s="7">
        <v>1120</v>
      </c>
      <c r="B1121" s="6" t="str">
        <f>VLOOKUP(A1121,[2]characters!$A:$C,3,FALSE)</f>
        <v>四聖猛煌の皇獣 麒麟</v>
      </c>
      <c r="C1121" s="9">
        <f>VLOOKUP(A1121,[2]characters!$A:$I,9,FALSE)</f>
        <v>6</v>
      </c>
      <c r="D1121" s="9" t="str">
        <f>VLOOKUP(A1121,[2]characters!$A:$H,8,FALSE)</f>
        <v>yellow</v>
      </c>
      <c r="E1121" s="24">
        <f>VLOOKUP(D1121,[2]属性!$A:$E,2,FALSE)</f>
        <v>0.98</v>
      </c>
      <c r="F1121" s="24">
        <f>VLOOKUP(D1121,[2]属性!$A:$E,3,FALSE)</f>
        <v>1.01</v>
      </c>
      <c r="G1121" s="24">
        <f>VLOOKUP(D1121,[2]属性!$A:$F,4,FALSE)</f>
        <v>1</v>
      </c>
      <c r="H1121" s="9" t="str">
        <f>VLOOKUP(A1121,[2]characters!$A:$K,11,FALSE)</f>
        <v>attack</v>
      </c>
      <c r="I1121" s="14" t="str">
        <f>VLOOKUP(H1121,[2]character_type_i18n!$A:$F,3,FALSE)</f>
        <v>攻撃タイプ</v>
      </c>
      <c r="J1121" s="36">
        <f>VLOOKUP(H1121,[2]character_type_i18n!$A:$F,4,FALSE)</f>
        <v>1</v>
      </c>
      <c r="K1121" s="36">
        <f>VLOOKUP(H1121,[2]character_type_i18n!$A:$F,5,FALSE)</f>
        <v>1.33</v>
      </c>
      <c r="L1121" s="36">
        <f>VLOOKUP(H1121,[2]character_type_i18n!$A:$F,6,FALSE)</f>
        <v>1</v>
      </c>
      <c r="M1121" s="9" t="str">
        <f>VLOOKUP(A1121,[2]characters!$A:$M,13,FALSE)</f>
        <v>god</v>
      </c>
      <c r="N1121" s="14" t="str">
        <f>VLOOKUP(M1121,[2]character_tribe_i18n!$A:$F,3,FALSE)</f>
        <v>ゴッド</v>
      </c>
      <c r="O1121" s="24">
        <f>VLOOKUP(M1121,[2]character_tribe_i18n!$A:$F,4,FALSE)</f>
        <v>0.96</v>
      </c>
      <c r="P1121" s="24">
        <f>VLOOKUP(M1121,[2]character_tribe_i18n!$A:$F,5,FALSE)</f>
        <v>1.02</v>
      </c>
      <c r="Q1121" s="24">
        <f>VLOOKUP(M1121,[2]character_tribe_i18n!$A:$F,6,FALSE)</f>
        <v>1</v>
      </c>
      <c r="R1121" s="25" t="s">
        <v>98</v>
      </c>
      <c r="S1121" s="24">
        <f>VLOOKUP($R1121,ラベル別係数!$A$1:$E$7,3,FALSE)</f>
        <v>5</v>
      </c>
      <c r="T1121" s="24">
        <f>VLOOKUP($R1121,ラベル別係数!$A$1:$E$7,4,FALSE)</f>
        <v>1.3</v>
      </c>
      <c r="U1121" s="24">
        <f>VLOOKUP($R1121,ラベル別係数!$A$1:$E$7,5,FALSE)</f>
        <v>0.8</v>
      </c>
      <c r="V1121" s="27">
        <v>3</v>
      </c>
      <c r="W1121" s="28">
        <f>VLOOKUP(V1121,ターン数別攻撃係数!$A$1:$B$1000,2,FALSE)</f>
        <v>1</v>
      </c>
      <c r="X1121" s="9">
        <f>VLOOKUP(C1121,サイズ別係数!A$2:B$9,2,FALSE)</f>
        <v>60</v>
      </c>
      <c r="Y1121" s="26">
        <f>VLOOKUP($X1121,サイズ別係数!$B:$E,2,FALSE)</f>
        <v>1.7</v>
      </c>
      <c r="Z1121" s="26">
        <f>VLOOKUP($X1121,サイズ別係数!$B:$E,3,FALSE)</f>
        <v>1.4</v>
      </c>
      <c r="AA1121" s="26">
        <f>VLOOKUP($X1121,サイズ別係数!$B:$E,4,FALSE)</f>
        <v>1</v>
      </c>
      <c r="AB1121" s="5">
        <v>0</v>
      </c>
      <c r="AC1121" s="34" t="str">
        <f ca="1">VLOOKUP($AB1121,OFFSET([3]enemy_skill_sets!$B$2,0,0,COUNTA([3]enemy_skill_sets!$A:$A),MATCH(AC$1,[3]enemy_skill_sets!$1:$1,0)-MATCH($AB$1,[3]enemy_skill_sets!$1:$1,0)+1),MATCH(AC$1,[3]enemy_skill_sets!$1:$1,0)-MATCH($AB$1,[3]enemy_skill_sets!$1:$1,0)+1,FALSE)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1" s="67">
        <v>1</v>
      </c>
      <c r="AE1121" s="67">
        <v>1</v>
      </c>
      <c r="AF1121" s="37">
        <v>0</v>
      </c>
      <c r="AG1121" s="99">
        <f>ROUND(VLOOKUP(1,enemy_base_stats!$A:$F,2,FALSE) * Y1121* J1121*O1121*E1121*S1121*AD1121*[2]ステータス!$B$2,0)</f>
        <v>3998</v>
      </c>
      <c r="AH1121" s="99">
        <f>ROUND(VLOOKUP(1,enemy_base_stats!$A:$F,3,FALSE) * Z1121*K1121*P1121*F1121*T1121*AE1121 * W1121*[2]ステータス!$C$2,0)</f>
        <v>374</v>
      </c>
      <c r="AI1121" s="99">
        <f>ROUND(VLOOKUP(1,enemy_base_stats!$A:$F,4,FALSE) * AA1121*L1121*Q1121*G1121*U1121*AF1121*[2]ステータス!$D$2,0)</f>
        <v>0</v>
      </c>
      <c r="AJ1121" s="99">
        <f>ROUND(VLOOKUP(100,enemy_base_stats!$A:$F,2,FALSE) * Y1121* J1121*O1121*E1121*S1121*AD1121*[2]ステータス!$B$2,0)</f>
        <v>162335</v>
      </c>
      <c r="AK1121" s="99">
        <f>ROUND(VLOOKUP(100,enemy_base_stats!$A:$F,3,FALSE)* Z1121* K1121*P1121*F1121*T1121*AE1121 * W1121*[2]ステータス!$C$2,0)</f>
        <v>15187</v>
      </c>
      <c r="AL1121" s="99">
        <f>ROUND(VLOOKUP(100,enemy_base_stats!$A:$F,4,FALSE)* AA1121* L1121*Q1121*G1121*U1121*AF1121*[2]ステータス!$D$2,0)</f>
        <v>0</v>
      </c>
      <c r="AM1121" s="97">
        <f>VLOOKUP(M1121,[2]character_tribe_i18n!$A:$I,9,FALSE)</f>
        <v>680</v>
      </c>
      <c r="AN1121" s="36">
        <v>0</v>
      </c>
      <c r="AO1121" s="53">
        <v>0</v>
      </c>
      <c r="AP1121" s="58" t="s">
        <v>72</v>
      </c>
      <c r="AQ1121" s="71">
        <f t="shared" si="61"/>
        <v>1120</v>
      </c>
    </row>
    <row r="1122" spans="1:43" ht="21" customHeight="1" x14ac:dyDescent="0.15">
      <c r="A1122" s="7">
        <v>1121</v>
      </c>
      <c r="B1122" s="6" t="str">
        <f>VLOOKUP(A1122,[2]characters!$A:$C,3,FALSE)</f>
        <v>逆燦の機閃刃 オイラー</v>
      </c>
      <c r="C1122" s="9">
        <f>VLOOKUP(A1122,[2]characters!$A:$I,9,FALSE)</f>
        <v>6</v>
      </c>
      <c r="D1122" s="9" t="str">
        <f>VLOOKUP(A1122,[2]characters!$A:$H,8,FALSE)</f>
        <v>green</v>
      </c>
      <c r="E1122" s="24">
        <f>VLOOKUP(D1122,[2]属性!$A:$E,2,FALSE)</f>
        <v>1.02</v>
      </c>
      <c r="F1122" s="24">
        <f>VLOOKUP(D1122,[2]属性!$A:$E,3,FALSE)</f>
        <v>0.98</v>
      </c>
      <c r="G1122" s="24">
        <f>VLOOKUP(D1122,[2]属性!$A:$F,4,FALSE)</f>
        <v>1</v>
      </c>
      <c r="H1122" s="9" t="str">
        <f>VLOOKUP(A1122,[2]characters!$A:$K,11,FALSE)</f>
        <v>balance</v>
      </c>
      <c r="I1122" s="14" t="str">
        <f>VLOOKUP(H1122,[2]character_type_i18n!$A:$F,3,FALSE)</f>
        <v>バランスタイプ</v>
      </c>
      <c r="J1122" s="36">
        <f>VLOOKUP(H1122,[2]character_type_i18n!$A:$F,4,FALSE)</f>
        <v>1</v>
      </c>
      <c r="K1122" s="36">
        <f>VLOOKUP(H1122,[2]character_type_i18n!$A:$F,5,FALSE)</f>
        <v>1</v>
      </c>
      <c r="L1122" s="36">
        <f>VLOOKUP(H1122,[2]character_type_i18n!$A:$F,6,FALSE)</f>
        <v>1</v>
      </c>
      <c r="M1122" s="9" t="str">
        <f>VLOOKUP(A1122,[2]characters!$A:$M,13,FALSE)</f>
        <v>academia</v>
      </c>
      <c r="N1122" s="14" t="str">
        <f>VLOOKUP(M1122,[2]character_tribe_i18n!$A:$F,3,FALSE)</f>
        <v>アカデミア</v>
      </c>
      <c r="O1122" s="24">
        <f>VLOOKUP(M1122,[2]character_tribe_i18n!$A:$F,4,FALSE)</f>
        <v>1</v>
      </c>
      <c r="P1122" s="24">
        <f>VLOOKUP(M1122,[2]character_tribe_i18n!$A:$F,5,FALSE)</f>
        <v>1</v>
      </c>
      <c r="Q1122" s="24">
        <f>VLOOKUP(M1122,[2]character_tribe_i18n!$A:$F,6,FALSE)</f>
        <v>1</v>
      </c>
      <c r="R1122" s="25" t="s">
        <v>98</v>
      </c>
      <c r="S1122" s="24">
        <f>VLOOKUP($R1122,ラベル別係数!$A$1:$E$7,3,FALSE)</f>
        <v>5</v>
      </c>
      <c r="T1122" s="24">
        <f>VLOOKUP($R1122,ラベル別係数!$A$1:$E$7,4,FALSE)</f>
        <v>1.3</v>
      </c>
      <c r="U1122" s="24">
        <f>VLOOKUP($R1122,ラベル別係数!$A$1:$E$7,5,FALSE)</f>
        <v>0.8</v>
      </c>
      <c r="V1122" s="27">
        <v>3</v>
      </c>
      <c r="W1122" s="28">
        <f>VLOOKUP(V1122,ターン数別攻撃係数!$A$1:$B$1000,2,FALSE)</f>
        <v>1</v>
      </c>
      <c r="X1122" s="9">
        <f>VLOOKUP(C1122,サイズ別係数!A$2:B$9,2,FALSE)</f>
        <v>60</v>
      </c>
      <c r="Y1122" s="26">
        <f>VLOOKUP($X1122,サイズ別係数!$B:$E,2,FALSE)</f>
        <v>1.7</v>
      </c>
      <c r="Z1122" s="26">
        <f>VLOOKUP($X1122,サイズ別係数!$B:$E,3,FALSE)</f>
        <v>1.4</v>
      </c>
      <c r="AA1122" s="26">
        <f>VLOOKUP($X1122,サイズ別係数!$B:$E,4,FALSE)</f>
        <v>1</v>
      </c>
      <c r="AB1122" s="5">
        <v>0</v>
      </c>
      <c r="AC1122" s="34" t="str">
        <f ca="1">VLOOKUP($AB1122,OFFSET([3]enemy_skill_sets!$B$2,0,0,COUNTA([3]enemy_skill_sets!$A:$A),MATCH(AC$1,[3]enemy_skill_sets!$1:$1,0)-MATCH($AB$1,[3]enemy_skill_sets!$1:$1,0)+1),MATCH(AC$1,[3]enemy_skill_sets!$1:$1,0)-MATCH($AB$1,[3]enemy_skill_sets!$1:$1,0)+1,FALSE)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2" s="67">
        <v>1</v>
      </c>
      <c r="AE1122" s="67">
        <v>1</v>
      </c>
      <c r="AF1122" s="37">
        <v>0</v>
      </c>
      <c r="AG1122" s="99">
        <f>ROUND(VLOOKUP(1,enemy_base_stats!$A:$F,2,FALSE) * Y1122* J1122*O1122*E1122*S1122*AD1122*[2]ステータス!$B$2,0)</f>
        <v>4335</v>
      </c>
      <c r="AH1122" s="99">
        <f>ROUND(VLOOKUP(1,enemy_base_stats!$A:$F,3,FALSE) * Z1122*K1122*P1122*F1122*T1122*AE1122 * W1122*[2]ステータス!$C$2,0)</f>
        <v>268</v>
      </c>
      <c r="AI1122" s="99">
        <f>ROUND(VLOOKUP(1,enemy_base_stats!$A:$F,4,FALSE) * AA1122*L1122*Q1122*G1122*U1122*AF1122*[2]ステータス!$D$2,0)</f>
        <v>0</v>
      </c>
      <c r="AJ1122" s="99">
        <f>ROUND(VLOOKUP(100,enemy_base_stats!$A:$F,2,FALSE) * Y1122* J1122*O1122*E1122*S1122*AD1122*[2]ステータス!$B$2,0)</f>
        <v>176001</v>
      </c>
      <c r="AK1122" s="99">
        <f>ROUND(VLOOKUP(100,enemy_base_stats!$A:$F,3,FALSE)* Z1122* K1122*P1122*F1122*T1122*AE1122 * W1122*[2]ステータス!$C$2,0)</f>
        <v>10862</v>
      </c>
      <c r="AL1122" s="99">
        <f>ROUND(VLOOKUP(100,enemy_base_stats!$A:$F,4,FALSE)* AA1122* L1122*Q1122*G1122*U1122*AF1122*[2]ステータス!$D$2,0)</f>
        <v>0</v>
      </c>
      <c r="AM1122" s="97">
        <f>VLOOKUP(M1122,[2]character_tribe_i18n!$A:$I,9,FALSE)</f>
        <v>400</v>
      </c>
      <c r="AN1122" s="36">
        <v>0</v>
      </c>
      <c r="AO1122" s="53">
        <v>0</v>
      </c>
      <c r="AP1122" s="58" t="s">
        <v>72</v>
      </c>
      <c r="AQ1122" s="71">
        <f t="shared" si="61"/>
        <v>1121</v>
      </c>
    </row>
    <row r="1123" spans="1:43" ht="21" customHeight="1" x14ac:dyDescent="0.15">
      <c r="A1123" s="7">
        <v>1122</v>
      </c>
      <c r="B1123" s="6" t="str">
        <f>VLOOKUP(A1123,[2]characters!$A:$C,3,FALSE)</f>
        <v>不可能性の現翼 メビウス</v>
      </c>
      <c r="C1123" s="9">
        <f>VLOOKUP(A1123,[2]characters!$A:$I,9,FALSE)</f>
        <v>6</v>
      </c>
      <c r="D1123" s="9" t="str">
        <f>VLOOKUP(A1123,[2]characters!$A:$H,8,FALSE)</f>
        <v>blue</v>
      </c>
      <c r="E1123" s="24">
        <f>VLOOKUP(D1123,[2]属性!$A:$E,2,FALSE)</f>
        <v>1</v>
      </c>
      <c r="F1123" s="24">
        <f>VLOOKUP(D1123,[2]属性!$A:$E,3,FALSE)</f>
        <v>0.98</v>
      </c>
      <c r="G1123" s="24">
        <f>VLOOKUP(D1123,[2]属性!$A:$F,4,FALSE)</f>
        <v>1</v>
      </c>
      <c r="H1123" s="9" t="str">
        <f>VLOOKUP(A1123,[2]characters!$A:$K,11,FALSE)</f>
        <v>balance</v>
      </c>
      <c r="I1123" s="14" t="str">
        <f>VLOOKUP(H1123,[2]character_type_i18n!$A:$F,3,FALSE)</f>
        <v>バランスタイプ</v>
      </c>
      <c r="J1123" s="36">
        <f>VLOOKUP(H1123,[2]character_type_i18n!$A:$F,4,FALSE)</f>
        <v>1</v>
      </c>
      <c r="K1123" s="36">
        <f>VLOOKUP(H1123,[2]character_type_i18n!$A:$F,5,FALSE)</f>
        <v>1</v>
      </c>
      <c r="L1123" s="36">
        <f>VLOOKUP(H1123,[2]character_type_i18n!$A:$F,6,FALSE)</f>
        <v>1</v>
      </c>
      <c r="M1123" s="9" t="str">
        <f>VLOOKUP(A1123,[2]characters!$A:$M,13,FALSE)</f>
        <v>academia</v>
      </c>
      <c r="N1123" s="14" t="str">
        <f>VLOOKUP(M1123,[2]character_tribe_i18n!$A:$F,3,FALSE)</f>
        <v>アカデミア</v>
      </c>
      <c r="O1123" s="24">
        <f>VLOOKUP(M1123,[2]character_tribe_i18n!$A:$F,4,FALSE)</f>
        <v>1</v>
      </c>
      <c r="P1123" s="24">
        <f>VLOOKUP(M1123,[2]character_tribe_i18n!$A:$F,5,FALSE)</f>
        <v>1</v>
      </c>
      <c r="Q1123" s="24">
        <f>VLOOKUP(M1123,[2]character_tribe_i18n!$A:$F,6,FALSE)</f>
        <v>1</v>
      </c>
      <c r="R1123" s="25" t="s">
        <v>98</v>
      </c>
      <c r="S1123" s="24">
        <f>VLOOKUP($R1123,ラベル別係数!$A$1:$E$7,3,FALSE)</f>
        <v>5</v>
      </c>
      <c r="T1123" s="24">
        <f>VLOOKUP($R1123,ラベル別係数!$A$1:$E$7,4,FALSE)</f>
        <v>1.3</v>
      </c>
      <c r="U1123" s="24">
        <f>VLOOKUP($R1123,ラベル別係数!$A$1:$E$7,5,FALSE)</f>
        <v>0.8</v>
      </c>
      <c r="V1123" s="27">
        <v>3</v>
      </c>
      <c r="W1123" s="28">
        <f>VLOOKUP(V1123,ターン数別攻撃係数!$A$1:$B$1000,2,FALSE)</f>
        <v>1</v>
      </c>
      <c r="X1123" s="9">
        <f>VLOOKUP(C1123,サイズ別係数!A$2:B$9,2,FALSE)</f>
        <v>60</v>
      </c>
      <c r="Y1123" s="26">
        <f>VLOOKUP($X1123,サイズ別係数!$B:$E,2,FALSE)</f>
        <v>1.7</v>
      </c>
      <c r="Z1123" s="26">
        <f>VLOOKUP($X1123,サイズ別係数!$B:$E,3,FALSE)</f>
        <v>1.4</v>
      </c>
      <c r="AA1123" s="26">
        <f>VLOOKUP($X1123,サイズ別係数!$B:$E,4,FALSE)</f>
        <v>1</v>
      </c>
      <c r="AB1123" s="5">
        <v>0</v>
      </c>
      <c r="AC1123" s="34" t="str">
        <f ca="1">VLOOKUP($AB1123,OFFSET([3]enemy_skill_sets!$B$2,0,0,COUNTA([3]enemy_skill_sets!$A:$A),MATCH(AC$1,[3]enemy_skill_sets!$1:$1,0)-MATCH($AB$1,[3]enemy_skill_sets!$1:$1,0)+1),MATCH(AC$1,[3]enemy_skill_sets!$1:$1,0)-MATCH($AB$1,[3]enemy_skill_sets!$1:$1,0)+1,FALSE)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3" s="67">
        <v>1</v>
      </c>
      <c r="AE1123" s="67">
        <v>1</v>
      </c>
      <c r="AF1123" s="37">
        <v>0</v>
      </c>
      <c r="AG1123" s="99">
        <f>ROUND(VLOOKUP(1,enemy_base_stats!$A:$F,2,FALSE) * Y1123* J1123*O1123*E1123*S1123*AD1123*[2]ステータス!$B$2,0)</f>
        <v>4250</v>
      </c>
      <c r="AH1123" s="99">
        <f>ROUND(VLOOKUP(1,enemy_base_stats!$A:$F,3,FALSE) * Z1123*K1123*P1123*F1123*T1123*AE1123 * W1123*[2]ステータス!$C$2,0)</f>
        <v>268</v>
      </c>
      <c r="AI1123" s="99">
        <f>ROUND(VLOOKUP(1,enemy_base_stats!$A:$F,4,FALSE) * AA1123*L1123*Q1123*G1123*U1123*AF1123*[2]ステータス!$D$2,0)</f>
        <v>0</v>
      </c>
      <c r="AJ1123" s="99">
        <f>ROUND(VLOOKUP(100,enemy_base_stats!$A:$F,2,FALSE) * Y1123* J1123*O1123*E1123*S1123*AD1123*[2]ステータス!$B$2,0)</f>
        <v>172550</v>
      </c>
      <c r="AK1123" s="99">
        <f>ROUND(VLOOKUP(100,enemy_base_stats!$A:$F,3,FALSE)* Z1123* K1123*P1123*F1123*T1123*AE1123 * W1123*[2]ステータス!$C$2,0)</f>
        <v>10862</v>
      </c>
      <c r="AL1123" s="99">
        <f>ROUND(VLOOKUP(100,enemy_base_stats!$A:$F,4,FALSE)* AA1123* L1123*Q1123*G1123*U1123*AF1123*[2]ステータス!$D$2,0)</f>
        <v>0</v>
      </c>
      <c r="AM1123" s="97">
        <f>VLOOKUP(M1123,[2]character_tribe_i18n!$A:$I,9,FALSE)</f>
        <v>400</v>
      </c>
      <c r="AN1123" s="36">
        <v>0</v>
      </c>
      <c r="AO1123" s="53">
        <v>0</v>
      </c>
      <c r="AP1123" s="58" t="s">
        <v>72</v>
      </c>
      <c r="AQ1123" s="71">
        <f t="shared" si="61"/>
        <v>1122</v>
      </c>
    </row>
    <row r="1124" spans="1:43" ht="21" customHeight="1" x14ac:dyDescent="0.15">
      <c r="A1124" s="7">
        <v>1123</v>
      </c>
      <c r="B1124" s="6" t="str">
        <f>VLOOKUP(A1124,[2]characters!$A:$C,3,FALSE)</f>
        <v>舞降りし綺鏡羽 ブール</v>
      </c>
      <c r="C1124" s="9">
        <f>VLOOKUP(A1124,[2]characters!$A:$I,9,FALSE)</f>
        <v>6</v>
      </c>
      <c r="D1124" s="9" t="str">
        <f>VLOOKUP(A1124,[2]characters!$A:$H,8,FALSE)</f>
        <v>blue</v>
      </c>
      <c r="E1124" s="24">
        <f>VLOOKUP(D1124,[2]属性!$A:$E,2,FALSE)</f>
        <v>1</v>
      </c>
      <c r="F1124" s="24">
        <f>VLOOKUP(D1124,[2]属性!$A:$E,3,FALSE)</f>
        <v>0.98</v>
      </c>
      <c r="G1124" s="24">
        <f>VLOOKUP(D1124,[2]属性!$A:$F,4,FALSE)</f>
        <v>1</v>
      </c>
      <c r="H1124" s="9" t="str">
        <f>VLOOKUP(A1124,[2]characters!$A:$K,11,FALSE)</f>
        <v>balance</v>
      </c>
      <c r="I1124" s="14" t="str">
        <f>VLOOKUP(H1124,[2]character_type_i18n!$A:$F,3,FALSE)</f>
        <v>バランスタイプ</v>
      </c>
      <c r="J1124" s="36">
        <f>VLOOKUP(H1124,[2]character_type_i18n!$A:$F,4,FALSE)</f>
        <v>1</v>
      </c>
      <c r="K1124" s="36">
        <f>VLOOKUP(H1124,[2]character_type_i18n!$A:$F,5,FALSE)</f>
        <v>1</v>
      </c>
      <c r="L1124" s="36">
        <f>VLOOKUP(H1124,[2]character_type_i18n!$A:$F,6,FALSE)</f>
        <v>1</v>
      </c>
      <c r="M1124" s="9" t="str">
        <f>VLOOKUP(A1124,[2]characters!$A:$M,13,FALSE)</f>
        <v>academia</v>
      </c>
      <c r="N1124" s="14" t="str">
        <f>VLOOKUP(M1124,[2]character_tribe_i18n!$A:$F,3,FALSE)</f>
        <v>アカデミア</v>
      </c>
      <c r="O1124" s="24">
        <f>VLOOKUP(M1124,[2]character_tribe_i18n!$A:$F,4,FALSE)</f>
        <v>1</v>
      </c>
      <c r="P1124" s="24">
        <f>VLOOKUP(M1124,[2]character_tribe_i18n!$A:$F,5,FALSE)</f>
        <v>1</v>
      </c>
      <c r="Q1124" s="24">
        <f>VLOOKUP(M1124,[2]character_tribe_i18n!$A:$F,6,FALSE)</f>
        <v>1</v>
      </c>
      <c r="R1124" s="25" t="s">
        <v>98</v>
      </c>
      <c r="S1124" s="24">
        <f>VLOOKUP($R1124,ラベル別係数!$A$1:$E$7,3,FALSE)</f>
        <v>5</v>
      </c>
      <c r="T1124" s="24">
        <f>VLOOKUP($R1124,ラベル別係数!$A$1:$E$7,4,FALSE)</f>
        <v>1.3</v>
      </c>
      <c r="U1124" s="24">
        <f>VLOOKUP($R1124,ラベル別係数!$A$1:$E$7,5,FALSE)</f>
        <v>0.8</v>
      </c>
      <c r="V1124" s="27">
        <v>3</v>
      </c>
      <c r="W1124" s="28">
        <f>VLOOKUP(V1124,ターン数別攻撃係数!$A$1:$B$1000,2,FALSE)</f>
        <v>1</v>
      </c>
      <c r="X1124" s="9">
        <f>VLOOKUP(C1124,サイズ別係数!A$2:B$9,2,FALSE)</f>
        <v>60</v>
      </c>
      <c r="Y1124" s="26">
        <f>VLOOKUP($X1124,サイズ別係数!$B:$E,2,FALSE)</f>
        <v>1.7</v>
      </c>
      <c r="Z1124" s="26">
        <f>VLOOKUP($X1124,サイズ別係数!$B:$E,3,FALSE)</f>
        <v>1.4</v>
      </c>
      <c r="AA1124" s="26">
        <f>VLOOKUP($X1124,サイズ別係数!$B:$E,4,FALSE)</f>
        <v>1</v>
      </c>
      <c r="AB1124" s="5">
        <v>0</v>
      </c>
      <c r="AC1124" s="34" t="str">
        <f ca="1">VLOOKUP($AB1124,OFFSET([3]enemy_skill_sets!$B$2,0,0,COUNTA([3]enemy_skill_sets!$A:$A),MATCH(AC$1,[3]enemy_skill_sets!$1:$1,0)-MATCH($AB$1,[3]enemy_skill_sets!$1:$1,0)+1),MATCH(AC$1,[3]enemy_skill_sets!$1:$1,0)-MATCH($AB$1,[3]enemy_skill_sets!$1:$1,0)+1,FALSE)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4" s="67">
        <v>1</v>
      </c>
      <c r="AE1124" s="67">
        <v>1</v>
      </c>
      <c r="AF1124" s="37">
        <v>0</v>
      </c>
      <c r="AG1124" s="99">
        <f>ROUND(VLOOKUP(1,enemy_base_stats!$A:$F,2,FALSE) * Y1124* J1124*O1124*E1124*S1124*AD1124*[2]ステータス!$B$2,0)</f>
        <v>4250</v>
      </c>
      <c r="AH1124" s="99">
        <f>ROUND(VLOOKUP(1,enemy_base_stats!$A:$F,3,FALSE) * Z1124*K1124*P1124*F1124*T1124*AE1124 * W1124*[2]ステータス!$C$2,0)</f>
        <v>268</v>
      </c>
      <c r="AI1124" s="99">
        <f>ROUND(VLOOKUP(1,enemy_base_stats!$A:$F,4,FALSE) * AA1124*L1124*Q1124*G1124*U1124*AF1124*[2]ステータス!$D$2,0)</f>
        <v>0</v>
      </c>
      <c r="AJ1124" s="99">
        <f>ROUND(VLOOKUP(100,enemy_base_stats!$A:$F,2,FALSE) * Y1124* J1124*O1124*E1124*S1124*AD1124*[2]ステータス!$B$2,0)</f>
        <v>172550</v>
      </c>
      <c r="AK1124" s="99">
        <f>ROUND(VLOOKUP(100,enemy_base_stats!$A:$F,3,FALSE)* Z1124* K1124*P1124*F1124*T1124*AE1124 * W1124*[2]ステータス!$C$2,0)</f>
        <v>10862</v>
      </c>
      <c r="AL1124" s="99">
        <f>ROUND(VLOOKUP(100,enemy_base_stats!$A:$F,4,FALSE)* AA1124* L1124*Q1124*G1124*U1124*AF1124*[2]ステータス!$D$2,0)</f>
        <v>0</v>
      </c>
      <c r="AM1124" s="97">
        <f>VLOOKUP(M1124,[2]character_tribe_i18n!$A:$I,9,FALSE)</f>
        <v>400</v>
      </c>
      <c r="AN1124" s="36">
        <v>0</v>
      </c>
      <c r="AO1124" s="53">
        <v>0</v>
      </c>
      <c r="AP1124" s="58" t="s">
        <v>72</v>
      </c>
      <c r="AQ1124" s="71">
        <f t="shared" si="61"/>
        <v>1123</v>
      </c>
    </row>
    <row r="1125" spans="1:43" ht="21" customHeight="1" x14ac:dyDescent="0.15">
      <c r="A1125" s="7">
        <v>1124</v>
      </c>
      <c r="B1125" s="6" t="str">
        <f>VLOOKUP(A1125,[2]characters!$A:$C,3,FALSE)</f>
        <v>超絶界析 ラグランジュ</v>
      </c>
      <c r="C1125" s="9">
        <f>VLOOKUP(A1125,[2]characters!$A:$I,9,FALSE)</f>
        <v>6</v>
      </c>
      <c r="D1125" s="9" t="str">
        <f>VLOOKUP(A1125,[2]characters!$A:$H,8,FALSE)</f>
        <v>red</v>
      </c>
      <c r="E1125" s="24">
        <f>VLOOKUP(D1125,[2]属性!$A:$E,2,FALSE)</f>
        <v>1</v>
      </c>
      <c r="F1125" s="24">
        <f>VLOOKUP(D1125,[2]属性!$A:$E,3,FALSE)</f>
        <v>1.02</v>
      </c>
      <c r="G1125" s="24">
        <f>VLOOKUP(D1125,[2]属性!$A:$F,4,FALSE)</f>
        <v>1</v>
      </c>
      <c r="H1125" s="9" t="str">
        <f>VLOOKUP(A1125,[2]characters!$A:$K,11,FALSE)</f>
        <v>technical</v>
      </c>
      <c r="I1125" s="14" t="str">
        <f>VLOOKUP(H1125,[2]character_type_i18n!$A:$F,3,FALSE)</f>
        <v>テクニカルタイプ</v>
      </c>
      <c r="J1125" s="36">
        <f>VLOOKUP(H1125,[2]character_type_i18n!$A:$F,4,FALSE)</f>
        <v>0.9</v>
      </c>
      <c r="K1125" s="36">
        <f>VLOOKUP(H1125,[2]character_type_i18n!$A:$F,5,FALSE)</f>
        <v>0.9</v>
      </c>
      <c r="L1125" s="36">
        <f>VLOOKUP(H1125,[2]character_type_i18n!$A:$F,6,FALSE)</f>
        <v>1</v>
      </c>
      <c r="M1125" s="9" t="str">
        <f>VLOOKUP(A1125,[2]characters!$A:$M,13,FALSE)</f>
        <v>academia</v>
      </c>
      <c r="N1125" s="14" t="str">
        <f>VLOOKUP(M1125,[2]character_tribe_i18n!$A:$F,3,FALSE)</f>
        <v>アカデミア</v>
      </c>
      <c r="O1125" s="24">
        <f>VLOOKUP(M1125,[2]character_tribe_i18n!$A:$F,4,FALSE)</f>
        <v>1</v>
      </c>
      <c r="P1125" s="24">
        <f>VLOOKUP(M1125,[2]character_tribe_i18n!$A:$F,5,FALSE)</f>
        <v>1</v>
      </c>
      <c r="Q1125" s="24">
        <f>VLOOKUP(M1125,[2]character_tribe_i18n!$A:$F,6,FALSE)</f>
        <v>1</v>
      </c>
      <c r="R1125" s="25" t="s">
        <v>98</v>
      </c>
      <c r="S1125" s="24">
        <f>VLOOKUP($R1125,ラベル別係数!$A$1:$E$7,3,FALSE)</f>
        <v>5</v>
      </c>
      <c r="T1125" s="24">
        <f>VLOOKUP($R1125,ラベル別係数!$A$1:$E$7,4,FALSE)</f>
        <v>1.3</v>
      </c>
      <c r="U1125" s="24">
        <f>VLOOKUP($R1125,ラベル別係数!$A$1:$E$7,5,FALSE)</f>
        <v>0.8</v>
      </c>
      <c r="V1125" s="27">
        <v>3</v>
      </c>
      <c r="W1125" s="28">
        <f>VLOOKUP(V1125,ターン数別攻撃係数!$A$1:$B$1000,2,FALSE)</f>
        <v>1</v>
      </c>
      <c r="X1125" s="9">
        <f>VLOOKUP(C1125,サイズ別係数!A$2:B$9,2,FALSE)</f>
        <v>60</v>
      </c>
      <c r="Y1125" s="26">
        <f>VLOOKUP($X1125,サイズ別係数!$B:$E,2,FALSE)</f>
        <v>1.7</v>
      </c>
      <c r="Z1125" s="26">
        <f>VLOOKUP($X1125,サイズ別係数!$B:$E,3,FALSE)</f>
        <v>1.4</v>
      </c>
      <c r="AA1125" s="26">
        <f>VLOOKUP($X1125,サイズ別係数!$B:$E,4,FALSE)</f>
        <v>1</v>
      </c>
      <c r="AB1125" s="5">
        <v>0</v>
      </c>
      <c r="AC1125" s="34" t="str">
        <f ca="1">VLOOKUP($AB1125,OFFSET([3]enemy_skill_sets!$B$2,0,0,COUNTA([3]enemy_skill_sets!$A:$A),MATCH(AC$1,[3]enemy_skill_sets!$1:$1,0)-MATCH($AB$1,[3]enemy_skill_sets!$1:$1,0)+1),MATCH(AC$1,[3]enemy_skill_sets!$1:$1,0)-MATCH($AB$1,[3]enemy_skill_sets!$1:$1,0)+1,FALSE)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5" s="67">
        <v>1</v>
      </c>
      <c r="AE1125" s="67">
        <v>1</v>
      </c>
      <c r="AF1125" s="37">
        <v>0</v>
      </c>
      <c r="AG1125" s="99">
        <f>ROUND(VLOOKUP(1,enemy_base_stats!$A:$F,2,FALSE) * Y1125* J1125*O1125*E1125*S1125*AD1125*[2]ステータス!$B$2,0)</f>
        <v>3825</v>
      </c>
      <c r="AH1125" s="99">
        <f>ROUND(VLOOKUP(1,enemy_base_stats!$A:$F,3,FALSE) * Z1125*K1125*P1125*F1125*T1125*AE1125 * W1125*[2]ステータス!$C$2,0)</f>
        <v>251</v>
      </c>
      <c r="AI1125" s="99">
        <f>ROUND(VLOOKUP(1,enemy_base_stats!$A:$F,4,FALSE) * AA1125*L1125*Q1125*G1125*U1125*AF1125*[2]ステータス!$D$2,0)</f>
        <v>0</v>
      </c>
      <c r="AJ1125" s="99">
        <f>ROUND(VLOOKUP(100,enemy_base_stats!$A:$F,2,FALSE) * Y1125* J1125*O1125*E1125*S1125*AD1125*[2]ステータス!$B$2,0)</f>
        <v>155295</v>
      </c>
      <c r="AK1125" s="99">
        <f>ROUND(VLOOKUP(100,enemy_base_stats!$A:$F,3,FALSE)* Z1125* K1125*P1125*F1125*T1125*AE1125 * W1125*[2]ステータス!$C$2,0)</f>
        <v>10175</v>
      </c>
      <c r="AL1125" s="99">
        <f>ROUND(VLOOKUP(100,enemy_base_stats!$A:$F,4,FALSE)* AA1125* L1125*Q1125*G1125*U1125*AF1125*[2]ステータス!$D$2,0)</f>
        <v>0</v>
      </c>
      <c r="AM1125" s="97">
        <f>VLOOKUP(M1125,[2]character_tribe_i18n!$A:$I,9,FALSE)</f>
        <v>400</v>
      </c>
      <c r="AN1125" s="36">
        <v>0</v>
      </c>
      <c r="AO1125" s="53">
        <v>0</v>
      </c>
      <c r="AP1125" s="58" t="s">
        <v>72</v>
      </c>
      <c r="AQ1125" s="71">
        <f t="shared" si="61"/>
        <v>1124</v>
      </c>
    </row>
    <row r="1126" spans="1:43" ht="21" customHeight="1" x14ac:dyDescent="0.15">
      <c r="A1126" s="7">
        <v>1125</v>
      </c>
      <c r="B1126" s="6" t="str">
        <f>VLOOKUP(A1126,[2]characters!$A:$C,3,FALSE)</f>
        <v>累々たる世解 シュレディンガー</v>
      </c>
      <c r="C1126" s="9">
        <f>VLOOKUP(A1126,[2]characters!$A:$I,9,FALSE)</f>
        <v>6</v>
      </c>
      <c r="D1126" s="9" t="str">
        <f>VLOOKUP(A1126,[2]characters!$A:$H,8,FALSE)</f>
        <v>red</v>
      </c>
      <c r="E1126" s="24">
        <f>VLOOKUP(D1126,[2]属性!$A:$E,2,FALSE)</f>
        <v>1</v>
      </c>
      <c r="F1126" s="24">
        <f>VLOOKUP(D1126,[2]属性!$A:$E,3,FALSE)</f>
        <v>1.02</v>
      </c>
      <c r="G1126" s="24">
        <f>VLOOKUP(D1126,[2]属性!$A:$F,4,FALSE)</f>
        <v>1</v>
      </c>
      <c r="H1126" s="9" t="str">
        <f>VLOOKUP(A1126,[2]characters!$A:$K,11,FALSE)</f>
        <v>technical</v>
      </c>
      <c r="I1126" s="14" t="str">
        <f>VLOOKUP(H1126,[2]character_type_i18n!$A:$F,3,FALSE)</f>
        <v>テクニカルタイプ</v>
      </c>
      <c r="J1126" s="36">
        <f>VLOOKUP(H1126,[2]character_type_i18n!$A:$F,4,FALSE)</f>
        <v>0.9</v>
      </c>
      <c r="K1126" s="36">
        <f>VLOOKUP(H1126,[2]character_type_i18n!$A:$F,5,FALSE)</f>
        <v>0.9</v>
      </c>
      <c r="L1126" s="36">
        <f>VLOOKUP(H1126,[2]character_type_i18n!$A:$F,6,FALSE)</f>
        <v>1</v>
      </c>
      <c r="M1126" s="9" t="str">
        <f>VLOOKUP(A1126,[2]characters!$A:$M,13,FALSE)</f>
        <v>academia</v>
      </c>
      <c r="N1126" s="14" t="str">
        <f>VLOOKUP(M1126,[2]character_tribe_i18n!$A:$F,3,FALSE)</f>
        <v>アカデミア</v>
      </c>
      <c r="O1126" s="24">
        <f>VLOOKUP(M1126,[2]character_tribe_i18n!$A:$F,4,FALSE)</f>
        <v>1</v>
      </c>
      <c r="P1126" s="24">
        <f>VLOOKUP(M1126,[2]character_tribe_i18n!$A:$F,5,FALSE)</f>
        <v>1</v>
      </c>
      <c r="Q1126" s="24">
        <f>VLOOKUP(M1126,[2]character_tribe_i18n!$A:$F,6,FALSE)</f>
        <v>1</v>
      </c>
      <c r="R1126" s="25" t="s">
        <v>98</v>
      </c>
      <c r="S1126" s="24">
        <f>VLOOKUP($R1126,ラベル別係数!$A$1:$E$7,3,FALSE)</f>
        <v>5</v>
      </c>
      <c r="T1126" s="24">
        <f>VLOOKUP($R1126,ラベル別係数!$A$1:$E$7,4,FALSE)</f>
        <v>1.3</v>
      </c>
      <c r="U1126" s="24">
        <f>VLOOKUP($R1126,ラベル別係数!$A$1:$E$7,5,FALSE)</f>
        <v>0.8</v>
      </c>
      <c r="V1126" s="27">
        <v>3</v>
      </c>
      <c r="W1126" s="28">
        <f>VLOOKUP(V1126,ターン数別攻撃係数!$A$1:$B$1000,2,FALSE)</f>
        <v>1</v>
      </c>
      <c r="X1126" s="9">
        <f>VLOOKUP(C1126,サイズ別係数!A$2:B$9,2,FALSE)</f>
        <v>60</v>
      </c>
      <c r="Y1126" s="26">
        <f>VLOOKUP($X1126,サイズ別係数!$B:$E,2,FALSE)</f>
        <v>1.7</v>
      </c>
      <c r="Z1126" s="26">
        <f>VLOOKUP($X1126,サイズ別係数!$B:$E,3,FALSE)</f>
        <v>1.4</v>
      </c>
      <c r="AA1126" s="26">
        <f>VLOOKUP($X1126,サイズ別係数!$B:$E,4,FALSE)</f>
        <v>1</v>
      </c>
      <c r="AB1126" s="5">
        <v>0</v>
      </c>
      <c r="AC1126" s="34" t="str">
        <f ca="1">VLOOKUP($AB1126,OFFSET([3]enemy_skill_sets!$B$2,0,0,COUNTA([3]enemy_skill_sets!$A:$A),MATCH(AC$1,[3]enemy_skill_sets!$1:$1,0)-MATCH($AB$1,[3]enemy_skill_sets!$1:$1,0)+1),MATCH(AC$1,[3]enemy_skill_sets!$1:$1,0)-MATCH($AB$1,[3]enemy_skill_sets!$1:$1,0)+1,FALSE)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6" s="67">
        <v>1</v>
      </c>
      <c r="AE1126" s="67">
        <v>1</v>
      </c>
      <c r="AF1126" s="37">
        <v>0</v>
      </c>
      <c r="AG1126" s="99">
        <f>ROUND(VLOOKUP(1,enemy_base_stats!$A:$F,2,FALSE) * Y1126* J1126*O1126*E1126*S1126*AD1126*[2]ステータス!$B$2,0)</f>
        <v>3825</v>
      </c>
      <c r="AH1126" s="99">
        <f>ROUND(VLOOKUP(1,enemy_base_stats!$A:$F,3,FALSE) * Z1126*K1126*P1126*F1126*T1126*AE1126 * W1126*[2]ステータス!$C$2,0)</f>
        <v>251</v>
      </c>
      <c r="AI1126" s="99">
        <f>ROUND(VLOOKUP(1,enemy_base_stats!$A:$F,4,FALSE) * AA1126*L1126*Q1126*G1126*U1126*AF1126*[2]ステータス!$D$2,0)</f>
        <v>0</v>
      </c>
      <c r="AJ1126" s="99">
        <f>ROUND(VLOOKUP(100,enemy_base_stats!$A:$F,2,FALSE) * Y1126* J1126*O1126*E1126*S1126*AD1126*[2]ステータス!$B$2,0)</f>
        <v>155295</v>
      </c>
      <c r="AK1126" s="99">
        <f>ROUND(VLOOKUP(100,enemy_base_stats!$A:$F,3,FALSE)* Z1126* K1126*P1126*F1126*T1126*AE1126 * W1126*[2]ステータス!$C$2,0)</f>
        <v>10175</v>
      </c>
      <c r="AL1126" s="99">
        <f>ROUND(VLOOKUP(100,enemy_base_stats!$A:$F,4,FALSE)* AA1126* L1126*Q1126*G1126*U1126*AF1126*[2]ステータス!$D$2,0)</f>
        <v>0</v>
      </c>
      <c r="AM1126" s="97">
        <f>VLOOKUP(M1126,[2]character_tribe_i18n!$A:$I,9,FALSE)</f>
        <v>400</v>
      </c>
      <c r="AN1126" s="36">
        <v>0</v>
      </c>
      <c r="AO1126" s="53">
        <v>0</v>
      </c>
      <c r="AP1126" s="58" t="s">
        <v>72</v>
      </c>
      <c r="AQ1126" s="71">
        <f t="shared" si="61"/>
        <v>1125</v>
      </c>
    </row>
    <row r="1127" spans="1:43" ht="21" customHeight="1" x14ac:dyDescent="0.15">
      <c r="A1127" s="7">
        <v>1126</v>
      </c>
      <c r="B1127" s="6" t="str">
        <f>VLOOKUP(A1127,[2]characters!$A:$C,3,FALSE)</f>
        <v>最終焉算の鋼砲 チューリング</v>
      </c>
      <c r="C1127" s="9">
        <f>VLOOKUP(A1127,[2]characters!$A:$I,9,FALSE)</f>
        <v>6</v>
      </c>
      <c r="D1127" s="9" t="str">
        <f>VLOOKUP(A1127,[2]characters!$A:$H,8,FALSE)</f>
        <v>green</v>
      </c>
      <c r="E1127" s="24">
        <f>VLOOKUP(D1127,[2]属性!$A:$E,2,FALSE)</f>
        <v>1.02</v>
      </c>
      <c r="F1127" s="24">
        <f>VLOOKUP(D1127,[2]属性!$A:$E,3,FALSE)</f>
        <v>0.98</v>
      </c>
      <c r="G1127" s="24">
        <f>VLOOKUP(D1127,[2]属性!$A:$F,4,FALSE)</f>
        <v>1</v>
      </c>
      <c r="H1127" s="9" t="str">
        <f>VLOOKUP(A1127,[2]characters!$A:$K,11,FALSE)</f>
        <v>hp</v>
      </c>
      <c r="I1127" s="14" t="str">
        <f>VLOOKUP(H1127,[2]character_type_i18n!$A:$F,3,FALSE)</f>
        <v>体力タイプ</v>
      </c>
      <c r="J1127" s="36">
        <f>VLOOKUP(H1127,[2]character_type_i18n!$A:$F,4,FALSE)</f>
        <v>1.45</v>
      </c>
      <c r="K1127" s="36">
        <f>VLOOKUP(H1127,[2]character_type_i18n!$A:$F,5,FALSE)</f>
        <v>0.85</v>
      </c>
      <c r="L1127" s="36">
        <f>VLOOKUP(H1127,[2]character_type_i18n!$A:$F,6,FALSE)</f>
        <v>1</v>
      </c>
      <c r="M1127" s="9" t="str">
        <f>VLOOKUP(A1127,[2]characters!$A:$M,13,FALSE)</f>
        <v>academia</v>
      </c>
      <c r="N1127" s="14" t="str">
        <f>VLOOKUP(M1127,[2]character_tribe_i18n!$A:$F,3,FALSE)</f>
        <v>アカデミア</v>
      </c>
      <c r="O1127" s="24">
        <f>VLOOKUP(M1127,[2]character_tribe_i18n!$A:$F,4,FALSE)</f>
        <v>1</v>
      </c>
      <c r="P1127" s="24">
        <f>VLOOKUP(M1127,[2]character_tribe_i18n!$A:$F,5,FALSE)</f>
        <v>1</v>
      </c>
      <c r="Q1127" s="24">
        <f>VLOOKUP(M1127,[2]character_tribe_i18n!$A:$F,6,FALSE)</f>
        <v>1</v>
      </c>
      <c r="R1127" s="25" t="s">
        <v>98</v>
      </c>
      <c r="S1127" s="24">
        <f>VLOOKUP($R1127,ラベル別係数!$A$1:$E$7,3,FALSE)</f>
        <v>5</v>
      </c>
      <c r="T1127" s="24">
        <f>VLOOKUP($R1127,ラベル別係数!$A$1:$E$7,4,FALSE)</f>
        <v>1.3</v>
      </c>
      <c r="U1127" s="24">
        <f>VLOOKUP($R1127,ラベル別係数!$A$1:$E$7,5,FALSE)</f>
        <v>0.8</v>
      </c>
      <c r="V1127" s="27">
        <v>3</v>
      </c>
      <c r="W1127" s="28">
        <f>VLOOKUP(V1127,ターン数別攻撃係数!$A$1:$B$1000,2,FALSE)</f>
        <v>1</v>
      </c>
      <c r="X1127" s="9">
        <f>VLOOKUP(C1127,サイズ別係数!A$2:B$9,2,FALSE)</f>
        <v>60</v>
      </c>
      <c r="Y1127" s="26">
        <f>VLOOKUP($X1127,サイズ別係数!$B:$E,2,FALSE)</f>
        <v>1.7</v>
      </c>
      <c r="Z1127" s="26">
        <f>VLOOKUP($X1127,サイズ別係数!$B:$E,3,FALSE)</f>
        <v>1.4</v>
      </c>
      <c r="AA1127" s="26">
        <f>VLOOKUP($X1127,サイズ別係数!$B:$E,4,FALSE)</f>
        <v>1</v>
      </c>
      <c r="AB1127" s="5">
        <v>0</v>
      </c>
      <c r="AC1127" s="34" t="str">
        <f ca="1">VLOOKUP($AB1127,OFFSET([3]enemy_skill_sets!$B$2,0,0,COUNTA([3]enemy_skill_sets!$A:$A),MATCH(AC$1,[3]enemy_skill_sets!$1:$1,0)-MATCH($AB$1,[3]enemy_skill_sets!$1:$1,0)+1),MATCH(AC$1,[3]enemy_skill_sets!$1:$1,0)-MATCH($AB$1,[3]enemy_skill_sets!$1:$1,0)+1,FALSE)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7" s="67">
        <v>1</v>
      </c>
      <c r="AE1127" s="67">
        <v>1</v>
      </c>
      <c r="AF1127" s="37">
        <v>0</v>
      </c>
      <c r="AG1127" s="99">
        <f>ROUND(VLOOKUP(1,enemy_base_stats!$A:$F,2,FALSE) * Y1127* J1127*O1127*E1127*S1127*AD1127*[2]ステータス!$B$2,0)</f>
        <v>6286</v>
      </c>
      <c r="AH1127" s="99">
        <f>ROUND(VLOOKUP(1,enemy_base_stats!$A:$F,3,FALSE) * Z1127*K1127*P1127*F1127*T1127*AE1127 * W1127*[2]ステータス!$C$2,0)</f>
        <v>227</v>
      </c>
      <c r="AI1127" s="99">
        <f>ROUND(VLOOKUP(1,enemy_base_stats!$A:$F,4,FALSE) * AA1127*L1127*Q1127*G1127*U1127*AF1127*[2]ステータス!$D$2,0)</f>
        <v>0</v>
      </c>
      <c r="AJ1127" s="99">
        <f>ROUND(VLOOKUP(100,enemy_base_stats!$A:$F,2,FALSE) * Y1127* J1127*O1127*E1127*S1127*AD1127*[2]ステータス!$B$2,0)</f>
        <v>255201</v>
      </c>
      <c r="AK1127" s="99">
        <f>ROUND(VLOOKUP(100,enemy_base_stats!$A:$F,3,FALSE)* Z1127* K1127*P1127*F1127*T1127*AE1127 * W1127*[2]ステータス!$C$2,0)</f>
        <v>9233</v>
      </c>
      <c r="AL1127" s="99">
        <f>ROUND(VLOOKUP(100,enemy_base_stats!$A:$F,4,FALSE)* AA1127* L1127*Q1127*G1127*U1127*AF1127*[2]ステータス!$D$2,0)</f>
        <v>0</v>
      </c>
      <c r="AM1127" s="97">
        <f>VLOOKUP(M1127,[2]character_tribe_i18n!$A:$I,9,FALSE)</f>
        <v>400</v>
      </c>
      <c r="AN1127" s="36">
        <v>0</v>
      </c>
      <c r="AO1127" s="53">
        <v>0</v>
      </c>
      <c r="AP1127" s="58" t="s">
        <v>72</v>
      </c>
      <c r="AQ1127" s="71">
        <f t="shared" si="61"/>
        <v>1126</v>
      </c>
    </row>
    <row r="1128" spans="1:43" ht="21" customHeight="1" x14ac:dyDescent="0.15">
      <c r="A1128" s="7">
        <v>1127</v>
      </c>
      <c r="B1128" s="6" t="str">
        <f>VLOOKUP(A1128,[2]characters!$A:$C,3,FALSE)</f>
        <v>真蒼導く対偶 ヘンペル</v>
      </c>
      <c r="C1128" s="9">
        <f>VLOOKUP(A1128,[2]characters!$A:$I,9,FALSE)</f>
        <v>6</v>
      </c>
      <c r="D1128" s="9" t="str">
        <f>VLOOKUP(A1128,[2]characters!$A:$H,8,FALSE)</f>
        <v>blue</v>
      </c>
      <c r="E1128" s="24">
        <f>VLOOKUP(D1128,[2]属性!$A:$E,2,FALSE)</f>
        <v>1</v>
      </c>
      <c r="F1128" s="24">
        <f>VLOOKUP(D1128,[2]属性!$A:$E,3,FALSE)</f>
        <v>0.98</v>
      </c>
      <c r="G1128" s="24">
        <f>VLOOKUP(D1128,[2]属性!$A:$F,4,FALSE)</f>
        <v>1</v>
      </c>
      <c r="H1128" s="9" t="str">
        <f>VLOOKUP(A1128,[2]characters!$A:$K,11,FALSE)</f>
        <v>attack</v>
      </c>
      <c r="I1128" s="14" t="str">
        <f>VLOOKUP(H1128,[2]character_type_i18n!$A:$F,3,FALSE)</f>
        <v>攻撃タイプ</v>
      </c>
      <c r="J1128" s="36">
        <f>VLOOKUP(H1128,[2]character_type_i18n!$A:$F,4,FALSE)</f>
        <v>1</v>
      </c>
      <c r="K1128" s="36">
        <f>VLOOKUP(H1128,[2]character_type_i18n!$A:$F,5,FALSE)</f>
        <v>1.33</v>
      </c>
      <c r="L1128" s="36">
        <f>VLOOKUP(H1128,[2]character_type_i18n!$A:$F,6,FALSE)</f>
        <v>1</v>
      </c>
      <c r="M1128" s="9" t="str">
        <f>VLOOKUP(A1128,[2]characters!$A:$M,13,FALSE)</f>
        <v>academia</v>
      </c>
      <c r="N1128" s="14" t="str">
        <f>VLOOKUP(M1128,[2]character_tribe_i18n!$A:$F,3,FALSE)</f>
        <v>アカデミア</v>
      </c>
      <c r="O1128" s="24">
        <f>VLOOKUP(M1128,[2]character_tribe_i18n!$A:$F,4,FALSE)</f>
        <v>1</v>
      </c>
      <c r="P1128" s="24">
        <f>VLOOKUP(M1128,[2]character_tribe_i18n!$A:$F,5,FALSE)</f>
        <v>1</v>
      </c>
      <c r="Q1128" s="24">
        <f>VLOOKUP(M1128,[2]character_tribe_i18n!$A:$F,6,FALSE)</f>
        <v>1</v>
      </c>
      <c r="R1128" s="25" t="s">
        <v>98</v>
      </c>
      <c r="S1128" s="24">
        <f>VLOOKUP($R1128,ラベル別係数!$A$1:$E$7,3,FALSE)</f>
        <v>5</v>
      </c>
      <c r="T1128" s="24">
        <f>VLOOKUP($R1128,ラベル別係数!$A$1:$E$7,4,FALSE)</f>
        <v>1.3</v>
      </c>
      <c r="U1128" s="24">
        <f>VLOOKUP($R1128,ラベル別係数!$A$1:$E$7,5,FALSE)</f>
        <v>0.8</v>
      </c>
      <c r="V1128" s="27">
        <v>3</v>
      </c>
      <c r="W1128" s="28">
        <f>VLOOKUP(V1128,ターン数別攻撃係数!$A$1:$B$1000,2,FALSE)</f>
        <v>1</v>
      </c>
      <c r="X1128" s="9">
        <f>VLOOKUP(C1128,サイズ別係数!A$2:B$9,2,FALSE)</f>
        <v>60</v>
      </c>
      <c r="Y1128" s="26">
        <f>VLOOKUP($X1128,サイズ別係数!$B:$E,2,FALSE)</f>
        <v>1.7</v>
      </c>
      <c r="Z1128" s="26">
        <f>VLOOKUP($X1128,サイズ別係数!$B:$E,3,FALSE)</f>
        <v>1.4</v>
      </c>
      <c r="AA1128" s="26">
        <f>VLOOKUP($X1128,サイズ別係数!$B:$E,4,FALSE)</f>
        <v>1</v>
      </c>
      <c r="AB1128" s="5">
        <v>0</v>
      </c>
      <c r="AC1128" s="34" t="str">
        <f ca="1">VLOOKUP($AB1128,OFFSET([3]enemy_skill_sets!$B$2,0,0,COUNTA([3]enemy_skill_sets!$A:$A),MATCH(AC$1,[3]enemy_skill_sets!$1:$1,0)-MATCH($AB$1,[3]enemy_skill_sets!$1:$1,0)+1),MATCH(AC$1,[3]enemy_skill_sets!$1:$1,0)-MATCH($AB$1,[3]enemy_skill_sets!$1:$1,0)+1,FALSE)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8" s="67">
        <v>1</v>
      </c>
      <c r="AE1128" s="67">
        <v>1</v>
      </c>
      <c r="AF1128" s="37">
        <v>0</v>
      </c>
      <c r="AG1128" s="99">
        <f>ROUND(VLOOKUP(1,enemy_base_stats!$A:$F,2,FALSE) * Y1128* J1128*O1128*E1128*S1128*AD1128*[2]ステータス!$B$2,0)</f>
        <v>4250</v>
      </c>
      <c r="AH1128" s="99">
        <f>ROUND(VLOOKUP(1,enemy_base_stats!$A:$F,3,FALSE) * Z1128*K1128*P1128*F1128*T1128*AE1128 * W1128*[2]ステータス!$C$2,0)</f>
        <v>356</v>
      </c>
      <c r="AI1128" s="99">
        <f>ROUND(VLOOKUP(1,enemy_base_stats!$A:$F,4,FALSE) * AA1128*L1128*Q1128*G1128*U1128*AF1128*[2]ステータス!$D$2,0)</f>
        <v>0</v>
      </c>
      <c r="AJ1128" s="99">
        <f>ROUND(VLOOKUP(100,enemy_base_stats!$A:$F,2,FALSE) * Y1128* J1128*O1128*E1128*S1128*AD1128*[2]ステータス!$B$2,0)</f>
        <v>172550</v>
      </c>
      <c r="AK1128" s="99">
        <f>ROUND(VLOOKUP(100,enemy_base_stats!$A:$F,3,FALSE)* Z1128* K1128*P1128*F1128*T1128*AE1128 * W1128*[2]ステータス!$C$2,0)</f>
        <v>14447</v>
      </c>
      <c r="AL1128" s="99">
        <f>ROUND(VLOOKUP(100,enemy_base_stats!$A:$F,4,FALSE)* AA1128* L1128*Q1128*G1128*U1128*AF1128*[2]ステータス!$D$2,0)</f>
        <v>0</v>
      </c>
      <c r="AM1128" s="97">
        <f>VLOOKUP(M1128,[2]character_tribe_i18n!$A:$I,9,FALSE)</f>
        <v>400</v>
      </c>
      <c r="AN1128" s="36">
        <v>0</v>
      </c>
      <c r="AO1128" s="53">
        <v>0</v>
      </c>
      <c r="AP1128" s="58" t="s">
        <v>72</v>
      </c>
      <c r="AQ1128" s="71">
        <f t="shared" si="61"/>
        <v>1127</v>
      </c>
    </row>
    <row r="1129" spans="1:43" ht="21" customHeight="1" x14ac:dyDescent="0.15">
      <c r="A1129" s="7">
        <v>1128</v>
      </c>
      <c r="B1129" s="6" t="str">
        <f>VLOOKUP(A1129,[2]characters!$A:$C,3,FALSE)</f>
        <v>宇宙天紡の星明 ハップル</v>
      </c>
      <c r="C1129" s="9">
        <f>VLOOKUP(A1129,[2]characters!$A:$I,9,FALSE)</f>
        <v>6</v>
      </c>
      <c r="D1129" s="9" t="str">
        <f>VLOOKUP(A1129,[2]characters!$A:$H,8,FALSE)</f>
        <v>yellow</v>
      </c>
      <c r="E1129" s="24">
        <f>VLOOKUP(D1129,[2]属性!$A:$E,2,FALSE)</f>
        <v>0.98</v>
      </c>
      <c r="F1129" s="24">
        <f>VLOOKUP(D1129,[2]属性!$A:$E,3,FALSE)</f>
        <v>1.01</v>
      </c>
      <c r="G1129" s="24">
        <f>VLOOKUP(D1129,[2]属性!$A:$F,4,FALSE)</f>
        <v>1</v>
      </c>
      <c r="H1129" s="9" t="str">
        <f>VLOOKUP(A1129,[2]characters!$A:$K,11,FALSE)</f>
        <v>technical</v>
      </c>
      <c r="I1129" s="14" t="str">
        <f>VLOOKUP(H1129,[2]character_type_i18n!$A:$F,3,FALSE)</f>
        <v>テクニカルタイプ</v>
      </c>
      <c r="J1129" s="36">
        <f>VLOOKUP(H1129,[2]character_type_i18n!$A:$F,4,FALSE)</f>
        <v>0.9</v>
      </c>
      <c r="K1129" s="36">
        <f>VLOOKUP(H1129,[2]character_type_i18n!$A:$F,5,FALSE)</f>
        <v>0.9</v>
      </c>
      <c r="L1129" s="36">
        <f>VLOOKUP(H1129,[2]character_type_i18n!$A:$F,6,FALSE)</f>
        <v>1</v>
      </c>
      <c r="M1129" s="9" t="str">
        <f>VLOOKUP(A1129,[2]characters!$A:$M,13,FALSE)</f>
        <v>academia</v>
      </c>
      <c r="N1129" s="14" t="str">
        <f>VLOOKUP(M1129,[2]character_tribe_i18n!$A:$F,3,FALSE)</f>
        <v>アカデミア</v>
      </c>
      <c r="O1129" s="24">
        <f>VLOOKUP(M1129,[2]character_tribe_i18n!$A:$F,4,FALSE)</f>
        <v>1</v>
      </c>
      <c r="P1129" s="24">
        <f>VLOOKUP(M1129,[2]character_tribe_i18n!$A:$F,5,FALSE)</f>
        <v>1</v>
      </c>
      <c r="Q1129" s="24">
        <f>VLOOKUP(M1129,[2]character_tribe_i18n!$A:$F,6,FALSE)</f>
        <v>1</v>
      </c>
      <c r="R1129" s="25" t="s">
        <v>98</v>
      </c>
      <c r="S1129" s="24">
        <f>VLOOKUP($R1129,ラベル別係数!$A$1:$E$7,3,FALSE)</f>
        <v>5</v>
      </c>
      <c r="T1129" s="24">
        <f>VLOOKUP($R1129,ラベル別係数!$A$1:$E$7,4,FALSE)</f>
        <v>1.3</v>
      </c>
      <c r="U1129" s="24">
        <f>VLOOKUP($R1129,ラベル別係数!$A$1:$E$7,5,FALSE)</f>
        <v>0.8</v>
      </c>
      <c r="V1129" s="27">
        <v>3</v>
      </c>
      <c r="W1129" s="28">
        <f>VLOOKUP(V1129,ターン数別攻撃係数!$A$1:$B$1000,2,FALSE)</f>
        <v>1</v>
      </c>
      <c r="X1129" s="9">
        <f>VLOOKUP(C1129,サイズ別係数!A$2:B$9,2,FALSE)</f>
        <v>60</v>
      </c>
      <c r="Y1129" s="26">
        <f>VLOOKUP($X1129,サイズ別係数!$B:$E,2,FALSE)</f>
        <v>1.7</v>
      </c>
      <c r="Z1129" s="26">
        <f>VLOOKUP($X1129,サイズ別係数!$B:$E,3,FALSE)</f>
        <v>1.4</v>
      </c>
      <c r="AA1129" s="26">
        <f>VLOOKUP($X1129,サイズ別係数!$B:$E,4,FALSE)</f>
        <v>1</v>
      </c>
      <c r="AB1129" s="5">
        <v>0</v>
      </c>
      <c r="AC1129" s="34" t="str">
        <f ca="1">VLOOKUP($AB1129,OFFSET([3]enemy_skill_sets!$B$2,0,0,COUNTA([3]enemy_skill_sets!$A:$A),MATCH(AC$1,[3]enemy_skill_sets!$1:$1,0)-MATCH($AB$1,[3]enemy_skill_sets!$1:$1,0)+1),MATCH(AC$1,[3]enemy_skill_sets!$1:$1,0)-MATCH($AB$1,[3]enemy_skill_sets!$1:$1,0)+1,FALSE)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29" s="67">
        <v>1</v>
      </c>
      <c r="AE1129" s="67">
        <v>1</v>
      </c>
      <c r="AF1129" s="37">
        <v>0</v>
      </c>
      <c r="AG1129" s="99">
        <f>ROUND(VLOOKUP(1,enemy_base_stats!$A:$F,2,FALSE) * Y1129* J1129*O1129*E1129*S1129*AD1129*[2]ステータス!$B$2,0)</f>
        <v>3749</v>
      </c>
      <c r="AH1129" s="99">
        <f>ROUND(VLOOKUP(1,enemy_base_stats!$A:$F,3,FALSE) * Z1129*K1129*P1129*F1129*T1129*AE1129 * W1129*[2]ステータス!$C$2,0)</f>
        <v>248</v>
      </c>
      <c r="AI1129" s="99">
        <f>ROUND(VLOOKUP(1,enemy_base_stats!$A:$F,4,FALSE) * AA1129*L1129*Q1129*G1129*U1129*AF1129*[2]ステータス!$D$2,0)</f>
        <v>0</v>
      </c>
      <c r="AJ1129" s="99">
        <f>ROUND(VLOOKUP(100,enemy_base_stats!$A:$F,2,FALSE) * Y1129* J1129*O1129*E1129*S1129*AD1129*[2]ステータス!$B$2,0)</f>
        <v>152189</v>
      </c>
      <c r="AK1129" s="99">
        <f>ROUND(VLOOKUP(100,enemy_base_stats!$A:$F,3,FALSE)* Z1129* K1129*P1129*F1129*T1129*AE1129 * W1129*[2]ステータス!$C$2,0)</f>
        <v>10075</v>
      </c>
      <c r="AL1129" s="99">
        <f>ROUND(VLOOKUP(100,enemy_base_stats!$A:$F,4,FALSE)* AA1129* L1129*Q1129*G1129*U1129*AF1129*[2]ステータス!$D$2,0)</f>
        <v>0</v>
      </c>
      <c r="AM1129" s="97">
        <f>VLOOKUP(M1129,[2]character_tribe_i18n!$A:$I,9,FALSE)</f>
        <v>400</v>
      </c>
      <c r="AN1129" s="36">
        <v>0</v>
      </c>
      <c r="AO1129" s="53">
        <v>0</v>
      </c>
      <c r="AP1129" s="58" t="s">
        <v>72</v>
      </c>
      <c r="AQ1129" s="71">
        <f t="shared" si="61"/>
        <v>1128</v>
      </c>
    </row>
    <row r="1130" spans="1:43" ht="21" customHeight="1" x14ac:dyDescent="0.15">
      <c r="A1130" s="7">
        <v>1129</v>
      </c>
      <c r="B1130" s="6" t="str">
        <f>VLOOKUP(A1130,[2]characters!$A:$C,3,FALSE)</f>
        <v>赤兎馬</v>
      </c>
      <c r="C1130" s="100">
        <v>5</v>
      </c>
      <c r="D1130" s="9" t="str">
        <f>VLOOKUP(A1130,[2]characters!$A:$H,8,FALSE)</f>
        <v>red</v>
      </c>
      <c r="E1130" s="24">
        <f>VLOOKUP(D1130,[2]属性!$A:$E,2,FALSE)</f>
        <v>1</v>
      </c>
      <c r="F1130" s="24">
        <f>VLOOKUP(D1130,[2]属性!$A:$E,3,FALSE)</f>
        <v>1.02</v>
      </c>
      <c r="G1130" s="24">
        <f>VLOOKUP(D1130,[2]属性!$A:$F,4,FALSE)</f>
        <v>1</v>
      </c>
      <c r="H1130" s="100" t="s">
        <v>161</v>
      </c>
      <c r="I1130" s="14" t="str">
        <f>VLOOKUP(H1130,[2]character_type_i18n!$A:$F,3,FALSE)</f>
        <v>バランスタイプ</v>
      </c>
      <c r="J1130" s="36">
        <f>VLOOKUP(H1130,[2]character_type_i18n!$A:$F,4,FALSE)</f>
        <v>1</v>
      </c>
      <c r="K1130" s="36">
        <f>VLOOKUP(H1130,[2]character_type_i18n!$A:$F,5,FALSE)</f>
        <v>1</v>
      </c>
      <c r="L1130" s="36">
        <f>VLOOKUP(H1130,[2]character_type_i18n!$A:$F,6,FALSE)</f>
        <v>1</v>
      </c>
      <c r="M1130" s="9" t="str">
        <f>VLOOKUP(A1130,[2]characters!$A:$M,13,FALSE)</f>
        <v>animal</v>
      </c>
      <c r="N1130" s="14" t="str">
        <f>VLOOKUP(M1130,[2]character_tribe_i18n!$A:$F,3,FALSE)</f>
        <v>アニマル</v>
      </c>
      <c r="O1130" s="24">
        <f>VLOOKUP(M1130,[2]character_tribe_i18n!$A:$F,4,FALSE)</f>
        <v>1</v>
      </c>
      <c r="P1130" s="24">
        <f>VLOOKUP(M1130,[2]character_tribe_i18n!$A:$F,5,FALSE)</f>
        <v>1.1000000000000001</v>
      </c>
      <c r="Q1130" s="24">
        <f>VLOOKUP(M1130,[2]character_tribe_i18n!$A:$F,6,FALSE)</f>
        <v>1</v>
      </c>
      <c r="R1130" s="25" t="s">
        <v>98</v>
      </c>
      <c r="S1130" s="24">
        <f>VLOOKUP($R1130,ラベル別係数!$A$1:$E$7,3,FALSE)</f>
        <v>5</v>
      </c>
      <c r="T1130" s="24">
        <f>VLOOKUP($R1130,ラベル別係数!$A$1:$E$7,4,FALSE)</f>
        <v>1.3</v>
      </c>
      <c r="U1130" s="24">
        <f>VLOOKUP($R1130,ラベル別係数!$A$1:$E$7,5,FALSE)</f>
        <v>0.8</v>
      </c>
      <c r="V1130" s="27">
        <v>3</v>
      </c>
      <c r="W1130" s="28">
        <f>VLOOKUP(V1130,ターン数別攻撃係数!$A$1:$B$1000,2,FALSE)</f>
        <v>1</v>
      </c>
      <c r="X1130" s="100">
        <v>30</v>
      </c>
      <c r="Y1130" s="101">
        <v>1.7</v>
      </c>
      <c r="Z1130" s="101">
        <v>1.4</v>
      </c>
      <c r="AA1130" s="101">
        <v>1</v>
      </c>
      <c r="AB1130" s="5">
        <v>0</v>
      </c>
      <c r="AC1130" s="34" t="str">
        <f ca="1">VLOOKUP($AB1130,OFFSET([3]enemy_skill_sets!$B$2,0,0,COUNTA([3]enemy_skill_sets!$A:$A),MATCH(AC$1,[3]enemy_skill_sets!$1:$1,0)-MATCH($AB$1,[3]enemy_skill_sets!$1:$1,0)+1),MATCH(AC$1,[3]enemy_skill_sets!$1:$1,0)-MATCH($AB$1,[3]enemy_skill_sets!$1:$1,0)+1,FALSE)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0" s="67">
        <v>1</v>
      </c>
      <c r="AE1130" s="67">
        <v>1</v>
      </c>
      <c r="AF1130" s="37">
        <v>0</v>
      </c>
      <c r="AG1130" s="99">
        <f>ROUND(VLOOKUP(1,enemy_base_stats!$A:$F,2,FALSE) * Y1130* J1130*O1130*E1130*S1130*AD1130*[2]ステータス!$B$2,0)</f>
        <v>4250</v>
      </c>
      <c r="AH1130" s="99">
        <f>ROUND(VLOOKUP(1,enemy_base_stats!$A:$F,3,FALSE) * Z1130*K1130*P1130*F1130*T1130*AE1130 * W1130*[2]ステータス!$C$2,0)</f>
        <v>306</v>
      </c>
      <c r="AI1130" s="99">
        <f>ROUND(VLOOKUP(1,enemy_base_stats!$A:$F,4,FALSE) * AA1130*L1130*Q1130*G1130*U1130*AF1130*[2]ステータス!$D$2,0)</f>
        <v>0</v>
      </c>
      <c r="AJ1130" s="99">
        <f>ROUND(VLOOKUP(100,enemy_base_stats!$A:$F,2,FALSE) * Y1130* J1130*O1130*E1130*S1130*AD1130*[2]ステータス!$B$2,0)</f>
        <v>172550</v>
      </c>
      <c r="AK1130" s="99">
        <f>ROUND(VLOOKUP(100,enemy_base_stats!$A:$F,3,FALSE)* Z1130* K1130*P1130*F1130*T1130*AE1130 * W1130*[2]ステータス!$C$2,0)</f>
        <v>12436</v>
      </c>
      <c r="AL1130" s="99">
        <f>ROUND(VLOOKUP(100,enemy_base_stats!$A:$F,4,FALSE)* AA1130* L1130*Q1130*G1130*U1130*AF1130*[2]ステータス!$D$2,0)</f>
        <v>0</v>
      </c>
      <c r="AM1130" s="97">
        <f>VLOOKUP(M1130,[2]character_tribe_i18n!$A:$I,9,FALSE)</f>
        <v>480</v>
      </c>
      <c r="AN1130" s="36">
        <v>0</v>
      </c>
      <c r="AO1130" s="53">
        <v>0</v>
      </c>
      <c r="AP1130" s="58" t="s">
        <v>72</v>
      </c>
      <c r="AQ1130" s="71">
        <f t="shared" si="61"/>
        <v>1129</v>
      </c>
    </row>
    <row r="1131" spans="1:43" ht="21" customHeight="1" x14ac:dyDescent="0.15">
      <c r="A1131" s="7">
        <v>1130</v>
      </c>
      <c r="B1131" s="6" t="str">
        <f>VLOOKUP(A1131,[2]characters!$A:$C,3,FALSE)</f>
        <v>紅鋼の疾躁獣 赤兎馬</v>
      </c>
      <c r="C1131" s="9">
        <f>VLOOKUP(A1131,[2]characters!$A:$I,9,FALSE)</f>
        <v>5</v>
      </c>
      <c r="D1131" s="9" t="str">
        <f>VLOOKUP(A1131,[2]characters!$A:$H,8,FALSE)</f>
        <v>red</v>
      </c>
      <c r="E1131" s="24">
        <f>VLOOKUP(D1131,[2]属性!$A:$E,2,FALSE)</f>
        <v>1</v>
      </c>
      <c r="F1131" s="24">
        <f>VLOOKUP(D1131,[2]属性!$A:$E,3,FALSE)</f>
        <v>1.02</v>
      </c>
      <c r="G1131" s="24">
        <f>VLOOKUP(D1131,[2]属性!$A:$F,4,FALSE)</f>
        <v>1</v>
      </c>
      <c r="H1131" s="100" t="s">
        <v>162</v>
      </c>
      <c r="I1131" s="14" t="str">
        <f>VLOOKUP(H1131,[2]character_type_i18n!$A:$F,3,FALSE)</f>
        <v>バランスタイプ</v>
      </c>
      <c r="J1131" s="36">
        <f>VLOOKUP(H1131,[2]character_type_i18n!$A:$F,4,FALSE)</f>
        <v>1</v>
      </c>
      <c r="K1131" s="36">
        <f>VLOOKUP(H1131,[2]character_type_i18n!$A:$F,5,FALSE)</f>
        <v>1</v>
      </c>
      <c r="L1131" s="36">
        <f>VLOOKUP(H1131,[2]character_type_i18n!$A:$F,6,FALSE)</f>
        <v>1</v>
      </c>
      <c r="M1131" s="9" t="str">
        <f>VLOOKUP(A1131,[2]characters!$A:$M,13,FALSE)</f>
        <v>animal</v>
      </c>
      <c r="N1131" s="14" t="str">
        <f>VLOOKUP(M1131,[2]character_tribe_i18n!$A:$F,3,FALSE)</f>
        <v>アニマル</v>
      </c>
      <c r="O1131" s="24">
        <f>VLOOKUP(M1131,[2]character_tribe_i18n!$A:$F,4,FALSE)</f>
        <v>1</v>
      </c>
      <c r="P1131" s="24">
        <f>VLOOKUP(M1131,[2]character_tribe_i18n!$A:$F,5,FALSE)</f>
        <v>1.1000000000000001</v>
      </c>
      <c r="Q1131" s="24">
        <f>VLOOKUP(M1131,[2]character_tribe_i18n!$A:$F,6,FALSE)</f>
        <v>1</v>
      </c>
      <c r="R1131" s="25" t="s">
        <v>98</v>
      </c>
      <c r="S1131" s="24">
        <f>VLOOKUP($R1131,ラベル別係数!$A$1:$E$7,3,FALSE)</f>
        <v>5</v>
      </c>
      <c r="T1131" s="24">
        <f>VLOOKUP($R1131,ラベル別係数!$A$1:$E$7,4,FALSE)</f>
        <v>1.3</v>
      </c>
      <c r="U1131" s="24">
        <f>VLOOKUP($R1131,ラベル別係数!$A$1:$E$7,5,FALSE)</f>
        <v>0.8</v>
      </c>
      <c r="V1131" s="27">
        <v>3</v>
      </c>
      <c r="W1131" s="28">
        <f>VLOOKUP(V1131,ターン数別攻撃係数!$A$1:$B$1000,2,FALSE)</f>
        <v>1</v>
      </c>
      <c r="X1131" s="9">
        <f>VLOOKUP(C1131,サイズ別係数!A$2:B$9,2,FALSE)</f>
        <v>60</v>
      </c>
      <c r="Y1131" s="26">
        <f>VLOOKUP($X1131,サイズ別係数!$B:$E,2,FALSE)</f>
        <v>1.7</v>
      </c>
      <c r="Z1131" s="26">
        <f>VLOOKUP($X1131,サイズ別係数!$B:$E,3,FALSE)</f>
        <v>1.4</v>
      </c>
      <c r="AA1131" s="26">
        <f>VLOOKUP($X1131,サイズ別係数!$B:$E,4,FALSE)</f>
        <v>1</v>
      </c>
      <c r="AB1131" s="5">
        <v>0</v>
      </c>
      <c r="AC1131" s="34" t="str">
        <f ca="1">VLOOKUP($AB1131,OFFSET([3]enemy_skill_sets!$B$2,0,0,COUNTA([3]enemy_skill_sets!$A:$A),MATCH(AC$1,[3]enemy_skill_sets!$1:$1,0)-MATCH($AB$1,[3]enemy_skill_sets!$1:$1,0)+1),MATCH(AC$1,[3]enemy_skill_sets!$1:$1,0)-MATCH($AB$1,[3]enemy_skill_sets!$1:$1,0)+1,FALSE)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1" s="67">
        <v>1</v>
      </c>
      <c r="AE1131" s="67">
        <v>1</v>
      </c>
      <c r="AF1131" s="37">
        <v>0</v>
      </c>
      <c r="AG1131" s="99">
        <f>ROUND(VLOOKUP(1,enemy_base_stats!$A:$F,2,FALSE) * Y1131* J1131*O1131*E1131*S1131*AD1131*[2]ステータス!$B$2,0)</f>
        <v>4250</v>
      </c>
      <c r="AH1131" s="99">
        <f>ROUND(VLOOKUP(1,enemy_base_stats!$A:$F,3,FALSE) * Z1131*K1131*P1131*F1131*T1131*AE1131 * W1131*[2]ステータス!$C$2,0)</f>
        <v>306</v>
      </c>
      <c r="AI1131" s="99">
        <f>ROUND(VLOOKUP(1,enemy_base_stats!$A:$F,4,FALSE) * AA1131*L1131*Q1131*G1131*U1131*AF1131*[2]ステータス!$D$2,0)</f>
        <v>0</v>
      </c>
      <c r="AJ1131" s="99">
        <f>ROUND(VLOOKUP(100,enemy_base_stats!$A:$F,2,FALSE) * Y1131* J1131*O1131*E1131*S1131*AD1131*[2]ステータス!$B$2,0)</f>
        <v>172550</v>
      </c>
      <c r="AK1131" s="99">
        <f>ROUND(VLOOKUP(100,enemy_base_stats!$A:$F,3,FALSE)* Z1131* K1131*P1131*F1131*T1131*AE1131 * W1131*[2]ステータス!$C$2,0)</f>
        <v>12436</v>
      </c>
      <c r="AL1131" s="99">
        <f>ROUND(VLOOKUP(100,enemy_base_stats!$A:$F,4,FALSE)* AA1131* L1131*Q1131*G1131*U1131*AF1131*[2]ステータス!$D$2,0)</f>
        <v>0</v>
      </c>
      <c r="AM1131" s="97">
        <f>VLOOKUP(M1131,[2]character_tribe_i18n!$A:$I,9,FALSE)</f>
        <v>480</v>
      </c>
      <c r="AN1131" s="36">
        <v>0</v>
      </c>
      <c r="AO1131" s="53">
        <v>0</v>
      </c>
      <c r="AP1131" s="58" t="s">
        <v>72</v>
      </c>
      <c r="AQ1131" s="71">
        <f t="shared" si="61"/>
        <v>1130</v>
      </c>
    </row>
    <row r="1132" spans="1:43" ht="21" customHeight="1" x14ac:dyDescent="0.15">
      <c r="A1132" s="7">
        <v>1131</v>
      </c>
      <c r="B1132" s="6" t="str">
        <f>VLOOKUP(A1132,[2]characters!$A:$C,3,FALSE)</f>
        <v>董卓</v>
      </c>
      <c r="C1132" s="9">
        <f>VLOOKUP(A1132,[2]characters!$A:$I,9,FALSE)</f>
        <v>5</v>
      </c>
      <c r="D1132" s="9" t="str">
        <f>VLOOKUP(A1132,[2]characters!$A:$H,8,FALSE)</f>
        <v>green</v>
      </c>
      <c r="E1132" s="24">
        <f>VLOOKUP(D1132,[2]属性!$A:$E,2,FALSE)</f>
        <v>1.02</v>
      </c>
      <c r="F1132" s="24">
        <f>VLOOKUP(D1132,[2]属性!$A:$E,3,FALSE)</f>
        <v>0.98</v>
      </c>
      <c r="G1132" s="24">
        <f>VLOOKUP(D1132,[2]属性!$A:$F,4,FALSE)</f>
        <v>1</v>
      </c>
      <c r="H1132" s="100" t="s">
        <v>159</v>
      </c>
      <c r="I1132" s="14" t="str">
        <f>VLOOKUP(H1132,[2]character_type_i18n!$A:$F,3,FALSE)</f>
        <v>テクニカルタイプ</v>
      </c>
      <c r="J1132" s="36">
        <f>VLOOKUP(H1132,[2]character_type_i18n!$A:$F,4,FALSE)</f>
        <v>0.9</v>
      </c>
      <c r="K1132" s="36">
        <f>VLOOKUP(H1132,[2]character_type_i18n!$A:$F,5,FALSE)</f>
        <v>0.9</v>
      </c>
      <c r="L1132" s="36">
        <f>VLOOKUP(H1132,[2]character_type_i18n!$A:$F,6,FALSE)</f>
        <v>1</v>
      </c>
      <c r="M1132" s="9" t="str">
        <f>VLOOKUP(A1132,[2]characters!$A:$M,13,FALSE)</f>
        <v>samurai</v>
      </c>
      <c r="N1132" s="14" t="str">
        <f>VLOOKUP(M1132,[2]character_tribe_i18n!$A:$F,3,FALSE)</f>
        <v>サムライ</v>
      </c>
      <c r="O1132" s="24">
        <f>VLOOKUP(M1132,[2]character_tribe_i18n!$A:$F,4,FALSE)</f>
        <v>1</v>
      </c>
      <c r="P1132" s="24">
        <f>VLOOKUP(M1132,[2]character_tribe_i18n!$A:$F,5,FALSE)</f>
        <v>1</v>
      </c>
      <c r="Q1132" s="24">
        <f>VLOOKUP(M1132,[2]character_tribe_i18n!$A:$F,6,FALSE)</f>
        <v>1</v>
      </c>
      <c r="R1132" s="25" t="s">
        <v>98</v>
      </c>
      <c r="S1132" s="24">
        <f>VLOOKUP($R1132,ラベル別係数!$A$1:$E$7,3,FALSE)</f>
        <v>5</v>
      </c>
      <c r="T1132" s="24">
        <f>VLOOKUP($R1132,ラベル別係数!$A$1:$E$7,4,FALSE)</f>
        <v>1.3</v>
      </c>
      <c r="U1132" s="24">
        <f>VLOOKUP($R1132,ラベル別係数!$A$1:$E$7,5,FALSE)</f>
        <v>0.8</v>
      </c>
      <c r="V1132" s="27">
        <v>3</v>
      </c>
      <c r="W1132" s="28">
        <f>VLOOKUP(V1132,ターン数別攻撃係数!$A$1:$B$1000,2,FALSE)</f>
        <v>1</v>
      </c>
      <c r="X1132" s="9">
        <f>VLOOKUP(C1132,サイズ別係数!A$2:B$9,2,FALSE)</f>
        <v>60</v>
      </c>
      <c r="Y1132" s="26">
        <f>VLOOKUP($X1132,サイズ別係数!$B:$E,2,FALSE)</f>
        <v>1.7</v>
      </c>
      <c r="Z1132" s="26">
        <f>VLOOKUP($X1132,サイズ別係数!$B:$E,3,FALSE)</f>
        <v>1.4</v>
      </c>
      <c r="AA1132" s="26">
        <f>VLOOKUP($X1132,サイズ別係数!$B:$E,4,FALSE)</f>
        <v>1</v>
      </c>
      <c r="AB1132" s="5">
        <v>0</v>
      </c>
      <c r="AC1132" s="34" t="str">
        <f ca="1">VLOOKUP($AB1132,OFFSET([3]enemy_skill_sets!$B$2,0,0,COUNTA([3]enemy_skill_sets!$A:$A),MATCH(AC$1,[3]enemy_skill_sets!$1:$1,0)-MATCH($AB$1,[3]enemy_skill_sets!$1:$1,0)+1),MATCH(AC$1,[3]enemy_skill_sets!$1:$1,0)-MATCH($AB$1,[3]enemy_skill_sets!$1:$1,0)+1,FALSE)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2" s="67">
        <v>1</v>
      </c>
      <c r="AE1132" s="67">
        <v>1</v>
      </c>
      <c r="AF1132" s="37">
        <v>0</v>
      </c>
      <c r="AG1132" s="99">
        <f>ROUND(VLOOKUP(1,enemy_base_stats!$A:$F,2,FALSE) * Y1132* J1132*O1132*E1132*S1132*AD1132*[2]ステータス!$B$2,0)</f>
        <v>3902</v>
      </c>
      <c r="AH1132" s="99">
        <f>ROUND(VLOOKUP(1,enemy_base_stats!$A:$F,3,FALSE) * Z1132*K1132*P1132*F1132*T1132*AE1132 * W1132*[2]ステータス!$C$2,0)</f>
        <v>241</v>
      </c>
      <c r="AI1132" s="99">
        <f>ROUND(VLOOKUP(1,enemy_base_stats!$A:$F,4,FALSE) * AA1132*L1132*Q1132*G1132*U1132*AF1132*[2]ステータス!$D$2,0)</f>
        <v>0</v>
      </c>
      <c r="AJ1132" s="99">
        <f>ROUND(VLOOKUP(100,enemy_base_stats!$A:$F,2,FALSE) * Y1132* J1132*O1132*E1132*S1132*AD1132*[2]ステータス!$B$2,0)</f>
        <v>158401</v>
      </c>
      <c r="AK1132" s="99">
        <f>ROUND(VLOOKUP(100,enemy_base_stats!$A:$F,3,FALSE)* Z1132* K1132*P1132*F1132*T1132*AE1132 * W1132*[2]ステータス!$C$2,0)</f>
        <v>9776</v>
      </c>
      <c r="AL1132" s="99">
        <f>ROUND(VLOOKUP(100,enemy_base_stats!$A:$F,4,FALSE)* AA1132* L1132*Q1132*G1132*U1132*AF1132*[2]ステータス!$D$2,0)</f>
        <v>0</v>
      </c>
      <c r="AM1132" s="97">
        <f>VLOOKUP(M1132,[2]character_tribe_i18n!$A:$I,9,FALSE)</f>
        <v>400</v>
      </c>
      <c r="AN1132" s="36">
        <v>0</v>
      </c>
      <c r="AO1132" s="53">
        <v>0</v>
      </c>
      <c r="AP1132" s="58" t="s">
        <v>72</v>
      </c>
      <c r="AQ1132" s="71">
        <f t="shared" si="61"/>
        <v>1131</v>
      </c>
    </row>
    <row r="1133" spans="1:43" ht="21" customHeight="1" x14ac:dyDescent="0.15">
      <c r="A1133" s="7">
        <v>1132</v>
      </c>
      <c r="B1133" s="6" t="str">
        <f>VLOOKUP(A1133,[2]characters!$A:$C,3,FALSE)</f>
        <v>偏執なる狂騒君 董卓</v>
      </c>
      <c r="C1133" s="9">
        <f>VLOOKUP(A1133,[2]characters!$A:$I,9,FALSE)</f>
        <v>6</v>
      </c>
      <c r="D1133" s="9" t="str">
        <f>VLOOKUP(A1133,[2]characters!$A:$H,8,FALSE)</f>
        <v>green</v>
      </c>
      <c r="E1133" s="24">
        <f>VLOOKUP(D1133,[2]属性!$A:$E,2,FALSE)</f>
        <v>1.02</v>
      </c>
      <c r="F1133" s="24">
        <f>VLOOKUP(D1133,[2]属性!$A:$E,3,FALSE)</f>
        <v>0.98</v>
      </c>
      <c r="G1133" s="24">
        <f>VLOOKUP(D1133,[2]属性!$A:$F,4,FALSE)</f>
        <v>1</v>
      </c>
      <c r="H1133" s="100" t="s">
        <v>159</v>
      </c>
      <c r="I1133" s="14" t="str">
        <f>VLOOKUP(H1133,[2]character_type_i18n!$A:$F,3,FALSE)</f>
        <v>テクニカルタイプ</v>
      </c>
      <c r="J1133" s="36">
        <f>VLOOKUP(H1133,[2]character_type_i18n!$A:$F,4,FALSE)</f>
        <v>0.9</v>
      </c>
      <c r="K1133" s="36">
        <f>VLOOKUP(H1133,[2]character_type_i18n!$A:$F,5,FALSE)</f>
        <v>0.9</v>
      </c>
      <c r="L1133" s="36">
        <f>VLOOKUP(H1133,[2]character_type_i18n!$A:$F,6,FALSE)</f>
        <v>1</v>
      </c>
      <c r="M1133" s="9" t="str">
        <f>VLOOKUP(A1133,[2]characters!$A:$M,13,FALSE)</f>
        <v>samurai</v>
      </c>
      <c r="N1133" s="14" t="str">
        <f>VLOOKUP(M1133,[2]character_tribe_i18n!$A:$F,3,FALSE)</f>
        <v>サムライ</v>
      </c>
      <c r="O1133" s="24">
        <f>VLOOKUP(M1133,[2]character_tribe_i18n!$A:$F,4,FALSE)</f>
        <v>1</v>
      </c>
      <c r="P1133" s="24">
        <f>VLOOKUP(M1133,[2]character_tribe_i18n!$A:$F,5,FALSE)</f>
        <v>1</v>
      </c>
      <c r="Q1133" s="24">
        <f>VLOOKUP(M1133,[2]character_tribe_i18n!$A:$F,6,FALSE)</f>
        <v>1</v>
      </c>
      <c r="R1133" s="25" t="s">
        <v>98</v>
      </c>
      <c r="S1133" s="24">
        <f>VLOOKUP($R1133,ラベル別係数!$A$1:$E$7,3,FALSE)</f>
        <v>5</v>
      </c>
      <c r="T1133" s="24">
        <f>VLOOKUP($R1133,ラベル別係数!$A$1:$E$7,4,FALSE)</f>
        <v>1.3</v>
      </c>
      <c r="U1133" s="24">
        <f>VLOOKUP($R1133,ラベル別係数!$A$1:$E$7,5,FALSE)</f>
        <v>0.8</v>
      </c>
      <c r="V1133" s="27">
        <v>3</v>
      </c>
      <c r="W1133" s="28">
        <f>VLOOKUP(V1133,ターン数別攻撃係数!$A$1:$B$1000,2,FALSE)</f>
        <v>1</v>
      </c>
      <c r="X1133" s="9">
        <f>VLOOKUP(C1133,サイズ別係数!A$2:B$9,2,FALSE)</f>
        <v>60</v>
      </c>
      <c r="Y1133" s="26">
        <f>VLOOKUP($X1133,サイズ別係数!$B:$E,2,FALSE)</f>
        <v>1.7</v>
      </c>
      <c r="Z1133" s="26">
        <f>VLOOKUP($X1133,サイズ別係数!$B:$E,3,FALSE)</f>
        <v>1.4</v>
      </c>
      <c r="AA1133" s="26">
        <f>VLOOKUP($X1133,サイズ別係数!$B:$E,4,FALSE)</f>
        <v>1</v>
      </c>
      <c r="AB1133" s="5">
        <v>0</v>
      </c>
      <c r="AC1133" s="34" t="str">
        <f ca="1">VLOOKUP($AB1133,OFFSET([3]enemy_skill_sets!$B$2,0,0,COUNTA([3]enemy_skill_sets!$A:$A),MATCH(AC$1,[3]enemy_skill_sets!$1:$1,0)-MATCH($AB$1,[3]enemy_skill_sets!$1:$1,0)+1),MATCH(AC$1,[3]enemy_skill_sets!$1:$1,0)-MATCH($AB$1,[3]enemy_skill_sets!$1:$1,0)+1,FALSE)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3" s="67">
        <v>1</v>
      </c>
      <c r="AE1133" s="67">
        <v>1</v>
      </c>
      <c r="AF1133" s="37">
        <v>0</v>
      </c>
      <c r="AG1133" s="99">
        <f>ROUND(VLOOKUP(1,enemy_base_stats!$A:$F,2,FALSE) * Y1133* J1133*O1133*E1133*S1133*AD1133*[2]ステータス!$B$2,0)</f>
        <v>3902</v>
      </c>
      <c r="AH1133" s="99">
        <f>ROUND(VLOOKUP(1,enemy_base_stats!$A:$F,3,FALSE) * Z1133*K1133*P1133*F1133*T1133*AE1133 * W1133*[2]ステータス!$C$2,0)</f>
        <v>241</v>
      </c>
      <c r="AI1133" s="99">
        <f>ROUND(VLOOKUP(1,enemy_base_stats!$A:$F,4,FALSE) * AA1133*L1133*Q1133*G1133*U1133*AF1133*[2]ステータス!$D$2,0)</f>
        <v>0</v>
      </c>
      <c r="AJ1133" s="99">
        <f>ROUND(VLOOKUP(100,enemy_base_stats!$A:$F,2,FALSE) * Y1133* J1133*O1133*E1133*S1133*AD1133*[2]ステータス!$B$2,0)</f>
        <v>158401</v>
      </c>
      <c r="AK1133" s="99">
        <f>ROUND(VLOOKUP(100,enemy_base_stats!$A:$F,3,FALSE)* Z1133* K1133*P1133*F1133*T1133*AE1133 * W1133*[2]ステータス!$C$2,0)</f>
        <v>9776</v>
      </c>
      <c r="AL1133" s="99">
        <f>ROUND(VLOOKUP(100,enemy_base_stats!$A:$F,4,FALSE)* AA1133* L1133*Q1133*G1133*U1133*AF1133*[2]ステータス!$D$2,0)</f>
        <v>0</v>
      </c>
      <c r="AM1133" s="97">
        <f>VLOOKUP(M1133,[2]character_tribe_i18n!$A:$I,9,FALSE)</f>
        <v>400</v>
      </c>
      <c r="AN1133" s="36">
        <v>0</v>
      </c>
      <c r="AO1133" s="53">
        <v>0</v>
      </c>
      <c r="AP1133" s="58" t="s">
        <v>72</v>
      </c>
      <c r="AQ1133" s="71">
        <f t="shared" ref="AQ1133:AQ1145" si="62">A1133</f>
        <v>1132</v>
      </c>
    </row>
    <row r="1134" spans="1:43" ht="21" customHeight="1" x14ac:dyDescent="0.15">
      <c r="A1134" s="7">
        <v>1133</v>
      </c>
      <c r="B1134" s="6" t="str">
        <f>VLOOKUP(A1134,[2]characters!$A:$C,3,FALSE)</f>
        <v>貂蝉</v>
      </c>
      <c r="C1134" s="9">
        <f>VLOOKUP(A1134,[2]characters!$A:$I,9,FALSE)</f>
        <v>5</v>
      </c>
      <c r="D1134" s="9" t="str">
        <f>VLOOKUP(A1134,[2]characters!$A:$H,8,FALSE)</f>
        <v>yellow</v>
      </c>
      <c r="E1134" s="24">
        <f>VLOOKUP(D1134,[2]属性!$A:$E,2,FALSE)</f>
        <v>0.98</v>
      </c>
      <c r="F1134" s="24">
        <f>VLOOKUP(D1134,[2]属性!$A:$E,3,FALSE)</f>
        <v>1.01</v>
      </c>
      <c r="G1134" s="24">
        <f>VLOOKUP(D1134,[2]属性!$A:$F,4,FALSE)</f>
        <v>1</v>
      </c>
      <c r="H1134" s="100" t="s">
        <v>160</v>
      </c>
      <c r="I1134" s="14" t="str">
        <f>VLOOKUP(H1134,[2]character_type_i18n!$A:$F,3,FALSE)</f>
        <v>攻撃タイプ</v>
      </c>
      <c r="J1134" s="36">
        <f>VLOOKUP(H1134,[2]character_type_i18n!$A:$F,4,FALSE)</f>
        <v>1</v>
      </c>
      <c r="K1134" s="36">
        <f>VLOOKUP(H1134,[2]character_type_i18n!$A:$F,5,FALSE)</f>
        <v>1.33</v>
      </c>
      <c r="L1134" s="36">
        <f>VLOOKUP(H1134,[2]character_type_i18n!$A:$F,6,FALSE)</f>
        <v>1</v>
      </c>
      <c r="M1134" s="100" t="s">
        <v>158</v>
      </c>
      <c r="N1134" s="14" t="str">
        <f>VLOOKUP(M1134,[2]character_tribe_i18n!$A:$F,3,FALSE)</f>
        <v>ヒューマン</v>
      </c>
      <c r="O1134" s="24">
        <f>VLOOKUP(M1134,[2]character_tribe_i18n!$A:$F,4,FALSE)</f>
        <v>0.94</v>
      </c>
      <c r="P1134" s="24">
        <f>VLOOKUP(M1134,[2]character_tribe_i18n!$A:$F,5,FALSE)</f>
        <v>0.99</v>
      </c>
      <c r="Q1134" s="24">
        <f>VLOOKUP(M1134,[2]character_tribe_i18n!$A:$F,6,FALSE)</f>
        <v>1</v>
      </c>
      <c r="R1134" s="25" t="s">
        <v>98</v>
      </c>
      <c r="S1134" s="24">
        <f>VLOOKUP($R1134,ラベル別係数!$A$1:$E$7,3,FALSE)</f>
        <v>5</v>
      </c>
      <c r="T1134" s="24">
        <f>VLOOKUP($R1134,ラベル別係数!$A$1:$E$7,4,FALSE)</f>
        <v>1.3</v>
      </c>
      <c r="U1134" s="24">
        <f>VLOOKUP($R1134,ラベル別係数!$A$1:$E$7,5,FALSE)</f>
        <v>0.8</v>
      </c>
      <c r="V1134" s="27">
        <v>3</v>
      </c>
      <c r="W1134" s="28">
        <f>VLOOKUP(V1134,ターン数別攻撃係数!$A$1:$B$1000,2,FALSE)</f>
        <v>1</v>
      </c>
      <c r="X1134" s="9">
        <f>VLOOKUP(C1134,サイズ別係数!A$2:B$9,2,FALSE)</f>
        <v>60</v>
      </c>
      <c r="Y1134" s="26">
        <f>VLOOKUP($X1134,サイズ別係数!$B:$E,2,FALSE)</f>
        <v>1.7</v>
      </c>
      <c r="Z1134" s="26">
        <f>VLOOKUP($X1134,サイズ別係数!$B:$E,3,FALSE)</f>
        <v>1.4</v>
      </c>
      <c r="AA1134" s="26">
        <f>VLOOKUP($X1134,サイズ別係数!$B:$E,4,FALSE)</f>
        <v>1</v>
      </c>
      <c r="AB1134" s="5">
        <v>0</v>
      </c>
      <c r="AC1134" s="34" t="str">
        <f ca="1">VLOOKUP($AB1134,OFFSET([3]enemy_skill_sets!$B$2,0,0,COUNTA([3]enemy_skill_sets!$A:$A),MATCH(AC$1,[3]enemy_skill_sets!$1:$1,0)-MATCH($AB$1,[3]enemy_skill_sets!$1:$1,0)+1),MATCH(AC$1,[3]enemy_skill_sets!$1:$1,0)-MATCH($AB$1,[3]enemy_skill_sets!$1:$1,0)+1,FALSE)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4" s="67">
        <v>1</v>
      </c>
      <c r="AE1134" s="67">
        <v>1</v>
      </c>
      <c r="AF1134" s="37">
        <v>0</v>
      </c>
      <c r="AG1134" s="99">
        <f>ROUND(VLOOKUP(1,enemy_base_stats!$A:$F,2,FALSE) * Y1134* J1134*O1134*E1134*S1134*AD1134*[2]ステータス!$B$2,0)</f>
        <v>3915</v>
      </c>
      <c r="AH1134" s="99">
        <f>ROUND(VLOOKUP(1,enemy_base_stats!$A:$F,3,FALSE) * Z1134*K1134*P1134*F1134*T1134*AE1134 * W1134*[2]ステータス!$C$2,0)</f>
        <v>363</v>
      </c>
      <c r="AI1134" s="99">
        <f>ROUND(VLOOKUP(1,enemy_base_stats!$A:$F,4,FALSE) * AA1134*L1134*Q1134*G1134*U1134*AF1134*[2]ステータス!$D$2,0)</f>
        <v>0</v>
      </c>
      <c r="AJ1134" s="99">
        <f>ROUND(VLOOKUP(100,enemy_base_stats!$A:$F,2,FALSE) * Y1134* J1134*O1134*E1134*S1134*AD1134*[2]ステータス!$B$2,0)</f>
        <v>158953</v>
      </c>
      <c r="AK1134" s="99">
        <f>ROUND(VLOOKUP(100,enemy_base_stats!$A:$F,3,FALSE)* Z1134* K1134*P1134*F1134*T1134*AE1134 * W1134*[2]ステータス!$C$2,0)</f>
        <v>14740</v>
      </c>
      <c r="AL1134" s="99">
        <f>ROUND(VLOOKUP(100,enemy_base_stats!$A:$F,4,FALSE)* AA1134* L1134*Q1134*G1134*U1134*AF1134*[2]ステータス!$D$2,0)</f>
        <v>0</v>
      </c>
      <c r="AM1134" s="97">
        <f>VLOOKUP(M1134,[2]character_tribe_i18n!$A:$I,9,FALSE)</f>
        <v>400</v>
      </c>
      <c r="AN1134" s="36">
        <v>0</v>
      </c>
      <c r="AO1134" s="53">
        <v>0</v>
      </c>
      <c r="AP1134" s="58" t="s">
        <v>72</v>
      </c>
      <c r="AQ1134" s="71">
        <f t="shared" si="62"/>
        <v>1133</v>
      </c>
    </row>
    <row r="1135" spans="1:43" ht="21" customHeight="1" x14ac:dyDescent="0.15">
      <c r="A1135" s="7">
        <v>1134</v>
      </c>
      <c r="B1135" s="6" t="str">
        <f>VLOOKUP(A1135,[2]characters!$A:$C,3,FALSE)</f>
        <v>月隠れの美麗酔 貂蝉</v>
      </c>
      <c r="C1135" s="9">
        <f>VLOOKUP(A1135,[2]characters!$A:$I,9,FALSE)</f>
        <v>6</v>
      </c>
      <c r="D1135" s="9" t="str">
        <f>VLOOKUP(A1135,[2]characters!$A:$H,8,FALSE)</f>
        <v>yellow</v>
      </c>
      <c r="E1135" s="24">
        <f>VLOOKUP(D1135,[2]属性!$A:$E,2,FALSE)</f>
        <v>0.98</v>
      </c>
      <c r="F1135" s="24">
        <f>VLOOKUP(D1135,[2]属性!$A:$E,3,FALSE)</f>
        <v>1.01</v>
      </c>
      <c r="G1135" s="24">
        <f>VLOOKUP(D1135,[2]属性!$A:$F,4,FALSE)</f>
        <v>1</v>
      </c>
      <c r="H1135" s="100" t="s">
        <v>160</v>
      </c>
      <c r="I1135" s="14" t="str">
        <f>VLOOKUP(H1135,[2]character_type_i18n!$A:$F,3,FALSE)</f>
        <v>攻撃タイプ</v>
      </c>
      <c r="J1135" s="36">
        <f>VLOOKUP(H1135,[2]character_type_i18n!$A:$F,4,FALSE)</f>
        <v>1</v>
      </c>
      <c r="K1135" s="36">
        <f>VLOOKUP(H1135,[2]character_type_i18n!$A:$F,5,FALSE)</f>
        <v>1.33</v>
      </c>
      <c r="L1135" s="36">
        <f>VLOOKUP(H1135,[2]character_type_i18n!$A:$F,6,FALSE)</f>
        <v>1</v>
      </c>
      <c r="M1135" s="100" t="s">
        <v>157</v>
      </c>
      <c r="N1135" s="14" t="str">
        <f>VLOOKUP(M1135,[2]character_tribe_i18n!$A:$F,3,FALSE)</f>
        <v>ヒューマン</v>
      </c>
      <c r="O1135" s="24">
        <f>VLOOKUP(M1135,[2]character_tribe_i18n!$A:$F,4,FALSE)</f>
        <v>0.94</v>
      </c>
      <c r="P1135" s="24">
        <f>VLOOKUP(M1135,[2]character_tribe_i18n!$A:$F,5,FALSE)</f>
        <v>0.99</v>
      </c>
      <c r="Q1135" s="24">
        <f>VLOOKUP(M1135,[2]character_tribe_i18n!$A:$F,6,FALSE)</f>
        <v>1</v>
      </c>
      <c r="R1135" s="25" t="s">
        <v>98</v>
      </c>
      <c r="S1135" s="24">
        <f>VLOOKUP($R1135,ラベル別係数!$A$1:$E$7,3,FALSE)</f>
        <v>5</v>
      </c>
      <c r="T1135" s="24">
        <f>VLOOKUP($R1135,ラベル別係数!$A$1:$E$7,4,FALSE)</f>
        <v>1.3</v>
      </c>
      <c r="U1135" s="24">
        <f>VLOOKUP($R1135,ラベル別係数!$A$1:$E$7,5,FALSE)</f>
        <v>0.8</v>
      </c>
      <c r="V1135" s="27">
        <v>3</v>
      </c>
      <c r="W1135" s="28">
        <f>VLOOKUP(V1135,ターン数別攻撃係数!$A$1:$B$1000,2,FALSE)</f>
        <v>1</v>
      </c>
      <c r="X1135" s="9">
        <f>VLOOKUP(C1135,サイズ別係数!A$2:B$9,2,FALSE)</f>
        <v>60</v>
      </c>
      <c r="Y1135" s="26">
        <f>VLOOKUP($X1135,サイズ別係数!$B:$E,2,FALSE)</f>
        <v>1.7</v>
      </c>
      <c r="Z1135" s="26">
        <f>VLOOKUP($X1135,サイズ別係数!$B:$E,3,FALSE)</f>
        <v>1.4</v>
      </c>
      <c r="AA1135" s="26">
        <f>VLOOKUP($X1135,サイズ別係数!$B:$E,4,FALSE)</f>
        <v>1</v>
      </c>
      <c r="AB1135" s="5">
        <v>0</v>
      </c>
      <c r="AC1135" s="34" t="str">
        <f ca="1">VLOOKUP($AB1135,OFFSET([3]enemy_skill_sets!$B$2,0,0,COUNTA([3]enemy_skill_sets!$A:$A),MATCH(AC$1,[3]enemy_skill_sets!$1:$1,0)-MATCH($AB$1,[3]enemy_skill_sets!$1:$1,0)+1),MATCH(AC$1,[3]enemy_skill_sets!$1:$1,0)-MATCH($AB$1,[3]enemy_skill_sets!$1:$1,0)+1,FALSE)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5" s="67">
        <v>1</v>
      </c>
      <c r="AE1135" s="67">
        <v>1</v>
      </c>
      <c r="AF1135" s="37">
        <v>0</v>
      </c>
      <c r="AG1135" s="99">
        <f>ROUND(VLOOKUP(1,enemy_base_stats!$A:$F,2,FALSE) * Y1135* J1135*O1135*E1135*S1135*AD1135*[2]ステータス!$B$2,0)</f>
        <v>3915</v>
      </c>
      <c r="AH1135" s="99">
        <f>ROUND(VLOOKUP(1,enemy_base_stats!$A:$F,3,FALSE) * Z1135*K1135*P1135*F1135*T1135*AE1135 * W1135*[2]ステータス!$C$2,0)</f>
        <v>363</v>
      </c>
      <c r="AI1135" s="99">
        <f>ROUND(VLOOKUP(1,enemy_base_stats!$A:$F,4,FALSE) * AA1135*L1135*Q1135*G1135*U1135*AF1135*[2]ステータス!$D$2,0)</f>
        <v>0</v>
      </c>
      <c r="AJ1135" s="99">
        <f>ROUND(VLOOKUP(100,enemy_base_stats!$A:$F,2,FALSE) * Y1135* J1135*O1135*E1135*S1135*AD1135*[2]ステータス!$B$2,0)</f>
        <v>158953</v>
      </c>
      <c r="AK1135" s="99">
        <f>ROUND(VLOOKUP(100,enemy_base_stats!$A:$F,3,FALSE)* Z1135* K1135*P1135*F1135*T1135*AE1135 * W1135*[2]ステータス!$C$2,0)</f>
        <v>14740</v>
      </c>
      <c r="AL1135" s="99">
        <f>ROUND(VLOOKUP(100,enemy_base_stats!$A:$F,4,FALSE)* AA1135* L1135*Q1135*G1135*U1135*AF1135*[2]ステータス!$D$2,0)</f>
        <v>0</v>
      </c>
      <c r="AM1135" s="97">
        <f>VLOOKUP(M1135,[2]character_tribe_i18n!$A:$I,9,FALSE)</f>
        <v>400</v>
      </c>
      <c r="AN1135" s="36">
        <v>0</v>
      </c>
      <c r="AO1135" s="53">
        <v>0</v>
      </c>
      <c r="AP1135" s="58" t="s">
        <v>72</v>
      </c>
      <c r="AQ1135" s="71">
        <f t="shared" si="62"/>
        <v>1134</v>
      </c>
    </row>
    <row r="1136" spans="1:43" ht="21" customHeight="1" x14ac:dyDescent="0.15">
      <c r="A1136" s="7">
        <v>1135</v>
      </c>
      <c r="B1136" s="6" t="str">
        <f>VLOOKUP(A1136,[2]characters!$A:$C,3,FALSE)</f>
        <v>呂布</v>
      </c>
      <c r="C1136" s="9">
        <f>VLOOKUP(A1136,[2]characters!$A:$I,9,FALSE)</f>
        <v>5</v>
      </c>
      <c r="D1136" s="9" t="str">
        <f>VLOOKUP(A1136,[2]characters!$A:$H,8,FALSE)</f>
        <v>green</v>
      </c>
      <c r="E1136" s="24">
        <f>VLOOKUP(D1136,[2]属性!$A:$E,2,FALSE)</f>
        <v>1.02</v>
      </c>
      <c r="F1136" s="24">
        <f>VLOOKUP(D1136,[2]属性!$A:$E,3,FALSE)</f>
        <v>0.98</v>
      </c>
      <c r="G1136" s="24">
        <f>VLOOKUP(D1136,[2]属性!$A:$F,4,FALSE)</f>
        <v>1</v>
      </c>
      <c r="H1136" s="9" t="str">
        <f>VLOOKUP(A1136,[2]characters!$A:$K,11,FALSE)</f>
        <v>attack</v>
      </c>
      <c r="I1136" s="14" t="str">
        <f>VLOOKUP(H1136,[2]character_type_i18n!$A:$F,3,FALSE)</f>
        <v>攻撃タイプ</v>
      </c>
      <c r="J1136" s="36">
        <f>VLOOKUP(H1136,[2]character_type_i18n!$A:$F,4,FALSE)</f>
        <v>1</v>
      </c>
      <c r="K1136" s="36">
        <f>VLOOKUP(H1136,[2]character_type_i18n!$A:$F,5,FALSE)</f>
        <v>1.33</v>
      </c>
      <c r="L1136" s="36">
        <f>VLOOKUP(H1136,[2]character_type_i18n!$A:$F,6,FALSE)</f>
        <v>1</v>
      </c>
      <c r="M1136" s="9" t="str">
        <f>VLOOKUP(A1136,[2]characters!$A:$M,13,FALSE)</f>
        <v>samurai</v>
      </c>
      <c r="N1136" s="14" t="str">
        <f>VLOOKUP(M1136,[2]character_tribe_i18n!$A:$F,3,FALSE)</f>
        <v>サムライ</v>
      </c>
      <c r="O1136" s="24">
        <f>VLOOKUP(M1136,[2]character_tribe_i18n!$A:$F,4,FALSE)</f>
        <v>1</v>
      </c>
      <c r="P1136" s="24">
        <f>VLOOKUP(M1136,[2]character_tribe_i18n!$A:$F,5,FALSE)</f>
        <v>1</v>
      </c>
      <c r="Q1136" s="24">
        <f>VLOOKUP(M1136,[2]character_tribe_i18n!$A:$F,6,FALSE)</f>
        <v>1</v>
      </c>
      <c r="R1136" s="25" t="s">
        <v>98</v>
      </c>
      <c r="S1136" s="24">
        <f>VLOOKUP($R1136,ラベル別係数!$A$1:$E$7,3,FALSE)</f>
        <v>5</v>
      </c>
      <c r="T1136" s="24">
        <f>VLOOKUP($R1136,ラベル別係数!$A$1:$E$7,4,FALSE)</f>
        <v>1.3</v>
      </c>
      <c r="U1136" s="24">
        <f>VLOOKUP($R1136,ラベル別係数!$A$1:$E$7,5,FALSE)</f>
        <v>0.8</v>
      </c>
      <c r="V1136" s="27">
        <v>3</v>
      </c>
      <c r="W1136" s="28">
        <f>VLOOKUP(V1136,ターン数別攻撃係数!$A$1:$B$1000,2,FALSE)</f>
        <v>1</v>
      </c>
      <c r="X1136" s="9">
        <f>VLOOKUP(C1136,サイズ別係数!A$2:B$9,2,FALSE)</f>
        <v>60</v>
      </c>
      <c r="Y1136" s="26">
        <f>VLOOKUP($X1136,サイズ別係数!$B:$E,2,FALSE)</f>
        <v>1.7</v>
      </c>
      <c r="Z1136" s="26">
        <f>VLOOKUP($X1136,サイズ別係数!$B:$E,3,FALSE)</f>
        <v>1.4</v>
      </c>
      <c r="AA1136" s="26">
        <f>VLOOKUP($X1136,サイズ別係数!$B:$E,4,FALSE)</f>
        <v>1</v>
      </c>
      <c r="AB1136" s="5">
        <v>0</v>
      </c>
      <c r="AC1136" s="34" t="str">
        <f ca="1">VLOOKUP($AB1136,OFFSET([3]enemy_skill_sets!$B$2,0,0,COUNTA([3]enemy_skill_sets!$A:$A),MATCH(AC$1,[3]enemy_skill_sets!$1:$1,0)-MATCH($AB$1,[3]enemy_skill_sets!$1:$1,0)+1),MATCH(AC$1,[3]enemy_skill_sets!$1:$1,0)-MATCH($AB$1,[3]enemy_skill_sets!$1:$1,0)+1,FALSE)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6" s="67">
        <v>1</v>
      </c>
      <c r="AE1136" s="67">
        <v>1</v>
      </c>
      <c r="AF1136" s="37">
        <v>0</v>
      </c>
      <c r="AG1136" s="99">
        <f>ROUND(VLOOKUP(1,enemy_base_stats!$A:$F,2,FALSE) * Y1136* J1136*O1136*E1136*S1136*AD1136*[2]ステータス!$B$2,0)</f>
        <v>4335</v>
      </c>
      <c r="AH1136" s="99">
        <f>ROUND(VLOOKUP(1,enemy_base_stats!$A:$F,3,FALSE) * Z1136*K1136*P1136*F1136*T1136*AE1136 * W1136*[2]ステータス!$C$2,0)</f>
        <v>356</v>
      </c>
      <c r="AI1136" s="99">
        <f>ROUND(VLOOKUP(1,enemy_base_stats!$A:$F,4,FALSE) * AA1136*L1136*Q1136*G1136*U1136*AF1136*[2]ステータス!$D$2,0)</f>
        <v>0</v>
      </c>
      <c r="AJ1136" s="99">
        <f>ROUND(VLOOKUP(100,enemy_base_stats!$A:$F,2,FALSE) * Y1136* J1136*O1136*E1136*S1136*AD1136*[2]ステータス!$B$2,0)</f>
        <v>176001</v>
      </c>
      <c r="AK1136" s="99">
        <f>ROUND(VLOOKUP(100,enemy_base_stats!$A:$F,3,FALSE)* Z1136* K1136*P1136*F1136*T1136*AE1136 * W1136*[2]ステータス!$C$2,0)</f>
        <v>14447</v>
      </c>
      <c r="AL1136" s="99">
        <f>ROUND(VLOOKUP(100,enemy_base_stats!$A:$F,4,FALSE)* AA1136* L1136*Q1136*G1136*U1136*AF1136*[2]ステータス!$D$2,0)</f>
        <v>0</v>
      </c>
      <c r="AM1136" s="97">
        <f>VLOOKUP(M1136,[2]character_tribe_i18n!$A:$I,9,FALSE)</f>
        <v>400</v>
      </c>
      <c r="AN1136" s="36">
        <v>0</v>
      </c>
      <c r="AO1136" s="53">
        <v>0</v>
      </c>
      <c r="AP1136" s="58" t="s">
        <v>72</v>
      </c>
      <c r="AQ1136" s="71">
        <f t="shared" si="62"/>
        <v>1135</v>
      </c>
    </row>
    <row r="1137" spans="1:43" ht="21" customHeight="1" x14ac:dyDescent="0.15">
      <c r="A1137" s="7">
        <v>1136</v>
      </c>
      <c r="B1137" s="6" t="str">
        <f>VLOOKUP(A1137,[2]characters!$A:$C,3,FALSE)</f>
        <v>豪拳烈創の激将 呂布</v>
      </c>
      <c r="C1137" s="9">
        <f>VLOOKUP(A1137,[2]characters!$A:$I,9,FALSE)</f>
        <v>6</v>
      </c>
      <c r="D1137" s="9" t="str">
        <f>VLOOKUP(A1137,[2]characters!$A:$H,8,FALSE)</f>
        <v>green</v>
      </c>
      <c r="E1137" s="24">
        <f>VLOOKUP(D1137,[2]属性!$A:$E,2,FALSE)</f>
        <v>1.02</v>
      </c>
      <c r="F1137" s="24">
        <f>VLOOKUP(D1137,[2]属性!$A:$E,3,FALSE)</f>
        <v>0.98</v>
      </c>
      <c r="G1137" s="24">
        <f>VLOOKUP(D1137,[2]属性!$A:$F,4,FALSE)</f>
        <v>1</v>
      </c>
      <c r="H1137" s="9" t="str">
        <f>VLOOKUP(A1137,[2]characters!$A:$K,11,FALSE)</f>
        <v>attack</v>
      </c>
      <c r="I1137" s="14" t="str">
        <f>VLOOKUP(H1137,[2]character_type_i18n!$A:$F,3,FALSE)</f>
        <v>攻撃タイプ</v>
      </c>
      <c r="J1137" s="36">
        <f>VLOOKUP(H1137,[2]character_type_i18n!$A:$F,4,FALSE)</f>
        <v>1</v>
      </c>
      <c r="K1137" s="36">
        <f>VLOOKUP(H1137,[2]character_type_i18n!$A:$F,5,FALSE)</f>
        <v>1.33</v>
      </c>
      <c r="L1137" s="36">
        <f>VLOOKUP(H1137,[2]character_type_i18n!$A:$F,6,FALSE)</f>
        <v>1</v>
      </c>
      <c r="M1137" s="9" t="str">
        <f>VLOOKUP(A1137,[2]characters!$A:$M,13,FALSE)</f>
        <v>samurai</v>
      </c>
      <c r="N1137" s="14" t="str">
        <f>VLOOKUP(M1137,[2]character_tribe_i18n!$A:$F,3,FALSE)</f>
        <v>サムライ</v>
      </c>
      <c r="O1137" s="24">
        <f>VLOOKUP(M1137,[2]character_tribe_i18n!$A:$F,4,FALSE)</f>
        <v>1</v>
      </c>
      <c r="P1137" s="24">
        <f>VLOOKUP(M1137,[2]character_tribe_i18n!$A:$F,5,FALSE)</f>
        <v>1</v>
      </c>
      <c r="Q1137" s="24">
        <f>VLOOKUP(M1137,[2]character_tribe_i18n!$A:$F,6,FALSE)</f>
        <v>1</v>
      </c>
      <c r="R1137" s="25" t="s">
        <v>98</v>
      </c>
      <c r="S1137" s="24">
        <f>VLOOKUP($R1137,ラベル別係数!$A$1:$E$7,3,FALSE)</f>
        <v>5</v>
      </c>
      <c r="T1137" s="24">
        <f>VLOOKUP($R1137,ラベル別係数!$A$1:$E$7,4,FALSE)</f>
        <v>1.3</v>
      </c>
      <c r="U1137" s="24">
        <f>VLOOKUP($R1137,ラベル別係数!$A$1:$E$7,5,FALSE)</f>
        <v>0.8</v>
      </c>
      <c r="V1137" s="27">
        <v>3</v>
      </c>
      <c r="W1137" s="28">
        <f>VLOOKUP(V1137,ターン数別攻撃係数!$A$1:$B$1000,2,FALSE)</f>
        <v>1</v>
      </c>
      <c r="X1137" s="9">
        <f>VLOOKUP(C1137,サイズ別係数!A$2:B$9,2,FALSE)</f>
        <v>60</v>
      </c>
      <c r="Y1137" s="26">
        <f>VLOOKUP($X1137,サイズ別係数!$B:$E,2,FALSE)</f>
        <v>1.7</v>
      </c>
      <c r="Z1137" s="26">
        <f>VLOOKUP($X1137,サイズ別係数!$B:$E,3,FALSE)</f>
        <v>1.4</v>
      </c>
      <c r="AA1137" s="26">
        <f>VLOOKUP($X1137,サイズ別係数!$B:$E,4,FALSE)</f>
        <v>1</v>
      </c>
      <c r="AB1137" s="5">
        <v>0</v>
      </c>
      <c r="AC1137" s="34" t="str">
        <f ca="1">VLOOKUP($AB1137,OFFSET([3]enemy_skill_sets!$B$2,0,0,COUNTA([3]enemy_skill_sets!$A:$A),MATCH(AC$1,[3]enemy_skill_sets!$1:$1,0)-MATCH($AB$1,[3]enemy_skill_sets!$1:$1,0)+1),MATCH(AC$1,[3]enemy_skill_sets!$1:$1,0)-MATCH($AB$1,[3]enemy_skill_sets!$1:$1,0)+1,FALSE)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7" s="67">
        <v>1</v>
      </c>
      <c r="AE1137" s="67">
        <v>1</v>
      </c>
      <c r="AF1137" s="37">
        <v>0</v>
      </c>
      <c r="AG1137" s="99">
        <f>ROUND(VLOOKUP(1,enemy_base_stats!$A:$F,2,FALSE) * Y1137* J1137*O1137*E1137*S1137*AD1137*[2]ステータス!$B$2,0)</f>
        <v>4335</v>
      </c>
      <c r="AH1137" s="99">
        <f>ROUND(VLOOKUP(1,enemy_base_stats!$A:$F,3,FALSE) * Z1137*K1137*P1137*F1137*T1137*AE1137 * W1137*[2]ステータス!$C$2,0)</f>
        <v>356</v>
      </c>
      <c r="AI1137" s="99">
        <f>ROUND(VLOOKUP(1,enemy_base_stats!$A:$F,4,FALSE) * AA1137*L1137*Q1137*G1137*U1137*AF1137*[2]ステータス!$D$2,0)</f>
        <v>0</v>
      </c>
      <c r="AJ1137" s="99">
        <f>ROUND(VLOOKUP(100,enemy_base_stats!$A:$F,2,FALSE) * Y1137* J1137*O1137*E1137*S1137*AD1137*[2]ステータス!$B$2,0)</f>
        <v>176001</v>
      </c>
      <c r="AK1137" s="99">
        <f>ROUND(VLOOKUP(100,enemy_base_stats!$A:$F,3,FALSE)* Z1137* K1137*P1137*F1137*T1137*AE1137 * W1137*[2]ステータス!$C$2,0)</f>
        <v>14447</v>
      </c>
      <c r="AL1137" s="99">
        <f>ROUND(VLOOKUP(100,enemy_base_stats!$A:$F,4,FALSE)* AA1137* L1137*Q1137*G1137*U1137*AF1137*[2]ステータス!$D$2,0)</f>
        <v>0</v>
      </c>
      <c r="AM1137" s="97">
        <f>VLOOKUP(M1137,[2]character_tribe_i18n!$A:$I,9,FALSE)</f>
        <v>400</v>
      </c>
      <c r="AN1137" s="36">
        <v>0</v>
      </c>
      <c r="AO1137" s="53">
        <v>0</v>
      </c>
      <c r="AP1137" s="58" t="s">
        <v>72</v>
      </c>
      <c r="AQ1137" s="71">
        <f t="shared" si="62"/>
        <v>1136</v>
      </c>
    </row>
    <row r="1138" spans="1:43" ht="21" customHeight="1" x14ac:dyDescent="0.15">
      <c r="A1138" s="7">
        <v>1137</v>
      </c>
      <c r="B1138" s="6" t="str">
        <f>VLOOKUP(A1138,[2]characters!$A:$C,3,FALSE)</f>
        <v>諸葛亮</v>
      </c>
      <c r="C1138" s="9">
        <f>VLOOKUP(A1138,[2]characters!$A:$I,9,FALSE)</f>
        <v>5</v>
      </c>
      <c r="D1138" s="9" t="str">
        <f>VLOOKUP(A1138,[2]characters!$A:$H,8,FALSE)</f>
        <v>red</v>
      </c>
      <c r="E1138" s="24">
        <f>VLOOKUP(D1138,[2]属性!$A:$E,2,FALSE)</f>
        <v>1</v>
      </c>
      <c r="F1138" s="24">
        <f>VLOOKUP(D1138,[2]属性!$A:$E,3,FALSE)</f>
        <v>1.02</v>
      </c>
      <c r="G1138" s="24">
        <f>VLOOKUP(D1138,[2]属性!$A:$F,4,FALSE)</f>
        <v>1</v>
      </c>
      <c r="H1138" s="9" t="str">
        <f>VLOOKUP(A1138,[2]characters!$A:$K,11,FALSE)</f>
        <v>technical</v>
      </c>
      <c r="I1138" s="14" t="str">
        <f>VLOOKUP(H1138,[2]character_type_i18n!$A:$F,3,FALSE)</f>
        <v>テクニカルタイプ</v>
      </c>
      <c r="J1138" s="36">
        <f>VLOOKUP(H1138,[2]character_type_i18n!$A:$F,4,FALSE)</f>
        <v>0.9</v>
      </c>
      <c r="K1138" s="36">
        <f>VLOOKUP(H1138,[2]character_type_i18n!$A:$F,5,FALSE)</f>
        <v>0.9</v>
      </c>
      <c r="L1138" s="36">
        <f>VLOOKUP(H1138,[2]character_type_i18n!$A:$F,6,FALSE)</f>
        <v>1</v>
      </c>
      <c r="M1138" s="9" t="str">
        <f>VLOOKUP(A1138,[2]characters!$A:$M,13,FALSE)</f>
        <v>samurai</v>
      </c>
      <c r="N1138" s="14" t="str">
        <f>VLOOKUP(M1138,[2]character_tribe_i18n!$A:$F,3,FALSE)</f>
        <v>サムライ</v>
      </c>
      <c r="O1138" s="24">
        <f>VLOOKUP(M1138,[2]character_tribe_i18n!$A:$F,4,FALSE)</f>
        <v>1</v>
      </c>
      <c r="P1138" s="24">
        <f>VLOOKUP(M1138,[2]character_tribe_i18n!$A:$F,5,FALSE)</f>
        <v>1</v>
      </c>
      <c r="Q1138" s="24">
        <f>VLOOKUP(M1138,[2]character_tribe_i18n!$A:$F,6,FALSE)</f>
        <v>1</v>
      </c>
      <c r="R1138" s="25" t="s">
        <v>98</v>
      </c>
      <c r="S1138" s="24">
        <f>VLOOKUP($R1138,ラベル別係数!$A$1:$E$7,3,FALSE)</f>
        <v>5</v>
      </c>
      <c r="T1138" s="24">
        <f>VLOOKUP($R1138,ラベル別係数!$A$1:$E$7,4,FALSE)</f>
        <v>1.3</v>
      </c>
      <c r="U1138" s="24">
        <f>VLOOKUP($R1138,ラベル別係数!$A$1:$E$7,5,FALSE)</f>
        <v>0.8</v>
      </c>
      <c r="V1138" s="27">
        <v>3</v>
      </c>
      <c r="W1138" s="28">
        <f>VLOOKUP(V1138,ターン数別攻撃係数!$A$1:$B$1000,2,FALSE)</f>
        <v>1</v>
      </c>
      <c r="X1138" s="9">
        <f>VLOOKUP(C1138,サイズ別係数!A$2:B$9,2,FALSE)</f>
        <v>60</v>
      </c>
      <c r="Y1138" s="26">
        <f>VLOOKUP($X1138,サイズ別係数!$B:$E,2,FALSE)</f>
        <v>1.7</v>
      </c>
      <c r="Z1138" s="26">
        <f>VLOOKUP($X1138,サイズ別係数!$B:$E,3,FALSE)</f>
        <v>1.4</v>
      </c>
      <c r="AA1138" s="26">
        <f>VLOOKUP($X1138,サイズ別係数!$B:$E,4,FALSE)</f>
        <v>1</v>
      </c>
      <c r="AB1138" s="5">
        <v>0</v>
      </c>
      <c r="AC1138" s="34" t="str">
        <f ca="1">VLOOKUP($AB1138,OFFSET([3]enemy_skill_sets!$B$2,0,0,COUNTA([3]enemy_skill_sets!$A:$A),MATCH(AC$1,[3]enemy_skill_sets!$1:$1,0)-MATCH($AB$1,[3]enemy_skill_sets!$1:$1,0)+1),MATCH(AC$1,[3]enemy_skill_sets!$1:$1,0)-MATCH($AB$1,[3]enemy_skill_sets!$1:$1,0)+1,FALSE)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8" s="67">
        <v>1</v>
      </c>
      <c r="AE1138" s="67">
        <v>1</v>
      </c>
      <c r="AF1138" s="37">
        <v>0</v>
      </c>
      <c r="AG1138" s="99">
        <f>ROUND(VLOOKUP(1,enemy_base_stats!$A:$F,2,FALSE) * Y1138* J1138*O1138*E1138*S1138*AD1138*[2]ステータス!$B$2,0)</f>
        <v>3825</v>
      </c>
      <c r="AH1138" s="99">
        <f>ROUND(VLOOKUP(1,enemy_base_stats!$A:$F,3,FALSE) * Z1138*K1138*P1138*F1138*T1138*AE1138 * W1138*[2]ステータス!$C$2,0)</f>
        <v>251</v>
      </c>
      <c r="AI1138" s="99">
        <f>ROUND(VLOOKUP(1,enemy_base_stats!$A:$F,4,FALSE) * AA1138*L1138*Q1138*G1138*U1138*AF1138*[2]ステータス!$D$2,0)</f>
        <v>0</v>
      </c>
      <c r="AJ1138" s="99">
        <f>ROUND(VLOOKUP(100,enemy_base_stats!$A:$F,2,FALSE) * Y1138* J1138*O1138*E1138*S1138*AD1138*[2]ステータス!$B$2,0)</f>
        <v>155295</v>
      </c>
      <c r="AK1138" s="99">
        <f>ROUND(VLOOKUP(100,enemy_base_stats!$A:$F,3,FALSE)* Z1138* K1138*P1138*F1138*T1138*AE1138 * W1138*[2]ステータス!$C$2,0)</f>
        <v>10175</v>
      </c>
      <c r="AL1138" s="99">
        <f>ROUND(VLOOKUP(100,enemy_base_stats!$A:$F,4,FALSE)* AA1138* L1138*Q1138*G1138*U1138*AF1138*[2]ステータス!$D$2,0)</f>
        <v>0</v>
      </c>
      <c r="AM1138" s="97">
        <f>VLOOKUP(M1138,[2]character_tribe_i18n!$A:$I,9,FALSE)</f>
        <v>400</v>
      </c>
      <c r="AN1138" s="36">
        <v>0</v>
      </c>
      <c r="AO1138" s="53">
        <v>0</v>
      </c>
      <c r="AP1138" s="58" t="s">
        <v>72</v>
      </c>
      <c r="AQ1138" s="71">
        <f t="shared" si="62"/>
        <v>1137</v>
      </c>
    </row>
    <row r="1139" spans="1:43" ht="21" customHeight="1" x14ac:dyDescent="0.15">
      <c r="A1139" s="7">
        <v>1138</v>
      </c>
      <c r="B1139" s="6" t="str">
        <f>VLOOKUP(A1139,[2]characters!$A:$C,3,FALSE)</f>
        <v>神算鬼謀の宰相 諸葛亮</v>
      </c>
      <c r="C1139" s="9">
        <f>VLOOKUP(A1139,[2]characters!$A:$I,9,FALSE)</f>
        <v>6</v>
      </c>
      <c r="D1139" s="9" t="str">
        <f>VLOOKUP(A1139,[2]characters!$A:$H,8,FALSE)</f>
        <v>red</v>
      </c>
      <c r="E1139" s="24">
        <f>VLOOKUP(D1139,[2]属性!$A:$E,2,FALSE)</f>
        <v>1</v>
      </c>
      <c r="F1139" s="24">
        <f>VLOOKUP(D1139,[2]属性!$A:$E,3,FALSE)</f>
        <v>1.02</v>
      </c>
      <c r="G1139" s="24">
        <f>VLOOKUP(D1139,[2]属性!$A:$F,4,FALSE)</f>
        <v>1</v>
      </c>
      <c r="H1139" s="9" t="str">
        <f>VLOOKUP(A1139,[2]characters!$A:$K,11,FALSE)</f>
        <v>technical</v>
      </c>
      <c r="I1139" s="14" t="str">
        <f>VLOOKUP(H1139,[2]character_type_i18n!$A:$F,3,FALSE)</f>
        <v>テクニカルタイプ</v>
      </c>
      <c r="J1139" s="36">
        <f>VLOOKUP(H1139,[2]character_type_i18n!$A:$F,4,FALSE)</f>
        <v>0.9</v>
      </c>
      <c r="K1139" s="36">
        <f>VLOOKUP(H1139,[2]character_type_i18n!$A:$F,5,FALSE)</f>
        <v>0.9</v>
      </c>
      <c r="L1139" s="36">
        <f>VLOOKUP(H1139,[2]character_type_i18n!$A:$F,6,FALSE)</f>
        <v>1</v>
      </c>
      <c r="M1139" s="9" t="str">
        <f>VLOOKUP(A1139,[2]characters!$A:$M,13,FALSE)</f>
        <v>samurai</v>
      </c>
      <c r="N1139" s="14" t="str">
        <f>VLOOKUP(M1139,[2]character_tribe_i18n!$A:$F,3,FALSE)</f>
        <v>サムライ</v>
      </c>
      <c r="O1139" s="24">
        <f>VLOOKUP(M1139,[2]character_tribe_i18n!$A:$F,4,FALSE)</f>
        <v>1</v>
      </c>
      <c r="P1139" s="24">
        <f>VLOOKUP(M1139,[2]character_tribe_i18n!$A:$F,5,FALSE)</f>
        <v>1</v>
      </c>
      <c r="Q1139" s="24">
        <f>VLOOKUP(M1139,[2]character_tribe_i18n!$A:$F,6,FALSE)</f>
        <v>1</v>
      </c>
      <c r="R1139" s="25" t="s">
        <v>98</v>
      </c>
      <c r="S1139" s="24">
        <f>VLOOKUP($R1139,ラベル別係数!$A$1:$E$7,3,FALSE)</f>
        <v>5</v>
      </c>
      <c r="T1139" s="24">
        <f>VLOOKUP($R1139,ラベル別係数!$A$1:$E$7,4,FALSE)</f>
        <v>1.3</v>
      </c>
      <c r="U1139" s="24">
        <f>VLOOKUP($R1139,ラベル別係数!$A$1:$E$7,5,FALSE)</f>
        <v>0.8</v>
      </c>
      <c r="V1139" s="27">
        <v>3</v>
      </c>
      <c r="W1139" s="28">
        <f>VLOOKUP(V1139,ターン数別攻撃係数!$A$1:$B$1000,2,FALSE)</f>
        <v>1</v>
      </c>
      <c r="X1139" s="9">
        <f>VLOOKUP(C1139,サイズ別係数!A$2:B$9,2,FALSE)</f>
        <v>60</v>
      </c>
      <c r="Y1139" s="26">
        <f>VLOOKUP($X1139,サイズ別係数!$B:$E,2,FALSE)</f>
        <v>1.7</v>
      </c>
      <c r="Z1139" s="26">
        <f>VLOOKUP($X1139,サイズ別係数!$B:$E,3,FALSE)</f>
        <v>1.4</v>
      </c>
      <c r="AA1139" s="26">
        <f>VLOOKUP($X1139,サイズ別係数!$B:$E,4,FALSE)</f>
        <v>1</v>
      </c>
      <c r="AB1139" s="5">
        <v>0</v>
      </c>
      <c r="AC1139" s="34" t="str">
        <f ca="1">VLOOKUP($AB1139,OFFSET([3]enemy_skill_sets!$B$2,0,0,COUNTA([3]enemy_skill_sets!$A:$A),MATCH(AC$1,[3]enemy_skill_sets!$1:$1,0)-MATCH($AB$1,[3]enemy_skill_sets!$1:$1,0)+1),MATCH(AC$1,[3]enemy_skill_sets!$1:$1,0)-MATCH($AB$1,[3]enemy_skill_sets!$1:$1,0)+1,FALSE)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39" s="67">
        <v>1</v>
      </c>
      <c r="AE1139" s="67">
        <v>1</v>
      </c>
      <c r="AF1139" s="37">
        <v>0</v>
      </c>
      <c r="AG1139" s="99">
        <f>ROUND(VLOOKUP(1,enemy_base_stats!$A:$F,2,FALSE) * Y1139* J1139*O1139*E1139*S1139*AD1139*[2]ステータス!$B$2,0)</f>
        <v>3825</v>
      </c>
      <c r="AH1139" s="99">
        <f>ROUND(VLOOKUP(1,enemy_base_stats!$A:$F,3,FALSE) * Z1139*K1139*P1139*F1139*T1139*AE1139 * W1139*[2]ステータス!$C$2,0)</f>
        <v>251</v>
      </c>
      <c r="AI1139" s="99">
        <f>ROUND(VLOOKUP(1,enemy_base_stats!$A:$F,4,FALSE) * AA1139*L1139*Q1139*G1139*U1139*AF1139*[2]ステータス!$D$2,0)</f>
        <v>0</v>
      </c>
      <c r="AJ1139" s="99">
        <f>ROUND(VLOOKUP(100,enemy_base_stats!$A:$F,2,FALSE) * Y1139* J1139*O1139*E1139*S1139*AD1139*[2]ステータス!$B$2,0)</f>
        <v>155295</v>
      </c>
      <c r="AK1139" s="99">
        <f>ROUND(VLOOKUP(100,enemy_base_stats!$A:$F,3,FALSE)* Z1139* K1139*P1139*F1139*T1139*AE1139 * W1139*[2]ステータス!$C$2,0)</f>
        <v>10175</v>
      </c>
      <c r="AL1139" s="99">
        <f>ROUND(VLOOKUP(100,enemy_base_stats!$A:$F,4,FALSE)* AA1139* L1139*Q1139*G1139*U1139*AF1139*[2]ステータス!$D$2,0)</f>
        <v>0</v>
      </c>
      <c r="AM1139" s="97">
        <f>VLOOKUP(M1139,[2]character_tribe_i18n!$A:$I,9,FALSE)</f>
        <v>400</v>
      </c>
      <c r="AN1139" s="36">
        <v>0</v>
      </c>
      <c r="AO1139" s="53">
        <v>0</v>
      </c>
      <c r="AP1139" s="58" t="s">
        <v>72</v>
      </c>
      <c r="AQ1139" s="71">
        <f t="shared" si="62"/>
        <v>1138</v>
      </c>
    </row>
    <row r="1140" spans="1:43" ht="21" customHeight="1" x14ac:dyDescent="0.15">
      <c r="A1140" s="7">
        <v>1139</v>
      </c>
      <c r="B1140" s="6" t="str">
        <f>VLOOKUP(A1140,[2]characters!$A:$C,3,FALSE)</f>
        <v>趙雲</v>
      </c>
      <c r="C1140" s="9">
        <f>VLOOKUP(A1140,[2]characters!$A:$I,9,FALSE)</f>
        <v>5</v>
      </c>
      <c r="D1140" s="9" t="str">
        <f>VLOOKUP(A1140,[2]characters!$A:$H,8,FALSE)</f>
        <v>green</v>
      </c>
      <c r="E1140" s="24">
        <f>VLOOKUP(D1140,[2]属性!$A:$E,2,FALSE)</f>
        <v>1.02</v>
      </c>
      <c r="F1140" s="24">
        <f>VLOOKUP(D1140,[2]属性!$A:$E,3,FALSE)</f>
        <v>0.98</v>
      </c>
      <c r="G1140" s="24">
        <f>VLOOKUP(D1140,[2]属性!$A:$F,4,FALSE)</f>
        <v>1</v>
      </c>
      <c r="H1140" s="9" t="str">
        <f>VLOOKUP(A1140,[2]characters!$A:$K,11,FALSE)</f>
        <v>balance</v>
      </c>
      <c r="I1140" s="14" t="str">
        <f>VLOOKUP(H1140,[2]character_type_i18n!$A:$F,3,FALSE)</f>
        <v>バランスタイプ</v>
      </c>
      <c r="J1140" s="36">
        <f>VLOOKUP(H1140,[2]character_type_i18n!$A:$F,4,FALSE)</f>
        <v>1</v>
      </c>
      <c r="K1140" s="36">
        <f>VLOOKUP(H1140,[2]character_type_i18n!$A:$F,5,FALSE)</f>
        <v>1</v>
      </c>
      <c r="L1140" s="36">
        <f>VLOOKUP(H1140,[2]character_type_i18n!$A:$F,6,FALSE)</f>
        <v>1</v>
      </c>
      <c r="M1140" s="9" t="str">
        <f>VLOOKUP(A1140,[2]characters!$A:$M,13,FALSE)</f>
        <v>samurai</v>
      </c>
      <c r="N1140" s="14" t="str">
        <f>VLOOKUP(M1140,[2]character_tribe_i18n!$A:$F,3,FALSE)</f>
        <v>サムライ</v>
      </c>
      <c r="O1140" s="24">
        <f>VLOOKUP(M1140,[2]character_tribe_i18n!$A:$F,4,FALSE)</f>
        <v>1</v>
      </c>
      <c r="P1140" s="24">
        <f>VLOOKUP(M1140,[2]character_tribe_i18n!$A:$F,5,FALSE)</f>
        <v>1</v>
      </c>
      <c r="Q1140" s="24">
        <f>VLOOKUP(M1140,[2]character_tribe_i18n!$A:$F,6,FALSE)</f>
        <v>1</v>
      </c>
      <c r="R1140" s="25" t="s">
        <v>98</v>
      </c>
      <c r="S1140" s="24">
        <f>VLOOKUP($R1140,ラベル別係数!$A$1:$E$7,3,FALSE)</f>
        <v>5</v>
      </c>
      <c r="T1140" s="24">
        <f>VLOOKUP($R1140,ラベル別係数!$A$1:$E$7,4,FALSE)</f>
        <v>1.3</v>
      </c>
      <c r="U1140" s="24">
        <f>VLOOKUP($R1140,ラベル別係数!$A$1:$E$7,5,FALSE)</f>
        <v>0.8</v>
      </c>
      <c r="V1140" s="27">
        <v>3</v>
      </c>
      <c r="W1140" s="28">
        <f>VLOOKUP(V1140,ターン数別攻撃係数!$A$1:$B$1000,2,FALSE)</f>
        <v>1</v>
      </c>
      <c r="X1140" s="9">
        <f>VLOOKUP(C1140,サイズ別係数!A$2:B$9,2,FALSE)</f>
        <v>60</v>
      </c>
      <c r="Y1140" s="26">
        <f>VLOOKUP($X1140,サイズ別係数!$B:$E,2,FALSE)</f>
        <v>1.7</v>
      </c>
      <c r="Z1140" s="26">
        <f>VLOOKUP($X1140,サイズ別係数!$B:$E,3,FALSE)</f>
        <v>1.4</v>
      </c>
      <c r="AA1140" s="26">
        <f>VLOOKUP($X1140,サイズ別係数!$B:$E,4,FALSE)</f>
        <v>1</v>
      </c>
      <c r="AB1140" s="5">
        <v>0</v>
      </c>
      <c r="AC1140" s="34" t="str">
        <f ca="1">VLOOKUP($AB1140,OFFSET([3]enemy_skill_sets!$B$2,0,0,COUNTA([3]enemy_skill_sets!$A:$A),MATCH(AC$1,[3]enemy_skill_sets!$1:$1,0)-MATCH($AB$1,[3]enemy_skill_sets!$1:$1,0)+1),MATCH(AC$1,[3]enemy_skill_sets!$1:$1,0)-MATCH($AB$1,[3]enemy_skill_sets!$1:$1,0)+1,FALSE)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0" s="67">
        <v>1</v>
      </c>
      <c r="AE1140" s="67">
        <v>1</v>
      </c>
      <c r="AF1140" s="37">
        <v>0</v>
      </c>
      <c r="AG1140" s="99">
        <f>ROUND(VLOOKUP(1,enemy_base_stats!$A:$F,2,FALSE) * Y1140* J1140*O1140*E1140*S1140*AD1140*[2]ステータス!$B$2,0)</f>
        <v>4335</v>
      </c>
      <c r="AH1140" s="99">
        <f>ROUND(VLOOKUP(1,enemy_base_stats!$A:$F,3,FALSE) * Z1140*K1140*P1140*F1140*T1140*AE1140 * W1140*[2]ステータス!$C$2,0)</f>
        <v>268</v>
      </c>
      <c r="AI1140" s="99">
        <f>ROUND(VLOOKUP(1,enemy_base_stats!$A:$F,4,FALSE) * AA1140*L1140*Q1140*G1140*U1140*AF1140*[2]ステータス!$D$2,0)</f>
        <v>0</v>
      </c>
      <c r="AJ1140" s="99">
        <f>ROUND(VLOOKUP(100,enemy_base_stats!$A:$F,2,FALSE) * Y1140* J1140*O1140*E1140*S1140*AD1140*[2]ステータス!$B$2,0)</f>
        <v>176001</v>
      </c>
      <c r="AK1140" s="99">
        <f>ROUND(VLOOKUP(100,enemy_base_stats!$A:$F,3,FALSE)* Z1140* K1140*P1140*F1140*T1140*AE1140 * W1140*[2]ステータス!$C$2,0)</f>
        <v>10862</v>
      </c>
      <c r="AL1140" s="99">
        <f>ROUND(VLOOKUP(100,enemy_base_stats!$A:$F,4,FALSE)* AA1140* L1140*Q1140*G1140*U1140*AF1140*[2]ステータス!$D$2,0)</f>
        <v>0</v>
      </c>
      <c r="AM1140" s="97">
        <f>VLOOKUP(M1140,[2]character_tribe_i18n!$A:$I,9,FALSE)</f>
        <v>400</v>
      </c>
      <c r="AN1140" s="36">
        <v>0</v>
      </c>
      <c r="AO1140" s="53">
        <v>0</v>
      </c>
      <c r="AP1140" s="58" t="s">
        <v>72</v>
      </c>
      <c r="AQ1140" s="71">
        <f t="shared" si="62"/>
        <v>1139</v>
      </c>
    </row>
    <row r="1141" spans="1:43" ht="21" customHeight="1" x14ac:dyDescent="0.15">
      <c r="A1141" s="7">
        <v>1140</v>
      </c>
      <c r="B1141" s="6" t="str">
        <f>VLOOKUP(A1141,[2]characters!$A:$C,3,FALSE)</f>
        <v>綱紀粛正の傑璧 趙雲</v>
      </c>
      <c r="C1141" s="9">
        <f>VLOOKUP(A1141,[2]characters!$A:$I,9,FALSE)</f>
        <v>6</v>
      </c>
      <c r="D1141" s="9" t="str">
        <f>VLOOKUP(A1141,[2]characters!$A:$H,8,FALSE)</f>
        <v>green</v>
      </c>
      <c r="E1141" s="24">
        <f>VLOOKUP(D1141,[2]属性!$A:$E,2,FALSE)</f>
        <v>1.02</v>
      </c>
      <c r="F1141" s="24">
        <f>VLOOKUP(D1141,[2]属性!$A:$E,3,FALSE)</f>
        <v>0.98</v>
      </c>
      <c r="G1141" s="24">
        <f>VLOOKUP(D1141,[2]属性!$A:$F,4,FALSE)</f>
        <v>1</v>
      </c>
      <c r="H1141" s="9" t="str">
        <f>VLOOKUP(A1141,[2]characters!$A:$K,11,FALSE)</f>
        <v>balance</v>
      </c>
      <c r="I1141" s="14" t="str">
        <f>VLOOKUP(H1141,[2]character_type_i18n!$A:$F,3,FALSE)</f>
        <v>バランスタイプ</v>
      </c>
      <c r="J1141" s="36">
        <f>VLOOKUP(H1141,[2]character_type_i18n!$A:$F,4,FALSE)</f>
        <v>1</v>
      </c>
      <c r="K1141" s="36">
        <f>VLOOKUP(H1141,[2]character_type_i18n!$A:$F,5,FALSE)</f>
        <v>1</v>
      </c>
      <c r="L1141" s="36">
        <f>VLOOKUP(H1141,[2]character_type_i18n!$A:$F,6,FALSE)</f>
        <v>1</v>
      </c>
      <c r="M1141" s="9" t="str">
        <f>VLOOKUP(A1141,[2]characters!$A:$M,13,FALSE)</f>
        <v>samurai</v>
      </c>
      <c r="N1141" s="14" t="str">
        <f>VLOOKUP(M1141,[2]character_tribe_i18n!$A:$F,3,FALSE)</f>
        <v>サムライ</v>
      </c>
      <c r="O1141" s="24">
        <f>VLOOKUP(M1141,[2]character_tribe_i18n!$A:$F,4,FALSE)</f>
        <v>1</v>
      </c>
      <c r="P1141" s="24">
        <f>VLOOKUP(M1141,[2]character_tribe_i18n!$A:$F,5,FALSE)</f>
        <v>1</v>
      </c>
      <c r="Q1141" s="24">
        <f>VLOOKUP(M1141,[2]character_tribe_i18n!$A:$F,6,FALSE)</f>
        <v>1</v>
      </c>
      <c r="R1141" s="25" t="s">
        <v>98</v>
      </c>
      <c r="S1141" s="24">
        <f>VLOOKUP($R1141,ラベル別係数!$A$1:$E$7,3,FALSE)</f>
        <v>5</v>
      </c>
      <c r="T1141" s="24">
        <f>VLOOKUP($R1141,ラベル別係数!$A$1:$E$7,4,FALSE)</f>
        <v>1.3</v>
      </c>
      <c r="U1141" s="24">
        <f>VLOOKUP($R1141,ラベル別係数!$A$1:$E$7,5,FALSE)</f>
        <v>0.8</v>
      </c>
      <c r="V1141" s="27">
        <v>3</v>
      </c>
      <c r="W1141" s="28">
        <f>VLOOKUP(V1141,ターン数別攻撃係数!$A$1:$B$1000,2,FALSE)</f>
        <v>1</v>
      </c>
      <c r="X1141" s="9">
        <f>VLOOKUP(C1141,サイズ別係数!A$2:B$9,2,FALSE)</f>
        <v>60</v>
      </c>
      <c r="Y1141" s="26">
        <f>VLOOKUP($X1141,サイズ別係数!$B:$E,2,FALSE)</f>
        <v>1.7</v>
      </c>
      <c r="Z1141" s="26">
        <f>VLOOKUP($X1141,サイズ別係数!$B:$E,3,FALSE)</f>
        <v>1.4</v>
      </c>
      <c r="AA1141" s="26">
        <f>VLOOKUP($X1141,サイズ別係数!$B:$E,4,FALSE)</f>
        <v>1</v>
      </c>
      <c r="AB1141" s="5">
        <v>0</v>
      </c>
      <c r="AC1141" s="34" t="str">
        <f ca="1">VLOOKUP($AB1141,OFFSET([3]enemy_skill_sets!$B$2,0,0,COUNTA([3]enemy_skill_sets!$A:$A),MATCH(AC$1,[3]enemy_skill_sets!$1:$1,0)-MATCH($AB$1,[3]enemy_skill_sets!$1:$1,0)+1),MATCH(AC$1,[3]enemy_skill_sets!$1:$1,0)-MATCH($AB$1,[3]enemy_skill_sets!$1:$1,0)+1,FALSE)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1" s="67">
        <v>1</v>
      </c>
      <c r="AE1141" s="67">
        <v>1</v>
      </c>
      <c r="AF1141" s="37">
        <v>0</v>
      </c>
      <c r="AG1141" s="99">
        <f>ROUND(VLOOKUP(1,enemy_base_stats!$A:$F,2,FALSE) * Y1141* J1141*O1141*E1141*S1141*AD1141*[2]ステータス!$B$2,0)</f>
        <v>4335</v>
      </c>
      <c r="AH1141" s="99">
        <f>ROUND(VLOOKUP(1,enemy_base_stats!$A:$F,3,FALSE) * Z1141*K1141*P1141*F1141*T1141*AE1141 * W1141*[2]ステータス!$C$2,0)</f>
        <v>268</v>
      </c>
      <c r="AI1141" s="99">
        <f>ROUND(VLOOKUP(1,enemy_base_stats!$A:$F,4,FALSE) * AA1141*L1141*Q1141*G1141*U1141*AF1141*[2]ステータス!$D$2,0)</f>
        <v>0</v>
      </c>
      <c r="AJ1141" s="99">
        <f>ROUND(VLOOKUP(100,enemy_base_stats!$A:$F,2,FALSE) * Y1141* J1141*O1141*E1141*S1141*AD1141*[2]ステータス!$B$2,0)</f>
        <v>176001</v>
      </c>
      <c r="AK1141" s="99">
        <f>ROUND(VLOOKUP(100,enemy_base_stats!$A:$F,3,FALSE)* Z1141* K1141*P1141*F1141*T1141*AE1141 * W1141*[2]ステータス!$C$2,0)</f>
        <v>10862</v>
      </c>
      <c r="AL1141" s="99">
        <f>ROUND(VLOOKUP(100,enemy_base_stats!$A:$F,4,FALSE)* AA1141* L1141*Q1141*G1141*U1141*AF1141*[2]ステータス!$D$2,0)</f>
        <v>0</v>
      </c>
      <c r="AM1141" s="97">
        <f>VLOOKUP(M1141,[2]character_tribe_i18n!$A:$I,9,FALSE)</f>
        <v>400</v>
      </c>
      <c r="AN1141" s="36">
        <v>0</v>
      </c>
      <c r="AO1141" s="53">
        <v>0</v>
      </c>
      <c r="AP1141" s="58" t="s">
        <v>72</v>
      </c>
      <c r="AQ1141" s="71">
        <f t="shared" si="62"/>
        <v>1140</v>
      </c>
    </row>
    <row r="1142" spans="1:43" ht="21" customHeight="1" x14ac:dyDescent="0.15">
      <c r="A1142" s="7">
        <v>1141</v>
      </c>
      <c r="B1142" s="6" t="str">
        <f>VLOOKUP(A1142,[2]characters!$A:$C,3,FALSE)</f>
        <v>月英</v>
      </c>
      <c r="C1142" s="9">
        <f>VLOOKUP(A1142,[2]characters!$A:$I,9,FALSE)</f>
        <v>5</v>
      </c>
      <c r="D1142" s="9" t="str">
        <f>VLOOKUP(A1142,[2]characters!$A:$H,8,FALSE)</f>
        <v>blue</v>
      </c>
      <c r="E1142" s="24">
        <f>VLOOKUP(D1142,[2]属性!$A:$E,2,FALSE)</f>
        <v>1</v>
      </c>
      <c r="F1142" s="24">
        <f>VLOOKUP(D1142,[2]属性!$A:$E,3,FALSE)</f>
        <v>0.98</v>
      </c>
      <c r="G1142" s="24">
        <f>VLOOKUP(D1142,[2]属性!$A:$F,4,FALSE)</f>
        <v>1</v>
      </c>
      <c r="H1142" s="9" t="str">
        <f>VLOOKUP(A1142,[2]characters!$A:$K,11,FALSE)</f>
        <v>balance</v>
      </c>
      <c r="I1142" s="14" t="str">
        <f>VLOOKUP(H1142,[2]character_type_i18n!$A:$F,3,FALSE)</f>
        <v>バランスタイプ</v>
      </c>
      <c r="J1142" s="36">
        <f>VLOOKUP(H1142,[2]character_type_i18n!$A:$F,4,FALSE)</f>
        <v>1</v>
      </c>
      <c r="K1142" s="36">
        <f>VLOOKUP(H1142,[2]character_type_i18n!$A:$F,5,FALSE)</f>
        <v>1</v>
      </c>
      <c r="L1142" s="36">
        <f>VLOOKUP(H1142,[2]character_type_i18n!$A:$F,6,FALSE)</f>
        <v>1</v>
      </c>
      <c r="M1142" s="9" t="str">
        <f>VLOOKUP(A1142,[2]characters!$A:$M,13,FALSE)</f>
        <v>human</v>
      </c>
      <c r="N1142" s="14" t="str">
        <f>VLOOKUP(M1142,[2]character_tribe_i18n!$A:$F,3,FALSE)</f>
        <v>ヒューマン</v>
      </c>
      <c r="O1142" s="24">
        <f>VLOOKUP(M1142,[2]character_tribe_i18n!$A:$F,4,FALSE)</f>
        <v>0.94</v>
      </c>
      <c r="P1142" s="24">
        <f>VLOOKUP(M1142,[2]character_tribe_i18n!$A:$F,5,FALSE)</f>
        <v>0.99</v>
      </c>
      <c r="Q1142" s="24">
        <f>VLOOKUP(M1142,[2]character_tribe_i18n!$A:$F,6,FALSE)</f>
        <v>1</v>
      </c>
      <c r="R1142" s="25" t="s">
        <v>98</v>
      </c>
      <c r="S1142" s="24">
        <f>VLOOKUP($R1142,ラベル別係数!$A$1:$E$7,3,FALSE)</f>
        <v>5</v>
      </c>
      <c r="T1142" s="24">
        <f>VLOOKUP($R1142,ラベル別係数!$A$1:$E$7,4,FALSE)</f>
        <v>1.3</v>
      </c>
      <c r="U1142" s="24">
        <f>VLOOKUP($R1142,ラベル別係数!$A$1:$E$7,5,FALSE)</f>
        <v>0.8</v>
      </c>
      <c r="V1142" s="27">
        <v>3</v>
      </c>
      <c r="W1142" s="28">
        <f>VLOOKUP(V1142,ターン数別攻撃係数!$A$1:$B$1000,2,FALSE)</f>
        <v>1</v>
      </c>
      <c r="X1142" s="9">
        <f>VLOOKUP(C1142,サイズ別係数!A$2:B$9,2,FALSE)</f>
        <v>60</v>
      </c>
      <c r="Y1142" s="26">
        <f>VLOOKUP($X1142,サイズ別係数!$B:$E,2,FALSE)</f>
        <v>1.7</v>
      </c>
      <c r="Z1142" s="26">
        <f>VLOOKUP($X1142,サイズ別係数!$B:$E,3,FALSE)</f>
        <v>1.4</v>
      </c>
      <c r="AA1142" s="26">
        <f>VLOOKUP($X1142,サイズ別係数!$B:$E,4,FALSE)</f>
        <v>1</v>
      </c>
      <c r="AB1142" s="5">
        <v>0</v>
      </c>
      <c r="AC1142" s="34" t="str">
        <f ca="1">VLOOKUP($AB1142,OFFSET([3]enemy_skill_sets!$B$2,0,0,COUNTA([3]enemy_skill_sets!$A:$A),MATCH(AC$1,[3]enemy_skill_sets!$1:$1,0)-MATCH($AB$1,[3]enemy_skill_sets!$1:$1,0)+1),MATCH(AC$1,[3]enemy_skill_sets!$1:$1,0)-MATCH($AB$1,[3]enemy_skill_sets!$1:$1,0)+1,FALSE)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2" s="67">
        <v>1</v>
      </c>
      <c r="AE1142" s="67">
        <v>1</v>
      </c>
      <c r="AF1142" s="37">
        <v>0</v>
      </c>
      <c r="AG1142" s="99">
        <f>ROUND(VLOOKUP(1,enemy_base_stats!$A:$F,2,FALSE) * Y1142* J1142*O1142*E1142*S1142*AD1142*[2]ステータス!$B$2,0)</f>
        <v>3995</v>
      </c>
      <c r="AH1142" s="99">
        <f>ROUND(VLOOKUP(1,enemy_base_stats!$A:$F,3,FALSE) * Z1142*K1142*P1142*F1142*T1142*AE1142 * W1142*[2]ステータス!$C$2,0)</f>
        <v>265</v>
      </c>
      <c r="AI1142" s="99">
        <f>ROUND(VLOOKUP(1,enemy_base_stats!$A:$F,4,FALSE) * AA1142*L1142*Q1142*G1142*U1142*AF1142*[2]ステータス!$D$2,0)</f>
        <v>0</v>
      </c>
      <c r="AJ1142" s="99">
        <f>ROUND(VLOOKUP(100,enemy_base_stats!$A:$F,2,FALSE) * Y1142* J1142*O1142*E1142*S1142*AD1142*[2]ステータス!$B$2,0)</f>
        <v>162197</v>
      </c>
      <c r="AK1142" s="99">
        <f>ROUND(VLOOKUP(100,enemy_base_stats!$A:$F,3,FALSE)* Z1142* K1142*P1142*F1142*T1142*AE1142 * W1142*[2]ステータス!$C$2,0)</f>
        <v>10754</v>
      </c>
      <c r="AL1142" s="99">
        <f>ROUND(VLOOKUP(100,enemy_base_stats!$A:$F,4,FALSE)* AA1142* L1142*Q1142*G1142*U1142*AF1142*[2]ステータス!$D$2,0)</f>
        <v>0</v>
      </c>
      <c r="AM1142" s="97">
        <f>VLOOKUP(M1142,[2]character_tribe_i18n!$A:$I,9,FALSE)</f>
        <v>400</v>
      </c>
      <c r="AN1142" s="36">
        <v>0</v>
      </c>
      <c r="AO1142" s="53">
        <v>0</v>
      </c>
      <c r="AP1142" s="58" t="s">
        <v>72</v>
      </c>
      <c r="AQ1142" s="71">
        <f t="shared" si="62"/>
        <v>1141</v>
      </c>
    </row>
    <row r="1143" spans="1:43" ht="21" customHeight="1" x14ac:dyDescent="0.15">
      <c r="A1143" s="7">
        <v>1142</v>
      </c>
      <c r="B1143" s="6" t="str">
        <f>VLOOKUP(A1143,[2]characters!$A:$C,3,FALSE)</f>
        <v>蒼明な機鋼士 月英</v>
      </c>
      <c r="C1143" s="9">
        <f>VLOOKUP(A1143,[2]characters!$A:$I,9,FALSE)</f>
        <v>6</v>
      </c>
      <c r="D1143" s="9" t="str">
        <f>VLOOKUP(A1143,[2]characters!$A:$H,8,FALSE)</f>
        <v>blue</v>
      </c>
      <c r="E1143" s="24">
        <f>VLOOKUP(D1143,[2]属性!$A:$E,2,FALSE)</f>
        <v>1</v>
      </c>
      <c r="F1143" s="24">
        <f>VLOOKUP(D1143,[2]属性!$A:$E,3,FALSE)</f>
        <v>0.98</v>
      </c>
      <c r="G1143" s="24">
        <f>VLOOKUP(D1143,[2]属性!$A:$F,4,FALSE)</f>
        <v>1</v>
      </c>
      <c r="H1143" s="9" t="str">
        <f>VLOOKUP(A1143,[2]characters!$A:$K,11,FALSE)</f>
        <v>balance</v>
      </c>
      <c r="I1143" s="14" t="str">
        <f>VLOOKUP(H1143,[2]character_type_i18n!$A:$F,3,FALSE)</f>
        <v>バランスタイプ</v>
      </c>
      <c r="J1143" s="36">
        <f>VLOOKUP(H1143,[2]character_type_i18n!$A:$F,4,FALSE)</f>
        <v>1</v>
      </c>
      <c r="K1143" s="36">
        <f>VLOOKUP(H1143,[2]character_type_i18n!$A:$F,5,FALSE)</f>
        <v>1</v>
      </c>
      <c r="L1143" s="36">
        <f>VLOOKUP(H1143,[2]character_type_i18n!$A:$F,6,FALSE)</f>
        <v>1</v>
      </c>
      <c r="M1143" s="9" t="str">
        <f>VLOOKUP(A1143,[2]characters!$A:$M,13,FALSE)</f>
        <v>human</v>
      </c>
      <c r="N1143" s="14" t="str">
        <f>VLOOKUP(M1143,[2]character_tribe_i18n!$A:$F,3,FALSE)</f>
        <v>ヒューマン</v>
      </c>
      <c r="O1143" s="24">
        <f>VLOOKUP(M1143,[2]character_tribe_i18n!$A:$F,4,FALSE)</f>
        <v>0.94</v>
      </c>
      <c r="P1143" s="24">
        <f>VLOOKUP(M1143,[2]character_tribe_i18n!$A:$F,5,FALSE)</f>
        <v>0.99</v>
      </c>
      <c r="Q1143" s="24">
        <f>VLOOKUP(M1143,[2]character_tribe_i18n!$A:$F,6,FALSE)</f>
        <v>1</v>
      </c>
      <c r="R1143" s="25" t="s">
        <v>98</v>
      </c>
      <c r="S1143" s="24">
        <f>VLOOKUP($R1143,ラベル別係数!$A$1:$E$7,3,FALSE)</f>
        <v>5</v>
      </c>
      <c r="T1143" s="24">
        <f>VLOOKUP($R1143,ラベル別係数!$A$1:$E$7,4,FALSE)</f>
        <v>1.3</v>
      </c>
      <c r="U1143" s="24">
        <f>VLOOKUP($R1143,ラベル別係数!$A$1:$E$7,5,FALSE)</f>
        <v>0.8</v>
      </c>
      <c r="V1143" s="27">
        <v>3</v>
      </c>
      <c r="W1143" s="28">
        <f>VLOOKUP(V1143,ターン数別攻撃係数!$A$1:$B$1000,2,FALSE)</f>
        <v>1</v>
      </c>
      <c r="X1143" s="9">
        <f>VLOOKUP(C1143,サイズ別係数!A$2:B$9,2,FALSE)</f>
        <v>60</v>
      </c>
      <c r="Y1143" s="26">
        <f>VLOOKUP($X1143,サイズ別係数!$B:$E,2,FALSE)</f>
        <v>1.7</v>
      </c>
      <c r="Z1143" s="26">
        <f>VLOOKUP($X1143,サイズ別係数!$B:$E,3,FALSE)</f>
        <v>1.4</v>
      </c>
      <c r="AA1143" s="26">
        <f>VLOOKUP($X1143,サイズ別係数!$B:$E,4,FALSE)</f>
        <v>1</v>
      </c>
      <c r="AB1143" s="5">
        <v>0</v>
      </c>
      <c r="AC1143" s="34" t="str">
        <f ca="1">VLOOKUP($AB1143,OFFSET([3]enemy_skill_sets!$B$2,0,0,COUNTA([3]enemy_skill_sets!$A:$A),MATCH(AC$1,[3]enemy_skill_sets!$1:$1,0)-MATCH($AB$1,[3]enemy_skill_sets!$1:$1,0)+1),MATCH(AC$1,[3]enemy_skill_sets!$1:$1,0)-MATCH($AB$1,[3]enemy_skill_sets!$1:$1,0)+1,FALSE)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3" s="67">
        <v>1</v>
      </c>
      <c r="AE1143" s="67">
        <v>1</v>
      </c>
      <c r="AF1143" s="37">
        <v>0</v>
      </c>
      <c r="AG1143" s="99">
        <f>ROUND(VLOOKUP(1,enemy_base_stats!$A:$F,2,FALSE) * Y1143* J1143*O1143*E1143*S1143*AD1143*[2]ステータス!$B$2,0)</f>
        <v>3995</v>
      </c>
      <c r="AH1143" s="99">
        <f>ROUND(VLOOKUP(1,enemy_base_stats!$A:$F,3,FALSE) * Z1143*K1143*P1143*F1143*T1143*AE1143 * W1143*[2]ステータス!$C$2,0)</f>
        <v>265</v>
      </c>
      <c r="AI1143" s="99">
        <f>ROUND(VLOOKUP(1,enemy_base_stats!$A:$F,4,FALSE) * AA1143*L1143*Q1143*G1143*U1143*AF1143*[2]ステータス!$D$2,0)</f>
        <v>0</v>
      </c>
      <c r="AJ1143" s="99">
        <f>ROUND(VLOOKUP(100,enemy_base_stats!$A:$F,2,FALSE) * Y1143* J1143*O1143*E1143*S1143*AD1143*[2]ステータス!$B$2,0)</f>
        <v>162197</v>
      </c>
      <c r="AK1143" s="99">
        <f>ROUND(VLOOKUP(100,enemy_base_stats!$A:$F,3,FALSE)* Z1143* K1143*P1143*F1143*T1143*AE1143 * W1143*[2]ステータス!$C$2,0)</f>
        <v>10754</v>
      </c>
      <c r="AL1143" s="99">
        <f>ROUND(VLOOKUP(100,enemy_base_stats!$A:$F,4,FALSE)* AA1143* L1143*Q1143*G1143*U1143*AF1143*[2]ステータス!$D$2,0)</f>
        <v>0</v>
      </c>
      <c r="AM1143" s="97">
        <f>VLOOKUP(M1143,[2]character_tribe_i18n!$A:$I,9,FALSE)</f>
        <v>400</v>
      </c>
      <c r="AN1143" s="36">
        <v>0</v>
      </c>
      <c r="AO1143" s="53">
        <v>0</v>
      </c>
      <c r="AP1143" s="58" t="s">
        <v>72</v>
      </c>
      <c r="AQ1143" s="71">
        <f t="shared" si="62"/>
        <v>1142</v>
      </c>
    </row>
    <row r="1144" spans="1:43" ht="21" customHeight="1" x14ac:dyDescent="0.15">
      <c r="A1144" s="7">
        <v>1143</v>
      </c>
      <c r="B1144" s="6" t="str">
        <f>VLOOKUP(A1144,[2]characters!$A:$C,3,FALSE)</f>
        <v>黄忠</v>
      </c>
      <c r="C1144" s="9">
        <f>VLOOKUP(A1144,[2]characters!$A:$I,9,FALSE)</f>
        <v>4</v>
      </c>
      <c r="D1144" s="9" t="str">
        <f>VLOOKUP(A1144,[2]characters!$A:$H,8,FALSE)</f>
        <v>yellow</v>
      </c>
      <c r="E1144" s="24">
        <f>VLOOKUP(D1144,[2]属性!$A:$E,2,FALSE)</f>
        <v>0.98</v>
      </c>
      <c r="F1144" s="24">
        <f>VLOOKUP(D1144,[2]属性!$A:$E,3,FALSE)</f>
        <v>1.01</v>
      </c>
      <c r="G1144" s="24">
        <f>VLOOKUP(D1144,[2]属性!$A:$F,4,FALSE)</f>
        <v>1</v>
      </c>
      <c r="H1144" s="9" t="str">
        <f>VLOOKUP(A1144,[2]characters!$A:$K,11,FALSE)</f>
        <v>technical</v>
      </c>
      <c r="I1144" s="14" t="str">
        <f>VLOOKUP(H1144,[2]character_type_i18n!$A:$F,3,FALSE)</f>
        <v>テクニカルタイプ</v>
      </c>
      <c r="J1144" s="36">
        <f>VLOOKUP(H1144,[2]character_type_i18n!$A:$F,4,FALSE)</f>
        <v>0.9</v>
      </c>
      <c r="K1144" s="36">
        <f>VLOOKUP(H1144,[2]character_type_i18n!$A:$F,5,FALSE)</f>
        <v>0.9</v>
      </c>
      <c r="L1144" s="36">
        <f>VLOOKUP(H1144,[2]character_type_i18n!$A:$F,6,FALSE)</f>
        <v>1</v>
      </c>
      <c r="M1144" s="9" t="str">
        <f>VLOOKUP(A1144,[2]characters!$A:$M,13,FALSE)</f>
        <v>samurai</v>
      </c>
      <c r="N1144" s="14" t="str">
        <f>VLOOKUP(M1144,[2]character_tribe_i18n!$A:$F,3,FALSE)</f>
        <v>サムライ</v>
      </c>
      <c r="O1144" s="24">
        <f>VLOOKUP(M1144,[2]character_tribe_i18n!$A:$F,4,FALSE)</f>
        <v>1</v>
      </c>
      <c r="P1144" s="24">
        <f>VLOOKUP(M1144,[2]character_tribe_i18n!$A:$F,5,FALSE)</f>
        <v>1</v>
      </c>
      <c r="Q1144" s="24">
        <f>VLOOKUP(M1144,[2]character_tribe_i18n!$A:$F,6,FALSE)</f>
        <v>1</v>
      </c>
      <c r="R1144" s="25" t="s">
        <v>98</v>
      </c>
      <c r="S1144" s="24">
        <f>VLOOKUP($R1144,ラベル別係数!$A$1:$E$7,3,FALSE)</f>
        <v>5</v>
      </c>
      <c r="T1144" s="24">
        <f>VLOOKUP($R1144,ラベル別係数!$A$1:$E$7,4,FALSE)</f>
        <v>1.3</v>
      </c>
      <c r="U1144" s="24">
        <f>VLOOKUP($R1144,ラベル別係数!$A$1:$E$7,5,FALSE)</f>
        <v>0.8</v>
      </c>
      <c r="V1144" s="27">
        <v>3</v>
      </c>
      <c r="W1144" s="28">
        <f>VLOOKUP(V1144,ターン数別攻撃係数!$A$1:$B$1000,2,FALSE)</f>
        <v>1</v>
      </c>
      <c r="X1144" s="9">
        <f>VLOOKUP(C1144,サイズ別係数!A$2:B$9,2,FALSE)</f>
        <v>30</v>
      </c>
      <c r="Y1144" s="26">
        <f>VLOOKUP($X1144,サイズ別係数!$B:$E,2,FALSE)</f>
        <v>1.3</v>
      </c>
      <c r="Z1144" s="26">
        <f>VLOOKUP($X1144,サイズ別係数!$B:$E,3,FALSE)</f>
        <v>1.3</v>
      </c>
      <c r="AA1144" s="26">
        <f>VLOOKUP($X1144,サイズ別係数!$B:$E,4,FALSE)</f>
        <v>1.1000000000000001</v>
      </c>
      <c r="AB1144" s="5">
        <v>0</v>
      </c>
      <c r="AC1144" s="34" t="str">
        <f ca="1">VLOOKUP($AB1144,OFFSET([3]enemy_skill_sets!$B$2,0,0,COUNTA([3]enemy_skill_sets!$A:$A),MATCH(AC$1,[3]enemy_skill_sets!$1:$1,0)-MATCH($AB$1,[3]enemy_skill_sets!$1:$1,0)+1),MATCH(AC$1,[3]enemy_skill_sets!$1:$1,0)-MATCH($AB$1,[3]enemy_skill_sets!$1:$1,0)+1,FALSE)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4" s="67">
        <v>1</v>
      </c>
      <c r="AE1144" s="67">
        <v>1</v>
      </c>
      <c r="AF1144" s="37">
        <v>0</v>
      </c>
      <c r="AG1144" s="99">
        <f>ROUND(VLOOKUP(1,enemy_base_stats!$A:$F,2,FALSE) * Y1144* J1144*O1144*E1144*S1144*AD1144*[2]ステータス!$B$2,0)</f>
        <v>2867</v>
      </c>
      <c r="AH1144" s="99">
        <f>ROUND(VLOOKUP(1,enemy_base_stats!$A:$F,3,FALSE) * Z1144*K1144*P1144*F1144*T1144*AE1144 * W1144*[2]ステータス!$C$2,0)</f>
        <v>230</v>
      </c>
      <c r="AI1144" s="99">
        <f>ROUND(VLOOKUP(1,enemy_base_stats!$A:$F,4,FALSE) * AA1144*L1144*Q1144*G1144*U1144*AF1144*[2]ステータス!$D$2,0)</f>
        <v>0</v>
      </c>
      <c r="AJ1144" s="99">
        <f>ROUND(VLOOKUP(100,enemy_base_stats!$A:$F,2,FALSE) * Y1144* J1144*O1144*E1144*S1144*AD1144*[2]ステータス!$B$2,0)</f>
        <v>116380</v>
      </c>
      <c r="AK1144" s="99">
        <f>ROUND(VLOOKUP(100,enemy_base_stats!$A:$F,3,FALSE)* Z1144* K1144*P1144*F1144*T1144*AE1144 * W1144*[2]ステータス!$C$2,0)</f>
        <v>9356</v>
      </c>
      <c r="AL1144" s="99">
        <f>ROUND(VLOOKUP(100,enemy_base_stats!$A:$F,4,FALSE)* AA1144* L1144*Q1144*G1144*U1144*AF1144*[2]ステータス!$D$2,0)</f>
        <v>0</v>
      </c>
      <c r="AM1144" s="97">
        <f>VLOOKUP(M1144,[2]character_tribe_i18n!$A:$I,9,FALSE)</f>
        <v>400</v>
      </c>
      <c r="AN1144" s="36">
        <v>0</v>
      </c>
      <c r="AO1144" s="53">
        <v>0</v>
      </c>
      <c r="AP1144" s="58" t="s">
        <v>72</v>
      </c>
      <c r="AQ1144" s="71">
        <f t="shared" si="62"/>
        <v>1143</v>
      </c>
    </row>
    <row r="1145" spans="1:43" ht="21" customHeight="1" x14ac:dyDescent="0.15">
      <c r="A1145" s="7">
        <v>1144</v>
      </c>
      <c r="B1145" s="6" t="str">
        <f>VLOOKUP(A1145,[2]characters!$A:$C,3,FALSE)</f>
        <v>白星を射る老将 黄忠</v>
      </c>
      <c r="C1145" s="9">
        <f>VLOOKUP(A1145,[2]characters!$A:$I,9,FALSE)</f>
        <v>5</v>
      </c>
      <c r="D1145" s="9" t="str">
        <f>VLOOKUP(A1145,[2]characters!$A:$H,8,FALSE)</f>
        <v>yellow</v>
      </c>
      <c r="E1145" s="24">
        <f>VLOOKUP(D1145,[2]属性!$A:$E,2,FALSE)</f>
        <v>0.98</v>
      </c>
      <c r="F1145" s="24">
        <f>VLOOKUP(D1145,[2]属性!$A:$E,3,FALSE)</f>
        <v>1.01</v>
      </c>
      <c r="G1145" s="24">
        <f>VLOOKUP(D1145,[2]属性!$A:$F,4,FALSE)</f>
        <v>1</v>
      </c>
      <c r="H1145" s="9" t="str">
        <f>VLOOKUP(A1145,[2]characters!$A:$K,11,FALSE)</f>
        <v>technical</v>
      </c>
      <c r="I1145" s="14" t="str">
        <f>VLOOKUP(H1145,[2]character_type_i18n!$A:$F,3,FALSE)</f>
        <v>テクニカルタイプ</v>
      </c>
      <c r="J1145" s="36">
        <f>VLOOKUP(H1145,[2]character_type_i18n!$A:$F,4,FALSE)</f>
        <v>0.9</v>
      </c>
      <c r="K1145" s="36">
        <f>VLOOKUP(H1145,[2]character_type_i18n!$A:$F,5,FALSE)</f>
        <v>0.9</v>
      </c>
      <c r="L1145" s="36">
        <f>VLOOKUP(H1145,[2]character_type_i18n!$A:$F,6,FALSE)</f>
        <v>1</v>
      </c>
      <c r="M1145" s="9" t="str">
        <f>VLOOKUP(A1145,[2]characters!$A:$M,13,FALSE)</f>
        <v>samurai</v>
      </c>
      <c r="N1145" s="14" t="str">
        <f>VLOOKUP(M1145,[2]character_tribe_i18n!$A:$F,3,FALSE)</f>
        <v>サムライ</v>
      </c>
      <c r="O1145" s="24">
        <f>VLOOKUP(M1145,[2]character_tribe_i18n!$A:$F,4,FALSE)</f>
        <v>1</v>
      </c>
      <c r="P1145" s="24">
        <f>VLOOKUP(M1145,[2]character_tribe_i18n!$A:$F,5,FALSE)</f>
        <v>1</v>
      </c>
      <c r="Q1145" s="24">
        <f>VLOOKUP(M1145,[2]character_tribe_i18n!$A:$F,6,FALSE)</f>
        <v>1</v>
      </c>
      <c r="R1145" s="25" t="s">
        <v>98</v>
      </c>
      <c r="S1145" s="24">
        <f>VLOOKUP($R1145,ラベル別係数!$A$1:$E$7,3,FALSE)</f>
        <v>5</v>
      </c>
      <c r="T1145" s="24">
        <f>VLOOKUP($R1145,ラベル別係数!$A$1:$E$7,4,FALSE)</f>
        <v>1.3</v>
      </c>
      <c r="U1145" s="24">
        <f>VLOOKUP($R1145,ラベル別係数!$A$1:$E$7,5,FALSE)</f>
        <v>0.8</v>
      </c>
      <c r="V1145" s="27">
        <v>3</v>
      </c>
      <c r="W1145" s="28">
        <f>VLOOKUP(V1145,ターン数別攻撃係数!$A$1:$B$1000,2,FALSE)</f>
        <v>1</v>
      </c>
      <c r="X1145" s="9">
        <f>VLOOKUP(C1145,サイズ別係数!A$2:B$9,2,FALSE)</f>
        <v>60</v>
      </c>
      <c r="Y1145" s="26">
        <f>VLOOKUP($X1145,サイズ別係数!$B:$E,2,FALSE)</f>
        <v>1.7</v>
      </c>
      <c r="Z1145" s="26">
        <f>VLOOKUP($X1145,サイズ別係数!$B:$E,3,FALSE)</f>
        <v>1.4</v>
      </c>
      <c r="AA1145" s="26">
        <f>VLOOKUP($X1145,サイズ別係数!$B:$E,4,FALSE)</f>
        <v>1</v>
      </c>
      <c r="AB1145" s="5">
        <v>0</v>
      </c>
      <c r="AC1145" s="34" t="str">
        <f ca="1">VLOOKUP($AB1145,OFFSET([3]enemy_skill_sets!$B$2,0,0,COUNTA([3]enemy_skill_sets!$A:$A),MATCH(AC$1,[3]enemy_skill_sets!$1:$1,0)-MATCH($AB$1,[3]enemy_skill_sets!$1:$1,0)+1),MATCH(AC$1,[3]enemy_skill_sets!$1:$1,0)-MATCH($AB$1,[3]enemy_skill_sets!$1:$1,0)+1,FALSE)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5" s="67">
        <v>1</v>
      </c>
      <c r="AE1145" s="67">
        <v>1</v>
      </c>
      <c r="AF1145" s="37">
        <v>0</v>
      </c>
      <c r="AG1145" s="99">
        <f>ROUND(VLOOKUP(1,enemy_base_stats!$A:$F,2,FALSE) * Y1145* J1145*O1145*E1145*S1145*AD1145*[2]ステータス!$B$2,0)</f>
        <v>3749</v>
      </c>
      <c r="AH1145" s="99">
        <f>ROUND(VLOOKUP(1,enemy_base_stats!$A:$F,3,FALSE) * Z1145*K1145*P1145*F1145*T1145*AE1145 * W1145*[2]ステータス!$C$2,0)</f>
        <v>248</v>
      </c>
      <c r="AI1145" s="99">
        <f>ROUND(VLOOKUP(1,enemy_base_stats!$A:$F,4,FALSE) * AA1145*L1145*Q1145*G1145*U1145*AF1145*[2]ステータス!$D$2,0)</f>
        <v>0</v>
      </c>
      <c r="AJ1145" s="99">
        <f>ROUND(VLOOKUP(100,enemy_base_stats!$A:$F,2,FALSE) * Y1145* J1145*O1145*E1145*S1145*AD1145*[2]ステータス!$B$2,0)</f>
        <v>152189</v>
      </c>
      <c r="AK1145" s="99">
        <f>ROUND(VLOOKUP(100,enemy_base_stats!$A:$F,3,FALSE)* Z1145* K1145*P1145*F1145*T1145*AE1145 * W1145*[2]ステータス!$C$2,0)</f>
        <v>10075</v>
      </c>
      <c r="AL1145" s="99">
        <f>ROUND(VLOOKUP(100,enemy_base_stats!$A:$F,4,FALSE)* AA1145* L1145*Q1145*G1145*U1145*AF1145*[2]ステータス!$D$2,0)</f>
        <v>0</v>
      </c>
      <c r="AM1145" s="97">
        <f>VLOOKUP(M1145,[2]character_tribe_i18n!$A:$I,9,FALSE)</f>
        <v>400</v>
      </c>
      <c r="AN1145" s="36">
        <v>0</v>
      </c>
      <c r="AO1145" s="53">
        <v>0</v>
      </c>
      <c r="AP1145" s="58" t="s">
        <v>72</v>
      </c>
      <c r="AQ1145" s="71">
        <f t="shared" si="62"/>
        <v>1144</v>
      </c>
    </row>
    <row r="1146" spans="1:43" ht="21" customHeight="1" x14ac:dyDescent="0.15">
      <c r="A1146" s="7">
        <v>1145</v>
      </c>
      <c r="B1146" s="6" t="str">
        <f>VLOOKUP(A1146,[2]characters!$A:$C,3,FALSE)</f>
        <v>ヴリトラ</v>
      </c>
      <c r="C1146" s="9">
        <f>VLOOKUP(A1146,[2]characters!$A:$I,9,FALSE)</f>
        <v>4</v>
      </c>
      <c r="D1146" s="9" t="str">
        <f>VLOOKUP(A1146,[2]characters!$A:$H,8,FALSE)</f>
        <v>yellow</v>
      </c>
      <c r="E1146" s="24">
        <f>VLOOKUP(D1146,[2]属性!$A:$E,2,FALSE)</f>
        <v>0.98</v>
      </c>
      <c r="F1146" s="24">
        <f>VLOOKUP(D1146,[2]属性!$A:$E,3,FALSE)</f>
        <v>1.01</v>
      </c>
      <c r="G1146" s="24">
        <f>VLOOKUP(D1146,[2]属性!$A:$F,4,FALSE)</f>
        <v>1</v>
      </c>
      <c r="H1146" s="9" t="str">
        <f>VLOOKUP(A1146,[2]characters!$A:$K,11,FALSE)</f>
        <v>hp</v>
      </c>
      <c r="I1146" s="14" t="str">
        <f>VLOOKUP(H1146,[2]character_type_i18n!$A:$F,3,FALSE)</f>
        <v>体力タイプ</v>
      </c>
      <c r="J1146" s="36">
        <f>VLOOKUP(H1146,[2]character_type_i18n!$A:$F,4,FALSE)</f>
        <v>1.45</v>
      </c>
      <c r="K1146" s="36">
        <f>VLOOKUP(H1146,[2]character_type_i18n!$A:$F,5,FALSE)</f>
        <v>0.85</v>
      </c>
      <c r="L1146" s="36">
        <f>VLOOKUP(H1146,[2]character_type_i18n!$A:$F,6,FALSE)</f>
        <v>1</v>
      </c>
      <c r="M1146" s="9" t="str">
        <f>VLOOKUP(A1146,[2]characters!$A:$M,13,FALSE)</f>
        <v>dragon</v>
      </c>
      <c r="N1146" s="14" t="str">
        <f>VLOOKUP(M1146,[2]character_tribe_i18n!$A:$F,3,FALSE)</f>
        <v>ドラゴン</v>
      </c>
      <c r="O1146" s="24">
        <f>VLOOKUP(M1146,[2]character_tribe_i18n!$A:$F,4,FALSE)</f>
        <v>1.1499999999999999</v>
      </c>
      <c r="P1146" s="24">
        <f>VLOOKUP(M1146,[2]character_tribe_i18n!$A:$F,5,FALSE)</f>
        <v>1.1000000000000001</v>
      </c>
      <c r="Q1146" s="24">
        <f>VLOOKUP(M1146,[2]character_tribe_i18n!$A:$F,6,FALSE)</f>
        <v>1</v>
      </c>
      <c r="R1146" s="25" t="s">
        <v>98</v>
      </c>
      <c r="S1146" s="24">
        <f>VLOOKUP($R1146,ラベル別係数!$A$1:$E$7,3,FALSE)</f>
        <v>5</v>
      </c>
      <c r="T1146" s="24">
        <f>VLOOKUP($R1146,ラベル別係数!$A$1:$E$7,4,FALSE)</f>
        <v>1.3</v>
      </c>
      <c r="U1146" s="24">
        <f>VLOOKUP($R1146,ラベル別係数!$A$1:$E$7,5,FALSE)</f>
        <v>0.8</v>
      </c>
      <c r="V1146" s="27">
        <v>3</v>
      </c>
      <c r="W1146" s="28">
        <f>VLOOKUP(V1146,ターン数別攻撃係数!$A$1:$B$1000,2,FALSE)</f>
        <v>1</v>
      </c>
      <c r="X1146" s="9">
        <f>VLOOKUP(C1146,サイズ別係数!A$2:B$9,2,FALSE)</f>
        <v>30</v>
      </c>
      <c r="Y1146" s="26">
        <f>VLOOKUP($X1146,サイズ別係数!$B:$E,2,FALSE)</f>
        <v>1.3</v>
      </c>
      <c r="Z1146" s="26">
        <f>VLOOKUP($X1146,サイズ別係数!$B:$E,3,FALSE)</f>
        <v>1.3</v>
      </c>
      <c r="AA1146" s="26">
        <f>VLOOKUP($X1146,サイズ別係数!$B:$E,4,FALSE)</f>
        <v>1.1000000000000001</v>
      </c>
      <c r="AB1146" s="5">
        <v>0</v>
      </c>
      <c r="AC1146" s="34" t="str">
        <f ca="1">VLOOKUP($AB1146,OFFSET([3]enemy_skill_sets!$B$2,0,0,COUNTA([3]enemy_skill_sets!$A:$A),MATCH(AC$1,[3]enemy_skill_sets!$1:$1,0)-MATCH($AB$1,[3]enemy_skill_sets!$1:$1,0)+1),MATCH(AC$1,[3]enemy_skill_sets!$1:$1,0)-MATCH($AB$1,[3]enemy_skill_sets!$1:$1,0)+1,FALSE)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6" s="67">
        <v>1</v>
      </c>
      <c r="AE1146" s="67">
        <v>1</v>
      </c>
      <c r="AF1146" s="37">
        <v>0</v>
      </c>
      <c r="AG1146" s="99">
        <f>ROUND(VLOOKUP(1,enemy_base_stats!$A:$F,2,FALSE) * Y1146* J1146*O1146*E1146*S1146*AD1146*[2]ステータス!$B$2,0)</f>
        <v>5311</v>
      </c>
      <c r="AH1146" s="99">
        <f>ROUND(VLOOKUP(1,enemy_base_stats!$A:$F,3,FALSE) * Z1146*K1146*P1146*F1146*T1146*AE1146 * W1146*[2]ステータス!$C$2,0)</f>
        <v>239</v>
      </c>
      <c r="AI1146" s="99">
        <f>ROUND(VLOOKUP(1,enemy_base_stats!$A:$F,4,FALSE) * AA1146*L1146*Q1146*G1146*U1146*AF1146*[2]ステータス!$D$2,0)</f>
        <v>0</v>
      </c>
      <c r="AJ1146" s="99">
        <f>ROUND(VLOOKUP(100,enemy_base_stats!$A:$F,2,FALSE) * Y1146* J1146*O1146*E1146*S1146*AD1146*[2]ステータス!$B$2,0)</f>
        <v>215626</v>
      </c>
      <c r="AK1146" s="99">
        <f>ROUND(VLOOKUP(100,enemy_base_stats!$A:$F,3,FALSE)* Z1146* K1146*P1146*F1146*T1146*AE1146 * W1146*[2]ステータス!$C$2,0)</f>
        <v>9719</v>
      </c>
      <c r="AL1146" s="99">
        <f>ROUND(VLOOKUP(100,enemy_base_stats!$A:$F,4,FALSE)* AA1146* L1146*Q1146*G1146*U1146*AF1146*[2]ステータス!$D$2,0)</f>
        <v>0</v>
      </c>
      <c r="AM1146" s="97">
        <f>VLOOKUP(M1146,[2]character_tribe_i18n!$A:$I,9,FALSE)</f>
        <v>540</v>
      </c>
      <c r="AN1146" s="36">
        <v>0</v>
      </c>
      <c r="AO1146" s="53">
        <v>0</v>
      </c>
      <c r="AP1146" s="58" t="s">
        <v>72</v>
      </c>
      <c r="AQ1146" s="71">
        <f t="shared" ref="AQ1146:AQ1159" si="63">A1146</f>
        <v>1145</v>
      </c>
    </row>
    <row r="1147" spans="1:43" ht="21" customHeight="1" x14ac:dyDescent="0.15">
      <c r="A1147" s="7">
        <v>1146</v>
      </c>
      <c r="B1147" s="6" t="str">
        <f>VLOOKUP(A1147,[2]characters!$A:$C,3,FALSE)</f>
        <v>宙覆す破魃竜 ヴリトラ</v>
      </c>
      <c r="C1147" s="9">
        <f>VLOOKUP(A1147,[2]characters!$A:$I,9,FALSE)</f>
        <v>5</v>
      </c>
      <c r="D1147" s="9" t="str">
        <f>VLOOKUP(A1147,[2]characters!$A:$H,8,FALSE)</f>
        <v>yellow</v>
      </c>
      <c r="E1147" s="24">
        <f>VLOOKUP(D1147,[2]属性!$A:$E,2,FALSE)</f>
        <v>0.98</v>
      </c>
      <c r="F1147" s="24">
        <f>VLOOKUP(D1147,[2]属性!$A:$E,3,FALSE)</f>
        <v>1.01</v>
      </c>
      <c r="G1147" s="24">
        <f>VLOOKUP(D1147,[2]属性!$A:$F,4,FALSE)</f>
        <v>1</v>
      </c>
      <c r="H1147" s="9" t="str">
        <f>VLOOKUP(A1147,[2]characters!$A:$K,11,FALSE)</f>
        <v>hp</v>
      </c>
      <c r="I1147" s="14" t="str">
        <f>VLOOKUP(H1147,[2]character_type_i18n!$A:$F,3,FALSE)</f>
        <v>体力タイプ</v>
      </c>
      <c r="J1147" s="36">
        <f>VLOOKUP(H1147,[2]character_type_i18n!$A:$F,4,FALSE)</f>
        <v>1.45</v>
      </c>
      <c r="K1147" s="36">
        <f>VLOOKUP(H1147,[2]character_type_i18n!$A:$F,5,FALSE)</f>
        <v>0.85</v>
      </c>
      <c r="L1147" s="36">
        <f>VLOOKUP(H1147,[2]character_type_i18n!$A:$F,6,FALSE)</f>
        <v>1</v>
      </c>
      <c r="M1147" s="9" t="str">
        <f>VLOOKUP(A1147,[2]characters!$A:$M,13,FALSE)</f>
        <v>dragon</v>
      </c>
      <c r="N1147" s="14" t="str">
        <f>VLOOKUP(M1147,[2]character_tribe_i18n!$A:$F,3,FALSE)</f>
        <v>ドラゴン</v>
      </c>
      <c r="O1147" s="24">
        <f>VLOOKUP(M1147,[2]character_tribe_i18n!$A:$F,4,FALSE)</f>
        <v>1.1499999999999999</v>
      </c>
      <c r="P1147" s="24">
        <f>VLOOKUP(M1147,[2]character_tribe_i18n!$A:$F,5,FALSE)</f>
        <v>1.1000000000000001</v>
      </c>
      <c r="Q1147" s="24">
        <f>VLOOKUP(M1147,[2]character_tribe_i18n!$A:$F,6,FALSE)</f>
        <v>1</v>
      </c>
      <c r="R1147" s="25" t="s">
        <v>98</v>
      </c>
      <c r="S1147" s="24">
        <f>VLOOKUP($R1147,ラベル別係数!$A$1:$E$7,3,FALSE)</f>
        <v>5</v>
      </c>
      <c r="T1147" s="24">
        <f>VLOOKUP($R1147,ラベル別係数!$A$1:$E$7,4,FALSE)</f>
        <v>1.3</v>
      </c>
      <c r="U1147" s="24">
        <f>VLOOKUP($R1147,ラベル別係数!$A$1:$E$7,5,FALSE)</f>
        <v>0.8</v>
      </c>
      <c r="V1147" s="27">
        <v>3</v>
      </c>
      <c r="W1147" s="28">
        <f>VLOOKUP(V1147,ターン数別攻撃係数!$A$1:$B$1000,2,FALSE)</f>
        <v>1</v>
      </c>
      <c r="X1147" s="9">
        <f>VLOOKUP(C1147,サイズ別係数!A$2:B$9,2,FALSE)</f>
        <v>60</v>
      </c>
      <c r="Y1147" s="26">
        <f>VLOOKUP($X1147,サイズ別係数!$B:$E,2,FALSE)</f>
        <v>1.7</v>
      </c>
      <c r="Z1147" s="26">
        <f>VLOOKUP($X1147,サイズ別係数!$B:$E,3,FALSE)</f>
        <v>1.4</v>
      </c>
      <c r="AA1147" s="26">
        <f>VLOOKUP($X1147,サイズ別係数!$B:$E,4,FALSE)</f>
        <v>1</v>
      </c>
      <c r="AB1147" s="5">
        <v>0</v>
      </c>
      <c r="AC1147" s="34" t="str">
        <f ca="1">VLOOKUP($AB1147,OFFSET([3]enemy_skill_sets!$B$2,0,0,COUNTA([3]enemy_skill_sets!$A:$A),MATCH(AC$1,[3]enemy_skill_sets!$1:$1,0)-MATCH($AB$1,[3]enemy_skill_sets!$1:$1,0)+1),MATCH(AC$1,[3]enemy_skill_sets!$1:$1,0)-MATCH($AB$1,[3]enemy_skill_sets!$1:$1,0)+1,FALSE)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7" s="67">
        <v>1</v>
      </c>
      <c r="AE1147" s="67">
        <v>1</v>
      </c>
      <c r="AF1147" s="37">
        <v>0</v>
      </c>
      <c r="AG1147" s="99">
        <f>ROUND(VLOOKUP(1,enemy_base_stats!$A:$F,2,FALSE) * Y1147* J1147*O1147*E1147*S1147*AD1147*[2]ステータス!$B$2,0)</f>
        <v>6945</v>
      </c>
      <c r="AH1147" s="99">
        <f>ROUND(VLOOKUP(1,enemy_base_stats!$A:$F,3,FALSE) * Z1147*K1147*P1147*F1147*T1147*AE1147 * W1147*[2]ステータス!$C$2,0)</f>
        <v>258</v>
      </c>
      <c r="AI1147" s="99">
        <f>ROUND(VLOOKUP(1,enemy_base_stats!$A:$F,4,FALSE) * AA1147*L1147*Q1147*G1147*U1147*AF1147*[2]ステータス!$D$2,0)</f>
        <v>0</v>
      </c>
      <c r="AJ1147" s="99">
        <f>ROUND(VLOOKUP(100,enemy_base_stats!$A:$F,2,FALSE) * Y1147* J1147*O1147*E1147*S1147*AD1147*[2]ステータス!$B$2,0)</f>
        <v>281973</v>
      </c>
      <c r="AK1147" s="99">
        <f>ROUND(VLOOKUP(100,enemy_base_stats!$A:$F,3,FALSE)* Z1147* K1147*P1147*F1147*T1147*AE1147 * W1147*[2]ステータス!$C$2,0)</f>
        <v>10467</v>
      </c>
      <c r="AL1147" s="99">
        <f>ROUND(VLOOKUP(100,enemy_base_stats!$A:$F,4,FALSE)* AA1147* L1147*Q1147*G1147*U1147*AF1147*[2]ステータス!$D$2,0)</f>
        <v>0</v>
      </c>
      <c r="AM1147" s="97">
        <f>VLOOKUP(M1147,[2]character_tribe_i18n!$A:$I,9,FALSE)</f>
        <v>540</v>
      </c>
      <c r="AN1147" s="36">
        <v>0</v>
      </c>
      <c r="AO1147" s="53">
        <v>0</v>
      </c>
      <c r="AP1147" s="58" t="s">
        <v>72</v>
      </c>
      <c r="AQ1147" s="71">
        <f t="shared" si="63"/>
        <v>1146</v>
      </c>
    </row>
    <row r="1148" spans="1:43" ht="21" customHeight="1" x14ac:dyDescent="0.15">
      <c r="A1148" s="7">
        <v>1147</v>
      </c>
      <c r="B1148" s="6" t="str">
        <f>VLOOKUP(A1148,[2]characters!$A:$C,3,FALSE)</f>
        <v>カーリー</v>
      </c>
      <c r="C1148" s="9">
        <f>VLOOKUP(A1148,[2]characters!$A:$I,9,FALSE)</f>
        <v>5</v>
      </c>
      <c r="D1148" s="9" t="str">
        <f>VLOOKUP(A1148,[2]characters!$A:$H,8,FALSE)</f>
        <v>red</v>
      </c>
      <c r="E1148" s="24">
        <f>VLOOKUP(D1148,[2]属性!$A:$E,2,FALSE)</f>
        <v>1</v>
      </c>
      <c r="F1148" s="24">
        <f>VLOOKUP(D1148,[2]属性!$A:$E,3,FALSE)</f>
        <v>1.02</v>
      </c>
      <c r="G1148" s="24">
        <f>VLOOKUP(D1148,[2]属性!$A:$F,4,FALSE)</f>
        <v>1</v>
      </c>
      <c r="H1148" s="9" t="str">
        <f>VLOOKUP(A1148,[2]characters!$A:$K,11,FALSE)</f>
        <v>technical</v>
      </c>
      <c r="I1148" s="14" t="str">
        <f>VLOOKUP(H1148,[2]character_type_i18n!$A:$F,3,FALSE)</f>
        <v>テクニカルタイプ</v>
      </c>
      <c r="J1148" s="36">
        <f>VLOOKUP(H1148,[2]character_type_i18n!$A:$F,4,FALSE)</f>
        <v>0.9</v>
      </c>
      <c r="K1148" s="36">
        <f>VLOOKUP(H1148,[2]character_type_i18n!$A:$F,5,FALSE)</f>
        <v>0.9</v>
      </c>
      <c r="L1148" s="36">
        <f>VLOOKUP(H1148,[2]character_type_i18n!$A:$F,6,FALSE)</f>
        <v>1</v>
      </c>
      <c r="M1148" s="9" t="str">
        <f>VLOOKUP(A1148,[2]characters!$A:$M,13,FALSE)</f>
        <v>god</v>
      </c>
      <c r="N1148" s="14" t="str">
        <f>VLOOKUP(M1148,[2]character_tribe_i18n!$A:$F,3,FALSE)</f>
        <v>ゴッド</v>
      </c>
      <c r="O1148" s="24">
        <f>VLOOKUP(M1148,[2]character_tribe_i18n!$A:$F,4,FALSE)</f>
        <v>0.96</v>
      </c>
      <c r="P1148" s="24">
        <f>VLOOKUP(M1148,[2]character_tribe_i18n!$A:$F,5,FALSE)</f>
        <v>1.02</v>
      </c>
      <c r="Q1148" s="24">
        <f>VLOOKUP(M1148,[2]character_tribe_i18n!$A:$F,6,FALSE)</f>
        <v>1</v>
      </c>
      <c r="R1148" s="25" t="s">
        <v>98</v>
      </c>
      <c r="S1148" s="24">
        <f>VLOOKUP($R1148,ラベル別係数!$A$1:$E$7,3,FALSE)</f>
        <v>5</v>
      </c>
      <c r="T1148" s="24">
        <f>VLOOKUP($R1148,ラベル別係数!$A$1:$E$7,4,FALSE)</f>
        <v>1.3</v>
      </c>
      <c r="U1148" s="24">
        <f>VLOOKUP($R1148,ラベル別係数!$A$1:$E$7,5,FALSE)</f>
        <v>0.8</v>
      </c>
      <c r="V1148" s="27">
        <v>3</v>
      </c>
      <c r="W1148" s="28">
        <f>VLOOKUP(V1148,ターン数別攻撃係数!$A$1:$B$1000,2,FALSE)</f>
        <v>1</v>
      </c>
      <c r="X1148" s="9">
        <f>VLOOKUP(C1148,サイズ別係数!A$2:B$9,2,FALSE)</f>
        <v>60</v>
      </c>
      <c r="Y1148" s="26">
        <f>VLOOKUP($X1148,サイズ別係数!$B:$E,2,FALSE)</f>
        <v>1.7</v>
      </c>
      <c r="Z1148" s="26">
        <f>VLOOKUP($X1148,サイズ別係数!$B:$E,3,FALSE)</f>
        <v>1.4</v>
      </c>
      <c r="AA1148" s="26">
        <f>VLOOKUP($X1148,サイズ別係数!$B:$E,4,FALSE)</f>
        <v>1</v>
      </c>
      <c r="AB1148" s="5">
        <v>0</v>
      </c>
      <c r="AC1148" s="34" t="str">
        <f ca="1">VLOOKUP($AB1148,OFFSET([3]enemy_skill_sets!$B$2,0,0,COUNTA([3]enemy_skill_sets!$A:$A),MATCH(AC$1,[3]enemy_skill_sets!$1:$1,0)-MATCH($AB$1,[3]enemy_skill_sets!$1:$1,0)+1),MATCH(AC$1,[3]enemy_skill_sets!$1:$1,0)-MATCH($AB$1,[3]enemy_skill_sets!$1:$1,0)+1,FALSE)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8" s="67">
        <v>1</v>
      </c>
      <c r="AE1148" s="67">
        <v>1</v>
      </c>
      <c r="AF1148" s="37">
        <v>0</v>
      </c>
      <c r="AG1148" s="99">
        <f>ROUND(VLOOKUP(1,enemy_base_stats!$A:$F,2,FALSE) * Y1148* J1148*O1148*E1148*S1148*AD1148*[2]ステータス!$B$2,0)</f>
        <v>3672</v>
      </c>
      <c r="AH1148" s="99">
        <f>ROUND(VLOOKUP(1,enemy_base_stats!$A:$F,3,FALSE) * Z1148*K1148*P1148*F1148*T1148*AE1148 * W1148*[2]ステータス!$C$2,0)</f>
        <v>256</v>
      </c>
      <c r="AI1148" s="99">
        <f>ROUND(VLOOKUP(1,enemy_base_stats!$A:$F,4,FALSE) * AA1148*L1148*Q1148*G1148*U1148*AF1148*[2]ステータス!$D$2,0)</f>
        <v>0</v>
      </c>
      <c r="AJ1148" s="99">
        <f>ROUND(VLOOKUP(100,enemy_base_stats!$A:$F,2,FALSE) * Y1148* J1148*O1148*E1148*S1148*AD1148*[2]ステータス!$B$2,0)</f>
        <v>149083</v>
      </c>
      <c r="AK1148" s="99">
        <f>ROUND(VLOOKUP(100,enemy_base_stats!$A:$F,3,FALSE)* Z1148* K1148*P1148*F1148*T1148*AE1148 * W1148*[2]ステータス!$C$2,0)</f>
        <v>10378</v>
      </c>
      <c r="AL1148" s="99">
        <f>ROUND(VLOOKUP(100,enemy_base_stats!$A:$F,4,FALSE)* AA1148* L1148*Q1148*G1148*U1148*AF1148*[2]ステータス!$D$2,0)</f>
        <v>0</v>
      </c>
      <c r="AM1148" s="97">
        <f>VLOOKUP(M1148,[2]character_tribe_i18n!$A:$I,9,FALSE)</f>
        <v>680</v>
      </c>
      <c r="AN1148" s="36">
        <v>0</v>
      </c>
      <c r="AO1148" s="53">
        <v>0</v>
      </c>
      <c r="AP1148" s="58" t="s">
        <v>72</v>
      </c>
      <c r="AQ1148" s="71">
        <f t="shared" si="63"/>
        <v>1147</v>
      </c>
    </row>
    <row r="1149" spans="1:43" ht="21" customHeight="1" x14ac:dyDescent="0.15">
      <c r="A1149" s="7">
        <v>1148</v>
      </c>
      <c r="B1149" s="6" t="str">
        <f>VLOOKUP(A1149,[2]characters!$A:$C,3,FALSE)</f>
        <v>嫉神の黎き滅意 カーリー</v>
      </c>
      <c r="C1149" s="9">
        <f>VLOOKUP(A1149,[2]characters!$A:$I,9,FALSE)</f>
        <v>6</v>
      </c>
      <c r="D1149" s="9" t="str">
        <f>VLOOKUP(A1149,[2]characters!$A:$H,8,FALSE)</f>
        <v>red</v>
      </c>
      <c r="E1149" s="24">
        <f>VLOOKUP(D1149,[2]属性!$A:$E,2,FALSE)</f>
        <v>1</v>
      </c>
      <c r="F1149" s="24">
        <f>VLOOKUP(D1149,[2]属性!$A:$E,3,FALSE)</f>
        <v>1.02</v>
      </c>
      <c r="G1149" s="24">
        <f>VLOOKUP(D1149,[2]属性!$A:$F,4,FALSE)</f>
        <v>1</v>
      </c>
      <c r="H1149" s="9" t="str">
        <f>VLOOKUP(A1149,[2]characters!$A:$K,11,FALSE)</f>
        <v>technical</v>
      </c>
      <c r="I1149" s="14" t="str">
        <f>VLOOKUP(H1149,[2]character_type_i18n!$A:$F,3,FALSE)</f>
        <v>テクニカルタイプ</v>
      </c>
      <c r="J1149" s="36">
        <f>VLOOKUP(H1149,[2]character_type_i18n!$A:$F,4,FALSE)</f>
        <v>0.9</v>
      </c>
      <c r="K1149" s="36">
        <f>VLOOKUP(H1149,[2]character_type_i18n!$A:$F,5,FALSE)</f>
        <v>0.9</v>
      </c>
      <c r="L1149" s="36">
        <f>VLOOKUP(H1149,[2]character_type_i18n!$A:$F,6,FALSE)</f>
        <v>1</v>
      </c>
      <c r="M1149" s="9" t="str">
        <f>VLOOKUP(A1149,[2]characters!$A:$M,13,FALSE)</f>
        <v>god</v>
      </c>
      <c r="N1149" s="14" t="str">
        <f>VLOOKUP(M1149,[2]character_tribe_i18n!$A:$F,3,FALSE)</f>
        <v>ゴッド</v>
      </c>
      <c r="O1149" s="24">
        <f>VLOOKUP(M1149,[2]character_tribe_i18n!$A:$F,4,FALSE)</f>
        <v>0.96</v>
      </c>
      <c r="P1149" s="24">
        <f>VLOOKUP(M1149,[2]character_tribe_i18n!$A:$F,5,FALSE)</f>
        <v>1.02</v>
      </c>
      <c r="Q1149" s="24">
        <f>VLOOKUP(M1149,[2]character_tribe_i18n!$A:$F,6,FALSE)</f>
        <v>1</v>
      </c>
      <c r="R1149" s="25" t="s">
        <v>98</v>
      </c>
      <c r="S1149" s="24">
        <f>VLOOKUP($R1149,ラベル別係数!$A$1:$E$7,3,FALSE)</f>
        <v>5</v>
      </c>
      <c r="T1149" s="24">
        <f>VLOOKUP($R1149,ラベル別係数!$A$1:$E$7,4,FALSE)</f>
        <v>1.3</v>
      </c>
      <c r="U1149" s="24">
        <f>VLOOKUP($R1149,ラベル別係数!$A$1:$E$7,5,FALSE)</f>
        <v>0.8</v>
      </c>
      <c r="V1149" s="27">
        <v>3</v>
      </c>
      <c r="W1149" s="28">
        <f>VLOOKUP(V1149,ターン数別攻撃係数!$A$1:$B$1000,2,FALSE)</f>
        <v>1</v>
      </c>
      <c r="X1149" s="9">
        <f>VLOOKUP(C1149,サイズ別係数!A$2:B$9,2,FALSE)</f>
        <v>60</v>
      </c>
      <c r="Y1149" s="26">
        <f>VLOOKUP($X1149,サイズ別係数!$B:$E,2,FALSE)</f>
        <v>1.7</v>
      </c>
      <c r="Z1149" s="26">
        <f>VLOOKUP($X1149,サイズ別係数!$B:$E,3,FALSE)</f>
        <v>1.4</v>
      </c>
      <c r="AA1149" s="26">
        <f>VLOOKUP($X1149,サイズ別係数!$B:$E,4,FALSE)</f>
        <v>1</v>
      </c>
      <c r="AB1149" s="5">
        <v>0</v>
      </c>
      <c r="AC1149" s="34" t="str">
        <f ca="1">VLOOKUP($AB1149,OFFSET([3]enemy_skill_sets!$B$2,0,0,COUNTA([3]enemy_skill_sets!$A:$A),MATCH(AC$1,[3]enemy_skill_sets!$1:$1,0)-MATCH($AB$1,[3]enemy_skill_sets!$1:$1,0)+1),MATCH(AC$1,[3]enemy_skill_sets!$1:$1,0)-MATCH($AB$1,[3]enemy_skill_sets!$1:$1,0)+1,FALSE)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49" s="67">
        <v>1</v>
      </c>
      <c r="AE1149" s="67">
        <v>1</v>
      </c>
      <c r="AF1149" s="37">
        <v>0</v>
      </c>
      <c r="AG1149" s="99">
        <f>ROUND(VLOOKUP(1,enemy_base_stats!$A:$F,2,FALSE) * Y1149* J1149*O1149*E1149*S1149*AD1149*[2]ステータス!$B$2,0)</f>
        <v>3672</v>
      </c>
      <c r="AH1149" s="99">
        <f>ROUND(VLOOKUP(1,enemy_base_stats!$A:$F,3,FALSE) * Z1149*K1149*P1149*F1149*T1149*AE1149 * W1149*[2]ステータス!$C$2,0)</f>
        <v>256</v>
      </c>
      <c r="AI1149" s="99">
        <f>ROUND(VLOOKUP(1,enemy_base_stats!$A:$F,4,FALSE) * AA1149*L1149*Q1149*G1149*U1149*AF1149*[2]ステータス!$D$2,0)</f>
        <v>0</v>
      </c>
      <c r="AJ1149" s="99">
        <f>ROUND(VLOOKUP(100,enemy_base_stats!$A:$F,2,FALSE) * Y1149* J1149*O1149*E1149*S1149*AD1149*[2]ステータス!$B$2,0)</f>
        <v>149083</v>
      </c>
      <c r="AK1149" s="99">
        <f>ROUND(VLOOKUP(100,enemy_base_stats!$A:$F,3,FALSE)* Z1149* K1149*P1149*F1149*T1149*AE1149 * W1149*[2]ステータス!$C$2,0)</f>
        <v>10378</v>
      </c>
      <c r="AL1149" s="99">
        <f>ROUND(VLOOKUP(100,enemy_base_stats!$A:$F,4,FALSE)* AA1149* L1149*Q1149*G1149*U1149*AF1149*[2]ステータス!$D$2,0)</f>
        <v>0</v>
      </c>
      <c r="AM1149" s="97">
        <f>VLOOKUP(M1149,[2]character_tribe_i18n!$A:$I,9,FALSE)</f>
        <v>680</v>
      </c>
      <c r="AN1149" s="36">
        <v>0</v>
      </c>
      <c r="AO1149" s="53">
        <v>0</v>
      </c>
      <c r="AP1149" s="58" t="s">
        <v>72</v>
      </c>
      <c r="AQ1149" s="71">
        <f t="shared" si="63"/>
        <v>1148</v>
      </c>
    </row>
    <row r="1150" spans="1:43" ht="21" customHeight="1" x14ac:dyDescent="0.15">
      <c r="A1150" s="7">
        <v>1149</v>
      </c>
      <c r="B1150" s="6" t="str">
        <f>VLOOKUP(A1150,[2]characters!$A:$C,3,FALSE)</f>
        <v>ブラフマー</v>
      </c>
      <c r="C1150" s="9">
        <f>VLOOKUP(A1150,[2]characters!$A:$I,9,FALSE)</f>
        <v>5</v>
      </c>
      <c r="D1150" s="9" t="str">
        <f>VLOOKUP(A1150,[2]characters!$A:$H,8,FALSE)</f>
        <v>blue</v>
      </c>
      <c r="E1150" s="24">
        <f>VLOOKUP(D1150,[2]属性!$A:$E,2,FALSE)</f>
        <v>1</v>
      </c>
      <c r="F1150" s="24">
        <f>VLOOKUP(D1150,[2]属性!$A:$E,3,FALSE)</f>
        <v>0.98</v>
      </c>
      <c r="G1150" s="24">
        <f>VLOOKUP(D1150,[2]属性!$A:$F,4,FALSE)</f>
        <v>1</v>
      </c>
      <c r="H1150" s="9" t="str">
        <f>VLOOKUP(A1150,[2]characters!$A:$K,11,FALSE)</f>
        <v>technical</v>
      </c>
      <c r="I1150" s="14" t="str">
        <f>VLOOKUP(H1150,[2]character_type_i18n!$A:$F,3,FALSE)</f>
        <v>テクニカルタイプ</v>
      </c>
      <c r="J1150" s="36">
        <f>VLOOKUP(H1150,[2]character_type_i18n!$A:$F,4,FALSE)</f>
        <v>0.9</v>
      </c>
      <c r="K1150" s="36">
        <f>VLOOKUP(H1150,[2]character_type_i18n!$A:$F,5,FALSE)</f>
        <v>0.9</v>
      </c>
      <c r="L1150" s="36">
        <f>VLOOKUP(H1150,[2]character_type_i18n!$A:$F,6,FALSE)</f>
        <v>1</v>
      </c>
      <c r="M1150" s="9" t="str">
        <f>VLOOKUP(A1150,[2]characters!$A:$M,13,FALSE)</f>
        <v>god</v>
      </c>
      <c r="N1150" s="14" t="str">
        <f>VLOOKUP(M1150,[2]character_tribe_i18n!$A:$F,3,FALSE)</f>
        <v>ゴッド</v>
      </c>
      <c r="O1150" s="24">
        <f>VLOOKUP(M1150,[2]character_tribe_i18n!$A:$F,4,FALSE)</f>
        <v>0.96</v>
      </c>
      <c r="P1150" s="24">
        <f>VLOOKUP(M1150,[2]character_tribe_i18n!$A:$F,5,FALSE)</f>
        <v>1.02</v>
      </c>
      <c r="Q1150" s="24">
        <f>VLOOKUP(M1150,[2]character_tribe_i18n!$A:$F,6,FALSE)</f>
        <v>1</v>
      </c>
      <c r="R1150" s="25" t="s">
        <v>98</v>
      </c>
      <c r="S1150" s="24">
        <f>VLOOKUP($R1150,ラベル別係数!$A$1:$E$7,3,FALSE)</f>
        <v>5</v>
      </c>
      <c r="T1150" s="24">
        <f>VLOOKUP($R1150,ラベル別係数!$A$1:$E$7,4,FALSE)</f>
        <v>1.3</v>
      </c>
      <c r="U1150" s="24">
        <f>VLOOKUP($R1150,ラベル別係数!$A$1:$E$7,5,FALSE)</f>
        <v>0.8</v>
      </c>
      <c r="V1150" s="27">
        <v>3</v>
      </c>
      <c r="W1150" s="28">
        <f>VLOOKUP(V1150,ターン数別攻撃係数!$A$1:$B$1000,2,FALSE)</f>
        <v>1</v>
      </c>
      <c r="X1150" s="9">
        <f>VLOOKUP(C1150,サイズ別係数!A$2:B$9,2,FALSE)</f>
        <v>60</v>
      </c>
      <c r="Y1150" s="26">
        <f>VLOOKUP($X1150,サイズ別係数!$B:$E,2,FALSE)</f>
        <v>1.7</v>
      </c>
      <c r="Z1150" s="26">
        <f>VLOOKUP($X1150,サイズ別係数!$B:$E,3,FALSE)</f>
        <v>1.4</v>
      </c>
      <c r="AA1150" s="26">
        <f>VLOOKUP($X1150,サイズ別係数!$B:$E,4,FALSE)</f>
        <v>1</v>
      </c>
      <c r="AB1150" s="5">
        <v>0</v>
      </c>
      <c r="AC1150" s="34" t="str">
        <f ca="1">VLOOKUP($AB1150,OFFSET([3]enemy_skill_sets!$B$2,0,0,COUNTA([3]enemy_skill_sets!$A:$A),MATCH(AC$1,[3]enemy_skill_sets!$1:$1,0)-MATCH($AB$1,[3]enemy_skill_sets!$1:$1,0)+1),MATCH(AC$1,[3]enemy_skill_sets!$1:$1,0)-MATCH($AB$1,[3]enemy_skill_sets!$1:$1,0)+1,FALSE)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0" s="67">
        <v>1</v>
      </c>
      <c r="AE1150" s="67">
        <v>1</v>
      </c>
      <c r="AF1150" s="37">
        <v>0</v>
      </c>
      <c r="AG1150" s="99">
        <f>ROUND(VLOOKUP(1,enemy_base_stats!$A:$F,2,FALSE) * Y1150* J1150*O1150*E1150*S1150*AD1150*[2]ステータス!$B$2,0)</f>
        <v>3672</v>
      </c>
      <c r="AH1150" s="99">
        <f>ROUND(VLOOKUP(1,enemy_base_stats!$A:$F,3,FALSE) * Z1150*K1150*P1150*F1150*T1150*AE1150 * W1150*[2]ステータス!$C$2,0)</f>
        <v>246</v>
      </c>
      <c r="AI1150" s="99">
        <f>ROUND(VLOOKUP(1,enemy_base_stats!$A:$F,4,FALSE) * AA1150*L1150*Q1150*G1150*U1150*AF1150*[2]ステータス!$D$2,0)</f>
        <v>0</v>
      </c>
      <c r="AJ1150" s="99">
        <f>ROUND(VLOOKUP(100,enemy_base_stats!$A:$F,2,FALSE) * Y1150* J1150*O1150*E1150*S1150*AD1150*[2]ステータス!$B$2,0)</f>
        <v>149083</v>
      </c>
      <c r="AK1150" s="99">
        <f>ROUND(VLOOKUP(100,enemy_base_stats!$A:$F,3,FALSE)* Z1150* K1150*P1150*F1150*T1150*AE1150 * W1150*[2]ステータス!$C$2,0)</f>
        <v>9971</v>
      </c>
      <c r="AL1150" s="99">
        <f>ROUND(VLOOKUP(100,enemy_base_stats!$A:$F,4,FALSE)* AA1150* L1150*Q1150*G1150*U1150*AF1150*[2]ステータス!$D$2,0)</f>
        <v>0</v>
      </c>
      <c r="AM1150" s="97">
        <f>VLOOKUP(M1150,[2]character_tribe_i18n!$A:$I,9,FALSE)</f>
        <v>680</v>
      </c>
      <c r="AN1150" s="36">
        <v>0</v>
      </c>
      <c r="AO1150" s="53">
        <v>0</v>
      </c>
      <c r="AP1150" s="58" t="s">
        <v>72</v>
      </c>
      <c r="AQ1150" s="71">
        <f t="shared" si="63"/>
        <v>1149</v>
      </c>
    </row>
    <row r="1151" spans="1:43" ht="21" customHeight="1" x14ac:dyDescent="0.15">
      <c r="A1151" s="7">
        <v>1150</v>
      </c>
      <c r="B1151" s="6" t="str">
        <f>VLOOKUP(A1151,[2]characters!$A:$C,3,FALSE)</f>
        <v>封智の元創神 ブラフマー</v>
      </c>
      <c r="C1151" s="9">
        <f>VLOOKUP(A1151,[2]characters!$A:$I,9,FALSE)</f>
        <v>6</v>
      </c>
      <c r="D1151" s="9" t="str">
        <f>VLOOKUP(A1151,[2]characters!$A:$H,8,FALSE)</f>
        <v>blue</v>
      </c>
      <c r="E1151" s="24">
        <f>VLOOKUP(D1151,[2]属性!$A:$E,2,FALSE)</f>
        <v>1</v>
      </c>
      <c r="F1151" s="24">
        <f>VLOOKUP(D1151,[2]属性!$A:$E,3,FALSE)</f>
        <v>0.98</v>
      </c>
      <c r="G1151" s="24">
        <f>VLOOKUP(D1151,[2]属性!$A:$F,4,FALSE)</f>
        <v>1</v>
      </c>
      <c r="H1151" s="9" t="str">
        <f>VLOOKUP(A1151,[2]characters!$A:$K,11,FALSE)</f>
        <v>technical</v>
      </c>
      <c r="I1151" s="14" t="str">
        <f>VLOOKUP(H1151,[2]character_type_i18n!$A:$F,3,FALSE)</f>
        <v>テクニカルタイプ</v>
      </c>
      <c r="J1151" s="36">
        <f>VLOOKUP(H1151,[2]character_type_i18n!$A:$F,4,FALSE)</f>
        <v>0.9</v>
      </c>
      <c r="K1151" s="36">
        <f>VLOOKUP(H1151,[2]character_type_i18n!$A:$F,5,FALSE)</f>
        <v>0.9</v>
      </c>
      <c r="L1151" s="36">
        <f>VLOOKUP(H1151,[2]character_type_i18n!$A:$F,6,FALSE)</f>
        <v>1</v>
      </c>
      <c r="M1151" s="9" t="str">
        <f>VLOOKUP(A1151,[2]characters!$A:$M,13,FALSE)</f>
        <v>god</v>
      </c>
      <c r="N1151" s="14" t="str">
        <f>VLOOKUP(M1151,[2]character_tribe_i18n!$A:$F,3,FALSE)</f>
        <v>ゴッド</v>
      </c>
      <c r="O1151" s="24">
        <f>VLOOKUP(M1151,[2]character_tribe_i18n!$A:$F,4,FALSE)</f>
        <v>0.96</v>
      </c>
      <c r="P1151" s="24">
        <f>VLOOKUP(M1151,[2]character_tribe_i18n!$A:$F,5,FALSE)</f>
        <v>1.02</v>
      </c>
      <c r="Q1151" s="24">
        <f>VLOOKUP(M1151,[2]character_tribe_i18n!$A:$F,6,FALSE)</f>
        <v>1</v>
      </c>
      <c r="R1151" s="25" t="s">
        <v>98</v>
      </c>
      <c r="S1151" s="24">
        <f>VLOOKUP($R1151,ラベル別係数!$A$1:$E$7,3,FALSE)</f>
        <v>5</v>
      </c>
      <c r="T1151" s="24">
        <f>VLOOKUP($R1151,ラベル別係数!$A$1:$E$7,4,FALSE)</f>
        <v>1.3</v>
      </c>
      <c r="U1151" s="24">
        <f>VLOOKUP($R1151,ラベル別係数!$A$1:$E$7,5,FALSE)</f>
        <v>0.8</v>
      </c>
      <c r="V1151" s="27">
        <v>3</v>
      </c>
      <c r="W1151" s="28">
        <f>VLOOKUP(V1151,ターン数別攻撃係数!$A$1:$B$1000,2,FALSE)</f>
        <v>1</v>
      </c>
      <c r="X1151" s="9">
        <f>VLOOKUP(C1151,サイズ別係数!A$2:B$9,2,FALSE)</f>
        <v>60</v>
      </c>
      <c r="Y1151" s="26">
        <f>VLOOKUP($X1151,サイズ別係数!$B:$E,2,FALSE)</f>
        <v>1.7</v>
      </c>
      <c r="Z1151" s="26">
        <f>VLOOKUP($X1151,サイズ別係数!$B:$E,3,FALSE)</f>
        <v>1.4</v>
      </c>
      <c r="AA1151" s="26">
        <f>VLOOKUP($X1151,サイズ別係数!$B:$E,4,FALSE)</f>
        <v>1</v>
      </c>
      <c r="AB1151" s="5">
        <v>0</v>
      </c>
      <c r="AC1151" s="34" t="str">
        <f ca="1">VLOOKUP($AB1151,OFFSET([3]enemy_skill_sets!$B$2,0,0,COUNTA([3]enemy_skill_sets!$A:$A),MATCH(AC$1,[3]enemy_skill_sets!$1:$1,0)-MATCH($AB$1,[3]enemy_skill_sets!$1:$1,0)+1),MATCH(AC$1,[3]enemy_skill_sets!$1:$1,0)-MATCH($AB$1,[3]enemy_skill_sets!$1:$1,0)+1,FALSE)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1" s="67">
        <v>1</v>
      </c>
      <c r="AE1151" s="67">
        <v>1</v>
      </c>
      <c r="AF1151" s="37">
        <v>0</v>
      </c>
      <c r="AG1151" s="99">
        <f>ROUND(VLOOKUP(1,enemy_base_stats!$A:$F,2,FALSE) * Y1151* J1151*O1151*E1151*S1151*AD1151*[2]ステータス!$B$2,0)</f>
        <v>3672</v>
      </c>
      <c r="AH1151" s="99">
        <f>ROUND(VLOOKUP(1,enemy_base_stats!$A:$F,3,FALSE) * Z1151*K1151*P1151*F1151*T1151*AE1151 * W1151*[2]ステータス!$C$2,0)</f>
        <v>246</v>
      </c>
      <c r="AI1151" s="99">
        <f>ROUND(VLOOKUP(1,enemy_base_stats!$A:$F,4,FALSE) * AA1151*L1151*Q1151*G1151*U1151*AF1151*[2]ステータス!$D$2,0)</f>
        <v>0</v>
      </c>
      <c r="AJ1151" s="99">
        <f>ROUND(VLOOKUP(100,enemy_base_stats!$A:$F,2,FALSE) * Y1151* J1151*O1151*E1151*S1151*AD1151*[2]ステータス!$B$2,0)</f>
        <v>149083</v>
      </c>
      <c r="AK1151" s="99">
        <f>ROUND(VLOOKUP(100,enemy_base_stats!$A:$F,3,FALSE)* Z1151* K1151*P1151*F1151*T1151*AE1151 * W1151*[2]ステータス!$C$2,0)</f>
        <v>9971</v>
      </c>
      <c r="AL1151" s="99">
        <f>ROUND(VLOOKUP(100,enemy_base_stats!$A:$F,4,FALSE)* AA1151* L1151*Q1151*G1151*U1151*AF1151*[2]ステータス!$D$2,0)</f>
        <v>0</v>
      </c>
      <c r="AM1151" s="97">
        <f>VLOOKUP(M1151,[2]character_tribe_i18n!$A:$I,9,FALSE)</f>
        <v>680</v>
      </c>
      <c r="AN1151" s="36">
        <v>0</v>
      </c>
      <c r="AO1151" s="53">
        <v>0</v>
      </c>
      <c r="AP1151" s="58" t="s">
        <v>72</v>
      </c>
      <c r="AQ1151" s="71">
        <f t="shared" si="63"/>
        <v>1150</v>
      </c>
    </row>
    <row r="1152" spans="1:43" ht="21" customHeight="1" x14ac:dyDescent="0.15">
      <c r="A1152" s="7">
        <v>1151</v>
      </c>
      <c r="B1152" s="6" t="str">
        <f>VLOOKUP(A1152,[2]characters!$A:$C,3,FALSE)</f>
        <v>ガネーシャ</v>
      </c>
      <c r="C1152" s="9">
        <f>VLOOKUP(A1152,[2]characters!$A:$I,9,FALSE)</f>
        <v>4</v>
      </c>
      <c r="D1152" s="9" t="str">
        <f>VLOOKUP(A1152,[2]characters!$A:$H,8,FALSE)</f>
        <v>red</v>
      </c>
      <c r="E1152" s="24">
        <f>VLOOKUP(D1152,[2]属性!$A:$E,2,FALSE)</f>
        <v>1</v>
      </c>
      <c r="F1152" s="24">
        <f>VLOOKUP(D1152,[2]属性!$A:$E,3,FALSE)</f>
        <v>1.02</v>
      </c>
      <c r="G1152" s="24">
        <f>VLOOKUP(D1152,[2]属性!$A:$F,4,FALSE)</f>
        <v>1</v>
      </c>
      <c r="H1152" s="9" t="str">
        <f>VLOOKUP(A1152,[2]characters!$A:$K,11,FALSE)</f>
        <v>heal</v>
      </c>
      <c r="I1152" s="14" t="str">
        <f>VLOOKUP(H1152,[2]character_type_i18n!$A:$F,3,FALSE)</f>
        <v>回復タイプ</v>
      </c>
      <c r="J1152" s="36">
        <f>VLOOKUP(H1152,[2]character_type_i18n!$A:$F,4,FALSE)</f>
        <v>0.8</v>
      </c>
      <c r="K1152" s="36">
        <f>VLOOKUP(H1152,[2]character_type_i18n!$A:$F,5,FALSE)</f>
        <v>0.78</v>
      </c>
      <c r="L1152" s="36">
        <f>VLOOKUP(H1152,[2]character_type_i18n!$A:$F,6,FALSE)</f>
        <v>1</v>
      </c>
      <c r="M1152" s="9" t="str">
        <f>VLOOKUP(A1152,[2]characters!$A:$M,13,FALSE)</f>
        <v>god</v>
      </c>
      <c r="N1152" s="14" t="str">
        <f>VLOOKUP(M1152,[2]character_tribe_i18n!$A:$F,3,FALSE)</f>
        <v>ゴッド</v>
      </c>
      <c r="O1152" s="24">
        <f>VLOOKUP(M1152,[2]character_tribe_i18n!$A:$F,4,FALSE)</f>
        <v>0.96</v>
      </c>
      <c r="P1152" s="24">
        <f>VLOOKUP(M1152,[2]character_tribe_i18n!$A:$F,5,FALSE)</f>
        <v>1.02</v>
      </c>
      <c r="Q1152" s="24">
        <f>VLOOKUP(M1152,[2]character_tribe_i18n!$A:$F,6,FALSE)</f>
        <v>1</v>
      </c>
      <c r="R1152" s="25" t="s">
        <v>98</v>
      </c>
      <c r="S1152" s="24">
        <f>VLOOKUP($R1152,ラベル別係数!$A$1:$E$7,3,FALSE)</f>
        <v>5</v>
      </c>
      <c r="T1152" s="24">
        <f>VLOOKUP($R1152,ラベル別係数!$A$1:$E$7,4,FALSE)</f>
        <v>1.3</v>
      </c>
      <c r="U1152" s="24">
        <f>VLOOKUP($R1152,ラベル別係数!$A$1:$E$7,5,FALSE)</f>
        <v>0.8</v>
      </c>
      <c r="V1152" s="27">
        <v>3</v>
      </c>
      <c r="W1152" s="28">
        <f>VLOOKUP(V1152,ターン数別攻撃係数!$A$1:$B$1000,2,FALSE)</f>
        <v>1</v>
      </c>
      <c r="X1152" s="9">
        <f>VLOOKUP(C1152,サイズ別係数!A$2:B$9,2,FALSE)</f>
        <v>30</v>
      </c>
      <c r="Y1152" s="26">
        <f>VLOOKUP($X1152,サイズ別係数!$B:$E,2,FALSE)</f>
        <v>1.3</v>
      </c>
      <c r="Z1152" s="26">
        <f>VLOOKUP($X1152,サイズ別係数!$B:$E,3,FALSE)</f>
        <v>1.3</v>
      </c>
      <c r="AA1152" s="26">
        <f>VLOOKUP($X1152,サイズ別係数!$B:$E,4,FALSE)</f>
        <v>1.1000000000000001</v>
      </c>
      <c r="AB1152" s="5">
        <v>0</v>
      </c>
      <c r="AC1152" s="34" t="str">
        <f ca="1">VLOOKUP($AB1152,OFFSET([3]enemy_skill_sets!$B$2,0,0,COUNTA([3]enemy_skill_sets!$A:$A),MATCH(AC$1,[3]enemy_skill_sets!$1:$1,0)-MATCH($AB$1,[3]enemy_skill_sets!$1:$1,0)+1),MATCH(AC$1,[3]enemy_skill_sets!$1:$1,0)-MATCH($AB$1,[3]enemy_skill_sets!$1:$1,0)+1,FALSE)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2" s="67">
        <v>1</v>
      </c>
      <c r="AE1152" s="67">
        <v>1</v>
      </c>
      <c r="AF1152" s="37">
        <v>0</v>
      </c>
      <c r="AG1152" s="99">
        <f>ROUND(VLOOKUP(1,enemy_base_stats!$A:$F,2,FALSE) * Y1152* J1152*O1152*E1152*S1152*AD1152*[2]ステータス!$B$2,0)</f>
        <v>2496</v>
      </c>
      <c r="AH1152" s="99">
        <f>ROUND(VLOOKUP(1,enemy_base_stats!$A:$F,3,FALSE) * Z1152*K1152*P1152*F1152*T1152*AE1152 * W1152*[2]ステータス!$C$2,0)</f>
        <v>206</v>
      </c>
      <c r="AI1152" s="99">
        <f>ROUND(VLOOKUP(1,enemy_base_stats!$A:$F,4,FALSE) * AA1152*L1152*Q1152*G1152*U1152*AF1152*[2]ステータス!$D$2,0)</f>
        <v>0</v>
      </c>
      <c r="AJ1152" s="99">
        <f>ROUND(VLOOKUP(100,enemy_base_stats!$A:$F,2,FALSE) * Y1152* J1152*O1152*E1152*S1152*AD1152*[2]ステータス!$B$2,0)</f>
        <v>101338</v>
      </c>
      <c r="AK1152" s="99">
        <f>ROUND(VLOOKUP(100,enemy_base_stats!$A:$F,3,FALSE)* Z1152* K1152*P1152*F1152*T1152*AE1152 * W1152*[2]ステータス!$C$2,0)</f>
        <v>8352</v>
      </c>
      <c r="AL1152" s="99">
        <f>ROUND(VLOOKUP(100,enemy_base_stats!$A:$F,4,FALSE)* AA1152* L1152*Q1152*G1152*U1152*AF1152*[2]ステータス!$D$2,0)</f>
        <v>0</v>
      </c>
      <c r="AM1152" s="97">
        <f>VLOOKUP(M1152,[2]character_tribe_i18n!$A:$I,9,FALSE)</f>
        <v>680</v>
      </c>
      <c r="AN1152" s="36">
        <v>0</v>
      </c>
      <c r="AO1152" s="53">
        <v>0</v>
      </c>
      <c r="AP1152" s="58" t="s">
        <v>72</v>
      </c>
      <c r="AQ1152" s="71">
        <f t="shared" si="63"/>
        <v>1151</v>
      </c>
    </row>
    <row r="1153" spans="1:43" ht="21" customHeight="1" x14ac:dyDescent="0.15">
      <c r="A1153" s="7">
        <v>1152</v>
      </c>
      <c r="B1153" s="6" t="str">
        <f>VLOOKUP(A1153,[2]characters!$A:$C,3,FALSE)</f>
        <v>衆知の富益神 ガネーシャ</v>
      </c>
      <c r="C1153" s="9">
        <f>VLOOKUP(A1153,[2]characters!$A:$I,9,FALSE)</f>
        <v>5</v>
      </c>
      <c r="D1153" s="9" t="str">
        <f>VLOOKUP(A1153,[2]characters!$A:$H,8,FALSE)</f>
        <v>red</v>
      </c>
      <c r="E1153" s="24">
        <f>VLOOKUP(D1153,[2]属性!$A:$E,2,FALSE)</f>
        <v>1</v>
      </c>
      <c r="F1153" s="24">
        <f>VLOOKUP(D1153,[2]属性!$A:$E,3,FALSE)</f>
        <v>1.02</v>
      </c>
      <c r="G1153" s="24">
        <f>VLOOKUP(D1153,[2]属性!$A:$F,4,FALSE)</f>
        <v>1</v>
      </c>
      <c r="H1153" s="9" t="str">
        <f>VLOOKUP(A1153,[2]characters!$A:$K,11,FALSE)</f>
        <v>heal</v>
      </c>
      <c r="I1153" s="14" t="str">
        <f>VLOOKUP(H1153,[2]character_type_i18n!$A:$F,3,FALSE)</f>
        <v>回復タイプ</v>
      </c>
      <c r="J1153" s="36">
        <f>VLOOKUP(H1153,[2]character_type_i18n!$A:$F,4,FALSE)</f>
        <v>0.8</v>
      </c>
      <c r="K1153" s="36">
        <f>VLOOKUP(H1153,[2]character_type_i18n!$A:$F,5,FALSE)</f>
        <v>0.78</v>
      </c>
      <c r="L1153" s="36">
        <f>VLOOKUP(H1153,[2]character_type_i18n!$A:$F,6,FALSE)</f>
        <v>1</v>
      </c>
      <c r="M1153" s="9" t="str">
        <f>VLOOKUP(A1153,[2]characters!$A:$M,13,FALSE)</f>
        <v>god</v>
      </c>
      <c r="N1153" s="14" t="str">
        <f>VLOOKUP(M1153,[2]character_tribe_i18n!$A:$F,3,FALSE)</f>
        <v>ゴッド</v>
      </c>
      <c r="O1153" s="24">
        <f>VLOOKUP(M1153,[2]character_tribe_i18n!$A:$F,4,FALSE)</f>
        <v>0.96</v>
      </c>
      <c r="P1153" s="24">
        <f>VLOOKUP(M1153,[2]character_tribe_i18n!$A:$F,5,FALSE)</f>
        <v>1.02</v>
      </c>
      <c r="Q1153" s="24">
        <f>VLOOKUP(M1153,[2]character_tribe_i18n!$A:$F,6,FALSE)</f>
        <v>1</v>
      </c>
      <c r="R1153" s="25" t="s">
        <v>98</v>
      </c>
      <c r="S1153" s="24">
        <f>VLOOKUP($R1153,ラベル別係数!$A$1:$E$7,3,FALSE)</f>
        <v>5</v>
      </c>
      <c r="T1153" s="24">
        <f>VLOOKUP($R1153,ラベル別係数!$A$1:$E$7,4,FALSE)</f>
        <v>1.3</v>
      </c>
      <c r="U1153" s="24">
        <f>VLOOKUP($R1153,ラベル別係数!$A$1:$E$7,5,FALSE)</f>
        <v>0.8</v>
      </c>
      <c r="V1153" s="27">
        <v>3</v>
      </c>
      <c r="W1153" s="28">
        <f>VLOOKUP(V1153,ターン数別攻撃係数!$A$1:$B$1000,2,FALSE)</f>
        <v>1</v>
      </c>
      <c r="X1153" s="9">
        <f>VLOOKUP(C1153,サイズ別係数!A$2:B$9,2,FALSE)</f>
        <v>60</v>
      </c>
      <c r="Y1153" s="26">
        <f>VLOOKUP($X1153,サイズ別係数!$B:$E,2,FALSE)</f>
        <v>1.7</v>
      </c>
      <c r="Z1153" s="26">
        <f>VLOOKUP($X1153,サイズ別係数!$B:$E,3,FALSE)</f>
        <v>1.4</v>
      </c>
      <c r="AA1153" s="26">
        <f>VLOOKUP($X1153,サイズ別係数!$B:$E,4,FALSE)</f>
        <v>1</v>
      </c>
      <c r="AB1153" s="5">
        <v>0</v>
      </c>
      <c r="AC1153" s="34" t="str">
        <f ca="1">VLOOKUP($AB1153,OFFSET([3]enemy_skill_sets!$B$2,0,0,COUNTA([3]enemy_skill_sets!$A:$A),MATCH(AC$1,[3]enemy_skill_sets!$1:$1,0)-MATCH($AB$1,[3]enemy_skill_sets!$1:$1,0)+1),MATCH(AC$1,[3]enemy_skill_sets!$1:$1,0)-MATCH($AB$1,[3]enemy_skill_sets!$1:$1,0)+1,FALSE)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3" s="67">
        <v>1</v>
      </c>
      <c r="AE1153" s="67">
        <v>1</v>
      </c>
      <c r="AF1153" s="37">
        <v>0</v>
      </c>
      <c r="AG1153" s="99">
        <f>ROUND(VLOOKUP(1,enemy_base_stats!$A:$F,2,FALSE) * Y1153* J1153*O1153*E1153*S1153*AD1153*[2]ステータス!$B$2,0)</f>
        <v>3264</v>
      </c>
      <c r="AH1153" s="99">
        <f>ROUND(VLOOKUP(1,enemy_base_stats!$A:$F,3,FALSE) * Z1153*K1153*P1153*F1153*T1153*AE1153 * W1153*[2]ステータス!$C$2,0)</f>
        <v>222</v>
      </c>
      <c r="AI1153" s="99">
        <f>ROUND(VLOOKUP(1,enemy_base_stats!$A:$F,4,FALSE) * AA1153*L1153*Q1153*G1153*U1153*AF1153*[2]ステータス!$D$2,0)</f>
        <v>0</v>
      </c>
      <c r="AJ1153" s="99">
        <f>ROUND(VLOOKUP(100,enemy_base_stats!$A:$F,2,FALSE) * Y1153* J1153*O1153*E1153*S1153*AD1153*[2]ステータス!$B$2,0)</f>
        <v>132518</v>
      </c>
      <c r="AK1153" s="99">
        <f>ROUND(VLOOKUP(100,enemy_base_stats!$A:$F,3,FALSE)* Z1153* K1153*P1153*F1153*T1153*AE1153 * W1153*[2]ステータス!$C$2,0)</f>
        <v>8995</v>
      </c>
      <c r="AL1153" s="99">
        <f>ROUND(VLOOKUP(100,enemy_base_stats!$A:$F,4,FALSE)* AA1153* L1153*Q1153*G1153*U1153*AF1153*[2]ステータス!$D$2,0)</f>
        <v>0</v>
      </c>
      <c r="AM1153" s="97">
        <f>VLOOKUP(M1153,[2]character_tribe_i18n!$A:$I,9,FALSE)</f>
        <v>680</v>
      </c>
      <c r="AN1153" s="36">
        <v>0</v>
      </c>
      <c r="AO1153" s="53">
        <v>0</v>
      </c>
      <c r="AP1153" s="58" t="s">
        <v>72</v>
      </c>
      <c r="AQ1153" s="71">
        <f t="shared" si="63"/>
        <v>1152</v>
      </c>
    </row>
    <row r="1154" spans="1:43" ht="21" customHeight="1" x14ac:dyDescent="0.15">
      <c r="A1154" s="7">
        <v>1153</v>
      </c>
      <c r="B1154" s="6" t="str">
        <f>VLOOKUP(A1154,[2]characters!$A:$C,3,FALSE)</f>
        <v>ラクシュミー</v>
      </c>
      <c r="C1154" s="9">
        <f>VLOOKUP(A1154,[2]characters!$A:$I,9,FALSE)</f>
        <v>5</v>
      </c>
      <c r="D1154" s="9" t="str">
        <f>VLOOKUP(A1154,[2]characters!$A:$H,8,FALSE)</f>
        <v>green</v>
      </c>
      <c r="E1154" s="24">
        <f>VLOOKUP(D1154,[2]属性!$A:$E,2,FALSE)</f>
        <v>1.02</v>
      </c>
      <c r="F1154" s="24">
        <f>VLOOKUP(D1154,[2]属性!$A:$E,3,FALSE)</f>
        <v>0.98</v>
      </c>
      <c r="G1154" s="24">
        <f>VLOOKUP(D1154,[2]属性!$A:$F,4,FALSE)</f>
        <v>1</v>
      </c>
      <c r="H1154" s="9" t="str">
        <f>VLOOKUP(A1154,[2]characters!$A:$K,11,FALSE)</f>
        <v>hp</v>
      </c>
      <c r="I1154" s="14" t="str">
        <f>VLOOKUP(H1154,[2]character_type_i18n!$A:$F,3,FALSE)</f>
        <v>体力タイプ</v>
      </c>
      <c r="J1154" s="36">
        <f>VLOOKUP(H1154,[2]character_type_i18n!$A:$F,4,FALSE)</f>
        <v>1.45</v>
      </c>
      <c r="K1154" s="36">
        <f>VLOOKUP(H1154,[2]character_type_i18n!$A:$F,5,FALSE)</f>
        <v>0.85</v>
      </c>
      <c r="L1154" s="36">
        <f>VLOOKUP(H1154,[2]character_type_i18n!$A:$F,6,FALSE)</f>
        <v>1</v>
      </c>
      <c r="M1154" s="9" t="str">
        <f>VLOOKUP(A1154,[2]characters!$A:$M,13,FALSE)</f>
        <v>god</v>
      </c>
      <c r="N1154" s="14" t="str">
        <f>VLOOKUP(M1154,[2]character_tribe_i18n!$A:$F,3,FALSE)</f>
        <v>ゴッド</v>
      </c>
      <c r="O1154" s="24">
        <f>VLOOKUP(M1154,[2]character_tribe_i18n!$A:$F,4,FALSE)</f>
        <v>0.96</v>
      </c>
      <c r="P1154" s="24">
        <f>VLOOKUP(M1154,[2]character_tribe_i18n!$A:$F,5,FALSE)</f>
        <v>1.02</v>
      </c>
      <c r="Q1154" s="24">
        <f>VLOOKUP(M1154,[2]character_tribe_i18n!$A:$F,6,FALSE)</f>
        <v>1</v>
      </c>
      <c r="R1154" s="25" t="s">
        <v>98</v>
      </c>
      <c r="S1154" s="24">
        <f>VLOOKUP($R1154,ラベル別係数!$A$1:$E$7,3,FALSE)</f>
        <v>5</v>
      </c>
      <c r="T1154" s="24">
        <f>VLOOKUP($R1154,ラベル別係数!$A$1:$E$7,4,FALSE)</f>
        <v>1.3</v>
      </c>
      <c r="U1154" s="24">
        <f>VLOOKUP($R1154,ラベル別係数!$A$1:$E$7,5,FALSE)</f>
        <v>0.8</v>
      </c>
      <c r="V1154" s="27">
        <v>3</v>
      </c>
      <c r="W1154" s="28">
        <f>VLOOKUP(V1154,ターン数別攻撃係数!$A$1:$B$1000,2,FALSE)</f>
        <v>1</v>
      </c>
      <c r="X1154" s="9">
        <f>VLOOKUP(C1154,サイズ別係数!A$2:B$9,2,FALSE)</f>
        <v>60</v>
      </c>
      <c r="Y1154" s="26">
        <f>VLOOKUP($X1154,サイズ別係数!$B:$E,2,FALSE)</f>
        <v>1.7</v>
      </c>
      <c r="Z1154" s="26">
        <f>VLOOKUP($X1154,サイズ別係数!$B:$E,3,FALSE)</f>
        <v>1.4</v>
      </c>
      <c r="AA1154" s="26">
        <f>VLOOKUP($X1154,サイズ別係数!$B:$E,4,FALSE)</f>
        <v>1</v>
      </c>
      <c r="AB1154" s="5">
        <v>0</v>
      </c>
      <c r="AC1154" s="34" t="str">
        <f ca="1">VLOOKUP($AB1154,OFFSET([3]enemy_skill_sets!$B$2,0,0,COUNTA([3]enemy_skill_sets!$A:$A),MATCH(AC$1,[3]enemy_skill_sets!$1:$1,0)-MATCH($AB$1,[3]enemy_skill_sets!$1:$1,0)+1),MATCH(AC$1,[3]enemy_skill_sets!$1:$1,0)-MATCH($AB$1,[3]enemy_skill_sets!$1:$1,0)+1,FALSE)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4" s="67">
        <v>1</v>
      </c>
      <c r="AE1154" s="67">
        <v>1</v>
      </c>
      <c r="AF1154" s="37">
        <v>0</v>
      </c>
      <c r="AG1154" s="99">
        <f>ROUND(VLOOKUP(1,enemy_base_stats!$A:$F,2,FALSE) * Y1154* J1154*O1154*E1154*S1154*AD1154*[2]ステータス!$B$2,0)</f>
        <v>6034</v>
      </c>
      <c r="AH1154" s="99">
        <f>ROUND(VLOOKUP(1,enemy_base_stats!$A:$F,3,FALSE) * Z1154*K1154*P1154*F1154*T1154*AE1154 * W1154*[2]ステータス!$C$2,0)</f>
        <v>232</v>
      </c>
      <c r="AI1154" s="99">
        <f>ROUND(VLOOKUP(1,enemy_base_stats!$A:$F,4,FALSE) * AA1154*L1154*Q1154*G1154*U1154*AF1154*[2]ステータス!$D$2,0)</f>
        <v>0</v>
      </c>
      <c r="AJ1154" s="99">
        <f>ROUND(VLOOKUP(100,enemy_base_stats!$A:$F,2,FALSE) * Y1154* J1154*O1154*E1154*S1154*AD1154*[2]ステータス!$B$2,0)</f>
        <v>244993</v>
      </c>
      <c r="AK1154" s="99">
        <f>ROUND(VLOOKUP(100,enemy_base_stats!$A:$F,3,FALSE)* Z1154* K1154*P1154*F1154*T1154*AE1154 * W1154*[2]ステータス!$C$2,0)</f>
        <v>9417</v>
      </c>
      <c r="AL1154" s="99">
        <f>ROUND(VLOOKUP(100,enemy_base_stats!$A:$F,4,FALSE)* AA1154* L1154*Q1154*G1154*U1154*AF1154*[2]ステータス!$D$2,0)</f>
        <v>0</v>
      </c>
      <c r="AM1154" s="97">
        <f>VLOOKUP(M1154,[2]character_tribe_i18n!$A:$I,9,FALSE)</f>
        <v>680</v>
      </c>
      <c r="AN1154" s="36">
        <v>0</v>
      </c>
      <c r="AO1154" s="53">
        <v>0</v>
      </c>
      <c r="AP1154" s="58" t="s">
        <v>72</v>
      </c>
      <c r="AQ1154" s="71">
        <f t="shared" si="63"/>
        <v>1153</v>
      </c>
    </row>
    <row r="1155" spans="1:43" ht="21" customHeight="1" x14ac:dyDescent="0.15">
      <c r="A1155" s="7">
        <v>1154</v>
      </c>
      <c r="B1155" s="6" t="str">
        <f>VLOOKUP(A1155,[2]characters!$A:$C,3,FALSE)</f>
        <v>幸吹の蓮華粧 ラクシュミー</v>
      </c>
      <c r="C1155" s="9">
        <f>VLOOKUP(A1155,[2]characters!$A:$I,9,FALSE)</f>
        <v>6</v>
      </c>
      <c r="D1155" s="9" t="str">
        <f>VLOOKUP(A1155,[2]characters!$A:$H,8,FALSE)</f>
        <v>green</v>
      </c>
      <c r="E1155" s="24">
        <f>VLOOKUP(D1155,[2]属性!$A:$E,2,FALSE)</f>
        <v>1.02</v>
      </c>
      <c r="F1155" s="24">
        <f>VLOOKUP(D1155,[2]属性!$A:$E,3,FALSE)</f>
        <v>0.98</v>
      </c>
      <c r="G1155" s="24">
        <f>VLOOKUP(D1155,[2]属性!$A:$F,4,FALSE)</f>
        <v>1</v>
      </c>
      <c r="H1155" s="9" t="str">
        <f>VLOOKUP(A1155,[2]characters!$A:$K,11,FALSE)</f>
        <v>hp</v>
      </c>
      <c r="I1155" s="14" t="str">
        <f>VLOOKUP(H1155,[2]character_type_i18n!$A:$F,3,FALSE)</f>
        <v>体力タイプ</v>
      </c>
      <c r="J1155" s="36">
        <f>VLOOKUP(H1155,[2]character_type_i18n!$A:$F,4,FALSE)</f>
        <v>1.45</v>
      </c>
      <c r="K1155" s="36">
        <f>VLOOKUP(H1155,[2]character_type_i18n!$A:$F,5,FALSE)</f>
        <v>0.85</v>
      </c>
      <c r="L1155" s="36">
        <f>VLOOKUP(H1155,[2]character_type_i18n!$A:$F,6,FALSE)</f>
        <v>1</v>
      </c>
      <c r="M1155" s="9" t="str">
        <f>VLOOKUP(A1155,[2]characters!$A:$M,13,FALSE)</f>
        <v>god</v>
      </c>
      <c r="N1155" s="14" t="str">
        <f>VLOOKUP(M1155,[2]character_tribe_i18n!$A:$F,3,FALSE)</f>
        <v>ゴッド</v>
      </c>
      <c r="O1155" s="24">
        <f>VLOOKUP(M1155,[2]character_tribe_i18n!$A:$F,4,FALSE)</f>
        <v>0.96</v>
      </c>
      <c r="P1155" s="24">
        <f>VLOOKUP(M1155,[2]character_tribe_i18n!$A:$F,5,FALSE)</f>
        <v>1.02</v>
      </c>
      <c r="Q1155" s="24">
        <f>VLOOKUP(M1155,[2]character_tribe_i18n!$A:$F,6,FALSE)</f>
        <v>1</v>
      </c>
      <c r="R1155" s="25" t="s">
        <v>98</v>
      </c>
      <c r="S1155" s="24">
        <f>VLOOKUP($R1155,ラベル別係数!$A$1:$E$7,3,FALSE)</f>
        <v>5</v>
      </c>
      <c r="T1155" s="24">
        <f>VLOOKUP($R1155,ラベル別係数!$A$1:$E$7,4,FALSE)</f>
        <v>1.3</v>
      </c>
      <c r="U1155" s="24">
        <f>VLOOKUP($R1155,ラベル別係数!$A$1:$E$7,5,FALSE)</f>
        <v>0.8</v>
      </c>
      <c r="V1155" s="27">
        <v>3</v>
      </c>
      <c r="W1155" s="28">
        <f>VLOOKUP(V1155,ターン数別攻撃係数!$A$1:$B$1000,2,FALSE)</f>
        <v>1</v>
      </c>
      <c r="X1155" s="9">
        <f>VLOOKUP(C1155,サイズ別係数!A$2:B$9,2,FALSE)</f>
        <v>60</v>
      </c>
      <c r="Y1155" s="26">
        <f>VLOOKUP($X1155,サイズ別係数!$B:$E,2,FALSE)</f>
        <v>1.7</v>
      </c>
      <c r="Z1155" s="26">
        <f>VLOOKUP($X1155,サイズ別係数!$B:$E,3,FALSE)</f>
        <v>1.4</v>
      </c>
      <c r="AA1155" s="26">
        <f>VLOOKUP($X1155,サイズ別係数!$B:$E,4,FALSE)</f>
        <v>1</v>
      </c>
      <c r="AB1155" s="5">
        <v>0</v>
      </c>
      <c r="AC1155" s="34" t="str">
        <f ca="1">VLOOKUP($AB1155,OFFSET([3]enemy_skill_sets!$B$2,0,0,COUNTA([3]enemy_skill_sets!$A:$A),MATCH(AC$1,[3]enemy_skill_sets!$1:$1,0)-MATCH($AB$1,[3]enemy_skill_sets!$1:$1,0)+1),MATCH(AC$1,[3]enemy_skill_sets!$1:$1,0)-MATCH($AB$1,[3]enemy_skill_sets!$1:$1,0)+1,FALSE)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5" s="67">
        <v>1</v>
      </c>
      <c r="AE1155" s="67">
        <v>1</v>
      </c>
      <c r="AF1155" s="37">
        <v>0</v>
      </c>
      <c r="AG1155" s="99">
        <f>ROUND(VLOOKUP(1,enemy_base_stats!$A:$F,2,FALSE) * Y1155* J1155*O1155*E1155*S1155*AD1155*[2]ステータス!$B$2,0)</f>
        <v>6034</v>
      </c>
      <c r="AH1155" s="99">
        <f>ROUND(VLOOKUP(1,enemy_base_stats!$A:$F,3,FALSE) * Z1155*K1155*P1155*F1155*T1155*AE1155 * W1155*[2]ステータス!$C$2,0)</f>
        <v>232</v>
      </c>
      <c r="AI1155" s="99">
        <f>ROUND(VLOOKUP(1,enemy_base_stats!$A:$F,4,FALSE) * AA1155*L1155*Q1155*G1155*U1155*AF1155*[2]ステータス!$D$2,0)</f>
        <v>0</v>
      </c>
      <c r="AJ1155" s="99">
        <f>ROUND(VLOOKUP(100,enemy_base_stats!$A:$F,2,FALSE) * Y1155* J1155*O1155*E1155*S1155*AD1155*[2]ステータス!$B$2,0)</f>
        <v>244993</v>
      </c>
      <c r="AK1155" s="99">
        <f>ROUND(VLOOKUP(100,enemy_base_stats!$A:$F,3,FALSE)* Z1155* K1155*P1155*F1155*T1155*AE1155 * W1155*[2]ステータス!$C$2,0)</f>
        <v>9417</v>
      </c>
      <c r="AL1155" s="99">
        <f>ROUND(VLOOKUP(100,enemy_base_stats!$A:$F,4,FALSE)* AA1155* L1155*Q1155*G1155*U1155*AF1155*[2]ステータス!$D$2,0)</f>
        <v>0</v>
      </c>
      <c r="AM1155" s="97">
        <f>VLOOKUP(M1155,[2]character_tribe_i18n!$A:$I,9,FALSE)</f>
        <v>680</v>
      </c>
      <c r="AN1155" s="36">
        <v>0</v>
      </c>
      <c r="AO1155" s="53">
        <v>0</v>
      </c>
      <c r="AP1155" s="58" t="s">
        <v>72</v>
      </c>
      <c r="AQ1155" s="71">
        <f t="shared" si="63"/>
        <v>1154</v>
      </c>
    </row>
    <row r="1156" spans="1:43" ht="21" customHeight="1" x14ac:dyDescent="0.15">
      <c r="A1156" s="7">
        <v>1155</v>
      </c>
      <c r="B1156" s="6" t="str">
        <f>VLOOKUP(A1156,[2]characters!$A:$C,3,FALSE)</f>
        <v>ドゥルガー</v>
      </c>
      <c r="C1156" s="9">
        <f>VLOOKUP(A1156,[2]characters!$A:$I,9,FALSE)</f>
        <v>5</v>
      </c>
      <c r="D1156" s="9" t="str">
        <f>VLOOKUP(A1156,[2]characters!$A:$H,8,FALSE)</f>
        <v>blue</v>
      </c>
      <c r="E1156" s="24">
        <f>VLOOKUP(D1156,[2]属性!$A:$E,2,FALSE)</f>
        <v>1</v>
      </c>
      <c r="F1156" s="24">
        <f>VLOOKUP(D1156,[2]属性!$A:$E,3,FALSE)</f>
        <v>0.98</v>
      </c>
      <c r="G1156" s="24">
        <f>VLOOKUP(D1156,[2]属性!$A:$F,4,FALSE)</f>
        <v>1</v>
      </c>
      <c r="H1156" s="9" t="str">
        <f>VLOOKUP(A1156,[2]characters!$A:$K,11,FALSE)</f>
        <v>balance</v>
      </c>
      <c r="I1156" s="14" t="str">
        <f>VLOOKUP(H1156,[2]character_type_i18n!$A:$F,3,FALSE)</f>
        <v>バランスタイプ</v>
      </c>
      <c r="J1156" s="36">
        <f>VLOOKUP(H1156,[2]character_type_i18n!$A:$F,4,FALSE)</f>
        <v>1</v>
      </c>
      <c r="K1156" s="36">
        <f>VLOOKUP(H1156,[2]character_type_i18n!$A:$F,5,FALSE)</f>
        <v>1</v>
      </c>
      <c r="L1156" s="36">
        <f>VLOOKUP(H1156,[2]character_type_i18n!$A:$F,6,FALSE)</f>
        <v>1</v>
      </c>
      <c r="M1156" s="9" t="str">
        <f>VLOOKUP(A1156,[2]characters!$A:$M,13,FALSE)</f>
        <v>god</v>
      </c>
      <c r="N1156" s="14" t="str">
        <f>VLOOKUP(M1156,[2]character_tribe_i18n!$A:$F,3,FALSE)</f>
        <v>ゴッド</v>
      </c>
      <c r="O1156" s="24">
        <f>VLOOKUP(M1156,[2]character_tribe_i18n!$A:$F,4,FALSE)</f>
        <v>0.96</v>
      </c>
      <c r="P1156" s="24">
        <f>VLOOKUP(M1156,[2]character_tribe_i18n!$A:$F,5,FALSE)</f>
        <v>1.02</v>
      </c>
      <c r="Q1156" s="24">
        <f>VLOOKUP(M1156,[2]character_tribe_i18n!$A:$F,6,FALSE)</f>
        <v>1</v>
      </c>
      <c r="R1156" s="25" t="s">
        <v>98</v>
      </c>
      <c r="S1156" s="24">
        <f>VLOOKUP($R1156,ラベル別係数!$A$1:$E$7,3,FALSE)</f>
        <v>5</v>
      </c>
      <c r="T1156" s="24">
        <f>VLOOKUP($R1156,ラベル別係数!$A$1:$E$7,4,FALSE)</f>
        <v>1.3</v>
      </c>
      <c r="U1156" s="24">
        <f>VLOOKUP($R1156,ラベル別係数!$A$1:$E$7,5,FALSE)</f>
        <v>0.8</v>
      </c>
      <c r="V1156" s="27">
        <v>3</v>
      </c>
      <c r="W1156" s="28">
        <f>VLOOKUP(V1156,ターン数別攻撃係数!$A$1:$B$1000,2,FALSE)</f>
        <v>1</v>
      </c>
      <c r="X1156" s="9">
        <f>VLOOKUP(C1156,サイズ別係数!A$2:B$9,2,FALSE)</f>
        <v>60</v>
      </c>
      <c r="Y1156" s="26">
        <f>VLOOKUP($X1156,サイズ別係数!$B:$E,2,FALSE)</f>
        <v>1.7</v>
      </c>
      <c r="Z1156" s="26">
        <f>VLOOKUP($X1156,サイズ別係数!$B:$E,3,FALSE)</f>
        <v>1.4</v>
      </c>
      <c r="AA1156" s="26">
        <f>VLOOKUP($X1156,サイズ別係数!$B:$E,4,FALSE)</f>
        <v>1</v>
      </c>
      <c r="AB1156" s="5">
        <v>0</v>
      </c>
      <c r="AC1156" s="34" t="str">
        <f ca="1">VLOOKUP($AB1156,OFFSET([3]enemy_skill_sets!$B$2,0,0,COUNTA([3]enemy_skill_sets!$A:$A),MATCH(AC$1,[3]enemy_skill_sets!$1:$1,0)-MATCH($AB$1,[3]enemy_skill_sets!$1:$1,0)+1),MATCH(AC$1,[3]enemy_skill_sets!$1:$1,0)-MATCH($AB$1,[3]enemy_skill_sets!$1:$1,0)+1,FALSE)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6" s="67">
        <v>1</v>
      </c>
      <c r="AE1156" s="67">
        <v>1</v>
      </c>
      <c r="AF1156" s="37">
        <v>0</v>
      </c>
      <c r="AG1156" s="99">
        <f>ROUND(VLOOKUP(1,enemy_base_stats!$A:$F,2,FALSE) * Y1156* J1156*O1156*E1156*S1156*AD1156*[2]ステータス!$B$2,0)</f>
        <v>4080</v>
      </c>
      <c r="AH1156" s="99">
        <f>ROUND(VLOOKUP(1,enemy_base_stats!$A:$F,3,FALSE) * Z1156*K1156*P1156*F1156*T1156*AE1156 * W1156*[2]ステータス!$C$2,0)</f>
        <v>273</v>
      </c>
      <c r="AI1156" s="99">
        <f>ROUND(VLOOKUP(1,enemy_base_stats!$A:$F,4,FALSE) * AA1156*L1156*Q1156*G1156*U1156*AF1156*[2]ステータス!$D$2,0)</f>
        <v>0</v>
      </c>
      <c r="AJ1156" s="99">
        <f>ROUND(VLOOKUP(100,enemy_base_stats!$A:$F,2,FALSE) * Y1156* J1156*O1156*E1156*S1156*AD1156*[2]ステータス!$B$2,0)</f>
        <v>165648</v>
      </c>
      <c r="AK1156" s="99">
        <f>ROUND(VLOOKUP(100,enemy_base_stats!$A:$F,3,FALSE)* Z1156* K1156*P1156*F1156*T1156*AE1156 * W1156*[2]ステータス!$C$2,0)</f>
        <v>11079</v>
      </c>
      <c r="AL1156" s="99">
        <f>ROUND(VLOOKUP(100,enemy_base_stats!$A:$F,4,FALSE)* AA1156* L1156*Q1156*G1156*U1156*AF1156*[2]ステータス!$D$2,0)</f>
        <v>0</v>
      </c>
      <c r="AM1156" s="97">
        <f>VLOOKUP(M1156,[2]character_tribe_i18n!$A:$I,9,FALSE)</f>
        <v>680</v>
      </c>
      <c r="AN1156" s="36">
        <v>0</v>
      </c>
      <c r="AO1156" s="53">
        <v>0</v>
      </c>
      <c r="AP1156" s="58" t="s">
        <v>72</v>
      </c>
      <c r="AQ1156" s="71">
        <f t="shared" si="63"/>
        <v>1155</v>
      </c>
    </row>
    <row r="1157" spans="1:43" ht="21" customHeight="1" x14ac:dyDescent="0.15">
      <c r="A1157" s="7">
        <v>1156</v>
      </c>
      <c r="B1157" s="6" t="str">
        <f>VLOOKUP(A1157,[2]characters!$A:$C,3,FALSE)</f>
        <v>麗逆の武操神 ドゥルガー</v>
      </c>
      <c r="C1157" s="9">
        <f>VLOOKUP(A1157,[2]characters!$A:$I,9,FALSE)</f>
        <v>6</v>
      </c>
      <c r="D1157" s="9" t="str">
        <f>VLOOKUP(A1157,[2]characters!$A:$H,8,FALSE)</f>
        <v>blue</v>
      </c>
      <c r="E1157" s="24">
        <f>VLOOKUP(D1157,[2]属性!$A:$E,2,FALSE)</f>
        <v>1</v>
      </c>
      <c r="F1157" s="24">
        <f>VLOOKUP(D1157,[2]属性!$A:$E,3,FALSE)</f>
        <v>0.98</v>
      </c>
      <c r="G1157" s="24">
        <f>VLOOKUP(D1157,[2]属性!$A:$F,4,FALSE)</f>
        <v>1</v>
      </c>
      <c r="H1157" s="9" t="str">
        <f>VLOOKUP(A1157,[2]characters!$A:$K,11,FALSE)</f>
        <v>balance</v>
      </c>
      <c r="I1157" s="14" t="str">
        <f>VLOOKUP(H1157,[2]character_type_i18n!$A:$F,3,FALSE)</f>
        <v>バランスタイプ</v>
      </c>
      <c r="J1157" s="36">
        <f>VLOOKUP(H1157,[2]character_type_i18n!$A:$F,4,FALSE)</f>
        <v>1</v>
      </c>
      <c r="K1157" s="36">
        <f>VLOOKUP(H1157,[2]character_type_i18n!$A:$F,5,FALSE)</f>
        <v>1</v>
      </c>
      <c r="L1157" s="36">
        <f>VLOOKUP(H1157,[2]character_type_i18n!$A:$F,6,FALSE)</f>
        <v>1</v>
      </c>
      <c r="M1157" s="9" t="str">
        <f>VLOOKUP(A1157,[2]characters!$A:$M,13,FALSE)</f>
        <v>god</v>
      </c>
      <c r="N1157" s="14" t="str">
        <f>VLOOKUP(M1157,[2]character_tribe_i18n!$A:$F,3,FALSE)</f>
        <v>ゴッド</v>
      </c>
      <c r="O1157" s="24">
        <f>VLOOKUP(M1157,[2]character_tribe_i18n!$A:$F,4,FALSE)</f>
        <v>0.96</v>
      </c>
      <c r="P1157" s="24">
        <f>VLOOKUP(M1157,[2]character_tribe_i18n!$A:$F,5,FALSE)</f>
        <v>1.02</v>
      </c>
      <c r="Q1157" s="24">
        <f>VLOOKUP(M1157,[2]character_tribe_i18n!$A:$F,6,FALSE)</f>
        <v>1</v>
      </c>
      <c r="R1157" s="25" t="s">
        <v>98</v>
      </c>
      <c r="S1157" s="24">
        <f>VLOOKUP($R1157,ラベル別係数!$A$1:$E$7,3,FALSE)</f>
        <v>5</v>
      </c>
      <c r="T1157" s="24">
        <f>VLOOKUP($R1157,ラベル別係数!$A$1:$E$7,4,FALSE)</f>
        <v>1.3</v>
      </c>
      <c r="U1157" s="24">
        <f>VLOOKUP($R1157,ラベル別係数!$A$1:$E$7,5,FALSE)</f>
        <v>0.8</v>
      </c>
      <c r="V1157" s="27">
        <v>3</v>
      </c>
      <c r="W1157" s="28">
        <f>VLOOKUP(V1157,ターン数別攻撃係数!$A$1:$B$1000,2,FALSE)</f>
        <v>1</v>
      </c>
      <c r="X1157" s="9">
        <f>VLOOKUP(C1157,サイズ別係数!A$2:B$9,2,FALSE)</f>
        <v>60</v>
      </c>
      <c r="Y1157" s="26">
        <f>VLOOKUP($X1157,サイズ別係数!$B:$E,2,FALSE)</f>
        <v>1.7</v>
      </c>
      <c r="Z1157" s="26">
        <f>VLOOKUP($X1157,サイズ別係数!$B:$E,3,FALSE)</f>
        <v>1.4</v>
      </c>
      <c r="AA1157" s="26">
        <f>VLOOKUP($X1157,サイズ別係数!$B:$E,4,FALSE)</f>
        <v>1</v>
      </c>
      <c r="AB1157" s="5">
        <v>0</v>
      </c>
      <c r="AC1157" s="34" t="str">
        <f ca="1">VLOOKUP($AB1157,OFFSET([3]enemy_skill_sets!$B$2,0,0,COUNTA([3]enemy_skill_sets!$A:$A),MATCH(AC$1,[3]enemy_skill_sets!$1:$1,0)-MATCH($AB$1,[3]enemy_skill_sets!$1:$1,0)+1),MATCH(AC$1,[3]enemy_skill_sets!$1:$1,0)-MATCH($AB$1,[3]enemy_skill_sets!$1:$1,0)+1,FALSE)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7" s="67">
        <v>1</v>
      </c>
      <c r="AE1157" s="67">
        <v>1</v>
      </c>
      <c r="AF1157" s="37">
        <v>0</v>
      </c>
      <c r="AG1157" s="99">
        <f>ROUND(VLOOKUP(1,enemy_base_stats!$A:$F,2,FALSE) * Y1157* J1157*O1157*E1157*S1157*AD1157*[2]ステータス!$B$2,0)</f>
        <v>4080</v>
      </c>
      <c r="AH1157" s="99">
        <f>ROUND(VLOOKUP(1,enemy_base_stats!$A:$F,3,FALSE) * Z1157*K1157*P1157*F1157*T1157*AE1157 * W1157*[2]ステータス!$C$2,0)</f>
        <v>273</v>
      </c>
      <c r="AI1157" s="99">
        <f>ROUND(VLOOKUP(1,enemy_base_stats!$A:$F,4,FALSE) * AA1157*L1157*Q1157*G1157*U1157*AF1157*[2]ステータス!$D$2,0)</f>
        <v>0</v>
      </c>
      <c r="AJ1157" s="99">
        <f>ROUND(VLOOKUP(100,enemy_base_stats!$A:$F,2,FALSE) * Y1157* J1157*O1157*E1157*S1157*AD1157*[2]ステータス!$B$2,0)</f>
        <v>165648</v>
      </c>
      <c r="AK1157" s="99">
        <f>ROUND(VLOOKUP(100,enemy_base_stats!$A:$F,3,FALSE)* Z1157* K1157*P1157*F1157*T1157*AE1157 * W1157*[2]ステータス!$C$2,0)</f>
        <v>11079</v>
      </c>
      <c r="AL1157" s="99">
        <f>ROUND(VLOOKUP(100,enemy_base_stats!$A:$F,4,FALSE)* AA1157* L1157*Q1157*G1157*U1157*AF1157*[2]ステータス!$D$2,0)</f>
        <v>0</v>
      </c>
      <c r="AM1157" s="97">
        <f>VLOOKUP(M1157,[2]character_tribe_i18n!$A:$I,9,FALSE)</f>
        <v>680</v>
      </c>
      <c r="AN1157" s="36">
        <v>0</v>
      </c>
      <c r="AO1157" s="53">
        <v>0</v>
      </c>
      <c r="AP1157" s="58" t="s">
        <v>72</v>
      </c>
      <c r="AQ1157" s="71">
        <f t="shared" si="63"/>
        <v>1156</v>
      </c>
    </row>
    <row r="1158" spans="1:43" ht="21" customHeight="1" x14ac:dyDescent="0.15">
      <c r="A1158" s="7">
        <v>1157</v>
      </c>
      <c r="B1158" s="6" t="str">
        <f>VLOOKUP(A1158,[2]characters!$A:$C,3,FALSE)</f>
        <v>インドラ</v>
      </c>
      <c r="C1158" s="9">
        <f>VLOOKUP(A1158,[2]characters!$A:$I,9,FALSE)</f>
        <v>5</v>
      </c>
      <c r="D1158" s="9" t="str">
        <f>VLOOKUP(A1158,[2]characters!$A:$H,8,FALSE)</f>
        <v>yellow</v>
      </c>
      <c r="E1158" s="24">
        <f>VLOOKUP(D1158,[2]属性!$A:$E,2,FALSE)</f>
        <v>0.98</v>
      </c>
      <c r="F1158" s="24">
        <f>VLOOKUP(D1158,[2]属性!$A:$E,3,FALSE)</f>
        <v>1.01</v>
      </c>
      <c r="G1158" s="24">
        <f>VLOOKUP(D1158,[2]属性!$A:$F,4,FALSE)</f>
        <v>1</v>
      </c>
      <c r="H1158" s="9" t="str">
        <f>VLOOKUP(A1158,[2]characters!$A:$K,11,FALSE)</f>
        <v>attack</v>
      </c>
      <c r="I1158" s="14" t="str">
        <f>VLOOKUP(H1158,[2]character_type_i18n!$A:$F,3,FALSE)</f>
        <v>攻撃タイプ</v>
      </c>
      <c r="J1158" s="36">
        <f>VLOOKUP(H1158,[2]character_type_i18n!$A:$F,4,FALSE)</f>
        <v>1</v>
      </c>
      <c r="K1158" s="36">
        <f>VLOOKUP(H1158,[2]character_type_i18n!$A:$F,5,FALSE)</f>
        <v>1.33</v>
      </c>
      <c r="L1158" s="36">
        <f>VLOOKUP(H1158,[2]character_type_i18n!$A:$F,6,FALSE)</f>
        <v>1</v>
      </c>
      <c r="M1158" s="9" t="str">
        <f>VLOOKUP(A1158,[2]characters!$A:$M,13,FALSE)</f>
        <v>god</v>
      </c>
      <c r="N1158" s="14" t="str">
        <f>VLOOKUP(M1158,[2]character_tribe_i18n!$A:$F,3,FALSE)</f>
        <v>ゴッド</v>
      </c>
      <c r="O1158" s="24">
        <f>VLOOKUP(M1158,[2]character_tribe_i18n!$A:$F,4,FALSE)</f>
        <v>0.96</v>
      </c>
      <c r="P1158" s="24">
        <f>VLOOKUP(M1158,[2]character_tribe_i18n!$A:$F,5,FALSE)</f>
        <v>1.02</v>
      </c>
      <c r="Q1158" s="24">
        <f>VLOOKUP(M1158,[2]character_tribe_i18n!$A:$F,6,FALSE)</f>
        <v>1</v>
      </c>
      <c r="R1158" s="25" t="s">
        <v>98</v>
      </c>
      <c r="S1158" s="24">
        <f>VLOOKUP($R1158,ラベル別係数!$A$1:$E$7,3,FALSE)</f>
        <v>5</v>
      </c>
      <c r="T1158" s="24">
        <f>VLOOKUP($R1158,ラベル別係数!$A$1:$E$7,4,FALSE)</f>
        <v>1.3</v>
      </c>
      <c r="U1158" s="24">
        <f>VLOOKUP($R1158,ラベル別係数!$A$1:$E$7,5,FALSE)</f>
        <v>0.8</v>
      </c>
      <c r="V1158" s="27">
        <v>3</v>
      </c>
      <c r="W1158" s="28">
        <f>VLOOKUP(V1158,ターン数別攻撃係数!$A$1:$B$1000,2,FALSE)</f>
        <v>1</v>
      </c>
      <c r="X1158" s="9">
        <f>VLOOKUP(C1158,サイズ別係数!A$2:B$9,2,FALSE)</f>
        <v>60</v>
      </c>
      <c r="Y1158" s="26">
        <f>VLOOKUP($X1158,サイズ別係数!$B:$E,2,FALSE)</f>
        <v>1.7</v>
      </c>
      <c r="Z1158" s="26">
        <f>VLOOKUP($X1158,サイズ別係数!$B:$E,3,FALSE)</f>
        <v>1.4</v>
      </c>
      <c r="AA1158" s="26">
        <f>VLOOKUP($X1158,サイズ別係数!$B:$E,4,FALSE)</f>
        <v>1</v>
      </c>
      <c r="AB1158" s="5">
        <v>0</v>
      </c>
      <c r="AC1158" s="34" t="str">
        <f ca="1">VLOOKUP($AB1158,OFFSET([3]enemy_skill_sets!$B$2,0,0,COUNTA([3]enemy_skill_sets!$A:$A),MATCH(AC$1,[3]enemy_skill_sets!$1:$1,0)-MATCH($AB$1,[3]enemy_skill_sets!$1:$1,0)+1),MATCH(AC$1,[3]enemy_skill_sets!$1:$1,0)-MATCH($AB$1,[3]enemy_skill_sets!$1:$1,0)+1,FALSE)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8" s="67">
        <v>1</v>
      </c>
      <c r="AE1158" s="67">
        <v>1</v>
      </c>
      <c r="AF1158" s="37">
        <v>0</v>
      </c>
      <c r="AG1158" s="99">
        <f>ROUND(VLOOKUP(1,enemy_base_stats!$A:$F,2,FALSE) * Y1158* J1158*O1158*E1158*S1158*AD1158*[2]ステータス!$B$2,0)</f>
        <v>3998</v>
      </c>
      <c r="AH1158" s="99">
        <f>ROUND(VLOOKUP(1,enemy_base_stats!$A:$F,3,FALSE) * Z1158*K1158*P1158*F1158*T1158*AE1158 * W1158*[2]ステータス!$C$2,0)</f>
        <v>374</v>
      </c>
      <c r="AI1158" s="99">
        <f>ROUND(VLOOKUP(1,enemy_base_stats!$A:$F,4,FALSE) * AA1158*L1158*Q1158*G1158*U1158*AF1158*[2]ステータス!$D$2,0)</f>
        <v>0</v>
      </c>
      <c r="AJ1158" s="99">
        <f>ROUND(VLOOKUP(100,enemy_base_stats!$A:$F,2,FALSE) * Y1158* J1158*O1158*E1158*S1158*AD1158*[2]ステータス!$B$2,0)</f>
        <v>162335</v>
      </c>
      <c r="AK1158" s="99">
        <f>ROUND(VLOOKUP(100,enemy_base_stats!$A:$F,3,FALSE)* Z1158* K1158*P1158*F1158*T1158*AE1158 * W1158*[2]ステータス!$C$2,0)</f>
        <v>15187</v>
      </c>
      <c r="AL1158" s="99">
        <f>ROUND(VLOOKUP(100,enemy_base_stats!$A:$F,4,FALSE)* AA1158* L1158*Q1158*G1158*U1158*AF1158*[2]ステータス!$D$2,0)</f>
        <v>0</v>
      </c>
      <c r="AM1158" s="97">
        <f>VLOOKUP(M1158,[2]character_tribe_i18n!$A:$I,9,FALSE)</f>
        <v>680</v>
      </c>
      <c r="AN1158" s="36">
        <v>0</v>
      </c>
      <c r="AO1158" s="53">
        <v>0</v>
      </c>
      <c r="AP1158" s="58" t="s">
        <v>72</v>
      </c>
      <c r="AQ1158" s="71">
        <f t="shared" si="63"/>
        <v>1157</v>
      </c>
    </row>
    <row r="1159" spans="1:43" ht="21" customHeight="1" x14ac:dyDescent="0.15">
      <c r="A1159" s="7">
        <v>1158</v>
      </c>
      <c r="B1159" s="6" t="str">
        <f>VLOOKUP(A1159,[2]characters!$A:$C,3,FALSE)</f>
        <v>天英の雷霆神 インドラ</v>
      </c>
      <c r="C1159" s="9">
        <f>VLOOKUP(A1159,[2]characters!$A:$I,9,FALSE)</f>
        <v>6</v>
      </c>
      <c r="D1159" s="9" t="str">
        <f>VLOOKUP(A1159,[2]characters!$A:$H,8,FALSE)</f>
        <v>yellow</v>
      </c>
      <c r="E1159" s="24">
        <f>VLOOKUP(D1159,[2]属性!$A:$E,2,FALSE)</f>
        <v>0.98</v>
      </c>
      <c r="F1159" s="24">
        <f>VLOOKUP(D1159,[2]属性!$A:$E,3,FALSE)</f>
        <v>1.01</v>
      </c>
      <c r="G1159" s="24">
        <f>VLOOKUP(D1159,[2]属性!$A:$F,4,FALSE)</f>
        <v>1</v>
      </c>
      <c r="H1159" s="9" t="str">
        <f>VLOOKUP(A1159,[2]characters!$A:$K,11,FALSE)</f>
        <v>attack</v>
      </c>
      <c r="I1159" s="14" t="str">
        <f>VLOOKUP(H1159,[2]character_type_i18n!$A:$F,3,FALSE)</f>
        <v>攻撃タイプ</v>
      </c>
      <c r="J1159" s="36">
        <f>VLOOKUP(H1159,[2]character_type_i18n!$A:$F,4,FALSE)</f>
        <v>1</v>
      </c>
      <c r="K1159" s="36">
        <f>VLOOKUP(H1159,[2]character_type_i18n!$A:$F,5,FALSE)</f>
        <v>1.33</v>
      </c>
      <c r="L1159" s="36">
        <f>VLOOKUP(H1159,[2]character_type_i18n!$A:$F,6,FALSE)</f>
        <v>1</v>
      </c>
      <c r="M1159" s="9" t="str">
        <f>VLOOKUP(A1159,[2]characters!$A:$M,13,FALSE)</f>
        <v>god</v>
      </c>
      <c r="N1159" s="14" t="str">
        <f>VLOOKUP(M1159,[2]character_tribe_i18n!$A:$F,3,FALSE)</f>
        <v>ゴッド</v>
      </c>
      <c r="O1159" s="24">
        <f>VLOOKUP(M1159,[2]character_tribe_i18n!$A:$F,4,FALSE)</f>
        <v>0.96</v>
      </c>
      <c r="P1159" s="24">
        <f>VLOOKUP(M1159,[2]character_tribe_i18n!$A:$F,5,FALSE)</f>
        <v>1.02</v>
      </c>
      <c r="Q1159" s="24">
        <f>VLOOKUP(M1159,[2]character_tribe_i18n!$A:$F,6,FALSE)</f>
        <v>1</v>
      </c>
      <c r="R1159" s="25" t="s">
        <v>98</v>
      </c>
      <c r="S1159" s="24">
        <f>VLOOKUP($R1159,ラベル別係数!$A$1:$E$7,3,FALSE)</f>
        <v>5</v>
      </c>
      <c r="T1159" s="24">
        <f>VLOOKUP($R1159,ラベル別係数!$A$1:$E$7,4,FALSE)</f>
        <v>1.3</v>
      </c>
      <c r="U1159" s="24">
        <f>VLOOKUP($R1159,ラベル別係数!$A$1:$E$7,5,FALSE)</f>
        <v>0.8</v>
      </c>
      <c r="V1159" s="27">
        <v>3</v>
      </c>
      <c r="W1159" s="28">
        <f>VLOOKUP(V1159,ターン数別攻撃係数!$A$1:$B$1000,2,FALSE)</f>
        <v>1</v>
      </c>
      <c r="X1159" s="9">
        <f>VLOOKUP(C1159,サイズ別係数!A$2:B$9,2,FALSE)</f>
        <v>60</v>
      </c>
      <c r="Y1159" s="26">
        <f>VLOOKUP($X1159,サイズ別係数!$B:$E,2,FALSE)</f>
        <v>1.7</v>
      </c>
      <c r="Z1159" s="26">
        <f>VLOOKUP($X1159,サイズ別係数!$B:$E,3,FALSE)</f>
        <v>1.4</v>
      </c>
      <c r="AA1159" s="26">
        <f>VLOOKUP($X1159,サイズ別係数!$B:$E,4,FALSE)</f>
        <v>1</v>
      </c>
      <c r="AB1159" s="5">
        <v>0</v>
      </c>
      <c r="AC1159" s="34" t="str">
        <f ca="1">VLOOKUP($AB1159,OFFSET([3]enemy_skill_sets!$B$2,0,0,COUNTA([3]enemy_skill_sets!$A:$A),MATCH(AC$1,[3]enemy_skill_sets!$1:$1,0)-MATCH($AB$1,[3]enemy_skill_sets!$1:$1,0)+1),MATCH(AC$1,[3]enemy_skill_sets!$1:$1,0)-MATCH($AB$1,[3]enemy_skill_sets!$1:$1,0)+1,FALSE)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59" s="67">
        <v>1</v>
      </c>
      <c r="AE1159" s="67">
        <v>1</v>
      </c>
      <c r="AF1159" s="37">
        <v>0</v>
      </c>
      <c r="AG1159" s="99">
        <f>ROUND(VLOOKUP(1,enemy_base_stats!$A:$F,2,FALSE) * Y1159* J1159*O1159*E1159*S1159*AD1159*[2]ステータス!$B$2,0)</f>
        <v>3998</v>
      </c>
      <c r="AH1159" s="99">
        <f>ROUND(VLOOKUP(1,enemy_base_stats!$A:$F,3,FALSE) * Z1159*K1159*P1159*F1159*T1159*AE1159 * W1159*[2]ステータス!$C$2,0)</f>
        <v>374</v>
      </c>
      <c r="AI1159" s="99">
        <f>ROUND(VLOOKUP(1,enemy_base_stats!$A:$F,4,FALSE) * AA1159*L1159*Q1159*G1159*U1159*AF1159*[2]ステータス!$D$2,0)</f>
        <v>0</v>
      </c>
      <c r="AJ1159" s="99">
        <f>ROUND(VLOOKUP(100,enemy_base_stats!$A:$F,2,FALSE) * Y1159* J1159*O1159*E1159*S1159*AD1159*[2]ステータス!$B$2,0)</f>
        <v>162335</v>
      </c>
      <c r="AK1159" s="99">
        <f>ROUND(VLOOKUP(100,enemy_base_stats!$A:$F,3,FALSE)* Z1159* K1159*P1159*F1159*T1159*AE1159 * W1159*[2]ステータス!$C$2,0)</f>
        <v>15187</v>
      </c>
      <c r="AL1159" s="99">
        <f>ROUND(VLOOKUP(100,enemy_base_stats!$A:$F,4,FALSE)* AA1159* L1159*Q1159*G1159*U1159*AF1159*[2]ステータス!$D$2,0)</f>
        <v>0</v>
      </c>
      <c r="AM1159" s="97">
        <f>VLOOKUP(M1159,[2]character_tribe_i18n!$A:$I,9,FALSE)</f>
        <v>680</v>
      </c>
      <c r="AN1159" s="36">
        <v>0</v>
      </c>
      <c r="AO1159" s="53">
        <v>0</v>
      </c>
      <c r="AP1159" s="58" t="s">
        <v>72</v>
      </c>
      <c r="AQ1159" s="71">
        <f t="shared" si="63"/>
        <v>1158</v>
      </c>
    </row>
    <row r="1160" spans="1:43" ht="21" customHeight="1" x14ac:dyDescent="0.15">
      <c r="A1160" s="7">
        <v>1159</v>
      </c>
      <c r="B1160" s="6" t="str">
        <f>VLOOKUP(A1160,[2]characters!$A:$C,3,FALSE)</f>
        <v>ガロア</v>
      </c>
      <c r="C1160" s="9">
        <f>VLOOKUP(A1160,[2]characters!$A:$I,9,FALSE)</f>
        <v>5</v>
      </c>
      <c r="D1160" s="9" t="str">
        <f>VLOOKUP(A1160,[2]characters!$A:$H,8,FALSE)</f>
        <v>green</v>
      </c>
      <c r="E1160" s="24">
        <f>VLOOKUP(D1160,[2]属性!$A:$E,2,FALSE)</f>
        <v>1.02</v>
      </c>
      <c r="F1160" s="24">
        <f>VLOOKUP(D1160,[2]属性!$A:$E,3,FALSE)</f>
        <v>0.98</v>
      </c>
      <c r="G1160" s="24">
        <f>VLOOKUP(D1160,[2]属性!$A:$F,4,FALSE)</f>
        <v>1</v>
      </c>
      <c r="H1160" s="9" t="str">
        <f>VLOOKUP(A1160,[2]characters!$A:$K,11,FALSE)</f>
        <v>attack</v>
      </c>
      <c r="I1160" s="14" t="str">
        <f>VLOOKUP(H1160,[2]character_type_i18n!$A:$F,3,FALSE)</f>
        <v>攻撃タイプ</v>
      </c>
      <c r="J1160" s="36">
        <f>VLOOKUP(H1160,[2]character_type_i18n!$A:$F,4,FALSE)</f>
        <v>1</v>
      </c>
      <c r="K1160" s="36">
        <f>VLOOKUP(H1160,[2]character_type_i18n!$A:$F,5,FALSE)</f>
        <v>1.33</v>
      </c>
      <c r="L1160" s="36">
        <f>VLOOKUP(H1160,[2]character_type_i18n!$A:$F,6,FALSE)</f>
        <v>1</v>
      </c>
      <c r="M1160" s="9" t="str">
        <f>VLOOKUP(A1160,[2]characters!$A:$M,13,FALSE)</f>
        <v>academia</v>
      </c>
      <c r="N1160" s="14" t="str">
        <f>VLOOKUP(M1160,[2]character_tribe_i18n!$A:$F,3,FALSE)</f>
        <v>アカデミア</v>
      </c>
      <c r="O1160" s="24">
        <f>VLOOKUP(M1160,[2]character_tribe_i18n!$A:$F,4,FALSE)</f>
        <v>1</v>
      </c>
      <c r="P1160" s="24">
        <f>VLOOKUP(M1160,[2]character_tribe_i18n!$A:$F,5,FALSE)</f>
        <v>1</v>
      </c>
      <c r="Q1160" s="24">
        <f>VLOOKUP(M1160,[2]character_tribe_i18n!$A:$F,6,FALSE)</f>
        <v>1</v>
      </c>
      <c r="R1160" s="25" t="s">
        <v>98</v>
      </c>
      <c r="S1160" s="24">
        <f>VLOOKUP($R1160,ラベル別係数!$A$1:$E$7,3,FALSE)</f>
        <v>5</v>
      </c>
      <c r="T1160" s="24">
        <f>VLOOKUP($R1160,ラベル別係数!$A$1:$E$7,4,FALSE)</f>
        <v>1.3</v>
      </c>
      <c r="U1160" s="24">
        <f>VLOOKUP($R1160,ラベル別係数!$A$1:$E$7,5,FALSE)</f>
        <v>0.8</v>
      </c>
      <c r="V1160" s="27">
        <v>3</v>
      </c>
      <c r="W1160" s="28">
        <f>VLOOKUP(V1160,ターン数別攻撃係数!$A$1:$B$1000,2,FALSE)</f>
        <v>1</v>
      </c>
      <c r="X1160" s="9">
        <f>VLOOKUP(C1160,サイズ別係数!A$2:B$9,2,FALSE)</f>
        <v>60</v>
      </c>
      <c r="Y1160" s="26">
        <f>VLOOKUP($X1160,サイズ別係数!$B:$E,2,FALSE)</f>
        <v>1.7</v>
      </c>
      <c r="Z1160" s="26">
        <f>VLOOKUP($X1160,サイズ別係数!$B:$E,3,FALSE)</f>
        <v>1.4</v>
      </c>
      <c r="AA1160" s="26">
        <f>VLOOKUP($X1160,サイズ別係数!$B:$E,4,FALSE)</f>
        <v>1</v>
      </c>
      <c r="AB1160" s="5">
        <v>0</v>
      </c>
      <c r="AC1160" s="34" t="str">
        <f ca="1">VLOOKUP($AB1160,OFFSET([3]enemy_skill_sets!$B$2,0,0,COUNTA([3]enemy_skill_sets!$A:$A),MATCH(AC$1,[3]enemy_skill_sets!$1:$1,0)-MATCH($AB$1,[3]enemy_skill_sets!$1:$1,0)+1),MATCH(AC$1,[3]enemy_skill_sets!$1:$1,0)-MATCH($AB$1,[3]enemy_skill_sets!$1:$1,0)+1,FALSE)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0" s="67">
        <v>1</v>
      </c>
      <c r="AE1160" s="67">
        <v>1</v>
      </c>
      <c r="AF1160" s="37">
        <v>0</v>
      </c>
      <c r="AG1160" s="99">
        <f>ROUND(VLOOKUP(1,enemy_base_stats!$A:$F,2,FALSE) * Y1160* J1160*O1160*E1160*S1160*AD1160*[2]ステータス!$B$2,0)</f>
        <v>4335</v>
      </c>
      <c r="AH1160" s="99">
        <f>ROUND(VLOOKUP(1,enemy_base_stats!$A:$F,3,FALSE) * Z1160*K1160*P1160*F1160*T1160*AE1160 * W1160*[2]ステータス!$C$2,0)</f>
        <v>356</v>
      </c>
      <c r="AI1160" s="99">
        <f>ROUND(VLOOKUP(1,enemy_base_stats!$A:$F,4,FALSE) * AA1160*L1160*Q1160*G1160*U1160*AF1160*[2]ステータス!$D$2,0)</f>
        <v>0</v>
      </c>
      <c r="AJ1160" s="99">
        <f>ROUND(VLOOKUP(100,enemy_base_stats!$A:$F,2,FALSE) * Y1160* J1160*O1160*E1160*S1160*AD1160*[2]ステータス!$B$2,0)</f>
        <v>176001</v>
      </c>
      <c r="AK1160" s="99">
        <f>ROUND(VLOOKUP(100,enemy_base_stats!$A:$F,3,FALSE)* Z1160* K1160*P1160*F1160*T1160*AE1160 * W1160*[2]ステータス!$C$2,0)</f>
        <v>14447</v>
      </c>
      <c r="AL1160" s="99">
        <f>ROUND(VLOOKUP(100,enemy_base_stats!$A:$F,4,FALSE)* AA1160* L1160*Q1160*G1160*U1160*AF1160*[2]ステータス!$D$2,0)</f>
        <v>0</v>
      </c>
      <c r="AM1160" s="97">
        <f>VLOOKUP(M1160,[2]character_tribe_i18n!$A:$I,9,FALSE)</f>
        <v>400</v>
      </c>
      <c r="AN1160" s="36">
        <v>0</v>
      </c>
      <c r="AO1160" s="53">
        <v>0</v>
      </c>
      <c r="AP1160" s="58" t="s">
        <v>72</v>
      </c>
      <c r="AQ1160" s="71">
        <f t="shared" ref="AQ1160:AQ1215" si="64">A1160</f>
        <v>1159</v>
      </c>
    </row>
    <row r="1161" spans="1:43" ht="21" customHeight="1" x14ac:dyDescent="0.15">
      <c r="A1161" s="7">
        <v>1160</v>
      </c>
      <c r="B1161" s="6" t="str">
        <f>VLOOKUP(A1161,[2]characters!$A:$C,3,FALSE)</f>
        <v>拡命の大群論 ガロア</v>
      </c>
      <c r="C1161" s="9">
        <f>VLOOKUP(A1161,[2]characters!$A:$I,9,FALSE)</f>
        <v>6</v>
      </c>
      <c r="D1161" s="9" t="str">
        <f>VLOOKUP(A1161,[2]characters!$A:$H,8,FALSE)</f>
        <v>green</v>
      </c>
      <c r="E1161" s="24">
        <f>VLOOKUP(D1161,[2]属性!$A:$E,2,FALSE)</f>
        <v>1.02</v>
      </c>
      <c r="F1161" s="24">
        <f>VLOOKUP(D1161,[2]属性!$A:$E,3,FALSE)</f>
        <v>0.98</v>
      </c>
      <c r="G1161" s="24">
        <f>VLOOKUP(D1161,[2]属性!$A:$F,4,FALSE)</f>
        <v>1</v>
      </c>
      <c r="H1161" s="9" t="str">
        <f>VLOOKUP(A1161,[2]characters!$A:$K,11,FALSE)</f>
        <v>attack</v>
      </c>
      <c r="I1161" s="14" t="str">
        <f>VLOOKUP(H1161,[2]character_type_i18n!$A:$F,3,FALSE)</f>
        <v>攻撃タイプ</v>
      </c>
      <c r="J1161" s="36">
        <f>VLOOKUP(H1161,[2]character_type_i18n!$A:$F,4,FALSE)</f>
        <v>1</v>
      </c>
      <c r="K1161" s="36">
        <f>VLOOKUP(H1161,[2]character_type_i18n!$A:$F,5,FALSE)</f>
        <v>1.33</v>
      </c>
      <c r="L1161" s="36">
        <f>VLOOKUP(H1161,[2]character_type_i18n!$A:$F,6,FALSE)</f>
        <v>1</v>
      </c>
      <c r="M1161" s="9" t="str">
        <f>VLOOKUP(A1161,[2]characters!$A:$M,13,FALSE)</f>
        <v>academia</v>
      </c>
      <c r="N1161" s="14" t="str">
        <f>VLOOKUP(M1161,[2]character_tribe_i18n!$A:$F,3,FALSE)</f>
        <v>アカデミア</v>
      </c>
      <c r="O1161" s="24">
        <f>VLOOKUP(M1161,[2]character_tribe_i18n!$A:$F,4,FALSE)</f>
        <v>1</v>
      </c>
      <c r="P1161" s="24">
        <f>VLOOKUP(M1161,[2]character_tribe_i18n!$A:$F,5,FALSE)</f>
        <v>1</v>
      </c>
      <c r="Q1161" s="24">
        <f>VLOOKUP(M1161,[2]character_tribe_i18n!$A:$F,6,FALSE)</f>
        <v>1</v>
      </c>
      <c r="R1161" s="25" t="s">
        <v>98</v>
      </c>
      <c r="S1161" s="24">
        <f>VLOOKUP($R1161,ラベル別係数!$A$1:$E$7,3,FALSE)</f>
        <v>5</v>
      </c>
      <c r="T1161" s="24">
        <f>VLOOKUP($R1161,ラベル別係数!$A$1:$E$7,4,FALSE)</f>
        <v>1.3</v>
      </c>
      <c r="U1161" s="24">
        <f>VLOOKUP($R1161,ラベル別係数!$A$1:$E$7,5,FALSE)</f>
        <v>0.8</v>
      </c>
      <c r="V1161" s="27">
        <v>3</v>
      </c>
      <c r="W1161" s="28">
        <f>VLOOKUP(V1161,ターン数別攻撃係数!$A$1:$B$1000,2,FALSE)</f>
        <v>1</v>
      </c>
      <c r="X1161" s="9">
        <f>VLOOKUP(C1161,サイズ別係数!A$2:B$9,2,FALSE)</f>
        <v>60</v>
      </c>
      <c r="Y1161" s="26">
        <f>VLOOKUP($X1161,サイズ別係数!$B:$E,2,FALSE)</f>
        <v>1.7</v>
      </c>
      <c r="Z1161" s="26">
        <f>VLOOKUP($X1161,サイズ別係数!$B:$E,3,FALSE)</f>
        <v>1.4</v>
      </c>
      <c r="AA1161" s="26">
        <f>VLOOKUP($X1161,サイズ別係数!$B:$E,4,FALSE)</f>
        <v>1</v>
      </c>
      <c r="AB1161" s="5">
        <v>0</v>
      </c>
      <c r="AC1161" s="34" t="str">
        <f ca="1">VLOOKUP($AB1161,OFFSET([3]enemy_skill_sets!$B$2,0,0,COUNTA([3]enemy_skill_sets!$A:$A),MATCH(AC$1,[3]enemy_skill_sets!$1:$1,0)-MATCH($AB$1,[3]enemy_skill_sets!$1:$1,0)+1),MATCH(AC$1,[3]enemy_skill_sets!$1:$1,0)-MATCH($AB$1,[3]enemy_skill_sets!$1:$1,0)+1,FALSE)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1" s="67">
        <v>1</v>
      </c>
      <c r="AE1161" s="67">
        <v>1</v>
      </c>
      <c r="AF1161" s="37">
        <v>0</v>
      </c>
      <c r="AG1161" s="99">
        <f>ROUND(VLOOKUP(1,enemy_base_stats!$A:$F,2,FALSE) * Y1161* J1161*O1161*E1161*S1161*AD1161*[2]ステータス!$B$2,0)</f>
        <v>4335</v>
      </c>
      <c r="AH1161" s="99">
        <f>ROUND(VLOOKUP(1,enemy_base_stats!$A:$F,3,FALSE) * Z1161*K1161*P1161*F1161*T1161*AE1161 * W1161*[2]ステータス!$C$2,0)</f>
        <v>356</v>
      </c>
      <c r="AI1161" s="99">
        <f>ROUND(VLOOKUP(1,enemy_base_stats!$A:$F,4,FALSE) * AA1161*L1161*Q1161*G1161*U1161*AF1161*[2]ステータス!$D$2,0)</f>
        <v>0</v>
      </c>
      <c r="AJ1161" s="99">
        <f>ROUND(VLOOKUP(100,enemy_base_stats!$A:$F,2,FALSE) * Y1161* J1161*O1161*E1161*S1161*AD1161*[2]ステータス!$B$2,0)</f>
        <v>176001</v>
      </c>
      <c r="AK1161" s="99">
        <f>ROUND(VLOOKUP(100,enemy_base_stats!$A:$F,3,FALSE)* Z1161* K1161*P1161*F1161*T1161*AE1161 * W1161*[2]ステータス!$C$2,0)</f>
        <v>14447</v>
      </c>
      <c r="AL1161" s="99">
        <f>ROUND(VLOOKUP(100,enemy_base_stats!$A:$F,4,FALSE)* AA1161* L1161*Q1161*G1161*U1161*AF1161*[2]ステータス!$D$2,0)</f>
        <v>0</v>
      </c>
      <c r="AM1161" s="97">
        <f>VLOOKUP(M1161,[2]character_tribe_i18n!$A:$I,9,FALSE)</f>
        <v>400</v>
      </c>
      <c r="AN1161" s="36">
        <v>0</v>
      </c>
      <c r="AO1161" s="53">
        <v>0</v>
      </c>
      <c r="AP1161" s="58" t="s">
        <v>72</v>
      </c>
      <c r="AQ1161" s="71">
        <f t="shared" si="64"/>
        <v>1160</v>
      </c>
    </row>
    <row r="1162" spans="1:43" ht="21" customHeight="1" x14ac:dyDescent="0.15">
      <c r="A1162" s="7">
        <v>1161</v>
      </c>
      <c r="B1162" s="6" t="str">
        <f>VLOOKUP(A1162,[2]characters!$A:$C,3,FALSE)</f>
        <v>ヒルベルト</v>
      </c>
      <c r="C1162" s="9">
        <f>VLOOKUP(A1162,[2]characters!$A:$I,9,FALSE)</f>
        <v>5</v>
      </c>
      <c r="D1162" s="9" t="str">
        <f>VLOOKUP(A1162,[2]characters!$A:$H,8,FALSE)</f>
        <v>yellow</v>
      </c>
      <c r="E1162" s="24">
        <f>VLOOKUP(D1162,[2]属性!$A:$E,2,FALSE)</f>
        <v>0.98</v>
      </c>
      <c r="F1162" s="24">
        <f>VLOOKUP(D1162,[2]属性!$A:$E,3,FALSE)</f>
        <v>1.01</v>
      </c>
      <c r="G1162" s="24">
        <f>VLOOKUP(D1162,[2]属性!$A:$F,4,FALSE)</f>
        <v>1</v>
      </c>
      <c r="H1162" s="9" t="str">
        <f>VLOOKUP(A1162,[2]characters!$A:$K,11,FALSE)</f>
        <v>attack</v>
      </c>
      <c r="I1162" s="14" t="str">
        <f>VLOOKUP(H1162,[2]character_type_i18n!$A:$F,3,FALSE)</f>
        <v>攻撃タイプ</v>
      </c>
      <c r="J1162" s="36">
        <f>VLOOKUP(H1162,[2]character_type_i18n!$A:$F,4,FALSE)</f>
        <v>1</v>
      </c>
      <c r="K1162" s="36">
        <f>VLOOKUP(H1162,[2]character_type_i18n!$A:$F,5,FALSE)</f>
        <v>1.33</v>
      </c>
      <c r="L1162" s="36">
        <f>VLOOKUP(H1162,[2]character_type_i18n!$A:$F,6,FALSE)</f>
        <v>1</v>
      </c>
      <c r="M1162" s="9" t="str">
        <f>VLOOKUP(A1162,[2]characters!$A:$M,13,FALSE)</f>
        <v>academia</v>
      </c>
      <c r="N1162" s="14" t="str">
        <f>VLOOKUP(M1162,[2]character_tribe_i18n!$A:$F,3,FALSE)</f>
        <v>アカデミア</v>
      </c>
      <c r="O1162" s="24">
        <f>VLOOKUP(M1162,[2]character_tribe_i18n!$A:$F,4,FALSE)</f>
        <v>1</v>
      </c>
      <c r="P1162" s="24">
        <f>VLOOKUP(M1162,[2]character_tribe_i18n!$A:$F,5,FALSE)</f>
        <v>1</v>
      </c>
      <c r="Q1162" s="24">
        <f>VLOOKUP(M1162,[2]character_tribe_i18n!$A:$F,6,FALSE)</f>
        <v>1</v>
      </c>
      <c r="R1162" s="25" t="s">
        <v>98</v>
      </c>
      <c r="S1162" s="24">
        <f>VLOOKUP($R1162,ラベル別係数!$A$1:$E$7,3,FALSE)</f>
        <v>5</v>
      </c>
      <c r="T1162" s="24">
        <f>VLOOKUP($R1162,ラベル別係数!$A$1:$E$7,4,FALSE)</f>
        <v>1.3</v>
      </c>
      <c r="U1162" s="24">
        <f>VLOOKUP($R1162,ラベル別係数!$A$1:$E$7,5,FALSE)</f>
        <v>0.8</v>
      </c>
      <c r="V1162" s="27">
        <v>3</v>
      </c>
      <c r="W1162" s="28">
        <f>VLOOKUP(V1162,ターン数別攻撃係数!$A$1:$B$1000,2,FALSE)</f>
        <v>1</v>
      </c>
      <c r="X1162" s="9">
        <f>VLOOKUP(C1162,サイズ別係数!A$2:B$9,2,FALSE)</f>
        <v>60</v>
      </c>
      <c r="Y1162" s="26">
        <f>VLOOKUP($X1162,サイズ別係数!$B:$E,2,FALSE)</f>
        <v>1.7</v>
      </c>
      <c r="Z1162" s="26">
        <f>VLOOKUP($X1162,サイズ別係数!$B:$E,3,FALSE)</f>
        <v>1.4</v>
      </c>
      <c r="AA1162" s="26">
        <f>VLOOKUP($X1162,サイズ別係数!$B:$E,4,FALSE)</f>
        <v>1</v>
      </c>
      <c r="AB1162" s="5">
        <v>0</v>
      </c>
      <c r="AC1162" s="34" t="str">
        <f ca="1">VLOOKUP($AB1162,OFFSET([3]enemy_skill_sets!$B$2,0,0,COUNTA([3]enemy_skill_sets!$A:$A),MATCH(AC$1,[3]enemy_skill_sets!$1:$1,0)-MATCH($AB$1,[3]enemy_skill_sets!$1:$1,0)+1),MATCH(AC$1,[3]enemy_skill_sets!$1:$1,0)-MATCH($AB$1,[3]enemy_skill_sets!$1:$1,0)+1,FALSE)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2" s="67">
        <v>1</v>
      </c>
      <c r="AE1162" s="67">
        <v>1</v>
      </c>
      <c r="AF1162" s="37">
        <v>0</v>
      </c>
      <c r="AG1162" s="99">
        <f>ROUND(VLOOKUP(1,enemy_base_stats!$A:$F,2,FALSE) * Y1162* J1162*O1162*E1162*S1162*AD1162*[2]ステータス!$B$2,0)</f>
        <v>4165</v>
      </c>
      <c r="AH1162" s="99">
        <f>ROUND(VLOOKUP(1,enemy_base_stats!$A:$F,3,FALSE) * Z1162*K1162*P1162*F1162*T1162*AE1162 * W1162*[2]ステータス!$C$2,0)</f>
        <v>367</v>
      </c>
      <c r="AI1162" s="99">
        <f>ROUND(VLOOKUP(1,enemy_base_stats!$A:$F,4,FALSE) * AA1162*L1162*Q1162*G1162*U1162*AF1162*[2]ステータス!$D$2,0)</f>
        <v>0</v>
      </c>
      <c r="AJ1162" s="99">
        <f>ROUND(VLOOKUP(100,enemy_base_stats!$A:$F,2,FALSE) * Y1162* J1162*O1162*E1162*S1162*AD1162*[2]ステータス!$B$2,0)</f>
        <v>169099</v>
      </c>
      <c r="AK1162" s="99">
        <f>ROUND(VLOOKUP(100,enemy_base_stats!$A:$F,3,FALSE)* Z1162* K1162*P1162*F1162*T1162*AE1162 * W1162*[2]ステータス!$C$2,0)</f>
        <v>14889</v>
      </c>
      <c r="AL1162" s="99">
        <f>ROUND(VLOOKUP(100,enemy_base_stats!$A:$F,4,FALSE)* AA1162* L1162*Q1162*G1162*U1162*AF1162*[2]ステータス!$D$2,0)</f>
        <v>0</v>
      </c>
      <c r="AM1162" s="97">
        <f>VLOOKUP(M1162,[2]character_tribe_i18n!$A:$I,9,FALSE)</f>
        <v>400</v>
      </c>
      <c r="AN1162" s="36">
        <v>0</v>
      </c>
      <c r="AO1162" s="53">
        <v>0</v>
      </c>
      <c r="AP1162" s="58" t="s">
        <v>72</v>
      </c>
      <c r="AQ1162" s="71">
        <f t="shared" si="64"/>
        <v>1161</v>
      </c>
    </row>
    <row r="1163" spans="1:43" ht="21" customHeight="1" x14ac:dyDescent="0.15">
      <c r="A1163" s="7">
        <v>1162</v>
      </c>
      <c r="B1163" s="6" t="str">
        <f>VLOOKUP(A1163,[2]characters!$A:$C,3,FALSE)</f>
        <v>夢験次元の抽唱 ヒルベルト</v>
      </c>
      <c r="C1163" s="9">
        <f>VLOOKUP(A1163,[2]characters!$A:$I,9,FALSE)</f>
        <v>6</v>
      </c>
      <c r="D1163" s="9" t="str">
        <f>VLOOKUP(A1163,[2]characters!$A:$H,8,FALSE)</f>
        <v>yellow</v>
      </c>
      <c r="E1163" s="24">
        <f>VLOOKUP(D1163,[2]属性!$A:$E,2,FALSE)</f>
        <v>0.98</v>
      </c>
      <c r="F1163" s="24">
        <f>VLOOKUP(D1163,[2]属性!$A:$E,3,FALSE)</f>
        <v>1.01</v>
      </c>
      <c r="G1163" s="24">
        <f>VLOOKUP(D1163,[2]属性!$A:$F,4,FALSE)</f>
        <v>1</v>
      </c>
      <c r="H1163" s="9" t="str">
        <f>VLOOKUP(A1163,[2]characters!$A:$K,11,FALSE)</f>
        <v>attack</v>
      </c>
      <c r="I1163" s="14" t="str">
        <f>VLOOKUP(H1163,[2]character_type_i18n!$A:$F,3,FALSE)</f>
        <v>攻撃タイプ</v>
      </c>
      <c r="J1163" s="36">
        <f>VLOOKUP(H1163,[2]character_type_i18n!$A:$F,4,FALSE)</f>
        <v>1</v>
      </c>
      <c r="K1163" s="36">
        <f>VLOOKUP(H1163,[2]character_type_i18n!$A:$F,5,FALSE)</f>
        <v>1.33</v>
      </c>
      <c r="L1163" s="36">
        <f>VLOOKUP(H1163,[2]character_type_i18n!$A:$F,6,FALSE)</f>
        <v>1</v>
      </c>
      <c r="M1163" s="9" t="str">
        <f>VLOOKUP(A1163,[2]characters!$A:$M,13,FALSE)</f>
        <v>academia</v>
      </c>
      <c r="N1163" s="14" t="str">
        <f>VLOOKUP(M1163,[2]character_tribe_i18n!$A:$F,3,FALSE)</f>
        <v>アカデミア</v>
      </c>
      <c r="O1163" s="24">
        <f>VLOOKUP(M1163,[2]character_tribe_i18n!$A:$F,4,FALSE)</f>
        <v>1</v>
      </c>
      <c r="P1163" s="24">
        <f>VLOOKUP(M1163,[2]character_tribe_i18n!$A:$F,5,FALSE)</f>
        <v>1</v>
      </c>
      <c r="Q1163" s="24">
        <f>VLOOKUP(M1163,[2]character_tribe_i18n!$A:$F,6,FALSE)</f>
        <v>1</v>
      </c>
      <c r="R1163" s="25" t="s">
        <v>98</v>
      </c>
      <c r="S1163" s="24">
        <f>VLOOKUP($R1163,ラベル別係数!$A$1:$E$7,3,FALSE)</f>
        <v>5</v>
      </c>
      <c r="T1163" s="24">
        <f>VLOOKUP($R1163,ラベル別係数!$A$1:$E$7,4,FALSE)</f>
        <v>1.3</v>
      </c>
      <c r="U1163" s="24">
        <f>VLOOKUP($R1163,ラベル別係数!$A$1:$E$7,5,FALSE)</f>
        <v>0.8</v>
      </c>
      <c r="V1163" s="27">
        <v>3</v>
      </c>
      <c r="W1163" s="28">
        <f>VLOOKUP(V1163,ターン数別攻撃係数!$A$1:$B$1000,2,FALSE)</f>
        <v>1</v>
      </c>
      <c r="X1163" s="9">
        <f>VLOOKUP(C1163,サイズ別係数!A$2:B$9,2,FALSE)</f>
        <v>60</v>
      </c>
      <c r="Y1163" s="26">
        <f>VLOOKUP($X1163,サイズ別係数!$B:$E,2,FALSE)</f>
        <v>1.7</v>
      </c>
      <c r="Z1163" s="26">
        <f>VLOOKUP($X1163,サイズ別係数!$B:$E,3,FALSE)</f>
        <v>1.4</v>
      </c>
      <c r="AA1163" s="26">
        <f>VLOOKUP($X1163,サイズ別係数!$B:$E,4,FALSE)</f>
        <v>1</v>
      </c>
      <c r="AB1163" s="5">
        <v>0</v>
      </c>
      <c r="AC1163" s="34" t="str">
        <f ca="1">VLOOKUP($AB1163,OFFSET([3]enemy_skill_sets!$B$2,0,0,COUNTA([3]enemy_skill_sets!$A:$A),MATCH(AC$1,[3]enemy_skill_sets!$1:$1,0)-MATCH($AB$1,[3]enemy_skill_sets!$1:$1,0)+1),MATCH(AC$1,[3]enemy_skill_sets!$1:$1,0)-MATCH($AB$1,[3]enemy_skill_sets!$1:$1,0)+1,FALSE)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3" s="67">
        <v>1</v>
      </c>
      <c r="AE1163" s="67">
        <v>1</v>
      </c>
      <c r="AF1163" s="37">
        <v>0</v>
      </c>
      <c r="AG1163" s="99">
        <f>ROUND(VLOOKUP(1,enemy_base_stats!$A:$F,2,FALSE) * Y1163* J1163*O1163*E1163*S1163*AD1163*[2]ステータス!$B$2,0)</f>
        <v>4165</v>
      </c>
      <c r="AH1163" s="99">
        <f>ROUND(VLOOKUP(1,enemy_base_stats!$A:$F,3,FALSE) * Z1163*K1163*P1163*F1163*T1163*AE1163 * W1163*[2]ステータス!$C$2,0)</f>
        <v>367</v>
      </c>
      <c r="AI1163" s="99">
        <f>ROUND(VLOOKUP(1,enemy_base_stats!$A:$F,4,FALSE) * AA1163*L1163*Q1163*G1163*U1163*AF1163*[2]ステータス!$D$2,0)</f>
        <v>0</v>
      </c>
      <c r="AJ1163" s="99">
        <f>ROUND(VLOOKUP(100,enemy_base_stats!$A:$F,2,FALSE) * Y1163* J1163*O1163*E1163*S1163*AD1163*[2]ステータス!$B$2,0)</f>
        <v>169099</v>
      </c>
      <c r="AK1163" s="99">
        <f>ROUND(VLOOKUP(100,enemy_base_stats!$A:$F,3,FALSE)* Z1163* K1163*P1163*F1163*T1163*AE1163 * W1163*[2]ステータス!$C$2,0)</f>
        <v>14889</v>
      </c>
      <c r="AL1163" s="99">
        <f>ROUND(VLOOKUP(100,enemy_base_stats!$A:$F,4,FALSE)* AA1163* L1163*Q1163*G1163*U1163*AF1163*[2]ステータス!$D$2,0)</f>
        <v>0</v>
      </c>
      <c r="AM1163" s="97">
        <f>VLOOKUP(M1163,[2]character_tribe_i18n!$A:$I,9,FALSE)</f>
        <v>400</v>
      </c>
      <c r="AN1163" s="36">
        <v>0</v>
      </c>
      <c r="AO1163" s="53">
        <v>0</v>
      </c>
      <c r="AP1163" s="58" t="s">
        <v>72</v>
      </c>
      <c r="AQ1163" s="71">
        <f t="shared" si="64"/>
        <v>1162</v>
      </c>
    </row>
    <row r="1164" spans="1:43" ht="21" customHeight="1" x14ac:dyDescent="0.15">
      <c r="A1164" s="7">
        <v>1163</v>
      </c>
      <c r="B1164" s="6" t="str">
        <f>VLOOKUP(A1164,[2]characters!$A:$C,3,FALSE)</f>
        <v>命題唱鳴計画 ヒルベルト</v>
      </c>
      <c r="C1164" s="9">
        <f>VLOOKUP(A1164,[2]characters!$A:$I,9,FALSE)</f>
        <v>6</v>
      </c>
      <c r="D1164" s="9" t="str">
        <f>VLOOKUP(A1164,[2]characters!$A:$H,8,FALSE)</f>
        <v>yellow</v>
      </c>
      <c r="E1164" s="24">
        <f>VLOOKUP(D1164,[2]属性!$A:$E,2,FALSE)</f>
        <v>0.98</v>
      </c>
      <c r="F1164" s="24">
        <f>VLOOKUP(D1164,[2]属性!$A:$E,3,FALSE)</f>
        <v>1.01</v>
      </c>
      <c r="G1164" s="24">
        <f>VLOOKUP(D1164,[2]属性!$A:$F,4,FALSE)</f>
        <v>1</v>
      </c>
      <c r="H1164" s="9" t="str">
        <f>VLOOKUP(A1164,[2]characters!$A:$K,11,FALSE)</f>
        <v>attack</v>
      </c>
      <c r="I1164" s="14" t="str">
        <f>VLOOKUP(H1164,[2]character_type_i18n!$A:$F,3,FALSE)</f>
        <v>攻撃タイプ</v>
      </c>
      <c r="J1164" s="36">
        <f>VLOOKUP(H1164,[2]character_type_i18n!$A:$F,4,FALSE)</f>
        <v>1</v>
      </c>
      <c r="K1164" s="36">
        <f>VLOOKUP(H1164,[2]character_type_i18n!$A:$F,5,FALSE)</f>
        <v>1.33</v>
      </c>
      <c r="L1164" s="36">
        <f>VLOOKUP(H1164,[2]character_type_i18n!$A:$F,6,FALSE)</f>
        <v>1</v>
      </c>
      <c r="M1164" s="9" t="str">
        <f>VLOOKUP(A1164,[2]characters!$A:$M,13,FALSE)</f>
        <v>academia</v>
      </c>
      <c r="N1164" s="14" t="str">
        <f>VLOOKUP(M1164,[2]character_tribe_i18n!$A:$F,3,FALSE)</f>
        <v>アカデミア</v>
      </c>
      <c r="O1164" s="24">
        <f>VLOOKUP(M1164,[2]character_tribe_i18n!$A:$F,4,FALSE)</f>
        <v>1</v>
      </c>
      <c r="P1164" s="24">
        <f>VLOOKUP(M1164,[2]character_tribe_i18n!$A:$F,5,FALSE)</f>
        <v>1</v>
      </c>
      <c r="Q1164" s="24">
        <f>VLOOKUP(M1164,[2]character_tribe_i18n!$A:$F,6,FALSE)</f>
        <v>1</v>
      </c>
      <c r="R1164" s="25" t="s">
        <v>98</v>
      </c>
      <c r="S1164" s="24">
        <f>VLOOKUP($R1164,ラベル別係数!$A$1:$E$7,3,FALSE)</f>
        <v>5</v>
      </c>
      <c r="T1164" s="24">
        <f>VLOOKUP($R1164,ラベル別係数!$A$1:$E$7,4,FALSE)</f>
        <v>1.3</v>
      </c>
      <c r="U1164" s="24">
        <f>VLOOKUP($R1164,ラベル別係数!$A$1:$E$7,5,FALSE)</f>
        <v>0.8</v>
      </c>
      <c r="V1164" s="27">
        <v>3</v>
      </c>
      <c r="W1164" s="28">
        <f>VLOOKUP(V1164,ターン数別攻撃係数!$A$1:$B$1000,2,FALSE)</f>
        <v>1</v>
      </c>
      <c r="X1164" s="9">
        <f>VLOOKUP(C1164,サイズ別係数!A$2:B$9,2,FALSE)</f>
        <v>60</v>
      </c>
      <c r="Y1164" s="26">
        <f>VLOOKUP($X1164,サイズ別係数!$B:$E,2,FALSE)</f>
        <v>1.7</v>
      </c>
      <c r="Z1164" s="26">
        <f>VLOOKUP($X1164,サイズ別係数!$B:$E,3,FALSE)</f>
        <v>1.4</v>
      </c>
      <c r="AA1164" s="26">
        <f>VLOOKUP($X1164,サイズ別係数!$B:$E,4,FALSE)</f>
        <v>1</v>
      </c>
      <c r="AB1164" s="5">
        <v>0</v>
      </c>
      <c r="AC1164" s="34" t="str">
        <f ca="1">VLOOKUP($AB1164,OFFSET([3]enemy_skill_sets!$B$2,0,0,COUNTA([3]enemy_skill_sets!$A:$A),MATCH(AC$1,[3]enemy_skill_sets!$1:$1,0)-MATCH($AB$1,[3]enemy_skill_sets!$1:$1,0)+1),MATCH(AC$1,[3]enemy_skill_sets!$1:$1,0)-MATCH($AB$1,[3]enemy_skill_sets!$1:$1,0)+1,FALSE)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4" s="67">
        <v>1</v>
      </c>
      <c r="AE1164" s="67">
        <v>1</v>
      </c>
      <c r="AF1164" s="37">
        <v>0</v>
      </c>
      <c r="AG1164" s="99">
        <f>ROUND(VLOOKUP(1,enemy_base_stats!$A:$F,2,FALSE) * Y1164* J1164*O1164*E1164*S1164*AD1164*[2]ステータス!$B$2,0)</f>
        <v>4165</v>
      </c>
      <c r="AH1164" s="99">
        <f>ROUND(VLOOKUP(1,enemy_base_stats!$A:$F,3,FALSE) * Z1164*K1164*P1164*F1164*T1164*AE1164 * W1164*[2]ステータス!$C$2,0)</f>
        <v>367</v>
      </c>
      <c r="AI1164" s="99">
        <f>ROUND(VLOOKUP(1,enemy_base_stats!$A:$F,4,FALSE) * AA1164*L1164*Q1164*G1164*U1164*AF1164*[2]ステータス!$D$2,0)</f>
        <v>0</v>
      </c>
      <c r="AJ1164" s="99">
        <f>ROUND(VLOOKUP(100,enemy_base_stats!$A:$F,2,FALSE) * Y1164* J1164*O1164*E1164*S1164*AD1164*[2]ステータス!$B$2,0)</f>
        <v>169099</v>
      </c>
      <c r="AK1164" s="99">
        <f>ROUND(VLOOKUP(100,enemy_base_stats!$A:$F,3,FALSE)* Z1164* K1164*P1164*F1164*T1164*AE1164 * W1164*[2]ステータス!$C$2,0)</f>
        <v>14889</v>
      </c>
      <c r="AL1164" s="99">
        <f>ROUND(VLOOKUP(100,enemy_base_stats!$A:$F,4,FALSE)* AA1164* L1164*Q1164*G1164*U1164*AF1164*[2]ステータス!$D$2,0)</f>
        <v>0</v>
      </c>
      <c r="AM1164" s="97">
        <f>VLOOKUP(M1164,[2]character_tribe_i18n!$A:$I,9,FALSE)</f>
        <v>400</v>
      </c>
      <c r="AN1164" s="36">
        <v>0</v>
      </c>
      <c r="AO1164" s="53">
        <v>0</v>
      </c>
      <c r="AP1164" s="58" t="s">
        <v>72</v>
      </c>
      <c r="AQ1164" s="71">
        <f t="shared" si="64"/>
        <v>1163</v>
      </c>
    </row>
    <row r="1165" spans="1:43" ht="21" customHeight="1" x14ac:dyDescent="0.15">
      <c r="A1165" s="7">
        <v>1164</v>
      </c>
      <c r="B1165" s="6" t="str">
        <f>VLOOKUP(A1165,[2]characters!$A:$C,3,FALSE)</f>
        <v>ガンバンテイン</v>
      </c>
      <c r="C1165" s="9">
        <f>VLOOKUP(A1165,[2]characters!$A:$I,9,FALSE)</f>
        <v>5</v>
      </c>
      <c r="D1165" s="9" t="str">
        <f>VLOOKUP(A1165,[2]characters!$A:$H,8,FALSE)</f>
        <v>red</v>
      </c>
      <c r="E1165" s="24">
        <f>VLOOKUP(D1165,[2]属性!$A:$E,2,FALSE)</f>
        <v>1</v>
      </c>
      <c r="F1165" s="24">
        <f>VLOOKUP(D1165,[2]属性!$A:$E,3,FALSE)</f>
        <v>1.02</v>
      </c>
      <c r="G1165" s="24">
        <f>VLOOKUP(D1165,[2]属性!$A:$F,4,FALSE)</f>
        <v>1</v>
      </c>
      <c r="H1165" s="9" t="str">
        <f>VLOOKUP(A1165,[2]characters!$A:$K,11,FALSE)</f>
        <v>heal</v>
      </c>
      <c r="I1165" s="14" t="str">
        <f>VLOOKUP(H1165,[2]character_type_i18n!$A:$F,3,FALSE)</f>
        <v>回復タイプ</v>
      </c>
      <c r="J1165" s="36">
        <f>VLOOKUP(H1165,[2]character_type_i18n!$A:$F,4,FALSE)</f>
        <v>0.8</v>
      </c>
      <c r="K1165" s="36">
        <f>VLOOKUP(H1165,[2]character_type_i18n!$A:$F,5,FALSE)</f>
        <v>0.78</v>
      </c>
      <c r="L1165" s="36">
        <f>VLOOKUP(H1165,[2]character_type_i18n!$A:$F,6,FALSE)</f>
        <v>1</v>
      </c>
      <c r="M1165" s="9" t="str">
        <f>VLOOKUP(A1165,[2]characters!$A:$M,13,FALSE)</f>
        <v>weapon</v>
      </c>
      <c r="N1165" s="14" t="str">
        <f>VLOOKUP(M1165,[2]character_tribe_i18n!$A:$F,3,FALSE)</f>
        <v>ウェポン</v>
      </c>
      <c r="O1165" s="24">
        <f>VLOOKUP(M1165,[2]character_tribe_i18n!$A:$F,4,FALSE)</f>
        <v>1</v>
      </c>
      <c r="P1165" s="24">
        <f>VLOOKUP(M1165,[2]character_tribe_i18n!$A:$F,5,FALSE)</f>
        <v>1</v>
      </c>
      <c r="Q1165" s="24">
        <f>VLOOKUP(M1165,[2]character_tribe_i18n!$A:$F,6,FALSE)</f>
        <v>1</v>
      </c>
      <c r="R1165" s="25" t="s">
        <v>98</v>
      </c>
      <c r="S1165" s="24">
        <f>VLOOKUP($R1165,ラベル別係数!$A$1:$E$7,3,FALSE)</f>
        <v>5</v>
      </c>
      <c r="T1165" s="24">
        <f>VLOOKUP($R1165,ラベル別係数!$A$1:$E$7,4,FALSE)</f>
        <v>1.3</v>
      </c>
      <c r="U1165" s="24">
        <f>VLOOKUP($R1165,ラベル別係数!$A$1:$E$7,5,FALSE)</f>
        <v>0.8</v>
      </c>
      <c r="V1165" s="27">
        <v>3</v>
      </c>
      <c r="W1165" s="28">
        <f>VLOOKUP(V1165,ターン数別攻撃係数!$A$1:$B$1000,2,FALSE)</f>
        <v>1</v>
      </c>
      <c r="X1165" s="9">
        <f>VLOOKUP(C1165,サイズ別係数!A$2:B$9,2,FALSE)</f>
        <v>60</v>
      </c>
      <c r="Y1165" s="26">
        <f>VLOOKUP($X1165,サイズ別係数!$B:$E,2,FALSE)</f>
        <v>1.7</v>
      </c>
      <c r="Z1165" s="26">
        <f>VLOOKUP($X1165,サイズ別係数!$B:$E,3,FALSE)</f>
        <v>1.4</v>
      </c>
      <c r="AA1165" s="26">
        <f>VLOOKUP($X1165,サイズ別係数!$B:$E,4,FALSE)</f>
        <v>1</v>
      </c>
      <c r="AB1165" s="5">
        <v>0</v>
      </c>
      <c r="AC1165" s="34" t="str">
        <f ca="1">VLOOKUP($AB1165,OFFSET([3]enemy_skill_sets!$B$2,0,0,COUNTA([3]enemy_skill_sets!$A:$A),MATCH(AC$1,[3]enemy_skill_sets!$1:$1,0)-MATCH($AB$1,[3]enemy_skill_sets!$1:$1,0)+1),MATCH(AC$1,[3]enemy_skill_sets!$1:$1,0)-MATCH($AB$1,[3]enemy_skill_sets!$1:$1,0)+1,FALSE)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5" s="67">
        <v>1</v>
      </c>
      <c r="AE1165" s="67">
        <v>1</v>
      </c>
      <c r="AF1165" s="37">
        <v>0</v>
      </c>
      <c r="AG1165" s="99">
        <f>ROUND(VLOOKUP(1,enemy_base_stats!$A:$F,2,FALSE) * Y1165* J1165*O1165*E1165*S1165*AD1165*[2]ステータス!$B$2,0)</f>
        <v>3400</v>
      </c>
      <c r="AH1165" s="99">
        <f>ROUND(VLOOKUP(1,enemy_base_stats!$A:$F,3,FALSE) * Z1165*K1165*P1165*F1165*T1165*AE1165 * W1165*[2]ステータス!$C$2,0)</f>
        <v>217</v>
      </c>
      <c r="AI1165" s="99">
        <f>ROUND(VLOOKUP(1,enemy_base_stats!$A:$F,4,FALSE) * AA1165*L1165*Q1165*G1165*U1165*AF1165*[2]ステータス!$D$2,0)</f>
        <v>0</v>
      </c>
      <c r="AJ1165" s="99">
        <f>ROUND(VLOOKUP(100,enemy_base_stats!$A:$F,2,FALSE) * Y1165* J1165*O1165*E1165*S1165*AD1165*[2]ステータス!$B$2,0)</f>
        <v>138040</v>
      </c>
      <c r="AK1165" s="99">
        <f>ROUND(VLOOKUP(100,enemy_base_stats!$A:$F,3,FALSE)* Z1165* K1165*P1165*F1165*T1165*AE1165 * W1165*[2]ステータス!$C$2,0)</f>
        <v>8818</v>
      </c>
      <c r="AL1165" s="99">
        <f>ROUND(VLOOKUP(100,enemy_base_stats!$A:$F,4,FALSE)* AA1165* L1165*Q1165*G1165*U1165*AF1165*[2]ステータス!$D$2,0)</f>
        <v>0</v>
      </c>
      <c r="AM1165" s="97">
        <f>VLOOKUP(M1165,[2]character_tribe_i18n!$A:$I,9,FALSE)</f>
        <v>400</v>
      </c>
      <c r="AN1165" s="36">
        <v>0</v>
      </c>
      <c r="AO1165" s="53">
        <v>0</v>
      </c>
      <c r="AP1165" s="58" t="s">
        <v>72</v>
      </c>
      <c r="AQ1165" s="71">
        <f t="shared" si="64"/>
        <v>1164</v>
      </c>
    </row>
    <row r="1166" spans="1:43" ht="21" customHeight="1" x14ac:dyDescent="0.15">
      <c r="A1166" s="7">
        <v>1165</v>
      </c>
      <c r="B1166" s="6" t="str">
        <f>VLOOKUP(A1166,[2]characters!$A:$C,3,FALSE)</f>
        <v>夢香華の耀杖 ガンバンテイン</v>
      </c>
      <c r="C1166" s="9">
        <f>VLOOKUP(A1166,[2]characters!$A:$I,9,FALSE)</f>
        <v>6</v>
      </c>
      <c r="D1166" s="9" t="str">
        <f>VLOOKUP(A1166,[2]characters!$A:$H,8,FALSE)</f>
        <v>red</v>
      </c>
      <c r="E1166" s="24">
        <f>VLOOKUP(D1166,[2]属性!$A:$E,2,FALSE)</f>
        <v>1</v>
      </c>
      <c r="F1166" s="24">
        <f>VLOOKUP(D1166,[2]属性!$A:$E,3,FALSE)</f>
        <v>1.02</v>
      </c>
      <c r="G1166" s="24">
        <f>VLOOKUP(D1166,[2]属性!$A:$F,4,FALSE)</f>
        <v>1</v>
      </c>
      <c r="H1166" s="9" t="str">
        <f>VLOOKUP(A1166,[2]characters!$A:$K,11,FALSE)</f>
        <v>heal</v>
      </c>
      <c r="I1166" s="14" t="str">
        <f>VLOOKUP(H1166,[2]character_type_i18n!$A:$F,3,FALSE)</f>
        <v>回復タイプ</v>
      </c>
      <c r="J1166" s="36">
        <f>VLOOKUP(H1166,[2]character_type_i18n!$A:$F,4,FALSE)</f>
        <v>0.8</v>
      </c>
      <c r="K1166" s="36">
        <f>VLOOKUP(H1166,[2]character_type_i18n!$A:$F,5,FALSE)</f>
        <v>0.78</v>
      </c>
      <c r="L1166" s="36">
        <f>VLOOKUP(H1166,[2]character_type_i18n!$A:$F,6,FALSE)</f>
        <v>1</v>
      </c>
      <c r="M1166" s="9" t="str">
        <f>VLOOKUP(A1166,[2]characters!$A:$M,13,FALSE)</f>
        <v>weapon</v>
      </c>
      <c r="N1166" s="14" t="str">
        <f>VLOOKUP(M1166,[2]character_tribe_i18n!$A:$F,3,FALSE)</f>
        <v>ウェポン</v>
      </c>
      <c r="O1166" s="24">
        <f>VLOOKUP(M1166,[2]character_tribe_i18n!$A:$F,4,FALSE)</f>
        <v>1</v>
      </c>
      <c r="P1166" s="24">
        <f>VLOOKUP(M1166,[2]character_tribe_i18n!$A:$F,5,FALSE)</f>
        <v>1</v>
      </c>
      <c r="Q1166" s="24">
        <f>VLOOKUP(M1166,[2]character_tribe_i18n!$A:$F,6,FALSE)</f>
        <v>1</v>
      </c>
      <c r="R1166" s="25" t="s">
        <v>98</v>
      </c>
      <c r="S1166" s="24">
        <f>VLOOKUP($R1166,ラベル別係数!$A$1:$E$7,3,FALSE)</f>
        <v>5</v>
      </c>
      <c r="T1166" s="24">
        <f>VLOOKUP($R1166,ラベル別係数!$A$1:$E$7,4,FALSE)</f>
        <v>1.3</v>
      </c>
      <c r="U1166" s="24">
        <f>VLOOKUP($R1166,ラベル別係数!$A$1:$E$7,5,FALSE)</f>
        <v>0.8</v>
      </c>
      <c r="V1166" s="27">
        <v>3</v>
      </c>
      <c r="W1166" s="28">
        <f>VLOOKUP(V1166,ターン数別攻撃係数!$A$1:$B$1000,2,FALSE)</f>
        <v>1</v>
      </c>
      <c r="X1166" s="9">
        <f>VLOOKUP(C1166,サイズ別係数!A$2:B$9,2,FALSE)</f>
        <v>60</v>
      </c>
      <c r="Y1166" s="26">
        <f>VLOOKUP($X1166,サイズ別係数!$B:$E,2,FALSE)</f>
        <v>1.7</v>
      </c>
      <c r="Z1166" s="26">
        <f>VLOOKUP($X1166,サイズ別係数!$B:$E,3,FALSE)</f>
        <v>1.4</v>
      </c>
      <c r="AA1166" s="26">
        <f>VLOOKUP($X1166,サイズ別係数!$B:$E,4,FALSE)</f>
        <v>1</v>
      </c>
      <c r="AB1166" s="5">
        <v>0</v>
      </c>
      <c r="AC1166" s="34" t="str">
        <f ca="1">VLOOKUP($AB1166,OFFSET([3]enemy_skill_sets!$B$2,0,0,COUNTA([3]enemy_skill_sets!$A:$A),MATCH(AC$1,[3]enemy_skill_sets!$1:$1,0)-MATCH($AB$1,[3]enemy_skill_sets!$1:$1,0)+1),MATCH(AC$1,[3]enemy_skill_sets!$1:$1,0)-MATCH($AB$1,[3]enemy_skill_sets!$1:$1,0)+1,FALSE)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6" s="67">
        <v>1</v>
      </c>
      <c r="AE1166" s="67">
        <v>1</v>
      </c>
      <c r="AF1166" s="37">
        <v>0</v>
      </c>
      <c r="AG1166" s="99">
        <f>ROUND(VLOOKUP(1,enemy_base_stats!$A:$F,2,FALSE) * Y1166* J1166*O1166*E1166*S1166*AD1166*[2]ステータス!$B$2,0)</f>
        <v>3400</v>
      </c>
      <c r="AH1166" s="99">
        <f>ROUND(VLOOKUP(1,enemy_base_stats!$A:$F,3,FALSE) * Z1166*K1166*P1166*F1166*T1166*AE1166 * W1166*[2]ステータス!$C$2,0)</f>
        <v>217</v>
      </c>
      <c r="AI1166" s="99">
        <f>ROUND(VLOOKUP(1,enemy_base_stats!$A:$F,4,FALSE) * AA1166*L1166*Q1166*G1166*U1166*AF1166*[2]ステータス!$D$2,0)</f>
        <v>0</v>
      </c>
      <c r="AJ1166" s="99">
        <f>ROUND(VLOOKUP(100,enemy_base_stats!$A:$F,2,FALSE) * Y1166* J1166*O1166*E1166*S1166*AD1166*[2]ステータス!$B$2,0)</f>
        <v>138040</v>
      </c>
      <c r="AK1166" s="99">
        <f>ROUND(VLOOKUP(100,enemy_base_stats!$A:$F,3,FALSE)* Z1166* K1166*P1166*F1166*T1166*AE1166 * W1166*[2]ステータス!$C$2,0)</f>
        <v>8818</v>
      </c>
      <c r="AL1166" s="99">
        <f>ROUND(VLOOKUP(100,enemy_base_stats!$A:$F,4,FALSE)* AA1166* L1166*Q1166*G1166*U1166*AF1166*[2]ステータス!$D$2,0)</f>
        <v>0</v>
      </c>
      <c r="AM1166" s="97">
        <f>VLOOKUP(M1166,[2]character_tribe_i18n!$A:$I,9,FALSE)</f>
        <v>400</v>
      </c>
      <c r="AN1166" s="36">
        <v>0</v>
      </c>
      <c r="AO1166" s="53">
        <v>0</v>
      </c>
      <c r="AP1166" s="58" t="s">
        <v>72</v>
      </c>
      <c r="AQ1166" s="71">
        <f t="shared" si="64"/>
        <v>1165</v>
      </c>
    </row>
    <row r="1167" spans="1:43" ht="21" customHeight="1" x14ac:dyDescent="0.15">
      <c r="A1167" s="7">
        <v>1166</v>
      </c>
      <c r="B1167" s="6" t="str">
        <f>VLOOKUP(A1167,[2]characters!$A:$C,3,FALSE)</f>
        <v>降魔宝杖</v>
      </c>
      <c r="C1167" s="9">
        <f>VLOOKUP(A1167,[2]characters!$A:$I,9,FALSE)</f>
        <v>5</v>
      </c>
      <c r="D1167" s="9" t="str">
        <f>VLOOKUP(A1167,[2]characters!$A:$H,8,FALSE)</f>
        <v>blue</v>
      </c>
      <c r="E1167" s="24">
        <f>VLOOKUP(D1167,[2]属性!$A:$E,2,FALSE)</f>
        <v>1</v>
      </c>
      <c r="F1167" s="24">
        <f>VLOOKUP(D1167,[2]属性!$A:$E,3,FALSE)</f>
        <v>0.98</v>
      </c>
      <c r="G1167" s="24">
        <f>VLOOKUP(D1167,[2]属性!$A:$F,4,FALSE)</f>
        <v>1</v>
      </c>
      <c r="H1167" s="9" t="str">
        <f>VLOOKUP(A1167,[2]characters!$A:$K,11,FALSE)</f>
        <v>attack</v>
      </c>
      <c r="I1167" s="14" t="str">
        <f>VLOOKUP(H1167,[2]character_type_i18n!$A:$F,3,FALSE)</f>
        <v>攻撃タイプ</v>
      </c>
      <c r="J1167" s="36">
        <f>VLOOKUP(H1167,[2]character_type_i18n!$A:$F,4,FALSE)</f>
        <v>1</v>
      </c>
      <c r="K1167" s="36">
        <f>VLOOKUP(H1167,[2]character_type_i18n!$A:$F,5,FALSE)</f>
        <v>1.33</v>
      </c>
      <c r="L1167" s="36">
        <f>VLOOKUP(H1167,[2]character_type_i18n!$A:$F,6,FALSE)</f>
        <v>1</v>
      </c>
      <c r="M1167" s="9" t="str">
        <f>VLOOKUP(A1167,[2]characters!$A:$M,13,FALSE)</f>
        <v>weapon</v>
      </c>
      <c r="N1167" s="14" t="str">
        <f>VLOOKUP(M1167,[2]character_tribe_i18n!$A:$F,3,FALSE)</f>
        <v>ウェポン</v>
      </c>
      <c r="O1167" s="24">
        <f>VLOOKUP(M1167,[2]character_tribe_i18n!$A:$F,4,FALSE)</f>
        <v>1</v>
      </c>
      <c r="P1167" s="24">
        <f>VLOOKUP(M1167,[2]character_tribe_i18n!$A:$F,5,FALSE)</f>
        <v>1</v>
      </c>
      <c r="Q1167" s="24">
        <f>VLOOKUP(M1167,[2]character_tribe_i18n!$A:$F,6,FALSE)</f>
        <v>1</v>
      </c>
      <c r="R1167" s="25" t="s">
        <v>98</v>
      </c>
      <c r="S1167" s="24">
        <f>VLOOKUP($R1167,ラベル別係数!$A$1:$E$7,3,FALSE)</f>
        <v>5</v>
      </c>
      <c r="T1167" s="24">
        <f>VLOOKUP($R1167,ラベル別係数!$A$1:$E$7,4,FALSE)</f>
        <v>1.3</v>
      </c>
      <c r="U1167" s="24">
        <f>VLOOKUP($R1167,ラベル別係数!$A$1:$E$7,5,FALSE)</f>
        <v>0.8</v>
      </c>
      <c r="V1167" s="27">
        <v>3</v>
      </c>
      <c r="W1167" s="28">
        <f>VLOOKUP(V1167,ターン数別攻撃係数!$A$1:$B$1000,2,FALSE)</f>
        <v>1</v>
      </c>
      <c r="X1167" s="9">
        <f>VLOOKUP(C1167,サイズ別係数!A$2:B$9,2,FALSE)</f>
        <v>60</v>
      </c>
      <c r="Y1167" s="26">
        <f>VLOOKUP($X1167,サイズ別係数!$B:$E,2,FALSE)</f>
        <v>1.7</v>
      </c>
      <c r="Z1167" s="26">
        <f>VLOOKUP($X1167,サイズ別係数!$B:$E,3,FALSE)</f>
        <v>1.4</v>
      </c>
      <c r="AA1167" s="26">
        <f>VLOOKUP($X1167,サイズ別係数!$B:$E,4,FALSE)</f>
        <v>1</v>
      </c>
      <c r="AB1167" s="5">
        <v>0</v>
      </c>
      <c r="AC1167" s="34" t="str">
        <f ca="1">VLOOKUP($AB1167,OFFSET([3]enemy_skill_sets!$B$2,0,0,COUNTA([3]enemy_skill_sets!$A:$A),MATCH(AC$1,[3]enemy_skill_sets!$1:$1,0)-MATCH($AB$1,[3]enemy_skill_sets!$1:$1,0)+1),MATCH(AC$1,[3]enemy_skill_sets!$1:$1,0)-MATCH($AB$1,[3]enemy_skill_sets!$1:$1,0)+1,FALSE)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7" s="67">
        <v>1</v>
      </c>
      <c r="AE1167" s="67">
        <v>1</v>
      </c>
      <c r="AF1167" s="37">
        <v>0</v>
      </c>
      <c r="AG1167" s="99">
        <f>ROUND(VLOOKUP(1,enemy_base_stats!$A:$F,2,FALSE) * Y1167* J1167*O1167*E1167*S1167*AD1167*[2]ステータス!$B$2,0)</f>
        <v>4250</v>
      </c>
      <c r="AH1167" s="99">
        <f>ROUND(VLOOKUP(1,enemy_base_stats!$A:$F,3,FALSE) * Z1167*K1167*P1167*F1167*T1167*AE1167 * W1167*[2]ステータス!$C$2,0)</f>
        <v>356</v>
      </c>
      <c r="AI1167" s="99">
        <f>ROUND(VLOOKUP(1,enemy_base_stats!$A:$F,4,FALSE) * AA1167*L1167*Q1167*G1167*U1167*AF1167*[2]ステータス!$D$2,0)</f>
        <v>0</v>
      </c>
      <c r="AJ1167" s="99">
        <f>ROUND(VLOOKUP(100,enemy_base_stats!$A:$F,2,FALSE) * Y1167* J1167*O1167*E1167*S1167*AD1167*[2]ステータス!$B$2,0)</f>
        <v>172550</v>
      </c>
      <c r="AK1167" s="99">
        <f>ROUND(VLOOKUP(100,enemy_base_stats!$A:$F,3,FALSE)* Z1167* K1167*P1167*F1167*T1167*AE1167 * W1167*[2]ステータス!$C$2,0)</f>
        <v>14447</v>
      </c>
      <c r="AL1167" s="99">
        <f>ROUND(VLOOKUP(100,enemy_base_stats!$A:$F,4,FALSE)* AA1167* L1167*Q1167*G1167*U1167*AF1167*[2]ステータス!$D$2,0)</f>
        <v>0</v>
      </c>
      <c r="AM1167" s="97">
        <f>VLOOKUP(M1167,[2]character_tribe_i18n!$A:$I,9,FALSE)</f>
        <v>400</v>
      </c>
      <c r="AN1167" s="36">
        <v>0</v>
      </c>
      <c r="AO1167" s="53">
        <v>0</v>
      </c>
      <c r="AP1167" s="58" t="s">
        <v>72</v>
      </c>
      <c r="AQ1167" s="71">
        <f t="shared" si="64"/>
        <v>1166</v>
      </c>
    </row>
    <row r="1168" spans="1:43" ht="21" customHeight="1" x14ac:dyDescent="0.15">
      <c r="A1168" s="7">
        <v>1167</v>
      </c>
      <c r="B1168" s="6" t="str">
        <f>VLOOKUP(A1168,[2]characters!$A:$C,3,FALSE)</f>
        <v>月河の黄金器 降魔宝杖</v>
      </c>
      <c r="C1168" s="9">
        <f>VLOOKUP(A1168,[2]characters!$A:$I,9,FALSE)</f>
        <v>6</v>
      </c>
      <c r="D1168" s="9" t="str">
        <f>VLOOKUP(A1168,[2]characters!$A:$H,8,FALSE)</f>
        <v>blue</v>
      </c>
      <c r="E1168" s="24">
        <f>VLOOKUP(D1168,[2]属性!$A:$E,2,FALSE)</f>
        <v>1</v>
      </c>
      <c r="F1168" s="24">
        <f>VLOOKUP(D1168,[2]属性!$A:$E,3,FALSE)</f>
        <v>0.98</v>
      </c>
      <c r="G1168" s="24">
        <f>VLOOKUP(D1168,[2]属性!$A:$F,4,FALSE)</f>
        <v>1</v>
      </c>
      <c r="H1168" s="9" t="str">
        <f>VLOOKUP(A1168,[2]characters!$A:$K,11,FALSE)</f>
        <v>attack</v>
      </c>
      <c r="I1168" s="14" t="str">
        <f>VLOOKUP(H1168,[2]character_type_i18n!$A:$F,3,FALSE)</f>
        <v>攻撃タイプ</v>
      </c>
      <c r="J1168" s="36">
        <f>VLOOKUP(H1168,[2]character_type_i18n!$A:$F,4,FALSE)</f>
        <v>1</v>
      </c>
      <c r="K1168" s="36">
        <f>VLOOKUP(H1168,[2]character_type_i18n!$A:$F,5,FALSE)</f>
        <v>1.33</v>
      </c>
      <c r="L1168" s="36">
        <f>VLOOKUP(H1168,[2]character_type_i18n!$A:$F,6,FALSE)</f>
        <v>1</v>
      </c>
      <c r="M1168" s="9" t="str">
        <f>VLOOKUP(A1168,[2]characters!$A:$M,13,FALSE)</f>
        <v>weapon</v>
      </c>
      <c r="N1168" s="14" t="str">
        <f>VLOOKUP(M1168,[2]character_tribe_i18n!$A:$F,3,FALSE)</f>
        <v>ウェポン</v>
      </c>
      <c r="O1168" s="24">
        <f>VLOOKUP(M1168,[2]character_tribe_i18n!$A:$F,4,FALSE)</f>
        <v>1</v>
      </c>
      <c r="P1168" s="24">
        <f>VLOOKUP(M1168,[2]character_tribe_i18n!$A:$F,5,FALSE)</f>
        <v>1</v>
      </c>
      <c r="Q1168" s="24">
        <f>VLOOKUP(M1168,[2]character_tribe_i18n!$A:$F,6,FALSE)</f>
        <v>1</v>
      </c>
      <c r="R1168" s="25" t="s">
        <v>98</v>
      </c>
      <c r="S1168" s="24">
        <f>VLOOKUP($R1168,ラベル別係数!$A$1:$E$7,3,FALSE)</f>
        <v>5</v>
      </c>
      <c r="T1168" s="24">
        <f>VLOOKUP($R1168,ラベル別係数!$A$1:$E$7,4,FALSE)</f>
        <v>1.3</v>
      </c>
      <c r="U1168" s="24">
        <f>VLOOKUP($R1168,ラベル別係数!$A$1:$E$7,5,FALSE)</f>
        <v>0.8</v>
      </c>
      <c r="V1168" s="27">
        <v>3</v>
      </c>
      <c r="W1168" s="28">
        <f>VLOOKUP(V1168,ターン数別攻撃係数!$A$1:$B$1000,2,FALSE)</f>
        <v>1</v>
      </c>
      <c r="X1168" s="9">
        <f>VLOOKUP(C1168,サイズ別係数!A$2:B$9,2,FALSE)</f>
        <v>60</v>
      </c>
      <c r="Y1168" s="26">
        <f>VLOOKUP($X1168,サイズ別係数!$B:$E,2,FALSE)</f>
        <v>1.7</v>
      </c>
      <c r="Z1168" s="26">
        <f>VLOOKUP($X1168,サイズ別係数!$B:$E,3,FALSE)</f>
        <v>1.4</v>
      </c>
      <c r="AA1168" s="26">
        <f>VLOOKUP($X1168,サイズ別係数!$B:$E,4,FALSE)</f>
        <v>1</v>
      </c>
      <c r="AB1168" s="5">
        <v>0</v>
      </c>
      <c r="AC1168" s="34" t="str">
        <f ca="1">VLOOKUP($AB1168,OFFSET([3]enemy_skill_sets!$B$2,0,0,COUNTA([3]enemy_skill_sets!$A:$A),MATCH(AC$1,[3]enemy_skill_sets!$1:$1,0)-MATCH($AB$1,[3]enemy_skill_sets!$1:$1,0)+1),MATCH(AC$1,[3]enemy_skill_sets!$1:$1,0)-MATCH($AB$1,[3]enemy_skill_sets!$1:$1,0)+1,FALSE)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8" s="67">
        <v>1</v>
      </c>
      <c r="AE1168" s="67">
        <v>1</v>
      </c>
      <c r="AF1168" s="37">
        <v>0</v>
      </c>
      <c r="AG1168" s="99">
        <f>ROUND(VLOOKUP(1,enemy_base_stats!$A:$F,2,FALSE) * Y1168* J1168*O1168*E1168*S1168*AD1168*[2]ステータス!$B$2,0)</f>
        <v>4250</v>
      </c>
      <c r="AH1168" s="99">
        <f>ROUND(VLOOKUP(1,enemy_base_stats!$A:$F,3,FALSE) * Z1168*K1168*P1168*F1168*T1168*AE1168 * W1168*[2]ステータス!$C$2,0)</f>
        <v>356</v>
      </c>
      <c r="AI1168" s="99">
        <f>ROUND(VLOOKUP(1,enemy_base_stats!$A:$F,4,FALSE) * AA1168*L1168*Q1168*G1168*U1168*AF1168*[2]ステータス!$D$2,0)</f>
        <v>0</v>
      </c>
      <c r="AJ1168" s="99">
        <f>ROUND(VLOOKUP(100,enemy_base_stats!$A:$F,2,FALSE) * Y1168* J1168*O1168*E1168*S1168*AD1168*[2]ステータス!$B$2,0)</f>
        <v>172550</v>
      </c>
      <c r="AK1168" s="99">
        <f>ROUND(VLOOKUP(100,enemy_base_stats!$A:$F,3,FALSE)* Z1168* K1168*P1168*F1168*T1168*AE1168 * W1168*[2]ステータス!$C$2,0)</f>
        <v>14447</v>
      </c>
      <c r="AL1168" s="99">
        <f>ROUND(VLOOKUP(100,enemy_base_stats!$A:$F,4,FALSE)* AA1168* L1168*Q1168*G1168*U1168*AF1168*[2]ステータス!$D$2,0)</f>
        <v>0</v>
      </c>
      <c r="AM1168" s="97">
        <f>VLOOKUP(M1168,[2]character_tribe_i18n!$A:$I,9,FALSE)</f>
        <v>400</v>
      </c>
      <c r="AN1168" s="36">
        <v>0</v>
      </c>
      <c r="AO1168" s="53">
        <v>0</v>
      </c>
      <c r="AP1168" s="58" t="s">
        <v>72</v>
      </c>
      <c r="AQ1168" s="71">
        <f t="shared" si="64"/>
        <v>1167</v>
      </c>
    </row>
    <row r="1169" spans="1:43" ht="21" customHeight="1" x14ac:dyDescent="0.15">
      <c r="A1169" s="7">
        <v>1168</v>
      </c>
      <c r="B1169" s="6" t="str">
        <f>VLOOKUP(A1169,[2]characters!$A:$C,3,FALSE)</f>
        <v>カドゥケウス</v>
      </c>
      <c r="C1169" s="9">
        <f>VLOOKUP(A1169,[2]characters!$A:$I,9,FALSE)</f>
        <v>5</v>
      </c>
      <c r="D1169" s="9" t="str">
        <f>VLOOKUP(A1169,[2]characters!$A:$H,8,FALSE)</f>
        <v>yellow</v>
      </c>
      <c r="E1169" s="24">
        <f>VLOOKUP(D1169,[2]属性!$A:$E,2,FALSE)</f>
        <v>0.98</v>
      </c>
      <c r="F1169" s="24">
        <f>VLOOKUP(D1169,[2]属性!$A:$E,3,FALSE)</f>
        <v>1.01</v>
      </c>
      <c r="G1169" s="24">
        <f>VLOOKUP(D1169,[2]属性!$A:$F,4,FALSE)</f>
        <v>1</v>
      </c>
      <c r="H1169" s="9" t="str">
        <f>VLOOKUP(A1169,[2]characters!$A:$K,11,FALSE)</f>
        <v>technical</v>
      </c>
      <c r="I1169" s="14" t="str">
        <f>VLOOKUP(H1169,[2]character_type_i18n!$A:$F,3,FALSE)</f>
        <v>テクニカルタイプ</v>
      </c>
      <c r="J1169" s="36">
        <f>VLOOKUP(H1169,[2]character_type_i18n!$A:$F,4,FALSE)</f>
        <v>0.9</v>
      </c>
      <c r="K1169" s="36">
        <f>VLOOKUP(H1169,[2]character_type_i18n!$A:$F,5,FALSE)</f>
        <v>0.9</v>
      </c>
      <c r="L1169" s="36">
        <f>VLOOKUP(H1169,[2]character_type_i18n!$A:$F,6,FALSE)</f>
        <v>1</v>
      </c>
      <c r="M1169" s="9" t="str">
        <f>VLOOKUP(A1169,[2]characters!$A:$M,13,FALSE)</f>
        <v>weapon</v>
      </c>
      <c r="N1169" s="14" t="str">
        <f>VLOOKUP(M1169,[2]character_tribe_i18n!$A:$F,3,FALSE)</f>
        <v>ウェポン</v>
      </c>
      <c r="O1169" s="24">
        <f>VLOOKUP(M1169,[2]character_tribe_i18n!$A:$F,4,FALSE)</f>
        <v>1</v>
      </c>
      <c r="P1169" s="24">
        <f>VLOOKUP(M1169,[2]character_tribe_i18n!$A:$F,5,FALSE)</f>
        <v>1</v>
      </c>
      <c r="Q1169" s="24">
        <f>VLOOKUP(M1169,[2]character_tribe_i18n!$A:$F,6,FALSE)</f>
        <v>1</v>
      </c>
      <c r="R1169" s="25" t="s">
        <v>98</v>
      </c>
      <c r="S1169" s="24">
        <f>VLOOKUP($R1169,ラベル別係数!$A$1:$E$7,3,FALSE)</f>
        <v>5</v>
      </c>
      <c r="T1169" s="24">
        <f>VLOOKUP($R1169,ラベル別係数!$A$1:$E$7,4,FALSE)</f>
        <v>1.3</v>
      </c>
      <c r="U1169" s="24">
        <f>VLOOKUP($R1169,ラベル別係数!$A$1:$E$7,5,FALSE)</f>
        <v>0.8</v>
      </c>
      <c r="V1169" s="27">
        <v>3</v>
      </c>
      <c r="W1169" s="28">
        <f>VLOOKUP(V1169,ターン数別攻撃係数!$A$1:$B$1000,2,FALSE)</f>
        <v>1</v>
      </c>
      <c r="X1169" s="9">
        <f>VLOOKUP(C1169,サイズ別係数!A$2:B$9,2,FALSE)</f>
        <v>60</v>
      </c>
      <c r="Y1169" s="26">
        <f>VLOOKUP($X1169,サイズ別係数!$B:$E,2,FALSE)</f>
        <v>1.7</v>
      </c>
      <c r="Z1169" s="26">
        <f>VLOOKUP($X1169,サイズ別係数!$B:$E,3,FALSE)</f>
        <v>1.4</v>
      </c>
      <c r="AA1169" s="26">
        <f>VLOOKUP($X1169,サイズ別係数!$B:$E,4,FALSE)</f>
        <v>1</v>
      </c>
      <c r="AB1169" s="5">
        <v>0</v>
      </c>
      <c r="AC1169" s="34" t="str">
        <f ca="1">VLOOKUP($AB1169,OFFSET([3]enemy_skill_sets!$B$2,0,0,COUNTA([3]enemy_skill_sets!$A:$A),MATCH(AC$1,[3]enemy_skill_sets!$1:$1,0)-MATCH($AB$1,[3]enemy_skill_sets!$1:$1,0)+1),MATCH(AC$1,[3]enemy_skill_sets!$1:$1,0)-MATCH($AB$1,[3]enemy_skill_sets!$1:$1,0)+1,FALSE)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69" s="67">
        <v>1</v>
      </c>
      <c r="AE1169" s="67">
        <v>1</v>
      </c>
      <c r="AF1169" s="37">
        <v>0</v>
      </c>
      <c r="AG1169" s="99">
        <f>ROUND(VLOOKUP(1,enemy_base_stats!$A:$F,2,FALSE) * Y1169* J1169*O1169*E1169*S1169*AD1169*[2]ステータス!$B$2,0)</f>
        <v>3749</v>
      </c>
      <c r="AH1169" s="99">
        <f>ROUND(VLOOKUP(1,enemy_base_stats!$A:$F,3,FALSE) * Z1169*K1169*P1169*F1169*T1169*AE1169 * W1169*[2]ステータス!$C$2,0)</f>
        <v>248</v>
      </c>
      <c r="AI1169" s="99">
        <f>ROUND(VLOOKUP(1,enemy_base_stats!$A:$F,4,FALSE) * AA1169*L1169*Q1169*G1169*U1169*AF1169*[2]ステータス!$D$2,0)</f>
        <v>0</v>
      </c>
      <c r="AJ1169" s="99">
        <f>ROUND(VLOOKUP(100,enemy_base_stats!$A:$F,2,FALSE) * Y1169* J1169*O1169*E1169*S1169*AD1169*[2]ステータス!$B$2,0)</f>
        <v>152189</v>
      </c>
      <c r="AK1169" s="99">
        <f>ROUND(VLOOKUP(100,enemy_base_stats!$A:$F,3,FALSE)* Z1169* K1169*P1169*F1169*T1169*AE1169 * W1169*[2]ステータス!$C$2,0)</f>
        <v>10075</v>
      </c>
      <c r="AL1169" s="99">
        <f>ROUND(VLOOKUP(100,enemy_base_stats!$A:$F,4,FALSE)* AA1169* L1169*Q1169*G1169*U1169*AF1169*[2]ステータス!$D$2,0)</f>
        <v>0</v>
      </c>
      <c r="AM1169" s="97">
        <f>VLOOKUP(M1169,[2]character_tribe_i18n!$A:$I,9,FALSE)</f>
        <v>400</v>
      </c>
      <c r="AN1169" s="36">
        <v>0</v>
      </c>
      <c r="AO1169" s="53">
        <v>0</v>
      </c>
      <c r="AP1169" s="58" t="s">
        <v>72</v>
      </c>
      <c r="AQ1169" s="71">
        <f t="shared" si="64"/>
        <v>1168</v>
      </c>
    </row>
    <row r="1170" spans="1:43" ht="21" customHeight="1" x14ac:dyDescent="0.15">
      <c r="A1170" s="7">
        <v>1169</v>
      </c>
      <c r="B1170" s="6" t="str">
        <f>VLOOKUP(A1170,[2]characters!$A:$C,3,FALSE)</f>
        <v>睡醒の令杖 カドゥケウス</v>
      </c>
      <c r="C1170" s="9">
        <f>VLOOKUP(A1170,[2]characters!$A:$I,9,FALSE)</f>
        <v>6</v>
      </c>
      <c r="D1170" s="9" t="str">
        <f>VLOOKUP(A1170,[2]characters!$A:$H,8,FALSE)</f>
        <v>yellow</v>
      </c>
      <c r="E1170" s="24">
        <f>VLOOKUP(D1170,[2]属性!$A:$E,2,FALSE)</f>
        <v>0.98</v>
      </c>
      <c r="F1170" s="24">
        <f>VLOOKUP(D1170,[2]属性!$A:$E,3,FALSE)</f>
        <v>1.01</v>
      </c>
      <c r="G1170" s="24">
        <f>VLOOKUP(D1170,[2]属性!$A:$F,4,FALSE)</f>
        <v>1</v>
      </c>
      <c r="H1170" s="9" t="str">
        <f>VLOOKUP(A1170,[2]characters!$A:$K,11,FALSE)</f>
        <v>technical</v>
      </c>
      <c r="I1170" s="14" t="str">
        <f>VLOOKUP(H1170,[2]character_type_i18n!$A:$F,3,FALSE)</f>
        <v>テクニカルタイプ</v>
      </c>
      <c r="J1170" s="36">
        <f>VLOOKUP(H1170,[2]character_type_i18n!$A:$F,4,FALSE)</f>
        <v>0.9</v>
      </c>
      <c r="K1170" s="36">
        <f>VLOOKUP(H1170,[2]character_type_i18n!$A:$F,5,FALSE)</f>
        <v>0.9</v>
      </c>
      <c r="L1170" s="36">
        <f>VLOOKUP(H1170,[2]character_type_i18n!$A:$F,6,FALSE)</f>
        <v>1</v>
      </c>
      <c r="M1170" s="9" t="str">
        <f>VLOOKUP(A1170,[2]characters!$A:$M,13,FALSE)</f>
        <v>weapon</v>
      </c>
      <c r="N1170" s="14" t="str">
        <f>VLOOKUP(M1170,[2]character_tribe_i18n!$A:$F,3,FALSE)</f>
        <v>ウェポン</v>
      </c>
      <c r="O1170" s="24">
        <f>VLOOKUP(M1170,[2]character_tribe_i18n!$A:$F,4,FALSE)</f>
        <v>1</v>
      </c>
      <c r="P1170" s="24">
        <f>VLOOKUP(M1170,[2]character_tribe_i18n!$A:$F,5,FALSE)</f>
        <v>1</v>
      </c>
      <c r="Q1170" s="24">
        <f>VLOOKUP(M1170,[2]character_tribe_i18n!$A:$F,6,FALSE)</f>
        <v>1</v>
      </c>
      <c r="R1170" s="25" t="s">
        <v>98</v>
      </c>
      <c r="S1170" s="24">
        <f>VLOOKUP($R1170,ラベル別係数!$A$1:$E$7,3,FALSE)</f>
        <v>5</v>
      </c>
      <c r="T1170" s="24">
        <f>VLOOKUP($R1170,ラベル別係数!$A$1:$E$7,4,FALSE)</f>
        <v>1.3</v>
      </c>
      <c r="U1170" s="24">
        <f>VLOOKUP($R1170,ラベル別係数!$A$1:$E$7,5,FALSE)</f>
        <v>0.8</v>
      </c>
      <c r="V1170" s="27">
        <v>3</v>
      </c>
      <c r="W1170" s="28">
        <f>VLOOKUP(V1170,ターン数別攻撃係数!$A$1:$B$1000,2,FALSE)</f>
        <v>1</v>
      </c>
      <c r="X1170" s="9">
        <f>VLOOKUP(C1170,サイズ別係数!A$2:B$9,2,FALSE)</f>
        <v>60</v>
      </c>
      <c r="Y1170" s="26">
        <f>VLOOKUP($X1170,サイズ別係数!$B:$E,2,FALSE)</f>
        <v>1.7</v>
      </c>
      <c r="Z1170" s="26">
        <f>VLOOKUP($X1170,サイズ別係数!$B:$E,3,FALSE)</f>
        <v>1.4</v>
      </c>
      <c r="AA1170" s="26">
        <f>VLOOKUP($X1170,サイズ別係数!$B:$E,4,FALSE)</f>
        <v>1</v>
      </c>
      <c r="AB1170" s="5">
        <v>0</v>
      </c>
      <c r="AC1170" s="34" t="str">
        <f ca="1">VLOOKUP($AB1170,OFFSET([3]enemy_skill_sets!$B$2,0,0,COUNTA([3]enemy_skill_sets!$A:$A),MATCH(AC$1,[3]enemy_skill_sets!$1:$1,0)-MATCH($AB$1,[3]enemy_skill_sets!$1:$1,0)+1),MATCH(AC$1,[3]enemy_skill_sets!$1:$1,0)-MATCH($AB$1,[3]enemy_skill_sets!$1:$1,0)+1,FALSE)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0" s="67">
        <v>1</v>
      </c>
      <c r="AE1170" s="67">
        <v>1</v>
      </c>
      <c r="AF1170" s="37">
        <v>0</v>
      </c>
      <c r="AG1170" s="99">
        <f>ROUND(VLOOKUP(1,enemy_base_stats!$A:$F,2,FALSE) * Y1170* J1170*O1170*E1170*S1170*AD1170*[2]ステータス!$B$2,0)</f>
        <v>3749</v>
      </c>
      <c r="AH1170" s="99">
        <f>ROUND(VLOOKUP(1,enemy_base_stats!$A:$F,3,FALSE) * Z1170*K1170*P1170*F1170*T1170*AE1170 * W1170*[2]ステータス!$C$2,0)</f>
        <v>248</v>
      </c>
      <c r="AI1170" s="99">
        <f>ROUND(VLOOKUP(1,enemy_base_stats!$A:$F,4,FALSE) * AA1170*L1170*Q1170*G1170*U1170*AF1170*[2]ステータス!$D$2,0)</f>
        <v>0</v>
      </c>
      <c r="AJ1170" s="99">
        <f>ROUND(VLOOKUP(100,enemy_base_stats!$A:$F,2,FALSE) * Y1170* J1170*O1170*E1170*S1170*AD1170*[2]ステータス!$B$2,0)</f>
        <v>152189</v>
      </c>
      <c r="AK1170" s="99">
        <f>ROUND(VLOOKUP(100,enemy_base_stats!$A:$F,3,FALSE)* Z1170* K1170*P1170*F1170*T1170*AE1170 * W1170*[2]ステータス!$C$2,0)</f>
        <v>10075</v>
      </c>
      <c r="AL1170" s="99">
        <f>ROUND(VLOOKUP(100,enemy_base_stats!$A:$F,4,FALSE)* AA1170* L1170*Q1170*G1170*U1170*AF1170*[2]ステータス!$D$2,0)</f>
        <v>0</v>
      </c>
      <c r="AM1170" s="97">
        <f>VLOOKUP(M1170,[2]character_tribe_i18n!$A:$I,9,FALSE)</f>
        <v>400</v>
      </c>
      <c r="AN1170" s="36">
        <v>0</v>
      </c>
      <c r="AO1170" s="53">
        <v>0</v>
      </c>
      <c r="AP1170" s="58" t="s">
        <v>72</v>
      </c>
      <c r="AQ1170" s="71">
        <f t="shared" si="64"/>
        <v>1169</v>
      </c>
    </row>
    <row r="1171" spans="1:43" ht="21" customHeight="1" x14ac:dyDescent="0.15">
      <c r="A1171" s="7">
        <v>1170</v>
      </c>
      <c r="B1171" s="6" t="str">
        <f>VLOOKUP(A1171,[2]characters!$A:$C,3,FALSE)</f>
        <v>極彩龍筆 ヘイウェイ</v>
      </c>
      <c r="C1171" s="9">
        <f>VLOOKUP(A1171,[2]characters!$A:$I,9,FALSE)</f>
        <v>6</v>
      </c>
      <c r="D1171" s="9" t="str">
        <f>VLOOKUP(A1171,[2]characters!$A:$H,8,FALSE)</f>
        <v>red</v>
      </c>
      <c r="E1171" s="24">
        <f>VLOOKUP(D1171,[2]属性!$A:$E,2,FALSE)</f>
        <v>1</v>
      </c>
      <c r="F1171" s="24">
        <f>VLOOKUP(D1171,[2]属性!$A:$E,3,FALSE)</f>
        <v>1.02</v>
      </c>
      <c r="G1171" s="24">
        <f>VLOOKUP(D1171,[2]属性!$A:$F,4,FALSE)</f>
        <v>1</v>
      </c>
      <c r="H1171" s="9" t="str">
        <f>VLOOKUP(A1171,[2]characters!$A:$K,11,FALSE)</f>
        <v>technical</v>
      </c>
      <c r="I1171" s="14" t="str">
        <f>VLOOKUP(H1171,[2]character_type_i18n!$A:$F,3,FALSE)</f>
        <v>テクニカルタイプ</v>
      </c>
      <c r="J1171" s="36">
        <f>VLOOKUP(H1171,[2]character_type_i18n!$A:$F,4,FALSE)</f>
        <v>0.9</v>
      </c>
      <c r="K1171" s="36">
        <f>VLOOKUP(H1171,[2]character_type_i18n!$A:$F,5,FALSE)</f>
        <v>0.9</v>
      </c>
      <c r="L1171" s="36">
        <f>VLOOKUP(H1171,[2]character_type_i18n!$A:$F,6,FALSE)</f>
        <v>1</v>
      </c>
      <c r="M1171" s="9" t="str">
        <f>VLOOKUP(A1171,[2]characters!$A:$M,13,FALSE)</f>
        <v>dragon</v>
      </c>
      <c r="N1171" s="14" t="str">
        <f>VLOOKUP(M1171,[2]character_tribe_i18n!$A:$F,3,FALSE)</f>
        <v>ドラゴン</v>
      </c>
      <c r="O1171" s="24">
        <f>VLOOKUP(M1171,[2]character_tribe_i18n!$A:$F,4,FALSE)</f>
        <v>1.1499999999999999</v>
      </c>
      <c r="P1171" s="24">
        <f>VLOOKUP(M1171,[2]character_tribe_i18n!$A:$F,5,FALSE)</f>
        <v>1.1000000000000001</v>
      </c>
      <c r="Q1171" s="24">
        <f>VLOOKUP(M1171,[2]character_tribe_i18n!$A:$F,6,FALSE)</f>
        <v>1</v>
      </c>
      <c r="R1171" s="25" t="s">
        <v>98</v>
      </c>
      <c r="S1171" s="24">
        <f>VLOOKUP($R1171,ラベル別係数!$A$1:$E$7,3,FALSE)</f>
        <v>5</v>
      </c>
      <c r="T1171" s="24">
        <f>VLOOKUP($R1171,ラベル別係数!$A$1:$E$7,4,FALSE)</f>
        <v>1.3</v>
      </c>
      <c r="U1171" s="24">
        <f>VLOOKUP($R1171,ラベル別係数!$A$1:$E$7,5,FALSE)</f>
        <v>0.8</v>
      </c>
      <c r="V1171" s="27">
        <v>3</v>
      </c>
      <c r="W1171" s="28">
        <f>VLOOKUP(V1171,ターン数別攻撃係数!$A$1:$B$1000,2,FALSE)</f>
        <v>1</v>
      </c>
      <c r="X1171" s="9">
        <f>VLOOKUP(C1171,サイズ別係数!A$2:B$9,2,FALSE)</f>
        <v>60</v>
      </c>
      <c r="Y1171" s="26">
        <f>VLOOKUP($X1171,サイズ別係数!$B:$E,2,FALSE)</f>
        <v>1.7</v>
      </c>
      <c r="Z1171" s="26">
        <f>VLOOKUP($X1171,サイズ別係数!$B:$E,3,FALSE)</f>
        <v>1.4</v>
      </c>
      <c r="AA1171" s="26">
        <f>VLOOKUP($X1171,サイズ別係数!$B:$E,4,FALSE)</f>
        <v>1</v>
      </c>
      <c r="AB1171" s="5">
        <v>0</v>
      </c>
      <c r="AC1171" s="34" t="str">
        <f ca="1">VLOOKUP($AB1171,OFFSET([3]enemy_skill_sets!$B$2,0,0,COUNTA([3]enemy_skill_sets!$A:$A),MATCH(AC$1,[3]enemy_skill_sets!$1:$1,0)-MATCH($AB$1,[3]enemy_skill_sets!$1:$1,0)+1),MATCH(AC$1,[3]enemy_skill_sets!$1:$1,0)-MATCH($AB$1,[3]enemy_skill_sets!$1:$1,0)+1,FALSE)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1" s="67">
        <v>1</v>
      </c>
      <c r="AE1171" s="67">
        <v>1</v>
      </c>
      <c r="AF1171" s="37">
        <v>0</v>
      </c>
      <c r="AG1171" s="99">
        <f>ROUND(VLOOKUP(1,enemy_base_stats!$A:$F,2,FALSE) * Y1171* J1171*O1171*E1171*S1171*AD1171*[2]ステータス!$B$2,0)</f>
        <v>4399</v>
      </c>
      <c r="AH1171" s="99">
        <f>ROUND(VLOOKUP(1,enemy_base_stats!$A:$F,3,FALSE) * Z1171*K1171*P1171*F1171*T1171*AE1171 * W1171*[2]ステータス!$C$2,0)</f>
        <v>276</v>
      </c>
      <c r="AI1171" s="99">
        <f>ROUND(VLOOKUP(1,enemy_base_stats!$A:$F,4,FALSE) * AA1171*L1171*Q1171*G1171*U1171*AF1171*[2]ステータス!$D$2,0)</f>
        <v>0</v>
      </c>
      <c r="AJ1171" s="99">
        <f>ROUND(VLOOKUP(100,enemy_base_stats!$A:$F,2,FALSE) * Y1171* J1171*O1171*E1171*S1171*AD1171*[2]ステータス!$B$2,0)</f>
        <v>178589</v>
      </c>
      <c r="AK1171" s="99">
        <f>ROUND(VLOOKUP(100,enemy_base_stats!$A:$F,3,FALSE)* Z1171* K1171*P1171*F1171*T1171*AE1171 * W1171*[2]ステータス!$C$2,0)</f>
        <v>11192</v>
      </c>
      <c r="AL1171" s="99">
        <f>ROUND(VLOOKUP(100,enemy_base_stats!$A:$F,4,FALSE)* AA1171* L1171*Q1171*G1171*U1171*AF1171*[2]ステータス!$D$2,0)</f>
        <v>0</v>
      </c>
      <c r="AM1171" s="97">
        <f>VLOOKUP(M1171,[2]character_tribe_i18n!$A:$I,9,FALSE)</f>
        <v>540</v>
      </c>
      <c r="AN1171" s="36">
        <v>0</v>
      </c>
      <c r="AO1171" s="53">
        <v>0</v>
      </c>
      <c r="AP1171" s="58" t="s">
        <v>72</v>
      </c>
      <c r="AQ1171" s="71">
        <f t="shared" si="64"/>
        <v>1170</v>
      </c>
    </row>
    <row r="1172" spans="1:43" ht="21" customHeight="1" x14ac:dyDescent="0.15">
      <c r="A1172" s="7">
        <v>1171</v>
      </c>
      <c r="B1172" s="6" t="str">
        <f>VLOOKUP(A1172,[2]characters!$A:$C,3,FALSE)</f>
        <v>解匣する交率 ポアソン</v>
      </c>
      <c r="C1172" s="9">
        <f>VLOOKUP(A1172,[2]characters!$A:$I,9,FALSE)</f>
        <v>6</v>
      </c>
      <c r="D1172" s="9" t="str">
        <f>VLOOKUP(A1172,[2]characters!$A:$H,8,FALSE)</f>
        <v>green</v>
      </c>
      <c r="E1172" s="24">
        <f>VLOOKUP(D1172,[2]属性!$A:$E,2,FALSE)</f>
        <v>1.02</v>
      </c>
      <c r="F1172" s="24">
        <f>VLOOKUP(D1172,[2]属性!$A:$E,3,FALSE)</f>
        <v>0.98</v>
      </c>
      <c r="G1172" s="24">
        <f>VLOOKUP(D1172,[2]属性!$A:$F,4,FALSE)</f>
        <v>1</v>
      </c>
      <c r="H1172" s="9" t="str">
        <f>VLOOKUP(A1172,[2]characters!$A:$K,11,FALSE)</f>
        <v>balance</v>
      </c>
      <c r="I1172" s="14" t="str">
        <f>VLOOKUP(H1172,[2]character_type_i18n!$A:$F,3,FALSE)</f>
        <v>バランスタイプ</v>
      </c>
      <c r="J1172" s="36">
        <f>VLOOKUP(H1172,[2]character_type_i18n!$A:$F,4,FALSE)</f>
        <v>1</v>
      </c>
      <c r="K1172" s="36">
        <f>VLOOKUP(H1172,[2]character_type_i18n!$A:$F,5,FALSE)</f>
        <v>1</v>
      </c>
      <c r="L1172" s="36">
        <f>VLOOKUP(H1172,[2]character_type_i18n!$A:$F,6,FALSE)</f>
        <v>1</v>
      </c>
      <c r="M1172" s="9" t="str">
        <f>VLOOKUP(A1172,[2]characters!$A:$M,13,FALSE)</f>
        <v>academia</v>
      </c>
      <c r="N1172" s="14" t="str">
        <f>VLOOKUP(M1172,[2]character_tribe_i18n!$A:$F,3,FALSE)</f>
        <v>アカデミア</v>
      </c>
      <c r="O1172" s="24">
        <f>VLOOKUP(M1172,[2]character_tribe_i18n!$A:$F,4,FALSE)</f>
        <v>1</v>
      </c>
      <c r="P1172" s="24">
        <f>VLOOKUP(M1172,[2]character_tribe_i18n!$A:$F,5,FALSE)</f>
        <v>1</v>
      </c>
      <c r="Q1172" s="24">
        <f>VLOOKUP(M1172,[2]character_tribe_i18n!$A:$F,6,FALSE)</f>
        <v>1</v>
      </c>
      <c r="R1172" s="25" t="s">
        <v>98</v>
      </c>
      <c r="S1172" s="24">
        <f>VLOOKUP($R1172,ラベル別係数!$A$1:$E$7,3,FALSE)</f>
        <v>5</v>
      </c>
      <c r="T1172" s="24">
        <f>VLOOKUP($R1172,ラベル別係数!$A$1:$E$7,4,FALSE)</f>
        <v>1.3</v>
      </c>
      <c r="U1172" s="24">
        <f>VLOOKUP($R1172,ラベル別係数!$A$1:$E$7,5,FALSE)</f>
        <v>0.8</v>
      </c>
      <c r="V1172" s="27">
        <v>3</v>
      </c>
      <c r="W1172" s="28">
        <f>VLOOKUP(V1172,ターン数別攻撃係数!$A$1:$B$1000,2,FALSE)</f>
        <v>1</v>
      </c>
      <c r="X1172" s="9">
        <f>VLOOKUP(C1172,サイズ別係数!A$2:B$9,2,FALSE)</f>
        <v>60</v>
      </c>
      <c r="Y1172" s="26">
        <f>VLOOKUP($X1172,サイズ別係数!$B:$E,2,FALSE)</f>
        <v>1.7</v>
      </c>
      <c r="Z1172" s="26">
        <f>VLOOKUP($X1172,サイズ別係数!$B:$E,3,FALSE)</f>
        <v>1.4</v>
      </c>
      <c r="AA1172" s="26">
        <f>VLOOKUP($X1172,サイズ別係数!$B:$E,4,FALSE)</f>
        <v>1</v>
      </c>
      <c r="AB1172" s="5">
        <v>0</v>
      </c>
      <c r="AC1172" s="34" t="str">
        <f ca="1">VLOOKUP($AB1172,OFFSET([3]enemy_skill_sets!$B$2,0,0,COUNTA([3]enemy_skill_sets!$A:$A),MATCH(AC$1,[3]enemy_skill_sets!$1:$1,0)-MATCH($AB$1,[3]enemy_skill_sets!$1:$1,0)+1),MATCH(AC$1,[3]enemy_skill_sets!$1:$1,0)-MATCH($AB$1,[3]enemy_skill_sets!$1:$1,0)+1,FALSE)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2" s="67">
        <v>1</v>
      </c>
      <c r="AE1172" s="67">
        <v>1</v>
      </c>
      <c r="AF1172" s="37">
        <v>0</v>
      </c>
      <c r="AG1172" s="99">
        <f>ROUND(VLOOKUP(1,enemy_base_stats!$A:$F,2,FALSE) * Y1172* J1172*O1172*E1172*S1172*AD1172*[2]ステータス!$B$2,0)</f>
        <v>4335</v>
      </c>
      <c r="AH1172" s="99">
        <f>ROUND(VLOOKUP(1,enemy_base_stats!$A:$F,3,FALSE) * Z1172*K1172*P1172*F1172*T1172*AE1172 * W1172*[2]ステータス!$C$2,0)</f>
        <v>268</v>
      </c>
      <c r="AI1172" s="99">
        <f>ROUND(VLOOKUP(1,enemy_base_stats!$A:$F,4,FALSE) * AA1172*L1172*Q1172*G1172*U1172*AF1172*[2]ステータス!$D$2,0)</f>
        <v>0</v>
      </c>
      <c r="AJ1172" s="99">
        <f>ROUND(VLOOKUP(100,enemy_base_stats!$A:$F,2,FALSE) * Y1172* J1172*O1172*E1172*S1172*AD1172*[2]ステータス!$B$2,0)</f>
        <v>176001</v>
      </c>
      <c r="AK1172" s="99">
        <f>ROUND(VLOOKUP(100,enemy_base_stats!$A:$F,3,FALSE)* Z1172* K1172*P1172*F1172*T1172*AE1172 * W1172*[2]ステータス!$C$2,0)</f>
        <v>10862</v>
      </c>
      <c r="AL1172" s="99">
        <f>ROUND(VLOOKUP(100,enemy_base_stats!$A:$F,4,FALSE)* AA1172* L1172*Q1172*G1172*U1172*AF1172*[2]ステータス!$D$2,0)</f>
        <v>0</v>
      </c>
      <c r="AM1172" s="97">
        <f>VLOOKUP(M1172,[2]character_tribe_i18n!$A:$I,9,FALSE)</f>
        <v>400</v>
      </c>
      <c r="AN1172" s="36">
        <v>0</v>
      </c>
      <c r="AO1172" s="53">
        <v>0</v>
      </c>
      <c r="AP1172" s="58" t="s">
        <v>72</v>
      </c>
      <c r="AQ1172" s="71">
        <f t="shared" si="64"/>
        <v>1171</v>
      </c>
    </row>
    <row r="1173" spans="1:43" ht="21" customHeight="1" x14ac:dyDescent="0.15">
      <c r="A1173" s="7">
        <v>1172</v>
      </c>
      <c r="B1173" s="6" t="str">
        <f>VLOOKUP(A1173,[2]characters!$A:$C,3,FALSE)</f>
        <v>極限解析の讃嬢 クロネッカー</v>
      </c>
      <c r="C1173" s="9">
        <f>VLOOKUP(A1173,[2]characters!$A:$I,9,FALSE)</f>
        <v>6</v>
      </c>
      <c r="D1173" s="9" t="str">
        <f>VLOOKUP(A1173,[2]characters!$A:$H,8,FALSE)</f>
        <v>yellow</v>
      </c>
      <c r="E1173" s="24">
        <f>VLOOKUP(D1173,[2]属性!$A:$E,2,FALSE)</f>
        <v>0.98</v>
      </c>
      <c r="F1173" s="24">
        <f>VLOOKUP(D1173,[2]属性!$A:$E,3,FALSE)</f>
        <v>1.01</v>
      </c>
      <c r="G1173" s="24">
        <f>VLOOKUP(D1173,[2]属性!$A:$F,4,FALSE)</f>
        <v>1</v>
      </c>
      <c r="H1173" s="9" t="str">
        <f>VLOOKUP(A1173,[2]characters!$A:$K,11,FALSE)</f>
        <v>balance</v>
      </c>
      <c r="I1173" s="14" t="str">
        <f>VLOOKUP(H1173,[2]character_type_i18n!$A:$F,3,FALSE)</f>
        <v>バランスタイプ</v>
      </c>
      <c r="J1173" s="36">
        <f>VLOOKUP(H1173,[2]character_type_i18n!$A:$F,4,FALSE)</f>
        <v>1</v>
      </c>
      <c r="K1173" s="36">
        <f>VLOOKUP(H1173,[2]character_type_i18n!$A:$F,5,FALSE)</f>
        <v>1</v>
      </c>
      <c r="L1173" s="36">
        <f>VLOOKUP(H1173,[2]character_type_i18n!$A:$F,6,FALSE)</f>
        <v>1</v>
      </c>
      <c r="M1173" s="9" t="str">
        <f>VLOOKUP(A1173,[2]characters!$A:$M,13,FALSE)</f>
        <v>academia</v>
      </c>
      <c r="N1173" s="14" t="str">
        <f>VLOOKUP(M1173,[2]character_tribe_i18n!$A:$F,3,FALSE)</f>
        <v>アカデミア</v>
      </c>
      <c r="O1173" s="24">
        <f>VLOOKUP(M1173,[2]character_tribe_i18n!$A:$F,4,FALSE)</f>
        <v>1</v>
      </c>
      <c r="P1173" s="24">
        <f>VLOOKUP(M1173,[2]character_tribe_i18n!$A:$F,5,FALSE)</f>
        <v>1</v>
      </c>
      <c r="Q1173" s="24">
        <f>VLOOKUP(M1173,[2]character_tribe_i18n!$A:$F,6,FALSE)</f>
        <v>1</v>
      </c>
      <c r="R1173" s="25" t="s">
        <v>98</v>
      </c>
      <c r="S1173" s="24">
        <f>VLOOKUP($R1173,ラベル別係数!$A$1:$E$7,3,FALSE)</f>
        <v>5</v>
      </c>
      <c r="T1173" s="24">
        <f>VLOOKUP($R1173,ラベル別係数!$A$1:$E$7,4,FALSE)</f>
        <v>1.3</v>
      </c>
      <c r="U1173" s="24">
        <f>VLOOKUP($R1173,ラベル別係数!$A$1:$E$7,5,FALSE)</f>
        <v>0.8</v>
      </c>
      <c r="V1173" s="27">
        <v>3</v>
      </c>
      <c r="W1173" s="28">
        <f>VLOOKUP(V1173,ターン数別攻撃係数!$A$1:$B$1000,2,FALSE)</f>
        <v>1</v>
      </c>
      <c r="X1173" s="9">
        <f>VLOOKUP(C1173,サイズ別係数!A$2:B$9,2,FALSE)</f>
        <v>60</v>
      </c>
      <c r="Y1173" s="26">
        <f>VLOOKUP($X1173,サイズ別係数!$B:$E,2,FALSE)</f>
        <v>1.7</v>
      </c>
      <c r="Z1173" s="26">
        <f>VLOOKUP($X1173,サイズ別係数!$B:$E,3,FALSE)</f>
        <v>1.4</v>
      </c>
      <c r="AA1173" s="26">
        <f>VLOOKUP($X1173,サイズ別係数!$B:$E,4,FALSE)</f>
        <v>1</v>
      </c>
      <c r="AB1173" s="5">
        <v>0</v>
      </c>
      <c r="AC1173" s="34" t="str">
        <f ca="1">VLOOKUP($AB1173,OFFSET([3]enemy_skill_sets!$B$2,0,0,COUNTA([3]enemy_skill_sets!$A:$A),MATCH(AC$1,[3]enemy_skill_sets!$1:$1,0)-MATCH($AB$1,[3]enemy_skill_sets!$1:$1,0)+1),MATCH(AC$1,[3]enemy_skill_sets!$1:$1,0)-MATCH($AB$1,[3]enemy_skill_sets!$1:$1,0)+1,FALSE)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3" s="67">
        <v>1</v>
      </c>
      <c r="AE1173" s="67">
        <v>1</v>
      </c>
      <c r="AF1173" s="37">
        <v>0</v>
      </c>
      <c r="AG1173" s="99">
        <f>ROUND(VLOOKUP(1,enemy_base_stats!$A:$F,2,FALSE) * Y1173* J1173*O1173*E1173*S1173*AD1173*[2]ステータス!$B$2,0)</f>
        <v>4165</v>
      </c>
      <c r="AH1173" s="99">
        <f>ROUND(VLOOKUP(1,enemy_base_stats!$A:$F,3,FALSE) * Z1173*K1173*P1173*F1173*T1173*AE1173 * W1173*[2]ステータス!$C$2,0)</f>
        <v>276</v>
      </c>
      <c r="AI1173" s="99">
        <f>ROUND(VLOOKUP(1,enemy_base_stats!$A:$F,4,FALSE) * AA1173*L1173*Q1173*G1173*U1173*AF1173*[2]ステータス!$D$2,0)</f>
        <v>0</v>
      </c>
      <c r="AJ1173" s="99">
        <f>ROUND(VLOOKUP(100,enemy_base_stats!$A:$F,2,FALSE) * Y1173* J1173*O1173*E1173*S1173*AD1173*[2]ステータス!$B$2,0)</f>
        <v>169099</v>
      </c>
      <c r="AK1173" s="99">
        <f>ROUND(VLOOKUP(100,enemy_base_stats!$A:$F,3,FALSE)* Z1173* K1173*P1173*F1173*T1173*AE1173 * W1173*[2]ステータス!$C$2,0)</f>
        <v>11195</v>
      </c>
      <c r="AL1173" s="99">
        <f>ROUND(VLOOKUP(100,enemy_base_stats!$A:$F,4,FALSE)* AA1173* L1173*Q1173*G1173*U1173*AF1173*[2]ステータス!$D$2,0)</f>
        <v>0</v>
      </c>
      <c r="AM1173" s="97">
        <f>VLOOKUP(M1173,[2]character_tribe_i18n!$A:$I,9,FALSE)</f>
        <v>400</v>
      </c>
      <c r="AN1173" s="36">
        <v>0</v>
      </c>
      <c r="AO1173" s="53">
        <v>0</v>
      </c>
      <c r="AP1173" s="58" t="s">
        <v>72</v>
      </c>
      <c r="AQ1173" s="71">
        <f t="shared" si="64"/>
        <v>1172</v>
      </c>
    </row>
    <row r="1174" spans="1:43" ht="21" customHeight="1" x14ac:dyDescent="0.15">
      <c r="A1174" s="7">
        <v>1173</v>
      </c>
      <c r="B1174" s="6" t="str">
        <f>VLOOKUP(A1174,[2]characters!$A:$C,3,FALSE)</f>
        <v>愛を咲かせる春羽妖精 ファータ</v>
      </c>
      <c r="C1174" s="9">
        <f>VLOOKUP(A1174,[2]characters!$A:$I,9,FALSE)</f>
        <v>6</v>
      </c>
      <c r="D1174" s="9" t="str">
        <f>VLOOKUP(A1174,[2]characters!$A:$H,8,FALSE)</f>
        <v>green</v>
      </c>
      <c r="E1174" s="24">
        <f>VLOOKUP(D1174,[2]属性!$A:$E,2,FALSE)</f>
        <v>1.02</v>
      </c>
      <c r="F1174" s="24">
        <f>VLOOKUP(D1174,[2]属性!$A:$E,3,FALSE)</f>
        <v>0.98</v>
      </c>
      <c r="G1174" s="24">
        <f>VLOOKUP(D1174,[2]属性!$A:$F,4,FALSE)</f>
        <v>1</v>
      </c>
      <c r="H1174" s="9" t="str">
        <f>VLOOKUP(A1174,[2]characters!$A:$K,11,FALSE)</f>
        <v>heal</v>
      </c>
      <c r="I1174" s="14" t="str">
        <f>VLOOKUP(H1174,[2]character_type_i18n!$A:$F,3,FALSE)</f>
        <v>回復タイプ</v>
      </c>
      <c r="J1174" s="36">
        <f>VLOOKUP(H1174,[2]character_type_i18n!$A:$F,4,FALSE)</f>
        <v>0.8</v>
      </c>
      <c r="K1174" s="36">
        <f>VLOOKUP(H1174,[2]character_type_i18n!$A:$F,5,FALSE)</f>
        <v>0.78</v>
      </c>
      <c r="L1174" s="36">
        <f>VLOOKUP(H1174,[2]character_type_i18n!$A:$F,6,FALSE)</f>
        <v>1</v>
      </c>
      <c r="M1174" s="9" t="str">
        <f>VLOOKUP(A1174,[2]characters!$A:$M,13,FALSE)</f>
        <v>unknown</v>
      </c>
      <c r="N1174" s="14" t="str">
        <f>VLOOKUP(M1174,[2]character_tribe_i18n!$A:$F,3,FALSE)</f>
        <v>Unknown</v>
      </c>
      <c r="O1174" s="24">
        <f>VLOOKUP(M1174,[2]character_tribe_i18n!$A:$F,4,FALSE)</f>
        <v>1</v>
      </c>
      <c r="P1174" s="24">
        <f>VLOOKUP(M1174,[2]character_tribe_i18n!$A:$F,5,FALSE)</f>
        <v>1</v>
      </c>
      <c r="Q1174" s="24">
        <f>VLOOKUP(M1174,[2]character_tribe_i18n!$A:$F,6,FALSE)</f>
        <v>1</v>
      </c>
      <c r="R1174" s="25" t="s">
        <v>98</v>
      </c>
      <c r="S1174" s="24">
        <f>VLOOKUP($R1174,ラベル別係数!$A$1:$E$7,3,FALSE)</f>
        <v>5</v>
      </c>
      <c r="T1174" s="24">
        <f>VLOOKUP($R1174,ラベル別係数!$A$1:$E$7,4,FALSE)</f>
        <v>1.3</v>
      </c>
      <c r="U1174" s="24">
        <f>VLOOKUP($R1174,ラベル別係数!$A$1:$E$7,5,FALSE)</f>
        <v>0.8</v>
      </c>
      <c r="V1174" s="27">
        <v>3</v>
      </c>
      <c r="W1174" s="28">
        <f>VLOOKUP(V1174,ターン数別攻撃係数!$A$1:$B$1000,2,FALSE)</f>
        <v>1</v>
      </c>
      <c r="X1174" s="9">
        <f>VLOOKUP(C1174,サイズ別係数!A$2:B$9,2,FALSE)</f>
        <v>60</v>
      </c>
      <c r="Y1174" s="26">
        <f>VLOOKUP($X1174,サイズ別係数!$B:$E,2,FALSE)</f>
        <v>1.7</v>
      </c>
      <c r="Z1174" s="26">
        <f>VLOOKUP($X1174,サイズ別係数!$B:$E,3,FALSE)</f>
        <v>1.4</v>
      </c>
      <c r="AA1174" s="26">
        <f>VLOOKUP($X1174,サイズ別係数!$B:$E,4,FALSE)</f>
        <v>1</v>
      </c>
      <c r="AB1174" s="5">
        <v>0</v>
      </c>
      <c r="AC1174" s="34" t="str">
        <f ca="1">VLOOKUP($AB1174,OFFSET([3]enemy_skill_sets!$B$2,0,0,COUNTA([3]enemy_skill_sets!$A:$A),MATCH(AC$1,[3]enemy_skill_sets!$1:$1,0)-MATCH($AB$1,[3]enemy_skill_sets!$1:$1,0)+1),MATCH(AC$1,[3]enemy_skill_sets!$1:$1,0)-MATCH($AB$1,[3]enemy_skill_sets!$1:$1,0)+1,FALSE)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4" s="67">
        <v>1</v>
      </c>
      <c r="AE1174" s="67">
        <v>1</v>
      </c>
      <c r="AF1174" s="37">
        <v>0</v>
      </c>
      <c r="AG1174" s="99">
        <f>ROUND(VLOOKUP(1,enemy_base_stats!$A:$F,2,FALSE) * Y1174* J1174*O1174*E1174*S1174*AD1174*[2]ステータス!$B$2,0)</f>
        <v>3468</v>
      </c>
      <c r="AH1174" s="99">
        <f>ROUND(VLOOKUP(1,enemy_base_stats!$A:$F,3,FALSE) * Z1174*K1174*P1174*F1174*T1174*AE1174 * W1174*[2]ステータス!$C$2,0)</f>
        <v>209</v>
      </c>
      <c r="AI1174" s="99">
        <f>ROUND(VLOOKUP(1,enemy_base_stats!$A:$F,4,FALSE) * AA1174*L1174*Q1174*G1174*U1174*AF1174*[2]ステータス!$D$2,0)</f>
        <v>0</v>
      </c>
      <c r="AJ1174" s="99">
        <f>ROUND(VLOOKUP(100,enemy_base_stats!$A:$F,2,FALSE) * Y1174* J1174*O1174*E1174*S1174*AD1174*[2]ステータス!$B$2,0)</f>
        <v>140801</v>
      </c>
      <c r="AK1174" s="99">
        <f>ROUND(VLOOKUP(100,enemy_base_stats!$A:$F,3,FALSE)* Z1174* K1174*P1174*F1174*T1174*AE1174 * W1174*[2]ステータス!$C$2,0)</f>
        <v>8472</v>
      </c>
      <c r="AL1174" s="99">
        <f>ROUND(VLOOKUP(100,enemy_base_stats!$A:$F,4,FALSE)* AA1174* L1174*Q1174*G1174*U1174*AF1174*[2]ステータス!$D$2,0)</f>
        <v>0</v>
      </c>
      <c r="AM1174" s="97">
        <f>VLOOKUP(M1174,[2]character_tribe_i18n!$A:$I,9,FALSE)</f>
        <v>340</v>
      </c>
      <c r="AN1174" s="36">
        <v>0</v>
      </c>
      <c r="AO1174" s="53">
        <v>0</v>
      </c>
      <c r="AP1174" s="58" t="s">
        <v>72</v>
      </c>
      <c r="AQ1174" s="71">
        <f t="shared" si="64"/>
        <v>1173</v>
      </c>
    </row>
    <row r="1175" spans="1:43" ht="21" customHeight="1" x14ac:dyDescent="0.15">
      <c r="A1175" s="7">
        <v>1174</v>
      </c>
      <c r="B1175" s="6" t="str">
        <f>VLOOKUP(A1175,[2]characters!$A:$C,3,FALSE)</f>
        <v>護翼の望詠光 バルドル</v>
      </c>
      <c r="C1175" s="9">
        <f>VLOOKUP(A1175,[2]characters!$A:$I,9,FALSE)</f>
        <v>6</v>
      </c>
      <c r="D1175" s="9" t="str">
        <f>VLOOKUP(A1175,[2]characters!$A:$H,8,FALSE)</f>
        <v>yellow</v>
      </c>
      <c r="E1175" s="24">
        <f>VLOOKUP(D1175,[2]属性!$A:$E,2,FALSE)</f>
        <v>0.98</v>
      </c>
      <c r="F1175" s="24">
        <f>VLOOKUP(D1175,[2]属性!$A:$E,3,FALSE)</f>
        <v>1.01</v>
      </c>
      <c r="G1175" s="24">
        <f>VLOOKUP(D1175,[2]属性!$A:$F,4,FALSE)</f>
        <v>1</v>
      </c>
      <c r="H1175" s="9" t="str">
        <f>VLOOKUP(A1175,[2]characters!$A:$K,11,FALSE)</f>
        <v>heal</v>
      </c>
      <c r="I1175" s="14" t="str">
        <f>VLOOKUP(H1175,[2]character_type_i18n!$A:$F,3,FALSE)</f>
        <v>回復タイプ</v>
      </c>
      <c r="J1175" s="36">
        <f>VLOOKUP(H1175,[2]character_type_i18n!$A:$F,4,FALSE)</f>
        <v>0.8</v>
      </c>
      <c r="K1175" s="36">
        <f>VLOOKUP(H1175,[2]character_type_i18n!$A:$F,5,FALSE)</f>
        <v>0.78</v>
      </c>
      <c r="L1175" s="36">
        <f>VLOOKUP(H1175,[2]character_type_i18n!$A:$F,6,FALSE)</f>
        <v>1</v>
      </c>
      <c r="M1175" s="9" t="str">
        <f>VLOOKUP(A1175,[2]characters!$A:$M,13,FALSE)</f>
        <v>god</v>
      </c>
      <c r="N1175" s="14" t="str">
        <f>VLOOKUP(M1175,[2]character_tribe_i18n!$A:$F,3,FALSE)</f>
        <v>ゴッド</v>
      </c>
      <c r="O1175" s="24">
        <f>VLOOKUP(M1175,[2]character_tribe_i18n!$A:$F,4,FALSE)</f>
        <v>0.96</v>
      </c>
      <c r="P1175" s="24">
        <f>VLOOKUP(M1175,[2]character_tribe_i18n!$A:$F,5,FALSE)</f>
        <v>1.02</v>
      </c>
      <c r="Q1175" s="24">
        <f>VLOOKUP(M1175,[2]character_tribe_i18n!$A:$F,6,FALSE)</f>
        <v>1</v>
      </c>
      <c r="R1175" s="25" t="s">
        <v>98</v>
      </c>
      <c r="S1175" s="24">
        <f>VLOOKUP($R1175,ラベル別係数!$A$1:$E$7,3,FALSE)</f>
        <v>5</v>
      </c>
      <c r="T1175" s="24">
        <f>VLOOKUP($R1175,ラベル別係数!$A$1:$E$7,4,FALSE)</f>
        <v>1.3</v>
      </c>
      <c r="U1175" s="24">
        <f>VLOOKUP($R1175,ラベル別係数!$A$1:$E$7,5,FALSE)</f>
        <v>0.8</v>
      </c>
      <c r="V1175" s="27">
        <v>3</v>
      </c>
      <c r="W1175" s="28">
        <f>VLOOKUP(V1175,ターン数別攻撃係数!$A$1:$B$1000,2,FALSE)</f>
        <v>1</v>
      </c>
      <c r="X1175" s="9">
        <f>VLOOKUP(C1175,サイズ別係数!A$2:B$9,2,FALSE)</f>
        <v>60</v>
      </c>
      <c r="Y1175" s="26">
        <f>VLOOKUP($X1175,サイズ別係数!$B:$E,2,FALSE)</f>
        <v>1.7</v>
      </c>
      <c r="Z1175" s="26">
        <f>VLOOKUP($X1175,サイズ別係数!$B:$E,3,FALSE)</f>
        <v>1.4</v>
      </c>
      <c r="AA1175" s="26">
        <f>VLOOKUP($X1175,サイズ別係数!$B:$E,4,FALSE)</f>
        <v>1</v>
      </c>
      <c r="AB1175" s="5">
        <v>0</v>
      </c>
      <c r="AC1175" s="34" t="str">
        <f ca="1">VLOOKUP($AB1175,OFFSET([3]enemy_skill_sets!$B$2,0,0,COUNTA([3]enemy_skill_sets!$A:$A),MATCH(AC$1,[3]enemy_skill_sets!$1:$1,0)-MATCH($AB$1,[3]enemy_skill_sets!$1:$1,0)+1),MATCH(AC$1,[3]enemy_skill_sets!$1:$1,0)-MATCH($AB$1,[3]enemy_skill_sets!$1:$1,0)+1,FALSE)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5" s="67">
        <v>1</v>
      </c>
      <c r="AE1175" s="67">
        <v>1</v>
      </c>
      <c r="AF1175" s="37">
        <v>0</v>
      </c>
      <c r="AG1175" s="99">
        <f>ROUND(VLOOKUP(1,enemy_base_stats!$A:$F,2,FALSE) * Y1175* J1175*O1175*E1175*S1175*AD1175*[2]ステータス!$B$2,0)</f>
        <v>3199</v>
      </c>
      <c r="AH1175" s="99">
        <f>ROUND(VLOOKUP(1,enemy_base_stats!$A:$F,3,FALSE) * Z1175*K1175*P1175*F1175*T1175*AE1175 * W1175*[2]ステータス!$C$2,0)</f>
        <v>219</v>
      </c>
      <c r="AI1175" s="99">
        <f>ROUND(VLOOKUP(1,enemy_base_stats!$A:$F,4,FALSE) * AA1175*L1175*Q1175*G1175*U1175*AF1175*[2]ステータス!$D$2,0)</f>
        <v>0</v>
      </c>
      <c r="AJ1175" s="99">
        <f>ROUND(VLOOKUP(100,enemy_base_stats!$A:$F,2,FALSE) * Y1175* J1175*O1175*E1175*S1175*AD1175*[2]ステータス!$B$2,0)</f>
        <v>129868</v>
      </c>
      <c r="AK1175" s="99">
        <f>ROUND(VLOOKUP(100,enemy_base_stats!$A:$F,3,FALSE)* Z1175* K1175*P1175*F1175*T1175*AE1175 * W1175*[2]ステータス!$C$2,0)</f>
        <v>8906</v>
      </c>
      <c r="AL1175" s="99">
        <f>ROUND(VLOOKUP(100,enemy_base_stats!$A:$F,4,FALSE)* AA1175* L1175*Q1175*G1175*U1175*AF1175*[2]ステータス!$D$2,0)</f>
        <v>0</v>
      </c>
      <c r="AM1175" s="97">
        <f>VLOOKUP(M1175,[2]character_tribe_i18n!$A:$I,9,FALSE)</f>
        <v>680</v>
      </c>
      <c r="AN1175" s="36">
        <v>0</v>
      </c>
      <c r="AO1175" s="53">
        <v>0</v>
      </c>
      <c r="AP1175" s="58" t="s">
        <v>72</v>
      </c>
      <c r="AQ1175" s="71">
        <f t="shared" si="64"/>
        <v>1174</v>
      </c>
    </row>
    <row r="1176" spans="1:43" ht="21" customHeight="1" x14ac:dyDescent="0.15">
      <c r="A1176" s="7">
        <v>1175</v>
      </c>
      <c r="B1176" s="6" t="str">
        <f>VLOOKUP(A1176,[2]characters!$A:$C,3,FALSE)</f>
        <v>蘇尊の誓聖義 アーサー</v>
      </c>
      <c r="C1176" s="9">
        <f>VLOOKUP(A1176,[2]characters!$A:$I,9,FALSE)</f>
        <v>6</v>
      </c>
      <c r="D1176" s="9" t="str">
        <f>VLOOKUP(A1176,[2]characters!$A:$H,8,FALSE)</f>
        <v>red</v>
      </c>
      <c r="E1176" s="24">
        <f>VLOOKUP(D1176,[2]属性!$A:$E,2,FALSE)</f>
        <v>1</v>
      </c>
      <c r="F1176" s="24">
        <f>VLOOKUP(D1176,[2]属性!$A:$E,3,FALSE)</f>
        <v>1.02</v>
      </c>
      <c r="G1176" s="24">
        <f>VLOOKUP(D1176,[2]属性!$A:$F,4,FALSE)</f>
        <v>1</v>
      </c>
      <c r="H1176" s="9" t="str">
        <f>VLOOKUP(A1176,[2]characters!$A:$K,11,FALSE)</f>
        <v>balance</v>
      </c>
      <c r="I1176" s="14" t="str">
        <f>VLOOKUP(H1176,[2]character_type_i18n!$A:$F,3,FALSE)</f>
        <v>バランスタイプ</v>
      </c>
      <c r="J1176" s="36">
        <f>VLOOKUP(H1176,[2]character_type_i18n!$A:$F,4,FALSE)</f>
        <v>1</v>
      </c>
      <c r="K1176" s="36">
        <f>VLOOKUP(H1176,[2]character_type_i18n!$A:$F,5,FALSE)</f>
        <v>1</v>
      </c>
      <c r="L1176" s="36">
        <f>VLOOKUP(H1176,[2]character_type_i18n!$A:$F,6,FALSE)</f>
        <v>1</v>
      </c>
      <c r="M1176" s="9" t="str">
        <f>VLOOKUP(A1176,[2]characters!$A:$M,13,FALSE)</f>
        <v>human</v>
      </c>
      <c r="N1176" s="14" t="str">
        <f>VLOOKUP(M1176,[2]character_tribe_i18n!$A:$F,3,FALSE)</f>
        <v>ヒューマン</v>
      </c>
      <c r="O1176" s="24">
        <f>VLOOKUP(M1176,[2]character_tribe_i18n!$A:$F,4,FALSE)</f>
        <v>0.94</v>
      </c>
      <c r="P1176" s="24">
        <f>VLOOKUP(M1176,[2]character_tribe_i18n!$A:$F,5,FALSE)</f>
        <v>0.99</v>
      </c>
      <c r="Q1176" s="24">
        <f>VLOOKUP(M1176,[2]character_tribe_i18n!$A:$F,6,FALSE)</f>
        <v>1</v>
      </c>
      <c r="R1176" s="25" t="s">
        <v>98</v>
      </c>
      <c r="S1176" s="24">
        <f>VLOOKUP($R1176,ラベル別係数!$A$1:$E$7,3,FALSE)</f>
        <v>5</v>
      </c>
      <c r="T1176" s="24">
        <f>VLOOKUP($R1176,ラベル別係数!$A$1:$E$7,4,FALSE)</f>
        <v>1.3</v>
      </c>
      <c r="U1176" s="24">
        <f>VLOOKUP($R1176,ラベル別係数!$A$1:$E$7,5,FALSE)</f>
        <v>0.8</v>
      </c>
      <c r="V1176" s="27">
        <v>3</v>
      </c>
      <c r="W1176" s="28">
        <f>VLOOKUP(V1176,ターン数別攻撃係数!$A$1:$B$1000,2,FALSE)</f>
        <v>1</v>
      </c>
      <c r="X1176" s="9">
        <f>VLOOKUP(C1176,サイズ別係数!A$2:B$9,2,FALSE)</f>
        <v>60</v>
      </c>
      <c r="Y1176" s="26">
        <f>VLOOKUP($X1176,サイズ別係数!$B:$E,2,FALSE)</f>
        <v>1.7</v>
      </c>
      <c r="Z1176" s="26">
        <f>VLOOKUP($X1176,サイズ別係数!$B:$E,3,FALSE)</f>
        <v>1.4</v>
      </c>
      <c r="AA1176" s="26">
        <f>VLOOKUP($X1176,サイズ別係数!$B:$E,4,FALSE)</f>
        <v>1</v>
      </c>
      <c r="AB1176" s="5">
        <v>0</v>
      </c>
      <c r="AC1176" s="34" t="str">
        <f ca="1">VLOOKUP($AB1176,OFFSET([3]enemy_skill_sets!$B$2,0,0,COUNTA([3]enemy_skill_sets!$A:$A),MATCH(AC$1,[3]enemy_skill_sets!$1:$1,0)-MATCH($AB$1,[3]enemy_skill_sets!$1:$1,0)+1),MATCH(AC$1,[3]enemy_skill_sets!$1:$1,0)-MATCH($AB$1,[3]enemy_skill_sets!$1:$1,0)+1,FALSE)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6" s="67">
        <v>1</v>
      </c>
      <c r="AE1176" s="67">
        <v>1</v>
      </c>
      <c r="AF1176" s="37">
        <v>0</v>
      </c>
      <c r="AG1176" s="99">
        <f>ROUND(VLOOKUP(1,enemy_base_stats!$A:$F,2,FALSE) * Y1176* J1176*O1176*E1176*S1176*AD1176*[2]ステータス!$B$2,0)</f>
        <v>3995</v>
      </c>
      <c r="AH1176" s="99">
        <f>ROUND(VLOOKUP(1,enemy_base_stats!$A:$F,3,FALSE) * Z1176*K1176*P1176*F1176*T1176*AE1176 * W1176*[2]ステータス!$C$2,0)</f>
        <v>276</v>
      </c>
      <c r="AI1176" s="99">
        <f>ROUND(VLOOKUP(1,enemy_base_stats!$A:$F,4,FALSE) * AA1176*L1176*Q1176*G1176*U1176*AF1176*[2]ステータス!$D$2,0)</f>
        <v>0</v>
      </c>
      <c r="AJ1176" s="99">
        <f>ROUND(VLOOKUP(100,enemy_base_stats!$A:$F,2,FALSE) * Y1176* J1176*O1176*E1176*S1176*AD1176*[2]ステータス!$B$2,0)</f>
        <v>162197</v>
      </c>
      <c r="AK1176" s="99">
        <f>ROUND(VLOOKUP(100,enemy_base_stats!$A:$F,3,FALSE)* Z1176* K1176*P1176*F1176*T1176*AE1176 * W1176*[2]ステータス!$C$2,0)</f>
        <v>11192</v>
      </c>
      <c r="AL1176" s="99">
        <f>ROUND(VLOOKUP(100,enemy_base_stats!$A:$F,4,FALSE)* AA1176* L1176*Q1176*G1176*U1176*AF1176*[2]ステータス!$D$2,0)</f>
        <v>0</v>
      </c>
      <c r="AM1176" s="97">
        <f>VLOOKUP(M1176,[2]character_tribe_i18n!$A:$I,9,FALSE)</f>
        <v>400</v>
      </c>
      <c r="AN1176" s="36">
        <v>0</v>
      </c>
      <c r="AO1176" s="53">
        <v>0</v>
      </c>
      <c r="AP1176" s="58" t="s">
        <v>72</v>
      </c>
      <c r="AQ1176" s="71">
        <f t="shared" si="64"/>
        <v>1175</v>
      </c>
    </row>
    <row r="1177" spans="1:43" ht="21" customHeight="1" x14ac:dyDescent="0.15">
      <c r="A1177" s="7">
        <v>1176</v>
      </c>
      <c r="B1177" s="6" t="str">
        <f>VLOOKUP(A1177,[2]characters!$A:$C,3,FALSE)</f>
        <v>夢二夢斬の遊猟 フロイト</v>
      </c>
      <c r="C1177" s="9">
        <f>VLOOKUP(A1177,[2]characters!$A:$I,9,FALSE)</f>
        <v>6</v>
      </c>
      <c r="D1177" s="9" t="str">
        <f>VLOOKUP(A1177,[2]characters!$A:$H,8,FALSE)</f>
        <v>red</v>
      </c>
      <c r="E1177" s="24">
        <f>VLOOKUP(D1177,[2]属性!$A:$E,2,FALSE)</f>
        <v>1</v>
      </c>
      <c r="F1177" s="24">
        <f>VLOOKUP(D1177,[2]属性!$A:$E,3,FALSE)</f>
        <v>1.02</v>
      </c>
      <c r="G1177" s="24">
        <f>VLOOKUP(D1177,[2]属性!$A:$F,4,FALSE)</f>
        <v>1</v>
      </c>
      <c r="H1177" s="9" t="str">
        <f>VLOOKUP(A1177,[2]characters!$A:$K,11,FALSE)</f>
        <v>balance</v>
      </c>
      <c r="I1177" s="14" t="str">
        <f>VLOOKUP(H1177,[2]character_type_i18n!$A:$F,3,FALSE)</f>
        <v>バランスタイプ</v>
      </c>
      <c r="J1177" s="36">
        <f>VLOOKUP(H1177,[2]character_type_i18n!$A:$F,4,FALSE)</f>
        <v>1</v>
      </c>
      <c r="K1177" s="36">
        <f>VLOOKUP(H1177,[2]character_type_i18n!$A:$F,5,FALSE)</f>
        <v>1</v>
      </c>
      <c r="L1177" s="36">
        <f>VLOOKUP(H1177,[2]character_type_i18n!$A:$F,6,FALSE)</f>
        <v>1</v>
      </c>
      <c r="M1177" s="9" t="str">
        <f>VLOOKUP(A1177,[2]characters!$A:$M,13,FALSE)</f>
        <v>academia</v>
      </c>
      <c r="N1177" s="14" t="str">
        <f>VLOOKUP(M1177,[2]character_tribe_i18n!$A:$F,3,FALSE)</f>
        <v>アカデミア</v>
      </c>
      <c r="O1177" s="24">
        <f>VLOOKUP(M1177,[2]character_tribe_i18n!$A:$F,4,FALSE)</f>
        <v>1</v>
      </c>
      <c r="P1177" s="24">
        <f>VLOOKUP(M1177,[2]character_tribe_i18n!$A:$F,5,FALSE)</f>
        <v>1</v>
      </c>
      <c r="Q1177" s="24">
        <f>VLOOKUP(M1177,[2]character_tribe_i18n!$A:$F,6,FALSE)</f>
        <v>1</v>
      </c>
      <c r="R1177" s="25" t="s">
        <v>98</v>
      </c>
      <c r="S1177" s="24">
        <f>VLOOKUP($R1177,ラベル別係数!$A$1:$E$7,3,FALSE)</f>
        <v>5</v>
      </c>
      <c r="T1177" s="24">
        <f>VLOOKUP($R1177,ラベル別係数!$A$1:$E$7,4,FALSE)</f>
        <v>1.3</v>
      </c>
      <c r="U1177" s="24">
        <f>VLOOKUP($R1177,ラベル別係数!$A$1:$E$7,5,FALSE)</f>
        <v>0.8</v>
      </c>
      <c r="V1177" s="27">
        <v>3</v>
      </c>
      <c r="W1177" s="28">
        <f>VLOOKUP(V1177,ターン数別攻撃係数!$A$1:$B$1000,2,FALSE)</f>
        <v>1</v>
      </c>
      <c r="X1177" s="9">
        <f>VLOOKUP(C1177,サイズ別係数!A$2:B$9,2,FALSE)</f>
        <v>60</v>
      </c>
      <c r="Y1177" s="26">
        <f>VLOOKUP($X1177,サイズ別係数!$B:$E,2,FALSE)</f>
        <v>1.7</v>
      </c>
      <c r="Z1177" s="26">
        <f>VLOOKUP($X1177,サイズ別係数!$B:$E,3,FALSE)</f>
        <v>1.4</v>
      </c>
      <c r="AA1177" s="26">
        <f>VLOOKUP($X1177,サイズ別係数!$B:$E,4,FALSE)</f>
        <v>1</v>
      </c>
      <c r="AB1177" s="5">
        <v>0</v>
      </c>
      <c r="AC1177" s="34" t="str">
        <f ca="1">VLOOKUP($AB1177,OFFSET([3]enemy_skill_sets!$B$2,0,0,COUNTA([3]enemy_skill_sets!$A:$A),MATCH(AC$1,[3]enemy_skill_sets!$1:$1,0)-MATCH($AB$1,[3]enemy_skill_sets!$1:$1,0)+1),MATCH(AC$1,[3]enemy_skill_sets!$1:$1,0)-MATCH($AB$1,[3]enemy_skill_sets!$1:$1,0)+1,FALSE)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7" s="67">
        <v>1</v>
      </c>
      <c r="AE1177" s="67">
        <v>1</v>
      </c>
      <c r="AF1177" s="37">
        <v>0</v>
      </c>
      <c r="AG1177" s="99">
        <f>ROUND(VLOOKUP(1,enemy_base_stats!$A:$F,2,FALSE) * Y1177* J1177*O1177*E1177*S1177*AD1177*[2]ステータス!$B$2,0)</f>
        <v>4250</v>
      </c>
      <c r="AH1177" s="99">
        <f>ROUND(VLOOKUP(1,enemy_base_stats!$A:$F,3,FALSE) * Z1177*K1177*P1177*F1177*T1177*AE1177 * W1177*[2]ステータス!$C$2,0)</f>
        <v>278</v>
      </c>
      <c r="AI1177" s="99">
        <f>ROUND(VLOOKUP(1,enemy_base_stats!$A:$F,4,FALSE) * AA1177*L1177*Q1177*G1177*U1177*AF1177*[2]ステータス!$D$2,0)</f>
        <v>0</v>
      </c>
      <c r="AJ1177" s="99">
        <f>ROUND(VLOOKUP(100,enemy_base_stats!$A:$F,2,FALSE) * Y1177* J1177*O1177*E1177*S1177*AD1177*[2]ステータス!$B$2,0)</f>
        <v>172550</v>
      </c>
      <c r="AK1177" s="99">
        <f>ROUND(VLOOKUP(100,enemy_base_stats!$A:$F,3,FALSE)* Z1177* K1177*P1177*F1177*T1177*AE1177 * W1177*[2]ステータス!$C$2,0)</f>
        <v>11305</v>
      </c>
      <c r="AL1177" s="99">
        <f>ROUND(VLOOKUP(100,enemy_base_stats!$A:$F,4,FALSE)* AA1177* L1177*Q1177*G1177*U1177*AF1177*[2]ステータス!$D$2,0)</f>
        <v>0</v>
      </c>
      <c r="AM1177" s="97">
        <f>VLOOKUP(M1177,[2]character_tribe_i18n!$A:$I,9,FALSE)</f>
        <v>400</v>
      </c>
      <c r="AN1177" s="36">
        <v>0</v>
      </c>
      <c r="AO1177" s="53">
        <v>0</v>
      </c>
      <c r="AP1177" s="58" t="s">
        <v>72</v>
      </c>
      <c r="AQ1177" s="71">
        <f t="shared" si="64"/>
        <v>1176</v>
      </c>
    </row>
    <row r="1178" spans="1:43" ht="21" customHeight="1" x14ac:dyDescent="0.15">
      <c r="A1178" s="7">
        <v>1177</v>
      </c>
      <c r="B1178" s="6" t="str">
        <f>VLOOKUP(A1178,[2]characters!$A:$C,3,FALSE)</f>
        <v>虚閃を弄する豪輪 オズ</v>
      </c>
      <c r="C1178" s="9">
        <f>VLOOKUP(A1178,[2]characters!$A:$I,9,FALSE)</f>
        <v>6</v>
      </c>
      <c r="D1178" s="9" t="str">
        <f>VLOOKUP(A1178,[2]characters!$A:$H,8,FALSE)</f>
        <v>green</v>
      </c>
      <c r="E1178" s="24">
        <f>VLOOKUP(D1178,[2]属性!$A:$E,2,FALSE)</f>
        <v>1.02</v>
      </c>
      <c r="F1178" s="24">
        <f>VLOOKUP(D1178,[2]属性!$A:$E,3,FALSE)</f>
        <v>0.98</v>
      </c>
      <c r="G1178" s="24">
        <f>VLOOKUP(D1178,[2]属性!$A:$F,4,FALSE)</f>
        <v>1</v>
      </c>
      <c r="H1178" s="9" t="str">
        <f>VLOOKUP(A1178,[2]characters!$A:$K,11,FALSE)</f>
        <v>balance</v>
      </c>
      <c r="I1178" s="14" t="str">
        <f>VLOOKUP(H1178,[2]character_type_i18n!$A:$F,3,FALSE)</f>
        <v>バランスタイプ</v>
      </c>
      <c r="J1178" s="36">
        <f>VLOOKUP(H1178,[2]character_type_i18n!$A:$F,4,FALSE)</f>
        <v>1</v>
      </c>
      <c r="K1178" s="36">
        <f>VLOOKUP(H1178,[2]character_type_i18n!$A:$F,5,FALSE)</f>
        <v>1</v>
      </c>
      <c r="L1178" s="36">
        <f>VLOOKUP(H1178,[2]character_type_i18n!$A:$F,6,FALSE)</f>
        <v>1</v>
      </c>
      <c r="M1178" s="9" t="str">
        <f>VLOOKUP(A1178,[2]characters!$A:$M,13,FALSE)</f>
        <v>human</v>
      </c>
      <c r="N1178" s="14" t="str">
        <f>VLOOKUP(M1178,[2]character_tribe_i18n!$A:$F,3,FALSE)</f>
        <v>ヒューマン</v>
      </c>
      <c r="O1178" s="24">
        <f>VLOOKUP(M1178,[2]character_tribe_i18n!$A:$F,4,FALSE)</f>
        <v>0.94</v>
      </c>
      <c r="P1178" s="24">
        <f>VLOOKUP(M1178,[2]character_tribe_i18n!$A:$F,5,FALSE)</f>
        <v>0.99</v>
      </c>
      <c r="Q1178" s="24">
        <f>VLOOKUP(M1178,[2]character_tribe_i18n!$A:$F,6,FALSE)</f>
        <v>1</v>
      </c>
      <c r="R1178" s="25" t="s">
        <v>98</v>
      </c>
      <c r="S1178" s="24">
        <f>VLOOKUP($R1178,ラベル別係数!$A$1:$E$7,3,FALSE)</f>
        <v>5</v>
      </c>
      <c r="T1178" s="24">
        <f>VLOOKUP($R1178,ラベル別係数!$A$1:$E$7,4,FALSE)</f>
        <v>1.3</v>
      </c>
      <c r="U1178" s="24">
        <f>VLOOKUP($R1178,ラベル別係数!$A$1:$E$7,5,FALSE)</f>
        <v>0.8</v>
      </c>
      <c r="V1178" s="27">
        <v>3</v>
      </c>
      <c r="W1178" s="28">
        <f>VLOOKUP(V1178,ターン数別攻撃係数!$A$1:$B$1000,2,FALSE)</f>
        <v>1</v>
      </c>
      <c r="X1178" s="9">
        <f>VLOOKUP(C1178,サイズ別係数!A$2:B$9,2,FALSE)</f>
        <v>60</v>
      </c>
      <c r="Y1178" s="26">
        <f>VLOOKUP($X1178,サイズ別係数!$B:$E,2,FALSE)</f>
        <v>1.7</v>
      </c>
      <c r="Z1178" s="26">
        <f>VLOOKUP($X1178,サイズ別係数!$B:$E,3,FALSE)</f>
        <v>1.4</v>
      </c>
      <c r="AA1178" s="26">
        <f>VLOOKUP($X1178,サイズ別係数!$B:$E,4,FALSE)</f>
        <v>1</v>
      </c>
      <c r="AB1178" s="5">
        <v>0</v>
      </c>
      <c r="AC1178" s="34" t="str">
        <f ca="1">VLOOKUP($AB1178,OFFSET([3]enemy_skill_sets!$B$2,0,0,COUNTA([3]enemy_skill_sets!$A:$A),MATCH(AC$1,[3]enemy_skill_sets!$1:$1,0)-MATCH($AB$1,[3]enemy_skill_sets!$1:$1,0)+1),MATCH(AC$1,[3]enemy_skill_sets!$1:$1,0)-MATCH($AB$1,[3]enemy_skill_sets!$1:$1,0)+1,FALSE)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8" s="67">
        <v>1</v>
      </c>
      <c r="AE1178" s="67">
        <v>1</v>
      </c>
      <c r="AF1178" s="37">
        <v>0</v>
      </c>
      <c r="AG1178" s="99">
        <f>ROUND(VLOOKUP(1,enemy_base_stats!$A:$F,2,FALSE) * Y1178* J1178*O1178*E1178*S1178*AD1178*[2]ステータス!$B$2,0)</f>
        <v>4075</v>
      </c>
      <c r="AH1178" s="99">
        <f>ROUND(VLOOKUP(1,enemy_base_stats!$A:$F,3,FALSE) * Z1178*K1178*P1178*F1178*T1178*AE1178 * W1178*[2]ステータス!$C$2,0)</f>
        <v>265</v>
      </c>
      <c r="AI1178" s="99">
        <f>ROUND(VLOOKUP(1,enemy_base_stats!$A:$F,4,FALSE) * AA1178*L1178*Q1178*G1178*U1178*AF1178*[2]ステータス!$D$2,0)</f>
        <v>0</v>
      </c>
      <c r="AJ1178" s="99">
        <f>ROUND(VLOOKUP(100,enemy_base_stats!$A:$F,2,FALSE) * Y1178* J1178*O1178*E1178*S1178*AD1178*[2]ステータス!$B$2,0)</f>
        <v>165441</v>
      </c>
      <c r="AK1178" s="99">
        <f>ROUND(VLOOKUP(100,enemy_base_stats!$A:$F,3,FALSE)* Z1178* K1178*P1178*F1178*T1178*AE1178 * W1178*[2]ステータス!$C$2,0)</f>
        <v>10754</v>
      </c>
      <c r="AL1178" s="99">
        <f>ROUND(VLOOKUP(100,enemy_base_stats!$A:$F,4,FALSE)* AA1178* L1178*Q1178*G1178*U1178*AF1178*[2]ステータス!$D$2,0)</f>
        <v>0</v>
      </c>
      <c r="AM1178" s="97">
        <f>VLOOKUP(M1178,[2]character_tribe_i18n!$A:$I,9,FALSE)</f>
        <v>400</v>
      </c>
      <c r="AN1178" s="36">
        <v>0</v>
      </c>
      <c r="AO1178" s="53">
        <v>0</v>
      </c>
      <c r="AP1178" s="58" t="s">
        <v>72</v>
      </c>
      <c r="AQ1178" s="71">
        <f t="shared" si="64"/>
        <v>1177</v>
      </c>
    </row>
    <row r="1179" spans="1:43" ht="21" customHeight="1" x14ac:dyDescent="0.15">
      <c r="A1179" s="7">
        <v>1178</v>
      </c>
      <c r="B1179" s="6" t="str">
        <f>VLOOKUP(A1179,[2]characters!$A:$C,3,FALSE)</f>
        <v>大蒐集総力戦 グリム</v>
      </c>
      <c r="C1179" s="9">
        <f>VLOOKUP(A1179,[2]characters!$A:$I,9,FALSE)</f>
        <v>6</v>
      </c>
      <c r="D1179" s="9" t="str">
        <f>VLOOKUP(A1179,[2]characters!$A:$H,8,FALSE)</f>
        <v>green</v>
      </c>
      <c r="E1179" s="24">
        <f>VLOOKUP(D1179,[2]属性!$A:$E,2,FALSE)</f>
        <v>1.02</v>
      </c>
      <c r="F1179" s="24">
        <f>VLOOKUP(D1179,[2]属性!$A:$E,3,FALSE)</f>
        <v>0.98</v>
      </c>
      <c r="G1179" s="24">
        <f>VLOOKUP(D1179,[2]属性!$A:$F,4,FALSE)</f>
        <v>1</v>
      </c>
      <c r="H1179" s="9" t="str">
        <f>VLOOKUP(A1179,[2]characters!$A:$K,11,FALSE)</f>
        <v>attack</v>
      </c>
      <c r="I1179" s="14" t="str">
        <f>VLOOKUP(H1179,[2]character_type_i18n!$A:$F,3,FALSE)</f>
        <v>攻撃タイプ</v>
      </c>
      <c r="J1179" s="36">
        <f>VLOOKUP(H1179,[2]character_type_i18n!$A:$F,4,FALSE)</f>
        <v>1</v>
      </c>
      <c r="K1179" s="36">
        <f>VLOOKUP(H1179,[2]character_type_i18n!$A:$F,5,FALSE)</f>
        <v>1.33</v>
      </c>
      <c r="L1179" s="36">
        <f>VLOOKUP(H1179,[2]character_type_i18n!$A:$F,6,FALSE)</f>
        <v>1</v>
      </c>
      <c r="M1179" s="9" t="str">
        <f>VLOOKUP(A1179,[2]characters!$A:$M,13,FALSE)</f>
        <v>unknown</v>
      </c>
      <c r="N1179" s="14" t="str">
        <f>VLOOKUP(M1179,[2]character_tribe_i18n!$A:$F,3,FALSE)</f>
        <v>Unknown</v>
      </c>
      <c r="O1179" s="24">
        <f>VLOOKUP(M1179,[2]character_tribe_i18n!$A:$F,4,FALSE)</f>
        <v>1</v>
      </c>
      <c r="P1179" s="24">
        <f>VLOOKUP(M1179,[2]character_tribe_i18n!$A:$F,5,FALSE)</f>
        <v>1</v>
      </c>
      <c r="Q1179" s="24">
        <f>VLOOKUP(M1179,[2]character_tribe_i18n!$A:$F,6,FALSE)</f>
        <v>1</v>
      </c>
      <c r="R1179" s="25" t="s">
        <v>98</v>
      </c>
      <c r="S1179" s="24">
        <f>VLOOKUP($R1179,ラベル別係数!$A$1:$E$7,3,FALSE)</f>
        <v>5</v>
      </c>
      <c r="T1179" s="24">
        <f>VLOOKUP($R1179,ラベル別係数!$A$1:$E$7,4,FALSE)</f>
        <v>1.3</v>
      </c>
      <c r="U1179" s="24">
        <f>VLOOKUP($R1179,ラベル別係数!$A$1:$E$7,5,FALSE)</f>
        <v>0.8</v>
      </c>
      <c r="V1179" s="27">
        <v>3</v>
      </c>
      <c r="W1179" s="28">
        <f>VLOOKUP(V1179,ターン数別攻撃係数!$A$1:$B$1000,2,FALSE)</f>
        <v>1</v>
      </c>
      <c r="X1179" s="9">
        <f>VLOOKUP(C1179,サイズ別係数!A$2:B$9,2,FALSE)</f>
        <v>60</v>
      </c>
      <c r="Y1179" s="26">
        <f>VLOOKUP($X1179,サイズ別係数!$B:$E,2,FALSE)</f>
        <v>1.7</v>
      </c>
      <c r="Z1179" s="26">
        <f>VLOOKUP($X1179,サイズ別係数!$B:$E,3,FALSE)</f>
        <v>1.4</v>
      </c>
      <c r="AA1179" s="26">
        <f>VLOOKUP($X1179,サイズ別係数!$B:$E,4,FALSE)</f>
        <v>1</v>
      </c>
      <c r="AB1179" s="5">
        <v>0</v>
      </c>
      <c r="AC1179" s="34" t="str">
        <f ca="1">VLOOKUP($AB1179,OFFSET([3]enemy_skill_sets!$B$2,0,0,COUNTA([3]enemy_skill_sets!$A:$A),MATCH(AC$1,[3]enemy_skill_sets!$1:$1,0)-MATCH($AB$1,[3]enemy_skill_sets!$1:$1,0)+1),MATCH(AC$1,[3]enemy_skill_sets!$1:$1,0)-MATCH($AB$1,[3]enemy_skill_sets!$1:$1,0)+1,FALSE)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79" s="67">
        <v>1</v>
      </c>
      <c r="AE1179" s="67">
        <v>1</v>
      </c>
      <c r="AF1179" s="37">
        <v>0</v>
      </c>
      <c r="AG1179" s="99">
        <f>ROUND(VLOOKUP(1,enemy_base_stats!$A:$F,2,FALSE) * Y1179* J1179*O1179*E1179*S1179*AD1179*[2]ステータス!$B$2,0)</f>
        <v>4335</v>
      </c>
      <c r="AH1179" s="99">
        <f>ROUND(VLOOKUP(1,enemy_base_stats!$A:$F,3,FALSE) * Z1179*K1179*P1179*F1179*T1179*AE1179 * W1179*[2]ステータス!$C$2,0)</f>
        <v>356</v>
      </c>
      <c r="AI1179" s="99">
        <f>ROUND(VLOOKUP(1,enemy_base_stats!$A:$F,4,FALSE) * AA1179*L1179*Q1179*G1179*U1179*AF1179*[2]ステータス!$D$2,0)</f>
        <v>0</v>
      </c>
      <c r="AJ1179" s="99">
        <f>ROUND(VLOOKUP(100,enemy_base_stats!$A:$F,2,FALSE) * Y1179* J1179*O1179*E1179*S1179*AD1179*[2]ステータス!$B$2,0)</f>
        <v>176001</v>
      </c>
      <c r="AK1179" s="99">
        <f>ROUND(VLOOKUP(100,enemy_base_stats!$A:$F,3,FALSE)* Z1179* K1179*P1179*F1179*T1179*AE1179 * W1179*[2]ステータス!$C$2,0)</f>
        <v>14447</v>
      </c>
      <c r="AL1179" s="99">
        <f>ROUND(VLOOKUP(100,enemy_base_stats!$A:$F,4,FALSE)* AA1179* L1179*Q1179*G1179*U1179*AF1179*[2]ステータス!$D$2,0)</f>
        <v>0</v>
      </c>
      <c r="AM1179" s="97">
        <f>VLOOKUP(M1179,[2]character_tribe_i18n!$A:$I,9,FALSE)</f>
        <v>340</v>
      </c>
      <c r="AN1179" s="36">
        <v>0</v>
      </c>
      <c r="AO1179" s="53">
        <v>0</v>
      </c>
      <c r="AP1179" s="58" t="s">
        <v>72</v>
      </c>
      <c r="AQ1179" s="71">
        <f t="shared" si="64"/>
        <v>1178</v>
      </c>
    </row>
    <row r="1180" spans="1:43" ht="21" customHeight="1" x14ac:dyDescent="0.15">
      <c r="A1180" s="7">
        <v>1179</v>
      </c>
      <c r="B1180" s="6" t="str">
        <f>VLOOKUP(A1180,[2]characters!$A:$C,3,FALSE)</f>
        <v>厳核なる巨大炉 ハイゼンベルク</v>
      </c>
      <c r="C1180" s="9">
        <f>VLOOKUP(A1180,[2]characters!$A:$I,9,FALSE)</f>
        <v>6</v>
      </c>
      <c r="D1180" s="9" t="str">
        <f>VLOOKUP(A1180,[2]characters!$A:$H,8,FALSE)</f>
        <v>green</v>
      </c>
      <c r="E1180" s="24">
        <f>VLOOKUP(D1180,[2]属性!$A:$E,2,FALSE)</f>
        <v>1.02</v>
      </c>
      <c r="F1180" s="24">
        <f>VLOOKUP(D1180,[2]属性!$A:$E,3,FALSE)</f>
        <v>0.98</v>
      </c>
      <c r="G1180" s="24">
        <f>VLOOKUP(D1180,[2]属性!$A:$F,4,FALSE)</f>
        <v>1</v>
      </c>
      <c r="H1180" s="9" t="str">
        <f>VLOOKUP(A1180,[2]characters!$A:$K,11,FALSE)</f>
        <v>attack</v>
      </c>
      <c r="I1180" s="14" t="str">
        <f>VLOOKUP(H1180,[2]character_type_i18n!$A:$F,3,FALSE)</f>
        <v>攻撃タイプ</v>
      </c>
      <c r="J1180" s="36">
        <f>VLOOKUP(H1180,[2]character_type_i18n!$A:$F,4,FALSE)</f>
        <v>1</v>
      </c>
      <c r="K1180" s="36">
        <f>VLOOKUP(H1180,[2]character_type_i18n!$A:$F,5,FALSE)</f>
        <v>1.33</v>
      </c>
      <c r="L1180" s="36">
        <f>VLOOKUP(H1180,[2]character_type_i18n!$A:$F,6,FALSE)</f>
        <v>1</v>
      </c>
      <c r="M1180" s="9" t="str">
        <f>VLOOKUP(A1180,[2]characters!$A:$M,13,FALSE)</f>
        <v>academia</v>
      </c>
      <c r="N1180" s="14" t="str">
        <f>VLOOKUP(M1180,[2]character_tribe_i18n!$A:$F,3,FALSE)</f>
        <v>アカデミア</v>
      </c>
      <c r="O1180" s="24">
        <f>VLOOKUP(M1180,[2]character_tribe_i18n!$A:$F,4,FALSE)</f>
        <v>1</v>
      </c>
      <c r="P1180" s="24">
        <f>VLOOKUP(M1180,[2]character_tribe_i18n!$A:$F,5,FALSE)</f>
        <v>1</v>
      </c>
      <c r="Q1180" s="24">
        <f>VLOOKUP(M1180,[2]character_tribe_i18n!$A:$F,6,FALSE)</f>
        <v>1</v>
      </c>
      <c r="R1180" s="25" t="s">
        <v>98</v>
      </c>
      <c r="S1180" s="24">
        <f>VLOOKUP($R1180,ラベル別係数!$A$1:$E$7,3,FALSE)</f>
        <v>5</v>
      </c>
      <c r="T1180" s="24">
        <f>VLOOKUP($R1180,ラベル別係数!$A$1:$E$7,4,FALSE)</f>
        <v>1.3</v>
      </c>
      <c r="U1180" s="24">
        <f>VLOOKUP($R1180,ラベル別係数!$A$1:$E$7,5,FALSE)</f>
        <v>0.8</v>
      </c>
      <c r="V1180" s="27">
        <v>3</v>
      </c>
      <c r="W1180" s="28">
        <f>VLOOKUP(V1180,ターン数別攻撃係数!$A$1:$B$1000,2,FALSE)</f>
        <v>1</v>
      </c>
      <c r="X1180" s="9">
        <f>VLOOKUP(C1180,サイズ別係数!A$2:B$9,2,FALSE)</f>
        <v>60</v>
      </c>
      <c r="Y1180" s="26">
        <f>VLOOKUP($X1180,サイズ別係数!$B:$E,2,FALSE)</f>
        <v>1.7</v>
      </c>
      <c r="Z1180" s="26">
        <f>VLOOKUP($X1180,サイズ別係数!$B:$E,3,FALSE)</f>
        <v>1.4</v>
      </c>
      <c r="AA1180" s="26">
        <f>VLOOKUP($X1180,サイズ別係数!$B:$E,4,FALSE)</f>
        <v>1</v>
      </c>
      <c r="AB1180" s="5">
        <v>0</v>
      </c>
      <c r="AC1180" s="34" t="str">
        <f ca="1">VLOOKUP($AB1180,OFFSET([3]enemy_skill_sets!$B$2,0,0,COUNTA([3]enemy_skill_sets!$A:$A),MATCH(AC$1,[3]enemy_skill_sets!$1:$1,0)-MATCH($AB$1,[3]enemy_skill_sets!$1:$1,0)+1),MATCH(AC$1,[3]enemy_skill_sets!$1:$1,0)-MATCH($AB$1,[3]enemy_skill_sets!$1:$1,0)+1,FALSE)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0" s="67">
        <v>1</v>
      </c>
      <c r="AE1180" s="67">
        <v>1</v>
      </c>
      <c r="AF1180" s="37">
        <v>0</v>
      </c>
      <c r="AG1180" s="99">
        <f>ROUND(VLOOKUP(1,enemy_base_stats!$A:$F,2,FALSE) * Y1180* J1180*O1180*E1180*S1180*AD1180*[2]ステータス!$B$2,0)</f>
        <v>4335</v>
      </c>
      <c r="AH1180" s="99">
        <f>ROUND(VLOOKUP(1,enemy_base_stats!$A:$F,3,FALSE) * Z1180*K1180*P1180*F1180*T1180*AE1180 * W1180*[2]ステータス!$C$2,0)</f>
        <v>356</v>
      </c>
      <c r="AI1180" s="99">
        <f>ROUND(VLOOKUP(1,enemy_base_stats!$A:$F,4,FALSE) * AA1180*L1180*Q1180*G1180*U1180*AF1180*[2]ステータス!$D$2,0)</f>
        <v>0</v>
      </c>
      <c r="AJ1180" s="99">
        <f>ROUND(VLOOKUP(100,enemy_base_stats!$A:$F,2,FALSE) * Y1180* J1180*O1180*E1180*S1180*AD1180*[2]ステータス!$B$2,0)</f>
        <v>176001</v>
      </c>
      <c r="AK1180" s="99">
        <f>ROUND(VLOOKUP(100,enemy_base_stats!$A:$F,3,FALSE)* Z1180* K1180*P1180*F1180*T1180*AE1180 * W1180*[2]ステータス!$C$2,0)</f>
        <v>14447</v>
      </c>
      <c r="AL1180" s="99">
        <f>ROUND(VLOOKUP(100,enemy_base_stats!$A:$F,4,FALSE)* AA1180* L1180*Q1180*G1180*U1180*AF1180*[2]ステータス!$D$2,0)</f>
        <v>0</v>
      </c>
      <c r="AM1180" s="97">
        <f>VLOOKUP(M1180,[2]character_tribe_i18n!$A:$I,9,FALSE)</f>
        <v>400</v>
      </c>
      <c r="AN1180" s="36">
        <v>0</v>
      </c>
      <c r="AO1180" s="53">
        <v>0</v>
      </c>
      <c r="AP1180" s="58" t="s">
        <v>72</v>
      </c>
      <c r="AQ1180" s="71">
        <f t="shared" si="64"/>
        <v>1179</v>
      </c>
    </row>
    <row r="1181" spans="1:43" ht="21" customHeight="1" x14ac:dyDescent="0.15">
      <c r="A1181" s="7">
        <v>1180</v>
      </c>
      <c r="B1181" s="6" t="str">
        <f>VLOOKUP(A1181,[2]characters!$A:$C,3,FALSE)</f>
        <v>毅戦たる蒼機神 オーディン</v>
      </c>
      <c r="C1181" s="9">
        <f>VLOOKUP(A1181,[2]characters!$A:$I,9,FALSE)</f>
        <v>6</v>
      </c>
      <c r="D1181" s="9" t="str">
        <f>VLOOKUP(A1181,[2]characters!$A:$H,8,FALSE)</f>
        <v>blue</v>
      </c>
      <c r="E1181" s="24">
        <f>VLOOKUP(D1181,[2]属性!$A:$E,2,FALSE)</f>
        <v>1</v>
      </c>
      <c r="F1181" s="24">
        <f>VLOOKUP(D1181,[2]属性!$A:$E,3,FALSE)</f>
        <v>0.98</v>
      </c>
      <c r="G1181" s="24">
        <f>VLOOKUP(D1181,[2]属性!$A:$F,4,FALSE)</f>
        <v>1</v>
      </c>
      <c r="H1181" s="9" t="str">
        <f>VLOOKUP(A1181,[2]characters!$A:$K,11,FALSE)</f>
        <v>hp</v>
      </c>
      <c r="I1181" s="14" t="str">
        <f>VLOOKUP(H1181,[2]character_type_i18n!$A:$F,3,FALSE)</f>
        <v>体力タイプ</v>
      </c>
      <c r="J1181" s="36">
        <f>VLOOKUP(H1181,[2]character_type_i18n!$A:$F,4,FALSE)</f>
        <v>1.45</v>
      </c>
      <c r="K1181" s="36">
        <f>VLOOKUP(H1181,[2]character_type_i18n!$A:$F,5,FALSE)</f>
        <v>0.85</v>
      </c>
      <c r="L1181" s="36">
        <f>VLOOKUP(H1181,[2]character_type_i18n!$A:$F,6,FALSE)</f>
        <v>1</v>
      </c>
      <c r="M1181" s="9" t="str">
        <f>VLOOKUP(A1181,[2]characters!$A:$M,13,FALSE)</f>
        <v>machine</v>
      </c>
      <c r="N1181" s="14" t="str">
        <f>VLOOKUP(M1181,[2]character_tribe_i18n!$A:$F,3,FALSE)</f>
        <v>マシン</v>
      </c>
      <c r="O1181" s="24">
        <f>VLOOKUP(M1181,[2]character_tribe_i18n!$A:$F,4,FALSE)</f>
        <v>1</v>
      </c>
      <c r="P1181" s="24">
        <f>VLOOKUP(M1181,[2]character_tribe_i18n!$A:$F,5,FALSE)</f>
        <v>1</v>
      </c>
      <c r="Q1181" s="24">
        <f>VLOOKUP(M1181,[2]character_tribe_i18n!$A:$F,6,FALSE)</f>
        <v>1</v>
      </c>
      <c r="R1181" s="25" t="s">
        <v>98</v>
      </c>
      <c r="S1181" s="24">
        <f>VLOOKUP($R1181,ラベル別係数!$A$1:$E$7,3,FALSE)</f>
        <v>5</v>
      </c>
      <c r="T1181" s="24">
        <f>VLOOKUP($R1181,ラベル別係数!$A$1:$E$7,4,FALSE)</f>
        <v>1.3</v>
      </c>
      <c r="U1181" s="24">
        <f>VLOOKUP($R1181,ラベル別係数!$A$1:$E$7,5,FALSE)</f>
        <v>0.8</v>
      </c>
      <c r="V1181" s="27">
        <v>3</v>
      </c>
      <c r="W1181" s="28">
        <f>VLOOKUP(V1181,ターン数別攻撃係数!$A$1:$B$1000,2,FALSE)</f>
        <v>1</v>
      </c>
      <c r="X1181" s="9">
        <f>VLOOKUP(C1181,サイズ別係数!A$2:B$9,2,FALSE)</f>
        <v>60</v>
      </c>
      <c r="Y1181" s="26">
        <f>VLOOKUP($X1181,サイズ別係数!$B:$E,2,FALSE)</f>
        <v>1.7</v>
      </c>
      <c r="Z1181" s="26">
        <f>VLOOKUP($X1181,サイズ別係数!$B:$E,3,FALSE)</f>
        <v>1.4</v>
      </c>
      <c r="AA1181" s="26">
        <f>VLOOKUP($X1181,サイズ別係数!$B:$E,4,FALSE)</f>
        <v>1</v>
      </c>
      <c r="AB1181" s="5">
        <v>0</v>
      </c>
      <c r="AC1181" s="34" t="str">
        <f ca="1">VLOOKUP($AB1181,OFFSET([3]enemy_skill_sets!$B$2,0,0,COUNTA([3]enemy_skill_sets!$A:$A),MATCH(AC$1,[3]enemy_skill_sets!$1:$1,0)-MATCH($AB$1,[3]enemy_skill_sets!$1:$1,0)+1),MATCH(AC$1,[3]enemy_skill_sets!$1:$1,0)-MATCH($AB$1,[3]enemy_skill_sets!$1:$1,0)+1,FALSE)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1" s="67">
        <v>1</v>
      </c>
      <c r="AE1181" s="67">
        <v>1</v>
      </c>
      <c r="AF1181" s="37">
        <v>0</v>
      </c>
      <c r="AG1181" s="99">
        <f>ROUND(VLOOKUP(1,enemy_base_stats!$A:$F,2,FALSE) * Y1181* J1181*O1181*E1181*S1181*AD1181*[2]ステータス!$B$2,0)</f>
        <v>6163</v>
      </c>
      <c r="AH1181" s="99">
        <f>ROUND(VLOOKUP(1,enemy_base_stats!$A:$F,3,FALSE) * Z1181*K1181*P1181*F1181*T1181*AE1181 * W1181*[2]ステータス!$C$2,0)</f>
        <v>227</v>
      </c>
      <c r="AI1181" s="99">
        <f>ROUND(VLOOKUP(1,enemy_base_stats!$A:$F,4,FALSE) * AA1181*L1181*Q1181*G1181*U1181*AF1181*[2]ステータス!$D$2,0)</f>
        <v>0</v>
      </c>
      <c r="AJ1181" s="99">
        <f>ROUND(VLOOKUP(100,enemy_base_stats!$A:$F,2,FALSE) * Y1181* J1181*O1181*E1181*S1181*AD1181*[2]ステータス!$B$2,0)</f>
        <v>250198</v>
      </c>
      <c r="AK1181" s="99">
        <f>ROUND(VLOOKUP(100,enemy_base_stats!$A:$F,3,FALSE)* Z1181* K1181*P1181*F1181*T1181*AE1181 * W1181*[2]ステータス!$C$2,0)</f>
        <v>9233</v>
      </c>
      <c r="AL1181" s="99">
        <f>ROUND(VLOOKUP(100,enemy_base_stats!$A:$F,4,FALSE)* AA1181* L1181*Q1181*G1181*U1181*AF1181*[2]ステータス!$D$2,0)</f>
        <v>0</v>
      </c>
      <c r="AM1181" s="97">
        <f>VLOOKUP(M1181,[2]character_tribe_i18n!$A:$I,9,FALSE)</f>
        <v>520</v>
      </c>
      <c r="AN1181" s="36">
        <v>0</v>
      </c>
      <c r="AO1181" s="53">
        <v>0</v>
      </c>
      <c r="AP1181" s="58" t="s">
        <v>72</v>
      </c>
      <c r="AQ1181" s="71">
        <f t="shared" si="64"/>
        <v>1180</v>
      </c>
    </row>
    <row r="1182" spans="1:43" ht="21" customHeight="1" x14ac:dyDescent="0.15">
      <c r="A1182" s="7">
        <v>1181</v>
      </c>
      <c r="B1182" s="6" t="str">
        <f>VLOOKUP(A1182,[2]characters!$A:$C,3,FALSE)</f>
        <v>永存の究極論 ユークリッド</v>
      </c>
      <c r="C1182" s="9">
        <f>VLOOKUP(A1182,[2]characters!$A:$I,9,FALSE)</f>
        <v>6</v>
      </c>
      <c r="D1182" s="9" t="str">
        <f>VLOOKUP(A1182,[2]characters!$A:$H,8,FALSE)</f>
        <v>blue</v>
      </c>
      <c r="E1182" s="24">
        <f>VLOOKUP(D1182,[2]属性!$A:$E,2,FALSE)</f>
        <v>1</v>
      </c>
      <c r="F1182" s="24">
        <f>VLOOKUP(D1182,[2]属性!$A:$E,3,FALSE)</f>
        <v>0.98</v>
      </c>
      <c r="G1182" s="24">
        <f>VLOOKUP(D1182,[2]属性!$A:$F,4,FALSE)</f>
        <v>1</v>
      </c>
      <c r="H1182" s="9" t="str">
        <f>VLOOKUP(A1182,[2]characters!$A:$K,11,FALSE)</f>
        <v>balance</v>
      </c>
      <c r="I1182" s="14" t="str">
        <f>VLOOKUP(H1182,[2]character_type_i18n!$A:$F,3,FALSE)</f>
        <v>バランスタイプ</v>
      </c>
      <c r="J1182" s="36">
        <f>VLOOKUP(H1182,[2]character_type_i18n!$A:$F,4,FALSE)</f>
        <v>1</v>
      </c>
      <c r="K1182" s="36">
        <f>VLOOKUP(H1182,[2]character_type_i18n!$A:$F,5,FALSE)</f>
        <v>1</v>
      </c>
      <c r="L1182" s="36">
        <f>VLOOKUP(H1182,[2]character_type_i18n!$A:$F,6,FALSE)</f>
        <v>1</v>
      </c>
      <c r="M1182" s="9" t="str">
        <f>VLOOKUP(A1182,[2]characters!$A:$M,13,FALSE)</f>
        <v>academia</v>
      </c>
      <c r="N1182" s="14" t="str">
        <f>VLOOKUP(M1182,[2]character_tribe_i18n!$A:$F,3,FALSE)</f>
        <v>アカデミア</v>
      </c>
      <c r="O1182" s="24">
        <f>VLOOKUP(M1182,[2]character_tribe_i18n!$A:$F,4,FALSE)</f>
        <v>1</v>
      </c>
      <c r="P1182" s="24">
        <f>VLOOKUP(M1182,[2]character_tribe_i18n!$A:$F,5,FALSE)</f>
        <v>1</v>
      </c>
      <c r="Q1182" s="24">
        <f>VLOOKUP(M1182,[2]character_tribe_i18n!$A:$F,6,FALSE)</f>
        <v>1</v>
      </c>
      <c r="R1182" s="25" t="s">
        <v>98</v>
      </c>
      <c r="S1182" s="24">
        <f>VLOOKUP($R1182,ラベル別係数!$A$1:$E$7,3,FALSE)</f>
        <v>5</v>
      </c>
      <c r="T1182" s="24">
        <f>VLOOKUP($R1182,ラベル別係数!$A$1:$E$7,4,FALSE)</f>
        <v>1.3</v>
      </c>
      <c r="U1182" s="24">
        <f>VLOOKUP($R1182,ラベル別係数!$A$1:$E$7,5,FALSE)</f>
        <v>0.8</v>
      </c>
      <c r="V1182" s="27">
        <v>3</v>
      </c>
      <c r="W1182" s="28">
        <f>VLOOKUP(V1182,ターン数別攻撃係数!$A$1:$B$1000,2,FALSE)</f>
        <v>1</v>
      </c>
      <c r="X1182" s="9">
        <f>VLOOKUP(C1182,サイズ別係数!A$2:B$9,2,FALSE)</f>
        <v>60</v>
      </c>
      <c r="Y1182" s="26">
        <f>VLOOKUP($X1182,サイズ別係数!$B:$E,2,FALSE)</f>
        <v>1.7</v>
      </c>
      <c r="Z1182" s="26">
        <f>VLOOKUP($X1182,サイズ別係数!$B:$E,3,FALSE)</f>
        <v>1.4</v>
      </c>
      <c r="AA1182" s="26">
        <f>VLOOKUP($X1182,サイズ別係数!$B:$E,4,FALSE)</f>
        <v>1</v>
      </c>
      <c r="AB1182" s="5">
        <v>0</v>
      </c>
      <c r="AC1182" s="34" t="str">
        <f ca="1">VLOOKUP($AB1182,OFFSET([3]enemy_skill_sets!$B$2,0,0,COUNTA([3]enemy_skill_sets!$A:$A),MATCH(AC$1,[3]enemy_skill_sets!$1:$1,0)-MATCH($AB$1,[3]enemy_skill_sets!$1:$1,0)+1),MATCH(AC$1,[3]enemy_skill_sets!$1:$1,0)-MATCH($AB$1,[3]enemy_skill_sets!$1:$1,0)+1,FALSE)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2" s="67">
        <v>1</v>
      </c>
      <c r="AE1182" s="67">
        <v>1</v>
      </c>
      <c r="AF1182" s="37">
        <v>0</v>
      </c>
      <c r="AG1182" s="99">
        <f>ROUND(VLOOKUP(1,enemy_base_stats!$A:$F,2,FALSE) * Y1182* J1182*O1182*E1182*S1182*AD1182*[2]ステータス!$B$2,0)</f>
        <v>4250</v>
      </c>
      <c r="AH1182" s="99">
        <f>ROUND(VLOOKUP(1,enemy_base_stats!$A:$F,3,FALSE) * Z1182*K1182*P1182*F1182*T1182*AE1182 * W1182*[2]ステータス!$C$2,0)</f>
        <v>268</v>
      </c>
      <c r="AI1182" s="99">
        <f>ROUND(VLOOKUP(1,enemy_base_stats!$A:$F,4,FALSE) * AA1182*L1182*Q1182*G1182*U1182*AF1182*[2]ステータス!$D$2,0)</f>
        <v>0</v>
      </c>
      <c r="AJ1182" s="99">
        <f>ROUND(VLOOKUP(100,enemy_base_stats!$A:$F,2,FALSE) * Y1182* J1182*O1182*E1182*S1182*AD1182*[2]ステータス!$B$2,0)</f>
        <v>172550</v>
      </c>
      <c r="AK1182" s="99">
        <f>ROUND(VLOOKUP(100,enemy_base_stats!$A:$F,3,FALSE)* Z1182* K1182*P1182*F1182*T1182*AE1182 * W1182*[2]ステータス!$C$2,0)</f>
        <v>10862</v>
      </c>
      <c r="AL1182" s="99">
        <f>ROUND(VLOOKUP(100,enemy_base_stats!$A:$F,4,FALSE)* AA1182* L1182*Q1182*G1182*U1182*AF1182*[2]ステータス!$D$2,0)</f>
        <v>0</v>
      </c>
      <c r="AM1182" s="97">
        <f>VLOOKUP(M1182,[2]character_tribe_i18n!$A:$I,9,FALSE)</f>
        <v>400</v>
      </c>
      <c r="AN1182" s="36">
        <v>0</v>
      </c>
      <c r="AO1182" s="53">
        <v>0</v>
      </c>
      <c r="AP1182" s="58" t="s">
        <v>72</v>
      </c>
      <c r="AQ1182" s="71">
        <f t="shared" si="64"/>
        <v>1181</v>
      </c>
    </row>
    <row r="1183" spans="1:43" ht="21" customHeight="1" x14ac:dyDescent="0.15">
      <c r="A1183" s="7">
        <v>1182</v>
      </c>
      <c r="B1183" s="6" t="str">
        <f>VLOOKUP(A1183,[2]characters!$A:$C,3,FALSE)</f>
        <v>黄金螺旋の閃鋼機 フィボナッチ</v>
      </c>
      <c r="C1183" s="9">
        <f>VLOOKUP(A1183,[2]characters!$A:$I,9,FALSE)</f>
        <v>6</v>
      </c>
      <c r="D1183" s="9" t="str">
        <f>VLOOKUP(A1183,[2]characters!$A:$H,8,FALSE)</f>
        <v>blue</v>
      </c>
      <c r="E1183" s="24">
        <f>VLOOKUP(D1183,[2]属性!$A:$E,2,FALSE)</f>
        <v>1</v>
      </c>
      <c r="F1183" s="24">
        <f>VLOOKUP(D1183,[2]属性!$A:$E,3,FALSE)</f>
        <v>0.98</v>
      </c>
      <c r="G1183" s="24">
        <f>VLOOKUP(D1183,[2]属性!$A:$F,4,FALSE)</f>
        <v>1</v>
      </c>
      <c r="H1183" s="9" t="str">
        <f>VLOOKUP(A1183,[2]characters!$A:$K,11,FALSE)</f>
        <v>balance</v>
      </c>
      <c r="I1183" s="14" t="str">
        <f>VLOOKUP(H1183,[2]character_type_i18n!$A:$F,3,FALSE)</f>
        <v>バランスタイプ</v>
      </c>
      <c r="J1183" s="36">
        <f>VLOOKUP(H1183,[2]character_type_i18n!$A:$F,4,FALSE)</f>
        <v>1</v>
      </c>
      <c r="K1183" s="36">
        <f>VLOOKUP(H1183,[2]character_type_i18n!$A:$F,5,FALSE)</f>
        <v>1</v>
      </c>
      <c r="L1183" s="36">
        <f>VLOOKUP(H1183,[2]character_type_i18n!$A:$F,6,FALSE)</f>
        <v>1</v>
      </c>
      <c r="M1183" s="9" t="str">
        <f>VLOOKUP(A1183,[2]characters!$A:$M,13,FALSE)</f>
        <v>academia</v>
      </c>
      <c r="N1183" s="14" t="str">
        <f>VLOOKUP(M1183,[2]character_tribe_i18n!$A:$F,3,FALSE)</f>
        <v>アカデミア</v>
      </c>
      <c r="O1183" s="24">
        <f>VLOOKUP(M1183,[2]character_tribe_i18n!$A:$F,4,FALSE)</f>
        <v>1</v>
      </c>
      <c r="P1183" s="24">
        <f>VLOOKUP(M1183,[2]character_tribe_i18n!$A:$F,5,FALSE)</f>
        <v>1</v>
      </c>
      <c r="Q1183" s="24">
        <f>VLOOKUP(M1183,[2]character_tribe_i18n!$A:$F,6,FALSE)</f>
        <v>1</v>
      </c>
      <c r="R1183" s="25" t="s">
        <v>98</v>
      </c>
      <c r="S1183" s="24">
        <f>VLOOKUP($R1183,ラベル別係数!$A$1:$E$7,3,FALSE)</f>
        <v>5</v>
      </c>
      <c r="T1183" s="24">
        <f>VLOOKUP($R1183,ラベル別係数!$A$1:$E$7,4,FALSE)</f>
        <v>1.3</v>
      </c>
      <c r="U1183" s="24">
        <f>VLOOKUP($R1183,ラベル別係数!$A$1:$E$7,5,FALSE)</f>
        <v>0.8</v>
      </c>
      <c r="V1183" s="27">
        <v>3</v>
      </c>
      <c r="W1183" s="28">
        <f>VLOOKUP(V1183,ターン数別攻撃係数!$A$1:$B$1000,2,FALSE)</f>
        <v>1</v>
      </c>
      <c r="X1183" s="9">
        <f>VLOOKUP(C1183,サイズ別係数!A$2:B$9,2,FALSE)</f>
        <v>60</v>
      </c>
      <c r="Y1183" s="26">
        <f>VLOOKUP($X1183,サイズ別係数!$B:$E,2,FALSE)</f>
        <v>1.7</v>
      </c>
      <c r="Z1183" s="26">
        <f>VLOOKUP($X1183,サイズ別係数!$B:$E,3,FALSE)</f>
        <v>1.4</v>
      </c>
      <c r="AA1183" s="26">
        <f>VLOOKUP($X1183,サイズ別係数!$B:$E,4,FALSE)</f>
        <v>1</v>
      </c>
      <c r="AB1183" s="5">
        <v>0</v>
      </c>
      <c r="AC1183" s="34" t="str">
        <f ca="1">VLOOKUP($AB1183,OFFSET([3]enemy_skill_sets!$B$2,0,0,COUNTA([3]enemy_skill_sets!$A:$A),MATCH(AC$1,[3]enemy_skill_sets!$1:$1,0)-MATCH($AB$1,[3]enemy_skill_sets!$1:$1,0)+1),MATCH(AC$1,[3]enemy_skill_sets!$1:$1,0)-MATCH($AB$1,[3]enemy_skill_sets!$1:$1,0)+1,FALSE)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3" s="67">
        <v>1</v>
      </c>
      <c r="AE1183" s="67">
        <v>1</v>
      </c>
      <c r="AF1183" s="37">
        <v>0</v>
      </c>
      <c r="AG1183" s="99">
        <f>ROUND(VLOOKUP(1,enemy_base_stats!$A:$F,2,FALSE) * Y1183* J1183*O1183*E1183*S1183*AD1183*[2]ステータス!$B$2,0)</f>
        <v>4250</v>
      </c>
      <c r="AH1183" s="99">
        <f>ROUND(VLOOKUP(1,enemy_base_stats!$A:$F,3,FALSE) * Z1183*K1183*P1183*F1183*T1183*AE1183 * W1183*[2]ステータス!$C$2,0)</f>
        <v>268</v>
      </c>
      <c r="AI1183" s="99">
        <f>ROUND(VLOOKUP(1,enemy_base_stats!$A:$F,4,FALSE) * AA1183*L1183*Q1183*G1183*U1183*AF1183*[2]ステータス!$D$2,0)</f>
        <v>0</v>
      </c>
      <c r="AJ1183" s="99">
        <f>ROUND(VLOOKUP(100,enemy_base_stats!$A:$F,2,FALSE) * Y1183* J1183*O1183*E1183*S1183*AD1183*[2]ステータス!$B$2,0)</f>
        <v>172550</v>
      </c>
      <c r="AK1183" s="99">
        <f>ROUND(VLOOKUP(100,enemy_base_stats!$A:$F,3,FALSE)* Z1183* K1183*P1183*F1183*T1183*AE1183 * W1183*[2]ステータス!$C$2,0)</f>
        <v>10862</v>
      </c>
      <c r="AL1183" s="99">
        <f>ROUND(VLOOKUP(100,enemy_base_stats!$A:$F,4,FALSE)* AA1183* L1183*Q1183*G1183*U1183*AF1183*[2]ステータス!$D$2,0)</f>
        <v>0</v>
      </c>
      <c r="AM1183" s="97">
        <f>VLOOKUP(M1183,[2]character_tribe_i18n!$A:$I,9,FALSE)</f>
        <v>400</v>
      </c>
      <c r="AN1183" s="36">
        <v>0</v>
      </c>
      <c r="AO1183" s="53">
        <v>0</v>
      </c>
      <c r="AP1183" s="58" t="s">
        <v>72</v>
      </c>
      <c r="AQ1183" s="71">
        <f t="shared" si="64"/>
        <v>1182</v>
      </c>
    </row>
    <row r="1184" spans="1:43" ht="21" customHeight="1" x14ac:dyDescent="0.15">
      <c r="A1184" s="7">
        <v>1183</v>
      </c>
      <c r="B1184" s="6" t="str">
        <f>VLOOKUP(A1184,[2]characters!$A:$C,3,FALSE)</f>
        <v>世憚の悪害 Gスター・チルドレン</v>
      </c>
      <c r="C1184" s="9">
        <f>VLOOKUP(A1184,[2]characters!$A:$I,9,FALSE)</f>
        <v>6</v>
      </c>
      <c r="D1184" s="9" t="str">
        <f>VLOOKUP(A1184,[2]characters!$A:$H,8,FALSE)</f>
        <v>yellow</v>
      </c>
      <c r="E1184" s="24">
        <f>VLOOKUP(D1184,[2]属性!$A:$E,2,FALSE)</f>
        <v>0.98</v>
      </c>
      <c r="F1184" s="24">
        <f>VLOOKUP(D1184,[2]属性!$A:$E,3,FALSE)</f>
        <v>1.01</v>
      </c>
      <c r="G1184" s="24">
        <f>VLOOKUP(D1184,[2]属性!$A:$F,4,FALSE)</f>
        <v>1</v>
      </c>
      <c r="H1184" s="9" t="str">
        <f>VLOOKUP(A1184,[2]characters!$A:$K,11,FALSE)</f>
        <v>hp</v>
      </c>
      <c r="I1184" s="14" t="str">
        <f>VLOOKUP(H1184,[2]character_type_i18n!$A:$F,3,FALSE)</f>
        <v>体力タイプ</v>
      </c>
      <c r="J1184" s="36">
        <f>VLOOKUP(H1184,[2]character_type_i18n!$A:$F,4,FALSE)</f>
        <v>1.45</v>
      </c>
      <c r="K1184" s="36">
        <f>VLOOKUP(H1184,[2]character_type_i18n!$A:$F,5,FALSE)</f>
        <v>0.85</v>
      </c>
      <c r="L1184" s="36">
        <f>VLOOKUP(H1184,[2]character_type_i18n!$A:$F,6,FALSE)</f>
        <v>1</v>
      </c>
      <c r="M1184" s="9" t="str">
        <f>VLOOKUP(A1184,[2]characters!$A:$M,13,FALSE)</f>
        <v>unknown</v>
      </c>
      <c r="N1184" s="14" t="str">
        <f>VLOOKUP(M1184,[2]character_tribe_i18n!$A:$F,3,FALSE)</f>
        <v>Unknown</v>
      </c>
      <c r="O1184" s="24">
        <f>VLOOKUP(M1184,[2]character_tribe_i18n!$A:$F,4,FALSE)</f>
        <v>1</v>
      </c>
      <c r="P1184" s="24">
        <f>VLOOKUP(M1184,[2]character_tribe_i18n!$A:$F,5,FALSE)</f>
        <v>1</v>
      </c>
      <c r="Q1184" s="24">
        <f>VLOOKUP(M1184,[2]character_tribe_i18n!$A:$F,6,FALSE)</f>
        <v>1</v>
      </c>
      <c r="R1184" s="25" t="s">
        <v>98</v>
      </c>
      <c r="S1184" s="24">
        <f>VLOOKUP($R1184,ラベル別係数!$A$1:$E$7,3,FALSE)</f>
        <v>5</v>
      </c>
      <c r="T1184" s="24">
        <f>VLOOKUP($R1184,ラベル別係数!$A$1:$E$7,4,FALSE)</f>
        <v>1.3</v>
      </c>
      <c r="U1184" s="24">
        <f>VLOOKUP($R1184,ラベル別係数!$A$1:$E$7,5,FALSE)</f>
        <v>0.8</v>
      </c>
      <c r="V1184" s="27">
        <v>3</v>
      </c>
      <c r="W1184" s="28">
        <f>VLOOKUP(V1184,ターン数別攻撃係数!$A$1:$B$1000,2,FALSE)</f>
        <v>1</v>
      </c>
      <c r="X1184" s="9">
        <f>VLOOKUP(C1184,サイズ別係数!A$2:B$9,2,FALSE)</f>
        <v>60</v>
      </c>
      <c r="Y1184" s="26">
        <f>VLOOKUP($X1184,サイズ別係数!$B:$E,2,FALSE)</f>
        <v>1.7</v>
      </c>
      <c r="Z1184" s="26">
        <f>VLOOKUP($X1184,サイズ別係数!$B:$E,3,FALSE)</f>
        <v>1.4</v>
      </c>
      <c r="AA1184" s="26">
        <f>VLOOKUP($X1184,サイズ別係数!$B:$E,4,FALSE)</f>
        <v>1</v>
      </c>
      <c r="AB1184" s="5">
        <v>0</v>
      </c>
      <c r="AC1184" s="34" t="str">
        <f ca="1">VLOOKUP($AB1184,OFFSET([3]enemy_skill_sets!$B$2,0,0,COUNTA([3]enemy_skill_sets!$A:$A),MATCH(AC$1,[3]enemy_skill_sets!$1:$1,0)-MATCH($AB$1,[3]enemy_skill_sets!$1:$1,0)+1),MATCH(AC$1,[3]enemy_skill_sets!$1:$1,0)-MATCH($AB$1,[3]enemy_skill_sets!$1:$1,0)+1,FALSE)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4" s="67">
        <v>1</v>
      </c>
      <c r="AE1184" s="67">
        <v>1</v>
      </c>
      <c r="AF1184" s="37">
        <v>0</v>
      </c>
      <c r="AG1184" s="99">
        <f>ROUND(VLOOKUP(1,enemy_base_stats!$A:$F,2,FALSE) * Y1184* J1184*O1184*E1184*S1184*AD1184*[2]ステータス!$B$2,0)</f>
        <v>6039</v>
      </c>
      <c r="AH1184" s="99">
        <f>ROUND(VLOOKUP(1,enemy_base_stats!$A:$F,3,FALSE) * Z1184*K1184*P1184*F1184*T1184*AE1184 * W1184*[2]ステータス!$C$2,0)</f>
        <v>234</v>
      </c>
      <c r="AI1184" s="99">
        <f>ROUND(VLOOKUP(1,enemy_base_stats!$A:$F,4,FALSE) * AA1184*L1184*Q1184*G1184*U1184*AF1184*[2]ステータス!$D$2,0)</f>
        <v>0</v>
      </c>
      <c r="AJ1184" s="99">
        <f>ROUND(VLOOKUP(100,enemy_base_stats!$A:$F,2,FALSE) * Y1184* J1184*O1184*E1184*S1184*AD1184*[2]ステータス!$B$2,0)</f>
        <v>245194</v>
      </c>
      <c r="AK1184" s="99">
        <f>ROUND(VLOOKUP(100,enemy_base_stats!$A:$F,3,FALSE)* Z1184* K1184*P1184*F1184*T1184*AE1184 * W1184*[2]ステータス!$C$2,0)</f>
        <v>9515</v>
      </c>
      <c r="AL1184" s="99">
        <f>ROUND(VLOOKUP(100,enemy_base_stats!$A:$F,4,FALSE)* AA1184* L1184*Q1184*G1184*U1184*AF1184*[2]ステータス!$D$2,0)</f>
        <v>0</v>
      </c>
      <c r="AM1184" s="97">
        <f>VLOOKUP(M1184,[2]character_tribe_i18n!$A:$I,9,FALSE)</f>
        <v>340</v>
      </c>
      <c r="AN1184" s="36">
        <v>0</v>
      </c>
      <c r="AO1184" s="53">
        <v>0</v>
      </c>
      <c r="AP1184" s="58" t="s">
        <v>72</v>
      </c>
      <c r="AQ1184" s="71">
        <f t="shared" si="64"/>
        <v>1183</v>
      </c>
    </row>
    <row r="1185" spans="1:43" ht="21" customHeight="1" x14ac:dyDescent="0.15">
      <c r="A1185" s="7">
        <v>1184</v>
      </c>
      <c r="B1185" s="6" t="str">
        <f>VLOOKUP(A1185,[2]characters!$A:$C,3,FALSE)</f>
        <v>電装の烙雷芯 ファラデー</v>
      </c>
      <c r="C1185" s="9">
        <f>VLOOKUP(A1185,[2]characters!$A:$I,9,FALSE)</f>
        <v>6</v>
      </c>
      <c r="D1185" s="9" t="str">
        <f>VLOOKUP(A1185,[2]characters!$A:$H,8,FALSE)</f>
        <v>yellow</v>
      </c>
      <c r="E1185" s="24">
        <f>VLOOKUP(D1185,[2]属性!$A:$E,2,FALSE)</f>
        <v>0.98</v>
      </c>
      <c r="F1185" s="24">
        <f>VLOOKUP(D1185,[2]属性!$A:$E,3,FALSE)</f>
        <v>1.01</v>
      </c>
      <c r="G1185" s="24">
        <f>VLOOKUP(D1185,[2]属性!$A:$F,4,FALSE)</f>
        <v>1</v>
      </c>
      <c r="H1185" s="9" t="str">
        <f>VLOOKUP(A1185,[2]characters!$A:$K,11,FALSE)</f>
        <v>attack</v>
      </c>
      <c r="I1185" s="14" t="str">
        <f>VLOOKUP(H1185,[2]character_type_i18n!$A:$F,3,FALSE)</f>
        <v>攻撃タイプ</v>
      </c>
      <c r="J1185" s="36">
        <f>VLOOKUP(H1185,[2]character_type_i18n!$A:$F,4,FALSE)</f>
        <v>1</v>
      </c>
      <c r="K1185" s="36">
        <f>VLOOKUP(H1185,[2]character_type_i18n!$A:$F,5,FALSE)</f>
        <v>1.33</v>
      </c>
      <c r="L1185" s="36">
        <f>VLOOKUP(H1185,[2]character_type_i18n!$A:$F,6,FALSE)</f>
        <v>1</v>
      </c>
      <c r="M1185" s="9" t="str">
        <f>VLOOKUP(A1185,[2]characters!$A:$M,13,FALSE)</f>
        <v>academia</v>
      </c>
      <c r="N1185" s="14" t="str">
        <f>VLOOKUP(M1185,[2]character_tribe_i18n!$A:$F,3,FALSE)</f>
        <v>アカデミア</v>
      </c>
      <c r="O1185" s="24">
        <f>VLOOKUP(M1185,[2]character_tribe_i18n!$A:$F,4,FALSE)</f>
        <v>1</v>
      </c>
      <c r="P1185" s="24">
        <f>VLOOKUP(M1185,[2]character_tribe_i18n!$A:$F,5,FALSE)</f>
        <v>1</v>
      </c>
      <c r="Q1185" s="24">
        <f>VLOOKUP(M1185,[2]character_tribe_i18n!$A:$F,6,FALSE)</f>
        <v>1</v>
      </c>
      <c r="R1185" s="25" t="s">
        <v>98</v>
      </c>
      <c r="S1185" s="24">
        <f>VLOOKUP($R1185,ラベル別係数!$A$1:$E$7,3,FALSE)</f>
        <v>5</v>
      </c>
      <c r="T1185" s="24">
        <f>VLOOKUP($R1185,ラベル別係数!$A$1:$E$7,4,FALSE)</f>
        <v>1.3</v>
      </c>
      <c r="U1185" s="24">
        <f>VLOOKUP($R1185,ラベル別係数!$A$1:$E$7,5,FALSE)</f>
        <v>0.8</v>
      </c>
      <c r="V1185" s="27">
        <v>3</v>
      </c>
      <c r="W1185" s="28">
        <f>VLOOKUP(V1185,ターン数別攻撃係数!$A$1:$B$1000,2,FALSE)</f>
        <v>1</v>
      </c>
      <c r="X1185" s="9">
        <f>VLOOKUP(C1185,サイズ別係数!A$2:B$9,2,FALSE)</f>
        <v>60</v>
      </c>
      <c r="Y1185" s="26">
        <f>VLOOKUP($X1185,サイズ別係数!$B:$E,2,FALSE)</f>
        <v>1.7</v>
      </c>
      <c r="Z1185" s="26">
        <f>VLOOKUP($X1185,サイズ別係数!$B:$E,3,FALSE)</f>
        <v>1.4</v>
      </c>
      <c r="AA1185" s="26">
        <f>VLOOKUP($X1185,サイズ別係数!$B:$E,4,FALSE)</f>
        <v>1</v>
      </c>
      <c r="AB1185" s="5">
        <v>0</v>
      </c>
      <c r="AC1185" s="34" t="str">
        <f ca="1">VLOOKUP($AB1185,OFFSET([3]enemy_skill_sets!$B$2,0,0,COUNTA([3]enemy_skill_sets!$A:$A),MATCH(AC$1,[3]enemy_skill_sets!$1:$1,0)-MATCH($AB$1,[3]enemy_skill_sets!$1:$1,0)+1),MATCH(AC$1,[3]enemy_skill_sets!$1:$1,0)-MATCH($AB$1,[3]enemy_skill_sets!$1:$1,0)+1,FALSE)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5" s="67">
        <v>1</v>
      </c>
      <c r="AE1185" s="67">
        <v>1</v>
      </c>
      <c r="AF1185" s="37">
        <v>0</v>
      </c>
      <c r="AG1185" s="99">
        <f>ROUND(VLOOKUP(1,enemy_base_stats!$A:$F,2,FALSE) * Y1185* J1185*O1185*E1185*S1185*AD1185*[2]ステータス!$B$2,0)</f>
        <v>4165</v>
      </c>
      <c r="AH1185" s="99">
        <f>ROUND(VLOOKUP(1,enemy_base_stats!$A:$F,3,FALSE) * Z1185*K1185*P1185*F1185*T1185*AE1185 * W1185*[2]ステータス!$C$2,0)</f>
        <v>367</v>
      </c>
      <c r="AI1185" s="99">
        <f>ROUND(VLOOKUP(1,enemy_base_stats!$A:$F,4,FALSE) * AA1185*L1185*Q1185*G1185*U1185*AF1185*[2]ステータス!$D$2,0)</f>
        <v>0</v>
      </c>
      <c r="AJ1185" s="99">
        <f>ROUND(VLOOKUP(100,enemy_base_stats!$A:$F,2,FALSE) * Y1185* J1185*O1185*E1185*S1185*AD1185*[2]ステータス!$B$2,0)</f>
        <v>169099</v>
      </c>
      <c r="AK1185" s="99">
        <f>ROUND(VLOOKUP(100,enemy_base_stats!$A:$F,3,FALSE)* Z1185* K1185*P1185*F1185*T1185*AE1185 * W1185*[2]ステータス!$C$2,0)</f>
        <v>14889</v>
      </c>
      <c r="AL1185" s="99">
        <f>ROUND(VLOOKUP(100,enemy_base_stats!$A:$F,4,FALSE)* AA1185* L1185*Q1185*G1185*U1185*AF1185*[2]ステータス!$D$2,0)</f>
        <v>0</v>
      </c>
      <c r="AM1185" s="97">
        <f>VLOOKUP(M1185,[2]character_tribe_i18n!$A:$I,9,FALSE)</f>
        <v>400</v>
      </c>
      <c r="AN1185" s="36">
        <v>0</v>
      </c>
      <c r="AO1185" s="53">
        <v>0</v>
      </c>
      <c r="AP1185" s="58" t="s">
        <v>72</v>
      </c>
      <c r="AQ1185" s="71">
        <f t="shared" si="64"/>
        <v>1184</v>
      </c>
    </row>
    <row r="1186" spans="1:43" ht="21" customHeight="1" x14ac:dyDescent="0.15">
      <c r="A1186" s="7">
        <v>1185</v>
      </c>
      <c r="B1186" s="6" t="str">
        <f>VLOOKUP(A1186,[2]characters!$A:$C,3,FALSE)</f>
        <v>兆銀河団の星観者 ハーシェル</v>
      </c>
      <c r="C1186" s="9">
        <f>VLOOKUP(A1186,[2]characters!$A:$I,9,FALSE)</f>
        <v>6</v>
      </c>
      <c r="D1186" s="9" t="str">
        <f>VLOOKUP(A1186,[2]characters!$A:$H,8,FALSE)</f>
        <v>yellow</v>
      </c>
      <c r="E1186" s="24">
        <f>VLOOKUP(D1186,[2]属性!$A:$E,2,FALSE)</f>
        <v>0.98</v>
      </c>
      <c r="F1186" s="24">
        <f>VLOOKUP(D1186,[2]属性!$A:$E,3,FALSE)</f>
        <v>1.01</v>
      </c>
      <c r="G1186" s="24">
        <f>VLOOKUP(D1186,[2]属性!$A:$F,4,FALSE)</f>
        <v>1</v>
      </c>
      <c r="H1186" s="9" t="str">
        <f>VLOOKUP(A1186,[2]characters!$A:$K,11,FALSE)</f>
        <v>heal</v>
      </c>
      <c r="I1186" s="14" t="str">
        <f>VLOOKUP(H1186,[2]character_type_i18n!$A:$F,3,FALSE)</f>
        <v>回復タイプ</v>
      </c>
      <c r="J1186" s="36">
        <f>VLOOKUP(H1186,[2]character_type_i18n!$A:$F,4,FALSE)</f>
        <v>0.8</v>
      </c>
      <c r="K1186" s="36">
        <f>VLOOKUP(H1186,[2]character_type_i18n!$A:$F,5,FALSE)</f>
        <v>0.78</v>
      </c>
      <c r="L1186" s="36">
        <f>VLOOKUP(H1186,[2]character_type_i18n!$A:$F,6,FALSE)</f>
        <v>1</v>
      </c>
      <c r="M1186" s="9" t="str">
        <f>VLOOKUP(A1186,[2]characters!$A:$M,13,FALSE)</f>
        <v>academia</v>
      </c>
      <c r="N1186" s="14" t="str">
        <f>VLOOKUP(M1186,[2]character_tribe_i18n!$A:$F,3,FALSE)</f>
        <v>アカデミア</v>
      </c>
      <c r="O1186" s="24">
        <f>VLOOKUP(M1186,[2]character_tribe_i18n!$A:$F,4,FALSE)</f>
        <v>1</v>
      </c>
      <c r="P1186" s="24">
        <f>VLOOKUP(M1186,[2]character_tribe_i18n!$A:$F,5,FALSE)</f>
        <v>1</v>
      </c>
      <c r="Q1186" s="24">
        <f>VLOOKUP(M1186,[2]character_tribe_i18n!$A:$F,6,FALSE)</f>
        <v>1</v>
      </c>
      <c r="R1186" s="25" t="s">
        <v>98</v>
      </c>
      <c r="S1186" s="24">
        <f>VLOOKUP($R1186,ラベル別係数!$A$1:$E$7,3,FALSE)</f>
        <v>5</v>
      </c>
      <c r="T1186" s="24">
        <f>VLOOKUP($R1186,ラベル別係数!$A$1:$E$7,4,FALSE)</f>
        <v>1.3</v>
      </c>
      <c r="U1186" s="24">
        <f>VLOOKUP($R1186,ラベル別係数!$A$1:$E$7,5,FALSE)</f>
        <v>0.8</v>
      </c>
      <c r="V1186" s="27">
        <v>3</v>
      </c>
      <c r="W1186" s="28">
        <f>VLOOKUP(V1186,ターン数別攻撃係数!$A$1:$B$1000,2,FALSE)</f>
        <v>1</v>
      </c>
      <c r="X1186" s="9">
        <f>VLOOKUP(C1186,サイズ別係数!A$2:B$9,2,FALSE)</f>
        <v>60</v>
      </c>
      <c r="Y1186" s="26">
        <f>VLOOKUP($X1186,サイズ別係数!$B:$E,2,FALSE)</f>
        <v>1.7</v>
      </c>
      <c r="Z1186" s="26">
        <f>VLOOKUP($X1186,サイズ別係数!$B:$E,3,FALSE)</f>
        <v>1.4</v>
      </c>
      <c r="AA1186" s="26">
        <f>VLOOKUP($X1186,サイズ別係数!$B:$E,4,FALSE)</f>
        <v>1</v>
      </c>
      <c r="AB1186" s="5">
        <v>0</v>
      </c>
      <c r="AC1186" s="34" t="str">
        <f ca="1">VLOOKUP($AB1186,OFFSET([3]enemy_skill_sets!$B$2,0,0,COUNTA([3]enemy_skill_sets!$A:$A),MATCH(AC$1,[3]enemy_skill_sets!$1:$1,0)-MATCH($AB$1,[3]enemy_skill_sets!$1:$1,0)+1),MATCH(AC$1,[3]enemy_skill_sets!$1:$1,0)-MATCH($AB$1,[3]enemy_skill_sets!$1:$1,0)+1,FALSE)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6" s="67">
        <v>1</v>
      </c>
      <c r="AE1186" s="67">
        <v>1</v>
      </c>
      <c r="AF1186" s="37">
        <v>0</v>
      </c>
      <c r="AG1186" s="99">
        <f>ROUND(VLOOKUP(1,enemy_base_stats!$A:$F,2,FALSE) * Y1186* J1186*O1186*E1186*S1186*AD1186*[2]ステータス!$B$2,0)</f>
        <v>3332</v>
      </c>
      <c r="AH1186" s="99">
        <f>ROUND(VLOOKUP(1,enemy_base_stats!$A:$F,3,FALSE) * Z1186*K1186*P1186*F1186*T1186*AE1186 * W1186*[2]ステータス!$C$2,0)</f>
        <v>215</v>
      </c>
      <c r="AI1186" s="99">
        <f>ROUND(VLOOKUP(1,enemy_base_stats!$A:$F,4,FALSE) * AA1186*L1186*Q1186*G1186*U1186*AF1186*[2]ステータス!$D$2,0)</f>
        <v>0</v>
      </c>
      <c r="AJ1186" s="99">
        <f>ROUND(VLOOKUP(100,enemy_base_stats!$A:$F,2,FALSE) * Y1186* J1186*O1186*E1186*S1186*AD1186*[2]ステータス!$B$2,0)</f>
        <v>135279</v>
      </c>
      <c r="AK1186" s="99">
        <f>ROUND(VLOOKUP(100,enemy_base_stats!$A:$F,3,FALSE)* Z1186* K1186*P1186*F1186*T1186*AE1186 * W1186*[2]ステータス!$C$2,0)</f>
        <v>8732</v>
      </c>
      <c r="AL1186" s="99">
        <f>ROUND(VLOOKUP(100,enemy_base_stats!$A:$F,4,FALSE)* AA1186* L1186*Q1186*G1186*U1186*AF1186*[2]ステータス!$D$2,0)</f>
        <v>0</v>
      </c>
      <c r="AM1186" s="97">
        <f>VLOOKUP(M1186,[2]character_tribe_i18n!$A:$I,9,FALSE)</f>
        <v>400</v>
      </c>
      <c r="AN1186" s="36">
        <v>0</v>
      </c>
      <c r="AO1186" s="53">
        <v>0</v>
      </c>
      <c r="AP1186" s="58" t="s">
        <v>72</v>
      </c>
      <c r="AQ1186" s="71">
        <f t="shared" si="64"/>
        <v>1185</v>
      </c>
    </row>
    <row r="1187" spans="1:43" ht="21" customHeight="1" x14ac:dyDescent="0.15">
      <c r="A1187" s="7">
        <v>1186</v>
      </c>
      <c r="B1187" s="6" t="str">
        <f>VLOOKUP(A1187,[2]characters!$A:$C,3,FALSE)</f>
        <v>超疾の最理者 フェルマー</v>
      </c>
      <c r="C1187" s="9">
        <f>VLOOKUP(A1187,[2]characters!$A:$I,9,FALSE)</f>
        <v>6</v>
      </c>
      <c r="D1187" s="9" t="str">
        <f>VLOOKUP(A1187,[2]characters!$A:$H,8,FALSE)</f>
        <v>yellow</v>
      </c>
      <c r="E1187" s="24">
        <f>VLOOKUP(D1187,[2]属性!$A:$E,2,FALSE)</f>
        <v>0.98</v>
      </c>
      <c r="F1187" s="24">
        <f>VLOOKUP(D1187,[2]属性!$A:$E,3,FALSE)</f>
        <v>1.01</v>
      </c>
      <c r="G1187" s="24">
        <f>VLOOKUP(D1187,[2]属性!$A:$F,4,FALSE)</f>
        <v>1</v>
      </c>
      <c r="H1187" s="9" t="str">
        <f>VLOOKUP(A1187,[2]characters!$A:$K,11,FALSE)</f>
        <v>balance</v>
      </c>
      <c r="I1187" s="14" t="str">
        <f>VLOOKUP(H1187,[2]character_type_i18n!$A:$F,3,FALSE)</f>
        <v>バランスタイプ</v>
      </c>
      <c r="J1187" s="36">
        <f>VLOOKUP(H1187,[2]character_type_i18n!$A:$F,4,FALSE)</f>
        <v>1</v>
      </c>
      <c r="K1187" s="36">
        <f>VLOOKUP(H1187,[2]character_type_i18n!$A:$F,5,FALSE)</f>
        <v>1</v>
      </c>
      <c r="L1187" s="36">
        <f>VLOOKUP(H1187,[2]character_type_i18n!$A:$F,6,FALSE)</f>
        <v>1</v>
      </c>
      <c r="M1187" s="9" t="str">
        <f>VLOOKUP(A1187,[2]characters!$A:$M,13,FALSE)</f>
        <v>academia</v>
      </c>
      <c r="N1187" s="14" t="str">
        <f>VLOOKUP(M1187,[2]character_tribe_i18n!$A:$F,3,FALSE)</f>
        <v>アカデミア</v>
      </c>
      <c r="O1187" s="24">
        <f>VLOOKUP(M1187,[2]character_tribe_i18n!$A:$F,4,FALSE)</f>
        <v>1</v>
      </c>
      <c r="P1187" s="24">
        <f>VLOOKUP(M1187,[2]character_tribe_i18n!$A:$F,5,FALSE)</f>
        <v>1</v>
      </c>
      <c r="Q1187" s="24">
        <f>VLOOKUP(M1187,[2]character_tribe_i18n!$A:$F,6,FALSE)</f>
        <v>1</v>
      </c>
      <c r="R1187" s="25" t="s">
        <v>98</v>
      </c>
      <c r="S1187" s="24">
        <f>VLOOKUP($R1187,ラベル別係数!$A$1:$E$7,3,FALSE)</f>
        <v>5</v>
      </c>
      <c r="T1187" s="24">
        <f>VLOOKUP($R1187,ラベル別係数!$A$1:$E$7,4,FALSE)</f>
        <v>1.3</v>
      </c>
      <c r="U1187" s="24">
        <f>VLOOKUP($R1187,ラベル別係数!$A$1:$E$7,5,FALSE)</f>
        <v>0.8</v>
      </c>
      <c r="V1187" s="27">
        <v>3</v>
      </c>
      <c r="W1187" s="28">
        <f>VLOOKUP(V1187,ターン数別攻撃係数!$A$1:$B$1000,2,FALSE)</f>
        <v>1</v>
      </c>
      <c r="X1187" s="9">
        <f>VLOOKUP(C1187,サイズ別係数!A$2:B$9,2,FALSE)</f>
        <v>60</v>
      </c>
      <c r="Y1187" s="26">
        <f>VLOOKUP($X1187,サイズ別係数!$B:$E,2,FALSE)</f>
        <v>1.7</v>
      </c>
      <c r="Z1187" s="26">
        <f>VLOOKUP($X1187,サイズ別係数!$B:$E,3,FALSE)</f>
        <v>1.4</v>
      </c>
      <c r="AA1187" s="26">
        <f>VLOOKUP($X1187,サイズ別係数!$B:$E,4,FALSE)</f>
        <v>1</v>
      </c>
      <c r="AB1187" s="5">
        <v>0</v>
      </c>
      <c r="AC1187" s="34" t="str">
        <f ca="1">VLOOKUP($AB1187,OFFSET([3]enemy_skill_sets!$B$2,0,0,COUNTA([3]enemy_skill_sets!$A:$A),MATCH(AC$1,[3]enemy_skill_sets!$1:$1,0)-MATCH($AB$1,[3]enemy_skill_sets!$1:$1,0)+1),MATCH(AC$1,[3]enemy_skill_sets!$1:$1,0)-MATCH($AB$1,[3]enemy_skill_sets!$1:$1,0)+1,FALSE)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7" s="67">
        <v>1</v>
      </c>
      <c r="AE1187" s="67">
        <v>1</v>
      </c>
      <c r="AF1187" s="37">
        <v>0</v>
      </c>
      <c r="AG1187" s="99">
        <f>ROUND(VLOOKUP(1,enemy_base_stats!$A:$F,2,FALSE) * Y1187* J1187*O1187*E1187*S1187*AD1187*[2]ステータス!$B$2,0)</f>
        <v>4165</v>
      </c>
      <c r="AH1187" s="99">
        <f>ROUND(VLOOKUP(1,enemy_base_stats!$A:$F,3,FALSE) * Z1187*K1187*P1187*F1187*T1187*AE1187 * W1187*[2]ステータス!$C$2,0)</f>
        <v>276</v>
      </c>
      <c r="AI1187" s="99">
        <f>ROUND(VLOOKUP(1,enemy_base_stats!$A:$F,4,FALSE) * AA1187*L1187*Q1187*G1187*U1187*AF1187*[2]ステータス!$D$2,0)</f>
        <v>0</v>
      </c>
      <c r="AJ1187" s="99">
        <f>ROUND(VLOOKUP(100,enemy_base_stats!$A:$F,2,FALSE) * Y1187* J1187*O1187*E1187*S1187*AD1187*[2]ステータス!$B$2,0)</f>
        <v>169099</v>
      </c>
      <c r="AK1187" s="99">
        <f>ROUND(VLOOKUP(100,enemy_base_stats!$A:$F,3,FALSE)* Z1187* K1187*P1187*F1187*T1187*AE1187 * W1187*[2]ステータス!$C$2,0)</f>
        <v>11195</v>
      </c>
      <c r="AL1187" s="99">
        <f>ROUND(VLOOKUP(100,enemy_base_stats!$A:$F,4,FALSE)* AA1187* L1187*Q1187*G1187*U1187*AF1187*[2]ステータス!$D$2,0)</f>
        <v>0</v>
      </c>
      <c r="AM1187" s="97">
        <f>VLOOKUP(M1187,[2]character_tribe_i18n!$A:$I,9,FALSE)</f>
        <v>400</v>
      </c>
      <c r="AN1187" s="36">
        <v>0</v>
      </c>
      <c r="AO1187" s="53">
        <v>0</v>
      </c>
      <c r="AP1187" s="58" t="s">
        <v>72</v>
      </c>
      <c r="AQ1187" s="71">
        <f t="shared" si="64"/>
        <v>1186</v>
      </c>
    </row>
    <row r="1188" spans="1:43" ht="21" customHeight="1" x14ac:dyDescent="0.15">
      <c r="A1188" s="7">
        <v>1187</v>
      </c>
      <c r="B1188" s="6" t="str">
        <f>VLOOKUP(A1188,[2]characters!$A:$C,3,FALSE)</f>
        <v>ハッピーハロウィン ポチ</v>
      </c>
      <c r="C1188" s="9">
        <f>VLOOKUP(A1188,[2]characters!$A:$I,9,FALSE)</f>
        <v>1</v>
      </c>
      <c r="D1188" s="9" t="str">
        <f>VLOOKUP(A1188,[2]characters!$A:$H,8,FALSE)</f>
        <v>red</v>
      </c>
      <c r="E1188" s="24">
        <f>VLOOKUP(D1188,[2]属性!$A:$E,2,FALSE)</f>
        <v>1</v>
      </c>
      <c r="F1188" s="24">
        <f>VLOOKUP(D1188,[2]属性!$A:$E,3,FALSE)</f>
        <v>1.02</v>
      </c>
      <c r="G1188" s="24">
        <f>VLOOKUP(D1188,[2]属性!$A:$F,4,FALSE)</f>
        <v>1</v>
      </c>
      <c r="H1188" s="100" t="s">
        <v>167</v>
      </c>
      <c r="I1188" s="14" t="str">
        <f>VLOOKUP(H1188,[2]character_type_i18n!$A:$F,3,FALSE)</f>
        <v>攻撃タイプ</v>
      </c>
      <c r="J1188" s="36">
        <f>VLOOKUP(H1188,[2]character_type_i18n!$A:$F,4,FALSE)</f>
        <v>1</v>
      </c>
      <c r="K1188" s="36">
        <f>VLOOKUP(H1188,[2]character_type_i18n!$A:$F,5,FALSE)</f>
        <v>1.33</v>
      </c>
      <c r="L1188" s="36">
        <f>VLOOKUP(H1188,[2]character_type_i18n!$A:$F,6,FALSE)</f>
        <v>1</v>
      </c>
      <c r="M1188" s="9" t="str">
        <f>VLOOKUP(A1188,[2]characters!$A:$M,13,FALSE)</f>
        <v>unknown</v>
      </c>
      <c r="N1188" s="14" t="str">
        <f>VLOOKUP(M1188,[2]character_tribe_i18n!$A:$F,3,FALSE)</f>
        <v>Unknown</v>
      </c>
      <c r="O1188" s="24">
        <f>VLOOKUP(M1188,[2]character_tribe_i18n!$A:$F,4,FALSE)</f>
        <v>1</v>
      </c>
      <c r="P1188" s="24">
        <f>VLOOKUP(M1188,[2]character_tribe_i18n!$A:$F,5,FALSE)</f>
        <v>1</v>
      </c>
      <c r="Q1188" s="24">
        <f>VLOOKUP(M1188,[2]character_tribe_i18n!$A:$F,6,FALSE)</f>
        <v>1</v>
      </c>
      <c r="R1188" s="25" t="s">
        <v>98</v>
      </c>
      <c r="S1188" s="24">
        <f>VLOOKUP($R1188,ラベル別係数!$A$1:$E$7,3,FALSE)</f>
        <v>5</v>
      </c>
      <c r="T1188" s="24">
        <f>VLOOKUP($R1188,ラベル別係数!$A$1:$E$7,4,FALSE)</f>
        <v>1.3</v>
      </c>
      <c r="U1188" s="24">
        <f>VLOOKUP($R1188,ラベル別係数!$A$1:$E$7,5,FALSE)</f>
        <v>0.8</v>
      </c>
      <c r="V1188" s="27">
        <v>3</v>
      </c>
      <c r="W1188" s="28">
        <f>VLOOKUP(V1188,ターン数別攻撃係数!$A$1:$B$1000,2,FALSE)</f>
        <v>1</v>
      </c>
      <c r="X1188" s="9">
        <f>VLOOKUP(C1188,サイズ別係数!A$2:B$9,2,FALSE)</f>
        <v>15</v>
      </c>
      <c r="Y1188" s="26">
        <f>VLOOKUP($X1188,サイズ別係数!$B:$E,2,FALSE)</f>
        <v>1</v>
      </c>
      <c r="Z1188" s="26">
        <f>VLOOKUP($X1188,サイズ別係数!$B:$E,3,FALSE)</f>
        <v>1</v>
      </c>
      <c r="AA1188" s="26">
        <f>VLOOKUP($X1188,サイズ別係数!$B:$E,4,FALSE)</f>
        <v>1</v>
      </c>
      <c r="AB1188" s="5">
        <v>0</v>
      </c>
      <c r="AC1188" s="34" t="str">
        <f ca="1">VLOOKUP($AB1188,OFFSET([3]enemy_skill_sets!$B$2,0,0,COUNTA([3]enemy_skill_sets!$A:$A),MATCH(AC$1,[3]enemy_skill_sets!$1:$1,0)-MATCH($AB$1,[3]enemy_skill_sets!$1:$1,0)+1),MATCH(AC$1,[3]enemy_skill_sets!$1:$1,0)-MATCH($AB$1,[3]enemy_skill_sets!$1:$1,0)+1,FALSE)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8" s="67">
        <v>1</v>
      </c>
      <c r="AE1188" s="67">
        <v>1</v>
      </c>
      <c r="AF1188" s="37">
        <v>0</v>
      </c>
      <c r="AG1188" s="99">
        <f>ROUND(VLOOKUP(1,enemy_base_stats!$A:$F,2,FALSE) * Y1188* J1188*O1188*E1188*S1188*AD1188*[2]ステータス!$B$2,0)</f>
        <v>2500</v>
      </c>
      <c r="AH1188" s="99">
        <f>ROUND(VLOOKUP(1,enemy_base_stats!$A:$F,3,FALSE) * Z1188*K1188*P1188*F1188*T1188*AE1188 * W1188*[2]ステータス!$C$2,0)</f>
        <v>265</v>
      </c>
      <c r="AI1188" s="99">
        <f>ROUND(VLOOKUP(1,enemy_base_stats!$A:$F,4,FALSE) * AA1188*L1188*Q1188*G1188*U1188*AF1188*[2]ステータス!$D$2,0)</f>
        <v>0</v>
      </c>
      <c r="AJ1188" s="99">
        <f>ROUND(VLOOKUP(100,enemy_base_stats!$A:$F,2,FALSE) * Y1188* J1188*O1188*E1188*S1188*AD1188*[2]ステータス!$B$2,0)</f>
        <v>101500</v>
      </c>
      <c r="AK1188" s="99">
        <f>ROUND(VLOOKUP(100,enemy_base_stats!$A:$F,3,FALSE)* Z1188* K1188*P1188*F1188*T1188*AE1188 * W1188*[2]ステータス!$C$2,0)</f>
        <v>10740</v>
      </c>
      <c r="AL1188" s="99">
        <f>ROUND(VLOOKUP(100,enemy_base_stats!$A:$F,4,FALSE)* AA1188* L1188*Q1188*G1188*U1188*AF1188*[2]ステータス!$D$2,0)</f>
        <v>0</v>
      </c>
      <c r="AM1188" s="97">
        <f>VLOOKUP(M1188,[2]character_tribe_i18n!$A:$I,9,FALSE)</f>
        <v>340</v>
      </c>
      <c r="AN1188" s="36">
        <v>0</v>
      </c>
      <c r="AO1188" s="53">
        <v>0</v>
      </c>
      <c r="AP1188" s="58" t="s">
        <v>72</v>
      </c>
      <c r="AQ1188" s="71">
        <f t="shared" si="64"/>
        <v>1187</v>
      </c>
    </row>
    <row r="1189" spans="1:43" ht="21" customHeight="1" x14ac:dyDescent="0.15">
      <c r="A1189" s="7">
        <v>1188</v>
      </c>
      <c r="B1189" s="6" t="str">
        <f>VLOOKUP(A1189,[2]characters!$A:$C,3,FALSE)</f>
        <v>ハッピーハロウィン ジョー</v>
      </c>
      <c r="C1189" s="9">
        <f>VLOOKUP(A1189,[2]characters!$A:$I,9,FALSE)</f>
        <v>1</v>
      </c>
      <c r="D1189" s="9" t="str">
        <f>VLOOKUP(A1189,[2]characters!$A:$H,8,FALSE)</f>
        <v>green</v>
      </c>
      <c r="E1189" s="24">
        <f>VLOOKUP(D1189,[2]属性!$A:$E,2,FALSE)</f>
        <v>1.02</v>
      </c>
      <c r="F1189" s="24">
        <f>VLOOKUP(D1189,[2]属性!$A:$E,3,FALSE)</f>
        <v>0.98</v>
      </c>
      <c r="G1189" s="24">
        <f>VLOOKUP(D1189,[2]属性!$A:$F,4,FALSE)</f>
        <v>1</v>
      </c>
      <c r="H1189" s="9" t="str">
        <f>VLOOKUP(A1189,[2]characters!$A:$K,11,FALSE)</f>
        <v>balance</v>
      </c>
      <c r="I1189" s="14" t="str">
        <f>VLOOKUP(H1189,[2]character_type_i18n!$A:$F,3,FALSE)</f>
        <v>バランスタイプ</v>
      </c>
      <c r="J1189" s="36">
        <f>VLOOKUP(H1189,[2]character_type_i18n!$A:$F,4,FALSE)</f>
        <v>1</v>
      </c>
      <c r="K1189" s="36">
        <f>VLOOKUP(H1189,[2]character_type_i18n!$A:$F,5,FALSE)</f>
        <v>1</v>
      </c>
      <c r="L1189" s="36">
        <f>VLOOKUP(H1189,[2]character_type_i18n!$A:$F,6,FALSE)</f>
        <v>1</v>
      </c>
      <c r="M1189" s="9" t="str">
        <f>VLOOKUP(A1189,[2]characters!$A:$M,13,FALSE)</f>
        <v>unknown</v>
      </c>
      <c r="N1189" s="14" t="str">
        <f>VLOOKUP(M1189,[2]character_tribe_i18n!$A:$F,3,FALSE)</f>
        <v>Unknown</v>
      </c>
      <c r="O1189" s="24">
        <f>VLOOKUP(M1189,[2]character_tribe_i18n!$A:$F,4,FALSE)</f>
        <v>1</v>
      </c>
      <c r="P1189" s="24">
        <f>VLOOKUP(M1189,[2]character_tribe_i18n!$A:$F,5,FALSE)</f>
        <v>1</v>
      </c>
      <c r="Q1189" s="24">
        <f>VLOOKUP(M1189,[2]character_tribe_i18n!$A:$F,6,FALSE)</f>
        <v>1</v>
      </c>
      <c r="R1189" s="25" t="s">
        <v>98</v>
      </c>
      <c r="S1189" s="24">
        <f>VLOOKUP($R1189,ラベル別係数!$A$1:$E$7,3,FALSE)</f>
        <v>5</v>
      </c>
      <c r="T1189" s="24">
        <f>VLOOKUP($R1189,ラベル別係数!$A$1:$E$7,4,FALSE)</f>
        <v>1.3</v>
      </c>
      <c r="U1189" s="24">
        <f>VLOOKUP($R1189,ラベル別係数!$A$1:$E$7,5,FALSE)</f>
        <v>0.8</v>
      </c>
      <c r="V1189" s="27">
        <v>3</v>
      </c>
      <c r="W1189" s="28">
        <f>VLOOKUP(V1189,ターン数別攻撃係数!$A$1:$B$1000,2,FALSE)</f>
        <v>1</v>
      </c>
      <c r="X1189" s="9">
        <f>VLOOKUP(C1189,サイズ別係数!A$2:B$9,2,FALSE)</f>
        <v>15</v>
      </c>
      <c r="Y1189" s="26">
        <f>VLOOKUP($X1189,サイズ別係数!$B:$E,2,FALSE)</f>
        <v>1</v>
      </c>
      <c r="Z1189" s="26">
        <f>VLOOKUP($X1189,サイズ別係数!$B:$E,3,FALSE)</f>
        <v>1</v>
      </c>
      <c r="AA1189" s="26">
        <f>VLOOKUP($X1189,サイズ別係数!$B:$E,4,FALSE)</f>
        <v>1</v>
      </c>
      <c r="AB1189" s="5">
        <v>0</v>
      </c>
      <c r="AC1189" s="34" t="str">
        <f ca="1">VLOOKUP($AB1189,OFFSET([3]enemy_skill_sets!$B$2,0,0,COUNTA([3]enemy_skill_sets!$A:$A),MATCH(AC$1,[3]enemy_skill_sets!$1:$1,0)-MATCH($AB$1,[3]enemy_skill_sets!$1:$1,0)+1),MATCH(AC$1,[3]enemy_skill_sets!$1:$1,0)-MATCH($AB$1,[3]enemy_skill_sets!$1:$1,0)+1,FALSE)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89" s="67">
        <v>1</v>
      </c>
      <c r="AE1189" s="67">
        <v>1</v>
      </c>
      <c r="AF1189" s="37">
        <v>0</v>
      </c>
      <c r="AG1189" s="99">
        <f>ROUND(VLOOKUP(1,enemy_base_stats!$A:$F,2,FALSE) * Y1189* J1189*O1189*E1189*S1189*AD1189*[2]ステータス!$B$2,0)</f>
        <v>2550</v>
      </c>
      <c r="AH1189" s="99">
        <f>ROUND(VLOOKUP(1,enemy_base_stats!$A:$F,3,FALSE) * Z1189*K1189*P1189*F1189*T1189*AE1189 * W1189*[2]ステータス!$C$2,0)</f>
        <v>191</v>
      </c>
      <c r="AI1189" s="99">
        <f>ROUND(VLOOKUP(1,enemy_base_stats!$A:$F,4,FALSE) * AA1189*L1189*Q1189*G1189*U1189*AF1189*[2]ステータス!$D$2,0)</f>
        <v>0</v>
      </c>
      <c r="AJ1189" s="99">
        <f>ROUND(VLOOKUP(100,enemy_base_stats!$A:$F,2,FALSE) * Y1189* J1189*O1189*E1189*S1189*AD1189*[2]ステータス!$B$2,0)</f>
        <v>103530</v>
      </c>
      <c r="AK1189" s="99">
        <f>ROUND(VLOOKUP(100,enemy_base_stats!$A:$F,3,FALSE)* Z1189* K1189*P1189*F1189*T1189*AE1189 * W1189*[2]ステータス!$C$2,0)</f>
        <v>7759</v>
      </c>
      <c r="AL1189" s="99">
        <f>ROUND(VLOOKUP(100,enemy_base_stats!$A:$F,4,FALSE)* AA1189* L1189*Q1189*G1189*U1189*AF1189*[2]ステータス!$D$2,0)</f>
        <v>0</v>
      </c>
      <c r="AM1189" s="97">
        <f>VLOOKUP(M1189,[2]character_tribe_i18n!$A:$I,9,FALSE)</f>
        <v>340</v>
      </c>
      <c r="AN1189" s="36">
        <v>0</v>
      </c>
      <c r="AO1189" s="53">
        <v>0</v>
      </c>
      <c r="AP1189" s="58" t="s">
        <v>72</v>
      </c>
      <c r="AQ1189" s="71">
        <f t="shared" si="64"/>
        <v>1188</v>
      </c>
    </row>
    <row r="1190" spans="1:43" ht="21" customHeight="1" x14ac:dyDescent="0.15">
      <c r="A1190" s="7">
        <v>1189</v>
      </c>
      <c r="B1190" s="6" t="str">
        <f>VLOOKUP(A1190,[2]characters!$A:$C,3,FALSE)</f>
        <v>ハッピーハロウィン ジェリー</v>
      </c>
      <c r="C1190" s="9">
        <f>VLOOKUP(A1190,[2]characters!$A:$I,9,FALSE)</f>
        <v>1</v>
      </c>
      <c r="D1190" s="9" t="str">
        <f>VLOOKUP(A1190,[2]characters!$A:$H,8,FALSE)</f>
        <v>blue</v>
      </c>
      <c r="E1190" s="24">
        <f>VLOOKUP(D1190,[2]属性!$A:$E,2,FALSE)</f>
        <v>1</v>
      </c>
      <c r="F1190" s="24">
        <f>VLOOKUP(D1190,[2]属性!$A:$E,3,FALSE)</f>
        <v>0.98</v>
      </c>
      <c r="G1190" s="24">
        <f>VLOOKUP(D1190,[2]属性!$A:$F,4,FALSE)</f>
        <v>1</v>
      </c>
      <c r="H1190" s="100" t="s">
        <v>166</v>
      </c>
      <c r="I1190" s="14" t="str">
        <f>VLOOKUP(H1190,[2]character_type_i18n!$A:$F,3,FALSE)</f>
        <v>回復タイプ</v>
      </c>
      <c r="J1190" s="36">
        <f>VLOOKUP(H1190,[2]character_type_i18n!$A:$F,4,FALSE)</f>
        <v>0.8</v>
      </c>
      <c r="K1190" s="36">
        <f>VLOOKUP(H1190,[2]character_type_i18n!$A:$F,5,FALSE)</f>
        <v>0.78</v>
      </c>
      <c r="L1190" s="36">
        <f>VLOOKUP(H1190,[2]character_type_i18n!$A:$F,6,FALSE)</f>
        <v>1</v>
      </c>
      <c r="M1190" s="9" t="str">
        <f>VLOOKUP(A1190,[2]characters!$A:$M,13,FALSE)</f>
        <v>unknown</v>
      </c>
      <c r="N1190" s="14" t="str">
        <f>VLOOKUP(M1190,[2]character_tribe_i18n!$A:$F,3,FALSE)</f>
        <v>Unknown</v>
      </c>
      <c r="O1190" s="24">
        <f>VLOOKUP(M1190,[2]character_tribe_i18n!$A:$F,4,FALSE)</f>
        <v>1</v>
      </c>
      <c r="P1190" s="24">
        <f>VLOOKUP(M1190,[2]character_tribe_i18n!$A:$F,5,FALSE)</f>
        <v>1</v>
      </c>
      <c r="Q1190" s="24">
        <f>VLOOKUP(M1190,[2]character_tribe_i18n!$A:$F,6,FALSE)</f>
        <v>1</v>
      </c>
      <c r="R1190" s="25" t="s">
        <v>98</v>
      </c>
      <c r="S1190" s="24">
        <f>VLOOKUP($R1190,ラベル別係数!$A$1:$E$7,3,FALSE)</f>
        <v>5</v>
      </c>
      <c r="T1190" s="24">
        <f>VLOOKUP($R1190,ラベル別係数!$A$1:$E$7,4,FALSE)</f>
        <v>1.3</v>
      </c>
      <c r="U1190" s="24">
        <f>VLOOKUP($R1190,ラベル別係数!$A$1:$E$7,5,FALSE)</f>
        <v>0.8</v>
      </c>
      <c r="V1190" s="27">
        <v>3</v>
      </c>
      <c r="W1190" s="28">
        <f>VLOOKUP(V1190,ターン数別攻撃係数!$A$1:$B$1000,2,FALSE)</f>
        <v>1</v>
      </c>
      <c r="X1190" s="9">
        <f>VLOOKUP(C1190,サイズ別係数!A$2:B$9,2,FALSE)</f>
        <v>15</v>
      </c>
      <c r="Y1190" s="26">
        <f>VLOOKUP($X1190,サイズ別係数!$B:$E,2,FALSE)</f>
        <v>1</v>
      </c>
      <c r="Z1190" s="26">
        <f>VLOOKUP($X1190,サイズ別係数!$B:$E,3,FALSE)</f>
        <v>1</v>
      </c>
      <c r="AA1190" s="26">
        <f>VLOOKUP($X1190,サイズ別係数!$B:$E,4,FALSE)</f>
        <v>1</v>
      </c>
      <c r="AB1190" s="5">
        <v>0</v>
      </c>
      <c r="AC1190" s="34" t="str">
        <f ca="1">VLOOKUP($AB1190,OFFSET([3]enemy_skill_sets!$B$2,0,0,COUNTA([3]enemy_skill_sets!$A:$A),MATCH(AC$1,[3]enemy_skill_sets!$1:$1,0)-MATCH($AB$1,[3]enemy_skill_sets!$1:$1,0)+1),MATCH(AC$1,[3]enemy_skill_sets!$1:$1,0)-MATCH($AB$1,[3]enemy_skill_sets!$1:$1,0)+1,FALSE)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0" s="67">
        <v>1</v>
      </c>
      <c r="AE1190" s="67">
        <v>1</v>
      </c>
      <c r="AF1190" s="37">
        <v>0</v>
      </c>
      <c r="AG1190" s="99">
        <f>ROUND(VLOOKUP(1,enemy_base_stats!$A:$F,2,FALSE) * Y1190* J1190*O1190*E1190*S1190*AD1190*[2]ステータス!$B$2,0)</f>
        <v>2000</v>
      </c>
      <c r="AH1190" s="99">
        <f>ROUND(VLOOKUP(1,enemy_base_stats!$A:$F,3,FALSE) * Z1190*K1190*P1190*F1190*T1190*AE1190 * W1190*[2]ステータス!$C$2,0)</f>
        <v>149</v>
      </c>
      <c r="AI1190" s="99">
        <f>ROUND(VLOOKUP(1,enemy_base_stats!$A:$F,4,FALSE) * AA1190*L1190*Q1190*G1190*U1190*AF1190*[2]ステータス!$D$2,0)</f>
        <v>0</v>
      </c>
      <c r="AJ1190" s="99">
        <f>ROUND(VLOOKUP(100,enemy_base_stats!$A:$F,2,FALSE) * Y1190* J1190*O1190*E1190*S1190*AD1190*[2]ステータス!$B$2,0)</f>
        <v>81200</v>
      </c>
      <c r="AK1190" s="99">
        <f>ROUND(VLOOKUP(100,enemy_base_stats!$A:$F,3,FALSE)* Z1190* K1190*P1190*F1190*T1190*AE1190 * W1190*[2]ステータス!$C$2,0)</f>
        <v>6052</v>
      </c>
      <c r="AL1190" s="99">
        <f>ROUND(VLOOKUP(100,enemy_base_stats!$A:$F,4,FALSE)* AA1190* L1190*Q1190*G1190*U1190*AF1190*[2]ステータス!$D$2,0)</f>
        <v>0</v>
      </c>
      <c r="AM1190" s="97">
        <f>VLOOKUP(M1190,[2]character_tribe_i18n!$A:$I,9,FALSE)</f>
        <v>340</v>
      </c>
      <c r="AN1190" s="36">
        <v>0</v>
      </c>
      <c r="AO1190" s="53">
        <v>0</v>
      </c>
      <c r="AP1190" s="58" t="s">
        <v>72</v>
      </c>
      <c r="AQ1190" s="71">
        <f t="shared" si="64"/>
        <v>1189</v>
      </c>
    </row>
    <row r="1191" spans="1:43" ht="21" customHeight="1" x14ac:dyDescent="0.15">
      <c r="A1191" s="7">
        <v>1190</v>
      </c>
      <c r="B1191" s="6" t="str">
        <f>VLOOKUP(A1191,[2]characters!$A:$C,3,FALSE)</f>
        <v>ハッピーハロウィン エレキポット</v>
      </c>
      <c r="C1191" s="9">
        <f>VLOOKUP(A1191,[2]characters!$A:$I,9,FALSE)</f>
        <v>1</v>
      </c>
      <c r="D1191" s="9" t="str">
        <f>VLOOKUP(A1191,[2]characters!$A:$H,8,FALSE)</f>
        <v>yellow</v>
      </c>
      <c r="E1191" s="24">
        <f>VLOOKUP(D1191,[2]属性!$A:$E,2,FALSE)</f>
        <v>0.98</v>
      </c>
      <c r="F1191" s="24">
        <f>VLOOKUP(D1191,[2]属性!$A:$E,3,FALSE)</f>
        <v>1.01</v>
      </c>
      <c r="G1191" s="24">
        <f>VLOOKUP(D1191,[2]属性!$A:$F,4,FALSE)</f>
        <v>1</v>
      </c>
      <c r="H1191" s="9" t="str">
        <f>VLOOKUP(A1191,[2]characters!$A:$K,11,FALSE)</f>
        <v>attack</v>
      </c>
      <c r="I1191" s="14" t="str">
        <f>VLOOKUP(H1191,[2]character_type_i18n!$A:$F,3,FALSE)</f>
        <v>攻撃タイプ</v>
      </c>
      <c r="J1191" s="36">
        <f>VLOOKUP(H1191,[2]character_type_i18n!$A:$F,4,FALSE)</f>
        <v>1</v>
      </c>
      <c r="K1191" s="36">
        <f>VLOOKUP(H1191,[2]character_type_i18n!$A:$F,5,FALSE)</f>
        <v>1.33</v>
      </c>
      <c r="L1191" s="36">
        <f>VLOOKUP(H1191,[2]character_type_i18n!$A:$F,6,FALSE)</f>
        <v>1</v>
      </c>
      <c r="M1191" s="9" t="str">
        <f>VLOOKUP(A1191,[2]characters!$A:$M,13,FALSE)</f>
        <v>unknown</v>
      </c>
      <c r="N1191" s="14" t="str">
        <f>VLOOKUP(M1191,[2]character_tribe_i18n!$A:$F,3,FALSE)</f>
        <v>Unknown</v>
      </c>
      <c r="O1191" s="24">
        <f>VLOOKUP(M1191,[2]character_tribe_i18n!$A:$F,4,FALSE)</f>
        <v>1</v>
      </c>
      <c r="P1191" s="24">
        <f>VLOOKUP(M1191,[2]character_tribe_i18n!$A:$F,5,FALSE)</f>
        <v>1</v>
      </c>
      <c r="Q1191" s="24">
        <f>VLOOKUP(M1191,[2]character_tribe_i18n!$A:$F,6,FALSE)</f>
        <v>1</v>
      </c>
      <c r="R1191" s="25" t="s">
        <v>98</v>
      </c>
      <c r="S1191" s="24">
        <f>VLOOKUP($R1191,ラベル別係数!$A$1:$E$7,3,FALSE)</f>
        <v>5</v>
      </c>
      <c r="T1191" s="24">
        <f>VLOOKUP($R1191,ラベル別係数!$A$1:$E$7,4,FALSE)</f>
        <v>1.3</v>
      </c>
      <c r="U1191" s="24">
        <f>VLOOKUP($R1191,ラベル別係数!$A$1:$E$7,5,FALSE)</f>
        <v>0.8</v>
      </c>
      <c r="V1191" s="27">
        <v>3</v>
      </c>
      <c r="W1191" s="28">
        <f>VLOOKUP(V1191,ターン数別攻撃係数!$A$1:$B$1000,2,FALSE)</f>
        <v>1</v>
      </c>
      <c r="X1191" s="9">
        <f>VLOOKUP(C1191,サイズ別係数!A$2:B$9,2,FALSE)</f>
        <v>15</v>
      </c>
      <c r="Y1191" s="26">
        <f>VLOOKUP($X1191,サイズ別係数!$B:$E,2,FALSE)</f>
        <v>1</v>
      </c>
      <c r="Z1191" s="26">
        <f>VLOOKUP($X1191,サイズ別係数!$B:$E,3,FALSE)</f>
        <v>1</v>
      </c>
      <c r="AA1191" s="26">
        <f>VLOOKUP($X1191,サイズ別係数!$B:$E,4,FALSE)</f>
        <v>1</v>
      </c>
      <c r="AB1191" s="5">
        <v>0</v>
      </c>
      <c r="AC1191" s="34" t="str">
        <f ca="1">VLOOKUP($AB1191,OFFSET([3]enemy_skill_sets!$B$2,0,0,COUNTA([3]enemy_skill_sets!$A:$A),MATCH(AC$1,[3]enemy_skill_sets!$1:$1,0)-MATCH($AB$1,[3]enemy_skill_sets!$1:$1,0)+1),MATCH(AC$1,[3]enemy_skill_sets!$1:$1,0)-MATCH($AB$1,[3]enemy_skill_sets!$1:$1,0)+1,FALSE)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1" s="67">
        <v>1</v>
      </c>
      <c r="AE1191" s="67">
        <v>1</v>
      </c>
      <c r="AF1191" s="37">
        <v>0</v>
      </c>
      <c r="AG1191" s="99">
        <f>ROUND(VLOOKUP(1,enemy_base_stats!$A:$F,2,FALSE) * Y1191* J1191*O1191*E1191*S1191*AD1191*[2]ステータス!$B$2,0)</f>
        <v>2450</v>
      </c>
      <c r="AH1191" s="99">
        <f>ROUND(VLOOKUP(1,enemy_base_stats!$A:$F,3,FALSE) * Z1191*K1191*P1191*F1191*T1191*AE1191 * W1191*[2]ステータス!$C$2,0)</f>
        <v>262</v>
      </c>
      <c r="AI1191" s="99">
        <f>ROUND(VLOOKUP(1,enemy_base_stats!$A:$F,4,FALSE) * AA1191*L1191*Q1191*G1191*U1191*AF1191*[2]ステータス!$D$2,0)</f>
        <v>0</v>
      </c>
      <c r="AJ1191" s="99">
        <f>ROUND(VLOOKUP(100,enemy_base_stats!$A:$F,2,FALSE) * Y1191* J1191*O1191*E1191*S1191*AD1191*[2]ステータス!$B$2,0)</f>
        <v>99470</v>
      </c>
      <c r="AK1191" s="99">
        <f>ROUND(VLOOKUP(100,enemy_base_stats!$A:$F,3,FALSE)* Z1191* K1191*P1191*F1191*T1191*AE1191 * W1191*[2]ステータス!$C$2,0)</f>
        <v>10635</v>
      </c>
      <c r="AL1191" s="99">
        <f>ROUND(VLOOKUP(100,enemy_base_stats!$A:$F,4,FALSE)* AA1191* L1191*Q1191*G1191*U1191*AF1191*[2]ステータス!$D$2,0)</f>
        <v>0</v>
      </c>
      <c r="AM1191" s="97">
        <f>VLOOKUP(M1191,[2]character_tribe_i18n!$A:$I,9,FALSE)</f>
        <v>340</v>
      </c>
      <c r="AN1191" s="36">
        <v>0</v>
      </c>
      <c r="AO1191" s="53">
        <v>0</v>
      </c>
      <c r="AP1191" s="58" t="s">
        <v>72</v>
      </c>
      <c r="AQ1191" s="71">
        <f t="shared" si="64"/>
        <v>1190</v>
      </c>
    </row>
    <row r="1192" spans="1:43" ht="21" customHeight="1" x14ac:dyDescent="0.15">
      <c r="A1192" s="7">
        <v>1191</v>
      </c>
      <c r="B1192" s="6" t="str">
        <f>VLOOKUP(A1192,[2]characters!$A:$C,3,FALSE)</f>
        <v>ドルチェ</v>
      </c>
      <c r="C1192" s="9">
        <f>VLOOKUP(A1192,[2]characters!$A:$I,9,FALSE)</f>
        <v>5</v>
      </c>
      <c r="D1192" s="9" t="str">
        <f>VLOOKUP(A1192,[2]characters!$A:$H,8,FALSE)</f>
        <v>yellow</v>
      </c>
      <c r="E1192" s="24">
        <f>VLOOKUP(D1192,[2]属性!$A:$E,2,FALSE)</f>
        <v>0.98</v>
      </c>
      <c r="F1192" s="24">
        <f>VLOOKUP(D1192,[2]属性!$A:$E,3,FALSE)</f>
        <v>1.01</v>
      </c>
      <c r="G1192" s="24">
        <f>VLOOKUP(D1192,[2]属性!$A:$F,4,FALSE)</f>
        <v>1</v>
      </c>
      <c r="H1192" s="9" t="str">
        <f>VLOOKUP(A1192,[2]characters!$A:$K,11,FALSE)</f>
        <v>technical</v>
      </c>
      <c r="I1192" s="14" t="str">
        <f>VLOOKUP(H1192,[2]character_type_i18n!$A:$F,3,FALSE)</f>
        <v>テクニカルタイプ</v>
      </c>
      <c r="J1192" s="36">
        <f>VLOOKUP(H1192,[2]character_type_i18n!$A:$F,4,FALSE)</f>
        <v>0.9</v>
      </c>
      <c r="K1192" s="36">
        <f>VLOOKUP(H1192,[2]character_type_i18n!$A:$F,5,FALSE)</f>
        <v>0.9</v>
      </c>
      <c r="L1192" s="36">
        <f>VLOOKUP(H1192,[2]character_type_i18n!$A:$F,6,FALSE)</f>
        <v>1</v>
      </c>
      <c r="M1192" s="9" t="str">
        <f>VLOOKUP(A1192,[2]characters!$A:$M,13,FALSE)</f>
        <v>unknown</v>
      </c>
      <c r="N1192" s="14" t="str">
        <f>VLOOKUP(M1192,[2]character_tribe_i18n!$A:$F,3,FALSE)</f>
        <v>Unknown</v>
      </c>
      <c r="O1192" s="24">
        <f>VLOOKUP(M1192,[2]character_tribe_i18n!$A:$F,4,FALSE)</f>
        <v>1</v>
      </c>
      <c r="P1192" s="24">
        <f>VLOOKUP(M1192,[2]character_tribe_i18n!$A:$F,5,FALSE)</f>
        <v>1</v>
      </c>
      <c r="Q1192" s="24">
        <f>VLOOKUP(M1192,[2]character_tribe_i18n!$A:$F,6,FALSE)</f>
        <v>1</v>
      </c>
      <c r="R1192" s="25" t="s">
        <v>98</v>
      </c>
      <c r="S1192" s="24">
        <f>VLOOKUP($R1192,ラベル別係数!$A$1:$E$7,3,FALSE)</f>
        <v>5</v>
      </c>
      <c r="T1192" s="24">
        <f>VLOOKUP($R1192,ラベル別係数!$A$1:$E$7,4,FALSE)</f>
        <v>1.3</v>
      </c>
      <c r="U1192" s="24">
        <f>VLOOKUP($R1192,ラベル別係数!$A$1:$E$7,5,FALSE)</f>
        <v>0.8</v>
      </c>
      <c r="V1192" s="27">
        <v>3</v>
      </c>
      <c r="W1192" s="28">
        <f>VLOOKUP(V1192,ターン数別攻撃係数!$A$1:$B$1000,2,FALSE)</f>
        <v>1</v>
      </c>
      <c r="X1192" s="9">
        <f>VLOOKUP(C1192,サイズ別係数!A$2:B$9,2,FALSE)</f>
        <v>60</v>
      </c>
      <c r="Y1192" s="26">
        <f>VLOOKUP($X1192,サイズ別係数!$B:$E,2,FALSE)</f>
        <v>1.7</v>
      </c>
      <c r="Z1192" s="26">
        <f>VLOOKUP($X1192,サイズ別係数!$B:$E,3,FALSE)</f>
        <v>1.4</v>
      </c>
      <c r="AA1192" s="26">
        <f>VLOOKUP($X1192,サイズ別係数!$B:$E,4,FALSE)</f>
        <v>1</v>
      </c>
      <c r="AB1192" s="5">
        <v>0</v>
      </c>
      <c r="AC1192" s="34" t="str">
        <f ca="1">VLOOKUP($AB1192,OFFSET([3]enemy_skill_sets!$B$2,0,0,COUNTA([3]enemy_skill_sets!$A:$A),MATCH(AC$1,[3]enemy_skill_sets!$1:$1,0)-MATCH($AB$1,[3]enemy_skill_sets!$1:$1,0)+1),MATCH(AC$1,[3]enemy_skill_sets!$1:$1,0)-MATCH($AB$1,[3]enemy_skill_sets!$1:$1,0)+1,FALSE)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2" s="67">
        <v>1</v>
      </c>
      <c r="AE1192" s="67">
        <v>1</v>
      </c>
      <c r="AF1192" s="37">
        <v>0</v>
      </c>
      <c r="AG1192" s="99">
        <f>ROUND(VLOOKUP(1,enemy_base_stats!$A:$F,2,FALSE) * Y1192* J1192*O1192*E1192*S1192*AD1192*[2]ステータス!$B$2,0)</f>
        <v>3749</v>
      </c>
      <c r="AH1192" s="99">
        <f>ROUND(VLOOKUP(1,enemy_base_stats!$A:$F,3,FALSE) * Z1192*K1192*P1192*F1192*T1192*AE1192 * W1192*[2]ステータス!$C$2,0)</f>
        <v>248</v>
      </c>
      <c r="AI1192" s="99">
        <f>ROUND(VLOOKUP(1,enemy_base_stats!$A:$F,4,FALSE) * AA1192*L1192*Q1192*G1192*U1192*AF1192*[2]ステータス!$D$2,0)</f>
        <v>0</v>
      </c>
      <c r="AJ1192" s="99">
        <f>ROUND(VLOOKUP(100,enemy_base_stats!$A:$F,2,FALSE) * Y1192* J1192*O1192*E1192*S1192*AD1192*[2]ステータス!$B$2,0)</f>
        <v>152189</v>
      </c>
      <c r="AK1192" s="99">
        <f>ROUND(VLOOKUP(100,enemy_base_stats!$A:$F,3,FALSE)* Z1192* K1192*P1192*F1192*T1192*AE1192 * W1192*[2]ステータス!$C$2,0)</f>
        <v>10075</v>
      </c>
      <c r="AL1192" s="99">
        <f>ROUND(VLOOKUP(100,enemy_base_stats!$A:$F,4,FALSE)* AA1192* L1192*Q1192*G1192*U1192*AF1192*[2]ステータス!$D$2,0)</f>
        <v>0</v>
      </c>
      <c r="AM1192" s="97">
        <f>VLOOKUP(M1192,[2]character_tribe_i18n!$A:$I,9,FALSE)</f>
        <v>340</v>
      </c>
      <c r="AN1192" s="36">
        <v>0</v>
      </c>
      <c r="AO1192" s="53">
        <v>0</v>
      </c>
      <c r="AP1192" s="58" t="s">
        <v>72</v>
      </c>
      <c r="AQ1192" s="71">
        <f t="shared" si="64"/>
        <v>1191</v>
      </c>
    </row>
    <row r="1193" spans="1:43" ht="21" customHeight="1" x14ac:dyDescent="0.15">
      <c r="A1193" s="7">
        <v>1192</v>
      </c>
      <c r="B1193" s="6" t="str">
        <f>VLOOKUP(A1193,[2]characters!$A:$C,3,FALSE)</f>
        <v>徹宵悪戯の甘美魔 ドルチェ</v>
      </c>
      <c r="C1193" s="9">
        <f>VLOOKUP(A1193,[2]characters!$A:$I,9,FALSE)</f>
        <v>6</v>
      </c>
      <c r="D1193" s="9" t="str">
        <f>VLOOKUP(A1193,[2]characters!$A:$H,8,FALSE)</f>
        <v>yellow</v>
      </c>
      <c r="E1193" s="24">
        <f>VLOOKUP(D1193,[2]属性!$A:$E,2,FALSE)</f>
        <v>0.98</v>
      </c>
      <c r="F1193" s="24">
        <f>VLOOKUP(D1193,[2]属性!$A:$E,3,FALSE)</f>
        <v>1.01</v>
      </c>
      <c r="G1193" s="24">
        <f>VLOOKUP(D1193,[2]属性!$A:$F,4,FALSE)</f>
        <v>1</v>
      </c>
      <c r="H1193" s="9" t="str">
        <f>VLOOKUP(A1193,[2]characters!$A:$K,11,FALSE)</f>
        <v>balance</v>
      </c>
      <c r="I1193" s="14" t="str">
        <f>VLOOKUP(H1193,[2]character_type_i18n!$A:$F,3,FALSE)</f>
        <v>バランスタイプ</v>
      </c>
      <c r="J1193" s="36">
        <f>VLOOKUP(H1193,[2]character_type_i18n!$A:$F,4,FALSE)</f>
        <v>1</v>
      </c>
      <c r="K1193" s="36">
        <f>VLOOKUP(H1193,[2]character_type_i18n!$A:$F,5,FALSE)</f>
        <v>1</v>
      </c>
      <c r="L1193" s="36">
        <f>VLOOKUP(H1193,[2]character_type_i18n!$A:$F,6,FALSE)</f>
        <v>1</v>
      </c>
      <c r="M1193" s="9" t="str">
        <f>VLOOKUP(A1193,[2]characters!$A:$M,13,FALSE)</f>
        <v>unknown</v>
      </c>
      <c r="N1193" s="14" t="str">
        <f>VLOOKUP(M1193,[2]character_tribe_i18n!$A:$F,3,FALSE)</f>
        <v>Unknown</v>
      </c>
      <c r="O1193" s="24">
        <f>VLOOKUP(M1193,[2]character_tribe_i18n!$A:$F,4,FALSE)</f>
        <v>1</v>
      </c>
      <c r="P1193" s="24">
        <f>VLOOKUP(M1193,[2]character_tribe_i18n!$A:$F,5,FALSE)</f>
        <v>1</v>
      </c>
      <c r="Q1193" s="24">
        <f>VLOOKUP(M1193,[2]character_tribe_i18n!$A:$F,6,FALSE)</f>
        <v>1</v>
      </c>
      <c r="R1193" s="25" t="s">
        <v>98</v>
      </c>
      <c r="S1193" s="24">
        <f>VLOOKUP($R1193,ラベル別係数!$A$1:$E$7,3,FALSE)</f>
        <v>5</v>
      </c>
      <c r="T1193" s="24">
        <f>VLOOKUP($R1193,ラベル別係数!$A$1:$E$7,4,FALSE)</f>
        <v>1.3</v>
      </c>
      <c r="U1193" s="24">
        <f>VLOOKUP($R1193,ラベル別係数!$A$1:$E$7,5,FALSE)</f>
        <v>0.8</v>
      </c>
      <c r="V1193" s="27">
        <v>3</v>
      </c>
      <c r="W1193" s="28">
        <f>VLOOKUP(V1193,ターン数別攻撃係数!$A$1:$B$1000,2,FALSE)</f>
        <v>1</v>
      </c>
      <c r="X1193" s="9">
        <f>VLOOKUP(C1193,サイズ別係数!A$2:B$9,2,FALSE)</f>
        <v>60</v>
      </c>
      <c r="Y1193" s="26">
        <f>VLOOKUP($X1193,サイズ別係数!$B:$E,2,FALSE)</f>
        <v>1.7</v>
      </c>
      <c r="Z1193" s="26">
        <f>VLOOKUP($X1193,サイズ別係数!$B:$E,3,FALSE)</f>
        <v>1.4</v>
      </c>
      <c r="AA1193" s="26">
        <f>VLOOKUP($X1193,サイズ別係数!$B:$E,4,FALSE)</f>
        <v>1</v>
      </c>
      <c r="AB1193" s="5">
        <v>0</v>
      </c>
      <c r="AC1193" s="34" t="str">
        <f ca="1">VLOOKUP($AB1193,OFFSET([3]enemy_skill_sets!$B$2,0,0,COUNTA([3]enemy_skill_sets!$A:$A),MATCH(AC$1,[3]enemy_skill_sets!$1:$1,0)-MATCH($AB$1,[3]enemy_skill_sets!$1:$1,0)+1),MATCH(AC$1,[3]enemy_skill_sets!$1:$1,0)-MATCH($AB$1,[3]enemy_skill_sets!$1:$1,0)+1,FALSE)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3" s="67">
        <v>1</v>
      </c>
      <c r="AE1193" s="67">
        <v>1</v>
      </c>
      <c r="AF1193" s="37">
        <v>0</v>
      </c>
      <c r="AG1193" s="99">
        <f>ROUND(VLOOKUP(1,enemy_base_stats!$A:$F,2,FALSE) * Y1193* J1193*O1193*E1193*S1193*AD1193*[2]ステータス!$B$2,0)</f>
        <v>4165</v>
      </c>
      <c r="AH1193" s="99">
        <f>ROUND(VLOOKUP(1,enemy_base_stats!$A:$F,3,FALSE) * Z1193*K1193*P1193*F1193*T1193*AE1193 * W1193*[2]ステータス!$C$2,0)</f>
        <v>276</v>
      </c>
      <c r="AI1193" s="99">
        <f>ROUND(VLOOKUP(1,enemy_base_stats!$A:$F,4,FALSE) * AA1193*L1193*Q1193*G1193*U1193*AF1193*[2]ステータス!$D$2,0)</f>
        <v>0</v>
      </c>
      <c r="AJ1193" s="99">
        <f>ROUND(VLOOKUP(100,enemy_base_stats!$A:$F,2,FALSE) * Y1193* J1193*O1193*E1193*S1193*AD1193*[2]ステータス!$B$2,0)</f>
        <v>169099</v>
      </c>
      <c r="AK1193" s="99">
        <f>ROUND(VLOOKUP(100,enemy_base_stats!$A:$F,3,FALSE)* Z1193* K1193*P1193*F1193*T1193*AE1193 * W1193*[2]ステータス!$C$2,0)</f>
        <v>11195</v>
      </c>
      <c r="AL1193" s="99">
        <f>ROUND(VLOOKUP(100,enemy_base_stats!$A:$F,4,FALSE)* AA1193* L1193*Q1193*G1193*U1193*AF1193*[2]ステータス!$D$2,0)</f>
        <v>0</v>
      </c>
      <c r="AM1193" s="97">
        <f>VLOOKUP(M1193,[2]character_tribe_i18n!$A:$I,9,FALSE)</f>
        <v>340</v>
      </c>
      <c r="AN1193" s="36">
        <v>0</v>
      </c>
      <c r="AO1193" s="53">
        <v>0</v>
      </c>
      <c r="AP1193" s="58" t="s">
        <v>72</v>
      </c>
      <c r="AQ1193" s="71">
        <f t="shared" si="64"/>
        <v>1192</v>
      </c>
    </row>
    <row r="1194" spans="1:43" ht="21" customHeight="1" x14ac:dyDescent="0.15">
      <c r="A1194" s="7">
        <v>1193</v>
      </c>
      <c r="B1194" s="6" t="str">
        <f>VLOOKUP(A1194,[2]characters!$A:$C,3,FALSE)</f>
        <v>血飢なる夜想卿 ランスロット</v>
      </c>
      <c r="C1194" s="9">
        <f>VLOOKUP(A1194,[2]characters!$A:$I,9,FALSE)</f>
        <v>6</v>
      </c>
      <c r="D1194" s="9" t="str">
        <f>VLOOKUP(A1194,[2]characters!$A:$H,8,FALSE)</f>
        <v>red</v>
      </c>
      <c r="E1194" s="24">
        <f>VLOOKUP(D1194,[2]属性!$A:$E,2,FALSE)</f>
        <v>1</v>
      </c>
      <c r="F1194" s="24">
        <f>VLOOKUP(D1194,[2]属性!$A:$E,3,FALSE)</f>
        <v>1.02</v>
      </c>
      <c r="G1194" s="24">
        <f>VLOOKUP(D1194,[2]属性!$A:$F,4,FALSE)</f>
        <v>1</v>
      </c>
      <c r="H1194" s="9" t="str">
        <f>VLOOKUP(A1194,[2]characters!$A:$K,11,FALSE)</f>
        <v>attack</v>
      </c>
      <c r="I1194" s="14" t="str">
        <f>VLOOKUP(H1194,[2]character_type_i18n!$A:$F,3,FALSE)</f>
        <v>攻撃タイプ</v>
      </c>
      <c r="J1194" s="36">
        <f>VLOOKUP(H1194,[2]character_type_i18n!$A:$F,4,FALSE)</f>
        <v>1</v>
      </c>
      <c r="K1194" s="36">
        <f>VLOOKUP(H1194,[2]character_type_i18n!$A:$F,5,FALSE)</f>
        <v>1.33</v>
      </c>
      <c r="L1194" s="36">
        <f>VLOOKUP(H1194,[2]character_type_i18n!$A:$F,6,FALSE)</f>
        <v>1</v>
      </c>
      <c r="M1194" s="9" t="str">
        <f>VLOOKUP(A1194,[2]characters!$A:$M,13,FALSE)</f>
        <v>human</v>
      </c>
      <c r="N1194" s="14" t="str">
        <f>VLOOKUP(M1194,[2]character_tribe_i18n!$A:$F,3,FALSE)</f>
        <v>ヒューマン</v>
      </c>
      <c r="O1194" s="24">
        <f>VLOOKUP(M1194,[2]character_tribe_i18n!$A:$F,4,FALSE)</f>
        <v>0.94</v>
      </c>
      <c r="P1194" s="24">
        <f>VLOOKUP(M1194,[2]character_tribe_i18n!$A:$F,5,FALSE)</f>
        <v>0.99</v>
      </c>
      <c r="Q1194" s="24">
        <f>VLOOKUP(M1194,[2]character_tribe_i18n!$A:$F,6,FALSE)</f>
        <v>1</v>
      </c>
      <c r="R1194" s="25" t="s">
        <v>98</v>
      </c>
      <c r="S1194" s="24">
        <f>VLOOKUP($R1194,ラベル別係数!$A$1:$E$7,3,FALSE)</f>
        <v>5</v>
      </c>
      <c r="T1194" s="24">
        <f>VLOOKUP($R1194,ラベル別係数!$A$1:$E$7,4,FALSE)</f>
        <v>1.3</v>
      </c>
      <c r="U1194" s="24">
        <f>VLOOKUP($R1194,ラベル別係数!$A$1:$E$7,5,FALSE)</f>
        <v>0.8</v>
      </c>
      <c r="V1194" s="27">
        <v>3</v>
      </c>
      <c r="W1194" s="28">
        <f>VLOOKUP(V1194,ターン数別攻撃係数!$A$1:$B$1000,2,FALSE)</f>
        <v>1</v>
      </c>
      <c r="X1194" s="9">
        <f>VLOOKUP(C1194,サイズ別係数!A$2:B$9,2,FALSE)</f>
        <v>60</v>
      </c>
      <c r="Y1194" s="26">
        <f>VLOOKUP($X1194,サイズ別係数!$B:$E,2,FALSE)</f>
        <v>1.7</v>
      </c>
      <c r="Z1194" s="26">
        <f>VLOOKUP($X1194,サイズ別係数!$B:$E,3,FALSE)</f>
        <v>1.4</v>
      </c>
      <c r="AA1194" s="26">
        <f>VLOOKUP($X1194,サイズ別係数!$B:$E,4,FALSE)</f>
        <v>1</v>
      </c>
      <c r="AB1194" s="5">
        <v>0</v>
      </c>
      <c r="AC1194" s="34" t="str">
        <f ca="1">VLOOKUP($AB1194,OFFSET([3]enemy_skill_sets!$B$2,0,0,COUNTA([3]enemy_skill_sets!$A:$A),MATCH(AC$1,[3]enemy_skill_sets!$1:$1,0)-MATCH($AB$1,[3]enemy_skill_sets!$1:$1,0)+1),MATCH(AC$1,[3]enemy_skill_sets!$1:$1,0)-MATCH($AB$1,[3]enemy_skill_sets!$1:$1,0)+1,FALSE)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4" s="67">
        <v>1</v>
      </c>
      <c r="AE1194" s="67">
        <v>1</v>
      </c>
      <c r="AF1194" s="37">
        <v>0</v>
      </c>
      <c r="AG1194" s="99">
        <f>ROUND(VLOOKUP(1,enemy_base_stats!$A:$F,2,FALSE) * Y1194* J1194*O1194*E1194*S1194*AD1194*[2]ステータス!$B$2,0)</f>
        <v>3995</v>
      </c>
      <c r="AH1194" s="99">
        <f>ROUND(VLOOKUP(1,enemy_base_stats!$A:$F,3,FALSE) * Z1194*K1194*P1194*F1194*T1194*AE1194 * W1194*[2]ステータス!$C$2,0)</f>
        <v>367</v>
      </c>
      <c r="AI1194" s="99">
        <f>ROUND(VLOOKUP(1,enemy_base_stats!$A:$F,4,FALSE) * AA1194*L1194*Q1194*G1194*U1194*AF1194*[2]ステータス!$D$2,0)</f>
        <v>0</v>
      </c>
      <c r="AJ1194" s="99">
        <f>ROUND(VLOOKUP(100,enemy_base_stats!$A:$F,2,FALSE) * Y1194* J1194*O1194*E1194*S1194*AD1194*[2]ステータス!$B$2,0)</f>
        <v>162197</v>
      </c>
      <c r="AK1194" s="99">
        <f>ROUND(VLOOKUP(100,enemy_base_stats!$A:$F,3,FALSE)* Z1194* K1194*P1194*F1194*T1194*AE1194 * W1194*[2]ステータス!$C$2,0)</f>
        <v>14886</v>
      </c>
      <c r="AL1194" s="99">
        <f>ROUND(VLOOKUP(100,enemy_base_stats!$A:$F,4,FALSE)* AA1194* L1194*Q1194*G1194*U1194*AF1194*[2]ステータス!$D$2,0)</f>
        <v>0</v>
      </c>
      <c r="AM1194" s="97">
        <f>VLOOKUP(M1194,[2]character_tribe_i18n!$A:$I,9,FALSE)</f>
        <v>400</v>
      </c>
      <c r="AN1194" s="36">
        <v>0</v>
      </c>
      <c r="AO1194" s="53">
        <v>0</v>
      </c>
      <c r="AP1194" s="58" t="s">
        <v>72</v>
      </c>
      <c r="AQ1194" s="71">
        <f t="shared" si="64"/>
        <v>1193</v>
      </c>
    </row>
    <row r="1195" spans="1:43" ht="21" customHeight="1" x14ac:dyDescent="0.15">
      <c r="A1195" s="7">
        <v>1194</v>
      </c>
      <c r="B1195" s="6" t="str">
        <f>VLOOKUP(A1195,[2]characters!$A:$C,3,FALSE)</f>
        <v>ハーヴェスト</v>
      </c>
      <c r="C1195" s="9">
        <f>VLOOKUP(A1195,[2]characters!$A:$I,9,FALSE)</f>
        <v>5</v>
      </c>
      <c r="D1195" s="9" t="str">
        <f>VLOOKUP(A1195,[2]characters!$A:$H,8,FALSE)</f>
        <v>green</v>
      </c>
      <c r="E1195" s="24">
        <f>VLOOKUP(D1195,[2]属性!$A:$E,2,FALSE)</f>
        <v>1.02</v>
      </c>
      <c r="F1195" s="24">
        <f>VLOOKUP(D1195,[2]属性!$A:$E,3,FALSE)</f>
        <v>0.98</v>
      </c>
      <c r="G1195" s="24">
        <f>VLOOKUP(D1195,[2]属性!$A:$F,4,FALSE)</f>
        <v>1</v>
      </c>
      <c r="H1195" s="9" t="str">
        <f>VLOOKUP(A1195,[2]characters!$A:$K,11,FALSE)</f>
        <v>balance</v>
      </c>
      <c r="I1195" s="14" t="str">
        <f>VLOOKUP(H1195,[2]character_type_i18n!$A:$F,3,FALSE)</f>
        <v>バランスタイプ</v>
      </c>
      <c r="J1195" s="36">
        <f>VLOOKUP(H1195,[2]character_type_i18n!$A:$F,4,FALSE)</f>
        <v>1</v>
      </c>
      <c r="K1195" s="36">
        <f>VLOOKUP(H1195,[2]character_type_i18n!$A:$F,5,FALSE)</f>
        <v>1</v>
      </c>
      <c r="L1195" s="36">
        <f>VLOOKUP(H1195,[2]character_type_i18n!$A:$F,6,FALSE)</f>
        <v>1</v>
      </c>
      <c r="M1195" s="9" t="str">
        <f>VLOOKUP(A1195,[2]characters!$A:$M,13,FALSE)</f>
        <v>unknown</v>
      </c>
      <c r="N1195" s="14" t="str">
        <f>VLOOKUP(M1195,[2]character_tribe_i18n!$A:$F,3,FALSE)</f>
        <v>Unknown</v>
      </c>
      <c r="O1195" s="24">
        <f>VLOOKUP(M1195,[2]character_tribe_i18n!$A:$F,4,FALSE)</f>
        <v>1</v>
      </c>
      <c r="P1195" s="24">
        <f>VLOOKUP(M1195,[2]character_tribe_i18n!$A:$F,5,FALSE)</f>
        <v>1</v>
      </c>
      <c r="Q1195" s="24">
        <f>VLOOKUP(M1195,[2]character_tribe_i18n!$A:$F,6,FALSE)</f>
        <v>1</v>
      </c>
      <c r="R1195" s="25" t="s">
        <v>98</v>
      </c>
      <c r="S1195" s="24">
        <f>VLOOKUP($R1195,ラベル別係数!$A$1:$E$7,3,FALSE)</f>
        <v>5</v>
      </c>
      <c r="T1195" s="24">
        <f>VLOOKUP($R1195,ラベル別係数!$A$1:$E$7,4,FALSE)</f>
        <v>1.3</v>
      </c>
      <c r="U1195" s="24">
        <f>VLOOKUP($R1195,ラベル別係数!$A$1:$E$7,5,FALSE)</f>
        <v>0.8</v>
      </c>
      <c r="V1195" s="27">
        <v>3</v>
      </c>
      <c r="W1195" s="28">
        <f>VLOOKUP(V1195,ターン数別攻撃係数!$A$1:$B$1000,2,FALSE)</f>
        <v>1</v>
      </c>
      <c r="X1195" s="9">
        <f>VLOOKUP(C1195,サイズ別係数!A$2:B$9,2,FALSE)</f>
        <v>60</v>
      </c>
      <c r="Y1195" s="26">
        <f>VLOOKUP($X1195,サイズ別係数!$B:$E,2,FALSE)</f>
        <v>1.7</v>
      </c>
      <c r="Z1195" s="26">
        <f>VLOOKUP($X1195,サイズ別係数!$B:$E,3,FALSE)</f>
        <v>1.4</v>
      </c>
      <c r="AA1195" s="26">
        <f>VLOOKUP($X1195,サイズ別係数!$B:$E,4,FALSE)</f>
        <v>1</v>
      </c>
      <c r="AB1195" s="5">
        <v>0</v>
      </c>
      <c r="AC1195" s="34" t="str">
        <f ca="1">VLOOKUP($AB1195,OFFSET([3]enemy_skill_sets!$B$2,0,0,COUNTA([3]enemy_skill_sets!$A:$A),MATCH(AC$1,[3]enemy_skill_sets!$1:$1,0)-MATCH($AB$1,[3]enemy_skill_sets!$1:$1,0)+1),MATCH(AC$1,[3]enemy_skill_sets!$1:$1,0)-MATCH($AB$1,[3]enemy_skill_sets!$1:$1,0)+1,FALSE)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5" s="67">
        <v>1</v>
      </c>
      <c r="AE1195" s="67">
        <v>1</v>
      </c>
      <c r="AF1195" s="37">
        <v>0</v>
      </c>
      <c r="AG1195" s="99">
        <f>ROUND(VLOOKUP(1,enemy_base_stats!$A:$F,2,FALSE) * Y1195* J1195*O1195*E1195*S1195*AD1195*[2]ステータス!$B$2,0)</f>
        <v>4335</v>
      </c>
      <c r="AH1195" s="99">
        <f>ROUND(VLOOKUP(1,enemy_base_stats!$A:$F,3,FALSE) * Z1195*K1195*P1195*F1195*T1195*AE1195 * W1195*[2]ステータス!$C$2,0)</f>
        <v>268</v>
      </c>
      <c r="AI1195" s="99">
        <f>ROUND(VLOOKUP(1,enemy_base_stats!$A:$F,4,FALSE) * AA1195*L1195*Q1195*G1195*U1195*AF1195*[2]ステータス!$D$2,0)</f>
        <v>0</v>
      </c>
      <c r="AJ1195" s="99">
        <f>ROUND(VLOOKUP(100,enemy_base_stats!$A:$F,2,FALSE) * Y1195* J1195*O1195*E1195*S1195*AD1195*[2]ステータス!$B$2,0)</f>
        <v>176001</v>
      </c>
      <c r="AK1195" s="99">
        <f>ROUND(VLOOKUP(100,enemy_base_stats!$A:$F,3,FALSE)* Z1195* K1195*P1195*F1195*T1195*AE1195 * W1195*[2]ステータス!$C$2,0)</f>
        <v>10862</v>
      </c>
      <c r="AL1195" s="99">
        <f>ROUND(VLOOKUP(100,enemy_base_stats!$A:$F,4,FALSE)* AA1195* L1195*Q1195*G1195*U1195*AF1195*[2]ステータス!$D$2,0)</f>
        <v>0</v>
      </c>
      <c r="AM1195" s="97">
        <f>VLOOKUP(M1195,[2]character_tribe_i18n!$A:$I,9,FALSE)</f>
        <v>340</v>
      </c>
      <c r="AN1195" s="36">
        <v>0</v>
      </c>
      <c r="AO1195" s="53">
        <v>0</v>
      </c>
      <c r="AP1195" s="58" t="s">
        <v>72</v>
      </c>
      <c r="AQ1195" s="71">
        <f t="shared" si="64"/>
        <v>1194</v>
      </c>
    </row>
    <row r="1196" spans="1:43" ht="21" customHeight="1" x14ac:dyDescent="0.15">
      <c r="A1196" s="7">
        <v>1195</v>
      </c>
      <c r="B1196" s="6" t="str">
        <f>VLOOKUP(A1196,[2]characters!$A:$C,3,FALSE)</f>
        <v>賑夜の幼魔 ハーヴェスト</v>
      </c>
      <c r="C1196" s="9">
        <f>VLOOKUP(A1196,[2]characters!$A:$I,9,FALSE)</f>
        <v>6</v>
      </c>
      <c r="D1196" s="9" t="str">
        <f>VLOOKUP(A1196,[2]characters!$A:$H,8,FALSE)</f>
        <v>green</v>
      </c>
      <c r="E1196" s="24">
        <f>VLOOKUP(D1196,[2]属性!$A:$E,2,FALSE)</f>
        <v>1.02</v>
      </c>
      <c r="F1196" s="24">
        <f>VLOOKUP(D1196,[2]属性!$A:$E,3,FALSE)</f>
        <v>0.98</v>
      </c>
      <c r="G1196" s="24">
        <f>VLOOKUP(D1196,[2]属性!$A:$F,4,FALSE)</f>
        <v>1</v>
      </c>
      <c r="H1196" s="9" t="str">
        <f>VLOOKUP(A1196,[2]characters!$A:$K,11,FALSE)</f>
        <v>balance</v>
      </c>
      <c r="I1196" s="14" t="str">
        <f>VLOOKUP(H1196,[2]character_type_i18n!$A:$F,3,FALSE)</f>
        <v>バランスタイプ</v>
      </c>
      <c r="J1196" s="36">
        <f>VLOOKUP(H1196,[2]character_type_i18n!$A:$F,4,FALSE)</f>
        <v>1</v>
      </c>
      <c r="K1196" s="36">
        <f>VLOOKUP(H1196,[2]character_type_i18n!$A:$F,5,FALSE)</f>
        <v>1</v>
      </c>
      <c r="L1196" s="36">
        <f>VLOOKUP(H1196,[2]character_type_i18n!$A:$F,6,FALSE)</f>
        <v>1</v>
      </c>
      <c r="M1196" s="9" t="str">
        <f>VLOOKUP(A1196,[2]characters!$A:$M,13,FALSE)</f>
        <v>unknown</v>
      </c>
      <c r="N1196" s="14" t="str">
        <f>VLOOKUP(M1196,[2]character_tribe_i18n!$A:$F,3,FALSE)</f>
        <v>Unknown</v>
      </c>
      <c r="O1196" s="24">
        <f>VLOOKUP(M1196,[2]character_tribe_i18n!$A:$F,4,FALSE)</f>
        <v>1</v>
      </c>
      <c r="P1196" s="24">
        <f>VLOOKUP(M1196,[2]character_tribe_i18n!$A:$F,5,FALSE)</f>
        <v>1</v>
      </c>
      <c r="Q1196" s="24">
        <f>VLOOKUP(M1196,[2]character_tribe_i18n!$A:$F,6,FALSE)</f>
        <v>1</v>
      </c>
      <c r="R1196" s="25" t="s">
        <v>98</v>
      </c>
      <c r="S1196" s="24">
        <f>VLOOKUP($R1196,ラベル別係数!$A$1:$E$7,3,FALSE)</f>
        <v>5</v>
      </c>
      <c r="T1196" s="24">
        <f>VLOOKUP($R1196,ラベル別係数!$A$1:$E$7,4,FALSE)</f>
        <v>1.3</v>
      </c>
      <c r="U1196" s="24">
        <f>VLOOKUP($R1196,ラベル別係数!$A$1:$E$7,5,FALSE)</f>
        <v>0.8</v>
      </c>
      <c r="V1196" s="27">
        <v>3</v>
      </c>
      <c r="W1196" s="28">
        <f>VLOOKUP(V1196,ターン数別攻撃係数!$A$1:$B$1000,2,FALSE)</f>
        <v>1</v>
      </c>
      <c r="X1196" s="9">
        <f>VLOOKUP(C1196,サイズ別係数!A$2:B$9,2,FALSE)</f>
        <v>60</v>
      </c>
      <c r="Y1196" s="26">
        <f>VLOOKUP($X1196,サイズ別係数!$B:$E,2,FALSE)</f>
        <v>1.7</v>
      </c>
      <c r="Z1196" s="26">
        <f>VLOOKUP($X1196,サイズ別係数!$B:$E,3,FALSE)</f>
        <v>1.4</v>
      </c>
      <c r="AA1196" s="26">
        <f>VLOOKUP($X1196,サイズ別係数!$B:$E,4,FALSE)</f>
        <v>1</v>
      </c>
      <c r="AB1196" s="5">
        <v>0</v>
      </c>
      <c r="AC1196" s="34" t="str">
        <f ca="1">VLOOKUP($AB1196,OFFSET([3]enemy_skill_sets!$B$2,0,0,COUNTA([3]enemy_skill_sets!$A:$A),MATCH(AC$1,[3]enemy_skill_sets!$1:$1,0)-MATCH($AB$1,[3]enemy_skill_sets!$1:$1,0)+1),MATCH(AC$1,[3]enemy_skill_sets!$1:$1,0)-MATCH($AB$1,[3]enemy_skill_sets!$1:$1,0)+1,FALSE)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6" s="67">
        <v>1</v>
      </c>
      <c r="AE1196" s="67">
        <v>1</v>
      </c>
      <c r="AF1196" s="37">
        <v>0</v>
      </c>
      <c r="AG1196" s="99">
        <f>ROUND(VLOOKUP(1,enemy_base_stats!$A:$F,2,FALSE) * Y1196* J1196*O1196*E1196*S1196*AD1196*[2]ステータス!$B$2,0)</f>
        <v>4335</v>
      </c>
      <c r="AH1196" s="99">
        <f>ROUND(VLOOKUP(1,enemy_base_stats!$A:$F,3,FALSE) * Z1196*K1196*P1196*F1196*T1196*AE1196 * W1196*[2]ステータス!$C$2,0)</f>
        <v>268</v>
      </c>
      <c r="AI1196" s="99">
        <f>ROUND(VLOOKUP(1,enemy_base_stats!$A:$F,4,FALSE) * AA1196*L1196*Q1196*G1196*U1196*AF1196*[2]ステータス!$D$2,0)</f>
        <v>0</v>
      </c>
      <c r="AJ1196" s="99">
        <f>ROUND(VLOOKUP(100,enemy_base_stats!$A:$F,2,FALSE) * Y1196* J1196*O1196*E1196*S1196*AD1196*[2]ステータス!$B$2,0)</f>
        <v>176001</v>
      </c>
      <c r="AK1196" s="99">
        <f>ROUND(VLOOKUP(100,enemy_base_stats!$A:$F,3,FALSE)* Z1196* K1196*P1196*F1196*T1196*AE1196 * W1196*[2]ステータス!$C$2,0)</f>
        <v>10862</v>
      </c>
      <c r="AL1196" s="99">
        <f>ROUND(VLOOKUP(100,enemy_base_stats!$A:$F,4,FALSE)* AA1196* L1196*Q1196*G1196*U1196*AF1196*[2]ステータス!$D$2,0)</f>
        <v>0</v>
      </c>
      <c r="AM1196" s="97">
        <f>VLOOKUP(M1196,[2]character_tribe_i18n!$A:$I,9,FALSE)</f>
        <v>340</v>
      </c>
      <c r="AN1196" s="36">
        <v>0</v>
      </c>
      <c r="AO1196" s="53">
        <v>0</v>
      </c>
      <c r="AP1196" s="58" t="s">
        <v>72</v>
      </c>
      <c r="AQ1196" s="71">
        <f t="shared" si="64"/>
        <v>1195</v>
      </c>
    </row>
    <row r="1197" spans="1:43" ht="21" customHeight="1" x14ac:dyDescent="0.15">
      <c r="A1197" s="7">
        <v>1196</v>
      </c>
      <c r="B1197" s="6" t="str">
        <f>VLOOKUP(A1197,[2]characters!$A:$C,3,FALSE)</f>
        <v>華装の闇鋏 ラプンツェル</v>
      </c>
      <c r="C1197" s="9">
        <f>VLOOKUP(A1197,[2]characters!$A:$I,9,FALSE)</f>
        <v>6</v>
      </c>
      <c r="D1197" s="9" t="str">
        <f>VLOOKUP(A1197,[2]characters!$A:$H,8,FALSE)</f>
        <v>green</v>
      </c>
      <c r="E1197" s="24">
        <f>VLOOKUP(D1197,[2]属性!$A:$E,2,FALSE)</f>
        <v>1.02</v>
      </c>
      <c r="F1197" s="24">
        <f>VLOOKUP(D1197,[2]属性!$A:$E,3,FALSE)</f>
        <v>0.98</v>
      </c>
      <c r="G1197" s="24">
        <f>VLOOKUP(D1197,[2]属性!$A:$F,4,FALSE)</f>
        <v>1</v>
      </c>
      <c r="H1197" s="9" t="str">
        <f>VLOOKUP(A1197,[2]characters!$A:$K,11,FALSE)</f>
        <v>balance</v>
      </c>
      <c r="I1197" s="14" t="str">
        <f>VLOOKUP(H1197,[2]character_type_i18n!$A:$F,3,FALSE)</f>
        <v>バランスタイプ</v>
      </c>
      <c r="J1197" s="36">
        <f>VLOOKUP(H1197,[2]character_type_i18n!$A:$F,4,FALSE)</f>
        <v>1</v>
      </c>
      <c r="K1197" s="36">
        <f>VLOOKUP(H1197,[2]character_type_i18n!$A:$F,5,FALSE)</f>
        <v>1</v>
      </c>
      <c r="L1197" s="36">
        <f>VLOOKUP(H1197,[2]character_type_i18n!$A:$F,6,FALSE)</f>
        <v>1</v>
      </c>
      <c r="M1197" s="9" t="str">
        <f>VLOOKUP(A1197,[2]characters!$A:$M,13,FALSE)</f>
        <v>human</v>
      </c>
      <c r="N1197" s="14" t="str">
        <f>VLOOKUP(M1197,[2]character_tribe_i18n!$A:$F,3,FALSE)</f>
        <v>ヒューマン</v>
      </c>
      <c r="O1197" s="24">
        <f>VLOOKUP(M1197,[2]character_tribe_i18n!$A:$F,4,FALSE)</f>
        <v>0.94</v>
      </c>
      <c r="P1197" s="24">
        <f>VLOOKUP(M1197,[2]character_tribe_i18n!$A:$F,5,FALSE)</f>
        <v>0.99</v>
      </c>
      <c r="Q1197" s="24">
        <f>VLOOKUP(M1197,[2]character_tribe_i18n!$A:$F,6,FALSE)</f>
        <v>1</v>
      </c>
      <c r="R1197" s="25" t="s">
        <v>98</v>
      </c>
      <c r="S1197" s="24">
        <f>VLOOKUP($R1197,ラベル別係数!$A$1:$E$7,3,FALSE)</f>
        <v>5</v>
      </c>
      <c r="T1197" s="24">
        <f>VLOOKUP($R1197,ラベル別係数!$A$1:$E$7,4,FALSE)</f>
        <v>1.3</v>
      </c>
      <c r="U1197" s="24">
        <f>VLOOKUP($R1197,ラベル別係数!$A$1:$E$7,5,FALSE)</f>
        <v>0.8</v>
      </c>
      <c r="V1197" s="27">
        <v>3</v>
      </c>
      <c r="W1197" s="28">
        <f>VLOOKUP(V1197,ターン数別攻撃係数!$A$1:$B$1000,2,FALSE)</f>
        <v>1</v>
      </c>
      <c r="X1197" s="9">
        <f>VLOOKUP(C1197,サイズ別係数!A$2:B$9,2,FALSE)</f>
        <v>60</v>
      </c>
      <c r="Y1197" s="26">
        <f>VLOOKUP($X1197,サイズ別係数!$B:$E,2,FALSE)</f>
        <v>1.7</v>
      </c>
      <c r="Z1197" s="26">
        <f>VLOOKUP($X1197,サイズ別係数!$B:$E,3,FALSE)</f>
        <v>1.4</v>
      </c>
      <c r="AA1197" s="26">
        <f>VLOOKUP($X1197,サイズ別係数!$B:$E,4,FALSE)</f>
        <v>1</v>
      </c>
      <c r="AB1197" s="5">
        <v>0</v>
      </c>
      <c r="AC1197" s="34" t="str">
        <f ca="1">VLOOKUP($AB1197,OFFSET([3]enemy_skill_sets!$B$2,0,0,COUNTA([3]enemy_skill_sets!$A:$A),MATCH(AC$1,[3]enemy_skill_sets!$1:$1,0)-MATCH($AB$1,[3]enemy_skill_sets!$1:$1,0)+1),MATCH(AC$1,[3]enemy_skill_sets!$1:$1,0)-MATCH($AB$1,[3]enemy_skill_sets!$1:$1,0)+1,FALSE)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7" s="67">
        <v>1</v>
      </c>
      <c r="AE1197" s="67">
        <v>1</v>
      </c>
      <c r="AF1197" s="37">
        <v>0</v>
      </c>
      <c r="AG1197" s="99">
        <f>ROUND(VLOOKUP(1,enemy_base_stats!$A:$F,2,FALSE) * Y1197* J1197*O1197*E1197*S1197*AD1197*[2]ステータス!$B$2,0)</f>
        <v>4075</v>
      </c>
      <c r="AH1197" s="99">
        <f>ROUND(VLOOKUP(1,enemy_base_stats!$A:$F,3,FALSE) * Z1197*K1197*P1197*F1197*T1197*AE1197 * W1197*[2]ステータス!$C$2,0)</f>
        <v>265</v>
      </c>
      <c r="AI1197" s="99">
        <f>ROUND(VLOOKUP(1,enemy_base_stats!$A:$F,4,FALSE) * AA1197*L1197*Q1197*G1197*U1197*AF1197*[2]ステータス!$D$2,0)</f>
        <v>0</v>
      </c>
      <c r="AJ1197" s="99">
        <f>ROUND(VLOOKUP(100,enemy_base_stats!$A:$F,2,FALSE) * Y1197* J1197*O1197*E1197*S1197*AD1197*[2]ステータス!$B$2,0)</f>
        <v>165441</v>
      </c>
      <c r="AK1197" s="99">
        <f>ROUND(VLOOKUP(100,enemy_base_stats!$A:$F,3,FALSE)* Z1197* K1197*P1197*F1197*T1197*AE1197 * W1197*[2]ステータス!$C$2,0)</f>
        <v>10754</v>
      </c>
      <c r="AL1197" s="99">
        <f>ROUND(VLOOKUP(100,enemy_base_stats!$A:$F,4,FALSE)* AA1197* L1197*Q1197*G1197*U1197*AF1197*[2]ステータス!$D$2,0)</f>
        <v>0</v>
      </c>
      <c r="AM1197" s="97">
        <f>VLOOKUP(M1197,[2]character_tribe_i18n!$A:$I,9,FALSE)</f>
        <v>400</v>
      </c>
      <c r="AN1197" s="36">
        <v>0</v>
      </c>
      <c r="AO1197" s="53">
        <v>0</v>
      </c>
      <c r="AP1197" s="58" t="s">
        <v>72</v>
      </c>
      <c r="AQ1197" s="71">
        <f t="shared" si="64"/>
        <v>1196</v>
      </c>
    </row>
    <row r="1198" spans="1:43" ht="21" customHeight="1" x14ac:dyDescent="0.15">
      <c r="A1198" s="7">
        <v>1197</v>
      </c>
      <c r="B1198" s="6" t="str">
        <f>VLOOKUP(A1198,[2]characters!$A:$C,3,FALSE)</f>
        <v>冥装の闇黒魔 バフォメット</v>
      </c>
      <c r="C1198" s="9">
        <f>VLOOKUP(A1198,[2]characters!$A:$I,9,FALSE)</f>
        <v>5</v>
      </c>
      <c r="D1198" s="9" t="str">
        <f>VLOOKUP(A1198,[2]characters!$A:$H,8,FALSE)</f>
        <v>green</v>
      </c>
      <c r="E1198" s="24">
        <f>VLOOKUP(D1198,[2]属性!$A:$E,2,FALSE)</f>
        <v>1.02</v>
      </c>
      <c r="F1198" s="24">
        <f>VLOOKUP(D1198,[2]属性!$A:$E,3,FALSE)</f>
        <v>0.98</v>
      </c>
      <c r="G1198" s="24">
        <f>VLOOKUP(D1198,[2]属性!$A:$F,4,FALSE)</f>
        <v>1</v>
      </c>
      <c r="H1198" s="100" t="s">
        <v>168</v>
      </c>
      <c r="I1198" s="14" t="str">
        <f>VLOOKUP(H1198,[2]character_type_i18n!$A:$F,3,FALSE)</f>
        <v>バランスタイプ</v>
      </c>
      <c r="J1198" s="36">
        <f>VLOOKUP(H1198,[2]character_type_i18n!$A:$F,4,FALSE)</f>
        <v>1</v>
      </c>
      <c r="K1198" s="36">
        <f>VLOOKUP(H1198,[2]character_type_i18n!$A:$F,5,FALSE)</f>
        <v>1</v>
      </c>
      <c r="L1198" s="36">
        <f>VLOOKUP(H1198,[2]character_type_i18n!$A:$F,6,FALSE)</f>
        <v>1</v>
      </c>
      <c r="M1198" s="9" t="str">
        <f>VLOOKUP(A1198,[2]characters!$A:$M,13,FALSE)</f>
        <v>demon</v>
      </c>
      <c r="N1198" s="14" t="str">
        <f>VLOOKUP(M1198,[2]character_tribe_i18n!$A:$F,3,FALSE)</f>
        <v>デーモン</v>
      </c>
      <c r="O1198" s="24">
        <f>VLOOKUP(M1198,[2]character_tribe_i18n!$A:$F,4,FALSE)</f>
        <v>1</v>
      </c>
      <c r="P1198" s="24">
        <f>VLOOKUP(M1198,[2]character_tribe_i18n!$A:$F,5,FALSE)</f>
        <v>1</v>
      </c>
      <c r="Q1198" s="24">
        <f>VLOOKUP(M1198,[2]character_tribe_i18n!$A:$F,6,FALSE)</f>
        <v>1</v>
      </c>
      <c r="R1198" s="25" t="s">
        <v>98</v>
      </c>
      <c r="S1198" s="24">
        <f>VLOOKUP($R1198,ラベル別係数!$A$1:$E$7,3,FALSE)</f>
        <v>5</v>
      </c>
      <c r="T1198" s="24">
        <f>VLOOKUP($R1198,ラベル別係数!$A$1:$E$7,4,FALSE)</f>
        <v>1.3</v>
      </c>
      <c r="U1198" s="24">
        <f>VLOOKUP($R1198,ラベル別係数!$A$1:$E$7,5,FALSE)</f>
        <v>0.8</v>
      </c>
      <c r="V1198" s="27">
        <v>3</v>
      </c>
      <c r="W1198" s="28">
        <f>VLOOKUP(V1198,ターン数別攻撃係数!$A$1:$B$1000,2,FALSE)</f>
        <v>1</v>
      </c>
      <c r="X1198" s="9">
        <f>VLOOKUP(C1198,サイズ別係数!A$2:B$9,2,FALSE)</f>
        <v>60</v>
      </c>
      <c r="Y1198" s="26">
        <f>VLOOKUP($X1198,サイズ別係数!$B:$E,2,FALSE)</f>
        <v>1.7</v>
      </c>
      <c r="Z1198" s="26">
        <f>VLOOKUP($X1198,サイズ別係数!$B:$E,3,FALSE)</f>
        <v>1.4</v>
      </c>
      <c r="AA1198" s="26">
        <f>VLOOKUP($X1198,サイズ別係数!$B:$E,4,FALSE)</f>
        <v>1</v>
      </c>
      <c r="AB1198" s="5">
        <v>0</v>
      </c>
      <c r="AC1198" s="34" t="str">
        <f ca="1">VLOOKUP($AB1198,OFFSET([3]enemy_skill_sets!$B$2,0,0,COUNTA([3]enemy_skill_sets!$A:$A),MATCH(AC$1,[3]enemy_skill_sets!$1:$1,0)-MATCH($AB$1,[3]enemy_skill_sets!$1:$1,0)+1),MATCH(AC$1,[3]enemy_skill_sets!$1:$1,0)-MATCH($AB$1,[3]enemy_skill_sets!$1:$1,0)+1,FALSE)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8" s="67">
        <v>1</v>
      </c>
      <c r="AE1198" s="67">
        <v>1</v>
      </c>
      <c r="AF1198" s="37">
        <v>0</v>
      </c>
      <c r="AG1198" s="99">
        <f>ROUND(VLOOKUP(1,enemy_base_stats!$A:$F,2,FALSE) * Y1198* J1198*O1198*E1198*S1198*AD1198*[2]ステータス!$B$2,0)</f>
        <v>4335</v>
      </c>
      <c r="AH1198" s="99">
        <f>ROUND(VLOOKUP(1,enemy_base_stats!$A:$F,3,FALSE) * Z1198*K1198*P1198*F1198*T1198*AE1198 * W1198*[2]ステータス!$C$2,0)</f>
        <v>268</v>
      </c>
      <c r="AI1198" s="99">
        <f>ROUND(VLOOKUP(1,enemy_base_stats!$A:$F,4,FALSE) * AA1198*L1198*Q1198*G1198*U1198*AF1198*[2]ステータス!$D$2,0)</f>
        <v>0</v>
      </c>
      <c r="AJ1198" s="99">
        <f>ROUND(VLOOKUP(100,enemy_base_stats!$A:$F,2,FALSE) * Y1198* J1198*O1198*E1198*S1198*AD1198*[2]ステータス!$B$2,0)</f>
        <v>176001</v>
      </c>
      <c r="AK1198" s="99">
        <f>ROUND(VLOOKUP(100,enemy_base_stats!$A:$F,3,FALSE)* Z1198* K1198*P1198*F1198*T1198*AE1198 * W1198*[2]ステータス!$C$2,0)</f>
        <v>10862</v>
      </c>
      <c r="AL1198" s="99">
        <f>ROUND(VLOOKUP(100,enemy_base_stats!$A:$F,4,FALSE)* AA1198* L1198*Q1198*G1198*U1198*AF1198*[2]ステータス!$D$2,0)</f>
        <v>0</v>
      </c>
      <c r="AM1198" s="97">
        <f>VLOOKUP(M1198,[2]character_tribe_i18n!$A:$I,9,FALSE)</f>
        <v>400</v>
      </c>
      <c r="AN1198" s="36">
        <v>0</v>
      </c>
      <c r="AO1198" s="53">
        <v>0</v>
      </c>
      <c r="AP1198" s="58" t="s">
        <v>72</v>
      </c>
      <c r="AQ1198" s="71">
        <f t="shared" si="64"/>
        <v>1197</v>
      </c>
    </row>
    <row r="1199" spans="1:43" ht="21" customHeight="1" x14ac:dyDescent="0.15">
      <c r="A1199" s="7">
        <v>1198</v>
      </c>
      <c r="B1199" s="6" t="str">
        <f>VLOOKUP(A1199,[2]characters!$A:$C,3,FALSE)</f>
        <v>幽縛の霊線 ピノキオ</v>
      </c>
      <c r="C1199" s="9">
        <f>VLOOKUP(A1199,[2]characters!$A:$I,9,FALSE)</f>
        <v>5</v>
      </c>
      <c r="D1199" s="9" t="str">
        <f>VLOOKUP(A1199,[2]characters!$A:$H,8,FALSE)</f>
        <v>blue</v>
      </c>
      <c r="E1199" s="24">
        <f>VLOOKUP(D1199,[2]属性!$A:$E,2,FALSE)</f>
        <v>1</v>
      </c>
      <c r="F1199" s="24">
        <f>VLOOKUP(D1199,[2]属性!$A:$E,3,FALSE)</f>
        <v>0.98</v>
      </c>
      <c r="G1199" s="24">
        <f>VLOOKUP(D1199,[2]属性!$A:$F,4,FALSE)</f>
        <v>1</v>
      </c>
      <c r="H1199" s="9" t="s">
        <v>169</v>
      </c>
      <c r="I1199" s="14" t="str">
        <f>VLOOKUP(H1199,[2]character_type_i18n!$A:$F,3,FALSE)</f>
        <v>攻撃タイプ</v>
      </c>
      <c r="J1199" s="36">
        <f>VLOOKUP(H1199,[2]character_type_i18n!$A:$F,4,FALSE)</f>
        <v>1</v>
      </c>
      <c r="K1199" s="36">
        <f>VLOOKUP(H1199,[2]character_type_i18n!$A:$F,5,FALSE)</f>
        <v>1.33</v>
      </c>
      <c r="L1199" s="36">
        <f>VLOOKUP(H1199,[2]character_type_i18n!$A:$F,6,FALSE)</f>
        <v>1</v>
      </c>
      <c r="M1199" s="9" t="str">
        <f>VLOOKUP(A1199,[2]characters!$A:$M,13,FALSE)</f>
        <v>machine</v>
      </c>
      <c r="N1199" s="14" t="str">
        <f>VLOOKUP(M1199,[2]character_tribe_i18n!$A:$F,3,FALSE)</f>
        <v>マシン</v>
      </c>
      <c r="O1199" s="24">
        <f>VLOOKUP(M1199,[2]character_tribe_i18n!$A:$F,4,FALSE)</f>
        <v>1</v>
      </c>
      <c r="P1199" s="24">
        <f>VLOOKUP(M1199,[2]character_tribe_i18n!$A:$F,5,FALSE)</f>
        <v>1</v>
      </c>
      <c r="Q1199" s="24">
        <f>VLOOKUP(M1199,[2]character_tribe_i18n!$A:$F,6,FALSE)</f>
        <v>1</v>
      </c>
      <c r="R1199" s="25" t="s">
        <v>98</v>
      </c>
      <c r="S1199" s="24">
        <f>VLOOKUP($R1199,ラベル別係数!$A$1:$E$7,3,FALSE)</f>
        <v>5</v>
      </c>
      <c r="T1199" s="24">
        <f>VLOOKUP($R1199,ラベル別係数!$A$1:$E$7,4,FALSE)</f>
        <v>1.3</v>
      </c>
      <c r="U1199" s="24">
        <f>VLOOKUP($R1199,ラベル別係数!$A$1:$E$7,5,FALSE)</f>
        <v>0.8</v>
      </c>
      <c r="V1199" s="27">
        <v>3</v>
      </c>
      <c r="W1199" s="28">
        <f>VLOOKUP(V1199,ターン数別攻撃係数!$A$1:$B$1000,2,FALSE)</f>
        <v>1</v>
      </c>
      <c r="X1199" s="9">
        <f>VLOOKUP(C1199,サイズ別係数!A$2:B$9,2,FALSE)</f>
        <v>60</v>
      </c>
      <c r="Y1199" s="26">
        <f>VLOOKUP($X1199,サイズ別係数!$B:$E,2,FALSE)</f>
        <v>1.7</v>
      </c>
      <c r="Z1199" s="26">
        <f>VLOOKUP($X1199,サイズ別係数!$B:$E,3,FALSE)</f>
        <v>1.4</v>
      </c>
      <c r="AA1199" s="26">
        <f>VLOOKUP($X1199,サイズ別係数!$B:$E,4,FALSE)</f>
        <v>1</v>
      </c>
      <c r="AB1199" s="5">
        <v>0</v>
      </c>
      <c r="AC1199" s="34" t="str">
        <f ca="1">VLOOKUP($AB1199,OFFSET([3]enemy_skill_sets!$B$2,0,0,COUNTA([3]enemy_skill_sets!$A:$A),MATCH(AC$1,[3]enemy_skill_sets!$1:$1,0)-MATCH($AB$1,[3]enemy_skill_sets!$1:$1,0)+1),MATCH(AC$1,[3]enemy_skill_sets!$1:$1,0)-MATCH($AB$1,[3]enemy_skill_sets!$1:$1,0)+1,FALSE)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199" s="67">
        <v>1</v>
      </c>
      <c r="AE1199" s="67">
        <v>1</v>
      </c>
      <c r="AF1199" s="37">
        <v>0</v>
      </c>
      <c r="AG1199" s="99">
        <f>ROUND(VLOOKUP(1,enemy_base_stats!$A:$F,2,FALSE) * Y1199* J1199*O1199*E1199*S1199*AD1199*[2]ステータス!$B$2,0)</f>
        <v>4250</v>
      </c>
      <c r="AH1199" s="99">
        <f>ROUND(VLOOKUP(1,enemy_base_stats!$A:$F,3,FALSE) * Z1199*K1199*P1199*F1199*T1199*AE1199 * W1199*[2]ステータス!$C$2,0)</f>
        <v>356</v>
      </c>
      <c r="AI1199" s="99">
        <f>ROUND(VLOOKUP(1,enemy_base_stats!$A:$F,4,FALSE) * AA1199*L1199*Q1199*G1199*U1199*AF1199*[2]ステータス!$D$2,0)</f>
        <v>0</v>
      </c>
      <c r="AJ1199" s="99">
        <f>ROUND(VLOOKUP(100,enemy_base_stats!$A:$F,2,FALSE) * Y1199* J1199*O1199*E1199*S1199*AD1199*[2]ステータス!$B$2,0)</f>
        <v>172550</v>
      </c>
      <c r="AK1199" s="99">
        <f>ROUND(VLOOKUP(100,enemy_base_stats!$A:$F,3,FALSE)* Z1199* K1199*P1199*F1199*T1199*AE1199 * W1199*[2]ステータス!$C$2,0)</f>
        <v>14447</v>
      </c>
      <c r="AL1199" s="99">
        <f>ROUND(VLOOKUP(100,enemy_base_stats!$A:$F,4,FALSE)* AA1199* L1199*Q1199*G1199*U1199*AF1199*[2]ステータス!$D$2,0)</f>
        <v>0</v>
      </c>
      <c r="AM1199" s="97">
        <f>VLOOKUP(M1199,[2]character_tribe_i18n!$A:$I,9,FALSE)</f>
        <v>520</v>
      </c>
      <c r="AN1199" s="36">
        <v>0</v>
      </c>
      <c r="AO1199" s="53">
        <v>0</v>
      </c>
      <c r="AP1199" s="58" t="s">
        <v>72</v>
      </c>
      <c r="AQ1199" s="71">
        <f t="shared" si="64"/>
        <v>1198</v>
      </c>
    </row>
    <row r="1200" spans="1:43" ht="21" customHeight="1" x14ac:dyDescent="0.15">
      <c r="A1200" s="7">
        <v>1199</v>
      </c>
      <c r="B1200" s="6" t="str">
        <f>VLOOKUP(A1200,[2]characters!$A:$C,3,FALSE)</f>
        <v>看装の巡回者 ケルベロス</v>
      </c>
      <c r="C1200" s="9">
        <f>VLOOKUP(A1200,[2]characters!$A:$I,9,FALSE)</f>
        <v>5</v>
      </c>
      <c r="D1200" s="9" t="str">
        <f>VLOOKUP(A1200,[2]characters!$A:$H,8,FALSE)</f>
        <v>yellow</v>
      </c>
      <c r="E1200" s="24">
        <f>VLOOKUP(D1200,[2]属性!$A:$E,2,FALSE)</f>
        <v>0.98</v>
      </c>
      <c r="F1200" s="24">
        <f>VLOOKUP(D1200,[2]属性!$A:$E,3,FALSE)</f>
        <v>1.01</v>
      </c>
      <c r="G1200" s="24">
        <f>VLOOKUP(D1200,[2]属性!$A:$F,4,FALSE)</f>
        <v>1</v>
      </c>
      <c r="H1200" s="9" t="str">
        <f>VLOOKUP(A1200,[2]characters!$A:$K,11,FALSE)</f>
        <v>heal</v>
      </c>
      <c r="I1200" s="14" t="str">
        <f>VLOOKUP(H1200,[2]character_type_i18n!$A:$F,3,FALSE)</f>
        <v>回復タイプ</v>
      </c>
      <c r="J1200" s="36">
        <f>VLOOKUP(H1200,[2]character_type_i18n!$A:$F,4,FALSE)</f>
        <v>0.8</v>
      </c>
      <c r="K1200" s="36">
        <f>VLOOKUP(H1200,[2]character_type_i18n!$A:$F,5,FALSE)</f>
        <v>0.78</v>
      </c>
      <c r="L1200" s="36">
        <f>VLOOKUP(H1200,[2]character_type_i18n!$A:$F,6,FALSE)</f>
        <v>1</v>
      </c>
      <c r="M1200" s="9" t="str">
        <f>VLOOKUP(A1200,[2]characters!$A:$M,13,FALSE)</f>
        <v>animal</v>
      </c>
      <c r="N1200" s="14" t="str">
        <f>VLOOKUP(M1200,[2]character_tribe_i18n!$A:$F,3,FALSE)</f>
        <v>アニマル</v>
      </c>
      <c r="O1200" s="24">
        <f>VLOOKUP(M1200,[2]character_tribe_i18n!$A:$F,4,FALSE)</f>
        <v>1</v>
      </c>
      <c r="P1200" s="24">
        <f>VLOOKUP(M1200,[2]character_tribe_i18n!$A:$F,5,FALSE)</f>
        <v>1.1000000000000001</v>
      </c>
      <c r="Q1200" s="24">
        <f>VLOOKUP(M1200,[2]character_tribe_i18n!$A:$F,6,FALSE)</f>
        <v>1</v>
      </c>
      <c r="R1200" s="25" t="s">
        <v>98</v>
      </c>
      <c r="S1200" s="24">
        <f>VLOOKUP($R1200,ラベル別係数!$A$1:$E$7,3,FALSE)</f>
        <v>5</v>
      </c>
      <c r="T1200" s="24">
        <f>VLOOKUP($R1200,ラベル別係数!$A$1:$E$7,4,FALSE)</f>
        <v>1.3</v>
      </c>
      <c r="U1200" s="24">
        <f>VLOOKUP($R1200,ラベル別係数!$A$1:$E$7,5,FALSE)</f>
        <v>0.8</v>
      </c>
      <c r="V1200" s="27">
        <v>3</v>
      </c>
      <c r="W1200" s="28">
        <f>VLOOKUP(V1200,ターン数別攻撃係数!$A$1:$B$1000,2,FALSE)</f>
        <v>1</v>
      </c>
      <c r="X1200" s="9">
        <f>VLOOKUP(C1200,サイズ別係数!A$2:B$9,2,FALSE)</f>
        <v>60</v>
      </c>
      <c r="Y1200" s="26">
        <f>VLOOKUP($X1200,サイズ別係数!$B:$E,2,FALSE)</f>
        <v>1.7</v>
      </c>
      <c r="Z1200" s="26">
        <f>VLOOKUP($X1200,サイズ別係数!$B:$E,3,FALSE)</f>
        <v>1.4</v>
      </c>
      <c r="AA1200" s="26">
        <f>VLOOKUP($X1200,サイズ別係数!$B:$E,4,FALSE)</f>
        <v>1</v>
      </c>
      <c r="AB1200" s="5">
        <v>0</v>
      </c>
      <c r="AC1200" s="34" t="str">
        <f ca="1">VLOOKUP($AB1200,OFFSET([3]enemy_skill_sets!$B$2,0,0,COUNTA([3]enemy_skill_sets!$A:$A),MATCH(AC$1,[3]enemy_skill_sets!$1:$1,0)-MATCH($AB$1,[3]enemy_skill_sets!$1:$1,0)+1),MATCH(AC$1,[3]enemy_skill_sets!$1:$1,0)-MATCH($AB$1,[3]enemy_skill_sets!$1:$1,0)+1,FALSE)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0" s="67">
        <v>1</v>
      </c>
      <c r="AE1200" s="67">
        <v>1</v>
      </c>
      <c r="AF1200" s="37">
        <v>0</v>
      </c>
      <c r="AG1200" s="99">
        <f>ROUND(VLOOKUP(1,enemy_base_stats!$A:$F,2,FALSE) * Y1200* J1200*O1200*E1200*S1200*AD1200*[2]ステータス!$B$2,0)</f>
        <v>3332</v>
      </c>
      <c r="AH1200" s="99">
        <f>ROUND(VLOOKUP(1,enemy_base_stats!$A:$F,3,FALSE) * Z1200*K1200*P1200*F1200*T1200*AE1200 * W1200*[2]ステータス!$C$2,0)</f>
        <v>237</v>
      </c>
      <c r="AI1200" s="99">
        <f>ROUND(VLOOKUP(1,enemy_base_stats!$A:$F,4,FALSE) * AA1200*L1200*Q1200*G1200*U1200*AF1200*[2]ステータス!$D$2,0)</f>
        <v>0</v>
      </c>
      <c r="AJ1200" s="99">
        <f>ROUND(VLOOKUP(100,enemy_base_stats!$A:$F,2,FALSE) * Y1200* J1200*O1200*E1200*S1200*AD1200*[2]ステータス!$B$2,0)</f>
        <v>135279</v>
      </c>
      <c r="AK1200" s="99">
        <f>ROUND(VLOOKUP(100,enemy_base_stats!$A:$F,3,FALSE)* Z1200* K1200*P1200*F1200*T1200*AE1200 * W1200*[2]ステータス!$C$2,0)</f>
        <v>9605</v>
      </c>
      <c r="AL1200" s="99">
        <f>ROUND(VLOOKUP(100,enemy_base_stats!$A:$F,4,FALSE)* AA1200* L1200*Q1200*G1200*U1200*AF1200*[2]ステータス!$D$2,0)</f>
        <v>0</v>
      </c>
      <c r="AM1200" s="97">
        <f>VLOOKUP(M1200,[2]character_tribe_i18n!$A:$I,9,FALSE)</f>
        <v>480</v>
      </c>
      <c r="AN1200" s="36">
        <v>0</v>
      </c>
      <c r="AO1200" s="53">
        <v>0</v>
      </c>
      <c r="AP1200" s="58" t="s">
        <v>72</v>
      </c>
      <c r="AQ1200" s="71">
        <f t="shared" si="64"/>
        <v>1199</v>
      </c>
    </row>
    <row r="1201" spans="1:43" ht="21" customHeight="1" x14ac:dyDescent="0.15">
      <c r="A1201" s="7">
        <v>1200</v>
      </c>
      <c r="B1201" s="6" t="str">
        <f>VLOOKUP(A1201,[2]characters!$A:$C,3,FALSE)</f>
        <v>サイクロプス</v>
      </c>
      <c r="C1201" s="9">
        <f>VLOOKUP(A1201,[2]characters!$A:$I,9,FALSE)</f>
        <v>4</v>
      </c>
      <c r="D1201" s="9" t="str">
        <f>VLOOKUP(A1201,[2]characters!$A:$H,8,FALSE)</f>
        <v>blue</v>
      </c>
      <c r="E1201" s="24">
        <f>VLOOKUP(D1201,[2]属性!$A:$E,2,FALSE)</f>
        <v>1</v>
      </c>
      <c r="F1201" s="24">
        <f>VLOOKUP(D1201,[2]属性!$A:$E,3,FALSE)</f>
        <v>0.98</v>
      </c>
      <c r="G1201" s="24">
        <f>VLOOKUP(D1201,[2]属性!$A:$F,4,FALSE)</f>
        <v>1</v>
      </c>
      <c r="H1201" s="9" t="str">
        <f>VLOOKUP(A1201,[2]characters!$A:$K,11,FALSE)</f>
        <v>technical</v>
      </c>
      <c r="I1201" s="14" t="str">
        <f>VLOOKUP(H1201,[2]character_type_i18n!$A:$F,3,FALSE)</f>
        <v>テクニカルタイプ</v>
      </c>
      <c r="J1201" s="36">
        <f>VLOOKUP(H1201,[2]character_type_i18n!$A:$F,4,FALSE)</f>
        <v>0.9</v>
      </c>
      <c r="K1201" s="36">
        <f>VLOOKUP(H1201,[2]character_type_i18n!$A:$F,5,FALSE)</f>
        <v>0.9</v>
      </c>
      <c r="L1201" s="36">
        <f>VLOOKUP(H1201,[2]character_type_i18n!$A:$F,6,FALSE)</f>
        <v>1</v>
      </c>
      <c r="M1201" s="9" t="str">
        <f>VLOOKUP(A1201,[2]characters!$A:$M,13,FALSE)</f>
        <v>unknown</v>
      </c>
      <c r="N1201" s="14" t="str">
        <f>VLOOKUP(M1201,[2]character_tribe_i18n!$A:$F,3,FALSE)</f>
        <v>Unknown</v>
      </c>
      <c r="O1201" s="24">
        <f>VLOOKUP(M1201,[2]character_tribe_i18n!$A:$F,4,FALSE)</f>
        <v>1</v>
      </c>
      <c r="P1201" s="24">
        <f>VLOOKUP(M1201,[2]character_tribe_i18n!$A:$F,5,FALSE)</f>
        <v>1</v>
      </c>
      <c r="Q1201" s="24">
        <f>VLOOKUP(M1201,[2]character_tribe_i18n!$A:$F,6,FALSE)</f>
        <v>1</v>
      </c>
      <c r="R1201" s="25" t="s">
        <v>98</v>
      </c>
      <c r="S1201" s="24">
        <f>VLOOKUP($R1201,ラベル別係数!$A$1:$E$7,3,FALSE)</f>
        <v>5</v>
      </c>
      <c r="T1201" s="24">
        <f>VLOOKUP($R1201,ラベル別係数!$A$1:$E$7,4,FALSE)</f>
        <v>1.3</v>
      </c>
      <c r="U1201" s="24">
        <f>VLOOKUP($R1201,ラベル別係数!$A$1:$E$7,5,FALSE)</f>
        <v>0.8</v>
      </c>
      <c r="V1201" s="27">
        <v>3</v>
      </c>
      <c r="W1201" s="28">
        <f>VLOOKUP(V1201,ターン数別攻撃係数!$A$1:$B$1000,2,FALSE)</f>
        <v>1</v>
      </c>
      <c r="X1201" s="9">
        <f>VLOOKUP(C1201,サイズ別係数!A$2:B$9,2,FALSE)</f>
        <v>30</v>
      </c>
      <c r="Y1201" s="26">
        <f>VLOOKUP($X1201,サイズ別係数!$B:$E,2,FALSE)</f>
        <v>1.3</v>
      </c>
      <c r="Z1201" s="26">
        <f>VLOOKUP($X1201,サイズ別係数!$B:$E,3,FALSE)</f>
        <v>1.3</v>
      </c>
      <c r="AA1201" s="26">
        <f>VLOOKUP($X1201,サイズ別係数!$B:$E,4,FALSE)</f>
        <v>1.1000000000000001</v>
      </c>
      <c r="AB1201" s="5">
        <v>0</v>
      </c>
      <c r="AC1201" s="34" t="str">
        <f ca="1">VLOOKUP($AB1201,OFFSET([3]enemy_skill_sets!$B$2,0,0,COUNTA([3]enemy_skill_sets!$A:$A),MATCH(AC$1,[3]enemy_skill_sets!$1:$1,0)-MATCH($AB$1,[3]enemy_skill_sets!$1:$1,0)+1),MATCH(AC$1,[3]enemy_skill_sets!$1:$1,0)-MATCH($AB$1,[3]enemy_skill_sets!$1:$1,0)+1,FALSE)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1" s="67">
        <v>1</v>
      </c>
      <c r="AE1201" s="67">
        <v>1</v>
      </c>
      <c r="AF1201" s="37">
        <v>0</v>
      </c>
      <c r="AG1201" s="99">
        <f>ROUND(VLOOKUP(1,enemy_base_stats!$A:$F,2,FALSE) * Y1201* J1201*O1201*E1201*S1201*AD1201*[2]ステータス!$B$2,0)</f>
        <v>2925</v>
      </c>
      <c r="AH1201" s="99">
        <f>ROUND(VLOOKUP(1,enemy_base_stats!$A:$F,3,FALSE) * Z1201*K1201*P1201*F1201*T1201*AE1201 * W1201*[2]ステータス!$C$2,0)</f>
        <v>224</v>
      </c>
      <c r="AI1201" s="99">
        <f>ROUND(VLOOKUP(1,enemy_base_stats!$A:$F,4,FALSE) * AA1201*L1201*Q1201*G1201*U1201*AF1201*[2]ステータス!$D$2,0)</f>
        <v>0</v>
      </c>
      <c r="AJ1201" s="99">
        <f>ROUND(VLOOKUP(100,enemy_base_stats!$A:$F,2,FALSE) * Y1201* J1201*O1201*E1201*S1201*AD1201*[2]ステータス!$B$2,0)</f>
        <v>118755</v>
      </c>
      <c r="AK1201" s="99">
        <f>ROUND(VLOOKUP(100,enemy_base_stats!$A:$F,3,FALSE)* Z1201* K1201*P1201*F1201*T1201*AE1201 * W1201*[2]ステータス!$C$2,0)</f>
        <v>9078</v>
      </c>
      <c r="AL1201" s="99">
        <f>ROUND(VLOOKUP(100,enemy_base_stats!$A:$F,4,FALSE)* AA1201* L1201*Q1201*G1201*U1201*AF1201*[2]ステータス!$D$2,0)</f>
        <v>0</v>
      </c>
      <c r="AM1201" s="97">
        <f>VLOOKUP(M1201,[2]character_tribe_i18n!$A:$I,9,FALSE)</f>
        <v>340</v>
      </c>
      <c r="AN1201" s="36">
        <v>0</v>
      </c>
      <c r="AO1201" s="53">
        <v>0</v>
      </c>
      <c r="AP1201" s="58" t="s">
        <v>72</v>
      </c>
      <c r="AQ1201" s="71">
        <f t="shared" si="64"/>
        <v>1200</v>
      </c>
    </row>
    <row r="1202" spans="1:43" ht="21" customHeight="1" x14ac:dyDescent="0.15">
      <c r="A1202" s="7">
        <v>1201</v>
      </c>
      <c r="B1202" s="6" t="str">
        <f>VLOOKUP(A1202,[2]characters!$A:$C,3,FALSE)</f>
        <v>器装の眼囚徒 サイクロプス</v>
      </c>
      <c r="C1202" s="9">
        <f>VLOOKUP(A1202,[2]characters!$A:$I,9,FALSE)</f>
        <v>5</v>
      </c>
      <c r="D1202" s="9" t="str">
        <f>VLOOKUP(A1202,[2]characters!$A:$H,8,FALSE)</f>
        <v>blue</v>
      </c>
      <c r="E1202" s="24">
        <f>VLOOKUP(D1202,[2]属性!$A:$E,2,FALSE)</f>
        <v>1</v>
      </c>
      <c r="F1202" s="24">
        <f>VLOOKUP(D1202,[2]属性!$A:$E,3,FALSE)</f>
        <v>0.98</v>
      </c>
      <c r="G1202" s="24">
        <f>VLOOKUP(D1202,[2]属性!$A:$F,4,FALSE)</f>
        <v>1</v>
      </c>
      <c r="H1202" s="9" t="str">
        <f>VLOOKUP(A1202,[2]characters!$A:$K,11,FALSE)</f>
        <v>technical</v>
      </c>
      <c r="I1202" s="14" t="str">
        <f>VLOOKUP(H1202,[2]character_type_i18n!$A:$F,3,FALSE)</f>
        <v>テクニカルタイプ</v>
      </c>
      <c r="J1202" s="36">
        <f>VLOOKUP(H1202,[2]character_type_i18n!$A:$F,4,FALSE)</f>
        <v>0.9</v>
      </c>
      <c r="K1202" s="36">
        <f>VLOOKUP(H1202,[2]character_type_i18n!$A:$F,5,FALSE)</f>
        <v>0.9</v>
      </c>
      <c r="L1202" s="36">
        <f>VLOOKUP(H1202,[2]character_type_i18n!$A:$F,6,FALSE)</f>
        <v>1</v>
      </c>
      <c r="M1202" s="9" t="str">
        <f>VLOOKUP(A1202,[2]characters!$A:$M,13,FALSE)</f>
        <v>unknown</v>
      </c>
      <c r="N1202" s="14" t="str">
        <f>VLOOKUP(M1202,[2]character_tribe_i18n!$A:$F,3,FALSE)</f>
        <v>Unknown</v>
      </c>
      <c r="O1202" s="24">
        <f>VLOOKUP(M1202,[2]character_tribe_i18n!$A:$F,4,FALSE)</f>
        <v>1</v>
      </c>
      <c r="P1202" s="24">
        <f>VLOOKUP(M1202,[2]character_tribe_i18n!$A:$F,5,FALSE)</f>
        <v>1</v>
      </c>
      <c r="Q1202" s="24">
        <f>VLOOKUP(M1202,[2]character_tribe_i18n!$A:$F,6,FALSE)</f>
        <v>1</v>
      </c>
      <c r="R1202" s="25" t="s">
        <v>98</v>
      </c>
      <c r="S1202" s="24">
        <f>VLOOKUP($R1202,ラベル別係数!$A$1:$E$7,3,FALSE)</f>
        <v>5</v>
      </c>
      <c r="T1202" s="24">
        <f>VLOOKUP($R1202,ラベル別係数!$A$1:$E$7,4,FALSE)</f>
        <v>1.3</v>
      </c>
      <c r="U1202" s="24">
        <f>VLOOKUP($R1202,ラベル別係数!$A$1:$E$7,5,FALSE)</f>
        <v>0.8</v>
      </c>
      <c r="V1202" s="27">
        <v>3</v>
      </c>
      <c r="W1202" s="28">
        <f>VLOOKUP(V1202,ターン数別攻撃係数!$A$1:$B$1000,2,FALSE)</f>
        <v>1</v>
      </c>
      <c r="X1202" s="9">
        <f>VLOOKUP(C1202,サイズ別係数!A$2:B$9,2,FALSE)</f>
        <v>60</v>
      </c>
      <c r="Y1202" s="26">
        <f>VLOOKUP($X1202,サイズ別係数!$B:$E,2,FALSE)</f>
        <v>1.7</v>
      </c>
      <c r="Z1202" s="26">
        <f>VLOOKUP($X1202,サイズ別係数!$B:$E,3,FALSE)</f>
        <v>1.4</v>
      </c>
      <c r="AA1202" s="26">
        <f>VLOOKUP($X1202,サイズ別係数!$B:$E,4,FALSE)</f>
        <v>1</v>
      </c>
      <c r="AB1202" s="5">
        <v>0</v>
      </c>
      <c r="AC1202" s="34" t="str">
        <f ca="1">VLOOKUP($AB1202,OFFSET([3]enemy_skill_sets!$B$2,0,0,COUNTA([3]enemy_skill_sets!$A:$A),MATCH(AC$1,[3]enemy_skill_sets!$1:$1,0)-MATCH($AB$1,[3]enemy_skill_sets!$1:$1,0)+1),MATCH(AC$1,[3]enemy_skill_sets!$1:$1,0)-MATCH($AB$1,[3]enemy_skill_sets!$1:$1,0)+1,FALSE)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2" s="67">
        <v>1</v>
      </c>
      <c r="AE1202" s="67">
        <v>1</v>
      </c>
      <c r="AF1202" s="37">
        <v>0</v>
      </c>
      <c r="AG1202" s="99">
        <f>ROUND(VLOOKUP(1,enemy_base_stats!$A:$F,2,FALSE) * Y1202* J1202*O1202*E1202*S1202*AD1202*[2]ステータス!$B$2,0)</f>
        <v>3825</v>
      </c>
      <c r="AH1202" s="99">
        <f>ROUND(VLOOKUP(1,enemy_base_stats!$A:$F,3,FALSE) * Z1202*K1202*P1202*F1202*T1202*AE1202 * W1202*[2]ステータス!$C$2,0)</f>
        <v>241</v>
      </c>
      <c r="AI1202" s="99">
        <f>ROUND(VLOOKUP(1,enemy_base_stats!$A:$F,4,FALSE) * AA1202*L1202*Q1202*G1202*U1202*AF1202*[2]ステータス!$D$2,0)</f>
        <v>0</v>
      </c>
      <c r="AJ1202" s="99">
        <f>ROUND(VLOOKUP(100,enemy_base_stats!$A:$F,2,FALSE) * Y1202* J1202*O1202*E1202*S1202*AD1202*[2]ステータス!$B$2,0)</f>
        <v>155295</v>
      </c>
      <c r="AK1202" s="99">
        <f>ROUND(VLOOKUP(100,enemy_base_stats!$A:$F,3,FALSE)* Z1202* K1202*P1202*F1202*T1202*AE1202 * W1202*[2]ステータス!$C$2,0)</f>
        <v>9776</v>
      </c>
      <c r="AL1202" s="99">
        <f>ROUND(VLOOKUP(100,enemy_base_stats!$A:$F,4,FALSE)* AA1202* L1202*Q1202*G1202*U1202*AF1202*[2]ステータス!$D$2,0)</f>
        <v>0</v>
      </c>
      <c r="AM1202" s="97">
        <f>VLOOKUP(M1202,[2]character_tribe_i18n!$A:$I,9,FALSE)</f>
        <v>340</v>
      </c>
      <c r="AN1202" s="36">
        <v>0</v>
      </c>
      <c r="AO1202" s="53">
        <v>0</v>
      </c>
      <c r="AP1202" s="58" t="s">
        <v>72</v>
      </c>
      <c r="AQ1202" s="71">
        <f t="shared" si="64"/>
        <v>1201</v>
      </c>
    </row>
    <row r="1203" spans="1:43" ht="21" customHeight="1" x14ac:dyDescent="0.15">
      <c r="A1203" s="7">
        <v>1202</v>
      </c>
      <c r="B1203" s="6" t="str">
        <f>VLOOKUP(A1203,[2]characters!$A:$C,3,FALSE)</f>
        <v>ウラヌス</v>
      </c>
      <c r="C1203" s="9">
        <f>VLOOKUP(A1203,[2]characters!$A:$I,9,FALSE)</f>
        <v>5</v>
      </c>
      <c r="D1203" s="9" t="str">
        <f>VLOOKUP(A1203,[2]characters!$A:$H,8,FALSE)</f>
        <v>red</v>
      </c>
      <c r="E1203" s="24">
        <f>VLOOKUP(D1203,[2]属性!$A:$E,2,FALSE)</f>
        <v>1</v>
      </c>
      <c r="F1203" s="24">
        <f>VLOOKUP(D1203,[2]属性!$A:$E,3,FALSE)</f>
        <v>1.02</v>
      </c>
      <c r="G1203" s="24">
        <f>VLOOKUP(D1203,[2]属性!$A:$F,4,FALSE)</f>
        <v>1</v>
      </c>
      <c r="H1203" s="9" t="str">
        <f>VLOOKUP(A1203,[2]characters!$A:$K,11,FALSE)</f>
        <v>technical</v>
      </c>
      <c r="I1203" s="14" t="str">
        <f>VLOOKUP(H1203,[2]character_type_i18n!$A:$F,3,FALSE)</f>
        <v>テクニカルタイプ</v>
      </c>
      <c r="J1203" s="36">
        <f>VLOOKUP(H1203,[2]character_type_i18n!$A:$F,4,FALSE)</f>
        <v>0.9</v>
      </c>
      <c r="K1203" s="36">
        <f>VLOOKUP(H1203,[2]character_type_i18n!$A:$F,5,FALSE)</f>
        <v>0.9</v>
      </c>
      <c r="L1203" s="36">
        <f>VLOOKUP(H1203,[2]character_type_i18n!$A:$F,6,FALSE)</f>
        <v>1</v>
      </c>
      <c r="M1203" s="9" t="str">
        <f>VLOOKUP(A1203,[2]characters!$A:$M,13,FALSE)</f>
        <v>god</v>
      </c>
      <c r="N1203" s="14" t="str">
        <f>VLOOKUP(M1203,[2]character_tribe_i18n!$A:$F,3,FALSE)</f>
        <v>ゴッド</v>
      </c>
      <c r="O1203" s="24">
        <f>VLOOKUP(M1203,[2]character_tribe_i18n!$A:$F,4,FALSE)</f>
        <v>0.96</v>
      </c>
      <c r="P1203" s="24">
        <f>VLOOKUP(M1203,[2]character_tribe_i18n!$A:$F,5,FALSE)</f>
        <v>1.02</v>
      </c>
      <c r="Q1203" s="24">
        <f>VLOOKUP(M1203,[2]character_tribe_i18n!$A:$F,6,FALSE)</f>
        <v>1</v>
      </c>
      <c r="R1203" s="25" t="s">
        <v>98</v>
      </c>
      <c r="S1203" s="24">
        <f>VLOOKUP($R1203,ラベル別係数!$A$1:$E$7,3,FALSE)</f>
        <v>5</v>
      </c>
      <c r="T1203" s="24">
        <f>VLOOKUP($R1203,ラベル別係数!$A$1:$E$7,4,FALSE)</f>
        <v>1.3</v>
      </c>
      <c r="U1203" s="24">
        <f>VLOOKUP($R1203,ラベル別係数!$A$1:$E$7,5,FALSE)</f>
        <v>0.8</v>
      </c>
      <c r="V1203" s="27">
        <v>3</v>
      </c>
      <c r="W1203" s="28">
        <f>VLOOKUP(V1203,ターン数別攻撃係数!$A$1:$B$1000,2,FALSE)</f>
        <v>1</v>
      </c>
      <c r="X1203" s="9">
        <f>VLOOKUP(C1203,サイズ別係数!A$2:B$9,2,FALSE)</f>
        <v>60</v>
      </c>
      <c r="Y1203" s="26">
        <f>VLOOKUP($X1203,サイズ別係数!$B:$E,2,FALSE)</f>
        <v>1.7</v>
      </c>
      <c r="Z1203" s="26">
        <f>VLOOKUP($X1203,サイズ別係数!$B:$E,3,FALSE)</f>
        <v>1.4</v>
      </c>
      <c r="AA1203" s="26">
        <f>VLOOKUP($X1203,サイズ別係数!$B:$E,4,FALSE)</f>
        <v>1</v>
      </c>
      <c r="AB1203" s="5">
        <v>0</v>
      </c>
      <c r="AC1203" s="34" t="str">
        <f ca="1">VLOOKUP($AB1203,OFFSET([3]enemy_skill_sets!$B$2,0,0,COUNTA([3]enemy_skill_sets!$A:$A),MATCH(AC$1,[3]enemy_skill_sets!$1:$1,0)-MATCH($AB$1,[3]enemy_skill_sets!$1:$1,0)+1),MATCH(AC$1,[3]enemy_skill_sets!$1:$1,0)-MATCH($AB$1,[3]enemy_skill_sets!$1:$1,0)+1,FALSE)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3" s="67">
        <v>1</v>
      </c>
      <c r="AE1203" s="67">
        <v>1</v>
      </c>
      <c r="AF1203" s="37">
        <v>0</v>
      </c>
      <c r="AG1203" s="99">
        <f>ROUND(VLOOKUP(1,enemy_base_stats!$A:$F,2,FALSE) * Y1203* J1203*O1203*E1203*S1203*AD1203*[2]ステータス!$B$2,0)</f>
        <v>3672</v>
      </c>
      <c r="AH1203" s="99">
        <f>ROUND(VLOOKUP(1,enemy_base_stats!$A:$F,3,FALSE) * Z1203*K1203*P1203*F1203*T1203*AE1203 * W1203*[2]ステータス!$C$2,0)</f>
        <v>256</v>
      </c>
      <c r="AI1203" s="99">
        <f>ROUND(VLOOKUP(1,enemy_base_stats!$A:$F,4,FALSE) * AA1203*L1203*Q1203*G1203*U1203*AF1203*[2]ステータス!$D$2,0)</f>
        <v>0</v>
      </c>
      <c r="AJ1203" s="99">
        <f>ROUND(VLOOKUP(100,enemy_base_stats!$A:$F,2,FALSE) * Y1203* J1203*O1203*E1203*S1203*AD1203*[2]ステータス!$B$2,0)</f>
        <v>149083</v>
      </c>
      <c r="AK1203" s="99">
        <f>ROUND(VLOOKUP(100,enemy_base_stats!$A:$F,3,FALSE)* Z1203* K1203*P1203*F1203*T1203*AE1203 * W1203*[2]ステータス!$C$2,0)</f>
        <v>10378</v>
      </c>
      <c r="AL1203" s="99">
        <f>ROUND(VLOOKUP(100,enemy_base_stats!$A:$F,4,FALSE)* AA1203* L1203*Q1203*G1203*U1203*AF1203*[2]ステータス!$D$2,0)</f>
        <v>0</v>
      </c>
      <c r="AM1203" s="97">
        <f>VLOOKUP(M1203,[2]character_tribe_i18n!$A:$I,9,FALSE)</f>
        <v>680</v>
      </c>
      <c r="AN1203" s="36">
        <v>0</v>
      </c>
      <c r="AO1203" s="53">
        <v>0</v>
      </c>
      <c r="AP1203" s="58" t="s">
        <v>72</v>
      </c>
      <c r="AQ1203" s="71">
        <f t="shared" si="64"/>
        <v>1202</v>
      </c>
    </row>
    <row r="1204" spans="1:43" ht="21" customHeight="1" x14ac:dyDescent="0.15">
      <c r="A1204" s="7">
        <v>1203</v>
      </c>
      <c r="B1204" s="6" t="str">
        <f>VLOOKUP(A1204,[2]characters!$A:$C,3,FALSE)</f>
        <v>掌星の原天神 ウラヌス</v>
      </c>
      <c r="C1204" s="9">
        <f>VLOOKUP(A1204,[2]characters!$A:$I,9,FALSE)</f>
        <v>6</v>
      </c>
      <c r="D1204" s="9" t="str">
        <f>VLOOKUP(A1204,[2]characters!$A:$H,8,FALSE)</f>
        <v>red</v>
      </c>
      <c r="E1204" s="24">
        <f>VLOOKUP(D1204,[2]属性!$A:$E,2,FALSE)</f>
        <v>1</v>
      </c>
      <c r="F1204" s="24">
        <f>VLOOKUP(D1204,[2]属性!$A:$E,3,FALSE)</f>
        <v>1.02</v>
      </c>
      <c r="G1204" s="24">
        <f>VLOOKUP(D1204,[2]属性!$A:$F,4,FALSE)</f>
        <v>1</v>
      </c>
      <c r="H1204" s="9" t="str">
        <f>VLOOKUP(A1204,[2]characters!$A:$K,11,FALSE)</f>
        <v>technical</v>
      </c>
      <c r="I1204" s="14" t="str">
        <f>VLOOKUP(H1204,[2]character_type_i18n!$A:$F,3,FALSE)</f>
        <v>テクニカルタイプ</v>
      </c>
      <c r="J1204" s="36">
        <f>VLOOKUP(H1204,[2]character_type_i18n!$A:$F,4,FALSE)</f>
        <v>0.9</v>
      </c>
      <c r="K1204" s="36">
        <f>VLOOKUP(H1204,[2]character_type_i18n!$A:$F,5,FALSE)</f>
        <v>0.9</v>
      </c>
      <c r="L1204" s="36">
        <f>VLOOKUP(H1204,[2]character_type_i18n!$A:$F,6,FALSE)</f>
        <v>1</v>
      </c>
      <c r="M1204" s="9" t="str">
        <f>VLOOKUP(A1204,[2]characters!$A:$M,13,FALSE)</f>
        <v>god</v>
      </c>
      <c r="N1204" s="14" t="str">
        <f>VLOOKUP(M1204,[2]character_tribe_i18n!$A:$F,3,FALSE)</f>
        <v>ゴッド</v>
      </c>
      <c r="O1204" s="24">
        <f>VLOOKUP(M1204,[2]character_tribe_i18n!$A:$F,4,FALSE)</f>
        <v>0.96</v>
      </c>
      <c r="P1204" s="24">
        <f>VLOOKUP(M1204,[2]character_tribe_i18n!$A:$F,5,FALSE)</f>
        <v>1.02</v>
      </c>
      <c r="Q1204" s="24">
        <f>VLOOKUP(M1204,[2]character_tribe_i18n!$A:$F,6,FALSE)</f>
        <v>1</v>
      </c>
      <c r="R1204" s="25" t="s">
        <v>98</v>
      </c>
      <c r="S1204" s="24">
        <f>VLOOKUP($R1204,ラベル別係数!$A$1:$E$7,3,FALSE)</f>
        <v>5</v>
      </c>
      <c r="T1204" s="24">
        <f>VLOOKUP($R1204,ラベル別係数!$A$1:$E$7,4,FALSE)</f>
        <v>1.3</v>
      </c>
      <c r="U1204" s="24">
        <f>VLOOKUP($R1204,ラベル別係数!$A$1:$E$7,5,FALSE)</f>
        <v>0.8</v>
      </c>
      <c r="V1204" s="27">
        <v>3</v>
      </c>
      <c r="W1204" s="28">
        <f>VLOOKUP(V1204,ターン数別攻撃係数!$A$1:$B$1000,2,FALSE)</f>
        <v>1</v>
      </c>
      <c r="X1204" s="9">
        <f>VLOOKUP(C1204,サイズ別係数!A$2:B$9,2,FALSE)</f>
        <v>60</v>
      </c>
      <c r="Y1204" s="26">
        <f>VLOOKUP($X1204,サイズ別係数!$B:$E,2,FALSE)</f>
        <v>1.7</v>
      </c>
      <c r="Z1204" s="26">
        <f>VLOOKUP($X1204,サイズ別係数!$B:$E,3,FALSE)</f>
        <v>1.4</v>
      </c>
      <c r="AA1204" s="26">
        <f>VLOOKUP($X1204,サイズ別係数!$B:$E,4,FALSE)</f>
        <v>1</v>
      </c>
      <c r="AB1204" s="5">
        <v>0</v>
      </c>
      <c r="AC1204" s="34" t="str">
        <f ca="1">VLOOKUP($AB1204,OFFSET([3]enemy_skill_sets!$B$2,0,0,COUNTA([3]enemy_skill_sets!$A:$A),MATCH(AC$1,[3]enemy_skill_sets!$1:$1,0)-MATCH($AB$1,[3]enemy_skill_sets!$1:$1,0)+1),MATCH(AC$1,[3]enemy_skill_sets!$1:$1,0)-MATCH($AB$1,[3]enemy_skill_sets!$1:$1,0)+1,FALSE)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4" s="67">
        <v>1</v>
      </c>
      <c r="AE1204" s="67">
        <v>1</v>
      </c>
      <c r="AF1204" s="37">
        <v>0</v>
      </c>
      <c r="AG1204" s="99">
        <f>ROUND(VLOOKUP(1,enemy_base_stats!$A:$F,2,FALSE) * Y1204* J1204*O1204*E1204*S1204*AD1204*[2]ステータス!$B$2,0)</f>
        <v>3672</v>
      </c>
      <c r="AH1204" s="99">
        <f>ROUND(VLOOKUP(1,enemy_base_stats!$A:$F,3,FALSE) * Z1204*K1204*P1204*F1204*T1204*AE1204 * W1204*[2]ステータス!$C$2,0)</f>
        <v>256</v>
      </c>
      <c r="AI1204" s="99">
        <f>ROUND(VLOOKUP(1,enemy_base_stats!$A:$F,4,FALSE) * AA1204*L1204*Q1204*G1204*U1204*AF1204*[2]ステータス!$D$2,0)</f>
        <v>0</v>
      </c>
      <c r="AJ1204" s="99">
        <f>ROUND(VLOOKUP(100,enemy_base_stats!$A:$F,2,FALSE) * Y1204* J1204*O1204*E1204*S1204*AD1204*[2]ステータス!$B$2,0)</f>
        <v>149083</v>
      </c>
      <c r="AK1204" s="99">
        <f>ROUND(VLOOKUP(100,enemy_base_stats!$A:$F,3,FALSE)* Z1204* K1204*P1204*F1204*T1204*AE1204 * W1204*[2]ステータス!$C$2,0)</f>
        <v>10378</v>
      </c>
      <c r="AL1204" s="99">
        <f>ROUND(VLOOKUP(100,enemy_base_stats!$A:$F,4,FALSE)* AA1204* L1204*Q1204*G1204*U1204*AF1204*[2]ステータス!$D$2,0)</f>
        <v>0</v>
      </c>
      <c r="AM1204" s="97">
        <f>VLOOKUP(M1204,[2]character_tribe_i18n!$A:$I,9,FALSE)</f>
        <v>680</v>
      </c>
      <c r="AN1204" s="36">
        <v>0</v>
      </c>
      <c r="AO1204" s="53">
        <v>0</v>
      </c>
      <c r="AP1204" s="58" t="s">
        <v>72</v>
      </c>
      <c r="AQ1204" s="71">
        <f t="shared" si="64"/>
        <v>1203</v>
      </c>
    </row>
    <row r="1205" spans="1:43" ht="21" customHeight="1" x14ac:dyDescent="0.15">
      <c r="A1205" s="7">
        <v>1204</v>
      </c>
      <c r="B1205" s="6" t="str">
        <f>VLOOKUP(A1205,[2]characters!$A:$C,3,FALSE)</f>
        <v>デルピュネー</v>
      </c>
      <c r="C1205" s="9">
        <f>VLOOKUP(A1205,[2]characters!$A:$I,9,FALSE)</f>
        <v>5</v>
      </c>
      <c r="D1205" s="9" t="str">
        <f>VLOOKUP(A1205,[2]characters!$A:$H,8,FALSE)</f>
        <v>green</v>
      </c>
      <c r="E1205" s="24">
        <f>VLOOKUP(D1205,[2]属性!$A:$E,2,FALSE)</f>
        <v>1.02</v>
      </c>
      <c r="F1205" s="24">
        <f>VLOOKUP(D1205,[2]属性!$A:$E,3,FALSE)</f>
        <v>0.98</v>
      </c>
      <c r="G1205" s="24">
        <f>VLOOKUP(D1205,[2]属性!$A:$F,4,FALSE)</f>
        <v>1</v>
      </c>
      <c r="H1205" s="9" t="str">
        <f>VLOOKUP(A1205,[2]characters!$A:$K,11,FALSE)</f>
        <v>attack</v>
      </c>
      <c r="I1205" s="14" t="str">
        <f>VLOOKUP(H1205,[2]character_type_i18n!$A:$F,3,FALSE)</f>
        <v>攻撃タイプ</v>
      </c>
      <c r="J1205" s="36">
        <f>VLOOKUP(H1205,[2]character_type_i18n!$A:$F,4,FALSE)</f>
        <v>1</v>
      </c>
      <c r="K1205" s="36">
        <f>VLOOKUP(H1205,[2]character_type_i18n!$A:$F,5,FALSE)</f>
        <v>1.33</v>
      </c>
      <c r="L1205" s="36">
        <f>VLOOKUP(H1205,[2]character_type_i18n!$A:$F,6,FALSE)</f>
        <v>1</v>
      </c>
      <c r="M1205" s="9" t="str">
        <f>VLOOKUP(A1205,[2]characters!$A:$M,13,FALSE)</f>
        <v>god</v>
      </c>
      <c r="N1205" s="14" t="str">
        <f>VLOOKUP(M1205,[2]character_tribe_i18n!$A:$F,3,FALSE)</f>
        <v>ゴッド</v>
      </c>
      <c r="O1205" s="24">
        <f>VLOOKUP(M1205,[2]character_tribe_i18n!$A:$F,4,FALSE)</f>
        <v>0.96</v>
      </c>
      <c r="P1205" s="24">
        <f>VLOOKUP(M1205,[2]character_tribe_i18n!$A:$F,5,FALSE)</f>
        <v>1.02</v>
      </c>
      <c r="Q1205" s="24">
        <f>VLOOKUP(M1205,[2]character_tribe_i18n!$A:$F,6,FALSE)</f>
        <v>1</v>
      </c>
      <c r="R1205" s="25" t="s">
        <v>98</v>
      </c>
      <c r="S1205" s="24">
        <f>VLOOKUP($R1205,ラベル別係数!$A$1:$E$7,3,FALSE)</f>
        <v>5</v>
      </c>
      <c r="T1205" s="24">
        <f>VLOOKUP($R1205,ラベル別係数!$A$1:$E$7,4,FALSE)</f>
        <v>1.3</v>
      </c>
      <c r="U1205" s="24">
        <f>VLOOKUP($R1205,ラベル別係数!$A$1:$E$7,5,FALSE)</f>
        <v>0.8</v>
      </c>
      <c r="V1205" s="27">
        <v>3</v>
      </c>
      <c r="W1205" s="28">
        <f>VLOOKUP(V1205,ターン数別攻撃係数!$A$1:$B$1000,2,FALSE)</f>
        <v>1</v>
      </c>
      <c r="X1205" s="9">
        <f>VLOOKUP(C1205,サイズ別係数!A$2:B$9,2,FALSE)</f>
        <v>60</v>
      </c>
      <c r="Y1205" s="26">
        <f>VLOOKUP($X1205,サイズ別係数!$B:$E,2,FALSE)</f>
        <v>1.7</v>
      </c>
      <c r="Z1205" s="26">
        <f>VLOOKUP($X1205,サイズ別係数!$B:$E,3,FALSE)</f>
        <v>1.4</v>
      </c>
      <c r="AA1205" s="26">
        <f>VLOOKUP($X1205,サイズ別係数!$B:$E,4,FALSE)</f>
        <v>1</v>
      </c>
      <c r="AB1205" s="5">
        <v>0</v>
      </c>
      <c r="AC1205" s="34" t="str">
        <f ca="1">VLOOKUP($AB1205,OFFSET([3]enemy_skill_sets!$B$2,0,0,COUNTA([3]enemy_skill_sets!$A:$A),MATCH(AC$1,[3]enemy_skill_sets!$1:$1,0)-MATCH($AB$1,[3]enemy_skill_sets!$1:$1,0)+1),MATCH(AC$1,[3]enemy_skill_sets!$1:$1,0)-MATCH($AB$1,[3]enemy_skill_sets!$1:$1,0)+1,FALSE)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5" s="67">
        <v>1</v>
      </c>
      <c r="AE1205" s="67">
        <v>1</v>
      </c>
      <c r="AF1205" s="37">
        <v>0</v>
      </c>
      <c r="AG1205" s="99">
        <f>ROUND(VLOOKUP(1,enemy_base_stats!$A:$F,2,FALSE) * Y1205* J1205*O1205*E1205*S1205*AD1205*[2]ステータス!$B$2,0)</f>
        <v>4162</v>
      </c>
      <c r="AH1205" s="99">
        <f>ROUND(VLOOKUP(1,enemy_base_stats!$A:$F,3,FALSE) * Z1205*K1205*P1205*F1205*T1205*AE1205 * W1205*[2]ステータス!$C$2,0)</f>
        <v>363</v>
      </c>
      <c r="AI1205" s="99">
        <f>ROUND(VLOOKUP(1,enemy_base_stats!$A:$F,4,FALSE) * AA1205*L1205*Q1205*G1205*U1205*AF1205*[2]ステータス!$D$2,0)</f>
        <v>0</v>
      </c>
      <c r="AJ1205" s="99">
        <f>ROUND(VLOOKUP(100,enemy_base_stats!$A:$F,2,FALSE) * Y1205* J1205*O1205*E1205*S1205*AD1205*[2]ステータス!$B$2,0)</f>
        <v>168961</v>
      </c>
      <c r="AK1205" s="99">
        <f>ROUND(VLOOKUP(100,enemy_base_stats!$A:$F,3,FALSE)* Z1205* K1205*P1205*F1205*T1205*AE1205 * W1205*[2]ステータス!$C$2,0)</f>
        <v>14736</v>
      </c>
      <c r="AL1205" s="99">
        <f>ROUND(VLOOKUP(100,enemy_base_stats!$A:$F,4,FALSE)* AA1205* L1205*Q1205*G1205*U1205*AF1205*[2]ステータス!$D$2,0)</f>
        <v>0</v>
      </c>
      <c r="AM1205" s="97">
        <f>VLOOKUP(M1205,[2]character_tribe_i18n!$A:$I,9,FALSE)</f>
        <v>680</v>
      </c>
      <c r="AN1205" s="36">
        <v>0</v>
      </c>
      <c r="AO1205" s="53">
        <v>0</v>
      </c>
      <c r="AP1205" s="58" t="s">
        <v>72</v>
      </c>
      <c r="AQ1205" s="71">
        <f t="shared" si="64"/>
        <v>1204</v>
      </c>
    </row>
    <row r="1206" spans="1:43" ht="21" customHeight="1" x14ac:dyDescent="0.15">
      <c r="A1206" s="7">
        <v>1205</v>
      </c>
      <c r="B1206" s="6" t="str">
        <f>VLOOKUP(A1206,[2]characters!$A:$C,3,FALSE)</f>
        <v>襲奪の竜鱗姫 デルピュネー</v>
      </c>
      <c r="C1206" s="9">
        <f>VLOOKUP(A1206,[2]characters!$A:$I,9,FALSE)</f>
        <v>6</v>
      </c>
      <c r="D1206" s="9" t="str">
        <f>VLOOKUP(A1206,[2]characters!$A:$H,8,FALSE)</f>
        <v>green</v>
      </c>
      <c r="E1206" s="24">
        <f>VLOOKUP(D1206,[2]属性!$A:$E,2,FALSE)</f>
        <v>1.02</v>
      </c>
      <c r="F1206" s="24">
        <f>VLOOKUP(D1206,[2]属性!$A:$E,3,FALSE)</f>
        <v>0.98</v>
      </c>
      <c r="G1206" s="24">
        <f>VLOOKUP(D1206,[2]属性!$A:$F,4,FALSE)</f>
        <v>1</v>
      </c>
      <c r="H1206" s="9" t="str">
        <f>VLOOKUP(A1206,[2]characters!$A:$K,11,FALSE)</f>
        <v>attack</v>
      </c>
      <c r="I1206" s="14" t="str">
        <f>VLOOKUP(H1206,[2]character_type_i18n!$A:$F,3,FALSE)</f>
        <v>攻撃タイプ</v>
      </c>
      <c r="J1206" s="36">
        <f>VLOOKUP(H1206,[2]character_type_i18n!$A:$F,4,FALSE)</f>
        <v>1</v>
      </c>
      <c r="K1206" s="36">
        <f>VLOOKUP(H1206,[2]character_type_i18n!$A:$F,5,FALSE)</f>
        <v>1.33</v>
      </c>
      <c r="L1206" s="36">
        <f>VLOOKUP(H1206,[2]character_type_i18n!$A:$F,6,FALSE)</f>
        <v>1</v>
      </c>
      <c r="M1206" s="9" t="str">
        <f>VLOOKUP(A1206,[2]characters!$A:$M,13,FALSE)</f>
        <v>god</v>
      </c>
      <c r="N1206" s="14" t="str">
        <f>VLOOKUP(M1206,[2]character_tribe_i18n!$A:$F,3,FALSE)</f>
        <v>ゴッド</v>
      </c>
      <c r="O1206" s="24">
        <f>VLOOKUP(M1206,[2]character_tribe_i18n!$A:$F,4,FALSE)</f>
        <v>0.96</v>
      </c>
      <c r="P1206" s="24">
        <f>VLOOKUP(M1206,[2]character_tribe_i18n!$A:$F,5,FALSE)</f>
        <v>1.02</v>
      </c>
      <c r="Q1206" s="24">
        <f>VLOOKUP(M1206,[2]character_tribe_i18n!$A:$F,6,FALSE)</f>
        <v>1</v>
      </c>
      <c r="R1206" s="25" t="s">
        <v>98</v>
      </c>
      <c r="S1206" s="24">
        <f>VLOOKUP($R1206,ラベル別係数!$A$1:$E$7,3,FALSE)</f>
        <v>5</v>
      </c>
      <c r="T1206" s="24">
        <f>VLOOKUP($R1206,ラベル別係数!$A$1:$E$7,4,FALSE)</f>
        <v>1.3</v>
      </c>
      <c r="U1206" s="24">
        <f>VLOOKUP($R1206,ラベル別係数!$A$1:$E$7,5,FALSE)</f>
        <v>0.8</v>
      </c>
      <c r="V1206" s="27">
        <v>3</v>
      </c>
      <c r="W1206" s="28">
        <f>VLOOKUP(V1206,ターン数別攻撃係数!$A$1:$B$1000,2,FALSE)</f>
        <v>1</v>
      </c>
      <c r="X1206" s="9">
        <f>VLOOKUP(C1206,サイズ別係数!A$2:B$9,2,FALSE)</f>
        <v>60</v>
      </c>
      <c r="Y1206" s="26">
        <f>VLOOKUP($X1206,サイズ別係数!$B:$E,2,FALSE)</f>
        <v>1.7</v>
      </c>
      <c r="Z1206" s="26">
        <f>VLOOKUP($X1206,サイズ別係数!$B:$E,3,FALSE)</f>
        <v>1.4</v>
      </c>
      <c r="AA1206" s="26">
        <f>VLOOKUP($X1206,サイズ別係数!$B:$E,4,FALSE)</f>
        <v>1</v>
      </c>
      <c r="AB1206" s="5">
        <v>0</v>
      </c>
      <c r="AC1206" s="34" t="str">
        <f ca="1">VLOOKUP($AB1206,OFFSET([3]enemy_skill_sets!$B$2,0,0,COUNTA([3]enemy_skill_sets!$A:$A),MATCH(AC$1,[3]enemy_skill_sets!$1:$1,0)-MATCH($AB$1,[3]enemy_skill_sets!$1:$1,0)+1),MATCH(AC$1,[3]enemy_skill_sets!$1:$1,0)-MATCH($AB$1,[3]enemy_skill_sets!$1:$1,0)+1,FALSE)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6" s="67">
        <v>1</v>
      </c>
      <c r="AE1206" s="67">
        <v>1</v>
      </c>
      <c r="AF1206" s="37">
        <v>0</v>
      </c>
      <c r="AG1206" s="99">
        <f>ROUND(VLOOKUP(1,enemy_base_stats!$A:$F,2,FALSE) * Y1206* J1206*O1206*E1206*S1206*AD1206*[2]ステータス!$B$2,0)</f>
        <v>4162</v>
      </c>
      <c r="AH1206" s="99">
        <f>ROUND(VLOOKUP(1,enemy_base_stats!$A:$F,3,FALSE) * Z1206*K1206*P1206*F1206*T1206*AE1206 * W1206*[2]ステータス!$C$2,0)</f>
        <v>363</v>
      </c>
      <c r="AI1206" s="99">
        <f>ROUND(VLOOKUP(1,enemy_base_stats!$A:$F,4,FALSE) * AA1206*L1206*Q1206*G1206*U1206*AF1206*[2]ステータス!$D$2,0)</f>
        <v>0</v>
      </c>
      <c r="AJ1206" s="99">
        <f>ROUND(VLOOKUP(100,enemy_base_stats!$A:$F,2,FALSE) * Y1206* J1206*O1206*E1206*S1206*AD1206*[2]ステータス!$B$2,0)</f>
        <v>168961</v>
      </c>
      <c r="AK1206" s="99">
        <f>ROUND(VLOOKUP(100,enemy_base_stats!$A:$F,3,FALSE)* Z1206* K1206*P1206*F1206*T1206*AE1206 * W1206*[2]ステータス!$C$2,0)</f>
        <v>14736</v>
      </c>
      <c r="AL1206" s="99">
        <f>ROUND(VLOOKUP(100,enemy_base_stats!$A:$F,4,FALSE)* AA1206* L1206*Q1206*G1206*U1206*AF1206*[2]ステータス!$D$2,0)</f>
        <v>0</v>
      </c>
      <c r="AM1206" s="97">
        <f>VLOOKUP(M1206,[2]character_tribe_i18n!$A:$I,9,FALSE)</f>
        <v>680</v>
      </c>
      <c r="AN1206" s="36">
        <v>0</v>
      </c>
      <c r="AO1206" s="53">
        <v>0</v>
      </c>
      <c r="AP1206" s="58" t="s">
        <v>72</v>
      </c>
      <c r="AQ1206" s="71">
        <f t="shared" si="64"/>
        <v>1205</v>
      </c>
    </row>
    <row r="1207" spans="1:43" ht="21" customHeight="1" x14ac:dyDescent="0.15">
      <c r="A1207" s="7">
        <v>1206</v>
      </c>
      <c r="B1207" s="6" t="str">
        <f>VLOOKUP(A1207,[2]characters!$A:$C,3,FALSE)</f>
        <v>ヘラ</v>
      </c>
      <c r="C1207" s="9">
        <f>VLOOKUP(A1207,[2]characters!$A:$I,9,FALSE)</f>
        <v>5</v>
      </c>
      <c r="D1207" s="9" t="str">
        <f>VLOOKUP(A1207,[2]characters!$A:$H,8,FALSE)</f>
        <v>yellow</v>
      </c>
      <c r="E1207" s="24">
        <f>VLOOKUP(D1207,[2]属性!$A:$E,2,FALSE)</f>
        <v>0.98</v>
      </c>
      <c r="F1207" s="24">
        <f>VLOOKUP(D1207,[2]属性!$A:$E,3,FALSE)</f>
        <v>1.01</v>
      </c>
      <c r="G1207" s="24">
        <f>VLOOKUP(D1207,[2]属性!$A:$F,4,FALSE)</f>
        <v>1</v>
      </c>
      <c r="H1207" s="9" t="str">
        <f>VLOOKUP(A1207,[2]characters!$A:$K,11,FALSE)</f>
        <v>technical</v>
      </c>
      <c r="I1207" s="14" t="str">
        <f>VLOOKUP(H1207,[2]character_type_i18n!$A:$F,3,FALSE)</f>
        <v>テクニカルタイプ</v>
      </c>
      <c r="J1207" s="36">
        <f>VLOOKUP(H1207,[2]character_type_i18n!$A:$F,4,FALSE)</f>
        <v>0.9</v>
      </c>
      <c r="K1207" s="36">
        <f>VLOOKUP(H1207,[2]character_type_i18n!$A:$F,5,FALSE)</f>
        <v>0.9</v>
      </c>
      <c r="L1207" s="36">
        <f>VLOOKUP(H1207,[2]character_type_i18n!$A:$F,6,FALSE)</f>
        <v>1</v>
      </c>
      <c r="M1207" s="9" t="str">
        <f>VLOOKUP(A1207,[2]characters!$A:$M,13,FALSE)</f>
        <v>god</v>
      </c>
      <c r="N1207" s="14" t="str">
        <f>VLOOKUP(M1207,[2]character_tribe_i18n!$A:$F,3,FALSE)</f>
        <v>ゴッド</v>
      </c>
      <c r="O1207" s="24">
        <f>VLOOKUP(M1207,[2]character_tribe_i18n!$A:$F,4,FALSE)</f>
        <v>0.96</v>
      </c>
      <c r="P1207" s="24">
        <f>VLOOKUP(M1207,[2]character_tribe_i18n!$A:$F,5,FALSE)</f>
        <v>1.02</v>
      </c>
      <c r="Q1207" s="24">
        <f>VLOOKUP(M1207,[2]character_tribe_i18n!$A:$F,6,FALSE)</f>
        <v>1</v>
      </c>
      <c r="R1207" s="25" t="s">
        <v>98</v>
      </c>
      <c r="S1207" s="24">
        <f>VLOOKUP($R1207,ラベル別係数!$A$1:$E$7,3,FALSE)</f>
        <v>5</v>
      </c>
      <c r="T1207" s="24">
        <f>VLOOKUP($R1207,ラベル別係数!$A$1:$E$7,4,FALSE)</f>
        <v>1.3</v>
      </c>
      <c r="U1207" s="24">
        <f>VLOOKUP($R1207,ラベル別係数!$A$1:$E$7,5,FALSE)</f>
        <v>0.8</v>
      </c>
      <c r="V1207" s="27">
        <v>3</v>
      </c>
      <c r="W1207" s="28">
        <f>VLOOKUP(V1207,ターン数別攻撃係数!$A$1:$B$1000,2,FALSE)</f>
        <v>1</v>
      </c>
      <c r="X1207" s="9">
        <f>VLOOKUP(C1207,サイズ別係数!A$2:B$9,2,FALSE)</f>
        <v>60</v>
      </c>
      <c r="Y1207" s="26">
        <f>VLOOKUP($X1207,サイズ別係数!$B:$E,2,FALSE)</f>
        <v>1.7</v>
      </c>
      <c r="Z1207" s="26">
        <f>VLOOKUP($X1207,サイズ別係数!$B:$E,3,FALSE)</f>
        <v>1.4</v>
      </c>
      <c r="AA1207" s="26">
        <f>VLOOKUP($X1207,サイズ別係数!$B:$E,4,FALSE)</f>
        <v>1</v>
      </c>
      <c r="AB1207" s="5">
        <v>0</v>
      </c>
      <c r="AC1207" s="34" t="str">
        <f ca="1">VLOOKUP($AB1207,OFFSET([3]enemy_skill_sets!$B$2,0,0,COUNTA([3]enemy_skill_sets!$A:$A),MATCH(AC$1,[3]enemy_skill_sets!$1:$1,0)-MATCH($AB$1,[3]enemy_skill_sets!$1:$1,0)+1),MATCH(AC$1,[3]enemy_skill_sets!$1:$1,0)-MATCH($AB$1,[3]enemy_skill_sets!$1:$1,0)+1,FALSE)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7" s="67">
        <v>1</v>
      </c>
      <c r="AE1207" s="67">
        <v>1</v>
      </c>
      <c r="AF1207" s="37">
        <v>0</v>
      </c>
      <c r="AG1207" s="41">
        <v>3998</v>
      </c>
      <c r="AH1207" s="41">
        <v>374</v>
      </c>
      <c r="AI1207" s="99">
        <f>ROUND(VLOOKUP(1,enemy_base_stats!$A:$F,4,FALSE) * AA1207*L1207*Q1207*G1207*U1207*AF1207*[2]ステータス!$D$2,0)</f>
        <v>0</v>
      </c>
      <c r="AJ1207" s="41">
        <v>162335</v>
      </c>
      <c r="AK1207" s="41">
        <v>15187</v>
      </c>
      <c r="AL1207" s="99">
        <f>ROUND(VLOOKUP(100,enemy_base_stats!$A:$F,4,FALSE)* AA1207* L1207*Q1207*G1207*U1207*AF1207*[2]ステータス!$D$2,0)</f>
        <v>0</v>
      </c>
      <c r="AM1207" s="97">
        <f>VLOOKUP(M1207,[2]character_tribe_i18n!$A:$I,9,FALSE)</f>
        <v>680</v>
      </c>
      <c r="AN1207" s="36">
        <v>0</v>
      </c>
      <c r="AO1207" s="53">
        <v>0</v>
      </c>
      <c r="AP1207" s="58" t="s">
        <v>72</v>
      </c>
      <c r="AQ1207" s="71">
        <f t="shared" si="64"/>
        <v>1206</v>
      </c>
    </row>
    <row r="1208" spans="1:43" ht="21" customHeight="1" x14ac:dyDescent="0.15">
      <c r="A1208" s="7">
        <v>1207</v>
      </c>
      <c r="B1208" s="6" t="str">
        <f>VLOOKUP(A1208,[2]characters!$A:$C,3,FALSE)</f>
        <v>典麗なる悋気神 ヘラ</v>
      </c>
      <c r="C1208" s="9">
        <f>VLOOKUP(A1208,[2]characters!$A:$I,9,FALSE)</f>
        <v>6</v>
      </c>
      <c r="D1208" s="9" t="str">
        <f>VLOOKUP(A1208,[2]characters!$A:$H,8,FALSE)</f>
        <v>yellow</v>
      </c>
      <c r="E1208" s="24">
        <f>VLOOKUP(D1208,[2]属性!$A:$E,2,FALSE)</f>
        <v>0.98</v>
      </c>
      <c r="F1208" s="24">
        <f>VLOOKUP(D1208,[2]属性!$A:$E,3,FALSE)</f>
        <v>1.01</v>
      </c>
      <c r="G1208" s="24">
        <f>VLOOKUP(D1208,[2]属性!$A:$F,4,FALSE)</f>
        <v>1</v>
      </c>
      <c r="H1208" s="9" t="str">
        <f>VLOOKUP(A1208,[2]characters!$A:$K,11,FALSE)</f>
        <v>technical</v>
      </c>
      <c r="I1208" s="14" t="str">
        <f>VLOOKUP(H1208,[2]character_type_i18n!$A:$F,3,FALSE)</f>
        <v>テクニカルタイプ</v>
      </c>
      <c r="J1208" s="36">
        <f>VLOOKUP(H1208,[2]character_type_i18n!$A:$F,4,FALSE)</f>
        <v>0.9</v>
      </c>
      <c r="K1208" s="36">
        <f>VLOOKUP(H1208,[2]character_type_i18n!$A:$F,5,FALSE)</f>
        <v>0.9</v>
      </c>
      <c r="L1208" s="36">
        <f>VLOOKUP(H1208,[2]character_type_i18n!$A:$F,6,FALSE)</f>
        <v>1</v>
      </c>
      <c r="M1208" s="9" t="str">
        <f>VLOOKUP(A1208,[2]characters!$A:$M,13,FALSE)</f>
        <v>god</v>
      </c>
      <c r="N1208" s="14" t="str">
        <f>VLOOKUP(M1208,[2]character_tribe_i18n!$A:$F,3,FALSE)</f>
        <v>ゴッド</v>
      </c>
      <c r="O1208" s="24">
        <f>VLOOKUP(M1208,[2]character_tribe_i18n!$A:$F,4,FALSE)</f>
        <v>0.96</v>
      </c>
      <c r="P1208" s="24">
        <f>VLOOKUP(M1208,[2]character_tribe_i18n!$A:$F,5,FALSE)</f>
        <v>1.02</v>
      </c>
      <c r="Q1208" s="24">
        <f>VLOOKUP(M1208,[2]character_tribe_i18n!$A:$F,6,FALSE)</f>
        <v>1</v>
      </c>
      <c r="R1208" s="25" t="s">
        <v>98</v>
      </c>
      <c r="S1208" s="24">
        <f>VLOOKUP($R1208,ラベル別係数!$A$1:$E$7,3,FALSE)</f>
        <v>5</v>
      </c>
      <c r="T1208" s="24">
        <f>VLOOKUP($R1208,ラベル別係数!$A$1:$E$7,4,FALSE)</f>
        <v>1.3</v>
      </c>
      <c r="U1208" s="24">
        <f>VLOOKUP($R1208,ラベル別係数!$A$1:$E$7,5,FALSE)</f>
        <v>0.8</v>
      </c>
      <c r="V1208" s="27">
        <v>3</v>
      </c>
      <c r="W1208" s="28">
        <f>VLOOKUP(V1208,ターン数別攻撃係数!$A$1:$B$1000,2,FALSE)</f>
        <v>1</v>
      </c>
      <c r="X1208" s="9">
        <f>VLOOKUP(C1208,サイズ別係数!A$2:B$9,2,FALSE)</f>
        <v>60</v>
      </c>
      <c r="Y1208" s="26">
        <f>VLOOKUP($X1208,サイズ別係数!$B:$E,2,FALSE)</f>
        <v>1.7</v>
      </c>
      <c r="Z1208" s="26">
        <f>VLOOKUP($X1208,サイズ別係数!$B:$E,3,FALSE)</f>
        <v>1.4</v>
      </c>
      <c r="AA1208" s="26">
        <f>VLOOKUP($X1208,サイズ別係数!$B:$E,4,FALSE)</f>
        <v>1</v>
      </c>
      <c r="AB1208" s="5">
        <v>0</v>
      </c>
      <c r="AC1208" s="34" t="str">
        <f ca="1">VLOOKUP($AB1208,OFFSET([3]enemy_skill_sets!$B$2,0,0,COUNTA([3]enemy_skill_sets!$A:$A),MATCH(AC$1,[3]enemy_skill_sets!$1:$1,0)-MATCH($AB$1,[3]enemy_skill_sets!$1:$1,0)+1),MATCH(AC$1,[3]enemy_skill_sets!$1:$1,0)-MATCH($AB$1,[3]enemy_skill_sets!$1:$1,0)+1,FALSE)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8" s="67">
        <v>1</v>
      </c>
      <c r="AE1208" s="67">
        <v>1</v>
      </c>
      <c r="AF1208" s="37">
        <v>0</v>
      </c>
      <c r="AG1208" s="41">
        <v>3998</v>
      </c>
      <c r="AH1208" s="41">
        <v>374</v>
      </c>
      <c r="AI1208" s="99">
        <f>ROUND(VLOOKUP(1,enemy_base_stats!$A:$F,4,FALSE) * AA1208*L1208*Q1208*G1208*U1208*AF1208*[2]ステータス!$D$2,0)</f>
        <v>0</v>
      </c>
      <c r="AJ1208" s="41">
        <v>162335</v>
      </c>
      <c r="AK1208" s="41">
        <v>15187</v>
      </c>
      <c r="AL1208" s="99">
        <f>ROUND(VLOOKUP(100,enemy_base_stats!$A:$F,4,FALSE)* AA1208* L1208*Q1208*G1208*U1208*AF1208*[2]ステータス!$D$2,0)</f>
        <v>0</v>
      </c>
      <c r="AM1208" s="97">
        <f>VLOOKUP(M1208,[2]character_tribe_i18n!$A:$I,9,FALSE)</f>
        <v>680</v>
      </c>
      <c r="AN1208" s="36">
        <v>0</v>
      </c>
      <c r="AO1208" s="53">
        <v>0</v>
      </c>
      <c r="AP1208" s="58" t="s">
        <v>72</v>
      </c>
      <c r="AQ1208" s="71">
        <f t="shared" si="64"/>
        <v>1207</v>
      </c>
    </row>
    <row r="1209" spans="1:43" ht="21" customHeight="1" x14ac:dyDescent="0.15">
      <c r="A1209" s="7">
        <v>1208</v>
      </c>
      <c r="B1209" s="6" t="str">
        <f>VLOOKUP(A1209,[2]characters!$A:$C,3,FALSE)</f>
        <v>ネメシス</v>
      </c>
      <c r="C1209" s="9">
        <f>VLOOKUP(A1209,[2]characters!$A:$I,9,FALSE)</f>
        <v>5</v>
      </c>
      <c r="D1209" s="9" t="str">
        <f>VLOOKUP(A1209,[2]characters!$A:$H,8,FALSE)</f>
        <v>red</v>
      </c>
      <c r="E1209" s="24">
        <f>VLOOKUP(D1209,[2]属性!$A:$E,2,FALSE)</f>
        <v>1</v>
      </c>
      <c r="F1209" s="24">
        <f>VLOOKUP(D1209,[2]属性!$A:$E,3,FALSE)</f>
        <v>1.02</v>
      </c>
      <c r="G1209" s="24">
        <f>VLOOKUP(D1209,[2]属性!$A:$F,4,FALSE)</f>
        <v>1</v>
      </c>
      <c r="H1209" s="9" t="str">
        <f>VLOOKUP(A1209,[2]characters!$A:$K,11,FALSE)</f>
        <v>hp</v>
      </c>
      <c r="I1209" s="14" t="str">
        <f>VLOOKUP(H1209,[2]character_type_i18n!$A:$F,3,FALSE)</f>
        <v>体力タイプ</v>
      </c>
      <c r="J1209" s="36">
        <f>VLOOKUP(H1209,[2]character_type_i18n!$A:$F,4,FALSE)</f>
        <v>1.45</v>
      </c>
      <c r="K1209" s="36">
        <f>VLOOKUP(H1209,[2]character_type_i18n!$A:$F,5,FALSE)</f>
        <v>0.85</v>
      </c>
      <c r="L1209" s="36">
        <f>VLOOKUP(H1209,[2]character_type_i18n!$A:$F,6,FALSE)</f>
        <v>1</v>
      </c>
      <c r="M1209" s="9" t="str">
        <f>VLOOKUP(A1209,[2]characters!$A:$M,13,FALSE)</f>
        <v>god</v>
      </c>
      <c r="N1209" s="14" t="str">
        <f>VLOOKUP(M1209,[2]character_tribe_i18n!$A:$F,3,FALSE)</f>
        <v>ゴッド</v>
      </c>
      <c r="O1209" s="24">
        <f>VLOOKUP(M1209,[2]character_tribe_i18n!$A:$F,4,FALSE)</f>
        <v>0.96</v>
      </c>
      <c r="P1209" s="24">
        <f>VLOOKUP(M1209,[2]character_tribe_i18n!$A:$F,5,FALSE)</f>
        <v>1.02</v>
      </c>
      <c r="Q1209" s="24">
        <f>VLOOKUP(M1209,[2]character_tribe_i18n!$A:$F,6,FALSE)</f>
        <v>1</v>
      </c>
      <c r="R1209" s="25" t="s">
        <v>98</v>
      </c>
      <c r="S1209" s="24">
        <f>VLOOKUP($R1209,ラベル別係数!$A$1:$E$7,3,FALSE)</f>
        <v>5</v>
      </c>
      <c r="T1209" s="24">
        <f>VLOOKUP($R1209,ラベル別係数!$A$1:$E$7,4,FALSE)</f>
        <v>1.3</v>
      </c>
      <c r="U1209" s="24">
        <f>VLOOKUP($R1209,ラベル別係数!$A$1:$E$7,5,FALSE)</f>
        <v>0.8</v>
      </c>
      <c r="V1209" s="27">
        <v>3</v>
      </c>
      <c r="W1209" s="28">
        <f>VLOOKUP(V1209,ターン数別攻撃係数!$A$1:$B$1000,2,FALSE)</f>
        <v>1</v>
      </c>
      <c r="X1209" s="9">
        <f>VLOOKUP(C1209,サイズ別係数!A$2:B$9,2,FALSE)</f>
        <v>60</v>
      </c>
      <c r="Y1209" s="26">
        <f>VLOOKUP($X1209,サイズ別係数!$B:$E,2,FALSE)</f>
        <v>1.7</v>
      </c>
      <c r="Z1209" s="26">
        <f>VLOOKUP($X1209,サイズ別係数!$B:$E,3,FALSE)</f>
        <v>1.4</v>
      </c>
      <c r="AA1209" s="26">
        <f>VLOOKUP($X1209,サイズ別係数!$B:$E,4,FALSE)</f>
        <v>1</v>
      </c>
      <c r="AB1209" s="5">
        <v>0</v>
      </c>
      <c r="AC1209" s="34" t="str">
        <f ca="1">VLOOKUP($AB1209,OFFSET([3]enemy_skill_sets!$B$2,0,0,COUNTA([3]enemy_skill_sets!$A:$A),MATCH(AC$1,[3]enemy_skill_sets!$1:$1,0)-MATCH($AB$1,[3]enemy_skill_sets!$1:$1,0)+1),MATCH(AC$1,[3]enemy_skill_sets!$1:$1,0)-MATCH($AB$1,[3]enemy_skill_sets!$1:$1,0)+1,FALSE)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09" s="67">
        <v>1</v>
      </c>
      <c r="AE1209" s="67">
        <v>1</v>
      </c>
      <c r="AF1209" s="37">
        <v>0</v>
      </c>
      <c r="AG1209" s="99">
        <f>ROUND(VLOOKUP(1,enemy_base_stats!$A:$F,2,FALSE) * Y1209* J1209*O1209*E1209*S1209*AD1209*[2]ステータス!$B$2,0)</f>
        <v>5916</v>
      </c>
      <c r="AH1209" s="99">
        <f>ROUND(VLOOKUP(1,enemy_base_stats!$A:$F,3,FALSE) * Z1209*K1209*P1209*F1209*T1209*AE1209 * W1209*[2]ステータス!$C$2,0)</f>
        <v>241</v>
      </c>
      <c r="AI1209" s="99">
        <f>ROUND(VLOOKUP(1,enemy_base_stats!$A:$F,4,FALSE) * AA1209*L1209*Q1209*G1209*U1209*AF1209*[2]ステータス!$D$2,0)</f>
        <v>0</v>
      </c>
      <c r="AJ1209" s="99">
        <f>ROUND(VLOOKUP(100,enemy_base_stats!$A:$F,2,FALSE) * Y1209* J1209*O1209*E1209*S1209*AD1209*[2]ステータス!$B$2,0)</f>
        <v>240190</v>
      </c>
      <c r="AK1209" s="99">
        <f>ROUND(VLOOKUP(100,enemy_base_stats!$A:$F,3,FALSE)* Z1209* K1209*P1209*F1209*T1209*AE1209 * W1209*[2]ステータス!$C$2,0)</f>
        <v>9802</v>
      </c>
      <c r="AL1209" s="99">
        <f>ROUND(VLOOKUP(100,enemy_base_stats!$A:$F,4,FALSE)* AA1209* L1209*Q1209*G1209*U1209*AF1209*[2]ステータス!$D$2,0)</f>
        <v>0</v>
      </c>
      <c r="AM1209" s="97">
        <f>VLOOKUP(M1209,[2]character_tribe_i18n!$A:$I,9,FALSE)</f>
        <v>680</v>
      </c>
      <c r="AN1209" s="36">
        <v>0</v>
      </c>
      <c r="AO1209" s="53">
        <v>0</v>
      </c>
      <c r="AP1209" s="58" t="s">
        <v>72</v>
      </c>
      <c r="AQ1209" s="71">
        <f t="shared" si="64"/>
        <v>1208</v>
      </c>
    </row>
    <row r="1210" spans="1:43" ht="21" customHeight="1" x14ac:dyDescent="0.15">
      <c r="A1210" s="7">
        <v>1209</v>
      </c>
      <c r="B1210" s="6" t="str">
        <f>VLOOKUP(A1210,[2]characters!$A:$C,3,FALSE)</f>
        <v>刹那の過罰神 ネメシス</v>
      </c>
      <c r="C1210" s="9">
        <f>VLOOKUP(A1210,[2]characters!$A:$I,9,FALSE)</f>
        <v>6</v>
      </c>
      <c r="D1210" s="9" t="str">
        <f>VLOOKUP(A1210,[2]characters!$A:$H,8,FALSE)</f>
        <v>red</v>
      </c>
      <c r="E1210" s="24">
        <f>VLOOKUP(D1210,[2]属性!$A:$E,2,FALSE)</f>
        <v>1</v>
      </c>
      <c r="F1210" s="24">
        <f>VLOOKUP(D1210,[2]属性!$A:$E,3,FALSE)</f>
        <v>1.02</v>
      </c>
      <c r="G1210" s="24">
        <f>VLOOKUP(D1210,[2]属性!$A:$F,4,FALSE)</f>
        <v>1</v>
      </c>
      <c r="H1210" s="9" t="str">
        <f>VLOOKUP(A1210,[2]characters!$A:$K,11,FALSE)</f>
        <v>hp</v>
      </c>
      <c r="I1210" s="14" t="str">
        <f>VLOOKUP(H1210,[2]character_type_i18n!$A:$F,3,FALSE)</f>
        <v>体力タイプ</v>
      </c>
      <c r="J1210" s="36">
        <f>VLOOKUP(H1210,[2]character_type_i18n!$A:$F,4,FALSE)</f>
        <v>1.45</v>
      </c>
      <c r="K1210" s="36">
        <f>VLOOKUP(H1210,[2]character_type_i18n!$A:$F,5,FALSE)</f>
        <v>0.85</v>
      </c>
      <c r="L1210" s="36">
        <f>VLOOKUP(H1210,[2]character_type_i18n!$A:$F,6,FALSE)</f>
        <v>1</v>
      </c>
      <c r="M1210" s="9" t="str">
        <f>VLOOKUP(A1210,[2]characters!$A:$M,13,FALSE)</f>
        <v>god</v>
      </c>
      <c r="N1210" s="14" t="str">
        <f>VLOOKUP(M1210,[2]character_tribe_i18n!$A:$F,3,FALSE)</f>
        <v>ゴッド</v>
      </c>
      <c r="O1210" s="24">
        <f>VLOOKUP(M1210,[2]character_tribe_i18n!$A:$F,4,FALSE)</f>
        <v>0.96</v>
      </c>
      <c r="P1210" s="24">
        <f>VLOOKUP(M1210,[2]character_tribe_i18n!$A:$F,5,FALSE)</f>
        <v>1.02</v>
      </c>
      <c r="Q1210" s="24">
        <f>VLOOKUP(M1210,[2]character_tribe_i18n!$A:$F,6,FALSE)</f>
        <v>1</v>
      </c>
      <c r="R1210" s="25" t="s">
        <v>98</v>
      </c>
      <c r="S1210" s="24">
        <f>VLOOKUP($R1210,ラベル別係数!$A$1:$E$7,3,FALSE)</f>
        <v>5</v>
      </c>
      <c r="T1210" s="24">
        <f>VLOOKUP($R1210,ラベル別係数!$A$1:$E$7,4,FALSE)</f>
        <v>1.3</v>
      </c>
      <c r="U1210" s="24">
        <f>VLOOKUP($R1210,ラベル別係数!$A$1:$E$7,5,FALSE)</f>
        <v>0.8</v>
      </c>
      <c r="V1210" s="27">
        <v>3</v>
      </c>
      <c r="W1210" s="28">
        <f>VLOOKUP(V1210,ターン数別攻撃係数!$A$1:$B$1000,2,FALSE)</f>
        <v>1</v>
      </c>
      <c r="X1210" s="9">
        <f>VLOOKUP(C1210,サイズ別係数!A$2:B$9,2,FALSE)</f>
        <v>60</v>
      </c>
      <c r="Y1210" s="26">
        <f>VLOOKUP($X1210,サイズ別係数!$B:$E,2,FALSE)</f>
        <v>1.7</v>
      </c>
      <c r="Z1210" s="26">
        <f>VLOOKUP($X1210,サイズ別係数!$B:$E,3,FALSE)</f>
        <v>1.4</v>
      </c>
      <c r="AA1210" s="26">
        <f>VLOOKUP($X1210,サイズ別係数!$B:$E,4,FALSE)</f>
        <v>1</v>
      </c>
      <c r="AB1210" s="5">
        <v>0</v>
      </c>
      <c r="AC1210" s="34" t="str">
        <f ca="1">VLOOKUP($AB1210,OFFSET([3]enemy_skill_sets!$B$2,0,0,COUNTA([3]enemy_skill_sets!$A:$A),MATCH(AC$1,[3]enemy_skill_sets!$1:$1,0)-MATCH($AB$1,[3]enemy_skill_sets!$1:$1,0)+1),MATCH(AC$1,[3]enemy_skill_sets!$1:$1,0)-MATCH($AB$1,[3]enemy_skill_sets!$1:$1,0)+1,FALSE)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0" s="67">
        <v>1</v>
      </c>
      <c r="AE1210" s="67">
        <v>1</v>
      </c>
      <c r="AF1210" s="37">
        <v>0</v>
      </c>
      <c r="AG1210" s="99">
        <f>ROUND(VLOOKUP(1,enemy_base_stats!$A:$F,2,FALSE) * Y1210* J1210*O1210*E1210*S1210*AD1210*[2]ステータス!$B$2,0)</f>
        <v>5916</v>
      </c>
      <c r="AH1210" s="99">
        <f>ROUND(VLOOKUP(1,enemy_base_stats!$A:$F,3,FALSE) * Z1210*K1210*P1210*F1210*T1210*AE1210 * W1210*[2]ステータス!$C$2,0)</f>
        <v>241</v>
      </c>
      <c r="AI1210" s="99">
        <f>ROUND(VLOOKUP(1,enemy_base_stats!$A:$F,4,FALSE) * AA1210*L1210*Q1210*G1210*U1210*AF1210*[2]ステータス!$D$2,0)</f>
        <v>0</v>
      </c>
      <c r="AJ1210" s="99">
        <f>ROUND(VLOOKUP(100,enemy_base_stats!$A:$F,2,FALSE) * Y1210* J1210*O1210*E1210*S1210*AD1210*[2]ステータス!$B$2,0)</f>
        <v>240190</v>
      </c>
      <c r="AK1210" s="99">
        <f>ROUND(VLOOKUP(100,enemy_base_stats!$A:$F,3,FALSE)* Z1210* K1210*P1210*F1210*T1210*AE1210 * W1210*[2]ステータス!$C$2,0)</f>
        <v>9802</v>
      </c>
      <c r="AL1210" s="99">
        <f>ROUND(VLOOKUP(100,enemy_base_stats!$A:$F,4,FALSE)* AA1210* L1210*Q1210*G1210*U1210*AF1210*[2]ステータス!$D$2,0)</f>
        <v>0</v>
      </c>
      <c r="AM1210" s="97">
        <f>VLOOKUP(M1210,[2]character_tribe_i18n!$A:$I,9,FALSE)</f>
        <v>680</v>
      </c>
      <c r="AN1210" s="36">
        <v>0</v>
      </c>
      <c r="AO1210" s="53">
        <v>0</v>
      </c>
      <c r="AP1210" s="58" t="s">
        <v>72</v>
      </c>
      <c r="AQ1210" s="71">
        <f t="shared" si="64"/>
        <v>1209</v>
      </c>
    </row>
    <row r="1211" spans="1:43" ht="21" customHeight="1" x14ac:dyDescent="0.15">
      <c r="A1211" s="7">
        <v>1210</v>
      </c>
      <c r="B1211" s="6" t="str">
        <f>VLOOKUP(A1211,[2]characters!$A:$C,3,FALSE)</f>
        <v>ケンタウロス</v>
      </c>
      <c r="C1211" s="9">
        <f>VLOOKUP(A1211,[2]characters!$A:$I,9,FALSE)</f>
        <v>4</v>
      </c>
      <c r="D1211" s="9" t="str">
        <f>VLOOKUP(A1211,[2]characters!$A:$H,8,FALSE)</f>
        <v>green</v>
      </c>
      <c r="E1211" s="24">
        <f>VLOOKUP(D1211,[2]属性!$A:$E,2,FALSE)</f>
        <v>1.02</v>
      </c>
      <c r="F1211" s="24">
        <f>VLOOKUP(D1211,[2]属性!$A:$E,3,FALSE)</f>
        <v>0.98</v>
      </c>
      <c r="G1211" s="24">
        <f>VLOOKUP(D1211,[2]属性!$A:$F,4,FALSE)</f>
        <v>1</v>
      </c>
      <c r="H1211" s="9" t="str">
        <f>VLOOKUP(A1211,[2]characters!$A:$K,11,FALSE)</f>
        <v>attack</v>
      </c>
      <c r="I1211" s="14" t="str">
        <f>VLOOKUP(H1211,[2]character_type_i18n!$A:$F,3,FALSE)</f>
        <v>攻撃タイプ</v>
      </c>
      <c r="J1211" s="36">
        <f>VLOOKUP(H1211,[2]character_type_i18n!$A:$F,4,FALSE)</f>
        <v>1</v>
      </c>
      <c r="K1211" s="36">
        <f>VLOOKUP(H1211,[2]character_type_i18n!$A:$F,5,FALSE)</f>
        <v>1.33</v>
      </c>
      <c r="L1211" s="36">
        <f>VLOOKUP(H1211,[2]character_type_i18n!$A:$F,6,FALSE)</f>
        <v>1</v>
      </c>
      <c r="M1211" s="9" t="str">
        <f>VLOOKUP(A1211,[2]characters!$A:$M,13,FALSE)</f>
        <v>god</v>
      </c>
      <c r="N1211" s="14" t="str">
        <f>VLOOKUP(M1211,[2]character_tribe_i18n!$A:$F,3,FALSE)</f>
        <v>ゴッド</v>
      </c>
      <c r="O1211" s="24">
        <f>VLOOKUP(M1211,[2]character_tribe_i18n!$A:$F,4,FALSE)</f>
        <v>0.96</v>
      </c>
      <c r="P1211" s="24">
        <f>VLOOKUP(M1211,[2]character_tribe_i18n!$A:$F,5,FALSE)</f>
        <v>1.02</v>
      </c>
      <c r="Q1211" s="24">
        <f>VLOOKUP(M1211,[2]character_tribe_i18n!$A:$F,6,FALSE)</f>
        <v>1</v>
      </c>
      <c r="R1211" s="25" t="s">
        <v>98</v>
      </c>
      <c r="S1211" s="24">
        <f>VLOOKUP($R1211,ラベル別係数!$A$1:$E$7,3,FALSE)</f>
        <v>5</v>
      </c>
      <c r="T1211" s="24">
        <f>VLOOKUP($R1211,ラベル別係数!$A$1:$E$7,4,FALSE)</f>
        <v>1.3</v>
      </c>
      <c r="U1211" s="24">
        <f>VLOOKUP($R1211,ラベル別係数!$A$1:$E$7,5,FALSE)</f>
        <v>0.8</v>
      </c>
      <c r="V1211" s="27">
        <v>3</v>
      </c>
      <c r="W1211" s="28">
        <f>VLOOKUP(V1211,ターン数別攻撃係数!$A$1:$B$1000,2,FALSE)</f>
        <v>1</v>
      </c>
      <c r="X1211" s="9">
        <f>VLOOKUP(C1211,サイズ別係数!A$2:B$9,2,FALSE)</f>
        <v>30</v>
      </c>
      <c r="Y1211" s="26">
        <f>VLOOKUP($X1211,サイズ別係数!$B:$E,2,FALSE)</f>
        <v>1.3</v>
      </c>
      <c r="Z1211" s="26">
        <f>VLOOKUP($X1211,サイズ別係数!$B:$E,3,FALSE)</f>
        <v>1.3</v>
      </c>
      <c r="AA1211" s="26">
        <f>VLOOKUP($X1211,サイズ別係数!$B:$E,4,FALSE)</f>
        <v>1.1000000000000001</v>
      </c>
      <c r="AB1211" s="5">
        <v>0</v>
      </c>
      <c r="AC1211" s="34" t="str">
        <f ca="1">VLOOKUP($AB1211,OFFSET([3]enemy_skill_sets!$B$2,0,0,COUNTA([3]enemy_skill_sets!$A:$A),MATCH(AC$1,[3]enemy_skill_sets!$1:$1,0)-MATCH($AB$1,[3]enemy_skill_sets!$1:$1,0)+1),MATCH(AC$1,[3]enemy_skill_sets!$1:$1,0)-MATCH($AB$1,[3]enemy_skill_sets!$1:$1,0)+1,FALSE)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1" s="67">
        <v>1</v>
      </c>
      <c r="AE1211" s="67">
        <v>1</v>
      </c>
      <c r="AF1211" s="37">
        <v>0</v>
      </c>
      <c r="AG1211" s="99">
        <f>ROUND(VLOOKUP(1,enemy_base_stats!$A:$F,2,FALSE) * Y1211* J1211*O1211*E1211*S1211*AD1211*[2]ステータス!$B$2,0)</f>
        <v>3182</v>
      </c>
      <c r="AH1211" s="99">
        <f>ROUND(VLOOKUP(1,enemy_base_stats!$A:$F,3,FALSE) * Z1211*K1211*P1211*F1211*T1211*AE1211 * W1211*[2]ステータス!$C$2,0)</f>
        <v>337</v>
      </c>
      <c r="AI1211" s="99">
        <f>ROUND(VLOOKUP(1,enemy_base_stats!$A:$F,4,FALSE) * AA1211*L1211*Q1211*G1211*U1211*AF1211*[2]ステータス!$D$2,0)</f>
        <v>0</v>
      </c>
      <c r="AJ1211" s="99">
        <f>ROUND(VLOOKUP(100,enemy_base_stats!$A:$F,2,FALSE) * Y1211* J1211*O1211*E1211*S1211*AD1211*[2]ステータス!$B$2,0)</f>
        <v>129205</v>
      </c>
      <c r="AK1211" s="99">
        <f>ROUND(VLOOKUP(100,enemy_base_stats!$A:$F,3,FALSE)* Z1211* K1211*P1211*F1211*T1211*AE1211 * W1211*[2]ステータス!$C$2,0)</f>
        <v>13683</v>
      </c>
      <c r="AL1211" s="99">
        <f>ROUND(VLOOKUP(100,enemy_base_stats!$A:$F,4,FALSE)* AA1211* L1211*Q1211*G1211*U1211*AF1211*[2]ステータス!$D$2,0)</f>
        <v>0</v>
      </c>
      <c r="AM1211" s="97">
        <f>VLOOKUP(M1211,[2]character_tribe_i18n!$A:$I,9,FALSE)</f>
        <v>680</v>
      </c>
      <c r="AN1211" s="36">
        <v>0</v>
      </c>
      <c r="AO1211" s="53">
        <v>0</v>
      </c>
      <c r="AP1211" s="58" t="s">
        <v>72</v>
      </c>
      <c r="AQ1211" s="71">
        <f t="shared" si="64"/>
        <v>1210</v>
      </c>
    </row>
    <row r="1212" spans="1:43" ht="21" customHeight="1" x14ac:dyDescent="0.15">
      <c r="A1212" s="7">
        <v>1211</v>
      </c>
      <c r="B1212" s="6" t="str">
        <f>VLOOKUP(A1212,[2]characters!$A:$C,3,FALSE)</f>
        <v>奏駆の翻騎 ケンタウロス</v>
      </c>
      <c r="C1212" s="9">
        <f>VLOOKUP(A1212,[2]characters!$A:$I,9,FALSE)</f>
        <v>5</v>
      </c>
      <c r="D1212" s="9" t="str">
        <f>VLOOKUP(A1212,[2]characters!$A:$H,8,FALSE)</f>
        <v>green</v>
      </c>
      <c r="E1212" s="24">
        <f>VLOOKUP(D1212,[2]属性!$A:$E,2,FALSE)</f>
        <v>1.02</v>
      </c>
      <c r="F1212" s="24">
        <f>VLOOKUP(D1212,[2]属性!$A:$E,3,FALSE)</f>
        <v>0.98</v>
      </c>
      <c r="G1212" s="24">
        <f>VLOOKUP(D1212,[2]属性!$A:$F,4,FALSE)</f>
        <v>1</v>
      </c>
      <c r="H1212" s="9" t="str">
        <f>VLOOKUP(A1212,[2]characters!$A:$K,11,FALSE)</f>
        <v>attack</v>
      </c>
      <c r="I1212" s="14" t="str">
        <f>VLOOKUP(H1212,[2]character_type_i18n!$A:$F,3,FALSE)</f>
        <v>攻撃タイプ</v>
      </c>
      <c r="J1212" s="36">
        <f>VLOOKUP(H1212,[2]character_type_i18n!$A:$F,4,FALSE)</f>
        <v>1</v>
      </c>
      <c r="K1212" s="36">
        <f>VLOOKUP(H1212,[2]character_type_i18n!$A:$F,5,FALSE)</f>
        <v>1.33</v>
      </c>
      <c r="L1212" s="36">
        <f>VLOOKUP(H1212,[2]character_type_i18n!$A:$F,6,FALSE)</f>
        <v>1</v>
      </c>
      <c r="M1212" s="9" t="str">
        <f>VLOOKUP(A1212,[2]characters!$A:$M,13,FALSE)</f>
        <v>god</v>
      </c>
      <c r="N1212" s="14" t="str">
        <f>VLOOKUP(M1212,[2]character_tribe_i18n!$A:$F,3,FALSE)</f>
        <v>ゴッド</v>
      </c>
      <c r="O1212" s="24">
        <f>VLOOKUP(M1212,[2]character_tribe_i18n!$A:$F,4,FALSE)</f>
        <v>0.96</v>
      </c>
      <c r="P1212" s="24">
        <f>VLOOKUP(M1212,[2]character_tribe_i18n!$A:$F,5,FALSE)</f>
        <v>1.02</v>
      </c>
      <c r="Q1212" s="24">
        <f>VLOOKUP(M1212,[2]character_tribe_i18n!$A:$F,6,FALSE)</f>
        <v>1</v>
      </c>
      <c r="R1212" s="25" t="s">
        <v>98</v>
      </c>
      <c r="S1212" s="24">
        <f>VLOOKUP($R1212,ラベル別係数!$A$1:$E$7,3,FALSE)</f>
        <v>5</v>
      </c>
      <c r="T1212" s="24">
        <f>VLOOKUP($R1212,ラベル別係数!$A$1:$E$7,4,FALSE)</f>
        <v>1.3</v>
      </c>
      <c r="U1212" s="24">
        <f>VLOOKUP($R1212,ラベル別係数!$A$1:$E$7,5,FALSE)</f>
        <v>0.8</v>
      </c>
      <c r="V1212" s="27">
        <v>3</v>
      </c>
      <c r="W1212" s="28">
        <f>VLOOKUP(V1212,ターン数別攻撃係数!$A$1:$B$1000,2,FALSE)</f>
        <v>1</v>
      </c>
      <c r="X1212" s="9">
        <f>VLOOKUP(C1212,サイズ別係数!A$2:B$9,2,FALSE)</f>
        <v>60</v>
      </c>
      <c r="Y1212" s="26">
        <f>VLOOKUP($X1212,サイズ別係数!$B:$E,2,FALSE)</f>
        <v>1.7</v>
      </c>
      <c r="Z1212" s="26">
        <f>VLOOKUP($X1212,サイズ別係数!$B:$E,3,FALSE)</f>
        <v>1.4</v>
      </c>
      <c r="AA1212" s="26">
        <f>VLOOKUP($X1212,サイズ別係数!$B:$E,4,FALSE)</f>
        <v>1</v>
      </c>
      <c r="AB1212" s="5">
        <v>0</v>
      </c>
      <c r="AC1212" s="34" t="str">
        <f ca="1">VLOOKUP($AB1212,OFFSET([3]enemy_skill_sets!$B$2,0,0,COUNTA([3]enemy_skill_sets!$A:$A),MATCH(AC$1,[3]enemy_skill_sets!$1:$1,0)-MATCH($AB$1,[3]enemy_skill_sets!$1:$1,0)+1),MATCH(AC$1,[3]enemy_skill_sets!$1:$1,0)-MATCH($AB$1,[3]enemy_skill_sets!$1:$1,0)+1,FALSE)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2" s="67">
        <v>1</v>
      </c>
      <c r="AE1212" s="67">
        <v>1</v>
      </c>
      <c r="AF1212" s="37">
        <v>0</v>
      </c>
      <c r="AG1212" s="99">
        <f>ROUND(VLOOKUP(1,enemy_base_stats!$A:$F,2,FALSE) * Y1212* J1212*O1212*E1212*S1212*AD1212*[2]ステータス!$B$2,0)</f>
        <v>4162</v>
      </c>
      <c r="AH1212" s="99">
        <f>ROUND(VLOOKUP(1,enemy_base_stats!$A:$F,3,FALSE) * Z1212*K1212*P1212*F1212*T1212*AE1212 * W1212*[2]ステータス!$C$2,0)</f>
        <v>363</v>
      </c>
      <c r="AI1212" s="99">
        <f>ROUND(VLOOKUP(1,enemy_base_stats!$A:$F,4,FALSE) * AA1212*L1212*Q1212*G1212*U1212*AF1212*[2]ステータス!$D$2,0)</f>
        <v>0</v>
      </c>
      <c r="AJ1212" s="99">
        <f>ROUND(VLOOKUP(100,enemy_base_stats!$A:$F,2,FALSE) * Y1212* J1212*O1212*E1212*S1212*AD1212*[2]ステータス!$B$2,0)</f>
        <v>168961</v>
      </c>
      <c r="AK1212" s="99">
        <f>ROUND(VLOOKUP(100,enemy_base_stats!$A:$F,3,FALSE)* Z1212* K1212*P1212*F1212*T1212*AE1212 * W1212*[2]ステータス!$C$2,0)</f>
        <v>14736</v>
      </c>
      <c r="AL1212" s="99">
        <f>ROUND(VLOOKUP(100,enemy_base_stats!$A:$F,4,FALSE)* AA1212* L1212*Q1212*G1212*U1212*AF1212*[2]ステータス!$D$2,0)</f>
        <v>0</v>
      </c>
      <c r="AM1212" s="97">
        <f>VLOOKUP(M1212,[2]character_tribe_i18n!$A:$I,9,FALSE)</f>
        <v>680</v>
      </c>
      <c r="AN1212" s="36">
        <v>0</v>
      </c>
      <c r="AO1212" s="53">
        <v>0</v>
      </c>
      <c r="AP1212" s="58" t="s">
        <v>72</v>
      </c>
      <c r="AQ1212" s="71">
        <f t="shared" si="64"/>
        <v>1211</v>
      </c>
    </row>
    <row r="1213" spans="1:43" ht="21" customHeight="1" x14ac:dyDescent="0.15">
      <c r="A1213" s="7">
        <v>1212</v>
      </c>
      <c r="B1213" s="6" t="str">
        <f>VLOOKUP(A1213,[2]characters!$A:$C,3,FALSE)</f>
        <v>クロノス</v>
      </c>
      <c r="C1213" s="9">
        <f>VLOOKUP(A1213,[2]characters!$A:$I,9,FALSE)</f>
        <v>5</v>
      </c>
      <c r="D1213" s="9" t="str">
        <f>VLOOKUP(A1213,[2]characters!$A:$H,8,FALSE)</f>
        <v>blue</v>
      </c>
      <c r="E1213" s="24">
        <f>VLOOKUP(D1213,[2]属性!$A:$E,2,FALSE)</f>
        <v>1</v>
      </c>
      <c r="F1213" s="24">
        <f>VLOOKUP(D1213,[2]属性!$A:$E,3,FALSE)</f>
        <v>0.98</v>
      </c>
      <c r="G1213" s="24">
        <f>VLOOKUP(D1213,[2]属性!$A:$F,4,FALSE)</f>
        <v>1</v>
      </c>
      <c r="H1213" s="9" t="str">
        <f>VLOOKUP(A1213,[2]characters!$A:$K,11,FALSE)</f>
        <v>technical</v>
      </c>
      <c r="I1213" s="14" t="str">
        <f>VLOOKUP(H1213,[2]character_type_i18n!$A:$F,3,FALSE)</f>
        <v>テクニカルタイプ</v>
      </c>
      <c r="J1213" s="36">
        <f>VLOOKUP(H1213,[2]character_type_i18n!$A:$F,4,FALSE)</f>
        <v>0.9</v>
      </c>
      <c r="K1213" s="36">
        <f>VLOOKUP(H1213,[2]character_type_i18n!$A:$F,5,FALSE)</f>
        <v>0.9</v>
      </c>
      <c r="L1213" s="36">
        <f>VLOOKUP(H1213,[2]character_type_i18n!$A:$F,6,FALSE)</f>
        <v>1</v>
      </c>
      <c r="M1213" s="9" t="str">
        <f>VLOOKUP(A1213,[2]characters!$A:$M,13,FALSE)</f>
        <v>god</v>
      </c>
      <c r="N1213" s="14" t="str">
        <f>VLOOKUP(M1213,[2]character_tribe_i18n!$A:$F,3,FALSE)</f>
        <v>ゴッド</v>
      </c>
      <c r="O1213" s="24">
        <f>VLOOKUP(M1213,[2]character_tribe_i18n!$A:$F,4,FALSE)</f>
        <v>0.96</v>
      </c>
      <c r="P1213" s="24">
        <f>VLOOKUP(M1213,[2]character_tribe_i18n!$A:$F,5,FALSE)</f>
        <v>1.02</v>
      </c>
      <c r="Q1213" s="24">
        <f>VLOOKUP(M1213,[2]character_tribe_i18n!$A:$F,6,FALSE)</f>
        <v>1</v>
      </c>
      <c r="R1213" s="25" t="s">
        <v>98</v>
      </c>
      <c r="S1213" s="24">
        <f>VLOOKUP($R1213,ラベル別係数!$A$1:$E$7,3,FALSE)</f>
        <v>5</v>
      </c>
      <c r="T1213" s="24">
        <f>VLOOKUP($R1213,ラベル別係数!$A$1:$E$7,4,FALSE)</f>
        <v>1.3</v>
      </c>
      <c r="U1213" s="24">
        <f>VLOOKUP($R1213,ラベル別係数!$A$1:$E$7,5,FALSE)</f>
        <v>0.8</v>
      </c>
      <c r="V1213" s="27">
        <v>3</v>
      </c>
      <c r="W1213" s="28">
        <f>VLOOKUP(V1213,ターン数別攻撃係数!$A$1:$B$1000,2,FALSE)</f>
        <v>1</v>
      </c>
      <c r="X1213" s="9">
        <f>VLOOKUP(C1213,サイズ別係数!A$2:B$9,2,FALSE)</f>
        <v>60</v>
      </c>
      <c r="Y1213" s="26">
        <f>VLOOKUP($X1213,サイズ別係数!$B:$E,2,FALSE)</f>
        <v>1.7</v>
      </c>
      <c r="Z1213" s="26">
        <f>VLOOKUP($X1213,サイズ別係数!$B:$E,3,FALSE)</f>
        <v>1.4</v>
      </c>
      <c r="AA1213" s="26">
        <f>VLOOKUP($X1213,サイズ別係数!$B:$E,4,FALSE)</f>
        <v>1</v>
      </c>
      <c r="AB1213" s="5">
        <v>0</v>
      </c>
      <c r="AC1213" s="34" t="str">
        <f ca="1">VLOOKUP($AB1213,OFFSET([3]enemy_skill_sets!$B$2,0,0,COUNTA([3]enemy_skill_sets!$A:$A),MATCH(AC$1,[3]enemy_skill_sets!$1:$1,0)-MATCH($AB$1,[3]enemy_skill_sets!$1:$1,0)+1),MATCH(AC$1,[3]enemy_skill_sets!$1:$1,0)-MATCH($AB$1,[3]enemy_skill_sets!$1:$1,0)+1,FALSE)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3" s="67">
        <v>1</v>
      </c>
      <c r="AE1213" s="67">
        <v>1</v>
      </c>
      <c r="AF1213" s="37">
        <v>0</v>
      </c>
      <c r="AG1213" s="99">
        <f>ROUND(VLOOKUP(1,enemy_base_stats!$A:$F,2,FALSE) * Y1213* J1213*O1213*E1213*S1213*AD1213*[2]ステータス!$B$2,0)</f>
        <v>3672</v>
      </c>
      <c r="AH1213" s="99">
        <f>ROUND(VLOOKUP(1,enemy_base_stats!$A:$F,3,FALSE) * Z1213*K1213*P1213*F1213*T1213*AE1213 * W1213*[2]ステータス!$C$2,0)</f>
        <v>246</v>
      </c>
      <c r="AI1213" s="99">
        <f>ROUND(VLOOKUP(1,enemy_base_stats!$A:$F,4,FALSE) * AA1213*L1213*Q1213*G1213*U1213*AF1213*[2]ステータス!$D$2,0)</f>
        <v>0</v>
      </c>
      <c r="AJ1213" s="99">
        <f>ROUND(VLOOKUP(100,enemy_base_stats!$A:$F,2,FALSE) * Y1213* J1213*O1213*E1213*S1213*AD1213*[2]ステータス!$B$2,0)</f>
        <v>149083</v>
      </c>
      <c r="AK1213" s="99">
        <f>ROUND(VLOOKUP(100,enemy_base_stats!$A:$F,3,FALSE)* Z1213* K1213*P1213*F1213*T1213*AE1213 * W1213*[2]ステータス!$C$2,0)</f>
        <v>9971</v>
      </c>
      <c r="AL1213" s="99">
        <f>ROUND(VLOOKUP(100,enemy_base_stats!$A:$F,4,FALSE)* AA1213* L1213*Q1213*G1213*U1213*AF1213*[2]ステータス!$D$2,0)</f>
        <v>0</v>
      </c>
      <c r="AM1213" s="97">
        <f>VLOOKUP(M1213,[2]character_tribe_i18n!$A:$I,9,FALSE)</f>
        <v>680</v>
      </c>
      <c r="AN1213" s="36">
        <v>0</v>
      </c>
      <c r="AO1213" s="53">
        <v>0</v>
      </c>
      <c r="AP1213" s="58" t="s">
        <v>72</v>
      </c>
      <c r="AQ1213" s="71">
        <f t="shared" si="64"/>
        <v>1212</v>
      </c>
    </row>
    <row r="1214" spans="1:43" ht="21" customHeight="1" x14ac:dyDescent="0.15">
      <c r="A1214" s="7">
        <v>1213</v>
      </c>
      <c r="B1214" s="6" t="str">
        <f>VLOOKUP(A1214,[2]characters!$A:$C,3,FALSE)</f>
        <v>能洪の永地神 クロノス</v>
      </c>
      <c r="C1214" s="9">
        <f>VLOOKUP(A1214,[2]characters!$A:$I,9,FALSE)</f>
        <v>6</v>
      </c>
      <c r="D1214" s="9" t="str">
        <f>VLOOKUP(A1214,[2]characters!$A:$H,8,FALSE)</f>
        <v>blue</v>
      </c>
      <c r="E1214" s="24">
        <f>VLOOKUP(D1214,[2]属性!$A:$E,2,FALSE)</f>
        <v>1</v>
      </c>
      <c r="F1214" s="24">
        <f>VLOOKUP(D1214,[2]属性!$A:$E,3,FALSE)</f>
        <v>0.98</v>
      </c>
      <c r="G1214" s="24">
        <f>VLOOKUP(D1214,[2]属性!$A:$F,4,FALSE)</f>
        <v>1</v>
      </c>
      <c r="H1214" s="9" t="str">
        <f>VLOOKUP(A1214,[2]characters!$A:$K,11,FALSE)</f>
        <v>technical</v>
      </c>
      <c r="I1214" s="14" t="str">
        <f>VLOOKUP(H1214,[2]character_type_i18n!$A:$F,3,FALSE)</f>
        <v>テクニカルタイプ</v>
      </c>
      <c r="J1214" s="36">
        <f>VLOOKUP(H1214,[2]character_type_i18n!$A:$F,4,FALSE)</f>
        <v>0.9</v>
      </c>
      <c r="K1214" s="36">
        <f>VLOOKUP(H1214,[2]character_type_i18n!$A:$F,5,FALSE)</f>
        <v>0.9</v>
      </c>
      <c r="L1214" s="36">
        <f>VLOOKUP(H1214,[2]character_type_i18n!$A:$F,6,FALSE)</f>
        <v>1</v>
      </c>
      <c r="M1214" s="9" t="str">
        <f>VLOOKUP(A1214,[2]characters!$A:$M,13,FALSE)</f>
        <v>god</v>
      </c>
      <c r="N1214" s="14" t="str">
        <f>VLOOKUP(M1214,[2]character_tribe_i18n!$A:$F,3,FALSE)</f>
        <v>ゴッド</v>
      </c>
      <c r="O1214" s="24">
        <f>VLOOKUP(M1214,[2]character_tribe_i18n!$A:$F,4,FALSE)</f>
        <v>0.96</v>
      </c>
      <c r="P1214" s="24">
        <f>VLOOKUP(M1214,[2]character_tribe_i18n!$A:$F,5,FALSE)</f>
        <v>1.02</v>
      </c>
      <c r="Q1214" s="24">
        <f>VLOOKUP(M1214,[2]character_tribe_i18n!$A:$F,6,FALSE)</f>
        <v>1</v>
      </c>
      <c r="R1214" s="25" t="s">
        <v>98</v>
      </c>
      <c r="S1214" s="24">
        <f>VLOOKUP($R1214,ラベル別係数!$A$1:$E$7,3,FALSE)</f>
        <v>5</v>
      </c>
      <c r="T1214" s="24">
        <f>VLOOKUP($R1214,ラベル別係数!$A$1:$E$7,4,FALSE)</f>
        <v>1.3</v>
      </c>
      <c r="U1214" s="24">
        <f>VLOOKUP($R1214,ラベル別係数!$A$1:$E$7,5,FALSE)</f>
        <v>0.8</v>
      </c>
      <c r="V1214" s="27">
        <v>3</v>
      </c>
      <c r="W1214" s="28">
        <f>VLOOKUP(V1214,ターン数別攻撃係数!$A$1:$B$1000,2,FALSE)</f>
        <v>1</v>
      </c>
      <c r="X1214" s="9">
        <f>VLOOKUP(C1214,サイズ別係数!A$2:B$9,2,FALSE)</f>
        <v>60</v>
      </c>
      <c r="Y1214" s="26">
        <f>VLOOKUP($X1214,サイズ別係数!$B:$E,2,FALSE)</f>
        <v>1.7</v>
      </c>
      <c r="Z1214" s="26">
        <f>VLOOKUP($X1214,サイズ別係数!$B:$E,3,FALSE)</f>
        <v>1.4</v>
      </c>
      <c r="AA1214" s="26">
        <f>VLOOKUP($X1214,サイズ別係数!$B:$E,4,FALSE)</f>
        <v>1</v>
      </c>
      <c r="AB1214" s="5">
        <v>0</v>
      </c>
      <c r="AC1214" s="34" t="str">
        <f ca="1">VLOOKUP($AB1214,OFFSET([3]enemy_skill_sets!$B$2,0,0,COUNTA([3]enemy_skill_sets!$A:$A),MATCH(AC$1,[3]enemy_skill_sets!$1:$1,0)-MATCH($AB$1,[3]enemy_skill_sets!$1:$1,0)+1),MATCH(AC$1,[3]enemy_skill_sets!$1:$1,0)-MATCH($AB$1,[3]enemy_skill_sets!$1:$1,0)+1,FALSE)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4" s="67">
        <v>1</v>
      </c>
      <c r="AE1214" s="67">
        <v>1</v>
      </c>
      <c r="AF1214" s="37">
        <v>0</v>
      </c>
      <c r="AG1214" s="99">
        <f>ROUND(VLOOKUP(1,enemy_base_stats!$A:$F,2,FALSE) * Y1214* J1214*O1214*E1214*S1214*AD1214*[2]ステータス!$B$2,0)</f>
        <v>3672</v>
      </c>
      <c r="AH1214" s="99">
        <f>ROUND(VLOOKUP(1,enemy_base_stats!$A:$F,3,FALSE) * Z1214*K1214*P1214*F1214*T1214*AE1214 * W1214*[2]ステータス!$C$2,0)</f>
        <v>246</v>
      </c>
      <c r="AI1214" s="99">
        <f>ROUND(VLOOKUP(1,enemy_base_stats!$A:$F,4,FALSE) * AA1214*L1214*Q1214*G1214*U1214*AF1214*[2]ステータス!$D$2,0)</f>
        <v>0</v>
      </c>
      <c r="AJ1214" s="99">
        <f>ROUND(VLOOKUP(100,enemy_base_stats!$A:$F,2,FALSE) * Y1214* J1214*O1214*E1214*S1214*AD1214*[2]ステータス!$B$2,0)</f>
        <v>149083</v>
      </c>
      <c r="AK1214" s="99">
        <f>ROUND(VLOOKUP(100,enemy_base_stats!$A:$F,3,FALSE)* Z1214* K1214*P1214*F1214*T1214*AE1214 * W1214*[2]ステータス!$C$2,0)</f>
        <v>9971</v>
      </c>
      <c r="AL1214" s="99">
        <f>ROUND(VLOOKUP(100,enemy_base_stats!$A:$F,4,FALSE)* AA1214* L1214*Q1214*G1214*U1214*AF1214*[2]ステータス!$D$2,0)</f>
        <v>0</v>
      </c>
      <c r="AM1214" s="97">
        <f>VLOOKUP(M1214,[2]character_tribe_i18n!$A:$I,9,FALSE)</f>
        <v>680</v>
      </c>
      <c r="AN1214" s="36">
        <v>0</v>
      </c>
      <c r="AO1214" s="53">
        <v>0</v>
      </c>
      <c r="AP1214" s="58" t="s">
        <v>72</v>
      </c>
      <c r="AQ1214" s="71">
        <f t="shared" si="64"/>
        <v>1213</v>
      </c>
    </row>
    <row r="1215" spans="1:43" ht="21" customHeight="1" x14ac:dyDescent="0.15">
      <c r="A1215" s="7">
        <v>1214</v>
      </c>
      <c r="B1215" s="6" t="str">
        <f>VLOOKUP(A1215,[2]characters!$A:$C,3,FALSE)</f>
        <v>アルテミス</v>
      </c>
      <c r="C1215" s="9">
        <f>VLOOKUP(A1215,[2]characters!$A:$I,9,FALSE)</f>
        <v>5</v>
      </c>
      <c r="D1215" s="9" t="str">
        <f>VLOOKUP(A1215,[2]characters!$A:$H,8,FALSE)</f>
        <v>yellow</v>
      </c>
      <c r="E1215" s="24">
        <f>VLOOKUP(D1215,[2]属性!$A:$E,2,FALSE)</f>
        <v>0.98</v>
      </c>
      <c r="F1215" s="24">
        <f>VLOOKUP(D1215,[2]属性!$A:$E,3,FALSE)</f>
        <v>1.01</v>
      </c>
      <c r="G1215" s="24">
        <f>VLOOKUP(D1215,[2]属性!$A:$F,4,FALSE)</f>
        <v>1</v>
      </c>
      <c r="H1215" s="9" t="str">
        <f>VLOOKUP(A1215,[2]characters!$A:$K,11,FALSE)</f>
        <v>balance</v>
      </c>
      <c r="I1215" s="14" t="str">
        <f>VLOOKUP(H1215,[2]character_type_i18n!$A:$F,3,FALSE)</f>
        <v>バランスタイプ</v>
      </c>
      <c r="J1215" s="36">
        <f>VLOOKUP(H1215,[2]character_type_i18n!$A:$F,4,FALSE)</f>
        <v>1</v>
      </c>
      <c r="K1215" s="36">
        <f>VLOOKUP(H1215,[2]character_type_i18n!$A:$F,5,FALSE)</f>
        <v>1</v>
      </c>
      <c r="L1215" s="36">
        <f>VLOOKUP(H1215,[2]character_type_i18n!$A:$F,6,FALSE)</f>
        <v>1</v>
      </c>
      <c r="M1215" s="9" t="str">
        <f>VLOOKUP(A1215,[2]characters!$A:$M,13,FALSE)</f>
        <v>god</v>
      </c>
      <c r="N1215" s="14" t="str">
        <f>VLOOKUP(M1215,[2]character_tribe_i18n!$A:$F,3,FALSE)</f>
        <v>ゴッド</v>
      </c>
      <c r="O1215" s="24">
        <f>VLOOKUP(M1215,[2]character_tribe_i18n!$A:$F,4,FALSE)</f>
        <v>0.96</v>
      </c>
      <c r="P1215" s="24">
        <f>VLOOKUP(M1215,[2]character_tribe_i18n!$A:$F,5,FALSE)</f>
        <v>1.02</v>
      </c>
      <c r="Q1215" s="24">
        <f>VLOOKUP(M1215,[2]character_tribe_i18n!$A:$F,6,FALSE)</f>
        <v>1</v>
      </c>
      <c r="R1215" s="25" t="s">
        <v>98</v>
      </c>
      <c r="S1215" s="24">
        <f>VLOOKUP($R1215,ラベル別係数!$A$1:$E$7,3,FALSE)</f>
        <v>5</v>
      </c>
      <c r="T1215" s="24">
        <f>VLOOKUP($R1215,ラベル別係数!$A$1:$E$7,4,FALSE)</f>
        <v>1.3</v>
      </c>
      <c r="U1215" s="24">
        <f>VLOOKUP($R1215,ラベル別係数!$A$1:$E$7,5,FALSE)</f>
        <v>0.8</v>
      </c>
      <c r="V1215" s="27">
        <v>3</v>
      </c>
      <c r="W1215" s="28">
        <f>VLOOKUP(V1215,ターン数別攻撃係数!$A$1:$B$1000,2,FALSE)</f>
        <v>1</v>
      </c>
      <c r="X1215" s="9">
        <f>VLOOKUP(C1215,サイズ別係数!A$2:B$9,2,FALSE)</f>
        <v>60</v>
      </c>
      <c r="Y1215" s="26">
        <f>VLOOKUP($X1215,サイズ別係数!$B:$E,2,FALSE)</f>
        <v>1.7</v>
      </c>
      <c r="Z1215" s="26">
        <f>VLOOKUP($X1215,サイズ別係数!$B:$E,3,FALSE)</f>
        <v>1.4</v>
      </c>
      <c r="AA1215" s="26">
        <f>VLOOKUP($X1215,サイズ別係数!$B:$E,4,FALSE)</f>
        <v>1</v>
      </c>
      <c r="AB1215" s="5">
        <v>0</v>
      </c>
      <c r="AC1215" s="34" t="str">
        <f ca="1">VLOOKUP($AB1215,OFFSET([3]enemy_skill_sets!$B$2,0,0,COUNTA([3]enemy_skill_sets!$A:$A),MATCH(AC$1,[3]enemy_skill_sets!$1:$1,0)-MATCH($AB$1,[3]enemy_skill_sets!$1:$1,0)+1),MATCH(AC$1,[3]enemy_skill_sets!$1:$1,0)-MATCH($AB$1,[3]enemy_skill_sets!$1:$1,0)+1,FALSE)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5" s="67">
        <v>1</v>
      </c>
      <c r="AE1215" s="67">
        <v>1</v>
      </c>
      <c r="AF1215" s="37">
        <v>0</v>
      </c>
      <c r="AG1215" s="99">
        <f>ROUND(VLOOKUP(1,enemy_base_stats!$A:$F,2,FALSE) * Y1215* J1215*O1215*E1215*S1215*AD1215*[2]ステータス!$B$2,0)</f>
        <v>3998</v>
      </c>
      <c r="AH1215" s="99">
        <f>ROUND(VLOOKUP(1,enemy_base_stats!$A:$F,3,FALSE) * Z1215*K1215*P1215*F1215*T1215*AE1215 * W1215*[2]ステータス!$C$2,0)</f>
        <v>281</v>
      </c>
      <c r="AI1215" s="99">
        <f>ROUND(VLOOKUP(1,enemy_base_stats!$A:$F,4,FALSE) * AA1215*L1215*Q1215*G1215*U1215*AF1215*[2]ステータス!$D$2,0)</f>
        <v>0</v>
      </c>
      <c r="AJ1215" s="99">
        <f>ROUND(VLOOKUP(100,enemy_base_stats!$A:$F,2,FALSE) * Y1215* J1215*O1215*E1215*S1215*AD1215*[2]ステータス!$B$2,0)</f>
        <v>162335</v>
      </c>
      <c r="AK1215" s="99">
        <f>ROUND(VLOOKUP(100,enemy_base_stats!$A:$F,3,FALSE)* Z1215* K1215*P1215*F1215*T1215*AE1215 * W1215*[2]ステータス!$C$2,0)</f>
        <v>11419</v>
      </c>
      <c r="AL1215" s="99">
        <f>ROUND(VLOOKUP(100,enemy_base_stats!$A:$F,4,FALSE)* AA1215* L1215*Q1215*G1215*U1215*AF1215*[2]ステータス!$D$2,0)</f>
        <v>0</v>
      </c>
      <c r="AM1215" s="97">
        <f>VLOOKUP(M1215,[2]character_tribe_i18n!$A:$I,9,FALSE)</f>
        <v>680</v>
      </c>
      <c r="AN1215" s="36">
        <v>0</v>
      </c>
      <c r="AO1215" s="53">
        <v>0</v>
      </c>
      <c r="AP1215" s="58" t="s">
        <v>72</v>
      </c>
      <c r="AQ1215" s="71">
        <f t="shared" si="64"/>
        <v>1214</v>
      </c>
    </row>
    <row r="1216" spans="1:43" ht="21" customHeight="1" x14ac:dyDescent="0.15">
      <c r="A1216" s="7">
        <v>1215</v>
      </c>
      <c r="B1216" s="6" t="str">
        <f>VLOOKUP(A1216,[2]characters!$A:$C,3,FALSE)</f>
        <v>穿潮の雷月神 アルテミス</v>
      </c>
      <c r="C1216" s="9">
        <f>VLOOKUP(A1216,[2]characters!$A:$I,9,FALSE)</f>
        <v>6</v>
      </c>
      <c r="D1216" s="9" t="str">
        <f>VLOOKUP(A1216,[2]characters!$A:$H,8,FALSE)</f>
        <v>yellow</v>
      </c>
      <c r="E1216" s="24">
        <f>VLOOKUP(D1216,[2]属性!$A:$E,2,FALSE)</f>
        <v>0.98</v>
      </c>
      <c r="F1216" s="24">
        <f>VLOOKUP(D1216,[2]属性!$A:$E,3,FALSE)</f>
        <v>1.01</v>
      </c>
      <c r="G1216" s="24">
        <f>VLOOKUP(D1216,[2]属性!$A:$F,4,FALSE)</f>
        <v>1</v>
      </c>
      <c r="H1216" s="9" t="str">
        <f>VLOOKUP(A1216,[2]characters!$A:$K,11,FALSE)</f>
        <v>balance</v>
      </c>
      <c r="I1216" s="14" t="str">
        <f>VLOOKUP(H1216,[2]character_type_i18n!$A:$F,3,FALSE)</f>
        <v>バランスタイプ</v>
      </c>
      <c r="J1216" s="36">
        <f>VLOOKUP(H1216,[2]character_type_i18n!$A:$F,4,FALSE)</f>
        <v>1</v>
      </c>
      <c r="K1216" s="36">
        <f>VLOOKUP(H1216,[2]character_type_i18n!$A:$F,5,FALSE)</f>
        <v>1</v>
      </c>
      <c r="L1216" s="36">
        <f>VLOOKUP(H1216,[2]character_type_i18n!$A:$F,6,FALSE)</f>
        <v>1</v>
      </c>
      <c r="M1216" s="9" t="str">
        <f>VLOOKUP(A1216,[2]characters!$A:$M,13,FALSE)</f>
        <v>god</v>
      </c>
      <c r="N1216" s="14" t="str">
        <f>VLOOKUP(M1216,[2]character_tribe_i18n!$A:$F,3,FALSE)</f>
        <v>ゴッド</v>
      </c>
      <c r="O1216" s="24">
        <f>VLOOKUP(M1216,[2]character_tribe_i18n!$A:$F,4,FALSE)</f>
        <v>0.96</v>
      </c>
      <c r="P1216" s="24">
        <f>VLOOKUP(M1216,[2]character_tribe_i18n!$A:$F,5,FALSE)</f>
        <v>1.02</v>
      </c>
      <c r="Q1216" s="24">
        <f>VLOOKUP(M1216,[2]character_tribe_i18n!$A:$F,6,FALSE)</f>
        <v>1</v>
      </c>
      <c r="R1216" s="25" t="s">
        <v>98</v>
      </c>
      <c r="S1216" s="24">
        <f>VLOOKUP($R1216,ラベル別係数!$A$1:$E$7,3,FALSE)</f>
        <v>5</v>
      </c>
      <c r="T1216" s="24">
        <f>VLOOKUP($R1216,ラベル別係数!$A$1:$E$7,4,FALSE)</f>
        <v>1.3</v>
      </c>
      <c r="U1216" s="24">
        <f>VLOOKUP($R1216,ラベル別係数!$A$1:$E$7,5,FALSE)</f>
        <v>0.8</v>
      </c>
      <c r="V1216" s="27">
        <v>3</v>
      </c>
      <c r="W1216" s="28">
        <f>VLOOKUP(V1216,ターン数別攻撃係数!$A$1:$B$1000,2,FALSE)</f>
        <v>1</v>
      </c>
      <c r="X1216" s="9">
        <f>VLOOKUP(C1216,サイズ別係数!A$2:B$9,2,FALSE)</f>
        <v>60</v>
      </c>
      <c r="Y1216" s="26">
        <f>VLOOKUP($X1216,サイズ別係数!$B:$E,2,FALSE)</f>
        <v>1.7</v>
      </c>
      <c r="Z1216" s="26">
        <f>VLOOKUP($X1216,サイズ別係数!$B:$E,3,FALSE)</f>
        <v>1.4</v>
      </c>
      <c r="AA1216" s="26">
        <f>VLOOKUP($X1216,サイズ別係数!$B:$E,4,FALSE)</f>
        <v>1</v>
      </c>
      <c r="AB1216" s="5">
        <v>0</v>
      </c>
      <c r="AC1216" s="34" t="str">
        <f ca="1">VLOOKUP($AB1216,OFFSET([3]enemy_skill_sets!$B$2,0,0,COUNTA([3]enemy_skill_sets!$A:$A),MATCH(AC$1,[3]enemy_skill_sets!$1:$1,0)-MATCH($AB$1,[3]enemy_skill_sets!$1:$1,0)+1),MATCH(AC$1,[3]enemy_skill_sets!$1:$1,0)-MATCH($AB$1,[3]enemy_skill_sets!$1:$1,0)+1,FALSE)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6" s="67">
        <v>1</v>
      </c>
      <c r="AE1216" s="67">
        <v>1</v>
      </c>
      <c r="AF1216" s="37">
        <v>0</v>
      </c>
      <c r="AG1216" s="99">
        <f>ROUND(VLOOKUP(1,enemy_base_stats!$A:$F,2,FALSE) * Y1216* J1216*O1216*E1216*S1216*AD1216*[2]ステータス!$B$2,0)</f>
        <v>3998</v>
      </c>
      <c r="AH1216" s="99">
        <f>ROUND(VLOOKUP(1,enemy_base_stats!$A:$F,3,FALSE) * Z1216*K1216*P1216*F1216*T1216*AE1216 * W1216*[2]ステータス!$C$2,0)</f>
        <v>281</v>
      </c>
      <c r="AI1216" s="99">
        <f>ROUND(VLOOKUP(1,enemy_base_stats!$A:$F,4,FALSE) * AA1216*L1216*Q1216*G1216*U1216*AF1216*[2]ステータス!$D$2,0)</f>
        <v>0</v>
      </c>
      <c r="AJ1216" s="99">
        <f>ROUND(VLOOKUP(100,enemy_base_stats!$A:$F,2,FALSE) * Y1216* J1216*O1216*E1216*S1216*AD1216*[2]ステータス!$B$2,0)</f>
        <v>162335</v>
      </c>
      <c r="AK1216" s="99">
        <f>ROUND(VLOOKUP(100,enemy_base_stats!$A:$F,3,FALSE)* Z1216* K1216*P1216*F1216*T1216*AE1216 * W1216*[2]ステータス!$C$2,0)</f>
        <v>11419</v>
      </c>
      <c r="AL1216" s="99">
        <f>ROUND(VLOOKUP(100,enemy_base_stats!$A:$F,4,FALSE)* AA1216* L1216*Q1216*G1216*U1216*AF1216*[2]ステータス!$D$2,0)</f>
        <v>0</v>
      </c>
      <c r="AM1216" s="97">
        <f>VLOOKUP(M1216,[2]character_tribe_i18n!$A:$I,9,FALSE)</f>
        <v>680</v>
      </c>
      <c r="AN1216" s="36">
        <v>0</v>
      </c>
      <c r="AO1216" s="53">
        <v>0</v>
      </c>
      <c r="AP1216" s="58" t="s">
        <v>72</v>
      </c>
      <c r="AQ1216" s="71">
        <f t="shared" ref="AQ1216:AQ1279" si="65">A1216</f>
        <v>1215</v>
      </c>
    </row>
    <row r="1217" spans="1:43" ht="21" customHeight="1" x14ac:dyDescent="0.15">
      <c r="A1217" s="7">
        <v>1216</v>
      </c>
      <c r="B1217" s="6" t="str">
        <f>VLOOKUP(A1217,[2]characters!$A:$C,3,FALSE)</f>
        <v>梶井基次郎</v>
      </c>
      <c r="C1217" s="9">
        <f>VLOOKUP(A1217,[2]characters!$A:$I,9,FALSE)</f>
        <v>4</v>
      </c>
      <c r="D1217" s="9" t="str">
        <f>VLOOKUP(A1217,[2]characters!$A:$H,8,FALSE)</f>
        <v>green</v>
      </c>
      <c r="E1217" s="24">
        <f>VLOOKUP(D1217,[2]属性!$A:$E,2,FALSE)</f>
        <v>1.02</v>
      </c>
      <c r="F1217" s="24">
        <f>VLOOKUP(D1217,[2]属性!$A:$E,3,FALSE)</f>
        <v>0.98</v>
      </c>
      <c r="G1217" s="24">
        <f>VLOOKUP(D1217,[2]属性!$A:$F,4,FALSE)</f>
        <v>1</v>
      </c>
      <c r="H1217" s="9" t="str">
        <f>VLOOKUP(A1217,[2]characters!$A:$K,11,FALSE)</f>
        <v>attack</v>
      </c>
      <c r="I1217" s="14" t="str">
        <f>VLOOKUP(H1217,[2]character_type_i18n!$A:$F,3,FALSE)</f>
        <v>攻撃タイプ</v>
      </c>
      <c r="J1217" s="36">
        <f>VLOOKUP(H1217,[2]character_type_i18n!$A:$F,4,FALSE)</f>
        <v>1</v>
      </c>
      <c r="K1217" s="36">
        <f>VLOOKUP(H1217,[2]character_type_i18n!$A:$F,5,FALSE)</f>
        <v>1.33</v>
      </c>
      <c r="L1217" s="36">
        <f>VLOOKUP(H1217,[2]character_type_i18n!$A:$F,6,FALSE)</f>
        <v>1</v>
      </c>
      <c r="M1217" s="9" t="str">
        <f>VLOOKUP(A1217,[2]characters!$A:$M,13,FALSE)</f>
        <v>human</v>
      </c>
      <c r="N1217" s="14" t="str">
        <f>VLOOKUP(M1217,[2]character_tribe_i18n!$A:$F,3,FALSE)</f>
        <v>ヒューマン</v>
      </c>
      <c r="O1217" s="24">
        <f>VLOOKUP(M1217,[2]character_tribe_i18n!$A:$F,4,FALSE)</f>
        <v>0.94</v>
      </c>
      <c r="P1217" s="24">
        <f>VLOOKUP(M1217,[2]character_tribe_i18n!$A:$F,5,FALSE)</f>
        <v>0.99</v>
      </c>
      <c r="Q1217" s="24">
        <f>VLOOKUP(M1217,[2]character_tribe_i18n!$A:$F,6,FALSE)</f>
        <v>1</v>
      </c>
      <c r="R1217" s="25" t="s">
        <v>98</v>
      </c>
      <c r="S1217" s="24">
        <f>VLOOKUP($R1217,ラベル別係数!$A$1:$E$7,3,FALSE)</f>
        <v>5</v>
      </c>
      <c r="T1217" s="24">
        <f>VLOOKUP($R1217,ラベル別係数!$A$1:$E$7,4,FALSE)</f>
        <v>1.3</v>
      </c>
      <c r="U1217" s="24">
        <f>VLOOKUP($R1217,ラベル別係数!$A$1:$E$7,5,FALSE)</f>
        <v>0.8</v>
      </c>
      <c r="V1217" s="27">
        <v>3</v>
      </c>
      <c r="W1217" s="28">
        <f>VLOOKUP(V1217,ターン数別攻撃係数!$A$1:$B$1000,2,FALSE)</f>
        <v>1</v>
      </c>
      <c r="X1217" s="9">
        <f>VLOOKUP(C1217,サイズ別係数!A$2:B$9,2,FALSE)</f>
        <v>30</v>
      </c>
      <c r="Y1217" s="26">
        <f>VLOOKUP($X1217,サイズ別係数!$B:$E,2,FALSE)</f>
        <v>1.3</v>
      </c>
      <c r="Z1217" s="26">
        <f>VLOOKUP($X1217,サイズ別係数!$B:$E,3,FALSE)</f>
        <v>1.3</v>
      </c>
      <c r="AA1217" s="26">
        <f>VLOOKUP($X1217,サイズ別係数!$B:$E,4,FALSE)</f>
        <v>1.1000000000000001</v>
      </c>
      <c r="AB1217" s="5">
        <v>0</v>
      </c>
      <c r="AC1217" s="34" t="str">
        <f ca="1">VLOOKUP($AB1217,OFFSET([3]enemy_skill_sets!$B$2,0,0,COUNTA([3]enemy_skill_sets!$A:$A),MATCH(AC$1,[3]enemy_skill_sets!$1:$1,0)-MATCH($AB$1,[3]enemy_skill_sets!$1:$1,0)+1),MATCH(AC$1,[3]enemy_skill_sets!$1:$1,0)-MATCH($AB$1,[3]enemy_skill_sets!$1:$1,0)+1,FALSE)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7" s="67">
        <v>1</v>
      </c>
      <c r="AE1217" s="67">
        <v>1</v>
      </c>
      <c r="AF1217" s="37">
        <v>0</v>
      </c>
      <c r="AG1217" s="99">
        <f>ROUND(VLOOKUP(1,enemy_base_stats!$A:$F,2,FALSE) * Y1217* J1217*O1217*E1217*S1217*AD1217*[2]ステータス!$B$2,0)</f>
        <v>3116</v>
      </c>
      <c r="AH1217" s="99">
        <f>ROUND(VLOOKUP(1,enemy_base_stats!$A:$F,3,FALSE) * Z1217*K1217*P1217*F1217*T1217*AE1217 * W1217*[2]ステータス!$C$2,0)</f>
        <v>327</v>
      </c>
      <c r="AI1217" s="99">
        <f>ROUND(VLOOKUP(1,enemy_base_stats!$A:$F,4,FALSE) * AA1217*L1217*Q1217*G1217*U1217*AF1217*[2]ステータス!$D$2,0)</f>
        <v>0</v>
      </c>
      <c r="AJ1217" s="99">
        <f>ROUND(VLOOKUP(100,enemy_base_stats!$A:$F,2,FALSE) * Y1217* J1217*O1217*E1217*S1217*AD1217*[2]ステータス!$B$2,0)</f>
        <v>126514</v>
      </c>
      <c r="AK1217" s="99">
        <f>ROUND(VLOOKUP(100,enemy_base_stats!$A:$F,3,FALSE)* Z1217* K1217*P1217*F1217*T1217*AE1217 * W1217*[2]ステータス!$C$2,0)</f>
        <v>13281</v>
      </c>
      <c r="AL1217" s="99">
        <f>ROUND(VLOOKUP(100,enemy_base_stats!$A:$F,4,FALSE)* AA1217* L1217*Q1217*G1217*U1217*AF1217*[2]ステータス!$D$2,0)</f>
        <v>0</v>
      </c>
      <c r="AM1217" s="97">
        <f>VLOOKUP(M1217,[2]character_tribe_i18n!$A:$I,9,FALSE)</f>
        <v>400</v>
      </c>
      <c r="AN1217" s="36">
        <v>0</v>
      </c>
      <c r="AO1217" s="53">
        <v>0</v>
      </c>
      <c r="AP1217" s="58" t="s">
        <v>72</v>
      </c>
      <c r="AQ1217" s="71">
        <f t="shared" si="65"/>
        <v>1216</v>
      </c>
    </row>
    <row r="1218" spans="1:43" ht="21" customHeight="1" x14ac:dyDescent="0.15">
      <c r="A1218" s="7">
        <v>1217</v>
      </c>
      <c r="B1218" s="6" t="str">
        <f>VLOOKUP(A1218,[2]characters!$A:$C,3,FALSE)</f>
        <v>鮮彩の鬱情 梶井基次郎</v>
      </c>
      <c r="C1218" s="9">
        <f>VLOOKUP(A1218,[2]characters!$A:$I,9,FALSE)</f>
        <v>5</v>
      </c>
      <c r="D1218" s="9" t="str">
        <f>VLOOKUP(A1218,[2]characters!$A:$H,8,FALSE)</f>
        <v>green</v>
      </c>
      <c r="E1218" s="24">
        <f>VLOOKUP(D1218,[2]属性!$A:$E,2,FALSE)</f>
        <v>1.02</v>
      </c>
      <c r="F1218" s="24">
        <f>VLOOKUP(D1218,[2]属性!$A:$E,3,FALSE)</f>
        <v>0.98</v>
      </c>
      <c r="G1218" s="24">
        <f>VLOOKUP(D1218,[2]属性!$A:$F,4,FALSE)</f>
        <v>1</v>
      </c>
      <c r="H1218" s="9" t="str">
        <f>VLOOKUP(A1218,[2]characters!$A:$K,11,FALSE)</f>
        <v>attack</v>
      </c>
      <c r="I1218" s="14" t="str">
        <f>VLOOKUP(H1218,[2]character_type_i18n!$A:$F,3,FALSE)</f>
        <v>攻撃タイプ</v>
      </c>
      <c r="J1218" s="36">
        <f>VLOOKUP(H1218,[2]character_type_i18n!$A:$F,4,FALSE)</f>
        <v>1</v>
      </c>
      <c r="K1218" s="36">
        <f>VLOOKUP(H1218,[2]character_type_i18n!$A:$F,5,FALSE)</f>
        <v>1.33</v>
      </c>
      <c r="L1218" s="36">
        <f>VLOOKUP(H1218,[2]character_type_i18n!$A:$F,6,FALSE)</f>
        <v>1</v>
      </c>
      <c r="M1218" s="9" t="str">
        <f>VLOOKUP(A1218,[2]characters!$A:$M,13,FALSE)</f>
        <v>human</v>
      </c>
      <c r="N1218" s="14" t="str">
        <f>VLOOKUP(M1218,[2]character_tribe_i18n!$A:$F,3,FALSE)</f>
        <v>ヒューマン</v>
      </c>
      <c r="O1218" s="24">
        <f>VLOOKUP(M1218,[2]character_tribe_i18n!$A:$F,4,FALSE)</f>
        <v>0.94</v>
      </c>
      <c r="P1218" s="24">
        <f>VLOOKUP(M1218,[2]character_tribe_i18n!$A:$F,5,FALSE)</f>
        <v>0.99</v>
      </c>
      <c r="Q1218" s="24">
        <f>VLOOKUP(M1218,[2]character_tribe_i18n!$A:$F,6,FALSE)</f>
        <v>1</v>
      </c>
      <c r="R1218" s="25" t="s">
        <v>98</v>
      </c>
      <c r="S1218" s="24">
        <f>VLOOKUP($R1218,ラベル別係数!$A$1:$E$7,3,FALSE)</f>
        <v>5</v>
      </c>
      <c r="T1218" s="24">
        <f>VLOOKUP($R1218,ラベル別係数!$A$1:$E$7,4,FALSE)</f>
        <v>1.3</v>
      </c>
      <c r="U1218" s="24">
        <f>VLOOKUP($R1218,ラベル別係数!$A$1:$E$7,5,FALSE)</f>
        <v>0.8</v>
      </c>
      <c r="V1218" s="27">
        <v>3</v>
      </c>
      <c r="W1218" s="28">
        <f>VLOOKUP(V1218,ターン数別攻撃係数!$A$1:$B$1000,2,FALSE)</f>
        <v>1</v>
      </c>
      <c r="X1218" s="9">
        <f>VLOOKUP(C1218,サイズ別係数!A$2:B$9,2,FALSE)</f>
        <v>60</v>
      </c>
      <c r="Y1218" s="26">
        <f>VLOOKUP($X1218,サイズ別係数!$B:$E,2,FALSE)</f>
        <v>1.7</v>
      </c>
      <c r="Z1218" s="26">
        <f>VLOOKUP($X1218,サイズ別係数!$B:$E,3,FALSE)</f>
        <v>1.4</v>
      </c>
      <c r="AA1218" s="26">
        <f>VLOOKUP($X1218,サイズ別係数!$B:$E,4,FALSE)</f>
        <v>1</v>
      </c>
      <c r="AB1218" s="5">
        <v>0</v>
      </c>
      <c r="AC1218" s="34" t="str">
        <f ca="1">VLOOKUP($AB1218,OFFSET([3]enemy_skill_sets!$B$2,0,0,COUNTA([3]enemy_skill_sets!$A:$A),MATCH(AC$1,[3]enemy_skill_sets!$1:$1,0)-MATCH($AB$1,[3]enemy_skill_sets!$1:$1,0)+1),MATCH(AC$1,[3]enemy_skill_sets!$1:$1,0)-MATCH($AB$1,[3]enemy_skill_sets!$1:$1,0)+1,FALSE)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8" s="67">
        <v>1</v>
      </c>
      <c r="AE1218" s="67">
        <v>1</v>
      </c>
      <c r="AF1218" s="37">
        <v>0</v>
      </c>
      <c r="AG1218" s="99">
        <f>ROUND(VLOOKUP(1,enemy_base_stats!$A:$F,2,FALSE) * Y1218* J1218*O1218*E1218*S1218*AD1218*[2]ステータス!$B$2,0)</f>
        <v>4075</v>
      </c>
      <c r="AH1218" s="99">
        <f>ROUND(VLOOKUP(1,enemy_base_stats!$A:$F,3,FALSE) * Z1218*K1218*P1218*F1218*T1218*AE1218 * W1218*[2]ステータス!$C$2,0)</f>
        <v>352</v>
      </c>
      <c r="AI1218" s="99">
        <f>ROUND(VLOOKUP(1,enemy_base_stats!$A:$F,4,FALSE) * AA1218*L1218*Q1218*G1218*U1218*AF1218*[2]ステータス!$D$2,0)</f>
        <v>0</v>
      </c>
      <c r="AJ1218" s="99">
        <f>ROUND(VLOOKUP(100,enemy_base_stats!$A:$F,2,FALSE) * Y1218* J1218*O1218*E1218*S1218*AD1218*[2]ステータス!$B$2,0)</f>
        <v>165441</v>
      </c>
      <c r="AK1218" s="99">
        <f>ROUND(VLOOKUP(100,enemy_base_stats!$A:$F,3,FALSE)* Z1218* K1218*P1218*F1218*T1218*AE1218 * W1218*[2]ステータス!$C$2,0)</f>
        <v>14302</v>
      </c>
      <c r="AL1218" s="99">
        <f>ROUND(VLOOKUP(100,enemy_base_stats!$A:$F,4,FALSE)* AA1218* L1218*Q1218*G1218*U1218*AF1218*[2]ステータス!$D$2,0)</f>
        <v>0</v>
      </c>
      <c r="AM1218" s="97">
        <f>VLOOKUP(M1218,[2]character_tribe_i18n!$A:$I,9,FALSE)</f>
        <v>400</v>
      </c>
      <c r="AN1218" s="36">
        <v>0</v>
      </c>
      <c r="AO1218" s="53">
        <v>0</v>
      </c>
      <c r="AP1218" s="58" t="s">
        <v>72</v>
      </c>
      <c r="AQ1218" s="71">
        <f t="shared" si="65"/>
        <v>1217</v>
      </c>
    </row>
    <row r="1219" spans="1:43" ht="21" customHeight="1" x14ac:dyDescent="0.15">
      <c r="A1219" s="7">
        <v>1218</v>
      </c>
      <c r="B1219" s="6" t="str">
        <f>VLOOKUP(A1219,[2]characters!$A:$C,3,FALSE)</f>
        <v>太宰治</v>
      </c>
      <c r="C1219" s="9">
        <f>VLOOKUP(A1219,[2]characters!$A:$I,9,FALSE)</f>
        <v>5</v>
      </c>
      <c r="D1219" s="9" t="str">
        <f>VLOOKUP(A1219,[2]characters!$A:$H,8,FALSE)</f>
        <v>blue</v>
      </c>
      <c r="E1219" s="24">
        <f>VLOOKUP(D1219,[2]属性!$A:$E,2,FALSE)</f>
        <v>1</v>
      </c>
      <c r="F1219" s="24">
        <f>VLOOKUP(D1219,[2]属性!$A:$E,3,FALSE)</f>
        <v>0.98</v>
      </c>
      <c r="G1219" s="24">
        <f>VLOOKUP(D1219,[2]属性!$A:$F,4,FALSE)</f>
        <v>1</v>
      </c>
      <c r="H1219" s="9" t="str">
        <f>VLOOKUP(A1219,[2]characters!$A:$K,11,FALSE)</f>
        <v>hp</v>
      </c>
      <c r="I1219" s="14" t="str">
        <f>VLOOKUP(H1219,[2]character_type_i18n!$A:$F,3,FALSE)</f>
        <v>体力タイプ</v>
      </c>
      <c r="J1219" s="36">
        <f>VLOOKUP(H1219,[2]character_type_i18n!$A:$F,4,FALSE)</f>
        <v>1.45</v>
      </c>
      <c r="K1219" s="36">
        <f>VLOOKUP(H1219,[2]character_type_i18n!$A:$F,5,FALSE)</f>
        <v>0.85</v>
      </c>
      <c r="L1219" s="36">
        <f>VLOOKUP(H1219,[2]character_type_i18n!$A:$F,6,FALSE)</f>
        <v>1</v>
      </c>
      <c r="M1219" s="9" t="str">
        <f>VLOOKUP(A1219,[2]characters!$A:$M,13,FALSE)</f>
        <v>human</v>
      </c>
      <c r="N1219" s="14" t="str">
        <f>VLOOKUP(M1219,[2]character_tribe_i18n!$A:$F,3,FALSE)</f>
        <v>ヒューマン</v>
      </c>
      <c r="O1219" s="24">
        <f>VLOOKUP(M1219,[2]character_tribe_i18n!$A:$F,4,FALSE)</f>
        <v>0.94</v>
      </c>
      <c r="P1219" s="24">
        <f>VLOOKUP(M1219,[2]character_tribe_i18n!$A:$F,5,FALSE)</f>
        <v>0.99</v>
      </c>
      <c r="Q1219" s="24">
        <f>VLOOKUP(M1219,[2]character_tribe_i18n!$A:$F,6,FALSE)</f>
        <v>1</v>
      </c>
      <c r="R1219" s="25" t="s">
        <v>98</v>
      </c>
      <c r="S1219" s="24">
        <f>VLOOKUP($R1219,ラベル別係数!$A$1:$E$7,3,FALSE)</f>
        <v>5</v>
      </c>
      <c r="T1219" s="24">
        <f>VLOOKUP($R1219,ラベル別係数!$A$1:$E$7,4,FALSE)</f>
        <v>1.3</v>
      </c>
      <c r="U1219" s="24">
        <f>VLOOKUP($R1219,ラベル別係数!$A$1:$E$7,5,FALSE)</f>
        <v>0.8</v>
      </c>
      <c r="V1219" s="27">
        <v>3</v>
      </c>
      <c r="W1219" s="28">
        <f>VLOOKUP(V1219,ターン数別攻撃係数!$A$1:$B$1000,2,FALSE)</f>
        <v>1</v>
      </c>
      <c r="X1219" s="9">
        <f>VLOOKUP(C1219,サイズ別係数!A$2:B$9,2,FALSE)</f>
        <v>60</v>
      </c>
      <c r="Y1219" s="26">
        <f>VLOOKUP($X1219,サイズ別係数!$B:$E,2,FALSE)</f>
        <v>1.7</v>
      </c>
      <c r="Z1219" s="26">
        <f>VLOOKUP($X1219,サイズ別係数!$B:$E,3,FALSE)</f>
        <v>1.4</v>
      </c>
      <c r="AA1219" s="26">
        <f>VLOOKUP($X1219,サイズ別係数!$B:$E,4,FALSE)</f>
        <v>1</v>
      </c>
      <c r="AB1219" s="5">
        <v>0</v>
      </c>
      <c r="AC1219" s="34" t="str">
        <f ca="1">VLOOKUP($AB1219,OFFSET([3]enemy_skill_sets!$B$2,0,0,COUNTA([3]enemy_skill_sets!$A:$A),MATCH(AC$1,[3]enemy_skill_sets!$1:$1,0)-MATCH($AB$1,[3]enemy_skill_sets!$1:$1,0)+1),MATCH(AC$1,[3]enemy_skill_sets!$1:$1,0)-MATCH($AB$1,[3]enemy_skill_sets!$1:$1,0)+1,FALSE)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19" s="67">
        <v>1</v>
      </c>
      <c r="AE1219" s="67">
        <v>1</v>
      </c>
      <c r="AF1219" s="37">
        <v>0</v>
      </c>
      <c r="AG1219" s="99">
        <f>ROUND(VLOOKUP(1,enemy_base_stats!$A:$F,2,FALSE) * Y1219* J1219*O1219*E1219*S1219*AD1219*[2]ステータス!$B$2,0)</f>
        <v>5793</v>
      </c>
      <c r="AH1219" s="99">
        <f>ROUND(VLOOKUP(1,enemy_base_stats!$A:$F,3,FALSE) * Z1219*K1219*P1219*F1219*T1219*AE1219 * W1219*[2]ステータス!$C$2,0)</f>
        <v>225</v>
      </c>
      <c r="AI1219" s="99">
        <f>ROUND(VLOOKUP(1,enemy_base_stats!$A:$F,4,FALSE) * AA1219*L1219*Q1219*G1219*U1219*AF1219*[2]ステータス!$D$2,0)</f>
        <v>0</v>
      </c>
      <c r="AJ1219" s="99">
        <f>ROUND(VLOOKUP(100,enemy_base_stats!$A:$F,2,FALSE) * Y1219* J1219*O1219*E1219*S1219*AD1219*[2]ステータス!$B$2,0)</f>
        <v>235186</v>
      </c>
      <c r="AK1219" s="99">
        <f>ROUND(VLOOKUP(100,enemy_base_stats!$A:$F,3,FALSE)* Z1219* K1219*P1219*F1219*T1219*AE1219 * W1219*[2]ステータス!$C$2,0)</f>
        <v>9140</v>
      </c>
      <c r="AL1219" s="99">
        <f>ROUND(VLOOKUP(100,enemy_base_stats!$A:$F,4,FALSE)* AA1219* L1219*Q1219*G1219*U1219*AF1219*[2]ステータス!$D$2,0)</f>
        <v>0</v>
      </c>
      <c r="AM1219" s="97">
        <f>VLOOKUP(M1219,[2]character_tribe_i18n!$A:$I,9,FALSE)</f>
        <v>400</v>
      </c>
      <c r="AN1219" s="36">
        <v>0</v>
      </c>
      <c r="AO1219" s="53">
        <v>0</v>
      </c>
      <c r="AP1219" s="58" t="s">
        <v>72</v>
      </c>
      <c r="AQ1219" s="71">
        <f t="shared" si="65"/>
        <v>1218</v>
      </c>
    </row>
    <row r="1220" spans="1:43" ht="21" customHeight="1" x14ac:dyDescent="0.15">
      <c r="A1220" s="7">
        <v>1219</v>
      </c>
      <c r="B1220" s="6" t="str">
        <f>VLOOKUP(A1220,[2]characters!$A:$C,3,FALSE)</f>
        <v>世絶の失格者 太宰治</v>
      </c>
      <c r="C1220" s="9">
        <f>VLOOKUP(A1220,[2]characters!$A:$I,9,FALSE)</f>
        <v>6</v>
      </c>
      <c r="D1220" s="9" t="str">
        <f>VLOOKUP(A1220,[2]characters!$A:$H,8,FALSE)</f>
        <v>blue</v>
      </c>
      <c r="E1220" s="24">
        <f>VLOOKUP(D1220,[2]属性!$A:$E,2,FALSE)</f>
        <v>1</v>
      </c>
      <c r="F1220" s="24">
        <f>VLOOKUP(D1220,[2]属性!$A:$E,3,FALSE)</f>
        <v>0.98</v>
      </c>
      <c r="G1220" s="24">
        <f>VLOOKUP(D1220,[2]属性!$A:$F,4,FALSE)</f>
        <v>1</v>
      </c>
      <c r="H1220" s="9" t="str">
        <f>VLOOKUP(A1220,[2]characters!$A:$K,11,FALSE)</f>
        <v>hp</v>
      </c>
      <c r="I1220" s="14" t="str">
        <f>VLOOKUP(H1220,[2]character_type_i18n!$A:$F,3,FALSE)</f>
        <v>体力タイプ</v>
      </c>
      <c r="J1220" s="36">
        <f>VLOOKUP(H1220,[2]character_type_i18n!$A:$F,4,FALSE)</f>
        <v>1.45</v>
      </c>
      <c r="K1220" s="36">
        <f>VLOOKUP(H1220,[2]character_type_i18n!$A:$F,5,FALSE)</f>
        <v>0.85</v>
      </c>
      <c r="L1220" s="36">
        <f>VLOOKUP(H1220,[2]character_type_i18n!$A:$F,6,FALSE)</f>
        <v>1</v>
      </c>
      <c r="M1220" s="9" t="str">
        <f>VLOOKUP(A1220,[2]characters!$A:$M,13,FALSE)</f>
        <v>human</v>
      </c>
      <c r="N1220" s="14" t="str">
        <f>VLOOKUP(M1220,[2]character_tribe_i18n!$A:$F,3,FALSE)</f>
        <v>ヒューマン</v>
      </c>
      <c r="O1220" s="24">
        <f>VLOOKUP(M1220,[2]character_tribe_i18n!$A:$F,4,FALSE)</f>
        <v>0.94</v>
      </c>
      <c r="P1220" s="24">
        <f>VLOOKUP(M1220,[2]character_tribe_i18n!$A:$F,5,FALSE)</f>
        <v>0.99</v>
      </c>
      <c r="Q1220" s="24">
        <f>VLOOKUP(M1220,[2]character_tribe_i18n!$A:$F,6,FALSE)</f>
        <v>1</v>
      </c>
      <c r="R1220" s="25" t="s">
        <v>98</v>
      </c>
      <c r="S1220" s="24">
        <f>VLOOKUP($R1220,ラベル別係数!$A$1:$E$7,3,FALSE)</f>
        <v>5</v>
      </c>
      <c r="T1220" s="24">
        <f>VLOOKUP($R1220,ラベル別係数!$A$1:$E$7,4,FALSE)</f>
        <v>1.3</v>
      </c>
      <c r="U1220" s="24">
        <f>VLOOKUP($R1220,ラベル別係数!$A$1:$E$7,5,FALSE)</f>
        <v>0.8</v>
      </c>
      <c r="V1220" s="27">
        <v>3</v>
      </c>
      <c r="W1220" s="28">
        <f>VLOOKUP(V1220,ターン数別攻撃係数!$A$1:$B$1000,2,FALSE)</f>
        <v>1</v>
      </c>
      <c r="X1220" s="9">
        <f>VLOOKUP(C1220,サイズ別係数!A$2:B$9,2,FALSE)</f>
        <v>60</v>
      </c>
      <c r="Y1220" s="26">
        <f>VLOOKUP($X1220,サイズ別係数!$B:$E,2,FALSE)</f>
        <v>1.7</v>
      </c>
      <c r="Z1220" s="26">
        <f>VLOOKUP($X1220,サイズ別係数!$B:$E,3,FALSE)</f>
        <v>1.4</v>
      </c>
      <c r="AA1220" s="26">
        <f>VLOOKUP($X1220,サイズ別係数!$B:$E,4,FALSE)</f>
        <v>1</v>
      </c>
      <c r="AB1220" s="5">
        <v>0</v>
      </c>
      <c r="AC1220" s="34" t="str">
        <f ca="1">VLOOKUP($AB1220,OFFSET([3]enemy_skill_sets!$B$2,0,0,COUNTA([3]enemy_skill_sets!$A:$A),MATCH(AC$1,[3]enemy_skill_sets!$1:$1,0)-MATCH($AB$1,[3]enemy_skill_sets!$1:$1,0)+1),MATCH(AC$1,[3]enemy_skill_sets!$1:$1,0)-MATCH($AB$1,[3]enemy_skill_sets!$1:$1,0)+1,FALSE)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0" s="67">
        <v>1</v>
      </c>
      <c r="AE1220" s="67">
        <v>1</v>
      </c>
      <c r="AF1220" s="37">
        <v>0</v>
      </c>
      <c r="AG1220" s="99">
        <f>ROUND(VLOOKUP(1,enemy_base_stats!$A:$F,2,FALSE) * Y1220* J1220*O1220*E1220*S1220*AD1220*[2]ステータス!$B$2,0)</f>
        <v>5793</v>
      </c>
      <c r="AH1220" s="99">
        <f>ROUND(VLOOKUP(1,enemy_base_stats!$A:$F,3,FALSE) * Z1220*K1220*P1220*F1220*T1220*AE1220 * W1220*[2]ステータス!$C$2,0)</f>
        <v>225</v>
      </c>
      <c r="AI1220" s="99">
        <f>ROUND(VLOOKUP(1,enemy_base_stats!$A:$F,4,FALSE) * AA1220*L1220*Q1220*G1220*U1220*AF1220*[2]ステータス!$D$2,0)</f>
        <v>0</v>
      </c>
      <c r="AJ1220" s="99">
        <f>ROUND(VLOOKUP(100,enemy_base_stats!$A:$F,2,FALSE) * Y1220* J1220*O1220*E1220*S1220*AD1220*[2]ステータス!$B$2,0)</f>
        <v>235186</v>
      </c>
      <c r="AK1220" s="99">
        <f>ROUND(VLOOKUP(100,enemy_base_stats!$A:$F,3,FALSE)* Z1220* K1220*P1220*F1220*T1220*AE1220 * W1220*[2]ステータス!$C$2,0)</f>
        <v>9140</v>
      </c>
      <c r="AL1220" s="99">
        <f>ROUND(VLOOKUP(100,enemy_base_stats!$A:$F,4,FALSE)* AA1220* L1220*Q1220*G1220*U1220*AF1220*[2]ステータス!$D$2,0)</f>
        <v>0</v>
      </c>
      <c r="AM1220" s="97">
        <f>VLOOKUP(M1220,[2]character_tribe_i18n!$A:$I,9,FALSE)</f>
        <v>400</v>
      </c>
      <c r="AN1220" s="36">
        <v>0</v>
      </c>
      <c r="AO1220" s="53">
        <v>0</v>
      </c>
      <c r="AP1220" s="58" t="s">
        <v>72</v>
      </c>
      <c r="AQ1220" s="71">
        <f t="shared" si="65"/>
        <v>1219</v>
      </c>
    </row>
    <row r="1221" spans="1:43" ht="21" customHeight="1" x14ac:dyDescent="0.15">
      <c r="A1221" s="7">
        <v>1220</v>
      </c>
      <c r="B1221" s="6" t="str">
        <f>VLOOKUP(A1221,[2]characters!$A:$C,3,FALSE)</f>
        <v>シェイクスピア</v>
      </c>
      <c r="C1221" s="9">
        <f>VLOOKUP(A1221,[2]characters!$A:$I,9,FALSE)</f>
        <v>5</v>
      </c>
      <c r="D1221" s="9" t="str">
        <f>VLOOKUP(A1221,[2]characters!$A:$H,8,FALSE)</f>
        <v>yellow</v>
      </c>
      <c r="E1221" s="24">
        <f>VLOOKUP(D1221,[2]属性!$A:$E,2,FALSE)</f>
        <v>0.98</v>
      </c>
      <c r="F1221" s="24">
        <f>VLOOKUP(D1221,[2]属性!$A:$E,3,FALSE)</f>
        <v>1.01</v>
      </c>
      <c r="G1221" s="24">
        <f>VLOOKUP(D1221,[2]属性!$A:$F,4,FALSE)</f>
        <v>1</v>
      </c>
      <c r="H1221" s="9" t="str">
        <f>VLOOKUP(A1221,[2]characters!$A:$K,11,FALSE)</f>
        <v>balance</v>
      </c>
      <c r="I1221" s="14" t="str">
        <f>VLOOKUP(H1221,[2]character_type_i18n!$A:$F,3,FALSE)</f>
        <v>バランスタイプ</v>
      </c>
      <c r="J1221" s="36">
        <f>VLOOKUP(H1221,[2]character_type_i18n!$A:$F,4,FALSE)</f>
        <v>1</v>
      </c>
      <c r="K1221" s="36">
        <f>VLOOKUP(H1221,[2]character_type_i18n!$A:$F,5,FALSE)</f>
        <v>1</v>
      </c>
      <c r="L1221" s="36">
        <f>VLOOKUP(H1221,[2]character_type_i18n!$A:$F,6,FALSE)</f>
        <v>1</v>
      </c>
      <c r="M1221" s="9" t="str">
        <f>VLOOKUP(A1221,[2]characters!$A:$M,13,FALSE)</f>
        <v>human</v>
      </c>
      <c r="N1221" s="14" t="str">
        <f>VLOOKUP(M1221,[2]character_tribe_i18n!$A:$F,3,FALSE)</f>
        <v>ヒューマン</v>
      </c>
      <c r="O1221" s="24">
        <f>VLOOKUP(M1221,[2]character_tribe_i18n!$A:$F,4,FALSE)</f>
        <v>0.94</v>
      </c>
      <c r="P1221" s="24">
        <f>VLOOKUP(M1221,[2]character_tribe_i18n!$A:$F,5,FALSE)</f>
        <v>0.99</v>
      </c>
      <c r="Q1221" s="24">
        <f>VLOOKUP(M1221,[2]character_tribe_i18n!$A:$F,6,FALSE)</f>
        <v>1</v>
      </c>
      <c r="R1221" s="25" t="s">
        <v>98</v>
      </c>
      <c r="S1221" s="24">
        <f>VLOOKUP($R1221,ラベル別係数!$A$1:$E$7,3,FALSE)</f>
        <v>5</v>
      </c>
      <c r="T1221" s="24">
        <f>VLOOKUP($R1221,ラベル別係数!$A$1:$E$7,4,FALSE)</f>
        <v>1.3</v>
      </c>
      <c r="U1221" s="24">
        <f>VLOOKUP($R1221,ラベル別係数!$A$1:$E$7,5,FALSE)</f>
        <v>0.8</v>
      </c>
      <c r="V1221" s="27">
        <v>3</v>
      </c>
      <c r="W1221" s="28">
        <f>VLOOKUP(V1221,ターン数別攻撃係数!$A$1:$B$1000,2,FALSE)</f>
        <v>1</v>
      </c>
      <c r="X1221" s="9">
        <f>VLOOKUP(C1221,サイズ別係数!A$2:B$9,2,FALSE)</f>
        <v>60</v>
      </c>
      <c r="Y1221" s="26">
        <f>VLOOKUP($X1221,サイズ別係数!$B:$E,2,FALSE)</f>
        <v>1.7</v>
      </c>
      <c r="Z1221" s="26">
        <f>VLOOKUP($X1221,サイズ別係数!$B:$E,3,FALSE)</f>
        <v>1.4</v>
      </c>
      <c r="AA1221" s="26">
        <f>VLOOKUP($X1221,サイズ別係数!$B:$E,4,FALSE)</f>
        <v>1</v>
      </c>
      <c r="AB1221" s="5">
        <v>0</v>
      </c>
      <c r="AC1221" s="34" t="str">
        <f ca="1">VLOOKUP($AB1221,OFFSET([3]enemy_skill_sets!$B$2,0,0,COUNTA([3]enemy_skill_sets!$A:$A),MATCH(AC$1,[3]enemy_skill_sets!$1:$1,0)-MATCH($AB$1,[3]enemy_skill_sets!$1:$1,0)+1),MATCH(AC$1,[3]enemy_skill_sets!$1:$1,0)-MATCH($AB$1,[3]enemy_skill_sets!$1:$1,0)+1,FALSE)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1" s="67">
        <v>1</v>
      </c>
      <c r="AE1221" s="67">
        <v>1</v>
      </c>
      <c r="AF1221" s="37">
        <v>0</v>
      </c>
      <c r="AG1221" s="99">
        <f>ROUND(VLOOKUP(1,enemy_base_stats!$A:$F,2,FALSE) * Y1221* J1221*O1221*E1221*S1221*AD1221*[2]ステータス!$B$2,0)</f>
        <v>3915</v>
      </c>
      <c r="AH1221" s="99">
        <f>ROUND(VLOOKUP(1,enemy_base_stats!$A:$F,3,FALSE) * Z1221*K1221*P1221*F1221*T1221*AE1221 * W1221*[2]ステータス!$C$2,0)</f>
        <v>273</v>
      </c>
      <c r="AI1221" s="99">
        <f>ROUND(VLOOKUP(1,enemy_base_stats!$A:$F,4,FALSE) * AA1221*L1221*Q1221*G1221*U1221*AF1221*[2]ステータス!$D$2,0)</f>
        <v>0</v>
      </c>
      <c r="AJ1221" s="99">
        <f>ROUND(VLOOKUP(100,enemy_base_stats!$A:$F,2,FALSE) * Y1221* J1221*O1221*E1221*S1221*AD1221*[2]ステータス!$B$2,0)</f>
        <v>158953</v>
      </c>
      <c r="AK1221" s="99">
        <f>ROUND(VLOOKUP(100,enemy_base_stats!$A:$F,3,FALSE)* Z1221* K1221*P1221*F1221*T1221*AE1221 * W1221*[2]ステータス!$C$2,0)</f>
        <v>11083</v>
      </c>
      <c r="AL1221" s="99">
        <f>ROUND(VLOOKUP(100,enemy_base_stats!$A:$F,4,FALSE)* AA1221* L1221*Q1221*G1221*U1221*AF1221*[2]ステータス!$D$2,0)</f>
        <v>0</v>
      </c>
      <c r="AM1221" s="97">
        <f>VLOOKUP(M1221,[2]character_tribe_i18n!$A:$I,9,FALSE)</f>
        <v>400</v>
      </c>
      <c r="AN1221" s="36">
        <v>0</v>
      </c>
      <c r="AO1221" s="53">
        <v>0</v>
      </c>
      <c r="AP1221" s="58" t="s">
        <v>72</v>
      </c>
      <c r="AQ1221" s="71">
        <f t="shared" si="65"/>
        <v>1220</v>
      </c>
    </row>
    <row r="1222" spans="1:43" ht="21" customHeight="1" x14ac:dyDescent="0.15">
      <c r="A1222" s="7">
        <v>1221</v>
      </c>
      <c r="B1222" s="6" t="str">
        <f>VLOOKUP(A1222,[2]characters!$A:$C,3,FALSE)</f>
        <v>命愛の恋劇家 シェイクスピア</v>
      </c>
      <c r="C1222" s="9">
        <f>VLOOKUP(A1222,[2]characters!$A:$I,9,FALSE)</f>
        <v>6</v>
      </c>
      <c r="D1222" s="9" t="str">
        <f>VLOOKUP(A1222,[2]characters!$A:$H,8,FALSE)</f>
        <v>yellow</v>
      </c>
      <c r="E1222" s="24">
        <f>VLOOKUP(D1222,[2]属性!$A:$E,2,FALSE)</f>
        <v>0.98</v>
      </c>
      <c r="F1222" s="24">
        <f>VLOOKUP(D1222,[2]属性!$A:$E,3,FALSE)</f>
        <v>1.01</v>
      </c>
      <c r="G1222" s="24">
        <f>VLOOKUP(D1222,[2]属性!$A:$F,4,FALSE)</f>
        <v>1</v>
      </c>
      <c r="H1222" s="9" t="str">
        <f>VLOOKUP(A1222,[2]characters!$A:$K,11,FALSE)</f>
        <v>balance</v>
      </c>
      <c r="I1222" s="14" t="str">
        <f>VLOOKUP(H1222,[2]character_type_i18n!$A:$F,3,FALSE)</f>
        <v>バランスタイプ</v>
      </c>
      <c r="J1222" s="36">
        <f>VLOOKUP(H1222,[2]character_type_i18n!$A:$F,4,FALSE)</f>
        <v>1</v>
      </c>
      <c r="K1222" s="36">
        <f>VLOOKUP(H1222,[2]character_type_i18n!$A:$F,5,FALSE)</f>
        <v>1</v>
      </c>
      <c r="L1222" s="36">
        <f>VLOOKUP(H1222,[2]character_type_i18n!$A:$F,6,FALSE)</f>
        <v>1</v>
      </c>
      <c r="M1222" s="9" t="str">
        <f>VLOOKUP(A1222,[2]characters!$A:$M,13,FALSE)</f>
        <v>human</v>
      </c>
      <c r="N1222" s="14" t="str">
        <f>VLOOKUP(M1222,[2]character_tribe_i18n!$A:$F,3,FALSE)</f>
        <v>ヒューマン</v>
      </c>
      <c r="O1222" s="24">
        <f>VLOOKUP(M1222,[2]character_tribe_i18n!$A:$F,4,FALSE)</f>
        <v>0.94</v>
      </c>
      <c r="P1222" s="24">
        <f>VLOOKUP(M1222,[2]character_tribe_i18n!$A:$F,5,FALSE)</f>
        <v>0.99</v>
      </c>
      <c r="Q1222" s="24">
        <f>VLOOKUP(M1222,[2]character_tribe_i18n!$A:$F,6,FALSE)</f>
        <v>1</v>
      </c>
      <c r="R1222" s="25" t="s">
        <v>98</v>
      </c>
      <c r="S1222" s="24">
        <f>VLOOKUP($R1222,ラベル別係数!$A$1:$E$7,3,FALSE)</f>
        <v>5</v>
      </c>
      <c r="T1222" s="24">
        <f>VLOOKUP($R1222,ラベル別係数!$A$1:$E$7,4,FALSE)</f>
        <v>1.3</v>
      </c>
      <c r="U1222" s="24">
        <f>VLOOKUP($R1222,ラベル別係数!$A$1:$E$7,5,FALSE)</f>
        <v>0.8</v>
      </c>
      <c r="V1222" s="27">
        <v>3</v>
      </c>
      <c r="W1222" s="28">
        <f>VLOOKUP(V1222,ターン数別攻撃係数!$A$1:$B$1000,2,FALSE)</f>
        <v>1</v>
      </c>
      <c r="X1222" s="9">
        <f>VLOOKUP(C1222,サイズ別係数!A$2:B$9,2,FALSE)</f>
        <v>60</v>
      </c>
      <c r="Y1222" s="26">
        <f>VLOOKUP($X1222,サイズ別係数!$B:$E,2,FALSE)</f>
        <v>1.7</v>
      </c>
      <c r="Z1222" s="26">
        <f>VLOOKUP($X1222,サイズ別係数!$B:$E,3,FALSE)</f>
        <v>1.4</v>
      </c>
      <c r="AA1222" s="26">
        <f>VLOOKUP($X1222,サイズ別係数!$B:$E,4,FALSE)</f>
        <v>1</v>
      </c>
      <c r="AB1222" s="5">
        <v>0</v>
      </c>
      <c r="AC1222" s="34" t="str">
        <f ca="1">VLOOKUP($AB1222,OFFSET([3]enemy_skill_sets!$B$2,0,0,COUNTA([3]enemy_skill_sets!$A:$A),MATCH(AC$1,[3]enemy_skill_sets!$1:$1,0)-MATCH($AB$1,[3]enemy_skill_sets!$1:$1,0)+1),MATCH(AC$1,[3]enemy_skill_sets!$1:$1,0)-MATCH($AB$1,[3]enemy_skill_sets!$1:$1,0)+1,FALSE)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2" s="67">
        <v>1</v>
      </c>
      <c r="AE1222" s="67">
        <v>1</v>
      </c>
      <c r="AF1222" s="37">
        <v>0</v>
      </c>
      <c r="AG1222" s="99">
        <f>ROUND(VLOOKUP(1,enemy_base_stats!$A:$F,2,FALSE) * Y1222* J1222*O1222*E1222*S1222*AD1222*[2]ステータス!$B$2,0)</f>
        <v>3915</v>
      </c>
      <c r="AH1222" s="99">
        <f>ROUND(VLOOKUP(1,enemy_base_stats!$A:$F,3,FALSE) * Z1222*K1222*P1222*F1222*T1222*AE1222 * W1222*[2]ステータス!$C$2,0)</f>
        <v>273</v>
      </c>
      <c r="AI1222" s="99">
        <f>ROUND(VLOOKUP(1,enemy_base_stats!$A:$F,4,FALSE) * AA1222*L1222*Q1222*G1222*U1222*AF1222*[2]ステータス!$D$2,0)</f>
        <v>0</v>
      </c>
      <c r="AJ1222" s="99">
        <f>ROUND(VLOOKUP(100,enemy_base_stats!$A:$F,2,FALSE) * Y1222* J1222*O1222*E1222*S1222*AD1222*[2]ステータス!$B$2,0)</f>
        <v>158953</v>
      </c>
      <c r="AK1222" s="99">
        <f>ROUND(VLOOKUP(100,enemy_base_stats!$A:$F,3,FALSE)* Z1222* K1222*P1222*F1222*T1222*AE1222 * W1222*[2]ステータス!$C$2,0)</f>
        <v>11083</v>
      </c>
      <c r="AL1222" s="99">
        <f>ROUND(VLOOKUP(100,enemy_base_stats!$A:$F,4,FALSE)* AA1222* L1222*Q1222*G1222*U1222*AF1222*[2]ステータス!$D$2,0)</f>
        <v>0</v>
      </c>
      <c r="AM1222" s="97">
        <f>VLOOKUP(M1222,[2]character_tribe_i18n!$A:$I,9,FALSE)</f>
        <v>400</v>
      </c>
      <c r="AN1222" s="36">
        <v>0</v>
      </c>
      <c r="AO1222" s="53">
        <v>0</v>
      </c>
      <c r="AP1222" s="58" t="s">
        <v>72</v>
      </c>
      <c r="AQ1222" s="71">
        <f t="shared" si="65"/>
        <v>1221</v>
      </c>
    </row>
    <row r="1223" spans="1:43" ht="21" customHeight="1" x14ac:dyDescent="0.15">
      <c r="A1223" s="7">
        <v>1222</v>
      </c>
      <c r="B1223" s="6" t="str">
        <f>VLOOKUP(A1223,[2]characters!$A:$C,3,FALSE)</f>
        <v>カフカ</v>
      </c>
      <c r="C1223" s="9">
        <f>VLOOKUP(A1223,[2]characters!$A:$I,9,FALSE)</f>
        <v>5</v>
      </c>
      <c r="D1223" s="9" t="str">
        <f>VLOOKUP(A1223,[2]characters!$A:$H,8,FALSE)</f>
        <v>blue</v>
      </c>
      <c r="E1223" s="24">
        <f>VLOOKUP(D1223,[2]属性!$A:$E,2,FALSE)</f>
        <v>1</v>
      </c>
      <c r="F1223" s="24">
        <f>VLOOKUP(D1223,[2]属性!$A:$E,3,FALSE)</f>
        <v>0.98</v>
      </c>
      <c r="G1223" s="24">
        <f>VLOOKUP(D1223,[2]属性!$A:$F,4,FALSE)</f>
        <v>1</v>
      </c>
      <c r="H1223" s="9" t="str">
        <f>VLOOKUP(A1223,[2]characters!$A:$K,11,FALSE)</f>
        <v>technical</v>
      </c>
      <c r="I1223" s="14" t="str">
        <f>VLOOKUP(H1223,[2]character_type_i18n!$A:$F,3,FALSE)</f>
        <v>テクニカルタイプ</v>
      </c>
      <c r="J1223" s="36">
        <f>VLOOKUP(H1223,[2]character_type_i18n!$A:$F,4,FALSE)</f>
        <v>0.9</v>
      </c>
      <c r="K1223" s="36">
        <f>VLOOKUP(H1223,[2]character_type_i18n!$A:$F,5,FALSE)</f>
        <v>0.9</v>
      </c>
      <c r="L1223" s="36">
        <f>VLOOKUP(H1223,[2]character_type_i18n!$A:$F,6,FALSE)</f>
        <v>1</v>
      </c>
      <c r="M1223" s="9" t="str">
        <f>VLOOKUP(A1223,[2]characters!$A:$M,13,FALSE)</f>
        <v>human</v>
      </c>
      <c r="N1223" s="14" t="str">
        <f>VLOOKUP(M1223,[2]character_tribe_i18n!$A:$F,3,FALSE)</f>
        <v>ヒューマン</v>
      </c>
      <c r="O1223" s="24">
        <f>VLOOKUP(M1223,[2]character_tribe_i18n!$A:$F,4,FALSE)</f>
        <v>0.94</v>
      </c>
      <c r="P1223" s="24">
        <f>VLOOKUP(M1223,[2]character_tribe_i18n!$A:$F,5,FALSE)</f>
        <v>0.99</v>
      </c>
      <c r="Q1223" s="24">
        <f>VLOOKUP(M1223,[2]character_tribe_i18n!$A:$F,6,FALSE)</f>
        <v>1</v>
      </c>
      <c r="R1223" s="25" t="s">
        <v>98</v>
      </c>
      <c r="S1223" s="24">
        <f>VLOOKUP($R1223,ラベル別係数!$A$1:$E$7,3,FALSE)</f>
        <v>5</v>
      </c>
      <c r="T1223" s="24">
        <f>VLOOKUP($R1223,ラベル別係数!$A$1:$E$7,4,FALSE)</f>
        <v>1.3</v>
      </c>
      <c r="U1223" s="24">
        <f>VLOOKUP($R1223,ラベル別係数!$A$1:$E$7,5,FALSE)</f>
        <v>0.8</v>
      </c>
      <c r="V1223" s="27">
        <v>3</v>
      </c>
      <c r="W1223" s="28">
        <f>VLOOKUP(V1223,ターン数別攻撃係数!$A$1:$B$1000,2,FALSE)</f>
        <v>1</v>
      </c>
      <c r="X1223" s="9">
        <f>VLOOKUP(C1223,サイズ別係数!A$2:B$9,2,FALSE)</f>
        <v>60</v>
      </c>
      <c r="Y1223" s="26">
        <f>VLOOKUP($X1223,サイズ別係数!$B:$E,2,FALSE)</f>
        <v>1.7</v>
      </c>
      <c r="Z1223" s="26">
        <f>VLOOKUP($X1223,サイズ別係数!$B:$E,3,FALSE)</f>
        <v>1.4</v>
      </c>
      <c r="AA1223" s="26">
        <f>VLOOKUP($X1223,サイズ別係数!$B:$E,4,FALSE)</f>
        <v>1</v>
      </c>
      <c r="AB1223" s="5">
        <v>0</v>
      </c>
      <c r="AC1223" s="34" t="str">
        <f ca="1">VLOOKUP($AB1223,OFFSET([3]enemy_skill_sets!$B$2,0,0,COUNTA([3]enemy_skill_sets!$A:$A),MATCH(AC$1,[3]enemy_skill_sets!$1:$1,0)-MATCH($AB$1,[3]enemy_skill_sets!$1:$1,0)+1),MATCH(AC$1,[3]enemy_skill_sets!$1:$1,0)-MATCH($AB$1,[3]enemy_skill_sets!$1:$1,0)+1,FALSE)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3" s="67">
        <v>1</v>
      </c>
      <c r="AE1223" s="67">
        <v>1</v>
      </c>
      <c r="AF1223" s="37">
        <v>0</v>
      </c>
      <c r="AG1223" s="99">
        <f>ROUND(VLOOKUP(1,enemy_base_stats!$A:$F,2,FALSE) * Y1223* J1223*O1223*E1223*S1223*AD1223*[2]ステータス!$B$2,0)</f>
        <v>3596</v>
      </c>
      <c r="AH1223" s="99">
        <f>ROUND(VLOOKUP(1,enemy_base_stats!$A:$F,3,FALSE) * Z1223*K1223*P1223*F1223*T1223*AE1223 * W1223*[2]ステータス!$C$2,0)</f>
        <v>238</v>
      </c>
      <c r="AI1223" s="99">
        <f>ROUND(VLOOKUP(1,enemy_base_stats!$A:$F,4,FALSE) * AA1223*L1223*Q1223*G1223*U1223*AF1223*[2]ステータス!$D$2,0)</f>
        <v>0</v>
      </c>
      <c r="AJ1223" s="99">
        <f>ROUND(VLOOKUP(100,enemy_base_stats!$A:$F,2,FALSE) * Y1223* J1223*O1223*E1223*S1223*AD1223*[2]ステータス!$B$2,0)</f>
        <v>145977</v>
      </c>
      <c r="AK1223" s="99">
        <f>ROUND(VLOOKUP(100,enemy_base_stats!$A:$F,3,FALSE)* Z1223* K1223*P1223*F1223*T1223*AE1223 * W1223*[2]ステータス!$C$2,0)</f>
        <v>9678</v>
      </c>
      <c r="AL1223" s="99">
        <f>ROUND(VLOOKUP(100,enemy_base_stats!$A:$F,4,FALSE)* AA1223* L1223*Q1223*G1223*U1223*AF1223*[2]ステータス!$D$2,0)</f>
        <v>0</v>
      </c>
      <c r="AM1223" s="97">
        <f>VLOOKUP(M1223,[2]character_tribe_i18n!$A:$I,9,FALSE)</f>
        <v>400</v>
      </c>
      <c r="AN1223" s="36">
        <v>0</v>
      </c>
      <c r="AO1223" s="53">
        <v>0</v>
      </c>
      <c r="AP1223" s="58" t="s">
        <v>72</v>
      </c>
      <c r="AQ1223" s="71">
        <f t="shared" si="65"/>
        <v>1222</v>
      </c>
    </row>
    <row r="1224" spans="1:43" ht="21" customHeight="1" x14ac:dyDescent="0.15">
      <c r="A1224" s="7">
        <v>1223</v>
      </c>
      <c r="B1224" s="6" t="str">
        <f>VLOOKUP(A1224,[2]characters!$A:$C,3,FALSE)</f>
        <v>凌蛾の変身 カフカ</v>
      </c>
      <c r="C1224" s="9">
        <f>VLOOKUP(A1224,[2]characters!$A:$I,9,FALSE)</f>
        <v>6</v>
      </c>
      <c r="D1224" s="9" t="str">
        <f>VLOOKUP(A1224,[2]characters!$A:$H,8,FALSE)</f>
        <v>blue</v>
      </c>
      <c r="E1224" s="24">
        <f>VLOOKUP(D1224,[2]属性!$A:$E,2,FALSE)</f>
        <v>1</v>
      </c>
      <c r="F1224" s="24">
        <f>VLOOKUP(D1224,[2]属性!$A:$E,3,FALSE)</f>
        <v>0.98</v>
      </c>
      <c r="G1224" s="24">
        <f>VLOOKUP(D1224,[2]属性!$A:$F,4,FALSE)</f>
        <v>1</v>
      </c>
      <c r="H1224" s="9" t="str">
        <f>VLOOKUP(A1224,[2]characters!$A:$K,11,FALSE)</f>
        <v>technical</v>
      </c>
      <c r="I1224" s="14" t="str">
        <f>VLOOKUP(H1224,[2]character_type_i18n!$A:$F,3,FALSE)</f>
        <v>テクニカルタイプ</v>
      </c>
      <c r="J1224" s="36">
        <f>VLOOKUP(H1224,[2]character_type_i18n!$A:$F,4,FALSE)</f>
        <v>0.9</v>
      </c>
      <c r="K1224" s="36">
        <f>VLOOKUP(H1224,[2]character_type_i18n!$A:$F,5,FALSE)</f>
        <v>0.9</v>
      </c>
      <c r="L1224" s="36">
        <f>VLOOKUP(H1224,[2]character_type_i18n!$A:$F,6,FALSE)</f>
        <v>1</v>
      </c>
      <c r="M1224" s="9" t="str">
        <f>VLOOKUP(A1224,[2]characters!$A:$M,13,FALSE)</f>
        <v>human</v>
      </c>
      <c r="N1224" s="14" t="str">
        <f>VLOOKUP(M1224,[2]character_tribe_i18n!$A:$F,3,FALSE)</f>
        <v>ヒューマン</v>
      </c>
      <c r="O1224" s="24">
        <f>VLOOKUP(M1224,[2]character_tribe_i18n!$A:$F,4,FALSE)</f>
        <v>0.94</v>
      </c>
      <c r="P1224" s="24">
        <f>VLOOKUP(M1224,[2]character_tribe_i18n!$A:$F,5,FALSE)</f>
        <v>0.99</v>
      </c>
      <c r="Q1224" s="24">
        <f>VLOOKUP(M1224,[2]character_tribe_i18n!$A:$F,6,FALSE)</f>
        <v>1</v>
      </c>
      <c r="R1224" s="25" t="s">
        <v>98</v>
      </c>
      <c r="S1224" s="24">
        <f>VLOOKUP($R1224,ラベル別係数!$A$1:$E$7,3,FALSE)</f>
        <v>5</v>
      </c>
      <c r="T1224" s="24">
        <f>VLOOKUP($R1224,ラベル別係数!$A$1:$E$7,4,FALSE)</f>
        <v>1.3</v>
      </c>
      <c r="U1224" s="24">
        <f>VLOOKUP($R1224,ラベル別係数!$A$1:$E$7,5,FALSE)</f>
        <v>0.8</v>
      </c>
      <c r="V1224" s="27">
        <v>3</v>
      </c>
      <c r="W1224" s="28">
        <f>VLOOKUP(V1224,ターン数別攻撃係数!$A$1:$B$1000,2,FALSE)</f>
        <v>1</v>
      </c>
      <c r="X1224" s="9">
        <f>VLOOKUP(C1224,サイズ別係数!A$2:B$9,2,FALSE)</f>
        <v>60</v>
      </c>
      <c r="Y1224" s="26">
        <f>VLOOKUP($X1224,サイズ別係数!$B:$E,2,FALSE)</f>
        <v>1.7</v>
      </c>
      <c r="Z1224" s="26">
        <f>VLOOKUP($X1224,サイズ別係数!$B:$E,3,FALSE)</f>
        <v>1.4</v>
      </c>
      <c r="AA1224" s="26">
        <f>VLOOKUP($X1224,サイズ別係数!$B:$E,4,FALSE)</f>
        <v>1</v>
      </c>
      <c r="AB1224" s="5">
        <v>0</v>
      </c>
      <c r="AC1224" s="34" t="str">
        <f ca="1">VLOOKUP($AB1224,OFFSET([3]enemy_skill_sets!$B$2,0,0,COUNTA([3]enemy_skill_sets!$A:$A),MATCH(AC$1,[3]enemy_skill_sets!$1:$1,0)-MATCH($AB$1,[3]enemy_skill_sets!$1:$1,0)+1),MATCH(AC$1,[3]enemy_skill_sets!$1:$1,0)-MATCH($AB$1,[3]enemy_skill_sets!$1:$1,0)+1,FALSE)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4" s="67">
        <v>1</v>
      </c>
      <c r="AE1224" s="67">
        <v>1</v>
      </c>
      <c r="AF1224" s="37">
        <v>0</v>
      </c>
      <c r="AG1224" s="99">
        <f>ROUND(VLOOKUP(1,enemy_base_stats!$A:$F,2,FALSE) * Y1224* J1224*O1224*E1224*S1224*AD1224*[2]ステータス!$B$2,0)</f>
        <v>3596</v>
      </c>
      <c r="AH1224" s="99">
        <f>ROUND(VLOOKUP(1,enemy_base_stats!$A:$F,3,FALSE) * Z1224*K1224*P1224*F1224*T1224*AE1224 * W1224*[2]ステータス!$C$2,0)</f>
        <v>238</v>
      </c>
      <c r="AI1224" s="99">
        <f>ROUND(VLOOKUP(1,enemy_base_stats!$A:$F,4,FALSE) * AA1224*L1224*Q1224*G1224*U1224*AF1224*[2]ステータス!$D$2,0)</f>
        <v>0</v>
      </c>
      <c r="AJ1224" s="99">
        <f>ROUND(VLOOKUP(100,enemy_base_stats!$A:$F,2,FALSE) * Y1224* J1224*O1224*E1224*S1224*AD1224*[2]ステータス!$B$2,0)</f>
        <v>145977</v>
      </c>
      <c r="AK1224" s="99">
        <f>ROUND(VLOOKUP(100,enemy_base_stats!$A:$F,3,FALSE)* Z1224* K1224*P1224*F1224*T1224*AE1224 * W1224*[2]ステータス!$C$2,0)</f>
        <v>9678</v>
      </c>
      <c r="AL1224" s="99">
        <f>ROUND(VLOOKUP(100,enemy_base_stats!$A:$F,4,FALSE)* AA1224* L1224*Q1224*G1224*U1224*AF1224*[2]ステータス!$D$2,0)</f>
        <v>0</v>
      </c>
      <c r="AM1224" s="97">
        <f>VLOOKUP(M1224,[2]character_tribe_i18n!$A:$I,9,FALSE)</f>
        <v>400</v>
      </c>
      <c r="AN1224" s="36">
        <v>0</v>
      </c>
      <c r="AO1224" s="53">
        <v>0</v>
      </c>
      <c r="AP1224" s="58" t="s">
        <v>72</v>
      </c>
      <c r="AQ1224" s="71">
        <f t="shared" si="65"/>
        <v>1223</v>
      </c>
    </row>
    <row r="1225" spans="1:43" ht="21" customHeight="1" x14ac:dyDescent="0.15">
      <c r="A1225" s="7">
        <v>1224</v>
      </c>
      <c r="B1225" s="6" t="str">
        <f>VLOOKUP(A1225,[2]characters!$A:$C,3,FALSE)</f>
        <v>セルバンテス</v>
      </c>
      <c r="C1225" s="9">
        <f>VLOOKUP(A1225,[2]characters!$A:$I,9,FALSE)</f>
        <v>4</v>
      </c>
      <c r="D1225" s="9" t="str">
        <f>VLOOKUP(A1225,[2]characters!$A:$H,8,FALSE)</f>
        <v>red</v>
      </c>
      <c r="E1225" s="24">
        <f>VLOOKUP(D1225,[2]属性!$A:$E,2,FALSE)</f>
        <v>1</v>
      </c>
      <c r="F1225" s="24">
        <f>VLOOKUP(D1225,[2]属性!$A:$E,3,FALSE)</f>
        <v>1.02</v>
      </c>
      <c r="G1225" s="24">
        <f>VLOOKUP(D1225,[2]属性!$A:$F,4,FALSE)</f>
        <v>1</v>
      </c>
      <c r="H1225" s="9" t="str">
        <f>VLOOKUP(A1225,[2]characters!$A:$K,11,FALSE)</f>
        <v>attack</v>
      </c>
      <c r="I1225" s="14" t="str">
        <f>VLOOKUP(H1225,[2]character_type_i18n!$A:$F,3,FALSE)</f>
        <v>攻撃タイプ</v>
      </c>
      <c r="J1225" s="36">
        <f>VLOOKUP(H1225,[2]character_type_i18n!$A:$F,4,FALSE)</f>
        <v>1</v>
      </c>
      <c r="K1225" s="36">
        <f>VLOOKUP(H1225,[2]character_type_i18n!$A:$F,5,FALSE)</f>
        <v>1.33</v>
      </c>
      <c r="L1225" s="36">
        <f>VLOOKUP(H1225,[2]character_type_i18n!$A:$F,6,FALSE)</f>
        <v>1</v>
      </c>
      <c r="M1225" s="9" t="str">
        <f>VLOOKUP(A1225,[2]characters!$A:$M,13,FALSE)</f>
        <v>human</v>
      </c>
      <c r="N1225" s="14" t="str">
        <f>VLOOKUP(M1225,[2]character_tribe_i18n!$A:$F,3,FALSE)</f>
        <v>ヒューマン</v>
      </c>
      <c r="O1225" s="24">
        <f>VLOOKUP(M1225,[2]character_tribe_i18n!$A:$F,4,FALSE)</f>
        <v>0.94</v>
      </c>
      <c r="P1225" s="24">
        <f>VLOOKUP(M1225,[2]character_tribe_i18n!$A:$F,5,FALSE)</f>
        <v>0.99</v>
      </c>
      <c r="Q1225" s="24">
        <f>VLOOKUP(M1225,[2]character_tribe_i18n!$A:$F,6,FALSE)</f>
        <v>1</v>
      </c>
      <c r="R1225" s="25" t="s">
        <v>98</v>
      </c>
      <c r="S1225" s="24">
        <f>VLOOKUP($R1225,ラベル別係数!$A$1:$E$7,3,FALSE)</f>
        <v>5</v>
      </c>
      <c r="T1225" s="24">
        <f>VLOOKUP($R1225,ラベル別係数!$A$1:$E$7,4,FALSE)</f>
        <v>1.3</v>
      </c>
      <c r="U1225" s="24">
        <f>VLOOKUP($R1225,ラベル別係数!$A$1:$E$7,5,FALSE)</f>
        <v>0.8</v>
      </c>
      <c r="V1225" s="27">
        <v>3</v>
      </c>
      <c r="W1225" s="28">
        <f>VLOOKUP(V1225,ターン数別攻撃係数!$A$1:$B$1000,2,FALSE)</f>
        <v>1</v>
      </c>
      <c r="X1225" s="9">
        <f>VLOOKUP(C1225,サイズ別係数!A$2:B$9,2,FALSE)</f>
        <v>30</v>
      </c>
      <c r="Y1225" s="26">
        <f>VLOOKUP($X1225,サイズ別係数!$B:$E,2,FALSE)</f>
        <v>1.3</v>
      </c>
      <c r="Z1225" s="26">
        <f>VLOOKUP($X1225,サイズ別係数!$B:$E,3,FALSE)</f>
        <v>1.3</v>
      </c>
      <c r="AA1225" s="26">
        <f>VLOOKUP($X1225,サイズ別係数!$B:$E,4,FALSE)</f>
        <v>1.1000000000000001</v>
      </c>
      <c r="AB1225" s="5">
        <v>0</v>
      </c>
      <c r="AC1225" s="34" t="str">
        <f ca="1">VLOOKUP($AB1225,OFFSET([3]enemy_skill_sets!$B$2,0,0,COUNTA([3]enemy_skill_sets!$A:$A),MATCH(AC$1,[3]enemy_skill_sets!$1:$1,0)-MATCH($AB$1,[3]enemy_skill_sets!$1:$1,0)+1),MATCH(AC$1,[3]enemy_skill_sets!$1:$1,0)-MATCH($AB$1,[3]enemy_skill_sets!$1:$1,0)+1,FALSE)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5" s="67">
        <v>1</v>
      </c>
      <c r="AE1225" s="67">
        <v>1</v>
      </c>
      <c r="AF1225" s="37">
        <v>0</v>
      </c>
      <c r="AG1225" s="99">
        <f>ROUND(VLOOKUP(1,enemy_base_stats!$A:$F,2,FALSE) * Y1225* J1225*O1225*E1225*S1225*AD1225*[2]ステータス!$B$2,0)</f>
        <v>3055</v>
      </c>
      <c r="AH1225" s="99">
        <f>ROUND(VLOOKUP(1,enemy_base_stats!$A:$F,3,FALSE) * Z1225*K1225*P1225*F1225*T1225*AE1225 * W1225*[2]ステータス!$C$2,0)</f>
        <v>340</v>
      </c>
      <c r="AI1225" s="99">
        <f>ROUND(VLOOKUP(1,enemy_base_stats!$A:$F,4,FALSE) * AA1225*L1225*Q1225*G1225*U1225*AF1225*[2]ステータス!$D$2,0)</f>
        <v>0</v>
      </c>
      <c r="AJ1225" s="99">
        <f>ROUND(VLOOKUP(100,enemy_base_stats!$A:$F,2,FALSE) * Y1225* J1225*O1225*E1225*S1225*AD1225*[2]ステータス!$B$2,0)</f>
        <v>124033</v>
      </c>
      <c r="AK1225" s="99">
        <f>ROUND(VLOOKUP(100,enemy_base_stats!$A:$F,3,FALSE)* Z1225* K1225*P1225*F1225*T1225*AE1225 * W1225*[2]ステータス!$C$2,0)</f>
        <v>13823</v>
      </c>
      <c r="AL1225" s="99">
        <f>ROUND(VLOOKUP(100,enemy_base_stats!$A:$F,4,FALSE)* AA1225* L1225*Q1225*G1225*U1225*AF1225*[2]ステータス!$D$2,0)</f>
        <v>0</v>
      </c>
      <c r="AM1225" s="97">
        <f>VLOOKUP(M1225,[2]character_tribe_i18n!$A:$I,9,FALSE)</f>
        <v>400</v>
      </c>
      <c r="AN1225" s="36">
        <v>0</v>
      </c>
      <c r="AO1225" s="53">
        <v>0</v>
      </c>
      <c r="AP1225" s="58" t="s">
        <v>72</v>
      </c>
      <c r="AQ1225" s="71">
        <f t="shared" si="65"/>
        <v>1224</v>
      </c>
    </row>
    <row r="1226" spans="1:43" ht="21" customHeight="1" x14ac:dyDescent="0.15">
      <c r="A1226" s="7">
        <v>1225</v>
      </c>
      <c r="B1226" s="6" t="str">
        <f>VLOOKUP(A1226,[2]characters!$A:$C,3,FALSE)</f>
        <v>優柔なる風断者 セルバンテス</v>
      </c>
      <c r="C1226" s="9">
        <f>VLOOKUP(A1226,[2]characters!$A:$I,9,FALSE)</f>
        <v>5</v>
      </c>
      <c r="D1226" s="9" t="str">
        <f>VLOOKUP(A1226,[2]characters!$A:$H,8,FALSE)</f>
        <v>red</v>
      </c>
      <c r="E1226" s="24">
        <f>VLOOKUP(D1226,[2]属性!$A:$E,2,FALSE)</f>
        <v>1</v>
      </c>
      <c r="F1226" s="24">
        <f>VLOOKUP(D1226,[2]属性!$A:$E,3,FALSE)</f>
        <v>1.02</v>
      </c>
      <c r="G1226" s="24">
        <f>VLOOKUP(D1226,[2]属性!$A:$F,4,FALSE)</f>
        <v>1</v>
      </c>
      <c r="H1226" s="9" t="str">
        <f>VLOOKUP(A1226,[2]characters!$A:$K,11,FALSE)</f>
        <v>attack</v>
      </c>
      <c r="I1226" s="14" t="str">
        <f>VLOOKUP(H1226,[2]character_type_i18n!$A:$F,3,FALSE)</f>
        <v>攻撃タイプ</v>
      </c>
      <c r="J1226" s="36">
        <f>VLOOKUP(H1226,[2]character_type_i18n!$A:$F,4,FALSE)</f>
        <v>1</v>
      </c>
      <c r="K1226" s="36">
        <f>VLOOKUP(H1226,[2]character_type_i18n!$A:$F,5,FALSE)</f>
        <v>1.33</v>
      </c>
      <c r="L1226" s="36">
        <f>VLOOKUP(H1226,[2]character_type_i18n!$A:$F,6,FALSE)</f>
        <v>1</v>
      </c>
      <c r="M1226" s="9" t="str">
        <f>VLOOKUP(A1226,[2]characters!$A:$M,13,FALSE)</f>
        <v>human</v>
      </c>
      <c r="N1226" s="14" t="str">
        <f>VLOOKUP(M1226,[2]character_tribe_i18n!$A:$F,3,FALSE)</f>
        <v>ヒューマン</v>
      </c>
      <c r="O1226" s="24">
        <f>VLOOKUP(M1226,[2]character_tribe_i18n!$A:$F,4,FALSE)</f>
        <v>0.94</v>
      </c>
      <c r="P1226" s="24">
        <f>VLOOKUP(M1226,[2]character_tribe_i18n!$A:$F,5,FALSE)</f>
        <v>0.99</v>
      </c>
      <c r="Q1226" s="24">
        <f>VLOOKUP(M1226,[2]character_tribe_i18n!$A:$F,6,FALSE)</f>
        <v>1</v>
      </c>
      <c r="R1226" s="25" t="s">
        <v>98</v>
      </c>
      <c r="S1226" s="24">
        <f>VLOOKUP($R1226,ラベル別係数!$A$1:$E$7,3,FALSE)</f>
        <v>5</v>
      </c>
      <c r="T1226" s="24">
        <f>VLOOKUP($R1226,ラベル別係数!$A$1:$E$7,4,FALSE)</f>
        <v>1.3</v>
      </c>
      <c r="U1226" s="24">
        <f>VLOOKUP($R1226,ラベル別係数!$A$1:$E$7,5,FALSE)</f>
        <v>0.8</v>
      </c>
      <c r="V1226" s="27">
        <v>3</v>
      </c>
      <c r="W1226" s="28">
        <f>VLOOKUP(V1226,ターン数別攻撃係数!$A$1:$B$1000,2,FALSE)</f>
        <v>1</v>
      </c>
      <c r="X1226" s="9">
        <f>VLOOKUP(C1226,サイズ別係数!A$2:B$9,2,FALSE)</f>
        <v>60</v>
      </c>
      <c r="Y1226" s="26">
        <f>VLOOKUP($X1226,サイズ別係数!$B:$E,2,FALSE)</f>
        <v>1.7</v>
      </c>
      <c r="Z1226" s="26">
        <f>VLOOKUP($X1226,サイズ別係数!$B:$E,3,FALSE)</f>
        <v>1.4</v>
      </c>
      <c r="AA1226" s="26">
        <f>VLOOKUP($X1226,サイズ別係数!$B:$E,4,FALSE)</f>
        <v>1</v>
      </c>
      <c r="AB1226" s="5">
        <v>0</v>
      </c>
      <c r="AC1226" s="34" t="str">
        <f ca="1">VLOOKUP($AB1226,OFFSET([3]enemy_skill_sets!$B$2,0,0,COUNTA([3]enemy_skill_sets!$A:$A),MATCH(AC$1,[3]enemy_skill_sets!$1:$1,0)-MATCH($AB$1,[3]enemy_skill_sets!$1:$1,0)+1),MATCH(AC$1,[3]enemy_skill_sets!$1:$1,0)-MATCH($AB$1,[3]enemy_skill_sets!$1:$1,0)+1,FALSE)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6" s="67">
        <v>1</v>
      </c>
      <c r="AE1226" s="67">
        <v>1</v>
      </c>
      <c r="AF1226" s="37">
        <v>0</v>
      </c>
      <c r="AG1226" s="99">
        <f>ROUND(VLOOKUP(1,enemy_base_stats!$A:$F,2,FALSE) * Y1226* J1226*O1226*E1226*S1226*AD1226*[2]ステータス!$B$2,0)</f>
        <v>3995</v>
      </c>
      <c r="AH1226" s="99">
        <f>ROUND(VLOOKUP(1,enemy_base_stats!$A:$F,3,FALSE) * Z1226*K1226*P1226*F1226*T1226*AE1226 * W1226*[2]ステータス!$C$2,0)</f>
        <v>367</v>
      </c>
      <c r="AI1226" s="99">
        <f>ROUND(VLOOKUP(1,enemy_base_stats!$A:$F,4,FALSE) * AA1226*L1226*Q1226*G1226*U1226*AF1226*[2]ステータス!$D$2,0)</f>
        <v>0</v>
      </c>
      <c r="AJ1226" s="99">
        <f>ROUND(VLOOKUP(100,enemy_base_stats!$A:$F,2,FALSE) * Y1226* J1226*O1226*E1226*S1226*AD1226*[2]ステータス!$B$2,0)</f>
        <v>162197</v>
      </c>
      <c r="AK1226" s="99">
        <f>ROUND(VLOOKUP(100,enemy_base_stats!$A:$F,3,FALSE)* Z1226* K1226*P1226*F1226*T1226*AE1226 * W1226*[2]ステータス!$C$2,0)</f>
        <v>14886</v>
      </c>
      <c r="AL1226" s="99">
        <f>ROUND(VLOOKUP(100,enemy_base_stats!$A:$F,4,FALSE)* AA1226* L1226*Q1226*G1226*U1226*AF1226*[2]ステータス!$D$2,0)</f>
        <v>0</v>
      </c>
      <c r="AM1226" s="97">
        <f>VLOOKUP(M1226,[2]character_tribe_i18n!$A:$I,9,FALSE)</f>
        <v>400</v>
      </c>
      <c r="AN1226" s="36">
        <v>0</v>
      </c>
      <c r="AO1226" s="53">
        <v>0</v>
      </c>
      <c r="AP1226" s="58" t="s">
        <v>72</v>
      </c>
      <c r="AQ1226" s="71">
        <f t="shared" si="65"/>
        <v>1225</v>
      </c>
    </row>
    <row r="1227" spans="1:43" ht="21" customHeight="1" x14ac:dyDescent="0.15">
      <c r="A1227" s="7">
        <v>1226</v>
      </c>
      <c r="B1227" s="6" t="str">
        <f>VLOOKUP(A1227,[2]characters!$A:$C,3,FALSE)</f>
        <v>トルストイ</v>
      </c>
      <c r="C1227" s="9">
        <f>VLOOKUP(A1227,[2]characters!$A:$I,9,FALSE)</f>
        <v>5</v>
      </c>
      <c r="D1227" s="9" t="str">
        <f>VLOOKUP(A1227,[2]characters!$A:$H,8,FALSE)</f>
        <v>green</v>
      </c>
      <c r="E1227" s="24">
        <f>VLOOKUP(D1227,[2]属性!$A:$E,2,FALSE)</f>
        <v>1.02</v>
      </c>
      <c r="F1227" s="24">
        <f>VLOOKUP(D1227,[2]属性!$A:$E,3,FALSE)</f>
        <v>0.98</v>
      </c>
      <c r="G1227" s="24">
        <f>VLOOKUP(D1227,[2]属性!$A:$F,4,FALSE)</f>
        <v>1</v>
      </c>
      <c r="H1227" s="9" t="str">
        <f>VLOOKUP(A1227,[2]characters!$A:$K,11,FALSE)</f>
        <v>attack</v>
      </c>
      <c r="I1227" s="14" t="str">
        <f>VLOOKUP(H1227,[2]character_type_i18n!$A:$F,3,FALSE)</f>
        <v>攻撃タイプ</v>
      </c>
      <c r="J1227" s="36">
        <f>VLOOKUP(H1227,[2]character_type_i18n!$A:$F,4,FALSE)</f>
        <v>1</v>
      </c>
      <c r="K1227" s="36">
        <f>VLOOKUP(H1227,[2]character_type_i18n!$A:$F,5,FALSE)</f>
        <v>1.33</v>
      </c>
      <c r="L1227" s="36">
        <f>VLOOKUP(H1227,[2]character_type_i18n!$A:$F,6,FALSE)</f>
        <v>1</v>
      </c>
      <c r="M1227" s="9" t="str">
        <f>VLOOKUP(A1227,[2]characters!$A:$M,13,FALSE)</f>
        <v>human</v>
      </c>
      <c r="N1227" s="14" t="str">
        <f>VLOOKUP(M1227,[2]character_tribe_i18n!$A:$F,3,FALSE)</f>
        <v>ヒューマン</v>
      </c>
      <c r="O1227" s="24">
        <f>VLOOKUP(M1227,[2]character_tribe_i18n!$A:$F,4,FALSE)</f>
        <v>0.94</v>
      </c>
      <c r="P1227" s="24">
        <f>VLOOKUP(M1227,[2]character_tribe_i18n!$A:$F,5,FALSE)</f>
        <v>0.99</v>
      </c>
      <c r="Q1227" s="24">
        <f>VLOOKUP(M1227,[2]character_tribe_i18n!$A:$F,6,FALSE)</f>
        <v>1</v>
      </c>
      <c r="R1227" s="25" t="s">
        <v>98</v>
      </c>
      <c r="S1227" s="24">
        <f>VLOOKUP($R1227,ラベル別係数!$A$1:$E$7,3,FALSE)</f>
        <v>5</v>
      </c>
      <c r="T1227" s="24">
        <f>VLOOKUP($R1227,ラベル別係数!$A$1:$E$7,4,FALSE)</f>
        <v>1.3</v>
      </c>
      <c r="U1227" s="24">
        <f>VLOOKUP($R1227,ラベル別係数!$A$1:$E$7,5,FALSE)</f>
        <v>0.8</v>
      </c>
      <c r="V1227" s="27">
        <v>3</v>
      </c>
      <c r="W1227" s="28">
        <f>VLOOKUP(V1227,ターン数別攻撃係数!$A$1:$B$1000,2,FALSE)</f>
        <v>1</v>
      </c>
      <c r="X1227" s="9">
        <f>VLOOKUP(C1227,サイズ別係数!A$2:B$9,2,FALSE)</f>
        <v>60</v>
      </c>
      <c r="Y1227" s="26">
        <f>VLOOKUP($X1227,サイズ別係数!$B:$E,2,FALSE)</f>
        <v>1.7</v>
      </c>
      <c r="Z1227" s="26">
        <f>VLOOKUP($X1227,サイズ別係数!$B:$E,3,FALSE)</f>
        <v>1.4</v>
      </c>
      <c r="AA1227" s="26">
        <f>VLOOKUP($X1227,サイズ別係数!$B:$E,4,FALSE)</f>
        <v>1</v>
      </c>
      <c r="AB1227" s="5">
        <v>0</v>
      </c>
      <c r="AC1227" s="34" t="str">
        <f ca="1">VLOOKUP($AB1227,OFFSET([3]enemy_skill_sets!$B$2,0,0,COUNTA([3]enemy_skill_sets!$A:$A),MATCH(AC$1,[3]enemy_skill_sets!$1:$1,0)-MATCH($AB$1,[3]enemy_skill_sets!$1:$1,0)+1),MATCH(AC$1,[3]enemy_skill_sets!$1:$1,0)-MATCH($AB$1,[3]enemy_skill_sets!$1:$1,0)+1,FALSE)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7" s="67">
        <v>1</v>
      </c>
      <c r="AE1227" s="67">
        <v>1</v>
      </c>
      <c r="AF1227" s="37">
        <v>0</v>
      </c>
      <c r="AG1227" s="99">
        <f>ROUND(VLOOKUP(1,enemy_base_stats!$A:$F,2,FALSE) * Y1227* J1227*O1227*E1227*S1227*AD1227*[2]ステータス!$B$2,0)</f>
        <v>4075</v>
      </c>
      <c r="AH1227" s="99">
        <f>ROUND(VLOOKUP(1,enemy_base_stats!$A:$F,3,FALSE) * Z1227*K1227*P1227*F1227*T1227*AE1227 * W1227*[2]ステータス!$C$2,0)</f>
        <v>352</v>
      </c>
      <c r="AI1227" s="99">
        <f>ROUND(VLOOKUP(1,enemy_base_stats!$A:$F,4,FALSE) * AA1227*L1227*Q1227*G1227*U1227*AF1227*[2]ステータス!$D$2,0)</f>
        <v>0</v>
      </c>
      <c r="AJ1227" s="99">
        <f>ROUND(VLOOKUP(100,enemy_base_stats!$A:$F,2,FALSE) * Y1227* J1227*O1227*E1227*S1227*AD1227*[2]ステータス!$B$2,0)</f>
        <v>165441</v>
      </c>
      <c r="AK1227" s="99">
        <f>ROUND(VLOOKUP(100,enemy_base_stats!$A:$F,3,FALSE)* Z1227* K1227*P1227*F1227*T1227*AE1227 * W1227*[2]ステータス!$C$2,0)</f>
        <v>14302</v>
      </c>
      <c r="AL1227" s="99">
        <f>ROUND(VLOOKUP(100,enemy_base_stats!$A:$F,4,FALSE)* AA1227* L1227*Q1227*G1227*U1227*AF1227*[2]ステータス!$D$2,0)</f>
        <v>0</v>
      </c>
      <c r="AM1227" s="97">
        <f>VLOOKUP(M1227,[2]character_tribe_i18n!$A:$I,9,FALSE)</f>
        <v>400</v>
      </c>
      <c r="AN1227" s="36">
        <v>0</v>
      </c>
      <c r="AO1227" s="53">
        <v>0</v>
      </c>
      <c r="AP1227" s="58" t="s">
        <v>72</v>
      </c>
      <c r="AQ1227" s="71">
        <f t="shared" si="65"/>
        <v>1226</v>
      </c>
    </row>
    <row r="1228" spans="1:43" ht="21" customHeight="1" x14ac:dyDescent="0.15">
      <c r="A1228" s="7">
        <v>1227</v>
      </c>
      <c r="B1228" s="6" t="str">
        <f>VLOOKUP(A1228,[2]characters!$A:$C,3,FALSE)</f>
        <v>欲望の占猟者 トルストイ</v>
      </c>
      <c r="C1228" s="9">
        <f>VLOOKUP(A1228,[2]characters!$A:$I,9,FALSE)</f>
        <v>6</v>
      </c>
      <c r="D1228" s="9" t="str">
        <f>VLOOKUP(A1228,[2]characters!$A:$H,8,FALSE)</f>
        <v>green</v>
      </c>
      <c r="E1228" s="24">
        <f>VLOOKUP(D1228,[2]属性!$A:$E,2,FALSE)</f>
        <v>1.02</v>
      </c>
      <c r="F1228" s="24">
        <f>VLOOKUP(D1228,[2]属性!$A:$E,3,FALSE)</f>
        <v>0.98</v>
      </c>
      <c r="G1228" s="24">
        <f>VLOOKUP(D1228,[2]属性!$A:$F,4,FALSE)</f>
        <v>1</v>
      </c>
      <c r="H1228" s="9" t="str">
        <f>VLOOKUP(A1228,[2]characters!$A:$K,11,FALSE)</f>
        <v>attack</v>
      </c>
      <c r="I1228" s="14" t="str">
        <f>VLOOKUP(H1228,[2]character_type_i18n!$A:$F,3,FALSE)</f>
        <v>攻撃タイプ</v>
      </c>
      <c r="J1228" s="36">
        <f>VLOOKUP(H1228,[2]character_type_i18n!$A:$F,4,FALSE)</f>
        <v>1</v>
      </c>
      <c r="K1228" s="36">
        <f>VLOOKUP(H1228,[2]character_type_i18n!$A:$F,5,FALSE)</f>
        <v>1.33</v>
      </c>
      <c r="L1228" s="36">
        <f>VLOOKUP(H1228,[2]character_type_i18n!$A:$F,6,FALSE)</f>
        <v>1</v>
      </c>
      <c r="M1228" s="9" t="str">
        <f>VLOOKUP(A1228,[2]characters!$A:$M,13,FALSE)</f>
        <v>human</v>
      </c>
      <c r="N1228" s="14" t="str">
        <f>VLOOKUP(M1228,[2]character_tribe_i18n!$A:$F,3,FALSE)</f>
        <v>ヒューマン</v>
      </c>
      <c r="O1228" s="24">
        <f>VLOOKUP(M1228,[2]character_tribe_i18n!$A:$F,4,FALSE)</f>
        <v>0.94</v>
      </c>
      <c r="P1228" s="24">
        <f>VLOOKUP(M1228,[2]character_tribe_i18n!$A:$F,5,FALSE)</f>
        <v>0.99</v>
      </c>
      <c r="Q1228" s="24">
        <f>VLOOKUP(M1228,[2]character_tribe_i18n!$A:$F,6,FALSE)</f>
        <v>1</v>
      </c>
      <c r="R1228" s="25" t="s">
        <v>98</v>
      </c>
      <c r="S1228" s="24">
        <f>VLOOKUP($R1228,ラベル別係数!$A$1:$E$7,3,FALSE)</f>
        <v>5</v>
      </c>
      <c r="T1228" s="24">
        <f>VLOOKUP($R1228,ラベル別係数!$A$1:$E$7,4,FALSE)</f>
        <v>1.3</v>
      </c>
      <c r="U1228" s="24">
        <f>VLOOKUP($R1228,ラベル別係数!$A$1:$E$7,5,FALSE)</f>
        <v>0.8</v>
      </c>
      <c r="V1228" s="27">
        <v>3</v>
      </c>
      <c r="W1228" s="28">
        <f>VLOOKUP(V1228,ターン数別攻撃係数!$A$1:$B$1000,2,FALSE)</f>
        <v>1</v>
      </c>
      <c r="X1228" s="9">
        <f>VLOOKUP(C1228,サイズ別係数!A$2:B$9,2,FALSE)</f>
        <v>60</v>
      </c>
      <c r="Y1228" s="26">
        <f>VLOOKUP($X1228,サイズ別係数!$B:$E,2,FALSE)</f>
        <v>1.7</v>
      </c>
      <c r="Z1228" s="26">
        <f>VLOOKUP($X1228,サイズ別係数!$B:$E,3,FALSE)</f>
        <v>1.4</v>
      </c>
      <c r="AA1228" s="26">
        <f>VLOOKUP($X1228,サイズ別係数!$B:$E,4,FALSE)</f>
        <v>1</v>
      </c>
      <c r="AB1228" s="5">
        <v>0</v>
      </c>
      <c r="AC1228" s="34" t="str">
        <f ca="1">VLOOKUP($AB1228,OFFSET([3]enemy_skill_sets!$B$2,0,0,COUNTA([3]enemy_skill_sets!$A:$A),MATCH(AC$1,[3]enemy_skill_sets!$1:$1,0)-MATCH($AB$1,[3]enemy_skill_sets!$1:$1,0)+1),MATCH(AC$1,[3]enemy_skill_sets!$1:$1,0)-MATCH($AB$1,[3]enemy_skill_sets!$1:$1,0)+1,FALSE)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8" s="67">
        <v>1</v>
      </c>
      <c r="AE1228" s="67">
        <v>1</v>
      </c>
      <c r="AF1228" s="37">
        <v>0</v>
      </c>
      <c r="AG1228" s="99">
        <f>ROUND(VLOOKUP(1,enemy_base_stats!$A:$F,2,FALSE) * Y1228* J1228*O1228*E1228*S1228*AD1228*[2]ステータス!$B$2,0)</f>
        <v>4075</v>
      </c>
      <c r="AH1228" s="99">
        <f>ROUND(VLOOKUP(1,enemy_base_stats!$A:$F,3,FALSE) * Z1228*K1228*P1228*F1228*T1228*AE1228 * W1228*[2]ステータス!$C$2,0)</f>
        <v>352</v>
      </c>
      <c r="AI1228" s="99">
        <f>ROUND(VLOOKUP(1,enemy_base_stats!$A:$F,4,FALSE) * AA1228*L1228*Q1228*G1228*U1228*AF1228*[2]ステータス!$D$2,0)</f>
        <v>0</v>
      </c>
      <c r="AJ1228" s="99">
        <f>ROUND(VLOOKUP(100,enemy_base_stats!$A:$F,2,FALSE) * Y1228* J1228*O1228*E1228*S1228*AD1228*[2]ステータス!$B$2,0)</f>
        <v>165441</v>
      </c>
      <c r="AK1228" s="99">
        <f>ROUND(VLOOKUP(100,enemy_base_stats!$A:$F,3,FALSE)* Z1228* K1228*P1228*F1228*T1228*AE1228 * W1228*[2]ステータス!$C$2,0)</f>
        <v>14302</v>
      </c>
      <c r="AL1228" s="99">
        <f>ROUND(VLOOKUP(100,enemy_base_stats!$A:$F,4,FALSE)* AA1228* L1228*Q1228*G1228*U1228*AF1228*[2]ステータス!$D$2,0)</f>
        <v>0</v>
      </c>
      <c r="AM1228" s="97">
        <f>VLOOKUP(M1228,[2]character_tribe_i18n!$A:$I,9,FALSE)</f>
        <v>400</v>
      </c>
      <c r="AN1228" s="36">
        <v>0</v>
      </c>
      <c r="AO1228" s="53">
        <v>0</v>
      </c>
      <c r="AP1228" s="58" t="s">
        <v>72</v>
      </c>
      <c r="AQ1228" s="71">
        <f t="shared" si="65"/>
        <v>1227</v>
      </c>
    </row>
    <row r="1229" spans="1:43" ht="21" customHeight="1" x14ac:dyDescent="0.15">
      <c r="A1229" s="7">
        <v>1228</v>
      </c>
      <c r="B1229" s="6" t="str">
        <f>VLOOKUP(A1229,[2]characters!$A:$C,3,FALSE)</f>
        <v>芥川龍之介</v>
      </c>
      <c r="C1229" s="9">
        <f>VLOOKUP(A1229,[2]characters!$A:$I,9,FALSE)</f>
        <v>5</v>
      </c>
      <c r="D1229" s="9" t="str">
        <f>VLOOKUP(A1229,[2]characters!$A:$H,8,FALSE)</f>
        <v>blue</v>
      </c>
      <c r="E1229" s="24">
        <f>VLOOKUP(D1229,[2]属性!$A:$E,2,FALSE)</f>
        <v>1</v>
      </c>
      <c r="F1229" s="24">
        <f>VLOOKUP(D1229,[2]属性!$A:$E,3,FALSE)</f>
        <v>0.98</v>
      </c>
      <c r="G1229" s="24">
        <f>VLOOKUP(D1229,[2]属性!$A:$F,4,FALSE)</f>
        <v>1</v>
      </c>
      <c r="H1229" s="9" t="str">
        <f>VLOOKUP(A1229,[2]characters!$A:$K,11,FALSE)</f>
        <v>attack</v>
      </c>
      <c r="I1229" s="14" t="str">
        <f>VLOOKUP(H1229,[2]character_type_i18n!$A:$F,3,FALSE)</f>
        <v>攻撃タイプ</v>
      </c>
      <c r="J1229" s="36">
        <f>VLOOKUP(H1229,[2]character_type_i18n!$A:$F,4,FALSE)</f>
        <v>1</v>
      </c>
      <c r="K1229" s="36">
        <f>VLOOKUP(H1229,[2]character_type_i18n!$A:$F,5,FALSE)</f>
        <v>1.33</v>
      </c>
      <c r="L1229" s="36">
        <f>VLOOKUP(H1229,[2]character_type_i18n!$A:$F,6,FALSE)</f>
        <v>1</v>
      </c>
      <c r="M1229" s="9" t="str">
        <f>VLOOKUP(A1229,[2]characters!$A:$M,13,FALSE)</f>
        <v>human</v>
      </c>
      <c r="N1229" s="14" t="str">
        <f>VLOOKUP(M1229,[2]character_tribe_i18n!$A:$F,3,FALSE)</f>
        <v>ヒューマン</v>
      </c>
      <c r="O1229" s="24">
        <f>VLOOKUP(M1229,[2]character_tribe_i18n!$A:$F,4,FALSE)</f>
        <v>0.94</v>
      </c>
      <c r="P1229" s="24">
        <f>VLOOKUP(M1229,[2]character_tribe_i18n!$A:$F,5,FALSE)</f>
        <v>0.99</v>
      </c>
      <c r="Q1229" s="24">
        <f>VLOOKUP(M1229,[2]character_tribe_i18n!$A:$F,6,FALSE)</f>
        <v>1</v>
      </c>
      <c r="R1229" s="25" t="s">
        <v>98</v>
      </c>
      <c r="S1229" s="24">
        <f>VLOOKUP($R1229,ラベル別係数!$A$1:$E$7,3,FALSE)</f>
        <v>5</v>
      </c>
      <c r="T1229" s="24">
        <f>VLOOKUP($R1229,ラベル別係数!$A$1:$E$7,4,FALSE)</f>
        <v>1.3</v>
      </c>
      <c r="U1229" s="24">
        <f>VLOOKUP($R1229,ラベル別係数!$A$1:$E$7,5,FALSE)</f>
        <v>0.8</v>
      </c>
      <c r="V1229" s="27">
        <v>3</v>
      </c>
      <c r="W1229" s="28">
        <f>VLOOKUP(V1229,ターン数別攻撃係数!$A$1:$B$1000,2,FALSE)</f>
        <v>1</v>
      </c>
      <c r="X1229" s="9">
        <f>VLOOKUP(C1229,サイズ別係数!A$2:B$9,2,FALSE)</f>
        <v>60</v>
      </c>
      <c r="Y1229" s="26">
        <f>VLOOKUP($X1229,サイズ別係数!$B:$E,2,FALSE)</f>
        <v>1.7</v>
      </c>
      <c r="Z1229" s="26">
        <f>VLOOKUP($X1229,サイズ別係数!$B:$E,3,FALSE)</f>
        <v>1.4</v>
      </c>
      <c r="AA1229" s="26">
        <f>VLOOKUP($X1229,サイズ別係数!$B:$E,4,FALSE)</f>
        <v>1</v>
      </c>
      <c r="AB1229" s="5">
        <v>0</v>
      </c>
      <c r="AC1229" s="34" t="str">
        <f ca="1">VLOOKUP($AB1229,OFFSET([3]enemy_skill_sets!$B$2,0,0,COUNTA([3]enemy_skill_sets!$A:$A),MATCH(AC$1,[3]enemy_skill_sets!$1:$1,0)-MATCH($AB$1,[3]enemy_skill_sets!$1:$1,0)+1),MATCH(AC$1,[3]enemy_skill_sets!$1:$1,0)-MATCH($AB$1,[3]enemy_skill_sets!$1:$1,0)+1,FALSE)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29" s="67">
        <v>1</v>
      </c>
      <c r="AE1229" s="67">
        <v>1</v>
      </c>
      <c r="AF1229" s="37">
        <v>0</v>
      </c>
      <c r="AG1229" s="99">
        <f>ROUND(VLOOKUP(1,enemy_base_stats!$A:$F,2,FALSE) * Y1229* J1229*O1229*E1229*S1229*AD1229*[2]ステータス!$B$2,0)</f>
        <v>3995</v>
      </c>
      <c r="AH1229" s="99">
        <f>ROUND(VLOOKUP(1,enemy_base_stats!$A:$F,3,FALSE) * Z1229*K1229*P1229*F1229*T1229*AE1229 * W1229*[2]ステータス!$C$2,0)</f>
        <v>352</v>
      </c>
      <c r="AI1229" s="99">
        <f>ROUND(VLOOKUP(1,enemy_base_stats!$A:$F,4,FALSE) * AA1229*L1229*Q1229*G1229*U1229*AF1229*[2]ステータス!$D$2,0)</f>
        <v>0</v>
      </c>
      <c r="AJ1229" s="99">
        <f>ROUND(VLOOKUP(100,enemy_base_stats!$A:$F,2,FALSE) * Y1229* J1229*O1229*E1229*S1229*AD1229*[2]ステータス!$B$2,0)</f>
        <v>162197</v>
      </c>
      <c r="AK1229" s="99">
        <f>ROUND(VLOOKUP(100,enemy_base_stats!$A:$F,3,FALSE)* Z1229* K1229*P1229*F1229*T1229*AE1229 * W1229*[2]ステータス!$C$2,0)</f>
        <v>14302</v>
      </c>
      <c r="AL1229" s="99">
        <f>ROUND(VLOOKUP(100,enemy_base_stats!$A:$F,4,FALSE)* AA1229* L1229*Q1229*G1229*U1229*AF1229*[2]ステータス!$D$2,0)</f>
        <v>0</v>
      </c>
      <c r="AM1229" s="97">
        <f>VLOOKUP(M1229,[2]character_tribe_i18n!$A:$I,9,FALSE)</f>
        <v>400</v>
      </c>
      <c r="AN1229" s="36">
        <v>0</v>
      </c>
      <c r="AO1229" s="53">
        <v>0</v>
      </c>
      <c r="AP1229" s="58" t="s">
        <v>72</v>
      </c>
      <c r="AQ1229" s="71">
        <f t="shared" si="65"/>
        <v>1228</v>
      </c>
    </row>
    <row r="1230" spans="1:43" ht="21" customHeight="1" x14ac:dyDescent="0.15">
      <c r="A1230" s="7">
        <v>1229</v>
      </c>
      <c r="B1230" s="6" t="str">
        <f>VLOOKUP(A1230,[2]characters!$A:$C,3,FALSE)</f>
        <v>羅生の鬼我 芥川龍之介</v>
      </c>
      <c r="C1230" s="9">
        <f>VLOOKUP(A1230,[2]characters!$A:$I,9,FALSE)</f>
        <v>6</v>
      </c>
      <c r="D1230" s="9" t="str">
        <f>VLOOKUP(A1230,[2]characters!$A:$H,8,FALSE)</f>
        <v>blue</v>
      </c>
      <c r="E1230" s="24">
        <f>VLOOKUP(D1230,[2]属性!$A:$E,2,FALSE)</f>
        <v>1</v>
      </c>
      <c r="F1230" s="24">
        <f>VLOOKUP(D1230,[2]属性!$A:$E,3,FALSE)</f>
        <v>0.98</v>
      </c>
      <c r="G1230" s="24">
        <f>VLOOKUP(D1230,[2]属性!$A:$F,4,FALSE)</f>
        <v>1</v>
      </c>
      <c r="H1230" s="9" t="str">
        <f>VLOOKUP(A1230,[2]characters!$A:$K,11,FALSE)</f>
        <v>attack</v>
      </c>
      <c r="I1230" s="14" t="str">
        <f>VLOOKUP(H1230,[2]character_type_i18n!$A:$F,3,FALSE)</f>
        <v>攻撃タイプ</v>
      </c>
      <c r="J1230" s="36">
        <f>VLOOKUP(H1230,[2]character_type_i18n!$A:$F,4,FALSE)</f>
        <v>1</v>
      </c>
      <c r="K1230" s="36">
        <f>VLOOKUP(H1230,[2]character_type_i18n!$A:$F,5,FALSE)</f>
        <v>1.33</v>
      </c>
      <c r="L1230" s="36">
        <f>VLOOKUP(H1230,[2]character_type_i18n!$A:$F,6,FALSE)</f>
        <v>1</v>
      </c>
      <c r="M1230" s="9" t="str">
        <f>VLOOKUP(A1230,[2]characters!$A:$M,13,FALSE)</f>
        <v>human</v>
      </c>
      <c r="N1230" s="14" t="str">
        <f>VLOOKUP(M1230,[2]character_tribe_i18n!$A:$F,3,FALSE)</f>
        <v>ヒューマン</v>
      </c>
      <c r="O1230" s="24">
        <f>VLOOKUP(M1230,[2]character_tribe_i18n!$A:$F,4,FALSE)</f>
        <v>0.94</v>
      </c>
      <c r="P1230" s="24">
        <f>VLOOKUP(M1230,[2]character_tribe_i18n!$A:$F,5,FALSE)</f>
        <v>0.99</v>
      </c>
      <c r="Q1230" s="24">
        <f>VLOOKUP(M1230,[2]character_tribe_i18n!$A:$F,6,FALSE)</f>
        <v>1</v>
      </c>
      <c r="R1230" s="25" t="s">
        <v>98</v>
      </c>
      <c r="S1230" s="24">
        <f>VLOOKUP($R1230,ラベル別係数!$A$1:$E$7,3,FALSE)</f>
        <v>5</v>
      </c>
      <c r="T1230" s="24">
        <f>VLOOKUP($R1230,ラベル別係数!$A$1:$E$7,4,FALSE)</f>
        <v>1.3</v>
      </c>
      <c r="U1230" s="24">
        <f>VLOOKUP($R1230,ラベル別係数!$A$1:$E$7,5,FALSE)</f>
        <v>0.8</v>
      </c>
      <c r="V1230" s="27">
        <v>3</v>
      </c>
      <c r="W1230" s="28">
        <f>VLOOKUP(V1230,ターン数別攻撃係数!$A$1:$B$1000,2,FALSE)</f>
        <v>1</v>
      </c>
      <c r="X1230" s="9">
        <f>VLOOKUP(C1230,サイズ別係数!A$2:B$9,2,FALSE)</f>
        <v>60</v>
      </c>
      <c r="Y1230" s="26">
        <f>VLOOKUP($X1230,サイズ別係数!$B:$E,2,FALSE)</f>
        <v>1.7</v>
      </c>
      <c r="Z1230" s="26">
        <f>VLOOKUP($X1230,サイズ別係数!$B:$E,3,FALSE)</f>
        <v>1.4</v>
      </c>
      <c r="AA1230" s="26">
        <f>VLOOKUP($X1230,サイズ別係数!$B:$E,4,FALSE)</f>
        <v>1</v>
      </c>
      <c r="AB1230" s="5">
        <v>0</v>
      </c>
      <c r="AC1230" s="34" t="str">
        <f ca="1">VLOOKUP($AB1230,OFFSET([3]enemy_skill_sets!$B$2,0,0,COUNTA([3]enemy_skill_sets!$A:$A),MATCH(AC$1,[3]enemy_skill_sets!$1:$1,0)-MATCH($AB$1,[3]enemy_skill_sets!$1:$1,0)+1),MATCH(AC$1,[3]enemy_skill_sets!$1:$1,0)-MATCH($AB$1,[3]enemy_skill_sets!$1:$1,0)+1,FALSE)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0" s="67">
        <v>1</v>
      </c>
      <c r="AE1230" s="67">
        <v>1</v>
      </c>
      <c r="AF1230" s="37">
        <v>0</v>
      </c>
      <c r="AG1230" s="99">
        <f>ROUND(VLOOKUP(1,enemy_base_stats!$A:$F,2,FALSE) * Y1230* J1230*O1230*E1230*S1230*AD1230*[2]ステータス!$B$2,0)</f>
        <v>3995</v>
      </c>
      <c r="AH1230" s="99">
        <f>ROUND(VLOOKUP(1,enemy_base_stats!$A:$F,3,FALSE) * Z1230*K1230*P1230*F1230*T1230*AE1230 * W1230*[2]ステータス!$C$2,0)</f>
        <v>352</v>
      </c>
      <c r="AI1230" s="99">
        <f>ROUND(VLOOKUP(1,enemy_base_stats!$A:$F,4,FALSE) * AA1230*L1230*Q1230*G1230*U1230*AF1230*[2]ステータス!$D$2,0)</f>
        <v>0</v>
      </c>
      <c r="AJ1230" s="99">
        <f>ROUND(VLOOKUP(100,enemy_base_stats!$A:$F,2,FALSE) * Y1230* J1230*O1230*E1230*S1230*AD1230*[2]ステータス!$B$2,0)</f>
        <v>162197</v>
      </c>
      <c r="AK1230" s="99">
        <f>ROUND(VLOOKUP(100,enemy_base_stats!$A:$F,3,FALSE)* Z1230* K1230*P1230*F1230*T1230*AE1230 * W1230*[2]ステータス!$C$2,0)</f>
        <v>14302</v>
      </c>
      <c r="AL1230" s="99">
        <f>ROUND(VLOOKUP(100,enemy_base_stats!$A:$F,4,FALSE)* AA1230* L1230*Q1230*G1230*U1230*AF1230*[2]ステータス!$D$2,0)</f>
        <v>0</v>
      </c>
      <c r="AM1230" s="97">
        <f>VLOOKUP(M1230,[2]character_tribe_i18n!$A:$I,9,FALSE)</f>
        <v>400</v>
      </c>
      <c r="AN1230" s="36">
        <v>0</v>
      </c>
      <c r="AO1230" s="53">
        <v>0</v>
      </c>
      <c r="AP1230" s="58" t="s">
        <v>72</v>
      </c>
      <c r="AQ1230" s="71">
        <f t="shared" si="65"/>
        <v>1229</v>
      </c>
    </row>
    <row r="1231" spans="1:43" ht="21" customHeight="1" x14ac:dyDescent="0.15">
      <c r="A1231" s="7">
        <v>1230</v>
      </c>
      <c r="B1231" s="6" t="str">
        <f>VLOOKUP(A1231,[2]characters!$A:$C,3,FALSE)</f>
        <v>夏目漱石</v>
      </c>
      <c r="C1231" s="9">
        <f>VLOOKUP(A1231,[2]characters!$A:$I,9,FALSE)</f>
        <v>5</v>
      </c>
      <c r="D1231" s="9" t="str">
        <f>VLOOKUP(A1231,[2]characters!$A:$H,8,FALSE)</f>
        <v>yellow</v>
      </c>
      <c r="E1231" s="24">
        <f>VLOOKUP(D1231,[2]属性!$A:$E,2,FALSE)</f>
        <v>0.98</v>
      </c>
      <c r="F1231" s="24">
        <f>VLOOKUP(D1231,[2]属性!$A:$E,3,FALSE)</f>
        <v>1.01</v>
      </c>
      <c r="G1231" s="24">
        <f>VLOOKUP(D1231,[2]属性!$A:$F,4,FALSE)</f>
        <v>1</v>
      </c>
      <c r="H1231" s="9" t="str">
        <f>VLOOKUP(A1231,[2]characters!$A:$K,11,FALSE)</f>
        <v>heal</v>
      </c>
      <c r="I1231" s="14" t="str">
        <f>VLOOKUP(H1231,[2]character_type_i18n!$A:$F,3,FALSE)</f>
        <v>回復タイプ</v>
      </c>
      <c r="J1231" s="36">
        <f>VLOOKUP(H1231,[2]character_type_i18n!$A:$F,4,FALSE)</f>
        <v>0.8</v>
      </c>
      <c r="K1231" s="36">
        <f>VLOOKUP(H1231,[2]character_type_i18n!$A:$F,5,FALSE)</f>
        <v>0.78</v>
      </c>
      <c r="L1231" s="36">
        <f>VLOOKUP(H1231,[2]character_type_i18n!$A:$F,6,FALSE)</f>
        <v>1</v>
      </c>
      <c r="M1231" s="9" t="str">
        <f>VLOOKUP(A1231,[2]characters!$A:$M,13,FALSE)</f>
        <v>animal</v>
      </c>
      <c r="N1231" s="14" t="str">
        <f>VLOOKUP(M1231,[2]character_tribe_i18n!$A:$F,3,FALSE)</f>
        <v>アニマル</v>
      </c>
      <c r="O1231" s="24">
        <f>VLOOKUP(M1231,[2]character_tribe_i18n!$A:$F,4,FALSE)</f>
        <v>1</v>
      </c>
      <c r="P1231" s="24">
        <f>VLOOKUP(M1231,[2]character_tribe_i18n!$A:$F,5,FALSE)</f>
        <v>1.1000000000000001</v>
      </c>
      <c r="Q1231" s="24">
        <f>VLOOKUP(M1231,[2]character_tribe_i18n!$A:$F,6,FALSE)</f>
        <v>1</v>
      </c>
      <c r="R1231" s="25" t="s">
        <v>98</v>
      </c>
      <c r="S1231" s="24">
        <f>VLOOKUP($R1231,ラベル別係数!$A$1:$E$7,3,FALSE)</f>
        <v>5</v>
      </c>
      <c r="T1231" s="24">
        <f>VLOOKUP($R1231,ラベル別係数!$A$1:$E$7,4,FALSE)</f>
        <v>1.3</v>
      </c>
      <c r="U1231" s="24">
        <f>VLOOKUP($R1231,ラベル別係数!$A$1:$E$7,5,FALSE)</f>
        <v>0.8</v>
      </c>
      <c r="V1231" s="27">
        <v>3</v>
      </c>
      <c r="W1231" s="28">
        <f>VLOOKUP(V1231,ターン数別攻撃係数!$A$1:$B$1000,2,FALSE)</f>
        <v>1</v>
      </c>
      <c r="X1231" s="9">
        <f>VLOOKUP(C1231,サイズ別係数!A$2:B$9,2,FALSE)</f>
        <v>60</v>
      </c>
      <c r="Y1231" s="26">
        <f>VLOOKUP($X1231,サイズ別係数!$B:$E,2,FALSE)</f>
        <v>1.7</v>
      </c>
      <c r="Z1231" s="26">
        <f>VLOOKUP($X1231,サイズ別係数!$B:$E,3,FALSE)</f>
        <v>1.4</v>
      </c>
      <c r="AA1231" s="26">
        <f>VLOOKUP($X1231,サイズ別係数!$B:$E,4,FALSE)</f>
        <v>1</v>
      </c>
      <c r="AB1231" s="5">
        <v>0</v>
      </c>
      <c r="AC1231" s="34" t="str">
        <f ca="1">VLOOKUP($AB1231,OFFSET([3]enemy_skill_sets!$B$2,0,0,COUNTA([3]enemy_skill_sets!$A:$A),MATCH(AC$1,[3]enemy_skill_sets!$1:$1,0)-MATCH($AB$1,[3]enemy_skill_sets!$1:$1,0)+1),MATCH(AC$1,[3]enemy_skill_sets!$1:$1,0)-MATCH($AB$1,[3]enemy_skill_sets!$1:$1,0)+1,FALSE)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1" s="67">
        <v>1</v>
      </c>
      <c r="AE1231" s="67">
        <v>1</v>
      </c>
      <c r="AF1231" s="37">
        <v>0</v>
      </c>
      <c r="AG1231" s="99">
        <f>ROUND(VLOOKUP(1,enemy_base_stats!$A:$F,2,FALSE) * Y1231* J1231*O1231*E1231*S1231*AD1231*[2]ステータス!$B$2,0)</f>
        <v>3332</v>
      </c>
      <c r="AH1231" s="99">
        <f>ROUND(VLOOKUP(1,enemy_base_stats!$A:$F,3,FALSE) * Z1231*K1231*P1231*F1231*T1231*AE1231 * W1231*[2]ステータス!$C$2,0)</f>
        <v>237</v>
      </c>
      <c r="AI1231" s="99">
        <f>ROUND(VLOOKUP(1,enemy_base_stats!$A:$F,4,FALSE) * AA1231*L1231*Q1231*G1231*U1231*AF1231*[2]ステータス!$D$2,0)</f>
        <v>0</v>
      </c>
      <c r="AJ1231" s="99">
        <f>ROUND(VLOOKUP(100,enemy_base_stats!$A:$F,2,FALSE) * Y1231* J1231*O1231*E1231*S1231*AD1231*[2]ステータス!$B$2,0)</f>
        <v>135279</v>
      </c>
      <c r="AK1231" s="99">
        <f>ROUND(VLOOKUP(100,enemy_base_stats!$A:$F,3,FALSE)* Z1231* K1231*P1231*F1231*T1231*AE1231 * W1231*[2]ステータス!$C$2,0)</f>
        <v>9605</v>
      </c>
      <c r="AL1231" s="99">
        <f>ROUND(VLOOKUP(100,enemy_base_stats!$A:$F,4,FALSE)* AA1231* L1231*Q1231*G1231*U1231*AF1231*[2]ステータス!$D$2,0)</f>
        <v>0</v>
      </c>
      <c r="AM1231" s="97">
        <f>VLOOKUP(M1231,[2]character_tribe_i18n!$A:$I,9,FALSE)</f>
        <v>480</v>
      </c>
      <c r="AN1231" s="36">
        <v>0</v>
      </c>
      <c r="AO1231" s="53">
        <v>0</v>
      </c>
      <c r="AP1231" s="58" t="s">
        <v>72</v>
      </c>
      <c r="AQ1231" s="71">
        <f t="shared" si="65"/>
        <v>1230</v>
      </c>
    </row>
    <row r="1232" spans="1:43" ht="21" customHeight="1" x14ac:dyDescent="0.15">
      <c r="A1232" s="7">
        <v>1231</v>
      </c>
      <c r="B1232" s="6" t="str">
        <f>VLOOKUP(A1232,[2]characters!$A:$C,3,FALSE)</f>
        <v>思索する愛猫 夏目漱石</v>
      </c>
      <c r="C1232" s="9">
        <f>VLOOKUP(A1232,[2]characters!$A:$I,9,FALSE)</f>
        <v>6</v>
      </c>
      <c r="D1232" s="9" t="str">
        <f>VLOOKUP(A1232,[2]characters!$A:$H,8,FALSE)</f>
        <v>yellow</v>
      </c>
      <c r="E1232" s="24">
        <f>VLOOKUP(D1232,[2]属性!$A:$E,2,FALSE)</f>
        <v>0.98</v>
      </c>
      <c r="F1232" s="24">
        <f>VLOOKUP(D1232,[2]属性!$A:$E,3,FALSE)</f>
        <v>1.01</v>
      </c>
      <c r="G1232" s="24">
        <f>VLOOKUP(D1232,[2]属性!$A:$F,4,FALSE)</f>
        <v>1</v>
      </c>
      <c r="H1232" s="9" t="str">
        <f>VLOOKUP(A1232,[2]characters!$A:$K,11,FALSE)</f>
        <v>heal</v>
      </c>
      <c r="I1232" s="14" t="str">
        <f>VLOOKUP(H1232,[2]character_type_i18n!$A:$F,3,FALSE)</f>
        <v>回復タイプ</v>
      </c>
      <c r="J1232" s="36">
        <f>VLOOKUP(H1232,[2]character_type_i18n!$A:$F,4,FALSE)</f>
        <v>0.8</v>
      </c>
      <c r="K1232" s="36">
        <f>VLOOKUP(H1232,[2]character_type_i18n!$A:$F,5,FALSE)</f>
        <v>0.78</v>
      </c>
      <c r="L1232" s="36">
        <f>VLOOKUP(H1232,[2]character_type_i18n!$A:$F,6,FALSE)</f>
        <v>1</v>
      </c>
      <c r="M1232" s="9" t="str">
        <f>VLOOKUP(A1232,[2]characters!$A:$M,13,FALSE)</f>
        <v>animal</v>
      </c>
      <c r="N1232" s="14" t="str">
        <f>VLOOKUP(M1232,[2]character_tribe_i18n!$A:$F,3,FALSE)</f>
        <v>アニマル</v>
      </c>
      <c r="O1232" s="24">
        <f>VLOOKUP(M1232,[2]character_tribe_i18n!$A:$F,4,FALSE)</f>
        <v>1</v>
      </c>
      <c r="P1232" s="24">
        <f>VLOOKUP(M1232,[2]character_tribe_i18n!$A:$F,5,FALSE)</f>
        <v>1.1000000000000001</v>
      </c>
      <c r="Q1232" s="24">
        <f>VLOOKUP(M1232,[2]character_tribe_i18n!$A:$F,6,FALSE)</f>
        <v>1</v>
      </c>
      <c r="R1232" s="25" t="s">
        <v>98</v>
      </c>
      <c r="S1232" s="24">
        <f>VLOOKUP($R1232,ラベル別係数!$A$1:$E$7,3,FALSE)</f>
        <v>5</v>
      </c>
      <c r="T1232" s="24">
        <f>VLOOKUP($R1232,ラベル別係数!$A$1:$E$7,4,FALSE)</f>
        <v>1.3</v>
      </c>
      <c r="U1232" s="24">
        <f>VLOOKUP($R1232,ラベル別係数!$A$1:$E$7,5,FALSE)</f>
        <v>0.8</v>
      </c>
      <c r="V1232" s="27">
        <v>3</v>
      </c>
      <c r="W1232" s="28">
        <f>VLOOKUP(V1232,ターン数別攻撃係数!$A$1:$B$1000,2,FALSE)</f>
        <v>1</v>
      </c>
      <c r="X1232" s="9">
        <f>VLOOKUP(C1232,サイズ別係数!A$2:B$9,2,FALSE)</f>
        <v>60</v>
      </c>
      <c r="Y1232" s="26">
        <f>VLOOKUP($X1232,サイズ別係数!$B:$E,2,FALSE)</f>
        <v>1.7</v>
      </c>
      <c r="Z1232" s="26">
        <f>VLOOKUP($X1232,サイズ別係数!$B:$E,3,FALSE)</f>
        <v>1.4</v>
      </c>
      <c r="AA1232" s="26">
        <f>VLOOKUP($X1232,サイズ別係数!$B:$E,4,FALSE)</f>
        <v>1</v>
      </c>
      <c r="AB1232" s="5">
        <v>0</v>
      </c>
      <c r="AC1232" s="34" t="str">
        <f ca="1">VLOOKUP($AB1232,OFFSET([3]enemy_skill_sets!$B$2,0,0,COUNTA([3]enemy_skill_sets!$A:$A),MATCH(AC$1,[3]enemy_skill_sets!$1:$1,0)-MATCH($AB$1,[3]enemy_skill_sets!$1:$1,0)+1),MATCH(AC$1,[3]enemy_skill_sets!$1:$1,0)-MATCH($AB$1,[3]enemy_skill_sets!$1:$1,0)+1,FALSE)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2" s="67">
        <v>1</v>
      </c>
      <c r="AE1232" s="67">
        <v>1</v>
      </c>
      <c r="AF1232" s="37">
        <v>0</v>
      </c>
      <c r="AG1232" s="99">
        <f>ROUND(VLOOKUP(1,enemy_base_stats!$A:$F,2,FALSE) * Y1232* J1232*O1232*E1232*S1232*AD1232*[2]ステータス!$B$2,0)</f>
        <v>3332</v>
      </c>
      <c r="AH1232" s="99">
        <f>ROUND(VLOOKUP(1,enemy_base_stats!$A:$F,3,FALSE) * Z1232*K1232*P1232*F1232*T1232*AE1232 * W1232*[2]ステータス!$C$2,0)</f>
        <v>237</v>
      </c>
      <c r="AI1232" s="99">
        <f>ROUND(VLOOKUP(1,enemy_base_stats!$A:$F,4,FALSE) * AA1232*L1232*Q1232*G1232*U1232*AF1232*[2]ステータス!$D$2,0)</f>
        <v>0</v>
      </c>
      <c r="AJ1232" s="99">
        <f>ROUND(VLOOKUP(100,enemy_base_stats!$A:$F,2,FALSE) * Y1232* J1232*O1232*E1232*S1232*AD1232*[2]ステータス!$B$2,0)</f>
        <v>135279</v>
      </c>
      <c r="AK1232" s="99">
        <f>ROUND(VLOOKUP(100,enemy_base_stats!$A:$F,3,FALSE)* Z1232* K1232*P1232*F1232*T1232*AE1232 * W1232*[2]ステータス!$C$2,0)</f>
        <v>9605</v>
      </c>
      <c r="AL1232" s="99">
        <f>ROUND(VLOOKUP(100,enemy_base_stats!$A:$F,4,FALSE)* AA1232* L1232*Q1232*G1232*U1232*AF1232*[2]ステータス!$D$2,0)</f>
        <v>0</v>
      </c>
      <c r="AM1232" s="97">
        <f>VLOOKUP(M1232,[2]character_tribe_i18n!$A:$I,9,FALSE)</f>
        <v>480</v>
      </c>
      <c r="AN1232" s="36">
        <v>0</v>
      </c>
      <c r="AO1232" s="53">
        <v>0</v>
      </c>
      <c r="AP1232" s="58" t="s">
        <v>72</v>
      </c>
      <c r="AQ1232" s="71">
        <f t="shared" si="65"/>
        <v>1231</v>
      </c>
    </row>
    <row r="1233" spans="1:43" ht="21" customHeight="1" x14ac:dyDescent="0.15">
      <c r="A1233" s="7">
        <v>1232</v>
      </c>
      <c r="B1233" s="6" t="str">
        <f>VLOOKUP(A1233,[2]characters!$A:$C,3,FALSE)</f>
        <v>ケプラー</v>
      </c>
      <c r="C1233" s="9">
        <f>VLOOKUP(A1233,[2]characters!$A:$I,9,FALSE)</f>
        <v>5</v>
      </c>
      <c r="D1233" s="9" t="str">
        <f>VLOOKUP(A1233,[2]characters!$A:$H,8,FALSE)</f>
        <v>yellow</v>
      </c>
      <c r="E1233" s="24">
        <f>VLOOKUP(D1233,[2]属性!$A:$E,2,FALSE)</f>
        <v>0.98</v>
      </c>
      <c r="F1233" s="24">
        <f>VLOOKUP(D1233,[2]属性!$A:$E,3,FALSE)</f>
        <v>1.01</v>
      </c>
      <c r="G1233" s="24">
        <f>VLOOKUP(D1233,[2]属性!$A:$F,4,FALSE)</f>
        <v>1</v>
      </c>
      <c r="H1233" s="9" t="str">
        <f>VLOOKUP(A1233,[2]characters!$A:$K,11,FALSE)</f>
        <v>attack</v>
      </c>
      <c r="I1233" s="14" t="str">
        <f>VLOOKUP(H1233,[2]character_type_i18n!$A:$F,3,FALSE)</f>
        <v>攻撃タイプ</v>
      </c>
      <c r="J1233" s="36">
        <f>VLOOKUP(H1233,[2]character_type_i18n!$A:$F,4,FALSE)</f>
        <v>1</v>
      </c>
      <c r="K1233" s="36">
        <f>VLOOKUP(H1233,[2]character_type_i18n!$A:$F,5,FALSE)</f>
        <v>1.33</v>
      </c>
      <c r="L1233" s="36">
        <f>VLOOKUP(H1233,[2]character_type_i18n!$A:$F,6,FALSE)</f>
        <v>1</v>
      </c>
      <c r="M1233" s="9" t="str">
        <f>VLOOKUP(A1233,[2]characters!$A:$M,13,FALSE)</f>
        <v>academia</v>
      </c>
      <c r="N1233" s="14" t="str">
        <f>VLOOKUP(M1233,[2]character_tribe_i18n!$A:$F,3,FALSE)</f>
        <v>アカデミア</v>
      </c>
      <c r="O1233" s="24">
        <f>VLOOKUP(M1233,[2]character_tribe_i18n!$A:$F,4,FALSE)</f>
        <v>1</v>
      </c>
      <c r="P1233" s="24">
        <f>VLOOKUP(M1233,[2]character_tribe_i18n!$A:$F,5,FALSE)</f>
        <v>1</v>
      </c>
      <c r="Q1233" s="24">
        <f>VLOOKUP(M1233,[2]character_tribe_i18n!$A:$F,6,FALSE)</f>
        <v>1</v>
      </c>
      <c r="R1233" s="25" t="s">
        <v>98</v>
      </c>
      <c r="S1233" s="24">
        <f>VLOOKUP($R1233,ラベル別係数!$A$1:$E$7,3,FALSE)</f>
        <v>5</v>
      </c>
      <c r="T1233" s="24">
        <f>VLOOKUP($R1233,ラベル別係数!$A$1:$E$7,4,FALSE)</f>
        <v>1.3</v>
      </c>
      <c r="U1233" s="24">
        <f>VLOOKUP($R1233,ラベル別係数!$A$1:$E$7,5,FALSE)</f>
        <v>0.8</v>
      </c>
      <c r="V1233" s="27">
        <v>3</v>
      </c>
      <c r="W1233" s="28">
        <f>VLOOKUP(V1233,ターン数別攻撃係数!$A$1:$B$1000,2,FALSE)</f>
        <v>1</v>
      </c>
      <c r="X1233" s="9">
        <f>VLOOKUP(C1233,サイズ別係数!A$2:B$9,2,FALSE)</f>
        <v>60</v>
      </c>
      <c r="Y1233" s="26">
        <f>VLOOKUP($X1233,サイズ別係数!$B:$E,2,FALSE)</f>
        <v>1.7</v>
      </c>
      <c r="Z1233" s="26">
        <f>VLOOKUP($X1233,サイズ別係数!$B:$E,3,FALSE)</f>
        <v>1.4</v>
      </c>
      <c r="AA1233" s="26">
        <f>VLOOKUP($X1233,サイズ別係数!$B:$E,4,FALSE)</f>
        <v>1</v>
      </c>
      <c r="AB1233" s="5">
        <v>0</v>
      </c>
      <c r="AC1233" s="34" t="str">
        <f ca="1">VLOOKUP($AB1233,OFFSET([3]enemy_skill_sets!$B$2,0,0,COUNTA([3]enemy_skill_sets!$A:$A),MATCH(AC$1,[3]enemy_skill_sets!$1:$1,0)-MATCH($AB$1,[3]enemy_skill_sets!$1:$1,0)+1),MATCH(AC$1,[3]enemy_skill_sets!$1:$1,0)-MATCH($AB$1,[3]enemy_skill_sets!$1:$1,0)+1,FALSE)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3" s="67">
        <v>1</v>
      </c>
      <c r="AE1233" s="67">
        <v>1</v>
      </c>
      <c r="AF1233" s="37">
        <v>0</v>
      </c>
      <c r="AG1233" s="99">
        <f>ROUND(VLOOKUP(1,enemy_base_stats!$A:$F,2,FALSE) * Y1233* J1233*O1233*E1233*S1233*AD1233*[2]ステータス!$B$2,0)</f>
        <v>4165</v>
      </c>
      <c r="AH1233" s="99">
        <f>ROUND(VLOOKUP(1,enemy_base_stats!$A:$F,3,FALSE) * Z1233*K1233*P1233*F1233*T1233*AE1233 * W1233*[2]ステータス!$C$2,0)</f>
        <v>367</v>
      </c>
      <c r="AI1233" s="99">
        <f>ROUND(VLOOKUP(1,enemy_base_stats!$A:$F,4,FALSE) * AA1233*L1233*Q1233*G1233*U1233*AF1233*[2]ステータス!$D$2,0)</f>
        <v>0</v>
      </c>
      <c r="AJ1233" s="99">
        <f>ROUND(VLOOKUP(100,enemy_base_stats!$A:$F,2,FALSE) * Y1233* J1233*O1233*E1233*S1233*AD1233*[2]ステータス!$B$2,0)</f>
        <v>169099</v>
      </c>
      <c r="AK1233" s="99">
        <f>ROUND(VLOOKUP(100,enemy_base_stats!$A:$F,3,FALSE)* Z1233* K1233*P1233*F1233*T1233*AE1233 * W1233*[2]ステータス!$C$2,0)</f>
        <v>14889</v>
      </c>
      <c r="AL1233" s="99">
        <f>ROUND(VLOOKUP(100,enemy_base_stats!$A:$F,4,FALSE)* AA1233* L1233*Q1233*G1233*U1233*AF1233*[2]ステータス!$D$2,0)</f>
        <v>0</v>
      </c>
      <c r="AM1233" s="97">
        <f>VLOOKUP(M1233,[2]character_tribe_i18n!$A:$I,9,FALSE)</f>
        <v>400</v>
      </c>
      <c r="AN1233" s="36">
        <v>0</v>
      </c>
      <c r="AO1233" s="53">
        <v>0</v>
      </c>
      <c r="AP1233" s="58" t="s">
        <v>72</v>
      </c>
      <c r="AQ1233" s="71">
        <f t="shared" si="65"/>
        <v>1232</v>
      </c>
    </row>
    <row r="1234" spans="1:43" ht="21" customHeight="1" x14ac:dyDescent="0.15">
      <c r="A1234" s="7">
        <v>1233</v>
      </c>
      <c r="B1234" s="6" t="str">
        <f>VLOOKUP(A1234,[2]characters!$A:$C,3,FALSE)</f>
        <v>天体の大砲速 ケプラー</v>
      </c>
      <c r="C1234" s="9">
        <f>VLOOKUP(A1234,[2]characters!$A:$I,9,FALSE)</f>
        <v>6</v>
      </c>
      <c r="D1234" s="9" t="str">
        <f>VLOOKUP(A1234,[2]characters!$A:$H,8,FALSE)</f>
        <v>yellow</v>
      </c>
      <c r="E1234" s="24">
        <f>VLOOKUP(D1234,[2]属性!$A:$E,2,FALSE)</f>
        <v>0.98</v>
      </c>
      <c r="F1234" s="24">
        <f>VLOOKUP(D1234,[2]属性!$A:$E,3,FALSE)</f>
        <v>1.01</v>
      </c>
      <c r="G1234" s="24">
        <f>VLOOKUP(D1234,[2]属性!$A:$F,4,FALSE)</f>
        <v>1</v>
      </c>
      <c r="H1234" s="9" t="str">
        <f>VLOOKUP(A1234,[2]characters!$A:$K,11,FALSE)</f>
        <v>attack</v>
      </c>
      <c r="I1234" s="14" t="str">
        <f>VLOOKUP(H1234,[2]character_type_i18n!$A:$F,3,FALSE)</f>
        <v>攻撃タイプ</v>
      </c>
      <c r="J1234" s="36">
        <f>VLOOKUP(H1234,[2]character_type_i18n!$A:$F,4,FALSE)</f>
        <v>1</v>
      </c>
      <c r="K1234" s="36">
        <f>VLOOKUP(H1234,[2]character_type_i18n!$A:$F,5,FALSE)</f>
        <v>1.33</v>
      </c>
      <c r="L1234" s="36">
        <f>VLOOKUP(H1234,[2]character_type_i18n!$A:$F,6,FALSE)</f>
        <v>1</v>
      </c>
      <c r="M1234" s="9" t="str">
        <f>VLOOKUP(A1234,[2]characters!$A:$M,13,FALSE)</f>
        <v>academia</v>
      </c>
      <c r="N1234" s="14" t="str">
        <f>VLOOKUP(M1234,[2]character_tribe_i18n!$A:$F,3,FALSE)</f>
        <v>アカデミア</v>
      </c>
      <c r="O1234" s="24">
        <f>VLOOKUP(M1234,[2]character_tribe_i18n!$A:$F,4,FALSE)</f>
        <v>1</v>
      </c>
      <c r="P1234" s="24">
        <f>VLOOKUP(M1234,[2]character_tribe_i18n!$A:$F,5,FALSE)</f>
        <v>1</v>
      </c>
      <c r="Q1234" s="24">
        <f>VLOOKUP(M1234,[2]character_tribe_i18n!$A:$F,6,FALSE)</f>
        <v>1</v>
      </c>
      <c r="R1234" s="25" t="s">
        <v>98</v>
      </c>
      <c r="S1234" s="24">
        <f>VLOOKUP($R1234,ラベル別係数!$A$1:$E$7,3,FALSE)</f>
        <v>5</v>
      </c>
      <c r="T1234" s="24">
        <f>VLOOKUP($R1234,ラベル別係数!$A$1:$E$7,4,FALSE)</f>
        <v>1.3</v>
      </c>
      <c r="U1234" s="24">
        <f>VLOOKUP($R1234,ラベル別係数!$A$1:$E$7,5,FALSE)</f>
        <v>0.8</v>
      </c>
      <c r="V1234" s="27">
        <v>3</v>
      </c>
      <c r="W1234" s="28">
        <f>VLOOKUP(V1234,ターン数別攻撃係数!$A$1:$B$1000,2,FALSE)</f>
        <v>1</v>
      </c>
      <c r="X1234" s="9">
        <f>VLOOKUP(C1234,サイズ別係数!A$2:B$9,2,FALSE)</f>
        <v>60</v>
      </c>
      <c r="Y1234" s="26">
        <f>VLOOKUP($X1234,サイズ別係数!$B:$E,2,FALSE)</f>
        <v>1.7</v>
      </c>
      <c r="Z1234" s="26">
        <f>VLOOKUP($X1234,サイズ別係数!$B:$E,3,FALSE)</f>
        <v>1.4</v>
      </c>
      <c r="AA1234" s="26">
        <f>VLOOKUP($X1234,サイズ別係数!$B:$E,4,FALSE)</f>
        <v>1</v>
      </c>
      <c r="AB1234" s="5">
        <v>0</v>
      </c>
      <c r="AC1234" s="34" t="str">
        <f ca="1">VLOOKUP($AB1234,OFFSET([3]enemy_skill_sets!$B$2,0,0,COUNTA([3]enemy_skill_sets!$A:$A),MATCH(AC$1,[3]enemy_skill_sets!$1:$1,0)-MATCH($AB$1,[3]enemy_skill_sets!$1:$1,0)+1),MATCH(AC$1,[3]enemy_skill_sets!$1:$1,0)-MATCH($AB$1,[3]enemy_skill_sets!$1:$1,0)+1,FALSE)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4" s="67">
        <v>1</v>
      </c>
      <c r="AE1234" s="67">
        <v>1</v>
      </c>
      <c r="AF1234" s="37">
        <v>0</v>
      </c>
      <c r="AG1234" s="99">
        <f>ROUND(VLOOKUP(1,enemy_base_stats!$A:$F,2,FALSE) * Y1234* J1234*O1234*E1234*S1234*AD1234*[2]ステータス!$B$2,0)</f>
        <v>4165</v>
      </c>
      <c r="AH1234" s="99">
        <f>ROUND(VLOOKUP(1,enemy_base_stats!$A:$F,3,FALSE) * Z1234*K1234*P1234*F1234*T1234*AE1234 * W1234*[2]ステータス!$C$2,0)</f>
        <v>367</v>
      </c>
      <c r="AI1234" s="99">
        <f>ROUND(VLOOKUP(1,enemy_base_stats!$A:$F,4,FALSE) * AA1234*L1234*Q1234*G1234*U1234*AF1234*[2]ステータス!$D$2,0)</f>
        <v>0</v>
      </c>
      <c r="AJ1234" s="99">
        <f>ROUND(VLOOKUP(100,enemy_base_stats!$A:$F,2,FALSE) * Y1234* J1234*O1234*E1234*S1234*AD1234*[2]ステータス!$B$2,0)</f>
        <v>169099</v>
      </c>
      <c r="AK1234" s="99">
        <f>ROUND(VLOOKUP(100,enemy_base_stats!$A:$F,3,FALSE)* Z1234* K1234*P1234*F1234*T1234*AE1234 * W1234*[2]ステータス!$C$2,0)</f>
        <v>14889</v>
      </c>
      <c r="AL1234" s="99">
        <f>ROUND(VLOOKUP(100,enemy_base_stats!$A:$F,4,FALSE)* AA1234* L1234*Q1234*G1234*U1234*AF1234*[2]ステータス!$D$2,0)</f>
        <v>0</v>
      </c>
      <c r="AM1234" s="97">
        <f>VLOOKUP(M1234,[2]character_tribe_i18n!$A:$I,9,FALSE)</f>
        <v>400</v>
      </c>
      <c r="AN1234" s="36">
        <v>0</v>
      </c>
      <c r="AO1234" s="53">
        <v>0</v>
      </c>
      <c r="AP1234" s="58" t="s">
        <v>72</v>
      </c>
      <c r="AQ1234" s="71">
        <f t="shared" si="65"/>
        <v>1233</v>
      </c>
    </row>
    <row r="1235" spans="1:43" ht="21" customHeight="1" x14ac:dyDescent="0.15">
      <c r="A1235" s="7">
        <v>1234</v>
      </c>
      <c r="B1235" s="6" t="str">
        <f>VLOOKUP(A1235,[2]characters!$A:$C,3,FALSE)</f>
        <v>ボーア</v>
      </c>
      <c r="C1235" s="9">
        <f>VLOOKUP(A1235,[2]characters!$A:$I,9,FALSE)</f>
        <v>5</v>
      </c>
      <c r="D1235" s="9" t="str">
        <f>VLOOKUP(A1235,[2]characters!$A:$H,8,FALSE)</f>
        <v>red</v>
      </c>
      <c r="E1235" s="24">
        <f>VLOOKUP(D1235,[2]属性!$A:$E,2,FALSE)</f>
        <v>1</v>
      </c>
      <c r="F1235" s="24">
        <f>VLOOKUP(D1235,[2]属性!$A:$E,3,FALSE)</f>
        <v>1.02</v>
      </c>
      <c r="G1235" s="24">
        <f>VLOOKUP(D1235,[2]属性!$A:$F,4,FALSE)</f>
        <v>1</v>
      </c>
      <c r="H1235" s="9" t="str">
        <f>VLOOKUP(A1235,[2]characters!$A:$K,11,FALSE)</f>
        <v>attack</v>
      </c>
      <c r="I1235" s="14" t="str">
        <f>VLOOKUP(H1235,[2]character_type_i18n!$A:$F,3,FALSE)</f>
        <v>攻撃タイプ</v>
      </c>
      <c r="J1235" s="36">
        <f>VLOOKUP(H1235,[2]character_type_i18n!$A:$F,4,FALSE)</f>
        <v>1</v>
      </c>
      <c r="K1235" s="36">
        <f>VLOOKUP(H1235,[2]character_type_i18n!$A:$F,5,FALSE)</f>
        <v>1.33</v>
      </c>
      <c r="L1235" s="36">
        <f>VLOOKUP(H1235,[2]character_type_i18n!$A:$F,6,FALSE)</f>
        <v>1</v>
      </c>
      <c r="M1235" s="9" t="str">
        <f>VLOOKUP(A1235,[2]characters!$A:$M,13,FALSE)</f>
        <v>academia</v>
      </c>
      <c r="N1235" s="14" t="str">
        <f>VLOOKUP(M1235,[2]character_tribe_i18n!$A:$F,3,FALSE)</f>
        <v>アカデミア</v>
      </c>
      <c r="O1235" s="24">
        <f>VLOOKUP(M1235,[2]character_tribe_i18n!$A:$F,4,FALSE)</f>
        <v>1</v>
      </c>
      <c r="P1235" s="24">
        <f>VLOOKUP(M1235,[2]character_tribe_i18n!$A:$F,5,FALSE)</f>
        <v>1</v>
      </c>
      <c r="Q1235" s="24">
        <f>VLOOKUP(M1235,[2]character_tribe_i18n!$A:$F,6,FALSE)</f>
        <v>1</v>
      </c>
      <c r="R1235" s="25" t="s">
        <v>98</v>
      </c>
      <c r="S1235" s="24">
        <f>VLOOKUP($R1235,ラベル別係数!$A$1:$E$7,3,FALSE)</f>
        <v>5</v>
      </c>
      <c r="T1235" s="24">
        <f>VLOOKUP($R1235,ラベル別係数!$A$1:$E$7,4,FALSE)</f>
        <v>1.3</v>
      </c>
      <c r="U1235" s="24">
        <f>VLOOKUP($R1235,ラベル別係数!$A$1:$E$7,5,FALSE)</f>
        <v>0.8</v>
      </c>
      <c r="V1235" s="27">
        <v>3</v>
      </c>
      <c r="W1235" s="28">
        <f>VLOOKUP(V1235,ターン数別攻撃係数!$A$1:$B$1000,2,FALSE)</f>
        <v>1</v>
      </c>
      <c r="X1235" s="9">
        <f>VLOOKUP(C1235,サイズ別係数!A$2:B$9,2,FALSE)</f>
        <v>60</v>
      </c>
      <c r="Y1235" s="26">
        <f>VLOOKUP($X1235,サイズ別係数!$B:$E,2,FALSE)</f>
        <v>1.7</v>
      </c>
      <c r="Z1235" s="26">
        <f>VLOOKUP($X1235,サイズ別係数!$B:$E,3,FALSE)</f>
        <v>1.4</v>
      </c>
      <c r="AA1235" s="26">
        <f>VLOOKUP($X1235,サイズ別係数!$B:$E,4,FALSE)</f>
        <v>1</v>
      </c>
      <c r="AB1235" s="5">
        <v>0</v>
      </c>
      <c r="AC1235" s="34" t="str">
        <f ca="1">VLOOKUP($AB1235,OFFSET([3]enemy_skill_sets!$B$2,0,0,COUNTA([3]enemy_skill_sets!$A:$A),MATCH(AC$1,[3]enemy_skill_sets!$1:$1,0)-MATCH($AB$1,[3]enemy_skill_sets!$1:$1,0)+1),MATCH(AC$1,[3]enemy_skill_sets!$1:$1,0)-MATCH($AB$1,[3]enemy_skill_sets!$1:$1,0)+1,FALSE)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5" s="67">
        <v>1</v>
      </c>
      <c r="AE1235" s="67">
        <v>1</v>
      </c>
      <c r="AF1235" s="37">
        <v>0</v>
      </c>
      <c r="AG1235" s="99">
        <f>ROUND(VLOOKUP(1,enemy_base_stats!$A:$F,2,FALSE) * Y1235* J1235*O1235*E1235*S1235*AD1235*[2]ステータス!$B$2,0)</f>
        <v>4250</v>
      </c>
      <c r="AH1235" s="99">
        <f>ROUND(VLOOKUP(1,enemy_base_stats!$A:$F,3,FALSE) * Z1235*K1235*P1235*F1235*T1235*AE1235 * W1235*[2]ステータス!$C$2,0)</f>
        <v>370</v>
      </c>
      <c r="AI1235" s="99">
        <f>ROUND(VLOOKUP(1,enemy_base_stats!$A:$F,4,FALSE) * AA1235*L1235*Q1235*G1235*U1235*AF1235*[2]ステータス!$D$2,0)</f>
        <v>0</v>
      </c>
      <c r="AJ1235" s="99">
        <f>ROUND(VLOOKUP(100,enemy_base_stats!$A:$F,2,FALSE) * Y1235* J1235*O1235*E1235*S1235*AD1235*[2]ステータス!$B$2,0)</f>
        <v>172550</v>
      </c>
      <c r="AK1235" s="99">
        <f>ROUND(VLOOKUP(100,enemy_base_stats!$A:$F,3,FALSE)* Z1235* K1235*P1235*F1235*T1235*AE1235 * W1235*[2]ステータス!$C$2,0)</f>
        <v>15036</v>
      </c>
      <c r="AL1235" s="99">
        <f>ROUND(VLOOKUP(100,enemy_base_stats!$A:$F,4,FALSE)* AA1235* L1235*Q1235*G1235*U1235*AF1235*[2]ステータス!$D$2,0)</f>
        <v>0</v>
      </c>
      <c r="AM1235" s="97">
        <f>VLOOKUP(M1235,[2]character_tribe_i18n!$A:$I,9,FALSE)</f>
        <v>400</v>
      </c>
      <c r="AN1235" s="36">
        <v>0</v>
      </c>
      <c r="AO1235" s="53">
        <v>0</v>
      </c>
      <c r="AP1235" s="58" t="s">
        <v>72</v>
      </c>
      <c r="AQ1235" s="71">
        <f t="shared" si="65"/>
        <v>1234</v>
      </c>
    </row>
    <row r="1236" spans="1:43" ht="21" customHeight="1" x14ac:dyDescent="0.15">
      <c r="A1236" s="7">
        <v>1235</v>
      </c>
      <c r="B1236" s="6" t="str">
        <f>VLOOKUP(A1236,[2]characters!$A:$C,3,FALSE)</f>
        <v>哲壁の育護者 ボーア</v>
      </c>
      <c r="C1236" s="9">
        <f>VLOOKUP(A1236,[2]characters!$A:$I,9,FALSE)</f>
        <v>6</v>
      </c>
      <c r="D1236" s="9" t="str">
        <f>VLOOKUP(A1236,[2]characters!$A:$H,8,FALSE)</f>
        <v>red</v>
      </c>
      <c r="E1236" s="24">
        <f>VLOOKUP(D1236,[2]属性!$A:$E,2,FALSE)</f>
        <v>1</v>
      </c>
      <c r="F1236" s="24">
        <f>VLOOKUP(D1236,[2]属性!$A:$E,3,FALSE)</f>
        <v>1.02</v>
      </c>
      <c r="G1236" s="24">
        <f>VLOOKUP(D1236,[2]属性!$A:$F,4,FALSE)</f>
        <v>1</v>
      </c>
      <c r="H1236" s="9" t="str">
        <f>VLOOKUP(A1236,[2]characters!$A:$K,11,FALSE)</f>
        <v>attack</v>
      </c>
      <c r="I1236" s="14" t="str">
        <f>VLOOKUP(H1236,[2]character_type_i18n!$A:$F,3,FALSE)</f>
        <v>攻撃タイプ</v>
      </c>
      <c r="J1236" s="36">
        <f>VLOOKUP(H1236,[2]character_type_i18n!$A:$F,4,FALSE)</f>
        <v>1</v>
      </c>
      <c r="K1236" s="36">
        <f>VLOOKUP(H1236,[2]character_type_i18n!$A:$F,5,FALSE)</f>
        <v>1.33</v>
      </c>
      <c r="L1236" s="36">
        <f>VLOOKUP(H1236,[2]character_type_i18n!$A:$F,6,FALSE)</f>
        <v>1</v>
      </c>
      <c r="M1236" s="9" t="str">
        <f>VLOOKUP(A1236,[2]characters!$A:$M,13,FALSE)</f>
        <v>academia</v>
      </c>
      <c r="N1236" s="14" t="str">
        <f>VLOOKUP(M1236,[2]character_tribe_i18n!$A:$F,3,FALSE)</f>
        <v>アカデミア</v>
      </c>
      <c r="O1236" s="24">
        <f>VLOOKUP(M1236,[2]character_tribe_i18n!$A:$F,4,FALSE)</f>
        <v>1</v>
      </c>
      <c r="P1236" s="24">
        <f>VLOOKUP(M1236,[2]character_tribe_i18n!$A:$F,5,FALSE)</f>
        <v>1</v>
      </c>
      <c r="Q1236" s="24">
        <f>VLOOKUP(M1236,[2]character_tribe_i18n!$A:$F,6,FALSE)</f>
        <v>1</v>
      </c>
      <c r="R1236" s="25" t="s">
        <v>98</v>
      </c>
      <c r="S1236" s="24">
        <f>VLOOKUP($R1236,ラベル別係数!$A$1:$E$7,3,FALSE)</f>
        <v>5</v>
      </c>
      <c r="T1236" s="24">
        <f>VLOOKUP($R1236,ラベル別係数!$A$1:$E$7,4,FALSE)</f>
        <v>1.3</v>
      </c>
      <c r="U1236" s="24">
        <f>VLOOKUP($R1236,ラベル別係数!$A$1:$E$7,5,FALSE)</f>
        <v>0.8</v>
      </c>
      <c r="V1236" s="27">
        <v>3</v>
      </c>
      <c r="W1236" s="28">
        <f>VLOOKUP(V1236,ターン数別攻撃係数!$A$1:$B$1000,2,FALSE)</f>
        <v>1</v>
      </c>
      <c r="X1236" s="9">
        <f>VLOOKUP(C1236,サイズ別係数!A$2:B$9,2,FALSE)</f>
        <v>60</v>
      </c>
      <c r="Y1236" s="26">
        <f>VLOOKUP($X1236,サイズ別係数!$B:$E,2,FALSE)</f>
        <v>1.7</v>
      </c>
      <c r="Z1236" s="26">
        <f>VLOOKUP($X1236,サイズ別係数!$B:$E,3,FALSE)</f>
        <v>1.4</v>
      </c>
      <c r="AA1236" s="26">
        <f>VLOOKUP($X1236,サイズ別係数!$B:$E,4,FALSE)</f>
        <v>1</v>
      </c>
      <c r="AB1236" s="5">
        <v>0</v>
      </c>
      <c r="AC1236" s="34" t="str">
        <f ca="1">VLOOKUP($AB1236,OFFSET([3]enemy_skill_sets!$B$2,0,0,COUNTA([3]enemy_skill_sets!$A:$A),MATCH(AC$1,[3]enemy_skill_sets!$1:$1,0)-MATCH($AB$1,[3]enemy_skill_sets!$1:$1,0)+1),MATCH(AC$1,[3]enemy_skill_sets!$1:$1,0)-MATCH($AB$1,[3]enemy_skill_sets!$1:$1,0)+1,FALSE)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6" s="67">
        <v>1</v>
      </c>
      <c r="AE1236" s="67">
        <v>1</v>
      </c>
      <c r="AF1236" s="37">
        <v>0</v>
      </c>
      <c r="AG1236" s="99">
        <f>ROUND(VLOOKUP(1,enemy_base_stats!$A:$F,2,FALSE) * Y1236* J1236*O1236*E1236*S1236*AD1236*[2]ステータス!$B$2,0)</f>
        <v>4250</v>
      </c>
      <c r="AH1236" s="99">
        <f>ROUND(VLOOKUP(1,enemy_base_stats!$A:$F,3,FALSE) * Z1236*K1236*P1236*F1236*T1236*AE1236 * W1236*[2]ステータス!$C$2,0)</f>
        <v>370</v>
      </c>
      <c r="AI1236" s="99">
        <f>ROUND(VLOOKUP(1,enemy_base_stats!$A:$F,4,FALSE) * AA1236*L1236*Q1236*G1236*U1236*AF1236*[2]ステータス!$D$2,0)</f>
        <v>0</v>
      </c>
      <c r="AJ1236" s="99">
        <f>ROUND(VLOOKUP(100,enemy_base_stats!$A:$F,2,FALSE) * Y1236* J1236*O1236*E1236*S1236*AD1236*[2]ステータス!$B$2,0)</f>
        <v>172550</v>
      </c>
      <c r="AK1236" s="99">
        <f>ROUND(VLOOKUP(100,enemy_base_stats!$A:$F,3,FALSE)* Z1236* K1236*P1236*F1236*T1236*AE1236 * W1236*[2]ステータス!$C$2,0)</f>
        <v>15036</v>
      </c>
      <c r="AL1236" s="99">
        <f>ROUND(VLOOKUP(100,enemy_base_stats!$A:$F,4,FALSE)* AA1236* L1236*Q1236*G1236*U1236*AF1236*[2]ステータス!$D$2,0)</f>
        <v>0</v>
      </c>
      <c r="AM1236" s="97">
        <f>VLOOKUP(M1236,[2]character_tribe_i18n!$A:$I,9,FALSE)</f>
        <v>400</v>
      </c>
      <c r="AN1236" s="36">
        <v>0</v>
      </c>
      <c r="AO1236" s="53">
        <v>0</v>
      </c>
      <c r="AP1236" s="58" t="s">
        <v>72</v>
      </c>
      <c r="AQ1236" s="71">
        <f t="shared" si="65"/>
        <v>1235</v>
      </c>
    </row>
    <row r="1237" spans="1:43" ht="21" customHeight="1" x14ac:dyDescent="0.15">
      <c r="A1237" s="7">
        <v>1236</v>
      </c>
      <c r="B1237" s="6" t="str">
        <f>VLOOKUP(A1237,[2]characters!$A:$C,3,FALSE)</f>
        <v>千利休</v>
      </c>
      <c r="C1237" s="9">
        <f>VLOOKUP(A1237,[2]characters!$A:$I,9,FALSE)</f>
        <v>4</v>
      </c>
      <c r="D1237" s="9" t="str">
        <f>VLOOKUP(A1237,[2]characters!$A:$H,8,FALSE)</f>
        <v>yellow</v>
      </c>
      <c r="E1237" s="24">
        <f>VLOOKUP(D1237,[2]属性!$A:$E,2,FALSE)</f>
        <v>0.98</v>
      </c>
      <c r="F1237" s="24">
        <f>VLOOKUP(D1237,[2]属性!$A:$E,3,FALSE)</f>
        <v>1.01</v>
      </c>
      <c r="G1237" s="24">
        <f>VLOOKUP(D1237,[2]属性!$A:$F,4,FALSE)</f>
        <v>1</v>
      </c>
      <c r="H1237" s="9" t="str">
        <f>VLOOKUP(A1237,[2]characters!$A:$K,11,FALSE)</f>
        <v>balance</v>
      </c>
      <c r="I1237" s="14" t="str">
        <f>VLOOKUP(H1237,[2]character_type_i18n!$A:$F,3,FALSE)</f>
        <v>バランスタイプ</v>
      </c>
      <c r="J1237" s="36">
        <f>VLOOKUP(H1237,[2]character_type_i18n!$A:$F,4,FALSE)</f>
        <v>1</v>
      </c>
      <c r="K1237" s="36">
        <f>VLOOKUP(H1237,[2]character_type_i18n!$A:$F,5,FALSE)</f>
        <v>1</v>
      </c>
      <c r="L1237" s="36">
        <f>VLOOKUP(H1237,[2]character_type_i18n!$A:$F,6,FALSE)</f>
        <v>1</v>
      </c>
      <c r="M1237" s="9" t="str">
        <f>VLOOKUP(A1237,[2]characters!$A:$M,13,FALSE)</f>
        <v>unknown</v>
      </c>
      <c r="N1237" s="14" t="str">
        <f>VLOOKUP(M1237,[2]character_tribe_i18n!$A:$F,3,FALSE)</f>
        <v>Unknown</v>
      </c>
      <c r="O1237" s="24">
        <f>VLOOKUP(M1237,[2]character_tribe_i18n!$A:$F,4,FALSE)</f>
        <v>1</v>
      </c>
      <c r="P1237" s="24">
        <f>VLOOKUP(M1237,[2]character_tribe_i18n!$A:$F,5,FALSE)</f>
        <v>1</v>
      </c>
      <c r="Q1237" s="24">
        <f>VLOOKUP(M1237,[2]character_tribe_i18n!$A:$F,6,FALSE)</f>
        <v>1</v>
      </c>
      <c r="R1237" s="25" t="s">
        <v>98</v>
      </c>
      <c r="S1237" s="24">
        <f>VLOOKUP($R1237,ラベル別係数!$A$1:$E$7,3,FALSE)</f>
        <v>5</v>
      </c>
      <c r="T1237" s="24">
        <f>VLOOKUP($R1237,ラベル別係数!$A$1:$E$7,4,FALSE)</f>
        <v>1.3</v>
      </c>
      <c r="U1237" s="24">
        <f>VLOOKUP($R1237,ラベル別係数!$A$1:$E$7,5,FALSE)</f>
        <v>0.8</v>
      </c>
      <c r="V1237" s="27">
        <v>3</v>
      </c>
      <c r="W1237" s="28">
        <f>VLOOKUP(V1237,ターン数別攻撃係数!$A$1:$B$1000,2,FALSE)</f>
        <v>1</v>
      </c>
      <c r="X1237" s="9">
        <f>VLOOKUP(C1237,サイズ別係数!A$2:B$9,2,FALSE)</f>
        <v>30</v>
      </c>
      <c r="Y1237" s="26">
        <f>VLOOKUP($X1237,サイズ別係数!$B:$E,2,FALSE)</f>
        <v>1.3</v>
      </c>
      <c r="Z1237" s="26">
        <f>VLOOKUP($X1237,サイズ別係数!$B:$E,3,FALSE)</f>
        <v>1.3</v>
      </c>
      <c r="AA1237" s="26">
        <f>VLOOKUP($X1237,サイズ別係数!$B:$E,4,FALSE)</f>
        <v>1.1000000000000001</v>
      </c>
      <c r="AB1237" s="5">
        <v>0</v>
      </c>
      <c r="AC1237" s="34" t="str">
        <f ca="1">VLOOKUP($AB1237,OFFSET([3]enemy_skill_sets!$B$2,0,0,COUNTA([3]enemy_skill_sets!$A:$A),MATCH(AC$1,[3]enemy_skill_sets!$1:$1,0)-MATCH($AB$1,[3]enemy_skill_sets!$1:$1,0)+1),MATCH(AC$1,[3]enemy_skill_sets!$1:$1,0)-MATCH($AB$1,[3]enemy_skill_sets!$1:$1,0)+1,FALSE)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7" s="67">
        <v>1</v>
      </c>
      <c r="AE1237" s="67">
        <v>1</v>
      </c>
      <c r="AF1237" s="37">
        <v>0</v>
      </c>
      <c r="AG1237" s="99">
        <f>ROUND(VLOOKUP(1,enemy_base_stats!$A:$F,2,FALSE) * Y1237* J1237*O1237*E1237*S1237*AD1237*[2]ステータス!$B$2,0)</f>
        <v>3185</v>
      </c>
      <c r="AH1237" s="99">
        <f>ROUND(VLOOKUP(1,enemy_base_stats!$A:$F,3,FALSE) * Z1237*K1237*P1237*F1237*T1237*AE1237 * W1237*[2]ステータス!$C$2,0)</f>
        <v>256</v>
      </c>
      <c r="AI1237" s="99">
        <f>ROUND(VLOOKUP(1,enemy_base_stats!$A:$F,4,FALSE) * AA1237*L1237*Q1237*G1237*U1237*AF1237*[2]ステータス!$D$2,0)</f>
        <v>0</v>
      </c>
      <c r="AJ1237" s="99">
        <f>ROUND(VLOOKUP(100,enemy_base_stats!$A:$F,2,FALSE) * Y1237* J1237*O1237*E1237*S1237*AD1237*[2]ステータス!$B$2,0)</f>
        <v>129311</v>
      </c>
      <c r="AK1237" s="99">
        <f>ROUND(VLOOKUP(100,enemy_base_stats!$A:$F,3,FALSE)* Z1237* K1237*P1237*F1237*T1237*AE1237 * W1237*[2]ステータス!$C$2,0)</f>
        <v>10395</v>
      </c>
      <c r="AL1237" s="99">
        <f>ROUND(VLOOKUP(100,enemy_base_stats!$A:$F,4,FALSE)* AA1237* L1237*Q1237*G1237*U1237*AF1237*[2]ステータス!$D$2,0)</f>
        <v>0</v>
      </c>
      <c r="AM1237" s="97">
        <f>VLOOKUP(M1237,[2]character_tribe_i18n!$A:$I,9,FALSE)</f>
        <v>340</v>
      </c>
      <c r="AN1237" s="36">
        <v>0</v>
      </c>
      <c r="AO1237" s="53">
        <v>0</v>
      </c>
      <c r="AP1237" s="58" t="s">
        <v>72</v>
      </c>
      <c r="AQ1237" s="71">
        <f t="shared" si="65"/>
        <v>1236</v>
      </c>
    </row>
    <row r="1238" spans="1:43" ht="21" customHeight="1" x14ac:dyDescent="0.15">
      <c r="A1238" s="7">
        <v>1237</v>
      </c>
      <c r="B1238" s="6" t="str">
        <f>VLOOKUP(A1238,[2]characters!$A:$C,3,FALSE)</f>
        <v>夢茶の目付役 千利休</v>
      </c>
      <c r="C1238" s="9">
        <f>VLOOKUP(A1238,[2]characters!$A:$I,9,FALSE)</f>
        <v>5</v>
      </c>
      <c r="D1238" s="9" t="str">
        <f>VLOOKUP(A1238,[2]characters!$A:$H,8,FALSE)</f>
        <v>yellow</v>
      </c>
      <c r="E1238" s="24">
        <f>VLOOKUP(D1238,[2]属性!$A:$E,2,FALSE)</f>
        <v>0.98</v>
      </c>
      <c r="F1238" s="24">
        <f>VLOOKUP(D1238,[2]属性!$A:$E,3,FALSE)</f>
        <v>1.01</v>
      </c>
      <c r="G1238" s="24">
        <f>VLOOKUP(D1238,[2]属性!$A:$F,4,FALSE)</f>
        <v>1</v>
      </c>
      <c r="H1238" s="9" t="str">
        <f>VLOOKUP(A1238,[2]characters!$A:$K,11,FALSE)</f>
        <v>balance</v>
      </c>
      <c r="I1238" s="14" t="str">
        <f>VLOOKUP(H1238,[2]character_type_i18n!$A:$F,3,FALSE)</f>
        <v>バランスタイプ</v>
      </c>
      <c r="J1238" s="36">
        <f>VLOOKUP(H1238,[2]character_type_i18n!$A:$F,4,FALSE)</f>
        <v>1</v>
      </c>
      <c r="K1238" s="36">
        <f>VLOOKUP(H1238,[2]character_type_i18n!$A:$F,5,FALSE)</f>
        <v>1</v>
      </c>
      <c r="L1238" s="36">
        <f>VLOOKUP(H1238,[2]character_type_i18n!$A:$F,6,FALSE)</f>
        <v>1</v>
      </c>
      <c r="M1238" s="9" t="str">
        <f>VLOOKUP(A1238,[2]characters!$A:$M,13,FALSE)</f>
        <v>unknown</v>
      </c>
      <c r="N1238" s="14" t="str">
        <f>VLOOKUP(M1238,[2]character_tribe_i18n!$A:$F,3,FALSE)</f>
        <v>Unknown</v>
      </c>
      <c r="O1238" s="24">
        <f>VLOOKUP(M1238,[2]character_tribe_i18n!$A:$F,4,FALSE)</f>
        <v>1</v>
      </c>
      <c r="P1238" s="24">
        <f>VLOOKUP(M1238,[2]character_tribe_i18n!$A:$F,5,FALSE)</f>
        <v>1</v>
      </c>
      <c r="Q1238" s="24">
        <f>VLOOKUP(M1238,[2]character_tribe_i18n!$A:$F,6,FALSE)</f>
        <v>1</v>
      </c>
      <c r="R1238" s="25" t="s">
        <v>98</v>
      </c>
      <c r="S1238" s="24">
        <f>VLOOKUP($R1238,ラベル別係数!$A$1:$E$7,3,FALSE)</f>
        <v>5</v>
      </c>
      <c r="T1238" s="24">
        <f>VLOOKUP($R1238,ラベル別係数!$A$1:$E$7,4,FALSE)</f>
        <v>1.3</v>
      </c>
      <c r="U1238" s="24">
        <f>VLOOKUP($R1238,ラベル別係数!$A$1:$E$7,5,FALSE)</f>
        <v>0.8</v>
      </c>
      <c r="V1238" s="27">
        <v>3</v>
      </c>
      <c r="W1238" s="28">
        <f>VLOOKUP(V1238,ターン数別攻撃係数!$A$1:$B$1000,2,FALSE)</f>
        <v>1</v>
      </c>
      <c r="X1238" s="9">
        <f>VLOOKUP(C1238,サイズ別係数!A$2:B$9,2,FALSE)</f>
        <v>60</v>
      </c>
      <c r="Y1238" s="26">
        <f>VLOOKUP($X1238,サイズ別係数!$B:$E,2,FALSE)</f>
        <v>1.7</v>
      </c>
      <c r="Z1238" s="26">
        <f>VLOOKUP($X1238,サイズ別係数!$B:$E,3,FALSE)</f>
        <v>1.4</v>
      </c>
      <c r="AA1238" s="26">
        <f>VLOOKUP($X1238,サイズ別係数!$B:$E,4,FALSE)</f>
        <v>1</v>
      </c>
      <c r="AB1238" s="5">
        <v>0</v>
      </c>
      <c r="AC1238" s="34" t="str">
        <f ca="1">VLOOKUP($AB1238,OFFSET([3]enemy_skill_sets!$B$2,0,0,COUNTA([3]enemy_skill_sets!$A:$A),MATCH(AC$1,[3]enemy_skill_sets!$1:$1,0)-MATCH($AB$1,[3]enemy_skill_sets!$1:$1,0)+1),MATCH(AC$1,[3]enemy_skill_sets!$1:$1,0)-MATCH($AB$1,[3]enemy_skill_sets!$1:$1,0)+1,FALSE)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8" s="67">
        <v>1</v>
      </c>
      <c r="AE1238" s="67">
        <v>1</v>
      </c>
      <c r="AF1238" s="37">
        <v>0</v>
      </c>
      <c r="AG1238" s="99">
        <f>ROUND(VLOOKUP(1,enemy_base_stats!$A:$F,2,FALSE) * Y1238* J1238*O1238*E1238*S1238*AD1238*[2]ステータス!$B$2,0)</f>
        <v>4165</v>
      </c>
      <c r="AH1238" s="99">
        <f>ROUND(VLOOKUP(1,enemy_base_stats!$A:$F,3,FALSE) * Z1238*K1238*P1238*F1238*T1238*AE1238 * W1238*[2]ステータス!$C$2,0)</f>
        <v>276</v>
      </c>
      <c r="AI1238" s="99">
        <f>ROUND(VLOOKUP(1,enemy_base_stats!$A:$F,4,FALSE) * AA1238*L1238*Q1238*G1238*U1238*AF1238*[2]ステータス!$D$2,0)</f>
        <v>0</v>
      </c>
      <c r="AJ1238" s="99">
        <f>ROUND(VLOOKUP(100,enemy_base_stats!$A:$F,2,FALSE) * Y1238* J1238*O1238*E1238*S1238*AD1238*[2]ステータス!$B$2,0)</f>
        <v>169099</v>
      </c>
      <c r="AK1238" s="99">
        <f>ROUND(VLOOKUP(100,enemy_base_stats!$A:$F,3,FALSE)* Z1238* K1238*P1238*F1238*T1238*AE1238 * W1238*[2]ステータス!$C$2,0)</f>
        <v>11195</v>
      </c>
      <c r="AL1238" s="99">
        <f>ROUND(VLOOKUP(100,enemy_base_stats!$A:$F,4,FALSE)* AA1238* L1238*Q1238*G1238*U1238*AF1238*[2]ステータス!$D$2,0)</f>
        <v>0</v>
      </c>
      <c r="AM1238" s="97">
        <f>VLOOKUP(M1238,[2]character_tribe_i18n!$A:$I,9,FALSE)</f>
        <v>340</v>
      </c>
      <c r="AN1238" s="36">
        <v>0</v>
      </c>
      <c r="AO1238" s="53">
        <v>0</v>
      </c>
      <c r="AP1238" s="58" t="s">
        <v>72</v>
      </c>
      <c r="AQ1238" s="71">
        <f t="shared" si="65"/>
        <v>1237</v>
      </c>
    </row>
    <row r="1239" spans="1:43" ht="21" customHeight="1" x14ac:dyDescent="0.15">
      <c r="A1239" s="7">
        <v>1238</v>
      </c>
      <c r="B1239" s="6" t="str">
        <f>VLOOKUP(A1239,[2]characters!$A:$C,3,FALSE)</f>
        <v>服部半蔵</v>
      </c>
      <c r="C1239" s="9">
        <f>VLOOKUP(A1239,[2]characters!$A:$I,9,FALSE)</f>
        <v>5</v>
      </c>
      <c r="D1239" s="9" t="str">
        <f>VLOOKUP(A1239,[2]characters!$A:$H,8,FALSE)</f>
        <v>green</v>
      </c>
      <c r="E1239" s="24">
        <f>VLOOKUP(D1239,[2]属性!$A:$E,2,FALSE)</f>
        <v>1.02</v>
      </c>
      <c r="F1239" s="24">
        <f>VLOOKUP(D1239,[2]属性!$A:$E,3,FALSE)</f>
        <v>0.98</v>
      </c>
      <c r="G1239" s="24">
        <f>VLOOKUP(D1239,[2]属性!$A:$F,4,FALSE)</f>
        <v>1</v>
      </c>
      <c r="H1239" s="9" t="str">
        <f>VLOOKUP(A1239,[2]characters!$A:$K,11,FALSE)</f>
        <v>attack</v>
      </c>
      <c r="I1239" s="14" t="str">
        <f>VLOOKUP(H1239,[2]character_type_i18n!$A:$F,3,FALSE)</f>
        <v>攻撃タイプ</v>
      </c>
      <c r="J1239" s="36">
        <f>VLOOKUP(H1239,[2]character_type_i18n!$A:$F,4,FALSE)</f>
        <v>1</v>
      </c>
      <c r="K1239" s="36">
        <f>VLOOKUP(H1239,[2]character_type_i18n!$A:$F,5,FALSE)</f>
        <v>1.33</v>
      </c>
      <c r="L1239" s="36">
        <f>VLOOKUP(H1239,[2]character_type_i18n!$A:$F,6,FALSE)</f>
        <v>1</v>
      </c>
      <c r="M1239" s="9" t="str">
        <f>VLOOKUP(A1239,[2]characters!$A:$M,13,FALSE)</f>
        <v>unknown</v>
      </c>
      <c r="N1239" s="14" t="str">
        <f>VLOOKUP(M1239,[2]character_tribe_i18n!$A:$F,3,FALSE)</f>
        <v>Unknown</v>
      </c>
      <c r="O1239" s="24">
        <f>VLOOKUP(M1239,[2]character_tribe_i18n!$A:$F,4,FALSE)</f>
        <v>1</v>
      </c>
      <c r="P1239" s="24">
        <f>VLOOKUP(M1239,[2]character_tribe_i18n!$A:$F,5,FALSE)</f>
        <v>1</v>
      </c>
      <c r="Q1239" s="24">
        <f>VLOOKUP(M1239,[2]character_tribe_i18n!$A:$F,6,FALSE)</f>
        <v>1</v>
      </c>
      <c r="R1239" s="25" t="s">
        <v>98</v>
      </c>
      <c r="S1239" s="24">
        <f>VLOOKUP($R1239,ラベル別係数!$A$1:$E$7,3,FALSE)</f>
        <v>5</v>
      </c>
      <c r="T1239" s="24">
        <f>VLOOKUP($R1239,ラベル別係数!$A$1:$E$7,4,FALSE)</f>
        <v>1.3</v>
      </c>
      <c r="U1239" s="24">
        <f>VLOOKUP($R1239,ラベル別係数!$A$1:$E$7,5,FALSE)</f>
        <v>0.8</v>
      </c>
      <c r="V1239" s="27">
        <v>3</v>
      </c>
      <c r="W1239" s="28">
        <f>VLOOKUP(V1239,ターン数別攻撃係数!$A$1:$B$1000,2,FALSE)</f>
        <v>1</v>
      </c>
      <c r="X1239" s="9">
        <f>VLOOKUP(C1239,サイズ別係数!A$2:B$9,2,FALSE)</f>
        <v>60</v>
      </c>
      <c r="Y1239" s="26">
        <f>VLOOKUP($X1239,サイズ別係数!$B:$E,2,FALSE)</f>
        <v>1.7</v>
      </c>
      <c r="Z1239" s="26">
        <f>VLOOKUP($X1239,サイズ別係数!$B:$E,3,FALSE)</f>
        <v>1.4</v>
      </c>
      <c r="AA1239" s="26">
        <f>VLOOKUP($X1239,サイズ別係数!$B:$E,4,FALSE)</f>
        <v>1</v>
      </c>
      <c r="AB1239" s="5">
        <v>0</v>
      </c>
      <c r="AC1239" s="34" t="str">
        <f ca="1">VLOOKUP($AB1239,OFFSET([3]enemy_skill_sets!$B$2,0,0,COUNTA([3]enemy_skill_sets!$A:$A),MATCH(AC$1,[3]enemy_skill_sets!$1:$1,0)-MATCH($AB$1,[3]enemy_skill_sets!$1:$1,0)+1),MATCH(AC$1,[3]enemy_skill_sets!$1:$1,0)-MATCH($AB$1,[3]enemy_skill_sets!$1:$1,0)+1,FALSE)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39" s="67">
        <v>1</v>
      </c>
      <c r="AE1239" s="67">
        <v>1</v>
      </c>
      <c r="AF1239" s="37">
        <v>0</v>
      </c>
      <c r="AG1239" s="99">
        <f>ROUND(VLOOKUP(1,enemy_base_stats!$A:$F,2,FALSE) * Y1239* J1239*O1239*E1239*S1239*AD1239*[2]ステータス!$B$2,0)</f>
        <v>4335</v>
      </c>
      <c r="AH1239" s="99">
        <f>ROUND(VLOOKUP(1,enemy_base_stats!$A:$F,3,FALSE) * Z1239*K1239*P1239*F1239*T1239*AE1239 * W1239*[2]ステータス!$C$2,0)</f>
        <v>356</v>
      </c>
      <c r="AI1239" s="99">
        <f>ROUND(VLOOKUP(1,enemy_base_stats!$A:$F,4,FALSE) * AA1239*L1239*Q1239*G1239*U1239*AF1239*[2]ステータス!$D$2,0)</f>
        <v>0</v>
      </c>
      <c r="AJ1239" s="99">
        <f>ROUND(VLOOKUP(100,enemy_base_stats!$A:$F,2,FALSE) * Y1239* J1239*O1239*E1239*S1239*AD1239*[2]ステータス!$B$2,0)</f>
        <v>176001</v>
      </c>
      <c r="AK1239" s="99">
        <f>ROUND(VLOOKUP(100,enemy_base_stats!$A:$F,3,FALSE)* Z1239* K1239*P1239*F1239*T1239*AE1239 * W1239*[2]ステータス!$C$2,0)</f>
        <v>14447</v>
      </c>
      <c r="AL1239" s="99">
        <f>ROUND(VLOOKUP(100,enemy_base_stats!$A:$F,4,FALSE)* AA1239* L1239*Q1239*G1239*U1239*AF1239*[2]ステータス!$D$2,0)</f>
        <v>0</v>
      </c>
      <c r="AM1239" s="97">
        <f>VLOOKUP(M1239,[2]character_tribe_i18n!$A:$I,9,FALSE)</f>
        <v>340</v>
      </c>
      <c r="AN1239" s="36">
        <v>0</v>
      </c>
      <c r="AO1239" s="53">
        <v>0</v>
      </c>
      <c r="AP1239" s="58" t="s">
        <v>72</v>
      </c>
      <c r="AQ1239" s="71">
        <f t="shared" si="65"/>
        <v>1238</v>
      </c>
    </row>
    <row r="1240" spans="1:43" ht="21" customHeight="1" x14ac:dyDescent="0.15">
      <c r="A1240" s="7">
        <v>1239</v>
      </c>
      <c r="B1240" s="6" t="str">
        <f>VLOOKUP(A1240,[2]characters!$A:$C,3,FALSE)</f>
        <v>音無の機密忍 服部半蔵</v>
      </c>
      <c r="C1240" s="9">
        <f>VLOOKUP(A1240,[2]characters!$A:$I,9,FALSE)</f>
        <v>6</v>
      </c>
      <c r="D1240" s="9" t="str">
        <f>VLOOKUP(A1240,[2]characters!$A:$H,8,FALSE)</f>
        <v>green</v>
      </c>
      <c r="E1240" s="24">
        <f>VLOOKUP(D1240,[2]属性!$A:$E,2,FALSE)</f>
        <v>1.02</v>
      </c>
      <c r="F1240" s="24">
        <f>VLOOKUP(D1240,[2]属性!$A:$E,3,FALSE)</f>
        <v>0.98</v>
      </c>
      <c r="G1240" s="24">
        <f>VLOOKUP(D1240,[2]属性!$A:$F,4,FALSE)</f>
        <v>1</v>
      </c>
      <c r="H1240" s="9" t="str">
        <f>VLOOKUP(A1240,[2]characters!$A:$K,11,FALSE)</f>
        <v>attack</v>
      </c>
      <c r="I1240" s="14" t="str">
        <f>VLOOKUP(H1240,[2]character_type_i18n!$A:$F,3,FALSE)</f>
        <v>攻撃タイプ</v>
      </c>
      <c r="J1240" s="36">
        <f>VLOOKUP(H1240,[2]character_type_i18n!$A:$F,4,FALSE)</f>
        <v>1</v>
      </c>
      <c r="K1240" s="36">
        <f>VLOOKUP(H1240,[2]character_type_i18n!$A:$F,5,FALSE)</f>
        <v>1.33</v>
      </c>
      <c r="L1240" s="36">
        <f>VLOOKUP(H1240,[2]character_type_i18n!$A:$F,6,FALSE)</f>
        <v>1</v>
      </c>
      <c r="M1240" s="9" t="str">
        <f>VLOOKUP(A1240,[2]characters!$A:$M,13,FALSE)</f>
        <v>unknown</v>
      </c>
      <c r="N1240" s="14" t="str">
        <f>VLOOKUP(M1240,[2]character_tribe_i18n!$A:$F,3,FALSE)</f>
        <v>Unknown</v>
      </c>
      <c r="O1240" s="24">
        <f>VLOOKUP(M1240,[2]character_tribe_i18n!$A:$F,4,FALSE)</f>
        <v>1</v>
      </c>
      <c r="P1240" s="24">
        <f>VLOOKUP(M1240,[2]character_tribe_i18n!$A:$F,5,FALSE)</f>
        <v>1</v>
      </c>
      <c r="Q1240" s="24">
        <f>VLOOKUP(M1240,[2]character_tribe_i18n!$A:$F,6,FALSE)</f>
        <v>1</v>
      </c>
      <c r="R1240" s="25" t="s">
        <v>98</v>
      </c>
      <c r="S1240" s="24">
        <f>VLOOKUP($R1240,ラベル別係数!$A$1:$E$7,3,FALSE)</f>
        <v>5</v>
      </c>
      <c r="T1240" s="24">
        <f>VLOOKUP($R1240,ラベル別係数!$A$1:$E$7,4,FALSE)</f>
        <v>1.3</v>
      </c>
      <c r="U1240" s="24">
        <f>VLOOKUP($R1240,ラベル別係数!$A$1:$E$7,5,FALSE)</f>
        <v>0.8</v>
      </c>
      <c r="V1240" s="27">
        <v>3</v>
      </c>
      <c r="W1240" s="28">
        <f>VLOOKUP(V1240,ターン数別攻撃係数!$A$1:$B$1000,2,FALSE)</f>
        <v>1</v>
      </c>
      <c r="X1240" s="9">
        <f>VLOOKUP(C1240,サイズ別係数!A$2:B$9,2,FALSE)</f>
        <v>60</v>
      </c>
      <c r="Y1240" s="26">
        <f>VLOOKUP($X1240,サイズ別係数!$B:$E,2,FALSE)</f>
        <v>1.7</v>
      </c>
      <c r="Z1240" s="26">
        <f>VLOOKUP($X1240,サイズ別係数!$B:$E,3,FALSE)</f>
        <v>1.4</v>
      </c>
      <c r="AA1240" s="26">
        <f>VLOOKUP($X1240,サイズ別係数!$B:$E,4,FALSE)</f>
        <v>1</v>
      </c>
      <c r="AB1240" s="5">
        <v>0</v>
      </c>
      <c r="AC1240" s="34" t="str">
        <f ca="1">VLOOKUP($AB1240,OFFSET([3]enemy_skill_sets!$B$2,0,0,COUNTA([3]enemy_skill_sets!$A:$A),MATCH(AC$1,[3]enemy_skill_sets!$1:$1,0)-MATCH($AB$1,[3]enemy_skill_sets!$1:$1,0)+1),MATCH(AC$1,[3]enemy_skill_sets!$1:$1,0)-MATCH($AB$1,[3]enemy_skill_sets!$1:$1,0)+1,FALSE)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0" s="67">
        <v>1</v>
      </c>
      <c r="AE1240" s="67">
        <v>1</v>
      </c>
      <c r="AF1240" s="37">
        <v>0</v>
      </c>
      <c r="AG1240" s="99">
        <f>ROUND(VLOOKUP(1,enemy_base_stats!$A:$F,2,FALSE) * Y1240* J1240*O1240*E1240*S1240*AD1240*[2]ステータス!$B$2,0)</f>
        <v>4335</v>
      </c>
      <c r="AH1240" s="99">
        <f>ROUND(VLOOKUP(1,enemy_base_stats!$A:$F,3,FALSE) * Z1240*K1240*P1240*F1240*T1240*AE1240 * W1240*[2]ステータス!$C$2,0)</f>
        <v>356</v>
      </c>
      <c r="AI1240" s="99">
        <f>ROUND(VLOOKUP(1,enemy_base_stats!$A:$F,4,FALSE) * AA1240*L1240*Q1240*G1240*U1240*AF1240*[2]ステータス!$D$2,0)</f>
        <v>0</v>
      </c>
      <c r="AJ1240" s="99">
        <f>ROUND(VLOOKUP(100,enemy_base_stats!$A:$F,2,FALSE) * Y1240* J1240*O1240*E1240*S1240*AD1240*[2]ステータス!$B$2,0)</f>
        <v>176001</v>
      </c>
      <c r="AK1240" s="99">
        <f>ROUND(VLOOKUP(100,enemy_base_stats!$A:$F,3,FALSE)* Z1240* K1240*P1240*F1240*T1240*AE1240 * W1240*[2]ステータス!$C$2,0)</f>
        <v>14447</v>
      </c>
      <c r="AL1240" s="99">
        <f>ROUND(VLOOKUP(100,enemy_base_stats!$A:$F,4,FALSE)* AA1240* L1240*Q1240*G1240*U1240*AF1240*[2]ステータス!$D$2,0)</f>
        <v>0</v>
      </c>
      <c r="AM1240" s="97">
        <f>VLOOKUP(M1240,[2]character_tribe_i18n!$A:$I,9,FALSE)</f>
        <v>340</v>
      </c>
      <c r="AN1240" s="36">
        <v>0</v>
      </c>
      <c r="AO1240" s="53">
        <v>0</v>
      </c>
      <c r="AP1240" s="58" t="s">
        <v>72</v>
      </c>
      <c r="AQ1240" s="71">
        <f t="shared" si="65"/>
        <v>1239</v>
      </c>
    </row>
    <row r="1241" spans="1:43" ht="21" customHeight="1" x14ac:dyDescent="0.15">
      <c r="A1241" s="7">
        <v>1240</v>
      </c>
      <c r="B1241" s="6" t="str">
        <f>VLOOKUP(A1241,[2]characters!$A:$C,3,FALSE)</f>
        <v>竹中半兵衛</v>
      </c>
      <c r="C1241" s="9">
        <f>VLOOKUP(A1241,[2]characters!$A:$I,9,FALSE)</f>
        <v>5</v>
      </c>
      <c r="D1241" s="9" t="str">
        <f>VLOOKUP(A1241,[2]characters!$A:$H,8,FALSE)</f>
        <v>blue</v>
      </c>
      <c r="E1241" s="24">
        <f>VLOOKUP(D1241,[2]属性!$A:$E,2,FALSE)</f>
        <v>1</v>
      </c>
      <c r="F1241" s="24">
        <f>VLOOKUP(D1241,[2]属性!$A:$E,3,FALSE)</f>
        <v>0.98</v>
      </c>
      <c r="G1241" s="24">
        <f>VLOOKUP(D1241,[2]属性!$A:$F,4,FALSE)</f>
        <v>1</v>
      </c>
      <c r="H1241" s="9" t="str">
        <f>VLOOKUP(A1241,[2]characters!$A:$K,11,FALSE)</f>
        <v>hp</v>
      </c>
      <c r="I1241" s="14" t="str">
        <f>VLOOKUP(H1241,[2]character_type_i18n!$A:$F,3,FALSE)</f>
        <v>体力タイプ</v>
      </c>
      <c r="J1241" s="36">
        <f>VLOOKUP(H1241,[2]character_type_i18n!$A:$F,4,FALSE)</f>
        <v>1.45</v>
      </c>
      <c r="K1241" s="36">
        <f>VLOOKUP(H1241,[2]character_type_i18n!$A:$F,5,FALSE)</f>
        <v>0.85</v>
      </c>
      <c r="L1241" s="36">
        <f>VLOOKUP(H1241,[2]character_type_i18n!$A:$F,6,FALSE)</f>
        <v>1</v>
      </c>
      <c r="M1241" s="9" t="str">
        <f>VLOOKUP(A1241,[2]characters!$A:$M,13,FALSE)</f>
        <v>human</v>
      </c>
      <c r="N1241" s="14" t="str">
        <f>VLOOKUP(M1241,[2]character_tribe_i18n!$A:$F,3,FALSE)</f>
        <v>ヒューマン</v>
      </c>
      <c r="O1241" s="24">
        <f>VLOOKUP(M1241,[2]character_tribe_i18n!$A:$F,4,FALSE)</f>
        <v>0.94</v>
      </c>
      <c r="P1241" s="24">
        <f>VLOOKUP(M1241,[2]character_tribe_i18n!$A:$F,5,FALSE)</f>
        <v>0.99</v>
      </c>
      <c r="Q1241" s="24">
        <f>VLOOKUP(M1241,[2]character_tribe_i18n!$A:$F,6,FALSE)</f>
        <v>1</v>
      </c>
      <c r="R1241" s="25" t="s">
        <v>98</v>
      </c>
      <c r="S1241" s="24">
        <f>VLOOKUP($R1241,ラベル別係数!$A$1:$E$7,3,FALSE)</f>
        <v>5</v>
      </c>
      <c r="T1241" s="24">
        <f>VLOOKUP($R1241,ラベル別係数!$A$1:$E$7,4,FALSE)</f>
        <v>1.3</v>
      </c>
      <c r="U1241" s="24">
        <f>VLOOKUP($R1241,ラベル別係数!$A$1:$E$7,5,FALSE)</f>
        <v>0.8</v>
      </c>
      <c r="V1241" s="27">
        <v>3</v>
      </c>
      <c r="W1241" s="28">
        <f>VLOOKUP(V1241,ターン数別攻撃係数!$A$1:$B$1000,2,FALSE)</f>
        <v>1</v>
      </c>
      <c r="X1241" s="9">
        <f>VLOOKUP(C1241,サイズ別係数!A$2:B$9,2,FALSE)</f>
        <v>60</v>
      </c>
      <c r="Y1241" s="26">
        <f>VLOOKUP($X1241,サイズ別係数!$B:$E,2,FALSE)</f>
        <v>1.7</v>
      </c>
      <c r="Z1241" s="26">
        <f>VLOOKUP($X1241,サイズ別係数!$B:$E,3,FALSE)</f>
        <v>1.4</v>
      </c>
      <c r="AA1241" s="26">
        <f>VLOOKUP($X1241,サイズ別係数!$B:$E,4,FALSE)</f>
        <v>1</v>
      </c>
      <c r="AB1241" s="5">
        <v>0</v>
      </c>
      <c r="AC1241" s="34" t="str">
        <f ca="1">VLOOKUP($AB1241,OFFSET([3]enemy_skill_sets!$B$2,0,0,COUNTA([3]enemy_skill_sets!$A:$A),MATCH(AC$1,[3]enemy_skill_sets!$1:$1,0)-MATCH($AB$1,[3]enemy_skill_sets!$1:$1,0)+1),MATCH(AC$1,[3]enemy_skill_sets!$1:$1,0)-MATCH($AB$1,[3]enemy_skill_sets!$1:$1,0)+1,FALSE)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1" s="67">
        <v>1</v>
      </c>
      <c r="AE1241" s="67">
        <v>1</v>
      </c>
      <c r="AF1241" s="37">
        <v>0</v>
      </c>
      <c r="AG1241" s="99">
        <f>ROUND(VLOOKUP(1,enemy_base_stats!$A:$F,2,FALSE) * Y1241* J1241*O1241*E1241*S1241*AD1241*[2]ステータス!$B$2,0)</f>
        <v>5793</v>
      </c>
      <c r="AH1241" s="99">
        <f>ROUND(VLOOKUP(1,enemy_base_stats!$A:$F,3,FALSE) * Z1241*K1241*P1241*F1241*T1241*AE1241 * W1241*[2]ステータス!$C$2,0)</f>
        <v>225</v>
      </c>
      <c r="AI1241" s="99">
        <f>ROUND(VLOOKUP(1,enemy_base_stats!$A:$F,4,FALSE) * AA1241*L1241*Q1241*G1241*U1241*AF1241*[2]ステータス!$D$2,0)</f>
        <v>0</v>
      </c>
      <c r="AJ1241" s="99">
        <f>ROUND(VLOOKUP(100,enemy_base_stats!$A:$F,2,FALSE) * Y1241* J1241*O1241*E1241*S1241*AD1241*[2]ステータス!$B$2,0)</f>
        <v>235186</v>
      </c>
      <c r="AK1241" s="99">
        <f>ROUND(VLOOKUP(100,enemy_base_stats!$A:$F,3,FALSE)* Z1241* K1241*P1241*F1241*T1241*AE1241 * W1241*[2]ステータス!$C$2,0)</f>
        <v>9140</v>
      </c>
      <c r="AL1241" s="99">
        <f>ROUND(VLOOKUP(100,enemy_base_stats!$A:$F,4,FALSE)* AA1241* L1241*Q1241*G1241*U1241*AF1241*[2]ステータス!$D$2,0)</f>
        <v>0</v>
      </c>
      <c r="AM1241" s="97">
        <f>VLOOKUP(M1241,[2]character_tribe_i18n!$A:$I,9,FALSE)</f>
        <v>400</v>
      </c>
      <c r="AN1241" s="36">
        <v>0</v>
      </c>
      <c r="AO1241" s="53">
        <v>0</v>
      </c>
      <c r="AP1241" s="58" t="s">
        <v>72</v>
      </c>
      <c r="AQ1241" s="71">
        <f t="shared" si="65"/>
        <v>1240</v>
      </c>
    </row>
    <row r="1242" spans="1:43" ht="21" customHeight="1" x14ac:dyDescent="0.15">
      <c r="A1242" s="7">
        <v>1241</v>
      </c>
      <c r="B1242" s="6" t="str">
        <f>VLOOKUP(A1242,[2]characters!$A:$C,3,FALSE)</f>
        <v>巧妙なる嬢舌 竹中半兵衛</v>
      </c>
      <c r="C1242" s="9">
        <f>VLOOKUP(A1242,[2]characters!$A:$I,9,FALSE)</f>
        <v>6</v>
      </c>
      <c r="D1242" s="9" t="str">
        <f>VLOOKUP(A1242,[2]characters!$A:$H,8,FALSE)</f>
        <v>blue</v>
      </c>
      <c r="E1242" s="24">
        <f>VLOOKUP(D1242,[2]属性!$A:$E,2,FALSE)</f>
        <v>1</v>
      </c>
      <c r="F1242" s="24">
        <f>VLOOKUP(D1242,[2]属性!$A:$E,3,FALSE)</f>
        <v>0.98</v>
      </c>
      <c r="G1242" s="24">
        <f>VLOOKUP(D1242,[2]属性!$A:$F,4,FALSE)</f>
        <v>1</v>
      </c>
      <c r="H1242" s="9" t="str">
        <f>VLOOKUP(A1242,[2]characters!$A:$K,11,FALSE)</f>
        <v>hp</v>
      </c>
      <c r="I1242" s="14" t="str">
        <f>VLOOKUP(H1242,[2]character_type_i18n!$A:$F,3,FALSE)</f>
        <v>体力タイプ</v>
      </c>
      <c r="J1242" s="36">
        <f>VLOOKUP(H1242,[2]character_type_i18n!$A:$F,4,FALSE)</f>
        <v>1.45</v>
      </c>
      <c r="K1242" s="36">
        <f>VLOOKUP(H1242,[2]character_type_i18n!$A:$F,5,FALSE)</f>
        <v>0.85</v>
      </c>
      <c r="L1242" s="36">
        <f>VLOOKUP(H1242,[2]character_type_i18n!$A:$F,6,FALSE)</f>
        <v>1</v>
      </c>
      <c r="M1242" s="9" t="str">
        <f>VLOOKUP(A1242,[2]characters!$A:$M,13,FALSE)</f>
        <v>human</v>
      </c>
      <c r="N1242" s="14" t="str">
        <f>VLOOKUP(M1242,[2]character_tribe_i18n!$A:$F,3,FALSE)</f>
        <v>ヒューマン</v>
      </c>
      <c r="O1242" s="24">
        <f>VLOOKUP(M1242,[2]character_tribe_i18n!$A:$F,4,FALSE)</f>
        <v>0.94</v>
      </c>
      <c r="P1242" s="24">
        <f>VLOOKUP(M1242,[2]character_tribe_i18n!$A:$F,5,FALSE)</f>
        <v>0.99</v>
      </c>
      <c r="Q1242" s="24">
        <f>VLOOKUP(M1242,[2]character_tribe_i18n!$A:$F,6,FALSE)</f>
        <v>1</v>
      </c>
      <c r="R1242" s="25" t="s">
        <v>98</v>
      </c>
      <c r="S1242" s="24">
        <f>VLOOKUP($R1242,ラベル別係数!$A$1:$E$7,3,FALSE)</f>
        <v>5</v>
      </c>
      <c r="T1242" s="24">
        <f>VLOOKUP($R1242,ラベル別係数!$A$1:$E$7,4,FALSE)</f>
        <v>1.3</v>
      </c>
      <c r="U1242" s="24">
        <f>VLOOKUP($R1242,ラベル別係数!$A$1:$E$7,5,FALSE)</f>
        <v>0.8</v>
      </c>
      <c r="V1242" s="27">
        <v>3</v>
      </c>
      <c r="W1242" s="28">
        <f>VLOOKUP(V1242,ターン数別攻撃係数!$A$1:$B$1000,2,FALSE)</f>
        <v>1</v>
      </c>
      <c r="X1242" s="9">
        <f>VLOOKUP(C1242,サイズ別係数!A$2:B$9,2,FALSE)</f>
        <v>60</v>
      </c>
      <c r="Y1242" s="26">
        <f>VLOOKUP($X1242,サイズ別係数!$B:$E,2,FALSE)</f>
        <v>1.7</v>
      </c>
      <c r="Z1242" s="26">
        <f>VLOOKUP($X1242,サイズ別係数!$B:$E,3,FALSE)</f>
        <v>1.4</v>
      </c>
      <c r="AA1242" s="26">
        <f>VLOOKUP($X1242,サイズ別係数!$B:$E,4,FALSE)</f>
        <v>1</v>
      </c>
      <c r="AB1242" s="5">
        <v>0</v>
      </c>
      <c r="AC1242" s="34" t="str">
        <f ca="1">VLOOKUP($AB1242,OFFSET([3]enemy_skill_sets!$B$2,0,0,COUNTA([3]enemy_skill_sets!$A:$A),MATCH(AC$1,[3]enemy_skill_sets!$1:$1,0)-MATCH($AB$1,[3]enemy_skill_sets!$1:$1,0)+1),MATCH(AC$1,[3]enemy_skill_sets!$1:$1,0)-MATCH($AB$1,[3]enemy_skill_sets!$1:$1,0)+1,FALSE)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2" s="67">
        <v>1</v>
      </c>
      <c r="AE1242" s="67">
        <v>1</v>
      </c>
      <c r="AF1242" s="37">
        <v>0</v>
      </c>
      <c r="AG1242" s="99">
        <f>ROUND(VLOOKUP(1,enemy_base_stats!$A:$F,2,FALSE) * Y1242* J1242*O1242*E1242*S1242*AD1242*[2]ステータス!$B$2,0)</f>
        <v>5793</v>
      </c>
      <c r="AH1242" s="99">
        <f>ROUND(VLOOKUP(1,enemy_base_stats!$A:$F,3,FALSE) * Z1242*K1242*P1242*F1242*T1242*AE1242 * W1242*[2]ステータス!$C$2,0)</f>
        <v>225</v>
      </c>
      <c r="AI1242" s="99">
        <f>ROUND(VLOOKUP(1,enemy_base_stats!$A:$F,4,FALSE) * AA1242*L1242*Q1242*G1242*U1242*AF1242*[2]ステータス!$D$2,0)</f>
        <v>0</v>
      </c>
      <c r="AJ1242" s="99">
        <f>ROUND(VLOOKUP(100,enemy_base_stats!$A:$F,2,FALSE) * Y1242* J1242*O1242*E1242*S1242*AD1242*[2]ステータス!$B$2,0)</f>
        <v>235186</v>
      </c>
      <c r="AK1242" s="99">
        <f>ROUND(VLOOKUP(100,enemy_base_stats!$A:$F,3,FALSE)* Z1242* K1242*P1242*F1242*T1242*AE1242 * W1242*[2]ステータス!$C$2,0)</f>
        <v>9140</v>
      </c>
      <c r="AL1242" s="99">
        <f>ROUND(VLOOKUP(100,enemy_base_stats!$A:$F,4,FALSE)* AA1242* L1242*Q1242*G1242*U1242*AF1242*[2]ステータス!$D$2,0)</f>
        <v>0</v>
      </c>
      <c r="AM1242" s="97">
        <f>VLOOKUP(M1242,[2]character_tribe_i18n!$A:$I,9,FALSE)</f>
        <v>400</v>
      </c>
      <c r="AN1242" s="36">
        <v>0</v>
      </c>
      <c r="AO1242" s="53">
        <v>0</v>
      </c>
      <c r="AP1242" s="58" t="s">
        <v>72</v>
      </c>
      <c r="AQ1242" s="71">
        <f t="shared" si="65"/>
        <v>1241</v>
      </c>
    </row>
    <row r="1243" spans="1:43" ht="21" customHeight="1" x14ac:dyDescent="0.15">
      <c r="A1243" s="7">
        <v>1242</v>
      </c>
      <c r="B1243" s="6" t="str">
        <f>VLOOKUP(A1243,[2]characters!$A:$C,3,FALSE)</f>
        <v>豊臣秀吉</v>
      </c>
      <c r="C1243" s="9">
        <f>VLOOKUP(A1243,[2]characters!$A:$I,9,FALSE)</f>
        <v>5</v>
      </c>
      <c r="D1243" s="9" t="str">
        <f>VLOOKUP(A1243,[2]characters!$A:$H,8,FALSE)</f>
        <v>red</v>
      </c>
      <c r="E1243" s="24">
        <f>VLOOKUP(D1243,[2]属性!$A:$E,2,FALSE)</f>
        <v>1</v>
      </c>
      <c r="F1243" s="24">
        <f>VLOOKUP(D1243,[2]属性!$A:$E,3,FALSE)</f>
        <v>1.02</v>
      </c>
      <c r="G1243" s="24">
        <f>VLOOKUP(D1243,[2]属性!$A:$F,4,FALSE)</f>
        <v>1</v>
      </c>
      <c r="H1243" s="9" t="str">
        <f>VLOOKUP(A1243,[2]characters!$A:$K,11,FALSE)</f>
        <v>balance</v>
      </c>
      <c r="I1243" s="14" t="str">
        <f>VLOOKUP(H1243,[2]character_type_i18n!$A:$F,3,FALSE)</f>
        <v>バランスタイプ</v>
      </c>
      <c r="J1243" s="36">
        <f>VLOOKUP(H1243,[2]character_type_i18n!$A:$F,4,FALSE)</f>
        <v>1</v>
      </c>
      <c r="K1243" s="36">
        <f>VLOOKUP(H1243,[2]character_type_i18n!$A:$F,5,FALSE)</f>
        <v>1</v>
      </c>
      <c r="L1243" s="36">
        <f>VLOOKUP(H1243,[2]character_type_i18n!$A:$F,6,FALSE)</f>
        <v>1</v>
      </c>
      <c r="M1243" s="9" t="str">
        <f>VLOOKUP(A1243,[2]characters!$A:$M,13,FALSE)</f>
        <v>human</v>
      </c>
      <c r="N1243" s="14" t="str">
        <f>VLOOKUP(M1243,[2]character_tribe_i18n!$A:$F,3,FALSE)</f>
        <v>ヒューマン</v>
      </c>
      <c r="O1243" s="24">
        <f>VLOOKUP(M1243,[2]character_tribe_i18n!$A:$F,4,FALSE)</f>
        <v>0.94</v>
      </c>
      <c r="P1243" s="24">
        <f>VLOOKUP(M1243,[2]character_tribe_i18n!$A:$F,5,FALSE)</f>
        <v>0.99</v>
      </c>
      <c r="Q1243" s="24">
        <f>VLOOKUP(M1243,[2]character_tribe_i18n!$A:$F,6,FALSE)</f>
        <v>1</v>
      </c>
      <c r="R1243" s="25" t="s">
        <v>98</v>
      </c>
      <c r="S1243" s="24">
        <f>VLOOKUP($R1243,ラベル別係数!$A$1:$E$7,3,FALSE)</f>
        <v>5</v>
      </c>
      <c r="T1243" s="24">
        <f>VLOOKUP($R1243,ラベル別係数!$A$1:$E$7,4,FALSE)</f>
        <v>1.3</v>
      </c>
      <c r="U1243" s="24">
        <f>VLOOKUP($R1243,ラベル別係数!$A$1:$E$7,5,FALSE)</f>
        <v>0.8</v>
      </c>
      <c r="V1243" s="27">
        <v>3</v>
      </c>
      <c r="W1243" s="28">
        <f>VLOOKUP(V1243,ターン数別攻撃係数!$A$1:$B$1000,2,FALSE)</f>
        <v>1</v>
      </c>
      <c r="X1243" s="9">
        <f>VLOOKUP(C1243,サイズ別係数!A$2:B$9,2,FALSE)</f>
        <v>60</v>
      </c>
      <c r="Y1243" s="26">
        <f>VLOOKUP($X1243,サイズ別係数!$B:$E,2,FALSE)</f>
        <v>1.7</v>
      </c>
      <c r="Z1243" s="26">
        <f>VLOOKUP($X1243,サイズ別係数!$B:$E,3,FALSE)</f>
        <v>1.4</v>
      </c>
      <c r="AA1243" s="26">
        <f>VLOOKUP($X1243,サイズ別係数!$B:$E,4,FALSE)</f>
        <v>1</v>
      </c>
      <c r="AB1243" s="5">
        <v>0</v>
      </c>
      <c r="AC1243" s="34" t="str">
        <f ca="1">VLOOKUP($AB1243,OFFSET([3]enemy_skill_sets!$B$2,0,0,COUNTA([3]enemy_skill_sets!$A:$A),MATCH(AC$1,[3]enemy_skill_sets!$1:$1,0)-MATCH($AB$1,[3]enemy_skill_sets!$1:$1,0)+1),MATCH(AC$1,[3]enemy_skill_sets!$1:$1,0)-MATCH($AB$1,[3]enemy_skill_sets!$1:$1,0)+1,FALSE)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3" s="67">
        <v>1</v>
      </c>
      <c r="AE1243" s="67">
        <v>1</v>
      </c>
      <c r="AF1243" s="37">
        <v>0</v>
      </c>
      <c r="AG1243" s="99">
        <f>ROUND(VLOOKUP(1,enemy_base_stats!$A:$F,2,FALSE) * Y1243* J1243*O1243*E1243*S1243*AD1243*[2]ステータス!$B$2,0)</f>
        <v>3995</v>
      </c>
      <c r="AH1243" s="99">
        <f>ROUND(VLOOKUP(1,enemy_base_stats!$A:$F,3,FALSE) * Z1243*K1243*P1243*F1243*T1243*AE1243 * W1243*[2]ステータス!$C$2,0)</f>
        <v>276</v>
      </c>
      <c r="AI1243" s="99">
        <f>ROUND(VLOOKUP(1,enemy_base_stats!$A:$F,4,FALSE) * AA1243*L1243*Q1243*G1243*U1243*AF1243*[2]ステータス!$D$2,0)</f>
        <v>0</v>
      </c>
      <c r="AJ1243" s="99">
        <f>ROUND(VLOOKUP(100,enemy_base_stats!$A:$F,2,FALSE) * Y1243* J1243*O1243*E1243*S1243*AD1243*[2]ステータス!$B$2,0)</f>
        <v>162197</v>
      </c>
      <c r="AK1243" s="99">
        <f>ROUND(VLOOKUP(100,enemy_base_stats!$A:$F,3,FALSE)* Z1243* K1243*P1243*F1243*T1243*AE1243 * W1243*[2]ステータス!$C$2,0)</f>
        <v>11192</v>
      </c>
      <c r="AL1243" s="99">
        <f>ROUND(VLOOKUP(100,enemy_base_stats!$A:$F,4,FALSE)* AA1243* L1243*Q1243*G1243*U1243*AF1243*[2]ステータス!$D$2,0)</f>
        <v>0</v>
      </c>
      <c r="AM1243" s="97">
        <f>VLOOKUP(M1243,[2]character_tribe_i18n!$A:$I,9,FALSE)</f>
        <v>400</v>
      </c>
      <c r="AN1243" s="36">
        <v>0</v>
      </c>
      <c r="AO1243" s="53">
        <v>0</v>
      </c>
      <c r="AP1243" s="58" t="s">
        <v>72</v>
      </c>
      <c r="AQ1243" s="71">
        <f t="shared" si="65"/>
        <v>1242</v>
      </c>
    </row>
    <row r="1244" spans="1:43" ht="21" customHeight="1" x14ac:dyDescent="0.15">
      <c r="A1244" s="7">
        <v>1243</v>
      </c>
      <c r="B1244" s="6" t="str">
        <f>VLOOKUP(A1244,[2]characters!$A:$C,3,FALSE)</f>
        <v>新世覇の昇竜 豊臣秀吉</v>
      </c>
      <c r="C1244" s="9">
        <f>VLOOKUP(A1244,[2]characters!$A:$I,9,FALSE)</f>
        <v>6</v>
      </c>
      <c r="D1244" s="9" t="str">
        <f>VLOOKUP(A1244,[2]characters!$A:$H,8,FALSE)</f>
        <v>red</v>
      </c>
      <c r="E1244" s="24">
        <f>VLOOKUP(D1244,[2]属性!$A:$E,2,FALSE)</f>
        <v>1</v>
      </c>
      <c r="F1244" s="24">
        <f>VLOOKUP(D1244,[2]属性!$A:$E,3,FALSE)</f>
        <v>1.02</v>
      </c>
      <c r="G1244" s="24">
        <f>VLOOKUP(D1244,[2]属性!$A:$F,4,FALSE)</f>
        <v>1</v>
      </c>
      <c r="H1244" s="9" t="str">
        <f>VLOOKUP(A1244,[2]characters!$A:$K,11,FALSE)</f>
        <v>balance</v>
      </c>
      <c r="I1244" s="14" t="str">
        <f>VLOOKUP(H1244,[2]character_type_i18n!$A:$F,3,FALSE)</f>
        <v>バランスタイプ</v>
      </c>
      <c r="J1244" s="36">
        <f>VLOOKUP(H1244,[2]character_type_i18n!$A:$F,4,FALSE)</f>
        <v>1</v>
      </c>
      <c r="K1244" s="36">
        <f>VLOOKUP(H1244,[2]character_type_i18n!$A:$F,5,FALSE)</f>
        <v>1</v>
      </c>
      <c r="L1244" s="36">
        <f>VLOOKUP(H1244,[2]character_type_i18n!$A:$F,6,FALSE)</f>
        <v>1</v>
      </c>
      <c r="M1244" s="9" t="str">
        <f>VLOOKUP(A1244,[2]characters!$A:$M,13,FALSE)</f>
        <v>human</v>
      </c>
      <c r="N1244" s="14" t="str">
        <f>VLOOKUP(M1244,[2]character_tribe_i18n!$A:$F,3,FALSE)</f>
        <v>ヒューマン</v>
      </c>
      <c r="O1244" s="24">
        <f>VLOOKUP(M1244,[2]character_tribe_i18n!$A:$F,4,FALSE)</f>
        <v>0.94</v>
      </c>
      <c r="P1244" s="24">
        <f>VLOOKUP(M1244,[2]character_tribe_i18n!$A:$F,5,FALSE)</f>
        <v>0.99</v>
      </c>
      <c r="Q1244" s="24">
        <f>VLOOKUP(M1244,[2]character_tribe_i18n!$A:$F,6,FALSE)</f>
        <v>1</v>
      </c>
      <c r="R1244" s="25" t="s">
        <v>98</v>
      </c>
      <c r="S1244" s="24">
        <f>VLOOKUP($R1244,ラベル別係数!$A$1:$E$7,3,FALSE)</f>
        <v>5</v>
      </c>
      <c r="T1244" s="24">
        <f>VLOOKUP($R1244,ラベル別係数!$A$1:$E$7,4,FALSE)</f>
        <v>1.3</v>
      </c>
      <c r="U1244" s="24">
        <f>VLOOKUP($R1244,ラベル別係数!$A$1:$E$7,5,FALSE)</f>
        <v>0.8</v>
      </c>
      <c r="V1244" s="27">
        <v>3</v>
      </c>
      <c r="W1244" s="28">
        <f>VLOOKUP(V1244,ターン数別攻撃係数!$A$1:$B$1000,2,FALSE)</f>
        <v>1</v>
      </c>
      <c r="X1244" s="9">
        <f>VLOOKUP(C1244,サイズ別係数!A$2:B$9,2,FALSE)</f>
        <v>60</v>
      </c>
      <c r="Y1244" s="26">
        <f>VLOOKUP($X1244,サイズ別係数!$B:$E,2,FALSE)</f>
        <v>1.7</v>
      </c>
      <c r="Z1244" s="26">
        <f>VLOOKUP($X1244,サイズ別係数!$B:$E,3,FALSE)</f>
        <v>1.4</v>
      </c>
      <c r="AA1244" s="26">
        <f>VLOOKUP($X1244,サイズ別係数!$B:$E,4,FALSE)</f>
        <v>1</v>
      </c>
      <c r="AB1244" s="5">
        <v>0</v>
      </c>
      <c r="AC1244" s="34" t="str">
        <f ca="1">VLOOKUP($AB1244,OFFSET([3]enemy_skill_sets!$B$2,0,0,COUNTA([3]enemy_skill_sets!$A:$A),MATCH(AC$1,[3]enemy_skill_sets!$1:$1,0)-MATCH($AB$1,[3]enemy_skill_sets!$1:$1,0)+1),MATCH(AC$1,[3]enemy_skill_sets!$1:$1,0)-MATCH($AB$1,[3]enemy_skill_sets!$1:$1,0)+1,FALSE)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4" s="67">
        <v>1</v>
      </c>
      <c r="AE1244" s="67">
        <v>1</v>
      </c>
      <c r="AF1244" s="37">
        <v>0</v>
      </c>
      <c r="AG1244" s="99">
        <f>ROUND(VLOOKUP(1,enemy_base_stats!$A:$F,2,FALSE) * Y1244* J1244*O1244*E1244*S1244*AD1244*[2]ステータス!$B$2,0)</f>
        <v>3995</v>
      </c>
      <c r="AH1244" s="99">
        <f>ROUND(VLOOKUP(1,enemy_base_stats!$A:$F,3,FALSE) * Z1244*K1244*P1244*F1244*T1244*AE1244 * W1244*[2]ステータス!$C$2,0)</f>
        <v>276</v>
      </c>
      <c r="AI1244" s="99">
        <f>ROUND(VLOOKUP(1,enemy_base_stats!$A:$F,4,FALSE) * AA1244*L1244*Q1244*G1244*U1244*AF1244*[2]ステータス!$D$2,0)</f>
        <v>0</v>
      </c>
      <c r="AJ1244" s="99">
        <f>ROUND(VLOOKUP(100,enemy_base_stats!$A:$F,2,FALSE) * Y1244* J1244*O1244*E1244*S1244*AD1244*[2]ステータス!$B$2,0)</f>
        <v>162197</v>
      </c>
      <c r="AK1244" s="99">
        <f>ROUND(VLOOKUP(100,enemy_base_stats!$A:$F,3,FALSE)* Z1244* K1244*P1244*F1244*T1244*AE1244 * W1244*[2]ステータス!$C$2,0)</f>
        <v>11192</v>
      </c>
      <c r="AL1244" s="99">
        <f>ROUND(VLOOKUP(100,enemy_base_stats!$A:$F,4,FALSE)* AA1244* L1244*Q1244*G1244*U1244*AF1244*[2]ステータス!$D$2,0)</f>
        <v>0</v>
      </c>
      <c r="AM1244" s="97">
        <f>VLOOKUP(M1244,[2]character_tribe_i18n!$A:$I,9,FALSE)</f>
        <v>400</v>
      </c>
      <c r="AN1244" s="36">
        <v>0</v>
      </c>
      <c r="AO1244" s="53">
        <v>0</v>
      </c>
      <c r="AP1244" s="58" t="s">
        <v>72</v>
      </c>
      <c r="AQ1244" s="71">
        <f t="shared" si="65"/>
        <v>1243</v>
      </c>
    </row>
    <row r="1245" spans="1:43" ht="21" customHeight="1" x14ac:dyDescent="0.15">
      <c r="A1245" s="7">
        <v>1244</v>
      </c>
      <c r="B1245" s="6" t="str">
        <f>VLOOKUP(A1245,[2]characters!$A:$C,3,FALSE)</f>
        <v>猿飛佐助</v>
      </c>
      <c r="C1245" s="9">
        <f>VLOOKUP(A1245,[2]characters!$A:$I,9,FALSE)</f>
        <v>5</v>
      </c>
      <c r="D1245" s="9" t="str">
        <f>VLOOKUP(A1245,[2]characters!$A:$H,8,FALSE)</f>
        <v>red</v>
      </c>
      <c r="E1245" s="24">
        <f>VLOOKUP(D1245,[2]属性!$A:$E,2,FALSE)</f>
        <v>1</v>
      </c>
      <c r="F1245" s="24">
        <f>VLOOKUP(D1245,[2]属性!$A:$E,3,FALSE)</f>
        <v>1.02</v>
      </c>
      <c r="G1245" s="24">
        <f>VLOOKUP(D1245,[2]属性!$A:$F,4,FALSE)</f>
        <v>1</v>
      </c>
      <c r="H1245" s="9" t="str">
        <f>VLOOKUP(A1245,[2]characters!$A:$K,11,FALSE)</f>
        <v>attack</v>
      </c>
      <c r="I1245" s="14" t="str">
        <f>VLOOKUP(H1245,[2]character_type_i18n!$A:$F,3,FALSE)</f>
        <v>攻撃タイプ</v>
      </c>
      <c r="J1245" s="36">
        <f>VLOOKUP(H1245,[2]character_type_i18n!$A:$F,4,FALSE)</f>
        <v>1</v>
      </c>
      <c r="K1245" s="36">
        <f>VLOOKUP(H1245,[2]character_type_i18n!$A:$F,5,FALSE)</f>
        <v>1.33</v>
      </c>
      <c r="L1245" s="36">
        <f>VLOOKUP(H1245,[2]character_type_i18n!$A:$F,6,FALSE)</f>
        <v>1</v>
      </c>
      <c r="M1245" s="9" t="str">
        <f>VLOOKUP(A1245,[2]characters!$A:$M,13,FALSE)</f>
        <v>human</v>
      </c>
      <c r="N1245" s="14" t="str">
        <f>VLOOKUP(M1245,[2]character_tribe_i18n!$A:$F,3,FALSE)</f>
        <v>ヒューマン</v>
      </c>
      <c r="O1245" s="24">
        <f>VLOOKUP(M1245,[2]character_tribe_i18n!$A:$F,4,FALSE)</f>
        <v>0.94</v>
      </c>
      <c r="P1245" s="24">
        <f>VLOOKUP(M1245,[2]character_tribe_i18n!$A:$F,5,FALSE)</f>
        <v>0.99</v>
      </c>
      <c r="Q1245" s="24">
        <f>VLOOKUP(M1245,[2]character_tribe_i18n!$A:$F,6,FALSE)</f>
        <v>1</v>
      </c>
      <c r="R1245" s="25" t="s">
        <v>98</v>
      </c>
      <c r="S1245" s="24">
        <f>VLOOKUP($R1245,ラベル別係数!$A$1:$E$7,3,FALSE)</f>
        <v>5</v>
      </c>
      <c r="T1245" s="24">
        <f>VLOOKUP($R1245,ラベル別係数!$A$1:$E$7,4,FALSE)</f>
        <v>1.3</v>
      </c>
      <c r="U1245" s="24">
        <f>VLOOKUP($R1245,ラベル別係数!$A$1:$E$7,5,FALSE)</f>
        <v>0.8</v>
      </c>
      <c r="V1245" s="27">
        <v>3</v>
      </c>
      <c r="W1245" s="28">
        <f>VLOOKUP(V1245,ターン数別攻撃係数!$A$1:$B$1000,2,FALSE)</f>
        <v>1</v>
      </c>
      <c r="X1245" s="9">
        <f>VLOOKUP(C1245,サイズ別係数!A$2:B$9,2,FALSE)</f>
        <v>60</v>
      </c>
      <c r="Y1245" s="26">
        <f>VLOOKUP($X1245,サイズ別係数!$B:$E,2,FALSE)</f>
        <v>1.7</v>
      </c>
      <c r="Z1245" s="26">
        <f>VLOOKUP($X1245,サイズ別係数!$B:$E,3,FALSE)</f>
        <v>1.4</v>
      </c>
      <c r="AA1245" s="26">
        <f>VLOOKUP($X1245,サイズ別係数!$B:$E,4,FALSE)</f>
        <v>1</v>
      </c>
      <c r="AB1245" s="5">
        <v>0</v>
      </c>
      <c r="AC1245" s="34" t="str">
        <f ca="1">VLOOKUP($AB1245,OFFSET([3]enemy_skill_sets!$B$2,0,0,COUNTA([3]enemy_skill_sets!$A:$A),MATCH(AC$1,[3]enemy_skill_sets!$1:$1,0)-MATCH($AB$1,[3]enemy_skill_sets!$1:$1,0)+1),MATCH(AC$1,[3]enemy_skill_sets!$1:$1,0)-MATCH($AB$1,[3]enemy_skill_sets!$1:$1,0)+1,FALSE)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5" s="67">
        <v>1</v>
      </c>
      <c r="AE1245" s="67">
        <v>1</v>
      </c>
      <c r="AF1245" s="37">
        <v>0</v>
      </c>
      <c r="AG1245" s="99">
        <f>ROUND(VLOOKUP(1,enemy_base_stats!$A:$F,2,FALSE) * Y1245* J1245*O1245*E1245*S1245*AD1245*[2]ステータス!$B$2,0)</f>
        <v>3995</v>
      </c>
      <c r="AH1245" s="99">
        <f>ROUND(VLOOKUP(1,enemy_base_stats!$A:$F,3,FALSE) * Z1245*K1245*P1245*F1245*T1245*AE1245 * W1245*[2]ステータス!$C$2,0)</f>
        <v>367</v>
      </c>
      <c r="AI1245" s="99">
        <f>ROUND(VLOOKUP(1,enemy_base_stats!$A:$F,4,FALSE) * AA1245*L1245*Q1245*G1245*U1245*AF1245*[2]ステータス!$D$2,0)</f>
        <v>0</v>
      </c>
      <c r="AJ1245" s="99">
        <f>ROUND(VLOOKUP(100,enemy_base_stats!$A:$F,2,FALSE) * Y1245* J1245*O1245*E1245*S1245*AD1245*[2]ステータス!$B$2,0)</f>
        <v>162197</v>
      </c>
      <c r="AK1245" s="99">
        <f>ROUND(VLOOKUP(100,enemy_base_stats!$A:$F,3,FALSE)* Z1245* K1245*P1245*F1245*T1245*AE1245 * W1245*[2]ステータス!$C$2,0)</f>
        <v>14886</v>
      </c>
      <c r="AL1245" s="99">
        <f>ROUND(VLOOKUP(100,enemy_base_stats!$A:$F,4,FALSE)* AA1245* L1245*Q1245*G1245*U1245*AF1245*[2]ステータス!$D$2,0)</f>
        <v>0</v>
      </c>
      <c r="AM1245" s="97">
        <f>VLOOKUP(M1245,[2]character_tribe_i18n!$A:$I,9,FALSE)</f>
        <v>400</v>
      </c>
      <c r="AN1245" s="36">
        <v>0</v>
      </c>
      <c r="AO1245" s="53">
        <v>0</v>
      </c>
      <c r="AP1245" s="58" t="s">
        <v>72</v>
      </c>
      <c r="AQ1245" s="71">
        <f t="shared" si="65"/>
        <v>1244</v>
      </c>
    </row>
    <row r="1246" spans="1:43" ht="21" customHeight="1" x14ac:dyDescent="0.15">
      <c r="A1246" s="7">
        <v>1245</v>
      </c>
      <c r="B1246" s="6" t="str">
        <f>VLOOKUP(A1246,[2]characters!$A:$C,3,FALSE)</f>
        <v>甲火の特殊忍 猿飛佐助</v>
      </c>
      <c r="C1246" s="9">
        <f>VLOOKUP(A1246,[2]characters!$A:$I,9,FALSE)</f>
        <v>6</v>
      </c>
      <c r="D1246" s="9" t="str">
        <f>VLOOKUP(A1246,[2]characters!$A:$H,8,FALSE)</f>
        <v>red</v>
      </c>
      <c r="E1246" s="24">
        <f>VLOOKUP(D1246,[2]属性!$A:$E,2,FALSE)</f>
        <v>1</v>
      </c>
      <c r="F1246" s="24">
        <f>VLOOKUP(D1246,[2]属性!$A:$E,3,FALSE)</f>
        <v>1.02</v>
      </c>
      <c r="G1246" s="24">
        <f>VLOOKUP(D1246,[2]属性!$A:$F,4,FALSE)</f>
        <v>1</v>
      </c>
      <c r="H1246" s="9" t="str">
        <f>VLOOKUP(A1246,[2]characters!$A:$K,11,FALSE)</f>
        <v>attack</v>
      </c>
      <c r="I1246" s="14" t="str">
        <f>VLOOKUP(H1246,[2]character_type_i18n!$A:$F,3,FALSE)</f>
        <v>攻撃タイプ</v>
      </c>
      <c r="J1246" s="36">
        <f>VLOOKUP(H1246,[2]character_type_i18n!$A:$F,4,FALSE)</f>
        <v>1</v>
      </c>
      <c r="K1246" s="36">
        <f>VLOOKUP(H1246,[2]character_type_i18n!$A:$F,5,FALSE)</f>
        <v>1.33</v>
      </c>
      <c r="L1246" s="36">
        <f>VLOOKUP(H1246,[2]character_type_i18n!$A:$F,6,FALSE)</f>
        <v>1</v>
      </c>
      <c r="M1246" s="9" t="str">
        <f>VLOOKUP(A1246,[2]characters!$A:$M,13,FALSE)</f>
        <v>human</v>
      </c>
      <c r="N1246" s="14" t="str">
        <f>VLOOKUP(M1246,[2]character_tribe_i18n!$A:$F,3,FALSE)</f>
        <v>ヒューマン</v>
      </c>
      <c r="O1246" s="24">
        <f>VLOOKUP(M1246,[2]character_tribe_i18n!$A:$F,4,FALSE)</f>
        <v>0.94</v>
      </c>
      <c r="P1246" s="24">
        <f>VLOOKUP(M1246,[2]character_tribe_i18n!$A:$F,5,FALSE)</f>
        <v>0.99</v>
      </c>
      <c r="Q1246" s="24">
        <f>VLOOKUP(M1246,[2]character_tribe_i18n!$A:$F,6,FALSE)</f>
        <v>1</v>
      </c>
      <c r="R1246" s="25" t="s">
        <v>98</v>
      </c>
      <c r="S1246" s="24">
        <f>VLOOKUP($R1246,ラベル別係数!$A$1:$E$7,3,FALSE)</f>
        <v>5</v>
      </c>
      <c r="T1246" s="24">
        <f>VLOOKUP($R1246,ラベル別係数!$A$1:$E$7,4,FALSE)</f>
        <v>1.3</v>
      </c>
      <c r="U1246" s="24">
        <f>VLOOKUP($R1246,ラベル別係数!$A$1:$E$7,5,FALSE)</f>
        <v>0.8</v>
      </c>
      <c r="V1246" s="27">
        <v>3</v>
      </c>
      <c r="W1246" s="28">
        <f>VLOOKUP(V1246,ターン数別攻撃係数!$A$1:$B$1000,2,FALSE)</f>
        <v>1</v>
      </c>
      <c r="X1246" s="9">
        <f>VLOOKUP(C1246,サイズ別係数!A$2:B$9,2,FALSE)</f>
        <v>60</v>
      </c>
      <c r="Y1246" s="26">
        <f>VLOOKUP($X1246,サイズ別係数!$B:$E,2,FALSE)</f>
        <v>1.7</v>
      </c>
      <c r="Z1246" s="26">
        <f>VLOOKUP($X1246,サイズ別係数!$B:$E,3,FALSE)</f>
        <v>1.4</v>
      </c>
      <c r="AA1246" s="26">
        <f>VLOOKUP($X1246,サイズ別係数!$B:$E,4,FALSE)</f>
        <v>1</v>
      </c>
      <c r="AB1246" s="5">
        <v>0</v>
      </c>
      <c r="AC1246" s="34" t="str">
        <f ca="1">VLOOKUP($AB1246,OFFSET([3]enemy_skill_sets!$B$2,0,0,COUNTA([3]enemy_skill_sets!$A:$A),MATCH(AC$1,[3]enemy_skill_sets!$1:$1,0)-MATCH($AB$1,[3]enemy_skill_sets!$1:$1,0)+1),MATCH(AC$1,[3]enemy_skill_sets!$1:$1,0)-MATCH($AB$1,[3]enemy_skill_sets!$1:$1,0)+1,FALSE)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6" s="67">
        <v>1</v>
      </c>
      <c r="AE1246" s="67">
        <v>1</v>
      </c>
      <c r="AF1246" s="37">
        <v>0</v>
      </c>
      <c r="AG1246" s="99">
        <f>ROUND(VLOOKUP(1,enemy_base_stats!$A:$F,2,FALSE) * Y1246* J1246*O1246*E1246*S1246*AD1246*[2]ステータス!$B$2,0)</f>
        <v>3995</v>
      </c>
      <c r="AH1246" s="99">
        <f>ROUND(VLOOKUP(1,enemy_base_stats!$A:$F,3,FALSE) * Z1246*K1246*P1246*F1246*T1246*AE1246 * W1246*[2]ステータス!$C$2,0)</f>
        <v>367</v>
      </c>
      <c r="AI1246" s="99">
        <f>ROUND(VLOOKUP(1,enemy_base_stats!$A:$F,4,FALSE) * AA1246*L1246*Q1246*G1246*U1246*AF1246*[2]ステータス!$D$2,0)</f>
        <v>0</v>
      </c>
      <c r="AJ1246" s="99">
        <f>ROUND(VLOOKUP(100,enemy_base_stats!$A:$F,2,FALSE) * Y1246* J1246*O1246*E1246*S1246*AD1246*[2]ステータス!$B$2,0)</f>
        <v>162197</v>
      </c>
      <c r="AK1246" s="99">
        <f>ROUND(VLOOKUP(100,enemy_base_stats!$A:$F,3,FALSE)* Z1246* K1246*P1246*F1246*T1246*AE1246 * W1246*[2]ステータス!$C$2,0)</f>
        <v>14886</v>
      </c>
      <c r="AL1246" s="99">
        <f>ROUND(VLOOKUP(100,enemy_base_stats!$A:$F,4,FALSE)* AA1246* L1246*Q1246*G1246*U1246*AF1246*[2]ステータス!$D$2,0)</f>
        <v>0</v>
      </c>
      <c r="AM1246" s="97">
        <f>VLOOKUP(M1246,[2]character_tribe_i18n!$A:$I,9,FALSE)</f>
        <v>400</v>
      </c>
      <c r="AN1246" s="36">
        <v>0</v>
      </c>
      <c r="AO1246" s="53">
        <v>0</v>
      </c>
      <c r="AP1246" s="58" t="s">
        <v>72</v>
      </c>
      <c r="AQ1246" s="71">
        <f t="shared" si="65"/>
        <v>1245</v>
      </c>
    </row>
    <row r="1247" spans="1:43" ht="21" customHeight="1" x14ac:dyDescent="0.15">
      <c r="A1247" s="7">
        <v>1246</v>
      </c>
      <c r="B1247" s="6" t="str">
        <f>VLOOKUP(A1247,[2]characters!$A:$C,3,FALSE)</f>
        <v>望月千代女</v>
      </c>
      <c r="C1247" s="9">
        <f>VLOOKUP(A1247,[2]characters!$A:$I,9,FALSE)</f>
        <v>5</v>
      </c>
      <c r="D1247" s="9" t="str">
        <f>VLOOKUP(A1247,[2]characters!$A:$H,8,FALSE)</f>
        <v>green</v>
      </c>
      <c r="E1247" s="24">
        <f>VLOOKUP(D1247,[2]属性!$A:$E,2,FALSE)</f>
        <v>1.02</v>
      </c>
      <c r="F1247" s="24">
        <f>VLOOKUP(D1247,[2]属性!$A:$E,3,FALSE)</f>
        <v>0.98</v>
      </c>
      <c r="G1247" s="24">
        <f>VLOOKUP(D1247,[2]属性!$A:$F,4,FALSE)</f>
        <v>1</v>
      </c>
      <c r="H1247" s="9" t="str">
        <f>VLOOKUP(A1247,[2]characters!$A:$K,11,FALSE)</f>
        <v>heal</v>
      </c>
      <c r="I1247" s="14" t="str">
        <f>VLOOKUP(H1247,[2]character_type_i18n!$A:$F,3,FALSE)</f>
        <v>回復タイプ</v>
      </c>
      <c r="J1247" s="36">
        <f>VLOOKUP(H1247,[2]character_type_i18n!$A:$F,4,FALSE)</f>
        <v>0.8</v>
      </c>
      <c r="K1247" s="36">
        <f>VLOOKUP(H1247,[2]character_type_i18n!$A:$F,5,FALSE)</f>
        <v>0.78</v>
      </c>
      <c r="L1247" s="36">
        <f>VLOOKUP(H1247,[2]character_type_i18n!$A:$F,6,FALSE)</f>
        <v>1</v>
      </c>
      <c r="M1247" s="9" t="str">
        <f>VLOOKUP(A1247,[2]characters!$A:$M,13,FALSE)</f>
        <v>human</v>
      </c>
      <c r="N1247" s="14" t="str">
        <f>VLOOKUP(M1247,[2]character_tribe_i18n!$A:$F,3,FALSE)</f>
        <v>ヒューマン</v>
      </c>
      <c r="O1247" s="24">
        <f>VLOOKUP(M1247,[2]character_tribe_i18n!$A:$F,4,FALSE)</f>
        <v>0.94</v>
      </c>
      <c r="P1247" s="24">
        <f>VLOOKUP(M1247,[2]character_tribe_i18n!$A:$F,5,FALSE)</f>
        <v>0.99</v>
      </c>
      <c r="Q1247" s="24">
        <f>VLOOKUP(M1247,[2]character_tribe_i18n!$A:$F,6,FALSE)</f>
        <v>1</v>
      </c>
      <c r="R1247" s="25" t="s">
        <v>98</v>
      </c>
      <c r="S1247" s="24">
        <f>VLOOKUP($R1247,ラベル別係数!$A$1:$E$7,3,FALSE)</f>
        <v>5</v>
      </c>
      <c r="T1247" s="24">
        <f>VLOOKUP($R1247,ラベル別係数!$A$1:$E$7,4,FALSE)</f>
        <v>1.3</v>
      </c>
      <c r="U1247" s="24">
        <f>VLOOKUP($R1247,ラベル別係数!$A$1:$E$7,5,FALSE)</f>
        <v>0.8</v>
      </c>
      <c r="V1247" s="27">
        <v>3</v>
      </c>
      <c r="W1247" s="28">
        <f>VLOOKUP(V1247,ターン数別攻撃係数!$A$1:$B$1000,2,FALSE)</f>
        <v>1</v>
      </c>
      <c r="X1247" s="9">
        <f>VLOOKUP(C1247,サイズ別係数!A$2:B$9,2,FALSE)</f>
        <v>60</v>
      </c>
      <c r="Y1247" s="26">
        <f>VLOOKUP($X1247,サイズ別係数!$B:$E,2,FALSE)</f>
        <v>1.7</v>
      </c>
      <c r="Z1247" s="26">
        <f>VLOOKUP($X1247,サイズ別係数!$B:$E,3,FALSE)</f>
        <v>1.4</v>
      </c>
      <c r="AA1247" s="26">
        <f>VLOOKUP($X1247,サイズ別係数!$B:$E,4,FALSE)</f>
        <v>1</v>
      </c>
      <c r="AB1247" s="5">
        <v>0</v>
      </c>
      <c r="AC1247" s="34" t="str">
        <f ca="1">VLOOKUP($AB1247,OFFSET([3]enemy_skill_sets!$B$2,0,0,COUNTA([3]enemy_skill_sets!$A:$A),MATCH(AC$1,[3]enemy_skill_sets!$1:$1,0)-MATCH($AB$1,[3]enemy_skill_sets!$1:$1,0)+1),MATCH(AC$1,[3]enemy_skill_sets!$1:$1,0)-MATCH($AB$1,[3]enemy_skill_sets!$1:$1,0)+1,FALSE)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7" s="67">
        <v>1</v>
      </c>
      <c r="AE1247" s="67">
        <v>1</v>
      </c>
      <c r="AF1247" s="37">
        <v>0</v>
      </c>
      <c r="AG1247" s="99">
        <f>ROUND(VLOOKUP(1,enemy_base_stats!$A:$F,2,FALSE) * Y1247* J1247*O1247*E1247*S1247*AD1247*[2]ステータス!$B$2,0)</f>
        <v>3260</v>
      </c>
      <c r="AH1247" s="99">
        <f>ROUND(VLOOKUP(1,enemy_base_stats!$A:$F,3,FALSE) * Z1247*K1247*P1247*F1247*T1247*AE1247 * W1247*[2]ステータス!$C$2,0)</f>
        <v>207</v>
      </c>
      <c r="AI1247" s="99">
        <f>ROUND(VLOOKUP(1,enemy_base_stats!$A:$F,4,FALSE) * AA1247*L1247*Q1247*G1247*U1247*AF1247*[2]ステータス!$D$2,0)</f>
        <v>0</v>
      </c>
      <c r="AJ1247" s="99">
        <f>ROUND(VLOOKUP(100,enemy_base_stats!$A:$F,2,FALSE) * Y1247* J1247*O1247*E1247*S1247*AD1247*[2]ステータス!$B$2,0)</f>
        <v>132353</v>
      </c>
      <c r="AK1247" s="99">
        <f>ROUND(VLOOKUP(100,enemy_base_stats!$A:$F,3,FALSE)* Z1247* K1247*P1247*F1247*T1247*AE1247 * W1247*[2]ステータス!$C$2,0)</f>
        <v>8388</v>
      </c>
      <c r="AL1247" s="99">
        <f>ROUND(VLOOKUP(100,enemy_base_stats!$A:$F,4,FALSE)* AA1247* L1247*Q1247*G1247*U1247*AF1247*[2]ステータス!$D$2,0)</f>
        <v>0</v>
      </c>
      <c r="AM1247" s="97">
        <f>VLOOKUP(M1247,[2]character_tribe_i18n!$A:$I,9,FALSE)</f>
        <v>400</v>
      </c>
      <c r="AN1247" s="36">
        <v>0</v>
      </c>
      <c r="AO1247" s="53">
        <v>0</v>
      </c>
      <c r="AP1247" s="58" t="s">
        <v>72</v>
      </c>
      <c r="AQ1247" s="71">
        <f t="shared" si="65"/>
        <v>1246</v>
      </c>
    </row>
    <row r="1248" spans="1:43" ht="21" customHeight="1" x14ac:dyDescent="0.15">
      <c r="A1248" s="7">
        <v>1247</v>
      </c>
      <c r="B1248" s="6" t="str">
        <f>VLOOKUP(A1248,[2]characters!$A:$C,3,FALSE)</f>
        <v>潜情のくノ一 望月千代女</v>
      </c>
      <c r="C1248" s="9">
        <f>VLOOKUP(A1248,[2]characters!$A:$I,9,FALSE)</f>
        <v>6</v>
      </c>
      <c r="D1248" s="9" t="str">
        <f>VLOOKUP(A1248,[2]characters!$A:$H,8,FALSE)</f>
        <v>green</v>
      </c>
      <c r="E1248" s="24">
        <f>VLOOKUP(D1248,[2]属性!$A:$E,2,FALSE)</f>
        <v>1.02</v>
      </c>
      <c r="F1248" s="24">
        <f>VLOOKUP(D1248,[2]属性!$A:$E,3,FALSE)</f>
        <v>0.98</v>
      </c>
      <c r="G1248" s="24">
        <f>VLOOKUP(D1248,[2]属性!$A:$F,4,FALSE)</f>
        <v>1</v>
      </c>
      <c r="H1248" s="9" t="str">
        <f>VLOOKUP(A1248,[2]characters!$A:$K,11,FALSE)</f>
        <v>heal</v>
      </c>
      <c r="I1248" s="14" t="str">
        <f>VLOOKUP(H1248,[2]character_type_i18n!$A:$F,3,FALSE)</f>
        <v>回復タイプ</v>
      </c>
      <c r="J1248" s="36">
        <f>VLOOKUP(H1248,[2]character_type_i18n!$A:$F,4,FALSE)</f>
        <v>0.8</v>
      </c>
      <c r="K1248" s="36">
        <f>VLOOKUP(H1248,[2]character_type_i18n!$A:$F,5,FALSE)</f>
        <v>0.78</v>
      </c>
      <c r="L1248" s="36">
        <f>VLOOKUP(H1248,[2]character_type_i18n!$A:$F,6,FALSE)</f>
        <v>1</v>
      </c>
      <c r="M1248" s="9" t="str">
        <f>VLOOKUP(A1248,[2]characters!$A:$M,13,FALSE)</f>
        <v>human</v>
      </c>
      <c r="N1248" s="14" t="str">
        <f>VLOOKUP(M1248,[2]character_tribe_i18n!$A:$F,3,FALSE)</f>
        <v>ヒューマン</v>
      </c>
      <c r="O1248" s="24">
        <f>VLOOKUP(M1248,[2]character_tribe_i18n!$A:$F,4,FALSE)</f>
        <v>0.94</v>
      </c>
      <c r="P1248" s="24">
        <f>VLOOKUP(M1248,[2]character_tribe_i18n!$A:$F,5,FALSE)</f>
        <v>0.99</v>
      </c>
      <c r="Q1248" s="24">
        <f>VLOOKUP(M1248,[2]character_tribe_i18n!$A:$F,6,FALSE)</f>
        <v>1</v>
      </c>
      <c r="R1248" s="25" t="s">
        <v>98</v>
      </c>
      <c r="S1248" s="24">
        <f>VLOOKUP($R1248,ラベル別係数!$A$1:$E$7,3,FALSE)</f>
        <v>5</v>
      </c>
      <c r="T1248" s="24">
        <f>VLOOKUP($R1248,ラベル別係数!$A$1:$E$7,4,FALSE)</f>
        <v>1.3</v>
      </c>
      <c r="U1248" s="24">
        <f>VLOOKUP($R1248,ラベル別係数!$A$1:$E$7,5,FALSE)</f>
        <v>0.8</v>
      </c>
      <c r="V1248" s="27">
        <v>3</v>
      </c>
      <c r="W1248" s="28">
        <f>VLOOKUP(V1248,ターン数別攻撃係数!$A$1:$B$1000,2,FALSE)</f>
        <v>1</v>
      </c>
      <c r="X1248" s="9">
        <f>VLOOKUP(C1248,サイズ別係数!A$2:B$9,2,FALSE)</f>
        <v>60</v>
      </c>
      <c r="Y1248" s="26">
        <f>VLOOKUP($X1248,サイズ別係数!$B:$E,2,FALSE)</f>
        <v>1.7</v>
      </c>
      <c r="Z1248" s="26">
        <f>VLOOKUP($X1248,サイズ別係数!$B:$E,3,FALSE)</f>
        <v>1.4</v>
      </c>
      <c r="AA1248" s="26">
        <f>VLOOKUP($X1248,サイズ別係数!$B:$E,4,FALSE)</f>
        <v>1</v>
      </c>
      <c r="AB1248" s="5">
        <v>0</v>
      </c>
      <c r="AC1248" s="34" t="str">
        <f ca="1">VLOOKUP($AB1248,OFFSET([3]enemy_skill_sets!$B$2,0,0,COUNTA([3]enemy_skill_sets!$A:$A),MATCH(AC$1,[3]enemy_skill_sets!$1:$1,0)-MATCH($AB$1,[3]enemy_skill_sets!$1:$1,0)+1),MATCH(AC$1,[3]enemy_skill_sets!$1:$1,0)-MATCH($AB$1,[3]enemy_skill_sets!$1:$1,0)+1,FALSE)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8" s="67">
        <v>1</v>
      </c>
      <c r="AE1248" s="67">
        <v>1</v>
      </c>
      <c r="AF1248" s="37">
        <v>0</v>
      </c>
      <c r="AG1248" s="99">
        <f>ROUND(VLOOKUP(1,enemy_base_stats!$A:$F,2,FALSE) * Y1248* J1248*O1248*E1248*S1248*AD1248*[2]ステータス!$B$2,0)</f>
        <v>3260</v>
      </c>
      <c r="AH1248" s="99">
        <f>ROUND(VLOOKUP(1,enemy_base_stats!$A:$F,3,FALSE) * Z1248*K1248*P1248*F1248*T1248*AE1248 * W1248*[2]ステータス!$C$2,0)</f>
        <v>207</v>
      </c>
      <c r="AI1248" s="99">
        <f>ROUND(VLOOKUP(1,enemy_base_stats!$A:$F,4,FALSE) * AA1248*L1248*Q1248*G1248*U1248*AF1248*[2]ステータス!$D$2,0)</f>
        <v>0</v>
      </c>
      <c r="AJ1248" s="99">
        <f>ROUND(VLOOKUP(100,enemy_base_stats!$A:$F,2,FALSE) * Y1248* J1248*O1248*E1248*S1248*AD1248*[2]ステータス!$B$2,0)</f>
        <v>132353</v>
      </c>
      <c r="AK1248" s="99">
        <f>ROUND(VLOOKUP(100,enemy_base_stats!$A:$F,3,FALSE)* Z1248* K1248*P1248*F1248*T1248*AE1248 * W1248*[2]ステータス!$C$2,0)</f>
        <v>8388</v>
      </c>
      <c r="AL1248" s="99">
        <f>ROUND(VLOOKUP(100,enemy_base_stats!$A:$F,4,FALSE)* AA1248* L1248*Q1248*G1248*U1248*AF1248*[2]ステータス!$D$2,0)</f>
        <v>0</v>
      </c>
      <c r="AM1248" s="97">
        <f>VLOOKUP(M1248,[2]character_tribe_i18n!$A:$I,9,FALSE)</f>
        <v>400</v>
      </c>
      <c r="AN1248" s="36">
        <v>0</v>
      </c>
      <c r="AO1248" s="53">
        <v>0</v>
      </c>
      <c r="AP1248" s="58" t="s">
        <v>72</v>
      </c>
      <c r="AQ1248" s="71">
        <f t="shared" si="65"/>
        <v>1247</v>
      </c>
    </row>
    <row r="1249" spans="1:43" ht="21" customHeight="1" x14ac:dyDescent="0.15">
      <c r="A1249" s="7">
        <v>1248</v>
      </c>
      <c r="B1249" s="6" t="str">
        <f>VLOOKUP(A1249,[2]characters!$A:$C,3,FALSE)</f>
        <v>寧々</v>
      </c>
      <c r="C1249" s="9">
        <f>VLOOKUP(A1249,[2]characters!$A:$I,9,FALSE)</f>
        <v>4</v>
      </c>
      <c r="D1249" s="9" t="str">
        <f>VLOOKUP(A1249,[2]characters!$A:$H,8,FALSE)</f>
        <v>blue</v>
      </c>
      <c r="E1249" s="24">
        <f>VLOOKUP(D1249,[2]属性!$A:$E,2,FALSE)</f>
        <v>1</v>
      </c>
      <c r="F1249" s="24">
        <f>VLOOKUP(D1249,[2]属性!$A:$E,3,FALSE)</f>
        <v>0.98</v>
      </c>
      <c r="G1249" s="24">
        <f>VLOOKUP(D1249,[2]属性!$A:$F,4,FALSE)</f>
        <v>1</v>
      </c>
      <c r="H1249" s="9" t="str">
        <f>VLOOKUP(A1249,[2]characters!$A:$K,11,FALSE)</f>
        <v>heal</v>
      </c>
      <c r="I1249" s="14" t="str">
        <f>VLOOKUP(H1249,[2]character_type_i18n!$A:$F,3,FALSE)</f>
        <v>回復タイプ</v>
      </c>
      <c r="J1249" s="36">
        <f>VLOOKUP(H1249,[2]character_type_i18n!$A:$F,4,FALSE)</f>
        <v>0.8</v>
      </c>
      <c r="K1249" s="36">
        <f>VLOOKUP(H1249,[2]character_type_i18n!$A:$F,5,FALSE)</f>
        <v>0.78</v>
      </c>
      <c r="L1249" s="36">
        <f>VLOOKUP(H1249,[2]character_type_i18n!$A:$F,6,FALSE)</f>
        <v>1</v>
      </c>
      <c r="M1249" s="9" t="str">
        <f>VLOOKUP(A1249,[2]characters!$A:$M,13,FALSE)</f>
        <v>human</v>
      </c>
      <c r="N1249" s="14" t="str">
        <f>VLOOKUP(M1249,[2]character_tribe_i18n!$A:$F,3,FALSE)</f>
        <v>ヒューマン</v>
      </c>
      <c r="O1249" s="24">
        <f>VLOOKUP(M1249,[2]character_tribe_i18n!$A:$F,4,FALSE)</f>
        <v>0.94</v>
      </c>
      <c r="P1249" s="24">
        <f>VLOOKUP(M1249,[2]character_tribe_i18n!$A:$F,5,FALSE)</f>
        <v>0.99</v>
      </c>
      <c r="Q1249" s="24">
        <f>VLOOKUP(M1249,[2]character_tribe_i18n!$A:$F,6,FALSE)</f>
        <v>1</v>
      </c>
      <c r="R1249" s="25" t="s">
        <v>98</v>
      </c>
      <c r="S1249" s="24">
        <f>VLOOKUP($R1249,ラベル別係数!$A$1:$E$7,3,FALSE)</f>
        <v>5</v>
      </c>
      <c r="T1249" s="24">
        <f>VLOOKUP($R1249,ラベル別係数!$A$1:$E$7,4,FALSE)</f>
        <v>1.3</v>
      </c>
      <c r="U1249" s="24">
        <f>VLOOKUP($R1249,ラベル別係数!$A$1:$E$7,5,FALSE)</f>
        <v>0.8</v>
      </c>
      <c r="V1249" s="27">
        <v>3</v>
      </c>
      <c r="W1249" s="28">
        <f>VLOOKUP(V1249,ターン数別攻撃係数!$A$1:$B$1000,2,FALSE)</f>
        <v>1</v>
      </c>
      <c r="X1249" s="9">
        <f>VLOOKUP(C1249,サイズ別係数!A$2:B$9,2,FALSE)</f>
        <v>30</v>
      </c>
      <c r="Y1249" s="26">
        <f>VLOOKUP($X1249,サイズ別係数!$B:$E,2,FALSE)</f>
        <v>1.3</v>
      </c>
      <c r="Z1249" s="26">
        <f>VLOOKUP($X1249,サイズ別係数!$B:$E,3,FALSE)</f>
        <v>1.3</v>
      </c>
      <c r="AA1249" s="26">
        <f>VLOOKUP($X1249,サイズ別係数!$B:$E,4,FALSE)</f>
        <v>1.1000000000000001</v>
      </c>
      <c r="AB1249" s="5">
        <v>0</v>
      </c>
      <c r="AC1249" s="34" t="str">
        <f ca="1">VLOOKUP($AB1249,OFFSET([3]enemy_skill_sets!$B$2,0,0,COUNTA([3]enemy_skill_sets!$A:$A),MATCH(AC$1,[3]enemy_skill_sets!$1:$1,0)-MATCH($AB$1,[3]enemy_skill_sets!$1:$1,0)+1),MATCH(AC$1,[3]enemy_skill_sets!$1:$1,0)-MATCH($AB$1,[3]enemy_skill_sets!$1:$1,0)+1,FALSE)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49" s="67">
        <v>1</v>
      </c>
      <c r="AE1249" s="67">
        <v>1</v>
      </c>
      <c r="AF1249" s="37">
        <v>0</v>
      </c>
      <c r="AG1249" s="99">
        <f>ROUND(VLOOKUP(1,enemy_base_stats!$A:$F,2,FALSE) * Y1249* J1249*O1249*E1249*S1249*AD1249*[2]ステータス!$B$2,0)</f>
        <v>2444</v>
      </c>
      <c r="AH1249" s="99">
        <f>ROUND(VLOOKUP(1,enemy_base_stats!$A:$F,3,FALSE) * Z1249*K1249*P1249*F1249*T1249*AE1249 * W1249*[2]ステータス!$C$2,0)</f>
        <v>192</v>
      </c>
      <c r="AI1249" s="99">
        <f>ROUND(VLOOKUP(1,enemy_base_stats!$A:$F,4,FALSE) * AA1249*L1249*Q1249*G1249*U1249*AF1249*[2]ステータス!$D$2,0)</f>
        <v>0</v>
      </c>
      <c r="AJ1249" s="99">
        <f>ROUND(VLOOKUP(100,enemy_base_stats!$A:$F,2,FALSE) * Y1249* J1249*O1249*E1249*S1249*AD1249*[2]ステータス!$B$2,0)</f>
        <v>99226</v>
      </c>
      <c r="AK1249" s="99">
        <f>ROUND(VLOOKUP(100,enemy_base_stats!$A:$F,3,FALSE)* Z1249* K1249*P1249*F1249*T1249*AE1249 * W1249*[2]ステータス!$C$2,0)</f>
        <v>7789</v>
      </c>
      <c r="AL1249" s="99">
        <f>ROUND(VLOOKUP(100,enemy_base_stats!$A:$F,4,FALSE)* AA1249* L1249*Q1249*G1249*U1249*AF1249*[2]ステータス!$D$2,0)</f>
        <v>0</v>
      </c>
      <c r="AM1249" s="97">
        <f>VLOOKUP(M1249,[2]character_tribe_i18n!$A:$I,9,FALSE)</f>
        <v>400</v>
      </c>
      <c r="AN1249" s="36">
        <v>0</v>
      </c>
      <c r="AO1249" s="53">
        <v>0</v>
      </c>
      <c r="AP1249" s="58" t="s">
        <v>72</v>
      </c>
      <c r="AQ1249" s="71">
        <f t="shared" si="65"/>
        <v>1248</v>
      </c>
    </row>
    <row r="1250" spans="1:43" ht="21" customHeight="1" x14ac:dyDescent="0.15">
      <c r="A1250" s="7">
        <v>1249</v>
      </c>
      <c r="B1250" s="6" t="str">
        <f>VLOOKUP(A1250,[2]characters!$A:$C,3,FALSE)</f>
        <v>君臨する姐御様 寧々</v>
      </c>
      <c r="C1250" s="9">
        <f>VLOOKUP(A1250,[2]characters!$A:$I,9,FALSE)</f>
        <v>5</v>
      </c>
      <c r="D1250" s="9" t="str">
        <f>VLOOKUP(A1250,[2]characters!$A:$H,8,FALSE)</f>
        <v>blue</v>
      </c>
      <c r="E1250" s="24">
        <f>VLOOKUP(D1250,[2]属性!$A:$E,2,FALSE)</f>
        <v>1</v>
      </c>
      <c r="F1250" s="24">
        <f>VLOOKUP(D1250,[2]属性!$A:$E,3,FALSE)</f>
        <v>0.98</v>
      </c>
      <c r="G1250" s="24">
        <f>VLOOKUP(D1250,[2]属性!$A:$F,4,FALSE)</f>
        <v>1</v>
      </c>
      <c r="H1250" s="9" t="str">
        <f>VLOOKUP(A1250,[2]characters!$A:$K,11,FALSE)</f>
        <v>heal</v>
      </c>
      <c r="I1250" s="14" t="str">
        <f>VLOOKUP(H1250,[2]character_type_i18n!$A:$F,3,FALSE)</f>
        <v>回復タイプ</v>
      </c>
      <c r="J1250" s="36">
        <f>VLOOKUP(H1250,[2]character_type_i18n!$A:$F,4,FALSE)</f>
        <v>0.8</v>
      </c>
      <c r="K1250" s="36">
        <f>VLOOKUP(H1250,[2]character_type_i18n!$A:$F,5,FALSE)</f>
        <v>0.78</v>
      </c>
      <c r="L1250" s="36">
        <f>VLOOKUP(H1250,[2]character_type_i18n!$A:$F,6,FALSE)</f>
        <v>1</v>
      </c>
      <c r="M1250" s="9" t="str">
        <f>VLOOKUP(A1250,[2]characters!$A:$M,13,FALSE)</f>
        <v>human</v>
      </c>
      <c r="N1250" s="14" t="str">
        <f>VLOOKUP(M1250,[2]character_tribe_i18n!$A:$F,3,FALSE)</f>
        <v>ヒューマン</v>
      </c>
      <c r="O1250" s="24">
        <f>VLOOKUP(M1250,[2]character_tribe_i18n!$A:$F,4,FALSE)</f>
        <v>0.94</v>
      </c>
      <c r="P1250" s="24">
        <f>VLOOKUP(M1250,[2]character_tribe_i18n!$A:$F,5,FALSE)</f>
        <v>0.99</v>
      </c>
      <c r="Q1250" s="24">
        <f>VLOOKUP(M1250,[2]character_tribe_i18n!$A:$F,6,FALSE)</f>
        <v>1</v>
      </c>
      <c r="R1250" s="25" t="s">
        <v>98</v>
      </c>
      <c r="S1250" s="24">
        <f>VLOOKUP($R1250,ラベル別係数!$A$1:$E$7,3,FALSE)</f>
        <v>5</v>
      </c>
      <c r="T1250" s="24">
        <f>VLOOKUP($R1250,ラベル別係数!$A$1:$E$7,4,FALSE)</f>
        <v>1.3</v>
      </c>
      <c r="U1250" s="24">
        <f>VLOOKUP($R1250,ラベル別係数!$A$1:$E$7,5,FALSE)</f>
        <v>0.8</v>
      </c>
      <c r="V1250" s="27">
        <v>3</v>
      </c>
      <c r="W1250" s="28">
        <f>VLOOKUP(V1250,ターン数別攻撃係数!$A$1:$B$1000,2,FALSE)</f>
        <v>1</v>
      </c>
      <c r="X1250" s="9">
        <f>VLOOKUP(C1250,サイズ別係数!A$2:B$9,2,FALSE)</f>
        <v>60</v>
      </c>
      <c r="Y1250" s="26">
        <f>VLOOKUP($X1250,サイズ別係数!$B:$E,2,FALSE)</f>
        <v>1.7</v>
      </c>
      <c r="Z1250" s="26">
        <f>VLOOKUP($X1250,サイズ別係数!$B:$E,3,FALSE)</f>
        <v>1.4</v>
      </c>
      <c r="AA1250" s="26">
        <f>VLOOKUP($X1250,サイズ別係数!$B:$E,4,FALSE)</f>
        <v>1</v>
      </c>
      <c r="AB1250" s="5">
        <v>0</v>
      </c>
      <c r="AC1250" s="34" t="str">
        <f ca="1">VLOOKUP($AB1250,OFFSET([3]enemy_skill_sets!$B$2,0,0,COUNTA([3]enemy_skill_sets!$A:$A),MATCH(AC$1,[3]enemy_skill_sets!$1:$1,0)-MATCH($AB$1,[3]enemy_skill_sets!$1:$1,0)+1),MATCH(AC$1,[3]enemy_skill_sets!$1:$1,0)-MATCH($AB$1,[3]enemy_skill_sets!$1:$1,0)+1,FALSE)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0" s="67">
        <v>1</v>
      </c>
      <c r="AE1250" s="67">
        <v>1</v>
      </c>
      <c r="AF1250" s="37">
        <v>0</v>
      </c>
      <c r="AG1250" s="99">
        <f>ROUND(VLOOKUP(1,enemy_base_stats!$A:$F,2,FALSE) * Y1250* J1250*O1250*E1250*S1250*AD1250*[2]ステータス!$B$2,0)</f>
        <v>3196</v>
      </c>
      <c r="AH1250" s="99">
        <f>ROUND(VLOOKUP(1,enemy_base_stats!$A:$F,3,FALSE) * Z1250*K1250*P1250*F1250*T1250*AE1250 * W1250*[2]ステータス!$C$2,0)</f>
        <v>207</v>
      </c>
      <c r="AI1250" s="99">
        <f>ROUND(VLOOKUP(1,enemy_base_stats!$A:$F,4,FALSE) * AA1250*L1250*Q1250*G1250*U1250*AF1250*[2]ステータス!$D$2,0)</f>
        <v>0</v>
      </c>
      <c r="AJ1250" s="99">
        <f>ROUND(VLOOKUP(100,enemy_base_stats!$A:$F,2,FALSE) * Y1250* J1250*O1250*E1250*S1250*AD1250*[2]ステータス!$B$2,0)</f>
        <v>129758</v>
      </c>
      <c r="AK1250" s="99">
        <f>ROUND(VLOOKUP(100,enemy_base_stats!$A:$F,3,FALSE)* Z1250* K1250*P1250*F1250*T1250*AE1250 * W1250*[2]ステータス!$C$2,0)</f>
        <v>8388</v>
      </c>
      <c r="AL1250" s="99">
        <f>ROUND(VLOOKUP(100,enemy_base_stats!$A:$F,4,FALSE)* AA1250* L1250*Q1250*G1250*U1250*AF1250*[2]ステータス!$D$2,0)</f>
        <v>0</v>
      </c>
      <c r="AM1250" s="97">
        <f>VLOOKUP(M1250,[2]character_tribe_i18n!$A:$I,9,FALSE)</f>
        <v>400</v>
      </c>
      <c r="AN1250" s="36">
        <v>0</v>
      </c>
      <c r="AO1250" s="53">
        <v>0</v>
      </c>
      <c r="AP1250" s="58" t="s">
        <v>72</v>
      </c>
      <c r="AQ1250" s="71">
        <f t="shared" si="65"/>
        <v>1249</v>
      </c>
    </row>
    <row r="1251" spans="1:43" ht="21" customHeight="1" x14ac:dyDescent="0.15">
      <c r="A1251" s="7">
        <v>1250</v>
      </c>
      <c r="B1251" s="6" t="str">
        <f>VLOOKUP(A1251,[2]characters!$A:$C,3,FALSE)</f>
        <v>真田幸村</v>
      </c>
      <c r="C1251" s="9">
        <f>VLOOKUP(A1251,[2]characters!$A:$I,9,FALSE)</f>
        <v>5</v>
      </c>
      <c r="D1251" s="9" t="str">
        <f>VLOOKUP(A1251,[2]characters!$A:$H,8,FALSE)</f>
        <v>yellow</v>
      </c>
      <c r="E1251" s="24">
        <f>VLOOKUP(D1251,[2]属性!$A:$E,2,FALSE)</f>
        <v>0.98</v>
      </c>
      <c r="F1251" s="24">
        <f>VLOOKUP(D1251,[2]属性!$A:$E,3,FALSE)</f>
        <v>1.01</v>
      </c>
      <c r="G1251" s="24">
        <f>VLOOKUP(D1251,[2]属性!$A:$F,4,FALSE)</f>
        <v>1</v>
      </c>
      <c r="H1251" s="9" t="str">
        <f>VLOOKUP(A1251,[2]characters!$A:$K,11,FALSE)</f>
        <v>attack</v>
      </c>
      <c r="I1251" s="14" t="str">
        <f>VLOOKUP(H1251,[2]character_type_i18n!$A:$F,3,FALSE)</f>
        <v>攻撃タイプ</v>
      </c>
      <c r="J1251" s="36">
        <f>VLOOKUP(H1251,[2]character_type_i18n!$A:$F,4,FALSE)</f>
        <v>1</v>
      </c>
      <c r="K1251" s="36">
        <f>VLOOKUP(H1251,[2]character_type_i18n!$A:$F,5,FALSE)</f>
        <v>1.33</v>
      </c>
      <c r="L1251" s="36">
        <f>VLOOKUP(H1251,[2]character_type_i18n!$A:$F,6,FALSE)</f>
        <v>1</v>
      </c>
      <c r="M1251" s="9" t="str">
        <f>VLOOKUP(A1251,[2]characters!$A:$M,13,FALSE)</f>
        <v>human</v>
      </c>
      <c r="N1251" s="14" t="str">
        <f>VLOOKUP(M1251,[2]character_tribe_i18n!$A:$F,3,FALSE)</f>
        <v>ヒューマン</v>
      </c>
      <c r="O1251" s="24">
        <f>VLOOKUP(M1251,[2]character_tribe_i18n!$A:$F,4,FALSE)</f>
        <v>0.94</v>
      </c>
      <c r="P1251" s="24">
        <f>VLOOKUP(M1251,[2]character_tribe_i18n!$A:$F,5,FALSE)</f>
        <v>0.99</v>
      </c>
      <c r="Q1251" s="24">
        <f>VLOOKUP(M1251,[2]character_tribe_i18n!$A:$F,6,FALSE)</f>
        <v>1</v>
      </c>
      <c r="R1251" s="25" t="s">
        <v>98</v>
      </c>
      <c r="S1251" s="24">
        <f>VLOOKUP($R1251,ラベル別係数!$A$1:$E$7,3,FALSE)</f>
        <v>5</v>
      </c>
      <c r="T1251" s="24">
        <f>VLOOKUP($R1251,ラベル別係数!$A$1:$E$7,4,FALSE)</f>
        <v>1.3</v>
      </c>
      <c r="U1251" s="24">
        <f>VLOOKUP($R1251,ラベル別係数!$A$1:$E$7,5,FALSE)</f>
        <v>0.8</v>
      </c>
      <c r="V1251" s="27">
        <v>3</v>
      </c>
      <c r="W1251" s="28">
        <f>VLOOKUP(V1251,ターン数別攻撃係数!$A$1:$B$1000,2,FALSE)</f>
        <v>1</v>
      </c>
      <c r="X1251" s="9">
        <f>VLOOKUP(C1251,サイズ別係数!A$2:B$9,2,FALSE)</f>
        <v>60</v>
      </c>
      <c r="Y1251" s="26">
        <f>VLOOKUP($X1251,サイズ別係数!$B:$E,2,FALSE)</f>
        <v>1.7</v>
      </c>
      <c r="Z1251" s="26">
        <f>VLOOKUP($X1251,サイズ別係数!$B:$E,3,FALSE)</f>
        <v>1.4</v>
      </c>
      <c r="AA1251" s="26">
        <f>VLOOKUP($X1251,サイズ別係数!$B:$E,4,FALSE)</f>
        <v>1</v>
      </c>
      <c r="AB1251" s="5">
        <v>0</v>
      </c>
      <c r="AC1251" s="34" t="str">
        <f ca="1">VLOOKUP($AB1251,OFFSET([3]enemy_skill_sets!$B$2,0,0,COUNTA([3]enemy_skill_sets!$A:$A),MATCH(AC$1,[3]enemy_skill_sets!$1:$1,0)-MATCH($AB$1,[3]enemy_skill_sets!$1:$1,0)+1),MATCH(AC$1,[3]enemy_skill_sets!$1:$1,0)-MATCH($AB$1,[3]enemy_skill_sets!$1:$1,0)+1,FALSE)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1" s="67">
        <v>1</v>
      </c>
      <c r="AE1251" s="67">
        <v>1</v>
      </c>
      <c r="AF1251" s="37">
        <v>0</v>
      </c>
      <c r="AG1251" s="99">
        <f>ROUND(VLOOKUP(1,enemy_base_stats!$A:$F,2,FALSE) * Y1251* J1251*O1251*E1251*S1251*AD1251*[2]ステータス!$B$2,0)</f>
        <v>3915</v>
      </c>
      <c r="AH1251" s="99">
        <f>ROUND(VLOOKUP(1,enemy_base_stats!$A:$F,3,FALSE) * Z1251*K1251*P1251*F1251*T1251*AE1251 * W1251*[2]ステータス!$C$2,0)</f>
        <v>363</v>
      </c>
      <c r="AI1251" s="99">
        <f>ROUND(VLOOKUP(1,enemy_base_stats!$A:$F,4,FALSE) * AA1251*L1251*Q1251*G1251*U1251*AF1251*[2]ステータス!$D$2,0)</f>
        <v>0</v>
      </c>
      <c r="AJ1251" s="99">
        <f>ROUND(VLOOKUP(100,enemy_base_stats!$A:$F,2,FALSE) * Y1251* J1251*O1251*E1251*S1251*AD1251*[2]ステータス!$B$2,0)</f>
        <v>158953</v>
      </c>
      <c r="AK1251" s="99">
        <f>ROUND(VLOOKUP(100,enemy_base_stats!$A:$F,3,FALSE)* Z1251* K1251*P1251*F1251*T1251*AE1251 * W1251*[2]ステータス!$C$2,0)</f>
        <v>14740</v>
      </c>
      <c r="AL1251" s="99">
        <f>ROUND(VLOOKUP(100,enemy_base_stats!$A:$F,4,FALSE)* AA1251* L1251*Q1251*G1251*U1251*AF1251*[2]ステータス!$D$2,0)</f>
        <v>0</v>
      </c>
      <c r="AM1251" s="97">
        <f>VLOOKUP(M1251,[2]character_tribe_i18n!$A:$I,9,FALSE)</f>
        <v>400</v>
      </c>
      <c r="AN1251" s="36">
        <v>0</v>
      </c>
      <c r="AO1251" s="53">
        <v>0</v>
      </c>
      <c r="AP1251" s="58" t="s">
        <v>72</v>
      </c>
      <c r="AQ1251" s="71">
        <f t="shared" si="65"/>
        <v>1250</v>
      </c>
    </row>
    <row r="1252" spans="1:43" ht="21" customHeight="1" x14ac:dyDescent="0.15">
      <c r="A1252" s="7">
        <v>1251</v>
      </c>
      <c r="B1252" s="6" t="str">
        <f>VLOOKUP(A1252,[2]characters!$A:$C,3,FALSE)</f>
        <v>錯槍の英勇 真田幸村</v>
      </c>
      <c r="C1252" s="9">
        <f>VLOOKUP(A1252,[2]characters!$A:$I,9,FALSE)</f>
        <v>6</v>
      </c>
      <c r="D1252" s="9" t="str">
        <f>VLOOKUP(A1252,[2]characters!$A:$H,8,FALSE)</f>
        <v>yellow</v>
      </c>
      <c r="E1252" s="24">
        <f>VLOOKUP(D1252,[2]属性!$A:$E,2,FALSE)</f>
        <v>0.98</v>
      </c>
      <c r="F1252" s="24">
        <f>VLOOKUP(D1252,[2]属性!$A:$E,3,FALSE)</f>
        <v>1.01</v>
      </c>
      <c r="G1252" s="24">
        <f>VLOOKUP(D1252,[2]属性!$A:$F,4,FALSE)</f>
        <v>1</v>
      </c>
      <c r="H1252" s="9" t="str">
        <f>VLOOKUP(A1252,[2]characters!$A:$K,11,FALSE)</f>
        <v>attack</v>
      </c>
      <c r="I1252" s="14" t="str">
        <f>VLOOKUP(H1252,[2]character_type_i18n!$A:$F,3,FALSE)</f>
        <v>攻撃タイプ</v>
      </c>
      <c r="J1252" s="36">
        <f>VLOOKUP(H1252,[2]character_type_i18n!$A:$F,4,FALSE)</f>
        <v>1</v>
      </c>
      <c r="K1252" s="36">
        <f>VLOOKUP(H1252,[2]character_type_i18n!$A:$F,5,FALSE)</f>
        <v>1.33</v>
      </c>
      <c r="L1252" s="36">
        <f>VLOOKUP(H1252,[2]character_type_i18n!$A:$F,6,FALSE)</f>
        <v>1</v>
      </c>
      <c r="M1252" s="9" t="str">
        <f>VLOOKUP(A1252,[2]characters!$A:$M,13,FALSE)</f>
        <v>human</v>
      </c>
      <c r="N1252" s="14" t="str">
        <f>VLOOKUP(M1252,[2]character_tribe_i18n!$A:$F,3,FALSE)</f>
        <v>ヒューマン</v>
      </c>
      <c r="O1252" s="24">
        <f>VLOOKUP(M1252,[2]character_tribe_i18n!$A:$F,4,FALSE)</f>
        <v>0.94</v>
      </c>
      <c r="P1252" s="24">
        <f>VLOOKUP(M1252,[2]character_tribe_i18n!$A:$F,5,FALSE)</f>
        <v>0.99</v>
      </c>
      <c r="Q1252" s="24">
        <f>VLOOKUP(M1252,[2]character_tribe_i18n!$A:$F,6,FALSE)</f>
        <v>1</v>
      </c>
      <c r="R1252" s="25" t="s">
        <v>98</v>
      </c>
      <c r="S1252" s="24">
        <f>VLOOKUP($R1252,ラベル別係数!$A$1:$E$7,3,FALSE)</f>
        <v>5</v>
      </c>
      <c r="T1252" s="24">
        <f>VLOOKUP($R1252,ラベル別係数!$A$1:$E$7,4,FALSE)</f>
        <v>1.3</v>
      </c>
      <c r="U1252" s="24">
        <f>VLOOKUP($R1252,ラベル別係数!$A$1:$E$7,5,FALSE)</f>
        <v>0.8</v>
      </c>
      <c r="V1252" s="27">
        <v>3</v>
      </c>
      <c r="W1252" s="28">
        <f>VLOOKUP(V1252,ターン数別攻撃係数!$A$1:$B$1000,2,FALSE)</f>
        <v>1</v>
      </c>
      <c r="X1252" s="9">
        <f>VLOOKUP(C1252,サイズ別係数!A$2:B$9,2,FALSE)</f>
        <v>60</v>
      </c>
      <c r="Y1252" s="26">
        <f>VLOOKUP($X1252,サイズ別係数!$B:$E,2,FALSE)</f>
        <v>1.7</v>
      </c>
      <c r="Z1252" s="26">
        <f>VLOOKUP($X1252,サイズ別係数!$B:$E,3,FALSE)</f>
        <v>1.4</v>
      </c>
      <c r="AA1252" s="26">
        <f>VLOOKUP($X1252,サイズ別係数!$B:$E,4,FALSE)</f>
        <v>1</v>
      </c>
      <c r="AB1252" s="5">
        <v>0</v>
      </c>
      <c r="AC1252" s="34" t="str">
        <f ca="1">VLOOKUP($AB1252,OFFSET([3]enemy_skill_sets!$B$2,0,0,COUNTA([3]enemy_skill_sets!$A:$A),MATCH(AC$1,[3]enemy_skill_sets!$1:$1,0)-MATCH($AB$1,[3]enemy_skill_sets!$1:$1,0)+1),MATCH(AC$1,[3]enemy_skill_sets!$1:$1,0)-MATCH($AB$1,[3]enemy_skill_sets!$1:$1,0)+1,FALSE)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2" s="67">
        <v>1</v>
      </c>
      <c r="AE1252" s="67">
        <v>1</v>
      </c>
      <c r="AF1252" s="37">
        <v>0</v>
      </c>
      <c r="AG1252" s="99">
        <f>ROUND(VLOOKUP(1,enemy_base_stats!$A:$F,2,FALSE) * Y1252* J1252*O1252*E1252*S1252*AD1252*[2]ステータス!$B$2,0)</f>
        <v>3915</v>
      </c>
      <c r="AH1252" s="99">
        <f>ROUND(VLOOKUP(1,enemy_base_stats!$A:$F,3,FALSE) * Z1252*K1252*P1252*F1252*T1252*AE1252 * W1252*[2]ステータス!$C$2,0)</f>
        <v>363</v>
      </c>
      <c r="AI1252" s="99">
        <f>ROUND(VLOOKUP(1,enemy_base_stats!$A:$F,4,FALSE) * AA1252*L1252*Q1252*G1252*U1252*AF1252*[2]ステータス!$D$2,0)</f>
        <v>0</v>
      </c>
      <c r="AJ1252" s="99">
        <f>ROUND(VLOOKUP(100,enemy_base_stats!$A:$F,2,FALSE) * Y1252* J1252*O1252*E1252*S1252*AD1252*[2]ステータス!$B$2,0)</f>
        <v>158953</v>
      </c>
      <c r="AK1252" s="99">
        <f>ROUND(VLOOKUP(100,enemy_base_stats!$A:$F,3,FALSE)* Z1252* K1252*P1252*F1252*T1252*AE1252 * W1252*[2]ステータス!$C$2,0)</f>
        <v>14740</v>
      </c>
      <c r="AL1252" s="99">
        <f>ROUND(VLOOKUP(100,enemy_base_stats!$A:$F,4,FALSE)* AA1252* L1252*Q1252*G1252*U1252*AF1252*[2]ステータス!$D$2,0)</f>
        <v>0</v>
      </c>
      <c r="AM1252" s="97">
        <f>VLOOKUP(M1252,[2]character_tribe_i18n!$A:$I,9,FALSE)</f>
        <v>400</v>
      </c>
      <c r="AN1252" s="36">
        <v>0</v>
      </c>
      <c r="AO1252" s="53">
        <v>0</v>
      </c>
      <c r="AP1252" s="58" t="s">
        <v>72</v>
      </c>
      <c r="AQ1252" s="71">
        <f t="shared" si="65"/>
        <v>1251</v>
      </c>
    </row>
    <row r="1253" spans="1:43" ht="21" customHeight="1" x14ac:dyDescent="0.15">
      <c r="A1253" s="7">
        <v>1252</v>
      </c>
      <c r="B1253" s="6" t="str">
        <f>VLOOKUP(A1253,[2]characters!$A:$C,3,FALSE)</f>
        <v>ギャラルホルン</v>
      </c>
      <c r="C1253" s="9">
        <f>VLOOKUP(A1253,[2]characters!$A:$I,9,FALSE)</f>
        <v>4</v>
      </c>
      <c r="D1253" s="9" t="str">
        <f>VLOOKUP(A1253,[2]characters!$A:$H,8,FALSE)</f>
        <v>blue</v>
      </c>
      <c r="E1253" s="24">
        <f>VLOOKUP(D1253,[2]属性!$A:$E,2,FALSE)</f>
        <v>1</v>
      </c>
      <c r="F1253" s="24">
        <f>VLOOKUP(D1253,[2]属性!$A:$E,3,FALSE)</f>
        <v>0.98</v>
      </c>
      <c r="G1253" s="24">
        <f>VLOOKUP(D1253,[2]属性!$A:$F,4,FALSE)</f>
        <v>1</v>
      </c>
      <c r="H1253" s="100" t="s">
        <v>172</v>
      </c>
      <c r="I1253" s="14" t="str">
        <f>VLOOKUP(H1253,[2]character_type_i18n!$A:$F,3,FALSE)</f>
        <v>攻撃タイプ</v>
      </c>
      <c r="J1253" s="36">
        <f>VLOOKUP(H1253,[2]character_type_i18n!$A:$F,4,FALSE)</f>
        <v>1</v>
      </c>
      <c r="K1253" s="36">
        <f>VLOOKUP(H1253,[2]character_type_i18n!$A:$F,5,FALSE)</f>
        <v>1.33</v>
      </c>
      <c r="L1253" s="36">
        <f>VLOOKUP(H1253,[2]character_type_i18n!$A:$F,6,FALSE)</f>
        <v>1</v>
      </c>
      <c r="M1253" s="100" t="s">
        <v>173</v>
      </c>
      <c r="N1253" s="14" t="str">
        <f>VLOOKUP(M1253,[2]character_tribe_i18n!$A:$F,3,FALSE)</f>
        <v>ゴッド</v>
      </c>
      <c r="O1253" s="24">
        <f>VLOOKUP(M1253,[2]character_tribe_i18n!$A:$F,4,FALSE)</f>
        <v>0.96</v>
      </c>
      <c r="P1253" s="24">
        <f>VLOOKUP(M1253,[2]character_tribe_i18n!$A:$F,5,FALSE)</f>
        <v>1.02</v>
      </c>
      <c r="Q1253" s="24">
        <f>VLOOKUP(M1253,[2]character_tribe_i18n!$A:$F,6,FALSE)</f>
        <v>1</v>
      </c>
      <c r="R1253" s="25" t="s">
        <v>98</v>
      </c>
      <c r="S1253" s="24">
        <f>VLOOKUP($R1253,ラベル別係数!$A$1:$E$7,3,FALSE)</f>
        <v>5</v>
      </c>
      <c r="T1253" s="24">
        <f>VLOOKUP($R1253,ラベル別係数!$A$1:$E$7,4,FALSE)</f>
        <v>1.3</v>
      </c>
      <c r="U1253" s="24">
        <f>VLOOKUP($R1253,ラベル別係数!$A$1:$E$7,5,FALSE)</f>
        <v>0.8</v>
      </c>
      <c r="V1253" s="27">
        <v>3</v>
      </c>
      <c r="W1253" s="28">
        <f>VLOOKUP(V1253,ターン数別攻撃係数!$A$1:$B$1000,2,FALSE)</f>
        <v>1</v>
      </c>
      <c r="X1253" s="9">
        <f>VLOOKUP(C1253,サイズ別係数!A$2:B$9,2,FALSE)</f>
        <v>30</v>
      </c>
      <c r="Y1253" s="26">
        <f>VLOOKUP($X1253,サイズ別係数!$B:$E,2,FALSE)</f>
        <v>1.3</v>
      </c>
      <c r="Z1253" s="26">
        <f>VLOOKUP($X1253,サイズ別係数!$B:$E,3,FALSE)</f>
        <v>1.3</v>
      </c>
      <c r="AA1253" s="26">
        <f>VLOOKUP($X1253,サイズ別係数!$B:$E,4,FALSE)</f>
        <v>1.1000000000000001</v>
      </c>
      <c r="AB1253" s="5">
        <v>0</v>
      </c>
      <c r="AC1253" s="34" t="str">
        <f ca="1">VLOOKUP($AB1253,OFFSET([3]enemy_skill_sets!$B$2,0,0,COUNTA([3]enemy_skill_sets!$A:$A),MATCH(AC$1,[3]enemy_skill_sets!$1:$1,0)-MATCH($AB$1,[3]enemy_skill_sets!$1:$1,0)+1),MATCH(AC$1,[3]enemy_skill_sets!$1:$1,0)-MATCH($AB$1,[3]enemy_skill_sets!$1:$1,0)+1,FALSE)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3" s="67">
        <v>1</v>
      </c>
      <c r="AE1253" s="67">
        <v>1</v>
      </c>
      <c r="AF1253" s="37">
        <v>0</v>
      </c>
      <c r="AG1253" s="99">
        <f>ROUND(VLOOKUP(1,enemy_base_stats!$A:$F,2,FALSE) * Y1253* J1253*O1253*E1253*S1253*AD1253*[2]ステータス!$B$2,0)</f>
        <v>3120</v>
      </c>
      <c r="AH1253" s="99">
        <f>ROUND(VLOOKUP(1,enemy_base_stats!$A:$F,3,FALSE) * Z1253*K1253*P1253*F1253*T1253*AE1253 * W1253*[2]ステータス!$C$2,0)</f>
        <v>337</v>
      </c>
      <c r="AI1253" s="99">
        <f>ROUND(VLOOKUP(1,enemy_base_stats!$A:$F,4,FALSE) * AA1253*L1253*Q1253*G1253*U1253*AF1253*[2]ステータス!$D$2,0)</f>
        <v>0</v>
      </c>
      <c r="AJ1253" s="99">
        <f>ROUND(VLOOKUP(100,enemy_base_stats!$A:$F,2,FALSE) * Y1253* J1253*O1253*E1253*S1253*AD1253*[2]ステータス!$B$2,0)</f>
        <v>126672</v>
      </c>
      <c r="AK1253" s="99">
        <f>ROUND(VLOOKUP(100,enemy_base_stats!$A:$F,3,FALSE)* Z1253* K1253*P1253*F1253*T1253*AE1253 * W1253*[2]ステータス!$C$2,0)</f>
        <v>13683</v>
      </c>
      <c r="AL1253" s="99">
        <f>ROUND(VLOOKUP(100,enemy_base_stats!$A:$F,4,FALSE)* AA1253* L1253*Q1253*G1253*U1253*AF1253*[2]ステータス!$D$2,0)</f>
        <v>0</v>
      </c>
      <c r="AM1253" s="97">
        <f>VLOOKUP(M1253,[2]character_tribe_i18n!$A:$I,9,FALSE)</f>
        <v>680</v>
      </c>
      <c r="AN1253" s="36">
        <v>0</v>
      </c>
      <c r="AO1253" s="53">
        <v>0</v>
      </c>
      <c r="AP1253" s="58" t="s">
        <v>72</v>
      </c>
      <c r="AQ1253" s="71">
        <f t="shared" si="65"/>
        <v>1252</v>
      </c>
    </row>
    <row r="1254" spans="1:43" ht="21" customHeight="1" x14ac:dyDescent="0.15">
      <c r="A1254" s="7">
        <v>1253</v>
      </c>
      <c r="B1254" s="6" t="str">
        <f>VLOOKUP(A1254,[2]characters!$A:$C,3,FALSE)</f>
        <v>吹聴する廃徊者 ギャラルホルン</v>
      </c>
      <c r="C1254" s="9">
        <f>VLOOKUP(A1254,[2]characters!$A:$I,9,FALSE)</f>
        <v>5</v>
      </c>
      <c r="D1254" s="9" t="str">
        <f>VLOOKUP(A1254,[2]characters!$A:$H,8,FALSE)</f>
        <v>blue</v>
      </c>
      <c r="E1254" s="24">
        <f>VLOOKUP(D1254,[2]属性!$A:$E,2,FALSE)</f>
        <v>1</v>
      </c>
      <c r="F1254" s="24">
        <f>VLOOKUP(D1254,[2]属性!$A:$E,3,FALSE)</f>
        <v>0.98</v>
      </c>
      <c r="G1254" s="24">
        <f>VLOOKUP(D1254,[2]属性!$A:$F,4,FALSE)</f>
        <v>1</v>
      </c>
      <c r="H1254" s="100" t="s">
        <v>172</v>
      </c>
      <c r="I1254" s="14" t="str">
        <f>VLOOKUP(H1254,[2]character_type_i18n!$A:$F,3,FALSE)</f>
        <v>攻撃タイプ</v>
      </c>
      <c r="J1254" s="36">
        <f>VLOOKUP(H1254,[2]character_type_i18n!$A:$F,4,FALSE)</f>
        <v>1</v>
      </c>
      <c r="K1254" s="36">
        <f>VLOOKUP(H1254,[2]character_type_i18n!$A:$F,5,FALSE)</f>
        <v>1.33</v>
      </c>
      <c r="L1254" s="36">
        <f>VLOOKUP(H1254,[2]character_type_i18n!$A:$F,6,FALSE)</f>
        <v>1</v>
      </c>
      <c r="M1254" s="100" t="s">
        <v>173</v>
      </c>
      <c r="N1254" s="14" t="str">
        <f>VLOOKUP(M1254,[2]character_tribe_i18n!$A:$F,3,FALSE)</f>
        <v>ゴッド</v>
      </c>
      <c r="O1254" s="24">
        <f>VLOOKUP(M1254,[2]character_tribe_i18n!$A:$F,4,FALSE)</f>
        <v>0.96</v>
      </c>
      <c r="P1254" s="24">
        <f>VLOOKUP(M1254,[2]character_tribe_i18n!$A:$F,5,FALSE)</f>
        <v>1.02</v>
      </c>
      <c r="Q1254" s="24">
        <f>VLOOKUP(M1254,[2]character_tribe_i18n!$A:$F,6,FALSE)</f>
        <v>1</v>
      </c>
      <c r="R1254" s="25" t="s">
        <v>98</v>
      </c>
      <c r="S1254" s="24">
        <f>VLOOKUP($R1254,ラベル別係数!$A$1:$E$7,3,FALSE)</f>
        <v>5</v>
      </c>
      <c r="T1254" s="24">
        <f>VLOOKUP($R1254,ラベル別係数!$A$1:$E$7,4,FALSE)</f>
        <v>1.3</v>
      </c>
      <c r="U1254" s="24">
        <f>VLOOKUP($R1254,ラベル別係数!$A$1:$E$7,5,FALSE)</f>
        <v>0.8</v>
      </c>
      <c r="V1254" s="27">
        <v>3</v>
      </c>
      <c r="W1254" s="28">
        <f>VLOOKUP(V1254,ターン数別攻撃係数!$A$1:$B$1000,2,FALSE)</f>
        <v>1</v>
      </c>
      <c r="X1254" s="9">
        <f>VLOOKUP(C1254,サイズ別係数!A$2:B$9,2,FALSE)</f>
        <v>60</v>
      </c>
      <c r="Y1254" s="26">
        <f>VLOOKUP($X1254,サイズ別係数!$B:$E,2,FALSE)</f>
        <v>1.7</v>
      </c>
      <c r="Z1254" s="26">
        <f>VLOOKUP($X1254,サイズ別係数!$B:$E,3,FALSE)</f>
        <v>1.4</v>
      </c>
      <c r="AA1254" s="26">
        <f>VLOOKUP($X1254,サイズ別係数!$B:$E,4,FALSE)</f>
        <v>1</v>
      </c>
      <c r="AB1254" s="5">
        <v>0</v>
      </c>
      <c r="AC1254" s="34" t="str">
        <f ca="1">VLOOKUP($AB1254,OFFSET([3]enemy_skill_sets!$B$2,0,0,COUNTA([3]enemy_skill_sets!$A:$A),MATCH(AC$1,[3]enemy_skill_sets!$1:$1,0)-MATCH($AB$1,[3]enemy_skill_sets!$1:$1,0)+1),MATCH(AC$1,[3]enemy_skill_sets!$1:$1,0)-MATCH($AB$1,[3]enemy_skill_sets!$1:$1,0)+1,FALSE)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4" s="67">
        <v>1</v>
      </c>
      <c r="AE1254" s="67">
        <v>1</v>
      </c>
      <c r="AF1254" s="37">
        <v>0</v>
      </c>
      <c r="AG1254" s="99">
        <f>ROUND(VLOOKUP(1,enemy_base_stats!$A:$F,2,FALSE) * Y1254* J1254*O1254*E1254*S1254*AD1254*[2]ステータス!$B$2,0)</f>
        <v>4080</v>
      </c>
      <c r="AH1254" s="99">
        <f>ROUND(VLOOKUP(1,enemy_base_stats!$A:$F,3,FALSE) * Z1254*K1254*P1254*F1254*T1254*AE1254 * W1254*[2]ステータス!$C$2,0)</f>
        <v>363</v>
      </c>
      <c r="AI1254" s="99">
        <f>ROUND(VLOOKUP(1,enemy_base_stats!$A:$F,4,FALSE) * AA1254*L1254*Q1254*G1254*U1254*AF1254*[2]ステータス!$D$2,0)</f>
        <v>0</v>
      </c>
      <c r="AJ1254" s="99">
        <f>ROUND(VLOOKUP(100,enemy_base_stats!$A:$F,2,FALSE) * Y1254* J1254*O1254*E1254*S1254*AD1254*[2]ステータス!$B$2,0)</f>
        <v>165648</v>
      </c>
      <c r="AK1254" s="99">
        <f>ROUND(VLOOKUP(100,enemy_base_stats!$A:$F,3,FALSE)* Z1254* K1254*P1254*F1254*T1254*AE1254 * W1254*[2]ステータス!$C$2,0)</f>
        <v>14736</v>
      </c>
      <c r="AL1254" s="99">
        <f>ROUND(VLOOKUP(100,enemy_base_stats!$A:$F,4,FALSE)* AA1254* L1254*Q1254*G1254*U1254*AF1254*[2]ステータス!$D$2,0)</f>
        <v>0</v>
      </c>
      <c r="AM1254" s="97">
        <f>VLOOKUP(M1254,[2]character_tribe_i18n!$A:$I,9,FALSE)</f>
        <v>680</v>
      </c>
      <c r="AN1254" s="36">
        <v>0</v>
      </c>
      <c r="AO1254" s="53">
        <v>0</v>
      </c>
      <c r="AP1254" s="58" t="s">
        <v>72</v>
      </c>
      <c r="AQ1254" s="71">
        <f t="shared" si="65"/>
        <v>1253</v>
      </c>
    </row>
    <row r="1255" spans="1:43" ht="21" customHeight="1" x14ac:dyDescent="0.15">
      <c r="A1255" s="7">
        <v>1254</v>
      </c>
      <c r="B1255" s="6" t="str">
        <f>VLOOKUP(A1255,[2]characters!$A:$C,3,FALSE)</f>
        <v>スリュム</v>
      </c>
      <c r="C1255" s="9">
        <f>VLOOKUP(A1255,[2]characters!$A:$I,9,FALSE)</f>
        <v>5</v>
      </c>
      <c r="D1255" s="9" t="str">
        <f>VLOOKUP(A1255,[2]characters!$A:$H,8,FALSE)</f>
        <v>green</v>
      </c>
      <c r="E1255" s="24">
        <f>VLOOKUP(D1255,[2]属性!$A:$E,2,FALSE)</f>
        <v>1.02</v>
      </c>
      <c r="F1255" s="24">
        <f>VLOOKUP(D1255,[2]属性!$A:$E,3,FALSE)</f>
        <v>0.98</v>
      </c>
      <c r="G1255" s="24">
        <f>VLOOKUP(D1255,[2]属性!$A:$F,4,FALSE)</f>
        <v>1</v>
      </c>
      <c r="H1255" s="100" t="s">
        <v>172</v>
      </c>
      <c r="I1255" s="14" t="str">
        <f>VLOOKUP(H1255,[2]character_type_i18n!$A:$F,3,FALSE)</f>
        <v>攻撃タイプ</v>
      </c>
      <c r="J1255" s="36">
        <f>VLOOKUP(H1255,[2]character_type_i18n!$A:$F,4,FALSE)</f>
        <v>1</v>
      </c>
      <c r="K1255" s="36">
        <f>VLOOKUP(H1255,[2]character_type_i18n!$A:$F,5,FALSE)</f>
        <v>1.33</v>
      </c>
      <c r="L1255" s="36">
        <f>VLOOKUP(H1255,[2]character_type_i18n!$A:$F,6,FALSE)</f>
        <v>1</v>
      </c>
      <c r="M1255" s="100" t="s">
        <v>173</v>
      </c>
      <c r="N1255" s="14" t="str">
        <f>VLOOKUP(M1255,[2]character_tribe_i18n!$A:$F,3,FALSE)</f>
        <v>ゴッド</v>
      </c>
      <c r="O1255" s="24">
        <f>VLOOKUP(M1255,[2]character_tribe_i18n!$A:$F,4,FALSE)</f>
        <v>0.96</v>
      </c>
      <c r="P1255" s="24">
        <f>VLOOKUP(M1255,[2]character_tribe_i18n!$A:$F,5,FALSE)</f>
        <v>1.02</v>
      </c>
      <c r="Q1255" s="24">
        <f>VLOOKUP(M1255,[2]character_tribe_i18n!$A:$F,6,FALSE)</f>
        <v>1</v>
      </c>
      <c r="R1255" s="25" t="s">
        <v>98</v>
      </c>
      <c r="S1255" s="24">
        <f>VLOOKUP($R1255,ラベル別係数!$A$1:$E$7,3,FALSE)</f>
        <v>5</v>
      </c>
      <c r="T1255" s="24">
        <f>VLOOKUP($R1255,ラベル別係数!$A$1:$E$7,4,FALSE)</f>
        <v>1.3</v>
      </c>
      <c r="U1255" s="24">
        <f>VLOOKUP($R1255,ラベル別係数!$A$1:$E$7,5,FALSE)</f>
        <v>0.8</v>
      </c>
      <c r="V1255" s="27">
        <v>3</v>
      </c>
      <c r="W1255" s="28">
        <f>VLOOKUP(V1255,ターン数別攻撃係数!$A$1:$B$1000,2,FALSE)</f>
        <v>1</v>
      </c>
      <c r="X1255" s="9">
        <f>VLOOKUP(C1255,サイズ別係数!A$2:B$9,2,FALSE)</f>
        <v>60</v>
      </c>
      <c r="Y1255" s="26">
        <f>VLOOKUP($X1255,サイズ別係数!$B:$E,2,FALSE)</f>
        <v>1.7</v>
      </c>
      <c r="Z1255" s="26">
        <f>VLOOKUP($X1255,サイズ別係数!$B:$E,3,FALSE)</f>
        <v>1.4</v>
      </c>
      <c r="AA1255" s="26">
        <f>VLOOKUP($X1255,サイズ別係数!$B:$E,4,FALSE)</f>
        <v>1</v>
      </c>
      <c r="AB1255" s="5">
        <v>0</v>
      </c>
      <c r="AC1255" s="34" t="str">
        <f ca="1">VLOOKUP($AB1255,OFFSET([3]enemy_skill_sets!$B$2,0,0,COUNTA([3]enemy_skill_sets!$A:$A),MATCH(AC$1,[3]enemy_skill_sets!$1:$1,0)-MATCH($AB$1,[3]enemy_skill_sets!$1:$1,0)+1),MATCH(AC$1,[3]enemy_skill_sets!$1:$1,0)-MATCH($AB$1,[3]enemy_skill_sets!$1:$1,0)+1,FALSE)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5" s="67">
        <v>1</v>
      </c>
      <c r="AE1255" s="67">
        <v>1</v>
      </c>
      <c r="AF1255" s="37">
        <v>0</v>
      </c>
      <c r="AG1255" s="99">
        <f>ROUND(VLOOKUP(1,enemy_base_stats!$A:$F,2,FALSE) * Y1255* J1255*O1255*E1255*S1255*AD1255*[2]ステータス!$B$2,0)</f>
        <v>4162</v>
      </c>
      <c r="AH1255" s="99">
        <f>ROUND(VLOOKUP(1,enemy_base_stats!$A:$F,3,FALSE) * Z1255*K1255*P1255*F1255*T1255*AE1255 * W1255*[2]ステータス!$C$2,0)</f>
        <v>363</v>
      </c>
      <c r="AI1255" s="99">
        <f>ROUND(VLOOKUP(1,enemy_base_stats!$A:$F,4,FALSE) * AA1255*L1255*Q1255*G1255*U1255*AF1255*[2]ステータス!$D$2,0)</f>
        <v>0</v>
      </c>
      <c r="AJ1255" s="99">
        <f>ROUND(VLOOKUP(100,enemy_base_stats!$A:$F,2,FALSE) * Y1255* J1255*O1255*E1255*S1255*AD1255*[2]ステータス!$B$2,0)</f>
        <v>168961</v>
      </c>
      <c r="AK1255" s="99">
        <f>ROUND(VLOOKUP(100,enemy_base_stats!$A:$F,3,FALSE)* Z1255* K1255*P1255*F1255*T1255*AE1255 * W1255*[2]ステータス!$C$2,0)</f>
        <v>14736</v>
      </c>
      <c r="AL1255" s="99">
        <f>ROUND(VLOOKUP(100,enemy_base_stats!$A:$F,4,FALSE)* AA1255* L1255*Q1255*G1255*U1255*AF1255*[2]ステータス!$D$2,0)</f>
        <v>0</v>
      </c>
      <c r="AM1255" s="97">
        <f>VLOOKUP(M1255,[2]character_tribe_i18n!$A:$I,9,FALSE)</f>
        <v>680</v>
      </c>
      <c r="AN1255" s="36">
        <v>0</v>
      </c>
      <c r="AO1255" s="53">
        <v>0</v>
      </c>
      <c r="AP1255" s="58" t="s">
        <v>72</v>
      </c>
      <c r="AQ1255" s="71">
        <f t="shared" si="65"/>
        <v>1254</v>
      </c>
    </row>
    <row r="1256" spans="1:43" ht="21" customHeight="1" x14ac:dyDescent="0.15">
      <c r="A1256" s="7">
        <v>1255</v>
      </c>
      <c r="B1256" s="6" t="str">
        <f>VLOOKUP(A1256,[2]characters!$A:$C,3,FALSE)</f>
        <v>驕奢の神犯 スリュム</v>
      </c>
      <c r="C1256" s="9">
        <f>VLOOKUP(A1256,[2]characters!$A:$I,9,FALSE)</f>
        <v>6</v>
      </c>
      <c r="D1256" s="9" t="str">
        <f>VLOOKUP(A1256,[2]characters!$A:$H,8,FALSE)</f>
        <v>green</v>
      </c>
      <c r="E1256" s="24">
        <f>VLOOKUP(D1256,[2]属性!$A:$E,2,FALSE)</f>
        <v>1.02</v>
      </c>
      <c r="F1256" s="24">
        <f>VLOOKUP(D1256,[2]属性!$A:$E,3,FALSE)</f>
        <v>0.98</v>
      </c>
      <c r="G1256" s="24">
        <f>VLOOKUP(D1256,[2]属性!$A:$F,4,FALSE)</f>
        <v>1</v>
      </c>
      <c r="H1256" s="100" t="s">
        <v>172</v>
      </c>
      <c r="I1256" s="14" t="str">
        <f>VLOOKUP(H1256,[2]character_type_i18n!$A:$F,3,FALSE)</f>
        <v>攻撃タイプ</v>
      </c>
      <c r="J1256" s="36">
        <f>VLOOKUP(H1256,[2]character_type_i18n!$A:$F,4,FALSE)</f>
        <v>1</v>
      </c>
      <c r="K1256" s="36">
        <f>VLOOKUP(H1256,[2]character_type_i18n!$A:$F,5,FALSE)</f>
        <v>1.33</v>
      </c>
      <c r="L1256" s="36">
        <f>VLOOKUP(H1256,[2]character_type_i18n!$A:$F,6,FALSE)</f>
        <v>1</v>
      </c>
      <c r="M1256" s="100" t="s">
        <v>173</v>
      </c>
      <c r="N1256" s="14" t="str">
        <f>VLOOKUP(M1256,[2]character_tribe_i18n!$A:$F,3,FALSE)</f>
        <v>ゴッド</v>
      </c>
      <c r="O1256" s="24">
        <f>VLOOKUP(M1256,[2]character_tribe_i18n!$A:$F,4,FALSE)</f>
        <v>0.96</v>
      </c>
      <c r="P1256" s="24">
        <f>VLOOKUP(M1256,[2]character_tribe_i18n!$A:$F,5,FALSE)</f>
        <v>1.02</v>
      </c>
      <c r="Q1256" s="24">
        <f>VLOOKUP(M1256,[2]character_tribe_i18n!$A:$F,6,FALSE)</f>
        <v>1</v>
      </c>
      <c r="R1256" s="25" t="s">
        <v>98</v>
      </c>
      <c r="S1256" s="24">
        <f>VLOOKUP($R1256,ラベル別係数!$A$1:$E$7,3,FALSE)</f>
        <v>5</v>
      </c>
      <c r="T1256" s="24">
        <f>VLOOKUP($R1256,ラベル別係数!$A$1:$E$7,4,FALSE)</f>
        <v>1.3</v>
      </c>
      <c r="U1256" s="24">
        <f>VLOOKUP($R1256,ラベル別係数!$A$1:$E$7,5,FALSE)</f>
        <v>0.8</v>
      </c>
      <c r="V1256" s="27">
        <v>3</v>
      </c>
      <c r="W1256" s="28">
        <f>VLOOKUP(V1256,ターン数別攻撃係数!$A$1:$B$1000,2,FALSE)</f>
        <v>1</v>
      </c>
      <c r="X1256" s="9">
        <f>VLOOKUP(C1256,サイズ別係数!A$2:B$9,2,FALSE)</f>
        <v>60</v>
      </c>
      <c r="Y1256" s="26">
        <f>VLOOKUP($X1256,サイズ別係数!$B:$E,2,FALSE)</f>
        <v>1.7</v>
      </c>
      <c r="Z1256" s="26">
        <f>VLOOKUP($X1256,サイズ別係数!$B:$E,3,FALSE)</f>
        <v>1.4</v>
      </c>
      <c r="AA1256" s="26">
        <f>VLOOKUP($X1256,サイズ別係数!$B:$E,4,FALSE)</f>
        <v>1</v>
      </c>
      <c r="AB1256" s="5">
        <v>0</v>
      </c>
      <c r="AC1256" s="34" t="str">
        <f ca="1">VLOOKUP($AB1256,OFFSET([3]enemy_skill_sets!$B$2,0,0,COUNTA([3]enemy_skill_sets!$A:$A),MATCH(AC$1,[3]enemy_skill_sets!$1:$1,0)-MATCH($AB$1,[3]enemy_skill_sets!$1:$1,0)+1),MATCH(AC$1,[3]enemy_skill_sets!$1:$1,0)-MATCH($AB$1,[3]enemy_skill_sets!$1:$1,0)+1,FALSE)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6" s="67">
        <v>1</v>
      </c>
      <c r="AE1256" s="67">
        <v>1</v>
      </c>
      <c r="AF1256" s="37">
        <v>0</v>
      </c>
      <c r="AG1256" s="99">
        <f>ROUND(VLOOKUP(1,enemy_base_stats!$A:$F,2,FALSE) * Y1256* J1256*O1256*E1256*S1256*AD1256*[2]ステータス!$B$2,0)</f>
        <v>4162</v>
      </c>
      <c r="AH1256" s="99">
        <f>ROUND(VLOOKUP(1,enemy_base_stats!$A:$F,3,FALSE) * Z1256*K1256*P1256*F1256*T1256*AE1256 * W1256*[2]ステータス!$C$2,0)</f>
        <v>363</v>
      </c>
      <c r="AI1256" s="99">
        <f>ROUND(VLOOKUP(1,enemy_base_stats!$A:$F,4,FALSE) * AA1256*L1256*Q1256*G1256*U1256*AF1256*[2]ステータス!$D$2,0)</f>
        <v>0</v>
      </c>
      <c r="AJ1256" s="99">
        <f>ROUND(VLOOKUP(100,enemy_base_stats!$A:$F,2,FALSE) * Y1256* J1256*O1256*E1256*S1256*AD1256*[2]ステータス!$B$2,0)</f>
        <v>168961</v>
      </c>
      <c r="AK1256" s="99">
        <f>ROUND(VLOOKUP(100,enemy_base_stats!$A:$F,3,FALSE)* Z1256* K1256*P1256*F1256*T1256*AE1256 * W1256*[2]ステータス!$C$2,0)</f>
        <v>14736</v>
      </c>
      <c r="AL1256" s="99">
        <f>ROUND(VLOOKUP(100,enemy_base_stats!$A:$F,4,FALSE)* AA1256* L1256*Q1256*G1256*U1256*AF1256*[2]ステータス!$D$2,0)</f>
        <v>0</v>
      </c>
      <c r="AM1256" s="97">
        <f>VLOOKUP(M1256,[2]character_tribe_i18n!$A:$I,9,FALSE)</f>
        <v>680</v>
      </c>
      <c r="AN1256" s="36">
        <v>0</v>
      </c>
      <c r="AO1256" s="53">
        <v>0</v>
      </c>
      <c r="AP1256" s="58" t="s">
        <v>72</v>
      </c>
      <c r="AQ1256" s="71">
        <f t="shared" si="65"/>
        <v>1255</v>
      </c>
    </row>
    <row r="1257" spans="1:43" ht="21" customHeight="1" x14ac:dyDescent="0.15">
      <c r="A1257" s="7">
        <v>1256</v>
      </c>
      <c r="B1257" s="6" t="str">
        <f>VLOOKUP(A1257,[2]characters!$A:$C,3,FALSE)</f>
        <v>ヘル</v>
      </c>
      <c r="C1257" s="9">
        <f>VLOOKUP(A1257,[2]characters!$A:$I,9,FALSE)</f>
        <v>5</v>
      </c>
      <c r="D1257" s="9" t="str">
        <f>VLOOKUP(A1257,[2]characters!$A:$H,8,FALSE)</f>
        <v>yellow</v>
      </c>
      <c r="E1257" s="24">
        <f>VLOOKUP(D1257,[2]属性!$A:$E,2,FALSE)</f>
        <v>0.98</v>
      </c>
      <c r="F1257" s="24">
        <f>VLOOKUP(D1257,[2]属性!$A:$E,3,FALSE)</f>
        <v>1.01</v>
      </c>
      <c r="G1257" s="24">
        <f>VLOOKUP(D1257,[2]属性!$A:$F,4,FALSE)</f>
        <v>1</v>
      </c>
      <c r="H1257" s="100" t="s">
        <v>172</v>
      </c>
      <c r="I1257" s="14" t="str">
        <f>VLOOKUP(H1257,[2]character_type_i18n!$A:$F,3,FALSE)</f>
        <v>攻撃タイプ</v>
      </c>
      <c r="J1257" s="36">
        <f>VLOOKUP(H1257,[2]character_type_i18n!$A:$F,4,FALSE)</f>
        <v>1</v>
      </c>
      <c r="K1257" s="36">
        <f>VLOOKUP(H1257,[2]character_type_i18n!$A:$F,5,FALSE)</f>
        <v>1.33</v>
      </c>
      <c r="L1257" s="36">
        <f>VLOOKUP(H1257,[2]character_type_i18n!$A:$F,6,FALSE)</f>
        <v>1</v>
      </c>
      <c r="M1257" s="100" t="s">
        <v>173</v>
      </c>
      <c r="N1257" s="14" t="str">
        <f>VLOOKUP(M1257,[2]character_tribe_i18n!$A:$F,3,FALSE)</f>
        <v>ゴッド</v>
      </c>
      <c r="O1257" s="24">
        <f>VLOOKUP(M1257,[2]character_tribe_i18n!$A:$F,4,FALSE)</f>
        <v>0.96</v>
      </c>
      <c r="P1257" s="24">
        <f>VLOOKUP(M1257,[2]character_tribe_i18n!$A:$F,5,FALSE)</f>
        <v>1.02</v>
      </c>
      <c r="Q1257" s="24">
        <f>VLOOKUP(M1257,[2]character_tribe_i18n!$A:$F,6,FALSE)</f>
        <v>1</v>
      </c>
      <c r="R1257" s="25" t="s">
        <v>98</v>
      </c>
      <c r="S1257" s="24">
        <f>VLOOKUP($R1257,ラベル別係数!$A$1:$E$7,3,FALSE)</f>
        <v>5</v>
      </c>
      <c r="T1257" s="24">
        <f>VLOOKUP($R1257,ラベル別係数!$A$1:$E$7,4,FALSE)</f>
        <v>1.3</v>
      </c>
      <c r="U1257" s="24">
        <f>VLOOKUP($R1257,ラベル別係数!$A$1:$E$7,5,FALSE)</f>
        <v>0.8</v>
      </c>
      <c r="V1257" s="27">
        <v>3</v>
      </c>
      <c r="W1257" s="28">
        <f>VLOOKUP(V1257,ターン数別攻撃係数!$A$1:$B$1000,2,FALSE)</f>
        <v>1</v>
      </c>
      <c r="X1257" s="9">
        <f>VLOOKUP(C1257,サイズ別係数!A$2:B$9,2,FALSE)</f>
        <v>60</v>
      </c>
      <c r="Y1257" s="26">
        <f>VLOOKUP($X1257,サイズ別係数!$B:$E,2,FALSE)</f>
        <v>1.7</v>
      </c>
      <c r="Z1257" s="26">
        <f>VLOOKUP($X1257,サイズ別係数!$B:$E,3,FALSE)</f>
        <v>1.4</v>
      </c>
      <c r="AA1257" s="26">
        <f>VLOOKUP($X1257,サイズ別係数!$B:$E,4,FALSE)</f>
        <v>1</v>
      </c>
      <c r="AB1257" s="5">
        <v>0</v>
      </c>
      <c r="AC1257" s="34" t="str">
        <f ca="1">VLOOKUP($AB1257,OFFSET([3]enemy_skill_sets!$B$2,0,0,COUNTA([3]enemy_skill_sets!$A:$A),MATCH(AC$1,[3]enemy_skill_sets!$1:$1,0)-MATCH($AB$1,[3]enemy_skill_sets!$1:$1,0)+1),MATCH(AC$1,[3]enemy_skill_sets!$1:$1,0)-MATCH($AB$1,[3]enemy_skill_sets!$1:$1,0)+1,FALSE)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7" s="67">
        <v>1</v>
      </c>
      <c r="AE1257" s="67">
        <v>1</v>
      </c>
      <c r="AF1257" s="37">
        <v>0</v>
      </c>
      <c r="AG1257" s="99">
        <f>ROUND(VLOOKUP(1,enemy_base_stats!$A:$F,2,FALSE) * Y1257* J1257*O1257*E1257*S1257*AD1257*[2]ステータス!$B$2,0)</f>
        <v>3998</v>
      </c>
      <c r="AH1257" s="99">
        <f>ROUND(VLOOKUP(1,enemy_base_stats!$A:$F,3,FALSE) * Z1257*K1257*P1257*F1257*T1257*AE1257 * W1257*[2]ステータス!$C$2,0)</f>
        <v>374</v>
      </c>
      <c r="AI1257" s="99">
        <f>ROUND(VLOOKUP(1,enemy_base_stats!$A:$F,4,FALSE) * AA1257*L1257*Q1257*G1257*U1257*AF1257*[2]ステータス!$D$2,0)</f>
        <v>0</v>
      </c>
      <c r="AJ1257" s="99">
        <f>ROUND(VLOOKUP(100,enemy_base_stats!$A:$F,2,FALSE) * Y1257* J1257*O1257*E1257*S1257*AD1257*[2]ステータス!$B$2,0)</f>
        <v>162335</v>
      </c>
      <c r="AK1257" s="99">
        <f>ROUND(VLOOKUP(100,enemy_base_stats!$A:$F,3,FALSE)* Z1257* K1257*P1257*F1257*T1257*AE1257 * W1257*[2]ステータス!$C$2,0)</f>
        <v>15187</v>
      </c>
      <c r="AL1257" s="99">
        <f>ROUND(VLOOKUP(100,enemy_base_stats!$A:$F,4,FALSE)* AA1257* L1257*Q1257*G1257*U1257*AF1257*[2]ステータス!$D$2,0)</f>
        <v>0</v>
      </c>
      <c r="AM1257" s="97">
        <f>VLOOKUP(M1257,[2]character_tribe_i18n!$A:$I,9,FALSE)</f>
        <v>680</v>
      </c>
      <c r="AN1257" s="36">
        <v>0</v>
      </c>
      <c r="AO1257" s="53">
        <v>0</v>
      </c>
      <c r="AP1257" s="58" t="s">
        <v>72</v>
      </c>
      <c r="AQ1257" s="71">
        <f t="shared" si="65"/>
        <v>1256</v>
      </c>
    </row>
    <row r="1258" spans="1:43" ht="21" customHeight="1" x14ac:dyDescent="0.15">
      <c r="A1258" s="7">
        <v>1257</v>
      </c>
      <c r="B1258" s="6" t="str">
        <f>VLOOKUP(A1258,[2]characters!$A:$C,3,FALSE)</f>
        <v>危能の幼魔神 ヘル</v>
      </c>
      <c r="C1258" s="9">
        <f>VLOOKUP(A1258,[2]characters!$A:$I,9,FALSE)</f>
        <v>6</v>
      </c>
      <c r="D1258" s="9" t="str">
        <f>VLOOKUP(A1258,[2]characters!$A:$H,8,FALSE)</f>
        <v>yellow</v>
      </c>
      <c r="E1258" s="24">
        <f>VLOOKUP(D1258,[2]属性!$A:$E,2,FALSE)</f>
        <v>0.98</v>
      </c>
      <c r="F1258" s="24">
        <f>VLOOKUP(D1258,[2]属性!$A:$E,3,FALSE)</f>
        <v>1.01</v>
      </c>
      <c r="G1258" s="24">
        <f>VLOOKUP(D1258,[2]属性!$A:$F,4,FALSE)</f>
        <v>1</v>
      </c>
      <c r="H1258" s="100" t="s">
        <v>172</v>
      </c>
      <c r="I1258" s="14" t="str">
        <f>VLOOKUP(H1258,[2]character_type_i18n!$A:$F,3,FALSE)</f>
        <v>攻撃タイプ</v>
      </c>
      <c r="J1258" s="36">
        <f>VLOOKUP(H1258,[2]character_type_i18n!$A:$F,4,FALSE)</f>
        <v>1</v>
      </c>
      <c r="K1258" s="36">
        <f>VLOOKUP(H1258,[2]character_type_i18n!$A:$F,5,FALSE)</f>
        <v>1.33</v>
      </c>
      <c r="L1258" s="36">
        <f>VLOOKUP(H1258,[2]character_type_i18n!$A:$F,6,FALSE)</f>
        <v>1</v>
      </c>
      <c r="M1258" s="100" t="s">
        <v>173</v>
      </c>
      <c r="N1258" s="14" t="str">
        <f>VLOOKUP(M1258,[2]character_tribe_i18n!$A:$F,3,FALSE)</f>
        <v>ゴッド</v>
      </c>
      <c r="O1258" s="24">
        <f>VLOOKUP(M1258,[2]character_tribe_i18n!$A:$F,4,FALSE)</f>
        <v>0.96</v>
      </c>
      <c r="P1258" s="24">
        <f>VLOOKUP(M1258,[2]character_tribe_i18n!$A:$F,5,FALSE)</f>
        <v>1.02</v>
      </c>
      <c r="Q1258" s="24">
        <f>VLOOKUP(M1258,[2]character_tribe_i18n!$A:$F,6,FALSE)</f>
        <v>1</v>
      </c>
      <c r="R1258" s="25" t="s">
        <v>98</v>
      </c>
      <c r="S1258" s="24">
        <f>VLOOKUP($R1258,ラベル別係数!$A$1:$E$7,3,FALSE)</f>
        <v>5</v>
      </c>
      <c r="T1258" s="24">
        <f>VLOOKUP($R1258,ラベル別係数!$A$1:$E$7,4,FALSE)</f>
        <v>1.3</v>
      </c>
      <c r="U1258" s="24">
        <f>VLOOKUP($R1258,ラベル別係数!$A$1:$E$7,5,FALSE)</f>
        <v>0.8</v>
      </c>
      <c r="V1258" s="27">
        <v>3</v>
      </c>
      <c r="W1258" s="28">
        <f>VLOOKUP(V1258,ターン数別攻撃係数!$A$1:$B$1000,2,FALSE)</f>
        <v>1</v>
      </c>
      <c r="X1258" s="9">
        <f>VLOOKUP(C1258,サイズ別係数!A$2:B$9,2,FALSE)</f>
        <v>60</v>
      </c>
      <c r="Y1258" s="26">
        <f>VLOOKUP($X1258,サイズ別係数!$B:$E,2,FALSE)</f>
        <v>1.7</v>
      </c>
      <c r="Z1258" s="26">
        <f>VLOOKUP($X1258,サイズ別係数!$B:$E,3,FALSE)</f>
        <v>1.4</v>
      </c>
      <c r="AA1258" s="26">
        <f>VLOOKUP($X1258,サイズ別係数!$B:$E,4,FALSE)</f>
        <v>1</v>
      </c>
      <c r="AB1258" s="5">
        <v>0</v>
      </c>
      <c r="AC1258" s="34" t="str">
        <f ca="1">VLOOKUP($AB1258,OFFSET([3]enemy_skill_sets!$B$2,0,0,COUNTA([3]enemy_skill_sets!$A:$A),MATCH(AC$1,[3]enemy_skill_sets!$1:$1,0)-MATCH($AB$1,[3]enemy_skill_sets!$1:$1,0)+1),MATCH(AC$1,[3]enemy_skill_sets!$1:$1,0)-MATCH($AB$1,[3]enemy_skill_sets!$1:$1,0)+1,FALSE)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8" s="67">
        <v>1</v>
      </c>
      <c r="AE1258" s="67">
        <v>1</v>
      </c>
      <c r="AF1258" s="37">
        <v>0</v>
      </c>
      <c r="AG1258" s="99">
        <f>ROUND(VLOOKUP(1,enemy_base_stats!$A:$F,2,FALSE) * Y1258* J1258*O1258*E1258*S1258*AD1258*[2]ステータス!$B$2,0)</f>
        <v>3998</v>
      </c>
      <c r="AH1258" s="99">
        <f>ROUND(VLOOKUP(1,enemy_base_stats!$A:$F,3,FALSE) * Z1258*K1258*P1258*F1258*T1258*AE1258 * W1258*[2]ステータス!$C$2,0)</f>
        <v>374</v>
      </c>
      <c r="AI1258" s="99">
        <f>ROUND(VLOOKUP(1,enemy_base_stats!$A:$F,4,FALSE) * AA1258*L1258*Q1258*G1258*U1258*AF1258*[2]ステータス!$D$2,0)</f>
        <v>0</v>
      </c>
      <c r="AJ1258" s="99">
        <f>ROUND(VLOOKUP(100,enemy_base_stats!$A:$F,2,FALSE) * Y1258* J1258*O1258*E1258*S1258*AD1258*[2]ステータス!$B$2,0)</f>
        <v>162335</v>
      </c>
      <c r="AK1258" s="99">
        <f>ROUND(VLOOKUP(100,enemy_base_stats!$A:$F,3,FALSE)* Z1258* K1258*P1258*F1258*T1258*AE1258 * W1258*[2]ステータス!$C$2,0)</f>
        <v>15187</v>
      </c>
      <c r="AL1258" s="99">
        <f>ROUND(VLOOKUP(100,enemy_base_stats!$A:$F,4,FALSE)* AA1258* L1258*Q1258*G1258*U1258*AF1258*[2]ステータス!$D$2,0)</f>
        <v>0</v>
      </c>
      <c r="AM1258" s="97">
        <f>VLOOKUP(M1258,[2]character_tribe_i18n!$A:$I,9,FALSE)</f>
        <v>680</v>
      </c>
      <c r="AN1258" s="36">
        <v>0</v>
      </c>
      <c r="AO1258" s="53">
        <v>0</v>
      </c>
      <c r="AP1258" s="58" t="s">
        <v>72</v>
      </c>
      <c r="AQ1258" s="71">
        <f t="shared" si="65"/>
        <v>1257</v>
      </c>
    </row>
    <row r="1259" spans="1:43" ht="21" customHeight="1" x14ac:dyDescent="0.15">
      <c r="A1259" s="7">
        <v>1258</v>
      </c>
      <c r="B1259" s="6" t="str">
        <f>VLOOKUP(A1259,[2]characters!$A:$C,3,FALSE)</f>
        <v>ロキ</v>
      </c>
      <c r="C1259" s="9">
        <f>VLOOKUP(A1259,[2]characters!$A:$I,9,FALSE)</f>
        <v>5</v>
      </c>
      <c r="D1259" s="9" t="str">
        <f>VLOOKUP(A1259,[2]characters!$A:$H,8,FALSE)</f>
        <v>green</v>
      </c>
      <c r="E1259" s="24">
        <f>VLOOKUP(D1259,[2]属性!$A:$E,2,FALSE)</f>
        <v>1.02</v>
      </c>
      <c r="F1259" s="24">
        <f>VLOOKUP(D1259,[2]属性!$A:$E,3,FALSE)</f>
        <v>0.98</v>
      </c>
      <c r="G1259" s="24">
        <f>VLOOKUP(D1259,[2]属性!$A:$F,4,FALSE)</f>
        <v>1</v>
      </c>
      <c r="H1259" s="100" t="s">
        <v>172</v>
      </c>
      <c r="I1259" s="14" t="str">
        <f>VLOOKUP(H1259,[2]character_type_i18n!$A:$F,3,FALSE)</f>
        <v>攻撃タイプ</v>
      </c>
      <c r="J1259" s="36">
        <f>VLOOKUP(H1259,[2]character_type_i18n!$A:$F,4,FALSE)</f>
        <v>1</v>
      </c>
      <c r="K1259" s="36">
        <f>VLOOKUP(H1259,[2]character_type_i18n!$A:$F,5,FALSE)</f>
        <v>1.33</v>
      </c>
      <c r="L1259" s="36">
        <f>VLOOKUP(H1259,[2]character_type_i18n!$A:$F,6,FALSE)</f>
        <v>1</v>
      </c>
      <c r="M1259" s="100" t="s">
        <v>173</v>
      </c>
      <c r="N1259" s="14" t="str">
        <f>VLOOKUP(M1259,[2]character_tribe_i18n!$A:$F,3,FALSE)</f>
        <v>ゴッド</v>
      </c>
      <c r="O1259" s="24">
        <f>VLOOKUP(M1259,[2]character_tribe_i18n!$A:$F,4,FALSE)</f>
        <v>0.96</v>
      </c>
      <c r="P1259" s="24">
        <f>VLOOKUP(M1259,[2]character_tribe_i18n!$A:$F,5,FALSE)</f>
        <v>1.02</v>
      </c>
      <c r="Q1259" s="24">
        <f>VLOOKUP(M1259,[2]character_tribe_i18n!$A:$F,6,FALSE)</f>
        <v>1</v>
      </c>
      <c r="R1259" s="25" t="s">
        <v>98</v>
      </c>
      <c r="S1259" s="24">
        <f>VLOOKUP($R1259,ラベル別係数!$A$1:$E$7,3,FALSE)</f>
        <v>5</v>
      </c>
      <c r="T1259" s="24">
        <f>VLOOKUP($R1259,ラベル別係数!$A$1:$E$7,4,FALSE)</f>
        <v>1.3</v>
      </c>
      <c r="U1259" s="24">
        <f>VLOOKUP($R1259,ラベル別係数!$A$1:$E$7,5,FALSE)</f>
        <v>0.8</v>
      </c>
      <c r="V1259" s="27">
        <v>3</v>
      </c>
      <c r="W1259" s="28">
        <f>VLOOKUP(V1259,ターン数別攻撃係数!$A$1:$B$1000,2,FALSE)</f>
        <v>1</v>
      </c>
      <c r="X1259" s="9">
        <f>VLOOKUP(C1259,サイズ別係数!A$2:B$9,2,FALSE)</f>
        <v>60</v>
      </c>
      <c r="Y1259" s="26">
        <f>VLOOKUP($X1259,サイズ別係数!$B:$E,2,FALSE)</f>
        <v>1.7</v>
      </c>
      <c r="Z1259" s="26">
        <f>VLOOKUP($X1259,サイズ別係数!$B:$E,3,FALSE)</f>
        <v>1.4</v>
      </c>
      <c r="AA1259" s="26">
        <f>VLOOKUP($X1259,サイズ別係数!$B:$E,4,FALSE)</f>
        <v>1</v>
      </c>
      <c r="AB1259" s="5">
        <v>0</v>
      </c>
      <c r="AC1259" s="34" t="str">
        <f ca="1">VLOOKUP($AB1259,OFFSET([3]enemy_skill_sets!$B$2,0,0,COUNTA([3]enemy_skill_sets!$A:$A),MATCH(AC$1,[3]enemy_skill_sets!$1:$1,0)-MATCH($AB$1,[3]enemy_skill_sets!$1:$1,0)+1),MATCH(AC$1,[3]enemy_skill_sets!$1:$1,0)-MATCH($AB$1,[3]enemy_skill_sets!$1:$1,0)+1,FALSE)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59" s="67">
        <v>1</v>
      </c>
      <c r="AE1259" s="67">
        <v>1</v>
      </c>
      <c r="AF1259" s="37">
        <v>0</v>
      </c>
      <c r="AG1259" s="99">
        <f>ROUND(VLOOKUP(1,enemy_base_stats!$A:$F,2,FALSE) * Y1259* J1259*O1259*E1259*S1259*AD1259*[2]ステータス!$B$2,0)</f>
        <v>4162</v>
      </c>
      <c r="AH1259" s="99">
        <f>ROUND(VLOOKUP(1,enemy_base_stats!$A:$F,3,FALSE) * Z1259*K1259*P1259*F1259*T1259*AE1259 * W1259*[2]ステータス!$C$2,0)</f>
        <v>363</v>
      </c>
      <c r="AI1259" s="99">
        <f>ROUND(VLOOKUP(1,enemy_base_stats!$A:$F,4,FALSE) * AA1259*L1259*Q1259*G1259*U1259*AF1259*[2]ステータス!$D$2,0)</f>
        <v>0</v>
      </c>
      <c r="AJ1259" s="99">
        <f>ROUND(VLOOKUP(100,enemy_base_stats!$A:$F,2,FALSE) * Y1259* J1259*O1259*E1259*S1259*AD1259*[2]ステータス!$B$2,0)</f>
        <v>168961</v>
      </c>
      <c r="AK1259" s="99">
        <f>ROUND(VLOOKUP(100,enemy_base_stats!$A:$F,3,FALSE)* Z1259* K1259*P1259*F1259*T1259*AE1259 * W1259*[2]ステータス!$C$2,0)</f>
        <v>14736</v>
      </c>
      <c r="AL1259" s="99">
        <f>ROUND(VLOOKUP(100,enemy_base_stats!$A:$F,4,FALSE)* AA1259* L1259*Q1259*G1259*U1259*AF1259*[2]ステータス!$D$2,0)</f>
        <v>0</v>
      </c>
      <c r="AM1259" s="97">
        <f>VLOOKUP(M1259,[2]character_tribe_i18n!$A:$I,9,FALSE)</f>
        <v>680</v>
      </c>
      <c r="AN1259" s="36">
        <v>0</v>
      </c>
      <c r="AO1259" s="53">
        <v>0</v>
      </c>
      <c r="AP1259" s="58" t="s">
        <v>72</v>
      </c>
      <c r="AQ1259" s="71">
        <f t="shared" si="65"/>
        <v>1258</v>
      </c>
    </row>
    <row r="1260" spans="1:43" ht="21" customHeight="1" x14ac:dyDescent="0.15">
      <c r="A1260" s="7">
        <v>1259</v>
      </c>
      <c r="B1260" s="6" t="str">
        <f>VLOOKUP(A1260,[2]characters!$A:$C,3,FALSE)</f>
        <v>崩世を叫ぶ悪戯 ロキ</v>
      </c>
      <c r="C1260" s="9">
        <f>VLOOKUP(A1260,[2]characters!$A:$I,9,FALSE)</f>
        <v>6</v>
      </c>
      <c r="D1260" s="9" t="str">
        <f>VLOOKUP(A1260,[2]characters!$A:$H,8,FALSE)</f>
        <v>green</v>
      </c>
      <c r="E1260" s="24">
        <f>VLOOKUP(D1260,[2]属性!$A:$E,2,FALSE)</f>
        <v>1.02</v>
      </c>
      <c r="F1260" s="24">
        <f>VLOOKUP(D1260,[2]属性!$A:$E,3,FALSE)</f>
        <v>0.98</v>
      </c>
      <c r="G1260" s="24">
        <f>VLOOKUP(D1260,[2]属性!$A:$F,4,FALSE)</f>
        <v>1</v>
      </c>
      <c r="H1260" s="100" t="s">
        <v>172</v>
      </c>
      <c r="I1260" s="14" t="str">
        <f>VLOOKUP(H1260,[2]character_type_i18n!$A:$F,3,FALSE)</f>
        <v>攻撃タイプ</v>
      </c>
      <c r="J1260" s="36">
        <f>VLOOKUP(H1260,[2]character_type_i18n!$A:$F,4,FALSE)</f>
        <v>1</v>
      </c>
      <c r="K1260" s="36">
        <f>VLOOKUP(H1260,[2]character_type_i18n!$A:$F,5,FALSE)</f>
        <v>1.33</v>
      </c>
      <c r="L1260" s="36">
        <f>VLOOKUP(H1260,[2]character_type_i18n!$A:$F,6,FALSE)</f>
        <v>1</v>
      </c>
      <c r="M1260" s="100" t="s">
        <v>173</v>
      </c>
      <c r="N1260" s="14" t="str">
        <f>VLOOKUP(M1260,[2]character_tribe_i18n!$A:$F,3,FALSE)</f>
        <v>ゴッド</v>
      </c>
      <c r="O1260" s="24">
        <f>VLOOKUP(M1260,[2]character_tribe_i18n!$A:$F,4,FALSE)</f>
        <v>0.96</v>
      </c>
      <c r="P1260" s="24">
        <f>VLOOKUP(M1260,[2]character_tribe_i18n!$A:$F,5,FALSE)</f>
        <v>1.02</v>
      </c>
      <c r="Q1260" s="24">
        <f>VLOOKUP(M1260,[2]character_tribe_i18n!$A:$F,6,FALSE)</f>
        <v>1</v>
      </c>
      <c r="R1260" s="25" t="s">
        <v>98</v>
      </c>
      <c r="S1260" s="24">
        <f>VLOOKUP($R1260,ラベル別係数!$A$1:$E$7,3,FALSE)</f>
        <v>5</v>
      </c>
      <c r="T1260" s="24">
        <f>VLOOKUP($R1260,ラベル別係数!$A$1:$E$7,4,FALSE)</f>
        <v>1.3</v>
      </c>
      <c r="U1260" s="24">
        <f>VLOOKUP($R1260,ラベル別係数!$A$1:$E$7,5,FALSE)</f>
        <v>0.8</v>
      </c>
      <c r="V1260" s="27">
        <v>3</v>
      </c>
      <c r="W1260" s="28">
        <f>VLOOKUP(V1260,ターン数別攻撃係数!$A$1:$B$1000,2,FALSE)</f>
        <v>1</v>
      </c>
      <c r="X1260" s="9">
        <f>VLOOKUP(C1260,サイズ別係数!A$2:B$9,2,FALSE)</f>
        <v>60</v>
      </c>
      <c r="Y1260" s="26">
        <f>VLOOKUP($X1260,サイズ別係数!$B:$E,2,FALSE)</f>
        <v>1.7</v>
      </c>
      <c r="Z1260" s="26">
        <f>VLOOKUP($X1260,サイズ別係数!$B:$E,3,FALSE)</f>
        <v>1.4</v>
      </c>
      <c r="AA1260" s="26">
        <f>VLOOKUP($X1260,サイズ別係数!$B:$E,4,FALSE)</f>
        <v>1</v>
      </c>
      <c r="AB1260" s="5">
        <v>0</v>
      </c>
      <c r="AC1260" s="34" t="str">
        <f ca="1">VLOOKUP($AB1260,OFFSET([3]enemy_skill_sets!$B$2,0,0,COUNTA([3]enemy_skill_sets!$A:$A),MATCH(AC$1,[3]enemy_skill_sets!$1:$1,0)-MATCH($AB$1,[3]enemy_skill_sets!$1:$1,0)+1),MATCH(AC$1,[3]enemy_skill_sets!$1:$1,0)-MATCH($AB$1,[3]enemy_skill_sets!$1:$1,0)+1,FALSE)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0" s="67">
        <v>1</v>
      </c>
      <c r="AE1260" s="67">
        <v>1</v>
      </c>
      <c r="AF1260" s="37">
        <v>0</v>
      </c>
      <c r="AG1260" s="99">
        <f>ROUND(VLOOKUP(1,enemy_base_stats!$A:$F,2,FALSE) * Y1260* J1260*O1260*E1260*S1260*AD1260*[2]ステータス!$B$2,0)</f>
        <v>4162</v>
      </c>
      <c r="AH1260" s="99">
        <f>ROUND(VLOOKUP(1,enemy_base_stats!$A:$F,3,FALSE) * Z1260*K1260*P1260*F1260*T1260*AE1260 * W1260*[2]ステータス!$C$2,0)</f>
        <v>363</v>
      </c>
      <c r="AI1260" s="99">
        <f>ROUND(VLOOKUP(1,enemy_base_stats!$A:$F,4,FALSE) * AA1260*L1260*Q1260*G1260*U1260*AF1260*[2]ステータス!$D$2,0)</f>
        <v>0</v>
      </c>
      <c r="AJ1260" s="99">
        <f>ROUND(VLOOKUP(100,enemy_base_stats!$A:$F,2,FALSE) * Y1260* J1260*O1260*E1260*S1260*AD1260*[2]ステータス!$B$2,0)</f>
        <v>168961</v>
      </c>
      <c r="AK1260" s="99">
        <f>ROUND(VLOOKUP(100,enemy_base_stats!$A:$F,3,FALSE)* Z1260* K1260*P1260*F1260*T1260*AE1260 * W1260*[2]ステータス!$C$2,0)</f>
        <v>14736</v>
      </c>
      <c r="AL1260" s="99">
        <f>ROUND(VLOOKUP(100,enemy_base_stats!$A:$F,4,FALSE)* AA1260* L1260*Q1260*G1260*U1260*AF1260*[2]ステータス!$D$2,0)</f>
        <v>0</v>
      </c>
      <c r="AM1260" s="97">
        <f>VLOOKUP(M1260,[2]character_tribe_i18n!$A:$I,9,FALSE)</f>
        <v>680</v>
      </c>
      <c r="AN1260" s="36">
        <v>0</v>
      </c>
      <c r="AO1260" s="53">
        <v>0</v>
      </c>
      <c r="AP1260" s="58" t="s">
        <v>72</v>
      </c>
      <c r="AQ1260" s="71">
        <f t="shared" si="65"/>
        <v>1259</v>
      </c>
    </row>
    <row r="1261" spans="1:43" ht="21" customHeight="1" x14ac:dyDescent="0.15">
      <c r="A1261" s="7">
        <v>1260</v>
      </c>
      <c r="B1261" s="6" t="str">
        <f>VLOOKUP(A1261,[2]characters!$A:$C,3,FALSE)</f>
        <v>トール</v>
      </c>
      <c r="C1261" s="9">
        <f>VLOOKUP(A1261,[2]characters!$A:$I,9,FALSE)</f>
        <v>5</v>
      </c>
      <c r="D1261" s="9" t="str">
        <f>VLOOKUP(A1261,[2]characters!$A:$H,8,FALSE)</f>
        <v>red</v>
      </c>
      <c r="E1261" s="24">
        <f>VLOOKUP(D1261,[2]属性!$A:$E,2,FALSE)</f>
        <v>1</v>
      </c>
      <c r="F1261" s="24">
        <f>VLOOKUP(D1261,[2]属性!$A:$E,3,FALSE)</f>
        <v>1.02</v>
      </c>
      <c r="G1261" s="24">
        <f>VLOOKUP(D1261,[2]属性!$A:$F,4,FALSE)</f>
        <v>1</v>
      </c>
      <c r="H1261" s="100" t="s">
        <v>172</v>
      </c>
      <c r="I1261" s="14" t="str">
        <f>VLOOKUP(H1261,[2]character_type_i18n!$A:$F,3,FALSE)</f>
        <v>攻撃タイプ</v>
      </c>
      <c r="J1261" s="36">
        <f>VLOOKUP(H1261,[2]character_type_i18n!$A:$F,4,FALSE)</f>
        <v>1</v>
      </c>
      <c r="K1261" s="36">
        <f>VLOOKUP(H1261,[2]character_type_i18n!$A:$F,5,FALSE)</f>
        <v>1.33</v>
      </c>
      <c r="L1261" s="36">
        <f>VLOOKUP(H1261,[2]character_type_i18n!$A:$F,6,FALSE)</f>
        <v>1</v>
      </c>
      <c r="M1261" s="100" t="s">
        <v>173</v>
      </c>
      <c r="N1261" s="14" t="str">
        <f>VLOOKUP(M1261,[2]character_tribe_i18n!$A:$F,3,FALSE)</f>
        <v>ゴッド</v>
      </c>
      <c r="O1261" s="24">
        <f>VLOOKUP(M1261,[2]character_tribe_i18n!$A:$F,4,FALSE)</f>
        <v>0.96</v>
      </c>
      <c r="P1261" s="24">
        <f>VLOOKUP(M1261,[2]character_tribe_i18n!$A:$F,5,FALSE)</f>
        <v>1.02</v>
      </c>
      <c r="Q1261" s="24">
        <f>VLOOKUP(M1261,[2]character_tribe_i18n!$A:$F,6,FALSE)</f>
        <v>1</v>
      </c>
      <c r="R1261" s="25" t="s">
        <v>98</v>
      </c>
      <c r="S1261" s="24">
        <f>VLOOKUP($R1261,ラベル別係数!$A$1:$E$7,3,FALSE)</f>
        <v>5</v>
      </c>
      <c r="T1261" s="24">
        <f>VLOOKUP($R1261,ラベル別係数!$A$1:$E$7,4,FALSE)</f>
        <v>1.3</v>
      </c>
      <c r="U1261" s="24">
        <f>VLOOKUP($R1261,ラベル別係数!$A$1:$E$7,5,FALSE)</f>
        <v>0.8</v>
      </c>
      <c r="V1261" s="27">
        <v>3</v>
      </c>
      <c r="W1261" s="28">
        <f>VLOOKUP(V1261,ターン数別攻撃係数!$A$1:$B$1000,2,FALSE)</f>
        <v>1</v>
      </c>
      <c r="X1261" s="9">
        <f>VLOOKUP(C1261,サイズ別係数!A$2:B$9,2,FALSE)</f>
        <v>60</v>
      </c>
      <c r="Y1261" s="26">
        <f>VLOOKUP($X1261,サイズ別係数!$B:$E,2,FALSE)</f>
        <v>1.7</v>
      </c>
      <c r="Z1261" s="26">
        <f>VLOOKUP($X1261,サイズ別係数!$B:$E,3,FALSE)</f>
        <v>1.4</v>
      </c>
      <c r="AA1261" s="26">
        <f>VLOOKUP($X1261,サイズ別係数!$B:$E,4,FALSE)</f>
        <v>1</v>
      </c>
      <c r="AB1261" s="5">
        <v>0</v>
      </c>
      <c r="AC1261" s="34" t="str">
        <f ca="1">VLOOKUP($AB1261,OFFSET([3]enemy_skill_sets!$B$2,0,0,COUNTA([3]enemy_skill_sets!$A:$A),MATCH(AC$1,[3]enemy_skill_sets!$1:$1,0)-MATCH($AB$1,[3]enemy_skill_sets!$1:$1,0)+1),MATCH(AC$1,[3]enemy_skill_sets!$1:$1,0)-MATCH($AB$1,[3]enemy_skill_sets!$1:$1,0)+1,FALSE)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1" s="67">
        <v>1</v>
      </c>
      <c r="AE1261" s="67">
        <v>1</v>
      </c>
      <c r="AF1261" s="37">
        <v>0</v>
      </c>
      <c r="AG1261" s="99">
        <f>ROUND(VLOOKUP(1,enemy_base_stats!$A:$F,2,FALSE) * Y1261* J1261*O1261*E1261*S1261*AD1261*[2]ステータス!$B$2,0)</f>
        <v>4080</v>
      </c>
      <c r="AH1261" s="99">
        <f>ROUND(VLOOKUP(1,enemy_base_stats!$A:$F,3,FALSE) * Z1261*K1261*P1261*F1261*T1261*AE1261 * W1261*[2]ステータス!$C$2,0)</f>
        <v>378</v>
      </c>
      <c r="AI1261" s="99">
        <f>ROUND(VLOOKUP(1,enemy_base_stats!$A:$F,4,FALSE) * AA1261*L1261*Q1261*G1261*U1261*AF1261*[2]ステータス!$D$2,0)</f>
        <v>0</v>
      </c>
      <c r="AJ1261" s="99">
        <f>ROUND(VLOOKUP(100,enemy_base_stats!$A:$F,2,FALSE) * Y1261* J1261*O1261*E1261*S1261*AD1261*[2]ステータス!$B$2,0)</f>
        <v>165648</v>
      </c>
      <c r="AK1261" s="99">
        <f>ROUND(VLOOKUP(100,enemy_base_stats!$A:$F,3,FALSE)* Z1261* K1261*P1261*F1261*T1261*AE1261 * W1261*[2]ステータス!$C$2,0)</f>
        <v>15337</v>
      </c>
      <c r="AL1261" s="99">
        <f>ROUND(VLOOKUP(100,enemy_base_stats!$A:$F,4,FALSE)* AA1261* L1261*Q1261*G1261*U1261*AF1261*[2]ステータス!$D$2,0)</f>
        <v>0</v>
      </c>
      <c r="AM1261" s="97">
        <f>VLOOKUP(M1261,[2]character_tribe_i18n!$A:$I,9,FALSE)</f>
        <v>680</v>
      </c>
      <c r="AN1261" s="36">
        <v>0</v>
      </c>
      <c r="AO1261" s="53">
        <v>0</v>
      </c>
      <c r="AP1261" s="58" t="s">
        <v>72</v>
      </c>
      <c r="AQ1261" s="71">
        <f t="shared" si="65"/>
        <v>1260</v>
      </c>
    </row>
    <row r="1262" spans="1:43" ht="21" customHeight="1" x14ac:dyDescent="0.15">
      <c r="A1262" s="7">
        <v>1261</v>
      </c>
      <c r="B1262" s="6" t="str">
        <f>VLOOKUP(A1262,[2]characters!$A:$C,3,FALSE)</f>
        <v>燃雷の鎚撃 トール</v>
      </c>
      <c r="C1262" s="9">
        <f>VLOOKUP(A1262,[2]characters!$A:$I,9,FALSE)</f>
        <v>6</v>
      </c>
      <c r="D1262" s="9" t="str">
        <f>VLOOKUP(A1262,[2]characters!$A:$H,8,FALSE)</f>
        <v>red</v>
      </c>
      <c r="E1262" s="24">
        <f>VLOOKUP(D1262,[2]属性!$A:$E,2,FALSE)</f>
        <v>1</v>
      </c>
      <c r="F1262" s="24">
        <f>VLOOKUP(D1262,[2]属性!$A:$E,3,FALSE)</f>
        <v>1.02</v>
      </c>
      <c r="G1262" s="24">
        <f>VLOOKUP(D1262,[2]属性!$A:$F,4,FALSE)</f>
        <v>1</v>
      </c>
      <c r="H1262" s="100" t="s">
        <v>172</v>
      </c>
      <c r="I1262" s="14" t="str">
        <f>VLOOKUP(H1262,[2]character_type_i18n!$A:$F,3,FALSE)</f>
        <v>攻撃タイプ</v>
      </c>
      <c r="J1262" s="36">
        <f>VLOOKUP(H1262,[2]character_type_i18n!$A:$F,4,FALSE)</f>
        <v>1</v>
      </c>
      <c r="K1262" s="36">
        <f>VLOOKUP(H1262,[2]character_type_i18n!$A:$F,5,FALSE)</f>
        <v>1.33</v>
      </c>
      <c r="L1262" s="36">
        <f>VLOOKUP(H1262,[2]character_type_i18n!$A:$F,6,FALSE)</f>
        <v>1</v>
      </c>
      <c r="M1262" s="100" t="s">
        <v>173</v>
      </c>
      <c r="N1262" s="14" t="str">
        <f>VLOOKUP(M1262,[2]character_tribe_i18n!$A:$F,3,FALSE)</f>
        <v>ゴッド</v>
      </c>
      <c r="O1262" s="24">
        <f>VLOOKUP(M1262,[2]character_tribe_i18n!$A:$F,4,FALSE)</f>
        <v>0.96</v>
      </c>
      <c r="P1262" s="24">
        <f>VLOOKUP(M1262,[2]character_tribe_i18n!$A:$F,5,FALSE)</f>
        <v>1.02</v>
      </c>
      <c r="Q1262" s="24">
        <f>VLOOKUP(M1262,[2]character_tribe_i18n!$A:$F,6,FALSE)</f>
        <v>1</v>
      </c>
      <c r="R1262" s="25" t="s">
        <v>98</v>
      </c>
      <c r="S1262" s="24">
        <f>VLOOKUP($R1262,ラベル別係数!$A$1:$E$7,3,FALSE)</f>
        <v>5</v>
      </c>
      <c r="T1262" s="24">
        <f>VLOOKUP($R1262,ラベル別係数!$A$1:$E$7,4,FALSE)</f>
        <v>1.3</v>
      </c>
      <c r="U1262" s="24">
        <f>VLOOKUP($R1262,ラベル別係数!$A$1:$E$7,5,FALSE)</f>
        <v>0.8</v>
      </c>
      <c r="V1262" s="27">
        <v>3</v>
      </c>
      <c r="W1262" s="28">
        <f>VLOOKUP(V1262,ターン数別攻撃係数!$A$1:$B$1000,2,FALSE)</f>
        <v>1</v>
      </c>
      <c r="X1262" s="9">
        <f>VLOOKUP(C1262,サイズ別係数!A$2:B$9,2,FALSE)</f>
        <v>60</v>
      </c>
      <c r="Y1262" s="26">
        <f>VLOOKUP($X1262,サイズ別係数!$B:$E,2,FALSE)</f>
        <v>1.7</v>
      </c>
      <c r="Z1262" s="26">
        <f>VLOOKUP($X1262,サイズ別係数!$B:$E,3,FALSE)</f>
        <v>1.4</v>
      </c>
      <c r="AA1262" s="26">
        <f>VLOOKUP($X1262,サイズ別係数!$B:$E,4,FALSE)</f>
        <v>1</v>
      </c>
      <c r="AB1262" s="5">
        <v>0</v>
      </c>
      <c r="AC1262" s="34" t="str">
        <f ca="1">VLOOKUP($AB1262,OFFSET([3]enemy_skill_sets!$B$2,0,0,COUNTA([3]enemy_skill_sets!$A:$A),MATCH(AC$1,[3]enemy_skill_sets!$1:$1,0)-MATCH($AB$1,[3]enemy_skill_sets!$1:$1,0)+1),MATCH(AC$1,[3]enemy_skill_sets!$1:$1,0)-MATCH($AB$1,[3]enemy_skill_sets!$1:$1,0)+1,FALSE)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2" s="67">
        <v>1</v>
      </c>
      <c r="AE1262" s="67">
        <v>1</v>
      </c>
      <c r="AF1262" s="37">
        <v>0</v>
      </c>
      <c r="AG1262" s="99">
        <f>ROUND(VLOOKUP(1,enemy_base_stats!$A:$F,2,FALSE) * Y1262* J1262*O1262*E1262*S1262*AD1262*[2]ステータス!$B$2,0)</f>
        <v>4080</v>
      </c>
      <c r="AH1262" s="99">
        <f>ROUND(VLOOKUP(1,enemy_base_stats!$A:$F,3,FALSE) * Z1262*K1262*P1262*F1262*T1262*AE1262 * W1262*[2]ステータス!$C$2,0)</f>
        <v>378</v>
      </c>
      <c r="AI1262" s="99">
        <f>ROUND(VLOOKUP(1,enemy_base_stats!$A:$F,4,FALSE) * AA1262*L1262*Q1262*G1262*U1262*AF1262*[2]ステータス!$D$2,0)</f>
        <v>0</v>
      </c>
      <c r="AJ1262" s="99">
        <f>ROUND(VLOOKUP(100,enemy_base_stats!$A:$F,2,FALSE) * Y1262* J1262*O1262*E1262*S1262*AD1262*[2]ステータス!$B$2,0)</f>
        <v>165648</v>
      </c>
      <c r="AK1262" s="99">
        <f>ROUND(VLOOKUP(100,enemy_base_stats!$A:$F,3,FALSE)* Z1262* K1262*P1262*F1262*T1262*AE1262 * W1262*[2]ステータス!$C$2,0)</f>
        <v>15337</v>
      </c>
      <c r="AL1262" s="99">
        <f>ROUND(VLOOKUP(100,enemy_base_stats!$A:$F,4,FALSE)* AA1262* L1262*Q1262*G1262*U1262*AF1262*[2]ステータス!$D$2,0)</f>
        <v>0</v>
      </c>
      <c r="AM1262" s="97">
        <f>VLOOKUP(M1262,[2]character_tribe_i18n!$A:$I,9,FALSE)</f>
        <v>680</v>
      </c>
      <c r="AN1262" s="36">
        <v>0</v>
      </c>
      <c r="AO1262" s="53">
        <v>0</v>
      </c>
      <c r="AP1262" s="58" t="s">
        <v>72</v>
      </c>
      <c r="AQ1262" s="71">
        <f t="shared" si="65"/>
        <v>1261</v>
      </c>
    </row>
    <row r="1263" spans="1:43" ht="21" customHeight="1" x14ac:dyDescent="0.15">
      <c r="A1263" s="7">
        <v>1262</v>
      </c>
      <c r="B1263" s="6" t="str">
        <f>VLOOKUP(A1263,[2]characters!$A:$C,3,FALSE)</f>
        <v>イズン</v>
      </c>
      <c r="C1263" s="9">
        <f>VLOOKUP(A1263,[2]characters!$A:$I,9,FALSE)</f>
        <v>5</v>
      </c>
      <c r="D1263" s="9" t="str">
        <f>VLOOKUP(A1263,[2]characters!$A:$H,8,FALSE)</f>
        <v>green</v>
      </c>
      <c r="E1263" s="24">
        <f>VLOOKUP(D1263,[2]属性!$A:$E,2,FALSE)</f>
        <v>1.02</v>
      </c>
      <c r="F1263" s="24">
        <f>VLOOKUP(D1263,[2]属性!$A:$E,3,FALSE)</f>
        <v>0.98</v>
      </c>
      <c r="G1263" s="24">
        <f>VLOOKUP(D1263,[2]属性!$A:$F,4,FALSE)</f>
        <v>1</v>
      </c>
      <c r="H1263" s="100" t="s">
        <v>172</v>
      </c>
      <c r="I1263" s="14" t="str">
        <f>VLOOKUP(H1263,[2]character_type_i18n!$A:$F,3,FALSE)</f>
        <v>攻撃タイプ</v>
      </c>
      <c r="J1263" s="36">
        <f>VLOOKUP(H1263,[2]character_type_i18n!$A:$F,4,FALSE)</f>
        <v>1</v>
      </c>
      <c r="K1263" s="36">
        <f>VLOOKUP(H1263,[2]character_type_i18n!$A:$F,5,FALSE)</f>
        <v>1.33</v>
      </c>
      <c r="L1263" s="36">
        <f>VLOOKUP(H1263,[2]character_type_i18n!$A:$F,6,FALSE)</f>
        <v>1</v>
      </c>
      <c r="M1263" s="100" t="s">
        <v>173</v>
      </c>
      <c r="N1263" s="14" t="str">
        <f>VLOOKUP(M1263,[2]character_tribe_i18n!$A:$F,3,FALSE)</f>
        <v>ゴッド</v>
      </c>
      <c r="O1263" s="24">
        <f>VLOOKUP(M1263,[2]character_tribe_i18n!$A:$F,4,FALSE)</f>
        <v>0.96</v>
      </c>
      <c r="P1263" s="24">
        <f>VLOOKUP(M1263,[2]character_tribe_i18n!$A:$F,5,FALSE)</f>
        <v>1.02</v>
      </c>
      <c r="Q1263" s="24">
        <f>VLOOKUP(M1263,[2]character_tribe_i18n!$A:$F,6,FALSE)</f>
        <v>1</v>
      </c>
      <c r="R1263" s="25" t="s">
        <v>98</v>
      </c>
      <c r="S1263" s="24">
        <f>VLOOKUP($R1263,ラベル別係数!$A$1:$E$7,3,FALSE)</f>
        <v>5</v>
      </c>
      <c r="T1263" s="24">
        <f>VLOOKUP($R1263,ラベル別係数!$A$1:$E$7,4,FALSE)</f>
        <v>1.3</v>
      </c>
      <c r="U1263" s="24">
        <f>VLOOKUP($R1263,ラベル別係数!$A$1:$E$7,5,FALSE)</f>
        <v>0.8</v>
      </c>
      <c r="V1263" s="27">
        <v>3</v>
      </c>
      <c r="W1263" s="28">
        <f>VLOOKUP(V1263,ターン数別攻撃係数!$A$1:$B$1000,2,FALSE)</f>
        <v>1</v>
      </c>
      <c r="X1263" s="9">
        <f>VLOOKUP(C1263,サイズ別係数!A$2:B$9,2,FALSE)</f>
        <v>60</v>
      </c>
      <c r="Y1263" s="26">
        <f>VLOOKUP($X1263,サイズ別係数!$B:$E,2,FALSE)</f>
        <v>1.7</v>
      </c>
      <c r="Z1263" s="26">
        <f>VLOOKUP($X1263,サイズ別係数!$B:$E,3,FALSE)</f>
        <v>1.4</v>
      </c>
      <c r="AA1263" s="26">
        <f>VLOOKUP($X1263,サイズ別係数!$B:$E,4,FALSE)</f>
        <v>1</v>
      </c>
      <c r="AB1263" s="5">
        <v>0</v>
      </c>
      <c r="AC1263" s="34" t="str">
        <f ca="1">VLOOKUP($AB1263,OFFSET([3]enemy_skill_sets!$B$2,0,0,COUNTA([3]enemy_skill_sets!$A:$A),MATCH(AC$1,[3]enemy_skill_sets!$1:$1,0)-MATCH($AB$1,[3]enemy_skill_sets!$1:$1,0)+1),MATCH(AC$1,[3]enemy_skill_sets!$1:$1,0)-MATCH($AB$1,[3]enemy_skill_sets!$1:$1,0)+1,FALSE)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3" s="67">
        <v>1</v>
      </c>
      <c r="AE1263" s="67">
        <v>1</v>
      </c>
      <c r="AF1263" s="37">
        <v>0</v>
      </c>
      <c r="AG1263" s="99">
        <f>ROUND(VLOOKUP(1,enemy_base_stats!$A:$F,2,FALSE) * Y1263* J1263*O1263*E1263*S1263*AD1263*[2]ステータス!$B$2,0)</f>
        <v>4162</v>
      </c>
      <c r="AH1263" s="99">
        <f>ROUND(VLOOKUP(1,enemy_base_stats!$A:$F,3,FALSE) * Z1263*K1263*P1263*F1263*T1263*AE1263 * W1263*[2]ステータス!$C$2,0)</f>
        <v>363</v>
      </c>
      <c r="AI1263" s="99">
        <f>ROUND(VLOOKUP(1,enemy_base_stats!$A:$F,4,FALSE) * AA1263*L1263*Q1263*G1263*U1263*AF1263*[2]ステータス!$D$2,0)</f>
        <v>0</v>
      </c>
      <c r="AJ1263" s="99">
        <f>ROUND(VLOOKUP(100,enemy_base_stats!$A:$F,2,FALSE) * Y1263* J1263*O1263*E1263*S1263*AD1263*[2]ステータス!$B$2,0)</f>
        <v>168961</v>
      </c>
      <c r="AK1263" s="99">
        <f>ROUND(VLOOKUP(100,enemy_base_stats!$A:$F,3,FALSE)* Z1263* K1263*P1263*F1263*T1263*AE1263 * W1263*[2]ステータス!$C$2,0)</f>
        <v>14736</v>
      </c>
      <c r="AL1263" s="99">
        <f>ROUND(VLOOKUP(100,enemy_base_stats!$A:$F,4,FALSE)* AA1263* L1263*Q1263*G1263*U1263*AF1263*[2]ステータス!$D$2,0)</f>
        <v>0</v>
      </c>
      <c r="AM1263" s="97">
        <f>VLOOKUP(M1263,[2]character_tribe_i18n!$A:$I,9,FALSE)</f>
        <v>680</v>
      </c>
      <c r="AN1263" s="36">
        <v>0</v>
      </c>
      <c r="AO1263" s="53">
        <v>0</v>
      </c>
      <c r="AP1263" s="58" t="s">
        <v>72</v>
      </c>
      <c r="AQ1263" s="71">
        <f t="shared" si="65"/>
        <v>1262</v>
      </c>
    </row>
    <row r="1264" spans="1:43" ht="21" customHeight="1" x14ac:dyDescent="0.15">
      <c r="A1264" s="7">
        <v>1263</v>
      </c>
      <c r="B1264" s="6" t="str">
        <f>VLOOKUP(A1264,[2]characters!$A:$C,3,FALSE)</f>
        <v>純朴なる檻理人 イズン</v>
      </c>
      <c r="C1264" s="9">
        <f>VLOOKUP(A1264,[2]characters!$A:$I,9,FALSE)</f>
        <v>6</v>
      </c>
      <c r="D1264" s="9" t="str">
        <f>VLOOKUP(A1264,[2]characters!$A:$H,8,FALSE)</f>
        <v>green</v>
      </c>
      <c r="E1264" s="24">
        <f>VLOOKUP(D1264,[2]属性!$A:$E,2,FALSE)</f>
        <v>1.02</v>
      </c>
      <c r="F1264" s="24">
        <f>VLOOKUP(D1264,[2]属性!$A:$E,3,FALSE)</f>
        <v>0.98</v>
      </c>
      <c r="G1264" s="24">
        <f>VLOOKUP(D1264,[2]属性!$A:$F,4,FALSE)</f>
        <v>1</v>
      </c>
      <c r="H1264" s="100" t="s">
        <v>172</v>
      </c>
      <c r="I1264" s="14" t="str">
        <f>VLOOKUP(H1264,[2]character_type_i18n!$A:$F,3,FALSE)</f>
        <v>攻撃タイプ</v>
      </c>
      <c r="J1264" s="36">
        <f>VLOOKUP(H1264,[2]character_type_i18n!$A:$F,4,FALSE)</f>
        <v>1</v>
      </c>
      <c r="K1264" s="36">
        <f>VLOOKUP(H1264,[2]character_type_i18n!$A:$F,5,FALSE)</f>
        <v>1.33</v>
      </c>
      <c r="L1264" s="36">
        <f>VLOOKUP(H1264,[2]character_type_i18n!$A:$F,6,FALSE)</f>
        <v>1</v>
      </c>
      <c r="M1264" s="100" t="s">
        <v>173</v>
      </c>
      <c r="N1264" s="14" t="str">
        <f>VLOOKUP(M1264,[2]character_tribe_i18n!$A:$F,3,FALSE)</f>
        <v>ゴッド</v>
      </c>
      <c r="O1264" s="24">
        <f>VLOOKUP(M1264,[2]character_tribe_i18n!$A:$F,4,FALSE)</f>
        <v>0.96</v>
      </c>
      <c r="P1264" s="24">
        <f>VLOOKUP(M1264,[2]character_tribe_i18n!$A:$F,5,FALSE)</f>
        <v>1.02</v>
      </c>
      <c r="Q1264" s="24">
        <f>VLOOKUP(M1264,[2]character_tribe_i18n!$A:$F,6,FALSE)</f>
        <v>1</v>
      </c>
      <c r="R1264" s="25" t="s">
        <v>98</v>
      </c>
      <c r="S1264" s="24">
        <f>VLOOKUP($R1264,ラベル別係数!$A$1:$E$7,3,FALSE)</f>
        <v>5</v>
      </c>
      <c r="T1264" s="24">
        <f>VLOOKUP($R1264,ラベル別係数!$A$1:$E$7,4,FALSE)</f>
        <v>1.3</v>
      </c>
      <c r="U1264" s="24">
        <f>VLOOKUP($R1264,ラベル別係数!$A$1:$E$7,5,FALSE)</f>
        <v>0.8</v>
      </c>
      <c r="V1264" s="27">
        <v>3</v>
      </c>
      <c r="W1264" s="28">
        <f>VLOOKUP(V1264,ターン数別攻撃係数!$A$1:$B$1000,2,FALSE)</f>
        <v>1</v>
      </c>
      <c r="X1264" s="9">
        <f>VLOOKUP(C1264,サイズ別係数!A$2:B$9,2,FALSE)</f>
        <v>60</v>
      </c>
      <c r="Y1264" s="26">
        <f>VLOOKUP($X1264,サイズ別係数!$B:$E,2,FALSE)</f>
        <v>1.7</v>
      </c>
      <c r="Z1264" s="26">
        <f>VLOOKUP($X1264,サイズ別係数!$B:$E,3,FALSE)</f>
        <v>1.4</v>
      </c>
      <c r="AA1264" s="26">
        <f>VLOOKUP($X1264,サイズ別係数!$B:$E,4,FALSE)</f>
        <v>1</v>
      </c>
      <c r="AB1264" s="5">
        <v>0</v>
      </c>
      <c r="AC1264" s="34" t="str">
        <f ca="1">VLOOKUP($AB1264,OFFSET([3]enemy_skill_sets!$B$2,0,0,COUNTA([3]enemy_skill_sets!$A:$A),MATCH(AC$1,[3]enemy_skill_sets!$1:$1,0)-MATCH($AB$1,[3]enemy_skill_sets!$1:$1,0)+1),MATCH(AC$1,[3]enemy_skill_sets!$1:$1,0)-MATCH($AB$1,[3]enemy_skill_sets!$1:$1,0)+1,FALSE)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4" s="67">
        <v>1</v>
      </c>
      <c r="AE1264" s="67">
        <v>1</v>
      </c>
      <c r="AF1264" s="37">
        <v>0</v>
      </c>
      <c r="AG1264" s="99">
        <f>ROUND(VLOOKUP(1,enemy_base_stats!$A:$F,2,FALSE) * Y1264* J1264*O1264*E1264*S1264*AD1264*[2]ステータス!$B$2,0)</f>
        <v>4162</v>
      </c>
      <c r="AH1264" s="99">
        <f>ROUND(VLOOKUP(1,enemy_base_stats!$A:$F,3,FALSE) * Z1264*K1264*P1264*F1264*T1264*AE1264 * W1264*[2]ステータス!$C$2,0)</f>
        <v>363</v>
      </c>
      <c r="AI1264" s="99">
        <f>ROUND(VLOOKUP(1,enemy_base_stats!$A:$F,4,FALSE) * AA1264*L1264*Q1264*G1264*U1264*AF1264*[2]ステータス!$D$2,0)</f>
        <v>0</v>
      </c>
      <c r="AJ1264" s="99">
        <f>ROUND(VLOOKUP(100,enemy_base_stats!$A:$F,2,FALSE) * Y1264* J1264*O1264*E1264*S1264*AD1264*[2]ステータス!$B$2,0)</f>
        <v>168961</v>
      </c>
      <c r="AK1264" s="99">
        <f>ROUND(VLOOKUP(100,enemy_base_stats!$A:$F,3,FALSE)* Z1264* K1264*P1264*F1264*T1264*AE1264 * W1264*[2]ステータス!$C$2,0)</f>
        <v>14736</v>
      </c>
      <c r="AL1264" s="99">
        <f>ROUND(VLOOKUP(100,enemy_base_stats!$A:$F,4,FALSE)* AA1264* L1264*Q1264*G1264*U1264*AF1264*[2]ステータス!$D$2,0)</f>
        <v>0</v>
      </c>
      <c r="AM1264" s="97">
        <f>VLOOKUP(M1264,[2]character_tribe_i18n!$A:$I,9,FALSE)</f>
        <v>680</v>
      </c>
      <c r="AN1264" s="36">
        <v>0</v>
      </c>
      <c r="AO1264" s="53">
        <v>0</v>
      </c>
      <c r="AP1264" s="58" t="s">
        <v>72</v>
      </c>
      <c r="AQ1264" s="71">
        <f t="shared" si="65"/>
        <v>1263</v>
      </c>
    </row>
    <row r="1265" spans="1:43" ht="21" customHeight="1" x14ac:dyDescent="0.15">
      <c r="A1265" s="7">
        <v>1264</v>
      </c>
      <c r="B1265" s="6" t="str">
        <f>VLOOKUP(A1265,[2]characters!$A:$C,3,FALSE)</f>
        <v>ウルズ</v>
      </c>
      <c r="C1265" s="9">
        <f>VLOOKUP(A1265,[2]characters!$A:$I,9,FALSE)</f>
        <v>5</v>
      </c>
      <c r="D1265" s="9" t="str">
        <f>VLOOKUP(A1265,[2]characters!$A:$H,8,FALSE)</f>
        <v>blue</v>
      </c>
      <c r="E1265" s="24">
        <f>VLOOKUP(D1265,[2]属性!$A:$E,2,FALSE)</f>
        <v>1</v>
      </c>
      <c r="F1265" s="24">
        <f>VLOOKUP(D1265,[2]属性!$A:$E,3,FALSE)</f>
        <v>0.98</v>
      </c>
      <c r="G1265" s="24">
        <f>VLOOKUP(D1265,[2]属性!$A:$F,4,FALSE)</f>
        <v>1</v>
      </c>
      <c r="H1265" s="100" t="s">
        <v>172</v>
      </c>
      <c r="I1265" s="14" t="str">
        <f>VLOOKUP(H1265,[2]character_type_i18n!$A:$F,3,FALSE)</f>
        <v>攻撃タイプ</v>
      </c>
      <c r="J1265" s="36">
        <f>VLOOKUP(H1265,[2]character_type_i18n!$A:$F,4,FALSE)</f>
        <v>1</v>
      </c>
      <c r="K1265" s="36">
        <f>VLOOKUP(H1265,[2]character_type_i18n!$A:$F,5,FALSE)</f>
        <v>1.33</v>
      </c>
      <c r="L1265" s="36">
        <f>VLOOKUP(H1265,[2]character_type_i18n!$A:$F,6,FALSE)</f>
        <v>1</v>
      </c>
      <c r="M1265" s="100" t="s">
        <v>173</v>
      </c>
      <c r="N1265" s="14" t="str">
        <f>VLOOKUP(M1265,[2]character_tribe_i18n!$A:$F,3,FALSE)</f>
        <v>ゴッド</v>
      </c>
      <c r="O1265" s="24">
        <f>VLOOKUP(M1265,[2]character_tribe_i18n!$A:$F,4,FALSE)</f>
        <v>0.96</v>
      </c>
      <c r="P1265" s="24">
        <f>VLOOKUP(M1265,[2]character_tribe_i18n!$A:$F,5,FALSE)</f>
        <v>1.02</v>
      </c>
      <c r="Q1265" s="24">
        <f>VLOOKUP(M1265,[2]character_tribe_i18n!$A:$F,6,FALSE)</f>
        <v>1</v>
      </c>
      <c r="R1265" s="25" t="s">
        <v>98</v>
      </c>
      <c r="S1265" s="24">
        <f>VLOOKUP($R1265,ラベル別係数!$A$1:$E$7,3,FALSE)</f>
        <v>5</v>
      </c>
      <c r="T1265" s="24">
        <f>VLOOKUP($R1265,ラベル別係数!$A$1:$E$7,4,FALSE)</f>
        <v>1.3</v>
      </c>
      <c r="U1265" s="24">
        <f>VLOOKUP($R1265,ラベル別係数!$A$1:$E$7,5,FALSE)</f>
        <v>0.8</v>
      </c>
      <c r="V1265" s="27">
        <v>3</v>
      </c>
      <c r="W1265" s="28">
        <f>VLOOKUP(V1265,ターン数別攻撃係数!$A$1:$B$1000,2,FALSE)</f>
        <v>1</v>
      </c>
      <c r="X1265" s="9">
        <f>VLOOKUP(C1265,サイズ別係数!A$2:B$9,2,FALSE)</f>
        <v>60</v>
      </c>
      <c r="Y1265" s="26">
        <f>VLOOKUP($X1265,サイズ別係数!$B:$E,2,FALSE)</f>
        <v>1.7</v>
      </c>
      <c r="Z1265" s="26">
        <f>VLOOKUP($X1265,サイズ別係数!$B:$E,3,FALSE)</f>
        <v>1.4</v>
      </c>
      <c r="AA1265" s="26">
        <f>VLOOKUP($X1265,サイズ別係数!$B:$E,4,FALSE)</f>
        <v>1</v>
      </c>
      <c r="AB1265" s="5">
        <v>0</v>
      </c>
      <c r="AC1265" s="34" t="str">
        <f ca="1">VLOOKUP($AB1265,OFFSET([3]enemy_skill_sets!$B$2,0,0,COUNTA([3]enemy_skill_sets!$A:$A),MATCH(AC$1,[3]enemy_skill_sets!$1:$1,0)-MATCH($AB$1,[3]enemy_skill_sets!$1:$1,0)+1),MATCH(AC$1,[3]enemy_skill_sets!$1:$1,0)-MATCH($AB$1,[3]enemy_skill_sets!$1:$1,0)+1,FALSE)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5" s="67">
        <v>1</v>
      </c>
      <c r="AE1265" s="67">
        <v>1</v>
      </c>
      <c r="AF1265" s="37">
        <v>0</v>
      </c>
      <c r="AG1265" s="99">
        <f>ROUND(VLOOKUP(1,enemy_base_stats!$A:$F,2,FALSE) * Y1265* J1265*O1265*E1265*S1265*AD1265*[2]ステータス!$B$2,0)</f>
        <v>4080</v>
      </c>
      <c r="AH1265" s="99">
        <f>ROUND(VLOOKUP(1,enemy_base_stats!$A:$F,3,FALSE) * Z1265*K1265*P1265*F1265*T1265*AE1265 * W1265*[2]ステータス!$C$2,0)</f>
        <v>363</v>
      </c>
      <c r="AI1265" s="99">
        <f>ROUND(VLOOKUP(1,enemy_base_stats!$A:$F,4,FALSE) * AA1265*L1265*Q1265*G1265*U1265*AF1265*[2]ステータス!$D$2,0)</f>
        <v>0</v>
      </c>
      <c r="AJ1265" s="99">
        <f>ROUND(VLOOKUP(100,enemy_base_stats!$A:$F,2,FALSE) * Y1265* J1265*O1265*E1265*S1265*AD1265*[2]ステータス!$B$2,0)</f>
        <v>165648</v>
      </c>
      <c r="AK1265" s="99">
        <f>ROUND(VLOOKUP(100,enemy_base_stats!$A:$F,3,FALSE)* Z1265* K1265*P1265*F1265*T1265*AE1265 * W1265*[2]ステータス!$C$2,0)</f>
        <v>14736</v>
      </c>
      <c r="AL1265" s="99">
        <f>ROUND(VLOOKUP(100,enemy_base_stats!$A:$F,4,FALSE)* AA1265* L1265*Q1265*G1265*U1265*AF1265*[2]ステータス!$D$2,0)</f>
        <v>0</v>
      </c>
      <c r="AM1265" s="97">
        <f>VLOOKUP(M1265,[2]character_tribe_i18n!$A:$I,9,FALSE)</f>
        <v>680</v>
      </c>
      <c r="AN1265" s="36">
        <v>0</v>
      </c>
      <c r="AO1265" s="53">
        <v>0</v>
      </c>
      <c r="AP1265" s="58" t="s">
        <v>72</v>
      </c>
      <c r="AQ1265" s="71">
        <f t="shared" si="65"/>
        <v>1264</v>
      </c>
    </row>
    <row r="1266" spans="1:43" ht="21" customHeight="1" x14ac:dyDescent="0.15">
      <c r="A1266" s="7">
        <v>1265</v>
      </c>
      <c r="B1266" s="6" t="str">
        <f>VLOOKUP(A1266,[2]characters!$A:$C,3,FALSE)</f>
        <v>静観する世限者 ウルズ</v>
      </c>
      <c r="C1266" s="9">
        <f>VLOOKUP(A1266,[2]characters!$A:$I,9,FALSE)</f>
        <v>6</v>
      </c>
      <c r="D1266" s="9" t="str">
        <f>VLOOKUP(A1266,[2]characters!$A:$H,8,FALSE)</f>
        <v>blue</v>
      </c>
      <c r="E1266" s="24">
        <f>VLOOKUP(D1266,[2]属性!$A:$E,2,FALSE)</f>
        <v>1</v>
      </c>
      <c r="F1266" s="24">
        <f>VLOOKUP(D1266,[2]属性!$A:$E,3,FALSE)</f>
        <v>0.98</v>
      </c>
      <c r="G1266" s="24">
        <f>VLOOKUP(D1266,[2]属性!$A:$F,4,FALSE)</f>
        <v>1</v>
      </c>
      <c r="H1266" s="100" t="s">
        <v>172</v>
      </c>
      <c r="I1266" s="14" t="str">
        <f>VLOOKUP(H1266,[2]character_type_i18n!$A:$F,3,FALSE)</f>
        <v>攻撃タイプ</v>
      </c>
      <c r="J1266" s="36">
        <f>VLOOKUP(H1266,[2]character_type_i18n!$A:$F,4,FALSE)</f>
        <v>1</v>
      </c>
      <c r="K1266" s="36">
        <f>VLOOKUP(H1266,[2]character_type_i18n!$A:$F,5,FALSE)</f>
        <v>1.33</v>
      </c>
      <c r="L1266" s="36">
        <f>VLOOKUP(H1266,[2]character_type_i18n!$A:$F,6,FALSE)</f>
        <v>1</v>
      </c>
      <c r="M1266" s="100" t="s">
        <v>173</v>
      </c>
      <c r="N1266" s="14" t="str">
        <f>VLOOKUP(M1266,[2]character_tribe_i18n!$A:$F,3,FALSE)</f>
        <v>ゴッド</v>
      </c>
      <c r="O1266" s="24">
        <f>VLOOKUP(M1266,[2]character_tribe_i18n!$A:$F,4,FALSE)</f>
        <v>0.96</v>
      </c>
      <c r="P1266" s="24">
        <f>VLOOKUP(M1266,[2]character_tribe_i18n!$A:$F,5,FALSE)</f>
        <v>1.02</v>
      </c>
      <c r="Q1266" s="24">
        <f>VLOOKUP(M1266,[2]character_tribe_i18n!$A:$F,6,FALSE)</f>
        <v>1</v>
      </c>
      <c r="R1266" s="25" t="s">
        <v>98</v>
      </c>
      <c r="S1266" s="24">
        <f>VLOOKUP($R1266,ラベル別係数!$A$1:$E$7,3,FALSE)</f>
        <v>5</v>
      </c>
      <c r="T1266" s="24">
        <f>VLOOKUP($R1266,ラベル別係数!$A$1:$E$7,4,FALSE)</f>
        <v>1.3</v>
      </c>
      <c r="U1266" s="24">
        <f>VLOOKUP($R1266,ラベル別係数!$A$1:$E$7,5,FALSE)</f>
        <v>0.8</v>
      </c>
      <c r="V1266" s="27">
        <v>3</v>
      </c>
      <c r="W1266" s="28">
        <f>VLOOKUP(V1266,ターン数別攻撃係数!$A$1:$B$1000,2,FALSE)</f>
        <v>1</v>
      </c>
      <c r="X1266" s="9">
        <f>VLOOKUP(C1266,サイズ別係数!A$2:B$9,2,FALSE)</f>
        <v>60</v>
      </c>
      <c r="Y1266" s="26">
        <f>VLOOKUP($X1266,サイズ別係数!$B:$E,2,FALSE)</f>
        <v>1.7</v>
      </c>
      <c r="Z1266" s="26">
        <f>VLOOKUP($X1266,サイズ別係数!$B:$E,3,FALSE)</f>
        <v>1.4</v>
      </c>
      <c r="AA1266" s="26">
        <f>VLOOKUP($X1266,サイズ別係数!$B:$E,4,FALSE)</f>
        <v>1</v>
      </c>
      <c r="AB1266" s="5">
        <v>0</v>
      </c>
      <c r="AC1266" s="34" t="str">
        <f ca="1">VLOOKUP($AB1266,OFFSET([3]enemy_skill_sets!$B$2,0,0,COUNTA([3]enemy_skill_sets!$A:$A),MATCH(AC$1,[3]enemy_skill_sets!$1:$1,0)-MATCH($AB$1,[3]enemy_skill_sets!$1:$1,0)+1),MATCH(AC$1,[3]enemy_skill_sets!$1:$1,0)-MATCH($AB$1,[3]enemy_skill_sets!$1:$1,0)+1,FALSE)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6" s="67">
        <v>1</v>
      </c>
      <c r="AE1266" s="67">
        <v>1</v>
      </c>
      <c r="AF1266" s="37">
        <v>0</v>
      </c>
      <c r="AG1266" s="99">
        <f>ROUND(VLOOKUP(1,enemy_base_stats!$A:$F,2,FALSE) * Y1266* J1266*O1266*E1266*S1266*AD1266*[2]ステータス!$B$2,0)</f>
        <v>4080</v>
      </c>
      <c r="AH1266" s="99">
        <f>ROUND(VLOOKUP(1,enemy_base_stats!$A:$F,3,FALSE) * Z1266*K1266*P1266*F1266*T1266*AE1266 * W1266*[2]ステータス!$C$2,0)</f>
        <v>363</v>
      </c>
      <c r="AI1266" s="99">
        <f>ROUND(VLOOKUP(1,enemy_base_stats!$A:$F,4,FALSE) * AA1266*L1266*Q1266*G1266*U1266*AF1266*[2]ステータス!$D$2,0)</f>
        <v>0</v>
      </c>
      <c r="AJ1266" s="99">
        <f>ROUND(VLOOKUP(100,enemy_base_stats!$A:$F,2,FALSE) * Y1266* J1266*O1266*E1266*S1266*AD1266*[2]ステータス!$B$2,0)</f>
        <v>165648</v>
      </c>
      <c r="AK1266" s="99">
        <f>ROUND(VLOOKUP(100,enemy_base_stats!$A:$F,3,FALSE)* Z1266* K1266*P1266*F1266*T1266*AE1266 * W1266*[2]ステータス!$C$2,0)</f>
        <v>14736</v>
      </c>
      <c r="AL1266" s="99">
        <f>ROUND(VLOOKUP(100,enemy_base_stats!$A:$F,4,FALSE)* AA1266* L1266*Q1266*G1266*U1266*AF1266*[2]ステータス!$D$2,0)</f>
        <v>0</v>
      </c>
      <c r="AM1266" s="97">
        <f>VLOOKUP(M1266,[2]character_tribe_i18n!$A:$I,9,FALSE)</f>
        <v>680</v>
      </c>
      <c r="AN1266" s="36">
        <v>0</v>
      </c>
      <c r="AO1266" s="53">
        <v>0</v>
      </c>
      <c r="AP1266" s="58" t="s">
        <v>72</v>
      </c>
      <c r="AQ1266" s="71">
        <f t="shared" si="65"/>
        <v>1265</v>
      </c>
    </row>
    <row r="1267" spans="1:43" ht="21" customHeight="1" x14ac:dyDescent="0.15">
      <c r="A1267" s="7">
        <v>1266</v>
      </c>
      <c r="B1267" s="6" t="str">
        <f>VLOOKUP(A1267,[2]characters!$A:$C,3,FALSE)</f>
        <v>ガルム</v>
      </c>
      <c r="C1267" s="9">
        <f>VLOOKUP(A1267,[2]characters!$A:$I,9,FALSE)</f>
        <v>4</v>
      </c>
      <c r="D1267" s="9" t="str">
        <f>VLOOKUP(A1267,[2]characters!$A:$H,8,FALSE)</f>
        <v>yellow</v>
      </c>
      <c r="E1267" s="24">
        <f>VLOOKUP(D1267,[2]属性!$A:$E,2,FALSE)</f>
        <v>0.98</v>
      </c>
      <c r="F1267" s="24">
        <f>VLOOKUP(D1267,[2]属性!$A:$E,3,FALSE)</f>
        <v>1.01</v>
      </c>
      <c r="G1267" s="24">
        <f>VLOOKUP(D1267,[2]属性!$A:$F,4,FALSE)</f>
        <v>1</v>
      </c>
      <c r="H1267" s="100" t="s">
        <v>172</v>
      </c>
      <c r="I1267" s="14" t="str">
        <f>VLOOKUP(H1267,[2]character_type_i18n!$A:$F,3,FALSE)</f>
        <v>攻撃タイプ</v>
      </c>
      <c r="J1267" s="36">
        <f>VLOOKUP(H1267,[2]character_type_i18n!$A:$F,4,FALSE)</f>
        <v>1</v>
      </c>
      <c r="K1267" s="36">
        <f>VLOOKUP(H1267,[2]character_type_i18n!$A:$F,5,FALSE)</f>
        <v>1.33</v>
      </c>
      <c r="L1267" s="36">
        <f>VLOOKUP(H1267,[2]character_type_i18n!$A:$F,6,FALSE)</f>
        <v>1</v>
      </c>
      <c r="M1267" s="100" t="s">
        <v>173</v>
      </c>
      <c r="N1267" s="14" t="str">
        <f>VLOOKUP(M1267,[2]character_tribe_i18n!$A:$F,3,FALSE)</f>
        <v>ゴッド</v>
      </c>
      <c r="O1267" s="24">
        <f>VLOOKUP(M1267,[2]character_tribe_i18n!$A:$F,4,FALSE)</f>
        <v>0.96</v>
      </c>
      <c r="P1267" s="24">
        <f>VLOOKUP(M1267,[2]character_tribe_i18n!$A:$F,5,FALSE)</f>
        <v>1.02</v>
      </c>
      <c r="Q1267" s="24">
        <f>VLOOKUP(M1267,[2]character_tribe_i18n!$A:$F,6,FALSE)</f>
        <v>1</v>
      </c>
      <c r="R1267" s="25" t="s">
        <v>98</v>
      </c>
      <c r="S1267" s="24">
        <f>VLOOKUP($R1267,ラベル別係数!$A$1:$E$7,3,FALSE)</f>
        <v>5</v>
      </c>
      <c r="T1267" s="24">
        <f>VLOOKUP($R1267,ラベル別係数!$A$1:$E$7,4,FALSE)</f>
        <v>1.3</v>
      </c>
      <c r="U1267" s="24">
        <f>VLOOKUP($R1267,ラベル別係数!$A$1:$E$7,5,FALSE)</f>
        <v>0.8</v>
      </c>
      <c r="V1267" s="27">
        <v>3</v>
      </c>
      <c r="W1267" s="28">
        <f>VLOOKUP(V1267,ターン数別攻撃係数!$A$1:$B$1000,2,FALSE)</f>
        <v>1</v>
      </c>
      <c r="X1267" s="9">
        <f>VLOOKUP(C1267,サイズ別係数!A$2:B$9,2,FALSE)</f>
        <v>30</v>
      </c>
      <c r="Y1267" s="26">
        <f>VLOOKUP($X1267,サイズ別係数!$B:$E,2,FALSE)</f>
        <v>1.3</v>
      </c>
      <c r="Z1267" s="26">
        <f>VLOOKUP($X1267,サイズ別係数!$B:$E,3,FALSE)</f>
        <v>1.3</v>
      </c>
      <c r="AA1267" s="26">
        <f>VLOOKUP($X1267,サイズ別係数!$B:$E,4,FALSE)</f>
        <v>1.1000000000000001</v>
      </c>
      <c r="AB1267" s="5">
        <v>0</v>
      </c>
      <c r="AC1267" s="34" t="str">
        <f ca="1">VLOOKUP($AB1267,OFFSET([3]enemy_skill_sets!$B$2,0,0,COUNTA([3]enemy_skill_sets!$A:$A),MATCH(AC$1,[3]enemy_skill_sets!$1:$1,0)-MATCH($AB$1,[3]enemy_skill_sets!$1:$1,0)+1),MATCH(AC$1,[3]enemy_skill_sets!$1:$1,0)-MATCH($AB$1,[3]enemy_skill_sets!$1:$1,0)+1,FALSE)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7" s="67">
        <v>1</v>
      </c>
      <c r="AE1267" s="67">
        <v>1</v>
      </c>
      <c r="AF1267" s="37">
        <v>0</v>
      </c>
      <c r="AG1267" s="99">
        <f>ROUND(VLOOKUP(1,enemy_base_stats!$A:$F,2,FALSE) * Y1267* J1267*O1267*E1267*S1267*AD1267*[2]ステータス!$B$2,0)</f>
        <v>3058</v>
      </c>
      <c r="AH1267" s="99">
        <f>ROUND(VLOOKUP(1,enemy_base_stats!$A:$F,3,FALSE) * Z1267*K1267*P1267*F1267*T1267*AE1267 * W1267*[2]ステータス!$C$2,0)</f>
        <v>347</v>
      </c>
      <c r="AI1267" s="99">
        <f>ROUND(VLOOKUP(1,enemy_base_stats!$A:$F,4,FALSE) * AA1267*L1267*Q1267*G1267*U1267*AF1267*[2]ステータス!$D$2,0)</f>
        <v>0</v>
      </c>
      <c r="AJ1267" s="99">
        <f>ROUND(VLOOKUP(100,enemy_base_stats!$A:$F,2,FALSE) * Y1267* J1267*O1267*E1267*S1267*AD1267*[2]ステータス!$B$2,0)</f>
        <v>124139</v>
      </c>
      <c r="AK1267" s="99">
        <f>ROUND(VLOOKUP(100,enemy_base_stats!$A:$F,3,FALSE)* Z1267* K1267*P1267*F1267*T1267*AE1267 * W1267*[2]ステータス!$C$2,0)</f>
        <v>14102</v>
      </c>
      <c r="AL1267" s="99">
        <f>ROUND(VLOOKUP(100,enemy_base_stats!$A:$F,4,FALSE)* AA1267* L1267*Q1267*G1267*U1267*AF1267*[2]ステータス!$D$2,0)</f>
        <v>0</v>
      </c>
      <c r="AM1267" s="97">
        <f>VLOOKUP(M1267,[2]character_tribe_i18n!$A:$I,9,FALSE)</f>
        <v>680</v>
      </c>
      <c r="AN1267" s="36">
        <v>0</v>
      </c>
      <c r="AO1267" s="53">
        <v>0</v>
      </c>
      <c r="AP1267" s="58" t="s">
        <v>72</v>
      </c>
      <c r="AQ1267" s="71">
        <f t="shared" si="65"/>
        <v>1266</v>
      </c>
    </row>
    <row r="1268" spans="1:43" ht="21" customHeight="1" x14ac:dyDescent="0.15">
      <c r="A1268" s="7">
        <v>1267</v>
      </c>
      <c r="B1268" s="6" t="str">
        <f>VLOOKUP(A1268,[2]characters!$A:$C,3,FALSE)</f>
        <v>不遜の冥番犬 ガルム</v>
      </c>
      <c r="C1268" s="9">
        <f>VLOOKUP(A1268,[2]characters!$A:$I,9,FALSE)</f>
        <v>5</v>
      </c>
      <c r="D1268" s="9" t="str">
        <f>VLOOKUP(A1268,[2]characters!$A:$H,8,FALSE)</f>
        <v>yellow</v>
      </c>
      <c r="E1268" s="24">
        <f>VLOOKUP(D1268,[2]属性!$A:$E,2,FALSE)</f>
        <v>0.98</v>
      </c>
      <c r="F1268" s="24">
        <f>VLOOKUP(D1268,[2]属性!$A:$E,3,FALSE)</f>
        <v>1.01</v>
      </c>
      <c r="G1268" s="24">
        <f>VLOOKUP(D1268,[2]属性!$A:$F,4,FALSE)</f>
        <v>1</v>
      </c>
      <c r="H1268" s="100" t="s">
        <v>172</v>
      </c>
      <c r="I1268" s="14" t="str">
        <f>VLOOKUP(H1268,[2]character_type_i18n!$A:$F,3,FALSE)</f>
        <v>攻撃タイプ</v>
      </c>
      <c r="J1268" s="36">
        <f>VLOOKUP(H1268,[2]character_type_i18n!$A:$F,4,FALSE)</f>
        <v>1</v>
      </c>
      <c r="K1268" s="36">
        <f>VLOOKUP(H1268,[2]character_type_i18n!$A:$F,5,FALSE)</f>
        <v>1.33</v>
      </c>
      <c r="L1268" s="36">
        <f>VLOOKUP(H1268,[2]character_type_i18n!$A:$F,6,FALSE)</f>
        <v>1</v>
      </c>
      <c r="M1268" s="100" t="s">
        <v>173</v>
      </c>
      <c r="N1268" s="14" t="str">
        <f>VLOOKUP(M1268,[2]character_tribe_i18n!$A:$F,3,FALSE)</f>
        <v>ゴッド</v>
      </c>
      <c r="O1268" s="24">
        <f>VLOOKUP(M1268,[2]character_tribe_i18n!$A:$F,4,FALSE)</f>
        <v>0.96</v>
      </c>
      <c r="P1268" s="24">
        <f>VLOOKUP(M1268,[2]character_tribe_i18n!$A:$F,5,FALSE)</f>
        <v>1.02</v>
      </c>
      <c r="Q1268" s="24">
        <f>VLOOKUP(M1268,[2]character_tribe_i18n!$A:$F,6,FALSE)</f>
        <v>1</v>
      </c>
      <c r="R1268" s="25" t="s">
        <v>98</v>
      </c>
      <c r="S1268" s="24">
        <f>VLOOKUP($R1268,ラベル別係数!$A$1:$E$7,3,FALSE)</f>
        <v>5</v>
      </c>
      <c r="T1268" s="24">
        <f>VLOOKUP($R1268,ラベル別係数!$A$1:$E$7,4,FALSE)</f>
        <v>1.3</v>
      </c>
      <c r="U1268" s="24">
        <f>VLOOKUP($R1268,ラベル別係数!$A$1:$E$7,5,FALSE)</f>
        <v>0.8</v>
      </c>
      <c r="V1268" s="27">
        <v>3</v>
      </c>
      <c r="W1268" s="28">
        <f>VLOOKUP(V1268,ターン数別攻撃係数!$A$1:$B$1000,2,FALSE)</f>
        <v>1</v>
      </c>
      <c r="X1268" s="9">
        <f>VLOOKUP(C1268,サイズ別係数!A$2:B$9,2,FALSE)</f>
        <v>60</v>
      </c>
      <c r="Y1268" s="26">
        <f>VLOOKUP($X1268,サイズ別係数!$B:$E,2,FALSE)</f>
        <v>1.7</v>
      </c>
      <c r="Z1268" s="26">
        <f>VLOOKUP($X1268,サイズ別係数!$B:$E,3,FALSE)</f>
        <v>1.4</v>
      </c>
      <c r="AA1268" s="26">
        <f>VLOOKUP($X1268,サイズ別係数!$B:$E,4,FALSE)</f>
        <v>1</v>
      </c>
      <c r="AB1268" s="5">
        <v>0</v>
      </c>
      <c r="AC1268" s="34" t="str">
        <f ca="1">VLOOKUP($AB1268,OFFSET([3]enemy_skill_sets!$B$2,0,0,COUNTA([3]enemy_skill_sets!$A:$A),MATCH(AC$1,[3]enemy_skill_sets!$1:$1,0)-MATCH($AB$1,[3]enemy_skill_sets!$1:$1,0)+1),MATCH(AC$1,[3]enemy_skill_sets!$1:$1,0)-MATCH($AB$1,[3]enemy_skill_sets!$1:$1,0)+1,FALSE)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8" s="67">
        <v>1</v>
      </c>
      <c r="AE1268" s="67">
        <v>1</v>
      </c>
      <c r="AF1268" s="37">
        <v>0</v>
      </c>
      <c r="AG1268" s="99">
        <f>ROUND(VLOOKUP(1,enemy_base_stats!$A:$F,2,FALSE) * Y1268* J1268*O1268*E1268*S1268*AD1268*[2]ステータス!$B$2,0)</f>
        <v>3998</v>
      </c>
      <c r="AH1268" s="99">
        <f>ROUND(VLOOKUP(1,enemy_base_stats!$A:$F,3,FALSE) * Z1268*K1268*P1268*F1268*T1268*AE1268 * W1268*[2]ステータス!$C$2,0)</f>
        <v>374</v>
      </c>
      <c r="AI1268" s="99">
        <f>ROUND(VLOOKUP(1,enemy_base_stats!$A:$F,4,FALSE) * AA1268*L1268*Q1268*G1268*U1268*AF1268*[2]ステータス!$D$2,0)</f>
        <v>0</v>
      </c>
      <c r="AJ1268" s="99">
        <f>ROUND(VLOOKUP(100,enemy_base_stats!$A:$F,2,FALSE) * Y1268* J1268*O1268*E1268*S1268*AD1268*[2]ステータス!$B$2,0)</f>
        <v>162335</v>
      </c>
      <c r="AK1268" s="99">
        <f>ROUND(VLOOKUP(100,enemy_base_stats!$A:$F,3,FALSE)* Z1268* K1268*P1268*F1268*T1268*AE1268 * W1268*[2]ステータス!$C$2,0)</f>
        <v>15187</v>
      </c>
      <c r="AL1268" s="99">
        <f>ROUND(VLOOKUP(100,enemy_base_stats!$A:$F,4,FALSE)* AA1268* L1268*Q1268*G1268*U1268*AF1268*[2]ステータス!$D$2,0)</f>
        <v>0</v>
      </c>
      <c r="AM1268" s="97">
        <f>VLOOKUP(M1268,[2]character_tribe_i18n!$A:$I,9,FALSE)</f>
        <v>680</v>
      </c>
      <c r="AN1268" s="36">
        <v>0</v>
      </c>
      <c r="AO1268" s="53">
        <v>0</v>
      </c>
      <c r="AP1268" s="58" t="s">
        <v>72</v>
      </c>
      <c r="AQ1268" s="71">
        <f t="shared" si="65"/>
        <v>1267</v>
      </c>
    </row>
    <row r="1269" spans="1:43" ht="21" customHeight="1" x14ac:dyDescent="0.15">
      <c r="A1269" s="7">
        <v>1268</v>
      </c>
      <c r="B1269" s="6" t="str">
        <f>VLOOKUP(A1269,[2]characters!$A:$C,3,FALSE)</f>
        <v>ローズ</v>
      </c>
      <c r="C1269" s="9">
        <f>VLOOKUP(A1269,[2]characters!$A:$I,9,FALSE)</f>
        <v>5</v>
      </c>
      <c r="D1269" s="9" t="str">
        <f>VLOOKUP(A1269,[2]characters!$A:$H,8,FALSE)</f>
        <v>red</v>
      </c>
      <c r="E1269" s="24">
        <f>VLOOKUP(D1269,[2]属性!$A:$E,2,FALSE)</f>
        <v>1</v>
      </c>
      <c r="F1269" s="24">
        <f>VLOOKUP(D1269,[2]属性!$A:$E,3,FALSE)</f>
        <v>1.02</v>
      </c>
      <c r="G1269" s="24">
        <f>VLOOKUP(D1269,[2]属性!$A:$F,4,FALSE)</f>
        <v>1</v>
      </c>
      <c r="H1269" s="9" t="str">
        <f>VLOOKUP(A1269,[2]characters!$A:$K,11,FALSE)</f>
        <v>attack</v>
      </c>
      <c r="I1269" s="14" t="str">
        <f>VLOOKUP(H1269,[2]character_type_i18n!$A:$F,3,FALSE)</f>
        <v>攻撃タイプ</v>
      </c>
      <c r="J1269" s="36">
        <f>VLOOKUP(H1269,[2]character_type_i18n!$A:$F,4,FALSE)</f>
        <v>1</v>
      </c>
      <c r="K1269" s="36">
        <f>VLOOKUP(H1269,[2]character_type_i18n!$A:$F,5,FALSE)</f>
        <v>1.33</v>
      </c>
      <c r="L1269" s="36">
        <f>VLOOKUP(H1269,[2]character_type_i18n!$A:$F,6,FALSE)</f>
        <v>1</v>
      </c>
      <c r="M1269" s="9" t="str">
        <f>VLOOKUP(A1269,[2]characters!$A:$M,13,FALSE)</f>
        <v>queen</v>
      </c>
      <c r="N1269" s="14" t="str">
        <f>VLOOKUP(M1269,[2]character_tribe_i18n!$A:$F,3,FALSE)</f>
        <v>QUEEN</v>
      </c>
      <c r="O1269" s="24">
        <f>VLOOKUP(M1269,[2]character_tribe_i18n!$A:$F,4,FALSE)</f>
        <v>1</v>
      </c>
      <c r="P1269" s="24">
        <f>VLOOKUP(M1269,[2]character_tribe_i18n!$A:$F,5,FALSE)</f>
        <v>1</v>
      </c>
      <c r="Q1269" s="24">
        <f>VLOOKUP(M1269,[2]character_tribe_i18n!$A:$F,6,FALSE)</f>
        <v>1</v>
      </c>
      <c r="R1269" s="25" t="s">
        <v>98</v>
      </c>
      <c r="S1269" s="24">
        <f>VLOOKUP($R1269,ラベル別係数!$A$1:$E$7,3,FALSE)</f>
        <v>5</v>
      </c>
      <c r="T1269" s="24">
        <f>VLOOKUP($R1269,ラベル別係数!$A$1:$E$7,4,FALSE)</f>
        <v>1.3</v>
      </c>
      <c r="U1269" s="24">
        <f>VLOOKUP($R1269,ラベル別係数!$A$1:$E$7,5,FALSE)</f>
        <v>0.8</v>
      </c>
      <c r="V1269" s="27">
        <v>3</v>
      </c>
      <c r="W1269" s="28">
        <f>VLOOKUP(V1269,ターン数別攻撃係数!$A$1:$B$1000,2,FALSE)</f>
        <v>1</v>
      </c>
      <c r="X1269" s="9">
        <f>VLOOKUP(C1269,サイズ別係数!A$2:B$9,2,FALSE)</f>
        <v>60</v>
      </c>
      <c r="Y1269" s="26">
        <f>VLOOKUP($X1269,サイズ別係数!$B:$E,2,FALSE)</f>
        <v>1.7</v>
      </c>
      <c r="Z1269" s="26">
        <f>VLOOKUP($X1269,サイズ別係数!$B:$E,3,FALSE)</f>
        <v>1.4</v>
      </c>
      <c r="AA1269" s="26">
        <f>VLOOKUP($X1269,サイズ別係数!$B:$E,4,FALSE)</f>
        <v>1</v>
      </c>
      <c r="AB1269" s="5">
        <v>0</v>
      </c>
      <c r="AC1269" s="34" t="str">
        <f ca="1">VLOOKUP($AB1269,OFFSET([3]enemy_skill_sets!$B$2,0,0,COUNTA([3]enemy_skill_sets!$A:$A),MATCH(AC$1,[3]enemy_skill_sets!$1:$1,0)-MATCH($AB$1,[3]enemy_skill_sets!$1:$1,0)+1),MATCH(AC$1,[3]enemy_skill_sets!$1:$1,0)-MATCH($AB$1,[3]enemy_skill_sets!$1:$1,0)+1,FALSE)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69" s="67">
        <v>1</v>
      </c>
      <c r="AE1269" s="67">
        <v>1</v>
      </c>
      <c r="AF1269" s="37">
        <v>0</v>
      </c>
      <c r="AG1269" s="99">
        <f>ROUND(VLOOKUP(1,enemy_base_stats!$A:$F,2,FALSE) * Y1269* J1269*O1269*E1269*S1269*AD1269*[2]ステータス!$B$2,0)</f>
        <v>4250</v>
      </c>
      <c r="AH1269" s="99">
        <f>ROUND(VLOOKUP(1,enemy_base_stats!$A:$F,3,FALSE) * Z1269*K1269*P1269*F1269*T1269*AE1269 * W1269*[2]ステータス!$C$2,0)</f>
        <v>370</v>
      </c>
      <c r="AI1269" s="99">
        <f>ROUND(VLOOKUP(1,enemy_base_stats!$A:$F,4,FALSE) * AA1269*L1269*Q1269*G1269*U1269*AF1269*[2]ステータス!$D$2,0)</f>
        <v>0</v>
      </c>
      <c r="AJ1269" s="99">
        <f>ROUND(VLOOKUP(100,enemy_base_stats!$A:$F,2,FALSE) * Y1269* J1269*O1269*E1269*S1269*AD1269*[2]ステータス!$B$2,0)</f>
        <v>172550</v>
      </c>
      <c r="AK1269" s="99">
        <f>ROUND(VLOOKUP(100,enemy_base_stats!$A:$F,3,FALSE)* Z1269* K1269*P1269*F1269*T1269*AE1269 * W1269*[2]ステータス!$C$2,0)</f>
        <v>15036</v>
      </c>
      <c r="AL1269" s="99">
        <f>ROUND(VLOOKUP(100,enemy_base_stats!$A:$F,4,FALSE)* AA1269* L1269*Q1269*G1269*U1269*AF1269*[2]ステータス!$D$2,0)</f>
        <v>0</v>
      </c>
      <c r="AM1269" s="97">
        <f>VLOOKUP(M1269,[2]character_tribe_i18n!$A:$I,9,FALSE)</f>
        <v>400</v>
      </c>
      <c r="AN1269" s="36">
        <v>0</v>
      </c>
      <c r="AO1269" s="53">
        <v>0</v>
      </c>
      <c r="AP1269" s="58" t="s">
        <v>72</v>
      </c>
      <c r="AQ1269" s="71">
        <f t="shared" si="65"/>
        <v>1268</v>
      </c>
    </row>
    <row r="1270" spans="1:43" ht="21" customHeight="1" x14ac:dyDescent="0.15">
      <c r="A1270" s="7">
        <v>1269</v>
      </c>
      <c r="B1270" s="6" t="str">
        <f>VLOOKUP(A1270,[2]characters!$A:$C,3,FALSE)</f>
        <v>エルフラムの女王 ローズ</v>
      </c>
      <c r="C1270" s="9">
        <f>VLOOKUP(A1270,[2]characters!$A:$I,9,FALSE)</f>
        <v>6</v>
      </c>
      <c r="D1270" s="9" t="str">
        <f>VLOOKUP(A1270,[2]characters!$A:$H,8,FALSE)</f>
        <v>red</v>
      </c>
      <c r="E1270" s="24">
        <f>VLOOKUP(D1270,[2]属性!$A:$E,2,FALSE)</f>
        <v>1</v>
      </c>
      <c r="F1270" s="24">
        <f>VLOOKUP(D1270,[2]属性!$A:$E,3,FALSE)</f>
        <v>1.02</v>
      </c>
      <c r="G1270" s="24">
        <f>VLOOKUP(D1270,[2]属性!$A:$F,4,FALSE)</f>
        <v>1</v>
      </c>
      <c r="H1270" s="9" t="str">
        <f>VLOOKUP(A1270,[2]characters!$A:$K,11,FALSE)</f>
        <v>attack</v>
      </c>
      <c r="I1270" s="14" t="str">
        <f>VLOOKUP(H1270,[2]character_type_i18n!$A:$F,3,FALSE)</f>
        <v>攻撃タイプ</v>
      </c>
      <c r="J1270" s="36">
        <f>VLOOKUP(H1270,[2]character_type_i18n!$A:$F,4,FALSE)</f>
        <v>1</v>
      </c>
      <c r="K1270" s="36">
        <f>VLOOKUP(H1270,[2]character_type_i18n!$A:$F,5,FALSE)</f>
        <v>1.33</v>
      </c>
      <c r="L1270" s="36">
        <f>VLOOKUP(H1270,[2]character_type_i18n!$A:$F,6,FALSE)</f>
        <v>1</v>
      </c>
      <c r="M1270" s="9" t="str">
        <f>VLOOKUP(A1270,[2]characters!$A:$M,13,FALSE)</f>
        <v>queen</v>
      </c>
      <c r="N1270" s="14" t="str">
        <f>VLOOKUP(M1270,[2]character_tribe_i18n!$A:$F,3,FALSE)</f>
        <v>QUEEN</v>
      </c>
      <c r="O1270" s="24">
        <f>VLOOKUP(M1270,[2]character_tribe_i18n!$A:$F,4,FALSE)</f>
        <v>1</v>
      </c>
      <c r="P1270" s="24">
        <f>VLOOKUP(M1270,[2]character_tribe_i18n!$A:$F,5,FALSE)</f>
        <v>1</v>
      </c>
      <c r="Q1270" s="24">
        <f>VLOOKUP(M1270,[2]character_tribe_i18n!$A:$F,6,FALSE)</f>
        <v>1</v>
      </c>
      <c r="R1270" s="25" t="s">
        <v>98</v>
      </c>
      <c r="S1270" s="24">
        <f>VLOOKUP($R1270,ラベル別係数!$A$1:$E$7,3,FALSE)</f>
        <v>5</v>
      </c>
      <c r="T1270" s="24">
        <f>VLOOKUP($R1270,ラベル別係数!$A$1:$E$7,4,FALSE)</f>
        <v>1.3</v>
      </c>
      <c r="U1270" s="24">
        <f>VLOOKUP($R1270,ラベル別係数!$A$1:$E$7,5,FALSE)</f>
        <v>0.8</v>
      </c>
      <c r="V1270" s="27">
        <v>3</v>
      </c>
      <c r="W1270" s="28">
        <f>VLOOKUP(V1270,ターン数別攻撃係数!$A$1:$B$1000,2,FALSE)</f>
        <v>1</v>
      </c>
      <c r="X1270" s="9">
        <f>VLOOKUP(C1270,サイズ別係数!A$2:B$9,2,FALSE)</f>
        <v>60</v>
      </c>
      <c r="Y1270" s="26">
        <f>VLOOKUP($X1270,サイズ別係数!$B:$E,2,FALSE)</f>
        <v>1.7</v>
      </c>
      <c r="Z1270" s="26">
        <f>VLOOKUP($X1270,サイズ別係数!$B:$E,3,FALSE)</f>
        <v>1.4</v>
      </c>
      <c r="AA1270" s="26">
        <f>VLOOKUP($X1270,サイズ別係数!$B:$E,4,FALSE)</f>
        <v>1</v>
      </c>
      <c r="AB1270" s="5">
        <v>0</v>
      </c>
      <c r="AC1270" s="34" t="str">
        <f ca="1">VLOOKUP($AB1270,OFFSET([3]enemy_skill_sets!$B$2,0,0,COUNTA([3]enemy_skill_sets!$A:$A),MATCH(AC$1,[3]enemy_skill_sets!$1:$1,0)-MATCH($AB$1,[3]enemy_skill_sets!$1:$1,0)+1),MATCH(AC$1,[3]enemy_skill_sets!$1:$1,0)-MATCH($AB$1,[3]enemy_skill_sets!$1:$1,0)+1,FALSE)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0" s="67">
        <v>1</v>
      </c>
      <c r="AE1270" s="67">
        <v>1</v>
      </c>
      <c r="AF1270" s="37">
        <v>0</v>
      </c>
      <c r="AG1270" s="99">
        <f>ROUND(VLOOKUP(1,enemy_base_stats!$A:$F,2,FALSE) * Y1270* J1270*O1270*E1270*S1270*AD1270*[2]ステータス!$B$2,0)</f>
        <v>4250</v>
      </c>
      <c r="AH1270" s="99">
        <f>ROUND(VLOOKUP(1,enemy_base_stats!$A:$F,3,FALSE) * Z1270*K1270*P1270*F1270*T1270*AE1270 * W1270*[2]ステータス!$C$2,0)</f>
        <v>370</v>
      </c>
      <c r="AI1270" s="99">
        <f>ROUND(VLOOKUP(1,enemy_base_stats!$A:$F,4,FALSE) * AA1270*L1270*Q1270*G1270*U1270*AF1270*[2]ステータス!$D$2,0)</f>
        <v>0</v>
      </c>
      <c r="AJ1270" s="99">
        <f>ROUND(VLOOKUP(100,enemy_base_stats!$A:$F,2,FALSE) * Y1270* J1270*O1270*E1270*S1270*AD1270*[2]ステータス!$B$2,0)</f>
        <v>172550</v>
      </c>
      <c r="AK1270" s="99">
        <f>ROUND(VLOOKUP(100,enemy_base_stats!$A:$F,3,FALSE)* Z1270* K1270*P1270*F1270*T1270*AE1270 * W1270*[2]ステータス!$C$2,0)</f>
        <v>15036</v>
      </c>
      <c r="AL1270" s="99">
        <f>ROUND(VLOOKUP(100,enemy_base_stats!$A:$F,4,FALSE)* AA1270* L1270*Q1270*G1270*U1270*AF1270*[2]ステータス!$D$2,0)</f>
        <v>0</v>
      </c>
      <c r="AM1270" s="97">
        <f>VLOOKUP(M1270,[2]character_tribe_i18n!$A:$I,9,FALSE)</f>
        <v>400</v>
      </c>
      <c r="AN1270" s="36">
        <v>0</v>
      </c>
      <c r="AO1270" s="53">
        <v>0</v>
      </c>
      <c r="AP1270" s="58" t="s">
        <v>72</v>
      </c>
      <c r="AQ1270" s="71">
        <f t="shared" si="65"/>
        <v>1269</v>
      </c>
    </row>
    <row r="1271" spans="1:43" ht="21" customHeight="1" x14ac:dyDescent="0.15">
      <c r="A1271" s="7">
        <v>1270</v>
      </c>
      <c r="B1271" s="6" t="str">
        <f>VLOOKUP(A1271,[2]characters!$A:$C,3,FALSE)</f>
        <v>コードレッド超覚醒</v>
      </c>
      <c r="C1271" s="9">
        <f>VLOOKUP(A1271,[2]characters!$A:$I,9,FALSE)</f>
        <v>6</v>
      </c>
      <c r="D1271" s="9" t="str">
        <f>VLOOKUP(A1271,[2]characters!$A:$H,8,FALSE)</f>
        <v>red</v>
      </c>
      <c r="E1271" s="24">
        <f>VLOOKUP(D1271,[2]属性!$A:$E,2,FALSE)</f>
        <v>1</v>
      </c>
      <c r="F1271" s="24">
        <f>VLOOKUP(D1271,[2]属性!$A:$E,3,FALSE)</f>
        <v>1.02</v>
      </c>
      <c r="G1271" s="24">
        <f>VLOOKUP(D1271,[2]属性!$A:$F,4,FALSE)</f>
        <v>1</v>
      </c>
      <c r="H1271" s="9" t="str">
        <f>VLOOKUP(A1271,[2]characters!$A:$K,11,FALSE)</f>
        <v>attack</v>
      </c>
      <c r="I1271" s="14" t="str">
        <f>VLOOKUP(H1271,[2]character_type_i18n!$A:$F,3,FALSE)</f>
        <v>攻撃タイプ</v>
      </c>
      <c r="J1271" s="36">
        <f>VLOOKUP(H1271,[2]character_type_i18n!$A:$F,4,FALSE)</f>
        <v>1</v>
      </c>
      <c r="K1271" s="36">
        <f>VLOOKUP(H1271,[2]character_type_i18n!$A:$F,5,FALSE)</f>
        <v>1.33</v>
      </c>
      <c r="L1271" s="36">
        <f>VLOOKUP(H1271,[2]character_type_i18n!$A:$F,6,FALSE)</f>
        <v>1</v>
      </c>
      <c r="M1271" s="9" t="str">
        <f>VLOOKUP(A1271,[2]characters!$A:$M,13,FALSE)</f>
        <v>queen</v>
      </c>
      <c r="N1271" s="14" t="str">
        <f>VLOOKUP(M1271,[2]character_tribe_i18n!$A:$F,3,FALSE)</f>
        <v>QUEEN</v>
      </c>
      <c r="O1271" s="24">
        <f>VLOOKUP(M1271,[2]character_tribe_i18n!$A:$F,4,FALSE)</f>
        <v>1</v>
      </c>
      <c r="P1271" s="24">
        <f>VLOOKUP(M1271,[2]character_tribe_i18n!$A:$F,5,FALSE)</f>
        <v>1</v>
      </c>
      <c r="Q1271" s="24">
        <f>VLOOKUP(M1271,[2]character_tribe_i18n!$A:$F,6,FALSE)</f>
        <v>1</v>
      </c>
      <c r="R1271" s="25" t="s">
        <v>98</v>
      </c>
      <c r="S1271" s="24">
        <f>VLOOKUP($R1271,ラベル別係数!$A$1:$E$7,3,FALSE)</f>
        <v>5</v>
      </c>
      <c r="T1271" s="24">
        <f>VLOOKUP($R1271,ラベル別係数!$A$1:$E$7,4,FALSE)</f>
        <v>1.3</v>
      </c>
      <c r="U1271" s="24">
        <f>VLOOKUP($R1271,ラベル別係数!$A$1:$E$7,5,FALSE)</f>
        <v>0.8</v>
      </c>
      <c r="V1271" s="27">
        <v>3</v>
      </c>
      <c r="W1271" s="28">
        <f>VLOOKUP(V1271,ターン数別攻撃係数!$A$1:$B$1000,2,FALSE)</f>
        <v>1</v>
      </c>
      <c r="X1271" s="9">
        <f>VLOOKUP(C1271,サイズ別係数!A$2:B$9,2,FALSE)</f>
        <v>60</v>
      </c>
      <c r="Y1271" s="26">
        <f>VLOOKUP($X1271,サイズ別係数!$B:$E,2,FALSE)</f>
        <v>1.7</v>
      </c>
      <c r="Z1271" s="26">
        <f>VLOOKUP($X1271,サイズ別係数!$B:$E,3,FALSE)</f>
        <v>1.4</v>
      </c>
      <c r="AA1271" s="26">
        <f>VLOOKUP($X1271,サイズ別係数!$B:$E,4,FALSE)</f>
        <v>1</v>
      </c>
      <c r="AB1271" s="5">
        <v>0</v>
      </c>
      <c r="AC1271" s="34" t="str">
        <f ca="1">VLOOKUP($AB1271,OFFSET([3]enemy_skill_sets!$B$2,0,0,COUNTA([3]enemy_skill_sets!$A:$A),MATCH(AC$1,[3]enemy_skill_sets!$1:$1,0)-MATCH($AB$1,[3]enemy_skill_sets!$1:$1,0)+1),MATCH(AC$1,[3]enemy_skill_sets!$1:$1,0)-MATCH($AB$1,[3]enemy_skill_sets!$1:$1,0)+1,FALSE)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1" s="67">
        <v>1</v>
      </c>
      <c r="AE1271" s="67">
        <v>1</v>
      </c>
      <c r="AF1271" s="37">
        <v>0</v>
      </c>
      <c r="AG1271" s="99">
        <f>ROUND(VLOOKUP(1,enemy_base_stats!$A:$F,2,FALSE) * Y1271* J1271*O1271*E1271*S1271*AD1271*[2]ステータス!$B$2,0)</f>
        <v>4250</v>
      </c>
      <c r="AH1271" s="99">
        <f>ROUND(VLOOKUP(1,enemy_base_stats!$A:$F,3,FALSE) * Z1271*K1271*P1271*F1271*T1271*AE1271 * W1271*[2]ステータス!$C$2,0)</f>
        <v>370</v>
      </c>
      <c r="AI1271" s="99">
        <f>ROUND(VLOOKUP(1,enemy_base_stats!$A:$F,4,FALSE) * AA1271*L1271*Q1271*G1271*U1271*AF1271*[2]ステータス!$D$2,0)</f>
        <v>0</v>
      </c>
      <c r="AJ1271" s="99">
        <f>ROUND(VLOOKUP(100,enemy_base_stats!$A:$F,2,FALSE) * Y1271* J1271*O1271*E1271*S1271*AD1271*[2]ステータス!$B$2,0)</f>
        <v>172550</v>
      </c>
      <c r="AK1271" s="99">
        <f>ROUND(VLOOKUP(100,enemy_base_stats!$A:$F,3,FALSE)* Z1271* K1271*P1271*F1271*T1271*AE1271 * W1271*[2]ステータス!$C$2,0)</f>
        <v>15036</v>
      </c>
      <c r="AL1271" s="99">
        <f>ROUND(VLOOKUP(100,enemy_base_stats!$A:$F,4,FALSE)* AA1271* L1271*Q1271*G1271*U1271*AF1271*[2]ステータス!$D$2,0)</f>
        <v>0</v>
      </c>
      <c r="AM1271" s="97">
        <f>VLOOKUP(M1271,[2]character_tribe_i18n!$A:$I,9,FALSE)</f>
        <v>400</v>
      </c>
      <c r="AN1271" s="36">
        <v>0</v>
      </c>
      <c r="AO1271" s="53">
        <v>0</v>
      </c>
      <c r="AP1271" s="58" t="s">
        <v>72</v>
      </c>
      <c r="AQ1271" s="71">
        <f t="shared" si="65"/>
        <v>1270</v>
      </c>
    </row>
    <row r="1272" spans="1:43" ht="21" customHeight="1" x14ac:dyDescent="0.15">
      <c r="A1272" s="7">
        <v>1271</v>
      </c>
      <c r="B1272" s="6" t="str">
        <f>VLOOKUP(A1272,[2]characters!$A:$C,3,FALSE)</f>
        <v>ローズ(旧)</v>
      </c>
      <c r="C1272" s="9">
        <f>VLOOKUP(A1272,[2]characters!$A:$I,9,FALSE)</f>
        <v>5</v>
      </c>
      <c r="D1272" s="9" t="str">
        <f>VLOOKUP(A1272,[2]characters!$A:$H,8,FALSE)</f>
        <v>red</v>
      </c>
      <c r="E1272" s="24">
        <f>VLOOKUP(D1272,[2]属性!$A:$E,2,FALSE)</f>
        <v>1</v>
      </c>
      <c r="F1272" s="24">
        <f>VLOOKUP(D1272,[2]属性!$A:$E,3,FALSE)</f>
        <v>1.02</v>
      </c>
      <c r="G1272" s="24">
        <f>VLOOKUP(D1272,[2]属性!$A:$F,4,FALSE)</f>
        <v>1</v>
      </c>
      <c r="H1272" s="9" t="str">
        <f>VLOOKUP(A1272,[2]characters!$A:$K,11,FALSE)</f>
        <v>attack</v>
      </c>
      <c r="I1272" s="14" t="str">
        <f>VLOOKUP(H1272,[2]character_type_i18n!$A:$F,3,FALSE)</f>
        <v>攻撃タイプ</v>
      </c>
      <c r="J1272" s="36">
        <f>VLOOKUP(H1272,[2]character_type_i18n!$A:$F,4,FALSE)</f>
        <v>1</v>
      </c>
      <c r="K1272" s="36">
        <f>VLOOKUP(H1272,[2]character_type_i18n!$A:$F,5,FALSE)</f>
        <v>1.33</v>
      </c>
      <c r="L1272" s="36">
        <f>VLOOKUP(H1272,[2]character_type_i18n!$A:$F,6,FALSE)</f>
        <v>1</v>
      </c>
      <c r="M1272" s="9" t="str">
        <f>VLOOKUP(A1272,[2]characters!$A:$M,13,FALSE)</f>
        <v>queen</v>
      </c>
      <c r="N1272" s="14" t="str">
        <f>VLOOKUP(M1272,[2]character_tribe_i18n!$A:$F,3,FALSE)</f>
        <v>QUEEN</v>
      </c>
      <c r="O1272" s="24">
        <f>VLOOKUP(M1272,[2]character_tribe_i18n!$A:$F,4,FALSE)</f>
        <v>1</v>
      </c>
      <c r="P1272" s="24">
        <f>VLOOKUP(M1272,[2]character_tribe_i18n!$A:$F,5,FALSE)</f>
        <v>1</v>
      </c>
      <c r="Q1272" s="24">
        <f>VLOOKUP(M1272,[2]character_tribe_i18n!$A:$F,6,FALSE)</f>
        <v>1</v>
      </c>
      <c r="R1272" s="25" t="s">
        <v>98</v>
      </c>
      <c r="S1272" s="24">
        <f>VLOOKUP($R1272,ラベル別係数!$A$1:$E$7,3,FALSE)</f>
        <v>5</v>
      </c>
      <c r="T1272" s="24">
        <f>VLOOKUP($R1272,ラベル別係数!$A$1:$E$7,4,FALSE)</f>
        <v>1.3</v>
      </c>
      <c r="U1272" s="24">
        <f>VLOOKUP($R1272,ラベル別係数!$A$1:$E$7,5,FALSE)</f>
        <v>0.8</v>
      </c>
      <c r="V1272" s="27">
        <v>3</v>
      </c>
      <c r="W1272" s="28">
        <f>VLOOKUP(V1272,ターン数別攻撃係数!$A$1:$B$1000,2,FALSE)</f>
        <v>1</v>
      </c>
      <c r="X1272" s="9">
        <f>VLOOKUP(C1272,サイズ別係数!A$2:B$9,2,FALSE)</f>
        <v>60</v>
      </c>
      <c r="Y1272" s="26">
        <f>VLOOKUP($X1272,サイズ別係数!$B:$E,2,FALSE)</f>
        <v>1.7</v>
      </c>
      <c r="Z1272" s="26">
        <f>VLOOKUP($X1272,サイズ別係数!$B:$E,3,FALSE)</f>
        <v>1.4</v>
      </c>
      <c r="AA1272" s="26">
        <f>VLOOKUP($X1272,サイズ別係数!$B:$E,4,FALSE)</f>
        <v>1</v>
      </c>
      <c r="AB1272" s="5">
        <v>0</v>
      </c>
      <c r="AC1272" s="34" t="str">
        <f ca="1">VLOOKUP($AB1272,OFFSET([3]enemy_skill_sets!$B$2,0,0,COUNTA([3]enemy_skill_sets!$A:$A),MATCH(AC$1,[3]enemy_skill_sets!$1:$1,0)-MATCH($AB$1,[3]enemy_skill_sets!$1:$1,0)+1),MATCH(AC$1,[3]enemy_skill_sets!$1:$1,0)-MATCH($AB$1,[3]enemy_skill_sets!$1:$1,0)+1,FALSE)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2" s="67">
        <v>1</v>
      </c>
      <c r="AE1272" s="67">
        <v>1</v>
      </c>
      <c r="AF1272" s="37">
        <v>0</v>
      </c>
      <c r="AG1272" s="99">
        <f>ROUND(VLOOKUP(1,enemy_base_stats!$A:$F,2,FALSE) * Y1272* J1272*O1272*E1272*S1272*AD1272*[2]ステータス!$B$2,0)</f>
        <v>4250</v>
      </c>
      <c r="AH1272" s="99">
        <f>ROUND(VLOOKUP(1,enemy_base_stats!$A:$F,3,FALSE) * Z1272*K1272*P1272*F1272*T1272*AE1272 * W1272*[2]ステータス!$C$2,0)</f>
        <v>370</v>
      </c>
      <c r="AI1272" s="99">
        <f>ROUND(VLOOKUP(1,enemy_base_stats!$A:$F,4,FALSE) * AA1272*L1272*Q1272*G1272*U1272*AF1272*[2]ステータス!$D$2,0)</f>
        <v>0</v>
      </c>
      <c r="AJ1272" s="99">
        <f>ROUND(VLOOKUP(100,enemy_base_stats!$A:$F,2,FALSE) * Y1272* J1272*O1272*E1272*S1272*AD1272*[2]ステータス!$B$2,0)</f>
        <v>172550</v>
      </c>
      <c r="AK1272" s="99">
        <f>ROUND(VLOOKUP(100,enemy_base_stats!$A:$F,3,FALSE)* Z1272* K1272*P1272*F1272*T1272*AE1272 * W1272*[2]ステータス!$C$2,0)</f>
        <v>15036</v>
      </c>
      <c r="AL1272" s="99">
        <f>ROUND(VLOOKUP(100,enemy_base_stats!$A:$F,4,FALSE)* AA1272* L1272*Q1272*G1272*U1272*AF1272*[2]ステータス!$D$2,0)</f>
        <v>0</v>
      </c>
      <c r="AM1272" s="97">
        <f>VLOOKUP(M1272,[2]character_tribe_i18n!$A:$I,9,FALSE)</f>
        <v>400</v>
      </c>
      <c r="AN1272" s="36">
        <v>0</v>
      </c>
      <c r="AO1272" s="53">
        <v>0</v>
      </c>
      <c r="AP1272" s="58" t="s">
        <v>72</v>
      </c>
      <c r="AQ1272" s="71">
        <f t="shared" si="65"/>
        <v>1271</v>
      </c>
    </row>
    <row r="1273" spans="1:43" ht="21" customHeight="1" x14ac:dyDescent="0.15">
      <c r="A1273" s="7">
        <v>1272</v>
      </c>
      <c r="B1273" s="6" t="str">
        <f>VLOOKUP(A1273,[2]characters!$A:$C,3,FALSE)</f>
        <v>エルフラムの女王 ローズ(旧)</v>
      </c>
      <c r="C1273" s="9">
        <f>VLOOKUP(A1273,[2]characters!$A:$I,9,FALSE)</f>
        <v>6</v>
      </c>
      <c r="D1273" s="9" t="str">
        <f>VLOOKUP(A1273,[2]characters!$A:$H,8,FALSE)</f>
        <v>red</v>
      </c>
      <c r="E1273" s="24">
        <f>VLOOKUP(D1273,[2]属性!$A:$E,2,FALSE)</f>
        <v>1</v>
      </c>
      <c r="F1273" s="24">
        <f>VLOOKUP(D1273,[2]属性!$A:$E,3,FALSE)</f>
        <v>1.02</v>
      </c>
      <c r="G1273" s="24">
        <f>VLOOKUP(D1273,[2]属性!$A:$F,4,FALSE)</f>
        <v>1</v>
      </c>
      <c r="H1273" s="9" t="str">
        <f>VLOOKUP(A1273,[2]characters!$A:$K,11,FALSE)</f>
        <v>attack</v>
      </c>
      <c r="I1273" s="14" t="str">
        <f>VLOOKUP(H1273,[2]character_type_i18n!$A:$F,3,FALSE)</f>
        <v>攻撃タイプ</v>
      </c>
      <c r="J1273" s="36">
        <f>VLOOKUP(H1273,[2]character_type_i18n!$A:$F,4,FALSE)</f>
        <v>1</v>
      </c>
      <c r="K1273" s="36">
        <f>VLOOKUP(H1273,[2]character_type_i18n!$A:$F,5,FALSE)</f>
        <v>1.33</v>
      </c>
      <c r="L1273" s="36">
        <f>VLOOKUP(H1273,[2]character_type_i18n!$A:$F,6,FALSE)</f>
        <v>1</v>
      </c>
      <c r="M1273" s="9" t="str">
        <f>VLOOKUP(A1273,[2]characters!$A:$M,13,FALSE)</f>
        <v>queen</v>
      </c>
      <c r="N1273" s="14" t="str">
        <f>VLOOKUP(M1273,[2]character_tribe_i18n!$A:$F,3,FALSE)</f>
        <v>QUEEN</v>
      </c>
      <c r="O1273" s="24">
        <f>VLOOKUP(M1273,[2]character_tribe_i18n!$A:$F,4,FALSE)</f>
        <v>1</v>
      </c>
      <c r="P1273" s="24">
        <f>VLOOKUP(M1273,[2]character_tribe_i18n!$A:$F,5,FALSE)</f>
        <v>1</v>
      </c>
      <c r="Q1273" s="24">
        <f>VLOOKUP(M1273,[2]character_tribe_i18n!$A:$F,6,FALSE)</f>
        <v>1</v>
      </c>
      <c r="R1273" s="25" t="s">
        <v>98</v>
      </c>
      <c r="S1273" s="24">
        <f>VLOOKUP($R1273,ラベル別係数!$A$1:$E$7,3,FALSE)</f>
        <v>5</v>
      </c>
      <c r="T1273" s="24">
        <f>VLOOKUP($R1273,ラベル別係数!$A$1:$E$7,4,FALSE)</f>
        <v>1.3</v>
      </c>
      <c r="U1273" s="24">
        <f>VLOOKUP($R1273,ラベル別係数!$A$1:$E$7,5,FALSE)</f>
        <v>0.8</v>
      </c>
      <c r="V1273" s="27">
        <v>3</v>
      </c>
      <c r="W1273" s="28">
        <f>VLOOKUP(V1273,ターン数別攻撃係数!$A$1:$B$1000,2,FALSE)</f>
        <v>1</v>
      </c>
      <c r="X1273" s="9">
        <f>VLOOKUP(C1273,サイズ別係数!A$2:B$9,2,FALSE)</f>
        <v>60</v>
      </c>
      <c r="Y1273" s="26">
        <f>VLOOKUP($X1273,サイズ別係数!$B:$E,2,FALSE)</f>
        <v>1.7</v>
      </c>
      <c r="Z1273" s="26">
        <f>VLOOKUP($X1273,サイズ別係数!$B:$E,3,FALSE)</f>
        <v>1.4</v>
      </c>
      <c r="AA1273" s="26">
        <f>VLOOKUP($X1273,サイズ別係数!$B:$E,4,FALSE)</f>
        <v>1</v>
      </c>
      <c r="AB1273" s="5">
        <v>0</v>
      </c>
      <c r="AC1273" s="34" t="str">
        <f ca="1">VLOOKUP($AB1273,OFFSET([3]enemy_skill_sets!$B$2,0,0,COUNTA([3]enemy_skill_sets!$A:$A),MATCH(AC$1,[3]enemy_skill_sets!$1:$1,0)-MATCH($AB$1,[3]enemy_skill_sets!$1:$1,0)+1),MATCH(AC$1,[3]enemy_skill_sets!$1:$1,0)-MATCH($AB$1,[3]enemy_skill_sets!$1:$1,0)+1,FALSE)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3" s="67">
        <v>1</v>
      </c>
      <c r="AE1273" s="67">
        <v>1</v>
      </c>
      <c r="AF1273" s="37">
        <v>0</v>
      </c>
      <c r="AG1273" s="99">
        <f>ROUND(VLOOKUP(1,enemy_base_stats!$A:$F,2,FALSE) * Y1273* J1273*O1273*E1273*S1273*AD1273*[2]ステータス!$B$2,0)</f>
        <v>4250</v>
      </c>
      <c r="AH1273" s="99">
        <f>ROUND(VLOOKUP(1,enemy_base_stats!$A:$F,3,FALSE) * Z1273*K1273*P1273*F1273*T1273*AE1273 * W1273*[2]ステータス!$C$2,0)</f>
        <v>370</v>
      </c>
      <c r="AI1273" s="99">
        <f>ROUND(VLOOKUP(1,enemy_base_stats!$A:$F,4,FALSE) * AA1273*L1273*Q1273*G1273*U1273*AF1273*[2]ステータス!$D$2,0)</f>
        <v>0</v>
      </c>
      <c r="AJ1273" s="99">
        <f>ROUND(VLOOKUP(100,enemy_base_stats!$A:$F,2,FALSE) * Y1273* J1273*O1273*E1273*S1273*AD1273*[2]ステータス!$B$2,0)</f>
        <v>172550</v>
      </c>
      <c r="AK1273" s="99">
        <f>ROUND(VLOOKUP(100,enemy_base_stats!$A:$F,3,FALSE)* Z1273* K1273*P1273*F1273*T1273*AE1273 * W1273*[2]ステータス!$C$2,0)</f>
        <v>15036</v>
      </c>
      <c r="AL1273" s="99">
        <f>ROUND(VLOOKUP(100,enemy_base_stats!$A:$F,4,FALSE)* AA1273* L1273*Q1273*G1273*U1273*AF1273*[2]ステータス!$D$2,0)</f>
        <v>0</v>
      </c>
      <c r="AM1273" s="97">
        <f>VLOOKUP(M1273,[2]character_tribe_i18n!$A:$I,9,FALSE)</f>
        <v>400</v>
      </c>
      <c r="AN1273" s="36">
        <v>0</v>
      </c>
      <c r="AO1273" s="53">
        <v>0</v>
      </c>
      <c r="AP1273" s="58" t="s">
        <v>72</v>
      </c>
      <c r="AQ1273" s="71">
        <f t="shared" si="65"/>
        <v>1272</v>
      </c>
    </row>
    <row r="1274" spans="1:43" ht="21" customHeight="1" x14ac:dyDescent="0.15">
      <c r="A1274" s="7">
        <v>1273</v>
      </c>
      <c r="B1274" s="6" t="str">
        <f>VLOOKUP(A1274,[2]characters!$A:$C,3,FALSE)</f>
        <v>炎影纏う征討者 織田信長</v>
      </c>
      <c r="C1274" s="9">
        <f>VLOOKUP(A1274,[2]characters!$A:$I,9,FALSE)</f>
        <v>6</v>
      </c>
      <c r="D1274" s="9" t="str">
        <f>VLOOKUP(A1274,[2]characters!$A:$H,8,FALSE)</f>
        <v>red</v>
      </c>
      <c r="E1274" s="24">
        <f>VLOOKUP(D1274,[2]属性!$A:$E,2,FALSE)</f>
        <v>1</v>
      </c>
      <c r="F1274" s="24">
        <f>VLOOKUP(D1274,[2]属性!$A:$E,3,FALSE)</f>
        <v>1.02</v>
      </c>
      <c r="G1274" s="24">
        <f>VLOOKUP(D1274,[2]属性!$A:$F,4,FALSE)</f>
        <v>1</v>
      </c>
      <c r="H1274" s="9" t="str">
        <f>VLOOKUP(A1274,[2]characters!$A:$K,11,FALSE)</f>
        <v>balance</v>
      </c>
      <c r="I1274" s="14" t="str">
        <f>VLOOKUP(H1274,[2]character_type_i18n!$A:$F,3,FALSE)</f>
        <v>バランスタイプ</v>
      </c>
      <c r="J1274" s="36">
        <f>VLOOKUP(H1274,[2]character_type_i18n!$A:$F,4,FALSE)</f>
        <v>1</v>
      </c>
      <c r="K1274" s="36">
        <f>VLOOKUP(H1274,[2]character_type_i18n!$A:$F,5,FALSE)</f>
        <v>1</v>
      </c>
      <c r="L1274" s="36">
        <f>VLOOKUP(H1274,[2]character_type_i18n!$A:$F,6,FALSE)</f>
        <v>1</v>
      </c>
      <c r="M1274" s="9" t="str">
        <f>VLOOKUP(A1274,[2]characters!$A:$M,13,FALSE)</f>
        <v>human</v>
      </c>
      <c r="N1274" s="14" t="str">
        <f>VLOOKUP(M1274,[2]character_tribe_i18n!$A:$F,3,FALSE)</f>
        <v>ヒューマン</v>
      </c>
      <c r="O1274" s="24">
        <f>VLOOKUP(M1274,[2]character_tribe_i18n!$A:$F,4,FALSE)</f>
        <v>0.94</v>
      </c>
      <c r="P1274" s="24">
        <f>VLOOKUP(M1274,[2]character_tribe_i18n!$A:$F,5,FALSE)</f>
        <v>0.99</v>
      </c>
      <c r="Q1274" s="24">
        <f>VLOOKUP(M1274,[2]character_tribe_i18n!$A:$F,6,FALSE)</f>
        <v>1</v>
      </c>
      <c r="R1274" s="25" t="s">
        <v>98</v>
      </c>
      <c r="S1274" s="24">
        <f>VLOOKUP($R1274,ラベル別係数!$A$1:$E$7,3,FALSE)</f>
        <v>5</v>
      </c>
      <c r="T1274" s="24">
        <f>VLOOKUP($R1274,ラベル別係数!$A$1:$E$7,4,FALSE)</f>
        <v>1.3</v>
      </c>
      <c r="U1274" s="24">
        <f>VLOOKUP($R1274,ラベル別係数!$A$1:$E$7,5,FALSE)</f>
        <v>0.8</v>
      </c>
      <c r="V1274" s="27">
        <v>3</v>
      </c>
      <c r="W1274" s="28">
        <f>VLOOKUP(V1274,ターン数別攻撃係数!$A$1:$B$1000,2,FALSE)</f>
        <v>1</v>
      </c>
      <c r="X1274" s="9">
        <f>VLOOKUP(C1274,サイズ別係数!A$2:B$9,2,FALSE)</f>
        <v>60</v>
      </c>
      <c r="Y1274" s="26">
        <f>VLOOKUP($X1274,サイズ別係数!$B:$E,2,FALSE)</f>
        <v>1.7</v>
      </c>
      <c r="Z1274" s="26">
        <f>VLOOKUP($X1274,サイズ別係数!$B:$E,3,FALSE)</f>
        <v>1.4</v>
      </c>
      <c r="AA1274" s="26">
        <f>VLOOKUP($X1274,サイズ別係数!$B:$E,4,FALSE)</f>
        <v>1</v>
      </c>
      <c r="AB1274" s="5">
        <v>0</v>
      </c>
      <c r="AC1274" s="34" t="str">
        <f ca="1">VLOOKUP($AB1274,OFFSET([3]enemy_skill_sets!$B$2,0,0,COUNTA([3]enemy_skill_sets!$A:$A),MATCH(AC$1,[3]enemy_skill_sets!$1:$1,0)-MATCH($AB$1,[3]enemy_skill_sets!$1:$1,0)+1),MATCH(AC$1,[3]enemy_skill_sets!$1:$1,0)-MATCH($AB$1,[3]enemy_skill_sets!$1:$1,0)+1,FALSE)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4" s="67">
        <v>1</v>
      </c>
      <c r="AE1274" s="67">
        <v>1</v>
      </c>
      <c r="AF1274" s="37">
        <v>0</v>
      </c>
      <c r="AG1274" s="99">
        <f>ROUND(VLOOKUP(1,enemy_base_stats!$A:$F,2,FALSE) * Y1274* J1274*O1274*E1274*S1274*AD1274*[2]ステータス!$B$2,0)</f>
        <v>3995</v>
      </c>
      <c r="AH1274" s="99">
        <f>ROUND(VLOOKUP(1,enemy_base_stats!$A:$F,3,FALSE) * Z1274*K1274*P1274*F1274*T1274*AE1274 * W1274*[2]ステータス!$C$2,0)</f>
        <v>276</v>
      </c>
      <c r="AI1274" s="99">
        <f>ROUND(VLOOKUP(1,enemy_base_stats!$A:$F,4,FALSE) * AA1274*L1274*Q1274*G1274*U1274*AF1274*[2]ステータス!$D$2,0)</f>
        <v>0</v>
      </c>
      <c r="AJ1274" s="99">
        <f>ROUND(VLOOKUP(100,enemy_base_stats!$A:$F,2,FALSE) * Y1274* J1274*O1274*E1274*S1274*AD1274*[2]ステータス!$B$2,0)</f>
        <v>162197</v>
      </c>
      <c r="AK1274" s="99">
        <f>ROUND(VLOOKUP(100,enemy_base_stats!$A:$F,3,FALSE)* Z1274* K1274*P1274*F1274*T1274*AE1274 * W1274*[2]ステータス!$C$2,0)</f>
        <v>11192</v>
      </c>
      <c r="AL1274" s="99">
        <f>ROUND(VLOOKUP(100,enemy_base_stats!$A:$F,4,FALSE)* AA1274* L1274*Q1274*G1274*U1274*AF1274*[2]ステータス!$D$2,0)</f>
        <v>0</v>
      </c>
      <c r="AM1274" s="97">
        <f>VLOOKUP(M1274,[2]character_tribe_i18n!$A:$I,9,FALSE)</f>
        <v>400</v>
      </c>
      <c r="AN1274" s="36">
        <v>0</v>
      </c>
      <c r="AO1274" s="53">
        <v>0</v>
      </c>
      <c r="AP1274" s="58" t="s">
        <v>72</v>
      </c>
      <c r="AQ1274" s="71">
        <f t="shared" si="65"/>
        <v>1273</v>
      </c>
    </row>
    <row r="1275" spans="1:43" ht="21" customHeight="1" x14ac:dyDescent="0.15">
      <c r="A1275" s="7">
        <v>1274</v>
      </c>
      <c r="B1275" s="6" t="str">
        <f>VLOOKUP(A1275,[2]characters!$A:$C,3,FALSE)</f>
        <v>神雪と戯れる聖母 マリア</v>
      </c>
      <c r="C1275" s="9">
        <f>VLOOKUP(A1275,[2]characters!$A:$I,9,FALSE)</f>
        <v>6</v>
      </c>
      <c r="D1275" s="9" t="str">
        <f>VLOOKUP(A1275,[2]characters!$A:$H,8,FALSE)</f>
        <v>blue</v>
      </c>
      <c r="E1275" s="24">
        <f>VLOOKUP(D1275,[2]属性!$A:$E,2,FALSE)</f>
        <v>1</v>
      </c>
      <c r="F1275" s="24">
        <f>VLOOKUP(D1275,[2]属性!$A:$E,3,FALSE)</f>
        <v>0.98</v>
      </c>
      <c r="G1275" s="24">
        <f>VLOOKUP(D1275,[2]属性!$A:$F,4,FALSE)</f>
        <v>1</v>
      </c>
      <c r="H1275" s="9" t="str">
        <f>VLOOKUP(A1275,[2]characters!$A:$K,11,FALSE)</f>
        <v>heal</v>
      </c>
      <c r="I1275" s="14" t="str">
        <f>VLOOKUP(H1275,[2]character_type_i18n!$A:$F,3,FALSE)</f>
        <v>回復タイプ</v>
      </c>
      <c r="J1275" s="36">
        <f>VLOOKUP(H1275,[2]character_type_i18n!$A:$F,4,FALSE)</f>
        <v>0.8</v>
      </c>
      <c r="K1275" s="36">
        <f>VLOOKUP(H1275,[2]character_type_i18n!$A:$F,5,FALSE)</f>
        <v>0.78</v>
      </c>
      <c r="L1275" s="36">
        <f>VLOOKUP(H1275,[2]character_type_i18n!$A:$F,6,FALSE)</f>
        <v>1</v>
      </c>
      <c r="M1275" s="9" t="str">
        <f>VLOOKUP(A1275,[2]characters!$A:$M,13,FALSE)</f>
        <v>human</v>
      </c>
      <c r="N1275" s="14" t="str">
        <f>VLOOKUP(M1275,[2]character_tribe_i18n!$A:$F,3,FALSE)</f>
        <v>ヒューマン</v>
      </c>
      <c r="O1275" s="24">
        <f>VLOOKUP(M1275,[2]character_tribe_i18n!$A:$F,4,FALSE)</f>
        <v>0.94</v>
      </c>
      <c r="P1275" s="24">
        <f>VLOOKUP(M1275,[2]character_tribe_i18n!$A:$F,5,FALSE)</f>
        <v>0.99</v>
      </c>
      <c r="Q1275" s="24">
        <f>VLOOKUP(M1275,[2]character_tribe_i18n!$A:$F,6,FALSE)</f>
        <v>1</v>
      </c>
      <c r="R1275" s="25" t="s">
        <v>98</v>
      </c>
      <c r="S1275" s="24">
        <f>VLOOKUP($R1275,ラベル別係数!$A$1:$E$7,3,FALSE)</f>
        <v>5</v>
      </c>
      <c r="T1275" s="24">
        <f>VLOOKUP($R1275,ラベル別係数!$A$1:$E$7,4,FALSE)</f>
        <v>1.3</v>
      </c>
      <c r="U1275" s="24">
        <f>VLOOKUP($R1275,ラベル別係数!$A$1:$E$7,5,FALSE)</f>
        <v>0.8</v>
      </c>
      <c r="V1275" s="27">
        <v>3</v>
      </c>
      <c r="W1275" s="28">
        <f>VLOOKUP(V1275,ターン数別攻撃係数!$A$1:$B$1000,2,FALSE)</f>
        <v>1</v>
      </c>
      <c r="X1275" s="9">
        <f>VLOOKUP(C1275,サイズ別係数!A$2:B$9,2,FALSE)</f>
        <v>60</v>
      </c>
      <c r="Y1275" s="26">
        <f>VLOOKUP($X1275,サイズ別係数!$B:$E,2,FALSE)</f>
        <v>1.7</v>
      </c>
      <c r="Z1275" s="26">
        <f>VLOOKUP($X1275,サイズ別係数!$B:$E,3,FALSE)</f>
        <v>1.4</v>
      </c>
      <c r="AA1275" s="26">
        <f>VLOOKUP($X1275,サイズ別係数!$B:$E,4,FALSE)</f>
        <v>1</v>
      </c>
      <c r="AB1275" s="5">
        <v>0</v>
      </c>
      <c r="AC1275" s="34" t="str">
        <f ca="1">VLOOKUP($AB1275,OFFSET([3]enemy_skill_sets!$B$2,0,0,COUNTA([3]enemy_skill_sets!$A:$A),MATCH(AC$1,[3]enemy_skill_sets!$1:$1,0)-MATCH($AB$1,[3]enemy_skill_sets!$1:$1,0)+1),MATCH(AC$1,[3]enemy_skill_sets!$1:$1,0)-MATCH($AB$1,[3]enemy_skill_sets!$1:$1,0)+1,FALSE)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5" s="67">
        <v>1</v>
      </c>
      <c r="AE1275" s="67">
        <v>1</v>
      </c>
      <c r="AF1275" s="37">
        <v>0</v>
      </c>
      <c r="AG1275" s="99">
        <f>ROUND(VLOOKUP(1,enemy_base_stats!$A:$F,2,FALSE) * Y1275* J1275*O1275*E1275*S1275*AD1275*[2]ステータス!$B$2,0)</f>
        <v>3196</v>
      </c>
      <c r="AH1275" s="99">
        <f>ROUND(VLOOKUP(1,enemy_base_stats!$A:$F,3,FALSE) * Z1275*K1275*P1275*F1275*T1275*AE1275 * W1275*[2]ステータス!$C$2,0)</f>
        <v>207</v>
      </c>
      <c r="AI1275" s="99">
        <f>ROUND(VLOOKUP(1,enemy_base_stats!$A:$F,4,FALSE) * AA1275*L1275*Q1275*G1275*U1275*AF1275*[2]ステータス!$D$2,0)</f>
        <v>0</v>
      </c>
      <c r="AJ1275" s="99">
        <f>ROUND(VLOOKUP(100,enemy_base_stats!$A:$F,2,FALSE) * Y1275* J1275*O1275*E1275*S1275*AD1275*[2]ステータス!$B$2,0)</f>
        <v>129758</v>
      </c>
      <c r="AK1275" s="99">
        <f>ROUND(VLOOKUP(100,enemy_base_stats!$A:$F,3,FALSE)* Z1275* K1275*P1275*F1275*T1275*AE1275 * W1275*[2]ステータス!$C$2,0)</f>
        <v>8388</v>
      </c>
      <c r="AL1275" s="99">
        <f>ROUND(VLOOKUP(100,enemy_base_stats!$A:$F,4,FALSE)* AA1275* L1275*Q1275*G1275*U1275*AF1275*[2]ステータス!$D$2,0)</f>
        <v>0</v>
      </c>
      <c r="AM1275" s="97">
        <f>VLOOKUP(M1275,[2]character_tribe_i18n!$A:$I,9,FALSE)</f>
        <v>400</v>
      </c>
      <c r="AN1275" s="36">
        <v>0</v>
      </c>
      <c r="AO1275" s="53">
        <v>0</v>
      </c>
      <c r="AP1275" s="58" t="s">
        <v>72</v>
      </c>
      <c r="AQ1275" s="71">
        <f t="shared" si="65"/>
        <v>1274</v>
      </c>
    </row>
    <row r="1276" spans="1:43" ht="21" customHeight="1" x14ac:dyDescent="0.15">
      <c r="A1276" s="7">
        <v>1275</v>
      </c>
      <c r="B1276" s="6" t="str">
        <f>VLOOKUP(A1276,[2]characters!$A:$C,3,FALSE)</f>
        <v>聖進の贈炎 クリスマス・ベリアル</v>
      </c>
      <c r="C1276" s="9">
        <f>VLOOKUP(A1276,[2]characters!$A:$I,9,FALSE)</f>
        <v>6</v>
      </c>
      <c r="D1276" s="9" t="str">
        <f>VLOOKUP(A1276,[2]characters!$A:$H,8,FALSE)</f>
        <v>red</v>
      </c>
      <c r="E1276" s="24">
        <f>VLOOKUP(D1276,[2]属性!$A:$E,2,FALSE)</f>
        <v>1</v>
      </c>
      <c r="F1276" s="24">
        <f>VLOOKUP(D1276,[2]属性!$A:$E,3,FALSE)</f>
        <v>1.02</v>
      </c>
      <c r="G1276" s="24">
        <f>VLOOKUP(D1276,[2]属性!$A:$F,4,FALSE)</f>
        <v>1</v>
      </c>
      <c r="H1276" s="9" t="str">
        <f>VLOOKUP(A1276,[2]characters!$A:$K,11,FALSE)</f>
        <v>attack</v>
      </c>
      <c r="I1276" s="14" t="str">
        <f>VLOOKUP(H1276,[2]character_type_i18n!$A:$F,3,FALSE)</f>
        <v>攻撃タイプ</v>
      </c>
      <c r="J1276" s="36">
        <f>VLOOKUP(H1276,[2]character_type_i18n!$A:$F,4,FALSE)</f>
        <v>1</v>
      </c>
      <c r="K1276" s="36">
        <f>VLOOKUP(H1276,[2]character_type_i18n!$A:$F,5,FALSE)</f>
        <v>1.33</v>
      </c>
      <c r="L1276" s="36">
        <f>VLOOKUP(H1276,[2]character_type_i18n!$A:$F,6,FALSE)</f>
        <v>1</v>
      </c>
      <c r="M1276" s="9" t="str">
        <f>VLOOKUP(A1276,[2]characters!$A:$M,13,FALSE)</f>
        <v>god</v>
      </c>
      <c r="N1276" s="14" t="str">
        <f>VLOOKUP(M1276,[2]character_tribe_i18n!$A:$F,3,FALSE)</f>
        <v>ゴッド</v>
      </c>
      <c r="O1276" s="24">
        <f>VLOOKUP(M1276,[2]character_tribe_i18n!$A:$F,4,FALSE)</f>
        <v>0.96</v>
      </c>
      <c r="P1276" s="24">
        <f>VLOOKUP(M1276,[2]character_tribe_i18n!$A:$F,5,FALSE)</f>
        <v>1.02</v>
      </c>
      <c r="Q1276" s="24">
        <f>VLOOKUP(M1276,[2]character_tribe_i18n!$A:$F,6,FALSE)</f>
        <v>1</v>
      </c>
      <c r="R1276" s="25" t="s">
        <v>98</v>
      </c>
      <c r="S1276" s="24">
        <f>VLOOKUP($R1276,ラベル別係数!$A$1:$E$7,3,FALSE)</f>
        <v>5</v>
      </c>
      <c r="T1276" s="24">
        <f>VLOOKUP($R1276,ラベル別係数!$A$1:$E$7,4,FALSE)</f>
        <v>1.3</v>
      </c>
      <c r="U1276" s="24">
        <f>VLOOKUP($R1276,ラベル別係数!$A$1:$E$7,5,FALSE)</f>
        <v>0.8</v>
      </c>
      <c r="V1276" s="27">
        <v>3</v>
      </c>
      <c r="W1276" s="28">
        <f>VLOOKUP(V1276,ターン数別攻撃係数!$A$1:$B$1000,2,FALSE)</f>
        <v>1</v>
      </c>
      <c r="X1276" s="9">
        <f>VLOOKUP(C1276,サイズ別係数!A$2:B$9,2,FALSE)</f>
        <v>60</v>
      </c>
      <c r="Y1276" s="26">
        <f>VLOOKUP($X1276,サイズ別係数!$B:$E,2,FALSE)</f>
        <v>1.7</v>
      </c>
      <c r="Z1276" s="26">
        <f>VLOOKUP($X1276,サイズ別係数!$B:$E,3,FALSE)</f>
        <v>1.4</v>
      </c>
      <c r="AA1276" s="26">
        <f>VLOOKUP($X1276,サイズ別係数!$B:$E,4,FALSE)</f>
        <v>1</v>
      </c>
      <c r="AB1276" s="5">
        <v>0</v>
      </c>
      <c r="AC1276" s="34" t="str">
        <f ca="1">VLOOKUP($AB1276,OFFSET([3]enemy_skill_sets!$B$2,0,0,COUNTA([3]enemy_skill_sets!$A:$A),MATCH(AC$1,[3]enemy_skill_sets!$1:$1,0)-MATCH($AB$1,[3]enemy_skill_sets!$1:$1,0)+1),MATCH(AC$1,[3]enemy_skill_sets!$1:$1,0)-MATCH($AB$1,[3]enemy_skill_sets!$1:$1,0)+1,FALSE)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6" s="67">
        <v>1</v>
      </c>
      <c r="AE1276" s="67">
        <v>1</v>
      </c>
      <c r="AF1276" s="37">
        <v>0</v>
      </c>
      <c r="AG1276" s="99">
        <f>ROUND(VLOOKUP(1,enemy_base_stats!$A:$F,2,FALSE) * Y1276* J1276*O1276*E1276*S1276*AD1276*[2]ステータス!$B$2,0)</f>
        <v>4080</v>
      </c>
      <c r="AH1276" s="99">
        <f>ROUND(VLOOKUP(1,enemy_base_stats!$A:$F,3,FALSE) * Z1276*K1276*P1276*F1276*T1276*AE1276 * W1276*[2]ステータス!$C$2,0)</f>
        <v>378</v>
      </c>
      <c r="AI1276" s="99">
        <f>ROUND(VLOOKUP(1,enemy_base_stats!$A:$F,4,FALSE) * AA1276*L1276*Q1276*G1276*U1276*AF1276*[2]ステータス!$D$2,0)</f>
        <v>0</v>
      </c>
      <c r="AJ1276" s="99">
        <f>ROUND(VLOOKUP(100,enemy_base_stats!$A:$F,2,FALSE) * Y1276* J1276*O1276*E1276*S1276*AD1276*[2]ステータス!$B$2,0)</f>
        <v>165648</v>
      </c>
      <c r="AK1276" s="99">
        <f>ROUND(VLOOKUP(100,enemy_base_stats!$A:$F,3,FALSE)* Z1276* K1276*P1276*F1276*T1276*AE1276 * W1276*[2]ステータス!$C$2,0)</f>
        <v>15337</v>
      </c>
      <c r="AL1276" s="99">
        <f>ROUND(VLOOKUP(100,enemy_base_stats!$A:$F,4,FALSE)* AA1276* L1276*Q1276*G1276*U1276*AF1276*[2]ステータス!$D$2,0)</f>
        <v>0</v>
      </c>
      <c r="AM1276" s="97">
        <f>VLOOKUP(M1276,[2]character_tribe_i18n!$A:$I,9,FALSE)</f>
        <v>680</v>
      </c>
      <c r="AN1276" s="36">
        <v>0</v>
      </c>
      <c r="AO1276" s="53">
        <v>0</v>
      </c>
      <c r="AP1276" s="58" t="s">
        <v>72</v>
      </c>
      <c r="AQ1276" s="71">
        <f t="shared" si="65"/>
        <v>1275</v>
      </c>
    </row>
    <row r="1277" spans="1:43" ht="21" customHeight="1" x14ac:dyDescent="0.15">
      <c r="A1277" s="7">
        <v>1276</v>
      </c>
      <c r="B1277" s="6" t="str">
        <f>VLOOKUP(A1277,[2]characters!$A:$C,3,FALSE)</f>
        <v>聖宴の主彩 サンタクロース・オセ</v>
      </c>
      <c r="C1277" s="9">
        <f>VLOOKUP(A1277,[2]characters!$A:$I,9,FALSE)</f>
        <v>6</v>
      </c>
      <c r="D1277" s="9" t="str">
        <f>VLOOKUP(A1277,[2]characters!$A:$H,8,FALSE)</f>
        <v>green</v>
      </c>
      <c r="E1277" s="24">
        <f>VLOOKUP(D1277,[2]属性!$A:$E,2,FALSE)</f>
        <v>1.02</v>
      </c>
      <c r="F1277" s="24">
        <f>VLOOKUP(D1277,[2]属性!$A:$E,3,FALSE)</f>
        <v>0.98</v>
      </c>
      <c r="G1277" s="24">
        <f>VLOOKUP(D1277,[2]属性!$A:$F,4,FALSE)</f>
        <v>1</v>
      </c>
      <c r="H1277" s="9" t="str">
        <f>VLOOKUP(A1277,[2]characters!$A:$K,11,FALSE)</f>
        <v>attack</v>
      </c>
      <c r="I1277" s="14" t="str">
        <f>VLOOKUP(H1277,[2]character_type_i18n!$A:$F,3,FALSE)</f>
        <v>攻撃タイプ</v>
      </c>
      <c r="J1277" s="36">
        <f>VLOOKUP(H1277,[2]character_type_i18n!$A:$F,4,FALSE)</f>
        <v>1</v>
      </c>
      <c r="K1277" s="36">
        <f>VLOOKUP(H1277,[2]character_type_i18n!$A:$F,5,FALSE)</f>
        <v>1.33</v>
      </c>
      <c r="L1277" s="36">
        <f>VLOOKUP(H1277,[2]character_type_i18n!$A:$F,6,FALSE)</f>
        <v>1</v>
      </c>
      <c r="M1277" s="9" t="str">
        <f>VLOOKUP(A1277,[2]characters!$A:$M,13,FALSE)</f>
        <v>god</v>
      </c>
      <c r="N1277" s="14" t="str">
        <f>VLOOKUP(M1277,[2]character_tribe_i18n!$A:$F,3,FALSE)</f>
        <v>ゴッド</v>
      </c>
      <c r="O1277" s="24">
        <f>VLOOKUP(M1277,[2]character_tribe_i18n!$A:$F,4,FALSE)</f>
        <v>0.96</v>
      </c>
      <c r="P1277" s="24">
        <f>VLOOKUP(M1277,[2]character_tribe_i18n!$A:$F,5,FALSE)</f>
        <v>1.02</v>
      </c>
      <c r="Q1277" s="24">
        <f>VLOOKUP(M1277,[2]character_tribe_i18n!$A:$F,6,FALSE)</f>
        <v>1</v>
      </c>
      <c r="R1277" s="25" t="s">
        <v>98</v>
      </c>
      <c r="S1277" s="24">
        <f>VLOOKUP($R1277,ラベル別係数!$A$1:$E$7,3,FALSE)</f>
        <v>5</v>
      </c>
      <c r="T1277" s="24">
        <f>VLOOKUP($R1277,ラベル別係数!$A$1:$E$7,4,FALSE)</f>
        <v>1.3</v>
      </c>
      <c r="U1277" s="24">
        <f>VLOOKUP($R1277,ラベル別係数!$A$1:$E$7,5,FALSE)</f>
        <v>0.8</v>
      </c>
      <c r="V1277" s="27">
        <v>3</v>
      </c>
      <c r="W1277" s="28">
        <f>VLOOKUP(V1277,ターン数別攻撃係数!$A$1:$B$1000,2,FALSE)</f>
        <v>1</v>
      </c>
      <c r="X1277" s="9">
        <f>VLOOKUP(C1277,サイズ別係数!A$2:B$9,2,FALSE)</f>
        <v>60</v>
      </c>
      <c r="Y1277" s="26">
        <f>VLOOKUP($X1277,サイズ別係数!$B:$E,2,FALSE)</f>
        <v>1.7</v>
      </c>
      <c r="Z1277" s="26">
        <f>VLOOKUP($X1277,サイズ別係数!$B:$E,3,FALSE)</f>
        <v>1.4</v>
      </c>
      <c r="AA1277" s="26">
        <f>VLOOKUP($X1277,サイズ別係数!$B:$E,4,FALSE)</f>
        <v>1</v>
      </c>
      <c r="AB1277" s="5">
        <v>0</v>
      </c>
      <c r="AC1277" s="34" t="str">
        <f ca="1">VLOOKUP($AB1277,OFFSET([3]enemy_skill_sets!$B$2,0,0,COUNTA([3]enemy_skill_sets!$A:$A),MATCH(AC$1,[3]enemy_skill_sets!$1:$1,0)-MATCH($AB$1,[3]enemy_skill_sets!$1:$1,0)+1),MATCH(AC$1,[3]enemy_skill_sets!$1:$1,0)-MATCH($AB$1,[3]enemy_skill_sets!$1:$1,0)+1,FALSE)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7" s="67">
        <v>1</v>
      </c>
      <c r="AE1277" s="67">
        <v>1</v>
      </c>
      <c r="AF1277" s="37">
        <v>0</v>
      </c>
      <c r="AG1277" s="99">
        <f>ROUND(VLOOKUP(1,enemy_base_stats!$A:$F,2,FALSE) * Y1277* J1277*O1277*E1277*S1277*AD1277*[2]ステータス!$B$2,0)</f>
        <v>4162</v>
      </c>
      <c r="AH1277" s="99">
        <f>ROUND(VLOOKUP(1,enemy_base_stats!$A:$F,3,FALSE) * Z1277*K1277*P1277*F1277*T1277*AE1277 * W1277*[2]ステータス!$C$2,0)</f>
        <v>363</v>
      </c>
      <c r="AI1277" s="99">
        <f>ROUND(VLOOKUP(1,enemy_base_stats!$A:$F,4,FALSE) * AA1277*L1277*Q1277*G1277*U1277*AF1277*[2]ステータス!$D$2,0)</f>
        <v>0</v>
      </c>
      <c r="AJ1277" s="99">
        <f>ROUND(VLOOKUP(100,enemy_base_stats!$A:$F,2,FALSE) * Y1277* J1277*O1277*E1277*S1277*AD1277*[2]ステータス!$B$2,0)</f>
        <v>168961</v>
      </c>
      <c r="AK1277" s="99">
        <f>ROUND(VLOOKUP(100,enemy_base_stats!$A:$F,3,FALSE)* Z1277* K1277*P1277*F1277*T1277*AE1277 * W1277*[2]ステータス!$C$2,0)</f>
        <v>14736</v>
      </c>
      <c r="AL1277" s="99">
        <f>ROUND(VLOOKUP(100,enemy_base_stats!$A:$F,4,FALSE)* AA1277* L1277*Q1277*G1277*U1277*AF1277*[2]ステータス!$D$2,0)</f>
        <v>0</v>
      </c>
      <c r="AM1277" s="97">
        <f>VLOOKUP(M1277,[2]character_tribe_i18n!$A:$I,9,FALSE)</f>
        <v>680</v>
      </c>
      <c r="AN1277" s="36">
        <v>0</v>
      </c>
      <c r="AO1277" s="53">
        <v>0</v>
      </c>
      <c r="AP1277" s="58" t="s">
        <v>72</v>
      </c>
      <c r="AQ1277" s="71">
        <f t="shared" si="65"/>
        <v>1276</v>
      </c>
    </row>
    <row r="1278" spans="1:43" ht="21" customHeight="1" x14ac:dyDescent="0.15">
      <c r="A1278" s="7">
        <v>1277</v>
      </c>
      <c r="B1278" s="6" t="str">
        <f>VLOOKUP(A1278,[2]characters!$A:$C,3,FALSE)</f>
        <v>彩鈴鳴らす聖天使 ミカエル・イヴ</v>
      </c>
      <c r="C1278" s="9">
        <f>VLOOKUP(A1278,[2]characters!$A:$I,9,FALSE)</f>
        <v>6</v>
      </c>
      <c r="D1278" s="9" t="str">
        <f>VLOOKUP(A1278,[2]characters!$A:$H,8,FALSE)</f>
        <v>yellow</v>
      </c>
      <c r="E1278" s="24">
        <f>VLOOKUP(D1278,[2]属性!$A:$E,2,FALSE)</f>
        <v>0.98</v>
      </c>
      <c r="F1278" s="24">
        <f>VLOOKUP(D1278,[2]属性!$A:$E,3,FALSE)</f>
        <v>1.01</v>
      </c>
      <c r="G1278" s="24">
        <f>VLOOKUP(D1278,[2]属性!$A:$F,4,FALSE)</f>
        <v>1</v>
      </c>
      <c r="H1278" s="9" t="str">
        <f>VLOOKUP(A1278,[2]characters!$A:$K,11,FALSE)</f>
        <v>attack</v>
      </c>
      <c r="I1278" s="14" t="str">
        <f>VLOOKUP(H1278,[2]character_type_i18n!$A:$F,3,FALSE)</f>
        <v>攻撃タイプ</v>
      </c>
      <c r="J1278" s="36">
        <f>VLOOKUP(H1278,[2]character_type_i18n!$A:$F,4,FALSE)</f>
        <v>1</v>
      </c>
      <c r="K1278" s="36">
        <f>VLOOKUP(H1278,[2]character_type_i18n!$A:$F,5,FALSE)</f>
        <v>1.33</v>
      </c>
      <c r="L1278" s="36">
        <f>VLOOKUP(H1278,[2]character_type_i18n!$A:$F,6,FALSE)</f>
        <v>1</v>
      </c>
      <c r="M1278" s="9" t="str">
        <f>VLOOKUP(A1278,[2]characters!$A:$M,13,FALSE)</f>
        <v>god</v>
      </c>
      <c r="N1278" s="14" t="str">
        <f>VLOOKUP(M1278,[2]character_tribe_i18n!$A:$F,3,FALSE)</f>
        <v>ゴッド</v>
      </c>
      <c r="O1278" s="24">
        <f>VLOOKUP(M1278,[2]character_tribe_i18n!$A:$F,4,FALSE)</f>
        <v>0.96</v>
      </c>
      <c r="P1278" s="24">
        <f>VLOOKUP(M1278,[2]character_tribe_i18n!$A:$F,5,FALSE)</f>
        <v>1.02</v>
      </c>
      <c r="Q1278" s="24">
        <f>VLOOKUP(M1278,[2]character_tribe_i18n!$A:$F,6,FALSE)</f>
        <v>1</v>
      </c>
      <c r="R1278" s="25" t="s">
        <v>98</v>
      </c>
      <c r="S1278" s="24">
        <f>VLOOKUP($R1278,ラベル別係数!$A$1:$E$7,3,FALSE)</f>
        <v>5</v>
      </c>
      <c r="T1278" s="24">
        <f>VLOOKUP($R1278,ラベル別係数!$A$1:$E$7,4,FALSE)</f>
        <v>1.3</v>
      </c>
      <c r="U1278" s="24">
        <f>VLOOKUP($R1278,ラベル別係数!$A$1:$E$7,5,FALSE)</f>
        <v>0.8</v>
      </c>
      <c r="V1278" s="27">
        <v>3</v>
      </c>
      <c r="W1278" s="28">
        <f>VLOOKUP(V1278,ターン数別攻撃係数!$A$1:$B$1000,2,FALSE)</f>
        <v>1</v>
      </c>
      <c r="X1278" s="9">
        <f>VLOOKUP(C1278,サイズ別係数!A$2:B$9,2,FALSE)</f>
        <v>60</v>
      </c>
      <c r="Y1278" s="26">
        <f>VLOOKUP($X1278,サイズ別係数!$B:$E,2,FALSE)</f>
        <v>1.7</v>
      </c>
      <c r="Z1278" s="26">
        <f>VLOOKUP($X1278,サイズ別係数!$B:$E,3,FALSE)</f>
        <v>1.4</v>
      </c>
      <c r="AA1278" s="26">
        <f>VLOOKUP($X1278,サイズ別係数!$B:$E,4,FALSE)</f>
        <v>1</v>
      </c>
      <c r="AB1278" s="5">
        <v>0</v>
      </c>
      <c r="AC1278" s="34" t="str">
        <f ca="1">VLOOKUP($AB1278,OFFSET([3]enemy_skill_sets!$B$2,0,0,COUNTA([3]enemy_skill_sets!$A:$A),MATCH(AC$1,[3]enemy_skill_sets!$1:$1,0)-MATCH($AB$1,[3]enemy_skill_sets!$1:$1,0)+1),MATCH(AC$1,[3]enemy_skill_sets!$1:$1,0)-MATCH($AB$1,[3]enemy_skill_sets!$1:$1,0)+1,FALSE)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8" s="67">
        <v>1</v>
      </c>
      <c r="AE1278" s="67">
        <v>1</v>
      </c>
      <c r="AF1278" s="37">
        <v>0</v>
      </c>
      <c r="AG1278" s="99">
        <f>ROUND(VLOOKUP(1,enemy_base_stats!$A:$F,2,FALSE) * Y1278* J1278*O1278*E1278*S1278*AD1278*[2]ステータス!$B$2,0)</f>
        <v>3998</v>
      </c>
      <c r="AH1278" s="99">
        <f>ROUND(VLOOKUP(1,enemy_base_stats!$A:$F,3,FALSE) * Z1278*K1278*P1278*F1278*T1278*AE1278 * W1278*[2]ステータス!$C$2,0)</f>
        <v>374</v>
      </c>
      <c r="AI1278" s="99">
        <f>ROUND(VLOOKUP(1,enemy_base_stats!$A:$F,4,FALSE) * AA1278*L1278*Q1278*G1278*U1278*AF1278*[2]ステータス!$D$2,0)</f>
        <v>0</v>
      </c>
      <c r="AJ1278" s="99">
        <f>ROUND(VLOOKUP(100,enemy_base_stats!$A:$F,2,FALSE) * Y1278* J1278*O1278*E1278*S1278*AD1278*[2]ステータス!$B$2,0)</f>
        <v>162335</v>
      </c>
      <c r="AK1278" s="99">
        <f>ROUND(VLOOKUP(100,enemy_base_stats!$A:$F,3,FALSE)* Z1278* K1278*P1278*F1278*T1278*AE1278 * W1278*[2]ステータス!$C$2,0)</f>
        <v>15187</v>
      </c>
      <c r="AL1278" s="99">
        <f>ROUND(VLOOKUP(100,enemy_base_stats!$A:$F,4,FALSE)* AA1278* L1278*Q1278*G1278*U1278*AF1278*[2]ステータス!$D$2,0)</f>
        <v>0</v>
      </c>
      <c r="AM1278" s="97">
        <f>VLOOKUP(M1278,[2]character_tribe_i18n!$A:$I,9,FALSE)</f>
        <v>680</v>
      </c>
      <c r="AN1278" s="36">
        <v>0</v>
      </c>
      <c r="AO1278" s="53">
        <v>0</v>
      </c>
      <c r="AP1278" s="58" t="s">
        <v>72</v>
      </c>
      <c r="AQ1278" s="71">
        <f t="shared" si="65"/>
        <v>1277</v>
      </c>
    </row>
    <row r="1279" spans="1:43" ht="21" customHeight="1" x14ac:dyDescent="0.15">
      <c r="A1279" s="7">
        <v>1278</v>
      </c>
      <c r="B1279" s="6" t="str">
        <f>VLOOKUP(A1279,[2]characters!$A:$C,3,FALSE)</f>
        <v>ラチカ</v>
      </c>
      <c r="C1279" s="9">
        <f>VLOOKUP(A1279,[2]characters!$A:$I,9,FALSE)</f>
        <v>5</v>
      </c>
      <c r="D1279" s="9" t="str">
        <f>VLOOKUP(A1279,[2]characters!$A:$H,8,FALSE)</f>
        <v>yellow</v>
      </c>
      <c r="E1279" s="24">
        <f>VLOOKUP(D1279,[2]属性!$A:$E,2,FALSE)</f>
        <v>0.98</v>
      </c>
      <c r="F1279" s="24">
        <f>VLOOKUP(D1279,[2]属性!$A:$E,3,FALSE)</f>
        <v>1.01</v>
      </c>
      <c r="G1279" s="24">
        <f>VLOOKUP(D1279,[2]属性!$A:$F,4,FALSE)</f>
        <v>1</v>
      </c>
      <c r="H1279" s="9" t="str">
        <f>VLOOKUP(A1279,[2]characters!$A:$K,11,FALSE)</f>
        <v>hp</v>
      </c>
      <c r="I1279" s="14" t="str">
        <f>VLOOKUP(H1279,[2]character_type_i18n!$A:$F,3,FALSE)</f>
        <v>体力タイプ</v>
      </c>
      <c r="J1279" s="36">
        <f>VLOOKUP(H1279,[2]character_type_i18n!$A:$F,4,FALSE)</f>
        <v>1.45</v>
      </c>
      <c r="K1279" s="36">
        <f>VLOOKUP(H1279,[2]character_type_i18n!$A:$F,5,FALSE)</f>
        <v>0.85</v>
      </c>
      <c r="L1279" s="36">
        <f>VLOOKUP(H1279,[2]character_type_i18n!$A:$F,6,FALSE)</f>
        <v>1</v>
      </c>
      <c r="M1279" s="9" t="str">
        <f>VLOOKUP(A1279,[2]characters!$A:$M,13,FALSE)</f>
        <v>unknown</v>
      </c>
      <c r="N1279" s="14" t="str">
        <f>VLOOKUP(M1279,[2]character_tribe_i18n!$A:$F,3,FALSE)</f>
        <v>Unknown</v>
      </c>
      <c r="O1279" s="24">
        <f>VLOOKUP(M1279,[2]character_tribe_i18n!$A:$F,4,FALSE)</f>
        <v>1</v>
      </c>
      <c r="P1279" s="24">
        <f>VLOOKUP(M1279,[2]character_tribe_i18n!$A:$F,5,FALSE)</f>
        <v>1</v>
      </c>
      <c r="Q1279" s="24">
        <f>VLOOKUP(M1279,[2]character_tribe_i18n!$A:$F,6,FALSE)</f>
        <v>1</v>
      </c>
      <c r="R1279" s="25" t="s">
        <v>98</v>
      </c>
      <c r="S1279" s="24">
        <f>VLOOKUP($R1279,ラベル別係数!$A$1:$E$7,3,FALSE)</f>
        <v>5</v>
      </c>
      <c r="T1279" s="24">
        <f>VLOOKUP($R1279,ラベル別係数!$A$1:$E$7,4,FALSE)</f>
        <v>1.3</v>
      </c>
      <c r="U1279" s="24">
        <f>VLOOKUP($R1279,ラベル別係数!$A$1:$E$7,5,FALSE)</f>
        <v>0.8</v>
      </c>
      <c r="V1279" s="27">
        <v>3</v>
      </c>
      <c r="W1279" s="28">
        <f>VLOOKUP(V1279,ターン数別攻撃係数!$A$1:$B$1000,2,FALSE)</f>
        <v>1</v>
      </c>
      <c r="X1279" s="9">
        <f>VLOOKUP(C1279,サイズ別係数!A$2:B$9,2,FALSE)</f>
        <v>60</v>
      </c>
      <c r="Y1279" s="26">
        <f>VLOOKUP($X1279,サイズ別係数!$B:$E,2,FALSE)</f>
        <v>1.7</v>
      </c>
      <c r="Z1279" s="26">
        <f>VLOOKUP($X1279,サイズ別係数!$B:$E,3,FALSE)</f>
        <v>1.4</v>
      </c>
      <c r="AA1279" s="26">
        <f>VLOOKUP($X1279,サイズ別係数!$B:$E,4,FALSE)</f>
        <v>1</v>
      </c>
      <c r="AB1279" s="5">
        <v>0</v>
      </c>
      <c r="AC1279" s="34" t="str">
        <f ca="1">VLOOKUP($AB1279,OFFSET([3]enemy_skill_sets!$B$2,0,0,COUNTA([3]enemy_skill_sets!$A:$A),MATCH(AC$1,[3]enemy_skill_sets!$1:$1,0)-MATCH($AB$1,[3]enemy_skill_sets!$1:$1,0)+1),MATCH(AC$1,[3]enemy_skill_sets!$1:$1,0)-MATCH($AB$1,[3]enemy_skill_sets!$1:$1,0)+1,FALSE)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79" s="67">
        <v>1</v>
      </c>
      <c r="AE1279" s="67">
        <v>1</v>
      </c>
      <c r="AF1279" s="37">
        <v>0</v>
      </c>
      <c r="AG1279" s="99">
        <f>ROUND(VLOOKUP(1,enemy_base_stats!$A:$F,2,FALSE) * Y1279* J1279*O1279*E1279*S1279*AD1279*[2]ステータス!$B$2,0)</f>
        <v>6039</v>
      </c>
      <c r="AH1279" s="99">
        <f>ROUND(VLOOKUP(1,enemy_base_stats!$A:$F,3,FALSE) * Z1279*K1279*P1279*F1279*T1279*AE1279 * W1279*[2]ステータス!$C$2,0)</f>
        <v>234</v>
      </c>
      <c r="AI1279" s="99">
        <f>ROUND(VLOOKUP(1,enemy_base_stats!$A:$F,4,FALSE) * AA1279*L1279*Q1279*G1279*U1279*AF1279*[2]ステータス!$D$2,0)</f>
        <v>0</v>
      </c>
      <c r="AJ1279" s="99">
        <f>ROUND(VLOOKUP(100,enemy_base_stats!$A:$F,2,FALSE) * Y1279* J1279*O1279*E1279*S1279*AD1279*[2]ステータス!$B$2,0)</f>
        <v>245194</v>
      </c>
      <c r="AK1279" s="99">
        <f>ROUND(VLOOKUP(100,enemy_base_stats!$A:$F,3,FALSE)* Z1279* K1279*P1279*F1279*T1279*AE1279 * W1279*[2]ステータス!$C$2,0)</f>
        <v>9515</v>
      </c>
      <c r="AL1279" s="99">
        <f>ROUND(VLOOKUP(100,enemy_base_stats!$A:$F,4,FALSE)* AA1279* L1279*Q1279*G1279*U1279*AF1279*[2]ステータス!$D$2,0)</f>
        <v>0</v>
      </c>
      <c r="AM1279" s="97">
        <f>VLOOKUP(M1279,[2]character_tribe_i18n!$A:$I,9,FALSE)</f>
        <v>340</v>
      </c>
      <c r="AN1279" s="36">
        <v>0</v>
      </c>
      <c r="AO1279" s="53">
        <v>0</v>
      </c>
      <c r="AP1279" s="58" t="s">
        <v>72</v>
      </c>
      <c r="AQ1279" s="71">
        <f t="shared" si="65"/>
        <v>1278</v>
      </c>
    </row>
    <row r="1280" spans="1:43" ht="21" customHeight="1" x14ac:dyDescent="0.15">
      <c r="A1280" s="7">
        <v>1279</v>
      </c>
      <c r="B1280" s="6" t="str">
        <f>VLOOKUP(A1280,[2]characters!$A:$C,3,FALSE)</f>
        <v>霜聖の雪姫 ラチカ</v>
      </c>
      <c r="C1280" s="9">
        <f>VLOOKUP(A1280,[2]characters!$A:$I,9,FALSE)</f>
        <v>6</v>
      </c>
      <c r="D1280" s="9" t="str">
        <f>VLOOKUP(A1280,[2]characters!$A:$H,8,FALSE)</f>
        <v>yellow</v>
      </c>
      <c r="E1280" s="24">
        <f>VLOOKUP(D1280,[2]属性!$A:$E,2,FALSE)</f>
        <v>0.98</v>
      </c>
      <c r="F1280" s="24">
        <f>VLOOKUP(D1280,[2]属性!$A:$E,3,FALSE)</f>
        <v>1.01</v>
      </c>
      <c r="G1280" s="24">
        <f>VLOOKUP(D1280,[2]属性!$A:$F,4,FALSE)</f>
        <v>1</v>
      </c>
      <c r="H1280" s="9" t="str">
        <f>VLOOKUP(A1280,[2]characters!$A:$K,11,FALSE)</f>
        <v>hp</v>
      </c>
      <c r="I1280" s="14" t="str">
        <f>VLOOKUP(H1280,[2]character_type_i18n!$A:$F,3,FALSE)</f>
        <v>体力タイプ</v>
      </c>
      <c r="J1280" s="36">
        <f>VLOOKUP(H1280,[2]character_type_i18n!$A:$F,4,FALSE)</f>
        <v>1.45</v>
      </c>
      <c r="K1280" s="36">
        <f>VLOOKUP(H1280,[2]character_type_i18n!$A:$F,5,FALSE)</f>
        <v>0.85</v>
      </c>
      <c r="L1280" s="36">
        <f>VLOOKUP(H1280,[2]character_type_i18n!$A:$F,6,FALSE)</f>
        <v>1</v>
      </c>
      <c r="M1280" s="9" t="str">
        <f>VLOOKUP(A1280,[2]characters!$A:$M,13,FALSE)</f>
        <v>unknown</v>
      </c>
      <c r="N1280" s="14" t="str">
        <f>VLOOKUP(M1280,[2]character_tribe_i18n!$A:$F,3,FALSE)</f>
        <v>Unknown</v>
      </c>
      <c r="O1280" s="24">
        <f>VLOOKUP(M1280,[2]character_tribe_i18n!$A:$F,4,FALSE)</f>
        <v>1</v>
      </c>
      <c r="P1280" s="24">
        <f>VLOOKUP(M1280,[2]character_tribe_i18n!$A:$F,5,FALSE)</f>
        <v>1</v>
      </c>
      <c r="Q1280" s="24">
        <f>VLOOKUP(M1280,[2]character_tribe_i18n!$A:$F,6,FALSE)</f>
        <v>1</v>
      </c>
      <c r="R1280" s="25" t="s">
        <v>98</v>
      </c>
      <c r="S1280" s="24">
        <f>VLOOKUP($R1280,ラベル別係数!$A$1:$E$7,3,FALSE)</f>
        <v>5</v>
      </c>
      <c r="T1280" s="24">
        <f>VLOOKUP($R1280,ラベル別係数!$A$1:$E$7,4,FALSE)</f>
        <v>1.3</v>
      </c>
      <c r="U1280" s="24">
        <f>VLOOKUP($R1280,ラベル別係数!$A$1:$E$7,5,FALSE)</f>
        <v>0.8</v>
      </c>
      <c r="V1280" s="27">
        <v>3</v>
      </c>
      <c r="W1280" s="28">
        <f>VLOOKUP(V1280,ターン数別攻撃係数!$A$1:$B$1000,2,FALSE)</f>
        <v>1</v>
      </c>
      <c r="X1280" s="9">
        <f>VLOOKUP(C1280,サイズ別係数!A$2:B$9,2,FALSE)</f>
        <v>60</v>
      </c>
      <c r="Y1280" s="26">
        <f>VLOOKUP($X1280,サイズ別係数!$B:$E,2,FALSE)</f>
        <v>1.7</v>
      </c>
      <c r="Z1280" s="26">
        <f>VLOOKUP($X1280,サイズ別係数!$B:$E,3,FALSE)</f>
        <v>1.4</v>
      </c>
      <c r="AA1280" s="26">
        <f>VLOOKUP($X1280,サイズ別係数!$B:$E,4,FALSE)</f>
        <v>1</v>
      </c>
      <c r="AB1280" s="5">
        <v>0</v>
      </c>
      <c r="AC1280" s="34" t="str">
        <f ca="1">VLOOKUP($AB1280,OFFSET([3]enemy_skill_sets!$B$2,0,0,COUNTA([3]enemy_skill_sets!$A:$A),MATCH(AC$1,[3]enemy_skill_sets!$1:$1,0)-MATCH($AB$1,[3]enemy_skill_sets!$1:$1,0)+1),MATCH(AC$1,[3]enemy_skill_sets!$1:$1,0)-MATCH($AB$1,[3]enemy_skill_sets!$1:$1,0)+1,FALSE)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0" s="67">
        <v>1</v>
      </c>
      <c r="AE1280" s="67">
        <v>1</v>
      </c>
      <c r="AF1280" s="37">
        <v>0</v>
      </c>
      <c r="AG1280" s="99">
        <f>ROUND(VLOOKUP(1,enemy_base_stats!$A:$F,2,FALSE) * Y1280* J1280*O1280*E1280*S1280*AD1280*[2]ステータス!$B$2,0)</f>
        <v>6039</v>
      </c>
      <c r="AH1280" s="99">
        <f>ROUND(VLOOKUP(1,enemy_base_stats!$A:$F,3,FALSE) * Z1280*K1280*P1280*F1280*T1280*AE1280 * W1280*[2]ステータス!$C$2,0)</f>
        <v>234</v>
      </c>
      <c r="AI1280" s="99">
        <f>ROUND(VLOOKUP(1,enemy_base_stats!$A:$F,4,FALSE) * AA1280*L1280*Q1280*G1280*U1280*AF1280*[2]ステータス!$D$2,0)</f>
        <v>0</v>
      </c>
      <c r="AJ1280" s="99">
        <f>ROUND(VLOOKUP(100,enemy_base_stats!$A:$F,2,FALSE) * Y1280* J1280*O1280*E1280*S1280*AD1280*[2]ステータス!$B$2,0)</f>
        <v>245194</v>
      </c>
      <c r="AK1280" s="99">
        <f>ROUND(VLOOKUP(100,enemy_base_stats!$A:$F,3,FALSE)* Z1280* K1280*P1280*F1280*T1280*AE1280 * W1280*[2]ステータス!$C$2,0)</f>
        <v>9515</v>
      </c>
      <c r="AL1280" s="99">
        <f>ROUND(VLOOKUP(100,enemy_base_stats!$A:$F,4,FALSE)* AA1280* L1280*Q1280*G1280*U1280*AF1280*[2]ステータス!$D$2,0)</f>
        <v>0</v>
      </c>
      <c r="AM1280" s="97">
        <f>VLOOKUP(M1280,[2]character_tribe_i18n!$A:$I,9,FALSE)</f>
        <v>340</v>
      </c>
      <c r="AN1280" s="36">
        <v>0</v>
      </c>
      <c r="AO1280" s="53">
        <v>0</v>
      </c>
      <c r="AP1280" s="58" t="s">
        <v>72</v>
      </c>
      <c r="AQ1280" s="71">
        <f t="shared" ref="AQ1280:AQ1295" si="66">A1280</f>
        <v>1279</v>
      </c>
    </row>
    <row r="1281" spans="1:43" ht="21" customHeight="1" x14ac:dyDescent="0.15">
      <c r="A1281" s="7">
        <v>1280</v>
      </c>
      <c r="B1281" s="6" t="str">
        <f>VLOOKUP(A1281,[2]characters!$A:$C,3,FALSE)</f>
        <v>聖装の始祖帝 クリスマス卑弥呼</v>
      </c>
      <c r="C1281" s="9">
        <f>VLOOKUP(A1281,[2]characters!$A:$I,9,FALSE)</f>
        <v>5</v>
      </c>
      <c r="D1281" s="9" t="str">
        <f>VLOOKUP(A1281,[2]characters!$A:$H,8,FALSE)</f>
        <v>blue</v>
      </c>
      <c r="E1281" s="24">
        <f>VLOOKUP(D1281,[2]属性!$A:$E,2,FALSE)</f>
        <v>1</v>
      </c>
      <c r="F1281" s="24">
        <f>VLOOKUP(D1281,[2]属性!$A:$E,3,FALSE)</f>
        <v>0.98</v>
      </c>
      <c r="G1281" s="24">
        <f>VLOOKUP(D1281,[2]属性!$A:$F,4,FALSE)</f>
        <v>1</v>
      </c>
      <c r="H1281" s="9" t="str">
        <f>VLOOKUP(A1281,[2]characters!$A:$K,11,FALSE)</f>
        <v>balance</v>
      </c>
      <c r="I1281" s="14" t="str">
        <f>VLOOKUP(H1281,[2]character_type_i18n!$A:$F,3,FALSE)</f>
        <v>バランスタイプ</v>
      </c>
      <c r="J1281" s="36">
        <f>VLOOKUP(H1281,[2]character_type_i18n!$A:$F,4,FALSE)</f>
        <v>1</v>
      </c>
      <c r="K1281" s="36">
        <f>VLOOKUP(H1281,[2]character_type_i18n!$A:$F,5,FALSE)</f>
        <v>1</v>
      </c>
      <c r="L1281" s="36">
        <f>VLOOKUP(H1281,[2]character_type_i18n!$A:$F,6,FALSE)</f>
        <v>1</v>
      </c>
      <c r="M1281" s="9" t="str">
        <f>VLOOKUP(A1281,[2]characters!$A:$M,13,FALSE)</f>
        <v>human</v>
      </c>
      <c r="N1281" s="14" t="str">
        <f>VLOOKUP(M1281,[2]character_tribe_i18n!$A:$F,3,FALSE)</f>
        <v>ヒューマン</v>
      </c>
      <c r="O1281" s="24">
        <f>VLOOKUP(M1281,[2]character_tribe_i18n!$A:$F,4,FALSE)</f>
        <v>0.94</v>
      </c>
      <c r="P1281" s="24">
        <f>VLOOKUP(M1281,[2]character_tribe_i18n!$A:$F,5,FALSE)</f>
        <v>0.99</v>
      </c>
      <c r="Q1281" s="24">
        <f>VLOOKUP(M1281,[2]character_tribe_i18n!$A:$F,6,FALSE)</f>
        <v>1</v>
      </c>
      <c r="R1281" s="25" t="s">
        <v>98</v>
      </c>
      <c r="S1281" s="24">
        <f>VLOOKUP($R1281,ラベル別係数!$A$1:$E$7,3,FALSE)</f>
        <v>5</v>
      </c>
      <c r="T1281" s="24">
        <f>VLOOKUP($R1281,ラベル別係数!$A$1:$E$7,4,FALSE)</f>
        <v>1.3</v>
      </c>
      <c r="U1281" s="24">
        <f>VLOOKUP($R1281,ラベル別係数!$A$1:$E$7,5,FALSE)</f>
        <v>0.8</v>
      </c>
      <c r="V1281" s="27">
        <v>3</v>
      </c>
      <c r="W1281" s="28">
        <f>VLOOKUP(V1281,ターン数別攻撃係数!$A$1:$B$1000,2,FALSE)</f>
        <v>1</v>
      </c>
      <c r="X1281" s="9">
        <f>VLOOKUP(C1281,サイズ別係数!A$2:B$9,2,FALSE)</f>
        <v>60</v>
      </c>
      <c r="Y1281" s="26">
        <f>VLOOKUP($X1281,サイズ別係数!$B:$E,2,FALSE)</f>
        <v>1.7</v>
      </c>
      <c r="Z1281" s="26">
        <f>VLOOKUP($X1281,サイズ別係数!$B:$E,3,FALSE)</f>
        <v>1.4</v>
      </c>
      <c r="AA1281" s="26">
        <f>VLOOKUP($X1281,サイズ別係数!$B:$E,4,FALSE)</f>
        <v>1</v>
      </c>
      <c r="AB1281" s="5">
        <v>0</v>
      </c>
      <c r="AC1281" s="34" t="str">
        <f ca="1">VLOOKUP($AB1281,OFFSET([3]enemy_skill_sets!$B$2,0,0,COUNTA([3]enemy_skill_sets!$A:$A),MATCH(AC$1,[3]enemy_skill_sets!$1:$1,0)-MATCH($AB$1,[3]enemy_skill_sets!$1:$1,0)+1),MATCH(AC$1,[3]enemy_skill_sets!$1:$1,0)-MATCH($AB$1,[3]enemy_skill_sets!$1:$1,0)+1,FALSE)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1" s="67">
        <v>1</v>
      </c>
      <c r="AE1281" s="67">
        <v>1</v>
      </c>
      <c r="AF1281" s="37">
        <v>0</v>
      </c>
      <c r="AG1281" s="99">
        <f>ROUND(VLOOKUP(1,enemy_base_stats!$A:$F,2,FALSE) * Y1281* J1281*O1281*E1281*S1281*AD1281*[2]ステータス!$B$2,0)</f>
        <v>3995</v>
      </c>
      <c r="AH1281" s="99">
        <f>ROUND(VLOOKUP(1,enemy_base_stats!$A:$F,3,FALSE) * Z1281*K1281*P1281*F1281*T1281*AE1281 * W1281*[2]ステータス!$C$2,0)</f>
        <v>265</v>
      </c>
      <c r="AI1281" s="99">
        <f>ROUND(VLOOKUP(1,enemy_base_stats!$A:$F,4,FALSE) * AA1281*L1281*Q1281*G1281*U1281*AF1281*[2]ステータス!$D$2,0)</f>
        <v>0</v>
      </c>
      <c r="AJ1281" s="99">
        <f>ROUND(VLOOKUP(100,enemy_base_stats!$A:$F,2,FALSE) * Y1281* J1281*O1281*E1281*S1281*AD1281*[2]ステータス!$B$2,0)</f>
        <v>162197</v>
      </c>
      <c r="AK1281" s="99">
        <f>ROUND(VLOOKUP(100,enemy_base_stats!$A:$F,3,FALSE)* Z1281* K1281*P1281*F1281*T1281*AE1281 * W1281*[2]ステータス!$C$2,0)</f>
        <v>10754</v>
      </c>
      <c r="AL1281" s="99">
        <f>ROUND(VLOOKUP(100,enemy_base_stats!$A:$F,4,FALSE)* AA1281* L1281*Q1281*G1281*U1281*AF1281*[2]ステータス!$D$2,0)</f>
        <v>0</v>
      </c>
      <c r="AM1281" s="97">
        <f>VLOOKUP(M1281,[2]character_tribe_i18n!$A:$I,9,FALSE)</f>
        <v>400</v>
      </c>
      <c r="AN1281" s="36">
        <v>0</v>
      </c>
      <c r="AO1281" s="53">
        <v>0</v>
      </c>
      <c r="AP1281" s="58" t="s">
        <v>72</v>
      </c>
      <c r="AQ1281" s="71">
        <f t="shared" si="66"/>
        <v>1280</v>
      </c>
    </row>
    <row r="1282" spans="1:43" ht="21" customHeight="1" x14ac:dyDescent="0.15">
      <c r="A1282" s="7">
        <v>1281</v>
      </c>
      <c r="B1282" s="6" t="str">
        <f>VLOOKUP(A1282,[2]characters!$A:$C,3,FALSE)</f>
        <v>愛贈の白魔 ノエル・エスタブ</v>
      </c>
      <c r="C1282" s="9">
        <f>VLOOKUP(A1282,[2]characters!$A:$I,9,FALSE)</f>
        <v>5</v>
      </c>
      <c r="D1282" s="9" t="str">
        <f>VLOOKUP(A1282,[2]characters!$A:$H,8,FALSE)</f>
        <v>green</v>
      </c>
      <c r="E1282" s="24">
        <f>VLOOKUP(D1282,[2]属性!$A:$E,2,FALSE)</f>
        <v>1.02</v>
      </c>
      <c r="F1282" s="24">
        <f>VLOOKUP(D1282,[2]属性!$A:$E,3,FALSE)</f>
        <v>0.98</v>
      </c>
      <c r="G1282" s="24">
        <f>VLOOKUP(D1282,[2]属性!$A:$F,4,FALSE)</f>
        <v>1</v>
      </c>
      <c r="H1282" s="9" t="str">
        <f>VLOOKUP(A1282,[2]characters!$A:$K,11,FALSE)</f>
        <v>attack</v>
      </c>
      <c r="I1282" s="14" t="str">
        <f>VLOOKUP(H1282,[2]character_type_i18n!$A:$F,3,FALSE)</f>
        <v>攻撃タイプ</v>
      </c>
      <c r="J1282" s="36">
        <f>VLOOKUP(H1282,[2]character_type_i18n!$A:$F,4,FALSE)</f>
        <v>1</v>
      </c>
      <c r="K1282" s="36">
        <f>VLOOKUP(H1282,[2]character_type_i18n!$A:$F,5,FALSE)</f>
        <v>1.33</v>
      </c>
      <c r="L1282" s="36">
        <f>VLOOKUP(H1282,[2]character_type_i18n!$A:$F,6,FALSE)</f>
        <v>1</v>
      </c>
      <c r="M1282" s="9" t="str">
        <f>VLOOKUP(A1282,[2]characters!$A:$M,13,FALSE)</f>
        <v>human</v>
      </c>
      <c r="N1282" s="14" t="str">
        <f>VLOOKUP(M1282,[2]character_tribe_i18n!$A:$F,3,FALSE)</f>
        <v>ヒューマン</v>
      </c>
      <c r="O1282" s="24">
        <f>VLOOKUP(M1282,[2]character_tribe_i18n!$A:$F,4,FALSE)</f>
        <v>0.94</v>
      </c>
      <c r="P1282" s="24">
        <f>VLOOKUP(M1282,[2]character_tribe_i18n!$A:$F,5,FALSE)</f>
        <v>0.99</v>
      </c>
      <c r="Q1282" s="24">
        <f>VLOOKUP(M1282,[2]character_tribe_i18n!$A:$F,6,FALSE)</f>
        <v>1</v>
      </c>
      <c r="R1282" s="25" t="s">
        <v>98</v>
      </c>
      <c r="S1282" s="24">
        <f>VLOOKUP($R1282,ラベル別係数!$A$1:$E$7,3,FALSE)</f>
        <v>5</v>
      </c>
      <c r="T1282" s="24">
        <f>VLOOKUP($R1282,ラベル別係数!$A$1:$E$7,4,FALSE)</f>
        <v>1.3</v>
      </c>
      <c r="U1282" s="24">
        <f>VLOOKUP($R1282,ラベル別係数!$A$1:$E$7,5,FALSE)</f>
        <v>0.8</v>
      </c>
      <c r="V1282" s="27">
        <v>3</v>
      </c>
      <c r="W1282" s="28">
        <f>VLOOKUP(V1282,ターン数別攻撃係数!$A$1:$B$1000,2,FALSE)</f>
        <v>1</v>
      </c>
      <c r="X1282" s="9">
        <f>VLOOKUP(C1282,サイズ別係数!A$2:B$9,2,FALSE)</f>
        <v>60</v>
      </c>
      <c r="Y1282" s="26">
        <f>VLOOKUP($X1282,サイズ別係数!$B:$E,2,FALSE)</f>
        <v>1.7</v>
      </c>
      <c r="Z1282" s="26">
        <f>VLOOKUP($X1282,サイズ別係数!$B:$E,3,FALSE)</f>
        <v>1.4</v>
      </c>
      <c r="AA1282" s="26">
        <f>VLOOKUP($X1282,サイズ別係数!$B:$E,4,FALSE)</f>
        <v>1</v>
      </c>
      <c r="AB1282" s="5">
        <v>0</v>
      </c>
      <c r="AC1282" s="34" t="str">
        <f ca="1">VLOOKUP($AB1282,OFFSET([3]enemy_skill_sets!$B$2,0,0,COUNTA([3]enemy_skill_sets!$A:$A),MATCH(AC$1,[3]enemy_skill_sets!$1:$1,0)-MATCH($AB$1,[3]enemy_skill_sets!$1:$1,0)+1),MATCH(AC$1,[3]enemy_skill_sets!$1:$1,0)-MATCH($AB$1,[3]enemy_skill_sets!$1:$1,0)+1,FALSE)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2" s="67">
        <v>1</v>
      </c>
      <c r="AE1282" s="67">
        <v>1</v>
      </c>
      <c r="AF1282" s="37">
        <v>0</v>
      </c>
      <c r="AG1282" s="99">
        <f>ROUND(VLOOKUP(1,enemy_base_stats!$A:$F,2,FALSE) * Y1282* J1282*O1282*E1282*S1282*AD1282*[2]ステータス!$B$2,0)</f>
        <v>4075</v>
      </c>
      <c r="AH1282" s="99">
        <f>ROUND(VLOOKUP(1,enemy_base_stats!$A:$F,3,FALSE) * Z1282*K1282*P1282*F1282*T1282*AE1282 * W1282*[2]ステータス!$C$2,0)</f>
        <v>352</v>
      </c>
      <c r="AI1282" s="99">
        <f>ROUND(VLOOKUP(1,enemy_base_stats!$A:$F,4,FALSE) * AA1282*L1282*Q1282*G1282*U1282*AF1282*[2]ステータス!$D$2,0)</f>
        <v>0</v>
      </c>
      <c r="AJ1282" s="99">
        <f>ROUND(VLOOKUP(100,enemy_base_stats!$A:$F,2,FALSE) * Y1282* J1282*O1282*E1282*S1282*AD1282*[2]ステータス!$B$2,0)</f>
        <v>165441</v>
      </c>
      <c r="AK1282" s="99">
        <f>ROUND(VLOOKUP(100,enemy_base_stats!$A:$F,3,FALSE)* Z1282* K1282*P1282*F1282*T1282*AE1282 * W1282*[2]ステータス!$C$2,0)</f>
        <v>14302</v>
      </c>
      <c r="AL1282" s="99">
        <f>ROUND(VLOOKUP(100,enemy_base_stats!$A:$F,4,FALSE)* AA1282* L1282*Q1282*G1282*U1282*AF1282*[2]ステータス!$D$2,0)</f>
        <v>0</v>
      </c>
      <c r="AM1282" s="97">
        <f>VLOOKUP(M1282,[2]character_tribe_i18n!$A:$I,9,FALSE)</f>
        <v>400</v>
      </c>
      <c r="AN1282" s="36">
        <v>0</v>
      </c>
      <c r="AO1282" s="53">
        <v>0</v>
      </c>
      <c r="AP1282" s="58" t="s">
        <v>72</v>
      </c>
      <c r="AQ1282" s="71">
        <f t="shared" si="66"/>
        <v>1281</v>
      </c>
    </row>
    <row r="1283" spans="1:43" ht="21" customHeight="1" x14ac:dyDescent="0.15">
      <c r="A1283" s="7">
        <v>1282</v>
      </c>
      <c r="B1283" s="6" t="str">
        <f>VLOOKUP(A1283,[2]characters!$A:$C,3,FALSE)</f>
        <v>ポーラとダニー</v>
      </c>
      <c r="C1283" s="9">
        <f>VLOOKUP(A1283,[2]characters!$A:$I,9,FALSE)</f>
        <v>5</v>
      </c>
      <c r="D1283" s="9" t="str">
        <f>VLOOKUP(A1283,[2]characters!$A:$H,8,FALSE)</f>
        <v>red</v>
      </c>
      <c r="E1283" s="24">
        <f>VLOOKUP(D1283,[2]属性!$A:$E,2,FALSE)</f>
        <v>1</v>
      </c>
      <c r="F1283" s="24">
        <f>VLOOKUP(D1283,[2]属性!$A:$E,3,FALSE)</f>
        <v>1.02</v>
      </c>
      <c r="G1283" s="24">
        <f>VLOOKUP(D1283,[2]属性!$A:$F,4,FALSE)</f>
        <v>1</v>
      </c>
      <c r="H1283" s="100" t="s">
        <v>170</v>
      </c>
      <c r="I1283" s="108" t="s">
        <v>171</v>
      </c>
      <c r="J1283" s="36">
        <f>VLOOKUP(H1283,[2]character_type_i18n!$A:$F,4,FALSE)</f>
        <v>0.9</v>
      </c>
      <c r="K1283" s="36">
        <f>VLOOKUP(H1283,[2]character_type_i18n!$A:$F,5,FALSE)</f>
        <v>0.9</v>
      </c>
      <c r="L1283" s="36">
        <f>VLOOKUP(H1283,[2]character_type_i18n!$A:$F,6,FALSE)</f>
        <v>1</v>
      </c>
      <c r="M1283" s="9" t="str">
        <f>VLOOKUP(A1283,[2]characters!$A:$M,13,FALSE)</f>
        <v>unknown</v>
      </c>
      <c r="N1283" s="14" t="str">
        <f>VLOOKUP(M1283,[2]character_tribe_i18n!$A:$F,3,FALSE)</f>
        <v>Unknown</v>
      </c>
      <c r="O1283" s="24">
        <f>VLOOKUP(M1283,[2]character_tribe_i18n!$A:$F,4,FALSE)</f>
        <v>1</v>
      </c>
      <c r="P1283" s="24">
        <f>VLOOKUP(M1283,[2]character_tribe_i18n!$A:$F,5,FALSE)</f>
        <v>1</v>
      </c>
      <c r="Q1283" s="24">
        <f>VLOOKUP(M1283,[2]character_tribe_i18n!$A:$F,6,FALSE)</f>
        <v>1</v>
      </c>
      <c r="R1283" s="25" t="s">
        <v>98</v>
      </c>
      <c r="S1283" s="24">
        <f>VLOOKUP($R1283,ラベル別係数!$A$1:$E$7,3,FALSE)</f>
        <v>5</v>
      </c>
      <c r="T1283" s="24">
        <f>VLOOKUP($R1283,ラベル別係数!$A$1:$E$7,4,FALSE)</f>
        <v>1.3</v>
      </c>
      <c r="U1283" s="24">
        <f>VLOOKUP($R1283,ラベル別係数!$A$1:$E$7,5,FALSE)</f>
        <v>0.8</v>
      </c>
      <c r="V1283" s="27">
        <v>3</v>
      </c>
      <c r="W1283" s="28">
        <f>VLOOKUP(V1283,ターン数別攻撃係数!$A$1:$B$1000,2,FALSE)</f>
        <v>1</v>
      </c>
      <c r="X1283" s="9">
        <f>VLOOKUP(C1283,サイズ別係数!A$2:B$9,2,FALSE)</f>
        <v>60</v>
      </c>
      <c r="Y1283" s="26">
        <f>VLOOKUP($X1283,サイズ別係数!$B:$E,2,FALSE)</f>
        <v>1.7</v>
      </c>
      <c r="Z1283" s="26">
        <f>VLOOKUP($X1283,サイズ別係数!$B:$E,3,FALSE)</f>
        <v>1.4</v>
      </c>
      <c r="AA1283" s="26">
        <f>VLOOKUP($X1283,サイズ別係数!$B:$E,4,FALSE)</f>
        <v>1</v>
      </c>
      <c r="AB1283" s="5">
        <v>0</v>
      </c>
      <c r="AC1283" s="34" t="str">
        <f ca="1">VLOOKUP($AB1283,OFFSET([3]enemy_skill_sets!$B$2,0,0,COUNTA([3]enemy_skill_sets!$A:$A),MATCH(AC$1,[3]enemy_skill_sets!$1:$1,0)-MATCH($AB$1,[3]enemy_skill_sets!$1:$1,0)+1),MATCH(AC$1,[3]enemy_skill_sets!$1:$1,0)-MATCH($AB$1,[3]enemy_skill_sets!$1:$1,0)+1,FALSE)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3" s="67">
        <v>1</v>
      </c>
      <c r="AE1283" s="67">
        <v>1</v>
      </c>
      <c r="AF1283" s="37">
        <v>0</v>
      </c>
      <c r="AG1283" s="99">
        <f>ROUND(VLOOKUP(1,enemy_base_stats!$A:$F,2,FALSE) * Y1283* J1283*O1283*E1283*S1283*AD1283*[2]ステータス!$B$2,0)</f>
        <v>3825</v>
      </c>
      <c r="AH1283" s="99">
        <f>ROUND(VLOOKUP(1,enemy_base_stats!$A:$F,3,FALSE) * Z1283*K1283*P1283*F1283*T1283*AE1283 * W1283*[2]ステータス!$C$2,0)</f>
        <v>251</v>
      </c>
      <c r="AI1283" s="99">
        <f>ROUND(VLOOKUP(1,enemy_base_stats!$A:$F,4,FALSE) * AA1283*L1283*Q1283*G1283*U1283*AF1283*[2]ステータス!$D$2,0)</f>
        <v>0</v>
      </c>
      <c r="AJ1283" s="99">
        <f>ROUND(VLOOKUP(100,enemy_base_stats!$A:$F,2,FALSE) * Y1283* J1283*O1283*E1283*S1283*AD1283*[2]ステータス!$B$2,0)</f>
        <v>155295</v>
      </c>
      <c r="AK1283" s="99">
        <f>ROUND(VLOOKUP(100,enemy_base_stats!$A:$F,3,FALSE)* Z1283* K1283*P1283*F1283*T1283*AE1283 * W1283*[2]ステータス!$C$2,0)</f>
        <v>10175</v>
      </c>
      <c r="AL1283" s="99">
        <f>ROUND(VLOOKUP(100,enemy_base_stats!$A:$F,4,FALSE)* AA1283* L1283*Q1283*G1283*U1283*AF1283*[2]ステータス!$D$2,0)</f>
        <v>0</v>
      </c>
      <c r="AM1283" s="97">
        <f>VLOOKUP(M1283,[2]character_tribe_i18n!$A:$I,9,FALSE)</f>
        <v>340</v>
      </c>
      <c r="AN1283" s="36">
        <v>0</v>
      </c>
      <c r="AO1283" s="53">
        <v>0</v>
      </c>
      <c r="AP1283" s="58" t="s">
        <v>72</v>
      </c>
      <c r="AQ1283" s="71">
        <f t="shared" si="66"/>
        <v>1282</v>
      </c>
    </row>
    <row r="1284" spans="1:43" ht="21" customHeight="1" x14ac:dyDescent="0.15">
      <c r="A1284" s="7">
        <v>1283</v>
      </c>
      <c r="B1284" s="6" t="str">
        <f>VLOOKUP(A1284,[2]characters!$A:$C,3,FALSE)</f>
        <v>連極の機関砲 ポーラとダニー</v>
      </c>
      <c r="C1284" s="9">
        <f>VLOOKUP(A1284,[2]characters!$A:$I,9,FALSE)</f>
        <v>6</v>
      </c>
      <c r="D1284" s="9" t="str">
        <f>VLOOKUP(A1284,[2]characters!$A:$H,8,FALSE)</f>
        <v>red</v>
      </c>
      <c r="E1284" s="24">
        <f>VLOOKUP(D1284,[2]属性!$A:$E,2,FALSE)</f>
        <v>1</v>
      </c>
      <c r="F1284" s="24">
        <f>VLOOKUP(D1284,[2]属性!$A:$E,3,FALSE)</f>
        <v>1.02</v>
      </c>
      <c r="G1284" s="24">
        <f>VLOOKUP(D1284,[2]属性!$A:$F,4,FALSE)</f>
        <v>1</v>
      </c>
      <c r="H1284" s="100" t="s">
        <v>170</v>
      </c>
      <c r="I1284" s="108" t="s">
        <v>171</v>
      </c>
      <c r="J1284" s="36">
        <f>VLOOKUP(H1284,[2]character_type_i18n!$A:$F,4,FALSE)</f>
        <v>0.9</v>
      </c>
      <c r="K1284" s="36">
        <f>VLOOKUP(H1284,[2]character_type_i18n!$A:$F,5,FALSE)</f>
        <v>0.9</v>
      </c>
      <c r="L1284" s="36">
        <f>VLOOKUP(H1284,[2]character_type_i18n!$A:$F,6,FALSE)</f>
        <v>1</v>
      </c>
      <c r="M1284" s="9" t="str">
        <f>VLOOKUP(A1284,[2]characters!$A:$M,13,FALSE)</f>
        <v>unknown</v>
      </c>
      <c r="N1284" s="14" t="str">
        <f>VLOOKUP(M1284,[2]character_tribe_i18n!$A:$F,3,FALSE)</f>
        <v>Unknown</v>
      </c>
      <c r="O1284" s="24">
        <f>VLOOKUP(M1284,[2]character_tribe_i18n!$A:$F,4,FALSE)</f>
        <v>1</v>
      </c>
      <c r="P1284" s="24">
        <f>VLOOKUP(M1284,[2]character_tribe_i18n!$A:$F,5,FALSE)</f>
        <v>1</v>
      </c>
      <c r="Q1284" s="24">
        <f>VLOOKUP(M1284,[2]character_tribe_i18n!$A:$F,6,FALSE)</f>
        <v>1</v>
      </c>
      <c r="R1284" s="25" t="s">
        <v>98</v>
      </c>
      <c r="S1284" s="24">
        <f>VLOOKUP($R1284,ラベル別係数!$A$1:$E$7,3,FALSE)</f>
        <v>5</v>
      </c>
      <c r="T1284" s="24">
        <f>VLOOKUP($R1284,ラベル別係数!$A$1:$E$7,4,FALSE)</f>
        <v>1.3</v>
      </c>
      <c r="U1284" s="24">
        <f>VLOOKUP($R1284,ラベル別係数!$A$1:$E$7,5,FALSE)</f>
        <v>0.8</v>
      </c>
      <c r="V1284" s="27">
        <v>3</v>
      </c>
      <c r="W1284" s="28">
        <f>VLOOKUP(V1284,ターン数別攻撃係数!$A$1:$B$1000,2,FALSE)</f>
        <v>1</v>
      </c>
      <c r="X1284" s="9">
        <f>VLOOKUP(C1284,サイズ別係数!A$2:B$9,2,FALSE)</f>
        <v>60</v>
      </c>
      <c r="Y1284" s="26">
        <f>VLOOKUP($X1284,サイズ別係数!$B:$E,2,FALSE)</f>
        <v>1.7</v>
      </c>
      <c r="Z1284" s="26">
        <f>VLOOKUP($X1284,サイズ別係数!$B:$E,3,FALSE)</f>
        <v>1.4</v>
      </c>
      <c r="AA1284" s="26">
        <f>VLOOKUP($X1284,サイズ別係数!$B:$E,4,FALSE)</f>
        <v>1</v>
      </c>
      <c r="AB1284" s="5">
        <v>0</v>
      </c>
      <c r="AC1284" s="34" t="str">
        <f ca="1">VLOOKUP($AB1284,OFFSET([3]enemy_skill_sets!$B$2,0,0,COUNTA([3]enemy_skill_sets!$A:$A),MATCH(AC$1,[3]enemy_skill_sets!$1:$1,0)-MATCH($AB$1,[3]enemy_skill_sets!$1:$1,0)+1),MATCH(AC$1,[3]enemy_skill_sets!$1:$1,0)-MATCH($AB$1,[3]enemy_skill_sets!$1:$1,0)+1,FALSE)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4" s="67">
        <v>1</v>
      </c>
      <c r="AE1284" s="67">
        <v>1</v>
      </c>
      <c r="AF1284" s="37">
        <v>0</v>
      </c>
      <c r="AG1284" s="99">
        <f>ROUND(VLOOKUP(1,enemy_base_stats!$A:$F,2,FALSE) * Y1284* J1284*O1284*E1284*S1284*AD1284*[2]ステータス!$B$2,0)</f>
        <v>3825</v>
      </c>
      <c r="AH1284" s="99">
        <f>ROUND(VLOOKUP(1,enemy_base_stats!$A:$F,3,FALSE) * Z1284*K1284*P1284*F1284*T1284*AE1284 * W1284*[2]ステータス!$C$2,0)</f>
        <v>251</v>
      </c>
      <c r="AI1284" s="99">
        <f>ROUND(VLOOKUP(1,enemy_base_stats!$A:$F,4,FALSE) * AA1284*L1284*Q1284*G1284*U1284*AF1284*[2]ステータス!$D$2,0)</f>
        <v>0</v>
      </c>
      <c r="AJ1284" s="99">
        <f>ROUND(VLOOKUP(100,enemy_base_stats!$A:$F,2,FALSE) * Y1284* J1284*O1284*E1284*S1284*AD1284*[2]ステータス!$B$2,0)</f>
        <v>155295</v>
      </c>
      <c r="AK1284" s="99">
        <f>ROUND(VLOOKUP(100,enemy_base_stats!$A:$F,3,FALSE)* Z1284* K1284*P1284*F1284*T1284*AE1284 * W1284*[2]ステータス!$C$2,0)</f>
        <v>10175</v>
      </c>
      <c r="AL1284" s="99">
        <f>ROUND(VLOOKUP(100,enemy_base_stats!$A:$F,4,FALSE)* AA1284* L1284*Q1284*G1284*U1284*AF1284*[2]ステータス!$D$2,0)</f>
        <v>0</v>
      </c>
      <c r="AM1284" s="97">
        <f>VLOOKUP(M1284,[2]character_tribe_i18n!$A:$I,9,FALSE)</f>
        <v>340</v>
      </c>
      <c r="AN1284" s="36">
        <v>0</v>
      </c>
      <c r="AO1284" s="53">
        <v>0</v>
      </c>
      <c r="AP1284" s="58" t="s">
        <v>72</v>
      </c>
      <c r="AQ1284" s="71">
        <f t="shared" si="66"/>
        <v>1283</v>
      </c>
    </row>
    <row r="1285" spans="1:43" ht="21" customHeight="1" x14ac:dyDescent="0.15">
      <c r="A1285" s="7">
        <v>1284</v>
      </c>
      <c r="B1285" s="6" t="str">
        <f>VLOOKUP(A1285,[2]characters!$A:$C,3,FALSE)</f>
        <v>マシン・シュプール</v>
      </c>
      <c r="C1285" s="9">
        <f>VLOOKUP(A1285,[2]characters!$A:$I,9,FALSE)</f>
        <v>5</v>
      </c>
      <c r="D1285" s="9" t="str">
        <f>VLOOKUP(A1285,[2]characters!$A:$H,8,FALSE)</f>
        <v>blue</v>
      </c>
      <c r="E1285" s="24">
        <f>VLOOKUP(D1285,[2]属性!$A:$E,2,FALSE)</f>
        <v>1</v>
      </c>
      <c r="F1285" s="24">
        <f>VLOOKUP(D1285,[2]属性!$A:$E,3,FALSE)</f>
        <v>0.98</v>
      </c>
      <c r="G1285" s="24">
        <f>VLOOKUP(D1285,[2]属性!$A:$F,4,FALSE)</f>
        <v>1</v>
      </c>
      <c r="H1285" s="9" t="str">
        <f>VLOOKUP(A1285,[2]characters!$A:$K,11,FALSE)</f>
        <v>hp</v>
      </c>
      <c r="I1285" s="14" t="str">
        <f>VLOOKUP(H1285,[2]character_type_i18n!$A:$F,3,FALSE)</f>
        <v>体力タイプ</v>
      </c>
      <c r="J1285" s="36">
        <f>VLOOKUP(H1285,[2]character_type_i18n!$A:$F,4,FALSE)</f>
        <v>1.45</v>
      </c>
      <c r="K1285" s="36">
        <f>VLOOKUP(H1285,[2]character_type_i18n!$A:$F,5,FALSE)</f>
        <v>0.85</v>
      </c>
      <c r="L1285" s="36">
        <f>VLOOKUP(H1285,[2]character_type_i18n!$A:$F,6,FALSE)</f>
        <v>1</v>
      </c>
      <c r="M1285" s="9" t="str">
        <f>VLOOKUP(A1285,[2]characters!$A:$M,13,FALSE)</f>
        <v>unknown</v>
      </c>
      <c r="N1285" s="14" t="str">
        <f>VLOOKUP(M1285,[2]character_tribe_i18n!$A:$F,3,FALSE)</f>
        <v>Unknown</v>
      </c>
      <c r="O1285" s="24">
        <f>VLOOKUP(M1285,[2]character_tribe_i18n!$A:$F,4,FALSE)</f>
        <v>1</v>
      </c>
      <c r="P1285" s="24">
        <f>VLOOKUP(M1285,[2]character_tribe_i18n!$A:$F,5,FALSE)</f>
        <v>1</v>
      </c>
      <c r="Q1285" s="24">
        <f>VLOOKUP(M1285,[2]character_tribe_i18n!$A:$F,6,FALSE)</f>
        <v>1</v>
      </c>
      <c r="R1285" s="25" t="s">
        <v>98</v>
      </c>
      <c r="S1285" s="24">
        <f>VLOOKUP($R1285,ラベル別係数!$A$1:$E$7,3,FALSE)</f>
        <v>5</v>
      </c>
      <c r="T1285" s="24">
        <f>VLOOKUP($R1285,ラベル別係数!$A$1:$E$7,4,FALSE)</f>
        <v>1.3</v>
      </c>
      <c r="U1285" s="24">
        <f>VLOOKUP($R1285,ラベル別係数!$A$1:$E$7,5,FALSE)</f>
        <v>0.8</v>
      </c>
      <c r="V1285" s="27">
        <v>3</v>
      </c>
      <c r="W1285" s="28">
        <f>VLOOKUP(V1285,ターン数別攻撃係数!$A$1:$B$1000,2,FALSE)</f>
        <v>1</v>
      </c>
      <c r="X1285" s="9">
        <f>VLOOKUP(C1285,サイズ別係数!A$2:B$9,2,FALSE)</f>
        <v>60</v>
      </c>
      <c r="Y1285" s="26">
        <f>VLOOKUP($X1285,サイズ別係数!$B:$E,2,FALSE)</f>
        <v>1.7</v>
      </c>
      <c r="Z1285" s="26">
        <f>VLOOKUP($X1285,サイズ別係数!$B:$E,3,FALSE)</f>
        <v>1.4</v>
      </c>
      <c r="AA1285" s="26">
        <f>VLOOKUP($X1285,サイズ別係数!$B:$E,4,FALSE)</f>
        <v>1</v>
      </c>
      <c r="AB1285" s="5">
        <v>0</v>
      </c>
      <c r="AC1285" s="34" t="str">
        <f ca="1">VLOOKUP($AB1285,OFFSET([3]enemy_skill_sets!$B$2,0,0,COUNTA([3]enemy_skill_sets!$A:$A),MATCH(AC$1,[3]enemy_skill_sets!$1:$1,0)-MATCH($AB$1,[3]enemy_skill_sets!$1:$1,0)+1),MATCH(AC$1,[3]enemy_skill_sets!$1:$1,0)-MATCH($AB$1,[3]enemy_skill_sets!$1:$1,0)+1,FALSE)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5" s="67">
        <v>1</v>
      </c>
      <c r="AE1285" s="67">
        <v>1</v>
      </c>
      <c r="AF1285" s="37">
        <v>0</v>
      </c>
      <c r="AG1285" s="99">
        <f>ROUND(VLOOKUP(1,enemy_base_stats!$A:$F,2,FALSE) * Y1285* J1285*O1285*E1285*S1285*AD1285*[2]ステータス!$B$2,0)</f>
        <v>6163</v>
      </c>
      <c r="AH1285" s="99">
        <f>ROUND(VLOOKUP(1,enemy_base_stats!$A:$F,3,FALSE) * Z1285*K1285*P1285*F1285*T1285*AE1285 * W1285*[2]ステータス!$C$2,0)</f>
        <v>227</v>
      </c>
      <c r="AI1285" s="99">
        <f>ROUND(VLOOKUP(1,enemy_base_stats!$A:$F,4,FALSE) * AA1285*L1285*Q1285*G1285*U1285*AF1285*[2]ステータス!$D$2,0)</f>
        <v>0</v>
      </c>
      <c r="AJ1285" s="99">
        <f>ROUND(VLOOKUP(100,enemy_base_stats!$A:$F,2,FALSE) * Y1285* J1285*O1285*E1285*S1285*AD1285*[2]ステータス!$B$2,0)</f>
        <v>250198</v>
      </c>
      <c r="AK1285" s="99">
        <f>ROUND(VLOOKUP(100,enemy_base_stats!$A:$F,3,FALSE)* Z1285* K1285*P1285*F1285*T1285*AE1285 * W1285*[2]ステータス!$C$2,0)</f>
        <v>9233</v>
      </c>
      <c r="AL1285" s="99">
        <f>ROUND(VLOOKUP(100,enemy_base_stats!$A:$F,4,FALSE)* AA1285* L1285*Q1285*G1285*U1285*AF1285*[2]ステータス!$D$2,0)</f>
        <v>0</v>
      </c>
      <c r="AM1285" s="97">
        <f>VLOOKUP(M1285,[2]character_tribe_i18n!$A:$I,9,FALSE)</f>
        <v>340</v>
      </c>
      <c r="AN1285" s="36">
        <v>0</v>
      </c>
      <c r="AO1285" s="53">
        <v>0</v>
      </c>
      <c r="AP1285" s="58" t="s">
        <v>72</v>
      </c>
      <c r="AQ1285" s="71">
        <f t="shared" si="66"/>
        <v>1284</v>
      </c>
    </row>
    <row r="1286" spans="1:43" ht="21" customHeight="1" x14ac:dyDescent="0.15">
      <c r="A1286" s="7">
        <v>1285</v>
      </c>
      <c r="B1286" s="6" t="str">
        <f>VLOOKUP(A1286,[2]characters!$A:$C,3,FALSE)</f>
        <v>災氷の魔導 シュプール</v>
      </c>
      <c r="C1286" s="9">
        <f>VLOOKUP(A1286,[2]characters!$A:$I,9,FALSE)</f>
        <v>6</v>
      </c>
      <c r="D1286" s="9" t="str">
        <f>VLOOKUP(A1286,[2]characters!$A:$H,8,FALSE)</f>
        <v>blue</v>
      </c>
      <c r="E1286" s="24">
        <f>VLOOKUP(D1286,[2]属性!$A:$E,2,FALSE)</f>
        <v>1</v>
      </c>
      <c r="F1286" s="24">
        <f>VLOOKUP(D1286,[2]属性!$A:$E,3,FALSE)</f>
        <v>0.98</v>
      </c>
      <c r="G1286" s="24">
        <f>VLOOKUP(D1286,[2]属性!$A:$F,4,FALSE)</f>
        <v>1</v>
      </c>
      <c r="H1286" s="9" t="str">
        <f>VLOOKUP(A1286,[2]characters!$A:$K,11,FALSE)</f>
        <v>hp</v>
      </c>
      <c r="I1286" s="14" t="str">
        <f>VLOOKUP(H1286,[2]character_type_i18n!$A:$F,3,FALSE)</f>
        <v>体力タイプ</v>
      </c>
      <c r="J1286" s="36">
        <f>VLOOKUP(H1286,[2]character_type_i18n!$A:$F,4,FALSE)</f>
        <v>1.45</v>
      </c>
      <c r="K1286" s="36">
        <f>VLOOKUP(H1286,[2]character_type_i18n!$A:$F,5,FALSE)</f>
        <v>0.85</v>
      </c>
      <c r="L1286" s="36">
        <f>VLOOKUP(H1286,[2]character_type_i18n!$A:$F,6,FALSE)</f>
        <v>1</v>
      </c>
      <c r="M1286" s="9" t="str">
        <f>VLOOKUP(A1286,[2]characters!$A:$M,13,FALSE)</f>
        <v>unknown</v>
      </c>
      <c r="N1286" s="14" t="str">
        <f>VLOOKUP(M1286,[2]character_tribe_i18n!$A:$F,3,FALSE)</f>
        <v>Unknown</v>
      </c>
      <c r="O1286" s="24">
        <f>VLOOKUP(M1286,[2]character_tribe_i18n!$A:$F,4,FALSE)</f>
        <v>1</v>
      </c>
      <c r="P1286" s="24">
        <f>VLOOKUP(M1286,[2]character_tribe_i18n!$A:$F,5,FALSE)</f>
        <v>1</v>
      </c>
      <c r="Q1286" s="24">
        <f>VLOOKUP(M1286,[2]character_tribe_i18n!$A:$F,6,FALSE)</f>
        <v>1</v>
      </c>
      <c r="R1286" s="25" t="s">
        <v>98</v>
      </c>
      <c r="S1286" s="24">
        <f>VLOOKUP($R1286,ラベル別係数!$A$1:$E$7,3,FALSE)</f>
        <v>5</v>
      </c>
      <c r="T1286" s="24">
        <f>VLOOKUP($R1286,ラベル別係数!$A$1:$E$7,4,FALSE)</f>
        <v>1.3</v>
      </c>
      <c r="U1286" s="24">
        <f>VLOOKUP($R1286,ラベル別係数!$A$1:$E$7,5,FALSE)</f>
        <v>0.8</v>
      </c>
      <c r="V1286" s="27">
        <v>3</v>
      </c>
      <c r="W1286" s="28">
        <f>VLOOKUP(V1286,ターン数別攻撃係数!$A$1:$B$1000,2,FALSE)</f>
        <v>1</v>
      </c>
      <c r="X1286" s="9">
        <f>VLOOKUP(C1286,サイズ別係数!A$2:B$9,2,FALSE)</f>
        <v>60</v>
      </c>
      <c r="Y1286" s="26">
        <f>VLOOKUP($X1286,サイズ別係数!$B:$E,2,FALSE)</f>
        <v>1.7</v>
      </c>
      <c r="Z1286" s="26">
        <f>VLOOKUP($X1286,サイズ別係数!$B:$E,3,FALSE)</f>
        <v>1.4</v>
      </c>
      <c r="AA1286" s="26">
        <f>VLOOKUP($X1286,サイズ別係数!$B:$E,4,FALSE)</f>
        <v>1</v>
      </c>
      <c r="AB1286" s="5">
        <v>0</v>
      </c>
      <c r="AC1286" s="34" t="str">
        <f ca="1">VLOOKUP($AB1286,OFFSET([3]enemy_skill_sets!$B$2,0,0,COUNTA([3]enemy_skill_sets!$A:$A),MATCH(AC$1,[3]enemy_skill_sets!$1:$1,0)-MATCH($AB$1,[3]enemy_skill_sets!$1:$1,0)+1),MATCH(AC$1,[3]enemy_skill_sets!$1:$1,0)-MATCH($AB$1,[3]enemy_skill_sets!$1:$1,0)+1,FALSE)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6" s="67">
        <v>1</v>
      </c>
      <c r="AE1286" s="67">
        <v>1</v>
      </c>
      <c r="AF1286" s="37">
        <v>0</v>
      </c>
      <c r="AG1286" s="99">
        <f>ROUND(VLOOKUP(1,enemy_base_stats!$A:$F,2,FALSE) * Y1286* J1286*O1286*E1286*S1286*AD1286*[2]ステータス!$B$2,0)</f>
        <v>6163</v>
      </c>
      <c r="AH1286" s="99">
        <f>ROUND(VLOOKUP(1,enemy_base_stats!$A:$F,3,FALSE) * Z1286*K1286*P1286*F1286*T1286*AE1286 * W1286*[2]ステータス!$C$2,0)</f>
        <v>227</v>
      </c>
      <c r="AI1286" s="99">
        <f>ROUND(VLOOKUP(1,enemy_base_stats!$A:$F,4,FALSE) * AA1286*L1286*Q1286*G1286*U1286*AF1286*[2]ステータス!$D$2,0)</f>
        <v>0</v>
      </c>
      <c r="AJ1286" s="99">
        <f>ROUND(VLOOKUP(100,enemy_base_stats!$A:$F,2,FALSE) * Y1286* J1286*O1286*E1286*S1286*AD1286*[2]ステータス!$B$2,0)</f>
        <v>250198</v>
      </c>
      <c r="AK1286" s="99">
        <f>ROUND(VLOOKUP(100,enemy_base_stats!$A:$F,3,FALSE)* Z1286* K1286*P1286*F1286*T1286*AE1286 * W1286*[2]ステータス!$C$2,0)</f>
        <v>9233</v>
      </c>
      <c r="AL1286" s="99">
        <f>ROUND(VLOOKUP(100,enemy_base_stats!$A:$F,4,FALSE)* AA1286* L1286*Q1286*G1286*U1286*AF1286*[2]ステータス!$D$2,0)</f>
        <v>0</v>
      </c>
      <c r="AM1286" s="97">
        <f>VLOOKUP(M1286,[2]character_tribe_i18n!$A:$I,9,FALSE)</f>
        <v>340</v>
      </c>
      <c r="AN1286" s="36">
        <v>0</v>
      </c>
      <c r="AO1286" s="53">
        <v>0</v>
      </c>
      <c r="AP1286" s="58" t="s">
        <v>72</v>
      </c>
      <c r="AQ1286" s="71">
        <f t="shared" si="66"/>
        <v>1285</v>
      </c>
    </row>
    <row r="1287" spans="1:43" ht="21" customHeight="1" x14ac:dyDescent="0.15">
      <c r="A1287" s="7">
        <v>1286</v>
      </c>
      <c r="B1287" s="6" t="str">
        <f>VLOOKUP(A1287,[2]characters!$A:$C,3,FALSE)</f>
        <v>ニコラ</v>
      </c>
      <c r="C1287" s="9">
        <f>VLOOKUP(A1287,[2]characters!$A:$I,9,FALSE)</f>
        <v>5</v>
      </c>
      <c r="D1287" s="9" t="str">
        <f>VLOOKUP(A1287,[2]characters!$A:$H,8,FALSE)</f>
        <v>yellow</v>
      </c>
      <c r="E1287" s="24">
        <f>VLOOKUP(D1287,[2]属性!$A:$E,2,FALSE)</f>
        <v>0.98</v>
      </c>
      <c r="F1287" s="24">
        <f>VLOOKUP(D1287,[2]属性!$A:$E,3,FALSE)</f>
        <v>1.01</v>
      </c>
      <c r="G1287" s="24">
        <f>VLOOKUP(D1287,[2]属性!$A:$F,4,FALSE)</f>
        <v>1</v>
      </c>
      <c r="H1287" s="9" t="str">
        <f>VLOOKUP(A1287,[2]characters!$A:$K,11,FALSE)</f>
        <v>hp</v>
      </c>
      <c r="I1287" s="14" t="str">
        <f>VLOOKUP(H1287,[2]character_type_i18n!$A:$F,3,FALSE)</f>
        <v>体力タイプ</v>
      </c>
      <c r="J1287" s="36">
        <f>VLOOKUP(H1287,[2]character_type_i18n!$A:$F,4,FALSE)</f>
        <v>1.45</v>
      </c>
      <c r="K1287" s="36">
        <f>VLOOKUP(H1287,[2]character_type_i18n!$A:$F,5,FALSE)</f>
        <v>0.85</v>
      </c>
      <c r="L1287" s="36">
        <f>VLOOKUP(H1287,[2]character_type_i18n!$A:$F,6,FALSE)</f>
        <v>1</v>
      </c>
      <c r="M1287" s="9" t="str">
        <f>VLOOKUP(A1287,[2]characters!$A:$M,13,FALSE)</f>
        <v>human</v>
      </c>
      <c r="N1287" s="14" t="str">
        <f>VLOOKUP(M1287,[2]character_tribe_i18n!$A:$F,3,FALSE)</f>
        <v>ヒューマン</v>
      </c>
      <c r="O1287" s="24">
        <f>VLOOKUP(M1287,[2]character_tribe_i18n!$A:$F,4,FALSE)</f>
        <v>0.94</v>
      </c>
      <c r="P1287" s="24">
        <f>VLOOKUP(M1287,[2]character_tribe_i18n!$A:$F,5,FALSE)</f>
        <v>0.99</v>
      </c>
      <c r="Q1287" s="24">
        <f>VLOOKUP(M1287,[2]character_tribe_i18n!$A:$F,6,FALSE)</f>
        <v>1</v>
      </c>
      <c r="R1287" s="25" t="s">
        <v>98</v>
      </c>
      <c r="S1287" s="24">
        <f>VLOOKUP($R1287,ラベル別係数!$A$1:$E$7,3,FALSE)</f>
        <v>5</v>
      </c>
      <c r="T1287" s="24">
        <f>VLOOKUP($R1287,ラベル別係数!$A$1:$E$7,4,FALSE)</f>
        <v>1.3</v>
      </c>
      <c r="U1287" s="24">
        <f>VLOOKUP($R1287,ラベル別係数!$A$1:$E$7,5,FALSE)</f>
        <v>0.8</v>
      </c>
      <c r="V1287" s="27">
        <v>3</v>
      </c>
      <c r="W1287" s="28">
        <f>VLOOKUP(V1287,ターン数別攻撃係数!$A$1:$B$1000,2,FALSE)</f>
        <v>1</v>
      </c>
      <c r="X1287" s="9">
        <f>VLOOKUP(C1287,サイズ別係数!A$2:B$9,2,FALSE)</f>
        <v>60</v>
      </c>
      <c r="Y1287" s="26">
        <f>VLOOKUP($X1287,サイズ別係数!$B:$E,2,FALSE)</f>
        <v>1.7</v>
      </c>
      <c r="Z1287" s="26">
        <f>VLOOKUP($X1287,サイズ別係数!$B:$E,3,FALSE)</f>
        <v>1.4</v>
      </c>
      <c r="AA1287" s="26">
        <f>VLOOKUP($X1287,サイズ別係数!$B:$E,4,FALSE)</f>
        <v>1</v>
      </c>
      <c r="AB1287" s="5">
        <v>0</v>
      </c>
      <c r="AC1287" s="34" t="str">
        <f ca="1">VLOOKUP($AB1287,OFFSET([3]enemy_skill_sets!$B$2,0,0,COUNTA([3]enemy_skill_sets!$A:$A),MATCH(AC$1,[3]enemy_skill_sets!$1:$1,0)-MATCH($AB$1,[3]enemy_skill_sets!$1:$1,0)+1),MATCH(AC$1,[3]enemy_skill_sets!$1:$1,0)-MATCH($AB$1,[3]enemy_skill_sets!$1:$1,0)+1,FALSE)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7" s="67">
        <v>1</v>
      </c>
      <c r="AE1287" s="67">
        <v>1</v>
      </c>
      <c r="AF1287" s="37">
        <v>0</v>
      </c>
      <c r="AG1287" s="99">
        <f>ROUND(VLOOKUP(1,enemy_base_stats!$A:$F,2,FALSE) * Y1287* J1287*O1287*E1287*S1287*AD1287*[2]ステータス!$B$2,0)</f>
        <v>5677</v>
      </c>
      <c r="AH1287" s="99">
        <f>ROUND(VLOOKUP(1,enemy_base_stats!$A:$F,3,FALSE) * Z1287*K1287*P1287*F1287*T1287*AE1287 * W1287*[2]ステータス!$C$2,0)</f>
        <v>232</v>
      </c>
      <c r="AI1287" s="99">
        <f>ROUND(VLOOKUP(1,enemy_base_stats!$A:$F,4,FALSE) * AA1287*L1287*Q1287*G1287*U1287*AF1287*[2]ステータス!$D$2,0)</f>
        <v>0</v>
      </c>
      <c r="AJ1287" s="99">
        <f>ROUND(VLOOKUP(100,enemy_base_stats!$A:$F,2,FALSE) * Y1287* J1287*O1287*E1287*S1287*AD1287*[2]ステータス!$B$2,0)</f>
        <v>230482</v>
      </c>
      <c r="AK1287" s="99">
        <f>ROUND(VLOOKUP(100,enemy_base_stats!$A:$F,3,FALSE)* Z1287* K1287*P1287*F1287*T1287*AE1287 * W1287*[2]ステータス!$C$2,0)</f>
        <v>9420</v>
      </c>
      <c r="AL1287" s="99">
        <f>ROUND(VLOOKUP(100,enemy_base_stats!$A:$F,4,FALSE)* AA1287* L1287*Q1287*G1287*U1287*AF1287*[2]ステータス!$D$2,0)</f>
        <v>0</v>
      </c>
      <c r="AM1287" s="97">
        <f>VLOOKUP(M1287,[2]character_tribe_i18n!$A:$I,9,FALSE)</f>
        <v>400</v>
      </c>
      <c r="AN1287" s="36">
        <v>0</v>
      </c>
      <c r="AO1287" s="53">
        <v>0</v>
      </c>
      <c r="AP1287" s="58" t="s">
        <v>72</v>
      </c>
      <c r="AQ1287" s="71">
        <f t="shared" si="66"/>
        <v>1286</v>
      </c>
    </row>
    <row r="1288" spans="1:43" ht="21" customHeight="1" x14ac:dyDescent="0.15">
      <c r="A1288" s="7">
        <v>1287</v>
      </c>
      <c r="B1288" s="6" t="str">
        <f>VLOOKUP(A1288,[2]characters!$A:$C,3,FALSE)</f>
        <v>奇蹟呼ぶ聖砲 ニコラ</v>
      </c>
      <c r="C1288" s="9">
        <f>VLOOKUP(A1288,[2]characters!$A:$I,9,FALSE)</f>
        <v>6</v>
      </c>
      <c r="D1288" s="9" t="str">
        <f>VLOOKUP(A1288,[2]characters!$A:$H,8,FALSE)</f>
        <v>yellow</v>
      </c>
      <c r="E1288" s="24">
        <f>VLOOKUP(D1288,[2]属性!$A:$E,2,FALSE)</f>
        <v>0.98</v>
      </c>
      <c r="F1288" s="24">
        <f>VLOOKUP(D1288,[2]属性!$A:$E,3,FALSE)</f>
        <v>1.01</v>
      </c>
      <c r="G1288" s="24">
        <f>VLOOKUP(D1288,[2]属性!$A:$F,4,FALSE)</f>
        <v>1</v>
      </c>
      <c r="H1288" s="9" t="str">
        <f>VLOOKUP(A1288,[2]characters!$A:$K,11,FALSE)</f>
        <v>hp</v>
      </c>
      <c r="I1288" s="14" t="str">
        <f>VLOOKUP(H1288,[2]character_type_i18n!$A:$F,3,FALSE)</f>
        <v>体力タイプ</v>
      </c>
      <c r="J1288" s="36">
        <f>VLOOKUP(H1288,[2]character_type_i18n!$A:$F,4,FALSE)</f>
        <v>1.45</v>
      </c>
      <c r="K1288" s="36">
        <f>VLOOKUP(H1288,[2]character_type_i18n!$A:$F,5,FALSE)</f>
        <v>0.85</v>
      </c>
      <c r="L1288" s="36">
        <f>VLOOKUP(H1288,[2]character_type_i18n!$A:$F,6,FALSE)</f>
        <v>1</v>
      </c>
      <c r="M1288" s="9" t="str">
        <f>VLOOKUP(A1288,[2]characters!$A:$M,13,FALSE)</f>
        <v>human</v>
      </c>
      <c r="N1288" s="14" t="str">
        <f>VLOOKUP(M1288,[2]character_tribe_i18n!$A:$F,3,FALSE)</f>
        <v>ヒューマン</v>
      </c>
      <c r="O1288" s="24">
        <f>VLOOKUP(M1288,[2]character_tribe_i18n!$A:$F,4,FALSE)</f>
        <v>0.94</v>
      </c>
      <c r="P1288" s="24">
        <f>VLOOKUP(M1288,[2]character_tribe_i18n!$A:$F,5,FALSE)</f>
        <v>0.99</v>
      </c>
      <c r="Q1288" s="24">
        <f>VLOOKUP(M1288,[2]character_tribe_i18n!$A:$F,6,FALSE)</f>
        <v>1</v>
      </c>
      <c r="R1288" s="25" t="s">
        <v>98</v>
      </c>
      <c r="S1288" s="24">
        <f>VLOOKUP($R1288,ラベル別係数!$A$1:$E$7,3,FALSE)</f>
        <v>5</v>
      </c>
      <c r="T1288" s="24">
        <f>VLOOKUP($R1288,ラベル別係数!$A$1:$E$7,4,FALSE)</f>
        <v>1.3</v>
      </c>
      <c r="U1288" s="24">
        <f>VLOOKUP($R1288,ラベル別係数!$A$1:$E$7,5,FALSE)</f>
        <v>0.8</v>
      </c>
      <c r="V1288" s="27">
        <v>3</v>
      </c>
      <c r="W1288" s="28">
        <f>VLOOKUP(V1288,ターン数別攻撃係数!$A$1:$B$1000,2,FALSE)</f>
        <v>1</v>
      </c>
      <c r="X1288" s="9">
        <f>VLOOKUP(C1288,サイズ別係数!A$2:B$9,2,FALSE)</f>
        <v>60</v>
      </c>
      <c r="Y1288" s="26">
        <f>VLOOKUP($X1288,サイズ別係数!$B:$E,2,FALSE)</f>
        <v>1.7</v>
      </c>
      <c r="Z1288" s="26">
        <f>VLOOKUP($X1288,サイズ別係数!$B:$E,3,FALSE)</f>
        <v>1.4</v>
      </c>
      <c r="AA1288" s="26">
        <f>VLOOKUP($X1288,サイズ別係数!$B:$E,4,FALSE)</f>
        <v>1</v>
      </c>
      <c r="AB1288" s="5">
        <v>0</v>
      </c>
      <c r="AC1288" s="34" t="str">
        <f ca="1">VLOOKUP($AB1288,OFFSET([3]enemy_skill_sets!$B$2,0,0,COUNTA([3]enemy_skill_sets!$A:$A),MATCH(AC$1,[3]enemy_skill_sets!$1:$1,0)-MATCH($AB$1,[3]enemy_skill_sets!$1:$1,0)+1),MATCH(AC$1,[3]enemy_skill_sets!$1:$1,0)-MATCH($AB$1,[3]enemy_skill_sets!$1:$1,0)+1,FALSE)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8" s="67">
        <v>1</v>
      </c>
      <c r="AE1288" s="67">
        <v>1</v>
      </c>
      <c r="AF1288" s="37">
        <v>0</v>
      </c>
      <c r="AG1288" s="99">
        <f>ROUND(VLOOKUP(1,enemy_base_stats!$A:$F,2,FALSE) * Y1288* J1288*O1288*E1288*S1288*AD1288*[2]ステータス!$B$2,0)</f>
        <v>5677</v>
      </c>
      <c r="AH1288" s="99">
        <f>ROUND(VLOOKUP(1,enemy_base_stats!$A:$F,3,FALSE) * Z1288*K1288*P1288*F1288*T1288*AE1288 * W1288*[2]ステータス!$C$2,0)</f>
        <v>232</v>
      </c>
      <c r="AI1288" s="99">
        <f>ROUND(VLOOKUP(1,enemy_base_stats!$A:$F,4,FALSE) * AA1288*L1288*Q1288*G1288*U1288*AF1288*[2]ステータス!$D$2,0)</f>
        <v>0</v>
      </c>
      <c r="AJ1288" s="99">
        <f>ROUND(VLOOKUP(100,enemy_base_stats!$A:$F,2,FALSE) * Y1288* J1288*O1288*E1288*S1288*AD1288*[2]ステータス!$B$2,0)</f>
        <v>230482</v>
      </c>
      <c r="AK1288" s="99">
        <f>ROUND(VLOOKUP(100,enemy_base_stats!$A:$F,3,FALSE)* Z1288* K1288*P1288*F1288*T1288*AE1288 * W1288*[2]ステータス!$C$2,0)</f>
        <v>9420</v>
      </c>
      <c r="AL1288" s="99">
        <f>ROUND(VLOOKUP(100,enemy_base_stats!$A:$F,4,FALSE)* AA1288* L1288*Q1288*G1288*U1288*AF1288*[2]ステータス!$D$2,0)</f>
        <v>0</v>
      </c>
      <c r="AM1288" s="97">
        <f>VLOOKUP(M1288,[2]character_tribe_i18n!$A:$I,9,FALSE)</f>
        <v>400</v>
      </c>
      <c r="AN1288" s="36">
        <v>0</v>
      </c>
      <c r="AO1288" s="53">
        <v>0</v>
      </c>
      <c r="AP1288" s="58" t="s">
        <v>72</v>
      </c>
      <c r="AQ1288" s="71">
        <f t="shared" si="66"/>
        <v>1287</v>
      </c>
    </row>
    <row r="1289" spans="1:43" ht="21" customHeight="1" x14ac:dyDescent="0.15">
      <c r="A1289" s="7">
        <v>1288</v>
      </c>
      <c r="B1289" s="6" t="str">
        <f>VLOOKUP(A1289,[2]characters!$A:$C,3,FALSE)</f>
        <v>聖伝の大主教 セント・ニコラ</v>
      </c>
      <c r="C1289" s="9">
        <f>VLOOKUP(A1289,[2]characters!$A:$I,9,FALSE)</f>
        <v>6</v>
      </c>
      <c r="D1289" s="9" t="str">
        <f>VLOOKUP(A1289,[2]characters!$A:$H,8,FALSE)</f>
        <v>yellow</v>
      </c>
      <c r="E1289" s="24">
        <f>VLOOKUP(D1289,[2]属性!$A:$E,2,FALSE)</f>
        <v>0.98</v>
      </c>
      <c r="F1289" s="24">
        <f>VLOOKUP(D1289,[2]属性!$A:$E,3,FALSE)</f>
        <v>1.01</v>
      </c>
      <c r="G1289" s="24">
        <f>VLOOKUP(D1289,[2]属性!$A:$F,4,FALSE)</f>
        <v>1</v>
      </c>
      <c r="H1289" s="9" t="str">
        <f>VLOOKUP(A1289,[2]characters!$A:$K,11,FALSE)</f>
        <v>hp</v>
      </c>
      <c r="I1289" s="14" t="str">
        <f>VLOOKUP(H1289,[2]character_type_i18n!$A:$F,3,FALSE)</f>
        <v>体力タイプ</v>
      </c>
      <c r="J1289" s="36">
        <f>VLOOKUP(H1289,[2]character_type_i18n!$A:$F,4,FALSE)</f>
        <v>1.45</v>
      </c>
      <c r="K1289" s="36">
        <f>VLOOKUP(H1289,[2]character_type_i18n!$A:$F,5,FALSE)</f>
        <v>0.85</v>
      </c>
      <c r="L1289" s="36">
        <f>VLOOKUP(H1289,[2]character_type_i18n!$A:$F,6,FALSE)</f>
        <v>1</v>
      </c>
      <c r="M1289" s="9" t="str">
        <f>VLOOKUP(A1289,[2]characters!$A:$M,13,FALSE)</f>
        <v>human</v>
      </c>
      <c r="N1289" s="14" t="str">
        <f>VLOOKUP(M1289,[2]character_tribe_i18n!$A:$F,3,FALSE)</f>
        <v>ヒューマン</v>
      </c>
      <c r="O1289" s="24">
        <f>VLOOKUP(M1289,[2]character_tribe_i18n!$A:$F,4,FALSE)</f>
        <v>0.94</v>
      </c>
      <c r="P1289" s="24">
        <f>VLOOKUP(M1289,[2]character_tribe_i18n!$A:$F,5,FALSE)</f>
        <v>0.99</v>
      </c>
      <c r="Q1289" s="24">
        <f>VLOOKUP(M1289,[2]character_tribe_i18n!$A:$F,6,FALSE)</f>
        <v>1</v>
      </c>
      <c r="R1289" s="25" t="s">
        <v>98</v>
      </c>
      <c r="S1289" s="24">
        <f>VLOOKUP($R1289,ラベル別係数!$A$1:$E$7,3,FALSE)</f>
        <v>5</v>
      </c>
      <c r="T1289" s="24">
        <f>VLOOKUP($R1289,ラベル別係数!$A$1:$E$7,4,FALSE)</f>
        <v>1.3</v>
      </c>
      <c r="U1289" s="24">
        <f>VLOOKUP($R1289,ラベル別係数!$A$1:$E$7,5,FALSE)</f>
        <v>0.8</v>
      </c>
      <c r="V1289" s="27">
        <v>3</v>
      </c>
      <c r="W1289" s="28">
        <f>VLOOKUP(V1289,ターン数別攻撃係数!$A$1:$B$1000,2,FALSE)</f>
        <v>1</v>
      </c>
      <c r="X1289" s="9">
        <f>VLOOKUP(C1289,サイズ別係数!A$2:B$9,2,FALSE)</f>
        <v>60</v>
      </c>
      <c r="Y1289" s="26">
        <f>VLOOKUP($X1289,サイズ別係数!$B:$E,2,FALSE)</f>
        <v>1.7</v>
      </c>
      <c r="Z1289" s="26">
        <f>VLOOKUP($X1289,サイズ別係数!$B:$E,3,FALSE)</f>
        <v>1.4</v>
      </c>
      <c r="AA1289" s="26">
        <f>VLOOKUP($X1289,サイズ別係数!$B:$E,4,FALSE)</f>
        <v>1</v>
      </c>
      <c r="AB1289" s="5">
        <v>0</v>
      </c>
      <c r="AC1289" s="34" t="str">
        <f ca="1">VLOOKUP($AB1289,OFFSET([3]enemy_skill_sets!$B$2,0,0,COUNTA([3]enemy_skill_sets!$A:$A),MATCH(AC$1,[3]enemy_skill_sets!$1:$1,0)-MATCH($AB$1,[3]enemy_skill_sets!$1:$1,0)+1),MATCH(AC$1,[3]enemy_skill_sets!$1:$1,0)-MATCH($AB$1,[3]enemy_skill_sets!$1:$1,0)+1,FALSE)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89" s="67">
        <v>1</v>
      </c>
      <c r="AE1289" s="67">
        <v>1</v>
      </c>
      <c r="AF1289" s="37">
        <v>0</v>
      </c>
      <c r="AG1289" s="99">
        <f>ROUND(VLOOKUP(1,enemy_base_stats!$A:$F,2,FALSE) * Y1289* J1289*O1289*E1289*S1289*AD1289*[2]ステータス!$B$2,0)</f>
        <v>5677</v>
      </c>
      <c r="AH1289" s="99">
        <f>ROUND(VLOOKUP(1,enemy_base_stats!$A:$F,3,FALSE) * Z1289*K1289*P1289*F1289*T1289*AE1289 * W1289*[2]ステータス!$C$2,0)</f>
        <v>232</v>
      </c>
      <c r="AI1289" s="99">
        <f>ROUND(VLOOKUP(1,enemy_base_stats!$A:$F,4,FALSE) * AA1289*L1289*Q1289*G1289*U1289*AF1289*[2]ステータス!$D$2,0)</f>
        <v>0</v>
      </c>
      <c r="AJ1289" s="99">
        <f>ROUND(VLOOKUP(100,enemy_base_stats!$A:$F,2,FALSE) * Y1289* J1289*O1289*E1289*S1289*AD1289*[2]ステータス!$B$2,0)</f>
        <v>230482</v>
      </c>
      <c r="AK1289" s="99">
        <f>ROUND(VLOOKUP(100,enemy_base_stats!$A:$F,3,FALSE)* Z1289* K1289*P1289*F1289*T1289*AE1289 * W1289*[2]ステータス!$C$2,0)</f>
        <v>9420</v>
      </c>
      <c r="AL1289" s="99">
        <f>ROUND(VLOOKUP(100,enemy_base_stats!$A:$F,4,FALSE)* AA1289* L1289*Q1289*G1289*U1289*AF1289*[2]ステータス!$D$2,0)</f>
        <v>0</v>
      </c>
      <c r="AM1289" s="97">
        <f>VLOOKUP(M1289,[2]character_tribe_i18n!$A:$I,9,FALSE)</f>
        <v>400</v>
      </c>
      <c r="AN1289" s="36">
        <v>0</v>
      </c>
      <c r="AO1289" s="53">
        <v>0</v>
      </c>
      <c r="AP1289" s="58" t="s">
        <v>72</v>
      </c>
      <c r="AQ1289" s="71">
        <f t="shared" si="66"/>
        <v>1288</v>
      </c>
    </row>
    <row r="1290" spans="1:43" ht="21" customHeight="1" x14ac:dyDescent="0.15">
      <c r="A1290" s="7">
        <v>1289</v>
      </c>
      <c r="B1290" s="6" t="str">
        <f>VLOOKUP(A1290,[2]characters!$A:$C,3,FALSE)</f>
        <v>聖封の褒装 ベルベット</v>
      </c>
      <c r="C1290" s="9">
        <f>VLOOKUP(A1290,[2]characters!$A:$I,9,FALSE)</f>
        <v>6</v>
      </c>
      <c r="D1290" s="100" t="s">
        <v>177</v>
      </c>
      <c r="E1290" s="24">
        <f>VLOOKUP(D1290,[2]属性!$A:$E,2,FALSE)</f>
        <v>1</v>
      </c>
      <c r="F1290" s="24">
        <f>VLOOKUP(D1290,[2]属性!$A:$E,3,FALSE)</f>
        <v>0.98</v>
      </c>
      <c r="G1290" s="24">
        <f>VLOOKUP(D1290,[2]属性!$A:$F,4,FALSE)</f>
        <v>1</v>
      </c>
      <c r="H1290" s="100" t="s">
        <v>174</v>
      </c>
      <c r="I1290" s="14" t="str">
        <f>VLOOKUP(H1290,[2]character_type_i18n!$A:$F,3,FALSE)</f>
        <v>回復タイプ</v>
      </c>
      <c r="J1290" s="36">
        <f>VLOOKUP(H1290,[2]character_type_i18n!$A:$F,4,FALSE)</f>
        <v>0.8</v>
      </c>
      <c r="K1290" s="36">
        <f>VLOOKUP(H1290,[2]character_type_i18n!$A:$F,5,FALSE)</f>
        <v>0.78</v>
      </c>
      <c r="L1290" s="36">
        <f>VLOOKUP(H1290,[2]character_type_i18n!$A:$F,6,FALSE)</f>
        <v>1</v>
      </c>
      <c r="M1290" s="100" t="s">
        <v>175</v>
      </c>
      <c r="N1290" s="14" t="str">
        <f>VLOOKUP(M1290,[2]character_tribe_i18n!$A:$F,3,FALSE)</f>
        <v>Unknown</v>
      </c>
      <c r="O1290" s="24">
        <f>VLOOKUP(M1290,[2]character_tribe_i18n!$A:$F,4,FALSE)</f>
        <v>1</v>
      </c>
      <c r="P1290" s="24">
        <f>VLOOKUP(M1290,[2]character_tribe_i18n!$A:$F,5,FALSE)</f>
        <v>1</v>
      </c>
      <c r="Q1290" s="24">
        <f>VLOOKUP(M1290,[2]character_tribe_i18n!$A:$F,6,FALSE)</f>
        <v>1</v>
      </c>
      <c r="R1290" s="25" t="s">
        <v>98</v>
      </c>
      <c r="S1290" s="24">
        <f>VLOOKUP($R1290,ラベル別係数!$A$1:$E$7,3,FALSE)</f>
        <v>5</v>
      </c>
      <c r="T1290" s="24">
        <f>VLOOKUP($R1290,ラベル別係数!$A$1:$E$7,4,FALSE)</f>
        <v>1.3</v>
      </c>
      <c r="U1290" s="24">
        <f>VLOOKUP($R1290,ラベル別係数!$A$1:$E$7,5,FALSE)</f>
        <v>0.8</v>
      </c>
      <c r="V1290" s="27">
        <v>3</v>
      </c>
      <c r="W1290" s="28">
        <f>VLOOKUP(V1290,ターン数別攻撃係数!$A$1:$B$1000,2,FALSE)</f>
        <v>1</v>
      </c>
      <c r="X1290" s="9">
        <f>VLOOKUP(C1290,サイズ別係数!A$2:B$9,2,FALSE)</f>
        <v>60</v>
      </c>
      <c r="Y1290" s="26">
        <f>VLOOKUP($X1290,サイズ別係数!$B:$E,2,FALSE)</f>
        <v>1.7</v>
      </c>
      <c r="Z1290" s="26">
        <f>VLOOKUP($X1290,サイズ別係数!$B:$E,3,FALSE)</f>
        <v>1.4</v>
      </c>
      <c r="AA1290" s="26">
        <f>VLOOKUP($X1290,サイズ別係数!$B:$E,4,FALSE)</f>
        <v>1</v>
      </c>
      <c r="AB1290" s="5">
        <v>0</v>
      </c>
      <c r="AC1290" s="34" t="str">
        <f ca="1">VLOOKUP($AB1290,OFFSET([3]enemy_skill_sets!$B$2,0,0,COUNTA([3]enemy_skill_sets!$A:$A),MATCH(AC$1,[3]enemy_skill_sets!$1:$1,0)-MATCH($AB$1,[3]enemy_skill_sets!$1:$1,0)+1),MATCH(AC$1,[3]enemy_skill_sets!$1:$1,0)-MATCH($AB$1,[3]enemy_skill_sets!$1:$1,0)+1,FALSE)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0" s="67">
        <v>1</v>
      </c>
      <c r="AE1290" s="67">
        <v>1</v>
      </c>
      <c r="AF1290" s="37">
        <v>0</v>
      </c>
      <c r="AG1290" s="99">
        <f>ROUND(VLOOKUP(1,enemy_base_stats!$A:$F,2,FALSE) * Y1290* J1290*O1290*E1290*S1290*AD1290*[2]ステータス!$B$2,0)</f>
        <v>3400</v>
      </c>
      <c r="AH1290" s="99">
        <f>ROUND(VLOOKUP(1,enemy_base_stats!$A:$F,3,FALSE) * Z1290*K1290*P1290*F1290*T1290*AE1290 * W1290*[2]ステータス!$C$2,0)</f>
        <v>209</v>
      </c>
      <c r="AI1290" s="99">
        <f>ROUND(VLOOKUP(1,enemy_base_stats!$A:$F,4,FALSE) * AA1290*L1290*Q1290*G1290*U1290*AF1290*[2]ステータス!$D$2,0)</f>
        <v>0</v>
      </c>
      <c r="AJ1290" s="99">
        <f>ROUND(VLOOKUP(100,enemy_base_stats!$A:$F,2,FALSE) * Y1290* J1290*O1290*E1290*S1290*AD1290*[2]ステータス!$B$2,0)</f>
        <v>138040</v>
      </c>
      <c r="AK1290" s="99">
        <f>ROUND(VLOOKUP(100,enemy_base_stats!$A:$F,3,FALSE)* Z1290* K1290*P1290*F1290*T1290*AE1290 * W1290*[2]ステータス!$C$2,0)</f>
        <v>8472</v>
      </c>
      <c r="AL1290" s="99">
        <f>ROUND(VLOOKUP(100,enemy_base_stats!$A:$F,4,FALSE)* AA1290* L1290*Q1290*G1290*U1290*AF1290*[2]ステータス!$D$2,0)</f>
        <v>0</v>
      </c>
      <c r="AM1290" s="97">
        <f>VLOOKUP(M1290,[2]character_tribe_i18n!$A:$I,9,FALSE)</f>
        <v>340</v>
      </c>
      <c r="AN1290" s="36">
        <v>0</v>
      </c>
      <c r="AO1290" s="53">
        <v>0</v>
      </c>
      <c r="AP1290" s="58" t="s">
        <v>72</v>
      </c>
      <c r="AQ1290" s="71">
        <f t="shared" si="66"/>
        <v>1289</v>
      </c>
    </row>
    <row r="1291" spans="1:43" ht="21" customHeight="1" x14ac:dyDescent="0.15">
      <c r="A1291" s="7">
        <v>1290</v>
      </c>
      <c r="B1291" s="6" t="str">
        <f>VLOOKUP(A1291,[2]characters!$A:$C,3,FALSE)</f>
        <v>想飾の響鐘 リンジー</v>
      </c>
      <c r="C1291" s="9">
        <f>VLOOKUP(A1291,[2]characters!$A:$I,9,FALSE)</f>
        <v>6</v>
      </c>
      <c r="D1291" s="100" t="s">
        <v>177</v>
      </c>
      <c r="E1291" s="24">
        <f>VLOOKUP(D1291,[2]属性!$A:$E,2,FALSE)</f>
        <v>1</v>
      </c>
      <c r="F1291" s="24">
        <f>VLOOKUP(D1291,[2]属性!$A:$E,3,FALSE)</f>
        <v>0.98</v>
      </c>
      <c r="G1291" s="24">
        <f>VLOOKUP(D1291,[2]属性!$A:$F,4,FALSE)</f>
        <v>1</v>
      </c>
      <c r="H1291" s="100" t="s">
        <v>176</v>
      </c>
      <c r="I1291" s="14" t="str">
        <f>VLOOKUP(H1291,[2]character_type_i18n!$A:$F,3,FALSE)</f>
        <v>体力タイプ</v>
      </c>
      <c r="J1291" s="36">
        <f>VLOOKUP(H1291,[2]character_type_i18n!$A:$F,4,FALSE)</f>
        <v>1.45</v>
      </c>
      <c r="K1291" s="36">
        <f>VLOOKUP(H1291,[2]character_type_i18n!$A:$F,5,FALSE)</f>
        <v>0.85</v>
      </c>
      <c r="L1291" s="36">
        <f>VLOOKUP(H1291,[2]character_type_i18n!$A:$F,6,FALSE)</f>
        <v>1</v>
      </c>
      <c r="M1291" s="100" t="s">
        <v>175</v>
      </c>
      <c r="N1291" s="14" t="str">
        <f>VLOOKUP(M1291,[2]character_tribe_i18n!$A:$F,3,FALSE)</f>
        <v>Unknown</v>
      </c>
      <c r="O1291" s="24">
        <f>VLOOKUP(M1291,[2]character_tribe_i18n!$A:$F,4,FALSE)</f>
        <v>1</v>
      </c>
      <c r="P1291" s="24">
        <f>VLOOKUP(M1291,[2]character_tribe_i18n!$A:$F,5,FALSE)</f>
        <v>1</v>
      </c>
      <c r="Q1291" s="24">
        <f>VLOOKUP(M1291,[2]character_tribe_i18n!$A:$F,6,FALSE)</f>
        <v>1</v>
      </c>
      <c r="R1291" s="25" t="s">
        <v>98</v>
      </c>
      <c r="S1291" s="24">
        <f>VLOOKUP($R1291,ラベル別係数!$A$1:$E$7,3,FALSE)</f>
        <v>5</v>
      </c>
      <c r="T1291" s="24">
        <f>VLOOKUP($R1291,ラベル別係数!$A$1:$E$7,4,FALSE)</f>
        <v>1.3</v>
      </c>
      <c r="U1291" s="24">
        <f>VLOOKUP($R1291,ラベル別係数!$A$1:$E$7,5,FALSE)</f>
        <v>0.8</v>
      </c>
      <c r="V1291" s="27">
        <v>3</v>
      </c>
      <c r="W1291" s="28">
        <f>VLOOKUP(V1291,ターン数別攻撃係数!$A$1:$B$1000,2,FALSE)</f>
        <v>1</v>
      </c>
      <c r="X1291" s="9">
        <f>VLOOKUP(C1291,サイズ別係数!A$2:B$9,2,FALSE)</f>
        <v>60</v>
      </c>
      <c r="Y1291" s="26">
        <f>VLOOKUP($X1291,サイズ別係数!$B:$E,2,FALSE)</f>
        <v>1.7</v>
      </c>
      <c r="Z1291" s="26">
        <f>VLOOKUP($X1291,サイズ別係数!$B:$E,3,FALSE)</f>
        <v>1.4</v>
      </c>
      <c r="AA1291" s="26">
        <f>VLOOKUP($X1291,サイズ別係数!$B:$E,4,FALSE)</f>
        <v>1</v>
      </c>
      <c r="AB1291" s="5">
        <v>0</v>
      </c>
      <c r="AC1291" s="34" t="str">
        <f ca="1">VLOOKUP($AB1291,OFFSET([3]enemy_skill_sets!$B$2,0,0,COUNTA([3]enemy_skill_sets!$A:$A),MATCH(AC$1,[3]enemy_skill_sets!$1:$1,0)-MATCH($AB$1,[3]enemy_skill_sets!$1:$1,0)+1),MATCH(AC$1,[3]enemy_skill_sets!$1:$1,0)-MATCH($AB$1,[3]enemy_skill_sets!$1:$1,0)+1,FALSE)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1" s="67">
        <v>1</v>
      </c>
      <c r="AE1291" s="67">
        <v>1</v>
      </c>
      <c r="AF1291" s="37">
        <v>0</v>
      </c>
      <c r="AG1291" s="99">
        <f>ROUND(VLOOKUP(1,enemy_base_stats!$A:$F,2,FALSE) * Y1291* J1291*O1291*E1291*S1291*AD1291*[2]ステータス!$B$2,0)</f>
        <v>6163</v>
      </c>
      <c r="AH1291" s="99">
        <f>ROUND(VLOOKUP(1,enemy_base_stats!$A:$F,3,FALSE) * Z1291*K1291*P1291*F1291*T1291*AE1291 * W1291*[2]ステータス!$C$2,0)</f>
        <v>227</v>
      </c>
      <c r="AI1291" s="99">
        <f>ROUND(VLOOKUP(1,enemy_base_stats!$A:$F,4,FALSE) * AA1291*L1291*Q1291*G1291*U1291*AF1291*[2]ステータス!$D$2,0)</f>
        <v>0</v>
      </c>
      <c r="AJ1291" s="99">
        <f>ROUND(VLOOKUP(100,enemy_base_stats!$A:$F,2,FALSE) * Y1291* J1291*O1291*E1291*S1291*AD1291*[2]ステータス!$B$2,0)</f>
        <v>250198</v>
      </c>
      <c r="AK1291" s="99">
        <f>ROUND(VLOOKUP(100,enemy_base_stats!$A:$F,3,FALSE)* Z1291* K1291*P1291*F1291*T1291*AE1291 * W1291*[2]ステータス!$C$2,0)</f>
        <v>9233</v>
      </c>
      <c r="AL1291" s="99">
        <f>ROUND(VLOOKUP(100,enemy_base_stats!$A:$F,4,FALSE)* AA1291* L1291*Q1291*G1291*U1291*AF1291*[2]ステータス!$D$2,0)</f>
        <v>0</v>
      </c>
      <c r="AM1291" s="97">
        <f>VLOOKUP(M1291,[2]character_tribe_i18n!$A:$I,9,FALSE)</f>
        <v>340</v>
      </c>
      <c r="AN1291" s="36">
        <v>0</v>
      </c>
      <c r="AO1291" s="53">
        <v>0</v>
      </c>
      <c r="AP1291" s="58" t="s">
        <v>72</v>
      </c>
      <c r="AQ1291" s="71">
        <f t="shared" si="66"/>
        <v>1290</v>
      </c>
    </row>
    <row r="1292" spans="1:43" ht="21" customHeight="1" x14ac:dyDescent="0.15">
      <c r="A1292" s="7">
        <v>1291</v>
      </c>
      <c r="B1292" s="6" t="str">
        <f>VLOOKUP(A1292,[2]characters!$A:$C,3,FALSE)</f>
        <v>望雅の煌明鹿剣 勘兵衛</v>
      </c>
      <c r="C1292" s="9">
        <f>VLOOKUP(A1292,[2]characters!$A:$I,9,FALSE)</f>
        <v>5</v>
      </c>
      <c r="D1292" s="9" t="str">
        <f>VLOOKUP(A1292,[2]characters!$A:$H,8,FALSE)</f>
        <v>yellow</v>
      </c>
      <c r="E1292" s="24">
        <f>VLOOKUP(D1292,[2]属性!$A:$E,2,FALSE)</f>
        <v>0.98</v>
      </c>
      <c r="F1292" s="24">
        <f>VLOOKUP(D1292,[2]属性!$A:$E,3,FALSE)</f>
        <v>1.01</v>
      </c>
      <c r="G1292" s="24">
        <f>VLOOKUP(D1292,[2]属性!$A:$F,4,FALSE)</f>
        <v>1</v>
      </c>
      <c r="H1292" s="9" t="str">
        <f>VLOOKUP(A1292,[2]characters!$A:$K,11,FALSE)</f>
        <v>technical</v>
      </c>
      <c r="I1292" s="14" t="str">
        <f>VLOOKUP(H1292,[2]character_type_i18n!$A:$F,3,FALSE)</f>
        <v>テクニカルタイプ</v>
      </c>
      <c r="J1292" s="36">
        <f>VLOOKUP(H1292,[2]character_type_i18n!$A:$F,4,FALSE)</f>
        <v>0.9</v>
      </c>
      <c r="K1292" s="36">
        <f>VLOOKUP(H1292,[2]character_type_i18n!$A:$F,5,FALSE)</f>
        <v>0.9</v>
      </c>
      <c r="L1292" s="36">
        <f>VLOOKUP(H1292,[2]character_type_i18n!$A:$F,6,FALSE)</f>
        <v>1</v>
      </c>
      <c r="M1292" s="9" t="str">
        <f>VLOOKUP(A1292,[2]characters!$A:$M,13,FALSE)</f>
        <v>animal</v>
      </c>
      <c r="N1292" s="14" t="str">
        <f>VLOOKUP(M1292,[2]character_tribe_i18n!$A:$F,3,FALSE)</f>
        <v>アニマル</v>
      </c>
      <c r="O1292" s="24">
        <f>VLOOKUP(M1292,[2]character_tribe_i18n!$A:$F,4,FALSE)</f>
        <v>1</v>
      </c>
      <c r="P1292" s="24">
        <f>VLOOKUP(M1292,[2]character_tribe_i18n!$A:$F,5,FALSE)</f>
        <v>1.1000000000000001</v>
      </c>
      <c r="Q1292" s="24">
        <f>VLOOKUP(M1292,[2]character_tribe_i18n!$A:$F,6,FALSE)</f>
        <v>1</v>
      </c>
      <c r="R1292" s="25" t="s">
        <v>98</v>
      </c>
      <c r="S1292" s="24">
        <f>VLOOKUP($R1292,ラベル別係数!$A$1:$E$7,3,FALSE)</f>
        <v>5</v>
      </c>
      <c r="T1292" s="24">
        <f>VLOOKUP($R1292,ラベル別係数!$A$1:$E$7,4,FALSE)</f>
        <v>1.3</v>
      </c>
      <c r="U1292" s="24">
        <f>VLOOKUP($R1292,ラベル別係数!$A$1:$E$7,5,FALSE)</f>
        <v>0.8</v>
      </c>
      <c r="V1292" s="27">
        <v>3</v>
      </c>
      <c r="W1292" s="28">
        <f>VLOOKUP(V1292,ターン数別攻撃係数!$A$1:$B$1000,2,FALSE)</f>
        <v>1</v>
      </c>
      <c r="X1292" s="9">
        <f>VLOOKUP(C1292,サイズ別係数!A$2:B$9,2,FALSE)</f>
        <v>60</v>
      </c>
      <c r="Y1292" s="26">
        <f>VLOOKUP($X1292,サイズ別係数!$B:$E,2,FALSE)</f>
        <v>1.7</v>
      </c>
      <c r="Z1292" s="26">
        <f>VLOOKUP($X1292,サイズ別係数!$B:$E,3,FALSE)</f>
        <v>1.4</v>
      </c>
      <c r="AA1292" s="26">
        <f>VLOOKUP($X1292,サイズ別係数!$B:$E,4,FALSE)</f>
        <v>1</v>
      </c>
      <c r="AB1292" s="5">
        <v>0</v>
      </c>
      <c r="AC1292" s="34" t="str">
        <f ca="1">VLOOKUP($AB1292,OFFSET([3]enemy_skill_sets!$B$2,0,0,COUNTA([3]enemy_skill_sets!$A:$A),MATCH(AC$1,[3]enemy_skill_sets!$1:$1,0)-MATCH($AB$1,[3]enemy_skill_sets!$1:$1,0)+1),MATCH(AC$1,[3]enemy_skill_sets!$1:$1,0)-MATCH($AB$1,[3]enemy_skill_sets!$1:$1,0)+1,FALSE)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2" s="67">
        <v>1</v>
      </c>
      <c r="AE1292" s="67">
        <v>1</v>
      </c>
      <c r="AF1292" s="37">
        <v>0</v>
      </c>
      <c r="AG1292" s="99">
        <f>ROUND(VLOOKUP(1,enemy_base_stats!$A:$F,2,FALSE) * Y1292* J1292*O1292*E1292*S1292*AD1292*[2]ステータス!$B$2,0)</f>
        <v>3749</v>
      </c>
      <c r="AH1292" s="99">
        <f>ROUND(VLOOKUP(1,enemy_base_stats!$A:$F,3,FALSE) * Z1292*K1292*P1292*F1292*T1292*AE1292 * W1292*[2]ステータス!$C$2,0)</f>
        <v>273</v>
      </c>
      <c r="AI1292" s="99">
        <f>ROUND(VLOOKUP(1,enemy_base_stats!$A:$F,4,FALSE) * AA1292*L1292*Q1292*G1292*U1292*AF1292*[2]ステータス!$D$2,0)</f>
        <v>0</v>
      </c>
      <c r="AJ1292" s="99">
        <f>ROUND(VLOOKUP(100,enemy_base_stats!$A:$F,2,FALSE) * Y1292* J1292*O1292*E1292*S1292*AD1292*[2]ステータス!$B$2,0)</f>
        <v>152189</v>
      </c>
      <c r="AK1292" s="99">
        <f>ROUND(VLOOKUP(100,enemy_base_stats!$A:$F,3,FALSE)* Z1292* K1292*P1292*F1292*T1292*AE1292 * W1292*[2]ステータス!$C$2,0)</f>
        <v>11083</v>
      </c>
      <c r="AL1292" s="99">
        <f>ROUND(VLOOKUP(100,enemy_base_stats!$A:$F,4,FALSE)* AA1292* L1292*Q1292*G1292*U1292*AF1292*[2]ステータス!$D$2,0)</f>
        <v>0</v>
      </c>
      <c r="AM1292" s="97">
        <f>VLOOKUP(M1292,[2]character_tribe_i18n!$A:$I,9,FALSE)</f>
        <v>480</v>
      </c>
      <c r="AN1292" s="36">
        <v>0</v>
      </c>
      <c r="AO1292" s="53">
        <v>0</v>
      </c>
      <c r="AP1292" s="58" t="s">
        <v>72</v>
      </c>
      <c r="AQ1292" s="71">
        <f t="shared" si="66"/>
        <v>1291</v>
      </c>
    </row>
    <row r="1293" spans="1:43" ht="21" customHeight="1" x14ac:dyDescent="0.15">
      <c r="A1293" s="7">
        <v>1292</v>
      </c>
      <c r="B1293" s="6" t="str">
        <f>VLOOKUP(A1293,[2]characters!$A:$C,3,FALSE)</f>
        <v>風光明媚の雅鹿剣 勘兵衛</v>
      </c>
      <c r="C1293" s="9">
        <f>VLOOKUP(A1293,[2]characters!$A:$I,9,FALSE)</f>
        <v>6</v>
      </c>
      <c r="D1293" s="9" t="str">
        <f>VLOOKUP(A1293,[2]characters!$A:$H,8,FALSE)</f>
        <v>yellow</v>
      </c>
      <c r="E1293" s="24">
        <f>VLOOKUP(D1293,[2]属性!$A:$E,2,FALSE)</f>
        <v>0.98</v>
      </c>
      <c r="F1293" s="24">
        <f>VLOOKUP(D1293,[2]属性!$A:$E,3,FALSE)</f>
        <v>1.01</v>
      </c>
      <c r="G1293" s="24">
        <f>VLOOKUP(D1293,[2]属性!$A:$F,4,FALSE)</f>
        <v>1</v>
      </c>
      <c r="H1293" s="9" t="str">
        <f>VLOOKUP(A1293,[2]characters!$A:$K,11,FALSE)</f>
        <v>technical</v>
      </c>
      <c r="I1293" s="14" t="str">
        <f>VLOOKUP(H1293,[2]character_type_i18n!$A:$F,3,FALSE)</f>
        <v>テクニカルタイプ</v>
      </c>
      <c r="J1293" s="36">
        <f>VLOOKUP(H1293,[2]character_type_i18n!$A:$F,4,FALSE)</f>
        <v>0.9</v>
      </c>
      <c r="K1293" s="36">
        <f>VLOOKUP(H1293,[2]character_type_i18n!$A:$F,5,FALSE)</f>
        <v>0.9</v>
      </c>
      <c r="L1293" s="36">
        <f>VLOOKUP(H1293,[2]character_type_i18n!$A:$F,6,FALSE)</f>
        <v>1</v>
      </c>
      <c r="M1293" s="9" t="str">
        <f>VLOOKUP(A1293,[2]characters!$A:$M,13,FALSE)</f>
        <v>animal</v>
      </c>
      <c r="N1293" s="14" t="str">
        <f>VLOOKUP(M1293,[2]character_tribe_i18n!$A:$F,3,FALSE)</f>
        <v>アニマル</v>
      </c>
      <c r="O1293" s="24">
        <f>VLOOKUP(M1293,[2]character_tribe_i18n!$A:$F,4,FALSE)</f>
        <v>1</v>
      </c>
      <c r="P1293" s="24">
        <f>VLOOKUP(M1293,[2]character_tribe_i18n!$A:$F,5,FALSE)</f>
        <v>1.1000000000000001</v>
      </c>
      <c r="Q1293" s="24">
        <f>VLOOKUP(M1293,[2]character_tribe_i18n!$A:$F,6,FALSE)</f>
        <v>1</v>
      </c>
      <c r="R1293" s="25" t="s">
        <v>98</v>
      </c>
      <c r="S1293" s="24">
        <f>VLOOKUP($R1293,ラベル別係数!$A$1:$E$7,3,FALSE)</f>
        <v>5</v>
      </c>
      <c r="T1293" s="24">
        <f>VLOOKUP($R1293,ラベル別係数!$A$1:$E$7,4,FALSE)</f>
        <v>1.3</v>
      </c>
      <c r="U1293" s="24">
        <f>VLOOKUP($R1293,ラベル別係数!$A$1:$E$7,5,FALSE)</f>
        <v>0.8</v>
      </c>
      <c r="V1293" s="27">
        <v>3</v>
      </c>
      <c r="W1293" s="28">
        <f>VLOOKUP(V1293,ターン数別攻撃係数!$A$1:$B$1000,2,FALSE)</f>
        <v>1</v>
      </c>
      <c r="X1293" s="9">
        <f>VLOOKUP(C1293,サイズ別係数!A$2:B$9,2,FALSE)</f>
        <v>60</v>
      </c>
      <c r="Y1293" s="26">
        <f>VLOOKUP($X1293,サイズ別係数!$B:$E,2,FALSE)</f>
        <v>1.7</v>
      </c>
      <c r="Z1293" s="26">
        <f>VLOOKUP($X1293,サイズ別係数!$B:$E,3,FALSE)</f>
        <v>1.4</v>
      </c>
      <c r="AA1293" s="26">
        <f>VLOOKUP($X1293,サイズ別係数!$B:$E,4,FALSE)</f>
        <v>1</v>
      </c>
      <c r="AB1293" s="5">
        <v>0</v>
      </c>
      <c r="AC1293" s="34" t="str">
        <f ca="1">VLOOKUP($AB1293,OFFSET([3]enemy_skill_sets!$B$2,0,0,COUNTA([3]enemy_skill_sets!$A:$A),MATCH(AC$1,[3]enemy_skill_sets!$1:$1,0)-MATCH($AB$1,[3]enemy_skill_sets!$1:$1,0)+1),MATCH(AC$1,[3]enemy_skill_sets!$1:$1,0)-MATCH($AB$1,[3]enemy_skill_sets!$1:$1,0)+1,FALSE)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3" s="67">
        <v>1</v>
      </c>
      <c r="AE1293" s="67">
        <v>1</v>
      </c>
      <c r="AF1293" s="37">
        <v>0</v>
      </c>
      <c r="AG1293" s="99">
        <f>ROUND(VLOOKUP(1,enemy_base_stats!$A:$F,2,FALSE) * Y1293* J1293*O1293*E1293*S1293*AD1293*[2]ステータス!$B$2,0)</f>
        <v>3749</v>
      </c>
      <c r="AH1293" s="99">
        <f>ROUND(VLOOKUP(1,enemy_base_stats!$A:$F,3,FALSE) * Z1293*K1293*P1293*F1293*T1293*AE1293 * W1293*[2]ステータス!$C$2,0)</f>
        <v>273</v>
      </c>
      <c r="AI1293" s="99">
        <f>ROUND(VLOOKUP(1,enemy_base_stats!$A:$F,4,FALSE) * AA1293*L1293*Q1293*G1293*U1293*AF1293*[2]ステータス!$D$2,0)</f>
        <v>0</v>
      </c>
      <c r="AJ1293" s="99">
        <f>ROUND(VLOOKUP(100,enemy_base_stats!$A:$F,2,FALSE) * Y1293* J1293*O1293*E1293*S1293*AD1293*[2]ステータス!$B$2,0)</f>
        <v>152189</v>
      </c>
      <c r="AK1293" s="99">
        <f>ROUND(VLOOKUP(100,enemy_base_stats!$A:$F,3,FALSE)* Z1293* K1293*P1293*F1293*T1293*AE1293 * W1293*[2]ステータス!$C$2,0)</f>
        <v>11083</v>
      </c>
      <c r="AL1293" s="99">
        <f>ROUND(VLOOKUP(100,enemy_base_stats!$A:$F,4,FALSE)* AA1293* L1293*Q1293*G1293*U1293*AF1293*[2]ステータス!$D$2,0)</f>
        <v>0</v>
      </c>
      <c r="AM1293" s="97">
        <f>VLOOKUP(M1293,[2]character_tribe_i18n!$A:$I,9,FALSE)</f>
        <v>480</v>
      </c>
      <c r="AN1293" s="36">
        <v>0</v>
      </c>
      <c r="AO1293" s="53">
        <v>0</v>
      </c>
      <c r="AP1293" s="58" t="s">
        <v>72</v>
      </c>
      <c r="AQ1293" s="71">
        <f t="shared" si="66"/>
        <v>1292</v>
      </c>
    </row>
    <row r="1294" spans="1:43" ht="21" customHeight="1" x14ac:dyDescent="0.15">
      <c r="A1294" s="7">
        <v>1293</v>
      </c>
      <c r="B1294" s="6" t="str">
        <f>VLOOKUP(A1294,[2]characters!$A:$C,3,FALSE)</f>
        <v>トトリ</v>
      </c>
      <c r="C1294" s="9">
        <f>VLOOKUP(A1294,[2]characters!$A:$I,9,FALSE)</f>
        <v>5</v>
      </c>
      <c r="D1294" s="9" t="str">
        <f>VLOOKUP(A1294,[2]characters!$A:$H,8,FALSE)</f>
        <v>red</v>
      </c>
      <c r="E1294" s="24">
        <f>VLOOKUP(D1294,[2]属性!$A:$E,2,FALSE)</f>
        <v>1</v>
      </c>
      <c r="F1294" s="24">
        <f>VLOOKUP(D1294,[2]属性!$A:$E,3,FALSE)</f>
        <v>1.02</v>
      </c>
      <c r="G1294" s="24">
        <f>VLOOKUP(D1294,[2]属性!$A:$F,4,FALSE)</f>
        <v>1</v>
      </c>
      <c r="H1294" s="100" t="s">
        <v>178</v>
      </c>
      <c r="I1294" s="14" t="str">
        <f>VLOOKUP(H1294,[2]character_type_i18n!$A:$F,3,FALSE)</f>
        <v>攻撃タイプ</v>
      </c>
      <c r="J1294" s="36">
        <f>VLOOKUP(H1294,[2]character_type_i18n!$A:$F,4,FALSE)</f>
        <v>1</v>
      </c>
      <c r="K1294" s="36">
        <f>VLOOKUP(H1294,[2]character_type_i18n!$A:$F,5,FALSE)</f>
        <v>1.33</v>
      </c>
      <c r="L1294" s="36">
        <f>VLOOKUP(H1294,[2]character_type_i18n!$A:$F,6,FALSE)</f>
        <v>1</v>
      </c>
      <c r="M1294" s="100" t="s">
        <v>179</v>
      </c>
      <c r="N1294" s="14" t="str">
        <f>VLOOKUP(M1294,[2]character_tribe_i18n!$A:$F,3,FALSE)</f>
        <v>ヒューマン</v>
      </c>
      <c r="O1294" s="24">
        <f>VLOOKUP(M1294,[2]character_tribe_i18n!$A:$F,4,FALSE)</f>
        <v>0.94</v>
      </c>
      <c r="P1294" s="24">
        <f>VLOOKUP(M1294,[2]character_tribe_i18n!$A:$F,5,FALSE)</f>
        <v>0.99</v>
      </c>
      <c r="Q1294" s="24">
        <f>VLOOKUP(M1294,[2]character_tribe_i18n!$A:$F,6,FALSE)</f>
        <v>1</v>
      </c>
      <c r="R1294" s="25" t="s">
        <v>98</v>
      </c>
      <c r="S1294" s="24">
        <f>VLOOKUP($R1294,ラベル別係数!$A$1:$E$7,3,FALSE)</f>
        <v>5</v>
      </c>
      <c r="T1294" s="24">
        <f>VLOOKUP($R1294,ラベル別係数!$A$1:$E$7,4,FALSE)</f>
        <v>1.3</v>
      </c>
      <c r="U1294" s="24">
        <f>VLOOKUP($R1294,ラベル別係数!$A$1:$E$7,5,FALSE)</f>
        <v>0.8</v>
      </c>
      <c r="V1294" s="27">
        <v>3</v>
      </c>
      <c r="W1294" s="28">
        <f>VLOOKUP(V1294,ターン数別攻撃係数!$A$1:$B$1000,2,FALSE)</f>
        <v>1</v>
      </c>
      <c r="X1294" s="9">
        <f>VLOOKUP(C1294,サイズ別係数!A$2:B$9,2,FALSE)</f>
        <v>60</v>
      </c>
      <c r="Y1294" s="26">
        <f>VLOOKUP($X1294,サイズ別係数!$B:$E,2,FALSE)</f>
        <v>1.7</v>
      </c>
      <c r="Z1294" s="26">
        <f>VLOOKUP($X1294,サイズ別係数!$B:$E,3,FALSE)</f>
        <v>1.4</v>
      </c>
      <c r="AA1294" s="26">
        <f>VLOOKUP($X1294,サイズ別係数!$B:$E,4,FALSE)</f>
        <v>1</v>
      </c>
      <c r="AB1294" s="5">
        <v>0</v>
      </c>
      <c r="AC1294" s="34" t="str">
        <f ca="1">VLOOKUP($AB1294,OFFSET([3]enemy_skill_sets!$B$2,0,0,COUNTA([3]enemy_skill_sets!$A:$A),MATCH(AC$1,[3]enemy_skill_sets!$1:$1,0)-MATCH($AB$1,[3]enemy_skill_sets!$1:$1,0)+1),MATCH(AC$1,[3]enemy_skill_sets!$1:$1,0)-MATCH($AB$1,[3]enemy_skill_sets!$1:$1,0)+1,FALSE)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4" s="67">
        <v>1</v>
      </c>
      <c r="AE1294" s="67">
        <v>1</v>
      </c>
      <c r="AF1294" s="37">
        <v>0</v>
      </c>
      <c r="AG1294" s="99">
        <f>ROUND(VLOOKUP(1,enemy_base_stats!$A:$F,2,FALSE) * Y1294* J1294*O1294*E1294*S1294*AD1294*[2]ステータス!$B$2,0)</f>
        <v>3995</v>
      </c>
      <c r="AH1294" s="99">
        <f>ROUND(VLOOKUP(1,enemy_base_stats!$A:$F,3,FALSE) * Z1294*K1294*P1294*F1294*T1294*AE1294 * W1294*[2]ステータス!$C$2,0)</f>
        <v>367</v>
      </c>
      <c r="AI1294" s="99">
        <f>ROUND(VLOOKUP(1,enemy_base_stats!$A:$F,4,FALSE) * AA1294*L1294*Q1294*G1294*U1294*AF1294*[2]ステータス!$D$2,0)</f>
        <v>0</v>
      </c>
      <c r="AJ1294" s="99">
        <f>ROUND(VLOOKUP(100,enemy_base_stats!$A:$F,2,FALSE) * Y1294* J1294*O1294*E1294*S1294*AD1294*[2]ステータス!$B$2,0)</f>
        <v>162197</v>
      </c>
      <c r="AK1294" s="99">
        <f>ROUND(VLOOKUP(100,enemy_base_stats!$A:$F,3,FALSE)* Z1294* K1294*P1294*F1294*T1294*AE1294 * W1294*[2]ステータス!$C$2,0)</f>
        <v>14886</v>
      </c>
      <c r="AL1294" s="99">
        <f>ROUND(VLOOKUP(100,enemy_base_stats!$A:$F,4,FALSE)* AA1294* L1294*Q1294*G1294*U1294*AF1294*[2]ステータス!$D$2,0)</f>
        <v>0</v>
      </c>
      <c r="AM1294" s="97">
        <f>VLOOKUP(M1294,[2]character_tribe_i18n!$A:$I,9,FALSE)</f>
        <v>400</v>
      </c>
      <c r="AN1294" s="36">
        <v>0</v>
      </c>
      <c r="AO1294" s="53">
        <v>0</v>
      </c>
      <c r="AP1294" s="58" t="s">
        <v>72</v>
      </c>
      <c r="AQ1294" s="71">
        <f t="shared" si="66"/>
        <v>1293</v>
      </c>
    </row>
    <row r="1295" spans="1:43" ht="21" customHeight="1" x14ac:dyDescent="0.15">
      <c r="A1295" s="7">
        <v>1294</v>
      </c>
      <c r="B1295" s="6" t="str">
        <f>VLOOKUP(A1295,[2]characters!$A:$C,3,FALSE)</f>
        <v>酉賀なる初飛翔 トトリ</v>
      </c>
      <c r="C1295" s="9">
        <f>VLOOKUP(A1295,[2]characters!$A:$I,9,FALSE)</f>
        <v>6</v>
      </c>
      <c r="D1295" s="9" t="str">
        <f>VLOOKUP(A1295,[2]characters!$A:$H,8,FALSE)</f>
        <v>red</v>
      </c>
      <c r="E1295" s="24">
        <f>VLOOKUP(D1295,[2]属性!$A:$E,2,FALSE)</f>
        <v>1</v>
      </c>
      <c r="F1295" s="24">
        <f>VLOOKUP(D1295,[2]属性!$A:$E,3,FALSE)</f>
        <v>1.02</v>
      </c>
      <c r="G1295" s="24">
        <f>VLOOKUP(D1295,[2]属性!$A:$F,4,FALSE)</f>
        <v>1</v>
      </c>
      <c r="H1295" s="100" t="s">
        <v>178</v>
      </c>
      <c r="I1295" s="14" t="str">
        <f>VLOOKUP(H1295,[2]character_type_i18n!$A:$F,3,FALSE)</f>
        <v>攻撃タイプ</v>
      </c>
      <c r="J1295" s="36">
        <f>VLOOKUP(H1295,[2]character_type_i18n!$A:$F,4,FALSE)</f>
        <v>1</v>
      </c>
      <c r="K1295" s="36">
        <f>VLOOKUP(H1295,[2]character_type_i18n!$A:$F,5,FALSE)</f>
        <v>1.33</v>
      </c>
      <c r="L1295" s="36">
        <f>VLOOKUP(H1295,[2]character_type_i18n!$A:$F,6,FALSE)</f>
        <v>1</v>
      </c>
      <c r="M1295" s="100" t="s">
        <v>179</v>
      </c>
      <c r="N1295" s="14" t="str">
        <f>VLOOKUP(M1295,[2]character_tribe_i18n!$A:$F,3,FALSE)</f>
        <v>ヒューマン</v>
      </c>
      <c r="O1295" s="24">
        <f>VLOOKUP(M1295,[2]character_tribe_i18n!$A:$F,4,FALSE)</f>
        <v>0.94</v>
      </c>
      <c r="P1295" s="24">
        <f>VLOOKUP(M1295,[2]character_tribe_i18n!$A:$F,5,FALSE)</f>
        <v>0.99</v>
      </c>
      <c r="Q1295" s="24">
        <f>VLOOKUP(M1295,[2]character_tribe_i18n!$A:$F,6,FALSE)</f>
        <v>1</v>
      </c>
      <c r="R1295" s="25" t="s">
        <v>98</v>
      </c>
      <c r="S1295" s="24">
        <f>VLOOKUP($R1295,ラベル別係数!$A$1:$E$7,3,FALSE)</f>
        <v>5</v>
      </c>
      <c r="T1295" s="24">
        <f>VLOOKUP($R1295,ラベル別係数!$A$1:$E$7,4,FALSE)</f>
        <v>1.3</v>
      </c>
      <c r="U1295" s="24">
        <f>VLOOKUP($R1295,ラベル別係数!$A$1:$E$7,5,FALSE)</f>
        <v>0.8</v>
      </c>
      <c r="V1295" s="27">
        <v>3</v>
      </c>
      <c r="W1295" s="28">
        <f>VLOOKUP(V1295,ターン数別攻撃係数!$A$1:$B$1000,2,FALSE)</f>
        <v>1</v>
      </c>
      <c r="X1295" s="9">
        <f>VLOOKUP(C1295,サイズ別係数!A$2:B$9,2,FALSE)</f>
        <v>60</v>
      </c>
      <c r="Y1295" s="26">
        <f>VLOOKUP($X1295,サイズ別係数!$B:$E,2,FALSE)</f>
        <v>1.7</v>
      </c>
      <c r="Z1295" s="26">
        <f>VLOOKUP($X1295,サイズ別係数!$B:$E,3,FALSE)</f>
        <v>1.4</v>
      </c>
      <c r="AA1295" s="26">
        <f>VLOOKUP($X1295,サイズ別係数!$B:$E,4,FALSE)</f>
        <v>1</v>
      </c>
      <c r="AB1295" s="5">
        <v>0</v>
      </c>
      <c r="AC1295" s="34" t="str">
        <f ca="1">VLOOKUP($AB1295,OFFSET([3]enemy_skill_sets!$B$2,0,0,COUNTA([3]enemy_skill_sets!$A:$A),MATCH(AC$1,[3]enemy_skill_sets!$1:$1,0)-MATCH($AB$1,[3]enemy_skill_sets!$1:$1,0)+1),MATCH(AC$1,[3]enemy_skill_sets!$1:$1,0)-MATCH($AB$1,[3]enemy_skill_sets!$1:$1,0)+1,FALSE)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5" s="67">
        <v>1</v>
      </c>
      <c r="AE1295" s="67">
        <v>1</v>
      </c>
      <c r="AF1295" s="37">
        <v>0</v>
      </c>
      <c r="AG1295" s="99">
        <f>ROUND(VLOOKUP(1,enemy_base_stats!$A:$F,2,FALSE) * Y1295* J1295*O1295*E1295*S1295*AD1295*[2]ステータス!$B$2,0)</f>
        <v>3995</v>
      </c>
      <c r="AH1295" s="99">
        <f>ROUND(VLOOKUP(1,enemy_base_stats!$A:$F,3,FALSE) * Z1295*K1295*P1295*F1295*T1295*AE1295 * W1295*[2]ステータス!$C$2,0)</f>
        <v>367</v>
      </c>
      <c r="AI1295" s="99">
        <f>ROUND(VLOOKUP(1,enemy_base_stats!$A:$F,4,FALSE) * AA1295*L1295*Q1295*G1295*U1295*AF1295*[2]ステータス!$D$2,0)</f>
        <v>0</v>
      </c>
      <c r="AJ1295" s="99">
        <f>ROUND(VLOOKUP(100,enemy_base_stats!$A:$F,2,FALSE) * Y1295* J1295*O1295*E1295*S1295*AD1295*[2]ステータス!$B$2,0)</f>
        <v>162197</v>
      </c>
      <c r="AK1295" s="99">
        <f>ROUND(VLOOKUP(100,enemy_base_stats!$A:$F,3,FALSE)* Z1295* K1295*P1295*F1295*T1295*AE1295 * W1295*[2]ステータス!$C$2,0)</f>
        <v>14886</v>
      </c>
      <c r="AL1295" s="99">
        <f>ROUND(VLOOKUP(100,enemy_base_stats!$A:$F,4,FALSE)* AA1295* L1295*Q1295*G1295*U1295*AF1295*[2]ステータス!$D$2,0)</f>
        <v>0</v>
      </c>
      <c r="AM1295" s="97">
        <f>VLOOKUP(M1295,[2]character_tribe_i18n!$A:$I,9,FALSE)</f>
        <v>400</v>
      </c>
      <c r="AN1295" s="36">
        <v>0</v>
      </c>
      <c r="AO1295" s="53">
        <v>0</v>
      </c>
      <c r="AP1295" s="58" t="s">
        <v>72</v>
      </c>
      <c r="AQ1295" s="71">
        <f t="shared" si="66"/>
        <v>1294</v>
      </c>
    </row>
    <row r="1296" spans="1:43" ht="21" customHeight="1" x14ac:dyDescent="0.15">
      <c r="A1296" s="7">
        <v>1297</v>
      </c>
      <c r="B1296" s="6" t="str">
        <f>VLOOKUP(A1296,[2]characters!$A:$C,3,FALSE)</f>
        <v>雪ミク2017</v>
      </c>
      <c r="C1296" s="9">
        <f>VLOOKUP(A1296,[2]characters!$A:$I,9,FALSE)</f>
        <v>5</v>
      </c>
      <c r="D1296" s="9" t="str">
        <f>VLOOKUP(A1296,[2]characters!$A:$H,8,FALSE)</f>
        <v>green</v>
      </c>
      <c r="E1296" s="24">
        <f>VLOOKUP(D1296,[2]属性!$A:$E,2,FALSE)</f>
        <v>1.02</v>
      </c>
      <c r="F1296" s="24">
        <f>VLOOKUP(D1296,[2]属性!$A:$E,3,FALSE)</f>
        <v>0.98</v>
      </c>
      <c r="G1296" s="24">
        <f>VLOOKUP(D1296,[2]属性!$A:$F,4,FALSE)</f>
        <v>1</v>
      </c>
      <c r="H1296" s="9" t="str">
        <f>VLOOKUP(A1296,[2]characters!$A:$K,11,FALSE)</f>
        <v>heal</v>
      </c>
      <c r="I1296" s="14" t="str">
        <f>VLOOKUP(H1296,[2]character_type_i18n!$A:$F,3,FALSE)</f>
        <v>回復タイプ</v>
      </c>
      <c r="J1296" s="36">
        <f>VLOOKUP(H1296,[2]character_type_i18n!$A:$F,4,FALSE)</f>
        <v>0.8</v>
      </c>
      <c r="K1296" s="36">
        <f>VLOOKUP(H1296,[2]character_type_i18n!$A:$F,5,FALSE)</f>
        <v>0.78</v>
      </c>
      <c r="L1296" s="36">
        <f>VLOOKUP(H1296,[2]character_type_i18n!$A:$F,6,FALSE)</f>
        <v>1</v>
      </c>
      <c r="M1296" s="9" t="str">
        <f>VLOOKUP(A1296,[2]characters!$A:$M,13,FALSE)</f>
        <v>unknown</v>
      </c>
      <c r="N1296" s="14" t="str">
        <f>VLOOKUP(M1296,[2]character_tribe_i18n!$A:$F,3,FALSE)</f>
        <v>Unknown</v>
      </c>
      <c r="O1296" s="24">
        <f>VLOOKUP(M1296,[2]character_tribe_i18n!$A:$F,4,FALSE)</f>
        <v>1</v>
      </c>
      <c r="P1296" s="24">
        <f>VLOOKUP(M1296,[2]character_tribe_i18n!$A:$F,5,FALSE)</f>
        <v>1</v>
      </c>
      <c r="Q1296" s="24">
        <f>VLOOKUP(M1296,[2]character_tribe_i18n!$A:$F,6,FALSE)</f>
        <v>1</v>
      </c>
      <c r="R1296" s="25" t="s">
        <v>98</v>
      </c>
      <c r="S1296" s="24">
        <f>VLOOKUP($R1296,ラベル別係数!$A$1:$E$7,3,FALSE)</f>
        <v>5</v>
      </c>
      <c r="T1296" s="24">
        <f>VLOOKUP($R1296,ラベル別係数!$A$1:$E$7,4,FALSE)</f>
        <v>1.3</v>
      </c>
      <c r="U1296" s="24">
        <f>VLOOKUP($R1296,ラベル別係数!$A$1:$E$7,5,FALSE)</f>
        <v>0.8</v>
      </c>
      <c r="V1296" s="27">
        <v>3</v>
      </c>
      <c r="W1296" s="28">
        <f>VLOOKUP(V1296,ターン数別攻撃係数!$A$1:$B$1000,2,FALSE)</f>
        <v>1</v>
      </c>
      <c r="X1296" s="9">
        <f>VLOOKUP(C1296,サイズ別係数!A$2:B$9,2,FALSE)</f>
        <v>60</v>
      </c>
      <c r="Y1296" s="26">
        <f>VLOOKUP($X1296,サイズ別係数!$B:$E,2,FALSE)</f>
        <v>1.7</v>
      </c>
      <c r="Z1296" s="26">
        <f>VLOOKUP($X1296,サイズ別係数!$B:$E,3,FALSE)</f>
        <v>1.4</v>
      </c>
      <c r="AA1296" s="26">
        <f>VLOOKUP($X1296,サイズ別係数!$B:$E,4,FALSE)</f>
        <v>1</v>
      </c>
      <c r="AB1296" s="5">
        <v>0</v>
      </c>
      <c r="AC1296" s="34" t="str">
        <f ca="1">VLOOKUP($AB1296,OFFSET([3]enemy_skill_sets!$B$2,0,0,COUNTA([3]enemy_skill_sets!$A:$A),MATCH(AC$1,[3]enemy_skill_sets!$1:$1,0)-MATCH($AB$1,[3]enemy_skill_sets!$1:$1,0)+1),MATCH(AC$1,[3]enemy_skill_sets!$1:$1,0)-MATCH($AB$1,[3]enemy_skill_sets!$1:$1,0)+1,FALSE)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6" s="67">
        <v>1</v>
      </c>
      <c r="AE1296" s="67">
        <v>1</v>
      </c>
      <c r="AF1296" s="37">
        <v>0</v>
      </c>
      <c r="AG1296" s="99">
        <f>ROUND(VLOOKUP(1,enemy_base_stats!$A:$F,2,FALSE) * Y1296* J1296*O1296*E1296*S1296*AD1296*[2]ステータス!$B$2,0)</f>
        <v>3468</v>
      </c>
      <c r="AH1296" s="99">
        <f>ROUND(VLOOKUP(1,enemy_base_stats!$A:$F,3,FALSE) * Z1296*K1296*P1296*F1296*T1296*AE1296 * W1296*[2]ステータス!$C$2,0)</f>
        <v>209</v>
      </c>
      <c r="AI1296" s="99">
        <f>ROUND(VLOOKUP(1,enemy_base_stats!$A:$F,4,FALSE) * AA1296*L1296*Q1296*G1296*U1296*AF1296*[2]ステータス!$D$2,0)</f>
        <v>0</v>
      </c>
      <c r="AJ1296" s="99">
        <f>ROUND(VLOOKUP(100,enemy_base_stats!$A:$F,2,FALSE) * Y1296* J1296*O1296*E1296*S1296*AD1296*[2]ステータス!$B$2,0)</f>
        <v>140801</v>
      </c>
      <c r="AK1296" s="99">
        <f>ROUND(VLOOKUP(100,enemy_base_stats!$A:$F,3,FALSE)* Z1296* K1296*P1296*F1296*T1296*AE1296 * W1296*[2]ステータス!$C$2,0)</f>
        <v>8472</v>
      </c>
      <c r="AL1296" s="99">
        <f>ROUND(VLOOKUP(100,enemy_base_stats!$A:$F,4,FALSE)* AA1296* L1296*Q1296*G1296*U1296*AF1296*[2]ステータス!$D$2,0)</f>
        <v>0</v>
      </c>
      <c r="AM1296" s="97">
        <f>VLOOKUP(M1296,[2]character_tribe_i18n!$A:$I,9,FALSE)</f>
        <v>340</v>
      </c>
      <c r="AN1296" s="36">
        <v>0</v>
      </c>
      <c r="AO1296" s="53">
        <v>0</v>
      </c>
      <c r="AP1296" s="58" t="s">
        <v>72</v>
      </c>
      <c r="AQ1296" s="71">
        <f t="shared" ref="AQ1296:AQ1297" si="67">A1296</f>
        <v>1297</v>
      </c>
    </row>
    <row r="1297" spans="1:43" ht="21" customHeight="1" x14ac:dyDescent="0.15">
      <c r="A1297" s="7">
        <v>1298</v>
      </c>
      <c r="B1297" s="6" t="str">
        <f>VLOOKUP(A1297,[2]characters!$A:$C,3,FALSE)</f>
        <v>星空の歌姫 雪ミク2017</v>
      </c>
      <c r="C1297" s="9">
        <f>VLOOKUP(A1297,[2]characters!$A:$I,9,FALSE)</f>
        <v>6</v>
      </c>
      <c r="D1297" s="9" t="str">
        <f>VLOOKUP(A1297,[2]characters!$A:$H,8,FALSE)</f>
        <v>green</v>
      </c>
      <c r="E1297" s="24">
        <f>VLOOKUP(D1297,[2]属性!$A:$E,2,FALSE)</f>
        <v>1.02</v>
      </c>
      <c r="F1297" s="24">
        <f>VLOOKUP(D1297,[2]属性!$A:$E,3,FALSE)</f>
        <v>0.98</v>
      </c>
      <c r="G1297" s="24">
        <f>VLOOKUP(D1297,[2]属性!$A:$F,4,FALSE)</f>
        <v>1</v>
      </c>
      <c r="H1297" s="9" t="str">
        <f>VLOOKUP(A1297,[2]characters!$A:$K,11,FALSE)</f>
        <v>heal</v>
      </c>
      <c r="I1297" s="14" t="str">
        <f>VLOOKUP(H1297,[2]character_type_i18n!$A:$F,3,FALSE)</f>
        <v>回復タイプ</v>
      </c>
      <c r="J1297" s="36">
        <f>VLOOKUP(H1297,[2]character_type_i18n!$A:$F,4,FALSE)</f>
        <v>0.8</v>
      </c>
      <c r="K1297" s="36">
        <f>VLOOKUP(H1297,[2]character_type_i18n!$A:$F,5,FALSE)</f>
        <v>0.78</v>
      </c>
      <c r="L1297" s="36">
        <f>VLOOKUP(H1297,[2]character_type_i18n!$A:$F,6,FALSE)</f>
        <v>1</v>
      </c>
      <c r="M1297" s="9" t="str">
        <f>VLOOKUP(A1297,[2]characters!$A:$M,13,FALSE)</f>
        <v>unknown</v>
      </c>
      <c r="N1297" s="14" t="str">
        <f>VLOOKUP(M1297,[2]character_tribe_i18n!$A:$F,3,FALSE)</f>
        <v>Unknown</v>
      </c>
      <c r="O1297" s="24">
        <f>VLOOKUP(M1297,[2]character_tribe_i18n!$A:$F,4,FALSE)</f>
        <v>1</v>
      </c>
      <c r="P1297" s="24">
        <f>VLOOKUP(M1297,[2]character_tribe_i18n!$A:$F,5,FALSE)</f>
        <v>1</v>
      </c>
      <c r="Q1297" s="24">
        <f>VLOOKUP(M1297,[2]character_tribe_i18n!$A:$F,6,FALSE)</f>
        <v>1</v>
      </c>
      <c r="R1297" s="25" t="s">
        <v>98</v>
      </c>
      <c r="S1297" s="24">
        <f>VLOOKUP($R1297,ラベル別係数!$A$1:$E$7,3,FALSE)</f>
        <v>5</v>
      </c>
      <c r="T1297" s="24">
        <f>VLOOKUP($R1297,ラベル別係数!$A$1:$E$7,4,FALSE)</f>
        <v>1.3</v>
      </c>
      <c r="U1297" s="24">
        <f>VLOOKUP($R1297,ラベル別係数!$A$1:$E$7,5,FALSE)</f>
        <v>0.8</v>
      </c>
      <c r="V1297" s="27">
        <v>3</v>
      </c>
      <c r="W1297" s="28">
        <f>VLOOKUP(V1297,ターン数別攻撃係数!$A$1:$B$1000,2,FALSE)</f>
        <v>1</v>
      </c>
      <c r="X1297" s="9">
        <f>VLOOKUP(C1297,サイズ別係数!A$2:B$9,2,FALSE)</f>
        <v>60</v>
      </c>
      <c r="Y1297" s="26">
        <f>VLOOKUP($X1297,サイズ別係数!$B:$E,2,FALSE)</f>
        <v>1.7</v>
      </c>
      <c r="Z1297" s="26">
        <f>VLOOKUP($X1297,サイズ別係数!$B:$E,3,FALSE)</f>
        <v>1.4</v>
      </c>
      <c r="AA1297" s="26">
        <f>VLOOKUP($X1297,サイズ別係数!$B:$E,4,FALSE)</f>
        <v>1</v>
      </c>
      <c r="AB1297" s="5">
        <v>0</v>
      </c>
      <c r="AC1297" s="34" t="str">
        <f ca="1">VLOOKUP($AB1297,OFFSET([3]enemy_skill_sets!$B$2,0,0,COUNTA([3]enemy_skill_sets!$A:$A),MATCH(AC$1,[3]enemy_skill_sets!$1:$1,0)-MATCH($AB$1,[3]enemy_skill_sets!$1:$1,0)+1),MATCH(AC$1,[3]enemy_skill_sets!$1:$1,0)-MATCH($AB$1,[3]enemy_skill_sets!$1:$1,0)+1,FALSE)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7" s="67">
        <v>1</v>
      </c>
      <c r="AE1297" s="67">
        <v>1</v>
      </c>
      <c r="AF1297" s="37">
        <v>0</v>
      </c>
      <c r="AG1297" s="99">
        <f>ROUND(VLOOKUP(1,enemy_base_stats!$A:$F,2,FALSE) * Y1297* J1297*O1297*E1297*S1297*AD1297*[2]ステータス!$B$2,0)</f>
        <v>3468</v>
      </c>
      <c r="AH1297" s="99">
        <f>ROUND(VLOOKUP(1,enemy_base_stats!$A:$F,3,FALSE) * Z1297*K1297*P1297*F1297*T1297*AE1297 * W1297*[2]ステータス!$C$2,0)</f>
        <v>209</v>
      </c>
      <c r="AI1297" s="99">
        <f>ROUND(VLOOKUP(1,enemy_base_stats!$A:$F,4,FALSE) * AA1297*L1297*Q1297*G1297*U1297*AF1297*[2]ステータス!$D$2,0)</f>
        <v>0</v>
      </c>
      <c r="AJ1297" s="99">
        <f>ROUND(VLOOKUP(100,enemy_base_stats!$A:$F,2,FALSE) * Y1297* J1297*O1297*E1297*S1297*AD1297*[2]ステータス!$B$2,0)</f>
        <v>140801</v>
      </c>
      <c r="AK1297" s="99">
        <f>ROUND(VLOOKUP(100,enemy_base_stats!$A:$F,3,FALSE)* Z1297* K1297*P1297*F1297*T1297*AE1297 * W1297*[2]ステータス!$C$2,0)</f>
        <v>8472</v>
      </c>
      <c r="AL1297" s="99">
        <f>ROUND(VLOOKUP(100,enemy_base_stats!$A:$F,4,FALSE)* AA1297* L1297*Q1297*G1297*U1297*AF1297*[2]ステータス!$D$2,0)</f>
        <v>0</v>
      </c>
      <c r="AM1297" s="97">
        <f>VLOOKUP(M1297,[2]character_tribe_i18n!$A:$I,9,FALSE)</f>
        <v>340</v>
      </c>
      <c r="AN1297" s="36">
        <v>0</v>
      </c>
      <c r="AO1297" s="53">
        <v>0</v>
      </c>
      <c r="AP1297" s="58" t="s">
        <v>72</v>
      </c>
      <c r="AQ1297" s="71">
        <f t="shared" si="67"/>
        <v>1298</v>
      </c>
    </row>
    <row r="1298" spans="1:43" ht="21" customHeight="1" x14ac:dyDescent="0.15">
      <c r="A1298" s="7">
        <v>1299</v>
      </c>
      <c r="B1298" s="6" t="str">
        <f>VLOOKUP(A1298,[2]characters!$A:$C,3,FALSE)</f>
        <v>覚世の楽聖姫 初音ミクV3</v>
      </c>
      <c r="C1298" s="9">
        <f>VLOOKUP(A1298,[2]characters!$A:$I,9,FALSE)</f>
        <v>6</v>
      </c>
      <c r="D1298" s="9" t="str">
        <f>VLOOKUP(A1298,[2]characters!$A:$H,8,FALSE)</f>
        <v>yellow</v>
      </c>
      <c r="E1298" s="24">
        <f>VLOOKUP(D1298,[2]属性!$A:$E,2,FALSE)</f>
        <v>0.98</v>
      </c>
      <c r="F1298" s="24">
        <f>VLOOKUP(D1298,[2]属性!$A:$E,3,FALSE)</f>
        <v>1.01</v>
      </c>
      <c r="G1298" s="24">
        <f>VLOOKUP(D1298,[2]属性!$A:$F,4,FALSE)</f>
        <v>1</v>
      </c>
      <c r="H1298" s="9" t="str">
        <f>VLOOKUP(A1298,[2]characters!$A:$K,11,FALSE)</f>
        <v>balance</v>
      </c>
      <c r="I1298" s="14" t="str">
        <f>VLOOKUP(H1298,[2]character_type_i18n!$A:$F,3,FALSE)</f>
        <v>バランスタイプ</v>
      </c>
      <c r="J1298" s="36">
        <f>VLOOKUP(H1298,[2]character_type_i18n!$A:$F,4,FALSE)</f>
        <v>1</v>
      </c>
      <c r="K1298" s="36">
        <f>VLOOKUP(H1298,[2]character_type_i18n!$A:$F,5,FALSE)</f>
        <v>1</v>
      </c>
      <c r="L1298" s="36">
        <f>VLOOKUP(H1298,[2]character_type_i18n!$A:$F,6,FALSE)</f>
        <v>1</v>
      </c>
      <c r="M1298" s="9" t="str">
        <f>VLOOKUP(A1298,[2]characters!$A:$M,13,FALSE)</f>
        <v>unknown</v>
      </c>
      <c r="N1298" s="14" t="str">
        <f>VLOOKUP(M1298,[2]character_tribe_i18n!$A:$F,3,FALSE)</f>
        <v>Unknown</v>
      </c>
      <c r="O1298" s="24">
        <f>VLOOKUP(M1298,[2]character_tribe_i18n!$A:$F,4,FALSE)</f>
        <v>1</v>
      </c>
      <c r="P1298" s="24">
        <f>VLOOKUP(M1298,[2]character_tribe_i18n!$A:$F,5,FALSE)</f>
        <v>1</v>
      </c>
      <c r="Q1298" s="24">
        <f>VLOOKUP(M1298,[2]character_tribe_i18n!$A:$F,6,FALSE)</f>
        <v>1</v>
      </c>
      <c r="R1298" s="25" t="s">
        <v>98</v>
      </c>
      <c r="S1298" s="24">
        <f>VLOOKUP($R1298,ラベル別係数!$A$1:$E$7,3,FALSE)</f>
        <v>5</v>
      </c>
      <c r="T1298" s="24">
        <f>VLOOKUP($R1298,ラベル別係数!$A$1:$E$7,4,FALSE)</f>
        <v>1.3</v>
      </c>
      <c r="U1298" s="24">
        <f>VLOOKUP($R1298,ラベル別係数!$A$1:$E$7,5,FALSE)</f>
        <v>0.8</v>
      </c>
      <c r="V1298" s="27">
        <v>3</v>
      </c>
      <c r="W1298" s="28">
        <f>VLOOKUP(V1298,ターン数別攻撃係数!$A$1:$B$1000,2,FALSE)</f>
        <v>1</v>
      </c>
      <c r="X1298" s="9">
        <f>VLOOKUP(C1298,サイズ別係数!A$2:B$9,2,FALSE)</f>
        <v>60</v>
      </c>
      <c r="Y1298" s="26">
        <f>VLOOKUP($X1298,サイズ別係数!$B:$E,2,FALSE)</f>
        <v>1.7</v>
      </c>
      <c r="Z1298" s="26">
        <f>VLOOKUP($X1298,サイズ別係数!$B:$E,3,FALSE)</f>
        <v>1.4</v>
      </c>
      <c r="AA1298" s="26">
        <f>VLOOKUP($X1298,サイズ別係数!$B:$E,4,FALSE)</f>
        <v>1</v>
      </c>
      <c r="AB1298" s="5">
        <v>0</v>
      </c>
      <c r="AC1298" s="34" t="str">
        <f ca="1">VLOOKUP($AB1298,OFFSET([3]enemy_skill_sets!$B$2,0,0,COUNTA([3]enemy_skill_sets!$A:$A),MATCH(AC$1,[3]enemy_skill_sets!$1:$1,0)-MATCH($AB$1,[3]enemy_skill_sets!$1:$1,0)+1),MATCH(AC$1,[3]enemy_skill_sets!$1:$1,0)-MATCH($AB$1,[3]enemy_skill_sets!$1:$1,0)+1,FALSE)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8" s="67">
        <v>1</v>
      </c>
      <c r="AE1298" s="67">
        <v>1</v>
      </c>
      <c r="AF1298" s="37">
        <v>0</v>
      </c>
      <c r="AG1298" s="99">
        <f>ROUND(VLOOKUP(1,enemy_base_stats!$A:$F,2,FALSE) * Y1298* J1298*O1298*E1298*S1298*AD1298*[2]ステータス!$B$2,0)</f>
        <v>4165</v>
      </c>
      <c r="AH1298" s="99">
        <f>ROUND(VLOOKUP(1,enemy_base_stats!$A:$F,3,FALSE) * Z1298*K1298*P1298*F1298*T1298*AE1298 * W1298*[2]ステータス!$C$2,0)</f>
        <v>276</v>
      </c>
      <c r="AI1298" s="99">
        <f>ROUND(VLOOKUP(1,enemy_base_stats!$A:$F,4,FALSE) * AA1298*L1298*Q1298*G1298*U1298*AF1298*[2]ステータス!$D$2,0)</f>
        <v>0</v>
      </c>
      <c r="AJ1298" s="99">
        <f>ROUND(VLOOKUP(100,enemy_base_stats!$A:$F,2,FALSE) * Y1298* J1298*O1298*E1298*S1298*AD1298*[2]ステータス!$B$2,0)</f>
        <v>169099</v>
      </c>
      <c r="AK1298" s="99">
        <f>ROUND(VLOOKUP(100,enemy_base_stats!$A:$F,3,FALSE)* Z1298* K1298*P1298*F1298*T1298*AE1298 * W1298*[2]ステータス!$C$2,0)</f>
        <v>11195</v>
      </c>
      <c r="AL1298" s="99">
        <f>ROUND(VLOOKUP(100,enemy_base_stats!$A:$F,4,FALSE)* AA1298* L1298*Q1298*G1298*U1298*AF1298*[2]ステータス!$D$2,0)</f>
        <v>0</v>
      </c>
      <c r="AM1298" s="97">
        <f>VLOOKUP(M1298,[2]character_tribe_i18n!$A:$I,9,FALSE)</f>
        <v>340</v>
      </c>
      <c r="AN1298" s="36">
        <v>0</v>
      </c>
      <c r="AO1298" s="53">
        <v>0</v>
      </c>
      <c r="AP1298" s="58" t="s">
        <v>72</v>
      </c>
      <c r="AQ1298" s="71">
        <f t="shared" ref="AQ1298" si="68">A1298</f>
        <v>1299</v>
      </c>
    </row>
    <row r="1299" spans="1:43" ht="21" customHeight="1" x14ac:dyDescent="0.15">
      <c r="A1299" s="7">
        <v>1300</v>
      </c>
      <c r="B1299" s="6" t="str">
        <f>VLOOKUP(A1299,[2]characters!$A:$C,3,FALSE)</f>
        <v>歌装の彩唱 紫式部</v>
      </c>
      <c r="C1299" s="9">
        <f>VLOOKUP(A1299,[2]characters!$A:$I,9,FALSE)</f>
        <v>5</v>
      </c>
      <c r="D1299" s="9" t="str">
        <f>VLOOKUP(A1299,[2]characters!$A:$H,8,FALSE)</f>
        <v>green</v>
      </c>
      <c r="E1299" s="24">
        <f>VLOOKUP(D1299,[2]属性!$A:$E,2,FALSE)</f>
        <v>1.02</v>
      </c>
      <c r="F1299" s="24">
        <f>VLOOKUP(D1299,[2]属性!$A:$E,3,FALSE)</f>
        <v>0.98</v>
      </c>
      <c r="G1299" s="24">
        <f>VLOOKUP(D1299,[2]属性!$A:$F,4,FALSE)</f>
        <v>1</v>
      </c>
      <c r="H1299" s="9" t="str">
        <f>VLOOKUP(A1299,[2]characters!$A:$K,11,FALSE)</f>
        <v>technical</v>
      </c>
      <c r="I1299" s="14" t="str">
        <f>VLOOKUP(H1299,[2]character_type_i18n!$A:$F,3,FALSE)</f>
        <v>テクニカルタイプ</v>
      </c>
      <c r="J1299" s="36">
        <f>VLOOKUP(H1299,[2]character_type_i18n!$A:$F,4,FALSE)</f>
        <v>0.9</v>
      </c>
      <c r="K1299" s="36">
        <f>VLOOKUP(H1299,[2]character_type_i18n!$A:$F,5,FALSE)</f>
        <v>0.9</v>
      </c>
      <c r="L1299" s="36">
        <f>VLOOKUP(H1299,[2]character_type_i18n!$A:$F,6,FALSE)</f>
        <v>1</v>
      </c>
      <c r="M1299" s="9" t="str">
        <f>VLOOKUP(A1299,[2]characters!$A:$M,13,FALSE)</f>
        <v>unknown</v>
      </c>
      <c r="N1299" s="14" t="str">
        <f>VLOOKUP(M1299,[2]character_tribe_i18n!$A:$F,3,FALSE)</f>
        <v>Unknown</v>
      </c>
      <c r="O1299" s="24">
        <f>VLOOKUP(M1299,[2]character_tribe_i18n!$A:$F,4,FALSE)</f>
        <v>1</v>
      </c>
      <c r="P1299" s="24">
        <f>VLOOKUP(M1299,[2]character_tribe_i18n!$A:$F,5,FALSE)</f>
        <v>1</v>
      </c>
      <c r="Q1299" s="24">
        <f>VLOOKUP(M1299,[2]character_tribe_i18n!$A:$F,6,FALSE)</f>
        <v>1</v>
      </c>
      <c r="R1299" s="25" t="s">
        <v>98</v>
      </c>
      <c r="S1299" s="24">
        <f>VLOOKUP($R1299,ラベル別係数!$A$1:$E$7,3,FALSE)</f>
        <v>5</v>
      </c>
      <c r="T1299" s="24">
        <f>VLOOKUP($R1299,ラベル別係数!$A$1:$E$7,4,FALSE)</f>
        <v>1.3</v>
      </c>
      <c r="U1299" s="24">
        <f>VLOOKUP($R1299,ラベル別係数!$A$1:$E$7,5,FALSE)</f>
        <v>0.8</v>
      </c>
      <c r="V1299" s="27">
        <v>3</v>
      </c>
      <c r="W1299" s="28">
        <f>VLOOKUP(V1299,ターン数別攻撃係数!$A$1:$B$1000,2,FALSE)</f>
        <v>1</v>
      </c>
      <c r="X1299" s="9">
        <f>VLOOKUP(C1299,サイズ別係数!A$2:B$9,2,FALSE)</f>
        <v>60</v>
      </c>
      <c r="Y1299" s="26">
        <f>VLOOKUP($X1299,サイズ別係数!$B:$E,2,FALSE)</f>
        <v>1.7</v>
      </c>
      <c r="Z1299" s="26">
        <f>VLOOKUP($X1299,サイズ別係数!$B:$E,3,FALSE)</f>
        <v>1.4</v>
      </c>
      <c r="AA1299" s="26">
        <f>VLOOKUP($X1299,サイズ別係数!$B:$E,4,FALSE)</f>
        <v>1</v>
      </c>
      <c r="AB1299" s="5">
        <v>0</v>
      </c>
      <c r="AC1299" s="34" t="str">
        <f ca="1">VLOOKUP($AB1299,OFFSET([3]enemy_skill_sets!$B$2,0,0,COUNTA([3]enemy_skill_sets!$A:$A),MATCH(AC$1,[3]enemy_skill_sets!$1:$1,0)-MATCH($AB$1,[3]enemy_skill_sets!$1:$1,0)+1),MATCH(AC$1,[3]enemy_skill_sets!$1:$1,0)-MATCH($AB$1,[3]enemy_skill_sets!$1:$1,0)+1,FALSE)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299" s="67">
        <v>1</v>
      </c>
      <c r="AE1299" s="67">
        <v>1</v>
      </c>
      <c r="AF1299" s="37">
        <v>0</v>
      </c>
      <c r="AG1299" s="99">
        <f>ROUND(VLOOKUP(1,enemy_base_stats!$A:$F,2,FALSE) * Y1299* J1299*O1299*E1299*S1299*AD1299*[2]ステータス!$B$2,0)</f>
        <v>3902</v>
      </c>
      <c r="AH1299" s="99">
        <f>ROUND(VLOOKUP(1,enemy_base_stats!$A:$F,3,FALSE) * Z1299*K1299*P1299*F1299*T1299*AE1299 * W1299*[2]ステータス!$C$2,0)</f>
        <v>241</v>
      </c>
      <c r="AI1299" s="99">
        <f>ROUND(VLOOKUP(1,enemy_base_stats!$A:$F,4,FALSE) * AA1299*L1299*Q1299*G1299*U1299*AF1299*[2]ステータス!$D$2,0)</f>
        <v>0</v>
      </c>
      <c r="AJ1299" s="99">
        <f>ROUND(VLOOKUP(100,enemy_base_stats!$A:$F,2,FALSE) * Y1299* J1299*O1299*E1299*S1299*AD1299*[2]ステータス!$B$2,0)</f>
        <v>158401</v>
      </c>
      <c r="AK1299" s="99">
        <f>ROUND(VLOOKUP(100,enemy_base_stats!$A:$F,3,FALSE)* Z1299* K1299*P1299*F1299*T1299*AE1299 * W1299*[2]ステータス!$C$2,0)</f>
        <v>9776</v>
      </c>
      <c r="AL1299" s="99">
        <f>ROUND(VLOOKUP(100,enemy_base_stats!$A:$F,4,FALSE)* AA1299* L1299*Q1299*G1299*U1299*AF1299*[2]ステータス!$D$2,0)</f>
        <v>0</v>
      </c>
      <c r="AM1299" s="97">
        <f>VLOOKUP(M1299,[2]character_tribe_i18n!$A:$I,9,FALSE)</f>
        <v>340</v>
      </c>
      <c r="AN1299" s="36">
        <v>0</v>
      </c>
      <c r="AO1299" s="53">
        <v>0</v>
      </c>
      <c r="AP1299" s="58" t="s">
        <v>72</v>
      </c>
      <c r="AQ1299" s="71">
        <f t="shared" ref="AQ1299:AQ1459" si="69">A1299</f>
        <v>1300</v>
      </c>
    </row>
    <row r="1300" spans="1:43" ht="21" customHeight="1" x14ac:dyDescent="0.15">
      <c r="A1300" s="7">
        <v>1301</v>
      </c>
      <c r="B1300" s="6" t="str">
        <f>VLOOKUP(A1300,[2]characters!$A:$C,3,FALSE)</f>
        <v>歌装の萌響女 紫式部</v>
      </c>
      <c r="C1300" s="9">
        <f>VLOOKUP(A1300,[2]characters!$A:$I,9,FALSE)</f>
        <v>6</v>
      </c>
      <c r="D1300" s="9" t="str">
        <f>VLOOKUP(A1300,[2]characters!$A:$H,8,FALSE)</f>
        <v>green</v>
      </c>
      <c r="E1300" s="24">
        <f>VLOOKUP(D1300,[2]属性!$A:$E,2,FALSE)</f>
        <v>1.02</v>
      </c>
      <c r="F1300" s="24">
        <f>VLOOKUP(D1300,[2]属性!$A:$E,3,FALSE)</f>
        <v>0.98</v>
      </c>
      <c r="G1300" s="24">
        <f>VLOOKUP(D1300,[2]属性!$A:$F,4,FALSE)</f>
        <v>1</v>
      </c>
      <c r="H1300" s="9" t="str">
        <f>VLOOKUP(A1300,[2]characters!$A:$K,11,FALSE)</f>
        <v>technical</v>
      </c>
      <c r="I1300" s="14" t="str">
        <f>VLOOKUP(H1300,[2]character_type_i18n!$A:$F,3,FALSE)</f>
        <v>テクニカルタイプ</v>
      </c>
      <c r="J1300" s="36">
        <f>VLOOKUP(H1300,[2]character_type_i18n!$A:$F,4,FALSE)</f>
        <v>0.9</v>
      </c>
      <c r="K1300" s="36">
        <f>VLOOKUP(H1300,[2]character_type_i18n!$A:$F,5,FALSE)</f>
        <v>0.9</v>
      </c>
      <c r="L1300" s="36">
        <f>VLOOKUP(H1300,[2]character_type_i18n!$A:$F,6,FALSE)</f>
        <v>1</v>
      </c>
      <c r="M1300" s="9" t="str">
        <f>VLOOKUP(A1300,[2]characters!$A:$M,13,FALSE)</f>
        <v>unknown</v>
      </c>
      <c r="N1300" s="14" t="str">
        <f>VLOOKUP(M1300,[2]character_tribe_i18n!$A:$F,3,FALSE)</f>
        <v>Unknown</v>
      </c>
      <c r="O1300" s="24">
        <f>VLOOKUP(M1300,[2]character_tribe_i18n!$A:$F,4,FALSE)</f>
        <v>1</v>
      </c>
      <c r="P1300" s="24">
        <f>VLOOKUP(M1300,[2]character_tribe_i18n!$A:$F,5,FALSE)</f>
        <v>1</v>
      </c>
      <c r="Q1300" s="24">
        <f>VLOOKUP(M1300,[2]character_tribe_i18n!$A:$F,6,FALSE)</f>
        <v>1</v>
      </c>
      <c r="R1300" s="25" t="s">
        <v>98</v>
      </c>
      <c r="S1300" s="24">
        <f>VLOOKUP($R1300,ラベル別係数!$A$1:$E$7,3,FALSE)</f>
        <v>5</v>
      </c>
      <c r="T1300" s="24">
        <f>VLOOKUP($R1300,ラベル別係数!$A$1:$E$7,4,FALSE)</f>
        <v>1.3</v>
      </c>
      <c r="U1300" s="24">
        <f>VLOOKUP($R1300,ラベル別係数!$A$1:$E$7,5,FALSE)</f>
        <v>0.8</v>
      </c>
      <c r="V1300" s="27">
        <v>3</v>
      </c>
      <c r="W1300" s="28">
        <f>VLOOKUP(V1300,ターン数別攻撃係数!$A$1:$B$1000,2,FALSE)</f>
        <v>1</v>
      </c>
      <c r="X1300" s="9">
        <f>VLOOKUP(C1300,サイズ別係数!A$2:B$9,2,FALSE)</f>
        <v>60</v>
      </c>
      <c r="Y1300" s="26">
        <f>VLOOKUP($X1300,サイズ別係数!$B:$E,2,FALSE)</f>
        <v>1.7</v>
      </c>
      <c r="Z1300" s="26">
        <f>VLOOKUP($X1300,サイズ別係数!$B:$E,3,FALSE)</f>
        <v>1.4</v>
      </c>
      <c r="AA1300" s="26">
        <f>VLOOKUP($X1300,サイズ別係数!$B:$E,4,FALSE)</f>
        <v>1</v>
      </c>
      <c r="AB1300" s="5">
        <v>0</v>
      </c>
      <c r="AC1300" s="34" t="str">
        <f ca="1">VLOOKUP($AB1300,OFFSET([3]enemy_skill_sets!$B$2,0,0,COUNTA([3]enemy_skill_sets!$A:$A),MATCH(AC$1,[3]enemy_skill_sets!$1:$1,0)-MATCH($AB$1,[3]enemy_skill_sets!$1:$1,0)+1),MATCH(AC$1,[3]enemy_skill_sets!$1:$1,0)-MATCH($AB$1,[3]enemy_skill_sets!$1:$1,0)+1,FALSE)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0" s="67">
        <v>1</v>
      </c>
      <c r="AE1300" s="67">
        <v>1</v>
      </c>
      <c r="AF1300" s="37">
        <v>0</v>
      </c>
      <c r="AG1300" s="99">
        <f>ROUND(VLOOKUP(1,enemy_base_stats!$A:$F,2,FALSE) * Y1300* J1300*O1300*E1300*S1300*AD1300*[2]ステータス!$B$2,0)</f>
        <v>3902</v>
      </c>
      <c r="AH1300" s="99">
        <f>ROUND(VLOOKUP(1,enemy_base_stats!$A:$F,3,FALSE) * Z1300*K1300*P1300*F1300*T1300*AE1300 * W1300*[2]ステータス!$C$2,0)</f>
        <v>241</v>
      </c>
      <c r="AI1300" s="99">
        <f>ROUND(VLOOKUP(1,enemy_base_stats!$A:$F,4,FALSE) * AA1300*L1300*Q1300*G1300*U1300*AF1300*[2]ステータス!$D$2,0)</f>
        <v>0</v>
      </c>
      <c r="AJ1300" s="99">
        <f>ROUND(VLOOKUP(100,enemy_base_stats!$A:$F,2,FALSE) * Y1300* J1300*O1300*E1300*S1300*AD1300*[2]ステータス!$B$2,0)</f>
        <v>158401</v>
      </c>
      <c r="AK1300" s="99">
        <f>ROUND(VLOOKUP(100,enemy_base_stats!$A:$F,3,FALSE)* Z1300* K1300*P1300*F1300*T1300*AE1300 * W1300*[2]ステータス!$C$2,0)</f>
        <v>9776</v>
      </c>
      <c r="AL1300" s="99">
        <f>ROUND(VLOOKUP(100,enemy_base_stats!$A:$F,4,FALSE)* AA1300* L1300*Q1300*G1300*U1300*AF1300*[2]ステータス!$D$2,0)</f>
        <v>0</v>
      </c>
      <c r="AM1300" s="97">
        <f>VLOOKUP(M1300,[2]character_tribe_i18n!$A:$I,9,FALSE)</f>
        <v>340</v>
      </c>
      <c r="AN1300" s="36">
        <v>0</v>
      </c>
      <c r="AO1300" s="53">
        <v>0</v>
      </c>
      <c r="AP1300" s="58" t="s">
        <v>72</v>
      </c>
      <c r="AQ1300" s="71">
        <f t="shared" si="69"/>
        <v>1301</v>
      </c>
    </row>
    <row r="1301" spans="1:43" ht="21" customHeight="1" x14ac:dyDescent="0.15">
      <c r="A1301" s="7">
        <v>1302</v>
      </c>
      <c r="B1301" s="6" t="str">
        <f>VLOOKUP(A1301,[2]characters!$A:$C,3,FALSE)</f>
        <v>超天突符 イナバ</v>
      </c>
      <c r="C1301" s="9">
        <f>VLOOKUP(A1301,[2]characters!$A:$I,9,FALSE)</f>
        <v>5</v>
      </c>
      <c r="D1301" s="9" t="str">
        <f>VLOOKUP(A1301,[2]characters!$A:$H,8,FALSE)</f>
        <v>yellow</v>
      </c>
      <c r="E1301" s="24">
        <f>VLOOKUP(D1301,[2]属性!$A:$E,2,FALSE)</f>
        <v>0.98</v>
      </c>
      <c r="F1301" s="24">
        <f>VLOOKUP(D1301,[2]属性!$A:$E,3,FALSE)</f>
        <v>1.01</v>
      </c>
      <c r="G1301" s="24">
        <f>VLOOKUP(D1301,[2]属性!$A:$F,4,FALSE)</f>
        <v>1</v>
      </c>
      <c r="H1301" s="9" t="str">
        <f>VLOOKUP(A1301,[2]characters!$A:$K,11,FALSE)</f>
        <v>balance</v>
      </c>
      <c r="I1301" s="14" t="str">
        <f>VLOOKUP(H1301,[2]character_type_i18n!$A:$F,3,FALSE)</f>
        <v>バランスタイプ</v>
      </c>
      <c r="J1301" s="36">
        <f>VLOOKUP(H1301,[2]character_type_i18n!$A:$F,4,FALSE)</f>
        <v>1</v>
      </c>
      <c r="K1301" s="36">
        <f>VLOOKUP(H1301,[2]character_type_i18n!$A:$F,5,FALSE)</f>
        <v>1</v>
      </c>
      <c r="L1301" s="36">
        <f>VLOOKUP(H1301,[2]character_type_i18n!$A:$F,6,FALSE)</f>
        <v>1</v>
      </c>
      <c r="M1301" s="9" t="str">
        <f>VLOOKUP(A1301,[2]characters!$A:$M,13,FALSE)</f>
        <v>unknown</v>
      </c>
      <c r="N1301" s="14" t="str">
        <f>VLOOKUP(M1301,[2]character_tribe_i18n!$A:$F,3,FALSE)</f>
        <v>Unknown</v>
      </c>
      <c r="O1301" s="24">
        <f>VLOOKUP(M1301,[2]character_tribe_i18n!$A:$F,4,FALSE)</f>
        <v>1</v>
      </c>
      <c r="P1301" s="24">
        <f>VLOOKUP(M1301,[2]character_tribe_i18n!$A:$F,5,FALSE)</f>
        <v>1</v>
      </c>
      <c r="Q1301" s="24">
        <f>VLOOKUP(M1301,[2]character_tribe_i18n!$A:$F,6,FALSE)</f>
        <v>1</v>
      </c>
      <c r="R1301" s="25" t="s">
        <v>98</v>
      </c>
      <c r="S1301" s="24">
        <f>VLOOKUP($R1301,ラベル別係数!$A$1:$E$7,3,FALSE)</f>
        <v>5</v>
      </c>
      <c r="T1301" s="24">
        <f>VLOOKUP($R1301,ラベル別係数!$A$1:$E$7,4,FALSE)</f>
        <v>1.3</v>
      </c>
      <c r="U1301" s="24">
        <f>VLOOKUP($R1301,ラベル別係数!$A$1:$E$7,5,FALSE)</f>
        <v>0.8</v>
      </c>
      <c r="V1301" s="27">
        <v>3</v>
      </c>
      <c r="W1301" s="28">
        <f>VLOOKUP(V1301,ターン数別攻撃係数!$A$1:$B$1000,2,FALSE)</f>
        <v>1</v>
      </c>
      <c r="X1301" s="9">
        <f>VLOOKUP(C1301,サイズ別係数!A$2:B$9,2,FALSE)</f>
        <v>60</v>
      </c>
      <c r="Y1301" s="26">
        <f>VLOOKUP($X1301,サイズ別係数!$B:$E,2,FALSE)</f>
        <v>1.7</v>
      </c>
      <c r="Z1301" s="26">
        <f>VLOOKUP($X1301,サイズ別係数!$B:$E,3,FALSE)</f>
        <v>1.4</v>
      </c>
      <c r="AA1301" s="26">
        <f>VLOOKUP($X1301,サイズ別係数!$B:$E,4,FALSE)</f>
        <v>1</v>
      </c>
      <c r="AB1301" s="5">
        <v>0</v>
      </c>
      <c r="AC1301" s="34" t="str">
        <f ca="1">VLOOKUP($AB1301,OFFSET([3]enemy_skill_sets!$B$2,0,0,COUNTA([3]enemy_skill_sets!$A:$A),MATCH(AC$1,[3]enemy_skill_sets!$1:$1,0)-MATCH($AB$1,[3]enemy_skill_sets!$1:$1,0)+1),MATCH(AC$1,[3]enemy_skill_sets!$1:$1,0)-MATCH($AB$1,[3]enemy_skill_sets!$1:$1,0)+1,FALSE)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1" s="67">
        <v>1</v>
      </c>
      <c r="AE1301" s="67">
        <v>1</v>
      </c>
      <c r="AF1301" s="37">
        <v>0</v>
      </c>
      <c r="AG1301" s="99">
        <f>ROUND(VLOOKUP(1,enemy_base_stats!$A:$F,2,FALSE) * Y1301* J1301*O1301*E1301*S1301*AD1301*[2]ステータス!$B$2,0)</f>
        <v>4165</v>
      </c>
      <c r="AH1301" s="99">
        <f>ROUND(VLOOKUP(1,enemy_base_stats!$A:$F,3,FALSE) * Z1301*K1301*P1301*F1301*T1301*AE1301 * W1301*[2]ステータス!$C$2,0)</f>
        <v>276</v>
      </c>
      <c r="AI1301" s="99">
        <f>ROUND(VLOOKUP(1,enemy_base_stats!$A:$F,4,FALSE) * AA1301*L1301*Q1301*G1301*U1301*AF1301*[2]ステータス!$D$2,0)</f>
        <v>0</v>
      </c>
      <c r="AJ1301" s="99">
        <f>ROUND(VLOOKUP(100,enemy_base_stats!$A:$F,2,FALSE) * Y1301* J1301*O1301*E1301*S1301*AD1301*[2]ステータス!$B$2,0)</f>
        <v>169099</v>
      </c>
      <c r="AK1301" s="99">
        <f>ROUND(VLOOKUP(100,enemy_base_stats!$A:$F,3,FALSE)* Z1301* K1301*P1301*F1301*T1301*AE1301 * W1301*[2]ステータス!$C$2,0)</f>
        <v>11195</v>
      </c>
      <c r="AL1301" s="99">
        <f>ROUND(VLOOKUP(100,enemy_base_stats!$A:$F,4,FALSE)* AA1301* L1301*Q1301*G1301*U1301*AF1301*[2]ステータス!$D$2,0)</f>
        <v>0</v>
      </c>
      <c r="AM1301" s="97">
        <f>VLOOKUP(M1301,[2]character_tribe_i18n!$A:$I,9,FALSE)</f>
        <v>340</v>
      </c>
      <c r="AN1301" s="36">
        <v>0</v>
      </c>
      <c r="AO1301" s="53">
        <v>0</v>
      </c>
      <c r="AP1301" s="58" t="s">
        <v>72</v>
      </c>
      <c r="AQ1301" s="71">
        <f t="shared" si="69"/>
        <v>1302</v>
      </c>
    </row>
    <row r="1302" spans="1:43" ht="21" customHeight="1" x14ac:dyDescent="0.15">
      <c r="A1302" s="7">
        <v>1303</v>
      </c>
      <c r="B1302" s="6" t="str">
        <f>VLOOKUP(A1302,[2]characters!$A:$C,3,FALSE)</f>
        <v>転調･超天突符 イナバ</v>
      </c>
      <c r="C1302" s="9">
        <f>VLOOKUP(A1302,[2]characters!$A:$I,9,FALSE)</f>
        <v>6</v>
      </c>
      <c r="D1302" s="9" t="str">
        <f>VLOOKUP(A1302,[2]characters!$A:$H,8,FALSE)</f>
        <v>yellow</v>
      </c>
      <c r="E1302" s="24">
        <f>VLOOKUP(D1302,[2]属性!$A:$E,2,FALSE)</f>
        <v>0.98</v>
      </c>
      <c r="F1302" s="24">
        <f>VLOOKUP(D1302,[2]属性!$A:$E,3,FALSE)</f>
        <v>1.01</v>
      </c>
      <c r="G1302" s="24">
        <f>VLOOKUP(D1302,[2]属性!$A:$F,4,FALSE)</f>
        <v>1</v>
      </c>
      <c r="H1302" s="9" t="str">
        <f>VLOOKUP(A1302,[2]characters!$A:$K,11,FALSE)</f>
        <v>balance</v>
      </c>
      <c r="I1302" s="14" t="str">
        <f>VLOOKUP(H1302,[2]character_type_i18n!$A:$F,3,FALSE)</f>
        <v>バランスタイプ</v>
      </c>
      <c r="J1302" s="36">
        <f>VLOOKUP(H1302,[2]character_type_i18n!$A:$F,4,FALSE)</f>
        <v>1</v>
      </c>
      <c r="K1302" s="36">
        <f>VLOOKUP(H1302,[2]character_type_i18n!$A:$F,5,FALSE)</f>
        <v>1</v>
      </c>
      <c r="L1302" s="36">
        <f>VLOOKUP(H1302,[2]character_type_i18n!$A:$F,6,FALSE)</f>
        <v>1</v>
      </c>
      <c r="M1302" s="9" t="str">
        <f>VLOOKUP(A1302,[2]characters!$A:$M,13,FALSE)</f>
        <v>unknown</v>
      </c>
      <c r="N1302" s="14" t="str">
        <f>VLOOKUP(M1302,[2]character_tribe_i18n!$A:$F,3,FALSE)</f>
        <v>Unknown</v>
      </c>
      <c r="O1302" s="24">
        <f>VLOOKUP(M1302,[2]character_tribe_i18n!$A:$F,4,FALSE)</f>
        <v>1</v>
      </c>
      <c r="P1302" s="24">
        <f>VLOOKUP(M1302,[2]character_tribe_i18n!$A:$F,5,FALSE)</f>
        <v>1</v>
      </c>
      <c r="Q1302" s="24">
        <f>VLOOKUP(M1302,[2]character_tribe_i18n!$A:$F,6,FALSE)</f>
        <v>1</v>
      </c>
      <c r="R1302" s="25" t="s">
        <v>98</v>
      </c>
      <c r="S1302" s="24">
        <f>VLOOKUP($R1302,ラベル別係数!$A$1:$E$7,3,FALSE)</f>
        <v>5</v>
      </c>
      <c r="T1302" s="24">
        <f>VLOOKUP($R1302,ラベル別係数!$A$1:$E$7,4,FALSE)</f>
        <v>1.3</v>
      </c>
      <c r="U1302" s="24">
        <f>VLOOKUP($R1302,ラベル別係数!$A$1:$E$7,5,FALSE)</f>
        <v>0.8</v>
      </c>
      <c r="V1302" s="27">
        <v>3</v>
      </c>
      <c r="W1302" s="28">
        <f>VLOOKUP(V1302,ターン数別攻撃係数!$A$1:$B$1000,2,FALSE)</f>
        <v>1</v>
      </c>
      <c r="X1302" s="9">
        <f>VLOOKUP(C1302,サイズ別係数!A$2:B$9,2,FALSE)</f>
        <v>60</v>
      </c>
      <c r="Y1302" s="26">
        <f>VLOOKUP($X1302,サイズ別係数!$B:$E,2,FALSE)</f>
        <v>1.7</v>
      </c>
      <c r="Z1302" s="26">
        <f>VLOOKUP($X1302,サイズ別係数!$B:$E,3,FALSE)</f>
        <v>1.4</v>
      </c>
      <c r="AA1302" s="26">
        <f>VLOOKUP($X1302,サイズ別係数!$B:$E,4,FALSE)</f>
        <v>1</v>
      </c>
      <c r="AB1302" s="5">
        <v>0</v>
      </c>
      <c r="AC1302" s="34" t="str">
        <f ca="1">VLOOKUP($AB1302,OFFSET([3]enemy_skill_sets!$B$2,0,0,COUNTA([3]enemy_skill_sets!$A:$A),MATCH(AC$1,[3]enemy_skill_sets!$1:$1,0)-MATCH($AB$1,[3]enemy_skill_sets!$1:$1,0)+1),MATCH(AC$1,[3]enemy_skill_sets!$1:$1,0)-MATCH($AB$1,[3]enemy_skill_sets!$1:$1,0)+1,FALSE)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2" s="67">
        <v>1</v>
      </c>
      <c r="AE1302" s="67">
        <v>1</v>
      </c>
      <c r="AF1302" s="37">
        <v>0</v>
      </c>
      <c r="AG1302" s="99">
        <f>ROUND(VLOOKUP(1,enemy_base_stats!$A:$F,2,FALSE) * Y1302* J1302*O1302*E1302*S1302*AD1302*[2]ステータス!$B$2,0)</f>
        <v>4165</v>
      </c>
      <c r="AH1302" s="99">
        <f>ROUND(VLOOKUP(1,enemy_base_stats!$A:$F,3,FALSE) * Z1302*K1302*P1302*F1302*T1302*AE1302 * W1302*[2]ステータス!$C$2,0)</f>
        <v>276</v>
      </c>
      <c r="AI1302" s="99">
        <f>ROUND(VLOOKUP(1,enemy_base_stats!$A:$F,4,FALSE) * AA1302*L1302*Q1302*G1302*U1302*AF1302*[2]ステータス!$D$2,0)</f>
        <v>0</v>
      </c>
      <c r="AJ1302" s="99">
        <f>ROUND(VLOOKUP(100,enemy_base_stats!$A:$F,2,FALSE) * Y1302* J1302*O1302*E1302*S1302*AD1302*[2]ステータス!$B$2,0)</f>
        <v>169099</v>
      </c>
      <c r="AK1302" s="99">
        <f>ROUND(VLOOKUP(100,enemy_base_stats!$A:$F,3,FALSE)* Z1302* K1302*P1302*F1302*T1302*AE1302 * W1302*[2]ステータス!$C$2,0)</f>
        <v>11195</v>
      </c>
      <c r="AL1302" s="99">
        <f>ROUND(VLOOKUP(100,enemy_base_stats!$A:$F,4,FALSE)* AA1302* L1302*Q1302*G1302*U1302*AF1302*[2]ステータス!$D$2,0)</f>
        <v>0</v>
      </c>
      <c r="AM1302" s="97">
        <f>VLOOKUP(M1302,[2]character_tribe_i18n!$A:$I,9,FALSE)</f>
        <v>340</v>
      </c>
      <c r="AN1302" s="36">
        <v>0</v>
      </c>
      <c r="AO1302" s="53">
        <v>0</v>
      </c>
      <c r="AP1302" s="58" t="s">
        <v>72</v>
      </c>
      <c r="AQ1302" s="71">
        <f t="shared" si="69"/>
        <v>1303</v>
      </c>
    </row>
    <row r="1303" spans="1:43" ht="21" customHeight="1" x14ac:dyDescent="0.15">
      <c r="A1303" s="7">
        <v>1304</v>
      </c>
      <c r="B1303" s="6" t="str">
        <f>VLOOKUP(A1303,[2]characters!$A:$C,3,FALSE)</f>
        <v>演鼠の響笛音 ハーメルン</v>
      </c>
      <c r="C1303" s="9">
        <f>VLOOKUP(A1303,[2]characters!$A:$I,9,FALSE)</f>
        <v>5</v>
      </c>
      <c r="D1303" s="9" t="str">
        <f>VLOOKUP(A1303,[2]characters!$A:$H,8,FALSE)</f>
        <v>blue</v>
      </c>
      <c r="E1303" s="24">
        <f>VLOOKUP(D1303,[2]属性!$A:$E,2,FALSE)</f>
        <v>1</v>
      </c>
      <c r="F1303" s="24">
        <f>VLOOKUP(D1303,[2]属性!$A:$E,3,FALSE)</f>
        <v>0.98</v>
      </c>
      <c r="G1303" s="24">
        <f>VLOOKUP(D1303,[2]属性!$A:$F,4,FALSE)</f>
        <v>1</v>
      </c>
      <c r="H1303" s="9" t="str">
        <f>VLOOKUP(A1303,[2]characters!$A:$K,11,FALSE)</f>
        <v>technical</v>
      </c>
      <c r="I1303" s="14" t="str">
        <f>VLOOKUP(H1303,[2]character_type_i18n!$A:$F,3,FALSE)</f>
        <v>テクニカルタイプ</v>
      </c>
      <c r="J1303" s="36">
        <f>VLOOKUP(H1303,[2]character_type_i18n!$A:$F,4,FALSE)</f>
        <v>0.9</v>
      </c>
      <c r="K1303" s="36">
        <f>VLOOKUP(H1303,[2]character_type_i18n!$A:$F,5,FALSE)</f>
        <v>0.9</v>
      </c>
      <c r="L1303" s="36">
        <f>VLOOKUP(H1303,[2]character_type_i18n!$A:$F,6,FALSE)</f>
        <v>1</v>
      </c>
      <c r="M1303" s="9" t="str">
        <f>VLOOKUP(A1303,[2]characters!$A:$M,13,FALSE)</f>
        <v>unknown</v>
      </c>
      <c r="N1303" s="14" t="str">
        <f>VLOOKUP(M1303,[2]character_tribe_i18n!$A:$F,3,FALSE)</f>
        <v>Unknown</v>
      </c>
      <c r="O1303" s="24">
        <f>VLOOKUP(M1303,[2]character_tribe_i18n!$A:$F,4,FALSE)</f>
        <v>1</v>
      </c>
      <c r="P1303" s="24">
        <f>VLOOKUP(M1303,[2]character_tribe_i18n!$A:$F,5,FALSE)</f>
        <v>1</v>
      </c>
      <c r="Q1303" s="24">
        <f>VLOOKUP(M1303,[2]character_tribe_i18n!$A:$F,6,FALSE)</f>
        <v>1</v>
      </c>
      <c r="R1303" s="25" t="s">
        <v>98</v>
      </c>
      <c r="S1303" s="24">
        <f>VLOOKUP($R1303,ラベル別係数!$A$1:$E$7,3,FALSE)</f>
        <v>5</v>
      </c>
      <c r="T1303" s="24">
        <f>VLOOKUP($R1303,ラベル別係数!$A$1:$E$7,4,FALSE)</f>
        <v>1.3</v>
      </c>
      <c r="U1303" s="24">
        <f>VLOOKUP($R1303,ラベル別係数!$A$1:$E$7,5,FALSE)</f>
        <v>0.8</v>
      </c>
      <c r="V1303" s="27">
        <v>3</v>
      </c>
      <c r="W1303" s="28">
        <f>VLOOKUP(V1303,ターン数別攻撃係数!$A$1:$B$1000,2,FALSE)</f>
        <v>1</v>
      </c>
      <c r="X1303" s="9">
        <f>VLOOKUP(C1303,サイズ別係数!A$2:B$9,2,FALSE)</f>
        <v>60</v>
      </c>
      <c r="Y1303" s="26">
        <f>VLOOKUP($X1303,サイズ別係数!$B:$E,2,FALSE)</f>
        <v>1.7</v>
      </c>
      <c r="Z1303" s="26">
        <f>VLOOKUP($X1303,サイズ別係数!$B:$E,3,FALSE)</f>
        <v>1.4</v>
      </c>
      <c r="AA1303" s="26">
        <f>VLOOKUP($X1303,サイズ別係数!$B:$E,4,FALSE)</f>
        <v>1</v>
      </c>
      <c r="AB1303" s="5">
        <v>0</v>
      </c>
      <c r="AC1303" s="34" t="str">
        <f ca="1">VLOOKUP($AB1303,OFFSET([3]enemy_skill_sets!$B$2,0,0,COUNTA([3]enemy_skill_sets!$A:$A),MATCH(AC$1,[3]enemy_skill_sets!$1:$1,0)-MATCH($AB$1,[3]enemy_skill_sets!$1:$1,0)+1),MATCH(AC$1,[3]enemy_skill_sets!$1:$1,0)-MATCH($AB$1,[3]enemy_skill_sets!$1:$1,0)+1,FALSE)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3" s="67">
        <v>1</v>
      </c>
      <c r="AE1303" s="67">
        <v>1</v>
      </c>
      <c r="AF1303" s="37">
        <v>0</v>
      </c>
      <c r="AG1303" s="99">
        <f>ROUND(VLOOKUP(1,enemy_base_stats!$A:$F,2,FALSE) * Y1303* J1303*O1303*E1303*S1303*AD1303*[2]ステータス!$B$2,0)</f>
        <v>3825</v>
      </c>
      <c r="AH1303" s="99">
        <f>ROUND(VLOOKUP(1,enemy_base_stats!$A:$F,3,FALSE) * Z1303*K1303*P1303*F1303*T1303*AE1303 * W1303*[2]ステータス!$C$2,0)</f>
        <v>241</v>
      </c>
      <c r="AI1303" s="99">
        <f>ROUND(VLOOKUP(1,enemy_base_stats!$A:$F,4,FALSE) * AA1303*L1303*Q1303*G1303*U1303*AF1303*[2]ステータス!$D$2,0)</f>
        <v>0</v>
      </c>
      <c r="AJ1303" s="99">
        <f>ROUND(VLOOKUP(100,enemy_base_stats!$A:$F,2,FALSE) * Y1303* J1303*O1303*E1303*S1303*AD1303*[2]ステータス!$B$2,0)</f>
        <v>155295</v>
      </c>
      <c r="AK1303" s="99">
        <f>ROUND(VLOOKUP(100,enemy_base_stats!$A:$F,3,FALSE)* Z1303* K1303*P1303*F1303*T1303*AE1303 * W1303*[2]ステータス!$C$2,0)</f>
        <v>9776</v>
      </c>
      <c r="AL1303" s="99">
        <f>ROUND(VLOOKUP(100,enemy_base_stats!$A:$F,4,FALSE)* AA1303* L1303*Q1303*G1303*U1303*AF1303*[2]ステータス!$D$2,0)</f>
        <v>0</v>
      </c>
      <c r="AM1303" s="97">
        <f>VLOOKUP(M1303,[2]character_tribe_i18n!$A:$I,9,FALSE)</f>
        <v>340</v>
      </c>
      <c r="AN1303" s="36">
        <v>0</v>
      </c>
      <c r="AO1303" s="53">
        <v>0</v>
      </c>
      <c r="AP1303" s="58" t="s">
        <v>72</v>
      </c>
      <c r="AQ1303" s="71">
        <f t="shared" si="69"/>
        <v>1304</v>
      </c>
    </row>
    <row r="1304" spans="1:43" ht="21" customHeight="1" x14ac:dyDescent="0.15">
      <c r="A1304" s="7">
        <v>1305</v>
      </c>
      <c r="B1304" s="6" t="str">
        <f>VLOOKUP(A1304,[2]characters!$A:$C,3,FALSE)</f>
        <v>響界廻る睡鼠楽 ハーメルン</v>
      </c>
      <c r="C1304" s="9">
        <f>VLOOKUP(A1304,[2]characters!$A:$I,9,FALSE)</f>
        <v>6</v>
      </c>
      <c r="D1304" s="9" t="str">
        <f>VLOOKUP(A1304,[2]characters!$A:$H,8,FALSE)</f>
        <v>blue</v>
      </c>
      <c r="E1304" s="24">
        <f>VLOOKUP(D1304,[2]属性!$A:$E,2,FALSE)</f>
        <v>1</v>
      </c>
      <c r="F1304" s="24">
        <f>VLOOKUP(D1304,[2]属性!$A:$E,3,FALSE)</f>
        <v>0.98</v>
      </c>
      <c r="G1304" s="24">
        <f>VLOOKUP(D1304,[2]属性!$A:$F,4,FALSE)</f>
        <v>1</v>
      </c>
      <c r="H1304" s="9" t="str">
        <f>VLOOKUP(A1304,[2]characters!$A:$K,11,FALSE)</f>
        <v>technical</v>
      </c>
      <c r="I1304" s="14" t="str">
        <f>VLOOKUP(H1304,[2]character_type_i18n!$A:$F,3,FALSE)</f>
        <v>テクニカルタイプ</v>
      </c>
      <c r="J1304" s="36">
        <f>VLOOKUP(H1304,[2]character_type_i18n!$A:$F,4,FALSE)</f>
        <v>0.9</v>
      </c>
      <c r="K1304" s="36">
        <f>VLOOKUP(H1304,[2]character_type_i18n!$A:$F,5,FALSE)</f>
        <v>0.9</v>
      </c>
      <c r="L1304" s="36">
        <f>VLOOKUP(H1304,[2]character_type_i18n!$A:$F,6,FALSE)</f>
        <v>1</v>
      </c>
      <c r="M1304" s="9" t="str">
        <f>VLOOKUP(A1304,[2]characters!$A:$M,13,FALSE)</f>
        <v>unknown</v>
      </c>
      <c r="N1304" s="14" t="str">
        <f>VLOOKUP(M1304,[2]character_tribe_i18n!$A:$F,3,FALSE)</f>
        <v>Unknown</v>
      </c>
      <c r="O1304" s="24">
        <f>VLOOKUP(M1304,[2]character_tribe_i18n!$A:$F,4,FALSE)</f>
        <v>1</v>
      </c>
      <c r="P1304" s="24">
        <f>VLOOKUP(M1304,[2]character_tribe_i18n!$A:$F,5,FALSE)</f>
        <v>1</v>
      </c>
      <c r="Q1304" s="24">
        <f>VLOOKUP(M1304,[2]character_tribe_i18n!$A:$F,6,FALSE)</f>
        <v>1</v>
      </c>
      <c r="R1304" s="25" t="s">
        <v>98</v>
      </c>
      <c r="S1304" s="24">
        <f>VLOOKUP($R1304,ラベル別係数!$A$1:$E$7,3,FALSE)</f>
        <v>5</v>
      </c>
      <c r="T1304" s="24">
        <f>VLOOKUP($R1304,ラベル別係数!$A$1:$E$7,4,FALSE)</f>
        <v>1.3</v>
      </c>
      <c r="U1304" s="24">
        <f>VLOOKUP($R1304,ラベル別係数!$A$1:$E$7,5,FALSE)</f>
        <v>0.8</v>
      </c>
      <c r="V1304" s="27">
        <v>3</v>
      </c>
      <c r="W1304" s="28">
        <f>VLOOKUP(V1304,ターン数別攻撃係数!$A$1:$B$1000,2,FALSE)</f>
        <v>1</v>
      </c>
      <c r="X1304" s="9">
        <f>VLOOKUP(C1304,サイズ別係数!A$2:B$9,2,FALSE)</f>
        <v>60</v>
      </c>
      <c r="Y1304" s="26">
        <f>VLOOKUP($X1304,サイズ別係数!$B:$E,2,FALSE)</f>
        <v>1.7</v>
      </c>
      <c r="Z1304" s="26">
        <f>VLOOKUP($X1304,サイズ別係数!$B:$E,3,FALSE)</f>
        <v>1.4</v>
      </c>
      <c r="AA1304" s="26">
        <f>VLOOKUP($X1304,サイズ別係数!$B:$E,4,FALSE)</f>
        <v>1</v>
      </c>
      <c r="AB1304" s="5">
        <v>0</v>
      </c>
      <c r="AC1304" s="34" t="str">
        <f ca="1">VLOOKUP($AB1304,OFFSET([3]enemy_skill_sets!$B$2,0,0,COUNTA([3]enemy_skill_sets!$A:$A),MATCH(AC$1,[3]enemy_skill_sets!$1:$1,0)-MATCH($AB$1,[3]enemy_skill_sets!$1:$1,0)+1),MATCH(AC$1,[3]enemy_skill_sets!$1:$1,0)-MATCH($AB$1,[3]enemy_skill_sets!$1:$1,0)+1,FALSE)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4" s="67">
        <v>1</v>
      </c>
      <c r="AE1304" s="67">
        <v>1</v>
      </c>
      <c r="AF1304" s="37">
        <v>0</v>
      </c>
      <c r="AG1304" s="99">
        <f>ROUND(VLOOKUP(1,enemy_base_stats!$A:$F,2,FALSE) * Y1304* J1304*O1304*E1304*S1304*AD1304*[2]ステータス!$B$2,0)</f>
        <v>3825</v>
      </c>
      <c r="AH1304" s="99">
        <f>ROUND(VLOOKUP(1,enemy_base_stats!$A:$F,3,FALSE) * Z1304*K1304*P1304*F1304*T1304*AE1304 * W1304*[2]ステータス!$C$2,0)</f>
        <v>241</v>
      </c>
      <c r="AI1304" s="99">
        <f>ROUND(VLOOKUP(1,enemy_base_stats!$A:$F,4,FALSE) * AA1304*L1304*Q1304*G1304*U1304*AF1304*[2]ステータス!$D$2,0)</f>
        <v>0</v>
      </c>
      <c r="AJ1304" s="99">
        <f>ROUND(VLOOKUP(100,enemy_base_stats!$A:$F,2,FALSE) * Y1304* J1304*O1304*E1304*S1304*AD1304*[2]ステータス!$B$2,0)</f>
        <v>155295</v>
      </c>
      <c r="AK1304" s="99">
        <f>ROUND(VLOOKUP(100,enemy_base_stats!$A:$F,3,FALSE)* Z1304* K1304*P1304*F1304*T1304*AE1304 * W1304*[2]ステータス!$C$2,0)</f>
        <v>9776</v>
      </c>
      <c r="AL1304" s="99">
        <f>ROUND(VLOOKUP(100,enemy_base_stats!$A:$F,4,FALSE)* AA1304* L1304*Q1304*G1304*U1304*AF1304*[2]ステータス!$D$2,0)</f>
        <v>0</v>
      </c>
      <c r="AM1304" s="97">
        <f>VLOOKUP(M1304,[2]character_tribe_i18n!$A:$I,9,FALSE)</f>
        <v>340</v>
      </c>
      <c r="AN1304" s="36">
        <v>0</v>
      </c>
      <c r="AO1304" s="53">
        <v>0</v>
      </c>
      <c r="AP1304" s="58" t="s">
        <v>72</v>
      </c>
      <c r="AQ1304" s="71">
        <f t="shared" si="69"/>
        <v>1305</v>
      </c>
    </row>
    <row r="1305" spans="1:43" ht="21" customHeight="1" x14ac:dyDescent="0.15">
      <c r="A1305" s="7">
        <v>1306</v>
      </c>
      <c r="B1305" s="6" t="str">
        <f>VLOOKUP(A1305,[2]characters!$A:$C,3,FALSE)</f>
        <v>玉響の唱天 ルシファー</v>
      </c>
      <c r="C1305" s="9">
        <f>VLOOKUP(A1305,[2]characters!$A:$I,9,FALSE)</f>
        <v>5</v>
      </c>
      <c r="D1305" s="9" t="str">
        <f>VLOOKUP(A1305,[2]characters!$A:$H,8,FALSE)</f>
        <v>yellow</v>
      </c>
      <c r="E1305" s="24">
        <f>VLOOKUP(D1305,[2]属性!$A:$E,2,FALSE)</f>
        <v>0.98</v>
      </c>
      <c r="F1305" s="24">
        <f>VLOOKUP(D1305,[2]属性!$A:$E,3,FALSE)</f>
        <v>1.01</v>
      </c>
      <c r="G1305" s="24">
        <f>VLOOKUP(D1305,[2]属性!$A:$F,4,FALSE)</f>
        <v>1</v>
      </c>
      <c r="H1305" s="9" t="str">
        <f>VLOOKUP(A1305,[2]characters!$A:$K,11,FALSE)</f>
        <v>attack</v>
      </c>
      <c r="I1305" s="14" t="str">
        <f>VLOOKUP(H1305,[2]character_type_i18n!$A:$F,3,FALSE)</f>
        <v>攻撃タイプ</v>
      </c>
      <c r="J1305" s="36">
        <f>VLOOKUP(H1305,[2]character_type_i18n!$A:$F,4,FALSE)</f>
        <v>1</v>
      </c>
      <c r="K1305" s="36">
        <f>VLOOKUP(H1305,[2]character_type_i18n!$A:$F,5,FALSE)</f>
        <v>1.33</v>
      </c>
      <c r="L1305" s="36">
        <f>VLOOKUP(H1305,[2]character_type_i18n!$A:$F,6,FALSE)</f>
        <v>1</v>
      </c>
      <c r="M1305" s="9" t="str">
        <f>VLOOKUP(A1305,[2]characters!$A:$M,13,FALSE)</f>
        <v>unknown</v>
      </c>
      <c r="N1305" s="14" t="str">
        <f>VLOOKUP(M1305,[2]character_tribe_i18n!$A:$F,3,FALSE)</f>
        <v>Unknown</v>
      </c>
      <c r="O1305" s="24">
        <f>VLOOKUP(M1305,[2]character_tribe_i18n!$A:$F,4,FALSE)</f>
        <v>1</v>
      </c>
      <c r="P1305" s="24">
        <f>VLOOKUP(M1305,[2]character_tribe_i18n!$A:$F,5,FALSE)</f>
        <v>1</v>
      </c>
      <c r="Q1305" s="24">
        <f>VLOOKUP(M1305,[2]character_tribe_i18n!$A:$F,6,FALSE)</f>
        <v>1</v>
      </c>
      <c r="R1305" s="25" t="s">
        <v>98</v>
      </c>
      <c r="S1305" s="24">
        <f>VLOOKUP($R1305,ラベル別係数!$A$1:$E$7,3,FALSE)</f>
        <v>5</v>
      </c>
      <c r="T1305" s="24">
        <f>VLOOKUP($R1305,ラベル別係数!$A$1:$E$7,4,FALSE)</f>
        <v>1.3</v>
      </c>
      <c r="U1305" s="24">
        <f>VLOOKUP($R1305,ラベル別係数!$A$1:$E$7,5,FALSE)</f>
        <v>0.8</v>
      </c>
      <c r="V1305" s="27">
        <v>3</v>
      </c>
      <c r="W1305" s="28">
        <f>VLOOKUP(V1305,ターン数別攻撃係数!$A$1:$B$1000,2,FALSE)</f>
        <v>1</v>
      </c>
      <c r="X1305" s="9">
        <f>VLOOKUP(C1305,サイズ別係数!A$2:B$9,2,FALSE)</f>
        <v>60</v>
      </c>
      <c r="Y1305" s="26">
        <f>VLOOKUP($X1305,サイズ別係数!$B:$E,2,FALSE)</f>
        <v>1.7</v>
      </c>
      <c r="Z1305" s="26">
        <f>VLOOKUP($X1305,サイズ別係数!$B:$E,3,FALSE)</f>
        <v>1.4</v>
      </c>
      <c r="AA1305" s="26">
        <f>VLOOKUP($X1305,サイズ別係数!$B:$E,4,FALSE)</f>
        <v>1</v>
      </c>
      <c r="AB1305" s="5">
        <v>0</v>
      </c>
      <c r="AC1305" s="34" t="str">
        <f ca="1">VLOOKUP($AB1305,OFFSET([3]enemy_skill_sets!$B$2,0,0,COUNTA([3]enemy_skill_sets!$A:$A),MATCH(AC$1,[3]enemy_skill_sets!$1:$1,0)-MATCH($AB$1,[3]enemy_skill_sets!$1:$1,0)+1),MATCH(AC$1,[3]enemy_skill_sets!$1:$1,0)-MATCH($AB$1,[3]enemy_skill_sets!$1:$1,0)+1,FALSE)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5" s="67">
        <v>1</v>
      </c>
      <c r="AE1305" s="67">
        <v>1</v>
      </c>
      <c r="AF1305" s="37">
        <v>0</v>
      </c>
      <c r="AG1305" s="99">
        <f>ROUND(VLOOKUP(1,enemy_base_stats!$A:$F,2,FALSE) * Y1305* J1305*O1305*E1305*S1305*AD1305*[2]ステータス!$B$2,0)</f>
        <v>4165</v>
      </c>
      <c r="AH1305" s="99">
        <f>ROUND(VLOOKUP(1,enemy_base_stats!$A:$F,3,FALSE) * Z1305*K1305*P1305*F1305*T1305*AE1305 * W1305*[2]ステータス!$C$2,0)</f>
        <v>367</v>
      </c>
      <c r="AI1305" s="99">
        <f>ROUND(VLOOKUP(1,enemy_base_stats!$A:$F,4,FALSE) * AA1305*L1305*Q1305*G1305*U1305*AF1305*[2]ステータス!$D$2,0)</f>
        <v>0</v>
      </c>
      <c r="AJ1305" s="99">
        <f>ROUND(VLOOKUP(100,enemy_base_stats!$A:$F,2,FALSE) * Y1305* J1305*O1305*E1305*S1305*AD1305*[2]ステータス!$B$2,0)</f>
        <v>169099</v>
      </c>
      <c r="AK1305" s="99">
        <f>ROUND(VLOOKUP(100,enemy_base_stats!$A:$F,3,FALSE)* Z1305* K1305*P1305*F1305*T1305*AE1305 * W1305*[2]ステータス!$C$2,0)</f>
        <v>14889</v>
      </c>
      <c r="AL1305" s="99">
        <f>ROUND(VLOOKUP(100,enemy_base_stats!$A:$F,4,FALSE)* AA1305* L1305*Q1305*G1305*U1305*AF1305*[2]ステータス!$D$2,0)</f>
        <v>0</v>
      </c>
      <c r="AM1305" s="97">
        <f>VLOOKUP(M1305,[2]character_tribe_i18n!$A:$I,9,FALSE)</f>
        <v>340</v>
      </c>
      <c r="AN1305" s="36">
        <v>0</v>
      </c>
      <c r="AO1305" s="53">
        <v>0</v>
      </c>
      <c r="AP1305" s="58" t="s">
        <v>72</v>
      </c>
      <c r="AQ1305" s="71">
        <f t="shared" si="69"/>
        <v>1306</v>
      </c>
    </row>
    <row r="1306" spans="1:43" ht="21" customHeight="1" x14ac:dyDescent="0.15">
      <c r="A1306" s="7">
        <v>1307</v>
      </c>
      <c r="B1306" s="6" t="str">
        <f>VLOOKUP(A1306,[2]characters!$A:$C,3,FALSE)</f>
        <v>彩翼の唱天史 ルシファー</v>
      </c>
      <c r="C1306" s="9">
        <f>VLOOKUP(A1306,[2]characters!$A:$I,9,FALSE)</f>
        <v>6</v>
      </c>
      <c r="D1306" s="9" t="str">
        <f>VLOOKUP(A1306,[2]characters!$A:$H,8,FALSE)</f>
        <v>yellow</v>
      </c>
      <c r="E1306" s="24">
        <f>VLOOKUP(D1306,[2]属性!$A:$E,2,FALSE)</f>
        <v>0.98</v>
      </c>
      <c r="F1306" s="24">
        <f>VLOOKUP(D1306,[2]属性!$A:$E,3,FALSE)</f>
        <v>1.01</v>
      </c>
      <c r="G1306" s="24">
        <f>VLOOKUP(D1306,[2]属性!$A:$F,4,FALSE)</f>
        <v>1</v>
      </c>
      <c r="H1306" s="9" t="str">
        <f>VLOOKUP(A1306,[2]characters!$A:$K,11,FALSE)</f>
        <v>attack</v>
      </c>
      <c r="I1306" s="14" t="str">
        <f>VLOOKUP(H1306,[2]character_type_i18n!$A:$F,3,FALSE)</f>
        <v>攻撃タイプ</v>
      </c>
      <c r="J1306" s="36">
        <f>VLOOKUP(H1306,[2]character_type_i18n!$A:$F,4,FALSE)</f>
        <v>1</v>
      </c>
      <c r="K1306" s="36">
        <f>VLOOKUP(H1306,[2]character_type_i18n!$A:$F,5,FALSE)</f>
        <v>1.33</v>
      </c>
      <c r="L1306" s="36">
        <f>VLOOKUP(H1306,[2]character_type_i18n!$A:$F,6,FALSE)</f>
        <v>1</v>
      </c>
      <c r="M1306" s="9" t="str">
        <f>VLOOKUP(A1306,[2]characters!$A:$M,13,FALSE)</f>
        <v>unknown</v>
      </c>
      <c r="N1306" s="14" t="str">
        <f>VLOOKUP(M1306,[2]character_tribe_i18n!$A:$F,3,FALSE)</f>
        <v>Unknown</v>
      </c>
      <c r="O1306" s="24">
        <f>VLOOKUP(M1306,[2]character_tribe_i18n!$A:$F,4,FALSE)</f>
        <v>1</v>
      </c>
      <c r="P1306" s="24">
        <f>VLOOKUP(M1306,[2]character_tribe_i18n!$A:$F,5,FALSE)</f>
        <v>1</v>
      </c>
      <c r="Q1306" s="24">
        <f>VLOOKUP(M1306,[2]character_tribe_i18n!$A:$F,6,FALSE)</f>
        <v>1</v>
      </c>
      <c r="R1306" s="25" t="s">
        <v>98</v>
      </c>
      <c r="S1306" s="24">
        <f>VLOOKUP($R1306,ラベル別係数!$A$1:$E$7,3,FALSE)</f>
        <v>5</v>
      </c>
      <c r="T1306" s="24">
        <f>VLOOKUP($R1306,ラベル別係数!$A$1:$E$7,4,FALSE)</f>
        <v>1.3</v>
      </c>
      <c r="U1306" s="24">
        <f>VLOOKUP($R1306,ラベル別係数!$A$1:$E$7,5,FALSE)</f>
        <v>0.8</v>
      </c>
      <c r="V1306" s="27">
        <v>3</v>
      </c>
      <c r="W1306" s="28">
        <f>VLOOKUP(V1306,ターン数別攻撃係数!$A$1:$B$1000,2,FALSE)</f>
        <v>1</v>
      </c>
      <c r="X1306" s="9">
        <f>VLOOKUP(C1306,サイズ別係数!A$2:B$9,2,FALSE)</f>
        <v>60</v>
      </c>
      <c r="Y1306" s="26">
        <f>VLOOKUP($X1306,サイズ別係数!$B:$E,2,FALSE)</f>
        <v>1.7</v>
      </c>
      <c r="Z1306" s="26">
        <f>VLOOKUP($X1306,サイズ別係数!$B:$E,3,FALSE)</f>
        <v>1.4</v>
      </c>
      <c r="AA1306" s="26">
        <f>VLOOKUP($X1306,サイズ別係数!$B:$E,4,FALSE)</f>
        <v>1</v>
      </c>
      <c r="AB1306" s="5">
        <v>0</v>
      </c>
      <c r="AC1306" s="34" t="str">
        <f ca="1">VLOOKUP($AB1306,OFFSET([3]enemy_skill_sets!$B$2,0,0,COUNTA([3]enemy_skill_sets!$A:$A),MATCH(AC$1,[3]enemy_skill_sets!$1:$1,0)-MATCH($AB$1,[3]enemy_skill_sets!$1:$1,0)+1),MATCH(AC$1,[3]enemy_skill_sets!$1:$1,0)-MATCH($AB$1,[3]enemy_skill_sets!$1:$1,0)+1,FALSE)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6" s="67">
        <v>1</v>
      </c>
      <c r="AE1306" s="67">
        <v>1</v>
      </c>
      <c r="AF1306" s="37">
        <v>0</v>
      </c>
      <c r="AG1306" s="99">
        <f>ROUND(VLOOKUP(1,enemy_base_stats!$A:$F,2,FALSE) * Y1306* J1306*O1306*E1306*S1306*AD1306*[2]ステータス!$B$2,0)</f>
        <v>4165</v>
      </c>
      <c r="AH1306" s="99">
        <f>ROUND(VLOOKUP(1,enemy_base_stats!$A:$F,3,FALSE) * Z1306*K1306*P1306*F1306*T1306*AE1306 * W1306*[2]ステータス!$C$2,0)</f>
        <v>367</v>
      </c>
      <c r="AI1306" s="99">
        <f>ROUND(VLOOKUP(1,enemy_base_stats!$A:$F,4,FALSE) * AA1306*L1306*Q1306*G1306*U1306*AF1306*[2]ステータス!$D$2,0)</f>
        <v>0</v>
      </c>
      <c r="AJ1306" s="99">
        <f>ROUND(VLOOKUP(100,enemy_base_stats!$A:$F,2,FALSE) * Y1306* J1306*O1306*E1306*S1306*AD1306*[2]ステータス!$B$2,0)</f>
        <v>169099</v>
      </c>
      <c r="AK1306" s="99">
        <f>ROUND(VLOOKUP(100,enemy_base_stats!$A:$F,3,FALSE)* Z1306* K1306*P1306*F1306*T1306*AE1306 * W1306*[2]ステータス!$C$2,0)</f>
        <v>14889</v>
      </c>
      <c r="AL1306" s="99">
        <f>ROUND(VLOOKUP(100,enemy_base_stats!$A:$F,4,FALSE)* AA1306* L1306*Q1306*G1306*U1306*AF1306*[2]ステータス!$D$2,0)</f>
        <v>0</v>
      </c>
      <c r="AM1306" s="97">
        <f>VLOOKUP(M1306,[2]character_tribe_i18n!$A:$I,9,FALSE)</f>
        <v>340</v>
      </c>
      <c r="AN1306" s="36">
        <v>0</v>
      </c>
      <c r="AO1306" s="53">
        <v>0</v>
      </c>
      <c r="AP1306" s="58" t="s">
        <v>72</v>
      </c>
      <c r="AQ1306" s="71">
        <f t="shared" si="69"/>
        <v>1307</v>
      </c>
    </row>
    <row r="1307" spans="1:43" ht="21" customHeight="1" x14ac:dyDescent="0.15">
      <c r="A1307" s="7">
        <v>1324</v>
      </c>
      <c r="B1307" s="6" t="str">
        <f>VLOOKUP(A1307,[2]characters!$A:$C,3,FALSE)</f>
        <v>アウリ</v>
      </c>
      <c r="C1307" s="9">
        <f>VLOOKUP(A1307,[2]characters!$A:$I,9,FALSE)</f>
        <v>4</v>
      </c>
      <c r="D1307" s="9" t="str">
        <f>VLOOKUP(A1307,[2]characters!$A:$H,8,FALSE)</f>
        <v>green</v>
      </c>
      <c r="E1307" s="24">
        <f>VLOOKUP(D1307,[2]属性!$A:$E,2,FALSE)</f>
        <v>1.02</v>
      </c>
      <c r="F1307" s="24">
        <f>VLOOKUP(D1307,[2]属性!$A:$E,3,FALSE)</f>
        <v>0.98</v>
      </c>
      <c r="G1307" s="24">
        <f>VLOOKUP(D1307,[2]属性!$A:$F,4,FALSE)</f>
        <v>1</v>
      </c>
      <c r="H1307" s="9" t="str">
        <f>VLOOKUP(A1307,[2]characters!$A:$K,11,FALSE)</f>
        <v>balance</v>
      </c>
      <c r="I1307" s="14" t="str">
        <f>VLOOKUP(H1307,[2]character_type_i18n!$A:$F,3,FALSE)</f>
        <v>バランスタイプ</v>
      </c>
      <c r="J1307" s="36">
        <f>VLOOKUP(H1307,[2]character_type_i18n!$A:$F,4,FALSE)</f>
        <v>1</v>
      </c>
      <c r="K1307" s="36">
        <f>VLOOKUP(H1307,[2]character_type_i18n!$A:$F,5,FALSE)</f>
        <v>1</v>
      </c>
      <c r="L1307" s="36">
        <f>VLOOKUP(H1307,[2]character_type_i18n!$A:$F,6,FALSE)</f>
        <v>1</v>
      </c>
      <c r="M1307" s="9" t="str">
        <f>VLOOKUP(A1307,[2]characters!$A:$M,13,FALSE)</f>
        <v>animal</v>
      </c>
      <c r="N1307" s="14" t="str">
        <f>VLOOKUP(M1307,[2]character_tribe_i18n!$A:$F,3,FALSE)</f>
        <v>アニマル</v>
      </c>
      <c r="O1307" s="24">
        <f>VLOOKUP(M1307,[2]character_tribe_i18n!$A:$F,4,FALSE)</f>
        <v>1</v>
      </c>
      <c r="P1307" s="24">
        <f>VLOOKUP(M1307,[2]character_tribe_i18n!$A:$F,5,FALSE)</f>
        <v>1.1000000000000001</v>
      </c>
      <c r="Q1307" s="24">
        <f>VLOOKUP(M1307,[2]character_tribe_i18n!$A:$F,6,FALSE)</f>
        <v>1</v>
      </c>
      <c r="R1307" s="25" t="s">
        <v>98</v>
      </c>
      <c r="S1307" s="24">
        <f>VLOOKUP($R1307,ラベル別係数!$A$1:$E$7,3,FALSE)</f>
        <v>5</v>
      </c>
      <c r="T1307" s="24">
        <f>VLOOKUP($R1307,ラベル別係数!$A$1:$E$7,4,FALSE)</f>
        <v>1.3</v>
      </c>
      <c r="U1307" s="24">
        <f>VLOOKUP($R1307,ラベル別係数!$A$1:$E$7,5,FALSE)</f>
        <v>0.8</v>
      </c>
      <c r="V1307" s="27">
        <v>3</v>
      </c>
      <c r="W1307" s="28">
        <f>VLOOKUP(V1307,ターン数別攻撃係数!$A$1:$B$1000,2,FALSE)</f>
        <v>1</v>
      </c>
      <c r="X1307" s="9">
        <f>VLOOKUP(C1307,サイズ別係数!A$2:B$9,2,FALSE)</f>
        <v>30</v>
      </c>
      <c r="Y1307" s="26">
        <f>VLOOKUP($X1307,サイズ別係数!$B:$E,2,FALSE)</f>
        <v>1.3</v>
      </c>
      <c r="Z1307" s="26">
        <f>VLOOKUP($X1307,サイズ別係数!$B:$E,3,FALSE)</f>
        <v>1.3</v>
      </c>
      <c r="AA1307" s="26">
        <f>VLOOKUP($X1307,サイズ別係数!$B:$E,4,FALSE)</f>
        <v>1.1000000000000001</v>
      </c>
      <c r="AB1307" s="5">
        <v>0</v>
      </c>
      <c r="AC1307" s="34" t="str">
        <f ca="1">VLOOKUP($AB1307,OFFSET([3]enemy_skill_sets!$B$2,0,0,COUNTA([3]enemy_skill_sets!$A:$A),MATCH(AC$1,[3]enemy_skill_sets!$1:$1,0)-MATCH($AB$1,[3]enemy_skill_sets!$1:$1,0)+1),MATCH(AC$1,[3]enemy_skill_sets!$1:$1,0)-MATCH($AB$1,[3]enemy_skill_sets!$1:$1,0)+1,FALSE)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7" s="67">
        <v>1</v>
      </c>
      <c r="AE1307" s="67">
        <v>1</v>
      </c>
      <c r="AF1307" s="37">
        <v>0</v>
      </c>
      <c r="AG1307" s="99">
        <f>ROUND(VLOOKUP(1,enemy_base_stats!$A:$F,2,FALSE) * Y1307* J1307*O1307*E1307*S1307*AD1307*[2]ステータス!$B$2,0)</f>
        <v>3315</v>
      </c>
      <c r="AH1307" s="99">
        <f>ROUND(VLOOKUP(1,enemy_base_stats!$A:$F,3,FALSE) * Z1307*K1307*P1307*F1307*T1307*AE1307 * W1307*[2]ステータス!$C$2,0)</f>
        <v>273</v>
      </c>
      <c r="AI1307" s="99">
        <f>ROUND(VLOOKUP(1,enemy_base_stats!$A:$F,4,FALSE) * AA1307*L1307*Q1307*G1307*U1307*AF1307*[2]ステータス!$D$2,0)</f>
        <v>0</v>
      </c>
      <c r="AJ1307" s="99">
        <f>ROUND(VLOOKUP(100,enemy_base_stats!$A:$F,2,FALSE) * Y1307* J1307*O1307*E1307*S1307*AD1307*[2]ステータス!$B$2,0)</f>
        <v>134589</v>
      </c>
      <c r="AK1307" s="99">
        <f>ROUND(VLOOKUP(100,enemy_base_stats!$A:$F,3,FALSE)* Z1307* K1307*P1307*F1307*T1307*AE1307 * W1307*[2]ステータス!$C$2,0)</f>
        <v>11095</v>
      </c>
      <c r="AL1307" s="99">
        <f>ROUND(VLOOKUP(100,enemy_base_stats!$A:$F,4,FALSE)* AA1307* L1307*Q1307*G1307*U1307*AF1307*[2]ステータス!$D$2,0)</f>
        <v>0</v>
      </c>
      <c r="AM1307" s="97">
        <f>VLOOKUP(M1307,[2]character_tribe_i18n!$A:$I,9,FALSE)</f>
        <v>480</v>
      </c>
      <c r="AN1307" s="36">
        <v>0</v>
      </c>
      <c r="AO1307" s="53">
        <v>0</v>
      </c>
      <c r="AP1307" s="58" t="s">
        <v>72</v>
      </c>
      <c r="AQ1307" s="71">
        <f t="shared" ref="AQ1307:AQ1314" si="70">A1307</f>
        <v>1324</v>
      </c>
    </row>
    <row r="1308" spans="1:43" ht="21" customHeight="1" x14ac:dyDescent="0.15">
      <c r="A1308" s="7">
        <v>1325</v>
      </c>
      <c r="B1308" s="6" t="str">
        <f>VLOOKUP(A1308,[2]characters!$A:$C,3,FALSE)</f>
        <v>阿吽の神護犬 アウリ</v>
      </c>
      <c r="C1308" s="9">
        <f>VLOOKUP(A1308,[2]characters!$A:$I,9,FALSE)</f>
        <v>5</v>
      </c>
      <c r="D1308" s="9" t="str">
        <f>VLOOKUP(A1308,[2]characters!$A:$H,8,FALSE)</f>
        <v>green</v>
      </c>
      <c r="E1308" s="24">
        <f>VLOOKUP(D1308,[2]属性!$A:$E,2,FALSE)</f>
        <v>1.02</v>
      </c>
      <c r="F1308" s="24">
        <f>VLOOKUP(D1308,[2]属性!$A:$E,3,FALSE)</f>
        <v>0.98</v>
      </c>
      <c r="G1308" s="24">
        <f>VLOOKUP(D1308,[2]属性!$A:$F,4,FALSE)</f>
        <v>1</v>
      </c>
      <c r="H1308" s="9" t="str">
        <f>VLOOKUP(A1308,[2]characters!$A:$K,11,FALSE)</f>
        <v>balance</v>
      </c>
      <c r="I1308" s="14" t="str">
        <f>VLOOKUP(H1308,[2]character_type_i18n!$A:$F,3,FALSE)</f>
        <v>バランスタイプ</v>
      </c>
      <c r="J1308" s="36">
        <f>VLOOKUP(H1308,[2]character_type_i18n!$A:$F,4,FALSE)</f>
        <v>1</v>
      </c>
      <c r="K1308" s="36">
        <f>VLOOKUP(H1308,[2]character_type_i18n!$A:$F,5,FALSE)</f>
        <v>1</v>
      </c>
      <c r="L1308" s="36">
        <f>VLOOKUP(H1308,[2]character_type_i18n!$A:$F,6,FALSE)</f>
        <v>1</v>
      </c>
      <c r="M1308" s="9" t="str">
        <f>VLOOKUP(A1308,[2]characters!$A:$M,13,FALSE)</f>
        <v>animal</v>
      </c>
      <c r="N1308" s="14" t="str">
        <f>VLOOKUP(M1308,[2]character_tribe_i18n!$A:$F,3,FALSE)</f>
        <v>アニマル</v>
      </c>
      <c r="O1308" s="24">
        <f>VLOOKUP(M1308,[2]character_tribe_i18n!$A:$F,4,FALSE)</f>
        <v>1</v>
      </c>
      <c r="P1308" s="24">
        <f>VLOOKUP(M1308,[2]character_tribe_i18n!$A:$F,5,FALSE)</f>
        <v>1.1000000000000001</v>
      </c>
      <c r="Q1308" s="24">
        <f>VLOOKUP(M1308,[2]character_tribe_i18n!$A:$F,6,FALSE)</f>
        <v>1</v>
      </c>
      <c r="R1308" s="25" t="s">
        <v>98</v>
      </c>
      <c r="S1308" s="24">
        <f>VLOOKUP($R1308,ラベル別係数!$A$1:$E$7,3,FALSE)</f>
        <v>5</v>
      </c>
      <c r="T1308" s="24">
        <f>VLOOKUP($R1308,ラベル別係数!$A$1:$E$7,4,FALSE)</f>
        <v>1.3</v>
      </c>
      <c r="U1308" s="24">
        <f>VLOOKUP($R1308,ラベル別係数!$A$1:$E$7,5,FALSE)</f>
        <v>0.8</v>
      </c>
      <c r="V1308" s="27">
        <v>3</v>
      </c>
      <c r="W1308" s="28">
        <f>VLOOKUP(V1308,ターン数別攻撃係数!$A$1:$B$1000,2,FALSE)</f>
        <v>1</v>
      </c>
      <c r="X1308" s="9">
        <f>VLOOKUP(C1308,サイズ別係数!A$2:B$9,2,FALSE)</f>
        <v>60</v>
      </c>
      <c r="Y1308" s="26">
        <f>VLOOKUP($X1308,サイズ別係数!$B:$E,2,FALSE)</f>
        <v>1.7</v>
      </c>
      <c r="Z1308" s="26">
        <f>VLOOKUP($X1308,サイズ別係数!$B:$E,3,FALSE)</f>
        <v>1.4</v>
      </c>
      <c r="AA1308" s="26">
        <f>VLOOKUP($X1308,サイズ別係数!$B:$E,4,FALSE)</f>
        <v>1</v>
      </c>
      <c r="AB1308" s="5">
        <v>0</v>
      </c>
      <c r="AC1308" s="34" t="str">
        <f ca="1">VLOOKUP($AB1308,OFFSET([3]enemy_skill_sets!$B$2,0,0,COUNTA([3]enemy_skill_sets!$A:$A),MATCH(AC$1,[3]enemy_skill_sets!$1:$1,0)-MATCH($AB$1,[3]enemy_skill_sets!$1:$1,0)+1),MATCH(AC$1,[3]enemy_skill_sets!$1:$1,0)-MATCH($AB$1,[3]enemy_skill_sets!$1:$1,0)+1,FALSE)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8" s="67">
        <v>1</v>
      </c>
      <c r="AE1308" s="67">
        <v>1</v>
      </c>
      <c r="AF1308" s="37">
        <v>0</v>
      </c>
      <c r="AG1308" s="99">
        <f>ROUND(VLOOKUP(1,enemy_base_stats!$A:$F,2,FALSE) * Y1308* J1308*O1308*E1308*S1308*AD1308*[2]ステータス!$B$2,0)</f>
        <v>4335</v>
      </c>
      <c r="AH1308" s="99">
        <f>ROUND(VLOOKUP(1,enemy_base_stats!$A:$F,3,FALSE) * Z1308*K1308*P1308*F1308*T1308*AE1308 * W1308*[2]ステータス!$C$2,0)</f>
        <v>294</v>
      </c>
      <c r="AI1308" s="99">
        <f>ROUND(VLOOKUP(1,enemy_base_stats!$A:$F,4,FALSE) * AA1308*L1308*Q1308*G1308*U1308*AF1308*[2]ステータス!$D$2,0)</f>
        <v>0</v>
      </c>
      <c r="AJ1308" s="99">
        <f>ROUND(VLOOKUP(100,enemy_base_stats!$A:$F,2,FALSE) * Y1308* J1308*O1308*E1308*S1308*AD1308*[2]ステータス!$B$2,0)</f>
        <v>176001</v>
      </c>
      <c r="AK1308" s="99">
        <f>ROUND(VLOOKUP(100,enemy_base_stats!$A:$F,3,FALSE)* Z1308* K1308*P1308*F1308*T1308*AE1308 * W1308*[2]ステータス!$C$2,0)</f>
        <v>11948</v>
      </c>
      <c r="AL1308" s="99">
        <f>ROUND(VLOOKUP(100,enemy_base_stats!$A:$F,4,FALSE)* AA1308* L1308*Q1308*G1308*U1308*AF1308*[2]ステータス!$D$2,0)</f>
        <v>0</v>
      </c>
      <c r="AM1308" s="97">
        <f>VLOOKUP(M1308,[2]character_tribe_i18n!$A:$I,9,FALSE)</f>
        <v>480</v>
      </c>
      <c r="AN1308" s="36">
        <v>0</v>
      </c>
      <c r="AO1308" s="53">
        <v>0</v>
      </c>
      <c r="AP1308" s="58" t="s">
        <v>72</v>
      </c>
      <c r="AQ1308" s="71">
        <f t="shared" si="70"/>
        <v>1325</v>
      </c>
    </row>
    <row r="1309" spans="1:43" ht="21" customHeight="1" x14ac:dyDescent="0.15">
      <c r="A1309" s="7">
        <v>1326</v>
      </c>
      <c r="B1309" s="6" t="str">
        <f>VLOOKUP(A1309,[2]characters!$A:$C,3,FALSE)</f>
        <v>ワカヒルメ</v>
      </c>
      <c r="C1309" s="9">
        <f>VLOOKUP(A1309,[2]characters!$A:$I,9,FALSE)</f>
        <v>5</v>
      </c>
      <c r="D1309" s="9" t="str">
        <f>VLOOKUP(A1309,[2]characters!$A:$H,8,FALSE)</f>
        <v>green</v>
      </c>
      <c r="E1309" s="24">
        <f>VLOOKUP(D1309,[2]属性!$A:$E,2,FALSE)</f>
        <v>1.02</v>
      </c>
      <c r="F1309" s="24">
        <f>VLOOKUP(D1309,[2]属性!$A:$E,3,FALSE)</f>
        <v>0.98</v>
      </c>
      <c r="G1309" s="24">
        <f>VLOOKUP(D1309,[2]属性!$A:$F,4,FALSE)</f>
        <v>1</v>
      </c>
      <c r="H1309" s="9" t="str">
        <f>VLOOKUP(A1309,[2]characters!$A:$K,11,FALSE)</f>
        <v>hp</v>
      </c>
      <c r="I1309" s="14" t="str">
        <f>VLOOKUP(H1309,[2]character_type_i18n!$A:$F,3,FALSE)</f>
        <v>体力タイプ</v>
      </c>
      <c r="J1309" s="36">
        <f>VLOOKUP(H1309,[2]character_type_i18n!$A:$F,4,FALSE)</f>
        <v>1.45</v>
      </c>
      <c r="K1309" s="36">
        <f>VLOOKUP(H1309,[2]character_type_i18n!$A:$F,5,FALSE)</f>
        <v>0.85</v>
      </c>
      <c r="L1309" s="36">
        <f>VLOOKUP(H1309,[2]character_type_i18n!$A:$F,6,FALSE)</f>
        <v>1</v>
      </c>
      <c r="M1309" s="9" t="str">
        <f>VLOOKUP(A1309,[2]characters!$A:$M,13,FALSE)</f>
        <v>god</v>
      </c>
      <c r="N1309" s="14" t="str">
        <f>VLOOKUP(M1309,[2]character_tribe_i18n!$A:$F,3,FALSE)</f>
        <v>ゴッド</v>
      </c>
      <c r="O1309" s="24">
        <f>VLOOKUP(M1309,[2]character_tribe_i18n!$A:$F,4,FALSE)</f>
        <v>0.96</v>
      </c>
      <c r="P1309" s="24">
        <f>VLOOKUP(M1309,[2]character_tribe_i18n!$A:$F,5,FALSE)</f>
        <v>1.02</v>
      </c>
      <c r="Q1309" s="24">
        <f>VLOOKUP(M1309,[2]character_tribe_i18n!$A:$F,6,FALSE)</f>
        <v>1</v>
      </c>
      <c r="R1309" s="25" t="s">
        <v>98</v>
      </c>
      <c r="S1309" s="24">
        <f>VLOOKUP($R1309,ラベル別係数!$A$1:$E$7,3,FALSE)</f>
        <v>5</v>
      </c>
      <c r="T1309" s="24">
        <f>VLOOKUP($R1309,ラベル別係数!$A$1:$E$7,4,FALSE)</f>
        <v>1.3</v>
      </c>
      <c r="U1309" s="24">
        <f>VLOOKUP($R1309,ラベル別係数!$A$1:$E$7,5,FALSE)</f>
        <v>0.8</v>
      </c>
      <c r="V1309" s="27">
        <v>3</v>
      </c>
      <c r="W1309" s="28">
        <f>VLOOKUP(V1309,ターン数別攻撃係数!$A$1:$B$1000,2,FALSE)</f>
        <v>1</v>
      </c>
      <c r="X1309" s="9">
        <f>VLOOKUP(C1309,サイズ別係数!A$2:B$9,2,FALSE)</f>
        <v>60</v>
      </c>
      <c r="Y1309" s="26">
        <f>VLOOKUP($X1309,サイズ別係数!$B:$E,2,FALSE)</f>
        <v>1.7</v>
      </c>
      <c r="Z1309" s="26">
        <f>VLOOKUP($X1309,サイズ別係数!$B:$E,3,FALSE)</f>
        <v>1.4</v>
      </c>
      <c r="AA1309" s="26">
        <f>VLOOKUP($X1309,サイズ別係数!$B:$E,4,FALSE)</f>
        <v>1</v>
      </c>
      <c r="AB1309" s="5">
        <v>0</v>
      </c>
      <c r="AC1309" s="34" t="str">
        <f ca="1">VLOOKUP($AB1309,OFFSET([3]enemy_skill_sets!$B$2,0,0,COUNTA([3]enemy_skill_sets!$A:$A),MATCH(AC$1,[3]enemy_skill_sets!$1:$1,0)-MATCH($AB$1,[3]enemy_skill_sets!$1:$1,0)+1),MATCH(AC$1,[3]enemy_skill_sets!$1:$1,0)-MATCH($AB$1,[3]enemy_skill_sets!$1:$1,0)+1,FALSE)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09" s="67">
        <v>1</v>
      </c>
      <c r="AE1309" s="67">
        <v>1</v>
      </c>
      <c r="AF1309" s="37">
        <v>0</v>
      </c>
      <c r="AG1309" s="110">
        <v>3329</v>
      </c>
      <c r="AH1309" s="110">
        <v>213</v>
      </c>
      <c r="AI1309" s="99">
        <f>ROUND(VLOOKUP(1,enemy_base_stats!$A:$F,4,FALSE) * AA1309*L1309*Q1309*G1309*U1309*AF1309*[2]ステータス!$D$2,0)</f>
        <v>0</v>
      </c>
      <c r="AJ1309" s="110">
        <v>135169</v>
      </c>
      <c r="AK1309" s="110">
        <v>8642</v>
      </c>
      <c r="AL1309" s="99">
        <f>ROUND(VLOOKUP(100,enemy_base_stats!$A:$F,4,FALSE)* AA1309* L1309*Q1309*G1309*U1309*AF1309*[2]ステータス!$D$2,0)</f>
        <v>0</v>
      </c>
      <c r="AM1309" s="97">
        <f>VLOOKUP(M1309,[2]character_tribe_i18n!$A:$I,9,FALSE)</f>
        <v>680</v>
      </c>
      <c r="AN1309" s="36">
        <v>0</v>
      </c>
      <c r="AO1309" s="53">
        <v>0</v>
      </c>
      <c r="AP1309" s="58" t="s">
        <v>72</v>
      </c>
      <c r="AQ1309" s="71">
        <f t="shared" si="70"/>
        <v>1326</v>
      </c>
    </row>
    <row r="1310" spans="1:43" ht="21" customHeight="1" x14ac:dyDescent="0.15">
      <c r="A1310" s="7">
        <v>1327</v>
      </c>
      <c r="B1310" s="6" t="str">
        <f>VLOOKUP(A1310,[2]characters!$A:$C,3,FALSE)</f>
        <v>織神衣の幼神 ワカヒルメ</v>
      </c>
      <c r="C1310" s="9">
        <f>VLOOKUP(A1310,[2]characters!$A:$I,9,FALSE)</f>
        <v>6</v>
      </c>
      <c r="D1310" s="9" t="str">
        <f>VLOOKUP(A1310,[2]characters!$A:$H,8,FALSE)</f>
        <v>green</v>
      </c>
      <c r="E1310" s="24">
        <f>VLOOKUP(D1310,[2]属性!$A:$E,2,FALSE)</f>
        <v>1.02</v>
      </c>
      <c r="F1310" s="24">
        <f>VLOOKUP(D1310,[2]属性!$A:$E,3,FALSE)</f>
        <v>0.98</v>
      </c>
      <c r="G1310" s="24">
        <f>VLOOKUP(D1310,[2]属性!$A:$F,4,FALSE)</f>
        <v>1</v>
      </c>
      <c r="H1310" s="9" t="str">
        <f>VLOOKUP(A1310,[2]characters!$A:$K,11,FALSE)</f>
        <v>hp</v>
      </c>
      <c r="I1310" s="14" t="str">
        <f>VLOOKUP(H1310,[2]character_type_i18n!$A:$F,3,FALSE)</f>
        <v>体力タイプ</v>
      </c>
      <c r="J1310" s="36">
        <f>VLOOKUP(H1310,[2]character_type_i18n!$A:$F,4,FALSE)</f>
        <v>1.45</v>
      </c>
      <c r="K1310" s="36">
        <f>VLOOKUP(H1310,[2]character_type_i18n!$A:$F,5,FALSE)</f>
        <v>0.85</v>
      </c>
      <c r="L1310" s="36">
        <f>VLOOKUP(H1310,[2]character_type_i18n!$A:$F,6,FALSE)</f>
        <v>1</v>
      </c>
      <c r="M1310" s="9" t="str">
        <f>VLOOKUP(A1310,[2]characters!$A:$M,13,FALSE)</f>
        <v>god</v>
      </c>
      <c r="N1310" s="14" t="str">
        <f>VLOOKUP(M1310,[2]character_tribe_i18n!$A:$F,3,FALSE)</f>
        <v>ゴッド</v>
      </c>
      <c r="O1310" s="24">
        <f>VLOOKUP(M1310,[2]character_tribe_i18n!$A:$F,4,FALSE)</f>
        <v>0.96</v>
      </c>
      <c r="P1310" s="24">
        <f>VLOOKUP(M1310,[2]character_tribe_i18n!$A:$F,5,FALSE)</f>
        <v>1.02</v>
      </c>
      <c r="Q1310" s="24">
        <f>VLOOKUP(M1310,[2]character_tribe_i18n!$A:$F,6,FALSE)</f>
        <v>1</v>
      </c>
      <c r="R1310" s="25" t="s">
        <v>98</v>
      </c>
      <c r="S1310" s="24">
        <f>VLOOKUP($R1310,ラベル別係数!$A$1:$E$7,3,FALSE)</f>
        <v>5</v>
      </c>
      <c r="T1310" s="24">
        <f>VLOOKUP($R1310,ラベル別係数!$A$1:$E$7,4,FALSE)</f>
        <v>1.3</v>
      </c>
      <c r="U1310" s="24">
        <f>VLOOKUP($R1310,ラベル別係数!$A$1:$E$7,5,FALSE)</f>
        <v>0.8</v>
      </c>
      <c r="V1310" s="27">
        <v>3</v>
      </c>
      <c r="W1310" s="28">
        <f>VLOOKUP(V1310,ターン数別攻撃係数!$A$1:$B$1000,2,FALSE)</f>
        <v>1</v>
      </c>
      <c r="X1310" s="9">
        <f>VLOOKUP(C1310,サイズ別係数!A$2:B$9,2,FALSE)</f>
        <v>60</v>
      </c>
      <c r="Y1310" s="26">
        <f>VLOOKUP($X1310,サイズ別係数!$B:$E,2,FALSE)</f>
        <v>1.7</v>
      </c>
      <c r="Z1310" s="26">
        <f>VLOOKUP($X1310,サイズ別係数!$B:$E,3,FALSE)</f>
        <v>1.4</v>
      </c>
      <c r="AA1310" s="26">
        <f>VLOOKUP($X1310,サイズ別係数!$B:$E,4,FALSE)</f>
        <v>1</v>
      </c>
      <c r="AB1310" s="5">
        <v>0</v>
      </c>
      <c r="AC1310" s="34" t="str">
        <f ca="1">VLOOKUP($AB1310,OFFSET([3]enemy_skill_sets!$B$2,0,0,COUNTA([3]enemy_skill_sets!$A:$A),MATCH(AC$1,[3]enemy_skill_sets!$1:$1,0)-MATCH($AB$1,[3]enemy_skill_sets!$1:$1,0)+1),MATCH(AC$1,[3]enemy_skill_sets!$1:$1,0)-MATCH($AB$1,[3]enemy_skill_sets!$1:$1,0)+1,FALSE)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0" s="67">
        <v>1</v>
      </c>
      <c r="AE1310" s="67">
        <v>1</v>
      </c>
      <c r="AF1310" s="37">
        <v>0</v>
      </c>
      <c r="AG1310" s="110">
        <v>3329</v>
      </c>
      <c r="AH1310" s="110">
        <v>213</v>
      </c>
      <c r="AI1310" s="99">
        <f>ROUND(VLOOKUP(1,enemy_base_stats!$A:$F,4,FALSE) * AA1310*L1310*Q1310*G1310*U1310*AF1310*[2]ステータス!$D$2,0)</f>
        <v>0</v>
      </c>
      <c r="AJ1310" s="110">
        <v>135169</v>
      </c>
      <c r="AK1310" s="110">
        <v>8642</v>
      </c>
      <c r="AL1310" s="99">
        <f>ROUND(VLOOKUP(100,enemy_base_stats!$A:$F,4,FALSE)* AA1310* L1310*Q1310*G1310*U1310*AF1310*[2]ステータス!$D$2,0)</f>
        <v>0</v>
      </c>
      <c r="AM1310" s="97">
        <f>VLOOKUP(M1310,[2]character_tribe_i18n!$A:$I,9,FALSE)</f>
        <v>680</v>
      </c>
      <c r="AN1310" s="36">
        <v>0</v>
      </c>
      <c r="AO1310" s="53">
        <v>0</v>
      </c>
      <c r="AP1310" s="58" t="s">
        <v>72</v>
      </c>
      <c r="AQ1310" s="71">
        <f t="shared" si="70"/>
        <v>1327</v>
      </c>
    </row>
    <row r="1311" spans="1:43" ht="21" customHeight="1" x14ac:dyDescent="0.15">
      <c r="A1311" s="7">
        <v>1328</v>
      </c>
      <c r="B1311" s="6" t="str">
        <f>VLOOKUP(A1311,[2]characters!$A:$C,3,FALSE)</f>
        <v>ヒノカグツチ</v>
      </c>
      <c r="C1311" s="9">
        <f>VLOOKUP(A1311,[2]characters!$A:$I,9,FALSE)</f>
        <v>5</v>
      </c>
      <c r="D1311" s="9" t="str">
        <f>VLOOKUP(A1311,[2]characters!$A:$H,8,FALSE)</f>
        <v>red</v>
      </c>
      <c r="E1311" s="24">
        <f>VLOOKUP(D1311,[2]属性!$A:$E,2,FALSE)</f>
        <v>1</v>
      </c>
      <c r="F1311" s="24">
        <f>VLOOKUP(D1311,[2]属性!$A:$E,3,FALSE)</f>
        <v>1.02</v>
      </c>
      <c r="G1311" s="24">
        <f>VLOOKUP(D1311,[2]属性!$A:$F,4,FALSE)</f>
        <v>1</v>
      </c>
      <c r="H1311" s="9" t="str">
        <f>VLOOKUP(A1311,[2]characters!$A:$K,11,FALSE)</f>
        <v>attack</v>
      </c>
      <c r="I1311" s="14" t="str">
        <f>VLOOKUP(H1311,[2]character_type_i18n!$A:$F,3,FALSE)</f>
        <v>攻撃タイプ</v>
      </c>
      <c r="J1311" s="36">
        <f>VLOOKUP(H1311,[2]character_type_i18n!$A:$F,4,FALSE)</f>
        <v>1</v>
      </c>
      <c r="K1311" s="36">
        <f>VLOOKUP(H1311,[2]character_type_i18n!$A:$F,5,FALSE)</f>
        <v>1.33</v>
      </c>
      <c r="L1311" s="36">
        <f>VLOOKUP(H1311,[2]character_type_i18n!$A:$F,6,FALSE)</f>
        <v>1</v>
      </c>
      <c r="M1311" s="9" t="str">
        <f>VLOOKUP(A1311,[2]characters!$A:$M,13,FALSE)</f>
        <v>god</v>
      </c>
      <c r="N1311" s="14" t="str">
        <f>VLOOKUP(M1311,[2]character_tribe_i18n!$A:$F,3,FALSE)</f>
        <v>ゴッド</v>
      </c>
      <c r="O1311" s="24">
        <f>VLOOKUP(M1311,[2]character_tribe_i18n!$A:$F,4,FALSE)</f>
        <v>0.96</v>
      </c>
      <c r="P1311" s="24">
        <f>VLOOKUP(M1311,[2]character_tribe_i18n!$A:$F,5,FALSE)</f>
        <v>1.02</v>
      </c>
      <c r="Q1311" s="24">
        <f>VLOOKUP(M1311,[2]character_tribe_i18n!$A:$F,6,FALSE)</f>
        <v>1</v>
      </c>
      <c r="R1311" s="25" t="s">
        <v>98</v>
      </c>
      <c r="S1311" s="24">
        <f>VLOOKUP($R1311,ラベル別係数!$A$1:$E$7,3,FALSE)</f>
        <v>5</v>
      </c>
      <c r="T1311" s="24">
        <f>VLOOKUP($R1311,ラベル別係数!$A$1:$E$7,4,FALSE)</f>
        <v>1.3</v>
      </c>
      <c r="U1311" s="24">
        <f>VLOOKUP($R1311,ラベル別係数!$A$1:$E$7,5,FALSE)</f>
        <v>0.8</v>
      </c>
      <c r="V1311" s="27">
        <v>3</v>
      </c>
      <c r="W1311" s="28">
        <f>VLOOKUP(V1311,ターン数別攻撃係数!$A$1:$B$1000,2,FALSE)</f>
        <v>1</v>
      </c>
      <c r="X1311" s="9">
        <f>VLOOKUP(C1311,サイズ別係数!A$2:B$9,2,FALSE)</f>
        <v>60</v>
      </c>
      <c r="Y1311" s="26">
        <f>VLOOKUP($X1311,サイズ別係数!$B:$E,2,FALSE)</f>
        <v>1.7</v>
      </c>
      <c r="Z1311" s="26">
        <f>VLOOKUP($X1311,サイズ別係数!$B:$E,3,FALSE)</f>
        <v>1.4</v>
      </c>
      <c r="AA1311" s="26">
        <f>VLOOKUP($X1311,サイズ別係数!$B:$E,4,FALSE)</f>
        <v>1</v>
      </c>
      <c r="AB1311" s="5">
        <v>0</v>
      </c>
      <c r="AC1311" s="34" t="str">
        <f ca="1">VLOOKUP($AB1311,OFFSET([3]enemy_skill_sets!$B$2,0,0,COUNTA([3]enemy_skill_sets!$A:$A),MATCH(AC$1,[3]enemy_skill_sets!$1:$1,0)-MATCH($AB$1,[3]enemy_skill_sets!$1:$1,0)+1),MATCH(AC$1,[3]enemy_skill_sets!$1:$1,0)-MATCH($AB$1,[3]enemy_skill_sets!$1:$1,0)+1,FALSE)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1" s="67">
        <v>1</v>
      </c>
      <c r="AE1311" s="67">
        <v>1</v>
      </c>
      <c r="AF1311" s="37">
        <v>0</v>
      </c>
      <c r="AG1311" s="99">
        <f>ROUND(VLOOKUP(1,enemy_base_stats!$A:$F,2,FALSE) * Y1311* J1311*O1311*E1311*S1311*AD1311*[2]ステータス!$B$2,0)</f>
        <v>4080</v>
      </c>
      <c r="AH1311" s="99">
        <f>ROUND(VLOOKUP(1,enemy_base_stats!$A:$F,3,FALSE) * Z1311*K1311*P1311*F1311*T1311*AE1311 * W1311*[2]ステータス!$C$2,0)</f>
        <v>378</v>
      </c>
      <c r="AI1311" s="99">
        <f>ROUND(VLOOKUP(1,enemy_base_stats!$A:$F,4,FALSE) * AA1311*L1311*Q1311*G1311*U1311*AF1311*[2]ステータス!$D$2,0)</f>
        <v>0</v>
      </c>
      <c r="AJ1311" s="99">
        <f>ROUND(VLOOKUP(100,enemy_base_stats!$A:$F,2,FALSE) * Y1311* J1311*O1311*E1311*S1311*AD1311*[2]ステータス!$B$2,0)</f>
        <v>165648</v>
      </c>
      <c r="AK1311" s="99">
        <f>ROUND(VLOOKUP(100,enemy_base_stats!$A:$F,3,FALSE)* Z1311* K1311*P1311*F1311*T1311*AE1311 * W1311*[2]ステータス!$C$2,0)</f>
        <v>15337</v>
      </c>
      <c r="AL1311" s="99">
        <f>ROUND(VLOOKUP(100,enemy_base_stats!$A:$F,4,FALSE)* AA1311* L1311*Q1311*G1311*U1311*AF1311*[2]ステータス!$D$2,0)</f>
        <v>0</v>
      </c>
      <c r="AM1311" s="97">
        <f>VLOOKUP(M1311,[2]character_tribe_i18n!$A:$I,9,FALSE)</f>
        <v>680</v>
      </c>
      <c r="AN1311" s="36">
        <v>0</v>
      </c>
      <c r="AO1311" s="53">
        <v>0</v>
      </c>
      <c r="AP1311" s="58" t="s">
        <v>72</v>
      </c>
      <c r="AQ1311" s="71">
        <f t="shared" si="70"/>
        <v>1328</v>
      </c>
    </row>
    <row r="1312" spans="1:43" ht="21" customHeight="1" x14ac:dyDescent="0.15">
      <c r="A1312" s="7">
        <v>1329</v>
      </c>
      <c r="B1312" s="6" t="str">
        <f>VLOOKUP(A1312,[2]characters!$A:$C,3,FALSE)</f>
        <v>神抗の火産霊 ヒノカグツチ</v>
      </c>
      <c r="C1312" s="9">
        <f>VLOOKUP(A1312,[2]characters!$A:$I,9,FALSE)</f>
        <v>6</v>
      </c>
      <c r="D1312" s="9" t="str">
        <f>VLOOKUP(A1312,[2]characters!$A:$H,8,FALSE)</f>
        <v>red</v>
      </c>
      <c r="E1312" s="24">
        <f>VLOOKUP(D1312,[2]属性!$A:$E,2,FALSE)</f>
        <v>1</v>
      </c>
      <c r="F1312" s="24">
        <f>VLOOKUP(D1312,[2]属性!$A:$E,3,FALSE)</f>
        <v>1.02</v>
      </c>
      <c r="G1312" s="24">
        <f>VLOOKUP(D1312,[2]属性!$A:$F,4,FALSE)</f>
        <v>1</v>
      </c>
      <c r="H1312" s="9" t="str">
        <f>VLOOKUP(A1312,[2]characters!$A:$K,11,FALSE)</f>
        <v>attack</v>
      </c>
      <c r="I1312" s="14" t="str">
        <f>VLOOKUP(H1312,[2]character_type_i18n!$A:$F,3,FALSE)</f>
        <v>攻撃タイプ</v>
      </c>
      <c r="J1312" s="36">
        <f>VLOOKUP(H1312,[2]character_type_i18n!$A:$F,4,FALSE)</f>
        <v>1</v>
      </c>
      <c r="K1312" s="36">
        <f>VLOOKUP(H1312,[2]character_type_i18n!$A:$F,5,FALSE)</f>
        <v>1.33</v>
      </c>
      <c r="L1312" s="36">
        <f>VLOOKUP(H1312,[2]character_type_i18n!$A:$F,6,FALSE)</f>
        <v>1</v>
      </c>
      <c r="M1312" s="9" t="str">
        <f>VLOOKUP(A1312,[2]characters!$A:$M,13,FALSE)</f>
        <v>god</v>
      </c>
      <c r="N1312" s="14" t="str">
        <f>VLOOKUP(M1312,[2]character_tribe_i18n!$A:$F,3,FALSE)</f>
        <v>ゴッド</v>
      </c>
      <c r="O1312" s="24">
        <f>VLOOKUP(M1312,[2]character_tribe_i18n!$A:$F,4,FALSE)</f>
        <v>0.96</v>
      </c>
      <c r="P1312" s="24">
        <f>VLOOKUP(M1312,[2]character_tribe_i18n!$A:$F,5,FALSE)</f>
        <v>1.02</v>
      </c>
      <c r="Q1312" s="24">
        <f>VLOOKUP(M1312,[2]character_tribe_i18n!$A:$F,6,FALSE)</f>
        <v>1</v>
      </c>
      <c r="R1312" s="25" t="s">
        <v>98</v>
      </c>
      <c r="S1312" s="24">
        <f>VLOOKUP($R1312,ラベル別係数!$A$1:$E$7,3,FALSE)</f>
        <v>5</v>
      </c>
      <c r="T1312" s="24">
        <f>VLOOKUP($R1312,ラベル別係数!$A$1:$E$7,4,FALSE)</f>
        <v>1.3</v>
      </c>
      <c r="U1312" s="24">
        <f>VLOOKUP($R1312,ラベル別係数!$A$1:$E$7,5,FALSE)</f>
        <v>0.8</v>
      </c>
      <c r="V1312" s="27">
        <v>3</v>
      </c>
      <c r="W1312" s="28">
        <f>VLOOKUP(V1312,ターン数別攻撃係数!$A$1:$B$1000,2,FALSE)</f>
        <v>1</v>
      </c>
      <c r="X1312" s="9">
        <f>VLOOKUP(C1312,サイズ別係数!A$2:B$9,2,FALSE)</f>
        <v>60</v>
      </c>
      <c r="Y1312" s="26">
        <f>VLOOKUP($X1312,サイズ別係数!$B:$E,2,FALSE)</f>
        <v>1.7</v>
      </c>
      <c r="Z1312" s="26">
        <f>VLOOKUP($X1312,サイズ別係数!$B:$E,3,FALSE)</f>
        <v>1.4</v>
      </c>
      <c r="AA1312" s="26">
        <f>VLOOKUP($X1312,サイズ別係数!$B:$E,4,FALSE)</f>
        <v>1</v>
      </c>
      <c r="AB1312" s="5">
        <v>0</v>
      </c>
      <c r="AC1312" s="34" t="str">
        <f ca="1">VLOOKUP($AB1312,OFFSET([3]enemy_skill_sets!$B$2,0,0,COUNTA([3]enemy_skill_sets!$A:$A),MATCH(AC$1,[3]enemy_skill_sets!$1:$1,0)-MATCH($AB$1,[3]enemy_skill_sets!$1:$1,0)+1),MATCH(AC$1,[3]enemy_skill_sets!$1:$1,0)-MATCH($AB$1,[3]enemy_skill_sets!$1:$1,0)+1,FALSE)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2" s="67">
        <v>1</v>
      </c>
      <c r="AE1312" s="67">
        <v>1</v>
      </c>
      <c r="AF1312" s="37">
        <v>0</v>
      </c>
      <c r="AG1312" s="99">
        <f>ROUND(VLOOKUP(1,enemy_base_stats!$A:$F,2,FALSE) * Y1312* J1312*O1312*E1312*S1312*AD1312*[2]ステータス!$B$2,0)</f>
        <v>4080</v>
      </c>
      <c r="AH1312" s="99">
        <f>ROUND(VLOOKUP(1,enemy_base_stats!$A:$F,3,FALSE) * Z1312*K1312*P1312*F1312*T1312*AE1312 * W1312*[2]ステータス!$C$2,0)</f>
        <v>378</v>
      </c>
      <c r="AI1312" s="99">
        <f>ROUND(VLOOKUP(1,enemy_base_stats!$A:$F,4,FALSE) * AA1312*L1312*Q1312*G1312*U1312*AF1312*[2]ステータス!$D$2,0)</f>
        <v>0</v>
      </c>
      <c r="AJ1312" s="99">
        <f>ROUND(VLOOKUP(100,enemy_base_stats!$A:$F,2,FALSE) * Y1312* J1312*O1312*E1312*S1312*AD1312*[2]ステータス!$B$2,0)</f>
        <v>165648</v>
      </c>
      <c r="AK1312" s="99">
        <f>ROUND(VLOOKUP(100,enemy_base_stats!$A:$F,3,FALSE)* Z1312* K1312*P1312*F1312*T1312*AE1312 * W1312*[2]ステータス!$C$2,0)</f>
        <v>15337</v>
      </c>
      <c r="AL1312" s="99">
        <f>ROUND(VLOOKUP(100,enemy_base_stats!$A:$F,4,FALSE)* AA1312* L1312*Q1312*G1312*U1312*AF1312*[2]ステータス!$D$2,0)</f>
        <v>0</v>
      </c>
      <c r="AM1312" s="97">
        <f>VLOOKUP(M1312,[2]character_tribe_i18n!$A:$I,9,FALSE)</f>
        <v>680</v>
      </c>
      <c r="AN1312" s="36">
        <v>0</v>
      </c>
      <c r="AO1312" s="53">
        <v>0</v>
      </c>
      <c r="AP1312" s="58" t="s">
        <v>72</v>
      </c>
      <c r="AQ1312" s="71">
        <f t="shared" si="70"/>
        <v>1329</v>
      </c>
    </row>
    <row r="1313" spans="1:43" ht="21" customHeight="1" x14ac:dyDescent="0.15">
      <c r="A1313" s="7">
        <v>1330</v>
      </c>
      <c r="B1313" s="6" t="str">
        <f>VLOOKUP(A1313,[2]characters!$A:$C,3,FALSE)</f>
        <v>スサノオ</v>
      </c>
      <c r="C1313" s="9">
        <f>VLOOKUP(A1313,[2]characters!$A:$I,9,FALSE)</f>
        <v>5</v>
      </c>
      <c r="D1313" s="9" t="str">
        <f>VLOOKUP(A1313,[2]characters!$A:$H,8,FALSE)</f>
        <v>yellow</v>
      </c>
      <c r="E1313" s="24">
        <f>VLOOKUP(D1313,[2]属性!$A:$E,2,FALSE)</f>
        <v>0.98</v>
      </c>
      <c r="F1313" s="24">
        <f>VLOOKUP(D1313,[2]属性!$A:$E,3,FALSE)</f>
        <v>1.01</v>
      </c>
      <c r="G1313" s="24">
        <f>VLOOKUP(D1313,[2]属性!$A:$F,4,FALSE)</f>
        <v>1</v>
      </c>
      <c r="H1313" s="9" t="str">
        <f>VLOOKUP(A1313,[2]characters!$A:$K,11,FALSE)</f>
        <v>balance</v>
      </c>
      <c r="I1313" s="14" t="str">
        <f>VLOOKUP(H1313,[2]character_type_i18n!$A:$F,3,FALSE)</f>
        <v>バランスタイプ</v>
      </c>
      <c r="J1313" s="36">
        <f>VLOOKUP(H1313,[2]character_type_i18n!$A:$F,4,FALSE)</f>
        <v>1</v>
      </c>
      <c r="K1313" s="36">
        <f>VLOOKUP(H1313,[2]character_type_i18n!$A:$F,5,FALSE)</f>
        <v>1</v>
      </c>
      <c r="L1313" s="36">
        <f>VLOOKUP(H1313,[2]character_type_i18n!$A:$F,6,FALSE)</f>
        <v>1</v>
      </c>
      <c r="M1313" s="9" t="str">
        <f>VLOOKUP(A1313,[2]characters!$A:$M,13,FALSE)</f>
        <v>hero</v>
      </c>
      <c r="N1313" s="14" t="str">
        <f>VLOOKUP(M1313,[2]character_tribe_i18n!$A:$F,3,FALSE)</f>
        <v>ヒーロー</v>
      </c>
      <c r="O1313" s="24">
        <f>VLOOKUP(M1313,[2]character_tribe_i18n!$A:$F,4,FALSE)</f>
        <v>1</v>
      </c>
      <c r="P1313" s="24">
        <f>VLOOKUP(M1313,[2]character_tribe_i18n!$A:$F,5,FALSE)</f>
        <v>1</v>
      </c>
      <c r="Q1313" s="24">
        <f>VLOOKUP(M1313,[2]character_tribe_i18n!$A:$F,6,FALSE)</f>
        <v>1</v>
      </c>
      <c r="R1313" s="25" t="s">
        <v>98</v>
      </c>
      <c r="S1313" s="24">
        <f>VLOOKUP($R1313,ラベル別係数!$A$1:$E$7,3,FALSE)</f>
        <v>5</v>
      </c>
      <c r="T1313" s="24">
        <f>VLOOKUP($R1313,ラベル別係数!$A$1:$E$7,4,FALSE)</f>
        <v>1.3</v>
      </c>
      <c r="U1313" s="24">
        <f>VLOOKUP($R1313,ラベル別係数!$A$1:$E$7,5,FALSE)</f>
        <v>0.8</v>
      </c>
      <c r="V1313" s="27">
        <v>3</v>
      </c>
      <c r="W1313" s="28">
        <f>VLOOKUP(V1313,ターン数別攻撃係数!$A$1:$B$1000,2,FALSE)</f>
        <v>1</v>
      </c>
      <c r="X1313" s="9">
        <f>VLOOKUP(C1313,サイズ別係数!A$2:B$9,2,FALSE)</f>
        <v>60</v>
      </c>
      <c r="Y1313" s="26">
        <f>VLOOKUP($X1313,サイズ別係数!$B:$E,2,FALSE)</f>
        <v>1.7</v>
      </c>
      <c r="Z1313" s="26">
        <f>VLOOKUP($X1313,サイズ別係数!$B:$E,3,FALSE)</f>
        <v>1.4</v>
      </c>
      <c r="AA1313" s="26">
        <f>VLOOKUP($X1313,サイズ別係数!$B:$E,4,FALSE)</f>
        <v>1</v>
      </c>
      <c r="AB1313" s="5">
        <v>0</v>
      </c>
      <c r="AC1313" s="34" t="str">
        <f ca="1">VLOOKUP($AB1313,OFFSET([3]enemy_skill_sets!$B$2,0,0,COUNTA([3]enemy_skill_sets!$A:$A),MATCH(AC$1,[3]enemy_skill_sets!$1:$1,0)-MATCH($AB$1,[3]enemy_skill_sets!$1:$1,0)+1),MATCH(AC$1,[3]enemy_skill_sets!$1:$1,0)-MATCH($AB$1,[3]enemy_skill_sets!$1:$1,0)+1,FALSE)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3" s="67">
        <v>1</v>
      </c>
      <c r="AE1313" s="67">
        <v>1</v>
      </c>
      <c r="AF1313" s="37">
        <v>0</v>
      </c>
      <c r="AG1313" s="110">
        <v>4165</v>
      </c>
      <c r="AH1313" s="110">
        <v>367</v>
      </c>
      <c r="AI1313" s="99">
        <f>ROUND(VLOOKUP(1,enemy_base_stats!$A:$F,4,FALSE) * AA1313*L1313*Q1313*G1313*U1313*AF1313*[2]ステータス!$D$2,0)</f>
        <v>0</v>
      </c>
      <c r="AJ1313" s="110">
        <v>169099</v>
      </c>
      <c r="AK1313" s="110">
        <v>14889</v>
      </c>
      <c r="AL1313" s="99">
        <f>ROUND(VLOOKUP(100,enemy_base_stats!$A:$F,4,FALSE)* AA1313* L1313*Q1313*G1313*U1313*AF1313*[2]ステータス!$D$2,0)</f>
        <v>0</v>
      </c>
      <c r="AM1313" s="97">
        <f>VLOOKUP(M1313,[2]character_tribe_i18n!$A:$I,9,FALSE)</f>
        <v>400</v>
      </c>
      <c r="AN1313" s="36">
        <v>0</v>
      </c>
      <c r="AO1313" s="53">
        <v>0</v>
      </c>
      <c r="AP1313" s="58" t="s">
        <v>72</v>
      </c>
      <c r="AQ1313" s="71">
        <f t="shared" si="70"/>
        <v>1330</v>
      </c>
    </row>
    <row r="1314" spans="1:43" ht="21" customHeight="1" x14ac:dyDescent="0.15">
      <c r="A1314" s="7">
        <v>1331</v>
      </c>
      <c r="B1314" s="6" t="str">
        <f>VLOOKUP(A1314,[2]characters!$A:$C,3,FALSE)</f>
        <v>傑戦の大強神 スサノオ</v>
      </c>
      <c r="C1314" s="9">
        <f>VLOOKUP(A1314,[2]characters!$A:$I,9,FALSE)</f>
        <v>6</v>
      </c>
      <c r="D1314" s="9" t="str">
        <f>VLOOKUP(A1314,[2]characters!$A:$H,8,FALSE)</f>
        <v>yellow</v>
      </c>
      <c r="E1314" s="24">
        <f>VLOOKUP(D1314,[2]属性!$A:$E,2,FALSE)</f>
        <v>0.98</v>
      </c>
      <c r="F1314" s="24">
        <f>VLOOKUP(D1314,[2]属性!$A:$E,3,FALSE)</f>
        <v>1.01</v>
      </c>
      <c r="G1314" s="24">
        <f>VLOOKUP(D1314,[2]属性!$A:$F,4,FALSE)</f>
        <v>1</v>
      </c>
      <c r="H1314" s="9" t="str">
        <f>VLOOKUP(A1314,[2]characters!$A:$K,11,FALSE)</f>
        <v>balance</v>
      </c>
      <c r="I1314" s="14" t="str">
        <f>VLOOKUP(H1314,[2]character_type_i18n!$A:$F,3,FALSE)</f>
        <v>バランスタイプ</v>
      </c>
      <c r="J1314" s="36">
        <f>VLOOKUP(H1314,[2]character_type_i18n!$A:$F,4,FALSE)</f>
        <v>1</v>
      </c>
      <c r="K1314" s="36">
        <f>VLOOKUP(H1314,[2]character_type_i18n!$A:$F,5,FALSE)</f>
        <v>1</v>
      </c>
      <c r="L1314" s="36">
        <f>VLOOKUP(H1314,[2]character_type_i18n!$A:$F,6,FALSE)</f>
        <v>1</v>
      </c>
      <c r="M1314" s="9" t="str">
        <f>VLOOKUP(A1314,[2]characters!$A:$M,13,FALSE)</f>
        <v>hero</v>
      </c>
      <c r="N1314" s="14" t="str">
        <f>VLOOKUP(M1314,[2]character_tribe_i18n!$A:$F,3,FALSE)</f>
        <v>ヒーロー</v>
      </c>
      <c r="O1314" s="24">
        <f>VLOOKUP(M1314,[2]character_tribe_i18n!$A:$F,4,FALSE)</f>
        <v>1</v>
      </c>
      <c r="P1314" s="24">
        <f>VLOOKUP(M1314,[2]character_tribe_i18n!$A:$F,5,FALSE)</f>
        <v>1</v>
      </c>
      <c r="Q1314" s="24">
        <f>VLOOKUP(M1314,[2]character_tribe_i18n!$A:$F,6,FALSE)</f>
        <v>1</v>
      </c>
      <c r="R1314" s="25" t="s">
        <v>98</v>
      </c>
      <c r="S1314" s="24">
        <f>VLOOKUP($R1314,ラベル別係数!$A$1:$E$7,3,FALSE)</f>
        <v>5</v>
      </c>
      <c r="T1314" s="24">
        <f>VLOOKUP($R1314,ラベル別係数!$A$1:$E$7,4,FALSE)</f>
        <v>1.3</v>
      </c>
      <c r="U1314" s="24">
        <f>VLOOKUP($R1314,ラベル別係数!$A$1:$E$7,5,FALSE)</f>
        <v>0.8</v>
      </c>
      <c r="V1314" s="27">
        <v>3</v>
      </c>
      <c r="W1314" s="28">
        <f>VLOOKUP(V1314,ターン数別攻撃係数!$A$1:$B$1000,2,FALSE)</f>
        <v>1</v>
      </c>
      <c r="X1314" s="9">
        <f>VLOOKUP(C1314,サイズ別係数!A$2:B$9,2,FALSE)</f>
        <v>60</v>
      </c>
      <c r="Y1314" s="26">
        <f>VLOOKUP($X1314,サイズ別係数!$B:$E,2,FALSE)</f>
        <v>1.7</v>
      </c>
      <c r="Z1314" s="26">
        <f>VLOOKUP($X1314,サイズ別係数!$B:$E,3,FALSE)</f>
        <v>1.4</v>
      </c>
      <c r="AA1314" s="26">
        <f>VLOOKUP($X1314,サイズ別係数!$B:$E,4,FALSE)</f>
        <v>1</v>
      </c>
      <c r="AB1314" s="5">
        <v>0</v>
      </c>
      <c r="AC1314" s="34" t="str">
        <f ca="1">VLOOKUP($AB1314,OFFSET([3]enemy_skill_sets!$B$2,0,0,COUNTA([3]enemy_skill_sets!$A:$A),MATCH(AC$1,[3]enemy_skill_sets!$1:$1,0)-MATCH($AB$1,[3]enemy_skill_sets!$1:$1,0)+1),MATCH(AC$1,[3]enemy_skill_sets!$1:$1,0)-MATCH($AB$1,[3]enemy_skill_sets!$1:$1,0)+1,FALSE)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4" s="67">
        <v>1</v>
      </c>
      <c r="AE1314" s="67">
        <v>1</v>
      </c>
      <c r="AF1314" s="37">
        <v>0</v>
      </c>
      <c r="AG1314" s="110">
        <v>4165</v>
      </c>
      <c r="AH1314" s="110">
        <v>367</v>
      </c>
      <c r="AI1314" s="99">
        <f>ROUND(VLOOKUP(1,enemy_base_stats!$A:$F,4,FALSE) * AA1314*L1314*Q1314*G1314*U1314*AF1314*[2]ステータス!$D$2,0)</f>
        <v>0</v>
      </c>
      <c r="AJ1314" s="110">
        <v>169099</v>
      </c>
      <c r="AK1314" s="110">
        <v>14889</v>
      </c>
      <c r="AL1314" s="99">
        <f>ROUND(VLOOKUP(100,enemy_base_stats!$A:$F,4,FALSE)* AA1314* L1314*Q1314*G1314*U1314*AF1314*[2]ステータス!$D$2,0)</f>
        <v>0</v>
      </c>
      <c r="AM1314" s="97">
        <f>VLOOKUP(M1314,[2]character_tribe_i18n!$A:$I,9,FALSE)</f>
        <v>400</v>
      </c>
      <c r="AN1314" s="36">
        <v>0</v>
      </c>
      <c r="AO1314" s="53">
        <v>0</v>
      </c>
      <c r="AP1314" s="58" t="s">
        <v>72</v>
      </c>
      <c r="AQ1314" s="71">
        <f t="shared" si="70"/>
        <v>1331</v>
      </c>
    </row>
    <row r="1315" spans="1:43" ht="21" customHeight="1" x14ac:dyDescent="0.15">
      <c r="A1315" s="7">
        <v>1332</v>
      </c>
      <c r="B1315" s="6" t="str">
        <f>VLOOKUP(A1315,[2]characters!$A:$C,3,FALSE)</f>
        <v>クシナダヒメ</v>
      </c>
      <c r="C1315" s="9">
        <f>VLOOKUP(A1315,[2]characters!$A:$I,9,FALSE)</f>
        <v>5</v>
      </c>
      <c r="D1315" s="9" t="str">
        <f>VLOOKUP(A1315,[2]characters!$A:$H,8,FALSE)</f>
        <v>red</v>
      </c>
      <c r="E1315" s="24">
        <f>VLOOKUP(D1315,[2]属性!$A:$E,2,FALSE)</f>
        <v>1</v>
      </c>
      <c r="F1315" s="24">
        <f>VLOOKUP(D1315,[2]属性!$A:$E,3,FALSE)</f>
        <v>1.02</v>
      </c>
      <c r="G1315" s="24">
        <f>VLOOKUP(D1315,[2]属性!$A:$F,4,FALSE)</f>
        <v>1</v>
      </c>
      <c r="H1315" s="9" t="str">
        <f>VLOOKUP(A1315,[2]characters!$A:$K,11,FALSE)</f>
        <v>hp</v>
      </c>
      <c r="I1315" s="14" t="str">
        <f>VLOOKUP(H1315,[2]character_type_i18n!$A:$F,3,FALSE)</f>
        <v>体力タイプ</v>
      </c>
      <c r="J1315" s="36">
        <f>VLOOKUP(H1315,[2]character_type_i18n!$A:$F,4,FALSE)</f>
        <v>1.45</v>
      </c>
      <c r="K1315" s="36">
        <f>VLOOKUP(H1315,[2]character_type_i18n!$A:$F,5,FALSE)</f>
        <v>0.85</v>
      </c>
      <c r="L1315" s="36">
        <f>VLOOKUP(H1315,[2]character_type_i18n!$A:$F,6,FALSE)</f>
        <v>1</v>
      </c>
      <c r="M1315" s="9" t="str">
        <f>VLOOKUP(A1315,[2]characters!$A:$M,13,FALSE)</f>
        <v>god</v>
      </c>
      <c r="N1315" s="14" t="str">
        <f>VLOOKUP(M1315,[2]character_tribe_i18n!$A:$F,3,FALSE)</f>
        <v>ゴッド</v>
      </c>
      <c r="O1315" s="24">
        <f>VLOOKUP(M1315,[2]character_tribe_i18n!$A:$F,4,FALSE)</f>
        <v>0.96</v>
      </c>
      <c r="P1315" s="24">
        <f>VLOOKUP(M1315,[2]character_tribe_i18n!$A:$F,5,FALSE)</f>
        <v>1.02</v>
      </c>
      <c r="Q1315" s="24">
        <f>VLOOKUP(M1315,[2]character_tribe_i18n!$A:$F,6,FALSE)</f>
        <v>1</v>
      </c>
      <c r="R1315" s="25" t="s">
        <v>98</v>
      </c>
      <c r="S1315" s="24">
        <f>VLOOKUP($R1315,ラベル別係数!$A$1:$E$7,3,FALSE)</f>
        <v>5</v>
      </c>
      <c r="T1315" s="24">
        <f>VLOOKUP($R1315,ラベル別係数!$A$1:$E$7,4,FALSE)</f>
        <v>1.3</v>
      </c>
      <c r="U1315" s="24">
        <f>VLOOKUP($R1315,ラベル別係数!$A$1:$E$7,5,FALSE)</f>
        <v>0.8</v>
      </c>
      <c r="V1315" s="27">
        <v>3</v>
      </c>
      <c r="W1315" s="28">
        <f>VLOOKUP(V1315,ターン数別攻撃係数!$A$1:$B$1000,2,FALSE)</f>
        <v>1</v>
      </c>
      <c r="X1315" s="9">
        <f>VLOOKUP(C1315,サイズ別係数!A$2:B$9,2,FALSE)</f>
        <v>60</v>
      </c>
      <c r="Y1315" s="26">
        <f>VLOOKUP($X1315,サイズ別係数!$B:$E,2,FALSE)</f>
        <v>1.7</v>
      </c>
      <c r="Z1315" s="26">
        <f>VLOOKUP($X1315,サイズ別係数!$B:$E,3,FALSE)</f>
        <v>1.4</v>
      </c>
      <c r="AA1315" s="26">
        <f>VLOOKUP($X1315,サイズ別係数!$B:$E,4,FALSE)</f>
        <v>1</v>
      </c>
      <c r="AB1315" s="5">
        <v>0</v>
      </c>
      <c r="AC1315" s="34" t="str">
        <f ca="1">VLOOKUP($AB1315,OFFSET([3]enemy_skill_sets!$B$2,0,0,COUNTA([3]enemy_skill_sets!$A:$A),MATCH(AC$1,[3]enemy_skill_sets!$1:$1,0)-MATCH($AB$1,[3]enemy_skill_sets!$1:$1,0)+1),MATCH(AC$1,[3]enemy_skill_sets!$1:$1,0)-MATCH($AB$1,[3]enemy_skill_sets!$1:$1,0)+1,FALSE)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5" s="67">
        <v>1</v>
      </c>
      <c r="AE1315" s="67">
        <v>1</v>
      </c>
      <c r="AF1315" s="37">
        <v>0</v>
      </c>
      <c r="AG1315" s="99">
        <f>ROUND(VLOOKUP(1,enemy_base_stats!$A:$F,2,FALSE) * Y1315* J1315*O1315*E1315*S1315*AD1315*[2]ステータス!$B$2,0)</f>
        <v>5916</v>
      </c>
      <c r="AH1315" s="99">
        <f>ROUND(VLOOKUP(1,enemy_base_stats!$A:$F,3,FALSE) * Z1315*K1315*P1315*F1315*T1315*AE1315 * W1315*[2]ステータス!$C$2,0)</f>
        <v>241</v>
      </c>
      <c r="AI1315" s="99">
        <f>ROUND(VLOOKUP(1,enemy_base_stats!$A:$F,4,FALSE) * AA1315*L1315*Q1315*G1315*U1315*AF1315*[2]ステータス!$D$2,0)</f>
        <v>0</v>
      </c>
      <c r="AJ1315" s="99">
        <f>ROUND(VLOOKUP(100,enemy_base_stats!$A:$F,2,FALSE) * Y1315* J1315*O1315*E1315*S1315*AD1315*[2]ステータス!$B$2,0)</f>
        <v>240190</v>
      </c>
      <c r="AK1315" s="99">
        <f>ROUND(VLOOKUP(100,enemy_base_stats!$A:$F,3,FALSE)* Z1315* K1315*P1315*F1315*T1315*AE1315 * W1315*[2]ステータス!$C$2,0)</f>
        <v>9802</v>
      </c>
      <c r="AL1315" s="99">
        <f>ROUND(VLOOKUP(100,enemy_base_stats!$A:$F,4,FALSE)* AA1315* L1315*Q1315*G1315*U1315*AF1315*[2]ステータス!$D$2,0)</f>
        <v>0</v>
      </c>
      <c r="AM1315" s="97">
        <f>VLOOKUP(M1315,[2]character_tribe_i18n!$A:$I,9,FALSE)</f>
        <v>680</v>
      </c>
      <c r="AN1315" s="36">
        <v>0</v>
      </c>
      <c r="AO1315" s="53">
        <v>0</v>
      </c>
      <c r="AP1315" s="58" t="s">
        <v>72</v>
      </c>
      <c r="AQ1315" s="71">
        <f t="shared" ref="AQ1315:AQ1321" si="71">A1315</f>
        <v>1332</v>
      </c>
    </row>
    <row r="1316" spans="1:43" ht="21" customHeight="1" x14ac:dyDescent="0.15">
      <c r="A1316" s="7">
        <v>1333</v>
      </c>
      <c r="B1316" s="6" t="str">
        <f>VLOOKUP(A1316,[2]characters!$A:$C,3,FALSE)</f>
        <v>神心を射る穂神 クシナダヒメ</v>
      </c>
      <c r="C1316" s="9">
        <f>VLOOKUP(A1316,[2]characters!$A:$I,9,FALSE)</f>
        <v>6</v>
      </c>
      <c r="D1316" s="9" t="str">
        <f>VLOOKUP(A1316,[2]characters!$A:$H,8,FALSE)</f>
        <v>red</v>
      </c>
      <c r="E1316" s="24">
        <f>VLOOKUP(D1316,[2]属性!$A:$E,2,FALSE)</f>
        <v>1</v>
      </c>
      <c r="F1316" s="24">
        <f>VLOOKUP(D1316,[2]属性!$A:$E,3,FALSE)</f>
        <v>1.02</v>
      </c>
      <c r="G1316" s="24">
        <f>VLOOKUP(D1316,[2]属性!$A:$F,4,FALSE)</f>
        <v>1</v>
      </c>
      <c r="H1316" s="9" t="str">
        <f>VLOOKUP(A1316,[2]characters!$A:$K,11,FALSE)</f>
        <v>hp</v>
      </c>
      <c r="I1316" s="14" t="str">
        <f>VLOOKUP(H1316,[2]character_type_i18n!$A:$F,3,FALSE)</f>
        <v>体力タイプ</v>
      </c>
      <c r="J1316" s="36">
        <f>VLOOKUP(H1316,[2]character_type_i18n!$A:$F,4,FALSE)</f>
        <v>1.45</v>
      </c>
      <c r="K1316" s="36">
        <f>VLOOKUP(H1316,[2]character_type_i18n!$A:$F,5,FALSE)</f>
        <v>0.85</v>
      </c>
      <c r="L1316" s="36">
        <f>VLOOKUP(H1316,[2]character_type_i18n!$A:$F,6,FALSE)</f>
        <v>1</v>
      </c>
      <c r="M1316" s="9" t="str">
        <f>VLOOKUP(A1316,[2]characters!$A:$M,13,FALSE)</f>
        <v>god</v>
      </c>
      <c r="N1316" s="14" t="str">
        <f>VLOOKUP(M1316,[2]character_tribe_i18n!$A:$F,3,FALSE)</f>
        <v>ゴッド</v>
      </c>
      <c r="O1316" s="24">
        <f>VLOOKUP(M1316,[2]character_tribe_i18n!$A:$F,4,FALSE)</f>
        <v>0.96</v>
      </c>
      <c r="P1316" s="24">
        <f>VLOOKUP(M1316,[2]character_tribe_i18n!$A:$F,5,FALSE)</f>
        <v>1.02</v>
      </c>
      <c r="Q1316" s="24">
        <f>VLOOKUP(M1316,[2]character_tribe_i18n!$A:$F,6,FALSE)</f>
        <v>1</v>
      </c>
      <c r="R1316" s="25" t="s">
        <v>98</v>
      </c>
      <c r="S1316" s="24">
        <f>VLOOKUP($R1316,ラベル別係数!$A$1:$E$7,3,FALSE)</f>
        <v>5</v>
      </c>
      <c r="T1316" s="24">
        <f>VLOOKUP($R1316,ラベル別係数!$A$1:$E$7,4,FALSE)</f>
        <v>1.3</v>
      </c>
      <c r="U1316" s="24">
        <f>VLOOKUP($R1316,ラベル別係数!$A$1:$E$7,5,FALSE)</f>
        <v>0.8</v>
      </c>
      <c r="V1316" s="27">
        <v>3</v>
      </c>
      <c r="W1316" s="28">
        <f>VLOOKUP(V1316,ターン数別攻撃係数!$A$1:$B$1000,2,FALSE)</f>
        <v>1</v>
      </c>
      <c r="X1316" s="9">
        <f>VLOOKUP(C1316,サイズ別係数!A$2:B$9,2,FALSE)</f>
        <v>60</v>
      </c>
      <c r="Y1316" s="26">
        <f>VLOOKUP($X1316,サイズ別係数!$B:$E,2,FALSE)</f>
        <v>1.7</v>
      </c>
      <c r="Z1316" s="26">
        <f>VLOOKUP($X1316,サイズ別係数!$B:$E,3,FALSE)</f>
        <v>1.4</v>
      </c>
      <c r="AA1316" s="26">
        <f>VLOOKUP($X1316,サイズ別係数!$B:$E,4,FALSE)</f>
        <v>1</v>
      </c>
      <c r="AB1316" s="5">
        <v>0</v>
      </c>
      <c r="AC1316" s="34" t="str">
        <f ca="1">VLOOKUP($AB1316,OFFSET([3]enemy_skill_sets!$B$2,0,0,COUNTA([3]enemy_skill_sets!$A:$A),MATCH(AC$1,[3]enemy_skill_sets!$1:$1,0)-MATCH($AB$1,[3]enemy_skill_sets!$1:$1,0)+1),MATCH(AC$1,[3]enemy_skill_sets!$1:$1,0)-MATCH($AB$1,[3]enemy_skill_sets!$1:$1,0)+1,FALSE)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6" s="67">
        <v>1</v>
      </c>
      <c r="AE1316" s="67">
        <v>1</v>
      </c>
      <c r="AF1316" s="37">
        <v>0</v>
      </c>
      <c r="AG1316" s="99">
        <f>ROUND(VLOOKUP(1,enemy_base_stats!$A:$F,2,FALSE) * Y1316* J1316*O1316*E1316*S1316*AD1316*[2]ステータス!$B$2,0)</f>
        <v>5916</v>
      </c>
      <c r="AH1316" s="99">
        <f>ROUND(VLOOKUP(1,enemy_base_stats!$A:$F,3,FALSE) * Z1316*K1316*P1316*F1316*T1316*AE1316 * W1316*[2]ステータス!$C$2,0)</f>
        <v>241</v>
      </c>
      <c r="AI1316" s="99">
        <f>ROUND(VLOOKUP(1,enemy_base_stats!$A:$F,4,FALSE) * AA1316*L1316*Q1316*G1316*U1316*AF1316*[2]ステータス!$D$2,0)</f>
        <v>0</v>
      </c>
      <c r="AJ1316" s="99">
        <f>ROUND(VLOOKUP(100,enemy_base_stats!$A:$F,2,FALSE) * Y1316* J1316*O1316*E1316*S1316*AD1316*[2]ステータス!$B$2,0)</f>
        <v>240190</v>
      </c>
      <c r="AK1316" s="99">
        <f>ROUND(VLOOKUP(100,enemy_base_stats!$A:$F,3,FALSE)* Z1316* K1316*P1316*F1316*T1316*AE1316 * W1316*[2]ステータス!$C$2,0)</f>
        <v>9802</v>
      </c>
      <c r="AL1316" s="99">
        <f>ROUND(VLOOKUP(100,enemy_base_stats!$A:$F,4,FALSE)* AA1316* L1316*Q1316*G1316*U1316*AF1316*[2]ステータス!$D$2,0)</f>
        <v>0</v>
      </c>
      <c r="AM1316" s="97">
        <f>VLOOKUP(M1316,[2]character_tribe_i18n!$A:$I,9,FALSE)</f>
        <v>680</v>
      </c>
      <c r="AN1316" s="36">
        <v>0</v>
      </c>
      <c r="AO1316" s="53">
        <v>0</v>
      </c>
      <c r="AP1316" s="58" t="s">
        <v>72</v>
      </c>
      <c r="AQ1316" s="71">
        <f t="shared" si="71"/>
        <v>1333</v>
      </c>
    </row>
    <row r="1317" spans="1:43" ht="21" customHeight="1" x14ac:dyDescent="0.15">
      <c r="A1317" s="7">
        <v>1334</v>
      </c>
      <c r="B1317" s="6" t="str">
        <f>VLOOKUP(A1317,[2]characters!$A:$C,3,FALSE)</f>
        <v>タマヨリヒメ</v>
      </c>
      <c r="C1317" s="9">
        <f>VLOOKUP(A1317,[2]characters!$A:$I,9,FALSE)</f>
        <v>4</v>
      </c>
      <c r="D1317" s="9" t="str">
        <f>VLOOKUP(A1317,[2]characters!$A:$H,8,FALSE)</f>
        <v>green</v>
      </c>
      <c r="E1317" s="24">
        <f>VLOOKUP(D1317,[2]属性!$A:$E,2,FALSE)</f>
        <v>1.02</v>
      </c>
      <c r="F1317" s="24">
        <f>VLOOKUP(D1317,[2]属性!$A:$E,3,FALSE)</f>
        <v>0.98</v>
      </c>
      <c r="G1317" s="24">
        <f>VLOOKUP(D1317,[2]属性!$A:$F,4,FALSE)</f>
        <v>1</v>
      </c>
      <c r="H1317" s="9" t="str">
        <f>VLOOKUP(A1317,[2]characters!$A:$K,11,FALSE)</f>
        <v>heal</v>
      </c>
      <c r="I1317" s="14" t="str">
        <f>VLOOKUP(H1317,[2]character_type_i18n!$A:$F,3,FALSE)</f>
        <v>回復タイプ</v>
      </c>
      <c r="J1317" s="36">
        <f>VLOOKUP(H1317,[2]character_type_i18n!$A:$F,4,FALSE)</f>
        <v>0.8</v>
      </c>
      <c r="K1317" s="36">
        <f>VLOOKUP(H1317,[2]character_type_i18n!$A:$F,5,FALSE)</f>
        <v>0.78</v>
      </c>
      <c r="L1317" s="36">
        <f>VLOOKUP(H1317,[2]character_type_i18n!$A:$F,6,FALSE)</f>
        <v>1</v>
      </c>
      <c r="M1317" s="9" t="str">
        <f>VLOOKUP(A1317,[2]characters!$A:$M,13,FALSE)</f>
        <v>god</v>
      </c>
      <c r="N1317" s="14" t="str">
        <f>VLOOKUP(M1317,[2]character_tribe_i18n!$A:$F,3,FALSE)</f>
        <v>ゴッド</v>
      </c>
      <c r="O1317" s="24">
        <f>VLOOKUP(M1317,[2]character_tribe_i18n!$A:$F,4,FALSE)</f>
        <v>0.96</v>
      </c>
      <c r="P1317" s="24">
        <f>VLOOKUP(M1317,[2]character_tribe_i18n!$A:$F,5,FALSE)</f>
        <v>1.02</v>
      </c>
      <c r="Q1317" s="24">
        <f>VLOOKUP(M1317,[2]character_tribe_i18n!$A:$F,6,FALSE)</f>
        <v>1</v>
      </c>
      <c r="R1317" s="25" t="s">
        <v>98</v>
      </c>
      <c r="S1317" s="24">
        <f>VLOOKUP($R1317,ラベル別係数!$A$1:$E$7,3,FALSE)</f>
        <v>5</v>
      </c>
      <c r="T1317" s="24">
        <f>VLOOKUP($R1317,ラベル別係数!$A$1:$E$7,4,FALSE)</f>
        <v>1.3</v>
      </c>
      <c r="U1317" s="24">
        <f>VLOOKUP($R1317,ラベル別係数!$A$1:$E$7,5,FALSE)</f>
        <v>0.8</v>
      </c>
      <c r="V1317" s="27">
        <v>3</v>
      </c>
      <c r="W1317" s="28">
        <f>VLOOKUP(V1317,ターン数別攻撃係数!$A$1:$B$1000,2,FALSE)</f>
        <v>1</v>
      </c>
      <c r="X1317" s="9">
        <f>VLOOKUP(C1317,サイズ別係数!A$2:B$9,2,FALSE)</f>
        <v>30</v>
      </c>
      <c r="Y1317" s="26">
        <f>VLOOKUP($X1317,サイズ別係数!$B:$E,2,FALSE)</f>
        <v>1.3</v>
      </c>
      <c r="Z1317" s="26">
        <f>VLOOKUP($X1317,サイズ別係数!$B:$E,3,FALSE)</f>
        <v>1.3</v>
      </c>
      <c r="AA1317" s="26">
        <f>VLOOKUP($X1317,サイズ別係数!$B:$E,4,FALSE)</f>
        <v>1.1000000000000001</v>
      </c>
      <c r="AB1317" s="5">
        <v>0</v>
      </c>
      <c r="AC1317" s="34" t="str">
        <f ca="1">VLOOKUP($AB1317,OFFSET([3]enemy_skill_sets!$B$2,0,0,COUNTA([3]enemy_skill_sets!$A:$A),MATCH(AC$1,[3]enemy_skill_sets!$1:$1,0)-MATCH($AB$1,[3]enemy_skill_sets!$1:$1,0)+1),MATCH(AC$1,[3]enemy_skill_sets!$1:$1,0)-MATCH($AB$1,[3]enemy_skill_sets!$1:$1,0)+1,FALSE)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7" s="67">
        <v>1</v>
      </c>
      <c r="AE1317" s="67">
        <v>1</v>
      </c>
      <c r="AF1317" s="37">
        <v>0</v>
      </c>
      <c r="AG1317" s="99">
        <f>ROUND(VLOOKUP(1,enemy_base_stats!$A:$F,2,FALSE) * Y1317* J1317*O1317*E1317*S1317*AD1317*[2]ステータス!$B$2,0)</f>
        <v>2546</v>
      </c>
      <c r="AH1317" s="99">
        <f>ROUND(VLOOKUP(1,enemy_base_stats!$A:$F,3,FALSE) * Z1317*K1317*P1317*F1317*T1317*AE1317 * W1317*[2]ステータス!$C$2,0)</f>
        <v>198</v>
      </c>
      <c r="AI1317" s="99">
        <f>ROUND(VLOOKUP(1,enemy_base_stats!$A:$F,4,FALSE) * AA1317*L1317*Q1317*G1317*U1317*AF1317*[2]ステータス!$D$2,0)</f>
        <v>0</v>
      </c>
      <c r="AJ1317" s="99">
        <f>ROUND(VLOOKUP(100,enemy_base_stats!$A:$F,2,FALSE) * Y1317* J1317*O1317*E1317*S1317*AD1317*[2]ステータス!$B$2,0)</f>
        <v>103364</v>
      </c>
      <c r="AK1317" s="99">
        <f>ROUND(VLOOKUP(100,enemy_base_stats!$A:$F,3,FALSE)* Z1317* K1317*P1317*F1317*T1317*AE1317 * W1317*[2]ステータス!$C$2,0)</f>
        <v>8025</v>
      </c>
      <c r="AL1317" s="99">
        <f>ROUND(VLOOKUP(100,enemy_base_stats!$A:$F,4,FALSE)* AA1317* L1317*Q1317*G1317*U1317*AF1317*[2]ステータス!$D$2,0)</f>
        <v>0</v>
      </c>
      <c r="AM1317" s="97">
        <f>VLOOKUP(M1317,[2]character_tribe_i18n!$A:$I,9,FALSE)</f>
        <v>680</v>
      </c>
      <c r="AN1317" s="36">
        <v>0</v>
      </c>
      <c r="AO1317" s="53">
        <v>0</v>
      </c>
      <c r="AP1317" s="58" t="s">
        <v>72</v>
      </c>
      <c r="AQ1317" s="71">
        <f t="shared" si="71"/>
        <v>1334</v>
      </c>
    </row>
    <row r="1318" spans="1:43" ht="21" customHeight="1" x14ac:dyDescent="0.15">
      <c r="A1318" s="7">
        <v>1335</v>
      </c>
      <c r="B1318" s="6" t="str">
        <f>VLOOKUP(A1318,[2]characters!$A:$C,3,FALSE)</f>
        <v>霊司の神憑 タマヨリヒメ</v>
      </c>
      <c r="C1318" s="9">
        <f>VLOOKUP(A1318,[2]characters!$A:$I,9,FALSE)</f>
        <v>5</v>
      </c>
      <c r="D1318" s="9" t="str">
        <f>VLOOKUP(A1318,[2]characters!$A:$H,8,FALSE)</f>
        <v>green</v>
      </c>
      <c r="E1318" s="24">
        <f>VLOOKUP(D1318,[2]属性!$A:$E,2,FALSE)</f>
        <v>1.02</v>
      </c>
      <c r="F1318" s="24">
        <f>VLOOKUP(D1318,[2]属性!$A:$E,3,FALSE)</f>
        <v>0.98</v>
      </c>
      <c r="G1318" s="24">
        <f>VLOOKUP(D1318,[2]属性!$A:$F,4,FALSE)</f>
        <v>1</v>
      </c>
      <c r="H1318" s="9" t="str">
        <f>VLOOKUP(A1318,[2]characters!$A:$K,11,FALSE)</f>
        <v>heal</v>
      </c>
      <c r="I1318" s="14" t="str">
        <f>VLOOKUP(H1318,[2]character_type_i18n!$A:$F,3,FALSE)</f>
        <v>回復タイプ</v>
      </c>
      <c r="J1318" s="36">
        <f>VLOOKUP(H1318,[2]character_type_i18n!$A:$F,4,FALSE)</f>
        <v>0.8</v>
      </c>
      <c r="K1318" s="36">
        <f>VLOOKUP(H1318,[2]character_type_i18n!$A:$F,5,FALSE)</f>
        <v>0.78</v>
      </c>
      <c r="L1318" s="36">
        <f>VLOOKUP(H1318,[2]character_type_i18n!$A:$F,6,FALSE)</f>
        <v>1</v>
      </c>
      <c r="M1318" s="9" t="str">
        <f>VLOOKUP(A1318,[2]characters!$A:$M,13,FALSE)</f>
        <v>god</v>
      </c>
      <c r="N1318" s="14" t="str">
        <f>VLOOKUP(M1318,[2]character_tribe_i18n!$A:$F,3,FALSE)</f>
        <v>ゴッド</v>
      </c>
      <c r="O1318" s="24">
        <f>VLOOKUP(M1318,[2]character_tribe_i18n!$A:$F,4,FALSE)</f>
        <v>0.96</v>
      </c>
      <c r="P1318" s="24">
        <f>VLOOKUP(M1318,[2]character_tribe_i18n!$A:$F,5,FALSE)</f>
        <v>1.02</v>
      </c>
      <c r="Q1318" s="24">
        <f>VLOOKUP(M1318,[2]character_tribe_i18n!$A:$F,6,FALSE)</f>
        <v>1</v>
      </c>
      <c r="R1318" s="25" t="s">
        <v>98</v>
      </c>
      <c r="S1318" s="24">
        <f>VLOOKUP($R1318,ラベル別係数!$A$1:$E$7,3,FALSE)</f>
        <v>5</v>
      </c>
      <c r="T1318" s="24">
        <f>VLOOKUP($R1318,ラベル別係数!$A$1:$E$7,4,FALSE)</f>
        <v>1.3</v>
      </c>
      <c r="U1318" s="24">
        <f>VLOOKUP($R1318,ラベル別係数!$A$1:$E$7,5,FALSE)</f>
        <v>0.8</v>
      </c>
      <c r="V1318" s="27">
        <v>3</v>
      </c>
      <c r="W1318" s="28">
        <f>VLOOKUP(V1318,ターン数別攻撃係数!$A$1:$B$1000,2,FALSE)</f>
        <v>1</v>
      </c>
      <c r="X1318" s="9">
        <f>VLOOKUP(C1318,サイズ別係数!A$2:B$9,2,FALSE)</f>
        <v>60</v>
      </c>
      <c r="Y1318" s="26">
        <f>VLOOKUP($X1318,サイズ別係数!$B:$E,2,FALSE)</f>
        <v>1.7</v>
      </c>
      <c r="Z1318" s="26">
        <f>VLOOKUP($X1318,サイズ別係数!$B:$E,3,FALSE)</f>
        <v>1.4</v>
      </c>
      <c r="AA1318" s="26">
        <f>VLOOKUP($X1318,サイズ別係数!$B:$E,4,FALSE)</f>
        <v>1</v>
      </c>
      <c r="AB1318" s="5">
        <v>0</v>
      </c>
      <c r="AC1318" s="34" t="str">
        <f ca="1">VLOOKUP($AB1318,OFFSET([3]enemy_skill_sets!$B$2,0,0,COUNTA([3]enemy_skill_sets!$A:$A),MATCH(AC$1,[3]enemy_skill_sets!$1:$1,0)-MATCH($AB$1,[3]enemy_skill_sets!$1:$1,0)+1),MATCH(AC$1,[3]enemy_skill_sets!$1:$1,0)-MATCH($AB$1,[3]enemy_skill_sets!$1:$1,0)+1,FALSE)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8" s="67">
        <v>1</v>
      </c>
      <c r="AE1318" s="67">
        <v>1</v>
      </c>
      <c r="AF1318" s="37">
        <v>0</v>
      </c>
      <c r="AG1318" s="99">
        <f>ROUND(VLOOKUP(1,enemy_base_stats!$A:$F,2,FALSE) * Y1318* J1318*O1318*E1318*S1318*AD1318*[2]ステータス!$B$2,0)</f>
        <v>3329</v>
      </c>
      <c r="AH1318" s="99">
        <f>ROUND(VLOOKUP(1,enemy_base_stats!$A:$F,3,FALSE) * Z1318*K1318*P1318*F1318*T1318*AE1318 * W1318*[2]ステータス!$C$2,0)</f>
        <v>213</v>
      </c>
      <c r="AI1318" s="99">
        <f>ROUND(VLOOKUP(1,enemy_base_stats!$A:$F,4,FALSE) * AA1318*L1318*Q1318*G1318*U1318*AF1318*[2]ステータス!$D$2,0)</f>
        <v>0</v>
      </c>
      <c r="AJ1318" s="99">
        <f>ROUND(VLOOKUP(100,enemy_base_stats!$A:$F,2,FALSE) * Y1318* J1318*O1318*E1318*S1318*AD1318*[2]ステータス!$B$2,0)</f>
        <v>135169</v>
      </c>
      <c r="AK1318" s="99">
        <f>ROUND(VLOOKUP(100,enemy_base_stats!$A:$F,3,FALSE)* Z1318* K1318*P1318*F1318*T1318*AE1318 * W1318*[2]ステータス!$C$2,0)</f>
        <v>8642</v>
      </c>
      <c r="AL1318" s="99">
        <f>ROUND(VLOOKUP(100,enemy_base_stats!$A:$F,4,FALSE)* AA1318* L1318*Q1318*G1318*U1318*AF1318*[2]ステータス!$D$2,0)</f>
        <v>0</v>
      </c>
      <c r="AM1318" s="97">
        <f>VLOOKUP(M1318,[2]character_tribe_i18n!$A:$I,9,FALSE)</f>
        <v>680</v>
      </c>
      <c r="AN1318" s="36">
        <v>0</v>
      </c>
      <c r="AO1318" s="53">
        <v>0</v>
      </c>
      <c r="AP1318" s="58" t="s">
        <v>72</v>
      </c>
      <c r="AQ1318" s="71">
        <f t="shared" si="71"/>
        <v>1335</v>
      </c>
    </row>
    <row r="1319" spans="1:43" ht="21" customHeight="1" x14ac:dyDescent="0.15">
      <c r="A1319" s="7">
        <v>1336</v>
      </c>
      <c r="B1319" s="6" t="str">
        <f>VLOOKUP(A1319,[2]characters!$A:$C,3,FALSE)</f>
        <v>イザナギ</v>
      </c>
      <c r="C1319" s="9">
        <f>VLOOKUP(A1319,[2]characters!$A:$I,9,FALSE)</f>
        <v>5</v>
      </c>
      <c r="D1319" s="9" t="str">
        <f>VLOOKUP(A1319,[2]characters!$A:$H,8,FALSE)</f>
        <v>blue</v>
      </c>
      <c r="E1319" s="24">
        <f>VLOOKUP(D1319,[2]属性!$A:$E,2,FALSE)</f>
        <v>1</v>
      </c>
      <c r="F1319" s="24">
        <f>VLOOKUP(D1319,[2]属性!$A:$E,3,FALSE)</f>
        <v>0.98</v>
      </c>
      <c r="G1319" s="24">
        <f>VLOOKUP(D1319,[2]属性!$A:$F,4,FALSE)</f>
        <v>1</v>
      </c>
      <c r="H1319" s="9" t="str">
        <f>VLOOKUP(A1319,[2]characters!$A:$K,11,FALSE)</f>
        <v>technical</v>
      </c>
      <c r="I1319" s="14" t="str">
        <f>VLOOKUP(H1319,[2]character_type_i18n!$A:$F,3,FALSE)</f>
        <v>テクニカルタイプ</v>
      </c>
      <c r="J1319" s="36">
        <f>VLOOKUP(H1319,[2]character_type_i18n!$A:$F,4,FALSE)</f>
        <v>0.9</v>
      </c>
      <c r="K1319" s="36">
        <f>VLOOKUP(H1319,[2]character_type_i18n!$A:$F,5,FALSE)</f>
        <v>0.9</v>
      </c>
      <c r="L1319" s="36">
        <f>VLOOKUP(H1319,[2]character_type_i18n!$A:$F,6,FALSE)</f>
        <v>1</v>
      </c>
      <c r="M1319" s="9" t="str">
        <f>VLOOKUP(A1319,[2]characters!$A:$M,13,FALSE)</f>
        <v>god</v>
      </c>
      <c r="N1319" s="14" t="str">
        <f>VLOOKUP(M1319,[2]character_tribe_i18n!$A:$F,3,FALSE)</f>
        <v>ゴッド</v>
      </c>
      <c r="O1319" s="24">
        <f>VLOOKUP(M1319,[2]character_tribe_i18n!$A:$F,4,FALSE)</f>
        <v>0.96</v>
      </c>
      <c r="P1319" s="24">
        <f>VLOOKUP(M1319,[2]character_tribe_i18n!$A:$F,5,FALSE)</f>
        <v>1.02</v>
      </c>
      <c r="Q1319" s="24">
        <f>VLOOKUP(M1319,[2]character_tribe_i18n!$A:$F,6,FALSE)</f>
        <v>1</v>
      </c>
      <c r="R1319" s="25" t="s">
        <v>98</v>
      </c>
      <c r="S1319" s="24">
        <f>VLOOKUP($R1319,ラベル別係数!$A$1:$E$7,3,FALSE)</f>
        <v>5</v>
      </c>
      <c r="T1319" s="24">
        <f>VLOOKUP($R1319,ラベル別係数!$A$1:$E$7,4,FALSE)</f>
        <v>1.3</v>
      </c>
      <c r="U1319" s="24">
        <f>VLOOKUP($R1319,ラベル別係数!$A$1:$E$7,5,FALSE)</f>
        <v>0.8</v>
      </c>
      <c r="V1319" s="27">
        <v>3</v>
      </c>
      <c r="W1319" s="28">
        <f>VLOOKUP(V1319,ターン数別攻撃係数!$A$1:$B$1000,2,FALSE)</f>
        <v>1</v>
      </c>
      <c r="X1319" s="9">
        <f>VLOOKUP(C1319,サイズ別係数!A$2:B$9,2,FALSE)</f>
        <v>60</v>
      </c>
      <c r="Y1319" s="26">
        <f>VLOOKUP($X1319,サイズ別係数!$B:$E,2,FALSE)</f>
        <v>1.7</v>
      </c>
      <c r="Z1319" s="26">
        <f>VLOOKUP($X1319,サイズ別係数!$B:$E,3,FALSE)</f>
        <v>1.4</v>
      </c>
      <c r="AA1319" s="26">
        <f>VLOOKUP($X1319,サイズ別係数!$B:$E,4,FALSE)</f>
        <v>1</v>
      </c>
      <c r="AB1319" s="5">
        <v>0</v>
      </c>
      <c r="AC1319" s="34" t="str">
        <f ca="1">VLOOKUP($AB1319,OFFSET([3]enemy_skill_sets!$B$2,0,0,COUNTA([3]enemy_skill_sets!$A:$A),MATCH(AC$1,[3]enemy_skill_sets!$1:$1,0)-MATCH($AB$1,[3]enemy_skill_sets!$1:$1,0)+1),MATCH(AC$1,[3]enemy_skill_sets!$1:$1,0)-MATCH($AB$1,[3]enemy_skill_sets!$1:$1,0)+1,FALSE)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19" s="67">
        <v>1</v>
      </c>
      <c r="AE1319" s="67">
        <v>1</v>
      </c>
      <c r="AF1319" s="37">
        <v>0</v>
      </c>
      <c r="AG1319" s="99">
        <f>ROUND(VLOOKUP(1,enemy_base_stats!$A:$F,2,FALSE) * Y1319* J1319*O1319*E1319*S1319*AD1319*[2]ステータス!$B$2,0)</f>
        <v>3672</v>
      </c>
      <c r="AH1319" s="99">
        <f>ROUND(VLOOKUP(1,enemy_base_stats!$A:$F,3,FALSE) * Z1319*K1319*P1319*F1319*T1319*AE1319 * W1319*[2]ステータス!$C$2,0)</f>
        <v>246</v>
      </c>
      <c r="AI1319" s="99">
        <f>ROUND(VLOOKUP(1,enemy_base_stats!$A:$F,4,FALSE) * AA1319*L1319*Q1319*G1319*U1319*AF1319*[2]ステータス!$D$2,0)</f>
        <v>0</v>
      </c>
      <c r="AJ1319" s="99">
        <f>ROUND(VLOOKUP(100,enemy_base_stats!$A:$F,2,FALSE) * Y1319* J1319*O1319*E1319*S1319*AD1319*[2]ステータス!$B$2,0)</f>
        <v>149083</v>
      </c>
      <c r="AK1319" s="99">
        <f>ROUND(VLOOKUP(100,enemy_base_stats!$A:$F,3,FALSE)* Z1319* K1319*P1319*F1319*T1319*AE1319 * W1319*[2]ステータス!$C$2,0)</f>
        <v>9971</v>
      </c>
      <c r="AL1319" s="99">
        <f>ROUND(VLOOKUP(100,enemy_base_stats!$A:$F,4,FALSE)* AA1319* L1319*Q1319*G1319*U1319*AF1319*[2]ステータス!$D$2,0)</f>
        <v>0</v>
      </c>
      <c r="AM1319" s="97">
        <f>VLOOKUP(M1319,[2]character_tribe_i18n!$A:$I,9,FALSE)</f>
        <v>680</v>
      </c>
      <c r="AN1319" s="36">
        <v>0</v>
      </c>
      <c r="AO1319" s="53">
        <v>0</v>
      </c>
      <c r="AP1319" s="58" t="s">
        <v>72</v>
      </c>
      <c r="AQ1319" s="71">
        <f t="shared" si="71"/>
        <v>1336</v>
      </c>
    </row>
    <row r="1320" spans="1:43" ht="21" customHeight="1" x14ac:dyDescent="0.15">
      <c r="A1320" s="7">
        <v>1337</v>
      </c>
      <c r="B1320" s="6" t="str">
        <f>VLOOKUP(A1320,[2]characters!$A:$C,3,FALSE)</f>
        <v>成命の綜父神 イザナギ</v>
      </c>
      <c r="C1320" s="9">
        <f>VLOOKUP(A1320,[2]characters!$A:$I,9,FALSE)</f>
        <v>6</v>
      </c>
      <c r="D1320" s="9" t="str">
        <f>VLOOKUP(A1320,[2]characters!$A:$H,8,FALSE)</f>
        <v>blue</v>
      </c>
      <c r="E1320" s="24">
        <f>VLOOKUP(D1320,[2]属性!$A:$E,2,FALSE)</f>
        <v>1</v>
      </c>
      <c r="F1320" s="24">
        <f>VLOOKUP(D1320,[2]属性!$A:$E,3,FALSE)</f>
        <v>0.98</v>
      </c>
      <c r="G1320" s="24">
        <f>VLOOKUP(D1320,[2]属性!$A:$F,4,FALSE)</f>
        <v>1</v>
      </c>
      <c r="H1320" s="9" t="str">
        <f>VLOOKUP(A1320,[2]characters!$A:$K,11,FALSE)</f>
        <v>technical</v>
      </c>
      <c r="I1320" s="14" t="str">
        <f>VLOOKUP(H1320,[2]character_type_i18n!$A:$F,3,FALSE)</f>
        <v>テクニカルタイプ</v>
      </c>
      <c r="J1320" s="36">
        <f>VLOOKUP(H1320,[2]character_type_i18n!$A:$F,4,FALSE)</f>
        <v>0.9</v>
      </c>
      <c r="K1320" s="36">
        <f>VLOOKUP(H1320,[2]character_type_i18n!$A:$F,5,FALSE)</f>
        <v>0.9</v>
      </c>
      <c r="L1320" s="36">
        <f>VLOOKUP(H1320,[2]character_type_i18n!$A:$F,6,FALSE)</f>
        <v>1</v>
      </c>
      <c r="M1320" s="9" t="str">
        <f>VLOOKUP(A1320,[2]characters!$A:$M,13,FALSE)</f>
        <v>god</v>
      </c>
      <c r="N1320" s="14" t="str">
        <f>VLOOKUP(M1320,[2]character_tribe_i18n!$A:$F,3,FALSE)</f>
        <v>ゴッド</v>
      </c>
      <c r="O1320" s="24">
        <f>VLOOKUP(M1320,[2]character_tribe_i18n!$A:$F,4,FALSE)</f>
        <v>0.96</v>
      </c>
      <c r="P1320" s="24">
        <f>VLOOKUP(M1320,[2]character_tribe_i18n!$A:$F,5,FALSE)</f>
        <v>1.02</v>
      </c>
      <c r="Q1320" s="24">
        <f>VLOOKUP(M1320,[2]character_tribe_i18n!$A:$F,6,FALSE)</f>
        <v>1</v>
      </c>
      <c r="R1320" s="25" t="s">
        <v>98</v>
      </c>
      <c r="S1320" s="24">
        <f>VLOOKUP($R1320,ラベル別係数!$A$1:$E$7,3,FALSE)</f>
        <v>5</v>
      </c>
      <c r="T1320" s="24">
        <f>VLOOKUP($R1320,ラベル別係数!$A$1:$E$7,4,FALSE)</f>
        <v>1.3</v>
      </c>
      <c r="U1320" s="24">
        <f>VLOOKUP($R1320,ラベル別係数!$A$1:$E$7,5,FALSE)</f>
        <v>0.8</v>
      </c>
      <c r="V1320" s="27">
        <v>3</v>
      </c>
      <c r="W1320" s="28">
        <f>VLOOKUP(V1320,ターン数別攻撃係数!$A$1:$B$1000,2,FALSE)</f>
        <v>1</v>
      </c>
      <c r="X1320" s="9">
        <f>VLOOKUP(C1320,サイズ別係数!A$2:B$9,2,FALSE)</f>
        <v>60</v>
      </c>
      <c r="Y1320" s="26">
        <f>VLOOKUP($X1320,サイズ別係数!$B:$E,2,FALSE)</f>
        <v>1.7</v>
      </c>
      <c r="Z1320" s="26">
        <f>VLOOKUP($X1320,サイズ別係数!$B:$E,3,FALSE)</f>
        <v>1.4</v>
      </c>
      <c r="AA1320" s="26">
        <f>VLOOKUP($X1320,サイズ別係数!$B:$E,4,FALSE)</f>
        <v>1</v>
      </c>
      <c r="AB1320" s="5">
        <v>0</v>
      </c>
      <c r="AC1320" s="34" t="str">
        <f ca="1">VLOOKUP($AB1320,OFFSET([3]enemy_skill_sets!$B$2,0,0,COUNTA([3]enemy_skill_sets!$A:$A),MATCH(AC$1,[3]enemy_skill_sets!$1:$1,0)-MATCH($AB$1,[3]enemy_skill_sets!$1:$1,0)+1),MATCH(AC$1,[3]enemy_skill_sets!$1:$1,0)-MATCH($AB$1,[3]enemy_skill_sets!$1:$1,0)+1,FALSE)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0" s="67">
        <v>1</v>
      </c>
      <c r="AE1320" s="67">
        <v>1</v>
      </c>
      <c r="AF1320" s="37">
        <v>0</v>
      </c>
      <c r="AG1320" s="99">
        <f>ROUND(VLOOKUP(1,enemy_base_stats!$A:$F,2,FALSE) * Y1320* J1320*O1320*E1320*S1320*AD1320*[2]ステータス!$B$2,0)</f>
        <v>3672</v>
      </c>
      <c r="AH1320" s="99">
        <f>ROUND(VLOOKUP(1,enemy_base_stats!$A:$F,3,FALSE) * Z1320*K1320*P1320*F1320*T1320*AE1320 * W1320*[2]ステータス!$C$2,0)</f>
        <v>246</v>
      </c>
      <c r="AI1320" s="99">
        <f>ROUND(VLOOKUP(1,enemy_base_stats!$A:$F,4,FALSE) * AA1320*L1320*Q1320*G1320*U1320*AF1320*[2]ステータス!$D$2,0)</f>
        <v>0</v>
      </c>
      <c r="AJ1320" s="99">
        <f>ROUND(VLOOKUP(100,enemy_base_stats!$A:$F,2,FALSE) * Y1320* J1320*O1320*E1320*S1320*AD1320*[2]ステータス!$B$2,0)</f>
        <v>149083</v>
      </c>
      <c r="AK1320" s="99">
        <f>ROUND(VLOOKUP(100,enemy_base_stats!$A:$F,3,FALSE)* Z1320* K1320*P1320*F1320*T1320*AE1320 * W1320*[2]ステータス!$C$2,0)</f>
        <v>9971</v>
      </c>
      <c r="AL1320" s="99">
        <f>ROUND(VLOOKUP(100,enemy_base_stats!$A:$F,4,FALSE)* AA1320* L1320*Q1320*G1320*U1320*AF1320*[2]ステータス!$D$2,0)</f>
        <v>0</v>
      </c>
      <c r="AM1320" s="97">
        <f>VLOOKUP(M1320,[2]character_tribe_i18n!$A:$I,9,FALSE)</f>
        <v>680</v>
      </c>
      <c r="AN1320" s="36">
        <v>0</v>
      </c>
      <c r="AO1320" s="53">
        <v>0</v>
      </c>
      <c r="AP1320" s="58" t="s">
        <v>72</v>
      </c>
      <c r="AQ1320" s="71">
        <f t="shared" si="71"/>
        <v>1337</v>
      </c>
    </row>
    <row r="1321" spans="1:43" ht="21" customHeight="1" x14ac:dyDescent="0.15">
      <c r="A1321" s="7">
        <v>1338</v>
      </c>
      <c r="B1321" s="6" t="str">
        <f>VLOOKUP(A1321,[2]characters!$A:$C,3,FALSE)</f>
        <v>アメノウズメ</v>
      </c>
      <c r="C1321" s="9">
        <f>VLOOKUP(A1321,[2]characters!$A:$I,9,FALSE)</f>
        <v>5</v>
      </c>
      <c r="D1321" s="9" t="str">
        <f>VLOOKUP(A1321,[2]characters!$A:$H,8,FALSE)</f>
        <v>yellow</v>
      </c>
      <c r="E1321" s="24">
        <f>VLOOKUP(D1321,[2]属性!$A:$E,2,FALSE)</f>
        <v>0.98</v>
      </c>
      <c r="F1321" s="24">
        <f>VLOOKUP(D1321,[2]属性!$A:$E,3,FALSE)</f>
        <v>1.01</v>
      </c>
      <c r="G1321" s="24">
        <f>VLOOKUP(D1321,[2]属性!$A:$F,4,FALSE)</f>
        <v>1</v>
      </c>
      <c r="H1321" s="9" t="str">
        <f>VLOOKUP(A1321,[2]characters!$A:$K,11,FALSE)</f>
        <v>attack</v>
      </c>
      <c r="I1321" s="14" t="str">
        <f>VLOOKUP(H1321,[2]character_type_i18n!$A:$F,3,FALSE)</f>
        <v>攻撃タイプ</v>
      </c>
      <c r="J1321" s="36">
        <f>VLOOKUP(H1321,[2]character_type_i18n!$A:$F,4,FALSE)</f>
        <v>1</v>
      </c>
      <c r="K1321" s="36">
        <f>VLOOKUP(H1321,[2]character_type_i18n!$A:$F,5,FALSE)</f>
        <v>1.33</v>
      </c>
      <c r="L1321" s="36">
        <f>VLOOKUP(H1321,[2]character_type_i18n!$A:$F,6,FALSE)</f>
        <v>1</v>
      </c>
      <c r="M1321" s="9" t="str">
        <f>VLOOKUP(A1321,[2]characters!$A:$M,13,FALSE)</f>
        <v>god</v>
      </c>
      <c r="N1321" s="14" t="str">
        <f>VLOOKUP(M1321,[2]character_tribe_i18n!$A:$F,3,FALSE)</f>
        <v>ゴッド</v>
      </c>
      <c r="O1321" s="24">
        <f>VLOOKUP(M1321,[2]character_tribe_i18n!$A:$F,4,FALSE)</f>
        <v>0.96</v>
      </c>
      <c r="P1321" s="24">
        <f>VLOOKUP(M1321,[2]character_tribe_i18n!$A:$F,5,FALSE)</f>
        <v>1.02</v>
      </c>
      <c r="Q1321" s="24">
        <f>VLOOKUP(M1321,[2]character_tribe_i18n!$A:$F,6,FALSE)</f>
        <v>1</v>
      </c>
      <c r="R1321" s="25" t="s">
        <v>98</v>
      </c>
      <c r="S1321" s="24">
        <f>VLOOKUP($R1321,ラベル別係数!$A$1:$E$7,3,FALSE)</f>
        <v>5</v>
      </c>
      <c r="T1321" s="24">
        <f>VLOOKUP($R1321,ラベル別係数!$A$1:$E$7,4,FALSE)</f>
        <v>1.3</v>
      </c>
      <c r="U1321" s="24">
        <f>VLOOKUP($R1321,ラベル別係数!$A$1:$E$7,5,FALSE)</f>
        <v>0.8</v>
      </c>
      <c r="V1321" s="27">
        <v>3</v>
      </c>
      <c r="W1321" s="28">
        <f>VLOOKUP(V1321,ターン数別攻撃係数!$A$1:$B$1000,2,FALSE)</f>
        <v>1</v>
      </c>
      <c r="X1321" s="9">
        <f>VLOOKUP(C1321,サイズ別係数!A$2:B$9,2,FALSE)</f>
        <v>60</v>
      </c>
      <c r="Y1321" s="26">
        <f>VLOOKUP($X1321,サイズ別係数!$B:$E,2,FALSE)</f>
        <v>1.7</v>
      </c>
      <c r="Z1321" s="26">
        <f>VLOOKUP($X1321,サイズ別係数!$B:$E,3,FALSE)</f>
        <v>1.4</v>
      </c>
      <c r="AA1321" s="26">
        <f>VLOOKUP($X1321,サイズ別係数!$B:$E,4,FALSE)</f>
        <v>1</v>
      </c>
      <c r="AB1321" s="5">
        <v>0</v>
      </c>
      <c r="AC1321" s="34" t="str">
        <f ca="1">VLOOKUP($AB1321,OFFSET([3]enemy_skill_sets!$B$2,0,0,COUNTA([3]enemy_skill_sets!$A:$A),MATCH(AC$1,[3]enemy_skill_sets!$1:$1,0)-MATCH($AB$1,[3]enemy_skill_sets!$1:$1,0)+1),MATCH(AC$1,[3]enemy_skill_sets!$1:$1,0)-MATCH($AB$1,[3]enemy_skill_sets!$1:$1,0)+1,FALSE)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1" s="67">
        <v>1</v>
      </c>
      <c r="AE1321" s="67">
        <v>1</v>
      </c>
      <c r="AF1321" s="37">
        <v>0</v>
      </c>
      <c r="AG1321" s="99">
        <f>ROUND(VLOOKUP(1,enemy_base_stats!$A:$F,2,FALSE) * Y1321* J1321*O1321*E1321*S1321*AD1321*[2]ステータス!$B$2,0)</f>
        <v>3998</v>
      </c>
      <c r="AH1321" s="99">
        <f>ROUND(VLOOKUP(1,enemy_base_stats!$A:$F,3,FALSE) * Z1321*K1321*P1321*F1321*T1321*AE1321 * W1321*[2]ステータス!$C$2,0)</f>
        <v>374</v>
      </c>
      <c r="AI1321" s="99">
        <f>ROUND(VLOOKUP(1,enemy_base_stats!$A:$F,4,FALSE) * AA1321*L1321*Q1321*G1321*U1321*AF1321*[2]ステータス!$D$2,0)</f>
        <v>0</v>
      </c>
      <c r="AJ1321" s="99">
        <f>ROUND(VLOOKUP(100,enemy_base_stats!$A:$F,2,FALSE) * Y1321* J1321*O1321*E1321*S1321*AD1321*[2]ステータス!$B$2,0)</f>
        <v>162335</v>
      </c>
      <c r="AK1321" s="99">
        <f>ROUND(VLOOKUP(100,enemy_base_stats!$A:$F,3,FALSE)* Z1321* K1321*P1321*F1321*T1321*AE1321 * W1321*[2]ステータス!$C$2,0)</f>
        <v>15187</v>
      </c>
      <c r="AL1321" s="99">
        <f>ROUND(VLOOKUP(100,enemy_base_stats!$A:$F,4,FALSE)* AA1321* L1321*Q1321*G1321*U1321*AF1321*[2]ステータス!$D$2,0)</f>
        <v>0</v>
      </c>
      <c r="AM1321" s="97">
        <f>VLOOKUP(M1321,[2]character_tribe_i18n!$A:$I,9,FALSE)</f>
        <v>680</v>
      </c>
      <c r="AN1321" s="36">
        <v>0</v>
      </c>
      <c r="AO1321" s="53">
        <v>0</v>
      </c>
      <c r="AP1321" s="58" t="s">
        <v>72</v>
      </c>
      <c r="AQ1321" s="71">
        <f t="shared" si="71"/>
        <v>1338</v>
      </c>
    </row>
    <row r="1322" spans="1:43" ht="21" customHeight="1" x14ac:dyDescent="0.15">
      <c r="A1322" s="7">
        <v>1339</v>
      </c>
      <c r="B1322" s="6" t="str">
        <f>VLOOKUP(A1322,[2]characters!$A:$C,3,FALSE)</f>
        <v>復古の舞芸神 アメノウズメ</v>
      </c>
      <c r="C1322" s="9">
        <f>VLOOKUP(A1322,[2]characters!$A:$I,9,FALSE)</f>
        <v>6</v>
      </c>
      <c r="D1322" s="9" t="str">
        <f>VLOOKUP(A1322,[2]characters!$A:$H,8,FALSE)</f>
        <v>yellow</v>
      </c>
      <c r="E1322" s="24">
        <f>VLOOKUP(D1322,[2]属性!$A:$E,2,FALSE)</f>
        <v>0.98</v>
      </c>
      <c r="F1322" s="24">
        <f>VLOOKUP(D1322,[2]属性!$A:$E,3,FALSE)</f>
        <v>1.01</v>
      </c>
      <c r="G1322" s="24">
        <f>VLOOKUP(D1322,[2]属性!$A:$F,4,FALSE)</f>
        <v>1</v>
      </c>
      <c r="H1322" s="9" t="str">
        <f>VLOOKUP(A1322,[2]characters!$A:$K,11,FALSE)</f>
        <v>attack</v>
      </c>
      <c r="I1322" s="14" t="str">
        <f>VLOOKUP(H1322,[2]character_type_i18n!$A:$F,3,FALSE)</f>
        <v>攻撃タイプ</v>
      </c>
      <c r="J1322" s="36">
        <f>VLOOKUP(H1322,[2]character_type_i18n!$A:$F,4,FALSE)</f>
        <v>1</v>
      </c>
      <c r="K1322" s="36">
        <f>VLOOKUP(H1322,[2]character_type_i18n!$A:$F,5,FALSE)</f>
        <v>1.33</v>
      </c>
      <c r="L1322" s="36">
        <f>VLOOKUP(H1322,[2]character_type_i18n!$A:$F,6,FALSE)</f>
        <v>1</v>
      </c>
      <c r="M1322" s="9" t="str">
        <f>VLOOKUP(A1322,[2]characters!$A:$M,13,FALSE)</f>
        <v>god</v>
      </c>
      <c r="N1322" s="14" t="str">
        <f>VLOOKUP(M1322,[2]character_tribe_i18n!$A:$F,3,FALSE)</f>
        <v>ゴッド</v>
      </c>
      <c r="O1322" s="24">
        <f>VLOOKUP(M1322,[2]character_tribe_i18n!$A:$F,4,FALSE)</f>
        <v>0.96</v>
      </c>
      <c r="P1322" s="24">
        <f>VLOOKUP(M1322,[2]character_tribe_i18n!$A:$F,5,FALSE)</f>
        <v>1.02</v>
      </c>
      <c r="Q1322" s="24">
        <f>VLOOKUP(M1322,[2]character_tribe_i18n!$A:$F,6,FALSE)</f>
        <v>1</v>
      </c>
      <c r="R1322" s="25" t="s">
        <v>98</v>
      </c>
      <c r="S1322" s="24">
        <f>VLOOKUP($R1322,ラベル別係数!$A$1:$E$7,3,FALSE)</f>
        <v>5</v>
      </c>
      <c r="T1322" s="24">
        <f>VLOOKUP($R1322,ラベル別係数!$A$1:$E$7,4,FALSE)</f>
        <v>1.3</v>
      </c>
      <c r="U1322" s="24">
        <f>VLOOKUP($R1322,ラベル別係数!$A$1:$E$7,5,FALSE)</f>
        <v>0.8</v>
      </c>
      <c r="V1322" s="27">
        <v>3</v>
      </c>
      <c r="W1322" s="28">
        <f>VLOOKUP(V1322,ターン数別攻撃係数!$A$1:$B$1000,2,FALSE)</f>
        <v>1</v>
      </c>
      <c r="X1322" s="9">
        <f>VLOOKUP(C1322,サイズ別係数!A$2:B$9,2,FALSE)</f>
        <v>60</v>
      </c>
      <c r="Y1322" s="26">
        <f>VLOOKUP($X1322,サイズ別係数!$B:$E,2,FALSE)</f>
        <v>1.7</v>
      </c>
      <c r="Z1322" s="26">
        <f>VLOOKUP($X1322,サイズ別係数!$B:$E,3,FALSE)</f>
        <v>1.4</v>
      </c>
      <c r="AA1322" s="26">
        <f>VLOOKUP($X1322,サイズ別係数!$B:$E,4,FALSE)</f>
        <v>1</v>
      </c>
      <c r="AB1322" s="5">
        <v>0</v>
      </c>
      <c r="AC1322" s="34" t="str">
        <f ca="1">VLOOKUP($AB1322,OFFSET([3]enemy_skill_sets!$B$2,0,0,COUNTA([3]enemy_skill_sets!$A:$A),MATCH(AC$1,[3]enemy_skill_sets!$1:$1,0)-MATCH($AB$1,[3]enemy_skill_sets!$1:$1,0)+1),MATCH(AC$1,[3]enemy_skill_sets!$1:$1,0)-MATCH($AB$1,[3]enemy_skill_sets!$1:$1,0)+1,FALSE)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2" s="67">
        <v>1</v>
      </c>
      <c r="AE1322" s="67">
        <v>1</v>
      </c>
      <c r="AF1322" s="37">
        <v>0</v>
      </c>
      <c r="AG1322" s="99">
        <f>ROUND(VLOOKUP(1,enemy_base_stats!$A:$F,2,FALSE) * Y1322* J1322*O1322*E1322*S1322*AD1322*[2]ステータス!$B$2,0)</f>
        <v>3998</v>
      </c>
      <c r="AH1322" s="99">
        <f>ROUND(VLOOKUP(1,enemy_base_stats!$A:$F,3,FALSE) * Z1322*K1322*P1322*F1322*T1322*AE1322 * W1322*[2]ステータス!$C$2,0)</f>
        <v>374</v>
      </c>
      <c r="AI1322" s="99">
        <f>ROUND(VLOOKUP(1,enemy_base_stats!$A:$F,4,FALSE) * AA1322*L1322*Q1322*G1322*U1322*AF1322*[2]ステータス!$D$2,0)</f>
        <v>0</v>
      </c>
      <c r="AJ1322" s="99">
        <f>ROUND(VLOOKUP(100,enemy_base_stats!$A:$F,2,FALSE) * Y1322* J1322*O1322*E1322*S1322*AD1322*[2]ステータス!$B$2,0)</f>
        <v>162335</v>
      </c>
      <c r="AK1322" s="99">
        <f>ROUND(VLOOKUP(100,enemy_base_stats!$A:$F,3,FALSE)* Z1322* K1322*P1322*F1322*T1322*AE1322 * W1322*[2]ステータス!$C$2,0)</f>
        <v>15187</v>
      </c>
      <c r="AL1322" s="99">
        <f>ROUND(VLOOKUP(100,enemy_base_stats!$A:$F,4,FALSE)* AA1322* L1322*Q1322*G1322*U1322*AF1322*[2]ステータス!$D$2,0)</f>
        <v>0</v>
      </c>
      <c r="AM1322" s="97">
        <f>VLOOKUP(M1322,[2]character_tribe_i18n!$A:$I,9,FALSE)</f>
        <v>680</v>
      </c>
      <c r="AN1322" s="36">
        <v>0</v>
      </c>
      <c r="AO1322" s="53">
        <v>0</v>
      </c>
      <c r="AP1322" s="58" t="s">
        <v>72</v>
      </c>
      <c r="AQ1322" s="71">
        <f t="shared" ref="AQ1322" si="72">A1322</f>
        <v>1339</v>
      </c>
    </row>
    <row r="1323" spans="1:43" ht="21" customHeight="1" x14ac:dyDescent="0.15">
      <c r="A1323" s="7">
        <v>1342</v>
      </c>
      <c r="B1323" s="6" t="str">
        <f>VLOOKUP(A1323,[2]characters!$A:$C,3,FALSE)</f>
        <v>ヘルレイザー</v>
      </c>
      <c r="C1323" s="9">
        <f>VLOOKUP(A1323,[2]characters!$A:$I,9,FALSE)</f>
        <v>5</v>
      </c>
      <c r="D1323" s="9" t="str">
        <f>VLOOKUP(A1323,[2]characters!$A:$H,8,FALSE)</f>
        <v>red</v>
      </c>
      <c r="E1323" s="24">
        <f>VLOOKUP(D1323,[2]属性!$A:$E,2,FALSE)</f>
        <v>1</v>
      </c>
      <c r="F1323" s="24">
        <f>VLOOKUP(D1323,[2]属性!$A:$E,3,FALSE)</f>
        <v>1.02</v>
      </c>
      <c r="G1323" s="24">
        <f>VLOOKUP(D1323,[2]属性!$A:$F,4,FALSE)</f>
        <v>1</v>
      </c>
      <c r="H1323" s="9" t="str">
        <f>VLOOKUP(A1323,[2]characters!$A:$K,11,FALSE)</f>
        <v>technical</v>
      </c>
      <c r="I1323" s="14" t="str">
        <f>VLOOKUP(H1323,[2]character_type_i18n!$A:$F,3,FALSE)</f>
        <v>テクニカルタイプ</v>
      </c>
      <c r="J1323" s="36">
        <f>VLOOKUP(H1323,[2]character_type_i18n!$A:$F,4,FALSE)</f>
        <v>0.9</v>
      </c>
      <c r="K1323" s="36">
        <f>VLOOKUP(H1323,[2]character_type_i18n!$A:$F,5,FALSE)</f>
        <v>0.9</v>
      </c>
      <c r="L1323" s="36">
        <f>VLOOKUP(H1323,[2]character_type_i18n!$A:$F,6,FALSE)</f>
        <v>1</v>
      </c>
      <c r="M1323" s="9" t="str">
        <f>VLOOKUP(A1323,[2]characters!$A:$M,13,FALSE)</f>
        <v>machine</v>
      </c>
      <c r="N1323" s="14" t="str">
        <f>VLOOKUP(M1323,[2]character_tribe_i18n!$A:$F,3,FALSE)</f>
        <v>マシン</v>
      </c>
      <c r="O1323" s="24">
        <f>VLOOKUP(M1323,[2]character_tribe_i18n!$A:$F,4,FALSE)</f>
        <v>1</v>
      </c>
      <c r="P1323" s="24">
        <f>VLOOKUP(M1323,[2]character_tribe_i18n!$A:$F,5,FALSE)</f>
        <v>1</v>
      </c>
      <c r="Q1323" s="24">
        <f>VLOOKUP(M1323,[2]character_tribe_i18n!$A:$F,6,FALSE)</f>
        <v>1</v>
      </c>
      <c r="R1323" s="25" t="s">
        <v>98</v>
      </c>
      <c r="S1323" s="24">
        <f>VLOOKUP($R1323,ラベル別係数!$A$1:$E$7,3,FALSE)</f>
        <v>5</v>
      </c>
      <c r="T1323" s="24">
        <f>VLOOKUP($R1323,ラベル別係数!$A$1:$E$7,4,FALSE)</f>
        <v>1.3</v>
      </c>
      <c r="U1323" s="24">
        <f>VLOOKUP($R1323,ラベル別係数!$A$1:$E$7,5,FALSE)</f>
        <v>0.8</v>
      </c>
      <c r="V1323" s="27">
        <v>3</v>
      </c>
      <c r="W1323" s="28">
        <f>VLOOKUP(V1323,ターン数別攻撃係数!$A$1:$B$1000,2,FALSE)</f>
        <v>1</v>
      </c>
      <c r="X1323" s="9">
        <f>VLOOKUP(C1323,サイズ別係数!A$2:B$9,2,FALSE)</f>
        <v>60</v>
      </c>
      <c r="Y1323" s="26">
        <f>VLOOKUP($X1323,サイズ別係数!$B:$E,2,FALSE)</f>
        <v>1.7</v>
      </c>
      <c r="Z1323" s="26">
        <f>VLOOKUP($X1323,サイズ別係数!$B:$E,3,FALSE)</f>
        <v>1.4</v>
      </c>
      <c r="AA1323" s="26">
        <f>VLOOKUP($X1323,サイズ別係数!$B:$E,4,FALSE)</f>
        <v>1</v>
      </c>
      <c r="AB1323" s="5">
        <v>0</v>
      </c>
      <c r="AC1323" s="34" t="str">
        <f ca="1">VLOOKUP($AB1323,OFFSET([3]enemy_skill_sets!$B$2,0,0,COUNTA([3]enemy_skill_sets!$A:$A),MATCH(AC$1,[3]enemy_skill_sets!$1:$1,0)-MATCH($AB$1,[3]enemy_skill_sets!$1:$1,0)+1),MATCH(AC$1,[3]enemy_skill_sets!$1:$1,0)-MATCH($AB$1,[3]enemy_skill_sets!$1:$1,0)+1,FALSE)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3" s="67">
        <v>1</v>
      </c>
      <c r="AE1323" s="67">
        <v>1</v>
      </c>
      <c r="AF1323" s="37">
        <v>0</v>
      </c>
      <c r="AG1323" s="99">
        <f>ROUND(VLOOKUP(1,enemy_base_stats!$A:$F,2,FALSE) * Y1323* J1323*O1323*E1323*S1323*AD1323*[2]ステータス!$B$2,0)</f>
        <v>3825</v>
      </c>
      <c r="AH1323" s="99">
        <f>ROUND(VLOOKUP(1,enemy_base_stats!$A:$F,3,FALSE) * Z1323*K1323*P1323*F1323*T1323*AE1323 * W1323*[2]ステータス!$C$2,0)</f>
        <v>251</v>
      </c>
      <c r="AI1323" s="99">
        <f>ROUND(VLOOKUP(1,enemy_base_stats!$A:$F,4,FALSE) * AA1323*L1323*Q1323*G1323*U1323*AF1323*[2]ステータス!$D$2,0)</f>
        <v>0</v>
      </c>
      <c r="AJ1323" s="99">
        <f>ROUND(VLOOKUP(100,enemy_base_stats!$A:$F,2,FALSE) * Y1323* J1323*O1323*E1323*S1323*AD1323*[2]ステータス!$B$2,0)</f>
        <v>155295</v>
      </c>
      <c r="AK1323" s="99">
        <f>ROUND(VLOOKUP(100,enemy_base_stats!$A:$F,3,FALSE)* Z1323* K1323*P1323*F1323*T1323*AE1323 * W1323*[2]ステータス!$C$2,0)</f>
        <v>10175</v>
      </c>
      <c r="AL1323" s="99">
        <f>ROUND(VLOOKUP(100,enemy_base_stats!$A:$F,4,FALSE)* AA1323* L1323*Q1323*G1323*U1323*AF1323*[2]ステータス!$D$2,0)</f>
        <v>0</v>
      </c>
      <c r="AM1323" s="97">
        <f>VLOOKUP(M1323,[2]character_tribe_i18n!$A:$I,9,FALSE)</f>
        <v>520</v>
      </c>
      <c r="AN1323" s="36">
        <v>0</v>
      </c>
      <c r="AO1323" s="53">
        <v>0</v>
      </c>
      <c r="AP1323" s="58" t="s">
        <v>72</v>
      </c>
      <c r="AQ1323" s="71">
        <f t="shared" ref="AQ1323:AQ1324" si="73">A1323</f>
        <v>1342</v>
      </c>
    </row>
    <row r="1324" spans="1:43" ht="21" customHeight="1" x14ac:dyDescent="0.15">
      <c r="A1324" s="7">
        <v>1343</v>
      </c>
      <c r="B1324" s="6" t="str">
        <f>VLOOKUP(A1324,[2]characters!$A:$C,3,FALSE)</f>
        <v>処命する凶掌 ヘルレイザー</v>
      </c>
      <c r="C1324" s="9">
        <f>VLOOKUP(A1324,[2]characters!$A:$I,9,FALSE)</f>
        <v>6</v>
      </c>
      <c r="D1324" s="9" t="str">
        <f>VLOOKUP(A1324,[2]characters!$A:$H,8,FALSE)</f>
        <v>red</v>
      </c>
      <c r="E1324" s="24">
        <f>VLOOKUP(D1324,[2]属性!$A:$E,2,FALSE)</f>
        <v>1</v>
      </c>
      <c r="F1324" s="24">
        <f>VLOOKUP(D1324,[2]属性!$A:$E,3,FALSE)</f>
        <v>1.02</v>
      </c>
      <c r="G1324" s="24">
        <f>VLOOKUP(D1324,[2]属性!$A:$F,4,FALSE)</f>
        <v>1</v>
      </c>
      <c r="H1324" s="9" t="str">
        <f>VLOOKUP(A1324,[2]characters!$A:$K,11,FALSE)</f>
        <v>technical</v>
      </c>
      <c r="I1324" s="14" t="str">
        <f>VLOOKUP(H1324,[2]character_type_i18n!$A:$F,3,FALSE)</f>
        <v>テクニカルタイプ</v>
      </c>
      <c r="J1324" s="36">
        <f>VLOOKUP(H1324,[2]character_type_i18n!$A:$F,4,FALSE)</f>
        <v>0.9</v>
      </c>
      <c r="K1324" s="36">
        <f>VLOOKUP(H1324,[2]character_type_i18n!$A:$F,5,FALSE)</f>
        <v>0.9</v>
      </c>
      <c r="L1324" s="36">
        <f>VLOOKUP(H1324,[2]character_type_i18n!$A:$F,6,FALSE)</f>
        <v>1</v>
      </c>
      <c r="M1324" s="9" t="str">
        <f>VLOOKUP(A1324,[2]characters!$A:$M,13,FALSE)</f>
        <v>machine</v>
      </c>
      <c r="N1324" s="14" t="str">
        <f>VLOOKUP(M1324,[2]character_tribe_i18n!$A:$F,3,FALSE)</f>
        <v>マシン</v>
      </c>
      <c r="O1324" s="24">
        <f>VLOOKUP(M1324,[2]character_tribe_i18n!$A:$F,4,FALSE)</f>
        <v>1</v>
      </c>
      <c r="P1324" s="24">
        <f>VLOOKUP(M1324,[2]character_tribe_i18n!$A:$F,5,FALSE)</f>
        <v>1</v>
      </c>
      <c r="Q1324" s="24">
        <f>VLOOKUP(M1324,[2]character_tribe_i18n!$A:$F,6,FALSE)</f>
        <v>1</v>
      </c>
      <c r="R1324" s="25" t="s">
        <v>98</v>
      </c>
      <c r="S1324" s="24">
        <f>VLOOKUP($R1324,ラベル別係数!$A$1:$E$7,3,FALSE)</f>
        <v>5</v>
      </c>
      <c r="T1324" s="24">
        <f>VLOOKUP($R1324,ラベル別係数!$A$1:$E$7,4,FALSE)</f>
        <v>1.3</v>
      </c>
      <c r="U1324" s="24">
        <f>VLOOKUP($R1324,ラベル別係数!$A$1:$E$7,5,FALSE)</f>
        <v>0.8</v>
      </c>
      <c r="V1324" s="27">
        <v>3</v>
      </c>
      <c r="W1324" s="28">
        <f>VLOOKUP(V1324,ターン数別攻撃係数!$A$1:$B$1000,2,FALSE)</f>
        <v>1</v>
      </c>
      <c r="X1324" s="9">
        <f>VLOOKUP(C1324,サイズ別係数!A$2:B$9,2,FALSE)</f>
        <v>60</v>
      </c>
      <c r="Y1324" s="26">
        <f>VLOOKUP($X1324,サイズ別係数!$B:$E,2,FALSE)</f>
        <v>1.7</v>
      </c>
      <c r="Z1324" s="26">
        <f>VLOOKUP($X1324,サイズ別係数!$B:$E,3,FALSE)</f>
        <v>1.4</v>
      </c>
      <c r="AA1324" s="26">
        <f>VLOOKUP($X1324,サイズ別係数!$B:$E,4,FALSE)</f>
        <v>1</v>
      </c>
      <c r="AB1324" s="5">
        <v>0</v>
      </c>
      <c r="AC1324" s="34" t="str">
        <f ca="1">VLOOKUP($AB1324,OFFSET([3]enemy_skill_sets!$B$2,0,0,COUNTA([3]enemy_skill_sets!$A:$A),MATCH(AC$1,[3]enemy_skill_sets!$1:$1,0)-MATCH($AB$1,[3]enemy_skill_sets!$1:$1,0)+1),MATCH(AC$1,[3]enemy_skill_sets!$1:$1,0)-MATCH($AB$1,[3]enemy_skill_sets!$1:$1,0)+1,FALSE)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4" s="67">
        <v>1</v>
      </c>
      <c r="AE1324" s="67">
        <v>1</v>
      </c>
      <c r="AF1324" s="37">
        <v>0</v>
      </c>
      <c r="AG1324" s="99">
        <f>ROUND(VLOOKUP(1,enemy_base_stats!$A:$F,2,FALSE) * Y1324* J1324*O1324*E1324*S1324*AD1324*[2]ステータス!$B$2,0)</f>
        <v>3825</v>
      </c>
      <c r="AH1324" s="99">
        <f>ROUND(VLOOKUP(1,enemy_base_stats!$A:$F,3,FALSE) * Z1324*K1324*P1324*F1324*T1324*AE1324 * W1324*[2]ステータス!$C$2,0)</f>
        <v>251</v>
      </c>
      <c r="AI1324" s="99">
        <f>ROUND(VLOOKUP(1,enemy_base_stats!$A:$F,4,FALSE) * AA1324*L1324*Q1324*G1324*U1324*AF1324*[2]ステータス!$D$2,0)</f>
        <v>0</v>
      </c>
      <c r="AJ1324" s="99">
        <f>ROUND(VLOOKUP(100,enemy_base_stats!$A:$F,2,FALSE) * Y1324* J1324*O1324*E1324*S1324*AD1324*[2]ステータス!$B$2,0)</f>
        <v>155295</v>
      </c>
      <c r="AK1324" s="99">
        <f>ROUND(VLOOKUP(100,enemy_base_stats!$A:$F,3,FALSE)* Z1324* K1324*P1324*F1324*T1324*AE1324 * W1324*[2]ステータス!$C$2,0)</f>
        <v>10175</v>
      </c>
      <c r="AL1324" s="99">
        <f>ROUND(VLOOKUP(100,enemy_base_stats!$A:$F,4,FALSE)* AA1324* L1324*Q1324*G1324*U1324*AF1324*[2]ステータス!$D$2,0)</f>
        <v>0</v>
      </c>
      <c r="AM1324" s="97">
        <f>VLOOKUP(M1324,[2]character_tribe_i18n!$A:$I,9,FALSE)</f>
        <v>520</v>
      </c>
      <c r="AN1324" s="36">
        <v>0</v>
      </c>
      <c r="AO1324" s="53">
        <v>0</v>
      </c>
      <c r="AP1324" s="58" t="s">
        <v>72</v>
      </c>
      <c r="AQ1324" s="71">
        <f t="shared" si="73"/>
        <v>1343</v>
      </c>
    </row>
    <row r="1325" spans="1:43" ht="21" customHeight="1" x14ac:dyDescent="0.15">
      <c r="A1325" s="7">
        <v>1351</v>
      </c>
      <c r="B1325" s="6" t="str">
        <f>VLOOKUP(A1325,[2]characters!$A:$C,3,FALSE)</f>
        <v>甘頬の魔糖菓 プラリーヌ</v>
      </c>
      <c r="C1325" s="9">
        <f>VLOOKUP(A1325,[2]characters!$A:$I,9,FALSE)</f>
        <v>6</v>
      </c>
      <c r="D1325" s="9" t="str">
        <f>VLOOKUP(A1325,[2]characters!$A:$H,8,FALSE)</f>
        <v>red</v>
      </c>
      <c r="E1325" s="24">
        <f>VLOOKUP(D1325,[2]属性!$A:$E,2,FALSE)</f>
        <v>1</v>
      </c>
      <c r="F1325" s="24">
        <f>VLOOKUP(D1325,[2]属性!$A:$E,3,FALSE)</f>
        <v>1.02</v>
      </c>
      <c r="G1325" s="24">
        <f>VLOOKUP(D1325,[2]属性!$A:$F,4,FALSE)</f>
        <v>1</v>
      </c>
      <c r="H1325" s="9" t="str">
        <f>VLOOKUP(A1325,[2]characters!$A:$K,11,FALSE)</f>
        <v>technical</v>
      </c>
      <c r="I1325" s="14" t="str">
        <f>VLOOKUP(H1325,[2]character_type_i18n!$A:$F,3,FALSE)</f>
        <v>テクニカルタイプ</v>
      </c>
      <c r="J1325" s="36">
        <f>VLOOKUP(H1325,[2]character_type_i18n!$A:$F,4,FALSE)</f>
        <v>0.9</v>
      </c>
      <c r="K1325" s="36">
        <f>VLOOKUP(H1325,[2]character_type_i18n!$A:$F,5,FALSE)</f>
        <v>0.9</v>
      </c>
      <c r="L1325" s="36">
        <f>VLOOKUP(H1325,[2]character_type_i18n!$A:$F,6,FALSE)</f>
        <v>1</v>
      </c>
      <c r="M1325" s="9" t="str">
        <f>VLOOKUP(A1325,[2]characters!$A:$M,13,FALSE)</f>
        <v>human</v>
      </c>
      <c r="N1325" s="14" t="str">
        <f>VLOOKUP(M1325,[2]character_tribe_i18n!$A:$F,3,FALSE)</f>
        <v>ヒューマン</v>
      </c>
      <c r="O1325" s="24">
        <f>VLOOKUP(M1325,[2]character_tribe_i18n!$A:$F,4,FALSE)</f>
        <v>0.94</v>
      </c>
      <c r="P1325" s="24">
        <f>VLOOKUP(M1325,[2]character_tribe_i18n!$A:$F,5,FALSE)</f>
        <v>0.99</v>
      </c>
      <c r="Q1325" s="24">
        <f>VLOOKUP(M1325,[2]character_tribe_i18n!$A:$F,6,FALSE)</f>
        <v>1</v>
      </c>
      <c r="R1325" s="25" t="s">
        <v>98</v>
      </c>
      <c r="S1325" s="24">
        <f>VLOOKUP($R1325,ラベル別係数!$A$1:$E$7,3,FALSE)</f>
        <v>5</v>
      </c>
      <c r="T1325" s="24">
        <f>VLOOKUP($R1325,ラベル別係数!$A$1:$E$7,4,FALSE)</f>
        <v>1.3</v>
      </c>
      <c r="U1325" s="24">
        <f>VLOOKUP($R1325,ラベル別係数!$A$1:$E$7,5,FALSE)</f>
        <v>0.8</v>
      </c>
      <c r="V1325" s="27">
        <v>3</v>
      </c>
      <c r="W1325" s="28">
        <f>VLOOKUP(V1325,ターン数別攻撃係数!$A$1:$B$1000,2,FALSE)</f>
        <v>1</v>
      </c>
      <c r="X1325" s="9">
        <f>VLOOKUP(C1325,サイズ別係数!A$2:B$9,2,FALSE)</f>
        <v>60</v>
      </c>
      <c r="Y1325" s="26">
        <f>VLOOKUP($X1325,サイズ別係数!$B:$E,2,FALSE)</f>
        <v>1.7</v>
      </c>
      <c r="Z1325" s="26">
        <f>VLOOKUP($X1325,サイズ別係数!$B:$E,3,FALSE)</f>
        <v>1.4</v>
      </c>
      <c r="AA1325" s="26">
        <f>VLOOKUP($X1325,サイズ別係数!$B:$E,4,FALSE)</f>
        <v>1</v>
      </c>
      <c r="AB1325" s="5">
        <v>0</v>
      </c>
      <c r="AC1325" s="34" t="str">
        <f ca="1">VLOOKUP($AB1325,OFFSET([3]enemy_skill_sets!$B$2,0,0,COUNTA([3]enemy_skill_sets!$A:$A),MATCH(AC$1,[3]enemy_skill_sets!$1:$1,0)-MATCH($AB$1,[3]enemy_skill_sets!$1:$1,0)+1),MATCH(AC$1,[3]enemy_skill_sets!$1:$1,0)-MATCH($AB$1,[3]enemy_skill_sets!$1:$1,0)+1,FALSE)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5" s="67">
        <v>1</v>
      </c>
      <c r="AE1325" s="67">
        <v>1</v>
      </c>
      <c r="AF1325" s="37">
        <v>0</v>
      </c>
      <c r="AG1325" s="41">
        <v>3995</v>
      </c>
      <c r="AH1325" s="41">
        <v>367</v>
      </c>
      <c r="AI1325" s="41">
        <v>0</v>
      </c>
      <c r="AJ1325" s="41">
        <v>162197</v>
      </c>
      <c r="AK1325" s="41">
        <v>14886</v>
      </c>
      <c r="AL1325" s="41">
        <v>0</v>
      </c>
      <c r="AM1325" s="97">
        <f>VLOOKUP(M1325,[2]character_tribe_i18n!$A:$I,9,FALSE)</f>
        <v>400</v>
      </c>
      <c r="AN1325" s="36">
        <v>0</v>
      </c>
      <c r="AO1325" s="53">
        <v>0</v>
      </c>
      <c r="AP1325" s="58" t="s">
        <v>72</v>
      </c>
      <c r="AQ1325" s="71">
        <f t="shared" ref="AQ1325:AQ1348" si="74">A1325</f>
        <v>1351</v>
      </c>
    </row>
    <row r="1326" spans="1:43" ht="21" customHeight="1" x14ac:dyDescent="0.15">
      <c r="A1326" s="7">
        <v>1352</v>
      </c>
      <c r="B1326" s="6" t="str">
        <f>VLOOKUP(A1326,[2]characters!$A:$C,3,FALSE)</f>
        <v>トウカ</v>
      </c>
      <c r="C1326" s="9">
        <f>VLOOKUP(A1326,[2]characters!$A:$I,9,FALSE)</f>
        <v>5</v>
      </c>
      <c r="D1326" s="9" t="str">
        <f>VLOOKUP(A1326,[2]characters!$A:$H,8,FALSE)</f>
        <v>blue</v>
      </c>
      <c r="E1326" s="24">
        <f>VLOOKUP(D1326,[2]属性!$A:$E,2,FALSE)</f>
        <v>1</v>
      </c>
      <c r="F1326" s="24">
        <f>VLOOKUP(D1326,[2]属性!$A:$E,3,FALSE)</f>
        <v>0.98</v>
      </c>
      <c r="G1326" s="24">
        <f>VLOOKUP(D1326,[2]属性!$A:$F,4,FALSE)</f>
        <v>1</v>
      </c>
      <c r="H1326" s="9" t="str">
        <f>VLOOKUP(A1326,[2]characters!$A:$K,11,FALSE)</f>
        <v>technical</v>
      </c>
      <c r="I1326" s="14" t="str">
        <f>VLOOKUP(H1326,[2]character_type_i18n!$A:$F,3,FALSE)</f>
        <v>テクニカルタイプ</v>
      </c>
      <c r="J1326" s="36">
        <f>VLOOKUP(H1326,[2]character_type_i18n!$A:$F,4,FALSE)</f>
        <v>0.9</v>
      </c>
      <c r="K1326" s="36">
        <f>VLOOKUP(H1326,[2]character_type_i18n!$A:$F,5,FALSE)</f>
        <v>0.9</v>
      </c>
      <c r="L1326" s="36">
        <f>VLOOKUP(H1326,[2]character_type_i18n!$A:$F,6,FALSE)</f>
        <v>1</v>
      </c>
      <c r="M1326" s="9" t="str">
        <f>VLOOKUP(A1326,[2]characters!$A:$M,13,FALSE)</f>
        <v>human</v>
      </c>
      <c r="N1326" s="14" t="str">
        <f>VLOOKUP(M1326,[2]character_tribe_i18n!$A:$F,3,FALSE)</f>
        <v>ヒューマン</v>
      </c>
      <c r="O1326" s="24">
        <f>VLOOKUP(M1326,[2]character_tribe_i18n!$A:$F,4,FALSE)</f>
        <v>0.94</v>
      </c>
      <c r="P1326" s="24">
        <f>VLOOKUP(M1326,[2]character_tribe_i18n!$A:$F,5,FALSE)</f>
        <v>0.99</v>
      </c>
      <c r="Q1326" s="24">
        <f>VLOOKUP(M1326,[2]character_tribe_i18n!$A:$F,6,FALSE)</f>
        <v>1</v>
      </c>
      <c r="R1326" s="25" t="s">
        <v>98</v>
      </c>
      <c r="S1326" s="24">
        <f>VLOOKUP($R1326,ラベル別係数!$A$1:$E$7,3,FALSE)</f>
        <v>5</v>
      </c>
      <c r="T1326" s="24">
        <f>VLOOKUP($R1326,ラベル別係数!$A$1:$E$7,4,FALSE)</f>
        <v>1.3</v>
      </c>
      <c r="U1326" s="24">
        <f>VLOOKUP($R1326,ラベル別係数!$A$1:$E$7,5,FALSE)</f>
        <v>0.8</v>
      </c>
      <c r="V1326" s="27">
        <v>3</v>
      </c>
      <c r="W1326" s="28">
        <f>VLOOKUP(V1326,ターン数別攻撃係数!$A$1:$B$1000,2,FALSE)</f>
        <v>1</v>
      </c>
      <c r="X1326" s="9">
        <f>VLOOKUP(C1326,サイズ別係数!A$2:B$9,2,FALSE)</f>
        <v>60</v>
      </c>
      <c r="Y1326" s="26">
        <f>VLOOKUP($X1326,サイズ別係数!$B:$E,2,FALSE)</f>
        <v>1.7</v>
      </c>
      <c r="Z1326" s="26">
        <f>VLOOKUP($X1326,サイズ別係数!$B:$E,3,FALSE)</f>
        <v>1.4</v>
      </c>
      <c r="AA1326" s="26">
        <f>VLOOKUP($X1326,サイズ別係数!$B:$E,4,FALSE)</f>
        <v>1</v>
      </c>
      <c r="AB1326" s="5">
        <v>0</v>
      </c>
      <c r="AC1326" s="34" t="str">
        <f ca="1">VLOOKUP($AB1326,OFFSET([3]enemy_skill_sets!$B$2,0,0,COUNTA([3]enemy_skill_sets!$A:$A),MATCH(AC$1,[3]enemy_skill_sets!$1:$1,0)-MATCH($AB$1,[3]enemy_skill_sets!$1:$1,0)+1),MATCH(AC$1,[3]enemy_skill_sets!$1:$1,0)-MATCH($AB$1,[3]enemy_skill_sets!$1:$1,0)+1,FALSE)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6" s="67">
        <v>1</v>
      </c>
      <c r="AE1326" s="67">
        <v>1</v>
      </c>
      <c r="AF1326" s="37">
        <v>0</v>
      </c>
      <c r="AG1326" s="99">
        <f>ROUND(VLOOKUP(1,enemy_base_stats!$A:$F,2,FALSE) * Y1326* J1326*O1326*E1326*S1326*AD1326*[2]ステータス!$B$2,0)</f>
        <v>3596</v>
      </c>
      <c r="AH1326" s="99">
        <f>ROUND(VLOOKUP(1,enemy_base_stats!$A:$F,3,FALSE) * Z1326*K1326*P1326*F1326*T1326*AE1326 * W1326*[2]ステータス!$C$2,0)</f>
        <v>238</v>
      </c>
      <c r="AI1326" s="99">
        <f>ROUND(VLOOKUP(1,enemy_base_stats!$A:$F,4,FALSE) * AA1326*L1326*Q1326*G1326*U1326*AF1326*[2]ステータス!$D$2,0)</f>
        <v>0</v>
      </c>
      <c r="AJ1326" s="99">
        <f>ROUND(VLOOKUP(100,enemy_base_stats!$A:$F,2,FALSE) * Y1326* J1326*O1326*E1326*S1326*AD1326*[2]ステータス!$B$2,0)</f>
        <v>145977</v>
      </c>
      <c r="AK1326" s="99">
        <f>ROUND(VLOOKUP(100,enemy_base_stats!$A:$F,3,FALSE)* Z1326* K1326*P1326*F1326*T1326*AE1326 * W1326*[2]ステータス!$C$2,0)</f>
        <v>9678</v>
      </c>
      <c r="AL1326" s="99">
        <f>ROUND(VLOOKUP(100,enemy_base_stats!$A:$F,4,FALSE)* AA1326* L1326*Q1326*G1326*U1326*AF1326*[2]ステータス!$D$2,0)</f>
        <v>0</v>
      </c>
      <c r="AM1326" s="97">
        <f>VLOOKUP(M1326,[2]character_tribe_i18n!$A:$I,9,FALSE)</f>
        <v>400</v>
      </c>
      <c r="AN1326" s="36">
        <v>0</v>
      </c>
      <c r="AO1326" s="53">
        <v>0</v>
      </c>
      <c r="AP1326" s="58" t="s">
        <v>72</v>
      </c>
      <c r="AQ1326" s="71">
        <f t="shared" si="74"/>
        <v>1352</v>
      </c>
    </row>
    <row r="1327" spans="1:43" ht="21" customHeight="1" x14ac:dyDescent="0.15">
      <c r="A1327" s="7">
        <v>1353</v>
      </c>
      <c r="B1327" s="6" t="str">
        <f>VLOOKUP(A1327,[2]characters!$A:$C,3,FALSE)</f>
        <v>恋待つ帰り道 トウカ</v>
      </c>
      <c r="C1327" s="9">
        <f>VLOOKUP(A1327,[2]characters!$A:$I,9,FALSE)</f>
        <v>6</v>
      </c>
      <c r="D1327" s="9" t="str">
        <f>VLOOKUP(A1327,[2]characters!$A:$H,8,FALSE)</f>
        <v>blue</v>
      </c>
      <c r="E1327" s="24">
        <f>VLOOKUP(D1327,[2]属性!$A:$E,2,FALSE)</f>
        <v>1</v>
      </c>
      <c r="F1327" s="24">
        <f>VLOOKUP(D1327,[2]属性!$A:$E,3,FALSE)</f>
        <v>0.98</v>
      </c>
      <c r="G1327" s="24">
        <f>VLOOKUP(D1327,[2]属性!$A:$F,4,FALSE)</f>
        <v>1</v>
      </c>
      <c r="H1327" s="9" t="str">
        <f>VLOOKUP(A1327,[2]characters!$A:$K,11,FALSE)</f>
        <v>technical</v>
      </c>
      <c r="I1327" s="14" t="str">
        <f>VLOOKUP(H1327,[2]character_type_i18n!$A:$F,3,FALSE)</f>
        <v>テクニカルタイプ</v>
      </c>
      <c r="J1327" s="36">
        <f>VLOOKUP(H1327,[2]character_type_i18n!$A:$F,4,FALSE)</f>
        <v>0.9</v>
      </c>
      <c r="K1327" s="36">
        <f>VLOOKUP(H1327,[2]character_type_i18n!$A:$F,5,FALSE)</f>
        <v>0.9</v>
      </c>
      <c r="L1327" s="36">
        <f>VLOOKUP(H1327,[2]character_type_i18n!$A:$F,6,FALSE)</f>
        <v>1</v>
      </c>
      <c r="M1327" s="9" t="str">
        <f>VLOOKUP(A1327,[2]characters!$A:$M,13,FALSE)</f>
        <v>human</v>
      </c>
      <c r="N1327" s="14" t="str">
        <f>VLOOKUP(M1327,[2]character_tribe_i18n!$A:$F,3,FALSE)</f>
        <v>ヒューマン</v>
      </c>
      <c r="O1327" s="24">
        <f>VLOOKUP(M1327,[2]character_tribe_i18n!$A:$F,4,FALSE)</f>
        <v>0.94</v>
      </c>
      <c r="P1327" s="24">
        <f>VLOOKUP(M1327,[2]character_tribe_i18n!$A:$F,5,FALSE)</f>
        <v>0.99</v>
      </c>
      <c r="Q1327" s="24">
        <f>VLOOKUP(M1327,[2]character_tribe_i18n!$A:$F,6,FALSE)</f>
        <v>1</v>
      </c>
      <c r="R1327" s="25" t="s">
        <v>98</v>
      </c>
      <c r="S1327" s="24">
        <f>VLOOKUP($R1327,ラベル別係数!$A$1:$E$7,3,FALSE)</f>
        <v>5</v>
      </c>
      <c r="T1327" s="24">
        <f>VLOOKUP($R1327,ラベル別係数!$A$1:$E$7,4,FALSE)</f>
        <v>1.3</v>
      </c>
      <c r="U1327" s="24">
        <f>VLOOKUP($R1327,ラベル別係数!$A$1:$E$7,5,FALSE)</f>
        <v>0.8</v>
      </c>
      <c r="V1327" s="27">
        <v>3</v>
      </c>
      <c r="W1327" s="28">
        <f>VLOOKUP(V1327,ターン数別攻撃係数!$A$1:$B$1000,2,FALSE)</f>
        <v>1</v>
      </c>
      <c r="X1327" s="9">
        <f>VLOOKUP(C1327,サイズ別係数!A$2:B$9,2,FALSE)</f>
        <v>60</v>
      </c>
      <c r="Y1327" s="26">
        <f>VLOOKUP($X1327,サイズ別係数!$B:$E,2,FALSE)</f>
        <v>1.7</v>
      </c>
      <c r="Z1327" s="26">
        <f>VLOOKUP($X1327,サイズ別係数!$B:$E,3,FALSE)</f>
        <v>1.4</v>
      </c>
      <c r="AA1327" s="26">
        <f>VLOOKUP($X1327,サイズ別係数!$B:$E,4,FALSE)</f>
        <v>1</v>
      </c>
      <c r="AB1327" s="5">
        <v>0</v>
      </c>
      <c r="AC1327" s="34" t="str">
        <f ca="1">VLOOKUP($AB1327,OFFSET([3]enemy_skill_sets!$B$2,0,0,COUNTA([3]enemy_skill_sets!$A:$A),MATCH(AC$1,[3]enemy_skill_sets!$1:$1,0)-MATCH($AB$1,[3]enemy_skill_sets!$1:$1,0)+1),MATCH(AC$1,[3]enemy_skill_sets!$1:$1,0)-MATCH($AB$1,[3]enemy_skill_sets!$1:$1,0)+1,FALSE)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7" s="67">
        <v>1</v>
      </c>
      <c r="AE1327" s="67">
        <v>1</v>
      </c>
      <c r="AF1327" s="37">
        <v>0</v>
      </c>
      <c r="AG1327" s="99">
        <f>ROUND(VLOOKUP(1,enemy_base_stats!$A:$F,2,FALSE) * Y1327* J1327*O1327*E1327*S1327*AD1327*[2]ステータス!$B$2,0)</f>
        <v>3596</v>
      </c>
      <c r="AH1327" s="99">
        <f>ROUND(VLOOKUP(1,enemy_base_stats!$A:$F,3,FALSE) * Z1327*K1327*P1327*F1327*T1327*AE1327 * W1327*[2]ステータス!$C$2,0)</f>
        <v>238</v>
      </c>
      <c r="AI1327" s="99">
        <f>ROUND(VLOOKUP(1,enemy_base_stats!$A:$F,4,FALSE) * AA1327*L1327*Q1327*G1327*U1327*AF1327*[2]ステータス!$D$2,0)</f>
        <v>0</v>
      </c>
      <c r="AJ1327" s="99">
        <f>ROUND(VLOOKUP(100,enemy_base_stats!$A:$F,2,FALSE) * Y1327* J1327*O1327*E1327*S1327*AD1327*[2]ステータス!$B$2,0)</f>
        <v>145977</v>
      </c>
      <c r="AK1327" s="99">
        <f>ROUND(VLOOKUP(100,enemy_base_stats!$A:$F,3,FALSE)* Z1327* K1327*P1327*F1327*T1327*AE1327 * W1327*[2]ステータス!$C$2,0)</f>
        <v>9678</v>
      </c>
      <c r="AL1327" s="99">
        <f>ROUND(VLOOKUP(100,enemy_base_stats!$A:$F,4,FALSE)* AA1327* L1327*Q1327*G1327*U1327*AF1327*[2]ステータス!$D$2,0)</f>
        <v>0</v>
      </c>
      <c r="AM1327" s="97">
        <f>VLOOKUP(M1327,[2]character_tribe_i18n!$A:$I,9,FALSE)</f>
        <v>400</v>
      </c>
      <c r="AN1327" s="36">
        <v>0</v>
      </c>
      <c r="AO1327" s="53">
        <v>0</v>
      </c>
      <c r="AP1327" s="58" t="s">
        <v>72</v>
      </c>
      <c r="AQ1327" s="71">
        <f t="shared" si="74"/>
        <v>1353</v>
      </c>
    </row>
    <row r="1328" spans="1:43" ht="21" customHeight="1" x14ac:dyDescent="0.15">
      <c r="A1328" s="7">
        <v>1354</v>
      </c>
      <c r="B1328" s="6" t="str">
        <f>VLOOKUP(A1328,[2]characters!$A:$C,3,FALSE)</f>
        <v>放課後の恋妃神 フレイヤ</v>
      </c>
      <c r="C1328" s="9">
        <f>VLOOKUP(A1328,[2]characters!$A:$I,9,FALSE)</f>
        <v>6</v>
      </c>
      <c r="D1328" s="9" t="str">
        <f>VLOOKUP(A1328,[2]characters!$A:$H,8,FALSE)</f>
        <v>green</v>
      </c>
      <c r="E1328" s="24">
        <f>VLOOKUP(D1328,[2]属性!$A:$E,2,FALSE)</f>
        <v>1.02</v>
      </c>
      <c r="F1328" s="24">
        <f>VLOOKUP(D1328,[2]属性!$A:$E,3,FALSE)</f>
        <v>0.98</v>
      </c>
      <c r="G1328" s="24">
        <f>VLOOKUP(D1328,[2]属性!$A:$F,4,FALSE)</f>
        <v>1</v>
      </c>
      <c r="H1328" s="9" t="str">
        <f>VLOOKUP(A1328,[2]characters!$A:$K,11,FALSE)</f>
        <v>heal</v>
      </c>
      <c r="I1328" s="14" t="str">
        <f>VLOOKUP(H1328,[2]character_type_i18n!$A:$F,3,FALSE)</f>
        <v>回復タイプ</v>
      </c>
      <c r="J1328" s="36">
        <f>VLOOKUP(H1328,[2]character_type_i18n!$A:$F,4,FALSE)</f>
        <v>0.8</v>
      </c>
      <c r="K1328" s="36">
        <f>VLOOKUP(H1328,[2]character_type_i18n!$A:$F,5,FALSE)</f>
        <v>0.78</v>
      </c>
      <c r="L1328" s="36">
        <f>VLOOKUP(H1328,[2]character_type_i18n!$A:$F,6,FALSE)</f>
        <v>1</v>
      </c>
      <c r="M1328" s="9" t="str">
        <f>VLOOKUP(A1328,[2]characters!$A:$M,13,FALSE)</f>
        <v>animal</v>
      </c>
      <c r="N1328" s="14" t="str">
        <f>VLOOKUP(M1328,[2]character_tribe_i18n!$A:$F,3,FALSE)</f>
        <v>アニマル</v>
      </c>
      <c r="O1328" s="24">
        <f>VLOOKUP(M1328,[2]character_tribe_i18n!$A:$F,4,FALSE)</f>
        <v>1</v>
      </c>
      <c r="P1328" s="24">
        <f>VLOOKUP(M1328,[2]character_tribe_i18n!$A:$F,5,FALSE)</f>
        <v>1.1000000000000001</v>
      </c>
      <c r="Q1328" s="24">
        <f>VLOOKUP(M1328,[2]character_tribe_i18n!$A:$F,6,FALSE)</f>
        <v>1</v>
      </c>
      <c r="R1328" s="25" t="s">
        <v>98</v>
      </c>
      <c r="S1328" s="24">
        <f>VLOOKUP($R1328,ラベル別係数!$A$1:$E$7,3,FALSE)</f>
        <v>5</v>
      </c>
      <c r="T1328" s="24">
        <f>VLOOKUP($R1328,ラベル別係数!$A$1:$E$7,4,FALSE)</f>
        <v>1.3</v>
      </c>
      <c r="U1328" s="24">
        <f>VLOOKUP($R1328,ラベル別係数!$A$1:$E$7,5,FALSE)</f>
        <v>0.8</v>
      </c>
      <c r="V1328" s="27">
        <v>3</v>
      </c>
      <c r="W1328" s="28">
        <f>VLOOKUP(V1328,ターン数別攻撃係数!$A$1:$B$1000,2,FALSE)</f>
        <v>1</v>
      </c>
      <c r="X1328" s="9">
        <f>VLOOKUP(C1328,サイズ別係数!A$2:B$9,2,FALSE)</f>
        <v>60</v>
      </c>
      <c r="Y1328" s="26">
        <f>VLOOKUP($X1328,サイズ別係数!$B:$E,2,FALSE)</f>
        <v>1.7</v>
      </c>
      <c r="Z1328" s="26">
        <f>VLOOKUP($X1328,サイズ別係数!$B:$E,3,FALSE)</f>
        <v>1.4</v>
      </c>
      <c r="AA1328" s="26">
        <f>VLOOKUP($X1328,サイズ別係数!$B:$E,4,FALSE)</f>
        <v>1</v>
      </c>
      <c r="AB1328" s="5">
        <v>0</v>
      </c>
      <c r="AC1328" s="34" t="str">
        <f ca="1">VLOOKUP($AB1328,OFFSET([3]enemy_skill_sets!$B$2,0,0,COUNTA([3]enemy_skill_sets!$A:$A),MATCH(AC$1,[3]enemy_skill_sets!$1:$1,0)-MATCH($AB$1,[3]enemy_skill_sets!$1:$1,0)+1),MATCH(AC$1,[3]enemy_skill_sets!$1:$1,0)-MATCH($AB$1,[3]enemy_skill_sets!$1:$1,0)+1,FALSE)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8" s="67">
        <v>1</v>
      </c>
      <c r="AE1328" s="67">
        <v>1</v>
      </c>
      <c r="AF1328" s="37">
        <v>0</v>
      </c>
      <c r="AG1328" s="99">
        <f>ROUND(VLOOKUP(1,enemy_base_stats!$A:$F,2,FALSE) * Y1328* J1328*O1328*E1328*S1328*AD1328*[2]ステータス!$B$2,0)</f>
        <v>3468</v>
      </c>
      <c r="AH1328" s="99">
        <f>ROUND(VLOOKUP(1,enemy_base_stats!$A:$F,3,FALSE) * Z1328*K1328*P1328*F1328*T1328*AE1328 * W1328*[2]ステータス!$C$2,0)</f>
        <v>230</v>
      </c>
      <c r="AI1328" s="99">
        <f>ROUND(VLOOKUP(1,enemy_base_stats!$A:$F,4,FALSE) * AA1328*L1328*Q1328*G1328*U1328*AF1328*[2]ステータス!$D$2,0)</f>
        <v>0</v>
      </c>
      <c r="AJ1328" s="99">
        <f>ROUND(VLOOKUP(100,enemy_base_stats!$A:$F,2,FALSE) * Y1328* J1328*O1328*E1328*S1328*AD1328*[2]ステータス!$B$2,0)</f>
        <v>140801</v>
      </c>
      <c r="AK1328" s="99">
        <f>ROUND(VLOOKUP(100,enemy_base_stats!$A:$F,3,FALSE)* Z1328* K1328*P1328*F1328*T1328*AE1328 * W1328*[2]ステータス!$C$2,0)</f>
        <v>9320</v>
      </c>
      <c r="AL1328" s="99">
        <f>ROUND(VLOOKUP(100,enemy_base_stats!$A:$F,4,FALSE)* AA1328* L1328*Q1328*G1328*U1328*AF1328*[2]ステータス!$D$2,0)</f>
        <v>0</v>
      </c>
      <c r="AM1328" s="97">
        <f>VLOOKUP(M1328,[2]character_tribe_i18n!$A:$I,9,FALSE)</f>
        <v>480</v>
      </c>
      <c r="AN1328" s="36">
        <v>0</v>
      </c>
      <c r="AO1328" s="53">
        <v>0</v>
      </c>
      <c r="AP1328" s="58" t="s">
        <v>72</v>
      </c>
      <c r="AQ1328" s="71">
        <f t="shared" si="74"/>
        <v>1354</v>
      </c>
    </row>
    <row r="1329" spans="1:43" ht="21" customHeight="1" x14ac:dyDescent="0.15">
      <c r="A1329" s="7">
        <v>1355</v>
      </c>
      <c r="B1329" s="6" t="str">
        <f>VLOOKUP(A1329,[2]characters!$A:$C,3,FALSE)</f>
        <v>恋する燦天使 メタトロン・エモ</v>
      </c>
      <c r="C1329" s="9">
        <f>VLOOKUP(A1329,[2]characters!$A:$I,9,FALSE)</f>
        <v>6</v>
      </c>
      <c r="D1329" s="9" t="str">
        <f>VLOOKUP(A1329,[2]characters!$A:$H,8,FALSE)</f>
        <v>yellow</v>
      </c>
      <c r="E1329" s="24">
        <f>VLOOKUP(D1329,[2]属性!$A:$E,2,FALSE)</f>
        <v>0.98</v>
      </c>
      <c r="F1329" s="24">
        <f>VLOOKUP(D1329,[2]属性!$A:$E,3,FALSE)</f>
        <v>1.01</v>
      </c>
      <c r="G1329" s="24">
        <f>VLOOKUP(D1329,[2]属性!$A:$F,4,FALSE)</f>
        <v>1</v>
      </c>
      <c r="H1329" s="9" t="str">
        <f>VLOOKUP(A1329,[2]characters!$A:$K,11,FALSE)</f>
        <v>balance</v>
      </c>
      <c r="I1329" s="14" t="str">
        <f>VLOOKUP(H1329,[2]character_type_i18n!$A:$F,3,FALSE)</f>
        <v>バランスタイプ</v>
      </c>
      <c r="J1329" s="36">
        <f>VLOOKUP(H1329,[2]character_type_i18n!$A:$F,4,FALSE)</f>
        <v>1</v>
      </c>
      <c r="K1329" s="36">
        <f>VLOOKUP(H1329,[2]character_type_i18n!$A:$F,5,FALSE)</f>
        <v>1</v>
      </c>
      <c r="L1329" s="36">
        <f>VLOOKUP(H1329,[2]character_type_i18n!$A:$F,6,FALSE)</f>
        <v>1</v>
      </c>
      <c r="M1329" s="9" t="str">
        <f>VLOOKUP(A1329,[2]characters!$A:$M,13,FALSE)</f>
        <v>god</v>
      </c>
      <c r="N1329" s="14" t="str">
        <f>VLOOKUP(M1329,[2]character_tribe_i18n!$A:$F,3,FALSE)</f>
        <v>ゴッド</v>
      </c>
      <c r="O1329" s="24">
        <f>VLOOKUP(M1329,[2]character_tribe_i18n!$A:$F,4,FALSE)</f>
        <v>0.96</v>
      </c>
      <c r="P1329" s="24">
        <f>VLOOKUP(M1329,[2]character_tribe_i18n!$A:$F,5,FALSE)</f>
        <v>1.02</v>
      </c>
      <c r="Q1329" s="24">
        <f>VLOOKUP(M1329,[2]character_tribe_i18n!$A:$F,6,FALSE)</f>
        <v>1</v>
      </c>
      <c r="R1329" s="25" t="s">
        <v>98</v>
      </c>
      <c r="S1329" s="24">
        <f>VLOOKUP($R1329,ラベル別係数!$A$1:$E$7,3,FALSE)</f>
        <v>5</v>
      </c>
      <c r="T1329" s="24">
        <f>VLOOKUP($R1329,ラベル別係数!$A$1:$E$7,4,FALSE)</f>
        <v>1.3</v>
      </c>
      <c r="U1329" s="24">
        <f>VLOOKUP($R1329,ラベル別係数!$A$1:$E$7,5,FALSE)</f>
        <v>0.8</v>
      </c>
      <c r="V1329" s="27">
        <v>3</v>
      </c>
      <c r="W1329" s="28">
        <f>VLOOKUP(V1329,ターン数別攻撃係数!$A$1:$B$1000,2,FALSE)</f>
        <v>1</v>
      </c>
      <c r="X1329" s="9">
        <f>VLOOKUP(C1329,サイズ別係数!A$2:B$9,2,FALSE)</f>
        <v>60</v>
      </c>
      <c r="Y1329" s="26">
        <f>VLOOKUP($X1329,サイズ別係数!$B:$E,2,FALSE)</f>
        <v>1.7</v>
      </c>
      <c r="Z1329" s="26">
        <f>VLOOKUP($X1329,サイズ別係数!$B:$E,3,FALSE)</f>
        <v>1.4</v>
      </c>
      <c r="AA1329" s="26">
        <f>VLOOKUP($X1329,サイズ別係数!$B:$E,4,FALSE)</f>
        <v>1</v>
      </c>
      <c r="AB1329" s="5">
        <v>0</v>
      </c>
      <c r="AC1329" s="34" t="str">
        <f ca="1">VLOOKUP($AB1329,OFFSET([3]enemy_skill_sets!$B$2,0,0,COUNTA([3]enemy_skill_sets!$A:$A),MATCH(AC$1,[3]enemy_skill_sets!$1:$1,0)-MATCH($AB$1,[3]enemy_skill_sets!$1:$1,0)+1),MATCH(AC$1,[3]enemy_skill_sets!$1:$1,0)-MATCH($AB$1,[3]enemy_skill_sets!$1:$1,0)+1,FALSE)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29" s="67">
        <v>1</v>
      </c>
      <c r="AE1329" s="67">
        <v>1</v>
      </c>
      <c r="AF1329" s="37">
        <v>0</v>
      </c>
      <c r="AG1329" s="99">
        <f>ROUND(VLOOKUP(1,enemy_base_stats!$A:$F,2,FALSE) * Y1329* J1329*O1329*E1329*S1329*AD1329*[2]ステータス!$B$2,0)</f>
        <v>3998</v>
      </c>
      <c r="AH1329" s="99">
        <f>ROUND(VLOOKUP(1,enemy_base_stats!$A:$F,3,FALSE) * Z1329*K1329*P1329*F1329*T1329*AE1329 * W1329*[2]ステータス!$C$2,0)</f>
        <v>281</v>
      </c>
      <c r="AI1329" s="99">
        <f>ROUND(VLOOKUP(1,enemy_base_stats!$A:$F,4,FALSE) * AA1329*L1329*Q1329*G1329*U1329*AF1329*[2]ステータス!$D$2,0)</f>
        <v>0</v>
      </c>
      <c r="AJ1329" s="99">
        <f>ROUND(VLOOKUP(100,enemy_base_stats!$A:$F,2,FALSE) * Y1329* J1329*O1329*E1329*S1329*AD1329*[2]ステータス!$B$2,0)</f>
        <v>162335</v>
      </c>
      <c r="AK1329" s="99">
        <f>ROUND(VLOOKUP(100,enemy_base_stats!$A:$F,3,FALSE)* Z1329* K1329*P1329*F1329*T1329*AE1329 * W1329*[2]ステータス!$C$2,0)</f>
        <v>11419</v>
      </c>
      <c r="AL1329" s="99">
        <f>ROUND(VLOOKUP(100,enemy_base_stats!$A:$F,4,FALSE)* AA1329* L1329*Q1329*G1329*U1329*AF1329*[2]ステータス!$D$2,0)</f>
        <v>0</v>
      </c>
      <c r="AM1329" s="97">
        <f>VLOOKUP(M1329,[2]character_tribe_i18n!$A:$I,9,FALSE)</f>
        <v>680</v>
      </c>
      <c r="AN1329" s="36">
        <v>0</v>
      </c>
      <c r="AO1329" s="53">
        <v>0</v>
      </c>
      <c r="AP1329" s="58" t="s">
        <v>72</v>
      </c>
      <c r="AQ1329" s="71">
        <f t="shared" si="74"/>
        <v>1355</v>
      </c>
    </row>
    <row r="1330" spans="1:43" ht="21" customHeight="1" x14ac:dyDescent="0.15">
      <c r="A1330" s="7">
        <v>1356</v>
      </c>
      <c r="B1330" s="6" t="str">
        <f>VLOOKUP(A1330,[2]characters!$A:$C,3,FALSE)</f>
        <v>恋狐の甘味振舞 タマモ</v>
      </c>
      <c r="C1330" s="9">
        <f>VLOOKUP(A1330,[2]characters!$A:$I,9,FALSE)</f>
        <v>5</v>
      </c>
      <c r="D1330" s="9" t="str">
        <f>VLOOKUP(A1330,[2]characters!$A:$H,8,FALSE)</f>
        <v>red</v>
      </c>
      <c r="E1330" s="24">
        <f>VLOOKUP(D1330,[2]属性!$A:$E,2,FALSE)</f>
        <v>1</v>
      </c>
      <c r="F1330" s="24">
        <f>VLOOKUP(D1330,[2]属性!$A:$E,3,FALSE)</f>
        <v>1.02</v>
      </c>
      <c r="G1330" s="24">
        <f>VLOOKUP(D1330,[2]属性!$A:$F,4,FALSE)</f>
        <v>1</v>
      </c>
      <c r="H1330" s="9" t="str">
        <f>VLOOKUP(A1330,[2]characters!$A:$K,11,FALSE)</f>
        <v>balance</v>
      </c>
      <c r="I1330" s="14" t="str">
        <f>VLOOKUP(H1330,[2]character_type_i18n!$A:$F,3,FALSE)</f>
        <v>バランスタイプ</v>
      </c>
      <c r="J1330" s="36">
        <f>VLOOKUP(H1330,[2]character_type_i18n!$A:$F,4,FALSE)</f>
        <v>1</v>
      </c>
      <c r="K1330" s="36">
        <f>VLOOKUP(H1330,[2]character_type_i18n!$A:$F,5,FALSE)</f>
        <v>1</v>
      </c>
      <c r="L1330" s="36">
        <f>VLOOKUP(H1330,[2]character_type_i18n!$A:$F,6,FALSE)</f>
        <v>1</v>
      </c>
      <c r="M1330" s="9" t="str">
        <f>VLOOKUP(A1330,[2]characters!$A:$M,13,FALSE)</f>
        <v>animal</v>
      </c>
      <c r="N1330" s="14" t="str">
        <f>VLOOKUP(M1330,[2]character_tribe_i18n!$A:$F,3,FALSE)</f>
        <v>アニマル</v>
      </c>
      <c r="O1330" s="24">
        <f>VLOOKUP(M1330,[2]character_tribe_i18n!$A:$F,4,FALSE)</f>
        <v>1</v>
      </c>
      <c r="P1330" s="24">
        <f>VLOOKUP(M1330,[2]character_tribe_i18n!$A:$F,5,FALSE)</f>
        <v>1.1000000000000001</v>
      </c>
      <c r="Q1330" s="24">
        <f>VLOOKUP(M1330,[2]character_tribe_i18n!$A:$F,6,FALSE)</f>
        <v>1</v>
      </c>
      <c r="R1330" s="25" t="s">
        <v>98</v>
      </c>
      <c r="S1330" s="24">
        <f>VLOOKUP($R1330,ラベル別係数!$A$1:$E$7,3,FALSE)</f>
        <v>5</v>
      </c>
      <c r="T1330" s="24">
        <f>VLOOKUP($R1330,ラベル別係数!$A$1:$E$7,4,FALSE)</f>
        <v>1.3</v>
      </c>
      <c r="U1330" s="24">
        <f>VLOOKUP($R1330,ラベル別係数!$A$1:$E$7,5,FALSE)</f>
        <v>0.8</v>
      </c>
      <c r="V1330" s="27">
        <v>3</v>
      </c>
      <c r="W1330" s="28">
        <f>VLOOKUP(V1330,ターン数別攻撃係数!$A$1:$B$1000,2,FALSE)</f>
        <v>1</v>
      </c>
      <c r="X1330" s="9">
        <f>VLOOKUP(C1330,サイズ別係数!A$2:B$9,2,FALSE)</f>
        <v>60</v>
      </c>
      <c r="Y1330" s="26">
        <f>VLOOKUP($X1330,サイズ別係数!$B:$E,2,FALSE)</f>
        <v>1.7</v>
      </c>
      <c r="Z1330" s="26">
        <f>VLOOKUP($X1330,サイズ別係数!$B:$E,3,FALSE)</f>
        <v>1.4</v>
      </c>
      <c r="AA1330" s="26">
        <f>VLOOKUP($X1330,サイズ別係数!$B:$E,4,FALSE)</f>
        <v>1</v>
      </c>
      <c r="AB1330" s="5">
        <v>0</v>
      </c>
      <c r="AC1330" s="34" t="str">
        <f ca="1">VLOOKUP($AB1330,OFFSET([3]enemy_skill_sets!$B$2,0,0,COUNTA([3]enemy_skill_sets!$A:$A),MATCH(AC$1,[3]enemy_skill_sets!$1:$1,0)-MATCH($AB$1,[3]enemy_skill_sets!$1:$1,0)+1),MATCH(AC$1,[3]enemy_skill_sets!$1:$1,0)-MATCH($AB$1,[3]enemy_skill_sets!$1:$1,0)+1,FALSE)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0" s="67">
        <v>1</v>
      </c>
      <c r="AE1330" s="67">
        <v>1</v>
      </c>
      <c r="AF1330" s="37">
        <v>0</v>
      </c>
      <c r="AG1330" s="99">
        <f>ROUND(VLOOKUP(1,enemy_base_stats!$A:$F,2,FALSE) * Y1330* J1330*O1330*E1330*S1330*AD1330*[2]ステータス!$B$2,0)</f>
        <v>4250</v>
      </c>
      <c r="AH1330" s="99">
        <f>ROUND(VLOOKUP(1,enemy_base_stats!$A:$F,3,FALSE) * Z1330*K1330*P1330*F1330*T1330*AE1330 * W1330*[2]ステータス!$C$2,0)</f>
        <v>306</v>
      </c>
      <c r="AI1330" s="99">
        <f>ROUND(VLOOKUP(1,enemy_base_stats!$A:$F,4,FALSE) * AA1330*L1330*Q1330*G1330*U1330*AF1330*[2]ステータス!$D$2,0)</f>
        <v>0</v>
      </c>
      <c r="AJ1330" s="99">
        <f>ROUND(VLOOKUP(100,enemy_base_stats!$A:$F,2,FALSE) * Y1330* J1330*O1330*E1330*S1330*AD1330*[2]ステータス!$B$2,0)</f>
        <v>172550</v>
      </c>
      <c r="AK1330" s="99">
        <f>ROUND(VLOOKUP(100,enemy_base_stats!$A:$F,3,FALSE)* Z1330* K1330*P1330*F1330*T1330*AE1330 * W1330*[2]ステータス!$C$2,0)</f>
        <v>12436</v>
      </c>
      <c r="AL1330" s="99">
        <f>ROUND(VLOOKUP(100,enemy_base_stats!$A:$F,4,FALSE)* AA1330* L1330*Q1330*G1330*U1330*AF1330*[2]ステータス!$D$2,0)</f>
        <v>0</v>
      </c>
      <c r="AM1330" s="97">
        <f>VLOOKUP(M1330,[2]character_tribe_i18n!$A:$I,9,FALSE)</f>
        <v>480</v>
      </c>
      <c r="AN1330" s="36">
        <v>0</v>
      </c>
      <c r="AO1330" s="53">
        <v>0</v>
      </c>
      <c r="AP1330" s="58" t="s">
        <v>72</v>
      </c>
      <c r="AQ1330" s="71">
        <f t="shared" si="74"/>
        <v>1356</v>
      </c>
    </row>
    <row r="1331" spans="1:43" ht="21" customHeight="1" x14ac:dyDescent="0.15">
      <c r="A1331" s="7">
        <v>1357</v>
      </c>
      <c r="B1331" s="6" t="str">
        <f>VLOOKUP(A1331,[2]characters!$A:$C,3,FALSE)</f>
        <v>甘美なる想導司書 アズラエル</v>
      </c>
      <c r="C1331" s="9">
        <f>VLOOKUP(A1331,[2]characters!$A:$I,9,FALSE)</f>
        <v>5</v>
      </c>
      <c r="D1331" s="9" t="str">
        <f>VLOOKUP(A1331,[2]characters!$A:$H,8,FALSE)</f>
        <v>blue</v>
      </c>
      <c r="E1331" s="24">
        <f>VLOOKUP(D1331,[2]属性!$A:$E,2,FALSE)</f>
        <v>1</v>
      </c>
      <c r="F1331" s="24">
        <f>VLOOKUP(D1331,[2]属性!$A:$E,3,FALSE)</f>
        <v>0.98</v>
      </c>
      <c r="G1331" s="24">
        <f>VLOOKUP(D1331,[2]属性!$A:$F,4,FALSE)</f>
        <v>1</v>
      </c>
      <c r="H1331" s="9" t="str">
        <f>VLOOKUP(A1331,[2]characters!$A:$K,11,FALSE)</f>
        <v>balance</v>
      </c>
      <c r="I1331" s="14" t="str">
        <f>VLOOKUP(H1331,[2]character_type_i18n!$A:$F,3,FALSE)</f>
        <v>バランスタイプ</v>
      </c>
      <c r="J1331" s="36">
        <f>VLOOKUP(H1331,[2]character_type_i18n!$A:$F,4,FALSE)</f>
        <v>1</v>
      </c>
      <c r="K1331" s="36">
        <f>VLOOKUP(H1331,[2]character_type_i18n!$A:$F,5,FALSE)</f>
        <v>1</v>
      </c>
      <c r="L1331" s="36">
        <f>VLOOKUP(H1331,[2]character_type_i18n!$A:$F,6,FALSE)</f>
        <v>1</v>
      </c>
      <c r="M1331" s="9" t="str">
        <f>VLOOKUP(A1331,[2]characters!$A:$M,13,FALSE)</f>
        <v>god</v>
      </c>
      <c r="N1331" s="14" t="str">
        <f>VLOOKUP(M1331,[2]character_tribe_i18n!$A:$F,3,FALSE)</f>
        <v>ゴッド</v>
      </c>
      <c r="O1331" s="24">
        <f>VLOOKUP(M1331,[2]character_tribe_i18n!$A:$F,4,FALSE)</f>
        <v>0.96</v>
      </c>
      <c r="P1331" s="24">
        <f>VLOOKUP(M1331,[2]character_tribe_i18n!$A:$F,5,FALSE)</f>
        <v>1.02</v>
      </c>
      <c r="Q1331" s="24">
        <f>VLOOKUP(M1331,[2]character_tribe_i18n!$A:$F,6,FALSE)</f>
        <v>1</v>
      </c>
      <c r="R1331" s="25" t="s">
        <v>98</v>
      </c>
      <c r="S1331" s="24">
        <f>VLOOKUP($R1331,ラベル別係数!$A$1:$E$7,3,FALSE)</f>
        <v>5</v>
      </c>
      <c r="T1331" s="24">
        <f>VLOOKUP($R1331,ラベル別係数!$A$1:$E$7,4,FALSE)</f>
        <v>1.3</v>
      </c>
      <c r="U1331" s="24">
        <f>VLOOKUP($R1331,ラベル別係数!$A$1:$E$7,5,FALSE)</f>
        <v>0.8</v>
      </c>
      <c r="V1331" s="27">
        <v>3</v>
      </c>
      <c r="W1331" s="28">
        <f>VLOOKUP(V1331,ターン数別攻撃係数!$A$1:$B$1000,2,FALSE)</f>
        <v>1</v>
      </c>
      <c r="X1331" s="9">
        <f>VLOOKUP(C1331,サイズ別係数!A$2:B$9,2,FALSE)</f>
        <v>60</v>
      </c>
      <c r="Y1331" s="26">
        <f>VLOOKUP($X1331,サイズ別係数!$B:$E,2,FALSE)</f>
        <v>1.7</v>
      </c>
      <c r="Z1331" s="26">
        <f>VLOOKUP($X1331,サイズ別係数!$B:$E,3,FALSE)</f>
        <v>1.4</v>
      </c>
      <c r="AA1331" s="26">
        <f>VLOOKUP($X1331,サイズ別係数!$B:$E,4,FALSE)</f>
        <v>1</v>
      </c>
      <c r="AB1331" s="5">
        <v>0</v>
      </c>
      <c r="AC1331" s="34" t="str">
        <f ca="1">VLOOKUP($AB1331,OFFSET([3]enemy_skill_sets!$B$2,0,0,COUNTA([3]enemy_skill_sets!$A:$A),MATCH(AC$1,[3]enemy_skill_sets!$1:$1,0)-MATCH($AB$1,[3]enemy_skill_sets!$1:$1,0)+1),MATCH(AC$1,[3]enemy_skill_sets!$1:$1,0)-MATCH($AB$1,[3]enemy_skill_sets!$1:$1,0)+1,FALSE)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1" s="67">
        <v>1</v>
      </c>
      <c r="AE1331" s="67">
        <v>1</v>
      </c>
      <c r="AF1331" s="37">
        <v>0</v>
      </c>
      <c r="AG1331" s="99">
        <f>ROUND(VLOOKUP(1,enemy_base_stats!$A:$F,2,FALSE) * Y1331* J1331*O1331*E1331*S1331*AD1331*[2]ステータス!$B$2,0)</f>
        <v>4080</v>
      </c>
      <c r="AH1331" s="99">
        <f>ROUND(VLOOKUP(1,enemy_base_stats!$A:$F,3,FALSE) * Z1331*K1331*P1331*F1331*T1331*AE1331 * W1331*[2]ステータス!$C$2,0)</f>
        <v>273</v>
      </c>
      <c r="AI1331" s="99">
        <f>ROUND(VLOOKUP(1,enemy_base_stats!$A:$F,4,FALSE) * AA1331*L1331*Q1331*G1331*U1331*AF1331*[2]ステータス!$D$2,0)</f>
        <v>0</v>
      </c>
      <c r="AJ1331" s="99">
        <f>ROUND(VLOOKUP(100,enemy_base_stats!$A:$F,2,FALSE) * Y1331* J1331*O1331*E1331*S1331*AD1331*[2]ステータス!$B$2,0)</f>
        <v>165648</v>
      </c>
      <c r="AK1331" s="99">
        <f>ROUND(VLOOKUP(100,enemy_base_stats!$A:$F,3,FALSE)* Z1331* K1331*P1331*F1331*T1331*AE1331 * W1331*[2]ステータス!$C$2,0)</f>
        <v>11079</v>
      </c>
      <c r="AL1331" s="99">
        <f>ROUND(VLOOKUP(100,enemy_base_stats!$A:$F,4,FALSE)* AA1331* L1331*Q1331*G1331*U1331*AF1331*[2]ステータス!$D$2,0)</f>
        <v>0</v>
      </c>
      <c r="AM1331" s="97">
        <f>VLOOKUP(M1331,[2]character_tribe_i18n!$A:$I,9,FALSE)</f>
        <v>680</v>
      </c>
      <c r="AN1331" s="36">
        <v>0</v>
      </c>
      <c r="AO1331" s="53">
        <v>0</v>
      </c>
      <c r="AP1331" s="58" t="s">
        <v>72</v>
      </c>
      <c r="AQ1331" s="71">
        <f t="shared" si="74"/>
        <v>1357</v>
      </c>
    </row>
    <row r="1332" spans="1:43" ht="21" customHeight="1" x14ac:dyDescent="0.15">
      <c r="A1332" s="7">
        <v>1358</v>
      </c>
      <c r="B1332" s="6" t="str">
        <f>VLOOKUP(A1332,[2]characters!$A:$C,3,FALSE)</f>
        <v>暴走する恋激火 バハムート</v>
      </c>
      <c r="C1332" s="9">
        <f>VLOOKUP(A1332,[2]characters!$A:$I,9,FALSE)</f>
        <v>5</v>
      </c>
      <c r="D1332" s="9" t="str">
        <f>VLOOKUP(A1332,[2]characters!$A:$H,8,FALSE)</f>
        <v>yellow</v>
      </c>
      <c r="E1332" s="24">
        <f>VLOOKUP(D1332,[2]属性!$A:$E,2,FALSE)</f>
        <v>0.98</v>
      </c>
      <c r="F1332" s="24">
        <f>VLOOKUP(D1332,[2]属性!$A:$E,3,FALSE)</f>
        <v>1.01</v>
      </c>
      <c r="G1332" s="24">
        <f>VLOOKUP(D1332,[2]属性!$A:$F,4,FALSE)</f>
        <v>1</v>
      </c>
      <c r="H1332" s="9" t="str">
        <f>VLOOKUP(A1332,[2]characters!$A:$K,11,FALSE)</f>
        <v>heal</v>
      </c>
      <c r="I1332" s="14" t="str">
        <f>VLOOKUP(H1332,[2]character_type_i18n!$A:$F,3,FALSE)</f>
        <v>回復タイプ</v>
      </c>
      <c r="J1332" s="36">
        <f>VLOOKUP(H1332,[2]character_type_i18n!$A:$F,4,FALSE)</f>
        <v>0.8</v>
      </c>
      <c r="K1332" s="36">
        <f>VLOOKUP(H1332,[2]character_type_i18n!$A:$F,5,FALSE)</f>
        <v>0.78</v>
      </c>
      <c r="L1332" s="36">
        <f>VLOOKUP(H1332,[2]character_type_i18n!$A:$F,6,FALSE)</f>
        <v>1</v>
      </c>
      <c r="M1332" s="9" t="str">
        <f>VLOOKUP(A1332,[2]characters!$A:$M,13,FALSE)</f>
        <v>dragon</v>
      </c>
      <c r="N1332" s="14" t="str">
        <f>VLOOKUP(M1332,[2]character_tribe_i18n!$A:$F,3,FALSE)</f>
        <v>ドラゴン</v>
      </c>
      <c r="O1332" s="24">
        <f>VLOOKUP(M1332,[2]character_tribe_i18n!$A:$F,4,FALSE)</f>
        <v>1.1499999999999999</v>
      </c>
      <c r="P1332" s="24">
        <f>VLOOKUP(M1332,[2]character_tribe_i18n!$A:$F,5,FALSE)</f>
        <v>1.1000000000000001</v>
      </c>
      <c r="Q1332" s="24">
        <f>VLOOKUP(M1332,[2]character_tribe_i18n!$A:$F,6,FALSE)</f>
        <v>1</v>
      </c>
      <c r="R1332" s="25" t="s">
        <v>98</v>
      </c>
      <c r="S1332" s="24">
        <f>VLOOKUP($R1332,ラベル別係数!$A$1:$E$7,3,FALSE)</f>
        <v>5</v>
      </c>
      <c r="T1332" s="24">
        <f>VLOOKUP($R1332,ラベル別係数!$A$1:$E$7,4,FALSE)</f>
        <v>1.3</v>
      </c>
      <c r="U1332" s="24">
        <f>VLOOKUP($R1332,ラベル別係数!$A$1:$E$7,5,FALSE)</f>
        <v>0.8</v>
      </c>
      <c r="V1332" s="27">
        <v>3</v>
      </c>
      <c r="W1332" s="28">
        <f>VLOOKUP(V1332,ターン数別攻撃係数!$A$1:$B$1000,2,FALSE)</f>
        <v>1</v>
      </c>
      <c r="X1332" s="9">
        <f>VLOOKUP(C1332,サイズ別係数!A$2:B$9,2,FALSE)</f>
        <v>60</v>
      </c>
      <c r="Y1332" s="26">
        <f>VLOOKUP($X1332,サイズ別係数!$B:$E,2,FALSE)</f>
        <v>1.7</v>
      </c>
      <c r="Z1332" s="26">
        <f>VLOOKUP($X1332,サイズ別係数!$B:$E,3,FALSE)</f>
        <v>1.4</v>
      </c>
      <c r="AA1332" s="26">
        <f>VLOOKUP($X1332,サイズ別係数!$B:$E,4,FALSE)</f>
        <v>1</v>
      </c>
      <c r="AB1332" s="5">
        <v>0</v>
      </c>
      <c r="AC1332" s="34" t="str">
        <f ca="1">VLOOKUP($AB1332,OFFSET([3]enemy_skill_sets!$B$2,0,0,COUNTA([3]enemy_skill_sets!$A:$A),MATCH(AC$1,[3]enemy_skill_sets!$1:$1,0)-MATCH($AB$1,[3]enemy_skill_sets!$1:$1,0)+1),MATCH(AC$1,[3]enemy_skill_sets!$1:$1,0)-MATCH($AB$1,[3]enemy_skill_sets!$1:$1,0)+1,FALSE)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2" s="67">
        <v>1</v>
      </c>
      <c r="AE1332" s="67">
        <v>1</v>
      </c>
      <c r="AF1332" s="37">
        <v>0</v>
      </c>
      <c r="AG1332" s="99">
        <f>ROUND(VLOOKUP(1,enemy_base_stats!$A:$F,2,FALSE) * Y1332* J1332*O1332*E1332*S1332*AD1332*[2]ステータス!$B$2,0)</f>
        <v>3832</v>
      </c>
      <c r="AH1332" s="99">
        <f>ROUND(VLOOKUP(1,enemy_base_stats!$A:$F,3,FALSE) * Z1332*K1332*P1332*F1332*T1332*AE1332 * W1332*[2]ステータス!$C$2,0)</f>
        <v>237</v>
      </c>
      <c r="AI1332" s="99">
        <f>ROUND(VLOOKUP(1,enemy_base_stats!$A:$F,4,FALSE) * AA1332*L1332*Q1332*G1332*U1332*AF1332*[2]ステータス!$D$2,0)</f>
        <v>0</v>
      </c>
      <c r="AJ1332" s="99">
        <f>ROUND(VLOOKUP(100,enemy_base_stats!$A:$F,2,FALSE) * Y1332* J1332*O1332*E1332*S1332*AD1332*[2]ステータス!$B$2,0)</f>
        <v>155571</v>
      </c>
      <c r="AK1332" s="99">
        <f>ROUND(VLOOKUP(100,enemy_base_stats!$A:$F,3,FALSE)* Z1332* K1332*P1332*F1332*T1332*AE1332 * W1332*[2]ステータス!$C$2,0)</f>
        <v>9605</v>
      </c>
      <c r="AL1332" s="99">
        <f>ROUND(VLOOKUP(100,enemy_base_stats!$A:$F,4,FALSE)* AA1332* L1332*Q1332*G1332*U1332*AF1332*[2]ステータス!$D$2,0)</f>
        <v>0</v>
      </c>
      <c r="AM1332" s="97">
        <f>VLOOKUP(M1332,[2]character_tribe_i18n!$A:$I,9,FALSE)</f>
        <v>540</v>
      </c>
      <c r="AN1332" s="36">
        <v>0</v>
      </c>
      <c r="AO1332" s="53">
        <v>0</v>
      </c>
      <c r="AP1332" s="58" t="s">
        <v>72</v>
      </c>
      <c r="AQ1332" s="71">
        <f t="shared" si="74"/>
        <v>1358</v>
      </c>
    </row>
    <row r="1333" spans="1:43" ht="21" customHeight="1" x14ac:dyDescent="0.15">
      <c r="A1333" s="7">
        <v>1359</v>
      </c>
      <c r="B1333" s="6" t="str">
        <f>VLOOKUP(A1333,[2]characters!$A:$C,3,FALSE)</f>
        <v>コルネ</v>
      </c>
      <c r="C1333" s="9">
        <f>VLOOKUP(A1333,[2]characters!$A:$I,9,FALSE)</f>
        <v>5</v>
      </c>
      <c r="D1333" s="9" t="str">
        <f>VLOOKUP(A1333,[2]characters!$A:$H,8,FALSE)</f>
        <v>red</v>
      </c>
      <c r="E1333" s="24">
        <f>VLOOKUP(D1333,[2]属性!$A:$E,2,FALSE)</f>
        <v>1</v>
      </c>
      <c r="F1333" s="24">
        <f>VLOOKUP(D1333,[2]属性!$A:$E,3,FALSE)</f>
        <v>1.02</v>
      </c>
      <c r="G1333" s="24">
        <f>VLOOKUP(D1333,[2]属性!$A:$F,4,FALSE)</f>
        <v>1</v>
      </c>
      <c r="H1333" s="9" t="str">
        <f>VLOOKUP(A1333,[2]characters!$A:$K,11,FALSE)</f>
        <v>balance</v>
      </c>
      <c r="I1333" s="14" t="str">
        <f>VLOOKUP(H1333,[2]character_type_i18n!$A:$F,3,FALSE)</f>
        <v>バランスタイプ</v>
      </c>
      <c r="J1333" s="36">
        <f>VLOOKUP(H1333,[2]character_type_i18n!$A:$F,4,FALSE)</f>
        <v>1</v>
      </c>
      <c r="K1333" s="36">
        <f>VLOOKUP(H1333,[2]character_type_i18n!$A:$F,5,FALSE)</f>
        <v>1</v>
      </c>
      <c r="L1333" s="36">
        <f>VLOOKUP(H1333,[2]character_type_i18n!$A:$F,6,FALSE)</f>
        <v>1</v>
      </c>
      <c r="M1333" s="9" t="str">
        <f>VLOOKUP(A1333,[2]characters!$A:$M,13,FALSE)</f>
        <v>human</v>
      </c>
      <c r="N1333" s="14" t="str">
        <f>VLOOKUP(M1333,[2]character_tribe_i18n!$A:$F,3,FALSE)</f>
        <v>ヒューマン</v>
      </c>
      <c r="O1333" s="24">
        <f>VLOOKUP(M1333,[2]character_tribe_i18n!$A:$F,4,FALSE)</f>
        <v>0.94</v>
      </c>
      <c r="P1333" s="24">
        <f>VLOOKUP(M1333,[2]character_tribe_i18n!$A:$F,5,FALSE)</f>
        <v>0.99</v>
      </c>
      <c r="Q1333" s="24">
        <f>VLOOKUP(M1333,[2]character_tribe_i18n!$A:$F,6,FALSE)</f>
        <v>1</v>
      </c>
      <c r="R1333" s="25" t="s">
        <v>98</v>
      </c>
      <c r="S1333" s="24">
        <f>VLOOKUP($R1333,ラベル別係数!$A$1:$E$7,3,FALSE)</f>
        <v>5</v>
      </c>
      <c r="T1333" s="24">
        <f>VLOOKUP($R1333,ラベル別係数!$A$1:$E$7,4,FALSE)</f>
        <v>1.3</v>
      </c>
      <c r="U1333" s="24">
        <f>VLOOKUP($R1333,ラベル別係数!$A$1:$E$7,5,FALSE)</f>
        <v>0.8</v>
      </c>
      <c r="V1333" s="27">
        <v>3</v>
      </c>
      <c r="W1333" s="28">
        <f>VLOOKUP(V1333,ターン数別攻撃係数!$A$1:$B$1000,2,FALSE)</f>
        <v>1</v>
      </c>
      <c r="X1333" s="9">
        <f>VLOOKUP(C1333,サイズ別係数!A$2:B$9,2,FALSE)</f>
        <v>60</v>
      </c>
      <c r="Y1333" s="26">
        <f>VLOOKUP($X1333,サイズ別係数!$B:$E,2,FALSE)</f>
        <v>1.7</v>
      </c>
      <c r="Z1333" s="26">
        <f>VLOOKUP($X1333,サイズ別係数!$B:$E,3,FALSE)</f>
        <v>1.4</v>
      </c>
      <c r="AA1333" s="26">
        <f>VLOOKUP($X1333,サイズ別係数!$B:$E,4,FALSE)</f>
        <v>1</v>
      </c>
      <c r="AB1333" s="5">
        <v>0</v>
      </c>
      <c r="AC1333" s="34" t="str">
        <f ca="1">VLOOKUP($AB1333,OFFSET([3]enemy_skill_sets!$B$2,0,0,COUNTA([3]enemy_skill_sets!$A:$A),MATCH(AC$1,[3]enemy_skill_sets!$1:$1,0)-MATCH($AB$1,[3]enemy_skill_sets!$1:$1,0)+1),MATCH(AC$1,[3]enemy_skill_sets!$1:$1,0)-MATCH($AB$1,[3]enemy_skill_sets!$1:$1,0)+1,FALSE)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3" s="67">
        <v>1</v>
      </c>
      <c r="AE1333" s="67">
        <v>1</v>
      </c>
      <c r="AF1333" s="37">
        <v>0</v>
      </c>
      <c r="AG1333" s="99">
        <f>ROUND(VLOOKUP(1,enemy_base_stats!$A:$F,2,FALSE) * Y1333* J1333*O1333*E1333*S1333*AD1333*[2]ステータス!$B$2,0)</f>
        <v>3995</v>
      </c>
      <c r="AH1333" s="99">
        <f>ROUND(VLOOKUP(1,enemy_base_stats!$A:$F,3,FALSE) * Z1333*K1333*P1333*F1333*T1333*AE1333 * W1333*[2]ステータス!$C$2,0)</f>
        <v>276</v>
      </c>
      <c r="AI1333" s="99">
        <f>ROUND(VLOOKUP(1,enemy_base_stats!$A:$F,4,FALSE) * AA1333*L1333*Q1333*G1333*U1333*AF1333*[2]ステータス!$D$2,0)</f>
        <v>0</v>
      </c>
      <c r="AJ1333" s="99">
        <f>ROUND(VLOOKUP(100,enemy_base_stats!$A:$F,2,FALSE) * Y1333* J1333*O1333*E1333*S1333*AD1333*[2]ステータス!$B$2,0)</f>
        <v>162197</v>
      </c>
      <c r="AK1333" s="99">
        <f>ROUND(VLOOKUP(100,enemy_base_stats!$A:$F,3,FALSE)* Z1333* K1333*P1333*F1333*T1333*AE1333 * W1333*[2]ステータス!$C$2,0)</f>
        <v>11192</v>
      </c>
      <c r="AL1333" s="99">
        <f>ROUND(VLOOKUP(100,enemy_base_stats!$A:$F,4,FALSE)* AA1333* L1333*Q1333*G1333*U1333*AF1333*[2]ステータス!$D$2,0)</f>
        <v>0</v>
      </c>
      <c r="AM1333" s="97">
        <f>VLOOKUP(M1333,[2]character_tribe_i18n!$A:$I,9,FALSE)</f>
        <v>400</v>
      </c>
      <c r="AN1333" s="36">
        <v>0</v>
      </c>
      <c r="AO1333" s="53">
        <v>0</v>
      </c>
      <c r="AP1333" s="58" t="s">
        <v>72</v>
      </c>
      <c r="AQ1333" s="71">
        <f t="shared" si="74"/>
        <v>1359</v>
      </c>
    </row>
    <row r="1334" spans="1:43" ht="21" customHeight="1" x14ac:dyDescent="0.15">
      <c r="A1334" s="7">
        <v>1360</v>
      </c>
      <c r="B1334" s="6" t="str">
        <f>VLOOKUP(A1334,[2]characters!$A:$C,3,FALSE)</f>
        <v>恋話の散弾 コルネ</v>
      </c>
      <c r="C1334" s="9">
        <f>VLOOKUP(A1334,[2]characters!$A:$I,9,FALSE)</f>
        <v>6</v>
      </c>
      <c r="D1334" s="9" t="str">
        <f>VLOOKUP(A1334,[2]characters!$A:$H,8,FALSE)</f>
        <v>red</v>
      </c>
      <c r="E1334" s="24">
        <f>VLOOKUP(D1334,[2]属性!$A:$E,2,FALSE)</f>
        <v>1</v>
      </c>
      <c r="F1334" s="24">
        <f>VLOOKUP(D1334,[2]属性!$A:$E,3,FALSE)</f>
        <v>1.02</v>
      </c>
      <c r="G1334" s="24">
        <f>VLOOKUP(D1334,[2]属性!$A:$F,4,FALSE)</f>
        <v>1</v>
      </c>
      <c r="H1334" s="9" t="str">
        <f>VLOOKUP(A1334,[2]characters!$A:$K,11,FALSE)</f>
        <v>balance</v>
      </c>
      <c r="I1334" s="14" t="str">
        <f>VLOOKUP(H1334,[2]character_type_i18n!$A:$F,3,FALSE)</f>
        <v>バランスタイプ</v>
      </c>
      <c r="J1334" s="36">
        <f>VLOOKUP(H1334,[2]character_type_i18n!$A:$F,4,FALSE)</f>
        <v>1</v>
      </c>
      <c r="K1334" s="36">
        <f>VLOOKUP(H1334,[2]character_type_i18n!$A:$F,5,FALSE)</f>
        <v>1</v>
      </c>
      <c r="L1334" s="36">
        <f>VLOOKUP(H1334,[2]character_type_i18n!$A:$F,6,FALSE)</f>
        <v>1</v>
      </c>
      <c r="M1334" s="9" t="str">
        <f>VLOOKUP(A1334,[2]characters!$A:$M,13,FALSE)</f>
        <v>human</v>
      </c>
      <c r="N1334" s="14" t="str">
        <f>VLOOKUP(M1334,[2]character_tribe_i18n!$A:$F,3,FALSE)</f>
        <v>ヒューマン</v>
      </c>
      <c r="O1334" s="24">
        <f>VLOOKUP(M1334,[2]character_tribe_i18n!$A:$F,4,FALSE)</f>
        <v>0.94</v>
      </c>
      <c r="P1334" s="24">
        <f>VLOOKUP(M1334,[2]character_tribe_i18n!$A:$F,5,FALSE)</f>
        <v>0.99</v>
      </c>
      <c r="Q1334" s="24">
        <f>VLOOKUP(M1334,[2]character_tribe_i18n!$A:$F,6,FALSE)</f>
        <v>1</v>
      </c>
      <c r="R1334" s="25" t="s">
        <v>98</v>
      </c>
      <c r="S1334" s="24">
        <f>VLOOKUP($R1334,ラベル別係数!$A$1:$E$7,3,FALSE)</f>
        <v>5</v>
      </c>
      <c r="T1334" s="24">
        <f>VLOOKUP($R1334,ラベル別係数!$A$1:$E$7,4,FALSE)</f>
        <v>1.3</v>
      </c>
      <c r="U1334" s="24">
        <f>VLOOKUP($R1334,ラベル別係数!$A$1:$E$7,5,FALSE)</f>
        <v>0.8</v>
      </c>
      <c r="V1334" s="27">
        <v>3</v>
      </c>
      <c r="W1334" s="28">
        <f>VLOOKUP(V1334,ターン数別攻撃係数!$A$1:$B$1000,2,FALSE)</f>
        <v>1</v>
      </c>
      <c r="X1334" s="9">
        <f>VLOOKUP(C1334,サイズ別係数!A$2:B$9,2,FALSE)</f>
        <v>60</v>
      </c>
      <c r="Y1334" s="26">
        <f>VLOOKUP($X1334,サイズ別係数!$B:$E,2,FALSE)</f>
        <v>1.7</v>
      </c>
      <c r="Z1334" s="26">
        <f>VLOOKUP($X1334,サイズ別係数!$B:$E,3,FALSE)</f>
        <v>1.4</v>
      </c>
      <c r="AA1334" s="26">
        <f>VLOOKUP($X1334,サイズ別係数!$B:$E,4,FALSE)</f>
        <v>1</v>
      </c>
      <c r="AB1334" s="5">
        <v>0</v>
      </c>
      <c r="AC1334" s="34" t="str">
        <f ca="1">VLOOKUP($AB1334,OFFSET([3]enemy_skill_sets!$B$2,0,0,COUNTA([3]enemy_skill_sets!$A:$A),MATCH(AC$1,[3]enemy_skill_sets!$1:$1,0)-MATCH($AB$1,[3]enemy_skill_sets!$1:$1,0)+1),MATCH(AC$1,[3]enemy_skill_sets!$1:$1,0)-MATCH($AB$1,[3]enemy_skill_sets!$1:$1,0)+1,FALSE)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4" s="67">
        <v>1</v>
      </c>
      <c r="AE1334" s="67">
        <v>1</v>
      </c>
      <c r="AF1334" s="37">
        <v>0</v>
      </c>
      <c r="AG1334" s="99">
        <f>ROUND(VLOOKUP(1,enemy_base_stats!$A:$F,2,FALSE) * Y1334* J1334*O1334*E1334*S1334*AD1334*[2]ステータス!$B$2,0)</f>
        <v>3995</v>
      </c>
      <c r="AH1334" s="99">
        <f>ROUND(VLOOKUP(1,enemy_base_stats!$A:$F,3,FALSE) * Z1334*K1334*P1334*F1334*T1334*AE1334 * W1334*[2]ステータス!$C$2,0)</f>
        <v>276</v>
      </c>
      <c r="AI1334" s="99">
        <f>ROUND(VLOOKUP(1,enemy_base_stats!$A:$F,4,FALSE) * AA1334*L1334*Q1334*G1334*U1334*AF1334*[2]ステータス!$D$2,0)</f>
        <v>0</v>
      </c>
      <c r="AJ1334" s="99">
        <f>ROUND(VLOOKUP(100,enemy_base_stats!$A:$F,2,FALSE) * Y1334* J1334*O1334*E1334*S1334*AD1334*[2]ステータス!$B$2,0)</f>
        <v>162197</v>
      </c>
      <c r="AK1334" s="99">
        <f>ROUND(VLOOKUP(100,enemy_base_stats!$A:$F,3,FALSE)* Z1334* K1334*P1334*F1334*T1334*AE1334 * W1334*[2]ステータス!$C$2,0)</f>
        <v>11192</v>
      </c>
      <c r="AL1334" s="99">
        <f>ROUND(VLOOKUP(100,enemy_base_stats!$A:$F,4,FALSE)* AA1334* L1334*Q1334*G1334*U1334*AF1334*[2]ステータス!$D$2,0)</f>
        <v>0</v>
      </c>
      <c r="AM1334" s="97">
        <f>VLOOKUP(M1334,[2]character_tribe_i18n!$A:$I,9,FALSE)</f>
        <v>400</v>
      </c>
      <c r="AN1334" s="36">
        <v>0</v>
      </c>
      <c r="AO1334" s="53">
        <v>0</v>
      </c>
      <c r="AP1334" s="58" t="s">
        <v>72</v>
      </c>
      <c r="AQ1334" s="71">
        <f t="shared" si="74"/>
        <v>1360</v>
      </c>
    </row>
    <row r="1335" spans="1:43" ht="21" customHeight="1" x14ac:dyDescent="0.15">
      <c r="A1335" s="7">
        <v>1362</v>
      </c>
      <c r="B1335" s="6" t="str">
        <f>VLOOKUP(A1335,[2]characters!$A:$C,3,FALSE)</f>
        <v>刺撃する尖甘槍 フォンデュ</v>
      </c>
      <c r="C1335" s="9">
        <f>VLOOKUP(A1335,[2]characters!$A:$I,9,FALSE)</f>
        <v>6</v>
      </c>
      <c r="D1335" s="9" t="str">
        <f>VLOOKUP(A1335,[2]characters!$A:$H,8,FALSE)</f>
        <v>red</v>
      </c>
      <c r="E1335" s="24">
        <f>VLOOKUP(D1335,[2]属性!$A:$E,2,FALSE)</f>
        <v>1</v>
      </c>
      <c r="F1335" s="24">
        <f>VLOOKUP(D1335,[2]属性!$A:$E,3,FALSE)</f>
        <v>1.02</v>
      </c>
      <c r="G1335" s="24">
        <f>VLOOKUP(D1335,[2]属性!$A:$F,4,FALSE)</f>
        <v>1</v>
      </c>
      <c r="H1335" s="9" t="str">
        <f>VLOOKUP(A1335,[2]characters!$A:$K,11,FALSE)</f>
        <v>heal</v>
      </c>
      <c r="I1335" s="14" t="str">
        <f>VLOOKUP(H1335,[2]character_type_i18n!$A:$F,3,FALSE)</f>
        <v>回復タイプ</v>
      </c>
      <c r="J1335" s="36">
        <f>VLOOKUP(H1335,[2]character_type_i18n!$A:$F,4,FALSE)</f>
        <v>0.8</v>
      </c>
      <c r="K1335" s="36">
        <f>VLOOKUP(H1335,[2]character_type_i18n!$A:$F,5,FALSE)</f>
        <v>0.78</v>
      </c>
      <c r="L1335" s="36">
        <f>VLOOKUP(H1335,[2]character_type_i18n!$A:$F,6,FALSE)</f>
        <v>1</v>
      </c>
      <c r="M1335" s="9" t="str">
        <f>VLOOKUP(A1335,[2]characters!$A:$M,13,FALSE)</f>
        <v>human</v>
      </c>
      <c r="N1335" s="14" t="str">
        <f>VLOOKUP(M1335,[2]character_tribe_i18n!$A:$F,3,FALSE)</f>
        <v>ヒューマン</v>
      </c>
      <c r="O1335" s="24">
        <f>VLOOKUP(M1335,[2]character_tribe_i18n!$A:$F,4,FALSE)</f>
        <v>0.94</v>
      </c>
      <c r="P1335" s="24">
        <f>VLOOKUP(M1335,[2]character_tribe_i18n!$A:$F,5,FALSE)</f>
        <v>0.99</v>
      </c>
      <c r="Q1335" s="24">
        <f>VLOOKUP(M1335,[2]character_tribe_i18n!$A:$F,6,FALSE)</f>
        <v>1</v>
      </c>
      <c r="R1335" s="25" t="s">
        <v>98</v>
      </c>
      <c r="S1335" s="24">
        <f>VLOOKUP($R1335,ラベル別係数!$A$1:$E$7,3,FALSE)</f>
        <v>5</v>
      </c>
      <c r="T1335" s="24">
        <f>VLOOKUP($R1335,ラベル別係数!$A$1:$E$7,4,FALSE)</f>
        <v>1.3</v>
      </c>
      <c r="U1335" s="24">
        <f>VLOOKUP($R1335,ラベル別係数!$A$1:$E$7,5,FALSE)</f>
        <v>0.8</v>
      </c>
      <c r="V1335" s="27">
        <v>3</v>
      </c>
      <c r="W1335" s="28">
        <f>VLOOKUP(V1335,ターン数別攻撃係数!$A$1:$B$1000,2,FALSE)</f>
        <v>1</v>
      </c>
      <c r="X1335" s="9">
        <f>VLOOKUP(C1335,サイズ別係数!A$2:B$9,2,FALSE)</f>
        <v>60</v>
      </c>
      <c r="Y1335" s="26">
        <f>VLOOKUP($X1335,サイズ別係数!$B:$E,2,FALSE)</f>
        <v>1.7</v>
      </c>
      <c r="Z1335" s="26">
        <f>VLOOKUP($X1335,サイズ別係数!$B:$E,3,FALSE)</f>
        <v>1.4</v>
      </c>
      <c r="AA1335" s="26">
        <f>VLOOKUP($X1335,サイズ別係数!$B:$E,4,FALSE)</f>
        <v>1</v>
      </c>
      <c r="AB1335" s="5">
        <v>0</v>
      </c>
      <c r="AC1335" s="34" t="str">
        <f ca="1">VLOOKUP($AB1335,OFFSET([3]enemy_skill_sets!$B$2,0,0,COUNTA([3]enemy_skill_sets!$A:$A),MATCH(AC$1,[3]enemy_skill_sets!$1:$1,0)-MATCH($AB$1,[3]enemy_skill_sets!$1:$1,0)+1),MATCH(AC$1,[3]enemy_skill_sets!$1:$1,0)-MATCH($AB$1,[3]enemy_skill_sets!$1:$1,0)+1,FALSE)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5" s="67">
        <v>1</v>
      </c>
      <c r="AE1335" s="67">
        <v>1</v>
      </c>
      <c r="AF1335" s="37">
        <v>0</v>
      </c>
      <c r="AG1335" s="99">
        <f>ROUND(VLOOKUP(1,enemy_base_stats!$A:$F,2,FALSE) * Y1335* J1335*O1335*E1335*S1335*AD1335*[2]ステータス!$B$2,0)</f>
        <v>3196</v>
      </c>
      <c r="AH1335" s="99">
        <f>ROUND(VLOOKUP(1,enemy_base_stats!$A:$F,3,FALSE) * Z1335*K1335*P1335*F1335*T1335*AE1335 * W1335*[2]ステータス!$C$2,0)</f>
        <v>215</v>
      </c>
      <c r="AI1335" s="99">
        <f>ROUND(VLOOKUP(1,enemy_base_stats!$A:$F,4,FALSE) * AA1335*L1335*Q1335*G1335*U1335*AF1335*[2]ステータス!$D$2,0)</f>
        <v>0</v>
      </c>
      <c r="AJ1335" s="99">
        <f>ROUND(VLOOKUP(100,enemy_base_stats!$A:$F,2,FALSE) * Y1335* J1335*O1335*E1335*S1335*AD1335*[2]ステータス!$B$2,0)</f>
        <v>129758</v>
      </c>
      <c r="AK1335" s="99">
        <f>ROUND(VLOOKUP(100,enemy_base_stats!$A:$F,3,FALSE)* Z1335* K1335*P1335*F1335*T1335*AE1335 * W1335*[2]ステータス!$C$2,0)</f>
        <v>8730</v>
      </c>
      <c r="AL1335" s="99">
        <f>ROUND(VLOOKUP(100,enemy_base_stats!$A:$F,4,FALSE)* AA1335* L1335*Q1335*G1335*U1335*AF1335*[2]ステータス!$D$2,0)</f>
        <v>0</v>
      </c>
      <c r="AM1335" s="97">
        <f>VLOOKUP(M1335,[2]character_tribe_i18n!$A:$I,9,FALSE)</f>
        <v>400</v>
      </c>
      <c r="AN1335" s="36">
        <v>0</v>
      </c>
      <c r="AO1335" s="53">
        <v>0</v>
      </c>
      <c r="AP1335" s="58" t="s">
        <v>72</v>
      </c>
      <c r="AQ1335" s="71">
        <f t="shared" si="74"/>
        <v>1362</v>
      </c>
    </row>
    <row r="1336" spans="1:43" ht="21" customHeight="1" x14ac:dyDescent="0.15">
      <c r="A1336" s="7">
        <v>1363</v>
      </c>
      <c r="B1336" s="6" t="str">
        <f>VLOOKUP(A1336,[2]characters!$A:$C,3,FALSE)</f>
        <v>聖白の夢菓子 ヴァニレ</v>
      </c>
      <c r="C1336" s="9">
        <f>VLOOKUP(A1336,[2]characters!$A:$I,9,FALSE)</f>
        <v>6</v>
      </c>
      <c r="D1336" s="9" t="str">
        <f>VLOOKUP(A1336,[2]characters!$A:$H,8,FALSE)</f>
        <v>blue</v>
      </c>
      <c r="E1336" s="24">
        <f>VLOOKUP(D1336,[2]属性!$A:$E,2,FALSE)</f>
        <v>1</v>
      </c>
      <c r="F1336" s="24">
        <f>VLOOKUP(D1336,[2]属性!$A:$E,3,FALSE)</f>
        <v>0.98</v>
      </c>
      <c r="G1336" s="24">
        <f>VLOOKUP(D1336,[2]属性!$A:$F,4,FALSE)</f>
        <v>1</v>
      </c>
      <c r="H1336" s="9" t="str">
        <f>VLOOKUP(A1336,[2]characters!$A:$K,11,FALSE)</f>
        <v>attack</v>
      </c>
      <c r="I1336" s="14" t="str">
        <f>VLOOKUP(H1336,[2]character_type_i18n!$A:$F,3,FALSE)</f>
        <v>攻撃タイプ</v>
      </c>
      <c r="J1336" s="36">
        <f>VLOOKUP(H1336,[2]character_type_i18n!$A:$F,4,FALSE)</f>
        <v>1</v>
      </c>
      <c r="K1336" s="36">
        <f>VLOOKUP(H1336,[2]character_type_i18n!$A:$F,5,FALSE)</f>
        <v>1.33</v>
      </c>
      <c r="L1336" s="36">
        <f>VLOOKUP(H1336,[2]character_type_i18n!$A:$F,6,FALSE)</f>
        <v>1</v>
      </c>
      <c r="M1336" s="9" t="str">
        <f>VLOOKUP(A1336,[2]characters!$A:$M,13,FALSE)</f>
        <v>human</v>
      </c>
      <c r="N1336" s="14" t="str">
        <f>VLOOKUP(M1336,[2]character_tribe_i18n!$A:$F,3,FALSE)</f>
        <v>ヒューマン</v>
      </c>
      <c r="O1336" s="24">
        <f>VLOOKUP(M1336,[2]character_tribe_i18n!$A:$F,4,FALSE)</f>
        <v>0.94</v>
      </c>
      <c r="P1336" s="24">
        <f>VLOOKUP(M1336,[2]character_tribe_i18n!$A:$F,5,FALSE)</f>
        <v>0.99</v>
      </c>
      <c r="Q1336" s="24">
        <f>VLOOKUP(M1336,[2]character_tribe_i18n!$A:$F,6,FALSE)</f>
        <v>1</v>
      </c>
      <c r="R1336" s="25" t="s">
        <v>98</v>
      </c>
      <c r="S1336" s="24">
        <f>VLOOKUP($R1336,ラベル別係数!$A$1:$E$7,3,FALSE)</f>
        <v>5</v>
      </c>
      <c r="T1336" s="24">
        <f>VLOOKUP($R1336,ラベル別係数!$A$1:$E$7,4,FALSE)</f>
        <v>1.3</v>
      </c>
      <c r="U1336" s="24">
        <f>VLOOKUP($R1336,ラベル別係数!$A$1:$E$7,5,FALSE)</f>
        <v>0.8</v>
      </c>
      <c r="V1336" s="27">
        <v>3</v>
      </c>
      <c r="W1336" s="28">
        <f>VLOOKUP(V1336,ターン数別攻撃係数!$A$1:$B$1000,2,FALSE)</f>
        <v>1</v>
      </c>
      <c r="X1336" s="9">
        <f>VLOOKUP(C1336,サイズ別係数!A$2:B$9,2,FALSE)</f>
        <v>60</v>
      </c>
      <c r="Y1336" s="26">
        <f>VLOOKUP($X1336,サイズ別係数!$B:$E,2,FALSE)</f>
        <v>1.7</v>
      </c>
      <c r="Z1336" s="26">
        <f>VLOOKUP($X1336,サイズ別係数!$B:$E,3,FALSE)</f>
        <v>1.4</v>
      </c>
      <c r="AA1336" s="26">
        <f>VLOOKUP($X1336,サイズ別係数!$B:$E,4,FALSE)</f>
        <v>1</v>
      </c>
      <c r="AB1336" s="5">
        <v>0</v>
      </c>
      <c r="AC1336" s="34" t="str">
        <f ca="1">VLOOKUP($AB1336,OFFSET([3]enemy_skill_sets!$B$2,0,0,COUNTA([3]enemy_skill_sets!$A:$A),MATCH(AC$1,[3]enemy_skill_sets!$1:$1,0)-MATCH($AB$1,[3]enemy_skill_sets!$1:$1,0)+1),MATCH(AC$1,[3]enemy_skill_sets!$1:$1,0)-MATCH($AB$1,[3]enemy_skill_sets!$1:$1,0)+1,FALSE)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6" s="67">
        <v>1</v>
      </c>
      <c r="AE1336" s="67">
        <v>1</v>
      </c>
      <c r="AF1336" s="37">
        <v>0</v>
      </c>
      <c r="AG1336" s="99">
        <f>ROUND(VLOOKUP(1,enemy_base_stats!$A:$F,2,FALSE) * Y1336* J1336*O1336*E1336*S1336*AD1336*[2]ステータス!$B$2,0)</f>
        <v>3995</v>
      </c>
      <c r="AH1336" s="99">
        <f>ROUND(VLOOKUP(1,enemy_base_stats!$A:$F,3,FALSE) * Z1336*K1336*P1336*F1336*T1336*AE1336 * W1336*[2]ステータス!$C$2,0)</f>
        <v>352</v>
      </c>
      <c r="AI1336" s="99">
        <f>ROUND(VLOOKUP(1,enemy_base_stats!$A:$F,4,FALSE) * AA1336*L1336*Q1336*G1336*U1336*AF1336*[2]ステータス!$D$2,0)</f>
        <v>0</v>
      </c>
      <c r="AJ1336" s="99">
        <f>ROUND(VLOOKUP(100,enemy_base_stats!$A:$F,2,FALSE) * Y1336* J1336*O1336*E1336*S1336*AD1336*[2]ステータス!$B$2,0)</f>
        <v>162197</v>
      </c>
      <c r="AK1336" s="99">
        <f>ROUND(VLOOKUP(100,enemy_base_stats!$A:$F,3,FALSE)* Z1336* K1336*P1336*F1336*T1336*AE1336 * W1336*[2]ステータス!$C$2,0)</f>
        <v>14302</v>
      </c>
      <c r="AL1336" s="99">
        <f>ROUND(VLOOKUP(100,enemy_base_stats!$A:$F,4,FALSE)* AA1336* L1336*Q1336*G1336*U1336*AF1336*[2]ステータス!$D$2,0)</f>
        <v>0</v>
      </c>
      <c r="AM1336" s="97">
        <f>VLOOKUP(M1336,[2]character_tribe_i18n!$A:$I,9,FALSE)</f>
        <v>400</v>
      </c>
      <c r="AN1336" s="36">
        <v>0</v>
      </c>
      <c r="AO1336" s="53">
        <v>0</v>
      </c>
      <c r="AP1336" s="58" t="s">
        <v>72</v>
      </c>
      <c r="AQ1336" s="71">
        <f t="shared" si="74"/>
        <v>1363</v>
      </c>
    </row>
    <row r="1337" spans="1:43" ht="21" customHeight="1" x14ac:dyDescent="0.15">
      <c r="A1337" s="7">
        <v>1364</v>
      </c>
      <c r="B1337" s="6" t="str">
        <f>VLOOKUP(A1337,[2]characters!$A:$C,3,FALSE)</f>
        <v>百菓の甘味家 パティ</v>
      </c>
      <c r="C1337" s="9">
        <f>VLOOKUP(A1337,[2]characters!$A:$I,9,FALSE)</f>
        <v>6</v>
      </c>
      <c r="D1337" s="9" t="str">
        <f>VLOOKUP(A1337,[2]characters!$A:$H,8,FALSE)</f>
        <v>green</v>
      </c>
      <c r="E1337" s="24">
        <f>VLOOKUP(D1337,[2]属性!$A:$E,2,FALSE)</f>
        <v>1.02</v>
      </c>
      <c r="F1337" s="24">
        <f>VLOOKUP(D1337,[2]属性!$A:$E,3,FALSE)</f>
        <v>0.98</v>
      </c>
      <c r="G1337" s="24">
        <f>VLOOKUP(D1337,[2]属性!$A:$F,4,FALSE)</f>
        <v>1</v>
      </c>
      <c r="H1337" s="9" t="str">
        <f>VLOOKUP(A1337,[2]characters!$A:$K,11,FALSE)</f>
        <v>balance</v>
      </c>
      <c r="I1337" s="14" t="str">
        <f>VLOOKUP(H1337,[2]character_type_i18n!$A:$F,3,FALSE)</f>
        <v>バランスタイプ</v>
      </c>
      <c r="J1337" s="36">
        <f>VLOOKUP(H1337,[2]character_type_i18n!$A:$F,4,FALSE)</f>
        <v>1</v>
      </c>
      <c r="K1337" s="36">
        <f>VLOOKUP(H1337,[2]character_type_i18n!$A:$F,5,FALSE)</f>
        <v>1</v>
      </c>
      <c r="L1337" s="36">
        <f>VLOOKUP(H1337,[2]character_type_i18n!$A:$F,6,FALSE)</f>
        <v>1</v>
      </c>
      <c r="M1337" s="9" t="str">
        <f>VLOOKUP(A1337,[2]characters!$A:$M,13,FALSE)</f>
        <v>human</v>
      </c>
      <c r="N1337" s="14" t="str">
        <f>VLOOKUP(M1337,[2]character_tribe_i18n!$A:$F,3,FALSE)</f>
        <v>ヒューマン</v>
      </c>
      <c r="O1337" s="24">
        <f>VLOOKUP(M1337,[2]character_tribe_i18n!$A:$F,4,FALSE)</f>
        <v>0.94</v>
      </c>
      <c r="P1337" s="24">
        <f>VLOOKUP(M1337,[2]character_tribe_i18n!$A:$F,5,FALSE)</f>
        <v>0.99</v>
      </c>
      <c r="Q1337" s="24">
        <f>VLOOKUP(M1337,[2]character_tribe_i18n!$A:$F,6,FALSE)</f>
        <v>1</v>
      </c>
      <c r="R1337" s="25" t="s">
        <v>98</v>
      </c>
      <c r="S1337" s="24">
        <f>VLOOKUP($R1337,ラベル別係数!$A$1:$E$7,3,FALSE)</f>
        <v>5</v>
      </c>
      <c r="T1337" s="24">
        <f>VLOOKUP($R1337,ラベル別係数!$A$1:$E$7,4,FALSE)</f>
        <v>1.3</v>
      </c>
      <c r="U1337" s="24">
        <f>VLOOKUP($R1337,ラベル別係数!$A$1:$E$7,5,FALSE)</f>
        <v>0.8</v>
      </c>
      <c r="V1337" s="27">
        <v>3</v>
      </c>
      <c r="W1337" s="28">
        <f>VLOOKUP(V1337,ターン数別攻撃係数!$A$1:$B$1000,2,FALSE)</f>
        <v>1</v>
      </c>
      <c r="X1337" s="9">
        <f>VLOOKUP(C1337,サイズ別係数!A$2:B$9,2,FALSE)</f>
        <v>60</v>
      </c>
      <c r="Y1337" s="26">
        <f>VLOOKUP($X1337,サイズ別係数!$B:$E,2,FALSE)</f>
        <v>1.7</v>
      </c>
      <c r="Z1337" s="26">
        <f>VLOOKUP($X1337,サイズ別係数!$B:$E,3,FALSE)</f>
        <v>1.4</v>
      </c>
      <c r="AA1337" s="26">
        <f>VLOOKUP($X1337,サイズ別係数!$B:$E,4,FALSE)</f>
        <v>1</v>
      </c>
      <c r="AB1337" s="5">
        <v>0</v>
      </c>
      <c r="AC1337" s="34" t="str">
        <f ca="1">VLOOKUP($AB1337,OFFSET([3]enemy_skill_sets!$B$2,0,0,COUNTA([3]enemy_skill_sets!$A:$A),MATCH(AC$1,[3]enemy_skill_sets!$1:$1,0)-MATCH($AB$1,[3]enemy_skill_sets!$1:$1,0)+1),MATCH(AC$1,[3]enemy_skill_sets!$1:$1,0)-MATCH($AB$1,[3]enemy_skill_sets!$1:$1,0)+1,FALSE)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7" s="67">
        <v>1</v>
      </c>
      <c r="AE1337" s="67">
        <v>1</v>
      </c>
      <c r="AF1337" s="37">
        <v>0</v>
      </c>
      <c r="AG1337" s="41">
        <v>4075</v>
      </c>
      <c r="AH1337" s="41">
        <v>352</v>
      </c>
      <c r="AI1337" s="41">
        <v>0</v>
      </c>
      <c r="AJ1337" s="41">
        <v>165441</v>
      </c>
      <c r="AK1337" s="41">
        <v>14302</v>
      </c>
      <c r="AL1337" s="41">
        <v>0</v>
      </c>
      <c r="AM1337" s="97">
        <f>VLOOKUP(M1337,[2]character_tribe_i18n!$A:$I,9,FALSE)</f>
        <v>400</v>
      </c>
      <c r="AN1337" s="36">
        <v>0</v>
      </c>
      <c r="AO1337" s="53">
        <v>0</v>
      </c>
      <c r="AP1337" s="58" t="s">
        <v>72</v>
      </c>
      <c r="AQ1337" s="71">
        <f t="shared" si="74"/>
        <v>1364</v>
      </c>
    </row>
    <row r="1338" spans="1:43" ht="21" customHeight="1" x14ac:dyDescent="0.15">
      <c r="A1338" s="7">
        <v>1373</v>
      </c>
      <c r="B1338" s="6" t="str">
        <f>VLOOKUP(A1338,[2]characters!$A:$C,3,FALSE)</f>
        <v>スリー・ピギーズ</v>
      </c>
      <c r="C1338" s="9">
        <f>VLOOKUP(A1338,[2]characters!$A:$I,9,FALSE)</f>
        <v>4</v>
      </c>
      <c r="D1338" s="9" t="str">
        <f>VLOOKUP(A1338,[2]characters!$A:$H,8,FALSE)</f>
        <v>yellow</v>
      </c>
      <c r="E1338" s="24">
        <f>VLOOKUP(D1338,[2]属性!$A:$E,2,FALSE)</f>
        <v>0.98</v>
      </c>
      <c r="F1338" s="24">
        <f>VLOOKUP(D1338,[2]属性!$A:$E,3,FALSE)</f>
        <v>1.01</v>
      </c>
      <c r="G1338" s="24">
        <f>VLOOKUP(D1338,[2]属性!$A:$F,4,FALSE)</f>
        <v>1</v>
      </c>
      <c r="H1338" s="9" t="str">
        <f>VLOOKUP(A1338,[2]characters!$A:$K,11,FALSE)</f>
        <v>technical</v>
      </c>
      <c r="I1338" s="14" t="str">
        <f>VLOOKUP(H1338,[2]character_type_i18n!$A:$F,3,FALSE)</f>
        <v>テクニカルタイプ</v>
      </c>
      <c r="J1338" s="36">
        <f>VLOOKUP(H1338,[2]character_type_i18n!$A:$F,4,FALSE)</f>
        <v>0.9</v>
      </c>
      <c r="K1338" s="36">
        <f>VLOOKUP(H1338,[2]character_type_i18n!$A:$F,5,FALSE)</f>
        <v>0.9</v>
      </c>
      <c r="L1338" s="36">
        <f>VLOOKUP(H1338,[2]character_type_i18n!$A:$F,6,FALSE)</f>
        <v>1</v>
      </c>
      <c r="M1338" s="9" t="str">
        <f>VLOOKUP(A1338,[2]characters!$A:$M,13,FALSE)</f>
        <v>animal</v>
      </c>
      <c r="N1338" s="14" t="str">
        <f>VLOOKUP(M1338,[2]character_tribe_i18n!$A:$F,3,FALSE)</f>
        <v>アニマル</v>
      </c>
      <c r="O1338" s="24">
        <f>VLOOKUP(M1338,[2]character_tribe_i18n!$A:$F,4,FALSE)</f>
        <v>1</v>
      </c>
      <c r="P1338" s="24">
        <f>VLOOKUP(M1338,[2]character_tribe_i18n!$A:$F,5,FALSE)</f>
        <v>1.1000000000000001</v>
      </c>
      <c r="Q1338" s="24">
        <f>VLOOKUP(M1338,[2]character_tribe_i18n!$A:$F,6,FALSE)</f>
        <v>1</v>
      </c>
      <c r="R1338" s="25" t="s">
        <v>98</v>
      </c>
      <c r="S1338" s="24">
        <f>VLOOKUP($R1338,ラベル別係数!$A$1:$E$7,3,FALSE)</f>
        <v>5</v>
      </c>
      <c r="T1338" s="24">
        <f>VLOOKUP($R1338,ラベル別係数!$A$1:$E$7,4,FALSE)</f>
        <v>1.3</v>
      </c>
      <c r="U1338" s="24">
        <f>VLOOKUP($R1338,ラベル別係数!$A$1:$E$7,5,FALSE)</f>
        <v>0.8</v>
      </c>
      <c r="V1338" s="27">
        <v>3</v>
      </c>
      <c r="W1338" s="28">
        <f>VLOOKUP(V1338,ターン数別攻撃係数!$A$1:$B$1000,2,FALSE)</f>
        <v>1</v>
      </c>
      <c r="X1338" s="9">
        <f>VLOOKUP(C1338,サイズ別係数!A$2:B$9,2,FALSE)</f>
        <v>30</v>
      </c>
      <c r="Y1338" s="26">
        <f>VLOOKUP($X1338,サイズ別係数!$B:$E,2,FALSE)</f>
        <v>1.3</v>
      </c>
      <c r="Z1338" s="26">
        <f>VLOOKUP($X1338,サイズ別係数!$B:$E,3,FALSE)</f>
        <v>1.3</v>
      </c>
      <c r="AA1338" s="26">
        <f>VLOOKUP($X1338,サイズ別係数!$B:$E,4,FALSE)</f>
        <v>1.1000000000000001</v>
      </c>
      <c r="AB1338" s="5">
        <v>0</v>
      </c>
      <c r="AC1338" s="34" t="str">
        <f ca="1">VLOOKUP($AB1338,OFFSET([3]enemy_skill_sets!$B$2,0,0,COUNTA([3]enemy_skill_sets!$A:$A),MATCH(AC$1,[3]enemy_skill_sets!$1:$1,0)-MATCH($AB$1,[3]enemy_skill_sets!$1:$1,0)+1),MATCH(AC$1,[3]enemy_skill_sets!$1:$1,0)-MATCH($AB$1,[3]enemy_skill_sets!$1:$1,0)+1,FALSE)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8" s="67">
        <v>1</v>
      </c>
      <c r="AE1338" s="67">
        <v>1</v>
      </c>
      <c r="AF1338" s="37">
        <v>0</v>
      </c>
      <c r="AG1338" s="99">
        <f>ROUND(VLOOKUP(1,enemy_base_stats!$A:$F,2,FALSE) * Y1338* J1338*O1338*E1338*S1338*AD1338*[2]ステータス!$B$2,0)</f>
        <v>2867</v>
      </c>
      <c r="AH1338" s="99">
        <f>ROUND(VLOOKUP(1,enemy_base_stats!$A:$F,3,FALSE) * Z1338*K1338*P1338*F1338*T1338*AE1338 * W1338*[2]ステータス!$C$2,0)</f>
        <v>253</v>
      </c>
      <c r="AI1338" s="99">
        <f>ROUND(VLOOKUP(1,enemy_base_stats!$A:$F,4,FALSE) * AA1338*L1338*Q1338*G1338*U1338*AF1338*[2]ステータス!$D$2,0)</f>
        <v>0</v>
      </c>
      <c r="AJ1338" s="99">
        <f>ROUND(VLOOKUP(100,enemy_base_stats!$A:$F,2,FALSE) * Y1338* J1338*O1338*E1338*S1338*AD1338*[2]ステータス!$B$2,0)</f>
        <v>116380</v>
      </c>
      <c r="AK1338" s="99">
        <f>ROUND(VLOOKUP(100,enemy_base_stats!$A:$F,3,FALSE)* Z1338* K1338*P1338*F1338*T1338*AE1338 * W1338*[2]ステータス!$C$2,0)</f>
        <v>10291</v>
      </c>
      <c r="AL1338" s="99">
        <f>ROUND(VLOOKUP(100,enemy_base_stats!$A:$F,4,FALSE)* AA1338* L1338*Q1338*G1338*U1338*AF1338*[2]ステータス!$D$2,0)</f>
        <v>0</v>
      </c>
      <c r="AM1338" s="97">
        <f>VLOOKUP(M1338,[2]character_tribe_i18n!$A:$I,9,FALSE)</f>
        <v>480</v>
      </c>
      <c r="AN1338" s="36">
        <v>0</v>
      </c>
      <c r="AO1338" s="53">
        <v>0</v>
      </c>
      <c r="AP1338" s="58" t="s">
        <v>72</v>
      </c>
      <c r="AQ1338" s="71">
        <f t="shared" ref="AQ1338" si="75">A1338</f>
        <v>1373</v>
      </c>
    </row>
    <row r="1339" spans="1:43" ht="21" customHeight="1" x14ac:dyDescent="0.15">
      <c r="A1339" s="7">
        <v>1374</v>
      </c>
      <c r="B1339" s="6" t="str">
        <f>VLOOKUP(A1339,[2]characters!$A:$C,3,FALSE)</f>
        <v>一級建築兄弟 スリー・ピギーズ</v>
      </c>
      <c r="C1339" s="9">
        <f>VLOOKUP(A1339,[2]characters!$A:$I,9,FALSE)</f>
        <v>5</v>
      </c>
      <c r="D1339" s="9" t="str">
        <f>VLOOKUP(A1339,[2]characters!$A:$H,8,FALSE)</f>
        <v>yellow</v>
      </c>
      <c r="E1339" s="24">
        <f>VLOOKUP(D1339,[2]属性!$A:$E,2,FALSE)</f>
        <v>0.98</v>
      </c>
      <c r="F1339" s="24">
        <f>VLOOKUP(D1339,[2]属性!$A:$E,3,FALSE)</f>
        <v>1.01</v>
      </c>
      <c r="G1339" s="24">
        <f>VLOOKUP(D1339,[2]属性!$A:$F,4,FALSE)</f>
        <v>1</v>
      </c>
      <c r="H1339" s="9" t="str">
        <f>VLOOKUP(A1339,[2]characters!$A:$K,11,FALSE)</f>
        <v>technical</v>
      </c>
      <c r="I1339" s="14" t="str">
        <f>VLOOKUP(H1339,[2]character_type_i18n!$A:$F,3,FALSE)</f>
        <v>テクニカルタイプ</v>
      </c>
      <c r="J1339" s="36">
        <f>VLOOKUP(H1339,[2]character_type_i18n!$A:$F,4,FALSE)</f>
        <v>0.9</v>
      </c>
      <c r="K1339" s="36">
        <f>VLOOKUP(H1339,[2]character_type_i18n!$A:$F,5,FALSE)</f>
        <v>0.9</v>
      </c>
      <c r="L1339" s="36">
        <f>VLOOKUP(H1339,[2]character_type_i18n!$A:$F,6,FALSE)</f>
        <v>1</v>
      </c>
      <c r="M1339" s="9" t="str">
        <f>VLOOKUP(A1339,[2]characters!$A:$M,13,FALSE)</f>
        <v>animal</v>
      </c>
      <c r="N1339" s="14" t="str">
        <f>VLOOKUP(M1339,[2]character_tribe_i18n!$A:$F,3,FALSE)</f>
        <v>アニマル</v>
      </c>
      <c r="O1339" s="24">
        <f>VLOOKUP(M1339,[2]character_tribe_i18n!$A:$F,4,FALSE)</f>
        <v>1</v>
      </c>
      <c r="P1339" s="24">
        <f>VLOOKUP(M1339,[2]character_tribe_i18n!$A:$F,5,FALSE)</f>
        <v>1.1000000000000001</v>
      </c>
      <c r="Q1339" s="24">
        <f>VLOOKUP(M1339,[2]character_tribe_i18n!$A:$F,6,FALSE)</f>
        <v>1</v>
      </c>
      <c r="R1339" s="25" t="s">
        <v>98</v>
      </c>
      <c r="S1339" s="24">
        <f>VLOOKUP($R1339,ラベル別係数!$A$1:$E$7,3,FALSE)</f>
        <v>5</v>
      </c>
      <c r="T1339" s="24">
        <f>VLOOKUP($R1339,ラベル別係数!$A$1:$E$7,4,FALSE)</f>
        <v>1.3</v>
      </c>
      <c r="U1339" s="24">
        <f>VLOOKUP($R1339,ラベル別係数!$A$1:$E$7,5,FALSE)</f>
        <v>0.8</v>
      </c>
      <c r="V1339" s="27">
        <v>3</v>
      </c>
      <c r="W1339" s="28">
        <f>VLOOKUP(V1339,ターン数別攻撃係数!$A$1:$B$1000,2,FALSE)</f>
        <v>1</v>
      </c>
      <c r="X1339" s="9">
        <f>VLOOKUP(C1339,サイズ別係数!A$2:B$9,2,FALSE)</f>
        <v>60</v>
      </c>
      <c r="Y1339" s="26">
        <f>VLOOKUP($X1339,サイズ別係数!$B:$E,2,FALSE)</f>
        <v>1.7</v>
      </c>
      <c r="Z1339" s="26">
        <f>VLOOKUP($X1339,サイズ別係数!$B:$E,3,FALSE)</f>
        <v>1.4</v>
      </c>
      <c r="AA1339" s="26">
        <f>VLOOKUP($X1339,サイズ別係数!$B:$E,4,FALSE)</f>
        <v>1</v>
      </c>
      <c r="AB1339" s="5">
        <v>0</v>
      </c>
      <c r="AC1339" s="34" t="str">
        <f ca="1">VLOOKUP($AB1339,OFFSET([3]enemy_skill_sets!$B$2,0,0,COUNTA([3]enemy_skill_sets!$A:$A),MATCH(AC$1,[3]enemy_skill_sets!$1:$1,0)-MATCH($AB$1,[3]enemy_skill_sets!$1:$1,0)+1),MATCH(AC$1,[3]enemy_skill_sets!$1:$1,0)-MATCH($AB$1,[3]enemy_skill_sets!$1:$1,0)+1,FALSE)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39" s="67">
        <v>1</v>
      </c>
      <c r="AE1339" s="67">
        <v>1</v>
      </c>
      <c r="AF1339" s="37">
        <v>0</v>
      </c>
      <c r="AG1339" s="99">
        <f>ROUND(VLOOKUP(1,enemy_base_stats!$A:$F,2,FALSE) * Y1339* J1339*O1339*E1339*S1339*AD1339*[2]ステータス!$B$2,0)</f>
        <v>3749</v>
      </c>
      <c r="AH1339" s="99">
        <f>ROUND(VLOOKUP(1,enemy_base_stats!$A:$F,3,FALSE) * Z1339*K1339*P1339*F1339*T1339*AE1339 * W1339*[2]ステータス!$C$2,0)</f>
        <v>273</v>
      </c>
      <c r="AI1339" s="99">
        <f>ROUND(VLOOKUP(1,enemy_base_stats!$A:$F,4,FALSE) * AA1339*L1339*Q1339*G1339*U1339*AF1339*[2]ステータス!$D$2,0)</f>
        <v>0</v>
      </c>
      <c r="AJ1339" s="99">
        <f>ROUND(VLOOKUP(100,enemy_base_stats!$A:$F,2,FALSE) * Y1339* J1339*O1339*E1339*S1339*AD1339*[2]ステータス!$B$2,0)</f>
        <v>152189</v>
      </c>
      <c r="AK1339" s="99">
        <f>ROUND(VLOOKUP(100,enemy_base_stats!$A:$F,3,FALSE)* Z1339* K1339*P1339*F1339*T1339*AE1339 * W1339*[2]ステータス!$C$2,0)</f>
        <v>11083</v>
      </c>
      <c r="AL1339" s="99">
        <f>ROUND(VLOOKUP(100,enemy_base_stats!$A:$F,4,FALSE)* AA1339* L1339*Q1339*G1339*U1339*AF1339*[2]ステータス!$D$2,0)</f>
        <v>0</v>
      </c>
      <c r="AM1339" s="97">
        <f>VLOOKUP(M1339,[2]character_tribe_i18n!$A:$I,9,FALSE)</f>
        <v>480</v>
      </c>
      <c r="AN1339" s="36">
        <v>0</v>
      </c>
      <c r="AO1339" s="53">
        <v>0</v>
      </c>
      <c r="AP1339" s="58" t="s">
        <v>72</v>
      </c>
      <c r="AQ1339" s="71">
        <f t="shared" ref="AQ1339" si="76">A1339</f>
        <v>1374</v>
      </c>
    </row>
    <row r="1340" spans="1:43" ht="21" customHeight="1" x14ac:dyDescent="0.15">
      <c r="A1340" s="7">
        <v>1375</v>
      </c>
      <c r="B1340" s="6" t="str">
        <f>VLOOKUP(A1340,[2]characters!$A:$C,3,FALSE)</f>
        <v>ジキル&amp;ハイド</v>
      </c>
      <c r="C1340" s="9">
        <f>VLOOKUP(A1340,[2]characters!$A:$I,9,FALSE)</f>
        <v>5</v>
      </c>
      <c r="D1340" s="9" t="str">
        <f>VLOOKUP(A1340,[2]characters!$A:$H,8,FALSE)</f>
        <v>red</v>
      </c>
      <c r="E1340" s="24">
        <f>VLOOKUP(D1340,[2]属性!$A:$E,2,FALSE)</f>
        <v>1</v>
      </c>
      <c r="F1340" s="24">
        <f>VLOOKUP(D1340,[2]属性!$A:$E,3,FALSE)</f>
        <v>1.02</v>
      </c>
      <c r="G1340" s="24">
        <f>VLOOKUP(D1340,[2]属性!$A:$F,4,FALSE)</f>
        <v>1</v>
      </c>
      <c r="H1340" s="9" t="str">
        <f>VLOOKUP(A1340,[2]characters!$A:$K,11,FALSE)</f>
        <v>balance</v>
      </c>
      <c r="I1340" s="14" t="str">
        <f>VLOOKUP(H1340,[2]character_type_i18n!$A:$F,3,FALSE)</f>
        <v>バランスタイプ</v>
      </c>
      <c r="J1340" s="36">
        <f>VLOOKUP(H1340,[2]character_type_i18n!$A:$F,4,FALSE)</f>
        <v>1</v>
      </c>
      <c r="K1340" s="36">
        <f>VLOOKUP(H1340,[2]character_type_i18n!$A:$F,5,FALSE)</f>
        <v>1</v>
      </c>
      <c r="L1340" s="36">
        <f>VLOOKUP(H1340,[2]character_type_i18n!$A:$F,6,FALSE)</f>
        <v>1</v>
      </c>
      <c r="M1340" s="9" t="str">
        <f>VLOOKUP(A1340,[2]characters!$A:$M,13,FALSE)</f>
        <v>demon</v>
      </c>
      <c r="N1340" s="14" t="str">
        <f>VLOOKUP(M1340,[2]character_tribe_i18n!$A:$F,3,FALSE)</f>
        <v>デーモン</v>
      </c>
      <c r="O1340" s="24">
        <f>VLOOKUP(M1340,[2]character_tribe_i18n!$A:$F,4,FALSE)</f>
        <v>1</v>
      </c>
      <c r="P1340" s="24">
        <f>VLOOKUP(M1340,[2]character_tribe_i18n!$A:$F,5,FALSE)</f>
        <v>1</v>
      </c>
      <c r="Q1340" s="24">
        <f>VLOOKUP(M1340,[2]character_tribe_i18n!$A:$F,6,FALSE)</f>
        <v>1</v>
      </c>
      <c r="R1340" s="25" t="s">
        <v>98</v>
      </c>
      <c r="S1340" s="24">
        <f>VLOOKUP($R1340,ラベル別係数!$A$1:$E$7,3,FALSE)</f>
        <v>5</v>
      </c>
      <c r="T1340" s="24">
        <f>VLOOKUP($R1340,ラベル別係数!$A$1:$E$7,4,FALSE)</f>
        <v>1.3</v>
      </c>
      <c r="U1340" s="24">
        <f>VLOOKUP($R1340,ラベル別係数!$A$1:$E$7,5,FALSE)</f>
        <v>0.8</v>
      </c>
      <c r="V1340" s="27">
        <v>3</v>
      </c>
      <c r="W1340" s="28">
        <f>VLOOKUP(V1340,ターン数別攻撃係数!$A$1:$B$1000,2,FALSE)</f>
        <v>1</v>
      </c>
      <c r="X1340" s="9">
        <f>VLOOKUP(C1340,サイズ別係数!A$2:B$9,2,FALSE)</f>
        <v>60</v>
      </c>
      <c r="Y1340" s="26">
        <f>VLOOKUP($X1340,サイズ別係数!$B:$E,2,FALSE)</f>
        <v>1.7</v>
      </c>
      <c r="Z1340" s="26">
        <f>VLOOKUP($X1340,サイズ別係数!$B:$E,3,FALSE)</f>
        <v>1.4</v>
      </c>
      <c r="AA1340" s="26">
        <f>VLOOKUP($X1340,サイズ別係数!$B:$E,4,FALSE)</f>
        <v>1</v>
      </c>
      <c r="AB1340" s="5">
        <v>0</v>
      </c>
      <c r="AC1340" s="34" t="str">
        <f ca="1">VLOOKUP($AB1340,OFFSET([3]enemy_skill_sets!$B$2,0,0,COUNTA([3]enemy_skill_sets!$A:$A),MATCH(AC$1,[3]enemy_skill_sets!$1:$1,0)-MATCH($AB$1,[3]enemy_skill_sets!$1:$1,0)+1),MATCH(AC$1,[3]enemy_skill_sets!$1:$1,0)-MATCH($AB$1,[3]enemy_skill_sets!$1:$1,0)+1,FALSE)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0" s="67">
        <v>1</v>
      </c>
      <c r="AE1340" s="67">
        <v>1</v>
      </c>
      <c r="AF1340" s="37">
        <v>0</v>
      </c>
      <c r="AG1340" s="99">
        <f>ROUND(VLOOKUP(1,enemy_base_stats!$A:$F,2,FALSE) * Y1340* J1340*O1340*E1340*S1340*AD1340*[2]ステータス!$B$2,0)</f>
        <v>4250</v>
      </c>
      <c r="AH1340" s="99">
        <f>ROUND(VLOOKUP(1,enemy_base_stats!$A:$F,3,FALSE) * Z1340*K1340*P1340*F1340*T1340*AE1340 * W1340*[2]ステータス!$C$2,0)</f>
        <v>278</v>
      </c>
      <c r="AI1340" s="99">
        <f>ROUND(VLOOKUP(1,enemy_base_stats!$A:$F,4,FALSE) * AA1340*L1340*Q1340*G1340*U1340*AF1340*[2]ステータス!$D$2,0)</f>
        <v>0</v>
      </c>
      <c r="AJ1340" s="99">
        <f>ROUND(VLOOKUP(100,enemy_base_stats!$A:$F,2,FALSE) * Y1340* J1340*O1340*E1340*S1340*AD1340*[2]ステータス!$B$2,0)</f>
        <v>172550</v>
      </c>
      <c r="AK1340" s="99">
        <f>ROUND(VLOOKUP(100,enemy_base_stats!$A:$F,3,FALSE)* Z1340* K1340*P1340*F1340*T1340*AE1340 * W1340*[2]ステータス!$C$2,0)</f>
        <v>11305</v>
      </c>
      <c r="AL1340" s="99">
        <f>ROUND(VLOOKUP(100,enemy_base_stats!$A:$F,4,FALSE)* AA1340* L1340*Q1340*G1340*U1340*AF1340*[2]ステータス!$D$2,0)</f>
        <v>0</v>
      </c>
      <c r="AM1340" s="97">
        <f>VLOOKUP(M1340,[2]character_tribe_i18n!$A:$I,9,FALSE)</f>
        <v>400</v>
      </c>
      <c r="AN1340" s="36">
        <v>0</v>
      </c>
      <c r="AO1340" s="53">
        <v>0</v>
      </c>
      <c r="AP1340" s="58" t="s">
        <v>72</v>
      </c>
      <c r="AQ1340" s="71">
        <f t="shared" si="74"/>
        <v>1375</v>
      </c>
    </row>
    <row r="1341" spans="1:43" ht="21" customHeight="1" x14ac:dyDescent="0.15">
      <c r="A1341" s="7">
        <v>1376</v>
      </c>
      <c r="B1341" s="6" t="str">
        <f>VLOOKUP(A1341,[2]characters!$A:$C,3,FALSE)</f>
        <v>剥離性異常衝動 ジキル&amp;ハイド</v>
      </c>
      <c r="C1341" s="9">
        <f>VLOOKUP(A1341,[2]characters!$A:$I,9,FALSE)</f>
        <v>6</v>
      </c>
      <c r="D1341" s="9" t="str">
        <f>VLOOKUP(A1341,[2]characters!$A:$H,8,FALSE)</f>
        <v>red</v>
      </c>
      <c r="E1341" s="24">
        <f>VLOOKUP(D1341,[2]属性!$A:$E,2,FALSE)</f>
        <v>1</v>
      </c>
      <c r="F1341" s="24">
        <f>VLOOKUP(D1341,[2]属性!$A:$E,3,FALSE)</f>
        <v>1.02</v>
      </c>
      <c r="G1341" s="24">
        <f>VLOOKUP(D1341,[2]属性!$A:$F,4,FALSE)</f>
        <v>1</v>
      </c>
      <c r="H1341" s="9" t="str">
        <f>VLOOKUP(A1341,[2]characters!$A:$K,11,FALSE)</f>
        <v>balance</v>
      </c>
      <c r="I1341" s="14" t="str">
        <f>VLOOKUP(H1341,[2]character_type_i18n!$A:$F,3,FALSE)</f>
        <v>バランスタイプ</v>
      </c>
      <c r="J1341" s="36">
        <f>VLOOKUP(H1341,[2]character_type_i18n!$A:$F,4,FALSE)</f>
        <v>1</v>
      </c>
      <c r="K1341" s="36">
        <f>VLOOKUP(H1341,[2]character_type_i18n!$A:$F,5,FALSE)</f>
        <v>1</v>
      </c>
      <c r="L1341" s="36">
        <f>VLOOKUP(H1341,[2]character_type_i18n!$A:$F,6,FALSE)</f>
        <v>1</v>
      </c>
      <c r="M1341" s="9" t="str">
        <f>VLOOKUP(A1341,[2]characters!$A:$M,13,FALSE)</f>
        <v>demon</v>
      </c>
      <c r="N1341" s="14" t="str">
        <f>VLOOKUP(M1341,[2]character_tribe_i18n!$A:$F,3,FALSE)</f>
        <v>デーモン</v>
      </c>
      <c r="O1341" s="24">
        <f>VLOOKUP(M1341,[2]character_tribe_i18n!$A:$F,4,FALSE)</f>
        <v>1</v>
      </c>
      <c r="P1341" s="24">
        <f>VLOOKUP(M1341,[2]character_tribe_i18n!$A:$F,5,FALSE)</f>
        <v>1</v>
      </c>
      <c r="Q1341" s="24">
        <f>VLOOKUP(M1341,[2]character_tribe_i18n!$A:$F,6,FALSE)</f>
        <v>1</v>
      </c>
      <c r="R1341" s="25" t="s">
        <v>98</v>
      </c>
      <c r="S1341" s="24">
        <f>VLOOKUP($R1341,ラベル別係数!$A$1:$E$7,3,FALSE)</f>
        <v>5</v>
      </c>
      <c r="T1341" s="24">
        <f>VLOOKUP($R1341,ラベル別係数!$A$1:$E$7,4,FALSE)</f>
        <v>1.3</v>
      </c>
      <c r="U1341" s="24">
        <f>VLOOKUP($R1341,ラベル別係数!$A$1:$E$7,5,FALSE)</f>
        <v>0.8</v>
      </c>
      <c r="V1341" s="27">
        <v>3</v>
      </c>
      <c r="W1341" s="28">
        <f>VLOOKUP(V1341,ターン数別攻撃係数!$A$1:$B$1000,2,FALSE)</f>
        <v>1</v>
      </c>
      <c r="X1341" s="9">
        <f>VLOOKUP(C1341,サイズ別係数!A$2:B$9,2,FALSE)</f>
        <v>60</v>
      </c>
      <c r="Y1341" s="26">
        <f>VLOOKUP($X1341,サイズ別係数!$B:$E,2,FALSE)</f>
        <v>1.7</v>
      </c>
      <c r="Z1341" s="26">
        <f>VLOOKUP($X1341,サイズ別係数!$B:$E,3,FALSE)</f>
        <v>1.4</v>
      </c>
      <c r="AA1341" s="26">
        <f>VLOOKUP($X1341,サイズ別係数!$B:$E,4,FALSE)</f>
        <v>1</v>
      </c>
      <c r="AB1341" s="5">
        <v>0</v>
      </c>
      <c r="AC1341" s="34" t="str">
        <f ca="1">VLOOKUP($AB1341,OFFSET([3]enemy_skill_sets!$B$2,0,0,COUNTA([3]enemy_skill_sets!$A:$A),MATCH(AC$1,[3]enemy_skill_sets!$1:$1,0)-MATCH($AB$1,[3]enemy_skill_sets!$1:$1,0)+1),MATCH(AC$1,[3]enemy_skill_sets!$1:$1,0)-MATCH($AB$1,[3]enemy_skill_sets!$1:$1,0)+1,FALSE)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1" s="67">
        <v>1</v>
      </c>
      <c r="AE1341" s="67">
        <v>1</v>
      </c>
      <c r="AF1341" s="37">
        <v>0</v>
      </c>
      <c r="AG1341" s="99">
        <f>ROUND(VLOOKUP(1,enemy_base_stats!$A:$F,2,FALSE) * Y1341* J1341*O1341*E1341*S1341*AD1341*[2]ステータス!$B$2,0)</f>
        <v>4250</v>
      </c>
      <c r="AH1341" s="99">
        <f>ROUND(VLOOKUP(1,enemy_base_stats!$A:$F,3,FALSE) * Z1341*K1341*P1341*F1341*T1341*AE1341 * W1341*[2]ステータス!$C$2,0)</f>
        <v>278</v>
      </c>
      <c r="AI1341" s="99">
        <f>ROUND(VLOOKUP(1,enemy_base_stats!$A:$F,4,FALSE) * AA1341*L1341*Q1341*G1341*U1341*AF1341*[2]ステータス!$D$2,0)</f>
        <v>0</v>
      </c>
      <c r="AJ1341" s="99">
        <f>ROUND(VLOOKUP(100,enemy_base_stats!$A:$F,2,FALSE) * Y1341* J1341*O1341*E1341*S1341*AD1341*[2]ステータス!$B$2,0)</f>
        <v>172550</v>
      </c>
      <c r="AK1341" s="99">
        <f>ROUND(VLOOKUP(100,enemy_base_stats!$A:$F,3,FALSE)* Z1341* K1341*P1341*F1341*T1341*AE1341 * W1341*[2]ステータス!$C$2,0)</f>
        <v>11305</v>
      </c>
      <c r="AL1341" s="99">
        <f>ROUND(VLOOKUP(100,enemy_base_stats!$A:$F,4,FALSE)* AA1341* L1341*Q1341*G1341*U1341*AF1341*[2]ステータス!$D$2,0)</f>
        <v>0</v>
      </c>
      <c r="AM1341" s="97">
        <f>VLOOKUP(M1341,[2]character_tribe_i18n!$A:$I,9,FALSE)</f>
        <v>400</v>
      </c>
      <c r="AN1341" s="36">
        <v>0</v>
      </c>
      <c r="AO1341" s="53">
        <v>0</v>
      </c>
      <c r="AP1341" s="58" t="s">
        <v>72</v>
      </c>
      <c r="AQ1341" s="71">
        <f t="shared" si="74"/>
        <v>1376</v>
      </c>
    </row>
    <row r="1342" spans="1:43" ht="21" customHeight="1" x14ac:dyDescent="0.15">
      <c r="A1342" s="7">
        <v>1379</v>
      </c>
      <c r="B1342" s="6" t="str">
        <f>VLOOKUP(A1342,[2]characters!$A:$C,3,FALSE)</f>
        <v>アンデルセン</v>
      </c>
      <c r="C1342" s="9">
        <f>VLOOKUP(A1342,[2]characters!$A:$I,9,FALSE)</f>
        <v>5</v>
      </c>
      <c r="D1342" s="9" t="str">
        <f>VLOOKUP(A1342,[2]characters!$A:$H,8,FALSE)</f>
        <v>blue</v>
      </c>
      <c r="E1342" s="24">
        <f>VLOOKUP(D1342,[2]属性!$A:$E,2,FALSE)</f>
        <v>1</v>
      </c>
      <c r="F1342" s="24">
        <f>VLOOKUP(D1342,[2]属性!$A:$E,3,FALSE)</f>
        <v>0.98</v>
      </c>
      <c r="G1342" s="24">
        <f>VLOOKUP(D1342,[2]属性!$A:$F,4,FALSE)</f>
        <v>1</v>
      </c>
      <c r="H1342" s="9" t="str">
        <f>VLOOKUP(A1342,[2]characters!$A:$K,11,FALSE)</f>
        <v>attack</v>
      </c>
      <c r="I1342" s="14" t="str">
        <f>VLOOKUP(H1342,[2]character_type_i18n!$A:$F,3,FALSE)</f>
        <v>攻撃タイプ</v>
      </c>
      <c r="J1342" s="36">
        <f>VLOOKUP(H1342,[2]character_type_i18n!$A:$F,4,FALSE)</f>
        <v>1</v>
      </c>
      <c r="K1342" s="36">
        <f>VLOOKUP(H1342,[2]character_type_i18n!$A:$F,5,FALSE)</f>
        <v>1.33</v>
      </c>
      <c r="L1342" s="36">
        <f>VLOOKUP(H1342,[2]character_type_i18n!$A:$F,6,FALSE)</f>
        <v>1</v>
      </c>
      <c r="M1342" s="9" t="str">
        <f>VLOOKUP(A1342,[2]characters!$A:$M,13,FALSE)</f>
        <v>fantasy</v>
      </c>
      <c r="N1342" s="14" t="str">
        <f>VLOOKUP(M1342,[2]character_tribe_i18n!$A:$F,3,FALSE)</f>
        <v>ファンタジー</v>
      </c>
      <c r="O1342" s="24">
        <f>VLOOKUP(M1342,[2]character_tribe_i18n!$A:$F,4,FALSE)</f>
        <v>1</v>
      </c>
      <c r="P1342" s="24">
        <f>VLOOKUP(M1342,[2]character_tribe_i18n!$A:$F,5,FALSE)</f>
        <v>1</v>
      </c>
      <c r="Q1342" s="24">
        <f>VLOOKUP(M1342,[2]character_tribe_i18n!$A:$F,6,FALSE)</f>
        <v>1</v>
      </c>
      <c r="R1342" s="25" t="s">
        <v>98</v>
      </c>
      <c r="S1342" s="24">
        <f>VLOOKUP($R1342,ラベル別係数!$A$1:$E$7,3,FALSE)</f>
        <v>5</v>
      </c>
      <c r="T1342" s="24">
        <f>VLOOKUP($R1342,ラベル別係数!$A$1:$E$7,4,FALSE)</f>
        <v>1.3</v>
      </c>
      <c r="U1342" s="24">
        <f>VLOOKUP($R1342,ラベル別係数!$A$1:$E$7,5,FALSE)</f>
        <v>0.8</v>
      </c>
      <c r="V1342" s="27">
        <v>3</v>
      </c>
      <c r="W1342" s="28">
        <f>VLOOKUP(V1342,ターン数別攻撃係数!$A$1:$B$1000,2,FALSE)</f>
        <v>1</v>
      </c>
      <c r="X1342" s="9">
        <f>VLOOKUP(C1342,サイズ別係数!A$2:B$9,2,FALSE)</f>
        <v>60</v>
      </c>
      <c r="Y1342" s="26">
        <f>VLOOKUP($X1342,サイズ別係数!$B:$E,2,FALSE)</f>
        <v>1.7</v>
      </c>
      <c r="Z1342" s="26">
        <f>VLOOKUP($X1342,サイズ別係数!$B:$E,3,FALSE)</f>
        <v>1.4</v>
      </c>
      <c r="AA1342" s="26">
        <f>VLOOKUP($X1342,サイズ別係数!$B:$E,4,FALSE)</f>
        <v>1</v>
      </c>
      <c r="AB1342" s="5">
        <v>0</v>
      </c>
      <c r="AC1342" s="34" t="str">
        <f ca="1">VLOOKUP($AB1342,OFFSET([3]enemy_skill_sets!$B$2,0,0,COUNTA([3]enemy_skill_sets!$A:$A),MATCH(AC$1,[3]enemy_skill_sets!$1:$1,0)-MATCH($AB$1,[3]enemy_skill_sets!$1:$1,0)+1),MATCH(AC$1,[3]enemy_skill_sets!$1:$1,0)-MATCH($AB$1,[3]enemy_skill_sets!$1:$1,0)+1,FALSE)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2" s="67">
        <v>1</v>
      </c>
      <c r="AE1342" s="67">
        <v>1</v>
      </c>
      <c r="AF1342" s="37">
        <v>0</v>
      </c>
      <c r="AG1342" s="41">
        <v>3596</v>
      </c>
      <c r="AH1342" s="41">
        <v>238</v>
      </c>
      <c r="AI1342" s="41">
        <v>0</v>
      </c>
      <c r="AJ1342" s="41">
        <v>145977</v>
      </c>
      <c r="AK1342" s="41">
        <v>9678</v>
      </c>
      <c r="AL1342" s="41">
        <v>0</v>
      </c>
      <c r="AM1342" s="97">
        <f>VLOOKUP(M1342,[2]character_tribe_i18n!$A:$I,9,FALSE)</f>
        <v>400</v>
      </c>
      <c r="AN1342" s="36">
        <v>0</v>
      </c>
      <c r="AO1342" s="53">
        <v>0</v>
      </c>
      <c r="AP1342" s="58" t="s">
        <v>72</v>
      </c>
      <c r="AQ1342" s="71">
        <f t="shared" ref="AQ1342:AQ1343" si="77">A1342</f>
        <v>1379</v>
      </c>
    </row>
    <row r="1343" spans="1:43" ht="21" customHeight="1" x14ac:dyDescent="0.15">
      <c r="A1343" s="7">
        <v>1380</v>
      </c>
      <c r="B1343" s="6" t="str">
        <f>VLOOKUP(A1343,[2]characters!$A:$C,3,FALSE)</f>
        <v>詩線上の導話 アンデルセン</v>
      </c>
      <c r="C1343" s="9">
        <f>VLOOKUP(A1343,[2]characters!$A:$I,9,FALSE)</f>
        <v>6</v>
      </c>
      <c r="D1343" s="9" t="str">
        <f>VLOOKUP(A1343,[2]characters!$A:$H,8,FALSE)</f>
        <v>blue</v>
      </c>
      <c r="E1343" s="24">
        <f>VLOOKUP(D1343,[2]属性!$A:$E,2,FALSE)</f>
        <v>1</v>
      </c>
      <c r="F1343" s="24">
        <f>VLOOKUP(D1343,[2]属性!$A:$E,3,FALSE)</f>
        <v>0.98</v>
      </c>
      <c r="G1343" s="24">
        <f>VLOOKUP(D1343,[2]属性!$A:$F,4,FALSE)</f>
        <v>1</v>
      </c>
      <c r="H1343" s="9" t="str">
        <f>VLOOKUP(A1343,[2]characters!$A:$K,11,FALSE)</f>
        <v>attack</v>
      </c>
      <c r="I1343" s="14" t="str">
        <f>VLOOKUP(H1343,[2]character_type_i18n!$A:$F,3,FALSE)</f>
        <v>攻撃タイプ</v>
      </c>
      <c r="J1343" s="36">
        <f>VLOOKUP(H1343,[2]character_type_i18n!$A:$F,4,FALSE)</f>
        <v>1</v>
      </c>
      <c r="K1343" s="36">
        <f>VLOOKUP(H1343,[2]character_type_i18n!$A:$F,5,FALSE)</f>
        <v>1.33</v>
      </c>
      <c r="L1343" s="36">
        <f>VLOOKUP(H1343,[2]character_type_i18n!$A:$F,6,FALSE)</f>
        <v>1</v>
      </c>
      <c r="M1343" s="9" t="str">
        <f>VLOOKUP(A1343,[2]characters!$A:$M,13,FALSE)</f>
        <v>fantasy</v>
      </c>
      <c r="N1343" s="14" t="str">
        <f>VLOOKUP(M1343,[2]character_tribe_i18n!$A:$F,3,FALSE)</f>
        <v>ファンタジー</v>
      </c>
      <c r="O1343" s="24">
        <f>VLOOKUP(M1343,[2]character_tribe_i18n!$A:$F,4,FALSE)</f>
        <v>1</v>
      </c>
      <c r="P1343" s="24">
        <f>VLOOKUP(M1343,[2]character_tribe_i18n!$A:$F,5,FALSE)</f>
        <v>1</v>
      </c>
      <c r="Q1343" s="24">
        <f>VLOOKUP(M1343,[2]character_tribe_i18n!$A:$F,6,FALSE)</f>
        <v>1</v>
      </c>
      <c r="R1343" s="25" t="s">
        <v>98</v>
      </c>
      <c r="S1343" s="24">
        <f>VLOOKUP($R1343,ラベル別係数!$A$1:$E$7,3,FALSE)</f>
        <v>5</v>
      </c>
      <c r="T1343" s="24">
        <f>VLOOKUP($R1343,ラベル別係数!$A$1:$E$7,4,FALSE)</f>
        <v>1.3</v>
      </c>
      <c r="U1343" s="24">
        <f>VLOOKUP($R1343,ラベル別係数!$A$1:$E$7,5,FALSE)</f>
        <v>0.8</v>
      </c>
      <c r="V1343" s="27">
        <v>3</v>
      </c>
      <c r="W1343" s="28">
        <f>VLOOKUP(V1343,ターン数別攻撃係数!$A$1:$B$1000,2,FALSE)</f>
        <v>1</v>
      </c>
      <c r="X1343" s="9">
        <f>VLOOKUP(C1343,サイズ別係数!A$2:B$9,2,FALSE)</f>
        <v>60</v>
      </c>
      <c r="Y1343" s="26">
        <f>VLOOKUP($X1343,サイズ別係数!$B:$E,2,FALSE)</f>
        <v>1.7</v>
      </c>
      <c r="Z1343" s="26">
        <f>VLOOKUP($X1343,サイズ別係数!$B:$E,3,FALSE)</f>
        <v>1.4</v>
      </c>
      <c r="AA1343" s="26">
        <f>VLOOKUP($X1343,サイズ別係数!$B:$E,4,FALSE)</f>
        <v>1</v>
      </c>
      <c r="AB1343" s="5">
        <v>0</v>
      </c>
      <c r="AC1343" s="34" t="str">
        <f ca="1">VLOOKUP($AB1343,OFFSET([3]enemy_skill_sets!$B$2,0,0,COUNTA([3]enemy_skill_sets!$A:$A),MATCH(AC$1,[3]enemy_skill_sets!$1:$1,0)-MATCH($AB$1,[3]enemy_skill_sets!$1:$1,0)+1),MATCH(AC$1,[3]enemy_skill_sets!$1:$1,0)-MATCH($AB$1,[3]enemy_skill_sets!$1:$1,0)+1,FALSE)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3" s="67">
        <v>1</v>
      </c>
      <c r="AE1343" s="67">
        <v>1</v>
      </c>
      <c r="AF1343" s="37">
        <v>0</v>
      </c>
      <c r="AG1343" s="41">
        <v>3596</v>
      </c>
      <c r="AH1343" s="41">
        <v>238</v>
      </c>
      <c r="AI1343" s="41">
        <v>0</v>
      </c>
      <c r="AJ1343" s="41">
        <v>145977</v>
      </c>
      <c r="AK1343" s="41">
        <v>9678</v>
      </c>
      <c r="AL1343" s="41">
        <v>0</v>
      </c>
      <c r="AM1343" s="97">
        <f>VLOOKUP(M1343,[2]character_tribe_i18n!$A:$I,9,FALSE)</f>
        <v>400</v>
      </c>
      <c r="AN1343" s="36">
        <v>0</v>
      </c>
      <c r="AO1343" s="53">
        <v>0</v>
      </c>
      <c r="AP1343" s="58" t="s">
        <v>72</v>
      </c>
      <c r="AQ1343" s="71">
        <f t="shared" si="77"/>
        <v>1380</v>
      </c>
    </row>
    <row r="1344" spans="1:43" ht="21" customHeight="1" x14ac:dyDescent="0.15">
      <c r="A1344" s="7">
        <v>1405</v>
      </c>
      <c r="B1344" s="6" t="str">
        <f>VLOOKUP(A1344,[2]characters!$A:$C,3,FALSE)</f>
        <v>蒼帝の守護獣神 青龍</v>
      </c>
      <c r="C1344" s="9">
        <f>VLOOKUP(A1344,[2]characters!$A:$I,9,FALSE)</f>
        <v>6</v>
      </c>
      <c r="D1344" s="9" t="str">
        <f>VLOOKUP(A1344,[2]characters!$A:$H,8,FALSE)</f>
        <v>blue</v>
      </c>
      <c r="E1344" s="24">
        <f>VLOOKUP(D1344,[2]属性!$A:$E,2,FALSE)</f>
        <v>1</v>
      </c>
      <c r="F1344" s="24">
        <f>VLOOKUP(D1344,[2]属性!$A:$E,3,FALSE)</f>
        <v>0.98</v>
      </c>
      <c r="G1344" s="24">
        <f>VLOOKUP(D1344,[2]属性!$A:$F,4,FALSE)</f>
        <v>1</v>
      </c>
      <c r="H1344" s="9" t="str">
        <f>VLOOKUP(A1344,[2]characters!$A:$K,11,FALSE)</f>
        <v>balance</v>
      </c>
      <c r="I1344" s="14" t="str">
        <f>VLOOKUP(H1344,[2]character_type_i18n!$A:$F,3,FALSE)</f>
        <v>バランスタイプ</v>
      </c>
      <c r="J1344" s="36">
        <f>VLOOKUP(H1344,[2]character_type_i18n!$A:$F,4,FALSE)</f>
        <v>1</v>
      </c>
      <c r="K1344" s="36">
        <f>VLOOKUP(H1344,[2]character_type_i18n!$A:$F,5,FALSE)</f>
        <v>1</v>
      </c>
      <c r="L1344" s="36">
        <f>VLOOKUP(H1344,[2]character_type_i18n!$A:$F,6,FALSE)</f>
        <v>1</v>
      </c>
      <c r="M1344" s="9" t="str">
        <f>VLOOKUP(A1344,[2]characters!$A:$M,13,FALSE)</f>
        <v>dragon</v>
      </c>
      <c r="N1344" s="14" t="str">
        <f>VLOOKUP(M1344,[2]character_tribe_i18n!$A:$F,3,FALSE)</f>
        <v>ドラゴン</v>
      </c>
      <c r="O1344" s="24">
        <f>VLOOKUP(M1344,[2]character_tribe_i18n!$A:$F,4,FALSE)</f>
        <v>1.1499999999999999</v>
      </c>
      <c r="P1344" s="24">
        <f>VLOOKUP(M1344,[2]character_tribe_i18n!$A:$F,5,FALSE)</f>
        <v>1.1000000000000001</v>
      </c>
      <c r="Q1344" s="24">
        <f>VLOOKUP(M1344,[2]character_tribe_i18n!$A:$F,6,FALSE)</f>
        <v>1</v>
      </c>
      <c r="R1344" s="25" t="s">
        <v>98</v>
      </c>
      <c r="S1344" s="24">
        <f>VLOOKUP($R1344,ラベル別係数!$A$1:$E$7,3,FALSE)</f>
        <v>5</v>
      </c>
      <c r="T1344" s="24">
        <f>VLOOKUP($R1344,ラベル別係数!$A$1:$E$7,4,FALSE)</f>
        <v>1.3</v>
      </c>
      <c r="U1344" s="24">
        <f>VLOOKUP($R1344,ラベル別係数!$A$1:$E$7,5,FALSE)</f>
        <v>0.8</v>
      </c>
      <c r="V1344" s="27">
        <v>3</v>
      </c>
      <c r="W1344" s="28">
        <f>VLOOKUP(V1344,ターン数別攻撃係数!$A$1:$B$1000,2,FALSE)</f>
        <v>1</v>
      </c>
      <c r="X1344" s="9">
        <f>VLOOKUP(C1344,サイズ別係数!A$2:B$9,2,FALSE)</f>
        <v>60</v>
      </c>
      <c r="Y1344" s="26">
        <f>VLOOKUP($X1344,サイズ別係数!$B:$E,2,FALSE)</f>
        <v>1.7</v>
      </c>
      <c r="Z1344" s="26">
        <f>VLOOKUP($X1344,サイズ別係数!$B:$E,3,FALSE)</f>
        <v>1.4</v>
      </c>
      <c r="AA1344" s="26">
        <f>VLOOKUP($X1344,サイズ別係数!$B:$E,4,FALSE)</f>
        <v>1</v>
      </c>
      <c r="AB1344" s="5">
        <v>0</v>
      </c>
      <c r="AC1344" s="34" t="str">
        <f ca="1">VLOOKUP($AB1344,OFFSET([3]enemy_skill_sets!$B$2,0,0,COUNTA([3]enemy_skill_sets!$A:$A),MATCH(AC$1,[3]enemy_skill_sets!$1:$1,0)-MATCH($AB$1,[3]enemy_skill_sets!$1:$1,0)+1),MATCH(AC$1,[3]enemy_skill_sets!$1:$1,0)-MATCH($AB$1,[3]enemy_skill_sets!$1:$1,0)+1,FALSE)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4" s="67">
        <v>1</v>
      </c>
      <c r="AE1344" s="67">
        <v>1</v>
      </c>
      <c r="AF1344" s="37">
        <v>0</v>
      </c>
      <c r="AG1344" s="41">
        <v>3596</v>
      </c>
      <c r="AH1344" s="41">
        <v>238</v>
      </c>
      <c r="AI1344" s="41">
        <v>0</v>
      </c>
      <c r="AJ1344" s="41">
        <v>145977</v>
      </c>
      <c r="AK1344" s="41">
        <v>9678</v>
      </c>
      <c r="AL1344" s="41">
        <v>0</v>
      </c>
      <c r="AM1344" s="97">
        <f>VLOOKUP(M1344,[2]character_tribe_i18n!$A:$I,9,FALSE)</f>
        <v>540</v>
      </c>
      <c r="AN1344" s="36">
        <v>0</v>
      </c>
      <c r="AO1344" s="53">
        <v>0</v>
      </c>
      <c r="AP1344" s="58" t="s">
        <v>72</v>
      </c>
      <c r="AQ1344" s="71">
        <f t="shared" ref="AQ1344" si="78">A1344</f>
        <v>1405</v>
      </c>
    </row>
    <row r="1345" spans="1:43" ht="21" customHeight="1" x14ac:dyDescent="0.15">
      <c r="A1345" s="7">
        <v>1407</v>
      </c>
      <c r="B1345" s="6" t="str">
        <f>VLOOKUP(A1345,[2]characters!$A:$C,3,FALSE)</f>
        <v>グリム・ザ・ダンディ</v>
      </c>
      <c r="C1345" s="9">
        <f>VLOOKUP(A1345,[2]characters!$A:$I,9,FALSE)</f>
        <v>5</v>
      </c>
      <c r="D1345" s="9" t="str">
        <f>VLOOKUP(A1345,[2]characters!$A:$H,8,FALSE)</f>
        <v>yellow</v>
      </c>
      <c r="E1345" s="24">
        <f>VLOOKUP(D1345,[2]属性!$A:$E,2,FALSE)</f>
        <v>0.98</v>
      </c>
      <c r="F1345" s="24">
        <f>VLOOKUP(D1345,[2]属性!$A:$E,3,FALSE)</f>
        <v>1.01</v>
      </c>
      <c r="G1345" s="24">
        <f>VLOOKUP(D1345,[2]属性!$A:$F,4,FALSE)</f>
        <v>1</v>
      </c>
      <c r="H1345" s="9" t="str">
        <f>VLOOKUP(A1345,[2]characters!$A:$K,11,FALSE)</f>
        <v>balance</v>
      </c>
      <c r="I1345" s="14" t="str">
        <f>VLOOKUP(H1345,[2]character_type_i18n!$A:$F,3,FALSE)</f>
        <v>バランスタイプ</v>
      </c>
      <c r="J1345" s="36">
        <f>VLOOKUP(H1345,[2]character_type_i18n!$A:$F,4,FALSE)</f>
        <v>1</v>
      </c>
      <c r="K1345" s="36">
        <f>VLOOKUP(H1345,[2]character_type_i18n!$A:$F,5,FALSE)</f>
        <v>1</v>
      </c>
      <c r="L1345" s="36">
        <f>VLOOKUP(H1345,[2]character_type_i18n!$A:$F,6,FALSE)</f>
        <v>1</v>
      </c>
      <c r="M1345" s="9" t="str">
        <f>VLOOKUP(A1345,[2]characters!$A:$M,13,FALSE)</f>
        <v>human</v>
      </c>
      <c r="N1345" s="14" t="str">
        <f>VLOOKUP(M1345,[2]character_tribe_i18n!$A:$F,3,FALSE)</f>
        <v>ヒューマン</v>
      </c>
      <c r="O1345" s="24">
        <f>VLOOKUP(M1345,[2]character_tribe_i18n!$A:$F,4,FALSE)</f>
        <v>0.94</v>
      </c>
      <c r="P1345" s="24">
        <f>VLOOKUP(M1345,[2]character_tribe_i18n!$A:$F,5,FALSE)</f>
        <v>0.99</v>
      </c>
      <c r="Q1345" s="24">
        <f>VLOOKUP(M1345,[2]character_tribe_i18n!$A:$F,6,FALSE)</f>
        <v>1</v>
      </c>
      <c r="R1345" s="25" t="s">
        <v>98</v>
      </c>
      <c r="S1345" s="24">
        <f>VLOOKUP($R1345,ラベル別係数!$A$1:$E$7,3,FALSE)</f>
        <v>5</v>
      </c>
      <c r="T1345" s="24">
        <f>VLOOKUP($R1345,ラベル別係数!$A$1:$E$7,4,FALSE)</f>
        <v>1.3</v>
      </c>
      <c r="U1345" s="24">
        <f>VLOOKUP($R1345,ラベル別係数!$A$1:$E$7,5,FALSE)</f>
        <v>0.8</v>
      </c>
      <c r="V1345" s="27">
        <v>3</v>
      </c>
      <c r="W1345" s="28">
        <f>VLOOKUP(V1345,ターン数別攻撃係数!$A$1:$B$1000,2,FALSE)</f>
        <v>1</v>
      </c>
      <c r="X1345" s="9">
        <f>VLOOKUP(C1345,サイズ別係数!A$2:B$9,2,FALSE)</f>
        <v>60</v>
      </c>
      <c r="Y1345" s="26">
        <f>VLOOKUP($X1345,サイズ別係数!$B:$E,2,FALSE)</f>
        <v>1.7</v>
      </c>
      <c r="Z1345" s="26">
        <f>VLOOKUP($X1345,サイズ別係数!$B:$E,3,FALSE)</f>
        <v>1.4</v>
      </c>
      <c r="AA1345" s="26">
        <f>VLOOKUP($X1345,サイズ別係数!$B:$E,4,FALSE)</f>
        <v>1</v>
      </c>
      <c r="AB1345" s="5">
        <v>0</v>
      </c>
      <c r="AC1345" s="34" t="str">
        <f ca="1">VLOOKUP($AB1345,OFFSET([3]enemy_skill_sets!$B$2,0,0,COUNTA([3]enemy_skill_sets!$A:$A),MATCH(AC$1,[3]enemy_skill_sets!$1:$1,0)-MATCH($AB$1,[3]enemy_skill_sets!$1:$1,0)+1),MATCH(AC$1,[3]enemy_skill_sets!$1:$1,0)-MATCH($AB$1,[3]enemy_skill_sets!$1:$1,0)+1,FALSE)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5" s="67">
        <v>1</v>
      </c>
      <c r="AE1345" s="67">
        <v>1</v>
      </c>
      <c r="AF1345" s="37">
        <v>0</v>
      </c>
      <c r="AG1345" s="99">
        <f>ROUND(VLOOKUP(1,enemy_base_stats!$A:$F,2,FALSE) * Y1345* J1345*O1345*E1345*S1345*AD1345*[2]ステータス!$B$2,0)</f>
        <v>3915</v>
      </c>
      <c r="AH1345" s="99">
        <f>ROUND(VLOOKUP(1,enemy_base_stats!$A:$F,3,FALSE) * Z1345*K1345*P1345*F1345*T1345*AE1345 * W1345*[2]ステータス!$C$2,0)</f>
        <v>273</v>
      </c>
      <c r="AI1345" s="99">
        <f>ROUND(VLOOKUP(1,enemy_base_stats!$A:$F,4,FALSE) * AA1345*L1345*Q1345*G1345*U1345*AF1345*[2]ステータス!$D$2,0)</f>
        <v>0</v>
      </c>
      <c r="AJ1345" s="99">
        <f>ROUND(VLOOKUP(100,enemy_base_stats!$A:$F,2,FALSE) * Y1345* J1345*O1345*E1345*S1345*AD1345*[2]ステータス!$B$2,0)</f>
        <v>158953</v>
      </c>
      <c r="AK1345" s="99">
        <f>ROUND(VLOOKUP(100,enemy_base_stats!$A:$F,3,FALSE)* Z1345* K1345*P1345*F1345*T1345*AE1345 * W1345*[2]ステータス!$C$2,0)</f>
        <v>11083</v>
      </c>
      <c r="AL1345" s="99">
        <f>ROUND(VLOOKUP(100,enemy_base_stats!$A:$F,4,FALSE)* AA1345* L1345*Q1345*G1345*U1345*AF1345*[2]ステータス!$D$2,0)</f>
        <v>0</v>
      </c>
      <c r="AM1345" s="97">
        <f>VLOOKUP(M1345,[2]character_tribe_i18n!$A:$I,9,FALSE)</f>
        <v>400</v>
      </c>
      <c r="AN1345" s="36">
        <v>0</v>
      </c>
      <c r="AO1345" s="53">
        <v>0</v>
      </c>
      <c r="AP1345" s="58" t="s">
        <v>72</v>
      </c>
      <c r="AQ1345" s="71">
        <f t="shared" si="74"/>
        <v>1407</v>
      </c>
    </row>
    <row r="1346" spans="1:43" ht="21" customHeight="1" x14ac:dyDescent="0.15">
      <c r="A1346" s="7">
        <v>1408</v>
      </c>
      <c r="B1346" s="6" t="str">
        <f>VLOOKUP(A1346,[2]characters!$A:$C,3,FALSE)</f>
        <v>爽愛の求魂 グリム・ザ・ダンディ</v>
      </c>
      <c r="C1346" s="9">
        <f>VLOOKUP(A1346,[2]characters!$A:$I,9,FALSE)</f>
        <v>6</v>
      </c>
      <c r="D1346" s="9" t="str">
        <f>VLOOKUP(A1346,[2]characters!$A:$H,8,FALSE)</f>
        <v>yellow</v>
      </c>
      <c r="E1346" s="24">
        <f>VLOOKUP(D1346,[2]属性!$A:$E,2,FALSE)</f>
        <v>0.98</v>
      </c>
      <c r="F1346" s="24">
        <f>VLOOKUP(D1346,[2]属性!$A:$E,3,FALSE)</f>
        <v>1.01</v>
      </c>
      <c r="G1346" s="24">
        <f>VLOOKUP(D1346,[2]属性!$A:$F,4,FALSE)</f>
        <v>1</v>
      </c>
      <c r="H1346" s="9" t="str">
        <f>VLOOKUP(A1346,[2]characters!$A:$K,11,FALSE)</f>
        <v>balance</v>
      </c>
      <c r="I1346" s="14" t="str">
        <f>VLOOKUP(H1346,[2]character_type_i18n!$A:$F,3,FALSE)</f>
        <v>バランスタイプ</v>
      </c>
      <c r="J1346" s="36">
        <f>VLOOKUP(H1346,[2]character_type_i18n!$A:$F,4,FALSE)</f>
        <v>1</v>
      </c>
      <c r="K1346" s="36">
        <f>VLOOKUP(H1346,[2]character_type_i18n!$A:$F,5,FALSE)</f>
        <v>1</v>
      </c>
      <c r="L1346" s="36">
        <f>VLOOKUP(H1346,[2]character_type_i18n!$A:$F,6,FALSE)</f>
        <v>1</v>
      </c>
      <c r="M1346" s="9" t="str">
        <f>VLOOKUP(A1346,[2]characters!$A:$M,13,FALSE)</f>
        <v>human</v>
      </c>
      <c r="N1346" s="14" t="str">
        <f>VLOOKUP(M1346,[2]character_tribe_i18n!$A:$F,3,FALSE)</f>
        <v>ヒューマン</v>
      </c>
      <c r="O1346" s="24">
        <f>VLOOKUP(M1346,[2]character_tribe_i18n!$A:$F,4,FALSE)</f>
        <v>0.94</v>
      </c>
      <c r="P1346" s="24">
        <f>VLOOKUP(M1346,[2]character_tribe_i18n!$A:$F,5,FALSE)</f>
        <v>0.99</v>
      </c>
      <c r="Q1346" s="24">
        <f>VLOOKUP(M1346,[2]character_tribe_i18n!$A:$F,6,FALSE)</f>
        <v>1</v>
      </c>
      <c r="R1346" s="25" t="s">
        <v>98</v>
      </c>
      <c r="S1346" s="24">
        <f>VLOOKUP($R1346,ラベル別係数!$A$1:$E$7,3,FALSE)</f>
        <v>5</v>
      </c>
      <c r="T1346" s="24">
        <f>VLOOKUP($R1346,ラベル別係数!$A$1:$E$7,4,FALSE)</f>
        <v>1.3</v>
      </c>
      <c r="U1346" s="24">
        <f>VLOOKUP($R1346,ラベル別係数!$A$1:$E$7,5,FALSE)</f>
        <v>0.8</v>
      </c>
      <c r="V1346" s="27">
        <v>3</v>
      </c>
      <c r="W1346" s="28">
        <f>VLOOKUP(V1346,ターン数別攻撃係数!$A$1:$B$1000,2,FALSE)</f>
        <v>1</v>
      </c>
      <c r="X1346" s="9">
        <f>VLOOKUP(C1346,サイズ別係数!A$2:B$9,2,FALSE)</f>
        <v>60</v>
      </c>
      <c r="Y1346" s="26">
        <f>VLOOKUP($X1346,サイズ別係数!$B:$E,2,FALSE)</f>
        <v>1.7</v>
      </c>
      <c r="Z1346" s="26">
        <f>VLOOKUP($X1346,サイズ別係数!$B:$E,3,FALSE)</f>
        <v>1.4</v>
      </c>
      <c r="AA1346" s="26">
        <f>VLOOKUP($X1346,サイズ別係数!$B:$E,4,FALSE)</f>
        <v>1</v>
      </c>
      <c r="AB1346" s="5">
        <v>0</v>
      </c>
      <c r="AC1346" s="34" t="str">
        <f ca="1">VLOOKUP($AB1346,OFFSET([3]enemy_skill_sets!$B$2,0,0,COUNTA([3]enemy_skill_sets!$A:$A),MATCH(AC$1,[3]enemy_skill_sets!$1:$1,0)-MATCH($AB$1,[3]enemy_skill_sets!$1:$1,0)+1),MATCH(AC$1,[3]enemy_skill_sets!$1:$1,0)-MATCH($AB$1,[3]enemy_skill_sets!$1:$1,0)+1,FALSE)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6" s="67">
        <v>1</v>
      </c>
      <c r="AE1346" s="67">
        <v>1</v>
      </c>
      <c r="AF1346" s="37">
        <v>0</v>
      </c>
      <c r="AG1346" s="99">
        <f>ROUND(VLOOKUP(1,enemy_base_stats!$A:$F,2,FALSE) * Y1346* J1346*O1346*E1346*S1346*AD1346*[2]ステータス!$B$2,0)</f>
        <v>3915</v>
      </c>
      <c r="AH1346" s="99">
        <f>ROUND(VLOOKUP(1,enemy_base_stats!$A:$F,3,FALSE) * Z1346*K1346*P1346*F1346*T1346*AE1346 * W1346*[2]ステータス!$C$2,0)</f>
        <v>273</v>
      </c>
      <c r="AI1346" s="99">
        <f>ROUND(VLOOKUP(1,enemy_base_stats!$A:$F,4,FALSE) * AA1346*L1346*Q1346*G1346*U1346*AF1346*[2]ステータス!$D$2,0)</f>
        <v>0</v>
      </c>
      <c r="AJ1346" s="99">
        <f>ROUND(VLOOKUP(100,enemy_base_stats!$A:$F,2,FALSE) * Y1346* J1346*O1346*E1346*S1346*AD1346*[2]ステータス!$B$2,0)</f>
        <v>158953</v>
      </c>
      <c r="AK1346" s="99">
        <f>ROUND(VLOOKUP(100,enemy_base_stats!$A:$F,3,FALSE)* Z1346* K1346*P1346*F1346*T1346*AE1346 * W1346*[2]ステータス!$C$2,0)</f>
        <v>11083</v>
      </c>
      <c r="AL1346" s="99">
        <f>ROUND(VLOOKUP(100,enemy_base_stats!$A:$F,4,FALSE)* AA1346* L1346*Q1346*G1346*U1346*AF1346*[2]ステータス!$D$2,0)</f>
        <v>0</v>
      </c>
      <c r="AM1346" s="97">
        <f>VLOOKUP(M1346,[2]character_tribe_i18n!$A:$I,9,FALSE)</f>
        <v>400</v>
      </c>
      <c r="AN1346" s="36">
        <v>0</v>
      </c>
      <c r="AO1346" s="53">
        <v>0</v>
      </c>
      <c r="AP1346" s="58" t="s">
        <v>72</v>
      </c>
      <c r="AQ1346" s="71">
        <f t="shared" si="74"/>
        <v>1408</v>
      </c>
    </row>
    <row r="1347" spans="1:43" ht="21" customHeight="1" x14ac:dyDescent="0.15">
      <c r="A1347" s="7">
        <v>1409</v>
      </c>
      <c r="B1347" s="6" t="str">
        <f>VLOOKUP(A1347,[2]characters!$A:$C,3,FALSE)</f>
        <v>マシロ</v>
      </c>
      <c r="C1347" s="9">
        <f>VLOOKUP(A1347,[2]characters!$A:$I,9,FALSE)</f>
        <v>5</v>
      </c>
      <c r="D1347" s="9" t="str">
        <f>VLOOKUP(A1347,[2]characters!$A:$H,8,FALSE)</f>
        <v>green</v>
      </c>
      <c r="E1347" s="24">
        <f>VLOOKUP(D1347,[2]属性!$A:$E,2,FALSE)</f>
        <v>1.02</v>
      </c>
      <c r="F1347" s="24">
        <f>VLOOKUP(D1347,[2]属性!$A:$E,3,FALSE)</f>
        <v>0.98</v>
      </c>
      <c r="G1347" s="24">
        <f>VLOOKUP(D1347,[2]属性!$A:$F,4,FALSE)</f>
        <v>1</v>
      </c>
      <c r="H1347" s="9" t="str">
        <f>VLOOKUP(A1347,[2]characters!$A:$K,11,FALSE)</f>
        <v>heal</v>
      </c>
      <c r="I1347" s="14" t="str">
        <f>VLOOKUP(H1347,[2]character_type_i18n!$A:$F,3,FALSE)</f>
        <v>回復タイプ</v>
      </c>
      <c r="J1347" s="36">
        <f>VLOOKUP(H1347,[2]character_type_i18n!$A:$F,4,FALSE)</f>
        <v>0.8</v>
      </c>
      <c r="K1347" s="36">
        <f>VLOOKUP(H1347,[2]character_type_i18n!$A:$F,5,FALSE)</f>
        <v>0.78</v>
      </c>
      <c r="L1347" s="36">
        <f>VLOOKUP(H1347,[2]character_type_i18n!$A:$F,6,FALSE)</f>
        <v>1</v>
      </c>
      <c r="M1347" s="9" t="str">
        <f>VLOOKUP(A1347,[2]characters!$A:$M,13,FALSE)</f>
        <v>human</v>
      </c>
      <c r="N1347" s="14" t="str">
        <f>VLOOKUP(M1347,[2]character_tribe_i18n!$A:$F,3,FALSE)</f>
        <v>ヒューマン</v>
      </c>
      <c r="O1347" s="24">
        <f>VLOOKUP(M1347,[2]character_tribe_i18n!$A:$F,4,FALSE)</f>
        <v>0.94</v>
      </c>
      <c r="P1347" s="24">
        <f>VLOOKUP(M1347,[2]character_tribe_i18n!$A:$F,5,FALSE)</f>
        <v>0.99</v>
      </c>
      <c r="Q1347" s="24">
        <f>VLOOKUP(M1347,[2]character_tribe_i18n!$A:$F,6,FALSE)</f>
        <v>1</v>
      </c>
      <c r="R1347" s="25" t="s">
        <v>98</v>
      </c>
      <c r="S1347" s="24">
        <f>VLOOKUP($R1347,ラベル別係数!$A$1:$E$7,3,FALSE)</f>
        <v>5</v>
      </c>
      <c r="T1347" s="24">
        <f>VLOOKUP($R1347,ラベル別係数!$A$1:$E$7,4,FALSE)</f>
        <v>1.3</v>
      </c>
      <c r="U1347" s="24">
        <f>VLOOKUP($R1347,ラベル別係数!$A$1:$E$7,5,FALSE)</f>
        <v>0.8</v>
      </c>
      <c r="V1347" s="27">
        <v>3</v>
      </c>
      <c r="W1347" s="28">
        <f>VLOOKUP(V1347,ターン数別攻撃係数!$A$1:$B$1000,2,FALSE)</f>
        <v>1</v>
      </c>
      <c r="X1347" s="9">
        <f>VLOOKUP(C1347,サイズ別係数!A$2:B$9,2,FALSE)</f>
        <v>60</v>
      </c>
      <c r="Y1347" s="26">
        <f>VLOOKUP($X1347,サイズ別係数!$B:$E,2,FALSE)</f>
        <v>1.7</v>
      </c>
      <c r="Z1347" s="26">
        <f>VLOOKUP($X1347,サイズ別係数!$B:$E,3,FALSE)</f>
        <v>1.4</v>
      </c>
      <c r="AA1347" s="26">
        <f>VLOOKUP($X1347,サイズ別係数!$B:$E,4,FALSE)</f>
        <v>1</v>
      </c>
      <c r="AB1347" s="5">
        <v>0</v>
      </c>
      <c r="AC1347" s="34" t="str">
        <f ca="1">VLOOKUP($AB1347,OFFSET([3]enemy_skill_sets!$B$2,0,0,COUNTA([3]enemy_skill_sets!$A:$A),MATCH(AC$1,[3]enemy_skill_sets!$1:$1,0)-MATCH($AB$1,[3]enemy_skill_sets!$1:$1,0)+1),MATCH(AC$1,[3]enemy_skill_sets!$1:$1,0)-MATCH($AB$1,[3]enemy_skill_sets!$1:$1,0)+1,FALSE)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7" s="67">
        <v>1</v>
      </c>
      <c r="AE1347" s="67">
        <v>1</v>
      </c>
      <c r="AF1347" s="37">
        <v>0</v>
      </c>
      <c r="AG1347" s="99">
        <f>ROUND(VLOOKUP(1,enemy_base_stats!$A:$F,2,FALSE) * Y1347* J1347*O1347*E1347*S1347*AD1347*[2]ステータス!$B$2,0)</f>
        <v>3260</v>
      </c>
      <c r="AH1347" s="99">
        <f>ROUND(VLOOKUP(1,enemy_base_stats!$A:$F,3,FALSE) * Z1347*K1347*P1347*F1347*T1347*AE1347 * W1347*[2]ステータス!$C$2,0)</f>
        <v>207</v>
      </c>
      <c r="AI1347" s="99">
        <f>ROUND(VLOOKUP(1,enemy_base_stats!$A:$F,4,FALSE) * AA1347*L1347*Q1347*G1347*U1347*AF1347*[2]ステータス!$D$2,0)</f>
        <v>0</v>
      </c>
      <c r="AJ1347" s="99">
        <f>ROUND(VLOOKUP(100,enemy_base_stats!$A:$F,2,FALSE) * Y1347* J1347*O1347*E1347*S1347*AD1347*[2]ステータス!$B$2,0)</f>
        <v>132353</v>
      </c>
      <c r="AK1347" s="99">
        <f>ROUND(VLOOKUP(100,enemy_base_stats!$A:$F,3,FALSE)* Z1347* K1347*P1347*F1347*T1347*AE1347 * W1347*[2]ステータス!$C$2,0)</f>
        <v>8388</v>
      </c>
      <c r="AL1347" s="99">
        <f>ROUND(VLOOKUP(100,enemy_base_stats!$A:$F,4,FALSE)* AA1347* L1347*Q1347*G1347*U1347*AF1347*[2]ステータス!$D$2,0)</f>
        <v>0</v>
      </c>
      <c r="AM1347" s="97">
        <f>VLOOKUP(M1347,[2]character_tribe_i18n!$A:$I,9,FALSE)</f>
        <v>400</v>
      </c>
      <c r="AN1347" s="36">
        <v>0</v>
      </c>
      <c r="AO1347" s="53">
        <v>0</v>
      </c>
      <c r="AP1347" s="58" t="s">
        <v>72</v>
      </c>
      <c r="AQ1347" s="71">
        <f t="shared" si="74"/>
        <v>1409</v>
      </c>
    </row>
    <row r="1348" spans="1:43" ht="21" customHeight="1" x14ac:dyDescent="0.15">
      <c r="A1348" s="7">
        <v>1410</v>
      </c>
      <c r="B1348" s="6" t="str">
        <f>VLOOKUP(A1348,[2]characters!$A:$C,3,FALSE)</f>
        <v>浮遊する白恋 マシロ</v>
      </c>
      <c r="C1348" s="9">
        <f>VLOOKUP(A1348,[2]characters!$A:$I,9,FALSE)</f>
        <v>6</v>
      </c>
      <c r="D1348" s="9" t="str">
        <f>VLOOKUP(A1348,[2]characters!$A:$H,8,FALSE)</f>
        <v>green</v>
      </c>
      <c r="E1348" s="24">
        <f>VLOOKUP(D1348,[2]属性!$A:$E,2,FALSE)</f>
        <v>1.02</v>
      </c>
      <c r="F1348" s="24">
        <f>VLOOKUP(D1348,[2]属性!$A:$E,3,FALSE)</f>
        <v>0.98</v>
      </c>
      <c r="G1348" s="24">
        <f>VLOOKUP(D1348,[2]属性!$A:$F,4,FALSE)</f>
        <v>1</v>
      </c>
      <c r="H1348" s="9" t="str">
        <f>VLOOKUP(A1348,[2]characters!$A:$K,11,FALSE)</f>
        <v>heal</v>
      </c>
      <c r="I1348" s="14" t="str">
        <f>VLOOKUP(H1348,[2]character_type_i18n!$A:$F,3,FALSE)</f>
        <v>回復タイプ</v>
      </c>
      <c r="J1348" s="36">
        <f>VLOOKUP(H1348,[2]character_type_i18n!$A:$F,4,FALSE)</f>
        <v>0.8</v>
      </c>
      <c r="K1348" s="36">
        <f>VLOOKUP(H1348,[2]character_type_i18n!$A:$F,5,FALSE)</f>
        <v>0.78</v>
      </c>
      <c r="L1348" s="36">
        <f>VLOOKUP(H1348,[2]character_type_i18n!$A:$F,6,FALSE)</f>
        <v>1</v>
      </c>
      <c r="M1348" s="9" t="str">
        <f>VLOOKUP(A1348,[2]characters!$A:$M,13,FALSE)</f>
        <v>human</v>
      </c>
      <c r="N1348" s="14" t="str">
        <f>VLOOKUP(M1348,[2]character_tribe_i18n!$A:$F,3,FALSE)</f>
        <v>ヒューマン</v>
      </c>
      <c r="O1348" s="24">
        <f>VLOOKUP(M1348,[2]character_tribe_i18n!$A:$F,4,FALSE)</f>
        <v>0.94</v>
      </c>
      <c r="P1348" s="24">
        <f>VLOOKUP(M1348,[2]character_tribe_i18n!$A:$F,5,FALSE)</f>
        <v>0.99</v>
      </c>
      <c r="Q1348" s="24">
        <f>VLOOKUP(M1348,[2]character_tribe_i18n!$A:$F,6,FALSE)</f>
        <v>1</v>
      </c>
      <c r="R1348" s="25" t="s">
        <v>98</v>
      </c>
      <c r="S1348" s="24">
        <f>VLOOKUP($R1348,ラベル別係数!$A$1:$E$7,3,FALSE)</f>
        <v>5</v>
      </c>
      <c r="T1348" s="24">
        <f>VLOOKUP($R1348,ラベル別係数!$A$1:$E$7,4,FALSE)</f>
        <v>1.3</v>
      </c>
      <c r="U1348" s="24">
        <f>VLOOKUP($R1348,ラベル別係数!$A$1:$E$7,5,FALSE)</f>
        <v>0.8</v>
      </c>
      <c r="V1348" s="27">
        <v>3</v>
      </c>
      <c r="W1348" s="28">
        <f>VLOOKUP(V1348,ターン数別攻撃係数!$A$1:$B$1000,2,FALSE)</f>
        <v>1</v>
      </c>
      <c r="X1348" s="9">
        <f>VLOOKUP(C1348,サイズ別係数!A$2:B$9,2,FALSE)</f>
        <v>60</v>
      </c>
      <c r="Y1348" s="26">
        <f>VLOOKUP($X1348,サイズ別係数!$B:$E,2,FALSE)</f>
        <v>1.7</v>
      </c>
      <c r="Z1348" s="26">
        <f>VLOOKUP($X1348,サイズ別係数!$B:$E,3,FALSE)</f>
        <v>1.4</v>
      </c>
      <c r="AA1348" s="26">
        <f>VLOOKUP($X1348,サイズ別係数!$B:$E,4,FALSE)</f>
        <v>1</v>
      </c>
      <c r="AB1348" s="5">
        <v>0</v>
      </c>
      <c r="AC1348" s="34" t="str">
        <f ca="1">VLOOKUP($AB1348,OFFSET([3]enemy_skill_sets!$B$2,0,0,COUNTA([3]enemy_skill_sets!$A:$A),MATCH(AC$1,[3]enemy_skill_sets!$1:$1,0)-MATCH($AB$1,[3]enemy_skill_sets!$1:$1,0)+1),MATCH(AC$1,[3]enemy_skill_sets!$1:$1,0)-MATCH($AB$1,[3]enemy_skill_sets!$1:$1,0)+1,FALSE)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8" s="67">
        <v>1</v>
      </c>
      <c r="AE1348" s="67">
        <v>1</v>
      </c>
      <c r="AF1348" s="37">
        <v>0</v>
      </c>
      <c r="AG1348" s="99">
        <f>ROUND(VLOOKUP(1,enemy_base_stats!$A:$F,2,FALSE) * Y1348* J1348*O1348*E1348*S1348*AD1348*[2]ステータス!$B$2,0)</f>
        <v>3260</v>
      </c>
      <c r="AH1348" s="99">
        <f>ROUND(VLOOKUP(1,enemy_base_stats!$A:$F,3,FALSE) * Z1348*K1348*P1348*F1348*T1348*AE1348 * W1348*[2]ステータス!$C$2,0)</f>
        <v>207</v>
      </c>
      <c r="AI1348" s="99">
        <f>ROUND(VLOOKUP(1,enemy_base_stats!$A:$F,4,FALSE) * AA1348*L1348*Q1348*G1348*U1348*AF1348*[2]ステータス!$D$2,0)</f>
        <v>0</v>
      </c>
      <c r="AJ1348" s="99">
        <f>ROUND(VLOOKUP(100,enemy_base_stats!$A:$F,2,FALSE) * Y1348* J1348*O1348*E1348*S1348*AD1348*[2]ステータス!$B$2,0)</f>
        <v>132353</v>
      </c>
      <c r="AK1348" s="99">
        <f>ROUND(VLOOKUP(100,enemy_base_stats!$A:$F,3,FALSE)* Z1348* K1348*P1348*F1348*T1348*AE1348 * W1348*[2]ステータス!$C$2,0)</f>
        <v>8388</v>
      </c>
      <c r="AL1348" s="99">
        <f>ROUND(VLOOKUP(100,enemy_base_stats!$A:$F,4,FALSE)* AA1348* L1348*Q1348*G1348*U1348*AF1348*[2]ステータス!$D$2,0)</f>
        <v>0</v>
      </c>
      <c r="AM1348" s="97">
        <f>VLOOKUP(M1348,[2]character_tribe_i18n!$A:$I,9,FALSE)</f>
        <v>400</v>
      </c>
      <c r="AN1348" s="36">
        <v>0</v>
      </c>
      <c r="AO1348" s="53">
        <v>0</v>
      </c>
      <c r="AP1348" s="58" t="s">
        <v>72</v>
      </c>
      <c r="AQ1348" s="71">
        <f t="shared" si="74"/>
        <v>1410</v>
      </c>
    </row>
    <row r="1349" spans="1:43" ht="21" customHeight="1" x14ac:dyDescent="0.15">
      <c r="A1349" s="7">
        <v>1431</v>
      </c>
      <c r="B1349" s="6" t="str">
        <f>VLOOKUP(A1349,[2]characters!$A:$C,3,FALSE)</f>
        <v>センコ</v>
      </c>
      <c r="C1349" s="9">
        <f>VLOOKUP(A1349,[2]characters!$A:$I,9,FALSE)</f>
        <v>5</v>
      </c>
      <c r="D1349" s="9" t="str">
        <f>VLOOKUP(A1349,[2]characters!$A:$H,8,FALSE)</f>
        <v>yellow</v>
      </c>
      <c r="E1349" s="24">
        <f>VLOOKUP(D1349,[2]属性!$A:$E,2,FALSE)</f>
        <v>0.98</v>
      </c>
      <c r="F1349" s="24">
        <f>VLOOKUP(D1349,[2]属性!$A:$E,3,FALSE)</f>
        <v>1.01</v>
      </c>
      <c r="G1349" s="24">
        <f>VLOOKUP(D1349,[2]属性!$A:$F,4,FALSE)</f>
        <v>1</v>
      </c>
      <c r="H1349" s="9" t="str">
        <f>VLOOKUP(A1349,[2]characters!$A:$K,11,FALSE)</f>
        <v>hp</v>
      </c>
      <c r="I1349" s="14" t="str">
        <f>VLOOKUP(H1349,[2]character_type_i18n!$A:$F,3,FALSE)</f>
        <v>体力タイプ</v>
      </c>
      <c r="J1349" s="36">
        <f>VLOOKUP(H1349,[2]character_type_i18n!$A:$F,4,FALSE)</f>
        <v>1.45</v>
      </c>
      <c r="K1349" s="36">
        <f>VLOOKUP(H1349,[2]character_type_i18n!$A:$F,5,FALSE)</f>
        <v>0.85</v>
      </c>
      <c r="L1349" s="36">
        <f>VLOOKUP(H1349,[2]character_type_i18n!$A:$F,6,FALSE)</f>
        <v>1</v>
      </c>
      <c r="M1349" s="9" t="str">
        <f>VLOOKUP(A1349,[2]characters!$A:$M,13,FALSE)</f>
        <v>god</v>
      </c>
      <c r="N1349" s="14" t="str">
        <f>VLOOKUP(M1349,[2]character_tribe_i18n!$A:$F,3,FALSE)</f>
        <v>ゴッド</v>
      </c>
      <c r="O1349" s="24">
        <f>VLOOKUP(M1349,[2]character_tribe_i18n!$A:$F,4,FALSE)</f>
        <v>0.96</v>
      </c>
      <c r="P1349" s="24">
        <f>VLOOKUP(M1349,[2]character_tribe_i18n!$A:$F,5,FALSE)</f>
        <v>1.02</v>
      </c>
      <c r="Q1349" s="24">
        <f>VLOOKUP(M1349,[2]character_tribe_i18n!$A:$F,6,FALSE)</f>
        <v>1</v>
      </c>
      <c r="R1349" s="25" t="s">
        <v>98</v>
      </c>
      <c r="S1349" s="24">
        <f>VLOOKUP($R1349,ラベル別係数!$A$1:$E$7,3,FALSE)</f>
        <v>5</v>
      </c>
      <c r="T1349" s="24">
        <f>VLOOKUP($R1349,ラベル別係数!$A$1:$E$7,4,FALSE)</f>
        <v>1.3</v>
      </c>
      <c r="U1349" s="24">
        <f>VLOOKUP($R1349,ラベル別係数!$A$1:$E$7,5,FALSE)</f>
        <v>0.8</v>
      </c>
      <c r="V1349" s="27">
        <v>3</v>
      </c>
      <c r="W1349" s="28">
        <f>VLOOKUP(V1349,ターン数別攻撃係数!$A$1:$B$1000,2,FALSE)</f>
        <v>1</v>
      </c>
      <c r="X1349" s="9">
        <f>VLOOKUP(C1349,サイズ別係数!A$2:B$9,2,FALSE)</f>
        <v>60</v>
      </c>
      <c r="Y1349" s="26">
        <f>VLOOKUP($X1349,サイズ別係数!$B:$E,2,FALSE)</f>
        <v>1.7</v>
      </c>
      <c r="Z1349" s="26">
        <f>VLOOKUP($X1349,サイズ別係数!$B:$E,3,FALSE)</f>
        <v>1.4</v>
      </c>
      <c r="AA1349" s="26">
        <f>VLOOKUP($X1349,サイズ別係数!$B:$E,4,FALSE)</f>
        <v>1</v>
      </c>
      <c r="AB1349" s="5">
        <v>0</v>
      </c>
      <c r="AC1349" s="34" t="str">
        <f ca="1">VLOOKUP($AB1349,OFFSET([3]enemy_skill_sets!$B$2,0,0,COUNTA([3]enemy_skill_sets!$A:$A),MATCH(AC$1,[3]enemy_skill_sets!$1:$1,0)-MATCH($AB$1,[3]enemy_skill_sets!$1:$1,0)+1),MATCH(AC$1,[3]enemy_skill_sets!$1:$1,0)-MATCH($AB$1,[3]enemy_skill_sets!$1:$1,0)+1,FALSE)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49" s="67">
        <v>1</v>
      </c>
      <c r="AE1349" s="67">
        <v>1</v>
      </c>
      <c r="AF1349" s="37">
        <v>0</v>
      </c>
      <c r="AG1349" s="99">
        <f>ROUND(VLOOKUP(1,enemy_base_stats!$A:$F,2,FALSE) * Y1349* J1349*O1349*E1349*S1349*AD1349*[2]ステータス!$B$2,0)</f>
        <v>5798</v>
      </c>
      <c r="AH1349" s="99">
        <f>ROUND(VLOOKUP(1,enemy_base_stats!$A:$F,3,FALSE) * Z1349*K1349*P1349*F1349*T1349*AE1349 * W1349*[2]ステータス!$C$2,0)</f>
        <v>239</v>
      </c>
      <c r="AI1349" s="99">
        <f>ROUND(VLOOKUP(1,enemy_base_stats!$A:$F,4,FALSE) * AA1349*L1349*Q1349*G1349*U1349*AF1349*[2]ステータス!$D$2,0)</f>
        <v>0</v>
      </c>
      <c r="AJ1349" s="99">
        <f>ROUND(VLOOKUP(100,enemy_base_stats!$A:$F,2,FALSE) * Y1349* J1349*O1349*E1349*S1349*AD1349*[2]ステータス!$B$2,0)</f>
        <v>235386</v>
      </c>
      <c r="AK1349" s="99">
        <f>ROUND(VLOOKUP(100,enemy_base_stats!$A:$F,3,FALSE)* Z1349* K1349*P1349*F1349*T1349*AE1349 * W1349*[2]ステータス!$C$2,0)</f>
        <v>9706</v>
      </c>
      <c r="AL1349" s="99">
        <f>ROUND(VLOOKUP(100,enemy_base_stats!$A:$F,4,FALSE)* AA1349* L1349*Q1349*G1349*U1349*AF1349*[2]ステータス!$D$2,0)</f>
        <v>0</v>
      </c>
      <c r="AM1349" s="97">
        <f>VLOOKUP(M1349,[2]character_tribe_i18n!$A:$I,9,FALSE)</f>
        <v>680</v>
      </c>
      <c r="AN1349" s="36">
        <v>0</v>
      </c>
      <c r="AO1349" s="53">
        <v>0</v>
      </c>
      <c r="AP1349" s="58" t="s">
        <v>72</v>
      </c>
      <c r="AQ1349" s="71">
        <f t="shared" ref="AQ1349:AQ1350" si="79">A1349</f>
        <v>1431</v>
      </c>
    </row>
    <row r="1350" spans="1:43" ht="21" customHeight="1" x14ac:dyDescent="0.15">
      <c r="A1350" s="7">
        <v>1432</v>
      </c>
      <c r="B1350" s="6" t="str">
        <f>VLOOKUP(A1350,[2]characters!$A:$C,3,FALSE)</f>
        <v>華宴の千年狐 センコ</v>
      </c>
      <c r="C1350" s="9">
        <f>VLOOKUP(A1350,[2]characters!$A:$I,9,FALSE)</f>
        <v>6</v>
      </c>
      <c r="D1350" s="9" t="str">
        <f>VLOOKUP(A1350,[2]characters!$A:$H,8,FALSE)</f>
        <v>yellow</v>
      </c>
      <c r="E1350" s="24">
        <f>VLOOKUP(D1350,[2]属性!$A:$E,2,FALSE)</f>
        <v>0.98</v>
      </c>
      <c r="F1350" s="24">
        <f>VLOOKUP(D1350,[2]属性!$A:$E,3,FALSE)</f>
        <v>1.01</v>
      </c>
      <c r="G1350" s="24">
        <f>VLOOKUP(D1350,[2]属性!$A:$F,4,FALSE)</f>
        <v>1</v>
      </c>
      <c r="H1350" s="9" t="str">
        <f>VLOOKUP(A1350,[2]characters!$A:$K,11,FALSE)</f>
        <v>hp</v>
      </c>
      <c r="I1350" s="14" t="str">
        <f>VLOOKUP(H1350,[2]character_type_i18n!$A:$F,3,FALSE)</f>
        <v>体力タイプ</v>
      </c>
      <c r="J1350" s="36">
        <f>VLOOKUP(H1350,[2]character_type_i18n!$A:$F,4,FALSE)</f>
        <v>1.45</v>
      </c>
      <c r="K1350" s="36">
        <f>VLOOKUP(H1350,[2]character_type_i18n!$A:$F,5,FALSE)</f>
        <v>0.85</v>
      </c>
      <c r="L1350" s="36">
        <f>VLOOKUP(H1350,[2]character_type_i18n!$A:$F,6,FALSE)</f>
        <v>1</v>
      </c>
      <c r="M1350" s="9" t="str">
        <f>VLOOKUP(A1350,[2]characters!$A:$M,13,FALSE)</f>
        <v>god</v>
      </c>
      <c r="N1350" s="14" t="str">
        <f>VLOOKUP(M1350,[2]character_tribe_i18n!$A:$F,3,FALSE)</f>
        <v>ゴッド</v>
      </c>
      <c r="O1350" s="24">
        <f>VLOOKUP(M1350,[2]character_tribe_i18n!$A:$F,4,FALSE)</f>
        <v>0.96</v>
      </c>
      <c r="P1350" s="24">
        <f>VLOOKUP(M1350,[2]character_tribe_i18n!$A:$F,5,FALSE)</f>
        <v>1.02</v>
      </c>
      <c r="Q1350" s="24">
        <f>VLOOKUP(M1350,[2]character_tribe_i18n!$A:$F,6,FALSE)</f>
        <v>1</v>
      </c>
      <c r="R1350" s="25" t="s">
        <v>98</v>
      </c>
      <c r="S1350" s="24">
        <f>VLOOKUP($R1350,ラベル別係数!$A$1:$E$7,3,FALSE)</f>
        <v>5</v>
      </c>
      <c r="T1350" s="24">
        <f>VLOOKUP($R1350,ラベル別係数!$A$1:$E$7,4,FALSE)</f>
        <v>1.3</v>
      </c>
      <c r="U1350" s="24">
        <f>VLOOKUP($R1350,ラベル別係数!$A$1:$E$7,5,FALSE)</f>
        <v>0.8</v>
      </c>
      <c r="V1350" s="27">
        <v>3</v>
      </c>
      <c r="W1350" s="28">
        <f>VLOOKUP(V1350,ターン数別攻撃係数!$A$1:$B$1000,2,FALSE)</f>
        <v>1</v>
      </c>
      <c r="X1350" s="9">
        <f>VLOOKUP(C1350,サイズ別係数!A$2:B$9,2,FALSE)</f>
        <v>60</v>
      </c>
      <c r="Y1350" s="26">
        <f>VLOOKUP($X1350,サイズ別係数!$B:$E,2,FALSE)</f>
        <v>1.7</v>
      </c>
      <c r="Z1350" s="26">
        <f>VLOOKUP($X1350,サイズ別係数!$B:$E,3,FALSE)</f>
        <v>1.4</v>
      </c>
      <c r="AA1350" s="26">
        <f>VLOOKUP($X1350,サイズ別係数!$B:$E,4,FALSE)</f>
        <v>1</v>
      </c>
      <c r="AB1350" s="5">
        <v>0</v>
      </c>
      <c r="AC1350" s="34" t="str">
        <f ca="1">VLOOKUP($AB1350,OFFSET([3]enemy_skill_sets!$B$2,0,0,COUNTA([3]enemy_skill_sets!$A:$A),MATCH(AC$1,[3]enemy_skill_sets!$1:$1,0)-MATCH($AB$1,[3]enemy_skill_sets!$1:$1,0)+1),MATCH(AC$1,[3]enemy_skill_sets!$1:$1,0)-MATCH($AB$1,[3]enemy_skill_sets!$1:$1,0)+1,FALSE)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0" s="67">
        <v>1</v>
      </c>
      <c r="AE1350" s="67">
        <v>1</v>
      </c>
      <c r="AF1350" s="37">
        <v>0</v>
      </c>
      <c r="AG1350" s="99">
        <f>ROUND(VLOOKUP(1,enemy_base_stats!$A:$F,2,FALSE) * Y1350* J1350*O1350*E1350*S1350*AD1350*[2]ステータス!$B$2,0)</f>
        <v>5798</v>
      </c>
      <c r="AH1350" s="99">
        <f>ROUND(VLOOKUP(1,enemy_base_stats!$A:$F,3,FALSE) * Z1350*K1350*P1350*F1350*T1350*AE1350 * W1350*[2]ステータス!$C$2,0)</f>
        <v>239</v>
      </c>
      <c r="AI1350" s="99">
        <f>ROUND(VLOOKUP(1,enemy_base_stats!$A:$F,4,FALSE) * AA1350*L1350*Q1350*G1350*U1350*AF1350*[2]ステータス!$D$2,0)</f>
        <v>0</v>
      </c>
      <c r="AJ1350" s="99">
        <f>ROUND(VLOOKUP(100,enemy_base_stats!$A:$F,2,FALSE) * Y1350* J1350*O1350*E1350*S1350*AD1350*[2]ステータス!$B$2,0)</f>
        <v>235386</v>
      </c>
      <c r="AK1350" s="99">
        <f>ROUND(VLOOKUP(100,enemy_base_stats!$A:$F,3,FALSE)* Z1350* K1350*P1350*F1350*T1350*AE1350 * W1350*[2]ステータス!$C$2,0)</f>
        <v>9706</v>
      </c>
      <c r="AL1350" s="99">
        <f>ROUND(VLOOKUP(100,enemy_base_stats!$A:$F,4,FALSE)* AA1350* L1350*Q1350*G1350*U1350*AF1350*[2]ステータス!$D$2,0)</f>
        <v>0</v>
      </c>
      <c r="AM1350" s="97">
        <f>VLOOKUP(M1350,[2]character_tribe_i18n!$A:$I,9,FALSE)</f>
        <v>680</v>
      </c>
      <c r="AN1350" s="36">
        <v>0</v>
      </c>
      <c r="AO1350" s="53">
        <v>0</v>
      </c>
      <c r="AP1350" s="58" t="s">
        <v>72</v>
      </c>
      <c r="AQ1350" s="71">
        <f t="shared" si="79"/>
        <v>1432</v>
      </c>
    </row>
    <row r="1351" spans="1:43" ht="21" customHeight="1" x14ac:dyDescent="0.15">
      <c r="A1351" s="7">
        <v>1436</v>
      </c>
      <c r="B1351" s="6" t="str">
        <f>VLOOKUP(A1351,[2]characters!$A:$C,3,FALSE)</f>
        <v>スパルタ</v>
      </c>
      <c r="C1351" s="9">
        <f>VLOOKUP(A1351,[2]characters!$A:$I,9,FALSE)</f>
        <v>4</v>
      </c>
      <c r="D1351" s="9" t="str">
        <f>VLOOKUP(A1351,[2]characters!$A:$H,8,FALSE)</f>
        <v>blue</v>
      </c>
      <c r="E1351" s="24">
        <f>VLOOKUP(D1351,[2]属性!$A:$E,2,FALSE)</f>
        <v>1</v>
      </c>
      <c r="F1351" s="24">
        <f>VLOOKUP(D1351,[2]属性!$A:$E,3,FALSE)</f>
        <v>0.98</v>
      </c>
      <c r="G1351" s="24">
        <f>VLOOKUP(D1351,[2]属性!$A:$F,4,FALSE)</f>
        <v>1</v>
      </c>
      <c r="H1351" s="9" t="str">
        <f>VLOOKUP(A1351,[2]characters!$A:$K,11,FALSE)</f>
        <v>attack</v>
      </c>
      <c r="I1351" s="14" t="str">
        <f>VLOOKUP(H1351,[2]character_type_i18n!$A:$F,3,FALSE)</f>
        <v>攻撃タイプ</v>
      </c>
      <c r="J1351" s="36">
        <f>VLOOKUP(H1351,[2]character_type_i18n!$A:$F,4,FALSE)</f>
        <v>1</v>
      </c>
      <c r="K1351" s="36">
        <f>VLOOKUP(H1351,[2]character_type_i18n!$A:$F,5,FALSE)</f>
        <v>1.33</v>
      </c>
      <c r="L1351" s="36">
        <f>VLOOKUP(H1351,[2]character_type_i18n!$A:$F,6,FALSE)</f>
        <v>1</v>
      </c>
      <c r="M1351" s="9" t="str">
        <f>VLOOKUP(A1351,[2]characters!$A:$M,13,FALSE)</f>
        <v>hero</v>
      </c>
      <c r="N1351" s="14" t="str">
        <f>VLOOKUP(M1351,[2]character_tribe_i18n!$A:$F,3,FALSE)</f>
        <v>ヒーロー</v>
      </c>
      <c r="O1351" s="24">
        <f>VLOOKUP(M1351,[2]character_tribe_i18n!$A:$F,4,FALSE)</f>
        <v>1</v>
      </c>
      <c r="P1351" s="24">
        <f>VLOOKUP(M1351,[2]character_tribe_i18n!$A:$F,5,FALSE)</f>
        <v>1</v>
      </c>
      <c r="Q1351" s="24">
        <f>VLOOKUP(M1351,[2]character_tribe_i18n!$A:$F,6,FALSE)</f>
        <v>1</v>
      </c>
      <c r="R1351" s="25" t="s">
        <v>98</v>
      </c>
      <c r="S1351" s="24">
        <f>VLOOKUP($R1351,ラベル別係数!$A$1:$E$7,3,FALSE)</f>
        <v>5</v>
      </c>
      <c r="T1351" s="24">
        <f>VLOOKUP($R1351,ラベル別係数!$A$1:$E$7,4,FALSE)</f>
        <v>1.3</v>
      </c>
      <c r="U1351" s="24">
        <f>VLOOKUP($R1351,ラベル別係数!$A$1:$E$7,5,FALSE)</f>
        <v>0.8</v>
      </c>
      <c r="V1351" s="27">
        <v>3</v>
      </c>
      <c r="W1351" s="28">
        <f>VLOOKUP(V1351,ターン数別攻撃係数!$A$1:$B$1000,2,FALSE)</f>
        <v>1</v>
      </c>
      <c r="X1351" s="9">
        <f>VLOOKUP(C1351,サイズ別係数!A$2:B$9,2,FALSE)</f>
        <v>30</v>
      </c>
      <c r="Y1351" s="26">
        <f>VLOOKUP($X1351,サイズ別係数!$B:$E,2,FALSE)</f>
        <v>1.3</v>
      </c>
      <c r="Z1351" s="26">
        <f>VLOOKUP($X1351,サイズ別係数!$B:$E,3,FALSE)</f>
        <v>1.3</v>
      </c>
      <c r="AA1351" s="26">
        <f>VLOOKUP($X1351,サイズ別係数!$B:$E,4,FALSE)</f>
        <v>1.1000000000000001</v>
      </c>
      <c r="AB1351" s="5">
        <v>0</v>
      </c>
      <c r="AC1351" s="34" t="str">
        <f ca="1">VLOOKUP($AB1351,OFFSET([3]enemy_skill_sets!$B$2,0,0,COUNTA([3]enemy_skill_sets!$A:$A),MATCH(AC$1,[3]enemy_skill_sets!$1:$1,0)-MATCH($AB$1,[3]enemy_skill_sets!$1:$1,0)+1),MATCH(AC$1,[3]enemy_skill_sets!$1:$1,0)-MATCH($AB$1,[3]enemy_skill_sets!$1:$1,0)+1,FALSE)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1" s="67">
        <v>1</v>
      </c>
      <c r="AE1351" s="67">
        <v>1</v>
      </c>
      <c r="AF1351" s="37">
        <v>0</v>
      </c>
      <c r="AG1351" s="41">
        <v>3055</v>
      </c>
      <c r="AH1351" s="41">
        <v>327</v>
      </c>
      <c r="AI1351" s="41">
        <v>0</v>
      </c>
      <c r="AJ1351" s="41">
        <v>124033</v>
      </c>
      <c r="AK1351" s="41">
        <v>13281</v>
      </c>
      <c r="AL1351" s="41">
        <v>0</v>
      </c>
      <c r="AM1351" s="97">
        <f>VLOOKUP(M1351,[2]character_tribe_i18n!$A:$I,9,FALSE)</f>
        <v>400</v>
      </c>
      <c r="AN1351" s="36">
        <v>0</v>
      </c>
      <c r="AO1351" s="53">
        <v>0</v>
      </c>
      <c r="AP1351" s="58" t="s">
        <v>72</v>
      </c>
      <c r="AQ1351" s="71">
        <f t="shared" ref="AQ1351:AQ1366" si="80">A1351</f>
        <v>1436</v>
      </c>
    </row>
    <row r="1352" spans="1:43" ht="21" customHeight="1" x14ac:dyDescent="0.15">
      <c r="A1352" s="7">
        <v>1437</v>
      </c>
      <c r="B1352" s="6" t="str">
        <f>VLOOKUP(A1352,[2]characters!$A:$C,3,FALSE)</f>
        <v>暴厳の練磨師 スパルタ</v>
      </c>
      <c r="C1352" s="9">
        <f>VLOOKUP(A1352,[2]characters!$A:$I,9,FALSE)</f>
        <v>5</v>
      </c>
      <c r="D1352" s="9" t="str">
        <f>VLOOKUP(A1352,[2]characters!$A:$H,8,FALSE)</f>
        <v>blue</v>
      </c>
      <c r="E1352" s="24">
        <f>VLOOKUP(D1352,[2]属性!$A:$E,2,FALSE)</f>
        <v>1</v>
      </c>
      <c r="F1352" s="24">
        <f>VLOOKUP(D1352,[2]属性!$A:$E,3,FALSE)</f>
        <v>0.98</v>
      </c>
      <c r="G1352" s="24">
        <f>VLOOKUP(D1352,[2]属性!$A:$F,4,FALSE)</f>
        <v>1</v>
      </c>
      <c r="H1352" s="9" t="str">
        <f>VLOOKUP(A1352,[2]characters!$A:$K,11,FALSE)</f>
        <v>attack</v>
      </c>
      <c r="I1352" s="14" t="str">
        <f>VLOOKUP(H1352,[2]character_type_i18n!$A:$F,3,FALSE)</f>
        <v>攻撃タイプ</v>
      </c>
      <c r="J1352" s="36">
        <f>VLOOKUP(H1352,[2]character_type_i18n!$A:$F,4,FALSE)</f>
        <v>1</v>
      </c>
      <c r="K1352" s="36">
        <f>VLOOKUP(H1352,[2]character_type_i18n!$A:$F,5,FALSE)</f>
        <v>1.33</v>
      </c>
      <c r="L1352" s="36">
        <f>VLOOKUP(H1352,[2]character_type_i18n!$A:$F,6,FALSE)</f>
        <v>1</v>
      </c>
      <c r="M1352" s="9" t="str">
        <f>VLOOKUP(A1352,[2]characters!$A:$M,13,FALSE)</f>
        <v>hero</v>
      </c>
      <c r="N1352" s="14" t="str">
        <f>VLOOKUP(M1352,[2]character_tribe_i18n!$A:$F,3,FALSE)</f>
        <v>ヒーロー</v>
      </c>
      <c r="O1352" s="24">
        <f>VLOOKUP(M1352,[2]character_tribe_i18n!$A:$F,4,FALSE)</f>
        <v>1</v>
      </c>
      <c r="P1352" s="24">
        <f>VLOOKUP(M1352,[2]character_tribe_i18n!$A:$F,5,FALSE)</f>
        <v>1</v>
      </c>
      <c r="Q1352" s="24">
        <f>VLOOKUP(M1352,[2]character_tribe_i18n!$A:$F,6,FALSE)</f>
        <v>1</v>
      </c>
      <c r="R1352" s="25" t="s">
        <v>98</v>
      </c>
      <c r="S1352" s="24">
        <f>VLOOKUP($R1352,ラベル別係数!$A$1:$E$7,3,FALSE)</f>
        <v>5</v>
      </c>
      <c r="T1352" s="24">
        <f>VLOOKUP($R1352,ラベル別係数!$A$1:$E$7,4,FALSE)</f>
        <v>1.3</v>
      </c>
      <c r="U1352" s="24">
        <f>VLOOKUP($R1352,ラベル別係数!$A$1:$E$7,5,FALSE)</f>
        <v>0.8</v>
      </c>
      <c r="V1352" s="27">
        <v>3</v>
      </c>
      <c r="W1352" s="28">
        <f>VLOOKUP(V1352,ターン数別攻撃係数!$A$1:$B$1000,2,FALSE)</f>
        <v>1</v>
      </c>
      <c r="X1352" s="9">
        <f>VLOOKUP(C1352,サイズ別係数!A$2:B$9,2,FALSE)</f>
        <v>60</v>
      </c>
      <c r="Y1352" s="26">
        <f>VLOOKUP($X1352,サイズ別係数!$B:$E,2,FALSE)</f>
        <v>1.7</v>
      </c>
      <c r="Z1352" s="26">
        <f>VLOOKUP($X1352,サイズ別係数!$B:$E,3,FALSE)</f>
        <v>1.4</v>
      </c>
      <c r="AA1352" s="26">
        <f>VLOOKUP($X1352,サイズ別係数!$B:$E,4,FALSE)</f>
        <v>1</v>
      </c>
      <c r="AB1352" s="5">
        <v>0</v>
      </c>
      <c r="AC1352" s="34" t="str">
        <f ca="1">VLOOKUP($AB1352,OFFSET([3]enemy_skill_sets!$B$2,0,0,COUNTA([3]enemy_skill_sets!$A:$A),MATCH(AC$1,[3]enemy_skill_sets!$1:$1,0)-MATCH($AB$1,[3]enemy_skill_sets!$1:$1,0)+1),MATCH(AC$1,[3]enemy_skill_sets!$1:$1,0)-MATCH($AB$1,[3]enemy_skill_sets!$1:$1,0)+1,FALSE)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2" s="67">
        <v>1</v>
      </c>
      <c r="AE1352" s="67">
        <v>1</v>
      </c>
      <c r="AF1352" s="37">
        <v>0</v>
      </c>
      <c r="AG1352" s="41">
        <v>3995</v>
      </c>
      <c r="AH1352" s="41">
        <v>352</v>
      </c>
      <c r="AI1352" s="41">
        <v>0</v>
      </c>
      <c r="AJ1352" s="41">
        <v>162197</v>
      </c>
      <c r="AK1352" s="41">
        <v>14302</v>
      </c>
      <c r="AL1352" s="41">
        <v>0</v>
      </c>
      <c r="AM1352" s="97">
        <f>VLOOKUP(M1352,[2]character_tribe_i18n!$A:$I,9,FALSE)</f>
        <v>400</v>
      </c>
      <c r="AN1352" s="36">
        <v>0</v>
      </c>
      <c r="AO1352" s="53">
        <v>0</v>
      </c>
      <c r="AP1352" s="58" t="s">
        <v>72</v>
      </c>
      <c r="AQ1352" s="71">
        <f t="shared" si="80"/>
        <v>1437</v>
      </c>
    </row>
    <row r="1353" spans="1:43" ht="21" customHeight="1" x14ac:dyDescent="0.15">
      <c r="A1353" s="7">
        <v>1438</v>
      </c>
      <c r="B1353" s="6" t="str">
        <f>VLOOKUP(A1353,[2]characters!$A:$C,3,FALSE)</f>
        <v>ゼノビア</v>
      </c>
      <c r="C1353" s="9">
        <f>VLOOKUP(A1353,[2]characters!$A:$I,9,FALSE)</f>
        <v>5</v>
      </c>
      <c r="D1353" s="9" t="str">
        <f>VLOOKUP(A1353,[2]characters!$A:$H,8,FALSE)</f>
        <v>green</v>
      </c>
      <c r="E1353" s="24">
        <f>VLOOKUP(D1353,[2]属性!$A:$E,2,FALSE)</f>
        <v>1.02</v>
      </c>
      <c r="F1353" s="24">
        <f>VLOOKUP(D1353,[2]属性!$A:$E,3,FALSE)</f>
        <v>0.98</v>
      </c>
      <c r="G1353" s="24">
        <f>VLOOKUP(D1353,[2]属性!$A:$F,4,FALSE)</f>
        <v>1</v>
      </c>
      <c r="H1353" s="9" t="str">
        <f>VLOOKUP(A1353,[2]characters!$A:$K,11,FALSE)</f>
        <v>attack</v>
      </c>
      <c r="I1353" s="14" t="str">
        <f>VLOOKUP(H1353,[2]character_type_i18n!$A:$F,3,FALSE)</f>
        <v>攻撃タイプ</v>
      </c>
      <c r="J1353" s="36">
        <f>VLOOKUP(H1353,[2]character_type_i18n!$A:$F,4,FALSE)</f>
        <v>1</v>
      </c>
      <c r="K1353" s="36">
        <f>VLOOKUP(H1353,[2]character_type_i18n!$A:$F,5,FALSE)</f>
        <v>1.33</v>
      </c>
      <c r="L1353" s="36">
        <f>VLOOKUP(H1353,[2]character_type_i18n!$A:$F,6,FALSE)</f>
        <v>1</v>
      </c>
      <c r="M1353" s="9" t="str">
        <f>VLOOKUP(A1353,[2]characters!$A:$M,13,FALSE)</f>
        <v>hero</v>
      </c>
      <c r="N1353" s="14" t="str">
        <f>VLOOKUP(M1353,[2]character_tribe_i18n!$A:$F,3,FALSE)</f>
        <v>ヒーロー</v>
      </c>
      <c r="O1353" s="24">
        <f>VLOOKUP(M1353,[2]character_tribe_i18n!$A:$F,4,FALSE)</f>
        <v>1</v>
      </c>
      <c r="P1353" s="24">
        <f>VLOOKUP(M1353,[2]character_tribe_i18n!$A:$F,5,FALSE)</f>
        <v>1</v>
      </c>
      <c r="Q1353" s="24">
        <f>VLOOKUP(M1353,[2]character_tribe_i18n!$A:$F,6,FALSE)</f>
        <v>1</v>
      </c>
      <c r="R1353" s="25" t="s">
        <v>98</v>
      </c>
      <c r="S1353" s="24">
        <f>VLOOKUP($R1353,ラベル別係数!$A$1:$E$7,3,FALSE)</f>
        <v>5</v>
      </c>
      <c r="T1353" s="24">
        <f>VLOOKUP($R1353,ラベル別係数!$A$1:$E$7,4,FALSE)</f>
        <v>1.3</v>
      </c>
      <c r="U1353" s="24">
        <f>VLOOKUP($R1353,ラベル別係数!$A$1:$E$7,5,FALSE)</f>
        <v>0.8</v>
      </c>
      <c r="V1353" s="27">
        <v>3</v>
      </c>
      <c r="W1353" s="28">
        <f>VLOOKUP(V1353,ターン数別攻撃係数!$A$1:$B$1000,2,FALSE)</f>
        <v>1</v>
      </c>
      <c r="X1353" s="9">
        <f>VLOOKUP(C1353,サイズ別係数!A$2:B$9,2,FALSE)</f>
        <v>60</v>
      </c>
      <c r="Y1353" s="26">
        <f>VLOOKUP($X1353,サイズ別係数!$B:$E,2,FALSE)</f>
        <v>1.7</v>
      </c>
      <c r="Z1353" s="26">
        <f>VLOOKUP($X1353,サイズ別係数!$B:$E,3,FALSE)</f>
        <v>1.4</v>
      </c>
      <c r="AA1353" s="26">
        <f>VLOOKUP($X1353,サイズ別係数!$B:$E,4,FALSE)</f>
        <v>1</v>
      </c>
      <c r="AB1353" s="5">
        <v>0</v>
      </c>
      <c r="AC1353" s="34" t="str">
        <f ca="1">VLOOKUP($AB1353,OFFSET([3]enemy_skill_sets!$B$2,0,0,COUNTA([3]enemy_skill_sets!$A:$A),MATCH(AC$1,[3]enemy_skill_sets!$1:$1,0)-MATCH($AB$1,[3]enemy_skill_sets!$1:$1,0)+1),MATCH(AC$1,[3]enemy_skill_sets!$1:$1,0)-MATCH($AB$1,[3]enemy_skill_sets!$1:$1,0)+1,FALSE)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3" s="67">
        <v>1</v>
      </c>
      <c r="AE1353" s="67">
        <v>1</v>
      </c>
      <c r="AF1353" s="37">
        <v>0</v>
      </c>
      <c r="AG1353" s="41">
        <v>4075</v>
      </c>
      <c r="AH1353" s="41">
        <v>265</v>
      </c>
      <c r="AI1353" s="41">
        <v>0</v>
      </c>
      <c r="AJ1353" s="41">
        <v>165441</v>
      </c>
      <c r="AK1353" s="41">
        <v>10754</v>
      </c>
      <c r="AL1353" s="41">
        <v>0</v>
      </c>
      <c r="AM1353" s="97">
        <f>VLOOKUP(M1353,[2]character_tribe_i18n!$A:$I,9,FALSE)</f>
        <v>400</v>
      </c>
      <c r="AN1353" s="36">
        <v>0</v>
      </c>
      <c r="AO1353" s="53">
        <v>0</v>
      </c>
      <c r="AP1353" s="58" t="s">
        <v>72</v>
      </c>
      <c r="AQ1353" s="71">
        <f t="shared" si="80"/>
        <v>1438</v>
      </c>
    </row>
    <row r="1354" spans="1:43" ht="21" customHeight="1" x14ac:dyDescent="0.15">
      <c r="A1354" s="7">
        <v>1439</v>
      </c>
      <c r="B1354" s="6" t="str">
        <f>VLOOKUP(A1354,[2]characters!$A:$C,3,FALSE)</f>
        <v>狡貴なる女傑 ゼノビア</v>
      </c>
      <c r="C1354" s="9">
        <f>VLOOKUP(A1354,[2]characters!$A:$I,9,FALSE)</f>
        <v>6</v>
      </c>
      <c r="D1354" s="9" t="str">
        <f>VLOOKUP(A1354,[2]characters!$A:$H,8,FALSE)</f>
        <v>green</v>
      </c>
      <c r="E1354" s="24">
        <f>VLOOKUP(D1354,[2]属性!$A:$E,2,FALSE)</f>
        <v>1.02</v>
      </c>
      <c r="F1354" s="24">
        <f>VLOOKUP(D1354,[2]属性!$A:$E,3,FALSE)</f>
        <v>0.98</v>
      </c>
      <c r="G1354" s="24">
        <f>VLOOKUP(D1354,[2]属性!$A:$F,4,FALSE)</f>
        <v>1</v>
      </c>
      <c r="H1354" s="9" t="str">
        <f>VLOOKUP(A1354,[2]characters!$A:$K,11,FALSE)</f>
        <v>attack</v>
      </c>
      <c r="I1354" s="14" t="str">
        <f>VLOOKUP(H1354,[2]character_type_i18n!$A:$F,3,FALSE)</f>
        <v>攻撃タイプ</v>
      </c>
      <c r="J1354" s="36">
        <f>VLOOKUP(H1354,[2]character_type_i18n!$A:$F,4,FALSE)</f>
        <v>1</v>
      </c>
      <c r="K1354" s="36">
        <f>VLOOKUP(H1354,[2]character_type_i18n!$A:$F,5,FALSE)</f>
        <v>1.33</v>
      </c>
      <c r="L1354" s="36">
        <f>VLOOKUP(H1354,[2]character_type_i18n!$A:$F,6,FALSE)</f>
        <v>1</v>
      </c>
      <c r="M1354" s="9" t="str">
        <f>VLOOKUP(A1354,[2]characters!$A:$M,13,FALSE)</f>
        <v>hero</v>
      </c>
      <c r="N1354" s="14" t="str">
        <f>VLOOKUP(M1354,[2]character_tribe_i18n!$A:$F,3,FALSE)</f>
        <v>ヒーロー</v>
      </c>
      <c r="O1354" s="24">
        <f>VLOOKUP(M1354,[2]character_tribe_i18n!$A:$F,4,FALSE)</f>
        <v>1</v>
      </c>
      <c r="P1354" s="24">
        <f>VLOOKUP(M1354,[2]character_tribe_i18n!$A:$F,5,FALSE)</f>
        <v>1</v>
      </c>
      <c r="Q1354" s="24">
        <f>VLOOKUP(M1354,[2]character_tribe_i18n!$A:$F,6,FALSE)</f>
        <v>1</v>
      </c>
      <c r="R1354" s="25" t="s">
        <v>98</v>
      </c>
      <c r="S1354" s="24">
        <f>VLOOKUP($R1354,ラベル別係数!$A$1:$E$7,3,FALSE)</f>
        <v>5</v>
      </c>
      <c r="T1354" s="24">
        <f>VLOOKUP($R1354,ラベル別係数!$A$1:$E$7,4,FALSE)</f>
        <v>1.3</v>
      </c>
      <c r="U1354" s="24">
        <f>VLOOKUP($R1354,ラベル別係数!$A$1:$E$7,5,FALSE)</f>
        <v>0.8</v>
      </c>
      <c r="V1354" s="27">
        <v>3</v>
      </c>
      <c r="W1354" s="28">
        <f>VLOOKUP(V1354,ターン数別攻撃係数!$A$1:$B$1000,2,FALSE)</f>
        <v>1</v>
      </c>
      <c r="X1354" s="9">
        <f>VLOOKUP(C1354,サイズ別係数!A$2:B$9,2,FALSE)</f>
        <v>60</v>
      </c>
      <c r="Y1354" s="26">
        <f>VLOOKUP($X1354,サイズ別係数!$B:$E,2,FALSE)</f>
        <v>1.7</v>
      </c>
      <c r="Z1354" s="26">
        <f>VLOOKUP($X1354,サイズ別係数!$B:$E,3,FALSE)</f>
        <v>1.4</v>
      </c>
      <c r="AA1354" s="26">
        <f>VLOOKUP($X1354,サイズ別係数!$B:$E,4,FALSE)</f>
        <v>1</v>
      </c>
      <c r="AB1354" s="5">
        <v>0</v>
      </c>
      <c r="AC1354" s="34" t="str">
        <f ca="1">VLOOKUP($AB1354,OFFSET([3]enemy_skill_sets!$B$2,0,0,COUNTA([3]enemy_skill_sets!$A:$A),MATCH(AC$1,[3]enemy_skill_sets!$1:$1,0)-MATCH($AB$1,[3]enemy_skill_sets!$1:$1,0)+1),MATCH(AC$1,[3]enemy_skill_sets!$1:$1,0)-MATCH($AB$1,[3]enemy_skill_sets!$1:$1,0)+1,FALSE)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4" s="67">
        <v>1</v>
      </c>
      <c r="AE1354" s="67">
        <v>1</v>
      </c>
      <c r="AF1354" s="37">
        <v>0</v>
      </c>
      <c r="AG1354" s="41">
        <v>4075</v>
      </c>
      <c r="AH1354" s="41">
        <v>265</v>
      </c>
      <c r="AI1354" s="41">
        <v>0</v>
      </c>
      <c r="AJ1354" s="41">
        <v>165441</v>
      </c>
      <c r="AK1354" s="41">
        <v>10754</v>
      </c>
      <c r="AL1354" s="41">
        <v>0</v>
      </c>
      <c r="AM1354" s="97">
        <f>VLOOKUP(M1354,[2]character_tribe_i18n!$A:$I,9,FALSE)</f>
        <v>400</v>
      </c>
      <c r="AN1354" s="36">
        <v>0</v>
      </c>
      <c r="AO1354" s="53">
        <v>0</v>
      </c>
      <c r="AP1354" s="58" t="s">
        <v>72</v>
      </c>
      <c r="AQ1354" s="71">
        <f t="shared" si="80"/>
        <v>1439</v>
      </c>
    </row>
    <row r="1355" spans="1:43" ht="21" customHeight="1" x14ac:dyDescent="0.15">
      <c r="A1355" s="7">
        <v>1440</v>
      </c>
      <c r="B1355" s="6" t="str">
        <f>VLOOKUP(A1355,[2]characters!$A:$C,3,FALSE)</f>
        <v>ブルータス</v>
      </c>
      <c r="C1355" s="9">
        <f>VLOOKUP(A1355,[2]characters!$A:$I,9,FALSE)</f>
        <v>5</v>
      </c>
      <c r="D1355" s="9" t="str">
        <f>VLOOKUP(A1355,[2]characters!$A:$H,8,FALSE)</f>
        <v>yellow</v>
      </c>
      <c r="E1355" s="24">
        <f>VLOOKUP(D1355,[2]属性!$A:$E,2,FALSE)</f>
        <v>0.98</v>
      </c>
      <c r="F1355" s="24">
        <f>VLOOKUP(D1355,[2]属性!$A:$E,3,FALSE)</f>
        <v>1.01</v>
      </c>
      <c r="G1355" s="24">
        <f>VLOOKUP(D1355,[2]属性!$A:$F,4,FALSE)</f>
        <v>1</v>
      </c>
      <c r="H1355" s="9" t="str">
        <f>VLOOKUP(A1355,[2]characters!$A:$K,11,FALSE)</f>
        <v>technical</v>
      </c>
      <c r="I1355" s="14" t="str">
        <f>VLOOKUP(H1355,[2]character_type_i18n!$A:$F,3,FALSE)</f>
        <v>テクニカルタイプ</v>
      </c>
      <c r="J1355" s="36">
        <f>VLOOKUP(H1355,[2]character_type_i18n!$A:$F,4,FALSE)</f>
        <v>0.9</v>
      </c>
      <c r="K1355" s="36">
        <f>VLOOKUP(H1355,[2]character_type_i18n!$A:$F,5,FALSE)</f>
        <v>0.9</v>
      </c>
      <c r="L1355" s="36">
        <f>VLOOKUP(H1355,[2]character_type_i18n!$A:$F,6,FALSE)</f>
        <v>1</v>
      </c>
      <c r="M1355" s="9" t="str">
        <f>VLOOKUP(A1355,[2]characters!$A:$M,13,FALSE)</f>
        <v>human</v>
      </c>
      <c r="N1355" s="14" t="str">
        <f>VLOOKUP(M1355,[2]character_tribe_i18n!$A:$F,3,FALSE)</f>
        <v>ヒューマン</v>
      </c>
      <c r="O1355" s="24">
        <f>VLOOKUP(M1355,[2]character_tribe_i18n!$A:$F,4,FALSE)</f>
        <v>0.94</v>
      </c>
      <c r="P1355" s="24">
        <f>VLOOKUP(M1355,[2]character_tribe_i18n!$A:$F,5,FALSE)</f>
        <v>0.99</v>
      </c>
      <c r="Q1355" s="24">
        <f>VLOOKUP(M1355,[2]character_tribe_i18n!$A:$F,6,FALSE)</f>
        <v>1</v>
      </c>
      <c r="R1355" s="25" t="s">
        <v>98</v>
      </c>
      <c r="S1355" s="24">
        <f>VLOOKUP($R1355,ラベル別係数!$A$1:$E$7,3,FALSE)</f>
        <v>5</v>
      </c>
      <c r="T1355" s="24">
        <f>VLOOKUP($R1355,ラベル別係数!$A$1:$E$7,4,FALSE)</f>
        <v>1.3</v>
      </c>
      <c r="U1355" s="24">
        <f>VLOOKUP($R1355,ラベル別係数!$A$1:$E$7,5,FALSE)</f>
        <v>0.8</v>
      </c>
      <c r="V1355" s="27">
        <v>3</v>
      </c>
      <c r="W1355" s="28">
        <f>VLOOKUP(V1355,ターン数別攻撃係数!$A$1:$B$1000,2,FALSE)</f>
        <v>1</v>
      </c>
      <c r="X1355" s="9">
        <f>VLOOKUP(C1355,サイズ別係数!A$2:B$9,2,FALSE)</f>
        <v>60</v>
      </c>
      <c r="Y1355" s="26">
        <f>VLOOKUP($X1355,サイズ別係数!$B:$E,2,FALSE)</f>
        <v>1.7</v>
      </c>
      <c r="Z1355" s="26">
        <f>VLOOKUP($X1355,サイズ別係数!$B:$E,3,FALSE)</f>
        <v>1.4</v>
      </c>
      <c r="AA1355" s="26">
        <f>VLOOKUP($X1355,サイズ別係数!$B:$E,4,FALSE)</f>
        <v>1</v>
      </c>
      <c r="AB1355" s="5">
        <v>0</v>
      </c>
      <c r="AC1355" s="34" t="str">
        <f ca="1">VLOOKUP($AB1355,OFFSET([3]enemy_skill_sets!$B$2,0,0,COUNTA([3]enemy_skill_sets!$A:$A),MATCH(AC$1,[3]enemy_skill_sets!$1:$1,0)-MATCH($AB$1,[3]enemy_skill_sets!$1:$1,0)+1),MATCH(AC$1,[3]enemy_skill_sets!$1:$1,0)-MATCH($AB$1,[3]enemy_skill_sets!$1:$1,0)+1,FALSE)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5" s="67">
        <v>1</v>
      </c>
      <c r="AE1355" s="67">
        <v>1</v>
      </c>
      <c r="AF1355" s="37">
        <v>0</v>
      </c>
      <c r="AG1355" s="99">
        <f>ROUND(VLOOKUP(1,enemy_base_stats!$A:$F,2,FALSE) * Y1355* J1355*O1355*E1355*S1355*AD1355*[2]ステータス!$B$2,0)</f>
        <v>3524</v>
      </c>
      <c r="AH1355" s="99">
        <f>ROUND(VLOOKUP(1,enemy_base_stats!$A:$F,3,FALSE) * Z1355*K1355*P1355*F1355*T1355*AE1355 * W1355*[2]ステータス!$C$2,0)</f>
        <v>246</v>
      </c>
      <c r="AI1355" s="99">
        <f>ROUND(VLOOKUP(1,enemy_base_stats!$A:$F,4,FALSE) * AA1355*L1355*Q1355*G1355*U1355*AF1355*[2]ステータス!$D$2,0)</f>
        <v>0</v>
      </c>
      <c r="AJ1355" s="99">
        <f>ROUND(VLOOKUP(100,enemy_base_stats!$A:$F,2,FALSE) * Y1355* J1355*O1355*E1355*S1355*AD1355*[2]ステータス!$B$2,0)</f>
        <v>143058</v>
      </c>
      <c r="AK1355" s="99">
        <f>ROUND(VLOOKUP(100,enemy_base_stats!$A:$F,3,FALSE)* Z1355* K1355*P1355*F1355*T1355*AE1355 * W1355*[2]ステータス!$C$2,0)</f>
        <v>9974</v>
      </c>
      <c r="AL1355" s="99">
        <f>ROUND(VLOOKUP(100,enemy_base_stats!$A:$F,4,FALSE)* AA1355* L1355*Q1355*G1355*U1355*AF1355*[2]ステータス!$D$2,0)</f>
        <v>0</v>
      </c>
      <c r="AM1355" s="97">
        <f>VLOOKUP(M1355,[2]character_tribe_i18n!$A:$I,9,FALSE)</f>
        <v>400</v>
      </c>
      <c r="AN1355" s="36">
        <v>0</v>
      </c>
      <c r="AO1355" s="53">
        <v>0</v>
      </c>
      <c r="AP1355" s="58" t="s">
        <v>72</v>
      </c>
      <c r="AQ1355" s="71">
        <f t="shared" si="80"/>
        <v>1440</v>
      </c>
    </row>
    <row r="1356" spans="1:43" ht="21" customHeight="1" x14ac:dyDescent="0.15">
      <c r="A1356" s="7">
        <v>1441</v>
      </c>
      <c r="B1356" s="6" t="str">
        <f>VLOOKUP(A1356,[2]characters!$A:$C,3,FALSE)</f>
        <v>背信の謀剣 ブルータス</v>
      </c>
      <c r="C1356" s="9">
        <f>VLOOKUP(A1356,[2]characters!$A:$I,9,FALSE)</f>
        <v>6</v>
      </c>
      <c r="D1356" s="9" t="str">
        <f>VLOOKUP(A1356,[2]characters!$A:$H,8,FALSE)</f>
        <v>yellow</v>
      </c>
      <c r="E1356" s="24">
        <f>VLOOKUP(D1356,[2]属性!$A:$E,2,FALSE)</f>
        <v>0.98</v>
      </c>
      <c r="F1356" s="24">
        <f>VLOOKUP(D1356,[2]属性!$A:$E,3,FALSE)</f>
        <v>1.01</v>
      </c>
      <c r="G1356" s="24">
        <f>VLOOKUP(D1356,[2]属性!$A:$F,4,FALSE)</f>
        <v>1</v>
      </c>
      <c r="H1356" s="9" t="str">
        <f>VLOOKUP(A1356,[2]characters!$A:$K,11,FALSE)</f>
        <v>technical</v>
      </c>
      <c r="I1356" s="14" t="str">
        <f>VLOOKUP(H1356,[2]character_type_i18n!$A:$F,3,FALSE)</f>
        <v>テクニカルタイプ</v>
      </c>
      <c r="J1356" s="36">
        <f>VLOOKUP(H1356,[2]character_type_i18n!$A:$F,4,FALSE)</f>
        <v>0.9</v>
      </c>
      <c r="K1356" s="36">
        <f>VLOOKUP(H1356,[2]character_type_i18n!$A:$F,5,FALSE)</f>
        <v>0.9</v>
      </c>
      <c r="L1356" s="36">
        <f>VLOOKUP(H1356,[2]character_type_i18n!$A:$F,6,FALSE)</f>
        <v>1</v>
      </c>
      <c r="M1356" s="9" t="str">
        <f>VLOOKUP(A1356,[2]characters!$A:$M,13,FALSE)</f>
        <v>human</v>
      </c>
      <c r="N1356" s="14" t="str">
        <f>VLOOKUP(M1356,[2]character_tribe_i18n!$A:$F,3,FALSE)</f>
        <v>ヒューマン</v>
      </c>
      <c r="O1356" s="24">
        <f>VLOOKUP(M1356,[2]character_tribe_i18n!$A:$F,4,FALSE)</f>
        <v>0.94</v>
      </c>
      <c r="P1356" s="24">
        <f>VLOOKUP(M1356,[2]character_tribe_i18n!$A:$F,5,FALSE)</f>
        <v>0.99</v>
      </c>
      <c r="Q1356" s="24">
        <f>VLOOKUP(M1356,[2]character_tribe_i18n!$A:$F,6,FALSE)</f>
        <v>1</v>
      </c>
      <c r="R1356" s="25" t="s">
        <v>98</v>
      </c>
      <c r="S1356" s="24">
        <f>VLOOKUP($R1356,ラベル別係数!$A$1:$E$7,3,FALSE)</f>
        <v>5</v>
      </c>
      <c r="T1356" s="24">
        <f>VLOOKUP($R1356,ラベル別係数!$A$1:$E$7,4,FALSE)</f>
        <v>1.3</v>
      </c>
      <c r="U1356" s="24">
        <f>VLOOKUP($R1356,ラベル別係数!$A$1:$E$7,5,FALSE)</f>
        <v>0.8</v>
      </c>
      <c r="V1356" s="27">
        <v>3</v>
      </c>
      <c r="W1356" s="28">
        <f>VLOOKUP(V1356,ターン数別攻撃係数!$A$1:$B$1000,2,FALSE)</f>
        <v>1</v>
      </c>
      <c r="X1356" s="9">
        <f>VLOOKUP(C1356,サイズ別係数!A$2:B$9,2,FALSE)</f>
        <v>60</v>
      </c>
      <c r="Y1356" s="26">
        <f>VLOOKUP($X1356,サイズ別係数!$B:$E,2,FALSE)</f>
        <v>1.7</v>
      </c>
      <c r="Z1356" s="26">
        <f>VLOOKUP($X1356,サイズ別係数!$B:$E,3,FALSE)</f>
        <v>1.4</v>
      </c>
      <c r="AA1356" s="26">
        <f>VLOOKUP($X1356,サイズ別係数!$B:$E,4,FALSE)</f>
        <v>1</v>
      </c>
      <c r="AB1356" s="5">
        <v>0</v>
      </c>
      <c r="AC1356" s="34" t="str">
        <f ca="1">VLOOKUP($AB1356,OFFSET([3]enemy_skill_sets!$B$2,0,0,COUNTA([3]enemy_skill_sets!$A:$A),MATCH(AC$1,[3]enemy_skill_sets!$1:$1,0)-MATCH($AB$1,[3]enemy_skill_sets!$1:$1,0)+1),MATCH(AC$1,[3]enemy_skill_sets!$1:$1,0)-MATCH($AB$1,[3]enemy_skill_sets!$1:$1,0)+1,FALSE)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6" s="67">
        <v>1</v>
      </c>
      <c r="AE1356" s="67">
        <v>1</v>
      </c>
      <c r="AF1356" s="37">
        <v>0</v>
      </c>
      <c r="AG1356" s="99">
        <f>ROUND(VLOOKUP(1,enemy_base_stats!$A:$F,2,FALSE) * Y1356* J1356*O1356*E1356*S1356*AD1356*[2]ステータス!$B$2,0)</f>
        <v>3524</v>
      </c>
      <c r="AH1356" s="99">
        <f>ROUND(VLOOKUP(1,enemy_base_stats!$A:$F,3,FALSE) * Z1356*K1356*P1356*F1356*T1356*AE1356 * W1356*[2]ステータス!$C$2,0)</f>
        <v>246</v>
      </c>
      <c r="AI1356" s="99">
        <f>ROUND(VLOOKUP(1,enemy_base_stats!$A:$F,4,FALSE) * AA1356*L1356*Q1356*G1356*U1356*AF1356*[2]ステータス!$D$2,0)</f>
        <v>0</v>
      </c>
      <c r="AJ1356" s="99">
        <f>ROUND(VLOOKUP(100,enemy_base_stats!$A:$F,2,FALSE) * Y1356* J1356*O1356*E1356*S1356*AD1356*[2]ステータス!$B$2,0)</f>
        <v>143058</v>
      </c>
      <c r="AK1356" s="99">
        <f>ROUND(VLOOKUP(100,enemy_base_stats!$A:$F,3,FALSE)* Z1356* K1356*P1356*F1356*T1356*AE1356 * W1356*[2]ステータス!$C$2,0)</f>
        <v>9974</v>
      </c>
      <c r="AL1356" s="99">
        <f>ROUND(VLOOKUP(100,enemy_base_stats!$A:$F,4,FALSE)* AA1356* L1356*Q1356*G1356*U1356*AF1356*[2]ステータス!$D$2,0)</f>
        <v>0</v>
      </c>
      <c r="AM1356" s="97">
        <f>VLOOKUP(M1356,[2]character_tribe_i18n!$A:$I,9,FALSE)</f>
        <v>400</v>
      </c>
      <c r="AN1356" s="36">
        <v>0</v>
      </c>
      <c r="AO1356" s="53">
        <v>0</v>
      </c>
      <c r="AP1356" s="58" t="s">
        <v>72</v>
      </c>
      <c r="AQ1356" s="71">
        <f t="shared" si="80"/>
        <v>1441</v>
      </c>
    </row>
    <row r="1357" spans="1:43" ht="21" customHeight="1" x14ac:dyDescent="0.15">
      <c r="A1357" s="7">
        <v>1442</v>
      </c>
      <c r="B1357" s="6" t="str">
        <f>VLOOKUP(A1357,[2]characters!$A:$C,3,FALSE)</f>
        <v>アレキサンダー</v>
      </c>
      <c r="C1357" s="9">
        <f>VLOOKUP(A1357,[2]characters!$A:$I,9,FALSE)</f>
        <v>5</v>
      </c>
      <c r="D1357" s="9" t="str">
        <f>VLOOKUP(A1357,[2]characters!$A:$H,8,FALSE)</f>
        <v>red</v>
      </c>
      <c r="E1357" s="24">
        <f>VLOOKUP(D1357,[2]属性!$A:$E,2,FALSE)</f>
        <v>1</v>
      </c>
      <c r="F1357" s="24">
        <f>VLOOKUP(D1357,[2]属性!$A:$E,3,FALSE)</f>
        <v>1.02</v>
      </c>
      <c r="G1357" s="24">
        <f>VLOOKUP(D1357,[2]属性!$A:$F,4,FALSE)</f>
        <v>1</v>
      </c>
      <c r="H1357" s="9" t="str">
        <f>VLOOKUP(A1357,[2]characters!$A:$K,11,FALSE)</f>
        <v>hp</v>
      </c>
      <c r="I1357" s="14" t="str">
        <f>VLOOKUP(H1357,[2]character_type_i18n!$A:$F,3,FALSE)</f>
        <v>体力タイプ</v>
      </c>
      <c r="J1357" s="36">
        <f>VLOOKUP(H1357,[2]character_type_i18n!$A:$F,4,FALSE)</f>
        <v>1.45</v>
      </c>
      <c r="K1357" s="36">
        <f>VLOOKUP(H1357,[2]character_type_i18n!$A:$F,5,FALSE)</f>
        <v>0.85</v>
      </c>
      <c r="L1357" s="36">
        <f>VLOOKUP(H1357,[2]character_type_i18n!$A:$F,6,FALSE)</f>
        <v>1</v>
      </c>
      <c r="M1357" s="9" t="str">
        <f>VLOOKUP(A1357,[2]characters!$A:$M,13,FALSE)</f>
        <v>hero</v>
      </c>
      <c r="N1357" s="14" t="str">
        <f>VLOOKUP(M1357,[2]character_tribe_i18n!$A:$F,3,FALSE)</f>
        <v>ヒーロー</v>
      </c>
      <c r="O1357" s="24">
        <f>VLOOKUP(M1357,[2]character_tribe_i18n!$A:$F,4,FALSE)</f>
        <v>1</v>
      </c>
      <c r="P1357" s="24">
        <f>VLOOKUP(M1357,[2]character_tribe_i18n!$A:$F,5,FALSE)</f>
        <v>1</v>
      </c>
      <c r="Q1357" s="24">
        <f>VLOOKUP(M1357,[2]character_tribe_i18n!$A:$F,6,FALSE)</f>
        <v>1</v>
      </c>
      <c r="R1357" s="25" t="s">
        <v>98</v>
      </c>
      <c r="S1357" s="24">
        <f>VLOOKUP($R1357,ラベル別係数!$A$1:$E$7,3,FALSE)</f>
        <v>5</v>
      </c>
      <c r="T1357" s="24">
        <f>VLOOKUP($R1357,ラベル別係数!$A$1:$E$7,4,FALSE)</f>
        <v>1.3</v>
      </c>
      <c r="U1357" s="24">
        <f>VLOOKUP($R1357,ラベル別係数!$A$1:$E$7,5,FALSE)</f>
        <v>0.8</v>
      </c>
      <c r="V1357" s="27">
        <v>3</v>
      </c>
      <c r="W1357" s="28">
        <f>VLOOKUP(V1357,ターン数別攻撃係数!$A$1:$B$1000,2,FALSE)</f>
        <v>1</v>
      </c>
      <c r="X1357" s="9">
        <f>VLOOKUP(C1357,サイズ別係数!A$2:B$9,2,FALSE)</f>
        <v>60</v>
      </c>
      <c r="Y1357" s="26">
        <f>VLOOKUP($X1357,サイズ別係数!$B:$E,2,FALSE)</f>
        <v>1.7</v>
      </c>
      <c r="Z1357" s="26">
        <f>VLOOKUP($X1357,サイズ別係数!$B:$E,3,FALSE)</f>
        <v>1.4</v>
      </c>
      <c r="AA1357" s="26">
        <f>VLOOKUP($X1357,サイズ別係数!$B:$E,4,FALSE)</f>
        <v>1</v>
      </c>
      <c r="AB1357" s="5">
        <v>0</v>
      </c>
      <c r="AC1357" s="34" t="str">
        <f ca="1">VLOOKUP($AB1357,OFFSET([3]enemy_skill_sets!$B$2,0,0,COUNTA([3]enemy_skill_sets!$A:$A),MATCH(AC$1,[3]enemy_skill_sets!$1:$1,0)-MATCH($AB$1,[3]enemy_skill_sets!$1:$1,0)+1),MATCH(AC$1,[3]enemy_skill_sets!$1:$1,0)-MATCH($AB$1,[3]enemy_skill_sets!$1:$1,0)+1,FALSE)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7" s="67">
        <v>1</v>
      </c>
      <c r="AE1357" s="67">
        <v>1</v>
      </c>
      <c r="AF1357" s="37">
        <v>0</v>
      </c>
      <c r="AG1357" s="41">
        <v>5793</v>
      </c>
      <c r="AH1357" s="41">
        <v>234</v>
      </c>
      <c r="AI1357" s="41">
        <v>0</v>
      </c>
      <c r="AJ1357" s="41">
        <v>235186</v>
      </c>
      <c r="AK1357" s="41">
        <v>9514</v>
      </c>
      <c r="AL1357" s="41">
        <v>0</v>
      </c>
      <c r="AM1357" s="97">
        <f>VLOOKUP(M1357,[2]character_tribe_i18n!$A:$I,9,FALSE)</f>
        <v>400</v>
      </c>
      <c r="AN1357" s="36">
        <v>0</v>
      </c>
      <c r="AO1357" s="53">
        <v>0</v>
      </c>
      <c r="AP1357" s="58" t="s">
        <v>72</v>
      </c>
      <c r="AQ1357" s="71">
        <f t="shared" si="80"/>
        <v>1442</v>
      </c>
    </row>
    <row r="1358" spans="1:43" ht="21" customHeight="1" x14ac:dyDescent="0.15">
      <c r="A1358" s="7">
        <v>1443</v>
      </c>
      <c r="B1358" s="6" t="str">
        <f>VLOOKUP(A1358,[2]characters!$A:$C,3,FALSE)</f>
        <v>征世の大英雄 アレキサンダー</v>
      </c>
      <c r="C1358" s="9">
        <f>VLOOKUP(A1358,[2]characters!$A:$I,9,FALSE)</f>
        <v>6</v>
      </c>
      <c r="D1358" s="9" t="str">
        <f>VLOOKUP(A1358,[2]characters!$A:$H,8,FALSE)</f>
        <v>red</v>
      </c>
      <c r="E1358" s="24">
        <f>VLOOKUP(D1358,[2]属性!$A:$E,2,FALSE)</f>
        <v>1</v>
      </c>
      <c r="F1358" s="24">
        <f>VLOOKUP(D1358,[2]属性!$A:$E,3,FALSE)</f>
        <v>1.02</v>
      </c>
      <c r="G1358" s="24">
        <f>VLOOKUP(D1358,[2]属性!$A:$F,4,FALSE)</f>
        <v>1</v>
      </c>
      <c r="H1358" s="9" t="str">
        <f>VLOOKUP(A1358,[2]characters!$A:$K,11,FALSE)</f>
        <v>hp</v>
      </c>
      <c r="I1358" s="14" t="str">
        <f>VLOOKUP(H1358,[2]character_type_i18n!$A:$F,3,FALSE)</f>
        <v>体力タイプ</v>
      </c>
      <c r="J1358" s="36">
        <f>VLOOKUP(H1358,[2]character_type_i18n!$A:$F,4,FALSE)</f>
        <v>1.45</v>
      </c>
      <c r="K1358" s="36">
        <f>VLOOKUP(H1358,[2]character_type_i18n!$A:$F,5,FALSE)</f>
        <v>0.85</v>
      </c>
      <c r="L1358" s="36">
        <f>VLOOKUP(H1358,[2]character_type_i18n!$A:$F,6,FALSE)</f>
        <v>1</v>
      </c>
      <c r="M1358" s="9" t="str">
        <f>VLOOKUP(A1358,[2]characters!$A:$M,13,FALSE)</f>
        <v>hero</v>
      </c>
      <c r="N1358" s="14" t="str">
        <f>VLOOKUP(M1358,[2]character_tribe_i18n!$A:$F,3,FALSE)</f>
        <v>ヒーロー</v>
      </c>
      <c r="O1358" s="24">
        <f>VLOOKUP(M1358,[2]character_tribe_i18n!$A:$F,4,FALSE)</f>
        <v>1</v>
      </c>
      <c r="P1358" s="24">
        <f>VLOOKUP(M1358,[2]character_tribe_i18n!$A:$F,5,FALSE)</f>
        <v>1</v>
      </c>
      <c r="Q1358" s="24">
        <f>VLOOKUP(M1358,[2]character_tribe_i18n!$A:$F,6,FALSE)</f>
        <v>1</v>
      </c>
      <c r="R1358" s="25" t="s">
        <v>98</v>
      </c>
      <c r="S1358" s="24">
        <f>VLOOKUP($R1358,ラベル別係数!$A$1:$E$7,3,FALSE)</f>
        <v>5</v>
      </c>
      <c r="T1358" s="24">
        <f>VLOOKUP($R1358,ラベル別係数!$A$1:$E$7,4,FALSE)</f>
        <v>1.3</v>
      </c>
      <c r="U1358" s="24">
        <f>VLOOKUP($R1358,ラベル別係数!$A$1:$E$7,5,FALSE)</f>
        <v>0.8</v>
      </c>
      <c r="V1358" s="27">
        <v>3</v>
      </c>
      <c r="W1358" s="28">
        <f>VLOOKUP(V1358,ターン数別攻撃係数!$A$1:$B$1000,2,FALSE)</f>
        <v>1</v>
      </c>
      <c r="X1358" s="9">
        <f>VLOOKUP(C1358,サイズ別係数!A$2:B$9,2,FALSE)</f>
        <v>60</v>
      </c>
      <c r="Y1358" s="26">
        <f>VLOOKUP($X1358,サイズ別係数!$B:$E,2,FALSE)</f>
        <v>1.7</v>
      </c>
      <c r="Z1358" s="26">
        <f>VLOOKUP($X1358,サイズ別係数!$B:$E,3,FALSE)</f>
        <v>1.4</v>
      </c>
      <c r="AA1358" s="26">
        <f>VLOOKUP($X1358,サイズ別係数!$B:$E,4,FALSE)</f>
        <v>1</v>
      </c>
      <c r="AB1358" s="5">
        <v>0</v>
      </c>
      <c r="AC1358" s="34" t="str">
        <f ca="1">VLOOKUP($AB1358,OFFSET([3]enemy_skill_sets!$B$2,0,0,COUNTA([3]enemy_skill_sets!$A:$A),MATCH(AC$1,[3]enemy_skill_sets!$1:$1,0)-MATCH($AB$1,[3]enemy_skill_sets!$1:$1,0)+1),MATCH(AC$1,[3]enemy_skill_sets!$1:$1,0)-MATCH($AB$1,[3]enemy_skill_sets!$1:$1,0)+1,FALSE)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8" s="67">
        <v>1</v>
      </c>
      <c r="AE1358" s="67">
        <v>1</v>
      </c>
      <c r="AF1358" s="37">
        <v>0</v>
      </c>
      <c r="AG1358" s="41">
        <v>5793</v>
      </c>
      <c r="AH1358" s="41">
        <v>234</v>
      </c>
      <c r="AI1358" s="41">
        <v>0</v>
      </c>
      <c r="AJ1358" s="41">
        <v>235186</v>
      </c>
      <c r="AK1358" s="41">
        <v>9514</v>
      </c>
      <c r="AL1358" s="41">
        <v>0</v>
      </c>
      <c r="AM1358" s="97">
        <f>VLOOKUP(M1358,[2]character_tribe_i18n!$A:$I,9,FALSE)</f>
        <v>400</v>
      </c>
      <c r="AN1358" s="36">
        <v>0</v>
      </c>
      <c r="AO1358" s="53">
        <v>0</v>
      </c>
      <c r="AP1358" s="58" t="s">
        <v>72</v>
      </c>
      <c r="AQ1358" s="71">
        <f t="shared" si="80"/>
        <v>1443</v>
      </c>
    </row>
    <row r="1359" spans="1:43" ht="21" customHeight="1" x14ac:dyDescent="0.15">
      <c r="A1359" s="7">
        <v>1444</v>
      </c>
      <c r="B1359" s="6" t="str">
        <f>VLOOKUP(A1359,[2]characters!$A:$C,3,FALSE)</f>
        <v>クレオパトラ</v>
      </c>
      <c r="C1359" s="9">
        <f>VLOOKUP(A1359,[2]characters!$A:$I,9,FALSE)</f>
        <v>5</v>
      </c>
      <c r="D1359" s="9" t="str">
        <f>VLOOKUP(A1359,[2]characters!$A:$H,8,FALSE)</f>
        <v>red</v>
      </c>
      <c r="E1359" s="24">
        <f>VLOOKUP(D1359,[2]属性!$A:$E,2,FALSE)</f>
        <v>1</v>
      </c>
      <c r="F1359" s="24">
        <f>VLOOKUP(D1359,[2]属性!$A:$E,3,FALSE)</f>
        <v>1.02</v>
      </c>
      <c r="G1359" s="24">
        <f>VLOOKUP(D1359,[2]属性!$A:$F,4,FALSE)</f>
        <v>1</v>
      </c>
      <c r="H1359" s="9" t="str">
        <f>VLOOKUP(A1359,[2]characters!$A:$K,11,FALSE)</f>
        <v>technical</v>
      </c>
      <c r="I1359" s="14" t="str">
        <f>VLOOKUP(H1359,[2]character_type_i18n!$A:$F,3,FALSE)</f>
        <v>テクニカルタイプ</v>
      </c>
      <c r="J1359" s="36">
        <f>VLOOKUP(H1359,[2]character_type_i18n!$A:$F,4,FALSE)</f>
        <v>0.9</v>
      </c>
      <c r="K1359" s="36">
        <f>VLOOKUP(H1359,[2]character_type_i18n!$A:$F,5,FALSE)</f>
        <v>0.9</v>
      </c>
      <c r="L1359" s="36">
        <f>VLOOKUP(H1359,[2]character_type_i18n!$A:$F,6,FALSE)</f>
        <v>1</v>
      </c>
      <c r="M1359" s="9" t="str">
        <f>VLOOKUP(A1359,[2]characters!$A:$M,13,FALSE)</f>
        <v>hero</v>
      </c>
      <c r="N1359" s="14" t="str">
        <f>VLOOKUP(M1359,[2]character_tribe_i18n!$A:$F,3,FALSE)</f>
        <v>ヒーロー</v>
      </c>
      <c r="O1359" s="24">
        <f>VLOOKUP(M1359,[2]character_tribe_i18n!$A:$F,4,FALSE)</f>
        <v>1</v>
      </c>
      <c r="P1359" s="24">
        <f>VLOOKUP(M1359,[2]character_tribe_i18n!$A:$F,5,FALSE)</f>
        <v>1</v>
      </c>
      <c r="Q1359" s="24">
        <f>VLOOKUP(M1359,[2]character_tribe_i18n!$A:$F,6,FALSE)</f>
        <v>1</v>
      </c>
      <c r="R1359" s="25" t="s">
        <v>98</v>
      </c>
      <c r="S1359" s="24">
        <f>VLOOKUP($R1359,ラベル別係数!$A$1:$E$7,3,FALSE)</f>
        <v>5</v>
      </c>
      <c r="T1359" s="24">
        <f>VLOOKUP($R1359,ラベル別係数!$A$1:$E$7,4,FALSE)</f>
        <v>1.3</v>
      </c>
      <c r="U1359" s="24">
        <f>VLOOKUP($R1359,ラベル別係数!$A$1:$E$7,5,FALSE)</f>
        <v>0.8</v>
      </c>
      <c r="V1359" s="27">
        <v>3</v>
      </c>
      <c r="W1359" s="28">
        <f>VLOOKUP(V1359,ターン数別攻撃係数!$A$1:$B$1000,2,FALSE)</f>
        <v>1</v>
      </c>
      <c r="X1359" s="9">
        <f>VLOOKUP(C1359,サイズ別係数!A$2:B$9,2,FALSE)</f>
        <v>60</v>
      </c>
      <c r="Y1359" s="26">
        <f>VLOOKUP($X1359,サイズ別係数!$B:$E,2,FALSE)</f>
        <v>1.7</v>
      </c>
      <c r="Z1359" s="26">
        <f>VLOOKUP($X1359,サイズ別係数!$B:$E,3,FALSE)</f>
        <v>1.4</v>
      </c>
      <c r="AA1359" s="26">
        <f>VLOOKUP($X1359,サイズ別係数!$B:$E,4,FALSE)</f>
        <v>1</v>
      </c>
      <c r="AB1359" s="5">
        <v>0</v>
      </c>
      <c r="AC1359" s="34" t="str">
        <f ca="1">VLOOKUP($AB1359,OFFSET([3]enemy_skill_sets!$B$2,0,0,COUNTA([3]enemy_skill_sets!$A:$A),MATCH(AC$1,[3]enemy_skill_sets!$1:$1,0)-MATCH($AB$1,[3]enemy_skill_sets!$1:$1,0)+1),MATCH(AC$1,[3]enemy_skill_sets!$1:$1,0)-MATCH($AB$1,[3]enemy_skill_sets!$1:$1,0)+1,FALSE)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59" s="67">
        <v>1</v>
      </c>
      <c r="AE1359" s="67">
        <v>1</v>
      </c>
      <c r="AF1359" s="37">
        <v>0</v>
      </c>
      <c r="AG1359" s="41">
        <v>3596</v>
      </c>
      <c r="AH1359" s="41">
        <v>248</v>
      </c>
      <c r="AI1359" s="41">
        <v>0</v>
      </c>
      <c r="AJ1359" s="41">
        <v>145977</v>
      </c>
      <c r="AK1359" s="41">
        <v>10073</v>
      </c>
      <c r="AL1359" s="41">
        <v>0</v>
      </c>
      <c r="AM1359" s="97">
        <f>VLOOKUP(M1359,[2]character_tribe_i18n!$A:$I,9,FALSE)</f>
        <v>400</v>
      </c>
      <c r="AN1359" s="36">
        <v>0</v>
      </c>
      <c r="AO1359" s="53">
        <v>0</v>
      </c>
      <c r="AP1359" s="58" t="s">
        <v>72</v>
      </c>
      <c r="AQ1359" s="71">
        <f t="shared" si="80"/>
        <v>1444</v>
      </c>
    </row>
    <row r="1360" spans="1:43" ht="21" customHeight="1" x14ac:dyDescent="0.15">
      <c r="A1360" s="7">
        <v>1445</v>
      </c>
      <c r="B1360" s="6" t="str">
        <f>VLOOKUP(A1360,[2]characters!$A:$C,3,FALSE)</f>
        <v>絶征の魅女 クレオパトラ</v>
      </c>
      <c r="C1360" s="9">
        <f>VLOOKUP(A1360,[2]characters!$A:$I,9,FALSE)</f>
        <v>6</v>
      </c>
      <c r="D1360" s="9" t="str">
        <f>VLOOKUP(A1360,[2]characters!$A:$H,8,FALSE)</f>
        <v>red</v>
      </c>
      <c r="E1360" s="24">
        <f>VLOOKUP(D1360,[2]属性!$A:$E,2,FALSE)</f>
        <v>1</v>
      </c>
      <c r="F1360" s="24">
        <f>VLOOKUP(D1360,[2]属性!$A:$E,3,FALSE)</f>
        <v>1.02</v>
      </c>
      <c r="G1360" s="24">
        <f>VLOOKUP(D1360,[2]属性!$A:$F,4,FALSE)</f>
        <v>1</v>
      </c>
      <c r="H1360" s="9" t="str">
        <f>VLOOKUP(A1360,[2]characters!$A:$K,11,FALSE)</f>
        <v>technical</v>
      </c>
      <c r="I1360" s="14" t="str">
        <f>VLOOKUP(H1360,[2]character_type_i18n!$A:$F,3,FALSE)</f>
        <v>テクニカルタイプ</v>
      </c>
      <c r="J1360" s="36">
        <f>VLOOKUP(H1360,[2]character_type_i18n!$A:$F,4,FALSE)</f>
        <v>0.9</v>
      </c>
      <c r="K1360" s="36">
        <f>VLOOKUP(H1360,[2]character_type_i18n!$A:$F,5,FALSE)</f>
        <v>0.9</v>
      </c>
      <c r="L1360" s="36">
        <f>VLOOKUP(H1360,[2]character_type_i18n!$A:$F,6,FALSE)</f>
        <v>1</v>
      </c>
      <c r="M1360" s="9" t="str">
        <f>VLOOKUP(A1360,[2]characters!$A:$M,13,FALSE)</f>
        <v>hero</v>
      </c>
      <c r="N1360" s="14" t="str">
        <f>VLOOKUP(M1360,[2]character_tribe_i18n!$A:$F,3,FALSE)</f>
        <v>ヒーロー</v>
      </c>
      <c r="O1360" s="24">
        <f>VLOOKUP(M1360,[2]character_tribe_i18n!$A:$F,4,FALSE)</f>
        <v>1</v>
      </c>
      <c r="P1360" s="24">
        <f>VLOOKUP(M1360,[2]character_tribe_i18n!$A:$F,5,FALSE)</f>
        <v>1</v>
      </c>
      <c r="Q1360" s="24">
        <f>VLOOKUP(M1360,[2]character_tribe_i18n!$A:$F,6,FALSE)</f>
        <v>1</v>
      </c>
      <c r="R1360" s="25" t="s">
        <v>98</v>
      </c>
      <c r="S1360" s="24">
        <f>VLOOKUP($R1360,ラベル別係数!$A$1:$E$7,3,FALSE)</f>
        <v>5</v>
      </c>
      <c r="T1360" s="24">
        <f>VLOOKUP($R1360,ラベル別係数!$A$1:$E$7,4,FALSE)</f>
        <v>1.3</v>
      </c>
      <c r="U1360" s="24">
        <f>VLOOKUP($R1360,ラベル別係数!$A$1:$E$7,5,FALSE)</f>
        <v>0.8</v>
      </c>
      <c r="V1360" s="27">
        <v>3</v>
      </c>
      <c r="W1360" s="28">
        <f>VLOOKUP(V1360,ターン数別攻撃係数!$A$1:$B$1000,2,FALSE)</f>
        <v>1</v>
      </c>
      <c r="X1360" s="9">
        <f>VLOOKUP(C1360,サイズ別係数!A$2:B$9,2,FALSE)</f>
        <v>60</v>
      </c>
      <c r="Y1360" s="26">
        <f>VLOOKUP($X1360,サイズ別係数!$B:$E,2,FALSE)</f>
        <v>1.7</v>
      </c>
      <c r="Z1360" s="26">
        <f>VLOOKUP($X1360,サイズ別係数!$B:$E,3,FALSE)</f>
        <v>1.4</v>
      </c>
      <c r="AA1360" s="26">
        <f>VLOOKUP($X1360,サイズ別係数!$B:$E,4,FALSE)</f>
        <v>1</v>
      </c>
      <c r="AB1360" s="5">
        <v>0</v>
      </c>
      <c r="AC1360" s="34" t="str">
        <f ca="1">VLOOKUP($AB1360,OFFSET([3]enemy_skill_sets!$B$2,0,0,COUNTA([3]enemy_skill_sets!$A:$A),MATCH(AC$1,[3]enemy_skill_sets!$1:$1,0)-MATCH($AB$1,[3]enemy_skill_sets!$1:$1,0)+1),MATCH(AC$1,[3]enemy_skill_sets!$1:$1,0)-MATCH($AB$1,[3]enemy_skill_sets!$1:$1,0)+1,FALSE)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0" s="67">
        <v>1</v>
      </c>
      <c r="AE1360" s="67">
        <v>1</v>
      </c>
      <c r="AF1360" s="37">
        <v>0</v>
      </c>
      <c r="AG1360" s="41">
        <v>3596</v>
      </c>
      <c r="AH1360" s="41">
        <v>248</v>
      </c>
      <c r="AI1360" s="41">
        <v>0</v>
      </c>
      <c r="AJ1360" s="41">
        <v>145977</v>
      </c>
      <c r="AK1360" s="41">
        <v>10073</v>
      </c>
      <c r="AL1360" s="41">
        <v>0</v>
      </c>
      <c r="AM1360" s="97">
        <f>VLOOKUP(M1360,[2]character_tribe_i18n!$A:$I,9,FALSE)</f>
        <v>400</v>
      </c>
      <c r="AN1360" s="36">
        <v>0</v>
      </c>
      <c r="AO1360" s="53">
        <v>0</v>
      </c>
      <c r="AP1360" s="58" t="s">
        <v>72</v>
      </c>
      <c r="AQ1360" s="71">
        <f t="shared" si="80"/>
        <v>1445</v>
      </c>
    </row>
    <row r="1361" spans="1:43" ht="21" customHeight="1" x14ac:dyDescent="0.15">
      <c r="A1361" s="7">
        <v>1446</v>
      </c>
      <c r="B1361" s="6" t="str">
        <f>VLOOKUP(A1361,[2]characters!$A:$C,3,FALSE)</f>
        <v>カエサル</v>
      </c>
      <c r="C1361" s="9">
        <f>VLOOKUP(A1361,[2]characters!$A:$I,9,FALSE)</f>
        <v>5</v>
      </c>
      <c r="D1361" s="9" t="str">
        <f>VLOOKUP(A1361,[2]characters!$A:$H,8,FALSE)</f>
        <v>green</v>
      </c>
      <c r="E1361" s="24">
        <f>VLOOKUP(D1361,[2]属性!$A:$E,2,FALSE)</f>
        <v>1.02</v>
      </c>
      <c r="F1361" s="24">
        <f>VLOOKUP(D1361,[2]属性!$A:$E,3,FALSE)</f>
        <v>0.98</v>
      </c>
      <c r="G1361" s="24">
        <f>VLOOKUP(D1361,[2]属性!$A:$F,4,FALSE)</f>
        <v>1</v>
      </c>
      <c r="H1361" s="9" t="str">
        <f>VLOOKUP(A1361,[2]characters!$A:$K,11,FALSE)</f>
        <v>technical</v>
      </c>
      <c r="I1361" s="14" t="str">
        <f>VLOOKUP(H1361,[2]character_type_i18n!$A:$F,3,FALSE)</f>
        <v>テクニカルタイプ</v>
      </c>
      <c r="J1361" s="36">
        <f>VLOOKUP(H1361,[2]character_type_i18n!$A:$F,4,FALSE)</f>
        <v>0.9</v>
      </c>
      <c r="K1361" s="36">
        <f>VLOOKUP(H1361,[2]character_type_i18n!$A:$F,5,FALSE)</f>
        <v>0.9</v>
      </c>
      <c r="L1361" s="36">
        <f>VLOOKUP(H1361,[2]character_type_i18n!$A:$F,6,FALSE)</f>
        <v>1</v>
      </c>
      <c r="M1361" s="9" t="str">
        <f>VLOOKUP(A1361,[2]characters!$A:$M,13,FALSE)</f>
        <v>hero</v>
      </c>
      <c r="N1361" s="14" t="str">
        <f>VLOOKUP(M1361,[2]character_tribe_i18n!$A:$F,3,FALSE)</f>
        <v>ヒーロー</v>
      </c>
      <c r="O1361" s="24">
        <f>VLOOKUP(M1361,[2]character_tribe_i18n!$A:$F,4,FALSE)</f>
        <v>1</v>
      </c>
      <c r="P1361" s="24">
        <f>VLOOKUP(M1361,[2]character_tribe_i18n!$A:$F,5,FALSE)</f>
        <v>1</v>
      </c>
      <c r="Q1361" s="24">
        <f>VLOOKUP(M1361,[2]character_tribe_i18n!$A:$F,6,FALSE)</f>
        <v>1</v>
      </c>
      <c r="R1361" s="25" t="s">
        <v>98</v>
      </c>
      <c r="S1361" s="24">
        <f>VLOOKUP($R1361,ラベル別係数!$A$1:$E$7,3,FALSE)</f>
        <v>5</v>
      </c>
      <c r="T1361" s="24">
        <f>VLOOKUP($R1361,ラベル別係数!$A$1:$E$7,4,FALSE)</f>
        <v>1.3</v>
      </c>
      <c r="U1361" s="24">
        <f>VLOOKUP($R1361,ラベル別係数!$A$1:$E$7,5,FALSE)</f>
        <v>0.8</v>
      </c>
      <c r="V1361" s="27">
        <v>3</v>
      </c>
      <c r="W1361" s="28">
        <f>VLOOKUP(V1361,ターン数別攻撃係数!$A$1:$B$1000,2,FALSE)</f>
        <v>1</v>
      </c>
      <c r="X1361" s="9">
        <f>VLOOKUP(C1361,サイズ別係数!A$2:B$9,2,FALSE)</f>
        <v>60</v>
      </c>
      <c r="Y1361" s="26">
        <f>VLOOKUP($X1361,サイズ別係数!$B:$E,2,FALSE)</f>
        <v>1.7</v>
      </c>
      <c r="Z1361" s="26">
        <f>VLOOKUP($X1361,サイズ別係数!$B:$E,3,FALSE)</f>
        <v>1.4</v>
      </c>
      <c r="AA1361" s="26">
        <f>VLOOKUP($X1361,サイズ別係数!$B:$E,4,FALSE)</f>
        <v>1</v>
      </c>
      <c r="AB1361" s="5">
        <v>0</v>
      </c>
      <c r="AC1361" s="34" t="str">
        <f ca="1">VLOOKUP($AB1361,OFFSET([3]enemy_skill_sets!$B$2,0,0,COUNTA([3]enemy_skill_sets!$A:$A),MATCH(AC$1,[3]enemy_skill_sets!$1:$1,0)-MATCH($AB$1,[3]enemy_skill_sets!$1:$1,0)+1),MATCH(AC$1,[3]enemy_skill_sets!$1:$1,0)-MATCH($AB$1,[3]enemy_skill_sets!$1:$1,0)+1,FALSE)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1" s="67">
        <v>1</v>
      </c>
      <c r="AE1361" s="67">
        <v>1</v>
      </c>
      <c r="AF1361" s="37">
        <v>0</v>
      </c>
      <c r="AG1361" s="41">
        <v>4335</v>
      </c>
      <c r="AH1361" s="41">
        <v>356</v>
      </c>
      <c r="AI1361" s="41">
        <v>0</v>
      </c>
      <c r="AJ1361" s="41">
        <v>176001</v>
      </c>
      <c r="AK1361" s="41">
        <v>14447</v>
      </c>
      <c r="AL1361" s="41">
        <v>0</v>
      </c>
      <c r="AM1361" s="102">
        <v>340</v>
      </c>
      <c r="AN1361" s="36">
        <v>0</v>
      </c>
      <c r="AO1361" s="53">
        <v>0</v>
      </c>
      <c r="AP1361" s="58" t="s">
        <v>72</v>
      </c>
      <c r="AQ1361" s="71">
        <f t="shared" si="80"/>
        <v>1446</v>
      </c>
    </row>
    <row r="1362" spans="1:43" ht="21" customHeight="1" x14ac:dyDescent="0.15">
      <c r="A1362" s="7">
        <v>1447</v>
      </c>
      <c r="B1362" s="6" t="str">
        <f>VLOOKUP(A1362,[2]characters!$A:$C,3,FALSE)</f>
        <v>拓越の軍官 カエサル</v>
      </c>
      <c r="C1362" s="9">
        <f>VLOOKUP(A1362,[2]characters!$A:$I,9,FALSE)</f>
        <v>6</v>
      </c>
      <c r="D1362" s="9" t="str">
        <f>VLOOKUP(A1362,[2]characters!$A:$H,8,FALSE)</f>
        <v>green</v>
      </c>
      <c r="E1362" s="24">
        <f>VLOOKUP(D1362,[2]属性!$A:$E,2,FALSE)</f>
        <v>1.02</v>
      </c>
      <c r="F1362" s="24">
        <f>VLOOKUP(D1362,[2]属性!$A:$E,3,FALSE)</f>
        <v>0.98</v>
      </c>
      <c r="G1362" s="24">
        <f>VLOOKUP(D1362,[2]属性!$A:$F,4,FALSE)</f>
        <v>1</v>
      </c>
      <c r="H1362" s="9" t="str">
        <f>VLOOKUP(A1362,[2]characters!$A:$K,11,FALSE)</f>
        <v>technical</v>
      </c>
      <c r="I1362" s="14" t="str">
        <f>VLOOKUP(H1362,[2]character_type_i18n!$A:$F,3,FALSE)</f>
        <v>テクニカルタイプ</v>
      </c>
      <c r="J1362" s="36">
        <f>VLOOKUP(H1362,[2]character_type_i18n!$A:$F,4,FALSE)</f>
        <v>0.9</v>
      </c>
      <c r="K1362" s="36">
        <f>VLOOKUP(H1362,[2]character_type_i18n!$A:$F,5,FALSE)</f>
        <v>0.9</v>
      </c>
      <c r="L1362" s="36">
        <f>VLOOKUP(H1362,[2]character_type_i18n!$A:$F,6,FALSE)</f>
        <v>1</v>
      </c>
      <c r="M1362" s="9" t="str">
        <f>VLOOKUP(A1362,[2]characters!$A:$M,13,FALSE)</f>
        <v>hero</v>
      </c>
      <c r="N1362" s="14" t="str">
        <f>VLOOKUP(M1362,[2]character_tribe_i18n!$A:$F,3,FALSE)</f>
        <v>ヒーロー</v>
      </c>
      <c r="O1362" s="24">
        <f>VLOOKUP(M1362,[2]character_tribe_i18n!$A:$F,4,FALSE)</f>
        <v>1</v>
      </c>
      <c r="P1362" s="24">
        <f>VLOOKUP(M1362,[2]character_tribe_i18n!$A:$F,5,FALSE)</f>
        <v>1</v>
      </c>
      <c r="Q1362" s="24">
        <f>VLOOKUP(M1362,[2]character_tribe_i18n!$A:$F,6,FALSE)</f>
        <v>1</v>
      </c>
      <c r="R1362" s="25" t="s">
        <v>98</v>
      </c>
      <c r="S1362" s="24">
        <f>VLOOKUP($R1362,ラベル別係数!$A$1:$E$7,3,FALSE)</f>
        <v>5</v>
      </c>
      <c r="T1362" s="24">
        <f>VLOOKUP($R1362,ラベル別係数!$A$1:$E$7,4,FALSE)</f>
        <v>1.3</v>
      </c>
      <c r="U1362" s="24">
        <f>VLOOKUP($R1362,ラベル別係数!$A$1:$E$7,5,FALSE)</f>
        <v>0.8</v>
      </c>
      <c r="V1362" s="27">
        <v>3</v>
      </c>
      <c r="W1362" s="28">
        <f>VLOOKUP(V1362,ターン数別攻撃係数!$A$1:$B$1000,2,FALSE)</f>
        <v>1</v>
      </c>
      <c r="X1362" s="9">
        <f>VLOOKUP(C1362,サイズ別係数!A$2:B$9,2,FALSE)</f>
        <v>60</v>
      </c>
      <c r="Y1362" s="26">
        <f>VLOOKUP($X1362,サイズ別係数!$B:$E,2,FALSE)</f>
        <v>1.7</v>
      </c>
      <c r="Z1362" s="26">
        <f>VLOOKUP($X1362,サイズ別係数!$B:$E,3,FALSE)</f>
        <v>1.4</v>
      </c>
      <c r="AA1362" s="26">
        <f>VLOOKUP($X1362,サイズ別係数!$B:$E,4,FALSE)</f>
        <v>1</v>
      </c>
      <c r="AB1362" s="5">
        <v>0</v>
      </c>
      <c r="AC1362" s="34" t="str">
        <f ca="1">VLOOKUP($AB1362,OFFSET([3]enemy_skill_sets!$B$2,0,0,COUNTA([3]enemy_skill_sets!$A:$A),MATCH(AC$1,[3]enemy_skill_sets!$1:$1,0)-MATCH($AB$1,[3]enemy_skill_sets!$1:$1,0)+1),MATCH(AC$1,[3]enemy_skill_sets!$1:$1,0)-MATCH($AB$1,[3]enemy_skill_sets!$1:$1,0)+1,FALSE)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2" s="67">
        <v>1</v>
      </c>
      <c r="AE1362" s="67">
        <v>1</v>
      </c>
      <c r="AF1362" s="37">
        <v>0</v>
      </c>
      <c r="AG1362" s="41">
        <v>3902</v>
      </c>
      <c r="AH1362" s="41">
        <v>241</v>
      </c>
      <c r="AI1362" s="41">
        <v>0</v>
      </c>
      <c r="AJ1362" s="41">
        <v>158401</v>
      </c>
      <c r="AK1362" s="41">
        <v>9776</v>
      </c>
      <c r="AL1362" s="41">
        <v>0</v>
      </c>
      <c r="AM1362" s="102">
        <v>340</v>
      </c>
      <c r="AN1362" s="36">
        <v>0</v>
      </c>
      <c r="AO1362" s="53">
        <v>0</v>
      </c>
      <c r="AP1362" s="58" t="s">
        <v>72</v>
      </c>
      <c r="AQ1362" s="71">
        <f t="shared" si="80"/>
        <v>1447</v>
      </c>
    </row>
    <row r="1363" spans="1:43" ht="21" customHeight="1" x14ac:dyDescent="0.15">
      <c r="A1363" s="7">
        <v>1448</v>
      </c>
      <c r="B1363" s="6" t="str">
        <f>VLOOKUP(A1363,[2]characters!$A:$C,3,FALSE)</f>
        <v>ハンニバル</v>
      </c>
      <c r="C1363" s="9">
        <f>VLOOKUP(A1363,[2]characters!$A:$I,9,FALSE)</f>
        <v>5</v>
      </c>
      <c r="D1363" s="9" t="str">
        <f>VLOOKUP(A1363,[2]characters!$A:$H,8,FALSE)</f>
        <v>blue</v>
      </c>
      <c r="E1363" s="24">
        <f>VLOOKUP(D1363,[2]属性!$A:$E,2,FALSE)</f>
        <v>1</v>
      </c>
      <c r="F1363" s="24">
        <f>VLOOKUP(D1363,[2]属性!$A:$E,3,FALSE)</f>
        <v>0.98</v>
      </c>
      <c r="G1363" s="24">
        <f>VLOOKUP(D1363,[2]属性!$A:$F,4,FALSE)</f>
        <v>1</v>
      </c>
      <c r="H1363" s="9" t="str">
        <f>VLOOKUP(A1363,[2]characters!$A:$K,11,FALSE)</f>
        <v>balance</v>
      </c>
      <c r="I1363" s="14" t="str">
        <f>VLOOKUP(H1363,[2]character_type_i18n!$A:$F,3,FALSE)</f>
        <v>バランスタイプ</v>
      </c>
      <c r="J1363" s="36">
        <f>VLOOKUP(H1363,[2]character_type_i18n!$A:$F,4,FALSE)</f>
        <v>1</v>
      </c>
      <c r="K1363" s="36">
        <f>VLOOKUP(H1363,[2]character_type_i18n!$A:$F,5,FALSE)</f>
        <v>1</v>
      </c>
      <c r="L1363" s="36">
        <f>VLOOKUP(H1363,[2]character_type_i18n!$A:$F,6,FALSE)</f>
        <v>1</v>
      </c>
      <c r="M1363" s="9" t="str">
        <f>VLOOKUP(A1363,[2]characters!$A:$M,13,FALSE)</f>
        <v>hero</v>
      </c>
      <c r="N1363" s="14" t="str">
        <f>VLOOKUP(M1363,[2]character_tribe_i18n!$A:$F,3,FALSE)</f>
        <v>ヒーロー</v>
      </c>
      <c r="O1363" s="24">
        <f>VLOOKUP(M1363,[2]character_tribe_i18n!$A:$F,4,FALSE)</f>
        <v>1</v>
      </c>
      <c r="P1363" s="24">
        <f>VLOOKUP(M1363,[2]character_tribe_i18n!$A:$F,5,FALSE)</f>
        <v>1</v>
      </c>
      <c r="Q1363" s="24">
        <f>VLOOKUP(M1363,[2]character_tribe_i18n!$A:$F,6,FALSE)</f>
        <v>1</v>
      </c>
      <c r="R1363" s="25" t="s">
        <v>98</v>
      </c>
      <c r="S1363" s="24">
        <f>VLOOKUP($R1363,ラベル別係数!$A$1:$E$7,3,FALSE)</f>
        <v>5</v>
      </c>
      <c r="T1363" s="24">
        <f>VLOOKUP($R1363,ラベル別係数!$A$1:$E$7,4,FALSE)</f>
        <v>1.3</v>
      </c>
      <c r="U1363" s="24">
        <f>VLOOKUP($R1363,ラベル別係数!$A$1:$E$7,5,FALSE)</f>
        <v>0.8</v>
      </c>
      <c r="V1363" s="27">
        <v>3</v>
      </c>
      <c r="W1363" s="28">
        <f>VLOOKUP(V1363,ターン数別攻撃係数!$A$1:$B$1000,2,FALSE)</f>
        <v>1</v>
      </c>
      <c r="X1363" s="9">
        <f>VLOOKUP(C1363,サイズ別係数!A$2:B$9,2,FALSE)</f>
        <v>60</v>
      </c>
      <c r="Y1363" s="26">
        <f>VLOOKUP($X1363,サイズ別係数!$B:$E,2,FALSE)</f>
        <v>1.7</v>
      </c>
      <c r="Z1363" s="26">
        <f>VLOOKUP($X1363,サイズ別係数!$B:$E,3,FALSE)</f>
        <v>1.4</v>
      </c>
      <c r="AA1363" s="26">
        <f>VLOOKUP($X1363,サイズ別係数!$B:$E,4,FALSE)</f>
        <v>1</v>
      </c>
      <c r="AB1363" s="5">
        <v>0</v>
      </c>
      <c r="AC1363" s="34" t="str">
        <f ca="1">VLOOKUP($AB1363,OFFSET([3]enemy_skill_sets!$B$2,0,0,COUNTA([3]enemy_skill_sets!$A:$A),MATCH(AC$1,[3]enemy_skill_sets!$1:$1,0)-MATCH($AB$1,[3]enemy_skill_sets!$1:$1,0)+1),MATCH(AC$1,[3]enemy_skill_sets!$1:$1,0)-MATCH($AB$1,[3]enemy_skill_sets!$1:$1,0)+1,FALSE)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3" s="67">
        <v>1</v>
      </c>
      <c r="AE1363" s="67">
        <v>1</v>
      </c>
      <c r="AF1363" s="37">
        <v>0</v>
      </c>
      <c r="AG1363" s="99">
        <f>ROUND(VLOOKUP(1,enemy_base_stats!$A:$F,2,FALSE) * Y1363* J1363*O1363*E1363*S1363*AD1363*[2]ステータス!$B$2,0)</f>
        <v>4250</v>
      </c>
      <c r="AH1363" s="99">
        <f>ROUND(VLOOKUP(1,enemy_base_stats!$A:$F,3,FALSE) * Z1363*K1363*P1363*F1363*T1363*AE1363 * W1363*[2]ステータス!$C$2,0)</f>
        <v>268</v>
      </c>
      <c r="AI1363" s="99">
        <v>0</v>
      </c>
      <c r="AJ1363" s="99">
        <f>ROUND(VLOOKUP(100,enemy_base_stats!$A:$F,2,FALSE) * Y1363* J1363*O1363*E1363*S1363*AD1363*[2]ステータス!$B$2,0)</f>
        <v>172550</v>
      </c>
      <c r="AK1363" s="99">
        <f>ROUND(VLOOKUP(100,enemy_base_stats!$A:$F,3,FALSE)* Z1363* K1363*P1363*F1363*T1363*AE1363 * W1363*[2]ステータス!$C$2,0)</f>
        <v>10862</v>
      </c>
      <c r="AL1363" s="99">
        <f>ROUND(VLOOKUP(100,enemy_base_stats!$A:$F,4,FALSE)* AA1363* L1363*Q1363*G1363*U1363*AF1363*[2]ステータス!$D$2,0)</f>
        <v>0</v>
      </c>
      <c r="AM1363" s="97">
        <f>VLOOKUP(M1363,[2]character_tribe_i18n!$A:$I,9,FALSE)</f>
        <v>400</v>
      </c>
      <c r="AN1363" s="36">
        <v>0</v>
      </c>
      <c r="AO1363" s="53">
        <v>0</v>
      </c>
      <c r="AP1363" s="58" t="s">
        <v>72</v>
      </c>
      <c r="AQ1363" s="71">
        <f t="shared" si="80"/>
        <v>1448</v>
      </c>
    </row>
    <row r="1364" spans="1:43" ht="21" customHeight="1" x14ac:dyDescent="0.15">
      <c r="A1364" s="7">
        <v>1449</v>
      </c>
      <c r="B1364" s="6" t="str">
        <f>VLOOKUP(A1364,[2]characters!$A:$C,3,FALSE)</f>
        <v>天賦の閃術家 ハンニバル</v>
      </c>
      <c r="C1364" s="9">
        <f>VLOOKUP(A1364,[2]characters!$A:$I,9,FALSE)</f>
        <v>6</v>
      </c>
      <c r="D1364" s="9" t="str">
        <f>VLOOKUP(A1364,[2]characters!$A:$H,8,FALSE)</f>
        <v>blue</v>
      </c>
      <c r="E1364" s="24">
        <f>VLOOKUP(D1364,[2]属性!$A:$E,2,FALSE)</f>
        <v>1</v>
      </c>
      <c r="F1364" s="24">
        <f>VLOOKUP(D1364,[2]属性!$A:$E,3,FALSE)</f>
        <v>0.98</v>
      </c>
      <c r="G1364" s="24">
        <f>VLOOKUP(D1364,[2]属性!$A:$F,4,FALSE)</f>
        <v>1</v>
      </c>
      <c r="H1364" s="9" t="str">
        <f>VLOOKUP(A1364,[2]characters!$A:$K,11,FALSE)</f>
        <v>balance</v>
      </c>
      <c r="I1364" s="14" t="str">
        <f>VLOOKUP(H1364,[2]character_type_i18n!$A:$F,3,FALSE)</f>
        <v>バランスタイプ</v>
      </c>
      <c r="J1364" s="36">
        <f>VLOOKUP(H1364,[2]character_type_i18n!$A:$F,4,FALSE)</f>
        <v>1</v>
      </c>
      <c r="K1364" s="36">
        <f>VLOOKUP(H1364,[2]character_type_i18n!$A:$F,5,FALSE)</f>
        <v>1</v>
      </c>
      <c r="L1364" s="36">
        <f>VLOOKUP(H1364,[2]character_type_i18n!$A:$F,6,FALSE)</f>
        <v>1</v>
      </c>
      <c r="M1364" s="9" t="str">
        <f>VLOOKUP(A1364,[2]characters!$A:$M,13,FALSE)</f>
        <v>hero</v>
      </c>
      <c r="N1364" s="14" t="str">
        <f>VLOOKUP(M1364,[2]character_tribe_i18n!$A:$F,3,FALSE)</f>
        <v>ヒーロー</v>
      </c>
      <c r="O1364" s="24">
        <f>VLOOKUP(M1364,[2]character_tribe_i18n!$A:$F,4,FALSE)</f>
        <v>1</v>
      </c>
      <c r="P1364" s="24">
        <f>VLOOKUP(M1364,[2]character_tribe_i18n!$A:$F,5,FALSE)</f>
        <v>1</v>
      </c>
      <c r="Q1364" s="24">
        <f>VLOOKUP(M1364,[2]character_tribe_i18n!$A:$F,6,FALSE)</f>
        <v>1</v>
      </c>
      <c r="R1364" s="25" t="s">
        <v>98</v>
      </c>
      <c r="S1364" s="24">
        <f>VLOOKUP($R1364,ラベル別係数!$A$1:$E$7,3,FALSE)</f>
        <v>5</v>
      </c>
      <c r="T1364" s="24">
        <f>VLOOKUP($R1364,ラベル別係数!$A$1:$E$7,4,FALSE)</f>
        <v>1.3</v>
      </c>
      <c r="U1364" s="24">
        <f>VLOOKUP($R1364,ラベル別係数!$A$1:$E$7,5,FALSE)</f>
        <v>0.8</v>
      </c>
      <c r="V1364" s="27">
        <v>3</v>
      </c>
      <c r="W1364" s="28">
        <f>VLOOKUP(V1364,ターン数別攻撃係数!$A$1:$B$1000,2,FALSE)</f>
        <v>1</v>
      </c>
      <c r="X1364" s="9">
        <f>VLOOKUP(C1364,サイズ別係数!A$2:B$9,2,FALSE)</f>
        <v>60</v>
      </c>
      <c r="Y1364" s="26">
        <f>VLOOKUP($X1364,サイズ別係数!$B:$E,2,FALSE)</f>
        <v>1.7</v>
      </c>
      <c r="Z1364" s="26">
        <f>VLOOKUP($X1364,サイズ別係数!$B:$E,3,FALSE)</f>
        <v>1.4</v>
      </c>
      <c r="AA1364" s="26">
        <f>VLOOKUP($X1364,サイズ別係数!$B:$E,4,FALSE)</f>
        <v>1</v>
      </c>
      <c r="AB1364" s="5">
        <v>0</v>
      </c>
      <c r="AC1364" s="34" t="str">
        <f ca="1">VLOOKUP($AB1364,OFFSET([3]enemy_skill_sets!$B$2,0,0,COUNTA([3]enemy_skill_sets!$A:$A),MATCH(AC$1,[3]enemy_skill_sets!$1:$1,0)-MATCH($AB$1,[3]enemy_skill_sets!$1:$1,0)+1),MATCH(AC$1,[3]enemy_skill_sets!$1:$1,0)-MATCH($AB$1,[3]enemy_skill_sets!$1:$1,0)+1,FALSE)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4" s="67">
        <v>1</v>
      </c>
      <c r="AE1364" s="67">
        <v>1</v>
      </c>
      <c r="AF1364" s="37">
        <v>0</v>
      </c>
      <c r="AG1364" s="99">
        <f>ROUND(VLOOKUP(1,enemy_base_stats!$A:$F,2,FALSE) * Y1364* J1364*O1364*E1364*S1364*AD1364*[2]ステータス!$B$2,0)</f>
        <v>4250</v>
      </c>
      <c r="AH1364" s="99">
        <f>ROUND(VLOOKUP(1,enemy_base_stats!$A:$F,3,FALSE) * Z1364*K1364*P1364*F1364*T1364*AE1364 * W1364*[2]ステータス!$C$2,0)</f>
        <v>268</v>
      </c>
      <c r="AI1364" s="99">
        <f>ROUND(VLOOKUP(1,enemy_base_stats!$A:$F,4,FALSE) * AA1364*L1364*Q1364*G1364*U1364*AF1364*[2]ステータス!$D$2,0)</f>
        <v>0</v>
      </c>
      <c r="AJ1364" s="99">
        <f>ROUND(VLOOKUP(100,enemy_base_stats!$A:$F,2,FALSE) * Y1364* J1364*O1364*E1364*S1364*AD1364*[2]ステータス!$B$2,0)</f>
        <v>172550</v>
      </c>
      <c r="AK1364" s="99">
        <f>ROUND(VLOOKUP(100,enemy_base_stats!$A:$F,3,FALSE)* Z1364* K1364*P1364*F1364*T1364*AE1364 * W1364*[2]ステータス!$C$2,0)</f>
        <v>10862</v>
      </c>
      <c r="AL1364" s="99">
        <f>ROUND(VLOOKUP(100,enemy_base_stats!$A:$F,4,FALSE)* AA1364* L1364*Q1364*G1364*U1364*AF1364*[2]ステータス!$D$2,0)</f>
        <v>0</v>
      </c>
      <c r="AM1364" s="97">
        <f>VLOOKUP(M1364,[2]character_tribe_i18n!$A:$I,9,FALSE)</f>
        <v>400</v>
      </c>
      <c r="AN1364" s="36">
        <v>0</v>
      </c>
      <c r="AO1364" s="53">
        <v>0</v>
      </c>
      <c r="AP1364" s="58" t="s">
        <v>72</v>
      </c>
      <c r="AQ1364" s="71">
        <f t="shared" si="80"/>
        <v>1449</v>
      </c>
    </row>
    <row r="1365" spans="1:43" ht="21" customHeight="1" x14ac:dyDescent="0.15">
      <c r="A1365" s="7">
        <v>1450</v>
      </c>
      <c r="B1365" s="6" t="str">
        <f>VLOOKUP(A1365,[2]characters!$A:$C,3,FALSE)</f>
        <v>ブーディカ</v>
      </c>
      <c r="C1365" s="9">
        <f>VLOOKUP(A1365,[2]characters!$A:$I,9,FALSE)</f>
        <v>4</v>
      </c>
      <c r="D1365" s="9" t="str">
        <f>VLOOKUP(A1365,[2]characters!$A:$H,8,FALSE)</f>
        <v>yellow</v>
      </c>
      <c r="E1365" s="24">
        <f>VLOOKUP(D1365,[2]属性!$A:$E,2,FALSE)</f>
        <v>0.98</v>
      </c>
      <c r="F1365" s="24">
        <f>VLOOKUP(D1365,[2]属性!$A:$E,3,FALSE)</f>
        <v>1.01</v>
      </c>
      <c r="G1365" s="24">
        <f>VLOOKUP(D1365,[2]属性!$A:$F,4,FALSE)</f>
        <v>1</v>
      </c>
      <c r="H1365" s="9" t="str">
        <f>VLOOKUP(A1365,[2]characters!$A:$K,11,FALSE)</f>
        <v>heal</v>
      </c>
      <c r="I1365" s="14" t="str">
        <f>VLOOKUP(H1365,[2]character_type_i18n!$A:$F,3,FALSE)</f>
        <v>回復タイプ</v>
      </c>
      <c r="J1365" s="36">
        <f>VLOOKUP(H1365,[2]character_type_i18n!$A:$F,4,FALSE)</f>
        <v>0.8</v>
      </c>
      <c r="K1365" s="36">
        <f>VLOOKUP(H1365,[2]character_type_i18n!$A:$F,5,FALSE)</f>
        <v>0.78</v>
      </c>
      <c r="L1365" s="36">
        <f>VLOOKUP(H1365,[2]character_type_i18n!$A:$F,6,FALSE)</f>
        <v>1</v>
      </c>
      <c r="M1365" s="9" t="str">
        <f>VLOOKUP(A1365,[2]characters!$A:$M,13,FALSE)</f>
        <v>hero</v>
      </c>
      <c r="N1365" s="14" t="str">
        <f>VLOOKUP(M1365,[2]character_tribe_i18n!$A:$F,3,FALSE)</f>
        <v>ヒーロー</v>
      </c>
      <c r="O1365" s="24">
        <f>VLOOKUP(M1365,[2]character_tribe_i18n!$A:$F,4,FALSE)</f>
        <v>1</v>
      </c>
      <c r="P1365" s="24">
        <f>VLOOKUP(M1365,[2]character_tribe_i18n!$A:$F,5,FALSE)</f>
        <v>1</v>
      </c>
      <c r="Q1365" s="24">
        <f>VLOOKUP(M1365,[2]character_tribe_i18n!$A:$F,6,FALSE)</f>
        <v>1</v>
      </c>
      <c r="R1365" s="25" t="s">
        <v>98</v>
      </c>
      <c r="S1365" s="24">
        <f>VLOOKUP($R1365,ラベル別係数!$A$1:$E$7,3,FALSE)</f>
        <v>5</v>
      </c>
      <c r="T1365" s="24">
        <f>VLOOKUP($R1365,ラベル別係数!$A$1:$E$7,4,FALSE)</f>
        <v>1.3</v>
      </c>
      <c r="U1365" s="24">
        <f>VLOOKUP($R1365,ラベル別係数!$A$1:$E$7,5,FALSE)</f>
        <v>0.8</v>
      </c>
      <c r="V1365" s="27">
        <v>3</v>
      </c>
      <c r="W1365" s="28">
        <f>VLOOKUP(V1365,ターン数別攻撃係数!$A$1:$B$1000,2,FALSE)</f>
        <v>1</v>
      </c>
      <c r="X1365" s="9">
        <f>VLOOKUP(C1365,サイズ別係数!A$2:B$9,2,FALSE)</f>
        <v>30</v>
      </c>
      <c r="Y1365" s="26">
        <f>VLOOKUP($X1365,サイズ別係数!$B:$E,2,FALSE)</f>
        <v>1.3</v>
      </c>
      <c r="Z1365" s="26">
        <f>VLOOKUP($X1365,サイズ別係数!$B:$E,3,FALSE)</f>
        <v>1.3</v>
      </c>
      <c r="AA1365" s="26">
        <f>VLOOKUP($X1365,サイズ別係数!$B:$E,4,FALSE)</f>
        <v>1.1000000000000001</v>
      </c>
      <c r="AB1365" s="5">
        <v>0</v>
      </c>
      <c r="AC1365" s="34" t="str">
        <f ca="1">VLOOKUP($AB1365,OFFSET([3]enemy_skill_sets!$B$2,0,0,COUNTA([3]enemy_skill_sets!$A:$A),MATCH(AC$1,[3]enemy_skill_sets!$1:$1,0)-MATCH($AB$1,[3]enemy_skill_sets!$1:$1,0)+1),MATCH(AC$1,[3]enemy_skill_sets!$1:$1,0)-MATCH($AB$1,[3]enemy_skill_sets!$1:$1,0)+1,FALSE)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5" s="67">
        <v>1</v>
      </c>
      <c r="AE1365" s="67">
        <v>1</v>
      </c>
      <c r="AF1365" s="37">
        <v>0</v>
      </c>
      <c r="AG1365" s="41">
        <v>2867</v>
      </c>
      <c r="AH1365" s="41">
        <v>230</v>
      </c>
      <c r="AI1365" s="41">
        <v>0</v>
      </c>
      <c r="AJ1365" s="41">
        <v>116380</v>
      </c>
      <c r="AK1365" s="41">
        <v>9356</v>
      </c>
      <c r="AL1365" s="41">
        <v>0</v>
      </c>
      <c r="AM1365" s="102">
        <v>340</v>
      </c>
      <c r="AN1365" s="36">
        <v>0</v>
      </c>
      <c r="AO1365" s="53">
        <v>0</v>
      </c>
      <c r="AP1365" s="58" t="s">
        <v>72</v>
      </c>
      <c r="AQ1365" s="71">
        <f t="shared" si="80"/>
        <v>1450</v>
      </c>
    </row>
    <row r="1366" spans="1:43" ht="21" customHeight="1" x14ac:dyDescent="0.15">
      <c r="A1366" s="7">
        <v>1451</v>
      </c>
      <c r="B1366" s="6" t="str">
        <f>VLOOKUP(A1366,[2]characters!$A:$C,3,FALSE)</f>
        <v>沈黙の禁領 ブーディカ</v>
      </c>
      <c r="C1366" s="9">
        <f>VLOOKUP(A1366,[2]characters!$A:$I,9,FALSE)</f>
        <v>5</v>
      </c>
      <c r="D1366" s="9" t="str">
        <f>VLOOKUP(A1366,[2]characters!$A:$H,8,FALSE)</f>
        <v>yellow</v>
      </c>
      <c r="E1366" s="24">
        <f>VLOOKUP(D1366,[2]属性!$A:$E,2,FALSE)</f>
        <v>0.98</v>
      </c>
      <c r="F1366" s="24">
        <f>VLOOKUP(D1366,[2]属性!$A:$E,3,FALSE)</f>
        <v>1.01</v>
      </c>
      <c r="G1366" s="24">
        <f>VLOOKUP(D1366,[2]属性!$A:$F,4,FALSE)</f>
        <v>1</v>
      </c>
      <c r="H1366" s="9" t="str">
        <f>VLOOKUP(A1366,[2]characters!$A:$K,11,FALSE)</f>
        <v>heal</v>
      </c>
      <c r="I1366" s="14" t="str">
        <f>VLOOKUP(H1366,[2]character_type_i18n!$A:$F,3,FALSE)</f>
        <v>回復タイプ</v>
      </c>
      <c r="J1366" s="36">
        <f>VLOOKUP(H1366,[2]character_type_i18n!$A:$F,4,FALSE)</f>
        <v>0.8</v>
      </c>
      <c r="K1366" s="36">
        <f>VLOOKUP(H1366,[2]character_type_i18n!$A:$F,5,FALSE)</f>
        <v>0.78</v>
      </c>
      <c r="L1366" s="36">
        <f>VLOOKUP(H1366,[2]character_type_i18n!$A:$F,6,FALSE)</f>
        <v>1</v>
      </c>
      <c r="M1366" s="9" t="str">
        <f>VLOOKUP(A1366,[2]characters!$A:$M,13,FALSE)</f>
        <v>hero</v>
      </c>
      <c r="N1366" s="14" t="str">
        <f>VLOOKUP(M1366,[2]character_tribe_i18n!$A:$F,3,FALSE)</f>
        <v>ヒーロー</v>
      </c>
      <c r="O1366" s="24">
        <f>VLOOKUP(M1366,[2]character_tribe_i18n!$A:$F,4,FALSE)</f>
        <v>1</v>
      </c>
      <c r="P1366" s="24">
        <f>VLOOKUP(M1366,[2]character_tribe_i18n!$A:$F,5,FALSE)</f>
        <v>1</v>
      </c>
      <c r="Q1366" s="24">
        <f>VLOOKUP(M1366,[2]character_tribe_i18n!$A:$F,6,FALSE)</f>
        <v>1</v>
      </c>
      <c r="R1366" s="25" t="s">
        <v>98</v>
      </c>
      <c r="S1366" s="24">
        <f>VLOOKUP($R1366,ラベル別係数!$A$1:$E$7,3,FALSE)</f>
        <v>5</v>
      </c>
      <c r="T1366" s="24">
        <f>VLOOKUP($R1366,ラベル別係数!$A$1:$E$7,4,FALSE)</f>
        <v>1.3</v>
      </c>
      <c r="U1366" s="24">
        <f>VLOOKUP($R1366,ラベル別係数!$A$1:$E$7,5,FALSE)</f>
        <v>0.8</v>
      </c>
      <c r="V1366" s="27">
        <v>3</v>
      </c>
      <c r="W1366" s="28">
        <f>VLOOKUP(V1366,ターン数別攻撃係数!$A$1:$B$1000,2,FALSE)</f>
        <v>1</v>
      </c>
      <c r="X1366" s="9">
        <f>VLOOKUP(C1366,サイズ別係数!A$2:B$9,2,FALSE)</f>
        <v>60</v>
      </c>
      <c r="Y1366" s="26">
        <f>VLOOKUP($X1366,サイズ別係数!$B:$E,2,FALSE)</f>
        <v>1.7</v>
      </c>
      <c r="Z1366" s="26">
        <f>VLOOKUP($X1366,サイズ別係数!$B:$E,3,FALSE)</f>
        <v>1.4</v>
      </c>
      <c r="AA1366" s="26">
        <f>VLOOKUP($X1366,サイズ別係数!$B:$E,4,FALSE)</f>
        <v>1</v>
      </c>
      <c r="AB1366" s="5">
        <v>0</v>
      </c>
      <c r="AC1366" s="34" t="str">
        <f ca="1">VLOOKUP($AB1366,OFFSET([3]enemy_skill_sets!$B$2,0,0,COUNTA([3]enemy_skill_sets!$A:$A),MATCH(AC$1,[3]enemy_skill_sets!$1:$1,0)-MATCH($AB$1,[3]enemy_skill_sets!$1:$1,0)+1),MATCH(AC$1,[3]enemy_skill_sets!$1:$1,0)-MATCH($AB$1,[3]enemy_skill_sets!$1:$1,0)+1,FALSE)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6" s="67">
        <v>1</v>
      </c>
      <c r="AE1366" s="67">
        <v>1</v>
      </c>
      <c r="AF1366" s="37">
        <v>0</v>
      </c>
      <c r="AG1366" s="41">
        <v>4165</v>
      </c>
      <c r="AH1366" s="41">
        <v>276</v>
      </c>
      <c r="AI1366" s="41">
        <v>0</v>
      </c>
      <c r="AJ1366" s="41">
        <v>169099</v>
      </c>
      <c r="AK1366" s="41">
        <v>11195</v>
      </c>
      <c r="AL1366" s="41">
        <v>0</v>
      </c>
      <c r="AM1366" s="102">
        <v>340</v>
      </c>
      <c r="AN1366" s="36">
        <v>0</v>
      </c>
      <c r="AO1366" s="53">
        <v>0</v>
      </c>
      <c r="AP1366" s="58" t="s">
        <v>72</v>
      </c>
      <c r="AQ1366" s="71">
        <f t="shared" si="80"/>
        <v>1451</v>
      </c>
    </row>
    <row r="1367" spans="1:43" ht="21" customHeight="1" x14ac:dyDescent="0.15">
      <c r="A1367" s="7">
        <v>1466</v>
      </c>
      <c r="B1367" s="6" t="str">
        <f>VLOOKUP(A1367,[2]characters!$A:$C,3,FALSE)</f>
        <v>スカー</v>
      </c>
      <c r="C1367" s="9">
        <f>VLOOKUP(A1367,[2]characters!$A:$I,9,FALSE)</f>
        <v>5</v>
      </c>
      <c r="D1367" s="9" t="str">
        <f>VLOOKUP(A1367,[2]characters!$A:$H,8,FALSE)</f>
        <v>blue</v>
      </c>
      <c r="E1367" s="24">
        <f>VLOOKUP(D1367,[2]属性!$A:$E,2,FALSE)</f>
        <v>1</v>
      </c>
      <c r="F1367" s="24">
        <f>VLOOKUP(D1367,[2]属性!$A:$E,3,FALSE)</f>
        <v>0.98</v>
      </c>
      <c r="G1367" s="24">
        <f>VLOOKUP(D1367,[2]属性!$A:$F,4,FALSE)</f>
        <v>1</v>
      </c>
      <c r="H1367" s="9" t="str">
        <f>VLOOKUP(A1367,[2]characters!$A:$K,11,FALSE)</f>
        <v>attack</v>
      </c>
      <c r="I1367" s="14" t="str">
        <f>VLOOKUP(H1367,[2]character_type_i18n!$A:$F,3,FALSE)</f>
        <v>攻撃タイプ</v>
      </c>
      <c r="J1367" s="36">
        <f>VLOOKUP(H1367,[2]character_type_i18n!$A:$F,4,FALSE)</f>
        <v>1</v>
      </c>
      <c r="K1367" s="36">
        <f>VLOOKUP(H1367,[2]character_type_i18n!$A:$F,5,FALSE)</f>
        <v>1.33</v>
      </c>
      <c r="L1367" s="36">
        <f>VLOOKUP(H1367,[2]character_type_i18n!$A:$F,6,FALSE)</f>
        <v>1</v>
      </c>
      <c r="M1367" s="9" t="str">
        <f>VLOOKUP(A1367,[2]characters!$A:$M,13,FALSE)</f>
        <v>human</v>
      </c>
      <c r="N1367" s="14" t="str">
        <f>VLOOKUP(M1367,[2]character_tribe_i18n!$A:$F,3,FALSE)</f>
        <v>ヒューマン</v>
      </c>
      <c r="O1367" s="24">
        <f>VLOOKUP(M1367,[2]character_tribe_i18n!$A:$F,4,FALSE)</f>
        <v>0.94</v>
      </c>
      <c r="P1367" s="24">
        <f>VLOOKUP(M1367,[2]character_tribe_i18n!$A:$F,5,FALSE)</f>
        <v>0.99</v>
      </c>
      <c r="Q1367" s="24">
        <f>VLOOKUP(M1367,[2]character_tribe_i18n!$A:$F,6,FALSE)</f>
        <v>1</v>
      </c>
      <c r="R1367" s="25" t="s">
        <v>98</v>
      </c>
      <c r="S1367" s="24">
        <f>VLOOKUP($R1367,ラベル別係数!$A$1:$E$7,3,FALSE)</f>
        <v>5</v>
      </c>
      <c r="T1367" s="24">
        <f>VLOOKUP($R1367,ラベル別係数!$A$1:$E$7,4,FALSE)</f>
        <v>1.3</v>
      </c>
      <c r="U1367" s="24">
        <f>VLOOKUP($R1367,ラベル別係数!$A$1:$E$7,5,FALSE)</f>
        <v>0.8</v>
      </c>
      <c r="V1367" s="27">
        <v>3</v>
      </c>
      <c r="W1367" s="28">
        <f>VLOOKUP(V1367,ターン数別攻撃係数!$A$1:$B$1000,2,FALSE)</f>
        <v>1</v>
      </c>
      <c r="X1367" s="9">
        <f>VLOOKUP(C1367,サイズ別係数!A$2:B$9,2,FALSE)</f>
        <v>60</v>
      </c>
      <c r="Y1367" s="26">
        <f>VLOOKUP($X1367,サイズ別係数!$B:$E,2,FALSE)</f>
        <v>1.7</v>
      </c>
      <c r="Z1367" s="26">
        <f>VLOOKUP($X1367,サイズ別係数!$B:$E,3,FALSE)</f>
        <v>1.4</v>
      </c>
      <c r="AA1367" s="26">
        <f>VLOOKUP($X1367,サイズ別係数!$B:$E,4,FALSE)</f>
        <v>1</v>
      </c>
      <c r="AB1367" s="5">
        <v>0</v>
      </c>
      <c r="AC1367" s="34" t="str">
        <f ca="1">VLOOKUP($AB1367,OFFSET([3]enemy_skill_sets!$B$2,0,0,COUNTA([3]enemy_skill_sets!$A:$A),MATCH(AC$1,[3]enemy_skill_sets!$1:$1,0)-MATCH($AB$1,[3]enemy_skill_sets!$1:$1,0)+1),MATCH(AC$1,[3]enemy_skill_sets!$1:$1,0)-MATCH($AB$1,[3]enemy_skill_sets!$1:$1,0)+1,FALSE)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7" s="67">
        <v>1</v>
      </c>
      <c r="AE1367" s="67">
        <v>1</v>
      </c>
      <c r="AF1367" s="37">
        <v>0</v>
      </c>
      <c r="AG1367" s="41">
        <v>4075</v>
      </c>
      <c r="AH1367" s="41">
        <v>352</v>
      </c>
      <c r="AI1367" s="41">
        <v>0</v>
      </c>
      <c r="AJ1367" s="41">
        <v>165441</v>
      </c>
      <c r="AK1367" s="41">
        <v>14302</v>
      </c>
      <c r="AL1367" s="41">
        <v>0</v>
      </c>
      <c r="AM1367" s="97">
        <f>VLOOKUP(M1367,[2]character_tribe_i18n!$A:$I,9,FALSE)</f>
        <v>400</v>
      </c>
      <c r="AN1367" s="36">
        <v>0</v>
      </c>
      <c r="AO1367" s="53">
        <v>0</v>
      </c>
      <c r="AP1367" s="58" t="s">
        <v>72</v>
      </c>
      <c r="AQ1367" s="71">
        <f t="shared" ref="AQ1367:AQ1371" si="81">A1367</f>
        <v>1466</v>
      </c>
    </row>
    <row r="1368" spans="1:43" ht="21" customHeight="1" x14ac:dyDescent="0.15">
      <c r="A1368" s="7">
        <v>1467</v>
      </c>
      <c r="B1368" s="6" t="str">
        <f>VLOOKUP(A1368,[2]characters!$A:$C,3,FALSE)</f>
        <v>十字傷の男 スカー</v>
      </c>
      <c r="C1368" s="9">
        <f>VLOOKUP(A1368,[2]characters!$A:$I,9,FALSE)</f>
        <v>6</v>
      </c>
      <c r="D1368" s="9" t="str">
        <f>VLOOKUP(A1368,[2]characters!$A:$H,8,FALSE)</f>
        <v>blue</v>
      </c>
      <c r="E1368" s="24">
        <f>VLOOKUP(D1368,[2]属性!$A:$E,2,FALSE)</f>
        <v>1</v>
      </c>
      <c r="F1368" s="24">
        <f>VLOOKUP(D1368,[2]属性!$A:$E,3,FALSE)</f>
        <v>0.98</v>
      </c>
      <c r="G1368" s="24">
        <f>VLOOKUP(D1368,[2]属性!$A:$F,4,FALSE)</f>
        <v>1</v>
      </c>
      <c r="H1368" s="9" t="str">
        <f>VLOOKUP(A1368,[2]characters!$A:$K,11,FALSE)</f>
        <v>attack</v>
      </c>
      <c r="I1368" s="14" t="str">
        <f>VLOOKUP(H1368,[2]character_type_i18n!$A:$F,3,FALSE)</f>
        <v>攻撃タイプ</v>
      </c>
      <c r="J1368" s="36">
        <f>VLOOKUP(H1368,[2]character_type_i18n!$A:$F,4,FALSE)</f>
        <v>1</v>
      </c>
      <c r="K1368" s="36">
        <f>VLOOKUP(H1368,[2]character_type_i18n!$A:$F,5,FALSE)</f>
        <v>1.33</v>
      </c>
      <c r="L1368" s="36">
        <f>VLOOKUP(H1368,[2]character_type_i18n!$A:$F,6,FALSE)</f>
        <v>1</v>
      </c>
      <c r="M1368" s="9" t="str">
        <f>VLOOKUP(A1368,[2]characters!$A:$M,13,FALSE)</f>
        <v>human</v>
      </c>
      <c r="N1368" s="14" t="str">
        <f>VLOOKUP(M1368,[2]character_tribe_i18n!$A:$F,3,FALSE)</f>
        <v>ヒューマン</v>
      </c>
      <c r="O1368" s="24">
        <f>VLOOKUP(M1368,[2]character_tribe_i18n!$A:$F,4,FALSE)</f>
        <v>0.94</v>
      </c>
      <c r="P1368" s="24">
        <f>VLOOKUP(M1368,[2]character_tribe_i18n!$A:$F,5,FALSE)</f>
        <v>0.99</v>
      </c>
      <c r="Q1368" s="24">
        <f>VLOOKUP(M1368,[2]character_tribe_i18n!$A:$F,6,FALSE)</f>
        <v>1</v>
      </c>
      <c r="R1368" s="25" t="s">
        <v>98</v>
      </c>
      <c r="S1368" s="24">
        <f>VLOOKUP($R1368,ラベル別係数!$A$1:$E$7,3,FALSE)</f>
        <v>5</v>
      </c>
      <c r="T1368" s="24">
        <f>VLOOKUP($R1368,ラベル別係数!$A$1:$E$7,4,FALSE)</f>
        <v>1.3</v>
      </c>
      <c r="U1368" s="24">
        <f>VLOOKUP($R1368,ラベル別係数!$A$1:$E$7,5,FALSE)</f>
        <v>0.8</v>
      </c>
      <c r="V1368" s="27">
        <v>3</v>
      </c>
      <c r="W1368" s="28">
        <f>VLOOKUP(V1368,ターン数別攻撃係数!$A$1:$B$1000,2,FALSE)</f>
        <v>1</v>
      </c>
      <c r="X1368" s="9">
        <f>VLOOKUP(C1368,サイズ別係数!A$2:B$9,2,FALSE)</f>
        <v>60</v>
      </c>
      <c r="Y1368" s="26">
        <f>VLOOKUP($X1368,サイズ別係数!$B:$E,2,FALSE)</f>
        <v>1.7</v>
      </c>
      <c r="Z1368" s="26">
        <f>VLOOKUP($X1368,サイズ別係数!$B:$E,3,FALSE)</f>
        <v>1.4</v>
      </c>
      <c r="AA1368" s="26">
        <f>VLOOKUP($X1368,サイズ別係数!$B:$E,4,FALSE)</f>
        <v>1</v>
      </c>
      <c r="AB1368" s="5">
        <v>0</v>
      </c>
      <c r="AC1368" s="34" t="str">
        <f ca="1">VLOOKUP($AB1368,OFFSET([3]enemy_skill_sets!$B$2,0,0,COUNTA([3]enemy_skill_sets!$A:$A),MATCH(AC$1,[3]enemy_skill_sets!$1:$1,0)-MATCH($AB$1,[3]enemy_skill_sets!$1:$1,0)+1),MATCH(AC$1,[3]enemy_skill_sets!$1:$1,0)-MATCH($AB$1,[3]enemy_skill_sets!$1:$1,0)+1,FALSE)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8" s="67">
        <v>1</v>
      </c>
      <c r="AE1368" s="67">
        <v>1</v>
      </c>
      <c r="AF1368" s="37">
        <v>0</v>
      </c>
      <c r="AG1368" s="99">
        <f>ROUND(VLOOKUP(1,enemy_base_stats!$A:$F,2,FALSE) * Y1368* J1368*O1368*E1368*S1368*AD1368*[2]ステータス!$B$2,0)</f>
        <v>3995</v>
      </c>
      <c r="AH1368" s="99">
        <f>ROUND(VLOOKUP(1,enemy_base_stats!$A:$F,3,FALSE) * Z1368*K1368*P1368*F1368*T1368*AE1368 * W1368*[2]ステータス!$C$2,0)</f>
        <v>352</v>
      </c>
      <c r="AI1368" s="99">
        <f>ROUND(VLOOKUP(1,enemy_base_stats!$A:$F,4,FALSE) * AA1368*L1368*Q1368*G1368*U1368*AF1368*[2]ステータス!$D$2,0)</f>
        <v>0</v>
      </c>
      <c r="AJ1368" s="99">
        <f>ROUND(VLOOKUP(100,enemy_base_stats!$A:$F,2,FALSE) * Y1368* J1368*O1368*E1368*S1368*AD1368*[2]ステータス!$B$2,0)</f>
        <v>162197</v>
      </c>
      <c r="AK1368" s="99">
        <f>ROUND(VLOOKUP(100,enemy_base_stats!$A:$F,3,FALSE)* Z1368* K1368*P1368*F1368*T1368*AE1368 * W1368*[2]ステータス!$C$2,0)</f>
        <v>14302</v>
      </c>
      <c r="AL1368" s="99">
        <f>ROUND(VLOOKUP(100,enemy_base_stats!$A:$F,4,FALSE)* AA1368* L1368*Q1368*G1368*U1368*AF1368*[2]ステータス!$D$2,0)</f>
        <v>0</v>
      </c>
      <c r="AM1368" s="97">
        <f>VLOOKUP(M1368,[2]character_tribe_i18n!$A:$I,9,FALSE)</f>
        <v>400</v>
      </c>
      <c r="AN1368" s="36">
        <v>0</v>
      </c>
      <c r="AO1368" s="53">
        <v>0</v>
      </c>
      <c r="AP1368" s="58" t="s">
        <v>72</v>
      </c>
      <c r="AQ1368" s="71">
        <f t="shared" si="81"/>
        <v>1467</v>
      </c>
    </row>
    <row r="1369" spans="1:43" ht="21" customHeight="1" x14ac:dyDescent="0.15">
      <c r="A1369" s="7">
        <v>1468</v>
      </c>
      <c r="B1369" s="6" t="str">
        <f>VLOOKUP(A1369,[2]characters!$A:$C,3,FALSE)</f>
        <v>嫉妬の猛心 エンヴィー</v>
      </c>
      <c r="C1369" s="9">
        <f>VLOOKUP(A1369,[2]characters!$A:$I,9,FALSE)</f>
        <v>5</v>
      </c>
      <c r="D1369" s="9" t="str">
        <f>VLOOKUP(A1369,[2]characters!$A:$H,8,FALSE)</f>
        <v>green</v>
      </c>
      <c r="E1369" s="24">
        <f>VLOOKUP(D1369,[2]属性!$A:$E,2,FALSE)</f>
        <v>1.02</v>
      </c>
      <c r="F1369" s="24">
        <f>VLOOKUP(D1369,[2]属性!$A:$E,3,FALSE)</f>
        <v>0.98</v>
      </c>
      <c r="G1369" s="24">
        <f>VLOOKUP(D1369,[2]属性!$A:$F,4,FALSE)</f>
        <v>1</v>
      </c>
      <c r="H1369" s="9" t="str">
        <f>VLOOKUP(A1369,[2]characters!$A:$K,11,FALSE)</f>
        <v>attack</v>
      </c>
      <c r="I1369" s="14" t="str">
        <f>VLOOKUP(H1369,[2]character_type_i18n!$A:$F,3,FALSE)</f>
        <v>攻撃タイプ</v>
      </c>
      <c r="J1369" s="36">
        <f>VLOOKUP(H1369,[2]character_type_i18n!$A:$F,4,FALSE)</f>
        <v>1</v>
      </c>
      <c r="K1369" s="36">
        <f>VLOOKUP(H1369,[2]character_type_i18n!$A:$F,5,FALSE)</f>
        <v>1.33</v>
      </c>
      <c r="L1369" s="36">
        <f>VLOOKUP(H1369,[2]character_type_i18n!$A:$F,6,FALSE)</f>
        <v>1</v>
      </c>
      <c r="M1369" s="9" t="str">
        <f>VLOOKUP(A1369,[2]characters!$A:$M,13,FALSE)</f>
        <v>unknown</v>
      </c>
      <c r="N1369" s="14" t="str">
        <f>VLOOKUP(M1369,[2]character_tribe_i18n!$A:$F,3,FALSE)</f>
        <v>Unknown</v>
      </c>
      <c r="O1369" s="24">
        <f>VLOOKUP(M1369,[2]character_tribe_i18n!$A:$F,4,FALSE)</f>
        <v>1</v>
      </c>
      <c r="P1369" s="24">
        <f>VLOOKUP(M1369,[2]character_tribe_i18n!$A:$F,5,FALSE)</f>
        <v>1</v>
      </c>
      <c r="Q1369" s="24">
        <f>VLOOKUP(M1369,[2]character_tribe_i18n!$A:$F,6,FALSE)</f>
        <v>1</v>
      </c>
      <c r="R1369" s="25" t="s">
        <v>98</v>
      </c>
      <c r="S1369" s="24">
        <f>VLOOKUP($R1369,ラベル別係数!$A$1:$E$7,3,FALSE)</f>
        <v>5</v>
      </c>
      <c r="T1369" s="24">
        <f>VLOOKUP($R1369,ラベル別係数!$A$1:$E$7,4,FALSE)</f>
        <v>1.3</v>
      </c>
      <c r="U1369" s="24">
        <f>VLOOKUP($R1369,ラベル別係数!$A$1:$E$7,5,FALSE)</f>
        <v>0.8</v>
      </c>
      <c r="V1369" s="27">
        <v>3</v>
      </c>
      <c r="W1369" s="28">
        <f>VLOOKUP(V1369,ターン数別攻撃係数!$A$1:$B$1000,2,FALSE)</f>
        <v>1</v>
      </c>
      <c r="X1369" s="9">
        <f>VLOOKUP(C1369,サイズ別係数!A$2:B$9,2,FALSE)</f>
        <v>60</v>
      </c>
      <c r="Y1369" s="26">
        <f>VLOOKUP($X1369,サイズ別係数!$B:$E,2,FALSE)</f>
        <v>1.7</v>
      </c>
      <c r="Z1369" s="26">
        <f>VLOOKUP($X1369,サイズ別係数!$B:$E,3,FALSE)</f>
        <v>1.4</v>
      </c>
      <c r="AA1369" s="26">
        <f>VLOOKUP($X1369,サイズ別係数!$B:$E,4,FALSE)</f>
        <v>1</v>
      </c>
      <c r="AB1369" s="5">
        <v>0</v>
      </c>
      <c r="AC1369" s="34" t="str">
        <f ca="1">VLOOKUP($AB1369,OFFSET([3]enemy_skill_sets!$B$2,0,0,COUNTA([3]enemy_skill_sets!$A:$A),MATCH(AC$1,[3]enemy_skill_sets!$1:$1,0)-MATCH($AB$1,[3]enemy_skill_sets!$1:$1,0)+1),MATCH(AC$1,[3]enemy_skill_sets!$1:$1,0)-MATCH($AB$1,[3]enemy_skill_sets!$1:$1,0)+1,FALSE)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69" s="67">
        <v>1</v>
      </c>
      <c r="AE1369" s="67">
        <v>1</v>
      </c>
      <c r="AF1369" s="37">
        <v>0</v>
      </c>
      <c r="AG1369" s="99">
        <f>ROUND(VLOOKUP(1,enemy_base_stats!$A:$F,2,FALSE) * Y1369* J1369*O1369*E1369*S1369*AD1369*[2]ステータス!$B$2,0)</f>
        <v>4335</v>
      </c>
      <c r="AH1369" s="99">
        <f>ROUND(VLOOKUP(1,enemy_base_stats!$A:$F,3,FALSE) * Z1369*K1369*P1369*F1369*T1369*AE1369 * W1369*[2]ステータス!$C$2,0)</f>
        <v>356</v>
      </c>
      <c r="AI1369" s="99">
        <f>ROUND(VLOOKUP(1,enemy_base_stats!$A:$F,4,FALSE) * AA1369*L1369*Q1369*G1369*U1369*AF1369*[2]ステータス!$D$2,0)</f>
        <v>0</v>
      </c>
      <c r="AJ1369" s="99">
        <f>ROUND(VLOOKUP(100,enemy_base_stats!$A:$F,2,FALSE) * Y1369* J1369*O1369*E1369*S1369*AD1369*[2]ステータス!$B$2,0)</f>
        <v>176001</v>
      </c>
      <c r="AK1369" s="99">
        <f>ROUND(VLOOKUP(100,enemy_base_stats!$A:$F,3,FALSE)* Z1369* K1369*P1369*F1369*T1369*AE1369 * W1369*[2]ステータス!$C$2,0)</f>
        <v>14447</v>
      </c>
      <c r="AL1369" s="99">
        <f>ROUND(VLOOKUP(100,enemy_base_stats!$A:$F,4,FALSE)* AA1369* L1369*Q1369*G1369*U1369*AF1369*[2]ステータス!$D$2,0)</f>
        <v>0</v>
      </c>
      <c r="AM1369" s="97">
        <f>VLOOKUP(M1369,[2]character_tribe_i18n!$A:$I,9,FALSE)</f>
        <v>340</v>
      </c>
      <c r="AN1369" s="36">
        <v>0</v>
      </c>
      <c r="AO1369" s="53">
        <v>0</v>
      </c>
      <c r="AP1369" s="58" t="s">
        <v>72</v>
      </c>
      <c r="AQ1369" s="71">
        <f t="shared" si="81"/>
        <v>1468</v>
      </c>
    </row>
    <row r="1370" spans="1:43" ht="21" customHeight="1" x14ac:dyDescent="0.15">
      <c r="A1370" s="7">
        <v>1469</v>
      </c>
      <c r="B1370" s="6" t="str">
        <f>VLOOKUP(A1370,[2]characters!$A:$C,3,FALSE)</f>
        <v>憤怒の大総統 ブラッドレイ</v>
      </c>
      <c r="C1370" s="9">
        <f>VLOOKUP(A1370,[2]characters!$A:$I,9,FALSE)</f>
        <v>5</v>
      </c>
      <c r="D1370" s="9" t="str">
        <f>VLOOKUP(A1370,[2]characters!$A:$H,8,FALSE)</f>
        <v>yellow</v>
      </c>
      <c r="E1370" s="24">
        <f>VLOOKUP(D1370,[2]属性!$A:$E,2,FALSE)</f>
        <v>0.98</v>
      </c>
      <c r="F1370" s="24">
        <f>VLOOKUP(D1370,[2]属性!$A:$E,3,FALSE)</f>
        <v>1.01</v>
      </c>
      <c r="G1370" s="24">
        <f>VLOOKUP(D1370,[2]属性!$A:$F,4,FALSE)</f>
        <v>1</v>
      </c>
      <c r="H1370" s="9" t="str">
        <f>VLOOKUP(A1370,[2]characters!$A:$K,11,FALSE)</f>
        <v>technical</v>
      </c>
      <c r="I1370" s="14" t="str">
        <f>VLOOKUP(H1370,[2]character_type_i18n!$A:$F,3,FALSE)</f>
        <v>テクニカルタイプ</v>
      </c>
      <c r="J1370" s="36">
        <f>VLOOKUP(H1370,[2]character_type_i18n!$A:$F,4,FALSE)</f>
        <v>0.9</v>
      </c>
      <c r="K1370" s="36">
        <f>VLOOKUP(H1370,[2]character_type_i18n!$A:$F,5,FALSE)</f>
        <v>0.9</v>
      </c>
      <c r="L1370" s="36">
        <f>VLOOKUP(H1370,[2]character_type_i18n!$A:$F,6,FALSE)</f>
        <v>1</v>
      </c>
      <c r="M1370" s="9" t="str">
        <f>VLOOKUP(A1370,[2]characters!$A:$M,13,FALSE)</f>
        <v>unknown</v>
      </c>
      <c r="N1370" s="14" t="str">
        <f>VLOOKUP(M1370,[2]character_tribe_i18n!$A:$F,3,FALSE)</f>
        <v>Unknown</v>
      </c>
      <c r="O1370" s="24">
        <f>VLOOKUP(M1370,[2]character_tribe_i18n!$A:$F,4,FALSE)</f>
        <v>1</v>
      </c>
      <c r="P1370" s="24">
        <f>VLOOKUP(M1370,[2]character_tribe_i18n!$A:$F,5,FALSE)</f>
        <v>1</v>
      </c>
      <c r="Q1370" s="24">
        <f>VLOOKUP(M1370,[2]character_tribe_i18n!$A:$F,6,FALSE)</f>
        <v>1</v>
      </c>
      <c r="R1370" s="25" t="s">
        <v>98</v>
      </c>
      <c r="S1370" s="24">
        <f>VLOOKUP($R1370,ラベル別係数!$A$1:$E$7,3,FALSE)</f>
        <v>5</v>
      </c>
      <c r="T1370" s="24">
        <f>VLOOKUP($R1370,ラベル別係数!$A$1:$E$7,4,FALSE)</f>
        <v>1.3</v>
      </c>
      <c r="U1370" s="24">
        <f>VLOOKUP($R1370,ラベル別係数!$A$1:$E$7,5,FALSE)</f>
        <v>0.8</v>
      </c>
      <c r="V1370" s="27">
        <v>3</v>
      </c>
      <c r="W1370" s="28">
        <f>VLOOKUP(V1370,ターン数別攻撃係数!$A$1:$B$1000,2,FALSE)</f>
        <v>1</v>
      </c>
      <c r="X1370" s="9">
        <f>VLOOKUP(C1370,サイズ別係数!A$2:B$9,2,FALSE)</f>
        <v>60</v>
      </c>
      <c r="Y1370" s="26">
        <f>VLOOKUP($X1370,サイズ別係数!$B:$E,2,FALSE)</f>
        <v>1.7</v>
      </c>
      <c r="Z1370" s="26">
        <f>VLOOKUP($X1370,サイズ別係数!$B:$E,3,FALSE)</f>
        <v>1.4</v>
      </c>
      <c r="AA1370" s="26">
        <f>VLOOKUP($X1370,サイズ別係数!$B:$E,4,FALSE)</f>
        <v>1</v>
      </c>
      <c r="AB1370" s="5">
        <v>0</v>
      </c>
      <c r="AC1370" s="34" t="str">
        <f ca="1">VLOOKUP($AB1370,OFFSET([3]enemy_skill_sets!$B$2,0,0,COUNTA([3]enemy_skill_sets!$A:$A),MATCH(AC$1,[3]enemy_skill_sets!$1:$1,0)-MATCH($AB$1,[3]enemy_skill_sets!$1:$1,0)+1),MATCH(AC$1,[3]enemy_skill_sets!$1:$1,0)-MATCH($AB$1,[3]enemy_skill_sets!$1:$1,0)+1,FALSE)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0" s="67">
        <v>1</v>
      </c>
      <c r="AE1370" s="67">
        <v>1</v>
      </c>
      <c r="AF1370" s="37">
        <v>0</v>
      </c>
      <c r="AG1370" s="99">
        <f>ROUND(VLOOKUP(1,enemy_base_stats!$A:$F,2,FALSE) * Y1370* J1370*O1370*E1370*S1370*AD1370*[2]ステータス!$B$2,0)</f>
        <v>3749</v>
      </c>
      <c r="AH1370" s="99">
        <f>ROUND(VLOOKUP(1,enemy_base_stats!$A:$F,3,FALSE) * Z1370*K1370*P1370*F1370*T1370*AE1370 * W1370*[2]ステータス!$C$2,0)</f>
        <v>248</v>
      </c>
      <c r="AI1370" s="99">
        <f>ROUND(VLOOKUP(1,enemy_base_stats!$A:$F,4,FALSE) * AA1370*L1370*Q1370*G1370*U1370*AF1370*[2]ステータス!$D$2,0)</f>
        <v>0</v>
      </c>
      <c r="AJ1370" s="99">
        <f>ROUND(VLOOKUP(100,enemy_base_stats!$A:$F,2,FALSE) * Y1370* J1370*O1370*E1370*S1370*AD1370*[2]ステータス!$B$2,0)</f>
        <v>152189</v>
      </c>
      <c r="AK1370" s="99">
        <f>ROUND(VLOOKUP(100,enemy_base_stats!$A:$F,3,FALSE)* Z1370* K1370*P1370*F1370*T1370*AE1370 * W1370*[2]ステータス!$C$2,0)</f>
        <v>10075</v>
      </c>
      <c r="AL1370" s="99">
        <f>ROUND(VLOOKUP(100,enemy_base_stats!$A:$F,4,FALSE)* AA1370* L1370*Q1370*G1370*U1370*AF1370*[2]ステータス!$D$2,0)</f>
        <v>0</v>
      </c>
      <c r="AM1370" s="97">
        <f>VLOOKUP(M1370,[2]character_tribe_i18n!$A:$I,9,FALSE)</f>
        <v>340</v>
      </c>
      <c r="AN1370" s="36">
        <v>0</v>
      </c>
      <c r="AO1370" s="53">
        <v>0</v>
      </c>
      <c r="AP1370" s="58" t="s">
        <v>72</v>
      </c>
      <c r="AQ1370" s="71">
        <f t="shared" si="81"/>
        <v>1469</v>
      </c>
    </row>
    <row r="1371" spans="1:43" ht="21" customHeight="1" x14ac:dyDescent="0.15">
      <c r="A1371" s="7">
        <v>1470</v>
      </c>
      <c r="B1371" s="6" t="str">
        <f>VLOOKUP(A1371,[2]characters!$A:$C,3,FALSE)</f>
        <v>傲慢なる悪鬼 プライド</v>
      </c>
      <c r="C1371" s="9">
        <f>VLOOKUP(A1371,[2]characters!$A:$I,9,FALSE)</f>
        <v>5</v>
      </c>
      <c r="D1371" s="9" t="str">
        <f>VLOOKUP(A1371,[2]characters!$A:$H,8,FALSE)</f>
        <v>red</v>
      </c>
      <c r="E1371" s="24">
        <f>VLOOKUP(D1371,[2]属性!$A:$E,2,FALSE)</f>
        <v>1</v>
      </c>
      <c r="F1371" s="24">
        <f>VLOOKUP(D1371,[2]属性!$A:$E,3,FALSE)</f>
        <v>1.02</v>
      </c>
      <c r="G1371" s="24">
        <f>VLOOKUP(D1371,[2]属性!$A:$F,4,FALSE)</f>
        <v>1</v>
      </c>
      <c r="H1371" s="9" t="str">
        <f>VLOOKUP(A1371,[2]characters!$A:$K,11,FALSE)</f>
        <v>balance</v>
      </c>
      <c r="I1371" s="14" t="str">
        <f>VLOOKUP(H1371,[2]character_type_i18n!$A:$F,3,FALSE)</f>
        <v>バランスタイプ</v>
      </c>
      <c r="J1371" s="36">
        <f>VLOOKUP(H1371,[2]character_type_i18n!$A:$F,4,FALSE)</f>
        <v>1</v>
      </c>
      <c r="K1371" s="36">
        <f>VLOOKUP(H1371,[2]character_type_i18n!$A:$F,5,FALSE)</f>
        <v>1</v>
      </c>
      <c r="L1371" s="36">
        <f>VLOOKUP(H1371,[2]character_type_i18n!$A:$F,6,FALSE)</f>
        <v>1</v>
      </c>
      <c r="M1371" s="9" t="str">
        <f>VLOOKUP(A1371,[2]characters!$A:$M,13,FALSE)</f>
        <v>unknown</v>
      </c>
      <c r="N1371" s="14" t="str">
        <f>VLOOKUP(M1371,[2]character_tribe_i18n!$A:$F,3,FALSE)</f>
        <v>Unknown</v>
      </c>
      <c r="O1371" s="24">
        <f>VLOOKUP(M1371,[2]character_tribe_i18n!$A:$F,4,FALSE)</f>
        <v>1</v>
      </c>
      <c r="P1371" s="24">
        <f>VLOOKUP(M1371,[2]character_tribe_i18n!$A:$F,5,FALSE)</f>
        <v>1</v>
      </c>
      <c r="Q1371" s="24">
        <f>VLOOKUP(M1371,[2]character_tribe_i18n!$A:$F,6,FALSE)</f>
        <v>1</v>
      </c>
      <c r="R1371" s="25" t="s">
        <v>98</v>
      </c>
      <c r="S1371" s="24">
        <f>VLOOKUP($R1371,ラベル別係数!$A$1:$E$7,3,FALSE)</f>
        <v>5</v>
      </c>
      <c r="T1371" s="24">
        <f>VLOOKUP($R1371,ラベル別係数!$A$1:$E$7,4,FALSE)</f>
        <v>1.3</v>
      </c>
      <c r="U1371" s="24">
        <f>VLOOKUP($R1371,ラベル別係数!$A$1:$E$7,5,FALSE)</f>
        <v>0.8</v>
      </c>
      <c r="V1371" s="27">
        <v>3</v>
      </c>
      <c r="W1371" s="28">
        <f>VLOOKUP(V1371,ターン数別攻撃係数!$A$1:$B$1000,2,FALSE)</f>
        <v>1</v>
      </c>
      <c r="X1371" s="9">
        <f>VLOOKUP(C1371,サイズ別係数!A$2:B$9,2,FALSE)</f>
        <v>60</v>
      </c>
      <c r="Y1371" s="26">
        <f>VLOOKUP($X1371,サイズ別係数!$B:$E,2,FALSE)</f>
        <v>1.7</v>
      </c>
      <c r="Z1371" s="26">
        <f>VLOOKUP($X1371,サイズ別係数!$B:$E,3,FALSE)</f>
        <v>1.4</v>
      </c>
      <c r="AA1371" s="26">
        <f>VLOOKUP($X1371,サイズ別係数!$B:$E,4,FALSE)</f>
        <v>1</v>
      </c>
      <c r="AB1371" s="5">
        <v>0</v>
      </c>
      <c r="AC1371" s="34" t="str">
        <f ca="1">VLOOKUP($AB1371,OFFSET([3]enemy_skill_sets!$B$2,0,0,COUNTA([3]enemy_skill_sets!$A:$A),MATCH(AC$1,[3]enemy_skill_sets!$1:$1,0)-MATCH($AB$1,[3]enemy_skill_sets!$1:$1,0)+1),MATCH(AC$1,[3]enemy_skill_sets!$1:$1,0)-MATCH($AB$1,[3]enemy_skill_sets!$1:$1,0)+1,FALSE)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1" s="67">
        <v>1</v>
      </c>
      <c r="AE1371" s="67">
        <v>1</v>
      </c>
      <c r="AF1371" s="37">
        <v>0</v>
      </c>
      <c r="AG1371" s="99">
        <f>ROUND(VLOOKUP(1,enemy_base_stats!$A:$F,2,FALSE) * Y1371* J1371*O1371*E1371*S1371*AD1371*[2]ステータス!$B$2,0)</f>
        <v>4250</v>
      </c>
      <c r="AH1371" s="99">
        <f>ROUND(VLOOKUP(1,enemy_base_stats!$A:$F,3,FALSE) * Z1371*K1371*P1371*F1371*T1371*AE1371 * W1371*[2]ステータス!$C$2,0)</f>
        <v>278</v>
      </c>
      <c r="AI1371" s="99">
        <f>ROUND(VLOOKUP(1,enemy_base_stats!$A:$F,4,FALSE) * AA1371*L1371*Q1371*G1371*U1371*AF1371*[2]ステータス!$D$2,0)</f>
        <v>0</v>
      </c>
      <c r="AJ1371" s="99">
        <f>ROUND(VLOOKUP(100,enemy_base_stats!$A:$F,2,FALSE) * Y1371* J1371*O1371*E1371*S1371*AD1371*[2]ステータス!$B$2,0)</f>
        <v>172550</v>
      </c>
      <c r="AK1371" s="99">
        <f>ROUND(VLOOKUP(100,enemy_base_stats!$A:$F,3,FALSE)* Z1371* K1371*P1371*F1371*T1371*AE1371 * W1371*[2]ステータス!$C$2,0)</f>
        <v>11305</v>
      </c>
      <c r="AL1371" s="99">
        <f>ROUND(VLOOKUP(100,enemy_base_stats!$A:$F,4,FALSE)* AA1371* L1371*Q1371*G1371*U1371*AF1371*[2]ステータス!$D$2,0)</f>
        <v>0</v>
      </c>
      <c r="AM1371" s="97">
        <f>VLOOKUP(M1371,[2]character_tribe_i18n!$A:$I,9,FALSE)</f>
        <v>340</v>
      </c>
      <c r="AN1371" s="36">
        <v>0</v>
      </c>
      <c r="AO1371" s="53">
        <v>0</v>
      </c>
      <c r="AP1371" s="58" t="s">
        <v>72</v>
      </c>
      <c r="AQ1371" s="71">
        <f t="shared" si="81"/>
        <v>1470</v>
      </c>
    </row>
    <row r="1372" spans="1:43" ht="21" customHeight="1" x14ac:dyDescent="0.15">
      <c r="A1372" s="7">
        <v>1471</v>
      </c>
      <c r="B1372" s="6" t="str">
        <f>VLOOKUP(A1372,[2]characters!$A:$C,3,FALSE)</f>
        <v>エイプリルアーサー</v>
      </c>
      <c r="C1372" s="9">
        <f>VLOOKUP(A1372,[2]characters!$A:$I,9,FALSE)</f>
        <v>6</v>
      </c>
      <c r="D1372" s="9" t="str">
        <f>VLOOKUP(A1372,[2]characters!$A:$H,8,FALSE)</f>
        <v>red</v>
      </c>
      <c r="E1372" s="24">
        <f>VLOOKUP(D1372,[2]属性!$A:$E,2,FALSE)</f>
        <v>1</v>
      </c>
      <c r="F1372" s="24">
        <f>VLOOKUP(D1372,[2]属性!$A:$E,3,FALSE)</f>
        <v>1.02</v>
      </c>
      <c r="G1372" s="24">
        <f>VLOOKUP(D1372,[2]属性!$A:$F,4,FALSE)</f>
        <v>1</v>
      </c>
      <c r="H1372" s="9" t="str">
        <f>VLOOKUP(A1372,[2]characters!$A:$K,11,FALSE)</f>
        <v>balance</v>
      </c>
      <c r="I1372" s="14" t="str">
        <f>VLOOKUP(H1372,[2]character_type_i18n!$A:$F,3,FALSE)</f>
        <v>バランスタイプ</v>
      </c>
      <c r="J1372" s="36">
        <f>VLOOKUP(H1372,[2]character_type_i18n!$A:$F,4,FALSE)</f>
        <v>1</v>
      </c>
      <c r="K1372" s="36">
        <f>VLOOKUP(H1372,[2]character_type_i18n!$A:$F,5,FALSE)</f>
        <v>1</v>
      </c>
      <c r="L1372" s="36">
        <f>VLOOKUP(H1372,[2]character_type_i18n!$A:$F,6,FALSE)</f>
        <v>1</v>
      </c>
      <c r="M1372" s="9" t="str">
        <f>VLOOKUP(A1372,[2]characters!$A:$M,13,FALSE)</f>
        <v>unknown</v>
      </c>
      <c r="N1372" s="14" t="str">
        <f>VLOOKUP(M1372,[2]character_tribe_i18n!$A:$F,3,FALSE)</f>
        <v>Unknown</v>
      </c>
      <c r="O1372" s="24">
        <f>VLOOKUP(M1372,[2]character_tribe_i18n!$A:$F,4,FALSE)</f>
        <v>1</v>
      </c>
      <c r="P1372" s="24">
        <f>VLOOKUP(M1372,[2]character_tribe_i18n!$A:$F,5,FALSE)</f>
        <v>1</v>
      </c>
      <c r="Q1372" s="24">
        <f>VLOOKUP(M1372,[2]character_tribe_i18n!$A:$F,6,FALSE)</f>
        <v>1</v>
      </c>
      <c r="R1372" s="25" t="s">
        <v>98</v>
      </c>
      <c r="S1372" s="24">
        <f>VLOOKUP($R1372,ラベル別係数!$A$1:$E$7,3,FALSE)</f>
        <v>5</v>
      </c>
      <c r="T1372" s="24">
        <f>VLOOKUP($R1372,ラベル別係数!$A$1:$E$7,4,FALSE)</f>
        <v>1.3</v>
      </c>
      <c r="U1372" s="24">
        <f>VLOOKUP($R1372,ラベル別係数!$A$1:$E$7,5,FALSE)</f>
        <v>0.8</v>
      </c>
      <c r="V1372" s="27">
        <v>3</v>
      </c>
      <c r="W1372" s="28">
        <f>VLOOKUP(V1372,ターン数別攻撃係数!$A$1:$B$1000,2,FALSE)</f>
        <v>1</v>
      </c>
      <c r="X1372" s="9">
        <f>VLOOKUP(C1372,サイズ別係数!A$2:B$9,2,FALSE)</f>
        <v>60</v>
      </c>
      <c r="Y1372" s="26">
        <f>VLOOKUP($X1372,サイズ別係数!$B:$E,2,FALSE)</f>
        <v>1.7</v>
      </c>
      <c r="Z1372" s="26">
        <f>VLOOKUP($X1372,サイズ別係数!$B:$E,3,FALSE)</f>
        <v>1.4</v>
      </c>
      <c r="AA1372" s="26">
        <f>VLOOKUP($X1372,サイズ別係数!$B:$E,4,FALSE)</f>
        <v>1</v>
      </c>
      <c r="AB1372" s="5">
        <v>0</v>
      </c>
      <c r="AC1372" s="34" t="str">
        <f ca="1">VLOOKUP($AB1372,OFFSET([3]enemy_skill_sets!$B$2,0,0,COUNTA([3]enemy_skill_sets!$A:$A),MATCH(AC$1,[3]enemy_skill_sets!$1:$1,0)-MATCH($AB$1,[3]enemy_skill_sets!$1:$1,0)+1),MATCH(AC$1,[3]enemy_skill_sets!$1:$1,0)-MATCH($AB$1,[3]enemy_skill_sets!$1:$1,0)+1,FALSE)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2" s="67">
        <v>1</v>
      </c>
      <c r="AE1372" s="67">
        <v>1</v>
      </c>
      <c r="AF1372" s="37">
        <v>0</v>
      </c>
      <c r="AG1372" s="99">
        <f>ROUND(VLOOKUP(1,enemy_base_stats!$A:$F,2,FALSE) * Y1372* J1372*O1372*E1372*S1372*AD1372*[2]ステータス!$B$2,0)</f>
        <v>4250</v>
      </c>
      <c r="AH1372" s="99">
        <f>ROUND(VLOOKUP(1,enemy_base_stats!$A:$F,3,FALSE) * Z1372*K1372*P1372*F1372*T1372*AE1372 * W1372*[2]ステータス!$C$2,0)</f>
        <v>278</v>
      </c>
      <c r="AI1372" s="99">
        <f>ROUND(VLOOKUP(1,enemy_base_stats!$A:$F,4,FALSE) * AA1372*L1372*Q1372*G1372*U1372*AF1372*[2]ステータス!$D$2,0)</f>
        <v>0</v>
      </c>
      <c r="AJ1372" s="99">
        <f>ROUND(VLOOKUP(100,enemy_base_stats!$A:$F,2,FALSE) * Y1372* J1372*O1372*E1372*S1372*AD1372*[2]ステータス!$B$2,0)</f>
        <v>172550</v>
      </c>
      <c r="AK1372" s="99">
        <f>ROUND(VLOOKUP(100,enemy_base_stats!$A:$F,3,FALSE)* Z1372* K1372*P1372*F1372*T1372*AE1372 * W1372*[2]ステータス!$C$2,0)</f>
        <v>11305</v>
      </c>
      <c r="AL1372" s="99">
        <f>ROUND(VLOOKUP(100,enemy_base_stats!$A:$F,4,FALSE)* AA1372* L1372*Q1372*G1372*U1372*AF1372*[2]ステータス!$D$2,0)</f>
        <v>0</v>
      </c>
      <c r="AM1372" s="97">
        <f>VLOOKUP(M1372,[2]character_tribe_i18n!$A:$I,9,FALSE)</f>
        <v>340</v>
      </c>
      <c r="AN1372" s="36">
        <v>0</v>
      </c>
      <c r="AO1372" s="53">
        <v>0</v>
      </c>
      <c r="AP1372" s="58" t="s">
        <v>72</v>
      </c>
      <c r="AQ1372" s="71">
        <f t="shared" ref="AQ1372" si="82">A1372</f>
        <v>1471</v>
      </c>
    </row>
    <row r="1373" spans="1:43" ht="21" customHeight="1" x14ac:dyDescent="0.15">
      <c r="A1373" s="112">
        <v>1495</v>
      </c>
      <c r="B1373" s="6" t="str">
        <f>VLOOKUP(A1373,[2]characters!$A:$C,3,FALSE)</f>
        <v>桜乱の武奏術 牛若丸</v>
      </c>
      <c r="C1373" s="9">
        <f>VLOOKUP(A1373,[2]characters!$A:$I,9,FALSE)</f>
        <v>6</v>
      </c>
      <c r="D1373" s="9" t="str">
        <f>VLOOKUP(A1373,[2]characters!$A:$H,8,FALSE)</f>
        <v>yellow</v>
      </c>
      <c r="E1373" s="24">
        <f>VLOOKUP(D1373,[2]属性!$A:$E,2,FALSE)</f>
        <v>0.98</v>
      </c>
      <c r="F1373" s="24">
        <f>VLOOKUP(D1373,[2]属性!$A:$E,3,FALSE)</f>
        <v>1.01</v>
      </c>
      <c r="G1373" s="24">
        <f>VLOOKUP(D1373,[2]属性!$A:$F,4,FALSE)</f>
        <v>1</v>
      </c>
      <c r="H1373" s="9" t="str">
        <f>VLOOKUP(A1373,[2]characters!$A:$K,11,FALSE)</f>
        <v>balance</v>
      </c>
      <c r="I1373" s="14" t="str">
        <f>VLOOKUP(H1373,[2]character_type_i18n!$A:$F,3,FALSE)</f>
        <v>バランスタイプ</v>
      </c>
      <c r="J1373" s="36">
        <f>VLOOKUP(H1373,[2]character_type_i18n!$A:$F,4,FALSE)</f>
        <v>1</v>
      </c>
      <c r="K1373" s="36">
        <f>VLOOKUP(H1373,[2]character_type_i18n!$A:$F,5,FALSE)</f>
        <v>1</v>
      </c>
      <c r="L1373" s="36">
        <f>VLOOKUP(H1373,[2]character_type_i18n!$A:$F,6,FALSE)</f>
        <v>1</v>
      </c>
      <c r="M1373" s="9" t="str">
        <f>VLOOKUP(A1373,[2]characters!$A:$M,13,FALSE)</f>
        <v>samurai</v>
      </c>
      <c r="N1373" s="14" t="str">
        <f>VLOOKUP(M1373,[2]character_tribe_i18n!$A:$F,3,FALSE)</f>
        <v>サムライ</v>
      </c>
      <c r="O1373" s="24">
        <f>VLOOKUP(M1373,[2]character_tribe_i18n!$A:$F,4,FALSE)</f>
        <v>1</v>
      </c>
      <c r="P1373" s="24">
        <f>VLOOKUP(M1373,[2]character_tribe_i18n!$A:$F,5,FALSE)</f>
        <v>1</v>
      </c>
      <c r="Q1373" s="24">
        <f>VLOOKUP(M1373,[2]character_tribe_i18n!$A:$F,6,FALSE)</f>
        <v>1</v>
      </c>
      <c r="R1373" s="25" t="s">
        <v>98</v>
      </c>
      <c r="S1373" s="24">
        <f>VLOOKUP($R1373,ラベル別係数!$A$1:$E$7,3,FALSE)</f>
        <v>5</v>
      </c>
      <c r="T1373" s="24">
        <f>VLOOKUP($R1373,ラベル別係数!$A$1:$E$7,4,FALSE)</f>
        <v>1.3</v>
      </c>
      <c r="U1373" s="24">
        <f>VLOOKUP($R1373,ラベル別係数!$A$1:$E$7,5,FALSE)</f>
        <v>0.8</v>
      </c>
      <c r="V1373" s="27">
        <v>3</v>
      </c>
      <c r="W1373" s="28">
        <f>VLOOKUP(V1373,ターン数別攻撃係数!$A$1:$B$1000,2,FALSE)</f>
        <v>1</v>
      </c>
      <c r="X1373" s="9">
        <f>VLOOKUP(C1373,サイズ別係数!A$2:B$9,2,FALSE)</f>
        <v>60</v>
      </c>
      <c r="Y1373" s="26">
        <f>VLOOKUP($X1373,サイズ別係数!$B:$E,2,FALSE)</f>
        <v>1.7</v>
      </c>
      <c r="Z1373" s="26">
        <f>VLOOKUP($X1373,サイズ別係数!$B:$E,3,FALSE)</f>
        <v>1.4</v>
      </c>
      <c r="AA1373" s="26">
        <f>VLOOKUP($X1373,サイズ別係数!$B:$E,4,FALSE)</f>
        <v>1</v>
      </c>
      <c r="AB1373" s="5">
        <v>0</v>
      </c>
      <c r="AC1373" s="34" t="str">
        <f ca="1">VLOOKUP($AB1373,OFFSET([3]enemy_skill_sets!$B$2,0,0,COUNTA([3]enemy_skill_sets!$A:$A),MATCH(AC$1,[3]enemy_skill_sets!$1:$1,0)-MATCH($AB$1,[3]enemy_skill_sets!$1:$1,0)+1),MATCH(AC$1,[3]enemy_skill_sets!$1:$1,0)-MATCH($AB$1,[3]enemy_skill_sets!$1:$1,0)+1,FALSE)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3" s="67">
        <v>1</v>
      </c>
      <c r="AE1373" s="67">
        <v>1</v>
      </c>
      <c r="AF1373" s="37">
        <v>0</v>
      </c>
      <c r="AG1373" s="99">
        <f>ROUND(VLOOKUP(1,enemy_base_stats!$A:$F,2,FALSE) * Y1373* J1373*O1373*E1373*S1373*AD1373*[2]ステータス!$B$2,0)</f>
        <v>4165</v>
      </c>
      <c r="AH1373" s="99">
        <f>ROUND(VLOOKUP(1,enemy_base_stats!$A:$F,3,FALSE) * Z1373*K1373*P1373*F1373*T1373*AE1373 * W1373*[2]ステータス!$C$2,0)</f>
        <v>276</v>
      </c>
      <c r="AI1373" s="99">
        <f>ROUND(VLOOKUP(1,enemy_base_stats!$A:$F,4,FALSE) * AA1373*L1373*Q1373*G1373*U1373*AF1373*[2]ステータス!$D$2,0)</f>
        <v>0</v>
      </c>
      <c r="AJ1373" s="99">
        <f>ROUND(VLOOKUP(100,enemy_base_stats!$A:$F,2,FALSE) * Y1373* J1373*O1373*E1373*S1373*AD1373*[2]ステータス!$B$2,0)</f>
        <v>169099</v>
      </c>
      <c r="AK1373" s="99">
        <f>ROUND(VLOOKUP(100,enemy_base_stats!$A:$F,3,FALSE)* Z1373* K1373*P1373*F1373*T1373*AE1373 * W1373*[2]ステータス!$C$2,0)</f>
        <v>11195</v>
      </c>
      <c r="AL1373" s="99">
        <f>ROUND(VLOOKUP(100,enemy_base_stats!$A:$F,4,FALSE)* AA1373* L1373*Q1373*G1373*U1373*AF1373*[2]ステータス!$D$2,0)</f>
        <v>0</v>
      </c>
      <c r="AM1373" s="97">
        <f>VLOOKUP(M1373,[2]character_tribe_i18n!$A:$I,9,FALSE)</f>
        <v>400</v>
      </c>
      <c r="AN1373" s="36">
        <v>0</v>
      </c>
      <c r="AO1373" s="53">
        <v>0</v>
      </c>
      <c r="AP1373" s="58" t="s">
        <v>72</v>
      </c>
      <c r="AQ1373" s="71">
        <f t="shared" ref="AQ1373:AQ1381" si="83">A1373</f>
        <v>1495</v>
      </c>
    </row>
    <row r="1374" spans="1:43" ht="21" customHeight="1" x14ac:dyDescent="0.15">
      <c r="A1374" s="112">
        <v>1496</v>
      </c>
      <c r="B1374" s="6" t="str">
        <f>VLOOKUP(A1374,[2]characters!$A:$C,3,FALSE)</f>
        <v>晴眼桜花一文字 沖田総司</v>
      </c>
      <c r="C1374" s="9">
        <f>VLOOKUP(A1374,[2]characters!$A:$I,9,FALSE)</f>
        <v>6</v>
      </c>
      <c r="D1374" s="9" t="str">
        <f>VLOOKUP(A1374,[2]characters!$A:$H,8,FALSE)</f>
        <v>green</v>
      </c>
      <c r="E1374" s="24">
        <f>VLOOKUP(D1374,[2]属性!$A:$E,2,FALSE)</f>
        <v>1.02</v>
      </c>
      <c r="F1374" s="24">
        <f>VLOOKUP(D1374,[2]属性!$A:$E,3,FALSE)</f>
        <v>0.98</v>
      </c>
      <c r="G1374" s="24">
        <f>VLOOKUP(D1374,[2]属性!$A:$F,4,FALSE)</f>
        <v>1</v>
      </c>
      <c r="H1374" s="9" t="str">
        <f>VLOOKUP(A1374,[2]characters!$A:$K,11,FALSE)</f>
        <v>hp</v>
      </c>
      <c r="I1374" s="14" t="str">
        <f>VLOOKUP(H1374,[2]character_type_i18n!$A:$F,3,FALSE)</f>
        <v>体力タイプ</v>
      </c>
      <c r="J1374" s="36">
        <f>VLOOKUP(H1374,[2]character_type_i18n!$A:$F,4,FALSE)</f>
        <v>1.45</v>
      </c>
      <c r="K1374" s="36">
        <f>VLOOKUP(H1374,[2]character_type_i18n!$A:$F,5,FALSE)</f>
        <v>0.85</v>
      </c>
      <c r="L1374" s="36">
        <f>VLOOKUP(H1374,[2]character_type_i18n!$A:$F,6,FALSE)</f>
        <v>1</v>
      </c>
      <c r="M1374" s="9" t="str">
        <f>VLOOKUP(A1374,[2]characters!$A:$M,13,FALSE)</f>
        <v>samurai</v>
      </c>
      <c r="N1374" s="14" t="str">
        <f>VLOOKUP(M1374,[2]character_tribe_i18n!$A:$F,3,FALSE)</f>
        <v>サムライ</v>
      </c>
      <c r="O1374" s="24">
        <f>VLOOKUP(M1374,[2]character_tribe_i18n!$A:$F,4,FALSE)</f>
        <v>1</v>
      </c>
      <c r="P1374" s="24">
        <f>VLOOKUP(M1374,[2]character_tribe_i18n!$A:$F,5,FALSE)</f>
        <v>1</v>
      </c>
      <c r="Q1374" s="24">
        <f>VLOOKUP(M1374,[2]character_tribe_i18n!$A:$F,6,FALSE)</f>
        <v>1</v>
      </c>
      <c r="R1374" s="25" t="s">
        <v>98</v>
      </c>
      <c r="S1374" s="24">
        <f>VLOOKUP($R1374,ラベル別係数!$A$1:$E$7,3,FALSE)</f>
        <v>5</v>
      </c>
      <c r="T1374" s="24">
        <f>VLOOKUP($R1374,ラベル別係数!$A$1:$E$7,4,FALSE)</f>
        <v>1.3</v>
      </c>
      <c r="U1374" s="24">
        <f>VLOOKUP($R1374,ラベル別係数!$A$1:$E$7,5,FALSE)</f>
        <v>0.8</v>
      </c>
      <c r="V1374" s="27">
        <v>3</v>
      </c>
      <c r="W1374" s="28">
        <f>VLOOKUP(V1374,ターン数別攻撃係数!$A$1:$B$1000,2,FALSE)</f>
        <v>1</v>
      </c>
      <c r="X1374" s="9">
        <f>VLOOKUP(C1374,サイズ別係数!A$2:B$9,2,FALSE)</f>
        <v>60</v>
      </c>
      <c r="Y1374" s="26">
        <f>VLOOKUP($X1374,サイズ別係数!$B:$E,2,FALSE)</f>
        <v>1.7</v>
      </c>
      <c r="Z1374" s="26">
        <f>VLOOKUP($X1374,サイズ別係数!$B:$E,3,FALSE)</f>
        <v>1.4</v>
      </c>
      <c r="AA1374" s="26">
        <f>VLOOKUP($X1374,サイズ別係数!$B:$E,4,FALSE)</f>
        <v>1</v>
      </c>
      <c r="AB1374" s="5">
        <v>0</v>
      </c>
      <c r="AC1374" s="34" t="str">
        <f ca="1">VLOOKUP($AB1374,OFFSET([3]enemy_skill_sets!$B$2,0,0,COUNTA([3]enemy_skill_sets!$A:$A),MATCH(AC$1,[3]enemy_skill_sets!$1:$1,0)-MATCH($AB$1,[3]enemy_skill_sets!$1:$1,0)+1),MATCH(AC$1,[3]enemy_skill_sets!$1:$1,0)-MATCH($AB$1,[3]enemy_skill_sets!$1:$1,0)+1,FALSE)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4" s="67">
        <v>1</v>
      </c>
      <c r="AE1374" s="67">
        <v>1</v>
      </c>
      <c r="AF1374" s="37">
        <v>0</v>
      </c>
      <c r="AG1374" s="99">
        <f>ROUND(VLOOKUP(1,enemy_base_stats!$A:$F,2,FALSE) * Y1374* J1374*O1374*E1374*S1374*AD1374*[2]ステータス!$B$2,0)</f>
        <v>6286</v>
      </c>
      <c r="AH1374" s="99">
        <f>ROUND(VLOOKUP(1,enemy_base_stats!$A:$F,3,FALSE) * Z1374*K1374*P1374*F1374*T1374*AE1374 * W1374*[2]ステータス!$C$2,0)</f>
        <v>227</v>
      </c>
      <c r="AI1374" s="99">
        <f>ROUND(VLOOKUP(1,enemy_base_stats!$A:$F,4,FALSE) * AA1374*L1374*Q1374*G1374*U1374*AF1374*[2]ステータス!$D$2,0)</f>
        <v>0</v>
      </c>
      <c r="AJ1374" s="99">
        <f>ROUND(VLOOKUP(100,enemy_base_stats!$A:$F,2,FALSE) * Y1374* J1374*O1374*E1374*S1374*AD1374*[2]ステータス!$B$2,0)</f>
        <v>255201</v>
      </c>
      <c r="AK1374" s="99">
        <f>ROUND(VLOOKUP(100,enemy_base_stats!$A:$F,3,FALSE)* Z1374* K1374*P1374*F1374*T1374*AE1374 * W1374*[2]ステータス!$C$2,0)</f>
        <v>9233</v>
      </c>
      <c r="AL1374" s="99">
        <f>ROUND(VLOOKUP(100,enemy_base_stats!$A:$F,4,FALSE)* AA1374* L1374*Q1374*G1374*U1374*AF1374*[2]ステータス!$D$2,0)</f>
        <v>0</v>
      </c>
      <c r="AM1374" s="97">
        <f>VLOOKUP(M1374,[2]character_tribe_i18n!$A:$I,9,FALSE)</f>
        <v>400</v>
      </c>
      <c r="AN1374" s="36">
        <v>0</v>
      </c>
      <c r="AO1374" s="53">
        <v>0</v>
      </c>
      <c r="AP1374" s="58" t="s">
        <v>72</v>
      </c>
      <c r="AQ1374" s="71">
        <f t="shared" si="83"/>
        <v>1496</v>
      </c>
    </row>
    <row r="1375" spans="1:43" ht="21" customHeight="1" x14ac:dyDescent="0.15">
      <c r="A1375" s="112">
        <v>1497</v>
      </c>
      <c r="B1375" s="6" t="str">
        <f>VLOOKUP(A1375,[2]characters!$A:$C,3,FALSE)</f>
        <v>ヨシノ</v>
      </c>
      <c r="C1375" s="9">
        <f>VLOOKUP(A1375,[2]characters!$A:$I,9,FALSE)</f>
        <v>5</v>
      </c>
      <c r="D1375" s="9" t="str">
        <f>VLOOKUP(A1375,[2]characters!$A:$H,8,FALSE)</f>
        <v>blue</v>
      </c>
      <c r="E1375" s="24">
        <f>VLOOKUP(D1375,[2]属性!$A:$E,2,FALSE)</f>
        <v>1</v>
      </c>
      <c r="F1375" s="24">
        <f>VLOOKUP(D1375,[2]属性!$A:$E,3,FALSE)</f>
        <v>0.98</v>
      </c>
      <c r="G1375" s="24">
        <f>VLOOKUP(D1375,[2]属性!$A:$F,4,FALSE)</f>
        <v>1</v>
      </c>
      <c r="H1375" s="9" t="str">
        <f>VLOOKUP(A1375,[2]characters!$A:$K,11,FALSE)</f>
        <v>heal</v>
      </c>
      <c r="I1375" s="14" t="str">
        <f>VLOOKUP(H1375,[2]character_type_i18n!$A:$F,3,FALSE)</f>
        <v>回復タイプ</v>
      </c>
      <c r="J1375" s="36">
        <f>VLOOKUP(H1375,[2]character_type_i18n!$A:$F,4,FALSE)</f>
        <v>0.8</v>
      </c>
      <c r="K1375" s="36">
        <f>VLOOKUP(H1375,[2]character_type_i18n!$A:$F,5,FALSE)</f>
        <v>0.78</v>
      </c>
      <c r="L1375" s="36">
        <f>VLOOKUP(H1375,[2]character_type_i18n!$A:$F,6,FALSE)</f>
        <v>1</v>
      </c>
      <c r="M1375" s="9" t="str">
        <f>VLOOKUP(A1375,[2]characters!$A:$M,13,FALSE)</f>
        <v>fantasy</v>
      </c>
      <c r="N1375" s="14" t="str">
        <f>VLOOKUP(M1375,[2]character_tribe_i18n!$A:$F,3,FALSE)</f>
        <v>ファンタジー</v>
      </c>
      <c r="O1375" s="24">
        <f>VLOOKUP(M1375,[2]character_tribe_i18n!$A:$F,4,FALSE)</f>
        <v>1</v>
      </c>
      <c r="P1375" s="24">
        <f>VLOOKUP(M1375,[2]character_tribe_i18n!$A:$F,5,FALSE)</f>
        <v>1</v>
      </c>
      <c r="Q1375" s="24">
        <f>VLOOKUP(M1375,[2]character_tribe_i18n!$A:$F,6,FALSE)</f>
        <v>1</v>
      </c>
      <c r="R1375" s="25" t="s">
        <v>98</v>
      </c>
      <c r="S1375" s="24">
        <f>VLOOKUP($R1375,ラベル別係数!$A$1:$E$7,3,FALSE)</f>
        <v>5</v>
      </c>
      <c r="T1375" s="24">
        <f>VLOOKUP($R1375,ラベル別係数!$A$1:$E$7,4,FALSE)</f>
        <v>1.3</v>
      </c>
      <c r="U1375" s="24">
        <f>VLOOKUP($R1375,ラベル別係数!$A$1:$E$7,5,FALSE)</f>
        <v>0.8</v>
      </c>
      <c r="V1375" s="27">
        <v>3</v>
      </c>
      <c r="W1375" s="28">
        <f>VLOOKUP(V1375,ターン数別攻撃係数!$A$1:$B$1000,2,FALSE)</f>
        <v>1</v>
      </c>
      <c r="X1375" s="9">
        <f>VLOOKUP(C1375,サイズ別係数!A$2:B$9,2,FALSE)</f>
        <v>60</v>
      </c>
      <c r="Y1375" s="26">
        <f>VLOOKUP($X1375,サイズ別係数!$B:$E,2,FALSE)</f>
        <v>1.7</v>
      </c>
      <c r="Z1375" s="26">
        <f>VLOOKUP($X1375,サイズ別係数!$B:$E,3,FALSE)</f>
        <v>1.4</v>
      </c>
      <c r="AA1375" s="26">
        <f>VLOOKUP($X1375,サイズ別係数!$B:$E,4,FALSE)</f>
        <v>1</v>
      </c>
      <c r="AB1375" s="5">
        <v>0</v>
      </c>
      <c r="AC1375" s="34" t="str">
        <f ca="1">VLOOKUP($AB1375,OFFSET([3]enemy_skill_sets!$B$2,0,0,COUNTA([3]enemy_skill_sets!$A:$A),MATCH(AC$1,[3]enemy_skill_sets!$1:$1,0)-MATCH($AB$1,[3]enemy_skill_sets!$1:$1,0)+1),MATCH(AC$1,[3]enemy_skill_sets!$1:$1,0)-MATCH($AB$1,[3]enemy_skill_sets!$1:$1,0)+1,FALSE)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5" s="67">
        <v>1</v>
      </c>
      <c r="AE1375" s="67">
        <v>1</v>
      </c>
      <c r="AF1375" s="37">
        <v>0</v>
      </c>
      <c r="AG1375" s="99">
        <f>ROUND(VLOOKUP(1,enemy_base_stats!$A:$F,2,FALSE) * Y1375* J1375*O1375*E1375*S1375*AD1375*[2]ステータス!$B$2,0)</f>
        <v>3400</v>
      </c>
      <c r="AH1375" s="99">
        <f>ROUND(VLOOKUP(1,enemy_base_stats!$A:$F,3,FALSE) * Z1375*K1375*P1375*F1375*T1375*AE1375 * W1375*[2]ステータス!$C$2,0)</f>
        <v>209</v>
      </c>
      <c r="AI1375" s="99">
        <f>ROUND(VLOOKUP(1,enemy_base_stats!$A:$F,4,FALSE) * AA1375*L1375*Q1375*G1375*U1375*AF1375*[2]ステータス!$D$2,0)</f>
        <v>0</v>
      </c>
      <c r="AJ1375" s="99">
        <f>ROUND(VLOOKUP(100,enemy_base_stats!$A:$F,2,FALSE) * Y1375* J1375*O1375*E1375*S1375*AD1375*[2]ステータス!$B$2,0)</f>
        <v>138040</v>
      </c>
      <c r="AK1375" s="99">
        <f>ROUND(VLOOKUP(100,enemy_base_stats!$A:$F,3,FALSE)* Z1375* K1375*P1375*F1375*T1375*AE1375 * W1375*[2]ステータス!$C$2,0)</f>
        <v>8472</v>
      </c>
      <c r="AL1375" s="99">
        <f>ROUND(VLOOKUP(100,enemy_base_stats!$A:$F,4,FALSE)* AA1375* L1375*Q1375*G1375*U1375*AF1375*[2]ステータス!$D$2,0)</f>
        <v>0</v>
      </c>
      <c r="AM1375" s="97">
        <f>VLOOKUP(M1375,[2]character_tribe_i18n!$A:$I,9,FALSE)</f>
        <v>400</v>
      </c>
      <c r="AN1375" s="36">
        <v>0</v>
      </c>
      <c r="AO1375" s="53">
        <v>0</v>
      </c>
      <c r="AP1375" s="58" t="s">
        <v>72</v>
      </c>
      <c r="AQ1375" s="71">
        <f t="shared" si="83"/>
        <v>1497</v>
      </c>
    </row>
    <row r="1376" spans="1:43" ht="21" customHeight="1" x14ac:dyDescent="0.15">
      <c r="A1376" s="112">
        <v>1498</v>
      </c>
      <c r="B1376" s="6" t="str">
        <f>VLOOKUP(A1376,[2]characters!$A:$C,3,FALSE)</f>
        <v>咲誇る夢見草 ヨシノ</v>
      </c>
      <c r="C1376" s="9">
        <f>VLOOKUP(A1376,[2]characters!$A:$I,9,FALSE)</f>
        <v>6</v>
      </c>
      <c r="D1376" s="9" t="str">
        <f>VLOOKUP(A1376,[2]characters!$A:$H,8,FALSE)</f>
        <v>blue</v>
      </c>
      <c r="E1376" s="24">
        <f>VLOOKUP(D1376,[2]属性!$A:$E,2,FALSE)</f>
        <v>1</v>
      </c>
      <c r="F1376" s="24">
        <f>VLOOKUP(D1376,[2]属性!$A:$E,3,FALSE)</f>
        <v>0.98</v>
      </c>
      <c r="G1376" s="24">
        <f>VLOOKUP(D1376,[2]属性!$A:$F,4,FALSE)</f>
        <v>1</v>
      </c>
      <c r="H1376" s="9" t="str">
        <f>VLOOKUP(A1376,[2]characters!$A:$K,11,FALSE)</f>
        <v>heal</v>
      </c>
      <c r="I1376" s="14" t="str">
        <f>VLOOKUP(H1376,[2]character_type_i18n!$A:$F,3,FALSE)</f>
        <v>回復タイプ</v>
      </c>
      <c r="J1376" s="36">
        <f>VLOOKUP(H1376,[2]character_type_i18n!$A:$F,4,FALSE)</f>
        <v>0.8</v>
      </c>
      <c r="K1376" s="36">
        <f>VLOOKUP(H1376,[2]character_type_i18n!$A:$F,5,FALSE)</f>
        <v>0.78</v>
      </c>
      <c r="L1376" s="36">
        <f>VLOOKUP(H1376,[2]character_type_i18n!$A:$F,6,FALSE)</f>
        <v>1</v>
      </c>
      <c r="M1376" s="9" t="str">
        <f>VLOOKUP(A1376,[2]characters!$A:$M,13,FALSE)</f>
        <v>fantasy</v>
      </c>
      <c r="N1376" s="14" t="str">
        <f>VLOOKUP(M1376,[2]character_tribe_i18n!$A:$F,3,FALSE)</f>
        <v>ファンタジー</v>
      </c>
      <c r="O1376" s="24">
        <f>VLOOKUP(M1376,[2]character_tribe_i18n!$A:$F,4,FALSE)</f>
        <v>1</v>
      </c>
      <c r="P1376" s="24">
        <f>VLOOKUP(M1376,[2]character_tribe_i18n!$A:$F,5,FALSE)</f>
        <v>1</v>
      </c>
      <c r="Q1376" s="24">
        <f>VLOOKUP(M1376,[2]character_tribe_i18n!$A:$F,6,FALSE)</f>
        <v>1</v>
      </c>
      <c r="R1376" s="25" t="s">
        <v>98</v>
      </c>
      <c r="S1376" s="24">
        <f>VLOOKUP($R1376,ラベル別係数!$A$1:$E$7,3,FALSE)</f>
        <v>5</v>
      </c>
      <c r="T1376" s="24">
        <f>VLOOKUP($R1376,ラベル別係数!$A$1:$E$7,4,FALSE)</f>
        <v>1.3</v>
      </c>
      <c r="U1376" s="24">
        <f>VLOOKUP($R1376,ラベル別係数!$A$1:$E$7,5,FALSE)</f>
        <v>0.8</v>
      </c>
      <c r="V1376" s="27">
        <v>3</v>
      </c>
      <c r="W1376" s="28">
        <f>VLOOKUP(V1376,ターン数別攻撃係数!$A$1:$B$1000,2,FALSE)</f>
        <v>1</v>
      </c>
      <c r="X1376" s="9">
        <f>VLOOKUP(C1376,サイズ別係数!A$2:B$9,2,FALSE)</f>
        <v>60</v>
      </c>
      <c r="Y1376" s="26">
        <f>VLOOKUP($X1376,サイズ別係数!$B:$E,2,FALSE)</f>
        <v>1.7</v>
      </c>
      <c r="Z1376" s="26">
        <f>VLOOKUP($X1376,サイズ別係数!$B:$E,3,FALSE)</f>
        <v>1.4</v>
      </c>
      <c r="AA1376" s="26">
        <f>VLOOKUP($X1376,サイズ別係数!$B:$E,4,FALSE)</f>
        <v>1</v>
      </c>
      <c r="AB1376" s="5">
        <v>0</v>
      </c>
      <c r="AC1376" s="34" t="str">
        <f ca="1">VLOOKUP($AB1376,OFFSET([3]enemy_skill_sets!$B$2,0,0,COUNTA([3]enemy_skill_sets!$A:$A),MATCH(AC$1,[3]enemy_skill_sets!$1:$1,0)-MATCH($AB$1,[3]enemy_skill_sets!$1:$1,0)+1),MATCH(AC$1,[3]enemy_skill_sets!$1:$1,0)-MATCH($AB$1,[3]enemy_skill_sets!$1:$1,0)+1,FALSE)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6" s="67">
        <v>1</v>
      </c>
      <c r="AE1376" s="67">
        <v>1</v>
      </c>
      <c r="AF1376" s="37">
        <v>0</v>
      </c>
      <c r="AG1376" s="99">
        <f>ROUND(VLOOKUP(1,enemy_base_stats!$A:$F,2,FALSE) * Y1376* J1376*O1376*E1376*S1376*AD1376*[2]ステータス!$B$2,0)</f>
        <v>3400</v>
      </c>
      <c r="AH1376" s="99">
        <f>ROUND(VLOOKUP(1,enemy_base_stats!$A:$F,3,FALSE) * Z1376*K1376*P1376*F1376*T1376*AE1376 * W1376*[2]ステータス!$C$2,0)</f>
        <v>209</v>
      </c>
      <c r="AI1376" s="99">
        <f>ROUND(VLOOKUP(1,enemy_base_stats!$A:$F,4,FALSE) * AA1376*L1376*Q1376*G1376*U1376*AF1376*[2]ステータス!$D$2,0)</f>
        <v>0</v>
      </c>
      <c r="AJ1376" s="99">
        <f>ROUND(VLOOKUP(100,enemy_base_stats!$A:$F,2,FALSE) * Y1376* J1376*O1376*E1376*S1376*AD1376*[2]ステータス!$B$2,0)</f>
        <v>138040</v>
      </c>
      <c r="AK1376" s="99">
        <f>ROUND(VLOOKUP(100,enemy_base_stats!$A:$F,3,FALSE)* Z1376* K1376*P1376*F1376*T1376*AE1376 * W1376*[2]ステータス!$C$2,0)</f>
        <v>8472</v>
      </c>
      <c r="AL1376" s="99">
        <f>ROUND(VLOOKUP(100,enemy_base_stats!$A:$F,4,FALSE)* AA1376* L1376*Q1376*G1376*U1376*AF1376*[2]ステータス!$D$2,0)</f>
        <v>0</v>
      </c>
      <c r="AM1376" s="97">
        <f>VLOOKUP(M1376,[2]character_tribe_i18n!$A:$I,9,FALSE)</f>
        <v>400</v>
      </c>
      <c r="AN1376" s="36">
        <v>0</v>
      </c>
      <c r="AO1376" s="53">
        <v>0</v>
      </c>
      <c r="AP1376" s="58" t="s">
        <v>72</v>
      </c>
      <c r="AQ1376" s="71">
        <f t="shared" si="83"/>
        <v>1498</v>
      </c>
    </row>
    <row r="1377" spans="1:43" ht="21" customHeight="1" x14ac:dyDescent="0.15">
      <c r="A1377" s="112">
        <v>1499</v>
      </c>
      <c r="B1377" s="6" t="str">
        <f>VLOOKUP(A1377,[2]characters!$A:$C,3,FALSE)</f>
        <v>コノハナサクヤ</v>
      </c>
      <c r="C1377" s="9">
        <f>VLOOKUP(A1377,[2]characters!$A:$I,9,FALSE)</f>
        <v>5</v>
      </c>
      <c r="D1377" s="9" t="str">
        <f>VLOOKUP(A1377,[2]characters!$A:$H,8,FALSE)</f>
        <v>yellow</v>
      </c>
      <c r="E1377" s="24">
        <f>VLOOKUP(D1377,[2]属性!$A:$E,2,FALSE)</f>
        <v>0.98</v>
      </c>
      <c r="F1377" s="24">
        <f>VLOOKUP(D1377,[2]属性!$A:$E,3,FALSE)</f>
        <v>1.01</v>
      </c>
      <c r="G1377" s="24">
        <f>VLOOKUP(D1377,[2]属性!$A:$F,4,FALSE)</f>
        <v>1</v>
      </c>
      <c r="H1377" s="9" t="str">
        <f>VLOOKUP(A1377,[2]characters!$A:$K,11,FALSE)</f>
        <v>technical</v>
      </c>
      <c r="I1377" s="14" t="str">
        <f>VLOOKUP(H1377,[2]character_type_i18n!$A:$F,3,FALSE)</f>
        <v>テクニカルタイプ</v>
      </c>
      <c r="J1377" s="36">
        <f>VLOOKUP(H1377,[2]character_type_i18n!$A:$F,4,FALSE)</f>
        <v>0.9</v>
      </c>
      <c r="K1377" s="36">
        <f>VLOOKUP(H1377,[2]character_type_i18n!$A:$F,5,FALSE)</f>
        <v>0.9</v>
      </c>
      <c r="L1377" s="36">
        <f>VLOOKUP(H1377,[2]character_type_i18n!$A:$F,6,FALSE)</f>
        <v>1</v>
      </c>
      <c r="M1377" s="9" t="str">
        <f>VLOOKUP(A1377,[2]characters!$A:$M,13,FALSE)</f>
        <v>god</v>
      </c>
      <c r="N1377" s="14" t="str">
        <f>VLOOKUP(M1377,[2]character_tribe_i18n!$A:$F,3,FALSE)</f>
        <v>ゴッド</v>
      </c>
      <c r="O1377" s="24">
        <f>VLOOKUP(M1377,[2]character_tribe_i18n!$A:$F,4,FALSE)</f>
        <v>0.96</v>
      </c>
      <c r="P1377" s="24">
        <f>VLOOKUP(M1377,[2]character_tribe_i18n!$A:$F,5,FALSE)</f>
        <v>1.02</v>
      </c>
      <c r="Q1377" s="24">
        <f>VLOOKUP(M1377,[2]character_tribe_i18n!$A:$F,6,FALSE)</f>
        <v>1</v>
      </c>
      <c r="R1377" s="25" t="s">
        <v>98</v>
      </c>
      <c r="S1377" s="24">
        <f>VLOOKUP($R1377,ラベル別係数!$A$1:$E$7,3,FALSE)</f>
        <v>5</v>
      </c>
      <c r="T1377" s="24">
        <f>VLOOKUP($R1377,ラベル別係数!$A$1:$E$7,4,FALSE)</f>
        <v>1.3</v>
      </c>
      <c r="U1377" s="24">
        <f>VLOOKUP($R1377,ラベル別係数!$A$1:$E$7,5,FALSE)</f>
        <v>0.8</v>
      </c>
      <c r="V1377" s="27">
        <v>3</v>
      </c>
      <c r="W1377" s="28">
        <f>VLOOKUP(V1377,ターン数別攻撃係数!$A$1:$B$1000,2,FALSE)</f>
        <v>1</v>
      </c>
      <c r="X1377" s="9">
        <f>VLOOKUP(C1377,サイズ別係数!A$2:B$9,2,FALSE)</f>
        <v>60</v>
      </c>
      <c r="Y1377" s="26">
        <f>VLOOKUP($X1377,サイズ別係数!$B:$E,2,FALSE)</f>
        <v>1.7</v>
      </c>
      <c r="Z1377" s="26">
        <f>VLOOKUP($X1377,サイズ別係数!$B:$E,3,FALSE)</f>
        <v>1.4</v>
      </c>
      <c r="AA1377" s="26">
        <f>VLOOKUP($X1377,サイズ別係数!$B:$E,4,FALSE)</f>
        <v>1</v>
      </c>
      <c r="AB1377" s="5">
        <v>0</v>
      </c>
      <c r="AC1377" s="34" t="str">
        <f ca="1">VLOOKUP($AB1377,OFFSET([3]enemy_skill_sets!$B$2,0,0,COUNTA([3]enemy_skill_sets!$A:$A),MATCH(AC$1,[3]enemy_skill_sets!$1:$1,0)-MATCH($AB$1,[3]enemy_skill_sets!$1:$1,0)+1),MATCH(AC$1,[3]enemy_skill_sets!$1:$1,0)-MATCH($AB$1,[3]enemy_skill_sets!$1:$1,0)+1,FALSE)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7" s="67">
        <v>1</v>
      </c>
      <c r="AE1377" s="67">
        <v>1</v>
      </c>
      <c r="AF1377" s="37">
        <v>0</v>
      </c>
      <c r="AG1377" s="99">
        <f>ROUND(VLOOKUP(1,enemy_base_stats!$A:$F,2,FALSE) * Y1377* J1377*O1377*E1377*S1377*AD1377*[2]ステータス!$B$2,0)</f>
        <v>3599</v>
      </c>
      <c r="AH1377" s="99">
        <f>ROUND(VLOOKUP(1,enemy_base_stats!$A:$F,3,FALSE) * Z1377*K1377*P1377*F1377*T1377*AE1377 * W1377*[2]ステータス!$C$2,0)</f>
        <v>253</v>
      </c>
      <c r="AI1377" s="99">
        <f>ROUND(VLOOKUP(1,enemy_base_stats!$A:$F,4,FALSE) * AA1377*L1377*Q1377*G1377*U1377*AF1377*[2]ステータス!$D$2,0)</f>
        <v>0</v>
      </c>
      <c r="AJ1377" s="99">
        <f>ROUND(VLOOKUP(100,enemy_base_stats!$A:$F,2,FALSE) * Y1377* J1377*O1377*E1377*S1377*AD1377*[2]ステータス!$B$2,0)</f>
        <v>146102</v>
      </c>
      <c r="AK1377" s="99">
        <f>ROUND(VLOOKUP(100,enemy_base_stats!$A:$F,3,FALSE)* Z1377* K1377*P1377*F1377*T1377*AE1377 * W1377*[2]ステータス!$C$2,0)</f>
        <v>10277</v>
      </c>
      <c r="AL1377" s="99">
        <f>ROUND(VLOOKUP(100,enemy_base_stats!$A:$F,4,FALSE)* AA1377* L1377*Q1377*G1377*U1377*AF1377*[2]ステータス!$D$2,0)</f>
        <v>0</v>
      </c>
      <c r="AM1377" s="97">
        <f>VLOOKUP(M1377,[2]character_tribe_i18n!$A:$I,9,FALSE)</f>
        <v>680</v>
      </c>
      <c r="AN1377" s="36">
        <v>0</v>
      </c>
      <c r="AO1377" s="53">
        <v>0</v>
      </c>
      <c r="AP1377" s="58" t="s">
        <v>72</v>
      </c>
      <c r="AQ1377" s="71">
        <f t="shared" si="83"/>
        <v>1499</v>
      </c>
    </row>
    <row r="1378" spans="1:43" ht="21" customHeight="1" x14ac:dyDescent="0.15">
      <c r="A1378" s="112">
        <v>1500</v>
      </c>
      <c r="B1378" s="6" t="str">
        <f>VLOOKUP(A1378,[2]characters!$A:$C,3,FALSE)</f>
        <v>櫻歌する開華 コノハナサクヤ</v>
      </c>
      <c r="C1378" s="9">
        <f>VLOOKUP(A1378,[2]characters!$A:$I,9,FALSE)</f>
        <v>6</v>
      </c>
      <c r="D1378" s="9" t="str">
        <f>VLOOKUP(A1378,[2]characters!$A:$H,8,FALSE)</f>
        <v>yellow</v>
      </c>
      <c r="E1378" s="24">
        <f>VLOOKUP(D1378,[2]属性!$A:$E,2,FALSE)</f>
        <v>0.98</v>
      </c>
      <c r="F1378" s="24">
        <f>VLOOKUP(D1378,[2]属性!$A:$E,3,FALSE)</f>
        <v>1.01</v>
      </c>
      <c r="G1378" s="24">
        <f>VLOOKUP(D1378,[2]属性!$A:$F,4,FALSE)</f>
        <v>1</v>
      </c>
      <c r="H1378" s="9" t="str">
        <f>VLOOKUP(A1378,[2]characters!$A:$K,11,FALSE)</f>
        <v>technical</v>
      </c>
      <c r="I1378" s="14" t="str">
        <f>VLOOKUP(H1378,[2]character_type_i18n!$A:$F,3,FALSE)</f>
        <v>テクニカルタイプ</v>
      </c>
      <c r="J1378" s="36">
        <f>VLOOKUP(H1378,[2]character_type_i18n!$A:$F,4,FALSE)</f>
        <v>0.9</v>
      </c>
      <c r="K1378" s="36">
        <f>VLOOKUP(H1378,[2]character_type_i18n!$A:$F,5,FALSE)</f>
        <v>0.9</v>
      </c>
      <c r="L1378" s="36">
        <f>VLOOKUP(H1378,[2]character_type_i18n!$A:$F,6,FALSE)</f>
        <v>1</v>
      </c>
      <c r="M1378" s="9" t="str">
        <f>VLOOKUP(A1378,[2]characters!$A:$M,13,FALSE)</f>
        <v>god</v>
      </c>
      <c r="N1378" s="14" t="str">
        <f>VLOOKUP(M1378,[2]character_tribe_i18n!$A:$F,3,FALSE)</f>
        <v>ゴッド</v>
      </c>
      <c r="O1378" s="24">
        <f>VLOOKUP(M1378,[2]character_tribe_i18n!$A:$F,4,FALSE)</f>
        <v>0.96</v>
      </c>
      <c r="P1378" s="24">
        <f>VLOOKUP(M1378,[2]character_tribe_i18n!$A:$F,5,FALSE)</f>
        <v>1.02</v>
      </c>
      <c r="Q1378" s="24">
        <f>VLOOKUP(M1378,[2]character_tribe_i18n!$A:$F,6,FALSE)</f>
        <v>1</v>
      </c>
      <c r="R1378" s="25" t="s">
        <v>98</v>
      </c>
      <c r="S1378" s="24">
        <f>VLOOKUP($R1378,ラベル別係数!$A$1:$E$7,3,FALSE)</f>
        <v>5</v>
      </c>
      <c r="T1378" s="24">
        <f>VLOOKUP($R1378,ラベル別係数!$A$1:$E$7,4,FALSE)</f>
        <v>1.3</v>
      </c>
      <c r="U1378" s="24">
        <f>VLOOKUP($R1378,ラベル別係数!$A$1:$E$7,5,FALSE)</f>
        <v>0.8</v>
      </c>
      <c r="V1378" s="27">
        <v>3</v>
      </c>
      <c r="W1378" s="28">
        <f>VLOOKUP(V1378,ターン数別攻撃係数!$A$1:$B$1000,2,FALSE)</f>
        <v>1</v>
      </c>
      <c r="X1378" s="9">
        <f>VLOOKUP(C1378,サイズ別係数!A$2:B$9,2,FALSE)</f>
        <v>60</v>
      </c>
      <c r="Y1378" s="26">
        <f>VLOOKUP($X1378,サイズ別係数!$B:$E,2,FALSE)</f>
        <v>1.7</v>
      </c>
      <c r="Z1378" s="26">
        <f>VLOOKUP($X1378,サイズ別係数!$B:$E,3,FALSE)</f>
        <v>1.4</v>
      </c>
      <c r="AA1378" s="26">
        <f>VLOOKUP($X1378,サイズ別係数!$B:$E,4,FALSE)</f>
        <v>1</v>
      </c>
      <c r="AB1378" s="5">
        <v>0</v>
      </c>
      <c r="AC1378" s="34" t="str">
        <f ca="1">VLOOKUP($AB1378,OFFSET([3]enemy_skill_sets!$B$2,0,0,COUNTA([3]enemy_skill_sets!$A:$A),MATCH(AC$1,[3]enemy_skill_sets!$1:$1,0)-MATCH($AB$1,[3]enemy_skill_sets!$1:$1,0)+1),MATCH(AC$1,[3]enemy_skill_sets!$1:$1,0)-MATCH($AB$1,[3]enemy_skill_sets!$1:$1,0)+1,FALSE)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8" s="67">
        <v>1</v>
      </c>
      <c r="AE1378" s="67">
        <v>1</v>
      </c>
      <c r="AF1378" s="37">
        <v>0</v>
      </c>
      <c r="AG1378" s="99">
        <f>ROUND(VLOOKUP(1,enemy_base_stats!$A:$F,2,FALSE) * Y1378* J1378*O1378*E1378*S1378*AD1378*[2]ステータス!$B$2,0)</f>
        <v>3599</v>
      </c>
      <c r="AH1378" s="99">
        <f>ROUND(VLOOKUP(1,enemy_base_stats!$A:$F,3,FALSE) * Z1378*K1378*P1378*F1378*T1378*AE1378 * W1378*[2]ステータス!$C$2,0)</f>
        <v>253</v>
      </c>
      <c r="AI1378" s="99">
        <f>ROUND(VLOOKUP(1,enemy_base_stats!$A:$F,4,FALSE) * AA1378*L1378*Q1378*G1378*U1378*AF1378*[2]ステータス!$D$2,0)</f>
        <v>0</v>
      </c>
      <c r="AJ1378" s="99">
        <f>ROUND(VLOOKUP(100,enemy_base_stats!$A:$F,2,FALSE) * Y1378* J1378*O1378*E1378*S1378*AD1378*[2]ステータス!$B$2,0)</f>
        <v>146102</v>
      </c>
      <c r="AK1378" s="99">
        <f>ROUND(VLOOKUP(100,enemy_base_stats!$A:$F,3,FALSE)* Z1378* K1378*P1378*F1378*T1378*AE1378 * W1378*[2]ステータス!$C$2,0)</f>
        <v>10277</v>
      </c>
      <c r="AL1378" s="99">
        <f>ROUND(VLOOKUP(100,enemy_base_stats!$A:$F,4,FALSE)* AA1378* L1378*Q1378*G1378*U1378*AF1378*[2]ステータス!$D$2,0)</f>
        <v>0</v>
      </c>
      <c r="AM1378" s="97">
        <f>VLOOKUP(M1378,[2]character_tribe_i18n!$A:$I,9,FALSE)</f>
        <v>680</v>
      </c>
      <c r="AN1378" s="36">
        <v>0</v>
      </c>
      <c r="AO1378" s="53">
        <v>0</v>
      </c>
      <c r="AP1378" s="58" t="s">
        <v>72</v>
      </c>
      <c r="AQ1378" s="71">
        <f t="shared" si="83"/>
        <v>1500</v>
      </c>
    </row>
    <row r="1379" spans="1:43" ht="21" customHeight="1" x14ac:dyDescent="0.15">
      <c r="A1379" s="112">
        <v>1501</v>
      </c>
      <c r="B1379" s="6" t="str">
        <f>VLOOKUP(A1379,[2]characters!$A:$C,3,FALSE)</f>
        <v>晴舞台の桜舞 ドガ</v>
      </c>
      <c r="C1379" s="9">
        <f>VLOOKUP(A1379,[2]characters!$A:$I,9,FALSE)</f>
        <v>6</v>
      </c>
      <c r="D1379" s="9" t="str">
        <f>VLOOKUP(A1379,[2]characters!$A:$H,8,FALSE)</f>
        <v>blue</v>
      </c>
      <c r="E1379" s="24">
        <f>VLOOKUP(D1379,[2]属性!$A:$E,2,FALSE)</f>
        <v>1</v>
      </c>
      <c r="F1379" s="24">
        <f>VLOOKUP(D1379,[2]属性!$A:$E,3,FALSE)</f>
        <v>0.98</v>
      </c>
      <c r="G1379" s="24">
        <f>VLOOKUP(D1379,[2]属性!$A:$F,4,FALSE)</f>
        <v>1</v>
      </c>
      <c r="H1379" s="9" t="str">
        <f>VLOOKUP(A1379,[2]characters!$A:$K,11,FALSE)</f>
        <v>balance</v>
      </c>
      <c r="I1379" s="14" t="str">
        <f>VLOOKUP(H1379,[2]character_type_i18n!$A:$F,3,FALSE)</f>
        <v>バランスタイプ</v>
      </c>
      <c r="J1379" s="36">
        <f>VLOOKUP(H1379,[2]character_type_i18n!$A:$F,4,FALSE)</f>
        <v>1</v>
      </c>
      <c r="K1379" s="36">
        <f>VLOOKUP(H1379,[2]character_type_i18n!$A:$F,5,FALSE)</f>
        <v>1</v>
      </c>
      <c r="L1379" s="36">
        <f>VLOOKUP(H1379,[2]character_type_i18n!$A:$F,6,FALSE)</f>
        <v>1</v>
      </c>
      <c r="M1379" s="9" t="str">
        <f>VLOOKUP(A1379,[2]characters!$A:$M,13,FALSE)</f>
        <v>animal</v>
      </c>
      <c r="N1379" s="14" t="str">
        <f>VLOOKUP(M1379,[2]character_tribe_i18n!$A:$F,3,FALSE)</f>
        <v>アニマル</v>
      </c>
      <c r="O1379" s="24">
        <f>VLOOKUP(M1379,[2]character_tribe_i18n!$A:$F,4,FALSE)</f>
        <v>1</v>
      </c>
      <c r="P1379" s="24">
        <f>VLOOKUP(M1379,[2]character_tribe_i18n!$A:$F,5,FALSE)</f>
        <v>1.1000000000000001</v>
      </c>
      <c r="Q1379" s="24">
        <f>VLOOKUP(M1379,[2]character_tribe_i18n!$A:$F,6,FALSE)</f>
        <v>1</v>
      </c>
      <c r="R1379" s="25" t="s">
        <v>98</v>
      </c>
      <c r="S1379" s="24">
        <f>VLOOKUP($R1379,ラベル別係数!$A$1:$E$7,3,FALSE)</f>
        <v>5</v>
      </c>
      <c r="T1379" s="24">
        <f>VLOOKUP($R1379,ラベル別係数!$A$1:$E$7,4,FALSE)</f>
        <v>1.3</v>
      </c>
      <c r="U1379" s="24">
        <f>VLOOKUP($R1379,ラベル別係数!$A$1:$E$7,5,FALSE)</f>
        <v>0.8</v>
      </c>
      <c r="V1379" s="27">
        <v>3</v>
      </c>
      <c r="W1379" s="28">
        <f>VLOOKUP(V1379,ターン数別攻撃係数!$A$1:$B$1000,2,FALSE)</f>
        <v>1</v>
      </c>
      <c r="X1379" s="9">
        <f>VLOOKUP(C1379,サイズ別係数!A$2:B$9,2,FALSE)</f>
        <v>60</v>
      </c>
      <c r="Y1379" s="26">
        <f>VLOOKUP($X1379,サイズ別係数!$B:$E,2,FALSE)</f>
        <v>1.7</v>
      </c>
      <c r="Z1379" s="26">
        <f>VLOOKUP($X1379,サイズ別係数!$B:$E,3,FALSE)</f>
        <v>1.4</v>
      </c>
      <c r="AA1379" s="26">
        <f>VLOOKUP($X1379,サイズ別係数!$B:$E,4,FALSE)</f>
        <v>1</v>
      </c>
      <c r="AB1379" s="5">
        <v>0</v>
      </c>
      <c r="AC1379" s="34" t="str">
        <f ca="1">VLOOKUP($AB1379,OFFSET([3]enemy_skill_sets!$B$2,0,0,COUNTA([3]enemy_skill_sets!$A:$A),MATCH(AC$1,[3]enemy_skill_sets!$1:$1,0)-MATCH($AB$1,[3]enemy_skill_sets!$1:$1,0)+1),MATCH(AC$1,[3]enemy_skill_sets!$1:$1,0)-MATCH($AB$1,[3]enemy_skill_sets!$1:$1,0)+1,FALSE)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79" s="67">
        <v>1</v>
      </c>
      <c r="AE1379" s="67">
        <v>1</v>
      </c>
      <c r="AF1379" s="37">
        <v>0</v>
      </c>
      <c r="AG1379" s="99">
        <f>ROUND(VLOOKUP(1,enemy_base_stats!$A:$F,2,FALSE) * Y1379* J1379*O1379*E1379*S1379*AD1379*[2]ステータス!$B$2,0)</f>
        <v>4250</v>
      </c>
      <c r="AH1379" s="99">
        <f>ROUND(VLOOKUP(1,enemy_base_stats!$A:$F,3,FALSE) * Z1379*K1379*P1379*F1379*T1379*AE1379 * W1379*[2]ステータス!$C$2,0)</f>
        <v>294</v>
      </c>
      <c r="AI1379" s="99">
        <f>ROUND(VLOOKUP(1,enemy_base_stats!$A:$F,4,FALSE) * AA1379*L1379*Q1379*G1379*U1379*AF1379*[2]ステータス!$D$2,0)</f>
        <v>0</v>
      </c>
      <c r="AJ1379" s="99">
        <f>ROUND(VLOOKUP(100,enemy_base_stats!$A:$F,2,FALSE) * Y1379* J1379*O1379*E1379*S1379*AD1379*[2]ステータス!$B$2,0)</f>
        <v>172550</v>
      </c>
      <c r="AK1379" s="99">
        <f>ROUND(VLOOKUP(100,enemy_base_stats!$A:$F,3,FALSE)* Z1379* K1379*P1379*F1379*T1379*AE1379 * W1379*[2]ステータス!$C$2,0)</f>
        <v>11948</v>
      </c>
      <c r="AL1379" s="99">
        <f>ROUND(VLOOKUP(100,enemy_base_stats!$A:$F,4,FALSE)* AA1379* L1379*Q1379*G1379*U1379*AF1379*[2]ステータス!$D$2,0)</f>
        <v>0</v>
      </c>
      <c r="AM1379" s="97">
        <f>VLOOKUP(M1379,[2]character_tribe_i18n!$A:$I,9,FALSE)</f>
        <v>480</v>
      </c>
      <c r="AN1379" s="36">
        <v>0</v>
      </c>
      <c r="AO1379" s="53">
        <v>0</v>
      </c>
      <c r="AP1379" s="58" t="s">
        <v>72</v>
      </c>
      <c r="AQ1379" s="71">
        <f t="shared" si="83"/>
        <v>1501</v>
      </c>
    </row>
    <row r="1380" spans="1:43" ht="21" customHeight="1" x14ac:dyDescent="0.15">
      <c r="A1380" s="112">
        <v>1502</v>
      </c>
      <c r="B1380" s="6" t="str">
        <f>VLOOKUP(A1380,[2]characters!$A:$C,3,FALSE)</f>
        <v>打咲かす桜花灯 トリスタン</v>
      </c>
      <c r="C1380" s="9">
        <f>VLOOKUP(A1380,[2]characters!$A:$I,9,FALSE)</f>
        <v>5</v>
      </c>
      <c r="D1380" s="9" t="str">
        <f>VLOOKUP(A1380,[2]characters!$A:$H,8,FALSE)</f>
        <v>red</v>
      </c>
      <c r="E1380" s="24">
        <f>VLOOKUP(D1380,[2]属性!$A:$E,2,FALSE)</f>
        <v>1</v>
      </c>
      <c r="F1380" s="24">
        <f>VLOOKUP(D1380,[2]属性!$A:$E,3,FALSE)</f>
        <v>1.02</v>
      </c>
      <c r="G1380" s="24">
        <f>VLOOKUP(D1380,[2]属性!$A:$F,4,FALSE)</f>
        <v>1</v>
      </c>
      <c r="H1380" s="9" t="str">
        <f>VLOOKUP(A1380,[2]characters!$A:$K,11,FALSE)</f>
        <v>attack</v>
      </c>
      <c r="I1380" s="14" t="str">
        <f>VLOOKUP(H1380,[2]character_type_i18n!$A:$F,3,FALSE)</f>
        <v>攻撃タイプ</v>
      </c>
      <c r="J1380" s="36">
        <f>VLOOKUP(H1380,[2]character_type_i18n!$A:$F,4,FALSE)</f>
        <v>1</v>
      </c>
      <c r="K1380" s="36">
        <f>VLOOKUP(H1380,[2]character_type_i18n!$A:$F,5,FALSE)</f>
        <v>1.33</v>
      </c>
      <c r="L1380" s="36">
        <f>VLOOKUP(H1380,[2]character_type_i18n!$A:$F,6,FALSE)</f>
        <v>1</v>
      </c>
      <c r="M1380" s="9" t="str">
        <f>VLOOKUP(A1380,[2]characters!$A:$M,13,FALSE)</f>
        <v>human</v>
      </c>
      <c r="N1380" s="14" t="str">
        <f>VLOOKUP(M1380,[2]character_tribe_i18n!$A:$F,3,FALSE)</f>
        <v>ヒューマン</v>
      </c>
      <c r="O1380" s="24">
        <f>VLOOKUP(M1380,[2]character_tribe_i18n!$A:$F,4,FALSE)</f>
        <v>0.94</v>
      </c>
      <c r="P1380" s="24">
        <f>VLOOKUP(M1380,[2]character_tribe_i18n!$A:$F,5,FALSE)</f>
        <v>0.99</v>
      </c>
      <c r="Q1380" s="24">
        <f>VLOOKUP(M1380,[2]character_tribe_i18n!$A:$F,6,FALSE)</f>
        <v>1</v>
      </c>
      <c r="R1380" s="25" t="s">
        <v>98</v>
      </c>
      <c r="S1380" s="24">
        <f>VLOOKUP($R1380,ラベル別係数!$A$1:$E$7,3,FALSE)</f>
        <v>5</v>
      </c>
      <c r="T1380" s="24">
        <f>VLOOKUP($R1380,ラベル別係数!$A$1:$E$7,4,FALSE)</f>
        <v>1.3</v>
      </c>
      <c r="U1380" s="24">
        <f>VLOOKUP($R1380,ラベル別係数!$A$1:$E$7,5,FALSE)</f>
        <v>0.8</v>
      </c>
      <c r="V1380" s="27">
        <v>3</v>
      </c>
      <c r="W1380" s="28">
        <f>VLOOKUP(V1380,ターン数別攻撃係数!$A$1:$B$1000,2,FALSE)</f>
        <v>1</v>
      </c>
      <c r="X1380" s="9">
        <f>VLOOKUP(C1380,サイズ別係数!A$2:B$9,2,FALSE)</f>
        <v>60</v>
      </c>
      <c r="Y1380" s="26">
        <f>VLOOKUP($X1380,サイズ別係数!$B:$E,2,FALSE)</f>
        <v>1.7</v>
      </c>
      <c r="Z1380" s="26">
        <f>VLOOKUP($X1380,サイズ別係数!$B:$E,3,FALSE)</f>
        <v>1.4</v>
      </c>
      <c r="AA1380" s="26">
        <f>VLOOKUP($X1380,サイズ別係数!$B:$E,4,FALSE)</f>
        <v>1</v>
      </c>
      <c r="AB1380" s="5">
        <v>0</v>
      </c>
      <c r="AC1380" s="34" t="str">
        <f ca="1">VLOOKUP($AB1380,OFFSET([3]enemy_skill_sets!$B$2,0,0,COUNTA([3]enemy_skill_sets!$A:$A),MATCH(AC$1,[3]enemy_skill_sets!$1:$1,0)-MATCH($AB$1,[3]enemy_skill_sets!$1:$1,0)+1),MATCH(AC$1,[3]enemy_skill_sets!$1:$1,0)-MATCH($AB$1,[3]enemy_skill_sets!$1:$1,0)+1,FALSE)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0" s="67">
        <v>1</v>
      </c>
      <c r="AE1380" s="67">
        <v>1</v>
      </c>
      <c r="AF1380" s="37">
        <v>0</v>
      </c>
      <c r="AG1380" s="99">
        <f>ROUND(VLOOKUP(1,enemy_base_stats!$A:$F,2,FALSE) * Y1380* J1380*O1380*E1380*S1380*AD1380*[2]ステータス!$B$2,0)</f>
        <v>3995</v>
      </c>
      <c r="AH1380" s="99">
        <f>ROUND(VLOOKUP(1,enemy_base_stats!$A:$F,3,FALSE) * Z1380*K1380*P1380*F1380*T1380*AE1380 * W1380*[2]ステータス!$C$2,0)</f>
        <v>367</v>
      </c>
      <c r="AI1380" s="99">
        <f>ROUND(VLOOKUP(1,enemy_base_stats!$A:$F,4,FALSE) * AA1380*L1380*Q1380*G1380*U1380*AF1380*[2]ステータス!$D$2,0)</f>
        <v>0</v>
      </c>
      <c r="AJ1380" s="99">
        <f>ROUND(VLOOKUP(100,enemy_base_stats!$A:$F,2,FALSE) * Y1380* J1380*O1380*E1380*S1380*AD1380*[2]ステータス!$B$2,0)</f>
        <v>162197</v>
      </c>
      <c r="AK1380" s="99">
        <f>ROUND(VLOOKUP(100,enemy_base_stats!$A:$F,3,FALSE)* Z1380* K1380*P1380*F1380*T1380*AE1380 * W1380*[2]ステータス!$C$2,0)</f>
        <v>14886</v>
      </c>
      <c r="AL1380" s="99">
        <f>ROUND(VLOOKUP(100,enemy_base_stats!$A:$F,4,FALSE)* AA1380* L1380*Q1380*G1380*U1380*AF1380*[2]ステータス!$D$2,0)</f>
        <v>0</v>
      </c>
      <c r="AM1380" s="97">
        <f>VLOOKUP(M1380,[2]character_tribe_i18n!$A:$I,9,FALSE)</f>
        <v>400</v>
      </c>
      <c r="AN1380" s="36">
        <v>0</v>
      </c>
      <c r="AO1380" s="53">
        <v>0</v>
      </c>
      <c r="AP1380" s="58" t="s">
        <v>72</v>
      </c>
      <c r="AQ1380" s="71">
        <f t="shared" si="83"/>
        <v>1502</v>
      </c>
    </row>
    <row r="1381" spans="1:43" ht="21" customHeight="1" x14ac:dyDescent="0.15">
      <c r="A1381" s="112">
        <v>1503</v>
      </c>
      <c r="B1381" s="6" t="str">
        <f>VLOOKUP(A1381,[2]characters!$A:$C,3,FALSE)</f>
        <v>春纏う蛇撫子 ヨルムンガンド</v>
      </c>
      <c r="C1381" s="9">
        <f>VLOOKUP(A1381,[2]characters!$A:$I,9,FALSE)</f>
        <v>5</v>
      </c>
      <c r="D1381" s="9" t="str">
        <f>VLOOKUP(A1381,[2]characters!$A:$H,8,FALSE)</f>
        <v>yellow</v>
      </c>
      <c r="E1381" s="24">
        <f>VLOOKUP(D1381,[2]属性!$A:$E,2,FALSE)</f>
        <v>0.98</v>
      </c>
      <c r="F1381" s="24">
        <f>VLOOKUP(D1381,[2]属性!$A:$E,3,FALSE)</f>
        <v>1.01</v>
      </c>
      <c r="G1381" s="24">
        <f>VLOOKUP(D1381,[2]属性!$A:$F,4,FALSE)</f>
        <v>1</v>
      </c>
      <c r="H1381" s="9" t="str">
        <f>VLOOKUP(A1381,[2]characters!$A:$K,11,FALSE)</f>
        <v>technical</v>
      </c>
      <c r="I1381" s="14" t="str">
        <f>VLOOKUP(H1381,[2]character_type_i18n!$A:$F,3,FALSE)</f>
        <v>テクニカルタイプ</v>
      </c>
      <c r="J1381" s="36">
        <f>VLOOKUP(H1381,[2]character_type_i18n!$A:$F,4,FALSE)</f>
        <v>0.9</v>
      </c>
      <c r="K1381" s="36">
        <f>VLOOKUP(H1381,[2]character_type_i18n!$A:$F,5,FALSE)</f>
        <v>0.9</v>
      </c>
      <c r="L1381" s="36">
        <f>VLOOKUP(H1381,[2]character_type_i18n!$A:$F,6,FALSE)</f>
        <v>1</v>
      </c>
      <c r="M1381" s="9" t="str">
        <f>VLOOKUP(A1381,[2]characters!$A:$M,13,FALSE)</f>
        <v>dragon</v>
      </c>
      <c r="N1381" s="14" t="str">
        <f>VLOOKUP(M1381,[2]character_tribe_i18n!$A:$F,3,FALSE)</f>
        <v>ドラゴン</v>
      </c>
      <c r="O1381" s="24">
        <f>VLOOKUP(M1381,[2]character_tribe_i18n!$A:$F,4,FALSE)</f>
        <v>1.1499999999999999</v>
      </c>
      <c r="P1381" s="24">
        <f>VLOOKUP(M1381,[2]character_tribe_i18n!$A:$F,5,FALSE)</f>
        <v>1.1000000000000001</v>
      </c>
      <c r="Q1381" s="24">
        <f>VLOOKUP(M1381,[2]character_tribe_i18n!$A:$F,6,FALSE)</f>
        <v>1</v>
      </c>
      <c r="R1381" s="25" t="s">
        <v>98</v>
      </c>
      <c r="S1381" s="24">
        <f>VLOOKUP($R1381,ラベル別係数!$A$1:$E$7,3,FALSE)</f>
        <v>5</v>
      </c>
      <c r="T1381" s="24">
        <f>VLOOKUP($R1381,ラベル別係数!$A$1:$E$7,4,FALSE)</f>
        <v>1.3</v>
      </c>
      <c r="U1381" s="24">
        <f>VLOOKUP($R1381,ラベル別係数!$A$1:$E$7,5,FALSE)</f>
        <v>0.8</v>
      </c>
      <c r="V1381" s="27">
        <v>3</v>
      </c>
      <c r="W1381" s="28">
        <f>VLOOKUP(V1381,ターン数別攻撃係数!$A$1:$B$1000,2,FALSE)</f>
        <v>1</v>
      </c>
      <c r="X1381" s="9">
        <f>VLOOKUP(C1381,サイズ別係数!A$2:B$9,2,FALSE)</f>
        <v>60</v>
      </c>
      <c r="Y1381" s="26">
        <f>VLOOKUP($X1381,サイズ別係数!$B:$E,2,FALSE)</f>
        <v>1.7</v>
      </c>
      <c r="Z1381" s="26">
        <f>VLOOKUP($X1381,サイズ別係数!$B:$E,3,FALSE)</f>
        <v>1.4</v>
      </c>
      <c r="AA1381" s="26">
        <f>VLOOKUP($X1381,サイズ別係数!$B:$E,4,FALSE)</f>
        <v>1</v>
      </c>
      <c r="AB1381" s="5">
        <v>0</v>
      </c>
      <c r="AC1381" s="34" t="str">
        <f ca="1">VLOOKUP($AB1381,OFFSET([3]enemy_skill_sets!$B$2,0,0,COUNTA([3]enemy_skill_sets!$A:$A),MATCH(AC$1,[3]enemy_skill_sets!$1:$1,0)-MATCH($AB$1,[3]enemy_skill_sets!$1:$1,0)+1),MATCH(AC$1,[3]enemy_skill_sets!$1:$1,0)-MATCH($AB$1,[3]enemy_skill_sets!$1:$1,0)+1,FALSE)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1" s="67">
        <v>1</v>
      </c>
      <c r="AE1381" s="67">
        <v>1</v>
      </c>
      <c r="AF1381" s="37">
        <v>0</v>
      </c>
      <c r="AG1381" s="99">
        <f>ROUND(VLOOKUP(1,enemy_base_stats!$A:$F,2,FALSE) * Y1381* J1381*O1381*E1381*S1381*AD1381*[2]ステータス!$B$2,0)</f>
        <v>4311</v>
      </c>
      <c r="AH1381" s="99">
        <f>ROUND(VLOOKUP(1,enemy_base_stats!$A:$F,3,FALSE) * Z1381*K1381*P1381*F1381*T1381*AE1381 * W1381*[2]ステータス!$C$2,0)</f>
        <v>273</v>
      </c>
      <c r="AI1381" s="99">
        <f>ROUND(VLOOKUP(1,enemy_base_stats!$A:$F,4,FALSE) * AA1381*L1381*Q1381*G1381*U1381*AF1381*[2]ステータス!$D$2,0)</f>
        <v>0</v>
      </c>
      <c r="AJ1381" s="99">
        <f>ROUND(VLOOKUP(100,enemy_base_stats!$A:$F,2,FALSE) * Y1381* J1381*O1381*E1381*S1381*AD1381*[2]ステータス!$B$2,0)</f>
        <v>175017</v>
      </c>
      <c r="AK1381" s="99">
        <f>ROUND(VLOOKUP(100,enemy_base_stats!$A:$F,3,FALSE)* Z1381* K1381*P1381*F1381*T1381*AE1381 * W1381*[2]ステータス!$C$2,0)</f>
        <v>11083</v>
      </c>
      <c r="AL1381" s="99">
        <f>ROUND(VLOOKUP(100,enemy_base_stats!$A:$F,4,FALSE)* AA1381* L1381*Q1381*G1381*U1381*AF1381*[2]ステータス!$D$2,0)</f>
        <v>0</v>
      </c>
      <c r="AM1381" s="97">
        <f>VLOOKUP(M1381,[2]character_tribe_i18n!$A:$I,9,FALSE)</f>
        <v>540</v>
      </c>
      <c r="AN1381" s="36">
        <v>0</v>
      </c>
      <c r="AO1381" s="53">
        <v>0</v>
      </c>
      <c r="AP1381" s="58" t="s">
        <v>72</v>
      </c>
      <c r="AQ1381" s="71">
        <f t="shared" si="83"/>
        <v>1503</v>
      </c>
    </row>
    <row r="1382" spans="1:43" ht="21" customHeight="1" x14ac:dyDescent="0.15">
      <c r="A1382" s="7">
        <v>1504</v>
      </c>
      <c r="B1382" s="6" t="str">
        <f>VLOOKUP(A1382,[2]characters!$A:$C,3,FALSE)</f>
        <v>ネコ</v>
      </c>
      <c r="C1382" s="9">
        <f>VLOOKUP(A1382,[2]characters!$A:$I,9,FALSE)</f>
        <v>1</v>
      </c>
      <c r="D1382" s="9" t="str">
        <f>VLOOKUP(A1382,[2]characters!$A:$H,8,FALSE)</f>
        <v>red</v>
      </c>
      <c r="E1382" s="24">
        <f>VLOOKUP(D1382,[2]属性!$A:$E,2,FALSE)</f>
        <v>1</v>
      </c>
      <c r="F1382" s="24">
        <f>VLOOKUP(D1382,[2]属性!$A:$E,3,FALSE)</f>
        <v>1.02</v>
      </c>
      <c r="G1382" s="24">
        <f>VLOOKUP(D1382,[2]属性!$A:$F,4,FALSE)</f>
        <v>1</v>
      </c>
      <c r="H1382" s="9" t="str">
        <f>VLOOKUP(A1382,[2]characters!$A:$K,11,FALSE)</f>
        <v>balance</v>
      </c>
      <c r="I1382" s="14" t="str">
        <f>VLOOKUP(H1382,[2]character_type_i18n!$A:$F,3,FALSE)</f>
        <v>バランスタイプ</v>
      </c>
      <c r="J1382" s="36">
        <f>VLOOKUP(H1382,[2]character_type_i18n!$A:$F,4,FALSE)</f>
        <v>1</v>
      </c>
      <c r="K1382" s="36">
        <f>VLOOKUP(H1382,[2]character_type_i18n!$A:$F,5,FALSE)</f>
        <v>1</v>
      </c>
      <c r="L1382" s="36">
        <f>VLOOKUP(H1382,[2]character_type_i18n!$A:$F,6,FALSE)</f>
        <v>1</v>
      </c>
      <c r="M1382" s="9" t="str">
        <f>VLOOKUP(A1382,[2]characters!$A:$M,13,FALSE)</f>
        <v>unknown</v>
      </c>
      <c r="N1382" s="14" t="str">
        <f>VLOOKUP(M1382,[2]character_tribe_i18n!$A:$F,3,FALSE)</f>
        <v>Unknown</v>
      </c>
      <c r="O1382" s="24">
        <f>VLOOKUP(M1382,[2]character_tribe_i18n!$A:$F,4,FALSE)</f>
        <v>1</v>
      </c>
      <c r="P1382" s="24">
        <f>VLOOKUP(M1382,[2]character_tribe_i18n!$A:$F,5,FALSE)</f>
        <v>1</v>
      </c>
      <c r="Q1382" s="24">
        <f>VLOOKUP(M1382,[2]character_tribe_i18n!$A:$F,6,FALSE)</f>
        <v>1</v>
      </c>
      <c r="R1382" s="25" t="s">
        <v>98</v>
      </c>
      <c r="S1382" s="24">
        <f>VLOOKUP($R1382,ラベル別係数!$A$1:$E$7,3,FALSE)</f>
        <v>5</v>
      </c>
      <c r="T1382" s="24">
        <f>VLOOKUP($R1382,ラベル別係数!$A$1:$E$7,4,FALSE)</f>
        <v>1.3</v>
      </c>
      <c r="U1382" s="24">
        <f>VLOOKUP($R1382,ラベル別係数!$A$1:$E$7,5,FALSE)</f>
        <v>0.8</v>
      </c>
      <c r="V1382" s="27">
        <v>3</v>
      </c>
      <c r="W1382" s="28">
        <f>VLOOKUP(V1382,ターン数別攻撃係数!$A$1:$B$1000,2,FALSE)</f>
        <v>1</v>
      </c>
      <c r="X1382" s="9">
        <f>VLOOKUP(C1382,サイズ別係数!A$2:B$9,2,FALSE)</f>
        <v>15</v>
      </c>
      <c r="Y1382" s="26">
        <f>VLOOKUP($X1382,サイズ別係数!$B:$E,2,FALSE)</f>
        <v>1</v>
      </c>
      <c r="Z1382" s="26">
        <f>VLOOKUP($X1382,サイズ別係数!$B:$E,3,FALSE)</f>
        <v>1</v>
      </c>
      <c r="AA1382" s="26">
        <f>VLOOKUP($X1382,サイズ別係数!$B:$E,4,FALSE)</f>
        <v>1</v>
      </c>
      <c r="AB1382" s="5">
        <v>0</v>
      </c>
      <c r="AC1382" s="34" t="str">
        <f ca="1">VLOOKUP($AB1382,OFFSET([3]enemy_skill_sets!$B$2,0,0,COUNTA([3]enemy_skill_sets!$A:$A),MATCH(AC$1,[3]enemy_skill_sets!$1:$1,0)-MATCH($AB$1,[3]enemy_skill_sets!$1:$1,0)+1),MATCH(AC$1,[3]enemy_skill_sets!$1:$1,0)-MATCH($AB$1,[3]enemy_skill_sets!$1:$1,0)+1,FALSE)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2" s="67">
        <v>1</v>
      </c>
      <c r="AE1382" s="67">
        <v>1</v>
      </c>
      <c r="AF1382" s="37">
        <v>0</v>
      </c>
      <c r="AG1382" s="99">
        <f>ROUND(VLOOKUP(1,enemy_base_stats!$A:$F,2,FALSE) * Y1382* J1382*O1382*E1382*S1382*AD1382*[2]ステータス!$B$2,0)</f>
        <v>2500</v>
      </c>
      <c r="AH1382" s="99">
        <f>ROUND(VLOOKUP(1,enemy_base_stats!$A:$F,3,FALSE) * Z1382*K1382*P1382*F1382*T1382*AE1382 * W1382*[2]ステータス!$C$2,0)</f>
        <v>199</v>
      </c>
      <c r="AI1382" s="99">
        <f>ROUND(VLOOKUP(1,enemy_base_stats!$A:$F,4,FALSE) * AA1382*L1382*Q1382*G1382*U1382*AF1382*[2]ステータス!$D$2,0)</f>
        <v>0</v>
      </c>
      <c r="AJ1382" s="99">
        <f>ROUND(VLOOKUP(100,enemy_base_stats!$A:$F,2,FALSE) * Y1382* J1382*O1382*E1382*S1382*AD1382*[2]ステータス!$B$2,0)</f>
        <v>101500</v>
      </c>
      <c r="AK1382" s="99">
        <f>ROUND(VLOOKUP(100,enemy_base_stats!$A:$F,3,FALSE)* Z1382* K1382*P1382*F1382*T1382*AE1382 * W1382*[2]ステータス!$C$2,0)</f>
        <v>8075</v>
      </c>
      <c r="AL1382" s="99">
        <f>ROUND(VLOOKUP(100,enemy_base_stats!$A:$F,4,FALSE)* AA1382* L1382*Q1382*G1382*U1382*AF1382*[2]ステータス!$D$2,0)</f>
        <v>0</v>
      </c>
      <c r="AM1382" s="97">
        <f>VLOOKUP(M1382,[2]character_tribe_i18n!$A:$I,9,FALSE)</f>
        <v>340</v>
      </c>
      <c r="AN1382" s="36">
        <v>0</v>
      </c>
      <c r="AO1382" s="53">
        <v>0</v>
      </c>
      <c r="AP1382" s="58" t="s">
        <v>72</v>
      </c>
      <c r="AQ1382" s="71">
        <f t="shared" ref="AQ1382:AQ1424" si="84">A1382</f>
        <v>1504</v>
      </c>
    </row>
    <row r="1383" spans="1:43" ht="21" customHeight="1" x14ac:dyDescent="0.15">
      <c r="A1383" s="7">
        <v>1505</v>
      </c>
      <c r="B1383" s="6" t="str">
        <f>VLOOKUP(A1383,[2]characters!$A:$C,3,FALSE)</f>
        <v>タンクネコ</v>
      </c>
      <c r="C1383" s="9">
        <f>VLOOKUP(A1383,[2]characters!$A:$I,9,FALSE)</f>
        <v>1</v>
      </c>
      <c r="D1383" s="9" t="str">
        <f>VLOOKUP(A1383,[2]characters!$A:$H,8,FALSE)</f>
        <v>green</v>
      </c>
      <c r="E1383" s="24">
        <f>VLOOKUP(D1383,[2]属性!$A:$E,2,FALSE)</f>
        <v>1.02</v>
      </c>
      <c r="F1383" s="24">
        <f>VLOOKUP(D1383,[2]属性!$A:$E,3,FALSE)</f>
        <v>0.98</v>
      </c>
      <c r="G1383" s="24">
        <f>VLOOKUP(D1383,[2]属性!$A:$F,4,FALSE)</f>
        <v>1</v>
      </c>
      <c r="H1383" s="9" t="str">
        <f>VLOOKUP(A1383,[2]characters!$A:$K,11,FALSE)</f>
        <v>hp</v>
      </c>
      <c r="I1383" s="14" t="str">
        <f>VLOOKUP(H1383,[2]character_type_i18n!$A:$F,3,FALSE)</f>
        <v>体力タイプ</v>
      </c>
      <c r="J1383" s="36">
        <f>VLOOKUP(H1383,[2]character_type_i18n!$A:$F,4,FALSE)</f>
        <v>1.45</v>
      </c>
      <c r="K1383" s="36">
        <f>VLOOKUP(H1383,[2]character_type_i18n!$A:$F,5,FALSE)</f>
        <v>0.85</v>
      </c>
      <c r="L1383" s="36">
        <f>VLOOKUP(H1383,[2]character_type_i18n!$A:$F,6,FALSE)</f>
        <v>1</v>
      </c>
      <c r="M1383" s="9" t="str">
        <f>VLOOKUP(A1383,[2]characters!$A:$M,13,FALSE)</f>
        <v>unknown</v>
      </c>
      <c r="N1383" s="14" t="str">
        <f>VLOOKUP(M1383,[2]character_tribe_i18n!$A:$F,3,FALSE)</f>
        <v>Unknown</v>
      </c>
      <c r="O1383" s="24">
        <f>VLOOKUP(M1383,[2]character_tribe_i18n!$A:$F,4,FALSE)</f>
        <v>1</v>
      </c>
      <c r="P1383" s="24">
        <f>VLOOKUP(M1383,[2]character_tribe_i18n!$A:$F,5,FALSE)</f>
        <v>1</v>
      </c>
      <c r="Q1383" s="24">
        <f>VLOOKUP(M1383,[2]character_tribe_i18n!$A:$F,6,FALSE)</f>
        <v>1</v>
      </c>
      <c r="R1383" s="25" t="s">
        <v>98</v>
      </c>
      <c r="S1383" s="24">
        <f>VLOOKUP($R1383,ラベル別係数!$A$1:$E$7,3,FALSE)</f>
        <v>5</v>
      </c>
      <c r="T1383" s="24">
        <f>VLOOKUP($R1383,ラベル別係数!$A$1:$E$7,4,FALSE)</f>
        <v>1.3</v>
      </c>
      <c r="U1383" s="24">
        <f>VLOOKUP($R1383,ラベル別係数!$A$1:$E$7,5,FALSE)</f>
        <v>0.8</v>
      </c>
      <c r="V1383" s="27">
        <v>3</v>
      </c>
      <c r="W1383" s="28">
        <f>VLOOKUP(V1383,ターン数別攻撃係数!$A$1:$B$1000,2,FALSE)</f>
        <v>1</v>
      </c>
      <c r="X1383" s="9">
        <f>VLOOKUP(C1383,サイズ別係数!A$2:B$9,2,FALSE)</f>
        <v>15</v>
      </c>
      <c r="Y1383" s="26">
        <f>VLOOKUP($X1383,サイズ別係数!$B:$E,2,FALSE)</f>
        <v>1</v>
      </c>
      <c r="Z1383" s="26">
        <f>VLOOKUP($X1383,サイズ別係数!$B:$E,3,FALSE)</f>
        <v>1</v>
      </c>
      <c r="AA1383" s="26">
        <f>VLOOKUP($X1383,サイズ別係数!$B:$E,4,FALSE)</f>
        <v>1</v>
      </c>
      <c r="AB1383" s="5">
        <v>0</v>
      </c>
      <c r="AC1383" s="34" t="str">
        <f ca="1">VLOOKUP($AB1383,OFFSET([3]enemy_skill_sets!$B$2,0,0,COUNTA([3]enemy_skill_sets!$A:$A),MATCH(AC$1,[3]enemy_skill_sets!$1:$1,0)-MATCH($AB$1,[3]enemy_skill_sets!$1:$1,0)+1),MATCH(AC$1,[3]enemy_skill_sets!$1:$1,0)-MATCH($AB$1,[3]enemy_skill_sets!$1:$1,0)+1,FALSE)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3" s="67">
        <v>1</v>
      </c>
      <c r="AE1383" s="67">
        <v>1</v>
      </c>
      <c r="AF1383" s="37">
        <v>0</v>
      </c>
      <c r="AG1383" s="99">
        <f>ROUND(VLOOKUP(1,enemy_base_stats!$A:$F,2,FALSE) * Y1383* J1383*O1383*E1383*S1383*AD1383*[2]ステータス!$B$2,0)</f>
        <v>3698</v>
      </c>
      <c r="AH1383" s="99">
        <f>ROUND(VLOOKUP(1,enemy_base_stats!$A:$F,3,FALSE) * Z1383*K1383*P1383*F1383*T1383*AE1383 * W1383*[2]ステータス!$C$2,0)</f>
        <v>162</v>
      </c>
      <c r="AI1383" s="99">
        <f>ROUND(VLOOKUP(1,enemy_base_stats!$A:$F,4,FALSE) * AA1383*L1383*Q1383*G1383*U1383*AF1383*[2]ステータス!$D$2,0)</f>
        <v>0</v>
      </c>
      <c r="AJ1383" s="99">
        <f>ROUND(VLOOKUP(100,enemy_base_stats!$A:$F,2,FALSE) * Y1383* J1383*O1383*E1383*S1383*AD1383*[2]ステータス!$B$2,0)</f>
        <v>150119</v>
      </c>
      <c r="AK1383" s="99">
        <f>ROUND(VLOOKUP(100,enemy_base_stats!$A:$F,3,FALSE)* Z1383* K1383*P1383*F1383*T1383*AE1383 * W1383*[2]ステータス!$C$2,0)</f>
        <v>6595</v>
      </c>
      <c r="AL1383" s="99">
        <f>ROUND(VLOOKUP(100,enemy_base_stats!$A:$F,4,FALSE)* AA1383* L1383*Q1383*G1383*U1383*AF1383*[2]ステータス!$D$2,0)</f>
        <v>0</v>
      </c>
      <c r="AM1383" s="97">
        <f>VLOOKUP(M1383,[2]character_tribe_i18n!$A:$I,9,FALSE)</f>
        <v>340</v>
      </c>
      <c r="AN1383" s="36">
        <v>0</v>
      </c>
      <c r="AO1383" s="53">
        <v>0</v>
      </c>
      <c r="AP1383" s="58" t="s">
        <v>72</v>
      </c>
      <c r="AQ1383" s="71">
        <f t="shared" si="84"/>
        <v>1505</v>
      </c>
    </row>
    <row r="1384" spans="1:43" ht="21" customHeight="1" x14ac:dyDescent="0.15">
      <c r="A1384" s="7">
        <v>1506</v>
      </c>
      <c r="B1384" s="6" t="str">
        <f>VLOOKUP(A1384,[2]characters!$A:$C,3,FALSE)</f>
        <v>バトルネコ</v>
      </c>
      <c r="C1384" s="9">
        <f>VLOOKUP(A1384,[2]characters!$A:$I,9,FALSE)</f>
        <v>2</v>
      </c>
      <c r="D1384" s="9" t="str">
        <f>VLOOKUP(A1384,[2]characters!$A:$H,8,FALSE)</f>
        <v>yellow</v>
      </c>
      <c r="E1384" s="24">
        <f>VLOOKUP(D1384,[2]属性!$A:$E,2,FALSE)</f>
        <v>0.98</v>
      </c>
      <c r="F1384" s="24">
        <f>VLOOKUP(D1384,[2]属性!$A:$E,3,FALSE)</f>
        <v>1.01</v>
      </c>
      <c r="G1384" s="24">
        <f>VLOOKUP(D1384,[2]属性!$A:$F,4,FALSE)</f>
        <v>1</v>
      </c>
      <c r="H1384" s="9" t="str">
        <f>VLOOKUP(A1384,[2]characters!$A:$K,11,FALSE)</f>
        <v>attack</v>
      </c>
      <c r="I1384" s="14" t="str">
        <f>VLOOKUP(H1384,[2]character_type_i18n!$A:$F,3,FALSE)</f>
        <v>攻撃タイプ</v>
      </c>
      <c r="J1384" s="36">
        <f>VLOOKUP(H1384,[2]character_type_i18n!$A:$F,4,FALSE)</f>
        <v>1</v>
      </c>
      <c r="K1384" s="36">
        <f>VLOOKUP(H1384,[2]character_type_i18n!$A:$F,5,FALSE)</f>
        <v>1.33</v>
      </c>
      <c r="L1384" s="36">
        <f>VLOOKUP(H1384,[2]character_type_i18n!$A:$F,6,FALSE)</f>
        <v>1</v>
      </c>
      <c r="M1384" s="9" t="str">
        <f>VLOOKUP(A1384,[2]characters!$A:$M,13,FALSE)</f>
        <v>unknown</v>
      </c>
      <c r="N1384" s="14" t="str">
        <f>VLOOKUP(M1384,[2]character_tribe_i18n!$A:$F,3,FALSE)</f>
        <v>Unknown</v>
      </c>
      <c r="O1384" s="24">
        <f>VLOOKUP(M1384,[2]character_tribe_i18n!$A:$F,4,FALSE)</f>
        <v>1</v>
      </c>
      <c r="P1384" s="24">
        <f>VLOOKUP(M1384,[2]character_tribe_i18n!$A:$F,5,FALSE)</f>
        <v>1</v>
      </c>
      <c r="Q1384" s="24">
        <f>VLOOKUP(M1384,[2]character_tribe_i18n!$A:$F,6,FALSE)</f>
        <v>1</v>
      </c>
      <c r="R1384" s="25" t="s">
        <v>98</v>
      </c>
      <c r="S1384" s="24">
        <f>VLOOKUP($R1384,ラベル別係数!$A$1:$E$7,3,FALSE)</f>
        <v>5</v>
      </c>
      <c r="T1384" s="24">
        <f>VLOOKUP($R1384,ラベル別係数!$A$1:$E$7,4,FALSE)</f>
        <v>1.3</v>
      </c>
      <c r="U1384" s="24">
        <f>VLOOKUP($R1384,ラベル別係数!$A$1:$E$7,5,FALSE)</f>
        <v>0.8</v>
      </c>
      <c r="V1384" s="27">
        <v>3</v>
      </c>
      <c r="W1384" s="28">
        <f>VLOOKUP(V1384,ターン数別攻撃係数!$A$1:$B$1000,2,FALSE)</f>
        <v>1</v>
      </c>
      <c r="X1384" s="9">
        <f>VLOOKUP(C1384,サイズ別係数!A$2:B$9,2,FALSE)</f>
        <v>15</v>
      </c>
      <c r="Y1384" s="26">
        <f>VLOOKUP($X1384,サイズ別係数!$B:$E,2,FALSE)</f>
        <v>1</v>
      </c>
      <c r="Z1384" s="26">
        <f>VLOOKUP($X1384,サイズ別係数!$B:$E,3,FALSE)</f>
        <v>1</v>
      </c>
      <c r="AA1384" s="26">
        <f>VLOOKUP($X1384,サイズ別係数!$B:$E,4,FALSE)</f>
        <v>1</v>
      </c>
      <c r="AB1384" s="5">
        <v>0</v>
      </c>
      <c r="AC1384" s="34" t="str">
        <f ca="1">VLOOKUP($AB1384,OFFSET([3]enemy_skill_sets!$B$2,0,0,COUNTA([3]enemy_skill_sets!$A:$A),MATCH(AC$1,[3]enemy_skill_sets!$1:$1,0)-MATCH($AB$1,[3]enemy_skill_sets!$1:$1,0)+1),MATCH(AC$1,[3]enemy_skill_sets!$1:$1,0)-MATCH($AB$1,[3]enemy_skill_sets!$1:$1,0)+1,FALSE)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4" s="67">
        <v>1</v>
      </c>
      <c r="AE1384" s="67">
        <v>1</v>
      </c>
      <c r="AF1384" s="37">
        <v>0</v>
      </c>
      <c r="AG1384" s="99">
        <f>ROUND(VLOOKUP(1,enemy_base_stats!$A:$F,2,FALSE) * Y1384* J1384*O1384*E1384*S1384*AD1384*[2]ステータス!$B$2,0)</f>
        <v>2450</v>
      </c>
      <c r="AH1384" s="99">
        <f>ROUND(VLOOKUP(1,enemy_base_stats!$A:$F,3,FALSE) * Z1384*K1384*P1384*F1384*T1384*AE1384 * W1384*[2]ステータス!$C$2,0)</f>
        <v>262</v>
      </c>
      <c r="AI1384" s="99">
        <f>ROUND(VLOOKUP(1,enemy_base_stats!$A:$F,4,FALSE) * AA1384*L1384*Q1384*G1384*U1384*AF1384*[2]ステータス!$D$2,0)</f>
        <v>0</v>
      </c>
      <c r="AJ1384" s="99">
        <f>ROUND(VLOOKUP(100,enemy_base_stats!$A:$F,2,FALSE) * Y1384* J1384*O1384*E1384*S1384*AD1384*[2]ステータス!$B$2,0)</f>
        <v>99470</v>
      </c>
      <c r="AK1384" s="99">
        <f>ROUND(VLOOKUP(100,enemy_base_stats!$A:$F,3,FALSE)* Z1384* K1384*P1384*F1384*T1384*AE1384 * W1384*[2]ステータス!$C$2,0)</f>
        <v>10635</v>
      </c>
      <c r="AL1384" s="99">
        <f>ROUND(VLOOKUP(100,enemy_base_stats!$A:$F,4,FALSE)* AA1384* L1384*Q1384*G1384*U1384*AF1384*[2]ステータス!$D$2,0)</f>
        <v>0</v>
      </c>
      <c r="AM1384" s="97">
        <f>VLOOKUP(M1384,[2]character_tribe_i18n!$A:$I,9,FALSE)</f>
        <v>340</v>
      </c>
      <c r="AN1384" s="36">
        <v>0</v>
      </c>
      <c r="AO1384" s="53">
        <v>0</v>
      </c>
      <c r="AP1384" s="58" t="s">
        <v>72</v>
      </c>
      <c r="AQ1384" s="71">
        <f t="shared" si="84"/>
        <v>1506</v>
      </c>
    </row>
    <row r="1385" spans="1:43" ht="21" customHeight="1" x14ac:dyDescent="0.15">
      <c r="A1385" s="7">
        <v>1507</v>
      </c>
      <c r="B1385" s="6" t="str">
        <f>VLOOKUP(A1385,[2]characters!$A:$C,3,FALSE)</f>
        <v>キモネコ</v>
      </c>
      <c r="C1385" s="9">
        <f>VLOOKUP(A1385,[2]characters!$A:$I,9,FALSE)</f>
        <v>3</v>
      </c>
      <c r="D1385" s="9" t="str">
        <f>VLOOKUP(A1385,[2]characters!$A:$H,8,FALSE)</f>
        <v>blue</v>
      </c>
      <c r="E1385" s="24">
        <f>VLOOKUP(D1385,[2]属性!$A:$E,2,FALSE)</f>
        <v>1</v>
      </c>
      <c r="F1385" s="24">
        <f>VLOOKUP(D1385,[2]属性!$A:$E,3,FALSE)</f>
        <v>0.98</v>
      </c>
      <c r="G1385" s="24">
        <f>VLOOKUP(D1385,[2]属性!$A:$F,4,FALSE)</f>
        <v>1</v>
      </c>
      <c r="H1385" s="9" t="str">
        <f>VLOOKUP(A1385,[2]characters!$A:$K,11,FALSE)</f>
        <v>technical</v>
      </c>
      <c r="I1385" s="14" t="str">
        <f>VLOOKUP(H1385,[2]character_type_i18n!$A:$F,3,FALSE)</f>
        <v>テクニカルタイプ</v>
      </c>
      <c r="J1385" s="36">
        <f>VLOOKUP(H1385,[2]character_type_i18n!$A:$F,4,FALSE)</f>
        <v>0.9</v>
      </c>
      <c r="K1385" s="36">
        <f>VLOOKUP(H1385,[2]character_type_i18n!$A:$F,5,FALSE)</f>
        <v>0.9</v>
      </c>
      <c r="L1385" s="36">
        <f>VLOOKUP(H1385,[2]character_type_i18n!$A:$F,6,FALSE)</f>
        <v>1</v>
      </c>
      <c r="M1385" s="9" t="str">
        <f>VLOOKUP(A1385,[2]characters!$A:$M,13,FALSE)</f>
        <v>unknown</v>
      </c>
      <c r="N1385" s="14" t="str">
        <f>VLOOKUP(M1385,[2]character_tribe_i18n!$A:$F,3,FALSE)</f>
        <v>Unknown</v>
      </c>
      <c r="O1385" s="24">
        <f>VLOOKUP(M1385,[2]character_tribe_i18n!$A:$F,4,FALSE)</f>
        <v>1</v>
      </c>
      <c r="P1385" s="24">
        <f>VLOOKUP(M1385,[2]character_tribe_i18n!$A:$F,5,FALSE)</f>
        <v>1</v>
      </c>
      <c r="Q1385" s="24">
        <f>VLOOKUP(M1385,[2]character_tribe_i18n!$A:$F,6,FALSE)</f>
        <v>1</v>
      </c>
      <c r="R1385" s="25" t="s">
        <v>98</v>
      </c>
      <c r="S1385" s="24">
        <f>VLOOKUP($R1385,ラベル別係数!$A$1:$E$7,3,FALSE)</f>
        <v>5</v>
      </c>
      <c r="T1385" s="24">
        <f>VLOOKUP($R1385,ラベル別係数!$A$1:$E$7,4,FALSE)</f>
        <v>1.3</v>
      </c>
      <c r="U1385" s="24">
        <f>VLOOKUP($R1385,ラベル別係数!$A$1:$E$7,5,FALSE)</f>
        <v>0.8</v>
      </c>
      <c r="V1385" s="27">
        <v>3</v>
      </c>
      <c r="W1385" s="28">
        <f>VLOOKUP(V1385,ターン数別攻撃係数!$A$1:$B$1000,2,FALSE)</f>
        <v>1</v>
      </c>
      <c r="X1385" s="9">
        <f>VLOOKUP(C1385,サイズ別係数!A$2:B$9,2,FALSE)</f>
        <v>25</v>
      </c>
      <c r="Y1385" s="26">
        <f>VLOOKUP($X1385,サイズ別係数!$B:$E,2,FALSE)</f>
        <v>1.2</v>
      </c>
      <c r="Z1385" s="26">
        <f>VLOOKUP($X1385,サイズ別係数!$B:$E,3,FALSE)</f>
        <v>1.25</v>
      </c>
      <c r="AA1385" s="26">
        <f>VLOOKUP($X1385,サイズ別係数!$B:$E,4,FALSE)</f>
        <v>1.1499999999999999</v>
      </c>
      <c r="AB1385" s="5">
        <v>0</v>
      </c>
      <c r="AC1385" s="34" t="str">
        <f ca="1">VLOOKUP($AB1385,OFFSET([3]enemy_skill_sets!$B$2,0,0,COUNTA([3]enemy_skill_sets!$A:$A),MATCH(AC$1,[3]enemy_skill_sets!$1:$1,0)-MATCH($AB$1,[3]enemy_skill_sets!$1:$1,0)+1),MATCH(AC$1,[3]enemy_skill_sets!$1:$1,0)-MATCH($AB$1,[3]enemy_skill_sets!$1:$1,0)+1,FALSE)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5" s="67">
        <v>1</v>
      </c>
      <c r="AE1385" s="67">
        <v>1</v>
      </c>
      <c r="AF1385" s="37">
        <v>0</v>
      </c>
      <c r="AG1385" s="99">
        <f>ROUND(VLOOKUP(1,enemy_base_stats!$A:$F,2,FALSE) * Y1385* J1385*O1385*E1385*S1385*AD1385*[2]ステータス!$B$2,0)</f>
        <v>2700</v>
      </c>
      <c r="AH1385" s="99">
        <f>ROUND(VLOOKUP(1,enemy_base_stats!$A:$F,3,FALSE) * Z1385*K1385*P1385*F1385*T1385*AE1385 * W1385*[2]ステータス!$C$2,0)</f>
        <v>215</v>
      </c>
      <c r="AI1385" s="99">
        <f>ROUND(VLOOKUP(1,enemy_base_stats!$A:$F,4,FALSE) * AA1385*L1385*Q1385*G1385*U1385*AF1385*[2]ステータス!$D$2,0)</f>
        <v>0</v>
      </c>
      <c r="AJ1385" s="99">
        <f>ROUND(VLOOKUP(100,enemy_base_stats!$A:$F,2,FALSE) * Y1385* J1385*O1385*E1385*S1385*AD1385*[2]ステータス!$B$2,0)</f>
        <v>109620</v>
      </c>
      <c r="AK1385" s="99">
        <f>ROUND(VLOOKUP(100,enemy_base_stats!$A:$F,3,FALSE)* Z1385* K1385*P1385*F1385*T1385*AE1385 * W1385*[2]ステータス!$C$2,0)</f>
        <v>8728</v>
      </c>
      <c r="AL1385" s="99">
        <f>ROUND(VLOOKUP(100,enemy_base_stats!$A:$F,4,FALSE)* AA1385* L1385*Q1385*G1385*U1385*AF1385*[2]ステータス!$D$2,0)</f>
        <v>0</v>
      </c>
      <c r="AM1385" s="97">
        <f>VLOOKUP(M1385,[2]character_tribe_i18n!$A:$I,9,FALSE)</f>
        <v>340</v>
      </c>
      <c r="AN1385" s="36">
        <v>0</v>
      </c>
      <c r="AO1385" s="53">
        <v>0</v>
      </c>
      <c r="AP1385" s="58" t="s">
        <v>72</v>
      </c>
      <c r="AQ1385" s="71">
        <f t="shared" si="84"/>
        <v>1507</v>
      </c>
    </row>
    <row r="1386" spans="1:43" ht="21" customHeight="1" x14ac:dyDescent="0.15">
      <c r="A1386" s="7">
        <v>1508</v>
      </c>
      <c r="B1386" s="6" t="str">
        <f>VLOOKUP(A1386,[2]characters!$A:$C,3,FALSE)</f>
        <v>ネコノトリ</v>
      </c>
      <c r="C1386" s="9">
        <f>VLOOKUP(A1386,[2]characters!$A:$I,9,FALSE)</f>
        <v>4</v>
      </c>
      <c r="D1386" s="9" t="str">
        <f>VLOOKUP(A1386,[2]characters!$A:$H,8,FALSE)</f>
        <v>red</v>
      </c>
      <c r="E1386" s="24">
        <f>VLOOKUP(D1386,[2]属性!$A:$E,2,FALSE)</f>
        <v>1</v>
      </c>
      <c r="F1386" s="24">
        <f>VLOOKUP(D1386,[2]属性!$A:$E,3,FALSE)</f>
        <v>1.02</v>
      </c>
      <c r="G1386" s="24">
        <f>VLOOKUP(D1386,[2]属性!$A:$F,4,FALSE)</f>
        <v>1</v>
      </c>
      <c r="H1386" s="9" t="str">
        <f>VLOOKUP(A1386,[2]characters!$A:$K,11,FALSE)</f>
        <v>balance</v>
      </c>
      <c r="I1386" s="14" t="str">
        <f>VLOOKUP(H1386,[2]character_type_i18n!$A:$F,3,FALSE)</f>
        <v>バランスタイプ</v>
      </c>
      <c r="J1386" s="36">
        <f>VLOOKUP(H1386,[2]character_type_i18n!$A:$F,4,FALSE)</f>
        <v>1</v>
      </c>
      <c r="K1386" s="36">
        <f>VLOOKUP(H1386,[2]character_type_i18n!$A:$F,5,FALSE)</f>
        <v>1</v>
      </c>
      <c r="L1386" s="36">
        <f>VLOOKUP(H1386,[2]character_type_i18n!$A:$F,6,FALSE)</f>
        <v>1</v>
      </c>
      <c r="M1386" s="9" t="str">
        <f>VLOOKUP(A1386,[2]characters!$A:$M,13,FALSE)</f>
        <v>unknown</v>
      </c>
      <c r="N1386" s="14" t="str">
        <f>VLOOKUP(M1386,[2]character_tribe_i18n!$A:$F,3,FALSE)</f>
        <v>Unknown</v>
      </c>
      <c r="O1386" s="24">
        <f>VLOOKUP(M1386,[2]character_tribe_i18n!$A:$F,4,FALSE)</f>
        <v>1</v>
      </c>
      <c r="P1386" s="24">
        <f>VLOOKUP(M1386,[2]character_tribe_i18n!$A:$F,5,FALSE)</f>
        <v>1</v>
      </c>
      <c r="Q1386" s="24">
        <f>VLOOKUP(M1386,[2]character_tribe_i18n!$A:$F,6,FALSE)</f>
        <v>1</v>
      </c>
      <c r="R1386" s="25" t="s">
        <v>98</v>
      </c>
      <c r="S1386" s="24">
        <f>VLOOKUP($R1386,ラベル別係数!$A$1:$E$7,3,FALSE)</f>
        <v>5</v>
      </c>
      <c r="T1386" s="24">
        <f>VLOOKUP($R1386,ラベル別係数!$A$1:$E$7,4,FALSE)</f>
        <v>1.3</v>
      </c>
      <c r="U1386" s="24">
        <f>VLOOKUP($R1386,ラベル別係数!$A$1:$E$7,5,FALSE)</f>
        <v>0.8</v>
      </c>
      <c r="V1386" s="27">
        <v>3</v>
      </c>
      <c r="W1386" s="28">
        <f>VLOOKUP(V1386,ターン数別攻撃係数!$A$1:$B$1000,2,FALSE)</f>
        <v>1</v>
      </c>
      <c r="X1386" s="9">
        <f>VLOOKUP(C1386,サイズ別係数!A$2:B$9,2,FALSE)</f>
        <v>30</v>
      </c>
      <c r="Y1386" s="26">
        <f>VLOOKUP($X1386,サイズ別係数!$B:$E,2,FALSE)</f>
        <v>1.3</v>
      </c>
      <c r="Z1386" s="26">
        <f>VLOOKUP($X1386,サイズ別係数!$B:$E,3,FALSE)</f>
        <v>1.3</v>
      </c>
      <c r="AA1386" s="26">
        <f>VLOOKUP($X1386,サイズ別係数!$B:$E,4,FALSE)</f>
        <v>1.1000000000000001</v>
      </c>
      <c r="AB1386" s="5">
        <v>0</v>
      </c>
      <c r="AC1386" s="34" t="str">
        <f ca="1">VLOOKUP($AB1386,OFFSET([3]enemy_skill_sets!$B$2,0,0,COUNTA([3]enemy_skill_sets!$A:$A),MATCH(AC$1,[3]enemy_skill_sets!$1:$1,0)-MATCH($AB$1,[3]enemy_skill_sets!$1:$1,0)+1),MATCH(AC$1,[3]enemy_skill_sets!$1:$1,0)-MATCH($AB$1,[3]enemy_skill_sets!$1:$1,0)+1,FALSE)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6" s="67">
        <v>1</v>
      </c>
      <c r="AE1386" s="67">
        <v>1</v>
      </c>
      <c r="AF1386" s="37">
        <v>0</v>
      </c>
      <c r="AG1386" s="99">
        <f>ROUND(VLOOKUP(1,enemy_base_stats!$A:$F,2,FALSE) * Y1386* J1386*O1386*E1386*S1386*AD1386*[2]ステータス!$B$2,0)</f>
        <v>3250</v>
      </c>
      <c r="AH1386" s="99">
        <f>ROUND(VLOOKUP(1,enemy_base_stats!$A:$F,3,FALSE) * Z1386*K1386*P1386*F1386*T1386*AE1386 * W1386*[2]ステータス!$C$2,0)</f>
        <v>259</v>
      </c>
      <c r="AI1386" s="99">
        <f>ROUND(VLOOKUP(1,enemy_base_stats!$A:$F,4,FALSE) * AA1386*L1386*Q1386*G1386*U1386*AF1386*[2]ステータス!$D$2,0)</f>
        <v>0</v>
      </c>
      <c r="AJ1386" s="99">
        <f>ROUND(VLOOKUP(100,enemy_base_stats!$A:$F,2,FALSE) * Y1386* J1386*O1386*E1386*S1386*AD1386*[2]ステータス!$B$2,0)</f>
        <v>131950</v>
      </c>
      <c r="AK1386" s="99">
        <f>ROUND(VLOOKUP(100,enemy_base_stats!$A:$F,3,FALSE)* Z1386* K1386*P1386*F1386*T1386*AE1386 * W1386*[2]ステータス!$C$2,0)</f>
        <v>10498</v>
      </c>
      <c r="AL1386" s="99">
        <f>ROUND(VLOOKUP(100,enemy_base_stats!$A:$F,4,FALSE)* AA1386* L1386*Q1386*G1386*U1386*AF1386*[2]ステータス!$D$2,0)</f>
        <v>0</v>
      </c>
      <c r="AM1386" s="97">
        <f>VLOOKUP(M1386,[2]character_tribe_i18n!$A:$I,9,FALSE)</f>
        <v>340</v>
      </c>
      <c r="AN1386" s="36">
        <v>0</v>
      </c>
      <c r="AO1386" s="53">
        <v>0</v>
      </c>
      <c r="AP1386" s="58" t="s">
        <v>72</v>
      </c>
      <c r="AQ1386" s="71">
        <f t="shared" si="84"/>
        <v>1508</v>
      </c>
    </row>
    <row r="1387" spans="1:43" ht="21" customHeight="1" x14ac:dyDescent="0.15">
      <c r="A1387" s="7">
        <v>1509</v>
      </c>
      <c r="B1387" s="6" t="str">
        <f>VLOOKUP(A1387,[2]characters!$A:$C,3,FALSE)</f>
        <v>巨神ネコ</v>
      </c>
      <c r="C1387" s="9">
        <f>VLOOKUP(A1387,[2]characters!$A:$I,9,FALSE)</f>
        <v>5</v>
      </c>
      <c r="D1387" s="9" t="str">
        <f>VLOOKUP(A1387,[2]characters!$A:$H,8,FALSE)</f>
        <v>green</v>
      </c>
      <c r="E1387" s="24">
        <f>VLOOKUP(D1387,[2]属性!$A:$E,2,FALSE)</f>
        <v>1.02</v>
      </c>
      <c r="F1387" s="24">
        <f>VLOOKUP(D1387,[2]属性!$A:$E,3,FALSE)</f>
        <v>0.98</v>
      </c>
      <c r="G1387" s="24">
        <f>VLOOKUP(D1387,[2]属性!$A:$F,4,FALSE)</f>
        <v>1</v>
      </c>
      <c r="H1387" s="9" t="str">
        <f>VLOOKUP(A1387,[2]characters!$A:$K,11,FALSE)</f>
        <v>hp</v>
      </c>
      <c r="I1387" s="14" t="str">
        <f>VLOOKUP(H1387,[2]character_type_i18n!$A:$F,3,FALSE)</f>
        <v>体力タイプ</v>
      </c>
      <c r="J1387" s="36">
        <f>VLOOKUP(H1387,[2]character_type_i18n!$A:$F,4,FALSE)</f>
        <v>1.45</v>
      </c>
      <c r="K1387" s="36">
        <f>VLOOKUP(H1387,[2]character_type_i18n!$A:$F,5,FALSE)</f>
        <v>0.85</v>
      </c>
      <c r="L1387" s="36">
        <f>VLOOKUP(H1387,[2]character_type_i18n!$A:$F,6,FALSE)</f>
        <v>1</v>
      </c>
      <c r="M1387" s="9" t="str">
        <f>VLOOKUP(A1387,[2]characters!$A:$M,13,FALSE)</f>
        <v>god</v>
      </c>
      <c r="N1387" s="14" t="str">
        <f>VLOOKUP(M1387,[2]character_tribe_i18n!$A:$F,3,FALSE)</f>
        <v>ゴッド</v>
      </c>
      <c r="O1387" s="24">
        <f>VLOOKUP(M1387,[2]character_tribe_i18n!$A:$F,4,FALSE)</f>
        <v>0.96</v>
      </c>
      <c r="P1387" s="24">
        <f>VLOOKUP(M1387,[2]character_tribe_i18n!$A:$F,5,FALSE)</f>
        <v>1.02</v>
      </c>
      <c r="Q1387" s="24">
        <f>VLOOKUP(M1387,[2]character_tribe_i18n!$A:$F,6,FALSE)</f>
        <v>1</v>
      </c>
      <c r="R1387" s="25" t="s">
        <v>98</v>
      </c>
      <c r="S1387" s="24">
        <f>VLOOKUP($R1387,ラベル別係数!$A$1:$E$7,3,FALSE)</f>
        <v>5</v>
      </c>
      <c r="T1387" s="24">
        <f>VLOOKUP($R1387,ラベル別係数!$A$1:$E$7,4,FALSE)</f>
        <v>1.3</v>
      </c>
      <c r="U1387" s="24">
        <f>VLOOKUP($R1387,ラベル別係数!$A$1:$E$7,5,FALSE)</f>
        <v>0.8</v>
      </c>
      <c r="V1387" s="27">
        <v>3</v>
      </c>
      <c r="W1387" s="28">
        <f>VLOOKUP(V1387,ターン数別攻撃係数!$A$1:$B$1000,2,FALSE)</f>
        <v>1</v>
      </c>
      <c r="X1387" s="9">
        <f>VLOOKUP(C1387,サイズ別係数!A$2:B$9,2,FALSE)</f>
        <v>60</v>
      </c>
      <c r="Y1387" s="26">
        <f>VLOOKUP($X1387,サイズ別係数!$B:$E,2,FALSE)</f>
        <v>1.7</v>
      </c>
      <c r="Z1387" s="26">
        <f>VLOOKUP($X1387,サイズ別係数!$B:$E,3,FALSE)</f>
        <v>1.4</v>
      </c>
      <c r="AA1387" s="26">
        <f>VLOOKUP($X1387,サイズ別係数!$B:$E,4,FALSE)</f>
        <v>1</v>
      </c>
      <c r="AB1387" s="5">
        <v>0</v>
      </c>
      <c r="AC1387" s="34" t="str">
        <f ca="1">VLOOKUP($AB1387,OFFSET([3]enemy_skill_sets!$B$2,0,0,COUNTA([3]enemy_skill_sets!$A:$A),MATCH(AC$1,[3]enemy_skill_sets!$1:$1,0)-MATCH($AB$1,[3]enemy_skill_sets!$1:$1,0)+1),MATCH(AC$1,[3]enemy_skill_sets!$1:$1,0)-MATCH($AB$1,[3]enemy_skill_sets!$1:$1,0)+1,FALSE)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7" s="67">
        <v>1</v>
      </c>
      <c r="AE1387" s="67">
        <v>1</v>
      </c>
      <c r="AF1387" s="37">
        <v>0</v>
      </c>
      <c r="AG1387" s="99">
        <f>ROUND(VLOOKUP(1,enemy_base_stats!$A:$F,2,FALSE) * Y1387* J1387*O1387*E1387*S1387*AD1387*[2]ステータス!$B$2,0)</f>
        <v>6034</v>
      </c>
      <c r="AH1387" s="99">
        <f>ROUND(VLOOKUP(1,enemy_base_stats!$A:$F,3,FALSE) * Z1387*K1387*P1387*F1387*T1387*AE1387 * W1387*[2]ステータス!$C$2,0)</f>
        <v>232</v>
      </c>
      <c r="AI1387" s="99">
        <f>ROUND(VLOOKUP(1,enemy_base_stats!$A:$F,4,FALSE) * AA1387*L1387*Q1387*G1387*U1387*AF1387*[2]ステータス!$D$2,0)</f>
        <v>0</v>
      </c>
      <c r="AJ1387" s="99">
        <f>ROUND(VLOOKUP(100,enemy_base_stats!$A:$F,2,FALSE) * Y1387* J1387*O1387*E1387*S1387*AD1387*[2]ステータス!$B$2,0)</f>
        <v>244993</v>
      </c>
      <c r="AK1387" s="99">
        <f>ROUND(VLOOKUP(100,enemy_base_stats!$A:$F,3,FALSE)* Z1387* K1387*P1387*F1387*T1387*AE1387 * W1387*[2]ステータス!$C$2,0)</f>
        <v>9417</v>
      </c>
      <c r="AL1387" s="99">
        <f>ROUND(VLOOKUP(100,enemy_base_stats!$A:$F,4,FALSE)* AA1387* L1387*Q1387*G1387*U1387*AF1387*[2]ステータス!$D$2,0)</f>
        <v>0</v>
      </c>
      <c r="AM1387" s="97">
        <f>VLOOKUP(M1387,[2]character_tribe_i18n!$A:$I,9,FALSE)</f>
        <v>680</v>
      </c>
      <c r="AN1387" s="36">
        <v>0</v>
      </c>
      <c r="AO1387" s="53">
        <v>0</v>
      </c>
      <c r="AP1387" s="58" t="s">
        <v>72</v>
      </c>
      <c r="AQ1387" s="71">
        <f t="shared" si="84"/>
        <v>1509</v>
      </c>
    </row>
    <row r="1388" spans="1:43" ht="21" customHeight="1" x14ac:dyDescent="0.15">
      <c r="A1388" s="7">
        <v>1510</v>
      </c>
      <c r="B1388" s="6" t="str">
        <f>VLOOKUP(A1388,[2]characters!$A:$C,3,FALSE)</f>
        <v>ネコヴァルキリー</v>
      </c>
      <c r="C1388" s="9">
        <f>VLOOKUP(A1388,[2]characters!$A:$I,9,FALSE)</f>
        <v>4</v>
      </c>
      <c r="D1388" s="9" t="str">
        <f>VLOOKUP(A1388,[2]characters!$A:$H,8,FALSE)</f>
        <v>yellow</v>
      </c>
      <c r="E1388" s="24">
        <f>VLOOKUP(D1388,[2]属性!$A:$E,2,FALSE)</f>
        <v>0.98</v>
      </c>
      <c r="F1388" s="24">
        <f>VLOOKUP(D1388,[2]属性!$A:$E,3,FALSE)</f>
        <v>1.01</v>
      </c>
      <c r="G1388" s="24">
        <f>VLOOKUP(D1388,[2]属性!$A:$F,4,FALSE)</f>
        <v>1</v>
      </c>
      <c r="H1388" s="9" t="str">
        <f>VLOOKUP(A1388,[2]characters!$A:$K,11,FALSE)</f>
        <v>balance</v>
      </c>
      <c r="I1388" s="14" t="str">
        <f>VLOOKUP(H1388,[2]character_type_i18n!$A:$F,3,FALSE)</f>
        <v>バランスタイプ</v>
      </c>
      <c r="J1388" s="36">
        <f>VLOOKUP(H1388,[2]character_type_i18n!$A:$F,4,FALSE)</f>
        <v>1</v>
      </c>
      <c r="K1388" s="36">
        <f>VLOOKUP(H1388,[2]character_type_i18n!$A:$F,5,FALSE)</f>
        <v>1</v>
      </c>
      <c r="L1388" s="36">
        <f>VLOOKUP(H1388,[2]character_type_i18n!$A:$F,6,FALSE)</f>
        <v>1</v>
      </c>
      <c r="M1388" s="9" t="str">
        <f>VLOOKUP(A1388,[2]characters!$A:$M,13,FALSE)</f>
        <v>god</v>
      </c>
      <c r="N1388" s="14" t="str">
        <f>VLOOKUP(M1388,[2]character_tribe_i18n!$A:$F,3,FALSE)</f>
        <v>ゴッド</v>
      </c>
      <c r="O1388" s="24">
        <f>VLOOKUP(M1388,[2]character_tribe_i18n!$A:$F,4,FALSE)</f>
        <v>0.96</v>
      </c>
      <c r="P1388" s="24">
        <f>VLOOKUP(M1388,[2]character_tribe_i18n!$A:$F,5,FALSE)</f>
        <v>1.02</v>
      </c>
      <c r="Q1388" s="24">
        <f>VLOOKUP(M1388,[2]character_tribe_i18n!$A:$F,6,FALSE)</f>
        <v>1</v>
      </c>
      <c r="R1388" s="25" t="s">
        <v>98</v>
      </c>
      <c r="S1388" s="24">
        <f>VLOOKUP($R1388,ラベル別係数!$A$1:$E$7,3,FALSE)</f>
        <v>5</v>
      </c>
      <c r="T1388" s="24">
        <f>VLOOKUP($R1388,ラベル別係数!$A$1:$E$7,4,FALSE)</f>
        <v>1.3</v>
      </c>
      <c r="U1388" s="24">
        <f>VLOOKUP($R1388,ラベル別係数!$A$1:$E$7,5,FALSE)</f>
        <v>0.8</v>
      </c>
      <c r="V1388" s="27">
        <v>3</v>
      </c>
      <c r="W1388" s="28">
        <f>VLOOKUP(V1388,ターン数別攻撃係数!$A$1:$B$1000,2,FALSE)</f>
        <v>1</v>
      </c>
      <c r="X1388" s="9">
        <f>VLOOKUP(C1388,サイズ別係数!A$2:B$9,2,FALSE)</f>
        <v>30</v>
      </c>
      <c r="Y1388" s="26">
        <f>VLOOKUP($X1388,サイズ別係数!$B:$E,2,FALSE)</f>
        <v>1.3</v>
      </c>
      <c r="Z1388" s="26">
        <f>VLOOKUP($X1388,サイズ別係数!$B:$E,3,FALSE)</f>
        <v>1.3</v>
      </c>
      <c r="AA1388" s="26">
        <f>VLOOKUP($X1388,サイズ別係数!$B:$E,4,FALSE)</f>
        <v>1.1000000000000001</v>
      </c>
      <c r="AB1388" s="5">
        <v>0</v>
      </c>
      <c r="AC1388" s="34" t="str">
        <f ca="1">VLOOKUP($AB1388,OFFSET([3]enemy_skill_sets!$B$2,0,0,COUNTA([3]enemy_skill_sets!$A:$A),MATCH(AC$1,[3]enemy_skill_sets!$1:$1,0)-MATCH($AB$1,[3]enemy_skill_sets!$1:$1,0)+1),MATCH(AC$1,[3]enemy_skill_sets!$1:$1,0)-MATCH($AB$1,[3]enemy_skill_sets!$1:$1,0)+1,FALSE)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8" s="67">
        <v>1</v>
      </c>
      <c r="AE1388" s="67">
        <v>1</v>
      </c>
      <c r="AF1388" s="37">
        <v>0</v>
      </c>
      <c r="AG1388" s="99">
        <f>ROUND(VLOOKUP(1,enemy_base_stats!$A:$F,2,FALSE) * Y1388* J1388*O1388*E1388*S1388*AD1388*[2]ステータス!$B$2,0)</f>
        <v>3058</v>
      </c>
      <c r="AH1388" s="99">
        <f>ROUND(VLOOKUP(1,enemy_base_stats!$A:$F,3,FALSE) * Z1388*K1388*P1388*F1388*T1388*AE1388 * W1388*[2]ステータス!$C$2,0)</f>
        <v>261</v>
      </c>
      <c r="AI1388" s="99">
        <f>ROUND(VLOOKUP(1,enemy_base_stats!$A:$F,4,FALSE) * AA1388*L1388*Q1388*G1388*U1388*AF1388*[2]ステータス!$D$2,0)</f>
        <v>0</v>
      </c>
      <c r="AJ1388" s="99">
        <f>ROUND(VLOOKUP(100,enemy_base_stats!$A:$F,2,FALSE) * Y1388* J1388*O1388*E1388*S1388*AD1388*[2]ステータス!$B$2,0)</f>
        <v>124139</v>
      </c>
      <c r="AK1388" s="99">
        <f>ROUND(VLOOKUP(100,enemy_base_stats!$A:$F,3,FALSE)* Z1388* K1388*P1388*F1388*T1388*AE1388 * W1388*[2]ステータス!$C$2,0)</f>
        <v>10603</v>
      </c>
      <c r="AL1388" s="99">
        <f>ROUND(VLOOKUP(100,enemy_base_stats!$A:$F,4,FALSE)* AA1388* L1388*Q1388*G1388*U1388*AF1388*[2]ステータス!$D$2,0)</f>
        <v>0</v>
      </c>
      <c r="AM1388" s="97">
        <f>VLOOKUP(M1388,[2]character_tribe_i18n!$A:$I,9,FALSE)</f>
        <v>680</v>
      </c>
      <c r="AN1388" s="36">
        <v>0</v>
      </c>
      <c r="AO1388" s="53">
        <v>0</v>
      </c>
      <c r="AP1388" s="58" t="s">
        <v>72</v>
      </c>
      <c r="AQ1388" s="71">
        <f t="shared" si="84"/>
        <v>1510</v>
      </c>
    </row>
    <row r="1389" spans="1:43" ht="21" customHeight="1" x14ac:dyDescent="0.15">
      <c r="A1389" s="7">
        <v>1511</v>
      </c>
      <c r="B1389" s="6" t="str">
        <f>VLOOKUP(A1389,[2]characters!$A:$C,3,FALSE)</f>
        <v>ネコヴァルキリー･真</v>
      </c>
      <c r="C1389" s="9">
        <f>VLOOKUP(A1389,[2]characters!$A:$I,9,FALSE)</f>
        <v>5</v>
      </c>
      <c r="D1389" s="9" t="str">
        <f>VLOOKUP(A1389,[2]characters!$A:$H,8,FALSE)</f>
        <v>yellow</v>
      </c>
      <c r="E1389" s="24">
        <f>VLOOKUP(D1389,[2]属性!$A:$E,2,FALSE)</f>
        <v>0.98</v>
      </c>
      <c r="F1389" s="24">
        <f>VLOOKUP(D1389,[2]属性!$A:$E,3,FALSE)</f>
        <v>1.01</v>
      </c>
      <c r="G1389" s="24">
        <f>VLOOKUP(D1389,[2]属性!$A:$F,4,FALSE)</f>
        <v>1</v>
      </c>
      <c r="H1389" s="9" t="str">
        <f>VLOOKUP(A1389,[2]characters!$A:$K,11,FALSE)</f>
        <v>balance</v>
      </c>
      <c r="I1389" s="14" t="str">
        <f>VLOOKUP(H1389,[2]character_type_i18n!$A:$F,3,FALSE)</f>
        <v>バランスタイプ</v>
      </c>
      <c r="J1389" s="36">
        <f>VLOOKUP(H1389,[2]character_type_i18n!$A:$F,4,FALSE)</f>
        <v>1</v>
      </c>
      <c r="K1389" s="36">
        <f>VLOOKUP(H1389,[2]character_type_i18n!$A:$F,5,FALSE)</f>
        <v>1</v>
      </c>
      <c r="L1389" s="36">
        <f>VLOOKUP(H1389,[2]character_type_i18n!$A:$F,6,FALSE)</f>
        <v>1</v>
      </c>
      <c r="M1389" s="9" t="str">
        <f>VLOOKUP(A1389,[2]characters!$A:$M,13,FALSE)</f>
        <v>god</v>
      </c>
      <c r="N1389" s="14" t="str">
        <f>VLOOKUP(M1389,[2]character_tribe_i18n!$A:$F,3,FALSE)</f>
        <v>ゴッド</v>
      </c>
      <c r="O1389" s="24">
        <f>VLOOKUP(M1389,[2]character_tribe_i18n!$A:$F,4,FALSE)</f>
        <v>0.96</v>
      </c>
      <c r="P1389" s="24">
        <f>VLOOKUP(M1389,[2]character_tribe_i18n!$A:$F,5,FALSE)</f>
        <v>1.02</v>
      </c>
      <c r="Q1389" s="24">
        <f>VLOOKUP(M1389,[2]character_tribe_i18n!$A:$F,6,FALSE)</f>
        <v>1</v>
      </c>
      <c r="R1389" s="25" t="s">
        <v>98</v>
      </c>
      <c r="S1389" s="24">
        <f>VLOOKUP($R1389,ラベル別係数!$A$1:$E$7,3,FALSE)</f>
        <v>5</v>
      </c>
      <c r="T1389" s="24">
        <f>VLOOKUP($R1389,ラベル別係数!$A$1:$E$7,4,FALSE)</f>
        <v>1.3</v>
      </c>
      <c r="U1389" s="24">
        <f>VLOOKUP($R1389,ラベル別係数!$A$1:$E$7,5,FALSE)</f>
        <v>0.8</v>
      </c>
      <c r="V1389" s="27">
        <v>3</v>
      </c>
      <c r="W1389" s="28">
        <f>VLOOKUP(V1389,ターン数別攻撃係数!$A$1:$B$1000,2,FALSE)</f>
        <v>1</v>
      </c>
      <c r="X1389" s="9">
        <f>VLOOKUP(C1389,サイズ別係数!A$2:B$9,2,FALSE)</f>
        <v>60</v>
      </c>
      <c r="Y1389" s="26">
        <f>VLOOKUP($X1389,サイズ別係数!$B:$E,2,FALSE)</f>
        <v>1.7</v>
      </c>
      <c r="Z1389" s="26">
        <f>VLOOKUP($X1389,サイズ別係数!$B:$E,3,FALSE)</f>
        <v>1.4</v>
      </c>
      <c r="AA1389" s="26">
        <f>VLOOKUP($X1389,サイズ別係数!$B:$E,4,FALSE)</f>
        <v>1</v>
      </c>
      <c r="AB1389" s="5">
        <v>0</v>
      </c>
      <c r="AC1389" s="34" t="str">
        <f ca="1">VLOOKUP($AB1389,OFFSET([3]enemy_skill_sets!$B$2,0,0,COUNTA([3]enemy_skill_sets!$A:$A),MATCH(AC$1,[3]enemy_skill_sets!$1:$1,0)-MATCH($AB$1,[3]enemy_skill_sets!$1:$1,0)+1),MATCH(AC$1,[3]enemy_skill_sets!$1:$1,0)-MATCH($AB$1,[3]enemy_skill_sets!$1:$1,0)+1,FALSE)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89" s="67">
        <v>1</v>
      </c>
      <c r="AE1389" s="67">
        <v>1</v>
      </c>
      <c r="AF1389" s="37">
        <v>0</v>
      </c>
      <c r="AG1389" s="99">
        <f>ROUND(VLOOKUP(1,enemy_base_stats!$A:$F,2,FALSE) * Y1389* J1389*O1389*E1389*S1389*AD1389*[2]ステータス!$B$2,0)</f>
        <v>3998</v>
      </c>
      <c r="AH1389" s="99">
        <f>ROUND(VLOOKUP(1,enemy_base_stats!$A:$F,3,FALSE) * Z1389*K1389*P1389*F1389*T1389*AE1389 * W1389*[2]ステータス!$C$2,0)</f>
        <v>281</v>
      </c>
      <c r="AI1389" s="99">
        <f>ROUND(VLOOKUP(1,enemy_base_stats!$A:$F,4,FALSE) * AA1389*L1389*Q1389*G1389*U1389*AF1389*[2]ステータス!$D$2,0)</f>
        <v>0</v>
      </c>
      <c r="AJ1389" s="99">
        <f>ROUND(VLOOKUP(100,enemy_base_stats!$A:$F,2,FALSE) * Y1389* J1389*O1389*E1389*S1389*AD1389*[2]ステータス!$B$2,0)</f>
        <v>162335</v>
      </c>
      <c r="AK1389" s="99">
        <f>ROUND(VLOOKUP(100,enemy_base_stats!$A:$F,3,FALSE)* Z1389* K1389*P1389*F1389*T1389*AE1389 * W1389*[2]ステータス!$C$2,0)</f>
        <v>11419</v>
      </c>
      <c r="AL1389" s="99">
        <f>ROUND(VLOOKUP(100,enemy_base_stats!$A:$F,4,FALSE)* AA1389* L1389*Q1389*G1389*U1389*AF1389*[2]ステータス!$D$2,0)</f>
        <v>0</v>
      </c>
      <c r="AM1389" s="97">
        <f>VLOOKUP(M1389,[2]character_tribe_i18n!$A:$I,9,FALSE)</f>
        <v>680</v>
      </c>
      <c r="AN1389" s="36">
        <v>0</v>
      </c>
      <c r="AO1389" s="53">
        <v>0</v>
      </c>
      <c r="AP1389" s="58" t="s">
        <v>72</v>
      </c>
      <c r="AQ1389" s="71">
        <f t="shared" si="84"/>
        <v>1511</v>
      </c>
    </row>
    <row r="1390" spans="1:43" ht="21" customHeight="1" x14ac:dyDescent="0.15">
      <c r="A1390" s="7">
        <v>1512</v>
      </c>
      <c r="B1390" s="6" t="str">
        <f>VLOOKUP(A1390,[2]characters!$A:$C,3,FALSE)</f>
        <v>ネコヴァルキリー･聖</v>
      </c>
      <c r="C1390" s="9">
        <f>VLOOKUP(A1390,[2]characters!$A:$I,9,FALSE)</f>
        <v>6</v>
      </c>
      <c r="D1390" s="9" t="str">
        <f>VLOOKUP(A1390,[2]characters!$A:$H,8,FALSE)</f>
        <v>yellow</v>
      </c>
      <c r="E1390" s="24">
        <f>VLOOKUP(D1390,[2]属性!$A:$E,2,FALSE)</f>
        <v>0.98</v>
      </c>
      <c r="F1390" s="24">
        <f>VLOOKUP(D1390,[2]属性!$A:$E,3,FALSE)</f>
        <v>1.01</v>
      </c>
      <c r="G1390" s="24">
        <f>VLOOKUP(D1390,[2]属性!$A:$F,4,FALSE)</f>
        <v>1</v>
      </c>
      <c r="H1390" s="9" t="str">
        <f>VLOOKUP(A1390,[2]characters!$A:$K,11,FALSE)</f>
        <v>balance</v>
      </c>
      <c r="I1390" s="14" t="str">
        <f>VLOOKUP(H1390,[2]character_type_i18n!$A:$F,3,FALSE)</f>
        <v>バランスタイプ</v>
      </c>
      <c r="J1390" s="36">
        <f>VLOOKUP(H1390,[2]character_type_i18n!$A:$F,4,FALSE)</f>
        <v>1</v>
      </c>
      <c r="K1390" s="36">
        <f>VLOOKUP(H1390,[2]character_type_i18n!$A:$F,5,FALSE)</f>
        <v>1</v>
      </c>
      <c r="L1390" s="36">
        <f>VLOOKUP(H1390,[2]character_type_i18n!$A:$F,6,FALSE)</f>
        <v>1</v>
      </c>
      <c r="M1390" s="9" t="str">
        <f>VLOOKUP(A1390,[2]characters!$A:$M,13,FALSE)</f>
        <v>god</v>
      </c>
      <c r="N1390" s="14" t="str">
        <f>VLOOKUP(M1390,[2]character_tribe_i18n!$A:$F,3,FALSE)</f>
        <v>ゴッド</v>
      </c>
      <c r="O1390" s="24">
        <f>VLOOKUP(M1390,[2]character_tribe_i18n!$A:$F,4,FALSE)</f>
        <v>0.96</v>
      </c>
      <c r="P1390" s="24">
        <f>VLOOKUP(M1390,[2]character_tribe_i18n!$A:$F,5,FALSE)</f>
        <v>1.02</v>
      </c>
      <c r="Q1390" s="24">
        <f>VLOOKUP(M1390,[2]character_tribe_i18n!$A:$F,6,FALSE)</f>
        <v>1</v>
      </c>
      <c r="R1390" s="25" t="s">
        <v>98</v>
      </c>
      <c r="S1390" s="24">
        <f>VLOOKUP($R1390,ラベル別係数!$A$1:$E$7,3,FALSE)</f>
        <v>5</v>
      </c>
      <c r="T1390" s="24">
        <f>VLOOKUP($R1390,ラベル別係数!$A$1:$E$7,4,FALSE)</f>
        <v>1.3</v>
      </c>
      <c r="U1390" s="24">
        <f>VLOOKUP($R1390,ラベル別係数!$A$1:$E$7,5,FALSE)</f>
        <v>0.8</v>
      </c>
      <c r="V1390" s="27">
        <v>3</v>
      </c>
      <c r="W1390" s="28">
        <f>VLOOKUP(V1390,ターン数別攻撃係数!$A$1:$B$1000,2,FALSE)</f>
        <v>1</v>
      </c>
      <c r="X1390" s="9">
        <f>VLOOKUP(C1390,サイズ別係数!A$2:B$9,2,FALSE)</f>
        <v>60</v>
      </c>
      <c r="Y1390" s="26">
        <f>VLOOKUP($X1390,サイズ別係数!$B:$E,2,FALSE)</f>
        <v>1.7</v>
      </c>
      <c r="Z1390" s="26">
        <f>VLOOKUP($X1390,サイズ別係数!$B:$E,3,FALSE)</f>
        <v>1.4</v>
      </c>
      <c r="AA1390" s="26">
        <f>VLOOKUP($X1390,サイズ別係数!$B:$E,4,FALSE)</f>
        <v>1</v>
      </c>
      <c r="AB1390" s="5">
        <v>0</v>
      </c>
      <c r="AC1390" s="34" t="str">
        <f ca="1">VLOOKUP($AB1390,OFFSET([3]enemy_skill_sets!$B$2,0,0,COUNTA([3]enemy_skill_sets!$A:$A),MATCH(AC$1,[3]enemy_skill_sets!$1:$1,0)-MATCH($AB$1,[3]enemy_skill_sets!$1:$1,0)+1),MATCH(AC$1,[3]enemy_skill_sets!$1:$1,0)-MATCH($AB$1,[3]enemy_skill_sets!$1:$1,0)+1,FALSE)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0" s="67">
        <v>1</v>
      </c>
      <c r="AE1390" s="67">
        <v>1</v>
      </c>
      <c r="AF1390" s="37">
        <v>0</v>
      </c>
      <c r="AG1390" s="99">
        <f>ROUND(VLOOKUP(1,enemy_base_stats!$A:$F,2,FALSE) * Y1390* J1390*O1390*E1390*S1390*AD1390*[2]ステータス!$B$2,0)</f>
        <v>3998</v>
      </c>
      <c r="AH1390" s="99">
        <f>ROUND(VLOOKUP(1,enemy_base_stats!$A:$F,3,FALSE) * Z1390*K1390*P1390*F1390*T1390*AE1390 * W1390*[2]ステータス!$C$2,0)</f>
        <v>281</v>
      </c>
      <c r="AI1390" s="99">
        <f>ROUND(VLOOKUP(1,enemy_base_stats!$A:$F,4,FALSE) * AA1390*L1390*Q1390*G1390*U1390*AF1390*[2]ステータス!$D$2,0)</f>
        <v>0</v>
      </c>
      <c r="AJ1390" s="99">
        <f>ROUND(VLOOKUP(100,enemy_base_stats!$A:$F,2,FALSE) * Y1390* J1390*O1390*E1390*S1390*AD1390*[2]ステータス!$B$2,0)</f>
        <v>162335</v>
      </c>
      <c r="AK1390" s="99">
        <f>ROUND(VLOOKUP(100,enemy_base_stats!$A:$F,3,FALSE)* Z1390* K1390*P1390*F1390*T1390*AE1390 * W1390*[2]ステータス!$C$2,0)</f>
        <v>11419</v>
      </c>
      <c r="AL1390" s="99">
        <f>ROUND(VLOOKUP(100,enemy_base_stats!$A:$F,4,FALSE)* AA1390* L1390*Q1390*G1390*U1390*AF1390*[2]ステータス!$D$2,0)</f>
        <v>0</v>
      </c>
      <c r="AM1390" s="97">
        <f>VLOOKUP(M1390,[2]character_tribe_i18n!$A:$I,9,FALSE)</f>
        <v>680</v>
      </c>
      <c r="AN1390" s="36">
        <v>0</v>
      </c>
      <c r="AO1390" s="53">
        <v>0</v>
      </c>
      <c r="AP1390" s="58" t="s">
        <v>72</v>
      </c>
      <c r="AQ1390" s="71">
        <f t="shared" si="84"/>
        <v>1512</v>
      </c>
    </row>
    <row r="1391" spans="1:43" ht="21" customHeight="1" x14ac:dyDescent="0.15">
      <c r="A1391" s="7">
        <v>1523</v>
      </c>
      <c r="B1391" s="6" t="str">
        <f>VLOOKUP(A1391,[2]characters!$A:$C,3,FALSE)</f>
        <v>ネコムート</v>
      </c>
      <c r="C1391" s="9">
        <f>VLOOKUP(A1391,[2]characters!$A:$I,9,FALSE)</f>
        <v>5</v>
      </c>
      <c r="D1391" s="9" t="str">
        <f>VLOOKUP(A1391,[2]characters!$A:$H,8,FALSE)</f>
        <v>blue</v>
      </c>
      <c r="E1391" s="24">
        <f>VLOOKUP(D1391,[2]属性!$A:$E,2,FALSE)</f>
        <v>1</v>
      </c>
      <c r="F1391" s="24">
        <f>VLOOKUP(D1391,[2]属性!$A:$E,3,FALSE)</f>
        <v>0.98</v>
      </c>
      <c r="G1391" s="24">
        <f>VLOOKUP(D1391,[2]属性!$A:$F,4,FALSE)</f>
        <v>1</v>
      </c>
      <c r="H1391" s="9" t="str">
        <f>VLOOKUP(A1391,[2]characters!$A:$K,11,FALSE)</f>
        <v>technical</v>
      </c>
      <c r="I1391" s="14" t="str">
        <f>VLOOKUP(H1391,[2]character_type_i18n!$A:$F,3,FALSE)</f>
        <v>テクニカルタイプ</v>
      </c>
      <c r="J1391" s="36">
        <f>VLOOKUP(H1391,[2]character_type_i18n!$A:$F,4,FALSE)</f>
        <v>0.9</v>
      </c>
      <c r="K1391" s="36">
        <f>VLOOKUP(H1391,[2]character_type_i18n!$A:$F,5,FALSE)</f>
        <v>0.9</v>
      </c>
      <c r="L1391" s="36">
        <f>VLOOKUP(H1391,[2]character_type_i18n!$A:$F,6,FALSE)</f>
        <v>1</v>
      </c>
      <c r="M1391" s="9" t="str">
        <f>VLOOKUP(A1391,[2]characters!$A:$M,13,FALSE)</f>
        <v>animal</v>
      </c>
      <c r="N1391" s="14" t="str">
        <f>VLOOKUP(M1391,[2]character_tribe_i18n!$A:$F,3,FALSE)</f>
        <v>アニマル</v>
      </c>
      <c r="O1391" s="24">
        <f>VLOOKUP(M1391,[2]character_tribe_i18n!$A:$F,4,FALSE)</f>
        <v>1</v>
      </c>
      <c r="P1391" s="24">
        <f>VLOOKUP(M1391,[2]character_tribe_i18n!$A:$F,5,FALSE)</f>
        <v>1.1000000000000001</v>
      </c>
      <c r="Q1391" s="24">
        <f>VLOOKUP(M1391,[2]character_tribe_i18n!$A:$F,6,FALSE)</f>
        <v>1</v>
      </c>
      <c r="R1391" s="25" t="s">
        <v>98</v>
      </c>
      <c r="S1391" s="24">
        <f>VLOOKUP($R1391,ラベル別係数!$A$1:$E$7,3,FALSE)</f>
        <v>5</v>
      </c>
      <c r="T1391" s="24">
        <f>VLOOKUP($R1391,ラベル別係数!$A$1:$E$7,4,FALSE)</f>
        <v>1.3</v>
      </c>
      <c r="U1391" s="24">
        <f>VLOOKUP($R1391,ラベル別係数!$A$1:$E$7,5,FALSE)</f>
        <v>0.8</v>
      </c>
      <c r="V1391" s="27">
        <v>3</v>
      </c>
      <c r="W1391" s="28">
        <f>VLOOKUP(V1391,ターン数別攻撃係数!$A$1:$B$1000,2,FALSE)</f>
        <v>1</v>
      </c>
      <c r="X1391" s="9">
        <f>VLOOKUP(C1391,サイズ別係数!A$2:B$9,2,FALSE)</f>
        <v>60</v>
      </c>
      <c r="Y1391" s="26">
        <f>VLOOKUP($X1391,サイズ別係数!$B:$E,2,FALSE)</f>
        <v>1.7</v>
      </c>
      <c r="Z1391" s="26">
        <f>VLOOKUP($X1391,サイズ別係数!$B:$E,3,FALSE)</f>
        <v>1.4</v>
      </c>
      <c r="AA1391" s="26">
        <f>VLOOKUP($X1391,サイズ別係数!$B:$E,4,FALSE)</f>
        <v>1</v>
      </c>
      <c r="AB1391" s="5">
        <v>0</v>
      </c>
      <c r="AC1391" s="34" t="str">
        <f ca="1">VLOOKUP($AB1391,OFFSET([3]enemy_skill_sets!$B$2,0,0,COUNTA([3]enemy_skill_sets!$A:$A),MATCH(AC$1,[3]enemy_skill_sets!$1:$1,0)-MATCH($AB$1,[3]enemy_skill_sets!$1:$1,0)+1),MATCH(AC$1,[3]enemy_skill_sets!$1:$1,0)-MATCH($AB$1,[3]enemy_skill_sets!$1:$1,0)+1,FALSE)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1" s="67">
        <v>1</v>
      </c>
      <c r="AE1391" s="67">
        <v>1</v>
      </c>
      <c r="AF1391" s="37">
        <v>0</v>
      </c>
      <c r="AG1391" s="41">
        <v>4250</v>
      </c>
      <c r="AH1391" s="41">
        <v>294</v>
      </c>
      <c r="AI1391" s="41">
        <v>0</v>
      </c>
      <c r="AJ1391" s="41">
        <v>172550</v>
      </c>
      <c r="AK1391" s="41">
        <v>11948</v>
      </c>
      <c r="AL1391" s="41">
        <f>ROUND(VLOOKUP(100,enemy_base_stats!$A:$F,4,FALSE)* AA1391* L1391*Q1391*G1391*U1391*AF1391*[2]ステータス!$D$2,0)</f>
        <v>0</v>
      </c>
      <c r="AM1391" s="97">
        <f>VLOOKUP(M1391,[2]character_tribe_i18n!$A:$I,9,FALSE)</f>
        <v>480</v>
      </c>
      <c r="AN1391" s="36">
        <v>0</v>
      </c>
      <c r="AO1391" s="53">
        <v>0</v>
      </c>
      <c r="AP1391" s="58" t="s">
        <v>72</v>
      </c>
      <c r="AQ1391" s="71">
        <f t="shared" si="84"/>
        <v>1523</v>
      </c>
    </row>
    <row r="1392" spans="1:43" ht="21" customHeight="1" x14ac:dyDescent="0.15">
      <c r="A1392" s="7">
        <v>1524</v>
      </c>
      <c r="B1392" s="6" t="str">
        <f>VLOOKUP(A1392,[2]characters!$A:$C,3,FALSE)</f>
        <v>狂乱のネコムート</v>
      </c>
      <c r="C1392" s="9">
        <f>VLOOKUP(A1392,[2]characters!$A:$I,9,FALSE)</f>
        <v>6</v>
      </c>
      <c r="D1392" s="9" t="str">
        <f>VLOOKUP(A1392,[2]characters!$A:$H,8,FALSE)</f>
        <v>blue</v>
      </c>
      <c r="E1392" s="24">
        <f>VLOOKUP(D1392,[2]属性!$A:$E,2,FALSE)</f>
        <v>1</v>
      </c>
      <c r="F1392" s="24">
        <f>VLOOKUP(D1392,[2]属性!$A:$E,3,FALSE)</f>
        <v>0.98</v>
      </c>
      <c r="G1392" s="24">
        <f>VLOOKUP(D1392,[2]属性!$A:$F,4,FALSE)</f>
        <v>1</v>
      </c>
      <c r="H1392" s="9" t="str">
        <f>VLOOKUP(A1392,[2]characters!$A:$K,11,FALSE)</f>
        <v>technical</v>
      </c>
      <c r="I1392" s="14" t="str">
        <f>VLOOKUP(H1392,[2]character_type_i18n!$A:$F,3,FALSE)</f>
        <v>テクニカルタイプ</v>
      </c>
      <c r="J1392" s="36">
        <f>VLOOKUP(H1392,[2]character_type_i18n!$A:$F,4,FALSE)</f>
        <v>0.9</v>
      </c>
      <c r="K1392" s="36">
        <f>VLOOKUP(H1392,[2]character_type_i18n!$A:$F,5,FALSE)</f>
        <v>0.9</v>
      </c>
      <c r="L1392" s="36">
        <f>VLOOKUP(H1392,[2]character_type_i18n!$A:$F,6,FALSE)</f>
        <v>1</v>
      </c>
      <c r="M1392" s="9" t="str">
        <f>VLOOKUP(A1392,[2]characters!$A:$M,13,FALSE)</f>
        <v>animal</v>
      </c>
      <c r="N1392" s="14" t="str">
        <f>VLOOKUP(M1392,[2]character_tribe_i18n!$A:$F,3,FALSE)</f>
        <v>アニマル</v>
      </c>
      <c r="O1392" s="24">
        <f>VLOOKUP(M1392,[2]character_tribe_i18n!$A:$F,4,FALSE)</f>
        <v>1</v>
      </c>
      <c r="P1392" s="24">
        <f>VLOOKUP(M1392,[2]character_tribe_i18n!$A:$F,5,FALSE)</f>
        <v>1.1000000000000001</v>
      </c>
      <c r="Q1392" s="24">
        <f>VLOOKUP(M1392,[2]character_tribe_i18n!$A:$F,6,FALSE)</f>
        <v>1</v>
      </c>
      <c r="R1392" s="25" t="s">
        <v>98</v>
      </c>
      <c r="S1392" s="24">
        <f>VLOOKUP($R1392,ラベル別係数!$A$1:$E$7,3,FALSE)</f>
        <v>5</v>
      </c>
      <c r="T1392" s="24">
        <f>VLOOKUP($R1392,ラベル別係数!$A$1:$E$7,4,FALSE)</f>
        <v>1.3</v>
      </c>
      <c r="U1392" s="24">
        <f>VLOOKUP($R1392,ラベル別係数!$A$1:$E$7,5,FALSE)</f>
        <v>0.8</v>
      </c>
      <c r="V1392" s="27">
        <v>3</v>
      </c>
      <c r="W1392" s="28">
        <f>VLOOKUP(V1392,ターン数別攻撃係数!$A$1:$B$1000,2,FALSE)</f>
        <v>1</v>
      </c>
      <c r="X1392" s="9">
        <f>VLOOKUP(C1392,サイズ別係数!A$2:B$9,2,FALSE)</f>
        <v>60</v>
      </c>
      <c r="Y1392" s="26">
        <f>VLOOKUP($X1392,サイズ別係数!$B:$E,2,FALSE)</f>
        <v>1.7</v>
      </c>
      <c r="Z1392" s="26">
        <f>VLOOKUP($X1392,サイズ別係数!$B:$E,3,FALSE)</f>
        <v>1.4</v>
      </c>
      <c r="AA1392" s="26">
        <f>VLOOKUP($X1392,サイズ別係数!$B:$E,4,FALSE)</f>
        <v>1</v>
      </c>
      <c r="AB1392" s="5">
        <v>0</v>
      </c>
      <c r="AC1392" s="34" t="str">
        <f ca="1">VLOOKUP($AB1392,OFFSET([3]enemy_skill_sets!$B$2,0,0,COUNTA([3]enemy_skill_sets!$A:$A),MATCH(AC$1,[3]enemy_skill_sets!$1:$1,0)-MATCH($AB$1,[3]enemy_skill_sets!$1:$1,0)+1),MATCH(AC$1,[3]enemy_skill_sets!$1:$1,0)-MATCH($AB$1,[3]enemy_skill_sets!$1:$1,0)+1,FALSE)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2" s="67">
        <v>1</v>
      </c>
      <c r="AE1392" s="67">
        <v>1</v>
      </c>
      <c r="AF1392" s="37">
        <v>0</v>
      </c>
      <c r="AG1392" s="41">
        <v>4250</v>
      </c>
      <c r="AH1392" s="41">
        <v>294</v>
      </c>
      <c r="AI1392" s="41">
        <v>0</v>
      </c>
      <c r="AJ1392" s="41">
        <v>172550</v>
      </c>
      <c r="AK1392" s="41">
        <v>11948</v>
      </c>
      <c r="AL1392" s="41">
        <f>ROUND(VLOOKUP(100,enemy_base_stats!$A:$F,4,FALSE)* AA1392* L1392*Q1392*G1392*U1392*AF1392*[2]ステータス!$D$2,0)</f>
        <v>0</v>
      </c>
      <c r="AM1392" s="97">
        <f>VLOOKUP(M1392,[2]character_tribe_i18n!$A:$I,9,FALSE)</f>
        <v>480</v>
      </c>
      <c r="AN1392" s="36">
        <v>0</v>
      </c>
      <c r="AO1392" s="53">
        <v>0</v>
      </c>
      <c r="AP1392" s="58" t="s">
        <v>72</v>
      </c>
      <c r="AQ1392" s="71">
        <f t="shared" si="84"/>
        <v>1524</v>
      </c>
    </row>
    <row r="1393" spans="1:43" ht="21" customHeight="1" x14ac:dyDescent="0.15">
      <c r="A1393" s="7">
        <v>1525</v>
      </c>
      <c r="B1393" s="6" t="str">
        <f>VLOOKUP(A1393,[2]characters!$A:$C,3,FALSE)</f>
        <v>狂乱のネコ</v>
      </c>
      <c r="C1393" s="9">
        <f>VLOOKUP(A1393,[2]characters!$A:$I,9,FALSE)</f>
        <v>5</v>
      </c>
      <c r="D1393" s="9" t="str">
        <f>VLOOKUP(A1393,[2]characters!$A:$H,8,FALSE)</f>
        <v>red</v>
      </c>
      <c r="E1393" s="24">
        <f>VLOOKUP(D1393,[2]属性!$A:$E,2,FALSE)</f>
        <v>1</v>
      </c>
      <c r="F1393" s="24">
        <f>VLOOKUP(D1393,[2]属性!$A:$E,3,FALSE)</f>
        <v>1.02</v>
      </c>
      <c r="G1393" s="24">
        <f>VLOOKUP(D1393,[2]属性!$A:$F,4,FALSE)</f>
        <v>1</v>
      </c>
      <c r="H1393" s="100" t="s">
        <v>180</v>
      </c>
      <c r="I1393" s="14" t="str">
        <f>VLOOKUP(H1393,[2]character_type_i18n!$A:$F,3,FALSE)</f>
        <v>攻撃タイプ</v>
      </c>
      <c r="J1393" s="36">
        <f>VLOOKUP(H1393,[2]character_type_i18n!$A:$F,4,FALSE)</f>
        <v>1</v>
      </c>
      <c r="K1393" s="36">
        <f>VLOOKUP(H1393,[2]character_type_i18n!$A:$F,5,FALSE)</f>
        <v>1.33</v>
      </c>
      <c r="L1393" s="36">
        <f>VLOOKUP(H1393,[2]character_type_i18n!$A:$F,6,FALSE)</f>
        <v>1</v>
      </c>
      <c r="M1393" s="9" t="str">
        <f>VLOOKUP(A1393,[2]characters!$A:$M,13,FALSE)</f>
        <v>animal</v>
      </c>
      <c r="N1393" s="14" t="str">
        <f>VLOOKUP(M1393,[2]character_tribe_i18n!$A:$F,3,FALSE)</f>
        <v>アニマル</v>
      </c>
      <c r="O1393" s="24">
        <f>VLOOKUP(M1393,[2]character_tribe_i18n!$A:$F,4,FALSE)</f>
        <v>1</v>
      </c>
      <c r="P1393" s="24">
        <f>VLOOKUP(M1393,[2]character_tribe_i18n!$A:$F,5,FALSE)</f>
        <v>1.1000000000000001</v>
      </c>
      <c r="Q1393" s="24">
        <f>VLOOKUP(M1393,[2]character_tribe_i18n!$A:$F,6,FALSE)</f>
        <v>1</v>
      </c>
      <c r="R1393" s="25" t="s">
        <v>98</v>
      </c>
      <c r="S1393" s="24">
        <f>VLOOKUP($R1393,ラベル別係数!$A$1:$E$7,3,FALSE)</f>
        <v>5</v>
      </c>
      <c r="T1393" s="24">
        <f>VLOOKUP($R1393,ラベル別係数!$A$1:$E$7,4,FALSE)</f>
        <v>1.3</v>
      </c>
      <c r="U1393" s="24">
        <f>VLOOKUP($R1393,ラベル別係数!$A$1:$E$7,5,FALSE)</f>
        <v>0.8</v>
      </c>
      <c r="V1393" s="27">
        <v>3</v>
      </c>
      <c r="W1393" s="28">
        <f>VLOOKUP(V1393,ターン数別攻撃係数!$A$1:$B$1000,2,FALSE)</f>
        <v>1</v>
      </c>
      <c r="X1393" s="9">
        <f>VLOOKUP(C1393,サイズ別係数!A$2:B$9,2,FALSE)</f>
        <v>60</v>
      </c>
      <c r="Y1393" s="26">
        <f>VLOOKUP($X1393,サイズ別係数!$B:$E,2,FALSE)</f>
        <v>1.7</v>
      </c>
      <c r="Z1393" s="26">
        <f>VLOOKUP($X1393,サイズ別係数!$B:$E,3,FALSE)</f>
        <v>1.4</v>
      </c>
      <c r="AA1393" s="26">
        <f>VLOOKUP($X1393,サイズ別係数!$B:$E,4,FALSE)</f>
        <v>1</v>
      </c>
      <c r="AB1393" s="5">
        <v>0</v>
      </c>
      <c r="AC1393" s="34" t="str">
        <f ca="1">VLOOKUP($AB1393,OFFSET([3]enemy_skill_sets!$B$2,0,0,COUNTA([3]enemy_skill_sets!$A:$A),MATCH(AC$1,[3]enemy_skill_sets!$1:$1,0)-MATCH($AB$1,[3]enemy_skill_sets!$1:$1,0)+1),MATCH(AC$1,[3]enemy_skill_sets!$1:$1,0)-MATCH($AB$1,[3]enemy_skill_sets!$1:$1,0)+1,FALSE)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3" s="67">
        <v>1</v>
      </c>
      <c r="AE1393" s="67">
        <v>1</v>
      </c>
      <c r="AF1393" s="37">
        <v>0</v>
      </c>
      <c r="AG1393" s="41">
        <v>4250</v>
      </c>
      <c r="AH1393" s="41">
        <v>306</v>
      </c>
      <c r="AI1393" s="41">
        <f>ROUND(VLOOKUP(1,enemy_base_stats!$A:$F,4,FALSE) * AA1393*L1393*Q1393*G1393*U1393*AF1393*[2]ステータス!$D$2,0)</f>
        <v>0</v>
      </c>
      <c r="AJ1393" s="41">
        <v>172550</v>
      </c>
      <c r="AK1393" s="41">
        <v>12436</v>
      </c>
      <c r="AL1393" s="41">
        <f>ROUND(VLOOKUP(100,enemy_base_stats!$A:$F,4,FALSE)* AA1393* L1393*Q1393*G1393*U1393*AF1393*[2]ステータス!$D$2,0)</f>
        <v>0</v>
      </c>
      <c r="AM1393" s="97">
        <f>VLOOKUP(M1393,[2]character_tribe_i18n!$A:$I,9,FALSE)</f>
        <v>480</v>
      </c>
      <c r="AN1393" s="36">
        <v>0</v>
      </c>
      <c r="AO1393" s="53">
        <v>0</v>
      </c>
      <c r="AP1393" s="58" t="s">
        <v>72</v>
      </c>
      <c r="AQ1393" s="71">
        <f t="shared" si="84"/>
        <v>1525</v>
      </c>
    </row>
    <row r="1394" spans="1:43" ht="21" customHeight="1" x14ac:dyDescent="0.15">
      <c r="A1394" s="7">
        <v>1526</v>
      </c>
      <c r="B1394" s="6" t="str">
        <f>VLOOKUP(A1394,[2]characters!$A:$C,3,FALSE)</f>
        <v>狂乱のネコビルダー</v>
      </c>
      <c r="C1394" s="9">
        <f>VLOOKUP(A1394,[2]characters!$A:$I,9,FALSE)</f>
        <v>6</v>
      </c>
      <c r="D1394" s="9" t="str">
        <f>VLOOKUP(A1394,[2]characters!$A:$H,8,FALSE)</f>
        <v>red</v>
      </c>
      <c r="E1394" s="24">
        <f>VLOOKUP(D1394,[2]属性!$A:$E,2,FALSE)</f>
        <v>1</v>
      </c>
      <c r="F1394" s="24">
        <f>VLOOKUP(D1394,[2]属性!$A:$E,3,FALSE)</f>
        <v>1.02</v>
      </c>
      <c r="G1394" s="24">
        <f>VLOOKUP(D1394,[2]属性!$A:$F,4,FALSE)</f>
        <v>1</v>
      </c>
      <c r="H1394" s="100" t="s">
        <v>180</v>
      </c>
      <c r="I1394" s="14" t="str">
        <f>VLOOKUP(H1394,[2]character_type_i18n!$A:$F,3,FALSE)</f>
        <v>攻撃タイプ</v>
      </c>
      <c r="J1394" s="36">
        <f>VLOOKUP(H1394,[2]character_type_i18n!$A:$F,4,FALSE)</f>
        <v>1</v>
      </c>
      <c r="K1394" s="36">
        <f>VLOOKUP(H1394,[2]character_type_i18n!$A:$F,5,FALSE)</f>
        <v>1.33</v>
      </c>
      <c r="L1394" s="36">
        <f>VLOOKUP(H1394,[2]character_type_i18n!$A:$F,6,FALSE)</f>
        <v>1</v>
      </c>
      <c r="M1394" s="9" t="str">
        <f>VLOOKUP(A1394,[2]characters!$A:$M,13,FALSE)</f>
        <v>animal</v>
      </c>
      <c r="N1394" s="14" t="str">
        <f>VLOOKUP(M1394,[2]character_tribe_i18n!$A:$F,3,FALSE)</f>
        <v>アニマル</v>
      </c>
      <c r="O1394" s="24">
        <f>VLOOKUP(M1394,[2]character_tribe_i18n!$A:$F,4,FALSE)</f>
        <v>1</v>
      </c>
      <c r="P1394" s="24">
        <f>VLOOKUP(M1394,[2]character_tribe_i18n!$A:$F,5,FALSE)</f>
        <v>1.1000000000000001</v>
      </c>
      <c r="Q1394" s="24">
        <f>VLOOKUP(M1394,[2]character_tribe_i18n!$A:$F,6,FALSE)</f>
        <v>1</v>
      </c>
      <c r="R1394" s="25" t="s">
        <v>98</v>
      </c>
      <c r="S1394" s="24">
        <f>VLOOKUP($R1394,ラベル別係数!$A$1:$E$7,3,FALSE)</f>
        <v>5</v>
      </c>
      <c r="T1394" s="24">
        <f>VLOOKUP($R1394,ラベル別係数!$A$1:$E$7,4,FALSE)</f>
        <v>1.3</v>
      </c>
      <c r="U1394" s="24">
        <f>VLOOKUP($R1394,ラベル別係数!$A$1:$E$7,5,FALSE)</f>
        <v>0.8</v>
      </c>
      <c r="V1394" s="27">
        <v>3</v>
      </c>
      <c r="W1394" s="28">
        <f>VLOOKUP(V1394,ターン数別攻撃係数!$A$1:$B$1000,2,FALSE)</f>
        <v>1</v>
      </c>
      <c r="X1394" s="9">
        <f>VLOOKUP(C1394,サイズ別係数!A$2:B$9,2,FALSE)</f>
        <v>60</v>
      </c>
      <c r="Y1394" s="26">
        <f>VLOOKUP($X1394,サイズ別係数!$B:$E,2,FALSE)</f>
        <v>1.7</v>
      </c>
      <c r="Z1394" s="26">
        <f>VLOOKUP($X1394,サイズ別係数!$B:$E,3,FALSE)</f>
        <v>1.4</v>
      </c>
      <c r="AA1394" s="26">
        <f>VLOOKUP($X1394,サイズ別係数!$B:$E,4,FALSE)</f>
        <v>1</v>
      </c>
      <c r="AB1394" s="5">
        <v>0</v>
      </c>
      <c r="AC1394" s="34" t="str">
        <f ca="1">VLOOKUP($AB1394,OFFSET([3]enemy_skill_sets!$B$2,0,0,COUNTA([3]enemy_skill_sets!$A:$A),MATCH(AC$1,[3]enemy_skill_sets!$1:$1,0)-MATCH($AB$1,[3]enemy_skill_sets!$1:$1,0)+1),MATCH(AC$1,[3]enemy_skill_sets!$1:$1,0)-MATCH($AB$1,[3]enemy_skill_sets!$1:$1,0)+1,FALSE)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4" s="67">
        <v>1</v>
      </c>
      <c r="AE1394" s="67">
        <v>1</v>
      </c>
      <c r="AF1394" s="37">
        <v>0</v>
      </c>
      <c r="AG1394" s="41">
        <v>4250</v>
      </c>
      <c r="AH1394" s="41">
        <v>306</v>
      </c>
      <c r="AI1394" s="41">
        <f>ROUND(VLOOKUP(1,enemy_base_stats!$A:$F,4,FALSE) * AA1394*L1394*Q1394*G1394*U1394*AF1394*[2]ステータス!$D$2,0)</f>
        <v>0</v>
      </c>
      <c r="AJ1394" s="41">
        <v>172550</v>
      </c>
      <c r="AK1394" s="41">
        <v>12436</v>
      </c>
      <c r="AL1394" s="41">
        <f>ROUND(VLOOKUP(100,enemy_base_stats!$A:$F,4,FALSE)* AA1394* L1394*Q1394*G1394*U1394*AF1394*[2]ステータス!$D$2,0)</f>
        <v>0</v>
      </c>
      <c r="AM1394" s="97">
        <f>VLOOKUP(M1394,[2]character_tribe_i18n!$A:$I,9,FALSE)</f>
        <v>480</v>
      </c>
      <c r="AN1394" s="36">
        <v>0</v>
      </c>
      <c r="AO1394" s="53">
        <v>0</v>
      </c>
      <c r="AP1394" s="58" t="s">
        <v>72</v>
      </c>
      <c r="AQ1394" s="71">
        <f t="shared" si="84"/>
        <v>1526</v>
      </c>
    </row>
    <row r="1395" spans="1:43" ht="21" customHeight="1" x14ac:dyDescent="0.15">
      <c r="A1395" s="7">
        <v>1551</v>
      </c>
      <c r="B1395" s="6" t="str">
        <f>VLOOKUP(A1395,[2]characters!$A:$C,3,FALSE)</f>
        <v>Leo01</v>
      </c>
      <c r="C1395" s="9">
        <f>VLOOKUP(A1395,[2]characters!$A:$I,9,FALSE)</f>
        <v>5</v>
      </c>
      <c r="D1395" s="9" t="str">
        <f>VLOOKUP(A1395,[2]characters!$A:$H,8,FALSE)</f>
        <v>red</v>
      </c>
      <c r="E1395" s="24">
        <f>VLOOKUP(D1395,[2]属性!$A:$E,2,FALSE)</f>
        <v>1</v>
      </c>
      <c r="F1395" s="24">
        <f>VLOOKUP(D1395,[2]属性!$A:$E,3,FALSE)</f>
        <v>1.02</v>
      </c>
      <c r="G1395" s="24">
        <f>VLOOKUP(D1395,[2]属性!$A:$F,4,FALSE)</f>
        <v>1</v>
      </c>
      <c r="H1395" s="9" t="str">
        <f>VLOOKUP(A1395,[2]characters!$A:$K,11,FALSE)</f>
        <v>attack</v>
      </c>
      <c r="I1395" s="14" t="str">
        <f>VLOOKUP(H1395,[2]character_type_i18n!$A:$F,3,FALSE)</f>
        <v>攻撃タイプ</v>
      </c>
      <c r="J1395" s="36">
        <f>VLOOKUP(H1395,[2]character_type_i18n!$A:$F,4,FALSE)</f>
        <v>1</v>
      </c>
      <c r="K1395" s="36">
        <f>VLOOKUP(H1395,[2]character_type_i18n!$A:$F,5,FALSE)</f>
        <v>1.33</v>
      </c>
      <c r="L1395" s="36">
        <f>VLOOKUP(H1395,[2]character_type_i18n!$A:$F,6,FALSE)</f>
        <v>1</v>
      </c>
      <c r="M1395" s="9" t="str">
        <f>VLOOKUP(A1395,[2]characters!$A:$M,13,FALSE)</f>
        <v>human</v>
      </c>
      <c r="N1395" s="14" t="str">
        <f>VLOOKUP(M1395,[2]character_tribe_i18n!$A:$F,3,FALSE)</f>
        <v>ヒューマン</v>
      </c>
      <c r="O1395" s="24">
        <f>VLOOKUP(M1395,[2]character_tribe_i18n!$A:$F,4,FALSE)</f>
        <v>0.94</v>
      </c>
      <c r="P1395" s="24">
        <f>VLOOKUP(M1395,[2]character_tribe_i18n!$A:$F,5,FALSE)</f>
        <v>0.99</v>
      </c>
      <c r="Q1395" s="24">
        <f>VLOOKUP(M1395,[2]character_tribe_i18n!$A:$F,6,FALSE)</f>
        <v>1</v>
      </c>
      <c r="R1395" s="25" t="s">
        <v>98</v>
      </c>
      <c r="S1395" s="24">
        <f>VLOOKUP($R1395,ラベル別係数!$A$1:$E$7,3,FALSE)</f>
        <v>5</v>
      </c>
      <c r="T1395" s="24">
        <f>VLOOKUP($R1395,ラベル別係数!$A$1:$E$7,4,FALSE)</f>
        <v>1.3</v>
      </c>
      <c r="U1395" s="24">
        <f>VLOOKUP($R1395,ラベル別係数!$A$1:$E$7,5,FALSE)</f>
        <v>0.8</v>
      </c>
      <c r="V1395" s="27">
        <v>3</v>
      </c>
      <c r="W1395" s="28">
        <f>VLOOKUP(V1395,ターン数別攻撃係数!$A$1:$B$1000,2,FALSE)</f>
        <v>1</v>
      </c>
      <c r="X1395" s="9">
        <f>VLOOKUP(C1395,サイズ別係数!A$2:B$9,2,FALSE)</f>
        <v>60</v>
      </c>
      <c r="Y1395" s="26">
        <f>VLOOKUP($X1395,サイズ別係数!$B:$E,2,FALSE)</f>
        <v>1.7</v>
      </c>
      <c r="Z1395" s="26">
        <f>VLOOKUP($X1395,サイズ別係数!$B:$E,3,FALSE)</f>
        <v>1.4</v>
      </c>
      <c r="AA1395" s="26">
        <f>VLOOKUP($X1395,サイズ別係数!$B:$E,4,FALSE)</f>
        <v>1</v>
      </c>
      <c r="AB1395" s="5">
        <v>0</v>
      </c>
      <c r="AC1395" s="34" t="str">
        <f ca="1">VLOOKUP($AB1395,OFFSET([3]enemy_skill_sets!$B$2,0,0,COUNTA([3]enemy_skill_sets!$A:$A),MATCH(AC$1,[3]enemy_skill_sets!$1:$1,0)-MATCH($AB$1,[3]enemy_skill_sets!$1:$1,0)+1),MATCH(AC$1,[3]enemy_skill_sets!$1:$1,0)-MATCH($AB$1,[3]enemy_skill_sets!$1:$1,0)+1,FALSE)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5" s="67">
        <v>1</v>
      </c>
      <c r="AE1395" s="67">
        <v>1</v>
      </c>
      <c r="AF1395" s="37">
        <v>0</v>
      </c>
      <c r="AG1395" s="99">
        <f>ROUND(VLOOKUP(1,enemy_base_stats!$A:$F,2,FALSE) * Y1395* J1395*O1395*E1395*S1395*AD1395*[2]ステータス!$B$2,0)</f>
        <v>3995</v>
      </c>
      <c r="AH1395" s="99">
        <f>ROUND(VLOOKUP(1,enemy_base_stats!$A:$F,3,FALSE) * Z1395*K1395*P1395*F1395*T1395*AE1395 * W1395*[2]ステータス!$C$2,0)</f>
        <v>367</v>
      </c>
      <c r="AI1395" s="99">
        <f>ROUND(VLOOKUP(1,enemy_base_stats!$A:$F,4,FALSE) * AA1395*L1395*Q1395*G1395*U1395*AF1395*[2]ステータス!$D$2,0)</f>
        <v>0</v>
      </c>
      <c r="AJ1395" s="99">
        <f>ROUND(VLOOKUP(100,enemy_base_stats!$A:$F,2,FALSE) * Y1395* J1395*O1395*E1395*S1395*AD1395*[2]ステータス!$B$2,0)</f>
        <v>162197</v>
      </c>
      <c r="AK1395" s="99">
        <f>ROUND(VLOOKUP(100,enemy_base_stats!$A:$F,3,FALSE)* Z1395* K1395*P1395*F1395*T1395*AE1395 * W1395*[2]ステータス!$C$2,0)</f>
        <v>14886</v>
      </c>
      <c r="AL1395" s="99">
        <f>ROUND(VLOOKUP(100,enemy_base_stats!$A:$F,4,FALSE)* AA1395* L1395*Q1395*G1395*U1395*AF1395*[2]ステータス!$D$2,0)</f>
        <v>0</v>
      </c>
      <c r="AM1395" s="97">
        <f>VLOOKUP(M1395,[2]character_tribe_i18n!$A:$I,9,FALSE)</f>
        <v>400</v>
      </c>
      <c r="AN1395" s="36">
        <v>0</v>
      </c>
      <c r="AO1395" s="53">
        <v>0</v>
      </c>
      <c r="AP1395" s="58" t="s">
        <v>72</v>
      </c>
      <c r="AQ1395" s="71">
        <f t="shared" si="84"/>
        <v>1551</v>
      </c>
    </row>
    <row r="1396" spans="1:43" ht="21" customHeight="1" x14ac:dyDescent="0.15">
      <c r="A1396" s="7">
        <v>1552</v>
      </c>
      <c r="B1396" s="6" t="str">
        <f>VLOOKUP(A1396,[2]characters!$A:$C,3,FALSE)</f>
        <v>Leo02</v>
      </c>
      <c r="C1396" s="9">
        <f>VLOOKUP(A1396,[2]characters!$A:$I,9,FALSE)</f>
        <v>6</v>
      </c>
      <c r="D1396" s="9" t="str">
        <f>VLOOKUP(A1396,[2]characters!$A:$H,8,FALSE)</f>
        <v>red</v>
      </c>
      <c r="E1396" s="24">
        <f>VLOOKUP(D1396,[2]属性!$A:$E,2,FALSE)</f>
        <v>1</v>
      </c>
      <c r="F1396" s="24">
        <f>VLOOKUP(D1396,[2]属性!$A:$E,3,FALSE)</f>
        <v>1.02</v>
      </c>
      <c r="G1396" s="24">
        <f>VLOOKUP(D1396,[2]属性!$A:$F,4,FALSE)</f>
        <v>1</v>
      </c>
      <c r="H1396" s="9" t="str">
        <f>VLOOKUP(A1396,[2]characters!$A:$K,11,FALSE)</f>
        <v>attack</v>
      </c>
      <c r="I1396" s="14" t="str">
        <f>VLOOKUP(H1396,[2]character_type_i18n!$A:$F,3,FALSE)</f>
        <v>攻撃タイプ</v>
      </c>
      <c r="J1396" s="36">
        <f>VLOOKUP(H1396,[2]character_type_i18n!$A:$F,4,FALSE)</f>
        <v>1</v>
      </c>
      <c r="K1396" s="36">
        <f>VLOOKUP(H1396,[2]character_type_i18n!$A:$F,5,FALSE)</f>
        <v>1.33</v>
      </c>
      <c r="L1396" s="36">
        <f>VLOOKUP(H1396,[2]character_type_i18n!$A:$F,6,FALSE)</f>
        <v>1</v>
      </c>
      <c r="M1396" s="9" t="str">
        <f>VLOOKUP(A1396,[2]characters!$A:$M,13,FALSE)</f>
        <v>human</v>
      </c>
      <c r="N1396" s="14" t="str">
        <f>VLOOKUP(M1396,[2]character_tribe_i18n!$A:$F,3,FALSE)</f>
        <v>ヒューマン</v>
      </c>
      <c r="O1396" s="24">
        <f>VLOOKUP(M1396,[2]character_tribe_i18n!$A:$F,4,FALSE)</f>
        <v>0.94</v>
      </c>
      <c r="P1396" s="24">
        <f>VLOOKUP(M1396,[2]character_tribe_i18n!$A:$F,5,FALSE)</f>
        <v>0.99</v>
      </c>
      <c r="Q1396" s="24">
        <f>VLOOKUP(M1396,[2]character_tribe_i18n!$A:$F,6,FALSE)</f>
        <v>1</v>
      </c>
      <c r="R1396" s="25" t="s">
        <v>98</v>
      </c>
      <c r="S1396" s="24">
        <f>VLOOKUP($R1396,ラベル別係数!$A$1:$E$7,3,FALSE)</f>
        <v>5</v>
      </c>
      <c r="T1396" s="24">
        <f>VLOOKUP($R1396,ラベル別係数!$A$1:$E$7,4,FALSE)</f>
        <v>1.3</v>
      </c>
      <c r="U1396" s="24">
        <f>VLOOKUP($R1396,ラベル別係数!$A$1:$E$7,5,FALSE)</f>
        <v>0.8</v>
      </c>
      <c r="V1396" s="27">
        <v>3</v>
      </c>
      <c r="W1396" s="28">
        <f>VLOOKUP(V1396,ターン数別攻撃係数!$A$1:$B$1000,2,FALSE)</f>
        <v>1</v>
      </c>
      <c r="X1396" s="9">
        <f>VLOOKUP(C1396,サイズ別係数!A$2:B$9,2,FALSE)</f>
        <v>60</v>
      </c>
      <c r="Y1396" s="26">
        <f>VLOOKUP($X1396,サイズ別係数!$B:$E,2,FALSE)</f>
        <v>1.7</v>
      </c>
      <c r="Z1396" s="26">
        <f>VLOOKUP($X1396,サイズ別係数!$B:$E,3,FALSE)</f>
        <v>1.4</v>
      </c>
      <c r="AA1396" s="26">
        <f>VLOOKUP($X1396,サイズ別係数!$B:$E,4,FALSE)</f>
        <v>1</v>
      </c>
      <c r="AB1396" s="5">
        <v>0</v>
      </c>
      <c r="AC1396" s="34" t="str">
        <f ca="1">VLOOKUP($AB1396,OFFSET([3]enemy_skill_sets!$B$2,0,0,COUNTA([3]enemy_skill_sets!$A:$A),MATCH(AC$1,[3]enemy_skill_sets!$1:$1,0)-MATCH($AB$1,[3]enemy_skill_sets!$1:$1,0)+1),MATCH(AC$1,[3]enemy_skill_sets!$1:$1,0)-MATCH($AB$1,[3]enemy_skill_sets!$1:$1,0)+1,FALSE)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6" s="67">
        <v>1</v>
      </c>
      <c r="AE1396" s="67">
        <v>1</v>
      </c>
      <c r="AF1396" s="37">
        <v>0</v>
      </c>
      <c r="AG1396" s="99">
        <f>ROUND(VLOOKUP(1,enemy_base_stats!$A:$F,2,FALSE) * Y1396* J1396*O1396*E1396*S1396*AD1396*[2]ステータス!$B$2,0)</f>
        <v>3995</v>
      </c>
      <c r="AH1396" s="99">
        <f>ROUND(VLOOKUP(1,enemy_base_stats!$A:$F,3,FALSE) * Z1396*K1396*P1396*F1396*T1396*AE1396 * W1396*[2]ステータス!$C$2,0)</f>
        <v>367</v>
      </c>
      <c r="AI1396" s="99">
        <f>ROUND(VLOOKUP(1,enemy_base_stats!$A:$F,4,FALSE) * AA1396*L1396*Q1396*G1396*U1396*AF1396*[2]ステータス!$D$2,0)</f>
        <v>0</v>
      </c>
      <c r="AJ1396" s="99">
        <f>ROUND(VLOOKUP(100,enemy_base_stats!$A:$F,2,FALSE) * Y1396* J1396*O1396*E1396*S1396*AD1396*[2]ステータス!$B$2,0)</f>
        <v>162197</v>
      </c>
      <c r="AK1396" s="99">
        <f>ROUND(VLOOKUP(100,enemy_base_stats!$A:$F,3,FALSE)* Z1396* K1396*P1396*F1396*T1396*AE1396 * W1396*[2]ステータス!$C$2,0)</f>
        <v>14886</v>
      </c>
      <c r="AL1396" s="99">
        <f>ROUND(VLOOKUP(100,enemy_base_stats!$A:$F,4,FALSE)* AA1396* L1396*Q1396*G1396*U1396*AF1396*[2]ステータス!$D$2,0)</f>
        <v>0</v>
      </c>
      <c r="AM1396" s="97">
        <f>VLOOKUP(M1396,[2]character_tribe_i18n!$A:$I,9,FALSE)</f>
        <v>400</v>
      </c>
      <c r="AN1396" s="36">
        <v>0</v>
      </c>
      <c r="AO1396" s="53">
        <v>0</v>
      </c>
      <c r="AP1396" s="58" t="s">
        <v>72</v>
      </c>
      <c r="AQ1396" s="71">
        <f t="shared" si="84"/>
        <v>1552</v>
      </c>
    </row>
    <row r="1397" spans="1:43" ht="21" customHeight="1" x14ac:dyDescent="0.15">
      <c r="A1397" s="7">
        <v>1553</v>
      </c>
      <c r="B1397" s="6" t="str">
        <f>VLOOKUP(A1397,[2]characters!$A:$C,3,FALSE)</f>
        <v>Andromeda01</v>
      </c>
      <c r="C1397" s="9">
        <f>VLOOKUP(A1397,[2]characters!$A:$I,9,FALSE)</f>
        <v>5</v>
      </c>
      <c r="D1397" s="9" t="str">
        <f>VLOOKUP(A1397,[2]characters!$A:$H,8,FALSE)</f>
        <v>yellow</v>
      </c>
      <c r="E1397" s="24">
        <f>VLOOKUP(D1397,[2]属性!$A:$E,2,FALSE)</f>
        <v>0.98</v>
      </c>
      <c r="F1397" s="24">
        <f>VLOOKUP(D1397,[2]属性!$A:$E,3,FALSE)</f>
        <v>1.01</v>
      </c>
      <c r="G1397" s="24">
        <f>VLOOKUP(D1397,[2]属性!$A:$F,4,FALSE)</f>
        <v>1</v>
      </c>
      <c r="H1397" s="9" t="str">
        <f>VLOOKUP(A1397,[2]characters!$A:$K,11,FALSE)</f>
        <v>technical</v>
      </c>
      <c r="I1397" s="14" t="str">
        <f>VLOOKUP(H1397,[2]character_type_i18n!$A:$F,3,FALSE)</f>
        <v>テクニカルタイプ</v>
      </c>
      <c r="J1397" s="36">
        <f>VLOOKUP(H1397,[2]character_type_i18n!$A:$F,4,FALSE)</f>
        <v>0.9</v>
      </c>
      <c r="K1397" s="36">
        <f>VLOOKUP(H1397,[2]character_type_i18n!$A:$F,5,FALSE)</f>
        <v>0.9</v>
      </c>
      <c r="L1397" s="36">
        <f>VLOOKUP(H1397,[2]character_type_i18n!$A:$F,6,FALSE)</f>
        <v>1</v>
      </c>
      <c r="M1397" s="9" t="str">
        <f>VLOOKUP(A1397,[2]characters!$A:$M,13,FALSE)</f>
        <v>human</v>
      </c>
      <c r="N1397" s="14" t="str">
        <f>VLOOKUP(M1397,[2]character_tribe_i18n!$A:$F,3,FALSE)</f>
        <v>ヒューマン</v>
      </c>
      <c r="O1397" s="24">
        <f>VLOOKUP(M1397,[2]character_tribe_i18n!$A:$F,4,FALSE)</f>
        <v>0.94</v>
      </c>
      <c r="P1397" s="24">
        <f>VLOOKUP(M1397,[2]character_tribe_i18n!$A:$F,5,FALSE)</f>
        <v>0.99</v>
      </c>
      <c r="Q1397" s="24">
        <f>VLOOKUP(M1397,[2]character_tribe_i18n!$A:$F,6,FALSE)</f>
        <v>1</v>
      </c>
      <c r="R1397" s="25" t="s">
        <v>98</v>
      </c>
      <c r="S1397" s="24">
        <f>VLOOKUP($R1397,ラベル別係数!$A$1:$E$7,3,FALSE)</f>
        <v>5</v>
      </c>
      <c r="T1397" s="24">
        <f>VLOOKUP($R1397,ラベル別係数!$A$1:$E$7,4,FALSE)</f>
        <v>1.3</v>
      </c>
      <c r="U1397" s="24">
        <f>VLOOKUP($R1397,ラベル別係数!$A$1:$E$7,5,FALSE)</f>
        <v>0.8</v>
      </c>
      <c r="V1397" s="27">
        <v>3</v>
      </c>
      <c r="W1397" s="28">
        <f>VLOOKUP(V1397,ターン数別攻撃係数!$A$1:$B$1000,2,FALSE)</f>
        <v>1</v>
      </c>
      <c r="X1397" s="9">
        <f>VLOOKUP(C1397,サイズ別係数!A$2:B$9,2,FALSE)</f>
        <v>60</v>
      </c>
      <c r="Y1397" s="26">
        <f>VLOOKUP($X1397,サイズ別係数!$B:$E,2,FALSE)</f>
        <v>1.7</v>
      </c>
      <c r="Z1397" s="26">
        <f>VLOOKUP($X1397,サイズ別係数!$B:$E,3,FALSE)</f>
        <v>1.4</v>
      </c>
      <c r="AA1397" s="26">
        <f>VLOOKUP($X1397,サイズ別係数!$B:$E,4,FALSE)</f>
        <v>1</v>
      </c>
      <c r="AB1397" s="5">
        <v>0</v>
      </c>
      <c r="AC1397" s="34" t="str">
        <f ca="1">VLOOKUP($AB1397,OFFSET([3]enemy_skill_sets!$B$2,0,0,COUNTA([3]enemy_skill_sets!$A:$A),MATCH(AC$1,[3]enemy_skill_sets!$1:$1,0)-MATCH($AB$1,[3]enemy_skill_sets!$1:$1,0)+1),MATCH(AC$1,[3]enemy_skill_sets!$1:$1,0)-MATCH($AB$1,[3]enemy_skill_sets!$1:$1,0)+1,FALSE)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7" s="67">
        <v>1</v>
      </c>
      <c r="AE1397" s="67">
        <v>1</v>
      </c>
      <c r="AF1397" s="37">
        <v>0</v>
      </c>
      <c r="AG1397" s="41">
        <v>4075</v>
      </c>
      <c r="AH1397" s="41">
        <v>352</v>
      </c>
      <c r="AI1397" s="41">
        <v>0</v>
      </c>
      <c r="AJ1397" s="41">
        <v>165441</v>
      </c>
      <c r="AK1397" s="41">
        <v>14302</v>
      </c>
      <c r="AL1397" s="41">
        <v>0</v>
      </c>
      <c r="AM1397" s="97">
        <f>VLOOKUP(M1397,[2]character_tribe_i18n!$A:$I,9,FALSE)</f>
        <v>400</v>
      </c>
      <c r="AN1397" s="36">
        <v>0</v>
      </c>
      <c r="AO1397" s="53">
        <v>0</v>
      </c>
      <c r="AP1397" s="58" t="s">
        <v>72</v>
      </c>
      <c r="AQ1397" s="71">
        <f t="shared" si="84"/>
        <v>1553</v>
      </c>
    </row>
    <row r="1398" spans="1:43" ht="21" customHeight="1" x14ac:dyDescent="0.15">
      <c r="A1398" s="7">
        <v>1554</v>
      </c>
      <c r="B1398" s="6" t="str">
        <f>VLOOKUP(A1398,[2]characters!$A:$C,3,FALSE)</f>
        <v>Andromeda02</v>
      </c>
      <c r="C1398" s="9">
        <f>VLOOKUP(A1398,[2]characters!$A:$I,9,FALSE)</f>
        <v>6</v>
      </c>
      <c r="D1398" s="9" t="str">
        <f>VLOOKUP(A1398,[2]characters!$A:$H,8,FALSE)</f>
        <v>yellow</v>
      </c>
      <c r="E1398" s="24">
        <f>VLOOKUP(D1398,[2]属性!$A:$E,2,FALSE)</f>
        <v>0.98</v>
      </c>
      <c r="F1398" s="24">
        <f>VLOOKUP(D1398,[2]属性!$A:$E,3,FALSE)</f>
        <v>1.01</v>
      </c>
      <c r="G1398" s="24">
        <f>VLOOKUP(D1398,[2]属性!$A:$F,4,FALSE)</f>
        <v>1</v>
      </c>
      <c r="H1398" s="9" t="str">
        <f>VLOOKUP(A1398,[2]characters!$A:$K,11,FALSE)</f>
        <v>technical</v>
      </c>
      <c r="I1398" s="14" t="str">
        <f>VLOOKUP(H1398,[2]character_type_i18n!$A:$F,3,FALSE)</f>
        <v>テクニカルタイプ</v>
      </c>
      <c r="J1398" s="36">
        <f>VLOOKUP(H1398,[2]character_type_i18n!$A:$F,4,FALSE)</f>
        <v>0.9</v>
      </c>
      <c r="K1398" s="36">
        <f>VLOOKUP(H1398,[2]character_type_i18n!$A:$F,5,FALSE)</f>
        <v>0.9</v>
      </c>
      <c r="L1398" s="36">
        <f>VLOOKUP(H1398,[2]character_type_i18n!$A:$F,6,FALSE)</f>
        <v>1</v>
      </c>
      <c r="M1398" s="9" t="str">
        <f>VLOOKUP(A1398,[2]characters!$A:$M,13,FALSE)</f>
        <v>human</v>
      </c>
      <c r="N1398" s="14" t="str">
        <f>VLOOKUP(M1398,[2]character_tribe_i18n!$A:$F,3,FALSE)</f>
        <v>ヒューマン</v>
      </c>
      <c r="O1398" s="24">
        <f>VLOOKUP(M1398,[2]character_tribe_i18n!$A:$F,4,FALSE)</f>
        <v>0.94</v>
      </c>
      <c r="P1398" s="24">
        <f>VLOOKUP(M1398,[2]character_tribe_i18n!$A:$F,5,FALSE)</f>
        <v>0.99</v>
      </c>
      <c r="Q1398" s="24">
        <f>VLOOKUP(M1398,[2]character_tribe_i18n!$A:$F,6,FALSE)</f>
        <v>1</v>
      </c>
      <c r="R1398" s="25" t="s">
        <v>98</v>
      </c>
      <c r="S1398" s="24">
        <f>VLOOKUP($R1398,ラベル別係数!$A$1:$E$7,3,FALSE)</f>
        <v>5</v>
      </c>
      <c r="T1398" s="24">
        <f>VLOOKUP($R1398,ラベル別係数!$A$1:$E$7,4,FALSE)</f>
        <v>1.3</v>
      </c>
      <c r="U1398" s="24">
        <f>VLOOKUP($R1398,ラベル別係数!$A$1:$E$7,5,FALSE)</f>
        <v>0.8</v>
      </c>
      <c r="V1398" s="27">
        <v>3</v>
      </c>
      <c r="W1398" s="28">
        <f>VLOOKUP(V1398,ターン数別攻撃係数!$A$1:$B$1000,2,FALSE)</f>
        <v>1</v>
      </c>
      <c r="X1398" s="9">
        <f>VLOOKUP(C1398,サイズ別係数!A$2:B$9,2,FALSE)</f>
        <v>60</v>
      </c>
      <c r="Y1398" s="26">
        <f>VLOOKUP($X1398,サイズ別係数!$B:$E,2,FALSE)</f>
        <v>1.7</v>
      </c>
      <c r="Z1398" s="26">
        <f>VLOOKUP($X1398,サイズ別係数!$B:$E,3,FALSE)</f>
        <v>1.4</v>
      </c>
      <c r="AA1398" s="26">
        <f>VLOOKUP($X1398,サイズ別係数!$B:$E,4,FALSE)</f>
        <v>1</v>
      </c>
      <c r="AB1398" s="5">
        <v>0</v>
      </c>
      <c r="AC1398" s="34" t="str">
        <f ca="1">VLOOKUP($AB1398,OFFSET([3]enemy_skill_sets!$B$2,0,0,COUNTA([3]enemy_skill_sets!$A:$A),MATCH(AC$1,[3]enemy_skill_sets!$1:$1,0)-MATCH($AB$1,[3]enemy_skill_sets!$1:$1,0)+1),MATCH(AC$1,[3]enemy_skill_sets!$1:$1,0)-MATCH($AB$1,[3]enemy_skill_sets!$1:$1,0)+1,FALSE)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8" s="67">
        <v>1</v>
      </c>
      <c r="AE1398" s="67">
        <v>1</v>
      </c>
      <c r="AF1398" s="37">
        <v>0</v>
      </c>
      <c r="AG1398" s="99">
        <f>ROUND(VLOOKUP(1,enemy_base_stats!$A:$F,2,FALSE) * Y1398* J1398*O1398*E1398*S1398*AD1398*[2]ステータス!$B$2,0)</f>
        <v>3524</v>
      </c>
      <c r="AH1398" s="99">
        <f>ROUND(VLOOKUP(1,enemy_base_stats!$A:$F,3,FALSE) * Z1398*K1398*P1398*F1398*T1398*AE1398 * W1398*[2]ステータス!$C$2,0)</f>
        <v>246</v>
      </c>
      <c r="AI1398" s="99">
        <f>ROUND(VLOOKUP(1,enemy_base_stats!$A:$F,4,FALSE) * AA1398*L1398*Q1398*G1398*U1398*AF1398*[2]ステータス!$D$2,0)</f>
        <v>0</v>
      </c>
      <c r="AJ1398" s="99">
        <f>ROUND(VLOOKUP(100,enemy_base_stats!$A:$F,2,FALSE) * Y1398* J1398*O1398*E1398*S1398*AD1398*[2]ステータス!$B$2,0)</f>
        <v>143058</v>
      </c>
      <c r="AK1398" s="99">
        <f>ROUND(VLOOKUP(100,enemy_base_stats!$A:$F,3,FALSE)* Z1398* K1398*P1398*F1398*T1398*AE1398 * W1398*[2]ステータス!$C$2,0)</f>
        <v>9974</v>
      </c>
      <c r="AL1398" s="99">
        <f>ROUND(VLOOKUP(100,enemy_base_stats!$A:$F,4,FALSE)* AA1398* L1398*Q1398*G1398*U1398*AF1398*[2]ステータス!$D$2,0)</f>
        <v>0</v>
      </c>
      <c r="AM1398" s="97">
        <f>VLOOKUP(M1398,[2]character_tribe_i18n!$A:$I,9,FALSE)</f>
        <v>400</v>
      </c>
      <c r="AN1398" s="36">
        <v>0</v>
      </c>
      <c r="AO1398" s="53">
        <v>0</v>
      </c>
      <c r="AP1398" s="58" t="s">
        <v>72</v>
      </c>
      <c r="AQ1398" s="71">
        <f t="shared" si="84"/>
        <v>1554</v>
      </c>
    </row>
    <row r="1399" spans="1:43" ht="21" customHeight="1" x14ac:dyDescent="0.15">
      <c r="A1399" s="7">
        <v>1555</v>
      </c>
      <c r="B1399" s="6" t="str">
        <f>VLOOKUP(A1399,[2]characters!$A:$C,3,FALSE)</f>
        <v>Taurus01</v>
      </c>
      <c r="C1399" s="9">
        <f>VLOOKUP(A1399,[2]characters!$A:$I,9,FALSE)</f>
        <v>5</v>
      </c>
      <c r="D1399" s="9" t="str">
        <f>VLOOKUP(A1399,[2]characters!$A:$H,8,FALSE)</f>
        <v>blue</v>
      </c>
      <c r="E1399" s="24">
        <f>VLOOKUP(D1399,[2]属性!$A:$E,2,FALSE)</f>
        <v>1</v>
      </c>
      <c r="F1399" s="24">
        <f>VLOOKUP(D1399,[2]属性!$A:$E,3,FALSE)</f>
        <v>0.98</v>
      </c>
      <c r="G1399" s="24">
        <f>VLOOKUP(D1399,[2]属性!$A:$F,4,FALSE)</f>
        <v>1</v>
      </c>
      <c r="H1399" s="9" t="str">
        <f>VLOOKUP(A1399,[2]characters!$A:$K,11,FALSE)</f>
        <v>hp</v>
      </c>
      <c r="I1399" s="14" t="str">
        <f>VLOOKUP(H1399,[2]character_type_i18n!$A:$F,3,FALSE)</f>
        <v>体力タイプ</v>
      </c>
      <c r="J1399" s="36">
        <f>VLOOKUP(H1399,[2]character_type_i18n!$A:$F,4,FALSE)</f>
        <v>1.45</v>
      </c>
      <c r="K1399" s="36">
        <f>VLOOKUP(H1399,[2]character_type_i18n!$A:$F,5,FALSE)</f>
        <v>0.85</v>
      </c>
      <c r="L1399" s="36">
        <f>VLOOKUP(H1399,[2]character_type_i18n!$A:$F,6,FALSE)</f>
        <v>1</v>
      </c>
      <c r="M1399" s="9" t="str">
        <f>VLOOKUP(A1399,[2]characters!$A:$M,13,FALSE)</f>
        <v>human</v>
      </c>
      <c r="N1399" s="14" t="str">
        <f>VLOOKUP(M1399,[2]character_tribe_i18n!$A:$F,3,FALSE)</f>
        <v>ヒューマン</v>
      </c>
      <c r="O1399" s="24">
        <f>VLOOKUP(M1399,[2]character_tribe_i18n!$A:$F,4,FALSE)</f>
        <v>0.94</v>
      </c>
      <c r="P1399" s="24">
        <f>VLOOKUP(M1399,[2]character_tribe_i18n!$A:$F,5,FALSE)</f>
        <v>0.99</v>
      </c>
      <c r="Q1399" s="24">
        <f>VLOOKUP(M1399,[2]character_tribe_i18n!$A:$F,6,FALSE)</f>
        <v>1</v>
      </c>
      <c r="R1399" s="25" t="s">
        <v>98</v>
      </c>
      <c r="S1399" s="24">
        <f>VLOOKUP($R1399,ラベル別係数!$A$1:$E$7,3,FALSE)</f>
        <v>5</v>
      </c>
      <c r="T1399" s="24">
        <f>VLOOKUP($R1399,ラベル別係数!$A$1:$E$7,4,FALSE)</f>
        <v>1.3</v>
      </c>
      <c r="U1399" s="24">
        <f>VLOOKUP($R1399,ラベル別係数!$A$1:$E$7,5,FALSE)</f>
        <v>0.8</v>
      </c>
      <c r="V1399" s="27">
        <v>3</v>
      </c>
      <c r="W1399" s="28">
        <f>VLOOKUP(V1399,ターン数別攻撃係数!$A$1:$B$1000,2,FALSE)</f>
        <v>1</v>
      </c>
      <c r="X1399" s="9">
        <f>VLOOKUP(C1399,サイズ別係数!A$2:B$9,2,FALSE)</f>
        <v>60</v>
      </c>
      <c r="Y1399" s="26">
        <f>VLOOKUP($X1399,サイズ別係数!$B:$E,2,FALSE)</f>
        <v>1.7</v>
      </c>
      <c r="Z1399" s="26">
        <f>VLOOKUP($X1399,サイズ別係数!$B:$E,3,FALSE)</f>
        <v>1.4</v>
      </c>
      <c r="AA1399" s="26">
        <f>VLOOKUP($X1399,サイズ別係数!$B:$E,4,FALSE)</f>
        <v>1</v>
      </c>
      <c r="AB1399" s="5">
        <v>0</v>
      </c>
      <c r="AC1399" s="34" t="str">
        <f ca="1">VLOOKUP($AB1399,OFFSET([3]enemy_skill_sets!$B$2,0,0,COUNTA([3]enemy_skill_sets!$A:$A),MATCH(AC$1,[3]enemy_skill_sets!$1:$1,0)-MATCH($AB$1,[3]enemy_skill_sets!$1:$1,0)+1),MATCH(AC$1,[3]enemy_skill_sets!$1:$1,0)-MATCH($AB$1,[3]enemy_skill_sets!$1:$1,0)+1,FALSE)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399" s="67">
        <v>1</v>
      </c>
      <c r="AE1399" s="67">
        <v>1</v>
      </c>
      <c r="AF1399" s="37">
        <v>0</v>
      </c>
      <c r="AG1399" s="99">
        <f>ROUND(VLOOKUP(1,enemy_base_stats!$A:$F,2,FALSE) * Y1399* J1399*O1399*E1399*S1399*AD1399*[2]ステータス!$B$2,0)</f>
        <v>5793</v>
      </c>
      <c r="AH1399" s="99">
        <f>ROUND(VLOOKUP(1,enemy_base_stats!$A:$F,3,FALSE) * Z1399*K1399*P1399*F1399*T1399*AE1399 * W1399*[2]ステータス!$C$2,0)</f>
        <v>225</v>
      </c>
      <c r="AI1399" s="99">
        <f>ROUND(VLOOKUP(1,enemy_base_stats!$A:$F,4,FALSE) * AA1399*L1399*Q1399*G1399*U1399*AF1399*[2]ステータス!$D$2,0)</f>
        <v>0</v>
      </c>
      <c r="AJ1399" s="99">
        <f>ROUND(VLOOKUP(100,enemy_base_stats!$A:$F,2,FALSE) * Y1399* J1399*O1399*E1399*S1399*AD1399*[2]ステータス!$B$2,0)</f>
        <v>235186</v>
      </c>
      <c r="AK1399" s="99">
        <f>ROUND(VLOOKUP(100,enemy_base_stats!$A:$F,3,FALSE)* Z1399* K1399*P1399*F1399*T1399*AE1399 * W1399*[2]ステータス!$C$2,0)</f>
        <v>9140</v>
      </c>
      <c r="AL1399" s="99">
        <f>ROUND(VLOOKUP(100,enemy_base_stats!$A:$F,4,FALSE)* AA1399* L1399*Q1399*G1399*U1399*AF1399*[2]ステータス!$D$2,0)</f>
        <v>0</v>
      </c>
      <c r="AM1399" s="97">
        <f>VLOOKUP(M1399,[2]character_tribe_i18n!$A:$I,9,FALSE)</f>
        <v>400</v>
      </c>
      <c r="AN1399" s="36">
        <v>0</v>
      </c>
      <c r="AO1399" s="53">
        <v>0</v>
      </c>
      <c r="AP1399" s="58" t="s">
        <v>72</v>
      </c>
      <c r="AQ1399" s="71">
        <f t="shared" si="84"/>
        <v>1555</v>
      </c>
    </row>
    <row r="1400" spans="1:43" ht="21" customHeight="1" x14ac:dyDescent="0.15">
      <c r="A1400" s="7">
        <v>1556</v>
      </c>
      <c r="B1400" s="6" t="str">
        <f>VLOOKUP(A1400,[2]characters!$A:$C,3,FALSE)</f>
        <v>Capricornus01</v>
      </c>
      <c r="C1400" s="9">
        <f>VLOOKUP(A1400,[2]characters!$A:$I,9,FALSE)</f>
        <v>5</v>
      </c>
      <c r="D1400" s="9" t="str">
        <f>VLOOKUP(A1400,[2]characters!$A:$H,8,FALSE)</f>
        <v>green</v>
      </c>
      <c r="E1400" s="24">
        <f>VLOOKUP(D1400,[2]属性!$A:$E,2,FALSE)</f>
        <v>1.02</v>
      </c>
      <c r="F1400" s="24">
        <f>VLOOKUP(D1400,[2]属性!$A:$E,3,FALSE)</f>
        <v>0.98</v>
      </c>
      <c r="G1400" s="24">
        <f>VLOOKUP(D1400,[2]属性!$A:$F,4,FALSE)</f>
        <v>1</v>
      </c>
      <c r="H1400" s="9" t="str">
        <f>VLOOKUP(A1400,[2]characters!$A:$K,11,FALSE)</f>
        <v>balance</v>
      </c>
      <c r="I1400" s="14" t="str">
        <f>VLOOKUP(H1400,[2]character_type_i18n!$A:$F,3,FALSE)</f>
        <v>バランスタイプ</v>
      </c>
      <c r="J1400" s="36">
        <f>VLOOKUP(H1400,[2]character_type_i18n!$A:$F,4,FALSE)</f>
        <v>1</v>
      </c>
      <c r="K1400" s="36">
        <f>VLOOKUP(H1400,[2]character_type_i18n!$A:$F,5,FALSE)</f>
        <v>1</v>
      </c>
      <c r="L1400" s="36">
        <f>VLOOKUP(H1400,[2]character_type_i18n!$A:$F,6,FALSE)</f>
        <v>1</v>
      </c>
      <c r="M1400" s="9" t="str">
        <f>VLOOKUP(A1400,[2]characters!$A:$M,13,FALSE)</f>
        <v>human</v>
      </c>
      <c r="N1400" s="14" t="str">
        <f>VLOOKUP(M1400,[2]character_tribe_i18n!$A:$F,3,FALSE)</f>
        <v>ヒューマン</v>
      </c>
      <c r="O1400" s="24">
        <f>VLOOKUP(M1400,[2]character_tribe_i18n!$A:$F,4,FALSE)</f>
        <v>0.94</v>
      </c>
      <c r="P1400" s="24">
        <f>VLOOKUP(M1400,[2]character_tribe_i18n!$A:$F,5,FALSE)</f>
        <v>0.99</v>
      </c>
      <c r="Q1400" s="24">
        <f>VLOOKUP(M1400,[2]character_tribe_i18n!$A:$F,6,FALSE)</f>
        <v>1</v>
      </c>
      <c r="R1400" s="25" t="s">
        <v>98</v>
      </c>
      <c r="S1400" s="24">
        <f>VLOOKUP($R1400,ラベル別係数!$A$1:$E$7,3,FALSE)</f>
        <v>5</v>
      </c>
      <c r="T1400" s="24">
        <f>VLOOKUP($R1400,ラベル別係数!$A$1:$E$7,4,FALSE)</f>
        <v>1.3</v>
      </c>
      <c r="U1400" s="24">
        <f>VLOOKUP($R1400,ラベル別係数!$A$1:$E$7,5,FALSE)</f>
        <v>0.8</v>
      </c>
      <c r="V1400" s="27">
        <v>3</v>
      </c>
      <c r="W1400" s="28">
        <f>VLOOKUP(V1400,ターン数別攻撃係数!$A$1:$B$1000,2,FALSE)</f>
        <v>1</v>
      </c>
      <c r="X1400" s="9">
        <f>VLOOKUP(C1400,サイズ別係数!A$2:B$9,2,FALSE)</f>
        <v>60</v>
      </c>
      <c r="Y1400" s="26">
        <f>VLOOKUP($X1400,サイズ別係数!$B:$E,2,FALSE)</f>
        <v>1.7</v>
      </c>
      <c r="Z1400" s="26">
        <f>VLOOKUP($X1400,サイズ別係数!$B:$E,3,FALSE)</f>
        <v>1.4</v>
      </c>
      <c r="AA1400" s="26">
        <f>VLOOKUP($X1400,サイズ別係数!$B:$E,4,FALSE)</f>
        <v>1</v>
      </c>
      <c r="AB1400" s="5">
        <v>0</v>
      </c>
      <c r="AC1400" s="34" t="str">
        <f ca="1">VLOOKUP($AB1400,OFFSET([3]enemy_skill_sets!$B$2,0,0,COUNTA([3]enemy_skill_sets!$A:$A),MATCH(AC$1,[3]enemy_skill_sets!$1:$1,0)-MATCH($AB$1,[3]enemy_skill_sets!$1:$1,0)+1),MATCH(AC$1,[3]enemy_skill_sets!$1:$1,0)-MATCH($AB$1,[3]enemy_skill_sets!$1:$1,0)+1,FALSE)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0" s="67">
        <v>1</v>
      </c>
      <c r="AE1400" s="67">
        <v>1</v>
      </c>
      <c r="AF1400" s="37">
        <v>0</v>
      </c>
      <c r="AG1400" s="99">
        <f>ROUND(VLOOKUP(1,enemy_base_stats!$A:$F,2,FALSE) * Y1400* J1400*O1400*E1400*S1400*AD1400*[2]ステータス!$B$2,0)</f>
        <v>4075</v>
      </c>
      <c r="AH1400" s="99">
        <f>ROUND(VLOOKUP(1,enemy_base_stats!$A:$F,3,FALSE) * Z1400*K1400*P1400*F1400*T1400*AE1400 * W1400*[2]ステータス!$C$2,0)</f>
        <v>265</v>
      </c>
      <c r="AI1400" s="99">
        <f>ROUND(VLOOKUP(1,enemy_base_stats!$A:$F,4,FALSE) * AA1400*L1400*Q1400*G1400*U1400*AF1400*[2]ステータス!$D$2,0)</f>
        <v>0</v>
      </c>
      <c r="AJ1400" s="99">
        <f>ROUND(VLOOKUP(100,enemy_base_stats!$A:$F,2,FALSE) * Y1400* J1400*O1400*E1400*S1400*AD1400*[2]ステータス!$B$2,0)</f>
        <v>165441</v>
      </c>
      <c r="AK1400" s="99">
        <f>ROUND(VLOOKUP(100,enemy_base_stats!$A:$F,3,FALSE)* Z1400* K1400*P1400*F1400*T1400*AE1400 * W1400*[2]ステータス!$C$2,0)</f>
        <v>10754</v>
      </c>
      <c r="AL1400" s="99">
        <f>ROUND(VLOOKUP(100,enemy_base_stats!$A:$F,4,FALSE)* AA1400* L1400*Q1400*G1400*U1400*AF1400*[2]ステータス!$D$2,0)</f>
        <v>0</v>
      </c>
      <c r="AM1400" s="97">
        <f>VLOOKUP(M1400,[2]character_tribe_i18n!$A:$I,9,FALSE)</f>
        <v>400</v>
      </c>
      <c r="AN1400" s="36">
        <v>0</v>
      </c>
      <c r="AO1400" s="53">
        <v>0</v>
      </c>
      <c r="AP1400" s="58" t="s">
        <v>72</v>
      </c>
      <c r="AQ1400" s="71">
        <f t="shared" si="84"/>
        <v>1556</v>
      </c>
    </row>
    <row r="1401" spans="1:43" ht="21" customHeight="1" x14ac:dyDescent="0.15">
      <c r="A1401" s="7">
        <v>1557</v>
      </c>
      <c r="B1401" s="6" t="str">
        <f>VLOOKUP(A1401,[2]characters!$A:$C,3,FALSE)</f>
        <v>Capricornus02</v>
      </c>
      <c r="C1401" s="9">
        <f>VLOOKUP(A1401,[2]characters!$A:$I,9,FALSE)</f>
        <v>6</v>
      </c>
      <c r="D1401" s="9" t="str">
        <f>VLOOKUP(A1401,[2]characters!$A:$H,8,FALSE)</f>
        <v>green</v>
      </c>
      <c r="E1401" s="24">
        <f>VLOOKUP(D1401,[2]属性!$A:$E,2,FALSE)</f>
        <v>1.02</v>
      </c>
      <c r="F1401" s="24">
        <f>VLOOKUP(D1401,[2]属性!$A:$E,3,FALSE)</f>
        <v>0.98</v>
      </c>
      <c r="G1401" s="24">
        <f>VLOOKUP(D1401,[2]属性!$A:$F,4,FALSE)</f>
        <v>1</v>
      </c>
      <c r="H1401" s="9" t="str">
        <f>VLOOKUP(A1401,[2]characters!$A:$K,11,FALSE)</f>
        <v>balance</v>
      </c>
      <c r="I1401" s="14" t="str">
        <f>VLOOKUP(H1401,[2]character_type_i18n!$A:$F,3,FALSE)</f>
        <v>バランスタイプ</v>
      </c>
      <c r="J1401" s="36">
        <f>VLOOKUP(H1401,[2]character_type_i18n!$A:$F,4,FALSE)</f>
        <v>1</v>
      </c>
      <c r="K1401" s="36">
        <f>VLOOKUP(H1401,[2]character_type_i18n!$A:$F,5,FALSE)</f>
        <v>1</v>
      </c>
      <c r="L1401" s="36">
        <f>VLOOKUP(H1401,[2]character_type_i18n!$A:$F,6,FALSE)</f>
        <v>1</v>
      </c>
      <c r="M1401" s="9" t="str">
        <f>VLOOKUP(A1401,[2]characters!$A:$M,13,FALSE)</f>
        <v>human</v>
      </c>
      <c r="N1401" s="14" t="str">
        <f>VLOOKUP(M1401,[2]character_tribe_i18n!$A:$F,3,FALSE)</f>
        <v>ヒューマン</v>
      </c>
      <c r="O1401" s="24">
        <f>VLOOKUP(M1401,[2]character_tribe_i18n!$A:$F,4,FALSE)</f>
        <v>0.94</v>
      </c>
      <c r="P1401" s="24">
        <f>VLOOKUP(M1401,[2]character_tribe_i18n!$A:$F,5,FALSE)</f>
        <v>0.99</v>
      </c>
      <c r="Q1401" s="24">
        <f>VLOOKUP(M1401,[2]character_tribe_i18n!$A:$F,6,FALSE)</f>
        <v>1</v>
      </c>
      <c r="R1401" s="25" t="s">
        <v>98</v>
      </c>
      <c r="S1401" s="24">
        <f>VLOOKUP($R1401,ラベル別係数!$A$1:$E$7,3,FALSE)</f>
        <v>5</v>
      </c>
      <c r="T1401" s="24">
        <f>VLOOKUP($R1401,ラベル別係数!$A$1:$E$7,4,FALSE)</f>
        <v>1.3</v>
      </c>
      <c r="U1401" s="24">
        <f>VLOOKUP($R1401,ラベル別係数!$A$1:$E$7,5,FALSE)</f>
        <v>0.8</v>
      </c>
      <c r="V1401" s="27">
        <v>3</v>
      </c>
      <c r="W1401" s="28">
        <f>VLOOKUP(V1401,ターン数別攻撃係数!$A$1:$B$1000,2,FALSE)</f>
        <v>1</v>
      </c>
      <c r="X1401" s="9">
        <f>VLOOKUP(C1401,サイズ別係数!A$2:B$9,2,FALSE)</f>
        <v>60</v>
      </c>
      <c r="Y1401" s="26">
        <f>VLOOKUP($X1401,サイズ別係数!$B:$E,2,FALSE)</f>
        <v>1.7</v>
      </c>
      <c r="Z1401" s="26">
        <f>VLOOKUP($X1401,サイズ別係数!$B:$E,3,FALSE)</f>
        <v>1.4</v>
      </c>
      <c r="AA1401" s="26">
        <f>VLOOKUP($X1401,サイズ別係数!$B:$E,4,FALSE)</f>
        <v>1</v>
      </c>
      <c r="AB1401" s="5">
        <v>0</v>
      </c>
      <c r="AC1401" s="34" t="str">
        <f ca="1">VLOOKUP($AB1401,OFFSET([3]enemy_skill_sets!$B$2,0,0,COUNTA([3]enemy_skill_sets!$A:$A),MATCH(AC$1,[3]enemy_skill_sets!$1:$1,0)-MATCH($AB$1,[3]enemy_skill_sets!$1:$1,0)+1),MATCH(AC$1,[3]enemy_skill_sets!$1:$1,0)-MATCH($AB$1,[3]enemy_skill_sets!$1:$1,0)+1,FALSE)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1" s="67">
        <v>1</v>
      </c>
      <c r="AE1401" s="67">
        <v>1</v>
      </c>
      <c r="AF1401" s="37">
        <v>0</v>
      </c>
      <c r="AG1401" s="99">
        <f>ROUND(VLOOKUP(1,enemy_base_stats!$A:$F,2,FALSE) * Y1401* J1401*O1401*E1401*S1401*AD1401*[2]ステータス!$B$2,0)</f>
        <v>4075</v>
      </c>
      <c r="AH1401" s="99">
        <f>ROUND(VLOOKUP(1,enemy_base_stats!$A:$F,3,FALSE) * Z1401*K1401*P1401*F1401*T1401*AE1401 * W1401*[2]ステータス!$C$2,0)</f>
        <v>265</v>
      </c>
      <c r="AI1401" s="99">
        <f>ROUND(VLOOKUP(1,enemy_base_stats!$A:$F,4,FALSE) * AA1401*L1401*Q1401*G1401*U1401*AF1401*[2]ステータス!$D$2,0)</f>
        <v>0</v>
      </c>
      <c r="AJ1401" s="99">
        <f>ROUND(VLOOKUP(100,enemy_base_stats!$A:$F,2,FALSE) * Y1401* J1401*O1401*E1401*S1401*AD1401*[2]ステータス!$B$2,0)</f>
        <v>165441</v>
      </c>
      <c r="AK1401" s="99">
        <f>ROUND(VLOOKUP(100,enemy_base_stats!$A:$F,3,FALSE)* Z1401* K1401*P1401*F1401*T1401*AE1401 * W1401*[2]ステータス!$C$2,0)</f>
        <v>10754</v>
      </c>
      <c r="AL1401" s="99">
        <f>ROUND(VLOOKUP(100,enemy_base_stats!$A:$F,4,FALSE)* AA1401* L1401*Q1401*G1401*U1401*AF1401*[2]ステータス!$D$2,0)</f>
        <v>0</v>
      </c>
      <c r="AM1401" s="97">
        <f>VLOOKUP(M1401,[2]character_tribe_i18n!$A:$I,9,FALSE)</f>
        <v>400</v>
      </c>
      <c r="AN1401" s="36">
        <v>0</v>
      </c>
      <c r="AO1401" s="53">
        <v>0</v>
      </c>
      <c r="AP1401" s="58" t="s">
        <v>72</v>
      </c>
      <c r="AQ1401" s="71">
        <f t="shared" si="84"/>
        <v>1557</v>
      </c>
    </row>
    <row r="1402" spans="1:43" ht="21" customHeight="1" x14ac:dyDescent="0.15">
      <c r="A1402" s="7">
        <v>1558</v>
      </c>
      <c r="B1402" s="6" t="str">
        <f>VLOOKUP(A1402,[2]characters!$A:$C,3,FALSE)</f>
        <v>Aries01</v>
      </c>
      <c r="C1402" s="9">
        <f>VLOOKUP(A1402,[2]characters!$A:$I,9,FALSE)</f>
        <v>5</v>
      </c>
      <c r="D1402" s="9" t="str">
        <f>VLOOKUP(A1402,[2]characters!$A:$H,8,FALSE)</f>
        <v>blue</v>
      </c>
      <c r="E1402" s="24">
        <f>VLOOKUP(D1402,[2]属性!$A:$E,2,FALSE)</f>
        <v>1</v>
      </c>
      <c r="F1402" s="24">
        <f>VLOOKUP(D1402,[2]属性!$A:$E,3,FALSE)</f>
        <v>0.98</v>
      </c>
      <c r="G1402" s="24">
        <f>VLOOKUP(D1402,[2]属性!$A:$F,4,FALSE)</f>
        <v>1</v>
      </c>
      <c r="H1402" s="9" t="str">
        <f>VLOOKUP(A1402,[2]characters!$A:$K,11,FALSE)</f>
        <v>heal</v>
      </c>
      <c r="I1402" s="14" t="str">
        <f>VLOOKUP(H1402,[2]character_type_i18n!$A:$F,3,FALSE)</f>
        <v>回復タイプ</v>
      </c>
      <c r="J1402" s="36">
        <f>VLOOKUP(H1402,[2]character_type_i18n!$A:$F,4,FALSE)</f>
        <v>0.8</v>
      </c>
      <c r="K1402" s="36">
        <f>VLOOKUP(H1402,[2]character_type_i18n!$A:$F,5,FALSE)</f>
        <v>0.78</v>
      </c>
      <c r="L1402" s="36">
        <f>VLOOKUP(H1402,[2]character_type_i18n!$A:$F,6,FALSE)</f>
        <v>1</v>
      </c>
      <c r="M1402" s="9" t="str">
        <f>VLOOKUP(A1402,[2]characters!$A:$M,13,FALSE)</f>
        <v>human</v>
      </c>
      <c r="N1402" s="14" t="str">
        <f>VLOOKUP(M1402,[2]character_tribe_i18n!$A:$F,3,FALSE)</f>
        <v>ヒューマン</v>
      </c>
      <c r="O1402" s="24">
        <f>VLOOKUP(M1402,[2]character_tribe_i18n!$A:$F,4,FALSE)</f>
        <v>0.94</v>
      </c>
      <c r="P1402" s="24">
        <f>VLOOKUP(M1402,[2]character_tribe_i18n!$A:$F,5,FALSE)</f>
        <v>0.99</v>
      </c>
      <c r="Q1402" s="24">
        <f>VLOOKUP(M1402,[2]character_tribe_i18n!$A:$F,6,FALSE)</f>
        <v>1</v>
      </c>
      <c r="R1402" s="25" t="s">
        <v>98</v>
      </c>
      <c r="S1402" s="24">
        <f>VLOOKUP($R1402,ラベル別係数!$A$1:$E$7,3,FALSE)</f>
        <v>5</v>
      </c>
      <c r="T1402" s="24">
        <f>VLOOKUP($R1402,ラベル別係数!$A$1:$E$7,4,FALSE)</f>
        <v>1.3</v>
      </c>
      <c r="U1402" s="24">
        <f>VLOOKUP($R1402,ラベル別係数!$A$1:$E$7,5,FALSE)</f>
        <v>0.8</v>
      </c>
      <c r="V1402" s="27">
        <v>3</v>
      </c>
      <c r="W1402" s="28">
        <f>VLOOKUP(V1402,ターン数別攻撃係数!$A$1:$B$1000,2,FALSE)</f>
        <v>1</v>
      </c>
      <c r="X1402" s="9">
        <f>VLOOKUP(C1402,サイズ別係数!A$2:B$9,2,FALSE)</f>
        <v>60</v>
      </c>
      <c r="Y1402" s="26">
        <f>VLOOKUP($X1402,サイズ別係数!$B:$E,2,FALSE)</f>
        <v>1.7</v>
      </c>
      <c r="Z1402" s="26">
        <f>VLOOKUP($X1402,サイズ別係数!$B:$E,3,FALSE)</f>
        <v>1.4</v>
      </c>
      <c r="AA1402" s="26">
        <f>VLOOKUP($X1402,サイズ別係数!$B:$E,4,FALSE)</f>
        <v>1</v>
      </c>
      <c r="AB1402" s="5">
        <v>0</v>
      </c>
      <c r="AC1402" s="34" t="str">
        <f ca="1">VLOOKUP($AB1402,OFFSET([3]enemy_skill_sets!$B$2,0,0,COUNTA([3]enemy_skill_sets!$A:$A),MATCH(AC$1,[3]enemy_skill_sets!$1:$1,0)-MATCH($AB$1,[3]enemy_skill_sets!$1:$1,0)+1),MATCH(AC$1,[3]enemy_skill_sets!$1:$1,0)-MATCH($AB$1,[3]enemy_skill_sets!$1:$1,0)+1,FALSE)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2" s="67">
        <v>1</v>
      </c>
      <c r="AE1402" s="67">
        <v>1</v>
      </c>
      <c r="AF1402" s="37">
        <v>0</v>
      </c>
      <c r="AG1402" s="41">
        <v>3596</v>
      </c>
      <c r="AH1402" s="41">
        <v>238</v>
      </c>
      <c r="AI1402" s="41">
        <v>0</v>
      </c>
      <c r="AJ1402" s="41">
        <v>145977</v>
      </c>
      <c r="AK1402" s="41">
        <v>9678</v>
      </c>
      <c r="AL1402" s="41">
        <v>0</v>
      </c>
      <c r="AM1402" s="97">
        <f>VLOOKUP(M1402,[2]character_tribe_i18n!$A:$I,9,FALSE)</f>
        <v>400</v>
      </c>
      <c r="AN1402" s="36">
        <v>0</v>
      </c>
      <c r="AO1402" s="53">
        <v>0</v>
      </c>
      <c r="AP1402" s="58" t="s">
        <v>72</v>
      </c>
      <c r="AQ1402" s="71">
        <f t="shared" si="84"/>
        <v>1558</v>
      </c>
    </row>
    <row r="1403" spans="1:43" ht="21" customHeight="1" x14ac:dyDescent="0.15">
      <c r="A1403" s="7">
        <v>1559</v>
      </c>
      <c r="B1403" s="6" t="str">
        <f>VLOOKUP(A1403,[2]characters!$A:$C,3,FALSE)</f>
        <v>Aries02</v>
      </c>
      <c r="C1403" s="9">
        <f>VLOOKUP(A1403,[2]characters!$A:$I,9,FALSE)</f>
        <v>6</v>
      </c>
      <c r="D1403" s="9" t="str">
        <f>VLOOKUP(A1403,[2]characters!$A:$H,8,FALSE)</f>
        <v>blue</v>
      </c>
      <c r="E1403" s="24">
        <f>VLOOKUP(D1403,[2]属性!$A:$E,2,FALSE)</f>
        <v>1</v>
      </c>
      <c r="F1403" s="24">
        <f>VLOOKUP(D1403,[2]属性!$A:$E,3,FALSE)</f>
        <v>0.98</v>
      </c>
      <c r="G1403" s="24">
        <f>VLOOKUP(D1403,[2]属性!$A:$F,4,FALSE)</f>
        <v>1</v>
      </c>
      <c r="H1403" s="9" t="str">
        <f>VLOOKUP(A1403,[2]characters!$A:$K,11,FALSE)</f>
        <v>heal</v>
      </c>
      <c r="I1403" s="14" t="str">
        <f>VLOOKUP(H1403,[2]character_type_i18n!$A:$F,3,FALSE)</f>
        <v>回復タイプ</v>
      </c>
      <c r="J1403" s="36">
        <f>VLOOKUP(H1403,[2]character_type_i18n!$A:$F,4,FALSE)</f>
        <v>0.8</v>
      </c>
      <c r="K1403" s="36">
        <f>VLOOKUP(H1403,[2]character_type_i18n!$A:$F,5,FALSE)</f>
        <v>0.78</v>
      </c>
      <c r="L1403" s="36">
        <f>VLOOKUP(H1403,[2]character_type_i18n!$A:$F,6,FALSE)</f>
        <v>1</v>
      </c>
      <c r="M1403" s="9" t="str">
        <f>VLOOKUP(A1403,[2]characters!$A:$M,13,FALSE)</f>
        <v>human</v>
      </c>
      <c r="N1403" s="14" t="str">
        <f>VLOOKUP(M1403,[2]character_tribe_i18n!$A:$F,3,FALSE)</f>
        <v>ヒューマン</v>
      </c>
      <c r="O1403" s="24">
        <f>VLOOKUP(M1403,[2]character_tribe_i18n!$A:$F,4,FALSE)</f>
        <v>0.94</v>
      </c>
      <c r="P1403" s="24">
        <f>VLOOKUP(M1403,[2]character_tribe_i18n!$A:$F,5,FALSE)</f>
        <v>0.99</v>
      </c>
      <c r="Q1403" s="24">
        <f>VLOOKUP(M1403,[2]character_tribe_i18n!$A:$F,6,FALSE)</f>
        <v>1</v>
      </c>
      <c r="R1403" s="25" t="s">
        <v>98</v>
      </c>
      <c r="S1403" s="24">
        <f>VLOOKUP($R1403,ラベル別係数!$A$1:$E$7,3,FALSE)</f>
        <v>5</v>
      </c>
      <c r="T1403" s="24">
        <f>VLOOKUP($R1403,ラベル別係数!$A$1:$E$7,4,FALSE)</f>
        <v>1.3</v>
      </c>
      <c r="U1403" s="24">
        <f>VLOOKUP($R1403,ラベル別係数!$A$1:$E$7,5,FALSE)</f>
        <v>0.8</v>
      </c>
      <c r="V1403" s="27">
        <v>3</v>
      </c>
      <c r="W1403" s="28">
        <f>VLOOKUP(V1403,ターン数別攻撃係数!$A$1:$B$1000,2,FALSE)</f>
        <v>1</v>
      </c>
      <c r="X1403" s="9">
        <f>VLOOKUP(C1403,サイズ別係数!A$2:B$9,2,FALSE)</f>
        <v>60</v>
      </c>
      <c r="Y1403" s="26">
        <f>VLOOKUP($X1403,サイズ別係数!$B:$E,2,FALSE)</f>
        <v>1.7</v>
      </c>
      <c r="Z1403" s="26">
        <f>VLOOKUP($X1403,サイズ別係数!$B:$E,3,FALSE)</f>
        <v>1.4</v>
      </c>
      <c r="AA1403" s="26">
        <f>VLOOKUP($X1403,サイズ別係数!$B:$E,4,FALSE)</f>
        <v>1</v>
      </c>
      <c r="AB1403" s="5">
        <v>0</v>
      </c>
      <c r="AC1403" s="34" t="str">
        <f ca="1">VLOOKUP($AB1403,OFFSET([3]enemy_skill_sets!$B$2,0,0,COUNTA([3]enemy_skill_sets!$A:$A),MATCH(AC$1,[3]enemy_skill_sets!$1:$1,0)-MATCH($AB$1,[3]enemy_skill_sets!$1:$1,0)+1),MATCH(AC$1,[3]enemy_skill_sets!$1:$1,0)-MATCH($AB$1,[3]enemy_skill_sets!$1:$1,0)+1,FALSE)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3" s="67">
        <v>1</v>
      </c>
      <c r="AE1403" s="67">
        <v>1</v>
      </c>
      <c r="AF1403" s="37">
        <v>0</v>
      </c>
      <c r="AG1403" s="41">
        <v>3596</v>
      </c>
      <c r="AH1403" s="41">
        <v>238</v>
      </c>
      <c r="AI1403" s="41">
        <v>0</v>
      </c>
      <c r="AJ1403" s="41">
        <v>145977</v>
      </c>
      <c r="AK1403" s="41">
        <v>9678</v>
      </c>
      <c r="AL1403" s="41">
        <v>0</v>
      </c>
      <c r="AM1403" s="97">
        <f>VLOOKUP(M1403,[2]character_tribe_i18n!$A:$I,9,FALSE)</f>
        <v>400</v>
      </c>
      <c r="AN1403" s="36">
        <v>0</v>
      </c>
      <c r="AO1403" s="53">
        <v>0</v>
      </c>
      <c r="AP1403" s="58" t="s">
        <v>72</v>
      </c>
      <c r="AQ1403" s="71">
        <f t="shared" si="84"/>
        <v>1559</v>
      </c>
    </row>
    <row r="1404" spans="1:43" ht="21" customHeight="1" x14ac:dyDescent="0.15">
      <c r="A1404" s="7">
        <v>1560</v>
      </c>
      <c r="B1404" s="6" t="str">
        <f>VLOOKUP(A1404,[2]characters!$A:$C,3,FALSE)</f>
        <v>Pisces01</v>
      </c>
      <c r="C1404" s="9">
        <f>VLOOKUP(A1404,[2]characters!$A:$I,9,FALSE)</f>
        <v>5</v>
      </c>
      <c r="D1404" s="9" t="str">
        <f>VLOOKUP(A1404,[2]characters!$A:$H,8,FALSE)</f>
        <v>red</v>
      </c>
      <c r="E1404" s="24">
        <f>VLOOKUP(D1404,[2]属性!$A:$E,2,FALSE)</f>
        <v>1</v>
      </c>
      <c r="F1404" s="24">
        <f>VLOOKUP(D1404,[2]属性!$A:$E,3,FALSE)</f>
        <v>1.02</v>
      </c>
      <c r="G1404" s="24">
        <f>VLOOKUP(D1404,[2]属性!$A:$F,4,FALSE)</f>
        <v>1</v>
      </c>
      <c r="H1404" s="9" t="str">
        <f>VLOOKUP(A1404,[2]characters!$A:$K,11,FALSE)</f>
        <v>technical</v>
      </c>
      <c r="I1404" s="14" t="str">
        <f>VLOOKUP(H1404,[2]character_type_i18n!$A:$F,3,FALSE)</f>
        <v>テクニカルタイプ</v>
      </c>
      <c r="J1404" s="36">
        <f>VLOOKUP(H1404,[2]character_type_i18n!$A:$F,4,FALSE)</f>
        <v>0.9</v>
      </c>
      <c r="K1404" s="36">
        <f>VLOOKUP(H1404,[2]character_type_i18n!$A:$F,5,FALSE)</f>
        <v>0.9</v>
      </c>
      <c r="L1404" s="36">
        <f>VLOOKUP(H1404,[2]character_type_i18n!$A:$F,6,FALSE)</f>
        <v>1</v>
      </c>
      <c r="M1404" s="9" t="str">
        <f>VLOOKUP(A1404,[2]characters!$A:$M,13,FALSE)</f>
        <v>human</v>
      </c>
      <c r="N1404" s="14" t="str">
        <f>VLOOKUP(M1404,[2]character_tribe_i18n!$A:$F,3,FALSE)</f>
        <v>ヒューマン</v>
      </c>
      <c r="O1404" s="24">
        <f>VLOOKUP(M1404,[2]character_tribe_i18n!$A:$F,4,FALSE)</f>
        <v>0.94</v>
      </c>
      <c r="P1404" s="24">
        <f>VLOOKUP(M1404,[2]character_tribe_i18n!$A:$F,5,FALSE)</f>
        <v>0.99</v>
      </c>
      <c r="Q1404" s="24">
        <f>VLOOKUP(M1404,[2]character_tribe_i18n!$A:$F,6,FALSE)</f>
        <v>1</v>
      </c>
      <c r="R1404" s="25" t="s">
        <v>98</v>
      </c>
      <c r="S1404" s="24">
        <f>VLOOKUP($R1404,ラベル別係数!$A$1:$E$7,3,FALSE)</f>
        <v>5</v>
      </c>
      <c r="T1404" s="24">
        <f>VLOOKUP($R1404,ラベル別係数!$A$1:$E$7,4,FALSE)</f>
        <v>1.3</v>
      </c>
      <c r="U1404" s="24">
        <f>VLOOKUP($R1404,ラベル別係数!$A$1:$E$7,5,FALSE)</f>
        <v>0.8</v>
      </c>
      <c r="V1404" s="27">
        <v>3</v>
      </c>
      <c r="W1404" s="28">
        <f>VLOOKUP(V1404,ターン数別攻撃係数!$A$1:$B$1000,2,FALSE)</f>
        <v>1</v>
      </c>
      <c r="X1404" s="9">
        <f>VLOOKUP(C1404,サイズ別係数!A$2:B$9,2,FALSE)</f>
        <v>60</v>
      </c>
      <c r="Y1404" s="26">
        <f>VLOOKUP($X1404,サイズ別係数!$B:$E,2,FALSE)</f>
        <v>1.7</v>
      </c>
      <c r="Z1404" s="26">
        <f>VLOOKUP($X1404,サイズ別係数!$B:$E,3,FALSE)</f>
        <v>1.4</v>
      </c>
      <c r="AA1404" s="26">
        <f>VLOOKUP($X1404,サイズ別係数!$B:$E,4,FALSE)</f>
        <v>1</v>
      </c>
      <c r="AB1404" s="5">
        <v>0</v>
      </c>
      <c r="AC1404" s="34" t="str">
        <f ca="1">VLOOKUP($AB1404,OFFSET([3]enemy_skill_sets!$B$2,0,0,COUNTA([3]enemy_skill_sets!$A:$A),MATCH(AC$1,[3]enemy_skill_sets!$1:$1,0)-MATCH($AB$1,[3]enemy_skill_sets!$1:$1,0)+1),MATCH(AC$1,[3]enemy_skill_sets!$1:$1,0)-MATCH($AB$1,[3]enemy_skill_sets!$1:$1,0)+1,FALSE)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4" s="67">
        <v>1</v>
      </c>
      <c r="AE1404" s="67">
        <v>1</v>
      </c>
      <c r="AF1404" s="37">
        <v>0</v>
      </c>
      <c r="AG1404" s="99">
        <f>ROUND(VLOOKUP(1,enemy_base_stats!$A:$F,2,FALSE) * Y1404* J1404*O1404*E1404*S1404*AD1404*[2]ステータス!$B$2,0)</f>
        <v>3596</v>
      </c>
      <c r="AH1404" s="99">
        <f>ROUND(VLOOKUP(1,enemy_base_stats!$A:$F,3,FALSE) * Z1404*K1404*P1404*F1404*T1404*AE1404 * W1404*[2]ステータス!$C$2,0)</f>
        <v>248</v>
      </c>
      <c r="AI1404" s="99">
        <f>ROUND(VLOOKUP(1,enemy_base_stats!$A:$F,4,FALSE) * AA1404*L1404*Q1404*G1404*U1404*AF1404*[2]ステータス!$D$2,0)</f>
        <v>0</v>
      </c>
      <c r="AJ1404" s="99">
        <f>ROUND(VLOOKUP(100,enemy_base_stats!$A:$F,2,FALSE) * Y1404* J1404*O1404*E1404*S1404*AD1404*[2]ステータス!$B$2,0)</f>
        <v>145977</v>
      </c>
      <c r="AK1404" s="99">
        <f>ROUND(VLOOKUP(100,enemy_base_stats!$A:$F,3,FALSE)* Z1404* K1404*P1404*F1404*T1404*AE1404 * W1404*[2]ステータス!$C$2,0)</f>
        <v>10073</v>
      </c>
      <c r="AL1404" s="99">
        <f>ROUND(VLOOKUP(100,enemy_base_stats!$A:$F,4,FALSE)* AA1404* L1404*Q1404*G1404*U1404*AF1404*[2]ステータス!$D$2,0)</f>
        <v>0</v>
      </c>
      <c r="AM1404" s="97">
        <f>VLOOKUP(M1404,[2]character_tribe_i18n!$A:$I,9,FALSE)</f>
        <v>400</v>
      </c>
      <c r="AN1404" s="36">
        <v>0</v>
      </c>
      <c r="AO1404" s="53">
        <v>0</v>
      </c>
      <c r="AP1404" s="58" t="s">
        <v>72</v>
      </c>
      <c r="AQ1404" s="71">
        <f t="shared" si="84"/>
        <v>1560</v>
      </c>
    </row>
    <row r="1405" spans="1:43" ht="21" customHeight="1" x14ac:dyDescent="0.15">
      <c r="A1405" s="7">
        <v>1561</v>
      </c>
      <c r="B1405" s="6" t="str">
        <f>VLOOKUP(A1405,[2]characters!$A:$C,3,FALSE)</f>
        <v>Sagittarius01</v>
      </c>
      <c r="C1405" s="9">
        <f>VLOOKUP(A1405,[2]characters!$A:$I,9,FALSE)</f>
        <v>5</v>
      </c>
      <c r="D1405" s="9" t="str">
        <f>VLOOKUP(A1405,[2]characters!$A:$H,8,FALSE)</f>
        <v>yellow</v>
      </c>
      <c r="E1405" s="24">
        <f>VLOOKUP(D1405,[2]属性!$A:$E,2,FALSE)</f>
        <v>0.98</v>
      </c>
      <c r="F1405" s="24">
        <f>VLOOKUP(D1405,[2]属性!$A:$E,3,FALSE)</f>
        <v>1.01</v>
      </c>
      <c r="G1405" s="24">
        <f>VLOOKUP(D1405,[2]属性!$A:$F,4,FALSE)</f>
        <v>1</v>
      </c>
      <c r="H1405" s="9" t="str">
        <f>VLOOKUP(A1405,[2]characters!$A:$K,11,FALSE)</f>
        <v>balance</v>
      </c>
      <c r="I1405" s="14" t="str">
        <f>VLOOKUP(H1405,[2]character_type_i18n!$A:$F,3,FALSE)</f>
        <v>バランスタイプ</v>
      </c>
      <c r="J1405" s="36">
        <f>VLOOKUP(H1405,[2]character_type_i18n!$A:$F,4,FALSE)</f>
        <v>1</v>
      </c>
      <c r="K1405" s="36">
        <f>VLOOKUP(H1405,[2]character_type_i18n!$A:$F,5,FALSE)</f>
        <v>1</v>
      </c>
      <c r="L1405" s="36">
        <f>VLOOKUP(H1405,[2]character_type_i18n!$A:$F,6,FALSE)</f>
        <v>1</v>
      </c>
      <c r="M1405" s="9" t="str">
        <f>VLOOKUP(A1405,[2]characters!$A:$M,13,FALSE)</f>
        <v>human</v>
      </c>
      <c r="N1405" s="14" t="str">
        <f>VLOOKUP(M1405,[2]character_tribe_i18n!$A:$F,3,FALSE)</f>
        <v>ヒューマン</v>
      </c>
      <c r="O1405" s="24">
        <f>VLOOKUP(M1405,[2]character_tribe_i18n!$A:$F,4,FALSE)</f>
        <v>0.94</v>
      </c>
      <c r="P1405" s="24">
        <f>VLOOKUP(M1405,[2]character_tribe_i18n!$A:$F,5,FALSE)</f>
        <v>0.99</v>
      </c>
      <c r="Q1405" s="24">
        <f>VLOOKUP(M1405,[2]character_tribe_i18n!$A:$F,6,FALSE)</f>
        <v>1</v>
      </c>
      <c r="R1405" s="25" t="s">
        <v>98</v>
      </c>
      <c r="S1405" s="24">
        <f>VLOOKUP($R1405,ラベル別係数!$A$1:$E$7,3,FALSE)</f>
        <v>5</v>
      </c>
      <c r="T1405" s="24">
        <f>VLOOKUP($R1405,ラベル別係数!$A$1:$E$7,4,FALSE)</f>
        <v>1.3</v>
      </c>
      <c r="U1405" s="24">
        <f>VLOOKUP($R1405,ラベル別係数!$A$1:$E$7,5,FALSE)</f>
        <v>0.8</v>
      </c>
      <c r="V1405" s="27">
        <v>3</v>
      </c>
      <c r="W1405" s="28">
        <f>VLOOKUP(V1405,ターン数別攻撃係数!$A$1:$B$1000,2,FALSE)</f>
        <v>1</v>
      </c>
      <c r="X1405" s="9">
        <f>VLOOKUP(C1405,サイズ別係数!A$2:B$9,2,FALSE)</f>
        <v>60</v>
      </c>
      <c r="Y1405" s="26">
        <f>VLOOKUP($X1405,サイズ別係数!$B:$E,2,FALSE)</f>
        <v>1.7</v>
      </c>
      <c r="Z1405" s="26">
        <f>VLOOKUP($X1405,サイズ別係数!$B:$E,3,FALSE)</f>
        <v>1.4</v>
      </c>
      <c r="AA1405" s="26">
        <f>VLOOKUP($X1405,サイズ別係数!$B:$E,4,FALSE)</f>
        <v>1</v>
      </c>
      <c r="AB1405" s="5">
        <v>0</v>
      </c>
      <c r="AC1405" s="34" t="str">
        <f ca="1">VLOOKUP($AB1405,OFFSET([3]enemy_skill_sets!$B$2,0,0,COUNTA([3]enemy_skill_sets!$A:$A),MATCH(AC$1,[3]enemy_skill_sets!$1:$1,0)-MATCH($AB$1,[3]enemy_skill_sets!$1:$1,0)+1),MATCH(AC$1,[3]enemy_skill_sets!$1:$1,0)-MATCH($AB$1,[3]enemy_skill_sets!$1:$1,0)+1,FALSE)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5" s="67">
        <v>1</v>
      </c>
      <c r="AE1405" s="67">
        <v>1</v>
      </c>
      <c r="AF1405" s="37">
        <v>0</v>
      </c>
      <c r="AG1405" s="99">
        <f>ROUND(VLOOKUP(1,enemy_base_stats!$A:$F,2,FALSE) * Y1405* J1405*O1405*E1405*S1405*AD1405*[2]ステータス!$B$2,0)</f>
        <v>3915</v>
      </c>
      <c r="AH1405" s="99">
        <f>ROUND(VLOOKUP(1,enemy_base_stats!$A:$F,3,FALSE) * Z1405*K1405*P1405*F1405*T1405*AE1405 * W1405*[2]ステータス!$C$2,0)</f>
        <v>273</v>
      </c>
      <c r="AI1405" s="99">
        <f>ROUND(VLOOKUP(1,enemy_base_stats!$A:$F,4,FALSE) * AA1405*L1405*Q1405*G1405*U1405*AF1405*[2]ステータス!$D$2,0)</f>
        <v>0</v>
      </c>
      <c r="AJ1405" s="99">
        <f>ROUND(VLOOKUP(100,enemy_base_stats!$A:$F,2,FALSE) * Y1405* J1405*O1405*E1405*S1405*AD1405*[2]ステータス!$B$2,0)</f>
        <v>158953</v>
      </c>
      <c r="AK1405" s="99">
        <f>ROUND(VLOOKUP(100,enemy_base_stats!$A:$F,3,FALSE)* Z1405* K1405*P1405*F1405*T1405*AE1405 * W1405*[2]ステータス!$C$2,0)</f>
        <v>11083</v>
      </c>
      <c r="AL1405" s="99">
        <f>ROUND(VLOOKUP(100,enemy_base_stats!$A:$F,4,FALSE)* AA1405* L1405*Q1405*G1405*U1405*AF1405*[2]ステータス!$D$2,0)</f>
        <v>0</v>
      </c>
      <c r="AM1405" s="97">
        <f>VLOOKUP(M1405,[2]character_tribe_i18n!$A:$I,9,FALSE)</f>
        <v>400</v>
      </c>
      <c r="AN1405" s="36">
        <v>0</v>
      </c>
      <c r="AO1405" s="53">
        <v>0</v>
      </c>
      <c r="AP1405" s="58" t="s">
        <v>72</v>
      </c>
      <c r="AQ1405" s="71">
        <f t="shared" si="84"/>
        <v>1561</v>
      </c>
    </row>
    <row r="1406" spans="1:43" ht="21" customHeight="1" x14ac:dyDescent="0.15">
      <c r="A1406" s="7">
        <v>1562</v>
      </c>
      <c r="B1406" s="6" t="str">
        <f>VLOOKUP(A1406,[2]characters!$A:$C,3,FALSE)</f>
        <v>Sagittarius02</v>
      </c>
      <c r="C1406" s="9">
        <f>VLOOKUP(A1406,[2]characters!$A:$I,9,FALSE)</f>
        <v>6</v>
      </c>
      <c r="D1406" s="9" t="str">
        <f>VLOOKUP(A1406,[2]characters!$A:$H,8,FALSE)</f>
        <v>yellow</v>
      </c>
      <c r="E1406" s="24">
        <f>VLOOKUP(D1406,[2]属性!$A:$E,2,FALSE)</f>
        <v>0.98</v>
      </c>
      <c r="F1406" s="24">
        <f>VLOOKUP(D1406,[2]属性!$A:$E,3,FALSE)</f>
        <v>1.01</v>
      </c>
      <c r="G1406" s="24">
        <f>VLOOKUP(D1406,[2]属性!$A:$F,4,FALSE)</f>
        <v>1</v>
      </c>
      <c r="H1406" s="9" t="str">
        <f>VLOOKUP(A1406,[2]characters!$A:$K,11,FALSE)</f>
        <v>balance</v>
      </c>
      <c r="I1406" s="14" t="str">
        <f>VLOOKUP(H1406,[2]character_type_i18n!$A:$F,3,FALSE)</f>
        <v>バランスタイプ</v>
      </c>
      <c r="J1406" s="36">
        <f>VLOOKUP(H1406,[2]character_type_i18n!$A:$F,4,FALSE)</f>
        <v>1</v>
      </c>
      <c r="K1406" s="36">
        <f>VLOOKUP(H1406,[2]character_type_i18n!$A:$F,5,FALSE)</f>
        <v>1</v>
      </c>
      <c r="L1406" s="36">
        <f>VLOOKUP(H1406,[2]character_type_i18n!$A:$F,6,FALSE)</f>
        <v>1</v>
      </c>
      <c r="M1406" s="9" t="str">
        <f>VLOOKUP(A1406,[2]characters!$A:$M,13,FALSE)</f>
        <v>human</v>
      </c>
      <c r="N1406" s="14" t="str">
        <f>VLOOKUP(M1406,[2]character_tribe_i18n!$A:$F,3,FALSE)</f>
        <v>ヒューマン</v>
      </c>
      <c r="O1406" s="24">
        <f>VLOOKUP(M1406,[2]character_tribe_i18n!$A:$F,4,FALSE)</f>
        <v>0.94</v>
      </c>
      <c r="P1406" s="24">
        <f>VLOOKUP(M1406,[2]character_tribe_i18n!$A:$F,5,FALSE)</f>
        <v>0.99</v>
      </c>
      <c r="Q1406" s="24">
        <f>VLOOKUP(M1406,[2]character_tribe_i18n!$A:$F,6,FALSE)</f>
        <v>1</v>
      </c>
      <c r="R1406" s="25" t="s">
        <v>98</v>
      </c>
      <c r="S1406" s="24">
        <f>VLOOKUP($R1406,ラベル別係数!$A$1:$E$7,3,FALSE)</f>
        <v>5</v>
      </c>
      <c r="T1406" s="24">
        <f>VLOOKUP($R1406,ラベル別係数!$A$1:$E$7,4,FALSE)</f>
        <v>1.3</v>
      </c>
      <c r="U1406" s="24">
        <f>VLOOKUP($R1406,ラベル別係数!$A$1:$E$7,5,FALSE)</f>
        <v>0.8</v>
      </c>
      <c r="V1406" s="27">
        <v>3</v>
      </c>
      <c r="W1406" s="28">
        <f>VLOOKUP(V1406,ターン数別攻撃係数!$A$1:$B$1000,2,FALSE)</f>
        <v>1</v>
      </c>
      <c r="X1406" s="9">
        <f>VLOOKUP(C1406,サイズ別係数!A$2:B$9,2,FALSE)</f>
        <v>60</v>
      </c>
      <c r="Y1406" s="26">
        <f>VLOOKUP($X1406,サイズ別係数!$B:$E,2,FALSE)</f>
        <v>1.7</v>
      </c>
      <c r="Z1406" s="26">
        <f>VLOOKUP($X1406,サイズ別係数!$B:$E,3,FALSE)</f>
        <v>1.4</v>
      </c>
      <c r="AA1406" s="26">
        <f>VLOOKUP($X1406,サイズ別係数!$B:$E,4,FALSE)</f>
        <v>1</v>
      </c>
      <c r="AB1406" s="5">
        <v>0</v>
      </c>
      <c r="AC1406" s="34" t="str">
        <f ca="1">VLOOKUP($AB1406,OFFSET([3]enemy_skill_sets!$B$2,0,0,COUNTA([3]enemy_skill_sets!$A:$A),MATCH(AC$1,[3]enemy_skill_sets!$1:$1,0)-MATCH($AB$1,[3]enemy_skill_sets!$1:$1,0)+1),MATCH(AC$1,[3]enemy_skill_sets!$1:$1,0)-MATCH($AB$1,[3]enemy_skill_sets!$1:$1,0)+1,FALSE)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6" s="67">
        <v>1</v>
      </c>
      <c r="AE1406" s="67">
        <v>1</v>
      </c>
      <c r="AF1406" s="37">
        <v>0</v>
      </c>
      <c r="AG1406" s="99">
        <f>ROUND(VLOOKUP(1,enemy_base_stats!$A:$F,2,FALSE) * Y1406* J1406*O1406*E1406*S1406*AD1406*[2]ステータス!$B$2,0)</f>
        <v>3915</v>
      </c>
      <c r="AH1406" s="99">
        <f>ROUND(VLOOKUP(1,enemy_base_stats!$A:$F,3,FALSE) * Z1406*K1406*P1406*F1406*T1406*AE1406 * W1406*[2]ステータス!$C$2,0)</f>
        <v>273</v>
      </c>
      <c r="AI1406" s="99">
        <f>ROUND(VLOOKUP(1,enemy_base_stats!$A:$F,4,FALSE) * AA1406*L1406*Q1406*G1406*U1406*AF1406*[2]ステータス!$D$2,0)</f>
        <v>0</v>
      </c>
      <c r="AJ1406" s="99">
        <f>ROUND(VLOOKUP(100,enemy_base_stats!$A:$F,2,FALSE) * Y1406* J1406*O1406*E1406*S1406*AD1406*[2]ステータス!$B$2,0)</f>
        <v>158953</v>
      </c>
      <c r="AK1406" s="99">
        <f>ROUND(VLOOKUP(100,enemy_base_stats!$A:$F,3,FALSE)* Z1406* K1406*P1406*F1406*T1406*AE1406 * W1406*[2]ステータス!$C$2,0)</f>
        <v>11083</v>
      </c>
      <c r="AL1406" s="99">
        <f>ROUND(VLOOKUP(100,enemy_base_stats!$A:$F,4,FALSE)* AA1406* L1406*Q1406*G1406*U1406*AF1406*[2]ステータス!$D$2,0)</f>
        <v>0</v>
      </c>
      <c r="AM1406" s="97">
        <f>VLOOKUP(M1406,[2]character_tribe_i18n!$A:$I,9,FALSE)</f>
        <v>400</v>
      </c>
      <c r="AN1406" s="36">
        <v>0</v>
      </c>
      <c r="AO1406" s="53">
        <v>0</v>
      </c>
      <c r="AP1406" s="58" t="s">
        <v>72</v>
      </c>
      <c r="AQ1406" s="71">
        <f t="shared" si="84"/>
        <v>1562</v>
      </c>
    </row>
    <row r="1407" spans="1:43" ht="21" customHeight="1" x14ac:dyDescent="0.15">
      <c r="A1407" s="7">
        <v>1563</v>
      </c>
      <c r="B1407" s="6" t="str">
        <f>VLOOKUP(A1407,[2]characters!$A:$C,3,FALSE)</f>
        <v>Cassiopeia01</v>
      </c>
      <c r="C1407" s="9">
        <f>VLOOKUP(A1407,[2]characters!$A:$I,9,FALSE)</f>
        <v>5</v>
      </c>
      <c r="D1407" s="9" t="str">
        <f>VLOOKUP(A1407,[2]characters!$A:$H,8,FALSE)</f>
        <v>blue</v>
      </c>
      <c r="E1407" s="24">
        <f>VLOOKUP(D1407,[2]属性!$A:$E,2,FALSE)</f>
        <v>1</v>
      </c>
      <c r="F1407" s="24">
        <f>VLOOKUP(D1407,[2]属性!$A:$E,3,FALSE)</f>
        <v>0.98</v>
      </c>
      <c r="G1407" s="24">
        <f>VLOOKUP(D1407,[2]属性!$A:$F,4,FALSE)</f>
        <v>1</v>
      </c>
      <c r="H1407" s="9" t="str">
        <f>VLOOKUP(A1407,[2]characters!$A:$K,11,FALSE)</f>
        <v>technical</v>
      </c>
      <c r="I1407" s="14" t="str">
        <f>VLOOKUP(H1407,[2]character_type_i18n!$A:$F,3,FALSE)</f>
        <v>テクニカルタイプ</v>
      </c>
      <c r="J1407" s="36">
        <f>VLOOKUP(H1407,[2]character_type_i18n!$A:$F,4,FALSE)</f>
        <v>0.9</v>
      </c>
      <c r="K1407" s="36">
        <f>VLOOKUP(H1407,[2]character_type_i18n!$A:$F,5,FALSE)</f>
        <v>0.9</v>
      </c>
      <c r="L1407" s="36">
        <f>VLOOKUP(H1407,[2]character_type_i18n!$A:$F,6,FALSE)</f>
        <v>1</v>
      </c>
      <c r="M1407" s="9" t="str">
        <f>VLOOKUP(A1407,[2]characters!$A:$M,13,FALSE)</f>
        <v>human</v>
      </c>
      <c r="N1407" s="14" t="str">
        <f>VLOOKUP(M1407,[2]character_tribe_i18n!$A:$F,3,FALSE)</f>
        <v>ヒューマン</v>
      </c>
      <c r="O1407" s="24">
        <f>VLOOKUP(M1407,[2]character_tribe_i18n!$A:$F,4,FALSE)</f>
        <v>0.94</v>
      </c>
      <c r="P1407" s="24">
        <f>VLOOKUP(M1407,[2]character_tribe_i18n!$A:$F,5,FALSE)</f>
        <v>0.99</v>
      </c>
      <c r="Q1407" s="24">
        <f>VLOOKUP(M1407,[2]character_tribe_i18n!$A:$F,6,FALSE)</f>
        <v>1</v>
      </c>
      <c r="R1407" s="25" t="s">
        <v>98</v>
      </c>
      <c r="S1407" s="24">
        <f>VLOOKUP($R1407,ラベル別係数!$A$1:$E$7,3,FALSE)</f>
        <v>5</v>
      </c>
      <c r="T1407" s="24">
        <f>VLOOKUP($R1407,ラベル別係数!$A$1:$E$7,4,FALSE)</f>
        <v>1.3</v>
      </c>
      <c r="U1407" s="24">
        <f>VLOOKUP($R1407,ラベル別係数!$A$1:$E$7,5,FALSE)</f>
        <v>0.8</v>
      </c>
      <c r="V1407" s="27">
        <v>3</v>
      </c>
      <c r="W1407" s="28">
        <f>VLOOKUP(V1407,ターン数別攻撃係数!$A$1:$B$1000,2,FALSE)</f>
        <v>1</v>
      </c>
      <c r="X1407" s="9">
        <f>VLOOKUP(C1407,サイズ別係数!A$2:B$9,2,FALSE)</f>
        <v>60</v>
      </c>
      <c r="Y1407" s="26">
        <f>VLOOKUP($X1407,サイズ別係数!$B:$E,2,FALSE)</f>
        <v>1.7</v>
      </c>
      <c r="Z1407" s="26">
        <f>VLOOKUP($X1407,サイズ別係数!$B:$E,3,FALSE)</f>
        <v>1.4</v>
      </c>
      <c r="AA1407" s="26">
        <f>VLOOKUP($X1407,サイズ別係数!$B:$E,4,FALSE)</f>
        <v>1</v>
      </c>
      <c r="AB1407" s="5">
        <v>0</v>
      </c>
      <c r="AC1407" s="34" t="str">
        <f ca="1">VLOOKUP($AB1407,OFFSET([3]enemy_skill_sets!$B$2,0,0,COUNTA([3]enemy_skill_sets!$A:$A),MATCH(AC$1,[3]enemy_skill_sets!$1:$1,0)-MATCH($AB$1,[3]enemy_skill_sets!$1:$1,0)+1),MATCH(AC$1,[3]enemy_skill_sets!$1:$1,0)-MATCH($AB$1,[3]enemy_skill_sets!$1:$1,0)+1,FALSE)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7" s="67">
        <v>1</v>
      </c>
      <c r="AE1407" s="67">
        <v>1</v>
      </c>
      <c r="AF1407" s="37">
        <v>0</v>
      </c>
      <c r="AG1407" s="99">
        <f>ROUND(VLOOKUP(1,enemy_base_stats!$A:$F,2,FALSE) * Y1407* J1407*O1407*E1407*S1407*AD1407*[2]ステータス!$B$2,0)</f>
        <v>3596</v>
      </c>
      <c r="AH1407" s="99">
        <f>ROUND(VLOOKUP(1,enemy_base_stats!$A:$F,3,FALSE) * Z1407*K1407*P1407*F1407*T1407*AE1407 * W1407*[2]ステータス!$C$2,0)</f>
        <v>238</v>
      </c>
      <c r="AI1407" s="99">
        <f>ROUND(VLOOKUP(1,enemy_base_stats!$A:$F,4,FALSE) * AA1407*L1407*Q1407*G1407*U1407*AF1407*[2]ステータス!$D$2,0)</f>
        <v>0</v>
      </c>
      <c r="AJ1407" s="99">
        <f>ROUND(VLOOKUP(100,enemy_base_stats!$A:$F,2,FALSE) * Y1407* J1407*O1407*E1407*S1407*AD1407*[2]ステータス!$B$2,0)</f>
        <v>145977</v>
      </c>
      <c r="AK1407" s="99">
        <f>ROUND(VLOOKUP(100,enemy_base_stats!$A:$F,3,FALSE)* Z1407* K1407*P1407*F1407*T1407*AE1407 * W1407*[2]ステータス!$C$2,0)</f>
        <v>9678</v>
      </c>
      <c r="AL1407" s="99">
        <f>ROUND(VLOOKUP(100,enemy_base_stats!$A:$F,4,FALSE)* AA1407* L1407*Q1407*G1407*U1407*AF1407*[2]ステータス!$D$2,0)</f>
        <v>0</v>
      </c>
      <c r="AM1407" s="97">
        <f>VLOOKUP(M1407,[2]character_tribe_i18n!$A:$I,9,FALSE)</f>
        <v>400</v>
      </c>
      <c r="AN1407" s="36">
        <v>0</v>
      </c>
      <c r="AO1407" s="53">
        <v>0</v>
      </c>
      <c r="AP1407" s="58" t="s">
        <v>72</v>
      </c>
      <c r="AQ1407" s="71">
        <f t="shared" si="84"/>
        <v>1563</v>
      </c>
    </row>
    <row r="1408" spans="1:43" ht="21" customHeight="1" x14ac:dyDescent="0.15">
      <c r="A1408" s="7">
        <v>1564</v>
      </c>
      <c r="B1408" s="6" t="str">
        <f>VLOOKUP(A1408,[2]characters!$A:$C,3,FALSE)</f>
        <v>Cassiopeia02</v>
      </c>
      <c r="C1408" s="9">
        <f>VLOOKUP(A1408,[2]characters!$A:$I,9,FALSE)</f>
        <v>6</v>
      </c>
      <c r="D1408" s="9" t="str">
        <f>VLOOKUP(A1408,[2]characters!$A:$H,8,FALSE)</f>
        <v>blue</v>
      </c>
      <c r="E1408" s="24">
        <f>VLOOKUP(D1408,[2]属性!$A:$E,2,FALSE)</f>
        <v>1</v>
      </c>
      <c r="F1408" s="24">
        <f>VLOOKUP(D1408,[2]属性!$A:$E,3,FALSE)</f>
        <v>0.98</v>
      </c>
      <c r="G1408" s="24">
        <f>VLOOKUP(D1408,[2]属性!$A:$F,4,FALSE)</f>
        <v>1</v>
      </c>
      <c r="H1408" s="9" t="str">
        <f>VLOOKUP(A1408,[2]characters!$A:$K,11,FALSE)</f>
        <v>technical</v>
      </c>
      <c r="I1408" s="14" t="str">
        <f>VLOOKUP(H1408,[2]character_type_i18n!$A:$F,3,FALSE)</f>
        <v>テクニカルタイプ</v>
      </c>
      <c r="J1408" s="36">
        <f>VLOOKUP(H1408,[2]character_type_i18n!$A:$F,4,FALSE)</f>
        <v>0.9</v>
      </c>
      <c r="K1408" s="36">
        <f>VLOOKUP(H1408,[2]character_type_i18n!$A:$F,5,FALSE)</f>
        <v>0.9</v>
      </c>
      <c r="L1408" s="36">
        <f>VLOOKUP(H1408,[2]character_type_i18n!$A:$F,6,FALSE)</f>
        <v>1</v>
      </c>
      <c r="M1408" s="9" t="str">
        <f>VLOOKUP(A1408,[2]characters!$A:$M,13,FALSE)</f>
        <v>human</v>
      </c>
      <c r="N1408" s="14" t="str">
        <f>VLOOKUP(M1408,[2]character_tribe_i18n!$A:$F,3,FALSE)</f>
        <v>ヒューマン</v>
      </c>
      <c r="O1408" s="24">
        <f>VLOOKUP(M1408,[2]character_tribe_i18n!$A:$F,4,FALSE)</f>
        <v>0.94</v>
      </c>
      <c r="P1408" s="24">
        <f>VLOOKUP(M1408,[2]character_tribe_i18n!$A:$F,5,FALSE)</f>
        <v>0.99</v>
      </c>
      <c r="Q1408" s="24">
        <f>VLOOKUP(M1408,[2]character_tribe_i18n!$A:$F,6,FALSE)</f>
        <v>1</v>
      </c>
      <c r="R1408" s="25" t="s">
        <v>98</v>
      </c>
      <c r="S1408" s="24">
        <f>VLOOKUP($R1408,ラベル別係数!$A$1:$E$7,3,FALSE)</f>
        <v>5</v>
      </c>
      <c r="T1408" s="24">
        <f>VLOOKUP($R1408,ラベル別係数!$A$1:$E$7,4,FALSE)</f>
        <v>1.3</v>
      </c>
      <c r="U1408" s="24">
        <f>VLOOKUP($R1408,ラベル別係数!$A$1:$E$7,5,FALSE)</f>
        <v>0.8</v>
      </c>
      <c r="V1408" s="27">
        <v>3</v>
      </c>
      <c r="W1408" s="28">
        <f>VLOOKUP(V1408,ターン数別攻撃係数!$A$1:$B$1000,2,FALSE)</f>
        <v>1</v>
      </c>
      <c r="X1408" s="9">
        <f>VLOOKUP(C1408,サイズ別係数!A$2:B$9,2,FALSE)</f>
        <v>60</v>
      </c>
      <c r="Y1408" s="26">
        <f>VLOOKUP($X1408,サイズ別係数!$B:$E,2,FALSE)</f>
        <v>1.7</v>
      </c>
      <c r="Z1408" s="26">
        <f>VLOOKUP($X1408,サイズ別係数!$B:$E,3,FALSE)</f>
        <v>1.4</v>
      </c>
      <c r="AA1408" s="26">
        <f>VLOOKUP($X1408,サイズ別係数!$B:$E,4,FALSE)</f>
        <v>1</v>
      </c>
      <c r="AB1408" s="5">
        <v>0</v>
      </c>
      <c r="AC1408" s="34" t="str">
        <f ca="1">VLOOKUP($AB1408,OFFSET([3]enemy_skill_sets!$B$2,0,0,COUNTA([3]enemy_skill_sets!$A:$A),MATCH(AC$1,[3]enemy_skill_sets!$1:$1,0)-MATCH($AB$1,[3]enemy_skill_sets!$1:$1,0)+1),MATCH(AC$1,[3]enemy_skill_sets!$1:$1,0)-MATCH($AB$1,[3]enemy_skill_sets!$1:$1,0)+1,FALSE)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8" s="67">
        <v>1</v>
      </c>
      <c r="AE1408" s="67">
        <v>1</v>
      </c>
      <c r="AF1408" s="37">
        <v>0</v>
      </c>
      <c r="AG1408" s="99">
        <f>ROUND(VLOOKUP(1,enemy_base_stats!$A:$F,2,FALSE) * Y1408* J1408*O1408*E1408*S1408*AD1408*[2]ステータス!$B$2,0)</f>
        <v>3596</v>
      </c>
      <c r="AH1408" s="99">
        <f>ROUND(VLOOKUP(1,enemy_base_stats!$A:$F,3,FALSE) * Z1408*K1408*P1408*F1408*T1408*AE1408 * W1408*[2]ステータス!$C$2,0)</f>
        <v>238</v>
      </c>
      <c r="AI1408" s="99">
        <f>ROUND(VLOOKUP(1,enemy_base_stats!$A:$F,4,FALSE) * AA1408*L1408*Q1408*G1408*U1408*AF1408*[2]ステータス!$D$2,0)</f>
        <v>0</v>
      </c>
      <c r="AJ1408" s="99">
        <f>ROUND(VLOOKUP(100,enemy_base_stats!$A:$F,2,FALSE) * Y1408* J1408*O1408*E1408*S1408*AD1408*[2]ステータス!$B$2,0)</f>
        <v>145977</v>
      </c>
      <c r="AK1408" s="99">
        <f>ROUND(VLOOKUP(100,enemy_base_stats!$A:$F,3,FALSE)* Z1408* K1408*P1408*F1408*T1408*AE1408 * W1408*[2]ステータス!$C$2,0)</f>
        <v>9678</v>
      </c>
      <c r="AL1408" s="99">
        <f>ROUND(VLOOKUP(100,enemy_base_stats!$A:$F,4,FALSE)* AA1408* L1408*Q1408*G1408*U1408*AF1408*[2]ステータス!$D$2,0)</f>
        <v>0</v>
      </c>
      <c r="AM1408" s="97">
        <f>VLOOKUP(M1408,[2]character_tribe_i18n!$A:$I,9,FALSE)</f>
        <v>400</v>
      </c>
      <c r="AN1408" s="36">
        <v>0</v>
      </c>
      <c r="AO1408" s="53">
        <v>0</v>
      </c>
      <c r="AP1408" s="58" t="s">
        <v>72</v>
      </c>
      <c r="AQ1408" s="71">
        <f t="shared" si="84"/>
        <v>1564</v>
      </c>
    </row>
    <row r="1409" spans="1:43" ht="21" customHeight="1" x14ac:dyDescent="0.15">
      <c r="A1409" s="7">
        <v>1565</v>
      </c>
      <c r="B1409" s="6" t="str">
        <f>VLOOKUP(A1409,[2]characters!$A:$C,3,FALSE)</f>
        <v>Aquila01</v>
      </c>
      <c r="C1409" s="9">
        <f>VLOOKUP(A1409,[2]characters!$A:$I,9,FALSE)</f>
        <v>5</v>
      </c>
      <c r="D1409" s="9" t="str">
        <f>VLOOKUP(A1409,[2]characters!$A:$H,8,FALSE)</f>
        <v>green</v>
      </c>
      <c r="E1409" s="24">
        <f>VLOOKUP(D1409,[2]属性!$A:$E,2,FALSE)</f>
        <v>1.02</v>
      </c>
      <c r="F1409" s="24">
        <f>VLOOKUP(D1409,[2]属性!$A:$E,3,FALSE)</f>
        <v>0.98</v>
      </c>
      <c r="G1409" s="24">
        <f>VLOOKUP(D1409,[2]属性!$A:$F,4,FALSE)</f>
        <v>1</v>
      </c>
      <c r="H1409" s="9" t="str">
        <f>VLOOKUP(A1409,[2]characters!$A:$K,11,FALSE)</f>
        <v>attack</v>
      </c>
      <c r="I1409" s="14" t="str">
        <f>VLOOKUP(H1409,[2]character_type_i18n!$A:$F,3,FALSE)</f>
        <v>攻撃タイプ</v>
      </c>
      <c r="J1409" s="36">
        <f>VLOOKUP(H1409,[2]character_type_i18n!$A:$F,4,FALSE)</f>
        <v>1</v>
      </c>
      <c r="K1409" s="36">
        <f>VLOOKUP(H1409,[2]character_type_i18n!$A:$F,5,FALSE)</f>
        <v>1.33</v>
      </c>
      <c r="L1409" s="36">
        <f>VLOOKUP(H1409,[2]character_type_i18n!$A:$F,6,FALSE)</f>
        <v>1</v>
      </c>
      <c r="M1409" s="9" t="str">
        <f>VLOOKUP(A1409,[2]characters!$A:$M,13,FALSE)</f>
        <v>human</v>
      </c>
      <c r="N1409" s="14" t="str">
        <f>VLOOKUP(M1409,[2]character_tribe_i18n!$A:$F,3,FALSE)</f>
        <v>ヒューマン</v>
      </c>
      <c r="O1409" s="24">
        <f>VLOOKUP(M1409,[2]character_tribe_i18n!$A:$F,4,FALSE)</f>
        <v>0.94</v>
      </c>
      <c r="P1409" s="24">
        <f>VLOOKUP(M1409,[2]character_tribe_i18n!$A:$F,5,FALSE)</f>
        <v>0.99</v>
      </c>
      <c r="Q1409" s="24">
        <f>VLOOKUP(M1409,[2]character_tribe_i18n!$A:$F,6,FALSE)</f>
        <v>1</v>
      </c>
      <c r="R1409" s="25" t="s">
        <v>98</v>
      </c>
      <c r="S1409" s="24">
        <f>VLOOKUP($R1409,ラベル別係数!$A$1:$E$7,3,FALSE)</f>
        <v>5</v>
      </c>
      <c r="T1409" s="24">
        <f>VLOOKUP($R1409,ラベル別係数!$A$1:$E$7,4,FALSE)</f>
        <v>1.3</v>
      </c>
      <c r="U1409" s="24">
        <f>VLOOKUP($R1409,ラベル別係数!$A$1:$E$7,5,FALSE)</f>
        <v>0.8</v>
      </c>
      <c r="V1409" s="27">
        <v>3</v>
      </c>
      <c r="W1409" s="28">
        <f>VLOOKUP(V1409,ターン数別攻撃係数!$A$1:$B$1000,2,FALSE)</f>
        <v>1</v>
      </c>
      <c r="X1409" s="9">
        <f>VLOOKUP(C1409,サイズ別係数!A$2:B$9,2,FALSE)</f>
        <v>60</v>
      </c>
      <c r="Y1409" s="26">
        <f>VLOOKUP($X1409,サイズ別係数!$B:$E,2,FALSE)</f>
        <v>1.7</v>
      </c>
      <c r="Z1409" s="26">
        <f>VLOOKUP($X1409,サイズ別係数!$B:$E,3,FALSE)</f>
        <v>1.4</v>
      </c>
      <c r="AA1409" s="26">
        <f>VLOOKUP($X1409,サイズ別係数!$B:$E,4,FALSE)</f>
        <v>1</v>
      </c>
      <c r="AB1409" s="5">
        <v>0</v>
      </c>
      <c r="AC1409" s="34" t="str">
        <f ca="1">VLOOKUP($AB1409,OFFSET([3]enemy_skill_sets!$B$2,0,0,COUNTA([3]enemy_skill_sets!$A:$A),MATCH(AC$1,[3]enemy_skill_sets!$1:$1,0)-MATCH($AB$1,[3]enemy_skill_sets!$1:$1,0)+1),MATCH(AC$1,[3]enemy_skill_sets!$1:$1,0)-MATCH($AB$1,[3]enemy_skill_sets!$1:$1,0)+1,FALSE)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09" s="67">
        <v>1</v>
      </c>
      <c r="AE1409" s="67">
        <v>1</v>
      </c>
      <c r="AF1409" s="37">
        <v>0</v>
      </c>
      <c r="AG1409" s="99">
        <f>ROUND(VLOOKUP(1,enemy_base_stats!$A:$F,2,FALSE) * Y1409* J1409*O1409*E1409*S1409*AD1409*[2]ステータス!$B$2,0)</f>
        <v>4075</v>
      </c>
      <c r="AH1409" s="99">
        <f>ROUND(VLOOKUP(1,enemy_base_stats!$A:$F,3,FALSE) * Z1409*K1409*P1409*F1409*T1409*AE1409 * W1409*[2]ステータス!$C$2,0)</f>
        <v>352</v>
      </c>
      <c r="AI1409" s="99">
        <f>ROUND(VLOOKUP(1,enemy_base_stats!$A:$F,4,FALSE) * AA1409*L1409*Q1409*G1409*U1409*AF1409*[2]ステータス!$D$2,0)</f>
        <v>0</v>
      </c>
      <c r="AJ1409" s="99">
        <f>ROUND(VLOOKUP(100,enemy_base_stats!$A:$F,2,FALSE) * Y1409* J1409*O1409*E1409*S1409*AD1409*[2]ステータス!$B$2,0)</f>
        <v>165441</v>
      </c>
      <c r="AK1409" s="99">
        <f>ROUND(VLOOKUP(100,enemy_base_stats!$A:$F,3,FALSE)* Z1409* K1409*P1409*F1409*T1409*AE1409 * W1409*[2]ステータス!$C$2,0)</f>
        <v>14302</v>
      </c>
      <c r="AL1409" s="99">
        <f>ROUND(VLOOKUP(100,enemy_base_stats!$A:$F,4,FALSE)* AA1409* L1409*Q1409*G1409*U1409*AF1409*[2]ステータス!$D$2,0)</f>
        <v>0</v>
      </c>
      <c r="AM1409" s="97">
        <f>VLOOKUP(M1409,[2]character_tribe_i18n!$A:$I,9,FALSE)</f>
        <v>400</v>
      </c>
      <c r="AN1409" s="36">
        <v>0</v>
      </c>
      <c r="AO1409" s="53">
        <v>0</v>
      </c>
      <c r="AP1409" s="58" t="s">
        <v>72</v>
      </c>
      <c r="AQ1409" s="71">
        <f t="shared" si="84"/>
        <v>1565</v>
      </c>
    </row>
    <row r="1410" spans="1:43" ht="21" customHeight="1" x14ac:dyDescent="0.15">
      <c r="A1410" s="7">
        <v>1566</v>
      </c>
      <c r="B1410" s="6" t="str">
        <f>VLOOKUP(A1410,[2]characters!$A:$C,3,FALSE)</f>
        <v>Phoenix01</v>
      </c>
      <c r="C1410" s="9">
        <f>VLOOKUP(A1410,[2]characters!$A:$I,9,FALSE)</f>
        <v>5</v>
      </c>
      <c r="D1410" s="9" t="str">
        <f>VLOOKUP(A1410,[2]characters!$A:$H,8,FALSE)</f>
        <v>red</v>
      </c>
      <c r="E1410" s="24">
        <f>VLOOKUP(D1410,[2]属性!$A:$E,2,FALSE)</f>
        <v>1</v>
      </c>
      <c r="F1410" s="24">
        <f>VLOOKUP(D1410,[2]属性!$A:$E,3,FALSE)</f>
        <v>1.02</v>
      </c>
      <c r="G1410" s="24">
        <f>VLOOKUP(D1410,[2]属性!$A:$F,4,FALSE)</f>
        <v>1</v>
      </c>
      <c r="H1410" s="9" t="str">
        <f>VLOOKUP(A1410,[2]characters!$A:$K,11,FALSE)</f>
        <v>heal</v>
      </c>
      <c r="I1410" s="14" t="str">
        <f>VLOOKUP(H1410,[2]character_type_i18n!$A:$F,3,FALSE)</f>
        <v>回復タイプ</v>
      </c>
      <c r="J1410" s="36">
        <f>VLOOKUP(H1410,[2]character_type_i18n!$A:$F,4,FALSE)</f>
        <v>0.8</v>
      </c>
      <c r="K1410" s="36">
        <f>VLOOKUP(H1410,[2]character_type_i18n!$A:$F,5,FALSE)</f>
        <v>0.78</v>
      </c>
      <c r="L1410" s="36">
        <f>VLOOKUP(H1410,[2]character_type_i18n!$A:$F,6,FALSE)</f>
        <v>1</v>
      </c>
      <c r="M1410" s="9" t="str">
        <f>VLOOKUP(A1410,[2]characters!$A:$M,13,FALSE)</f>
        <v>human</v>
      </c>
      <c r="N1410" s="14" t="str">
        <f>VLOOKUP(M1410,[2]character_tribe_i18n!$A:$F,3,FALSE)</f>
        <v>ヒューマン</v>
      </c>
      <c r="O1410" s="24">
        <f>VLOOKUP(M1410,[2]character_tribe_i18n!$A:$F,4,FALSE)</f>
        <v>0.94</v>
      </c>
      <c r="P1410" s="24">
        <f>VLOOKUP(M1410,[2]character_tribe_i18n!$A:$F,5,FALSE)</f>
        <v>0.99</v>
      </c>
      <c r="Q1410" s="24">
        <f>VLOOKUP(M1410,[2]character_tribe_i18n!$A:$F,6,FALSE)</f>
        <v>1</v>
      </c>
      <c r="R1410" s="25" t="s">
        <v>98</v>
      </c>
      <c r="S1410" s="24">
        <f>VLOOKUP($R1410,ラベル別係数!$A$1:$E$7,3,FALSE)</f>
        <v>5</v>
      </c>
      <c r="T1410" s="24">
        <f>VLOOKUP($R1410,ラベル別係数!$A$1:$E$7,4,FALSE)</f>
        <v>1.3</v>
      </c>
      <c r="U1410" s="24">
        <f>VLOOKUP($R1410,ラベル別係数!$A$1:$E$7,5,FALSE)</f>
        <v>0.8</v>
      </c>
      <c r="V1410" s="27">
        <v>3</v>
      </c>
      <c r="W1410" s="28">
        <f>VLOOKUP(V1410,ターン数別攻撃係数!$A$1:$B$1000,2,FALSE)</f>
        <v>1</v>
      </c>
      <c r="X1410" s="9">
        <f>VLOOKUP(C1410,サイズ別係数!A$2:B$9,2,FALSE)</f>
        <v>60</v>
      </c>
      <c r="Y1410" s="26">
        <f>VLOOKUP($X1410,サイズ別係数!$B:$E,2,FALSE)</f>
        <v>1.7</v>
      </c>
      <c r="Z1410" s="26">
        <f>VLOOKUP($X1410,サイズ別係数!$B:$E,3,FALSE)</f>
        <v>1.4</v>
      </c>
      <c r="AA1410" s="26">
        <f>VLOOKUP($X1410,サイズ別係数!$B:$E,4,FALSE)</f>
        <v>1</v>
      </c>
      <c r="AB1410" s="5">
        <v>0</v>
      </c>
      <c r="AC1410" s="34" t="str">
        <f ca="1">VLOOKUP($AB1410,OFFSET([3]enemy_skill_sets!$B$2,0,0,COUNTA([3]enemy_skill_sets!$A:$A),MATCH(AC$1,[3]enemy_skill_sets!$1:$1,0)-MATCH($AB$1,[3]enemy_skill_sets!$1:$1,0)+1),MATCH(AC$1,[3]enemy_skill_sets!$1:$1,0)-MATCH($AB$1,[3]enemy_skill_sets!$1:$1,0)+1,FALSE)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0" s="67">
        <v>1</v>
      </c>
      <c r="AE1410" s="67">
        <v>1</v>
      </c>
      <c r="AF1410" s="37">
        <v>0</v>
      </c>
      <c r="AG1410" s="41">
        <v>4075</v>
      </c>
      <c r="AH1410" s="41">
        <v>352</v>
      </c>
      <c r="AI1410" s="41">
        <v>0</v>
      </c>
      <c r="AJ1410" s="41">
        <v>165441</v>
      </c>
      <c r="AK1410" s="41">
        <v>14302</v>
      </c>
      <c r="AL1410" s="41">
        <v>0</v>
      </c>
      <c r="AM1410" s="97">
        <f>VLOOKUP(M1410,[2]character_tribe_i18n!$A:$I,9,FALSE)</f>
        <v>400</v>
      </c>
      <c r="AN1410" s="36">
        <v>0</v>
      </c>
      <c r="AO1410" s="53">
        <v>0</v>
      </c>
      <c r="AP1410" s="58" t="s">
        <v>72</v>
      </c>
      <c r="AQ1410" s="71">
        <f t="shared" si="84"/>
        <v>1566</v>
      </c>
    </row>
    <row r="1411" spans="1:43" ht="21" customHeight="1" x14ac:dyDescent="0.15">
      <c r="A1411" s="7">
        <v>1567</v>
      </c>
      <c r="B1411" s="6" t="str">
        <f>VLOOKUP(A1411,[2]characters!$A:$C,3,FALSE)</f>
        <v>Phoenix02</v>
      </c>
      <c r="C1411" s="9">
        <f>VLOOKUP(A1411,[2]characters!$A:$I,9,FALSE)</f>
        <v>6</v>
      </c>
      <c r="D1411" s="9" t="str">
        <f>VLOOKUP(A1411,[2]characters!$A:$H,8,FALSE)</f>
        <v>red</v>
      </c>
      <c r="E1411" s="24">
        <f>VLOOKUP(D1411,[2]属性!$A:$E,2,FALSE)</f>
        <v>1</v>
      </c>
      <c r="F1411" s="24">
        <f>VLOOKUP(D1411,[2]属性!$A:$E,3,FALSE)</f>
        <v>1.02</v>
      </c>
      <c r="G1411" s="24">
        <f>VLOOKUP(D1411,[2]属性!$A:$F,4,FALSE)</f>
        <v>1</v>
      </c>
      <c r="H1411" s="9" t="str">
        <f>VLOOKUP(A1411,[2]characters!$A:$K,11,FALSE)</f>
        <v>heal</v>
      </c>
      <c r="I1411" s="14" t="str">
        <f>VLOOKUP(H1411,[2]character_type_i18n!$A:$F,3,FALSE)</f>
        <v>回復タイプ</v>
      </c>
      <c r="J1411" s="36">
        <f>VLOOKUP(H1411,[2]character_type_i18n!$A:$F,4,FALSE)</f>
        <v>0.8</v>
      </c>
      <c r="K1411" s="36">
        <f>VLOOKUP(H1411,[2]character_type_i18n!$A:$F,5,FALSE)</f>
        <v>0.78</v>
      </c>
      <c r="L1411" s="36">
        <f>VLOOKUP(H1411,[2]character_type_i18n!$A:$F,6,FALSE)</f>
        <v>1</v>
      </c>
      <c r="M1411" s="9" t="str">
        <f>VLOOKUP(A1411,[2]characters!$A:$M,13,FALSE)</f>
        <v>human</v>
      </c>
      <c r="N1411" s="14" t="str">
        <f>VLOOKUP(M1411,[2]character_tribe_i18n!$A:$F,3,FALSE)</f>
        <v>ヒューマン</v>
      </c>
      <c r="O1411" s="24">
        <f>VLOOKUP(M1411,[2]character_tribe_i18n!$A:$F,4,FALSE)</f>
        <v>0.94</v>
      </c>
      <c r="P1411" s="24">
        <f>VLOOKUP(M1411,[2]character_tribe_i18n!$A:$F,5,FALSE)</f>
        <v>0.99</v>
      </c>
      <c r="Q1411" s="24">
        <f>VLOOKUP(M1411,[2]character_tribe_i18n!$A:$F,6,FALSE)</f>
        <v>1</v>
      </c>
      <c r="R1411" s="25" t="s">
        <v>98</v>
      </c>
      <c r="S1411" s="24">
        <f>VLOOKUP($R1411,ラベル別係数!$A$1:$E$7,3,FALSE)</f>
        <v>5</v>
      </c>
      <c r="T1411" s="24">
        <f>VLOOKUP($R1411,ラベル別係数!$A$1:$E$7,4,FALSE)</f>
        <v>1.3</v>
      </c>
      <c r="U1411" s="24">
        <f>VLOOKUP($R1411,ラベル別係数!$A$1:$E$7,5,FALSE)</f>
        <v>0.8</v>
      </c>
      <c r="V1411" s="27">
        <v>3</v>
      </c>
      <c r="W1411" s="28">
        <f>VLOOKUP(V1411,ターン数別攻撃係数!$A$1:$B$1000,2,FALSE)</f>
        <v>1</v>
      </c>
      <c r="X1411" s="9">
        <f>VLOOKUP(C1411,サイズ別係数!A$2:B$9,2,FALSE)</f>
        <v>60</v>
      </c>
      <c r="Y1411" s="26">
        <f>VLOOKUP($X1411,サイズ別係数!$B:$E,2,FALSE)</f>
        <v>1.7</v>
      </c>
      <c r="Z1411" s="26">
        <f>VLOOKUP($X1411,サイズ別係数!$B:$E,3,FALSE)</f>
        <v>1.4</v>
      </c>
      <c r="AA1411" s="26">
        <f>VLOOKUP($X1411,サイズ別係数!$B:$E,4,FALSE)</f>
        <v>1</v>
      </c>
      <c r="AB1411" s="5">
        <v>0</v>
      </c>
      <c r="AC1411" s="34" t="str">
        <f ca="1">VLOOKUP($AB1411,OFFSET([3]enemy_skill_sets!$B$2,0,0,COUNTA([3]enemy_skill_sets!$A:$A),MATCH(AC$1,[3]enemy_skill_sets!$1:$1,0)-MATCH($AB$1,[3]enemy_skill_sets!$1:$1,0)+1),MATCH(AC$1,[3]enemy_skill_sets!$1:$1,0)-MATCH($AB$1,[3]enemy_skill_sets!$1:$1,0)+1,FALSE)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1" s="67">
        <v>1</v>
      </c>
      <c r="AE1411" s="67">
        <v>1</v>
      </c>
      <c r="AF1411" s="37">
        <v>0</v>
      </c>
      <c r="AG1411" s="99">
        <f>ROUND(VLOOKUP(1,enemy_base_stats!$A:$F,2,FALSE) * Y1411* J1411*O1411*E1411*S1411*AD1411*[2]ステータス!$B$2,0)</f>
        <v>3196</v>
      </c>
      <c r="AH1411" s="99">
        <f>ROUND(VLOOKUP(1,enemy_base_stats!$A:$F,3,FALSE) * Z1411*K1411*P1411*F1411*T1411*AE1411 * W1411*[2]ステータス!$C$2,0)</f>
        <v>215</v>
      </c>
      <c r="AI1411" s="99">
        <f>ROUND(VLOOKUP(1,enemy_base_stats!$A:$F,4,FALSE) * AA1411*L1411*Q1411*G1411*U1411*AF1411*[2]ステータス!$D$2,0)</f>
        <v>0</v>
      </c>
      <c r="AJ1411" s="99">
        <f>ROUND(VLOOKUP(100,enemy_base_stats!$A:$F,2,FALSE) * Y1411* J1411*O1411*E1411*S1411*AD1411*[2]ステータス!$B$2,0)</f>
        <v>129758</v>
      </c>
      <c r="AK1411" s="99">
        <f>ROUND(VLOOKUP(100,enemy_base_stats!$A:$F,3,FALSE)* Z1411* K1411*P1411*F1411*T1411*AE1411 * W1411*[2]ステータス!$C$2,0)</f>
        <v>8730</v>
      </c>
      <c r="AL1411" s="99">
        <f>ROUND(VLOOKUP(100,enemy_base_stats!$A:$F,4,FALSE)* AA1411* L1411*Q1411*G1411*U1411*AF1411*[2]ステータス!$D$2,0)</f>
        <v>0</v>
      </c>
      <c r="AM1411" s="97">
        <f>VLOOKUP(M1411,[2]character_tribe_i18n!$A:$I,9,FALSE)</f>
        <v>400</v>
      </c>
      <c r="AN1411" s="36">
        <v>0</v>
      </c>
      <c r="AO1411" s="53">
        <v>0</v>
      </c>
      <c r="AP1411" s="58" t="s">
        <v>72</v>
      </c>
      <c r="AQ1411" s="71">
        <f t="shared" si="84"/>
        <v>1567</v>
      </c>
    </row>
    <row r="1412" spans="1:43" ht="21" customHeight="1" x14ac:dyDescent="0.15">
      <c r="A1412" s="7">
        <v>1568</v>
      </c>
      <c r="B1412" s="6" t="str">
        <f>VLOOKUP(A1412,[2]characters!$A:$C,3,FALSE)</f>
        <v>Orion01</v>
      </c>
      <c r="C1412" s="9">
        <f>VLOOKUP(A1412,[2]characters!$A:$I,9,FALSE)</f>
        <v>5</v>
      </c>
      <c r="D1412" s="9" t="str">
        <f>VLOOKUP(A1412,[2]characters!$A:$H,8,FALSE)</f>
        <v>green</v>
      </c>
      <c r="E1412" s="24">
        <f>VLOOKUP(D1412,[2]属性!$A:$E,2,FALSE)</f>
        <v>1.02</v>
      </c>
      <c r="F1412" s="24">
        <f>VLOOKUP(D1412,[2]属性!$A:$E,3,FALSE)</f>
        <v>0.98</v>
      </c>
      <c r="G1412" s="24">
        <f>VLOOKUP(D1412,[2]属性!$A:$F,4,FALSE)</f>
        <v>1</v>
      </c>
      <c r="H1412" s="9" t="str">
        <f>VLOOKUP(A1412,[2]characters!$A:$K,11,FALSE)</f>
        <v>technical</v>
      </c>
      <c r="I1412" s="14" t="str">
        <f>VLOOKUP(H1412,[2]character_type_i18n!$A:$F,3,FALSE)</f>
        <v>テクニカルタイプ</v>
      </c>
      <c r="J1412" s="36">
        <f>VLOOKUP(H1412,[2]character_type_i18n!$A:$F,4,FALSE)</f>
        <v>0.9</v>
      </c>
      <c r="K1412" s="36">
        <f>VLOOKUP(H1412,[2]character_type_i18n!$A:$F,5,FALSE)</f>
        <v>0.9</v>
      </c>
      <c r="L1412" s="36">
        <f>VLOOKUP(H1412,[2]character_type_i18n!$A:$F,6,FALSE)</f>
        <v>1</v>
      </c>
      <c r="M1412" s="9" t="str">
        <f>VLOOKUP(A1412,[2]characters!$A:$M,13,FALSE)</f>
        <v>human</v>
      </c>
      <c r="N1412" s="14" t="str">
        <f>VLOOKUP(M1412,[2]character_tribe_i18n!$A:$F,3,FALSE)</f>
        <v>ヒューマン</v>
      </c>
      <c r="O1412" s="24">
        <f>VLOOKUP(M1412,[2]character_tribe_i18n!$A:$F,4,FALSE)</f>
        <v>0.94</v>
      </c>
      <c r="P1412" s="24">
        <f>VLOOKUP(M1412,[2]character_tribe_i18n!$A:$F,5,FALSE)</f>
        <v>0.99</v>
      </c>
      <c r="Q1412" s="24">
        <f>VLOOKUP(M1412,[2]character_tribe_i18n!$A:$F,6,FALSE)</f>
        <v>1</v>
      </c>
      <c r="R1412" s="25" t="s">
        <v>98</v>
      </c>
      <c r="S1412" s="24">
        <f>VLOOKUP($R1412,ラベル別係数!$A$1:$E$7,3,FALSE)</f>
        <v>5</v>
      </c>
      <c r="T1412" s="24">
        <f>VLOOKUP($R1412,ラベル別係数!$A$1:$E$7,4,FALSE)</f>
        <v>1.3</v>
      </c>
      <c r="U1412" s="24">
        <f>VLOOKUP($R1412,ラベル別係数!$A$1:$E$7,5,FALSE)</f>
        <v>0.8</v>
      </c>
      <c r="V1412" s="27">
        <v>3</v>
      </c>
      <c r="W1412" s="28">
        <f>VLOOKUP(V1412,ターン数別攻撃係数!$A$1:$B$1000,2,FALSE)</f>
        <v>1</v>
      </c>
      <c r="X1412" s="9">
        <f>VLOOKUP(C1412,サイズ別係数!A$2:B$9,2,FALSE)</f>
        <v>60</v>
      </c>
      <c r="Y1412" s="26">
        <f>VLOOKUP($X1412,サイズ別係数!$B:$E,2,FALSE)</f>
        <v>1.7</v>
      </c>
      <c r="Z1412" s="26">
        <f>VLOOKUP($X1412,サイズ別係数!$B:$E,3,FALSE)</f>
        <v>1.4</v>
      </c>
      <c r="AA1412" s="26">
        <f>VLOOKUP($X1412,サイズ別係数!$B:$E,4,FALSE)</f>
        <v>1</v>
      </c>
      <c r="AB1412" s="5">
        <v>0</v>
      </c>
      <c r="AC1412" s="34" t="str">
        <f ca="1">VLOOKUP($AB1412,OFFSET([3]enemy_skill_sets!$B$2,0,0,COUNTA([3]enemy_skill_sets!$A:$A),MATCH(AC$1,[3]enemy_skill_sets!$1:$1,0)-MATCH($AB$1,[3]enemy_skill_sets!$1:$1,0)+1),MATCH(AC$1,[3]enemy_skill_sets!$1:$1,0)-MATCH($AB$1,[3]enemy_skill_sets!$1:$1,0)+1,FALSE)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2" s="67">
        <v>1</v>
      </c>
      <c r="AE1412" s="67">
        <v>1</v>
      </c>
      <c r="AF1412" s="37">
        <v>0</v>
      </c>
      <c r="AG1412" s="99">
        <f>ROUND(VLOOKUP(1,enemy_base_stats!$A:$F,2,FALSE) * Y1412* J1412*O1412*E1412*S1412*AD1412*[2]ステータス!$B$2,0)</f>
        <v>3667</v>
      </c>
      <c r="AH1412" s="99">
        <f>ROUND(VLOOKUP(1,enemy_base_stats!$A:$F,3,FALSE) * Z1412*K1412*P1412*F1412*T1412*AE1412 * W1412*[2]ステータス!$C$2,0)</f>
        <v>238</v>
      </c>
      <c r="AI1412" s="99">
        <f>ROUND(VLOOKUP(1,enemy_base_stats!$A:$F,4,FALSE) * AA1412*L1412*Q1412*G1412*U1412*AF1412*[2]ステータス!$D$2,0)</f>
        <v>0</v>
      </c>
      <c r="AJ1412" s="99">
        <f>ROUND(VLOOKUP(100,enemy_base_stats!$A:$F,2,FALSE) * Y1412* J1412*O1412*E1412*S1412*AD1412*[2]ステータス!$B$2,0)</f>
        <v>148897</v>
      </c>
      <c r="AK1412" s="99">
        <f>ROUND(VLOOKUP(100,enemy_base_stats!$A:$F,3,FALSE)* Z1412* K1412*P1412*F1412*T1412*AE1412 * W1412*[2]ステータス!$C$2,0)</f>
        <v>9678</v>
      </c>
      <c r="AL1412" s="99">
        <f>ROUND(VLOOKUP(100,enemy_base_stats!$A:$F,4,FALSE)* AA1412* L1412*Q1412*G1412*U1412*AF1412*[2]ステータス!$D$2,0)</f>
        <v>0</v>
      </c>
      <c r="AM1412" s="97">
        <f>VLOOKUP(M1412,[2]character_tribe_i18n!$A:$I,9,FALSE)</f>
        <v>400</v>
      </c>
      <c r="AN1412" s="36">
        <v>0</v>
      </c>
      <c r="AO1412" s="53">
        <v>0</v>
      </c>
      <c r="AP1412" s="58" t="s">
        <v>72</v>
      </c>
      <c r="AQ1412" s="71">
        <f t="shared" si="84"/>
        <v>1568</v>
      </c>
    </row>
    <row r="1413" spans="1:43" ht="21" customHeight="1" x14ac:dyDescent="0.15">
      <c r="A1413" s="7">
        <v>1569</v>
      </c>
      <c r="B1413" s="6" t="str">
        <f>VLOOKUP(A1413,[2]characters!$A:$C,3,FALSE)</f>
        <v>Orion02</v>
      </c>
      <c r="C1413" s="9">
        <f>VLOOKUP(A1413,[2]characters!$A:$I,9,FALSE)</f>
        <v>6</v>
      </c>
      <c r="D1413" s="9" t="str">
        <f>VLOOKUP(A1413,[2]characters!$A:$H,8,FALSE)</f>
        <v>green</v>
      </c>
      <c r="E1413" s="24">
        <f>VLOOKUP(D1413,[2]属性!$A:$E,2,FALSE)</f>
        <v>1.02</v>
      </c>
      <c r="F1413" s="24">
        <f>VLOOKUP(D1413,[2]属性!$A:$E,3,FALSE)</f>
        <v>0.98</v>
      </c>
      <c r="G1413" s="24">
        <f>VLOOKUP(D1413,[2]属性!$A:$F,4,FALSE)</f>
        <v>1</v>
      </c>
      <c r="H1413" s="9" t="str">
        <f>VLOOKUP(A1413,[2]characters!$A:$K,11,FALSE)</f>
        <v>technical</v>
      </c>
      <c r="I1413" s="14" t="str">
        <f>VLOOKUP(H1413,[2]character_type_i18n!$A:$F,3,FALSE)</f>
        <v>テクニカルタイプ</v>
      </c>
      <c r="J1413" s="36">
        <f>VLOOKUP(H1413,[2]character_type_i18n!$A:$F,4,FALSE)</f>
        <v>0.9</v>
      </c>
      <c r="K1413" s="36">
        <f>VLOOKUP(H1413,[2]character_type_i18n!$A:$F,5,FALSE)</f>
        <v>0.9</v>
      </c>
      <c r="L1413" s="36">
        <f>VLOOKUP(H1413,[2]character_type_i18n!$A:$F,6,FALSE)</f>
        <v>1</v>
      </c>
      <c r="M1413" s="9" t="str">
        <f>VLOOKUP(A1413,[2]characters!$A:$M,13,FALSE)</f>
        <v>human</v>
      </c>
      <c r="N1413" s="14" t="str">
        <f>VLOOKUP(M1413,[2]character_tribe_i18n!$A:$F,3,FALSE)</f>
        <v>ヒューマン</v>
      </c>
      <c r="O1413" s="24">
        <f>VLOOKUP(M1413,[2]character_tribe_i18n!$A:$F,4,FALSE)</f>
        <v>0.94</v>
      </c>
      <c r="P1413" s="24">
        <f>VLOOKUP(M1413,[2]character_tribe_i18n!$A:$F,5,FALSE)</f>
        <v>0.99</v>
      </c>
      <c r="Q1413" s="24">
        <f>VLOOKUP(M1413,[2]character_tribe_i18n!$A:$F,6,FALSE)</f>
        <v>1</v>
      </c>
      <c r="R1413" s="25" t="s">
        <v>98</v>
      </c>
      <c r="S1413" s="24">
        <f>VLOOKUP($R1413,ラベル別係数!$A$1:$E$7,3,FALSE)</f>
        <v>5</v>
      </c>
      <c r="T1413" s="24">
        <f>VLOOKUP($R1413,ラベル別係数!$A$1:$E$7,4,FALSE)</f>
        <v>1.3</v>
      </c>
      <c r="U1413" s="24">
        <f>VLOOKUP($R1413,ラベル別係数!$A$1:$E$7,5,FALSE)</f>
        <v>0.8</v>
      </c>
      <c r="V1413" s="27">
        <v>3</v>
      </c>
      <c r="W1413" s="28">
        <f>VLOOKUP(V1413,ターン数別攻撃係数!$A$1:$B$1000,2,FALSE)</f>
        <v>1</v>
      </c>
      <c r="X1413" s="9">
        <f>VLOOKUP(C1413,サイズ別係数!A$2:B$9,2,FALSE)</f>
        <v>60</v>
      </c>
      <c r="Y1413" s="26">
        <f>VLOOKUP($X1413,サイズ別係数!$B:$E,2,FALSE)</f>
        <v>1.7</v>
      </c>
      <c r="Z1413" s="26">
        <f>VLOOKUP($X1413,サイズ別係数!$B:$E,3,FALSE)</f>
        <v>1.4</v>
      </c>
      <c r="AA1413" s="26">
        <f>VLOOKUP($X1413,サイズ別係数!$B:$E,4,FALSE)</f>
        <v>1</v>
      </c>
      <c r="AB1413" s="5">
        <v>0</v>
      </c>
      <c r="AC1413" s="34" t="str">
        <f ca="1">VLOOKUP($AB1413,OFFSET([3]enemy_skill_sets!$B$2,0,0,COUNTA([3]enemy_skill_sets!$A:$A),MATCH(AC$1,[3]enemy_skill_sets!$1:$1,0)-MATCH($AB$1,[3]enemy_skill_sets!$1:$1,0)+1),MATCH(AC$1,[3]enemy_skill_sets!$1:$1,0)-MATCH($AB$1,[3]enemy_skill_sets!$1:$1,0)+1,FALSE)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3" s="67">
        <v>1</v>
      </c>
      <c r="AE1413" s="67">
        <v>1</v>
      </c>
      <c r="AF1413" s="37">
        <v>0</v>
      </c>
      <c r="AG1413" s="99">
        <f>ROUND(VLOOKUP(1,enemy_base_stats!$A:$F,2,FALSE) * Y1413* J1413*O1413*E1413*S1413*AD1413*[2]ステータス!$B$2,0)</f>
        <v>3667</v>
      </c>
      <c r="AH1413" s="99">
        <f>ROUND(VLOOKUP(1,enemy_base_stats!$A:$F,3,FALSE) * Z1413*K1413*P1413*F1413*T1413*AE1413 * W1413*[2]ステータス!$C$2,0)</f>
        <v>238</v>
      </c>
      <c r="AI1413" s="99">
        <f>ROUND(VLOOKUP(1,enemy_base_stats!$A:$F,4,FALSE) * AA1413*L1413*Q1413*G1413*U1413*AF1413*[2]ステータス!$D$2,0)</f>
        <v>0</v>
      </c>
      <c r="AJ1413" s="99">
        <f>ROUND(VLOOKUP(100,enemy_base_stats!$A:$F,2,FALSE) * Y1413* J1413*O1413*E1413*S1413*AD1413*[2]ステータス!$B$2,0)</f>
        <v>148897</v>
      </c>
      <c r="AK1413" s="99">
        <f>ROUND(VLOOKUP(100,enemy_base_stats!$A:$F,3,FALSE)* Z1413* K1413*P1413*F1413*T1413*AE1413 * W1413*[2]ステータス!$C$2,0)</f>
        <v>9678</v>
      </c>
      <c r="AL1413" s="99">
        <f>ROUND(VLOOKUP(100,enemy_base_stats!$A:$F,4,FALSE)* AA1413* L1413*Q1413*G1413*U1413*AF1413*[2]ステータス!$D$2,0)</f>
        <v>0</v>
      </c>
      <c r="AM1413" s="97">
        <f>VLOOKUP(M1413,[2]character_tribe_i18n!$A:$I,9,FALSE)</f>
        <v>400</v>
      </c>
      <c r="AN1413" s="36">
        <v>0</v>
      </c>
      <c r="AO1413" s="53">
        <v>0</v>
      </c>
      <c r="AP1413" s="58" t="s">
        <v>72</v>
      </c>
      <c r="AQ1413" s="71">
        <f t="shared" si="84"/>
        <v>1569</v>
      </c>
    </row>
    <row r="1414" spans="1:43" ht="21" customHeight="1" x14ac:dyDescent="0.15">
      <c r="A1414" s="7">
        <v>1570</v>
      </c>
      <c r="B1414" s="6" t="str">
        <f>VLOOKUP(A1414,[2]characters!$A:$C,3,FALSE)</f>
        <v>Centaurus01</v>
      </c>
      <c r="C1414" s="9">
        <f>VLOOKUP(A1414,[2]characters!$A:$I,9,FALSE)</f>
        <v>5</v>
      </c>
      <c r="D1414" s="9" t="str">
        <f>VLOOKUP(A1414,[2]characters!$A:$H,8,FALSE)</f>
        <v>yellow</v>
      </c>
      <c r="E1414" s="24">
        <f>VLOOKUP(D1414,[2]属性!$A:$E,2,FALSE)</f>
        <v>0.98</v>
      </c>
      <c r="F1414" s="24">
        <f>VLOOKUP(D1414,[2]属性!$A:$E,3,FALSE)</f>
        <v>1.01</v>
      </c>
      <c r="G1414" s="24">
        <f>VLOOKUP(D1414,[2]属性!$A:$F,4,FALSE)</f>
        <v>1</v>
      </c>
      <c r="H1414" s="9" t="str">
        <f>VLOOKUP(A1414,[2]characters!$A:$K,11,FALSE)</f>
        <v>balance</v>
      </c>
      <c r="I1414" s="14" t="str">
        <f>VLOOKUP(H1414,[2]character_type_i18n!$A:$F,3,FALSE)</f>
        <v>バランスタイプ</v>
      </c>
      <c r="J1414" s="36">
        <f>VLOOKUP(H1414,[2]character_type_i18n!$A:$F,4,FALSE)</f>
        <v>1</v>
      </c>
      <c r="K1414" s="36">
        <f>VLOOKUP(H1414,[2]character_type_i18n!$A:$F,5,FALSE)</f>
        <v>1</v>
      </c>
      <c r="L1414" s="36">
        <f>VLOOKUP(H1414,[2]character_type_i18n!$A:$F,6,FALSE)</f>
        <v>1</v>
      </c>
      <c r="M1414" s="9" t="str">
        <f>VLOOKUP(A1414,[2]characters!$A:$M,13,FALSE)</f>
        <v>human</v>
      </c>
      <c r="N1414" s="14" t="str">
        <f>VLOOKUP(M1414,[2]character_tribe_i18n!$A:$F,3,FALSE)</f>
        <v>ヒューマン</v>
      </c>
      <c r="O1414" s="24">
        <f>VLOOKUP(M1414,[2]character_tribe_i18n!$A:$F,4,FALSE)</f>
        <v>0.94</v>
      </c>
      <c r="P1414" s="24">
        <f>VLOOKUP(M1414,[2]character_tribe_i18n!$A:$F,5,FALSE)</f>
        <v>0.99</v>
      </c>
      <c r="Q1414" s="24">
        <f>VLOOKUP(M1414,[2]character_tribe_i18n!$A:$F,6,FALSE)</f>
        <v>1</v>
      </c>
      <c r="R1414" s="25" t="s">
        <v>98</v>
      </c>
      <c r="S1414" s="24">
        <f>VLOOKUP($R1414,ラベル別係数!$A$1:$E$7,3,FALSE)</f>
        <v>5</v>
      </c>
      <c r="T1414" s="24">
        <f>VLOOKUP($R1414,ラベル別係数!$A$1:$E$7,4,FALSE)</f>
        <v>1.3</v>
      </c>
      <c r="U1414" s="24">
        <f>VLOOKUP($R1414,ラベル別係数!$A$1:$E$7,5,FALSE)</f>
        <v>0.8</v>
      </c>
      <c r="V1414" s="27">
        <v>3</v>
      </c>
      <c r="W1414" s="28">
        <f>VLOOKUP(V1414,ターン数別攻撃係数!$A$1:$B$1000,2,FALSE)</f>
        <v>1</v>
      </c>
      <c r="X1414" s="9">
        <f>VLOOKUP(C1414,サイズ別係数!A$2:B$9,2,FALSE)</f>
        <v>60</v>
      </c>
      <c r="Y1414" s="26">
        <f>VLOOKUP($X1414,サイズ別係数!$B:$E,2,FALSE)</f>
        <v>1.7</v>
      </c>
      <c r="Z1414" s="26">
        <f>VLOOKUP($X1414,サイズ別係数!$B:$E,3,FALSE)</f>
        <v>1.4</v>
      </c>
      <c r="AA1414" s="26">
        <f>VLOOKUP($X1414,サイズ別係数!$B:$E,4,FALSE)</f>
        <v>1</v>
      </c>
      <c r="AB1414" s="5">
        <v>0</v>
      </c>
      <c r="AC1414" s="34" t="str">
        <f ca="1">VLOOKUP($AB1414,OFFSET([3]enemy_skill_sets!$B$2,0,0,COUNTA([3]enemy_skill_sets!$A:$A),MATCH(AC$1,[3]enemy_skill_sets!$1:$1,0)-MATCH($AB$1,[3]enemy_skill_sets!$1:$1,0)+1),MATCH(AC$1,[3]enemy_skill_sets!$1:$1,0)-MATCH($AB$1,[3]enemy_skill_sets!$1:$1,0)+1,FALSE)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4" s="67">
        <v>1</v>
      </c>
      <c r="AE1414" s="67">
        <v>1</v>
      </c>
      <c r="AF1414" s="37">
        <v>0</v>
      </c>
      <c r="AG1414" s="99">
        <f>ROUND(VLOOKUP(1,enemy_base_stats!$A:$F,2,FALSE) * Y1414* J1414*O1414*E1414*S1414*AD1414*[2]ステータス!$B$2,0)</f>
        <v>3915</v>
      </c>
      <c r="AH1414" s="99">
        <f>ROUND(VLOOKUP(1,enemy_base_stats!$A:$F,3,FALSE) * Z1414*K1414*P1414*F1414*T1414*AE1414 * W1414*[2]ステータス!$C$2,0)</f>
        <v>273</v>
      </c>
      <c r="AI1414" s="99">
        <f>ROUND(VLOOKUP(1,enemy_base_stats!$A:$F,4,FALSE) * AA1414*L1414*Q1414*G1414*U1414*AF1414*[2]ステータス!$D$2,0)</f>
        <v>0</v>
      </c>
      <c r="AJ1414" s="99">
        <f>ROUND(VLOOKUP(100,enemy_base_stats!$A:$F,2,FALSE) * Y1414* J1414*O1414*E1414*S1414*AD1414*[2]ステータス!$B$2,0)</f>
        <v>158953</v>
      </c>
      <c r="AK1414" s="99">
        <f>ROUND(VLOOKUP(100,enemy_base_stats!$A:$F,3,FALSE)* Z1414* K1414*P1414*F1414*T1414*AE1414 * W1414*[2]ステータス!$C$2,0)</f>
        <v>11083</v>
      </c>
      <c r="AL1414" s="99">
        <f>ROUND(VLOOKUP(100,enemy_base_stats!$A:$F,4,FALSE)* AA1414* L1414*Q1414*G1414*U1414*AF1414*[2]ステータス!$D$2,0)</f>
        <v>0</v>
      </c>
      <c r="AM1414" s="97">
        <f>VLOOKUP(M1414,[2]character_tribe_i18n!$A:$I,9,FALSE)</f>
        <v>400</v>
      </c>
      <c r="AN1414" s="36">
        <v>0</v>
      </c>
      <c r="AO1414" s="53">
        <v>0</v>
      </c>
      <c r="AP1414" s="58" t="s">
        <v>72</v>
      </c>
      <c r="AQ1414" s="71">
        <f t="shared" si="84"/>
        <v>1570</v>
      </c>
    </row>
    <row r="1415" spans="1:43" ht="21" customHeight="1" x14ac:dyDescent="0.15">
      <c r="A1415" s="7">
        <v>1571</v>
      </c>
      <c r="B1415" s="6" t="str">
        <f>VLOOKUP(A1415,[2]characters!$A:$C,3,FALSE)</f>
        <v>Lupus01</v>
      </c>
      <c r="C1415" s="9">
        <f>VLOOKUP(A1415,[2]characters!$A:$I,9,FALSE)</f>
        <v>5</v>
      </c>
      <c r="D1415" s="9" t="str">
        <f>VLOOKUP(A1415,[2]characters!$A:$H,8,FALSE)</f>
        <v>red</v>
      </c>
      <c r="E1415" s="24">
        <f>VLOOKUP(D1415,[2]属性!$A:$E,2,FALSE)</f>
        <v>1</v>
      </c>
      <c r="F1415" s="24">
        <f>VLOOKUP(D1415,[2]属性!$A:$E,3,FALSE)</f>
        <v>1.02</v>
      </c>
      <c r="G1415" s="24">
        <f>VLOOKUP(D1415,[2]属性!$A:$F,4,FALSE)</f>
        <v>1</v>
      </c>
      <c r="H1415" s="9" t="str">
        <f>VLOOKUP(A1415,[2]characters!$A:$K,11,FALSE)</f>
        <v>attack</v>
      </c>
      <c r="I1415" s="14" t="str">
        <f>VLOOKUP(H1415,[2]character_type_i18n!$A:$F,3,FALSE)</f>
        <v>攻撃タイプ</v>
      </c>
      <c r="J1415" s="36">
        <f>VLOOKUP(H1415,[2]character_type_i18n!$A:$F,4,FALSE)</f>
        <v>1</v>
      </c>
      <c r="K1415" s="36">
        <f>VLOOKUP(H1415,[2]character_type_i18n!$A:$F,5,FALSE)</f>
        <v>1.33</v>
      </c>
      <c r="L1415" s="36">
        <f>VLOOKUP(H1415,[2]character_type_i18n!$A:$F,6,FALSE)</f>
        <v>1</v>
      </c>
      <c r="M1415" s="9" t="str">
        <f>VLOOKUP(A1415,[2]characters!$A:$M,13,FALSE)</f>
        <v>human</v>
      </c>
      <c r="N1415" s="14" t="str">
        <f>VLOOKUP(M1415,[2]character_tribe_i18n!$A:$F,3,FALSE)</f>
        <v>ヒューマン</v>
      </c>
      <c r="O1415" s="24">
        <f>VLOOKUP(M1415,[2]character_tribe_i18n!$A:$F,4,FALSE)</f>
        <v>0.94</v>
      </c>
      <c r="P1415" s="24">
        <f>VLOOKUP(M1415,[2]character_tribe_i18n!$A:$F,5,FALSE)</f>
        <v>0.99</v>
      </c>
      <c r="Q1415" s="24">
        <f>VLOOKUP(M1415,[2]character_tribe_i18n!$A:$F,6,FALSE)</f>
        <v>1</v>
      </c>
      <c r="R1415" s="25" t="s">
        <v>98</v>
      </c>
      <c r="S1415" s="24">
        <f>VLOOKUP($R1415,ラベル別係数!$A$1:$E$7,3,FALSE)</f>
        <v>5</v>
      </c>
      <c r="T1415" s="24">
        <f>VLOOKUP($R1415,ラベル別係数!$A$1:$E$7,4,FALSE)</f>
        <v>1.3</v>
      </c>
      <c r="U1415" s="24">
        <f>VLOOKUP($R1415,ラベル別係数!$A$1:$E$7,5,FALSE)</f>
        <v>0.8</v>
      </c>
      <c r="V1415" s="27">
        <v>3</v>
      </c>
      <c r="W1415" s="28">
        <f>VLOOKUP(V1415,ターン数別攻撃係数!$A$1:$B$1000,2,FALSE)</f>
        <v>1</v>
      </c>
      <c r="X1415" s="9">
        <f>VLOOKUP(C1415,サイズ別係数!A$2:B$9,2,FALSE)</f>
        <v>60</v>
      </c>
      <c r="Y1415" s="26">
        <f>VLOOKUP($X1415,サイズ別係数!$B:$E,2,FALSE)</f>
        <v>1.7</v>
      </c>
      <c r="Z1415" s="26">
        <f>VLOOKUP($X1415,サイズ別係数!$B:$E,3,FALSE)</f>
        <v>1.4</v>
      </c>
      <c r="AA1415" s="26">
        <f>VLOOKUP($X1415,サイズ別係数!$B:$E,4,FALSE)</f>
        <v>1</v>
      </c>
      <c r="AB1415" s="5">
        <v>0</v>
      </c>
      <c r="AC1415" s="34" t="str">
        <f ca="1">VLOOKUP($AB1415,OFFSET([3]enemy_skill_sets!$B$2,0,0,COUNTA([3]enemy_skill_sets!$A:$A),MATCH(AC$1,[3]enemy_skill_sets!$1:$1,0)-MATCH($AB$1,[3]enemy_skill_sets!$1:$1,0)+1),MATCH(AC$1,[3]enemy_skill_sets!$1:$1,0)-MATCH($AB$1,[3]enemy_skill_sets!$1:$1,0)+1,FALSE)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5" s="67">
        <v>1</v>
      </c>
      <c r="AE1415" s="67">
        <v>1</v>
      </c>
      <c r="AF1415" s="37">
        <v>0</v>
      </c>
      <c r="AG1415" s="99">
        <f>ROUND(VLOOKUP(1,enemy_base_stats!$A:$F,2,FALSE) * Y1415* J1415*O1415*E1415*S1415*AD1415*[2]ステータス!$B$2,0)</f>
        <v>3995</v>
      </c>
      <c r="AH1415" s="99">
        <f>ROUND(VLOOKUP(1,enemy_base_stats!$A:$F,3,FALSE) * Z1415*K1415*P1415*F1415*T1415*AE1415 * W1415*[2]ステータス!$C$2,0)</f>
        <v>367</v>
      </c>
      <c r="AI1415" s="99">
        <f>ROUND(VLOOKUP(1,enemy_base_stats!$A:$F,4,FALSE) * AA1415*L1415*Q1415*G1415*U1415*AF1415*[2]ステータス!$D$2,0)</f>
        <v>0</v>
      </c>
      <c r="AJ1415" s="99">
        <f>ROUND(VLOOKUP(100,enemy_base_stats!$A:$F,2,FALSE) * Y1415* J1415*O1415*E1415*S1415*AD1415*[2]ステータス!$B$2,0)</f>
        <v>162197</v>
      </c>
      <c r="AK1415" s="99">
        <f>ROUND(VLOOKUP(100,enemy_base_stats!$A:$F,3,FALSE)* Z1415* K1415*P1415*F1415*T1415*AE1415 * W1415*[2]ステータス!$C$2,0)</f>
        <v>14886</v>
      </c>
      <c r="AL1415" s="99">
        <f>ROUND(VLOOKUP(100,enemy_base_stats!$A:$F,4,FALSE)* AA1415* L1415*Q1415*G1415*U1415*AF1415*[2]ステータス!$D$2,0)</f>
        <v>0</v>
      </c>
      <c r="AM1415" s="97">
        <f>VLOOKUP(M1415,[2]character_tribe_i18n!$A:$I,9,FALSE)</f>
        <v>400</v>
      </c>
      <c r="AN1415" s="36">
        <v>0</v>
      </c>
      <c r="AO1415" s="53">
        <v>0</v>
      </c>
      <c r="AP1415" s="58" t="s">
        <v>72</v>
      </c>
      <c r="AQ1415" s="71">
        <f t="shared" si="84"/>
        <v>1571</v>
      </c>
    </row>
    <row r="1416" spans="1:43" ht="21" customHeight="1" x14ac:dyDescent="0.15">
      <c r="A1416" s="7">
        <v>1572</v>
      </c>
      <c r="B1416" s="6" t="str">
        <f>VLOOKUP(A1416,[2]characters!$A:$C,3,FALSE)</f>
        <v>Lupus02</v>
      </c>
      <c r="C1416" s="9">
        <f>VLOOKUP(A1416,[2]characters!$A:$I,9,FALSE)</f>
        <v>6</v>
      </c>
      <c r="D1416" s="9" t="str">
        <f>VLOOKUP(A1416,[2]characters!$A:$H,8,FALSE)</f>
        <v>red</v>
      </c>
      <c r="E1416" s="24">
        <f>VLOOKUP(D1416,[2]属性!$A:$E,2,FALSE)</f>
        <v>1</v>
      </c>
      <c r="F1416" s="24">
        <f>VLOOKUP(D1416,[2]属性!$A:$E,3,FALSE)</f>
        <v>1.02</v>
      </c>
      <c r="G1416" s="24">
        <f>VLOOKUP(D1416,[2]属性!$A:$F,4,FALSE)</f>
        <v>1</v>
      </c>
      <c r="H1416" s="9" t="str">
        <f>VLOOKUP(A1416,[2]characters!$A:$K,11,FALSE)</f>
        <v>attack</v>
      </c>
      <c r="I1416" s="14" t="str">
        <f>VLOOKUP(H1416,[2]character_type_i18n!$A:$F,3,FALSE)</f>
        <v>攻撃タイプ</v>
      </c>
      <c r="J1416" s="36">
        <f>VLOOKUP(H1416,[2]character_type_i18n!$A:$F,4,FALSE)</f>
        <v>1</v>
      </c>
      <c r="K1416" s="36">
        <f>VLOOKUP(H1416,[2]character_type_i18n!$A:$F,5,FALSE)</f>
        <v>1.33</v>
      </c>
      <c r="L1416" s="36">
        <f>VLOOKUP(H1416,[2]character_type_i18n!$A:$F,6,FALSE)</f>
        <v>1</v>
      </c>
      <c r="M1416" s="9" t="str">
        <f>VLOOKUP(A1416,[2]characters!$A:$M,13,FALSE)</f>
        <v>human</v>
      </c>
      <c r="N1416" s="14" t="str">
        <f>VLOOKUP(M1416,[2]character_tribe_i18n!$A:$F,3,FALSE)</f>
        <v>ヒューマン</v>
      </c>
      <c r="O1416" s="24">
        <f>VLOOKUP(M1416,[2]character_tribe_i18n!$A:$F,4,FALSE)</f>
        <v>0.94</v>
      </c>
      <c r="P1416" s="24">
        <f>VLOOKUP(M1416,[2]character_tribe_i18n!$A:$F,5,FALSE)</f>
        <v>0.99</v>
      </c>
      <c r="Q1416" s="24">
        <f>VLOOKUP(M1416,[2]character_tribe_i18n!$A:$F,6,FALSE)</f>
        <v>1</v>
      </c>
      <c r="R1416" s="25" t="s">
        <v>98</v>
      </c>
      <c r="S1416" s="24">
        <f>VLOOKUP($R1416,ラベル別係数!$A$1:$E$7,3,FALSE)</f>
        <v>5</v>
      </c>
      <c r="T1416" s="24">
        <f>VLOOKUP($R1416,ラベル別係数!$A$1:$E$7,4,FALSE)</f>
        <v>1.3</v>
      </c>
      <c r="U1416" s="24">
        <f>VLOOKUP($R1416,ラベル別係数!$A$1:$E$7,5,FALSE)</f>
        <v>0.8</v>
      </c>
      <c r="V1416" s="27">
        <v>3</v>
      </c>
      <c r="W1416" s="28">
        <f>VLOOKUP(V1416,ターン数別攻撃係数!$A$1:$B$1000,2,FALSE)</f>
        <v>1</v>
      </c>
      <c r="X1416" s="9">
        <f>VLOOKUP(C1416,サイズ別係数!A$2:B$9,2,FALSE)</f>
        <v>60</v>
      </c>
      <c r="Y1416" s="26">
        <f>VLOOKUP($X1416,サイズ別係数!$B:$E,2,FALSE)</f>
        <v>1.7</v>
      </c>
      <c r="Z1416" s="26">
        <f>VLOOKUP($X1416,サイズ別係数!$B:$E,3,FALSE)</f>
        <v>1.4</v>
      </c>
      <c r="AA1416" s="26">
        <f>VLOOKUP($X1416,サイズ別係数!$B:$E,4,FALSE)</f>
        <v>1</v>
      </c>
      <c r="AB1416" s="5">
        <v>0</v>
      </c>
      <c r="AC1416" s="34" t="str">
        <f ca="1">VLOOKUP($AB1416,OFFSET([3]enemy_skill_sets!$B$2,0,0,COUNTA([3]enemy_skill_sets!$A:$A),MATCH(AC$1,[3]enemy_skill_sets!$1:$1,0)-MATCH($AB$1,[3]enemy_skill_sets!$1:$1,0)+1),MATCH(AC$1,[3]enemy_skill_sets!$1:$1,0)-MATCH($AB$1,[3]enemy_skill_sets!$1:$1,0)+1,FALSE)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6" s="67">
        <v>1</v>
      </c>
      <c r="AE1416" s="67">
        <v>1</v>
      </c>
      <c r="AF1416" s="37">
        <v>0</v>
      </c>
      <c r="AG1416" s="99">
        <f>ROUND(VLOOKUP(1,enemy_base_stats!$A:$F,2,FALSE) * Y1416* J1416*O1416*E1416*S1416*AD1416*[2]ステータス!$B$2,0)</f>
        <v>3995</v>
      </c>
      <c r="AH1416" s="99">
        <f>ROUND(VLOOKUP(1,enemy_base_stats!$A:$F,3,FALSE) * Z1416*K1416*P1416*F1416*T1416*AE1416 * W1416*[2]ステータス!$C$2,0)</f>
        <v>367</v>
      </c>
      <c r="AI1416" s="99">
        <f>ROUND(VLOOKUP(1,enemy_base_stats!$A:$F,4,FALSE) * AA1416*L1416*Q1416*G1416*U1416*AF1416*[2]ステータス!$D$2,0)</f>
        <v>0</v>
      </c>
      <c r="AJ1416" s="99">
        <f>ROUND(VLOOKUP(100,enemy_base_stats!$A:$F,2,FALSE) * Y1416* J1416*O1416*E1416*S1416*AD1416*[2]ステータス!$B$2,0)</f>
        <v>162197</v>
      </c>
      <c r="AK1416" s="99">
        <f>ROUND(VLOOKUP(100,enemy_base_stats!$A:$F,3,FALSE)* Z1416* K1416*P1416*F1416*T1416*AE1416 * W1416*[2]ステータス!$C$2,0)</f>
        <v>14886</v>
      </c>
      <c r="AL1416" s="99">
        <f>ROUND(VLOOKUP(100,enemy_base_stats!$A:$F,4,FALSE)* AA1416* L1416*Q1416*G1416*U1416*AF1416*[2]ステータス!$D$2,0)</f>
        <v>0</v>
      </c>
      <c r="AM1416" s="97">
        <f>VLOOKUP(M1416,[2]character_tribe_i18n!$A:$I,9,FALSE)</f>
        <v>400</v>
      </c>
      <c r="AN1416" s="36">
        <v>0</v>
      </c>
      <c r="AO1416" s="53">
        <v>0</v>
      </c>
      <c r="AP1416" s="58" t="s">
        <v>72</v>
      </c>
      <c r="AQ1416" s="71">
        <f t="shared" si="84"/>
        <v>1572</v>
      </c>
    </row>
    <row r="1417" spans="1:43" ht="21" customHeight="1" x14ac:dyDescent="0.15">
      <c r="A1417" s="7">
        <v>1573</v>
      </c>
      <c r="B1417" s="6" t="str">
        <f>VLOOKUP(A1417,[2]characters!$A:$C,3,FALSE)</f>
        <v>Scorpius01</v>
      </c>
      <c r="C1417" s="9">
        <f>VLOOKUP(A1417,[2]characters!$A:$I,9,FALSE)</f>
        <v>5</v>
      </c>
      <c r="D1417" s="9" t="str">
        <f>VLOOKUP(A1417,[2]characters!$A:$H,8,FALSE)</f>
        <v>green</v>
      </c>
      <c r="E1417" s="24">
        <f>VLOOKUP(D1417,[2]属性!$A:$E,2,FALSE)</f>
        <v>1.02</v>
      </c>
      <c r="F1417" s="24">
        <f>VLOOKUP(D1417,[2]属性!$A:$E,3,FALSE)</f>
        <v>0.98</v>
      </c>
      <c r="G1417" s="24">
        <f>VLOOKUP(D1417,[2]属性!$A:$F,4,FALSE)</f>
        <v>1</v>
      </c>
      <c r="H1417" s="9" t="str">
        <f>VLOOKUP(A1417,[2]characters!$A:$K,11,FALSE)</f>
        <v>hp</v>
      </c>
      <c r="I1417" s="14" t="str">
        <f>VLOOKUP(H1417,[2]character_type_i18n!$A:$F,3,FALSE)</f>
        <v>体力タイプ</v>
      </c>
      <c r="J1417" s="36">
        <f>VLOOKUP(H1417,[2]character_type_i18n!$A:$F,4,FALSE)</f>
        <v>1.45</v>
      </c>
      <c r="K1417" s="36">
        <f>VLOOKUP(H1417,[2]character_type_i18n!$A:$F,5,FALSE)</f>
        <v>0.85</v>
      </c>
      <c r="L1417" s="36">
        <f>VLOOKUP(H1417,[2]character_type_i18n!$A:$F,6,FALSE)</f>
        <v>1</v>
      </c>
      <c r="M1417" s="9" t="str">
        <f>VLOOKUP(A1417,[2]characters!$A:$M,13,FALSE)</f>
        <v>orochi</v>
      </c>
      <c r="N1417" s="14" t="str">
        <f>VLOOKUP(M1417,[2]character_tribe_i18n!$A:$F,3,FALSE)</f>
        <v>オロチ一族</v>
      </c>
      <c r="O1417" s="24">
        <f>VLOOKUP(M1417,[2]character_tribe_i18n!$A:$F,4,FALSE)</f>
        <v>1</v>
      </c>
      <c r="P1417" s="24">
        <f>VLOOKUP(M1417,[2]character_tribe_i18n!$A:$F,5,FALSE)</f>
        <v>1</v>
      </c>
      <c r="Q1417" s="24">
        <f>VLOOKUP(M1417,[2]character_tribe_i18n!$A:$F,6,FALSE)</f>
        <v>1</v>
      </c>
      <c r="R1417" s="25" t="s">
        <v>98</v>
      </c>
      <c r="S1417" s="24">
        <f>VLOOKUP($R1417,ラベル別係数!$A$1:$E$7,3,FALSE)</f>
        <v>5</v>
      </c>
      <c r="T1417" s="24">
        <f>VLOOKUP($R1417,ラベル別係数!$A$1:$E$7,4,FALSE)</f>
        <v>1.3</v>
      </c>
      <c r="U1417" s="24">
        <f>VLOOKUP($R1417,ラベル別係数!$A$1:$E$7,5,FALSE)</f>
        <v>0.8</v>
      </c>
      <c r="V1417" s="27">
        <v>3</v>
      </c>
      <c r="W1417" s="28">
        <f>VLOOKUP(V1417,ターン数別攻撃係数!$A$1:$B$1000,2,FALSE)</f>
        <v>1</v>
      </c>
      <c r="X1417" s="9">
        <f>VLOOKUP(C1417,サイズ別係数!A$2:B$9,2,FALSE)</f>
        <v>60</v>
      </c>
      <c r="Y1417" s="26">
        <f>VLOOKUP($X1417,サイズ別係数!$B:$E,2,FALSE)</f>
        <v>1.7</v>
      </c>
      <c r="Z1417" s="26">
        <f>VLOOKUP($X1417,サイズ別係数!$B:$E,3,FALSE)</f>
        <v>1.4</v>
      </c>
      <c r="AA1417" s="26">
        <f>VLOOKUP($X1417,サイズ別係数!$B:$E,4,FALSE)</f>
        <v>1</v>
      </c>
      <c r="AB1417" s="5">
        <v>0</v>
      </c>
      <c r="AC1417" s="34" t="str">
        <f ca="1">VLOOKUP($AB1417,OFFSET([3]enemy_skill_sets!$B$2,0,0,COUNTA([3]enemy_skill_sets!$A:$A),MATCH(AC$1,[3]enemy_skill_sets!$1:$1,0)-MATCH($AB$1,[3]enemy_skill_sets!$1:$1,0)+1),MATCH(AC$1,[3]enemy_skill_sets!$1:$1,0)-MATCH($AB$1,[3]enemy_skill_sets!$1:$1,0)+1,FALSE)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7" s="67">
        <v>1</v>
      </c>
      <c r="AE1417" s="67">
        <v>1</v>
      </c>
      <c r="AF1417" s="37">
        <v>0</v>
      </c>
      <c r="AG1417" s="99">
        <f>ROUND(VLOOKUP(1,enemy_base_stats!$A:$F,2,FALSE) * Y1417* J1417*O1417*E1417*S1417*AD1417*[2]ステータス!$B$2,0)</f>
        <v>6286</v>
      </c>
      <c r="AH1417" s="99">
        <f>ROUND(VLOOKUP(1,enemy_base_stats!$A:$F,3,FALSE) * Z1417*K1417*P1417*F1417*T1417*AE1417 * W1417*[2]ステータス!$C$2,0)</f>
        <v>227</v>
      </c>
      <c r="AI1417" s="99">
        <f>ROUND(VLOOKUP(1,enemy_base_stats!$A:$F,4,FALSE) * AA1417*L1417*Q1417*G1417*U1417*AF1417*[2]ステータス!$D$2,0)</f>
        <v>0</v>
      </c>
      <c r="AJ1417" s="99">
        <f>ROUND(VLOOKUP(100,enemy_base_stats!$A:$F,2,FALSE) * Y1417* J1417*O1417*E1417*S1417*AD1417*[2]ステータス!$B$2,0)</f>
        <v>255201</v>
      </c>
      <c r="AK1417" s="99">
        <f>ROUND(VLOOKUP(100,enemy_base_stats!$A:$F,3,FALSE)* Z1417* K1417*P1417*F1417*T1417*AE1417 * W1417*[2]ステータス!$C$2,0)</f>
        <v>9233</v>
      </c>
      <c r="AL1417" s="99">
        <f>ROUND(VLOOKUP(100,enemy_base_stats!$A:$F,4,FALSE)* AA1417* L1417*Q1417*G1417*U1417*AF1417*[2]ステータス!$D$2,0)</f>
        <v>0</v>
      </c>
      <c r="AM1417" s="97">
        <f>VLOOKUP(M1417,[2]character_tribe_i18n!$A:$I,9,FALSE)</f>
        <v>400</v>
      </c>
      <c r="AN1417" s="36">
        <v>0</v>
      </c>
      <c r="AO1417" s="53">
        <v>0</v>
      </c>
      <c r="AP1417" s="58" t="s">
        <v>72</v>
      </c>
      <c r="AQ1417" s="71">
        <f t="shared" si="84"/>
        <v>1573</v>
      </c>
    </row>
    <row r="1418" spans="1:43" ht="21" customHeight="1" x14ac:dyDescent="0.15">
      <c r="A1418" s="7">
        <v>1574</v>
      </c>
      <c r="B1418" s="6" t="str">
        <f>VLOOKUP(A1418,[2]characters!$A:$C,3,FALSE)</f>
        <v>Cancer01</v>
      </c>
      <c r="C1418" s="9">
        <f>VLOOKUP(A1418,[2]characters!$A:$I,9,FALSE)</f>
        <v>5</v>
      </c>
      <c r="D1418" s="9" t="str">
        <f>VLOOKUP(A1418,[2]characters!$A:$H,8,FALSE)</f>
        <v>yellow</v>
      </c>
      <c r="E1418" s="24">
        <f>VLOOKUP(D1418,[2]属性!$A:$E,2,FALSE)</f>
        <v>0.98</v>
      </c>
      <c r="F1418" s="24">
        <f>VLOOKUP(D1418,[2]属性!$A:$E,3,FALSE)</f>
        <v>1.01</v>
      </c>
      <c r="G1418" s="24">
        <f>VLOOKUP(D1418,[2]属性!$A:$F,4,FALSE)</f>
        <v>1</v>
      </c>
      <c r="H1418" s="9" t="str">
        <f>VLOOKUP(A1418,[2]characters!$A:$K,11,FALSE)</f>
        <v>technical</v>
      </c>
      <c r="I1418" s="14" t="str">
        <f>VLOOKUP(H1418,[2]character_type_i18n!$A:$F,3,FALSE)</f>
        <v>テクニカルタイプ</v>
      </c>
      <c r="J1418" s="36">
        <f>VLOOKUP(H1418,[2]character_type_i18n!$A:$F,4,FALSE)</f>
        <v>0.9</v>
      </c>
      <c r="K1418" s="36">
        <f>VLOOKUP(H1418,[2]character_type_i18n!$A:$F,5,FALSE)</f>
        <v>0.9</v>
      </c>
      <c r="L1418" s="36">
        <f>VLOOKUP(H1418,[2]character_type_i18n!$A:$F,6,FALSE)</f>
        <v>1</v>
      </c>
      <c r="M1418" s="9" t="str">
        <f>VLOOKUP(A1418,[2]characters!$A:$M,13,FALSE)</f>
        <v>orochi</v>
      </c>
      <c r="N1418" s="14" t="str">
        <f>VLOOKUP(M1418,[2]character_tribe_i18n!$A:$F,3,FALSE)</f>
        <v>オロチ一族</v>
      </c>
      <c r="O1418" s="24">
        <f>VLOOKUP(M1418,[2]character_tribe_i18n!$A:$F,4,FALSE)</f>
        <v>1</v>
      </c>
      <c r="P1418" s="24">
        <f>VLOOKUP(M1418,[2]character_tribe_i18n!$A:$F,5,FALSE)</f>
        <v>1</v>
      </c>
      <c r="Q1418" s="24">
        <f>VLOOKUP(M1418,[2]character_tribe_i18n!$A:$F,6,FALSE)</f>
        <v>1</v>
      </c>
      <c r="R1418" s="25" t="s">
        <v>98</v>
      </c>
      <c r="S1418" s="24">
        <f>VLOOKUP($R1418,ラベル別係数!$A$1:$E$7,3,FALSE)</f>
        <v>5</v>
      </c>
      <c r="T1418" s="24">
        <f>VLOOKUP($R1418,ラベル別係数!$A$1:$E$7,4,FALSE)</f>
        <v>1.3</v>
      </c>
      <c r="U1418" s="24">
        <f>VLOOKUP($R1418,ラベル別係数!$A$1:$E$7,5,FALSE)</f>
        <v>0.8</v>
      </c>
      <c r="V1418" s="27">
        <v>3</v>
      </c>
      <c r="W1418" s="28">
        <f>VLOOKUP(V1418,ターン数別攻撃係数!$A$1:$B$1000,2,FALSE)</f>
        <v>1</v>
      </c>
      <c r="X1418" s="9">
        <f>VLOOKUP(C1418,サイズ別係数!A$2:B$9,2,FALSE)</f>
        <v>60</v>
      </c>
      <c r="Y1418" s="26">
        <f>VLOOKUP($X1418,サイズ別係数!$B:$E,2,FALSE)</f>
        <v>1.7</v>
      </c>
      <c r="Z1418" s="26">
        <f>VLOOKUP($X1418,サイズ別係数!$B:$E,3,FALSE)</f>
        <v>1.4</v>
      </c>
      <c r="AA1418" s="26">
        <f>VLOOKUP($X1418,サイズ別係数!$B:$E,4,FALSE)</f>
        <v>1</v>
      </c>
      <c r="AB1418" s="5">
        <v>0</v>
      </c>
      <c r="AC1418" s="34" t="str">
        <f ca="1">VLOOKUP($AB1418,OFFSET([3]enemy_skill_sets!$B$2,0,0,COUNTA([3]enemy_skill_sets!$A:$A),MATCH(AC$1,[3]enemy_skill_sets!$1:$1,0)-MATCH($AB$1,[3]enemy_skill_sets!$1:$1,0)+1),MATCH(AC$1,[3]enemy_skill_sets!$1:$1,0)-MATCH($AB$1,[3]enemy_skill_sets!$1:$1,0)+1,FALSE)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8" s="67">
        <v>1</v>
      </c>
      <c r="AE1418" s="67">
        <v>1</v>
      </c>
      <c r="AF1418" s="37">
        <v>0</v>
      </c>
      <c r="AG1418" s="99">
        <f>ROUND(VLOOKUP(1,enemy_base_stats!$A:$F,2,FALSE) * Y1418* J1418*O1418*E1418*S1418*AD1418*[2]ステータス!$B$2,0)</f>
        <v>3749</v>
      </c>
      <c r="AH1418" s="99">
        <f>ROUND(VLOOKUP(1,enemy_base_stats!$A:$F,3,FALSE) * Z1418*K1418*P1418*F1418*T1418*AE1418 * W1418*[2]ステータス!$C$2,0)</f>
        <v>248</v>
      </c>
      <c r="AI1418" s="99">
        <f>ROUND(VLOOKUP(1,enemy_base_stats!$A:$F,4,FALSE) * AA1418*L1418*Q1418*G1418*U1418*AF1418*[2]ステータス!$D$2,0)</f>
        <v>0</v>
      </c>
      <c r="AJ1418" s="99">
        <f>ROUND(VLOOKUP(100,enemy_base_stats!$A:$F,2,FALSE) * Y1418* J1418*O1418*E1418*S1418*AD1418*[2]ステータス!$B$2,0)</f>
        <v>152189</v>
      </c>
      <c r="AK1418" s="99">
        <f>ROUND(VLOOKUP(100,enemy_base_stats!$A:$F,3,FALSE)* Z1418* K1418*P1418*F1418*T1418*AE1418 * W1418*[2]ステータス!$C$2,0)</f>
        <v>10075</v>
      </c>
      <c r="AL1418" s="99">
        <f>ROUND(VLOOKUP(100,enemy_base_stats!$A:$F,4,FALSE)* AA1418* L1418*Q1418*G1418*U1418*AF1418*[2]ステータス!$D$2,0)</f>
        <v>0</v>
      </c>
      <c r="AM1418" s="97">
        <f>VLOOKUP(M1418,[2]character_tribe_i18n!$A:$I,9,FALSE)</f>
        <v>400</v>
      </c>
      <c r="AN1418" s="36">
        <v>0</v>
      </c>
      <c r="AO1418" s="53">
        <v>0</v>
      </c>
      <c r="AP1418" s="58" t="s">
        <v>72</v>
      </c>
      <c r="AQ1418" s="71">
        <f t="shared" si="84"/>
        <v>1574</v>
      </c>
    </row>
    <row r="1419" spans="1:43" ht="21" customHeight="1" x14ac:dyDescent="0.15">
      <c r="A1419" s="7">
        <v>1575</v>
      </c>
      <c r="B1419" s="6" t="str">
        <f>VLOOKUP(A1419,[2]characters!$A:$C,3,FALSE)</f>
        <v>Aquarius01</v>
      </c>
      <c r="C1419" s="9">
        <f>VLOOKUP(A1419,[2]characters!$A:$I,9,FALSE)</f>
        <v>5</v>
      </c>
      <c r="D1419" s="9" t="str">
        <f>VLOOKUP(A1419,[2]characters!$A:$H,8,FALSE)</f>
        <v>blue</v>
      </c>
      <c r="E1419" s="24">
        <f>VLOOKUP(D1419,[2]属性!$A:$E,2,FALSE)</f>
        <v>1</v>
      </c>
      <c r="F1419" s="24">
        <f>VLOOKUP(D1419,[2]属性!$A:$E,3,FALSE)</f>
        <v>0.98</v>
      </c>
      <c r="G1419" s="24">
        <f>VLOOKUP(D1419,[2]属性!$A:$F,4,FALSE)</f>
        <v>1</v>
      </c>
      <c r="H1419" s="9" t="str">
        <f>VLOOKUP(A1419,[2]characters!$A:$K,11,FALSE)</f>
        <v>attack</v>
      </c>
      <c r="I1419" s="14" t="str">
        <f>VLOOKUP(H1419,[2]character_type_i18n!$A:$F,3,FALSE)</f>
        <v>攻撃タイプ</v>
      </c>
      <c r="J1419" s="36">
        <f>VLOOKUP(H1419,[2]character_type_i18n!$A:$F,4,FALSE)</f>
        <v>1</v>
      </c>
      <c r="K1419" s="36">
        <f>VLOOKUP(H1419,[2]character_type_i18n!$A:$F,5,FALSE)</f>
        <v>1.33</v>
      </c>
      <c r="L1419" s="36">
        <f>VLOOKUP(H1419,[2]character_type_i18n!$A:$F,6,FALSE)</f>
        <v>1</v>
      </c>
      <c r="M1419" s="9" t="str">
        <f>VLOOKUP(A1419,[2]characters!$A:$M,13,FALSE)</f>
        <v>human</v>
      </c>
      <c r="N1419" s="14" t="str">
        <f>VLOOKUP(M1419,[2]character_tribe_i18n!$A:$F,3,FALSE)</f>
        <v>ヒューマン</v>
      </c>
      <c r="O1419" s="24">
        <f>VLOOKUP(M1419,[2]character_tribe_i18n!$A:$F,4,FALSE)</f>
        <v>0.94</v>
      </c>
      <c r="P1419" s="24">
        <f>VLOOKUP(M1419,[2]character_tribe_i18n!$A:$F,5,FALSE)</f>
        <v>0.99</v>
      </c>
      <c r="Q1419" s="24">
        <f>VLOOKUP(M1419,[2]character_tribe_i18n!$A:$F,6,FALSE)</f>
        <v>1</v>
      </c>
      <c r="R1419" s="25" t="s">
        <v>98</v>
      </c>
      <c r="S1419" s="24">
        <f>VLOOKUP($R1419,ラベル別係数!$A$1:$E$7,3,FALSE)</f>
        <v>5</v>
      </c>
      <c r="T1419" s="24">
        <f>VLOOKUP($R1419,ラベル別係数!$A$1:$E$7,4,FALSE)</f>
        <v>1.3</v>
      </c>
      <c r="U1419" s="24">
        <f>VLOOKUP($R1419,ラベル別係数!$A$1:$E$7,5,FALSE)</f>
        <v>0.8</v>
      </c>
      <c r="V1419" s="27">
        <v>3</v>
      </c>
      <c r="W1419" s="28">
        <f>VLOOKUP(V1419,ターン数別攻撃係数!$A$1:$B$1000,2,FALSE)</f>
        <v>1</v>
      </c>
      <c r="X1419" s="9">
        <f>VLOOKUP(C1419,サイズ別係数!A$2:B$9,2,FALSE)</f>
        <v>60</v>
      </c>
      <c r="Y1419" s="26">
        <f>VLOOKUP($X1419,サイズ別係数!$B:$E,2,FALSE)</f>
        <v>1.7</v>
      </c>
      <c r="Z1419" s="26">
        <f>VLOOKUP($X1419,サイズ別係数!$B:$E,3,FALSE)</f>
        <v>1.4</v>
      </c>
      <c r="AA1419" s="26">
        <f>VLOOKUP($X1419,サイズ別係数!$B:$E,4,FALSE)</f>
        <v>1</v>
      </c>
      <c r="AB1419" s="5">
        <v>0</v>
      </c>
      <c r="AC1419" s="34" t="str">
        <f ca="1">VLOOKUP($AB1419,OFFSET([3]enemy_skill_sets!$B$2,0,0,COUNTA([3]enemy_skill_sets!$A:$A),MATCH(AC$1,[3]enemy_skill_sets!$1:$1,0)-MATCH($AB$1,[3]enemy_skill_sets!$1:$1,0)+1),MATCH(AC$1,[3]enemy_skill_sets!$1:$1,0)-MATCH($AB$1,[3]enemy_skill_sets!$1:$1,0)+1,FALSE)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19" s="67">
        <v>1</v>
      </c>
      <c r="AE1419" s="67">
        <v>1</v>
      </c>
      <c r="AF1419" s="37">
        <v>0</v>
      </c>
      <c r="AG1419" s="99">
        <f>ROUND(VLOOKUP(1,enemy_base_stats!$A:$F,2,FALSE) * Y1419* J1419*O1419*E1419*S1419*AD1419*[2]ステータス!$B$2,0)</f>
        <v>3995</v>
      </c>
      <c r="AH1419" s="99">
        <f>ROUND(VLOOKUP(1,enemy_base_stats!$A:$F,3,FALSE) * Z1419*K1419*P1419*F1419*T1419*AE1419 * W1419*[2]ステータス!$C$2,0)</f>
        <v>352</v>
      </c>
      <c r="AI1419" s="99">
        <f>ROUND(VLOOKUP(1,enemy_base_stats!$A:$F,4,FALSE) * AA1419*L1419*Q1419*G1419*U1419*AF1419*[2]ステータス!$D$2,0)</f>
        <v>0</v>
      </c>
      <c r="AJ1419" s="99">
        <f>ROUND(VLOOKUP(100,enemy_base_stats!$A:$F,2,FALSE) * Y1419* J1419*O1419*E1419*S1419*AD1419*[2]ステータス!$B$2,0)</f>
        <v>162197</v>
      </c>
      <c r="AK1419" s="99">
        <f>ROUND(VLOOKUP(100,enemy_base_stats!$A:$F,3,FALSE)* Z1419* K1419*P1419*F1419*T1419*AE1419 * W1419*[2]ステータス!$C$2,0)</f>
        <v>14302</v>
      </c>
      <c r="AL1419" s="99">
        <f>ROUND(VLOOKUP(100,enemy_base_stats!$A:$F,4,FALSE)* AA1419* L1419*Q1419*G1419*U1419*AF1419*[2]ステータス!$D$2,0)</f>
        <v>0</v>
      </c>
      <c r="AM1419" s="97">
        <f>VLOOKUP(M1419,[2]character_tribe_i18n!$A:$I,9,FALSE)</f>
        <v>400</v>
      </c>
      <c r="AN1419" s="36">
        <v>0</v>
      </c>
      <c r="AO1419" s="53">
        <v>0</v>
      </c>
      <c r="AP1419" s="58" t="s">
        <v>72</v>
      </c>
      <c r="AQ1419" s="71">
        <f t="shared" si="84"/>
        <v>1575</v>
      </c>
    </row>
    <row r="1420" spans="1:43" ht="21" customHeight="1" x14ac:dyDescent="0.15">
      <c r="A1420" s="7">
        <v>1576</v>
      </c>
      <c r="B1420" s="6" t="str">
        <f>VLOOKUP(A1420,[2]characters!$A:$C,3,FALSE)</f>
        <v>Aquarius02</v>
      </c>
      <c r="C1420" s="9">
        <f>VLOOKUP(A1420,[2]characters!$A:$I,9,FALSE)</f>
        <v>6</v>
      </c>
      <c r="D1420" s="9" t="str">
        <f>VLOOKUP(A1420,[2]characters!$A:$H,8,FALSE)</f>
        <v>blue</v>
      </c>
      <c r="E1420" s="24">
        <f>VLOOKUP(D1420,[2]属性!$A:$E,2,FALSE)</f>
        <v>1</v>
      </c>
      <c r="F1420" s="24">
        <f>VLOOKUP(D1420,[2]属性!$A:$E,3,FALSE)</f>
        <v>0.98</v>
      </c>
      <c r="G1420" s="24">
        <f>VLOOKUP(D1420,[2]属性!$A:$F,4,FALSE)</f>
        <v>1</v>
      </c>
      <c r="H1420" s="9" t="str">
        <f>VLOOKUP(A1420,[2]characters!$A:$K,11,FALSE)</f>
        <v>attack</v>
      </c>
      <c r="I1420" s="14" t="str">
        <f>VLOOKUP(H1420,[2]character_type_i18n!$A:$F,3,FALSE)</f>
        <v>攻撃タイプ</v>
      </c>
      <c r="J1420" s="36">
        <f>VLOOKUP(H1420,[2]character_type_i18n!$A:$F,4,FALSE)</f>
        <v>1</v>
      </c>
      <c r="K1420" s="36">
        <f>VLOOKUP(H1420,[2]character_type_i18n!$A:$F,5,FALSE)</f>
        <v>1.33</v>
      </c>
      <c r="L1420" s="36">
        <f>VLOOKUP(H1420,[2]character_type_i18n!$A:$F,6,FALSE)</f>
        <v>1</v>
      </c>
      <c r="M1420" s="9" t="str">
        <f>VLOOKUP(A1420,[2]characters!$A:$M,13,FALSE)</f>
        <v>human</v>
      </c>
      <c r="N1420" s="14" t="str">
        <f>VLOOKUP(M1420,[2]character_tribe_i18n!$A:$F,3,FALSE)</f>
        <v>ヒューマン</v>
      </c>
      <c r="O1420" s="24">
        <f>VLOOKUP(M1420,[2]character_tribe_i18n!$A:$F,4,FALSE)</f>
        <v>0.94</v>
      </c>
      <c r="P1420" s="24">
        <f>VLOOKUP(M1420,[2]character_tribe_i18n!$A:$F,5,FALSE)</f>
        <v>0.99</v>
      </c>
      <c r="Q1420" s="24">
        <f>VLOOKUP(M1420,[2]character_tribe_i18n!$A:$F,6,FALSE)</f>
        <v>1</v>
      </c>
      <c r="R1420" s="25" t="s">
        <v>98</v>
      </c>
      <c r="S1420" s="24">
        <f>VLOOKUP($R1420,ラベル別係数!$A$1:$E$7,3,FALSE)</f>
        <v>5</v>
      </c>
      <c r="T1420" s="24">
        <f>VLOOKUP($R1420,ラベル別係数!$A$1:$E$7,4,FALSE)</f>
        <v>1.3</v>
      </c>
      <c r="U1420" s="24">
        <f>VLOOKUP($R1420,ラベル別係数!$A$1:$E$7,5,FALSE)</f>
        <v>0.8</v>
      </c>
      <c r="V1420" s="27">
        <v>3</v>
      </c>
      <c r="W1420" s="28">
        <f>VLOOKUP(V1420,ターン数別攻撃係数!$A$1:$B$1000,2,FALSE)</f>
        <v>1</v>
      </c>
      <c r="X1420" s="9">
        <f>VLOOKUP(C1420,サイズ別係数!A$2:B$9,2,FALSE)</f>
        <v>60</v>
      </c>
      <c r="Y1420" s="26">
        <f>VLOOKUP($X1420,サイズ別係数!$B:$E,2,FALSE)</f>
        <v>1.7</v>
      </c>
      <c r="Z1420" s="26">
        <f>VLOOKUP($X1420,サイズ別係数!$B:$E,3,FALSE)</f>
        <v>1.4</v>
      </c>
      <c r="AA1420" s="26">
        <f>VLOOKUP($X1420,サイズ別係数!$B:$E,4,FALSE)</f>
        <v>1</v>
      </c>
      <c r="AB1420" s="5">
        <v>0</v>
      </c>
      <c r="AC1420" s="34" t="str">
        <f ca="1">VLOOKUP($AB1420,OFFSET([3]enemy_skill_sets!$B$2,0,0,COUNTA([3]enemy_skill_sets!$A:$A),MATCH(AC$1,[3]enemy_skill_sets!$1:$1,0)-MATCH($AB$1,[3]enemy_skill_sets!$1:$1,0)+1),MATCH(AC$1,[3]enemy_skill_sets!$1:$1,0)-MATCH($AB$1,[3]enemy_skill_sets!$1:$1,0)+1,FALSE)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0" s="67">
        <v>1</v>
      </c>
      <c r="AE1420" s="67">
        <v>1</v>
      </c>
      <c r="AF1420" s="37">
        <v>0</v>
      </c>
      <c r="AG1420" s="99">
        <f>ROUND(VLOOKUP(1,enemy_base_stats!$A:$F,2,FALSE) * Y1420* J1420*O1420*E1420*S1420*AD1420*[2]ステータス!$B$2,0)</f>
        <v>3995</v>
      </c>
      <c r="AH1420" s="99">
        <f>ROUND(VLOOKUP(1,enemy_base_stats!$A:$F,3,FALSE) * Z1420*K1420*P1420*F1420*T1420*AE1420 * W1420*[2]ステータス!$C$2,0)</f>
        <v>352</v>
      </c>
      <c r="AI1420" s="99">
        <f>ROUND(VLOOKUP(1,enemy_base_stats!$A:$F,4,FALSE) * AA1420*L1420*Q1420*G1420*U1420*AF1420*[2]ステータス!$D$2,0)</f>
        <v>0</v>
      </c>
      <c r="AJ1420" s="99">
        <f>ROUND(VLOOKUP(100,enemy_base_stats!$A:$F,2,FALSE) * Y1420* J1420*O1420*E1420*S1420*AD1420*[2]ステータス!$B$2,0)</f>
        <v>162197</v>
      </c>
      <c r="AK1420" s="99">
        <f>ROUND(VLOOKUP(100,enemy_base_stats!$A:$F,3,FALSE)* Z1420* K1420*P1420*F1420*T1420*AE1420 * W1420*[2]ステータス!$C$2,0)</f>
        <v>14302</v>
      </c>
      <c r="AL1420" s="99">
        <f>ROUND(VLOOKUP(100,enemy_base_stats!$A:$F,4,FALSE)* AA1420* L1420*Q1420*G1420*U1420*AF1420*[2]ステータス!$D$2,0)</f>
        <v>0</v>
      </c>
      <c r="AM1420" s="97">
        <f>VLOOKUP(M1420,[2]character_tribe_i18n!$A:$I,9,FALSE)</f>
        <v>400</v>
      </c>
      <c r="AN1420" s="36">
        <v>0</v>
      </c>
      <c r="AO1420" s="53">
        <v>0</v>
      </c>
      <c r="AP1420" s="58" t="s">
        <v>72</v>
      </c>
      <c r="AQ1420" s="71">
        <f t="shared" si="84"/>
        <v>1576</v>
      </c>
    </row>
    <row r="1421" spans="1:43" ht="21" customHeight="1" x14ac:dyDescent="0.15">
      <c r="A1421" s="7">
        <v>1577</v>
      </c>
      <c r="B1421" s="6" t="str">
        <f>VLOOKUP(A1421,[2]characters!$A:$C,3,FALSE)</f>
        <v>Perseus01</v>
      </c>
      <c r="C1421" s="9">
        <f>VLOOKUP(A1421,[2]characters!$A:$I,9,FALSE)</f>
        <v>5</v>
      </c>
      <c r="D1421" s="9" t="str">
        <f>VLOOKUP(A1421,[2]characters!$A:$H,8,FALSE)</f>
        <v>yellow</v>
      </c>
      <c r="E1421" s="24">
        <f>VLOOKUP(D1421,[2]属性!$A:$E,2,FALSE)</f>
        <v>0.98</v>
      </c>
      <c r="F1421" s="24">
        <f>VLOOKUP(D1421,[2]属性!$A:$E,3,FALSE)</f>
        <v>1.01</v>
      </c>
      <c r="G1421" s="24">
        <f>VLOOKUP(D1421,[2]属性!$A:$F,4,FALSE)</f>
        <v>1</v>
      </c>
      <c r="H1421" s="9" t="str">
        <f>VLOOKUP(A1421,[2]characters!$A:$K,11,FALSE)</f>
        <v>attack</v>
      </c>
      <c r="I1421" s="14" t="str">
        <f>VLOOKUP(H1421,[2]character_type_i18n!$A:$F,3,FALSE)</f>
        <v>攻撃タイプ</v>
      </c>
      <c r="J1421" s="36">
        <f>VLOOKUP(H1421,[2]character_type_i18n!$A:$F,4,FALSE)</f>
        <v>1</v>
      </c>
      <c r="K1421" s="36">
        <f>VLOOKUP(H1421,[2]character_type_i18n!$A:$F,5,FALSE)</f>
        <v>1.33</v>
      </c>
      <c r="L1421" s="36">
        <f>VLOOKUP(H1421,[2]character_type_i18n!$A:$F,6,FALSE)</f>
        <v>1</v>
      </c>
      <c r="M1421" s="9" t="str">
        <f>VLOOKUP(A1421,[2]characters!$A:$M,13,FALSE)</f>
        <v>human</v>
      </c>
      <c r="N1421" s="14" t="str">
        <f>VLOOKUP(M1421,[2]character_tribe_i18n!$A:$F,3,FALSE)</f>
        <v>ヒューマン</v>
      </c>
      <c r="O1421" s="24">
        <f>VLOOKUP(M1421,[2]character_tribe_i18n!$A:$F,4,FALSE)</f>
        <v>0.94</v>
      </c>
      <c r="P1421" s="24">
        <f>VLOOKUP(M1421,[2]character_tribe_i18n!$A:$F,5,FALSE)</f>
        <v>0.99</v>
      </c>
      <c r="Q1421" s="24">
        <f>VLOOKUP(M1421,[2]character_tribe_i18n!$A:$F,6,FALSE)</f>
        <v>1</v>
      </c>
      <c r="R1421" s="25" t="s">
        <v>98</v>
      </c>
      <c r="S1421" s="24">
        <f>VLOOKUP($R1421,ラベル別係数!$A$1:$E$7,3,FALSE)</f>
        <v>5</v>
      </c>
      <c r="T1421" s="24">
        <f>VLOOKUP($R1421,ラベル別係数!$A$1:$E$7,4,FALSE)</f>
        <v>1.3</v>
      </c>
      <c r="U1421" s="24">
        <f>VLOOKUP($R1421,ラベル別係数!$A$1:$E$7,5,FALSE)</f>
        <v>0.8</v>
      </c>
      <c r="V1421" s="27">
        <v>3</v>
      </c>
      <c r="W1421" s="28">
        <f>VLOOKUP(V1421,ターン数別攻撃係数!$A$1:$B$1000,2,FALSE)</f>
        <v>1</v>
      </c>
      <c r="X1421" s="100">
        <v>30</v>
      </c>
      <c r="Y1421" s="26">
        <f>VLOOKUP($X1421,サイズ別係数!$B:$E,2,FALSE)</f>
        <v>1.3</v>
      </c>
      <c r="Z1421" s="26">
        <f>VLOOKUP($X1421,サイズ別係数!$B:$E,3,FALSE)</f>
        <v>1.3</v>
      </c>
      <c r="AA1421" s="26">
        <f>VLOOKUP($X1421,サイズ別係数!$B:$E,4,FALSE)</f>
        <v>1.1000000000000001</v>
      </c>
      <c r="AB1421" s="5">
        <v>0</v>
      </c>
      <c r="AC1421" s="34" t="str">
        <f ca="1">VLOOKUP($AB1421,OFFSET([3]enemy_skill_sets!$B$2,0,0,COUNTA([3]enemy_skill_sets!$A:$A),MATCH(AC$1,[3]enemy_skill_sets!$1:$1,0)-MATCH($AB$1,[3]enemy_skill_sets!$1:$1,0)+1),MATCH(AC$1,[3]enemy_skill_sets!$1:$1,0)-MATCH($AB$1,[3]enemy_skill_sets!$1:$1,0)+1,FALSE)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1" s="67">
        <v>1</v>
      </c>
      <c r="AE1421" s="67">
        <v>1</v>
      </c>
      <c r="AF1421" s="37">
        <v>0</v>
      </c>
      <c r="AG1421" s="41">
        <v>3915</v>
      </c>
      <c r="AH1421" s="41">
        <v>363</v>
      </c>
      <c r="AI1421" s="41">
        <v>0</v>
      </c>
      <c r="AJ1421" s="41">
        <v>158953</v>
      </c>
      <c r="AK1421" s="41">
        <v>14740</v>
      </c>
      <c r="AL1421" s="41">
        <v>0</v>
      </c>
      <c r="AM1421" s="97">
        <f>VLOOKUP(M1421,[2]character_tribe_i18n!$A:$I,9,FALSE)</f>
        <v>400</v>
      </c>
      <c r="AN1421" s="36">
        <v>0</v>
      </c>
      <c r="AO1421" s="53">
        <v>0</v>
      </c>
      <c r="AP1421" s="58" t="s">
        <v>72</v>
      </c>
      <c r="AQ1421" s="71">
        <f t="shared" si="84"/>
        <v>1577</v>
      </c>
    </row>
    <row r="1422" spans="1:43" ht="21" customHeight="1" x14ac:dyDescent="0.15">
      <c r="A1422" s="7">
        <v>1578</v>
      </c>
      <c r="B1422" s="6" t="str">
        <f>VLOOKUP(A1422,[2]characters!$A:$C,3,FALSE)</f>
        <v>Hydra01</v>
      </c>
      <c r="C1422" s="9">
        <f>VLOOKUP(A1422,[2]characters!$A:$I,9,FALSE)</f>
        <v>5</v>
      </c>
      <c r="D1422" s="9" t="str">
        <f>VLOOKUP(A1422,[2]characters!$A:$H,8,FALSE)</f>
        <v>red</v>
      </c>
      <c r="E1422" s="24">
        <f>VLOOKUP(D1422,[2]属性!$A:$E,2,FALSE)</f>
        <v>1</v>
      </c>
      <c r="F1422" s="24">
        <f>VLOOKUP(D1422,[2]属性!$A:$E,3,FALSE)</f>
        <v>1.02</v>
      </c>
      <c r="G1422" s="24">
        <f>VLOOKUP(D1422,[2]属性!$A:$F,4,FALSE)</f>
        <v>1</v>
      </c>
      <c r="H1422" s="9" t="str">
        <f>VLOOKUP(A1422,[2]characters!$A:$K,11,FALSE)</f>
        <v>hp</v>
      </c>
      <c r="I1422" s="14" t="str">
        <f>VLOOKUP(H1422,[2]character_type_i18n!$A:$F,3,FALSE)</f>
        <v>体力タイプ</v>
      </c>
      <c r="J1422" s="36">
        <f>VLOOKUP(H1422,[2]character_type_i18n!$A:$F,4,FALSE)</f>
        <v>1.45</v>
      </c>
      <c r="K1422" s="36">
        <f>VLOOKUP(H1422,[2]character_type_i18n!$A:$F,5,FALSE)</f>
        <v>0.85</v>
      </c>
      <c r="L1422" s="36">
        <f>VLOOKUP(H1422,[2]character_type_i18n!$A:$F,6,FALSE)</f>
        <v>1</v>
      </c>
      <c r="M1422" s="9" t="str">
        <f>VLOOKUP(A1422,[2]characters!$A:$M,13,FALSE)</f>
        <v>human</v>
      </c>
      <c r="N1422" s="14" t="str">
        <f>VLOOKUP(M1422,[2]character_tribe_i18n!$A:$F,3,FALSE)</f>
        <v>ヒューマン</v>
      </c>
      <c r="O1422" s="24">
        <f>VLOOKUP(M1422,[2]character_tribe_i18n!$A:$F,4,FALSE)</f>
        <v>0.94</v>
      </c>
      <c r="P1422" s="24">
        <f>VLOOKUP(M1422,[2]character_tribe_i18n!$A:$F,5,FALSE)</f>
        <v>0.99</v>
      </c>
      <c r="Q1422" s="24">
        <f>VLOOKUP(M1422,[2]character_tribe_i18n!$A:$F,6,FALSE)</f>
        <v>1</v>
      </c>
      <c r="R1422" s="25" t="s">
        <v>98</v>
      </c>
      <c r="S1422" s="24">
        <f>VLOOKUP($R1422,ラベル別係数!$A$1:$E$7,3,FALSE)</f>
        <v>5</v>
      </c>
      <c r="T1422" s="24">
        <f>VLOOKUP($R1422,ラベル別係数!$A$1:$E$7,4,FALSE)</f>
        <v>1.3</v>
      </c>
      <c r="U1422" s="24">
        <f>VLOOKUP($R1422,ラベル別係数!$A$1:$E$7,5,FALSE)</f>
        <v>0.8</v>
      </c>
      <c r="V1422" s="27">
        <v>3</v>
      </c>
      <c r="W1422" s="28">
        <f>VLOOKUP(V1422,ターン数別攻撃係数!$A$1:$B$1000,2,FALSE)</f>
        <v>1</v>
      </c>
      <c r="X1422" s="100">
        <v>30</v>
      </c>
      <c r="Y1422" s="26">
        <f>VLOOKUP($X1422,サイズ別係数!$B:$E,2,FALSE)</f>
        <v>1.3</v>
      </c>
      <c r="Z1422" s="26">
        <f>VLOOKUP($X1422,サイズ別係数!$B:$E,3,FALSE)</f>
        <v>1.3</v>
      </c>
      <c r="AA1422" s="26">
        <f>VLOOKUP($X1422,サイズ別係数!$B:$E,4,FALSE)</f>
        <v>1.1000000000000001</v>
      </c>
      <c r="AB1422" s="5">
        <v>0</v>
      </c>
      <c r="AC1422" s="34" t="str">
        <f ca="1">VLOOKUP($AB1422,OFFSET([3]enemy_skill_sets!$B$2,0,0,COUNTA([3]enemy_skill_sets!$A:$A),MATCH(AC$1,[3]enemy_skill_sets!$1:$1,0)-MATCH($AB$1,[3]enemy_skill_sets!$1:$1,0)+1),MATCH(AC$1,[3]enemy_skill_sets!$1:$1,0)-MATCH($AB$1,[3]enemy_skill_sets!$1:$1,0)+1,FALSE)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2" s="67">
        <v>1</v>
      </c>
      <c r="AE1422" s="67">
        <v>1</v>
      </c>
      <c r="AF1422" s="37">
        <v>0</v>
      </c>
      <c r="AG1422" s="41">
        <v>5793</v>
      </c>
      <c r="AH1422" s="41">
        <v>234</v>
      </c>
      <c r="AI1422" s="41">
        <v>0</v>
      </c>
      <c r="AJ1422" s="41">
        <v>235186</v>
      </c>
      <c r="AK1422" s="41">
        <v>9514</v>
      </c>
      <c r="AL1422" s="41">
        <v>0</v>
      </c>
      <c r="AM1422" s="97">
        <f>VLOOKUP(M1422,[2]character_tribe_i18n!$A:$I,9,FALSE)</f>
        <v>400</v>
      </c>
      <c r="AN1422" s="36">
        <v>0</v>
      </c>
      <c r="AO1422" s="53">
        <v>0</v>
      </c>
      <c r="AP1422" s="58" t="s">
        <v>72</v>
      </c>
      <c r="AQ1422" s="71">
        <f t="shared" si="84"/>
        <v>1578</v>
      </c>
    </row>
    <row r="1423" spans="1:43" ht="21" customHeight="1" x14ac:dyDescent="0.15">
      <c r="A1423" s="7">
        <v>1579</v>
      </c>
      <c r="B1423" s="6" t="str">
        <f>VLOOKUP(A1423,[2]characters!$A:$C,3,FALSE)</f>
        <v>Lyra01</v>
      </c>
      <c r="C1423" s="9">
        <f>VLOOKUP(A1423,[2]characters!$A:$I,9,FALSE)</f>
        <v>5</v>
      </c>
      <c r="D1423" s="9" t="str">
        <f>VLOOKUP(A1423,[2]characters!$A:$H,8,FALSE)</f>
        <v>red</v>
      </c>
      <c r="E1423" s="24">
        <f>VLOOKUP(D1423,[2]属性!$A:$E,2,FALSE)</f>
        <v>1</v>
      </c>
      <c r="F1423" s="24">
        <f>VLOOKUP(D1423,[2]属性!$A:$E,3,FALSE)</f>
        <v>1.02</v>
      </c>
      <c r="G1423" s="24">
        <f>VLOOKUP(D1423,[2]属性!$A:$F,4,FALSE)</f>
        <v>1</v>
      </c>
      <c r="H1423" s="9" t="str">
        <f>VLOOKUP(A1423,[2]characters!$A:$K,11,FALSE)</f>
        <v>hp</v>
      </c>
      <c r="I1423" s="14" t="str">
        <f>VLOOKUP(H1423,[2]character_type_i18n!$A:$F,3,FALSE)</f>
        <v>体力タイプ</v>
      </c>
      <c r="J1423" s="36">
        <f>VLOOKUP(H1423,[2]character_type_i18n!$A:$F,4,FALSE)</f>
        <v>1.45</v>
      </c>
      <c r="K1423" s="36">
        <f>VLOOKUP(H1423,[2]character_type_i18n!$A:$F,5,FALSE)</f>
        <v>0.85</v>
      </c>
      <c r="L1423" s="36">
        <f>VLOOKUP(H1423,[2]character_type_i18n!$A:$F,6,FALSE)</f>
        <v>1</v>
      </c>
      <c r="M1423" s="9" t="str">
        <f>VLOOKUP(A1423,[2]characters!$A:$M,13,FALSE)</f>
        <v>human</v>
      </c>
      <c r="N1423" s="14" t="str">
        <f>VLOOKUP(M1423,[2]character_tribe_i18n!$A:$F,3,FALSE)</f>
        <v>ヒューマン</v>
      </c>
      <c r="O1423" s="24">
        <f>VLOOKUP(M1423,[2]character_tribe_i18n!$A:$F,4,FALSE)</f>
        <v>0.94</v>
      </c>
      <c r="P1423" s="24">
        <f>VLOOKUP(M1423,[2]character_tribe_i18n!$A:$F,5,FALSE)</f>
        <v>0.99</v>
      </c>
      <c r="Q1423" s="24">
        <f>VLOOKUP(M1423,[2]character_tribe_i18n!$A:$F,6,FALSE)</f>
        <v>1</v>
      </c>
      <c r="R1423" s="25" t="s">
        <v>98</v>
      </c>
      <c r="S1423" s="24">
        <f>VLOOKUP($R1423,ラベル別係数!$A$1:$E$7,3,FALSE)</f>
        <v>5</v>
      </c>
      <c r="T1423" s="24">
        <f>VLOOKUP($R1423,ラベル別係数!$A$1:$E$7,4,FALSE)</f>
        <v>1.3</v>
      </c>
      <c r="U1423" s="24">
        <f>VLOOKUP($R1423,ラベル別係数!$A$1:$E$7,5,FALSE)</f>
        <v>0.8</v>
      </c>
      <c r="V1423" s="27">
        <v>3</v>
      </c>
      <c r="W1423" s="28">
        <f>VLOOKUP(V1423,ターン数別攻撃係数!$A$1:$B$1000,2,FALSE)</f>
        <v>1</v>
      </c>
      <c r="X1423" s="9">
        <f>VLOOKUP(C1423,サイズ別係数!A$2:B$9,2,FALSE)</f>
        <v>60</v>
      </c>
      <c r="Y1423" s="26">
        <f>VLOOKUP($X1423,サイズ別係数!$B:$E,2,FALSE)</f>
        <v>1.7</v>
      </c>
      <c r="Z1423" s="26">
        <f>VLOOKUP($X1423,サイズ別係数!$B:$E,3,FALSE)</f>
        <v>1.4</v>
      </c>
      <c r="AA1423" s="26">
        <f>VLOOKUP($X1423,サイズ別係数!$B:$E,4,FALSE)</f>
        <v>1</v>
      </c>
      <c r="AB1423" s="5">
        <v>0</v>
      </c>
      <c r="AC1423" s="34" t="str">
        <f ca="1">VLOOKUP($AB1423,OFFSET([3]enemy_skill_sets!$B$2,0,0,COUNTA([3]enemy_skill_sets!$A:$A),MATCH(AC$1,[3]enemy_skill_sets!$1:$1,0)-MATCH($AB$1,[3]enemy_skill_sets!$1:$1,0)+1),MATCH(AC$1,[3]enemy_skill_sets!$1:$1,0)-MATCH($AB$1,[3]enemy_skill_sets!$1:$1,0)+1,FALSE)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3" s="67">
        <v>1</v>
      </c>
      <c r="AE1423" s="67">
        <v>1</v>
      </c>
      <c r="AF1423" s="37">
        <v>0</v>
      </c>
      <c r="AG1423" s="99">
        <f>ROUND(VLOOKUP(1,enemy_base_stats!$A:$F,2,FALSE) * Y1423* J1423*O1423*E1423*S1423*AD1423*[2]ステータス!$B$2,0)</f>
        <v>5793</v>
      </c>
      <c r="AH1423" s="99">
        <f>ROUND(VLOOKUP(1,enemy_base_stats!$A:$F,3,FALSE) * Z1423*K1423*P1423*F1423*T1423*AE1423 * W1423*[2]ステータス!$C$2,0)</f>
        <v>234</v>
      </c>
      <c r="AI1423" s="99">
        <f>ROUND(VLOOKUP(1,enemy_base_stats!$A:$F,4,FALSE) * AA1423*L1423*Q1423*G1423*U1423*AF1423*[2]ステータス!$D$2,0)</f>
        <v>0</v>
      </c>
      <c r="AJ1423" s="99">
        <f>ROUND(VLOOKUP(100,enemy_base_stats!$A:$F,2,FALSE) * Y1423* J1423*O1423*E1423*S1423*AD1423*[2]ステータス!$B$2,0)</f>
        <v>235186</v>
      </c>
      <c r="AK1423" s="99">
        <f>ROUND(VLOOKUP(100,enemy_base_stats!$A:$F,3,FALSE)* Z1423* K1423*P1423*F1423*T1423*AE1423 * W1423*[2]ステータス!$C$2,0)</f>
        <v>9514</v>
      </c>
      <c r="AL1423" s="99">
        <f>ROUND(VLOOKUP(100,enemy_base_stats!$A:$F,4,FALSE)* AA1423* L1423*Q1423*G1423*U1423*AF1423*[2]ステータス!$D$2,0)</f>
        <v>0</v>
      </c>
      <c r="AM1423" s="97">
        <f>VLOOKUP(M1423,[2]character_tribe_i18n!$A:$I,9,FALSE)</f>
        <v>400</v>
      </c>
      <c r="AN1423" s="36">
        <v>0</v>
      </c>
      <c r="AO1423" s="53">
        <v>0</v>
      </c>
      <c r="AP1423" s="58" t="s">
        <v>72</v>
      </c>
      <c r="AQ1423" s="71">
        <f t="shared" si="84"/>
        <v>1579</v>
      </c>
    </row>
    <row r="1424" spans="1:43" ht="21" customHeight="1" x14ac:dyDescent="0.15">
      <c r="A1424" s="7">
        <v>1580</v>
      </c>
      <c r="B1424" s="6" t="str">
        <f>VLOOKUP(A1424,[2]characters!$A:$C,3,FALSE)</f>
        <v>Lyra02</v>
      </c>
      <c r="C1424" s="9">
        <f>VLOOKUP(A1424,[2]characters!$A:$I,9,FALSE)</f>
        <v>6</v>
      </c>
      <c r="D1424" s="9" t="str">
        <f>VLOOKUP(A1424,[2]characters!$A:$H,8,FALSE)</f>
        <v>red</v>
      </c>
      <c r="E1424" s="24">
        <f>VLOOKUP(D1424,[2]属性!$A:$E,2,FALSE)</f>
        <v>1</v>
      </c>
      <c r="F1424" s="24">
        <f>VLOOKUP(D1424,[2]属性!$A:$E,3,FALSE)</f>
        <v>1.02</v>
      </c>
      <c r="G1424" s="24">
        <f>VLOOKUP(D1424,[2]属性!$A:$F,4,FALSE)</f>
        <v>1</v>
      </c>
      <c r="H1424" s="9" t="str">
        <f>VLOOKUP(A1424,[2]characters!$A:$K,11,FALSE)</f>
        <v>hp</v>
      </c>
      <c r="I1424" s="14" t="str">
        <f>VLOOKUP(H1424,[2]character_type_i18n!$A:$F,3,FALSE)</f>
        <v>体力タイプ</v>
      </c>
      <c r="J1424" s="36">
        <f>VLOOKUP(H1424,[2]character_type_i18n!$A:$F,4,FALSE)</f>
        <v>1.45</v>
      </c>
      <c r="K1424" s="36">
        <f>VLOOKUP(H1424,[2]character_type_i18n!$A:$F,5,FALSE)</f>
        <v>0.85</v>
      </c>
      <c r="L1424" s="36">
        <f>VLOOKUP(H1424,[2]character_type_i18n!$A:$F,6,FALSE)</f>
        <v>1</v>
      </c>
      <c r="M1424" s="9" t="str">
        <f>VLOOKUP(A1424,[2]characters!$A:$M,13,FALSE)</f>
        <v>human</v>
      </c>
      <c r="N1424" s="14" t="str">
        <f>VLOOKUP(M1424,[2]character_tribe_i18n!$A:$F,3,FALSE)</f>
        <v>ヒューマン</v>
      </c>
      <c r="O1424" s="24">
        <f>VLOOKUP(M1424,[2]character_tribe_i18n!$A:$F,4,FALSE)</f>
        <v>0.94</v>
      </c>
      <c r="P1424" s="24">
        <f>VLOOKUP(M1424,[2]character_tribe_i18n!$A:$F,5,FALSE)</f>
        <v>0.99</v>
      </c>
      <c r="Q1424" s="24">
        <f>VLOOKUP(M1424,[2]character_tribe_i18n!$A:$F,6,FALSE)</f>
        <v>1</v>
      </c>
      <c r="R1424" s="25" t="s">
        <v>98</v>
      </c>
      <c r="S1424" s="24">
        <f>VLOOKUP($R1424,ラベル別係数!$A$1:$E$7,3,FALSE)</f>
        <v>5</v>
      </c>
      <c r="T1424" s="24">
        <f>VLOOKUP($R1424,ラベル別係数!$A$1:$E$7,4,FALSE)</f>
        <v>1.3</v>
      </c>
      <c r="U1424" s="24">
        <f>VLOOKUP($R1424,ラベル別係数!$A$1:$E$7,5,FALSE)</f>
        <v>0.8</v>
      </c>
      <c r="V1424" s="27">
        <v>3</v>
      </c>
      <c r="W1424" s="28">
        <f>VLOOKUP(V1424,ターン数別攻撃係数!$A$1:$B$1000,2,FALSE)</f>
        <v>1</v>
      </c>
      <c r="X1424" s="9">
        <f>VLOOKUP(C1424,サイズ別係数!A$2:B$9,2,FALSE)</f>
        <v>60</v>
      </c>
      <c r="Y1424" s="26">
        <f>VLOOKUP($X1424,サイズ別係数!$B:$E,2,FALSE)</f>
        <v>1.7</v>
      </c>
      <c r="Z1424" s="26">
        <f>VLOOKUP($X1424,サイズ別係数!$B:$E,3,FALSE)</f>
        <v>1.4</v>
      </c>
      <c r="AA1424" s="26">
        <f>VLOOKUP($X1424,サイズ別係数!$B:$E,4,FALSE)</f>
        <v>1</v>
      </c>
      <c r="AB1424" s="5">
        <v>0</v>
      </c>
      <c r="AC1424" s="34" t="str">
        <f ca="1">VLOOKUP($AB1424,OFFSET([3]enemy_skill_sets!$B$2,0,0,COUNTA([3]enemy_skill_sets!$A:$A),MATCH(AC$1,[3]enemy_skill_sets!$1:$1,0)-MATCH($AB$1,[3]enemy_skill_sets!$1:$1,0)+1),MATCH(AC$1,[3]enemy_skill_sets!$1:$1,0)-MATCH($AB$1,[3]enemy_skill_sets!$1:$1,0)+1,FALSE)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4" s="67">
        <v>1</v>
      </c>
      <c r="AE1424" s="67">
        <v>1</v>
      </c>
      <c r="AF1424" s="37">
        <v>0</v>
      </c>
      <c r="AG1424" s="99">
        <f>ROUND(VLOOKUP(1,enemy_base_stats!$A:$F,2,FALSE) * Y1424* J1424*O1424*E1424*S1424*AD1424*[2]ステータス!$B$2,0)</f>
        <v>5793</v>
      </c>
      <c r="AH1424" s="99">
        <f>ROUND(VLOOKUP(1,enemy_base_stats!$A:$F,3,FALSE) * Z1424*K1424*P1424*F1424*T1424*AE1424 * W1424*[2]ステータス!$C$2,0)</f>
        <v>234</v>
      </c>
      <c r="AI1424" s="99">
        <f>ROUND(VLOOKUP(1,enemy_base_stats!$A:$F,4,FALSE) * AA1424*L1424*Q1424*G1424*U1424*AF1424*[2]ステータス!$D$2,0)</f>
        <v>0</v>
      </c>
      <c r="AJ1424" s="99">
        <f>ROUND(VLOOKUP(100,enemy_base_stats!$A:$F,2,FALSE) * Y1424* J1424*O1424*E1424*S1424*AD1424*[2]ステータス!$B$2,0)</f>
        <v>235186</v>
      </c>
      <c r="AK1424" s="99">
        <f>ROUND(VLOOKUP(100,enemy_base_stats!$A:$F,3,FALSE)* Z1424* K1424*P1424*F1424*T1424*AE1424 * W1424*[2]ステータス!$C$2,0)</f>
        <v>9514</v>
      </c>
      <c r="AL1424" s="99">
        <f>ROUND(VLOOKUP(100,enemy_base_stats!$A:$F,4,FALSE)* AA1424* L1424*Q1424*G1424*U1424*AF1424*[2]ステータス!$D$2,0)</f>
        <v>0</v>
      </c>
      <c r="AM1424" s="97">
        <f>VLOOKUP(M1424,[2]character_tribe_i18n!$A:$I,9,FALSE)</f>
        <v>400</v>
      </c>
      <c r="AN1424" s="36">
        <v>0</v>
      </c>
      <c r="AO1424" s="53">
        <v>0</v>
      </c>
      <c r="AP1424" s="58" t="s">
        <v>72</v>
      </c>
      <c r="AQ1424" s="71">
        <f t="shared" si="84"/>
        <v>1580</v>
      </c>
    </row>
    <row r="1425" spans="1:43" ht="21" customHeight="1" x14ac:dyDescent="0.15">
      <c r="A1425" s="7">
        <v>1581</v>
      </c>
      <c r="B1425" s="6" t="str">
        <f>VLOOKUP(A1425,[2]characters!$A:$C,3,FALSE)</f>
        <v>Gemini01</v>
      </c>
      <c r="C1425" s="9">
        <f>VLOOKUP(A1425,[2]characters!$A:$I,9,FALSE)</f>
        <v>5</v>
      </c>
      <c r="D1425" s="9" t="str">
        <f>VLOOKUP(A1425,[2]characters!$A:$H,8,FALSE)</f>
        <v>red</v>
      </c>
      <c r="E1425" s="24">
        <f>VLOOKUP(D1425,[2]属性!$A:$E,2,FALSE)</f>
        <v>1</v>
      </c>
      <c r="F1425" s="24">
        <f>VLOOKUP(D1425,[2]属性!$A:$E,3,FALSE)</f>
        <v>1.02</v>
      </c>
      <c r="G1425" s="24">
        <f>VLOOKUP(D1425,[2]属性!$A:$F,4,FALSE)</f>
        <v>1</v>
      </c>
      <c r="H1425" s="9" t="str">
        <f>VLOOKUP(A1425,[2]characters!$A:$K,11,FALSE)</f>
        <v>technical</v>
      </c>
      <c r="I1425" s="14" t="str">
        <f>VLOOKUP(H1425,[2]character_type_i18n!$A:$F,3,FALSE)</f>
        <v>テクニカルタイプ</v>
      </c>
      <c r="J1425" s="36">
        <f>VLOOKUP(H1425,[2]character_type_i18n!$A:$F,4,FALSE)</f>
        <v>0.9</v>
      </c>
      <c r="K1425" s="36">
        <f>VLOOKUP(H1425,[2]character_type_i18n!$A:$F,5,FALSE)</f>
        <v>0.9</v>
      </c>
      <c r="L1425" s="36">
        <f>VLOOKUP(H1425,[2]character_type_i18n!$A:$F,6,FALSE)</f>
        <v>1</v>
      </c>
      <c r="M1425" s="9" t="str">
        <f>VLOOKUP(A1425,[2]characters!$A:$M,13,FALSE)</f>
        <v>orochi</v>
      </c>
      <c r="N1425" s="14" t="str">
        <f>VLOOKUP(M1425,[2]character_tribe_i18n!$A:$F,3,FALSE)</f>
        <v>オロチ一族</v>
      </c>
      <c r="O1425" s="24">
        <f>VLOOKUP(M1425,[2]character_tribe_i18n!$A:$F,4,FALSE)</f>
        <v>1</v>
      </c>
      <c r="P1425" s="24">
        <f>VLOOKUP(M1425,[2]character_tribe_i18n!$A:$F,5,FALSE)</f>
        <v>1</v>
      </c>
      <c r="Q1425" s="24">
        <f>VLOOKUP(M1425,[2]character_tribe_i18n!$A:$F,6,FALSE)</f>
        <v>1</v>
      </c>
      <c r="R1425" s="25" t="s">
        <v>98</v>
      </c>
      <c r="S1425" s="24">
        <f>VLOOKUP($R1425,ラベル別係数!$A$1:$E$7,3,FALSE)</f>
        <v>5</v>
      </c>
      <c r="T1425" s="24">
        <f>VLOOKUP($R1425,ラベル別係数!$A$1:$E$7,4,FALSE)</f>
        <v>1.3</v>
      </c>
      <c r="U1425" s="24">
        <f>VLOOKUP($R1425,ラベル別係数!$A$1:$E$7,5,FALSE)</f>
        <v>0.8</v>
      </c>
      <c r="V1425" s="27">
        <v>3</v>
      </c>
      <c r="W1425" s="28">
        <f>VLOOKUP(V1425,ターン数別攻撃係数!$A$1:$B$1000,2,FALSE)</f>
        <v>1</v>
      </c>
      <c r="X1425" s="9">
        <f>VLOOKUP(C1425,サイズ別係数!A$2:B$9,2,FALSE)</f>
        <v>60</v>
      </c>
      <c r="Y1425" s="26">
        <f>VLOOKUP($X1425,サイズ別係数!$B:$E,2,FALSE)</f>
        <v>1.7</v>
      </c>
      <c r="Z1425" s="26">
        <f>VLOOKUP($X1425,サイズ別係数!$B:$E,3,FALSE)</f>
        <v>1.4</v>
      </c>
      <c r="AA1425" s="26">
        <f>VLOOKUP($X1425,サイズ別係数!$B:$E,4,FALSE)</f>
        <v>1</v>
      </c>
      <c r="AB1425" s="5">
        <v>0</v>
      </c>
      <c r="AC1425" s="34" t="str">
        <f ca="1">VLOOKUP($AB1425,OFFSET([3]enemy_skill_sets!$B$2,0,0,COUNTA([3]enemy_skill_sets!$A:$A),MATCH(AC$1,[3]enemy_skill_sets!$1:$1,0)-MATCH($AB$1,[3]enemy_skill_sets!$1:$1,0)+1),MATCH(AC$1,[3]enemy_skill_sets!$1:$1,0)-MATCH($AB$1,[3]enemy_skill_sets!$1:$1,0)+1,FALSE)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5" s="67">
        <v>1</v>
      </c>
      <c r="AE1425" s="67">
        <v>1</v>
      </c>
      <c r="AF1425" s="37">
        <v>0</v>
      </c>
      <c r="AG1425" s="99">
        <f>ROUND(VLOOKUP(1,enemy_base_stats!$A:$F,2,FALSE) * Y1425* J1425*O1425*E1425*S1425*AD1425*[2]ステータス!$B$2,0)</f>
        <v>3825</v>
      </c>
      <c r="AH1425" s="99">
        <f>ROUND(VLOOKUP(1,enemy_base_stats!$A:$F,3,FALSE) * Z1425*K1425*P1425*F1425*T1425*AE1425 * W1425*[2]ステータス!$C$2,0)</f>
        <v>251</v>
      </c>
      <c r="AI1425" s="99">
        <f>ROUND(VLOOKUP(1,enemy_base_stats!$A:$F,4,FALSE) * AA1425*L1425*Q1425*G1425*U1425*AF1425*[2]ステータス!$D$2,0)</f>
        <v>0</v>
      </c>
      <c r="AJ1425" s="99">
        <f>ROUND(VLOOKUP(100,enemy_base_stats!$A:$F,2,FALSE) * Y1425* J1425*O1425*E1425*S1425*AD1425*[2]ステータス!$B$2,0)</f>
        <v>155295</v>
      </c>
      <c r="AK1425" s="99">
        <f>ROUND(VLOOKUP(100,enemy_base_stats!$A:$F,3,FALSE)* Z1425* K1425*P1425*F1425*T1425*AE1425 * W1425*[2]ステータス!$C$2,0)</f>
        <v>10175</v>
      </c>
      <c r="AL1425" s="99">
        <f>ROUND(VLOOKUP(100,enemy_base_stats!$A:$F,4,FALSE)* AA1425* L1425*Q1425*G1425*U1425*AF1425*[2]ステータス!$D$2,0)</f>
        <v>0</v>
      </c>
      <c r="AM1425" s="97">
        <f>VLOOKUP(M1425,[2]character_tribe_i18n!$A:$I,9,FALSE)</f>
        <v>400</v>
      </c>
      <c r="AN1425" s="36">
        <v>0</v>
      </c>
      <c r="AO1425" s="53">
        <v>0</v>
      </c>
      <c r="AP1425" s="58" t="s">
        <v>72</v>
      </c>
      <c r="AQ1425" s="71">
        <f t="shared" ref="AQ1425:AQ1452" si="85">A1425</f>
        <v>1581</v>
      </c>
    </row>
    <row r="1426" spans="1:43" ht="21" customHeight="1" x14ac:dyDescent="0.15">
      <c r="A1426" s="7">
        <v>1582</v>
      </c>
      <c r="B1426" s="6" t="str">
        <f>VLOOKUP(A1426,[2]characters!$A:$C,3,FALSE)</f>
        <v>Gemini02</v>
      </c>
      <c r="C1426" s="9">
        <f>VLOOKUP(A1426,[2]characters!$A:$I,9,FALSE)</f>
        <v>6</v>
      </c>
      <c r="D1426" s="9" t="str">
        <f>VLOOKUP(A1426,[2]characters!$A:$H,8,FALSE)</f>
        <v>red</v>
      </c>
      <c r="E1426" s="24">
        <f>VLOOKUP(D1426,[2]属性!$A:$E,2,FALSE)</f>
        <v>1</v>
      </c>
      <c r="F1426" s="24">
        <f>VLOOKUP(D1426,[2]属性!$A:$E,3,FALSE)</f>
        <v>1.02</v>
      </c>
      <c r="G1426" s="24">
        <f>VLOOKUP(D1426,[2]属性!$A:$F,4,FALSE)</f>
        <v>1</v>
      </c>
      <c r="H1426" s="9" t="str">
        <f>VLOOKUP(A1426,[2]characters!$A:$K,11,FALSE)</f>
        <v>technical</v>
      </c>
      <c r="I1426" s="14" t="str">
        <f>VLOOKUP(H1426,[2]character_type_i18n!$A:$F,3,FALSE)</f>
        <v>テクニカルタイプ</v>
      </c>
      <c r="J1426" s="36">
        <f>VLOOKUP(H1426,[2]character_type_i18n!$A:$F,4,FALSE)</f>
        <v>0.9</v>
      </c>
      <c r="K1426" s="36">
        <f>VLOOKUP(H1426,[2]character_type_i18n!$A:$F,5,FALSE)</f>
        <v>0.9</v>
      </c>
      <c r="L1426" s="36">
        <f>VLOOKUP(H1426,[2]character_type_i18n!$A:$F,6,FALSE)</f>
        <v>1</v>
      </c>
      <c r="M1426" s="9" t="str">
        <f>VLOOKUP(A1426,[2]characters!$A:$M,13,FALSE)</f>
        <v>orochi</v>
      </c>
      <c r="N1426" s="14" t="str">
        <f>VLOOKUP(M1426,[2]character_tribe_i18n!$A:$F,3,FALSE)</f>
        <v>オロチ一族</v>
      </c>
      <c r="O1426" s="24">
        <f>VLOOKUP(M1426,[2]character_tribe_i18n!$A:$F,4,FALSE)</f>
        <v>1</v>
      </c>
      <c r="P1426" s="24">
        <f>VLOOKUP(M1426,[2]character_tribe_i18n!$A:$F,5,FALSE)</f>
        <v>1</v>
      </c>
      <c r="Q1426" s="24">
        <f>VLOOKUP(M1426,[2]character_tribe_i18n!$A:$F,6,FALSE)</f>
        <v>1</v>
      </c>
      <c r="R1426" s="25" t="s">
        <v>98</v>
      </c>
      <c r="S1426" s="24">
        <f>VLOOKUP($R1426,ラベル別係数!$A$1:$E$7,3,FALSE)</f>
        <v>5</v>
      </c>
      <c r="T1426" s="24">
        <f>VLOOKUP($R1426,ラベル別係数!$A$1:$E$7,4,FALSE)</f>
        <v>1.3</v>
      </c>
      <c r="U1426" s="24">
        <f>VLOOKUP($R1426,ラベル別係数!$A$1:$E$7,5,FALSE)</f>
        <v>0.8</v>
      </c>
      <c r="V1426" s="27">
        <v>3</v>
      </c>
      <c r="W1426" s="28">
        <f>VLOOKUP(V1426,ターン数別攻撃係数!$A$1:$B$1000,2,FALSE)</f>
        <v>1</v>
      </c>
      <c r="X1426" s="9">
        <f>VLOOKUP(C1426,サイズ別係数!A$2:B$9,2,FALSE)</f>
        <v>60</v>
      </c>
      <c r="Y1426" s="26">
        <f>VLOOKUP($X1426,サイズ別係数!$B:$E,2,FALSE)</f>
        <v>1.7</v>
      </c>
      <c r="Z1426" s="26">
        <f>VLOOKUP($X1426,サイズ別係数!$B:$E,3,FALSE)</f>
        <v>1.4</v>
      </c>
      <c r="AA1426" s="26">
        <f>VLOOKUP($X1426,サイズ別係数!$B:$E,4,FALSE)</f>
        <v>1</v>
      </c>
      <c r="AB1426" s="5">
        <v>0</v>
      </c>
      <c r="AC1426" s="34" t="str">
        <f ca="1">VLOOKUP($AB1426,OFFSET([3]enemy_skill_sets!$B$2,0,0,COUNTA([3]enemy_skill_sets!$A:$A),MATCH(AC$1,[3]enemy_skill_sets!$1:$1,0)-MATCH($AB$1,[3]enemy_skill_sets!$1:$1,0)+1),MATCH(AC$1,[3]enemy_skill_sets!$1:$1,0)-MATCH($AB$1,[3]enemy_skill_sets!$1:$1,0)+1,FALSE)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6" s="67">
        <v>1</v>
      </c>
      <c r="AE1426" s="67">
        <v>1</v>
      </c>
      <c r="AF1426" s="37">
        <v>0</v>
      </c>
      <c r="AG1426" s="99">
        <f>ROUND(VLOOKUP(1,enemy_base_stats!$A:$F,2,FALSE) * Y1426* J1426*O1426*E1426*S1426*AD1426*[2]ステータス!$B$2,0)</f>
        <v>3825</v>
      </c>
      <c r="AH1426" s="99">
        <f>ROUND(VLOOKUP(1,enemy_base_stats!$A:$F,3,FALSE) * Z1426*K1426*P1426*F1426*T1426*AE1426 * W1426*[2]ステータス!$C$2,0)</f>
        <v>251</v>
      </c>
      <c r="AI1426" s="99">
        <f>ROUND(VLOOKUP(1,enemy_base_stats!$A:$F,4,FALSE) * AA1426*L1426*Q1426*G1426*U1426*AF1426*[2]ステータス!$D$2,0)</f>
        <v>0</v>
      </c>
      <c r="AJ1426" s="99">
        <f>ROUND(VLOOKUP(100,enemy_base_stats!$A:$F,2,FALSE) * Y1426* J1426*O1426*E1426*S1426*AD1426*[2]ステータス!$B$2,0)</f>
        <v>155295</v>
      </c>
      <c r="AK1426" s="99">
        <f>ROUND(VLOOKUP(100,enemy_base_stats!$A:$F,3,FALSE)* Z1426* K1426*P1426*F1426*T1426*AE1426 * W1426*[2]ステータス!$C$2,0)</f>
        <v>10175</v>
      </c>
      <c r="AL1426" s="99">
        <f>ROUND(VLOOKUP(100,enemy_base_stats!$A:$F,4,FALSE)* AA1426* L1426*Q1426*G1426*U1426*AF1426*[2]ステータス!$D$2,0)</f>
        <v>0</v>
      </c>
      <c r="AM1426" s="97">
        <f>VLOOKUP(M1426,[2]character_tribe_i18n!$A:$I,9,FALSE)</f>
        <v>400</v>
      </c>
      <c r="AN1426" s="36">
        <v>0</v>
      </c>
      <c r="AO1426" s="53">
        <v>0</v>
      </c>
      <c r="AP1426" s="58" t="s">
        <v>72</v>
      </c>
      <c r="AQ1426" s="71">
        <f t="shared" si="85"/>
        <v>1582</v>
      </c>
    </row>
    <row r="1427" spans="1:43" ht="21" customHeight="1" x14ac:dyDescent="0.15">
      <c r="A1427" s="7">
        <v>1583</v>
      </c>
      <c r="B1427" s="6" t="str">
        <f>VLOOKUP(A1427,[2]characters!$A:$C,3,FALSE)</f>
        <v>Corvus01</v>
      </c>
      <c r="C1427" s="9">
        <f>VLOOKUP(A1427,[2]characters!$A:$I,9,FALSE)</f>
        <v>6</v>
      </c>
      <c r="D1427" s="9" t="str">
        <f>VLOOKUP(A1427,[2]characters!$A:$H,8,FALSE)</f>
        <v>red</v>
      </c>
      <c r="E1427" s="24">
        <f>VLOOKUP(D1427,[2]属性!$A:$E,2,FALSE)</f>
        <v>1</v>
      </c>
      <c r="F1427" s="24">
        <f>VLOOKUP(D1427,[2]属性!$A:$E,3,FALSE)</f>
        <v>1.02</v>
      </c>
      <c r="G1427" s="24">
        <f>VLOOKUP(D1427,[2]属性!$A:$F,4,FALSE)</f>
        <v>1</v>
      </c>
      <c r="H1427" s="9" t="str">
        <f>VLOOKUP(A1427,[2]characters!$A:$K,11,FALSE)</f>
        <v>attack</v>
      </c>
      <c r="I1427" s="14" t="str">
        <f>VLOOKUP(H1427,[2]character_type_i18n!$A:$F,3,FALSE)</f>
        <v>攻撃タイプ</v>
      </c>
      <c r="J1427" s="36">
        <f>VLOOKUP(H1427,[2]character_type_i18n!$A:$F,4,FALSE)</f>
        <v>1</v>
      </c>
      <c r="K1427" s="36">
        <f>VLOOKUP(H1427,[2]character_type_i18n!$A:$F,5,FALSE)</f>
        <v>1.33</v>
      </c>
      <c r="L1427" s="36">
        <f>VLOOKUP(H1427,[2]character_type_i18n!$A:$F,6,FALSE)</f>
        <v>1</v>
      </c>
      <c r="M1427" s="9" t="str">
        <f>VLOOKUP(A1427,[2]characters!$A:$M,13,FALSE)</f>
        <v>orochi</v>
      </c>
      <c r="N1427" s="14" t="str">
        <f>VLOOKUP(M1427,[2]character_tribe_i18n!$A:$F,3,FALSE)</f>
        <v>オロチ一族</v>
      </c>
      <c r="O1427" s="24">
        <f>VLOOKUP(M1427,[2]character_tribe_i18n!$A:$F,4,FALSE)</f>
        <v>1</v>
      </c>
      <c r="P1427" s="24">
        <f>VLOOKUP(M1427,[2]character_tribe_i18n!$A:$F,5,FALSE)</f>
        <v>1</v>
      </c>
      <c r="Q1427" s="24">
        <f>VLOOKUP(M1427,[2]character_tribe_i18n!$A:$F,6,FALSE)</f>
        <v>1</v>
      </c>
      <c r="R1427" s="25" t="s">
        <v>98</v>
      </c>
      <c r="S1427" s="24">
        <f>VLOOKUP($R1427,ラベル別係数!$A$1:$E$7,3,FALSE)</f>
        <v>5</v>
      </c>
      <c r="T1427" s="24">
        <f>VLOOKUP($R1427,ラベル別係数!$A$1:$E$7,4,FALSE)</f>
        <v>1.3</v>
      </c>
      <c r="U1427" s="24">
        <f>VLOOKUP($R1427,ラベル別係数!$A$1:$E$7,5,FALSE)</f>
        <v>0.8</v>
      </c>
      <c r="V1427" s="27">
        <v>3</v>
      </c>
      <c r="W1427" s="28">
        <f>VLOOKUP(V1427,ターン数別攻撃係数!$A$1:$B$1000,2,FALSE)</f>
        <v>1</v>
      </c>
      <c r="X1427" s="9">
        <f>VLOOKUP(C1427,サイズ別係数!A$2:B$9,2,FALSE)</f>
        <v>60</v>
      </c>
      <c r="Y1427" s="26">
        <f>VLOOKUP($X1427,サイズ別係数!$B:$E,2,FALSE)</f>
        <v>1.7</v>
      </c>
      <c r="Z1427" s="26">
        <f>VLOOKUP($X1427,サイズ別係数!$B:$E,3,FALSE)</f>
        <v>1.4</v>
      </c>
      <c r="AA1427" s="26">
        <f>VLOOKUP($X1427,サイズ別係数!$B:$E,4,FALSE)</f>
        <v>1</v>
      </c>
      <c r="AB1427" s="5">
        <v>0</v>
      </c>
      <c r="AC1427" s="34" t="str">
        <f ca="1">VLOOKUP($AB1427,OFFSET([3]enemy_skill_sets!$B$2,0,0,COUNTA([3]enemy_skill_sets!$A:$A),MATCH(AC$1,[3]enemy_skill_sets!$1:$1,0)-MATCH($AB$1,[3]enemy_skill_sets!$1:$1,0)+1),MATCH(AC$1,[3]enemy_skill_sets!$1:$1,0)-MATCH($AB$1,[3]enemy_skill_sets!$1:$1,0)+1,FALSE)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7" s="67">
        <v>1</v>
      </c>
      <c r="AE1427" s="67">
        <v>1</v>
      </c>
      <c r="AF1427" s="37">
        <v>0</v>
      </c>
      <c r="AG1427" s="99">
        <f>ROUND(VLOOKUP(1,enemy_base_stats!$A:$F,2,FALSE) * Y1427* J1427*O1427*E1427*S1427*AD1427*[2]ステータス!$B$2,0)</f>
        <v>4250</v>
      </c>
      <c r="AH1427" s="99">
        <f>ROUND(VLOOKUP(1,enemy_base_stats!$A:$F,3,FALSE) * Z1427*K1427*P1427*F1427*T1427*AE1427 * W1427*[2]ステータス!$C$2,0)</f>
        <v>370</v>
      </c>
      <c r="AI1427" s="99">
        <f>ROUND(VLOOKUP(1,enemy_base_stats!$A:$F,4,FALSE) * AA1427*L1427*Q1427*G1427*U1427*AF1427*[2]ステータス!$D$2,0)</f>
        <v>0</v>
      </c>
      <c r="AJ1427" s="99">
        <f>ROUND(VLOOKUP(100,enemy_base_stats!$A:$F,2,FALSE) * Y1427* J1427*O1427*E1427*S1427*AD1427*[2]ステータス!$B$2,0)</f>
        <v>172550</v>
      </c>
      <c r="AK1427" s="99">
        <f>ROUND(VLOOKUP(100,enemy_base_stats!$A:$F,3,FALSE)* Z1427* K1427*P1427*F1427*T1427*AE1427 * W1427*[2]ステータス!$C$2,0)</f>
        <v>15036</v>
      </c>
      <c r="AL1427" s="99">
        <f>ROUND(VLOOKUP(100,enemy_base_stats!$A:$F,4,FALSE)* AA1427* L1427*Q1427*G1427*U1427*AF1427*[2]ステータス!$D$2,0)</f>
        <v>0</v>
      </c>
      <c r="AM1427" s="97">
        <f>VLOOKUP(M1427,[2]character_tribe_i18n!$A:$I,9,FALSE)</f>
        <v>400</v>
      </c>
      <c r="AN1427" s="36">
        <v>0</v>
      </c>
      <c r="AO1427" s="53">
        <v>0</v>
      </c>
      <c r="AP1427" s="58" t="s">
        <v>72</v>
      </c>
      <c r="AQ1427" s="71">
        <f t="shared" si="85"/>
        <v>1583</v>
      </c>
    </row>
    <row r="1428" spans="1:43" ht="21" customHeight="1" x14ac:dyDescent="0.15">
      <c r="A1428" s="7">
        <v>1584</v>
      </c>
      <c r="B1428" s="6" t="str">
        <f>VLOOKUP(A1428,[2]characters!$A:$C,3,FALSE)</f>
        <v>Sirius01</v>
      </c>
      <c r="C1428" s="9">
        <f>VLOOKUP(A1428,[2]characters!$A:$I,9,FALSE)</f>
        <v>4</v>
      </c>
      <c r="D1428" s="9" t="str">
        <f>VLOOKUP(A1428,[2]characters!$A:$H,8,FALSE)</f>
        <v>yellow</v>
      </c>
      <c r="E1428" s="24">
        <f>VLOOKUP(D1428,[2]属性!$A:$E,2,FALSE)</f>
        <v>0.98</v>
      </c>
      <c r="F1428" s="24">
        <f>VLOOKUP(D1428,[2]属性!$A:$E,3,FALSE)</f>
        <v>1.01</v>
      </c>
      <c r="G1428" s="24">
        <f>VLOOKUP(D1428,[2]属性!$A:$F,4,FALSE)</f>
        <v>1</v>
      </c>
      <c r="H1428" s="9" t="str">
        <f>VLOOKUP(A1428,[2]characters!$A:$K,11,FALSE)</f>
        <v>hp</v>
      </c>
      <c r="I1428" s="14" t="str">
        <f>VLOOKUP(H1428,[2]character_type_i18n!$A:$F,3,FALSE)</f>
        <v>体力タイプ</v>
      </c>
      <c r="J1428" s="36">
        <f>VLOOKUP(H1428,[2]character_type_i18n!$A:$F,4,FALSE)</f>
        <v>1.45</v>
      </c>
      <c r="K1428" s="36">
        <f>VLOOKUP(H1428,[2]character_type_i18n!$A:$F,5,FALSE)</f>
        <v>0.85</v>
      </c>
      <c r="L1428" s="36">
        <f>VLOOKUP(H1428,[2]character_type_i18n!$A:$F,6,FALSE)</f>
        <v>1</v>
      </c>
      <c r="M1428" s="9" t="str">
        <f>VLOOKUP(A1428,[2]characters!$A:$M,13,FALSE)</f>
        <v>orochi</v>
      </c>
      <c r="N1428" s="14" t="str">
        <f>VLOOKUP(M1428,[2]character_tribe_i18n!$A:$F,3,FALSE)</f>
        <v>オロチ一族</v>
      </c>
      <c r="O1428" s="24">
        <f>VLOOKUP(M1428,[2]character_tribe_i18n!$A:$F,4,FALSE)</f>
        <v>1</v>
      </c>
      <c r="P1428" s="24">
        <f>VLOOKUP(M1428,[2]character_tribe_i18n!$A:$F,5,FALSE)</f>
        <v>1</v>
      </c>
      <c r="Q1428" s="24">
        <f>VLOOKUP(M1428,[2]character_tribe_i18n!$A:$F,6,FALSE)</f>
        <v>1</v>
      </c>
      <c r="R1428" s="25" t="s">
        <v>98</v>
      </c>
      <c r="S1428" s="24">
        <f>VLOOKUP($R1428,ラベル別係数!$A$1:$E$7,3,FALSE)</f>
        <v>5</v>
      </c>
      <c r="T1428" s="24">
        <f>VLOOKUP($R1428,ラベル別係数!$A$1:$E$7,4,FALSE)</f>
        <v>1.3</v>
      </c>
      <c r="U1428" s="24">
        <f>VLOOKUP($R1428,ラベル別係数!$A$1:$E$7,5,FALSE)</f>
        <v>0.8</v>
      </c>
      <c r="V1428" s="27">
        <v>3</v>
      </c>
      <c r="W1428" s="28">
        <f>VLOOKUP(V1428,ターン数別攻撃係数!$A$1:$B$1000,2,FALSE)</f>
        <v>1</v>
      </c>
      <c r="X1428" s="9">
        <f>VLOOKUP(C1428,サイズ別係数!A$2:B$9,2,FALSE)</f>
        <v>30</v>
      </c>
      <c r="Y1428" s="26">
        <f>VLOOKUP($X1428,サイズ別係数!$B:$E,2,FALSE)</f>
        <v>1.3</v>
      </c>
      <c r="Z1428" s="26">
        <f>VLOOKUP($X1428,サイズ別係数!$B:$E,3,FALSE)</f>
        <v>1.3</v>
      </c>
      <c r="AA1428" s="26">
        <f>VLOOKUP($X1428,サイズ別係数!$B:$E,4,FALSE)</f>
        <v>1.1000000000000001</v>
      </c>
      <c r="AB1428" s="5">
        <v>0</v>
      </c>
      <c r="AC1428" s="34" t="str">
        <f ca="1">VLOOKUP($AB1428,OFFSET([3]enemy_skill_sets!$B$2,0,0,COUNTA([3]enemy_skill_sets!$A:$A),MATCH(AC$1,[3]enemy_skill_sets!$1:$1,0)-MATCH($AB$1,[3]enemy_skill_sets!$1:$1,0)+1),MATCH(AC$1,[3]enemy_skill_sets!$1:$1,0)-MATCH($AB$1,[3]enemy_skill_sets!$1:$1,0)+1,FALSE)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8" s="67">
        <v>1</v>
      </c>
      <c r="AE1428" s="67">
        <v>1</v>
      </c>
      <c r="AF1428" s="37">
        <v>0</v>
      </c>
      <c r="AG1428" s="99">
        <f>ROUND(VLOOKUP(1,enemy_base_stats!$A:$F,2,FALSE) * Y1428* J1428*O1428*E1428*S1428*AD1428*[2]ステータス!$B$2,0)</f>
        <v>4618</v>
      </c>
      <c r="AH1428" s="99">
        <f>ROUND(VLOOKUP(1,enemy_base_stats!$A:$F,3,FALSE) * Z1428*K1428*P1428*F1428*T1428*AE1428 * W1428*[2]ステータス!$C$2,0)</f>
        <v>218</v>
      </c>
      <c r="AI1428" s="99">
        <f>ROUND(VLOOKUP(1,enemy_base_stats!$A:$F,4,FALSE) * AA1428*L1428*Q1428*G1428*U1428*AF1428*[2]ステータス!$D$2,0)</f>
        <v>0</v>
      </c>
      <c r="AJ1428" s="99">
        <f>ROUND(VLOOKUP(100,enemy_base_stats!$A:$F,2,FALSE) * Y1428* J1428*O1428*E1428*S1428*AD1428*[2]ステータス!$B$2,0)</f>
        <v>187501</v>
      </c>
      <c r="AK1428" s="99">
        <f>ROUND(VLOOKUP(100,enemy_base_stats!$A:$F,3,FALSE)* Z1428* K1428*P1428*F1428*T1428*AE1428 * W1428*[2]ステータス!$C$2,0)</f>
        <v>8836</v>
      </c>
      <c r="AL1428" s="99">
        <f>ROUND(VLOOKUP(100,enemy_base_stats!$A:$F,4,FALSE)* AA1428* L1428*Q1428*G1428*U1428*AF1428*[2]ステータス!$D$2,0)</f>
        <v>0</v>
      </c>
      <c r="AM1428" s="97">
        <f>VLOOKUP(M1428,[2]character_tribe_i18n!$A:$I,9,FALSE)</f>
        <v>400</v>
      </c>
      <c r="AN1428" s="36">
        <v>0</v>
      </c>
      <c r="AO1428" s="53">
        <v>0</v>
      </c>
      <c r="AP1428" s="58" t="s">
        <v>72</v>
      </c>
      <c r="AQ1428" s="71">
        <f t="shared" si="85"/>
        <v>1584</v>
      </c>
    </row>
    <row r="1429" spans="1:43" ht="21" customHeight="1" x14ac:dyDescent="0.15">
      <c r="A1429" s="7">
        <v>1585</v>
      </c>
      <c r="B1429" s="6" t="str">
        <f>VLOOKUP(A1429,[2]characters!$A:$C,3,FALSE)</f>
        <v>Sirius02</v>
      </c>
      <c r="C1429" s="9">
        <f>VLOOKUP(A1429,[2]characters!$A:$I,9,FALSE)</f>
        <v>5</v>
      </c>
      <c r="D1429" s="9" t="str">
        <f>VLOOKUP(A1429,[2]characters!$A:$H,8,FALSE)</f>
        <v>yellow</v>
      </c>
      <c r="E1429" s="24">
        <f>VLOOKUP(D1429,[2]属性!$A:$E,2,FALSE)</f>
        <v>0.98</v>
      </c>
      <c r="F1429" s="24">
        <f>VLOOKUP(D1429,[2]属性!$A:$E,3,FALSE)</f>
        <v>1.01</v>
      </c>
      <c r="G1429" s="24">
        <f>VLOOKUP(D1429,[2]属性!$A:$F,4,FALSE)</f>
        <v>1</v>
      </c>
      <c r="H1429" s="9" t="str">
        <f>VLOOKUP(A1429,[2]characters!$A:$K,11,FALSE)</f>
        <v>hp</v>
      </c>
      <c r="I1429" s="14" t="str">
        <f>VLOOKUP(H1429,[2]character_type_i18n!$A:$F,3,FALSE)</f>
        <v>体力タイプ</v>
      </c>
      <c r="J1429" s="36">
        <f>VLOOKUP(H1429,[2]character_type_i18n!$A:$F,4,FALSE)</f>
        <v>1.45</v>
      </c>
      <c r="K1429" s="36">
        <f>VLOOKUP(H1429,[2]character_type_i18n!$A:$F,5,FALSE)</f>
        <v>0.85</v>
      </c>
      <c r="L1429" s="36">
        <f>VLOOKUP(H1429,[2]character_type_i18n!$A:$F,6,FALSE)</f>
        <v>1</v>
      </c>
      <c r="M1429" s="9" t="str">
        <f>VLOOKUP(A1429,[2]characters!$A:$M,13,FALSE)</f>
        <v>orochi</v>
      </c>
      <c r="N1429" s="14" t="str">
        <f>VLOOKUP(M1429,[2]character_tribe_i18n!$A:$F,3,FALSE)</f>
        <v>オロチ一族</v>
      </c>
      <c r="O1429" s="24">
        <f>VLOOKUP(M1429,[2]character_tribe_i18n!$A:$F,4,FALSE)</f>
        <v>1</v>
      </c>
      <c r="P1429" s="24">
        <f>VLOOKUP(M1429,[2]character_tribe_i18n!$A:$F,5,FALSE)</f>
        <v>1</v>
      </c>
      <c r="Q1429" s="24">
        <f>VLOOKUP(M1429,[2]character_tribe_i18n!$A:$F,6,FALSE)</f>
        <v>1</v>
      </c>
      <c r="R1429" s="25" t="s">
        <v>98</v>
      </c>
      <c r="S1429" s="24">
        <f>VLOOKUP($R1429,ラベル別係数!$A$1:$E$7,3,FALSE)</f>
        <v>5</v>
      </c>
      <c r="T1429" s="24">
        <f>VLOOKUP($R1429,ラベル別係数!$A$1:$E$7,4,FALSE)</f>
        <v>1.3</v>
      </c>
      <c r="U1429" s="24">
        <f>VLOOKUP($R1429,ラベル別係数!$A$1:$E$7,5,FALSE)</f>
        <v>0.8</v>
      </c>
      <c r="V1429" s="27">
        <v>3</v>
      </c>
      <c r="W1429" s="28">
        <f>VLOOKUP(V1429,ターン数別攻撃係数!$A$1:$B$1000,2,FALSE)</f>
        <v>1</v>
      </c>
      <c r="X1429" s="9">
        <f>VLOOKUP(C1429,サイズ別係数!A$2:B$9,2,FALSE)</f>
        <v>60</v>
      </c>
      <c r="Y1429" s="26">
        <f>VLOOKUP($X1429,サイズ別係数!$B:$E,2,FALSE)</f>
        <v>1.7</v>
      </c>
      <c r="Z1429" s="26">
        <f>VLOOKUP($X1429,サイズ別係数!$B:$E,3,FALSE)</f>
        <v>1.4</v>
      </c>
      <c r="AA1429" s="26">
        <f>VLOOKUP($X1429,サイズ別係数!$B:$E,4,FALSE)</f>
        <v>1</v>
      </c>
      <c r="AB1429" s="5">
        <v>0</v>
      </c>
      <c r="AC1429" s="34" t="str">
        <f ca="1">VLOOKUP($AB1429,OFFSET([3]enemy_skill_sets!$B$2,0,0,COUNTA([3]enemy_skill_sets!$A:$A),MATCH(AC$1,[3]enemy_skill_sets!$1:$1,0)-MATCH($AB$1,[3]enemy_skill_sets!$1:$1,0)+1),MATCH(AC$1,[3]enemy_skill_sets!$1:$1,0)-MATCH($AB$1,[3]enemy_skill_sets!$1:$1,0)+1,FALSE)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29" s="67">
        <v>1</v>
      </c>
      <c r="AE1429" s="67">
        <v>1</v>
      </c>
      <c r="AF1429" s="37">
        <v>0</v>
      </c>
      <c r="AG1429" s="99">
        <f>ROUND(VLOOKUP(1,enemy_base_stats!$A:$F,2,FALSE) * Y1429* J1429*O1429*E1429*S1429*AD1429*[2]ステータス!$B$2,0)</f>
        <v>6039</v>
      </c>
      <c r="AH1429" s="99">
        <f>ROUND(VLOOKUP(1,enemy_base_stats!$A:$F,3,FALSE) * Z1429*K1429*P1429*F1429*T1429*AE1429 * W1429*[2]ステータス!$C$2,0)</f>
        <v>234</v>
      </c>
      <c r="AI1429" s="99">
        <f>ROUND(VLOOKUP(1,enemy_base_stats!$A:$F,4,FALSE) * AA1429*L1429*Q1429*G1429*U1429*AF1429*[2]ステータス!$D$2,0)</f>
        <v>0</v>
      </c>
      <c r="AJ1429" s="99">
        <f>ROUND(VLOOKUP(100,enemy_base_stats!$A:$F,2,FALSE) * Y1429* J1429*O1429*E1429*S1429*AD1429*[2]ステータス!$B$2,0)</f>
        <v>245194</v>
      </c>
      <c r="AK1429" s="99">
        <f>ROUND(VLOOKUP(100,enemy_base_stats!$A:$F,3,FALSE)* Z1429* K1429*P1429*F1429*T1429*AE1429 * W1429*[2]ステータス!$C$2,0)</f>
        <v>9515</v>
      </c>
      <c r="AL1429" s="99">
        <f>ROUND(VLOOKUP(100,enemy_base_stats!$A:$F,4,FALSE)* AA1429* L1429*Q1429*G1429*U1429*AF1429*[2]ステータス!$D$2,0)</f>
        <v>0</v>
      </c>
      <c r="AM1429" s="97">
        <f>VLOOKUP(M1429,[2]character_tribe_i18n!$A:$I,9,FALSE)</f>
        <v>400</v>
      </c>
      <c r="AN1429" s="36">
        <v>0</v>
      </c>
      <c r="AO1429" s="53">
        <v>0</v>
      </c>
      <c r="AP1429" s="58" t="s">
        <v>72</v>
      </c>
      <c r="AQ1429" s="71">
        <f t="shared" si="85"/>
        <v>1585</v>
      </c>
    </row>
    <row r="1430" spans="1:43" ht="21" customHeight="1" x14ac:dyDescent="0.15">
      <c r="A1430" s="7">
        <v>1586</v>
      </c>
      <c r="B1430" s="6" t="str">
        <f>VLOOKUP(A1430,[2]characters!$A:$C,3,FALSE)</f>
        <v>Sirius03</v>
      </c>
      <c r="C1430" s="9">
        <f>VLOOKUP(A1430,[2]characters!$A:$I,9,FALSE)</f>
        <v>6</v>
      </c>
      <c r="D1430" s="9" t="str">
        <f>VLOOKUP(A1430,[2]characters!$A:$H,8,FALSE)</f>
        <v>yellow</v>
      </c>
      <c r="E1430" s="24">
        <f>VLOOKUP(D1430,[2]属性!$A:$E,2,FALSE)</f>
        <v>0.98</v>
      </c>
      <c r="F1430" s="24">
        <f>VLOOKUP(D1430,[2]属性!$A:$E,3,FALSE)</f>
        <v>1.01</v>
      </c>
      <c r="G1430" s="24">
        <f>VLOOKUP(D1430,[2]属性!$A:$F,4,FALSE)</f>
        <v>1</v>
      </c>
      <c r="H1430" s="9" t="str">
        <f>VLOOKUP(A1430,[2]characters!$A:$K,11,FALSE)</f>
        <v>hp</v>
      </c>
      <c r="I1430" s="14" t="str">
        <f>VLOOKUP(H1430,[2]character_type_i18n!$A:$F,3,FALSE)</f>
        <v>体力タイプ</v>
      </c>
      <c r="J1430" s="36">
        <f>VLOOKUP(H1430,[2]character_type_i18n!$A:$F,4,FALSE)</f>
        <v>1.45</v>
      </c>
      <c r="K1430" s="36">
        <f>VLOOKUP(H1430,[2]character_type_i18n!$A:$F,5,FALSE)</f>
        <v>0.85</v>
      </c>
      <c r="L1430" s="36">
        <f>VLOOKUP(H1430,[2]character_type_i18n!$A:$F,6,FALSE)</f>
        <v>1</v>
      </c>
      <c r="M1430" s="9" t="str">
        <f>VLOOKUP(A1430,[2]characters!$A:$M,13,FALSE)</f>
        <v>orochi</v>
      </c>
      <c r="N1430" s="14" t="str">
        <f>VLOOKUP(M1430,[2]character_tribe_i18n!$A:$F,3,FALSE)</f>
        <v>オロチ一族</v>
      </c>
      <c r="O1430" s="24">
        <f>VLOOKUP(M1430,[2]character_tribe_i18n!$A:$F,4,FALSE)</f>
        <v>1</v>
      </c>
      <c r="P1430" s="24">
        <f>VLOOKUP(M1430,[2]character_tribe_i18n!$A:$F,5,FALSE)</f>
        <v>1</v>
      </c>
      <c r="Q1430" s="24">
        <f>VLOOKUP(M1430,[2]character_tribe_i18n!$A:$F,6,FALSE)</f>
        <v>1</v>
      </c>
      <c r="R1430" s="25" t="s">
        <v>98</v>
      </c>
      <c r="S1430" s="24">
        <f>VLOOKUP($R1430,ラベル別係数!$A$1:$E$7,3,FALSE)</f>
        <v>5</v>
      </c>
      <c r="T1430" s="24">
        <f>VLOOKUP($R1430,ラベル別係数!$A$1:$E$7,4,FALSE)</f>
        <v>1.3</v>
      </c>
      <c r="U1430" s="24">
        <f>VLOOKUP($R1430,ラベル別係数!$A$1:$E$7,5,FALSE)</f>
        <v>0.8</v>
      </c>
      <c r="V1430" s="27">
        <v>3</v>
      </c>
      <c r="W1430" s="28">
        <f>VLOOKUP(V1430,ターン数別攻撃係数!$A$1:$B$1000,2,FALSE)</f>
        <v>1</v>
      </c>
      <c r="X1430" s="9">
        <f>VLOOKUP(C1430,サイズ別係数!A$2:B$9,2,FALSE)</f>
        <v>60</v>
      </c>
      <c r="Y1430" s="26">
        <f>VLOOKUP($X1430,サイズ別係数!$B:$E,2,FALSE)</f>
        <v>1.7</v>
      </c>
      <c r="Z1430" s="26">
        <f>VLOOKUP($X1430,サイズ別係数!$B:$E,3,FALSE)</f>
        <v>1.4</v>
      </c>
      <c r="AA1430" s="26">
        <f>VLOOKUP($X1430,サイズ別係数!$B:$E,4,FALSE)</f>
        <v>1</v>
      </c>
      <c r="AB1430" s="5">
        <v>0</v>
      </c>
      <c r="AC1430" s="34" t="str">
        <f ca="1">VLOOKUP($AB1430,OFFSET([3]enemy_skill_sets!$B$2,0,0,COUNTA([3]enemy_skill_sets!$A:$A),MATCH(AC$1,[3]enemy_skill_sets!$1:$1,0)-MATCH($AB$1,[3]enemy_skill_sets!$1:$1,0)+1),MATCH(AC$1,[3]enemy_skill_sets!$1:$1,0)-MATCH($AB$1,[3]enemy_skill_sets!$1:$1,0)+1,FALSE)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0" s="67">
        <v>1</v>
      </c>
      <c r="AE1430" s="67">
        <v>1</v>
      </c>
      <c r="AF1430" s="37">
        <v>0</v>
      </c>
      <c r="AG1430" s="99">
        <f>ROUND(VLOOKUP(1,enemy_base_stats!$A:$F,2,FALSE) * Y1430* J1430*O1430*E1430*S1430*AD1430*[2]ステータス!$B$2,0)</f>
        <v>6039</v>
      </c>
      <c r="AH1430" s="99">
        <f>ROUND(VLOOKUP(1,enemy_base_stats!$A:$F,3,FALSE) * Z1430*K1430*P1430*F1430*T1430*AE1430 * W1430*[2]ステータス!$C$2,0)</f>
        <v>234</v>
      </c>
      <c r="AI1430" s="99">
        <f>ROUND(VLOOKUP(1,enemy_base_stats!$A:$F,4,FALSE) * AA1430*L1430*Q1430*G1430*U1430*AF1430*[2]ステータス!$D$2,0)</f>
        <v>0</v>
      </c>
      <c r="AJ1430" s="99">
        <f>ROUND(VLOOKUP(100,enemy_base_stats!$A:$F,2,FALSE) * Y1430* J1430*O1430*E1430*S1430*AD1430*[2]ステータス!$B$2,0)</f>
        <v>245194</v>
      </c>
      <c r="AK1430" s="99">
        <f>ROUND(VLOOKUP(100,enemy_base_stats!$A:$F,3,FALSE)* Z1430* K1430*P1430*F1430*T1430*AE1430 * W1430*[2]ステータス!$C$2,0)</f>
        <v>9515</v>
      </c>
      <c r="AL1430" s="99">
        <f>ROUND(VLOOKUP(100,enemy_base_stats!$A:$F,4,FALSE)* AA1430* L1430*Q1430*G1430*U1430*AF1430*[2]ステータス!$D$2,0)</f>
        <v>0</v>
      </c>
      <c r="AM1430" s="97">
        <f>VLOOKUP(M1430,[2]character_tribe_i18n!$A:$I,9,FALSE)</f>
        <v>400</v>
      </c>
      <c r="AN1430" s="36">
        <v>0</v>
      </c>
      <c r="AO1430" s="53">
        <v>0</v>
      </c>
      <c r="AP1430" s="58" t="s">
        <v>72</v>
      </c>
      <c r="AQ1430" s="71">
        <f t="shared" si="85"/>
        <v>1586</v>
      </c>
    </row>
    <row r="1431" spans="1:43" ht="21" customHeight="1" x14ac:dyDescent="0.15">
      <c r="A1431" s="7">
        <v>1587</v>
      </c>
      <c r="B1431" s="6" t="str">
        <f>VLOOKUP(A1431,[2]characters!$A:$C,3,FALSE)</f>
        <v>Virgo01</v>
      </c>
      <c r="C1431" s="9">
        <f>VLOOKUP(A1431,[2]characters!$A:$I,9,FALSE)</f>
        <v>5</v>
      </c>
      <c r="D1431" s="9" t="str">
        <f>VLOOKUP(A1431,[2]characters!$A:$H,8,FALSE)</f>
        <v>green</v>
      </c>
      <c r="E1431" s="24">
        <f>VLOOKUP(D1431,[2]属性!$A:$E,2,FALSE)</f>
        <v>1.02</v>
      </c>
      <c r="F1431" s="24">
        <f>VLOOKUP(D1431,[2]属性!$A:$E,3,FALSE)</f>
        <v>0.98</v>
      </c>
      <c r="G1431" s="24">
        <f>VLOOKUP(D1431,[2]属性!$A:$F,4,FALSE)</f>
        <v>1</v>
      </c>
      <c r="H1431" s="9" t="str">
        <f>VLOOKUP(A1431,[2]characters!$A:$K,11,FALSE)</f>
        <v>heal</v>
      </c>
      <c r="I1431" s="14" t="str">
        <f>VLOOKUP(H1431,[2]character_type_i18n!$A:$F,3,FALSE)</f>
        <v>回復タイプ</v>
      </c>
      <c r="J1431" s="36">
        <f>VLOOKUP(H1431,[2]character_type_i18n!$A:$F,4,FALSE)</f>
        <v>0.8</v>
      </c>
      <c r="K1431" s="36">
        <f>VLOOKUP(H1431,[2]character_type_i18n!$A:$F,5,FALSE)</f>
        <v>0.78</v>
      </c>
      <c r="L1431" s="36">
        <f>VLOOKUP(H1431,[2]character_type_i18n!$A:$F,6,FALSE)</f>
        <v>1</v>
      </c>
      <c r="M1431" s="9" t="str">
        <f>VLOOKUP(A1431,[2]characters!$A:$M,13,FALSE)</f>
        <v>human</v>
      </c>
      <c r="N1431" s="14" t="str">
        <f>VLOOKUP(M1431,[2]character_tribe_i18n!$A:$F,3,FALSE)</f>
        <v>ヒューマン</v>
      </c>
      <c r="O1431" s="24">
        <f>VLOOKUP(M1431,[2]character_tribe_i18n!$A:$F,4,FALSE)</f>
        <v>0.94</v>
      </c>
      <c r="P1431" s="24">
        <f>VLOOKUP(M1431,[2]character_tribe_i18n!$A:$F,5,FALSE)</f>
        <v>0.99</v>
      </c>
      <c r="Q1431" s="24">
        <f>VLOOKUP(M1431,[2]character_tribe_i18n!$A:$F,6,FALSE)</f>
        <v>1</v>
      </c>
      <c r="R1431" s="25" t="s">
        <v>98</v>
      </c>
      <c r="S1431" s="24">
        <f>VLOOKUP($R1431,ラベル別係数!$A$1:$E$7,3,FALSE)</f>
        <v>5</v>
      </c>
      <c r="T1431" s="24">
        <f>VLOOKUP($R1431,ラベル別係数!$A$1:$E$7,4,FALSE)</f>
        <v>1.3</v>
      </c>
      <c r="U1431" s="24">
        <f>VLOOKUP($R1431,ラベル別係数!$A$1:$E$7,5,FALSE)</f>
        <v>0.8</v>
      </c>
      <c r="V1431" s="27">
        <v>3</v>
      </c>
      <c r="W1431" s="28">
        <f>VLOOKUP(V1431,ターン数別攻撃係数!$A$1:$B$1000,2,FALSE)</f>
        <v>1</v>
      </c>
      <c r="X1431" s="9">
        <f>VLOOKUP(C1431,サイズ別係数!A$2:B$9,2,FALSE)</f>
        <v>60</v>
      </c>
      <c r="Y1431" s="26">
        <f>VLOOKUP($X1431,サイズ別係数!$B:$E,2,FALSE)</f>
        <v>1.7</v>
      </c>
      <c r="Z1431" s="26">
        <f>VLOOKUP($X1431,サイズ別係数!$B:$E,3,FALSE)</f>
        <v>1.4</v>
      </c>
      <c r="AA1431" s="26">
        <f>VLOOKUP($X1431,サイズ別係数!$B:$E,4,FALSE)</f>
        <v>1</v>
      </c>
      <c r="AB1431" s="5">
        <v>0</v>
      </c>
      <c r="AC1431" s="34" t="str">
        <f ca="1">VLOOKUP($AB1431,OFFSET([3]enemy_skill_sets!$B$2,0,0,COUNTA([3]enemy_skill_sets!$A:$A),MATCH(AC$1,[3]enemy_skill_sets!$1:$1,0)-MATCH($AB$1,[3]enemy_skill_sets!$1:$1,0)+1),MATCH(AC$1,[3]enemy_skill_sets!$1:$1,0)-MATCH($AB$1,[3]enemy_skill_sets!$1:$1,0)+1,FALSE)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1" s="67">
        <v>1</v>
      </c>
      <c r="AE1431" s="67">
        <v>1</v>
      </c>
      <c r="AF1431" s="37">
        <v>0</v>
      </c>
      <c r="AG1431" s="99">
        <f>ROUND(VLOOKUP(1,enemy_base_stats!$A:$F,2,FALSE) * Y1431* J1431*O1431*E1431*S1431*AD1431*[2]ステータス!$B$2,0)</f>
        <v>3260</v>
      </c>
      <c r="AH1431" s="99">
        <f>ROUND(VLOOKUP(1,enemy_base_stats!$A:$F,3,FALSE) * Z1431*K1431*P1431*F1431*T1431*AE1431 * W1431*[2]ステータス!$C$2,0)</f>
        <v>207</v>
      </c>
      <c r="AI1431" s="99">
        <f>ROUND(VLOOKUP(1,enemy_base_stats!$A:$F,4,FALSE) * AA1431*L1431*Q1431*G1431*U1431*AF1431*[2]ステータス!$D$2,0)</f>
        <v>0</v>
      </c>
      <c r="AJ1431" s="99">
        <f>ROUND(VLOOKUP(100,enemy_base_stats!$A:$F,2,FALSE) * Y1431* J1431*O1431*E1431*S1431*AD1431*[2]ステータス!$B$2,0)</f>
        <v>132353</v>
      </c>
      <c r="AK1431" s="99">
        <f>ROUND(VLOOKUP(100,enemy_base_stats!$A:$F,3,FALSE)* Z1431* K1431*P1431*F1431*T1431*AE1431 * W1431*[2]ステータス!$C$2,0)</f>
        <v>8388</v>
      </c>
      <c r="AL1431" s="99">
        <f>ROUND(VLOOKUP(100,enemy_base_stats!$A:$F,4,FALSE)* AA1431* L1431*Q1431*G1431*U1431*AF1431*[2]ステータス!$D$2,0)</f>
        <v>0</v>
      </c>
      <c r="AM1431" s="97">
        <f>VLOOKUP(M1431,[2]character_tribe_i18n!$A:$I,9,FALSE)</f>
        <v>400</v>
      </c>
      <c r="AN1431" s="36">
        <v>0</v>
      </c>
      <c r="AO1431" s="53">
        <v>0</v>
      </c>
      <c r="AP1431" s="58" t="s">
        <v>72</v>
      </c>
      <c r="AQ1431" s="71">
        <f t="shared" si="85"/>
        <v>1587</v>
      </c>
    </row>
    <row r="1432" spans="1:43" ht="21" customHeight="1" x14ac:dyDescent="0.15">
      <c r="A1432" s="7">
        <v>1588</v>
      </c>
      <c r="B1432" s="6" t="str">
        <f>VLOOKUP(A1432,[2]characters!$A:$C,3,FALSE)</f>
        <v>Virgo02</v>
      </c>
      <c r="C1432" s="9">
        <f>VLOOKUP(A1432,[2]characters!$A:$I,9,FALSE)</f>
        <v>6</v>
      </c>
      <c r="D1432" s="9" t="str">
        <f>VLOOKUP(A1432,[2]characters!$A:$H,8,FALSE)</f>
        <v>green</v>
      </c>
      <c r="E1432" s="24">
        <f>VLOOKUP(D1432,[2]属性!$A:$E,2,FALSE)</f>
        <v>1.02</v>
      </c>
      <c r="F1432" s="24">
        <f>VLOOKUP(D1432,[2]属性!$A:$E,3,FALSE)</f>
        <v>0.98</v>
      </c>
      <c r="G1432" s="24">
        <f>VLOOKUP(D1432,[2]属性!$A:$F,4,FALSE)</f>
        <v>1</v>
      </c>
      <c r="H1432" s="9" t="str">
        <f>VLOOKUP(A1432,[2]characters!$A:$K,11,FALSE)</f>
        <v>heal</v>
      </c>
      <c r="I1432" s="14" t="str">
        <f>VLOOKUP(H1432,[2]character_type_i18n!$A:$F,3,FALSE)</f>
        <v>回復タイプ</v>
      </c>
      <c r="J1432" s="36">
        <f>VLOOKUP(H1432,[2]character_type_i18n!$A:$F,4,FALSE)</f>
        <v>0.8</v>
      </c>
      <c r="K1432" s="36">
        <f>VLOOKUP(H1432,[2]character_type_i18n!$A:$F,5,FALSE)</f>
        <v>0.78</v>
      </c>
      <c r="L1432" s="36">
        <f>VLOOKUP(H1432,[2]character_type_i18n!$A:$F,6,FALSE)</f>
        <v>1</v>
      </c>
      <c r="M1432" s="9" t="str">
        <f>VLOOKUP(A1432,[2]characters!$A:$M,13,FALSE)</f>
        <v>human</v>
      </c>
      <c r="N1432" s="14" t="str">
        <f>VLOOKUP(M1432,[2]character_tribe_i18n!$A:$F,3,FALSE)</f>
        <v>ヒューマン</v>
      </c>
      <c r="O1432" s="24">
        <f>VLOOKUP(M1432,[2]character_tribe_i18n!$A:$F,4,FALSE)</f>
        <v>0.94</v>
      </c>
      <c r="P1432" s="24">
        <f>VLOOKUP(M1432,[2]character_tribe_i18n!$A:$F,5,FALSE)</f>
        <v>0.99</v>
      </c>
      <c r="Q1432" s="24">
        <f>VLOOKUP(M1432,[2]character_tribe_i18n!$A:$F,6,FALSE)</f>
        <v>1</v>
      </c>
      <c r="R1432" s="25" t="s">
        <v>98</v>
      </c>
      <c r="S1432" s="24">
        <f>VLOOKUP($R1432,ラベル別係数!$A$1:$E$7,3,FALSE)</f>
        <v>5</v>
      </c>
      <c r="T1432" s="24">
        <f>VLOOKUP($R1432,ラベル別係数!$A$1:$E$7,4,FALSE)</f>
        <v>1.3</v>
      </c>
      <c r="U1432" s="24">
        <f>VLOOKUP($R1432,ラベル別係数!$A$1:$E$7,5,FALSE)</f>
        <v>0.8</v>
      </c>
      <c r="V1432" s="27">
        <v>3</v>
      </c>
      <c r="W1432" s="28">
        <f>VLOOKUP(V1432,ターン数別攻撃係数!$A$1:$B$1000,2,FALSE)</f>
        <v>1</v>
      </c>
      <c r="X1432" s="9">
        <f>VLOOKUP(C1432,サイズ別係数!A$2:B$9,2,FALSE)</f>
        <v>60</v>
      </c>
      <c r="Y1432" s="26">
        <f>VLOOKUP($X1432,サイズ別係数!$B:$E,2,FALSE)</f>
        <v>1.7</v>
      </c>
      <c r="Z1432" s="26">
        <f>VLOOKUP($X1432,サイズ別係数!$B:$E,3,FALSE)</f>
        <v>1.4</v>
      </c>
      <c r="AA1432" s="26">
        <f>VLOOKUP($X1432,サイズ別係数!$B:$E,4,FALSE)</f>
        <v>1</v>
      </c>
      <c r="AB1432" s="5">
        <v>0</v>
      </c>
      <c r="AC1432" s="34" t="str">
        <f ca="1">VLOOKUP($AB1432,OFFSET([3]enemy_skill_sets!$B$2,0,0,COUNTA([3]enemy_skill_sets!$A:$A),MATCH(AC$1,[3]enemy_skill_sets!$1:$1,0)-MATCH($AB$1,[3]enemy_skill_sets!$1:$1,0)+1),MATCH(AC$1,[3]enemy_skill_sets!$1:$1,0)-MATCH($AB$1,[3]enemy_skill_sets!$1:$1,0)+1,FALSE)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2" s="67">
        <v>1</v>
      </c>
      <c r="AE1432" s="67">
        <v>1</v>
      </c>
      <c r="AF1432" s="37">
        <v>0</v>
      </c>
      <c r="AG1432" s="99">
        <f>ROUND(VLOOKUP(1,enemy_base_stats!$A:$F,2,FALSE) * Y1432* J1432*O1432*E1432*S1432*AD1432*[2]ステータス!$B$2,0)</f>
        <v>3260</v>
      </c>
      <c r="AH1432" s="99">
        <f>ROUND(VLOOKUP(1,enemy_base_stats!$A:$F,3,FALSE) * Z1432*K1432*P1432*F1432*T1432*AE1432 * W1432*[2]ステータス!$C$2,0)</f>
        <v>207</v>
      </c>
      <c r="AI1432" s="99">
        <f>ROUND(VLOOKUP(1,enemy_base_stats!$A:$F,4,FALSE) * AA1432*L1432*Q1432*G1432*U1432*AF1432*[2]ステータス!$D$2,0)</f>
        <v>0</v>
      </c>
      <c r="AJ1432" s="99">
        <f>ROUND(VLOOKUP(100,enemy_base_stats!$A:$F,2,FALSE) * Y1432* J1432*O1432*E1432*S1432*AD1432*[2]ステータス!$B$2,0)</f>
        <v>132353</v>
      </c>
      <c r="AK1432" s="99">
        <f>ROUND(VLOOKUP(100,enemy_base_stats!$A:$F,3,FALSE)* Z1432* K1432*P1432*F1432*T1432*AE1432 * W1432*[2]ステータス!$C$2,0)</f>
        <v>8388</v>
      </c>
      <c r="AL1432" s="99">
        <f>ROUND(VLOOKUP(100,enemy_base_stats!$A:$F,4,FALSE)* AA1432* L1432*Q1432*G1432*U1432*AF1432*[2]ステータス!$D$2,0)</f>
        <v>0</v>
      </c>
      <c r="AM1432" s="97">
        <f>VLOOKUP(M1432,[2]character_tribe_i18n!$A:$I,9,FALSE)</f>
        <v>400</v>
      </c>
      <c r="AN1432" s="36">
        <v>0</v>
      </c>
      <c r="AO1432" s="53">
        <v>0</v>
      </c>
      <c r="AP1432" s="58" t="s">
        <v>72</v>
      </c>
      <c r="AQ1432" s="71">
        <f t="shared" si="85"/>
        <v>1588</v>
      </c>
    </row>
    <row r="1433" spans="1:43" ht="21" customHeight="1" x14ac:dyDescent="0.15">
      <c r="A1433" s="107">
        <v>1697</v>
      </c>
      <c r="B1433" s="6" t="str">
        <f>VLOOKUP(A1433,[2]characters!$A:$C,3,FALSE)</f>
        <v>駆動する機会 ガーネット</v>
      </c>
      <c r="C1433" s="9">
        <f>VLOOKUP(A1433,[2]characters!$A:$I,9,FALSE)</f>
        <v>6</v>
      </c>
      <c r="D1433" s="9" t="str">
        <f>VLOOKUP(A1433,[2]characters!$A:$H,8,FALSE)</f>
        <v>red</v>
      </c>
      <c r="E1433" s="24">
        <f>VLOOKUP(D1433,[2]属性!$A:$E,2,FALSE)</f>
        <v>1</v>
      </c>
      <c r="F1433" s="24">
        <f>VLOOKUP(D1433,[2]属性!$A:$E,3,FALSE)</f>
        <v>1.02</v>
      </c>
      <c r="G1433" s="24">
        <f>VLOOKUP(D1433,[2]属性!$A:$F,4,FALSE)</f>
        <v>1</v>
      </c>
      <c r="H1433" s="9" t="str">
        <f>VLOOKUP(A1433,[2]characters!$A:$K,11,FALSE)</f>
        <v>hp</v>
      </c>
      <c r="I1433" s="14" t="str">
        <f>VLOOKUP(H1433,[2]character_type_i18n!$A:$F,3,FALSE)</f>
        <v>体力タイプ</v>
      </c>
      <c r="J1433" s="36">
        <f>VLOOKUP(H1433,[2]character_type_i18n!$A:$F,4,FALSE)</f>
        <v>1.45</v>
      </c>
      <c r="K1433" s="36">
        <f>VLOOKUP(H1433,[2]character_type_i18n!$A:$F,5,FALSE)</f>
        <v>0.85</v>
      </c>
      <c r="L1433" s="36">
        <f>VLOOKUP(H1433,[2]character_type_i18n!$A:$F,6,FALSE)</f>
        <v>1</v>
      </c>
      <c r="M1433" s="9" t="str">
        <f>VLOOKUP(A1433,[2]characters!$A:$M,13,FALSE)</f>
        <v>human</v>
      </c>
      <c r="N1433" s="14" t="str">
        <f>VLOOKUP(M1433,[2]character_tribe_i18n!$A:$F,3,FALSE)</f>
        <v>ヒューマン</v>
      </c>
      <c r="O1433" s="24">
        <f>VLOOKUP(M1433,[2]character_tribe_i18n!$A:$F,4,FALSE)</f>
        <v>0.94</v>
      </c>
      <c r="P1433" s="24">
        <f>VLOOKUP(M1433,[2]character_tribe_i18n!$A:$F,5,FALSE)</f>
        <v>0.99</v>
      </c>
      <c r="Q1433" s="24">
        <f>VLOOKUP(M1433,[2]character_tribe_i18n!$A:$F,6,FALSE)</f>
        <v>1</v>
      </c>
      <c r="R1433" s="25" t="s">
        <v>98</v>
      </c>
      <c r="S1433" s="24">
        <f>VLOOKUP($R1433,ラベル別係数!$A$1:$E$7,3,FALSE)</f>
        <v>5</v>
      </c>
      <c r="T1433" s="24">
        <f>VLOOKUP($R1433,ラベル別係数!$A$1:$E$7,4,FALSE)</f>
        <v>1.3</v>
      </c>
      <c r="U1433" s="24">
        <f>VLOOKUP($R1433,ラベル別係数!$A$1:$E$7,5,FALSE)</f>
        <v>0.8</v>
      </c>
      <c r="V1433" s="27">
        <v>3</v>
      </c>
      <c r="W1433" s="28">
        <f>VLOOKUP(V1433,ターン数別攻撃係数!$A$1:$B$1000,2,FALSE)</f>
        <v>1</v>
      </c>
      <c r="X1433" s="9">
        <f>VLOOKUP(C1433,サイズ別係数!A$2:B$9,2,FALSE)</f>
        <v>60</v>
      </c>
      <c r="Y1433" s="26">
        <f>VLOOKUP($X1433,サイズ別係数!$B:$E,2,FALSE)</f>
        <v>1.7</v>
      </c>
      <c r="Z1433" s="26">
        <f>VLOOKUP($X1433,サイズ別係数!$B:$E,3,FALSE)</f>
        <v>1.4</v>
      </c>
      <c r="AA1433" s="26">
        <f>VLOOKUP($X1433,サイズ別係数!$B:$E,4,FALSE)</f>
        <v>1</v>
      </c>
      <c r="AB1433" s="5">
        <v>0</v>
      </c>
      <c r="AC1433" s="34" t="str">
        <f ca="1">VLOOKUP($AB1433,OFFSET([3]enemy_skill_sets!$B$2,0,0,COUNTA([3]enemy_skill_sets!$A:$A),MATCH(AC$1,[3]enemy_skill_sets!$1:$1,0)-MATCH($AB$1,[3]enemy_skill_sets!$1:$1,0)+1),MATCH(AC$1,[3]enemy_skill_sets!$1:$1,0)-MATCH($AB$1,[3]enemy_skill_sets!$1:$1,0)+1,FALSE)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3" s="67">
        <v>1</v>
      </c>
      <c r="AE1433" s="67">
        <v>1</v>
      </c>
      <c r="AF1433" s="37">
        <v>0</v>
      </c>
      <c r="AG1433" s="41">
        <v>3995</v>
      </c>
      <c r="AH1433" s="41">
        <v>367</v>
      </c>
      <c r="AI1433" s="41">
        <f>ROUND(VLOOKUP(1,enemy_base_stats!$A:$F,4,FALSE) * AA1433*L1433*Q1433*G1433*U1433*AF1433*[2]ステータス!$D$2,0)</f>
        <v>0</v>
      </c>
      <c r="AJ1433" s="41">
        <v>162197</v>
      </c>
      <c r="AK1433" s="41">
        <v>14886</v>
      </c>
      <c r="AL1433" s="41">
        <f>ROUND(VLOOKUP(100,enemy_base_stats!$A:$F,4,FALSE)* AA1433* L1433*Q1433*G1433*U1433*AF1433*[2]ステータス!$D$2,0)</f>
        <v>0</v>
      </c>
      <c r="AM1433" s="97">
        <f>VLOOKUP(M1433,[2]character_tribe_i18n!$A:$I,9,FALSE)</f>
        <v>400</v>
      </c>
      <c r="AN1433" s="36">
        <v>0</v>
      </c>
      <c r="AO1433" s="53">
        <v>0</v>
      </c>
      <c r="AP1433" s="58" t="s">
        <v>72</v>
      </c>
      <c r="AQ1433" s="71">
        <f t="shared" si="85"/>
        <v>1697</v>
      </c>
    </row>
    <row r="1434" spans="1:43" ht="21" customHeight="1" x14ac:dyDescent="0.15">
      <c r="A1434" s="107">
        <v>1698</v>
      </c>
      <c r="B1434" s="6" t="str">
        <f>VLOOKUP(A1434,[2]characters!$A:$C,3,FALSE)</f>
        <v>炎断の華嫁 ガーネット</v>
      </c>
      <c r="C1434" s="9">
        <f>VLOOKUP(A1434,[2]characters!$A:$I,9,FALSE)</f>
        <v>6</v>
      </c>
      <c r="D1434" s="9" t="str">
        <f>VLOOKUP(A1434,[2]characters!$A:$H,8,FALSE)</f>
        <v>red</v>
      </c>
      <c r="E1434" s="24">
        <f>VLOOKUP(D1434,[2]属性!$A:$E,2,FALSE)</f>
        <v>1</v>
      </c>
      <c r="F1434" s="24">
        <f>VLOOKUP(D1434,[2]属性!$A:$E,3,FALSE)</f>
        <v>1.02</v>
      </c>
      <c r="G1434" s="24">
        <f>VLOOKUP(D1434,[2]属性!$A:$F,4,FALSE)</f>
        <v>1</v>
      </c>
      <c r="H1434" s="9" t="str">
        <f>VLOOKUP(A1434,[2]characters!$A:$K,11,FALSE)</f>
        <v>hp</v>
      </c>
      <c r="I1434" s="14" t="str">
        <f>VLOOKUP(H1434,[2]character_type_i18n!$A:$F,3,FALSE)</f>
        <v>体力タイプ</v>
      </c>
      <c r="J1434" s="36">
        <f>VLOOKUP(H1434,[2]character_type_i18n!$A:$F,4,FALSE)</f>
        <v>1.45</v>
      </c>
      <c r="K1434" s="36">
        <f>VLOOKUP(H1434,[2]character_type_i18n!$A:$F,5,FALSE)</f>
        <v>0.85</v>
      </c>
      <c r="L1434" s="36">
        <f>VLOOKUP(H1434,[2]character_type_i18n!$A:$F,6,FALSE)</f>
        <v>1</v>
      </c>
      <c r="M1434" s="9" t="str">
        <f>VLOOKUP(A1434,[2]characters!$A:$M,13,FALSE)</f>
        <v>human</v>
      </c>
      <c r="N1434" s="14" t="str">
        <f>VLOOKUP(M1434,[2]character_tribe_i18n!$A:$F,3,FALSE)</f>
        <v>ヒューマン</v>
      </c>
      <c r="O1434" s="24">
        <f>VLOOKUP(M1434,[2]character_tribe_i18n!$A:$F,4,FALSE)</f>
        <v>0.94</v>
      </c>
      <c r="P1434" s="24">
        <f>VLOOKUP(M1434,[2]character_tribe_i18n!$A:$F,5,FALSE)</f>
        <v>0.99</v>
      </c>
      <c r="Q1434" s="24">
        <f>VLOOKUP(M1434,[2]character_tribe_i18n!$A:$F,6,FALSE)</f>
        <v>1</v>
      </c>
      <c r="R1434" s="25" t="s">
        <v>98</v>
      </c>
      <c r="S1434" s="24">
        <f>VLOOKUP($R1434,ラベル別係数!$A$1:$E$7,3,FALSE)</f>
        <v>5</v>
      </c>
      <c r="T1434" s="24">
        <f>VLOOKUP($R1434,ラベル別係数!$A$1:$E$7,4,FALSE)</f>
        <v>1.3</v>
      </c>
      <c r="U1434" s="24">
        <f>VLOOKUP($R1434,ラベル別係数!$A$1:$E$7,5,FALSE)</f>
        <v>0.8</v>
      </c>
      <c r="V1434" s="27">
        <v>3</v>
      </c>
      <c r="W1434" s="28">
        <f>VLOOKUP(V1434,ターン数別攻撃係数!$A$1:$B$1000,2,FALSE)</f>
        <v>1</v>
      </c>
      <c r="X1434" s="9">
        <f>VLOOKUP(C1434,サイズ別係数!A$2:B$9,2,FALSE)</f>
        <v>60</v>
      </c>
      <c r="Y1434" s="26">
        <f>VLOOKUP($X1434,サイズ別係数!$B:$E,2,FALSE)</f>
        <v>1.7</v>
      </c>
      <c r="Z1434" s="26">
        <f>VLOOKUP($X1434,サイズ別係数!$B:$E,3,FALSE)</f>
        <v>1.4</v>
      </c>
      <c r="AA1434" s="26">
        <f>VLOOKUP($X1434,サイズ別係数!$B:$E,4,FALSE)</f>
        <v>1</v>
      </c>
      <c r="AB1434" s="5">
        <v>0</v>
      </c>
      <c r="AC1434" s="34" t="str">
        <f ca="1">VLOOKUP($AB1434,OFFSET([3]enemy_skill_sets!$B$2,0,0,COUNTA([3]enemy_skill_sets!$A:$A),MATCH(AC$1,[3]enemy_skill_sets!$1:$1,0)-MATCH($AB$1,[3]enemy_skill_sets!$1:$1,0)+1),MATCH(AC$1,[3]enemy_skill_sets!$1:$1,0)-MATCH($AB$1,[3]enemy_skill_sets!$1:$1,0)+1,FALSE)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4" s="67">
        <v>1</v>
      </c>
      <c r="AE1434" s="67">
        <v>1</v>
      </c>
      <c r="AF1434" s="37">
        <v>0</v>
      </c>
      <c r="AG1434" s="41">
        <v>3995</v>
      </c>
      <c r="AH1434" s="41">
        <v>367</v>
      </c>
      <c r="AI1434" s="41">
        <f>ROUND(VLOOKUP(1,enemy_base_stats!$A:$F,4,FALSE) * AA1434*L1434*Q1434*G1434*U1434*AF1434*[2]ステータス!$D$2,0)</f>
        <v>0</v>
      </c>
      <c r="AJ1434" s="41">
        <v>162197</v>
      </c>
      <c r="AK1434" s="41">
        <v>14886</v>
      </c>
      <c r="AL1434" s="41">
        <f>ROUND(VLOOKUP(100,enemy_base_stats!$A:$F,4,FALSE)* AA1434* L1434*Q1434*G1434*U1434*AF1434*[2]ステータス!$D$2,0)</f>
        <v>0</v>
      </c>
      <c r="AM1434" s="97">
        <f>VLOOKUP(M1434,[2]character_tribe_i18n!$A:$I,9,FALSE)</f>
        <v>400</v>
      </c>
      <c r="AN1434" s="36">
        <v>0</v>
      </c>
      <c r="AO1434" s="53">
        <v>0</v>
      </c>
      <c r="AP1434" s="58" t="s">
        <v>72</v>
      </c>
      <c r="AQ1434" s="71">
        <f t="shared" si="85"/>
        <v>1698</v>
      </c>
    </row>
    <row r="1435" spans="1:43" ht="21" customHeight="1" x14ac:dyDescent="0.15">
      <c r="A1435" s="107">
        <v>1699</v>
      </c>
      <c r="B1435" s="6" t="str">
        <f>VLOOKUP(A1435,[2]characters!$A:$C,3,FALSE)</f>
        <v>崇高祝言 アマテラス</v>
      </c>
      <c r="C1435" s="9">
        <f>VLOOKUP(A1435,[2]characters!$A:$I,9,FALSE)</f>
        <v>6</v>
      </c>
      <c r="D1435" s="9" t="str">
        <f>VLOOKUP(A1435,[2]characters!$A:$H,8,FALSE)</f>
        <v>green</v>
      </c>
      <c r="E1435" s="24">
        <f>VLOOKUP(D1435,[2]属性!$A:$E,2,FALSE)</f>
        <v>1.02</v>
      </c>
      <c r="F1435" s="24">
        <f>VLOOKUP(D1435,[2]属性!$A:$E,3,FALSE)</f>
        <v>0.98</v>
      </c>
      <c r="G1435" s="24">
        <f>VLOOKUP(D1435,[2]属性!$A:$F,4,FALSE)</f>
        <v>1</v>
      </c>
      <c r="H1435" s="9" t="str">
        <f>VLOOKUP(A1435,[2]characters!$A:$K,11,FALSE)</f>
        <v>technical</v>
      </c>
      <c r="I1435" s="14" t="str">
        <f>VLOOKUP(H1435,[2]character_type_i18n!$A:$F,3,FALSE)</f>
        <v>テクニカルタイプ</v>
      </c>
      <c r="J1435" s="36">
        <f>VLOOKUP(H1435,[2]character_type_i18n!$A:$F,4,FALSE)</f>
        <v>0.9</v>
      </c>
      <c r="K1435" s="36">
        <f>VLOOKUP(H1435,[2]character_type_i18n!$A:$F,5,FALSE)</f>
        <v>0.9</v>
      </c>
      <c r="L1435" s="36">
        <f>VLOOKUP(H1435,[2]character_type_i18n!$A:$F,6,FALSE)</f>
        <v>1</v>
      </c>
      <c r="M1435" s="9" t="str">
        <f>VLOOKUP(A1435,[2]characters!$A:$M,13,FALSE)</f>
        <v>god</v>
      </c>
      <c r="N1435" s="14" t="str">
        <f>VLOOKUP(M1435,[2]character_tribe_i18n!$A:$F,3,FALSE)</f>
        <v>ゴッド</v>
      </c>
      <c r="O1435" s="24">
        <f>VLOOKUP(M1435,[2]character_tribe_i18n!$A:$F,4,FALSE)</f>
        <v>0.96</v>
      </c>
      <c r="P1435" s="24">
        <f>VLOOKUP(M1435,[2]character_tribe_i18n!$A:$F,5,FALSE)</f>
        <v>1.02</v>
      </c>
      <c r="Q1435" s="24">
        <f>VLOOKUP(M1435,[2]character_tribe_i18n!$A:$F,6,FALSE)</f>
        <v>1</v>
      </c>
      <c r="R1435" s="25" t="s">
        <v>98</v>
      </c>
      <c r="S1435" s="24">
        <f>VLOOKUP($R1435,ラベル別係数!$A$1:$E$7,3,FALSE)</f>
        <v>5</v>
      </c>
      <c r="T1435" s="24">
        <f>VLOOKUP($R1435,ラベル別係数!$A$1:$E$7,4,FALSE)</f>
        <v>1.3</v>
      </c>
      <c r="U1435" s="24">
        <f>VLOOKUP($R1435,ラベル別係数!$A$1:$E$7,5,FALSE)</f>
        <v>0.8</v>
      </c>
      <c r="V1435" s="27">
        <v>3</v>
      </c>
      <c r="W1435" s="28">
        <f>VLOOKUP(V1435,ターン数別攻撃係数!$A$1:$B$1000,2,FALSE)</f>
        <v>1</v>
      </c>
      <c r="X1435" s="9">
        <f>VLOOKUP(C1435,サイズ別係数!A$2:B$9,2,FALSE)</f>
        <v>60</v>
      </c>
      <c r="Y1435" s="26">
        <f>VLOOKUP($X1435,サイズ別係数!$B:$E,2,FALSE)</f>
        <v>1.7</v>
      </c>
      <c r="Z1435" s="26">
        <f>VLOOKUP($X1435,サイズ別係数!$B:$E,3,FALSE)</f>
        <v>1.4</v>
      </c>
      <c r="AA1435" s="26">
        <f>VLOOKUP($X1435,サイズ別係数!$B:$E,4,FALSE)</f>
        <v>1</v>
      </c>
      <c r="AB1435" s="5">
        <v>0</v>
      </c>
      <c r="AC1435" s="34" t="str">
        <f ca="1">VLOOKUP($AB1435,OFFSET([3]enemy_skill_sets!$B$2,0,0,COUNTA([3]enemy_skill_sets!$A:$A),MATCH(AC$1,[3]enemy_skill_sets!$1:$1,0)-MATCH($AB$1,[3]enemy_skill_sets!$1:$1,0)+1),MATCH(AC$1,[3]enemy_skill_sets!$1:$1,0)-MATCH($AB$1,[3]enemy_skill_sets!$1:$1,0)+1,FALSE)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5" s="67">
        <v>1</v>
      </c>
      <c r="AE1435" s="67">
        <v>1</v>
      </c>
      <c r="AF1435" s="37">
        <v>0</v>
      </c>
      <c r="AG1435" s="41">
        <v>4075</v>
      </c>
      <c r="AH1435" s="41">
        <v>352</v>
      </c>
      <c r="AI1435" s="41">
        <v>0</v>
      </c>
      <c r="AJ1435" s="41">
        <v>165441</v>
      </c>
      <c r="AK1435" s="41">
        <v>14302</v>
      </c>
      <c r="AL1435" s="41">
        <v>0</v>
      </c>
      <c r="AM1435" s="97">
        <f>VLOOKUP(M1435,[2]character_tribe_i18n!$A:$I,9,FALSE)</f>
        <v>680</v>
      </c>
      <c r="AN1435" s="36">
        <v>0</v>
      </c>
      <c r="AO1435" s="53">
        <v>0</v>
      </c>
      <c r="AP1435" s="58" t="s">
        <v>72</v>
      </c>
      <c r="AQ1435" s="71">
        <f t="shared" si="85"/>
        <v>1699</v>
      </c>
    </row>
    <row r="1436" spans="1:43" ht="21" customHeight="1" x14ac:dyDescent="0.15">
      <c r="A1436" s="107">
        <v>1700</v>
      </c>
      <c r="B1436" s="6" t="str">
        <f>VLOOKUP(A1436,[2]characters!$A:$C,3,FALSE)</f>
        <v>大慶総氏神 アマテラス</v>
      </c>
      <c r="C1436" s="9">
        <f>VLOOKUP(A1436,[2]characters!$A:$I,9,FALSE)</f>
        <v>6</v>
      </c>
      <c r="D1436" s="9" t="str">
        <f>VLOOKUP(A1436,[2]characters!$A:$H,8,FALSE)</f>
        <v>green</v>
      </c>
      <c r="E1436" s="24">
        <f>VLOOKUP(D1436,[2]属性!$A:$E,2,FALSE)</f>
        <v>1.02</v>
      </c>
      <c r="F1436" s="24">
        <f>VLOOKUP(D1436,[2]属性!$A:$E,3,FALSE)</f>
        <v>0.98</v>
      </c>
      <c r="G1436" s="24">
        <f>VLOOKUP(D1436,[2]属性!$A:$F,4,FALSE)</f>
        <v>1</v>
      </c>
      <c r="H1436" s="9" t="str">
        <f>VLOOKUP(A1436,[2]characters!$A:$K,11,FALSE)</f>
        <v>technical</v>
      </c>
      <c r="I1436" s="14" t="str">
        <f>VLOOKUP(H1436,[2]character_type_i18n!$A:$F,3,FALSE)</f>
        <v>テクニカルタイプ</v>
      </c>
      <c r="J1436" s="36">
        <f>VLOOKUP(H1436,[2]character_type_i18n!$A:$F,4,FALSE)</f>
        <v>0.9</v>
      </c>
      <c r="K1436" s="36">
        <f>VLOOKUP(H1436,[2]character_type_i18n!$A:$F,5,FALSE)</f>
        <v>0.9</v>
      </c>
      <c r="L1436" s="36">
        <f>VLOOKUP(H1436,[2]character_type_i18n!$A:$F,6,FALSE)</f>
        <v>1</v>
      </c>
      <c r="M1436" s="9" t="str">
        <f>VLOOKUP(A1436,[2]characters!$A:$M,13,FALSE)</f>
        <v>god</v>
      </c>
      <c r="N1436" s="14" t="str">
        <f>VLOOKUP(M1436,[2]character_tribe_i18n!$A:$F,3,FALSE)</f>
        <v>ゴッド</v>
      </c>
      <c r="O1436" s="24">
        <f>VLOOKUP(M1436,[2]character_tribe_i18n!$A:$F,4,FALSE)</f>
        <v>0.96</v>
      </c>
      <c r="P1436" s="24">
        <f>VLOOKUP(M1436,[2]character_tribe_i18n!$A:$F,5,FALSE)</f>
        <v>1.02</v>
      </c>
      <c r="Q1436" s="24">
        <f>VLOOKUP(M1436,[2]character_tribe_i18n!$A:$F,6,FALSE)</f>
        <v>1</v>
      </c>
      <c r="R1436" s="25" t="s">
        <v>98</v>
      </c>
      <c r="S1436" s="24">
        <f>VLOOKUP($R1436,ラベル別係数!$A$1:$E$7,3,FALSE)</f>
        <v>5</v>
      </c>
      <c r="T1436" s="24">
        <f>VLOOKUP($R1436,ラベル別係数!$A$1:$E$7,4,FALSE)</f>
        <v>1.3</v>
      </c>
      <c r="U1436" s="24">
        <f>VLOOKUP($R1436,ラベル別係数!$A$1:$E$7,5,FALSE)</f>
        <v>0.8</v>
      </c>
      <c r="V1436" s="27">
        <v>3</v>
      </c>
      <c r="W1436" s="28">
        <f>VLOOKUP(V1436,ターン数別攻撃係数!$A$1:$B$1000,2,FALSE)</f>
        <v>1</v>
      </c>
      <c r="X1436" s="9">
        <f>VLOOKUP(C1436,サイズ別係数!A$2:B$9,2,FALSE)</f>
        <v>60</v>
      </c>
      <c r="Y1436" s="26">
        <f>VLOOKUP($X1436,サイズ別係数!$B:$E,2,FALSE)</f>
        <v>1.7</v>
      </c>
      <c r="Z1436" s="26">
        <f>VLOOKUP($X1436,サイズ別係数!$B:$E,3,FALSE)</f>
        <v>1.4</v>
      </c>
      <c r="AA1436" s="26">
        <f>VLOOKUP($X1436,サイズ別係数!$B:$E,4,FALSE)</f>
        <v>1</v>
      </c>
      <c r="AB1436" s="5">
        <v>0</v>
      </c>
      <c r="AC1436" s="34" t="str">
        <f ca="1">VLOOKUP($AB1436,OFFSET([3]enemy_skill_sets!$B$2,0,0,COUNTA([3]enemy_skill_sets!$A:$A),MATCH(AC$1,[3]enemy_skill_sets!$1:$1,0)-MATCH($AB$1,[3]enemy_skill_sets!$1:$1,0)+1),MATCH(AC$1,[3]enemy_skill_sets!$1:$1,0)-MATCH($AB$1,[3]enemy_skill_sets!$1:$1,0)+1,FALSE)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6" s="67">
        <v>1</v>
      </c>
      <c r="AE1436" s="67">
        <v>1</v>
      </c>
      <c r="AF1436" s="37">
        <v>0</v>
      </c>
      <c r="AG1436" s="99">
        <f>ROUND(VLOOKUP(1,enemy_base_stats!$A:$F,2,FALSE) * Y1436* J1436*O1436*E1436*S1436*AD1436*[2]ステータス!$B$2,0)</f>
        <v>3745</v>
      </c>
      <c r="AH1436" s="99">
        <f>ROUND(VLOOKUP(1,enemy_base_stats!$A:$F,3,FALSE) * Z1436*K1436*P1436*F1436*T1436*AE1436 * W1436*[2]ステータス!$C$2,0)</f>
        <v>246</v>
      </c>
      <c r="AI1436" s="99">
        <f>ROUND(VLOOKUP(1,enemy_base_stats!$A:$F,4,FALSE) * AA1436*L1436*Q1436*G1436*U1436*AF1436*[2]ステータス!$D$2,0)</f>
        <v>0</v>
      </c>
      <c r="AJ1436" s="99">
        <f>ROUND(VLOOKUP(100,enemy_base_stats!$A:$F,2,FALSE) * Y1436* J1436*O1436*E1436*S1436*AD1436*[2]ステータス!$B$2,0)</f>
        <v>152065</v>
      </c>
      <c r="AK1436" s="99">
        <f>ROUND(VLOOKUP(100,enemy_base_stats!$A:$F,3,FALSE)* Z1436* K1436*P1436*F1436*T1436*AE1436 * W1436*[2]ステータス!$C$2,0)</f>
        <v>9971</v>
      </c>
      <c r="AL1436" s="99">
        <f>ROUND(VLOOKUP(100,enemy_base_stats!$A:$F,4,FALSE)* AA1436* L1436*Q1436*G1436*U1436*AF1436*[2]ステータス!$D$2,0)</f>
        <v>0</v>
      </c>
      <c r="AM1436" s="97">
        <f>VLOOKUP(M1436,[2]character_tribe_i18n!$A:$I,9,FALSE)</f>
        <v>680</v>
      </c>
      <c r="AN1436" s="36">
        <v>0</v>
      </c>
      <c r="AO1436" s="53">
        <v>0</v>
      </c>
      <c r="AP1436" s="58" t="s">
        <v>72</v>
      </c>
      <c r="AQ1436" s="71">
        <f t="shared" si="85"/>
        <v>1700</v>
      </c>
    </row>
    <row r="1437" spans="1:43" ht="21" customHeight="1" x14ac:dyDescent="0.15">
      <c r="A1437" s="107">
        <v>1701</v>
      </c>
      <c r="B1437" s="6" t="str">
        <f>VLOOKUP(A1437,[2]characters!$A:$C,3,FALSE)</f>
        <v>蒼嵐の婚戦 フォルトゥナ</v>
      </c>
      <c r="C1437" s="9">
        <f>VLOOKUP(A1437,[2]characters!$A:$I,9,FALSE)</f>
        <v>6</v>
      </c>
      <c r="D1437" s="9" t="str">
        <f>VLOOKUP(A1437,[2]characters!$A:$H,8,FALSE)</f>
        <v>blue</v>
      </c>
      <c r="E1437" s="24">
        <f>VLOOKUP(D1437,[2]属性!$A:$E,2,FALSE)</f>
        <v>1</v>
      </c>
      <c r="F1437" s="24">
        <f>VLOOKUP(D1437,[2]属性!$A:$E,3,FALSE)</f>
        <v>0.98</v>
      </c>
      <c r="G1437" s="24">
        <f>VLOOKUP(D1437,[2]属性!$A:$F,4,FALSE)</f>
        <v>1</v>
      </c>
      <c r="H1437" s="9" t="str">
        <f>VLOOKUP(A1437,[2]characters!$A:$K,11,FALSE)</f>
        <v>attack</v>
      </c>
      <c r="I1437" s="14" t="str">
        <f>VLOOKUP(H1437,[2]character_type_i18n!$A:$F,3,FALSE)</f>
        <v>攻撃タイプ</v>
      </c>
      <c r="J1437" s="36">
        <f>VLOOKUP(H1437,[2]character_type_i18n!$A:$F,4,FALSE)</f>
        <v>1</v>
      </c>
      <c r="K1437" s="36">
        <f>VLOOKUP(H1437,[2]character_type_i18n!$A:$F,5,FALSE)</f>
        <v>1.33</v>
      </c>
      <c r="L1437" s="36">
        <f>VLOOKUP(H1437,[2]character_type_i18n!$A:$F,6,FALSE)</f>
        <v>1</v>
      </c>
      <c r="M1437" s="9" t="str">
        <f>VLOOKUP(A1437,[2]characters!$A:$M,13,FALSE)</f>
        <v>human</v>
      </c>
      <c r="N1437" s="14" t="str">
        <f>VLOOKUP(M1437,[2]character_tribe_i18n!$A:$F,3,FALSE)</f>
        <v>ヒューマン</v>
      </c>
      <c r="O1437" s="24">
        <f>VLOOKUP(M1437,[2]character_tribe_i18n!$A:$F,4,FALSE)</f>
        <v>0.94</v>
      </c>
      <c r="P1437" s="24">
        <f>VLOOKUP(M1437,[2]character_tribe_i18n!$A:$F,5,FALSE)</f>
        <v>0.99</v>
      </c>
      <c r="Q1437" s="24">
        <f>VLOOKUP(M1437,[2]character_tribe_i18n!$A:$F,6,FALSE)</f>
        <v>1</v>
      </c>
      <c r="R1437" s="25" t="s">
        <v>98</v>
      </c>
      <c r="S1437" s="24">
        <f>VLOOKUP($R1437,ラベル別係数!$A$1:$E$7,3,FALSE)</f>
        <v>5</v>
      </c>
      <c r="T1437" s="24">
        <f>VLOOKUP($R1437,ラベル別係数!$A$1:$E$7,4,FALSE)</f>
        <v>1.3</v>
      </c>
      <c r="U1437" s="24">
        <f>VLOOKUP($R1437,ラベル別係数!$A$1:$E$7,5,FALSE)</f>
        <v>0.8</v>
      </c>
      <c r="V1437" s="27">
        <v>3</v>
      </c>
      <c r="W1437" s="28">
        <f>VLOOKUP(V1437,ターン数別攻撃係数!$A$1:$B$1000,2,FALSE)</f>
        <v>1</v>
      </c>
      <c r="X1437" s="9">
        <f>VLOOKUP(C1437,サイズ別係数!A$2:B$9,2,FALSE)</f>
        <v>60</v>
      </c>
      <c r="Y1437" s="26">
        <f>VLOOKUP($X1437,サイズ別係数!$B:$E,2,FALSE)</f>
        <v>1.7</v>
      </c>
      <c r="Z1437" s="26">
        <f>VLOOKUP($X1437,サイズ別係数!$B:$E,3,FALSE)</f>
        <v>1.4</v>
      </c>
      <c r="AA1437" s="26">
        <f>VLOOKUP($X1437,サイズ別係数!$B:$E,4,FALSE)</f>
        <v>1</v>
      </c>
      <c r="AB1437" s="5">
        <v>0</v>
      </c>
      <c r="AC1437" s="34" t="str">
        <f ca="1">VLOOKUP($AB1437,OFFSET([3]enemy_skill_sets!$B$2,0,0,COUNTA([3]enemy_skill_sets!$A:$A),MATCH(AC$1,[3]enemy_skill_sets!$1:$1,0)-MATCH($AB$1,[3]enemy_skill_sets!$1:$1,0)+1),MATCH(AC$1,[3]enemy_skill_sets!$1:$1,0)-MATCH($AB$1,[3]enemy_skill_sets!$1:$1,0)+1,FALSE)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7" s="67">
        <v>1</v>
      </c>
      <c r="AE1437" s="67">
        <v>1</v>
      </c>
      <c r="AF1437" s="37">
        <v>0</v>
      </c>
      <c r="AG1437" s="41">
        <v>3596</v>
      </c>
      <c r="AH1437" s="41">
        <v>238</v>
      </c>
      <c r="AI1437" s="41">
        <f>ROUND(VLOOKUP(1,enemy_base_stats!$A:$F,4,FALSE) * AA1437*L1437*Q1437*G1437*U1437*AF1437*[2]ステータス!$D$2,0)</f>
        <v>0</v>
      </c>
      <c r="AJ1437" s="41">
        <v>145977</v>
      </c>
      <c r="AK1437" s="41">
        <v>9678</v>
      </c>
      <c r="AL1437" s="41">
        <f>ROUND(VLOOKUP(100,enemy_base_stats!$A:$F,4,FALSE)* AA1437* L1437*Q1437*G1437*U1437*AF1437*[2]ステータス!$D$2,0)</f>
        <v>0</v>
      </c>
      <c r="AM1437" s="97">
        <f>VLOOKUP(M1437,[2]character_tribe_i18n!$A:$I,9,FALSE)</f>
        <v>400</v>
      </c>
      <c r="AN1437" s="36">
        <v>0</v>
      </c>
      <c r="AO1437" s="53">
        <v>0</v>
      </c>
      <c r="AP1437" s="58" t="s">
        <v>72</v>
      </c>
      <c r="AQ1437" s="71">
        <f t="shared" si="85"/>
        <v>1701</v>
      </c>
    </row>
    <row r="1438" spans="1:43" ht="21" customHeight="1" x14ac:dyDescent="0.15">
      <c r="A1438" s="107">
        <v>1702</v>
      </c>
      <c r="B1438" s="6" t="str">
        <f>VLOOKUP(A1438,[2]characters!$A:$C,3,FALSE)</f>
        <v>求愛の夢想剣 フォルトゥナ</v>
      </c>
      <c r="C1438" s="9">
        <f>VLOOKUP(A1438,[2]characters!$A:$I,9,FALSE)</f>
        <v>6</v>
      </c>
      <c r="D1438" s="9" t="str">
        <f>VLOOKUP(A1438,[2]characters!$A:$H,8,FALSE)</f>
        <v>blue</v>
      </c>
      <c r="E1438" s="24">
        <f>VLOOKUP(D1438,[2]属性!$A:$E,2,FALSE)</f>
        <v>1</v>
      </c>
      <c r="F1438" s="24">
        <f>VLOOKUP(D1438,[2]属性!$A:$E,3,FALSE)</f>
        <v>0.98</v>
      </c>
      <c r="G1438" s="24">
        <f>VLOOKUP(D1438,[2]属性!$A:$F,4,FALSE)</f>
        <v>1</v>
      </c>
      <c r="H1438" s="9" t="str">
        <f>VLOOKUP(A1438,[2]characters!$A:$K,11,FALSE)</f>
        <v>attack</v>
      </c>
      <c r="I1438" s="14" t="str">
        <f>VLOOKUP(H1438,[2]character_type_i18n!$A:$F,3,FALSE)</f>
        <v>攻撃タイプ</v>
      </c>
      <c r="J1438" s="36">
        <f>VLOOKUP(H1438,[2]character_type_i18n!$A:$F,4,FALSE)</f>
        <v>1</v>
      </c>
      <c r="K1438" s="36">
        <f>VLOOKUP(H1438,[2]character_type_i18n!$A:$F,5,FALSE)</f>
        <v>1.33</v>
      </c>
      <c r="L1438" s="36">
        <f>VLOOKUP(H1438,[2]character_type_i18n!$A:$F,6,FALSE)</f>
        <v>1</v>
      </c>
      <c r="M1438" s="9" t="str">
        <f>VLOOKUP(A1438,[2]characters!$A:$M,13,FALSE)</f>
        <v>human</v>
      </c>
      <c r="N1438" s="14" t="str">
        <f>VLOOKUP(M1438,[2]character_tribe_i18n!$A:$F,3,FALSE)</f>
        <v>ヒューマン</v>
      </c>
      <c r="O1438" s="24">
        <f>VLOOKUP(M1438,[2]character_tribe_i18n!$A:$F,4,FALSE)</f>
        <v>0.94</v>
      </c>
      <c r="P1438" s="24">
        <f>VLOOKUP(M1438,[2]character_tribe_i18n!$A:$F,5,FALSE)</f>
        <v>0.99</v>
      </c>
      <c r="Q1438" s="24">
        <f>VLOOKUP(M1438,[2]character_tribe_i18n!$A:$F,6,FALSE)</f>
        <v>1</v>
      </c>
      <c r="R1438" s="25" t="s">
        <v>98</v>
      </c>
      <c r="S1438" s="24">
        <f>VLOOKUP($R1438,ラベル別係数!$A$1:$E$7,3,FALSE)</f>
        <v>5</v>
      </c>
      <c r="T1438" s="24">
        <f>VLOOKUP($R1438,ラベル別係数!$A$1:$E$7,4,FALSE)</f>
        <v>1.3</v>
      </c>
      <c r="U1438" s="24">
        <f>VLOOKUP($R1438,ラベル別係数!$A$1:$E$7,5,FALSE)</f>
        <v>0.8</v>
      </c>
      <c r="V1438" s="27">
        <v>3</v>
      </c>
      <c r="W1438" s="28">
        <f>VLOOKUP(V1438,ターン数別攻撃係数!$A$1:$B$1000,2,FALSE)</f>
        <v>1</v>
      </c>
      <c r="X1438" s="9">
        <f>VLOOKUP(C1438,サイズ別係数!A$2:B$9,2,FALSE)</f>
        <v>60</v>
      </c>
      <c r="Y1438" s="26">
        <f>VLOOKUP($X1438,サイズ別係数!$B:$E,2,FALSE)</f>
        <v>1.7</v>
      </c>
      <c r="Z1438" s="26">
        <f>VLOOKUP($X1438,サイズ別係数!$B:$E,3,FALSE)</f>
        <v>1.4</v>
      </c>
      <c r="AA1438" s="26">
        <f>VLOOKUP($X1438,サイズ別係数!$B:$E,4,FALSE)</f>
        <v>1</v>
      </c>
      <c r="AB1438" s="5">
        <v>0</v>
      </c>
      <c r="AC1438" s="34" t="str">
        <f ca="1">VLOOKUP($AB1438,OFFSET([3]enemy_skill_sets!$B$2,0,0,COUNTA([3]enemy_skill_sets!$A:$A),MATCH(AC$1,[3]enemy_skill_sets!$1:$1,0)-MATCH($AB$1,[3]enemy_skill_sets!$1:$1,0)+1),MATCH(AC$1,[3]enemy_skill_sets!$1:$1,0)-MATCH($AB$1,[3]enemy_skill_sets!$1:$1,0)+1,FALSE)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8" s="67">
        <v>1</v>
      </c>
      <c r="AE1438" s="67">
        <v>1</v>
      </c>
      <c r="AF1438" s="37">
        <v>0</v>
      </c>
      <c r="AG1438" s="41">
        <v>3596</v>
      </c>
      <c r="AH1438" s="41">
        <v>238</v>
      </c>
      <c r="AI1438" s="41">
        <f>ROUND(VLOOKUP(1,enemy_base_stats!$A:$F,4,FALSE) * AA1438*L1438*Q1438*G1438*U1438*AF1438*[2]ステータス!$D$2,0)</f>
        <v>0</v>
      </c>
      <c r="AJ1438" s="41">
        <v>145977</v>
      </c>
      <c r="AK1438" s="41">
        <v>9678</v>
      </c>
      <c r="AL1438" s="41">
        <f>ROUND(VLOOKUP(100,enemy_base_stats!$A:$F,4,FALSE)* AA1438* L1438*Q1438*G1438*U1438*AF1438*[2]ステータス!$D$2,0)</f>
        <v>0</v>
      </c>
      <c r="AM1438" s="97">
        <f>VLOOKUP(M1438,[2]character_tribe_i18n!$A:$I,9,FALSE)</f>
        <v>400</v>
      </c>
      <c r="AN1438" s="36">
        <v>0</v>
      </c>
      <c r="AO1438" s="53">
        <v>0</v>
      </c>
      <c r="AP1438" s="58" t="s">
        <v>72</v>
      </c>
      <c r="AQ1438" s="71">
        <f t="shared" si="85"/>
        <v>1702</v>
      </c>
    </row>
    <row r="1439" spans="1:43" ht="21" customHeight="1" x14ac:dyDescent="0.15">
      <c r="A1439" s="107">
        <v>1703</v>
      </c>
      <c r="B1439" s="6" t="str">
        <f>VLOOKUP(A1439,[2]characters!$A:$C,3,FALSE)</f>
        <v>可恋なる花乙女 リリィ</v>
      </c>
      <c r="C1439" s="9">
        <f>VLOOKUP(A1439,[2]characters!$A:$I,9,FALSE)</f>
        <v>6</v>
      </c>
      <c r="D1439" s="9" t="str">
        <f>VLOOKUP(A1439,[2]characters!$A:$H,8,FALSE)</f>
        <v>red</v>
      </c>
      <c r="E1439" s="24">
        <f>VLOOKUP(D1439,[2]属性!$A:$E,2,FALSE)</f>
        <v>1</v>
      </c>
      <c r="F1439" s="24">
        <f>VLOOKUP(D1439,[2]属性!$A:$E,3,FALSE)</f>
        <v>1.02</v>
      </c>
      <c r="G1439" s="24">
        <f>VLOOKUP(D1439,[2]属性!$A:$F,4,FALSE)</f>
        <v>1</v>
      </c>
      <c r="H1439" s="9" t="str">
        <f>VLOOKUP(A1439,[2]characters!$A:$K,11,FALSE)</f>
        <v>technical</v>
      </c>
      <c r="I1439" s="14" t="str">
        <f>VLOOKUP(H1439,[2]character_type_i18n!$A:$F,3,FALSE)</f>
        <v>テクニカルタイプ</v>
      </c>
      <c r="J1439" s="36">
        <f>VLOOKUP(H1439,[2]character_type_i18n!$A:$F,4,FALSE)</f>
        <v>0.9</v>
      </c>
      <c r="K1439" s="36">
        <f>VLOOKUP(H1439,[2]character_type_i18n!$A:$F,5,FALSE)</f>
        <v>0.9</v>
      </c>
      <c r="L1439" s="36">
        <f>VLOOKUP(H1439,[2]character_type_i18n!$A:$F,6,FALSE)</f>
        <v>1</v>
      </c>
      <c r="M1439" s="9" t="str">
        <f>VLOOKUP(A1439,[2]characters!$A:$M,13,FALSE)</f>
        <v>human</v>
      </c>
      <c r="N1439" s="14" t="str">
        <f>VLOOKUP(M1439,[2]character_tribe_i18n!$A:$F,3,FALSE)</f>
        <v>ヒューマン</v>
      </c>
      <c r="O1439" s="24">
        <f>VLOOKUP(M1439,[2]character_tribe_i18n!$A:$F,4,FALSE)</f>
        <v>0.94</v>
      </c>
      <c r="P1439" s="24">
        <f>VLOOKUP(M1439,[2]character_tribe_i18n!$A:$F,5,FALSE)</f>
        <v>0.99</v>
      </c>
      <c r="Q1439" s="24">
        <f>VLOOKUP(M1439,[2]character_tribe_i18n!$A:$F,6,FALSE)</f>
        <v>1</v>
      </c>
      <c r="R1439" s="25" t="s">
        <v>98</v>
      </c>
      <c r="S1439" s="24">
        <f>VLOOKUP($R1439,ラベル別係数!$A$1:$E$7,3,FALSE)</f>
        <v>5</v>
      </c>
      <c r="T1439" s="24">
        <f>VLOOKUP($R1439,ラベル別係数!$A$1:$E$7,4,FALSE)</f>
        <v>1.3</v>
      </c>
      <c r="U1439" s="24">
        <f>VLOOKUP($R1439,ラベル別係数!$A$1:$E$7,5,FALSE)</f>
        <v>0.8</v>
      </c>
      <c r="V1439" s="27">
        <v>3</v>
      </c>
      <c r="W1439" s="28">
        <f>VLOOKUP(V1439,ターン数別攻撃係数!$A$1:$B$1000,2,FALSE)</f>
        <v>1</v>
      </c>
      <c r="X1439" s="9">
        <f>VLOOKUP(C1439,サイズ別係数!A$2:B$9,2,FALSE)</f>
        <v>60</v>
      </c>
      <c r="Y1439" s="26">
        <f>VLOOKUP($X1439,サイズ別係数!$B:$E,2,FALSE)</f>
        <v>1.7</v>
      </c>
      <c r="Z1439" s="26">
        <f>VLOOKUP($X1439,サイズ別係数!$B:$E,3,FALSE)</f>
        <v>1.4</v>
      </c>
      <c r="AA1439" s="26">
        <f>VLOOKUP($X1439,サイズ別係数!$B:$E,4,FALSE)</f>
        <v>1</v>
      </c>
      <c r="AB1439" s="5">
        <v>0</v>
      </c>
      <c r="AC1439" s="34" t="str">
        <f ca="1">VLOOKUP($AB1439,OFFSET([3]enemy_skill_sets!$B$2,0,0,COUNTA([3]enemy_skill_sets!$A:$A),MATCH(AC$1,[3]enemy_skill_sets!$1:$1,0)-MATCH($AB$1,[3]enemy_skill_sets!$1:$1,0)+1),MATCH(AC$1,[3]enemy_skill_sets!$1:$1,0)-MATCH($AB$1,[3]enemy_skill_sets!$1:$1,0)+1,FALSE)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39" s="67">
        <v>1</v>
      </c>
      <c r="AE1439" s="67">
        <v>1</v>
      </c>
      <c r="AF1439" s="37">
        <v>0</v>
      </c>
      <c r="AG1439" s="99">
        <f>ROUND(VLOOKUP(1,enemy_base_stats!$A:$F,2,FALSE) * Y1439* J1439*O1439*E1439*S1439*AD1439*[2]ステータス!$B$2,0)</f>
        <v>3596</v>
      </c>
      <c r="AH1439" s="99">
        <f>ROUND(VLOOKUP(1,enemy_base_stats!$A:$F,3,FALSE) * Z1439*K1439*P1439*F1439*T1439*AE1439 * W1439*[2]ステータス!$C$2,0)</f>
        <v>248</v>
      </c>
      <c r="AI1439" s="99">
        <f>ROUND(VLOOKUP(1,enemy_base_stats!$A:$F,4,FALSE) * AA1439*L1439*Q1439*G1439*U1439*AF1439*[2]ステータス!$D$2,0)</f>
        <v>0</v>
      </c>
      <c r="AJ1439" s="99">
        <f>ROUND(VLOOKUP(100,enemy_base_stats!$A:$F,2,FALSE) * Y1439* J1439*O1439*E1439*S1439*AD1439*[2]ステータス!$B$2,0)</f>
        <v>145977</v>
      </c>
      <c r="AK1439" s="99">
        <f>ROUND(VLOOKUP(100,enemy_base_stats!$A:$F,3,FALSE)* Z1439* K1439*P1439*F1439*T1439*AE1439 * W1439*[2]ステータス!$C$2,0)</f>
        <v>10073</v>
      </c>
      <c r="AL1439" s="99">
        <f>ROUND(VLOOKUP(100,enemy_base_stats!$A:$F,4,FALSE)* AA1439* L1439*Q1439*G1439*U1439*AF1439*[2]ステータス!$D$2,0)</f>
        <v>0</v>
      </c>
      <c r="AM1439" s="97">
        <f>VLOOKUP(M1439,[2]character_tribe_i18n!$A:$I,9,FALSE)</f>
        <v>400</v>
      </c>
      <c r="AN1439" s="36">
        <v>0</v>
      </c>
      <c r="AO1439" s="53">
        <v>0</v>
      </c>
      <c r="AP1439" s="58" t="s">
        <v>72</v>
      </c>
      <c r="AQ1439" s="71">
        <f t="shared" si="85"/>
        <v>1703</v>
      </c>
    </row>
    <row r="1440" spans="1:43" ht="21" customHeight="1" x14ac:dyDescent="0.15">
      <c r="A1440" s="107">
        <v>1704</v>
      </c>
      <c r="B1440" s="6" t="str">
        <f>VLOOKUP(A1440,[2]characters!$A:$C,3,FALSE)</f>
        <v>恋焦がす夢乙女 リリィ</v>
      </c>
      <c r="C1440" s="9">
        <f>VLOOKUP(A1440,[2]characters!$A:$I,9,FALSE)</f>
        <v>6</v>
      </c>
      <c r="D1440" s="9" t="str">
        <f>VLOOKUP(A1440,[2]characters!$A:$H,8,FALSE)</f>
        <v>red</v>
      </c>
      <c r="E1440" s="24">
        <f>VLOOKUP(D1440,[2]属性!$A:$E,2,FALSE)</f>
        <v>1</v>
      </c>
      <c r="F1440" s="24">
        <f>VLOOKUP(D1440,[2]属性!$A:$E,3,FALSE)</f>
        <v>1.02</v>
      </c>
      <c r="G1440" s="24">
        <f>VLOOKUP(D1440,[2]属性!$A:$F,4,FALSE)</f>
        <v>1</v>
      </c>
      <c r="H1440" s="9" t="str">
        <f>VLOOKUP(A1440,[2]characters!$A:$K,11,FALSE)</f>
        <v>technical</v>
      </c>
      <c r="I1440" s="14" t="str">
        <f>VLOOKUP(H1440,[2]character_type_i18n!$A:$F,3,FALSE)</f>
        <v>テクニカルタイプ</v>
      </c>
      <c r="J1440" s="36">
        <f>VLOOKUP(H1440,[2]character_type_i18n!$A:$F,4,FALSE)</f>
        <v>0.9</v>
      </c>
      <c r="K1440" s="36">
        <f>VLOOKUP(H1440,[2]character_type_i18n!$A:$F,5,FALSE)</f>
        <v>0.9</v>
      </c>
      <c r="L1440" s="36">
        <f>VLOOKUP(H1440,[2]character_type_i18n!$A:$F,6,FALSE)</f>
        <v>1</v>
      </c>
      <c r="M1440" s="9" t="str">
        <f>VLOOKUP(A1440,[2]characters!$A:$M,13,FALSE)</f>
        <v>human</v>
      </c>
      <c r="N1440" s="14" t="str">
        <f>VLOOKUP(M1440,[2]character_tribe_i18n!$A:$F,3,FALSE)</f>
        <v>ヒューマン</v>
      </c>
      <c r="O1440" s="24">
        <f>VLOOKUP(M1440,[2]character_tribe_i18n!$A:$F,4,FALSE)</f>
        <v>0.94</v>
      </c>
      <c r="P1440" s="24">
        <f>VLOOKUP(M1440,[2]character_tribe_i18n!$A:$F,5,FALSE)</f>
        <v>0.99</v>
      </c>
      <c r="Q1440" s="24">
        <f>VLOOKUP(M1440,[2]character_tribe_i18n!$A:$F,6,FALSE)</f>
        <v>1</v>
      </c>
      <c r="R1440" s="25" t="s">
        <v>98</v>
      </c>
      <c r="S1440" s="24">
        <f>VLOOKUP($R1440,ラベル別係数!$A$1:$E$7,3,FALSE)</f>
        <v>5</v>
      </c>
      <c r="T1440" s="24">
        <f>VLOOKUP($R1440,ラベル別係数!$A$1:$E$7,4,FALSE)</f>
        <v>1.3</v>
      </c>
      <c r="U1440" s="24">
        <f>VLOOKUP($R1440,ラベル別係数!$A$1:$E$7,5,FALSE)</f>
        <v>0.8</v>
      </c>
      <c r="V1440" s="27">
        <v>3</v>
      </c>
      <c r="W1440" s="28">
        <f>VLOOKUP(V1440,ターン数別攻撃係数!$A$1:$B$1000,2,FALSE)</f>
        <v>1</v>
      </c>
      <c r="X1440" s="9">
        <f>VLOOKUP(C1440,サイズ別係数!A$2:B$9,2,FALSE)</f>
        <v>60</v>
      </c>
      <c r="Y1440" s="26">
        <f>VLOOKUP($X1440,サイズ別係数!$B:$E,2,FALSE)</f>
        <v>1.7</v>
      </c>
      <c r="Z1440" s="26">
        <f>VLOOKUP($X1440,サイズ別係数!$B:$E,3,FALSE)</f>
        <v>1.4</v>
      </c>
      <c r="AA1440" s="26">
        <f>VLOOKUP($X1440,サイズ別係数!$B:$E,4,FALSE)</f>
        <v>1</v>
      </c>
      <c r="AB1440" s="5">
        <v>0</v>
      </c>
      <c r="AC1440" s="34" t="str">
        <f ca="1">VLOOKUP($AB1440,OFFSET([3]enemy_skill_sets!$B$2,0,0,COUNTA([3]enemy_skill_sets!$A:$A),MATCH(AC$1,[3]enemy_skill_sets!$1:$1,0)-MATCH($AB$1,[3]enemy_skill_sets!$1:$1,0)+1),MATCH(AC$1,[3]enemy_skill_sets!$1:$1,0)-MATCH($AB$1,[3]enemy_skill_sets!$1:$1,0)+1,FALSE)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0" s="67">
        <v>1</v>
      </c>
      <c r="AE1440" s="67">
        <v>1</v>
      </c>
      <c r="AF1440" s="37">
        <v>0</v>
      </c>
      <c r="AG1440" s="41">
        <v>3596</v>
      </c>
      <c r="AH1440" s="41">
        <v>238</v>
      </c>
      <c r="AI1440" s="41">
        <v>0</v>
      </c>
      <c r="AJ1440" s="41">
        <v>145977</v>
      </c>
      <c r="AK1440" s="41">
        <v>9678</v>
      </c>
      <c r="AL1440" s="41">
        <v>0</v>
      </c>
      <c r="AM1440" s="97">
        <f>VLOOKUP(M1440,[2]character_tribe_i18n!$A:$I,9,FALSE)</f>
        <v>400</v>
      </c>
      <c r="AN1440" s="36">
        <v>0</v>
      </c>
      <c r="AO1440" s="53">
        <v>0</v>
      </c>
      <c r="AP1440" s="58" t="s">
        <v>72</v>
      </c>
      <c r="AQ1440" s="71">
        <f t="shared" si="85"/>
        <v>1704</v>
      </c>
    </row>
    <row r="1441" spans="1:43" ht="21" customHeight="1" x14ac:dyDescent="0.15">
      <c r="A1441" s="107">
        <v>1705</v>
      </c>
      <c r="B1441" s="6" t="str">
        <f>VLOOKUP(A1441,[2]characters!$A:$C,3,FALSE)</f>
        <v>純白の新婦軍 白雪姫</v>
      </c>
      <c r="C1441" s="9">
        <f>VLOOKUP(A1441,[2]characters!$A:$I,9,FALSE)</f>
        <v>6</v>
      </c>
      <c r="D1441" s="9" t="str">
        <f>VLOOKUP(A1441,[2]characters!$A:$H,8,FALSE)</f>
        <v>red</v>
      </c>
      <c r="E1441" s="24">
        <f>VLOOKUP(D1441,[2]属性!$A:$E,2,FALSE)</f>
        <v>1</v>
      </c>
      <c r="F1441" s="24">
        <f>VLOOKUP(D1441,[2]属性!$A:$E,3,FALSE)</f>
        <v>1.02</v>
      </c>
      <c r="G1441" s="24">
        <f>VLOOKUP(D1441,[2]属性!$A:$F,4,FALSE)</f>
        <v>1</v>
      </c>
      <c r="H1441" s="9" t="str">
        <f>VLOOKUP(A1441,[2]characters!$A:$K,11,FALSE)</f>
        <v>heal</v>
      </c>
      <c r="I1441" s="14" t="str">
        <f>VLOOKUP(H1441,[2]character_type_i18n!$A:$F,3,FALSE)</f>
        <v>回復タイプ</v>
      </c>
      <c r="J1441" s="36">
        <f>VLOOKUP(H1441,[2]character_type_i18n!$A:$F,4,FALSE)</f>
        <v>0.8</v>
      </c>
      <c r="K1441" s="36">
        <f>VLOOKUP(H1441,[2]character_type_i18n!$A:$F,5,FALSE)</f>
        <v>0.78</v>
      </c>
      <c r="L1441" s="36">
        <f>VLOOKUP(H1441,[2]character_type_i18n!$A:$F,6,FALSE)</f>
        <v>1</v>
      </c>
      <c r="M1441" s="9" t="str">
        <f>VLOOKUP(A1441,[2]characters!$A:$M,13,FALSE)</f>
        <v>human</v>
      </c>
      <c r="N1441" s="14" t="str">
        <f>VLOOKUP(M1441,[2]character_tribe_i18n!$A:$F,3,FALSE)</f>
        <v>ヒューマン</v>
      </c>
      <c r="O1441" s="24">
        <f>VLOOKUP(M1441,[2]character_tribe_i18n!$A:$F,4,FALSE)</f>
        <v>0.94</v>
      </c>
      <c r="P1441" s="24">
        <f>VLOOKUP(M1441,[2]character_tribe_i18n!$A:$F,5,FALSE)</f>
        <v>0.99</v>
      </c>
      <c r="Q1441" s="24">
        <f>VLOOKUP(M1441,[2]character_tribe_i18n!$A:$F,6,FALSE)</f>
        <v>1</v>
      </c>
      <c r="R1441" s="25" t="s">
        <v>98</v>
      </c>
      <c r="S1441" s="24">
        <f>VLOOKUP($R1441,ラベル別係数!$A$1:$E$7,3,FALSE)</f>
        <v>5</v>
      </c>
      <c r="T1441" s="24">
        <f>VLOOKUP($R1441,ラベル別係数!$A$1:$E$7,4,FALSE)</f>
        <v>1.3</v>
      </c>
      <c r="U1441" s="24">
        <f>VLOOKUP($R1441,ラベル別係数!$A$1:$E$7,5,FALSE)</f>
        <v>0.8</v>
      </c>
      <c r="V1441" s="27">
        <v>3</v>
      </c>
      <c r="W1441" s="28">
        <f>VLOOKUP(V1441,ターン数別攻撃係数!$A$1:$B$1000,2,FALSE)</f>
        <v>1</v>
      </c>
      <c r="X1441" s="9">
        <f>VLOOKUP(C1441,サイズ別係数!A$2:B$9,2,FALSE)</f>
        <v>60</v>
      </c>
      <c r="Y1441" s="26">
        <f>VLOOKUP($X1441,サイズ別係数!$B:$E,2,FALSE)</f>
        <v>1.7</v>
      </c>
      <c r="Z1441" s="26">
        <f>VLOOKUP($X1441,サイズ別係数!$B:$E,3,FALSE)</f>
        <v>1.4</v>
      </c>
      <c r="AA1441" s="26">
        <f>VLOOKUP($X1441,サイズ別係数!$B:$E,4,FALSE)</f>
        <v>1</v>
      </c>
      <c r="AB1441" s="5">
        <v>0</v>
      </c>
      <c r="AC1441" s="34" t="str">
        <f ca="1">VLOOKUP($AB1441,OFFSET([3]enemy_skill_sets!$B$2,0,0,COUNTA([3]enemy_skill_sets!$A:$A),MATCH(AC$1,[3]enemy_skill_sets!$1:$1,0)-MATCH($AB$1,[3]enemy_skill_sets!$1:$1,0)+1),MATCH(AC$1,[3]enemy_skill_sets!$1:$1,0)-MATCH($AB$1,[3]enemy_skill_sets!$1:$1,0)+1,FALSE)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1" s="67">
        <v>1</v>
      </c>
      <c r="AE1441" s="67">
        <v>1</v>
      </c>
      <c r="AF1441" s="37">
        <v>0</v>
      </c>
      <c r="AG1441" s="41">
        <v>3596</v>
      </c>
      <c r="AH1441" s="41">
        <v>238</v>
      </c>
      <c r="AI1441" s="41">
        <v>0</v>
      </c>
      <c r="AJ1441" s="41">
        <v>145977</v>
      </c>
      <c r="AK1441" s="41">
        <v>9678</v>
      </c>
      <c r="AL1441" s="41">
        <v>0</v>
      </c>
      <c r="AM1441" s="97">
        <f>VLOOKUP(M1441,[2]character_tribe_i18n!$A:$I,9,FALSE)</f>
        <v>400</v>
      </c>
      <c r="AN1441" s="36">
        <v>0</v>
      </c>
      <c r="AO1441" s="53">
        <v>0</v>
      </c>
      <c r="AP1441" s="58" t="s">
        <v>72</v>
      </c>
      <c r="AQ1441" s="71">
        <f t="shared" si="85"/>
        <v>1705</v>
      </c>
    </row>
    <row r="1442" spans="1:43" ht="21" customHeight="1" x14ac:dyDescent="0.15">
      <c r="A1442" s="107">
        <v>1706</v>
      </c>
      <c r="B1442" s="6" t="str">
        <f>VLOOKUP(A1442,[2]characters!$A:$C,3,FALSE)</f>
        <v>幸福なる大祝砲 白雪姫</v>
      </c>
      <c r="C1442" s="9">
        <f>VLOOKUP(A1442,[2]characters!$A:$I,9,FALSE)</f>
        <v>6</v>
      </c>
      <c r="D1442" s="9" t="str">
        <f>VLOOKUP(A1442,[2]characters!$A:$H,8,FALSE)</f>
        <v>red</v>
      </c>
      <c r="E1442" s="24">
        <f>VLOOKUP(D1442,[2]属性!$A:$E,2,FALSE)</f>
        <v>1</v>
      </c>
      <c r="F1442" s="24">
        <f>VLOOKUP(D1442,[2]属性!$A:$E,3,FALSE)</f>
        <v>1.02</v>
      </c>
      <c r="G1442" s="24">
        <f>VLOOKUP(D1442,[2]属性!$A:$F,4,FALSE)</f>
        <v>1</v>
      </c>
      <c r="H1442" s="9" t="str">
        <f>VLOOKUP(A1442,[2]characters!$A:$K,11,FALSE)</f>
        <v>heal</v>
      </c>
      <c r="I1442" s="14" t="str">
        <f>VLOOKUP(H1442,[2]character_type_i18n!$A:$F,3,FALSE)</f>
        <v>回復タイプ</v>
      </c>
      <c r="J1442" s="36">
        <f>VLOOKUP(H1442,[2]character_type_i18n!$A:$F,4,FALSE)</f>
        <v>0.8</v>
      </c>
      <c r="K1442" s="36">
        <f>VLOOKUP(H1442,[2]character_type_i18n!$A:$F,5,FALSE)</f>
        <v>0.78</v>
      </c>
      <c r="L1442" s="36">
        <f>VLOOKUP(H1442,[2]character_type_i18n!$A:$F,6,FALSE)</f>
        <v>1</v>
      </c>
      <c r="M1442" s="9" t="str">
        <f>VLOOKUP(A1442,[2]characters!$A:$M,13,FALSE)</f>
        <v>human</v>
      </c>
      <c r="N1442" s="14" t="str">
        <f>VLOOKUP(M1442,[2]character_tribe_i18n!$A:$F,3,FALSE)</f>
        <v>ヒューマン</v>
      </c>
      <c r="O1442" s="24">
        <f>VLOOKUP(M1442,[2]character_tribe_i18n!$A:$F,4,FALSE)</f>
        <v>0.94</v>
      </c>
      <c r="P1442" s="24">
        <f>VLOOKUP(M1442,[2]character_tribe_i18n!$A:$F,5,FALSE)</f>
        <v>0.99</v>
      </c>
      <c r="Q1442" s="24">
        <f>VLOOKUP(M1442,[2]character_tribe_i18n!$A:$F,6,FALSE)</f>
        <v>1</v>
      </c>
      <c r="R1442" s="25" t="s">
        <v>98</v>
      </c>
      <c r="S1442" s="24">
        <f>VLOOKUP($R1442,ラベル別係数!$A$1:$E$7,3,FALSE)</f>
        <v>5</v>
      </c>
      <c r="T1442" s="24">
        <f>VLOOKUP($R1442,ラベル別係数!$A$1:$E$7,4,FALSE)</f>
        <v>1.3</v>
      </c>
      <c r="U1442" s="24">
        <f>VLOOKUP($R1442,ラベル別係数!$A$1:$E$7,5,FALSE)</f>
        <v>0.8</v>
      </c>
      <c r="V1442" s="27">
        <v>3</v>
      </c>
      <c r="W1442" s="28">
        <f>VLOOKUP(V1442,ターン数別攻撃係数!$A$1:$B$1000,2,FALSE)</f>
        <v>1</v>
      </c>
      <c r="X1442" s="9">
        <f>VLOOKUP(C1442,サイズ別係数!A$2:B$9,2,FALSE)</f>
        <v>60</v>
      </c>
      <c r="Y1442" s="26">
        <f>VLOOKUP($X1442,サイズ別係数!$B:$E,2,FALSE)</f>
        <v>1.7</v>
      </c>
      <c r="Z1442" s="26">
        <f>VLOOKUP($X1442,サイズ別係数!$B:$E,3,FALSE)</f>
        <v>1.4</v>
      </c>
      <c r="AA1442" s="26">
        <f>VLOOKUP($X1442,サイズ別係数!$B:$E,4,FALSE)</f>
        <v>1</v>
      </c>
      <c r="AB1442" s="5">
        <v>0</v>
      </c>
      <c r="AC1442" s="34" t="str">
        <f ca="1">VLOOKUP($AB1442,OFFSET([3]enemy_skill_sets!$B$2,0,0,COUNTA([3]enemy_skill_sets!$A:$A),MATCH(AC$1,[3]enemy_skill_sets!$1:$1,0)-MATCH($AB$1,[3]enemy_skill_sets!$1:$1,0)+1),MATCH(AC$1,[3]enemy_skill_sets!$1:$1,0)-MATCH($AB$1,[3]enemy_skill_sets!$1:$1,0)+1,FALSE)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2" s="67">
        <v>1</v>
      </c>
      <c r="AE1442" s="67">
        <v>1</v>
      </c>
      <c r="AF1442" s="37">
        <v>0</v>
      </c>
      <c r="AG1442" s="99">
        <f>ROUND(VLOOKUP(1,enemy_base_stats!$A:$F,2,FALSE) * Y1442* J1442*O1442*E1442*S1442*AD1442*[2]ステータス!$B$2,0)</f>
        <v>3196</v>
      </c>
      <c r="AH1442" s="99">
        <f>ROUND(VLOOKUP(1,enemy_base_stats!$A:$F,3,FALSE) * Z1442*K1442*P1442*F1442*T1442*AE1442 * W1442*[2]ステータス!$C$2,0)</f>
        <v>215</v>
      </c>
      <c r="AI1442" s="99">
        <f>ROUND(VLOOKUP(1,enemy_base_stats!$A:$F,4,FALSE) * AA1442*L1442*Q1442*G1442*U1442*AF1442*[2]ステータス!$D$2,0)</f>
        <v>0</v>
      </c>
      <c r="AJ1442" s="99">
        <f>ROUND(VLOOKUP(100,enemy_base_stats!$A:$F,2,FALSE) * Y1442* J1442*O1442*E1442*S1442*AD1442*[2]ステータス!$B$2,0)</f>
        <v>129758</v>
      </c>
      <c r="AK1442" s="99">
        <f>ROUND(VLOOKUP(100,enemy_base_stats!$A:$F,3,FALSE)* Z1442* K1442*P1442*F1442*T1442*AE1442 * W1442*[2]ステータス!$C$2,0)</f>
        <v>8730</v>
      </c>
      <c r="AL1442" s="99">
        <f>ROUND(VLOOKUP(100,enemy_base_stats!$A:$F,4,FALSE)* AA1442* L1442*Q1442*G1442*U1442*AF1442*[2]ステータス!$D$2,0)</f>
        <v>0</v>
      </c>
      <c r="AM1442" s="97">
        <f>VLOOKUP(M1442,[2]character_tribe_i18n!$A:$I,9,FALSE)</f>
        <v>400</v>
      </c>
      <c r="AN1442" s="36">
        <v>0</v>
      </c>
      <c r="AO1442" s="53">
        <v>0</v>
      </c>
      <c r="AP1442" s="58" t="s">
        <v>72</v>
      </c>
      <c r="AQ1442" s="71">
        <f t="shared" si="85"/>
        <v>1706</v>
      </c>
    </row>
    <row r="1443" spans="1:43" ht="21" customHeight="1" x14ac:dyDescent="0.15">
      <c r="A1443" s="107">
        <v>1707</v>
      </c>
      <c r="B1443" s="6" t="str">
        <f>VLOOKUP(A1443,[2]characters!$A:$C,3,FALSE)</f>
        <v>親愛なる猫嫁神 バステト</v>
      </c>
      <c r="C1443" s="9">
        <f>VLOOKUP(A1443,[2]characters!$A:$I,9,FALSE)</f>
        <v>6</v>
      </c>
      <c r="D1443" s="9" t="str">
        <f>VLOOKUP(A1443,[2]characters!$A:$H,8,FALSE)</f>
        <v>green</v>
      </c>
      <c r="E1443" s="24">
        <f>VLOOKUP(D1443,[2]属性!$A:$E,2,FALSE)</f>
        <v>1.02</v>
      </c>
      <c r="F1443" s="24">
        <f>VLOOKUP(D1443,[2]属性!$A:$E,3,FALSE)</f>
        <v>0.98</v>
      </c>
      <c r="G1443" s="24">
        <f>VLOOKUP(D1443,[2]属性!$A:$F,4,FALSE)</f>
        <v>1</v>
      </c>
      <c r="H1443" s="9" t="str">
        <f>VLOOKUP(A1443,[2]characters!$A:$K,11,FALSE)</f>
        <v>attack</v>
      </c>
      <c r="I1443" s="14" t="str">
        <f>VLOOKUP(H1443,[2]character_type_i18n!$A:$F,3,FALSE)</f>
        <v>攻撃タイプ</v>
      </c>
      <c r="J1443" s="36">
        <f>VLOOKUP(H1443,[2]character_type_i18n!$A:$F,4,FALSE)</f>
        <v>1</v>
      </c>
      <c r="K1443" s="36">
        <f>VLOOKUP(H1443,[2]character_type_i18n!$A:$F,5,FALSE)</f>
        <v>1.33</v>
      </c>
      <c r="L1443" s="36">
        <f>VLOOKUP(H1443,[2]character_type_i18n!$A:$F,6,FALSE)</f>
        <v>1</v>
      </c>
      <c r="M1443" s="9" t="str">
        <f>VLOOKUP(A1443,[2]characters!$A:$M,13,FALSE)</f>
        <v>animal</v>
      </c>
      <c r="N1443" s="14" t="str">
        <f>VLOOKUP(M1443,[2]character_tribe_i18n!$A:$F,3,FALSE)</f>
        <v>アニマル</v>
      </c>
      <c r="O1443" s="24">
        <f>VLOOKUP(M1443,[2]character_tribe_i18n!$A:$F,4,FALSE)</f>
        <v>1</v>
      </c>
      <c r="P1443" s="24">
        <f>VLOOKUP(M1443,[2]character_tribe_i18n!$A:$F,5,FALSE)</f>
        <v>1.1000000000000001</v>
      </c>
      <c r="Q1443" s="24">
        <f>VLOOKUP(M1443,[2]character_tribe_i18n!$A:$F,6,FALSE)</f>
        <v>1</v>
      </c>
      <c r="R1443" s="25" t="s">
        <v>98</v>
      </c>
      <c r="S1443" s="24">
        <f>VLOOKUP($R1443,ラベル別係数!$A$1:$E$7,3,FALSE)</f>
        <v>5</v>
      </c>
      <c r="T1443" s="24">
        <f>VLOOKUP($R1443,ラベル別係数!$A$1:$E$7,4,FALSE)</f>
        <v>1.3</v>
      </c>
      <c r="U1443" s="24">
        <f>VLOOKUP($R1443,ラベル別係数!$A$1:$E$7,5,FALSE)</f>
        <v>0.8</v>
      </c>
      <c r="V1443" s="27">
        <v>3</v>
      </c>
      <c r="W1443" s="28">
        <f>VLOOKUP(V1443,ターン数別攻撃係数!$A$1:$B$1000,2,FALSE)</f>
        <v>1</v>
      </c>
      <c r="X1443" s="9">
        <f>VLOOKUP(C1443,サイズ別係数!A$2:B$9,2,FALSE)</f>
        <v>60</v>
      </c>
      <c r="Y1443" s="26">
        <f>VLOOKUP($X1443,サイズ別係数!$B:$E,2,FALSE)</f>
        <v>1.7</v>
      </c>
      <c r="Z1443" s="26">
        <f>VLOOKUP($X1443,サイズ別係数!$B:$E,3,FALSE)</f>
        <v>1.4</v>
      </c>
      <c r="AA1443" s="26">
        <f>VLOOKUP($X1443,サイズ別係数!$B:$E,4,FALSE)</f>
        <v>1</v>
      </c>
      <c r="AB1443" s="5">
        <v>0</v>
      </c>
      <c r="AC1443" s="34" t="str">
        <f ca="1">VLOOKUP($AB1443,OFFSET([3]enemy_skill_sets!$B$2,0,0,COUNTA([3]enemy_skill_sets!$A:$A),MATCH(AC$1,[3]enemy_skill_sets!$1:$1,0)-MATCH($AB$1,[3]enemy_skill_sets!$1:$1,0)+1),MATCH(AC$1,[3]enemy_skill_sets!$1:$1,0)-MATCH($AB$1,[3]enemy_skill_sets!$1:$1,0)+1,FALSE)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3" s="67">
        <v>1</v>
      </c>
      <c r="AE1443" s="67">
        <v>1</v>
      </c>
      <c r="AF1443" s="37">
        <v>0</v>
      </c>
      <c r="AG1443" s="99">
        <f>ROUND(VLOOKUP(1,enemy_base_stats!$A:$F,2,FALSE) * Y1443* J1443*O1443*E1443*S1443*AD1443*[2]ステータス!$B$2,0)</f>
        <v>4335</v>
      </c>
      <c r="AH1443" s="99">
        <f>ROUND(VLOOKUP(1,enemy_base_stats!$A:$F,3,FALSE) * Z1443*K1443*P1443*F1443*T1443*AE1443 * W1443*[2]ステータス!$C$2,0)</f>
        <v>391</v>
      </c>
      <c r="AI1443" s="99">
        <f>ROUND(VLOOKUP(1,enemy_base_stats!$A:$F,4,FALSE) * AA1443*L1443*Q1443*G1443*U1443*AF1443*[2]ステータス!$D$2,0)</f>
        <v>0</v>
      </c>
      <c r="AJ1443" s="99">
        <f>ROUND(VLOOKUP(100,enemy_base_stats!$A:$F,2,FALSE) * Y1443* J1443*O1443*E1443*S1443*AD1443*[2]ステータス!$B$2,0)</f>
        <v>176001</v>
      </c>
      <c r="AK1443" s="99">
        <f>ROUND(VLOOKUP(100,enemy_base_stats!$A:$F,3,FALSE)* Z1443* K1443*P1443*F1443*T1443*AE1443 * W1443*[2]ステータス!$C$2,0)</f>
        <v>15891</v>
      </c>
      <c r="AL1443" s="99">
        <f>ROUND(VLOOKUP(100,enemy_base_stats!$A:$F,4,FALSE)* AA1443* L1443*Q1443*G1443*U1443*AF1443*[2]ステータス!$D$2,0)</f>
        <v>0</v>
      </c>
      <c r="AM1443" s="97">
        <f>VLOOKUP(M1443,[2]character_tribe_i18n!$A:$I,9,FALSE)</f>
        <v>480</v>
      </c>
      <c r="AN1443" s="36">
        <v>0</v>
      </c>
      <c r="AO1443" s="53">
        <v>0</v>
      </c>
      <c r="AP1443" s="58" t="s">
        <v>72</v>
      </c>
      <c r="AQ1443" s="71">
        <f t="shared" si="85"/>
        <v>1707</v>
      </c>
    </row>
    <row r="1444" spans="1:43" ht="21" customHeight="1" x14ac:dyDescent="0.15">
      <c r="A1444" s="107">
        <v>1708</v>
      </c>
      <c r="B1444" s="6" t="str">
        <f>VLOOKUP(A1444,[2]characters!$A:$C,3,FALSE)</f>
        <v>御聖婚の幸猫神 バステト</v>
      </c>
      <c r="C1444" s="9">
        <f>VLOOKUP(A1444,[2]characters!$A:$I,9,FALSE)</f>
        <v>6</v>
      </c>
      <c r="D1444" s="9" t="str">
        <f>VLOOKUP(A1444,[2]characters!$A:$H,8,FALSE)</f>
        <v>green</v>
      </c>
      <c r="E1444" s="24">
        <f>VLOOKUP(D1444,[2]属性!$A:$E,2,FALSE)</f>
        <v>1.02</v>
      </c>
      <c r="F1444" s="24">
        <f>VLOOKUP(D1444,[2]属性!$A:$E,3,FALSE)</f>
        <v>0.98</v>
      </c>
      <c r="G1444" s="24">
        <f>VLOOKUP(D1444,[2]属性!$A:$F,4,FALSE)</f>
        <v>1</v>
      </c>
      <c r="H1444" s="9" t="str">
        <f>VLOOKUP(A1444,[2]characters!$A:$K,11,FALSE)</f>
        <v>attack</v>
      </c>
      <c r="I1444" s="14" t="str">
        <f>VLOOKUP(H1444,[2]character_type_i18n!$A:$F,3,FALSE)</f>
        <v>攻撃タイプ</v>
      </c>
      <c r="J1444" s="36">
        <f>VLOOKUP(H1444,[2]character_type_i18n!$A:$F,4,FALSE)</f>
        <v>1</v>
      </c>
      <c r="K1444" s="36">
        <f>VLOOKUP(H1444,[2]character_type_i18n!$A:$F,5,FALSE)</f>
        <v>1.33</v>
      </c>
      <c r="L1444" s="36">
        <f>VLOOKUP(H1444,[2]character_type_i18n!$A:$F,6,FALSE)</f>
        <v>1</v>
      </c>
      <c r="M1444" s="9" t="str">
        <f>VLOOKUP(A1444,[2]characters!$A:$M,13,FALSE)</f>
        <v>animal</v>
      </c>
      <c r="N1444" s="14" t="str">
        <f>VLOOKUP(M1444,[2]character_tribe_i18n!$A:$F,3,FALSE)</f>
        <v>アニマル</v>
      </c>
      <c r="O1444" s="24">
        <f>VLOOKUP(M1444,[2]character_tribe_i18n!$A:$F,4,FALSE)</f>
        <v>1</v>
      </c>
      <c r="P1444" s="24">
        <f>VLOOKUP(M1444,[2]character_tribe_i18n!$A:$F,5,FALSE)</f>
        <v>1.1000000000000001</v>
      </c>
      <c r="Q1444" s="24">
        <f>VLOOKUP(M1444,[2]character_tribe_i18n!$A:$F,6,FALSE)</f>
        <v>1</v>
      </c>
      <c r="R1444" s="25" t="s">
        <v>98</v>
      </c>
      <c r="S1444" s="24">
        <f>VLOOKUP($R1444,ラベル別係数!$A$1:$E$7,3,FALSE)</f>
        <v>5</v>
      </c>
      <c r="T1444" s="24">
        <f>VLOOKUP($R1444,ラベル別係数!$A$1:$E$7,4,FALSE)</f>
        <v>1.3</v>
      </c>
      <c r="U1444" s="24">
        <f>VLOOKUP($R1444,ラベル別係数!$A$1:$E$7,5,FALSE)</f>
        <v>0.8</v>
      </c>
      <c r="V1444" s="27">
        <v>3</v>
      </c>
      <c r="W1444" s="28">
        <f>VLOOKUP(V1444,ターン数別攻撃係数!$A$1:$B$1000,2,FALSE)</f>
        <v>1</v>
      </c>
      <c r="X1444" s="9">
        <f>VLOOKUP(C1444,サイズ別係数!A$2:B$9,2,FALSE)</f>
        <v>60</v>
      </c>
      <c r="Y1444" s="26">
        <f>VLOOKUP($X1444,サイズ別係数!$B:$E,2,FALSE)</f>
        <v>1.7</v>
      </c>
      <c r="Z1444" s="26">
        <f>VLOOKUP($X1444,サイズ別係数!$B:$E,3,FALSE)</f>
        <v>1.4</v>
      </c>
      <c r="AA1444" s="26">
        <f>VLOOKUP($X1444,サイズ別係数!$B:$E,4,FALSE)</f>
        <v>1</v>
      </c>
      <c r="AB1444" s="5">
        <v>0</v>
      </c>
      <c r="AC1444" s="34" t="str">
        <f ca="1">VLOOKUP($AB1444,OFFSET([3]enemy_skill_sets!$B$2,0,0,COUNTA([3]enemy_skill_sets!$A:$A),MATCH(AC$1,[3]enemy_skill_sets!$1:$1,0)-MATCH($AB$1,[3]enemy_skill_sets!$1:$1,0)+1),MATCH(AC$1,[3]enemy_skill_sets!$1:$1,0)-MATCH($AB$1,[3]enemy_skill_sets!$1:$1,0)+1,FALSE)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4" s="67">
        <v>1</v>
      </c>
      <c r="AE1444" s="67">
        <v>1</v>
      </c>
      <c r="AF1444" s="37">
        <v>0</v>
      </c>
      <c r="AG1444" s="99">
        <f>ROUND(VLOOKUP(1,enemy_base_stats!$A:$F,2,FALSE) * Y1444* J1444*O1444*E1444*S1444*AD1444*[2]ステータス!$B$2,0)</f>
        <v>4335</v>
      </c>
      <c r="AH1444" s="99">
        <f>ROUND(VLOOKUP(1,enemy_base_stats!$A:$F,3,FALSE) * Z1444*K1444*P1444*F1444*T1444*AE1444 * W1444*[2]ステータス!$C$2,0)</f>
        <v>391</v>
      </c>
      <c r="AI1444" s="99">
        <f>ROUND(VLOOKUP(1,enemy_base_stats!$A:$F,4,FALSE) * AA1444*L1444*Q1444*G1444*U1444*AF1444*[2]ステータス!$D$2,0)</f>
        <v>0</v>
      </c>
      <c r="AJ1444" s="99">
        <f>ROUND(VLOOKUP(100,enemy_base_stats!$A:$F,2,FALSE) * Y1444* J1444*O1444*E1444*S1444*AD1444*[2]ステータス!$B$2,0)</f>
        <v>176001</v>
      </c>
      <c r="AK1444" s="99">
        <f>ROUND(VLOOKUP(100,enemy_base_stats!$A:$F,3,FALSE)* Z1444* K1444*P1444*F1444*T1444*AE1444 * W1444*[2]ステータス!$C$2,0)</f>
        <v>15891</v>
      </c>
      <c r="AL1444" s="99">
        <f>ROUND(VLOOKUP(100,enemy_base_stats!$A:$F,4,FALSE)* AA1444* L1444*Q1444*G1444*U1444*AF1444*[2]ステータス!$D$2,0)</f>
        <v>0</v>
      </c>
      <c r="AM1444" s="97">
        <f>VLOOKUP(M1444,[2]character_tribe_i18n!$A:$I,9,FALSE)</f>
        <v>480</v>
      </c>
      <c r="AN1444" s="36">
        <v>0</v>
      </c>
      <c r="AO1444" s="53">
        <v>0</v>
      </c>
      <c r="AP1444" s="58" t="s">
        <v>72</v>
      </c>
      <c r="AQ1444" s="71">
        <f t="shared" si="85"/>
        <v>1708</v>
      </c>
    </row>
    <row r="1445" spans="1:43" ht="21" customHeight="1" x14ac:dyDescent="0.15">
      <c r="A1445" s="107">
        <v>1709</v>
      </c>
      <c r="B1445" s="6" t="str">
        <f>VLOOKUP(A1445,[2]characters!$A:$C,3,FALSE)</f>
        <v>情花降る神婦 イズン</v>
      </c>
      <c r="C1445" s="9">
        <f>VLOOKUP(A1445,[2]characters!$A:$I,9,FALSE)</f>
        <v>6</v>
      </c>
      <c r="D1445" s="9" t="str">
        <f>VLOOKUP(A1445,[2]characters!$A:$H,8,FALSE)</f>
        <v>blue</v>
      </c>
      <c r="E1445" s="24">
        <f>VLOOKUP(D1445,[2]属性!$A:$E,2,FALSE)</f>
        <v>1</v>
      </c>
      <c r="F1445" s="24">
        <f>VLOOKUP(D1445,[2]属性!$A:$E,3,FALSE)</f>
        <v>0.98</v>
      </c>
      <c r="G1445" s="24">
        <f>VLOOKUP(D1445,[2]属性!$A:$F,4,FALSE)</f>
        <v>1</v>
      </c>
      <c r="H1445" s="9" t="str">
        <f>VLOOKUP(A1445,[2]characters!$A:$K,11,FALSE)</f>
        <v>technical</v>
      </c>
      <c r="I1445" s="14" t="str">
        <f>VLOOKUP(H1445,[2]character_type_i18n!$A:$F,3,FALSE)</f>
        <v>テクニカルタイプ</v>
      </c>
      <c r="J1445" s="36">
        <f>VLOOKUP(H1445,[2]character_type_i18n!$A:$F,4,FALSE)</f>
        <v>0.9</v>
      </c>
      <c r="K1445" s="36">
        <f>VLOOKUP(H1445,[2]character_type_i18n!$A:$F,5,FALSE)</f>
        <v>0.9</v>
      </c>
      <c r="L1445" s="36">
        <f>VLOOKUP(H1445,[2]character_type_i18n!$A:$F,6,FALSE)</f>
        <v>1</v>
      </c>
      <c r="M1445" s="9" t="str">
        <f>VLOOKUP(A1445,[2]characters!$A:$M,13,FALSE)</f>
        <v>god</v>
      </c>
      <c r="N1445" s="14" t="str">
        <f>VLOOKUP(M1445,[2]character_tribe_i18n!$A:$F,3,FALSE)</f>
        <v>ゴッド</v>
      </c>
      <c r="O1445" s="24">
        <f>VLOOKUP(M1445,[2]character_tribe_i18n!$A:$F,4,FALSE)</f>
        <v>0.96</v>
      </c>
      <c r="P1445" s="24">
        <f>VLOOKUP(M1445,[2]character_tribe_i18n!$A:$F,5,FALSE)</f>
        <v>1.02</v>
      </c>
      <c r="Q1445" s="24">
        <f>VLOOKUP(M1445,[2]character_tribe_i18n!$A:$F,6,FALSE)</f>
        <v>1</v>
      </c>
      <c r="R1445" s="25" t="s">
        <v>98</v>
      </c>
      <c r="S1445" s="24">
        <f>VLOOKUP($R1445,ラベル別係数!$A$1:$E$7,3,FALSE)</f>
        <v>5</v>
      </c>
      <c r="T1445" s="24">
        <f>VLOOKUP($R1445,ラベル別係数!$A$1:$E$7,4,FALSE)</f>
        <v>1.3</v>
      </c>
      <c r="U1445" s="24">
        <f>VLOOKUP($R1445,ラベル別係数!$A$1:$E$7,5,FALSE)</f>
        <v>0.8</v>
      </c>
      <c r="V1445" s="27">
        <v>3</v>
      </c>
      <c r="W1445" s="28">
        <f>VLOOKUP(V1445,ターン数別攻撃係数!$A$1:$B$1000,2,FALSE)</f>
        <v>1</v>
      </c>
      <c r="X1445" s="9">
        <f>VLOOKUP(C1445,サイズ別係数!A$2:B$9,2,FALSE)</f>
        <v>60</v>
      </c>
      <c r="Y1445" s="26">
        <f>VLOOKUP($X1445,サイズ別係数!$B:$E,2,FALSE)</f>
        <v>1.7</v>
      </c>
      <c r="Z1445" s="26">
        <f>VLOOKUP($X1445,サイズ別係数!$B:$E,3,FALSE)</f>
        <v>1.4</v>
      </c>
      <c r="AA1445" s="26">
        <f>VLOOKUP($X1445,サイズ別係数!$B:$E,4,FALSE)</f>
        <v>1</v>
      </c>
      <c r="AB1445" s="5">
        <v>0</v>
      </c>
      <c r="AC1445" s="34" t="str">
        <f ca="1">VLOOKUP($AB1445,OFFSET([3]enemy_skill_sets!$B$2,0,0,COUNTA([3]enemy_skill_sets!$A:$A),MATCH(AC$1,[3]enemy_skill_sets!$1:$1,0)-MATCH($AB$1,[3]enemy_skill_sets!$1:$1,0)+1),MATCH(AC$1,[3]enemy_skill_sets!$1:$1,0)-MATCH($AB$1,[3]enemy_skill_sets!$1:$1,0)+1,FALSE)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5" s="67">
        <v>1</v>
      </c>
      <c r="AE1445" s="67">
        <v>1</v>
      </c>
      <c r="AF1445" s="37">
        <v>0</v>
      </c>
      <c r="AG1445" s="99">
        <f>ROUND(VLOOKUP(1,enemy_base_stats!$A:$F,2,FALSE) * Y1445* J1445*O1445*E1445*S1445*AD1445*[2]ステータス!$B$2,0)</f>
        <v>3672</v>
      </c>
      <c r="AH1445" s="99">
        <f>ROUND(VLOOKUP(1,enemy_base_stats!$A:$F,3,FALSE) * Z1445*K1445*P1445*F1445*T1445*AE1445 * W1445*[2]ステータス!$C$2,0)</f>
        <v>246</v>
      </c>
      <c r="AI1445" s="99">
        <f>ROUND(VLOOKUP(1,enemy_base_stats!$A:$F,4,FALSE) * AA1445*L1445*Q1445*G1445*U1445*AF1445*[2]ステータス!$D$2,0)</f>
        <v>0</v>
      </c>
      <c r="AJ1445" s="99">
        <f>ROUND(VLOOKUP(100,enemy_base_stats!$A:$F,2,FALSE) * Y1445* J1445*O1445*E1445*S1445*AD1445*[2]ステータス!$B$2,0)</f>
        <v>149083</v>
      </c>
      <c r="AK1445" s="99">
        <f>ROUND(VLOOKUP(100,enemy_base_stats!$A:$F,3,FALSE)* Z1445* K1445*P1445*F1445*T1445*AE1445 * W1445*[2]ステータス!$C$2,0)</f>
        <v>9971</v>
      </c>
      <c r="AL1445" s="99">
        <f>ROUND(VLOOKUP(100,enemy_base_stats!$A:$F,4,FALSE)* AA1445* L1445*Q1445*G1445*U1445*AF1445*[2]ステータス!$D$2,0)</f>
        <v>0</v>
      </c>
      <c r="AM1445" s="97">
        <f>VLOOKUP(M1445,[2]character_tribe_i18n!$A:$I,9,FALSE)</f>
        <v>680</v>
      </c>
      <c r="AN1445" s="36">
        <v>0</v>
      </c>
      <c r="AO1445" s="53">
        <v>0</v>
      </c>
      <c r="AP1445" s="58" t="s">
        <v>72</v>
      </c>
      <c r="AQ1445" s="71">
        <f t="shared" si="85"/>
        <v>1709</v>
      </c>
    </row>
    <row r="1446" spans="1:43" ht="21" customHeight="1" x14ac:dyDescent="0.15">
      <c r="A1446" s="107">
        <v>1710</v>
      </c>
      <c r="B1446" s="6" t="str">
        <f>VLOOKUP(A1446,[2]characters!$A:$C,3,FALSE)</f>
        <v>慎愛なる女神の契 イズン</v>
      </c>
      <c r="C1446" s="9">
        <f>VLOOKUP(A1446,[2]characters!$A:$I,9,FALSE)</f>
        <v>6</v>
      </c>
      <c r="D1446" s="9" t="str">
        <f>VLOOKUP(A1446,[2]characters!$A:$H,8,FALSE)</f>
        <v>blue</v>
      </c>
      <c r="E1446" s="24">
        <f>VLOOKUP(D1446,[2]属性!$A:$E,2,FALSE)</f>
        <v>1</v>
      </c>
      <c r="F1446" s="24">
        <f>VLOOKUP(D1446,[2]属性!$A:$E,3,FALSE)</f>
        <v>0.98</v>
      </c>
      <c r="G1446" s="24">
        <f>VLOOKUP(D1446,[2]属性!$A:$F,4,FALSE)</f>
        <v>1</v>
      </c>
      <c r="H1446" s="9" t="str">
        <f>VLOOKUP(A1446,[2]characters!$A:$K,11,FALSE)</f>
        <v>technical</v>
      </c>
      <c r="I1446" s="14" t="str">
        <f>VLOOKUP(H1446,[2]character_type_i18n!$A:$F,3,FALSE)</f>
        <v>テクニカルタイプ</v>
      </c>
      <c r="J1446" s="36">
        <f>VLOOKUP(H1446,[2]character_type_i18n!$A:$F,4,FALSE)</f>
        <v>0.9</v>
      </c>
      <c r="K1446" s="36">
        <f>VLOOKUP(H1446,[2]character_type_i18n!$A:$F,5,FALSE)</f>
        <v>0.9</v>
      </c>
      <c r="L1446" s="36">
        <f>VLOOKUP(H1446,[2]character_type_i18n!$A:$F,6,FALSE)</f>
        <v>1</v>
      </c>
      <c r="M1446" s="9" t="str">
        <f>VLOOKUP(A1446,[2]characters!$A:$M,13,FALSE)</f>
        <v>god</v>
      </c>
      <c r="N1446" s="14" t="str">
        <f>VLOOKUP(M1446,[2]character_tribe_i18n!$A:$F,3,FALSE)</f>
        <v>ゴッド</v>
      </c>
      <c r="O1446" s="24">
        <f>VLOOKUP(M1446,[2]character_tribe_i18n!$A:$F,4,FALSE)</f>
        <v>0.96</v>
      </c>
      <c r="P1446" s="24">
        <f>VLOOKUP(M1446,[2]character_tribe_i18n!$A:$F,5,FALSE)</f>
        <v>1.02</v>
      </c>
      <c r="Q1446" s="24">
        <f>VLOOKUP(M1446,[2]character_tribe_i18n!$A:$F,6,FALSE)</f>
        <v>1</v>
      </c>
      <c r="R1446" s="25" t="s">
        <v>98</v>
      </c>
      <c r="S1446" s="24">
        <f>VLOOKUP($R1446,ラベル別係数!$A$1:$E$7,3,FALSE)</f>
        <v>5</v>
      </c>
      <c r="T1446" s="24">
        <f>VLOOKUP($R1446,ラベル別係数!$A$1:$E$7,4,FALSE)</f>
        <v>1.3</v>
      </c>
      <c r="U1446" s="24">
        <f>VLOOKUP($R1446,ラベル別係数!$A$1:$E$7,5,FALSE)</f>
        <v>0.8</v>
      </c>
      <c r="V1446" s="27">
        <v>3</v>
      </c>
      <c r="W1446" s="28">
        <f>VLOOKUP(V1446,ターン数別攻撃係数!$A$1:$B$1000,2,FALSE)</f>
        <v>1</v>
      </c>
      <c r="X1446" s="9">
        <f>VLOOKUP(C1446,サイズ別係数!A$2:B$9,2,FALSE)</f>
        <v>60</v>
      </c>
      <c r="Y1446" s="26">
        <f>VLOOKUP($X1446,サイズ別係数!$B:$E,2,FALSE)</f>
        <v>1.7</v>
      </c>
      <c r="Z1446" s="26">
        <f>VLOOKUP($X1446,サイズ別係数!$B:$E,3,FALSE)</f>
        <v>1.4</v>
      </c>
      <c r="AA1446" s="26">
        <f>VLOOKUP($X1446,サイズ別係数!$B:$E,4,FALSE)</f>
        <v>1</v>
      </c>
      <c r="AB1446" s="5">
        <v>0</v>
      </c>
      <c r="AC1446" s="34" t="str">
        <f ca="1">VLOOKUP($AB1446,OFFSET([3]enemy_skill_sets!$B$2,0,0,COUNTA([3]enemy_skill_sets!$A:$A),MATCH(AC$1,[3]enemy_skill_sets!$1:$1,0)-MATCH($AB$1,[3]enemy_skill_sets!$1:$1,0)+1),MATCH(AC$1,[3]enemy_skill_sets!$1:$1,0)-MATCH($AB$1,[3]enemy_skill_sets!$1:$1,0)+1,FALSE)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6" s="67">
        <v>1</v>
      </c>
      <c r="AE1446" s="67">
        <v>1</v>
      </c>
      <c r="AF1446" s="37">
        <v>0</v>
      </c>
      <c r="AG1446" s="99">
        <f>ROUND(VLOOKUP(1,enemy_base_stats!$A:$F,2,FALSE) * Y1446* J1446*O1446*E1446*S1446*AD1446*[2]ステータス!$B$2,0)</f>
        <v>3672</v>
      </c>
      <c r="AH1446" s="99">
        <f>ROUND(VLOOKUP(1,enemy_base_stats!$A:$F,3,FALSE) * Z1446*K1446*P1446*F1446*T1446*AE1446 * W1446*[2]ステータス!$C$2,0)</f>
        <v>246</v>
      </c>
      <c r="AI1446" s="99">
        <f>ROUND(VLOOKUP(1,enemy_base_stats!$A:$F,4,FALSE) * AA1446*L1446*Q1446*G1446*U1446*AF1446*[2]ステータス!$D$2,0)</f>
        <v>0</v>
      </c>
      <c r="AJ1446" s="99">
        <f>ROUND(VLOOKUP(100,enemy_base_stats!$A:$F,2,FALSE) * Y1446* J1446*O1446*E1446*S1446*AD1446*[2]ステータス!$B$2,0)</f>
        <v>149083</v>
      </c>
      <c r="AK1446" s="99">
        <f>ROUND(VLOOKUP(100,enemy_base_stats!$A:$F,3,FALSE)* Z1446* K1446*P1446*F1446*T1446*AE1446 * W1446*[2]ステータス!$C$2,0)</f>
        <v>9971</v>
      </c>
      <c r="AL1446" s="99">
        <f>ROUND(VLOOKUP(100,enemy_base_stats!$A:$F,4,FALSE)* AA1446* L1446*Q1446*G1446*U1446*AF1446*[2]ステータス!$D$2,0)</f>
        <v>0</v>
      </c>
      <c r="AM1446" s="97">
        <f>VLOOKUP(M1446,[2]character_tribe_i18n!$A:$I,9,FALSE)</f>
        <v>680</v>
      </c>
      <c r="AN1446" s="36">
        <v>0</v>
      </c>
      <c r="AO1446" s="53">
        <v>0</v>
      </c>
      <c r="AP1446" s="58" t="s">
        <v>72</v>
      </c>
      <c r="AQ1446" s="71">
        <f t="shared" si="85"/>
        <v>1710</v>
      </c>
    </row>
    <row r="1447" spans="1:43" ht="21" customHeight="1" x14ac:dyDescent="0.15">
      <c r="A1447" s="107">
        <v>1711</v>
      </c>
      <c r="B1447" s="6" t="str">
        <f>VLOOKUP(A1447,[2]characters!$A:$C,3,FALSE)</f>
        <v>誓愛求婚の新郎 諸葛亮</v>
      </c>
      <c r="C1447" s="9">
        <f>VLOOKUP(A1447,[2]characters!$A:$I,9,FALSE)</f>
        <v>6</v>
      </c>
      <c r="D1447" s="9" t="str">
        <f>VLOOKUP(A1447,[2]characters!$A:$H,8,FALSE)</f>
        <v>yellow</v>
      </c>
      <c r="E1447" s="24">
        <f>VLOOKUP(D1447,[2]属性!$A:$E,2,FALSE)</f>
        <v>0.98</v>
      </c>
      <c r="F1447" s="24">
        <f>VLOOKUP(D1447,[2]属性!$A:$E,3,FALSE)</f>
        <v>1.01</v>
      </c>
      <c r="G1447" s="24">
        <f>VLOOKUP(D1447,[2]属性!$A:$F,4,FALSE)</f>
        <v>1</v>
      </c>
      <c r="H1447" s="9" t="str">
        <f>VLOOKUP(A1447,[2]characters!$A:$K,11,FALSE)</f>
        <v>attack</v>
      </c>
      <c r="I1447" s="14" t="str">
        <f>VLOOKUP(H1447,[2]character_type_i18n!$A:$F,3,FALSE)</f>
        <v>攻撃タイプ</v>
      </c>
      <c r="J1447" s="36">
        <f>VLOOKUP(H1447,[2]character_type_i18n!$A:$F,4,FALSE)</f>
        <v>1</v>
      </c>
      <c r="K1447" s="36">
        <f>VLOOKUP(H1447,[2]character_type_i18n!$A:$F,5,FALSE)</f>
        <v>1.33</v>
      </c>
      <c r="L1447" s="36">
        <f>VLOOKUP(H1447,[2]character_type_i18n!$A:$F,6,FALSE)</f>
        <v>1</v>
      </c>
      <c r="M1447" s="9" t="str">
        <f>VLOOKUP(A1447,[2]characters!$A:$M,13,FALSE)</f>
        <v>human</v>
      </c>
      <c r="N1447" s="14" t="str">
        <f>VLOOKUP(M1447,[2]character_tribe_i18n!$A:$F,3,FALSE)</f>
        <v>ヒューマン</v>
      </c>
      <c r="O1447" s="24">
        <f>VLOOKUP(M1447,[2]character_tribe_i18n!$A:$F,4,FALSE)</f>
        <v>0.94</v>
      </c>
      <c r="P1447" s="24">
        <f>VLOOKUP(M1447,[2]character_tribe_i18n!$A:$F,5,FALSE)</f>
        <v>0.99</v>
      </c>
      <c r="Q1447" s="24">
        <f>VLOOKUP(M1447,[2]character_tribe_i18n!$A:$F,6,FALSE)</f>
        <v>1</v>
      </c>
      <c r="R1447" s="25" t="s">
        <v>98</v>
      </c>
      <c r="S1447" s="24">
        <f>VLOOKUP($R1447,ラベル別係数!$A$1:$E$7,3,FALSE)</f>
        <v>5</v>
      </c>
      <c r="T1447" s="24">
        <f>VLOOKUP($R1447,ラベル別係数!$A$1:$E$7,4,FALSE)</f>
        <v>1.3</v>
      </c>
      <c r="U1447" s="24">
        <f>VLOOKUP($R1447,ラベル別係数!$A$1:$E$7,5,FALSE)</f>
        <v>0.8</v>
      </c>
      <c r="V1447" s="27">
        <v>3</v>
      </c>
      <c r="W1447" s="28">
        <f>VLOOKUP(V1447,ターン数別攻撃係数!$A$1:$B$1000,2,FALSE)</f>
        <v>1</v>
      </c>
      <c r="X1447" s="9">
        <f>VLOOKUP(C1447,サイズ別係数!A$2:B$9,2,FALSE)</f>
        <v>60</v>
      </c>
      <c r="Y1447" s="26">
        <f>VLOOKUP($X1447,サイズ別係数!$B:$E,2,FALSE)</f>
        <v>1.7</v>
      </c>
      <c r="Z1447" s="26">
        <f>VLOOKUP($X1447,サイズ別係数!$B:$E,3,FALSE)</f>
        <v>1.4</v>
      </c>
      <c r="AA1447" s="26">
        <f>VLOOKUP($X1447,サイズ別係数!$B:$E,4,FALSE)</f>
        <v>1</v>
      </c>
      <c r="AB1447" s="5">
        <v>0</v>
      </c>
      <c r="AC1447" s="34" t="str">
        <f ca="1">VLOOKUP($AB1447,OFFSET([3]enemy_skill_sets!$B$2,0,0,COUNTA([3]enemy_skill_sets!$A:$A),MATCH(AC$1,[3]enemy_skill_sets!$1:$1,0)-MATCH($AB$1,[3]enemy_skill_sets!$1:$1,0)+1),MATCH(AC$1,[3]enemy_skill_sets!$1:$1,0)-MATCH($AB$1,[3]enemy_skill_sets!$1:$1,0)+1,FALSE)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7" s="67">
        <v>1</v>
      </c>
      <c r="AE1447" s="67">
        <v>1</v>
      </c>
      <c r="AF1447" s="37">
        <v>0</v>
      </c>
      <c r="AG1447" s="99">
        <f>ROUND(VLOOKUP(1,enemy_base_stats!$A:$F,2,FALSE) * Y1447* J1447*O1447*E1447*S1447*AD1447*[2]ステータス!$B$2,0)</f>
        <v>3915</v>
      </c>
      <c r="AH1447" s="99">
        <f>ROUND(VLOOKUP(1,enemy_base_stats!$A:$F,3,FALSE) * Z1447*K1447*P1447*F1447*T1447*AE1447 * W1447*[2]ステータス!$C$2,0)</f>
        <v>363</v>
      </c>
      <c r="AI1447" s="99">
        <f>ROUND(VLOOKUP(1,enemy_base_stats!$A:$F,4,FALSE) * AA1447*L1447*Q1447*G1447*U1447*AF1447*[2]ステータス!$D$2,0)</f>
        <v>0</v>
      </c>
      <c r="AJ1447" s="99">
        <f>ROUND(VLOOKUP(100,enemy_base_stats!$A:$F,2,FALSE) * Y1447* J1447*O1447*E1447*S1447*AD1447*[2]ステータス!$B$2,0)</f>
        <v>158953</v>
      </c>
      <c r="AK1447" s="99">
        <f>ROUND(VLOOKUP(100,enemy_base_stats!$A:$F,3,FALSE)* Z1447* K1447*P1447*F1447*T1447*AE1447 * W1447*[2]ステータス!$C$2,0)</f>
        <v>14740</v>
      </c>
      <c r="AL1447" s="99">
        <f>ROUND(VLOOKUP(100,enemy_base_stats!$A:$F,4,FALSE)* AA1447* L1447*Q1447*G1447*U1447*AF1447*[2]ステータス!$D$2,0)</f>
        <v>0</v>
      </c>
      <c r="AM1447" s="97">
        <f>VLOOKUP(M1447,[2]character_tribe_i18n!$A:$I,9,FALSE)</f>
        <v>400</v>
      </c>
      <c r="AN1447" s="36">
        <v>0</v>
      </c>
      <c r="AO1447" s="53">
        <v>0</v>
      </c>
      <c r="AP1447" s="58" t="s">
        <v>72</v>
      </c>
      <c r="AQ1447" s="71">
        <f t="shared" si="85"/>
        <v>1711</v>
      </c>
    </row>
    <row r="1448" spans="1:43" ht="21" customHeight="1" x14ac:dyDescent="0.15">
      <c r="A1448" s="107">
        <v>1712</v>
      </c>
      <c r="B1448" s="6" t="str">
        <f>VLOOKUP(A1448,[2]characters!$A:$C,3,FALSE)</f>
        <v>一蓮托生の双環 諸葛亮</v>
      </c>
      <c r="C1448" s="9">
        <f>VLOOKUP(A1448,[2]characters!$A:$I,9,FALSE)</f>
        <v>6</v>
      </c>
      <c r="D1448" s="9" t="str">
        <f>VLOOKUP(A1448,[2]characters!$A:$H,8,FALSE)</f>
        <v>yellow</v>
      </c>
      <c r="E1448" s="24">
        <f>VLOOKUP(D1448,[2]属性!$A:$E,2,FALSE)</f>
        <v>0.98</v>
      </c>
      <c r="F1448" s="24">
        <f>VLOOKUP(D1448,[2]属性!$A:$E,3,FALSE)</f>
        <v>1.01</v>
      </c>
      <c r="G1448" s="24">
        <f>VLOOKUP(D1448,[2]属性!$A:$F,4,FALSE)</f>
        <v>1</v>
      </c>
      <c r="H1448" s="9" t="str">
        <f>VLOOKUP(A1448,[2]characters!$A:$K,11,FALSE)</f>
        <v>attack</v>
      </c>
      <c r="I1448" s="14" t="str">
        <f>VLOOKUP(H1448,[2]character_type_i18n!$A:$F,3,FALSE)</f>
        <v>攻撃タイプ</v>
      </c>
      <c r="J1448" s="36">
        <f>VLOOKUP(H1448,[2]character_type_i18n!$A:$F,4,FALSE)</f>
        <v>1</v>
      </c>
      <c r="K1448" s="36">
        <f>VLOOKUP(H1448,[2]character_type_i18n!$A:$F,5,FALSE)</f>
        <v>1.33</v>
      </c>
      <c r="L1448" s="36">
        <f>VLOOKUP(H1448,[2]character_type_i18n!$A:$F,6,FALSE)</f>
        <v>1</v>
      </c>
      <c r="M1448" s="9" t="str">
        <f>VLOOKUP(A1448,[2]characters!$A:$M,13,FALSE)</f>
        <v>human</v>
      </c>
      <c r="N1448" s="14" t="str">
        <f>VLOOKUP(M1448,[2]character_tribe_i18n!$A:$F,3,FALSE)</f>
        <v>ヒューマン</v>
      </c>
      <c r="O1448" s="24">
        <f>VLOOKUP(M1448,[2]character_tribe_i18n!$A:$F,4,FALSE)</f>
        <v>0.94</v>
      </c>
      <c r="P1448" s="24">
        <f>VLOOKUP(M1448,[2]character_tribe_i18n!$A:$F,5,FALSE)</f>
        <v>0.99</v>
      </c>
      <c r="Q1448" s="24">
        <f>VLOOKUP(M1448,[2]character_tribe_i18n!$A:$F,6,FALSE)</f>
        <v>1</v>
      </c>
      <c r="R1448" s="25" t="s">
        <v>98</v>
      </c>
      <c r="S1448" s="24">
        <f>VLOOKUP($R1448,ラベル別係数!$A$1:$E$7,3,FALSE)</f>
        <v>5</v>
      </c>
      <c r="T1448" s="24">
        <f>VLOOKUP($R1448,ラベル別係数!$A$1:$E$7,4,FALSE)</f>
        <v>1.3</v>
      </c>
      <c r="U1448" s="24">
        <f>VLOOKUP($R1448,ラベル別係数!$A$1:$E$7,5,FALSE)</f>
        <v>0.8</v>
      </c>
      <c r="V1448" s="27">
        <v>3</v>
      </c>
      <c r="W1448" s="28">
        <f>VLOOKUP(V1448,ターン数別攻撃係数!$A$1:$B$1000,2,FALSE)</f>
        <v>1</v>
      </c>
      <c r="X1448" s="9">
        <f>VLOOKUP(C1448,サイズ別係数!A$2:B$9,2,FALSE)</f>
        <v>60</v>
      </c>
      <c r="Y1448" s="26">
        <f>VLOOKUP($X1448,サイズ別係数!$B:$E,2,FALSE)</f>
        <v>1.7</v>
      </c>
      <c r="Z1448" s="26">
        <f>VLOOKUP($X1448,サイズ別係数!$B:$E,3,FALSE)</f>
        <v>1.4</v>
      </c>
      <c r="AA1448" s="26">
        <f>VLOOKUP($X1448,サイズ別係数!$B:$E,4,FALSE)</f>
        <v>1</v>
      </c>
      <c r="AB1448" s="5">
        <v>0</v>
      </c>
      <c r="AC1448" s="34" t="str">
        <f ca="1">VLOOKUP($AB1448,OFFSET([3]enemy_skill_sets!$B$2,0,0,COUNTA([3]enemy_skill_sets!$A:$A),MATCH(AC$1,[3]enemy_skill_sets!$1:$1,0)-MATCH($AB$1,[3]enemy_skill_sets!$1:$1,0)+1),MATCH(AC$1,[3]enemy_skill_sets!$1:$1,0)-MATCH($AB$1,[3]enemy_skill_sets!$1:$1,0)+1,FALSE)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8" s="67">
        <v>1</v>
      </c>
      <c r="AE1448" s="67">
        <v>1</v>
      </c>
      <c r="AF1448" s="37">
        <v>0</v>
      </c>
      <c r="AG1448" s="41">
        <v>4075</v>
      </c>
      <c r="AH1448" s="41">
        <v>352</v>
      </c>
      <c r="AI1448" s="41">
        <v>0</v>
      </c>
      <c r="AJ1448" s="41">
        <v>165441</v>
      </c>
      <c r="AK1448" s="41">
        <v>14302</v>
      </c>
      <c r="AL1448" s="41">
        <v>0</v>
      </c>
      <c r="AM1448" s="97">
        <f>VLOOKUP(M1448,[2]character_tribe_i18n!$A:$I,9,FALSE)</f>
        <v>400</v>
      </c>
      <c r="AN1448" s="36">
        <v>0</v>
      </c>
      <c r="AO1448" s="53">
        <v>0</v>
      </c>
      <c r="AP1448" s="58" t="s">
        <v>72</v>
      </c>
      <c r="AQ1448" s="71">
        <f t="shared" si="85"/>
        <v>1712</v>
      </c>
    </row>
    <row r="1449" spans="1:43" ht="21" customHeight="1" x14ac:dyDescent="0.15">
      <c r="A1449" s="107">
        <v>1713</v>
      </c>
      <c r="B1449" s="6" t="str">
        <f>VLOOKUP(A1449,[2]characters!$A:$C,3,FALSE)</f>
        <v>誓約の挙剣 ジークフリート</v>
      </c>
      <c r="C1449" s="9">
        <f>VLOOKUP(A1449,[2]characters!$A:$I,9,FALSE)</f>
        <v>5</v>
      </c>
      <c r="D1449" s="9" t="str">
        <f>VLOOKUP(A1449,[2]characters!$A:$H,8,FALSE)</f>
        <v>red</v>
      </c>
      <c r="E1449" s="24">
        <f>VLOOKUP(D1449,[2]属性!$A:$E,2,FALSE)</f>
        <v>1</v>
      </c>
      <c r="F1449" s="24">
        <f>VLOOKUP(D1449,[2]属性!$A:$E,3,FALSE)</f>
        <v>1.02</v>
      </c>
      <c r="G1449" s="24">
        <f>VLOOKUP(D1449,[2]属性!$A:$F,4,FALSE)</f>
        <v>1</v>
      </c>
      <c r="H1449" s="9" t="str">
        <f>VLOOKUP(A1449,[2]characters!$A:$K,11,FALSE)</f>
        <v>balance</v>
      </c>
      <c r="I1449" s="14" t="str">
        <f>VLOOKUP(H1449,[2]character_type_i18n!$A:$F,3,FALSE)</f>
        <v>バランスタイプ</v>
      </c>
      <c r="J1449" s="36">
        <f>VLOOKUP(H1449,[2]character_type_i18n!$A:$F,4,FALSE)</f>
        <v>1</v>
      </c>
      <c r="K1449" s="36">
        <f>VLOOKUP(H1449,[2]character_type_i18n!$A:$F,5,FALSE)</f>
        <v>1</v>
      </c>
      <c r="L1449" s="36">
        <f>VLOOKUP(H1449,[2]character_type_i18n!$A:$F,6,FALSE)</f>
        <v>1</v>
      </c>
      <c r="M1449" s="9" t="str">
        <f>VLOOKUP(A1449,[2]characters!$A:$M,13,FALSE)</f>
        <v>human</v>
      </c>
      <c r="N1449" s="14" t="str">
        <f>VLOOKUP(M1449,[2]character_tribe_i18n!$A:$F,3,FALSE)</f>
        <v>ヒューマン</v>
      </c>
      <c r="O1449" s="24">
        <f>VLOOKUP(M1449,[2]character_tribe_i18n!$A:$F,4,FALSE)</f>
        <v>0.94</v>
      </c>
      <c r="P1449" s="24">
        <f>VLOOKUP(M1449,[2]character_tribe_i18n!$A:$F,5,FALSE)</f>
        <v>0.99</v>
      </c>
      <c r="Q1449" s="24">
        <f>VLOOKUP(M1449,[2]character_tribe_i18n!$A:$F,6,FALSE)</f>
        <v>1</v>
      </c>
      <c r="R1449" s="25" t="s">
        <v>98</v>
      </c>
      <c r="S1449" s="24">
        <f>VLOOKUP($R1449,ラベル別係数!$A$1:$E$7,3,FALSE)</f>
        <v>5</v>
      </c>
      <c r="T1449" s="24">
        <f>VLOOKUP($R1449,ラベル別係数!$A$1:$E$7,4,FALSE)</f>
        <v>1.3</v>
      </c>
      <c r="U1449" s="24">
        <f>VLOOKUP($R1449,ラベル別係数!$A$1:$E$7,5,FALSE)</f>
        <v>0.8</v>
      </c>
      <c r="V1449" s="27">
        <v>3</v>
      </c>
      <c r="W1449" s="28">
        <f>VLOOKUP(V1449,ターン数別攻撃係数!$A$1:$B$1000,2,FALSE)</f>
        <v>1</v>
      </c>
      <c r="X1449" s="9">
        <f>VLOOKUP(C1449,サイズ別係数!A$2:B$9,2,FALSE)</f>
        <v>60</v>
      </c>
      <c r="Y1449" s="26">
        <f>VLOOKUP($X1449,サイズ別係数!$B:$E,2,FALSE)</f>
        <v>1.7</v>
      </c>
      <c r="Z1449" s="26">
        <f>VLOOKUP($X1449,サイズ別係数!$B:$E,3,FALSE)</f>
        <v>1.4</v>
      </c>
      <c r="AA1449" s="26">
        <f>VLOOKUP($X1449,サイズ別係数!$B:$E,4,FALSE)</f>
        <v>1</v>
      </c>
      <c r="AB1449" s="5">
        <v>0</v>
      </c>
      <c r="AC1449" s="34" t="str">
        <f ca="1">VLOOKUP($AB1449,OFFSET([3]enemy_skill_sets!$B$2,0,0,COUNTA([3]enemy_skill_sets!$A:$A),MATCH(AC$1,[3]enemy_skill_sets!$1:$1,0)-MATCH($AB$1,[3]enemy_skill_sets!$1:$1,0)+1),MATCH(AC$1,[3]enemy_skill_sets!$1:$1,0)-MATCH($AB$1,[3]enemy_skill_sets!$1:$1,0)+1,FALSE)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49" s="67">
        <v>1</v>
      </c>
      <c r="AE1449" s="67">
        <v>1</v>
      </c>
      <c r="AF1449" s="37">
        <v>0</v>
      </c>
      <c r="AG1449" s="99">
        <f>ROUND(VLOOKUP(1,enemy_base_stats!$A:$F,2,FALSE) * Y1449* J1449*O1449*E1449*S1449*AD1449*[2]ステータス!$B$2,0)</f>
        <v>3995</v>
      </c>
      <c r="AH1449" s="99">
        <f>ROUND(VLOOKUP(1,enemy_base_stats!$A:$F,3,FALSE) * Z1449*K1449*P1449*F1449*T1449*AE1449 * W1449*[2]ステータス!$C$2,0)</f>
        <v>276</v>
      </c>
      <c r="AI1449" s="99">
        <f>ROUND(VLOOKUP(1,enemy_base_stats!$A:$F,4,FALSE) * AA1449*L1449*Q1449*G1449*U1449*AF1449*[2]ステータス!$D$2,0)</f>
        <v>0</v>
      </c>
      <c r="AJ1449" s="99">
        <f>ROUND(VLOOKUP(100,enemy_base_stats!$A:$F,2,FALSE) * Y1449* J1449*O1449*E1449*S1449*AD1449*[2]ステータス!$B$2,0)</f>
        <v>162197</v>
      </c>
      <c r="AK1449" s="99">
        <f>ROUND(VLOOKUP(100,enemy_base_stats!$A:$F,3,FALSE)* Z1449* K1449*P1449*F1449*T1449*AE1449 * W1449*[2]ステータス!$C$2,0)</f>
        <v>11192</v>
      </c>
      <c r="AL1449" s="99">
        <f>ROUND(VLOOKUP(100,enemy_base_stats!$A:$F,4,FALSE)* AA1449* L1449*Q1449*G1449*U1449*AF1449*[2]ステータス!$D$2,0)</f>
        <v>0</v>
      </c>
      <c r="AM1449" s="97">
        <f>VLOOKUP(M1449,[2]character_tribe_i18n!$A:$I,9,FALSE)</f>
        <v>400</v>
      </c>
      <c r="AN1449" s="36">
        <v>0</v>
      </c>
      <c r="AO1449" s="53">
        <v>0</v>
      </c>
      <c r="AP1449" s="58" t="s">
        <v>72</v>
      </c>
      <c r="AQ1449" s="71">
        <f t="shared" si="85"/>
        <v>1713</v>
      </c>
    </row>
    <row r="1450" spans="1:43" ht="21" customHeight="1" x14ac:dyDescent="0.15">
      <c r="A1450" s="107">
        <v>1714</v>
      </c>
      <c r="B1450" s="6" t="str">
        <f>VLOOKUP(A1450,[2]characters!$A:$C,3,FALSE)</f>
        <v>仁愛の祝賀剣 ジークフリート</v>
      </c>
      <c r="C1450" s="9">
        <f>VLOOKUP(A1450,[2]characters!$A:$I,9,FALSE)</f>
        <v>5</v>
      </c>
      <c r="D1450" s="9" t="str">
        <f>VLOOKUP(A1450,[2]characters!$A:$H,8,FALSE)</f>
        <v>red</v>
      </c>
      <c r="E1450" s="24">
        <f>VLOOKUP(D1450,[2]属性!$A:$E,2,FALSE)</f>
        <v>1</v>
      </c>
      <c r="F1450" s="24">
        <f>VLOOKUP(D1450,[2]属性!$A:$E,3,FALSE)</f>
        <v>1.02</v>
      </c>
      <c r="G1450" s="24">
        <f>VLOOKUP(D1450,[2]属性!$A:$F,4,FALSE)</f>
        <v>1</v>
      </c>
      <c r="H1450" s="9" t="str">
        <f>VLOOKUP(A1450,[2]characters!$A:$K,11,FALSE)</f>
        <v>balance</v>
      </c>
      <c r="I1450" s="14" t="str">
        <f>VLOOKUP(H1450,[2]character_type_i18n!$A:$F,3,FALSE)</f>
        <v>バランスタイプ</v>
      </c>
      <c r="J1450" s="36">
        <f>VLOOKUP(H1450,[2]character_type_i18n!$A:$F,4,FALSE)</f>
        <v>1</v>
      </c>
      <c r="K1450" s="36">
        <f>VLOOKUP(H1450,[2]character_type_i18n!$A:$F,5,FALSE)</f>
        <v>1</v>
      </c>
      <c r="L1450" s="36">
        <f>VLOOKUP(H1450,[2]character_type_i18n!$A:$F,6,FALSE)</f>
        <v>1</v>
      </c>
      <c r="M1450" s="9" t="str">
        <f>VLOOKUP(A1450,[2]characters!$A:$M,13,FALSE)</f>
        <v>human</v>
      </c>
      <c r="N1450" s="14" t="str">
        <f>VLOOKUP(M1450,[2]character_tribe_i18n!$A:$F,3,FALSE)</f>
        <v>ヒューマン</v>
      </c>
      <c r="O1450" s="24">
        <f>VLOOKUP(M1450,[2]character_tribe_i18n!$A:$F,4,FALSE)</f>
        <v>0.94</v>
      </c>
      <c r="P1450" s="24">
        <f>VLOOKUP(M1450,[2]character_tribe_i18n!$A:$F,5,FALSE)</f>
        <v>0.99</v>
      </c>
      <c r="Q1450" s="24">
        <f>VLOOKUP(M1450,[2]character_tribe_i18n!$A:$F,6,FALSE)</f>
        <v>1</v>
      </c>
      <c r="R1450" s="25" t="s">
        <v>98</v>
      </c>
      <c r="S1450" s="24">
        <f>VLOOKUP($R1450,ラベル別係数!$A$1:$E$7,3,FALSE)</f>
        <v>5</v>
      </c>
      <c r="T1450" s="24">
        <f>VLOOKUP($R1450,ラベル別係数!$A$1:$E$7,4,FALSE)</f>
        <v>1.3</v>
      </c>
      <c r="U1450" s="24">
        <f>VLOOKUP($R1450,ラベル別係数!$A$1:$E$7,5,FALSE)</f>
        <v>0.8</v>
      </c>
      <c r="V1450" s="27">
        <v>3</v>
      </c>
      <c r="W1450" s="28">
        <f>VLOOKUP(V1450,ターン数別攻撃係数!$A$1:$B$1000,2,FALSE)</f>
        <v>1</v>
      </c>
      <c r="X1450" s="9">
        <f>VLOOKUP(C1450,サイズ別係数!A$2:B$9,2,FALSE)</f>
        <v>60</v>
      </c>
      <c r="Y1450" s="26">
        <f>VLOOKUP($X1450,サイズ別係数!$B:$E,2,FALSE)</f>
        <v>1.7</v>
      </c>
      <c r="Z1450" s="26">
        <f>VLOOKUP($X1450,サイズ別係数!$B:$E,3,FALSE)</f>
        <v>1.4</v>
      </c>
      <c r="AA1450" s="26">
        <f>VLOOKUP($X1450,サイズ別係数!$B:$E,4,FALSE)</f>
        <v>1</v>
      </c>
      <c r="AB1450" s="5">
        <v>0</v>
      </c>
      <c r="AC1450" s="34" t="str">
        <f ca="1">VLOOKUP($AB1450,OFFSET([3]enemy_skill_sets!$B$2,0,0,COUNTA([3]enemy_skill_sets!$A:$A),MATCH(AC$1,[3]enemy_skill_sets!$1:$1,0)-MATCH($AB$1,[3]enemy_skill_sets!$1:$1,0)+1),MATCH(AC$1,[3]enemy_skill_sets!$1:$1,0)-MATCH($AB$1,[3]enemy_skill_sets!$1:$1,0)+1,FALSE)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0" s="67">
        <v>1</v>
      </c>
      <c r="AE1450" s="67">
        <v>1</v>
      </c>
      <c r="AF1450" s="37">
        <v>0</v>
      </c>
      <c r="AG1450" s="99">
        <f>ROUND(VLOOKUP(1,enemy_base_stats!$A:$F,2,FALSE) * Y1450* J1450*O1450*E1450*S1450*AD1450*[2]ステータス!$B$2,0)</f>
        <v>3995</v>
      </c>
      <c r="AH1450" s="99">
        <f>ROUND(VLOOKUP(1,enemy_base_stats!$A:$F,3,FALSE) * Z1450*K1450*P1450*F1450*T1450*AE1450 * W1450*[2]ステータス!$C$2,0)</f>
        <v>276</v>
      </c>
      <c r="AI1450" s="99">
        <f>ROUND(VLOOKUP(1,enemy_base_stats!$A:$F,4,FALSE) * AA1450*L1450*Q1450*G1450*U1450*AF1450*[2]ステータス!$D$2,0)</f>
        <v>0</v>
      </c>
      <c r="AJ1450" s="99">
        <f>ROUND(VLOOKUP(100,enemy_base_stats!$A:$F,2,FALSE) * Y1450* J1450*O1450*E1450*S1450*AD1450*[2]ステータス!$B$2,0)</f>
        <v>162197</v>
      </c>
      <c r="AK1450" s="99">
        <f>ROUND(VLOOKUP(100,enemy_base_stats!$A:$F,3,FALSE)* Z1450* K1450*P1450*F1450*T1450*AE1450 * W1450*[2]ステータス!$C$2,0)</f>
        <v>11192</v>
      </c>
      <c r="AL1450" s="99">
        <f>ROUND(VLOOKUP(100,enemy_base_stats!$A:$F,4,FALSE)* AA1450* L1450*Q1450*G1450*U1450*AF1450*[2]ステータス!$D$2,0)</f>
        <v>0</v>
      </c>
      <c r="AM1450" s="97">
        <f>VLOOKUP(M1450,[2]character_tribe_i18n!$A:$I,9,FALSE)</f>
        <v>400</v>
      </c>
      <c r="AN1450" s="36">
        <v>0</v>
      </c>
      <c r="AO1450" s="53">
        <v>0</v>
      </c>
      <c r="AP1450" s="58" t="s">
        <v>72</v>
      </c>
      <c r="AQ1450" s="71">
        <f t="shared" si="85"/>
        <v>1714</v>
      </c>
    </row>
    <row r="1451" spans="1:43" ht="21" customHeight="1" x14ac:dyDescent="0.15">
      <c r="A1451" s="107">
        <v>1715</v>
      </c>
      <c r="B1451" s="6" t="str">
        <f>VLOOKUP(A1451,[2]characters!$A:$C,3,FALSE)</f>
        <v>森歓の祝宴 アマラ</v>
      </c>
      <c r="C1451" s="9">
        <f>VLOOKUP(A1451,[2]characters!$A:$I,9,FALSE)</f>
        <v>5</v>
      </c>
      <c r="D1451" s="9" t="str">
        <f>VLOOKUP(A1451,[2]characters!$A:$H,8,FALSE)</f>
        <v>blue</v>
      </c>
      <c r="E1451" s="24">
        <f>VLOOKUP(D1451,[2]属性!$A:$E,2,FALSE)</f>
        <v>1</v>
      </c>
      <c r="F1451" s="24">
        <f>VLOOKUP(D1451,[2]属性!$A:$E,3,FALSE)</f>
        <v>0.98</v>
      </c>
      <c r="G1451" s="24">
        <f>VLOOKUP(D1451,[2]属性!$A:$F,4,FALSE)</f>
        <v>1</v>
      </c>
      <c r="H1451" s="9" t="str">
        <f>VLOOKUP(A1451,[2]characters!$A:$K,11,FALSE)</f>
        <v>attack</v>
      </c>
      <c r="I1451" s="14" t="str">
        <f>VLOOKUP(H1451,[2]character_type_i18n!$A:$F,3,FALSE)</f>
        <v>攻撃タイプ</v>
      </c>
      <c r="J1451" s="36">
        <f>VLOOKUP(H1451,[2]character_type_i18n!$A:$F,4,FALSE)</f>
        <v>1</v>
      </c>
      <c r="K1451" s="36">
        <f>VLOOKUP(H1451,[2]character_type_i18n!$A:$F,5,FALSE)</f>
        <v>1.33</v>
      </c>
      <c r="L1451" s="36">
        <f>VLOOKUP(H1451,[2]character_type_i18n!$A:$F,6,FALSE)</f>
        <v>1</v>
      </c>
      <c r="M1451" s="9" t="str">
        <f>VLOOKUP(A1451,[2]characters!$A:$M,13,FALSE)</f>
        <v>animal</v>
      </c>
      <c r="N1451" s="14" t="str">
        <f>VLOOKUP(M1451,[2]character_tribe_i18n!$A:$F,3,FALSE)</f>
        <v>アニマル</v>
      </c>
      <c r="O1451" s="24">
        <f>VLOOKUP(M1451,[2]character_tribe_i18n!$A:$F,4,FALSE)</f>
        <v>1</v>
      </c>
      <c r="P1451" s="24">
        <f>VLOOKUP(M1451,[2]character_tribe_i18n!$A:$F,5,FALSE)</f>
        <v>1.1000000000000001</v>
      </c>
      <c r="Q1451" s="24">
        <f>VLOOKUP(M1451,[2]character_tribe_i18n!$A:$F,6,FALSE)</f>
        <v>1</v>
      </c>
      <c r="R1451" s="25" t="s">
        <v>98</v>
      </c>
      <c r="S1451" s="24">
        <f>VLOOKUP($R1451,ラベル別係数!$A$1:$E$7,3,FALSE)</f>
        <v>5</v>
      </c>
      <c r="T1451" s="24">
        <f>VLOOKUP($R1451,ラベル別係数!$A$1:$E$7,4,FALSE)</f>
        <v>1.3</v>
      </c>
      <c r="U1451" s="24">
        <f>VLOOKUP($R1451,ラベル別係数!$A$1:$E$7,5,FALSE)</f>
        <v>0.8</v>
      </c>
      <c r="V1451" s="27">
        <v>3</v>
      </c>
      <c r="W1451" s="28">
        <f>VLOOKUP(V1451,ターン数別攻撃係数!$A$1:$B$1000,2,FALSE)</f>
        <v>1</v>
      </c>
      <c r="X1451" s="9">
        <f>VLOOKUP(C1451,サイズ別係数!A$2:B$9,2,FALSE)</f>
        <v>60</v>
      </c>
      <c r="Y1451" s="26">
        <f>VLOOKUP($X1451,サイズ別係数!$B:$E,2,FALSE)</f>
        <v>1.7</v>
      </c>
      <c r="Z1451" s="26">
        <f>VLOOKUP($X1451,サイズ別係数!$B:$E,3,FALSE)</f>
        <v>1.4</v>
      </c>
      <c r="AA1451" s="26">
        <f>VLOOKUP($X1451,サイズ別係数!$B:$E,4,FALSE)</f>
        <v>1</v>
      </c>
      <c r="AB1451" s="5">
        <v>0</v>
      </c>
      <c r="AC1451" s="34" t="str">
        <f ca="1">VLOOKUP($AB1451,OFFSET([3]enemy_skill_sets!$B$2,0,0,COUNTA([3]enemy_skill_sets!$A:$A),MATCH(AC$1,[3]enemy_skill_sets!$1:$1,0)-MATCH($AB$1,[3]enemy_skill_sets!$1:$1,0)+1),MATCH(AC$1,[3]enemy_skill_sets!$1:$1,0)-MATCH($AB$1,[3]enemy_skill_sets!$1:$1,0)+1,FALSE)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1" s="67">
        <v>1</v>
      </c>
      <c r="AE1451" s="67">
        <v>1</v>
      </c>
      <c r="AF1451" s="37">
        <v>0</v>
      </c>
      <c r="AG1451" s="99">
        <f>ROUND(VLOOKUP(1,enemy_base_stats!$A:$F,2,FALSE) * Y1451* J1451*O1451*E1451*S1451*AD1451*[2]ステータス!$B$2,0)</f>
        <v>4250</v>
      </c>
      <c r="AH1451" s="99">
        <f>ROUND(VLOOKUP(1,enemy_base_stats!$A:$F,3,FALSE) * Z1451*K1451*P1451*F1451*T1451*AE1451 * W1451*[2]ステータス!$C$2,0)</f>
        <v>391</v>
      </c>
      <c r="AI1451" s="99">
        <f>ROUND(VLOOKUP(1,enemy_base_stats!$A:$F,4,FALSE) * AA1451*L1451*Q1451*G1451*U1451*AF1451*[2]ステータス!$D$2,0)</f>
        <v>0</v>
      </c>
      <c r="AJ1451" s="99">
        <f>ROUND(VLOOKUP(100,enemy_base_stats!$A:$F,2,FALSE) * Y1451* J1451*O1451*E1451*S1451*AD1451*[2]ステータス!$B$2,0)</f>
        <v>172550</v>
      </c>
      <c r="AK1451" s="99">
        <f>ROUND(VLOOKUP(100,enemy_base_stats!$A:$F,3,FALSE)* Z1451* K1451*P1451*F1451*T1451*AE1451 * W1451*[2]ステータス!$C$2,0)</f>
        <v>15891</v>
      </c>
      <c r="AL1451" s="99">
        <f>ROUND(VLOOKUP(100,enemy_base_stats!$A:$F,4,FALSE)* AA1451* L1451*Q1451*G1451*U1451*AF1451*[2]ステータス!$D$2,0)</f>
        <v>0</v>
      </c>
      <c r="AM1451" s="97">
        <f>VLOOKUP(M1451,[2]character_tribe_i18n!$A:$I,9,FALSE)</f>
        <v>480</v>
      </c>
      <c r="AN1451" s="36">
        <v>0</v>
      </c>
      <c r="AO1451" s="53">
        <v>0</v>
      </c>
      <c r="AP1451" s="58" t="s">
        <v>72</v>
      </c>
      <c r="AQ1451" s="71">
        <f t="shared" si="85"/>
        <v>1715</v>
      </c>
    </row>
    <row r="1452" spans="1:43" ht="21" customHeight="1" x14ac:dyDescent="0.15">
      <c r="A1452" s="107">
        <v>1716</v>
      </c>
      <c r="B1452" s="6" t="str">
        <f>VLOOKUP(A1452,[2]characters!$A:$C,3,FALSE)</f>
        <v>森婚の祝福祭 アマラ</v>
      </c>
      <c r="C1452" s="9">
        <f>VLOOKUP(A1452,[2]characters!$A:$I,9,FALSE)</f>
        <v>5</v>
      </c>
      <c r="D1452" s="9" t="str">
        <f>VLOOKUP(A1452,[2]characters!$A:$H,8,FALSE)</f>
        <v>blue</v>
      </c>
      <c r="E1452" s="24">
        <f>VLOOKUP(D1452,[2]属性!$A:$E,2,FALSE)</f>
        <v>1</v>
      </c>
      <c r="F1452" s="24">
        <f>VLOOKUP(D1452,[2]属性!$A:$E,3,FALSE)</f>
        <v>0.98</v>
      </c>
      <c r="G1452" s="24">
        <f>VLOOKUP(D1452,[2]属性!$A:$F,4,FALSE)</f>
        <v>1</v>
      </c>
      <c r="H1452" s="9" t="str">
        <f>VLOOKUP(A1452,[2]characters!$A:$K,11,FALSE)</f>
        <v>attack</v>
      </c>
      <c r="I1452" s="14" t="str">
        <f>VLOOKUP(H1452,[2]character_type_i18n!$A:$F,3,FALSE)</f>
        <v>攻撃タイプ</v>
      </c>
      <c r="J1452" s="36">
        <f>VLOOKUP(H1452,[2]character_type_i18n!$A:$F,4,FALSE)</f>
        <v>1</v>
      </c>
      <c r="K1452" s="36">
        <f>VLOOKUP(H1452,[2]character_type_i18n!$A:$F,5,FALSE)</f>
        <v>1.33</v>
      </c>
      <c r="L1452" s="36">
        <f>VLOOKUP(H1452,[2]character_type_i18n!$A:$F,6,FALSE)</f>
        <v>1</v>
      </c>
      <c r="M1452" s="9" t="str">
        <f>VLOOKUP(A1452,[2]characters!$A:$M,13,FALSE)</f>
        <v>animal</v>
      </c>
      <c r="N1452" s="14" t="str">
        <f>VLOOKUP(M1452,[2]character_tribe_i18n!$A:$F,3,FALSE)</f>
        <v>アニマル</v>
      </c>
      <c r="O1452" s="24">
        <f>VLOOKUP(M1452,[2]character_tribe_i18n!$A:$F,4,FALSE)</f>
        <v>1</v>
      </c>
      <c r="P1452" s="24">
        <f>VLOOKUP(M1452,[2]character_tribe_i18n!$A:$F,5,FALSE)</f>
        <v>1.1000000000000001</v>
      </c>
      <c r="Q1452" s="24">
        <f>VLOOKUP(M1452,[2]character_tribe_i18n!$A:$F,6,FALSE)</f>
        <v>1</v>
      </c>
      <c r="R1452" s="25" t="s">
        <v>98</v>
      </c>
      <c r="S1452" s="24">
        <f>VLOOKUP($R1452,ラベル別係数!$A$1:$E$7,3,FALSE)</f>
        <v>5</v>
      </c>
      <c r="T1452" s="24">
        <f>VLOOKUP($R1452,ラベル別係数!$A$1:$E$7,4,FALSE)</f>
        <v>1.3</v>
      </c>
      <c r="U1452" s="24">
        <f>VLOOKUP($R1452,ラベル別係数!$A$1:$E$7,5,FALSE)</f>
        <v>0.8</v>
      </c>
      <c r="V1452" s="27">
        <v>3</v>
      </c>
      <c r="W1452" s="28">
        <f>VLOOKUP(V1452,ターン数別攻撃係数!$A$1:$B$1000,2,FALSE)</f>
        <v>1</v>
      </c>
      <c r="X1452" s="9">
        <f>VLOOKUP(C1452,サイズ別係数!A$2:B$9,2,FALSE)</f>
        <v>60</v>
      </c>
      <c r="Y1452" s="26">
        <f>VLOOKUP($X1452,サイズ別係数!$B:$E,2,FALSE)</f>
        <v>1.7</v>
      </c>
      <c r="Z1452" s="26">
        <f>VLOOKUP($X1452,サイズ別係数!$B:$E,3,FALSE)</f>
        <v>1.4</v>
      </c>
      <c r="AA1452" s="26">
        <f>VLOOKUP($X1452,サイズ別係数!$B:$E,4,FALSE)</f>
        <v>1</v>
      </c>
      <c r="AB1452" s="5">
        <v>0</v>
      </c>
      <c r="AC1452" s="34" t="str">
        <f ca="1">VLOOKUP($AB1452,OFFSET([3]enemy_skill_sets!$B$2,0,0,COUNTA([3]enemy_skill_sets!$A:$A),MATCH(AC$1,[3]enemy_skill_sets!$1:$1,0)-MATCH($AB$1,[3]enemy_skill_sets!$1:$1,0)+1),MATCH(AC$1,[3]enemy_skill_sets!$1:$1,0)-MATCH($AB$1,[3]enemy_skill_sets!$1:$1,0)+1,FALSE)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2" s="67">
        <v>1</v>
      </c>
      <c r="AE1452" s="67">
        <v>1</v>
      </c>
      <c r="AF1452" s="37">
        <v>0</v>
      </c>
      <c r="AG1452" s="99">
        <f>ROUND(VLOOKUP(1,enemy_base_stats!$A:$F,2,FALSE) * Y1452* J1452*O1452*E1452*S1452*AD1452*[2]ステータス!$B$2,0)</f>
        <v>4250</v>
      </c>
      <c r="AH1452" s="99">
        <f>ROUND(VLOOKUP(1,enemy_base_stats!$A:$F,3,FALSE) * Z1452*K1452*P1452*F1452*T1452*AE1452 * W1452*[2]ステータス!$C$2,0)</f>
        <v>391</v>
      </c>
      <c r="AI1452" s="99">
        <f>ROUND(VLOOKUP(1,enemy_base_stats!$A:$F,4,FALSE) * AA1452*L1452*Q1452*G1452*U1452*AF1452*[2]ステータス!$D$2,0)</f>
        <v>0</v>
      </c>
      <c r="AJ1452" s="99">
        <f>ROUND(VLOOKUP(100,enemy_base_stats!$A:$F,2,FALSE) * Y1452* J1452*O1452*E1452*S1452*AD1452*[2]ステータス!$B$2,0)</f>
        <v>172550</v>
      </c>
      <c r="AK1452" s="99">
        <f>ROUND(VLOOKUP(100,enemy_base_stats!$A:$F,3,FALSE)* Z1452* K1452*P1452*F1452*T1452*AE1452 * W1452*[2]ステータス!$C$2,0)</f>
        <v>15891</v>
      </c>
      <c r="AL1452" s="99">
        <f>ROUND(VLOOKUP(100,enemy_base_stats!$A:$F,4,FALSE)* AA1452* L1452*Q1452*G1452*U1452*AF1452*[2]ステータス!$D$2,0)</f>
        <v>0</v>
      </c>
      <c r="AM1452" s="97">
        <f>VLOOKUP(M1452,[2]character_tribe_i18n!$A:$I,9,FALSE)</f>
        <v>480</v>
      </c>
      <c r="AN1452" s="36">
        <v>0</v>
      </c>
      <c r="AO1452" s="53">
        <v>0</v>
      </c>
      <c r="AP1452" s="58" t="s">
        <v>72</v>
      </c>
      <c r="AQ1452" s="71">
        <f t="shared" si="85"/>
        <v>1716</v>
      </c>
    </row>
    <row r="1453" spans="1:43" ht="21" customHeight="1" x14ac:dyDescent="0.15">
      <c r="A1453" s="107">
        <v>1717</v>
      </c>
      <c r="B1453" s="6" t="str">
        <f>VLOOKUP(A1453,[2]characters!$A:$C,3,FALSE)</f>
        <v>ラブリーエンジェル</v>
      </c>
      <c r="C1453" s="9">
        <f>VLOOKUP(A1453,[2]characters!$A:$I,9,FALSE)</f>
        <v>4</v>
      </c>
      <c r="D1453" s="9" t="str">
        <f>VLOOKUP(A1453,[2]characters!$A:$H,8,FALSE)</f>
        <v>red</v>
      </c>
      <c r="E1453" s="24">
        <f>VLOOKUP(D1453,[2]属性!$A:$E,2,FALSE)</f>
        <v>1</v>
      </c>
      <c r="F1453" s="24">
        <f>VLOOKUP(D1453,[2]属性!$A:$E,3,FALSE)</f>
        <v>1.02</v>
      </c>
      <c r="G1453" s="24">
        <f>VLOOKUP(D1453,[2]属性!$A:$F,4,FALSE)</f>
        <v>1</v>
      </c>
      <c r="H1453" s="9" t="str">
        <f>VLOOKUP(A1453,[2]characters!$A:$K,11,FALSE)</f>
        <v>technical</v>
      </c>
      <c r="I1453" s="14" t="str">
        <f>VLOOKUP(H1453,[2]character_type_i18n!$A:$F,3,FALSE)</f>
        <v>テクニカルタイプ</v>
      </c>
      <c r="J1453" s="36">
        <f>VLOOKUP(H1453,[2]character_type_i18n!$A:$F,4,FALSE)</f>
        <v>0.9</v>
      </c>
      <c r="K1453" s="36">
        <f>VLOOKUP(H1453,[2]character_type_i18n!$A:$F,5,FALSE)</f>
        <v>0.9</v>
      </c>
      <c r="L1453" s="36">
        <f>VLOOKUP(H1453,[2]character_type_i18n!$A:$F,6,FALSE)</f>
        <v>1</v>
      </c>
      <c r="M1453" s="9" t="str">
        <f>VLOOKUP(A1453,[2]characters!$A:$M,13,FALSE)</f>
        <v>unknown</v>
      </c>
      <c r="N1453" s="14" t="str">
        <f>VLOOKUP(M1453,[2]character_tribe_i18n!$A:$F,3,FALSE)</f>
        <v>Unknown</v>
      </c>
      <c r="O1453" s="24">
        <f>VLOOKUP(M1453,[2]character_tribe_i18n!$A:$F,4,FALSE)</f>
        <v>1</v>
      </c>
      <c r="P1453" s="24">
        <f>VLOOKUP(M1453,[2]character_tribe_i18n!$A:$F,5,FALSE)</f>
        <v>1</v>
      </c>
      <c r="Q1453" s="24">
        <f>VLOOKUP(M1453,[2]character_tribe_i18n!$A:$F,6,FALSE)</f>
        <v>1</v>
      </c>
      <c r="R1453" s="25" t="s">
        <v>98</v>
      </c>
      <c r="S1453" s="24">
        <f>VLOOKUP($R1453,ラベル別係数!$A$1:$E$7,3,FALSE)</f>
        <v>5</v>
      </c>
      <c r="T1453" s="24">
        <f>VLOOKUP($R1453,ラベル別係数!$A$1:$E$7,4,FALSE)</f>
        <v>1.3</v>
      </c>
      <c r="U1453" s="24">
        <f>VLOOKUP($R1453,ラベル別係数!$A$1:$E$7,5,FALSE)</f>
        <v>0.8</v>
      </c>
      <c r="V1453" s="27">
        <v>3</v>
      </c>
      <c r="W1453" s="28">
        <f>VLOOKUP(V1453,ターン数別攻撃係数!$A$1:$B$1000,2,FALSE)</f>
        <v>1</v>
      </c>
      <c r="X1453" s="9">
        <f>VLOOKUP(C1453,サイズ別係数!A$2:B$9,2,FALSE)</f>
        <v>30</v>
      </c>
      <c r="Y1453" s="26">
        <f>VLOOKUP($X1453,サイズ別係数!$B:$E,2,FALSE)</f>
        <v>1.3</v>
      </c>
      <c r="Z1453" s="26">
        <f>VLOOKUP($X1453,サイズ別係数!$B:$E,3,FALSE)</f>
        <v>1.3</v>
      </c>
      <c r="AA1453" s="26">
        <f>VLOOKUP($X1453,サイズ別係数!$B:$E,4,FALSE)</f>
        <v>1.1000000000000001</v>
      </c>
      <c r="AB1453" s="5">
        <v>0</v>
      </c>
      <c r="AC1453" s="34" t="str">
        <f ca="1">VLOOKUP($AB1453,OFFSET([3]enemy_skill_sets!$B$2,0,0,COUNTA([3]enemy_skill_sets!$A:$A),MATCH(AC$1,[3]enemy_skill_sets!$1:$1,0)-MATCH($AB$1,[3]enemy_skill_sets!$1:$1,0)+1),MATCH(AC$1,[3]enemy_skill_sets!$1:$1,0)-MATCH($AB$1,[3]enemy_skill_sets!$1:$1,0)+1,FALSE)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3" s="67">
        <v>1</v>
      </c>
      <c r="AE1453" s="67">
        <v>1</v>
      </c>
      <c r="AF1453" s="37">
        <v>0</v>
      </c>
      <c r="AG1453" s="99">
        <f>ROUND(VLOOKUP(1,enemy_base_stats!$A:$F,2,FALSE) * Y1453* J1453*O1453*E1453*S1453*AD1453*[2]ステータス!$B$2,0)</f>
        <v>2925</v>
      </c>
      <c r="AH1453" s="99">
        <f>ROUND(VLOOKUP(1,enemy_base_stats!$A:$F,3,FALSE) * Z1453*K1453*P1453*F1453*T1453*AE1453 * W1453*[2]ステータス!$C$2,0)</f>
        <v>233</v>
      </c>
      <c r="AI1453" s="99">
        <f>ROUND(VLOOKUP(1,enemy_base_stats!$A:$F,4,FALSE) * AA1453*L1453*Q1453*G1453*U1453*AF1453*[2]ステータス!$D$2,0)</f>
        <v>0</v>
      </c>
      <c r="AJ1453" s="99">
        <f>ROUND(VLOOKUP(100,enemy_base_stats!$A:$F,2,FALSE) * Y1453* J1453*O1453*E1453*S1453*AD1453*[2]ステータス!$B$2,0)</f>
        <v>118755</v>
      </c>
      <c r="AK1453" s="99">
        <f>ROUND(VLOOKUP(100,enemy_base_stats!$A:$F,3,FALSE)* Z1453* K1453*P1453*F1453*T1453*AE1453 * W1453*[2]ステータス!$C$2,0)</f>
        <v>9448</v>
      </c>
      <c r="AL1453" s="99">
        <f>ROUND(VLOOKUP(100,enemy_base_stats!$A:$F,4,FALSE)* AA1453* L1453*Q1453*G1453*U1453*AF1453*[2]ステータス!$D$2,0)</f>
        <v>0</v>
      </c>
      <c r="AM1453" s="97">
        <f>VLOOKUP(M1453,[2]character_tribe_i18n!$A:$I,9,FALSE)</f>
        <v>340</v>
      </c>
      <c r="AN1453" s="36">
        <v>0</v>
      </c>
      <c r="AO1453" s="53">
        <v>0</v>
      </c>
      <c r="AP1453" s="58" t="s">
        <v>72</v>
      </c>
      <c r="AQ1453" s="71">
        <f t="shared" ref="AQ1453:AQ1455" si="86">A1453</f>
        <v>1717</v>
      </c>
    </row>
    <row r="1454" spans="1:43" ht="21" customHeight="1" x14ac:dyDescent="0.15">
      <c r="A1454" s="107">
        <v>1718</v>
      </c>
      <c r="B1454" s="6" t="str">
        <f>VLOOKUP(A1454,[2]characters!$A:$C,3,FALSE)</f>
        <v>マリッジリング</v>
      </c>
      <c r="C1454" s="9">
        <f>VLOOKUP(A1454,[2]characters!$A:$I,9,FALSE)</f>
        <v>5</v>
      </c>
      <c r="D1454" s="9" t="str">
        <f>VLOOKUP(A1454,[2]characters!$A:$H,8,FALSE)</f>
        <v>yellow</v>
      </c>
      <c r="E1454" s="24">
        <f>VLOOKUP(D1454,[2]属性!$A:$E,2,FALSE)</f>
        <v>0.98</v>
      </c>
      <c r="F1454" s="24">
        <f>VLOOKUP(D1454,[2]属性!$A:$E,3,FALSE)</f>
        <v>1.01</v>
      </c>
      <c r="G1454" s="24">
        <f>VLOOKUP(D1454,[2]属性!$A:$F,4,FALSE)</f>
        <v>1</v>
      </c>
      <c r="H1454" s="9" t="str">
        <f>VLOOKUP(A1454,[2]characters!$A:$K,11,FALSE)</f>
        <v>technical</v>
      </c>
      <c r="I1454" s="14" t="str">
        <f>VLOOKUP(H1454,[2]character_type_i18n!$A:$F,3,FALSE)</f>
        <v>テクニカルタイプ</v>
      </c>
      <c r="J1454" s="36">
        <f>VLOOKUP(H1454,[2]character_type_i18n!$A:$F,4,FALSE)</f>
        <v>0.9</v>
      </c>
      <c r="K1454" s="36">
        <f>VLOOKUP(H1454,[2]character_type_i18n!$A:$F,5,FALSE)</f>
        <v>0.9</v>
      </c>
      <c r="L1454" s="36">
        <f>VLOOKUP(H1454,[2]character_type_i18n!$A:$F,6,FALSE)</f>
        <v>1</v>
      </c>
      <c r="M1454" s="9" t="str">
        <f>VLOOKUP(A1454,[2]characters!$A:$M,13,FALSE)</f>
        <v>unknown</v>
      </c>
      <c r="N1454" s="14" t="str">
        <f>VLOOKUP(M1454,[2]character_tribe_i18n!$A:$F,3,FALSE)</f>
        <v>Unknown</v>
      </c>
      <c r="O1454" s="24">
        <f>VLOOKUP(M1454,[2]character_tribe_i18n!$A:$F,4,FALSE)</f>
        <v>1</v>
      </c>
      <c r="P1454" s="24">
        <f>VLOOKUP(M1454,[2]character_tribe_i18n!$A:$F,5,FALSE)</f>
        <v>1</v>
      </c>
      <c r="Q1454" s="24">
        <f>VLOOKUP(M1454,[2]character_tribe_i18n!$A:$F,6,FALSE)</f>
        <v>1</v>
      </c>
      <c r="R1454" s="25" t="s">
        <v>98</v>
      </c>
      <c r="S1454" s="24">
        <f>VLOOKUP($R1454,ラベル別係数!$A$1:$E$7,3,FALSE)</f>
        <v>5</v>
      </c>
      <c r="T1454" s="24">
        <f>VLOOKUP($R1454,ラベル別係数!$A$1:$E$7,4,FALSE)</f>
        <v>1.3</v>
      </c>
      <c r="U1454" s="24">
        <f>VLOOKUP($R1454,ラベル別係数!$A$1:$E$7,5,FALSE)</f>
        <v>0.8</v>
      </c>
      <c r="V1454" s="27">
        <v>3</v>
      </c>
      <c r="W1454" s="28">
        <f>VLOOKUP(V1454,ターン数別攻撃係数!$A$1:$B$1000,2,FALSE)</f>
        <v>1</v>
      </c>
      <c r="X1454" s="9">
        <f>VLOOKUP(C1454,サイズ別係数!A$2:B$9,2,FALSE)</f>
        <v>60</v>
      </c>
      <c r="Y1454" s="26">
        <f>VLOOKUP($X1454,サイズ別係数!$B:$E,2,FALSE)</f>
        <v>1.7</v>
      </c>
      <c r="Z1454" s="26">
        <f>VLOOKUP($X1454,サイズ別係数!$B:$E,3,FALSE)</f>
        <v>1.4</v>
      </c>
      <c r="AA1454" s="26">
        <f>VLOOKUP($X1454,サイズ別係数!$B:$E,4,FALSE)</f>
        <v>1</v>
      </c>
      <c r="AB1454" s="5">
        <v>0</v>
      </c>
      <c r="AC1454" s="34" t="str">
        <f ca="1">VLOOKUP($AB1454,OFFSET([3]enemy_skill_sets!$B$2,0,0,COUNTA([3]enemy_skill_sets!$A:$A),MATCH(AC$1,[3]enemy_skill_sets!$1:$1,0)-MATCH($AB$1,[3]enemy_skill_sets!$1:$1,0)+1),MATCH(AC$1,[3]enemy_skill_sets!$1:$1,0)-MATCH($AB$1,[3]enemy_skill_sets!$1:$1,0)+1,FALSE)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4" s="67">
        <v>1</v>
      </c>
      <c r="AE1454" s="67">
        <v>1</v>
      </c>
      <c r="AF1454" s="37">
        <v>0</v>
      </c>
      <c r="AG1454" s="99">
        <f>ROUND(VLOOKUP(1,enemy_base_stats!$A:$F,2,FALSE) * Y1454* J1454*O1454*E1454*S1454*AD1454*[2]ステータス!$B$2,0)</f>
        <v>3749</v>
      </c>
      <c r="AH1454" s="99">
        <f>ROUND(VLOOKUP(1,enemy_base_stats!$A:$F,3,FALSE) * Z1454*K1454*P1454*F1454*T1454*AE1454 * W1454*[2]ステータス!$C$2,0)</f>
        <v>248</v>
      </c>
      <c r="AI1454" s="99">
        <f>ROUND(VLOOKUP(1,enemy_base_stats!$A:$F,4,FALSE) * AA1454*L1454*Q1454*G1454*U1454*AF1454*[2]ステータス!$D$2,0)</f>
        <v>0</v>
      </c>
      <c r="AJ1454" s="99">
        <f>ROUND(VLOOKUP(100,enemy_base_stats!$A:$F,2,FALSE) * Y1454* J1454*O1454*E1454*S1454*AD1454*[2]ステータス!$B$2,0)</f>
        <v>152189</v>
      </c>
      <c r="AK1454" s="99">
        <f>ROUND(VLOOKUP(100,enemy_base_stats!$A:$F,3,FALSE)* Z1454* K1454*P1454*F1454*T1454*AE1454 * W1454*[2]ステータス!$C$2,0)</f>
        <v>10075</v>
      </c>
      <c r="AL1454" s="99">
        <f>ROUND(VLOOKUP(100,enemy_base_stats!$A:$F,4,FALSE)* AA1454* L1454*Q1454*G1454*U1454*AF1454*[2]ステータス!$D$2,0)</f>
        <v>0</v>
      </c>
      <c r="AM1454" s="97">
        <f>VLOOKUP(M1454,[2]character_tribe_i18n!$A:$I,9,FALSE)</f>
        <v>340</v>
      </c>
      <c r="AN1454" s="36">
        <v>0</v>
      </c>
      <c r="AO1454" s="53">
        <v>0</v>
      </c>
      <c r="AP1454" s="58" t="s">
        <v>72</v>
      </c>
      <c r="AQ1454" s="71">
        <f t="shared" si="86"/>
        <v>1718</v>
      </c>
    </row>
    <row r="1455" spans="1:43" ht="21" customHeight="1" x14ac:dyDescent="0.15">
      <c r="A1455" s="107">
        <v>1719</v>
      </c>
      <c r="B1455" s="6" t="str">
        <f>VLOOKUP(A1455,[2]characters!$A:$C,3,FALSE)</f>
        <v>トゥルー・マリッジリング</v>
      </c>
      <c r="C1455" s="9">
        <f>VLOOKUP(A1455,[2]characters!$A:$I,9,FALSE)</f>
        <v>6</v>
      </c>
      <c r="D1455" s="9" t="str">
        <f>VLOOKUP(A1455,[2]characters!$A:$H,8,FALSE)</f>
        <v>yellow</v>
      </c>
      <c r="E1455" s="24">
        <f>VLOOKUP(D1455,[2]属性!$A:$E,2,FALSE)</f>
        <v>0.98</v>
      </c>
      <c r="F1455" s="24">
        <f>VLOOKUP(D1455,[2]属性!$A:$E,3,FALSE)</f>
        <v>1.01</v>
      </c>
      <c r="G1455" s="24">
        <f>VLOOKUP(D1455,[2]属性!$A:$F,4,FALSE)</f>
        <v>1</v>
      </c>
      <c r="H1455" s="9" t="str">
        <f>VLOOKUP(A1455,[2]characters!$A:$K,11,FALSE)</f>
        <v>evolution</v>
      </c>
      <c r="I1455" s="14" t="str">
        <f>VLOOKUP(H1455,[2]character_type_i18n!$A:$F,3,FALSE)</f>
        <v>覚醒素材タイプ</v>
      </c>
      <c r="J1455" s="36">
        <f>VLOOKUP(H1455,[2]character_type_i18n!$A:$F,4,FALSE)</f>
        <v>0.1</v>
      </c>
      <c r="K1455" s="36">
        <f>VLOOKUP(H1455,[2]character_type_i18n!$A:$F,5,FALSE)</f>
        <v>0.05</v>
      </c>
      <c r="L1455" s="36">
        <f>VLOOKUP(H1455,[2]character_type_i18n!$A:$F,6,FALSE)</f>
        <v>1</v>
      </c>
      <c r="M1455" s="9" t="str">
        <f>VLOOKUP(A1455,[2]characters!$A:$M,13,FALSE)</f>
        <v>unknown</v>
      </c>
      <c r="N1455" s="14" t="str">
        <f>VLOOKUP(M1455,[2]character_tribe_i18n!$A:$F,3,FALSE)</f>
        <v>Unknown</v>
      </c>
      <c r="O1455" s="24">
        <f>VLOOKUP(M1455,[2]character_tribe_i18n!$A:$F,4,FALSE)</f>
        <v>1</v>
      </c>
      <c r="P1455" s="24">
        <f>VLOOKUP(M1455,[2]character_tribe_i18n!$A:$F,5,FALSE)</f>
        <v>1</v>
      </c>
      <c r="Q1455" s="24">
        <f>VLOOKUP(M1455,[2]character_tribe_i18n!$A:$F,6,FALSE)</f>
        <v>1</v>
      </c>
      <c r="R1455" s="25" t="s">
        <v>98</v>
      </c>
      <c r="S1455" s="24">
        <f>VLOOKUP($R1455,ラベル別係数!$A$1:$E$7,3,FALSE)</f>
        <v>5</v>
      </c>
      <c r="T1455" s="24">
        <f>VLOOKUP($R1455,ラベル別係数!$A$1:$E$7,4,FALSE)</f>
        <v>1.3</v>
      </c>
      <c r="U1455" s="24">
        <f>VLOOKUP($R1455,ラベル別係数!$A$1:$E$7,5,FALSE)</f>
        <v>0.8</v>
      </c>
      <c r="V1455" s="27">
        <v>3</v>
      </c>
      <c r="W1455" s="28">
        <f>VLOOKUP(V1455,ターン数別攻撃係数!$A$1:$B$1000,2,FALSE)</f>
        <v>1</v>
      </c>
      <c r="X1455" s="9">
        <f>VLOOKUP(C1455,サイズ別係数!A$2:B$9,2,FALSE)</f>
        <v>60</v>
      </c>
      <c r="Y1455" s="26">
        <f>VLOOKUP($X1455,サイズ別係数!$B:$E,2,FALSE)</f>
        <v>1.7</v>
      </c>
      <c r="Z1455" s="26">
        <f>VLOOKUP($X1455,サイズ別係数!$B:$E,3,FALSE)</f>
        <v>1.4</v>
      </c>
      <c r="AA1455" s="26">
        <f>VLOOKUP($X1455,サイズ別係数!$B:$E,4,FALSE)</f>
        <v>1</v>
      </c>
      <c r="AB1455" s="5">
        <v>0</v>
      </c>
      <c r="AC1455" s="34" t="str">
        <f ca="1">VLOOKUP($AB1455,OFFSET([3]enemy_skill_sets!$B$2,0,0,COUNTA([3]enemy_skill_sets!$A:$A),MATCH(AC$1,[3]enemy_skill_sets!$1:$1,0)-MATCH($AB$1,[3]enemy_skill_sets!$1:$1,0)+1),MATCH(AC$1,[3]enemy_skill_sets!$1:$1,0)-MATCH($AB$1,[3]enemy_skill_sets!$1:$1,0)+1,FALSE)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5" s="67">
        <v>1</v>
      </c>
      <c r="AE1455" s="67">
        <v>1</v>
      </c>
      <c r="AF1455" s="37">
        <v>0</v>
      </c>
      <c r="AG1455" s="99">
        <f>ROUND(VLOOKUP(1,enemy_base_stats!$A:$F,2,FALSE) * Y1455* J1455*O1455*E1455*S1455*AD1455*[2]ステータス!$B$2,0)</f>
        <v>417</v>
      </c>
      <c r="AH1455" s="99">
        <f>ROUND(VLOOKUP(1,enemy_base_stats!$A:$F,3,FALSE) * Z1455*K1455*P1455*F1455*T1455*AE1455 * W1455*[2]ステータス!$C$2,0)</f>
        <v>14</v>
      </c>
      <c r="AI1455" s="99">
        <f>ROUND(VLOOKUP(1,enemy_base_stats!$A:$F,4,FALSE) * AA1455*L1455*Q1455*G1455*U1455*AF1455*[2]ステータス!$D$2,0)</f>
        <v>0</v>
      </c>
      <c r="AJ1455" s="99">
        <f>ROUND(VLOOKUP(100,enemy_base_stats!$A:$F,2,FALSE) * Y1455* J1455*O1455*E1455*S1455*AD1455*[2]ステータス!$B$2,0)</f>
        <v>16910</v>
      </c>
      <c r="AK1455" s="99">
        <f>ROUND(VLOOKUP(100,enemy_base_stats!$A:$F,3,FALSE)* Z1455* K1455*P1455*F1455*T1455*AE1455 * W1455*[2]ステータス!$C$2,0)</f>
        <v>560</v>
      </c>
      <c r="AL1455" s="99">
        <f>ROUND(VLOOKUP(100,enemy_base_stats!$A:$F,4,FALSE)* AA1455* L1455*Q1455*G1455*U1455*AF1455*[2]ステータス!$D$2,0)</f>
        <v>0</v>
      </c>
      <c r="AM1455" s="97">
        <f>VLOOKUP(M1455,[2]character_tribe_i18n!$A:$I,9,FALSE)</f>
        <v>340</v>
      </c>
      <c r="AN1455" s="36">
        <v>0</v>
      </c>
      <c r="AO1455" s="53">
        <v>0</v>
      </c>
      <c r="AP1455" s="58" t="s">
        <v>72</v>
      </c>
      <c r="AQ1455" s="71">
        <f t="shared" si="86"/>
        <v>1719</v>
      </c>
    </row>
    <row r="1456" spans="1:43" ht="21" customHeight="1" x14ac:dyDescent="0.15">
      <c r="A1456" s="109">
        <v>5001</v>
      </c>
      <c r="B1456" s="6" t="str">
        <f>VLOOKUP(A1456,[2]characters!$A:$C,3,FALSE)</f>
        <v>ガルーダ</v>
      </c>
      <c r="C1456" s="9">
        <f>VLOOKUP(A1456,[2]characters!$A:$I,9,FALSE)</f>
        <v>5</v>
      </c>
      <c r="D1456" s="9" t="str">
        <f>VLOOKUP(A1456,[2]characters!$A:$H,8,FALSE)</f>
        <v>red</v>
      </c>
      <c r="E1456" s="97">
        <f>VLOOKUP(D1456,[2]属性!$A:$E,2,FALSE)</f>
        <v>1</v>
      </c>
      <c r="F1456" s="97">
        <f>VLOOKUP(D1456,[2]属性!$A:$E,3,FALSE)</f>
        <v>1.02</v>
      </c>
      <c r="G1456" s="97">
        <f>VLOOKUP(D1456,[2]属性!$A:$F,4,FALSE)</f>
        <v>1</v>
      </c>
      <c r="H1456" s="9" t="str">
        <f>VLOOKUP(A1456,[2]characters!$A:$K,11,FALSE)</f>
        <v>attack</v>
      </c>
      <c r="I1456" s="6" t="str">
        <f>VLOOKUP(H1456,[2]character_type_i18n!$A:$F,3,FALSE)</f>
        <v>攻撃タイプ</v>
      </c>
      <c r="J1456" s="97">
        <f>VLOOKUP(H1456,[2]character_type_i18n!$A:$F,4,FALSE)</f>
        <v>1</v>
      </c>
      <c r="K1456" s="97">
        <f>VLOOKUP(H1456,[2]character_type_i18n!$A:$F,5,FALSE)</f>
        <v>1.33</v>
      </c>
      <c r="L1456" s="97">
        <f>VLOOKUP(H1456,[2]character_type_i18n!$A:$F,6,FALSE)</f>
        <v>1</v>
      </c>
      <c r="M1456" s="9" t="str">
        <f>VLOOKUP(A1456,[2]characters!$A:$M,13,FALSE)</f>
        <v>god</v>
      </c>
      <c r="N1456" s="6" t="str">
        <f>VLOOKUP(M1456,[2]character_tribe_i18n!$A:$F,3,FALSE)</f>
        <v>ゴッド</v>
      </c>
      <c r="O1456" s="97">
        <f>VLOOKUP(M1456,[2]character_tribe_i18n!$A:$F,4,FALSE)</f>
        <v>0.96</v>
      </c>
      <c r="P1456" s="97">
        <f>VLOOKUP(M1456,[2]character_tribe_i18n!$A:$F,5,FALSE)</f>
        <v>1.02</v>
      </c>
      <c r="Q1456" s="97">
        <f>VLOOKUP(M1456,[2]character_tribe_i18n!$A:$F,6,FALSE)</f>
        <v>1</v>
      </c>
      <c r="R1456" s="98" t="s">
        <v>98</v>
      </c>
      <c r="S1456" s="97">
        <f>VLOOKUP($R1456,ラベル別係数!$A$1:$E$7,3,FALSE)</f>
        <v>5</v>
      </c>
      <c r="T1456" s="97">
        <f>VLOOKUP($R1456,ラベル別係数!$A$1:$E$7,4,FALSE)</f>
        <v>1.3</v>
      </c>
      <c r="U1456" s="97">
        <f>VLOOKUP($R1456,ラベル別係数!$A$1:$E$7,5,FALSE)</f>
        <v>0.8</v>
      </c>
      <c r="V1456" s="98">
        <v>3</v>
      </c>
      <c r="W1456" s="99">
        <f>VLOOKUP(V1456,ターン数別攻撃係数!$A$1:$B$1000,2,FALSE)</f>
        <v>1</v>
      </c>
      <c r="X1456" s="9">
        <f>VLOOKUP(C1456,サイズ別係数!A$2:B$9,2,FALSE)</f>
        <v>60</v>
      </c>
      <c r="Y1456" s="97">
        <f>VLOOKUP($X1456,サイズ別係数!$B:$E,2,FALSE)</f>
        <v>1.7</v>
      </c>
      <c r="Z1456" s="97">
        <f>VLOOKUP($X1456,サイズ別係数!$B:$E,3,FALSE)</f>
        <v>1.4</v>
      </c>
      <c r="AA1456" s="97">
        <f>VLOOKUP($X1456,サイズ別係数!$B:$E,4,FALSE)</f>
        <v>1</v>
      </c>
      <c r="AB1456" s="10">
        <v>0</v>
      </c>
      <c r="AC1456" s="6" t="str">
        <f ca="1">VLOOKUP($AB1456,OFFSET([3]enemy_skill_sets!$B$2,0,0,COUNTA([3]enemy_skill_sets!$A:$A),MATCH(AC$1,[3]enemy_skill_sets!$1:$1,0)-MATCH($AB$1,[3]enemy_skill_sets!$1:$1,0)+1),MATCH(AC$1,[3]enemy_skill_sets!$1:$1,0)-MATCH($AB$1,[3]enemy_skill_sets!$1:$1,0)+1,FALSE)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6" s="67">
        <v>1</v>
      </c>
      <c r="AE1456" s="67">
        <v>1</v>
      </c>
      <c r="AF1456" s="68">
        <v>0</v>
      </c>
      <c r="AG1456" s="99">
        <f>ROUND(VLOOKUP(1,enemy_base_stats!$A:$F,2,FALSE) * Y1456* J1456*O1456*E1456*S1456*AD1456*[2]ステータス!$B$2,0)</f>
        <v>4080</v>
      </c>
      <c r="AH1456" s="99">
        <f>ROUND(VLOOKUP(1,enemy_base_stats!$A:$F,3,FALSE) * Z1456*K1456*P1456*F1456*T1456*AE1456 * W1456*[2]ステータス!$C$2,0)</f>
        <v>378</v>
      </c>
      <c r="AI1456" s="99">
        <f>ROUND(VLOOKUP(1,enemy_base_stats!$A:$F,4,FALSE) * AA1456*L1456*Q1456*G1456*U1456*AF1456*[2]ステータス!$D$2,0)</f>
        <v>0</v>
      </c>
      <c r="AJ1456" s="99">
        <f>ROUND(VLOOKUP(100,enemy_base_stats!$A:$F,2,FALSE) * Y1456* J1456*O1456*E1456*S1456*AD1456*[2]ステータス!$B$2,0)</f>
        <v>165648</v>
      </c>
      <c r="AK1456" s="99">
        <f>ROUND(VLOOKUP(100,enemy_base_stats!$A:$F,3,FALSE)* Z1456* K1456*P1456*F1456*T1456*AE1456 * W1456*[2]ステータス!$C$2,0)</f>
        <v>15337</v>
      </c>
      <c r="AL1456" s="99">
        <f>ROUND(VLOOKUP(100,enemy_base_stats!$A:$F,4,FALSE)* AA1456* L1456*Q1456*G1456*U1456*AF1456*[2]ステータス!$D$2,0)</f>
        <v>0</v>
      </c>
      <c r="AM1456" s="97">
        <f>VLOOKUP(M1456,[2]character_tribe_i18n!$A:$I,9,FALSE)</f>
        <v>680</v>
      </c>
      <c r="AN1456" s="36">
        <v>0</v>
      </c>
      <c r="AO1456" s="98">
        <v>0</v>
      </c>
      <c r="AP1456" s="58" t="s">
        <v>72</v>
      </c>
      <c r="AQ1456" s="34">
        <f t="shared" si="69"/>
        <v>5001</v>
      </c>
    </row>
    <row r="1457" spans="1:43" ht="21" customHeight="1" x14ac:dyDescent="0.15">
      <c r="A1457" s="109">
        <v>5002</v>
      </c>
      <c r="B1457" s="6" t="str">
        <f>VLOOKUP(A1457,[2]characters!$A:$C,3,FALSE)</f>
        <v>光輝する美翼聖鳥 ガルーダ</v>
      </c>
      <c r="C1457" s="9">
        <f>VLOOKUP(A1457,[2]characters!$A:$I,9,FALSE)</f>
        <v>6</v>
      </c>
      <c r="D1457" s="9" t="str">
        <f>VLOOKUP(A1457,[2]characters!$A:$H,8,FALSE)</f>
        <v>red</v>
      </c>
      <c r="E1457" s="97">
        <f>VLOOKUP(D1457,[2]属性!$A:$E,2,FALSE)</f>
        <v>1</v>
      </c>
      <c r="F1457" s="97">
        <f>VLOOKUP(D1457,[2]属性!$A:$E,3,FALSE)</f>
        <v>1.02</v>
      </c>
      <c r="G1457" s="97">
        <f>VLOOKUP(D1457,[2]属性!$A:$F,4,FALSE)</f>
        <v>1</v>
      </c>
      <c r="H1457" s="9" t="str">
        <f>VLOOKUP(A1457,[2]characters!$A:$K,11,FALSE)</f>
        <v>attack</v>
      </c>
      <c r="I1457" s="6" t="str">
        <f>VLOOKUP(H1457,[2]character_type_i18n!$A:$F,3,FALSE)</f>
        <v>攻撃タイプ</v>
      </c>
      <c r="J1457" s="97">
        <f>VLOOKUP(H1457,[2]character_type_i18n!$A:$F,4,FALSE)</f>
        <v>1</v>
      </c>
      <c r="K1457" s="97">
        <f>VLOOKUP(H1457,[2]character_type_i18n!$A:$F,5,FALSE)</f>
        <v>1.33</v>
      </c>
      <c r="L1457" s="97">
        <f>VLOOKUP(H1457,[2]character_type_i18n!$A:$F,6,FALSE)</f>
        <v>1</v>
      </c>
      <c r="M1457" s="9" t="str">
        <f>VLOOKUP(A1457,[2]characters!$A:$M,13,FALSE)</f>
        <v>god</v>
      </c>
      <c r="N1457" s="6" t="str">
        <f>VLOOKUP(M1457,[2]character_tribe_i18n!$A:$F,3,FALSE)</f>
        <v>ゴッド</v>
      </c>
      <c r="O1457" s="97">
        <f>VLOOKUP(M1457,[2]character_tribe_i18n!$A:$F,4,FALSE)</f>
        <v>0.96</v>
      </c>
      <c r="P1457" s="97">
        <f>VLOOKUP(M1457,[2]character_tribe_i18n!$A:$F,5,FALSE)</f>
        <v>1.02</v>
      </c>
      <c r="Q1457" s="97">
        <f>VLOOKUP(M1457,[2]character_tribe_i18n!$A:$F,6,FALSE)</f>
        <v>1</v>
      </c>
      <c r="R1457" s="98" t="s">
        <v>98</v>
      </c>
      <c r="S1457" s="97">
        <f>VLOOKUP($R1457,ラベル別係数!$A$1:$E$7,3,FALSE)</f>
        <v>5</v>
      </c>
      <c r="T1457" s="97">
        <f>VLOOKUP($R1457,ラベル別係数!$A$1:$E$7,4,FALSE)</f>
        <v>1.3</v>
      </c>
      <c r="U1457" s="97">
        <f>VLOOKUP($R1457,ラベル別係数!$A$1:$E$7,5,FALSE)</f>
        <v>0.8</v>
      </c>
      <c r="V1457" s="98">
        <v>3</v>
      </c>
      <c r="W1457" s="99">
        <f>VLOOKUP(V1457,ターン数別攻撃係数!$A$1:$B$1000,2,FALSE)</f>
        <v>1</v>
      </c>
      <c r="X1457" s="9">
        <f>VLOOKUP(C1457,サイズ別係数!A$2:B$9,2,FALSE)</f>
        <v>60</v>
      </c>
      <c r="Y1457" s="97">
        <f>VLOOKUP($X1457,サイズ別係数!$B:$E,2,FALSE)</f>
        <v>1.7</v>
      </c>
      <c r="Z1457" s="97">
        <f>VLOOKUP($X1457,サイズ別係数!$B:$E,3,FALSE)</f>
        <v>1.4</v>
      </c>
      <c r="AA1457" s="97">
        <f>VLOOKUP($X1457,サイズ別係数!$B:$E,4,FALSE)</f>
        <v>1</v>
      </c>
      <c r="AB1457" s="10">
        <v>0</v>
      </c>
      <c r="AC1457" s="6" t="str">
        <f ca="1">VLOOKUP($AB1457,OFFSET([3]enemy_skill_sets!$B$2,0,0,COUNTA([3]enemy_skill_sets!$A:$A),MATCH(AC$1,[3]enemy_skill_sets!$1:$1,0)-MATCH($AB$1,[3]enemy_skill_sets!$1:$1,0)+1),MATCH(AC$1,[3]enemy_skill_sets!$1:$1,0)-MATCH($AB$1,[3]enemy_skill_sets!$1:$1,0)+1,FALSE)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7" s="67">
        <v>1</v>
      </c>
      <c r="AE1457" s="67">
        <v>1</v>
      </c>
      <c r="AF1457" s="68">
        <v>0</v>
      </c>
      <c r="AG1457" s="99">
        <f>ROUND(VLOOKUP(1,enemy_base_stats!$A:$F,2,FALSE) * Y1457* J1457*O1457*E1457*S1457*AD1457*[2]ステータス!$B$2,0)</f>
        <v>4080</v>
      </c>
      <c r="AH1457" s="99">
        <f>ROUND(VLOOKUP(1,enemy_base_stats!$A:$F,3,FALSE) * Z1457*K1457*P1457*F1457*T1457*AE1457 * W1457*[2]ステータス!$C$2,0)</f>
        <v>378</v>
      </c>
      <c r="AI1457" s="99">
        <f>ROUND(VLOOKUP(1,enemy_base_stats!$A:$F,4,FALSE) * AA1457*L1457*Q1457*G1457*U1457*AF1457*[2]ステータス!$D$2,0)</f>
        <v>0</v>
      </c>
      <c r="AJ1457" s="99">
        <f>ROUND(VLOOKUP(100,enemy_base_stats!$A:$F,2,FALSE) * Y1457* J1457*O1457*E1457*S1457*AD1457*[2]ステータス!$B$2,0)</f>
        <v>165648</v>
      </c>
      <c r="AK1457" s="99">
        <f>ROUND(VLOOKUP(100,enemy_base_stats!$A:$F,3,FALSE)* Z1457* K1457*P1457*F1457*T1457*AE1457 * W1457*[2]ステータス!$C$2,0)</f>
        <v>15337</v>
      </c>
      <c r="AL1457" s="99">
        <f>ROUND(VLOOKUP(100,enemy_base_stats!$A:$F,4,FALSE)* AA1457* L1457*Q1457*G1457*U1457*AF1457*[2]ステータス!$D$2,0)</f>
        <v>0</v>
      </c>
      <c r="AM1457" s="97">
        <f>VLOOKUP(M1457,[2]character_tribe_i18n!$A:$I,9,FALSE)</f>
        <v>680</v>
      </c>
      <c r="AN1457" s="36">
        <v>0</v>
      </c>
      <c r="AO1457" s="98">
        <v>0</v>
      </c>
      <c r="AP1457" s="58" t="s">
        <v>72</v>
      </c>
      <c r="AQ1457" s="34">
        <f t="shared" si="69"/>
        <v>5002</v>
      </c>
    </row>
    <row r="1458" spans="1:43" ht="21" customHeight="1" x14ac:dyDescent="0.15">
      <c r="A1458" s="109">
        <v>5003</v>
      </c>
      <c r="B1458" s="6" t="str">
        <f>VLOOKUP(A1458,[2]characters!$A:$C,3,FALSE)</f>
        <v>ナーガ</v>
      </c>
      <c r="C1458" s="9">
        <f>VLOOKUP(A1458,[2]characters!$A:$I,9,FALSE)</f>
        <v>5</v>
      </c>
      <c r="D1458" s="9" t="str">
        <f>VLOOKUP(A1458,[2]characters!$A:$H,8,FALSE)</f>
        <v>green</v>
      </c>
      <c r="E1458" s="97">
        <f>VLOOKUP(D1458,[2]属性!$A:$E,2,FALSE)</f>
        <v>1.02</v>
      </c>
      <c r="F1458" s="97">
        <f>VLOOKUP(D1458,[2]属性!$A:$E,3,FALSE)</f>
        <v>0.98</v>
      </c>
      <c r="G1458" s="97">
        <f>VLOOKUP(D1458,[2]属性!$A:$F,4,FALSE)</f>
        <v>1</v>
      </c>
      <c r="H1458" s="9" t="str">
        <f>VLOOKUP(A1458,[2]characters!$A:$K,11,FALSE)</f>
        <v>technical</v>
      </c>
      <c r="I1458" s="6" t="str">
        <f>VLOOKUP(H1458,[2]character_type_i18n!$A:$F,3,FALSE)</f>
        <v>テクニカルタイプ</v>
      </c>
      <c r="J1458" s="97">
        <f>VLOOKUP(H1458,[2]character_type_i18n!$A:$F,4,FALSE)</f>
        <v>0.9</v>
      </c>
      <c r="K1458" s="97">
        <f>VLOOKUP(H1458,[2]character_type_i18n!$A:$F,5,FALSE)</f>
        <v>0.9</v>
      </c>
      <c r="L1458" s="97">
        <f>VLOOKUP(H1458,[2]character_type_i18n!$A:$F,6,FALSE)</f>
        <v>1</v>
      </c>
      <c r="M1458" s="9" t="str">
        <f>VLOOKUP(A1458,[2]characters!$A:$M,13,FALSE)</f>
        <v>animal</v>
      </c>
      <c r="N1458" s="6" t="str">
        <f>VLOOKUP(M1458,[2]character_tribe_i18n!$A:$F,3,FALSE)</f>
        <v>アニマル</v>
      </c>
      <c r="O1458" s="97">
        <f>VLOOKUP(M1458,[2]character_tribe_i18n!$A:$F,4,FALSE)</f>
        <v>1</v>
      </c>
      <c r="P1458" s="97">
        <f>VLOOKUP(M1458,[2]character_tribe_i18n!$A:$F,5,FALSE)</f>
        <v>1.1000000000000001</v>
      </c>
      <c r="Q1458" s="97">
        <f>VLOOKUP(M1458,[2]character_tribe_i18n!$A:$F,6,FALSE)</f>
        <v>1</v>
      </c>
      <c r="R1458" s="98" t="s">
        <v>98</v>
      </c>
      <c r="S1458" s="97">
        <f>VLOOKUP($R1458,ラベル別係数!$A$1:$E$7,3,FALSE)</f>
        <v>5</v>
      </c>
      <c r="T1458" s="97">
        <f>VLOOKUP($R1458,ラベル別係数!$A$1:$E$7,4,FALSE)</f>
        <v>1.3</v>
      </c>
      <c r="U1458" s="97">
        <f>VLOOKUP($R1458,ラベル別係数!$A$1:$E$7,5,FALSE)</f>
        <v>0.8</v>
      </c>
      <c r="V1458" s="98">
        <v>3</v>
      </c>
      <c r="W1458" s="99">
        <f>VLOOKUP(V1458,ターン数別攻撃係数!$A$1:$B$1000,2,FALSE)</f>
        <v>1</v>
      </c>
      <c r="X1458" s="9">
        <f>VLOOKUP(C1458,サイズ別係数!A$2:B$9,2,FALSE)</f>
        <v>60</v>
      </c>
      <c r="Y1458" s="97">
        <f>VLOOKUP($X1458,サイズ別係数!$B:$E,2,FALSE)</f>
        <v>1.7</v>
      </c>
      <c r="Z1458" s="97">
        <f>VLOOKUP($X1458,サイズ別係数!$B:$E,3,FALSE)</f>
        <v>1.4</v>
      </c>
      <c r="AA1458" s="97">
        <f>VLOOKUP($X1458,サイズ別係数!$B:$E,4,FALSE)</f>
        <v>1</v>
      </c>
      <c r="AB1458" s="10">
        <v>0</v>
      </c>
      <c r="AC1458" s="6" t="str">
        <f ca="1">VLOOKUP($AB1458,OFFSET([3]enemy_skill_sets!$B$2,0,0,COUNTA([3]enemy_skill_sets!$A:$A),MATCH(AC$1,[3]enemy_skill_sets!$1:$1,0)-MATCH($AB$1,[3]enemy_skill_sets!$1:$1,0)+1),MATCH(AC$1,[3]enemy_skill_sets!$1:$1,0)-MATCH($AB$1,[3]enemy_skill_sets!$1:$1,0)+1,FALSE)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8" s="67">
        <v>1</v>
      </c>
      <c r="AE1458" s="67">
        <v>1</v>
      </c>
      <c r="AF1458" s="68">
        <v>0</v>
      </c>
      <c r="AG1458" s="99">
        <f>ROUND(VLOOKUP(1,enemy_base_stats!$A:$F,2,FALSE) * Y1458* J1458*O1458*E1458*S1458*AD1458*[2]ステータス!$B$2,0)</f>
        <v>3902</v>
      </c>
      <c r="AH1458" s="99">
        <f>ROUND(VLOOKUP(1,enemy_base_stats!$A:$F,3,FALSE) * Z1458*K1458*P1458*F1458*T1458*AE1458 * W1458*[2]ステータス!$C$2,0)</f>
        <v>265</v>
      </c>
      <c r="AI1458" s="99">
        <f>ROUND(VLOOKUP(1,enemy_base_stats!$A:$F,4,FALSE) * AA1458*L1458*Q1458*G1458*U1458*AF1458*[2]ステータス!$D$2,0)</f>
        <v>0</v>
      </c>
      <c r="AJ1458" s="99">
        <f>ROUND(VLOOKUP(100,enemy_base_stats!$A:$F,2,FALSE) * Y1458* J1458*O1458*E1458*S1458*AD1458*[2]ステータス!$B$2,0)</f>
        <v>158401</v>
      </c>
      <c r="AK1458" s="99">
        <f>ROUND(VLOOKUP(100,enemy_base_stats!$A:$F,3,FALSE)* Z1458* K1458*P1458*F1458*T1458*AE1458 * W1458*[2]ステータス!$C$2,0)</f>
        <v>10754</v>
      </c>
      <c r="AL1458" s="99">
        <f>ROUND(VLOOKUP(100,enemy_base_stats!$A:$F,4,FALSE)* AA1458* L1458*Q1458*G1458*U1458*AF1458*[2]ステータス!$D$2,0)</f>
        <v>0</v>
      </c>
      <c r="AM1458" s="97">
        <f>VLOOKUP(M1458,[2]character_tribe_i18n!$A:$I,9,FALSE)</f>
        <v>480</v>
      </c>
      <c r="AN1458" s="36">
        <v>0</v>
      </c>
      <c r="AO1458" s="98">
        <v>0</v>
      </c>
      <c r="AP1458" s="58" t="s">
        <v>72</v>
      </c>
      <c r="AQ1458" s="34">
        <f t="shared" si="69"/>
        <v>5003</v>
      </c>
    </row>
    <row r="1459" spans="1:43" ht="21" customHeight="1" x14ac:dyDescent="0.15">
      <c r="A1459" s="109">
        <v>5004</v>
      </c>
      <c r="B1459" s="6" t="str">
        <f>VLOOKUP(A1459,[2]characters!$A:$C,3,FALSE)</f>
        <v>深淵翠緑 ナーガ</v>
      </c>
      <c r="C1459" s="9">
        <f>VLOOKUP(A1459,[2]characters!$A:$I,9,FALSE)</f>
        <v>6</v>
      </c>
      <c r="D1459" s="9" t="str">
        <f>VLOOKUP(A1459,[2]characters!$A:$H,8,FALSE)</f>
        <v>green</v>
      </c>
      <c r="E1459" s="97">
        <f>VLOOKUP(D1459,[2]属性!$A:$E,2,FALSE)</f>
        <v>1.02</v>
      </c>
      <c r="F1459" s="97">
        <f>VLOOKUP(D1459,[2]属性!$A:$E,3,FALSE)</f>
        <v>0.98</v>
      </c>
      <c r="G1459" s="97">
        <f>VLOOKUP(D1459,[2]属性!$A:$F,4,FALSE)</f>
        <v>1</v>
      </c>
      <c r="H1459" s="9" t="str">
        <f>VLOOKUP(A1459,[2]characters!$A:$K,11,FALSE)</f>
        <v>technical</v>
      </c>
      <c r="I1459" s="6" t="str">
        <f>VLOOKUP(H1459,[2]character_type_i18n!$A:$F,3,FALSE)</f>
        <v>テクニカルタイプ</v>
      </c>
      <c r="J1459" s="97">
        <f>VLOOKUP(H1459,[2]character_type_i18n!$A:$F,4,FALSE)</f>
        <v>0.9</v>
      </c>
      <c r="K1459" s="97">
        <f>VLOOKUP(H1459,[2]character_type_i18n!$A:$F,5,FALSE)</f>
        <v>0.9</v>
      </c>
      <c r="L1459" s="97">
        <f>VLOOKUP(H1459,[2]character_type_i18n!$A:$F,6,FALSE)</f>
        <v>1</v>
      </c>
      <c r="M1459" s="9" t="str">
        <f>VLOOKUP(A1459,[2]characters!$A:$M,13,FALSE)</f>
        <v>animal</v>
      </c>
      <c r="N1459" s="6" t="str">
        <f>VLOOKUP(M1459,[2]character_tribe_i18n!$A:$F,3,FALSE)</f>
        <v>アニマル</v>
      </c>
      <c r="O1459" s="97">
        <f>VLOOKUP(M1459,[2]character_tribe_i18n!$A:$F,4,FALSE)</f>
        <v>1</v>
      </c>
      <c r="P1459" s="97">
        <f>VLOOKUP(M1459,[2]character_tribe_i18n!$A:$F,5,FALSE)</f>
        <v>1.1000000000000001</v>
      </c>
      <c r="Q1459" s="97">
        <f>VLOOKUP(M1459,[2]character_tribe_i18n!$A:$F,6,FALSE)</f>
        <v>1</v>
      </c>
      <c r="R1459" s="98" t="s">
        <v>98</v>
      </c>
      <c r="S1459" s="97">
        <f>VLOOKUP($R1459,ラベル別係数!$A$1:$E$7,3,FALSE)</f>
        <v>5</v>
      </c>
      <c r="T1459" s="97">
        <f>VLOOKUP($R1459,ラベル別係数!$A$1:$E$7,4,FALSE)</f>
        <v>1.3</v>
      </c>
      <c r="U1459" s="97">
        <f>VLOOKUP($R1459,ラベル別係数!$A$1:$E$7,5,FALSE)</f>
        <v>0.8</v>
      </c>
      <c r="V1459" s="98">
        <v>3</v>
      </c>
      <c r="W1459" s="99">
        <f>VLOOKUP(V1459,ターン数別攻撃係数!$A$1:$B$1000,2,FALSE)</f>
        <v>1</v>
      </c>
      <c r="X1459" s="9">
        <f>VLOOKUP(C1459,サイズ別係数!A$2:B$9,2,FALSE)</f>
        <v>60</v>
      </c>
      <c r="Y1459" s="97">
        <f>VLOOKUP($X1459,サイズ別係数!$B:$E,2,FALSE)</f>
        <v>1.7</v>
      </c>
      <c r="Z1459" s="97">
        <f>VLOOKUP($X1459,サイズ別係数!$B:$E,3,FALSE)</f>
        <v>1.4</v>
      </c>
      <c r="AA1459" s="97">
        <f>VLOOKUP($X1459,サイズ別係数!$B:$E,4,FALSE)</f>
        <v>1</v>
      </c>
      <c r="AB1459" s="10">
        <v>0</v>
      </c>
      <c r="AC1459" s="6" t="str">
        <f ca="1">VLOOKUP($AB1459,OFFSET([3]enemy_skill_sets!$B$2,0,0,COUNTA([3]enemy_skill_sets!$A:$A),MATCH(AC$1,[3]enemy_skill_sets!$1:$1,0)-MATCH($AB$1,[3]enemy_skill_sets!$1:$1,0)+1),MATCH(AC$1,[3]enemy_skill_sets!$1:$1,0)-MATCH($AB$1,[3]enemy_skill_sets!$1:$1,0)+1,FALSE)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59" s="67">
        <v>1</v>
      </c>
      <c r="AE1459" s="67">
        <v>1</v>
      </c>
      <c r="AF1459" s="68">
        <v>0</v>
      </c>
      <c r="AG1459" s="99">
        <f>ROUND(VLOOKUP(1,enemy_base_stats!$A:$F,2,FALSE) * Y1459* J1459*O1459*E1459*S1459*AD1459*[2]ステータス!$B$2,0)</f>
        <v>3902</v>
      </c>
      <c r="AH1459" s="99">
        <f>ROUND(VLOOKUP(1,enemy_base_stats!$A:$F,3,FALSE) * Z1459*K1459*P1459*F1459*T1459*AE1459 * W1459*[2]ステータス!$C$2,0)</f>
        <v>265</v>
      </c>
      <c r="AI1459" s="99">
        <f>ROUND(VLOOKUP(1,enemy_base_stats!$A:$F,4,FALSE) * AA1459*L1459*Q1459*G1459*U1459*AF1459*[2]ステータス!$D$2,0)</f>
        <v>0</v>
      </c>
      <c r="AJ1459" s="99">
        <f>ROUND(VLOOKUP(100,enemy_base_stats!$A:$F,2,FALSE) * Y1459* J1459*O1459*E1459*S1459*AD1459*[2]ステータス!$B$2,0)</f>
        <v>158401</v>
      </c>
      <c r="AK1459" s="99">
        <f>ROUND(VLOOKUP(100,enemy_base_stats!$A:$F,3,FALSE)* Z1459* K1459*P1459*F1459*T1459*AE1459 * W1459*[2]ステータス!$C$2,0)</f>
        <v>10754</v>
      </c>
      <c r="AL1459" s="99">
        <f>ROUND(VLOOKUP(100,enemy_base_stats!$A:$F,4,FALSE)* AA1459* L1459*Q1459*G1459*U1459*AF1459*[2]ステータス!$D$2,0)</f>
        <v>0</v>
      </c>
      <c r="AM1459" s="97">
        <f>VLOOKUP(M1459,[2]character_tribe_i18n!$A:$I,9,FALSE)</f>
        <v>480</v>
      </c>
      <c r="AN1459" s="36">
        <v>0</v>
      </c>
      <c r="AO1459" s="98">
        <v>0</v>
      </c>
      <c r="AP1459" s="58" t="s">
        <v>72</v>
      </c>
      <c r="AQ1459" s="34">
        <f t="shared" si="69"/>
        <v>5004</v>
      </c>
    </row>
    <row r="1460" spans="1:43" ht="21" customHeight="1" x14ac:dyDescent="0.15">
      <c r="A1460" s="109">
        <v>5005</v>
      </c>
      <c r="B1460" s="6" t="str">
        <f>VLOOKUP(A1460,[2]characters!$A:$C,3,FALSE)</f>
        <v>カーミラ</v>
      </c>
      <c r="C1460" s="9">
        <f>VLOOKUP(A1460,[2]characters!$A:$I,9,FALSE)</f>
        <v>5</v>
      </c>
      <c r="D1460" s="9" t="str">
        <f>VLOOKUP(A1460,[2]characters!$A:$H,8,FALSE)</f>
        <v>green</v>
      </c>
      <c r="E1460" s="97">
        <f>VLOOKUP(D1460,[2]属性!$A:$E,2,FALSE)</f>
        <v>1.02</v>
      </c>
      <c r="F1460" s="97">
        <f>VLOOKUP(D1460,[2]属性!$A:$E,3,FALSE)</f>
        <v>0.98</v>
      </c>
      <c r="G1460" s="97">
        <f>VLOOKUP(D1460,[2]属性!$A:$F,4,FALSE)</f>
        <v>1</v>
      </c>
      <c r="H1460" s="9" t="str">
        <f>VLOOKUP(A1460,[2]characters!$A:$K,11,FALSE)</f>
        <v>balance</v>
      </c>
      <c r="I1460" s="6" t="str">
        <f>VLOOKUP(H1460,[2]character_type_i18n!$A:$F,3,FALSE)</f>
        <v>バランスタイプ</v>
      </c>
      <c r="J1460" s="97">
        <f>VLOOKUP(H1460,[2]character_type_i18n!$A:$F,4,FALSE)</f>
        <v>1</v>
      </c>
      <c r="K1460" s="97">
        <f>VLOOKUP(H1460,[2]character_type_i18n!$A:$F,5,FALSE)</f>
        <v>1</v>
      </c>
      <c r="L1460" s="97">
        <f>VLOOKUP(H1460,[2]character_type_i18n!$A:$F,6,FALSE)</f>
        <v>1</v>
      </c>
      <c r="M1460" s="9" t="str">
        <f>VLOOKUP(A1460,[2]characters!$A:$M,13,FALSE)</f>
        <v>demon</v>
      </c>
      <c r="N1460" s="6" t="str">
        <f>VLOOKUP(M1460,[2]character_tribe_i18n!$A:$F,3,FALSE)</f>
        <v>デーモン</v>
      </c>
      <c r="O1460" s="97">
        <f>VLOOKUP(M1460,[2]character_tribe_i18n!$A:$F,4,FALSE)</f>
        <v>1</v>
      </c>
      <c r="P1460" s="97">
        <f>VLOOKUP(M1460,[2]character_tribe_i18n!$A:$F,5,FALSE)</f>
        <v>1</v>
      </c>
      <c r="Q1460" s="97">
        <f>VLOOKUP(M1460,[2]character_tribe_i18n!$A:$F,6,FALSE)</f>
        <v>1</v>
      </c>
      <c r="R1460" s="98" t="s">
        <v>98</v>
      </c>
      <c r="S1460" s="97">
        <f>VLOOKUP($R1460,ラベル別係数!$A$1:$E$7,3,FALSE)</f>
        <v>5</v>
      </c>
      <c r="T1460" s="97">
        <f>VLOOKUP($R1460,ラベル別係数!$A$1:$E$7,4,FALSE)</f>
        <v>1.3</v>
      </c>
      <c r="U1460" s="97">
        <f>VLOOKUP($R1460,ラベル別係数!$A$1:$E$7,5,FALSE)</f>
        <v>0.8</v>
      </c>
      <c r="V1460" s="98">
        <v>3</v>
      </c>
      <c r="W1460" s="99">
        <f>VLOOKUP(V1460,ターン数別攻撃係数!$A$1:$B$1000,2,FALSE)</f>
        <v>1</v>
      </c>
      <c r="X1460" s="9">
        <f>VLOOKUP(C1460,サイズ別係数!A$2:B$9,2,FALSE)</f>
        <v>60</v>
      </c>
      <c r="Y1460" s="97">
        <f>VLOOKUP($X1460,サイズ別係数!$B:$E,2,FALSE)</f>
        <v>1.7</v>
      </c>
      <c r="Z1460" s="97">
        <f>VLOOKUP($X1460,サイズ別係数!$B:$E,3,FALSE)</f>
        <v>1.4</v>
      </c>
      <c r="AA1460" s="97">
        <f>VLOOKUP($X1460,サイズ別係数!$B:$E,4,FALSE)</f>
        <v>1</v>
      </c>
      <c r="AB1460" s="10">
        <v>0</v>
      </c>
      <c r="AC1460" s="6" t="str">
        <f ca="1">VLOOKUP($AB1460,OFFSET([3]enemy_skill_sets!$B$2,0,0,COUNTA([3]enemy_skill_sets!$A:$A),MATCH(AC$1,[3]enemy_skill_sets!$1:$1,0)-MATCH($AB$1,[3]enemy_skill_sets!$1:$1,0)+1),MATCH(AC$1,[3]enemy_skill_sets!$1:$1,0)-MATCH($AB$1,[3]enemy_skill_sets!$1:$1,0)+1,FALSE)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0" s="67">
        <v>1</v>
      </c>
      <c r="AE1460" s="67">
        <v>1</v>
      </c>
      <c r="AF1460" s="68">
        <v>0</v>
      </c>
      <c r="AG1460" s="99">
        <f>ROUND(VLOOKUP(1,enemy_base_stats!$A:$F,2,FALSE) * Y1460* J1460*O1460*E1460*S1460*AD1460*[2]ステータス!$B$2,0)</f>
        <v>4335</v>
      </c>
      <c r="AH1460" s="99">
        <f>ROUND(VLOOKUP(1,enemy_base_stats!$A:$F,3,FALSE) * Z1460*K1460*P1460*F1460*T1460*AE1460 * W1460*[2]ステータス!$C$2,0)</f>
        <v>268</v>
      </c>
      <c r="AI1460" s="99">
        <f>ROUND(VLOOKUP(1,enemy_base_stats!$A:$F,4,FALSE) * AA1460*L1460*Q1460*G1460*U1460*AF1460*[2]ステータス!$D$2,0)</f>
        <v>0</v>
      </c>
      <c r="AJ1460" s="99">
        <f>ROUND(VLOOKUP(100,enemy_base_stats!$A:$F,2,FALSE) * Y1460* J1460*O1460*E1460*S1460*AD1460*[2]ステータス!$B$2,0)</f>
        <v>176001</v>
      </c>
      <c r="AK1460" s="99">
        <f>ROUND(VLOOKUP(100,enemy_base_stats!$A:$F,3,FALSE)* Z1460* K1460*P1460*F1460*T1460*AE1460 * W1460*[2]ステータス!$C$2,0)</f>
        <v>10862</v>
      </c>
      <c r="AL1460" s="99">
        <f>ROUND(VLOOKUP(100,enemy_base_stats!$A:$F,4,FALSE)* AA1460* L1460*Q1460*G1460*U1460*AF1460*[2]ステータス!$D$2,0)</f>
        <v>0</v>
      </c>
      <c r="AM1460" s="97">
        <f>VLOOKUP(M1460,[2]character_tribe_i18n!$A:$I,9,FALSE)</f>
        <v>400</v>
      </c>
      <c r="AN1460" s="36">
        <v>0</v>
      </c>
      <c r="AO1460" s="98">
        <v>0</v>
      </c>
      <c r="AP1460" s="58" t="s">
        <v>72</v>
      </c>
      <c r="AQ1460" s="34">
        <f t="shared" ref="AQ1460:AQ1465" si="87">A1460</f>
        <v>5005</v>
      </c>
    </row>
    <row r="1461" spans="1:43" ht="21" customHeight="1" x14ac:dyDescent="0.15">
      <c r="A1461" s="109">
        <v>5006</v>
      </c>
      <c r="B1461" s="6" t="str">
        <f>VLOOKUP(A1461,[2]characters!$A:$C,3,FALSE)</f>
        <v>カーミラ★６</v>
      </c>
      <c r="C1461" s="9">
        <f>VLOOKUP(A1461,[2]characters!$A:$I,9,FALSE)</f>
        <v>6</v>
      </c>
      <c r="D1461" s="9" t="str">
        <f>VLOOKUP(A1461,[2]characters!$A:$H,8,FALSE)</f>
        <v>green</v>
      </c>
      <c r="E1461" s="97">
        <f>VLOOKUP(D1461,[2]属性!$A:$E,2,FALSE)</f>
        <v>1.02</v>
      </c>
      <c r="F1461" s="97">
        <f>VLOOKUP(D1461,[2]属性!$A:$E,3,FALSE)</f>
        <v>0.98</v>
      </c>
      <c r="G1461" s="97">
        <f>VLOOKUP(D1461,[2]属性!$A:$F,4,FALSE)</f>
        <v>1</v>
      </c>
      <c r="H1461" s="9" t="str">
        <f>VLOOKUP(A1461,[2]characters!$A:$K,11,FALSE)</f>
        <v>balance</v>
      </c>
      <c r="I1461" s="6" t="str">
        <f>VLOOKUP(H1461,[2]character_type_i18n!$A:$F,3,FALSE)</f>
        <v>バランスタイプ</v>
      </c>
      <c r="J1461" s="97">
        <f>VLOOKUP(H1461,[2]character_type_i18n!$A:$F,4,FALSE)</f>
        <v>1</v>
      </c>
      <c r="K1461" s="97">
        <f>VLOOKUP(H1461,[2]character_type_i18n!$A:$F,5,FALSE)</f>
        <v>1</v>
      </c>
      <c r="L1461" s="97">
        <f>VLOOKUP(H1461,[2]character_type_i18n!$A:$F,6,FALSE)</f>
        <v>1</v>
      </c>
      <c r="M1461" s="9" t="str">
        <f>VLOOKUP(A1461,[2]characters!$A:$M,13,FALSE)</f>
        <v>demon</v>
      </c>
      <c r="N1461" s="6" t="str">
        <f>VLOOKUP(M1461,[2]character_tribe_i18n!$A:$F,3,FALSE)</f>
        <v>デーモン</v>
      </c>
      <c r="O1461" s="97">
        <f>VLOOKUP(M1461,[2]character_tribe_i18n!$A:$F,4,FALSE)</f>
        <v>1</v>
      </c>
      <c r="P1461" s="97">
        <f>VLOOKUP(M1461,[2]character_tribe_i18n!$A:$F,5,FALSE)</f>
        <v>1</v>
      </c>
      <c r="Q1461" s="97">
        <f>VLOOKUP(M1461,[2]character_tribe_i18n!$A:$F,6,FALSE)</f>
        <v>1</v>
      </c>
      <c r="R1461" s="98" t="s">
        <v>98</v>
      </c>
      <c r="S1461" s="97">
        <f>VLOOKUP($R1461,ラベル別係数!$A$1:$E$7,3,FALSE)</f>
        <v>5</v>
      </c>
      <c r="T1461" s="97">
        <f>VLOOKUP($R1461,ラベル別係数!$A$1:$E$7,4,FALSE)</f>
        <v>1.3</v>
      </c>
      <c r="U1461" s="97">
        <f>VLOOKUP($R1461,ラベル別係数!$A$1:$E$7,5,FALSE)</f>
        <v>0.8</v>
      </c>
      <c r="V1461" s="98">
        <v>3</v>
      </c>
      <c r="W1461" s="99">
        <f>VLOOKUP(V1461,ターン数別攻撃係数!$A$1:$B$1000,2,FALSE)</f>
        <v>1</v>
      </c>
      <c r="X1461" s="9">
        <f>VLOOKUP(C1461,サイズ別係数!A$2:B$9,2,FALSE)</f>
        <v>60</v>
      </c>
      <c r="Y1461" s="97">
        <f>VLOOKUP($X1461,サイズ別係数!$B:$E,2,FALSE)</f>
        <v>1.7</v>
      </c>
      <c r="Z1461" s="97">
        <f>VLOOKUP($X1461,サイズ別係数!$B:$E,3,FALSE)</f>
        <v>1.4</v>
      </c>
      <c r="AA1461" s="97">
        <f>VLOOKUP($X1461,サイズ別係数!$B:$E,4,FALSE)</f>
        <v>1</v>
      </c>
      <c r="AB1461" s="10">
        <v>0</v>
      </c>
      <c r="AC1461" s="6" t="str">
        <f ca="1">VLOOKUP($AB1461,OFFSET([3]enemy_skill_sets!$B$2,0,0,COUNTA([3]enemy_skill_sets!$A:$A),MATCH(AC$1,[3]enemy_skill_sets!$1:$1,0)-MATCH($AB$1,[3]enemy_skill_sets!$1:$1,0)+1),MATCH(AC$1,[3]enemy_skill_sets!$1:$1,0)-MATCH($AB$1,[3]enemy_skill_sets!$1:$1,0)+1,FALSE)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1" s="67">
        <v>1</v>
      </c>
      <c r="AE1461" s="67">
        <v>1</v>
      </c>
      <c r="AF1461" s="68">
        <v>0</v>
      </c>
      <c r="AG1461" s="99">
        <f>ROUND(VLOOKUP(1,enemy_base_stats!$A:$F,2,FALSE) * Y1461* J1461*O1461*E1461*S1461*AD1461*[2]ステータス!$B$2,0)</f>
        <v>4335</v>
      </c>
      <c r="AH1461" s="99">
        <f>ROUND(VLOOKUP(1,enemy_base_stats!$A:$F,3,FALSE) * Z1461*K1461*P1461*F1461*T1461*AE1461 * W1461*[2]ステータス!$C$2,0)</f>
        <v>268</v>
      </c>
      <c r="AI1461" s="99">
        <f>ROUND(VLOOKUP(1,enemy_base_stats!$A:$F,4,FALSE) * AA1461*L1461*Q1461*G1461*U1461*AF1461*[2]ステータス!$D$2,0)</f>
        <v>0</v>
      </c>
      <c r="AJ1461" s="99">
        <f>ROUND(VLOOKUP(100,enemy_base_stats!$A:$F,2,FALSE) * Y1461* J1461*O1461*E1461*S1461*AD1461*[2]ステータス!$B$2,0)</f>
        <v>176001</v>
      </c>
      <c r="AK1461" s="99">
        <f>ROUND(VLOOKUP(100,enemy_base_stats!$A:$F,3,FALSE)* Z1461* K1461*P1461*F1461*T1461*AE1461 * W1461*[2]ステータス!$C$2,0)</f>
        <v>10862</v>
      </c>
      <c r="AL1461" s="99">
        <f>ROUND(VLOOKUP(100,enemy_base_stats!$A:$F,4,FALSE)* AA1461* L1461*Q1461*G1461*U1461*AF1461*[2]ステータス!$D$2,0)</f>
        <v>0</v>
      </c>
      <c r="AM1461" s="97">
        <f>VLOOKUP(M1461,[2]character_tribe_i18n!$A:$I,9,FALSE)</f>
        <v>400</v>
      </c>
      <c r="AN1461" s="36">
        <v>0</v>
      </c>
      <c r="AO1461" s="98">
        <v>0</v>
      </c>
      <c r="AP1461" s="58" t="s">
        <v>72</v>
      </c>
      <c r="AQ1461" s="34">
        <f t="shared" si="87"/>
        <v>5006</v>
      </c>
    </row>
    <row r="1462" spans="1:43" ht="21" customHeight="1" x14ac:dyDescent="0.15">
      <c r="A1462" s="109">
        <v>5007</v>
      </c>
      <c r="B1462" s="6" t="str">
        <f>VLOOKUP(A1462,[2]characters!$A:$C,3,FALSE)</f>
        <v>ヘルシング</v>
      </c>
      <c r="C1462" s="9">
        <f>VLOOKUP(A1462,[2]characters!$A:$I,9,FALSE)</f>
        <v>5</v>
      </c>
      <c r="D1462" s="9" t="str">
        <f>VLOOKUP(A1462,[2]characters!$A:$H,8,FALSE)</f>
        <v>yellow</v>
      </c>
      <c r="E1462" s="97">
        <f>VLOOKUP(D1462,[2]属性!$A:$E,2,FALSE)</f>
        <v>0.98</v>
      </c>
      <c r="F1462" s="97">
        <f>VLOOKUP(D1462,[2]属性!$A:$E,3,FALSE)</f>
        <v>1.01</v>
      </c>
      <c r="G1462" s="97">
        <f>VLOOKUP(D1462,[2]属性!$A:$F,4,FALSE)</f>
        <v>1</v>
      </c>
      <c r="H1462" s="9" t="str">
        <f>VLOOKUP(A1462,[2]characters!$A:$K,11,FALSE)</f>
        <v>technical</v>
      </c>
      <c r="I1462" s="6" t="str">
        <f>VLOOKUP(H1462,[2]character_type_i18n!$A:$F,3,FALSE)</f>
        <v>テクニカルタイプ</v>
      </c>
      <c r="J1462" s="97">
        <f>VLOOKUP(H1462,[2]character_type_i18n!$A:$F,4,FALSE)</f>
        <v>0.9</v>
      </c>
      <c r="K1462" s="97">
        <f>VLOOKUP(H1462,[2]character_type_i18n!$A:$F,5,FALSE)</f>
        <v>0.9</v>
      </c>
      <c r="L1462" s="97">
        <f>VLOOKUP(H1462,[2]character_type_i18n!$A:$F,6,FALSE)</f>
        <v>1</v>
      </c>
      <c r="M1462" s="9" t="str">
        <f>VLOOKUP(A1462,[2]characters!$A:$M,13,FALSE)</f>
        <v>human</v>
      </c>
      <c r="N1462" s="6" t="str">
        <f>VLOOKUP(M1462,[2]character_tribe_i18n!$A:$F,3,FALSE)</f>
        <v>ヒューマン</v>
      </c>
      <c r="O1462" s="97">
        <f>VLOOKUP(M1462,[2]character_tribe_i18n!$A:$F,4,FALSE)</f>
        <v>0.94</v>
      </c>
      <c r="P1462" s="97">
        <f>VLOOKUP(M1462,[2]character_tribe_i18n!$A:$F,5,FALSE)</f>
        <v>0.99</v>
      </c>
      <c r="Q1462" s="97">
        <f>VLOOKUP(M1462,[2]character_tribe_i18n!$A:$F,6,FALSE)</f>
        <v>1</v>
      </c>
      <c r="R1462" s="98" t="s">
        <v>98</v>
      </c>
      <c r="S1462" s="97">
        <f>VLOOKUP($R1462,ラベル別係数!$A$1:$E$7,3,FALSE)</f>
        <v>5</v>
      </c>
      <c r="T1462" s="97">
        <f>VLOOKUP($R1462,ラベル別係数!$A$1:$E$7,4,FALSE)</f>
        <v>1.3</v>
      </c>
      <c r="U1462" s="97">
        <f>VLOOKUP($R1462,ラベル別係数!$A$1:$E$7,5,FALSE)</f>
        <v>0.8</v>
      </c>
      <c r="V1462" s="98">
        <v>3</v>
      </c>
      <c r="W1462" s="99">
        <f>VLOOKUP(V1462,ターン数別攻撃係数!$A$1:$B$1000,2,FALSE)</f>
        <v>1</v>
      </c>
      <c r="X1462" s="9">
        <f>VLOOKUP(C1462,サイズ別係数!A$2:B$9,2,FALSE)</f>
        <v>60</v>
      </c>
      <c r="Y1462" s="97">
        <f>VLOOKUP($X1462,サイズ別係数!$B:$E,2,FALSE)</f>
        <v>1.7</v>
      </c>
      <c r="Z1462" s="97">
        <f>VLOOKUP($X1462,サイズ別係数!$B:$E,3,FALSE)</f>
        <v>1.4</v>
      </c>
      <c r="AA1462" s="97">
        <f>VLOOKUP($X1462,サイズ別係数!$B:$E,4,FALSE)</f>
        <v>1</v>
      </c>
      <c r="AB1462" s="10">
        <v>0</v>
      </c>
      <c r="AC1462" s="6" t="str">
        <f ca="1">VLOOKUP($AB1462,OFFSET([3]enemy_skill_sets!$B$2,0,0,COUNTA([3]enemy_skill_sets!$A:$A),MATCH(AC$1,[3]enemy_skill_sets!$1:$1,0)-MATCH($AB$1,[3]enemy_skill_sets!$1:$1,0)+1),MATCH(AC$1,[3]enemy_skill_sets!$1:$1,0)-MATCH($AB$1,[3]enemy_skill_sets!$1:$1,0)+1,FALSE)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2" s="67">
        <v>1</v>
      </c>
      <c r="AE1462" s="67">
        <v>1</v>
      </c>
      <c r="AF1462" s="68">
        <v>0</v>
      </c>
      <c r="AG1462" s="99">
        <f>ROUND(VLOOKUP(1,enemy_base_stats!$A:$F,2,FALSE) * Y1462* J1462*O1462*E1462*S1462*AD1462*[2]ステータス!$B$2,0)</f>
        <v>3524</v>
      </c>
      <c r="AH1462" s="99">
        <f>ROUND(VLOOKUP(1,enemy_base_stats!$A:$F,3,FALSE) * Z1462*K1462*P1462*F1462*T1462*AE1462 * W1462*[2]ステータス!$C$2,0)</f>
        <v>246</v>
      </c>
      <c r="AI1462" s="99">
        <f>ROUND(VLOOKUP(1,enemy_base_stats!$A:$F,4,FALSE) * AA1462*L1462*Q1462*G1462*U1462*AF1462*[2]ステータス!$D$2,0)</f>
        <v>0</v>
      </c>
      <c r="AJ1462" s="99">
        <f>ROUND(VLOOKUP(100,enemy_base_stats!$A:$F,2,FALSE) * Y1462* J1462*O1462*E1462*S1462*AD1462*[2]ステータス!$B$2,0)</f>
        <v>143058</v>
      </c>
      <c r="AK1462" s="99">
        <f>ROUND(VLOOKUP(100,enemy_base_stats!$A:$F,3,FALSE)* Z1462* K1462*P1462*F1462*T1462*AE1462 * W1462*[2]ステータス!$C$2,0)</f>
        <v>9974</v>
      </c>
      <c r="AL1462" s="99">
        <f>ROUND(VLOOKUP(100,enemy_base_stats!$A:$F,4,FALSE)* AA1462* L1462*Q1462*G1462*U1462*AF1462*[2]ステータス!$D$2,0)</f>
        <v>0</v>
      </c>
      <c r="AM1462" s="97">
        <f>VLOOKUP(M1462,[2]character_tribe_i18n!$A:$I,9,FALSE)</f>
        <v>400</v>
      </c>
      <c r="AN1462" s="36">
        <v>0</v>
      </c>
      <c r="AO1462" s="98">
        <v>0</v>
      </c>
      <c r="AP1462" s="58" t="s">
        <v>72</v>
      </c>
      <c r="AQ1462" s="34">
        <f t="shared" si="87"/>
        <v>5007</v>
      </c>
    </row>
    <row r="1463" spans="1:43" ht="21" customHeight="1" x14ac:dyDescent="0.15">
      <c r="A1463" s="109">
        <v>5008</v>
      </c>
      <c r="B1463" s="6" t="str">
        <f>VLOOKUP(A1463,[2]characters!$A:$C,3,FALSE)</f>
        <v>ヘルシング★６</v>
      </c>
      <c r="C1463" s="9">
        <f>VLOOKUP(A1463,[2]characters!$A:$I,9,FALSE)</f>
        <v>6</v>
      </c>
      <c r="D1463" s="9" t="str">
        <f>VLOOKUP(A1463,[2]characters!$A:$H,8,FALSE)</f>
        <v>yellow</v>
      </c>
      <c r="E1463" s="97">
        <f>VLOOKUP(D1463,[2]属性!$A:$E,2,FALSE)</f>
        <v>0.98</v>
      </c>
      <c r="F1463" s="97">
        <f>VLOOKUP(D1463,[2]属性!$A:$E,3,FALSE)</f>
        <v>1.01</v>
      </c>
      <c r="G1463" s="97">
        <f>VLOOKUP(D1463,[2]属性!$A:$F,4,FALSE)</f>
        <v>1</v>
      </c>
      <c r="H1463" s="9" t="str">
        <f>VLOOKUP(A1463,[2]characters!$A:$K,11,FALSE)</f>
        <v>technical</v>
      </c>
      <c r="I1463" s="6" t="str">
        <f>VLOOKUP(H1463,[2]character_type_i18n!$A:$F,3,FALSE)</f>
        <v>テクニカルタイプ</v>
      </c>
      <c r="J1463" s="97">
        <f>VLOOKUP(H1463,[2]character_type_i18n!$A:$F,4,FALSE)</f>
        <v>0.9</v>
      </c>
      <c r="K1463" s="97">
        <f>VLOOKUP(H1463,[2]character_type_i18n!$A:$F,5,FALSE)</f>
        <v>0.9</v>
      </c>
      <c r="L1463" s="97">
        <f>VLOOKUP(H1463,[2]character_type_i18n!$A:$F,6,FALSE)</f>
        <v>1</v>
      </c>
      <c r="M1463" s="9" t="str">
        <f>VLOOKUP(A1463,[2]characters!$A:$M,13,FALSE)</f>
        <v>human</v>
      </c>
      <c r="N1463" s="6" t="str">
        <f>VLOOKUP(M1463,[2]character_tribe_i18n!$A:$F,3,FALSE)</f>
        <v>ヒューマン</v>
      </c>
      <c r="O1463" s="97">
        <f>VLOOKUP(M1463,[2]character_tribe_i18n!$A:$F,4,FALSE)</f>
        <v>0.94</v>
      </c>
      <c r="P1463" s="97">
        <f>VLOOKUP(M1463,[2]character_tribe_i18n!$A:$F,5,FALSE)</f>
        <v>0.99</v>
      </c>
      <c r="Q1463" s="97">
        <f>VLOOKUP(M1463,[2]character_tribe_i18n!$A:$F,6,FALSE)</f>
        <v>1</v>
      </c>
      <c r="R1463" s="98" t="s">
        <v>98</v>
      </c>
      <c r="S1463" s="97">
        <f>VLOOKUP($R1463,ラベル別係数!$A$1:$E$7,3,FALSE)</f>
        <v>5</v>
      </c>
      <c r="T1463" s="97">
        <f>VLOOKUP($R1463,ラベル別係数!$A$1:$E$7,4,FALSE)</f>
        <v>1.3</v>
      </c>
      <c r="U1463" s="97">
        <f>VLOOKUP($R1463,ラベル別係数!$A$1:$E$7,5,FALSE)</f>
        <v>0.8</v>
      </c>
      <c r="V1463" s="98">
        <v>3</v>
      </c>
      <c r="W1463" s="99">
        <f>VLOOKUP(V1463,ターン数別攻撃係数!$A$1:$B$1000,2,FALSE)</f>
        <v>1</v>
      </c>
      <c r="X1463" s="9">
        <f>VLOOKUP(C1463,サイズ別係数!A$2:B$9,2,FALSE)</f>
        <v>60</v>
      </c>
      <c r="Y1463" s="97">
        <f>VLOOKUP($X1463,サイズ別係数!$B:$E,2,FALSE)</f>
        <v>1.7</v>
      </c>
      <c r="Z1463" s="97">
        <f>VLOOKUP($X1463,サイズ別係数!$B:$E,3,FALSE)</f>
        <v>1.4</v>
      </c>
      <c r="AA1463" s="97">
        <f>VLOOKUP($X1463,サイズ別係数!$B:$E,4,FALSE)</f>
        <v>1</v>
      </c>
      <c r="AB1463" s="10">
        <v>0</v>
      </c>
      <c r="AC1463" s="6" t="str">
        <f ca="1">VLOOKUP($AB1463,OFFSET([3]enemy_skill_sets!$B$2,0,0,COUNTA([3]enemy_skill_sets!$A:$A),MATCH(AC$1,[3]enemy_skill_sets!$1:$1,0)-MATCH($AB$1,[3]enemy_skill_sets!$1:$1,0)+1),MATCH(AC$1,[3]enemy_skill_sets!$1:$1,0)-MATCH($AB$1,[3]enemy_skill_sets!$1:$1,0)+1,FALSE)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3" s="67">
        <v>1</v>
      </c>
      <c r="AE1463" s="67">
        <v>1</v>
      </c>
      <c r="AF1463" s="68">
        <v>0</v>
      </c>
      <c r="AG1463" s="99">
        <f>ROUND(VLOOKUP(1,enemy_base_stats!$A:$F,2,FALSE) * Y1463* J1463*O1463*E1463*S1463*AD1463*[2]ステータス!$B$2,0)</f>
        <v>3524</v>
      </c>
      <c r="AH1463" s="99">
        <f>ROUND(VLOOKUP(1,enemy_base_stats!$A:$F,3,FALSE) * Z1463*K1463*P1463*F1463*T1463*AE1463 * W1463*[2]ステータス!$C$2,0)</f>
        <v>246</v>
      </c>
      <c r="AI1463" s="99">
        <f>ROUND(VLOOKUP(1,enemy_base_stats!$A:$F,4,FALSE) * AA1463*L1463*Q1463*G1463*U1463*AF1463*[2]ステータス!$D$2,0)</f>
        <v>0</v>
      </c>
      <c r="AJ1463" s="99">
        <f>ROUND(VLOOKUP(100,enemy_base_stats!$A:$F,2,FALSE) * Y1463* J1463*O1463*E1463*S1463*AD1463*[2]ステータス!$B$2,0)</f>
        <v>143058</v>
      </c>
      <c r="AK1463" s="99">
        <f>ROUND(VLOOKUP(100,enemy_base_stats!$A:$F,3,FALSE)* Z1463* K1463*P1463*F1463*T1463*AE1463 * W1463*[2]ステータス!$C$2,0)</f>
        <v>9974</v>
      </c>
      <c r="AL1463" s="99">
        <f>ROUND(VLOOKUP(100,enemy_base_stats!$A:$F,4,FALSE)* AA1463* L1463*Q1463*G1463*U1463*AF1463*[2]ステータス!$D$2,0)</f>
        <v>0</v>
      </c>
      <c r="AM1463" s="97">
        <f>VLOOKUP(M1463,[2]character_tribe_i18n!$A:$I,9,FALSE)</f>
        <v>400</v>
      </c>
      <c r="AN1463" s="36">
        <v>0</v>
      </c>
      <c r="AO1463" s="98">
        <v>0</v>
      </c>
      <c r="AP1463" s="58" t="s">
        <v>72</v>
      </c>
      <c r="AQ1463" s="34">
        <f t="shared" si="87"/>
        <v>5008</v>
      </c>
    </row>
    <row r="1464" spans="1:43" ht="21" customHeight="1" x14ac:dyDescent="0.15">
      <c r="A1464" s="109">
        <v>5011</v>
      </c>
      <c r="B1464" s="6" t="str">
        <f>VLOOKUP(A1464,[2]characters!$A:$C,3,FALSE)</f>
        <v>サン=テグジュペリ</v>
      </c>
      <c r="C1464" s="9">
        <f>VLOOKUP(A1464,[2]characters!$A:$I,9,FALSE)</f>
        <v>5</v>
      </c>
      <c r="D1464" s="9" t="str">
        <f>VLOOKUP(A1464,[2]characters!$A:$H,8,FALSE)</f>
        <v>blue</v>
      </c>
      <c r="E1464" s="24">
        <f>VLOOKUP(D1464,[2]属性!$A:$E,2,FALSE)</f>
        <v>1</v>
      </c>
      <c r="F1464" s="24">
        <f>VLOOKUP(D1464,[2]属性!$A:$E,3,FALSE)</f>
        <v>0.98</v>
      </c>
      <c r="G1464" s="24">
        <f>VLOOKUP(D1464,[2]属性!$A:$F,4,FALSE)</f>
        <v>1</v>
      </c>
      <c r="H1464" s="9" t="str">
        <f>VLOOKUP(A1464,[2]characters!$A:$K,11,FALSE)</f>
        <v>hp</v>
      </c>
      <c r="I1464" s="14" t="str">
        <f>VLOOKUP(H1464,[2]character_type_i18n!$A:$F,3,FALSE)</f>
        <v>体力タイプ</v>
      </c>
      <c r="J1464" s="36">
        <f>VLOOKUP(H1464,[2]character_type_i18n!$A:$F,4,FALSE)</f>
        <v>1.45</v>
      </c>
      <c r="K1464" s="36">
        <f>VLOOKUP(H1464,[2]character_type_i18n!$A:$F,5,FALSE)</f>
        <v>0.85</v>
      </c>
      <c r="L1464" s="36">
        <f>VLOOKUP(H1464,[2]character_type_i18n!$A:$F,6,FALSE)</f>
        <v>1</v>
      </c>
      <c r="M1464" s="9" t="str">
        <f>VLOOKUP(A1464,[2]characters!$A:$M,13,FALSE)</f>
        <v>human</v>
      </c>
      <c r="N1464" s="14" t="str">
        <f>VLOOKUP(M1464,[2]character_tribe_i18n!$A:$F,3,FALSE)</f>
        <v>ヒューマン</v>
      </c>
      <c r="O1464" s="24">
        <f>VLOOKUP(M1464,[2]character_tribe_i18n!$A:$F,4,FALSE)</f>
        <v>0.94</v>
      </c>
      <c r="P1464" s="24">
        <f>VLOOKUP(M1464,[2]character_tribe_i18n!$A:$F,5,FALSE)</f>
        <v>0.99</v>
      </c>
      <c r="Q1464" s="24">
        <f>VLOOKUP(M1464,[2]character_tribe_i18n!$A:$F,6,FALSE)</f>
        <v>1</v>
      </c>
      <c r="R1464" s="25" t="s">
        <v>98</v>
      </c>
      <c r="S1464" s="24">
        <f>VLOOKUP($R1464,ラベル別係数!$A$1:$E$7,3,FALSE)</f>
        <v>5</v>
      </c>
      <c r="T1464" s="24">
        <f>VLOOKUP($R1464,ラベル別係数!$A$1:$E$7,4,FALSE)</f>
        <v>1.3</v>
      </c>
      <c r="U1464" s="24">
        <f>VLOOKUP($R1464,ラベル別係数!$A$1:$E$7,5,FALSE)</f>
        <v>0.8</v>
      </c>
      <c r="V1464" s="27">
        <v>3</v>
      </c>
      <c r="W1464" s="28">
        <f>VLOOKUP(V1464,ターン数別攻撃係数!$A$1:$B$1000,2,FALSE)</f>
        <v>1</v>
      </c>
      <c r="X1464" s="9">
        <f>VLOOKUP(C1464,サイズ別係数!A$2:B$9,2,FALSE)</f>
        <v>60</v>
      </c>
      <c r="Y1464" s="26">
        <f>VLOOKUP($X1464,サイズ別係数!$B:$E,2,FALSE)</f>
        <v>1.7</v>
      </c>
      <c r="Z1464" s="26">
        <f>VLOOKUP($X1464,サイズ別係数!$B:$E,3,FALSE)</f>
        <v>1.4</v>
      </c>
      <c r="AA1464" s="26">
        <f>VLOOKUP($X1464,サイズ別係数!$B:$E,4,FALSE)</f>
        <v>1</v>
      </c>
      <c r="AB1464" s="5">
        <v>0</v>
      </c>
      <c r="AC1464" s="34" t="str">
        <f ca="1">VLOOKUP($AB1464,OFFSET([3]enemy_skill_sets!$B$2,0,0,COUNTA([3]enemy_skill_sets!$A:$A),MATCH(AC$1,[3]enemy_skill_sets!$1:$1,0)-MATCH($AB$1,[3]enemy_skill_sets!$1:$1,0)+1),MATCH(AC$1,[3]enemy_skill_sets!$1:$1,0)-MATCH($AB$1,[3]enemy_skill_sets!$1:$1,0)+1,FALSE)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4" s="67">
        <v>1</v>
      </c>
      <c r="AE1464" s="67">
        <v>1</v>
      </c>
      <c r="AF1464" s="37">
        <v>0</v>
      </c>
      <c r="AG1464" s="99">
        <f>ROUND(VLOOKUP(1,enemy_base_stats!$A:$F,2,FALSE) * Y1464* J1464*O1464*E1464*S1464*AD1464*[2]ステータス!$B$2,0)</f>
        <v>5793</v>
      </c>
      <c r="AH1464" s="99">
        <f>ROUND(VLOOKUP(1,enemy_base_stats!$A:$F,3,FALSE) * Z1464*K1464*P1464*F1464*T1464*AE1464 * W1464*[2]ステータス!$C$2,0)</f>
        <v>225</v>
      </c>
      <c r="AI1464" s="99">
        <f>ROUND(VLOOKUP(1,enemy_base_stats!$A:$F,4,FALSE) * AA1464*L1464*Q1464*G1464*U1464*AF1464*[2]ステータス!$D$2,0)</f>
        <v>0</v>
      </c>
      <c r="AJ1464" s="99">
        <f>ROUND(VLOOKUP(100,enemy_base_stats!$A:$F,2,FALSE) * Y1464* J1464*O1464*E1464*S1464*AD1464*[2]ステータス!$B$2,0)</f>
        <v>235186</v>
      </c>
      <c r="AK1464" s="99">
        <f>ROUND(VLOOKUP(100,enemy_base_stats!$A:$F,3,FALSE)* Z1464* K1464*P1464*F1464*T1464*AE1464 * W1464*[2]ステータス!$C$2,0)</f>
        <v>9140</v>
      </c>
      <c r="AL1464" s="99">
        <f>ROUND(VLOOKUP(100,enemy_base_stats!$A:$F,4,FALSE)* AA1464* L1464*Q1464*G1464*U1464*AF1464*[2]ステータス!$D$2,0)</f>
        <v>0</v>
      </c>
      <c r="AM1464" s="97">
        <f>VLOOKUP(M1464,[2]character_tribe_i18n!$A:$I,9,FALSE)</f>
        <v>400</v>
      </c>
      <c r="AN1464" s="36">
        <v>0</v>
      </c>
      <c r="AO1464" s="53">
        <v>0</v>
      </c>
      <c r="AP1464" s="58" t="s">
        <v>72</v>
      </c>
      <c r="AQ1464" s="71">
        <f t="shared" si="87"/>
        <v>5011</v>
      </c>
    </row>
    <row r="1465" spans="1:43" ht="21" customHeight="1" x14ac:dyDescent="0.15">
      <c r="A1465" s="109">
        <v>5012</v>
      </c>
      <c r="B1465" s="6" t="str">
        <f>VLOOKUP(A1465,[2]characters!$A:$C,3,FALSE)</f>
        <v>サン=テグジュペリ★６</v>
      </c>
      <c r="C1465" s="9">
        <f>VLOOKUP(A1465,[2]characters!$A:$I,9,FALSE)</f>
        <v>6</v>
      </c>
      <c r="D1465" s="9" t="str">
        <f>VLOOKUP(A1465,[2]characters!$A:$H,8,FALSE)</f>
        <v>blue</v>
      </c>
      <c r="E1465" s="24">
        <f>VLOOKUP(D1465,[2]属性!$A:$E,2,FALSE)</f>
        <v>1</v>
      </c>
      <c r="F1465" s="24">
        <f>VLOOKUP(D1465,[2]属性!$A:$E,3,FALSE)</f>
        <v>0.98</v>
      </c>
      <c r="G1465" s="24">
        <f>VLOOKUP(D1465,[2]属性!$A:$F,4,FALSE)</f>
        <v>1</v>
      </c>
      <c r="H1465" s="9" t="str">
        <f>VLOOKUP(A1465,[2]characters!$A:$K,11,FALSE)</f>
        <v>hp</v>
      </c>
      <c r="I1465" s="14" t="str">
        <f>VLOOKUP(H1465,[2]character_type_i18n!$A:$F,3,FALSE)</f>
        <v>体力タイプ</v>
      </c>
      <c r="J1465" s="36">
        <f>VLOOKUP(H1465,[2]character_type_i18n!$A:$F,4,FALSE)</f>
        <v>1.45</v>
      </c>
      <c r="K1465" s="36">
        <f>VLOOKUP(H1465,[2]character_type_i18n!$A:$F,5,FALSE)</f>
        <v>0.85</v>
      </c>
      <c r="L1465" s="36">
        <f>VLOOKUP(H1465,[2]character_type_i18n!$A:$F,6,FALSE)</f>
        <v>1</v>
      </c>
      <c r="M1465" s="9" t="str">
        <f>VLOOKUP(A1465,[2]characters!$A:$M,13,FALSE)</f>
        <v>human</v>
      </c>
      <c r="N1465" s="14" t="str">
        <f>VLOOKUP(M1465,[2]character_tribe_i18n!$A:$F,3,FALSE)</f>
        <v>ヒューマン</v>
      </c>
      <c r="O1465" s="24">
        <f>VLOOKUP(M1465,[2]character_tribe_i18n!$A:$F,4,FALSE)</f>
        <v>0.94</v>
      </c>
      <c r="P1465" s="24">
        <f>VLOOKUP(M1465,[2]character_tribe_i18n!$A:$F,5,FALSE)</f>
        <v>0.99</v>
      </c>
      <c r="Q1465" s="24">
        <f>VLOOKUP(M1465,[2]character_tribe_i18n!$A:$F,6,FALSE)</f>
        <v>1</v>
      </c>
      <c r="R1465" s="25" t="s">
        <v>98</v>
      </c>
      <c r="S1465" s="24">
        <f>VLOOKUP($R1465,ラベル別係数!$A$1:$E$7,3,FALSE)</f>
        <v>5</v>
      </c>
      <c r="T1465" s="24">
        <f>VLOOKUP($R1465,ラベル別係数!$A$1:$E$7,4,FALSE)</f>
        <v>1.3</v>
      </c>
      <c r="U1465" s="24">
        <f>VLOOKUP($R1465,ラベル別係数!$A$1:$E$7,5,FALSE)</f>
        <v>0.8</v>
      </c>
      <c r="V1465" s="27">
        <v>3</v>
      </c>
      <c r="W1465" s="28">
        <f>VLOOKUP(V1465,ターン数別攻撃係数!$A$1:$B$1000,2,FALSE)</f>
        <v>1</v>
      </c>
      <c r="X1465" s="9">
        <f>VLOOKUP(C1465,サイズ別係数!A$2:B$9,2,FALSE)</f>
        <v>60</v>
      </c>
      <c r="Y1465" s="26">
        <f>VLOOKUP($X1465,サイズ別係数!$B:$E,2,FALSE)</f>
        <v>1.7</v>
      </c>
      <c r="Z1465" s="26">
        <f>VLOOKUP($X1465,サイズ別係数!$B:$E,3,FALSE)</f>
        <v>1.4</v>
      </c>
      <c r="AA1465" s="26">
        <f>VLOOKUP($X1465,サイズ別係数!$B:$E,4,FALSE)</f>
        <v>1</v>
      </c>
      <c r="AB1465" s="5">
        <v>0</v>
      </c>
      <c r="AC1465" s="34" t="str">
        <f ca="1">VLOOKUP($AB1465,OFFSET([3]enemy_skill_sets!$B$2,0,0,COUNTA([3]enemy_skill_sets!$A:$A),MATCH(AC$1,[3]enemy_skill_sets!$1:$1,0)-MATCH($AB$1,[3]enemy_skill_sets!$1:$1,0)+1),MATCH(AC$1,[3]enemy_skill_sets!$1:$1,0)-MATCH($AB$1,[3]enemy_skill_sets!$1:$1,0)+1,FALSE)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5" s="67">
        <v>1</v>
      </c>
      <c r="AE1465" s="67">
        <v>1</v>
      </c>
      <c r="AF1465" s="37">
        <v>0</v>
      </c>
      <c r="AG1465" s="99">
        <f>ROUND(VLOOKUP(1,enemy_base_stats!$A:$F,2,FALSE) * Y1465* J1465*O1465*E1465*S1465*AD1465*[2]ステータス!$B$2,0)</f>
        <v>5793</v>
      </c>
      <c r="AH1465" s="99">
        <f>ROUND(VLOOKUP(1,enemy_base_stats!$A:$F,3,FALSE) * Z1465*K1465*P1465*F1465*T1465*AE1465 * W1465*[2]ステータス!$C$2,0)</f>
        <v>225</v>
      </c>
      <c r="AI1465" s="99">
        <f>ROUND(VLOOKUP(1,enemy_base_stats!$A:$F,4,FALSE) * AA1465*L1465*Q1465*G1465*U1465*AF1465*[2]ステータス!$D$2,0)</f>
        <v>0</v>
      </c>
      <c r="AJ1465" s="99">
        <f>ROUND(VLOOKUP(100,enemy_base_stats!$A:$F,2,FALSE) * Y1465* J1465*O1465*E1465*S1465*AD1465*[2]ステータス!$B$2,0)</f>
        <v>235186</v>
      </c>
      <c r="AK1465" s="99">
        <f>ROUND(VLOOKUP(100,enemy_base_stats!$A:$F,3,FALSE)* Z1465* K1465*P1465*F1465*T1465*AE1465 * W1465*[2]ステータス!$C$2,0)</f>
        <v>9140</v>
      </c>
      <c r="AL1465" s="99">
        <f>ROUND(VLOOKUP(100,enemy_base_stats!$A:$F,4,FALSE)* AA1465* L1465*Q1465*G1465*U1465*AF1465*[2]ステータス!$D$2,0)</f>
        <v>0</v>
      </c>
      <c r="AM1465" s="97">
        <f>VLOOKUP(M1465,[2]character_tribe_i18n!$A:$I,9,FALSE)</f>
        <v>400</v>
      </c>
      <c r="AN1465" s="36">
        <v>0</v>
      </c>
      <c r="AO1465" s="53">
        <v>0</v>
      </c>
      <c r="AP1465" s="58" t="s">
        <v>72</v>
      </c>
      <c r="AQ1465" s="71">
        <f t="shared" si="87"/>
        <v>5012</v>
      </c>
    </row>
    <row r="1466" spans="1:43" ht="21" customHeight="1" x14ac:dyDescent="0.15">
      <c r="A1466" s="7">
        <v>6001</v>
      </c>
      <c r="B1466" s="6" t="str">
        <f>VLOOKUP(A1466,[2]characters!$A:$C,3,FALSE)</f>
        <v>ジェリー</v>
      </c>
      <c r="C1466" s="9">
        <f>VLOOKUP(A1466,[2]characters!$A:$I,9,FALSE)</f>
        <v>1</v>
      </c>
      <c r="D1466" s="9" t="str">
        <f>VLOOKUP(A1466,[2]characters!$A:$H,8,FALSE)</f>
        <v>red</v>
      </c>
      <c r="E1466" s="97">
        <f>VLOOKUP(D1466,[2]属性!$A:$E,2,FALSE)</f>
        <v>1</v>
      </c>
      <c r="F1466" s="97">
        <f>VLOOKUP(D1466,[2]属性!$A:$E,3,FALSE)</f>
        <v>1.02</v>
      </c>
      <c r="G1466" s="97">
        <f>VLOOKUP(D1466,[2]属性!$A:$F,4,FALSE)</f>
        <v>1</v>
      </c>
      <c r="H1466" s="9" t="str">
        <f>VLOOKUP(A1466,[2]characters!$A:$K,11,FALSE)</f>
        <v>attack</v>
      </c>
      <c r="I1466" s="6" t="str">
        <f>VLOOKUP(H1466,[2]character_type_i18n!$A:$F,3,FALSE)</f>
        <v>攻撃タイプ</v>
      </c>
      <c r="J1466" s="97">
        <f>VLOOKUP(H1466,[2]character_type_i18n!$A:$F,4,FALSE)</f>
        <v>1</v>
      </c>
      <c r="K1466" s="97">
        <f>VLOOKUP(H1466,[2]character_type_i18n!$A:$F,5,FALSE)</f>
        <v>1.33</v>
      </c>
      <c r="L1466" s="97">
        <f>VLOOKUP(H1466,[2]character_type_i18n!$A:$F,6,FALSE)</f>
        <v>1</v>
      </c>
      <c r="M1466" s="9" t="str">
        <f>VLOOKUP(A1466,[2]characters!$A:$M,13,FALSE)</f>
        <v>unknown</v>
      </c>
      <c r="N1466" s="6" t="str">
        <f>VLOOKUP(M1466,[2]character_tribe_i18n!$A:$F,3,FALSE)</f>
        <v>Unknown</v>
      </c>
      <c r="O1466" s="97">
        <f>VLOOKUP(M1466,[2]character_tribe_i18n!$A:$F,4,FALSE)</f>
        <v>1</v>
      </c>
      <c r="P1466" s="97">
        <f>VLOOKUP(M1466,[2]character_tribe_i18n!$A:$F,5,FALSE)</f>
        <v>1</v>
      </c>
      <c r="Q1466" s="97">
        <f>VLOOKUP(M1466,[2]character_tribe_i18n!$A:$F,6,FALSE)</f>
        <v>1</v>
      </c>
      <c r="R1466" s="98" t="s">
        <v>98</v>
      </c>
      <c r="S1466" s="97">
        <f>VLOOKUP($R1466,ラベル別係数!$A$1:$E$7,3,FALSE)</f>
        <v>5</v>
      </c>
      <c r="T1466" s="97">
        <f>VLOOKUP($R1466,ラベル別係数!$A$1:$E$7,4,FALSE)</f>
        <v>1.3</v>
      </c>
      <c r="U1466" s="97">
        <f>VLOOKUP($R1466,ラベル別係数!$A$1:$E$7,5,FALSE)</f>
        <v>0.8</v>
      </c>
      <c r="V1466" s="98">
        <v>3</v>
      </c>
      <c r="W1466" s="99">
        <f>VLOOKUP(V1466,ターン数別攻撃係数!$A$1:$B$1000,2,FALSE)</f>
        <v>1</v>
      </c>
      <c r="X1466" s="9">
        <f>VLOOKUP(C1466,サイズ別係数!A$2:B$9,2,FALSE)</f>
        <v>15</v>
      </c>
      <c r="Y1466" s="97">
        <f>VLOOKUP($X1466,サイズ別係数!$B:$E,2,FALSE)</f>
        <v>1</v>
      </c>
      <c r="Z1466" s="97">
        <f>VLOOKUP($X1466,サイズ別係数!$B:$E,3,FALSE)</f>
        <v>1</v>
      </c>
      <c r="AA1466" s="97">
        <f>VLOOKUP($X1466,サイズ別係数!$B:$E,4,FALSE)</f>
        <v>1</v>
      </c>
      <c r="AB1466" s="10">
        <v>0</v>
      </c>
      <c r="AC1466" s="6" t="str">
        <f ca="1">VLOOKUP($AB1466,OFFSET([3]enemy_skill_sets!$B$2,0,0,COUNTA([3]enemy_skill_sets!$A:$A),MATCH(AC$1,[3]enemy_skill_sets!$1:$1,0)-MATCH($AB$1,[3]enemy_skill_sets!$1:$1,0)+1),MATCH(AC$1,[3]enemy_skill_sets!$1:$1,0)-MATCH($AB$1,[3]enemy_skill_sets!$1:$1,0)+1,FALSE)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6" s="67">
        <v>1</v>
      </c>
      <c r="AE1466" s="67">
        <v>1</v>
      </c>
      <c r="AF1466" s="68">
        <v>0</v>
      </c>
      <c r="AG1466" s="99">
        <f>ROUND(VLOOKUP(1,enemy_base_stats!$A:$F,2,FALSE) * Y1466* J1466*O1466*E1466*S1466*AD1466*[2]ステータス!$B$2,0)</f>
        <v>2500</v>
      </c>
      <c r="AH1466" s="99">
        <f>ROUND(VLOOKUP(1,enemy_base_stats!$A:$F,3,FALSE) * Z1466*K1466*P1466*F1466*T1466*AE1466 * W1466*[2]ステータス!$C$2,0)</f>
        <v>265</v>
      </c>
      <c r="AI1466" s="99">
        <f>ROUND(VLOOKUP(1,enemy_base_stats!$A:$F,4,FALSE) * AA1466*L1466*Q1466*G1466*U1466*AF1466*[2]ステータス!$D$2,0)</f>
        <v>0</v>
      </c>
      <c r="AJ1466" s="99">
        <f>ROUND(VLOOKUP(100,enemy_base_stats!$A:$F,2,FALSE) * Y1466* J1466*O1466*E1466*S1466*AD1466*[2]ステータス!$B$2,0)</f>
        <v>101500</v>
      </c>
      <c r="AK1466" s="99">
        <f>ROUND(VLOOKUP(100,enemy_base_stats!$A:$F,3,FALSE)* Z1466* K1466*P1466*F1466*T1466*AE1466 * W1466*[2]ステータス!$C$2,0)</f>
        <v>10740</v>
      </c>
      <c r="AL1466" s="99">
        <f>ROUND(VLOOKUP(100,enemy_base_stats!$A:$F,4,FALSE)* AA1466* L1466*Q1466*G1466*U1466*AF1466*[2]ステータス!$D$2,0)</f>
        <v>0</v>
      </c>
      <c r="AM1466" s="97">
        <f>VLOOKUP(M1466,[2]character_tribe_i18n!$A:$I,9,FALSE)</f>
        <v>340</v>
      </c>
      <c r="AN1466" s="36">
        <v>0</v>
      </c>
      <c r="AO1466" s="98">
        <v>0</v>
      </c>
      <c r="AP1466" s="58" t="s">
        <v>72</v>
      </c>
      <c r="AQ1466" s="34">
        <f t="shared" ref="AQ1466:AQ1475" si="88">A1466</f>
        <v>6001</v>
      </c>
    </row>
    <row r="1467" spans="1:43" ht="21" customHeight="1" x14ac:dyDescent="0.15">
      <c r="A1467" s="7">
        <v>6002</v>
      </c>
      <c r="B1467" s="6" t="str">
        <f>VLOOKUP(A1467,[2]characters!$A:$C,3,FALSE)</f>
        <v>ヨシタカ</v>
      </c>
      <c r="C1467" s="9">
        <f>VLOOKUP(A1467,[2]characters!$A:$I,9,FALSE)</f>
        <v>2</v>
      </c>
      <c r="D1467" s="9" t="str">
        <f>VLOOKUP(A1467,[2]characters!$A:$H,8,FALSE)</f>
        <v>red</v>
      </c>
      <c r="E1467" s="97">
        <f>VLOOKUP(D1467,[2]属性!$A:$E,2,FALSE)</f>
        <v>1</v>
      </c>
      <c r="F1467" s="97">
        <f>VLOOKUP(D1467,[2]属性!$A:$E,3,FALSE)</f>
        <v>1.02</v>
      </c>
      <c r="G1467" s="97">
        <f>VLOOKUP(D1467,[2]属性!$A:$F,4,FALSE)</f>
        <v>1</v>
      </c>
      <c r="H1467" s="9" t="str">
        <f>VLOOKUP(A1467,[2]characters!$A:$K,11,FALSE)</f>
        <v>hp</v>
      </c>
      <c r="I1467" s="6" t="str">
        <f>VLOOKUP(H1467,[2]character_type_i18n!$A:$F,3,FALSE)</f>
        <v>体力タイプ</v>
      </c>
      <c r="J1467" s="97">
        <f>VLOOKUP(H1467,[2]character_type_i18n!$A:$F,4,FALSE)</f>
        <v>1.45</v>
      </c>
      <c r="K1467" s="97">
        <f>VLOOKUP(H1467,[2]character_type_i18n!$A:$F,5,FALSE)</f>
        <v>0.85</v>
      </c>
      <c r="L1467" s="97">
        <f>VLOOKUP(H1467,[2]character_type_i18n!$A:$F,6,FALSE)</f>
        <v>1</v>
      </c>
      <c r="M1467" s="9" t="str">
        <f>VLOOKUP(A1467,[2]characters!$A:$M,13,FALSE)</f>
        <v>human</v>
      </c>
      <c r="N1467" s="6" t="str">
        <f>VLOOKUP(M1467,[2]character_tribe_i18n!$A:$F,3,FALSE)</f>
        <v>ヒューマン</v>
      </c>
      <c r="O1467" s="97">
        <f>VLOOKUP(M1467,[2]character_tribe_i18n!$A:$F,4,FALSE)</f>
        <v>0.94</v>
      </c>
      <c r="P1467" s="97">
        <f>VLOOKUP(M1467,[2]character_tribe_i18n!$A:$F,5,FALSE)</f>
        <v>0.99</v>
      </c>
      <c r="Q1467" s="97">
        <f>VLOOKUP(M1467,[2]character_tribe_i18n!$A:$F,6,FALSE)</f>
        <v>1</v>
      </c>
      <c r="R1467" s="98" t="s">
        <v>98</v>
      </c>
      <c r="S1467" s="97">
        <f>VLOOKUP($R1467,ラベル別係数!$A$1:$E$7,3,FALSE)</f>
        <v>5</v>
      </c>
      <c r="T1467" s="97">
        <f>VLOOKUP($R1467,ラベル別係数!$A$1:$E$7,4,FALSE)</f>
        <v>1.3</v>
      </c>
      <c r="U1467" s="97">
        <f>VLOOKUP($R1467,ラベル別係数!$A$1:$E$7,5,FALSE)</f>
        <v>0.8</v>
      </c>
      <c r="V1467" s="98">
        <v>3</v>
      </c>
      <c r="W1467" s="99">
        <f>VLOOKUP(V1467,ターン数別攻撃係数!$A$1:$B$1000,2,FALSE)</f>
        <v>1</v>
      </c>
      <c r="X1467" s="9">
        <f>VLOOKUP(C1467,サイズ別係数!A$2:B$9,2,FALSE)</f>
        <v>15</v>
      </c>
      <c r="Y1467" s="97">
        <f>VLOOKUP($X1467,サイズ別係数!$B:$E,2,FALSE)</f>
        <v>1</v>
      </c>
      <c r="Z1467" s="97">
        <f>VLOOKUP($X1467,サイズ別係数!$B:$E,3,FALSE)</f>
        <v>1</v>
      </c>
      <c r="AA1467" s="97">
        <f>VLOOKUP($X1467,サイズ別係数!$B:$E,4,FALSE)</f>
        <v>1</v>
      </c>
      <c r="AB1467" s="10">
        <v>0</v>
      </c>
      <c r="AC1467" s="6" t="str">
        <f ca="1">VLOOKUP($AB1467,OFFSET([3]enemy_skill_sets!$B$2,0,0,COUNTA([3]enemy_skill_sets!$A:$A),MATCH(AC$1,[3]enemy_skill_sets!$1:$1,0)-MATCH($AB$1,[3]enemy_skill_sets!$1:$1,0)+1),MATCH(AC$1,[3]enemy_skill_sets!$1:$1,0)-MATCH($AB$1,[3]enemy_skill_sets!$1:$1,0)+1,FALSE)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7" s="67">
        <v>1</v>
      </c>
      <c r="AE1467" s="67">
        <v>1</v>
      </c>
      <c r="AF1467" s="68">
        <v>0</v>
      </c>
      <c r="AG1467" s="99">
        <f>ROUND(VLOOKUP(1,enemy_base_stats!$A:$F,2,FALSE) * Y1467* J1467*O1467*E1467*S1467*AD1467*[2]ステータス!$B$2,0)</f>
        <v>3408</v>
      </c>
      <c r="AH1467" s="99">
        <f>ROUND(VLOOKUP(1,enemy_base_stats!$A:$F,3,FALSE) * Z1467*K1467*P1467*F1467*T1467*AE1467 * W1467*[2]ステータス!$C$2,0)</f>
        <v>167</v>
      </c>
      <c r="AI1467" s="99">
        <f>ROUND(VLOOKUP(1,enemy_base_stats!$A:$F,4,FALSE) * AA1467*L1467*Q1467*G1467*U1467*AF1467*[2]ステータス!$D$2,0)</f>
        <v>0</v>
      </c>
      <c r="AJ1467" s="99">
        <f>ROUND(VLOOKUP(100,enemy_base_stats!$A:$F,2,FALSE) * Y1467* J1467*O1467*E1467*S1467*AD1467*[2]ステータス!$B$2,0)</f>
        <v>138345</v>
      </c>
      <c r="AK1467" s="99">
        <f>ROUND(VLOOKUP(100,enemy_base_stats!$A:$F,3,FALSE)* Z1467* K1467*P1467*F1467*T1467*AE1467 * W1467*[2]ステータス!$C$2,0)</f>
        <v>6795</v>
      </c>
      <c r="AL1467" s="99">
        <f>ROUND(VLOOKUP(100,enemy_base_stats!$A:$F,4,FALSE)* AA1467* L1467*Q1467*G1467*U1467*AF1467*[2]ステータス!$D$2,0)</f>
        <v>0</v>
      </c>
      <c r="AM1467" s="97">
        <f>VLOOKUP(M1467,[2]character_tribe_i18n!$A:$I,9,FALSE)</f>
        <v>400</v>
      </c>
      <c r="AN1467" s="36">
        <v>0</v>
      </c>
      <c r="AO1467" s="98">
        <v>0</v>
      </c>
      <c r="AP1467" s="58" t="s">
        <v>72</v>
      </c>
      <c r="AQ1467" s="34">
        <f t="shared" si="88"/>
        <v>6002</v>
      </c>
    </row>
    <row r="1468" spans="1:43" ht="21" customHeight="1" x14ac:dyDescent="0.15">
      <c r="A1468" s="7">
        <v>6003</v>
      </c>
      <c r="B1468" s="6" t="str">
        <f>VLOOKUP(A1468,[2]characters!$A:$C,3,FALSE)</f>
        <v>朱雀</v>
      </c>
      <c r="C1468" s="9">
        <f>VLOOKUP(A1468,[2]characters!$A:$I,9,FALSE)</f>
        <v>3</v>
      </c>
      <c r="D1468" s="9" t="str">
        <f>VLOOKUP(A1468,[2]characters!$A:$H,8,FALSE)</f>
        <v>red</v>
      </c>
      <c r="E1468" s="97">
        <f>VLOOKUP(D1468,[2]属性!$A:$E,2,FALSE)</f>
        <v>1</v>
      </c>
      <c r="F1468" s="97">
        <f>VLOOKUP(D1468,[2]属性!$A:$E,3,FALSE)</f>
        <v>1.02</v>
      </c>
      <c r="G1468" s="97">
        <f>VLOOKUP(D1468,[2]属性!$A:$F,4,FALSE)</f>
        <v>1</v>
      </c>
      <c r="H1468" s="9" t="str">
        <f>VLOOKUP(A1468,[2]characters!$A:$K,11,FALSE)</f>
        <v>balance</v>
      </c>
      <c r="I1468" s="6" t="str">
        <f>VLOOKUP(H1468,[2]character_type_i18n!$A:$F,3,FALSE)</f>
        <v>バランスタイプ</v>
      </c>
      <c r="J1468" s="97">
        <f>VLOOKUP(H1468,[2]character_type_i18n!$A:$F,4,FALSE)</f>
        <v>1</v>
      </c>
      <c r="K1468" s="97">
        <f>VLOOKUP(H1468,[2]character_type_i18n!$A:$F,5,FALSE)</f>
        <v>1</v>
      </c>
      <c r="L1468" s="97">
        <f>VLOOKUP(H1468,[2]character_type_i18n!$A:$F,6,FALSE)</f>
        <v>1</v>
      </c>
      <c r="M1468" s="9" t="str">
        <f>VLOOKUP(A1468,[2]characters!$A:$M,13,FALSE)</f>
        <v>animal</v>
      </c>
      <c r="N1468" s="6" t="str">
        <f>VLOOKUP(M1468,[2]character_tribe_i18n!$A:$F,3,FALSE)</f>
        <v>アニマル</v>
      </c>
      <c r="O1468" s="97">
        <f>VLOOKUP(M1468,[2]character_tribe_i18n!$A:$F,4,FALSE)</f>
        <v>1</v>
      </c>
      <c r="P1468" s="97">
        <f>VLOOKUP(M1468,[2]character_tribe_i18n!$A:$F,5,FALSE)</f>
        <v>1.1000000000000001</v>
      </c>
      <c r="Q1468" s="97">
        <f>VLOOKUP(M1468,[2]character_tribe_i18n!$A:$F,6,FALSE)</f>
        <v>1</v>
      </c>
      <c r="R1468" s="98" t="s">
        <v>98</v>
      </c>
      <c r="S1468" s="97">
        <f>VLOOKUP($R1468,ラベル別係数!$A$1:$E$7,3,FALSE)</f>
        <v>5</v>
      </c>
      <c r="T1468" s="97">
        <f>VLOOKUP($R1468,ラベル別係数!$A$1:$E$7,4,FALSE)</f>
        <v>1.3</v>
      </c>
      <c r="U1468" s="97">
        <f>VLOOKUP($R1468,ラベル別係数!$A$1:$E$7,5,FALSE)</f>
        <v>0.8</v>
      </c>
      <c r="V1468" s="98">
        <v>3</v>
      </c>
      <c r="W1468" s="99">
        <f>VLOOKUP(V1468,ターン数別攻撃係数!$A$1:$B$1000,2,FALSE)</f>
        <v>1</v>
      </c>
      <c r="X1468" s="9">
        <f>VLOOKUP(C1468,サイズ別係数!A$2:B$9,2,FALSE)</f>
        <v>25</v>
      </c>
      <c r="Y1468" s="97">
        <f>VLOOKUP($X1468,サイズ別係数!$B:$E,2,FALSE)</f>
        <v>1.2</v>
      </c>
      <c r="Z1468" s="97">
        <f>VLOOKUP($X1468,サイズ別係数!$B:$E,3,FALSE)</f>
        <v>1.25</v>
      </c>
      <c r="AA1468" s="97">
        <f>VLOOKUP($X1468,サイズ別係数!$B:$E,4,FALSE)</f>
        <v>1.1499999999999999</v>
      </c>
      <c r="AB1468" s="10">
        <v>0</v>
      </c>
      <c r="AC1468" s="6" t="str">
        <f ca="1">VLOOKUP($AB1468,OFFSET([3]enemy_skill_sets!$B$2,0,0,COUNTA([3]enemy_skill_sets!$A:$A),MATCH(AC$1,[3]enemy_skill_sets!$1:$1,0)-MATCH($AB$1,[3]enemy_skill_sets!$1:$1,0)+1),MATCH(AC$1,[3]enemy_skill_sets!$1:$1,0)-MATCH($AB$1,[3]enemy_skill_sets!$1:$1,0)+1,FALSE)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8" s="67">
        <v>1</v>
      </c>
      <c r="AE1468" s="67">
        <v>1</v>
      </c>
      <c r="AF1468" s="68">
        <v>0</v>
      </c>
      <c r="AG1468" s="99">
        <f>ROUND(VLOOKUP(1,enemy_base_stats!$A:$F,2,FALSE) * Y1468* J1468*O1468*E1468*S1468*AD1468*[2]ステータス!$B$2,0)</f>
        <v>3000</v>
      </c>
      <c r="AH1468" s="99">
        <f>ROUND(VLOOKUP(1,enemy_base_stats!$A:$F,3,FALSE) * Z1468*K1468*P1468*F1468*T1468*AE1468 * W1468*[2]ステータス!$C$2,0)</f>
        <v>273</v>
      </c>
      <c r="AI1468" s="99">
        <f>ROUND(VLOOKUP(1,enemy_base_stats!$A:$F,4,FALSE) * AA1468*L1468*Q1468*G1468*U1468*AF1468*[2]ステータス!$D$2,0)</f>
        <v>0</v>
      </c>
      <c r="AJ1468" s="99">
        <f>ROUND(VLOOKUP(100,enemy_base_stats!$A:$F,2,FALSE) * Y1468* J1468*O1468*E1468*S1468*AD1468*[2]ステータス!$B$2,0)</f>
        <v>121800</v>
      </c>
      <c r="AK1468" s="99">
        <f>ROUND(VLOOKUP(100,enemy_base_stats!$A:$F,3,FALSE)* Z1468* K1468*P1468*F1468*T1468*AE1468 * W1468*[2]ステータス!$C$2,0)</f>
        <v>11104</v>
      </c>
      <c r="AL1468" s="99">
        <f>ROUND(VLOOKUP(100,enemy_base_stats!$A:$F,4,FALSE)* AA1468* L1468*Q1468*G1468*U1468*AF1468*[2]ステータス!$D$2,0)</f>
        <v>0</v>
      </c>
      <c r="AM1468" s="97">
        <f>VLOOKUP(M1468,[2]character_tribe_i18n!$A:$I,9,FALSE)</f>
        <v>480</v>
      </c>
      <c r="AN1468" s="36">
        <v>0</v>
      </c>
      <c r="AO1468" s="98">
        <v>0</v>
      </c>
      <c r="AP1468" s="58" t="s">
        <v>72</v>
      </c>
      <c r="AQ1468" s="34">
        <f t="shared" si="88"/>
        <v>6003</v>
      </c>
    </row>
    <row r="1469" spans="1:43" ht="21" customHeight="1" x14ac:dyDescent="0.15">
      <c r="A1469" s="7">
        <v>6004</v>
      </c>
      <c r="B1469" s="6" t="str">
        <f>VLOOKUP(A1469,[2]characters!$A:$C,3,FALSE)</f>
        <v>ブレット</v>
      </c>
      <c r="C1469" s="9">
        <f>VLOOKUP(A1469,[2]characters!$A:$I,9,FALSE)</f>
        <v>1</v>
      </c>
      <c r="D1469" s="9" t="str">
        <f>VLOOKUP(A1469,[2]characters!$A:$H,8,FALSE)</f>
        <v>red</v>
      </c>
      <c r="E1469" s="97">
        <f>VLOOKUP(D1469,[2]属性!$A:$E,2,FALSE)</f>
        <v>1</v>
      </c>
      <c r="F1469" s="97">
        <f>VLOOKUP(D1469,[2]属性!$A:$E,3,FALSE)</f>
        <v>1.02</v>
      </c>
      <c r="G1469" s="97">
        <f>VLOOKUP(D1469,[2]属性!$A:$F,4,FALSE)</f>
        <v>1</v>
      </c>
      <c r="H1469" s="9" t="str">
        <f>VLOOKUP(A1469,[2]characters!$A:$K,11,FALSE)</f>
        <v>attack</v>
      </c>
      <c r="I1469" s="6" t="str">
        <f>VLOOKUP(H1469,[2]character_type_i18n!$A:$F,3,FALSE)</f>
        <v>攻撃タイプ</v>
      </c>
      <c r="J1469" s="97">
        <f>VLOOKUP(H1469,[2]character_type_i18n!$A:$F,4,FALSE)</f>
        <v>1</v>
      </c>
      <c r="K1469" s="97">
        <f>VLOOKUP(H1469,[2]character_type_i18n!$A:$F,5,FALSE)</f>
        <v>1.33</v>
      </c>
      <c r="L1469" s="97">
        <f>VLOOKUP(H1469,[2]character_type_i18n!$A:$F,6,FALSE)</f>
        <v>1</v>
      </c>
      <c r="M1469" s="9" t="str">
        <f>VLOOKUP(A1469,[2]characters!$A:$M,13,FALSE)</f>
        <v>animal</v>
      </c>
      <c r="N1469" s="6" t="str">
        <f>VLOOKUP(M1469,[2]character_tribe_i18n!$A:$F,3,FALSE)</f>
        <v>アニマル</v>
      </c>
      <c r="O1469" s="97">
        <f>VLOOKUP(M1469,[2]character_tribe_i18n!$A:$F,4,FALSE)</f>
        <v>1</v>
      </c>
      <c r="P1469" s="97">
        <f>VLOOKUP(M1469,[2]character_tribe_i18n!$A:$F,5,FALSE)</f>
        <v>1.1000000000000001</v>
      </c>
      <c r="Q1469" s="97">
        <f>VLOOKUP(M1469,[2]character_tribe_i18n!$A:$F,6,FALSE)</f>
        <v>1</v>
      </c>
      <c r="R1469" s="98" t="s">
        <v>98</v>
      </c>
      <c r="S1469" s="97">
        <f>VLOOKUP($R1469,ラベル別係数!$A$1:$E$7,3,FALSE)</f>
        <v>5</v>
      </c>
      <c r="T1469" s="97">
        <f>VLOOKUP($R1469,ラベル別係数!$A$1:$E$7,4,FALSE)</f>
        <v>1.3</v>
      </c>
      <c r="U1469" s="97">
        <f>VLOOKUP($R1469,ラベル別係数!$A$1:$E$7,5,FALSE)</f>
        <v>0.8</v>
      </c>
      <c r="V1469" s="98">
        <v>3</v>
      </c>
      <c r="W1469" s="99">
        <f>VLOOKUP(V1469,ターン数別攻撃係数!$A$1:$B$1000,2,FALSE)</f>
        <v>1</v>
      </c>
      <c r="X1469" s="9">
        <f>VLOOKUP(C1469,サイズ別係数!A$2:B$9,2,FALSE)</f>
        <v>15</v>
      </c>
      <c r="Y1469" s="97">
        <f>VLOOKUP($X1469,サイズ別係数!$B:$E,2,FALSE)</f>
        <v>1</v>
      </c>
      <c r="Z1469" s="97">
        <f>VLOOKUP($X1469,サイズ別係数!$B:$E,3,FALSE)</f>
        <v>1</v>
      </c>
      <c r="AA1469" s="97">
        <f>VLOOKUP($X1469,サイズ別係数!$B:$E,4,FALSE)</f>
        <v>1</v>
      </c>
      <c r="AB1469" s="10">
        <v>0</v>
      </c>
      <c r="AC1469" s="6" t="str">
        <f ca="1">VLOOKUP($AB1469,OFFSET([3]enemy_skill_sets!$B$2,0,0,COUNTA([3]enemy_skill_sets!$A:$A),MATCH(AC$1,[3]enemy_skill_sets!$1:$1,0)-MATCH($AB$1,[3]enemy_skill_sets!$1:$1,0)+1),MATCH(AC$1,[3]enemy_skill_sets!$1:$1,0)-MATCH($AB$1,[3]enemy_skill_sets!$1:$1,0)+1,FALSE)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69" s="67">
        <v>1</v>
      </c>
      <c r="AE1469" s="67">
        <v>1</v>
      </c>
      <c r="AF1469" s="68">
        <v>0</v>
      </c>
      <c r="AG1469" s="99">
        <f>ROUND(VLOOKUP(1,enemy_base_stats!$A:$F,2,FALSE) * Y1469* J1469*O1469*E1469*S1469*AD1469*[2]ステータス!$B$2,0)</f>
        <v>2500</v>
      </c>
      <c r="AH1469" s="99">
        <f>ROUND(VLOOKUP(1,enemy_base_stats!$A:$F,3,FALSE) * Z1469*K1469*P1469*F1469*T1469*AE1469 * W1469*[2]ステータス!$C$2,0)</f>
        <v>291</v>
      </c>
      <c r="AI1469" s="99">
        <f>ROUND(VLOOKUP(1,enemy_base_stats!$A:$F,4,FALSE) * AA1469*L1469*Q1469*G1469*U1469*AF1469*[2]ステータス!$D$2,0)</f>
        <v>0</v>
      </c>
      <c r="AJ1469" s="99">
        <f>ROUND(VLOOKUP(100,enemy_base_stats!$A:$F,2,FALSE) * Y1469* J1469*O1469*E1469*S1469*AD1469*[2]ステータス!$B$2,0)</f>
        <v>101500</v>
      </c>
      <c r="AK1469" s="99">
        <f>ROUND(VLOOKUP(100,enemy_base_stats!$A:$F,3,FALSE)* Z1469* K1469*P1469*F1469*T1469*AE1469 * W1469*[2]ステータス!$C$2,0)</f>
        <v>11814</v>
      </c>
      <c r="AL1469" s="99">
        <f>ROUND(VLOOKUP(100,enemy_base_stats!$A:$F,4,FALSE)* AA1469* L1469*Q1469*G1469*U1469*AF1469*[2]ステータス!$D$2,0)</f>
        <v>0</v>
      </c>
      <c r="AM1469" s="97">
        <f>VLOOKUP(M1469,[2]character_tribe_i18n!$A:$I,9,FALSE)</f>
        <v>480</v>
      </c>
      <c r="AN1469" s="36">
        <v>0</v>
      </c>
      <c r="AO1469" s="98">
        <v>0</v>
      </c>
      <c r="AP1469" s="58" t="s">
        <v>72</v>
      </c>
      <c r="AQ1469" s="34">
        <f t="shared" si="88"/>
        <v>6004</v>
      </c>
    </row>
    <row r="1470" spans="1:43" ht="21" customHeight="1" x14ac:dyDescent="0.15">
      <c r="A1470" s="7">
        <v>6005</v>
      </c>
      <c r="B1470" s="6" t="str">
        <f>VLOOKUP(A1470,[2]characters!$A:$C,3,FALSE)</f>
        <v>孤神 テティス</v>
      </c>
      <c r="C1470" s="9">
        <f>VLOOKUP(A1470,[2]characters!$A:$I,9,FALSE)</f>
        <v>4</v>
      </c>
      <c r="D1470" s="9" t="str">
        <f>VLOOKUP(A1470,[2]characters!$A:$H,8,FALSE)</f>
        <v>blue</v>
      </c>
      <c r="E1470" s="97">
        <f>VLOOKUP(D1470,[2]属性!$A:$E,2,FALSE)</f>
        <v>1</v>
      </c>
      <c r="F1470" s="97">
        <f>VLOOKUP(D1470,[2]属性!$A:$E,3,FALSE)</f>
        <v>0.98</v>
      </c>
      <c r="G1470" s="97">
        <f>VLOOKUP(D1470,[2]属性!$A:$F,4,FALSE)</f>
        <v>1</v>
      </c>
      <c r="H1470" s="9" t="str">
        <f>VLOOKUP(A1470,[2]characters!$A:$K,11,FALSE)</f>
        <v>hp</v>
      </c>
      <c r="I1470" s="6" t="str">
        <f>VLOOKUP(H1470,[2]character_type_i18n!$A:$F,3,FALSE)</f>
        <v>体力タイプ</v>
      </c>
      <c r="J1470" s="97">
        <f>VLOOKUP(H1470,[2]character_type_i18n!$A:$F,4,FALSE)</f>
        <v>1.45</v>
      </c>
      <c r="K1470" s="97">
        <f>VLOOKUP(H1470,[2]character_type_i18n!$A:$F,5,FALSE)</f>
        <v>0.85</v>
      </c>
      <c r="L1470" s="97">
        <f>VLOOKUP(H1470,[2]character_type_i18n!$A:$F,6,FALSE)</f>
        <v>1</v>
      </c>
      <c r="M1470" s="9" t="str">
        <f>VLOOKUP(A1470,[2]characters!$A:$M,13,FALSE)</f>
        <v>god</v>
      </c>
      <c r="N1470" s="6" t="str">
        <f>VLOOKUP(M1470,[2]character_tribe_i18n!$A:$F,3,FALSE)</f>
        <v>ゴッド</v>
      </c>
      <c r="O1470" s="97">
        <f>VLOOKUP(M1470,[2]character_tribe_i18n!$A:$F,4,FALSE)</f>
        <v>0.96</v>
      </c>
      <c r="P1470" s="97">
        <f>VLOOKUP(M1470,[2]character_tribe_i18n!$A:$F,5,FALSE)</f>
        <v>1.02</v>
      </c>
      <c r="Q1470" s="97">
        <f>VLOOKUP(M1470,[2]character_tribe_i18n!$A:$F,6,FALSE)</f>
        <v>1</v>
      </c>
      <c r="R1470" s="98" t="s">
        <v>98</v>
      </c>
      <c r="S1470" s="97">
        <f>VLOOKUP($R1470,ラベル別係数!$A$1:$E$7,3,FALSE)</f>
        <v>5</v>
      </c>
      <c r="T1470" s="97">
        <f>VLOOKUP($R1470,ラベル別係数!$A$1:$E$7,4,FALSE)</f>
        <v>1.3</v>
      </c>
      <c r="U1470" s="97">
        <f>VLOOKUP($R1470,ラベル別係数!$A$1:$E$7,5,FALSE)</f>
        <v>0.8</v>
      </c>
      <c r="V1470" s="98">
        <v>3</v>
      </c>
      <c r="W1470" s="99">
        <f>VLOOKUP(V1470,ターン数別攻撃係数!$A$1:$B$1000,2,FALSE)</f>
        <v>1</v>
      </c>
      <c r="X1470" s="9">
        <f>VLOOKUP(C1470,サイズ別係数!A$2:B$9,2,FALSE)</f>
        <v>30</v>
      </c>
      <c r="Y1470" s="97">
        <f>VLOOKUP($X1470,サイズ別係数!$B:$E,2,FALSE)</f>
        <v>1.3</v>
      </c>
      <c r="Z1470" s="97">
        <f>VLOOKUP($X1470,サイズ別係数!$B:$E,3,FALSE)</f>
        <v>1.3</v>
      </c>
      <c r="AA1470" s="97">
        <f>VLOOKUP($X1470,サイズ別係数!$B:$E,4,FALSE)</f>
        <v>1.1000000000000001</v>
      </c>
      <c r="AB1470" s="10">
        <v>0</v>
      </c>
      <c r="AC1470" s="6" t="str">
        <f ca="1">VLOOKUP($AB1470,OFFSET([3]enemy_skill_sets!$B$2,0,0,COUNTA([3]enemy_skill_sets!$A:$A),MATCH(AC$1,[3]enemy_skill_sets!$1:$1,0)-MATCH($AB$1,[3]enemy_skill_sets!$1:$1,0)+1),MATCH(AC$1,[3]enemy_skill_sets!$1:$1,0)-MATCH($AB$1,[3]enemy_skill_sets!$1:$1,0)+1,FALSE)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0" s="67">
        <v>1</v>
      </c>
      <c r="AE1470" s="67">
        <v>1</v>
      </c>
      <c r="AF1470" s="68">
        <v>0</v>
      </c>
      <c r="AG1470" s="99">
        <f>ROUND(VLOOKUP(1,enemy_base_stats!$A:$F,2,FALSE) * Y1470* J1470*O1470*E1470*S1470*AD1470*[2]ステータス!$B$2,0)</f>
        <v>4524</v>
      </c>
      <c r="AH1470" s="99">
        <f>ROUND(VLOOKUP(1,enemy_base_stats!$A:$F,3,FALSE) * Z1470*K1470*P1470*F1470*T1470*AE1470 * W1470*[2]ステータス!$C$2,0)</f>
        <v>215</v>
      </c>
      <c r="AI1470" s="99">
        <f>ROUND(VLOOKUP(1,enemy_base_stats!$A:$F,4,FALSE) * AA1470*L1470*Q1470*G1470*U1470*AF1470*[2]ステータス!$D$2,0)</f>
        <v>0</v>
      </c>
      <c r="AJ1470" s="99">
        <f>ROUND(VLOOKUP(100,enemy_base_stats!$A:$F,2,FALSE) * Y1470* J1470*O1470*E1470*S1470*AD1470*[2]ステータス!$B$2,0)</f>
        <v>183674</v>
      </c>
      <c r="AK1470" s="99">
        <f>ROUND(VLOOKUP(100,enemy_base_stats!$A:$F,3,FALSE)* Z1470* K1470*P1470*F1470*T1470*AE1470 * W1470*[2]ステータス!$C$2,0)</f>
        <v>8745</v>
      </c>
      <c r="AL1470" s="99">
        <f>ROUND(VLOOKUP(100,enemy_base_stats!$A:$F,4,FALSE)* AA1470* L1470*Q1470*G1470*U1470*AF1470*[2]ステータス!$D$2,0)</f>
        <v>0</v>
      </c>
      <c r="AM1470" s="97">
        <f>VLOOKUP(M1470,[2]character_tribe_i18n!$A:$I,9,FALSE)</f>
        <v>680</v>
      </c>
      <c r="AN1470" s="36">
        <v>0</v>
      </c>
      <c r="AO1470" s="98">
        <v>0</v>
      </c>
      <c r="AP1470" s="58" t="s">
        <v>72</v>
      </c>
      <c r="AQ1470" s="34">
        <f t="shared" si="88"/>
        <v>6005</v>
      </c>
    </row>
    <row r="1471" spans="1:43" ht="21" customHeight="1" x14ac:dyDescent="0.15">
      <c r="A1471" s="7">
        <v>6006</v>
      </c>
      <c r="B1471" s="6" t="str">
        <f>VLOOKUP(A1471,[2]characters!$A:$C,3,FALSE)</f>
        <v>海底の孤高神 テティス</v>
      </c>
      <c r="C1471" s="9">
        <f>VLOOKUP(A1471,[2]characters!$A:$I,9,FALSE)</f>
        <v>5</v>
      </c>
      <c r="D1471" s="9" t="str">
        <f>VLOOKUP(A1471,[2]characters!$A:$H,8,FALSE)</f>
        <v>blue</v>
      </c>
      <c r="E1471" s="97">
        <f>VLOOKUP(D1471,[2]属性!$A:$E,2,FALSE)</f>
        <v>1</v>
      </c>
      <c r="F1471" s="97">
        <f>VLOOKUP(D1471,[2]属性!$A:$E,3,FALSE)</f>
        <v>0.98</v>
      </c>
      <c r="G1471" s="97">
        <f>VLOOKUP(D1471,[2]属性!$A:$F,4,FALSE)</f>
        <v>1</v>
      </c>
      <c r="H1471" s="9" t="str">
        <f>VLOOKUP(A1471,[2]characters!$A:$K,11,FALSE)</f>
        <v>hp</v>
      </c>
      <c r="I1471" s="6" t="str">
        <f>VLOOKUP(H1471,[2]character_type_i18n!$A:$F,3,FALSE)</f>
        <v>体力タイプ</v>
      </c>
      <c r="J1471" s="97">
        <f>VLOOKUP(H1471,[2]character_type_i18n!$A:$F,4,FALSE)</f>
        <v>1.45</v>
      </c>
      <c r="K1471" s="97">
        <f>VLOOKUP(H1471,[2]character_type_i18n!$A:$F,5,FALSE)</f>
        <v>0.85</v>
      </c>
      <c r="L1471" s="97">
        <f>VLOOKUP(H1471,[2]character_type_i18n!$A:$F,6,FALSE)</f>
        <v>1</v>
      </c>
      <c r="M1471" s="9" t="str">
        <f>VLOOKUP(A1471,[2]characters!$A:$M,13,FALSE)</f>
        <v>god</v>
      </c>
      <c r="N1471" s="6" t="str">
        <f>VLOOKUP(M1471,[2]character_tribe_i18n!$A:$F,3,FALSE)</f>
        <v>ゴッド</v>
      </c>
      <c r="O1471" s="97">
        <f>VLOOKUP(M1471,[2]character_tribe_i18n!$A:$F,4,FALSE)</f>
        <v>0.96</v>
      </c>
      <c r="P1471" s="97">
        <f>VLOOKUP(M1471,[2]character_tribe_i18n!$A:$F,5,FALSE)</f>
        <v>1.02</v>
      </c>
      <c r="Q1471" s="97">
        <f>VLOOKUP(M1471,[2]character_tribe_i18n!$A:$F,6,FALSE)</f>
        <v>1</v>
      </c>
      <c r="R1471" s="98" t="s">
        <v>98</v>
      </c>
      <c r="S1471" s="97">
        <f>VLOOKUP($R1471,ラベル別係数!$A$1:$E$7,3,FALSE)</f>
        <v>5</v>
      </c>
      <c r="T1471" s="97">
        <f>VLOOKUP($R1471,ラベル別係数!$A$1:$E$7,4,FALSE)</f>
        <v>1.3</v>
      </c>
      <c r="U1471" s="97">
        <f>VLOOKUP($R1471,ラベル別係数!$A$1:$E$7,5,FALSE)</f>
        <v>0.8</v>
      </c>
      <c r="V1471" s="98">
        <v>3</v>
      </c>
      <c r="W1471" s="99">
        <f>VLOOKUP(V1471,ターン数別攻撃係数!$A$1:$B$1000,2,FALSE)</f>
        <v>1</v>
      </c>
      <c r="X1471" s="9">
        <f>VLOOKUP(C1471,サイズ別係数!A$2:B$9,2,FALSE)</f>
        <v>60</v>
      </c>
      <c r="Y1471" s="97">
        <f>VLOOKUP($X1471,サイズ別係数!$B:$E,2,FALSE)</f>
        <v>1.7</v>
      </c>
      <c r="Z1471" s="97">
        <f>VLOOKUP($X1471,サイズ別係数!$B:$E,3,FALSE)</f>
        <v>1.4</v>
      </c>
      <c r="AA1471" s="97">
        <f>VLOOKUP($X1471,サイズ別係数!$B:$E,4,FALSE)</f>
        <v>1</v>
      </c>
      <c r="AB1471" s="10">
        <v>0</v>
      </c>
      <c r="AC1471" s="6" t="str">
        <f ca="1">VLOOKUP($AB1471,OFFSET([3]enemy_skill_sets!$B$2,0,0,COUNTA([3]enemy_skill_sets!$A:$A),MATCH(AC$1,[3]enemy_skill_sets!$1:$1,0)-MATCH($AB$1,[3]enemy_skill_sets!$1:$1,0)+1),MATCH(AC$1,[3]enemy_skill_sets!$1:$1,0)-MATCH($AB$1,[3]enemy_skill_sets!$1:$1,0)+1,FALSE)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1" s="67">
        <v>1</v>
      </c>
      <c r="AE1471" s="67">
        <v>1</v>
      </c>
      <c r="AF1471" s="68">
        <v>0</v>
      </c>
      <c r="AG1471" s="99">
        <f>ROUND(VLOOKUP(1,enemy_base_stats!$A:$F,2,FALSE) * Y1471* J1471*O1471*E1471*S1471*AD1471*[2]ステータス!$B$2,0)</f>
        <v>5916</v>
      </c>
      <c r="AH1471" s="99">
        <f>ROUND(VLOOKUP(1,enemy_base_stats!$A:$F,3,FALSE) * Z1471*K1471*P1471*F1471*T1471*AE1471 * W1471*[2]ステータス!$C$2,0)</f>
        <v>232</v>
      </c>
      <c r="AI1471" s="99">
        <f>ROUND(VLOOKUP(1,enemy_base_stats!$A:$F,4,FALSE) * AA1471*L1471*Q1471*G1471*U1471*AF1471*[2]ステータス!$D$2,0)</f>
        <v>0</v>
      </c>
      <c r="AJ1471" s="99">
        <f>ROUND(VLOOKUP(100,enemy_base_stats!$A:$F,2,FALSE) * Y1471* J1471*O1471*E1471*S1471*AD1471*[2]ステータス!$B$2,0)</f>
        <v>240190</v>
      </c>
      <c r="AK1471" s="99">
        <f>ROUND(VLOOKUP(100,enemy_base_stats!$A:$F,3,FALSE)* Z1471* K1471*P1471*F1471*T1471*AE1471 * W1471*[2]ステータス!$C$2,0)</f>
        <v>9417</v>
      </c>
      <c r="AL1471" s="99">
        <f>ROUND(VLOOKUP(100,enemy_base_stats!$A:$F,4,FALSE)* AA1471* L1471*Q1471*G1471*U1471*AF1471*[2]ステータス!$D$2,0)</f>
        <v>0</v>
      </c>
      <c r="AM1471" s="97">
        <f>VLOOKUP(M1471,[2]character_tribe_i18n!$A:$I,9,FALSE)</f>
        <v>680</v>
      </c>
      <c r="AN1471" s="36">
        <v>0</v>
      </c>
      <c r="AO1471" s="98">
        <v>0</v>
      </c>
      <c r="AP1471" s="58" t="s">
        <v>72</v>
      </c>
      <c r="AQ1471" s="34">
        <f t="shared" si="88"/>
        <v>6006</v>
      </c>
    </row>
    <row r="1472" spans="1:43" ht="21" customHeight="1" x14ac:dyDescent="0.15">
      <c r="A1472" s="7">
        <v>6007</v>
      </c>
      <c r="B1472" s="6" t="str">
        <f>VLOOKUP(A1472,[2]characters!$A:$C,3,FALSE)</f>
        <v>番犬 ケルベロス</v>
      </c>
      <c r="C1472" s="9">
        <f>VLOOKUP(A1472,[2]characters!$A:$I,9,FALSE)</f>
        <v>4</v>
      </c>
      <c r="D1472" s="9" t="str">
        <f>VLOOKUP(A1472,[2]characters!$A:$H,8,FALSE)</f>
        <v>red</v>
      </c>
      <c r="E1472" s="97">
        <f>VLOOKUP(D1472,[2]属性!$A:$E,2,FALSE)</f>
        <v>1</v>
      </c>
      <c r="F1472" s="97">
        <f>VLOOKUP(D1472,[2]属性!$A:$E,3,FALSE)</f>
        <v>1.02</v>
      </c>
      <c r="G1472" s="97">
        <f>VLOOKUP(D1472,[2]属性!$A:$F,4,FALSE)</f>
        <v>1</v>
      </c>
      <c r="H1472" s="9" t="str">
        <f>VLOOKUP(A1472,[2]characters!$A:$K,11,FALSE)</f>
        <v>balance</v>
      </c>
      <c r="I1472" s="6" t="str">
        <f>VLOOKUP(H1472,[2]character_type_i18n!$A:$F,3,FALSE)</f>
        <v>バランスタイプ</v>
      </c>
      <c r="J1472" s="97">
        <f>VLOOKUP(H1472,[2]character_type_i18n!$A:$F,4,FALSE)</f>
        <v>1</v>
      </c>
      <c r="K1472" s="97">
        <f>VLOOKUP(H1472,[2]character_type_i18n!$A:$F,5,FALSE)</f>
        <v>1</v>
      </c>
      <c r="L1472" s="97">
        <f>VLOOKUP(H1472,[2]character_type_i18n!$A:$F,6,FALSE)</f>
        <v>1</v>
      </c>
      <c r="M1472" s="9" t="str">
        <f>VLOOKUP(A1472,[2]characters!$A:$M,13,FALSE)</f>
        <v>animal</v>
      </c>
      <c r="N1472" s="6" t="str">
        <f>VLOOKUP(M1472,[2]character_tribe_i18n!$A:$F,3,FALSE)</f>
        <v>アニマル</v>
      </c>
      <c r="O1472" s="97">
        <f>VLOOKUP(M1472,[2]character_tribe_i18n!$A:$F,4,FALSE)</f>
        <v>1</v>
      </c>
      <c r="P1472" s="97">
        <f>VLOOKUP(M1472,[2]character_tribe_i18n!$A:$F,5,FALSE)</f>
        <v>1.1000000000000001</v>
      </c>
      <c r="Q1472" s="97">
        <f>VLOOKUP(M1472,[2]character_tribe_i18n!$A:$F,6,FALSE)</f>
        <v>1</v>
      </c>
      <c r="R1472" s="98" t="s">
        <v>98</v>
      </c>
      <c r="S1472" s="97">
        <f>VLOOKUP($R1472,ラベル別係数!$A$1:$E$7,3,FALSE)</f>
        <v>5</v>
      </c>
      <c r="T1472" s="97">
        <f>VLOOKUP($R1472,ラベル別係数!$A$1:$E$7,4,FALSE)</f>
        <v>1.3</v>
      </c>
      <c r="U1472" s="97">
        <f>VLOOKUP($R1472,ラベル別係数!$A$1:$E$7,5,FALSE)</f>
        <v>0.8</v>
      </c>
      <c r="V1472" s="98">
        <v>3</v>
      </c>
      <c r="W1472" s="99">
        <f>VLOOKUP(V1472,ターン数別攻撃係数!$A$1:$B$1000,2,FALSE)</f>
        <v>1</v>
      </c>
      <c r="X1472" s="9">
        <f>VLOOKUP(C1472,サイズ別係数!A$2:B$9,2,FALSE)</f>
        <v>30</v>
      </c>
      <c r="Y1472" s="97">
        <f>VLOOKUP($X1472,サイズ別係数!$B:$E,2,FALSE)</f>
        <v>1.3</v>
      </c>
      <c r="Z1472" s="97">
        <f>VLOOKUP($X1472,サイズ別係数!$B:$E,3,FALSE)</f>
        <v>1.3</v>
      </c>
      <c r="AA1472" s="97">
        <f>VLOOKUP($X1472,サイズ別係数!$B:$E,4,FALSE)</f>
        <v>1.1000000000000001</v>
      </c>
      <c r="AB1472" s="10">
        <v>0</v>
      </c>
      <c r="AC1472" s="6" t="str">
        <f ca="1">VLOOKUP($AB1472,OFFSET([3]enemy_skill_sets!$B$2,0,0,COUNTA([3]enemy_skill_sets!$A:$A),MATCH(AC$1,[3]enemy_skill_sets!$1:$1,0)-MATCH($AB$1,[3]enemy_skill_sets!$1:$1,0)+1),MATCH(AC$1,[3]enemy_skill_sets!$1:$1,0)-MATCH($AB$1,[3]enemy_skill_sets!$1:$1,0)+1,FALSE)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2" s="67">
        <v>1</v>
      </c>
      <c r="AE1472" s="67">
        <v>1</v>
      </c>
      <c r="AF1472" s="68">
        <v>0</v>
      </c>
      <c r="AG1472" s="99">
        <f>ROUND(VLOOKUP(1,enemy_base_stats!$A:$F,2,FALSE) * Y1472* J1472*O1472*E1472*S1472*AD1472*[2]ステータス!$B$2,0)</f>
        <v>3250</v>
      </c>
      <c r="AH1472" s="99">
        <f>ROUND(VLOOKUP(1,enemy_base_stats!$A:$F,3,FALSE) * Z1472*K1472*P1472*F1472*T1472*AE1472 * W1472*[2]ステータス!$C$2,0)</f>
        <v>284</v>
      </c>
      <c r="AI1472" s="99">
        <f>ROUND(VLOOKUP(1,enemy_base_stats!$A:$F,4,FALSE) * AA1472*L1472*Q1472*G1472*U1472*AF1472*[2]ステータス!$D$2,0)</f>
        <v>0</v>
      </c>
      <c r="AJ1472" s="99">
        <f>ROUND(VLOOKUP(100,enemy_base_stats!$A:$F,2,FALSE) * Y1472* J1472*O1472*E1472*S1472*AD1472*[2]ステータス!$B$2,0)</f>
        <v>131950</v>
      </c>
      <c r="AK1472" s="99">
        <f>ROUND(VLOOKUP(100,enemy_base_stats!$A:$F,3,FALSE)* Z1472* K1472*P1472*F1472*T1472*AE1472 * W1472*[2]ステータス!$C$2,0)</f>
        <v>11548</v>
      </c>
      <c r="AL1472" s="99">
        <f>ROUND(VLOOKUP(100,enemy_base_stats!$A:$F,4,FALSE)* AA1472* L1472*Q1472*G1472*U1472*AF1472*[2]ステータス!$D$2,0)</f>
        <v>0</v>
      </c>
      <c r="AM1472" s="97">
        <f>VLOOKUP(M1472,[2]character_tribe_i18n!$A:$I,9,FALSE)</f>
        <v>480</v>
      </c>
      <c r="AN1472" s="36">
        <v>0</v>
      </c>
      <c r="AO1472" s="98">
        <v>0</v>
      </c>
      <c r="AP1472" s="58" t="s">
        <v>72</v>
      </c>
      <c r="AQ1472" s="34">
        <f t="shared" si="88"/>
        <v>6007</v>
      </c>
    </row>
    <row r="1473" spans="1:43" ht="21" customHeight="1" x14ac:dyDescent="0.15">
      <c r="A1473" s="7">
        <v>6008</v>
      </c>
      <c r="B1473" s="6" t="str">
        <f>VLOOKUP(A1473,[2]characters!$A:$C,3,FALSE)</f>
        <v>焔神 プロメテウス</v>
      </c>
      <c r="C1473" s="9">
        <f>VLOOKUP(A1473,[2]characters!$A:$I,9,FALSE)</f>
        <v>4</v>
      </c>
      <c r="D1473" s="9" t="str">
        <f>VLOOKUP(A1473,[2]characters!$A:$H,8,FALSE)</f>
        <v>red</v>
      </c>
      <c r="E1473" s="97">
        <f>VLOOKUP(D1473,[2]属性!$A:$E,2,FALSE)</f>
        <v>1</v>
      </c>
      <c r="F1473" s="97">
        <f>VLOOKUP(D1473,[2]属性!$A:$E,3,FALSE)</f>
        <v>1.02</v>
      </c>
      <c r="G1473" s="97">
        <f>VLOOKUP(D1473,[2]属性!$A:$F,4,FALSE)</f>
        <v>1</v>
      </c>
      <c r="H1473" s="9" t="str">
        <f>VLOOKUP(A1473,[2]characters!$A:$K,11,FALSE)</f>
        <v>hp</v>
      </c>
      <c r="I1473" s="6" t="str">
        <f>VLOOKUP(H1473,[2]character_type_i18n!$A:$F,3,FALSE)</f>
        <v>体力タイプ</v>
      </c>
      <c r="J1473" s="97">
        <f>VLOOKUP(H1473,[2]character_type_i18n!$A:$F,4,FALSE)</f>
        <v>1.45</v>
      </c>
      <c r="K1473" s="97">
        <f>VLOOKUP(H1473,[2]character_type_i18n!$A:$F,5,FALSE)</f>
        <v>0.85</v>
      </c>
      <c r="L1473" s="97">
        <f>VLOOKUP(H1473,[2]character_type_i18n!$A:$F,6,FALSE)</f>
        <v>1</v>
      </c>
      <c r="M1473" s="9" t="str">
        <f>VLOOKUP(A1473,[2]characters!$A:$M,13,FALSE)</f>
        <v>god</v>
      </c>
      <c r="N1473" s="6" t="str">
        <f>VLOOKUP(M1473,[2]character_tribe_i18n!$A:$F,3,FALSE)</f>
        <v>ゴッド</v>
      </c>
      <c r="O1473" s="97">
        <f>VLOOKUP(M1473,[2]character_tribe_i18n!$A:$F,4,FALSE)</f>
        <v>0.96</v>
      </c>
      <c r="P1473" s="97">
        <f>VLOOKUP(M1473,[2]character_tribe_i18n!$A:$F,5,FALSE)</f>
        <v>1.02</v>
      </c>
      <c r="Q1473" s="97">
        <f>VLOOKUP(M1473,[2]character_tribe_i18n!$A:$F,6,FALSE)</f>
        <v>1</v>
      </c>
      <c r="R1473" s="98" t="s">
        <v>98</v>
      </c>
      <c r="S1473" s="97">
        <f>VLOOKUP($R1473,ラベル別係数!$A$1:$E$7,3,FALSE)</f>
        <v>5</v>
      </c>
      <c r="T1473" s="97">
        <f>VLOOKUP($R1473,ラベル別係数!$A$1:$E$7,4,FALSE)</f>
        <v>1.3</v>
      </c>
      <c r="U1473" s="97">
        <f>VLOOKUP($R1473,ラベル別係数!$A$1:$E$7,5,FALSE)</f>
        <v>0.8</v>
      </c>
      <c r="V1473" s="98">
        <v>3</v>
      </c>
      <c r="W1473" s="99">
        <f>VLOOKUP(V1473,ターン数別攻撃係数!$A$1:$B$1000,2,FALSE)</f>
        <v>1</v>
      </c>
      <c r="X1473" s="9">
        <f>VLOOKUP(C1473,サイズ別係数!A$2:B$9,2,FALSE)</f>
        <v>30</v>
      </c>
      <c r="Y1473" s="97">
        <f>VLOOKUP($X1473,サイズ別係数!$B:$E,2,FALSE)</f>
        <v>1.3</v>
      </c>
      <c r="Z1473" s="97">
        <f>VLOOKUP($X1473,サイズ別係数!$B:$E,3,FALSE)</f>
        <v>1.3</v>
      </c>
      <c r="AA1473" s="97">
        <f>VLOOKUP($X1473,サイズ別係数!$B:$E,4,FALSE)</f>
        <v>1.1000000000000001</v>
      </c>
      <c r="AB1473" s="10">
        <v>0</v>
      </c>
      <c r="AC1473" s="6" t="str">
        <f ca="1">VLOOKUP($AB1473,OFFSET([3]enemy_skill_sets!$B$2,0,0,COUNTA([3]enemy_skill_sets!$A:$A),MATCH(AC$1,[3]enemy_skill_sets!$1:$1,0)-MATCH($AB$1,[3]enemy_skill_sets!$1:$1,0)+1),MATCH(AC$1,[3]enemy_skill_sets!$1:$1,0)-MATCH($AB$1,[3]enemy_skill_sets!$1:$1,0)+1,FALSE)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3" s="67">
        <v>1</v>
      </c>
      <c r="AE1473" s="67">
        <v>1</v>
      </c>
      <c r="AF1473" s="68">
        <v>0</v>
      </c>
      <c r="AG1473" s="99">
        <f>ROUND(VLOOKUP(1,enemy_base_stats!$A:$F,2,FALSE) * Y1473* J1473*O1473*E1473*S1473*AD1473*[2]ステータス!$B$2,0)</f>
        <v>4524</v>
      </c>
      <c r="AH1473" s="99">
        <f>ROUND(VLOOKUP(1,enemy_base_stats!$A:$F,3,FALSE) * Z1473*K1473*P1473*F1473*T1473*AE1473 * W1473*[2]ステータス!$C$2,0)</f>
        <v>224</v>
      </c>
      <c r="AI1473" s="99">
        <f>ROUND(VLOOKUP(1,enemy_base_stats!$A:$F,4,FALSE) * AA1473*L1473*Q1473*G1473*U1473*AF1473*[2]ステータス!$D$2,0)</f>
        <v>0</v>
      </c>
      <c r="AJ1473" s="99">
        <f>ROUND(VLOOKUP(100,enemy_base_stats!$A:$F,2,FALSE) * Y1473* J1473*O1473*E1473*S1473*AD1473*[2]ステータス!$B$2,0)</f>
        <v>183674</v>
      </c>
      <c r="AK1473" s="99">
        <f>ROUND(VLOOKUP(100,enemy_base_stats!$A:$F,3,FALSE)* Z1473* K1473*P1473*F1473*T1473*AE1473 * W1473*[2]ステータス!$C$2,0)</f>
        <v>9102</v>
      </c>
      <c r="AL1473" s="99">
        <f>ROUND(VLOOKUP(100,enemy_base_stats!$A:$F,4,FALSE)* AA1473* L1473*Q1473*G1473*U1473*AF1473*[2]ステータス!$D$2,0)</f>
        <v>0</v>
      </c>
      <c r="AM1473" s="97">
        <f>VLOOKUP(M1473,[2]character_tribe_i18n!$A:$I,9,FALSE)</f>
        <v>680</v>
      </c>
      <c r="AN1473" s="36">
        <v>0</v>
      </c>
      <c r="AO1473" s="98">
        <v>0</v>
      </c>
      <c r="AP1473" s="58" t="s">
        <v>72</v>
      </c>
      <c r="AQ1473" s="34">
        <f t="shared" si="88"/>
        <v>6008</v>
      </c>
    </row>
    <row r="1474" spans="1:43" ht="21" customHeight="1" x14ac:dyDescent="0.15">
      <c r="A1474" s="7">
        <v>6009</v>
      </c>
      <c r="B1474" s="6" t="str">
        <f>VLOOKUP(A1474,[2]characters!$A:$C,3,FALSE)</f>
        <v>超越自我 ラグランジュ</v>
      </c>
      <c r="C1474" s="9">
        <f>VLOOKUP(A1474,[2]characters!$A:$I,9,FALSE)</f>
        <v>5</v>
      </c>
      <c r="D1474" s="9" t="str">
        <f>VLOOKUP(A1474,[2]characters!$A:$H,8,FALSE)</f>
        <v>red</v>
      </c>
      <c r="E1474" s="97">
        <f>VLOOKUP(D1474,[2]属性!$A:$E,2,FALSE)</f>
        <v>1</v>
      </c>
      <c r="F1474" s="97">
        <f>VLOOKUP(D1474,[2]属性!$A:$E,3,FALSE)</f>
        <v>1.02</v>
      </c>
      <c r="G1474" s="97">
        <f>VLOOKUP(D1474,[2]属性!$A:$F,4,FALSE)</f>
        <v>1</v>
      </c>
      <c r="H1474" s="9" t="str">
        <f>VLOOKUP(A1474,[2]characters!$A:$K,11,FALSE)</f>
        <v>technical</v>
      </c>
      <c r="I1474" s="6" t="str">
        <f>VLOOKUP(H1474,[2]character_type_i18n!$A:$F,3,FALSE)</f>
        <v>テクニカルタイプ</v>
      </c>
      <c r="J1474" s="97">
        <f>VLOOKUP(H1474,[2]character_type_i18n!$A:$F,4,FALSE)</f>
        <v>0.9</v>
      </c>
      <c r="K1474" s="97">
        <f>VLOOKUP(H1474,[2]character_type_i18n!$A:$F,5,FALSE)</f>
        <v>0.9</v>
      </c>
      <c r="L1474" s="97">
        <f>VLOOKUP(H1474,[2]character_type_i18n!$A:$F,6,FALSE)</f>
        <v>1</v>
      </c>
      <c r="M1474" s="9" t="str">
        <f>VLOOKUP(A1474,[2]characters!$A:$M,13,FALSE)</f>
        <v>human</v>
      </c>
      <c r="N1474" s="6" t="str">
        <f>VLOOKUP(M1474,[2]character_tribe_i18n!$A:$F,3,FALSE)</f>
        <v>ヒューマン</v>
      </c>
      <c r="O1474" s="97">
        <f>VLOOKUP(M1474,[2]character_tribe_i18n!$A:$F,4,FALSE)</f>
        <v>0.94</v>
      </c>
      <c r="P1474" s="97">
        <f>VLOOKUP(M1474,[2]character_tribe_i18n!$A:$F,5,FALSE)</f>
        <v>0.99</v>
      </c>
      <c r="Q1474" s="97">
        <f>VLOOKUP(M1474,[2]character_tribe_i18n!$A:$F,6,FALSE)</f>
        <v>1</v>
      </c>
      <c r="R1474" s="98" t="s">
        <v>98</v>
      </c>
      <c r="S1474" s="97">
        <f>VLOOKUP($R1474,ラベル別係数!$A$1:$E$7,3,FALSE)</f>
        <v>5</v>
      </c>
      <c r="T1474" s="97">
        <f>VLOOKUP($R1474,ラベル別係数!$A$1:$E$7,4,FALSE)</f>
        <v>1.3</v>
      </c>
      <c r="U1474" s="97">
        <f>VLOOKUP($R1474,ラベル別係数!$A$1:$E$7,5,FALSE)</f>
        <v>0.8</v>
      </c>
      <c r="V1474" s="98">
        <v>3</v>
      </c>
      <c r="W1474" s="99">
        <f>VLOOKUP(V1474,ターン数別攻撃係数!$A$1:$B$1000,2,FALSE)</f>
        <v>1</v>
      </c>
      <c r="X1474" s="9">
        <f>VLOOKUP(C1474,サイズ別係数!A$2:B$9,2,FALSE)</f>
        <v>60</v>
      </c>
      <c r="Y1474" s="97">
        <f>VLOOKUP($X1474,サイズ別係数!$B:$E,2,FALSE)</f>
        <v>1.7</v>
      </c>
      <c r="Z1474" s="97">
        <f>VLOOKUP($X1474,サイズ別係数!$B:$E,3,FALSE)</f>
        <v>1.4</v>
      </c>
      <c r="AA1474" s="97">
        <f>VLOOKUP($X1474,サイズ別係数!$B:$E,4,FALSE)</f>
        <v>1</v>
      </c>
      <c r="AB1474" s="10">
        <v>0</v>
      </c>
      <c r="AC1474" s="6" t="str">
        <f ca="1">VLOOKUP($AB1474,OFFSET([3]enemy_skill_sets!$B$2,0,0,COUNTA([3]enemy_skill_sets!$A:$A),MATCH(AC$1,[3]enemy_skill_sets!$1:$1,0)-MATCH($AB$1,[3]enemy_skill_sets!$1:$1,0)+1),MATCH(AC$1,[3]enemy_skill_sets!$1:$1,0)-MATCH($AB$1,[3]enemy_skill_sets!$1:$1,0)+1,FALSE)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4" s="67">
        <v>1</v>
      </c>
      <c r="AE1474" s="67">
        <v>1</v>
      </c>
      <c r="AF1474" s="68">
        <v>0</v>
      </c>
      <c r="AG1474" s="99">
        <f>ROUND(VLOOKUP(1,enemy_base_stats!$A:$F,2,FALSE) * Y1474* J1474*O1474*E1474*S1474*AD1474*[2]ステータス!$B$2,0)</f>
        <v>3596</v>
      </c>
      <c r="AH1474" s="99">
        <f>ROUND(VLOOKUP(1,enemy_base_stats!$A:$F,3,FALSE) * Z1474*K1474*P1474*F1474*T1474*AE1474 * W1474*[2]ステータス!$C$2,0)</f>
        <v>248</v>
      </c>
      <c r="AI1474" s="99">
        <f>ROUND(VLOOKUP(1,enemy_base_stats!$A:$F,4,FALSE) * AA1474*L1474*Q1474*G1474*U1474*AF1474*[2]ステータス!$D$2,0)</f>
        <v>0</v>
      </c>
      <c r="AJ1474" s="99">
        <f>ROUND(VLOOKUP(100,enemy_base_stats!$A:$F,2,FALSE) * Y1474* J1474*O1474*E1474*S1474*AD1474*[2]ステータス!$B$2,0)</f>
        <v>145977</v>
      </c>
      <c r="AK1474" s="99">
        <f>ROUND(VLOOKUP(100,enemy_base_stats!$A:$F,3,FALSE)* Z1474* K1474*P1474*F1474*T1474*AE1474 * W1474*[2]ステータス!$C$2,0)</f>
        <v>10073</v>
      </c>
      <c r="AL1474" s="99">
        <f>ROUND(VLOOKUP(100,enemy_base_stats!$A:$F,4,FALSE)* AA1474* L1474*Q1474*G1474*U1474*AF1474*[2]ステータス!$D$2,0)</f>
        <v>0</v>
      </c>
      <c r="AM1474" s="97">
        <f>VLOOKUP(M1474,[2]character_tribe_i18n!$A:$I,9,FALSE)</f>
        <v>400</v>
      </c>
      <c r="AN1474" s="36">
        <v>0</v>
      </c>
      <c r="AO1474" s="98">
        <v>0</v>
      </c>
      <c r="AP1474" s="58" t="s">
        <v>72</v>
      </c>
      <c r="AQ1474" s="34">
        <f t="shared" si="88"/>
        <v>6009</v>
      </c>
    </row>
    <row r="1475" spans="1:43" ht="21" customHeight="1" x14ac:dyDescent="0.15">
      <c r="A1475" s="7">
        <v>6010</v>
      </c>
      <c r="B1475" s="6" t="str">
        <f>VLOOKUP(A1475,[2]characters!$A:$C,3,FALSE)</f>
        <v>超越凌駕 ラグランジュ</v>
      </c>
      <c r="C1475" s="9">
        <f>VLOOKUP(A1475,[2]characters!$A:$I,9,FALSE)</f>
        <v>6</v>
      </c>
      <c r="D1475" s="9" t="str">
        <f>VLOOKUP(A1475,[2]characters!$A:$H,8,FALSE)</f>
        <v>red</v>
      </c>
      <c r="E1475" s="97">
        <f>VLOOKUP(D1475,[2]属性!$A:$E,2,FALSE)</f>
        <v>1</v>
      </c>
      <c r="F1475" s="97">
        <f>VLOOKUP(D1475,[2]属性!$A:$E,3,FALSE)</f>
        <v>1.02</v>
      </c>
      <c r="G1475" s="97">
        <f>VLOOKUP(D1475,[2]属性!$A:$F,4,FALSE)</f>
        <v>1</v>
      </c>
      <c r="H1475" s="9" t="str">
        <f>VLOOKUP(A1475,[2]characters!$A:$K,11,FALSE)</f>
        <v>technical</v>
      </c>
      <c r="I1475" s="6" t="str">
        <f>VLOOKUP(H1475,[2]character_type_i18n!$A:$F,3,FALSE)</f>
        <v>テクニカルタイプ</v>
      </c>
      <c r="J1475" s="97">
        <f>VLOOKUP(H1475,[2]character_type_i18n!$A:$F,4,FALSE)</f>
        <v>0.9</v>
      </c>
      <c r="K1475" s="97">
        <f>VLOOKUP(H1475,[2]character_type_i18n!$A:$F,5,FALSE)</f>
        <v>0.9</v>
      </c>
      <c r="L1475" s="97">
        <f>VLOOKUP(H1475,[2]character_type_i18n!$A:$F,6,FALSE)</f>
        <v>1</v>
      </c>
      <c r="M1475" s="9" t="str">
        <f>VLOOKUP(A1475,[2]characters!$A:$M,13,FALSE)</f>
        <v>human</v>
      </c>
      <c r="N1475" s="6" t="str">
        <f>VLOOKUP(M1475,[2]character_tribe_i18n!$A:$F,3,FALSE)</f>
        <v>ヒューマン</v>
      </c>
      <c r="O1475" s="97">
        <f>VLOOKUP(M1475,[2]character_tribe_i18n!$A:$F,4,FALSE)</f>
        <v>0.94</v>
      </c>
      <c r="P1475" s="97">
        <f>VLOOKUP(M1475,[2]character_tribe_i18n!$A:$F,5,FALSE)</f>
        <v>0.99</v>
      </c>
      <c r="Q1475" s="97">
        <f>VLOOKUP(M1475,[2]character_tribe_i18n!$A:$F,6,FALSE)</f>
        <v>1</v>
      </c>
      <c r="R1475" s="98" t="s">
        <v>98</v>
      </c>
      <c r="S1475" s="97">
        <f>VLOOKUP($R1475,ラベル別係数!$A$1:$E$7,3,FALSE)</f>
        <v>5</v>
      </c>
      <c r="T1475" s="97">
        <f>VLOOKUP($R1475,ラベル別係数!$A$1:$E$7,4,FALSE)</f>
        <v>1.3</v>
      </c>
      <c r="U1475" s="97">
        <f>VLOOKUP($R1475,ラベル別係数!$A$1:$E$7,5,FALSE)</f>
        <v>0.8</v>
      </c>
      <c r="V1475" s="98">
        <v>3</v>
      </c>
      <c r="W1475" s="99">
        <f>VLOOKUP(V1475,ターン数別攻撃係数!$A$1:$B$1000,2,FALSE)</f>
        <v>1</v>
      </c>
      <c r="X1475" s="9">
        <f>VLOOKUP(C1475,サイズ別係数!A$2:B$9,2,FALSE)</f>
        <v>60</v>
      </c>
      <c r="Y1475" s="97">
        <f>VLOOKUP($X1475,サイズ別係数!$B:$E,2,FALSE)</f>
        <v>1.7</v>
      </c>
      <c r="Z1475" s="97">
        <f>VLOOKUP($X1475,サイズ別係数!$B:$E,3,FALSE)</f>
        <v>1.4</v>
      </c>
      <c r="AA1475" s="97">
        <f>VLOOKUP($X1475,サイズ別係数!$B:$E,4,FALSE)</f>
        <v>1</v>
      </c>
      <c r="AB1475" s="10">
        <v>0</v>
      </c>
      <c r="AC1475" s="6" t="str">
        <f ca="1">VLOOKUP($AB1475,OFFSET([3]enemy_skill_sets!$B$2,0,0,COUNTA([3]enemy_skill_sets!$A:$A),MATCH(AC$1,[3]enemy_skill_sets!$1:$1,0)-MATCH($AB$1,[3]enemy_skill_sets!$1:$1,0)+1),MATCH(AC$1,[3]enemy_skill_sets!$1:$1,0)-MATCH($AB$1,[3]enemy_skill_sets!$1:$1,0)+1,FALSE)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5" s="67">
        <v>1</v>
      </c>
      <c r="AE1475" s="67">
        <v>1</v>
      </c>
      <c r="AF1475" s="68">
        <v>0</v>
      </c>
      <c r="AG1475" s="99">
        <f>ROUND(VLOOKUP(1,enemy_base_stats!$A:$F,2,FALSE) * Y1475* J1475*O1475*E1475*S1475*AD1475*[2]ステータス!$B$2,0)</f>
        <v>3596</v>
      </c>
      <c r="AH1475" s="99">
        <f>ROUND(VLOOKUP(1,enemy_base_stats!$A:$F,3,FALSE) * Z1475*K1475*P1475*F1475*T1475*AE1475 * W1475*[2]ステータス!$C$2,0)</f>
        <v>248</v>
      </c>
      <c r="AI1475" s="99">
        <f>ROUND(VLOOKUP(1,enemy_base_stats!$A:$F,4,FALSE) * AA1475*L1475*Q1475*G1475*U1475*AF1475*[2]ステータス!$D$2,0)</f>
        <v>0</v>
      </c>
      <c r="AJ1475" s="99">
        <f>ROUND(VLOOKUP(100,enemy_base_stats!$A:$F,2,FALSE) * Y1475* J1475*O1475*E1475*S1475*AD1475*[2]ステータス!$B$2,0)</f>
        <v>145977</v>
      </c>
      <c r="AK1475" s="99">
        <f>ROUND(VLOOKUP(100,enemy_base_stats!$A:$F,3,FALSE)* Z1475* K1475*P1475*F1475*T1475*AE1475 * W1475*[2]ステータス!$C$2,0)</f>
        <v>10073</v>
      </c>
      <c r="AL1475" s="99">
        <f>ROUND(VLOOKUP(100,enemy_base_stats!$A:$F,4,FALSE)* AA1475* L1475*Q1475*G1475*U1475*AF1475*[2]ステータス!$D$2,0)</f>
        <v>0</v>
      </c>
      <c r="AM1475" s="97">
        <f>VLOOKUP(M1475,[2]character_tribe_i18n!$A:$I,9,FALSE)</f>
        <v>400</v>
      </c>
      <c r="AN1475" s="36">
        <v>0</v>
      </c>
      <c r="AO1475" s="98">
        <v>0</v>
      </c>
      <c r="AP1475" s="58" t="s">
        <v>72</v>
      </c>
      <c r="AQ1475" s="34">
        <f t="shared" si="88"/>
        <v>6010</v>
      </c>
    </row>
    <row r="1476" spans="1:43" ht="21" customHeight="1" x14ac:dyDescent="0.15">
      <c r="A1476" s="7">
        <v>6011</v>
      </c>
      <c r="B1476" s="6" t="str">
        <f>VLOOKUP(A1476,[2]characters!$A:$C,3,FALSE)</f>
        <v>パトドッグリーダー ポチ</v>
      </c>
      <c r="C1476" s="9">
        <f>VLOOKUP(A1476,[2]characters!$A:$I,9,FALSE)</f>
        <v>2</v>
      </c>
      <c r="D1476" s="9" t="str">
        <f>VLOOKUP(A1476,[2]characters!$A:$H,8,FALSE)</f>
        <v>blue</v>
      </c>
      <c r="E1476" s="97">
        <f>VLOOKUP(D1476,[2]属性!$A:$E,2,FALSE)</f>
        <v>1</v>
      </c>
      <c r="F1476" s="97">
        <f>VLOOKUP(D1476,[2]属性!$A:$E,3,FALSE)</f>
        <v>0.98</v>
      </c>
      <c r="G1476" s="97">
        <f>VLOOKUP(D1476,[2]属性!$A:$F,4,FALSE)</f>
        <v>1</v>
      </c>
      <c r="H1476" s="9" t="str">
        <f>VLOOKUP(A1476,[2]characters!$A:$K,11,FALSE)</f>
        <v>ra002</v>
      </c>
      <c r="I1476" s="6" t="str">
        <f>VLOOKUP(H1476,[2]character_type_i18n!$A:$F,3,FALSE)</f>
        <v>ユークリッドチャレンジ</v>
      </c>
      <c r="J1476" s="97">
        <f>VLOOKUP(H1476,[2]character_type_i18n!$A:$F,4,FALSE)</f>
        <v>1</v>
      </c>
      <c r="K1476" s="97">
        <f>VLOOKUP(H1476,[2]character_type_i18n!$A:$F,5,FALSE)</f>
        <v>1</v>
      </c>
      <c r="L1476" s="97">
        <f>VLOOKUP(H1476,[2]character_type_i18n!$A:$F,6,FALSE)</f>
        <v>1</v>
      </c>
      <c r="M1476" s="9" t="str">
        <f>VLOOKUP(A1476,[2]characters!$A:$M,13,FALSE)</f>
        <v>unknown</v>
      </c>
      <c r="N1476" s="6" t="str">
        <f>VLOOKUP(M1476,[2]character_tribe_i18n!$A:$F,3,FALSE)</f>
        <v>Unknown</v>
      </c>
      <c r="O1476" s="97">
        <f>VLOOKUP(M1476,[2]character_tribe_i18n!$A:$F,4,FALSE)</f>
        <v>1</v>
      </c>
      <c r="P1476" s="97">
        <f>VLOOKUP(M1476,[2]character_tribe_i18n!$A:$F,5,FALSE)</f>
        <v>1</v>
      </c>
      <c r="Q1476" s="97">
        <f>VLOOKUP(M1476,[2]character_tribe_i18n!$A:$F,6,FALSE)</f>
        <v>1</v>
      </c>
      <c r="R1476" s="98" t="s">
        <v>98</v>
      </c>
      <c r="S1476" s="97">
        <f>VLOOKUP($R1476,ラベル別係数!$A$1:$E$7,3,FALSE)</f>
        <v>5</v>
      </c>
      <c r="T1476" s="97">
        <f>VLOOKUP($R1476,ラベル別係数!$A$1:$E$7,4,FALSE)</f>
        <v>1.3</v>
      </c>
      <c r="U1476" s="97">
        <f>VLOOKUP($R1476,ラベル別係数!$A$1:$E$7,5,FALSE)</f>
        <v>0.8</v>
      </c>
      <c r="V1476" s="98">
        <v>3</v>
      </c>
      <c r="W1476" s="99">
        <f>VLOOKUP(V1476,ターン数別攻撃係数!$A$1:$B$1000,2,FALSE)</f>
        <v>1</v>
      </c>
      <c r="X1476" s="9">
        <f>VLOOKUP(C1476,サイズ別係数!A$2:B$9,2,FALSE)</f>
        <v>15</v>
      </c>
      <c r="Y1476" s="97">
        <f>VLOOKUP($X1476,サイズ別係数!$B:$E,2,FALSE)</f>
        <v>1</v>
      </c>
      <c r="Z1476" s="97">
        <f>VLOOKUP($X1476,サイズ別係数!$B:$E,3,FALSE)</f>
        <v>1</v>
      </c>
      <c r="AA1476" s="97">
        <f>VLOOKUP($X1476,サイズ別係数!$B:$E,4,FALSE)</f>
        <v>1</v>
      </c>
      <c r="AB1476" s="10">
        <v>0</v>
      </c>
      <c r="AC1476" s="6" t="str">
        <f ca="1">VLOOKUP($AB1476,OFFSET([3]enemy_skill_sets!$B$2,0,0,COUNTA([3]enemy_skill_sets!$A:$A),MATCH(AC$1,[3]enemy_skill_sets!$1:$1,0)-MATCH($AB$1,[3]enemy_skill_sets!$1:$1,0)+1),MATCH(AC$1,[3]enemy_skill_sets!$1:$1,0)-MATCH($AB$1,[3]enemy_skill_sets!$1:$1,0)+1,FALSE)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6" s="67">
        <v>1</v>
      </c>
      <c r="AE1476" s="67">
        <v>1</v>
      </c>
      <c r="AF1476" s="68">
        <v>0</v>
      </c>
      <c r="AG1476" s="99">
        <f>ROUND(VLOOKUP(1,enemy_base_stats!$A:$F,2,FALSE) * Y1476* J1476*O1476*E1476*S1476*AD1476*[2]ステータス!$B$2,0)</f>
        <v>2500</v>
      </c>
      <c r="AH1476" s="99">
        <f>ROUND(VLOOKUP(1,enemy_base_stats!$A:$F,3,FALSE) * Z1476*K1476*P1476*F1476*T1476*AE1476 * W1476*[2]ステータス!$C$2,0)</f>
        <v>191</v>
      </c>
      <c r="AI1476" s="99">
        <f>ROUND(VLOOKUP(1,enemy_base_stats!$A:$F,4,FALSE) * AA1476*L1476*Q1476*G1476*U1476*AF1476*[2]ステータス!$D$2,0)</f>
        <v>0</v>
      </c>
      <c r="AJ1476" s="99">
        <f>ROUND(VLOOKUP(100,enemy_base_stats!$A:$F,2,FALSE) * Y1476* J1476*O1476*E1476*S1476*AD1476*[2]ステータス!$B$2,0)</f>
        <v>101500</v>
      </c>
      <c r="AK1476" s="99">
        <f>ROUND(VLOOKUP(100,enemy_base_stats!$A:$F,3,FALSE)* Z1476* K1476*P1476*F1476*T1476*AE1476 * W1476*[2]ステータス!$C$2,0)</f>
        <v>7759</v>
      </c>
      <c r="AL1476" s="99">
        <f>ROUND(VLOOKUP(100,enemy_base_stats!$A:$F,4,FALSE)* AA1476* L1476*Q1476*G1476*U1476*AF1476*[2]ステータス!$D$2,0)</f>
        <v>0</v>
      </c>
      <c r="AM1476" s="97">
        <f>VLOOKUP(M1476,[2]character_tribe_i18n!$A:$I,9,FALSE)</f>
        <v>340</v>
      </c>
      <c r="AN1476" s="36">
        <v>0</v>
      </c>
      <c r="AO1476" s="98">
        <v>0</v>
      </c>
      <c r="AP1476" s="58" t="s">
        <v>72</v>
      </c>
      <c r="AQ1476" s="34">
        <f t="shared" ref="AQ1476:AQ1484" si="89">A1476</f>
        <v>6011</v>
      </c>
    </row>
    <row r="1477" spans="1:43" ht="21" customHeight="1" x14ac:dyDescent="0.15">
      <c r="A1477" s="7">
        <v>6012</v>
      </c>
      <c r="B1477" s="6" t="str">
        <f>VLOOKUP(A1477,[2]characters!$A:$C,3,FALSE)</f>
        <v>ミミ</v>
      </c>
      <c r="C1477" s="9">
        <f>VLOOKUP(A1477,[2]characters!$A:$I,9,FALSE)</f>
        <v>1</v>
      </c>
      <c r="D1477" s="9" t="str">
        <f>VLOOKUP(A1477,[2]characters!$A:$H,8,FALSE)</f>
        <v>yellow</v>
      </c>
      <c r="E1477" s="97">
        <f>VLOOKUP(D1477,[2]属性!$A:$E,2,FALSE)</f>
        <v>0.98</v>
      </c>
      <c r="F1477" s="97">
        <f>VLOOKUP(D1477,[2]属性!$A:$E,3,FALSE)</f>
        <v>1.01</v>
      </c>
      <c r="G1477" s="97">
        <f>VLOOKUP(D1477,[2]属性!$A:$F,4,FALSE)</f>
        <v>1</v>
      </c>
      <c r="H1477" s="9" t="str">
        <f>VLOOKUP(A1477,[2]characters!$A:$K,11,FALSE)</f>
        <v>ra002</v>
      </c>
      <c r="I1477" s="6" t="str">
        <f>VLOOKUP(H1477,[2]character_type_i18n!$A:$F,3,FALSE)</f>
        <v>ユークリッドチャレンジ</v>
      </c>
      <c r="J1477" s="97">
        <f>VLOOKUP(H1477,[2]character_type_i18n!$A:$F,4,FALSE)</f>
        <v>1</v>
      </c>
      <c r="K1477" s="97">
        <f>VLOOKUP(H1477,[2]character_type_i18n!$A:$F,5,FALSE)</f>
        <v>1</v>
      </c>
      <c r="L1477" s="97">
        <f>VLOOKUP(H1477,[2]character_type_i18n!$A:$F,6,FALSE)</f>
        <v>1</v>
      </c>
      <c r="M1477" s="9" t="str">
        <f>VLOOKUP(A1477,[2]characters!$A:$M,13,FALSE)</f>
        <v>animal</v>
      </c>
      <c r="N1477" s="6" t="str">
        <f>VLOOKUP(M1477,[2]character_tribe_i18n!$A:$F,3,FALSE)</f>
        <v>アニマル</v>
      </c>
      <c r="O1477" s="97">
        <f>VLOOKUP(M1477,[2]character_tribe_i18n!$A:$F,4,FALSE)</f>
        <v>1</v>
      </c>
      <c r="P1477" s="97">
        <f>VLOOKUP(M1477,[2]character_tribe_i18n!$A:$F,5,FALSE)</f>
        <v>1.1000000000000001</v>
      </c>
      <c r="Q1477" s="97">
        <f>VLOOKUP(M1477,[2]character_tribe_i18n!$A:$F,6,FALSE)</f>
        <v>1</v>
      </c>
      <c r="R1477" s="98" t="s">
        <v>98</v>
      </c>
      <c r="S1477" s="97">
        <f>VLOOKUP($R1477,ラベル別係数!$A$1:$E$7,3,FALSE)</f>
        <v>5</v>
      </c>
      <c r="T1477" s="97">
        <f>VLOOKUP($R1477,ラベル別係数!$A$1:$E$7,4,FALSE)</f>
        <v>1.3</v>
      </c>
      <c r="U1477" s="97">
        <f>VLOOKUP($R1477,ラベル別係数!$A$1:$E$7,5,FALSE)</f>
        <v>0.8</v>
      </c>
      <c r="V1477" s="98">
        <v>3</v>
      </c>
      <c r="W1477" s="99">
        <f>VLOOKUP(V1477,ターン数別攻撃係数!$A$1:$B$1000,2,FALSE)</f>
        <v>1</v>
      </c>
      <c r="X1477" s="9">
        <f>VLOOKUP(C1477,サイズ別係数!A$2:B$9,2,FALSE)</f>
        <v>15</v>
      </c>
      <c r="Y1477" s="97">
        <f>VLOOKUP($X1477,サイズ別係数!$B:$E,2,FALSE)</f>
        <v>1</v>
      </c>
      <c r="Z1477" s="97">
        <f>VLOOKUP($X1477,サイズ別係数!$B:$E,3,FALSE)</f>
        <v>1</v>
      </c>
      <c r="AA1477" s="97">
        <f>VLOOKUP($X1477,サイズ別係数!$B:$E,4,FALSE)</f>
        <v>1</v>
      </c>
      <c r="AB1477" s="10">
        <v>0</v>
      </c>
      <c r="AC1477" s="6" t="str">
        <f ca="1">VLOOKUP($AB1477,OFFSET([3]enemy_skill_sets!$B$2,0,0,COUNTA([3]enemy_skill_sets!$A:$A),MATCH(AC$1,[3]enemy_skill_sets!$1:$1,0)-MATCH($AB$1,[3]enemy_skill_sets!$1:$1,0)+1),MATCH(AC$1,[3]enemy_skill_sets!$1:$1,0)-MATCH($AB$1,[3]enemy_skill_sets!$1:$1,0)+1,FALSE)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7" s="67">
        <v>1</v>
      </c>
      <c r="AE1477" s="67">
        <v>1</v>
      </c>
      <c r="AF1477" s="68">
        <v>0</v>
      </c>
      <c r="AG1477" s="99">
        <f>ROUND(VLOOKUP(1,enemy_base_stats!$A:$F,2,FALSE) * Y1477* J1477*O1477*E1477*S1477*AD1477*[2]ステータス!$B$2,0)</f>
        <v>2450</v>
      </c>
      <c r="AH1477" s="99">
        <f>ROUND(VLOOKUP(1,enemy_base_stats!$A:$F,3,FALSE) * Z1477*K1477*P1477*F1477*T1477*AE1477 * W1477*[2]ステータス!$C$2,0)</f>
        <v>217</v>
      </c>
      <c r="AI1477" s="99">
        <f>ROUND(VLOOKUP(1,enemy_base_stats!$A:$F,4,FALSE) * AA1477*L1477*Q1477*G1477*U1477*AF1477*[2]ステータス!$D$2,0)</f>
        <v>0</v>
      </c>
      <c r="AJ1477" s="99">
        <f>ROUND(VLOOKUP(100,enemy_base_stats!$A:$F,2,FALSE) * Y1477* J1477*O1477*E1477*S1477*AD1477*[2]ステータス!$B$2,0)</f>
        <v>99470</v>
      </c>
      <c r="AK1477" s="99">
        <f>ROUND(VLOOKUP(100,enemy_base_stats!$A:$F,3,FALSE)* Z1477* K1477*P1477*F1477*T1477*AE1477 * W1477*[2]ステータス!$C$2,0)</f>
        <v>8796</v>
      </c>
      <c r="AL1477" s="99">
        <f>ROUND(VLOOKUP(100,enemy_base_stats!$A:$F,4,FALSE)* AA1477* L1477*Q1477*G1477*U1477*AF1477*[2]ステータス!$D$2,0)</f>
        <v>0</v>
      </c>
      <c r="AM1477" s="97">
        <f>VLOOKUP(M1477,[2]character_tribe_i18n!$A:$I,9,FALSE)</f>
        <v>480</v>
      </c>
      <c r="AN1477" s="36">
        <v>0</v>
      </c>
      <c r="AO1477" s="98">
        <v>0</v>
      </c>
      <c r="AP1477" s="58" t="s">
        <v>72</v>
      </c>
      <c r="AQ1477" s="34">
        <f t="shared" si="89"/>
        <v>6012</v>
      </c>
    </row>
    <row r="1478" spans="1:43" ht="21" customHeight="1" x14ac:dyDescent="0.15">
      <c r="A1478" s="7">
        <v>6013</v>
      </c>
      <c r="B1478" s="6" t="str">
        <f>VLOOKUP(A1478,[2]characters!$A:$C,3,FALSE)</f>
        <v>護衛機人 スケアクロウ</v>
      </c>
      <c r="C1478" s="9">
        <f>VLOOKUP(A1478,[2]characters!$A:$I,9,FALSE)</f>
        <v>2</v>
      </c>
      <c r="D1478" s="9" t="str">
        <f>VLOOKUP(A1478,[2]characters!$A:$H,8,FALSE)</f>
        <v>blue</v>
      </c>
      <c r="E1478" s="97">
        <f>VLOOKUP(D1478,[2]属性!$A:$E,2,FALSE)</f>
        <v>1</v>
      </c>
      <c r="F1478" s="97">
        <f>VLOOKUP(D1478,[2]属性!$A:$E,3,FALSE)</f>
        <v>0.98</v>
      </c>
      <c r="G1478" s="97">
        <f>VLOOKUP(D1478,[2]属性!$A:$F,4,FALSE)</f>
        <v>1</v>
      </c>
      <c r="H1478" s="9" t="str">
        <f>VLOOKUP(A1478,[2]characters!$A:$K,11,FALSE)</f>
        <v>ra002</v>
      </c>
      <c r="I1478" s="6" t="str">
        <f>VLOOKUP(H1478,[2]character_type_i18n!$A:$F,3,FALSE)</f>
        <v>ユークリッドチャレンジ</v>
      </c>
      <c r="J1478" s="97">
        <f>VLOOKUP(H1478,[2]character_type_i18n!$A:$F,4,FALSE)</f>
        <v>1</v>
      </c>
      <c r="K1478" s="97">
        <f>VLOOKUP(H1478,[2]character_type_i18n!$A:$F,5,FALSE)</f>
        <v>1</v>
      </c>
      <c r="L1478" s="97">
        <f>VLOOKUP(H1478,[2]character_type_i18n!$A:$F,6,FALSE)</f>
        <v>1</v>
      </c>
      <c r="M1478" s="9" t="str">
        <f>VLOOKUP(A1478,[2]characters!$A:$M,13,FALSE)</f>
        <v>machine</v>
      </c>
      <c r="N1478" s="6" t="str">
        <f>VLOOKUP(M1478,[2]character_tribe_i18n!$A:$F,3,FALSE)</f>
        <v>マシン</v>
      </c>
      <c r="O1478" s="97">
        <f>VLOOKUP(M1478,[2]character_tribe_i18n!$A:$F,4,FALSE)</f>
        <v>1</v>
      </c>
      <c r="P1478" s="97">
        <f>VLOOKUP(M1478,[2]character_tribe_i18n!$A:$F,5,FALSE)</f>
        <v>1</v>
      </c>
      <c r="Q1478" s="97">
        <f>VLOOKUP(M1478,[2]character_tribe_i18n!$A:$F,6,FALSE)</f>
        <v>1</v>
      </c>
      <c r="R1478" s="98" t="s">
        <v>98</v>
      </c>
      <c r="S1478" s="97">
        <f>VLOOKUP($R1478,ラベル別係数!$A$1:$E$7,3,FALSE)</f>
        <v>5</v>
      </c>
      <c r="T1478" s="97">
        <f>VLOOKUP($R1478,ラベル別係数!$A$1:$E$7,4,FALSE)</f>
        <v>1.3</v>
      </c>
      <c r="U1478" s="97">
        <f>VLOOKUP($R1478,ラベル別係数!$A$1:$E$7,5,FALSE)</f>
        <v>0.8</v>
      </c>
      <c r="V1478" s="98">
        <v>3</v>
      </c>
      <c r="W1478" s="99">
        <f>VLOOKUP(V1478,ターン数別攻撃係数!$A$1:$B$1000,2,FALSE)</f>
        <v>1</v>
      </c>
      <c r="X1478" s="9">
        <f>VLOOKUP(C1478,サイズ別係数!A$2:B$9,2,FALSE)</f>
        <v>15</v>
      </c>
      <c r="Y1478" s="97">
        <f>VLOOKUP($X1478,サイズ別係数!$B:$E,2,FALSE)</f>
        <v>1</v>
      </c>
      <c r="Z1478" s="97">
        <f>VLOOKUP($X1478,サイズ別係数!$B:$E,3,FALSE)</f>
        <v>1</v>
      </c>
      <c r="AA1478" s="97">
        <f>VLOOKUP($X1478,サイズ別係数!$B:$E,4,FALSE)</f>
        <v>1</v>
      </c>
      <c r="AB1478" s="10">
        <v>0</v>
      </c>
      <c r="AC1478" s="6" t="str">
        <f ca="1">VLOOKUP($AB1478,OFFSET([3]enemy_skill_sets!$B$2,0,0,COUNTA([3]enemy_skill_sets!$A:$A),MATCH(AC$1,[3]enemy_skill_sets!$1:$1,0)-MATCH($AB$1,[3]enemy_skill_sets!$1:$1,0)+1),MATCH(AC$1,[3]enemy_skill_sets!$1:$1,0)-MATCH($AB$1,[3]enemy_skill_sets!$1:$1,0)+1,FALSE)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8" s="67">
        <v>1</v>
      </c>
      <c r="AE1478" s="67">
        <v>1</v>
      </c>
      <c r="AF1478" s="68">
        <v>0</v>
      </c>
      <c r="AG1478" s="99">
        <f>ROUND(VLOOKUP(1,enemy_base_stats!$A:$F,2,FALSE) * Y1478* J1478*O1478*E1478*S1478*AD1478*[2]ステータス!$B$2,0)</f>
        <v>2500</v>
      </c>
      <c r="AH1478" s="99">
        <f>ROUND(VLOOKUP(1,enemy_base_stats!$A:$F,3,FALSE) * Z1478*K1478*P1478*F1478*T1478*AE1478 * W1478*[2]ステータス!$C$2,0)</f>
        <v>191</v>
      </c>
      <c r="AI1478" s="99">
        <f>ROUND(VLOOKUP(1,enemy_base_stats!$A:$F,4,FALSE) * AA1478*L1478*Q1478*G1478*U1478*AF1478*[2]ステータス!$D$2,0)</f>
        <v>0</v>
      </c>
      <c r="AJ1478" s="99">
        <f>ROUND(VLOOKUP(100,enemy_base_stats!$A:$F,2,FALSE) * Y1478* J1478*O1478*E1478*S1478*AD1478*[2]ステータス!$B$2,0)</f>
        <v>101500</v>
      </c>
      <c r="AK1478" s="99">
        <f>ROUND(VLOOKUP(100,enemy_base_stats!$A:$F,3,FALSE)* Z1478* K1478*P1478*F1478*T1478*AE1478 * W1478*[2]ステータス!$C$2,0)</f>
        <v>7759</v>
      </c>
      <c r="AL1478" s="99">
        <f>ROUND(VLOOKUP(100,enemy_base_stats!$A:$F,4,FALSE)* AA1478* L1478*Q1478*G1478*U1478*AF1478*[2]ステータス!$D$2,0)</f>
        <v>0</v>
      </c>
      <c r="AM1478" s="97">
        <f>VLOOKUP(M1478,[2]character_tribe_i18n!$A:$I,9,FALSE)</f>
        <v>520</v>
      </c>
      <c r="AN1478" s="36">
        <v>0</v>
      </c>
      <c r="AO1478" s="98">
        <v>0</v>
      </c>
      <c r="AP1478" s="58" t="s">
        <v>72</v>
      </c>
      <c r="AQ1478" s="34">
        <f t="shared" si="89"/>
        <v>6013</v>
      </c>
    </row>
    <row r="1479" spans="1:43" ht="21" customHeight="1" x14ac:dyDescent="0.15">
      <c r="A1479" s="7">
        <v>6014</v>
      </c>
      <c r="B1479" s="6" t="str">
        <f>VLOOKUP(A1479,[2]characters!$A:$C,3,FALSE)</f>
        <v>月下の人狼 ローレンス</v>
      </c>
      <c r="C1479" s="9">
        <f>VLOOKUP(A1479,[2]characters!$A:$I,9,FALSE)</f>
        <v>4</v>
      </c>
      <c r="D1479" s="9" t="str">
        <f>VLOOKUP(A1479,[2]characters!$A:$H,8,FALSE)</f>
        <v>blue</v>
      </c>
      <c r="E1479" s="97">
        <f>VLOOKUP(D1479,[2]属性!$A:$E,2,FALSE)</f>
        <v>1</v>
      </c>
      <c r="F1479" s="97">
        <f>VLOOKUP(D1479,[2]属性!$A:$E,3,FALSE)</f>
        <v>0.98</v>
      </c>
      <c r="G1479" s="97">
        <f>VLOOKUP(D1479,[2]属性!$A:$F,4,FALSE)</f>
        <v>1</v>
      </c>
      <c r="H1479" s="9" t="str">
        <f>VLOOKUP(A1479,[2]characters!$A:$K,11,FALSE)</f>
        <v>ra002</v>
      </c>
      <c r="I1479" s="6" t="str">
        <f>VLOOKUP(H1479,[2]character_type_i18n!$A:$F,3,FALSE)</f>
        <v>ユークリッドチャレンジ</v>
      </c>
      <c r="J1479" s="97">
        <f>VLOOKUP(H1479,[2]character_type_i18n!$A:$F,4,FALSE)</f>
        <v>1</v>
      </c>
      <c r="K1479" s="97">
        <f>VLOOKUP(H1479,[2]character_type_i18n!$A:$F,5,FALSE)</f>
        <v>1</v>
      </c>
      <c r="L1479" s="97">
        <f>VLOOKUP(H1479,[2]character_type_i18n!$A:$F,6,FALSE)</f>
        <v>1</v>
      </c>
      <c r="M1479" s="9" t="str">
        <f>VLOOKUP(A1479,[2]characters!$A:$M,13,FALSE)</f>
        <v>animal</v>
      </c>
      <c r="N1479" s="6" t="str">
        <f>VLOOKUP(M1479,[2]character_tribe_i18n!$A:$F,3,FALSE)</f>
        <v>アニマル</v>
      </c>
      <c r="O1479" s="97">
        <f>VLOOKUP(M1479,[2]character_tribe_i18n!$A:$F,4,FALSE)</f>
        <v>1</v>
      </c>
      <c r="P1479" s="97">
        <f>VLOOKUP(M1479,[2]character_tribe_i18n!$A:$F,5,FALSE)</f>
        <v>1.1000000000000001</v>
      </c>
      <c r="Q1479" s="97">
        <f>VLOOKUP(M1479,[2]character_tribe_i18n!$A:$F,6,FALSE)</f>
        <v>1</v>
      </c>
      <c r="R1479" s="98" t="s">
        <v>98</v>
      </c>
      <c r="S1479" s="97">
        <f>VLOOKUP($R1479,ラベル別係数!$A$1:$E$7,3,FALSE)</f>
        <v>5</v>
      </c>
      <c r="T1479" s="97">
        <f>VLOOKUP($R1479,ラベル別係数!$A$1:$E$7,4,FALSE)</f>
        <v>1.3</v>
      </c>
      <c r="U1479" s="97">
        <f>VLOOKUP($R1479,ラベル別係数!$A$1:$E$7,5,FALSE)</f>
        <v>0.8</v>
      </c>
      <c r="V1479" s="98">
        <v>3</v>
      </c>
      <c r="W1479" s="99">
        <f>VLOOKUP(V1479,ターン数別攻撃係数!$A$1:$B$1000,2,FALSE)</f>
        <v>1</v>
      </c>
      <c r="X1479" s="9">
        <f>VLOOKUP(C1479,サイズ別係数!A$2:B$9,2,FALSE)</f>
        <v>30</v>
      </c>
      <c r="Y1479" s="97">
        <f>VLOOKUP($X1479,サイズ別係数!$B:$E,2,FALSE)</f>
        <v>1.3</v>
      </c>
      <c r="Z1479" s="97">
        <f>VLOOKUP($X1479,サイズ別係数!$B:$E,3,FALSE)</f>
        <v>1.3</v>
      </c>
      <c r="AA1479" s="97">
        <f>VLOOKUP($X1479,サイズ別係数!$B:$E,4,FALSE)</f>
        <v>1.1000000000000001</v>
      </c>
      <c r="AB1479" s="10">
        <v>0</v>
      </c>
      <c r="AC1479" s="6" t="str">
        <f ca="1">VLOOKUP($AB1479,OFFSET([3]enemy_skill_sets!$B$2,0,0,COUNTA([3]enemy_skill_sets!$A:$A),MATCH(AC$1,[3]enemy_skill_sets!$1:$1,0)-MATCH($AB$1,[3]enemy_skill_sets!$1:$1,0)+1),MATCH(AC$1,[3]enemy_skill_sets!$1:$1,0)-MATCH($AB$1,[3]enemy_skill_sets!$1:$1,0)+1,FALSE)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79" s="67">
        <v>1</v>
      </c>
      <c r="AE1479" s="67">
        <v>1</v>
      </c>
      <c r="AF1479" s="68">
        <v>0</v>
      </c>
      <c r="AG1479" s="99">
        <f>ROUND(VLOOKUP(1,enemy_base_stats!$A:$F,2,FALSE) * Y1479* J1479*O1479*E1479*S1479*AD1479*[2]ステータス!$B$2,0)</f>
        <v>3250</v>
      </c>
      <c r="AH1479" s="99">
        <f>ROUND(VLOOKUP(1,enemy_base_stats!$A:$F,3,FALSE) * Z1479*K1479*P1479*F1479*T1479*AE1479 * W1479*[2]ステータス!$C$2,0)</f>
        <v>273</v>
      </c>
      <c r="AI1479" s="99">
        <f>ROUND(VLOOKUP(1,enemy_base_stats!$A:$F,4,FALSE) * AA1479*L1479*Q1479*G1479*U1479*AF1479*[2]ステータス!$D$2,0)</f>
        <v>0</v>
      </c>
      <c r="AJ1479" s="99">
        <f>ROUND(VLOOKUP(100,enemy_base_stats!$A:$F,2,FALSE) * Y1479* J1479*O1479*E1479*S1479*AD1479*[2]ステータス!$B$2,0)</f>
        <v>131950</v>
      </c>
      <c r="AK1479" s="99">
        <f>ROUND(VLOOKUP(100,enemy_base_stats!$A:$F,3,FALSE)* Z1479* K1479*P1479*F1479*T1479*AE1479 * W1479*[2]ステータス!$C$2,0)</f>
        <v>11095</v>
      </c>
      <c r="AL1479" s="99">
        <f>ROUND(VLOOKUP(100,enemy_base_stats!$A:$F,4,FALSE)* AA1479* L1479*Q1479*G1479*U1479*AF1479*[2]ステータス!$D$2,0)</f>
        <v>0</v>
      </c>
      <c r="AM1479" s="97">
        <f>VLOOKUP(M1479,[2]character_tribe_i18n!$A:$I,9,FALSE)</f>
        <v>480</v>
      </c>
      <c r="AN1479" s="36">
        <v>0</v>
      </c>
      <c r="AO1479" s="98">
        <v>0</v>
      </c>
      <c r="AP1479" s="58" t="s">
        <v>72</v>
      </c>
      <c r="AQ1479" s="34">
        <f t="shared" si="89"/>
        <v>6014</v>
      </c>
    </row>
    <row r="1480" spans="1:43" ht="21" customHeight="1" x14ac:dyDescent="0.15">
      <c r="A1480" s="7">
        <v>6015</v>
      </c>
      <c r="B1480" s="6" t="str">
        <f>VLOOKUP(A1480,[2]characters!$A:$C,3,FALSE)</f>
        <v>フレイヤ</v>
      </c>
      <c r="C1480" s="9">
        <f>VLOOKUP(A1480,[2]characters!$A:$I,9,FALSE)</f>
        <v>4</v>
      </c>
      <c r="D1480" s="9" t="str">
        <f>VLOOKUP(A1480,[2]characters!$A:$H,8,FALSE)</f>
        <v>blue</v>
      </c>
      <c r="E1480" s="97">
        <f>VLOOKUP(D1480,[2]属性!$A:$E,2,FALSE)</f>
        <v>1</v>
      </c>
      <c r="F1480" s="97">
        <f>VLOOKUP(D1480,[2]属性!$A:$E,3,FALSE)</f>
        <v>0.98</v>
      </c>
      <c r="G1480" s="97">
        <f>VLOOKUP(D1480,[2]属性!$A:$F,4,FALSE)</f>
        <v>1</v>
      </c>
      <c r="H1480" s="9" t="str">
        <f>VLOOKUP(A1480,[2]characters!$A:$K,11,FALSE)</f>
        <v>ra002</v>
      </c>
      <c r="I1480" s="6" t="str">
        <f>VLOOKUP(H1480,[2]character_type_i18n!$A:$F,3,FALSE)</f>
        <v>ユークリッドチャレンジ</v>
      </c>
      <c r="J1480" s="97">
        <f>VLOOKUP(H1480,[2]character_type_i18n!$A:$F,4,FALSE)</f>
        <v>1</v>
      </c>
      <c r="K1480" s="97">
        <f>VLOOKUP(H1480,[2]character_type_i18n!$A:$F,5,FALSE)</f>
        <v>1</v>
      </c>
      <c r="L1480" s="97">
        <f>VLOOKUP(H1480,[2]character_type_i18n!$A:$F,6,FALSE)</f>
        <v>1</v>
      </c>
      <c r="M1480" s="9" t="str">
        <f>VLOOKUP(A1480,[2]characters!$A:$M,13,FALSE)</f>
        <v>animal</v>
      </c>
      <c r="N1480" s="6" t="str">
        <f>VLOOKUP(M1480,[2]character_tribe_i18n!$A:$F,3,FALSE)</f>
        <v>アニマル</v>
      </c>
      <c r="O1480" s="97">
        <f>VLOOKUP(M1480,[2]character_tribe_i18n!$A:$F,4,FALSE)</f>
        <v>1</v>
      </c>
      <c r="P1480" s="97">
        <f>VLOOKUP(M1480,[2]character_tribe_i18n!$A:$F,5,FALSE)</f>
        <v>1.1000000000000001</v>
      </c>
      <c r="Q1480" s="97">
        <f>VLOOKUP(M1480,[2]character_tribe_i18n!$A:$F,6,FALSE)</f>
        <v>1</v>
      </c>
      <c r="R1480" s="98" t="s">
        <v>98</v>
      </c>
      <c r="S1480" s="97">
        <f>VLOOKUP($R1480,ラベル別係数!$A$1:$E$7,3,FALSE)</f>
        <v>5</v>
      </c>
      <c r="T1480" s="97">
        <f>VLOOKUP($R1480,ラベル別係数!$A$1:$E$7,4,FALSE)</f>
        <v>1.3</v>
      </c>
      <c r="U1480" s="97">
        <f>VLOOKUP($R1480,ラベル別係数!$A$1:$E$7,5,FALSE)</f>
        <v>0.8</v>
      </c>
      <c r="V1480" s="98">
        <v>3</v>
      </c>
      <c r="W1480" s="99">
        <f>VLOOKUP(V1480,ターン数別攻撃係数!$A$1:$B$1000,2,FALSE)</f>
        <v>1</v>
      </c>
      <c r="X1480" s="9">
        <f>VLOOKUP(C1480,サイズ別係数!A$2:B$9,2,FALSE)</f>
        <v>30</v>
      </c>
      <c r="Y1480" s="97">
        <f>VLOOKUP($X1480,サイズ別係数!$B:$E,2,FALSE)</f>
        <v>1.3</v>
      </c>
      <c r="Z1480" s="97">
        <f>VLOOKUP($X1480,サイズ別係数!$B:$E,3,FALSE)</f>
        <v>1.3</v>
      </c>
      <c r="AA1480" s="97">
        <f>VLOOKUP($X1480,サイズ別係数!$B:$E,4,FALSE)</f>
        <v>1.1000000000000001</v>
      </c>
      <c r="AB1480" s="10">
        <v>0</v>
      </c>
      <c r="AC1480" s="6" t="str">
        <f ca="1">VLOOKUP($AB1480,OFFSET([3]enemy_skill_sets!$B$2,0,0,COUNTA([3]enemy_skill_sets!$A:$A),MATCH(AC$1,[3]enemy_skill_sets!$1:$1,0)-MATCH($AB$1,[3]enemy_skill_sets!$1:$1,0)+1),MATCH(AC$1,[3]enemy_skill_sets!$1:$1,0)-MATCH($AB$1,[3]enemy_skill_sets!$1:$1,0)+1,FALSE)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0" s="67">
        <v>1</v>
      </c>
      <c r="AE1480" s="67">
        <v>1</v>
      </c>
      <c r="AF1480" s="68">
        <v>0</v>
      </c>
      <c r="AG1480" s="99">
        <f>ROUND(VLOOKUP(1,enemy_base_stats!$A:$F,2,FALSE) * Y1480* J1480*O1480*E1480*S1480*AD1480*[2]ステータス!$B$2,0)</f>
        <v>3250</v>
      </c>
      <c r="AH1480" s="99">
        <f>ROUND(VLOOKUP(1,enemy_base_stats!$A:$F,3,FALSE) * Z1480*K1480*P1480*F1480*T1480*AE1480 * W1480*[2]ステータス!$C$2,0)</f>
        <v>273</v>
      </c>
      <c r="AI1480" s="99">
        <f>ROUND(VLOOKUP(1,enemy_base_stats!$A:$F,4,FALSE) * AA1480*L1480*Q1480*G1480*U1480*AF1480*[2]ステータス!$D$2,0)</f>
        <v>0</v>
      </c>
      <c r="AJ1480" s="99">
        <f>ROUND(VLOOKUP(100,enemy_base_stats!$A:$F,2,FALSE) * Y1480* J1480*O1480*E1480*S1480*AD1480*[2]ステータス!$B$2,0)</f>
        <v>131950</v>
      </c>
      <c r="AK1480" s="99">
        <f>ROUND(VLOOKUP(100,enemy_base_stats!$A:$F,3,FALSE)* Z1480* K1480*P1480*F1480*T1480*AE1480 * W1480*[2]ステータス!$C$2,0)</f>
        <v>11095</v>
      </c>
      <c r="AL1480" s="99">
        <f>ROUND(VLOOKUP(100,enemy_base_stats!$A:$F,4,FALSE)* AA1480* L1480*Q1480*G1480*U1480*AF1480*[2]ステータス!$D$2,0)</f>
        <v>0</v>
      </c>
      <c r="AM1480" s="97">
        <f>VLOOKUP(M1480,[2]character_tribe_i18n!$A:$I,9,FALSE)</f>
        <v>480</v>
      </c>
      <c r="AN1480" s="36">
        <v>0</v>
      </c>
      <c r="AO1480" s="98">
        <v>0</v>
      </c>
      <c r="AP1480" s="58" t="s">
        <v>72</v>
      </c>
      <c r="AQ1480" s="34">
        <f t="shared" si="89"/>
        <v>6015</v>
      </c>
    </row>
    <row r="1481" spans="1:43" ht="21" customHeight="1" x14ac:dyDescent="0.15">
      <c r="A1481" s="7">
        <v>6016</v>
      </c>
      <c r="B1481" s="6" t="str">
        <f>VLOOKUP(A1481,[2]characters!$A:$C,3,FALSE)</f>
        <v>根原論理 ユークリッド</v>
      </c>
      <c r="C1481" s="9">
        <f>VLOOKUP(A1481,[2]characters!$A:$I,9,FALSE)</f>
        <v>5</v>
      </c>
      <c r="D1481" s="9" t="str">
        <f>VLOOKUP(A1481,[2]characters!$A:$H,8,FALSE)</f>
        <v>blue</v>
      </c>
      <c r="E1481" s="97">
        <f>VLOOKUP(D1481,[2]属性!$A:$E,2,FALSE)</f>
        <v>1</v>
      </c>
      <c r="F1481" s="97">
        <f>VLOOKUP(D1481,[2]属性!$A:$E,3,FALSE)</f>
        <v>0.98</v>
      </c>
      <c r="G1481" s="97">
        <f>VLOOKUP(D1481,[2]属性!$A:$F,4,FALSE)</f>
        <v>1</v>
      </c>
      <c r="H1481" s="9" t="str">
        <f>VLOOKUP(A1481,[2]characters!$A:$K,11,FALSE)</f>
        <v>ra002</v>
      </c>
      <c r="I1481" s="6" t="str">
        <f>VLOOKUP(H1481,[2]character_type_i18n!$A:$F,3,FALSE)</f>
        <v>ユークリッドチャレンジ</v>
      </c>
      <c r="J1481" s="97">
        <f>VLOOKUP(H1481,[2]character_type_i18n!$A:$F,4,FALSE)</f>
        <v>1</v>
      </c>
      <c r="K1481" s="97">
        <f>VLOOKUP(H1481,[2]character_type_i18n!$A:$F,5,FALSE)</f>
        <v>1</v>
      </c>
      <c r="L1481" s="97">
        <f>VLOOKUP(H1481,[2]character_type_i18n!$A:$F,6,FALSE)</f>
        <v>1</v>
      </c>
      <c r="M1481" s="9" t="str">
        <f>VLOOKUP(A1481,[2]characters!$A:$M,13,FALSE)</f>
        <v>human</v>
      </c>
      <c r="N1481" s="6" t="str">
        <f>VLOOKUP(M1481,[2]character_tribe_i18n!$A:$F,3,FALSE)</f>
        <v>ヒューマン</v>
      </c>
      <c r="O1481" s="97">
        <f>VLOOKUP(M1481,[2]character_tribe_i18n!$A:$F,4,FALSE)</f>
        <v>0.94</v>
      </c>
      <c r="P1481" s="97">
        <f>VLOOKUP(M1481,[2]character_tribe_i18n!$A:$F,5,FALSE)</f>
        <v>0.99</v>
      </c>
      <c r="Q1481" s="97">
        <f>VLOOKUP(M1481,[2]character_tribe_i18n!$A:$F,6,FALSE)</f>
        <v>1</v>
      </c>
      <c r="R1481" s="98" t="s">
        <v>98</v>
      </c>
      <c r="S1481" s="97">
        <f>VLOOKUP($R1481,ラベル別係数!$A$1:$E$7,3,FALSE)</f>
        <v>5</v>
      </c>
      <c r="T1481" s="97">
        <f>VLOOKUP($R1481,ラベル別係数!$A$1:$E$7,4,FALSE)</f>
        <v>1.3</v>
      </c>
      <c r="U1481" s="97">
        <f>VLOOKUP($R1481,ラベル別係数!$A$1:$E$7,5,FALSE)</f>
        <v>0.8</v>
      </c>
      <c r="V1481" s="98">
        <v>3</v>
      </c>
      <c r="W1481" s="99">
        <f>VLOOKUP(V1481,ターン数別攻撃係数!$A$1:$B$1000,2,FALSE)</f>
        <v>1</v>
      </c>
      <c r="X1481" s="9">
        <f>VLOOKUP(C1481,サイズ別係数!A$2:B$9,2,FALSE)</f>
        <v>60</v>
      </c>
      <c r="Y1481" s="97">
        <f>VLOOKUP($X1481,サイズ別係数!$B:$E,2,FALSE)</f>
        <v>1.7</v>
      </c>
      <c r="Z1481" s="97">
        <f>VLOOKUP($X1481,サイズ別係数!$B:$E,3,FALSE)</f>
        <v>1.4</v>
      </c>
      <c r="AA1481" s="97">
        <f>VLOOKUP($X1481,サイズ別係数!$B:$E,4,FALSE)</f>
        <v>1</v>
      </c>
      <c r="AB1481" s="10">
        <v>0</v>
      </c>
      <c r="AC1481" s="6" t="str">
        <f ca="1">VLOOKUP($AB1481,OFFSET([3]enemy_skill_sets!$B$2,0,0,COUNTA([3]enemy_skill_sets!$A:$A),MATCH(AC$1,[3]enemy_skill_sets!$1:$1,0)-MATCH($AB$1,[3]enemy_skill_sets!$1:$1,0)+1),MATCH(AC$1,[3]enemy_skill_sets!$1:$1,0)-MATCH($AB$1,[3]enemy_skill_sets!$1:$1,0)+1,FALSE)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1" s="67">
        <v>1</v>
      </c>
      <c r="AE1481" s="67">
        <v>1</v>
      </c>
      <c r="AF1481" s="68">
        <v>0</v>
      </c>
      <c r="AG1481" s="99">
        <f>ROUND(VLOOKUP(1,enemy_base_stats!$A:$F,2,FALSE) * Y1481* J1481*O1481*E1481*S1481*AD1481*[2]ステータス!$B$2,0)</f>
        <v>3995</v>
      </c>
      <c r="AH1481" s="99">
        <f>ROUND(VLOOKUP(1,enemy_base_stats!$A:$F,3,FALSE) * Z1481*K1481*P1481*F1481*T1481*AE1481 * W1481*[2]ステータス!$C$2,0)</f>
        <v>265</v>
      </c>
      <c r="AI1481" s="99">
        <f>ROUND(VLOOKUP(1,enemy_base_stats!$A:$F,4,FALSE) * AA1481*L1481*Q1481*G1481*U1481*AF1481*[2]ステータス!$D$2,0)</f>
        <v>0</v>
      </c>
      <c r="AJ1481" s="99">
        <f>ROUND(VLOOKUP(100,enemy_base_stats!$A:$F,2,FALSE) * Y1481* J1481*O1481*E1481*S1481*AD1481*[2]ステータス!$B$2,0)</f>
        <v>162197</v>
      </c>
      <c r="AK1481" s="99">
        <f>ROUND(VLOOKUP(100,enemy_base_stats!$A:$F,3,FALSE)* Z1481* K1481*P1481*F1481*T1481*AE1481 * W1481*[2]ステータス!$C$2,0)</f>
        <v>10754</v>
      </c>
      <c r="AL1481" s="99">
        <f>ROUND(VLOOKUP(100,enemy_base_stats!$A:$F,4,FALSE)* AA1481* L1481*Q1481*G1481*U1481*AF1481*[2]ステータス!$D$2,0)</f>
        <v>0</v>
      </c>
      <c r="AM1481" s="97">
        <f>VLOOKUP(M1481,[2]character_tribe_i18n!$A:$I,9,FALSE)</f>
        <v>400</v>
      </c>
      <c r="AN1481" s="36">
        <v>0</v>
      </c>
      <c r="AO1481" s="98">
        <v>0</v>
      </c>
      <c r="AP1481" s="58" t="s">
        <v>72</v>
      </c>
      <c r="AQ1481" s="34">
        <f t="shared" si="89"/>
        <v>6016</v>
      </c>
    </row>
    <row r="1482" spans="1:43" ht="21" customHeight="1" x14ac:dyDescent="0.15">
      <c r="A1482" s="7">
        <v>6017</v>
      </c>
      <c r="B1482" s="6" t="str">
        <f>VLOOKUP(A1482,[2]characters!$A:$C,3,FALSE)</f>
        <v>不朽の極論 ユークリッド</v>
      </c>
      <c r="C1482" s="9">
        <f>VLOOKUP(A1482,[2]characters!$A:$I,9,FALSE)</f>
        <v>6</v>
      </c>
      <c r="D1482" s="9" t="str">
        <f>VLOOKUP(A1482,[2]characters!$A:$H,8,FALSE)</f>
        <v>blue</v>
      </c>
      <c r="E1482" s="97">
        <f>VLOOKUP(D1482,[2]属性!$A:$E,2,FALSE)</f>
        <v>1</v>
      </c>
      <c r="F1482" s="97">
        <f>VLOOKUP(D1482,[2]属性!$A:$E,3,FALSE)</f>
        <v>0.98</v>
      </c>
      <c r="G1482" s="97">
        <f>VLOOKUP(D1482,[2]属性!$A:$F,4,FALSE)</f>
        <v>1</v>
      </c>
      <c r="H1482" s="9" t="str">
        <f>VLOOKUP(A1482,[2]characters!$A:$K,11,FALSE)</f>
        <v>ra002</v>
      </c>
      <c r="I1482" s="6" t="str">
        <f>VLOOKUP(H1482,[2]character_type_i18n!$A:$F,3,FALSE)</f>
        <v>ユークリッドチャレンジ</v>
      </c>
      <c r="J1482" s="97">
        <f>VLOOKUP(H1482,[2]character_type_i18n!$A:$F,4,FALSE)</f>
        <v>1</v>
      </c>
      <c r="K1482" s="97">
        <f>VLOOKUP(H1482,[2]character_type_i18n!$A:$F,5,FALSE)</f>
        <v>1</v>
      </c>
      <c r="L1482" s="97">
        <f>VLOOKUP(H1482,[2]character_type_i18n!$A:$F,6,FALSE)</f>
        <v>1</v>
      </c>
      <c r="M1482" s="9" t="str">
        <f>VLOOKUP(A1482,[2]characters!$A:$M,13,FALSE)</f>
        <v>human</v>
      </c>
      <c r="N1482" s="6" t="str">
        <f>VLOOKUP(M1482,[2]character_tribe_i18n!$A:$F,3,FALSE)</f>
        <v>ヒューマン</v>
      </c>
      <c r="O1482" s="97">
        <f>VLOOKUP(M1482,[2]character_tribe_i18n!$A:$F,4,FALSE)</f>
        <v>0.94</v>
      </c>
      <c r="P1482" s="97">
        <f>VLOOKUP(M1482,[2]character_tribe_i18n!$A:$F,5,FALSE)</f>
        <v>0.99</v>
      </c>
      <c r="Q1482" s="97">
        <f>VLOOKUP(M1482,[2]character_tribe_i18n!$A:$F,6,FALSE)</f>
        <v>1</v>
      </c>
      <c r="R1482" s="98" t="s">
        <v>98</v>
      </c>
      <c r="S1482" s="97">
        <f>VLOOKUP($R1482,ラベル別係数!$A$1:$E$7,3,FALSE)</f>
        <v>5</v>
      </c>
      <c r="T1482" s="97">
        <f>VLOOKUP($R1482,ラベル別係数!$A$1:$E$7,4,FALSE)</f>
        <v>1.3</v>
      </c>
      <c r="U1482" s="97">
        <f>VLOOKUP($R1482,ラベル別係数!$A$1:$E$7,5,FALSE)</f>
        <v>0.8</v>
      </c>
      <c r="V1482" s="98">
        <v>3</v>
      </c>
      <c r="W1482" s="99">
        <f>VLOOKUP(V1482,ターン数別攻撃係数!$A$1:$B$1000,2,FALSE)</f>
        <v>1</v>
      </c>
      <c r="X1482" s="9">
        <f>VLOOKUP(C1482,サイズ別係数!A$2:B$9,2,FALSE)</f>
        <v>60</v>
      </c>
      <c r="Y1482" s="97">
        <f>VLOOKUP($X1482,サイズ別係数!$B:$E,2,FALSE)</f>
        <v>1.7</v>
      </c>
      <c r="Z1482" s="97">
        <f>VLOOKUP($X1482,サイズ別係数!$B:$E,3,FALSE)</f>
        <v>1.4</v>
      </c>
      <c r="AA1482" s="97">
        <f>VLOOKUP($X1482,サイズ別係数!$B:$E,4,FALSE)</f>
        <v>1</v>
      </c>
      <c r="AB1482" s="10">
        <v>0</v>
      </c>
      <c r="AC1482" s="6" t="str">
        <f ca="1">VLOOKUP($AB1482,OFFSET([3]enemy_skill_sets!$B$2,0,0,COUNTA([3]enemy_skill_sets!$A:$A),MATCH(AC$1,[3]enemy_skill_sets!$1:$1,0)-MATCH($AB$1,[3]enemy_skill_sets!$1:$1,0)+1),MATCH(AC$1,[3]enemy_skill_sets!$1:$1,0)-MATCH($AB$1,[3]enemy_skill_sets!$1:$1,0)+1,FALSE)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2" s="67">
        <v>1</v>
      </c>
      <c r="AE1482" s="67">
        <v>1</v>
      </c>
      <c r="AF1482" s="68">
        <v>0</v>
      </c>
      <c r="AG1482" s="99">
        <f>ROUND(VLOOKUP(1,enemy_base_stats!$A:$F,2,FALSE) * Y1482* J1482*O1482*E1482*S1482*AD1482*[2]ステータス!$B$2,0)</f>
        <v>3995</v>
      </c>
      <c r="AH1482" s="99">
        <f>ROUND(VLOOKUP(1,enemy_base_stats!$A:$F,3,FALSE) * Z1482*K1482*P1482*F1482*T1482*AE1482 * W1482*[2]ステータス!$C$2,0)</f>
        <v>265</v>
      </c>
      <c r="AI1482" s="99">
        <f>ROUND(VLOOKUP(1,enemy_base_stats!$A:$F,4,FALSE) * AA1482*L1482*Q1482*G1482*U1482*AF1482*[2]ステータス!$D$2,0)</f>
        <v>0</v>
      </c>
      <c r="AJ1482" s="99">
        <f>ROUND(VLOOKUP(100,enemy_base_stats!$A:$F,2,FALSE) * Y1482* J1482*O1482*E1482*S1482*AD1482*[2]ステータス!$B$2,0)</f>
        <v>162197</v>
      </c>
      <c r="AK1482" s="99">
        <f>ROUND(VLOOKUP(100,enemy_base_stats!$A:$F,3,FALSE)* Z1482* K1482*P1482*F1482*T1482*AE1482 * W1482*[2]ステータス!$C$2,0)</f>
        <v>10754</v>
      </c>
      <c r="AL1482" s="99">
        <f>ROUND(VLOOKUP(100,enemy_base_stats!$A:$F,4,FALSE)* AA1482* L1482*Q1482*G1482*U1482*AF1482*[2]ステータス!$D$2,0)</f>
        <v>0</v>
      </c>
      <c r="AM1482" s="97">
        <f>VLOOKUP(M1482,[2]character_tribe_i18n!$A:$I,9,FALSE)</f>
        <v>400</v>
      </c>
      <c r="AN1482" s="36">
        <v>0</v>
      </c>
      <c r="AO1482" s="98">
        <v>0</v>
      </c>
      <c r="AP1482" s="58" t="s">
        <v>72</v>
      </c>
      <c r="AQ1482" s="34">
        <f t="shared" si="89"/>
        <v>6017</v>
      </c>
    </row>
    <row r="1483" spans="1:43" ht="21" customHeight="1" x14ac:dyDescent="0.15">
      <c r="A1483" s="7">
        <v>6018</v>
      </c>
      <c r="B1483" s="6" t="str">
        <f>VLOOKUP(A1483,[2]characters!$A:$C,3,FALSE)</f>
        <v>ハヅル</v>
      </c>
      <c r="C1483" s="9">
        <f>VLOOKUP(A1483,[2]characters!$A:$I,9,FALSE)</f>
        <v>4</v>
      </c>
      <c r="D1483" s="9" t="str">
        <f>VLOOKUP(A1483,[2]characters!$A:$H,8,FALSE)</f>
        <v>red</v>
      </c>
      <c r="E1483" s="97">
        <f>VLOOKUP(D1483,[2]属性!$A:$E,2,FALSE)</f>
        <v>1</v>
      </c>
      <c r="F1483" s="97">
        <f>VLOOKUP(D1483,[2]属性!$A:$E,3,FALSE)</f>
        <v>1.02</v>
      </c>
      <c r="G1483" s="97">
        <f>VLOOKUP(D1483,[2]属性!$A:$F,4,FALSE)</f>
        <v>1</v>
      </c>
      <c r="H1483" s="9" t="str">
        <f>VLOOKUP(A1483,[2]characters!$A:$K,11,FALSE)</f>
        <v>ra002</v>
      </c>
      <c r="I1483" s="6" t="str">
        <f>VLOOKUP(H1483,[2]character_type_i18n!$A:$F,3,FALSE)</f>
        <v>ユークリッドチャレンジ</v>
      </c>
      <c r="J1483" s="97">
        <f>VLOOKUP(H1483,[2]character_type_i18n!$A:$F,4,FALSE)</f>
        <v>1</v>
      </c>
      <c r="K1483" s="97">
        <f>VLOOKUP(H1483,[2]character_type_i18n!$A:$F,5,FALSE)</f>
        <v>1</v>
      </c>
      <c r="L1483" s="97">
        <f>VLOOKUP(H1483,[2]character_type_i18n!$A:$F,6,FALSE)</f>
        <v>1</v>
      </c>
      <c r="M1483" s="9" t="str">
        <f>VLOOKUP(A1483,[2]characters!$A:$M,13,FALSE)</f>
        <v>animal</v>
      </c>
      <c r="N1483" s="6" t="str">
        <f>VLOOKUP(M1483,[2]character_tribe_i18n!$A:$F,3,FALSE)</f>
        <v>アニマル</v>
      </c>
      <c r="O1483" s="97">
        <f>VLOOKUP(M1483,[2]character_tribe_i18n!$A:$F,4,FALSE)</f>
        <v>1</v>
      </c>
      <c r="P1483" s="97">
        <f>VLOOKUP(M1483,[2]character_tribe_i18n!$A:$F,5,FALSE)</f>
        <v>1.1000000000000001</v>
      </c>
      <c r="Q1483" s="97">
        <f>VLOOKUP(M1483,[2]character_tribe_i18n!$A:$F,6,FALSE)</f>
        <v>1</v>
      </c>
      <c r="R1483" s="98" t="s">
        <v>98</v>
      </c>
      <c r="S1483" s="97">
        <f>VLOOKUP($R1483,ラベル別係数!$A$1:$E$7,3,FALSE)</f>
        <v>5</v>
      </c>
      <c r="T1483" s="97">
        <f>VLOOKUP($R1483,ラベル別係数!$A$1:$E$7,4,FALSE)</f>
        <v>1.3</v>
      </c>
      <c r="U1483" s="97">
        <f>VLOOKUP($R1483,ラベル別係数!$A$1:$E$7,5,FALSE)</f>
        <v>0.8</v>
      </c>
      <c r="V1483" s="98">
        <v>3</v>
      </c>
      <c r="W1483" s="99">
        <f>VLOOKUP(V1483,ターン数別攻撃係数!$A$1:$B$1000,2,FALSE)</f>
        <v>1</v>
      </c>
      <c r="X1483" s="9">
        <f>VLOOKUP(C1483,サイズ別係数!A$2:B$9,2,FALSE)</f>
        <v>30</v>
      </c>
      <c r="Y1483" s="97">
        <f>VLOOKUP($X1483,サイズ別係数!$B:$E,2,FALSE)</f>
        <v>1.3</v>
      </c>
      <c r="Z1483" s="97">
        <f>VLOOKUP($X1483,サイズ別係数!$B:$E,3,FALSE)</f>
        <v>1.3</v>
      </c>
      <c r="AA1483" s="97">
        <f>VLOOKUP($X1483,サイズ別係数!$B:$E,4,FALSE)</f>
        <v>1.1000000000000001</v>
      </c>
      <c r="AB1483" s="10">
        <v>0</v>
      </c>
      <c r="AC1483" s="6" t="str">
        <f ca="1">VLOOKUP($AB1483,OFFSET([3]enemy_skill_sets!$B$2,0,0,COUNTA([3]enemy_skill_sets!$A:$A),MATCH(AC$1,[3]enemy_skill_sets!$1:$1,0)-MATCH($AB$1,[3]enemy_skill_sets!$1:$1,0)+1),MATCH(AC$1,[3]enemy_skill_sets!$1:$1,0)-MATCH($AB$1,[3]enemy_skill_sets!$1:$1,0)+1,FALSE)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3" s="67">
        <v>1</v>
      </c>
      <c r="AE1483" s="67">
        <v>1</v>
      </c>
      <c r="AF1483" s="68">
        <v>0</v>
      </c>
      <c r="AG1483" s="99">
        <f>ROUND(VLOOKUP(1,enemy_base_stats!$A:$F,2,FALSE) * Y1483* J1483*O1483*E1483*S1483*AD1483*[2]ステータス!$B$2,0)</f>
        <v>3250</v>
      </c>
      <c r="AH1483" s="99">
        <f>ROUND(VLOOKUP(1,enemy_base_stats!$A:$F,3,FALSE) * Z1483*K1483*P1483*F1483*T1483*AE1483 * W1483*[2]ステータス!$C$2,0)</f>
        <v>284</v>
      </c>
      <c r="AI1483" s="99">
        <f>ROUND(VLOOKUP(1,enemy_base_stats!$A:$F,4,FALSE) * AA1483*L1483*Q1483*G1483*U1483*AF1483*[2]ステータス!$D$2,0)</f>
        <v>0</v>
      </c>
      <c r="AJ1483" s="99">
        <f>ROUND(VLOOKUP(100,enemy_base_stats!$A:$F,2,FALSE) * Y1483* J1483*O1483*E1483*S1483*AD1483*[2]ステータス!$B$2,0)</f>
        <v>131950</v>
      </c>
      <c r="AK1483" s="99">
        <f>ROUND(VLOOKUP(100,enemy_base_stats!$A:$F,3,FALSE)* Z1483* K1483*P1483*F1483*T1483*AE1483 * W1483*[2]ステータス!$C$2,0)</f>
        <v>11548</v>
      </c>
      <c r="AL1483" s="99">
        <f>ROUND(VLOOKUP(100,enemy_base_stats!$A:$F,4,FALSE)* AA1483* L1483*Q1483*G1483*U1483*AF1483*[2]ステータス!$D$2,0)</f>
        <v>0</v>
      </c>
      <c r="AM1483" s="97">
        <f>VLOOKUP(M1483,[2]character_tribe_i18n!$A:$I,9,FALSE)</f>
        <v>480</v>
      </c>
      <c r="AN1483" s="36">
        <v>0</v>
      </c>
      <c r="AO1483" s="98">
        <v>0</v>
      </c>
      <c r="AP1483" s="58" t="s">
        <v>72</v>
      </c>
      <c r="AQ1483" s="34">
        <f t="shared" si="89"/>
        <v>6018</v>
      </c>
    </row>
    <row r="1484" spans="1:43" ht="21" customHeight="1" x14ac:dyDescent="0.15">
      <c r="A1484" s="7">
        <v>6019</v>
      </c>
      <c r="B1484" s="6" t="str">
        <f>VLOOKUP(A1484,[2]characters!$A:$C,3,FALSE)</f>
        <v>天織羽鶴 ハヅル</v>
      </c>
      <c r="C1484" s="9">
        <f>VLOOKUP(A1484,[2]characters!$A:$I,9,FALSE)</f>
        <v>5</v>
      </c>
      <c r="D1484" s="9" t="str">
        <f>VLOOKUP(A1484,[2]characters!$A:$H,8,FALSE)</f>
        <v>red</v>
      </c>
      <c r="E1484" s="97">
        <f>VLOOKUP(D1484,[2]属性!$A:$E,2,FALSE)</f>
        <v>1</v>
      </c>
      <c r="F1484" s="97">
        <f>VLOOKUP(D1484,[2]属性!$A:$E,3,FALSE)</f>
        <v>1.02</v>
      </c>
      <c r="G1484" s="97">
        <f>VLOOKUP(D1484,[2]属性!$A:$F,4,FALSE)</f>
        <v>1</v>
      </c>
      <c r="H1484" s="9" t="str">
        <f>VLOOKUP(A1484,[2]characters!$A:$K,11,FALSE)</f>
        <v>ra002</v>
      </c>
      <c r="I1484" s="6" t="str">
        <f>VLOOKUP(H1484,[2]character_type_i18n!$A:$F,3,FALSE)</f>
        <v>ユークリッドチャレンジ</v>
      </c>
      <c r="J1484" s="97">
        <f>VLOOKUP(H1484,[2]character_type_i18n!$A:$F,4,FALSE)</f>
        <v>1</v>
      </c>
      <c r="K1484" s="97">
        <f>VLOOKUP(H1484,[2]character_type_i18n!$A:$F,5,FALSE)</f>
        <v>1</v>
      </c>
      <c r="L1484" s="97">
        <f>VLOOKUP(H1484,[2]character_type_i18n!$A:$F,6,FALSE)</f>
        <v>1</v>
      </c>
      <c r="M1484" s="9" t="str">
        <f>VLOOKUP(A1484,[2]characters!$A:$M,13,FALSE)</f>
        <v>animal</v>
      </c>
      <c r="N1484" s="6" t="str">
        <f>VLOOKUP(M1484,[2]character_tribe_i18n!$A:$F,3,FALSE)</f>
        <v>アニマル</v>
      </c>
      <c r="O1484" s="97">
        <f>VLOOKUP(M1484,[2]character_tribe_i18n!$A:$F,4,FALSE)</f>
        <v>1</v>
      </c>
      <c r="P1484" s="97">
        <f>VLOOKUP(M1484,[2]character_tribe_i18n!$A:$F,5,FALSE)</f>
        <v>1.1000000000000001</v>
      </c>
      <c r="Q1484" s="97">
        <f>VLOOKUP(M1484,[2]character_tribe_i18n!$A:$F,6,FALSE)</f>
        <v>1</v>
      </c>
      <c r="R1484" s="98" t="s">
        <v>98</v>
      </c>
      <c r="S1484" s="97">
        <f>VLOOKUP($R1484,ラベル別係数!$A$1:$E$7,3,FALSE)</f>
        <v>5</v>
      </c>
      <c r="T1484" s="97">
        <f>VLOOKUP($R1484,ラベル別係数!$A$1:$E$7,4,FALSE)</f>
        <v>1.3</v>
      </c>
      <c r="U1484" s="97">
        <f>VLOOKUP($R1484,ラベル別係数!$A$1:$E$7,5,FALSE)</f>
        <v>0.8</v>
      </c>
      <c r="V1484" s="98">
        <v>3</v>
      </c>
      <c r="W1484" s="99">
        <f>VLOOKUP(V1484,ターン数別攻撃係数!$A$1:$B$1000,2,FALSE)</f>
        <v>1</v>
      </c>
      <c r="X1484" s="9">
        <f>VLOOKUP(C1484,サイズ別係数!A$2:B$9,2,FALSE)</f>
        <v>60</v>
      </c>
      <c r="Y1484" s="97">
        <f>VLOOKUP($X1484,サイズ別係数!$B:$E,2,FALSE)</f>
        <v>1.7</v>
      </c>
      <c r="Z1484" s="97">
        <f>VLOOKUP($X1484,サイズ別係数!$B:$E,3,FALSE)</f>
        <v>1.4</v>
      </c>
      <c r="AA1484" s="97">
        <f>VLOOKUP($X1484,サイズ別係数!$B:$E,4,FALSE)</f>
        <v>1</v>
      </c>
      <c r="AB1484" s="10">
        <v>0</v>
      </c>
      <c r="AC1484" s="6" t="str">
        <f ca="1">VLOOKUP($AB1484,OFFSET([3]enemy_skill_sets!$B$2,0,0,COUNTA([3]enemy_skill_sets!$A:$A),MATCH(AC$1,[3]enemy_skill_sets!$1:$1,0)-MATCH($AB$1,[3]enemy_skill_sets!$1:$1,0)+1),MATCH(AC$1,[3]enemy_skill_sets!$1:$1,0)-MATCH($AB$1,[3]enemy_skill_sets!$1:$1,0)+1,FALSE)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4" s="67">
        <v>1</v>
      </c>
      <c r="AE1484" s="67">
        <v>1</v>
      </c>
      <c r="AF1484" s="68">
        <v>0</v>
      </c>
      <c r="AG1484" s="99">
        <f>ROUND(VLOOKUP(1,enemy_base_stats!$A:$F,2,FALSE) * Y1484* J1484*O1484*E1484*S1484*AD1484*[2]ステータス!$B$2,0)</f>
        <v>4250</v>
      </c>
      <c r="AH1484" s="99">
        <f>ROUND(VLOOKUP(1,enemy_base_stats!$A:$F,3,FALSE) * Z1484*K1484*P1484*F1484*T1484*AE1484 * W1484*[2]ステータス!$C$2,0)</f>
        <v>306</v>
      </c>
      <c r="AI1484" s="99">
        <f>ROUND(VLOOKUP(1,enemy_base_stats!$A:$F,4,FALSE) * AA1484*L1484*Q1484*G1484*U1484*AF1484*[2]ステータス!$D$2,0)</f>
        <v>0</v>
      </c>
      <c r="AJ1484" s="99">
        <f>ROUND(VLOOKUP(100,enemy_base_stats!$A:$F,2,FALSE) * Y1484* J1484*O1484*E1484*S1484*AD1484*[2]ステータス!$B$2,0)</f>
        <v>172550</v>
      </c>
      <c r="AK1484" s="99">
        <f>ROUND(VLOOKUP(100,enemy_base_stats!$A:$F,3,FALSE)* Z1484* K1484*P1484*F1484*T1484*AE1484 * W1484*[2]ステータス!$C$2,0)</f>
        <v>12436</v>
      </c>
      <c r="AL1484" s="99">
        <f>ROUND(VLOOKUP(100,enemy_base_stats!$A:$F,4,FALSE)* AA1484* L1484*Q1484*G1484*U1484*AF1484*[2]ステータス!$D$2,0)</f>
        <v>0</v>
      </c>
      <c r="AM1484" s="97">
        <f>VLOOKUP(M1484,[2]character_tribe_i18n!$A:$I,9,FALSE)</f>
        <v>480</v>
      </c>
      <c r="AN1484" s="36">
        <v>0</v>
      </c>
      <c r="AO1484" s="98">
        <v>0</v>
      </c>
      <c r="AP1484" s="58" t="s">
        <v>72</v>
      </c>
      <c r="AQ1484" s="34">
        <f t="shared" si="89"/>
        <v>6019</v>
      </c>
    </row>
    <row r="1485" spans="1:43" ht="21" customHeight="1" x14ac:dyDescent="0.15">
      <c r="A1485" s="7">
        <v>6020</v>
      </c>
      <c r="B1485" s="6" t="str">
        <f>VLOOKUP(A1485,[2]characters!$A:$C,3,FALSE)</f>
        <v>ミズチ</v>
      </c>
      <c r="C1485" s="9">
        <f>VLOOKUP(A1485,[2]characters!$A:$I,9,FALSE)</f>
        <v>4</v>
      </c>
      <c r="D1485" s="9" t="str">
        <f>VLOOKUP(A1485,[2]characters!$A:$H,8,FALSE)</f>
        <v>blue</v>
      </c>
      <c r="E1485" s="97">
        <f>VLOOKUP(D1485,[2]属性!$A:$E,2,FALSE)</f>
        <v>1</v>
      </c>
      <c r="F1485" s="97">
        <f>VLOOKUP(D1485,[2]属性!$A:$E,3,FALSE)</f>
        <v>0.98</v>
      </c>
      <c r="G1485" s="97">
        <f>VLOOKUP(D1485,[2]属性!$A:$F,4,FALSE)</f>
        <v>1</v>
      </c>
      <c r="H1485" s="9" t="str">
        <f>VLOOKUP(A1485,[2]characters!$A:$K,11,FALSE)</f>
        <v>ra002</v>
      </c>
      <c r="I1485" s="6" t="str">
        <f>VLOOKUP(H1485,[2]character_type_i18n!$A:$F,3,FALSE)</f>
        <v>ユークリッドチャレンジ</v>
      </c>
      <c r="J1485" s="97">
        <f>VLOOKUP(H1485,[2]character_type_i18n!$A:$F,4,FALSE)</f>
        <v>1</v>
      </c>
      <c r="K1485" s="97">
        <f>VLOOKUP(H1485,[2]character_type_i18n!$A:$F,5,FALSE)</f>
        <v>1</v>
      </c>
      <c r="L1485" s="97">
        <f>VLOOKUP(H1485,[2]character_type_i18n!$A:$F,6,FALSE)</f>
        <v>1</v>
      </c>
      <c r="M1485" s="9" t="str">
        <f>VLOOKUP(A1485,[2]characters!$A:$M,13,FALSE)</f>
        <v>dragon</v>
      </c>
      <c r="N1485" s="6" t="str">
        <f>VLOOKUP(M1485,[2]character_tribe_i18n!$A:$F,3,FALSE)</f>
        <v>ドラゴン</v>
      </c>
      <c r="O1485" s="97">
        <f>VLOOKUP(M1485,[2]character_tribe_i18n!$A:$F,4,FALSE)</f>
        <v>1.1499999999999999</v>
      </c>
      <c r="P1485" s="97">
        <f>VLOOKUP(M1485,[2]character_tribe_i18n!$A:$F,5,FALSE)</f>
        <v>1.1000000000000001</v>
      </c>
      <c r="Q1485" s="97">
        <f>VLOOKUP(M1485,[2]character_tribe_i18n!$A:$F,6,FALSE)</f>
        <v>1</v>
      </c>
      <c r="R1485" s="98" t="s">
        <v>98</v>
      </c>
      <c r="S1485" s="97">
        <f>VLOOKUP($R1485,ラベル別係数!$A$1:$E$7,3,FALSE)</f>
        <v>5</v>
      </c>
      <c r="T1485" s="97">
        <f>VLOOKUP($R1485,ラベル別係数!$A$1:$E$7,4,FALSE)</f>
        <v>1.3</v>
      </c>
      <c r="U1485" s="97">
        <f>VLOOKUP($R1485,ラベル別係数!$A$1:$E$7,5,FALSE)</f>
        <v>0.8</v>
      </c>
      <c r="V1485" s="98">
        <v>3</v>
      </c>
      <c r="W1485" s="99">
        <f>VLOOKUP(V1485,ターン数別攻撃係数!$A$1:$B$1000,2,FALSE)</f>
        <v>1</v>
      </c>
      <c r="X1485" s="9">
        <f>VLOOKUP(C1485,サイズ別係数!A$2:B$9,2,FALSE)</f>
        <v>30</v>
      </c>
      <c r="Y1485" s="97">
        <f>VLOOKUP($X1485,サイズ別係数!$B:$E,2,FALSE)</f>
        <v>1.3</v>
      </c>
      <c r="Z1485" s="97">
        <f>VLOOKUP($X1485,サイズ別係数!$B:$E,3,FALSE)</f>
        <v>1.3</v>
      </c>
      <c r="AA1485" s="97">
        <f>VLOOKUP($X1485,サイズ別係数!$B:$E,4,FALSE)</f>
        <v>1.1000000000000001</v>
      </c>
      <c r="AB1485" s="10">
        <v>0</v>
      </c>
      <c r="AC1485" s="6" t="str">
        <f ca="1">VLOOKUP($AB1485,OFFSET([3]enemy_skill_sets!$B$2,0,0,COUNTA([3]enemy_skill_sets!$A:$A),MATCH(AC$1,[3]enemy_skill_sets!$1:$1,0)-MATCH($AB$1,[3]enemy_skill_sets!$1:$1,0)+1),MATCH(AC$1,[3]enemy_skill_sets!$1:$1,0)-MATCH($AB$1,[3]enemy_skill_sets!$1:$1,0)+1,FALSE)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5" s="67">
        <v>1</v>
      </c>
      <c r="AE1485" s="67">
        <v>1</v>
      </c>
      <c r="AF1485" s="68">
        <v>0</v>
      </c>
      <c r="AG1485" s="99">
        <f>ROUND(VLOOKUP(1,enemy_base_stats!$A:$F,2,FALSE) * Y1485* J1485*O1485*E1485*S1485*AD1485*[2]ステータス!$B$2,0)</f>
        <v>3738</v>
      </c>
      <c r="AH1485" s="99">
        <f>ROUND(VLOOKUP(1,enemy_base_stats!$A:$F,3,FALSE) * Z1485*K1485*P1485*F1485*T1485*AE1485 * W1485*[2]ステータス!$C$2,0)</f>
        <v>273</v>
      </c>
      <c r="AI1485" s="99">
        <f>ROUND(VLOOKUP(1,enemy_base_stats!$A:$F,4,FALSE) * AA1485*L1485*Q1485*G1485*U1485*AF1485*[2]ステータス!$D$2,0)</f>
        <v>0</v>
      </c>
      <c r="AJ1485" s="99">
        <f>ROUND(VLOOKUP(100,enemy_base_stats!$A:$F,2,FALSE) * Y1485* J1485*O1485*E1485*S1485*AD1485*[2]ステータス!$B$2,0)</f>
        <v>151743</v>
      </c>
      <c r="AK1485" s="99">
        <f>ROUND(VLOOKUP(100,enemy_base_stats!$A:$F,3,FALSE)* Z1485* K1485*P1485*F1485*T1485*AE1485 * W1485*[2]ステータス!$C$2,0)</f>
        <v>11095</v>
      </c>
      <c r="AL1485" s="99">
        <f>ROUND(VLOOKUP(100,enemy_base_stats!$A:$F,4,FALSE)* AA1485* L1485*Q1485*G1485*U1485*AF1485*[2]ステータス!$D$2,0)</f>
        <v>0</v>
      </c>
      <c r="AM1485" s="97">
        <f>VLOOKUP(M1485,[2]character_tribe_i18n!$A:$I,9,FALSE)</f>
        <v>540</v>
      </c>
      <c r="AN1485" s="36">
        <v>0</v>
      </c>
      <c r="AO1485" s="98">
        <v>0</v>
      </c>
      <c r="AP1485" s="58" t="s">
        <v>72</v>
      </c>
      <c r="AQ1485" s="34">
        <f t="shared" ref="AQ1485" si="90">A1485</f>
        <v>6020</v>
      </c>
    </row>
    <row r="1486" spans="1:43" ht="21" customHeight="1" x14ac:dyDescent="0.15">
      <c r="A1486" s="105">
        <v>8001</v>
      </c>
      <c r="B1486" s="6" t="str">
        <f>VLOOKUP(A1486,[2]characters!$A:$C,3,FALSE)</f>
        <v>媽祖</v>
      </c>
      <c r="C1486" s="9">
        <f>VLOOKUP(A1486,[2]characters!$A:$I,9,FALSE)</f>
        <v>5</v>
      </c>
      <c r="D1486" s="9" t="str">
        <f>VLOOKUP(A1486,[2]characters!$A:$H,8,FALSE)</f>
        <v>yellow</v>
      </c>
      <c r="E1486" s="97">
        <f>VLOOKUP(D1486,[2]属性!$A:$E,2,FALSE)</f>
        <v>0.98</v>
      </c>
      <c r="F1486" s="97">
        <f>VLOOKUP(D1486,[2]属性!$A:$E,3,FALSE)</f>
        <v>1.01</v>
      </c>
      <c r="G1486" s="97">
        <f>VLOOKUP(D1486,[2]属性!$A:$F,4,FALSE)</f>
        <v>1</v>
      </c>
      <c r="H1486" s="9" t="str">
        <f>VLOOKUP(A1486,[2]characters!$A:$K,11,FALSE)</f>
        <v>attack</v>
      </c>
      <c r="I1486" s="6" t="str">
        <f>VLOOKUP(H1486,[2]character_type_i18n!$A:$F,3,FALSE)</f>
        <v>攻撃タイプ</v>
      </c>
      <c r="J1486" s="97">
        <f>VLOOKUP(H1486,[2]character_type_i18n!$A:$F,4,FALSE)</f>
        <v>1</v>
      </c>
      <c r="K1486" s="97">
        <f>VLOOKUP(H1486,[2]character_type_i18n!$A:$F,5,FALSE)</f>
        <v>1.33</v>
      </c>
      <c r="L1486" s="97">
        <f>VLOOKUP(H1486,[2]character_type_i18n!$A:$F,6,FALSE)</f>
        <v>1</v>
      </c>
      <c r="M1486" s="9" t="str">
        <f>VLOOKUP(A1486,[2]characters!$A:$M,13,FALSE)</f>
        <v>god</v>
      </c>
      <c r="N1486" s="6" t="str">
        <f>VLOOKUP(M1486,[2]character_tribe_i18n!$A:$F,3,FALSE)</f>
        <v>ゴッド</v>
      </c>
      <c r="O1486" s="97">
        <f>VLOOKUP(M1486,[2]character_tribe_i18n!$A:$F,4,FALSE)</f>
        <v>0.96</v>
      </c>
      <c r="P1486" s="97">
        <f>VLOOKUP(M1486,[2]character_tribe_i18n!$A:$F,5,FALSE)</f>
        <v>1.02</v>
      </c>
      <c r="Q1486" s="97">
        <f>VLOOKUP(M1486,[2]character_tribe_i18n!$A:$F,6,FALSE)</f>
        <v>1</v>
      </c>
      <c r="R1486" s="98" t="s">
        <v>98</v>
      </c>
      <c r="S1486" s="97">
        <f>VLOOKUP($R1486,ラベル別係数!$A$1:$E$7,3,FALSE)</f>
        <v>5</v>
      </c>
      <c r="T1486" s="97">
        <f>VLOOKUP($R1486,ラベル別係数!$A$1:$E$7,4,FALSE)</f>
        <v>1.3</v>
      </c>
      <c r="U1486" s="97">
        <f>VLOOKUP($R1486,ラベル別係数!$A$1:$E$7,5,FALSE)</f>
        <v>0.8</v>
      </c>
      <c r="V1486" s="98">
        <v>3</v>
      </c>
      <c r="W1486" s="99">
        <f>VLOOKUP(V1486,ターン数別攻撃係数!$A$1:$B$1000,2,FALSE)</f>
        <v>1</v>
      </c>
      <c r="X1486" s="9">
        <f>VLOOKUP(C1486,サイズ別係数!A$2:B$9,2,FALSE)</f>
        <v>60</v>
      </c>
      <c r="Y1486" s="41">
        <v>1.1000000000000001</v>
      </c>
      <c r="Z1486" s="39">
        <v>1.2</v>
      </c>
      <c r="AA1486" s="39">
        <v>1.2</v>
      </c>
      <c r="AB1486" s="10">
        <v>0</v>
      </c>
      <c r="AC1486" s="6" t="str">
        <f ca="1">VLOOKUP($AB1486,OFFSET([3]enemy_skill_sets!$B$2,0,0,COUNTA([3]enemy_skill_sets!$A:$A),MATCH(AC$1,[3]enemy_skill_sets!$1:$1,0)-MATCH($AB$1,[3]enemy_skill_sets!$1:$1,0)+1),MATCH(AC$1,[3]enemy_skill_sets!$1:$1,0)-MATCH($AB$1,[3]enemy_skill_sets!$1:$1,0)+1,FALSE)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6" s="67">
        <v>1</v>
      </c>
      <c r="AE1486" s="67">
        <v>1</v>
      </c>
      <c r="AF1486" s="68">
        <v>0</v>
      </c>
      <c r="AG1486" s="99">
        <f>ROUND(VLOOKUP(1,enemy_base_stats!$A:$F,2,FALSE) * Y1486* J1486*O1486*E1486*S1486*AD1486*[2]ステータス!$B$2,0)</f>
        <v>2587</v>
      </c>
      <c r="AH1486" s="99">
        <f>ROUND(VLOOKUP(1,enemy_base_stats!$A:$F,3,FALSE) * Z1486*K1486*P1486*F1486*T1486*AE1486 * W1486*[2]ステータス!$C$2,0)</f>
        <v>321</v>
      </c>
      <c r="AI1486" s="99">
        <f>ROUND(VLOOKUP(1,enemy_base_stats!$A:$F,4,FALSE) * AA1486*L1486*Q1486*G1486*U1486*AF1486*[2]ステータス!$D$2,0)</f>
        <v>0</v>
      </c>
      <c r="AJ1486" s="99">
        <f>ROUND(VLOOKUP(100,enemy_base_stats!$A:$F,2,FALSE) * Y1486* J1486*O1486*E1486*S1486*AD1486*[2]ステータス!$B$2,0)</f>
        <v>105040</v>
      </c>
      <c r="AK1486" s="99">
        <f>ROUND(VLOOKUP(100,enemy_base_stats!$A:$F,3,FALSE)* Z1486* K1486*P1486*F1486*T1486*AE1486 * W1486*[2]ステータス!$C$2,0)</f>
        <v>13017</v>
      </c>
      <c r="AL1486" s="99">
        <f>ROUND(VLOOKUP(100,enemy_base_stats!$A:$F,4,FALSE)* AA1486* L1486*Q1486*G1486*U1486*AF1486*[2]ステータス!$D$2,0)</f>
        <v>0</v>
      </c>
      <c r="AM1486" s="97">
        <f>VLOOKUP(M1486,[2]character_tribe_i18n!$A:$I,9,FALSE)</f>
        <v>680</v>
      </c>
      <c r="AN1486" s="36">
        <v>0</v>
      </c>
      <c r="AO1486" s="98">
        <v>0</v>
      </c>
      <c r="AP1486" s="58" t="s">
        <v>72</v>
      </c>
      <c r="AQ1486" s="34">
        <f t="shared" ref="AQ1486" si="91">A1486</f>
        <v>8001</v>
      </c>
    </row>
    <row r="1487" spans="1:43" ht="21" customHeight="1" x14ac:dyDescent="0.15">
      <c r="A1487" s="105">
        <v>8002</v>
      </c>
      <c r="B1487" s="6" t="str">
        <f>VLOOKUP(A1487,[2]characters!$A:$C,3,FALSE)</f>
        <v>宣導する天海妃 媽祖</v>
      </c>
      <c r="C1487" s="9">
        <f>VLOOKUP(A1487,[2]characters!$A:$I,9,FALSE)</f>
        <v>6</v>
      </c>
      <c r="D1487" s="9" t="str">
        <f>VLOOKUP(A1487,[2]characters!$A:$H,8,FALSE)</f>
        <v>yellow</v>
      </c>
      <c r="E1487" s="97">
        <f>VLOOKUP(D1487,[2]属性!$A:$E,2,FALSE)</f>
        <v>0.98</v>
      </c>
      <c r="F1487" s="97">
        <f>VLOOKUP(D1487,[2]属性!$A:$E,3,FALSE)</f>
        <v>1.01</v>
      </c>
      <c r="G1487" s="97">
        <f>VLOOKUP(D1487,[2]属性!$A:$F,4,FALSE)</f>
        <v>1</v>
      </c>
      <c r="H1487" s="9" t="str">
        <f>VLOOKUP(A1487,[2]characters!$A:$K,11,FALSE)</f>
        <v>attack</v>
      </c>
      <c r="I1487" s="6" t="str">
        <f>VLOOKUP(H1487,[2]character_type_i18n!$A:$F,3,FALSE)</f>
        <v>攻撃タイプ</v>
      </c>
      <c r="J1487" s="97">
        <f>VLOOKUP(H1487,[2]character_type_i18n!$A:$F,4,FALSE)</f>
        <v>1</v>
      </c>
      <c r="K1487" s="97">
        <f>VLOOKUP(H1487,[2]character_type_i18n!$A:$F,5,FALSE)</f>
        <v>1.33</v>
      </c>
      <c r="L1487" s="97">
        <f>VLOOKUP(H1487,[2]character_type_i18n!$A:$F,6,FALSE)</f>
        <v>1</v>
      </c>
      <c r="M1487" s="9" t="str">
        <f>VLOOKUP(A1487,[2]characters!$A:$M,13,FALSE)</f>
        <v>god</v>
      </c>
      <c r="N1487" s="6" t="str">
        <f>VLOOKUP(M1487,[2]character_tribe_i18n!$A:$F,3,FALSE)</f>
        <v>ゴッド</v>
      </c>
      <c r="O1487" s="97">
        <f>VLOOKUP(M1487,[2]character_tribe_i18n!$A:$F,4,FALSE)</f>
        <v>0.96</v>
      </c>
      <c r="P1487" s="97">
        <f>VLOOKUP(M1487,[2]character_tribe_i18n!$A:$F,5,FALSE)</f>
        <v>1.02</v>
      </c>
      <c r="Q1487" s="97">
        <f>VLOOKUP(M1487,[2]character_tribe_i18n!$A:$F,6,FALSE)</f>
        <v>1</v>
      </c>
      <c r="R1487" s="98" t="s">
        <v>98</v>
      </c>
      <c r="S1487" s="97">
        <f>VLOOKUP($R1487,ラベル別係数!$A$1:$E$7,3,FALSE)</f>
        <v>5</v>
      </c>
      <c r="T1487" s="97">
        <f>VLOOKUP($R1487,ラベル別係数!$A$1:$E$7,4,FALSE)</f>
        <v>1.3</v>
      </c>
      <c r="U1487" s="97">
        <f>VLOOKUP($R1487,ラベル別係数!$A$1:$E$7,5,FALSE)</f>
        <v>0.8</v>
      </c>
      <c r="V1487" s="98">
        <v>3</v>
      </c>
      <c r="W1487" s="99">
        <f>VLOOKUP(V1487,ターン数別攻撃係数!$A$1:$B$1000,2,FALSE)</f>
        <v>1</v>
      </c>
      <c r="X1487" s="9">
        <f>VLOOKUP(C1487,サイズ別係数!A$2:B$9,2,FALSE)</f>
        <v>60</v>
      </c>
      <c r="Y1487" s="41">
        <v>1.1000000000000001</v>
      </c>
      <c r="Z1487" s="39">
        <v>1.2</v>
      </c>
      <c r="AA1487" s="39">
        <v>1.2</v>
      </c>
      <c r="AB1487" s="10">
        <v>0</v>
      </c>
      <c r="AC1487" s="6" t="str">
        <f ca="1">VLOOKUP($AB1487,OFFSET([3]enemy_skill_sets!$B$2,0,0,COUNTA([3]enemy_skill_sets!$A:$A),MATCH(AC$1,[3]enemy_skill_sets!$1:$1,0)-MATCH($AB$1,[3]enemy_skill_sets!$1:$1,0)+1),MATCH(AC$1,[3]enemy_skill_sets!$1:$1,0)-MATCH($AB$1,[3]enemy_skill_sets!$1:$1,0)+1,FALSE)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7" s="67">
        <v>1</v>
      </c>
      <c r="AE1487" s="67">
        <v>1</v>
      </c>
      <c r="AF1487" s="68">
        <v>0</v>
      </c>
      <c r="AG1487" s="99">
        <f>ROUND(VLOOKUP(1,enemy_base_stats!$A:$F,2,FALSE) * Y1487* J1487*O1487*E1487*S1487*AD1487*[2]ステータス!$B$2,0)</f>
        <v>2587</v>
      </c>
      <c r="AH1487" s="99">
        <f>ROUND(VLOOKUP(1,enemy_base_stats!$A:$F,3,FALSE) * Z1487*K1487*P1487*F1487*T1487*AE1487 * W1487*[2]ステータス!$C$2,0)</f>
        <v>321</v>
      </c>
      <c r="AI1487" s="99">
        <f>ROUND(VLOOKUP(1,enemy_base_stats!$A:$F,4,FALSE) * AA1487*L1487*Q1487*G1487*U1487*AF1487*[2]ステータス!$D$2,0)</f>
        <v>0</v>
      </c>
      <c r="AJ1487" s="99">
        <f>ROUND(VLOOKUP(100,enemy_base_stats!$A:$F,2,FALSE) * Y1487* J1487*O1487*E1487*S1487*AD1487*[2]ステータス!$B$2,0)</f>
        <v>105040</v>
      </c>
      <c r="AK1487" s="99">
        <f>ROUND(VLOOKUP(100,enemy_base_stats!$A:$F,3,FALSE)* Z1487* K1487*P1487*F1487*T1487*AE1487 * W1487*[2]ステータス!$C$2,0)</f>
        <v>13017</v>
      </c>
      <c r="AL1487" s="99">
        <f>ROUND(VLOOKUP(100,enemy_base_stats!$A:$F,4,FALSE)* AA1487* L1487*Q1487*G1487*U1487*AF1487*[2]ステータス!$D$2,0)</f>
        <v>0</v>
      </c>
      <c r="AM1487" s="97">
        <f>VLOOKUP(M1487,[2]character_tribe_i18n!$A:$I,9,FALSE)</f>
        <v>680</v>
      </c>
      <c r="AN1487" s="36">
        <v>0</v>
      </c>
      <c r="AO1487" s="98">
        <v>0</v>
      </c>
      <c r="AP1487" s="58" t="s">
        <v>72</v>
      </c>
      <c r="AQ1487" s="34">
        <f t="shared" ref="AQ1487:AQ1488" si="92">A1487</f>
        <v>8002</v>
      </c>
    </row>
    <row r="1488" spans="1:43" ht="21" customHeight="1" x14ac:dyDescent="0.15">
      <c r="A1488" s="105">
        <v>8003</v>
      </c>
      <c r="B1488" s="6" t="str">
        <f>VLOOKUP(A1488,[2]characters!$A:$C,3,FALSE)</f>
        <v>蛟龍</v>
      </c>
      <c r="C1488" s="9">
        <f>VLOOKUP(A1488,[2]characters!$A:$I,9,FALSE)</f>
        <v>5</v>
      </c>
      <c r="D1488" s="9" t="str">
        <f>VLOOKUP(A1488,[2]characters!$A:$H,8,FALSE)</f>
        <v>blue</v>
      </c>
      <c r="E1488" s="97">
        <f>VLOOKUP(D1488,[2]属性!$A:$E,2,FALSE)</f>
        <v>1</v>
      </c>
      <c r="F1488" s="97">
        <f>VLOOKUP(D1488,[2]属性!$A:$E,3,FALSE)</f>
        <v>0.98</v>
      </c>
      <c r="G1488" s="97">
        <f>VLOOKUP(D1488,[2]属性!$A:$F,4,FALSE)</f>
        <v>1</v>
      </c>
      <c r="H1488" s="9" t="str">
        <f>VLOOKUP(A1488,[2]characters!$A:$K,11,FALSE)</f>
        <v>hp</v>
      </c>
      <c r="I1488" s="6" t="str">
        <f>VLOOKUP(H1488,[2]character_type_i18n!$A:$F,3,FALSE)</f>
        <v>体力タイプ</v>
      </c>
      <c r="J1488" s="97">
        <f>VLOOKUP(H1488,[2]character_type_i18n!$A:$F,4,FALSE)</f>
        <v>1.45</v>
      </c>
      <c r="K1488" s="97">
        <f>VLOOKUP(H1488,[2]character_type_i18n!$A:$F,5,FALSE)</f>
        <v>0.85</v>
      </c>
      <c r="L1488" s="97">
        <f>VLOOKUP(H1488,[2]character_type_i18n!$A:$F,6,FALSE)</f>
        <v>1</v>
      </c>
      <c r="M1488" s="9" t="str">
        <f>VLOOKUP(A1488,[2]characters!$A:$M,13,FALSE)</f>
        <v>dragon</v>
      </c>
      <c r="N1488" s="6" t="str">
        <f>VLOOKUP(M1488,[2]character_tribe_i18n!$A:$F,3,FALSE)</f>
        <v>ドラゴン</v>
      </c>
      <c r="O1488" s="97">
        <f>VLOOKUP(M1488,[2]character_tribe_i18n!$A:$F,4,FALSE)</f>
        <v>1.1499999999999999</v>
      </c>
      <c r="P1488" s="97">
        <f>VLOOKUP(M1488,[2]character_tribe_i18n!$A:$F,5,FALSE)</f>
        <v>1.1000000000000001</v>
      </c>
      <c r="Q1488" s="97">
        <f>VLOOKUP(M1488,[2]character_tribe_i18n!$A:$F,6,FALSE)</f>
        <v>1</v>
      </c>
      <c r="R1488" s="98" t="s">
        <v>98</v>
      </c>
      <c r="S1488" s="97">
        <f>VLOOKUP($R1488,ラベル別係数!$A$1:$E$7,3,FALSE)</f>
        <v>5</v>
      </c>
      <c r="T1488" s="97">
        <f>VLOOKUP($R1488,ラベル別係数!$A$1:$E$7,4,FALSE)</f>
        <v>1.3</v>
      </c>
      <c r="U1488" s="97">
        <f>VLOOKUP($R1488,ラベル別係数!$A$1:$E$7,5,FALSE)</f>
        <v>0.8</v>
      </c>
      <c r="V1488" s="98">
        <v>3</v>
      </c>
      <c r="W1488" s="99">
        <f>VLOOKUP(V1488,ターン数別攻撃係数!$A$1:$B$1000,2,FALSE)</f>
        <v>1</v>
      </c>
      <c r="X1488" s="9">
        <f>VLOOKUP(C1488,サイズ別係数!A$2:B$9,2,FALSE)</f>
        <v>60</v>
      </c>
      <c r="Y1488" s="41">
        <v>1.1000000000000001</v>
      </c>
      <c r="Z1488" s="39">
        <v>1.2</v>
      </c>
      <c r="AA1488" s="39">
        <v>1.2</v>
      </c>
      <c r="AB1488" s="10">
        <v>0</v>
      </c>
      <c r="AC1488" s="6" t="str">
        <f ca="1">VLOOKUP($AB1488,OFFSET([3]enemy_skill_sets!$B$2,0,0,COUNTA([3]enemy_skill_sets!$A:$A),MATCH(AC$1,[3]enemy_skill_sets!$1:$1,0)-MATCH($AB$1,[3]enemy_skill_sets!$1:$1,0)+1),MATCH(AC$1,[3]enemy_skill_sets!$1:$1,0)-MATCH($AB$1,[3]enemy_skill_sets!$1:$1,0)+1,FALSE)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8" s="67">
        <v>1</v>
      </c>
      <c r="AE1488" s="67">
        <v>1</v>
      </c>
      <c r="AF1488" s="68">
        <v>0</v>
      </c>
      <c r="AG1488" s="99">
        <f>ROUND(VLOOKUP(1,enemy_base_stats!$A:$F,2,FALSE) * Y1488* J1488*O1488*E1488*S1488*AD1488*[2]ステータス!$B$2,0)</f>
        <v>4586</v>
      </c>
      <c r="AH1488" s="99">
        <f>ROUND(VLOOKUP(1,enemy_base_stats!$A:$F,3,FALSE) * Z1488*K1488*P1488*F1488*T1488*AE1488 * W1488*[2]ステータス!$C$2,0)</f>
        <v>214</v>
      </c>
      <c r="AI1488" s="99">
        <f>ROUND(VLOOKUP(1,enemy_base_stats!$A:$F,4,FALSE) * AA1488*L1488*Q1488*G1488*U1488*AF1488*[2]ステータス!$D$2,0)</f>
        <v>0</v>
      </c>
      <c r="AJ1488" s="99">
        <f>ROUND(VLOOKUP(100,enemy_base_stats!$A:$F,2,FALSE) * Y1488* J1488*O1488*E1488*S1488*AD1488*[2]ステータス!$B$2,0)</f>
        <v>186176</v>
      </c>
      <c r="AK1488" s="99">
        <f>ROUND(VLOOKUP(100,enemy_base_stats!$A:$F,3,FALSE)* Z1488* K1488*P1488*F1488*T1488*AE1488 * W1488*[2]ステータス!$C$2,0)</f>
        <v>8705</v>
      </c>
      <c r="AL1488" s="99">
        <f>ROUND(VLOOKUP(100,enemy_base_stats!$A:$F,4,FALSE)* AA1488* L1488*Q1488*G1488*U1488*AF1488*[2]ステータス!$D$2,0)</f>
        <v>0</v>
      </c>
      <c r="AM1488" s="97">
        <f>VLOOKUP(M1488,[2]character_tribe_i18n!$A:$I,9,FALSE)</f>
        <v>540</v>
      </c>
      <c r="AN1488" s="36">
        <v>0</v>
      </c>
      <c r="AO1488" s="98">
        <v>0</v>
      </c>
      <c r="AP1488" s="58" t="s">
        <v>72</v>
      </c>
      <c r="AQ1488" s="34">
        <f t="shared" si="92"/>
        <v>8003</v>
      </c>
    </row>
    <row r="1489" spans="1:43" ht="21" customHeight="1" x14ac:dyDescent="0.15">
      <c r="A1489" s="105">
        <v>8004</v>
      </c>
      <c r="B1489" s="6" t="str">
        <f>VLOOKUP(A1489,[2]characters!$A:$C,3,FALSE)</f>
        <v>呼嵐の蒼棲龍 蛟龍</v>
      </c>
      <c r="C1489" s="9">
        <f>VLOOKUP(A1489,[2]characters!$A:$I,9,FALSE)</f>
        <v>6</v>
      </c>
      <c r="D1489" s="9" t="str">
        <f>VLOOKUP(A1489,[2]characters!$A:$H,8,FALSE)</f>
        <v>blue</v>
      </c>
      <c r="E1489" s="97">
        <f>VLOOKUP(D1489,[2]属性!$A:$E,2,FALSE)</f>
        <v>1</v>
      </c>
      <c r="F1489" s="97">
        <f>VLOOKUP(D1489,[2]属性!$A:$E,3,FALSE)</f>
        <v>0.98</v>
      </c>
      <c r="G1489" s="97">
        <f>VLOOKUP(D1489,[2]属性!$A:$F,4,FALSE)</f>
        <v>1</v>
      </c>
      <c r="H1489" s="9" t="str">
        <f>VLOOKUP(A1489,[2]characters!$A:$K,11,FALSE)</f>
        <v>hp</v>
      </c>
      <c r="I1489" s="6" t="str">
        <f>VLOOKUP(H1489,[2]character_type_i18n!$A:$F,3,FALSE)</f>
        <v>体力タイプ</v>
      </c>
      <c r="J1489" s="97">
        <f>VLOOKUP(H1489,[2]character_type_i18n!$A:$F,4,FALSE)</f>
        <v>1.45</v>
      </c>
      <c r="K1489" s="97">
        <f>VLOOKUP(H1489,[2]character_type_i18n!$A:$F,5,FALSE)</f>
        <v>0.85</v>
      </c>
      <c r="L1489" s="97">
        <f>VLOOKUP(H1489,[2]character_type_i18n!$A:$F,6,FALSE)</f>
        <v>1</v>
      </c>
      <c r="M1489" s="9" t="str">
        <f>VLOOKUP(A1489,[2]characters!$A:$M,13,FALSE)</f>
        <v>dragon</v>
      </c>
      <c r="N1489" s="6" t="str">
        <f>VLOOKUP(M1489,[2]character_tribe_i18n!$A:$F,3,FALSE)</f>
        <v>ドラゴン</v>
      </c>
      <c r="O1489" s="97">
        <f>VLOOKUP(M1489,[2]character_tribe_i18n!$A:$F,4,FALSE)</f>
        <v>1.1499999999999999</v>
      </c>
      <c r="P1489" s="97">
        <f>VLOOKUP(M1489,[2]character_tribe_i18n!$A:$F,5,FALSE)</f>
        <v>1.1000000000000001</v>
      </c>
      <c r="Q1489" s="97">
        <f>VLOOKUP(M1489,[2]character_tribe_i18n!$A:$F,6,FALSE)</f>
        <v>1</v>
      </c>
      <c r="R1489" s="98" t="s">
        <v>98</v>
      </c>
      <c r="S1489" s="97">
        <f>VLOOKUP($R1489,ラベル別係数!$A$1:$E$7,3,FALSE)</f>
        <v>5</v>
      </c>
      <c r="T1489" s="97">
        <f>VLOOKUP($R1489,ラベル別係数!$A$1:$E$7,4,FALSE)</f>
        <v>1.3</v>
      </c>
      <c r="U1489" s="97">
        <f>VLOOKUP($R1489,ラベル別係数!$A$1:$E$7,5,FALSE)</f>
        <v>0.8</v>
      </c>
      <c r="V1489" s="98">
        <v>3</v>
      </c>
      <c r="W1489" s="99">
        <f>VLOOKUP(V1489,ターン数別攻撃係数!$A$1:$B$1000,2,FALSE)</f>
        <v>1</v>
      </c>
      <c r="X1489" s="9">
        <f>VLOOKUP(C1489,サイズ別係数!A$2:B$9,2,FALSE)</f>
        <v>60</v>
      </c>
      <c r="Y1489" s="41">
        <v>1.1000000000000001</v>
      </c>
      <c r="Z1489" s="39">
        <v>1.2</v>
      </c>
      <c r="AA1489" s="39">
        <v>1.2</v>
      </c>
      <c r="AB1489" s="10">
        <v>0</v>
      </c>
      <c r="AC1489" s="6" t="str">
        <f ca="1">VLOOKUP($AB1489,OFFSET([3]enemy_skill_sets!$B$2,0,0,COUNTA([3]enemy_skill_sets!$A:$A),MATCH(AC$1,[3]enemy_skill_sets!$1:$1,0)-MATCH($AB$1,[3]enemy_skill_sets!$1:$1,0)+1),MATCH(AC$1,[3]enemy_skill_sets!$1:$1,0)-MATCH($AB$1,[3]enemy_skill_sets!$1:$1,0)+1,FALSE)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89" s="67">
        <v>1</v>
      </c>
      <c r="AE1489" s="67">
        <v>1</v>
      </c>
      <c r="AF1489" s="68">
        <v>0</v>
      </c>
      <c r="AG1489" s="99">
        <f>ROUND(VLOOKUP(1,enemy_base_stats!$A:$F,2,FALSE) * Y1489* J1489*O1489*E1489*S1489*AD1489*[2]ステータス!$B$2,0)</f>
        <v>4586</v>
      </c>
      <c r="AH1489" s="99">
        <f>ROUND(VLOOKUP(1,enemy_base_stats!$A:$F,3,FALSE) * Z1489*K1489*P1489*F1489*T1489*AE1489 * W1489*[2]ステータス!$C$2,0)</f>
        <v>214</v>
      </c>
      <c r="AI1489" s="99">
        <f>ROUND(VLOOKUP(1,enemy_base_stats!$A:$F,4,FALSE) * AA1489*L1489*Q1489*G1489*U1489*AF1489*[2]ステータス!$D$2,0)</f>
        <v>0</v>
      </c>
      <c r="AJ1489" s="99">
        <f>ROUND(VLOOKUP(100,enemy_base_stats!$A:$F,2,FALSE) * Y1489* J1489*O1489*E1489*S1489*AD1489*[2]ステータス!$B$2,0)</f>
        <v>186176</v>
      </c>
      <c r="AK1489" s="99">
        <f>ROUND(VLOOKUP(100,enemy_base_stats!$A:$F,3,FALSE)* Z1489* K1489*P1489*F1489*T1489*AE1489 * W1489*[2]ステータス!$C$2,0)</f>
        <v>8705</v>
      </c>
      <c r="AL1489" s="99">
        <f>ROUND(VLOOKUP(100,enemy_base_stats!$A:$F,4,FALSE)* AA1489* L1489*Q1489*G1489*U1489*AF1489*[2]ステータス!$D$2,0)</f>
        <v>0</v>
      </c>
      <c r="AM1489" s="97">
        <f>VLOOKUP(M1489,[2]character_tribe_i18n!$A:$I,9,FALSE)</f>
        <v>540</v>
      </c>
      <c r="AN1489" s="36">
        <v>0</v>
      </c>
      <c r="AO1489" s="98">
        <v>0</v>
      </c>
      <c r="AP1489" s="58" t="s">
        <v>72</v>
      </c>
      <c r="AQ1489" s="34">
        <f t="shared" ref="AQ1489:AQ1515" si="93">A1489</f>
        <v>8004</v>
      </c>
    </row>
    <row r="1490" spans="1:43" ht="21" customHeight="1" x14ac:dyDescent="0.15">
      <c r="A1490" s="105">
        <v>8005</v>
      </c>
      <c r="B1490" s="6" t="str">
        <f>VLOOKUP(A1490,[2]characters!$A:$C,3,FALSE)</f>
        <v>三蔵法師</v>
      </c>
      <c r="C1490" s="9">
        <f>VLOOKUP(A1490,[2]characters!$A:$I,9,FALSE)</f>
        <v>5</v>
      </c>
      <c r="D1490" s="9" t="str">
        <f>VLOOKUP(A1490,[2]characters!$A:$H,8,FALSE)</f>
        <v>blue</v>
      </c>
      <c r="E1490" s="97">
        <f>VLOOKUP(D1490,[2]属性!$A:$E,2,FALSE)</f>
        <v>1</v>
      </c>
      <c r="F1490" s="97">
        <f>VLOOKUP(D1490,[2]属性!$A:$E,3,FALSE)</f>
        <v>0.98</v>
      </c>
      <c r="G1490" s="97">
        <f>VLOOKUP(D1490,[2]属性!$A:$F,4,FALSE)</f>
        <v>1</v>
      </c>
      <c r="H1490" s="9" t="str">
        <f>VLOOKUP(A1490,[2]characters!$A:$K,11,FALSE)</f>
        <v>balance</v>
      </c>
      <c r="I1490" s="6" t="str">
        <f>VLOOKUP(H1490,[2]character_type_i18n!$A:$F,3,FALSE)</f>
        <v>バランスタイプ</v>
      </c>
      <c r="J1490" s="97">
        <f>VLOOKUP(H1490,[2]character_type_i18n!$A:$F,4,FALSE)</f>
        <v>1</v>
      </c>
      <c r="K1490" s="97">
        <f>VLOOKUP(H1490,[2]character_type_i18n!$A:$F,5,FALSE)</f>
        <v>1</v>
      </c>
      <c r="L1490" s="97">
        <f>VLOOKUP(H1490,[2]character_type_i18n!$A:$F,6,FALSE)</f>
        <v>1</v>
      </c>
      <c r="M1490" s="9" t="str">
        <f>VLOOKUP(A1490,[2]characters!$A:$M,13,FALSE)</f>
        <v>human</v>
      </c>
      <c r="N1490" s="6" t="str">
        <f>VLOOKUP(M1490,[2]character_tribe_i18n!$A:$F,3,FALSE)</f>
        <v>ヒューマン</v>
      </c>
      <c r="O1490" s="97">
        <f>VLOOKUP(M1490,[2]character_tribe_i18n!$A:$F,4,FALSE)</f>
        <v>0.94</v>
      </c>
      <c r="P1490" s="97">
        <f>VLOOKUP(M1490,[2]character_tribe_i18n!$A:$F,5,FALSE)</f>
        <v>0.99</v>
      </c>
      <c r="Q1490" s="97">
        <f>VLOOKUP(M1490,[2]character_tribe_i18n!$A:$F,6,FALSE)</f>
        <v>1</v>
      </c>
      <c r="R1490" s="98" t="s">
        <v>98</v>
      </c>
      <c r="S1490" s="97">
        <f>VLOOKUP($R1490,ラベル別係数!$A$1:$E$7,3,FALSE)</f>
        <v>5</v>
      </c>
      <c r="T1490" s="97">
        <f>VLOOKUP($R1490,ラベル別係数!$A$1:$E$7,4,FALSE)</f>
        <v>1.3</v>
      </c>
      <c r="U1490" s="97">
        <f>VLOOKUP($R1490,ラベル別係数!$A$1:$E$7,5,FALSE)</f>
        <v>0.8</v>
      </c>
      <c r="V1490" s="98">
        <v>3</v>
      </c>
      <c r="W1490" s="99">
        <f>VLOOKUP(V1490,ターン数別攻撃係数!$A$1:$B$1000,2,FALSE)</f>
        <v>1</v>
      </c>
      <c r="X1490" s="9">
        <f>VLOOKUP(C1490,サイズ別係数!A$2:B$9,2,FALSE)</f>
        <v>60</v>
      </c>
      <c r="Y1490" s="41">
        <v>1.1000000000000001</v>
      </c>
      <c r="Z1490" s="39">
        <v>1.2</v>
      </c>
      <c r="AA1490" s="39">
        <v>1.2</v>
      </c>
      <c r="AB1490" s="10">
        <v>0</v>
      </c>
      <c r="AC1490" s="6" t="str">
        <f ca="1">VLOOKUP($AB1490,OFFSET([3]enemy_skill_sets!$B$2,0,0,COUNTA([3]enemy_skill_sets!$A:$A),MATCH(AC$1,[3]enemy_skill_sets!$1:$1,0)-MATCH($AB$1,[3]enemy_skill_sets!$1:$1,0)+1),MATCH(AC$1,[3]enemy_skill_sets!$1:$1,0)-MATCH($AB$1,[3]enemy_skill_sets!$1:$1,0)+1,FALSE)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0" s="67">
        <v>1</v>
      </c>
      <c r="AE1490" s="67">
        <v>1</v>
      </c>
      <c r="AF1490" s="68">
        <v>0</v>
      </c>
      <c r="AG1490" s="99">
        <f>ROUND(VLOOKUP(1,enemy_base_stats!$A:$F,2,FALSE) * Y1490* J1490*O1490*E1490*S1490*AD1490*[2]ステータス!$B$2,0)</f>
        <v>2585</v>
      </c>
      <c r="AH1490" s="99">
        <f>ROUND(VLOOKUP(1,enemy_base_stats!$A:$F,3,FALSE) * Z1490*K1490*P1490*F1490*T1490*AE1490 * W1490*[2]ステータス!$C$2,0)</f>
        <v>227</v>
      </c>
      <c r="AI1490" s="99">
        <f>ROUND(VLOOKUP(1,enemy_base_stats!$A:$F,4,FALSE) * AA1490*L1490*Q1490*G1490*U1490*AF1490*[2]ステータス!$D$2,0)</f>
        <v>0</v>
      </c>
      <c r="AJ1490" s="99">
        <f>ROUND(VLOOKUP(100,enemy_base_stats!$A:$F,2,FALSE) * Y1490* J1490*O1490*E1490*S1490*AD1490*[2]ステータス!$B$2,0)</f>
        <v>104951</v>
      </c>
      <c r="AK1490" s="99">
        <f>ROUND(VLOOKUP(100,enemy_base_stats!$A:$F,3,FALSE)* Z1490* K1490*P1490*F1490*T1490*AE1490 * W1490*[2]ステータス!$C$2,0)</f>
        <v>9217</v>
      </c>
      <c r="AL1490" s="99">
        <f>ROUND(VLOOKUP(100,enemy_base_stats!$A:$F,4,FALSE)* AA1490* L1490*Q1490*G1490*U1490*AF1490*[2]ステータス!$D$2,0)</f>
        <v>0</v>
      </c>
      <c r="AM1490" s="97">
        <f>VLOOKUP(M1490,[2]character_tribe_i18n!$A:$I,9,FALSE)</f>
        <v>400</v>
      </c>
      <c r="AN1490" s="36">
        <v>0</v>
      </c>
      <c r="AO1490" s="98">
        <v>0</v>
      </c>
      <c r="AP1490" s="58" t="s">
        <v>72</v>
      </c>
      <c r="AQ1490" s="34">
        <f t="shared" si="93"/>
        <v>8005</v>
      </c>
    </row>
    <row r="1491" spans="1:43" ht="21" customHeight="1" x14ac:dyDescent="0.15">
      <c r="A1491" s="105">
        <v>8006</v>
      </c>
      <c r="B1491" s="6" t="str">
        <f>VLOOKUP(A1491,[2]characters!$A:$C,3,FALSE)</f>
        <v>慈戒の呪封使 三蔵法師</v>
      </c>
      <c r="C1491" s="9">
        <f>VLOOKUP(A1491,[2]characters!$A:$I,9,FALSE)</f>
        <v>6</v>
      </c>
      <c r="D1491" s="9" t="str">
        <f>VLOOKUP(A1491,[2]characters!$A:$H,8,FALSE)</f>
        <v>blue</v>
      </c>
      <c r="E1491" s="97">
        <f>VLOOKUP(D1491,[2]属性!$A:$E,2,FALSE)</f>
        <v>1</v>
      </c>
      <c r="F1491" s="97">
        <f>VLOOKUP(D1491,[2]属性!$A:$E,3,FALSE)</f>
        <v>0.98</v>
      </c>
      <c r="G1491" s="97">
        <f>VLOOKUP(D1491,[2]属性!$A:$F,4,FALSE)</f>
        <v>1</v>
      </c>
      <c r="H1491" s="9" t="str">
        <f>VLOOKUP(A1491,[2]characters!$A:$K,11,FALSE)</f>
        <v>balance</v>
      </c>
      <c r="I1491" s="6" t="str">
        <f>VLOOKUP(H1491,[2]character_type_i18n!$A:$F,3,FALSE)</f>
        <v>バランスタイプ</v>
      </c>
      <c r="J1491" s="97">
        <f>VLOOKUP(H1491,[2]character_type_i18n!$A:$F,4,FALSE)</f>
        <v>1</v>
      </c>
      <c r="K1491" s="97">
        <f>VLOOKUP(H1491,[2]character_type_i18n!$A:$F,5,FALSE)</f>
        <v>1</v>
      </c>
      <c r="L1491" s="97">
        <f>VLOOKUP(H1491,[2]character_type_i18n!$A:$F,6,FALSE)</f>
        <v>1</v>
      </c>
      <c r="M1491" s="9" t="str">
        <f>VLOOKUP(A1491,[2]characters!$A:$M,13,FALSE)</f>
        <v>human</v>
      </c>
      <c r="N1491" s="6" t="str">
        <f>VLOOKUP(M1491,[2]character_tribe_i18n!$A:$F,3,FALSE)</f>
        <v>ヒューマン</v>
      </c>
      <c r="O1491" s="97">
        <f>VLOOKUP(M1491,[2]character_tribe_i18n!$A:$F,4,FALSE)</f>
        <v>0.94</v>
      </c>
      <c r="P1491" s="97">
        <f>VLOOKUP(M1491,[2]character_tribe_i18n!$A:$F,5,FALSE)</f>
        <v>0.99</v>
      </c>
      <c r="Q1491" s="97">
        <f>VLOOKUP(M1491,[2]character_tribe_i18n!$A:$F,6,FALSE)</f>
        <v>1</v>
      </c>
      <c r="R1491" s="98" t="s">
        <v>98</v>
      </c>
      <c r="S1491" s="97">
        <f>VLOOKUP($R1491,ラベル別係数!$A$1:$E$7,3,FALSE)</f>
        <v>5</v>
      </c>
      <c r="T1491" s="97">
        <f>VLOOKUP($R1491,ラベル別係数!$A$1:$E$7,4,FALSE)</f>
        <v>1.3</v>
      </c>
      <c r="U1491" s="97">
        <f>VLOOKUP($R1491,ラベル別係数!$A$1:$E$7,5,FALSE)</f>
        <v>0.8</v>
      </c>
      <c r="V1491" s="98">
        <v>3</v>
      </c>
      <c r="W1491" s="99">
        <f>VLOOKUP(V1491,ターン数別攻撃係数!$A$1:$B$1000,2,FALSE)</f>
        <v>1</v>
      </c>
      <c r="X1491" s="9">
        <f>VLOOKUP(C1491,サイズ別係数!A$2:B$9,2,FALSE)</f>
        <v>60</v>
      </c>
      <c r="Y1491" s="41">
        <v>1.1000000000000001</v>
      </c>
      <c r="Z1491" s="39">
        <v>1.2</v>
      </c>
      <c r="AA1491" s="39">
        <v>1.2</v>
      </c>
      <c r="AB1491" s="10">
        <v>0</v>
      </c>
      <c r="AC1491" s="6" t="str">
        <f ca="1">VLOOKUP($AB1491,OFFSET([3]enemy_skill_sets!$B$2,0,0,COUNTA([3]enemy_skill_sets!$A:$A),MATCH(AC$1,[3]enemy_skill_sets!$1:$1,0)-MATCH($AB$1,[3]enemy_skill_sets!$1:$1,0)+1),MATCH(AC$1,[3]enemy_skill_sets!$1:$1,0)-MATCH($AB$1,[3]enemy_skill_sets!$1:$1,0)+1,FALSE)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1" s="67">
        <v>1</v>
      </c>
      <c r="AE1491" s="67">
        <v>1</v>
      </c>
      <c r="AF1491" s="68">
        <v>0</v>
      </c>
      <c r="AG1491" s="99">
        <f>ROUND(VLOOKUP(1,enemy_base_stats!$A:$F,2,FALSE) * Y1491* J1491*O1491*E1491*S1491*AD1491*[2]ステータス!$B$2,0)</f>
        <v>2585</v>
      </c>
      <c r="AH1491" s="99">
        <f>ROUND(VLOOKUP(1,enemy_base_stats!$A:$F,3,FALSE) * Z1491*K1491*P1491*F1491*T1491*AE1491 * W1491*[2]ステータス!$C$2,0)</f>
        <v>227</v>
      </c>
      <c r="AI1491" s="99">
        <f>ROUND(VLOOKUP(1,enemy_base_stats!$A:$F,4,FALSE) * AA1491*L1491*Q1491*G1491*U1491*AF1491*[2]ステータス!$D$2,0)</f>
        <v>0</v>
      </c>
      <c r="AJ1491" s="99">
        <f>ROUND(VLOOKUP(100,enemy_base_stats!$A:$F,2,FALSE) * Y1491* J1491*O1491*E1491*S1491*AD1491*[2]ステータス!$B$2,0)</f>
        <v>104951</v>
      </c>
      <c r="AK1491" s="99">
        <f>ROUND(VLOOKUP(100,enemy_base_stats!$A:$F,3,FALSE)* Z1491* K1491*P1491*F1491*T1491*AE1491 * W1491*[2]ステータス!$C$2,0)</f>
        <v>9217</v>
      </c>
      <c r="AL1491" s="99">
        <f>ROUND(VLOOKUP(100,enemy_base_stats!$A:$F,4,FALSE)* AA1491* L1491*Q1491*G1491*U1491*AF1491*[2]ステータス!$D$2,0)</f>
        <v>0</v>
      </c>
      <c r="AM1491" s="97">
        <f>VLOOKUP(M1491,[2]character_tribe_i18n!$A:$I,9,FALSE)</f>
        <v>400</v>
      </c>
      <c r="AN1491" s="36">
        <v>0</v>
      </c>
      <c r="AO1491" s="98">
        <v>0</v>
      </c>
      <c r="AP1491" s="58" t="s">
        <v>72</v>
      </c>
      <c r="AQ1491" s="34">
        <f t="shared" si="93"/>
        <v>8006</v>
      </c>
    </row>
    <row r="1492" spans="1:43" ht="21" customHeight="1" x14ac:dyDescent="0.15">
      <c r="A1492" s="105">
        <v>8007</v>
      </c>
      <c r="B1492" s="6" t="str">
        <f>VLOOKUP(A1492,[2]characters!$A:$C,3,FALSE)</f>
        <v>孫悟空</v>
      </c>
      <c r="C1492" s="9">
        <f>VLOOKUP(A1492,[2]characters!$A:$I,9,FALSE)</f>
        <v>5</v>
      </c>
      <c r="D1492" s="9" t="str">
        <f>VLOOKUP(A1492,[2]characters!$A:$H,8,FALSE)</f>
        <v>red</v>
      </c>
      <c r="E1492" s="97">
        <f>VLOOKUP(D1492,[2]属性!$A:$E,2,FALSE)</f>
        <v>1</v>
      </c>
      <c r="F1492" s="97">
        <f>VLOOKUP(D1492,[2]属性!$A:$E,3,FALSE)</f>
        <v>1.02</v>
      </c>
      <c r="G1492" s="97">
        <f>VLOOKUP(D1492,[2]属性!$A:$F,4,FALSE)</f>
        <v>1</v>
      </c>
      <c r="H1492" s="9" t="str">
        <f>VLOOKUP(A1492,[2]characters!$A:$K,11,FALSE)</f>
        <v>attack</v>
      </c>
      <c r="I1492" s="6" t="str">
        <f>VLOOKUP(H1492,[2]character_type_i18n!$A:$F,3,FALSE)</f>
        <v>攻撃タイプ</v>
      </c>
      <c r="J1492" s="97">
        <f>VLOOKUP(H1492,[2]character_type_i18n!$A:$F,4,FALSE)</f>
        <v>1</v>
      </c>
      <c r="K1492" s="97">
        <f>VLOOKUP(H1492,[2]character_type_i18n!$A:$F,5,FALSE)</f>
        <v>1.33</v>
      </c>
      <c r="L1492" s="97">
        <f>VLOOKUP(H1492,[2]character_type_i18n!$A:$F,6,FALSE)</f>
        <v>1</v>
      </c>
      <c r="M1492" s="9" t="str">
        <f>VLOOKUP(A1492,[2]characters!$A:$M,13,FALSE)</f>
        <v>animal</v>
      </c>
      <c r="N1492" s="6" t="str">
        <f>VLOOKUP(M1492,[2]character_tribe_i18n!$A:$F,3,FALSE)</f>
        <v>アニマル</v>
      </c>
      <c r="O1492" s="97">
        <f>VLOOKUP(M1492,[2]character_tribe_i18n!$A:$F,4,FALSE)</f>
        <v>1</v>
      </c>
      <c r="P1492" s="97">
        <f>VLOOKUP(M1492,[2]character_tribe_i18n!$A:$F,5,FALSE)</f>
        <v>1.1000000000000001</v>
      </c>
      <c r="Q1492" s="97">
        <f>VLOOKUP(M1492,[2]character_tribe_i18n!$A:$F,6,FALSE)</f>
        <v>1</v>
      </c>
      <c r="R1492" s="98" t="s">
        <v>98</v>
      </c>
      <c r="S1492" s="97">
        <f>VLOOKUP($R1492,ラベル別係数!$A$1:$E$7,3,FALSE)</f>
        <v>5</v>
      </c>
      <c r="T1492" s="97">
        <f>VLOOKUP($R1492,ラベル別係数!$A$1:$E$7,4,FALSE)</f>
        <v>1.3</v>
      </c>
      <c r="U1492" s="97">
        <f>VLOOKUP($R1492,ラベル別係数!$A$1:$E$7,5,FALSE)</f>
        <v>0.8</v>
      </c>
      <c r="V1492" s="98">
        <v>3</v>
      </c>
      <c r="W1492" s="99">
        <f>VLOOKUP(V1492,ターン数別攻撃係数!$A$1:$B$1000,2,FALSE)</f>
        <v>1</v>
      </c>
      <c r="X1492" s="9">
        <f>VLOOKUP(C1492,サイズ別係数!A$2:B$9,2,FALSE)</f>
        <v>60</v>
      </c>
      <c r="Y1492" s="41">
        <v>1.1000000000000001</v>
      </c>
      <c r="Z1492" s="39">
        <v>1.2</v>
      </c>
      <c r="AA1492" s="39">
        <v>1.2</v>
      </c>
      <c r="AB1492" s="10">
        <v>0</v>
      </c>
      <c r="AC1492" s="6" t="str">
        <f ca="1">VLOOKUP($AB1492,OFFSET([3]enemy_skill_sets!$B$2,0,0,COUNTA([3]enemy_skill_sets!$A:$A),MATCH(AC$1,[3]enemy_skill_sets!$1:$1,0)-MATCH($AB$1,[3]enemy_skill_sets!$1:$1,0)+1),MATCH(AC$1,[3]enemy_skill_sets!$1:$1,0)-MATCH($AB$1,[3]enemy_skill_sets!$1:$1,0)+1,FALSE)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2" s="67">
        <v>1</v>
      </c>
      <c r="AE1492" s="67">
        <v>1</v>
      </c>
      <c r="AF1492" s="68">
        <v>0</v>
      </c>
      <c r="AG1492" s="99">
        <f>ROUND(VLOOKUP(1,enemy_base_stats!$A:$F,2,FALSE) * Y1492* J1492*O1492*E1492*S1492*AD1492*[2]ステータス!$B$2,0)</f>
        <v>2750</v>
      </c>
      <c r="AH1492" s="99">
        <f>ROUND(VLOOKUP(1,enemy_base_stats!$A:$F,3,FALSE) * Z1492*K1492*P1492*F1492*T1492*AE1492 * W1492*[2]ステータス!$C$2,0)</f>
        <v>349</v>
      </c>
      <c r="AI1492" s="99">
        <f>ROUND(VLOOKUP(1,enemy_base_stats!$A:$F,4,FALSE) * AA1492*L1492*Q1492*G1492*U1492*AF1492*[2]ステータス!$D$2,0)</f>
        <v>0</v>
      </c>
      <c r="AJ1492" s="99">
        <f>ROUND(VLOOKUP(100,enemy_base_stats!$A:$F,2,FALSE) * Y1492* J1492*O1492*E1492*S1492*AD1492*[2]ステータス!$B$2,0)</f>
        <v>111650</v>
      </c>
      <c r="AK1492" s="99">
        <f>ROUND(VLOOKUP(100,enemy_base_stats!$A:$F,3,FALSE)* Z1492* K1492*P1492*F1492*T1492*AE1492 * W1492*[2]ステータス!$C$2,0)</f>
        <v>14177</v>
      </c>
      <c r="AL1492" s="99">
        <f>ROUND(VLOOKUP(100,enemy_base_stats!$A:$F,4,FALSE)* AA1492* L1492*Q1492*G1492*U1492*AF1492*[2]ステータス!$D$2,0)</f>
        <v>0</v>
      </c>
      <c r="AM1492" s="97">
        <f>VLOOKUP(M1492,[2]character_tribe_i18n!$A:$I,9,FALSE)</f>
        <v>480</v>
      </c>
      <c r="AN1492" s="36">
        <v>0</v>
      </c>
      <c r="AO1492" s="98">
        <v>0</v>
      </c>
      <c r="AP1492" s="58" t="s">
        <v>72</v>
      </c>
      <c r="AQ1492" s="34">
        <f t="shared" si="93"/>
        <v>8007</v>
      </c>
    </row>
    <row r="1493" spans="1:43" ht="21" customHeight="1" x14ac:dyDescent="0.15">
      <c r="A1493" s="105">
        <v>8008</v>
      </c>
      <c r="B1493" s="6" t="str">
        <f>VLOOKUP(A1493,[2]characters!$A:$C,3,FALSE)</f>
        <v>花果の天猿仙人 孫悟空</v>
      </c>
      <c r="C1493" s="9">
        <f>VLOOKUP(A1493,[2]characters!$A:$I,9,FALSE)</f>
        <v>6</v>
      </c>
      <c r="D1493" s="9" t="str">
        <f>VLOOKUP(A1493,[2]characters!$A:$H,8,FALSE)</f>
        <v>red</v>
      </c>
      <c r="E1493" s="97">
        <f>VLOOKUP(D1493,[2]属性!$A:$E,2,FALSE)</f>
        <v>1</v>
      </c>
      <c r="F1493" s="97">
        <f>VLOOKUP(D1493,[2]属性!$A:$E,3,FALSE)</f>
        <v>1.02</v>
      </c>
      <c r="G1493" s="97">
        <f>VLOOKUP(D1493,[2]属性!$A:$F,4,FALSE)</f>
        <v>1</v>
      </c>
      <c r="H1493" s="9" t="str">
        <f>VLOOKUP(A1493,[2]characters!$A:$K,11,FALSE)</f>
        <v>attack</v>
      </c>
      <c r="I1493" s="6" t="str">
        <f>VLOOKUP(H1493,[2]character_type_i18n!$A:$F,3,FALSE)</f>
        <v>攻撃タイプ</v>
      </c>
      <c r="J1493" s="97">
        <f>VLOOKUP(H1493,[2]character_type_i18n!$A:$F,4,FALSE)</f>
        <v>1</v>
      </c>
      <c r="K1493" s="97">
        <f>VLOOKUP(H1493,[2]character_type_i18n!$A:$F,5,FALSE)</f>
        <v>1.33</v>
      </c>
      <c r="L1493" s="97">
        <f>VLOOKUP(H1493,[2]character_type_i18n!$A:$F,6,FALSE)</f>
        <v>1</v>
      </c>
      <c r="M1493" s="9" t="str">
        <f>VLOOKUP(A1493,[2]characters!$A:$M,13,FALSE)</f>
        <v>animal</v>
      </c>
      <c r="N1493" s="6" t="str">
        <f>VLOOKUP(M1493,[2]character_tribe_i18n!$A:$F,3,FALSE)</f>
        <v>アニマル</v>
      </c>
      <c r="O1493" s="97">
        <f>VLOOKUP(M1493,[2]character_tribe_i18n!$A:$F,4,FALSE)</f>
        <v>1</v>
      </c>
      <c r="P1493" s="97">
        <f>VLOOKUP(M1493,[2]character_tribe_i18n!$A:$F,5,FALSE)</f>
        <v>1.1000000000000001</v>
      </c>
      <c r="Q1493" s="97">
        <f>VLOOKUP(M1493,[2]character_tribe_i18n!$A:$F,6,FALSE)</f>
        <v>1</v>
      </c>
      <c r="R1493" s="98" t="s">
        <v>98</v>
      </c>
      <c r="S1493" s="97">
        <f>VLOOKUP($R1493,ラベル別係数!$A$1:$E$7,3,FALSE)</f>
        <v>5</v>
      </c>
      <c r="T1493" s="97">
        <f>VLOOKUP($R1493,ラベル別係数!$A$1:$E$7,4,FALSE)</f>
        <v>1.3</v>
      </c>
      <c r="U1493" s="97">
        <f>VLOOKUP($R1493,ラベル別係数!$A$1:$E$7,5,FALSE)</f>
        <v>0.8</v>
      </c>
      <c r="V1493" s="98">
        <v>3</v>
      </c>
      <c r="W1493" s="99">
        <f>VLOOKUP(V1493,ターン数別攻撃係数!$A$1:$B$1000,2,FALSE)</f>
        <v>1</v>
      </c>
      <c r="X1493" s="9">
        <f>VLOOKUP(C1493,サイズ別係数!A$2:B$9,2,FALSE)</f>
        <v>60</v>
      </c>
      <c r="Y1493" s="41">
        <v>1.1000000000000001</v>
      </c>
      <c r="Z1493" s="39">
        <v>1.2</v>
      </c>
      <c r="AA1493" s="39">
        <v>1.2</v>
      </c>
      <c r="AB1493" s="10">
        <v>0</v>
      </c>
      <c r="AC1493" s="6" t="str">
        <f ca="1">VLOOKUP($AB1493,OFFSET([3]enemy_skill_sets!$B$2,0,0,COUNTA([3]enemy_skill_sets!$A:$A),MATCH(AC$1,[3]enemy_skill_sets!$1:$1,0)-MATCH($AB$1,[3]enemy_skill_sets!$1:$1,0)+1),MATCH(AC$1,[3]enemy_skill_sets!$1:$1,0)-MATCH($AB$1,[3]enemy_skill_sets!$1:$1,0)+1,FALSE)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3" s="67">
        <v>1</v>
      </c>
      <c r="AE1493" s="67">
        <v>1</v>
      </c>
      <c r="AF1493" s="68">
        <v>0</v>
      </c>
      <c r="AG1493" s="99">
        <f>ROUND(VLOOKUP(1,enemy_base_stats!$A:$F,2,FALSE) * Y1493* J1493*O1493*E1493*S1493*AD1493*[2]ステータス!$B$2,0)</f>
        <v>2750</v>
      </c>
      <c r="AH1493" s="99">
        <f>ROUND(VLOOKUP(1,enemy_base_stats!$A:$F,3,FALSE) * Z1493*K1493*P1493*F1493*T1493*AE1493 * W1493*[2]ステータス!$C$2,0)</f>
        <v>349</v>
      </c>
      <c r="AI1493" s="99">
        <f>ROUND(VLOOKUP(1,enemy_base_stats!$A:$F,4,FALSE) * AA1493*L1493*Q1493*G1493*U1493*AF1493*[2]ステータス!$D$2,0)</f>
        <v>0</v>
      </c>
      <c r="AJ1493" s="99">
        <f>ROUND(VLOOKUP(100,enemy_base_stats!$A:$F,2,FALSE) * Y1493* J1493*O1493*E1493*S1493*AD1493*[2]ステータス!$B$2,0)</f>
        <v>111650</v>
      </c>
      <c r="AK1493" s="99">
        <f>ROUND(VLOOKUP(100,enemy_base_stats!$A:$F,3,FALSE)* Z1493* K1493*P1493*F1493*T1493*AE1493 * W1493*[2]ステータス!$C$2,0)</f>
        <v>14177</v>
      </c>
      <c r="AL1493" s="99">
        <f>ROUND(VLOOKUP(100,enemy_base_stats!$A:$F,4,FALSE)* AA1493* L1493*Q1493*G1493*U1493*AF1493*[2]ステータス!$D$2,0)</f>
        <v>0</v>
      </c>
      <c r="AM1493" s="97">
        <f>VLOOKUP(M1493,[2]character_tribe_i18n!$A:$I,9,FALSE)</f>
        <v>480</v>
      </c>
      <c r="AN1493" s="36">
        <v>0</v>
      </c>
      <c r="AO1493" s="98">
        <v>0</v>
      </c>
      <c r="AP1493" s="58" t="s">
        <v>72</v>
      </c>
      <c r="AQ1493" s="34">
        <f t="shared" si="93"/>
        <v>8008</v>
      </c>
    </row>
    <row r="1494" spans="1:43" ht="21" customHeight="1" x14ac:dyDescent="0.15">
      <c r="A1494" s="105">
        <v>8009</v>
      </c>
      <c r="B1494" s="6" t="str">
        <f>VLOOKUP(A1494,[2]characters!$A:$C,3,FALSE)</f>
        <v>西王娘娘</v>
      </c>
      <c r="C1494" s="9">
        <f>VLOOKUP(A1494,[2]characters!$A:$I,9,FALSE)</f>
        <v>5</v>
      </c>
      <c r="D1494" s="9" t="str">
        <f>VLOOKUP(A1494,[2]characters!$A:$H,8,FALSE)</f>
        <v>green</v>
      </c>
      <c r="E1494" s="97">
        <f>VLOOKUP(D1494,[2]属性!$A:$E,2,FALSE)</f>
        <v>1.02</v>
      </c>
      <c r="F1494" s="97">
        <f>VLOOKUP(D1494,[2]属性!$A:$E,3,FALSE)</f>
        <v>0.98</v>
      </c>
      <c r="G1494" s="97">
        <f>VLOOKUP(D1494,[2]属性!$A:$F,4,FALSE)</f>
        <v>1</v>
      </c>
      <c r="H1494" s="9" t="str">
        <f>VLOOKUP(A1494,[2]characters!$A:$K,11,FALSE)</f>
        <v>attack</v>
      </c>
      <c r="I1494" s="6" t="str">
        <f>VLOOKUP(H1494,[2]character_type_i18n!$A:$F,3,FALSE)</f>
        <v>攻撃タイプ</v>
      </c>
      <c r="J1494" s="97">
        <f>VLOOKUP(H1494,[2]character_type_i18n!$A:$F,4,FALSE)</f>
        <v>1</v>
      </c>
      <c r="K1494" s="97">
        <f>VLOOKUP(H1494,[2]character_type_i18n!$A:$F,5,FALSE)</f>
        <v>1.33</v>
      </c>
      <c r="L1494" s="97">
        <f>VLOOKUP(H1494,[2]character_type_i18n!$A:$F,6,FALSE)</f>
        <v>1</v>
      </c>
      <c r="M1494" s="9" t="str">
        <f>VLOOKUP(A1494,[2]characters!$A:$M,13,FALSE)</f>
        <v>god</v>
      </c>
      <c r="N1494" s="6" t="str">
        <f>VLOOKUP(M1494,[2]character_tribe_i18n!$A:$F,3,FALSE)</f>
        <v>ゴッド</v>
      </c>
      <c r="O1494" s="97">
        <f>VLOOKUP(M1494,[2]character_tribe_i18n!$A:$F,4,FALSE)</f>
        <v>0.96</v>
      </c>
      <c r="P1494" s="97">
        <f>VLOOKUP(M1494,[2]character_tribe_i18n!$A:$F,5,FALSE)</f>
        <v>1.02</v>
      </c>
      <c r="Q1494" s="97">
        <f>VLOOKUP(M1494,[2]character_tribe_i18n!$A:$F,6,FALSE)</f>
        <v>1</v>
      </c>
      <c r="R1494" s="98" t="s">
        <v>98</v>
      </c>
      <c r="S1494" s="97">
        <f>VLOOKUP($R1494,ラベル別係数!$A$1:$E$7,3,FALSE)</f>
        <v>5</v>
      </c>
      <c r="T1494" s="97">
        <f>VLOOKUP($R1494,ラベル別係数!$A$1:$E$7,4,FALSE)</f>
        <v>1.3</v>
      </c>
      <c r="U1494" s="97">
        <f>VLOOKUP($R1494,ラベル別係数!$A$1:$E$7,5,FALSE)</f>
        <v>0.8</v>
      </c>
      <c r="V1494" s="98">
        <v>3</v>
      </c>
      <c r="W1494" s="99">
        <f>VLOOKUP(V1494,ターン数別攻撃係数!$A$1:$B$1000,2,FALSE)</f>
        <v>1</v>
      </c>
      <c r="X1494" s="9">
        <f>VLOOKUP(C1494,サイズ別係数!A$2:B$9,2,FALSE)</f>
        <v>60</v>
      </c>
      <c r="Y1494" s="97">
        <f>VLOOKUP($X1494,サイズ別係数!$B:$E,2,FALSE)</f>
        <v>1.7</v>
      </c>
      <c r="Z1494" s="97">
        <f>VLOOKUP($X1494,サイズ別係数!$B:$E,3,FALSE)</f>
        <v>1.4</v>
      </c>
      <c r="AA1494" s="97">
        <f>VLOOKUP($X1494,サイズ別係数!$B:$E,4,FALSE)</f>
        <v>1</v>
      </c>
      <c r="AB1494" s="10">
        <v>0</v>
      </c>
      <c r="AC1494" s="6" t="str">
        <f ca="1">VLOOKUP($AB1494,OFFSET([3]enemy_skill_sets!$B$2,0,0,COUNTA([3]enemy_skill_sets!$A:$A),MATCH(AC$1,[3]enemy_skill_sets!$1:$1,0)-MATCH($AB$1,[3]enemy_skill_sets!$1:$1,0)+1),MATCH(AC$1,[3]enemy_skill_sets!$1:$1,0)-MATCH($AB$1,[3]enemy_skill_sets!$1:$1,0)+1,FALSE)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4" s="67">
        <v>1</v>
      </c>
      <c r="AE1494" s="67">
        <v>1</v>
      </c>
      <c r="AF1494" s="68">
        <v>0</v>
      </c>
      <c r="AG1494" s="99">
        <f>ROUND(VLOOKUP(1,enemy_base_stats!$A:$F,2,FALSE) * Y1494* J1494*O1494*E1494*S1494*AD1494*[2]ステータス!$B$2,0)</f>
        <v>4162</v>
      </c>
      <c r="AH1494" s="99">
        <f>ROUND(VLOOKUP(1,enemy_base_stats!$A:$F,3,FALSE) * Z1494*K1494*P1494*F1494*T1494*AE1494 * W1494*[2]ステータス!$C$2,0)</f>
        <v>363</v>
      </c>
      <c r="AI1494" s="99">
        <f>ROUND(VLOOKUP(1,enemy_base_stats!$A:$F,4,FALSE) * AA1494*L1494*Q1494*G1494*U1494*AF1494*[2]ステータス!$D$2,0)</f>
        <v>0</v>
      </c>
      <c r="AJ1494" s="99">
        <f>ROUND(VLOOKUP(100,enemy_base_stats!$A:$F,2,FALSE) * Y1494* J1494*O1494*E1494*S1494*AD1494*[2]ステータス!$B$2,0)</f>
        <v>168961</v>
      </c>
      <c r="AK1494" s="99">
        <f>ROUND(VLOOKUP(100,enemy_base_stats!$A:$F,3,FALSE)* Z1494* K1494*P1494*F1494*T1494*AE1494 * W1494*[2]ステータス!$C$2,0)</f>
        <v>14736</v>
      </c>
      <c r="AL1494" s="99">
        <f>ROUND(VLOOKUP(100,enemy_base_stats!$A:$F,4,FALSE)* AA1494* L1494*Q1494*G1494*U1494*AF1494*[2]ステータス!$D$2,0)</f>
        <v>0</v>
      </c>
      <c r="AM1494" s="97">
        <f>VLOOKUP(M1494,[2]character_tribe_i18n!$A:$I,9,FALSE)</f>
        <v>680</v>
      </c>
      <c r="AN1494" s="36">
        <v>0</v>
      </c>
      <c r="AO1494" s="98">
        <v>0</v>
      </c>
      <c r="AP1494" s="58" t="s">
        <v>72</v>
      </c>
      <c r="AQ1494" s="34">
        <f t="shared" si="93"/>
        <v>8009</v>
      </c>
    </row>
    <row r="1495" spans="1:43" ht="21" customHeight="1" x14ac:dyDescent="0.15">
      <c r="A1495" s="105">
        <v>8010</v>
      </c>
      <c r="B1495" s="6" t="str">
        <f>VLOOKUP(A1495,[2]characters!$A:$C,3,FALSE)</f>
        <v>極楽瑶池の聖母 西王娘娘</v>
      </c>
      <c r="C1495" s="9">
        <f>VLOOKUP(A1495,[2]characters!$A:$I,9,FALSE)</f>
        <v>6</v>
      </c>
      <c r="D1495" s="9" t="str">
        <f>VLOOKUP(A1495,[2]characters!$A:$H,8,FALSE)</f>
        <v>green</v>
      </c>
      <c r="E1495" s="97">
        <f>VLOOKUP(D1495,[2]属性!$A:$E,2,FALSE)</f>
        <v>1.02</v>
      </c>
      <c r="F1495" s="97">
        <f>VLOOKUP(D1495,[2]属性!$A:$E,3,FALSE)</f>
        <v>0.98</v>
      </c>
      <c r="G1495" s="97">
        <f>VLOOKUP(D1495,[2]属性!$A:$F,4,FALSE)</f>
        <v>1</v>
      </c>
      <c r="H1495" s="9" t="str">
        <f>VLOOKUP(A1495,[2]characters!$A:$K,11,FALSE)</f>
        <v>attack</v>
      </c>
      <c r="I1495" s="6" t="str">
        <f>VLOOKUP(H1495,[2]character_type_i18n!$A:$F,3,FALSE)</f>
        <v>攻撃タイプ</v>
      </c>
      <c r="J1495" s="97">
        <f>VLOOKUP(H1495,[2]character_type_i18n!$A:$F,4,FALSE)</f>
        <v>1</v>
      </c>
      <c r="K1495" s="97">
        <f>VLOOKUP(H1495,[2]character_type_i18n!$A:$F,5,FALSE)</f>
        <v>1.33</v>
      </c>
      <c r="L1495" s="97">
        <f>VLOOKUP(H1495,[2]character_type_i18n!$A:$F,6,FALSE)</f>
        <v>1</v>
      </c>
      <c r="M1495" s="9" t="str">
        <f>VLOOKUP(A1495,[2]characters!$A:$M,13,FALSE)</f>
        <v>god</v>
      </c>
      <c r="N1495" s="6" t="str">
        <f>VLOOKUP(M1495,[2]character_tribe_i18n!$A:$F,3,FALSE)</f>
        <v>ゴッド</v>
      </c>
      <c r="O1495" s="97">
        <f>VLOOKUP(M1495,[2]character_tribe_i18n!$A:$F,4,FALSE)</f>
        <v>0.96</v>
      </c>
      <c r="P1495" s="97">
        <f>VLOOKUP(M1495,[2]character_tribe_i18n!$A:$F,5,FALSE)</f>
        <v>1.02</v>
      </c>
      <c r="Q1495" s="97">
        <f>VLOOKUP(M1495,[2]character_tribe_i18n!$A:$F,6,FALSE)</f>
        <v>1</v>
      </c>
      <c r="R1495" s="98" t="s">
        <v>98</v>
      </c>
      <c r="S1495" s="97">
        <f>VLOOKUP($R1495,ラベル別係数!$A$1:$E$7,3,FALSE)</f>
        <v>5</v>
      </c>
      <c r="T1495" s="97">
        <f>VLOOKUP($R1495,ラベル別係数!$A$1:$E$7,4,FALSE)</f>
        <v>1.3</v>
      </c>
      <c r="U1495" s="97">
        <f>VLOOKUP($R1495,ラベル別係数!$A$1:$E$7,5,FALSE)</f>
        <v>0.8</v>
      </c>
      <c r="V1495" s="98">
        <v>3</v>
      </c>
      <c r="W1495" s="99">
        <f>VLOOKUP(V1495,ターン数別攻撃係数!$A$1:$B$1000,2,FALSE)</f>
        <v>1</v>
      </c>
      <c r="X1495" s="9">
        <f>VLOOKUP(C1495,サイズ別係数!A$2:B$9,2,FALSE)</f>
        <v>60</v>
      </c>
      <c r="Y1495" s="97">
        <f>VLOOKUP($X1495,サイズ別係数!$B:$E,2,FALSE)</f>
        <v>1.7</v>
      </c>
      <c r="Z1495" s="97">
        <f>VLOOKUP($X1495,サイズ別係数!$B:$E,3,FALSE)</f>
        <v>1.4</v>
      </c>
      <c r="AA1495" s="97">
        <f>VLOOKUP($X1495,サイズ別係数!$B:$E,4,FALSE)</f>
        <v>1</v>
      </c>
      <c r="AB1495" s="10">
        <v>0</v>
      </c>
      <c r="AC1495" s="6" t="str">
        <f ca="1">VLOOKUP($AB1495,OFFSET([3]enemy_skill_sets!$B$2,0,0,COUNTA([3]enemy_skill_sets!$A:$A),MATCH(AC$1,[3]enemy_skill_sets!$1:$1,0)-MATCH($AB$1,[3]enemy_skill_sets!$1:$1,0)+1),MATCH(AC$1,[3]enemy_skill_sets!$1:$1,0)-MATCH($AB$1,[3]enemy_skill_sets!$1:$1,0)+1,FALSE)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5" s="67">
        <v>1</v>
      </c>
      <c r="AE1495" s="67">
        <v>1</v>
      </c>
      <c r="AF1495" s="68">
        <v>0</v>
      </c>
      <c r="AG1495" s="99">
        <f>ROUND(VLOOKUP(1,enemy_base_stats!$A:$F,2,FALSE) * Y1495* J1495*O1495*E1495*S1495*AD1495*[2]ステータス!$B$2,0)</f>
        <v>4162</v>
      </c>
      <c r="AH1495" s="99">
        <f>ROUND(VLOOKUP(1,enemy_base_stats!$A:$F,3,FALSE) * Z1495*K1495*P1495*F1495*T1495*AE1495 * W1495*[2]ステータス!$C$2,0)</f>
        <v>363</v>
      </c>
      <c r="AI1495" s="99">
        <f>ROUND(VLOOKUP(1,enemy_base_stats!$A:$F,4,FALSE) * AA1495*L1495*Q1495*G1495*U1495*AF1495*[2]ステータス!$D$2,0)</f>
        <v>0</v>
      </c>
      <c r="AJ1495" s="99">
        <f>ROUND(VLOOKUP(100,enemy_base_stats!$A:$F,2,FALSE) * Y1495* J1495*O1495*E1495*S1495*AD1495*[2]ステータス!$B$2,0)</f>
        <v>168961</v>
      </c>
      <c r="AK1495" s="99">
        <f>ROUND(VLOOKUP(100,enemy_base_stats!$A:$F,3,FALSE)* Z1495* K1495*P1495*F1495*T1495*AE1495 * W1495*[2]ステータス!$C$2,0)</f>
        <v>14736</v>
      </c>
      <c r="AL1495" s="99">
        <f>ROUND(VLOOKUP(100,enemy_base_stats!$A:$F,4,FALSE)* AA1495* L1495*Q1495*G1495*U1495*AF1495*[2]ステータス!$D$2,0)</f>
        <v>0</v>
      </c>
      <c r="AM1495" s="97">
        <f>VLOOKUP(M1495,[2]character_tribe_i18n!$A:$I,9,FALSE)</f>
        <v>680</v>
      </c>
      <c r="AN1495" s="36">
        <v>0</v>
      </c>
      <c r="AO1495" s="98">
        <v>0</v>
      </c>
      <c r="AP1495" s="58" t="s">
        <v>72</v>
      </c>
      <c r="AQ1495" s="34">
        <f t="shared" si="93"/>
        <v>8010</v>
      </c>
    </row>
    <row r="1496" spans="1:43" ht="21" customHeight="1" x14ac:dyDescent="0.15">
      <c r="A1496" s="105">
        <v>8011</v>
      </c>
      <c r="B1496" s="6" t="str">
        <f>VLOOKUP(A1496,[2]characters!$A:$C,3,FALSE)</f>
        <v>月下老人</v>
      </c>
      <c r="C1496" s="9">
        <f>VLOOKUP(A1496,[2]characters!$A:$I,9,FALSE)</f>
        <v>5</v>
      </c>
      <c r="D1496" s="9" t="str">
        <f>VLOOKUP(A1496,[2]characters!$A:$H,8,FALSE)</f>
        <v>yellow</v>
      </c>
      <c r="E1496" s="97">
        <f>VLOOKUP(D1496,[2]属性!$A:$E,2,FALSE)</f>
        <v>0.98</v>
      </c>
      <c r="F1496" s="97">
        <f>VLOOKUP(D1496,[2]属性!$A:$E,3,FALSE)</f>
        <v>1.01</v>
      </c>
      <c r="G1496" s="97">
        <f>VLOOKUP(D1496,[2]属性!$A:$F,4,FALSE)</f>
        <v>1</v>
      </c>
      <c r="H1496" s="9" t="str">
        <f>VLOOKUP(A1496,[2]characters!$A:$K,11,FALSE)</f>
        <v>balance</v>
      </c>
      <c r="I1496" s="6" t="str">
        <f>VLOOKUP(H1496,[2]character_type_i18n!$A:$F,3,FALSE)</f>
        <v>バランスタイプ</v>
      </c>
      <c r="J1496" s="97">
        <f>VLOOKUP(H1496,[2]character_type_i18n!$A:$F,4,FALSE)</f>
        <v>1</v>
      </c>
      <c r="K1496" s="97">
        <f>VLOOKUP(H1496,[2]character_type_i18n!$A:$F,5,FALSE)</f>
        <v>1</v>
      </c>
      <c r="L1496" s="97">
        <f>VLOOKUP(H1496,[2]character_type_i18n!$A:$F,6,FALSE)</f>
        <v>1</v>
      </c>
      <c r="M1496" s="9" t="str">
        <f>VLOOKUP(A1496,[2]characters!$A:$M,13,FALSE)</f>
        <v>god</v>
      </c>
      <c r="N1496" s="6" t="str">
        <f>VLOOKUP(M1496,[2]character_tribe_i18n!$A:$F,3,FALSE)</f>
        <v>ゴッド</v>
      </c>
      <c r="O1496" s="97">
        <f>VLOOKUP(M1496,[2]character_tribe_i18n!$A:$F,4,FALSE)</f>
        <v>0.96</v>
      </c>
      <c r="P1496" s="97">
        <f>VLOOKUP(M1496,[2]character_tribe_i18n!$A:$F,5,FALSE)</f>
        <v>1.02</v>
      </c>
      <c r="Q1496" s="97">
        <f>VLOOKUP(M1496,[2]character_tribe_i18n!$A:$F,6,FALSE)</f>
        <v>1</v>
      </c>
      <c r="R1496" s="98" t="s">
        <v>98</v>
      </c>
      <c r="S1496" s="97">
        <f>VLOOKUP($R1496,ラベル別係数!$A$1:$E$7,3,FALSE)</f>
        <v>5</v>
      </c>
      <c r="T1496" s="97">
        <f>VLOOKUP($R1496,ラベル別係数!$A$1:$E$7,4,FALSE)</f>
        <v>1.3</v>
      </c>
      <c r="U1496" s="97">
        <f>VLOOKUP($R1496,ラベル別係数!$A$1:$E$7,5,FALSE)</f>
        <v>0.8</v>
      </c>
      <c r="V1496" s="98">
        <v>3</v>
      </c>
      <c r="W1496" s="99">
        <f>VLOOKUP(V1496,ターン数別攻撃係数!$A$1:$B$1000,2,FALSE)</f>
        <v>1</v>
      </c>
      <c r="X1496" s="9">
        <f>VLOOKUP(C1496,サイズ別係数!A$2:B$9,2,FALSE)</f>
        <v>60</v>
      </c>
      <c r="Y1496" s="97">
        <f>VLOOKUP($X1496,サイズ別係数!$B:$E,2,FALSE)</f>
        <v>1.7</v>
      </c>
      <c r="Z1496" s="97">
        <f>VLOOKUP($X1496,サイズ別係数!$B:$E,3,FALSE)</f>
        <v>1.4</v>
      </c>
      <c r="AA1496" s="97">
        <f>VLOOKUP($X1496,サイズ別係数!$B:$E,4,FALSE)</f>
        <v>1</v>
      </c>
      <c r="AB1496" s="10">
        <v>0</v>
      </c>
      <c r="AC1496" s="6" t="str">
        <f ca="1">VLOOKUP($AB1496,OFFSET([3]enemy_skill_sets!$B$2,0,0,COUNTA([3]enemy_skill_sets!$A:$A),MATCH(AC$1,[3]enemy_skill_sets!$1:$1,0)-MATCH($AB$1,[3]enemy_skill_sets!$1:$1,0)+1),MATCH(AC$1,[3]enemy_skill_sets!$1:$1,0)-MATCH($AB$1,[3]enemy_skill_sets!$1:$1,0)+1,FALSE)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6" s="67">
        <v>1</v>
      </c>
      <c r="AE1496" s="67">
        <v>1</v>
      </c>
      <c r="AF1496" s="68">
        <v>0</v>
      </c>
      <c r="AG1496" s="99">
        <f>ROUND(VLOOKUP(1,enemy_base_stats!$A:$F,2,FALSE) * Y1496* J1496*O1496*E1496*S1496*AD1496*[2]ステータス!$B$2,0)</f>
        <v>3998</v>
      </c>
      <c r="AH1496" s="99">
        <f>ROUND(VLOOKUP(1,enemy_base_stats!$A:$F,3,FALSE) * Z1496*K1496*P1496*F1496*T1496*AE1496 * W1496*[2]ステータス!$C$2,0)</f>
        <v>281</v>
      </c>
      <c r="AI1496" s="99">
        <f>ROUND(VLOOKUP(1,enemy_base_stats!$A:$F,4,FALSE) * AA1496*L1496*Q1496*G1496*U1496*AF1496*[2]ステータス!$D$2,0)</f>
        <v>0</v>
      </c>
      <c r="AJ1496" s="99">
        <f>ROUND(VLOOKUP(100,enemy_base_stats!$A:$F,2,FALSE) * Y1496* J1496*O1496*E1496*S1496*AD1496*[2]ステータス!$B$2,0)</f>
        <v>162335</v>
      </c>
      <c r="AK1496" s="99">
        <f>ROUND(VLOOKUP(100,enemy_base_stats!$A:$F,3,FALSE)* Z1496* K1496*P1496*F1496*T1496*AE1496 * W1496*[2]ステータス!$C$2,0)</f>
        <v>11419</v>
      </c>
      <c r="AL1496" s="99">
        <f>ROUND(VLOOKUP(100,enemy_base_stats!$A:$F,4,FALSE)* AA1496* L1496*Q1496*G1496*U1496*AF1496*[2]ステータス!$D$2,0)</f>
        <v>0</v>
      </c>
      <c r="AM1496" s="97">
        <f>VLOOKUP(M1496,[2]character_tribe_i18n!$A:$I,9,FALSE)</f>
        <v>680</v>
      </c>
      <c r="AN1496" s="36">
        <v>0</v>
      </c>
      <c r="AO1496" s="98">
        <v>0</v>
      </c>
      <c r="AP1496" s="58" t="s">
        <v>72</v>
      </c>
      <c r="AQ1496" s="34">
        <f t="shared" si="93"/>
        <v>8011</v>
      </c>
    </row>
    <row r="1497" spans="1:43" ht="21" customHeight="1" x14ac:dyDescent="0.15">
      <c r="A1497" s="105">
        <v>8012</v>
      </c>
      <c r="B1497" s="6" t="str">
        <f>VLOOKUP(A1497,[2]characters!$A:$C,3,FALSE)</f>
        <v>破戀斬る縁剣 月下老人</v>
      </c>
      <c r="C1497" s="9">
        <f>VLOOKUP(A1497,[2]characters!$A:$I,9,FALSE)</f>
        <v>6</v>
      </c>
      <c r="D1497" s="9" t="str">
        <f>VLOOKUP(A1497,[2]characters!$A:$H,8,FALSE)</f>
        <v>yellow</v>
      </c>
      <c r="E1497" s="97">
        <f>VLOOKUP(D1497,[2]属性!$A:$E,2,FALSE)</f>
        <v>0.98</v>
      </c>
      <c r="F1497" s="97">
        <f>VLOOKUP(D1497,[2]属性!$A:$E,3,FALSE)</f>
        <v>1.01</v>
      </c>
      <c r="G1497" s="97">
        <f>VLOOKUP(D1497,[2]属性!$A:$F,4,FALSE)</f>
        <v>1</v>
      </c>
      <c r="H1497" s="9" t="str">
        <f>VLOOKUP(A1497,[2]characters!$A:$K,11,FALSE)</f>
        <v>balance</v>
      </c>
      <c r="I1497" s="6" t="str">
        <f>VLOOKUP(H1497,[2]character_type_i18n!$A:$F,3,FALSE)</f>
        <v>バランスタイプ</v>
      </c>
      <c r="J1497" s="97">
        <f>VLOOKUP(H1497,[2]character_type_i18n!$A:$F,4,FALSE)</f>
        <v>1</v>
      </c>
      <c r="K1497" s="97">
        <f>VLOOKUP(H1497,[2]character_type_i18n!$A:$F,5,FALSE)</f>
        <v>1</v>
      </c>
      <c r="L1497" s="97">
        <f>VLOOKUP(H1497,[2]character_type_i18n!$A:$F,6,FALSE)</f>
        <v>1</v>
      </c>
      <c r="M1497" s="9" t="str">
        <f>VLOOKUP(A1497,[2]characters!$A:$M,13,FALSE)</f>
        <v>god</v>
      </c>
      <c r="N1497" s="6" t="str">
        <f>VLOOKUP(M1497,[2]character_tribe_i18n!$A:$F,3,FALSE)</f>
        <v>ゴッド</v>
      </c>
      <c r="O1497" s="97">
        <f>VLOOKUP(M1497,[2]character_tribe_i18n!$A:$F,4,FALSE)</f>
        <v>0.96</v>
      </c>
      <c r="P1497" s="97">
        <f>VLOOKUP(M1497,[2]character_tribe_i18n!$A:$F,5,FALSE)</f>
        <v>1.02</v>
      </c>
      <c r="Q1497" s="97">
        <f>VLOOKUP(M1497,[2]character_tribe_i18n!$A:$F,6,FALSE)</f>
        <v>1</v>
      </c>
      <c r="R1497" s="98" t="s">
        <v>98</v>
      </c>
      <c r="S1497" s="97">
        <f>VLOOKUP($R1497,ラベル別係数!$A$1:$E$7,3,FALSE)</f>
        <v>5</v>
      </c>
      <c r="T1497" s="97">
        <f>VLOOKUP($R1497,ラベル別係数!$A$1:$E$7,4,FALSE)</f>
        <v>1.3</v>
      </c>
      <c r="U1497" s="97">
        <f>VLOOKUP($R1497,ラベル別係数!$A$1:$E$7,5,FALSE)</f>
        <v>0.8</v>
      </c>
      <c r="V1497" s="98">
        <v>3</v>
      </c>
      <c r="W1497" s="99">
        <f>VLOOKUP(V1497,ターン数別攻撃係数!$A$1:$B$1000,2,FALSE)</f>
        <v>1</v>
      </c>
      <c r="X1497" s="9">
        <f>VLOOKUP(C1497,サイズ別係数!A$2:B$9,2,FALSE)</f>
        <v>60</v>
      </c>
      <c r="Y1497" s="97">
        <f>VLOOKUP($X1497,サイズ別係数!$B:$E,2,FALSE)</f>
        <v>1.7</v>
      </c>
      <c r="Z1497" s="97">
        <f>VLOOKUP($X1497,サイズ別係数!$B:$E,3,FALSE)</f>
        <v>1.4</v>
      </c>
      <c r="AA1497" s="97">
        <f>VLOOKUP($X1497,サイズ別係数!$B:$E,4,FALSE)</f>
        <v>1</v>
      </c>
      <c r="AB1497" s="10">
        <v>0</v>
      </c>
      <c r="AC1497" s="6" t="str">
        <f ca="1">VLOOKUP($AB1497,OFFSET([3]enemy_skill_sets!$B$2,0,0,COUNTA([3]enemy_skill_sets!$A:$A),MATCH(AC$1,[3]enemy_skill_sets!$1:$1,0)-MATCH($AB$1,[3]enemy_skill_sets!$1:$1,0)+1),MATCH(AC$1,[3]enemy_skill_sets!$1:$1,0)-MATCH($AB$1,[3]enemy_skill_sets!$1:$1,0)+1,FALSE)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7" s="67">
        <v>1</v>
      </c>
      <c r="AE1497" s="67">
        <v>1</v>
      </c>
      <c r="AF1497" s="68">
        <v>0</v>
      </c>
      <c r="AG1497" s="99">
        <f>ROUND(VLOOKUP(1,enemy_base_stats!$A:$F,2,FALSE) * Y1497* J1497*O1497*E1497*S1497*AD1497*[2]ステータス!$B$2,0)</f>
        <v>3998</v>
      </c>
      <c r="AH1497" s="99">
        <f>ROUND(VLOOKUP(1,enemy_base_stats!$A:$F,3,FALSE) * Z1497*K1497*P1497*F1497*T1497*AE1497 * W1497*[2]ステータス!$C$2,0)</f>
        <v>281</v>
      </c>
      <c r="AI1497" s="99">
        <f>ROUND(VLOOKUP(1,enemy_base_stats!$A:$F,4,FALSE) * AA1497*L1497*Q1497*G1497*U1497*AF1497*[2]ステータス!$D$2,0)</f>
        <v>0</v>
      </c>
      <c r="AJ1497" s="99">
        <f>ROUND(VLOOKUP(100,enemy_base_stats!$A:$F,2,FALSE) * Y1497* J1497*O1497*E1497*S1497*AD1497*[2]ステータス!$B$2,0)</f>
        <v>162335</v>
      </c>
      <c r="AK1497" s="99">
        <f>ROUND(VLOOKUP(100,enemy_base_stats!$A:$F,3,FALSE)* Z1497* K1497*P1497*F1497*T1497*AE1497 * W1497*[2]ステータス!$C$2,0)</f>
        <v>11419</v>
      </c>
      <c r="AL1497" s="99">
        <f>ROUND(VLOOKUP(100,enemy_base_stats!$A:$F,4,FALSE)* AA1497* L1497*Q1497*G1497*U1497*AF1497*[2]ステータス!$D$2,0)</f>
        <v>0</v>
      </c>
      <c r="AM1497" s="97">
        <f>VLOOKUP(M1497,[2]character_tribe_i18n!$A:$I,9,FALSE)</f>
        <v>680</v>
      </c>
      <c r="AN1497" s="36">
        <v>0</v>
      </c>
      <c r="AO1497" s="98">
        <v>0</v>
      </c>
      <c r="AP1497" s="58" t="s">
        <v>72</v>
      </c>
      <c r="AQ1497" s="34">
        <f t="shared" si="93"/>
        <v>8012</v>
      </c>
    </row>
    <row r="1498" spans="1:43" ht="21" customHeight="1" x14ac:dyDescent="0.15">
      <c r="A1498" s="105">
        <v>8013</v>
      </c>
      <c r="B1498" s="6" t="str">
        <f>VLOOKUP(A1498,[2]characters!$A:$C,3,FALSE)</f>
        <v>初音ミクV3</v>
      </c>
      <c r="C1498" s="9">
        <f>VLOOKUP(A1498,[2]characters!$A:$I,9,FALSE)</f>
        <v>4</v>
      </c>
      <c r="D1498" s="9" t="str">
        <f>VLOOKUP(A1498,[2]characters!$A:$H,8,FALSE)</f>
        <v>yellow</v>
      </c>
      <c r="E1498" s="97">
        <f>VLOOKUP(D1498,[2]属性!$A:$E,2,FALSE)</f>
        <v>0.98</v>
      </c>
      <c r="F1498" s="97">
        <f>VLOOKUP(D1498,[2]属性!$A:$E,3,FALSE)</f>
        <v>1.01</v>
      </c>
      <c r="G1498" s="97">
        <f>VLOOKUP(D1498,[2]属性!$A:$F,4,FALSE)</f>
        <v>1</v>
      </c>
      <c r="H1498" s="9" t="str">
        <f>VLOOKUP(A1498,[2]characters!$A:$K,11,FALSE)</f>
        <v>balance</v>
      </c>
      <c r="I1498" s="6" t="str">
        <f>VLOOKUP(H1498,[2]character_type_i18n!$A:$F,3,FALSE)</f>
        <v>バランスタイプ</v>
      </c>
      <c r="J1498" s="97">
        <f>VLOOKUP(H1498,[2]character_type_i18n!$A:$F,4,FALSE)</f>
        <v>1</v>
      </c>
      <c r="K1498" s="97">
        <f>VLOOKUP(H1498,[2]character_type_i18n!$A:$F,5,FALSE)</f>
        <v>1</v>
      </c>
      <c r="L1498" s="97">
        <f>VLOOKUP(H1498,[2]character_type_i18n!$A:$F,6,FALSE)</f>
        <v>1</v>
      </c>
      <c r="M1498" s="9" t="str">
        <f>VLOOKUP(A1498,[2]characters!$A:$M,13,FALSE)</f>
        <v>unknown</v>
      </c>
      <c r="N1498" s="6" t="str">
        <f>VLOOKUP(M1498,[2]character_tribe_i18n!$A:$F,3,FALSE)</f>
        <v>Unknown</v>
      </c>
      <c r="O1498" s="97">
        <f>VLOOKUP(M1498,[2]character_tribe_i18n!$A:$F,4,FALSE)</f>
        <v>1</v>
      </c>
      <c r="P1498" s="97">
        <f>VLOOKUP(M1498,[2]character_tribe_i18n!$A:$F,5,FALSE)</f>
        <v>1</v>
      </c>
      <c r="Q1498" s="97">
        <f>VLOOKUP(M1498,[2]character_tribe_i18n!$A:$F,6,FALSE)</f>
        <v>1</v>
      </c>
      <c r="R1498" s="98" t="s">
        <v>98</v>
      </c>
      <c r="S1498" s="97">
        <f>VLOOKUP($R1498,ラベル別係数!$A$1:$E$7,3,FALSE)</f>
        <v>5</v>
      </c>
      <c r="T1498" s="97">
        <f>VLOOKUP($R1498,ラベル別係数!$A$1:$E$7,4,FALSE)</f>
        <v>1.3</v>
      </c>
      <c r="U1498" s="97">
        <f>VLOOKUP($R1498,ラベル別係数!$A$1:$E$7,5,FALSE)</f>
        <v>0.8</v>
      </c>
      <c r="V1498" s="98">
        <v>3</v>
      </c>
      <c r="W1498" s="99">
        <f>VLOOKUP(V1498,ターン数別攻撃係数!$A$1:$B$1000,2,FALSE)</f>
        <v>1</v>
      </c>
      <c r="X1498" s="9">
        <f>VLOOKUP(C1498,サイズ別係数!A$2:B$9,2,FALSE)</f>
        <v>30</v>
      </c>
      <c r="Y1498" s="97">
        <f>VLOOKUP($X1498,サイズ別係数!$B:$E,2,FALSE)</f>
        <v>1.3</v>
      </c>
      <c r="Z1498" s="97">
        <f>VLOOKUP($X1498,サイズ別係数!$B:$E,3,FALSE)</f>
        <v>1.3</v>
      </c>
      <c r="AA1498" s="97">
        <f>VLOOKUP($X1498,サイズ別係数!$B:$E,4,FALSE)</f>
        <v>1.1000000000000001</v>
      </c>
      <c r="AB1498" s="10">
        <v>0</v>
      </c>
      <c r="AC1498" s="6" t="str">
        <f ca="1">VLOOKUP($AB1498,OFFSET([3]enemy_skill_sets!$B$2,0,0,COUNTA([3]enemy_skill_sets!$A:$A),MATCH(AC$1,[3]enemy_skill_sets!$1:$1,0)-MATCH($AB$1,[3]enemy_skill_sets!$1:$1,0)+1),MATCH(AC$1,[3]enemy_skill_sets!$1:$1,0)-MATCH($AB$1,[3]enemy_skill_sets!$1:$1,0)+1,FALSE)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8" s="67">
        <v>1</v>
      </c>
      <c r="AE1498" s="67">
        <v>1</v>
      </c>
      <c r="AF1498" s="68">
        <v>0</v>
      </c>
      <c r="AG1498" s="99">
        <f>ROUND(VLOOKUP(1,enemy_base_stats!$A:$F,2,FALSE) * Y1498* J1498*O1498*E1498*S1498*AD1498*[2]ステータス!$B$2,0)</f>
        <v>3185</v>
      </c>
      <c r="AH1498" s="99">
        <f>ROUND(VLOOKUP(1,enemy_base_stats!$A:$F,3,FALSE) * Z1498*K1498*P1498*F1498*T1498*AE1498 * W1498*[2]ステータス!$C$2,0)</f>
        <v>256</v>
      </c>
      <c r="AI1498" s="99">
        <f>ROUND(VLOOKUP(1,enemy_base_stats!$A:$F,4,FALSE) * AA1498*L1498*Q1498*G1498*U1498*AF1498*[2]ステータス!$D$2,0)</f>
        <v>0</v>
      </c>
      <c r="AJ1498" s="99">
        <f>ROUND(VLOOKUP(100,enemy_base_stats!$A:$F,2,FALSE) * Y1498* J1498*O1498*E1498*S1498*AD1498*[2]ステータス!$B$2,0)</f>
        <v>129311</v>
      </c>
      <c r="AK1498" s="99">
        <f>ROUND(VLOOKUP(100,enemy_base_stats!$A:$F,3,FALSE)* Z1498* K1498*P1498*F1498*T1498*AE1498 * W1498*[2]ステータス!$C$2,0)</f>
        <v>10395</v>
      </c>
      <c r="AL1498" s="99">
        <f>ROUND(VLOOKUP(100,enemy_base_stats!$A:$F,4,FALSE)* AA1498* L1498*Q1498*G1498*U1498*AF1498*[2]ステータス!$D$2,0)</f>
        <v>0</v>
      </c>
      <c r="AM1498" s="97">
        <f>VLOOKUP(M1498,[2]character_tribe_i18n!$A:$I,9,FALSE)</f>
        <v>340</v>
      </c>
      <c r="AN1498" s="36">
        <v>0</v>
      </c>
      <c r="AO1498" s="98">
        <v>0</v>
      </c>
      <c r="AP1498" s="58" t="s">
        <v>72</v>
      </c>
      <c r="AQ1498" s="34">
        <f t="shared" si="93"/>
        <v>8013</v>
      </c>
    </row>
    <row r="1499" spans="1:43" ht="21" customHeight="1" x14ac:dyDescent="0.15">
      <c r="A1499" s="105">
        <v>8014</v>
      </c>
      <c r="B1499" s="6" t="str">
        <f>VLOOKUP(A1499,[2]characters!$A:$C,3,FALSE)</f>
        <v>初音ミクV3</v>
      </c>
      <c r="C1499" s="9">
        <f>VLOOKUP(A1499,[2]characters!$A:$I,9,FALSE)</f>
        <v>5</v>
      </c>
      <c r="D1499" s="9" t="str">
        <f>VLOOKUP(A1499,[2]characters!$A:$H,8,FALSE)</f>
        <v>yellow</v>
      </c>
      <c r="E1499" s="97">
        <f>VLOOKUP(D1499,[2]属性!$A:$E,2,FALSE)</f>
        <v>0.98</v>
      </c>
      <c r="F1499" s="97">
        <f>VLOOKUP(D1499,[2]属性!$A:$E,3,FALSE)</f>
        <v>1.01</v>
      </c>
      <c r="G1499" s="97">
        <f>VLOOKUP(D1499,[2]属性!$A:$F,4,FALSE)</f>
        <v>1</v>
      </c>
      <c r="H1499" s="9" t="str">
        <f>VLOOKUP(A1499,[2]characters!$A:$K,11,FALSE)</f>
        <v>balance</v>
      </c>
      <c r="I1499" s="6" t="str">
        <f>VLOOKUP(H1499,[2]character_type_i18n!$A:$F,3,FALSE)</f>
        <v>バランスタイプ</v>
      </c>
      <c r="J1499" s="97">
        <f>VLOOKUP(H1499,[2]character_type_i18n!$A:$F,4,FALSE)</f>
        <v>1</v>
      </c>
      <c r="K1499" s="97">
        <f>VLOOKUP(H1499,[2]character_type_i18n!$A:$F,5,FALSE)</f>
        <v>1</v>
      </c>
      <c r="L1499" s="97">
        <f>VLOOKUP(H1499,[2]character_type_i18n!$A:$F,6,FALSE)</f>
        <v>1</v>
      </c>
      <c r="M1499" s="9" t="str">
        <f>VLOOKUP(A1499,[2]characters!$A:$M,13,FALSE)</f>
        <v>unknown</v>
      </c>
      <c r="N1499" s="6" t="str">
        <f>VLOOKUP(M1499,[2]character_tribe_i18n!$A:$F,3,FALSE)</f>
        <v>Unknown</v>
      </c>
      <c r="O1499" s="97">
        <f>VLOOKUP(M1499,[2]character_tribe_i18n!$A:$F,4,FALSE)</f>
        <v>1</v>
      </c>
      <c r="P1499" s="97">
        <f>VLOOKUP(M1499,[2]character_tribe_i18n!$A:$F,5,FALSE)</f>
        <v>1</v>
      </c>
      <c r="Q1499" s="97">
        <f>VLOOKUP(M1499,[2]character_tribe_i18n!$A:$F,6,FALSE)</f>
        <v>1</v>
      </c>
      <c r="R1499" s="98" t="s">
        <v>98</v>
      </c>
      <c r="S1499" s="97">
        <f>VLOOKUP($R1499,ラベル別係数!$A$1:$E$7,3,FALSE)</f>
        <v>5</v>
      </c>
      <c r="T1499" s="97">
        <f>VLOOKUP($R1499,ラベル別係数!$A$1:$E$7,4,FALSE)</f>
        <v>1.3</v>
      </c>
      <c r="U1499" s="97">
        <f>VLOOKUP($R1499,ラベル別係数!$A$1:$E$7,5,FALSE)</f>
        <v>0.8</v>
      </c>
      <c r="V1499" s="98">
        <v>3</v>
      </c>
      <c r="W1499" s="99">
        <f>VLOOKUP(V1499,ターン数別攻撃係数!$A$1:$B$1000,2,FALSE)</f>
        <v>1</v>
      </c>
      <c r="X1499" s="9">
        <f>VLOOKUP(C1499,サイズ別係数!A$2:B$9,2,FALSE)</f>
        <v>60</v>
      </c>
      <c r="Y1499" s="97">
        <f>VLOOKUP($X1499,サイズ別係数!$B:$E,2,FALSE)</f>
        <v>1.7</v>
      </c>
      <c r="Z1499" s="97">
        <f>VLOOKUP($X1499,サイズ別係数!$B:$E,3,FALSE)</f>
        <v>1.4</v>
      </c>
      <c r="AA1499" s="97">
        <f>VLOOKUP($X1499,サイズ別係数!$B:$E,4,FALSE)</f>
        <v>1</v>
      </c>
      <c r="AB1499" s="10">
        <v>0</v>
      </c>
      <c r="AC1499" s="6" t="str">
        <f ca="1">VLOOKUP($AB1499,OFFSET([3]enemy_skill_sets!$B$2,0,0,COUNTA([3]enemy_skill_sets!$A:$A),MATCH(AC$1,[3]enemy_skill_sets!$1:$1,0)-MATCH($AB$1,[3]enemy_skill_sets!$1:$1,0)+1),MATCH(AC$1,[3]enemy_skill_sets!$1:$1,0)-MATCH($AB$1,[3]enemy_skill_sets!$1:$1,0)+1,FALSE)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499" s="67">
        <v>1</v>
      </c>
      <c r="AE1499" s="67">
        <v>1</v>
      </c>
      <c r="AF1499" s="68">
        <v>0</v>
      </c>
      <c r="AG1499" s="99">
        <f>ROUND(VLOOKUP(1,enemy_base_stats!$A:$F,2,FALSE) * Y1499* J1499*O1499*E1499*S1499*AD1499*[2]ステータス!$B$2,0)</f>
        <v>4165</v>
      </c>
      <c r="AH1499" s="99">
        <f>ROUND(VLOOKUP(1,enemy_base_stats!$A:$F,3,FALSE) * Z1499*K1499*P1499*F1499*T1499*AE1499 * W1499*[2]ステータス!$C$2,0)</f>
        <v>276</v>
      </c>
      <c r="AI1499" s="99">
        <f>ROUND(VLOOKUP(1,enemy_base_stats!$A:$F,4,FALSE) * AA1499*L1499*Q1499*G1499*U1499*AF1499*[2]ステータス!$D$2,0)</f>
        <v>0</v>
      </c>
      <c r="AJ1499" s="99">
        <f>ROUND(VLOOKUP(100,enemy_base_stats!$A:$F,2,FALSE) * Y1499* J1499*O1499*E1499*S1499*AD1499*[2]ステータス!$B$2,0)</f>
        <v>169099</v>
      </c>
      <c r="AK1499" s="99">
        <f>ROUND(VLOOKUP(100,enemy_base_stats!$A:$F,3,FALSE)* Z1499* K1499*P1499*F1499*T1499*AE1499 * W1499*[2]ステータス!$C$2,0)</f>
        <v>11195</v>
      </c>
      <c r="AL1499" s="99">
        <f>ROUND(VLOOKUP(100,enemy_base_stats!$A:$F,4,FALSE)* AA1499* L1499*Q1499*G1499*U1499*AF1499*[2]ステータス!$D$2,0)</f>
        <v>0</v>
      </c>
      <c r="AM1499" s="97">
        <f>VLOOKUP(M1499,[2]character_tribe_i18n!$A:$I,9,FALSE)</f>
        <v>340</v>
      </c>
      <c r="AN1499" s="36">
        <v>0</v>
      </c>
      <c r="AO1499" s="98">
        <v>0</v>
      </c>
      <c r="AP1499" s="58" t="s">
        <v>72</v>
      </c>
      <c r="AQ1499" s="34">
        <f t="shared" si="93"/>
        <v>8014</v>
      </c>
    </row>
    <row r="1500" spans="1:43" ht="21" customHeight="1" x14ac:dyDescent="0.15">
      <c r="A1500" s="105">
        <v>8015</v>
      </c>
      <c r="B1500" s="6" t="str">
        <f>VLOOKUP(A1500,[2]characters!$A:$C,3,FALSE)</f>
        <v>初音ミク・アペンド</v>
      </c>
      <c r="C1500" s="9">
        <f>VLOOKUP(A1500,[2]characters!$A:$I,9,FALSE)</f>
        <v>4</v>
      </c>
      <c r="D1500" s="9" t="str">
        <f>VLOOKUP(A1500,[2]characters!$A:$H,8,FALSE)</f>
        <v>green</v>
      </c>
      <c r="E1500" s="97">
        <f>VLOOKUP(D1500,[2]属性!$A:$E,2,FALSE)</f>
        <v>1.02</v>
      </c>
      <c r="F1500" s="97">
        <f>VLOOKUP(D1500,[2]属性!$A:$E,3,FALSE)</f>
        <v>0.98</v>
      </c>
      <c r="G1500" s="97">
        <f>VLOOKUP(D1500,[2]属性!$A:$F,4,FALSE)</f>
        <v>1</v>
      </c>
      <c r="H1500" s="9" t="str">
        <f>VLOOKUP(A1500,[2]characters!$A:$K,11,FALSE)</f>
        <v>technical</v>
      </c>
      <c r="I1500" s="6" t="str">
        <f>VLOOKUP(H1500,[2]character_type_i18n!$A:$F,3,FALSE)</f>
        <v>テクニカルタイプ</v>
      </c>
      <c r="J1500" s="97">
        <f>VLOOKUP(H1500,[2]character_type_i18n!$A:$F,4,FALSE)</f>
        <v>0.9</v>
      </c>
      <c r="K1500" s="97">
        <f>VLOOKUP(H1500,[2]character_type_i18n!$A:$F,5,FALSE)</f>
        <v>0.9</v>
      </c>
      <c r="L1500" s="97">
        <f>VLOOKUP(H1500,[2]character_type_i18n!$A:$F,6,FALSE)</f>
        <v>1</v>
      </c>
      <c r="M1500" s="9" t="str">
        <f>VLOOKUP(A1500,[2]characters!$A:$M,13,FALSE)</f>
        <v>unknown</v>
      </c>
      <c r="N1500" s="6" t="str">
        <f>VLOOKUP(M1500,[2]character_tribe_i18n!$A:$F,3,FALSE)</f>
        <v>Unknown</v>
      </c>
      <c r="O1500" s="97">
        <f>VLOOKUP(M1500,[2]character_tribe_i18n!$A:$F,4,FALSE)</f>
        <v>1</v>
      </c>
      <c r="P1500" s="97">
        <f>VLOOKUP(M1500,[2]character_tribe_i18n!$A:$F,5,FALSE)</f>
        <v>1</v>
      </c>
      <c r="Q1500" s="97">
        <f>VLOOKUP(M1500,[2]character_tribe_i18n!$A:$F,6,FALSE)</f>
        <v>1</v>
      </c>
      <c r="R1500" s="98" t="s">
        <v>98</v>
      </c>
      <c r="S1500" s="97">
        <f>VLOOKUP($R1500,ラベル別係数!$A$1:$E$7,3,FALSE)</f>
        <v>5</v>
      </c>
      <c r="T1500" s="97">
        <f>VLOOKUP($R1500,ラベル別係数!$A$1:$E$7,4,FALSE)</f>
        <v>1.3</v>
      </c>
      <c r="U1500" s="97">
        <f>VLOOKUP($R1500,ラベル別係数!$A$1:$E$7,5,FALSE)</f>
        <v>0.8</v>
      </c>
      <c r="V1500" s="98">
        <v>3</v>
      </c>
      <c r="W1500" s="99">
        <f>VLOOKUP(V1500,ターン数別攻撃係数!$A$1:$B$1000,2,FALSE)</f>
        <v>1</v>
      </c>
      <c r="X1500" s="9">
        <f>VLOOKUP(C1500,サイズ別係数!A$2:B$9,2,FALSE)</f>
        <v>30</v>
      </c>
      <c r="Y1500" s="97">
        <f>VLOOKUP($X1500,サイズ別係数!$B:$E,2,FALSE)</f>
        <v>1.3</v>
      </c>
      <c r="Z1500" s="97">
        <f>VLOOKUP($X1500,サイズ別係数!$B:$E,3,FALSE)</f>
        <v>1.3</v>
      </c>
      <c r="AA1500" s="97">
        <f>VLOOKUP($X1500,サイズ別係数!$B:$E,4,FALSE)</f>
        <v>1.1000000000000001</v>
      </c>
      <c r="AB1500" s="10">
        <v>0</v>
      </c>
      <c r="AC1500" s="6" t="str">
        <f ca="1">VLOOKUP($AB1500,OFFSET([3]enemy_skill_sets!$B$2,0,0,COUNTA([3]enemy_skill_sets!$A:$A),MATCH(AC$1,[3]enemy_skill_sets!$1:$1,0)-MATCH($AB$1,[3]enemy_skill_sets!$1:$1,0)+1),MATCH(AC$1,[3]enemy_skill_sets!$1:$1,0)-MATCH($AB$1,[3]enemy_skill_sets!$1:$1,0)+1,FALSE)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0" s="67">
        <v>1</v>
      </c>
      <c r="AE1500" s="67">
        <v>1</v>
      </c>
      <c r="AF1500" s="68">
        <v>0</v>
      </c>
      <c r="AG1500" s="99">
        <f>ROUND(VLOOKUP(1,enemy_base_stats!$A:$F,2,FALSE) * Y1500* J1500*O1500*E1500*S1500*AD1500*[2]ステータス!$B$2,0)</f>
        <v>2984</v>
      </c>
      <c r="AH1500" s="99">
        <f>ROUND(VLOOKUP(1,enemy_base_stats!$A:$F,3,FALSE) * Z1500*K1500*P1500*F1500*T1500*AE1500 * W1500*[2]ステータス!$C$2,0)</f>
        <v>224</v>
      </c>
      <c r="AI1500" s="99">
        <f>ROUND(VLOOKUP(1,enemy_base_stats!$A:$F,4,FALSE) * AA1500*L1500*Q1500*G1500*U1500*AF1500*[2]ステータス!$D$2,0)</f>
        <v>0</v>
      </c>
      <c r="AJ1500" s="99">
        <f>ROUND(VLOOKUP(100,enemy_base_stats!$A:$F,2,FALSE) * Y1500* J1500*O1500*E1500*S1500*AD1500*[2]ステータス!$B$2,0)</f>
        <v>121130</v>
      </c>
      <c r="AK1500" s="99">
        <f>ROUND(VLOOKUP(100,enemy_base_stats!$A:$F,3,FALSE)* Z1500* K1500*P1500*F1500*T1500*AE1500 * W1500*[2]ステータス!$C$2,0)</f>
        <v>9078</v>
      </c>
      <c r="AL1500" s="99">
        <f>ROUND(VLOOKUP(100,enemy_base_stats!$A:$F,4,FALSE)* AA1500* L1500*Q1500*G1500*U1500*AF1500*[2]ステータス!$D$2,0)</f>
        <v>0</v>
      </c>
      <c r="AM1500" s="97">
        <f>VLOOKUP(M1500,[2]character_tribe_i18n!$A:$I,9,FALSE)</f>
        <v>340</v>
      </c>
      <c r="AN1500" s="36">
        <v>0</v>
      </c>
      <c r="AO1500" s="98">
        <v>0</v>
      </c>
      <c r="AP1500" s="58" t="s">
        <v>72</v>
      </c>
      <c r="AQ1500" s="34">
        <f t="shared" si="93"/>
        <v>8015</v>
      </c>
    </row>
    <row r="1501" spans="1:43" ht="21" customHeight="1" x14ac:dyDescent="0.15">
      <c r="A1501" s="105">
        <v>8016</v>
      </c>
      <c r="B1501" s="6" t="str">
        <f>VLOOKUP(A1501,[2]characters!$A:$C,3,FALSE)</f>
        <v>初音ミク・アペンド</v>
      </c>
      <c r="C1501" s="9">
        <f>VLOOKUP(A1501,[2]characters!$A:$I,9,FALSE)</f>
        <v>5</v>
      </c>
      <c r="D1501" s="9" t="str">
        <f>VLOOKUP(A1501,[2]characters!$A:$H,8,FALSE)</f>
        <v>green</v>
      </c>
      <c r="E1501" s="97">
        <f>VLOOKUP(D1501,[2]属性!$A:$E,2,FALSE)</f>
        <v>1.02</v>
      </c>
      <c r="F1501" s="97">
        <f>VLOOKUP(D1501,[2]属性!$A:$E,3,FALSE)</f>
        <v>0.98</v>
      </c>
      <c r="G1501" s="97">
        <f>VLOOKUP(D1501,[2]属性!$A:$F,4,FALSE)</f>
        <v>1</v>
      </c>
      <c r="H1501" s="9" t="str">
        <f>VLOOKUP(A1501,[2]characters!$A:$K,11,FALSE)</f>
        <v>technical</v>
      </c>
      <c r="I1501" s="6" t="str">
        <f>VLOOKUP(H1501,[2]character_type_i18n!$A:$F,3,FALSE)</f>
        <v>テクニカルタイプ</v>
      </c>
      <c r="J1501" s="97">
        <f>VLOOKUP(H1501,[2]character_type_i18n!$A:$F,4,FALSE)</f>
        <v>0.9</v>
      </c>
      <c r="K1501" s="97">
        <f>VLOOKUP(H1501,[2]character_type_i18n!$A:$F,5,FALSE)</f>
        <v>0.9</v>
      </c>
      <c r="L1501" s="97">
        <f>VLOOKUP(H1501,[2]character_type_i18n!$A:$F,6,FALSE)</f>
        <v>1</v>
      </c>
      <c r="M1501" s="9" t="str">
        <f>VLOOKUP(A1501,[2]characters!$A:$M,13,FALSE)</f>
        <v>unknown</v>
      </c>
      <c r="N1501" s="6" t="str">
        <f>VLOOKUP(M1501,[2]character_tribe_i18n!$A:$F,3,FALSE)</f>
        <v>Unknown</v>
      </c>
      <c r="O1501" s="97">
        <f>VLOOKUP(M1501,[2]character_tribe_i18n!$A:$F,4,FALSE)</f>
        <v>1</v>
      </c>
      <c r="P1501" s="97">
        <f>VLOOKUP(M1501,[2]character_tribe_i18n!$A:$F,5,FALSE)</f>
        <v>1</v>
      </c>
      <c r="Q1501" s="97">
        <f>VLOOKUP(M1501,[2]character_tribe_i18n!$A:$F,6,FALSE)</f>
        <v>1</v>
      </c>
      <c r="R1501" s="98" t="s">
        <v>98</v>
      </c>
      <c r="S1501" s="97">
        <f>VLOOKUP($R1501,ラベル別係数!$A$1:$E$7,3,FALSE)</f>
        <v>5</v>
      </c>
      <c r="T1501" s="97">
        <f>VLOOKUP($R1501,ラベル別係数!$A$1:$E$7,4,FALSE)</f>
        <v>1.3</v>
      </c>
      <c r="U1501" s="97">
        <f>VLOOKUP($R1501,ラベル別係数!$A$1:$E$7,5,FALSE)</f>
        <v>0.8</v>
      </c>
      <c r="V1501" s="98">
        <v>3</v>
      </c>
      <c r="W1501" s="99">
        <f>VLOOKUP(V1501,ターン数別攻撃係数!$A$1:$B$1000,2,FALSE)</f>
        <v>1</v>
      </c>
      <c r="X1501" s="9">
        <f>VLOOKUP(C1501,サイズ別係数!A$2:B$9,2,FALSE)</f>
        <v>60</v>
      </c>
      <c r="Y1501" s="97">
        <f>VLOOKUP($X1501,サイズ別係数!$B:$E,2,FALSE)</f>
        <v>1.7</v>
      </c>
      <c r="Z1501" s="97">
        <f>VLOOKUP($X1501,サイズ別係数!$B:$E,3,FALSE)</f>
        <v>1.4</v>
      </c>
      <c r="AA1501" s="97">
        <f>VLOOKUP($X1501,サイズ別係数!$B:$E,4,FALSE)</f>
        <v>1</v>
      </c>
      <c r="AB1501" s="10">
        <v>0</v>
      </c>
      <c r="AC1501" s="6" t="str">
        <f ca="1">VLOOKUP($AB1501,OFFSET([3]enemy_skill_sets!$B$2,0,0,COUNTA([3]enemy_skill_sets!$A:$A),MATCH(AC$1,[3]enemy_skill_sets!$1:$1,0)-MATCH($AB$1,[3]enemy_skill_sets!$1:$1,0)+1),MATCH(AC$1,[3]enemy_skill_sets!$1:$1,0)-MATCH($AB$1,[3]enemy_skill_sets!$1:$1,0)+1,FALSE)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1" s="67">
        <v>1</v>
      </c>
      <c r="AE1501" s="67">
        <v>1</v>
      </c>
      <c r="AF1501" s="68">
        <v>0</v>
      </c>
      <c r="AG1501" s="99">
        <f>ROUND(VLOOKUP(1,enemy_base_stats!$A:$F,2,FALSE) * Y1501* J1501*O1501*E1501*S1501*AD1501*[2]ステータス!$B$2,0)</f>
        <v>3902</v>
      </c>
      <c r="AH1501" s="99">
        <f>ROUND(VLOOKUP(1,enemy_base_stats!$A:$F,3,FALSE) * Z1501*K1501*P1501*F1501*T1501*AE1501 * W1501*[2]ステータス!$C$2,0)</f>
        <v>241</v>
      </c>
      <c r="AI1501" s="99">
        <f>ROUND(VLOOKUP(1,enemy_base_stats!$A:$F,4,FALSE) * AA1501*L1501*Q1501*G1501*U1501*AF1501*[2]ステータス!$D$2,0)</f>
        <v>0</v>
      </c>
      <c r="AJ1501" s="99">
        <f>ROUND(VLOOKUP(100,enemy_base_stats!$A:$F,2,FALSE) * Y1501* J1501*O1501*E1501*S1501*AD1501*[2]ステータス!$B$2,0)</f>
        <v>158401</v>
      </c>
      <c r="AK1501" s="99">
        <f>ROUND(VLOOKUP(100,enemy_base_stats!$A:$F,3,FALSE)* Z1501* K1501*P1501*F1501*T1501*AE1501 * W1501*[2]ステータス!$C$2,0)</f>
        <v>9776</v>
      </c>
      <c r="AL1501" s="99">
        <f>ROUND(VLOOKUP(100,enemy_base_stats!$A:$F,4,FALSE)* AA1501* L1501*Q1501*G1501*U1501*AF1501*[2]ステータス!$D$2,0)</f>
        <v>0</v>
      </c>
      <c r="AM1501" s="97">
        <f>VLOOKUP(M1501,[2]character_tribe_i18n!$A:$I,9,FALSE)</f>
        <v>340</v>
      </c>
      <c r="AN1501" s="36">
        <v>0</v>
      </c>
      <c r="AO1501" s="98">
        <v>0</v>
      </c>
      <c r="AP1501" s="58" t="s">
        <v>72</v>
      </c>
      <c r="AQ1501" s="34">
        <f t="shared" si="93"/>
        <v>8016</v>
      </c>
    </row>
    <row r="1502" spans="1:43" ht="21" customHeight="1" x14ac:dyDescent="0.15">
      <c r="A1502" s="105">
        <v>8017</v>
      </c>
      <c r="B1502" s="6" t="str">
        <f>VLOOKUP(A1502,[2]characters!$A:$C,3,FALSE)</f>
        <v>初音ミク</v>
      </c>
      <c r="C1502" s="9">
        <f>VLOOKUP(A1502,[2]characters!$A:$I,9,FALSE)</f>
        <v>4</v>
      </c>
      <c r="D1502" s="9" t="str">
        <f>VLOOKUP(A1502,[2]characters!$A:$H,8,FALSE)</f>
        <v>green</v>
      </c>
      <c r="E1502" s="97">
        <f>VLOOKUP(D1502,[2]属性!$A:$E,2,FALSE)</f>
        <v>1.02</v>
      </c>
      <c r="F1502" s="97">
        <f>VLOOKUP(D1502,[2]属性!$A:$E,3,FALSE)</f>
        <v>0.98</v>
      </c>
      <c r="G1502" s="97">
        <f>VLOOKUP(D1502,[2]属性!$A:$F,4,FALSE)</f>
        <v>1</v>
      </c>
      <c r="H1502" s="9" t="str">
        <f>VLOOKUP(A1502,[2]characters!$A:$K,11,FALSE)</f>
        <v>balance</v>
      </c>
      <c r="I1502" s="6" t="str">
        <f>VLOOKUP(H1502,[2]character_type_i18n!$A:$F,3,FALSE)</f>
        <v>バランスタイプ</v>
      </c>
      <c r="J1502" s="97">
        <f>VLOOKUP(H1502,[2]character_type_i18n!$A:$F,4,FALSE)</f>
        <v>1</v>
      </c>
      <c r="K1502" s="97">
        <f>VLOOKUP(H1502,[2]character_type_i18n!$A:$F,5,FALSE)</f>
        <v>1</v>
      </c>
      <c r="L1502" s="97">
        <f>VLOOKUP(H1502,[2]character_type_i18n!$A:$F,6,FALSE)</f>
        <v>1</v>
      </c>
      <c r="M1502" s="9" t="str">
        <f>VLOOKUP(A1502,[2]characters!$A:$M,13,FALSE)</f>
        <v>unknown</v>
      </c>
      <c r="N1502" s="6" t="str">
        <f>VLOOKUP(M1502,[2]character_tribe_i18n!$A:$F,3,FALSE)</f>
        <v>Unknown</v>
      </c>
      <c r="O1502" s="97">
        <f>VLOOKUP(M1502,[2]character_tribe_i18n!$A:$F,4,FALSE)</f>
        <v>1</v>
      </c>
      <c r="P1502" s="97">
        <f>VLOOKUP(M1502,[2]character_tribe_i18n!$A:$F,5,FALSE)</f>
        <v>1</v>
      </c>
      <c r="Q1502" s="97">
        <f>VLOOKUP(M1502,[2]character_tribe_i18n!$A:$F,6,FALSE)</f>
        <v>1</v>
      </c>
      <c r="R1502" s="98" t="s">
        <v>98</v>
      </c>
      <c r="S1502" s="97">
        <f>VLOOKUP($R1502,ラベル別係数!$A$1:$E$7,3,FALSE)</f>
        <v>5</v>
      </c>
      <c r="T1502" s="97">
        <f>VLOOKUP($R1502,ラベル別係数!$A$1:$E$7,4,FALSE)</f>
        <v>1.3</v>
      </c>
      <c r="U1502" s="97">
        <f>VLOOKUP($R1502,ラベル別係数!$A$1:$E$7,5,FALSE)</f>
        <v>0.8</v>
      </c>
      <c r="V1502" s="98">
        <v>3</v>
      </c>
      <c r="W1502" s="99">
        <f>VLOOKUP(V1502,ターン数別攻撃係数!$A$1:$B$1000,2,FALSE)</f>
        <v>1</v>
      </c>
      <c r="X1502" s="9">
        <f>VLOOKUP(C1502,サイズ別係数!A$2:B$9,2,FALSE)</f>
        <v>30</v>
      </c>
      <c r="Y1502" s="97">
        <f>VLOOKUP($X1502,サイズ別係数!$B:$E,2,FALSE)</f>
        <v>1.3</v>
      </c>
      <c r="Z1502" s="97">
        <f>VLOOKUP($X1502,サイズ別係数!$B:$E,3,FALSE)</f>
        <v>1.3</v>
      </c>
      <c r="AA1502" s="97">
        <f>VLOOKUP($X1502,サイズ別係数!$B:$E,4,FALSE)</f>
        <v>1.1000000000000001</v>
      </c>
      <c r="AB1502" s="10">
        <v>0</v>
      </c>
      <c r="AC1502" s="6" t="str">
        <f ca="1">VLOOKUP($AB1502,OFFSET([3]enemy_skill_sets!$B$2,0,0,COUNTA([3]enemy_skill_sets!$A:$A),MATCH(AC$1,[3]enemy_skill_sets!$1:$1,0)-MATCH($AB$1,[3]enemy_skill_sets!$1:$1,0)+1),MATCH(AC$1,[3]enemy_skill_sets!$1:$1,0)-MATCH($AB$1,[3]enemy_skill_sets!$1:$1,0)+1,FALSE)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2" s="67">
        <v>1</v>
      </c>
      <c r="AE1502" s="67">
        <v>1</v>
      </c>
      <c r="AF1502" s="68">
        <v>0</v>
      </c>
      <c r="AG1502" s="99">
        <f>ROUND(VLOOKUP(1,enemy_base_stats!$A:$F,2,FALSE) * Y1502* J1502*O1502*E1502*S1502*AD1502*[2]ステータス!$B$2,0)</f>
        <v>3315</v>
      </c>
      <c r="AH1502" s="99">
        <f>ROUND(VLOOKUP(1,enemy_base_stats!$A:$F,3,FALSE) * Z1502*K1502*P1502*F1502*T1502*AE1502 * W1502*[2]ステータス!$C$2,0)</f>
        <v>248</v>
      </c>
      <c r="AI1502" s="99">
        <f>ROUND(VLOOKUP(1,enemy_base_stats!$A:$F,4,FALSE) * AA1502*L1502*Q1502*G1502*U1502*AF1502*[2]ステータス!$D$2,0)</f>
        <v>0</v>
      </c>
      <c r="AJ1502" s="99">
        <f>ROUND(VLOOKUP(100,enemy_base_stats!$A:$F,2,FALSE) * Y1502* J1502*O1502*E1502*S1502*AD1502*[2]ステータス!$B$2,0)</f>
        <v>134589</v>
      </c>
      <c r="AK1502" s="99">
        <f>ROUND(VLOOKUP(100,enemy_base_stats!$A:$F,3,FALSE)* Z1502* K1502*P1502*F1502*T1502*AE1502 * W1502*[2]ステータス!$C$2,0)</f>
        <v>10086</v>
      </c>
      <c r="AL1502" s="99">
        <f>ROUND(VLOOKUP(100,enemy_base_stats!$A:$F,4,FALSE)* AA1502* L1502*Q1502*G1502*U1502*AF1502*[2]ステータス!$D$2,0)</f>
        <v>0</v>
      </c>
      <c r="AM1502" s="97">
        <f>VLOOKUP(M1502,[2]character_tribe_i18n!$A:$I,9,FALSE)</f>
        <v>340</v>
      </c>
      <c r="AN1502" s="36">
        <v>0</v>
      </c>
      <c r="AO1502" s="98">
        <v>0</v>
      </c>
      <c r="AP1502" s="58" t="s">
        <v>72</v>
      </c>
      <c r="AQ1502" s="34">
        <f t="shared" si="93"/>
        <v>8017</v>
      </c>
    </row>
    <row r="1503" spans="1:43" ht="21" customHeight="1" x14ac:dyDescent="0.15">
      <c r="A1503" s="105">
        <v>8018</v>
      </c>
      <c r="B1503" s="6" t="str">
        <f>VLOOKUP(A1503,[2]characters!$A:$C,3,FALSE)</f>
        <v>初音ミク</v>
      </c>
      <c r="C1503" s="9">
        <f>VLOOKUP(A1503,[2]characters!$A:$I,9,FALSE)</f>
        <v>5</v>
      </c>
      <c r="D1503" s="9" t="str">
        <f>VLOOKUP(A1503,[2]characters!$A:$H,8,FALSE)</f>
        <v>green</v>
      </c>
      <c r="E1503" s="97">
        <f>VLOOKUP(D1503,[2]属性!$A:$E,2,FALSE)</f>
        <v>1.02</v>
      </c>
      <c r="F1503" s="97">
        <f>VLOOKUP(D1503,[2]属性!$A:$E,3,FALSE)</f>
        <v>0.98</v>
      </c>
      <c r="G1503" s="97">
        <f>VLOOKUP(D1503,[2]属性!$A:$F,4,FALSE)</f>
        <v>1</v>
      </c>
      <c r="H1503" s="9" t="str">
        <f>VLOOKUP(A1503,[2]characters!$A:$K,11,FALSE)</f>
        <v>balance</v>
      </c>
      <c r="I1503" s="6" t="str">
        <f>VLOOKUP(H1503,[2]character_type_i18n!$A:$F,3,FALSE)</f>
        <v>バランスタイプ</v>
      </c>
      <c r="J1503" s="97">
        <f>VLOOKUP(H1503,[2]character_type_i18n!$A:$F,4,FALSE)</f>
        <v>1</v>
      </c>
      <c r="K1503" s="97">
        <f>VLOOKUP(H1503,[2]character_type_i18n!$A:$F,5,FALSE)</f>
        <v>1</v>
      </c>
      <c r="L1503" s="97">
        <f>VLOOKUP(H1503,[2]character_type_i18n!$A:$F,6,FALSE)</f>
        <v>1</v>
      </c>
      <c r="M1503" s="9" t="str">
        <f>VLOOKUP(A1503,[2]characters!$A:$M,13,FALSE)</f>
        <v>unknown</v>
      </c>
      <c r="N1503" s="6" t="str">
        <f>VLOOKUP(M1503,[2]character_tribe_i18n!$A:$F,3,FALSE)</f>
        <v>Unknown</v>
      </c>
      <c r="O1503" s="97">
        <f>VLOOKUP(M1503,[2]character_tribe_i18n!$A:$F,4,FALSE)</f>
        <v>1</v>
      </c>
      <c r="P1503" s="97">
        <f>VLOOKUP(M1503,[2]character_tribe_i18n!$A:$F,5,FALSE)</f>
        <v>1</v>
      </c>
      <c r="Q1503" s="97">
        <f>VLOOKUP(M1503,[2]character_tribe_i18n!$A:$F,6,FALSE)</f>
        <v>1</v>
      </c>
      <c r="R1503" s="98" t="s">
        <v>98</v>
      </c>
      <c r="S1503" s="97">
        <f>VLOOKUP($R1503,ラベル別係数!$A$1:$E$7,3,FALSE)</f>
        <v>5</v>
      </c>
      <c r="T1503" s="97">
        <f>VLOOKUP($R1503,ラベル別係数!$A$1:$E$7,4,FALSE)</f>
        <v>1.3</v>
      </c>
      <c r="U1503" s="97">
        <f>VLOOKUP($R1503,ラベル別係数!$A$1:$E$7,5,FALSE)</f>
        <v>0.8</v>
      </c>
      <c r="V1503" s="98">
        <v>3</v>
      </c>
      <c r="W1503" s="99">
        <f>VLOOKUP(V1503,ターン数別攻撃係数!$A$1:$B$1000,2,FALSE)</f>
        <v>1</v>
      </c>
      <c r="X1503" s="9">
        <f>VLOOKUP(C1503,サイズ別係数!A$2:B$9,2,FALSE)</f>
        <v>60</v>
      </c>
      <c r="Y1503" s="97">
        <f>VLOOKUP($X1503,サイズ別係数!$B:$E,2,FALSE)</f>
        <v>1.7</v>
      </c>
      <c r="Z1503" s="97">
        <f>VLOOKUP($X1503,サイズ別係数!$B:$E,3,FALSE)</f>
        <v>1.4</v>
      </c>
      <c r="AA1503" s="97">
        <f>VLOOKUP($X1503,サイズ別係数!$B:$E,4,FALSE)</f>
        <v>1</v>
      </c>
      <c r="AB1503" s="10">
        <v>0</v>
      </c>
      <c r="AC1503" s="6" t="str">
        <f ca="1">VLOOKUP($AB1503,OFFSET([3]enemy_skill_sets!$B$2,0,0,COUNTA([3]enemy_skill_sets!$A:$A),MATCH(AC$1,[3]enemy_skill_sets!$1:$1,0)-MATCH($AB$1,[3]enemy_skill_sets!$1:$1,0)+1),MATCH(AC$1,[3]enemy_skill_sets!$1:$1,0)-MATCH($AB$1,[3]enemy_skill_sets!$1:$1,0)+1,FALSE)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3" s="67">
        <v>1</v>
      </c>
      <c r="AE1503" s="67">
        <v>1</v>
      </c>
      <c r="AF1503" s="68">
        <v>0</v>
      </c>
      <c r="AG1503" s="99">
        <f>ROUND(VLOOKUP(1,enemy_base_stats!$A:$F,2,FALSE) * Y1503* J1503*O1503*E1503*S1503*AD1503*[2]ステータス!$B$2,0)</f>
        <v>4335</v>
      </c>
      <c r="AH1503" s="99">
        <f>ROUND(VLOOKUP(1,enemy_base_stats!$A:$F,3,FALSE) * Z1503*K1503*P1503*F1503*T1503*AE1503 * W1503*[2]ステータス!$C$2,0)</f>
        <v>268</v>
      </c>
      <c r="AI1503" s="99">
        <f>ROUND(VLOOKUP(1,enemy_base_stats!$A:$F,4,FALSE) * AA1503*L1503*Q1503*G1503*U1503*AF1503*[2]ステータス!$D$2,0)</f>
        <v>0</v>
      </c>
      <c r="AJ1503" s="99">
        <f>ROUND(VLOOKUP(100,enemy_base_stats!$A:$F,2,FALSE) * Y1503* J1503*O1503*E1503*S1503*AD1503*[2]ステータス!$B$2,0)</f>
        <v>176001</v>
      </c>
      <c r="AK1503" s="99">
        <f>ROUND(VLOOKUP(100,enemy_base_stats!$A:$F,3,FALSE)* Z1503* K1503*P1503*F1503*T1503*AE1503 * W1503*[2]ステータス!$C$2,0)</f>
        <v>10862</v>
      </c>
      <c r="AL1503" s="99">
        <f>ROUND(VLOOKUP(100,enemy_base_stats!$A:$F,4,FALSE)* AA1503* L1503*Q1503*G1503*U1503*AF1503*[2]ステータス!$D$2,0)</f>
        <v>0</v>
      </c>
      <c r="AM1503" s="97">
        <f>VLOOKUP(M1503,[2]character_tribe_i18n!$A:$I,9,FALSE)</f>
        <v>340</v>
      </c>
      <c r="AN1503" s="36">
        <v>0</v>
      </c>
      <c r="AO1503" s="98">
        <v>0</v>
      </c>
      <c r="AP1503" s="58" t="s">
        <v>72</v>
      </c>
      <c r="AQ1503" s="34">
        <f t="shared" si="93"/>
        <v>8018</v>
      </c>
    </row>
    <row r="1504" spans="1:43" ht="21" customHeight="1" x14ac:dyDescent="0.15">
      <c r="A1504" s="105">
        <v>8019</v>
      </c>
      <c r="B1504" s="6" t="str">
        <f>VLOOKUP(A1504,[2]characters!$A:$C,3,FALSE)</f>
        <v>鏡音リン</v>
      </c>
      <c r="C1504" s="9">
        <f>VLOOKUP(A1504,[2]characters!$A:$I,9,FALSE)</f>
        <v>4</v>
      </c>
      <c r="D1504" s="9" t="str">
        <f>VLOOKUP(A1504,[2]characters!$A:$H,8,FALSE)</f>
        <v>yellow</v>
      </c>
      <c r="E1504" s="97">
        <f>VLOOKUP(D1504,[2]属性!$A:$E,2,FALSE)</f>
        <v>0.98</v>
      </c>
      <c r="F1504" s="97">
        <f>VLOOKUP(D1504,[2]属性!$A:$E,3,FALSE)</f>
        <v>1.01</v>
      </c>
      <c r="G1504" s="97">
        <f>VLOOKUP(D1504,[2]属性!$A:$F,4,FALSE)</f>
        <v>1</v>
      </c>
      <c r="H1504" s="9" t="str">
        <f>VLOOKUP(A1504,[2]characters!$A:$K,11,FALSE)</f>
        <v>balance</v>
      </c>
      <c r="I1504" s="6" t="str">
        <f>VLOOKUP(H1504,[2]character_type_i18n!$A:$F,3,FALSE)</f>
        <v>バランスタイプ</v>
      </c>
      <c r="J1504" s="97">
        <f>VLOOKUP(H1504,[2]character_type_i18n!$A:$F,4,FALSE)</f>
        <v>1</v>
      </c>
      <c r="K1504" s="97">
        <f>VLOOKUP(H1504,[2]character_type_i18n!$A:$F,5,FALSE)</f>
        <v>1</v>
      </c>
      <c r="L1504" s="97">
        <f>VLOOKUP(H1504,[2]character_type_i18n!$A:$F,6,FALSE)</f>
        <v>1</v>
      </c>
      <c r="M1504" s="9" t="str">
        <f>VLOOKUP(A1504,[2]characters!$A:$M,13,FALSE)</f>
        <v>unknown</v>
      </c>
      <c r="N1504" s="6" t="str">
        <f>VLOOKUP(M1504,[2]character_tribe_i18n!$A:$F,3,FALSE)</f>
        <v>Unknown</v>
      </c>
      <c r="O1504" s="97">
        <f>VLOOKUP(M1504,[2]character_tribe_i18n!$A:$F,4,FALSE)</f>
        <v>1</v>
      </c>
      <c r="P1504" s="97">
        <f>VLOOKUP(M1504,[2]character_tribe_i18n!$A:$F,5,FALSE)</f>
        <v>1</v>
      </c>
      <c r="Q1504" s="97">
        <f>VLOOKUP(M1504,[2]character_tribe_i18n!$A:$F,6,FALSE)</f>
        <v>1</v>
      </c>
      <c r="R1504" s="98" t="s">
        <v>98</v>
      </c>
      <c r="S1504" s="97">
        <f>VLOOKUP($R1504,ラベル別係数!$A$1:$E$7,3,FALSE)</f>
        <v>5</v>
      </c>
      <c r="T1504" s="97">
        <f>VLOOKUP($R1504,ラベル別係数!$A$1:$E$7,4,FALSE)</f>
        <v>1.3</v>
      </c>
      <c r="U1504" s="97">
        <f>VLOOKUP($R1504,ラベル別係数!$A$1:$E$7,5,FALSE)</f>
        <v>0.8</v>
      </c>
      <c r="V1504" s="98">
        <v>3</v>
      </c>
      <c r="W1504" s="99">
        <f>VLOOKUP(V1504,ターン数別攻撃係数!$A$1:$B$1000,2,FALSE)</f>
        <v>1</v>
      </c>
      <c r="X1504" s="9">
        <f>VLOOKUP(C1504,サイズ別係数!A$2:B$9,2,FALSE)</f>
        <v>30</v>
      </c>
      <c r="Y1504" s="97">
        <f>VLOOKUP($X1504,サイズ別係数!$B:$E,2,FALSE)</f>
        <v>1.3</v>
      </c>
      <c r="Z1504" s="97">
        <f>VLOOKUP($X1504,サイズ別係数!$B:$E,3,FALSE)</f>
        <v>1.3</v>
      </c>
      <c r="AA1504" s="97">
        <f>VLOOKUP($X1504,サイズ別係数!$B:$E,4,FALSE)</f>
        <v>1.1000000000000001</v>
      </c>
      <c r="AB1504" s="10">
        <v>0</v>
      </c>
      <c r="AC1504" s="6" t="str">
        <f ca="1">VLOOKUP($AB1504,OFFSET([3]enemy_skill_sets!$B$2,0,0,COUNTA([3]enemy_skill_sets!$A:$A),MATCH(AC$1,[3]enemy_skill_sets!$1:$1,0)-MATCH($AB$1,[3]enemy_skill_sets!$1:$1,0)+1),MATCH(AC$1,[3]enemy_skill_sets!$1:$1,0)-MATCH($AB$1,[3]enemy_skill_sets!$1:$1,0)+1,FALSE)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4" s="67">
        <v>1</v>
      </c>
      <c r="AE1504" s="67">
        <v>1</v>
      </c>
      <c r="AF1504" s="68">
        <v>0</v>
      </c>
      <c r="AG1504" s="99">
        <f>ROUND(VLOOKUP(1,enemy_base_stats!$A:$F,2,FALSE) * Y1504* J1504*O1504*E1504*S1504*AD1504*[2]ステータス!$B$2,0)</f>
        <v>3185</v>
      </c>
      <c r="AH1504" s="99">
        <f>ROUND(VLOOKUP(1,enemy_base_stats!$A:$F,3,FALSE) * Z1504*K1504*P1504*F1504*T1504*AE1504 * W1504*[2]ステータス!$C$2,0)</f>
        <v>256</v>
      </c>
      <c r="AI1504" s="99">
        <f>ROUND(VLOOKUP(1,enemy_base_stats!$A:$F,4,FALSE) * AA1504*L1504*Q1504*G1504*U1504*AF1504*[2]ステータス!$D$2,0)</f>
        <v>0</v>
      </c>
      <c r="AJ1504" s="99">
        <f>ROUND(VLOOKUP(100,enemy_base_stats!$A:$F,2,FALSE) * Y1504* J1504*O1504*E1504*S1504*AD1504*[2]ステータス!$B$2,0)</f>
        <v>129311</v>
      </c>
      <c r="AK1504" s="99">
        <f>ROUND(VLOOKUP(100,enemy_base_stats!$A:$F,3,FALSE)* Z1504* K1504*P1504*F1504*T1504*AE1504 * W1504*[2]ステータス!$C$2,0)</f>
        <v>10395</v>
      </c>
      <c r="AL1504" s="99">
        <f>ROUND(VLOOKUP(100,enemy_base_stats!$A:$F,4,FALSE)* AA1504* L1504*Q1504*G1504*U1504*AF1504*[2]ステータス!$D$2,0)</f>
        <v>0</v>
      </c>
      <c r="AM1504" s="97">
        <f>VLOOKUP(M1504,[2]character_tribe_i18n!$A:$I,9,FALSE)</f>
        <v>340</v>
      </c>
      <c r="AN1504" s="36">
        <v>0</v>
      </c>
      <c r="AO1504" s="98">
        <v>0</v>
      </c>
      <c r="AP1504" s="58" t="s">
        <v>72</v>
      </c>
      <c r="AQ1504" s="34">
        <f t="shared" si="93"/>
        <v>8019</v>
      </c>
    </row>
    <row r="1505" spans="1:43" ht="21" customHeight="1" x14ac:dyDescent="0.15">
      <c r="A1505" s="105">
        <v>8020</v>
      </c>
      <c r="B1505" s="6" t="str">
        <f>VLOOKUP(A1505,[2]characters!$A:$C,3,FALSE)</f>
        <v>鏡音リン</v>
      </c>
      <c r="C1505" s="9">
        <f>VLOOKUP(A1505,[2]characters!$A:$I,9,FALSE)</f>
        <v>5</v>
      </c>
      <c r="D1505" s="9" t="str">
        <f>VLOOKUP(A1505,[2]characters!$A:$H,8,FALSE)</f>
        <v>yellow</v>
      </c>
      <c r="E1505" s="97">
        <f>VLOOKUP(D1505,[2]属性!$A:$E,2,FALSE)</f>
        <v>0.98</v>
      </c>
      <c r="F1505" s="97">
        <f>VLOOKUP(D1505,[2]属性!$A:$E,3,FALSE)</f>
        <v>1.01</v>
      </c>
      <c r="G1505" s="97">
        <f>VLOOKUP(D1505,[2]属性!$A:$F,4,FALSE)</f>
        <v>1</v>
      </c>
      <c r="H1505" s="9" t="str">
        <f>VLOOKUP(A1505,[2]characters!$A:$K,11,FALSE)</f>
        <v>balance</v>
      </c>
      <c r="I1505" s="6" t="str">
        <f>VLOOKUP(H1505,[2]character_type_i18n!$A:$F,3,FALSE)</f>
        <v>バランスタイプ</v>
      </c>
      <c r="J1505" s="97">
        <f>VLOOKUP(H1505,[2]character_type_i18n!$A:$F,4,FALSE)</f>
        <v>1</v>
      </c>
      <c r="K1505" s="97">
        <f>VLOOKUP(H1505,[2]character_type_i18n!$A:$F,5,FALSE)</f>
        <v>1</v>
      </c>
      <c r="L1505" s="97">
        <f>VLOOKUP(H1505,[2]character_type_i18n!$A:$F,6,FALSE)</f>
        <v>1</v>
      </c>
      <c r="M1505" s="9" t="str">
        <f>VLOOKUP(A1505,[2]characters!$A:$M,13,FALSE)</f>
        <v>unknown</v>
      </c>
      <c r="N1505" s="6" t="str">
        <f>VLOOKUP(M1505,[2]character_tribe_i18n!$A:$F,3,FALSE)</f>
        <v>Unknown</v>
      </c>
      <c r="O1505" s="97">
        <f>VLOOKUP(M1505,[2]character_tribe_i18n!$A:$F,4,FALSE)</f>
        <v>1</v>
      </c>
      <c r="P1505" s="97">
        <f>VLOOKUP(M1505,[2]character_tribe_i18n!$A:$F,5,FALSE)</f>
        <v>1</v>
      </c>
      <c r="Q1505" s="97">
        <f>VLOOKUP(M1505,[2]character_tribe_i18n!$A:$F,6,FALSE)</f>
        <v>1</v>
      </c>
      <c r="R1505" s="98" t="s">
        <v>98</v>
      </c>
      <c r="S1505" s="97">
        <f>VLOOKUP($R1505,ラベル別係数!$A$1:$E$7,3,FALSE)</f>
        <v>5</v>
      </c>
      <c r="T1505" s="97">
        <f>VLOOKUP($R1505,ラベル別係数!$A$1:$E$7,4,FALSE)</f>
        <v>1.3</v>
      </c>
      <c r="U1505" s="97">
        <f>VLOOKUP($R1505,ラベル別係数!$A$1:$E$7,5,FALSE)</f>
        <v>0.8</v>
      </c>
      <c r="V1505" s="98">
        <v>3</v>
      </c>
      <c r="W1505" s="99">
        <f>VLOOKUP(V1505,ターン数別攻撃係数!$A$1:$B$1000,2,FALSE)</f>
        <v>1</v>
      </c>
      <c r="X1505" s="9">
        <f>VLOOKUP(C1505,サイズ別係数!A$2:B$9,2,FALSE)</f>
        <v>60</v>
      </c>
      <c r="Y1505" s="97">
        <f>VLOOKUP($X1505,サイズ別係数!$B:$E,2,FALSE)</f>
        <v>1.7</v>
      </c>
      <c r="Z1505" s="97">
        <f>VLOOKUP($X1505,サイズ別係数!$B:$E,3,FALSE)</f>
        <v>1.4</v>
      </c>
      <c r="AA1505" s="97">
        <f>VLOOKUP($X1505,サイズ別係数!$B:$E,4,FALSE)</f>
        <v>1</v>
      </c>
      <c r="AB1505" s="10">
        <v>0</v>
      </c>
      <c r="AC1505" s="6" t="str">
        <f ca="1">VLOOKUP($AB1505,OFFSET([3]enemy_skill_sets!$B$2,0,0,COUNTA([3]enemy_skill_sets!$A:$A),MATCH(AC$1,[3]enemy_skill_sets!$1:$1,0)-MATCH($AB$1,[3]enemy_skill_sets!$1:$1,0)+1),MATCH(AC$1,[3]enemy_skill_sets!$1:$1,0)-MATCH($AB$1,[3]enemy_skill_sets!$1:$1,0)+1,FALSE)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5" s="67">
        <v>1</v>
      </c>
      <c r="AE1505" s="67">
        <v>1</v>
      </c>
      <c r="AF1505" s="68">
        <v>0</v>
      </c>
      <c r="AG1505" s="99">
        <f>ROUND(VLOOKUP(1,enemy_base_stats!$A:$F,2,FALSE) * Y1505* J1505*O1505*E1505*S1505*AD1505*[2]ステータス!$B$2,0)</f>
        <v>4165</v>
      </c>
      <c r="AH1505" s="99">
        <f>ROUND(VLOOKUP(1,enemy_base_stats!$A:$F,3,FALSE) * Z1505*K1505*P1505*F1505*T1505*AE1505 * W1505*[2]ステータス!$C$2,0)</f>
        <v>276</v>
      </c>
      <c r="AI1505" s="99">
        <f>ROUND(VLOOKUP(1,enemy_base_stats!$A:$F,4,FALSE) * AA1505*L1505*Q1505*G1505*U1505*AF1505*[2]ステータス!$D$2,0)</f>
        <v>0</v>
      </c>
      <c r="AJ1505" s="99">
        <f>ROUND(VLOOKUP(100,enemy_base_stats!$A:$F,2,FALSE) * Y1505* J1505*O1505*E1505*S1505*AD1505*[2]ステータス!$B$2,0)</f>
        <v>169099</v>
      </c>
      <c r="AK1505" s="99">
        <f>ROUND(VLOOKUP(100,enemy_base_stats!$A:$F,3,FALSE)* Z1505* K1505*P1505*F1505*T1505*AE1505 * W1505*[2]ステータス!$C$2,0)</f>
        <v>11195</v>
      </c>
      <c r="AL1505" s="99">
        <f>ROUND(VLOOKUP(100,enemy_base_stats!$A:$F,4,FALSE)* AA1505* L1505*Q1505*G1505*U1505*AF1505*[2]ステータス!$D$2,0)</f>
        <v>0</v>
      </c>
      <c r="AM1505" s="97">
        <f>VLOOKUP(M1505,[2]character_tribe_i18n!$A:$I,9,FALSE)</f>
        <v>340</v>
      </c>
      <c r="AN1505" s="36">
        <v>0</v>
      </c>
      <c r="AO1505" s="98">
        <v>0</v>
      </c>
      <c r="AP1505" s="58" t="s">
        <v>72</v>
      </c>
      <c r="AQ1505" s="34">
        <f t="shared" si="93"/>
        <v>8020</v>
      </c>
    </row>
    <row r="1506" spans="1:43" ht="21" customHeight="1" x14ac:dyDescent="0.15">
      <c r="A1506" s="105">
        <v>8021</v>
      </c>
      <c r="B1506" s="6" t="str">
        <f>VLOOKUP(A1506,[2]characters!$A:$C,3,FALSE)</f>
        <v>鏡音レン</v>
      </c>
      <c r="C1506" s="9">
        <f>VLOOKUP(A1506,[2]characters!$A:$I,9,FALSE)</f>
        <v>4</v>
      </c>
      <c r="D1506" s="9" t="str">
        <f>VLOOKUP(A1506,[2]characters!$A:$H,8,FALSE)</f>
        <v>yellow</v>
      </c>
      <c r="E1506" s="97">
        <f>VLOOKUP(D1506,[2]属性!$A:$E,2,FALSE)</f>
        <v>0.98</v>
      </c>
      <c r="F1506" s="97">
        <f>VLOOKUP(D1506,[2]属性!$A:$E,3,FALSE)</f>
        <v>1.01</v>
      </c>
      <c r="G1506" s="97">
        <f>VLOOKUP(D1506,[2]属性!$A:$F,4,FALSE)</f>
        <v>1</v>
      </c>
      <c r="H1506" s="9" t="str">
        <f>VLOOKUP(A1506,[2]characters!$A:$K,11,FALSE)</f>
        <v>heal</v>
      </c>
      <c r="I1506" s="6" t="str">
        <f>VLOOKUP(H1506,[2]character_type_i18n!$A:$F,3,FALSE)</f>
        <v>回復タイプ</v>
      </c>
      <c r="J1506" s="97">
        <f>VLOOKUP(H1506,[2]character_type_i18n!$A:$F,4,FALSE)</f>
        <v>0.8</v>
      </c>
      <c r="K1506" s="97">
        <f>VLOOKUP(H1506,[2]character_type_i18n!$A:$F,5,FALSE)</f>
        <v>0.78</v>
      </c>
      <c r="L1506" s="97">
        <f>VLOOKUP(H1506,[2]character_type_i18n!$A:$F,6,FALSE)</f>
        <v>1</v>
      </c>
      <c r="M1506" s="9" t="str">
        <f>VLOOKUP(A1506,[2]characters!$A:$M,13,FALSE)</f>
        <v>unknown</v>
      </c>
      <c r="N1506" s="6" t="str">
        <f>VLOOKUP(M1506,[2]character_tribe_i18n!$A:$F,3,FALSE)</f>
        <v>Unknown</v>
      </c>
      <c r="O1506" s="97">
        <f>VLOOKUP(M1506,[2]character_tribe_i18n!$A:$F,4,FALSE)</f>
        <v>1</v>
      </c>
      <c r="P1506" s="97">
        <f>VLOOKUP(M1506,[2]character_tribe_i18n!$A:$F,5,FALSE)</f>
        <v>1</v>
      </c>
      <c r="Q1506" s="97">
        <f>VLOOKUP(M1506,[2]character_tribe_i18n!$A:$F,6,FALSE)</f>
        <v>1</v>
      </c>
      <c r="R1506" s="98" t="s">
        <v>98</v>
      </c>
      <c r="S1506" s="97">
        <f>VLOOKUP($R1506,ラベル別係数!$A$1:$E$7,3,FALSE)</f>
        <v>5</v>
      </c>
      <c r="T1506" s="97">
        <f>VLOOKUP($R1506,ラベル別係数!$A$1:$E$7,4,FALSE)</f>
        <v>1.3</v>
      </c>
      <c r="U1506" s="97">
        <f>VLOOKUP($R1506,ラベル別係数!$A$1:$E$7,5,FALSE)</f>
        <v>0.8</v>
      </c>
      <c r="V1506" s="98">
        <v>3</v>
      </c>
      <c r="W1506" s="99">
        <f>VLOOKUP(V1506,ターン数別攻撃係数!$A$1:$B$1000,2,FALSE)</f>
        <v>1</v>
      </c>
      <c r="X1506" s="9">
        <f>VLOOKUP(C1506,サイズ別係数!A$2:B$9,2,FALSE)</f>
        <v>30</v>
      </c>
      <c r="Y1506" s="97">
        <f>VLOOKUP($X1506,サイズ別係数!$B:$E,2,FALSE)</f>
        <v>1.3</v>
      </c>
      <c r="Z1506" s="97">
        <f>VLOOKUP($X1506,サイズ別係数!$B:$E,3,FALSE)</f>
        <v>1.3</v>
      </c>
      <c r="AA1506" s="97">
        <f>VLOOKUP($X1506,サイズ別係数!$B:$E,4,FALSE)</f>
        <v>1.1000000000000001</v>
      </c>
      <c r="AB1506" s="10">
        <v>0</v>
      </c>
      <c r="AC1506" s="6" t="str">
        <f ca="1">VLOOKUP($AB1506,OFFSET([3]enemy_skill_sets!$B$2,0,0,COUNTA([3]enemy_skill_sets!$A:$A),MATCH(AC$1,[3]enemy_skill_sets!$1:$1,0)-MATCH($AB$1,[3]enemy_skill_sets!$1:$1,0)+1),MATCH(AC$1,[3]enemy_skill_sets!$1:$1,0)-MATCH($AB$1,[3]enemy_skill_sets!$1:$1,0)+1,FALSE)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6" s="67">
        <v>1</v>
      </c>
      <c r="AE1506" s="67">
        <v>1</v>
      </c>
      <c r="AF1506" s="68">
        <v>0</v>
      </c>
      <c r="AG1506" s="99">
        <f>ROUND(VLOOKUP(1,enemy_base_stats!$A:$F,2,FALSE) * Y1506* J1506*O1506*E1506*S1506*AD1506*[2]ステータス!$B$2,0)</f>
        <v>2548</v>
      </c>
      <c r="AH1506" s="99">
        <f>ROUND(VLOOKUP(1,enemy_base_stats!$A:$F,3,FALSE) * Z1506*K1506*P1506*F1506*T1506*AE1506 * W1506*[2]ステータス!$C$2,0)</f>
        <v>200</v>
      </c>
      <c r="AI1506" s="99">
        <f>ROUND(VLOOKUP(1,enemy_base_stats!$A:$F,4,FALSE) * AA1506*L1506*Q1506*G1506*U1506*AF1506*[2]ステータス!$D$2,0)</f>
        <v>0</v>
      </c>
      <c r="AJ1506" s="99">
        <f>ROUND(VLOOKUP(100,enemy_base_stats!$A:$F,2,FALSE) * Y1506* J1506*O1506*E1506*S1506*AD1506*[2]ステータス!$B$2,0)</f>
        <v>103449</v>
      </c>
      <c r="AK1506" s="99">
        <f>ROUND(VLOOKUP(100,enemy_base_stats!$A:$F,3,FALSE)* Z1506* K1506*P1506*F1506*T1506*AE1506 * W1506*[2]ステータス!$C$2,0)</f>
        <v>8108</v>
      </c>
      <c r="AL1506" s="99">
        <f>ROUND(VLOOKUP(100,enemy_base_stats!$A:$F,4,FALSE)* AA1506* L1506*Q1506*G1506*U1506*AF1506*[2]ステータス!$D$2,0)</f>
        <v>0</v>
      </c>
      <c r="AM1506" s="97">
        <f>VLOOKUP(M1506,[2]character_tribe_i18n!$A:$I,9,FALSE)</f>
        <v>340</v>
      </c>
      <c r="AN1506" s="36">
        <v>0</v>
      </c>
      <c r="AO1506" s="98">
        <v>0</v>
      </c>
      <c r="AP1506" s="58" t="s">
        <v>72</v>
      </c>
      <c r="AQ1506" s="34">
        <f t="shared" si="93"/>
        <v>8021</v>
      </c>
    </row>
    <row r="1507" spans="1:43" ht="21" customHeight="1" x14ac:dyDescent="0.15">
      <c r="A1507" s="105">
        <v>8022</v>
      </c>
      <c r="B1507" s="6" t="str">
        <f>VLOOKUP(A1507,[2]characters!$A:$C,3,FALSE)</f>
        <v>鏡音レン</v>
      </c>
      <c r="C1507" s="9">
        <f>VLOOKUP(A1507,[2]characters!$A:$I,9,FALSE)</f>
        <v>5</v>
      </c>
      <c r="D1507" s="9" t="str">
        <f>VLOOKUP(A1507,[2]characters!$A:$H,8,FALSE)</f>
        <v>yellow</v>
      </c>
      <c r="E1507" s="97">
        <f>VLOOKUP(D1507,[2]属性!$A:$E,2,FALSE)</f>
        <v>0.98</v>
      </c>
      <c r="F1507" s="97">
        <f>VLOOKUP(D1507,[2]属性!$A:$E,3,FALSE)</f>
        <v>1.01</v>
      </c>
      <c r="G1507" s="97">
        <f>VLOOKUP(D1507,[2]属性!$A:$F,4,FALSE)</f>
        <v>1</v>
      </c>
      <c r="H1507" s="9" t="str">
        <f>VLOOKUP(A1507,[2]characters!$A:$K,11,FALSE)</f>
        <v>heal</v>
      </c>
      <c r="I1507" s="6" t="str">
        <f>VLOOKUP(H1507,[2]character_type_i18n!$A:$F,3,FALSE)</f>
        <v>回復タイプ</v>
      </c>
      <c r="J1507" s="97">
        <f>VLOOKUP(H1507,[2]character_type_i18n!$A:$F,4,FALSE)</f>
        <v>0.8</v>
      </c>
      <c r="K1507" s="97">
        <f>VLOOKUP(H1507,[2]character_type_i18n!$A:$F,5,FALSE)</f>
        <v>0.78</v>
      </c>
      <c r="L1507" s="97">
        <f>VLOOKUP(H1507,[2]character_type_i18n!$A:$F,6,FALSE)</f>
        <v>1</v>
      </c>
      <c r="M1507" s="9" t="str">
        <f>VLOOKUP(A1507,[2]characters!$A:$M,13,FALSE)</f>
        <v>unknown</v>
      </c>
      <c r="N1507" s="6" t="str">
        <f>VLOOKUP(M1507,[2]character_tribe_i18n!$A:$F,3,FALSE)</f>
        <v>Unknown</v>
      </c>
      <c r="O1507" s="97">
        <f>VLOOKUP(M1507,[2]character_tribe_i18n!$A:$F,4,FALSE)</f>
        <v>1</v>
      </c>
      <c r="P1507" s="97">
        <f>VLOOKUP(M1507,[2]character_tribe_i18n!$A:$F,5,FALSE)</f>
        <v>1</v>
      </c>
      <c r="Q1507" s="97">
        <f>VLOOKUP(M1507,[2]character_tribe_i18n!$A:$F,6,FALSE)</f>
        <v>1</v>
      </c>
      <c r="R1507" s="98" t="s">
        <v>98</v>
      </c>
      <c r="S1507" s="97">
        <f>VLOOKUP($R1507,ラベル別係数!$A$1:$E$7,3,FALSE)</f>
        <v>5</v>
      </c>
      <c r="T1507" s="97">
        <f>VLOOKUP($R1507,ラベル別係数!$A$1:$E$7,4,FALSE)</f>
        <v>1.3</v>
      </c>
      <c r="U1507" s="97">
        <f>VLOOKUP($R1507,ラベル別係数!$A$1:$E$7,5,FALSE)</f>
        <v>0.8</v>
      </c>
      <c r="V1507" s="98">
        <v>3</v>
      </c>
      <c r="W1507" s="99">
        <f>VLOOKUP(V1507,ターン数別攻撃係数!$A$1:$B$1000,2,FALSE)</f>
        <v>1</v>
      </c>
      <c r="X1507" s="9">
        <f>VLOOKUP(C1507,サイズ別係数!A$2:B$9,2,FALSE)</f>
        <v>60</v>
      </c>
      <c r="Y1507" s="97">
        <f>VLOOKUP($X1507,サイズ別係数!$B:$E,2,FALSE)</f>
        <v>1.7</v>
      </c>
      <c r="Z1507" s="97">
        <f>VLOOKUP($X1507,サイズ別係数!$B:$E,3,FALSE)</f>
        <v>1.4</v>
      </c>
      <c r="AA1507" s="97">
        <f>VLOOKUP($X1507,サイズ別係数!$B:$E,4,FALSE)</f>
        <v>1</v>
      </c>
      <c r="AB1507" s="10">
        <v>0</v>
      </c>
      <c r="AC1507" s="6" t="str">
        <f ca="1">VLOOKUP($AB1507,OFFSET([3]enemy_skill_sets!$B$2,0,0,COUNTA([3]enemy_skill_sets!$A:$A),MATCH(AC$1,[3]enemy_skill_sets!$1:$1,0)-MATCH($AB$1,[3]enemy_skill_sets!$1:$1,0)+1),MATCH(AC$1,[3]enemy_skill_sets!$1:$1,0)-MATCH($AB$1,[3]enemy_skill_sets!$1:$1,0)+1,FALSE)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7" s="67">
        <v>1</v>
      </c>
      <c r="AE1507" s="67">
        <v>1</v>
      </c>
      <c r="AF1507" s="68">
        <v>0</v>
      </c>
      <c r="AG1507" s="99">
        <f>ROUND(VLOOKUP(1,enemy_base_stats!$A:$F,2,FALSE) * Y1507* J1507*O1507*E1507*S1507*AD1507*[2]ステータス!$B$2,0)</f>
        <v>3332</v>
      </c>
      <c r="AH1507" s="99">
        <f>ROUND(VLOOKUP(1,enemy_base_stats!$A:$F,3,FALSE) * Z1507*K1507*P1507*F1507*T1507*AE1507 * W1507*[2]ステータス!$C$2,0)</f>
        <v>215</v>
      </c>
      <c r="AI1507" s="99">
        <f>ROUND(VLOOKUP(1,enemy_base_stats!$A:$F,4,FALSE) * AA1507*L1507*Q1507*G1507*U1507*AF1507*[2]ステータス!$D$2,0)</f>
        <v>0</v>
      </c>
      <c r="AJ1507" s="99">
        <f>ROUND(VLOOKUP(100,enemy_base_stats!$A:$F,2,FALSE) * Y1507* J1507*O1507*E1507*S1507*AD1507*[2]ステータス!$B$2,0)</f>
        <v>135279</v>
      </c>
      <c r="AK1507" s="99">
        <f>ROUND(VLOOKUP(100,enemy_base_stats!$A:$F,3,FALSE)* Z1507* K1507*P1507*F1507*T1507*AE1507 * W1507*[2]ステータス!$C$2,0)</f>
        <v>8732</v>
      </c>
      <c r="AL1507" s="99">
        <f>ROUND(VLOOKUP(100,enemy_base_stats!$A:$F,4,FALSE)* AA1507* L1507*Q1507*G1507*U1507*AF1507*[2]ステータス!$D$2,0)</f>
        <v>0</v>
      </c>
      <c r="AM1507" s="97">
        <f>VLOOKUP(M1507,[2]character_tribe_i18n!$A:$I,9,FALSE)</f>
        <v>340</v>
      </c>
      <c r="AN1507" s="36">
        <v>0</v>
      </c>
      <c r="AO1507" s="98">
        <v>0</v>
      </c>
      <c r="AP1507" s="58" t="s">
        <v>72</v>
      </c>
      <c r="AQ1507" s="34">
        <f t="shared" si="93"/>
        <v>8022</v>
      </c>
    </row>
    <row r="1508" spans="1:43" ht="21" customHeight="1" x14ac:dyDescent="0.15">
      <c r="A1508" s="105">
        <v>8023</v>
      </c>
      <c r="B1508" s="6" t="str">
        <f>VLOOKUP(A1508,[2]characters!$A:$C,3,FALSE)</f>
        <v>巡音ルカ</v>
      </c>
      <c r="C1508" s="9">
        <f>VLOOKUP(A1508,[2]characters!$A:$I,9,FALSE)</f>
        <v>3</v>
      </c>
      <c r="D1508" s="9" t="str">
        <f>VLOOKUP(A1508,[2]characters!$A:$H,8,FALSE)</f>
        <v>red</v>
      </c>
      <c r="E1508" s="97">
        <f>VLOOKUP(D1508,[2]属性!$A:$E,2,FALSE)</f>
        <v>1</v>
      </c>
      <c r="F1508" s="97">
        <f>VLOOKUP(D1508,[2]属性!$A:$E,3,FALSE)</f>
        <v>1.02</v>
      </c>
      <c r="G1508" s="97">
        <f>VLOOKUP(D1508,[2]属性!$A:$F,4,FALSE)</f>
        <v>1</v>
      </c>
      <c r="H1508" s="9" t="str">
        <f>VLOOKUP(A1508,[2]characters!$A:$K,11,FALSE)</f>
        <v>attack</v>
      </c>
      <c r="I1508" s="6" t="str">
        <f>VLOOKUP(H1508,[2]character_type_i18n!$A:$F,3,FALSE)</f>
        <v>攻撃タイプ</v>
      </c>
      <c r="J1508" s="97">
        <f>VLOOKUP(H1508,[2]character_type_i18n!$A:$F,4,FALSE)</f>
        <v>1</v>
      </c>
      <c r="K1508" s="97">
        <f>VLOOKUP(H1508,[2]character_type_i18n!$A:$F,5,FALSE)</f>
        <v>1.33</v>
      </c>
      <c r="L1508" s="97">
        <f>VLOOKUP(H1508,[2]character_type_i18n!$A:$F,6,FALSE)</f>
        <v>1</v>
      </c>
      <c r="M1508" s="9" t="str">
        <f>VLOOKUP(A1508,[2]characters!$A:$M,13,FALSE)</f>
        <v>unknown</v>
      </c>
      <c r="N1508" s="6" t="str">
        <f>VLOOKUP(M1508,[2]character_tribe_i18n!$A:$F,3,FALSE)</f>
        <v>Unknown</v>
      </c>
      <c r="O1508" s="97">
        <f>VLOOKUP(M1508,[2]character_tribe_i18n!$A:$F,4,FALSE)</f>
        <v>1</v>
      </c>
      <c r="P1508" s="97">
        <f>VLOOKUP(M1508,[2]character_tribe_i18n!$A:$F,5,FALSE)</f>
        <v>1</v>
      </c>
      <c r="Q1508" s="97">
        <f>VLOOKUP(M1508,[2]character_tribe_i18n!$A:$F,6,FALSE)</f>
        <v>1</v>
      </c>
      <c r="R1508" s="98" t="s">
        <v>98</v>
      </c>
      <c r="S1508" s="97">
        <f>VLOOKUP($R1508,ラベル別係数!$A$1:$E$7,3,FALSE)</f>
        <v>5</v>
      </c>
      <c r="T1508" s="97">
        <f>VLOOKUP($R1508,ラベル別係数!$A$1:$E$7,4,FALSE)</f>
        <v>1.3</v>
      </c>
      <c r="U1508" s="97">
        <f>VLOOKUP($R1508,ラベル別係数!$A$1:$E$7,5,FALSE)</f>
        <v>0.8</v>
      </c>
      <c r="V1508" s="98">
        <v>3</v>
      </c>
      <c r="W1508" s="99">
        <f>VLOOKUP(V1508,ターン数別攻撃係数!$A$1:$B$1000,2,FALSE)</f>
        <v>1</v>
      </c>
      <c r="X1508" s="9">
        <f>VLOOKUP(C1508,サイズ別係数!A$2:B$9,2,FALSE)</f>
        <v>25</v>
      </c>
      <c r="Y1508" s="97">
        <f>VLOOKUP($X1508,サイズ別係数!$B:$E,2,FALSE)</f>
        <v>1.2</v>
      </c>
      <c r="Z1508" s="97">
        <f>VLOOKUP($X1508,サイズ別係数!$B:$E,3,FALSE)</f>
        <v>1.25</v>
      </c>
      <c r="AA1508" s="97">
        <f>VLOOKUP($X1508,サイズ別係数!$B:$E,4,FALSE)</f>
        <v>1.1499999999999999</v>
      </c>
      <c r="AB1508" s="10">
        <v>0</v>
      </c>
      <c r="AC1508" s="6" t="str">
        <f ca="1">VLOOKUP($AB1508,OFFSET([3]enemy_skill_sets!$B$2,0,0,COUNTA([3]enemy_skill_sets!$A:$A),MATCH(AC$1,[3]enemy_skill_sets!$1:$1,0)-MATCH($AB$1,[3]enemy_skill_sets!$1:$1,0)+1),MATCH(AC$1,[3]enemy_skill_sets!$1:$1,0)-MATCH($AB$1,[3]enemy_skill_sets!$1:$1,0)+1,FALSE)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8" s="67">
        <v>1</v>
      </c>
      <c r="AE1508" s="67">
        <v>1</v>
      </c>
      <c r="AF1508" s="68">
        <v>0</v>
      </c>
      <c r="AG1508" s="99">
        <f>ROUND(VLOOKUP(1,enemy_base_stats!$A:$F,2,FALSE) * Y1508* J1508*O1508*E1508*S1508*AD1508*[2]ステータス!$B$2,0)</f>
        <v>3000</v>
      </c>
      <c r="AH1508" s="99">
        <f>ROUND(VLOOKUP(1,enemy_base_stats!$A:$F,3,FALSE) * Z1508*K1508*P1508*F1508*T1508*AE1508 * W1508*[2]ステータス!$C$2,0)</f>
        <v>331</v>
      </c>
      <c r="AI1508" s="99">
        <f>ROUND(VLOOKUP(1,enemy_base_stats!$A:$F,4,FALSE) * AA1508*L1508*Q1508*G1508*U1508*AF1508*[2]ステータス!$D$2,0)</f>
        <v>0</v>
      </c>
      <c r="AJ1508" s="99">
        <f>ROUND(VLOOKUP(100,enemy_base_stats!$A:$F,2,FALSE) * Y1508* J1508*O1508*E1508*S1508*AD1508*[2]ステータス!$B$2,0)</f>
        <v>121800</v>
      </c>
      <c r="AK1508" s="99">
        <f>ROUND(VLOOKUP(100,enemy_base_stats!$A:$F,3,FALSE)* Z1508* K1508*P1508*F1508*T1508*AE1508 * W1508*[2]ステータス!$C$2,0)</f>
        <v>13425</v>
      </c>
      <c r="AL1508" s="99">
        <f>ROUND(VLOOKUP(100,enemy_base_stats!$A:$F,4,FALSE)* AA1508* L1508*Q1508*G1508*U1508*AF1508*[2]ステータス!$D$2,0)</f>
        <v>0</v>
      </c>
      <c r="AM1508" s="97">
        <f>VLOOKUP(M1508,[2]character_tribe_i18n!$A:$I,9,FALSE)</f>
        <v>340</v>
      </c>
      <c r="AN1508" s="36">
        <v>0</v>
      </c>
      <c r="AO1508" s="98">
        <v>0</v>
      </c>
      <c r="AP1508" s="58" t="s">
        <v>72</v>
      </c>
      <c r="AQ1508" s="34">
        <f t="shared" si="93"/>
        <v>8023</v>
      </c>
    </row>
    <row r="1509" spans="1:43" ht="21" customHeight="1" x14ac:dyDescent="0.15">
      <c r="A1509" s="105">
        <v>8024</v>
      </c>
      <c r="B1509" s="6" t="str">
        <f>VLOOKUP(A1509,[2]characters!$A:$C,3,FALSE)</f>
        <v>巡音ルカ</v>
      </c>
      <c r="C1509" s="9">
        <f>VLOOKUP(A1509,[2]characters!$A:$I,9,FALSE)</f>
        <v>4</v>
      </c>
      <c r="D1509" s="9" t="str">
        <f>VLOOKUP(A1509,[2]characters!$A:$H,8,FALSE)</f>
        <v>red</v>
      </c>
      <c r="E1509" s="97">
        <f>VLOOKUP(D1509,[2]属性!$A:$E,2,FALSE)</f>
        <v>1</v>
      </c>
      <c r="F1509" s="97">
        <f>VLOOKUP(D1509,[2]属性!$A:$E,3,FALSE)</f>
        <v>1.02</v>
      </c>
      <c r="G1509" s="97">
        <f>VLOOKUP(D1509,[2]属性!$A:$F,4,FALSE)</f>
        <v>1</v>
      </c>
      <c r="H1509" s="9" t="str">
        <f>VLOOKUP(A1509,[2]characters!$A:$K,11,FALSE)</f>
        <v>attack</v>
      </c>
      <c r="I1509" s="6" t="str">
        <f>VLOOKUP(H1509,[2]character_type_i18n!$A:$F,3,FALSE)</f>
        <v>攻撃タイプ</v>
      </c>
      <c r="J1509" s="97">
        <f>VLOOKUP(H1509,[2]character_type_i18n!$A:$F,4,FALSE)</f>
        <v>1</v>
      </c>
      <c r="K1509" s="97">
        <f>VLOOKUP(H1509,[2]character_type_i18n!$A:$F,5,FALSE)</f>
        <v>1.33</v>
      </c>
      <c r="L1509" s="97">
        <f>VLOOKUP(H1509,[2]character_type_i18n!$A:$F,6,FALSE)</f>
        <v>1</v>
      </c>
      <c r="M1509" s="9" t="str">
        <f>VLOOKUP(A1509,[2]characters!$A:$M,13,FALSE)</f>
        <v>unknown</v>
      </c>
      <c r="N1509" s="6" t="str">
        <f>VLOOKUP(M1509,[2]character_tribe_i18n!$A:$F,3,FALSE)</f>
        <v>Unknown</v>
      </c>
      <c r="O1509" s="97">
        <f>VLOOKUP(M1509,[2]character_tribe_i18n!$A:$F,4,FALSE)</f>
        <v>1</v>
      </c>
      <c r="P1509" s="97">
        <f>VLOOKUP(M1509,[2]character_tribe_i18n!$A:$F,5,FALSE)</f>
        <v>1</v>
      </c>
      <c r="Q1509" s="97">
        <f>VLOOKUP(M1509,[2]character_tribe_i18n!$A:$F,6,FALSE)</f>
        <v>1</v>
      </c>
      <c r="R1509" s="98" t="s">
        <v>98</v>
      </c>
      <c r="S1509" s="97">
        <f>VLOOKUP($R1509,ラベル別係数!$A$1:$E$7,3,FALSE)</f>
        <v>5</v>
      </c>
      <c r="T1509" s="97">
        <f>VLOOKUP($R1509,ラベル別係数!$A$1:$E$7,4,FALSE)</f>
        <v>1.3</v>
      </c>
      <c r="U1509" s="97">
        <f>VLOOKUP($R1509,ラベル別係数!$A$1:$E$7,5,FALSE)</f>
        <v>0.8</v>
      </c>
      <c r="V1509" s="98">
        <v>3</v>
      </c>
      <c r="W1509" s="99">
        <f>VLOOKUP(V1509,ターン数別攻撃係数!$A$1:$B$1000,2,FALSE)</f>
        <v>1</v>
      </c>
      <c r="X1509" s="9">
        <f>VLOOKUP(C1509,サイズ別係数!A$2:B$9,2,FALSE)</f>
        <v>30</v>
      </c>
      <c r="Y1509" s="97">
        <f>VLOOKUP($X1509,サイズ別係数!$B:$E,2,FALSE)</f>
        <v>1.3</v>
      </c>
      <c r="Z1509" s="97">
        <f>VLOOKUP($X1509,サイズ別係数!$B:$E,3,FALSE)</f>
        <v>1.3</v>
      </c>
      <c r="AA1509" s="97">
        <f>VLOOKUP($X1509,サイズ別係数!$B:$E,4,FALSE)</f>
        <v>1.1000000000000001</v>
      </c>
      <c r="AB1509" s="10">
        <v>0</v>
      </c>
      <c r="AC1509" s="6" t="str">
        <f ca="1">VLOOKUP($AB1509,OFFSET([3]enemy_skill_sets!$B$2,0,0,COUNTA([3]enemy_skill_sets!$A:$A),MATCH(AC$1,[3]enemy_skill_sets!$1:$1,0)-MATCH($AB$1,[3]enemy_skill_sets!$1:$1,0)+1),MATCH(AC$1,[3]enemy_skill_sets!$1:$1,0)-MATCH($AB$1,[3]enemy_skill_sets!$1:$1,0)+1,FALSE)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09" s="67">
        <v>1</v>
      </c>
      <c r="AE1509" s="67">
        <v>1</v>
      </c>
      <c r="AF1509" s="68">
        <v>0</v>
      </c>
      <c r="AG1509" s="99">
        <f>ROUND(VLOOKUP(1,enemy_base_stats!$A:$F,2,FALSE) * Y1509* J1509*O1509*E1509*S1509*AD1509*[2]ステータス!$B$2,0)</f>
        <v>3250</v>
      </c>
      <c r="AH1509" s="99">
        <f>ROUND(VLOOKUP(1,enemy_base_stats!$A:$F,3,FALSE) * Z1509*K1509*P1509*F1509*T1509*AE1509 * W1509*[2]ステータス!$C$2,0)</f>
        <v>344</v>
      </c>
      <c r="AI1509" s="99">
        <f>ROUND(VLOOKUP(1,enemy_base_stats!$A:$F,4,FALSE) * AA1509*L1509*Q1509*G1509*U1509*AF1509*[2]ステータス!$D$2,0)</f>
        <v>0</v>
      </c>
      <c r="AJ1509" s="99">
        <f>ROUND(VLOOKUP(100,enemy_base_stats!$A:$F,2,FALSE) * Y1509* J1509*O1509*E1509*S1509*AD1509*[2]ステータス!$B$2,0)</f>
        <v>131950</v>
      </c>
      <c r="AK1509" s="99">
        <f>ROUND(VLOOKUP(100,enemy_base_stats!$A:$F,3,FALSE)* Z1509* K1509*P1509*F1509*T1509*AE1509 * W1509*[2]ステータス!$C$2,0)</f>
        <v>13962</v>
      </c>
      <c r="AL1509" s="99">
        <f>ROUND(VLOOKUP(100,enemy_base_stats!$A:$F,4,FALSE)* AA1509* L1509*Q1509*G1509*U1509*AF1509*[2]ステータス!$D$2,0)</f>
        <v>0</v>
      </c>
      <c r="AM1509" s="97">
        <f>VLOOKUP(M1509,[2]character_tribe_i18n!$A:$I,9,FALSE)</f>
        <v>340</v>
      </c>
      <c r="AN1509" s="36">
        <v>0</v>
      </c>
      <c r="AO1509" s="98">
        <v>0</v>
      </c>
      <c r="AP1509" s="58" t="s">
        <v>72</v>
      </c>
      <c r="AQ1509" s="34">
        <f t="shared" si="93"/>
        <v>8024</v>
      </c>
    </row>
    <row r="1510" spans="1:43" ht="21" customHeight="1" x14ac:dyDescent="0.15">
      <c r="A1510" s="105">
        <v>8025</v>
      </c>
      <c r="B1510" s="6" t="str">
        <f>VLOOKUP(A1510,[2]characters!$A:$C,3,FALSE)</f>
        <v>MEIKO</v>
      </c>
      <c r="C1510" s="9">
        <f>VLOOKUP(A1510,[2]characters!$A:$I,9,FALSE)</f>
        <v>3</v>
      </c>
      <c r="D1510" s="9" t="str">
        <f>VLOOKUP(A1510,[2]characters!$A:$H,8,FALSE)</f>
        <v>red</v>
      </c>
      <c r="E1510" s="97">
        <f>VLOOKUP(D1510,[2]属性!$A:$E,2,FALSE)</f>
        <v>1</v>
      </c>
      <c r="F1510" s="97">
        <f>VLOOKUP(D1510,[2]属性!$A:$E,3,FALSE)</f>
        <v>1.02</v>
      </c>
      <c r="G1510" s="97">
        <f>VLOOKUP(D1510,[2]属性!$A:$F,4,FALSE)</f>
        <v>1</v>
      </c>
      <c r="H1510" s="9" t="str">
        <f>VLOOKUP(A1510,[2]characters!$A:$K,11,FALSE)</f>
        <v>hp</v>
      </c>
      <c r="I1510" s="6" t="str">
        <f>VLOOKUP(H1510,[2]character_type_i18n!$A:$F,3,FALSE)</f>
        <v>体力タイプ</v>
      </c>
      <c r="J1510" s="97">
        <f>VLOOKUP(H1510,[2]character_type_i18n!$A:$F,4,FALSE)</f>
        <v>1.45</v>
      </c>
      <c r="K1510" s="97">
        <f>VLOOKUP(H1510,[2]character_type_i18n!$A:$F,5,FALSE)</f>
        <v>0.85</v>
      </c>
      <c r="L1510" s="97">
        <f>VLOOKUP(H1510,[2]character_type_i18n!$A:$F,6,FALSE)</f>
        <v>1</v>
      </c>
      <c r="M1510" s="9" t="str">
        <f>VLOOKUP(A1510,[2]characters!$A:$M,13,FALSE)</f>
        <v>unknown</v>
      </c>
      <c r="N1510" s="6" t="str">
        <f>VLOOKUP(M1510,[2]character_tribe_i18n!$A:$F,3,FALSE)</f>
        <v>Unknown</v>
      </c>
      <c r="O1510" s="97">
        <f>VLOOKUP(M1510,[2]character_tribe_i18n!$A:$F,4,FALSE)</f>
        <v>1</v>
      </c>
      <c r="P1510" s="97">
        <f>VLOOKUP(M1510,[2]character_tribe_i18n!$A:$F,5,FALSE)</f>
        <v>1</v>
      </c>
      <c r="Q1510" s="97">
        <f>VLOOKUP(M1510,[2]character_tribe_i18n!$A:$F,6,FALSE)</f>
        <v>1</v>
      </c>
      <c r="R1510" s="98" t="s">
        <v>98</v>
      </c>
      <c r="S1510" s="97">
        <f>VLOOKUP($R1510,ラベル別係数!$A$1:$E$7,3,FALSE)</f>
        <v>5</v>
      </c>
      <c r="T1510" s="97">
        <f>VLOOKUP($R1510,ラベル別係数!$A$1:$E$7,4,FALSE)</f>
        <v>1.3</v>
      </c>
      <c r="U1510" s="97">
        <f>VLOOKUP($R1510,ラベル別係数!$A$1:$E$7,5,FALSE)</f>
        <v>0.8</v>
      </c>
      <c r="V1510" s="98">
        <v>3</v>
      </c>
      <c r="W1510" s="99">
        <f>VLOOKUP(V1510,ターン数別攻撃係数!$A$1:$B$1000,2,FALSE)</f>
        <v>1</v>
      </c>
      <c r="X1510" s="9">
        <f>VLOOKUP(C1510,サイズ別係数!A$2:B$9,2,FALSE)</f>
        <v>25</v>
      </c>
      <c r="Y1510" s="97">
        <f>VLOOKUP($X1510,サイズ別係数!$B:$E,2,FALSE)</f>
        <v>1.2</v>
      </c>
      <c r="Z1510" s="97">
        <f>VLOOKUP($X1510,サイズ別係数!$B:$E,3,FALSE)</f>
        <v>1.25</v>
      </c>
      <c r="AA1510" s="97">
        <f>VLOOKUP($X1510,サイズ別係数!$B:$E,4,FALSE)</f>
        <v>1.1499999999999999</v>
      </c>
      <c r="AB1510" s="10">
        <v>0</v>
      </c>
      <c r="AC1510" s="6" t="str">
        <f ca="1">VLOOKUP($AB1510,OFFSET([3]enemy_skill_sets!$B$2,0,0,COUNTA([3]enemy_skill_sets!$A:$A),MATCH(AC$1,[3]enemy_skill_sets!$1:$1,0)-MATCH($AB$1,[3]enemy_skill_sets!$1:$1,0)+1),MATCH(AC$1,[3]enemy_skill_sets!$1:$1,0)-MATCH($AB$1,[3]enemy_skill_sets!$1:$1,0)+1,FALSE)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0" s="67">
        <v>1</v>
      </c>
      <c r="AE1510" s="67">
        <v>1</v>
      </c>
      <c r="AF1510" s="68">
        <v>0</v>
      </c>
      <c r="AG1510" s="99">
        <f>ROUND(VLOOKUP(1,enemy_base_stats!$A:$F,2,FALSE) * Y1510* J1510*O1510*E1510*S1510*AD1510*[2]ステータス!$B$2,0)</f>
        <v>4350</v>
      </c>
      <c r="AH1510" s="99">
        <f>ROUND(VLOOKUP(1,enemy_base_stats!$A:$F,3,FALSE) * Z1510*K1510*P1510*F1510*T1510*AE1510 * W1510*[2]ステータス!$C$2,0)</f>
        <v>211</v>
      </c>
      <c r="AI1510" s="99">
        <f>ROUND(VLOOKUP(1,enemy_base_stats!$A:$F,4,FALSE) * AA1510*L1510*Q1510*G1510*U1510*AF1510*[2]ステータス!$D$2,0)</f>
        <v>0</v>
      </c>
      <c r="AJ1510" s="99">
        <f>ROUND(VLOOKUP(100,enemy_base_stats!$A:$F,2,FALSE) * Y1510* J1510*O1510*E1510*S1510*AD1510*[2]ステータス!$B$2,0)</f>
        <v>176610</v>
      </c>
      <c r="AK1510" s="99">
        <f>ROUND(VLOOKUP(100,enemy_base_stats!$A:$F,3,FALSE)* Z1510* K1510*P1510*F1510*T1510*AE1510 * W1510*[2]ステータス!$C$2,0)</f>
        <v>8580</v>
      </c>
      <c r="AL1510" s="99">
        <f>ROUND(VLOOKUP(100,enemy_base_stats!$A:$F,4,FALSE)* AA1510* L1510*Q1510*G1510*U1510*AF1510*[2]ステータス!$D$2,0)</f>
        <v>0</v>
      </c>
      <c r="AM1510" s="97">
        <f>VLOOKUP(M1510,[2]character_tribe_i18n!$A:$I,9,FALSE)</f>
        <v>340</v>
      </c>
      <c r="AN1510" s="97">
        <v>0</v>
      </c>
      <c r="AO1510" s="98">
        <v>0</v>
      </c>
      <c r="AP1510" s="58" t="s">
        <v>72</v>
      </c>
      <c r="AQ1510" s="34">
        <f t="shared" si="93"/>
        <v>8025</v>
      </c>
    </row>
    <row r="1511" spans="1:43" ht="21" customHeight="1" x14ac:dyDescent="0.15">
      <c r="A1511" s="105">
        <v>8026</v>
      </c>
      <c r="B1511" s="6" t="str">
        <f>VLOOKUP(A1511,[2]characters!$A:$C,3,FALSE)</f>
        <v>MEIKO</v>
      </c>
      <c r="C1511" s="9">
        <f>VLOOKUP(A1511,[2]characters!$A:$I,9,FALSE)</f>
        <v>4</v>
      </c>
      <c r="D1511" s="9" t="str">
        <f>VLOOKUP(A1511,[2]characters!$A:$H,8,FALSE)</f>
        <v>red</v>
      </c>
      <c r="E1511" s="97">
        <f>VLOOKUP(D1511,[2]属性!$A:$E,2,FALSE)</f>
        <v>1</v>
      </c>
      <c r="F1511" s="97">
        <f>VLOOKUP(D1511,[2]属性!$A:$E,3,FALSE)</f>
        <v>1.02</v>
      </c>
      <c r="G1511" s="97">
        <f>VLOOKUP(D1511,[2]属性!$A:$F,4,FALSE)</f>
        <v>1</v>
      </c>
      <c r="H1511" s="9" t="str">
        <f>VLOOKUP(A1511,[2]characters!$A:$K,11,FALSE)</f>
        <v>hp</v>
      </c>
      <c r="I1511" s="6" t="str">
        <f>VLOOKUP(H1511,[2]character_type_i18n!$A:$F,3,FALSE)</f>
        <v>体力タイプ</v>
      </c>
      <c r="J1511" s="97">
        <f>VLOOKUP(H1511,[2]character_type_i18n!$A:$F,4,FALSE)</f>
        <v>1.45</v>
      </c>
      <c r="K1511" s="97">
        <f>VLOOKUP(H1511,[2]character_type_i18n!$A:$F,5,FALSE)</f>
        <v>0.85</v>
      </c>
      <c r="L1511" s="97">
        <f>VLOOKUP(H1511,[2]character_type_i18n!$A:$F,6,FALSE)</f>
        <v>1</v>
      </c>
      <c r="M1511" s="9" t="str">
        <f>VLOOKUP(A1511,[2]characters!$A:$M,13,FALSE)</f>
        <v>unknown</v>
      </c>
      <c r="N1511" s="6" t="str">
        <f>VLOOKUP(M1511,[2]character_tribe_i18n!$A:$F,3,FALSE)</f>
        <v>Unknown</v>
      </c>
      <c r="O1511" s="97">
        <f>VLOOKUP(M1511,[2]character_tribe_i18n!$A:$F,4,FALSE)</f>
        <v>1</v>
      </c>
      <c r="P1511" s="97">
        <f>VLOOKUP(M1511,[2]character_tribe_i18n!$A:$F,5,FALSE)</f>
        <v>1</v>
      </c>
      <c r="Q1511" s="97">
        <f>VLOOKUP(M1511,[2]character_tribe_i18n!$A:$F,6,FALSE)</f>
        <v>1</v>
      </c>
      <c r="R1511" s="98" t="s">
        <v>98</v>
      </c>
      <c r="S1511" s="97">
        <f>VLOOKUP($R1511,ラベル別係数!$A$1:$E$7,3,FALSE)</f>
        <v>5</v>
      </c>
      <c r="T1511" s="97">
        <f>VLOOKUP($R1511,ラベル別係数!$A$1:$E$7,4,FALSE)</f>
        <v>1.3</v>
      </c>
      <c r="U1511" s="97">
        <f>VLOOKUP($R1511,ラベル別係数!$A$1:$E$7,5,FALSE)</f>
        <v>0.8</v>
      </c>
      <c r="V1511" s="98">
        <v>3</v>
      </c>
      <c r="W1511" s="99">
        <f>VLOOKUP(V1511,ターン数別攻撃係数!$A$1:$B$1000,2,FALSE)</f>
        <v>1</v>
      </c>
      <c r="X1511" s="9">
        <f>VLOOKUP(C1511,サイズ別係数!A$2:B$9,2,FALSE)</f>
        <v>30</v>
      </c>
      <c r="Y1511" s="97">
        <f>VLOOKUP($X1511,サイズ別係数!$B:$E,2,FALSE)</f>
        <v>1.3</v>
      </c>
      <c r="Z1511" s="97">
        <f>VLOOKUP($X1511,サイズ別係数!$B:$E,3,FALSE)</f>
        <v>1.3</v>
      </c>
      <c r="AA1511" s="97">
        <f>VLOOKUP($X1511,サイズ別係数!$B:$E,4,FALSE)</f>
        <v>1.1000000000000001</v>
      </c>
      <c r="AB1511" s="10">
        <v>0</v>
      </c>
      <c r="AC1511" s="6" t="str">
        <f ca="1">VLOOKUP($AB1511,OFFSET([3]enemy_skill_sets!$B$2,0,0,COUNTA([3]enemy_skill_sets!$A:$A),MATCH(AC$1,[3]enemy_skill_sets!$1:$1,0)-MATCH($AB$1,[3]enemy_skill_sets!$1:$1,0)+1),MATCH(AC$1,[3]enemy_skill_sets!$1:$1,0)-MATCH($AB$1,[3]enemy_skill_sets!$1:$1,0)+1,FALSE)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1" s="67">
        <v>1</v>
      </c>
      <c r="AE1511" s="67">
        <v>1</v>
      </c>
      <c r="AF1511" s="68">
        <v>0</v>
      </c>
      <c r="AG1511" s="99">
        <f>ROUND(VLOOKUP(1,enemy_base_stats!$A:$F,2,FALSE) * Y1511* J1511*O1511*E1511*S1511*AD1511*[2]ステータス!$B$2,0)</f>
        <v>4713</v>
      </c>
      <c r="AH1511" s="99">
        <f>ROUND(VLOOKUP(1,enemy_base_stats!$A:$F,3,FALSE) * Z1511*K1511*P1511*F1511*T1511*AE1511 * W1511*[2]ステータス!$C$2,0)</f>
        <v>220</v>
      </c>
      <c r="AI1511" s="99">
        <f>ROUND(VLOOKUP(1,enemy_base_stats!$A:$F,4,FALSE) * AA1511*L1511*Q1511*G1511*U1511*AF1511*[2]ステータス!$D$2,0)</f>
        <v>0</v>
      </c>
      <c r="AJ1511" s="99">
        <f>ROUND(VLOOKUP(100,enemy_base_stats!$A:$F,2,FALSE) * Y1511* J1511*O1511*E1511*S1511*AD1511*[2]ステータス!$B$2,0)</f>
        <v>191328</v>
      </c>
      <c r="AK1511" s="99">
        <f>ROUND(VLOOKUP(100,enemy_base_stats!$A:$F,3,FALSE)* Z1511* K1511*P1511*F1511*T1511*AE1511 * W1511*[2]ステータス!$C$2,0)</f>
        <v>8923</v>
      </c>
      <c r="AL1511" s="99">
        <f>ROUND(VLOOKUP(100,enemy_base_stats!$A:$F,4,FALSE)* AA1511* L1511*Q1511*G1511*U1511*AF1511*[2]ステータス!$D$2,0)</f>
        <v>0</v>
      </c>
      <c r="AM1511" s="97">
        <f>VLOOKUP(M1511,[2]character_tribe_i18n!$A:$I,9,FALSE)</f>
        <v>340</v>
      </c>
      <c r="AN1511" s="97">
        <v>0</v>
      </c>
      <c r="AO1511" s="98">
        <v>0</v>
      </c>
      <c r="AP1511" s="58" t="s">
        <v>72</v>
      </c>
      <c r="AQ1511" s="34">
        <f t="shared" si="93"/>
        <v>8026</v>
      </c>
    </row>
    <row r="1512" spans="1:43" ht="21" customHeight="1" x14ac:dyDescent="0.15">
      <c r="A1512" s="105">
        <v>8027</v>
      </c>
      <c r="B1512" s="6" t="str">
        <f>VLOOKUP(A1512,[2]characters!$A:$C,3,FALSE)</f>
        <v>KAITO</v>
      </c>
      <c r="C1512" s="9">
        <f>VLOOKUP(A1512,[2]characters!$A:$I,9,FALSE)</f>
        <v>3</v>
      </c>
      <c r="D1512" s="9" t="str">
        <f>VLOOKUP(A1512,[2]characters!$A:$H,8,FALSE)</f>
        <v>blue</v>
      </c>
      <c r="E1512" s="97">
        <f>VLOOKUP(D1512,[2]属性!$A:$E,2,FALSE)</f>
        <v>1</v>
      </c>
      <c r="F1512" s="97">
        <f>VLOOKUP(D1512,[2]属性!$A:$E,3,FALSE)</f>
        <v>0.98</v>
      </c>
      <c r="G1512" s="97">
        <f>VLOOKUP(D1512,[2]属性!$A:$F,4,FALSE)</f>
        <v>1</v>
      </c>
      <c r="H1512" s="9" t="str">
        <f>VLOOKUP(A1512,[2]characters!$A:$K,11,FALSE)</f>
        <v>technical</v>
      </c>
      <c r="I1512" s="6" t="str">
        <f>VLOOKUP(H1512,[2]character_type_i18n!$A:$F,3,FALSE)</f>
        <v>テクニカルタイプ</v>
      </c>
      <c r="J1512" s="97">
        <f>VLOOKUP(H1512,[2]character_type_i18n!$A:$F,4,FALSE)</f>
        <v>0.9</v>
      </c>
      <c r="K1512" s="97">
        <f>VLOOKUP(H1512,[2]character_type_i18n!$A:$F,5,FALSE)</f>
        <v>0.9</v>
      </c>
      <c r="L1512" s="97">
        <f>VLOOKUP(H1512,[2]character_type_i18n!$A:$F,6,FALSE)</f>
        <v>1</v>
      </c>
      <c r="M1512" s="9" t="str">
        <f>VLOOKUP(A1512,[2]characters!$A:$M,13,FALSE)</f>
        <v>unknown</v>
      </c>
      <c r="N1512" s="6" t="str">
        <f>VLOOKUP(M1512,[2]character_tribe_i18n!$A:$F,3,FALSE)</f>
        <v>Unknown</v>
      </c>
      <c r="O1512" s="97">
        <f>VLOOKUP(M1512,[2]character_tribe_i18n!$A:$F,4,FALSE)</f>
        <v>1</v>
      </c>
      <c r="P1512" s="97">
        <f>VLOOKUP(M1512,[2]character_tribe_i18n!$A:$F,5,FALSE)</f>
        <v>1</v>
      </c>
      <c r="Q1512" s="97">
        <f>VLOOKUP(M1512,[2]character_tribe_i18n!$A:$F,6,FALSE)</f>
        <v>1</v>
      </c>
      <c r="R1512" s="98" t="s">
        <v>98</v>
      </c>
      <c r="S1512" s="97">
        <f>VLOOKUP($R1512,ラベル別係数!$A$1:$E$7,3,FALSE)</f>
        <v>5</v>
      </c>
      <c r="T1512" s="97">
        <f>VLOOKUP($R1512,ラベル別係数!$A$1:$E$7,4,FALSE)</f>
        <v>1.3</v>
      </c>
      <c r="U1512" s="97">
        <f>VLOOKUP($R1512,ラベル別係数!$A$1:$E$7,5,FALSE)</f>
        <v>0.8</v>
      </c>
      <c r="V1512" s="98">
        <v>3</v>
      </c>
      <c r="W1512" s="99">
        <f>VLOOKUP(V1512,ターン数別攻撃係数!$A$1:$B$1000,2,FALSE)</f>
        <v>1</v>
      </c>
      <c r="X1512" s="9">
        <f>VLOOKUP(C1512,サイズ別係数!A$2:B$9,2,FALSE)</f>
        <v>25</v>
      </c>
      <c r="Y1512" s="97">
        <f>VLOOKUP($X1512,サイズ別係数!$B:$E,2,FALSE)</f>
        <v>1.2</v>
      </c>
      <c r="Z1512" s="97">
        <f>VLOOKUP($X1512,サイズ別係数!$B:$E,3,FALSE)</f>
        <v>1.25</v>
      </c>
      <c r="AA1512" s="97">
        <f>VLOOKUP($X1512,サイズ別係数!$B:$E,4,FALSE)</f>
        <v>1.1499999999999999</v>
      </c>
      <c r="AB1512" s="10">
        <v>0</v>
      </c>
      <c r="AC1512" s="6" t="str">
        <f ca="1">VLOOKUP($AB1512,OFFSET([3]enemy_skill_sets!$B$2,0,0,COUNTA([3]enemy_skill_sets!$A:$A),MATCH(AC$1,[3]enemy_skill_sets!$1:$1,0)-MATCH($AB$1,[3]enemy_skill_sets!$1:$1,0)+1),MATCH(AC$1,[3]enemy_skill_sets!$1:$1,0)-MATCH($AB$1,[3]enemy_skill_sets!$1:$1,0)+1,FALSE)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2" s="67">
        <v>1</v>
      </c>
      <c r="AE1512" s="67">
        <v>1</v>
      </c>
      <c r="AF1512" s="68">
        <v>0</v>
      </c>
      <c r="AG1512" s="99">
        <f>ROUND(VLOOKUP(1,enemy_base_stats!$A:$F,2,FALSE) * Y1512* J1512*O1512*E1512*S1512*AD1512*[2]ステータス!$B$2,0)</f>
        <v>2700</v>
      </c>
      <c r="AH1512" s="99">
        <f>ROUND(VLOOKUP(1,enemy_base_stats!$A:$F,3,FALSE) * Z1512*K1512*P1512*F1512*T1512*AE1512 * W1512*[2]ステータス!$C$2,0)</f>
        <v>215</v>
      </c>
      <c r="AI1512" s="99">
        <f>ROUND(VLOOKUP(1,enemy_base_stats!$A:$F,4,FALSE) * AA1512*L1512*Q1512*G1512*U1512*AF1512*[2]ステータス!$D$2,0)</f>
        <v>0</v>
      </c>
      <c r="AJ1512" s="99">
        <f>ROUND(VLOOKUP(100,enemy_base_stats!$A:$F,2,FALSE) * Y1512* J1512*O1512*E1512*S1512*AD1512*[2]ステータス!$B$2,0)</f>
        <v>109620</v>
      </c>
      <c r="AK1512" s="99">
        <f>ROUND(VLOOKUP(100,enemy_base_stats!$A:$F,3,FALSE)* Z1512* K1512*P1512*F1512*T1512*AE1512 * W1512*[2]ステータス!$C$2,0)</f>
        <v>8728</v>
      </c>
      <c r="AL1512" s="99">
        <f>ROUND(VLOOKUP(100,enemy_base_stats!$A:$F,4,FALSE)* AA1512* L1512*Q1512*G1512*U1512*AF1512*[2]ステータス!$D$2,0)</f>
        <v>0</v>
      </c>
      <c r="AM1512" s="97">
        <f>VLOOKUP(M1512,[2]character_tribe_i18n!$A:$I,9,FALSE)</f>
        <v>340</v>
      </c>
      <c r="AN1512" s="97">
        <v>0</v>
      </c>
      <c r="AO1512" s="98">
        <v>0</v>
      </c>
      <c r="AP1512" s="58" t="s">
        <v>72</v>
      </c>
      <c r="AQ1512" s="34">
        <f t="shared" si="93"/>
        <v>8027</v>
      </c>
    </row>
    <row r="1513" spans="1:43" ht="21" customHeight="1" x14ac:dyDescent="0.15">
      <c r="A1513" s="105">
        <v>8028</v>
      </c>
      <c r="B1513" s="6" t="str">
        <f>VLOOKUP(A1513,[2]characters!$A:$C,3,FALSE)</f>
        <v>KAITO</v>
      </c>
      <c r="C1513" s="9">
        <f>VLOOKUP(A1513,[2]characters!$A:$I,9,FALSE)</f>
        <v>4</v>
      </c>
      <c r="D1513" s="9" t="str">
        <f>VLOOKUP(A1513,[2]characters!$A:$H,8,FALSE)</f>
        <v>blue</v>
      </c>
      <c r="E1513" s="97">
        <f>VLOOKUP(D1513,[2]属性!$A:$E,2,FALSE)</f>
        <v>1</v>
      </c>
      <c r="F1513" s="97">
        <f>VLOOKUP(D1513,[2]属性!$A:$E,3,FALSE)</f>
        <v>0.98</v>
      </c>
      <c r="G1513" s="97">
        <f>VLOOKUP(D1513,[2]属性!$A:$F,4,FALSE)</f>
        <v>1</v>
      </c>
      <c r="H1513" s="9" t="str">
        <f>VLOOKUP(A1513,[2]characters!$A:$K,11,FALSE)</f>
        <v>technical</v>
      </c>
      <c r="I1513" s="6" t="str">
        <f>VLOOKUP(H1513,[2]character_type_i18n!$A:$F,3,FALSE)</f>
        <v>テクニカルタイプ</v>
      </c>
      <c r="J1513" s="97">
        <f>VLOOKUP(H1513,[2]character_type_i18n!$A:$F,4,FALSE)</f>
        <v>0.9</v>
      </c>
      <c r="K1513" s="97">
        <f>VLOOKUP(H1513,[2]character_type_i18n!$A:$F,5,FALSE)</f>
        <v>0.9</v>
      </c>
      <c r="L1513" s="97">
        <f>VLOOKUP(H1513,[2]character_type_i18n!$A:$F,6,FALSE)</f>
        <v>1</v>
      </c>
      <c r="M1513" s="9" t="str">
        <f>VLOOKUP(A1513,[2]characters!$A:$M,13,FALSE)</f>
        <v>unknown</v>
      </c>
      <c r="N1513" s="6" t="str">
        <f>VLOOKUP(M1513,[2]character_tribe_i18n!$A:$F,3,FALSE)</f>
        <v>Unknown</v>
      </c>
      <c r="O1513" s="97">
        <f>VLOOKUP(M1513,[2]character_tribe_i18n!$A:$F,4,FALSE)</f>
        <v>1</v>
      </c>
      <c r="P1513" s="97">
        <f>VLOOKUP(M1513,[2]character_tribe_i18n!$A:$F,5,FALSE)</f>
        <v>1</v>
      </c>
      <c r="Q1513" s="97">
        <f>VLOOKUP(M1513,[2]character_tribe_i18n!$A:$F,6,FALSE)</f>
        <v>1</v>
      </c>
      <c r="R1513" s="98" t="s">
        <v>98</v>
      </c>
      <c r="S1513" s="97">
        <f>VLOOKUP($R1513,ラベル別係数!$A$1:$E$7,3,FALSE)</f>
        <v>5</v>
      </c>
      <c r="T1513" s="97">
        <f>VLOOKUP($R1513,ラベル別係数!$A$1:$E$7,4,FALSE)</f>
        <v>1.3</v>
      </c>
      <c r="U1513" s="97">
        <f>VLOOKUP($R1513,ラベル別係数!$A$1:$E$7,5,FALSE)</f>
        <v>0.8</v>
      </c>
      <c r="V1513" s="98">
        <v>3</v>
      </c>
      <c r="W1513" s="99">
        <f>VLOOKUP(V1513,ターン数別攻撃係数!$A$1:$B$1000,2,FALSE)</f>
        <v>1</v>
      </c>
      <c r="X1513" s="9">
        <f>VLOOKUP(C1513,サイズ別係数!A$2:B$9,2,FALSE)</f>
        <v>30</v>
      </c>
      <c r="Y1513" s="97">
        <f>VLOOKUP($X1513,サイズ別係数!$B:$E,2,FALSE)</f>
        <v>1.3</v>
      </c>
      <c r="Z1513" s="97">
        <f>VLOOKUP($X1513,サイズ別係数!$B:$E,3,FALSE)</f>
        <v>1.3</v>
      </c>
      <c r="AA1513" s="97">
        <f>VLOOKUP($X1513,サイズ別係数!$B:$E,4,FALSE)</f>
        <v>1.1000000000000001</v>
      </c>
      <c r="AB1513" s="10">
        <v>0</v>
      </c>
      <c r="AC1513" s="6" t="str">
        <f ca="1">VLOOKUP($AB1513,OFFSET([3]enemy_skill_sets!$B$2,0,0,COUNTA([3]enemy_skill_sets!$A:$A),MATCH(AC$1,[3]enemy_skill_sets!$1:$1,0)-MATCH($AB$1,[3]enemy_skill_sets!$1:$1,0)+1),MATCH(AC$1,[3]enemy_skill_sets!$1:$1,0)-MATCH($AB$1,[3]enemy_skill_sets!$1:$1,0)+1,FALSE)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3" s="67">
        <v>1</v>
      </c>
      <c r="AE1513" s="67">
        <v>1</v>
      </c>
      <c r="AF1513" s="68">
        <v>0</v>
      </c>
      <c r="AG1513" s="99">
        <f>ROUND(VLOOKUP(1,enemy_base_stats!$A:$F,2,FALSE) * Y1513* J1513*O1513*E1513*S1513*AD1513*[2]ステータス!$B$2,0)</f>
        <v>2925</v>
      </c>
      <c r="AH1513" s="99">
        <f>ROUND(VLOOKUP(1,enemy_base_stats!$A:$F,3,FALSE) * Z1513*K1513*P1513*F1513*T1513*AE1513 * W1513*[2]ステータス!$C$2,0)</f>
        <v>224</v>
      </c>
      <c r="AI1513" s="99">
        <f>ROUND(VLOOKUP(1,enemy_base_stats!$A:$F,4,FALSE) * AA1513*L1513*Q1513*G1513*U1513*AF1513*[2]ステータス!$D$2,0)</f>
        <v>0</v>
      </c>
      <c r="AJ1513" s="99">
        <f>ROUND(VLOOKUP(100,enemy_base_stats!$A:$F,2,FALSE) * Y1513* J1513*O1513*E1513*S1513*AD1513*[2]ステータス!$B$2,0)</f>
        <v>118755</v>
      </c>
      <c r="AK1513" s="99">
        <f>ROUND(VLOOKUP(100,enemy_base_stats!$A:$F,3,FALSE)* Z1513* K1513*P1513*F1513*T1513*AE1513 * W1513*[2]ステータス!$C$2,0)</f>
        <v>9078</v>
      </c>
      <c r="AL1513" s="99">
        <f>ROUND(VLOOKUP(100,enemy_base_stats!$A:$F,4,FALSE)* AA1513* L1513*Q1513*G1513*U1513*AF1513*[2]ステータス!$D$2,0)</f>
        <v>0</v>
      </c>
      <c r="AM1513" s="97">
        <f>VLOOKUP(M1513,[2]character_tribe_i18n!$A:$I,9,FALSE)</f>
        <v>340</v>
      </c>
      <c r="AN1513" s="97">
        <v>0</v>
      </c>
      <c r="AO1513" s="98">
        <v>0</v>
      </c>
      <c r="AP1513" s="58" t="s">
        <v>72</v>
      </c>
      <c r="AQ1513" s="34">
        <f t="shared" si="93"/>
        <v>8028</v>
      </c>
    </row>
    <row r="1514" spans="1:43" ht="21" customHeight="1" x14ac:dyDescent="0.15">
      <c r="A1514" s="105">
        <v>8029</v>
      </c>
      <c r="B1514" s="6" t="str">
        <f>VLOOKUP(A1514,[2]characters!$A:$C,3,FALSE)</f>
        <v>Expoミク</v>
      </c>
      <c r="C1514" s="9">
        <f>VLOOKUP(A1514,[2]characters!$A:$I,9,FALSE)</f>
        <v>4</v>
      </c>
      <c r="D1514" s="9" t="str">
        <f>VLOOKUP(A1514,[2]characters!$A:$H,8,FALSE)</f>
        <v>blue</v>
      </c>
      <c r="E1514" s="97">
        <f>VLOOKUP(D1514,[2]属性!$A:$E,2,FALSE)</f>
        <v>1</v>
      </c>
      <c r="F1514" s="97">
        <f>VLOOKUP(D1514,[2]属性!$A:$E,3,FALSE)</f>
        <v>0.98</v>
      </c>
      <c r="G1514" s="97">
        <f>VLOOKUP(D1514,[2]属性!$A:$F,4,FALSE)</f>
        <v>1</v>
      </c>
      <c r="H1514" s="9" t="str">
        <f>VLOOKUP(A1514,[2]characters!$A:$K,11,FALSE)</f>
        <v>heal</v>
      </c>
      <c r="I1514" s="6" t="str">
        <f>VLOOKUP(H1514,[2]character_type_i18n!$A:$F,3,FALSE)</f>
        <v>回復タイプ</v>
      </c>
      <c r="J1514" s="97">
        <f>VLOOKUP(H1514,[2]character_type_i18n!$A:$F,4,FALSE)</f>
        <v>0.8</v>
      </c>
      <c r="K1514" s="97">
        <f>VLOOKUP(H1514,[2]character_type_i18n!$A:$F,5,FALSE)</f>
        <v>0.78</v>
      </c>
      <c r="L1514" s="97">
        <f>VLOOKUP(H1514,[2]character_type_i18n!$A:$F,6,FALSE)</f>
        <v>1</v>
      </c>
      <c r="M1514" s="9" t="str">
        <f>VLOOKUP(A1514,[2]characters!$A:$M,13,FALSE)</f>
        <v>unknown</v>
      </c>
      <c r="N1514" s="6" t="str">
        <f>VLOOKUP(M1514,[2]character_tribe_i18n!$A:$F,3,FALSE)</f>
        <v>Unknown</v>
      </c>
      <c r="O1514" s="97">
        <f>VLOOKUP(M1514,[2]character_tribe_i18n!$A:$F,4,FALSE)</f>
        <v>1</v>
      </c>
      <c r="P1514" s="97">
        <f>VLOOKUP(M1514,[2]character_tribe_i18n!$A:$F,5,FALSE)</f>
        <v>1</v>
      </c>
      <c r="Q1514" s="97">
        <f>VLOOKUP(M1514,[2]character_tribe_i18n!$A:$F,6,FALSE)</f>
        <v>1</v>
      </c>
      <c r="R1514" s="98" t="s">
        <v>98</v>
      </c>
      <c r="S1514" s="97">
        <f>VLOOKUP($R1514,ラベル別係数!$A$1:$E$7,3,FALSE)</f>
        <v>5</v>
      </c>
      <c r="T1514" s="97">
        <f>VLOOKUP($R1514,ラベル別係数!$A$1:$E$7,4,FALSE)</f>
        <v>1.3</v>
      </c>
      <c r="U1514" s="97">
        <f>VLOOKUP($R1514,ラベル別係数!$A$1:$E$7,5,FALSE)</f>
        <v>0.8</v>
      </c>
      <c r="V1514" s="98">
        <v>3</v>
      </c>
      <c r="W1514" s="99">
        <f>VLOOKUP(V1514,ターン数別攻撃係数!$A$1:$B$1000,2,FALSE)</f>
        <v>1</v>
      </c>
      <c r="X1514" s="9">
        <f>VLOOKUP(C1514,サイズ別係数!A$2:B$9,2,FALSE)</f>
        <v>30</v>
      </c>
      <c r="Y1514" s="97">
        <f>VLOOKUP($X1514,サイズ別係数!$B:$E,2,FALSE)</f>
        <v>1.3</v>
      </c>
      <c r="Z1514" s="97">
        <f>VLOOKUP($X1514,サイズ別係数!$B:$E,3,FALSE)</f>
        <v>1.3</v>
      </c>
      <c r="AA1514" s="97">
        <f>VLOOKUP($X1514,サイズ別係数!$B:$E,4,FALSE)</f>
        <v>1.1000000000000001</v>
      </c>
      <c r="AB1514" s="10">
        <v>0</v>
      </c>
      <c r="AC1514" s="6" t="str">
        <f ca="1">VLOOKUP($AB1514,OFFSET([3]enemy_skill_sets!$B$2,0,0,COUNTA([3]enemy_skill_sets!$A:$A),MATCH(AC$1,[3]enemy_skill_sets!$1:$1,0)-MATCH($AB$1,[3]enemy_skill_sets!$1:$1,0)+1),MATCH(AC$1,[3]enemy_skill_sets!$1:$1,0)-MATCH($AB$1,[3]enemy_skill_sets!$1:$1,0)+1,FALSE)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4" s="67">
        <v>1</v>
      </c>
      <c r="AE1514" s="67">
        <v>1</v>
      </c>
      <c r="AF1514" s="68">
        <v>0</v>
      </c>
      <c r="AG1514" s="99">
        <f>ROUND(VLOOKUP(1,enemy_base_stats!$A:$F,2,FALSE) * Y1514* J1514*O1514*E1514*S1514*AD1514*[2]ステータス!$B$2,0)</f>
        <v>2600</v>
      </c>
      <c r="AH1514" s="99">
        <f>ROUND(VLOOKUP(1,enemy_base_stats!$A:$F,3,FALSE) * Z1514*K1514*P1514*F1514*T1514*AE1514 * W1514*[2]ステータス!$C$2,0)</f>
        <v>194</v>
      </c>
      <c r="AI1514" s="99">
        <f>ROUND(VLOOKUP(1,enemy_base_stats!$A:$F,4,FALSE) * AA1514*L1514*Q1514*G1514*U1514*AF1514*[2]ステータス!$D$2,0)</f>
        <v>0</v>
      </c>
      <c r="AJ1514" s="99">
        <f>ROUND(VLOOKUP(100,enemy_base_stats!$A:$F,2,FALSE) * Y1514* J1514*O1514*E1514*S1514*AD1514*[2]ステータス!$B$2,0)</f>
        <v>105560</v>
      </c>
      <c r="AK1514" s="99">
        <f>ROUND(VLOOKUP(100,enemy_base_stats!$A:$F,3,FALSE)* Z1514* K1514*P1514*F1514*T1514*AE1514 * W1514*[2]ステータス!$C$2,0)</f>
        <v>7867</v>
      </c>
      <c r="AL1514" s="99">
        <f>ROUND(VLOOKUP(100,enemy_base_stats!$A:$F,4,FALSE)* AA1514* L1514*Q1514*G1514*U1514*AF1514*[2]ステータス!$D$2,0)</f>
        <v>0</v>
      </c>
      <c r="AM1514" s="97">
        <f>VLOOKUP(M1514,[2]character_tribe_i18n!$A:$I,9,FALSE)</f>
        <v>340</v>
      </c>
      <c r="AN1514" s="97">
        <v>0</v>
      </c>
      <c r="AO1514" s="98">
        <v>0</v>
      </c>
      <c r="AP1514" s="58" t="s">
        <v>72</v>
      </c>
      <c r="AQ1514" s="34">
        <f t="shared" si="93"/>
        <v>8029</v>
      </c>
    </row>
    <row r="1515" spans="1:43" ht="21" customHeight="1" x14ac:dyDescent="0.15">
      <c r="A1515" s="105">
        <v>8030</v>
      </c>
      <c r="B1515" s="6" t="str">
        <f>VLOOKUP(A1515,[2]characters!$A:$C,3,FALSE)</f>
        <v>Expoミク</v>
      </c>
      <c r="C1515" s="9">
        <f>VLOOKUP(A1515,[2]characters!$A:$I,9,FALSE)</f>
        <v>5</v>
      </c>
      <c r="D1515" s="9" t="str">
        <f>VLOOKUP(A1515,[2]characters!$A:$H,8,FALSE)</f>
        <v>blue</v>
      </c>
      <c r="E1515" s="97">
        <f>VLOOKUP(D1515,[2]属性!$A:$E,2,FALSE)</f>
        <v>1</v>
      </c>
      <c r="F1515" s="97">
        <f>VLOOKUP(D1515,[2]属性!$A:$E,3,FALSE)</f>
        <v>0.98</v>
      </c>
      <c r="G1515" s="97">
        <f>VLOOKUP(D1515,[2]属性!$A:$F,4,FALSE)</f>
        <v>1</v>
      </c>
      <c r="H1515" s="9" t="str">
        <f>VLOOKUP(A1515,[2]characters!$A:$K,11,FALSE)</f>
        <v>heal</v>
      </c>
      <c r="I1515" s="6" t="str">
        <f>VLOOKUP(H1515,[2]character_type_i18n!$A:$F,3,FALSE)</f>
        <v>回復タイプ</v>
      </c>
      <c r="J1515" s="97">
        <f>VLOOKUP(H1515,[2]character_type_i18n!$A:$F,4,FALSE)</f>
        <v>0.8</v>
      </c>
      <c r="K1515" s="97">
        <f>VLOOKUP(H1515,[2]character_type_i18n!$A:$F,5,FALSE)</f>
        <v>0.78</v>
      </c>
      <c r="L1515" s="97">
        <f>VLOOKUP(H1515,[2]character_type_i18n!$A:$F,6,FALSE)</f>
        <v>1</v>
      </c>
      <c r="M1515" s="9" t="str">
        <f>VLOOKUP(A1515,[2]characters!$A:$M,13,FALSE)</f>
        <v>unknown</v>
      </c>
      <c r="N1515" s="6" t="str">
        <f>VLOOKUP(M1515,[2]character_tribe_i18n!$A:$F,3,FALSE)</f>
        <v>Unknown</v>
      </c>
      <c r="O1515" s="97">
        <f>VLOOKUP(M1515,[2]character_tribe_i18n!$A:$F,4,FALSE)</f>
        <v>1</v>
      </c>
      <c r="P1515" s="97">
        <f>VLOOKUP(M1515,[2]character_tribe_i18n!$A:$F,5,FALSE)</f>
        <v>1</v>
      </c>
      <c r="Q1515" s="97">
        <f>VLOOKUP(M1515,[2]character_tribe_i18n!$A:$F,6,FALSE)</f>
        <v>1</v>
      </c>
      <c r="R1515" s="98" t="s">
        <v>98</v>
      </c>
      <c r="S1515" s="97">
        <f>VLOOKUP($R1515,ラベル別係数!$A$1:$E$7,3,FALSE)</f>
        <v>5</v>
      </c>
      <c r="T1515" s="97">
        <f>VLOOKUP($R1515,ラベル別係数!$A$1:$E$7,4,FALSE)</f>
        <v>1.3</v>
      </c>
      <c r="U1515" s="97">
        <f>VLOOKUP($R1515,ラベル別係数!$A$1:$E$7,5,FALSE)</f>
        <v>0.8</v>
      </c>
      <c r="V1515" s="98">
        <v>3</v>
      </c>
      <c r="W1515" s="99">
        <f>VLOOKUP(V1515,ターン数別攻撃係数!$A$1:$B$1000,2,FALSE)</f>
        <v>1</v>
      </c>
      <c r="X1515" s="9">
        <f>VLOOKUP(C1515,サイズ別係数!A$2:B$9,2,FALSE)</f>
        <v>60</v>
      </c>
      <c r="Y1515" s="97">
        <f>VLOOKUP($X1515,サイズ別係数!$B:$E,2,FALSE)</f>
        <v>1.7</v>
      </c>
      <c r="Z1515" s="97">
        <f>VLOOKUP($X1515,サイズ別係数!$B:$E,3,FALSE)</f>
        <v>1.4</v>
      </c>
      <c r="AA1515" s="97">
        <f>VLOOKUP($X1515,サイズ別係数!$B:$E,4,FALSE)</f>
        <v>1</v>
      </c>
      <c r="AB1515" s="10">
        <v>0</v>
      </c>
      <c r="AC1515" s="6" t="str">
        <f ca="1">VLOOKUP($AB1515,OFFSET([3]enemy_skill_sets!$B$2,0,0,COUNTA([3]enemy_skill_sets!$A:$A),MATCH(AC$1,[3]enemy_skill_sets!$1:$1,0)-MATCH($AB$1,[3]enemy_skill_sets!$1:$1,0)+1),MATCH(AC$1,[3]enemy_skill_sets!$1:$1,0)-MATCH($AB$1,[3]enemy_skill_sets!$1:$1,0)+1,FALSE)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5" s="67">
        <v>1</v>
      </c>
      <c r="AE1515" s="67">
        <v>1</v>
      </c>
      <c r="AF1515" s="68">
        <v>0</v>
      </c>
      <c r="AG1515" s="99">
        <f>ROUND(VLOOKUP(1,enemy_base_stats!$A:$F,2,FALSE) * Y1515* J1515*O1515*E1515*S1515*AD1515*[2]ステータス!$B$2,0)</f>
        <v>3400</v>
      </c>
      <c r="AH1515" s="99">
        <f>ROUND(VLOOKUP(1,enemy_base_stats!$A:$F,3,FALSE) * Z1515*K1515*P1515*F1515*T1515*AE1515 * W1515*[2]ステータス!$C$2,0)</f>
        <v>209</v>
      </c>
      <c r="AI1515" s="99">
        <f>ROUND(VLOOKUP(1,enemy_base_stats!$A:$F,4,FALSE) * AA1515*L1515*Q1515*G1515*U1515*AF1515*[2]ステータス!$D$2,0)</f>
        <v>0</v>
      </c>
      <c r="AJ1515" s="99">
        <f>ROUND(VLOOKUP(100,enemy_base_stats!$A:$F,2,FALSE) * Y1515* J1515*O1515*E1515*S1515*AD1515*[2]ステータス!$B$2,0)</f>
        <v>138040</v>
      </c>
      <c r="AK1515" s="99">
        <f>ROUND(VLOOKUP(100,enemy_base_stats!$A:$F,3,FALSE)* Z1515* K1515*P1515*F1515*T1515*AE1515 * W1515*[2]ステータス!$C$2,0)</f>
        <v>8472</v>
      </c>
      <c r="AL1515" s="99">
        <f>ROUND(VLOOKUP(100,enemy_base_stats!$A:$F,4,FALSE)* AA1515* L1515*Q1515*G1515*U1515*AF1515*[2]ステータス!$D$2,0)</f>
        <v>0</v>
      </c>
      <c r="AM1515" s="97">
        <f>VLOOKUP(M1515,[2]character_tribe_i18n!$A:$I,9,FALSE)</f>
        <v>340</v>
      </c>
      <c r="AN1515" s="97">
        <v>0</v>
      </c>
      <c r="AO1515" s="98">
        <v>0</v>
      </c>
      <c r="AP1515" s="58" t="s">
        <v>72</v>
      </c>
      <c r="AQ1515" s="34">
        <f t="shared" si="93"/>
        <v>8030</v>
      </c>
    </row>
    <row r="1516" spans="1:43" ht="21" customHeight="1" x14ac:dyDescent="0.15">
      <c r="A1516" s="105">
        <v>8031</v>
      </c>
      <c r="B1516" s="6" t="str">
        <f>VLOOKUP(A1516,[2]characters!$A:$C,3,FALSE)</f>
        <v>閻羅王</v>
      </c>
      <c r="C1516" s="9">
        <f>VLOOKUP(A1516,[2]characters!$A:$I,9,FALSE)</f>
        <v>5</v>
      </c>
      <c r="D1516" s="9" t="str">
        <f>VLOOKUP(A1516,[2]characters!$A:$H,8,FALSE)</f>
        <v>red</v>
      </c>
      <c r="E1516" s="97">
        <f>VLOOKUP(D1516,[2]属性!$A:$E,2,FALSE)</f>
        <v>1</v>
      </c>
      <c r="F1516" s="97">
        <f>VLOOKUP(D1516,[2]属性!$A:$E,3,FALSE)</f>
        <v>1.02</v>
      </c>
      <c r="G1516" s="97">
        <f>VLOOKUP(D1516,[2]属性!$A:$F,4,FALSE)</f>
        <v>1</v>
      </c>
      <c r="H1516" s="9" t="str">
        <f>VLOOKUP(A1516,[2]characters!$A:$K,11,FALSE)</f>
        <v>balance</v>
      </c>
      <c r="I1516" s="6" t="str">
        <f>VLOOKUP(H1516,[2]character_type_i18n!$A:$F,3,FALSE)</f>
        <v>バランスタイプ</v>
      </c>
      <c r="J1516" s="97">
        <f>VLOOKUP(H1516,[2]character_type_i18n!$A:$F,4,FALSE)</f>
        <v>1</v>
      </c>
      <c r="K1516" s="97">
        <f>VLOOKUP(H1516,[2]character_type_i18n!$A:$F,5,FALSE)</f>
        <v>1</v>
      </c>
      <c r="L1516" s="97">
        <f>VLOOKUP(H1516,[2]character_type_i18n!$A:$F,6,FALSE)</f>
        <v>1</v>
      </c>
      <c r="M1516" s="9" t="str">
        <f>VLOOKUP(A1516,[2]characters!$A:$M,13,FALSE)</f>
        <v>god</v>
      </c>
      <c r="N1516" s="6" t="str">
        <f>VLOOKUP(M1516,[2]character_tribe_i18n!$A:$F,3,FALSE)</f>
        <v>ゴッド</v>
      </c>
      <c r="O1516" s="97">
        <f>VLOOKUP(M1516,[2]character_tribe_i18n!$A:$F,4,FALSE)</f>
        <v>0.96</v>
      </c>
      <c r="P1516" s="97">
        <f>VLOOKUP(M1516,[2]character_tribe_i18n!$A:$F,5,FALSE)</f>
        <v>1.02</v>
      </c>
      <c r="Q1516" s="97">
        <f>VLOOKUP(M1516,[2]character_tribe_i18n!$A:$F,6,FALSE)</f>
        <v>1</v>
      </c>
      <c r="R1516" s="98" t="s">
        <v>98</v>
      </c>
      <c r="S1516" s="97">
        <f>VLOOKUP($R1516,ラベル別係数!$A$1:$E$7,3,FALSE)</f>
        <v>5</v>
      </c>
      <c r="T1516" s="97">
        <f>VLOOKUP($R1516,ラベル別係数!$A$1:$E$7,4,FALSE)</f>
        <v>1.3</v>
      </c>
      <c r="U1516" s="97">
        <f>VLOOKUP($R1516,ラベル別係数!$A$1:$E$7,5,FALSE)</f>
        <v>0.8</v>
      </c>
      <c r="V1516" s="98">
        <v>3</v>
      </c>
      <c r="W1516" s="99">
        <f>VLOOKUP(V1516,ターン数別攻撃係数!$A$1:$B$1000,2,FALSE)</f>
        <v>1</v>
      </c>
      <c r="X1516" s="9">
        <f>VLOOKUP(C1516,サイズ別係数!A$2:B$9,2,FALSE)</f>
        <v>60</v>
      </c>
      <c r="Y1516" s="97">
        <f>VLOOKUP($X1516,サイズ別係数!$B:$E,2,FALSE)</f>
        <v>1.7</v>
      </c>
      <c r="Z1516" s="97">
        <f>VLOOKUP($X1516,サイズ別係数!$B:$E,3,FALSE)</f>
        <v>1.4</v>
      </c>
      <c r="AA1516" s="97">
        <f>VLOOKUP($X1516,サイズ別係数!$B:$E,4,FALSE)</f>
        <v>1</v>
      </c>
      <c r="AB1516" s="10">
        <v>0</v>
      </c>
      <c r="AC1516" s="6" t="str">
        <f ca="1">VLOOKUP($AB1516,OFFSET([3]enemy_skill_sets!$B$2,0,0,COUNTA([3]enemy_skill_sets!$A:$A),MATCH(AC$1,[3]enemy_skill_sets!$1:$1,0)-MATCH($AB$1,[3]enemy_skill_sets!$1:$1,0)+1),MATCH(AC$1,[3]enemy_skill_sets!$1:$1,0)-MATCH($AB$1,[3]enemy_skill_sets!$1:$1,0)+1,FALSE)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6" s="67">
        <v>1</v>
      </c>
      <c r="AE1516" s="67">
        <v>1</v>
      </c>
      <c r="AF1516" s="68">
        <v>0</v>
      </c>
      <c r="AG1516" s="99">
        <f>ROUND(VLOOKUP(1,enemy_base_stats!$A:$F,2,FALSE) * Y1516* J1516*O1516*E1516*S1516*AD1516*[2]ステータス!$B$2,0)</f>
        <v>4080</v>
      </c>
      <c r="AH1516" s="99">
        <f>ROUND(VLOOKUP(1,enemy_base_stats!$A:$F,3,FALSE) * Z1516*K1516*P1516*F1516*T1516*AE1516 * W1516*[2]ステータス!$C$2,0)</f>
        <v>284</v>
      </c>
      <c r="AI1516" s="99">
        <f>ROUND(VLOOKUP(1,enemy_base_stats!$A:$F,4,FALSE) * AA1516*L1516*Q1516*G1516*U1516*AF1516*[2]ステータス!$D$2,0)</f>
        <v>0</v>
      </c>
      <c r="AJ1516" s="99">
        <f>ROUND(VLOOKUP(100,enemy_base_stats!$A:$F,2,FALSE) * Y1516* J1516*O1516*E1516*S1516*AD1516*[2]ステータス!$B$2,0)</f>
        <v>165648</v>
      </c>
      <c r="AK1516" s="99">
        <f>ROUND(VLOOKUP(100,enemy_base_stats!$A:$F,3,FALSE)* Z1516* K1516*P1516*F1516*T1516*AE1516 * W1516*[2]ステータス!$C$2,0)</f>
        <v>11532</v>
      </c>
      <c r="AL1516" s="99">
        <f>ROUND(VLOOKUP(100,enemy_base_stats!$A:$F,4,FALSE)* AA1516* L1516*Q1516*G1516*U1516*AF1516*[2]ステータス!$D$2,0)</f>
        <v>0</v>
      </c>
      <c r="AM1516" s="97">
        <f>VLOOKUP(M1516,[2]character_tribe_i18n!$A:$I,9,FALSE)</f>
        <v>680</v>
      </c>
      <c r="AN1516" s="97">
        <v>0</v>
      </c>
      <c r="AO1516" s="98">
        <v>0</v>
      </c>
      <c r="AP1516" s="58" t="s">
        <v>72</v>
      </c>
      <c r="AQ1516" s="34">
        <f t="shared" ref="AQ1516:AQ1559" si="94">A1516</f>
        <v>8031</v>
      </c>
    </row>
    <row r="1517" spans="1:43" ht="21" customHeight="1" x14ac:dyDescent="0.15">
      <c r="A1517" s="105">
        <v>8032</v>
      </c>
      <c r="B1517" s="6" t="str">
        <f>VLOOKUP(A1517,[2]characters!$A:$C,3,FALSE)</f>
        <v>六道輪廻の絶獄 閻羅王</v>
      </c>
      <c r="C1517" s="9">
        <f>VLOOKUP(A1517,[2]characters!$A:$I,9,FALSE)</f>
        <v>6</v>
      </c>
      <c r="D1517" s="9" t="str">
        <f>VLOOKUP(A1517,[2]characters!$A:$H,8,FALSE)</f>
        <v>red</v>
      </c>
      <c r="E1517" s="97">
        <f>VLOOKUP(D1517,[2]属性!$A:$E,2,FALSE)</f>
        <v>1</v>
      </c>
      <c r="F1517" s="97">
        <f>VLOOKUP(D1517,[2]属性!$A:$E,3,FALSE)</f>
        <v>1.02</v>
      </c>
      <c r="G1517" s="97">
        <f>VLOOKUP(D1517,[2]属性!$A:$F,4,FALSE)</f>
        <v>1</v>
      </c>
      <c r="H1517" s="9" t="str">
        <f>VLOOKUP(A1517,[2]characters!$A:$K,11,FALSE)</f>
        <v>balance</v>
      </c>
      <c r="I1517" s="6" t="str">
        <f>VLOOKUP(H1517,[2]character_type_i18n!$A:$F,3,FALSE)</f>
        <v>バランスタイプ</v>
      </c>
      <c r="J1517" s="97">
        <f>VLOOKUP(H1517,[2]character_type_i18n!$A:$F,4,FALSE)</f>
        <v>1</v>
      </c>
      <c r="K1517" s="97">
        <f>VLOOKUP(H1517,[2]character_type_i18n!$A:$F,5,FALSE)</f>
        <v>1</v>
      </c>
      <c r="L1517" s="97">
        <f>VLOOKUP(H1517,[2]character_type_i18n!$A:$F,6,FALSE)</f>
        <v>1</v>
      </c>
      <c r="M1517" s="9" t="str">
        <f>VLOOKUP(A1517,[2]characters!$A:$M,13,FALSE)</f>
        <v>god</v>
      </c>
      <c r="N1517" s="6" t="str">
        <f>VLOOKUP(M1517,[2]character_tribe_i18n!$A:$F,3,FALSE)</f>
        <v>ゴッド</v>
      </c>
      <c r="O1517" s="97">
        <f>VLOOKUP(M1517,[2]character_tribe_i18n!$A:$F,4,FALSE)</f>
        <v>0.96</v>
      </c>
      <c r="P1517" s="97">
        <f>VLOOKUP(M1517,[2]character_tribe_i18n!$A:$F,5,FALSE)</f>
        <v>1.02</v>
      </c>
      <c r="Q1517" s="97">
        <f>VLOOKUP(M1517,[2]character_tribe_i18n!$A:$F,6,FALSE)</f>
        <v>1</v>
      </c>
      <c r="R1517" s="98" t="s">
        <v>98</v>
      </c>
      <c r="S1517" s="97">
        <f>VLOOKUP($R1517,ラベル別係数!$A$1:$E$7,3,FALSE)</f>
        <v>5</v>
      </c>
      <c r="T1517" s="97">
        <f>VLOOKUP($R1517,ラベル別係数!$A$1:$E$7,4,FALSE)</f>
        <v>1.3</v>
      </c>
      <c r="U1517" s="97">
        <f>VLOOKUP($R1517,ラベル別係数!$A$1:$E$7,5,FALSE)</f>
        <v>0.8</v>
      </c>
      <c r="V1517" s="98">
        <v>3</v>
      </c>
      <c r="W1517" s="99">
        <f>VLOOKUP(V1517,ターン数別攻撃係数!$A$1:$B$1000,2,FALSE)</f>
        <v>1</v>
      </c>
      <c r="X1517" s="9">
        <f>VLOOKUP(C1517,サイズ別係数!A$2:B$9,2,FALSE)</f>
        <v>60</v>
      </c>
      <c r="Y1517" s="97">
        <f>VLOOKUP($X1517,サイズ別係数!$B:$E,2,FALSE)</f>
        <v>1.7</v>
      </c>
      <c r="Z1517" s="97">
        <f>VLOOKUP($X1517,サイズ別係数!$B:$E,3,FALSE)</f>
        <v>1.4</v>
      </c>
      <c r="AA1517" s="97">
        <f>VLOOKUP($X1517,サイズ別係数!$B:$E,4,FALSE)</f>
        <v>1</v>
      </c>
      <c r="AB1517" s="10">
        <v>0</v>
      </c>
      <c r="AC1517" s="6" t="str">
        <f ca="1">VLOOKUP($AB1517,OFFSET([3]enemy_skill_sets!$B$2,0,0,COUNTA([3]enemy_skill_sets!$A:$A),MATCH(AC$1,[3]enemy_skill_sets!$1:$1,0)-MATCH($AB$1,[3]enemy_skill_sets!$1:$1,0)+1),MATCH(AC$1,[3]enemy_skill_sets!$1:$1,0)-MATCH($AB$1,[3]enemy_skill_sets!$1:$1,0)+1,FALSE)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7" s="67">
        <v>1</v>
      </c>
      <c r="AE1517" s="67">
        <v>1</v>
      </c>
      <c r="AF1517" s="68">
        <v>0</v>
      </c>
      <c r="AG1517" s="99">
        <f>ROUND(VLOOKUP(1,enemy_base_stats!$A:$F,2,FALSE) * Y1517* J1517*O1517*E1517*S1517*AD1517*[2]ステータス!$B$2,0)</f>
        <v>4080</v>
      </c>
      <c r="AH1517" s="99">
        <f>ROUND(VLOOKUP(1,enemy_base_stats!$A:$F,3,FALSE) * Z1517*K1517*P1517*F1517*T1517*AE1517 * W1517*[2]ステータス!$C$2,0)</f>
        <v>284</v>
      </c>
      <c r="AI1517" s="99">
        <f>ROUND(VLOOKUP(1,enemy_base_stats!$A:$F,4,FALSE) * AA1517*L1517*Q1517*G1517*U1517*AF1517*[2]ステータス!$D$2,0)</f>
        <v>0</v>
      </c>
      <c r="AJ1517" s="99">
        <f>ROUND(VLOOKUP(100,enemy_base_stats!$A:$F,2,FALSE) * Y1517* J1517*O1517*E1517*S1517*AD1517*[2]ステータス!$B$2,0)</f>
        <v>165648</v>
      </c>
      <c r="AK1517" s="99">
        <f>ROUND(VLOOKUP(100,enemy_base_stats!$A:$F,3,FALSE)* Z1517* K1517*P1517*F1517*T1517*AE1517 * W1517*[2]ステータス!$C$2,0)</f>
        <v>11532</v>
      </c>
      <c r="AL1517" s="99">
        <f>ROUND(VLOOKUP(100,enemy_base_stats!$A:$F,4,FALSE)* AA1517* L1517*Q1517*G1517*U1517*AF1517*[2]ステータス!$D$2,0)</f>
        <v>0</v>
      </c>
      <c r="AM1517" s="97">
        <f>VLOOKUP(M1517,[2]character_tribe_i18n!$A:$I,9,FALSE)</f>
        <v>680</v>
      </c>
      <c r="AN1517" s="97">
        <v>0</v>
      </c>
      <c r="AO1517" s="98">
        <v>0</v>
      </c>
      <c r="AP1517" s="58" t="s">
        <v>72</v>
      </c>
      <c r="AQ1517" s="34">
        <f t="shared" si="94"/>
        <v>8032</v>
      </c>
    </row>
    <row r="1518" spans="1:43" ht="21" customHeight="1" x14ac:dyDescent="0.15">
      <c r="A1518" s="105">
        <v>8033</v>
      </c>
      <c r="B1518" s="6" t="str">
        <f>VLOOKUP(A1518,[2]characters!$A:$C,3,FALSE)</f>
        <v>牛頭馬面</v>
      </c>
      <c r="C1518" s="9">
        <f>VLOOKUP(A1518,[2]characters!$A:$I,9,FALSE)</f>
        <v>5</v>
      </c>
      <c r="D1518" s="9" t="str">
        <f>VLOOKUP(A1518,[2]characters!$A:$H,8,FALSE)</f>
        <v>green</v>
      </c>
      <c r="E1518" s="97">
        <f>VLOOKUP(D1518,[2]属性!$A:$E,2,FALSE)</f>
        <v>1.02</v>
      </c>
      <c r="F1518" s="97">
        <f>VLOOKUP(D1518,[2]属性!$A:$E,3,FALSE)</f>
        <v>0.98</v>
      </c>
      <c r="G1518" s="97">
        <f>VLOOKUP(D1518,[2]属性!$A:$F,4,FALSE)</f>
        <v>1</v>
      </c>
      <c r="H1518" s="9" t="str">
        <f>VLOOKUP(A1518,[2]characters!$A:$K,11,FALSE)</f>
        <v>attack</v>
      </c>
      <c r="I1518" s="6" t="str">
        <f>VLOOKUP(H1518,[2]character_type_i18n!$A:$F,3,FALSE)</f>
        <v>攻撃タイプ</v>
      </c>
      <c r="J1518" s="97">
        <f>VLOOKUP(H1518,[2]character_type_i18n!$A:$F,4,FALSE)</f>
        <v>1</v>
      </c>
      <c r="K1518" s="97">
        <f>VLOOKUP(H1518,[2]character_type_i18n!$A:$F,5,FALSE)</f>
        <v>1.33</v>
      </c>
      <c r="L1518" s="97">
        <f>VLOOKUP(H1518,[2]character_type_i18n!$A:$F,6,FALSE)</f>
        <v>1</v>
      </c>
      <c r="M1518" s="9" t="str">
        <f>VLOOKUP(A1518,[2]characters!$A:$M,13,FALSE)</f>
        <v>god</v>
      </c>
      <c r="N1518" s="6" t="str">
        <f>VLOOKUP(M1518,[2]character_tribe_i18n!$A:$F,3,FALSE)</f>
        <v>ゴッド</v>
      </c>
      <c r="O1518" s="97">
        <f>VLOOKUP(M1518,[2]character_tribe_i18n!$A:$F,4,FALSE)</f>
        <v>0.96</v>
      </c>
      <c r="P1518" s="97">
        <f>VLOOKUP(M1518,[2]character_tribe_i18n!$A:$F,5,FALSE)</f>
        <v>1.02</v>
      </c>
      <c r="Q1518" s="97">
        <f>VLOOKUP(M1518,[2]character_tribe_i18n!$A:$F,6,FALSE)</f>
        <v>1</v>
      </c>
      <c r="R1518" s="98" t="s">
        <v>98</v>
      </c>
      <c r="S1518" s="97">
        <f>VLOOKUP($R1518,ラベル別係数!$A$1:$E$7,3,FALSE)</f>
        <v>5</v>
      </c>
      <c r="T1518" s="97">
        <f>VLOOKUP($R1518,ラベル別係数!$A$1:$E$7,4,FALSE)</f>
        <v>1.3</v>
      </c>
      <c r="U1518" s="97">
        <f>VLOOKUP($R1518,ラベル別係数!$A$1:$E$7,5,FALSE)</f>
        <v>0.8</v>
      </c>
      <c r="V1518" s="98">
        <v>3</v>
      </c>
      <c r="W1518" s="99">
        <f>VLOOKUP(V1518,ターン数別攻撃係数!$A$1:$B$1000,2,FALSE)</f>
        <v>1</v>
      </c>
      <c r="X1518" s="9">
        <f>VLOOKUP(C1518,サイズ別係数!A$2:B$9,2,FALSE)</f>
        <v>60</v>
      </c>
      <c r="Y1518" s="97">
        <f>VLOOKUP($X1518,サイズ別係数!$B:$E,2,FALSE)</f>
        <v>1.7</v>
      </c>
      <c r="Z1518" s="97">
        <f>VLOOKUP($X1518,サイズ別係数!$B:$E,3,FALSE)</f>
        <v>1.4</v>
      </c>
      <c r="AA1518" s="97">
        <f>VLOOKUP($X1518,サイズ別係数!$B:$E,4,FALSE)</f>
        <v>1</v>
      </c>
      <c r="AB1518" s="10">
        <v>0</v>
      </c>
      <c r="AC1518" s="6" t="str">
        <f ca="1">VLOOKUP($AB1518,OFFSET([3]enemy_skill_sets!$B$2,0,0,COUNTA([3]enemy_skill_sets!$A:$A),MATCH(AC$1,[3]enemy_skill_sets!$1:$1,0)-MATCH($AB$1,[3]enemy_skill_sets!$1:$1,0)+1),MATCH(AC$1,[3]enemy_skill_sets!$1:$1,0)-MATCH($AB$1,[3]enemy_skill_sets!$1:$1,0)+1,FALSE)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8" s="67">
        <v>1</v>
      </c>
      <c r="AE1518" s="67">
        <v>1</v>
      </c>
      <c r="AF1518" s="68">
        <v>0</v>
      </c>
      <c r="AG1518" s="99">
        <f>ROUND(VLOOKUP(1,enemy_base_stats!$A:$F,2,FALSE) * Y1518* J1518*O1518*E1518*S1518*AD1518*[2]ステータス!$B$2,0)</f>
        <v>4162</v>
      </c>
      <c r="AH1518" s="99">
        <f>ROUND(VLOOKUP(1,enemy_base_stats!$A:$F,3,FALSE) * Z1518*K1518*P1518*F1518*T1518*AE1518 * W1518*[2]ステータス!$C$2,0)</f>
        <v>363</v>
      </c>
      <c r="AI1518" s="99">
        <f>ROUND(VLOOKUP(1,enemy_base_stats!$A:$F,4,FALSE) * AA1518*L1518*Q1518*G1518*U1518*AF1518*[2]ステータス!$D$2,0)</f>
        <v>0</v>
      </c>
      <c r="AJ1518" s="99">
        <f>ROUND(VLOOKUP(100,enemy_base_stats!$A:$F,2,FALSE) * Y1518* J1518*O1518*E1518*S1518*AD1518*[2]ステータス!$B$2,0)</f>
        <v>168961</v>
      </c>
      <c r="AK1518" s="99">
        <f>ROUND(VLOOKUP(100,enemy_base_stats!$A:$F,3,FALSE)* Z1518* K1518*P1518*F1518*T1518*AE1518 * W1518*[2]ステータス!$C$2,0)</f>
        <v>14736</v>
      </c>
      <c r="AL1518" s="99">
        <f>ROUND(VLOOKUP(100,enemy_base_stats!$A:$F,4,FALSE)* AA1518* L1518*Q1518*G1518*U1518*AF1518*[2]ステータス!$D$2,0)</f>
        <v>0</v>
      </c>
      <c r="AM1518" s="97">
        <f>VLOOKUP(M1518,[2]character_tribe_i18n!$A:$I,9,FALSE)</f>
        <v>680</v>
      </c>
      <c r="AN1518" s="97">
        <v>0</v>
      </c>
      <c r="AO1518" s="98">
        <v>0</v>
      </c>
      <c r="AP1518" s="58" t="s">
        <v>72</v>
      </c>
      <c r="AQ1518" s="34">
        <f t="shared" si="94"/>
        <v>8033</v>
      </c>
    </row>
    <row r="1519" spans="1:43" ht="21" customHeight="1" x14ac:dyDescent="0.15">
      <c r="A1519" s="105">
        <v>8034</v>
      </c>
      <c r="B1519" s="6" t="str">
        <f>VLOOKUP(A1519,[2]characters!$A:$C,3,FALSE)</f>
        <v>冥府狩る魂使 牛頭馬面</v>
      </c>
      <c r="C1519" s="9">
        <f>VLOOKUP(A1519,[2]characters!$A:$I,9,FALSE)</f>
        <v>6</v>
      </c>
      <c r="D1519" s="9" t="str">
        <f>VLOOKUP(A1519,[2]characters!$A:$H,8,FALSE)</f>
        <v>green</v>
      </c>
      <c r="E1519" s="97">
        <f>VLOOKUP(D1519,[2]属性!$A:$E,2,FALSE)</f>
        <v>1.02</v>
      </c>
      <c r="F1519" s="97">
        <f>VLOOKUP(D1519,[2]属性!$A:$E,3,FALSE)</f>
        <v>0.98</v>
      </c>
      <c r="G1519" s="97">
        <f>VLOOKUP(D1519,[2]属性!$A:$F,4,FALSE)</f>
        <v>1</v>
      </c>
      <c r="H1519" s="9" t="str">
        <f>VLOOKUP(A1519,[2]characters!$A:$K,11,FALSE)</f>
        <v>attack</v>
      </c>
      <c r="I1519" s="6" t="str">
        <f>VLOOKUP(H1519,[2]character_type_i18n!$A:$F,3,FALSE)</f>
        <v>攻撃タイプ</v>
      </c>
      <c r="J1519" s="97">
        <f>VLOOKUP(H1519,[2]character_type_i18n!$A:$F,4,FALSE)</f>
        <v>1</v>
      </c>
      <c r="K1519" s="97">
        <f>VLOOKUP(H1519,[2]character_type_i18n!$A:$F,5,FALSE)</f>
        <v>1.33</v>
      </c>
      <c r="L1519" s="97">
        <f>VLOOKUP(H1519,[2]character_type_i18n!$A:$F,6,FALSE)</f>
        <v>1</v>
      </c>
      <c r="M1519" s="9" t="str">
        <f>VLOOKUP(A1519,[2]characters!$A:$M,13,FALSE)</f>
        <v>god</v>
      </c>
      <c r="N1519" s="6" t="str">
        <f>VLOOKUP(M1519,[2]character_tribe_i18n!$A:$F,3,FALSE)</f>
        <v>ゴッド</v>
      </c>
      <c r="O1519" s="97">
        <f>VLOOKUP(M1519,[2]character_tribe_i18n!$A:$F,4,FALSE)</f>
        <v>0.96</v>
      </c>
      <c r="P1519" s="97">
        <f>VLOOKUP(M1519,[2]character_tribe_i18n!$A:$F,5,FALSE)</f>
        <v>1.02</v>
      </c>
      <c r="Q1519" s="97">
        <f>VLOOKUP(M1519,[2]character_tribe_i18n!$A:$F,6,FALSE)</f>
        <v>1</v>
      </c>
      <c r="R1519" s="98" t="s">
        <v>98</v>
      </c>
      <c r="S1519" s="97">
        <f>VLOOKUP($R1519,ラベル別係数!$A$1:$E$7,3,FALSE)</f>
        <v>5</v>
      </c>
      <c r="T1519" s="97">
        <f>VLOOKUP($R1519,ラベル別係数!$A$1:$E$7,4,FALSE)</f>
        <v>1.3</v>
      </c>
      <c r="U1519" s="97">
        <f>VLOOKUP($R1519,ラベル別係数!$A$1:$E$7,5,FALSE)</f>
        <v>0.8</v>
      </c>
      <c r="V1519" s="98">
        <v>3</v>
      </c>
      <c r="W1519" s="99">
        <f>VLOOKUP(V1519,ターン数別攻撃係数!$A$1:$B$1000,2,FALSE)</f>
        <v>1</v>
      </c>
      <c r="X1519" s="9">
        <f>VLOOKUP(C1519,サイズ別係数!A$2:B$9,2,FALSE)</f>
        <v>60</v>
      </c>
      <c r="Y1519" s="97">
        <f>VLOOKUP($X1519,サイズ別係数!$B:$E,2,FALSE)</f>
        <v>1.7</v>
      </c>
      <c r="Z1519" s="97">
        <f>VLOOKUP($X1519,サイズ別係数!$B:$E,3,FALSE)</f>
        <v>1.4</v>
      </c>
      <c r="AA1519" s="97">
        <f>VLOOKUP($X1519,サイズ別係数!$B:$E,4,FALSE)</f>
        <v>1</v>
      </c>
      <c r="AB1519" s="10">
        <v>0</v>
      </c>
      <c r="AC1519" s="6" t="str">
        <f ca="1">VLOOKUP($AB1519,OFFSET([3]enemy_skill_sets!$B$2,0,0,COUNTA([3]enemy_skill_sets!$A:$A),MATCH(AC$1,[3]enemy_skill_sets!$1:$1,0)-MATCH($AB$1,[3]enemy_skill_sets!$1:$1,0)+1),MATCH(AC$1,[3]enemy_skill_sets!$1:$1,0)-MATCH($AB$1,[3]enemy_skill_sets!$1:$1,0)+1,FALSE)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19" s="67">
        <v>1</v>
      </c>
      <c r="AE1519" s="67">
        <v>1</v>
      </c>
      <c r="AF1519" s="68">
        <v>0</v>
      </c>
      <c r="AG1519" s="99">
        <f>ROUND(VLOOKUP(1,enemy_base_stats!$A:$F,2,FALSE) * Y1519* J1519*O1519*E1519*S1519*AD1519*[2]ステータス!$B$2,0)</f>
        <v>4162</v>
      </c>
      <c r="AH1519" s="99">
        <f>ROUND(VLOOKUP(1,enemy_base_stats!$A:$F,3,FALSE) * Z1519*K1519*P1519*F1519*T1519*AE1519 * W1519*[2]ステータス!$C$2,0)</f>
        <v>363</v>
      </c>
      <c r="AI1519" s="99">
        <f>ROUND(VLOOKUP(1,enemy_base_stats!$A:$F,4,FALSE) * AA1519*L1519*Q1519*G1519*U1519*AF1519*[2]ステータス!$D$2,0)</f>
        <v>0</v>
      </c>
      <c r="AJ1519" s="99">
        <f>ROUND(VLOOKUP(100,enemy_base_stats!$A:$F,2,FALSE) * Y1519* J1519*O1519*E1519*S1519*AD1519*[2]ステータス!$B$2,0)</f>
        <v>168961</v>
      </c>
      <c r="AK1519" s="99">
        <f>ROUND(VLOOKUP(100,enemy_base_stats!$A:$F,3,FALSE)* Z1519* K1519*P1519*F1519*T1519*AE1519 * W1519*[2]ステータス!$C$2,0)</f>
        <v>14736</v>
      </c>
      <c r="AL1519" s="99">
        <f>ROUND(VLOOKUP(100,enemy_base_stats!$A:$F,4,FALSE)* AA1519* L1519*Q1519*G1519*U1519*AF1519*[2]ステータス!$D$2,0)</f>
        <v>0</v>
      </c>
      <c r="AM1519" s="97">
        <f>VLOOKUP(M1519,[2]character_tribe_i18n!$A:$I,9,FALSE)</f>
        <v>680</v>
      </c>
      <c r="AN1519" s="97">
        <v>0</v>
      </c>
      <c r="AO1519" s="98">
        <v>0</v>
      </c>
      <c r="AP1519" s="58" t="s">
        <v>72</v>
      </c>
      <c r="AQ1519" s="34">
        <f t="shared" si="94"/>
        <v>8034</v>
      </c>
    </row>
    <row r="1520" spans="1:43" ht="21" customHeight="1" x14ac:dyDescent="0.15">
      <c r="A1520" s="105">
        <v>8035</v>
      </c>
      <c r="B1520" s="6" t="str">
        <f>VLOOKUP(A1520,[2]characters!$A:$C,3,FALSE)</f>
        <v>飛衛</v>
      </c>
      <c r="C1520" s="9">
        <f>VLOOKUP(A1520,[2]characters!$A:$I,9,FALSE)</f>
        <v>5</v>
      </c>
      <c r="D1520" s="9" t="str">
        <f>VLOOKUP(A1520,[2]characters!$A:$H,8,FALSE)</f>
        <v>blue</v>
      </c>
      <c r="E1520" s="97">
        <f>VLOOKUP(D1520,[2]属性!$A:$E,2,FALSE)</f>
        <v>1</v>
      </c>
      <c r="F1520" s="97">
        <f>VLOOKUP(D1520,[2]属性!$A:$E,3,FALSE)</f>
        <v>0.98</v>
      </c>
      <c r="G1520" s="97">
        <f>VLOOKUP(D1520,[2]属性!$A:$F,4,FALSE)</f>
        <v>1</v>
      </c>
      <c r="H1520" s="9" t="str">
        <f>VLOOKUP(A1520,[2]characters!$A:$K,11,FALSE)</f>
        <v>heal</v>
      </c>
      <c r="I1520" s="6" t="str">
        <f>VLOOKUP(H1520,[2]character_type_i18n!$A:$F,3,FALSE)</f>
        <v>回復タイプ</v>
      </c>
      <c r="J1520" s="97">
        <f>VLOOKUP(H1520,[2]character_type_i18n!$A:$F,4,FALSE)</f>
        <v>0.8</v>
      </c>
      <c r="K1520" s="97">
        <f>VLOOKUP(H1520,[2]character_type_i18n!$A:$F,5,FALSE)</f>
        <v>0.78</v>
      </c>
      <c r="L1520" s="97">
        <f>VLOOKUP(H1520,[2]character_type_i18n!$A:$F,6,FALSE)</f>
        <v>1</v>
      </c>
      <c r="M1520" s="9" t="str">
        <f>VLOOKUP(A1520,[2]characters!$A:$M,13,FALSE)</f>
        <v>human</v>
      </c>
      <c r="N1520" s="6" t="str">
        <f>VLOOKUP(M1520,[2]character_tribe_i18n!$A:$F,3,FALSE)</f>
        <v>ヒューマン</v>
      </c>
      <c r="O1520" s="97">
        <f>VLOOKUP(M1520,[2]character_tribe_i18n!$A:$F,4,FALSE)</f>
        <v>0.94</v>
      </c>
      <c r="P1520" s="97">
        <f>VLOOKUP(M1520,[2]character_tribe_i18n!$A:$F,5,FALSE)</f>
        <v>0.99</v>
      </c>
      <c r="Q1520" s="97">
        <f>VLOOKUP(M1520,[2]character_tribe_i18n!$A:$F,6,FALSE)</f>
        <v>1</v>
      </c>
      <c r="R1520" s="98" t="s">
        <v>98</v>
      </c>
      <c r="S1520" s="97">
        <f>VLOOKUP($R1520,ラベル別係数!$A$1:$E$7,3,FALSE)</f>
        <v>5</v>
      </c>
      <c r="T1520" s="97">
        <f>VLOOKUP($R1520,ラベル別係数!$A$1:$E$7,4,FALSE)</f>
        <v>1.3</v>
      </c>
      <c r="U1520" s="97">
        <f>VLOOKUP($R1520,ラベル別係数!$A$1:$E$7,5,FALSE)</f>
        <v>0.8</v>
      </c>
      <c r="V1520" s="98">
        <v>3</v>
      </c>
      <c r="W1520" s="99">
        <f>VLOOKUP(V1520,ターン数別攻撃係数!$A$1:$B$1000,2,FALSE)</f>
        <v>1</v>
      </c>
      <c r="X1520" s="9">
        <f>VLOOKUP(C1520,サイズ別係数!A$2:B$9,2,FALSE)</f>
        <v>60</v>
      </c>
      <c r="Y1520" s="97">
        <f>VLOOKUP($X1520,サイズ別係数!$B:$E,2,FALSE)</f>
        <v>1.7</v>
      </c>
      <c r="Z1520" s="97">
        <f>VLOOKUP($X1520,サイズ別係数!$B:$E,3,FALSE)</f>
        <v>1.4</v>
      </c>
      <c r="AA1520" s="97">
        <f>VLOOKUP($X1520,サイズ別係数!$B:$E,4,FALSE)</f>
        <v>1</v>
      </c>
      <c r="AB1520" s="10">
        <v>0</v>
      </c>
      <c r="AC1520" s="6" t="str">
        <f ca="1">VLOOKUP($AB1520,OFFSET([3]enemy_skill_sets!$B$2,0,0,COUNTA([3]enemy_skill_sets!$A:$A),MATCH(AC$1,[3]enemy_skill_sets!$1:$1,0)-MATCH($AB$1,[3]enemy_skill_sets!$1:$1,0)+1),MATCH(AC$1,[3]enemy_skill_sets!$1:$1,0)-MATCH($AB$1,[3]enemy_skill_sets!$1:$1,0)+1,FALSE)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0" s="67">
        <v>1</v>
      </c>
      <c r="AE1520" s="67">
        <v>1</v>
      </c>
      <c r="AF1520" s="68">
        <v>0</v>
      </c>
      <c r="AG1520" s="99">
        <f>ROUND(VLOOKUP(1,enemy_base_stats!$A:$F,2,FALSE) * Y1520* J1520*O1520*E1520*S1520*AD1520*[2]ステータス!$B$2,0)</f>
        <v>3196</v>
      </c>
      <c r="AH1520" s="99">
        <f>ROUND(VLOOKUP(1,enemy_base_stats!$A:$F,3,FALSE) * Z1520*K1520*P1520*F1520*T1520*AE1520 * W1520*[2]ステータス!$C$2,0)</f>
        <v>207</v>
      </c>
      <c r="AI1520" s="99">
        <f>ROUND(VLOOKUP(1,enemy_base_stats!$A:$F,4,FALSE) * AA1520*L1520*Q1520*G1520*U1520*AF1520*[2]ステータス!$D$2,0)</f>
        <v>0</v>
      </c>
      <c r="AJ1520" s="99">
        <f>ROUND(VLOOKUP(100,enemy_base_stats!$A:$F,2,FALSE) * Y1520* J1520*O1520*E1520*S1520*AD1520*[2]ステータス!$B$2,0)</f>
        <v>129758</v>
      </c>
      <c r="AK1520" s="99">
        <f>ROUND(VLOOKUP(100,enemy_base_stats!$A:$F,3,FALSE)* Z1520* K1520*P1520*F1520*T1520*AE1520 * W1520*[2]ステータス!$C$2,0)</f>
        <v>8388</v>
      </c>
      <c r="AL1520" s="99">
        <f>ROUND(VLOOKUP(100,enemy_base_stats!$A:$F,4,FALSE)* AA1520* L1520*Q1520*G1520*U1520*AF1520*[2]ステータス!$D$2,0)</f>
        <v>0</v>
      </c>
      <c r="AM1520" s="97">
        <f>VLOOKUP(M1520,[2]character_tribe_i18n!$A:$I,9,FALSE)</f>
        <v>400</v>
      </c>
      <c r="AN1520" s="97">
        <v>0</v>
      </c>
      <c r="AO1520" s="98">
        <v>0</v>
      </c>
      <c r="AP1520" s="58" t="s">
        <v>72</v>
      </c>
      <c r="AQ1520" s="34">
        <f t="shared" si="94"/>
        <v>8035</v>
      </c>
    </row>
    <row r="1521" spans="1:43" ht="21" customHeight="1" x14ac:dyDescent="0.15">
      <c r="A1521" s="105">
        <v>8036</v>
      </c>
      <c r="B1521" s="6" t="str">
        <f>VLOOKUP(A1521,[2]characters!$A:$C,3,FALSE)</f>
        <v>レア６飛衛</v>
      </c>
      <c r="C1521" s="9">
        <f>VLOOKUP(A1521,[2]characters!$A:$I,9,FALSE)</f>
        <v>6</v>
      </c>
      <c r="D1521" s="9" t="str">
        <f>VLOOKUP(A1521,[2]characters!$A:$H,8,FALSE)</f>
        <v>blue</v>
      </c>
      <c r="E1521" s="97">
        <f>VLOOKUP(D1521,[2]属性!$A:$E,2,FALSE)</f>
        <v>1</v>
      </c>
      <c r="F1521" s="97">
        <f>VLOOKUP(D1521,[2]属性!$A:$E,3,FALSE)</f>
        <v>0.98</v>
      </c>
      <c r="G1521" s="97">
        <f>VLOOKUP(D1521,[2]属性!$A:$F,4,FALSE)</f>
        <v>1</v>
      </c>
      <c r="H1521" s="9" t="str">
        <f>VLOOKUP(A1521,[2]characters!$A:$K,11,FALSE)</f>
        <v>heal</v>
      </c>
      <c r="I1521" s="6" t="str">
        <f>VLOOKUP(H1521,[2]character_type_i18n!$A:$F,3,FALSE)</f>
        <v>回復タイプ</v>
      </c>
      <c r="J1521" s="97">
        <f>VLOOKUP(H1521,[2]character_type_i18n!$A:$F,4,FALSE)</f>
        <v>0.8</v>
      </c>
      <c r="K1521" s="97">
        <f>VLOOKUP(H1521,[2]character_type_i18n!$A:$F,5,FALSE)</f>
        <v>0.78</v>
      </c>
      <c r="L1521" s="97">
        <f>VLOOKUP(H1521,[2]character_type_i18n!$A:$F,6,FALSE)</f>
        <v>1</v>
      </c>
      <c r="M1521" s="9" t="str">
        <f>VLOOKUP(A1521,[2]characters!$A:$M,13,FALSE)</f>
        <v>human</v>
      </c>
      <c r="N1521" s="6" t="str">
        <f>VLOOKUP(M1521,[2]character_tribe_i18n!$A:$F,3,FALSE)</f>
        <v>ヒューマン</v>
      </c>
      <c r="O1521" s="97">
        <f>VLOOKUP(M1521,[2]character_tribe_i18n!$A:$F,4,FALSE)</f>
        <v>0.94</v>
      </c>
      <c r="P1521" s="97">
        <f>VLOOKUP(M1521,[2]character_tribe_i18n!$A:$F,5,FALSE)</f>
        <v>0.99</v>
      </c>
      <c r="Q1521" s="97">
        <f>VLOOKUP(M1521,[2]character_tribe_i18n!$A:$F,6,FALSE)</f>
        <v>1</v>
      </c>
      <c r="R1521" s="98" t="s">
        <v>98</v>
      </c>
      <c r="S1521" s="97">
        <f>VLOOKUP($R1521,ラベル別係数!$A$1:$E$7,3,FALSE)</f>
        <v>5</v>
      </c>
      <c r="T1521" s="97">
        <f>VLOOKUP($R1521,ラベル別係数!$A$1:$E$7,4,FALSE)</f>
        <v>1.3</v>
      </c>
      <c r="U1521" s="97">
        <f>VLOOKUP($R1521,ラベル別係数!$A$1:$E$7,5,FALSE)</f>
        <v>0.8</v>
      </c>
      <c r="V1521" s="98">
        <v>3</v>
      </c>
      <c r="W1521" s="99">
        <f>VLOOKUP(V1521,ターン数別攻撃係数!$A$1:$B$1000,2,FALSE)</f>
        <v>1</v>
      </c>
      <c r="X1521" s="9">
        <f>VLOOKUP(C1521,サイズ別係数!A$2:B$9,2,FALSE)</f>
        <v>60</v>
      </c>
      <c r="Y1521" s="97">
        <f>VLOOKUP($X1521,サイズ別係数!$B:$E,2,FALSE)</f>
        <v>1.7</v>
      </c>
      <c r="Z1521" s="97">
        <f>VLOOKUP($X1521,サイズ別係数!$B:$E,3,FALSE)</f>
        <v>1.4</v>
      </c>
      <c r="AA1521" s="97">
        <f>VLOOKUP($X1521,サイズ別係数!$B:$E,4,FALSE)</f>
        <v>1</v>
      </c>
      <c r="AB1521" s="10">
        <v>0</v>
      </c>
      <c r="AC1521" s="6" t="str">
        <f ca="1">VLOOKUP($AB1521,OFFSET([3]enemy_skill_sets!$B$2,0,0,COUNTA([3]enemy_skill_sets!$A:$A),MATCH(AC$1,[3]enemy_skill_sets!$1:$1,0)-MATCH($AB$1,[3]enemy_skill_sets!$1:$1,0)+1),MATCH(AC$1,[3]enemy_skill_sets!$1:$1,0)-MATCH($AB$1,[3]enemy_skill_sets!$1:$1,0)+1,FALSE)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1" s="67">
        <v>1</v>
      </c>
      <c r="AE1521" s="67">
        <v>1</v>
      </c>
      <c r="AF1521" s="68">
        <v>0</v>
      </c>
      <c r="AG1521" s="99">
        <f>ROUND(VLOOKUP(1,enemy_base_stats!$A:$F,2,FALSE) * Y1521* J1521*O1521*E1521*S1521*AD1521*[2]ステータス!$B$2,0)</f>
        <v>3196</v>
      </c>
      <c r="AH1521" s="99">
        <f>ROUND(VLOOKUP(1,enemy_base_stats!$A:$F,3,FALSE) * Z1521*K1521*P1521*F1521*T1521*AE1521 * W1521*[2]ステータス!$C$2,0)</f>
        <v>207</v>
      </c>
      <c r="AI1521" s="99">
        <f>ROUND(VLOOKUP(1,enemy_base_stats!$A:$F,4,FALSE) * AA1521*L1521*Q1521*G1521*U1521*AF1521*[2]ステータス!$D$2,0)</f>
        <v>0</v>
      </c>
      <c r="AJ1521" s="99">
        <f>ROUND(VLOOKUP(100,enemy_base_stats!$A:$F,2,FALSE) * Y1521* J1521*O1521*E1521*S1521*AD1521*[2]ステータス!$B$2,0)</f>
        <v>129758</v>
      </c>
      <c r="AK1521" s="99">
        <f>ROUND(VLOOKUP(100,enemy_base_stats!$A:$F,3,FALSE)* Z1521* K1521*P1521*F1521*T1521*AE1521 * W1521*[2]ステータス!$C$2,0)</f>
        <v>8388</v>
      </c>
      <c r="AL1521" s="99">
        <f>ROUND(VLOOKUP(100,enemy_base_stats!$A:$F,4,FALSE)* AA1521* L1521*Q1521*G1521*U1521*AF1521*[2]ステータス!$D$2,0)</f>
        <v>0</v>
      </c>
      <c r="AM1521" s="97">
        <f>VLOOKUP(M1521,[2]character_tribe_i18n!$A:$I,9,FALSE)</f>
        <v>400</v>
      </c>
      <c r="AN1521" s="97">
        <v>0</v>
      </c>
      <c r="AO1521" s="98">
        <v>0</v>
      </c>
      <c r="AP1521" s="58" t="s">
        <v>72</v>
      </c>
      <c r="AQ1521" s="34">
        <f t="shared" si="94"/>
        <v>8036</v>
      </c>
    </row>
    <row r="1522" spans="1:43" ht="21" customHeight="1" x14ac:dyDescent="0.15">
      <c r="A1522" s="105">
        <v>8037</v>
      </c>
      <c r="B1522" s="6" t="str">
        <f>VLOOKUP(A1522,[2]characters!$A:$C,3,FALSE)</f>
        <v>紀昌</v>
      </c>
      <c r="C1522" s="9">
        <f>VLOOKUP(A1522,[2]characters!$A:$I,9,FALSE)</f>
        <v>5</v>
      </c>
      <c r="D1522" s="9" t="str">
        <f>VLOOKUP(A1522,[2]characters!$A:$H,8,FALSE)</f>
        <v>red</v>
      </c>
      <c r="E1522" s="97">
        <f>VLOOKUP(D1522,[2]属性!$A:$E,2,FALSE)</f>
        <v>1</v>
      </c>
      <c r="F1522" s="97">
        <f>VLOOKUP(D1522,[2]属性!$A:$E,3,FALSE)</f>
        <v>1.02</v>
      </c>
      <c r="G1522" s="97">
        <f>VLOOKUP(D1522,[2]属性!$A:$F,4,FALSE)</f>
        <v>1</v>
      </c>
      <c r="H1522" s="9" t="str">
        <f>VLOOKUP(A1522,[2]characters!$A:$K,11,FALSE)</f>
        <v>attack</v>
      </c>
      <c r="I1522" s="6" t="str">
        <f>VLOOKUP(H1522,[2]character_type_i18n!$A:$F,3,FALSE)</f>
        <v>攻撃タイプ</v>
      </c>
      <c r="J1522" s="97">
        <f>VLOOKUP(H1522,[2]character_type_i18n!$A:$F,4,FALSE)</f>
        <v>1</v>
      </c>
      <c r="K1522" s="97">
        <f>VLOOKUP(H1522,[2]character_type_i18n!$A:$F,5,FALSE)</f>
        <v>1.33</v>
      </c>
      <c r="L1522" s="97">
        <f>VLOOKUP(H1522,[2]character_type_i18n!$A:$F,6,FALSE)</f>
        <v>1</v>
      </c>
      <c r="M1522" s="9" t="str">
        <f>VLOOKUP(A1522,[2]characters!$A:$M,13,FALSE)</f>
        <v>human</v>
      </c>
      <c r="N1522" s="6" t="str">
        <f>VLOOKUP(M1522,[2]character_tribe_i18n!$A:$F,3,FALSE)</f>
        <v>ヒューマン</v>
      </c>
      <c r="O1522" s="97">
        <f>VLOOKUP(M1522,[2]character_tribe_i18n!$A:$F,4,FALSE)</f>
        <v>0.94</v>
      </c>
      <c r="P1522" s="97">
        <f>VLOOKUP(M1522,[2]character_tribe_i18n!$A:$F,5,FALSE)</f>
        <v>0.99</v>
      </c>
      <c r="Q1522" s="97">
        <f>VLOOKUP(M1522,[2]character_tribe_i18n!$A:$F,6,FALSE)</f>
        <v>1</v>
      </c>
      <c r="R1522" s="98" t="s">
        <v>98</v>
      </c>
      <c r="S1522" s="97">
        <f>VLOOKUP($R1522,ラベル別係数!$A$1:$E$7,3,FALSE)</f>
        <v>5</v>
      </c>
      <c r="T1522" s="97">
        <f>VLOOKUP($R1522,ラベル別係数!$A$1:$E$7,4,FALSE)</f>
        <v>1.3</v>
      </c>
      <c r="U1522" s="97">
        <f>VLOOKUP($R1522,ラベル別係数!$A$1:$E$7,5,FALSE)</f>
        <v>0.8</v>
      </c>
      <c r="V1522" s="98">
        <v>3</v>
      </c>
      <c r="W1522" s="99">
        <f>VLOOKUP(V1522,ターン数別攻撃係数!$A$1:$B$1000,2,FALSE)</f>
        <v>1</v>
      </c>
      <c r="X1522" s="9">
        <f>VLOOKUP(C1522,サイズ別係数!A$2:B$9,2,FALSE)</f>
        <v>60</v>
      </c>
      <c r="Y1522" s="97">
        <f>VLOOKUP($X1522,サイズ別係数!$B:$E,2,FALSE)</f>
        <v>1.7</v>
      </c>
      <c r="Z1522" s="97">
        <f>VLOOKUP($X1522,サイズ別係数!$B:$E,3,FALSE)</f>
        <v>1.4</v>
      </c>
      <c r="AA1522" s="97">
        <f>VLOOKUP($X1522,サイズ別係数!$B:$E,4,FALSE)</f>
        <v>1</v>
      </c>
      <c r="AB1522" s="10">
        <v>0</v>
      </c>
      <c r="AC1522" s="6" t="str">
        <f ca="1">VLOOKUP($AB1522,OFFSET([3]enemy_skill_sets!$B$2,0,0,COUNTA([3]enemy_skill_sets!$A:$A),MATCH(AC$1,[3]enemy_skill_sets!$1:$1,0)-MATCH($AB$1,[3]enemy_skill_sets!$1:$1,0)+1),MATCH(AC$1,[3]enemy_skill_sets!$1:$1,0)-MATCH($AB$1,[3]enemy_skill_sets!$1:$1,0)+1,FALSE)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2" s="67">
        <v>1</v>
      </c>
      <c r="AE1522" s="67">
        <v>1</v>
      </c>
      <c r="AF1522" s="68">
        <v>0</v>
      </c>
      <c r="AG1522" s="99">
        <f>ROUND(VLOOKUP(1,enemy_base_stats!$A:$F,2,FALSE) * Y1522* J1522*O1522*E1522*S1522*AD1522*[2]ステータス!$B$2,0)</f>
        <v>3995</v>
      </c>
      <c r="AH1522" s="99">
        <f>ROUND(VLOOKUP(1,enemy_base_stats!$A:$F,3,FALSE) * Z1522*K1522*P1522*F1522*T1522*AE1522 * W1522*[2]ステータス!$C$2,0)</f>
        <v>367</v>
      </c>
      <c r="AI1522" s="99">
        <f>ROUND(VLOOKUP(1,enemy_base_stats!$A:$F,4,FALSE) * AA1522*L1522*Q1522*G1522*U1522*AF1522*[2]ステータス!$D$2,0)</f>
        <v>0</v>
      </c>
      <c r="AJ1522" s="99">
        <f>ROUND(VLOOKUP(100,enemy_base_stats!$A:$F,2,FALSE) * Y1522* J1522*O1522*E1522*S1522*AD1522*[2]ステータス!$B$2,0)</f>
        <v>162197</v>
      </c>
      <c r="AK1522" s="99">
        <f>ROUND(VLOOKUP(100,enemy_base_stats!$A:$F,3,FALSE)* Z1522* K1522*P1522*F1522*T1522*AE1522 * W1522*[2]ステータス!$C$2,0)</f>
        <v>14886</v>
      </c>
      <c r="AL1522" s="99">
        <f>ROUND(VLOOKUP(100,enemy_base_stats!$A:$F,4,FALSE)* AA1522* L1522*Q1522*G1522*U1522*AF1522*[2]ステータス!$D$2,0)</f>
        <v>0</v>
      </c>
      <c r="AM1522" s="97">
        <f>VLOOKUP(M1522,[2]character_tribe_i18n!$A:$I,9,FALSE)</f>
        <v>400</v>
      </c>
      <c r="AN1522" s="97">
        <v>0</v>
      </c>
      <c r="AO1522" s="98">
        <v>0</v>
      </c>
      <c r="AP1522" s="58" t="s">
        <v>72</v>
      </c>
      <c r="AQ1522" s="34">
        <f t="shared" si="94"/>
        <v>8037</v>
      </c>
    </row>
    <row r="1523" spans="1:43" ht="21" customHeight="1" x14ac:dyDescent="0.15">
      <c r="A1523" s="105">
        <v>8038</v>
      </c>
      <c r="B1523" s="6" t="str">
        <f>VLOOKUP(A1523,[2]characters!$A:$C,3,FALSE)</f>
        <v>レア６紀昌</v>
      </c>
      <c r="C1523" s="9">
        <f>VLOOKUP(A1523,[2]characters!$A:$I,9,FALSE)</f>
        <v>6</v>
      </c>
      <c r="D1523" s="9" t="str">
        <f>VLOOKUP(A1523,[2]characters!$A:$H,8,FALSE)</f>
        <v>red</v>
      </c>
      <c r="E1523" s="97">
        <f>VLOOKUP(D1523,[2]属性!$A:$E,2,FALSE)</f>
        <v>1</v>
      </c>
      <c r="F1523" s="97">
        <f>VLOOKUP(D1523,[2]属性!$A:$E,3,FALSE)</f>
        <v>1.02</v>
      </c>
      <c r="G1523" s="97">
        <f>VLOOKUP(D1523,[2]属性!$A:$F,4,FALSE)</f>
        <v>1</v>
      </c>
      <c r="H1523" s="9" t="str">
        <f>VLOOKUP(A1523,[2]characters!$A:$K,11,FALSE)</f>
        <v>attack</v>
      </c>
      <c r="I1523" s="6" t="str">
        <f>VLOOKUP(H1523,[2]character_type_i18n!$A:$F,3,FALSE)</f>
        <v>攻撃タイプ</v>
      </c>
      <c r="J1523" s="97">
        <f>VLOOKUP(H1523,[2]character_type_i18n!$A:$F,4,FALSE)</f>
        <v>1</v>
      </c>
      <c r="K1523" s="97">
        <f>VLOOKUP(H1523,[2]character_type_i18n!$A:$F,5,FALSE)</f>
        <v>1.33</v>
      </c>
      <c r="L1523" s="97">
        <f>VLOOKUP(H1523,[2]character_type_i18n!$A:$F,6,FALSE)</f>
        <v>1</v>
      </c>
      <c r="M1523" s="9" t="str">
        <f>VLOOKUP(A1523,[2]characters!$A:$M,13,FALSE)</f>
        <v>human</v>
      </c>
      <c r="N1523" s="6" t="str">
        <f>VLOOKUP(M1523,[2]character_tribe_i18n!$A:$F,3,FALSE)</f>
        <v>ヒューマン</v>
      </c>
      <c r="O1523" s="97">
        <f>VLOOKUP(M1523,[2]character_tribe_i18n!$A:$F,4,FALSE)</f>
        <v>0.94</v>
      </c>
      <c r="P1523" s="97">
        <f>VLOOKUP(M1523,[2]character_tribe_i18n!$A:$F,5,FALSE)</f>
        <v>0.99</v>
      </c>
      <c r="Q1523" s="97">
        <f>VLOOKUP(M1523,[2]character_tribe_i18n!$A:$F,6,FALSE)</f>
        <v>1</v>
      </c>
      <c r="R1523" s="98" t="s">
        <v>98</v>
      </c>
      <c r="S1523" s="97">
        <f>VLOOKUP($R1523,ラベル別係数!$A$1:$E$7,3,FALSE)</f>
        <v>5</v>
      </c>
      <c r="T1523" s="97">
        <f>VLOOKUP($R1523,ラベル別係数!$A$1:$E$7,4,FALSE)</f>
        <v>1.3</v>
      </c>
      <c r="U1523" s="97">
        <f>VLOOKUP($R1523,ラベル別係数!$A$1:$E$7,5,FALSE)</f>
        <v>0.8</v>
      </c>
      <c r="V1523" s="98">
        <v>3</v>
      </c>
      <c r="W1523" s="99">
        <f>VLOOKUP(V1523,ターン数別攻撃係数!$A$1:$B$1000,2,FALSE)</f>
        <v>1</v>
      </c>
      <c r="X1523" s="9">
        <f>VLOOKUP(C1523,サイズ別係数!A$2:B$9,2,FALSE)</f>
        <v>60</v>
      </c>
      <c r="Y1523" s="97">
        <f>VLOOKUP($X1523,サイズ別係数!$B:$E,2,FALSE)</f>
        <v>1.7</v>
      </c>
      <c r="Z1523" s="97">
        <f>VLOOKUP($X1523,サイズ別係数!$B:$E,3,FALSE)</f>
        <v>1.4</v>
      </c>
      <c r="AA1523" s="97">
        <f>VLOOKUP($X1523,サイズ別係数!$B:$E,4,FALSE)</f>
        <v>1</v>
      </c>
      <c r="AB1523" s="10">
        <v>0</v>
      </c>
      <c r="AC1523" s="6" t="str">
        <f ca="1">VLOOKUP($AB1523,OFFSET([3]enemy_skill_sets!$B$2,0,0,COUNTA([3]enemy_skill_sets!$A:$A),MATCH(AC$1,[3]enemy_skill_sets!$1:$1,0)-MATCH($AB$1,[3]enemy_skill_sets!$1:$1,0)+1),MATCH(AC$1,[3]enemy_skill_sets!$1:$1,0)-MATCH($AB$1,[3]enemy_skill_sets!$1:$1,0)+1,FALSE)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3" s="67">
        <v>1</v>
      </c>
      <c r="AE1523" s="67">
        <v>1</v>
      </c>
      <c r="AF1523" s="68">
        <v>0</v>
      </c>
      <c r="AG1523" s="99">
        <f>ROUND(VLOOKUP(1,enemy_base_stats!$A:$F,2,FALSE) * Y1523* J1523*O1523*E1523*S1523*AD1523*[2]ステータス!$B$2,0)</f>
        <v>3995</v>
      </c>
      <c r="AH1523" s="99">
        <f>ROUND(VLOOKUP(1,enemy_base_stats!$A:$F,3,FALSE) * Z1523*K1523*P1523*F1523*T1523*AE1523 * W1523*[2]ステータス!$C$2,0)</f>
        <v>367</v>
      </c>
      <c r="AI1523" s="99">
        <f>ROUND(VLOOKUP(1,enemy_base_stats!$A:$F,4,FALSE) * AA1523*L1523*Q1523*G1523*U1523*AF1523*[2]ステータス!$D$2,0)</f>
        <v>0</v>
      </c>
      <c r="AJ1523" s="99">
        <f>ROUND(VLOOKUP(100,enemy_base_stats!$A:$F,2,FALSE) * Y1523* J1523*O1523*E1523*S1523*AD1523*[2]ステータス!$B$2,0)</f>
        <v>162197</v>
      </c>
      <c r="AK1523" s="99">
        <f>ROUND(VLOOKUP(100,enemy_base_stats!$A:$F,3,FALSE)* Z1523* K1523*P1523*F1523*T1523*AE1523 * W1523*[2]ステータス!$C$2,0)</f>
        <v>14886</v>
      </c>
      <c r="AL1523" s="99">
        <f>ROUND(VLOOKUP(100,enemy_base_stats!$A:$F,4,FALSE)* AA1523* L1523*Q1523*G1523*U1523*AF1523*[2]ステータス!$D$2,0)</f>
        <v>0</v>
      </c>
      <c r="AM1523" s="97">
        <f>VLOOKUP(M1523,[2]character_tribe_i18n!$A:$I,9,FALSE)</f>
        <v>400</v>
      </c>
      <c r="AN1523" s="97">
        <v>0</v>
      </c>
      <c r="AO1523" s="98">
        <v>0</v>
      </c>
      <c r="AP1523" s="58" t="s">
        <v>72</v>
      </c>
      <c r="AQ1523" s="34">
        <f t="shared" si="94"/>
        <v>8038</v>
      </c>
    </row>
    <row r="1524" spans="1:43" ht="21" customHeight="1" x14ac:dyDescent="0.15">
      <c r="A1524" s="105">
        <v>8039</v>
      </c>
      <c r="B1524" s="6" t="str">
        <f>VLOOKUP(A1524,[2]characters!$A:$C,3,FALSE)</f>
        <v>何仙姑</v>
      </c>
      <c r="C1524" s="9">
        <f>VLOOKUP(A1524,[2]characters!$A:$I,9,FALSE)</f>
        <v>5</v>
      </c>
      <c r="D1524" s="9" t="str">
        <f>VLOOKUP(A1524,[2]characters!$A:$H,8,FALSE)</f>
        <v>yellow</v>
      </c>
      <c r="E1524" s="97">
        <f>VLOOKUP(D1524,[2]属性!$A:$E,2,FALSE)</f>
        <v>0.98</v>
      </c>
      <c r="F1524" s="97">
        <f>VLOOKUP(D1524,[2]属性!$A:$E,3,FALSE)</f>
        <v>1.01</v>
      </c>
      <c r="G1524" s="97">
        <f>VLOOKUP(D1524,[2]属性!$A:$F,4,FALSE)</f>
        <v>1</v>
      </c>
      <c r="H1524" s="9" t="str">
        <f>VLOOKUP(A1524,[2]characters!$A:$K,11,FALSE)</f>
        <v>hp</v>
      </c>
      <c r="I1524" s="6" t="str">
        <f>VLOOKUP(H1524,[2]character_type_i18n!$A:$F,3,FALSE)</f>
        <v>体力タイプ</v>
      </c>
      <c r="J1524" s="97">
        <f>VLOOKUP(H1524,[2]character_type_i18n!$A:$F,4,FALSE)</f>
        <v>1.45</v>
      </c>
      <c r="K1524" s="97">
        <f>VLOOKUP(H1524,[2]character_type_i18n!$A:$F,5,FALSE)</f>
        <v>0.85</v>
      </c>
      <c r="L1524" s="97">
        <f>VLOOKUP(H1524,[2]character_type_i18n!$A:$F,6,FALSE)</f>
        <v>1</v>
      </c>
      <c r="M1524" s="9" t="str">
        <f>VLOOKUP(A1524,[2]characters!$A:$M,13,FALSE)</f>
        <v>god</v>
      </c>
      <c r="N1524" s="6" t="str">
        <f>VLOOKUP(M1524,[2]character_tribe_i18n!$A:$F,3,FALSE)</f>
        <v>ゴッド</v>
      </c>
      <c r="O1524" s="97">
        <f>VLOOKUP(M1524,[2]character_tribe_i18n!$A:$F,4,FALSE)</f>
        <v>0.96</v>
      </c>
      <c r="P1524" s="97">
        <f>VLOOKUP(M1524,[2]character_tribe_i18n!$A:$F,5,FALSE)</f>
        <v>1.02</v>
      </c>
      <c r="Q1524" s="97">
        <f>VLOOKUP(M1524,[2]character_tribe_i18n!$A:$F,6,FALSE)</f>
        <v>1</v>
      </c>
      <c r="R1524" s="98" t="s">
        <v>98</v>
      </c>
      <c r="S1524" s="97">
        <f>VLOOKUP($R1524,ラベル別係数!$A$1:$E$7,3,FALSE)</f>
        <v>5</v>
      </c>
      <c r="T1524" s="97">
        <f>VLOOKUP($R1524,ラベル別係数!$A$1:$E$7,4,FALSE)</f>
        <v>1.3</v>
      </c>
      <c r="U1524" s="97">
        <f>VLOOKUP($R1524,ラベル別係数!$A$1:$E$7,5,FALSE)</f>
        <v>0.8</v>
      </c>
      <c r="V1524" s="98">
        <v>3</v>
      </c>
      <c r="W1524" s="99">
        <f>VLOOKUP(V1524,ターン数別攻撃係数!$A$1:$B$1000,2,FALSE)</f>
        <v>1</v>
      </c>
      <c r="X1524" s="9">
        <f>VLOOKUP(C1524,サイズ別係数!A$2:B$9,2,FALSE)</f>
        <v>60</v>
      </c>
      <c r="Y1524" s="97">
        <f>VLOOKUP($X1524,サイズ別係数!$B:$E,2,FALSE)</f>
        <v>1.7</v>
      </c>
      <c r="Z1524" s="97">
        <f>VLOOKUP($X1524,サイズ別係数!$B:$E,3,FALSE)</f>
        <v>1.4</v>
      </c>
      <c r="AA1524" s="97">
        <f>VLOOKUP($X1524,サイズ別係数!$B:$E,4,FALSE)</f>
        <v>1</v>
      </c>
      <c r="AB1524" s="10">
        <v>0</v>
      </c>
      <c r="AC1524" s="6" t="str">
        <f ca="1">VLOOKUP($AB1524,OFFSET([3]enemy_skill_sets!$B$2,0,0,COUNTA([3]enemy_skill_sets!$A:$A),MATCH(AC$1,[3]enemy_skill_sets!$1:$1,0)-MATCH($AB$1,[3]enemy_skill_sets!$1:$1,0)+1),MATCH(AC$1,[3]enemy_skill_sets!$1:$1,0)-MATCH($AB$1,[3]enemy_skill_sets!$1:$1,0)+1,FALSE)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4" s="67">
        <v>1</v>
      </c>
      <c r="AE1524" s="67">
        <v>1</v>
      </c>
      <c r="AF1524" s="68">
        <v>0</v>
      </c>
      <c r="AG1524" s="99">
        <f>ROUND(VLOOKUP(1,enemy_base_stats!$A:$F,2,FALSE) * Y1524* J1524*O1524*E1524*S1524*AD1524*[2]ステータス!$B$2,0)</f>
        <v>5798</v>
      </c>
      <c r="AH1524" s="99">
        <f>ROUND(VLOOKUP(1,enemy_base_stats!$A:$F,3,FALSE) * Z1524*K1524*P1524*F1524*T1524*AE1524 * W1524*[2]ステータス!$C$2,0)</f>
        <v>239</v>
      </c>
      <c r="AI1524" s="99">
        <f>ROUND(VLOOKUP(1,enemy_base_stats!$A:$F,4,FALSE) * AA1524*L1524*Q1524*G1524*U1524*AF1524*[2]ステータス!$D$2,0)</f>
        <v>0</v>
      </c>
      <c r="AJ1524" s="99">
        <f>ROUND(VLOOKUP(100,enemy_base_stats!$A:$F,2,FALSE) * Y1524* J1524*O1524*E1524*S1524*AD1524*[2]ステータス!$B$2,0)</f>
        <v>235386</v>
      </c>
      <c r="AK1524" s="99">
        <f>ROUND(VLOOKUP(100,enemy_base_stats!$A:$F,3,FALSE)* Z1524* K1524*P1524*F1524*T1524*AE1524 * W1524*[2]ステータス!$C$2,0)</f>
        <v>9706</v>
      </c>
      <c r="AL1524" s="99">
        <f>ROUND(VLOOKUP(100,enemy_base_stats!$A:$F,4,FALSE)* AA1524* L1524*Q1524*G1524*U1524*AF1524*[2]ステータス!$D$2,0)</f>
        <v>0</v>
      </c>
      <c r="AM1524" s="97">
        <f>VLOOKUP(M1524,[2]character_tribe_i18n!$A:$I,9,FALSE)</f>
        <v>680</v>
      </c>
      <c r="AN1524" s="97">
        <v>0</v>
      </c>
      <c r="AO1524" s="98">
        <v>0</v>
      </c>
      <c r="AP1524" s="58" t="s">
        <v>72</v>
      </c>
      <c r="AQ1524" s="34">
        <f t="shared" si="94"/>
        <v>8039</v>
      </c>
    </row>
    <row r="1525" spans="1:43" ht="21" customHeight="1" x14ac:dyDescent="0.15">
      <c r="A1525" s="105">
        <v>8040</v>
      </c>
      <c r="B1525" s="6" t="str">
        <f>VLOOKUP(A1525,[2]characters!$A:$C,3,FALSE)</f>
        <v>荷咲く九天 何仙姑</v>
      </c>
      <c r="C1525" s="9">
        <f>VLOOKUP(A1525,[2]characters!$A:$I,9,FALSE)</f>
        <v>6</v>
      </c>
      <c r="D1525" s="9" t="str">
        <f>VLOOKUP(A1525,[2]characters!$A:$H,8,FALSE)</f>
        <v>yellow</v>
      </c>
      <c r="E1525" s="97">
        <f>VLOOKUP(D1525,[2]属性!$A:$E,2,FALSE)</f>
        <v>0.98</v>
      </c>
      <c r="F1525" s="97">
        <f>VLOOKUP(D1525,[2]属性!$A:$E,3,FALSE)</f>
        <v>1.01</v>
      </c>
      <c r="G1525" s="97">
        <f>VLOOKUP(D1525,[2]属性!$A:$F,4,FALSE)</f>
        <v>1</v>
      </c>
      <c r="H1525" s="9" t="str">
        <f>VLOOKUP(A1525,[2]characters!$A:$K,11,FALSE)</f>
        <v>hp</v>
      </c>
      <c r="I1525" s="6" t="str">
        <f>VLOOKUP(H1525,[2]character_type_i18n!$A:$F,3,FALSE)</f>
        <v>体力タイプ</v>
      </c>
      <c r="J1525" s="97">
        <f>VLOOKUP(H1525,[2]character_type_i18n!$A:$F,4,FALSE)</f>
        <v>1.45</v>
      </c>
      <c r="K1525" s="97">
        <f>VLOOKUP(H1525,[2]character_type_i18n!$A:$F,5,FALSE)</f>
        <v>0.85</v>
      </c>
      <c r="L1525" s="97">
        <f>VLOOKUP(H1525,[2]character_type_i18n!$A:$F,6,FALSE)</f>
        <v>1</v>
      </c>
      <c r="M1525" s="9" t="str">
        <f>VLOOKUP(A1525,[2]characters!$A:$M,13,FALSE)</f>
        <v>god</v>
      </c>
      <c r="N1525" s="6" t="str">
        <f>VLOOKUP(M1525,[2]character_tribe_i18n!$A:$F,3,FALSE)</f>
        <v>ゴッド</v>
      </c>
      <c r="O1525" s="97">
        <f>VLOOKUP(M1525,[2]character_tribe_i18n!$A:$F,4,FALSE)</f>
        <v>0.96</v>
      </c>
      <c r="P1525" s="97">
        <f>VLOOKUP(M1525,[2]character_tribe_i18n!$A:$F,5,FALSE)</f>
        <v>1.02</v>
      </c>
      <c r="Q1525" s="97">
        <f>VLOOKUP(M1525,[2]character_tribe_i18n!$A:$F,6,FALSE)</f>
        <v>1</v>
      </c>
      <c r="R1525" s="98" t="s">
        <v>98</v>
      </c>
      <c r="S1525" s="97">
        <f>VLOOKUP($R1525,ラベル別係数!$A$1:$E$7,3,FALSE)</f>
        <v>5</v>
      </c>
      <c r="T1525" s="97">
        <f>VLOOKUP($R1525,ラベル別係数!$A$1:$E$7,4,FALSE)</f>
        <v>1.3</v>
      </c>
      <c r="U1525" s="97">
        <f>VLOOKUP($R1525,ラベル別係数!$A$1:$E$7,5,FALSE)</f>
        <v>0.8</v>
      </c>
      <c r="V1525" s="98">
        <v>3</v>
      </c>
      <c r="W1525" s="99">
        <f>VLOOKUP(V1525,ターン数別攻撃係数!$A$1:$B$1000,2,FALSE)</f>
        <v>1</v>
      </c>
      <c r="X1525" s="9">
        <f>VLOOKUP(C1525,サイズ別係数!A$2:B$9,2,FALSE)</f>
        <v>60</v>
      </c>
      <c r="Y1525" s="97">
        <f>VLOOKUP($X1525,サイズ別係数!$B:$E,2,FALSE)</f>
        <v>1.7</v>
      </c>
      <c r="Z1525" s="97">
        <f>VLOOKUP($X1525,サイズ別係数!$B:$E,3,FALSE)</f>
        <v>1.4</v>
      </c>
      <c r="AA1525" s="97">
        <f>VLOOKUP($X1525,サイズ別係数!$B:$E,4,FALSE)</f>
        <v>1</v>
      </c>
      <c r="AB1525" s="10">
        <v>0</v>
      </c>
      <c r="AC1525" s="6" t="str">
        <f ca="1">VLOOKUP($AB1525,OFFSET([3]enemy_skill_sets!$B$2,0,0,COUNTA([3]enemy_skill_sets!$A:$A),MATCH(AC$1,[3]enemy_skill_sets!$1:$1,0)-MATCH($AB$1,[3]enemy_skill_sets!$1:$1,0)+1),MATCH(AC$1,[3]enemy_skill_sets!$1:$1,0)-MATCH($AB$1,[3]enemy_skill_sets!$1:$1,0)+1,FALSE)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5" s="67">
        <v>1</v>
      </c>
      <c r="AE1525" s="67">
        <v>1</v>
      </c>
      <c r="AF1525" s="68">
        <v>0</v>
      </c>
      <c r="AG1525" s="99">
        <f>ROUND(VLOOKUP(1,enemy_base_stats!$A:$F,2,FALSE) * Y1525* J1525*O1525*E1525*S1525*AD1525*[2]ステータス!$B$2,0)</f>
        <v>5798</v>
      </c>
      <c r="AH1525" s="99">
        <f>ROUND(VLOOKUP(1,enemy_base_stats!$A:$F,3,FALSE) * Z1525*K1525*P1525*F1525*T1525*AE1525 * W1525*[2]ステータス!$C$2,0)</f>
        <v>239</v>
      </c>
      <c r="AI1525" s="99">
        <f>ROUND(VLOOKUP(1,enemy_base_stats!$A:$F,4,FALSE) * AA1525*L1525*Q1525*G1525*U1525*AF1525*[2]ステータス!$D$2,0)</f>
        <v>0</v>
      </c>
      <c r="AJ1525" s="99">
        <f>ROUND(VLOOKUP(100,enemy_base_stats!$A:$F,2,FALSE) * Y1525* J1525*O1525*E1525*S1525*AD1525*[2]ステータス!$B$2,0)</f>
        <v>235386</v>
      </c>
      <c r="AK1525" s="99">
        <f>ROUND(VLOOKUP(100,enemy_base_stats!$A:$F,3,FALSE)* Z1525* K1525*P1525*F1525*T1525*AE1525 * W1525*[2]ステータス!$C$2,0)</f>
        <v>9706</v>
      </c>
      <c r="AL1525" s="99">
        <f>ROUND(VLOOKUP(100,enemy_base_stats!$A:$F,4,FALSE)* AA1525* L1525*Q1525*G1525*U1525*AF1525*[2]ステータス!$D$2,0)</f>
        <v>0</v>
      </c>
      <c r="AM1525" s="97">
        <f>VLOOKUP(M1525,[2]character_tribe_i18n!$A:$I,9,FALSE)</f>
        <v>680</v>
      </c>
      <c r="AN1525" s="97">
        <v>0</v>
      </c>
      <c r="AO1525" s="98">
        <v>0</v>
      </c>
      <c r="AP1525" s="58" t="s">
        <v>72</v>
      </c>
      <c r="AQ1525" s="34">
        <f t="shared" si="94"/>
        <v>8040</v>
      </c>
    </row>
    <row r="1526" spans="1:43" ht="21" customHeight="1" x14ac:dyDescent="0.15">
      <c r="A1526" s="105">
        <v>8041</v>
      </c>
      <c r="B1526" s="6" t="str">
        <f>VLOOKUP(A1526,[2]characters!$A:$C,3,FALSE)</f>
        <v>藍采和</v>
      </c>
      <c r="C1526" s="9">
        <f>VLOOKUP(A1526,[2]characters!$A:$I,9,FALSE)</f>
        <v>5</v>
      </c>
      <c r="D1526" s="9" t="str">
        <f>VLOOKUP(A1526,[2]characters!$A:$H,8,FALSE)</f>
        <v>blue</v>
      </c>
      <c r="E1526" s="97">
        <f>VLOOKUP(D1526,[2]属性!$A:$E,2,FALSE)</f>
        <v>1</v>
      </c>
      <c r="F1526" s="97">
        <f>VLOOKUP(D1526,[2]属性!$A:$E,3,FALSE)</f>
        <v>0.98</v>
      </c>
      <c r="G1526" s="97">
        <f>VLOOKUP(D1526,[2]属性!$A:$F,4,FALSE)</f>
        <v>1</v>
      </c>
      <c r="H1526" s="9" t="str">
        <f>VLOOKUP(A1526,[2]characters!$A:$K,11,FALSE)</f>
        <v>balance</v>
      </c>
      <c r="I1526" s="6" t="str">
        <f>VLOOKUP(H1526,[2]character_type_i18n!$A:$F,3,FALSE)</f>
        <v>バランスタイプ</v>
      </c>
      <c r="J1526" s="97">
        <f>VLOOKUP(H1526,[2]character_type_i18n!$A:$F,4,FALSE)</f>
        <v>1</v>
      </c>
      <c r="K1526" s="97">
        <f>VLOOKUP(H1526,[2]character_type_i18n!$A:$F,5,FALSE)</f>
        <v>1</v>
      </c>
      <c r="L1526" s="97">
        <f>VLOOKUP(H1526,[2]character_type_i18n!$A:$F,6,FALSE)</f>
        <v>1</v>
      </c>
      <c r="M1526" s="9" t="str">
        <f>VLOOKUP(A1526,[2]characters!$A:$M,13,FALSE)</f>
        <v>god</v>
      </c>
      <c r="N1526" s="6" t="str">
        <f>VLOOKUP(M1526,[2]character_tribe_i18n!$A:$F,3,FALSE)</f>
        <v>ゴッド</v>
      </c>
      <c r="O1526" s="97">
        <f>VLOOKUP(M1526,[2]character_tribe_i18n!$A:$F,4,FALSE)</f>
        <v>0.96</v>
      </c>
      <c r="P1526" s="97">
        <f>VLOOKUP(M1526,[2]character_tribe_i18n!$A:$F,5,FALSE)</f>
        <v>1.02</v>
      </c>
      <c r="Q1526" s="97">
        <f>VLOOKUP(M1526,[2]character_tribe_i18n!$A:$F,6,FALSE)</f>
        <v>1</v>
      </c>
      <c r="R1526" s="98" t="s">
        <v>98</v>
      </c>
      <c r="S1526" s="97">
        <f>VLOOKUP($R1526,ラベル別係数!$A$1:$E$7,3,FALSE)</f>
        <v>5</v>
      </c>
      <c r="T1526" s="97">
        <f>VLOOKUP($R1526,ラベル別係数!$A$1:$E$7,4,FALSE)</f>
        <v>1.3</v>
      </c>
      <c r="U1526" s="97">
        <f>VLOOKUP($R1526,ラベル別係数!$A$1:$E$7,5,FALSE)</f>
        <v>0.8</v>
      </c>
      <c r="V1526" s="98">
        <v>3</v>
      </c>
      <c r="W1526" s="99">
        <f>VLOOKUP(V1526,ターン数別攻撃係数!$A$1:$B$1000,2,FALSE)</f>
        <v>1</v>
      </c>
      <c r="X1526" s="9">
        <f>VLOOKUP(C1526,サイズ別係数!A$2:B$9,2,FALSE)</f>
        <v>60</v>
      </c>
      <c r="Y1526" s="97">
        <f>VLOOKUP($X1526,サイズ別係数!$B:$E,2,FALSE)</f>
        <v>1.7</v>
      </c>
      <c r="Z1526" s="97">
        <f>VLOOKUP($X1526,サイズ別係数!$B:$E,3,FALSE)</f>
        <v>1.4</v>
      </c>
      <c r="AA1526" s="97">
        <f>VLOOKUP($X1526,サイズ別係数!$B:$E,4,FALSE)</f>
        <v>1</v>
      </c>
      <c r="AB1526" s="10">
        <v>0</v>
      </c>
      <c r="AC1526" s="6" t="str">
        <f ca="1">VLOOKUP($AB1526,OFFSET([3]enemy_skill_sets!$B$2,0,0,COUNTA([3]enemy_skill_sets!$A:$A),MATCH(AC$1,[3]enemy_skill_sets!$1:$1,0)-MATCH($AB$1,[3]enemy_skill_sets!$1:$1,0)+1),MATCH(AC$1,[3]enemy_skill_sets!$1:$1,0)-MATCH($AB$1,[3]enemy_skill_sets!$1:$1,0)+1,FALSE)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6" s="67">
        <v>1</v>
      </c>
      <c r="AE1526" s="67">
        <v>1</v>
      </c>
      <c r="AF1526" s="68">
        <v>0</v>
      </c>
      <c r="AG1526" s="99">
        <f>ROUND(VLOOKUP(1,enemy_base_stats!$A:$F,2,FALSE) * Y1526* J1526*O1526*E1526*S1526*AD1526*[2]ステータス!$B$2,0)</f>
        <v>4080</v>
      </c>
      <c r="AH1526" s="99">
        <f>ROUND(VLOOKUP(1,enemy_base_stats!$A:$F,3,FALSE) * Z1526*K1526*P1526*F1526*T1526*AE1526 * W1526*[2]ステータス!$C$2,0)</f>
        <v>273</v>
      </c>
      <c r="AI1526" s="99">
        <f>ROUND(VLOOKUP(1,enemy_base_stats!$A:$F,4,FALSE) * AA1526*L1526*Q1526*G1526*U1526*AF1526*[2]ステータス!$D$2,0)</f>
        <v>0</v>
      </c>
      <c r="AJ1526" s="99">
        <f>ROUND(VLOOKUP(100,enemy_base_stats!$A:$F,2,FALSE) * Y1526* J1526*O1526*E1526*S1526*AD1526*[2]ステータス!$B$2,0)</f>
        <v>165648</v>
      </c>
      <c r="AK1526" s="99">
        <f>ROUND(VLOOKUP(100,enemy_base_stats!$A:$F,3,FALSE)* Z1526* K1526*P1526*F1526*T1526*AE1526 * W1526*[2]ステータス!$C$2,0)</f>
        <v>11079</v>
      </c>
      <c r="AL1526" s="99">
        <f>ROUND(VLOOKUP(100,enemy_base_stats!$A:$F,4,FALSE)* AA1526* L1526*Q1526*G1526*U1526*AF1526*[2]ステータス!$D$2,0)</f>
        <v>0</v>
      </c>
      <c r="AM1526" s="97">
        <f>VLOOKUP(M1526,[2]character_tribe_i18n!$A:$I,9,FALSE)</f>
        <v>680</v>
      </c>
      <c r="AN1526" s="97">
        <v>0</v>
      </c>
      <c r="AO1526" s="98">
        <v>0</v>
      </c>
      <c r="AP1526" s="58" t="s">
        <v>72</v>
      </c>
      <c r="AQ1526" s="34">
        <f t="shared" si="94"/>
        <v>8041</v>
      </c>
    </row>
    <row r="1527" spans="1:43" ht="21" customHeight="1" x14ac:dyDescent="0.15">
      <c r="A1527" s="105">
        <v>8042</v>
      </c>
      <c r="B1527" s="6" t="str">
        <f>VLOOKUP(A1527,[2]characters!$A:$C,3,FALSE)</f>
        <v>天真浪漫 藍采和</v>
      </c>
      <c r="C1527" s="9">
        <f>VLOOKUP(A1527,[2]characters!$A:$I,9,FALSE)</f>
        <v>6</v>
      </c>
      <c r="D1527" s="9" t="str">
        <f>VLOOKUP(A1527,[2]characters!$A:$H,8,FALSE)</f>
        <v>blue</v>
      </c>
      <c r="E1527" s="97">
        <f>VLOOKUP(D1527,[2]属性!$A:$E,2,FALSE)</f>
        <v>1</v>
      </c>
      <c r="F1527" s="97">
        <f>VLOOKUP(D1527,[2]属性!$A:$E,3,FALSE)</f>
        <v>0.98</v>
      </c>
      <c r="G1527" s="97">
        <f>VLOOKUP(D1527,[2]属性!$A:$F,4,FALSE)</f>
        <v>1</v>
      </c>
      <c r="H1527" s="9" t="str">
        <f>VLOOKUP(A1527,[2]characters!$A:$K,11,FALSE)</f>
        <v>balance</v>
      </c>
      <c r="I1527" s="6" t="str">
        <f>VLOOKUP(H1527,[2]character_type_i18n!$A:$F,3,FALSE)</f>
        <v>バランスタイプ</v>
      </c>
      <c r="J1527" s="97">
        <f>VLOOKUP(H1527,[2]character_type_i18n!$A:$F,4,FALSE)</f>
        <v>1</v>
      </c>
      <c r="K1527" s="97">
        <f>VLOOKUP(H1527,[2]character_type_i18n!$A:$F,5,FALSE)</f>
        <v>1</v>
      </c>
      <c r="L1527" s="97">
        <f>VLOOKUP(H1527,[2]character_type_i18n!$A:$F,6,FALSE)</f>
        <v>1</v>
      </c>
      <c r="M1527" s="9" t="str">
        <f>VLOOKUP(A1527,[2]characters!$A:$M,13,FALSE)</f>
        <v>god</v>
      </c>
      <c r="N1527" s="6" t="str">
        <f>VLOOKUP(M1527,[2]character_tribe_i18n!$A:$F,3,FALSE)</f>
        <v>ゴッド</v>
      </c>
      <c r="O1527" s="97">
        <f>VLOOKUP(M1527,[2]character_tribe_i18n!$A:$F,4,FALSE)</f>
        <v>0.96</v>
      </c>
      <c r="P1527" s="97">
        <f>VLOOKUP(M1527,[2]character_tribe_i18n!$A:$F,5,FALSE)</f>
        <v>1.02</v>
      </c>
      <c r="Q1527" s="97">
        <f>VLOOKUP(M1527,[2]character_tribe_i18n!$A:$F,6,FALSE)</f>
        <v>1</v>
      </c>
      <c r="R1527" s="98" t="s">
        <v>98</v>
      </c>
      <c r="S1527" s="97">
        <f>VLOOKUP($R1527,ラベル別係数!$A$1:$E$7,3,FALSE)</f>
        <v>5</v>
      </c>
      <c r="T1527" s="97">
        <f>VLOOKUP($R1527,ラベル別係数!$A$1:$E$7,4,FALSE)</f>
        <v>1.3</v>
      </c>
      <c r="U1527" s="97">
        <f>VLOOKUP($R1527,ラベル別係数!$A$1:$E$7,5,FALSE)</f>
        <v>0.8</v>
      </c>
      <c r="V1527" s="98">
        <v>3</v>
      </c>
      <c r="W1527" s="99">
        <f>VLOOKUP(V1527,ターン数別攻撃係数!$A$1:$B$1000,2,FALSE)</f>
        <v>1</v>
      </c>
      <c r="X1527" s="9">
        <f>VLOOKUP(C1527,サイズ別係数!A$2:B$9,2,FALSE)</f>
        <v>60</v>
      </c>
      <c r="Y1527" s="97">
        <f>VLOOKUP($X1527,サイズ別係数!$B:$E,2,FALSE)</f>
        <v>1.7</v>
      </c>
      <c r="Z1527" s="97">
        <f>VLOOKUP($X1527,サイズ別係数!$B:$E,3,FALSE)</f>
        <v>1.4</v>
      </c>
      <c r="AA1527" s="97">
        <f>VLOOKUP($X1527,サイズ別係数!$B:$E,4,FALSE)</f>
        <v>1</v>
      </c>
      <c r="AB1527" s="10">
        <v>0</v>
      </c>
      <c r="AC1527" s="6" t="str">
        <f ca="1">VLOOKUP($AB1527,OFFSET([3]enemy_skill_sets!$B$2,0,0,COUNTA([3]enemy_skill_sets!$A:$A),MATCH(AC$1,[3]enemy_skill_sets!$1:$1,0)-MATCH($AB$1,[3]enemy_skill_sets!$1:$1,0)+1),MATCH(AC$1,[3]enemy_skill_sets!$1:$1,0)-MATCH($AB$1,[3]enemy_skill_sets!$1:$1,0)+1,FALSE)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7" s="67">
        <v>1</v>
      </c>
      <c r="AE1527" s="67">
        <v>1</v>
      </c>
      <c r="AF1527" s="68">
        <v>0</v>
      </c>
      <c r="AG1527" s="99">
        <f>ROUND(VLOOKUP(1,enemy_base_stats!$A:$F,2,FALSE) * Y1527* J1527*O1527*E1527*S1527*AD1527*[2]ステータス!$B$2,0)</f>
        <v>4080</v>
      </c>
      <c r="AH1527" s="99">
        <f>ROUND(VLOOKUP(1,enemy_base_stats!$A:$F,3,FALSE) * Z1527*K1527*P1527*F1527*T1527*AE1527 * W1527*[2]ステータス!$C$2,0)</f>
        <v>273</v>
      </c>
      <c r="AI1527" s="99">
        <f>ROUND(VLOOKUP(1,enemy_base_stats!$A:$F,4,FALSE) * AA1527*L1527*Q1527*G1527*U1527*AF1527*[2]ステータス!$D$2,0)</f>
        <v>0</v>
      </c>
      <c r="AJ1527" s="99">
        <f>ROUND(VLOOKUP(100,enemy_base_stats!$A:$F,2,FALSE) * Y1527* J1527*O1527*E1527*S1527*AD1527*[2]ステータス!$B$2,0)</f>
        <v>165648</v>
      </c>
      <c r="AK1527" s="99">
        <f>ROUND(VLOOKUP(100,enemy_base_stats!$A:$F,3,FALSE)* Z1527* K1527*P1527*F1527*T1527*AE1527 * W1527*[2]ステータス!$C$2,0)</f>
        <v>11079</v>
      </c>
      <c r="AL1527" s="99">
        <f>ROUND(VLOOKUP(100,enemy_base_stats!$A:$F,4,FALSE)* AA1527* L1527*Q1527*G1527*U1527*AF1527*[2]ステータス!$D$2,0)</f>
        <v>0</v>
      </c>
      <c r="AM1527" s="97">
        <f>VLOOKUP(M1527,[2]character_tribe_i18n!$A:$I,9,FALSE)</f>
        <v>680</v>
      </c>
      <c r="AN1527" s="97">
        <v>0</v>
      </c>
      <c r="AO1527" s="98">
        <v>0</v>
      </c>
      <c r="AP1527" s="58" t="s">
        <v>72</v>
      </c>
      <c r="AQ1527" s="34">
        <f t="shared" si="94"/>
        <v>8042</v>
      </c>
    </row>
    <row r="1528" spans="1:43" ht="21" customHeight="1" x14ac:dyDescent="0.15">
      <c r="A1528" s="105">
        <v>8043</v>
      </c>
      <c r="B1528" s="6" t="str">
        <f>VLOOKUP(A1528,[2]characters!$A:$C,3,FALSE)</f>
        <v>サンリオキャラ大集合+アザゼル</v>
      </c>
      <c r="C1528" s="9">
        <f>VLOOKUP(A1528,[2]characters!$A:$I,9,FALSE)</f>
        <v>5</v>
      </c>
      <c r="D1528" s="9" t="str">
        <f>VLOOKUP(A1528,[2]characters!$A:$H,8,FALSE)</f>
        <v>green</v>
      </c>
      <c r="E1528" s="97">
        <f>VLOOKUP(D1528,[2]属性!$A:$E,2,FALSE)</f>
        <v>1.02</v>
      </c>
      <c r="F1528" s="97">
        <f>VLOOKUP(D1528,[2]属性!$A:$E,3,FALSE)</f>
        <v>0.98</v>
      </c>
      <c r="G1528" s="97">
        <f>VLOOKUP(D1528,[2]属性!$A:$F,4,FALSE)</f>
        <v>1</v>
      </c>
      <c r="H1528" s="9" t="str">
        <f>VLOOKUP(A1528,[2]characters!$A:$K,11,FALSE)</f>
        <v>technical</v>
      </c>
      <c r="I1528" s="6" t="str">
        <f>VLOOKUP(H1528,[2]character_type_i18n!$A:$F,3,FALSE)</f>
        <v>テクニカルタイプ</v>
      </c>
      <c r="J1528" s="106">
        <v>1</v>
      </c>
      <c r="K1528" s="106">
        <v>1</v>
      </c>
      <c r="L1528" s="106">
        <f>VLOOKUP(H1528,[2]character_type_i18n!$A:$F,6,FALSE)</f>
        <v>1</v>
      </c>
      <c r="M1528" s="9" t="s">
        <v>140</v>
      </c>
      <c r="N1528" s="6" t="str">
        <f>VLOOKUP(M1528,[2]character_tribe_i18n!$A:$F,3,FALSE)</f>
        <v>ゴッド</v>
      </c>
      <c r="O1528" s="97">
        <f>VLOOKUP(M1528,[2]character_tribe_i18n!$A:$F,4,FALSE)</f>
        <v>0.96</v>
      </c>
      <c r="P1528" s="97">
        <f>VLOOKUP(M1528,[2]character_tribe_i18n!$A:$F,5,FALSE)</f>
        <v>1.02</v>
      </c>
      <c r="Q1528" s="97">
        <f>VLOOKUP(M1528,[2]character_tribe_i18n!$A:$F,6,FALSE)</f>
        <v>1</v>
      </c>
      <c r="R1528" s="98" t="s">
        <v>98</v>
      </c>
      <c r="S1528" s="97">
        <f>VLOOKUP($R1528,ラベル別係数!$A$1:$E$7,3,FALSE)</f>
        <v>5</v>
      </c>
      <c r="T1528" s="97">
        <f>VLOOKUP($R1528,ラベル別係数!$A$1:$E$7,4,FALSE)</f>
        <v>1.3</v>
      </c>
      <c r="U1528" s="97">
        <f>VLOOKUP($R1528,ラベル別係数!$A$1:$E$7,5,FALSE)</f>
        <v>0.8</v>
      </c>
      <c r="V1528" s="98">
        <v>3</v>
      </c>
      <c r="W1528" s="99">
        <f>VLOOKUP(V1528,ターン数別攻撃係数!$A$1:$B$1000,2,FALSE)</f>
        <v>1</v>
      </c>
      <c r="X1528" s="9">
        <f>VLOOKUP(C1528,サイズ別係数!A$2:B$9,2,FALSE)</f>
        <v>60</v>
      </c>
      <c r="Y1528" s="97">
        <f>VLOOKUP($X1528,サイズ別係数!$B:$E,2,FALSE)</f>
        <v>1.7</v>
      </c>
      <c r="Z1528" s="97">
        <f>VLOOKUP($X1528,サイズ別係数!$B:$E,3,FALSE)</f>
        <v>1.4</v>
      </c>
      <c r="AA1528" s="97">
        <f>VLOOKUP($X1528,サイズ別係数!$B:$E,4,FALSE)</f>
        <v>1</v>
      </c>
      <c r="AB1528" s="10">
        <v>0</v>
      </c>
      <c r="AC1528" s="6" t="str">
        <f ca="1">VLOOKUP($AB1528,OFFSET([3]enemy_skill_sets!$B$2,0,0,COUNTA([3]enemy_skill_sets!$A:$A),MATCH(AC$1,[3]enemy_skill_sets!$1:$1,0)-MATCH($AB$1,[3]enemy_skill_sets!$1:$1,0)+1),MATCH(AC$1,[3]enemy_skill_sets!$1:$1,0)-MATCH($AB$1,[3]enemy_skill_sets!$1:$1,0)+1,FALSE)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8" s="67">
        <v>1</v>
      </c>
      <c r="AE1528" s="67">
        <v>1</v>
      </c>
      <c r="AF1528" s="68">
        <v>0</v>
      </c>
      <c r="AG1528" s="99">
        <f>ROUND(VLOOKUP(1,enemy_base_stats!$A:$F,2,FALSE) * Y1528* J1528*O1528*E1528*S1528*AD1528*[2]ステータス!$B$2,0)</f>
        <v>4162</v>
      </c>
      <c r="AH1528" s="99">
        <f>ROUND(VLOOKUP(1,enemy_base_stats!$A:$F,3,FALSE) * Z1528*K1528*P1528*F1528*T1528*AE1528 * W1528*[2]ステータス!$C$2,0)</f>
        <v>273</v>
      </c>
      <c r="AI1528" s="99">
        <f>ROUND(VLOOKUP(1,enemy_base_stats!$A:$F,4,FALSE) * AA1528*L1528*Q1528*G1528*U1528*AF1528*[2]ステータス!$D$2,0)</f>
        <v>0</v>
      </c>
      <c r="AJ1528" s="99">
        <f>ROUND(VLOOKUP(100,enemy_base_stats!$A:$F,2,FALSE) * Y1528* J1528*O1528*E1528*S1528*AD1528*[2]ステータス!$B$2,0)</f>
        <v>168961</v>
      </c>
      <c r="AK1528" s="99">
        <f>ROUND(VLOOKUP(100,enemy_base_stats!$A:$F,3,FALSE)* Z1528* K1528*P1528*F1528*T1528*AE1528 * W1528*[2]ステータス!$C$2,0)</f>
        <v>11079</v>
      </c>
      <c r="AL1528" s="99">
        <f>ROUND(VLOOKUP(100,enemy_base_stats!$A:$F,4,FALSE)* AA1528* L1528*Q1528*G1528*U1528*AF1528*[2]ステータス!$D$2,0)</f>
        <v>0</v>
      </c>
      <c r="AM1528" s="97">
        <f>VLOOKUP(M1528,[2]character_tribe_i18n!$A:$I,9,FALSE)</f>
        <v>680</v>
      </c>
      <c r="AN1528" s="97">
        <v>0</v>
      </c>
      <c r="AO1528" s="98">
        <v>0</v>
      </c>
      <c r="AP1528" s="58" t="s">
        <v>72</v>
      </c>
      <c r="AQ1528" s="34">
        <f t="shared" si="94"/>
        <v>8043</v>
      </c>
    </row>
    <row r="1529" spans="1:43" ht="21" customHeight="1" x14ac:dyDescent="0.15">
      <c r="A1529" s="105">
        <v>8044</v>
      </c>
      <c r="B1529" s="6" t="str">
        <f>VLOOKUP(A1529,[2]characters!$A:$C,3,FALSE)</f>
        <v>サンリオキャラ大集合+アザゼル</v>
      </c>
      <c r="C1529" s="9">
        <f>VLOOKUP(A1529,[2]characters!$A:$I,9,FALSE)</f>
        <v>6</v>
      </c>
      <c r="D1529" s="9" t="str">
        <f>VLOOKUP(A1529,[2]characters!$A:$H,8,FALSE)</f>
        <v>green</v>
      </c>
      <c r="E1529" s="97">
        <f>VLOOKUP(D1529,[2]属性!$A:$E,2,FALSE)</f>
        <v>1.02</v>
      </c>
      <c r="F1529" s="97">
        <f>VLOOKUP(D1529,[2]属性!$A:$E,3,FALSE)</f>
        <v>0.98</v>
      </c>
      <c r="G1529" s="97">
        <f>VLOOKUP(D1529,[2]属性!$A:$F,4,FALSE)</f>
        <v>1</v>
      </c>
      <c r="H1529" s="9" t="str">
        <f>VLOOKUP(A1529,[2]characters!$A:$K,11,FALSE)</f>
        <v>technical</v>
      </c>
      <c r="I1529" s="6" t="str">
        <f>VLOOKUP(H1529,[2]character_type_i18n!$A:$F,3,FALSE)</f>
        <v>テクニカルタイプ</v>
      </c>
      <c r="J1529" s="106">
        <v>1</v>
      </c>
      <c r="K1529" s="106">
        <v>1</v>
      </c>
      <c r="L1529" s="106">
        <f>VLOOKUP(H1529,[2]character_type_i18n!$A:$F,6,FALSE)</f>
        <v>1</v>
      </c>
      <c r="M1529" s="9" t="s">
        <v>140</v>
      </c>
      <c r="N1529" s="6" t="str">
        <f>VLOOKUP(M1529,[2]character_tribe_i18n!$A:$F,3,FALSE)</f>
        <v>ゴッド</v>
      </c>
      <c r="O1529" s="97">
        <f>VLOOKUP(M1529,[2]character_tribe_i18n!$A:$F,4,FALSE)</f>
        <v>0.96</v>
      </c>
      <c r="P1529" s="97">
        <f>VLOOKUP(M1529,[2]character_tribe_i18n!$A:$F,5,FALSE)</f>
        <v>1.02</v>
      </c>
      <c r="Q1529" s="97">
        <f>VLOOKUP(M1529,[2]character_tribe_i18n!$A:$F,6,FALSE)</f>
        <v>1</v>
      </c>
      <c r="R1529" s="98" t="s">
        <v>98</v>
      </c>
      <c r="S1529" s="97">
        <f>VLOOKUP($R1529,ラベル別係数!$A$1:$E$7,3,FALSE)</f>
        <v>5</v>
      </c>
      <c r="T1529" s="97">
        <f>VLOOKUP($R1529,ラベル別係数!$A$1:$E$7,4,FALSE)</f>
        <v>1.3</v>
      </c>
      <c r="U1529" s="97">
        <f>VLOOKUP($R1529,ラベル別係数!$A$1:$E$7,5,FALSE)</f>
        <v>0.8</v>
      </c>
      <c r="V1529" s="98">
        <v>3</v>
      </c>
      <c r="W1529" s="99">
        <f>VLOOKUP(V1529,ターン数別攻撃係数!$A$1:$B$1000,2,FALSE)</f>
        <v>1</v>
      </c>
      <c r="X1529" s="9">
        <f>VLOOKUP(C1529,サイズ別係数!A$2:B$9,2,FALSE)</f>
        <v>60</v>
      </c>
      <c r="Y1529" s="97">
        <f>VLOOKUP($X1529,サイズ別係数!$B:$E,2,FALSE)</f>
        <v>1.7</v>
      </c>
      <c r="Z1529" s="97">
        <f>VLOOKUP($X1529,サイズ別係数!$B:$E,3,FALSE)</f>
        <v>1.4</v>
      </c>
      <c r="AA1529" s="97">
        <f>VLOOKUP($X1529,サイズ別係数!$B:$E,4,FALSE)</f>
        <v>1</v>
      </c>
      <c r="AB1529" s="10">
        <v>0</v>
      </c>
      <c r="AC1529" s="6" t="str">
        <f ca="1">VLOOKUP($AB1529,OFFSET([3]enemy_skill_sets!$B$2,0,0,COUNTA([3]enemy_skill_sets!$A:$A),MATCH(AC$1,[3]enemy_skill_sets!$1:$1,0)-MATCH($AB$1,[3]enemy_skill_sets!$1:$1,0)+1),MATCH(AC$1,[3]enemy_skill_sets!$1:$1,0)-MATCH($AB$1,[3]enemy_skill_sets!$1:$1,0)+1,FALSE)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29" s="67">
        <v>1</v>
      </c>
      <c r="AE1529" s="67">
        <v>1</v>
      </c>
      <c r="AF1529" s="68">
        <v>0</v>
      </c>
      <c r="AG1529" s="99">
        <f>ROUND(VLOOKUP(1,enemy_base_stats!$A:$F,2,FALSE) * Y1529* J1529*O1529*E1529*S1529*AD1529*[2]ステータス!$B$2,0)</f>
        <v>4162</v>
      </c>
      <c r="AH1529" s="99">
        <f>ROUND(VLOOKUP(1,enemy_base_stats!$A:$F,3,FALSE) * Z1529*K1529*P1529*F1529*T1529*AE1529 * W1529*[2]ステータス!$C$2,0)</f>
        <v>273</v>
      </c>
      <c r="AI1529" s="99">
        <f>ROUND(VLOOKUP(1,enemy_base_stats!$A:$F,4,FALSE) * AA1529*L1529*Q1529*G1529*U1529*AF1529*[2]ステータス!$D$2,0)</f>
        <v>0</v>
      </c>
      <c r="AJ1529" s="99">
        <f>ROUND(VLOOKUP(100,enemy_base_stats!$A:$F,2,FALSE) * Y1529* J1529*O1529*E1529*S1529*AD1529*[2]ステータス!$B$2,0)</f>
        <v>168961</v>
      </c>
      <c r="AK1529" s="99">
        <f>ROUND(VLOOKUP(100,enemy_base_stats!$A:$F,3,FALSE)* Z1529* K1529*P1529*F1529*T1529*AE1529 * W1529*[2]ステータス!$C$2,0)</f>
        <v>11079</v>
      </c>
      <c r="AL1529" s="99">
        <f>ROUND(VLOOKUP(100,enemy_base_stats!$A:$F,4,FALSE)* AA1529* L1529*Q1529*G1529*U1529*AF1529*[2]ステータス!$D$2,0)</f>
        <v>0</v>
      </c>
      <c r="AM1529" s="97">
        <f>VLOOKUP(M1529,[2]character_tribe_i18n!$A:$I,9,FALSE)</f>
        <v>680</v>
      </c>
      <c r="AN1529" s="97">
        <v>0</v>
      </c>
      <c r="AO1529" s="98">
        <v>0</v>
      </c>
      <c r="AP1529" s="58" t="s">
        <v>72</v>
      </c>
      <c r="AQ1529" s="34">
        <f t="shared" si="94"/>
        <v>8044</v>
      </c>
    </row>
    <row r="1530" spans="1:43" ht="21" customHeight="1" x14ac:dyDescent="0.15">
      <c r="A1530" s="105">
        <v>8045</v>
      </c>
      <c r="B1530" s="6" t="str">
        <f>VLOOKUP(A1530,[2]characters!$A:$C,3,FALSE)</f>
        <v>ニムダ_サンリオキャラ混じり</v>
      </c>
      <c r="C1530" s="9">
        <f>VLOOKUP(A1530,[2]characters!$A:$I,9,FALSE)</f>
        <v>4</v>
      </c>
      <c r="D1530" s="9" t="str">
        <f>VLOOKUP(A1530,[2]characters!$A:$H,8,FALSE)</f>
        <v>yellow</v>
      </c>
      <c r="E1530" s="97">
        <f>VLOOKUP(D1530,[2]属性!$A:$E,2,FALSE)</f>
        <v>0.98</v>
      </c>
      <c r="F1530" s="97">
        <f>VLOOKUP(D1530,[2]属性!$A:$E,3,FALSE)</f>
        <v>1.01</v>
      </c>
      <c r="G1530" s="97">
        <f>VLOOKUP(D1530,[2]属性!$A:$F,4,FALSE)</f>
        <v>1</v>
      </c>
      <c r="H1530" s="9" t="str">
        <f>VLOOKUP(A1530,[2]characters!$A:$K,11,FALSE)</f>
        <v>technical</v>
      </c>
      <c r="I1530" s="6" t="str">
        <f>VLOOKUP(H1530,[2]character_type_i18n!$A:$F,3,FALSE)</f>
        <v>テクニカルタイプ</v>
      </c>
      <c r="J1530" s="106">
        <v>1</v>
      </c>
      <c r="K1530" s="106">
        <v>1</v>
      </c>
      <c r="L1530" s="106">
        <f>VLOOKUP(H1530,[2]character_type_i18n!$A:$F,6,FALSE)</f>
        <v>1</v>
      </c>
      <c r="M1530" s="9" t="s">
        <v>141</v>
      </c>
      <c r="N1530" s="6" t="str">
        <f>VLOOKUP(M1530,[2]character_tribe_i18n!$A:$F,3,FALSE)</f>
        <v>Unknown</v>
      </c>
      <c r="O1530" s="97">
        <f>VLOOKUP(M1530,[2]character_tribe_i18n!$A:$F,4,FALSE)</f>
        <v>1</v>
      </c>
      <c r="P1530" s="97">
        <f>VLOOKUP(M1530,[2]character_tribe_i18n!$A:$F,5,FALSE)</f>
        <v>1</v>
      </c>
      <c r="Q1530" s="97">
        <f>VLOOKUP(M1530,[2]character_tribe_i18n!$A:$F,6,FALSE)</f>
        <v>1</v>
      </c>
      <c r="R1530" s="98" t="s">
        <v>98</v>
      </c>
      <c r="S1530" s="97">
        <f>VLOOKUP($R1530,ラベル別係数!$A$1:$E$7,3,FALSE)</f>
        <v>5</v>
      </c>
      <c r="T1530" s="97">
        <f>VLOOKUP($R1530,ラベル別係数!$A$1:$E$7,4,FALSE)</f>
        <v>1.3</v>
      </c>
      <c r="U1530" s="97">
        <f>VLOOKUP($R1530,ラベル別係数!$A$1:$E$7,5,FALSE)</f>
        <v>0.8</v>
      </c>
      <c r="V1530" s="98">
        <v>3</v>
      </c>
      <c r="W1530" s="99">
        <f>VLOOKUP(V1530,ターン数別攻撃係数!$A$1:$B$1000,2,FALSE)</f>
        <v>1</v>
      </c>
      <c r="X1530" s="9">
        <f>VLOOKUP(C1530,サイズ別係数!A$2:B$9,2,FALSE)</f>
        <v>30</v>
      </c>
      <c r="Y1530" s="97">
        <f>VLOOKUP($X1530,サイズ別係数!$B:$E,2,FALSE)</f>
        <v>1.3</v>
      </c>
      <c r="Z1530" s="97">
        <f>VLOOKUP($X1530,サイズ別係数!$B:$E,3,FALSE)</f>
        <v>1.3</v>
      </c>
      <c r="AA1530" s="97">
        <f>VLOOKUP($X1530,サイズ別係数!$B:$E,4,FALSE)</f>
        <v>1.1000000000000001</v>
      </c>
      <c r="AB1530" s="10">
        <v>0</v>
      </c>
      <c r="AC1530" s="6" t="str">
        <f ca="1">VLOOKUP($AB1530,OFFSET([3]enemy_skill_sets!$B$2,0,0,COUNTA([3]enemy_skill_sets!$A:$A),MATCH(AC$1,[3]enemy_skill_sets!$1:$1,0)-MATCH($AB$1,[3]enemy_skill_sets!$1:$1,0)+1),MATCH(AC$1,[3]enemy_skill_sets!$1:$1,0)-MATCH($AB$1,[3]enemy_skill_sets!$1:$1,0)+1,FALSE)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0" s="67">
        <v>1</v>
      </c>
      <c r="AE1530" s="67">
        <v>1</v>
      </c>
      <c r="AF1530" s="68">
        <v>0</v>
      </c>
      <c r="AG1530" s="99">
        <f>ROUND(VLOOKUP(1,enemy_base_stats!$A:$F,2,FALSE) * Y1530* J1530*O1530*E1530*S1530*AD1530*[2]ステータス!$B$2,0)</f>
        <v>3185</v>
      </c>
      <c r="AH1530" s="99">
        <f>ROUND(VLOOKUP(1,enemy_base_stats!$A:$F,3,FALSE) * Z1530*K1530*P1530*F1530*T1530*AE1530 * W1530*[2]ステータス!$C$2,0)</f>
        <v>256</v>
      </c>
      <c r="AI1530" s="99">
        <f>ROUND(VLOOKUP(1,enemy_base_stats!$A:$F,4,FALSE) * AA1530*L1530*Q1530*G1530*U1530*AF1530*[2]ステータス!$D$2,0)</f>
        <v>0</v>
      </c>
      <c r="AJ1530" s="99">
        <f>ROUND(VLOOKUP(100,enemy_base_stats!$A:$F,2,FALSE) * Y1530* J1530*O1530*E1530*S1530*AD1530*[2]ステータス!$B$2,0)</f>
        <v>129311</v>
      </c>
      <c r="AK1530" s="99">
        <f>ROUND(VLOOKUP(100,enemy_base_stats!$A:$F,3,FALSE)* Z1530* K1530*P1530*F1530*T1530*AE1530 * W1530*[2]ステータス!$C$2,0)</f>
        <v>10395</v>
      </c>
      <c r="AL1530" s="99">
        <f>ROUND(VLOOKUP(100,enemy_base_stats!$A:$F,4,FALSE)* AA1530* L1530*Q1530*G1530*U1530*AF1530*[2]ステータス!$D$2,0)</f>
        <v>0</v>
      </c>
      <c r="AM1530" s="97">
        <f>VLOOKUP(M1530,[2]character_tribe_i18n!$A:$I,9,FALSE)</f>
        <v>340</v>
      </c>
      <c r="AN1530" s="97">
        <v>0</v>
      </c>
      <c r="AO1530" s="98">
        <v>0</v>
      </c>
      <c r="AP1530" s="58" t="s">
        <v>72</v>
      </c>
      <c r="AQ1530" s="34">
        <f t="shared" si="94"/>
        <v>8045</v>
      </c>
    </row>
    <row r="1531" spans="1:43" ht="21" customHeight="1" x14ac:dyDescent="0.15">
      <c r="A1531" s="105">
        <v>8046</v>
      </c>
      <c r="B1531" s="6" t="str">
        <f>VLOOKUP(A1531,[2]characters!$A:$C,3,FALSE)</f>
        <v>ニムダ_サンリオキャラ混じり</v>
      </c>
      <c r="C1531" s="9">
        <f>VLOOKUP(A1531,[2]characters!$A:$I,9,FALSE)</f>
        <v>5</v>
      </c>
      <c r="D1531" s="9" t="str">
        <f>VLOOKUP(A1531,[2]characters!$A:$H,8,FALSE)</f>
        <v>yellow</v>
      </c>
      <c r="E1531" s="97">
        <f>VLOOKUP(D1531,[2]属性!$A:$E,2,FALSE)</f>
        <v>0.98</v>
      </c>
      <c r="F1531" s="97">
        <f>VLOOKUP(D1531,[2]属性!$A:$E,3,FALSE)</f>
        <v>1.01</v>
      </c>
      <c r="G1531" s="97">
        <f>VLOOKUP(D1531,[2]属性!$A:$F,4,FALSE)</f>
        <v>1</v>
      </c>
      <c r="H1531" s="9" t="str">
        <f>VLOOKUP(A1531,[2]characters!$A:$K,11,FALSE)</f>
        <v>technical</v>
      </c>
      <c r="I1531" s="6" t="str">
        <f>VLOOKUP(H1531,[2]character_type_i18n!$A:$F,3,FALSE)</f>
        <v>テクニカルタイプ</v>
      </c>
      <c r="J1531" s="106">
        <v>1</v>
      </c>
      <c r="K1531" s="106">
        <v>1</v>
      </c>
      <c r="L1531" s="106">
        <f>VLOOKUP(H1531,[2]character_type_i18n!$A:$F,6,FALSE)</f>
        <v>1</v>
      </c>
      <c r="M1531" s="9" t="s">
        <v>141</v>
      </c>
      <c r="N1531" s="6" t="str">
        <f>VLOOKUP(M1531,[2]character_tribe_i18n!$A:$F,3,FALSE)</f>
        <v>Unknown</v>
      </c>
      <c r="O1531" s="97">
        <f>VLOOKUP(M1531,[2]character_tribe_i18n!$A:$F,4,FALSE)</f>
        <v>1</v>
      </c>
      <c r="P1531" s="97">
        <f>VLOOKUP(M1531,[2]character_tribe_i18n!$A:$F,5,FALSE)</f>
        <v>1</v>
      </c>
      <c r="Q1531" s="97">
        <f>VLOOKUP(M1531,[2]character_tribe_i18n!$A:$F,6,FALSE)</f>
        <v>1</v>
      </c>
      <c r="R1531" s="98" t="s">
        <v>98</v>
      </c>
      <c r="S1531" s="97">
        <f>VLOOKUP($R1531,ラベル別係数!$A$1:$E$7,3,FALSE)</f>
        <v>5</v>
      </c>
      <c r="T1531" s="97">
        <f>VLOOKUP($R1531,ラベル別係数!$A$1:$E$7,4,FALSE)</f>
        <v>1.3</v>
      </c>
      <c r="U1531" s="97">
        <f>VLOOKUP($R1531,ラベル別係数!$A$1:$E$7,5,FALSE)</f>
        <v>0.8</v>
      </c>
      <c r="V1531" s="98">
        <v>3</v>
      </c>
      <c r="W1531" s="99">
        <f>VLOOKUP(V1531,ターン数別攻撃係数!$A$1:$B$1000,2,FALSE)</f>
        <v>1</v>
      </c>
      <c r="X1531" s="9">
        <f>VLOOKUP(C1531,サイズ別係数!A$2:B$9,2,FALSE)</f>
        <v>60</v>
      </c>
      <c r="Y1531" s="97">
        <f>VLOOKUP($X1531,サイズ別係数!$B:$E,2,FALSE)</f>
        <v>1.7</v>
      </c>
      <c r="Z1531" s="97">
        <f>VLOOKUP($X1531,サイズ別係数!$B:$E,3,FALSE)</f>
        <v>1.4</v>
      </c>
      <c r="AA1531" s="97">
        <f>VLOOKUP($X1531,サイズ別係数!$B:$E,4,FALSE)</f>
        <v>1</v>
      </c>
      <c r="AB1531" s="10">
        <v>0</v>
      </c>
      <c r="AC1531" s="6" t="str">
        <f ca="1">VLOOKUP($AB1531,OFFSET([3]enemy_skill_sets!$B$2,0,0,COUNTA([3]enemy_skill_sets!$A:$A),MATCH(AC$1,[3]enemy_skill_sets!$1:$1,0)-MATCH($AB$1,[3]enemy_skill_sets!$1:$1,0)+1),MATCH(AC$1,[3]enemy_skill_sets!$1:$1,0)-MATCH($AB$1,[3]enemy_skill_sets!$1:$1,0)+1,FALSE)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1" s="67">
        <v>1</v>
      </c>
      <c r="AE1531" s="67">
        <v>1</v>
      </c>
      <c r="AF1531" s="68">
        <v>0</v>
      </c>
      <c r="AG1531" s="99">
        <f>ROUND(VLOOKUP(1,enemy_base_stats!$A:$F,2,FALSE) * Y1531* J1531*O1531*E1531*S1531*AD1531*[2]ステータス!$B$2,0)</f>
        <v>4165</v>
      </c>
      <c r="AH1531" s="99">
        <f>ROUND(VLOOKUP(1,enemy_base_stats!$A:$F,3,FALSE) * Z1531*K1531*P1531*F1531*T1531*AE1531 * W1531*[2]ステータス!$C$2,0)</f>
        <v>276</v>
      </c>
      <c r="AI1531" s="99">
        <f>ROUND(VLOOKUP(1,enemy_base_stats!$A:$F,4,FALSE) * AA1531*L1531*Q1531*G1531*U1531*AF1531*[2]ステータス!$D$2,0)</f>
        <v>0</v>
      </c>
      <c r="AJ1531" s="99">
        <f>ROUND(VLOOKUP(100,enemy_base_stats!$A:$F,2,FALSE) * Y1531* J1531*O1531*E1531*S1531*AD1531*[2]ステータス!$B$2,0)</f>
        <v>169099</v>
      </c>
      <c r="AK1531" s="99">
        <f>ROUND(VLOOKUP(100,enemy_base_stats!$A:$F,3,FALSE)* Z1531* K1531*P1531*F1531*T1531*AE1531 * W1531*[2]ステータス!$C$2,0)</f>
        <v>11195</v>
      </c>
      <c r="AL1531" s="99">
        <f>ROUND(VLOOKUP(100,enemy_base_stats!$A:$F,4,FALSE)* AA1531* L1531*Q1531*G1531*U1531*AF1531*[2]ステータス!$D$2,0)</f>
        <v>0</v>
      </c>
      <c r="AM1531" s="97">
        <f>VLOOKUP(M1531,[2]character_tribe_i18n!$A:$I,9,FALSE)</f>
        <v>340</v>
      </c>
      <c r="AN1531" s="97">
        <v>0</v>
      </c>
      <c r="AO1531" s="98">
        <v>0</v>
      </c>
      <c r="AP1531" s="58" t="s">
        <v>72</v>
      </c>
      <c r="AQ1531" s="34">
        <f t="shared" si="94"/>
        <v>8046</v>
      </c>
    </row>
    <row r="1532" spans="1:43" ht="21" customHeight="1" x14ac:dyDescent="0.15">
      <c r="A1532" s="105">
        <v>8047</v>
      </c>
      <c r="B1532" s="6" t="str">
        <f>VLOOKUP(A1532,[2]characters!$A:$C,3,FALSE)</f>
        <v>ハローキティ</v>
      </c>
      <c r="C1532" s="9">
        <f>VLOOKUP(A1532,[2]characters!$A:$I,9,FALSE)</f>
        <v>4</v>
      </c>
      <c r="D1532" s="9" t="str">
        <f>VLOOKUP(A1532,[2]characters!$A:$H,8,FALSE)</f>
        <v>red</v>
      </c>
      <c r="E1532" s="97">
        <f>VLOOKUP(D1532,[2]属性!$A:$E,2,FALSE)</f>
        <v>1</v>
      </c>
      <c r="F1532" s="97">
        <f>VLOOKUP(D1532,[2]属性!$A:$E,3,FALSE)</f>
        <v>1.02</v>
      </c>
      <c r="G1532" s="97">
        <f>VLOOKUP(D1532,[2]属性!$A:$F,4,FALSE)</f>
        <v>1</v>
      </c>
      <c r="H1532" s="9" t="str">
        <f>VLOOKUP(A1532,[2]characters!$A:$K,11,FALSE)</f>
        <v>balance</v>
      </c>
      <c r="I1532" s="6" t="str">
        <f>VLOOKUP(H1532,[2]character_type_i18n!$A:$F,3,FALSE)</f>
        <v>バランスタイプ</v>
      </c>
      <c r="J1532" s="106">
        <v>1</v>
      </c>
      <c r="K1532" s="106">
        <v>1</v>
      </c>
      <c r="L1532" s="106">
        <f>VLOOKUP(H1532,[2]character_type_i18n!$A:$F,6,FALSE)</f>
        <v>1</v>
      </c>
      <c r="M1532" s="9" t="s">
        <v>141</v>
      </c>
      <c r="N1532" s="6" t="str">
        <f>VLOOKUP(M1532,[2]character_tribe_i18n!$A:$F,3,FALSE)</f>
        <v>Unknown</v>
      </c>
      <c r="O1532" s="97">
        <f>VLOOKUP(M1532,[2]character_tribe_i18n!$A:$F,4,FALSE)</f>
        <v>1</v>
      </c>
      <c r="P1532" s="97">
        <f>VLOOKUP(M1532,[2]character_tribe_i18n!$A:$F,5,FALSE)</f>
        <v>1</v>
      </c>
      <c r="Q1532" s="97">
        <f>VLOOKUP(M1532,[2]character_tribe_i18n!$A:$F,6,FALSE)</f>
        <v>1</v>
      </c>
      <c r="R1532" s="98" t="s">
        <v>98</v>
      </c>
      <c r="S1532" s="97">
        <f>VLOOKUP($R1532,ラベル別係数!$A$1:$E$7,3,FALSE)</f>
        <v>5</v>
      </c>
      <c r="T1532" s="97">
        <f>VLOOKUP($R1532,ラベル別係数!$A$1:$E$7,4,FALSE)</f>
        <v>1.3</v>
      </c>
      <c r="U1532" s="97">
        <f>VLOOKUP($R1532,ラベル別係数!$A$1:$E$7,5,FALSE)</f>
        <v>0.8</v>
      </c>
      <c r="V1532" s="98">
        <v>3</v>
      </c>
      <c r="W1532" s="99">
        <f>VLOOKUP(V1532,ターン数別攻撃係数!$A$1:$B$1000,2,FALSE)</f>
        <v>1</v>
      </c>
      <c r="X1532" s="9">
        <f>VLOOKUP(C1532,サイズ別係数!A$2:B$9,2,FALSE)</f>
        <v>30</v>
      </c>
      <c r="Y1532" s="97">
        <f>VLOOKUP($X1532,サイズ別係数!$B:$E,2,FALSE)</f>
        <v>1.3</v>
      </c>
      <c r="Z1532" s="97">
        <f>VLOOKUP($X1532,サイズ別係数!$B:$E,3,FALSE)</f>
        <v>1.3</v>
      </c>
      <c r="AA1532" s="97">
        <f>VLOOKUP($X1532,サイズ別係数!$B:$E,4,FALSE)</f>
        <v>1.1000000000000001</v>
      </c>
      <c r="AB1532" s="10">
        <v>0</v>
      </c>
      <c r="AC1532" s="6" t="str">
        <f ca="1">VLOOKUP($AB1532,OFFSET([3]enemy_skill_sets!$B$2,0,0,COUNTA([3]enemy_skill_sets!$A:$A),MATCH(AC$1,[3]enemy_skill_sets!$1:$1,0)-MATCH($AB$1,[3]enemy_skill_sets!$1:$1,0)+1),MATCH(AC$1,[3]enemy_skill_sets!$1:$1,0)-MATCH($AB$1,[3]enemy_skill_sets!$1:$1,0)+1,FALSE)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2" s="67">
        <v>1</v>
      </c>
      <c r="AE1532" s="67">
        <v>1</v>
      </c>
      <c r="AF1532" s="68">
        <v>0</v>
      </c>
      <c r="AG1532" s="99">
        <f>ROUND(VLOOKUP(1,enemy_base_stats!$A:$F,2,FALSE) * Y1532* J1532*O1532*E1532*S1532*AD1532*[2]ステータス!$B$2,0)</f>
        <v>3250</v>
      </c>
      <c r="AH1532" s="99">
        <f>ROUND(VLOOKUP(1,enemy_base_stats!$A:$F,3,FALSE) * Z1532*K1532*P1532*F1532*T1532*AE1532 * W1532*[2]ステータス!$C$2,0)</f>
        <v>259</v>
      </c>
      <c r="AI1532" s="99">
        <f>ROUND(VLOOKUP(1,enemy_base_stats!$A:$F,4,FALSE) * AA1532*L1532*Q1532*G1532*U1532*AF1532*[2]ステータス!$D$2,0)</f>
        <v>0</v>
      </c>
      <c r="AJ1532" s="99">
        <f>ROUND(VLOOKUP(100,enemy_base_stats!$A:$F,2,FALSE) * Y1532* J1532*O1532*E1532*S1532*AD1532*[2]ステータス!$B$2,0)</f>
        <v>131950</v>
      </c>
      <c r="AK1532" s="99">
        <f>ROUND(VLOOKUP(100,enemy_base_stats!$A:$F,3,FALSE)* Z1532* K1532*P1532*F1532*T1532*AE1532 * W1532*[2]ステータス!$C$2,0)</f>
        <v>10498</v>
      </c>
      <c r="AL1532" s="99">
        <f>ROUND(VLOOKUP(100,enemy_base_stats!$A:$F,4,FALSE)* AA1532* L1532*Q1532*G1532*U1532*AF1532*[2]ステータス!$D$2,0)</f>
        <v>0</v>
      </c>
      <c r="AM1532" s="97">
        <f>VLOOKUP(M1532,[2]character_tribe_i18n!$A:$I,9,FALSE)</f>
        <v>340</v>
      </c>
      <c r="AN1532" s="97">
        <v>0</v>
      </c>
      <c r="AO1532" s="98">
        <v>0</v>
      </c>
      <c r="AP1532" s="58" t="s">
        <v>72</v>
      </c>
      <c r="AQ1532" s="34">
        <f t="shared" si="94"/>
        <v>8047</v>
      </c>
    </row>
    <row r="1533" spans="1:43" ht="21" customHeight="1" x14ac:dyDescent="0.15">
      <c r="A1533" s="105">
        <v>8048</v>
      </c>
      <c r="B1533" s="6" t="str">
        <f>VLOOKUP(A1533,[2]characters!$A:$C,3,FALSE)</f>
        <v>ハローキティ</v>
      </c>
      <c r="C1533" s="9">
        <f>VLOOKUP(A1533,[2]characters!$A:$I,9,FALSE)</f>
        <v>5</v>
      </c>
      <c r="D1533" s="9" t="str">
        <f>VLOOKUP(A1533,[2]characters!$A:$H,8,FALSE)</f>
        <v>red</v>
      </c>
      <c r="E1533" s="97">
        <f>VLOOKUP(D1533,[2]属性!$A:$E,2,FALSE)</f>
        <v>1</v>
      </c>
      <c r="F1533" s="97">
        <f>VLOOKUP(D1533,[2]属性!$A:$E,3,FALSE)</f>
        <v>1.02</v>
      </c>
      <c r="G1533" s="97">
        <f>VLOOKUP(D1533,[2]属性!$A:$F,4,FALSE)</f>
        <v>1</v>
      </c>
      <c r="H1533" s="9" t="str">
        <f>VLOOKUP(A1533,[2]characters!$A:$K,11,FALSE)</f>
        <v>balance</v>
      </c>
      <c r="I1533" s="6" t="str">
        <f>VLOOKUP(H1533,[2]character_type_i18n!$A:$F,3,FALSE)</f>
        <v>バランスタイプ</v>
      </c>
      <c r="J1533" s="106">
        <v>1</v>
      </c>
      <c r="K1533" s="106">
        <v>1</v>
      </c>
      <c r="L1533" s="106">
        <f>VLOOKUP(H1533,[2]character_type_i18n!$A:$F,6,FALSE)</f>
        <v>1</v>
      </c>
      <c r="M1533" s="9" t="s">
        <v>141</v>
      </c>
      <c r="N1533" s="6" t="str">
        <f>VLOOKUP(M1533,[2]character_tribe_i18n!$A:$F,3,FALSE)</f>
        <v>Unknown</v>
      </c>
      <c r="O1533" s="97">
        <f>VLOOKUP(M1533,[2]character_tribe_i18n!$A:$F,4,FALSE)</f>
        <v>1</v>
      </c>
      <c r="P1533" s="97">
        <f>VLOOKUP(M1533,[2]character_tribe_i18n!$A:$F,5,FALSE)</f>
        <v>1</v>
      </c>
      <c r="Q1533" s="97">
        <f>VLOOKUP(M1533,[2]character_tribe_i18n!$A:$F,6,FALSE)</f>
        <v>1</v>
      </c>
      <c r="R1533" s="98" t="s">
        <v>98</v>
      </c>
      <c r="S1533" s="97">
        <f>VLOOKUP($R1533,ラベル別係数!$A$1:$E$7,3,FALSE)</f>
        <v>5</v>
      </c>
      <c r="T1533" s="97">
        <f>VLOOKUP($R1533,ラベル別係数!$A$1:$E$7,4,FALSE)</f>
        <v>1.3</v>
      </c>
      <c r="U1533" s="97">
        <f>VLOOKUP($R1533,ラベル別係数!$A$1:$E$7,5,FALSE)</f>
        <v>0.8</v>
      </c>
      <c r="V1533" s="98">
        <v>3</v>
      </c>
      <c r="W1533" s="99">
        <f>VLOOKUP(V1533,ターン数別攻撃係数!$A$1:$B$1000,2,FALSE)</f>
        <v>1</v>
      </c>
      <c r="X1533" s="9">
        <f>VLOOKUP(C1533,サイズ別係数!A$2:B$9,2,FALSE)</f>
        <v>60</v>
      </c>
      <c r="Y1533" s="97">
        <f>VLOOKUP($X1533,サイズ別係数!$B:$E,2,FALSE)</f>
        <v>1.7</v>
      </c>
      <c r="Z1533" s="97">
        <f>VLOOKUP($X1533,サイズ別係数!$B:$E,3,FALSE)</f>
        <v>1.4</v>
      </c>
      <c r="AA1533" s="97">
        <f>VLOOKUP($X1533,サイズ別係数!$B:$E,4,FALSE)</f>
        <v>1</v>
      </c>
      <c r="AB1533" s="10">
        <v>0</v>
      </c>
      <c r="AC1533" s="6" t="str">
        <f ca="1">VLOOKUP($AB1533,OFFSET([3]enemy_skill_sets!$B$2,0,0,COUNTA([3]enemy_skill_sets!$A:$A),MATCH(AC$1,[3]enemy_skill_sets!$1:$1,0)-MATCH($AB$1,[3]enemy_skill_sets!$1:$1,0)+1),MATCH(AC$1,[3]enemy_skill_sets!$1:$1,0)-MATCH($AB$1,[3]enemy_skill_sets!$1:$1,0)+1,FALSE)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3" s="67">
        <v>1</v>
      </c>
      <c r="AE1533" s="67">
        <v>1</v>
      </c>
      <c r="AF1533" s="68">
        <v>0</v>
      </c>
      <c r="AG1533" s="99">
        <f>ROUND(VLOOKUP(1,enemy_base_stats!$A:$F,2,FALSE) * Y1533* J1533*O1533*E1533*S1533*AD1533*[2]ステータス!$B$2,0)</f>
        <v>4250</v>
      </c>
      <c r="AH1533" s="99">
        <f>ROUND(VLOOKUP(1,enemy_base_stats!$A:$F,3,FALSE) * Z1533*K1533*P1533*F1533*T1533*AE1533 * W1533*[2]ステータス!$C$2,0)</f>
        <v>278</v>
      </c>
      <c r="AI1533" s="99">
        <f>ROUND(VLOOKUP(1,enemy_base_stats!$A:$F,4,FALSE) * AA1533*L1533*Q1533*G1533*U1533*AF1533*[2]ステータス!$D$2,0)</f>
        <v>0</v>
      </c>
      <c r="AJ1533" s="99">
        <f>ROUND(VLOOKUP(100,enemy_base_stats!$A:$F,2,FALSE) * Y1533* J1533*O1533*E1533*S1533*AD1533*[2]ステータス!$B$2,0)</f>
        <v>172550</v>
      </c>
      <c r="AK1533" s="99">
        <f>ROUND(VLOOKUP(100,enemy_base_stats!$A:$F,3,FALSE)* Z1533* K1533*P1533*F1533*T1533*AE1533 * W1533*[2]ステータス!$C$2,0)</f>
        <v>11305</v>
      </c>
      <c r="AL1533" s="99">
        <f>ROUND(VLOOKUP(100,enemy_base_stats!$A:$F,4,FALSE)* AA1533* L1533*Q1533*G1533*U1533*AF1533*[2]ステータス!$D$2,0)</f>
        <v>0</v>
      </c>
      <c r="AM1533" s="97">
        <f>VLOOKUP(M1533,[2]character_tribe_i18n!$A:$I,9,FALSE)</f>
        <v>340</v>
      </c>
      <c r="AN1533" s="97">
        <v>0</v>
      </c>
      <c r="AO1533" s="98">
        <v>0</v>
      </c>
      <c r="AP1533" s="58" t="s">
        <v>72</v>
      </c>
      <c r="AQ1533" s="34">
        <f t="shared" si="94"/>
        <v>8048</v>
      </c>
    </row>
    <row r="1534" spans="1:43" ht="21" customHeight="1" x14ac:dyDescent="0.15">
      <c r="A1534" s="105">
        <v>8049</v>
      </c>
      <c r="B1534" s="6" t="str">
        <f>VLOOKUP(A1534,[2]characters!$A:$C,3,FALSE)</f>
        <v>KIRIMIちゃん</v>
      </c>
      <c r="C1534" s="9">
        <f>VLOOKUP(A1534,[2]characters!$A:$I,9,FALSE)</f>
        <v>4</v>
      </c>
      <c r="D1534" s="9" t="str">
        <f>VLOOKUP(A1534,[2]characters!$A:$H,8,FALSE)</f>
        <v>red</v>
      </c>
      <c r="E1534" s="97">
        <f>VLOOKUP(D1534,[2]属性!$A:$E,2,FALSE)</f>
        <v>1</v>
      </c>
      <c r="F1534" s="97">
        <f>VLOOKUP(D1534,[2]属性!$A:$E,3,FALSE)</f>
        <v>1.02</v>
      </c>
      <c r="G1534" s="97">
        <f>VLOOKUP(D1534,[2]属性!$A:$F,4,FALSE)</f>
        <v>1</v>
      </c>
      <c r="H1534" s="9" t="str">
        <f>VLOOKUP(A1534,[2]characters!$A:$K,11,FALSE)</f>
        <v>hp</v>
      </c>
      <c r="I1534" s="6" t="str">
        <f>VLOOKUP(H1534,[2]character_type_i18n!$A:$F,3,FALSE)</f>
        <v>体力タイプ</v>
      </c>
      <c r="J1534" s="106">
        <v>1</v>
      </c>
      <c r="K1534" s="106">
        <v>1</v>
      </c>
      <c r="L1534" s="106">
        <f>VLOOKUP(H1534,[2]character_type_i18n!$A:$F,6,FALSE)</f>
        <v>1</v>
      </c>
      <c r="M1534" s="9" t="s">
        <v>141</v>
      </c>
      <c r="N1534" s="6" t="str">
        <f>VLOOKUP(M1534,[2]character_tribe_i18n!$A:$F,3,FALSE)</f>
        <v>Unknown</v>
      </c>
      <c r="O1534" s="97">
        <f>VLOOKUP(M1534,[2]character_tribe_i18n!$A:$F,4,FALSE)</f>
        <v>1</v>
      </c>
      <c r="P1534" s="97">
        <f>VLOOKUP(M1534,[2]character_tribe_i18n!$A:$F,5,FALSE)</f>
        <v>1</v>
      </c>
      <c r="Q1534" s="97">
        <f>VLOOKUP(M1534,[2]character_tribe_i18n!$A:$F,6,FALSE)</f>
        <v>1</v>
      </c>
      <c r="R1534" s="98" t="s">
        <v>98</v>
      </c>
      <c r="S1534" s="97">
        <f>VLOOKUP($R1534,ラベル別係数!$A$1:$E$7,3,FALSE)</f>
        <v>5</v>
      </c>
      <c r="T1534" s="97">
        <f>VLOOKUP($R1534,ラベル別係数!$A$1:$E$7,4,FALSE)</f>
        <v>1.3</v>
      </c>
      <c r="U1534" s="97">
        <f>VLOOKUP($R1534,ラベル別係数!$A$1:$E$7,5,FALSE)</f>
        <v>0.8</v>
      </c>
      <c r="V1534" s="98">
        <v>3</v>
      </c>
      <c r="W1534" s="99">
        <f>VLOOKUP(V1534,ターン数別攻撃係数!$A$1:$B$1000,2,FALSE)</f>
        <v>1</v>
      </c>
      <c r="X1534" s="9">
        <f>VLOOKUP(C1534,サイズ別係数!A$2:B$9,2,FALSE)</f>
        <v>30</v>
      </c>
      <c r="Y1534" s="97">
        <f>VLOOKUP($X1534,サイズ別係数!$B:$E,2,FALSE)</f>
        <v>1.3</v>
      </c>
      <c r="Z1534" s="97">
        <f>VLOOKUP($X1534,サイズ別係数!$B:$E,3,FALSE)</f>
        <v>1.3</v>
      </c>
      <c r="AA1534" s="97">
        <f>VLOOKUP($X1534,サイズ別係数!$B:$E,4,FALSE)</f>
        <v>1.1000000000000001</v>
      </c>
      <c r="AB1534" s="10">
        <v>0</v>
      </c>
      <c r="AC1534" s="6" t="str">
        <f ca="1">VLOOKUP($AB1534,OFFSET([3]enemy_skill_sets!$B$2,0,0,COUNTA([3]enemy_skill_sets!$A:$A),MATCH(AC$1,[3]enemy_skill_sets!$1:$1,0)-MATCH($AB$1,[3]enemy_skill_sets!$1:$1,0)+1),MATCH(AC$1,[3]enemy_skill_sets!$1:$1,0)-MATCH($AB$1,[3]enemy_skill_sets!$1:$1,0)+1,FALSE)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4" s="67">
        <v>1</v>
      </c>
      <c r="AE1534" s="67">
        <v>1</v>
      </c>
      <c r="AF1534" s="68">
        <v>0</v>
      </c>
      <c r="AG1534" s="99">
        <f>ROUND(VLOOKUP(1,enemy_base_stats!$A:$F,2,FALSE) * Y1534* J1534*O1534*E1534*S1534*AD1534*[2]ステータス!$B$2,0)</f>
        <v>3250</v>
      </c>
      <c r="AH1534" s="99">
        <f>ROUND(VLOOKUP(1,enemy_base_stats!$A:$F,3,FALSE) * Z1534*K1534*P1534*F1534*T1534*AE1534 * W1534*[2]ステータス!$C$2,0)</f>
        <v>259</v>
      </c>
      <c r="AI1534" s="99">
        <f>ROUND(VLOOKUP(1,enemy_base_stats!$A:$F,4,FALSE) * AA1534*L1534*Q1534*G1534*U1534*AF1534*[2]ステータス!$D$2,0)</f>
        <v>0</v>
      </c>
      <c r="AJ1534" s="99">
        <f>ROUND(VLOOKUP(100,enemy_base_stats!$A:$F,2,FALSE) * Y1534* J1534*O1534*E1534*S1534*AD1534*[2]ステータス!$B$2,0)</f>
        <v>131950</v>
      </c>
      <c r="AK1534" s="99">
        <f>ROUND(VLOOKUP(100,enemy_base_stats!$A:$F,3,FALSE)* Z1534* K1534*P1534*F1534*T1534*AE1534 * W1534*[2]ステータス!$C$2,0)</f>
        <v>10498</v>
      </c>
      <c r="AL1534" s="99">
        <f>ROUND(VLOOKUP(100,enemy_base_stats!$A:$F,4,FALSE)* AA1534* L1534*Q1534*G1534*U1534*AF1534*[2]ステータス!$D$2,0)</f>
        <v>0</v>
      </c>
      <c r="AM1534" s="97">
        <f>VLOOKUP(M1534,[2]character_tribe_i18n!$A:$I,9,FALSE)</f>
        <v>340</v>
      </c>
      <c r="AN1534" s="97">
        <v>0</v>
      </c>
      <c r="AO1534" s="98">
        <v>0</v>
      </c>
      <c r="AP1534" s="58" t="s">
        <v>72</v>
      </c>
      <c r="AQ1534" s="34">
        <f t="shared" si="94"/>
        <v>8049</v>
      </c>
    </row>
    <row r="1535" spans="1:43" ht="21" customHeight="1" x14ac:dyDescent="0.15">
      <c r="A1535" s="105">
        <v>8050</v>
      </c>
      <c r="B1535" s="6" t="str">
        <f>VLOOKUP(A1535,[2]characters!$A:$C,3,FALSE)</f>
        <v>KIRIMIちゃん</v>
      </c>
      <c r="C1535" s="9">
        <f>VLOOKUP(A1535,[2]characters!$A:$I,9,FALSE)</f>
        <v>5</v>
      </c>
      <c r="D1535" s="9" t="str">
        <f>VLOOKUP(A1535,[2]characters!$A:$H,8,FALSE)</f>
        <v>red</v>
      </c>
      <c r="E1535" s="97">
        <f>VLOOKUP(D1535,[2]属性!$A:$E,2,FALSE)</f>
        <v>1</v>
      </c>
      <c r="F1535" s="97">
        <f>VLOOKUP(D1535,[2]属性!$A:$E,3,FALSE)</f>
        <v>1.02</v>
      </c>
      <c r="G1535" s="97">
        <f>VLOOKUP(D1535,[2]属性!$A:$F,4,FALSE)</f>
        <v>1</v>
      </c>
      <c r="H1535" s="9" t="str">
        <f>VLOOKUP(A1535,[2]characters!$A:$K,11,FALSE)</f>
        <v>hp</v>
      </c>
      <c r="I1535" s="6" t="str">
        <f>VLOOKUP(H1535,[2]character_type_i18n!$A:$F,3,FALSE)</f>
        <v>体力タイプ</v>
      </c>
      <c r="J1535" s="106">
        <v>1</v>
      </c>
      <c r="K1535" s="106">
        <v>1</v>
      </c>
      <c r="L1535" s="106">
        <f>VLOOKUP(H1535,[2]character_type_i18n!$A:$F,6,FALSE)</f>
        <v>1</v>
      </c>
      <c r="M1535" s="9" t="s">
        <v>141</v>
      </c>
      <c r="N1535" s="6" t="str">
        <f>VLOOKUP(M1535,[2]character_tribe_i18n!$A:$F,3,FALSE)</f>
        <v>Unknown</v>
      </c>
      <c r="O1535" s="97">
        <f>VLOOKUP(M1535,[2]character_tribe_i18n!$A:$F,4,FALSE)</f>
        <v>1</v>
      </c>
      <c r="P1535" s="97">
        <f>VLOOKUP(M1535,[2]character_tribe_i18n!$A:$F,5,FALSE)</f>
        <v>1</v>
      </c>
      <c r="Q1535" s="97">
        <f>VLOOKUP(M1535,[2]character_tribe_i18n!$A:$F,6,FALSE)</f>
        <v>1</v>
      </c>
      <c r="R1535" s="98" t="s">
        <v>98</v>
      </c>
      <c r="S1535" s="97">
        <f>VLOOKUP($R1535,ラベル別係数!$A$1:$E$7,3,FALSE)</f>
        <v>5</v>
      </c>
      <c r="T1535" s="97">
        <f>VLOOKUP($R1535,ラベル別係数!$A$1:$E$7,4,FALSE)</f>
        <v>1.3</v>
      </c>
      <c r="U1535" s="97">
        <f>VLOOKUP($R1535,ラベル別係数!$A$1:$E$7,5,FALSE)</f>
        <v>0.8</v>
      </c>
      <c r="V1535" s="98">
        <v>3</v>
      </c>
      <c r="W1535" s="99">
        <f>VLOOKUP(V1535,ターン数別攻撃係数!$A$1:$B$1000,2,FALSE)</f>
        <v>1</v>
      </c>
      <c r="X1535" s="9">
        <f>VLOOKUP(C1535,サイズ別係数!A$2:B$9,2,FALSE)</f>
        <v>60</v>
      </c>
      <c r="Y1535" s="97">
        <f>VLOOKUP($X1535,サイズ別係数!$B:$E,2,FALSE)</f>
        <v>1.7</v>
      </c>
      <c r="Z1535" s="97">
        <f>VLOOKUP($X1535,サイズ別係数!$B:$E,3,FALSE)</f>
        <v>1.4</v>
      </c>
      <c r="AA1535" s="97">
        <f>VLOOKUP($X1535,サイズ別係数!$B:$E,4,FALSE)</f>
        <v>1</v>
      </c>
      <c r="AB1535" s="10">
        <v>0</v>
      </c>
      <c r="AC1535" s="6" t="str">
        <f ca="1">VLOOKUP($AB1535,OFFSET([3]enemy_skill_sets!$B$2,0,0,COUNTA([3]enemy_skill_sets!$A:$A),MATCH(AC$1,[3]enemy_skill_sets!$1:$1,0)-MATCH($AB$1,[3]enemy_skill_sets!$1:$1,0)+1),MATCH(AC$1,[3]enemy_skill_sets!$1:$1,0)-MATCH($AB$1,[3]enemy_skill_sets!$1:$1,0)+1,FALSE)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5" s="67">
        <v>1</v>
      </c>
      <c r="AE1535" s="67">
        <v>1</v>
      </c>
      <c r="AF1535" s="68">
        <v>0</v>
      </c>
      <c r="AG1535" s="99">
        <f>ROUND(VLOOKUP(1,enemy_base_stats!$A:$F,2,FALSE) * Y1535* J1535*O1535*E1535*S1535*AD1535*[2]ステータス!$B$2,0)</f>
        <v>4250</v>
      </c>
      <c r="AH1535" s="99">
        <f>ROUND(VLOOKUP(1,enemy_base_stats!$A:$F,3,FALSE) * Z1535*K1535*P1535*F1535*T1535*AE1535 * W1535*[2]ステータス!$C$2,0)</f>
        <v>278</v>
      </c>
      <c r="AI1535" s="99">
        <f>ROUND(VLOOKUP(1,enemy_base_stats!$A:$F,4,FALSE) * AA1535*L1535*Q1535*G1535*U1535*AF1535*[2]ステータス!$D$2,0)</f>
        <v>0</v>
      </c>
      <c r="AJ1535" s="99">
        <f>ROUND(VLOOKUP(100,enemy_base_stats!$A:$F,2,FALSE) * Y1535* J1535*O1535*E1535*S1535*AD1535*[2]ステータス!$B$2,0)</f>
        <v>172550</v>
      </c>
      <c r="AK1535" s="99">
        <f>ROUND(VLOOKUP(100,enemy_base_stats!$A:$F,3,FALSE)* Z1535* K1535*P1535*F1535*T1535*AE1535 * W1535*[2]ステータス!$C$2,0)</f>
        <v>11305</v>
      </c>
      <c r="AL1535" s="99">
        <f>ROUND(VLOOKUP(100,enemy_base_stats!$A:$F,4,FALSE)* AA1535* L1535*Q1535*G1535*U1535*AF1535*[2]ステータス!$D$2,0)</f>
        <v>0</v>
      </c>
      <c r="AM1535" s="97">
        <f>VLOOKUP(M1535,[2]character_tribe_i18n!$A:$I,9,FALSE)</f>
        <v>340</v>
      </c>
      <c r="AN1535" s="97">
        <v>0</v>
      </c>
      <c r="AO1535" s="98">
        <v>0</v>
      </c>
      <c r="AP1535" s="58" t="s">
        <v>72</v>
      </c>
      <c r="AQ1535" s="34">
        <f t="shared" si="94"/>
        <v>8050</v>
      </c>
    </row>
    <row r="1536" spans="1:43" ht="21" customHeight="1" x14ac:dyDescent="0.15">
      <c r="A1536" s="105">
        <v>8051</v>
      </c>
      <c r="B1536" s="6" t="str">
        <f>VLOOKUP(A1536,[2]characters!$A:$C,3,FALSE)</f>
        <v>ハローキティのリボン</v>
      </c>
      <c r="C1536" s="9">
        <f>VLOOKUP(A1536,[2]characters!$A:$I,9,FALSE)</f>
        <v>5</v>
      </c>
      <c r="D1536" s="9" t="str">
        <f>VLOOKUP(A1536,[2]characters!$A:$H,8,FALSE)</f>
        <v>red</v>
      </c>
      <c r="E1536" s="97">
        <f>VLOOKUP(D1536,[2]属性!$A:$E,2,FALSE)</f>
        <v>1</v>
      </c>
      <c r="F1536" s="97">
        <f>VLOOKUP(D1536,[2]属性!$A:$E,3,FALSE)</f>
        <v>1.02</v>
      </c>
      <c r="G1536" s="97">
        <f>VLOOKUP(D1536,[2]属性!$A:$F,4,FALSE)</f>
        <v>1</v>
      </c>
      <c r="H1536" s="9" t="str">
        <f>VLOOKUP(A1536,[2]characters!$A:$K,11,FALSE)</f>
        <v>evolution</v>
      </c>
      <c r="I1536" s="6" t="str">
        <f>VLOOKUP(H1536,[2]character_type_i18n!$A:$F,3,FALSE)</f>
        <v>覚醒素材タイプ</v>
      </c>
      <c r="J1536" s="106">
        <v>1</v>
      </c>
      <c r="K1536" s="106">
        <v>1</v>
      </c>
      <c r="L1536" s="106">
        <f>VLOOKUP(H1536,[2]character_type_i18n!$A:$F,6,FALSE)</f>
        <v>1</v>
      </c>
      <c r="M1536" s="9" t="s">
        <v>141</v>
      </c>
      <c r="N1536" s="6" t="str">
        <f>VLOOKUP(M1536,[2]character_tribe_i18n!$A:$F,3,FALSE)</f>
        <v>Unknown</v>
      </c>
      <c r="O1536" s="97">
        <f>VLOOKUP(M1536,[2]character_tribe_i18n!$A:$F,4,FALSE)</f>
        <v>1</v>
      </c>
      <c r="P1536" s="97">
        <f>VLOOKUP(M1536,[2]character_tribe_i18n!$A:$F,5,FALSE)</f>
        <v>1</v>
      </c>
      <c r="Q1536" s="97">
        <f>VLOOKUP(M1536,[2]character_tribe_i18n!$A:$F,6,FALSE)</f>
        <v>1</v>
      </c>
      <c r="R1536" s="98" t="s">
        <v>98</v>
      </c>
      <c r="S1536" s="97">
        <f>VLOOKUP($R1536,ラベル別係数!$A$1:$E$7,3,FALSE)</f>
        <v>5</v>
      </c>
      <c r="T1536" s="97">
        <f>VLOOKUP($R1536,ラベル別係数!$A$1:$E$7,4,FALSE)</f>
        <v>1.3</v>
      </c>
      <c r="U1536" s="97">
        <f>VLOOKUP($R1536,ラベル別係数!$A$1:$E$7,5,FALSE)</f>
        <v>0.8</v>
      </c>
      <c r="V1536" s="98">
        <v>3</v>
      </c>
      <c r="W1536" s="99">
        <f>VLOOKUP(V1536,ターン数別攻撃係数!$A$1:$B$1000,2,FALSE)</f>
        <v>1</v>
      </c>
      <c r="X1536" s="9">
        <f>VLOOKUP(C1536,サイズ別係数!A$2:B$9,2,FALSE)</f>
        <v>60</v>
      </c>
      <c r="Y1536" s="97">
        <f>VLOOKUP($X1536,サイズ別係数!$B:$E,2,FALSE)</f>
        <v>1.7</v>
      </c>
      <c r="Z1536" s="97">
        <f>VLOOKUP($X1536,サイズ別係数!$B:$E,3,FALSE)</f>
        <v>1.4</v>
      </c>
      <c r="AA1536" s="97">
        <f>VLOOKUP($X1536,サイズ別係数!$B:$E,4,FALSE)</f>
        <v>1</v>
      </c>
      <c r="AB1536" s="10">
        <v>0</v>
      </c>
      <c r="AC1536" s="6" t="str">
        <f ca="1">VLOOKUP($AB1536,OFFSET([3]enemy_skill_sets!$B$2,0,0,COUNTA([3]enemy_skill_sets!$A:$A),MATCH(AC$1,[3]enemy_skill_sets!$1:$1,0)-MATCH($AB$1,[3]enemy_skill_sets!$1:$1,0)+1),MATCH(AC$1,[3]enemy_skill_sets!$1:$1,0)-MATCH($AB$1,[3]enemy_skill_sets!$1:$1,0)+1,FALSE)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6" s="67">
        <v>1</v>
      </c>
      <c r="AE1536" s="67">
        <v>1</v>
      </c>
      <c r="AF1536" s="68">
        <v>0</v>
      </c>
      <c r="AG1536" s="99">
        <f>ROUND(VLOOKUP(1,enemy_base_stats!$A:$F,2,FALSE) * Y1536* J1536*O1536*E1536*S1536*AD1536*[2]ステータス!$B$2,0)</f>
        <v>4250</v>
      </c>
      <c r="AH1536" s="99">
        <f>ROUND(VLOOKUP(1,enemy_base_stats!$A:$F,3,FALSE) * Z1536*K1536*P1536*F1536*T1536*AE1536 * W1536*[2]ステータス!$C$2,0)</f>
        <v>278</v>
      </c>
      <c r="AI1536" s="99">
        <f>ROUND(VLOOKUP(1,enemy_base_stats!$A:$F,4,FALSE) * AA1536*L1536*Q1536*G1536*U1536*AF1536*[2]ステータス!$D$2,0)</f>
        <v>0</v>
      </c>
      <c r="AJ1536" s="99">
        <f>ROUND(VLOOKUP(100,enemy_base_stats!$A:$F,2,FALSE) * Y1536* J1536*O1536*E1536*S1536*AD1536*[2]ステータス!$B$2,0)</f>
        <v>172550</v>
      </c>
      <c r="AK1536" s="99">
        <f>ROUND(VLOOKUP(100,enemy_base_stats!$A:$F,3,FALSE)* Z1536* K1536*P1536*F1536*T1536*AE1536 * W1536*[2]ステータス!$C$2,0)</f>
        <v>11305</v>
      </c>
      <c r="AL1536" s="99">
        <f>ROUND(VLOOKUP(100,enemy_base_stats!$A:$F,4,FALSE)* AA1536* L1536*Q1536*G1536*U1536*AF1536*[2]ステータス!$D$2,0)</f>
        <v>0</v>
      </c>
      <c r="AM1536" s="97">
        <f>VLOOKUP(M1536,[2]character_tribe_i18n!$A:$I,9,FALSE)</f>
        <v>340</v>
      </c>
      <c r="AN1536" s="97">
        <v>0</v>
      </c>
      <c r="AO1536" s="98">
        <v>0</v>
      </c>
      <c r="AP1536" s="58" t="s">
        <v>72</v>
      </c>
      <c r="AQ1536" s="34">
        <f t="shared" si="94"/>
        <v>8051</v>
      </c>
    </row>
    <row r="1537" spans="1:43" ht="21" customHeight="1" x14ac:dyDescent="0.15">
      <c r="A1537" s="105">
        <v>8052</v>
      </c>
      <c r="B1537" s="6" t="str">
        <f>VLOOKUP(A1537,[2]characters!$A:$C,3,FALSE)</f>
        <v>ママの作ったアップルパイ</v>
      </c>
      <c r="C1537" s="9">
        <f>VLOOKUP(A1537,[2]characters!$A:$I,9,FALSE)</f>
        <v>4</v>
      </c>
      <c r="D1537" s="9" t="str">
        <f>VLOOKUP(A1537,[2]characters!$A:$H,8,FALSE)</f>
        <v>red</v>
      </c>
      <c r="E1537" s="97">
        <f>VLOOKUP(D1537,[2]属性!$A:$E,2,FALSE)</f>
        <v>1</v>
      </c>
      <c r="F1537" s="97">
        <f>VLOOKUP(D1537,[2]属性!$A:$E,3,FALSE)</f>
        <v>1.02</v>
      </c>
      <c r="G1537" s="97">
        <f>VLOOKUP(D1537,[2]属性!$A:$F,4,FALSE)</f>
        <v>1</v>
      </c>
      <c r="H1537" s="9" t="str">
        <f>VLOOKUP(A1537,[2]characters!$A:$K,11,FALSE)</f>
        <v>evolution</v>
      </c>
      <c r="I1537" s="6" t="str">
        <f>VLOOKUP(H1537,[2]character_type_i18n!$A:$F,3,FALSE)</f>
        <v>覚醒素材タイプ</v>
      </c>
      <c r="J1537" s="106">
        <v>1</v>
      </c>
      <c r="K1537" s="106">
        <v>1</v>
      </c>
      <c r="L1537" s="106">
        <f>VLOOKUP(H1537,[2]character_type_i18n!$A:$F,6,FALSE)</f>
        <v>1</v>
      </c>
      <c r="M1537" s="9" t="s">
        <v>141</v>
      </c>
      <c r="N1537" s="6" t="str">
        <f>VLOOKUP(M1537,[2]character_tribe_i18n!$A:$F,3,FALSE)</f>
        <v>Unknown</v>
      </c>
      <c r="O1537" s="97">
        <f>VLOOKUP(M1537,[2]character_tribe_i18n!$A:$F,4,FALSE)</f>
        <v>1</v>
      </c>
      <c r="P1537" s="97">
        <f>VLOOKUP(M1537,[2]character_tribe_i18n!$A:$F,5,FALSE)</f>
        <v>1</v>
      </c>
      <c r="Q1537" s="97">
        <f>VLOOKUP(M1537,[2]character_tribe_i18n!$A:$F,6,FALSE)</f>
        <v>1</v>
      </c>
      <c r="R1537" s="98" t="s">
        <v>98</v>
      </c>
      <c r="S1537" s="97">
        <f>VLOOKUP($R1537,ラベル別係数!$A$1:$E$7,3,FALSE)</f>
        <v>5</v>
      </c>
      <c r="T1537" s="97">
        <f>VLOOKUP($R1537,ラベル別係数!$A$1:$E$7,4,FALSE)</f>
        <v>1.3</v>
      </c>
      <c r="U1537" s="97">
        <f>VLOOKUP($R1537,ラベル別係数!$A$1:$E$7,5,FALSE)</f>
        <v>0.8</v>
      </c>
      <c r="V1537" s="98">
        <v>3</v>
      </c>
      <c r="W1537" s="99">
        <f>VLOOKUP(V1537,ターン数別攻撃係数!$A$1:$B$1000,2,FALSE)</f>
        <v>1</v>
      </c>
      <c r="X1537" s="9">
        <f>VLOOKUP(C1537,サイズ別係数!A$2:B$9,2,FALSE)</f>
        <v>30</v>
      </c>
      <c r="Y1537" s="97">
        <f>VLOOKUP($X1537,サイズ別係数!$B:$E,2,FALSE)</f>
        <v>1.3</v>
      </c>
      <c r="Z1537" s="97">
        <f>VLOOKUP($X1537,サイズ別係数!$B:$E,3,FALSE)</f>
        <v>1.3</v>
      </c>
      <c r="AA1537" s="97">
        <f>VLOOKUP($X1537,サイズ別係数!$B:$E,4,FALSE)</f>
        <v>1.1000000000000001</v>
      </c>
      <c r="AB1537" s="10">
        <v>0</v>
      </c>
      <c r="AC1537" s="6" t="str">
        <f ca="1">VLOOKUP($AB1537,OFFSET([3]enemy_skill_sets!$B$2,0,0,COUNTA([3]enemy_skill_sets!$A:$A),MATCH(AC$1,[3]enemy_skill_sets!$1:$1,0)-MATCH($AB$1,[3]enemy_skill_sets!$1:$1,0)+1),MATCH(AC$1,[3]enemy_skill_sets!$1:$1,0)-MATCH($AB$1,[3]enemy_skill_sets!$1:$1,0)+1,FALSE)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7" s="67">
        <v>1</v>
      </c>
      <c r="AE1537" s="67">
        <v>1</v>
      </c>
      <c r="AF1537" s="68">
        <v>0</v>
      </c>
      <c r="AG1537" s="99">
        <f>ROUND(VLOOKUP(1,enemy_base_stats!$A:$F,2,FALSE) * Y1537* J1537*O1537*E1537*S1537*AD1537*[2]ステータス!$B$2,0)</f>
        <v>3250</v>
      </c>
      <c r="AH1537" s="99">
        <f>ROUND(VLOOKUP(1,enemy_base_stats!$A:$F,3,FALSE) * Z1537*K1537*P1537*F1537*T1537*AE1537 * W1537*[2]ステータス!$C$2,0)</f>
        <v>259</v>
      </c>
      <c r="AI1537" s="99">
        <f>ROUND(VLOOKUP(1,enemy_base_stats!$A:$F,4,FALSE) * AA1537*L1537*Q1537*G1537*U1537*AF1537*[2]ステータス!$D$2,0)</f>
        <v>0</v>
      </c>
      <c r="AJ1537" s="99">
        <f>ROUND(VLOOKUP(100,enemy_base_stats!$A:$F,2,FALSE) * Y1537* J1537*O1537*E1537*S1537*AD1537*[2]ステータス!$B$2,0)</f>
        <v>131950</v>
      </c>
      <c r="AK1537" s="99">
        <f>ROUND(VLOOKUP(100,enemy_base_stats!$A:$F,3,FALSE)* Z1537* K1537*P1537*F1537*T1537*AE1537 * W1537*[2]ステータス!$C$2,0)</f>
        <v>10498</v>
      </c>
      <c r="AL1537" s="99">
        <f>ROUND(VLOOKUP(100,enemy_base_stats!$A:$F,4,FALSE)* AA1537* L1537*Q1537*G1537*U1537*AF1537*[2]ステータス!$D$2,0)</f>
        <v>0</v>
      </c>
      <c r="AM1537" s="97">
        <f>VLOOKUP(M1537,[2]character_tribe_i18n!$A:$I,9,FALSE)</f>
        <v>340</v>
      </c>
      <c r="AN1537" s="97">
        <v>0</v>
      </c>
      <c r="AO1537" s="98">
        <v>0</v>
      </c>
      <c r="AP1537" s="58" t="s">
        <v>72</v>
      </c>
      <c r="AQ1537" s="34">
        <f t="shared" si="94"/>
        <v>8052</v>
      </c>
    </row>
    <row r="1538" spans="1:43" ht="21" customHeight="1" x14ac:dyDescent="0.15">
      <c r="A1538" s="105">
        <v>8053</v>
      </c>
      <c r="B1538" s="6" t="str">
        <f>VLOOKUP(A1538,[2]characters!$A:$C,3,FALSE)</f>
        <v>D.R.T.H__キティコスプレ</v>
      </c>
      <c r="C1538" s="9">
        <f>VLOOKUP(A1538,[2]characters!$A:$I,9,FALSE)</f>
        <v>5</v>
      </c>
      <c r="D1538" s="9" t="str">
        <f>VLOOKUP(A1538,[2]characters!$A:$H,8,FALSE)</f>
        <v>red</v>
      </c>
      <c r="E1538" s="97">
        <f>VLOOKUP(D1538,[2]属性!$A:$E,2,FALSE)</f>
        <v>1</v>
      </c>
      <c r="F1538" s="97">
        <f>VLOOKUP(D1538,[2]属性!$A:$E,3,FALSE)</f>
        <v>1.02</v>
      </c>
      <c r="G1538" s="97">
        <f>VLOOKUP(D1538,[2]属性!$A:$F,4,FALSE)</f>
        <v>1</v>
      </c>
      <c r="H1538" s="9" t="str">
        <f>VLOOKUP(A1538,[2]characters!$A:$K,11,FALSE)</f>
        <v>balance</v>
      </c>
      <c r="I1538" s="6" t="str">
        <f>VLOOKUP(H1538,[2]character_type_i18n!$A:$F,3,FALSE)</f>
        <v>バランスタイプ</v>
      </c>
      <c r="J1538" s="106">
        <v>1</v>
      </c>
      <c r="K1538" s="106">
        <v>1</v>
      </c>
      <c r="L1538" s="106">
        <f>VLOOKUP(H1538,[2]character_type_i18n!$A:$F,6,FALSE)</f>
        <v>1</v>
      </c>
      <c r="M1538" s="9" t="s">
        <v>143</v>
      </c>
      <c r="N1538" s="6" t="str">
        <f>VLOOKUP(M1538,[2]character_tribe_i18n!$A:$F,3,FALSE)</f>
        <v>ヒューマン</v>
      </c>
      <c r="O1538" s="97">
        <f>VLOOKUP(M1538,[2]character_tribe_i18n!$A:$F,4,FALSE)</f>
        <v>0.94</v>
      </c>
      <c r="P1538" s="97">
        <f>VLOOKUP(M1538,[2]character_tribe_i18n!$A:$F,5,FALSE)</f>
        <v>0.99</v>
      </c>
      <c r="Q1538" s="97">
        <f>VLOOKUP(M1538,[2]character_tribe_i18n!$A:$F,6,FALSE)</f>
        <v>1</v>
      </c>
      <c r="R1538" s="98" t="s">
        <v>98</v>
      </c>
      <c r="S1538" s="97">
        <f>VLOOKUP($R1538,ラベル別係数!$A$1:$E$7,3,FALSE)</f>
        <v>5</v>
      </c>
      <c r="T1538" s="97">
        <f>VLOOKUP($R1538,ラベル別係数!$A$1:$E$7,4,FALSE)</f>
        <v>1.3</v>
      </c>
      <c r="U1538" s="97">
        <f>VLOOKUP($R1538,ラベル別係数!$A$1:$E$7,5,FALSE)</f>
        <v>0.8</v>
      </c>
      <c r="V1538" s="98">
        <v>3</v>
      </c>
      <c r="W1538" s="99">
        <f>VLOOKUP(V1538,ターン数別攻撃係数!$A$1:$B$1000,2,FALSE)</f>
        <v>1</v>
      </c>
      <c r="X1538" s="9">
        <f>VLOOKUP(C1538,サイズ別係数!A$2:B$9,2,FALSE)</f>
        <v>60</v>
      </c>
      <c r="Y1538" s="97">
        <f>VLOOKUP($X1538,サイズ別係数!$B:$E,2,FALSE)</f>
        <v>1.7</v>
      </c>
      <c r="Z1538" s="97">
        <f>VLOOKUP($X1538,サイズ別係数!$B:$E,3,FALSE)</f>
        <v>1.4</v>
      </c>
      <c r="AA1538" s="97">
        <f>VLOOKUP($X1538,サイズ別係数!$B:$E,4,FALSE)</f>
        <v>1</v>
      </c>
      <c r="AB1538" s="10">
        <v>0</v>
      </c>
      <c r="AC1538" s="6" t="str">
        <f ca="1">VLOOKUP($AB1538,OFFSET([3]enemy_skill_sets!$B$2,0,0,COUNTA([3]enemy_skill_sets!$A:$A),MATCH(AC$1,[3]enemy_skill_sets!$1:$1,0)-MATCH($AB$1,[3]enemy_skill_sets!$1:$1,0)+1),MATCH(AC$1,[3]enemy_skill_sets!$1:$1,0)-MATCH($AB$1,[3]enemy_skill_sets!$1:$1,0)+1,FALSE)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8" s="67">
        <v>1</v>
      </c>
      <c r="AE1538" s="67">
        <v>1</v>
      </c>
      <c r="AF1538" s="68">
        <v>0</v>
      </c>
      <c r="AG1538" s="99">
        <f>ROUND(VLOOKUP(1,enemy_base_stats!$A:$F,2,FALSE) * Y1538* J1538*O1538*E1538*S1538*AD1538*[2]ステータス!$B$2,0)</f>
        <v>3995</v>
      </c>
      <c r="AH1538" s="99">
        <f>ROUND(VLOOKUP(1,enemy_base_stats!$A:$F,3,FALSE) * Z1538*K1538*P1538*F1538*T1538*AE1538 * W1538*[2]ステータス!$C$2,0)</f>
        <v>276</v>
      </c>
      <c r="AI1538" s="99">
        <f>ROUND(VLOOKUP(1,enemy_base_stats!$A:$F,4,FALSE) * AA1538*L1538*Q1538*G1538*U1538*AF1538*[2]ステータス!$D$2,0)</f>
        <v>0</v>
      </c>
      <c r="AJ1538" s="99">
        <f>ROUND(VLOOKUP(100,enemy_base_stats!$A:$F,2,FALSE) * Y1538* J1538*O1538*E1538*S1538*AD1538*[2]ステータス!$B$2,0)</f>
        <v>162197</v>
      </c>
      <c r="AK1538" s="99">
        <f>ROUND(VLOOKUP(100,enemy_base_stats!$A:$F,3,FALSE)* Z1538* K1538*P1538*F1538*T1538*AE1538 * W1538*[2]ステータス!$C$2,0)</f>
        <v>11192</v>
      </c>
      <c r="AL1538" s="99">
        <f>ROUND(VLOOKUP(100,enemy_base_stats!$A:$F,4,FALSE)* AA1538* L1538*Q1538*G1538*U1538*AF1538*[2]ステータス!$D$2,0)</f>
        <v>0</v>
      </c>
      <c r="AM1538" s="97">
        <f>VLOOKUP(M1538,[2]character_tribe_i18n!$A:$I,9,FALSE)</f>
        <v>400</v>
      </c>
      <c r="AN1538" s="97">
        <v>0</v>
      </c>
      <c r="AO1538" s="98">
        <v>0</v>
      </c>
      <c r="AP1538" s="58" t="s">
        <v>72</v>
      </c>
      <c r="AQ1538" s="34">
        <f t="shared" si="94"/>
        <v>8053</v>
      </c>
    </row>
    <row r="1539" spans="1:43" ht="21" customHeight="1" x14ac:dyDescent="0.15">
      <c r="A1539" s="105">
        <v>8054</v>
      </c>
      <c r="B1539" s="6" t="str">
        <f>VLOOKUP(A1539,[2]characters!$A:$C,3,FALSE)</f>
        <v>D.R.T.H__キティコスプレ</v>
      </c>
      <c r="C1539" s="9">
        <f>VLOOKUP(A1539,[2]characters!$A:$I,9,FALSE)</f>
        <v>6</v>
      </c>
      <c r="D1539" s="9" t="str">
        <f>VLOOKUP(A1539,[2]characters!$A:$H,8,FALSE)</f>
        <v>red</v>
      </c>
      <c r="E1539" s="97">
        <f>VLOOKUP(D1539,[2]属性!$A:$E,2,FALSE)</f>
        <v>1</v>
      </c>
      <c r="F1539" s="97">
        <f>VLOOKUP(D1539,[2]属性!$A:$E,3,FALSE)</f>
        <v>1.02</v>
      </c>
      <c r="G1539" s="97">
        <f>VLOOKUP(D1539,[2]属性!$A:$F,4,FALSE)</f>
        <v>1</v>
      </c>
      <c r="H1539" s="9" t="str">
        <f>VLOOKUP(A1539,[2]characters!$A:$K,11,FALSE)</f>
        <v>balance</v>
      </c>
      <c r="I1539" s="6" t="str">
        <f>VLOOKUP(H1539,[2]character_type_i18n!$A:$F,3,FALSE)</f>
        <v>バランスタイプ</v>
      </c>
      <c r="J1539" s="106">
        <v>1</v>
      </c>
      <c r="K1539" s="106">
        <v>1</v>
      </c>
      <c r="L1539" s="106">
        <f>VLOOKUP(H1539,[2]character_type_i18n!$A:$F,6,FALSE)</f>
        <v>1</v>
      </c>
      <c r="M1539" s="9" t="s">
        <v>143</v>
      </c>
      <c r="N1539" s="6" t="str">
        <f>VLOOKUP(M1539,[2]character_tribe_i18n!$A:$F,3,FALSE)</f>
        <v>ヒューマン</v>
      </c>
      <c r="O1539" s="97">
        <f>VLOOKUP(M1539,[2]character_tribe_i18n!$A:$F,4,FALSE)</f>
        <v>0.94</v>
      </c>
      <c r="P1539" s="97">
        <f>VLOOKUP(M1539,[2]character_tribe_i18n!$A:$F,5,FALSE)</f>
        <v>0.99</v>
      </c>
      <c r="Q1539" s="97">
        <f>VLOOKUP(M1539,[2]character_tribe_i18n!$A:$F,6,FALSE)</f>
        <v>1</v>
      </c>
      <c r="R1539" s="98" t="s">
        <v>98</v>
      </c>
      <c r="S1539" s="97">
        <f>VLOOKUP($R1539,ラベル別係数!$A$1:$E$7,3,FALSE)</f>
        <v>5</v>
      </c>
      <c r="T1539" s="97">
        <f>VLOOKUP($R1539,ラベル別係数!$A$1:$E$7,4,FALSE)</f>
        <v>1.3</v>
      </c>
      <c r="U1539" s="97">
        <f>VLOOKUP($R1539,ラベル別係数!$A$1:$E$7,5,FALSE)</f>
        <v>0.8</v>
      </c>
      <c r="V1539" s="98">
        <v>3</v>
      </c>
      <c r="W1539" s="99">
        <f>VLOOKUP(V1539,ターン数別攻撃係数!$A$1:$B$1000,2,FALSE)</f>
        <v>1</v>
      </c>
      <c r="X1539" s="9">
        <f>VLOOKUP(C1539,サイズ別係数!A$2:B$9,2,FALSE)</f>
        <v>60</v>
      </c>
      <c r="Y1539" s="97">
        <f>VLOOKUP($X1539,サイズ別係数!$B:$E,2,FALSE)</f>
        <v>1.7</v>
      </c>
      <c r="Z1539" s="97">
        <f>VLOOKUP($X1539,サイズ別係数!$B:$E,3,FALSE)</f>
        <v>1.4</v>
      </c>
      <c r="AA1539" s="97">
        <f>VLOOKUP($X1539,サイズ別係数!$B:$E,4,FALSE)</f>
        <v>1</v>
      </c>
      <c r="AB1539" s="10">
        <v>0</v>
      </c>
      <c r="AC1539" s="6" t="str">
        <f ca="1">VLOOKUP($AB1539,OFFSET([3]enemy_skill_sets!$B$2,0,0,COUNTA([3]enemy_skill_sets!$A:$A),MATCH(AC$1,[3]enemy_skill_sets!$1:$1,0)-MATCH($AB$1,[3]enemy_skill_sets!$1:$1,0)+1),MATCH(AC$1,[3]enemy_skill_sets!$1:$1,0)-MATCH($AB$1,[3]enemy_skill_sets!$1:$1,0)+1,FALSE)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39" s="67">
        <v>1</v>
      </c>
      <c r="AE1539" s="67">
        <v>1</v>
      </c>
      <c r="AF1539" s="68">
        <v>0</v>
      </c>
      <c r="AG1539" s="99">
        <f>ROUND(VLOOKUP(1,enemy_base_stats!$A:$F,2,FALSE) * Y1539* J1539*O1539*E1539*S1539*AD1539*[2]ステータス!$B$2,0)</f>
        <v>3995</v>
      </c>
      <c r="AH1539" s="99">
        <f>ROUND(VLOOKUP(1,enemy_base_stats!$A:$F,3,FALSE) * Z1539*K1539*P1539*F1539*T1539*AE1539 * W1539*[2]ステータス!$C$2,0)</f>
        <v>276</v>
      </c>
      <c r="AI1539" s="99">
        <f>ROUND(VLOOKUP(1,enemy_base_stats!$A:$F,4,FALSE) * AA1539*L1539*Q1539*G1539*U1539*AF1539*[2]ステータス!$D$2,0)</f>
        <v>0</v>
      </c>
      <c r="AJ1539" s="99">
        <f>ROUND(VLOOKUP(100,enemy_base_stats!$A:$F,2,FALSE) * Y1539* J1539*O1539*E1539*S1539*AD1539*[2]ステータス!$B$2,0)</f>
        <v>162197</v>
      </c>
      <c r="AK1539" s="99">
        <f>ROUND(VLOOKUP(100,enemy_base_stats!$A:$F,3,FALSE)* Z1539* K1539*P1539*F1539*T1539*AE1539 * W1539*[2]ステータス!$C$2,0)</f>
        <v>11192</v>
      </c>
      <c r="AL1539" s="99">
        <f>ROUND(VLOOKUP(100,enemy_base_stats!$A:$F,4,FALSE)* AA1539* L1539*Q1539*G1539*U1539*AF1539*[2]ステータス!$D$2,0)</f>
        <v>0</v>
      </c>
      <c r="AM1539" s="97">
        <f>VLOOKUP(M1539,[2]character_tribe_i18n!$A:$I,9,FALSE)</f>
        <v>400</v>
      </c>
      <c r="AN1539" s="97">
        <v>0</v>
      </c>
      <c r="AO1539" s="98">
        <v>0</v>
      </c>
      <c r="AP1539" s="58" t="s">
        <v>72</v>
      </c>
      <c r="AQ1539" s="34">
        <f t="shared" si="94"/>
        <v>8054</v>
      </c>
    </row>
    <row r="1540" spans="1:43" ht="21" customHeight="1" x14ac:dyDescent="0.15">
      <c r="A1540" s="105">
        <v>8055</v>
      </c>
      <c r="B1540" s="6" t="str">
        <f>VLOOKUP(A1540,[2]characters!$A:$C,3,FALSE)</f>
        <v>マイメロディ</v>
      </c>
      <c r="C1540" s="9">
        <f>VLOOKUP(A1540,[2]characters!$A:$I,9,FALSE)</f>
        <v>4</v>
      </c>
      <c r="D1540" s="9" t="str">
        <f>VLOOKUP(A1540,[2]characters!$A:$H,8,FALSE)</f>
        <v>red</v>
      </c>
      <c r="E1540" s="97">
        <f>VLOOKUP(D1540,[2]属性!$A:$E,2,FALSE)</f>
        <v>1</v>
      </c>
      <c r="F1540" s="97">
        <f>VLOOKUP(D1540,[2]属性!$A:$E,3,FALSE)</f>
        <v>1.02</v>
      </c>
      <c r="G1540" s="97">
        <f>VLOOKUP(D1540,[2]属性!$A:$F,4,FALSE)</f>
        <v>1</v>
      </c>
      <c r="H1540" s="9" t="str">
        <f>VLOOKUP(A1540,[2]characters!$A:$K,11,FALSE)</f>
        <v>attack</v>
      </c>
      <c r="I1540" s="6" t="str">
        <f>VLOOKUP(H1540,[2]character_type_i18n!$A:$F,3,FALSE)</f>
        <v>攻撃タイプ</v>
      </c>
      <c r="J1540" s="106">
        <v>1</v>
      </c>
      <c r="K1540" s="106">
        <v>1</v>
      </c>
      <c r="L1540" s="106">
        <f>VLOOKUP(H1540,[2]character_type_i18n!$A:$F,6,FALSE)</f>
        <v>1</v>
      </c>
      <c r="M1540" s="9" t="s">
        <v>141</v>
      </c>
      <c r="N1540" s="6" t="str">
        <f>VLOOKUP(M1540,[2]character_tribe_i18n!$A:$F,3,FALSE)</f>
        <v>Unknown</v>
      </c>
      <c r="O1540" s="97">
        <f>VLOOKUP(M1540,[2]character_tribe_i18n!$A:$F,4,FALSE)</f>
        <v>1</v>
      </c>
      <c r="P1540" s="97">
        <f>VLOOKUP(M1540,[2]character_tribe_i18n!$A:$F,5,FALSE)</f>
        <v>1</v>
      </c>
      <c r="Q1540" s="97">
        <f>VLOOKUP(M1540,[2]character_tribe_i18n!$A:$F,6,FALSE)</f>
        <v>1</v>
      </c>
      <c r="R1540" s="98" t="s">
        <v>98</v>
      </c>
      <c r="S1540" s="97">
        <f>VLOOKUP($R1540,ラベル別係数!$A$1:$E$7,3,FALSE)</f>
        <v>5</v>
      </c>
      <c r="T1540" s="97">
        <f>VLOOKUP($R1540,ラベル別係数!$A$1:$E$7,4,FALSE)</f>
        <v>1.3</v>
      </c>
      <c r="U1540" s="97">
        <f>VLOOKUP($R1540,ラベル別係数!$A$1:$E$7,5,FALSE)</f>
        <v>0.8</v>
      </c>
      <c r="V1540" s="98">
        <v>3</v>
      </c>
      <c r="W1540" s="99">
        <f>VLOOKUP(V1540,ターン数別攻撃係数!$A$1:$B$1000,2,FALSE)</f>
        <v>1</v>
      </c>
      <c r="X1540" s="9">
        <f>VLOOKUP(C1540,サイズ別係数!A$2:B$9,2,FALSE)</f>
        <v>30</v>
      </c>
      <c r="Y1540" s="97">
        <f>VLOOKUP($X1540,サイズ別係数!$B:$E,2,FALSE)</f>
        <v>1.3</v>
      </c>
      <c r="Z1540" s="97">
        <f>VLOOKUP($X1540,サイズ別係数!$B:$E,3,FALSE)</f>
        <v>1.3</v>
      </c>
      <c r="AA1540" s="97">
        <f>VLOOKUP($X1540,サイズ別係数!$B:$E,4,FALSE)</f>
        <v>1.1000000000000001</v>
      </c>
      <c r="AB1540" s="10">
        <v>0</v>
      </c>
      <c r="AC1540" s="6" t="str">
        <f ca="1">VLOOKUP($AB1540,OFFSET([3]enemy_skill_sets!$B$2,0,0,COUNTA([3]enemy_skill_sets!$A:$A),MATCH(AC$1,[3]enemy_skill_sets!$1:$1,0)-MATCH($AB$1,[3]enemy_skill_sets!$1:$1,0)+1),MATCH(AC$1,[3]enemy_skill_sets!$1:$1,0)-MATCH($AB$1,[3]enemy_skill_sets!$1:$1,0)+1,FALSE)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0" s="67">
        <v>1</v>
      </c>
      <c r="AE1540" s="67">
        <v>1</v>
      </c>
      <c r="AF1540" s="68">
        <v>0</v>
      </c>
      <c r="AG1540" s="99">
        <f>ROUND(VLOOKUP(1,enemy_base_stats!$A:$F,2,FALSE) * Y1540* J1540*O1540*E1540*S1540*AD1540*[2]ステータス!$B$2,0)</f>
        <v>3250</v>
      </c>
      <c r="AH1540" s="99">
        <f>ROUND(VLOOKUP(1,enemy_base_stats!$A:$F,3,FALSE) * Z1540*K1540*P1540*F1540*T1540*AE1540 * W1540*[2]ステータス!$C$2,0)</f>
        <v>259</v>
      </c>
      <c r="AI1540" s="99">
        <f>ROUND(VLOOKUP(1,enemy_base_stats!$A:$F,4,FALSE) * AA1540*L1540*Q1540*G1540*U1540*AF1540*[2]ステータス!$D$2,0)</f>
        <v>0</v>
      </c>
      <c r="AJ1540" s="99">
        <f>ROUND(VLOOKUP(100,enemy_base_stats!$A:$F,2,FALSE) * Y1540* J1540*O1540*E1540*S1540*AD1540*[2]ステータス!$B$2,0)</f>
        <v>131950</v>
      </c>
      <c r="AK1540" s="99">
        <f>ROUND(VLOOKUP(100,enemy_base_stats!$A:$F,3,FALSE)* Z1540* K1540*P1540*F1540*T1540*AE1540 * W1540*[2]ステータス!$C$2,0)</f>
        <v>10498</v>
      </c>
      <c r="AL1540" s="99">
        <f>ROUND(VLOOKUP(100,enemy_base_stats!$A:$F,4,FALSE)* AA1540* L1540*Q1540*G1540*U1540*AF1540*[2]ステータス!$D$2,0)</f>
        <v>0</v>
      </c>
      <c r="AM1540" s="97">
        <f>VLOOKUP(M1540,[2]character_tribe_i18n!$A:$I,9,FALSE)</f>
        <v>340</v>
      </c>
      <c r="AN1540" s="97">
        <v>0</v>
      </c>
      <c r="AO1540" s="98">
        <v>0</v>
      </c>
      <c r="AP1540" s="58" t="s">
        <v>72</v>
      </c>
      <c r="AQ1540" s="34">
        <f t="shared" si="94"/>
        <v>8055</v>
      </c>
    </row>
    <row r="1541" spans="1:43" ht="21" customHeight="1" x14ac:dyDescent="0.15">
      <c r="A1541" s="105">
        <v>8056</v>
      </c>
      <c r="B1541" s="6" t="str">
        <f>VLOOKUP(A1541,[2]characters!$A:$C,3,FALSE)</f>
        <v>マイメロディ</v>
      </c>
      <c r="C1541" s="9">
        <f>VLOOKUP(A1541,[2]characters!$A:$I,9,FALSE)</f>
        <v>5</v>
      </c>
      <c r="D1541" s="9" t="str">
        <f>VLOOKUP(A1541,[2]characters!$A:$H,8,FALSE)</f>
        <v>red</v>
      </c>
      <c r="E1541" s="97">
        <f>VLOOKUP(D1541,[2]属性!$A:$E,2,FALSE)</f>
        <v>1</v>
      </c>
      <c r="F1541" s="97">
        <f>VLOOKUP(D1541,[2]属性!$A:$E,3,FALSE)</f>
        <v>1.02</v>
      </c>
      <c r="G1541" s="97">
        <f>VLOOKUP(D1541,[2]属性!$A:$F,4,FALSE)</f>
        <v>1</v>
      </c>
      <c r="H1541" s="9" t="str">
        <f>VLOOKUP(A1541,[2]characters!$A:$K,11,FALSE)</f>
        <v>attack</v>
      </c>
      <c r="I1541" s="6" t="str">
        <f>VLOOKUP(H1541,[2]character_type_i18n!$A:$F,3,FALSE)</f>
        <v>攻撃タイプ</v>
      </c>
      <c r="J1541" s="106">
        <v>1</v>
      </c>
      <c r="K1541" s="106">
        <v>1</v>
      </c>
      <c r="L1541" s="106">
        <f>VLOOKUP(H1541,[2]character_type_i18n!$A:$F,6,FALSE)</f>
        <v>1</v>
      </c>
      <c r="M1541" s="9" t="s">
        <v>141</v>
      </c>
      <c r="N1541" s="6" t="str">
        <f>VLOOKUP(M1541,[2]character_tribe_i18n!$A:$F,3,FALSE)</f>
        <v>Unknown</v>
      </c>
      <c r="O1541" s="97">
        <f>VLOOKUP(M1541,[2]character_tribe_i18n!$A:$F,4,FALSE)</f>
        <v>1</v>
      </c>
      <c r="P1541" s="97">
        <f>VLOOKUP(M1541,[2]character_tribe_i18n!$A:$F,5,FALSE)</f>
        <v>1</v>
      </c>
      <c r="Q1541" s="97">
        <f>VLOOKUP(M1541,[2]character_tribe_i18n!$A:$F,6,FALSE)</f>
        <v>1</v>
      </c>
      <c r="R1541" s="98" t="s">
        <v>98</v>
      </c>
      <c r="S1541" s="97">
        <f>VLOOKUP($R1541,ラベル別係数!$A$1:$E$7,3,FALSE)</f>
        <v>5</v>
      </c>
      <c r="T1541" s="97">
        <f>VLOOKUP($R1541,ラベル別係数!$A$1:$E$7,4,FALSE)</f>
        <v>1.3</v>
      </c>
      <c r="U1541" s="97">
        <f>VLOOKUP($R1541,ラベル別係数!$A$1:$E$7,5,FALSE)</f>
        <v>0.8</v>
      </c>
      <c r="V1541" s="98">
        <v>3</v>
      </c>
      <c r="W1541" s="99">
        <f>VLOOKUP(V1541,ターン数別攻撃係数!$A$1:$B$1000,2,FALSE)</f>
        <v>1</v>
      </c>
      <c r="X1541" s="9">
        <f>VLOOKUP(C1541,サイズ別係数!A$2:B$9,2,FALSE)</f>
        <v>60</v>
      </c>
      <c r="Y1541" s="97">
        <f>VLOOKUP($X1541,サイズ別係数!$B:$E,2,FALSE)</f>
        <v>1.7</v>
      </c>
      <c r="Z1541" s="97">
        <f>VLOOKUP($X1541,サイズ別係数!$B:$E,3,FALSE)</f>
        <v>1.4</v>
      </c>
      <c r="AA1541" s="97">
        <f>VLOOKUP($X1541,サイズ別係数!$B:$E,4,FALSE)</f>
        <v>1</v>
      </c>
      <c r="AB1541" s="10">
        <v>0</v>
      </c>
      <c r="AC1541" s="6" t="str">
        <f ca="1">VLOOKUP($AB1541,OFFSET([3]enemy_skill_sets!$B$2,0,0,COUNTA([3]enemy_skill_sets!$A:$A),MATCH(AC$1,[3]enemy_skill_sets!$1:$1,0)-MATCH($AB$1,[3]enemy_skill_sets!$1:$1,0)+1),MATCH(AC$1,[3]enemy_skill_sets!$1:$1,0)-MATCH($AB$1,[3]enemy_skill_sets!$1:$1,0)+1,FALSE)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1" s="67">
        <v>1</v>
      </c>
      <c r="AE1541" s="67">
        <v>1</v>
      </c>
      <c r="AF1541" s="68">
        <v>0</v>
      </c>
      <c r="AG1541" s="99">
        <f>ROUND(VLOOKUP(1,enemy_base_stats!$A:$F,2,FALSE) * Y1541* J1541*O1541*E1541*S1541*AD1541*[2]ステータス!$B$2,0)</f>
        <v>4250</v>
      </c>
      <c r="AH1541" s="99">
        <f>ROUND(VLOOKUP(1,enemy_base_stats!$A:$F,3,FALSE) * Z1541*K1541*P1541*F1541*T1541*AE1541 * W1541*[2]ステータス!$C$2,0)</f>
        <v>278</v>
      </c>
      <c r="AI1541" s="99">
        <f>ROUND(VLOOKUP(1,enemy_base_stats!$A:$F,4,FALSE) * AA1541*L1541*Q1541*G1541*U1541*AF1541*[2]ステータス!$D$2,0)</f>
        <v>0</v>
      </c>
      <c r="AJ1541" s="99">
        <f>ROUND(VLOOKUP(100,enemy_base_stats!$A:$F,2,FALSE) * Y1541* J1541*O1541*E1541*S1541*AD1541*[2]ステータス!$B$2,0)</f>
        <v>172550</v>
      </c>
      <c r="AK1541" s="99">
        <f>ROUND(VLOOKUP(100,enemy_base_stats!$A:$F,3,FALSE)* Z1541* K1541*P1541*F1541*T1541*AE1541 * W1541*[2]ステータス!$C$2,0)</f>
        <v>11305</v>
      </c>
      <c r="AL1541" s="99">
        <f>ROUND(VLOOKUP(100,enemy_base_stats!$A:$F,4,FALSE)* AA1541* L1541*Q1541*G1541*U1541*AF1541*[2]ステータス!$D$2,0)</f>
        <v>0</v>
      </c>
      <c r="AM1541" s="97">
        <f>VLOOKUP(M1541,[2]character_tribe_i18n!$A:$I,9,FALSE)</f>
        <v>340</v>
      </c>
      <c r="AN1541" s="97">
        <v>0</v>
      </c>
      <c r="AO1541" s="98">
        <v>0</v>
      </c>
      <c r="AP1541" s="58" t="s">
        <v>72</v>
      </c>
      <c r="AQ1541" s="34">
        <f t="shared" si="94"/>
        <v>8056</v>
      </c>
    </row>
    <row r="1542" spans="1:43" ht="21" customHeight="1" x14ac:dyDescent="0.15">
      <c r="A1542" s="105">
        <v>8057</v>
      </c>
      <c r="B1542" s="6" t="str">
        <f>VLOOKUP(A1542,[2]characters!$A:$C,3,FALSE)</f>
        <v>ニーベルゲン_シナモロールコスプレ</v>
      </c>
      <c r="C1542" s="9">
        <f>VLOOKUP(A1542,[2]characters!$A:$I,9,FALSE)</f>
        <v>4</v>
      </c>
      <c r="D1542" s="9" t="str">
        <f>VLOOKUP(A1542,[2]characters!$A:$H,8,FALSE)</f>
        <v>green</v>
      </c>
      <c r="E1542" s="97">
        <f>VLOOKUP(D1542,[2]属性!$A:$E,2,FALSE)</f>
        <v>1.02</v>
      </c>
      <c r="F1542" s="97">
        <f>VLOOKUP(D1542,[2]属性!$A:$E,3,FALSE)</f>
        <v>0.98</v>
      </c>
      <c r="G1542" s="97">
        <f>VLOOKUP(D1542,[2]属性!$A:$F,4,FALSE)</f>
        <v>1</v>
      </c>
      <c r="H1542" s="9" t="str">
        <f>VLOOKUP(A1542,[2]characters!$A:$K,11,FALSE)</f>
        <v>balance</v>
      </c>
      <c r="I1542" s="6" t="str">
        <f>VLOOKUP(H1542,[2]character_type_i18n!$A:$F,3,FALSE)</f>
        <v>バランスタイプ</v>
      </c>
      <c r="J1542" s="106">
        <v>1</v>
      </c>
      <c r="K1542" s="106">
        <v>1</v>
      </c>
      <c r="L1542" s="106">
        <f>VLOOKUP(H1542,[2]character_type_i18n!$A:$F,6,FALSE)</f>
        <v>1</v>
      </c>
      <c r="M1542" s="9" t="s">
        <v>141</v>
      </c>
      <c r="N1542" s="6" t="str">
        <f>VLOOKUP(M1542,[2]character_tribe_i18n!$A:$F,3,FALSE)</f>
        <v>Unknown</v>
      </c>
      <c r="O1542" s="97">
        <f>VLOOKUP(M1542,[2]character_tribe_i18n!$A:$F,4,FALSE)</f>
        <v>1</v>
      </c>
      <c r="P1542" s="97">
        <f>VLOOKUP(M1542,[2]character_tribe_i18n!$A:$F,5,FALSE)</f>
        <v>1</v>
      </c>
      <c r="Q1542" s="97">
        <f>VLOOKUP(M1542,[2]character_tribe_i18n!$A:$F,6,FALSE)</f>
        <v>1</v>
      </c>
      <c r="R1542" s="98" t="s">
        <v>98</v>
      </c>
      <c r="S1542" s="97">
        <f>VLOOKUP($R1542,ラベル別係数!$A$1:$E$7,3,FALSE)</f>
        <v>5</v>
      </c>
      <c r="T1542" s="97">
        <f>VLOOKUP($R1542,ラベル別係数!$A$1:$E$7,4,FALSE)</f>
        <v>1.3</v>
      </c>
      <c r="U1542" s="97">
        <f>VLOOKUP($R1542,ラベル別係数!$A$1:$E$7,5,FALSE)</f>
        <v>0.8</v>
      </c>
      <c r="V1542" s="98">
        <v>3</v>
      </c>
      <c r="W1542" s="99">
        <f>VLOOKUP(V1542,ターン数別攻撃係数!$A$1:$B$1000,2,FALSE)</f>
        <v>1</v>
      </c>
      <c r="X1542" s="9">
        <f>VLOOKUP(C1542,サイズ別係数!A$2:B$9,2,FALSE)</f>
        <v>30</v>
      </c>
      <c r="Y1542" s="97">
        <f>VLOOKUP($X1542,サイズ別係数!$B:$E,2,FALSE)</f>
        <v>1.3</v>
      </c>
      <c r="Z1542" s="97">
        <f>VLOOKUP($X1542,サイズ別係数!$B:$E,3,FALSE)</f>
        <v>1.3</v>
      </c>
      <c r="AA1542" s="97">
        <f>VLOOKUP($X1542,サイズ別係数!$B:$E,4,FALSE)</f>
        <v>1.1000000000000001</v>
      </c>
      <c r="AB1542" s="10">
        <v>0</v>
      </c>
      <c r="AC1542" s="6" t="str">
        <f ca="1">VLOOKUP($AB1542,OFFSET([3]enemy_skill_sets!$B$2,0,0,COUNTA([3]enemy_skill_sets!$A:$A),MATCH(AC$1,[3]enemy_skill_sets!$1:$1,0)-MATCH($AB$1,[3]enemy_skill_sets!$1:$1,0)+1),MATCH(AC$1,[3]enemy_skill_sets!$1:$1,0)-MATCH($AB$1,[3]enemy_skill_sets!$1:$1,0)+1,FALSE)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2" s="67">
        <v>1</v>
      </c>
      <c r="AE1542" s="67">
        <v>1</v>
      </c>
      <c r="AF1542" s="68">
        <v>0</v>
      </c>
      <c r="AG1542" s="99">
        <f>ROUND(VLOOKUP(1,enemy_base_stats!$A:$F,2,FALSE) * Y1542* J1542*O1542*E1542*S1542*AD1542*[2]ステータス!$B$2,0)</f>
        <v>3315</v>
      </c>
      <c r="AH1542" s="99">
        <f>ROUND(VLOOKUP(1,enemy_base_stats!$A:$F,3,FALSE) * Z1542*K1542*P1542*F1542*T1542*AE1542 * W1542*[2]ステータス!$C$2,0)</f>
        <v>248</v>
      </c>
      <c r="AI1542" s="99">
        <f>ROUND(VLOOKUP(1,enemy_base_stats!$A:$F,4,FALSE) * AA1542*L1542*Q1542*G1542*U1542*AF1542*[2]ステータス!$D$2,0)</f>
        <v>0</v>
      </c>
      <c r="AJ1542" s="99">
        <f>ROUND(VLOOKUP(100,enemy_base_stats!$A:$F,2,FALSE) * Y1542* J1542*O1542*E1542*S1542*AD1542*[2]ステータス!$B$2,0)</f>
        <v>134589</v>
      </c>
      <c r="AK1542" s="99">
        <f>ROUND(VLOOKUP(100,enemy_base_stats!$A:$F,3,FALSE)* Z1542* K1542*P1542*F1542*T1542*AE1542 * W1542*[2]ステータス!$C$2,0)</f>
        <v>10086</v>
      </c>
      <c r="AL1542" s="99">
        <f>ROUND(VLOOKUP(100,enemy_base_stats!$A:$F,4,FALSE)* AA1542* L1542*Q1542*G1542*U1542*AF1542*[2]ステータス!$D$2,0)</f>
        <v>0</v>
      </c>
      <c r="AM1542" s="97">
        <f>VLOOKUP(M1542,[2]character_tribe_i18n!$A:$I,9,FALSE)</f>
        <v>340</v>
      </c>
      <c r="AN1542" s="97">
        <v>0</v>
      </c>
      <c r="AO1542" s="98">
        <v>0</v>
      </c>
      <c r="AP1542" s="58" t="s">
        <v>72</v>
      </c>
      <c r="AQ1542" s="34">
        <f t="shared" si="94"/>
        <v>8057</v>
      </c>
    </row>
    <row r="1543" spans="1:43" ht="21" customHeight="1" x14ac:dyDescent="0.15">
      <c r="A1543" s="105">
        <v>8058</v>
      </c>
      <c r="B1543" s="6" t="str">
        <f>VLOOKUP(A1543,[2]characters!$A:$C,3,FALSE)</f>
        <v>ニーベルゲン_シナモロールコスプレ</v>
      </c>
      <c r="C1543" s="9">
        <f>VLOOKUP(A1543,[2]characters!$A:$I,9,FALSE)</f>
        <v>5</v>
      </c>
      <c r="D1543" s="9" t="str">
        <f>VLOOKUP(A1543,[2]characters!$A:$H,8,FALSE)</f>
        <v>green</v>
      </c>
      <c r="E1543" s="97">
        <f>VLOOKUP(D1543,[2]属性!$A:$E,2,FALSE)</f>
        <v>1.02</v>
      </c>
      <c r="F1543" s="97">
        <f>VLOOKUP(D1543,[2]属性!$A:$E,3,FALSE)</f>
        <v>0.98</v>
      </c>
      <c r="G1543" s="97">
        <f>VLOOKUP(D1543,[2]属性!$A:$F,4,FALSE)</f>
        <v>1</v>
      </c>
      <c r="H1543" s="9" t="str">
        <f>VLOOKUP(A1543,[2]characters!$A:$K,11,FALSE)</f>
        <v>balance</v>
      </c>
      <c r="I1543" s="6" t="str">
        <f>VLOOKUP(H1543,[2]character_type_i18n!$A:$F,3,FALSE)</f>
        <v>バランスタイプ</v>
      </c>
      <c r="J1543" s="106">
        <v>1</v>
      </c>
      <c r="K1543" s="106">
        <v>1</v>
      </c>
      <c r="L1543" s="106">
        <f>VLOOKUP(H1543,[2]character_type_i18n!$A:$F,6,FALSE)</f>
        <v>1</v>
      </c>
      <c r="M1543" s="9" t="s">
        <v>141</v>
      </c>
      <c r="N1543" s="6" t="str">
        <f>VLOOKUP(M1543,[2]character_tribe_i18n!$A:$F,3,FALSE)</f>
        <v>Unknown</v>
      </c>
      <c r="O1543" s="97">
        <f>VLOOKUP(M1543,[2]character_tribe_i18n!$A:$F,4,FALSE)</f>
        <v>1</v>
      </c>
      <c r="P1543" s="97">
        <f>VLOOKUP(M1543,[2]character_tribe_i18n!$A:$F,5,FALSE)</f>
        <v>1</v>
      </c>
      <c r="Q1543" s="97">
        <f>VLOOKUP(M1543,[2]character_tribe_i18n!$A:$F,6,FALSE)</f>
        <v>1</v>
      </c>
      <c r="R1543" s="98" t="s">
        <v>98</v>
      </c>
      <c r="S1543" s="97">
        <f>VLOOKUP($R1543,ラベル別係数!$A$1:$E$7,3,FALSE)</f>
        <v>5</v>
      </c>
      <c r="T1543" s="97">
        <f>VLOOKUP($R1543,ラベル別係数!$A$1:$E$7,4,FALSE)</f>
        <v>1.3</v>
      </c>
      <c r="U1543" s="97">
        <f>VLOOKUP($R1543,ラベル別係数!$A$1:$E$7,5,FALSE)</f>
        <v>0.8</v>
      </c>
      <c r="V1543" s="98">
        <v>3</v>
      </c>
      <c r="W1543" s="99">
        <f>VLOOKUP(V1543,ターン数別攻撃係数!$A$1:$B$1000,2,FALSE)</f>
        <v>1</v>
      </c>
      <c r="X1543" s="9">
        <f>VLOOKUP(C1543,サイズ別係数!A$2:B$9,2,FALSE)</f>
        <v>60</v>
      </c>
      <c r="Y1543" s="97">
        <f>VLOOKUP($X1543,サイズ別係数!$B:$E,2,FALSE)</f>
        <v>1.7</v>
      </c>
      <c r="Z1543" s="97">
        <f>VLOOKUP($X1543,サイズ別係数!$B:$E,3,FALSE)</f>
        <v>1.4</v>
      </c>
      <c r="AA1543" s="97">
        <f>VLOOKUP($X1543,サイズ別係数!$B:$E,4,FALSE)</f>
        <v>1</v>
      </c>
      <c r="AB1543" s="10">
        <v>0</v>
      </c>
      <c r="AC1543" s="6" t="str">
        <f ca="1">VLOOKUP($AB1543,OFFSET([3]enemy_skill_sets!$B$2,0,0,COUNTA([3]enemy_skill_sets!$A:$A),MATCH(AC$1,[3]enemy_skill_sets!$1:$1,0)-MATCH($AB$1,[3]enemy_skill_sets!$1:$1,0)+1),MATCH(AC$1,[3]enemy_skill_sets!$1:$1,0)-MATCH($AB$1,[3]enemy_skill_sets!$1:$1,0)+1,FALSE)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3" s="67">
        <v>1</v>
      </c>
      <c r="AE1543" s="67">
        <v>1</v>
      </c>
      <c r="AF1543" s="68">
        <v>0</v>
      </c>
      <c r="AG1543" s="99">
        <f>ROUND(VLOOKUP(1,enemy_base_stats!$A:$F,2,FALSE) * Y1543* J1543*O1543*E1543*S1543*AD1543*[2]ステータス!$B$2,0)</f>
        <v>4335</v>
      </c>
      <c r="AH1543" s="99">
        <f>ROUND(VLOOKUP(1,enemy_base_stats!$A:$F,3,FALSE) * Z1543*K1543*P1543*F1543*T1543*AE1543 * W1543*[2]ステータス!$C$2,0)</f>
        <v>268</v>
      </c>
      <c r="AI1543" s="99">
        <f>ROUND(VLOOKUP(1,enemy_base_stats!$A:$F,4,FALSE) * AA1543*L1543*Q1543*G1543*U1543*AF1543*[2]ステータス!$D$2,0)</f>
        <v>0</v>
      </c>
      <c r="AJ1543" s="99">
        <f>ROUND(VLOOKUP(100,enemy_base_stats!$A:$F,2,FALSE) * Y1543* J1543*O1543*E1543*S1543*AD1543*[2]ステータス!$B$2,0)</f>
        <v>176001</v>
      </c>
      <c r="AK1543" s="99">
        <f>ROUND(VLOOKUP(100,enemy_base_stats!$A:$F,3,FALSE)* Z1543* K1543*P1543*F1543*T1543*AE1543 * W1543*[2]ステータス!$C$2,0)</f>
        <v>10862</v>
      </c>
      <c r="AL1543" s="99">
        <f>ROUND(VLOOKUP(100,enemy_base_stats!$A:$F,4,FALSE)* AA1543* L1543*Q1543*G1543*U1543*AF1543*[2]ステータス!$D$2,0)</f>
        <v>0</v>
      </c>
      <c r="AM1543" s="97">
        <f>VLOOKUP(M1543,[2]character_tribe_i18n!$A:$I,9,FALSE)</f>
        <v>340</v>
      </c>
      <c r="AN1543" s="97">
        <v>0</v>
      </c>
      <c r="AO1543" s="98">
        <v>0</v>
      </c>
      <c r="AP1543" s="58" t="s">
        <v>72</v>
      </c>
      <c r="AQ1543" s="34">
        <f t="shared" si="94"/>
        <v>8058</v>
      </c>
    </row>
    <row r="1544" spans="1:43" ht="21" customHeight="1" x14ac:dyDescent="0.15">
      <c r="A1544" s="105">
        <v>8059</v>
      </c>
      <c r="B1544" s="6" t="str">
        <f>VLOOKUP(A1544,[2]characters!$A:$C,3,FALSE)</f>
        <v>カカシ_マイメロディコスプレ</v>
      </c>
      <c r="C1544" s="9">
        <f>VLOOKUP(A1544,[2]characters!$A:$I,9,FALSE)</f>
        <v>4</v>
      </c>
      <c r="D1544" s="9" t="str">
        <f>VLOOKUP(A1544,[2]characters!$A:$H,8,FALSE)</f>
        <v>green</v>
      </c>
      <c r="E1544" s="97">
        <f>VLOOKUP(D1544,[2]属性!$A:$E,2,FALSE)</f>
        <v>1.02</v>
      </c>
      <c r="F1544" s="97">
        <f>VLOOKUP(D1544,[2]属性!$A:$E,3,FALSE)</f>
        <v>0.98</v>
      </c>
      <c r="G1544" s="97">
        <f>VLOOKUP(D1544,[2]属性!$A:$F,4,FALSE)</f>
        <v>1</v>
      </c>
      <c r="H1544" s="9" t="str">
        <f>VLOOKUP(A1544,[2]characters!$A:$K,11,FALSE)</f>
        <v>technical</v>
      </c>
      <c r="I1544" s="6" t="str">
        <f>VLOOKUP(H1544,[2]character_type_i18n!$A:$F,3,FALSE)</f>
        <v>テクニカルタイプ</v>
      </c>
      <c r="J1544" s="106">
        <v>1</v>
      </c>
      <c r="K1544" s="106">
        <v>1</v>
      </c>
      <c r="L1544" s="106">
        <f>VLOOKUP(H1544,[2]character_type_i18n!$A:$F,6,FALSE)</f>
        <v>1</v>
      </c>
      <c r="M1544" s="9" t="s">
        <v>143</v>
      </c>
      <c r="N1544" s="6" t="str">
        <f>VLOOKUP(M1544,[2]character_tribe_i18n!$A:$F,3,FALSE)</f>
        <v>ヒューマン</v>
      </c>
      <c r="O1544" s="97">
        <f>VLOOKUP(M1544,[2]character_tribe_i18n!$A:$F,4,FALSE)</f>
        <v>0.94</v>
      </c>
      <c r="P1544" s="97">
        <f>VLOOKUP(M1544,[2]character_tribe_i18n!$A:$F,5,FALSE)</f>
        <v>0.99</v>
      </c>
      <c r="Q1544" s="97">
        <f>VLOOKUP(M1544,[2]character_tribe_i18n!$A:$F,6,FALSE)</f>
        <v>1</v>
      </c>
      <c r="R1544" s="98" t="s">
        <v>98</v>
      </c>
      <c r="S1544" s="97">
        <f>VLOOKUP($R1544,ラベル別係数!$A$1:$E$7,3,FALSE)</f>
        <v>5</v>
      </c>
      <c r="T1544" s="97">
        <f>VLOOKUP($R1544,ラベル別係数!$A$1:$E$7,4,FALSE)</f>
        <v>1.3</v>
      </c>
      <c r="U1544" s="97">
        <f>VLOOKUP($R1544,ラベル別係数!$A$1:$E$7,5,FALSE)</f>
        <v>0.8</v>
      </c>
      <c r="V1544" s="98">
        <v>3</v>
      </c>
      <c r="W1544" s="99">
        <f>VLOOKUP(V1544,ターン数別攻撃係数!$A$1:$B$1000,2,FALSE)</f>
        <v>1</v>
      </c>
      <c r="X1544" s="9">
        <f>VLOOKUP(C1544,サイズ別係数!A$2:B$9,2,FALSE)</f>
        <v>30</v>
      </c>
      <c r="Y1544" s="97">
        <f>VLOOKUP($X1544,サイズ別係数!$B:$E,2,FALSE)</f>
        <v>1.3</v>
      </c>
      <c r="Z1544" s="97">
        <f>VLOOKUP($X1544,サイズ別係数!$B:$E,3,FALSE)</f>
        <v>1.3</v>
      </c>
      <c r="AA1544" s="97">
        <f>VLOOKUP($X1544,サイズ別係数!$B:$E,4,FALSE)</f>
        <v>1.1000000000000001</v>
      </c>
      <c r="AB1544" s="10">
        <v>0</v>
      </c>
      <c r="AC1544" s="6" t="str">
        <f ca="1">VLOOKUP($AB1544,OFFSET([3]enemy_skill_sets!$B$2,0,0,COUNTA([3]enemy_skill_sets!$A:$A),MATCH(AC$1,[3]enemy_skill_sets!$1:$1,0)-MATCH($AB$1,[3]enemy_skill_sets!$1:$1,0)+1),MATCH(AC$1,[3]enemy_skill_sets!$1:$1,0)-MATCH($AB$1,[3]enemy_skill_sets!$1:$1,0)+1,FALSE)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4" s="67">
        <v>1</v>
      </c>
      <c r="AE1544" s="67">
        <v>1</v>
      </c>
      <c r="AF1544" s="68">
        <v>0</v>
      </c>
      <c r="AG1544" s="99">
        <f>ROUND(VLOOKUP(1,enemy_base_stats!$A:$F,2,FALSE) * Y1544* J1544*O1544*E1544*S1544*AD1544*[2]ステータス!$B$2,0)</f>
        <v>3116</v>
      </c>
      <c r="AH1544" s="99">
        <f>ROUND(VLOOKUP(1,enemy_base_stats!$A:$F,3,FALSE) * Z1544*K1544*P1544*F1544*T1544*AE1544 * W1544*[2]ステータス!$C$2,0)</f>
        <v>246</v>
      </c>
      <c r="AI1544" s="99">
        <f>ROUND(VLOOKUP(1,enemy_base_stats!$A:$F,4,FALSE) * AA1544*L1544*Q1544*G1544*U1544*AF1544*[2]ステータス!$D$2,0)</f>
        <v>0</v>
      </c>
      <c r="AJ1544" s="99">
        <f>ROUND(VLOOKUP(100,enemy_base_stats!$A:$F,2,FALSE) * Y1544* J1544*O1544*E1544*S1544*AD1544*[2]ステータス!$B$2,0)</f>
        <v>126514</v>
      </c>
      <c r="AK1544" s="99">
        <f>ROUND(VLOOKUP(100,enemy_base_stats!$A:$F,3,FALSE)* Z1544* K1544*P1544*F1544*T1544*AE1544 * W1544*[2]ステータス!$C$2,0)</f>
        <v>9985</v>
      </c>
      <c r="AL1544" s="99">
        <f>ROUND(VLOOKUP(100,enemy_base_stats!$A:$F,4,FALSE)* AA1544* L1544*Q1544*G1544*U1544*AF1544*[2]ステータス!$D$2,0)</f>
        <v>0</v>
      </c>
      <c r="AM1544" s="97">
        <f>VLOOKUP(M1544,[2]character_tribe_i18n!$A:$I,9,FALSE)</f>
        <v>400</v>
      </c>
      <c r="AN1544" s="97">
        <v>0</v>
      </c>
      <c r="AO1544" s="98">
        <v>0</v>
      </c>
      <c r="AP1544" s="58" t="s">
        <v>72</v>
      </c>
      <c r="AQ1544" s="34">
        <f t="shared" si="94"/>
        <v>8059</v>
      </c>
    </row>
    <row r="1545" spans="1:43" ht="21" customHeight="1" x14ac:dyDescent="0.15">
      <c r="A1545" s="105">
        <v>8060</v>
      </c>
      <c r="B1545" s="6" t="str">
        <f>VLOOKUP(A1545,[2]characters!$A:$C,3,FALSE)</f>
        <v>カカシ_マイメロディコスプレ</v>
      </c>
      <c r="C1545" s="9">
        <f>VLOOKUP(A1545,[2]characters!$A:$I,9,FALSE)</f>
        <v>5</v>
      </c>
      <c r="D1545" s="9" t="str">
        <f>VLOOKUP(A1545,[2]characters!$A:$H,8,FALSE)</f>
        <v>green</v>
      </c>
      <c r="E1545" s="97">
        <f>VLOOKUP(D1545,[2]属性!$A:$E,2,FALSE)</f>
        <v>1.02</v>
      </c>
      <c r="F1545" s="97">
        <f>VLOOKUP(D1545,[2]属性!$A:$E,3,FALSE)</f>
        <v>0.98</v>
      </c>
      <c r="G1545" s="97">
        <f>VLOOKUP(D1545,[2]属性!$A:$F,4,FALSE)</f>
        <v>1</v>
      </c>
      <c r="H1545" s="9" t="str">
        <f>VLOOKUP(A1545,[2]characters!$A:$K,11,FALSE)</f>
        <v>technical</v>
      </c>
      <c r="I1545" s="6" t="str">
        <f>VLOOKUP(H1545,[2]character_type_i18n!$A:$F,3,FALSE)</f>
        <v>テクニカルタイプ</v>
      </c>
      <c r="J1545" s="106">
        <v>1</v>
      </c>
      <c r="K1545" s="106">
        <v>1</v>
      </c>
      <c r="L1545" s="106">
        <f>VLOOKUP(H1545,[2]character_type_i18n!$A:$F,6,FALSE)</f>
        <v>1</v>
      </c>
      <c r="M1545" s="9" t="s">
        <v>143</v>
      </c>
      <c r="N1545" s="6" t="str">
        <f>VLOOKUP(M1545,[2]character_tribe_i18n!$A:$F,3,FALSE)</f>
        <v>ヒューマン</v>
      </c>
      <c r="O1545" s="97">
        <f>VLOOKUP(M1545,[2]character_tribe_i18n!$A:$F,4,FALSE)</f>
        <v>0.94</v>
      </c>
      <c r="P1545" s="97">
        <f>VLOOKUP(M1545,[2]character_tribe_i18n!$A:$F,5,FALSE)</f>
        <v>0.99</v>
      </c>
      <c r="Q1545" s="97">
        <f>VLOOKUP(M1545,[2]character_tribe_i18n!$A:$F,6,FALSE)</f>
        <v>1</v>
      </c>
      <c r="R1545" s="98" t="s">
        <v>98</v>
      </c>
      <c r="S1545" s="97">
        <f>VLOOKUP($R1545,ラベル別係数!$A$1:$E$7,3,FALSE)</f>
        <v>5</v>
      </c>
      <c r="T1545" s="97">
        <f>VLOOKUP($R1545,ラベル別係数!$A$1:$E$7,4,FALSE)</f>
        <v>1.3</v>
      </c>
      <c r="U1545" s="97">
        <f>VLOOKUP($R1545,ラベル別係数!$A$1:$E$7,5,FALSE)</f>
        <v>0.8</v>
      </c>
      <c r="V1545" s="98">
        <v>3</v>
      </c>
      <c r="W1545" s="99">
        <f>VLOOKUP(V1545,ターン数別攻撃係数!$A$1:$B$1000,2,FALSE)</f>
        <v>1</v>
      </c>
      <c r="X1545" s="9">
        <f>VLOOKUP(C1545,サイズ別係数!A$2:B$9,2,FALSE)</f>
        <v>60</v>
      </c>
      <c r="Y1545" s="97">
        <f>VLOOKUP($X1545,サイズ別係数!$B:$E,2,FALSE)</f>
        <v>1.7</v>
      </c>
      <c r="Z1545" s="97">
        <f>VLOOKUP($X1545,サイズ別係数!$B:$E,3,FALSE)</f>
        <v>1.4</v>
      </c>
      <c r="AA1545" s="97">
        <f>VLOOKUP($X1545,サイズ別係数!$B:$E,4,FALSE)</f>
        <v>1</v>
      </c>
      <c r="AB1545" s="10">
        <v>0</v>
      </c>
      <c r="AC1545" s="6" t="str">
        <f ca="1">VLOOKUP($AB1545,OFFSET([3]enemy_skill_sets!$B$2,0,0,COUNTA([3]enemy_skill_sets!$A:$A),MATCH(AC$1,[3]enemy_skill_sets!$1:$1,0)-MATCH($AB$1,[3]enemy_skill_sets!$1:$1,0)+1),MATCH(AC$1,[3]enemy_skill_sets!$1:$1,0)-MATCH($AB$1,[3]enemy_skill_sets!$1:$1,0)+1,FALSE)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5" s="67">
        <v>1</v>
      </c>
      <c r="AE1545" s="67">
        <v>1</v>
      </c>
      <c r="AF1545" s="68">
        <v>0</v>
      </c>
      <c r="AG1545" s="99">
        <f>ROUND(VLOOKUP(1,enemy_base_stats!$A:$F,2,FALSE) * Y1545* J1545*O1545*E1545*S1545*AD1545*[2]ステータス!$B$2,0)</f>
        <v>4075</v>
      </c>
      <c r="AH1545" s="99">
        <f>ROUND(VLOOKUP(1,enemy_base_stats!$A:$F,3,FALSE) * Z1545*K1545*P1545*F1545*T1545*AE1545 * W1545*[2]ステータス!$C$2,0)</f>
        <v>265</v>
      </c>
      <c r="AI1545" s="99">
        <f>ROUND(VLOOKUP(1,enemy_base_stats!$A:$F,4,FALSE) * AA1545*L1545*Q1545*G1545*U1545*AF1545*[2]ステータス!$D$2,0)</f>
        <v>0</v>
      </c>
      <c r="AJ1545" s="99">
        <f>ROUND(VLOOKUP(100,enemy_base_stats!$A:$F,2,FALSE) * Y1545* J1545*O1545*E1545*S1545*AD1545*[2]ステータス!$B$2,0)</f>
        <v>165441</v>
      </c>
      <c r="AK1545" s="99">
        <f>ROUND(VLOOKUP(100,enemy_base_stats!$A:$F,3,FALSE)* Z1545* K1545*P1545*F1545*T1545*AE1545 * W1545*[2]ステータス!$C$2,0)</f>
        <v>10754</v>
      </c>
      <c r="AL1545" s="99">
        <f>ROUND(VLOOKUP(100,enemy_base_stats!$A:$F,4,FALSE)* AA1545* L1545*Q1545*G1545*U1545*AF1545*[2]ステータス!$D$2,0)</f>
        <v>0</v>
      </c>
      <c r="AM1545" s="97">
        <f>VLOOKUP(M1545,[2]character_tribe_i18n!$A:$I,9,FALSE)</f>
        <v>400</v>
      </c>
      <c r="AN1545" s="97">
        <v>0</v>
      </c>
      <c r="AO1545" s="98">
        <v>0</v>
      </c>
      <c r="AP1545" s="58" t="s">
        <v>72</v>
      </c>
      <c r="AQ1545" s="34">
        <f t="shared" si="94"/>
        <v>8060</v>
      </c>
    </row>
    <row r="1546" spans="1:43" ht="21" customHeight="1" x14ac:dyDescent="0.15">
      <c r="A1546" s="105">
        <v>8061</v>
      </c>
      <c r="B1546" s="6" t="str">
        <f>VLOOKUP(A1546,[2]characters!$A:$C,3,FALSE)</f>
        <v>ケロケロけろっぴ</v>
      </c>
      <c r="C1546" s="9">
        <f>VLOOKUP(A1546,[2]characters!$A:$I,9,FALSE)</f>
        <v>3</v>
      </c>
      <c r="D1546" s="9" t="str">
        <f>VLOOKUP(A1546,[2]characters!$A:$H,8,FALSE)</f>
        <v>green</v>
      </c>
      <c r="E1546" s="97">
        <f>VLOOKUP(D1546,[2]属性!$A:$E,2,FALSE)</f>
        <v>1.02</v>
      </c>
      <c r="F1546" s="97">
        <f>VLOOKUP(D1546,[2]属性!$A:$E,3,FALSE)</f>
        <v>0.98</v>
      </c>
      <c r="G1546" s="97">
        <f>VLOOKUP(D1546,[2]属性!$A:$F,4,FALSE)</f>
        <v>1</v>
      </c>
      <c r="H1546" s="9" t="str">
        <f>VLOOKUP(A1546,[2]characters!$A:$K,11,FALSE)</f>
        <v>balance</v>
      </c>
      <c r="I1546" s="6" t="str">
        <f>VLOOKUP(H1546,[2]character_type_i18n!$A:$F,3,FALSE)</f>
        <v>バランスタイプ</v>
      </c>
      <c r="J1546" s="106">
        <v>1</v>
      </c>
      <c r="K1546" s="106">
        <v>1</v>
      </c>
      <c r="L1546" s="106">
        <f>VLOOKUP(H1546,[2]character_type_i18n!$A:$F,6,FALSE)</f>
        <v>1</v>
      </c>
      <c r="M1546" s="9" t="s">
        <v>141</v>
      </c>
      <c r="N1546" s="6" t="str">
        <f>VLOOKUP(M1546,[2]character_tribe_i18n!$A:$F,3,FALSE)</f>
        <v>Unknown</v>
      </c>
      <c r="O1546" s="97">
        <f>VLOOKUP(M1546,[2]character_tribe_i18n!$A:$F,4,FALSE)</f>
        <v>1</v>
      </c>
      <c r="P1546" s="97">
        <f>VLOOKUP(M1546,[2]character_tribe_i18n!$A:$F,5,FALSE)</f>
        <v>1</v>
      </c>
      <c r="Q1546" s="97">
        <f>VLOOKUP(M1546,[2]character_tribe_i18n!$A:$F,6,FALSE)</f>
        <v>1</v>
      </c>
      <c r="R1546" s="98" t="s">
        <v>98</v>
      </c>
      <c r="S1546" s="97">
        <f>VLOOKUP($R1546,ラベル別係数!$A$1:$E$7,3,FALSE)</f>
        <v>5</v>
      </c>
      <c r="T1546" s="97">
        <f>VLOOKUP($R1546,ラベル別係数!$A$1:$E$7,4,FALSE)</f>
        <v>1.3</v>
      </c>
      <c r="U1546" s="97">
        <f>VLOOKUP($R1546,ラベル別係数!$A$1:$E$7,5,FALSE)</f>
        <v>0.8</v>
      </c>
      <c r="V1546" s="98">
        <v>3</v>
      </c>
      <c r="W1546" s="99">
        <f>VLOOKUP(V1546,ターン数別攻撃係数!$A$1:$B$1000,2,FALSE)</f>
        <v>1</v>
      </c>
      <c r="X1546" s="9">
        <f>VLOOKUP(C1546,サイズ別係数!A$2:B$9,2,FALSE)</f>
        <v>25</v>
      </c>
      <c r="Y1546" s="97">
        <f>VLOOKUP($X1546,サイズ別係数!$B:$E,2,FALSE)</f>
        <v>1.2</v>
      </c>
      <c r="Z1546" s="97">
        <f>VLOOKUP($X1546,サイズ別係数!$B:$E,3,FALSE)</f>
        <v>1.25</v>
      </c>
      <c r="AA1546" s="97">
        <f>VLOOKUP($X1546,サイズ別係数!$B:$E,4,FALSE)</f>
        <v>1.1499999999999999</v>
      </c>
      <c r="AB1546" s="10">
        <v>0</v>
      </c>
      <c r="AC1546" s="6" t="str">
        <f ca="1">VLOOKUP($AB1546,OFFSET([3]enemy_skill_sets!$B$2,0,0,COUNTA([3]enemy_skill_sets!$A:$A),MATCH(AC$1,[3]enemy_skill_sets!$1:$1,0)-MATCH($AB$1,[3]enemy_skill_sets!$1:$1,0)+1),MATCH(AC$1,[3]enemy_skill_sets!$1:$1,0)-MATCH($AB$1,[3]enemy_skill_sets!$1:$1,0)+1,FALSE)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6" s="67">
        <v>1</v>
      </c>
      <c r="AE1546" s="67">
        <v>1</v>
      </c>
      <c r="AF1546" s="68">
        <v>0</v>
      </c>
      <c r="AG1546" s="99">
        <f>ROUND(VLOOKUP(1,enemy_base_stats!$A:$F,2,FALSE) * Y1546* J1546*O1546*E1546*S1546*AD1546*[2]ステータス!$B$2,0)</f>
        <v>3060</v>
      </c>
      <c r="AH1546" s="99">
        <f>ROUND(VLOOKUP(1,enemy_base_stats!$A:$F,3,FALSE) * Z1546*K1546*P1546*F1546*T1546*AE1546 * W1546*[2]ステータス!$C$2,0)</f>
        <v>239</v>
      </c>
      <c r="AI1546" s="99">
        <f>ROUND(VLOOKUP(1,enemy_base_stats!$A:$F,4,FALSE) * AA1546*L1546*Q1546*G1546*U1546*AF1546*[2]ステータス!$D$2,0)</f>
        <v>0</v>
      </c>
      <c r="AJ1546" s="99">
        <f>ROUND(VLOOKUP(100,enemy_base_stats!$A:$F,2,FALSE) * Y1546* J1546*O1546*E1546*S1546*AD1546*[2]ステータス!$B$2,0)</f>
        <v>124236</v>
      </c>
      <c r="AK1546" s="99">
        <f>ROUND(VLOOKUP(100,enemy_base_stats!$A:$F,3,FALSE)* Z1546* K1546*P1546*F1546*T1546*AE1546 * W1546*[2]ステータス!$C$2,0)</f>
        <v>9698</v>
      </c>
      <c r="AL1546" s="99">
        <f>ROUND(VLOOKUP(100,enemy_base_stats!$A:$F,4,FALSE)* AA1546* L1546*Q1546*G1546*U1546*AF1546*[2]ステータス!$D$2,0)</f>
        <v>0</v>
      </c>
      <c r="AM1546" s="97">
        <f>VLOOKUP(M1546,[2]character_tribe_i18n!$A:$I,9,FALSE)</f>
        <v>340</v>
      </c>
      <c r="AN1546" s="97">
        <v>0</v>
      </c>
      <c r="AO1546" s="98">
        <v>0</v>
      </c>
      <c r="AP1546" s="58" t="s">
        <v>72</v>
      </c>
      <c r="AQ1546" s="34">
        <f t="shared" si="94"/>
        <v>8061</v>
      </c>
    </row>
    <row r="1547" spans="1:43" ht="21" customHeight="1" x14ac:dyDescent="0.15">
      <c r="A1547" s="105">
        <v>8062</v>
      </c>
      <c r="B1547" s="6" t="str">
        <f>VLOOKUP(A1547,[2]characters!$A:$C,3,FALSE)</f>
        <v>ケロケロけろっぴ</v>
      </c>
      <c r="C1547" s="9">
        <f>VLOOKUP(A1547,[2]characters!$A:$I,9,FALSE)</f>
        <v>4</v>
      </c>
      <c r="D1547" s="9" t="str">
        <f>VLOOKUP(A1547,[2]characters!$A:$H,8,FALSE)</f>
        <v>green</v>
      </c>
      <c r="E1547" s="97">
        <f>VLOOKUP(D1547,[2]属性!$A:$E,2,FALSE)</f>
        <v>1.02</v>
      </c>
      <c r="F1547" s="97">
        <f>VLOOKUP(D1547,[2]属性!$A:$E,3,FALSE)</f>
        <v>0.98</v>
      </c>
      <c r="G1547" s="97">
        <f>VLOOKUP(D1547,[2]属性!$A:$F,4,FALSE)</f>
        <v>1</v>
      </c>
      <c r="H1547" s="9" t="str">
        <f>VLOOKUP(A1547,[2]characters!$A:$K,11,FALSE)</f>
        <v>balance</v>
      </c>
      <c r="I1547" s="6" t="str">
        <f>VLOOKUP(H1547,[2]character_type_i18n!$A:$F,3,FALSE)</f>
        <v>バランスタイプ</v>
      </c>
      <c r="J1547" s="106">
        <v>1</v>
      </c>
      <c r="K1547" s="106">
        <v>1</v>
      </c>
      <c r="L1547" s="106">
        <f>VLOOKUP(H1547,[2]character_type_i18n!$A:$F,6,FALSE)</f>
        <v>1</v>
      </c>
      <c r="M1547" s="9" t="s">
        <v>141</v>
      </c>
      <c r="N1547" s="6" t="str">
        <f>VLOOKUP(M1547,[2]character_tribe_i18n!$A:$F,3,FALSE)</f>
        <v>Unknown</v>
      </c>
      <c r="O1547" s="97">
        <f>VLOOKUP(M1547,[2]character_tribe_i18n!$A:$F,4,FALSE)</f>
        <v>1</v>
      </c>
      <c r="P1547" s="97">
        <f>VLOOKUP(M1547,[2]character_tribe_i18n!$A:$F,5,FALSE)</f>
        <v>1</v>
      </c>
      <c r="Q1547" s="97">
        <f>VLOOKUP(M1547,[2]character_tribe_i18n!$A:$F,6,FALSE)</f>
        <v>1</v>
      </c>
      <c r="R1547" s="98" t="s">
        <v>98</v>
      </c>
      <c r="S1547" s="97">
        <f>VLOOKUP($R1547,ラベル別係数!$A$1:$E$7,3,FALSE)</f>
        <v>5</v>
      </c>
      <c r="T1547" s="97">
        <f>VLOOKUP($R1547,ラベル別係数!$A$1:$E$7,4,FALSE)</f>
        <v>1.3</v>
      </c>
      <c r="U1547" s="97">
        <f>VLOOKUP($R1547,ラベル別係数!$A$1:$E$7,5,FALSE)</f>
        <v>0.8</v>
      </c>
      <c r="V1547" s="98">
        <v>3</v>
      </c>
      <c r="W1547" s="99">
        <f>VLOOKUP(V1547,ターン数別攻撃係数!$A$1:$B$1000,2,FALSE)</f>
        <v>1</v>
      </c>
      <c r="X1547" s="9">
        <f>VLOOKUP(C1547,サイズ別係数!A$2:B$9,2,FALSE)</f>
        <v>30</v>
      </c>
      <c r="Y1547" s="97">
        <f>VLOOKUP($X1547,サイズ別係数!$B:$E,2,FALSE)</f>
        <v>1.3</v>
      </c>
      <c r="Z1547" s="97">
        <f>VLOOKUP($X1547,サイズ別係数!$B:$E,3,FALSE)</f>
        <v>1.3</v>
      </c>
      <c r="AA1547" s="97">
        <f>VLOOKUP($X1547,サイズ別係数!$B:$E,4,FALSE)</f>
        <v>1.1000000000000001</v>
      </c>
      <c r="AB1547" s="10">
        <v>0</v>
      </c>
      <c r="AC1547" s="6" t="str">
        <f ca="1">VLOOKUP($AB1547,OFFSET([3]enemy_skill_sets!$B$2,0,0,COUNTA([3]enemy_skill_sets!$A:$A),MATCH(AC$1,[3]enemy_skill_sets!$1:$1,0)-MATCH($AB$1,[3]enemy_skill_sets!$1:$1,0)+1),MATCH(AC$1,[3]enemy_skill_sets!$1:$1,0)-MATCH($AB$1,[3]enemy_skill_sets!$1:$1,0)+1,FALSE)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7" s="67">
        <v>1</v>
      </c>
      <c r="AE1547" s="67">
        <v>1</v>
      </c>
      <c r="AF1547" s="68">
        <v>0</v>
      </c>
      <c r="AG1547" s="99">
        <f>ROUND(VLOOKUP(1,enemy_base_stats!$A:$F,2,FALSE) * Y1547* J1547*O1547*E1547*S1547*AD1547*[2]ステータス!$B$2,0)</f>
        <v>3315</v>
      </c>
      <c r="AH1547" s="99">
        <f>ROUND(VLOOKUP(1,enemy_base_stats!$A:$F,3,FALSE) * Z1547*K1547*P1547*F1547*T1547*AE1547 * W1547*[2]ステータス!$C$2,0)</f>
        <v>248</v>
      </c>
      <c r="AI1547" s="99">
        <f>ROUND(VLOOKUP(1,enemy_base_stats!$A:$F,4,FALSE) * AA1547*L1547*Q1547*G1547*U1547*AF1547*[2]ステータス!$D$2,0)</f>
        <v>0</v>
      </c>
      <c r="AJ1547" s="99">
        <f>ROUND(VLOOKUP(100,enemy_base_stats!$A:$F,2,FALSE) * Y1547* J1547*O1547*E1547*S1547*AD1547*[2]ステータス!$B$2,0)</f>
        <v>134589</v>
      </c>
      <c r="AK1547" s="99">
        <f>ROUND(VLOOKUP(100,enemy_base_stats!$A:$F,3,FALSE)* Z1547* K1547*P1547*F1547*T1547*AE1547 * W1547*[2]ステータス!$C$2,0)</f>
        <v>10086</v>
      </c>
      <c r="AL1547" s="99">
        <f>ROUND(VLOOKUP(100,enemy_base_stats!$A:$F,4,FALSE)* AA1547* L1547*Q1547*G1547*U1547*AF1547*[2]ステータス!$D$2,0)</f>
        <v>0</v>
      </c>
      <c r="AM1547" s="97">
        <f>VLOOKUP(M1547,[2]character_tribe_i18n!$A:$I,9,FALSE)</f>
        <v>340</v>
      </c>
      <c r="AN1547" s="97">
        <v>0</v>
      </c>
      <c r="AO1547" s="98">
        <v>0</v>
      </c>
      <c r="AP1547" s="58" t="s">
        <v>72</v>
      </c>
      <c r="AQ1547" s="34">
        <f t="shared" si="94"/>
        <v>8062</v>
      </c>
    </row>
    <row r="1548" spans="1:43" ht="21" customHeight="1" x14ac:dyDescent="0.15">
      <c r="A1548" s="105">
        <v>8063</v>
      </c>
      <c r="B1548" s="6" t="str">
        <f>VLOOKUP(A1548,[2]characters!$A:$C,3,FALSE)</f>
        <v>モルドレッド_ポムポムプリンコスプレ</v>
      </c>
      <c r="C1548" s="9">
        <f>VLOOKUP(A1548,[2]characters!$A:$I,9,FALSE)</f>
        <v>5</v>
      </c>
      <c r="D1548" s="9" t="str">
        <f>VLOOKUP(A1548,[2]characters!$A:$H,8,FALSE)</f>
        <v>blue</v>
      </c>
      <c r="E1548" s="97">
        <f>VLOOKUP(D1548,[2]属性!$A:$E,2,FALSE)</f>
        <v>1</v>
      </c>
      <c r="F1548" s="97">
        <f>VLOOKUP(D1548,[2]属性!$A:$E,3,FALSE)</f>
        <v>0.98</v>
      </c>
      <c r="G1548" s="97">
        <f>VLOOKUP(D1548,[2]属性!$A:$F,4,FALSE)</f>
        <v>1</v>
      </c>
      <c r="H1548" s="9" t="str">
        <f>VLOOKUP(A1548,[2]characters!$A:$K,11,FALSE)</f>
        <v>heal</v>
      </c>
      <c r="I1548" s="6" t="str">
        <f>VLOOKUP(H1548,[2]character_type_i18n!$A:$F,3,FALSE)</f>
        <v>回復タイプ</v>
      </c>
      <c r="J1548" s="106">
        <v>1</v>
      </c>
      <c r="K1548" s="106">
        <v>1</v>
      </c>
      <c r="L1548" s="106">
        <f>VLOOKUP(H1548,[2]character_type_i18n!$A:$F,6,FALSE)</f>
        <v>1</v>
      </c>
      <c r="M1548" s="9" t="s">
        <v>143</v>
      </c>
      <c r="N1548" s="6" t="str">
        <f>VLOOKUP(M1548,[2]character_tribe_i18n!$A:$F,3,FALSE)</f>
        <v>ヒューマン</v>
      </c>
      <c r="O1548" s="97">
        <f>VLOOKUP(M1548,[2]character_tribe_i18n!$A:$F,4,FALSE)</f>
        <v>0.94</v>
      </c>
      <c r="P1548" s="97">
        <f>VLOOKUP(M1548,[2]character_tribe_i18n!$A:$F,5,FALSE)</f>
        <v>0.99</v>
      </c>
      <c r="Q1548" s="97">
        <f>VLOOKUP(M1548,[2]character_tribe_i18n!$A:$F,6,FALSE)</f>
        <v>1</v>
      </c>
      <c r="R1548" s="98" t="s">
        <v>98</v>
      </c>
      <c r="S1548" s="97">
        <f>VLOOKUP($R1548,ラベル別係数!$A$1:$E$7,3,FALSE)</f>
        <v>5</v>
      </c>
      <c r="T1548" s="97">
        <f>VLOOKUP($R1548,ラベル別係数!$A$1:$E$7,4,FALSE)</f>
        <v>1.3</v>
      </c>
      <c r="U1548" s="97">
        <f>VLOOKUP($R1548,ラベル別係数!$A$1:$E$7,5,FALSE)</f>
        <v>0.8</v>
      </c>
      <c r="V1548" s="98">
        <v>3</v>
      </c>
      <c r="W1548" s="99">
        <f>VLOOKUP(V1548,ターン数別攻撃係数!$A$1:$B$1000,2,FALSE)</f>
        <v>1</v>
      </c>
      <c r="X1548" s="9">
        <f>VLOOKUP(C1548,サイズ別係数!A$2:B$9,2,FALSE)</f>
        <v>60</v>
      </c>
      <c r="Y1548" s="97">
        <f>VLOOKUP($X1548,サイズ別係数!$B:$E,2,FALSE)</f>
        <v>1.7</v>
      </c>
      <c r="Z1548" s="97">
        <f>VLOOKUP($X1548,サイズ別係数!$B:$E,3,FALSE)</f>
        <v>1.4</v>
      </c>
      <c r="AA1548" s="97">
        <f>VLOOKUP($X1548,サイズ別係数!$B:$E,4,FALSE)</f>
        <v>1</v>
      </c>
      <c r="AB1548" s="10">
        <v>0</v>
      </c>
      <c r="AC1548" s="6" t="str">
        <f ca="1">VLOOKUP($AB1548,OFFSET([3]enemy_skill_sets!$B$2,0,0,COUNTA([3]enemy_skill_sets!$A:$A),MATCH(AC$1,[3]enemy_skill_sets!$1:$1,0)-MATCH($AB$1,[3]enemy_skill_sets!$1:$1,0)+1),MATCH(AC$1,[3]enemy_skill_sets!$1:$1,0)-MATCH($AB$1,[3]enemy_skill_sets!$1:$1,0)+1,FALSE)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8" s="67">
        <v>1</v>
      </c>
      <c r="AE1548" s="67">
        <v>1</v>
      </c>
      <c r="AF1548" s="68">
        <v>0</v>
      </c>
      <c r="AG1548" s="99">
        <f>ROUND(VLOOKUP(1,enemy_base_stats!$A:$F,2,FALSE) * Y1548* J1548*O1548*E1548*S1548*AD1548*[2]ステータス!$B$2,0)</f>
        <v>3995</v>
      </c>
      <c r="AH1548" s="99">
        <f>ROUND(VLOOKUP(1,enemy_base_stats!$A:$F,3,FALSE) * Z1548*K1548*P1548*F1548*T1548*AE1548 * W1548*[2]ステータス!$C$2,0)</f>
        <v>265</v>
      </c>
      <c r="AI1548" s="99">
        <f>ROUND(VLOOKUP(1,enemy_base_stats!$A:$F,4,FALSE) * AA1548*L1548*Q1548*G1548*U1548*AF1548*[2]ステータス!$D$2,0)</f>
        <v>0</v>
      </c>
      <c r="AJ1548" s="99">
        <f>ROUND(VLOOKUP(100,enemy_base_stats!$A:$F,2,FALSE) * Y1548* J1548*O1548*E1548*S1548*AD1548*[2]ステータス!$B$2,0)</f>
        <v>162197</v>
      </c>
      <c r="AK1548" s="99">
        <f>ROUND(VLOOKUP(100,enemy_base_stats!$A:$F,3,FALSE)* Z1548* K1548*P1548*F1548*T1548*AE1548 * W1548*[2]ステータス!$C$2,0)</f>
        <v>10754</v>
      </c>
      <c r="AL1548" s="99">
        <f>ROUND(VLOOKUP(100,enemy_base_stats!$A:$F,4,FALSE)* AA1548* L1548*Q1548*G1548*U1548*AF1548*[2]ステータス!$D$2,0)</f>
        <v>0</v>
      </c>
      <c r="AM1548" s="97">
        <f>VLOOKUP(M1548,[2]character_tribe_i18n!$A:$I,9,FALSE)</f>
        <v>400</v>
      </c>
      <c r="AN1548" s="97">
        <v>0</v>
      </c>
      <c r="AO1548" s="98">
        <v>0</v>
      </c>
      <c r="AP1548" s="58" t="s">
        <v>72</v>
      </c>
      <c r="AQ1548" s="34">
        <f t="shared" si="94"/>
        <v>8063</v>
      </c>
    </row>
    <row r="1549" spans="1:43" ht="21" customHeight="1" x14ac:dyDescent="0.15">
      <c r="A1549" s="105">
        <v>8064</v>
      </c>
      <c r="B1549" s="6" t="str">
        <f>VLOOKUP(A1549,[2]characters!$A:$C,3,FALSE)</f>
        <v>モルドレッド_ポムポムプリンコスプレ</v>
      </c>
      <c r="C1549" s="9">
        <f>VLOOKUP(A1549,[2]characters!$A:$I,9,FALSE)</f>
        <v>6</v>
      </c>
      <c r="D1549" s="9" t="str">
        <f>VLOOKUP(A1549,[2]characters!$A:$H,8,FALSE)</f>
        <v>blue</v>
      </c>
      <c r="E1549" s="97">
        <f>VLOOKUP(D1549,[2]属性!$A:$E,2,FALSE)</f>
        <v>1</v>
      </c>
      <c r="F1549" s="97">
        <f>VLOOKUP(D1549,[2]属性!$A:$E,3,FALSE)</f>
        <v>0.98</v>
      </c>
      <c r="G1549" s="97">
        <f>VLOOKUP(D1549,[2]属性!$A:$F,4,FALSE)</f>
        <v>1</v>
      </c>
      <c r="H1549" s="9" t="str">
        <f>VLOOKUP(A1549,[2]characters!$A:$K,11,FALSE)</f>
        <v>heal</v>
      </c>
      <c r="I1549" s="6" t="str">
        <f>VLOOKUP(H1549,[2]character_type_i18n!$A:$F,3,FALSE)</f>
        <v>回復タイプ</v>
      </c>
      <c r="J1549" s="106">
        <v>1</v>
      </c>
      <c r="K1549" s="106">
        <v>1</v>
      </c>
      <c r="L1549" s="106">
        <f>VLOOKUP(H1549,[2]character_type_i18n!$A:$F,6,FALSE)</f>
        <v>1</v>
      </c>
      <c r="M1549" s="9" t="s">
        <v>143</v>
      </c>
      <c r="N1549" s="6" t="str">
        <f>VLOOKUP(M1549,[2]character_tribe_i18n!$A:$F,3,FALSE)</f>
        <v>ヒューマン</v>
      </c>
      <c r="O1549" s="97">
        <f>VLOOKUP(M1549,[2]character_tribe_i18n!$A:$F,4,FALSE)</f>
        <v>0.94</v>
      </c>
      <c r="P1549" s="97">
        <f>VLOOKUP(M1549,[2]character_tribe_i18n!$A:$F,5,FALSE)</f>
        <v>0.99</v>
      </c>
      <c r="Q1549" s="97">
        <f>VLOOKUP(M1549,[2]character_tribe_i18n!$A:$F,6,FALSE)</f>
        <v>1</v>
      </c>
      <c r="R1549" s="98" t="s">
        <v>98</v>
      </c>
      <c r="S1549" s="97">
        <f>VLOOKUP($R1549,ラベル別係数!$A$1:$E$7,3,FALSE)</f>
        <v>5</v>
      </c>
      <c r="T1549" s="97">
        <f>VLOOKUP($R1549,ラベル別係数!$A$1:$E$7,4,FALSE)</f>
        <v>1.3</v>
      </c>
      <c r="U1549" s="97">
        <f>VLOOKUP($R1549,ラベル別係数!$A$1:$E$7,5,FALSE)</f>
        <v>0.8</v>
      </c>
      <c r="V1549" s="98">
        <v>3</v>
      </c>
      <c r="W1549" s="99">
        <f>VLOOKUP(V1549,ターン数別攻撃係数!$A$1:$B$1000,2,FALSE)</f>
        <v>1</v>
      </c>
      <c r="X1549" s="9">
        <f>VLOOKUP(C1549,サイズ別係数!A$2:B$9,2,FALSE)</f>
        <v>60</v>
      </c>
      <c r="Y1549" s="97">
        <f>VLOOKUP($X1549,サイズ別係数!$B:$E,2,FALSE)</f>
        <v>1.7</v>
      </c>
      <c r="Z1549" s="97">
        <f>VLOOKUP($X1549,サイズ別係数!$B:$E,3,FALSE)</f>
        <v>1.4</v>
      </c>
      <c r="AA1549" s="97">
        <f>VLOOKUP($X1549,サイズ別係数!$B:$E,4,FALSE)</f>
        <v>1</v>
      </c>
      <c r="AB1549" s="10">
        <v>0</v>
      </c>
      <c r="AC1549" s="6" t="str">
        <f ca="1">VLOOKUP($AB1549,OFFSET([3]enemy_skill_sets!$B$2,0,0,COUNTA([3]enemy_skill_sets!$A:$A),MATCH(AC$1,[3]enemy_skill_sets!$1:$1,0)-MATCH($AB$1,[3]enemy_skill_sets!$1:$1,0)+1),MATCH(AC$1,[3]enemy_skill_sets!$1:$1,0)-MATCH($AB$1,[3]enemy_skill_sets!$1:$1,0)+1,FALSE)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49" s="67">
        <v>1</v>
      </c>
      <c r="AE1549" s="67">
        <v>1</v>
      </c>
      <c r="AF1549" s="68">
        <v>0</v>
      </c>
      <c r="AG1549" s="99">
        <f>ROUND(VLOOKUP(1,enemy_base_stats!$A:$F,2,FALSE) * Y1549* J1549*O1549*E1549*S1549*AD1549*[2]ステータス!$B$2,0)</f>
        <v>3995</v>
      </c>
      <c r="AH1549" s="99">
        <f>ROUND(VLOOKUP(1,enemy_base_stats!$A:$F,3,FALSE) * Z1549*K1549*P1549*F1549*T1549*AE1549 * W1549*[2]ステータス!$C$2,0)</f>
        <v>265</v>
      </c>
      <c r="AI1549" s="99">
        <f>ROUND(VLOOKUP(1,enemy_base_stats!$A:$F,4,FALSE) * AA1549*L1549*Q1549*G1549*U1549*AF1549*[2]ステータス!$D$2,0)</f>
        <v>0</v>
      </c>
      <c r="AJ1549" s="99">
        <f>ROUND(VLOOKUP(100,enemy_base_stats!$A:$F,2,FALSE) * Y1549* J1549*O1549*E1549*S1549*AD1549*[2]ステータス!$B$2,0)</f>
        <v>162197</v>
      </c>
      <c r="AK1549" s="99">
        <f>ROUND(VLOOKUP(100,enemy_base_stats!$A:$F,3,FALSE)* Z1549* K1549*P1549*F1549*T1549*AE1549 * W1549*[2]ステータス!$C$2,0)</f>
        <v>10754</v>
      </c>
      <c r="AL1549" s="99">
        <f>ROUND(VLOOKUP(100,enemy_base_stats!$A:$F,4,FALSE)* AA1549* L1549*Q1549*G1549*U1549*AF1549*[2]ステータス!$D$2,0)</f>
        <v>0</v>
      </c>
      <c r="AM1549" s="97">
        <f>VLOOKUP(M1549,[2]character_tribe_i18n!$A:$I,9,FALSE)</f>
        <v>400</v>
      </c>
      <c r="AN1549" s="97">
        <v>0</v>
      </c>
      <c r="AO1549" s="98">
        <v>0</v>
      </c>
      <c r="AP1549" s="58" t="s">
        <v>72</v>
      </c>
      <c r="AQ1549" s="34">
        <f t="shared" si="94"/>
        <v>8064</v>
      </c>
    </row>
    <row r="1550" spans="1:43" ht="21" customHeight="1" x14ac:dyDescent="0.15">
      <c r="A1550" s="105">
        <v>8065</v>
      </c>
      <c r="B1550" s="6" t="str">
        <f>VLOOKUP(A1550,[2]characters!$A:$C,3,FALSE)</f>
        <v>クロミ</v>
      </c>
      <c r="C1550" s="9">
        <f>VLOOKUP(A1550,[2]characters!$A:$I,9,FALSE)</f>
        <v>3</v>
      </c>
      <c r="D1550" s="9" t="str">
        <f>VLOOKUP(A1550,[2]characters!$A:$H,8,FALSE)</f>
        <v>blue</v>
      </c>
      <c r="E1550" s="97">
        <f>VLOOKUP(D1550,[2]属性!$A:$E,2,FALSE)</f>
        <v>1</v>
      </c>
      <c r="F1550" s="97">
        <f>VLOOKUP(D1550,[2]属性!$A:$E,3,FALSE)</f>
        <v>0.98</v>
      </c>
      <c r="G1550" s="97">
        <f>VLOOKUP(D1550,[2]属性!$A:$F,4,FALSE)</f>
        <v>1</v>
      </c>
      <c r="H1550" s="9" t="str">
        <f>VLOOKUP(A1550,[2]characters!$A:$K,11,FALSE)</f>
        <v>technical</v>
      </c>
      <c r="I1550" s="6" t="str">
        <f>VLOOKUP(H1550,[2]character_type_i18n!$A:$F,3,FALSE)</f>
        <v>テクニカルタイプ</v>
      </c>
      <c r="J1550" s="106">
        <v>1</v>
      </c>
      <c r="K1550" s="106">
        <v>1</v>
      </c>
      <c r="L1550" s="106">
        <f>VLOOKUP(H1550,[2]character_type_i18n!$A:$F,6,FALSE)</f>
        <v>1</v>
      </c>
      <c r="M1550" s="9" t="s">
        <v>141</v>
      </c>
      <c r="N1550" s="6" t="str">
        <f>VLOOKUP(M1550,[2]character_tribe_i18n!$A:$F,3,FALSE)</f>
        <v>Unknown</v>
      </c>
      <c r="O1550" s="97">
        <f>VLOOKUP(M1550,[2]character_tribe_i18n!$A:$F,4,FALSE)</f>
        <v>1</v>
      </c>
      <c r="P1550" s="97">
        <f>VLOOKUP(M1550,[2]character_tribe_i18n!$A:$F,5,FALSE)</f>
        <v>1</v>
      </c>
      <c r="Q1550" s="97">
        <f>VLOOKUP(M1550,[2]character_tribe_i18n!$A:$F,6,FALSE)</f>
        <v>1</v>
      </c>
      <c r="R1550" s="98" t="s">
        <v>98</v>
      </c>
      <c r="S1550" s="97">
        <f>VLOOKUP($R1550,ラベル別係数!$A$1:$E$7,3,FALSE)</f>
        <v>5</v>
      </c>
      <c r="T1550" s="97">
        <f>VLOOKUP($R1550,ラベル別係数!$A$1:$E$7,4,FALSE)</f>
        <v>1.3</v>
      </c>
      <c r="U1550" s="97">
        <f>VLOOKUP($R1550,ラベル別係数!$A$1:$E$7,5,FALSE)</f>
        <v>0.8</v>
      </c>
      <c r="V1550" s="98">
        <v>3</v>
      </c>
      <c r="W1550" s="99">
        <f>VLOOKUP(V1550,ターン数別攻撃係数!$A$1:$B$1000,2,FALSE)</f>
        <v>1</v>
      </c>
      <c r="X1550" s="9">
        <f>VLOOKUP(C1550,サイズ別係数!A$2:B$9,2,FALSE)</f>
        <v>25</v>
      </c>
      <c r="Y1550" s="97">
        <f>VLOOKUP($X1550,サイズ別係数!$B:$E,2,FALSE)</f>
        <v>1.2</v>
      </c>
      <c r="Z1550" s="97">
        <f>VLOOKUP($X1550,サイズ別係数!$B:$E,3,FALSE)</f>
        <v>1.25</v>
      </c>
      <c r="AA1550" s="97">
        <f>VLOOKUP($X1550,サイズ別係数!$B:$E,4,FALSE)</f>
        <v>1.1499999999999999</v>
      </c>
      <c r="AB1550" s="10">
        <v>0</v>
      </c>
      <c r="AC1550" s="6" t="str">
        <f ca="1">VLOOKUP($AB1550,OFFSET([3]enemy_skill_sets!$B$2,0,0,COUNTA([3]enemy_skill_sets!$A:$A),MATCH(AC$1,[3]enemy_skill_sets!$1:$1,0)-MATCH($AB$1,[3]enemy_skill_sets!$1:$1,0)+1),MATCH(AC$1,[3]enemy_skill_sets!$1:$1,0)-MATCH($AB$1,[3]enemy_skill_sets!$1:$1,0)+1,FALSE)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0" s="67">
        <v>1</v>
      </c>
      <c r="AE1550" s="67">
        <v>1</v>
      </c>
      <c r="AF1550" s="68">
        <v>0</v>
      </c>
      <c r="AG1550" s="99">
        <f>ROUND(VLOOKUP(1,enemy_base_stats!$A:$F,2,FALSE) * Y1550* J1550*O1550*E1550*S1550*AD1550*[2]ステータス!$B$2,0)</f>
        <v>3000</v>
      </c>
      <c r="AH1550" s="99">
        <f>ROUND(VLOOKUP(1,enemy_base_stats!$A:$F,3,FALSE) * Z1550*K1550*P1550*F1550*T1550*AE1550 * W1550*[2]ステータス!$C$2,0)</f>
        <v>239</v>
      </c>
      <c r="AI1550" s="99">
        <f>ROUND(VLOOKUP(1,enemy_base_stats!$A:$F,4,FALSE) * AA1550*L1550*Q1550*G1550*U1550*AF1550*[2]ステータス!$D$2,0)</f>
        <v>0</v>
      </c>
      <c r="AJ1550" s="99">
        <f>ROUND(VLOOKUP(100,enemy_base_stats!$A:$F,2,FALSE) * Y1550* J1550*O1550*E1550*S1550*AD1550*[2]ステータス!$B$2,0)</f>
        <v>121800</v>
      </c>
      <c r="AK1550" s="99">
        <f>ROUND(VLOOKUP(100,enemy_base_stats!$A:$F,3,FALSE)* Z1550* K1550*P1550*F1550*T1550*AE1550 * W1550*[2]ステータス!$C$2,0)</f>
        <v>9698</v>
      </c>
      <c r="AL1550" s="99">
        <f>ROUND(VLOOKUP(100,enemy_base_stats!$A:$F,4,FALSE)* AA1550* L1550*Q1550*G1550*U1550*AF1550*[2]ステータス!$D$2,0)</f>
        <v>0</v>
      </c>
      <c r="AM1550" s="97">
        <f>VLOOKUP(M1550,[2]character_tribe_i18n!$A:$I,9,FALSE)</f>
        <v>340</v>
      </c>
      <c r="AN1550" s="97">
        <v>0</v>
      </c>
      <c r="AO1550" s="98">
        <v>0</v>
      </c>
      <c r="AP1550" s="58" t="s">
        <v>72</v>
      </c>
      <c r="AQ1550" s="34">
        <f t="shared" si="94"/>
        <v>8065</v>
      </c>
    </row>
    <row r="1551" spans="1:43" ht="21" customHeight="1" x14ac:dyDescent="0.15">
      <c r="A1551" s="105">
        <v>8066</v>
      </c>
      <c r="B1551" s="6" t="str">
        <f>VLOOKUP(A1551,[2]characters!$A:$C,3,FALSE)</f>
        <v>クロミ</v>
      </c>
      <c r="C1551" s="9">
        <f>VLOOKUP(A1551,[2]characters!$A:$I,9,FALSE)</f>
        <v>4</v>
      </c>
      <c r="D1551" s="9" t="str">
        <f>VLOOKUP(A1551,[2]characters!$A:$H,8,FALSE)</f>
        <v>blue</v>
      </c>
      <c r="E1551" s="97">
        <f>VLOOKUP(D1551,[2]属性!$A:$E,2,FALSE)</f>
        <v>1</v>
      </c>
      <c r="F1551" s="97">
        <f>VLOOKUP(D1551,[2]属性!$A:$E,3,FALSE)</f>
        <v>0.98</v>
      </c>
      <c r="G1551" s="97">
        <f>VLOOKUP(D1551,[2]属性!$A:$F,4,FALSE)</f>
        <v>1</v>
      </c>
      <c r="H1551" s="9" t="str">
        <f>VLOOKUP(A1551,[2]characters!$A:$K,11,FALSE)</f>
        <v>technical</v>
      </c>
      <c r="I1551" s="6" t="str">
        <f>VLOOKUP(H1551,[2]character_type_i18n!$A:$F,3,FALSE)</f>
        <v>テクニカルタイプ</v>
      </c>
      <c r="J1551" s="106">
        <v>1</v>
      </c>
      <c r="K1551" s="106">
        <v>1</v>
      </c>
      <c r="L1551" s="106">
        <f>VLOOKUP(H1551,[2]character_type_i18n!$A:$F,6,FALSE)</f>
        <v>1</v>
      </c>
      <c r="M1551" s="9" t="s">
        <v>141</v>
      </c>
      <c r="N1551" s="6" t="str">
        <f>VLOOKUP(M1551,[2]character_tribe_i18n!$A:$F,3,FALSE)</f>
        <v>Unknown</v>
      </c>
      <c r="O1551" s="97">
        <f>VLOOKUP(M1551,[2]character_tribe_i18n!$A:$F,4,FALSE)</f>
        <v>1</v>
      </c>
      <c r="P1551" s="97">
        <f>VLOOKUP(M1551,[2]character_tribe_i18n!$A:$F,5,FALSE)</f>
        <v>1</v>
      </c>
      <c r="Q1551" s="97">
        <f>VLOOKUP(M1551,[2]character_tribe_i18n!$A:$F,6,FALSE)</f>
        <v>1</v>
      </c>
      <c r="R1551" s="98" t="s">
        <v>98</v>
      </c>
      <c r="S1551" s="97">
        <f>VLOOKUP($R1551,ラベル別係数!$A$1:$E$7,3,FALSE)</f>
        <v>5</v>
      </c>
      <c r="T1551" s="97">
        <f>VLOOKUP($R1551,ラベル別係数!$A$1:$E$7,4,FALSE)</f>
        <v>1.3</v>
      </c>
      <c r="U1551" s="97">
        <f>VLOOKUP($R1551,ラベル別係数!$A$1:$E$7,5,FALSE)</f>
        <v>0.8</v>
      </c>
      <c r="V1551" s="98">
        <v>3</v>
      </c>
      <c r="W1551" s="99">
        <f>VLOOKUP(V1551,ターン数別攻撃係数!$A$1:$B$1000,2,FALSE)</f>
        <v>1</v>
      </c>
      <c r="X1551" s="9">
        <f>VLOOKUP(C1551,サイズ別係数!A$2:B$9,2,FALSE)</f>
        <v>30</v>
      </c>
      <c r="Y1551" s="97">
        <f>VLOOKUP($X1551,サイズ別係数!$B:$E,2,FALSE)</f>
        <v>1.3</v>
      </c>
      <c r="Z1551" s="97">
        <f>VLOOKUP($X1551,サイズ別係数!$B:$E,3,FALSE)</f>
        <v>1.3</v>
      </c>
      <c r="AA1551" s="97">
        <f>VLOOKUP($X1551,サイズ別係数!$B:$E,4,FALSE)</f>
        <v>1.1000000000000001</v>
      </c>
      <c r="AB1551" s="10">
        <v>0</v>
      </c>
      <c r="AC1551" s="6" t="str">
        <f ca="1">VLOOKUP($AB1551,OFFSET([3]enemy_skill_sets!$B$2,0,0,COUNTA([3]enemy_skill_sets!$A:$A),MATCH(AC$1,[3]enemy_skill_sets!$1:$1,0)-MATCH($AB$1,[3]enemy_skill_sets!$1:$1,0)+1),MATCH(AC$1,[3]enemy_skill_sets!$1:$1,0)-MATCH($AB$1,[3]enemy_skill_sets!$1:$1,0)+1,FALSE)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1" s="67">
        <v>1</v>
      </c>
      <c r="AE1551" s="67">
        <v>1</v>
      </c>
      <c r="AF1551" s="68">
        <v>0</v>
      </c>
      <c r="AG1551" s="99">
        <f>ROUND(VLOOKUP(1,enemy_base_stats!$A:$F,2,FALSE) * Y1551* J1551*O1551*E1551*S1551*AD1551*[2]ステータス!$B$2,0)</f>
        <v>3250</v>
      </c>
      <c r="AH1551" s="99">
        <f>ROUND(VLOOKUP(1,enemy_base_stats!$A:$F,3,FALSE) * Z1551*K1551*P1551*F1551*T1551*AE1551 * W1551*[2]ステータス!$C$2,0)</f>
        <v>248</v>
      </c>
      <c r="AI1551" s="99">
        <f>ROUND(VLOOKUP(1,enemy_base_stats!$A:$F,4,FALSE) * AA1551*L1551*Q1551*G1551*U1551*AF1551*[2]ステータス!$D$2,0)</f>
        <v>0</v>
      </c>
      <c r="AJ1551" s="99">
        <f>ROUND(VLOOKUP(100,enemy_base_stats!$A:$F,2,FALSE) * Y1551* J1551*O1551*E1551*S1551*AD1551*[2]ステータス!$B$2,0)</f>
        <v>131950</v>
      </c>
      <c r="AK1551" s="99">
        <f>ROUND(VLOOKUP(100,enemy_base_stats!$A:$F,3,FALSE)* Z1551* K1551*P1551*F1551*T1551*AE1551 * W1551*[2]ステータス!$C$2,0)</f>
        <v>10086</v>
      </c>
      <c r="AL1551" s="99">
        <f>ROUND(VLOOKUP(100,enemy_base_stats!$A:$F,4,FALSE)* AA1551* L1551*Q1551*G1551*U1551*AF1551*[2]ステータス!$D$2,0)</f>
        <v>0</v>
      </c>
      <c r="AM1551" s="97">
        <f>VLOOKUP(M1551,[2]character_tribe_i18n!$A:$I,9,FALSE)</f>
        <v>340</v>
      </c>
      <c r="AN1551" s="97">
        <v>0</v>
      </c>
      <c r="AO1551" s="98">
        <v>0</v>
      </c>
      <c r="AP1551" s="58" t="s">
        <v>72</v>
      </c>
      <c r="AQ1551" s="34">
        <f t="shared" si="94"/>
        <v>8066</v>
      </c>
    </row>
    <row r="1552" spans="1:43" ht="21" customHeight="1" x14ac:dyDescent="0.15">
      <c r="A1552" s="105">
        <v>8067</v>
      </c>
      <c r="B1552" s="6" t="str">
        <f>VLOOKUP(A1552,[2]characters!$A:$C,3,FALSE)</f>
        <v>バッドばつ丸</v>
      </c>
      <c r="C1552" s="9">
        <f>VLOOKUP(A1552,[2]characters!$A:$I,9,FALSE)</f>
        <v>3</v>
      </c>
      <c r="D1552" s="9" t="str">
        <f>VLOOKUP(A1552,[2]characters!$A:$H,8,FALSE)</f>
        <v>blue</v>
      </c>
      <c r="E1552" s="97">
        <f>VLOOKUP(D1552,[2]属性!$A:$E,2,FALSE)</f>
        <v>1</v>
      </c>
      <c r="F1552" s="97">
        <f>VLOOKUP(D1552,[2]属性!$A:$E,3,FALSE)</f>
        <v>0.98</v>
      </c>
      <c r="G1552" s="97">
        <f>VLOOKUP(D1552,[2]属性!$A:$F,4,FALSE)</f>
        <v>1</v>
      </c>
      <c r="H1552" s="9" t="str">
        <f>VLOOKUP(A1552,[2]characters!$A:$K,11,FALSE)</f>
        <v>attack</v>
      </c>
      <c r="I1552" s="6" t="str">
        <f>VLOOKUP(H1552,[2]character_type_i18n!$A:$F,3,FALSE)</f>
        <v>攻撃タイプ</v>
      </c>
      <c r="J1552" s="106">
        <v>1</v>
      </c>
      <c r="K1552" s="106">
        <v>1</v>
      </c>
      <c r="L1552" s="106">
        <f>VLOOKUP(H1552,[2]character_type_i18n!$A:$F,6,FALSE)</f>
        <v>1</v>
      </c>
      <c r="M1552" s="9" t="s">
        <v>141</v>
      </c>
      <c r="N1552" s="6" t="str">
        <f>VLOOKUP(M1552,[2]character_tribe_i18n!$A:$F,3,FALSE)</f>
        <v>Unknown</v>
      </c>
      <c r="O1552" s="97">
        <f>VLOOKUP(M1552,[2]character_tribe_i18n!$A:$F,4,FALSE)</f>
        <v>1</v>
      </c>
      <c r="P1552" s="97">
        <f>VLOOKUP(M1552,[2]character_tribe_i18n!$A:$F,5,FALSE)</f>
        <v>1</v>
      </c>
      <c r="Q1552" s="97">
        <f>VLOOKUP(M1552,[2]character_tribe_i18n!$A:$F,6,FALSE)</f>
        <v>1</v>
      </c>
      <c r="R1552" s="98" t="s">
        <v>98</v>
      </c>
      <c r="S1552" s="97">
        <f>VLOOKUP($R1552,ラベル別係数!$A$1:$E$7,3,FALSE)</f>
        <v>5</v>
      </c>
      <c r="T1552" s="97">
        <f>VLOOKUP($R1552,ラベル別係数!$A$1:$E$7,4,FALSE)</f>
        <v>1.3</v>
      </c>
      <c r="U1552" s="97">
        <f>VLOOKUP($R1552,ラベル別係数!$A$1:$E$7,5,FALSE)</f>
        <v>0.8</v>
      </c>
      <c r="V1552" s="98">
        <v>3</v>
      </c>
      <c r="W1552" s="99">
        <f>VLOOKUP(V1552,ターン数別攻撃係数!$A$1:$B$1000,2,FALSE)</f>
        <v>1</v>
      </c>
      <c r="X1552" s="9">
        <f>VLOOKUP(C1552,サイズ別係数!A$2:B$9,2,FALSE)</f>
        <v>25</v>
      </c>
      <c r="Y1552" s="97">
        <f>VLOOKUP($X1552,サイズ別係数!$B:$E,2,FALSE)</f>
        <v>1.2</v>
      </c>
      <c r="Z1552" s="97">
        <f>VLOOKUP($X1552,サイズ別係数!$B:$E,3,FALSE)</f>
        <v>1.25</v>
      </c>
      <c r="AA1552" s="97">
        <f>VLOOKUP($X1552,サイズ別係数!$B:$E,4,FALSE)</f>
        <v>1.1499999999999999</v>
      </c>
      <c r="AB1552" s="10">
        <v>0</v>
      </c>
      <c r="AC1552" s="6" t="str">
        <f ca="1">VLOOKUP($AB1552,OFFSET([3]enemy_skill_sets!$B$2,0,0,COUNTA([3]enemy_skill_sets!$A:$A),MATCH(AC$1,[3]enemy_skill_sets!$1:$1,0)-MATCH($AB$1,[3]enemy_skill_sets!$1:$1,0)+1),MATCH(AC$1,[3]enemy_skill_sets!$1:$1,0)-MATCH($AB$1,[3]enemy_skill_sets!$1:$1,0)+1,FALSE)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2" s="67">
        <v>1</v>
      </c>
      <c r="AE1552" s="67">
        <v>1</v>
      </c>
      <c r="AF1552" s="68">
        <v>0</v>
      </c>
      <c r="AG1552" s="99">
        <f>ROUND(VLOOKUP(1,enemy_base_stats!$A:$F,2,FALSE) * Y1552* J1552*O1552*E1552*S1552*AD1552*[2]ステータス!$B$2,0)</f>
        <v>3000</v>
      </c>
      <c r="AH1552" s="99">
        <f>ROUND(VLOOKUP(1,enemy_base_stats!$A:$F,3,FALSE) * Z1552*K1552*P1552*F1552*T1552*AE1552 * W1552*[2]ステータス!$C$2,0)</f>
        <v>239</v>
      </c>
      <c r="AI1552" s="99">
        <f>ROUND(VLOOKUP(1,enemy_base_stats!$A:$F,4,FALSE) * AA1552*L1552*Q1552*G1552*U1552*AF1552*[2]ステータス!$D$2,0)</f>
        <v>0</v>
      </c>
      <c r="AJ1552" s="99">
        <f>ROUND(VLOOKUP(100,enemy_base_stats!$A:$F,2,FALSE) * Y1552* J1552*O1552*E1552*S1552*AD1552*[2]ステータス!$B$2,0)</f>
        <v>121800</v>
      </c>
      <c r="AK1552" s="99">
        <f>ROUND(VLOOKUP(100,enemy_base_stats!$A:$F,3,FALSE)* Z1552* K1552*P1552*F1552*T1552*AE1552 * W1552*[2]ステータス!$C$2,0)</f>
        <v>9698</v>
      </c>
      <c r="AL1552" s="99">
        <f>ROUND(VLOOKUP(100,enemy_base_stats!$A:$F,4,FALSE)* AA1552* L1552*Q1552*G1552*U1552*AF1552*[2]ステータス!$D$2,0)</f>
        <v>0</v>
      </c>
      <c r="AM1552" s="97">
        <f>VLOOKUP(M1552,[2]character_tribe_i18n!$A:$I,9,FALSE)</f>
        <v>340</v>
      </c>
      <c r="AN1552" s="97">
        <v>0</v>
      </c>
      <c r="AO1552" s="98">
        <v>0</v>
      </c>
      <c r="AP1552" s="58" t="s">
        <v>72</v>
      </c>
      <c r="AQ1552" s="34">
        <f t="shared" si="94"/>
        <v>8067</v>
      </c>
    </row>
    <row r="1553" spans="1:43" ht="21" customHeight="1" x14ac:dyDescent="0.15">
      <c r="A1553" s="105">
        <v>8068</v>
      </c>
      <c r="B1553" s="6" t="str">
        <f>VLOOKUP(A1553,[2]characters!$A:$C,3,FALSE)</f>
        <v>バッドばつ丸</v>
      </c>
      <c r="C1553" s="9">
        <f>VLOOKUP(A1553,[2]characters!$A:$I,9,FALSE)</f>
        <v>4</v>
      </c>
      <c r="D1553" s="9" t="str">
        <f>VLOOKUP(A1553,[2]characters!$A:$H,8,FALSE)</f>
        <v>blue</v>
      </c>
      <c r="E1553" s="97">
        <f>VLOOKUP(D1553,[2]属性!$A:$E,2,FALSE)</f>
        <v>1</v>
      </c>
      <c r="F1553" s="97">
        <f>VLOOKUP(D1553,[2]属性!$A:$E,3,FALSE)</f>
        <v>0.98</v>
      </c>
      <c r="G1553" s="97">
        <f>VLOOKUP(D1553,[2]属性!$A:$F,4,FALSE)</f>
        <v>1</v>
      </c>
      <c r="H1553" s="9" t="str">
        <f>VLOOKUP(A1553,[2]characters!$A:$K,11,FALSE)</f>
        <v>attack</v>
      </c>
      <c r="I1553" s="6" t="str">
        <f>VLOOKUP(H1553,[2]character_type_i18n!$A:$F,3,FALSE)</f>
        <v>攻撃タイプ</v>
      </c>
      <c r="J1553" s="106">
        <v>1</v>
      </c>
      <c r="K1553" s="106">
        <v>1</v>
      </c>
      <c r="L1553" s="106">
        <f>VLOOKUP(H1553,[2]character_type_i18n!$A:$F,6,FALSE)</f>
        <v>1</v>
      </c>
      <c r="M1553" s="9" t="s">
        <v>141</v>
      </c>
      <c r="N1553" s="6" t="str">
        <f>VLOOKUP(M1553,[2]character_tribe_i18n!$A:$F,3,FALSE)</f>
        <v>Unknown</v>
      </c>
      <c r="O1553" s="97">
        <f>VLOOKUP(M1553,[2]character_tribe_i18n!$A:$F,4,FALSE)</f>
        <v>1</v>
      </c>
      <c r="P1553" s="97">
        <f>VLOOKUP(M1553,[2]character_tribe_i18n!$A:$F,5,FALSE)</f>
        <v>1</v>
      </c>
      <c r="Q1553" s="97">
        <f>VLOOKUP(M1553,[2]character_tribe_i18n!$A:$F,6,FALSE)</f>
        <v>1</v>
      </c>
      <c r="R1553" s="98" t="s">
        <v>98</v>
      </c>
      <c r="S1553" s="97">
        <f>VLOOKUP($R1553,ラベル別係数!$A$1:$E$7,3,FALSE)</f>
        <v>5</v>
      </c>
      <c r="T1553" s="97">
        <f>VLOOKUP($R1553,ラベル別係数!$A$1:$E$7,4,FALSE)</f>
        <v>1.3</v>
      </c>
      <c r="U1553" s="97">
        <f>VLOOKUP($R1553,ラベル別係数!$A$1:$E$7,5,FALSE)</f>
        <v>0.8</v>
      </c>
      <c r="V1553" s="98">
        <v>3</v>
      </c>
      <c r="W1553" s="99">
        <f>VLOOKUP(V1553,ターン数別攻撃係数!$A$1:$B$1000,2,FALSE)</f>
        <v>1</v>
      </c>
      <c r="X1553" s="9">
        <f>VLOOKUP(C1553,サイズ別係数!A$2:B$9,2,FALSE)</f>
        <v>30</v>
      </c>
      <c r="Y1553" s="97">
        <f>VLOOKUP($X1553,サイズ別係数!$B:$E,2,FALSE)</f>
        <v>1.3</v>
      </c>
      <c r="Z1553" s="97">
        <f>VLOOKUP($X1553,サイズ別係数!$B:$E,3,FALSE)</f>
        <v>1.3</v>
      </c>
      <c r="AA1553" s="97">
        <f>VLOOKUP($X1553,サイズ別係数!$B:$E,4,FALSE)</f>
        <v>1.1000000000000001</v>
      </c>
      <c r="AB1553" s="10">
        <v>0</v>
      </c>
      <c r="AC1553" s="6" t="str">
        <f ca="1">VLOOKUP($AB1553,OFFSET([3]enemy_skill_sets!$B$2,0,0,COUNTA([3]enemy_skill_sets!$A:$A),MATCH(AC$1,[3]enemy_skill_sets!$1:$1,0)-MATCH($AB$1,[3]enemy_skill_sets!$1:$1,0)+1),MATCH(AC$1,[3]enemy_skill_sets!$1:$1,0)-MATCH($AB$1,[3]enemy_skill_sets!$1:$1,0)+1,FALSE)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3" s="67">
        <v>1</v>
      </c>
      <c r="AE1553" s="67">
        <v>1</v>
      </c>
      <c r="AF1553" s="68">
        <v>0</v>
      </c>
      <c r="AG1553" s="99">
        <f>ROUND(VLOOKUP(1,enemy_base_stats!$A:$F,2,FALSE) * Y1553* J1553*O1553*E1553*S1553*AD1553*[2]ステータス!$B$2,0)</f>
        <v>3250</v>
      </c>
      <c r="AH1553" s="99">
        <f>ROUND(VLOOKUP(1,enemy_base_stats!$A:$F,3,FALSE) * Z1553*K1553*P1553*F1553*T1553*AE1553 * W1553*[2]ステータス!$C$2,0)</f>
        <v>248</v>
      </c>
      <c r="AI1553" s="99">
        <f>ROUND(VLOOKUP(1,enemy_base_stats!$A:$F,4,FALSE) * AA1553*L1553*Q1553*G1553*U1553*AF1553*[2]ステータス!$D$2,0)</f>
        <v>0</v>
      </c>
      <c r="AJ1553" s="99">
        <f>ROUND(VLOOKUP(100,enemy_base_stats!$A:$F,2,FALSE) * Y1553* J1553*O1553*E1553*S1553*AD1553*[2]ステータス!$B$2,0)</f>
        <v>131950</v>
      </c>
      <c r="AK1553" s="99">
        <f>ROUND(VLOOKUP(100,enemy_base_stats!$A:$F,3,FALSE)* Z1553* K1553*P1553*F1553*T1553*AE1553 * W1553*[2]ステータス!$C$2,0)</f>
        <v>10086</v>
      </c>
      <c r="AL1553" s="99">
        <f>ROUND(VLOOKUP(100,enemy_base_stats!$A:$F,4,FALSE)* AA1553* L1553*Q1553*G1553*U1553*AF1553*[2]ステータス!$D$2,0)</f>
        <v>0</v>
      </c>
      <c r="AM1553" s="97">
        <f>VLOOKUP(M1553,[2]character_tribe_i18n!$A:$I,9,FALSE)</f>
        <v>340</v>
      </c>
      <c r="AN1553" s="97">
        <v>0</v>
      </c>
      <c r="AO1553" s="98">
        <v>0</v>
      </c>
      <c r="AP1553" s="58" t="s">
        <v>72</v>
      </c>
      <c r="AQ1553" s="34">
        <f t="shared" si="94"/>
        <v>8068</v>
      </c>
    </row>
    <row r="1554" spans="1:43" ht="21" customHeight="1" x14ac:dyDescent="0.15">
      <c r="A1554" s="105">
        <v>8069</v>
      </c>
      <c r="B1554" s="6" t="str">
        <f>VLOOKUP(A1554,[2]characters!$A:$C,3,FALSE)</f>
        <v>シナモロール</v>
      </c>
      <c r="C1554" s="9">
        <f>VLOOKUP(A1554,[2]characters!$A:$I,9,FALSE)</f>
        <v>4</v>
      </c>
      <c r="D1554" s="9" t="str">
        <f>VLOOKUP(A1554,[2]characters!$A:$H,8,FALSE)</f>
        <v>yellow</v>
      </c>
      <c r="E1554" s="97">
        <f>VLOOKUP(D1554,[2]属性!$A:$E,2,FALSE)</f>
        <v>0.98</v>
      </c>
      <c r="F1554" s="97">
        <f>VLOOKUP(D1554,[2]属性!$A:$E,3,FALSE)</f>
        <v>1.01</v>
      </c>
      <c r="G1554" s="97">
        <f>VLOOKUP(D1554,[2]属性!$A:$F,4,FALSE)</f>
        <v>1</v>
      </c>
      <c r="H1554" s="9" t="str">
        <f>VLOOKUP(A1554,[2]characters!$A:$K,11,FALSE)</f>
        <v>heal</v>
      </c>
      <c r="I1554" s="6" t="str">
        <f>VLOOKUP(H1554,[2]character_type_i18n!$A:$F,3,FALSE)</f>
        <v>回復タイプ</v>
      </c>
      <c r="J1554" s="106">
        <v>1</v>
      </c>
      <c r="K1554" s="106">
        <v>1</v>
      </c>
      <c r="L1554" s="106">
        <f>VLOOKUP(H1554,[2]character_type_i18n!$A:$F,6,FALSE)</f>
        <v>1</v>
      </c>
      <c r="M1554" s="9" t="s">
        <v>141</v>
      </c>
      <c r="N1554" s="6" t="str">
        <f>VLOOKUP(M1554,[2]character_tribe_i18n!$A:$F,3,FALSE)</f>
        <v>Unknown</v>
      </c>
      <c r="O1554" s="97">
        <f>VLOOKUP(M1554,[2]character_tribe_i18n!$A:$F,4,FALSE)</f>
        <v>1</v>
      </c>
      <c r="P1554" s="97">
        <f>VLOOKUP(M1554,[2]character_tribe_i18n!$A:$F,5,FALSE)</f>
        <v>1</v>
      </c>
      <c r="Q1554" s="97">
        <f>VLOOKUP(M1554,[2]character_tribe_i18n!$A:$F,6,FALSE)</f>
        <v>1</v>
      </c>
      <c r="R1554" s="98" t="s">
        <v>98</v>
      </c>
      <c r="S1554" s="97">
        <f>VLOOKUP($R1554,ラベル別係数!$A$1:$E$7,3,FALSE)</f>
        <v>5</v>
      </c>
      <c r="T1554" s="97">
        <f>VLOOKUP($R1554,ラベル別係数!$A$1:$E$7,4,FALSE)</f>
        <v>1.3</v>
      </c>
      <c r="U1554" s="97">
        <f>VLOOKUP($R1554,ラベル別係数!$A$1:$E$7,5,FALSE)</f>
        <v>0.8</v>
      </c>
      <c r="V1554" s="98">
        <v>3</v>
      </c>
      <c r="W1554" s="99">
        <f>VLOOKUP(V1554,ターン数別攻撃係数!$A$1:$B$1000,2,FALSE)</f>
        <v>1</v>
      </c>
      <c r="X1554" s="9">
        <f>VLOOKUP(C1554,サイズ別係数!A$2:B$9,2,FALSE)</f>
        <v>30</v>
      </c>
      <c r="Y1554" s="97">
        <f>VLOOKUP($X1554,サイズ別係数!$B:$E,2,FALSE)</f>
        <v>1.3</v>
      </c>
      <c r="Z1554" s="97">
        <f>VLOOKUP($X1554,サイズ別係数!$B:$E,3,FALSE)</f>
        <v>1.3</v>
      </c>
      <c r="AA1554" s="97">
        <f>VLOOKUP($X1554,サイズ別係数!$B:$E,4,FALSE)</f>
        <v>1.1000000000000001</v>
      </c>
      <c r="AB1554" s="10">
        <v>0</v>
      </c>
      <c r="AC1554" s="6" t="str">
        <f ca="1">VLOOKUP($AB1554,OFFSET([3]enemy_skill_sets!$B$2,0,0,COUNTA([3]enemy_skill_sets!$A:$A),MATCH(AC$1,[3]enemy_skill_sets!$1:$1,0)-MATCH($AB$1,[3]enemy_skill_sets!$1:$1,0)+1),MATCH(AC$1,[3]enemy_skill_sets!$1:$1,0)-MATCH($AB$1,[3]enemy_skill_sets!$1:$1,0)+1,FALSE)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4" s="67">
        <v>1</v>
      </c>
      <c r="AE1554" s="67">
        <v>1</v>
      </c>
      <c r="AF1554" s="68">
        <v>0</v>
      </c>
      <c r="AG1554" s="99">
        <f>ROUND(VLOOKUP(1,enemy_base_stats!$A:$F,2,FALSE) * Y1554* J1554*O1554*E1554*S1554*AD1554*[2]ステータス!$B$2,0)</f>
        <v>3185</v>
      </c>
      <c r="AH1554" s="99">
        <f>ROUND(VLOOKUP(1,enemy_base_stats!$A:$F,3,FALSE) * Z1554*K1554*P1554*F1554*T1554*AE1554 * W1554*[2]ステータス!$C$2,0)</f>
        <v>256</v>
      </c>
      <c r="AI1554" s="99">
        <f>ROUND(VLOOKUP(1,enemy_base_stats!$A:$F,4,FALSE) * AA1554*L1554*Q1554*G1554*U1554*AF1554*[2]ステータス!$D$2,0)</f>
        <v>0</v>
      </c>
      <c r="AJ1554" s="99">
        <f>ROUND(VLOOKUP(100,enemy_base_stats!$A:$F,2,FALSE) * Y1554* J1554*O1554*E1554*S1554*AD1554*[2]ステータス!$B$2,0)</f>
        <v>129311</v>
      </c>
      <c r="AK1554" s="99">
        <f>ROUND(VLOOKUP(100,enemy_base_stats!$A:$F,3,FALSE)* Z1554* K1554*P1554*F1554*T1554*AE1554 * W1554*[2]ステータス!$C$2,0)</f>
        <v>10395</v>
      </c>
      <c r="AL1554" s="99">
        <f>ROUND(VLOOKUP(100,enemy_base_stats!$A:$F,4,FALSE)* AA1554* L1554*Q1554*G1554*U1554*AF1554*[2]ステータス!$D$2,0)</f>
        <v>0</v>
      </c>
      <c r="AM1554" s="97">
        <f>VLOOKUP(M1554,[2]character_tribe_i18n!$A:$I,9,FALSE)</f>
        <v>340</v>
      </c>
      <c r="AN1554" s="97">
        <v>0</v>
      </c>
      <c r="AO1554" s="98">
        <v>0</v>
      </c>
      <c r="AP1554" s="58" t="s">
        <v>72</v>
      </c>
      <c r="AQ1554" s="34">
        <f t="shared" si="94"/>
        <v>8069</v>
      </c>
    </row>
    <row r="1555" spans="1:43" ht="21" customHeight="1" x14ac:dyDescent="0.15">
      <c r="A1555" s="105">
        <v>8070</v>
      </c>
      <c r="B1555" s="6" t="str">
        <f>VLOOKUP(A1555,[2]characters!$A:$C,3,FALSE)</f>
        <v>シナモロール</v>
      </c>
      <c r="C1555" s="9">
        <f>VLOOKUP(A1555,[2]characters!$A:$I,9,FALSE)</f>
        <v>5</v>
      </c>
      <c r="D1555" s="9" t="str">
        <f>VLOOKUP(A1555,[2]characters!$A:$H,8,FALSE)</f>
        <v>yellow</v>
      </c>
      <c r="E1555" s="97">
        <f>VLOOKUP(D1555,[2]属性!$A:$E,2,FALSE)</f>
        <v>0.98</v>
      </c>
      <c r="F1555" s="97">
        <f>VLOOKUP(D1555,[2]属性!$A:$E,3,FALSE)</f>
        <v>1.01</v>
      </c>
      <c r="G1555" s="97">
        <f>VLOOKUP(D1555,[2]属性!$A:$F,4,FALSE)</f>
        <v>1</v>
      </c>
      <c r="H1555" s="9" t="str">
        <f>VLOOKUP(A1555,[2]characters!$A:$K,11,FALSE)</f>
        <v>heal</v>
      </c>
      <c r="I1555" s="6" t="str">
        <f>VLOOKUP(H1555,[2]character_type_i18n!$A:$F,3,FALSE)</f>
        <v>回復タイプ</v>
      </c>
      <c r="J1555" s="106">
        <v>1</v>
      </c>
      <c r="K1555" s="106">
        <v>1</v>
      </c>
      <c r="L1555" s="106">
        <f>VLOOKUP(H1555,[2]character_type_i18n!$A:$F,6,FALSE)</f>
        <v>1</v>
      </c>
      <c r="M1555" s="9" t="s">
        <v>141</v>
      </c>
      <c r="N1555" s="6" t="str">
        <f>VLOOKUP(M1555,[2]character_tribe_i18n!$A:$F,3,FALSE)</f>
        <v>Unknown</v>
      </c>
      <c r="O1555" s="97">
        <f>VLOOKUP(M1555,[2]character_tribe_i18n!$A:$F,4,FALSE)</f>
        <v>1</v>
      </c>
      <c r="P1555" s="97">
        <f>VLOOKUP(M1555,[2]character_tribe_i18n!$A:$F,5,FALSE)</f>
        <v>1</v>
      </c>
      <c r="Q1555" s="97">
        <f>VLOOKUP(M1555,[2]character_tribe_i18n!$A:$F,6,FALSE)</f>
        <v>1</v>
      </c>
      <c r="R1555" s="98" t="s">
        <v>98</v>
      </c>
      <c r="S1555" s="97">
        <f>VLOOKUP($R1555,ラベル別係数!$A$1:$E$7,3,FALSE)</f>
        <v>5</v>
      </c>
      <c r="T1555" s="97">
        <f>VLOOKUP($R1555,ラベル別係数!$A$1:$E$7,4,FALSE)</f>
        <v>1.3</v>
      </c>
      <c r="U1555" s="97">
        <f>VLOOKUP($R1555,ラベル別係数!$A$1:$E$7,5,FALSE)</f>
        <v>0.8</v>
      </c>
      <c r="V1555" s="98">
        <v>3</v>
      </c>
      <c r="W1555" s="99">
        <f>VLOOKUP(V1555,ターン数別攻撃係数!$A$1:$B$1000,2,FALSE)</f>
        <v>1</v>
      </c>
      <c r="X1555" s="9">
        <f>VLOOKUP(C1555,サイズ別係数!A$2:B$9,2,FALSE)</f>
        <v>60</v>
      </c>
      <c r="Y1555" s="97">
        <f>VLOOKUP($X1555,サイズ別係数!$B:$E,2,FALSE)</f>
        <v>1.7</v>
      </c>
      <c r="Z1555" s="97">
        <f>VLOOKUP($X1555,サイズ別係数!$B:$E,3,FALSE)</f>
        <v>1.4</v>
      </c>
      <c r="AA1555" s="97">
        <f>VLOOKUP($X1555,サイズ別係数!$B:$E,4,FALSE)</f>
        <v>1</v>
      </c>
      <c r="AB1555" s="10">
        <v>0</v>
      </c>
      <c r="AC1555" s="6" t="str">
        <f ca="1">VLOOKUP($AB1555,OFFSET([3]enemy_skill_sets!$B$2,0,0,COUNTA([3]enemy_skill_sets!$A:$A),MATCH(AC$1,[3]enemy_skill_sets!$1:$1,0)-MATCH($AB$1,[3]enemy_skill_sets!$1:$1,0)+1),MATCH(AC$1,[3]enemy_skill_sets!$1:$1,0)-MATCH($AB$1,[3]enemy_skill_sets!$1:$1,0)+1,FALSE)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5" s="67">
        <v>1</v>
      </c>
      <c r="AE1555" s="67">
        <v>1</v>
      </c>
      <c r="AF1555" s="68">
        <v>0</v>
      </c>
      <c r="AG1555" s="99">
        <f>ROUND(VLOOKUP(1,enemy_base_stats!$A:$F,2,FALSE) * Y1555* J1555*O1555*E1555*S1555*AD1555*[2]ステータス!$B$2,0)</f>
        <v>4165</v>
      </c>
      <c r="AH1555" s="99">
        <f>ROUND(VLOOKUP(1,enemy_base_stats!$A:$F,3,FALSE) * Z1555*K1555*P1555*F1555*T1555*AE1555 * W1555*[2]ステータス!$C$2,0)</f>
        <v>276</v>
      </c>
      <c r="AI1555" s="99">
        <f>ROUND(VLOOKUP(1,enemy_base_stats!$A:$F,4,FALSE) * AA1555*L1555*Q1555*G1555*U1555*AF1555*[2]ステータス!$D$2,0)</f>
        <v>0</v>
      </c>
      <c r="AJ1555" s="99">
        <f>ROUND(VLOOKUP(100,enemy_base_stats!$A:$F,2,FALSE) * Y1555* J1555*O1555*E1555*S1555*AD1555*[2]ステータス!$B$2,0)</f>
        <v>169099</v>
      </c>
      <c r="AK1555" s="99">
        <f>ROUND(VLOOKUP(100,enemy_base_stats!$A:$F,3,FALSE)* Z1555* K1555*P1555*F1555*T1555*AE1555 * W1555*[2]ステータス!$C$2,0)</f>
        <v>11195</v>
      </c>
      <c r="AL1555" s="99">
        <f>ROUND(VLOOKUP(100,enemy_base_stats!$A:$F,4,FALSE)* AA1555* L1555*Q1555*G1555*U1555*AF1555*[2]ステータス!$D$2,0)</f>
        <v>0</v>
      </c>
      <c r="AM1555" s="97">
        <f>VLOOKUP(M1555,[2]character_tribe_i18n!$A:$I,9,FALSE)</f>
        <v>340</v>
      </c>
      <c r="AN1555" s="97">
        <v>0</v>
      </c>
      <c r="AO1555" s="98">
        <v>0</v>
      </c>
      <c r="AP1555" s="58" t="s">
        <v>72</v>
      </c>
      <c r="AQ1555" s="34">
        <f t="shared" si="94"/>
        <v>8070</v>
      </c>
    </row>
    <row r="1556" spans="1:43" ht="21" customHeight="1" x14ac:dyDescent="0.15">
      <c r="A1556" s="105">
        <v>8071</v>
      </c>
      <c r="B1556" s="6" t="str">
        <f>VLOOKUP(A1556,[2]characters!$A:$C,3,FALSE)</f>
        <v>ポムポムプリン</v>
      </c>
      <c r="C1556" s="9">
        <f>VLOOKUP(A1556,[2]characters!$A:$I,9,FALSE)</f>
        <v>3</v>
      </c>
      <c r="D1556" s="9" t="str">
        <f>VLOOKUP(A1556,[2]characters!$A:$H,8,FALSE)</f>
        <v>yellow</v>
      </c>
      <c r="E1556" s="97">
        <f>VLOOKUP(D1556,[2]属性!$A:$E,2,FALSE)</f>
        <v>0.98</v>
      </c>
      <c r="F1556" s="97">
        <f>VLOOKUP(D1556,[2]属性!$A:$E,3,FALSE)</f>
        <v>1.01</v>
      </c>
      <c r="G1556" s="97">
        <f>VLOOKUP(D1556,[2]属性!$A:$F,4,FALSE)</f>
        <v>1</v>
      </c>
      <c r="H1556" s="9" t="str">
        <f>VLOOKUP(A1556,[2]characters!$A:$K,11,FALSE)</f>
        <v>hp</v>
      </c>
      <c r="I1556" s="6" t="str">
        <f>VLOOKUP(H1556,[2]character_type_i18n!$A:$F,3,FALSE)</f>
        <v>体力タイプ</v>
      </c>
      <c r="J1556" s="106">
        <v>1</v>
      </c>
      <c r="K1556" s="106">
        <v>1</v>
      </c>
      <c r="L1556" s="106">
        <f>VLOOKUP(H1556,[2]character_type_i18n!$A:$F,6,FALSE)</f>
        <v>1</v>
      </c>
      <c r="M1556" s="9" t="s">
        <v>141</v>
      </c>
      <c r="N1556" s="6" t="str">
        <f>VLOOKUP(M1556,[2]character_tribe_i18n!$A:$F,3,FALSE)</f>
        <v>Unknown</v>
      </c>
      <c r="O1556" s="97">
        <f>VLOOKUP(M1556,[2]character_tribe_i18n!$A:$F,4,FALSE)</f>
        <v>1</v>
      </c>
      <c r="P1556" s="97">
        <f>VLOOKUP(M1556,[2]character_tribe_i18n!$A:$F,5,FALSE)</f>
        <v>1</v>
      </c>
      <c r="Q1556" s="97">
        <f>VLOOKUP(M1556,[2]character_tribe_i18n!$A:$F,6,FALSE)</f>
        <v>1</v>
      </c>
      <c r="R1556" s="98" t="s">
        <v>98</v>
      </c>
      <c r="S1556" s="97">
        <f>VLOOKUP($R1556,ラベル別係数!$A$1:$E$7,3,FALSE)</f>
        <v>5</v>
      </c>
      <c r="T1556" s="97">
        <f>VLOOKUP($R1556,ラベル別係数!$A$1:$E$7,4,FALSE)</f>
        <v>1.3</v>
      </c>
      <c r="U1556" s="97">
        <f>VLOOKUP($R1556,ラベル別係数!$A$1:$E$7,5,FALSE)</f>
        <v>0.8</v>
      </c>
      <c r="V1556" s="98">
        <v>3</v>
      </c>
      <c r="W1556" s="99">
        <f>VLOOKUP(V1556,ターン数別攻撃係数!$A$1:$B$1000,2,FALSE)</f>
        <v>1</v>
      </c>
      <c r="X1556" s="9">
        <f>VLOOKUP(C1556,サイズ別係数!A$2:B$9,2,FALSE)</f>
        <v>25</v>
      </c>
      <c r="Y1556" s="97">
        <f>VLOOKUP($X1556,サイズ別係数!$B:$E,2,FALSE)</f>
        <v>1.2</v>
      </c>
      <c r="Z1556" s="97">
        <f>VLOOKUP($X1556,サイズ別係数!$B:$E,3,FALSE)</f>
        <v>1.25</v>
      </c>
      <c r="AA1556" s="97">
        <f>VLOOKUP($X1556,サイズ別係数!$B:$E,4,FALSE)</f>
        <v>1.1499999999999999</v>
      </c>
      <c r="AB1556" s="10">
        <v>0</v>
      </c>
      <c r="AC1556" s="6" t="str">
        <f ca="1">VLOOKUP($AB1556,OFFSET([3]enemy_skill_sets!$B$2,0,0,COUNTA([3]enemy_skill_sets!$A:$A),MATCH(AC$1,[3]enemy_skill_sets!$1:$1,0)-MATCH($AB$1,[3]enemy_skill_sets!$1:$1,0)+1),MATCH(AC$1,[3]enemy_skill_sets!$1:$1,0)-MATCH($AB$1,[3]enemy_skill_sets!$1:$1,0)+1,FALSE)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6" s="67">
        <v>1</v>
      </c>
      <c r="AE1556" s="67">
        <v>1</v>
      </c>
      <c r="AF1556" s="68">
        <v>0</v>
      </c>
      <c r="AG1556" s="99">
        <f>ROUND(VLOOKUP(1,enemy_base_stats!$A:$F,2,FALSE) * Y1556* J1556*O1556*E1556*S1556*AD1556*[2]ステータス!$B$2,0)</f>
        <v>2940</v>
      </c>
      <c r="AH1556" s="99">
        <f>ROUND(VLOOKUP(1,enemy_base_stats!$A:$F,3,FALSE) * Z1556*K1556*P1556*F1556*T1556*AE1556 * W1556*[2]ステータス!$C$2,0)</f>
        <v>246</v>
      </c>
      <c r="AI1556" s="99">
        <f>ROUND(VLOOKUP(1,enemy_base_stats!$A:$F,4,FALSE) * AA1556*L1556*Q1556*G1556*U1556*AF1556*[2]ステータス!$D$2,0)</f>
        <v>0</v>
      </c>
      <c r="AJ1556" s="99">
        <f>ROUND(VLOOKUP(100,enemy_base_stats!$A:$F,2,FALSE) * Y1556* J1556*O1556*E1556*S1556*AD1556*[2]ステータス!$B$2,0)</f>
        <v>119364</v>
      </c>
      <c r="AK1556" s="99">
        <f>ROUND(VLOOKUP(100,enemy_base_stats!$A:$F,3,FALSE)* Z1556* K1556*P1556*F1556*T1556*AE1556 * W1556*[2]ステータス!$C$2,0)</f>
        <v>9995</v>
      </c>
      <c r="AL1556" s="99">
        <f>ROUND(VLOOKUP(100,enemy_base_stats!$A:$F,4,FALSE)* AA1556* L1556*Q1556*G1556*U1556*AF1556*[2]ステータス!$D$2,0)</f>
        <v>0</v>
      </c>
      <c r="AM1556" s="97">
        <f>VLOOKUP(M1556,[2]character_tribe_i18n!$A:$I,9,FALSE)</f>
        <v>340</v>
      </c>
      <c r="AN1556" s="97">
        <v>0</v>
      </c>
      <c r="AO1556" s="98">
        <v>0</v>
      </c>
      <c r="AP1556" s="58" t="s">
        <v>72</v>
      </c>
      <c r="AQ1556" s="34">
        <f t="shared" si="94"/>
        <v>8071</v>
      </c>
    </row>
    <row r="1557" spans="1:43" ht="21" customHeight="1" x14ac:dyDescent="0.15">
      <c r="A1557" s="105">
        <v>8072</v>
      </c>
      <c r="B1557" s="6" t="str">
        <f>VLOOKUP(A1557,[2]characters!$A:$C,3,FALSE)</f>
        <v>ポムポムプリン</v>
      </c>
      <c r="C1557" s="9">
        <f>VLOOKUP(A1557,[2]characters!$A:$I,9,FALSE)</f>
        <v>4</v>
      </c>
      <c r="D1557" s="9" t="str">
        <f>VLOOKUP(A1557,[2]characters!$A:$H,8,FALSE)</f>
        <v>yellow</v>
      </c>
      <c r="E1557" s="97">
        <f>VLOOKUP(D1557,[2]属性!$A:$E,2,FALSE)</f>
        <v>0.98</v>
      </c>
      <c r="F1557" s="97">
        <f>VLOOKUP(D1557,[2]属性!$A:$E,3,FALSE)</f>
        <v>1.01</v>
      </c>
      <c r="G1557" s="97">
        <f>VLOOKUP(D1557,[2]属性!$A:$F,4,FALSE)</f>
        <v>1</v>
      </c>
      <c r="H1557" s="9" t="str">
        <f>VLOOKUP(A1557,[2]characters!$A:$K,11,FALSE)</f>
        <v>hp</v>
      </c>
      <c r="I1557" s="6" t="str">
        <f>VLOOKUP(H1557,[2]character_type_i18n!$A:$F,3,FALSE)</f>
        <v>体力タイプ</v>
      </c>
      <c r="J1557" s="106">
        <v>1</v>
      </c>
      <c r="K1557" s="106">
        <v>1</v>
      </c>
      <c r="L1557" s="106">
        <f>VLOOKUP(H1557,[2]character_type_i18n!$A:$F,6,FALSE)</f>
        <v>1</v>
      </c>
      <c r="M1557" s="9" t="s">
        <v>141</v>
      </c>
      <c r="N1557" s="6" t="str">
        <f>VLOOKUP(M1557,[2]character_tribe_i18n!$A:$F,3,FALSE)</f>
        <v>Unknown</v>
      </c>
      <c r="O1557" s="97">
        <f>VLOOKUP(M1557,[2]character_tribe_i18n!$A:$F,4,FALSE)</f>
        <v>1</v>
      </c>
      <c r="P1557" s="97">
        <f>VLOOKUP(M1557,[2]character_tribe_i18n!$A:$F,5,FALSE)</f>
        <v>1</v>
      </c>
      <c r="Q1557" s="97">
        <f>VLOOKUP(M1557,[2]character_tribe_i18n!$A:$F,6,FALSE)</f>
        <v>1</v>
      </c>
      <c r="R1557" s="98" t="s">
        <v>98</v>
      </c>
      <c r="S1557" s="97">
        <f>VLOOKUP($R1557,ラベル別係数!$A$1:$E$7,3,FALSE)</f>
        <v>5</v>
      </c>
      <c r="T1557" s="97">
        <f>VLOOKUP($R1557,ラベル別係数!$A$1:$E$7,4,FALSE)</f>
        <v>1.3</v>
      </c>
      <c r="U1557" s="97">
        <f>VLOOKUP($R1557,ラベル別係数!$A$1:$E$7,5,FALSE)</f>
        <v>0.8</v>
      </c>
      <c r="V1557" s="98">
        <v>3</v>
      </c>
      <c r="W1557" s="99">
        <f>VLOOKUP(V1557,ターン数別攻撃係数!$A$1:$B$1000,2,FALSE)</f>
        <v>1</v>
      </c>
      <c r="X1557" s="9">
        <f>VLOOKUP(C1557,サイズ別係数!A$2:B$9,2,FALSE)</f>
        <v>30</v>
      </c>
      <c r="Y1557" s="97">
        <f>VLOOKUP($X1557,サイズ別係数!$B:$E,2,FALSE)</f>
        <v>1.3</v>
      </c>
      <c r="Z1557" s="97">
        <f>VLOOKUP($X1557,サイズ別係数!$B:$E,3,FALSE)</f>
        <v>1.3</v>
      </c>
      <c r="AA1557" s="97">
        <f>VLOOKUP($X1557,サイズ別係数!$B:$E,4,FALSE)</f>
        <v>1.1000000000000001</v>
      </c>
      <c r="AB1557" s="10">
        <v>0</v>
      </c>
      <c r="AC1557" s="6" t="str">
        <f ca="1">VLOOKUP($AB1557,OFFSET([3]enemy_skill_sets!$B$2,0,0,COUNTA([3]enemy_skill_sets!$A:$A),MATCH(AC$1,[3]enemy_skill_sets!$1:$1,0)-MATCH($AB$1,[3]enemy_skill_sets!$1:$1,0)+1),MATCH(AC$1,[3]enemy_skill_sets!$1:$1,0)-MATCH($AB$1,[3]enemy_skill_sets!$1:$1,0)+1,FALSE)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7" s="67">
        <v>1</v>
      </c>
      <c r="AE1557" s="67">
        <v>1</v>
      </c>
      <c r="AF1557" s="68">
        <v>0</v>
      </c>
      <c r="AG1557" s="99">
        <f>ROUND(VLOOKUP(1,enemy_base_stats!$A:$F,2,FALSE) * Y1557* J1557*O1557*E1557*S1557*AD1557*[2]ステータス!$B$2,0)</f>
        <v>3185</v>
      </c>
      <c r="AH1557" s="99">
        <f>ROUND(VLOOKUP(1,enemy_base_stats!$A:$F,3,FALSE) * Z1557*K1557*P1557*F1557*T1557*AE1557 * W1557*[2]ステータス!$C$2,0)</f>
        <v>256</v>
      </c>
      <c r="AI1557" s="99">
        <f>ROUND(VLOOKUP(1,enemy_base_stats!$A:$F,4,FALSE) * AA1557*L1557*Q1557*G1557*U1557*AF1557*[2]ステータス!$D$2,0)</f>
        <v>0</v>
      </c>
      <c r="AJ1557" s="99">
        <f>ROUND(VLOOKUP(100,enemy_base_stats!$A:$F,2,FALSE) * Y1557* J1557*O1557*E1557*S1557*AD1557*[2]ステータス!$B$2,0)</f>
        <v>129311</v>
      </c>
      <c r="AK1557" s="99">
        <f>ROUND(VLOOKUP(100,enemy_base_stats!$A:$F,3,FALSE)* Z1557* K1557*P1557*F1557*T1557*AE1557 * W1557*[2]ステータス!$C$2,0)</f>
        <v>10395</v>
      </c>
      <c r="AL1557" s="99">
        <f>ROUND(VLOOKUP(100,enemy_base_stats!$A:$F,4,FALSE)* AA1557* L1557*Q1557*G1557*U1557*AF1557*[2]ステータス!$D$2,0)</f>
        <v>0</v>
      </c>
      <c r="AM1557" s="97">
        <f>VLOOKUP(M1557,[2]character_tribe_i18n!$A:$I,9,FALSE)</f>
        <v>340</v>
      </c>
      <c r="AN1557" s="97">
        <v>0</v>
      </c>
      <c r="AO1557" s="98">
        <v>0</v>
      </c>
      <c r="AP1557" s="58" t="s">
        <v>72</v>
      </c>
      <c r="AQ1557" s="34">
        <f t="shared" si="94"/>
        <v>8072</v>
      </c>
    </row>
    <row r="1558" spans="1:43" ht="21" customHeight="1" x14ac:dyDescent="0.15">
      <c r="A1558" s="105">
        <v>8073</v>
      </c>
      <c r="B1558" s="6" t="str">
        <f>VLOOKUP(A1558,[2]characters!$A:$C,3,FALSE)</f>
        <v>星海祈る天光妃 媽祖</v>
      </c>
      <c r="C1558" s="9">
        <f>VLOOKUP(A1558,[2]characters!$A:$I,9,FALSE)</f>
        <v>6</v>
      </c>
      <c r="D1558" s="9" t="str">
        <f>VLOOKUP(A1558,[2]characters!$A:$H,8,FALSE)</f>
        <v>yellow</v>
      </c>
      <c r="E1558" s="97">
        <f>VLOOKUP(D1558,[2]属性!$A:$E,2,FALSE)</f>
        <v>0.98</v>
      </c>
      <c r="F1558" s="97">
        <f>VLOOKUP(D1558,[2]属性!$A:$E,3,FALSE)</f>
        <v>1.01</v>
      </c>
      <c r="G1558" s="97">
        <f>VLOOKUP(D1558,[2]属性!$A:$F,4,FALSE)</f>
        <v>1</v>
      </c>
      <c r="H1558" s="9" t="str">
        <f>VLOOKUP(A1558,[2]characters!$A:$K,11,FALSE)</f>
        <v>attack</v>
      </c>
      <c r="I1558" s="6" t="str">
        <f>VLOOKUP(H1558,[2]character_type_i18n!$A:$F,3,FALSE)</f>
        <v>攻撃タイプ</v>
      </c>
      <c r="J1558" s="106">
        <v>1</v>
      </c>
      <c r="K1558" s="106">
        <v>1</v>
      </c>
      <c r="L1558" s="106">
        <f>VLOOKUP(H1558,[2]character_type_i18n!$A:$F,6,FALSE)</f>
        <v>1</v>
      </c>
      <c r="M1558" s="9" t="s">
        <v>141</v>
      </c>
      <c r="N1558" s="6" t="str">
        <f>VLOOKUP(M1558,[2]character_tribe_i18n!$A:$F,3,FALSE)</f>
        <v>Unknown</v>
      </c>
      <c r="O1558" s="97">
        <f>VLOOKUP(M1558,[2]character_tribe_i18n!$A:$F,4,FALSE)</f>
        <v>1</v>
      </c>
      <c r="P1558" s="97">
        <f>VLOOKUP(M1558,[2]character_tribe_i18n!$A:$F,5,FALSE)</f>
        <v>1</v>
      </c>
      <c r="Q1558" s="97">
        <f>VLOOKUP(M1558,[2]character_tribe_i18n!$A:$F,6,FALSE)</f>
        <v>1</v>
      </c>
      <c r="R1558" s="98" t="s">
        <v>98</v>
      </c>
      <c r="S1558" s="97">
        <f>VLOOKUP($R1558,ラベル別係数!$A$1:$E$7,3,FALSE)</f>
        <v>5</v>
      </c>
      <c r="T1558" s="97">
        <f>VLOOKUP($R1558,ラベル別係数!$A$1:$E$7,4,FALSE)</f>
        <v>1.3</v>
      </c>
      <c r="U1558" s="97">
        <f>VLOOKUP($R1558,ラベル別係数!$A$1:$E$7,5,FALSE)</f>
        <v>0.8</v>
      </c>
      <c r="V1558" s="98">
        <v>3</v>
      </c>
      <c r="W1558" s="99">
        <f>VLOOKUP(V1558,ターン数別攻撃係数!$A$1:$B$1000,2,FALSE)</f>
        <v>1</v>
      </c>
      <c r="X1558" s="9">
        <f>VLOOKUP(C1558,サイズ別係数!A$2:B$9,2,FALSE)</f>
        <v>60</v>
      </c>
      <c r="Y1558" s="97">
        <f>VLOOKUP($X1558,サイズ別係数!$B:$E,2,FALSE)</f>
        <v>1.7</v>
      </c>
      <c r="Z1558" s="97">
        <f>VLOOKUP($X1558,サイズ別係数!$B:$E,3,FALSE)</f>
        <v>1.4</v>
      </c>
      <c r="AA1558" s="97">
        <f>VLOOKUP($X1558,サイズ別係数!$B:$E,4,FALSE)</f>
        <v>1</v>
      </c>
      <c r="AB1558" s="10">
        <v>0</v>
      </c>
      <c r="AC1558" s="6" t="str">
        <f ca="1">VLOOKUP($AB1558,OFFSET([3]enemy_skill_sets!$B$2,0,0,COUNTA([3]enemy_skill_sets!$A:$A),MATCH(AC$1,[3]enemy_skill_sets!$1:$1,0)-MATCH($AB$1,[3]enemy_skill_sets!$1:$1,0)+1),MATCH(AC$1,[3]enemy_skill_sets!$1:$1,0)-MATCH($AB$1,[3]enemy_skill_sets!$1:$1,0)+1,FALSE)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8" s="67">
        <v>1</v>
      </c>
      <c r="AE1558" s="67">
        <v>1</v>
      </c>
      <c r="AF1558" s="68">
        <v>0</v>
      </c>
      <c r="AG1558" s="99">
        <f>ROUND(VLOOKUP(1,enemy_base_stats!$A:$F,2,FALSE) * Y1558* J1558*O1558*E1558*S1558*AD1558*[2]ステータス!$B$2,0)</f>
        <v>4165</v>
      </c>
      <c r="AH1558" s="99">
        <f>ROUND(VLOOKUP(1,enemy_base_stats!$A:$F,3,FALSE) * Z1558*K1558*P1558*F1558*T1558*AE1558 * W1558*[2]ステータス!$C$2,0)</f>
        <v>276</v>
      </c>
      <c r="AI1558" s="99">
        <f>ROUND(VLOOKUP(1,enemy_base_stats!$A:$F,4,FALSE) * AA1558*L1558*Q1558*G1558*U1558*AF1558*[2]ステータス!$D$2,0)</f>
        <v>0</v>
      </c>
      <c r="AJ1558" s="99">
        <f>ROUND(VLOOKUP(100,enemy_base_stats!$A:$F,2,FALSE) * Y1558* J1558*O1558*E1558*S1558*AD1558*[2]ステータス!$B$2,0)</f>
        <v>169099</v>
      </c>
      <c r="AK1558" s="99">
        <f>ROUND(VLOOKUP(100,enemy_base_stats!$A:$F,3,FALSE)* Z1558* K1558*P1558*F1558*T1558*AE1558 * W1558*[2]ステータス!$C$2,0)</f>
        <v>11195</v>
      </c>
      <c r="AL1558" s="99">
        <f>ROUND(VLOOKUP(100,enemy_base_stats!$A:$F,4,FALSE)* AA1558* L1558*Q1558*G1558*U1558*AF1558*[2]ステータス!$D$2,0)</f>
        <v>0</v>
      </c>
      <c r="AM1558" s="97">
        <f>VLOOKUP(M1558,[2]character_tribe_i18n!$A:$I,9,FALSE)</f>
        <v>340</v>
      </c>
      <c r="AN1558" s="97">
        <v>0</v>
      </c>
      <c r="AO1558" s="98">
        <v>0</v>
      </c>
      <c r="AP1558" s="58" t="s">
        <v>72</v>
      </c>
      <c r="AQ1558" s="34">
        <f t="shared" si="94"/>
        <v>8073</v>
      </c>
    </row>
    <row r="1559" spans="1:43" ht="21" customHeight="1" x14ac:dyDescent="0.15">
      <c r="A1559" s="105">
        <v>8074</v>
      </c>
      <c r="B1559" s="6" t="str">
        <f>VLOOKUP(A1559,[2]characters!$A:$C,3,FALSE)</f>
        <v>海戀の絶龍姫 蛟龍</v>
      </c>
      <c r="C1559" s="9">
        <f>VLOOKUP(A1559,[2]characters!$A:$I,9,FALSE)</f>
        <v>6</v>
      </c>
      <c r="D1559" s="9" t="str">
        <f>VLOOKUP(A1559,[2]characters!$A:$H,8,FALSE)</f>
        <v>blue</v>
      </c>
      <c r="E1559" s="97">
        <f>VLOOKUP(D1559,[2]属性!$A:$E,2,FALSE)</f>
        <v>1</v>
      </c>
      <c r="F1559" s="97">
        <f>VLOOKUP(D1559,[2]属性!$A:$E,3,FALSE)</f>
        <v>0.98</v>
      </c>
      <c r="G1559" s="97">
        <f>VLOOKUP(D1559,[2]属性!$A:$F,4,FALSE)</f>
        <v>1</v>
      </c>
      <c r="H1559" s="9" t="str">
        <f>VLOOKUP(A1559,[2]characters!$A:$K,11,FALSE)</f>
        <v>hp</v>
      </c>
      <c r="I1559" s="6" t="str">
        <f>VLOOKUP(H1559,[2]character_type_i18n!$A:$F,3,FALSE)</f>
        <v>体力タイプ</v>
      </c>
      <c r="J1559" s="106">
        <v>1</v>
      </c>
      <c r="K1559" s="106">
        <v>1</v>
      </c>
      <c r="L1559" s="106">
        <f>VLOOKUP(H1559,[2]character_type_i18n!$A:$F,6,FALSE)</f>
        <v>1</v>
      </c>
      <c r="M1559" s="9" t="s">
        <v>141</v>
      </c>
      <c r="N1559" s="6" t="str">
        <f>VLOOKUP(M1559,[2]character_tribe_i18n!$A:$F,3,FALSE)</f>
        <v>Unknown</v>
      </c>
      <c r="O1559" s="97">
        <f>VLOOKUP(M1559,[2]character_tribe_i18n!$A:$F,4,FALSE)</f>
        <v>1</v>
      </c>
      <c r="P1559" s="97">
        <f>VLOOKUP(M1559,[2]character_tribe_i18n!$A:$F,5,FALSE)</f>
        <v>1</v>
      </c>
      <c r="Q1559" s="97">
        <f>VLOOKUP(M1559,[2]character_tribe_i18n!$A:$F,6,FALSE)</f>
        <v>1</v>
      </c>
      <c r="R1559" s="98" t="s">
        <v>98</v>
      </c>
      <c r="S1559" s="97">
        <f>VLOOKUP($R1559,ラベル別係数!$A$1:$E$7,3,FALSE)</f>
        <v>5</v>
      </c>
      <c r="T1559" s="97">
        <f>VLOOKUP($R1559,ラベル別係数!$A$1:$E$7,4,FALSE)</f>
        <v>1.3</v>
      </c>
      <c r="U1559" s="97">
        <f>VLOOKUP($R1559,ラベル別係数!$A$1:$E$7,5,FALSE)</f>
        <v>0.8</v>
      </c>
      <c r="V1559" s="98">
        <v>3</v>
      </c>
      <c r="W1559" s="99">
        <f>VLOOKUP(V1559,ターン数別攻撃係数!$A$1:$B$1000,2,FALSE)</f>
        <v>1</v>
      </c>
      <c r="X1559" s="9">
        <f>VLOOKUP(C1559,サイズ別係数!A$2:B$9,2,FALSE)</f>
        <v>60</v>
      </c>
      <c r="Y1559" s="97">
        <f>VLOOKUP($X1559,サイズ別係数!$B:$E,2,FALSE)</f>
        <v>1.7</v>
      </c>
      <c r="Z1559" s="97">
        <f>VLOOKUP($X1559,サイズ別係数!$B:$E,3,FALSE)</f>
        <v>1.4</v>
      </c>
      <c r="AA1559" s="97">
        <f>VLOOKUP($X1559,サイズ別係数!$B:$E,4,FALSE)</f>
        <v>1</v>
      </c>
      <c r="AB1559" s="10">
        <v>0</v>
      </c>
      <c r="AC1559" s="6" t="str">
        <f ca="1">VLOOKUP($AB1559,OFFSET([3]enemy_skill_sets!$B$2,0,0,COUNTA([3]enemy_skill_sets!$A:$A),MATCH(AC$1,[3]enemy_skill_sets!$1:$1,0)-MATCH($AB$1,[3]enemy_skill_sets!$1:$1,0)+1),MATCH(AC$1,[3]enemy_skill_sets!$1:$1,0)-MATCH($AB$1,[3]enemy_skill_sets!$1:$1,0)+1,FALSE)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59" s="67">
        <v>1</v>
      </c>
      <c r="AE1559" s="67">
        <v>1</v>
      </c>
      <c r="AF1559" s="68">
        <v>0</v>
      </c>
      <c r="AG1559" s="99">
        <f>ROUND(VLOOKUP(1,enemy_base_stats!$A:$F,2,FALSE) * Y1559* J1559*O1559*E1559*S1559*AD1559*[2]ステータス!$B$2,0)</f>
        <v>4250</v>
      </c>
      <c r="AH1559" s="99">
        <f>ROUND(VLOOKUP(1,enemy_base_stats!$A:$F,3,FALSE) * Z1559*K1559*P1559*F1559*T1559*AE1559 * W1559*[2]ステータス!$C$2,0)</f>
        <v>268</v>
      </c>
      <c r="AI1559" s="99">
        <f>ROUND(VLOOKUP(1,enemy_base_stats!$A:$F,4,FALSE) * AA1559*L1559*Q1559*G1559*U1559*AF1559*[2]ステータス!$D$2,0)</f>
        <v>0</v>
      </c>
      <c r="AJ1559" s="99">
        <f>ROUND(VLOOKUP(100,enemy_base_stats!$A:$F,2,FALSE) * Y1559* J1559*O1559*E1559*S1559*AD1559*[2]ステータス!$B$2,0)</f>
        <v>172550</v>
      </c>
      <c r="AK1559" s="99">
        <f>ROUND(VLOOKUP(100,enemy_base_stats!$A:$F,3,FALSE)* Z1559* K1559*P1559*F1559*T1559*AE1559 * W1559*[2]ステータス!$C$2,0)</f>
        <v>10862</v>
      </c>
      <c r="AL1559" s="99">
        <f>ROUND(VLOOKUP(100,enemy_base_stats!$A:$F,4,FALSE)* AA1559* L1559*Q1559*G1559*U1559*AF1559*[2]ステータス!$D$2,0)</f>
        <v>0</v>
      </c>
      <c r="AM1559" s="97">
        <f>VLOOKUP(M1559,[2]character_tribe_i18n!$A:$I,9,FALSE)</f>
        <v>340</v>
      </c>
      <c r="AN1559" s="97">
        <v>0</v>
      </c>
      <c r="AO1559" s="98">
        <v>0</v>
      </c>
      <c r="AP1559" s="58" t="s">
        <v>72</v>
      </c>
      <c r="AQ1559" s="34">
        <f t="shared" si="94"/>
        <v>8074</v>
      </c>
    </row>
    <row r="1560" spans="1:43" ht="21" customHeight="1" x14ac:dyDescent="0.15">
      <c r="A1560" s="105">
        <v>8077</v>
      </c>
      <c r="B1560" s="6" t="str">
        <f>VLOOKUP(A1560,[2]characters!$A:$C,3,FALSE)</f>
        <v>鄭成功</v>
      </c>
      <c r="C1560" s="9">
        <f>VLOOKUP(A1560,[2]characters!$A:$I,9,FALSE)</f>
        <v>5</v>
      </c>
      <c r="D1560" s="9" t="str">
        <f>VLOOKUP(A1560,[2]characters!$A:$H,8,FALSE)</f>
        <v>blue</v>
      </c>
      <c r="E1560" s="97">
        <f>VLOOKUP(D1560,[2]属性!$A:$E,2,FALSE)</f>
        <v>1</v>
      </c>
      <c r="F1560" s="97">
        <f>VLOOKUP(D1560,[2]属性!$A:$E,3,FALSE)</f>
        <v>0.98</v>
      </c>
      <c r="G1560" s="97">
        <f>VLOOKUP(D1560,[2]属性!$A:$F,4,FALSE)</f>
        <v>1</v>
      </c>
      <c r="H1560" s="9" t="str">
        <f>VLOOKUP(A1560,[2]characters!$A:$K,11,FALSE)</f>
        <v>attack</v>
      </c>
      <c r="I1560" s="6" t="str">
        <f>VLOOKUP(H1560,[2]character_type_i18n!$A:$F,3,FALSE)</f>
        <v>攻撃タイプ</v>
      </c>
      <c r="J1560" s="106">
        <v>1</v>
      </c>
      <c r="K1560" s="106">
        <v>1</v>
      </c>
      <c r="L1560" s="106">
        <f>VLOOKUP(H1560,[2]character_type_i18n!$A:$F,6,FALSE)</f>
        <v>1</v>
      </c>
      <c r="M1560" s="9" t="s">
        <v>141</v>
      </c>
      <c r="N1560" s="6" t="str">
        <f>VLOOKUP(M1560,[2]character_tribe_i18n!$A:$F,3,FALSE)</f>
        <v>Unknown</v>
      </c>
      <c r="O1560" s="97">
        <f>VLOOKUP(M1560,[2]character_tribe_i18n!$A:$F,4,FALSE)</f>
        <v>1</v>
      </c>
      <c r="P1560" s="97">
        <f>VLOOKUP(M1560,[2]character_tribe_i18n!$A:$F,5,FALSE)</f>
        <v>1</v>
      </c>
      <c r="Q1560" s="97">
        <f>VLOOKUP(M1560,[2]character_tribe_i18n!$A:$F,6,FALSE)</f>
        <v>1</v>
      </c>
      <c r="R1560" s="98" t="s">
        <v>98</v>
      </c>
      <c r="S1560" s="97">
        <f>VLOOKUP($R1560,ラベル別係数!$A$1:$E$7,3,FALSE)</f>
        <v>5</v>
      </c>
      <c r="T1560" s="97">
        <f>VLOOKUP($R1560,ラベル別係数!$A$1:$E$7,4,FALSE)</f>
        <v>1.3</v>
      </c>
      <c r="U1560" s="97">
        <f>VLOOKUP($R1560,ラベル別係数!$A$1:$E$7,5,FALSE)</f>
        <v>0.8</v>
      </c>
      <c r="V1560" s="98">
        <v>3</v>
      </c>
      <c r="W1560" s="99">
        <f>VLOOKUP(V1560,ターン数別攻撃係数!$A$1:$B$1000,2,FALSE)</f>
        <v>1</v>
      </c>
      <c r="X1560" s="9">
        <f>VLOOKUP(C1560,サイズ別係数!A$2:B$9,2,FALSE)</f>
        <v>60</v>
      </c>
      <c r="Y1560" s="97">
        <f>VLOOKUP($X1560,サイズ別係数!$B:$E,2,FALSE)</f>
        <v>1.7</v>
      </c>
      <c r="Z1560" s="97">
        <f>VLOOKUP($X1560,サイズ別係数!$B:$E,3,FALSE)</f>
        <v>1.4</v>
      </c>
      <c r="AA1560" s="97">
        <f>VLOOKUP($X1560,サイズ別係数!$B:$E,4,FALSE)</f>
        <v>1</v>
      </c>
      <c r="AB1560" s="10">
        <v>0</v>
      </c>
      <c r="AC1560" s="6" t="str">
        <f ca="1">VLOOKUP($AB1560,OFFSET([3]enemy_skill_sets!$B$2,0,0,COUNTA([3]enemy_skill_sets!$A:$A),MATCH(AC$1,[3]enemy_skill_sets!$1:$1,0)-MATCH($AB$1,[3]enemy_skill_sets!$1:$1,0)+1),MATCH(AC$1,[3]enemy_skill_sets!$1:$1,0)-MATCH($AB$1,[3]enemy_skill_sets!$1:$1,0)+1,FALSE)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0" s="67">
        <v>1</v>
      </c>
      <c r="AE1560" s="67">
        <v>1</v>
      </c>
      <c r="AF1560" s="68">
        <v>0</v>
      </c>
      <c r="AG1560" s="99">
        <f>ROUND(VLOOKUP(1,enemy_base_stats!$A:$F,2,FALSE) * Y1560* J1560*O1560*E1560*S1560*AD1560*[2]ステータス!$B$2,0)</f>
        <v>4250</v>
      </c>
      <c r="AH1560" s="99">
        <f>ROUND(VLOOKUP(1,enemy_base_stats!$A:$F,3,FALSE) * Z1560*K1560*P1560*F1560*T1560*AE1560 * W1560*[2]ステータス!$C$2,0)</f>
        <v>268</v>
      </c>
      <c r="AI1560" s="99">
        <f>ROUND(VLOOKUP(1,enemy_base_stats!$A:$F,4,FALSE) * AA1560*L1560*Q1560*G1560*U1560*AF1560*[2]ステータス!$D$2,0)</f>
        <v>0</v>
      </c>
      <c r="AJ1560" s="99">
        <f>ROUND(VLOOKUP(100,enemy_base_stats!$A:$F,2,FALSE) * Y1560* J1560*O1560*E1560*S1560*AD1560*[2]ステータス!$B$2,0)</f>
        <v>172550</v>
      </c>
      <c r="AK1560" s="99">
        <f>ROUND(VLOOKUP(100,enemy_base_stats!$A:$F,3,FALSE)* Z1560* K1560*P1560*F1560*T1560*AE1560 * W1560*[2]ステータス!$C$2,0)</f>
        <v>10862</v>
      </c>
      <c r="AL1560" s="99">
        <f>ROUND(VLOOKUP(100,enemy_base_stats!$A:$F,4,FALSE)* AA1560* L1560*Q1560*G1560*U1560*AF1560*[2]ステータス!$D$2,0)</f>
        <v>0</v>
      </c>
      <c r="AM1560" s="97">
        <f>VLOOKUP(M1560,[2]character_tribe_i18n!$A:$I,9,FALSE)</f>
        <v>340</v>
      </c>
      <c r="AN1560" s="97">
        <v>0</v>
      </c>
      <c r="AO1560" s="98">
        <v>0</v>
      </c>
      <c r="AP1560" s="58" t="s">
        <v>72</v>
      </c>
      <c r="AQ1560" s="34">
        <f t="shared" ref="AQ1560:AQ1563" si="95">A1560</f>
        <v>8077</v>
      </c>
    </row>
    <row r="1561" spans="1:43" ht="21" customHeight="1" x14ac:dyDescent="0.15">
      <c r="A1561" s="105">
        <v>8078</v>
      </c>
      <c r="B1561" s="6" t="str">
        <f>VLOOKUP(A1561,[2]characters!$A:$C,3,FALSE)</f>
        <v>レア６鄭成功</v>
      </c>
      <c r="C1561" s="9">
        <f>VLOOKUP(A1561,[2]characters!$A:$I,9,FALSE)</f>
        <v>6</v>
      </c>
      <c r="D1561" s="9" t="str">
        <f>VLOOKUP(A1561,[2]characters!$A:$H,8,FALSE)</f>
        <v>blue</v>
      </c>
      <c r="E1561" s="97">
        <f>VLOOKUP(D1561,[2]属性!$A:$E,2,FALSE)</f>
        <v>1</v>
      </c>
      <c r="F1561" s="97">
        <f>VLOOKUP(D1561,[2]属性!$A:$E,3,FALSE)</f>
        <v>0.98</v>
      </c>
      <c r="G1561" s="97">
        <f>VLOOKUP(D1561,[2]属性!$A:$F,4,FALSE)</f>
        <v>1</v>
      </c>
      <c r="H1561" s="9" t="str">
        <f>VLOOKUP(A1561,[2]characters!$A:$K,11,FALSE)</f>
        <v>attack</v>
      </c>
      <c r="I1561" s="6" t="str">
        <f>VLOOKUP(H1561,[2]character_type_i18n!$A:$F,3,FALSE)</f>
        <v>攻撃タイプ</v>
      </c>
      <c r="J1561" s="106">
        <v>1</v>
      </c>
      <c r="K1561" s="106">
        <v>1</v>
      </c>
      <c r="L1561" s="106">
        <f>VLOOKUP(H1561,[2]character_type_i18n!$A:$F,6,FALSE)</f>
        <v>1</v>
      </c>
      <c r="M1561" s="9" t="s">
        <v>141</v>
      </c>
      <c r="N1561" s="6" t="str">
        <f>VLOOKUP(M1561,[2]character_tribe_i18n!$A:$F,3,FALSE)</f>
        <v>Unknown</v>
      </c>
      <c r="O1561" s="97">
        <f>VLOOKUP(M1561,[2]character_tribe_i18n!$A:$F,4,FALSE)</f>
        <v>1</v>
      </c>
      <c r="P1561" s="97">
        <f>VLOOKUP(M1561,[2]character_tribe_i18n!$A:$F,5,FALSE)</f>
        <v>1</v>
      </c>
      <c r="Q1561" s="97">
        <f>VLOOKUP(M1561,[2]character_tribe_i18n!$A:$F,6,FALSE)</f>
        <v>1</v>
      </c>
      <c r="R1561" s="98" t="s">
        <v>98</v>
      </c>
      <c r="S1561" s="97">
        <f>VLOOKUP($R1561,ラベル別係数!$A$1:$E$7,3,FALSE)</f>
        <v>5</v>
      </c>
      <c r="T1561" s="97">
        <f>VLOOKUP($R1561,ラベル別係数!$A$1:$E$7,4,FALSE)</f>
        <v>1.3</v>
      </c>
      <c r="U1561" s="97">
        <f>VLOOKUP($R1561,ラベル別係数!$A$1:$E$7,5,FALSE)</f>
        <v>0.8</v>
      </c>
      <c r="V1561" s="98">
        <v>3</v>
      </c>
      <c r="W1561" s="99">
        <f>VLOOKUP(V1561,ターン数別攻撃係数!$A$1:$B$1000,2,FALSE)</f>
        <v>1</v>
      </c>
      <c r="X1561" s="9">
        <f>VLOOKUP(C1561,サイズ別係数!A$2:B$9,2,FALSE)</f>
        <v>60</v>
      </c>
      <c r="Y1561" s="97">
        <f>VLOOKUP($X1561,サイズ別係数!$B:$E,2,FALSE)</f>
        <v>1.7</v>
      </c>
      <c r="Z1561" s="97">
        <f>VLOOKUP($X1561,サイズ別係数!$B:$E,3,FALSE)</f>
        <v>1.4</v>
      </c>
      <c r="AA1561" s="97">
        <f>VLOOKUP($X1561,サイズ別係数!$B:$E,4,FALSE)</f>
        <v>1</v>
      </c>
      <c r="AB1561" s="10">
        <v>0</v>
      </c>
      <c r="AC1561" s="6" t="str">
        <f ca="1">VLOOKUP($AB1561,OFFSET([3]enemy_skill_sets!$B$2,0,0,COUNTA([3]enemy_skill_sets!$A:$A),MATCH(AC$1,[3]enemy_skill_sets!$1:$1,0)-MATCH($AB$1,[3]enemy_skill_sets!$1:$1,0)+1),MATCH(AC$1,[3]enemy_skill_sets!$1:$1,0)-MATCH($AB$1,[3]enemy_skill_sets!$1:$1,0)+1,FALSE)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1" s="67">
        <v>1</v>
      </c>
      <c r="AE1561" s="67">
        <v>1</v>
      </c>
      <c r="AF1561" s="68">
        <v>0</v>
      </c>
      <c r="AG1561" s="99">
        <f>ROUND(VLOOKUP(1,enemy_base_stats!$A:$F,2,FALSE) * Y1561* J1561*O1561*E1561*S1561*AD1561*[2]ステータス!$B$2,0)</f>
        <v>4250</v>
      </c>
      <c r="AH1561" s="99">
        <f>ROUND(VLOOKUP(1,enemy_base_stats!$A:$F,3,FALSE) * Z1561*K1561*P1561*F1561*T1561*AE1561 * W1561*[2]ステータス!$C$2,0)</f>
        <v>268</v>
      </c>
      <c r="AI1561" s="99">
        <f>ROUND(VLOOKUP(1,enemy_base_stats!$A:$F,4,FALSE) * AA1561*L1561*Q1561*G1561*U1561*AF1561*[2]ステータス!$D$2,0)</f>
        <v>0</v>
      </c>
      <c r="AJ1561" s="99">
        <f>ROUND(VLOOKUP(100,enemy_base_stats!$A:$F,2,FALSE) * Y1561* J1561*O1561*E1561*S1561*AD1561*[2]ステータス!$B$2,0)</f>
        <v>172550</v>
      </c>
      <c r="AK1561" s="99">
        <f>ROUND(VLOOKUP(100,enemy_base_stats!$A:$F,3,FALSE)* Z1561* K1561*P1561*F1561*T1561*AE1561 * W1561*[2]ステータス!$C$2,0)</f>
        <v>10862</v>
      </c>
      <c r="AL1561" s="99">
        <f>ROUND(VLOOKUP(100,enemy_base_stats!$A:$F,4,FALSE)* AA1561* L1561*Q1561*G1561*U1561*AF1561*[2]ステータス!$D$2,0)</f>
        <v>0</v>
      </c>
      <c r="AM1561" s="97">
        <f>VLOOKUP(M1561,[2]character_tribe_i18n!$A:$I,9,FALSE)</f>
        <v>340</v>
      </c>
      <c r="AN1561" s="97">
        <v>0</v>
      </c>
      <c r="AO1561" s="98">
        <v>0</v>
      </c>
      <c r="AP1561" s="58" t="s">
        <v>72</v>
      </c>
      <c r="AQ1561" s="34">
        <f t="shared" si="95"/>
        <v>8078</v>
      </c>
    </row>
    <row r="1562" spans="1:43" ht="21" customHeight="1" x14ac:dyDescent="0.15">
      <c r="A1562" s="105">
        <v>8079</v>
      </c>
      <c r="B1562" s="6" t="str">
        <f>VLOOKUP(A1562,[2]characters!$A:$C,3,FALSE)</f>
        <v>赤鬼</v>
      </c>
      <c r="C1562" s="9">
        <f>VLOOKUP(A1562,[2]characters!$A:$I,9,FALSE)</f>
        <v>5</v>
      </c>
      <c r="D1562" s="9" t="str">
        <f>VLOOKUP(A1562,[2]characters!$A:$H,8,FALSE)</f>
        <v>red</v>
      </c>
      <c r="E1562" s="97">
        <f>VLOOKUP(D1562,[2]属性!$A:$E,2,FALSE)</f>
        <v>1</v>
      </c>
      <c r="F1562" s="97">
        <f>VLOOKUP(D1562,[2]属性!$A:$E,3,FALSE)</f>
        <v>1.02</v>
      </c>
      <c r="G1562" s="97">
        <f>VLOOKUP(D1562,[2]属性!$A:$F,4,FALSE)</f>
        <v>1</v>
      </c>
      <c r="H1562" s="9" t="str">
        <f>VLOOKUP(A1562,[2]characters!$A:$K,11,FALSE)</f>
        <v>hp</v>
      </c>
      <c r="I1562" s="6" t="str">
        <f>VLOOKUP(H1562,[2]character_type_i18n!$A:$F,3,FALSE)</f>
        <v>体力タイプ</v>
      </c>
      <c r="J1562" s="106">
        <v>1</v>
      </c>
      <c r="K1562" s="106">
        <v>1</v>
      </c>
      <c r="L1562" s="106">
        <f>VLOOKUP(H1562,[2]character_type_i18n!$A:$F,6,FALSE)</f>
        <v>1</v>
      </c>
      <c r="M1562" s="9" t="s">
        <v>141</v>
      </c>
      <c r="N1562" s="6" t="str">
        <f>VLOOKUP(M1562,[2]character_tribe_i18n!$A:$F,3,FALSE)</f>
        <v>Unknown</v>
      </c>
      <c r="O1562" s="97">
        <f>VLOOKUP(M1562,[2]character_tribe_i18n!$A:$F,4,FALSE)</f>
        <v>1</v>
      </c>
      <c r="P1562" s="97">
        <f>VLOOKUP(M1562,[2]character_tribe_i18n!$A:$F,5,FALSE)</f>
        <v>1</v>
      </c>
      <c r="Q1562" s="97">
        <f>VLOOKUP(M1562,[2]character_tribe_i18n!$A:$F,6,FALSE)</f>
        <v>1</v>
      </c>
      <c r="R1562" s="98" t="s">
        <v>98</v>
      </c>
      <c r="S1562" s="97">
        <f>VLOOKUP($R1562,ラベル別係数!$A$1:$E$7,3,FALSE)</f>
        <v>5</v>
      </c>
      <c r="T1562" s="97">
        <f>VLOOKUP($R1562,ラベル別係数!$A$1:$E$7,4,FALSE)</f>
        <v>1.3</v>
      </c>
      <c r="U1562" s="97">
        <f>VLOOKUP($R1562,ラベル別係数!$A$1:$E$7,5,FALSE)</f>
        <v>0.8</v>
      </c>
      <c r="V1562" s="98">
        <v>3</v>
      </c>
      <c r="W1562" s="99">
        <f>VLOOKUP(V1562,ターン数別攻撃係数!$A$1:$B$1000,2,FALSE)</f>
        <v>1</v>
      </c>
      <c r="X1562" s="9">
        <f>VLOOKUP(C1562,サイズ別係数!A$2:B$9,2,FALSE)</f>
        <v>60</v>
      </c>
      <c r="Y1562" s="97">
        <f>VLOOKUP($X1562,サイズ別係数!$B:$E,2,FALSE)</f>
        <v>1.7</v>
      </c>
      <c r="Z1562" s="97">
        <f>VLOOKUP($X1562,サイズ別係数!$B:$E,3,FALSE)</f>
        <v>1.4</v>
      </c>
      <c r="AA1562" s="97">
        <f>VLOOKUP($X1562,サイズ別係数!$B:$E,4,FALSE)</f>
        <v>1</v>
      </c>
      <c r="AB1562" s="10">
        <v>0</v>
      </c>
      <c r="AC1562" s="6" t="str">
        <f ca="1">VLOOKUP($AB1562,OFFSET([3]enemy_skill_sets!$B$2,0,0,COUNTA([3]enemy_skill_sets!$A:$A),MATCH(AC$1,[3]enemy_skill_sets!$1:$1,0)-MATCH($AB$1,[3]enemy_skill_sets!$1:$1,0)+1),MATCH(AC$1,[3]enemy_skill_sets!$1:$1,0)-MATCH($AB$1,[3]enemy_skill_sets!$1:$1,0)+1,FALSE)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2" s="67">
        <v>1</v>
      </c>
      <c r="AE1562" s="67">
        <v>1</v>
      </c>
      <c r="AF1562" s="68">
        <v>0</v>
      </c>
      <c r="AG1562" s="99">
        <f>ROUND(VLOOKUP(1,enemy_base_stats!$A:$F,2,FALSE) * Y1562* J1562*O1562*E1562*S1562*AD1562*[2]ステータス!$B$2,0)</f>
        <v>4250</v>
      </c>
      <c r="AH1562" s="99">
        <f>ROUND(VLOOKUP(1,enemy_base_stats!$A:$F,3,FALSE) * Z1562*K1562*P1562*F1562*T1562*AE1562 * W1562*[2]ステータス!$C$2,0)</f>
        <v>278</v>
      </c>
      <c r="AI1562" s="99">
        <f>ROUND(VLOOKUP(1,enemy_base_stats!$A:$F,4,FALSE) * AA1562*L1562*Q1562*G1562*U1562*AF1562*[2]ステータス!$D$2,0)</f>
        <v>0</v>
      </c>
      <c r="AJ1562" s="99">
        <f>ROUND(VLOOKUP(100,enemy_base_stats!$A:$F,2,FALSE) * Y1562* J1562*O1562*E1562*S1562*AD1562*[2]ステータス!$B$2,0)</f>
        <v>172550</v>
      </c>
      <c r="AK1562" s="99">
        <f>ROUND(VLOOKUP(100,enemy_base_stats!$A:$F,3,FALSE)* Z1562* K1562*P1562*F1562*T1562*AE1562 * W1562*[2]ステータス!$C$2,0)</f>
        <v>11305</v>
      </c>
      <c r="AL1562" s="99">
        <f>ROUND(VLOOKUP(100,enemy_base_stats!$A:$F,4,FALSE)* AA1562* L1562*Q1562*G1562*U1562*AF1562*[2]ステータス!$D$2,0)</f>
        <v>0</v>
      </c>
      <c r="AM1562" s="97">
        <f>VLOOKUP(M1562,[2]character_tribe_i18n!$A:$I,9,FALSE)</f>
        <v>340</v>
      </c>
      <c r="AN1562" s="97">
        <v>0</v>
      </c>
      <c r="AO1562" s="98">
        <v>0</v>
      </c>
      <c r="AP1562" s="58" t="s">
        <v>72</v>
      </c>
      <c r="AQ1562" s="34">
        <f t="shared" si="95"/>
        <v>8079</v>
      </c>
    </row>
    <row r="1563" spans="1:43" ht="21" customHeight="1" x14ac:dyDescent="0.15">
      <c r="A1563" s="105">
        <v>8080</v>
      </c>
      <c r="B1563" s="6" t="str">
        <f>VLOOKUP(A1563,[2]characters!$A:$C,3,FALSE)</f>
        <v>レア６赤鬼</v>
      </c>
      <c r="C1563" s="9">
        <f>VLOOKUP(A1563,[2]characters!$A:$I,9,FALSE)</f>
        <v>6</v>
      </c>
      <c r="D1563" s="9" t="str">
        <f>VLOOKUP(A1563,[2]characters!$A:$H,8,FALSE)</f>
        <v>red</v>
      </c>
      <c r="E1563" s="97">
        <f>VLOOKUP(D1563,[2]属性!$A:$E,2,FALSE)</f>
        <v>1</v>
      </c>
      <c r="F1563" s="97">
        <f>VLOOKUP(D1563,[2]属性!$A:$E,3,FALSE)</f>
        <v>1.02</v>
      </c>
      <c r="G1563" s="97">
        <f>VLOOKUP(D1563,[2]属性!$A:$F,4,FALSE)</f>
        <v>1</v>
      </c>
      <c r="H1563" s="9" t="str">
        <f>VLOOKUP(A1563,[2]characters!$A:$K,11,FALSE)</f>
        <v>hp</v>
      </c>
      <c r="I1563" s="6" t="str">
        <f>VLOOKUP(H1563,[2]character_type_i18n!$A:$F,3,FALSE)</f>
        <v>体力タイプ</v>
      </c>
      <c r="J1563" s="106">
        <v>1</v>
      </c>
      <c r="K1563" s="106">
        <v>1</v>
      </c>
      <c r="L1563" s="106">
        <f>VLOOKUP(H1563,[2]character_type_i18n!$A:$F,6,FALSE)</f>
        <v>1</v>
      </c>
      <c r="M1563" s="9" t="s">
        <v>141</v>
      </c>
      <c r="N1563" s="6" t="str">
        <f>VLOOKUP(M1563,[2]character_tribe_i18n!$A:$F,3,FALSE)</f>
        <v>Unknown</v>
      </c>
      <c r="O1563" s="97">
        <f>VLOOKUP(M1563,[2]character_tribe_i18n!$A:$F,4,FALSE)</f>
        <v>1</v>
      </c>
      <c r="P1563" s="97">
        <f>VLOOKUP(M1563,[2]character_tribe_i18n!$A:$F,5,FALSE)</f>
        <v>1</v>
      </c>
      <c r="Q1563" s="97">
        <f>VLOOKUP(M1563,[2]character_tribe_i18n!$A:$F,6,FALSE)</f>
        <v>1</v>
      </c>
      <c r="R1563" s="98" t="s">
        <v>98</v>
      </c>
      <c r="S1563" s="97">
        <f>VLOOKUP($R1563,ラベル別係数!$A$1:$E$7,3,FALSE)</f>
        <v>5</v>
      </c>
      <c r="T1563" s="97">
        <f>VLOOKUP($R1563,ラベル別係数!$A$1:$E$7,4,FALSE)</f>
        <v>1.3</v>
      </c>
      <c r="U1563" s="97">
        <f>VLOOKUP($R1563,ラベル別係数!$A$1:$E$7,5,FALSE)</f>
        <v>0.8</v>
      </c>
      <c r="V1563" s="98">
        <v>3</v>
      </c>
      <c r="W1563" s="99">
        <f>VLOOKUP(V1563,ターン数別攻撃係数!$A$1:$B$1000,2,FALSE)</f>
        <v>1</v>
      </c>
      <c r="X1563" s="9">
        <f>VLOOKUP(C1563,サイズ別係数!A$2:B$9,2,FALSE)</f>
        <v>60</v>
      </c>
      <c r="Y1563" s="97">
        <f>VLOOKUP($X1563,サイズ別係数!$B:$E,2,FALSE)</f>
        <v>1.7</v>
      </c>
      <c r="Z1563" s="97">
        <f>VLOOKUP($X1563,サイズ別係数!$B:$E,3,FALSE)</f>
        <v>1.4</v>
      </c>
      <c r="AA1563" s="97">
        <f>VLOOKUP($X1563,サイズ別係数!$B:$E,4,FALSE)</f>
        <v>1</v>
      </c>
      <c r="AB1563" s="10">
        <v>0</v>
      </c>
      <c r="AC1563" s="6" t="str">
        <f ca="1">VLOOKUP($AB1563,OFFSET([3]enemy_skill_sets!$B$2,0,0,COUNTA([3]enemy_skill_sets!$A:$A),MATCH(AC$1,[3]enemy_skill_sets!$1:$1,0)-MATCH($AB$1,[3]enemy_skill_sets!$1:$1,0)+1),MATCH(AC$1,[3]enemy_skill_sets!$1:$1,0)-MATCH($AB$1,[3]enemy_skill_sets!$1:$1,0)+1,FALSE)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3" s="67">
        <v>1</v>
      </c>
      <c r="AE1563" s="67">
        <v>1</v>
      </c>
      <c r="AF1563" s="68">
        <v>0</v>
      </c>
      <c r="AG1563" s="99">
        <f>ROUND(VLOOKUP(1,enemy_base_stats!$A:$F,2,FALSE) * Y1563* J1563*O1563*E1563*S1563*AD1563*[2]ステータス!$B$2,0)</f>
        <v>4250</v>
      </c>
      <c r="AH1563" s="99">
        <f>ROUND(VLOOKUP(1,enemy_base_stats!$A:$F,3,FALSE) * Z1563*K1563*P1563*F1563*T1563*AE1563 * W1563*[2]ステータス!$C$2,0)</f>
        <v>278</v>
      </c>
      <c r="AI1563" s="99">
        <f>ROUND(VLOOKUP(1,enemy_base_stats!$A:$F,4,FALSE) * AA1563*L1563*Q1563*G1563*U1563*AF1563*[2]ステータス!$D$2,0)</f>
        <v>0</v>
      </c>
      <c r="AJ1563" s="99">
        <f>ROUND(VLOOKUP(100,enemy_base_stats!$A:$F,2,FALSE) * Y1563* J1563*O1563*E1563*S1563*AD1563*[2]ステータス!$B$2,0)</f>
        <v>172550</v>
      </c>
      <c r="AK1563" s="99">
        <f>ROUND(VLOOKUP(100,enemy_base_stats!$A:$F,3,FALSE)* Z1563* K1563*P1563*F1563*T1563*AE1563 * W1563*[2]ステータス!$C$2,0)</f>
        <v>11305</v>
      </c>
      <c r="AL1563" s="99">
        <f>ROUND(VLOOKUP(100,enemy_base_stats!$A:$F,4,FALSE)* AA1563* L1563*Q1563*G1563*U1563*AF1563*[2]ステータス!$D$2,0)</f>
        <v>0</v>
      </c>
      <c r="AM1563" s="97">
        <f>VLOOKUP(M1563,[2]character_tribe_i18n!$A:$I,9,FALSE)</f>
        <v>340</v>
      </c>
      <c r="AN1563" s="97">
        <v>0</v>
      </c>
      <c r="AO1563" s="98">
        <v>0</v>
      </c>
      <c r="AP1563" s="58" t="s">
        <v>72</v>
      </c>
      <c r="AQ1563" s="34">
        <f t="shared" si="95"/>
        <v>8080</v>
      </c>
    </row>
    <row r="1564" spans="1:43" ht="21" customHeight="1" x14ac:dyDescent="0.15">
      <c r="A1564" s="105">
        <v>8081</v>
      </c>
      <c r="B1564" s="6" t="str">
        <f>VLOOKUP(A1564,[2]characters!$A:$C,3,FALSE)</f>
        <v>関羽</v>
      </c>
      <c r="C1564" s="9">
        <f>VLOOKUP(A1564,[2]characters!$A:$I,9,FALSE)</f>
        <v>5</v>
      </c>
      <c r="D1564" s="9" t="str">
        <f>VLOOKUP(A1564,[2]characters!$A:$H,8,FALSE)</f>
        <v>green</v>
      </c>
      <c r="E1564" s="97">
        <f>VLOOKUP(D1564,[2]属性!$A:$E,2,FALSE)</f>
        <v>1.02</v>
      </c>
      <c r="F1564" s="97">
        <f>VLOOKUP(D1564,[2]属性!$A:$E,3,FALSE)</f>
        <v>0.98</v>
      </c>
      <c r="G1564" s="97">
        <f>VLOOKUP(D1564,[2]属性!$A:$F,4,FALSE)</f>
        <v>1</v>
      </c>
      <c r="H1564" s="9" t="str">
        <f>VLOOKUP(A1564,[2]characters!$A:$K,11,FALSE)</f>
        <v>balance</v>
      </c>
      <c r="I1564" s="6" t="str">
        <f>VLOOKUP(H1564,[2]character_type_i18n!$A:$F,3,FALSE)</f>
        <v>バランスタイプ</v>
      </c>
      <c r="J1564" s="106">
        <v>1</v>
      </c>
      <c r="K1564" s="106">
        <v>1</v>
      </c>
      <c r="L1564" s="106">
        <f>VLOOKUP(H1564,[2]character_type_i18n!$A:$F,6,FALSE)</f>
        <v>1</v>
      </c>
      <c r="M1564" s="9" t="s">
        <v>141</v>
      </c>
      <c r="N1564" s="6" t="str">
        <f>VLOOKUP(M1564,[2]character_tribe_i18n!$A:$F,3,FALSE)</f>
        <v>Unknown</v>
      </c>
      <c r="O1564" s="97">
        <f>VLOOKUP(M1564,[2]character_tribe_i18n!$A:$F,4,FALSE)</f>
        <v>1</v>
      </c>
      <c r="P1564" s="97">
        <f>VLOOKUP(M1564,[2]character_tribe_i18n!$A:$F,5,FALSE)</f>
        <v>1</v>
      </c>
      <c r="Q1564" s="97">
        <f>VLOOKUP(M1564,[2]character_tribe_i18n!$A:$F,6,FALSE)</f>
        <v>1</v>
      </c>
      <c r="R1564" s="98" t="s">
        <v>98</v>
      </c>
      <c r="S1564" s="97">
        <f>VLOOKUP($R1564,ラベル別係数!$A$1:$E$7,3,FALSE)</f>
        <v>5</v>
      </c>
      <c r="T1564" s="97">
        <f>VLOOKUP($R1564,ラベル別係数!$A$1:$E$7,4,FALSE)</f>
        <v>1.3</v>
      </c>
      <c r="U1564" s="97">
        <f>VLOOKUP($R1564,ラベル別係数!$A$1:$E$7,5,FALSE)</f>
        <v>0.8</v>
      </c>
      <c r="V1564" s="98">
        <v>3</v>
      </c>
      <c r="W1564" s="99">
        <f>VLOOKUP(V1564,ターン数別攻撃係数!$A$1:$B$1000,2,FALSE)</f>
        <v>1</v>
      </c>
      <c r="X1564" s="9">
        <f>VLOOKUP(C1564,サイズ別係数!A$2:B$9,2,FALSE)</f>
        <v>60</v>
      </c>
      <c r="Y1564" s="97">
        <f>VLOOKUP($X1564,サイズ別係数!$B:$E,2,FALSE)</f>
        <v>1.7</v>
      </c>
      <c r="Z1564" s="97">
        <f>VLOOKUP($X1564,サイズ別係数!$B:$E,3,FALSE)</f>
        <v>1.4</v>
      </c>
      <c r="AA1564" s="97">
        <f>VLOOKUP($X1564,サイズ別係数!$B:$E,4,FALSE)</f>
        <v>1</v>
      </c>
      <c r="AB1564" s="10">
        <v>0</v>
      </c>
      <c r="AC1564" s="6" t="str">
        <f ca="1">VLOOKUP($AB1564,OFFSET([3]enemy_skill_sets!$B$2,0,0,COUNTA([3]enemy_skill_sets!$A:$A),MATCH(AC$1,[3]enemy_skill_sets!$1:$1,0)-MATCH($AB$1,[3]enemy_skill_sets!$1:$1,0)+1),MATCH(AC$1,[3]enemy_skill_sets!$1:$1,0)-MATCH($AB$1,[3]enemy_skill_sets!$1:$1,0)+1,FALSE)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4" s="67">
        <v>1</v>
      </c>
      <c r="AE1564" s="67">
        <v>1</v>
      </c>
      <c r="AF1564" s="68">
        <v>0</v>
      </c>
      <c r="AG1564" s="99">
        <f>ROUND(VLOOKUP(1,enemy_base_stats!$A:$F,2,FALSE) * Y1564* J1564*O1564*E1564*S1564*AD1564*[2]ステータス!$B$2,0)</f>
        <v>4335</v>
      </c>
      <c r="AH1564" s="99">
        <f>ROUND(VLOOKUP(1,enemy_base_stats!$A:$F,3,FALSE) * Z1564*K1564*P1564*F1564*T1564*AE1564 * W1564*[2]ステータス!$C$2,0)</f>
        <v>268</v>
      </c>
      <c r="AI1564" s="99">
        <f>ROUND(VLOOKUP(1,enemy_base_stats!$A:$F,4,FALSE) * AA1564*L1564*Q1564*G1564*U1564*AF1564*[2]ステータス!$D$2,0)</f>
        <v>0</v>
      </c>
      <c r="AJ1564" s="99">
        <f>ROUND(VLOOKUP(100,enemy_base_stats!$A:$F,2,FALSE) * Y1564* J1564*O1564*E1564*S1564*AD1564*[2]ステータス!$B$2,0)</f>
        <v>176001</v>
      </c>
      <c r="AK1564" s="99">
        <f>ROUND(VLOOKUP(100,enemy_base_stats!$A:$F,3,FALSE)* Z1564* K1564*P1564*F1564*T1564*AE1564 * W1564*[2]ステータス!$C$2,0)</f>
        <v>10862</v>
      </c>
      <c r="AL1564" s="99">
        <f>ROUND(VLOOKUP(100,enemy_base_stats!$A:$F,4,FALSE)* AA1564* L1564*Q1564*G1564*U1564*AF1564*[2]ステータス!$D$2,0)</f>
        <v>0</v>
      </c>
      <c r="AM1564" s="97">
        <f>VLOOKUP(M1564,[2]character_tribe_i18n!$A:$I,9,FALSE)</f>
        <v>340</v>
      </c>
      <c r="AN1564" s="97">
        <v>0</v>
      </c>
      <c r="AO1564" s="98">
        <v>0</v>
      </c>
      <c r="AP1564" s="58" t="s">
        <v>72</v>
      </c>
      <c r="AQ1564" s="34">
        <f t="shared" ref="AQ1564:AQ1569" si="96">A1564</f>
        <v>8081</v>
      </c>
    </row>
    <row r="1565" spans="1:43" ht="21" customHeight="1" x14ac:dyDescent="0.15">
      <c r="A1565" s="105">
        <v>8082</v>
      </c>
      <c r="B1565" s="6" t="str">
        <f>VLOOKUP(A1565,[2]characters!$A:$C,3,FALSE)</f>
        <v>千里突撃 関羽</v>
      </c>
      <c r="C1565" s="9">
        <f>VLOOKUP(A1565,[2]characters!$A:$I,9,FALSE)</f>
        <v>6</v>
      </c>
      <c r="D1565" s="9" t="str">
        <f>VLOOKUP(A1565,[2]characters!$A:$H,8,FALSE)</f>
        <v>green</v>
      </c>
      <c r="E1565" s="97">
        <f>VLOOKUP(D1565,[2]属性!$A:$E,2,FALSE)</f>
        <v>1.02</v>
      </c>
      <c r="F1565" s="97">
        <f>VLOOKUP(D1565,[2]属性!$A:$E,3,FALSE)</f>
        <v>0.98</v>
      </c>
      <c r="G1565" s="97">
        <f>VLOOKUP(D1565,[2]属性!$A:$F,4,FALSE)</f>
        <v>1</v>
      </c>
      <c r="H1565" s="9" t="str">
        <f>VLOOKUP(A1565,[2]characters!$A:$K,11,FALSE)</f>
        <v>balance</v>
      </c>
      <c r="I1565" s="6" t="str">
        <f>VLOOKUP(H1565,[2]character_type_i18n!$A:$F,3,FALSE)</f>
        <v>バランスタイプ</v>
      </c>
      <c r="J1565" s="106">
        <v>1</v>
      </c>
      <c r="K1565" s="106">
        <v>1</v>
      </c>
      <c r="L1565" s="106">
        <f>VLOOKUP(H1565,[2]character_type_i18n!$A:$F,6,FALSE)</f>
        <v>1</v>
      </c>
      <c r="M1565" s="9" t="s">
        <v>141</v>
      </c>
      <c r="N1565" s="6" t="str">
        <f>VLOOKUP(M1565,[2]character_tribe_i18n!$A:$F,3,FALSE)</f>
        <v>Unknown</v>
      </c>
      <c r="O1565" s="97">
        <f>VLOOKUP(M1565,[2]character_tribe_i18n!$A:$F,4,FALSE)</f>
        <v>1</v>
      </c>
      <c r="P1565" s="97">
        <f>VLOOKUP(M1565,[2]character_tribe_i18n!$A:$F,5,FALSE)</f>
        <v>1</v>
      </c>
      <c r="Q1565" s="97">
        <f>VLOOKUP(M1565,[2]character_tribe_i18n!$A:$F,6,FALSE)</f>
        <v>1</v>
      </c>
      <c r="R1565" s="98" t="s">
        <v>98</v>
      </c>
      <c r="S1565" s="97">
        <f>VLOOKUP($R1565,ラベル別係数!$A$1:$E$7,3,FALSE)</f>
        <v>5</v>
      </c>
      <c r="T1565" s="97">
        <f>VLOOKUP($R1565,ラベル別係数!$A$1:$E$7,4,FALSE)</f>
        <v>1.3</v>
      </c>
      <c r="U1565" s="97">
        <f>VLOOKUP($R1565,ラベル別係数!$A$1:$E$7,5,FALSE)</f>
        <v>0.8</v>
      </c>
      <c r="V1565" s="98">
        <v>3</v>
      </c>
      <c r="W1565" s="99">
        <f>VLOOKUP(V1565,ターン数別攻撃係数!$A$1:$B$1000,2,FALSE)</f>
        <v>1</v>
      </c>
      <c r="X1565" s="9">
        <f>VLOOKUP(C1565,サイズ別係数!A$2:B$9,2,FALSE)</f>
        <v>60</v>
      </c>
      <c r="Y1565" s="97">
        <f>VLOOKUP($X1565,サイズ別係数!$B:$E,2,FALSE)</f>
        <v>1.7</v>
      </c>
      <c r="Z1565" s="97">
        <f>VLOOKUP($X1565,サイズ別係数!$B:$E,3,FALSE)</f>
        <v>1.4</v>
      </c>
      <c r="AA1565" s="97">
        <f>VLOOKUP($X1565,サイズ別係数!$B:$E,4,FALSE)</f>
        <v>1</v>
      </c>
      <c r="AB1565" s="10">
        <v>0</v>
      </c>
      <c r="AC1565" s="6" t="str">
        <f ca="1">VLOOKUP($AB1565,OFFSET([3]enemy_skill_sets!$B$2,0,0,COUNTA([3]enemy_skill_sets!$A:$A),MATCH(AC$1,[3]enemy_skill_sets!$1:$1,0)-MATCH($AB$1,[3]enemy_skill_sets!$1:$1,0)+1),MATCH(AC$1,[3]enemy_skill_sets!$1:$1,0)-MATCH($AB$1,[3]enemy_skill_sets!$1:$1,0)+1,FALSE)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5" s="67">
        <v>1</v>
      </c>
      <c r="AE1565" s="67">
        <v>1</v>
      </c>
      <c r="AF1565" s="68">
        <v>0</v>
      </c>
      <c r="AG1565" s="99">
        <f>ROUND(VLOOKUP(1,enemy_base_stats!$A:$F,2,FALSE) * Y1565* J1565*O1565*E1565*S1565*AD1565*[2]ステータス!$B$2,0)</f>
        <v>4335</v>
      </c>
      <c r="AH1565" s="99">
        <f>ROUND(VLOOKUP(1,enemy_base_stats!$A:$F,3,FALSE) * Z1565*K1565*P1565*F1565*T1565*AE1565 * W1565*[2]ステータス!$C$2,0)</f>
        <v>268</v>
      </c>
      <c r="AI1565" s="99">
        <f>ROUND(VLOOKUP(1,enemy_base_stats!$A:$F,4,FALSE) * AA1565*L1565*Q1565*G1565*U1565*AF1565*[2]ステータス!$D$2,0)</f>
        <v>0</v>
      </c>
      <c r="AJ1565" s="99">
        <f>ROUND(VLOOKUP(100,enemy_base_stats!$A:$F,2,FALSE) * Y1565* J1565*O1565*E1565*S1565*AD1565*[2]ステータス!$B$2,0)</f>
        <v>176001</v>
      </c>
      <c r="AK1565" s="99">
        <f>ROUND(VLOOKUP(100,enemy_base_stats!$A:$F,3,FALSE)* Z1565* K1565*P1565*F1565*T1565*AE1565 * W1565*[2]ステータス!$C$2,0)</f>
        <v>10862</v>
      </c>
      <c r="AL1565" s="99">
        <f>ROUND(VLOOKUP(100,enemy_base_stats!$A:$F,4,FALSE)* AA1565* L1565*Q1565*G1565*U1565*AF1565*[2]ステータス!$D$2,0)</f>
        <v>0</v>
      </c>
      <c r="AM1565" s="97">
        <f>VLOOKUP(M1565,[2]character_tribe_i18n!$A:$I,9,FALSE)</f>
        <v>340</v>
      </c>
      <c r="AN1565" s="97">
        <v>0</v>
      </c>
      <c r="AO1565" s="98">
        <v>0</v>
      </c>
      <c r="AP1565" s="58" t="s">
        <v>72</v>
      </c>
      <c r="AQ1565" s="34">
        <f t="shared" si="96"/>
        <v>8082</v>
      </c>
    </row>
    <row r="1566" spans="1:43" ht="21" customHeight="1" x14ac:dyDescent="0.15">
      <c r="A1566" s="105">
        <v>8083</v>
      </c>
      <c r="B1566" s="6" t="str">
        <f>VLOOKUP(A1566,[2]characters!$A:$C,3,FALSE)</f>
        <v>曹操</v>
      </c>
      <c r="C1566" s="9">
        <f>VLOOKUP(A1566,[2]characters!$A:$I,9,FALSE)</f>
        <v>5</v>
      </c>
      <c r="D1566" s="9" t="str">
        <f>VLOOKUP(A1566,[2]characters!$A:$H,8,FALSE)</f>
        <v>yellow</v>
      </c>
      <c r="E1566" s="97">
        <f>VLOOKUP(D1566,[2]属性!$A:$E,2,FALSE)</f>
        <v>0.98</v>
      </c>
      <c r="F1566" s="97">
        <f>VLOOKUP(D1566,[2]属性!$A:$E,3,FALSE)</f>
        <v>1.01</v>
      </c>
      <c r="G1566" s="97">
        <f>VLOOKUP(D1566,[2]属性!$A:$F,4,FALSE)</f>
        <v>1</v>
      </c>
      <c r="H1566" s="9" t="str">
        <f>VLOOKUP(A1566,[2]characters!$A:$K,11,FALSE)</f>
        <v>technical</v>
      </c>
      <c r="I1566" s="6" t="str">
        <f>VLOOKUP(H1566,[2]character_type_i18n!$A:$F,3,FALSE)</f>
        <v>テクニカルタイプ</v>
      </c>
      <c r="J1566" s="106">
        <v>1</v>
      </c>
      <c r="K1566" s="106">
        <v>1</v>
      </c>
      <c r="L1566" s="106">
        <f>VLOOKUP(H1566,[2]character_type_i18n!$A:$F,6,FALSE)</f>
        <v>1</v>
      </c>
      <c r="M1566" s="9" t="s">
        <v>141</v>
      </c>
      <c r="N1566" s="6" t="str">
        <f>VLOOKUP(M1566,[2]character_tribe_i18n!$A:$F,3,FALSE)</f>
        <v>Unknown</v>
      </c>
      <c r="O1566" s="97">
        <f>VLOOKUP(M1566,[2]character_tribe_i18n!$A:$F,4,FALSE)</f>
        <v>1</v>
      </c>
      <c r="P1566" s="97">
        <f>VLOOKUP(M1566,[2]character_tribe_i18n!$A:$F,5,FALSE)</f>
        <v>1</v>
      </c>
      <c r="Q1566" s="97">
        <f>VLOOKUP(M1566,[2]character_tribe_i18n!$A:$F,6,FALSE)</f>
        <v>1</v>
      </c>
      <c r="R1566" s="98" t="s">
        <v>98</v>
      </c>
      <c r="S1566" s="97">
        <f>VLOOKUP($R1566,ラベル別係数!$A$1:$E$7,3,FALSE)</f>
        <v>5</v>
      </c>
      <c r="T1566" s="97">
        <f>VLOOKUP($R1566,ラベル別係数!$A$1:$E$7,4,FALSE)</f>
        <v>1.3</v>
      </c>
      <c r="U1566" s="97">
        <f>VLOOKUP($R1566,ラベル別係数!$A$1:$E$7,5,FALSE)</f>
        <v>0.8</v>
      </c>
      <c r="V1566" s="98">
        <v>3</v>
      </c>
      <c r="W1566" s="99">
        <f>VLOOKUP(V1566,ターン数別攻撃係数!$A$1:$B$1000,2,FALSE)</f>
        <v>1</v>
      </c>
      <c r="X1566" s="9">
        <f>VLOOKUP(C1566,サイズ別係数!A$2:B$9,2,FALSE)</f>
        <v>60</v>
      </c>
      <c r="Y1566" s="97">
        <f>VLOOKUP($X1566,サイズ別係数!$B:$E,2,FALSE)</f>
        <v>1.7</v>
      </c>
      <c r="Z1566" s="97">
        <f>VLOOKUP($X1566,サイズ別係数!$B:$E,3,FALSE)</f>
        <v>1.4</v>
      </c>
      <c r="AA1566" s="97">
        <f>VLOOKUP($X1566,サイズ別係数!$B:$E,4,FALSE)</f>
        <v>1</v>
      </c>
      <c r="AB1566" s="10">
        <v>0</v>
      </c>
      <c r="AC1566" s="6" t="str">
        <f ca="1">VLOOKUP($AB1566,OFFSET([3]enemy_skill_sets!$B$2,0,0,COUNTA([3]enemy_skill_sets!$A:$A),MATCH(AC$1,[3]enemy_skill_sets!$1:$1,0)-MATCH($AB$1,[3]enemy_skill_sets!$1:$1,0)+1),MATCH(AC$1,[3]enemy_skill_sets!$1:$1,0)-MATCH($AB$1,[3]enemy_skill_sets!$1:$1,0)+1,FALSE)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6" s="67">
        <v>1</v>
      </c>
      <c r="AE1566" s="67">
        <v>1</v>
      </c>
      <c r="AF1566" s="68">
        <v>0</v>
      </c>
      <c r="AG1566" s="99">
        <f>ROUND(VLOOKUP(1,enemy_base_stats!$A:$F,2,FALSE) * Y1566* J1566*O1566*E1566*S1566*AD1566*[2]ステータス!$B$2,0)</f>
        <v>4165</v>
      </c>
      <c r="AH1566" s="99">
        <f>ROUND(VLOOKUP(1,enemy_base_stats!$A:$F,3,FALSE) * Z1566*K1566*P1566*F1566*T1566*AE1566 * W1566*[2]ステータス!$C$2,0)</f>
        <v>276</v>
      </c>
      <c r="AI1566" s="99">
        <f>ROUND(VLOOKUP(1,enemy_base_stats!$A:$F,4,FALSE) * AA1566*L1566*Q1566*G1566*U1566*AF1566*[2]ステータス!$D$2,0)</f>
        <v>0</v>
      </c>
      <c r="AJ1566" s="99">
        <f>ROUND(VLOOKUP(100,enemy_base_stats!$A:$F,2,FALSE) * Y1566* J1566*O1566*E1566*S1566*AD1566*[2]ステータス!$B$2,0)</f>
        <v>169099</v>
      </c>
      <c r="AK1566" s="99">
        <f>ROUND(VLOOKUP(100,enemy_base_stats!$A:$F,3,FALSE)* Z1566* K1566*P1566*F1566*T1566*AE1566 * W1566*[2]ステータス!$C$2,0)</f>
        <v>11195</v>
      </c>
      <c r="AL1566" s="99">
        <f>ROUND(VLOOKUP(100,enemy_base_stats!$A:$F,4,FALSE)* AA1566* L1566*Q1566*G1566*U1566*AF1566*[2]ステータス!$D$2,0)</f>
        <v>0</v>
      </c>
      <c r="AM1566" s="97">
        <f>VLOOKUP(M1566,[2]character_tribe_i18n!$A:$I,9,FALSE)</f>
        <v>340</v>
      </c>
      <c r="AN1566" s="97">
        <v>0</v>
      </c>
      <c r="AO1566" s="98">
        <v>0</v>
      </c>
      <c r="AP1566" s="58" t="s">
        <v>72</v>
      </c>
      <c r="AQ1566" s="34">
        <f t="shared" si="96"/>
        <v>8083</v>
      </c>
    </row>
    <row r="1567" spans="1:43" ht="21" customHeight="1" x14ac:dyDescent="0.15">
      <c r="A1567" s="105">
        <v>8084</v>
      </c>
      <c r="B1567" s="6" t="str">
        <f>VLOOKUP(A1567,[2]characters!$A:$C,3,FALSE)</f>
        <v>混沌の覇道行者 曹操</v>
      </c>
      <c r="C1567" s="9">
        <f>VLOOKUP(A1567,[2]characters!$A:$I,9,FALSE)</f>
        <v>6</v>
      </c>
      <c r="D1567" s="9" t="str">
        <f>VLOOKUP(A1567,[2]characters!$A:$H,8,FALSE)</f>
        <v>yellow</v>
      </c>
      <c r="E1567" s="97">
        <f>VLOOKUP(D1567,[2]属性!$A:$E,2,FALSE)</f>
        <v>0.98</v>
      </c>
      <c r="F1567" s="97">
        <f>VLOOKUP(D1567,[2]属性!$A:$E,3,FALSE)</f>
        <v>1.01</v>
      </c>
      <c r="G1567" s="97">
        <f>VLOOKUP(D1567,[2]属性!$A:$F,4,FALSE)</f>
        <v>1</v>
      </c>
      <c r="H1567" s="9" t="str">
        <f>VLOOKUP(A1567,[2]characters!$A:$K,11,FALSE)</f>
        <v>technical</v>
      </c>
      <c r="I1567" s="6" t="str">
        <f>VLOOKUP(H1567,[2]character_type_i18n!$A:$F,3,FALSE)</f>
        <v>テクニカルタイプ</v>
      </c>
      <c r="J1567" s="106">
        <v>1</v>
      </c>
      <c r="K1567" s="106">
        <v>1</v>
      </c>
      <c r="L1567" s="106">
        <f>VLOOKUP(H1567,[2]character_type_i18n!$A:$F,6,FALSE)</f>
        <v>1</v>
      </c>
      <c r="M1567" s="9" t="s">
        <v>141</v>
      </c>
      <c r="N1567" s="6" t="str">
        <f>VLOOKUP(M1567,[2]character_tribe_i18n!$A:$F,3,FALSE)</f>
        <v>Unknown</v>
      </c>
      <c r="O1567" s="97">
        <f>VLOOKUP(M1567,[2]character_tribe_i18n!$A:$F,4,FALSE)</f>
        <v>1</v>
      </c>
      <c r="P1567" s="97">
        <f>VLOOKUP(M1567,[2]character_tribe_i18n!$A:$F,5,FALSE)</f>
        <v>1</v>
      </c>
      <c r="Q1567" s="97">
        <f>VLOOKUP(M1567,[2]character_tribe_i18n!$A:$F,6,FALSE)</f>
        <v>1</v>
      </c>
      <c r="R1567" s="98" t="s">
        <v>98</v>
      </c>
      <c r="S1567" s="97">
        <f>VLOOKUP($R1567,ラベル別係数!$A$1:$E$7,3,FALSE)</f>
        <v>5</v>
      </c>
      <c r="T1567" s="97">
        <f>VLOOKUP($R1567,ラベル別係数!$A$1:$E$7,4,FALSE)</f>
        <v>1.3</v>
      </c>
      <c r="U1567" s="97">
        <f>VLOOKUP($R1567,ラベル別係数!$A$1:$E$7,5,FALSE)</f>
        <v>0.8</v>
      </c>
      <c r="V1567" s="98">
        <v>3</v>
      </c>
      <c r="W1567" s="99">
        <f>VLOOKUP(V1567,ターン数別攻撃係数!$A$1:$B$1000,2,FALSE)</f>
        <v>1</v>
      </c>
      <c r="X1567" s="9">
        <f>VLOOKUP(C1567,サイズ別係数!A$2:B$9,2,FALSE)</f>
        <v>60</v>
      </c>
      <c r="Y1567" s="97">
        <f>VLOOKUP($X1567,サイズ別係数!$B:$E,2,FALSE)</f>
        <v>1.7</v>
      </c>
      <c r="Z1567" s="97">
        <f>VLOOKUP($X1567,サイズ別係数!$B:$E,3,FALSE)</f>
        <v>1.4</v>
      </c>
      <c r="AA1567" s="97">
        <f>VLOOKUP($X1567,サイズ別係数!$B:$E,4,FALSE)</f>
        <v>1</v>
      </c>
      <c r="AB1567" s="10">
        <v>0</v>
      </c>
      <c r="AC1567" s="6" t="str">
        <f ca="1">VLOOKUP($AB1567,OFFSET([3]enemy_skill_sets!$B$2,0,0,COUNTA([3]enemy_skill_sets!$A:$A),MATCH(AC$1,[3]enemy_skill_sets!$1:$1,0)-MATCH($AB$1,[3]enemy_skill_sets!$1:$1,0)+1),MATCH(AC$1,[3]enemy_skill_sets!$1:$1,0)-MATCH($AB$1,[3]enemy_skill_sets!$1:$1,0)+1,FALSE)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7" s="67">
        <v>1</v>
      </c>
      <c r="AE1567" s="67">
        <v>1</v>
      </c>
      <c r="AF1567" s="68">
        <v>0</v>
      </c>
      <c r="AG1567" s="99">
        <f>ROUND(VLOOKUP(1,enemy_base_stats!$A:$F,2,FALSE) * Y1567* J1567*O1567*E1567*S1567*AD1567*[2]ステータス!$B$2,0)</f>
        <v>4165</v>
      </c>
      <c r="AH1567" s="99">
        <f>ROUND(VLOOKUP(1,enemy_base_stats!$A:$F,3,FALSE) * Z1567*K1567*P1567*F1567*T1567*AE1567 * W1567*[2]ステータス!$C$2,0)</f>
        <v>276</v>
      </c>
      <c r="AI1567" s="99">
        <f>ROUND(VLOOKUP(1,enemy_base_stats!$A:$F,4,FALSE) * AA1567*L1567*Q1567*G1567*U1567*AF1567*[2]ステータス!$D$2,0)</f>
        <v>0</v>
      </c>
      <c r="AJ1567" s="99">
        <f>ROUND(VLOOKUP(100,enemy_base_stats!$A:$F,2,FALSE) * Y1567* J1567*O1567*E1567*S1567*AD1567*[2]ステータス!$B$2,0)</f>
        <v>169099</v>
      </c>
      <c r="AK1567" s="99">
        <f>ROUND(VLOOKUP(100,enemy_base_stats!$A:$F,3,FALSE)* Z1567* K1567*P1567*F1567*T1567*AE1567 * W1567*[2]ステータス!$C$2,0)</f>
        <v>11195</v>
      </c>
      <c r="AL1567" s="99">
        <f>ROUND(VLOOKUP(100,enemy_base_stats!$A:$F,4,FALSE)* AA1567* L1567*Q1567*G1567*U1567*AF1567*[2]ステータス!$D$2,0)</f>
        <v>0</v>
      </c>
      <c r="AM1567" s="97">
        <f>VLOOKUP(M1567,[2]character_tribe_i18n!$A:$I,9,FALSE)</f>
        <v>340</v>
      </c>
      <c r="AN1567" s="97">
        <v>0</v>
      </c>
      <c r="AO1567" s="98">
        <v>0</v>
      </c>
      <c r="AP1567" s="58" t="s">
        <v>72</v>
      </c>
      <c r="AQ1567" s="34">
        <f t="shared" si="96"/>
        <v>8084</v>
      </c>
    </row>
    <row r="1568" spans="1:43" ht="21" customHeight="1" x14ac:dyDescent="0.15">
      <c r="A1568" s="105">
        <v>8085</v>
      </c>
      <c r="B1568" s="6" t="str">
        <f>VLOOKUP(A1568,[2]characters!$A:$C,3,FALSE)</f>
        <v>九霊無上の聖母 西王娘娘</v>
      </c>
      <c r="C1568" s="9">
        <f>VLOOKUP(A1568,[2]characters!$A:$I,9,FALSE)</f>
        <v>6</v>
      </c>
      <c r="D1568" s="9" t="str">
        <f>VLOOKUP(A1568,[2]characters!$A:$H,8,FALSE)</f>
        <v>green</v>
      </c>
      <c r="E1568" s="97">
        <f>VLOOKUP(D1568,[2]属性!$A:$E,2,FALSE)</f>
        <v>1.02</v>
      </c>
      <c r="F1568" s="97">
        <f>VLOOKUP(D1568,[2]属性!$A:$E,3,FALSE)</f>
        <v>0.98</v>
      </c>
      <c r="G1568" s="97">
        <f>VLOOKUP(D1568,[2]属性!$A:$F,4,FALSE)</f>
        <v>1</v>
      </c>
      <c r="H1568" s="9" t="str">
        <f>VLOOKUP(A1568,[2]characters!$A:$K,11,FALSE)</f>
        <v>attack</v>
      </c>
      <c r="I1568" s="6" t="str">
        <f>VLOOKUP(H1568,[2]character_type_i18n!$A:$F,3,FALSE)</f>
        <v>攻撃タイプ</v>
      </c>
      <c r="J1568" s="106">
        <v>1</v>
      </c>
      <c r="K1568" s="106">
        <v>1</v>
      </c>
      <c r="L1568" s="106">
        <f>VLOOKUP(H1568,[2]character_type_i18n!$A:$F,6,FALSE)</f>
        <v>1</v>
      </c>
      <c r="M1568" s="9" t="s">
        <v>141</v>
      </c>
      <c r="N1568" s="6" t="str">
        <f>VLOOKUP(M1568,[2]character_tribe_i18n!$A:$F,3,FALSE)</f>
        <v>Unknown</v>
      </c>
      <c r="O1568" s="97">
        <f>VLOOKUP(M1568,[2]character_tribe_i18n!$A:$F,4,FALSE)</f>
        <v>1</v>
      </c>
      <c r="P1568" s="97">
        <f>VLOOKUP(M1568,[2]character_tribe_i18n!$A:$F,5,FALSE)</f>
        <v>1</v>
      </c>
      <c r="Q1568" s="97">
        <f>VLOOKUP(M1568,[2]character_tribe_i18n!$A:$F,6,FALSE)</f>
        <v>1</v>
      </c>
      <c r="R1568" s="98" t="s">
        <v>98</v>
      </c>
      <c r="S1568" s="97">
        <f>VLOOKUP($R1568,ラベル別係数!$A$1:$E$7,3,FALSE)</f>
        <v>5</v>
      </c>
      <c r="T1568" s="97">
        <f>VLOOKUP($R1568,ラベル別係数!$A$1:$E$7,4,FALSE)</f>
        <v>1.3</v>
      </c>
      <c r="U1568" s="97">
        <f>VLOOKUP($R1568,ラベル別係数!$A$1:$E$7,5,FALSE)</f>
        <v>0.8</v>
      </c>
      <c r="V1568" s="98">
        <v>3</v>
      </c>
      <c r="W1568" s="99">
        <f>VLOOKUP(V1568,ターン数別攻撃係数!$A$1:$B$1000,2,FALSE)</f>
        <v>1</v>
      </c>
      <c r="X1568" s="9">
        <f>VLOOKUP(C1568,サイズ別係数!A$2:B$9,2,FALSE)</f>
        <v>60</v>
      </c>
      <c r="Y1568" s="97">
        <f>VLOOKUP($X1568,サイズ別係数!$B:$E,2,FALSE)</f>
        <v>1.7</v>
      </c>
      <c r="Z1568" s="97">
        <f>VLOOKUP($X1568,サイズ別係数!$B:$E,3,FALSE)</f>
        <v>1.4</v>
      </c>
      <c r="AA1568" s="97">
        <f>VLOOKUP($X1568,サイズ別係数!$B:$E,4,FALSE)</f>
        <v>1</v>
      </c>
      <c r="AB1568" s="10">
        <v>0</v>
      </c>
      <c r="AC1568" s="6" t="str">
        <f ca="1">VLOOKUP($AB1568,OFFSET([3]enemy_skill_sets!$B$2,0,0,COUNTA([3]enemy_skill_sets!$A:$A),MATCH(AC$1,[3]enemy_skill_sets!$1:$1,0)-MATCH($AB$1,[3]enemy_skill_sets!$1:$1,0)+1),MATCH(AC$1,[3]enemy_skill_sets!$1:$1,0)-MATCH($AB$1,[3]enemy_skill_sets!$1:$1,0)+1,FALSE)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8" s="67">
        <v>1</v>
      </c>
      <c r="AE1568" s="67">
        <v>1</v>
      </c>
      <c r="AF1568" s="68">
        <v>0</v>
      </c>
      <c r="AG1568" s="99">
        <f>ROUND(VLOOKUP(1,enemy_base_stats!$A:$F,2,FALSE) * Y1568* J1568*O1568*E1568*S1568*AD1568*[2]ステータス!$B$2,0)</f>
        <v>4335</v>
      </c>
      <c r="AH1568" s="99">
        <f>ROUND(VLOOKUP(1,enemy_base_stats!$A:$F,3,FALSE) * Z1568*K1568*P1568*F1568*T1568*AE1568 * W1568*[2]ステータス!$C$2,0)</f>
        <v>268</v>
      </c>
      <c r="AI1568" s="99">
        <f>ROUND(VLOOKUP(1,enemy_base_stats!$A:$F,4,FALSE) * AA1568*L1568*Q1568*G1568*U1568*AF1568*[2]ステータス!$D$2,0)</f>
        <v>0</v>
      </c>
      <c r="AJ1568" s="99">
        <f>ROUND(VLOOKUP(100,enemy_base_stats!$A:$F,2,FALSE) * Y1568* J1568*O1568*E1568*S1568*AD1568*[2]ステータス!$B$2,0)</f>
        <v>176001</v>
      </c>
      <c r="AK1568" s="99">
        <f>ROUND(VLOOKUP(100,enemy_base_stats!$A:$F,3,FALSE)* Z1568* K1568*P1568*F1568*T1568*AE1568 * W1568*[2]ステータス!$C$2,0)</f>
        <v>10862</v>
      </c>
      <c r="AL1568" s="99">
        <f>ROUND(VLOOKUP(100,enemy_base_stats!$A:$F,4,FALSE)* AA1568* L1568*Q1568*G1568*U1568*AF1568*[2]ステータス!$D$2,0)</f>
        <v>0</v>
      </c>
      <c r="AM1568" s="97">
        <f>VLOOKUP(M1568,[2]character_tribe_i18n!$A:$I,9,FALSE)</f>
        <v>340</v>
      </c>
      <c r="AN1568" s="97">
        <v>0</v>
      </c>
      <c r="AO1568" s="98">
        <v>0</v>
      </c>
      <c r="AP1568" s="58" t="s">
        <v>72</v>
      </c>
      <c r="AQ1568" s="34">
        <f t="shared" si="96"/>
        <v>8085</v>
      </c>
    </row>
    <row r="1569" spans="1:43" ht="21" customHeight="1" x14ac:dyDescent="0.15">
      <c r="A1569" s="105">
        <v>8086</v>
      </c>
      <c r="B1569" s="6" t="str">
        <f>VLOOKUP(A1569,[2]characters!$A:$C,3,FALSE)</f>
        <v>砕縁の情滅剣 月下老人</v>
      </c>
      <c r="C1569" s="9">
        <f>VLOOKUP(A1569,[2]characters!$A:$I,9,FALSE)</f>
        <v>6</v>
      </c>
      <c r="D1569" s="9" t="str">
        <f>VLOOKUP(A1569,[2]characters!$A:$H,8,FALSE)</f>
        <v>yellow</v>
      </c>
      <c r="E1569" s="97">
        <f>VLOOKUP(D1569,[2]属性!$A:$E,2,FALSE)</f>
        <v>0.98</v>
      </c>
      <c r="F1569" s="97">
        <f>VLOOKUP(D1569,[2]属性!$A:$E,3,FALSE)</f>
        <v>1.01</v>
      </c>
      <c r="G1569" s="97">
        <f>VLOOKUP(D1569,[2]属性!$A:$F,4,FALSE)</f>
        <v>1</v>
      </c>
      <c r="H1569" s="9" t="str">
        <f>VLOOKUP(A1569,[2]characters!$A:$K,11,FALSE)</f>
        <v>attack</v>
      </c>
      <c r="I1569" s="6" t="str">
        <f>VLOOKUP(H1569,[2]character_type_i18n!$A:$F,3,FALSE)</f>
        <v>攻撃タイプ</v>
      </c>
      <c r="J1569" s="106">
        <v>1</v>
      </c>
      <c r="K1569" s="106">
        <v>1</v>
      </c>
      <c r="L1569" s="106">
        <f>VLOOKUP(H1569,[2]character_type_i18n!$A:$F,6,FALSE)</f>
        <v>1</v>
      </c>
      <c r="M1569" s="9" t="s">
        <v>141</v>
      </c>
      <c r="N1569" s="6" t="str">
        <f>VLOOKUP(M1569,[2]character_tribe_i18n!$A:$F,3,FALSE)</f>
        <v>Unknown</v>
      </c>
      <c r="O1569" s="97">
        <f>VLOOKUP(M1569,[2]character_tribe_i18n!$A:$F,4,FALSE)</f>
        <v>1</v>
      </c>
      <c r="P1569" s="97">
        <f>VLOOKUP(M1569,[2]character_tribe_i18n!$A:$F,5,FALSE)</f>
        <v>1</v>
      </c>
      <c r="Q1569" s="97">
        <f>VLOOKUP(M1569,[2]character_tribe_i18n!$A:$F,6,FALSE)</f>
        <v>1</v>
      </c>
      <c r="R1569" s="98" t="s">
        <v>98</v>
      </c>
      <c r="S1569" s="97">
        <f>VLOOKUP($R1569,ラベル別係数!$A$1:$E$7,3,FALSE)</f>
        <v>5</v>
      </c>
      <c r="T1569" s="97">
        <f>VLOOKUP($R1569,ラベル別係数!$A$1:$E$7,4,FALSE)</f>
        <v>1.3</v>
      </c>
      <c r="U1569" s="97">
        <f>VLOOKUP($R1569,ラベル別係数!$A$1:$E$7,5,FALSE)</f>
        <v>0.8</v>
      </c>
      <c r="V1569" s="98">
        <v>3</v>
      </c>
      <c r="W1569" s="99">
        <f>VLOOKUP(V1569,ターン数別攻撃係数!$A$1:$B$1000,2,FALSE)</f>
        <v>1</v>
      </c>
      <c r="X1569" s="9">
        <f>VLOOKUP(C1569,サイズ別係数!A$2:B$9,2,FALSE)</f>
        <v>60</v>
      </c>
      <c r="Y1569" s="97">
        <f>VLOOKUP($X1569,サイズ別係数!$B:$E,2,FALSE)</f>
        <v>1.7</v>
      </c>
      <c r="Z1569" s="97">
        <f>VLOOKUP($X1569,サイズ別係数!$B:$E,3,FALSE)</f>
        <v>1.4</v>
      </c>
      <c r="AA1569" s="97">
        <f>VLOOKUP($X1569,サイズ別係数!$B:$E,4,FALSE)</f>
        <v>1</v>
      </c>
      <c r="AB1569" s="10">
        <v>0</v>
      </c>
      <c r="AC1569" s="6" t="str">
        <f ca="1">VLOOKUP($AB1569,OFFSET([3]enemy_skill_sets!$B$2,0,0,COUNTA([3]enemy_skill_sets!$A:$A),MATCH(AC$1,[3]enemy_skill_sets!$1:$1,0)-MATCH($AB$1,[3]enemy_skill_sets!$1:$1,0)+1),MATCH(AC$1,[3]enemy_skill_sets!$1:$1,0)-MATCH($AB$1,[3]enemy_skill_sets!$1:$1,0)+1,FALSE)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69" s="67">
        <v>1</v>
      </c>
      <c r="AE1569" s="67">
        <v>1</v>
      </c>
      <c r="AF1569" s="68">
        <v>0</v>
      </c>
      <c r="AG1569" s="99">
        <f>ROUND(VLOOKUP(1,enemy_base_stats!$A:$F,2,FALSE) * Y1569* J1569*O1569*E1569*S1569*AD1569*[2]ステータス!$B$2,0)</f>
        <v>4165</v>
      </c>
      <c r="AH1569" s="99">
        <f>ROUND(VLOOKUP(1,enemy_base_stats!$A:$F,3,FALSE) * Z1569*K1569*P1569*F1569*T1569*AE1569 * W1569*[2]ステータス!$C$2,0)</f>
        <v>276</v>
      </c>
      <c r="AI1569" s="99">
        <f>ROUND(VLOOKUP(1,enemy_base_stats!$A:$F,4,FALSE) * AA1569*L1569*Q1569*G1569*U1569*AF1569*[2]ステータス!$D$2,0)</f>
        <v>0</v>
      </c>
      <c r="AJ1569" s="99">
        <f>ROUND(VLOOKUP(100,enemy_base_stats!$A:$F,2,FALSE) * Y1569* J1569*O1569*E1569*S1569*AD1569*[2]ステータス!$B$2,0)</f>
        <v>169099</v>
      </c>
      <c r="AK1569" s="99">
        <f>ROUND(VLOOKUP(100,enemy_base_stats!$A:$F,3,FALSE)* Z1569* K1569*P1569*F1569*T1569*AE1569 * W1569*[2]ステータス!$C$2,0)</f>
        <v>11195</v>
      </c>
      <c r="AL1569" s="99">
        <f>ROUND(VLOOKUP(100,enemy_base_stats!$A:$F,4,FALSE)* AA1569* L1569*Q1569*G1569*U1569*AF1569*[2]ステータス!$D$2,0)</f>
        <v>0</v>
      </c>
      <c r="AM1569" s="97">
        <f>VLOOKUP(M1569,[2]character_tribe_i18n!$A:$I,9,FALSE)</f>
        <v>340</v>
      </c>
      <c r="AN1569" s="97">
        <v>0</v>
      </c>
      <c r="AO1569" s="98">
        <v>0</v>
      </c>
      <c r="AP1569" s="58" t="s">
        <v>72</v>
      </c>
      <c r="AQ1569" s="34">
        <f t="shared" si="96"/>
        <v>8086</v>
      </c>
    </row>
    <row r="1570" spans="1:43" ht="21" customHeight="1" x14ac:dyDescent="0.15">
      <c r="A1570" s="105">
        <v>8087</v>
      </c>
      <c r="B1570" s="6" t="str">
        <f>VLOOKUP(A1570,[2]characters!$A:$C,3,FALSE)</f>
        <v>財神</v>
      </c>
      <c r="C1570" s="9">
        <f>VLOOKUP(A1570,[2]characters!$A:$I,9,FALSE)</f>
        <v>5</v>
      </c>
      <c r="D1570" s="9" t="str">
        <f>VLOOKUP(A1570,[2]characters!$A:$H,8,FALSE)</f>
        <v>red</v>
      </c>
      <c r="E1570" s="97">
        <f>VLOOKUP(D1570,[2]属性!$A:$E,2,FALSE)</f>
        <v>1</v>
      </c>
      <c r="F1570" s="97">
        <f>VLOOKUP(D1570,[2]属性!$A:$E,3,FALSE)</f>
        <v>1.02</v>
      </c>
      <c r="G1570" s="97">
        <f>VLOOKUP(D1570,[2]属性!$A:$F,4,FALSE)</f>
        <v>1</v>
      </c>
      <c r="H1570" s="9" t="str">
        <f>VLOOKUP(A1570,[2]characters!$A:$K,11,FALSE)</f>
        <v>technical</v>
      </c>
      <c r="I1570" s="6" t="str">
        <f>VLOOKUP(H1570,[2]character_type_i18n!$A:$F,3,FALSE)</f>
        <v>テクニカルタイプ</v>
      </c>
      <c r="J1570" s="106">
        <v>1</v>
      </c>
      <c r="K1570" s="106">
        <v>1</v>
      </c>
      <c r="L1570" s="106">
        <f>VLOOKUP(H1570,[2]character_type_i18n!$A:$F,6,FALSE)</f>
        <v>1</v>
      </c>
      <c r="M1570" s="9" t="s">
        <v>141</v>
      </c>
      <c r="N1570" s="6" t="str">
        <f>VLOOKUP(M1570,[2]character_tribe_i18n!$A:$F,3,FALSE)</f>
        <v>Unknown</v>
      </c>
      <c r="O1570" s="97">
        <f>VLOOKUP(M1570,[2]character_tribe_i18n!$A:$F,4,FALSE)</f>
        <v>1</v>
      </c>
      <c r="P1570" s="97">
        <f>VLOOKUP(M1570,[2]character_tribe_i18n!$A:$F,5,FALSE)</f>
        <v>1</v>
      </c>
      <c r="Q1570" s="97">
        <f>VLOOKUP(M1570,[2]character_tribe_i18n!$A:$F,6,FALSE)</f>
        <v>1</v>
      </c>
      <c r="R1570" s="98" t="s">
        <v>98</v>
      </c>
      <c r="S1570" s="97">
        <f>VLOOKUP($R1570,ラベル別係数!$A$1:$E$7,3,FALSE)</f>
        <v>5</v>
      </c>
      <c r="T1570" s="97">
        <f>VLOOKUP($R1570,ラベル別係数!$A$1:$E$7,4,FALSE)</f>
        <v>1.3</v>
      </c>
      <c r="U1570" s="97">
        <f>VLOOKUP($R1570,ラベル別係数!$A$1:$E$7,5,FALSE)</f>
        <v>0.8</v>
      </c>
      <c r="V1570" s="98">
        <v>3</v>
      </c>
      <c r="W1570" s="99">
        <f>VLOOKUP(V1570,ターン数別攻撃係数!$A$1:$B$1000,2,FALSE)</f>
        <v>1</v>
      </c>
      <c r="X1570" s="9">
        <f>VLOOKUP(C1570,サイズ別係数!A$2:B$9,2,FALSE)</f>
        <v>60</v>
      </c>
      <c r="Y1570" s="97">
        <f>VLOOKUP($X1570,サイズ別係数!$B:$E,2,FALSE)</f>
        <v>1.7</v>
      </c>
      <c r="Z1570" s="97">
        <f>VLOOKUP($X1570,サイズ別係数!$B:$E,3,FALSE)</f>
        <v>1.4</v>
      </c>
      <c r="AA1570" s="97">
        <f>VLOOKUP($X1570,サイズ別係数!$B:$E,4,FALSE)</f>
        <v>1</v>
      </c>
      <c r="AB1570" s="10">
        <v>0</v>
      </c>
      <c r="AC1570" s="6" t="str">
        <f ca="1">VLOOKUP($AB1570,OFFSET([3]enemy_skill_sets!$B$2,0,0,COUNTA([3]enemy_skill_sets!$A:$A),MATCH(AC$1,[3]enemy_skill_sets!$1:$1,0)-MATCH($AB$1,[3]enemy_skill_sets!$1:$1,0)+1),MATCH(AC$1,[3]enemy_skill_sets!$1:$1,0)-MATCH($AB$1,[3]enemy_skill_sets!$1:$1,0)+1,FALSE)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0" s="67">
        <v>1</v>
      </c>
      <c r="AE1570" s="67">
        <v>1</v>
      </c>
      <c r="AF1570" s="68">
        <v>0</v>
      </c>
      <c r="AG1570" s="99">
        <f>ROUND(VLOOKUP(1,enemy_base_stats!$A:$F,2,FALSE) * Y1570* J1570*O1570*E1570*S1570*AD1570*[2]ステータス!$B$2,0)</f>
        <v>4250</v>
      </c>
      <c r="AH1570" s="99">
        <f>ROUND(VLOOKUP(1,enemy_base_stats!$A:$F,3,FALSE) * Z1570*K1570*P1570*F1570*T1570*AE1570 * W1570*[2]ステータス!$C$2,0)</f>
        <v>278</v>
      </c>
      <c r="AI1570" s="99">
        <f>ROUND(VLOOKUP(1,enemy_base_stats!$A:$F,4,FALSE) * AA1570*L1570*Q1570*G1570*U1570*AF1570*[2]ステータス!$D$2,0)</f>
        <v>0</v>
      </c>
      <c r="AJ1570" s="99">
        <f>ROUND(VLOOKUP(100,enemy_base_stats!$A:$F,2,FALSE) * Y1570* J1570*O1570*E1570*S1570*AD1570*[2]ステータス!$B$2,0)</f>
        <v>172550</v>
      </c>
      <c r="AK1570" s="99">
        <f>ROUND(VLOOKUP(100,enemy_base_stats!$A:$F,3,FALSE)* Z1570* K1570*P1570*F1570*T1570*AE1570 * W1570*[2]ステータス!$C$2,0)</f>
        <v>11305</v>
      </c>
      <c r="AL1570" s="99">
        <f>ROUND(VLOOKUP(100,enemy_base_stats!$A:$F,4,FALSE)* AA1570* L1570*Q1570*G1570*U1570*AF1570*[2]ステータス!$D$2,0)</f>
        <v>0</v>
      </c>
      <c r="AM1570" s="97">
        <f>VLOOKUP(M1570,[2]character_tribe_i18n!$A:$I,9,FALSE)</f>
        <v>340</v>
      </c>
      <c r="AN1570" s="97">
        <v>0</v>
      </c>
      <c r="AO1570" s="98">
        <v>0</v>
      </c>
      <c r="AP1570" s="58" t="s">
        <v>72</v>
      </c>
      <c r="AQ1570" s="34">
        <f t="shared" ref="AQ1570:AQ1573" si="97">A1570</f>
        <v>8087</v>
      </c>
    </row>
    <row r="1571" spans="1:43" ht="21" customHeight="1" x14ac:dyDescent="0.15">
      <c r="A1571" s="105">
        <v>8088</v>
      </c>
      <c r="B1571" s="6" t="str">
        <f>VLOOKUP(A1571,[2]characters!$A:$C,3,FALSE)</f>
        <v>★６財神</v>
      </c>
      <c r="C1571" s="9">
        <f>VLOOKUP(A1571,[2]characters!$A:$I,9,FALSE)</f>
        <v>6</v>
      </c>
      <c r="D1571" s="9" t="str">
        <f>VLOOKUP(A1571,[2]characters!$A:$H,8,FALSE)</f>
        <v>red</v>
      </c>
      <c r="E1571" s="97">
        <f>VLOOKUP(D1571,[2]属性!$A:$E,2,FALSE)</f>
        <v>1</v>
      </c>
      <c r="F1571" s="97">
        <f>VLOOKUP(D1571,[2]属性!$A:$E,3,FALSE)</f>
        <v>1.02</v>
      </c>
      <c r="G1571" s="97">
        <f>VLOOKUP(D1571,[2]属性!$A:$F,4,FALSE)</f>
        <v>1</v>
      </c>
      <c r="H1571" s="9" t="str">
        <f>VLOOKUP(A1571,[2]characters!$A:$K,11,FALSE)</f>
        <v>technical</v>
      </c>
      <c r="I1571" s="6" t="str">
        <f>VLOOKUP(H1571,[2]character_type_i18n!$A:$F,3,FALSE)</f>
        <v>テクニカルタイプ</v>
      </c>
      <c r="J1571" s="106">
        <v>1</v>
      </c>
      <c r="K1571" s="106">
        <v>1</v>
      </c>
      <c r="L1571" s="106">
        <f>VLOOKUP(H1571,[2]character_type_i18n!$A:$F,6,FALSE)</f>
        <v>1</v>
      </c>
      <c r="M1571" s="9" t="s">
        <v>141</v>
      </c>
      <c r="N1571" s="6" t="str">
        <f>VLOOKUP(M1571,[2]character_tribe_i18n!$A:$F,3,FALSE)</f>
        <v>Unknown</v>
      </c>
      <c r="O1571" s="97">
        <f>VLOOKUP(M1571,[2]character_tribe_i18n!$A:$F,4,FALSE)</f>
        <v>1</v>
      </c>
      <c r="P1571" s="97">
        <f>VLOOKUP(M1571,[2]character_tribe_i18n!$A:$F,5,FALSE)</f>
        <v>1</v>
      </c>
      <c r="Q1571" s="97">
        <f>VLOOKUP(M1571,[2]character_tribe_i18n!$A:$F,6,FALSE)</f>
        <v>1</v>
      </c>
      <c r="R1571" s="98" t="s">
        <v>98</v>
      </c>
      <c r="S1571" s="97">
        <f>VLOOKUP($R1571,ラベル別係数!$A$1:$E$7,3,FALSE)</f>
        <v>5</v>
      </c>
      <c r="T1571" s="97">
        <f>VLOOKUP($R1571,ラベル別係数!$A$1:$E$7,4,FALSE)</f>
        <v>1.3</v>
      </c>
      <c r="U1571" s="97">
        <f>VLOOKUP($R1571,ラベル別係数!$A$1:$E$7,5,FALSE)</f>
        <v>0.8</v>
      </c>
      <c r="V1571" s="98">
        <v>3</v>
      </c>
      <c r="W1571" s="99">
        <f>VLOOKUP(V1571,ターン数別攻撃係数!$A$1:$B$1000,2,FALSE)</f>
        <v>1</v>
      </c>
      <c r="X1571" s="9">
        <f>VLOOKUP(C1571,サイズ別係数!A$2:B$9,2,FALSE)</f>
        <v>60</v>
      </c>
      <c r="Y1571" s="97">
        <f>VLOOKUP($X1571,サイズ別係数!$B:$E,2,FALSE)</f>
        <v>1.7</v>
      </c>
      <c r="Z1571" s="97">
        <f>VLOOKUP($X1571,サイズ別係数!$B:$E,3,FALSE)</f>
        <v>1.4</v>
      </c>
      <c r="AA1571" s="97">
        <f>VLOOKUP($X1571,サイズ別係数!$B:$E,4,FALSE)</f>
        <v>1</v>
      </c>
      <c r="AB1571" s="10">
        <v>0</v>
      </c>
      <c r="AC1571" s="6" t="str">
        <f ca="1">VLOOKUP($AB1571,OFFSET([3]enemy_skill_sets!$B$2,0,0,COUNTA([3]enemy_skill_sets!$A:$A),MATCH(AC$1,[3]enemy_skill_sets!$1:$1,0)-MATCH($AB$1,[3]enemy_skill_sets!$1:$1,0)+1),MATCH(AC$1,[3]enemy_skill_sets!$1:$1,0)-MATCH($AB$1,[3]enemy_skill_sets!$1:$1,0)+1,FALSE)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1" s="67">
        <v>1</v>
      </c>
      <c r="AE1571" s="67">
        <v>1</v>
      </c>
      <c r="AF1571" s="68">
        <v>0</v>
      </c>
      <c r="AG1571" s="99">
        <f>ROUND(VLOOKUP(1,enemy_base_stats!$A:$F,2,FALSE) * Y1571* J1571*O1571*E1571*S1571*AD1571*[2]ステータス!$B$2,0)</f>
        <v>4250</v>
      </c>
      <c r="AH1571" s="99">
        <f>ROUND(VLOOKUP(1,enemy_base_stats!$A:$F,3,FALSE) * Z1571*K1571*P1571*F1571*T1571*AE1571 * W1571*[2]ステータス!$C$2,0)</f>
        <v>278</v>
      </c>
      <c r="AI1571" s="99">
        <f>ROUND(VLOOKUP(1,enemy_base_stats!$A:$F,4,FALSE) * AA1571*L1571*Q1571*G1571*U1571*AF1571*[2]ステータス!$D$2,0)</f>
        <v>0</v>
      </c>
      <c r="AJ1571" s="99">
        <f>ROUND(VLOOKUP(100,enemy_base_stats!$A:$F,2,FALSE) * Y1571* J1571*O1571*E1571*S1571*AD1571*[2]ステータス!$B$2,0)</f>
        <v>172550</v>
      </c>
      <c r="AK1571" s="99">
        <f>ROUND(VLOOKUP(100,enemy_base_stats!$A:$F,3,FALSE)* Z1571* K1571*P1571*F1571*T1571*AE1571 * W1571*[2]ステータス!$C$2,0)</f>
        <v>11305</v>
      </c>
      <c r="AL1571" s="99">
        <f>ROUND(VLOOKUP(100,enemy_base_stats!$A:$F,4,FALSE)* AA1571* L1571*Q1571*G1571*U1571*AF1571*[2]ステータス!$D$2,0)</f>
        <v>0</v>
      </c>
      <c r="AM1571" s="97">
        <f>VLOOKUP(M1571,[2]character_tribe_i18n!$A:$I,9,FALSE)</f>
        <v>340</v>
      </c>
      <c r="AN1571" s="97">
        <v>0</v>
      </c>
      <c r="AO1571" s="98">
        <v>0</v>
      </c>
      <c r="AP1571" s="58" t="s">
        <v>72</v>
      </c>
      <c r="AQ1571" s="34">
        <f t="shared" si="97"/>
        <v>8088</v>
      </c>
    </row>
    <row r="1572" spans="1:43" ht="21" customHeight="1" x14ac:dyDescent="0.15">
      <c r="A1572" s="105">
        <v>8089</v>
      </c>
      <c r="B1572" s="6" t="str">
        <f>VLOOKUP(A1572,[2]characters!$A:$C,3,FALSE)</f>
        <v>年獣</v>
      </c>
      <c r="C1572" s="9">
        <f>VLOOKUP(A1572,[2]characters!$A:$I,9,FALSE)</f>
        <v>5</v>
      </c>
      <c r="D1572" s="9" t="str">
        <f>VLOOKUP(A1572,[2]characters!$A:$H,8,FALSE)</f>
        <v>green</v>
      </c>
      <c r="E1572" s="97">
        <f>VLOOKUP(D1572,[2]属性!$A:$E,2,FALSE)</f>
        <v>1.02</v>
      </c>
      <c r="F1572" s="97">
        <f>VLOOKUP(D1572,[2]属性!$A:$E,3,FALSE)</f>
        <v>0.98</v>
      </c>
      <c r="G1572" s="97">
        <f>VLOOKUP(D1572,[2]属性!$A:$F,4,FALSE)</f>
        <v>1</v>
      </c>
      <c r="H1572" s="9" t="str">
        <f>VLOOKUP(A1572,[2]characters!$A:$K,11,FALSE)</f>
        <v>attack</v>
      </c>
      <c r="I1572" s="6" t="str">
        <f>VLOOKUP(H1572,[2]character_type_i18n!$A:$F,3,FALSE)</f>
        <v>攻撃タイプ</v>
      </c>
      <c r="J1572" s="106">
        <v>1</v>
      </c>
      <c r="K1572" s="106">
        <v>1</v>
      </c>
      <c r="L1572" s="106">
        <f>VLOOKUP(H1572,[2]character_type_i18n!$A:$F,6,FALSE)</f>
        <v>1</v>
      </c>
      <c r="M1572" s="9" t="s">
        <v>141</v>
      </c>
      <c r="N1572" s="6" t="str">
        <f>VLOOKUP(M1572,[2]character_tribe_i18n!$A:$F,3,FALSE)</f>
        <v>Unknown</v>
      </c>
      <c r="O1572" s="97">
        <f>VLOOKUP(M1572,[2]character_tribe_i18n!$A:$F,4,FALSE)</f>
        <v>1</v>
      </c>
      <c r="P1572" s="97">
        <f>VLOOKUP(M1572,[2]character_tribe_i18n!$A:$F,5,FALSE)</f>
        <v>1</v>
      </c>
      <c r="Q1572" s="97">
        <f>VLOOKUP(M1572,[2]character_tribe_i18n!$A:$F,6,FALSE)</f>
        <v>1</v>
      </c>
      <c r="R1572" s="98" t="s">
        <v>98</v>
      </c>
      <c r="S1572" s="97">
        <f>VLOOKUP($R1572,ラベル別係数!$A$1:$E$7,3,FALSE)</f>
        <v>5</v>
      </c>
      <c r="T1572" s="97">
        <f>VLOOKUP($R1572,ラベル別係数!$A$1:$E$7,4,FALSE)</f>
        <v>1.3</v>
      </c>
      <c r="U1572" s="97">
        <f>VLOOKUP($R1572,ラベル別係数!$A$1:$E$7,5,FALSE)</f>
        <v>0.8</v>
      </c>
      <c r="V1572" s="98">
        <v>3</v>
      </c>
      <c r="W1572" s="99">
        <f>VLOOKUP(V1572,ターン数別攻撃係数!$A$1:$B$1000,2,FALSE)</f>
        <v>1</v>
      </c>
      <c r="X1572" s="9">
        <f>VLOOKUP(C1572,サイズ別係数!A$2:B$9,2,FALSE)</f>
        <v>60</v>
      </c>
      <c r="Y1572" s="97">
        <f>VLOOKUP($X1572,サイズ別係数!$B:$E,2,FALSE)</f>
        <v>1.7</v>
      </c>
      <c r="Z1572" s="97">
        <f>VLOOKUP($X1572,サイズ別係数!$B:$E,3,FALSE)</f>
        <v>1.4</v>
      </c>
      <c r="AA1572" s="97">
        <f>VLOOKUP($X1572,サイズ別係数!$B:$E,4,FALSE)</f>
        <v>1</v>
      </c>
      <c r="AB1572" s="10">
        <v>0</v>
      </c>
      <c r="AC1572" s="6" t="str">
        <f ca="1">VLOOKUP($AB1572,OFFSET([3]enemy_skill_sets!$B$2,0,0,COUNTA([3]enemy_skill_sets!$A:$A),MATCH(AC$1,[3]enemy_skill_sets!$1:$1,0)-MATCH($AB$1,[3]enemy_skill_sets!$1:$1,0)+1),MATCH(AC$1,[3]enemy_skill_sets!$1:$1,0)-MATCH($AB$1,[3]enemy_skill_sets!$1:$1,0)+1,FALSE)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2" s="67">
        <v>1</v>
      </c>
      <c r="AE1572" s="67">
        <v>1</v>
      </c>
      <c r="AF1572" s="68">
        <v>0</v>
      </c>
      <c r="AG1572" s="99">
        <f>ROUND(VLOOKUP(1,enemy_base_stats!$A:$F,2,FALSE) * Y1572* J1572*O1572*E1572*S1572*AD1572*[2]ステータス!$B$2,0)</f>
        <v>4335</v>
      </c>
      <c r="AH1572" s="99">
        <f>ROUND(VLOOKUP(1,enemy_base_stats!$A:$F,3,FALSE) * Z1572*K1572*P1572*F1572*T1572*AE1572 * W1572*[2]ステータス!$C$2,0)</f>
        <v>268</v>
      </c>
      <c r="AI1572" s="99">
        <f>ROUND(VLOOKUP(1,enemy_base_stats!$A:$F,4,FALSE) * AA1572*L1572*Q1572*G1572*U1572*AF1572*[2]ステータス!$D$2,0)</f>
        <v>0</v>
      </c>
      <c r="AJ1572" s="99">
        <f>ROUND(VLOOKUP(100,enemy_base_stats!$A:$F,2,FALSE) * Y1572* J1572*O1572*E1572*S1572*AD1572*[2]ステータス!$B$2,0)</f>
        <v>176001</v>
      </c>
      <c r="AK1572" s="99">
        <f>ROUND(VLOOKUP(100,enemy_base_stats!$A:$F,3,FALSE)* Z1572* K1572*P1572*F1572*T1572*AE1572 * W1572*[2]ステータス!$C$2,0)</f>
        <v>10862</v>
      </c>
      <c r="AL1572" s="99">
        <f>ROUND(VLOOKUP(100,enemy_base_stats!$A:$F,4,FALSE)* AA1572* L1572*Q1572*G1572*U1572*AF1572*[2]ステータス!$D$2,0)</f>
        <v>0</v>
      </c>
      <c r="AM1572" s="97">
        <f>VLOOKUP(M1572,[2]character_tribe_i18n!$A:$I,9,FALSE)</f>
        <v>340</v>
      </c>
      <c r="AN1572" s="97">
        <v>0</v>
      </c>
      <c r="AO1572" s="98">
        <v>0</v>
      </c>
      <c r="AP1572" s="58" t="s">
        <v>72</v>
      </c>
      <c r="AQ1572" s="34">
        <f t="shared" si="97"/>
        <v>8089</v>
      </c>
    </row>
    <row r="1573" spans="1:43" ht="21" customHeight="1" x14ac:dyDescent="0.15">
      <c r="A1573" s="105">
        <v>8090</v>
      </c>
      <c r="B1573" s="6" t="str">
        <f>VLOOKUP(A1573,[2]characters!$A:$C,3,FALSE)</f>
        <v>★６年獣</v>
      </c>
      <c r="C1573" s="9">
        <f>VLOOKUP(A1573,[2]characters!$A:$I,9,FALSE)</f>
        <v>6</v>
      </c>
      <c r="D1573" s="9" t="str">
        <f>VLOOKUP(A1573,[2]characters!$A:$H,8,FALSE)</f>
        <v>green</v>
      </c>
      <c r="E1573" s="97">
        <f>VLOOKUP(D1573,[2]属性!$A:$E,2,FALSE)</f>
        <v>1.02</v>
      </c>
      <c r="F1573" s="97">
        <f>VLOOKUP(D1573,[2]属性!$A:$E,3,FALSE)</f>
        <v>0.98</v>
      </c>
      <c r="G1573" s="97">
        <f>VLOOKUP(D1573,[2]属性!$A:$F,4,FALSE)</f>
        <v>1</v>
      </c>
      <c r="H1573" s="9" t="str">
        <f>VLOOKUP(A1573,[2]characters!$A:$K,11,FALSE)</f>
        <v>attack</v>
      </c>
      <c r="I1573" s="6" t="str">
        <f>VLOOKUP(H1573,[2]character_type_i18n!$A:$F,3,FALSE)</f>
        <v>攻撃タイプ</v>
      </c>
      <c r="J1573" s="106">
        <v>1</v>
      </c>
      <c r="K1573" s="106">
        <v>1</v>
      </c>
      <c r="L1573" s="106">
        <f>VLOOKUP(H1573,[2]character_type_i18n!$A:$F,6,FALSE)</f>
        <v>1</v>
      </c>
      <c r="M1573" s="9" t="s">
        <v>141</v>
      </c>
      <c r="N1573" s="6" t="str">
        <f>VLOOKUP(M1573,[2]character_tribe_i18n!$A:$F,3,FALSE)</f>
        <v>Unknown</v>
      </c>
      <c r="O1573" s="97">
        <f>VLOOKUP(M1573,[2]character_tribe_i18n!$A:$F,4,FALSE)</f>
        <v>1</v>
      </c>
      <c r="P1573" s="97">
        <f>VLOOKUP(M1573,[2]character_tribe_i18n!$A:$F,5,FALSE)</f>
        <v>1</v>
      </c>
      <c r="Q1573" s="97">
        <f>VLOOKUP(M1573,[2]character_tribe_i18n!$A:$F,6,FALSE)</f>
        <v>1</v>
      </c>
      <c r="R1573" s="98" t="s">
        <v>98</v>
      </c>
      <c r="S1573" s="97">
        <f>VLOOKUP($R1573,ラベル別係数!$A$1:$E$7,3,FALSE)</f>
        <v>5</v>
      </c>
      <c r="T1573" s="97">
        <f>VLOOKUP($R1573,ラベル別係数!$A$1:$E$7,4,FALSE)</f>
        <v>1.3</v>
      </c>
      <c r="U1573" s="97">
        <f>VLOOKUP($R1573,ラベル別係数!$A$1:$E$7,5,FALSE)</f>
        <v>0.8</v>
      </c>
      <c r="V1573" s="98">
        <v>3</v>
      </c>
      <c r="W1573" s="99">
        <f>VLOOKUP(V1573,ターン数別攻撃係数!$A$1:$B$1000,2,FALSE)</f>
        <v>1</v>
      </c>
      <c r="X1573" s="9">
        <f>VLOOKUP(C1573,サイズ別係数!A$2:B$9,2,FALSE)</f>
        <v>60</v>
      </c>
      <c r="Y1573" s="97">
        <f>VLOOKUP($X1573,サイズ別係数!$B:$E,2,FALSE)</f>
        <v>1.7</v>
      </c>
      <c r="Z1573" s="97">
        <f>VLOOKUP($X1573,サイズ別係数!$B:$E,3,FALSE)</f>
        <v>1.4</v>
      </c>
      <c r="AA1573" s="97">
        <f>VLOOKUP($X1573,サイズ別係数!$B:$E,4,FALSE)</f>
        <v>1</v>
      </c>
      <c r="AB1573" s="10">
        <v>0</v>
      </c>
      <c r="AC1573" s="6" t="str">
        <f ca="1">VLOOKUP($AB1573,OFFSET([3]enemy_skill_sets!$B$2,0,0,COUNTA([3]enemy_skill_sets!$A:$A),MATCH(AC$1,[3]enemy_skill_sets!$1:$1,0)-MATCH($AB$1,[3]enemy_skill_sets!$1:$1,0)+1),MATCH(AC$1,[3]enemy_skill_sets!$1:$1,0)-MATCH($AB$1,[3]enemy_skill_sets!$1:$1,0)+1,FALSE)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3" s="67">
        <v>1</v>
      </c>
      <c r="AE1573" s="67">
        <v>1</v>
      </c>
      <c r="AF1573" s="68">
        <v>0</v>
      </c>
      <c r="AG1573" s="99">
        <f>ROUND(VLOOKUP(1,enemy_base_stats!$A:$F,2,FALSE) * Y1573* J1573*O1573*E1573*S1573*AD1573*[2]ステータス!$B$2,0)</f>
        <v>4335</v>
      </c>
      <c r="AH1573" s="99">
        <f>ROUND(VLOOKUP(1,enemy_base_stats!$A:$F,3,FALSE) * Z1573*K1573*P1573*F1573*T1573*AE1573 * W1573*[2]ステータス!$C$2,0)</f>
        <v>268</v>
      </c>
      <c r="AI1573" s="99">
        <f>ROUND(VLOOKUP(1,enemy_base_stats!$A:$F,4,FALSE) * AA1573*L1573*Q1573*G1573*U1573*AF1573*[2]ステータス!$D$2,0)</f>
        <v>0</v>
      </c>
      <c r="AJ1573" s="99">
        <f>ROUND(VLOOKUP(100,enemy_base_stats!$A:$F,2,FALSE) * Y1573* J1573*O1573*E1573*S1573*AD1573*[2]ステータス!$B$2,0)</f>
        <v>176001</v>
      </c>
      <c r="AK1573" s="99">
        <f>ROUND(VLOOKUP(100,enemy_base_stats!$A:$F,3,FALSE)* Z1573* K1573*P1573*F1573*T1573*AE1573 * W1573*[2]ステータス!$C$2,0)</f>
        <v>10862</v>
      </c>
      <c r="AL1573" s="99">
        <f>ROUND(VLOOKUP(100,enemy_base_stats!$A:$F,4,FALSE)* AA1573* L1573*Q1573*G1573*U1573*AF1573*[2]ステータス!$D$2,0)</f>
        <v>0</v>
      </c>
      <c r="AM1573" s="97">
        <f>VLOOKUP(M1573,[2]character_tribe_i18n!$A:$I,9,FALSE)</f>
        <v>340</v>
      </c>
      <c r="AN1573" s="97">
        <v>0</v>
      </c>
      <c r="AO1573" s="98">
        <v>0</v>
      </c>
      <c r="AP1573" s="58" t="s">
        <v>72</v>
      </c>
      <c r="AQ1573" s="34">
        <f t="shared" si="97"/>
        <v>8090</v>
      </c>
    </row>
    <row r="1574" spans="1:43" ht="21" customHeight="1" x14ac:dyDescent="0.15">
      <c r="A1574" s="105">
        <v>8095</v>
      </c>
      <c r="B1574" s="6" t="str">
        <f>VLOOKUP(A1574,[2]characters!$A:$C,3,FALSE)</f>
        <v>バハムートダック赤</v>
      </c>
      <c r="C1574" s="9">
        <f>VLOOKUP(A1574,[2]characters!$A:$I,9,FALSE)</f>
        <v>6</v>
      </c>
      <c r="D1574" s="9" t="str">
        <f>VLOOKUP(A1574,[2]characters!$A:$H,8,FALSE)</f>
        <v>red</v>
      </c>
      <c r="E1574" s="97">
        <f>VLOOKUP(D1574,[2]属性!$A:$E,2,FALSE)</f>
        <v>1</v>
      </c>
      <c r="F1574" s="97">
        <f>VLOOKUP(D1574,[2]属性!$A:$E,3,FALSE)</f>
        <v>1.02</v>
      </c>
      <c r="G1574" s="97">
        <f>VLOOKUP(D1574,[2]属性!$A:$F,4,FALSE)</f>
        <v>1</v>
      </c>
      <c r="H1574" s="9" t="str">
        <f>VLOOKUP(A1574,[2]characters!$A:$K,11,FALSE)</f>
        <v>exp</v>
      </c>
      <c r="I1574" s="6" t="str">
        <f>VLOOKUP(H1574,[2]character_type_i18n!$A:$F,3,FALSE)</f>
        <v>強化素材タイプ</v>
      </c>
      <c r="J1574" s="106">
        <v>1</v>
      </c>
      <c r="K1574" s="106">
        <v>1</v>
      </c>
      <c r="L1574" s="106">
        <f>VLOOKUP(H1574,[2]character_type_i18n!$A:$F,6,FALSE)</f>
        <v>1</v>
      </c>
      <c r="M1574" s="9" t="s">
        <v>141</v>
      </c>
      <c r="N1574" s="6" t="str">
        <f>VLOOKUP(M1574,[2]character_tribe_i18n!$A:$F,3,FALSE)</f>
        <v>Unknown</v>
      </c>
      <c r="O1574" s="97">
        <f>VLOOKUP(M1574,[2]character_tribe_i18n!$A:$F,4,FALSE)</f>
        <v>1</v>
      </c>
      <c r="P1574" s="97">
        <f>VLOOKUP(M1574,[2]character_tribe_i18n!$A:$F,5,FALSE)</f>
        <v>1</v>
      </c>
      <c r="Q1574" s="97">
        <f>VLOOKUP(M1574,[2]character_tribe_i18n!$A:$F,6,FALSE)</f>
        <v>1</v>
      </c>
      <c r="R1574" s="98" t="s">
        <v>98</v>
      </c>
      <c r="S1574" s="97">
        <f>VLOOKUP($R1574,ラベル別係数!$A$1:$E$7,3,FALSE)</f>
        <v>5</v>
      </c>
      <c r="T1574" s="97">
        <f>VLOOKUP($R1574,ラベル別係数!$A$1:$E$7,4,FALSE)</f>
        <v>1.3</v>
      </c>
      <c r="U1574" s="97">
        <f>VLOOKUP($R1574,ラベル別係数!$A$1:$E$7,5,FALSE)</f>
        <v>0.8</v>
      </c>
      <c r="V1574" s="98">
        <v>3</v>
      </c>
      <c r="W1574" s="99">
        <f>VLOOKUP(V1574,ターン数別攻撃係数!$A$1:$B$1000,2,FALSE)</f>
        <v>1</v>
      </c>
      <c r="X1574" s="100">
        <v>20</v>
      </c>
      <c r="Y1574" s="97">
        <f>VLOOKUP($X1574,サイズ別係数!$B:$E,2,FALSE)</f>
        <v>1.1000000000000001</v>
      </c>
      <c r="Z1574" s="97">
        <f>VLOOKUP($X1574,サイズ別係数!$B:$E,3,FALSE)</f>
        <v>1.2</v>
      </c>
      <c r="AA1574" s="97">
        <f>VLOOKUP($X1574,サイズ別係数!$B:$E,4,FALSE)</f>
        <v>1.2</v>
      </c>
      <c r="AB1574" s="10">
        <v>0</v>
      </c>
      <c r="AC1574" s="6" t="str">
        <f ca="1">VLOOKUP($AB1574,OFFSET([3]enemy_skill_sets!$B$2,0,0,COUNTA([3]enemy_skill_sets!$A:$A),MATCH(AC$1,[3]enemy_skill_sets!$1:$1,0)-MATCH($AB$1,[3]enemy_skill_sets!$1:$1,0)+1),MATCH(AC$1,[3]enemy_skill_sets!$1:$1,0)-MATCH($AB$1,[3]enemy_skill_sets!$1:$1,0)+1,FALSE)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4" s="67">
        <v>1</v>
      </c>
      <c r="AE1574" s="67">
        <v>1</v>
      </c>
      <c r="AF1574" s="68">
        <v>0</v>
      </c>
      <c r="AG1574" s="104">
        <v>100</v>
      </c>
      <c r="AH1574" s="104">
        <v>1000</v>
      </c>
      <c r="AI1574" s="104">
        <v>0</v>
      </c>
      <c r="AJ1574" s="104">
        <v>100</v>
      </c>
      <c r="AK1574" s="104">
        <v>1000</v>
      </c>
      <c r="AL1574" s="104">
        <v>0</v>
      </c>
      <c r="AM1574" s="64">
        <v>998876</v>
      </c>
      <c r="AN1574" s="97">
        <v>0</v>
      </c>
      <c r="AO1574" s="98">
        <v>0</v>
      </c>
      <c r="AP1574" s="58" t="s">
        <v>72</v>
      </c>
      <c r="AQ1574" s="34">
        <f t="shared" ref="AQ1574:AQ1613" si="98">A1574</f>
        <v>8095</v>
      </c>
    </row>
    <row r="1575" spans="1:43" ht="21" customHeight="1" x14ac:dyDescent="0.15">
      <c r="A1575" s="105">
        <v>8096</v>
      </c>
      <c r="B1575" s="6" t="str">
        <f>VLOOKUP(A1575,[2]characters!$A:$C,3,FALSE)</f>
        <v>バハムートダック緑</v>
      </c>
      <c r="C1575" s="9">
        <f>VLOOKUP(A1575,[2]characters!$A:$I,9,FALSE)</f>
        <v>6</v>
      </c>
      <c r="D1575" s="9" t="str">
        <f>VLOOKUP(A1575,[2]characters!$A:$H,8,FALSE)</f>
        <v>green</v>
      </c>
      <c r="E1575" s="97">
        <f>VLOOKUP(D1575,[2]属性!$A:$E,2,FALSE)</f>
        <v>1.02</v>
      </c>
      <c r="F1575" s="97">
        <f>VLOOKUP(D1575,[2]属性!$A:$E,3,FALSE)</f>
        <v>0.98</v>
      </c>
      <c r="G1575" s="97">
        <f>VLOOKUP(D1575,[2]属性!$A:$F,4,FALSE)</f>
        <v>1</v>
      </c>
      <c r="H1575" s="9" t="str">
        <f>VLOOKUP(A1575,[2]characters!$A:$K,11,FALSE)</f>
        <v>exp</v>
      </c>
      <c r="I1575" s="6" t="str">
        <f>VLOOKUP(H1575,[2]character_type_i18n!$A:$F,3,FALSE)</f>
        <v>強化素材タイプ</v>
      </c>
      <c r="J1575" s="106">
        <v>1</v>
      </c>
      <c r="K1575" s="106">
        <v>1</v>
      </c>
      <c r="L1575" s="106">
        <f>VLOOKUP(H1575,[2]character_type_i18n!$A:$F,6,FALSE)</f>
        <v>1</v>
      </c>
      <c r="M1575" s="9" t="s">
        <v>141</v>
      </c>
      <c r="N1575" s="6" t="str">
        <f>VLOOKUP(M1575,[2]character_tribe_i18n!$A:$F,3,FALSE)</f>
        <v>Unknown</v>
      </c>
      <c r="O1575" s="97">
        <f>VLOOKUP(M1575,[2]character_tribe_i18n!$A:$F,4,FALSE)</f>
        <v>1</v>
      </c>
      <c r="P1575" s="97">
        <f>VLOOKUP(M1575,[2]character_tribe_i18n!$A:$F,5,FALSE)</f>
        <v>1</v>
      </c>
      <c r="Q1575" s="97">
        <f>VLOOKUP(M1575,[2]character_tribe_i18n!$A:$F,6,FALSE)</f>
        <v>1</v>
      </c>
      <c r="R1575" s="98" t="s">
        <v>98</v>
      </c>
      <c r="S1575" s="97">
        <f>VLOOKUP($R1575,ラベル別係数!$A$1:$E$7,3,FALSE)</f>
        <v>5</v>
      </c>
      <c r="T1575" s="97">
        <f>VLOOKUP($R1575,ラベル別係数!$A$1:$E$7,4,FALSE)</f>
        <v>1.3</v>
      </c>
      <c r="U1575" s="97">
        <f>VLOOKUP($R1575,ラベル別係数!$A$1:$E$7,5,FALSE)</f>
        <v>0.8</v>
      </c>
      <c r="V1575" s="98">
        <v>3</v>
      </c>
      <c r="W1575" s="99">
        <f>VLOOKUP(V1575,ターン数別攻撃係数!$A$1:$B$1000,2,FALSE)</f>
        <v>1</v>
      </c>
      <c r="X1575" s="100">
        <v>20</v>
      </c>
      <c r="Y1575" s="97">
        <f>VLOOKUP($X1575,サイズ別係数!$B:$E,2,FALSE)</f>
        <v>1.1000000000000001</v>
      </c>
      <c r="Z1575" s="97">
        <f>VLOOKUP($X1575,サイズ別係数!$B:$E,3,FALSE)</f>
        <v>1.2</v>
      </c>
      <c r="AA1575" s="97">
        <f>VLOOKUP($X1575,サイズ別係数!$B:$E,4,FALSE)</f>
        <v>1.2</v>
      </c>
      <c r="AB1575" s="10">
        <v>0</v>
      </c>
      <c r="AC1575" s="6" t="str">
        <f ca="1">VLOOKUP($AB1575,OFFSET([3]enemy_skill_sets!$B$2,0,0,COUNTA([3]enemy_skill_sets!$A:$A),MATCH(AC$1,[3]enemy_skill_sets!$1:$1,0)-MATCH($AB$1,[3]enemy_skill_sets!$1:$1,0)+1),MATCH(AC$1,[3]enemy_skill_sets!$1:$1,0)-MATCH($AB$1,[3]enemy_skill_sets!$1:$1,0)+1,FALSE)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5" s="67">
        <v>1</v>
      </c>
      <c r="AE1575" s="67">
        <v>1</v>
      </c>
      <c r="AF1575" s="68">
        <v>0</v>
      </c>
      <c r="AG1575" s="104">
        <v>100</v>
      </c>
      <c r="AH1575" s="104">
        <v>1000</v>
      </c>
      <c r="AI1575" s="104">
        <v>0</v>
      </c>
      <c r="AJ1575" s="104">
        <v>100</v>
      </c>
      <c r="AK1575" s="104">
        <v>1000</v>
      </c>
      <c r="AL1575" s="104">
        <v>0</v>
      </c>
      <c r="AM1575" s="64">
        <v>998876</v>
      </c>
      <c r="AN1575" s="97">
        <v>0</v>
      </c>
      <c r="AO1575" s="98">
        <v>0</v>
      </c>
      <c r="AP1575" s="58" t="s">
        <v>72</v>
      </c>
      <c r="AQ1575" s="34">
        <f t="shared" si="98"/>
        <v>8096</v>
      </c>
    </row>
    <row r="1576" spans="1:43" ht="21" customHeight="1" x14ac:dyDescent="0.15">
      <c r="A1576" s="105">
        <v>8097</v>
      </c>
      <c r="B1576" s="6" t="str">
        <f>VLOOKUP(A1576,[2]characters!$A:$C,3,FALSE)</f>
        <v>バハムートダック青</v>
      </c>
      <c r="C1576" s="9">
        <f>VLOOKUP(A1576,[2]characters!$A:$I,9,FALSE)</f>
        <v>6</v>
      </c>
      <c r="D1576" s="9" t="str">
        <f>VLOOKUP(A1576,[2]characters!$A:$H,8,FALSE)</f>
        <v>blue</v>
      </c>
      <c r="E1576" s="97">
        <f>VLOOKUP(D1576,[2]属性!$A:$E,2,FALSE)</f>
        <v>1</v>
      </c>
      <c r="F1576" s="97">
        <f>VLOOKUP(D1576,[2]属性!$A:$E,3,FALSE)</f>
        <v>0.98</v>
      </c>
      <c r="G1576" s="97">
        <f>VLOOKUP(D1576,[2]属性!$A:$F,4,FALSE)</f>
        <v>1</v>
      </c>
      <c r="H1576" s="9" t="str">
        <f>VLOOKUP(A1576,[2]characters!$A:$K,11,FALSE)</f>
        <v>exp</v>
      </c>
      <c r="I1576" s="6" t="str">
        <f>VLOOKUP(H1576,[2]character_type_i18n!$A:$F,3,FALSE)</f>
        <v>強化素材タイプ</v>
      </c>
      <c r="J1576" s="106">
        <v>1</v>
      </c>
      <c r="K1576" s="106">
        <v>1</v>
      </c>
      <c r="L1576" s="106">
        <f>VLOOKUP(H1576,[2]character_type_i18n!$A:$F,6,FALSE)</f>
        <v>1</v>
      </c>
      <c r="M1576" s="9" t="s">
        <v>141</v>
      </c>
      <c r="N1576" s="6" t="str">
        <f>VLOOKUP(M1576,[2]character_tribe_i18n!$A:$F,3,FALSE)</f>
        <v>Unknown</v>
      </c>
      <c r="O1576" s="97">
        <f>VLOOKUP(M1576,[2]character_tribe_i18n!$A:$F,4,FALSE)</f>
        <v>1</v>
      </c>
      <c r="P1576" s="97">
        <f>VLOOKUP(M1576,[2]character_tribe_i18n!$A:$F,5,FALSE)</f>
        <v>1</v>
      </c>
      <c r="Q1576" s="97">
        <f>VLOOKUP(M1576,[2]character_tribe_i18n!$A:$F,6,FALSE)</f>
        <v>1</v>
      </c>
      <c r="R1576" s="98" t="s">
        <v>98</v>
      </c>
      <c r="S1576" s="97">
        <f>VLOOKUP($R1576,ラベル別係数!$A$1:$E$7,3,FALSE)</f>
        <v>5</v>
      </c>
      <c r="T1576" s="97">
        <f>VLOOKUP($R1576,ラベル別係数!$A$1:$E$7,4,FALSE)</f>
        <v>1.3</v>
      </c>
      <c r="U1576" s="97">
        <f>VLOOKUP($R1576,ラベル別係数!$A$1:$E$7,5,FALSE)</f>
        <v>0.8</v>
      </c>
      <c r="V1576" s="98">
        <v>3</v>
      </c>
      <c r="W1576" s="99">
        <f>VLOOKUP(V1576,ターン数別攻撃係数!$A$1:$B$1000,2,FALSE)</f>
        <v>1</v>
      </c>
      <c r="X1576" s="100">
        <v>20</v>
      </c>
      <c r="Y1576" s="97">
        <f>VLOOKUP($X1576,サイズ別係数!$B:$E,2,FALSE)</f>
        <v>1.1000000000000001</v>
      </c>
      <c r="Z1576" s="97">
        <f>VLOOKUP($X1576,サイズ別係数!$B:$E,3,FALSE)</f>
        <v>1.2</v>
      </c>
      <c r="AA1576" s="97">
        <f>VLOOKUP($X1576,サイズ別係数!$B:$E,4,FALSE)</f>
        <v>1.2</v>
      </c>
      <c r="AB1576" s="10">
        <v>0</v>
      </c>
      <c r="AC1576" s="6" t="str">
        <f ca="1">VLOOKUP($AB1576,OFFSET([3]enemy_skill_sets!$B$2,0,0,COUNTA([3]enemy_skill_sets!$A:$A),MATCH(AC$1,[3]enemy_skill_sets!$1:$1,0)-MATCH($AB$1,[3]enemy_skill_sets!$1:$1,0)+1),MATCH(AC$1,[3]enemy_skill_sets!$1:$1,0)-MATCH($AB$1,[3]enemy_skill_sets!$1:$1,0)+1,FALSE)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6" s="67">
        <v>1</v>
      </c>
      <c r="AE1576" s="67">
        <v>1</v>
      </c>
      <c r="AF1576" s="68">
        <v>0</v>
      </c>
      <c r="AG1576" s="104">
        <v>100</v>
      </c>
      <c r="AH1576" s="104">
        <v>1000</v>
      </c>
      <c r="AI1576" s="104">
        <v>0</v>
      </c>
      <c r="AJ1576" s="104">
        <v>100</v>
      </c>
      <c r="AK1576" s="104">
        <v>1000</v>
      </c>
      <c r="AL1576" s="104">
        <v>0</v>
      </c>
      <c r="AM1576" s="64">
        <v>998876</v>
      </c>
      <c r="AN1576" s="97">
        <v>0</v>
      </c>
      <c r="AO1576" s="98">
        <v>0</v>
      </c>
      <c r="AP1576" s="58" t="s">
        <v>72</v>
      </c>
      <c r="AQ1576" s="34">
        <f t="shared" si="98"/>
        <v>8097</v>
      </c>
    </row>
    <row r="1577" spans="1:43" ht="21" customHeight="1" x14ac:dyDescent="0.15">
      <c r="A1577" s="105">
        <v>8098</v>
      </c>
      <c r="B1577" s="6" t="str">
        <f>VLOOKUP(A1577,[2]characters!$A:$C,3,FALSE)</f>
        <v>バハムートダック黄</v>
      </c>
      <c r="C1577" s="9">
        <f>VLOOKUP(A1577,[2]characters!$A:$I,9,FALSE)</f>
        <v>6</v>
      </c>
      <c r="D1577" s="9" t="str">
        <f>VLOOKUP(A1577,[2]characters!$A:$H,8,FALSE)</f>
        <v>yellow</v>
      </c>
      <c r="E1577" s="97">
        <f>VLOOKUP(D1577,[2]属性!$A:$E,2,FALSE)</f>
        <v>0.98</v>
      </c>
      <c r="F1577" s="97">
        <f>VLOOKUP(D1577,[2]属性!$A:$E,3,FALSE)</f>
        <v>1.01</v>
      </c>
      <c r="G1577" s="97">
        <f>VLOOKUP(D1577,[2]属性!$A:$F,4,FALSE)</f>
        <v>1</v>
      </c>
      <c r="H1577" s="9" t="str">
        <f>VLOOKUP(A1577,[2]characters!$A:$K,11,FALSE)</f>
        <v>exp</v>
      </c>
      <c r="I1577" s="6" t="str">
        <f>VLOOKUP(H1577,[2]character_type_i18n!$A:$F,3,FALSE)</f>
        <v>強化素材タイプ</v>
      </c>
      <c r="J1577" s="106">
        <v>1</v>
      </c>
      <c r="K1577" s="106">
        <v>1</v>
      </c>
      <c r="L1577" s="106">
        <f>VLOOKUP(H1577,[2]character_type_i18n!$A:$F,6,FALSE)</f>
        <v>1</v>
      </c>
      <c r="M1577" s="9" t="s">
        <v>141</v>
      </c>
      <c r="N1577" s="6" t="str">
        <f>VLOOKUP(M1577,[2]character_tribe_i18n!$A:$F,3,FALSE)</f>
        <v>Unknown</v>
      </c>
      <c r="O1577" s="97">
        <f>VLOOKUP(M1577,[2]character_tribe_i18n!$A:$F,4,FALSE)</f>
        <v>1</v>
      </c>
      <c r="P1577" s="97">
        <f>VLOOKUP(M1577,[2]character_tribe_i18n!$A:$F,5,FALSE)</f>
        <v>1</v>
      </c>
      <c r="Q1577" s="97">
        <f>VLOOKUP(M1577,[2]character_tribe_i18n!$A:$F,6,FALSE)</f>
        <v>1</v>
      </c>
      <c r="R1577" s="98" t="s">
        <v>98</v>
      </c>
      <c r="S1577" s="97">
        <f>VLOOKUP($R1577,ラベル別係数!$A$1:$E$7,3,FALSE)</f>
        <v>5</v>
      </c>
      <c r="T1577" s="97">
        <f>VLOOKUP($R1577,ラベル別係数!$A$1:$E$7,4,FALSE)</f>
        <v>1.3</v>
      </c>
      <c r="U1577" s="97">
        <f>VLOOKUP($R1577,ラベル別係数!$A$1:$E$7,5,FALSE)</f>
        <v>0.8</v>
      </c>
      <c r="V1577" s="98">
        <v>3</v>
      </c>
      <c r="W1577" s="99">
        <f>VLOOKUP(V1577,ターン数別攻撃係数!$A$1:$B$1000,2,FALSE)</f>
        <v>1</v>
      </c>
      <c r="X1577" s="100">
        <v>20</v>
      </c>
      <c r="Y1577" s="97">
        <f>VLOOKUP($X1577,サイズ別係数!$B:$E,2,FALSE)</f>
        <v>1.1000000000000001</v>
      </c>
      <c r="Z1577" s="97">
        <f>VLOOKUP($X1577,サイズ別係数!$B:$E,3,FALSE)</f>
        <v>1.2</v>
      </c>
      <c r="AA1577" s="97">
        <f>VLOOKUP($X1577,サイズ別係数!$B:$E,4,FALSE)</f>
        <v>1.2</v>
      </c>
      <c r="AB1577" s="10">
        <v>0</v>
      </c>
      <c r="AC1577" s="6" t="str">
        <f ca="1">VLOOKUP($AB1577,OFFSET([3]enemy_skill_sets!$B$2,0,0,COUNTA([3]enemy_skill_sets!$A:$A),MATCH(AC$1,[3]enemy_skill_sets!$1:$1,0)-MATCH($AB$1,[3]enemy_skill_sets!$1:$1,0)+1),MATCH(AC$1,[3]enemy_skill_sets!$1:$1,0)-MATCH($AB$1,[3]enemy_skill_sets!$1:$1,0)+1,FALSE)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7" s="67">
        <v>1</v>
      </c>
      <c r="AE1577" s="67">
        <v>1</v>
      </c>
      <c r="AF1577" s="68">
        <v>0</v>
      </c>
      <c r="AG1577" s="104">
        <v>100</v>
      </c>
      <c r="AH1577" s="104">
        <v>1000</v>
      </c>
      <c r="AI1577" s="104">
        <v>0</v>
      </c>
      <c r="AJ1577" s="104">
        <v>100</v>
      </c>
      <c r="AK1577" s="104">
        <v>1000</v>
      </c>
      <c r="AL1577" s="104">
        <v>0</v>
      </c>
      <c r="AM1577" s="64">
        <v>998876</v>
      </c>
      <c r="AN1577" s="97">
        <v>0</v>
      </c>
      <c r="AO1577" s="98">
        <v>0</v>
      </c>
      <c r="AP1577" s="58" t="s">
        <v>72</v>
      </c>
      <c r="AQ1577" s="34">
        <f t="shared" si="98"/>
        <v>8098</v>
      </c>
    </row>
    <row r="1578" spans="1:43" ht="21" customHeight="1" x14ac:dyDescent="0.15">
      <c r="A1578" s="105">
        <v>8099</v>
      </c>
      <c r="B1578" s="6" t="str">
        <f>VLOOKUP(A1578,[2]characters!$A:$C,3,FALSE)</f>
        <v>韓湘子</v>
      </c>
      <c r="C1578" s="9">
        <f>VLOOKUP(A1578,[2]characters!$A:$I,9,FALSE)</f>
        <v>5</v>
      </c>
      <c r="D1578" s="9" t="str">
        <f>VLOOKUP(A1578,[2]characters!$A:$H,8,FALSE)</f>
        <v>green</v>
      </c>
      <c r="E1578" s="97">
        <f>VLOOKUP(D1578,[2]属性!$A:$E,2,FALSE)</f>
        <v>1.02</v>
      </c>
      <c r="F1578" s="97">
        <f>VLOOKUP(D1578,[2]属性!$A:$E,3,FALSE)</f>
        <v>0.98</v>
      </c>
      <c r="G1578" s="97">
        <f>VLOOKUP(D1578,[2]属性!$A:$F,4,FALSE)</f>
        <v>1</v>
      </c>
      <c r="H1578" s="9" t="str">
        <f>VLOOKUP(A1578,[2]characters!$A:$K,11,FALSE)</f>
        <v>balance</v>
      </c>
      <c r="I1578" s="6" t="str">
        <f>VLOOKUP(H1578,[2]character_type_i18n!$A:$F,3,FALSE)</f>
        <v>バランスタイプ</v>
      </c>
      <c r="J1578" s="97">
        <f>VLOOKUP(H1578,[2]character_type_i18n!$A:$F,4,FALSE)</f>
        <v>1</v>
      </c>
      <c r="K1578" s="97">
        <f>VLOOKUP(H1578,[2]character_type_i18n!$A:$F,5,FALSE)</f>
        <v>1</v>
      </c>
      <c r="L1578" s="97">
        <f>VLOOKUP(H1578,[2]character_type_i18n!$A:$F,6,FALSE)</f>
        <v>1</v>
      </c>
      <c r="M1578" s="9" t="str">
        <f>VLOOKUP(A1578,[2]characters!$A:$M,13,FALSE)</f>
        <v>god</v>
      </c>
      <c r="N1578" s="6" t="str">
        <f>VLOOKUP(M1578,[2]character_tribe_i18n!$A:$F,3,FALSE)</f>
        <v>ゴッド</v>
      </c>
      <c r="O1578" s="97">
        <f>VLOOKUP(M1578,[2]character_tribe_i18n!$A:$F,4,FALSE)</f>
        <v>0.96</v>
      </c>
      <c r="P1578" s="97">
        <f>VLOOKUP(M1578,[2]character_tribe_i18n!$A:$F,5,FALSE)</f>
        <v>1.02</v>
      </c>
      <c r="Q1578" s="97">
        <f>VLOOKUP(M1578,[2]character_tribe_i18n!$A:$F,6,FALSE)</f>
        <v>1</v>
      </c>
      <c r="R1578" s="98" t="s">
        <v>98</v>
      </c>
      <c r="S1578" s="97">
        <f>VLOOKUP($R1578,ラベル別係数!$A$1:$E$7,3,FALSE)</f>
        <v>5</v>
      </c>
      <c r="T1578" s="97">
        <f>VLOOKUP($R1578,ラベル別係数!$A$1:$E$7,4,FALSE)</f>
        <v>1.3</v>
      </c>
      <c r="U1578" s="97">
        <f>VLOOKUP($R1578,ラベル別係数!$A$1:$E$7,5,FALSE)</f>
        <v>0.8</v>
      </c>
      <c r="V1578" s="98">
        <v>3</v>
      </c>
      <c r="W1578" s="99">
        <f>VLOOKUP(V1578,ターン数別攻撃係数!$A$1:$B$1000,2,FALSE)</f>
        <v>1</v>
      </c>
      <c r="X1578" s="9">
        <f>VLOOKUP(C1578,サイズ別係数!A$2:B$9,2,FALSE)</f>
        <v>60</v>
      </c>
      <c r="Y1578" s="97">
        <f>VLOOKUP($X1578,サイズ別係数!$B:$E,2,FALSE)</f>
        <v>1.7</v>
      </c>
      <c r="Z1578" s="97">
        <f>VLOOKUP($X1578,サイズ別係数!$B:$E,3,FALSE)</f>
        <v>1.4</v>
      </c>
      <c r="AA1578" s="97">
        <f>VLOOKUP($X1578,サイズ別係数!$B:$E,4,FALSE)</f>
        <v>1</v>
      </c>
      <c r="AB1578" s="10">
        <v>0</v>
      </c>
      <c r="AC1578" s="6" t="str">
        <f ca="1">VLOOKUP($AB1578,OFFSET([3]enemy_skill_sets!$B$2,0,0,COUNTA([3]enemy_skill_sets!$A:$A),MATCH(AC$1,[3]enemy_skill_sets!$1:$1,0)-MATCH($AB$1,[3]enemy_skill_sets!$1:$1,0)+1),MATCH(AC$1,[3]enemy_skill_sets!$1:$1,0)-MATCH($AB$1,[3]enemy_skill_sets!$1:$1,0)+1,FALSE)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8" s="67">
        <v>1</v>
      </c>
      <c r="AE1578" s="67">
        <v>1</v>
      </c>
      <c r="AF1578" s="68">
        <v>0</v>
      </c>
      <c r="AG1578" s="99">
        <f>ROUND(VLOOKUP(1,enemy_base_stats!$A:$F,2,FALSE) * Y1578* J1578*O1578*E1578*S1578*AD1578*[2]ステータス!$B$2,0)</f>
        <v>4162</v>
      </c>
      <c r="AH1578" s="99">
        <f>ROUND(VLOOKUP(1,enemy_base_stats!$A:$F,3,FALSE) * Z1578*K1578*P1578*F1578*T1578*AE1578 * W1578*[2]ステータス!$C$2,0)</f>
        <v>273</v>
      </c>
      <c r="AI1578" s="99">
        <f>ROUND(VLOOKUP(1,enemy_base_stats!$A:$F,4,FALSE) * AA1578*L1578*Q1578*G1578*U1578*AF1578*[2]ステータス!$D$2,0)</f>
        <v>0</v>
      </c>
      <c r="AJ1578" s="99">
        <f>ROUND(VLOOKUP(100,enemy_base_stats!$A:$F,2,FALSE) * Y1578* J1578*O1578*E1578*S1578*AD1578*[2]ステータス!$B$2,0)</f>
        <v>168961</v>
      </c>
      <c r="AK1578" s="99">
        <f>ROUND(VLOOKUP(100,enemy_base_stats!$A:$F,3,FALSE)* Z1578* K1578*P1578*F1578*T1578*AE1578 * W1578*[2]ステータス!$C$2,0)</f>
        <v>11079</v>
      </c>
      <c r="AL1578" s="99">
        <f>ROUND(VLOOKUP(100,enemy_base_stats!$A:$F,4,FALSE)* AA1578* L1578*Q1578*G1578*U1578*AF1578*[2]ステータス!$D$2,0)</f>
        <v>0</v>
      </c>
      <c r="AM1578" s="97">
        <f>VLOOKUP(M1578,[2]character_tribe_i18n!$A:$I,9,FALSE)</f>
        <v>680</v>
      </c>
      <c r="AN1578" s="97">
        <v>0</v>
      </c>
      <c r="AO1578" s="98">
        <v>0</v>
      </c>
      <c r="AP1578" s="58" t="s">
        <v>72</v>
      </c>
      <c r="AQ1578" s="34">
        <f t="shared" ref="AQ1578:AQ1581" si="99">A1578</f>
        <v>8099</v>
      </c>
    </row>
    <row r="1579" spans="1:43" ht="21" customHeight="1" x14ac:dyDescent="0.15">
      <c r="A1579" s="105">
        <v>8100</v>
      </c>
      <c r="B1579" s="6" t="str">
        <f>VLOOKUP(A1579,[2]characters!$A:$C,3,FALSE)</f>
        <v>韓湘子★６</v>
      </c>
      <c r="C1579" s="9">
        <f>VLOOKUP(A1579,[2]characters!$A:$I,9,FALSE)</f>
        <v>6</v>
      </c>
      <c r="D1579" s="9" t="str">
        <f>VLOOKUP(A1579,[2]characters!$A:$H,8,FALSE)</f>
        <v>green</v>
      </c>
      <c r="E1579" s="97">
        <f>VLOOKUP(D1579,[2]属性!$A:$E,2,FALSE)</f>
        <v>1.02</v>
      </c>
      <c r="F1579" s="97">
        <f>VLOOKUP(D1579,[2]属性!$A:$E,3,FALSE)</f>
        <v>0.98</v>
      </c>
      <c r="G1579" s="97">
        <f>VLOOKUP(D1579,[2]属性!$A:$F,4,FALSE)</f>
        <v>1</v>
      </c>
      <c r="H1579" s="9" t="str">
        <f>VLOOKUP(A1579,[2]characters!$A:$K,11,FALSE)</f>
        <v>balance</v>
      </c>
      <c r="I1579" s="6" t="str">
        <f>VLOOKUP(H1579,[2]character_type_i18n!$A:$F,3,FALSE)</f>
        <v>バランスタイプ</v>
      </c>
      <c r="J1579" s="97">
        <f>VLOOKUP(H1579,[2]character_type_i18n!$A:$F,4,FALSE)</f>
        <v>1</v>
      </c>
      <c r="K1579" s="97">
        <f>VLOOKUP(H1579,[2]character_type_i18n!$A:$F,5,FALSE)</f>
        <v>1</v>
      </c>
      <c r="L1579" s="97">
        <f>VLOOKUP(H1579,[2]character_type_i18n!$A:$F,6,FALSE)</f>
        <v>1</v>
      </c>
      <c r="M1579" s="9" t="str">
        <f>VLOOKUP(A1579,[2]characters!$A:$M,13,FALSE)</f>
        <v>god</v>
      </c>
      <c r="N1579" s="6" t="str">
        <f>VLOOKUP(M1579,[2]character_tribe_i18n!$A:$F,3,FALSE)</f>
        <v>ゴッド</v>
      </c>
      <c r="O1579" s="97">
        <f>VLOOKUP(M1579,[2]character_tribe_i18n!$A:$F,4,FALSE)</f>
        <v>0.96</v>
      </c>
      <c r="P1579" s="97">
        <f>VLOOKUP(M1579,[2]character_tribe_i18n!$A:$F,5,FALSE)</f>
        <v>1.02</v>
      </c>
      <c r="Q1579" s="97">
        <f>VLOOKUP(M1579,[2]character_tribe_i18n!$A:$F,6,FALSE)</f>
        <v>1</v>
      </c>
      <c r="R1579" s="98" t="s">
        <v>98</v>
      </c>
      <c r="S1579" s="97">
        <f>VLOOKUP($R1579,ラベル別係数!$A$1:$E$7,3,FALSE)</f>
        <v>5</v>
      </c>
      <c r="T1579" s="97">
        <f>VLOOKUP($R1579,ラベル別係数!$A$1:$E$7,4,FALSE)</f>
        <v>1.3</v>
      </c>
      <c r="U1579" s="97">
        <f>VLOOKUP($R1579,ラベル別係数!$A$1:$E$7,5,FALSE)</f>
        <v>0.8</v>
      </c>
      <c r="V1579" s="98">
        <v>3</v>
      </c>
      <c r="W1579" s="99">
        <f>VLOOKUP(V1579,ターン数別攻撃係数!$A$1:$B$1000,2,FALSE)</f>
        <v>1</v>
      </c>
      <c r="X1579" s="9">
        <f>VLOOKUP(C1579,サイズ別係数!A$2:B$9,2,FALSE)</f>
        <v>60</v>
      </c>
      <c r="Y1579" s="97">
        <f>VLOOKUP($X1579,サイズ別係数!$B:$E,2,FALSE)</f>
        <v>1.7</v>
      </c>
      <c r="Z1579" s="97">
        <f>VLOOKUP($X1579,サイズ別係数!$B:$E,3,FALSE)</f>
        <v>1.4</v>
      </c>
      <c r="AA1579" s="97">
        <f>VLOOKUP($X1579,サイズ別係数!$B:$E,4,FALSE)</f>
        <v>1</v>
      </c>
      <c r="AB1579" s="10">
        <v>0</v>
      </c>
      <c r="AC1579" s="6" t="str">
        <f ca="1">VLOOKUP($AB1579,OFFSET([3]enemy_skill_sets!$B$2,0,0,COUNTA([3]enemy_skill_sets!$A:$A),MATCH(AC$1,[3]enemy_skill_sets!$1:$1,0)-MATCH($AB$1,[3]enemy_skill_sets!$1:$1,0)+1),MATCH(AC$1,[3]enemy_skill_sets!$1:$1,0)-MATCH($AB$1,[3]enemy_skill_sets!$1:$1,0)+1,FALSE)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79" s="67">
        <v>1</v>
      </c>
      <c r="AE1579" s="67">
        <v>1</v>
      </c>
      <c r="AF1579" s="68">
        <v>0</v>
      </c>
      <c r="AG1579" s="99">
        <f>ROUND(VLOOKUP(1,enemy_base_stats!$A:$F,2,FALSE) * Y1579* J1579*O1579*E1579*S1579*AD1579*[2]ステータス!$B$2,0)</f>
        <v>4162</v>
      </c>
      <c r="AH1579" s="99">
        <f>ROUND(VLOOKUP(1,enemy_base_stats!$A:$F,3,FALSE) * Z1579*K1579*P1579*F1579*T1579*AE1579 * W1579*[2]ステータス!$C$2,0)</f>
        <v>273</v>
      </c>
      <c r="AI1579" s="99">
        <f>ROUND(VLOOKUP(1,enemy_base_stats!$A:$F,4,FALSE) * AA1579*L1579*Q1579*G1579*U1579*AF1579*[2]ステータス!$D$2,0)</f>
        <v>0</v>
      </c>
      <c r="AJ1579" s="99">
        <f>ROUND(VLOOKUP(100,enemy_base_stats!$A:$F,2,FALSE) * Y1579* J1579*O1579*E1579*S1579*AD1579*[2]ステータス!$B$2,0)</f>
        <v>168961</v>
      </c>
      <c r="AK1579" s="99">
        <f>ROUND(VLOOKUP(100,enemy_base_stats!$A:$F,3,FALSE)* Z1579* K1579*P1579*F1579*T1579*AE1579 * W1579*[2]ステータス!$C$2,0)</f>
        <v>11079</v>
      </c>
      <c r="AL1579" s="99">
        <f>ROUND(VLOOKUP(100,enemy_base_stats!$A:$F,4,FALSE)* AA1579* L1579*Q1579*G1579*U1579*AF1579*[2]ステータス!$D$2,0)</f>
        <v>0</v>
      </c>
      <c r="AM1579" s="97">
        <f>VLOOKUP(M1579,[2]character_tribe_i18n!$A:$I,9,FALSE)</f>
        <v>680</v>
      </c>
      <c r="AN1579" s="97">
        <v>0</v>
      </c>
      <c r="AO1579" s="98">
        <v>0</v>
      </c>
      <c r="AP1579" s="58" t="s">
        <v>72</v>
      </c>
      <c r="AQ1579" s="34">
        <f t="shared" si="99"/>
        <v>8100</v>
      </c>
    </row>
    <row r="1580" spans="1:43" ht="21" customHeight="1" x14ac:dyDescent="0.15">
      <c r="A1580" s="105">
        <v>8101</v>
      </c>
      <c r="B1580" s="6" t="str">
        <f>VLOOKUP(A1580,[2]characters!$A:$C,3,FALSE)</f>
        <v>張果老</v>
      </c>
      <c r="C1580" s="9">
        <f>VLOOKUP(A1580,[2]characters!$A:$I,9,FALSE)</f>
        <v>5</v>
      </c>
      <c r="D1580" s="9" t="str">
        <f>VLOOKUP(A1580,[2]characters!$A:$H,8,FALSE)</f>
        <v>yellow</v>
      </c>
      <c r="E1580" s="97">
        <f>VLOOKUP(D1580,[2]属性!$A:$E,2,FALSE)</f>
        <v>0.98</v>
      </c>
      <c r="F1580" s="97">
        <f>VLOOKUP(D1580,[2]属性!$A:$E,3,FALSE)</f>
        <v>1.01</v>
      </c>
      <c r="G1580" s="97">
        <f>VLOOKUP(D1580,[2]属性!$A:$F,4,FALSE)</f>
        <v>1</v>
      </c>
      <c r="H1580" s="9" t="str">
        <f>VLOOKUP(A1580,[2]characters!$A:$K,11,FALSE)</f>
        <v>attack</v>
      </c>
      <c r="I1580" s="6" t="str">
        <f>VLOOKUP(H1580,[2]character_type_i18n!$A:$F,3,FALSE)</f>
        <v>攻撃タイプ</v>
      </c>
      <c r="J1580" s="97">
        <f>VLOOKUP(H1580,[2]character_type_i18n!$A:$F,4,FALSE)</f>
        <v>1</v>
      </c>
      <c r="K1580" s="97">
        <f>VLOOKUP(H1580,[2]character_type_i18n!$A:$F,5,FALSE)</f>
        <v>1.33</v>
      </c>
      <c r="L1580" s="97">
        <f>VLOOKUP(H1580,[2]character_type_i18n!$A:$F,6,FALSE)</f>
        <v>1</v>
      </c>
      <c r="M1580" s="9" t="str">
        <f>VLOOKUP(A1580,[2]characters!$A:$M,13,FALSE)</f>
        <v>god</v>
      </c>
      <c r="N1580" s="6" t="str">
        <f>VLOOKUP(M1580,[2]character_tribe_i18n!$A:$F,3,FALSE)</f>
        <v>ゴッド</v>
      </c>
      <c r="O1580" s="97">
        <f>VLOOKUP(M1580,[2]character_tribe_i18n!$A:$F,4,FALSE)</f>
        <v>0.96</v>
      </c>
      <c r="P1580" s="97">
        <f>VLOOKUP(M1580,[2]character_tribe_i18n!$A:$F,5,FALSE)</f>
        <v>1.02</v>
      </c>
      <c r="Q1580" s="97">
        <f>VLOOKUP(M1580,[2]character_tribe_i18n!$A:$F,6,FALSE)</f>
        <v>1</v>
      </c>
      <c r="R1580" s="98" t="s">
        <v>98</v>
      </c>
      <c r="S1580" s="97">
        <f>VLOOKUP($R1580,ラベル別係数!$A$1:$E$7,3,FALSE)</f>
        <v>5</v>
      </c>
      <c r="T1580" s="97">
        <f>VLOOKUP($R1580,ラベル別係数!$A$1:$E$7,4,FALSE)</f>
        <v>1.3</v>
      </c>
      <c r="U1580" s="97">
        <f>VLOOKUP($R1580,ラベル別係数!$A$1:$E$7,5,FALSE)</f>
        <v>0.8</v>
      </c>
      <c r="V1580" s="98">
        <v>3</v>
      </c>
      <c r="W1580" s="99">
        <f>VLOOKUP(V1580,ターン数別攻撃係数!$A$1:$B$1000,2,FALSE)</f>
        <v>1</v>
      </c>
      <c r="X1580" s="9">
        <f>VLOOKUP(C1580,サイズ別係数!A$2:B$9,2,FALSE)</f>
        <v>60</v>
      </c>
      <c r="Y1580" s="97">
        <f>VLOOKUP($X1580,サイズ別係数!$B:$E,2,FALSE)</f>
        <v>1.7</v>
      </c>
      <c r="Z1580" s="97">
        <f>VLOOKUP($X1580,サイズ別係数!$B:$E,3,FALSE)</f>
        <v>1.4</v>
      </c>
      <c r="AA1580" s="97">
        <f>VLOOKUP($X1580,サイズ別係数!$B:$E,4,FALSE)</f>
        <v>1</v>
      </c>
      <c r="AB1580" s="10">
        <v>0</v>
      </c>
      <c r="AC1580" s="6" t="str">
        <f ca="1">VLOOKUP($AB1580,OFFSET([3]enemy_skill_sets!$B$2,0,0,COUNTA([3]enemy_skill_sets!$A:$A),MATCH(AC$1,[3]enemy_skill_sets!$1:$1,0)-MATCH($AB$1,[3]enemy_skill_sets!$1:$1,0)+1),MATCH(AC$1,[3]enemy_skill_sets!$1:$1,0)-MATCH($AB$1,[3]enemy_skill_sets!$1:$1,0)+1,FALSE)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0" s="67">
        <v>1</v>
      </c>
      <c r="AE1580" s="67">
        <v>1</v>
      </c>
      <c r="AF1580" s="68">
        <v>0</v>
      </c>
      <c r="AG1580" s="99">
        <f>ROUND(VLOOKUP(1,enemy_base_stats!$A:$F,2,FALSE) * Y1580* J1580*O1580*E1580*S1580*AD1580*[2]ステータス!$B$2,0)</f>
        <v>3998</v>
      </c>
      <c r="AH1580" s="99">
        <f>ROUND(VLOOKUP(1,enemy_base_stats!$A:$F,3,FALSE) * Z1580*K1580*P1580*F1580*T1580*AE1580 * W1580*[2]ステータス!$C$2,0)</f>
        <v>374</v>
      </c>
      <c r="AI1580" s="99">
        <f>ROUND(VLOOKUP(1,enemy_base_stats!$A:$F,4,FALSE) * AA1580*L1580*Q1580*G1580*U1580*AF1580*[2]ステータス!$D$2,0)</f>
        <v>0</v>
      </c>
      <c r="AJ1580" s="99">
        <f>ROUND(VLOOKUP(100,enemy_base_stats!$A:$F,2,FALSE) * Y1580* J1580*O1580*E1580*S1580*AD1580*[2]ステータス!$B$2,0)</f>
        <v>162335</v>
      </c>
      <c r="AK1580" s="99">
        <f>ROUND(VLOOKUP(100,enemy_base_stats!$A:$F,3,FALSE)* Z1580* K1580*P1580*F1580*T1580*AE1580 * W1580*[2]ステータス!$C$2,0)</f>
        <v>15187</v>
      </c>
      <c r="AL1580" s="99">
        <f>ROUND(VLOOKUP(100,enemy_base_stats!$A:$F,4,FALSE)* AA1580* L1580*Q1580*G1580*U1580*AF1580*[2]ステータス!$D$2,0)</f>
        <v>0</v>
      </c>
      <c r="AM1580" s="97">
        <f>VLOOKUP(M1580,[2]character_tribe_i18n!$A:$I,9,FALSE)</f>
        <v>680</v>
      </c>
      <c r="AN1580" s="97">
        <v>0</v>
      </c>
      <c r="AO1580" s="98">
        <v>0</v>
      </c>
      <c r="AP1580" s="58" t="s">
        <v>72</v>
      </c>
      <c r="AQ1580" s="34">
        <f t="shared" si="99"/>
        <v>8101</v>
      </c>
    </row>
    <row r="1581" spans="1:43" ht="21" customHeight="1" x14ac:dyDescent="0.15">
      <c r="A1581" s="105">
        <v>8102</v>
      </c>
      <c r="B1581" s="6" t="str">
        <f>VLOOKUP(A1581,[2]characters!$A:$C,3,FALSE)</f>
        <v>張果老★６</v>
      </c>
      <c r="C1581" s="9">
        <f>VLOOKUP(A1581,[2]characters!$A:$I,9,FALSE)</f>
        <v>6</v>
      </c>
      <c r="D1581" s="9" t="str">
        <f>VLOOKUP(A1581,[2]characters!$A:$H,8,FALSE)</f>
        <v>yellow</v>
      </c>
      <c r="E1581" s="97">
        <f>VLOOKUP(D1581,[2]属性!$A:$E,2,FALSE)</f>
        <v>0.98</v>
      </c>
      <c r="F1581" s="97">
        <f>VLOOKUP(D1581,[2]属性!$A:$E,3,FALSE)</f>
        <v>1.01</v>
      </c>
      <c r="G1581" s="97">
        <f>VLOOKUP(D1581,[2]属性!$A:$F,4,FALSE)</f>
        <v>1</v>
      </c>
      <c r="H1581" s="9" t="str">
        <f>VLOOKUP(A1581,[2]characters!$A:$K,11,FALSE)</f>
        <v>attack</v>
      </c>
      <c r="I1581" s="6" t="str">
        <f>VLOOKUP(H1581,[2]character_type_i18n!$A:$F,3,FALSE)</f>
        <v>攻撃タイプ</v>
      </c>
      <c r="J1581" s="97">
        <f>VLOOKUP(H1581,[2]character_type_i18n!$A:$F,4,FALSE)</f>
        <v>1</v>
      </c>
      <c r="K1581" s="97">
        <f>VLOOKUP(H1581,[2]character_type_i18n!$A:$F,5,FALSE)</f>
        <v>1.33</v>
      </c>
      <c r="L1581" s="97">
        <f>VLOOKUP(H1581,[2]character_type_i18n!$A:$F,6,FALSE)</f>
        <v>1</v>
      </c>
      <c r="M1581" s="9" t="str">
        <f>VLOOKUP(A1581,[2]characters!$A:$M,13,FALSE)</f>
        <v>god</v>
      </c>
      <c r="N1581" s="6" t="str">
        <f>VLOOKUP(M1581,[2]character_tribe_i18n!$A:$F,3,FALSE)</f>
        <v>ゴッド</v>
      </c>
      <c r="O1581" s="97">
        <f>VLOOKUP(M1581,[2]character_tribe_i18n!$A:$F,4,FALSE)</f>
        <v>0.96</v>
      </c>
      <c r="P1581" s="97">
        <f>VLOOKUP(M1581,[2]character_tribe_i18n!$A:$F,5,FALSE)</f>
        <v>1.02</v>
      </c>
      <c r="Q1581" s="97">
        <f>VLOOKUP(M1581,[2]character_tribe_i18n!$A:$F,6,FALSE)</f>
        <v>1</v>
      </c>
      <c r="R1581" s="98" t="s">
        <v>98</v>
      </c>
      <c r="S1581" s="97">
        <f>VLOOKUP($R1581,ラベル別係数!$A$1:$E$7,3,FALSE)</f>
        <v>5</v>
      </c>
      <c r="T1581" s="97">
        <f>VLOOKUP($R1581,ラベル別係数!$A$1:$E$7,4,FALSE)</f>
        <v>1.3</v>
      </c>
      <c r="U1581" s="97">
        <f>VLOOKUP($R1581,ラベル別係数!$A$1:$E$7,5,FALSE)</f>
        <v>0.8</v>
      </c>
      <c r="V1581" s="98">
        <v>3</v>
      </c>
      <c r="W1581" s="99">
        <f>VLOOKUP(V1581,ターン数別攻撃係数!$A$1:$B$1000,2,FALSE)</f>
        <v>1</v>
      </c>
      <c r="X1581" s="9">
        <f>VLOOKUP(C1581,サイズ別係数!A$2:B$9,2,FALSE)</f>
        <v>60</v>
      </c>
      <c r="Y1581" s="97">
        <f>VLOOKUP($X1581,サイズ別係数!$B:$E,2,FALSE)</f>
        <v>1.7</v>
      </c>
      <c r="Z1581" s="97">
        <f>VLOOKUP($X1581,サイズ別係数!$B:$E,3,FALSE)</f>
        <v>1.4</v>
      </c>
      <c r="AA1581" s="97">
        <f>VLOOKUP($X1581,サイズ別係数!$B:$E,4,FALSE)</f>
        <v>1</v>
      </c>
      <c r="AB1581" s="10">
        <v>0</v>
      </c>
      <c r="AC1581" s="6" t="str">
        <f ca="1">VLOOKUP($AB1581,OFFSET([3]enemy_skill_sets!$B$2,0,0,COUNTA([3]enemy_skill_sets!$A:$A),MATCH(AC$1,[3]enemy_skill_sets!$1:$1,0)-MATCH($AB$1,[3]enemy_skill_sets!$1:$1,0)+1),MATCH(AC$1,[3]enemy_skill_sets!$1:$1,0)-MATCH($AB$1,[3]enemy_skill_sets!$1:$1,0)+1,FALSE)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1" s="67">
        <v>1</v>
      </c>
      <c r="AE1581" s="67">
        <v>1</v>
      </c>
      <c r="AF1581" s="68">
        <v>0</v>
      </c>
      <c r="AG1581" s="99">
        <f>ROUND(VLOOKUP(1,enemy_base_stats!$A:$F,2,FALSE) * Y1581* J1581*O1581*E1581*S1581*AD1581*[2]ステータス!$B$2,0)</f>
        <v>3998</v>
      </c>
      <c r="AH1581" s="99">
        <f>ROUND(VLOOKUP(1,enemy_base_stats!$A:$F,3,FALSE) * Z1581*K1581*P1581*F1581*T1581*AE1581 * W1581*[2]ステータス!$C$2,0)</f>
        <v>374</v>
      </c>
      <c r="AI1581" s="99">
        <f>ROUND(VLOOKUP(1,enemy_base_stats!$A:$F,4,FALSE) * AA1581*L1581*Q1581*G1581*U1581*AF1581*[2]ステータス!$D$2,0)</f>
        <v>0</v>
      </c>
      <c r="AJ1581" s="99">
        <f>ROUND(VLOOKUP(100,enemy_base_stats!$A:$F,2,FALSE) * Y1581* J1581*O1581*E1581*S1581*AD1581*[2]ステータス!$B$2,0)</f>
        <v>162335</v>
      </c>
      <c r="AK1581" s="99">
        <f>ROUND(VLOOKUP(100,enemy_base_stats!$A:$F,3,FALSE)* Z1581* K1581*P1581*F1581*T1581*AE1581 * W1581*[2]ステータス!$C$2,0)</f>
        <v>15187</v>
      </c>
      <c r="AL1581" s="99">
        <f>ROUND(VLOOKUP(100,enemy_base_stats!$A:$F,4,FALSE)* AA1581* L1581*Q1581*G1581*U1581*AF1581*[2]ステータス!$D$2,0)</f>
        <v>0</v>
      </c>
      <c r="AM1581" s="97">
        <f>VLOOKUP(M1581,[2]character_tribe_i18n!$A:$I,9,FALSE)</f>
        <v>680</v>
      </c>
      <c r="AN1581" s="97">
        <v>0</v>
      </c>
      <c r="AO1581" s="98">
        <v>0</v>
      </c>
      <c r="AP1581" s="58" t="s">
        <v>72</v>
      </c>
      <c r="AQ1581" s="34">
        <f t="shared" si="99"/>
        <v>8102</v>
      </c>
    </row>
    <row r="1582" spans="1:43" ht="21" customHeight="1" x14ac:dyDescent="0.15">
      <c r="A1582" s="105">
        <v>8103</v>
      </c>
      <c r="B1582" s="6" t="str">
        <f>VLOOKUP(A1582,[2]characters!$A:$C,3,FALSE)</f>
        <v>李鐵拐</v>
      </c>
      <c r="C1582" s="9">
        <f>VLOOKUP(A1582,[2]characters!$A:$I,9,FALSE)</f>
        <v>5</v>
      </c>
      <c r="D1582" s="9" t="str">
        <f>VLOOKUP(A1582,[2]characters!$A:$H,8,FALSE)</f>
        <v>red</v>
      </c>
      <c r="E1582" s="97">
        <f>VLOOKUP(D1582,[2]属性!$A:$E,2,FALSE)</f>
        <v>1</v>
      </c>
      <c r="F1582" s="97">
        <f>VLOOKUP(D1582,[2]属性!$A:$E,3,FALSE)</f>
        <v>1.02</v>
      </c>
      <c r="G1582" s="97">
        <f>VLOOKUP(D1582,[2]属性!$A:$F,4,FALSE)</f>
        <v>1</v>
      </c>
      <c r="H1582" s="9" t="str">
        <f>VLOOKUP(A1582,[2]characters!$A:$K,11,FALSE)</f>
        <v>attack</v>
      </c>
      <c r="I1582" s="6" t="str">
        <f>VLOOKUP(H1582,[2]character_type_i18n!$A:$F,3,FALSE)</f>
        <v>攻撃タイプ</v>
      </c>
      <c r="J1582" s="97">
        <f>VLOOKUP(H1582,[2]character_type_i18n!$A:$F,4,FALSE)</f>
        <v>1</v>
      </c>
      <c r="K1582" s="97">
        <f>VLOOKUP(H1582,[2]character_type_i18n!$A:$F,5,FALSE)</f>
        <v>1.33</v>
      </c>
      <c r="L1582" s="97">
        <f>VLOOKUP(H1582,[2]character_type_i18n!$A:$F,6,FALSE)</f>
        <v>1</v>
      </c>
      <c r="M1582" s="9" t="str">
        <f>VLOOKUP(A1582,[2]characters!$A:$M,13,FALSE)</f>
        <v>god</v>
      </c>
      <c r="N1582" s="6" t="str">
        <f>VLOOKUP(M1582,[2]character_tribe_i18n!$A:$F,3,FALSE)</f>
        <v>ゴッド</v>
      </c>
      <c r="O1582" s="97">
        <f>VLOOKUP(M1582,[2]character_tribe_i18n!$A:$F,4,FALSE)</f>
        <v>0.96</v>
      </c>
      <c r="P1582" s="97">
        <f>VLOOKUP(M1582,[2]character_tribe_i18n!$A:$F,5,FALSE)</f>
        <v>1.02</v>
      </c>
      <c r="Q1582" s="97">
        <f>VLOOKUP(M1582,[2]character_tribe_i18n!$A:$F,6,FALSE)</f>
        <v>1</v>
      </c>
      <c r="R1582" s="98" t="s">
        <v>98</v>
      </c>
      <c r="S1582" s="97">
        <f>VLOOKUP($R1582,ラベル別係数!$A$1:$E$7,3,FALSE)</f>
        <v>5</v>
      </c>
      <c r="T1582" s="97">
        <f>VLOOKUP($R1582,ラベル別係数!$A$1:$E$7,4,FALSE)</f>
        <v>1.3</v>
      </c>
      <c r="U1582" s="97">
        <f>VLOOKUP($R1582,ラベル別係数!$A$1:$E$7,5,FALSE)</f>
        <v>0.8</v>
      </c>
      <c r="V1582" s="98">
        <v>3</v>
      </c>
      <c r="W1582" s="99">
        <f>VLOOKUP(V1582,ターン数別攻撃係数!$A$1:$B$1000,2,FALSE)</f>
        <v>1</v>
      </c>
      <c r="X1582" s="9">
        <f>VLOOKUP(C1582,サイズ別係数!A$2:B$9,2,FALSE)</f>
        <v>60</v>
      </c>
      <c r="Y1582" s="97">
        <f>VLOOKUP($X1582,サイズ別係数!$B:$E,2,FALSE)</f>
        <v>1.7</v>
      </c>
      <c r="Z1582" s="97">
        <f>VLOOKUP($X1582,サイズ別係数!$B:$E,3,FALSE)</f>
        <v>1.4</v>
      </c>
      <c r="AA1582" s="97">
        <f>VLOOKUP($X1582,サイズ別係数!$B:$E,4,FALSE)</f>
        <v>1</v>
      </c>
      <c r="AB1582" s="10">
        <v>0</v>
      </c>
      <c r="AC1582" s="6" t="str">
        <f ca="1">VLOOKUP($AB1582,OFFSET([3]enemy_skill_sets!$B$2,0,0,COUNTA([3]enemy_skill_sets!$A:$A),MATCH(AC$1,[3]enemy_skill_sets!$1:$1,0)-MATCH($AB$1,[3]enemy_skill_sets!$1:$1,0)+1),MATCH(AC$1,[3]enemy_skill_sets!$1:$1,0)-MATCH($AB$1,[3]enemy_skill_sets!$1:$1,0)+1,FALSE)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2" s="67">
        <v>1</v>
      </c>
      <c r="AE1582" s="67">
        <v>1</v>
      </c>
      <c r="AF1582" s="68">
        <v>0</v>
      </c>
      <c r="AG1582" s="99">
        <f>ROUND(VLOOKUP(1,enemy_base_stats!$A:$F,2,FALSE) * Y1582* J1582*O1582*E1582*S1582*AD1582*[2]ステータス!$B$2,0)</f>
        <v>4080</v>
      </c>
      <c r="AH1582" s="99">
        <f>ROUND(VLOOKUP(1,enemy_base_stats!$A:$F,3,FALSE) * Z1582*K1582*P1582*F1582*T1582*AE1582 * W1582*[2]ステータス!$C$2,0)</f>
        <v>378</v>
      </c>
      <c r="AI1582" s="99">
        <f>ROUND(VLOOKUP(1,enemy_base_stats!$A:$F,4,FALSE) * AA1582*L1582*Q1582*G1582*U1582*AF1582*[2]ステータス!$D$2,0)</f>
        <v>0</v>
      </c>
      <c r="AJ1582" s="99">
        <f>ROUND(VLOOKUP(100,enemy_base_stats!$A:$F,2,FALSE) * Y1582* J1582*O1582*E1582*S1582*AD1582*[2]ステータス!$B$2,0)</f>
        <v>165648</v>
      </c>
      <c r="AK1582" s="99">
        <f>ROUND(VLOOKUP(100,enemy_base_stats!$A:$F,3,FALSE)* Z1582* K1582*P1582*F1582*T1582*AE1582 * W1582*[2]ステータス!$C$2,0)</f>
        <v>15337</v>
      </c>
      <c r="AL1582" s="99">
        <f>ROUND(VLOOKUP(100,enemy_base_stats!$A:$F,4,FALSE)* AA1582* L1582*Q1582*G1582*U1582*AF1582*[2]ステータス!$D$2,0)</f>
        <v>0</v>
      </c>
      <c r="AM1582" s="97">
        <f>VLOOKUP(M1582,[2]character_tribe_i18n!$A:$I,9,FALSE)</f>
        <v>680</v>
      </c>
      <c r="AN1582" s="97">
        <v>0</v>
      </c>
      <c r="AO1582" s="98">
        <v>0</v>
      </c>
      <c r="AP1582" s="58" t="s">
        <v>72</v>
      </c>
      <c r="AQ1582" s="34">
        <f t="shared" ref="AQ1582:AQ1585" si="100">A1582</f>
        <v>8103</v>
      </c>
    </row>
    <row r="1583" spans="1:43" ht="21" customHeight="1" x14ac:dyDescent="0.15">
      <c r="A1583" s="105">
        <v>8104</v>
      </c>
      <c r="B1583" s="6" t="str">
        <f>VLOOKUP(A1583,[2]characters!$A:$C,3,FALSE)</f>
        <v>李鐵拐★６</v>
      </c>
      <c r="C1583" s="9">
        <f>VLOOKUP(A1583,[2]characters!$A:$I,9,FALSE)</f>
        <v>6</v>
      </c>
      <c r="D1583" s="9" t="str">
        <f>VLOOKUP(A1583,[2]characters!$A:$H,8,FALSE)</f>
        <v>red</v>
      </c>
      <c r="E1583" s="97">
        <f>VLOOKUP(D1583,[2]属性!$A:$E,2,FALSE)</f>
        <v>1</v>
      </c>
      <c r="F1583" s="97">
        <f>VLOOKUP(D1583,[2]属性!$A:$E,3,FALSE)</f>
        <v>1.02</v>
      </c>
      <c r="G1583" s="97">
        <f>VLOOKUP(D1583,[2]属性!$A:$F,4,FALSE)</f>
        <v>1</v>
      </c>
      <c r="H1583" s="9" t="str">
        <f>VLOOKUP(A1583,[2]characters!$A:$K,11,FALSE)</f>
        <v>attack</v>
      </c>
      <c r="I1583" s="6" t="str">
        <f>VLOOKUP(H1583,[2]character_type_i18n!$A:$F,3,FALSE)</f>
        <v>攻撃タイプ</v>
      </c>
      <c r="J1583" s="97">
        <f>VLOOKUP(H1583,[2]character_type_i18n!$A:$F,4,FALSE)</f>
        <v>1</v>
      </c>
      <c r="K1583" s="97">
        <f>VLOOKUP(H1583,[2]character_type_i18n!$A:$F,5,FALSE)</f>
        <v>1.33</v>
      </c>
      <c r="L1583" s="97">
        <f>VLOOKUP(H1583,[2]character_type_i18n!$A:$F,6,FALSE)</f>
        <v>1</v>
      </c>
      <c r="M1583" s="9" t="str">
        <f>VLOOKUP(A1583,[2]characters!$A:$M,13,FALSE)</f>
        <v>god</v>
      </c>
      <c r="N1583" s="6" t="str">
        <f>VLOOKUP(M1583,[2]character_tribe_i18n!$A:$F,3,FALSE)</f>
        <v>ゴッド</v>
      </c>
      <c r="O1583" s="97">
        <f>VLOOKUP(M1583,[2]character_tribe_i18n!$A:$F,4,FALSE)</f>
        <v>0.96</v>
      </c>
      <c r="P1583" s="97">
        <f>VLOOKUP(M1583,[2]character_tribe_i18n!$A:$F,5,FALSE)</f>
        <v>1.02</v>
      </c>
      <c r="Q1583" s="97">
        <f>VLOOKUP(M1583,[2]character_tribe_i18n!$A:$F,6,FALSE)</f>
        <v>1</v>
      </c>
      <c r="R1583" s="98" t="s">
        <v>98</v>
      </c>
      <c r="S1583" s="97">
        <f>VLOOKUP($R1583,ラベル別係数!$A$1:$E$7,3,FALSE)</f>
        <v>5</v>
      </c>
      <c r="T1583" s="97">
        <f>VLOOKUP($R1583,ラベル別係数!$A$1:$E$7,4,FALSE)</f>
        <v>1.3</v>
      </c>
      <c r="U1583" s="97">
        <f>VLOOKUP($R1583,ラベル別係数!$A$1:$E$7,5,FALSE)</f>
        <v>0.8</v>
      </c>
      <c r="V1583" s="98">
        <v>3</v>
      </c>
      <c r="W1583" s="99">
        <f>VLOOKUP(V1583,ターン数別攻撃係数!$A$1:$B$1000,2,FALSE)</f>
        <v>1</v>
      </c>
      <c r="X1583" s="9">
        <f>VLOOKUP(C1583,サイズ別係数!A$2:B$9,2,FALSE)</f>
        <v>60</v>
      </c>
      <c r="Y1583" s="97">
        <f>VLOOKUP($X1583,サイズ別係数!$B:$E,2,FALSE)</f>
        <v>1.7</v>
      </c>
      <c r="Z1583" s="97">
        <f>VLOOKUP($X1583,サイズ別係数!$B:$E,3,FALSE)</f>
        <v>1.4</v>
      </c>
      <c r="AA1583" s="97">
        <f>VLOOKUP($X1583,サイズ別係数!$B:$E,4,FALSE)</f>
        <v>1</v>
      </c>
      <c r="AB1583" s="10">
        <v>0</v>
      </c>
      <c r="AC1583" s="6" t="str">
        <f ca="1">VLOOKUP($AB1583,OFFSET([3]enemy_skill_sets!$B$2,0,0,COUNTA([3]enemy_skill_sets!$A:$A),MATCH(AC$1,[3]enemy_skill_sets!$1:$1,0)-MATCH($AB$1,[3]enemy_skill_sets!$1:$1,0)+1),MATCH(AC$1,[3]enemy_skill_sets!$1:$1,0)-MATCH($AB$1,[3]enemy_skill_sets!$1:$1,0)+1,FALSE)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3" s="67">
        <v>1</v>
      </c>
      <c r="AE1583" s="67">
        <v>1</v>
      </c>
      <c r="AF1583" s="68">
        <v>0</v>
      </c>
      <c r="AG1583" s="99">
        <f>ROUND(VLOOKUP(1,enemy_base_stats!$A:$F,2,FALSE) * Y1583* J1583*O1583*E1583*S1583*AD1583*[2]ステータス!$B$2,0)</f>
        <v>4080</v>
      </c>
      <c r="AH1583" s="99">
        <f>ROUND(VLOOKUP(1,enemy_base_stats!$A:$F,3,FALSE) * Z1583*K1583*P1583*F1583*T1583*AE1583 * W1583*[2]ステータス!$C$2,0)</f>
        <v>378</v>
      </c>
      <c r="AI1583" s="99">
        <f>ROUND(VLOOKUP(1,enemy_base_stats!$A:$F,4,FALSE) * AA1583*L1583*Q1583*G1583*U1583*AF1583*[2]ステータス!$D$2,0)</f>
        <v>0</v>
      </c>
      <c r="AJ1583" s="99">
        <f>ROUND(VLOOKUP(100,enemy_base_stats!$A:$F,2,FALSE) * Y1583* J1583*O1583*E1583*S1583*AD1583*[2]ステータス!$B$2,0)</f>
        <v>165648</v>
      </c>
      <c r="AK1583" s="99">
        <f>ROUND(VLOOKUP(100,enemy_base_stats!$A:$F,3,FALSE)* Z1583* K1583*P1583*F1583*T1583*AE1583 * W1583*[2]ステータス!$C$2,0)</f>
        <v>15337</v>
      </c>
      <c r="AL1583" s="99">
        <f>ROUND(VLOOKUP(100,enemy_base_stats!$A:$F,4,FALSE)* AA1583* L1583*Q1583*G1583*U1583*AF1583*[2]ステータス!$D$2,0)</f>
        <v>0</v>
      </c>
      <c r="AM1583" s="97">
        <f>VLOOKUP(M1583,[2]character_tribe_i18n!$A:$I,9,FALSE)</f>
        <v>680</v>
      </c>
      <c r="AN1583" s="97">
        <v>0</v>
      </c>
      <c r="AO1583" s="98">
        <v>0</v>
      </c>
      <c r="AP1583" s="58" t="s">
        <v>72</v>
      </c>
      <c r="AQ1583" s="34">
        <f t="shared" si="100"/>
        <v>8104</v>
      </c>
    </row>
    <row r="1584" spans="1:43" ht="21" customHeight="1" x14ac:dyDescent="0.15">
      <c r="A1584" s="105">
        <v>8105</v>
      </c>
      <c r="B1584" s="6" t="str">
        <f>VLOOKUP(A1584,[2]characters!$A:$C,3,FALSE)</f>
        <v>曹國舅</v>
      </c>
      <c r="C1584" s="9">
        <f>VLOOKUP(A1584,[2]characters!$A:$I,9,FALSE)</f>
        <v>5</v>
      </c>
      <c r="D1584" s="9" t="str">
        <f>VLOOKUP(A1584,[2]characters!$A:$H,8,FALSE)</f>
        <v>green</v>
      </c>
      <c r="E1584" s="97">
        <f>VLOOKUP(D1584,[2]属性!$A:$E,2,FALSE)</f>
        <v>1.02</v>
      </c>
      <c r="F1584" s="97">
        <f>VLOOKUP(D1584,[2]属性!$A:$E,3,FALSE)</f>
        <v>0.98</v>
      </c>
      <c r="G1584" s="97">
        <f>VLOOKUP(D1584,[2]属性!$A:$F,4,FALSE)</f>
        <v>1</v>
      </c>
      <c r="H1584" s="9" t="str">
        <f>VLOOKUP(A1584,[2]characters!$A:$K,11,FALSE)</f>
        <v>hp</v>
      </c>
      <c r="I1584" s="6" t="str">
        <f>VLOOKUP(H1584,[2]character_type_i18n!$A:$F,3,FALSE)</f>
        <v>体力タイプ</v>
      </c>
      <c r="J1584" s="97">
        <f>VLOOKUP(H1584,[2]character_type_i18n!$A:$F,4,FALSE)</f>
        <v>1.45</v>
      </c>
      <c r="K1584" s="97">
        <f>VLOOKUP(H1584,[2]character_type_i18n!$A:$F,5,FALSE)</f>
        <v>0.85</v>
      </c>
      <c r="L1584" s="97">
        <f>VLOOKUP(H1584,[2]character_type_i18n!$A:$F,6,FALSE)</f>
        <v>1</v>
      </c>
      <c r="M1584" s="9" t="str">
        <f>VLOOKUP(A1584,[2]characters!$A:$M,13,FALSE)</f>
        <v>god</v>
      </c>
      <c r="N1584" s="6" t="str">
        <f>VLOOKUP(M1584,[2]character_tribe_i18n!$A:$F,3,FALSE)</f>
        <v>ゴッド</v>
      </c>
      <c r="O1584" s="97">
        <f>VLOOKUP(M1584,[2]character_tribe_i18n!$A:$F,4,FALSE)</f>
        <v>0.96</v>
      </c>
      <c r="P1584" s="97">
        <f>VLOOKUP(M1584,[2]character_tribe_i18n!$A:$F,5,FALSE)</f>
        <v>1.02</v>
      </c>
      <c r="Q1584" s="97">
        <f>VLOOKUP(M1584,[2]character_tribe_i18n!$A:$F,6,FALSE)</f>
        <v>1</v>
      </c>
      <c r="R1584" s="98" t="s">
        <v>98</v>
      </c>
      <c r="S1584" s="97">
        <f>VLOOKUP($R1584,ラベル別係数!$A$1:$E$7,3,FALSE)</f>
        <v>5</v>
      </c>
      <c r="T1584" s="97">
        <f>VLOOKUP($R1584,ラベル別係数!$A$1:$E$7,4,FALSE)</f>
        <v>1.3</v>
      </c>
      <c r="U1584" s="97">
        <f>VLOOKUP($R1584,ラベル別係数!$A$1:$E$7,5,FALSE)</f>
        <v>0.8</v>
      </c>
      <c r="V1584" s="98">
        <v>3</v>
      </c>
      <c r="W1584" s="99">
        <f>VLOOKUP(V1584,ターン数別攻撃係数!$A$1:$B$1000,2,FALSE)</f>
        <v>1</v>
      </c>
      <c r="X1584" s="9">
        <f>VLOOKUP(C1584,サイズ別係数!A$2:B$9,2,FALSE)</f>
        <v>60</v>
      </c>
      <c r="Y1584" s="97">
        <f>VLOOKUP($X1584,サイズ別係数!$B:$E,2,FALSE)</f>
        <v>1.7</v>
      </c>
      <c r="Z1584" s="97">
        <f>VLOOKUP($X1584,サイズ別係数!$B:$E,3,FALSE)</f>
        <v>1.4</v>
      </c>
      <c r="AA1584" s="97">
        <f>VLOOKUP($X1584,サイズ別係数!$B:$E,4,FALSE)</f>
        <v>1</v>
      </c>
      <c r="AB1584" s="10">
        <v>0</v>
      </c>
      <c r="AC1584" s="6" t="str">
        <f ca="1">VLOOKUP($AB1584,OFFSET([3]enemy_skill_sets!$B$2,0,0,COUNTA([3]enemy_skill_sets!$A:$A),MATCH(AC$1,[3]enemy_skill_sets!$1:$1,0)-MATCH($AB$1,[3]enemy_skill_sets!$1:$1,0)+1),MATCH(AC$1,[3]enemy_skill_sets!$1:$1,0)-MATCH($AB$1,[3]enemy_skill_sets!$1:$1,0)+1,FALSE)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4" s="67">
        <v>1</v>
      </c>
      <c r="AE1584" s="67">
        <v>1</v>
      </c>
      <c r="AF1584" s="68">
        <v>0</v>
      </c>
      <c r="AG1584" s="99">
        <f>ROUND(VLOOKUP(1,enemy_base_stats!$A:$F,2,FALSE) * Y1584* J1584*O1584*E1584*S1584*AD1584*[2]ステータス!$B$2,0)</f>
        <v>6034</v>
      </c>
      <c r="AH1584" s="99">
        <f>ROUND(VLOOKUP(1,enemy_base_stats!$A:$F,3,FALSE) * Z1584*K1584*P1584*F1584*T1584*AE1584 * W1584*[2]ステータス!$C$2,0)</f>
        <v>232</v>
      </c>
      <c r="AI1584" s="99">
        <f>ROUND(VLOOKUP(1,enemy_base_stats!$A:$F,4,FALSE) * AA1584*L1584*Q1584*G1584*U1584*AF1584*[2]ステータス!$D$2,0)</f>
        <v>0</v>
      </c>
      <c r="AJ1584" s="99">
        <f>ROUND(VLOOKUP(100,enemy_base_stats!$A:$F,2,FALSE) * Y1584* J1584*O1584*E1584*S1584*AD1584*[2]ステータス!$B$2,0)</f>
        <v>244993</v>
      </c>
      <c r="AK1584" s="99">
        <f>ROUND(VLOOKUP(100,enemy_base_stats!$A:$F,3,FALSE)* Z1584* K1584*P1584*F1584*T1584*AE1584 * W1584*[2]ステータス!$C$2,0)</f>
        <v>9417</v>
      </c>
      <c r="AL1584" s="99">
        <f>ROUND(VLOOKUP(100,enemy_base_stats!$A:$F,4,FALSE)* AA1584* L1584*Q1584*G1584*U1584*AF1584*[2]ステータス!$D$2,0)</f>
        <v>0</v>
      </c>
      <c r="AM1584" s="97">
        <f>VLOOKUP(M1584,[2]character_tribe_i18n!$A:$I,9,FALSE)</f>
        <v>680</v>
      </c>
      <c r="AN1584" s="97">
        <v>0</v>
      </c>
      <c r="AO1584" s="98">
        <v>0</v>
      </c>
      <c r="AP1584" s="58" t="s">
        <v>72</v>
      </c>
      <c r="AQ1584" s="34">
        <f t="shared" si="100"/>
        <v>8105</v>
      </c>
    </row>
    <row r="1585" spans="1:43" ht="21" customHeight="1" x14ac:dyDescent="0.15">
      <c r="A1585" s="105">
        <v>8106</v>
      </c>
      <c r="B1585" s="6" t="str">
        <f>VLOOKUP(A1585,[2]characters!$A:$C,3,FALSE)</f>
        <v>曹國舅★６</v>
      </c>
      <c r="C1585" s="9">
        <f>VLOOKUP(A1585,[2]characters!$A:$I,9,FALSE)</f>
        <v>6</v>
      </c>
      <c r="D1585" s="9" t="str">
        <f>VLOOKUP(A1585,[2]characters!$A:$H,8,FALSE)</f>
        <v>green</v>
      </c>
      <c r="E1585" s="97">
        <f>VLOOKUP(D1585,[2]属性!$A:$E,2,FALSE)</f>
        <v>1.02</v>
      </c>
      <c r="F1585" s="97">
        <f>VLOOKUP(D1585,[2]属性!$A:$E,3,FALSE)</f>
        <v>0.98</v>
      </c>
      <c r="G1585" s="97">
        <f>VLOOKUP(D1585,[2]属性!$A:$F,4,FALSE)</f>
        <v>1</v>
      </c>
      <c r="H1585" s="9" t="str">
        <f>VLOOKUP(A1585,[2]characters!$A:$K,11,FALSE)</f>
        <v>hp</v>
      </c>
      <c r="I1585" s="6" t="str">
        <f>VLOOKUP(H1585,[2]character_type_i18n!$A:$F,3,FALSE)</f>
        <v>体力タイプ</v>
      </c>
      <c r="J1585" s="97">
        <f>VLOOKUP(H1585,[2]character_type_i18n!$A:$F,4,FALSE)</f>
        <v>1.45</v>
      </c>
      <c r="K1585" s="97">
        <f>VLOOKUP(H1585,[2]character_type_i18n!$A:$F,5,FALSE)</f>
        <v>0.85</v>
      </c>
      <c r="L1585" s="97">
        <f>VLOOKUP(H1585,[2]character_type_i18n!$A:$F,6,FALSE)</f>
        <v>1</v>
      </c>
      <c r="M1585" s="9" t="str">
        <f>VLOOKUP(A1585,[2]characters!$A:$M,13,FALSE)</f>
        <v>god</v>
      </c>
      <c r="N1585" s="6" t="str">
        <f>VLOOKUP(M1585,[2]character_tribe_i18n!$A:$F,3,FALSE)</f>
        <v>ゴッド</v>
      </c>
      <c r="O1585" s="97">
        <f>VLOOKUP(M1585,[2]character_tribe_i18n!$A:$F,4,FALSE)</f>
        <v>0.96</v>
      </c>
      <c r="P1585" s="97">
        <f>VLOOKUP(M1585,[2]character_tribe_i18n!$A:$F,5,FALSE)</f>
        <v>1.02</v>
      </c>
      <c r="Q1585" s="97">
        <f>VLOOKUP(M1585,[2]character_tribe_i18n!$A:$F,6,FALSE)</f>
        <v>1</v>
      </c>
      <c r="R1585" s="98" t="s">
        <v>98</v>
      </c>
      <c r="S1585" s="97">
        <f>VLOOKUP($R1585,ラベル別係数!$A$1:$E$7,3,FALSE)</f>
        <v>5</v>
      </c>
      <c r="T1585" s="97">
        <f>VLOOKUP($R1585,ラベル別係数!$A$1:$E$7,4,FALSE)</f>
        <v>1.3</v>
      </c>
      <c r="U1585" s="97">
        <f>VLOOKUP($R1585,ラベル別係数!$A$1:$E$7,5,FALSE)</f>
        <v>0.8</v>
      </c>
      <c r="V1585" s="98">
        <v>3</v>
      </c>
      <c r="W1585" s="99">
        <f>VLOOKUP(V1585,ターン数別攻撃係数!$A$1:$B$1000,2,FALSE)</f>
        <v>1</v>
      </c>
      <c r="X1585" s="9">
        <f>VLOOKUP(C1585,サイズ別係数!A$2:B$9,2,FALSE)</f>
        <v>60</v>
      </c>
      <c r="Y1585" s="97">
        <f>VLOOKUP($X1585,サイズ別係数!$B:$E,2,FALSE)</f>
        <v>1.7</v>
      </c>
      <c r="Z1585" s="97">
        <f>VLOOKUP($X1585,サイズ別係数!$B:$E,3,FALSE)</f>
        <v>1.4</v>
      </c>
      <c r="AA1585" s="97">
        <f>VLOOKUP($X1585,サイズ別係数!$B:$E,4,FALSE)</f>
        <v>1</v>
      </c>
      <c r="AB1585" s="10">
        <v>0</v>
      </c>
      <c r="AC1585" s="6" t="str">
        <f ca="1">VLOOKUP($AB1585,OFFSET([3]enemy_skill_sets!$B$2,0,0,COUNTA([3]enemy_skill_sets!$A:$A),MATCH(AC$1,[3]enemy_skill_sets!$1:$1,0)-MATCH($AB$1,[3]enemy_skill_sets!$1:$1,0)+1),MATCH(AC$1,[3]enemy_skill_sets!$1:$1,0)-MATCH($AB$1,[3]enemy_skill_sets!$1:$1,0)+1,FALSE)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5" s="67">
        <v>1</v>
      </c>
      <c r="AE1585" s="67">
        <v>1</v>
      </c>
      <c r="AF1585" s="68">
        <v>0</v>
      </c>
      <c r="AG1585" s="99">
        <f>ROUND(VLOOKUP(1,enemy_base_stats!$A:$F,2,FALSE) * Y1585* J1585*O1585*E1585*S1585*AD1585*[2]ステータス!$B$2,0)</f>
        <v>6034</v>
      </c>
      <c r="AH1585" s="99">
        <f>ROUND(VLOOKUP(1,enemy_base_stats!$A:$F,3,FALSE) * Z1585*K1585*P1585*F1585*T1585*AE1585 * W1585*[2]ステータス!$C$2,0)</f>
        <v>232</v>
      </c>
      <c r="AI1585" s="99">
        <f>ROUND(VLOOKUP(1,enemy_base_stats!$A:$F,4,FALSE) * AA1585*L1585*Q1585*G1585*U1585*AF1585*[2]ステータス!$D$2,0)</f>
        <v>0</v>
      </c>
      <c r="AJ1585" s="99">
        <f>ROUND(VLOOKUP(100,enemy_base_stats!$A:$F,2,FALSE) * Y1585* J1585*O1585*E1585*S1585*AD1585*[2]ステータス!$B$2,0)</f>
        <v>244993</v>
      </c>
      <c r="AK1585" s="99">
        <f>ROUND(VLOOKUP(100,enemy_base_stats!$A:$F,3,FALSE)* Z1585* K1585*P1585*F1585*T1585*AE1585 * W1585*[2]ステータス!$C$2,0)</f>
        <v>9417</v>
      </c>
      <c r="AL1585" s="99">
        <f>ROUND(VLOOKUP(100,enemy_base_stats!$A:$F,4,FALSE)* AA1585* L1585*Q1585*G1585*U1585*AF1585*[2]ステータス!$D$2,0)</f>
        <v>0</v>
      </c>
      <c r="AM1585" s="97">
        <f>VLOOKUP(M1585,[2]character_tribe_i18n!$A:$I,9,FALSE)</f>
        <v>680</v>
      </c>
      <c r="AN1585" s="97">
        <v>0</v>
      </c>
      <c r="AO1585" s="98">
        <v>0</v>
      </c>
      <c r="AP1585" s="58" t="s">
        <v>72</v>
      </c>
      <c r="AQ1585" s="34">
        <f t="shared" si="100"/>
        <v>8106</v>
      </c>
    </row>
    <row r="1586" spans="1:43" ht="21" customHeight="1" x14ac:dyDescent="0.15">
      <c r="A1586" s="105">
        <v>8111</v>
      </c>
      <c r="B1586" s="6" t="str">
        <f>VLOOKUP(A1586,[2]characters!$A:$C,3,FALSE)</f>
        <v>福德正神</v>
      </c>
      <c r="C1586" s="9">
        <f>VLOOKUP(A1586,[2]characters!$A:$I,9,FALSE)</f>
        <v>5</v>
      </c>
      <c r="D1586" s="9" t="str">
        <f>VLOOKUP(A1586,[2]characters!$A:$H,8,FALSE)</f>
        <v>blue</v>
      </c>
      <c r="E1586" s="97">
        <f>VLOOKUP(D1586,[2]属性!$A:$E,2,FALSE)</f>
        <v>1</v>
      </c>
      <c r="F1586" s="97">
        <f>VLOOKUP(D1586,[2]属性!$A:$E,3,FALSE)</f>
        <v>0.98</v>
      </c>
      <c r="G1586" s="97">
        <f>VLOOKUP(D1586,[2]属性!$A:$F,4,FALSE)</f>
        <v>1</v>
      </c>
      <c r="H1586" s="9" t="str">
        <f>VLOOKUP(A1586,[2]characters!$A:$K,11,FALSE)</f>
        <v>balance</v>
      </c>
      <c r="I1586" s="6" t="str">
        <f>VLOOKUP(H1586,[2]character_type_i18n!$A:$F,3,FALSE)</f>
        <v>バランスタイプ</v>
      </c>
      <c r="J1586" s="97">
        <f>VLOOKUP(H1586,[2]character_type_i18n!$A:$F,4,FALSE)</f>
        <v>1</v>
      </c>
      <c r="K1586" s="97">
        <f>VLOOKUP(H1586,[2]character_type_i18n!$A:$F,5,FALSE)</f>
        <v>1</v>
      </c>
      <c r="L1586" s="97">
        <f>VLOOKUP(H1586,[2]character_type_i18n!$A:$F,6,FALSE)</f>
        <v>1</v>
      </c>
      <c r="M1586" s="9" t="str">
        <f>VLOOKUP(A1586,[2]characters!$A:$M,13,FALSE)</f>
        <v>god</v>
      </c>
      <c r="N1586" s="6" t="str">
        <f>VLOOKUP(M1586,[2]character_tribe_i18n!$A:$F,3,FALSE)</f>
        <v>ゴッド</v>
      </c>
      <c r="O1586" s="97">
        <f>VLOOKUP(M1586,[2]character_tribe_i18n!$A:$F,4,FALSE)</f>
        <v>0.96</v>
      </c>
      <c r="P1586" s="97">
        <f>VLOOKUP(M1586,[2]character_tribe_i18n!$A:$F,5,FALSE)</f>
        <v>1.02</v>
      </c>
      <c r="Q1586" s="97">
        <f>VLOOKUP(M1586,[2]character_tribe_i18n!$A:$F,6,FALSE)</f>
        <v>1</v>
      </c>
      <c r="R1586" s="98" t="s">
        <v>98</v>
      </c>
      <c r="S1586" s="97">
        <f>VLOOKUP($R1586,ラベル別係数!$A$1:$E$7,3,FALSE)</f>
        <v>5</v>
      </c>
      <c r="T1586" s="97">
        <f>VLOOKUP($R1586,ラベル別係数!$A$1:$E$7,4,FALSE)</f>
        <v>1.3</v>
      </c>
      <c r="U1586" s="97">
        <f>VLOOKUP($R1586,ラベル別係数!$A$1:$E$7,5,FALSE)</f>
        <v>0.8</v>
      </c>
      <c r="V1586" s="98">
        <v>3</v>
      </c>
      <c r="W1586" s="99">
        <f>VLOOKUP(V1586,ターン数別攻撃係数!$A$1:$B$1000,2,FALSE)</f>
        <v>1</v>
      </c>
      <c r="X1586" s="9">
        <f>VLOOKUP(C1586,サイズ別係数!A$2:B$9,2,FALSE)</f>
        <v>60</v>
      </c>
      <c r="Y1586" s="97">
        <f>VLOOKUP($X1586,サイズ別係数!$B:$E,2,FALSE)</f>
        <v>1.7</v>
      </c>
      <c r="Z1586" s="97">
        <f>VLOOKUP($X1586,サイズ別係数!$B:$E,3,FALSE)</f>
        <v>1.4</v>
      </c>
      <c r="AA1586" s="97">
        <f>VLOOKUP($X1586,サイズ別係数!$B:$E,4,FALSE)</f>
        <v>1</v>
      </c>
      <c r="AB1586" s="10">
        <v>0</v>
      </c>
      <c r="AC1586" s="6" t="str">
        <f ca="1">VLOOKUP($AB1586,OFFSET([3]enemy_skill_sets!$B$2,0,0,COUNTA([3]enemy_skill_sets!$A:$A),MATCH(AC$1,[3]enemy_skill_sets!$1:$1,0)-MATCH($AB$1,[3]enemy_skill_sets!$1:$1,0)+1),MATCH(AC$1,[3]enemy_skill_sets!$1:$1,0)-MATCH($AB$1,[3]enemy_skill_sets!$1:$1,0)+1,FALSE)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6" s="67">
        <v>1</v>
      </c>
      <c r="AE1586" s="67">
        <v>1</v>
      </c>
      <c r="AF1586" s="68">
        <v>0</v>
      </c>
      <c r="AG1586" s="99">
        <f>ROUND(VLOOKUP(1,enemy_base_stats!$A:$F,2,FALSE) * Y1586* J1586*O1586*E1586*S1586*AD1586*[2]ステータス!$B$2,0)</f>
        <v>4080</v>
      </c>
      <c r="AH1586" s="99">
        <f>ROUND(VLOOKUP(1,enemy_base_stats!$A:$F,3,FALSE) * Z1586*K1586*P1586*F1586*T1586*AE1586 * W1586*[2]ステータス!$C$2,0)</f>
        <v>273</v>
      </c>
      <c r="AI1586" s="99">
        <f>ROUND(VLOOKUP(1,enemy_base_stats!$A:$F,4,FALSE) * AA1586*L1586*Q1586*G1586*U1586*AF1586*[2]ステータス!$D$2,0)</f>
        <v>0</v>
      </c>
      <c r="AJ1586" s="99">
        <f>ROUND(VLOOKUP(100,enemy_base_stats!$A:$F,2,FALSE) * Y1586* J1586*O1586*E1586*S1586*AD1586*[2]ステータス!$B$2,0)</f>
        <v>165648</v>
      </c>
      <c r="AK1586" s="99">
        <f>ROUND(VLOOKUP(100,enemy_base_stats!$A:$F,3,FALSE)* Z1586* K1586*P1586*F1586*T1586*AE1586 * W1586*[2]ステータス!$C$2,0)</f>
        <v>11079</v>
      </c>
      <c r="AL1586" s="99">
        <f>ROUND(VLOOKUP(100,enemy_base_stats!$A:$F,4,FALSE)* AA1586* L1586*Q1586*G1586*U1586*AF1586*[2]ステータス!$D$2,0)</f>
        <v>0</v>
      </c>
      <c r="AM1586" s="97">
        <f>VLOOKUP(M1586,[2]character_tribe_i18n!$A:$I,9,FALSE)</f>
        <v>680</v>
      </c>
      <c r="AN1586" s="97">
        <v>0</v>
      </c>
      <c r="AO1586" s="98">
        <v>0</v>
      </c>
      <c r="AP1586" s="58" t="s">
        <v>72</v>
      </c>
      <c r="AQ1586" s="34">
        <f t="shared" ref="AQ1586:AQ1597" si="101">A1586</f>
        <v>8111</v>
      </c>
    </row>
    <row r="1587" spans="1:43" ht="21" customHeight="1" x14ac:dyDescent="0.15">
      <c r="A1587" s="105">
        <v>8112</v>
      </c>
      <c r="B1587" s="6" t="str">
        <f>VLOOKUP(A1587,[2]characters!$A:$C,3,FALSE)</f>
        <v>福德正神★６</v>
      </c>
      <c r="C1587" s="9">
        <f>VLOOKUP(A1587,[2]characters!$A:$I,9,FALSE)</f>
        <v>6</v>
      </c>
      <c r="D1587" s="9" t="str">
        <f>VLOOKUP(A1587,[2]characters!$A:$H,8,FALSE)</f>
        <v>blue</v>
      </c>
      <c r="E1587" s="97">
        <f>VLOOKUP(D1587,[2]属性!$A:$E,2,FALSE)</f>
        <v>1</v>
      </c>
      <c r="F1587" s="97">
        <f>VLOOKUP(D1587,[2]属性!$A:$E,3,FALSE)</f>
        <v>0.98</v>
      </c>
      <c r="G1587" s="97">
        <f>VLOOKUP(D1587,[2]属性!$A:$F,4,FALSE)</f>
        <v>1</v>
      </c>
      <c r="H1587" s="9" t="str">
        <f>VLOOKUP(A1587,[2]characters!$A:$K,11,FALSE)</f>
        <v>balance</v>
      </c>
      <c r="I1587" s="6" t="str">
        <f>VLOOKUP(H1587,[2]character_type_i18n!$A:$F,3,FALSE)</f>
        <v>バランスタイプ</v>
      </c>
      <c r="J1587" s="97">
        <f>VLOOKUP(H1587,[2]character_type_i18n!$A:$F,4,FALSE)</f>
        <v>1</v>
      </c>
      <c r="K1587" s="97">
        <f>VLOOKUP(H1587,[2]character_type_i18n!$A:$F,5,FALSE)</f>
        <v>1</v>
      </c>
      <c r="L1587" s="97">
        <f>VLOOKUP(H1587,[2]character_type_i18n!$A:$F,6,FALSE)</f>
        <v>1</v>
      </c>
      <c r="M1587" s="9" t="str">
        <f>VLOOKUP(A1587,[2]characters!$A:$M,13,FALSE)</f>
        <v>god</v>
      </c>
      <c r="N1587" s="6" t="str">
        <f>VLOOKUP(M1587,[2]character_tribe_i18n!$A:$F,3,FALSE)</f>
        <v>ゴッド</v>
      </c>
      <c r="O1587" s="97">
        <f>VLOOKUP(M1587,[2]character_tribe_i18n!$A:$F,4,FALSE)</f>
        <v>0.96</v>
      </c>
      <c r="P1587" s="97">
        <f>VLOOKUP(M1587,[2]character_tribe_i18n!$A:$F,5,FALSE)</f>
        <v>1.02</v>
      </c>
      <c r="Q1587" s="97">
        <f>VLOOKUP(M1587,[2]character_tribe_i18n!$A:$F,6,FALSE)</f>
        <v>1</v>
      </c>
      <c r="R1587" s="98" t="s">
        <v>98</v>
      </c>
      <c r="S1587" s="97">
        <f>VLOOKUP($R1587,ラベル別係数!$A$1:$E$7,3,FALSE)</f>
        <v>5</v>
      </c>
      <c r="T1587" s="97">
        <f>VLOOKUP($R1587,ラベル別係数!$A$1:$E$7,4,FALSE)</f>
        <v>1.3</v>
      </c>
      <c r="U1587" s="97">
        <f>VLOOKUP($R1587,ラベル別係数!$A$1:$E$7,5,FALSE)</f>
        <v>0.8</v>
      </c>
      <c r="V1587" s="98">
        <v>3</v>
      </c>
      <c r="W1587" s="99">
        <f>VLOOKUP(V1587,ターン数別攻撃係数!$A$1:$B$1000,2,FALSE)</f>
        <v>1</v>
      </c>
      <c r="X1587" s="9">
        <f>VLOOKUP(C1587,サイズ別係数!A$2:B$9,2,FALSE)</f>
        <v>60</v>
      </c>
      <c r="Y1587" s="97">
        <f>VLOOKUP($X1587,サイズ別係数!$B:$E,2,FALSE)</f>
        <v>1.7</v>
      </c>
      <c r="Z1587" s="97">
        <f>VLOOKUP($X1587,サイズ別係数!$B:$E,3,FALSE)</f>
        <v>1.4</v>
      </c>
      <c r="AA1587" s="97">
        <f>VLOOKUP($X1587,サイズ別係数!$B:$E,4,FALSE)</f>
        <v>1</v>
      </c>
      <c r="AB1587" s="10">
        <v>0</v>
      </c>
      <c r="AC1587" s="6" t="str">
        <f ca="1">VLOOKUP($AB1587,OFFSET([3]enemy_skill_sets!$B$2,0,0,COUNTA([3]enemy_skill_sets!$A:$A),MATCH(AC$1,[3]enemy_skill_sets!$1:$1,0)-MATCH($AB$1,[3]enemy_skill_sets!$1:$1,0)+1),MATCH(AC$1,[3]enemy_skill_sets!$1:$1,0)-MATCH($AB$1,[3]enemy_skill_sets!$1:$1,0)+1,FALSE)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7" s="67">
        <v>1</v>
      </c>
      <c r="AE1587" s="67">
        <v>1</v>
      </c>
      <c r="AF1587" s="68">
        <v>0</v>
      </c>
      <c r="AG1587" s="99">
        <f>ROUND(VLOOKUP(1,enemy_base_stats!$A:$F,2,FALSE) * Y1587* J1587*O1587*E1587*S1587*AD1587*[2]ステータス!$B$2,0)</f>
        <v>4080</v>
      </c>
      <c r="AH1587" s="99">
        <f>ROUND(VLOOKUP(1,enemy_base_stats!$A:$F,3,FALSE) * Z1587*K1587*P1587*F1587*T1587*AE1587 * W1587*[2]ステータス!$C$2,0)</f>
        <v>273</v>
      </c>
      <c r="AI1587" s="99">
        <f>ROUND(VLOOKUP(1,enemy_base_stats!$A:$F,4,FALSE) * AA1587*L1587*Q1587*G1587*U1587*AF1587*[2]ステータス!$D$2,0)</f>
        <v>0</v>
      </c>
      <c r="AJ1587" s="99">
        <f>ROUND(VLOOKUP(100,enemy_base_stats!$A:$F,2,FALSE) * Y1587* J1587*O1587*E1587*S1587*AD1587*[2]ステータス!$B$2,0)</f>
        <v>165648</v>
      </c>
      <c r="AK1587" s="99">
        <f>ROUND(VLOOKUP(100,enemy_base_stats!$A:$F,3,FALSE)* Z1587* K1587*P1587*F1587*T1587*AE1587 * W1587*[2]ステータス!$C$2,0)</f>
        <v>11079</v>
      </c>
      <c r="AL1587" s="99">
        <f>ROUND(VLOOKUP(100,enemy_base_stats!$A:$F,4,FALSE)* AA1587* L1587*Q1587*G1587*U1587*AF1587*[2]ステータス!$D$2,0)</f>
        <v>0</v>
      </c>
      <c r="AM1587" s="97">
        <f>VLOOKUP(M1587,[2]character_tribe_i18n!$A:$I,9,FALSE)</f>
        <v>680</v>
      </c>
      <c r="AN1587" s="97">
        <v>0</v>
      </c>
      <c r="AO1587" s="98">
        <v>0</v>
      </c>
      <c r="AP1587" s="58" t="s">
        <v>72</v>
      </c>
      <c r="AQ1587" s="34">
        <f t="shared" si="101"/>
        <v>8112</v>
      </c>
    </row>
    <row r="1588" spans="1:43" ht="21" customHeight="1" x14ac:dyDescent="0.15">
      <c r="A1588" s="105">
        <v>8113</v>
      </c>
      <c r="B1588" s="6" t="str">
        <f>VLOOKUP(A1588,[2]characters!$A:$C,3,FALSE)</f>
        <v>孔子</v>
      </c>
      <c r="C1588" s="9">
        <f>VLOOKUP(A1588,[2]characters!$A:$I,9,FALSE)</f>
        <v>5</v>
      </c>
      <c r="D1588" s="9" t="str">
        <f>VLOOKUP(A1588,[2]characters!$A:$H,8,FALSE)</f>
        <v>yellow</v>
      </c>
      <c r="E1588" s="97">
        <f>VLOOKUP(D1588,[2]属性!$A:$E,2,FALSE)</f>
        <v>0.98</v>
      </c>
      <c r="F1588" s="97">
        <f>VLOOKUP(D1588,[2]属性!$A:$E,3,FALSE)</f>
        <v>1.01</v>
      </c>
      <c r="G1588" s="97">
        <f>VLOOKUP(D1588,[2]属性!$A:$F,4,FALSE)</f>
        <v>1</v>
      </c>
      <c r="H1588" s="9" t="str">
        <f>VLOOKUP(A1588,[2]characters!$A:$K,11,FALSE)</f>
        <v>attack</v>
      </c>
      <c r="I1588" s="6" t="str">
        <f>VLOOKUP(H1588,[2]character_type_i18n!$A:$F,3,FALSE)</f>
        <v>攻撃タイプ</v>
      </c>
      <c r="J1588" s="97">
        <f>VLOOKUP(H1588,[2]character_type_i18n!$A:$F,4,FALSE)</f>
        <v>1</v>
      </c>
      <c r="K1588" s="97">
        <f>VLOOKUP(H1588,[2]character_type_i18n!$A:$F,5,FALSE)</f>
        <v>1.33</v>
      </c>
      <c r="L1588" s="97">
        <f>VLOOKUP(H1588,[2]character_type_i18n!$A:$F,6,FALSE)</f>
        <v>1</v>
      </c>
      <c r="M1588" s="9" t="str">
        <f>VLOOKUP(A1588,[2]characters!$A:$M,13,FALSE)</f>
        <v>academia</v>
      </c>
      <c r="N1588" s="6" t="str">
        <f>VLOOKUP(M1588,[2]character_tribe_i18n!$A:$F,3,FALSE)</f>
        <v>アカデミア</v>
      </c>
      <c r="O1588" s="97">
        <f>VLOOKUP(M1588,[2]character_tribe_i18n!$A:$F,4,FALSE)</f>
        <v>1</v>
      </c>
      <c r="P1588" s="97">
        <f>VLOOKUP(M1588,[2]character_tribe_i18n!$A:$F,5,FALSE)</f>
        <v>1</v>
      </c>
      <c r="Q1588" s="97">
        <f>VLOOKUP(M1588,[2]character_tribe_i18n!$A:$F,6,FALSE)</f>
        <v>1</v>
      </c>
      <c r="R1588" s="98" t="s">
        <v>98</v>
      </c>
      <c r="S1588" s="97">
        <f>VLOOKUP($R1588,ラベル別係数!$A$1:$E$7,3,FALSE)</f>
        <v>5</v>
      </c>
      <c r="T1588" s="97">
        <f>VLOOKUP($R1588,ラベル別係数!$A$1:$E$7,4,FALSE)</f>
        <v>1.3</v>
      </c>
      <c r="U1588" s="97">
        <f>VLOOKUP($R1588,ラベル別係数!$A$1:$E$7,5,FALSE)</f>
        <v>0.8</v>
      </c>
      <c r="V1588" s="98">
        <v>3</v>
      </c>
      <c r="W1588" s="99">
        <f>VLOOKUP(V1588,ターン数別攻撃係数!$A$1:$B$1000,2,FALSE)</f>
        <v>1</v>
      </c>
      <c r="X1588" s="9">
        <f>VLOOKUP(C1588,サイズ別係数!A$2:B$9,2,FALSE)</f>
        <v>60</v>
      </c>
      <c r="Y1588" s="97">
        <f>VLOOKUP($X1588,サイズ別係数!$B:$E,2,FALSE)</f>
        <v>1.7</v>
      </c>
      <c r="Z1588" s="97">
        <f>VLOOKUP($X1588,サイズ別係数!$B:$E,3,FALSE)</f>
        <v>1.4</v>
      </c>
      <c r="AA1588" s="97">
        <f>VLOOKUP($X1588,サイズ別係数!$B:$E,4,FALSE)</f>
        <v>1</v>
      </c>
      <c r="AB1588" s="10">
        <v>0</v>
      </c>
      <c r="AC1588" s="6" t="str">
        <f ca="1">VLOOKUP($AB1588,OFFSET([3]enemy_skill_sets!$B$2,0,0,COUNTA([3]enemy_skill_sets!$A:$A),MATCH(AC$1,[3]enemy_skill_sets!$1:$1,0)-MATCH($AB$1,[3]enemy_skill_sets!$1:$1,0)+1),MATCH(AC$1,[3]enemy_skill_sets!$1:$1,0)-MATCH($AB$1,[3]enemy_skill_sets!$1:$1,0)+1,FALSE)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8" s="67">
        <v>1</v>
      </c>
      <c r="AE1588" s="67">
        <v>1</v>
      </c>
      <c r="AF1588" s="68">
        <v>0</v>
      </c>
      <c r="AG1588" s="99">
        <f>ROUND(VLOOKUP(1,enemy_base_stats!$A:$F,2,FALSE) * Y1588* J1588*O1588*E1588*S1588*AD1588*[2]ステータス!$B$2,0)</f>
        <v>4165</v>
      </c>
      <c r="AH1588" s="99">
        <f>ROUND(VLOOKUP(1,enemy_base_stats!$A:$F,3,FALSE) * Z1588*K1588*P1588*F1588*T1588*AE1588 * W1588*[2]ステータス!$C$2,0)</f>
        <v>367</v>
      </c>
      <c r="AI1588" s="99">
        <f>ROUND(VLOOKUP(1,enemy_base_stats!$A:$F,4,FALSE) * AA1588*L1588*Q1588*G1588*U1588*AF1588*[2]ステータス!$D$2,0)</f>
        <v>0</v>
      </c>
      <c r="AJ1588" s="99">
        <f>ROUND(VLOOKUP(100,enemy_base_stats!$A:$F,2,FALSE) * Y1588* J1588*O1588*E1588*S1588*AD1588*[2]ステータス!$B$2,0)</f>
        <v>169099</v>
      </c>
      <c r="AK1588" s="99">
        <f>ROUND(VLOOKUP(100,enemy_base_stats!$A:$F,3,FALSE)* Z1588* K1588*P1588*F1588*T1588*AE1588 * W1588*[2]ステータス!$C$2,0)</f>
        <v>14889</v>
      </c>
      <c r="AL1588" s="99">
        <f>ROUND(VLOOKUP(100,enemy_base_stats!$A:$F,4,FALSE)* AA1588* L1588*Q1588*G1588*U1588*AF1588*[2]ステータス!$D$2,0)</f>
        <v>0</v>
      </c>
      <c r="AM1588" s="97">
        <f>VLOOKUP(M1588,[2]character_tribe_i18n!$A:$I,9,FALSE)</f>
        <v>400</v>
      </c>
      <c r="AN1588" s="97">
        <v>0</v>
      </c>
      <c r="AO1588" s="98">
        <v>0</v>
      </c>
      <c r="AP1588" s="58" t="s">
        <v>72</v>
      </c>
      <c r="AQ1588" s="34">
        <f t="shared" si="101"/>
        <v>8113</v>
      </c>
    </row>
    <row r="1589" spans="1:43" ht="21" customHeight="1" x14ac:dyDescent="0.15">
      <c r="A1589" s="105">
        <v>8114</v>
      </c>
      <c r="B1589" s="6" t="str">
        <f>VLOOKUP(A1589,[2]characters!$A:$C,3,FALSE)</f>
        <v>孔子★６</v>
      </c>
      <c r="C1589" s="9">
        <f>VLOOKUP(A1589,[2]characters!$A:$I,9,FALSE)</f>
        <v>6</v>
      </c>
      <c r="D1589" s="9" t="str">
        <f>VLOOKUP(A1589,[2]characters!$A:$H,8,FALSE)</f>
        <v>yellow</v>
      </c>
      <c r="E1589" s="97">
        <f>VLOOKUP(D1589,[2]属性!$A:$E,2,FALSE)</f>
        <v>0.98</v>
      </c>
      <c r="F1589" s="97">
        <f>VLOOKUP(D1589,[2]属性!$A:$E,3,FALSE)</f>
        <v>1.01</v>
      </c>
      <c r="G1589" s="97">
        <f>VLOOKUP(D1589,[2]属性!$A:$F,4,FALSE)</f>
        <v>1</v>
      </c>
      <c r="H1589" s="9" t="str">
        <f>VLOOKUP(A1589,[2]characters!$A:$K,11,FALSE)</f>
        <v>attack</v>
      </c>
      <c r="I1589" s="6" t="str">
        <f>VLOOKUP(H1589,[2]character_type_i18n!$A:$F,3,FALSE)</f>
        <v>攻撃タイプ</v>
      </c>
      <c r="J1589" s="97">
        <f>VLOOKUP(H1589,[2]character_type_i18n!$A:$F,4,FALSE)</f>
        <v>1</v>
      </c>
      <c r="K1589" s="97">
        <f>VLOOKUP(H1589,[2]character_type_i18n!$A:$F,5,FALSE)</f>
        <v>1.33</v>
      </c>
      <c r="L1589" s="97">
        <f>VLOOKUP(H1589,[2]character_type_i18n!$A:$F,6,FALSE)</f>
        <v>1</v>
      </c>
      <c r="M1589" s="9" t="str">
        <f>VLOOKUP(A1589,[2]characters!$A:$M,13,FALSE)</f>
        <v>academia</v>
      </c>
      <c r="N1589" s="6" t="str">
        <f>VLOOKUP(M1589,[2]character_tribe_i18n!$A:$F,3,FALSE)</f>
        <v>アカデミア</v>
      </c>
      <c r="O1589" s="97">
        <f>VLOOKUP(M1589,[2]character_tribe_i18n!$A:$F,4,FALSE)</f>
        <v>1</v>
      </c>
      <c r="P1589" s="97">
        <f>VLOOKUP(M1589,[2]character_tribe_i18n!$A:$F,5,FALSE)</f>
        <v>1</v>
      </c>
      <c r="Q1589" s="97">
        <f>VLOOKUP(M1589,[2]character_tribe_i18n!$A:$F,6,FALSE)</f>
        <v>1</v>
      </c>
      <c r="R1589" s="98" t="s">
        <v>98</v>
      </c>
      <c r="S1589" s="97">
        <f>VLOOKUP($R1589,ラベル別係数!$A$1:$E$7,3,FALSE)</f>
        <v>5</v>
      </c>
      <c r="T1589" s="97">
        <f>VLOOKUP($R1589,ラベル別係数!$A$1:$E$7,4,FALSE)</f>
        <v>1.3</v>
      </c>
      <c r="U1589" s="97">
        <f>VLOOKUP($R1589,ラベル別係数!$A$1:$E$7,5,FALSE)</f>
        <v>0.8</v>
      </c>
      <c r="V1589" s="98">
        <v>3</v>
      </c>
      <c r="W1589" s="99">
        <f>VLOOKUP(V1589,ターン数別攻撃係数!$A$1:$B$1000,2,FALSE)</f>
        <v>1</v>
      </c>
      <c r="X1589" s="9">
        <f>VLOOKUP(C1589,サイズ別係数!A$2:B$9,2,FALSE)</f>
        <v>60</v>
      </c>
      <c r="Y1589" s="97">
        <f>VLOOKUP($X1589,サイズ別係数!$B:$E,2,FALSE)</f>
        <v>1.7</v>
      </c>
      <c r="Z1589" s="97">
        <f>VLOOKUP($X1589,サイズ別係数!$B:$E,3,FALSE)</f>
        <v>1.4</v>
      </c>
      <c r="AA1589" s="97">
        <f>VLOOKUP($X1589,サイズ別係数!$B:$E,4,FALSE)</f>
        <v>1</v>
      </c>
      <c r="AB1589" s="10">
        <v>0</v>
      </c>
      <c r="AC1589" s="6" t="str">
        <f ca="1">VLOOKUP($AB1589,OFFSET([3]enemy_skill_sets!$B$2,0,0,COUNTA([3]enemy_skill_sets!$A:$A),MATCH(AC$1,[3]enemy_skill_sets!$1:$1,0)-MATCH($AB$1,[3]enemy_skill_sets!$1:$1,0)+1),MATCH(AC$1,[3]enemy_skill_sets!$1:$1,0)-MATCH($AB$1,[3]enemy_skill_sets!$1:$1,0)+1,FALSE)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89" s="67">
        <v>1</v>
      </c>
      <c r="AE1589" s="67">
        <v>1</v>
      </c>
      <c r="AF1589" s="68">
        <v>0</v>
      </c>
      <c r="AG1589" s="99">
        <f>ROUND(VLOOKUP(1,enemy_base_stats!$A:$F,2,FALSE) * Y1589* J1589*O1589*E1589*S1589*AD1589*[2]ステータス!$B$2,0)</f>
        <v>4165</v>
      </c>
      <c r="AH1589" s="99">
        <f>ROUND(VLOOKUP(1,enemy_base_stats!$A:$F,3,FALSE) * Z1589*K1589*P1589*F1589*T1589*AE1589 * W1589*[2]ステータス!$C$2,0)</f>
        <v>367</v>
      </c>
      <c r="AI1589" s="99">
        <f>ROUND(VLOOKUP(1,enemy_base_stats!$A:$F,4,FALSE) * AA1589*L1589*Q1589*G1589*U1589*AF1589*[2]ステータス!$D$2,0)</f>
        <v>0</v>
      </c>
      <c r="AJ1589" s="99">
        <f>ROUND(VLOOKUP(100,enemy_base_stats!$A:$F,2,FALSE) * Y1589* J1589*O1589*E1589*S1589*AD1589*[2]ステータス!$B$2,0)</f>
        <v>169099</v>
      </c>
      <c r="AK1589" s="99">
        <f>ROUND(VLOOKUP(100,enemy_base_stats!$A:$F,3,FALSE)* Z1589* K1589*P1589*F1589*T1589*AE1589 * W1589*[2]ステータス!$C$2,0)</f>
        <v>14889</v>
      </c>
      <c r="AL1589" s="99">
        <f>ROUND(VLOOKUP(100,enemy_base_stats!$A:$F,4,FALSE)* AA1589* L1589*Q1589*G1589*U1589*AF1589*[2]ステータス!$D$2,0)</f>
        <v>0</v>
      </c>
      <c r="AM1589" s="97">
        <f>VLOOKUP(M1589,[2]character_tribe_i18n!$A:$I,9,FALSE)</f>
        <v>400</v>
      </c>
      <c r="AN1589" s="97">
        <v>0</v>
      </c>
      <c r="AO1589" s="98">
        <v>0</v>
      </c>
      <c r="AP1589" s="58" t="s">
        <v>72</v>
      </c>
      <c r="AQ1589" s="34">
        <f t="shared" si="101"/>
        <v>8114</v>
      </c>
    </row>
    <row r="1590" spans="1:43" ht="21" customHeight="1" x14ac:dyDescent="0.15">
      <c r="A1590" s="105">
        <v>8115</v>
      </c>
      <c r="B1590" s="6" t="str">
        <f>VLOOKUP(A1590,[2]characters!$A:$C,3,FALSE)</f>
        <v>贏政</v>
      </c>
      <c r="C1590" s="9">
        <f>VLOOKUP(A1590,[2]characters!$A:$I,9,FALSE)</f>
        <v>5</v>
      </c>
      <c r="D1590" s="9" t="str">
        <f>VLOOKUP(A1590,[2]characters!$A:$H,8,FALSE)</f>
        <v>blue</v>
      </c>
      <c r="E1590" s="97">
        <f>VLOOKUP(D1590,[2]属性!$A:$E,2,FALSE)</f>
        <v>1</v>
      </c>
      <c r="F1590" s="97">
        <f>VLOOKUP(D1590,[2]属性!$A:$E,3,FALSE)</f>
        <v>0.98</v>
      </c>
      <c r="G1590" s="97">
        <f>VLOOKUP(D1590,[2]属性!$A:$F,4,FALSE)</f>
        <v>1</v>
      </c>
      <c r="H1590" s="9" t="str">
        <f>VLOOKUP(A1590,[2]characters!$A:$K,11,FALSE)</f>
        <v>attack</v>
      </c>
      <c r="I1590" s="6" t="str">
        <f>VLOOKUP(H1590,[2]character_type_i18n!$A:$F,3,FALSE)</f>
        <v>攻撃タイプ</v>
      </c>
      <c r="J1590" s="97">
        <f>VLOOKUP(H1590,[2]character_type_i18n!$A:$F,4,FALSE)</f>
        <v>1</v>
      </c>
      <c r="K1590" s="97">
        <f>VLOOKUP(H1590,[2]character_type_i18n!$A:$F,5,FALSE)</f>
        <v>1.33</v>
      </c>
      <c r="L1590" s="97">
        <f>VLOOKUP(H1590,[2]character_type_i18n!$A:$F,6,FALSE)</f>
        <v>1</v>
      </c>
      <c r="M1590" s="9" t="str">
        <f>VLOOKUP(A1590,[2]characters!$A:$M,13,FALSE)</f>
        <v>human</v>
      </c>
      <c r="N1590" s="6" t="str">
        <f>VLOOKUP(M1590,[2]character_tribe_i18n!$A:$F,3,FALSE)</f>
        <v>ヒューマン</v>
      </c>
      <c r="O1590" s="97">
        <f>VLOOKUP(M1590,[2]character_tribe_i18n!$A:$F,4,FALSE)</f>
        <v>0.94</v>
      </c>
      <c r="P1590" s="97">
        <f>VLOOKUP(M1590,[2]character_tribe_i18n!$A:$F,5,FALSE)</f>
        <v>0.99</v>
      </c>
      <c r="Q1590" s="97">
        <f>VLOOKUP(M1590,[2]character_tribe_i18n!$A:$F,6,FALSE)</f>
        <v>1</v>
      </c>
      <c r="R1590" s="98" t="s">
        <v>98</v>
      </c>
      <c r="S1590" s="97">
        <f>VLOOKUP($R1590,ラベル別係数!$A$1:$E$7,3,FALSE)</f>
        <v>5</v>
      </c>
      <c r="T1590" s="97">
        <f>VLOOKUP($R1590,ラベル別係数!$A$1:$E$7,4,FALSE)</f>
        <v>1.3</v>
      </c>
      <c r="U1590" s="97">
        <f>VLOOKUP($R1590,ラベル別係数!$A$1:$E$7,5,FALSE)</f>
        <v>0.8</v>
      </c>
      <c r="V1590" s="98">
        <v>3</v>
      </c>
      <c r="W1590" s="99">
        <f>VLOOKUP(V1590,ターン数別攻撃係数!$A$1:$B$1000,2,FALSE)</f>
        <v>1</v>
      </c>
      <c r="X1590" s="9">
        <f>VLOOKUP(C1590,サイズ別係数!A$2:B$9,2,FALSE)</f>
        <v>60</v>
      </c>
      <c r="Y1590" s="97">
        <f>VLOOKUP($X1590,サイズ別係数!$B:$E,2,FALSE)</f>
        <v>1.7</v>
      </c>
      <c r="Z1590" s="97">
        <f>VLOOKUP($X1590,サイズ別係数!$B:$E,3,FALSE)</f>
        <v>1.4</v>
      </c>
      <c r="AA1590" s="97">
        <f>VLOOKUP($X1590,サイズ別係数!$B:$E,4,FALSE)</f>
        <v>1</v>
      </c>
      <c r="AB1590" s="10">
        <v>0</v>
      </c>
      <c r="AC1590" s="6" t="str">
        <f ca="1">VLOOKUP($AB1590,OFFSET([3]enemy_skill_sets!$B$2,0,0,COUNTA([3]enemy_skill_sets!$A:$A),MATCH(AC$1,[3]enemy_skill_sets!$1:$1,0)-MATCH($AB$1,[3]enemy_skill_sets!$1:$1,0)+1),MATCH(AC$1,[3]enemy_skill_sets!$1:$1,0)-MATCH($AB$1,[3]enemy_skill_sets!$1:$1,0)+1,FALSE)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0" s="67">
        <v>1</v>
      </c>
      <c r="AE1590" s="67">
        <v>1</v>
      </c>
      <c r="AF1590" s="68">
        <v>0</v>
      </c>
      <c r="AG1590" s="99">
        <f>ROUND(VLOOKUP(1,enemy_base_stats!$A:$F,2,FALSE) * Y1590* J1590*O1590*E1590*S1590*AD1590*[2]ステータス!$B$2,0)</f>
        <v>3995</v>
      </c>
      <c r="AH1590" s="99">
        <f>ROUND(VLOOKUP(1,enemy_base_stats!$A:$F,3,FALSE) * Z1590*K1590*P1590*F1590*T1590*AE1590 * W1590*[2]ステータス!$C$2,0)</f>
        <v>352</v>
      </c>
      <c r="AI1590" s="99">
        <f>ROUND(VLOOKUP(1,enemy_base_stats!$A:$F,4,FALSE) * AA1590*L1590*Q1590*G1590*U1590*AF1590*[2]ステータス!$D$2,0)</f>
        <v>0</v>
      </c>
      <c r="AJ1590" s="99">
        <f>ROUND(VLOOKUP(100,enemy_base_stats!$A:$F,2,FALSE) * Y1590* J1590*O1590*E1590*S1590*AD1590*[2]ステータス!$B$2,0)</f>
        <v>162197</v>
      </c>
      <c r="AK1590" s="99">
        <f>ROUND(VLOOKUP(100,enemy_base_stats!$A:$F,3,FALSE)* Z1590* K1590*P1590*F1590*T1590*AE1590 * W1590*[2]ステータス!$C$2,0)</f>
        <v>14302</v>
      </c>
      <c r="AL1590" s="99">
        <f>ROUND(VLOOKUP(100,enemy_base_stats!$A:$F,4,FALSE)* AA1590* L1590*Q1590*G1590*U1590*AF1590*[2]ステータス!$D$2,0)</f>
        <v>0</v>
      </c>
      <c r="AM1590" s="97">
        <f>VLOOKUP(M1590,[2]character_tribe_i18n!$A:$I,9,FALSE)</f>
        <v>400</v>
      </c>
      <c r="AN1590" s="97">
        <v>0</v>
      </c>
      <c r="AO1590" s="98">
        <v>0</v>
      </c>
      <c r="AP1590" s="58" t="s">
        <v>72</v>
      </c>
      <c r="AQ1590" s="34">
        <f t="shared" si="101"/>
        <v>8115</v>
      </c>
    </row>
    <row r="1591" spans="1:43" ht="21" customHeight="1" x14ac:dyDescent="0.15">
      <c r="A1591" s="105">
        <v>8116</v>
      </c>
      <c r="B1591" s="6" t="str">
        <f>VLOOKUP(A1591,[2]characters!$A:$C,3,FALSE)</f>
        <v>贏政★６</v>
      </c>
      <c r="C1591" s="9">
        <f>VLOOKUP(A1591,[2]characters!$A:$I,9,FALSE)</f>
        <v>6</v>
      </c>
      <c r="D1591" s="9" t="str">
        <f>VLOOKUP(A1591,[2]characters!$A:$H,8,FALSE)</f>
        <v>blue</v>
      </c>
      <c r="E1591" s="97">
        <f>VLOOKUP(D1591,[2]属性!$A:$E,2,FALSE)</f>
        <v>1</v>
      </c>
      <c r="F1591" s="97">
        <f>VLOOKUP(D1591,[2]属性!$A:$E,3,FALSE)</f>
        <v>0.98</v>
      </c>
      <c r="G1591" s="97">
        <f>VLOOKUP(D1591,[2]属性!$A:$F,4,FALSE)</f>
        <v>1</v>
      </c>
      <c r="H1591" s="9" t="str">
        <f>VLOOKUP(A1591,[2]characters!$A:$K,11,FALSE)</f>
        <v>attack</v>
      </c>
      <c r="I1591" s="6" t="str">
        <f>VLOOKUP(H1591,[2]character_type_i18n!$A:$F,3,FALSE)</f>
        <v>攻撃タイプ</v>
      </c>
      <c r="J1591" s="97">
        <f>VLOOKUP(H1591,[2]character_type_i18n!$A:$F,4,FALSE)</f>
        <v>1</v>
      </c>
      <c r="K1591" s="97">
        <f>VLOOKUP(H1591,[2]character_type_i18n!$A:$F,5,FALSE)</f>
        <v>1.33</v>
      </c>
      <c r="L1591" s="97">
        <f>VLOOKUP(H1591,[2]character_type_i18n!$A:$F,6,FALSE)</f>
        <v>1</v>
      </c>
      <c r="M1591" s="9" t="str">
        <f>VLOOKUP(A1591,[2]characters!$A:$M,13,FALSE)</f>
        <v>human</v>
      </c>
      <c r="N1591" s="6" t="str">
        <f>VLOOKUP(M1591,[2]character_tribe_i18n!$A:$F,3,FALSE)</f>
        <v>ヒューマン</v>
      </c>
      <c r="O1591" s="97">
        <f>VLOOKUP(M1591,[2]character_tribe_i18n!$A:$F,4,FALSE)</f>
        <v>0.94</v>
      </c>
      <c r="P1591" s="97">
        <f>VLOOKUP(M1591,[2]character_tribe_i18n!$A:$F,5,FALSE)</f>
        <v>0.99</v>
      </c>
      <c r="Q1591" s="97">
        <f>VLOOKUP(M1591,[2]character_tribe_i18n!$A:$F,6,FALSE)</f>
        <v>1</v>
      </c>
      <c r="R1591" s="98" t="s">
        <v>98</v>
      </c>
      <c r="S1591" s="97">
        <f>VLOOKUP($R1591,ラベル別係数!$A$1:$E$7,3,FALSE)</f>
        <v>5</v>
      </c>
      <c r="T1591" s="97">
        <f>VLOOKUP($R1591,ラベル別係数!$A$1:$E$7,4,FALSE)</f>
        <v>1.3</v>
      </c>
      <c r="U1591" s="97">
        <f>VLOOKUP($R1591,ラベル別係数!$A$1:$E$7,5,FALSE)</f>
        <v>0.8</v>
      </c>
      <c r="V1591" s="98">
        <v>3</v>
      </c>
      <c r="W1591" s="99">
        <f>VLOOKUP(V1591,ターン数別攻撃係数!$A$1:$B$1000,2,FALSE)</f>
        <v>1</v>
      </c>
      <c r="X1591" s="9">
        <f>VLOOKUP(C1591,サイズ別係数!A$2:B$9,2,FALSE)</f>
        <v>60</v>
      </c>
      <c r="Y1591" s="97">
        <f>VLOOKUP($X1591,サイズ別係数!$B:$E,2,FALSE)</f>
        <v>1.7</v>
      </c>
      <c r="Z1591" s="97">
        <f>VLOOKUP($X1591,サイズ別係数!$B:$E,3,FALSE)</f>
        <v>1.4</v>
      </c>
      <c r="AA1591" s="97">
        <f>VLOOKUP($X1591,サイズ別係数!$B:$E,4,FALSE)</f>
        <v>1</v>
      </c>
      <c r="AB1591" s="10">
        <v>0</v>
      </c>
      <c r="AC1591" s="6" t="str">
        <f ca="1">VLOOKUP($AB1591,OFFSET([3]enemy_skill_sets!$B$2,0,0,COUNTA([3]enemy_skill_sets!$A:$A),MATCH(AC$1,[3]enemy_skill_sets!$1:$1,0)-MATCH($AB$1,[3]enemy_skill_sets!$1:$1,0)+1),MATCH(AC$1,[3]enemy_skill_sets!$1:$1,0)-MATCH($AB$1,[3]enemy_skill_sets!$1:$1,0)+1,FALSE)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1" s="67">
        <v>1</v>
      </c>
      <c r="AE1591" s="67">
        <v>1</v>
      </c>
      <c r="AF1591" s="68">
        <v>0</v>
      </c>
      <c r="AG1591" s="99">
        <f>ROUND(VLOOKUP(1,enemy_base_stats!$A:$F,2,FALSE) * Y1591* J1591*O1591*E1591*S1591*AD1591*[2]ステータス!$B$2,0)</f>
        <v>3995</v>
      </c>
      <c r="AH1591" s="99">
        <f>ROUND(VLOOKUP(1,enemy_base_stats!$A:$F,3,FALSE) * Z1591*K1591*P1591*F1591*T1591*AE1591 * W1591*[2]ステータス!$C$2,0)</f>
        <v>352</v>
      </c>
      <c r="AI1591" s="99">
        <f>ROUND(VLOOKUP(1,enemy_base_stats!$A:$F,4,FALSE) * AA1591*L1591*Q1591*G1591*U1591*AF1591*[2]ステータス!$D$2,0)</f>
        <v>0</v>
      </c>
      <c r="AJ1591" s="99">
        <f>ROUND(VLOOKUP(100,enemy_base_stats!$A:$F,2,FALSE) * Y1591* J1591*O1591*E1591*S1591*AD1591*[2]ステータス!$B$2,0)</f>
        <v>162197</v>
      </c>
      <c r="AK1591" s="99">
        <f>ROUND(VLOOKUP(100,enemy_base_stats!$A:$F,3,FALSE)* Z1591* K1591*P1591*F1591*T1591*AE1591 * W1591*[2]ステータス!$C$2,0)</f>
        <v>14302</v>
      </c>
      <c r="AL1591" s="99">
        <f>ROUND(VLOOKUP(100,enemy_base_stats!$A:$F,4,FALSE)* AA1591* L1591*Q1591*G1591*U1591*AF1591*[2]ステータス!$D$2,0)</f>
        <v>0</v>
      </c>
      <c r="AM1591" s="97">
        <f>VLOOKUP(M1591,[2]character_tribe_i18n!$A:$I,9,FALSE)</f>
        <v>400</v>
      </c>
      <c r="AN1591" s="97">
        <v>0</v>
      </c>
      <c r="AO1591" s="98">
        <v>0</v>
      </c>
      <c r="AP1591" s="58" t="s">
        <v>72</v>
      </c>
      <c r="AQ1591" s="34">
        <f t="shared" si="101"/>
        <v>8116</v>
      </c>
    </row>
    <row r="1592" spans="1:43" ht="21" customHeight="1" x14ac:dyDescent="0.15">
      <c r="A1592" s="105">
        <v>8117</v>
      </c>
      <c r="B1592" s="6" t="str">
        <f>VLOOKUP(A1592,[2]characters!$A:$C,3,FALSE)</f>
        <v>白娘子</v>
      </c>
      <c r="C1592" s="9">
        <f>VLOOKUP(A1592,[2]characters!$A:$I,9,FALSE)</f>
        <v>5</v>
      </c>
      <c r="D1592" s="9" t="str">
        <f>VLOOKUP(A1592,[2]characters!$A:$H,8,FALSE)</f>
        <v>green</v>
      </c>
      <c r="E1592" s="97">
        <f>VLOOKUP(D1592,[2]属性!$A:$E,2,FALSE)</f>
        <v>1.02</v>
      </c>
      <c r="F1592" s="97">
        <f>VLOOKUP(D1592,[2]属性!$A:$E,3,FALSE)</f>
        <v>0.98</v>
      </c>
      <c r="G1592" s="97">
        <f>VLOOKUP(D1592,[2]属性!$A:$F,4,FALSE)</f>
        <v>1</v>
      </c>
      <c r="H1592" s="9" t="str">
        <f>VLOOKUP(A1592,[2]characters!$A:$K,11,FALSE)</f>
        <v>heal</v>
      </c>
      <c r="I1592" s="6" t="str">
        <f>VLOOKUP(H1592,[2]character_type_i18n!$A:$F,3,FALSE)</f>
        <v>回復タイプ</v>
      </c>
      <c r="J1592" s="97">
        <f>VLOOKUP(H1592,[2]character_type_i18n!$A:$F,4,FALSE)</f>
        <v>0.8</v>
      </c>
      <c r="K1592" s="97">
        <f>VLOOKUP(H1592,[2]character_type_i18n!$A:$F,5,FALSE)</f>
        <v>0.78</v>
      </c>
      <c r="L1592" s="97">
        <f>VLOOKUP(H1592,[2]character_type_i18n!$A:$F,6,FALSE)</f>
        <v>1</v>
      </c>
      <c r="M1592" s="9" t="str">
        <f>VLOOKUP(A1592,[2]characters!$A:$M,13,FALSE)</f>
        <v>dragon</v>
      </c>
      <c r="N1592" s="6" t="str">
        <f>VLOOKUP(M1592,[2]character_tribe_i18n!$A:$F,3,FALSE)</f>
        <v>ドラゴン</v>
      </c>
      <c r="O1592" s="97">
        <f>VLOOKUP(M1592,[2]character_tribe_i18n!$A:$F,4,FALSE)</f>
        <v>1.1499999999999999</v>
      </c>
      <c r="P1592" s="97">
        <f>VLOOKUP(M1592,[2]character_tribe_i18n!$A:$F,5,FALSE)</f>
        <v>1.1000000000000001</v>
      </c>
      <c r="Q1592" s="97">
        <f>VLOOKUP(M1592,[2]character_tribe_i18n!$A:$F,6,FALSE)</f>
        <v>1</v>
      </c>
      <c r="R1592" s="98" t="s">
        <v>98</v>
      </c>
      <c r="S1592" s="97">
        <f>VLOOKUP($R1592,ラベル別係数!$A$1:$E$7,3,FALSE)</f>
        <v>5</v>
      </c>
      <c r="T1592" s="97">
        <f>VLOOKUP($R1592,ラベル別係数!$A$1:$E$7,4,FALSE)</f>
        <v>1.3</v>
      </c>
      <c r="U1592" s="97">
        <f>VLOOKUP($R1592,ラベル別係数!$A$1:$E$7,5,FALSE)</f>
        <v>0.8</v>
      </c>
      <c r="V1592" s="98">
        <v>3</v>
      </c>
      <c r="W1592" s="99">
        <f>VLOOKUP(V1592,ターン数別攻撃係数!$A$1:$B$1000,2,FALSE)</f>
        <v>1</v>
      </c>
      <c r="X1592" s="9">
        <f>VLOOKUP(C1592,サイズ別係数!A$2:B$9,2,FALSE)</f>
        <v>60</v>
      </c>
      <c r="Y1592" s="97">
        <f>VLOOKUP($X1592,サイズ別係数!$B:$E,2,FALSE)</f>
        <v>1.7</v>
      </c>
      <c r="Z1592" s="97">
        <f>VLOOKUP($X1592,サイズ別係数!$B:$E,3,FALSE)</f>
        <v>1.4</v>
      </c>
      <c r="AA1592" s="97">
        <f>VLOOKUP($X1592,サイズ別係数!$B:$E,4,FALSE)</f>
        <v>1</v>
      </c>
      <c r="AB1592" s="10">
        <v>0</v>
      </c>
      <c r="AC1592" s="6" t="str">
        <f ca="1">VLOOKUP($AB1592,OFFSET([3]enemy_skill_sets!$B$2,0,0,COUNTA([3]enemy_skill_sets!$A:$A),MATCH(AC$1,[3]enemy_skill_sets!$1:$1,0)-MATCH($AB$1,[3]enemy_skill_sets!$1:$1,0)+1),MATCH(AC$1,[3]enemy_skill_sets!$1:$1,0)-MATCH($AB$1,[3]enemy_skill_sets!$1:$1,0)+1,FALSE)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2" s="67">
        <v>1</v>
      </c>
      <c r="AE1592" s="67">
        <v>1</v>
      </c>
      <c r="AF1592" s="68">
        <v>0</v>
      </c>
      <c r="AG1592" s="99">
        <f>ROUND(VLOOKUP(1,enemy_base_stats!$A:$F,2,FALSE) * Y1592* J1592*O1592*E1592*S1592*AD1592*[2]ステータス!$B$2,0)</f>
        <v>3988</v>
      </c>
      <c r="AH1592" s="99">
        <f>ROUND(VLOOKUP(1,enemy_base_stats!$A:$F,3,FALSE) * Z1592*K1592*P1592*F1592*T1592*AE1592 * W1592*[2]ステータス!$C$2,0)</f>
        <v>230</v>
      </c>
      <c r="AI1592" s="99">
        <f>ROUND(VLOOKUP(1,enemy_base_stats!$A:$F,4,FALSE) * AA1592*L1592*Q1592*G1592*U1592*AF1592*[2]ステータス!$D$2,0)</f>
        <v>0</v>
      </c>
      <c r="AJ1592" s="99">
        <f>ROUND(VLOOKUP(100,enemy_base_stats!$A:$F,2,FALSE) * Y1592* J1592*O1592*E1592*S1592*AD1592*[2]ステータス!$B$2,0)</f>
        <v>161921</v>
      </c>
      <c r="AK1592" s="99">
        <f>ROUND(VLOOKUP(100,enemy_base_stats!$A:$F,3,FALSE)* Z1592* K1592*P1592*F1592*T1592*AE1592 * W1592*[2]ステータス!$C$2,0)</f>
        <v>9320</v>
      </c>
      <c r="AL1592" s="99">
        <f>ROUND(VLOOKUP(100,enemy_base_stats!$A:$F,4,FALSE)* AA1592* L1592*Q1592*G1592*U1592*AF1592*[2]ステータス!$D$2,0)</f>
        <v>0</v>
      </c>
      <c r="AM1592" s="97">
        <f>VLOOKUP(M1592,[2]character_tribe_i18n!$A:$I,9,FALSE)</f>
        <v>540</v>
      </c>
      <c r="AN1592" s="97">
        <v>0</v>
      </c>
      <c r="AO1592" s="98">
        <v>0</v>
      </c>
      <c r="AP1592" s="58" t="s">
        <v>72</v>
      </c>
      <c r="AQ1592" s="34">
        <f t="shared" si="101"/>
        <v>8117</v>
      </c>
    </row>
    <row r="1593" spans="1:43" ht="21" customHeight="1" x14ac:dyDescent="0.15">
      <c r="A1593" s="105">
        <v>8118</v>
      </c>
      <c r="B1593" s="6" t="str">
        <f>VLOOKUP(A1593,[2]characters!$A:$C,3,FALSE)</f>
        <v>白娘子★６</v>
      </c>
      <c r="C1593" s="9">
        <f>VLOOKUP(A1593,[2]characters!$A:$I,9,FALSE)</f>
        <v>6</v>
      </c>
      <c r="D1593" s="9" t="str">
        <f>VLOOKUP(A1593,[2]characters!$A:$H,8,FALSE)</f>
        <v>green</v>
      </c>
      <c r="E1593" s="97">
        <f>VLOOKUP(D1593,[2]属性!$A:$E,2,FALSE)</f>
        <v>1.02</v>
      </c>
      <c r="F1593" s="97">
        <f>VLOOKUP(D1593,[2]属性!$A:$E,3,FALSE)</f>
        <v>0.98</v>
      </c>
      <c r="G1593" s="97">
        <f>VLOOKUP(D1593,[2]属性!$A:$F,4,FALSE)</f>
        <v>1</v>
      </c>
      <c r="H1593" s="9" t="str">
        <f>VLOOKUP(A1593,[2]characters!$A:$K,11,FALSE)</f>
        <v>heal</v>
      </c>
      <c r="I1593" s="6" t="str">
        <f>VLOOKUP(H1593,[2]character_type_i18n!$A:$F,3,FALSE)</f>
        <v>回復タイプ</v>
      </c>
      <c r="J1593" s="97">
        <f>VLOOKUP(H1593,[2]character_type_i18n!$A:$F,4,FALSE)</f>
        <v>0.8</v>
      </c>
      <c r="K1593" s="97">
        <f>VLOOKUP(H1593,[2]character_type_i18n!$A:$F,5,FALSE)</f>
        <v>0.78</v>
      </c>
      <c r="L1593" s="97">
        <f>VLOOKUP(H1593,[2]character_type_i18n!$A:$F,6,FALSE)</f>
        <v>1</v>
      </c>
      <c r="M1593" s="9" t="str">
        <f>VLOOKUP(A1593,[2]characters!$A:$M,13,FALSE)</f>
        <v>dragon</v>
      </c>
      <c r="N1593" s="6" t="str">
        <f>VLOOKUP(M1593,[2]character_tribe_i18n!$A:$F,3,FALSE)</f>
        <v>ドラゴン</v>
      </c>
      <c r="O1593" s="97">
        <f>VLOOKUP(M1593,[2]character_tribe_i18n!$A:$F,4,FALSE)</f>
        <v>1.1499999999999999</v>
      </c>
      <c r="P1593" s="97">
        <f>VLOOKUP(M1593,[2]character_tribe_i18n!$A:$F,5,FALSE)</f>
        <v>1.1000000000000001</v>
      </c>
      <c r="Q1593" s="97">
        <f>VLOOKUP(M1593,[2]character_tribe_i18n!$A:$F,6,FALSE)</f>
        <v>1</v>
      </c>
      <c r="R1593" s="98" t="s">
        <v>98</v>
      </c>
      <c r="S1593" s="97">
        <f>VLOOKUP($R1593,ラベル別係数!$A$1:$E$7,3,FALSE)</f>
        <v>5</v>
      </c>
      <c r="T1593" s="97">
        <f>VLOOKUP($R1593,ラベル別係数!$A$1:$E$7,4,FALSE)</f>
        <v>1.3</v>
      </c>
      <c r="U1593" s="97">
        <f>VLOOKUP($R1593,ラベル別係数!$A$1:$E$7,5,FALSE)</f>
        <v>0.8</v>
      </c>
      <c r="V1593" s="98">
        <v>3</v>
      </c>
      <c r="W1593" s="99">
        <f>VLOOKUP(V1593,ターン数別攻撃係数!$A$1:$B$1000,2,FALSE)</f>
        <v>1</v>
      </c>
      <c r="X1593" s="9">
        <f>VLOOKUP(C1593,サイズ別係数!A$2:B$9,2,FALSE)</f>
        <v>60</v>
      </c>
      <c r="Y1593" s="97">
        <f>VLOOKUP($X1593,サイズ別係数!$B:$E,2,FALSE)</f>
        <v>1.7</v>
      </c>
      <c r="Z1593" s="97">
        <f>VLOOKUP($X1593,サイズ別係数!$B:$E,3,FALSE)</f>
        <v>1.4</v>
      </c>
      <c r="AA1593" s="97">
        <f>VLOOKUP($X1593,サイズ別係数!$B:$E,4,FALSE)</f>
        <v>1</v>
      </c>
      <c r="AB1593" s="10">
        <v>0</v>
      </c>
      <c r="AC1593" s="6" t="str">
        <f ca="1">VLOOKUP($AB1593,OFFSET([3]enemy_skill_sets!$B$2,0,0,COUNTA([3]enemy_skill_sets!$A:$A),MATCH(AC$1,[3]enemy_skill_sets!$1:$1,0)-MATCH($AB$1,[3]enemy_skill_sets!$1:$1,0)+1),MATCH(AC$1,[3]enemy_skill_sets!$1:$1,0)-MATCH($AB$1,[3]enemy_skill_sets!$1:$1,0)+1,FALSE)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3" s="67">
        <v>1</v>
      </c>
      <c r="AE1593" s="67">
        <v>1</v>
      </c>
      <c r="AF1593" s="68">
        <v>0</v>
      </c>
      <c r="AG1593" s="99">
        <f>ROUND(VLOOKUP(1,enemy_base_stats!$A:$F,2,FALSE) * Y1593* J1593*O1593*E1593*S1593*AD1593*[2]ステータス!$B$2,0)</f>
        <v>3988</v>
      </c>
      <c r="AH1593" s="99">
        <f>ROUND(VLOOKUP(1,enemy_base_stats!$A:$F,3,FALSE) * Z1593*K1593*P1593*F1593*T1593*AE1593 * W1593*[2]ステータス!$C$2,0)</f>
        <v>230</v>
      </c>
      <c r="AI1593" s="99">
        <f>ROUND(VLOOKUP(1,enemy_base_stats!$A:$F,4,FALSE) * AA1593*L1593*Q1593*G1593*U1593*AF1593*[2]ステータス!$D$2,0)</f>
        <v>0</v>
      </c>
      <c r="AJ1593" s="99">
        <f>ROUND(VLOOKUP(100,enemy_base_stats!$A:$F,2,FALSE) * Y1593* J1593*O1593*E1593*S1593*AD1593*[2]ステータス!$B$2,0)</f>
        <v>161921</v>
      </c>
      <c r="AK1593" s="99">
        <f>ROUND(VLOOKUP(100,enemy_base_stats!$A:$F,3,FALSE)* Z1593* K1593*P1593*F1593*T1593*AE1593 * W1593*[2]ステータス!$C$2,0)</f>
        <v>9320</v>
      </c>
      <c r="AL1593" s="99">
        <f>ROUND(VLOOKUP(100,enemy_base_stats!$A:$F,4,FALSE)* AA1593* L1593*Q1593*G1593*U1593*AF1593*[2]ステータス!$D$2,0)</f>
        <v>0</v>
      </c>
      <c r="AM1593" s="97">
        <f>VLOOKUP(M1593,[2]character_tribe_i18n!$A:$I,9,FALSE)</f>
        <v>540</v>
      </c>
      <c r="AN1593" s="97">
        <v>0</v>
      </c>
      <c r="AO1593" s="98">
        <v>0</v>
      </c>
      <c r="AP1593" s="58" t="s">
        <v>72</v>
      </c>
      <c r="AQ1593" s="34">
        <f t="shared" si="101"/>
        <v>8118</v>
      </c>
    </row>
    <row r="1594" spans="1:43" ht="21" customHeight="1" x14ac:dyDescent="0.15">
      <c r="A1594" s="105">
        <v>8119</v>
      </c>
      <c r="B1594" s="6" t="str">
        <f>VLOOKUP(A1594,[2]characters!$A:$C,3,FALSE)</f>
        <v>小青</v>
      </c>
      <c r="C1594" s="9">
        <f>VLOOKUP(A1594,[2]characters!$A:$I,9,FALSE)</f>
        <v>5</v>
      </c>
      <c r="D1594" s="9" t="str">
        <f>VLOOKUP(A1594,[2]characters!$A:$H,8,FALSE)</f>
        <v>green</v>
      </c>
      <c r="E1594" s="97">
        <f>VLOOKUP(D1594,[2]属性!$A:$E,2,FALSE)</f>
        <v>1.02</v>
      </c>
      <c r="F1594" s="97">
        <f>VLOOKUP(D1594,[2]属性!$A:$E,3,FALSE)</f>
        <v>0.98</v>
      </c>
      <c r="G1594" s="97">
        <f>VLOOKUP(D1594,[2]属性!$A:$F,4,FALSE)</f>
        <v>1</v>
      </c>
      <c r="H1594" s="9" t="str">
        <f>VLOOKUP(A1594,[2]characters!$A:$K,11,FALSE)</f>
        <v>attack</v>
      </c>
      <c r="I1594" s="6" t="str">
        <f>VLOOKUP(H1594,[2]character_type_i18n!$A:$F,3,FALSE)</f>
        <v>攻撃タイプ</v>
      </c>
      <c r="J1594" s="97">
        <f>VLOOKUP(H1594,[2]character_type_i18n!$A:$F,4,FALSE)</f>
        <v>1</v>
      </c>
      <c r="K1594" s="97">
        <f>VLOOKUP(H1594,[2]character_type_i18n!$A:$F,5,FALSE)</f>
        <v>1.33</v>
      </c>
      <c r="L1594" s="97">
        <f>VLOOKUP(H1594,[2]character_type_i18n!$A:$F,6,FALSE)</f>
        <v>1</v>
      </c>
      <c r="M1594" s="9" t="str">
        <f>VLOOKUP(A1594,[2]characters!$A:$M,13,FALSE)</f>
        <v>dragon</v>
      </c>
      <c r="N1594" s="6" t="str">
        <f>VLOOKUP(M1594,[2]character_tribe_i18n!$A:$F,3,FALSE)</f>
        <v>ドラゴン</v>
      </c>
      <c r="O1594" s="97">
        <f>VLOOKUP(M1594,[2]character_tribe_i18n!$A:$F,4,FALSE)</f>
        <v>1.1499999999999999</v>
      </c>
      <c r="P1594" s="97">
        <f>VLOOKUP(M1594,[2]character_tribe_i18n!$A:$F,5,FALSE)</f>
        <v>1.1000000000000001</v>
      </c>
      <c r="Q1594" s="97">
        <f>VLOOKUP(M1594,[2]character_tribe_i18n!$A:$F,6,FALSE)</f>
        <v>1</v>
      </c>
      <c r="R1594" s="98" t="s">
        <v>98</v>
      </c>
      <c r="S1594" s="97">
        <f>VLOOKUP($R1594,ラベル別係数!$A$1:$E$7,3,FALSE)</f>
        <v>5</v>
      </c>
      <c r="T1594" s="97">
        <f>VLOOKUP($R1594,ラベル別係数!$A$1:$E$7,4,FALSE)</f>
        <v>1.3</v>
      </c>
      <c r="U1594" s="97">
        <f>VLOOKUP($R1594,ラベル別係数!$A$1:$E$7,5,FALSE)</f>
        <v>0.8</v>
      </c>
      <c r="V1594" s="98">
        <v>3</v>
      </c>
      <c r="W1594" s="99">
        <f>VLOOKUP(V1594,ターン数別攻撃係数!$A$1:$B$1000,2,FALSE)</f>
        <v>1</v>
      </c>
      <c r="X1594" s="9">
        <f>VLOOKUP(C1594,サイズ別係数!A$2:B$9,2,FALSE)</f>
        <v>60</v>
      </c>
      <c r="Y1594" s="97">
        <f>VLOOKUP($X1594,サイズ別係数!$B:$E,2,FALSE)</f>
        <v>1.7</v>
      </c>
      <c r="Z1594" s="97">
        <f>VLOOKUP($X1594,サイズ別係数!$B:$E,3,FALSE)</f>
        <v>1.4</v>
      </c>
      <c r="AA1594" s="97">
        <f>VLOOKUP($X1594,サイズ別係数!$B:$E,4,FALSE)</f>
        <v>1</v>
      </c>
      <c r="AB1594" s="10">
        <v>0</v>
      </c>
      <c r="AC1594" s="6" t="str">
        <f ca="1">VLOOKUP($AB1594,OFFSET([3]enemy_skill_sets!$B$2,0,0,COUNTA([3]enemy_skill_sets!$A:$A),MATCH(AC$1,[3]enemy_skill_sets!$1:$1,0)-MATCH($AB$1,[3]enemy_skill_sets!$1:$1,0)+1),MATCH(AC$1,[3]enemy_skill_sets!$1:$1,0)-MATCH($AB$1,[3]enemy_skill_sets!$1:$1,0)+1,FALSE)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4" s="67">
        <v>1</v>
      </c>
      <c r="AE1594" s="67">
        <v>1</v>
      </c>
      <c r="AF1594" s="68">
        <v>0</v>
      </c>
      <c r="AG1594" s="99">
        <f>ROUND(VLOOKUP(1,enemy_base_stats!$A:$F,2,FALSE) * Y1594* J1594*O1594*E1594*S1594*AD1594*[2]ステータス!$B$2,0)</f>
        <v>4985</v>
      </c>
      <c r="AH1594" s="99">
        <f>ROUND(VLOOKUP(1,enemy_base_stats!$A:$F,3,FALSE) * Z1594*K1594*P1594*F1594*T1594*AE1594 * W1594*[2]ステータス!$C$2,0)</f>
        <v>391</v>
      </c>
      <c r="AI1594" s="99">
        <f>ROUND(VLOOKUP(1,enemy_base_stats!$A:$F,4,FALSE) * AA1594*L1594*Q1594*G1594*U1594*AF1594*[2]ステータス!$D$2,0)</f>
        <v>0</v>
      </c>
      <c r="AJ1594" s="99">
        <f>ROUND(VLOOKUP(100,enemy_base_stats!$A:$F,2,FALSE) * Y1594* J1594*O1594*E1594*S1594*AD1594*[2]ステータス!$B$2,0)</f>
        <v>202401</v>
      </c>
      <c r="AK1594" s="99">
        <f>ROUND(VLOOKUP(100,enemy_base_stats!$A:$F,3,FALSE)* Z1594* K1594*P1594*F1594*T1594*AE1594 * W1594*[2]ステータス!$C$2,0)</f>
        <v>15891</v>
      </c>
      <c r="AL1594" s="99">
        <f>ROUND(VLOOKUP(100,enemy_base_stats!$A:$F,4,FALSE)* AA1594* L1594*Q1594*G1594*U1594*AF1594*[2]ステータス!$D$2,0)</f>
        <v>0</v>
      </c>
      <c r="AM1594" s="97">
        <f>VLOOKUP(M1594,[2]character_tribe_i18n!$A:$I,9,FALSE)</f>
        <v>540</v>
      </c>
      <c r="AN1594" s="97">
        <v>0</v>
      </c>
      <c r="AO1594" s="98">
        <v>0</v>
      </c>
      <c r="AP1594" s="58" t="s">
        <v>72</v>
      </c>
      <c r="AQ1594" s="34">
        <f t="shared" si="101"/>
        <v>8119</v>
      </c>
    </row>
    <row r="1595" spans="1:43" ht="21" customHeight="1" x14ac:dyDescent="0.15">
      <c r="A1595" s="105">
        <v>8120</v>
      </c>
      <c r="B1595" s="6" t="str">
        <f>VLOOKUP(A1595,[2]characters!$A:$C,3,FALSE)</f>
        <v>小青★６</v>
      </c>
      <c r="C1595" s="9">
        <f>VLOOKUP(A1595,[2]characters!$A:$I,9,FALSE)</f>
        <v>6</v>
      </c>
      <c r="D1595" s="9" t="str">
        <f>VLOOKUP(A1595,[2]characters!$A:$H,8,FALSE)</f>
        <v>green</v>
      </c>
      <c r="E1595" s="97">
        <f>VLOOKUP(D1595,[2]属性!$A:$E,2,FALSE)</f>
        <v>1.02</v>
      </c>
      <c r="F1595" s="97">
        <f>VLOOKUP(D1595,[2]属性!$A:$E,3,FALSE)</f>
        <v>0.98</v>
      </c>
      <c r="G1595" s="97">
        <f>VLOOKUP(D1595,[2]属性!$A:$F,4,FALSE)</f>
        <v>1</v>
      </c>
      <c r="H1595" s="9" t="str">
        <f>VLOOKUP(A1595,[2]characters!$A:$K,11,FALSE)</f>
        <v>attack</v>
      </c>
      <c r="I1595" s="6" t="str">
        <f>VLOOKUP(H1595,[2]character_type_i18n!$A:$F,3,FALSE)</f>
        <v>攻撃タイプ</v>
      </c>
      <c r="J1595" s="97">
        <f>VLOOKUP(H1595,[2]character_type_i18n!$A:$F,4,FALSE)</f>
        <v>1</v>
      </c>
      <c r="K1595" s="97">
        <f>VLOOKUP(H1595,[2]character_type_i18n!$A:$F,5,FALSE)</f>
        <v>1.33</v>
      </c>
      <c r="L1595" s="97">
        <f>VLOOKUP(H1595,[2]character_type_i18n!$A:$F,6,FALSE)</f>
        <v>1</v>
      </c>
      <c r="M1595" s="9" t="str">
        <f>VLOOKUP(A1595,[2]characters!$A:$M,13,FALSE)</f>
        <v>dragon</v>
      </c>
      <c r="N1595" s="6" t="str">
        <f>VLOOKUP(M1595,[2]character_tribe_i18n!$A:$F,3,FALSE)</f>
        <v>ドラゴン</v>
      </c>
      <c r="O1595" s="97">
        <f>VLOOKUP(M1595,[2]character_tribe_i18n!$A:$F,4,FALSE)</f>
        <v>1.1499999999999999</v>
      </c>
      <c r="P1595" s="97">
        <f>VLOOKUP(M1595,[2]character_tribe_i18n!$A:$F,5,FALSE)</f>
        <v>1.1000000000000001</v>
      </c>
      <c r="Q1595" s="97">
        <f>VLOOKUP(M1595,[2]character_tribe_i18n!$A:$F,6,FALSE)</f>
        <v>1</v>
      </c>
      <c r="R1595" s="98" t="s">
        <v>98</v>
      </c>
      <c r="S1595" s="97">
        <f>VLOOKUP($R1595,ラベル別係数!$A$1:$E$7,3,FALSE)</f>
        <v>5</v>
      </c>
      <c r="T1595" s="97">
        <f>VLOOKUP($R1595,ラベル別係数!$A$1:$E$7,4,FALSE)</f>
        <v>1.3</v>
      </c>
      <c r="U1595" s="97">
        <f>VLOOKUP($R1595,ラベル別係数!$A$1:$E$7,5,FALSE)</f>
        <v>0.8</v>
      </c>
      <c r="V1595" s="98">
        <v>3</v>
      </c>
      <c r="W1595" s="99">
        <f>VLOOKUP(V1595,ターン数別攻撃係数!$A$1:$B$1000,2,FALSE)</f>
        <v>1</v>
      </c>
      <c r="X1595" s="9">
        <f>VLOOKUP(C1595,サイズ別係数!A$2:B$9,2,FALSE)</f>
        <v>60</v>
      </c>
      <c r="Y1595" s="97">
        <f>VLOOKUP($X1595,サイズ別係数!$B:$E,2,FALSE)</f>
        <v>1.7</v>
      </c>
      <c r="Z1595" s="97">
        <f>VLOOKUP($X1595,サイズ別係数!$B:$E,3,FALSE)</f>
        <v>1.4</v>
      </c>
      <c r="AA1595" s="97">
        <f>VLOOKUP($X1595,サイズ別係数!$B:$E,4,FALSE)</f>
        <v>1</v>
      </c>
      <c r="AB1595" s="10">
        <v>0</v>
      </c>
      <c r="AC1595" s="6" t="str">
        <f ca="1">VLOOKUP($AB1595,OFFSET([3]enemy_skill_sets!$B$2,0,0,COUNTA([3]enemy_skill_sets!$A:$A),MATCH(AC$1,[3]enemy_skill_sets!$1:$1,0)-MATCH($AB$1,[3]enemy_skill_sets!$1:$1,0)+1),MATCH(AC$1,[3]enemy_skill_sets!$1:$1,0)-MATCH($AB$1,[3]enemy_skill_sets!$1:$1,0)+1,FALSE)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5" s="67">
        <v>1</v>
      </c>
      <c r="AE1595" s="67">
        <v>1</v>
      </c>
      <c r="AF1595" s="68">
        <v>0</v>
      </c>
      <c r="AG1595" s="99">
        <f>ROUND(VLOOKUP(1,enemy_base_stats!$A:$F,2,FALSE) * Y1595* J1595*O1595*E1595*S1595*AD1595*[2]ステータス!$B$2,0)</f>
        <v>4985</v>
      </c>
      <c r="AH1595" s="99">
        <f>ROUND(VLOOKUP(1,enemy_base_stats!$A:$F,3,FALSE) * Z1595*K1595*P1595*F1595*T1595*AE1595 * W1595*[2]ステータス!$C$2,0)</f>
        <v>391</v>
      </c>
      <c r="AI1595" s="99">
        <f>ROUND(VLOOKUP(1,enemy_base_stats!$A:$F,4,FALSE) * AA1595*L1595*Q1595*G1595*U1595*AF1595*[2]ステータス!$D$2,0)</f>
        <v>0</v>
      </c>
      <c r="AJ1595" s="99">
        <f>ROUND(VLOOKUP(100,enemy_base_stats!$A:$F,2,FALSE) * Y1595* J1595*O1595*E1595*S1595*AD1595*[2]ステータス!$B$2,0)</f>
        <v>202401</v>
      </c>
      <c r="AK1595" s="99">
        <f>ROUND(VLOOKUP(100,enemy_base_stats!$A:$F,3,FALSE)* Z1595* K1595*P1595*F1595*T1595*AE1595 * W1595*[2]ステータス!$C$2,0)</f>
        <v>15891</v>
      </c>
      <c r="AL1595" s="99">
        <f>ROUND(VLOOKUP(100,enemy_base_stats!$A:$F,4,FALSE)* AA1595* L1595*Q1595*G1595*U1595*AF1595*[2]ステータス!$D$2,0)</f>
        <v>0</v>
      </c>
      <c r="AM1595" s="97">
        <f>VLOOKUP(M1595,[2]character_tribe_i18n!$A:$I,9,FALSE)</f>
        <v>540</v>
      </c>
      <c r="AN1595" s="97">
        <v>0</v>
      </c>
      <c r="AO1595" s="98">
        <v>0</v>
      </c>
      <c r="AP1595" s="58" t="s">
        <v>72</v>
      </c>
      <c r="AQ1595" s="34">
        <f t="shared" si="101"/>
        <v>8120</v>
      </c>
    </row>
    <row r="1596" spans="1:43" ht="21" customHeight="1" x14ac:dyDescent="0.15">
      <c r="A1596" s="105">
        <v>8121</v>
      </c>
      <c r="B1596" s="6" t="str">
        <f>VLOOKUP(A1596,[2]characters!$A:$C,3,FALSE)</f>
        <v>法海</v>
      </c>
      <c r="C1596" s="9">
        <f>VLOOKUP(A1596,[2]characters!$A:$I,9,FALSE)</f>
        <v>5</v>
      </c>
      <c r="D1596" s="9" t="str">
        <f>VLOOKUP(A1596,[2]characters!$A:$H,8,FALSE)</f>
        <v>yellow</v>
      </c>
      <c r="E1596" s="97">
        <f>VLOOKUP(D1596,[2]属性!$A:$E,2,FALSE)</f>
        <v>0.98</v>
      </c>
      <c r="F1596" s="97">
        <f>VLOOKUP(D1596,[2]属性!$A:$E,3,FALSE)</f>
        <v>1.01</v>
      </c>
      <c r="G1596" s="97">
        <f>VLOOKUP(D1596,[2]属性!$A:$F,4,FALSE)</f>
        <v>1</v>
      </c>
      <c r="H1596" s="9" t="str">
        <f>VLOOKUP(A1596,[2]characters!$A:$K,11,FALSE)</f>
        <v>attack</v>
      </c>
      <c r="I1596" s="6" t="str">
        <f>VLOOKUP(H1596,[2]character_type_i18n!$A:$F,3,FALSE)</f>
        <v>攻撃タイプ</v>
      </c>
      <c r="J1596" s="97">
        <f>VLOOKUP(H1596,[2]character_type_i18n!$A:$F,4,FALSE)</f>
        <v>1</v>
      </c>
      <c r="K1596" s="97">
        <f>VLOOKUP(H1596,[2]character_type_i18n!$A:$F,5,FALSE)</f>
        <v>1.33</v>
      </c>
      <c r="L1596" s="97">
        <f>VLOOKUP(H1596,[2]character_type_i18n!$A:$F,6,FALSE)</f>
        <v>1</v>
      </c>
      <c r="M1596" s="9" t="str">
        <f>VLOOKUP(A1596,[2]characters!$A:$M,13,FALSE)</f>
        <v>human</v>
      </c>
      <c r="N1596" s="6" t="str">
        <f>VLOOKUP(M1596,[2]character_tribe_i18n!$A:$F,3,FALSE)</f>
        <v>ヒューマン</v>
      </c>
      <c r="O1596" s="97">
        <f>VLOOKUP(M1596,[2]character_tribe_i18n!$A:$F,4,FALSE)</f>
        <v>0.94</v>
      </c>
      <c r="P1596" s="97">
        <f>VLOOKUP(M1596,[2]character_tribe_i18n!$A:$F,5,FALSE)</f>
        <v>0.99</v>
      </c>
      <c r="Q1596" s="97">
        <f>VLOOKUP(M1596,[2]character_tribe_i18n!$A:$F,6,FALSE)</f>
        <v>1</v>
      </c>
      <c r="R1596" s="98" t="s">
        <v>98</v>
      </c>
      <c r="S1596" s="97">
        <f>VLOOKUP($R1596,ラベル別係数!$A$1:$E$7,3,FALSE)</f>
        <v>5</v>
      </c>
      <c r="T1596" s="97">
        <f>VLOOKUP($R1596,ラベル別係数!$A$1:$E$7,4,FALSE)</f>
        <v>1.3</v>
      </c>
      <c r="U1596" s="97">
        <f>VLOOKUP($R1596,ラベル別係数!$A$1:$E$7,5,FALSE)</f>
        <v>0.8</v>
      </c>
      <c r="V1596" s="98">
        <v>3</v>
      </c>
      <c r="W1596" s="99">
        <f>VLOOKUP(V1596,ターン数別攻撃係数!$A$1:$B$1000,2,FALSE)</f>
        <v>1</v>
      </c>
      <c r="X1596" s="9">
        <f>VLOOKUP(C1596,サイズ別係数!A$2:B$9,2,FALSE)</f>
        <v>60</v>
      </c>
      <c r="Y1596" s="97">
        <f>VLOOKUP($X1596,サイズ別係数!$B:$E,2,FALSE)</f>
        <v>1.7</v>
      </c>
      <c r="Z1596" s="97">
        <f>VLOOKUP($X1596,サイズ別係数!$B:$E,3,FALSE)</f>
        <v>1.4</v>
      </c>
      <c r="AA1596" s="97">
        <f>VLOOKUP($X1596,サイズ別係数!$B:$E,4,FALSE)</f>
        <v>1</v>
      </c>
      <c r="AB1596" s="10">
        <v>0</v>
      </c>
      <c r="AC1596" s="6" t="str">
        <f ca="1">VLOOKUP($AB1596,OFFSET([3]enemy_skill_sets!$B$2,0,0,COUNTA([3]enemy_skill_sets!$A:$A),MATCH(AC$1,[3]enemy_skill_sets!$1:$1,0)-MATCH($AB$1,[3]enemy_skill_sets!$1:$1,0)+1),MATCH(AC$1,[3]enemy_skill_sets!$1:$1,0)-MATCH($AB$1,[3]enemy_skill_sets!$1:$1,0)+1,FALSE)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6" s="67">
        <v>1</v>
      </c>
      <c r="AE1596" s="67">
        <v>1</v>
      </c>
      <c r="AF1596" s="68">
        <v>0</v>
      </c>
      <c r="AG1596" s="99">
        <f>ROUND(VLOOKUP(1,enemy_base_stats!$A:$F,2,FALSE) * Y1596* J1596*O1596*E1596*S1596*AD1596*[2]ステータス!$B$2,0)</f>
        <v>3915</v>
      </c>
      <c r="AH1596" s="99">
        <f>ROUND(VLOOKUP(1,enemy_base_stats!$A:$F,3,FALSE) * Z1596*K1596*P1596*F1596*T1596*AE1596 * W1596*[2]ステータス!$C$2,0)</f>
        <v>363</v>
      </c>
      <c r="AI1596" s="99">
        <f>ROUND(VLOOKUP(1,enemy_base_stats!$A:$F,4,FALSE) * AA1596*L1596*Q1596*G1596*U1596*AF1596*[2]ステータス!$D$2,0)</f>
        <v>0</v>
      </c>
      <c r="AJ1596" s="99">
        <f>ROUND(VLOOKUP(100,enemy_base_stats!$A:$F,2,FALSE) * Y1596* J1596*O1596*E1596*S1596*AD1596*[2]ステータス!$B$2,0)</f>
        <v>158953</v>
      </c>
      <c r="AK1596" s="99">
        <f>ROUND(VLOOKUP(100,enemy_base_stats!$A:$F,3,FALSE)* Z1596* K1596*P1596*F1596*T1596*AE1596 * W1596*[2]ステータス!$C$2,0)</f>
        <v>14740</v>
      </c>
      <c r="AL1596" s="99">
        <f>ROUND(VLOOKUP(100,enemy_base_stats!$A:$F,4,FALSE)* AA1596* L1596*Q1596*G1596*U1596*AF1596*[2]ステータス!$D$2,0)</f>
        <v>0</v>
      </c>
      <c r="AM1596" s="97">
        <f>VLOOKUP(M1596,[2]character_tribe_i18n!$A:$I,9,FALSE)</f>
        <v>400</v>
      </c>
      <c r="AN1596" s="97">
        <v>0</v>
      </c>
      <c r="AO1596" s="98">
        <v>0</v>
      </c>
      <c r="AP1596" s="58" t="s">
        <v>72</v>
      </c>
      <c r="AQ1596" s="34">
        <f t="shared" si="101"/>
        <v>8121</v>
      </c>
    </row>
    <row r="1597" spans="1:43" ht="21" customHeight="1" x14ac:dyDescent="0.15">
      <c r="A1597" s="105">
        <v>8122</v>
      </c>
      <c r="B1597" s="6" t="str">
        <f>VLOOKUP(A1597,[2]characters!$A:$C,3,FALSE)</f>
        <v>法海★６</v>
      </c>
      <c r="C1597" s="9">
        <f>VLOOKUP(A1597,[2]characters!$A:$I,9,FALSE)</f>
        <v>6</v>
      </c>
      <c r="D1597" s="9" t="str">
        <f>VLOOKUP(A1597,[2]characters!$A:$H,8,FALSE)</f>
        <v>yellow</v>
      </c>
      <c r="E1597" s="97">
        <f>VLOOKUP(D1597,[2]属性!$A:$E,2,FALSE)</f>
        <v>0.98</v>
      </c>
      <c r="F1597" s="97">
        <f>VLOOKUP(D1597,[2]属性!$A:$E,3,FALSE)</f>
        <v>1.01</v>
      </c>
      <c r="G1597" s="97">
        <f>VLOOKUP(D1597,[2]属性!$A:$F,4,FALSE)</f>
        <v>1</v>
      </c>
      <c r="H1597" s="9" t="str">
        <f>VLOOKUP(A1597,[2]characters!$A:$K,11,FALSE)</f>
        <v>attack</v>
      </c>
      <c r="I1597" s="6" t="str">
        <f>VLOOKUP(H1597,[2]character_type_i18n!$A:$F,3,FALSE)</f>
        <v>攻撃タイプ</v>
      </c>
      <c r="J1597" s="97">
        <f>VLOOKUP(H1597,[2]character_type_i18n!$A:$F,4,FALSE)</f>
        <v>1</v>
      </c>
      <c r="K1597" s="97">
        <f>VLOOKUP(H1597,[2]character_type_i18n!$A:$F,5,FALSE)</f>
        <v>1.33</v>
      </c>
      <c r="L1597" s="97">
        <f>VLOOKUP(H1597,[2]character_type_i18n!$A:$F,6,FALSE)</f>
        <v>1</v>
      </c>
      <c r="M1597" s="9" t="str">
        <f>VLOOKUP(A1597,[2]characters!$A:$M,13,FALSE)</f>
        <v>human</v>
      </c>
      <c r="N1597" s="6" t="str">
        <f>VLOOKUP(M1597,[2]character_tribe_i18n!$A:$F,3,FALSE)</f>
        <v>ヒューマン</v>
      </c>
      <c r="O1597" s="97">
        <f>VLOOKUP(M1597,[2]character_tribe_i18n!$A:$F,4,FALSE)</f>
        <v>0.94</v>
      </c>
      <c r="P1597" s="97">
        <f>VLOOKUP(M1597,[2]character_tribe_i18n!$A:$F,5,FALSE)</f>
        <v>0.99</v>
      </c>
      <c r="Q1597" s="97">
        <f>VLOOKUP(M1597,[2]character_tribe_i18n!$A:$F,6,FALSE)</f>
        <v>1</v>
      </c>
      <c r="R1597" s="98" t="s">
        <v>98</v>
      </c>
      <c r="S1597" s="97">
        <f>VLOOKUP($R1597,ラベル別係数!$A$1:$E$7,3,FALSE)</f>
        <v>5</v>
      </c>
      <c r="T1597" s="97">
        <f>VLOOKUP($R1597,ラベル別係数!$A$1:$E$7,4,FALSE)</f>
        <v>1.3</v>
      </c>
      <c r="U1597" s="97">
        <f>VLOOKUP($R1597,ラベル別係数!$A$1:$E$7,5,FALSE)</f>
        <v>0.8</v>
      </c>
      <c r="V1597" s="98">
        <v>3</v>
      </c>
      <c r="W1597" s="99">
        <f>VLOOKUP(V1597,ターン数別攻撃係数!$A$1:$B$1000,2,FALSE)</f>
        <v>1</v>
      </c>
      <c r="X1597" s="9">
        <f>VLOOKUP(C1597,サイズ別係数!A$2:B$9,2,FALSE)</f>
        <v>60</v>
      </c>
      <c r="Y1597" s="97">
        <f>VLOOKUP($X1597,サイズ別係数!$B:$E,2,FALSE)</f>
        <v>1.7</v>
      </c>
      <c r="Z1597" s="97">
        <f>VLOOKUP($X1597,サイズ別係数!$B:$E,3,FALSE)</f>
        <v>1.4</v>
      </c>
      <c r="AA1597" s="97">
        <f>VLOOKUP($X1597,サイズ別係数!$B:$E,4,FALSE)</f>
        <v>1</v>
      </c>
      <c r="AB1597" s="10">
        <v>0</v>
      </c>
      <c r="AC1597" s="6" t="str">
        <f ca="1">VLOOKUP($AB1597,OFFSET([3]enemy_skill_sets!$B$2,0,0,COUNTA([3]enemy_skill_sets!$A:$A),MATCH(AC$1,[3]enemy_skill_sets!$1:$1,0)-MATCH($AB$1,[3]enemy_skill_sets!$1:$1,0)+1),MATCH(AC$1,[3]enemy_skill_sets!$1:$1,0)-MATCH($AB$1,[3]enemy_skill_sets!$1:$1,0)+1,FALSE)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7" s="67">
        <v>1</v>
      </c>
      <c r="AE1597" s="67">
        <v>1</v>
      </c>
      <c r="AF1597" s="68">
        <v>0</v>
      </c>
      <c r="AG1597" s="99">
        <f>ROUND(VLOOKUP(1,enemy_base_stats!$A:$F,2,FALSE) * Y1597* J1597*O1597*E1597*S1597*AD1597*[2]ステータス!$B$2,0)</f>
        <v>3915</v>
      </c>
      <c r="AH1597" s="99">
        <f>ROUND(VLOOKUP(1,enemy_base_stats!$A:$F,3,FALSE) * Z1597*K1597*P1597*F1597*T1597*AE1597 * W1597*[2]ステータス!$C$2,0)</f>
        <v>363</v>
      </c>
      <c r="AI1597" s="99">
        <f>ROUND(VLOOKUP(1,enemy_base_stats!$A:$F,4,FALSE) * AA1597*L1597*Q1597*G1597*U1597*AF1597*[2]ステータス!$D$2,0)</f>
        <v>0</v>
      </c>
      <c r="AJ1597" s="99">
        <f>ROUND(VLOOKUP(100,enemy_base_stats!$A:$F,2,FALSE) * Y1597* J1597*O1597*E1597*S1597*AD1597*[2]ステータス!$B$2,0)</f>
        <v>158953</v>
      </c>
      <c r="AK1597" s="99">
        <f>ROUND(VLOOKUP(100,enemy_base_stats!$A:$F,3,FALSE)* Z1597* K1597*P1597*F1597*T1597*AE1597 * W1597*[2]ステータス!$C$2,0)</f>
        <v>14740</v>
      </c>
      <c r="AL1597" s="99">
        <f>ROUND(VLOOKUP(100,enemy_base_stats!$A:$F,4,FALSE)* AA1597* L1597*Q1597*G1597*U1597*AF1597*[2]ステータス!$D$2,0)</f>
        <v>0</v>
      </c>
      <c r="AM1597" s="97">
        <f>VLOOKUP(M1597,[2]character_tribe_i18n!$A:$I,9,FALSE)</f>
        <v>400</v>
      </c>
      <c r="AN1597" s="97">
        <v>0</v>
      </c>
      <c r="AO1597" s="98">
        <v>0</v>
      </c>
      <c r="AP1597" s="58" t="s">
        <v>72</v>
      </c>
      <c r="AQ1597" s="34">
        <f t="shared" si="101"/>
        <v>8122</v>
      </c>
    </row>
    <row r="1598" spans="1:43" ht="21" customHeight="1" x14ac:dyDescent="0.15">
      <c r="A1598" s="105">
        <v>8127</v>
      </c>
      <c r="B1598" s="6" t="str">
        <f>VLOOKUP(A1598,[2]characters!$A:$C,3,FALSE)</f>
        <v>鐵扇公主 ‧ 羅剎女</v>
      </c>
      <c r="C1598" s="9">
        <f>VLOOKUP(A1598,[2]characters!$A:$I,9,FALSE)</f>
        <v>6</v>
      </c>
      <c r="D1598" s="9" t="str">
        <f>VLOOKUP(A1598,[2]characters!$A:$H,8,FALSE)</f>
        <v>green</v>
      </c>
      <c r="E1598" s="97">
        <f>VLOOKUP(D1598,[2]属性!$A:$E,2,FALSE)</f>
        <v>1.02</v>
      </c>
      <c r="F1598" s="97">
        <f>VLOOKUP(D1598,[2]属性!$A:$E,3,FALSE)</f>
        <v>0.98</v>
      </c>
      <c r="G1598" s="97">
        <f>VLOOKUP(D1598,[2]属性!$A:$F,4,FALSE)</f>
        <v>1</v>
      </c>
      <c r="H1598" s="9" t="str">
        <f>VLOOKUP(A1598,[2]characters!$A:$K,11,FALSE)</f>
        <v>technical</v>
      </c>
      <c r="I1598" s="6" t="str">
        <f>VLOOKUP(H1598,[2]character_type_i18n!$A:$F,3,FALSE)</f>
        <v>テクニカルタイプ</v>
      </c>
      <c r="J1598" s="97">
        <f>VLOOKUP(H1598,[2]character_type_i18n!$A:$F,4,FALSE)</f>
        <v>0.9</v>
      </c>
      <c r="K1598" s="97">
        <f>VLOOKUP(H1598,[2]character_type_i18n!$A:$F,5,FALSE)</f>
        <v>0.9</v>
      </c>
      <c r="L1598" s="97">
        <f>VLOOKUP(H1598,[2]character_type_i18n!$A:$F,6,FALSE)</f>
        <v>1</v>
      </c>
      <c r="M1598" s="9" t="str">
        <f>VLOOKUP(A1598,[2]characters!$A:$M,13,FALSE)</f>
        <v>demon</v>
      </c>
      <c r="N1598" s="6" t="str">
        <f>VLOOKUP(M1598,[2]character_tribe_i18n!$A:$F,3,FALSE)</f>
        <v>デーモン</v>
      </c>
      <c r="O1598" s="97">
        <f>VLOOKUP(M1598,[2]character_tribe_i18n!$A:$F,4,FALSE)</f>
        <v>1</v>
      </c>
      <c r="P1598" s="97">
        <f>VLOOKUP(M1598,[2]character_tribe_i18n!$A:$F,5,FALSE)</f>
        <v>1</v>
      </c>
      <c r="Q1598" s="97">
        <f>VLOOKUP(M1598,[2]character_tribe_i18n!$A:$F,6,FALSE)</f>
        <v>1</v>
      </c>
      <c r="R1598" s="98" t="s">
        <v>98</v>
      </c>
      <c r="S1598" s="97">
        <f>VLOOKUP($R1598,ラベル別係数!$A$1:$E$7,3,FALSE)</f>
        <v>5</v>
      </c>
      <c r="T1598" s="97">
        <f>VLOOKUP($R1598,ラベル別係数!$A$1:$E$7,4,FALSE)</f>
        <v>1.3</v>
      </c>
      <c r="U1598" s="97">
        <f>VLOOKUP($R1598,ラベル別係数!$A$1:$E$7,5,FALSE)</f>
        <v>0.8</v>
      </c>
      <c r="V1598" s="98">
        <v>3</v>
      </c>
      <c r="W1598" s="99">
        <f>VLOOKUP(V1598,ターン数別攻撃係数!$A$1:$B$1000,2,FALSE)</f>
        <v>1</v>
      </c>
      <c r="X1598" s="9">
        <f>VLOOKUP(C1598,サイズ別係数!A$2:B$9,2,FALSE)</f>
        <v>60</v>
      </c>
      <c r="Y1598" s="97">
        <f>VLOOKUP($X1598,サイズ別係数!$B:$E,2,FALSE)</f>
        <v>1.7</v>
      </c>
      <c r="Z1598" s="97">
        <f>VLOOKUP($X1598,サイズ別係数!$B:$E,3,FALSE)</f>
        <v>1.4</v>
      </c>
      <c r="AA1598" s="97">
        <f>VLOOKUP($X1598,サイズ別係数!$B:$E,4,FALSE)</f>
        <v>1</v>
      </c>
      <c r="AB1598" s="10">
        <v>0</v>
      </c>
      <c r="AC1598" s="6" t="str">
        <f ca="1">VLOOKUP($AB1598,OFFSET([3]enemy_skill_sets!$B$2,0,0,COUNTA([3]enemy_skill_sets!$A:$A),MATCH(AC$1,[3]enemy_skill_sets!$1:$1,0)-MATCH($AB$1,[3]enemy_skill_sets!$1:$1,0)+1),MATCH(AC$1,[3]enemy_skill_sets!$1:$1,0)-MATCH($AB$1,[3]enemy_skill_sets!$1:$1,0)+1,FALSE)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8" s="67">
        <v>1</v>
      </c>
      <c r="AE1598" s="67">
        <v>1</v>
      </c>
      <c r="AF1598" s="68">
        <v>0</v>
      </c>
      <c r="AG1598" s="99">
        <f>ROUND(VLOOKUP(1,enemy_base_stats!$A:$F,2,FALSE) * Y1598* J1598*O1598*E1598*S1598*AD1598*[2]ステータス!$B$2,0)</f>
        <v>3902</v>
      </c>
      <c r="AH1598" s="99">
        <f>ROUND(VLOOKUP(1,enemy_base_stats!$A:$F,3,FALSE) * Z1598*K1598*P1598*F1598*T1598*AE1598 * W1598*[2]ステータス!$C$2,0)</f>
        <v>241</v>
      </c>
      <c r="AI1598" s="99">
        <f>ROUND(VLOOKUP(1,enemy_base_stats!$A:$F,4,FALSE) * AA1598*L1598*Q1598*G1598*U1598*AF1598*[2]ステータス!$D$2,0)</f>
        <v>0</v>
      </c>
      <c r="AJ1598" s="99">
        <f>ROUND(VLOOKUP(100,enemy_base_stats!$A:$F,2,FALSE) * Y1598* J1598*O1598*E1598*S1598*AD1598*[2]ステータス!$B$2,0)</f>
        <v>158401</v>
      </c>
      <c r="AK1598" s="99">
        <f>ROUND(VLOOKUP(100,enemy_base_stats!$A:$F,3,FALSE)* Z1598* K1598*P1598*F1598*T1598*AE1598 * W1598*[2]ステータス!$C$2,0)</f>
        <v>9776</v>
      </c>
      <c r="AL1598" s="99">
        <f>ROUND(VLOOKUP(100,enemy_base_stats!$A:$F,4,FALSE)* AA1598* L1598*Q1598*G1598*U1598*AF1598*[2]ステータス!$D$2,0)</f>
        <v>0</v>
      </c>
      <c r="AM1598" s="97">
        <f>VLOOKUP(M1598,[2]character_tribe_i18n!$A:$I,9,FALSE)</f>
        <v>400</v>
      </c>
      <c r="AN1598" s="97">
        <v>0</v>
      </c>
      <c r="AO1598" s="98">
        <v>0</v>
      </c>
      <c r="AP1598" s="58" t="s">
        <v>72</v>
      </c>
      <c r="AQ1598" s="34">
        <f t="shared" ref="AQ1598:AQ1608" si="102">A1598</f>
        <v>8127</v>
      </c>
    </row>
    <row r="1599" spans="1:43" ht="21" customHeight="1" x14ac:dyDescent="0.15">
      <c r="A1599" s="105">
        <v>8128</v>
      </c>
      <c r="B1599" s="6" t="str">
        <f>VLOOKUP(A1599,[2]characters!$A:$C,3,FALSE)</f>
        <v>聖賢哲者 ‧ 唐三藏</v>
      </c>
      <c r="C1599" s="9">
        <f>VLOOKUP(A1599,[2]characters!$A:$I,9,FALSE)</f>
        <v>6</v>
      </c>
      <c r="D1599" s="9" t="str">
        <f>VLOOKUP(A1599,[2]characters!$A:$H,8,FALSE)</f>
        <v>green</v>
      </c>
      <c r="E1599" s="97">
        <f>VLOOKUP(D1599,[2]属性!$A:$E,2,FALSE)</f>
        <v>1.02</v>
      </c>
      <c r="F1599" s="97">
        <f>VLOOKUP(D1599,[2]属性!$A:$E,3,FALSE)</f>
        <v>0.98</v>
      </c>
      <c r="G1599" s="97">
        <f>VLOOKUP(D1599,[2]属性!$A:$F,4,FALSE)</f>
        <v>1</v>
      </c>
      <c r="H1599" s="9" t="str">
        <f>VLOOKUP(A1599,[2]characters!$A:$K,11,FALSE)</f>
        <v>balance</v>
      </c>
      <c r="I1599" s="6" t="str">
        <f>VLOOKUP(H1599,[2]character_type_i18n!$A:$F,3,FALSE)</f>
        <v>バランスタイプ</v>
      </c>
      <c r="J1599" s="97">
        <f>VLOOKUP(H1599,[2]character_type_i18n!$A:$F,4,FALSE)</f>
        <v>1</v>
      </c>
      <c r="K1599" s="97">
        <f>VLOOKUP(H1599,[2]character_type_i18n!$A:$F,5,FALSE)</f>
        <v>1</v>
      </c>
      <c r="L1599" s="97">
        <f>VLOOKUP(H1599,[2]character_type_i18n!$A:$F,6,FALSE)</f>
        <v>1</v>
      </c>
      <c r="M1599" s="9" t="str">
        <f>VLOOKUP(A1599,[2]characters!$A:$M,13,FALSE)</f>
        <v>god</v>
      </c>
      <c r="N1599" s="6" t="str">
        <f>VLOOKUP(M1599,[2]character_tribe_i18n!$A:$F,3,FALSE)</f>
        <v>ゴッド</v>
      </c>
      <c r="O1599" s="97">
        <f>VLOOKUP(M1599,[2]character_tribe_i18n!$A:$F,4,FALSE)</f>
        <v>0.96</v>
      </c>
      <c r="P1599" s="97">
        <f>VLOOKUP(M1599,[2]character_tribe_i18n!$A:$F,5,FALSE)</f>
        <v>1.02</v>
      </c>
      <c r="Q1599" s="97">
        <f>VLOOKUP(M1599,[2]character_tribe_i18n!$A:$F,6,FALSE)</f>
        <v>1</v>
      </c>
      <c r="R1599" s="98" t="s">
        <v>98</v>
      </c>
      <c r="S1599" s="97">
        <f>VLOOKUP($R1599,ラベル別係数!$A$1:$E$7,3,FALSE)</f>
        <v>5</v>
      </c>
      <c r="T1599" s="97">
        <f>VLOOKUP($R1599,ラベル別係数!$A$1:$E$7,4,FALSE)</f>
        <v>1.3</v>
      </c>
      <c r="U1599" s="97">
        <f>VLOOKUP($R1599,ラベル別係数!$A$1:$E$7,5,FALSE)</f>
        <v>0.8</v>
      </c>
      <c r="V1599" s="98">
        <v>3</v>
      </c>
      <c r="W1599" s="99">
        <f>VLOOKUP(V1599,ターン数別攻撃係数!$A$1:$B$1000,2,FALSE)</f>
        <v>1</v>
      </c>
      <c r="X1599" s="9">
        <f>VLOOKUP(C1599,サイズ別係数!A$2:B$9,2,FALSE)</f>
        <v>60</v>
      </c>
      <c r="Y1599" s="97">
        <f>VLOOKUP($X1599,サイズ別係数!$B:$E,2,FALSE)</f>
        <v>1.7</v>
      </c>
      <c r="Z1599" s="97">
        <f>VLOOKUP($X1599,サイズ別係数!$B:$E,3,FALSE)</f>
        <v>1.4</v>
      </c>
      <c r="AA1599" s="97">
        <f>VLOOKUP($X1599,サイズ別係数!$B:$E,4,FALSE)</f>
        <v>1</v>
      </c>
      <c r="AB1599" s="10">
        <v>0</v>
      </c>
      <c r="AC1599" s="6" t="str">
        <f ca="1">VLOOKUP($AB1599,OFFSET([3]enemy_skill_sets!$B$2,0,0,COUNTA([3]enemy_skill_sets!$A:$A),MATCH(AC$1,[3]enemy_skill_sets!$1:$1,0)-MATCH($AB$1,[3]enemy_skill_sets!$1:$1,0)+1),MATCH(AC$1,[3]enemy_skill_sets!$1:$1,0)-MATCH($AB$1,[3]enemy_skill_sets!$1:$1,0)+1,FALSE)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599" s="67">
        <v>1</v>
      </c>
      <c r="AE1599" s="67">
        <v>1</v>
      </c>
      <c r="AF1599" s="68">
        <v>0</v>
      </c>
      <c r="AG1599" s="99">
        <f>ROUND(VLOOKUP(1,enemy_base_stats!$A:$F,2,FALSE) * Y1599* J1599*O1599*E1599*S1599*AD1599*[2]ステータス!$B$2,0)</f>
        <v>4162</v>
      </c>
      <c r="AH1599" s="99">
        <f>ROUND(VLOOKUP(1,enemy_base_stats!$A:$F,3,FALSE) * Z1599*K1599*P1599*F1599*T1599*AE1599 * W1599*[2]ステータス!$C$2,0)</f>
        <v>273</v>
      </c>
      <c r="AI1599" s="99">
        <f>ROUND(VLOOKUP(1,enemy_base_stats!$A:$F,4,FALSE) * AA1599*L1599*Q1599*G1599*U1599*AF1599*[2]ステータス!$D$2,0)</f>
        <v>0</v>
      </c>
      <c r="AJ1599" s="99">
        <f>ROUND(VLOOKUP(100,enemy_base_stats!$A:$F,2,FALSE) * Y1599* J1599*O1599*E1599*S1599*AD1599*[2]ステータス!$B$2,0)</f>
        <v>168961</v>
      </c>
      <c r="AK1599" s="99">
        <f>ROUND(VLOOKUP(100,enemy_base_stats!$A:$F,3,FALSE)* Z1599* K1599*P1599*F1599*T1599*AE1599 * W1599*[2]ステータス!$C$2,0)</f>
        <v>11079</v>
      </c>
      <c r="AL1599" s="99">
        <f>ROUND(VLOOKUP(100,enemy_base_stats!$A:$F,4,FALSE)* AA1599* L1599*Q1599*G1599*U1599*AF1599*[2]ステータス!$D$2,0)</f>
        <v>0</v>
      </c>
      <c r="AM1599" s="97">
        <f>VLOOKUP(M1599,[2]character_tribe_i18n!$A:$I,9,FALSE)</f>
        <v>680</v>
      </c>
      <c r="AN1599" s="97">
        <v>0</v>
      </c>
      <c r="AO1599" s="98">
        <v>0</v>
      </c>
      <c r="AP1599" s="58" t="s">
        <v>72</v>
      </c>
      <c r="AQ1599" s="34">
        <f t="shared" si="102"/>
        <v>8128</v>
      </c>
    </row>
    <row r="1600" spans="1:43" ht="21" customHeight="1" x14ac:dyDescent="0.15">
      <c r="A1600" s="105">
        <v>8129</v>
      </c>
      <c r="B1600" s="6" t="str">
        <f>VLOOKUP(A1600,[2]characters!$A:$C,3,FALSE)</f>
        <v>放任孽魔 ‧ 撒旦</v>
      </c>
      <c r="C1600" s="9">
        <f>VLOOKUP(A1600,[2]characters!$A:$I,9,FALSE)</f>
        <v>6</v>
      </c>
      <c r="D1600" s="9" t="str">
        <f>VLOOKUP(A1600,[2]characters!$A:$H,8,FALSE)</f>
        <v>blue</v>
      </c>
      <c r="E1600" s="97">
        <f>VLOOKUP(D1600,[2]属性!$A:$E,2,FALSE)</f>
        <v>1</v>
      </c>
      <c r="F1600" s="97">
        <f>VLOOKUP(D1600,[2]属性!$A:$E,3,FALSE)</f>
        <v>0.98</v>
      </c>
      <c r="G1600" s="97">
        <f>VLOOKUP(D1600,[2]属性!$A:$F,4,FALSE)</f>
        <v>1</v>
      </c>
      <c r="H1600" s="9" t="str">
        <f>VLOOKUP(A1600,[2]characters!$A:$K,11,FALSE)</f>
        <v>technical</v>
      </c>
      <c r="I1600" s="6" t="str">
        <f>VLOOKUP(H1600,[2]character_type_i18n!$A:$F,3,FALSE)</f>
        <v>テクニカルタイプ</v>
      </c>
      <c r="J1600" s="97">
        <f>VLOOKUP(H1600,[2]character_type_i18n!$A:$F,4,FALSE)</f>
        <v>0.9</v>
      </c>
      <c r="K1600" s="97">
        <f>VLOOKUP(H1600,[2]character_type_i18n!$A:$F,5,FALSE)</f>
        <v>0.9</v>
      </c>
      <c r="L1600" s="97">
        <f>VLOOKUP(H1600,[2]character_type_i18n!$A:$F,6,FALSE)</f>
        <v>1</v>
      </c>
      <c r="M1600" s="9" t="str">
        <f>VLOOKUP(A1600,[2]characters!$A:$M,13,FALSE)</f>
        <v>demon</v>
      </c>
      <c r="N1600" s="6" t="str">
        <f>VLOOKUP(M1600,[2]character_tribe_i18n!$A:$F,3,FALSE)</f>
        <v>デーモン</v>
      </c>
      <c r="O1600" s="97">
        <f>VLOOKUP(M1600,[2]character_tribe_i18n!$A:$F,4,FALSE)</f>
        <v>1</v>
      </c>
      <c r="P1600" s="97">
        <f>VLOOKUP(M1600,[2]character_tribe_i18n!$A:$F,5,FALSE)</f>
        <v>1</v>
      </c>
      <c r="Q1600" s="97">
        <f>VLOOKUP(M1600,[2]character_tribe_i18n!$A:$F,6,FALSE)</f>
        <v>1</v>
      </c>
      <c r="R1600" s="98" t="s">
        <v>98</v>
      </c>
      <c r="S1600" s="97">
        <f>VLOOKUP($R1600,ラベル別係数!$A$1:$E$7,3,FALSE)</f>
        <v>5</v>
      </c>
      <c r="T1600" s="97">
        <f>VLOOKUP($R1600,ラベル別係数!$A$1:$E$7,4,FALSE)</f>
        <v>1.3</v>
      </c>
      <c r="U1600" s="97">
        <f>VLOOKUP($R1600,ラベル別係数!$A$1:$E$7,5,FALSE)</f>
        <v>0.8</v>
      </c>
      <c r="V1600" s="98">
        <v>3</v>
      </c>
      <c r="W1600" s="99">
        <f>VLOOKUP(V1600,ターン数別攻撃係数!$A$1:$B$1000,2,FALSE)</f>
        <v>1</v>
      </c>
      <c r="X1600" s="9">
        <f>VLOOKUP(C1600,サイズ別係数!A$2:B$9,2,FALSE)</f>
        <v>60</v>
      </c>
      <c r="Y1600" s="97">
        <f>VLOOKUP($X1600,サイズ別係数!$B:$E,2,FALSE)</f>
        <v>1.7</v>
      </c>
      <c r="Z1600" s="97">
        <f>VLOOKUP($X1600,サイズ別係数!$B:$E,3,FALSE)</f>
        <v>1.4</v>
      </c>
      <c r="AA1600" s="97">
        <f>VLOOKUP($X1600,サイズ別係数!$B:$E,4,FALSE)</f>
        <v>1</v>
      </c>
      <c r="AB1600" s="10">
        <v>0</v>
      </c>
      <c r="AC1600" s="6" t="str">
        <f ca="1">VLOOKUP($AB1600,OFFSET([3]enemy_skill_sets!$B$2,0,0,COUNTA([3]enemy_skill_sets!$A:$A),MATCH(AC$1,[3]enemy_skill_sets!$1:$1,0)-MATCH($AB$1,[3]enemy_skill_sets!$1:$1,0)+1),MATCH(AC$1,[3]enemy_skill_sets!$1:$1,0)-MATCH($AB$1,[3]enemy_skill_sets!$1:$1,0)+1,FALSE)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0" s="67">
        <v>1</v>
      </c>
      <c r="AE1600" s="67">
        <v>1</v>
      </c>
      <c r="AF1600" s="68">
        <v>0</v>
      </c>
      <c r="AG1600" s="99">
        <f>ROUND(VLOOKUP(1,enemy_base_stats!$A:$F,2,FALSE) * Y1600* J1600*O1600*E1600*S1600*AD1600*[2]ステータス!$B$2,0)</f>
        <v>3825</v>
      </c>
      <c r="AH1600" s="99">
        <f>ROUND(VLOOKUP(1,enemy_base_stats!$A:$F,3,FALSE) * Z1600*K1600*P1600*F1600*T1600*AE1600 * W1600*[2]ステータス!$C$2,0)</f>
        <v>241</v>
      </c>
      <c r="AI1600" s="99">
        <f>ROUND(VLOOKUP(1,enemy_base_stats!$A:$F,4,FALSE) * AA1600*L1600*Q1600*G1600*U1600*AF1600*[2]ステータス!$D$2,0)</f>
        <v>0</v>
      </c>
      <c r="AJ1600" s="99">
        <f>ROUND(VLOOKUP(100,enemy_base_stats!$A:$F,2,FALSE) * Y1600* J1600*O1600*E1600*S1600*AD1600*[2]ステータス!$B$2,0)</f>
        <v>155295</v>
      </c>
      <c r="AK1600" s="99">
        <f>ROUND(VLOOKUP(100,enemy_base_stats!$A:$F,3,FALSE)* Z1600* K1600*P1600*F1600*T1600*AE1600 * W1600*[2]ステータス!$C$2,0)</f>
        <v>9776</v>
      </c>
      <c r="AL1600" s="99">
        <f>ROUND(VLOOKUP(100,enemy_base_stats!$A:$F,4,FALSE)* AA1600* L1600*Q1600*G1600*U1600*AF1600*[2]ステータス!$D$2,0)</f>
        <v>0</v>
      </c>
      <c r="AM1600" s="97">
        <f>VLOOKUP(M1600,[2]character_tribe_i18n!$A:$I,9,FALSE)</f>
        <v>400</v>
      </c>
      <c r="AN1600" s="97">
        <v>0</v>
      </c>
      <c r="AO1600" s="98">
        <v>0</v>
      </c>
      <c r="AP1600" s="58" t="s">
        <v>72</v>
      </c>
      <c r="AQ1600" s="34">
        <f t="shared" si="102"/>
        <v>8129</v>
      </c>
    </row>
    <row r="1601" spans="1:43" ht="21" customHeight="1" x14ac:dyDescent="0.15">
      <c r="A1601" s="105">
        <v>8130</v>
      </c>
      <c r="B1601" s="6" t="str">
        <f>VLOOKUP(A1601,[2]characters!$A:$C,3,FALSE)</f>
        <v>變臉火術 ‧ 切西亞</v>
      </c>
      <c r="C1601" s="9">
        <f>VLOOKUP(A1601,[2]characters!$A:$I,9,FALSE)</f>
        <v>6</v>
      </c>
      <c r="D1601" s="9" t="str">
        <f>VLOOKUP(A1601,[2]characters!$A:$H,8,FALSE)</f>
        <v>red</v>
      </c>
      <c r="E1601" s="97">
        <f>VLOOKUP(D1601,[2]属性!$A:$E,2,FALSE)</f>
        <v>1</v>
      </c>
      <c r="F1601" s="97">
        <f>VLOOKUP(D1601,[2]属性!$A:$E,3,FALSE)</f>
        <v>1.02</v>
      </c>
      <c r="G1601" s="97">
        <f>VLOOKUP(D1601,[2]属性!$A:$F,4,FALSE)</f>
        <v>1</v>
      </c>
      <c r="H1601" s="9" t="str">
        <f>VLOOKUP(A1601,[2]characters!$A:$K,11,FALSE)</f>
        <v>balance</v>
      </c>
      <c r="I1601" s="6" t="str">
        <f>VLOOKUP(H1601,[2]character_type_i18n!$A:$F,3,FALSE)</f>
        <v>バランスタイプ</v>
      </c>
      <c r="J1601" s="97">
        <f>VLOOKUP(H1601,[2]character_type_i18n!$A:$F,4,FALSE)</f>
        <v>1</v>
      </c>
      <c r="K1601" s="97">
        <f>VLOOKUP(H1601,[2]character_type_i18n!$A:$F,5,FALSE)</f>
        <v>1</v>
      </c>
      <c r="L1601" s="97">
        <f>VLOOKUP(H1601,[2]character_type_i18n!$A:$F,6,FALSE)</f>
        <v>1</v>
      </c>
      <c r="M1601" s="9" t="str">
        <f>VLOOKUP(A1601,[2]characters!$A:$M,13,FALSE)</f>
        <v>god</v>
      </c>
      <c r="N1601" s="6" t="str">
        <f>VLOOKUP(M1601,[2]character_tribe_i18n!$A:$F,3,FALSE)</f>
        <v>ゴッド</v>
      </c>
      <c r="O1601" s="97">
        <f>VLOOKUP(M1601,[2]character_tribe_i18n!$A:$F,4,FALSE)</f>
        <v>0.96</v>
      </c>
      <c r="P1601" s="97">
        <f>VLOOKUP(M1601,[2]character_tribe_i18n!$A:$F,5,FALSE)</f>
        <v>1.02</v>
      </c>
      <c r="Q1601" s="97">
        <f>VLOOKUP(M1601,[2]character_tribe_i18n!$A:$F,6,FALSE)</f>
        <v>1</v>
      </c>
      <c r="R1601" s="98" t="s">
        <v>98</v>
      </c>
      <c r="S1601" s="97">
        <f>VLOOKUP($R1601,ラベル別係数!$A$1:$E$7,3,FALSE)</f>
        <v>5</v>
      </c>
      <c r="T1601" s="97">
        <f>VLOOKUP($R1601,ラベル別係数!$A$1:$E$7,4,FALSE)</f>
        <v>1.3</v>
      </c>
      <c r="U1601" s="97">
        <f>VLOOKUP($R1601,ラベル別係数!$A$1:$E$7,5,FALSE)</f>
        <v>0.8</v>
      </c>
      <c r="V1601" s="98">
        <v>3</v>
      </c>
      <c r="W1601" s="99">
        <f>VLOOKUP(V1601,ターン数別攻撃係数!$A$1:$B$1000,2,FALSE)</f>
        <v>1</v>
      </c>
      <c r="X1601" s="9">
        <f>VLOOKUP(C1601,サイズ別係数!A$2:B$9,2,FALSE)</f>
        <v>60</v>
      </c>
      <c r="Y1601" s="97">
        <f>VLOOKUP($X1601,サイズ別係数!$B:$E,2,FALSE)</f>
        <v>1.7</v>
      </c>
      <c r="Z1601" s="97">
        <f>VLOOKUP($X1601,サイズ別係数!$B:$E,3,FALSE)</f>
        <v>1.4</v>
      </c>
      <c r="AA1601" s="97">
        <f>VLOOKUP($X1601,サイズ別係数!$B:$E,4,FALSE)</f>
        <v>1</v>
      </c>
      <c r="AB1601" s="10">
        <v>0</v>
      </c>
      <c r="AC1601" s="6" t="str">
        <f ca="1">VLOOKUP($AB1601,OFFSET([3]enemy_skill_sets!$B$2,0,0,COUNTA([3]enemy_skill_sets!$A:$A),MATCH(AC$1,[3]enemy_skill_sets!$1:$1,0)-MATCH($AB$1,[3]enemy_skill_sets!$1:$1,0)+1),MATCH(AC$1,[3]enemy_skill_sets!$1:$1,0)-MATCH($AB$1,[3]enemy_skill_sets!$1:$1,0)+1,FALSE)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1" s="67">
        <v>1</v>
      </c>
      <c r="AE1601" s="67">
        <v>1</v>
      </c>
      <c r="AF1601" s="68">
        <v>0</v>
      </c>
      <c r="AG1601" s="99">
        <f>ROUND(VLOOKUP(1,enemy_base_stats!$A:$F,2,FALSE) * Y1601* J1601*O1601*E1601*S1601*AD1601*[2]ステータス!$B$2,0)</f>
        <v>4080</v>
      </c>
      <c r="AH1601" s="99">
        <f>ROUND(VLOOKUP(1,enemy_base_stats!$A:$F,3,FALSE) * Z1601*K1601*P1601*F1601*T1601*AE1601 * W1601*[2]ステータス!$C$2,0)</f>
        <v>284</v>
      </c>
      <c r="AI1601" s="99">
        <f>ROUND(VLOOKUP(1,enemy_base_stats!$A:$F,4,FALSE) * AA1601*L1601*Q1601*G1601*U1601*AF1601*[2]ステータス!$D$2,0)</f>
        <v>0</v>
      </c>
      <c r="AJ1601" s="99">
        <f>ROUND(VLOOKUP(100,enemy_base_stats!$A:$F,2,FALSE) * Y1601* J1601*O1601*E1601*S1601*AD1601*[2]ステータス!$B$2,0)</f>
        <v>165648</v>
      </c>
      <c r="AK1601" s="99">
        <f>ROUND(VLOOKUP(100,enemy_base_stats!$A:$F,3,FALSE)* Z1601* K1601*P1601*F1601*T1601*AE1601 * W1601*[2]ステータス!$C$2,0)</f>
        <v>11532</v>
      </c>
      <c r="AL1601" s="99">
        <f>ROUND(VLOOKUP(100,enemy_base_stats!$A:$F,4,FALSE)* AA1601* L1601*Q1601*G1601*U1601*AF1601*[2]ステータス!$D$2,0)</f>
        <v>0</v>
      </c>
      <c r="AM1601" s="97">
        <f>VLOOKUP(M1601,[2]character_tribe_i18n!$A:$I,9,FALSE)</f>
        <v>680</v>
      </c>
      <c r="AN1601" s="97">
        <v>0</v>
      </c>
      <c r="AO1601" s="98">
        <v>0</v>
      </c>
      <c r="AP1601" s="58" t="s">
        <v>72</v>
      </c>
      <c r="AQ1601" s="34">
        <f t="shared" si="102"/>
        <v>8130</v>
      </c>
    </row>
    <row r="1602" spans="1:43" ht="21" customHeight="1" x14ac:dyDescent="0.15">
      <c r="A1602" s="105">
        <v>8131</v>
      </c>
      <c r="B1602" s="6" t="str">
        <f>VLOOKUP(A1602,[2]characters!$A:$C,3,FALSE)</f>
        <v>預知者之歷劫 ‧ 卡珊德拉</v>
      </c>
      <c r="C1602" s="9">
        <f>VLOOKUP(A1602,[2]characters!$A:$I,9,FALSE)</f>
        <v>6</v>
      </c>
      <c r="D1602" s="9" t="str">
        <f>VLOOKUP(A1602,[2]characters!$A:$H,8,FALSE)</f>
        <v>blue</v>
      </c>
      <c r="E1602" s="97">
        <f>VLOOKUP(D1602,[2]属性!$A:$E,2,FALSE)</f>
        <v>1</v>
      </c>
      <c r="F1602" s="97">
        <f>VLOOKUP(D1602,[2]属性!$A:$E,3,FALSE)</f>
        <v>0.98</v>
      </c>
      <c r="G1602" s="97">
        <f>VLOOKUP(D1602,[2]属性!$A:$F,4,FALSE)</f>
        <v>1</v>
      </c>
      <c r="H1602" s="9" t="str">
        <f>VLOOKUP(A1602,[2]characters!$A:$K,11,FALSE)</f>
        <v>heal</v>
      </c>
      <c r="I1602" s="6" t="str">
        <f>VLOOKUP(H1602,[2]character_type_i18n!$A:$F,3,FALSE)</f>
        <v>回復タイプ</v>
      </c>
      <c r="J1602" s="97">
        <f>VLOOKUP(H1602,[2]character_type_i18n!$A:$F,4,FALSE)</f>
        <v>0.8</v>
      </c>
      <c r="K1602" s="97">
        <f>VLOOKUP(H1602,[2]character_type_i18n!$A:$F,5,FALSE)</f>
        <v>0.78</v>
      </c>
      <c r="L1602" s="97">
        <f>VLOOKUP(H1602,[2]character_type_i18n!$A:$F,6,FALSE)</f>
        <v>1</v>
      </c>
      <c r="M1602" s="9" t="str">
        <f>VLOOKUP(A1602,[2]characters!$A:$M,13,FALSE)</f>
        <v>human</v>
      </c>
      <c r="N1602" s="6" t="str">
        <f>VLOOKUP(M1602,[2]character_tribe_i18n!$A:$F,3,FALSE)</f>
        <v>ヒューマン</v>
      </c>
      <c r="O1602" s="97">
        <f>VLOOKUP(M1602,[2]character_tribe_i18n!$A:$F,4,FALSE)</f>
        <v>0.94</v>
      </c>
      <c r="P1602" s="97">
        <f>VLOOKUP(M1602,[2]character_tribe_i18n!$A:$F,5,FALSE)</f>
        <v>0.99</v>
      </c>
      <c r="Q1602" s="97">
        <f>VLOOKUP(M1602,[2]character_tribe_i18n!$A:$F,6,FALSE)</f>
        <v>1</v>
      </c>
      <c r="R1602" s="98" t="s">
        <v>98</v>
      </c>
      <c r="S1602" s="97">
        <f>VLOOKUP($R1602,ラベル別係数!$A$1:$E$7,3,FALSE)</f>
        <v>5</v>
      </c>
      <c r="T1602" s="97">
        <f>VLOOKUP($R1602,ラベル別係数!$A$1:$E$7,4,FALSE)</f>
        <v>1.3</v>
      </c>
      <c r="U1602" s="97">
        <f>VLOOKUP($R1602,ラベル別係数!$A$1:$E$7,5,FALSE)</f>
        <v>0.8</v>
      </c>
      <c r="V1602" s="98">
        <v>3</v>
      </c>
      <c r="W1602" s="99">
        <f>VLOOKUP(V1602,ターン数別攻撃係数!$A$1:$B$1000,2,FALSE)</f>
        <v>1</v>
      </c>
      <c r="X1602" s="9">
        <f>VLOOKUP(C1602,サイズ別係数!A$2:B$9,2,FALSE)</f>
        <v>60</v>
      </c>
      <c r="Y1602" s="97">
        <f>VLOOKUP($X1602,サイズ別係数!$B:$E,2,FALSE)</f>
        <v>1.7</v>
      </c>
      <c r="Z1602" s="97">
        <f>VLOOKUP($X1602,サイズ別係数!$B:$E,3,FALSE)</f>
        <v>1.4</v>
      </c>
      <c r="AA1602" s="97">
        <f>VLOOKUP($X1602,サイズ別係数!$B:$E,4,FALSE)</f>
        <v>1</v>
      </c>
      <c r="AB1602" s="10">
        <v>0</v>
      </c>
      <c r="AC1602" s="6" t="str">
        <f ca="1">VLOOKUP($AB1602,OFFSET([3]enemy_skill_sets!$B$2,0,0,COUNTA([3]enemy_skill_sets!$A:$A),MATCH(AC$1,[3]enemy_skill_sets!$1:$1,0)-MATCH($AB$1,[3]enemy_skill_sets!$1:$1,0)+1),MATCH(AC$1,[3]enemy_skill_sets!$1:$1,0)-MATCH($AB$1,[3]enemy_skill_sets!$1:$1,0)+1,FALSE)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2" s="67">
        <v>1</v>
      </c>
      <c r="AE1602" s="67">
        <v>1</v>
      </c>
      <c r="AF1602" s="68">
        <v>0</v>
      </c>
      <c r="AG1602" s="99">
        <f>ROUND(VLOOKUP(1,enemy_base_stats!$A:$F,2,FALSE) * Y1602* J1602*O1602*E1602*S1602*AD1602*[2]ステータス!$B$2,0)</f>
        <v>3196</v>
      </c>
      <c r="AH1602" s="99">
        <f>ROUND(VLOOKUP(1,enemy_base_stats!$A:$F,3,FALSE) * Z1602*K1602*P1602*F1602*T1602*AE1602 * W1602*[2]ステータス!$C$2,0)</f>
        <v>207</v>
      </c>
      <c r="AI1602" s="99">
        <f>ROUND(VLOOKUP(1,enemy_base_stats!$A:$F,4,FALSE) * AA1602*L1602*Q1602*G1602*U1602*AF1602*[2]ステータス!$D$2,0)</f>
        <v>0</v>
      </c>
      <c r="AJ1602" s="99">
        <f>ROUND(VLOOKUP(100,enemy_base_stats!$A:$F,2,FALSE) * Y1602* J1602*O1602*E1602*S1602*AD1602*[2]ステータス!$B$2,0)</f>
        <v>129758</v>
      </c>
      <c r="AK1602" s="99">
        <f>ROUND(VLOOKUP(100,enemy_base_stats!$A:$F,3,FALSE)* Z1602* K1602*P1602*F1602*T1602*AE1602 * W1602*[2]ステータス!$C$2,0)</f>
        <v>8388</v>
      </c>
      <c r="AL1602" s="99">
        <f>ROUND(VLOOKUP(100,enemy_base_stats!$A:$F,4,FALSE)* AA1602* L1602*Q1602*G1602*U1602*AF1602*[2]ステータス!$D$2,0)</f>
        <v>0</v>
      </c>
      <c r="AM1602" s="97">
        <f>VLOOKUP(M1602,[2]character_tribe_i18n!$A:$I,9,FALSE)</f>
        <v>400</v>
      </c>
      <c r="AN1602" s="97">
        <v>0</v>
      </c>
      <c r="AO1602" s="98">
        <v>0</v>
      </c>
      <c r="AP1602" s="58" t="s">
        <v>72</v>
      </c>
      <c r="AQ1602" s="34">
        <f t="shared" si="102"/>
        <v>8131</v>
      </c>
    </row>
    <row r="1603" spans="1:43" ht="21" customHeight="1" x14ac:dyDescent="0.15">
      <c r="A1603" s="105">
        <v>8132</v>
      </c>
      <c r="B1603" s="6" t="str">
        <f>VLOOKUP(A1603,[2]characters!$A:$C,3,FALSE)</f>
        <v>罪與責之承諾 ‧ 美狄亞</v>
      </c>
      <c r="C1603" s="9">
        <f>VLOOKUP(A1603,[2]characters!$A:$I,9,FALSE)</f>
        <v>6</v>
      </c>
      <c r="D1603" s="9" t="str">
        <f>VLOOKUP(A1603,[2]characters!$A:$H,8,FALSE)</f>
        <v>red</v>
      </c>
      <c r="E1603" s="97">
        <f>VLOOKUP(D1603,[2]属性!$A:$E,2,FALSE)</f>
        <v>1</v>
      </c>
      <c r="F1603" s="97">
        <f>VLOOKUP(D1603,[2]属性!$A:$E,3,FALSE)</f>
        <v>1.02</v>
      </c>
      <c r="G1603" s="97">
        <f>VLOOKUP(D1603,[2]属性!$A:$F,4,FALSE)</f>
        <v>1</v>
      </c>
      <c r="H1603" s="9" t="str">
        <f>VLOOKUP(A1603,[2]characters!$A:$K,11,FALSE)</f>
        <v>attack</v>
      </c>
      <c r="I1603" s="6" t="str">
        <f>VLOOKUP(H1603,[2]character_type_i18n!$A:$F,3,FALSE)</f>
        <v>攻撃タイプ</v>
      </c>
      <c r="J1603" s="97">
        <f>VLOOKUP(H1603,[2]character_type_i18n!$A:$F,4,FALSE)</f>
        <v>1</v>
      </c>
      <c r="K1603" s="97">
        <f>VLOOKUP(H1603,[2]character_type_i18n!$A:$F,5,FALSE)</f>
        <v>1.33</v>
      </c>
      <c r="L1603" s="97">
        <f>VLOOKUP(H1603,[2]character_type_i18n!$A:$F,6,FALSE)</f>
        <v>1</v>
      </c>
      <c r="M1603" s="9" t="str">
        <f>VLOOKUP(A1603,[2]characters!$A:$M,13,FALSE)</f>
        <v>human</v>
      </c>
      <c r="N1603" s="6" t="str">
        <f>VLOOKUP(M1603,[2]character_tribe_i18n!$A:$F,3,FALSE)</f>
        <v>ヒューマン</v>
      </c>
      <c r="O1603" s="97">
        <f>VLOOKUP(M1603,[2]character_tribe_i18n!$A:$F,4,FALSE)</f>
        <v>0.94</v>
      </c>
      <c r="P1603" s="97">
        <f>VLOOKUP(M1603,[2]character_tribe_i18n!$A:$F,5,FALSE)</f>
        <v>0.99</v>
      </c>
      <c r="Q1603" s="97">
        <f>VLOOKUP(M1603,[2]character_tribe_i18n!$A:$F,6,FALSE)</f>
        <v>1</v>
      </c>
      <c r="R1603" s="98" t="s">
        <v>98</v>
      </c>
      <c r="S1603" s="97">
        <f>VLOOKUP($R1603,ラベル別係数!$A$1:$E$7,3,FALSE)</f>
        <v>5</v>
      </c>
      <c r="T1603" s="97">
        <f>VLOOKUP($R1603,ラベル別係数!$A$1:$E$7,4,FALSE)</f>
        <v>1.3</v>
      </c>
      <c r="U1603" s="97">
        <f>VLOOKUP($R1603,ラベル別係数!$A$1:$E$7,5,FALSE)</f>
        <v>0.8</v>
      </c>
      <c r="V1603" s="98">
        <v>3</v>
      </c>
      <c r="W1603" s="99">
        <f>VLOOKUP(V1603,ターン数別攻撃係数!$A$1:$B$1000,2,FALSE)</f>
        <v>1</v>
      </c>
      <c r="X1603" s="9">
        <f>VLOOKUP(C1603,サイズ別係数!A$2:B$9,2,FALSE)</f>
        <v>60</v>
      </c>
      <c r="Y1603" s="97">
        <f>VLOOKUP($X1603,サイズ別係数!$B:$E,2,FALSE)</f>
        <v>1.7</v>
      </c>
      <c r="Z1603" s="97">
        <f>VLOOKUP($X1603,サイズ別係数!$B:$E,3,FALSE)</f>
        <v>1.4</v>
      </c>
      <c r="AA1603" s="97">
        <f>VLOOKUP($X1603,サイズ別係数!$B:$E,4,FALSE)</f>
        <v>1</v>
      </c>
      <c r="AB1603" s="10">
        <v>0</v>
      </c>
      <c r="AC1603" s="6" t="str">
        <f ca="1">VLOOKUP($AB1603,OFFSET([3]enemy_skill_sets!$B$2,0,0,COUNTA([3]enemy_skill_sets!$A:$A),MATCH(AC$1,[3]enemy_skill_sets!$1:$1,0)-MATCH($AB$1,[3]enemy_skill_sets!$1:$1,0)+1),MATCH(AC$1,[3]enemy_skill_sets!$1:$1,0)-MATCH($AB$1,[3]enemy_skill_sets!$1:$1,0)+1,FALSE)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3" s="67">
        <v>1</v>
      </c>
      <c r="AE1603" s="67">
        <v>1</v>
      </c>
      <c r="AF1603" s="68">
        <v>0</v>
      </c>
      <c r="AG1603" s="99">
        <f>ROUND(VLOOKUP(1,enemy_base_stats!$A:$F,2,FALSE) * Y1603* J1603*O1603*E1603*S1603*AD1603*[2]ステータス!$B$2,0)</f>
        <v>3995</v>
      </c>
      <c r="AH1603" s="99">
        <f>ROUND(VLOOKUP(1,enemy_base_stats!$A:$F,3,FALSE) * Z1603*K1603*P1603*F1603*T1603*AE1603 * W1603*[2]ステータス!$C$2,0)</f>
        <v>367</v>
      </c>
      <c r="AI1603" s="99">
        <f>ROUND(VLOOKUP(1,enemy_base_stats!$A:$F,4,FALSE) * AA1603*L1603*Q1603*G1603*U1603*AF1603*[2]ステータス!$D$2,0)</f>
        <v>0</v>
      </c>
      <c r="AJ1603" s="99">
        <f>ROUND(VLOOKUP(100,enemy_base_stats!$A:$F,2,FALSE) * Y1603* J1603*O1603*E1603*S1603*AD1603*[2]ステータス!$B$2,0)</f>
        <v>162197</v>
      </c>
      <c r="AK1603" s="99">
        <f>ROUND(VLOOKUP(100,enemy_base_stats!$A:$F,3,FALSE)* Z1603* K1603*P1603*F1603*T1603*AE1603 * W1603*[2]ステータス!$C$2,0)</f>
        <v>14886</v>
      </c>
      <c r="AL1603" s="99">
        <f>ROUND(VLOOKUP(100,enemy_base_stats!$A:$F,4,FALSE)* AA1603* L1603*Q1603*G1603*U1603*AF1603*[2]ステータス!$D$2,0)</f>
        <v>0</v>
      </c>
      <c r="AM1603" s="97">
        <f>VLOOKUP(M1603,[2]character_tribe_i18n!$A:$I,9,FALSE)</f>
        <v>400</v>
      </c>
      <c r="AN1603" s="97">
        <v>0</v>
      </c>
      <c r="AO1603" s="98">
        <v>0</v>
      </c>
      <c r="AP1603" s="58" t="s">
        <v>72</v>
      </c>
      <c r="AQ1603" s="34">
        <f t="shared" si="102"/>
        <v>8132</v>
      </c>
    </row>
    <row r="1604" spans="1:43" ht="21" customHeight="1" x14ac:dyDescent="0.15">
      <c r="A1604" s="105">
        <v>8133</v>
      </c>
      <c r="B1604" s="6" t="str">
        <f>VLOOKUP(A1604,[2]characters!$A:$C,3,FALSE)</f>
        <v>大魔導士 ‧ 莫莉</v>
      </c>
      <c r="C1604" s="9">
        <f>VLOOKUP(A1604,[2]characters!$A:$I,9,FALSE)</f>
        <v>5</v>
      </c>
      <c r="D1604" s="9" t="str">
        <f>VLOOKUP(A1604,[2]characters!$A:$H,8,FALSE)</f>
        <v>blue</v>
      </c>
      <c r="E1604" s="97">
        <f>VLOOKUP(D1604,[2]属性!$A:$E,2,FALSE)</f>
        <v>1</v>
      </c>
      <c r="F1604" s="97">
        <f>VLOOKUP(D1604,[2]属性!$A:$E,3,FALSE)</f>
        <v>0.98</v>
      </c>
      <c r="G1604" s="97">
        <f>VLOOKUP(D1604,[2]属性!$A:$F,4,FALSE)</f>
        <v>1</v>
      </c>
      <c r="H1604" s="9" t="str">
        <f>VLOOKUP(A1604,[2]characters!$A:$K,11,FALSE)</f>
        <v>heal</v>
      </c>
      <c r="I1604" s="6" t="str">
        <f>VLOOKUP(H1604,[2]character_type_i18n!$A:$F,3,FALSE)</f>
        <v>回復タイプ</v>
      </c>
      <c r="J1604" s="97">
        <f>VLOOKUP(H1604,[2]character_type_i18n!$A:$F,4,FALSE)</f>
        <v>0.8</v>
      </c>
      <c r="K1604" s="97">
        <f>VLOOKUP(H1604,[2]character_type_i18n!$A:$F,5,FALSE)</f>
        <v>0.78</v>
      </c>
      <c r="L1604" s="97">
        <f>VLOOKUP(H1604,[2]character_type_i18n!$A:$F,6,FALSE)</f>
        <v>1</v>
      </c>
      <c r="M1604" s="9" t="str">
        <f>VLOOKUP(A1604,[2]characters!$A:$M,13,FALSE)</f>
        <v>human</v>
      </c>
      <c r="N1604" s="6" t="str">
        <f>VLOOKUP(M1604,[2]character_tribe_i18n!$A:$F,3,FALSE)</f>
        <v>ヒューマン</v>
      </c>
      <c r="O1604" s="97">
        <f>VLOOKUP(M1604,[2]character_tribe_i18n!$A:$F,4,FALSE)</f>
        <v>0.94</v>
      </c>
      <c r="P1604" s="97">
        <f>VLOOKUP(M1604,[2]character_tribe_i18n!$A:$F,5,FALSE)</f>
        <v>0.99</v>
      </c>
      <c r="Q1604" s="97">
        <f>VLOOKUP(M1604,[2]character_tribe_i18n!$A:$F,6,FALSE)</f>
        <v>1</v>
      </c>
      <c r="R1604" s="98" t="s">
        <v>98</v>
      </c>
      <c r="S1604" s="97">
        <f>VLOOKUP($R1604,ラベル別係数!$A$1:$E$7,3,FALSE)</f>
        <v>5</v>
      </c>
      <c r="T1604" s="97">
        <f>VLOOKUP($R1604,ラベル別係数!$A$1:$E$7,4,FALSE)</f>
        <v>1.3</v>
      </c>
      <c r="U1604" s="97">
        <f>VLOOKUP($R1604,ラベル別係数!$A$1:$E$7,5,FALSE)</f>
        <v>0.8</v>
      </c>
      <c r="V1604" s="98">
        <v>3</v>
      </c>
      <c r="W1604" s="99">
        <f>VLOOKUP(V1604,ターン数別攻撃係数!$A$1:$B$1000,2,FALSE)</f>
        <v>1</v>
      </c>
      <c r="X1604" s="9">
        <f>VLOOKUP(C1604,サイズ別係数!A$2:B$9,2,FALSE)</f>
        <v>60</v>
      </c>
      <c r="Y1604" s="97">
        <f>VLOOKUP($X1604,サイズ別係数!$B:$E,2,FALSE)</f>
        <v>1.7</v>
      </c>
      <c r="Z1604" s="97">
        <f>VLOOKUP($X1604,サイズ別係数!$B:$E,3,FALSE)</f>
        <v>1.4</v>
      </c>
      <c r="AA1604" s="97">
        <f>VLOOKUP($X1604,サイズ別係数!$B:$E,4,FALSE)</f>
        <v>1</v>
      </c>
      <c r="AB1604" s="10">
        <v>0</v>
      </c>
      <c r="AC1604" s="6" t="str">
        <f ca="1">VLOOKUP($AB1604,OFFSET([3]enemy_skill_sets!$B$2,0,0,COUNTA([3]enemy_skill_sets!$A:$A),MATCH(AC$1,[3]enemy_skill_sets!$1:$1,0)-MATCH($AB$1,[3]enemy_skill_sets!$1:$1,0)+1),MATCH(AC$1,[3]enemy_skill_sets!$1:$1,0)-MATCH($AB$1,[3]enemy_skill_sets!$1:$1,0)+1,FALSE)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4" s="67">
        <v>1</v>
      </c>
      <c r="AE1604" s="67">
        <v>1</v>
      </c>
      <c r="AF1604" s="68">
        <v>0</v>
      </c>
      <c r="AG1604" s="99">
        <f>ROUND(VLOOKUP(1,enemy_base_stats!$A:$F,2,FALSE) * Y1604* J1604*O1604*E1604*S1604*AD1604*[2]ステータス!$B$2,0)</f>
        <v>3196</v>
      </c>
      <c r="AH1604" s="99">
        <f>ROUND(VLOOKUP(1,enemy_base_stats!$A:$F,3,FALSE) * Z1604*K1604*P1604*F1604*T1604*AE1604 * W1604*[2]ステータス!$C$2,0)</f>
        <v>207</v>
      </c>
      <c r="AI1604" s="99">
        <f>ROUND(VLOOKUP(1,enemy_base_stats!$A:$F,4,FALSE) * AA1604*L1604*Q1604*G1604*U1604*AF1604*[2]ステータス!$D$2,0)</f>
        <v>0</v>
      </c>
      <c r="AJ1604" s="99">
        <f>ROUND(VLOOKUP(100,enemy_base_stats!$A:$F,2,FALSE) * Y1604* J1604*O1604*E1604*S1604*AD1604*[2]ステータス!$B$2,0)</f>
        <v>129758</v>
      </c>
      <c r="AK1604" s="99">
        <f>ROUND(VLOOKUP(100,enemy_base_stats!$A:$F,3,FALSE)* Z1604* K1604*P1604*F1604*T1604*AE1604 * W1604*[2]ステータス!$C$2,0)</f>
        <v>8388</v>
      </c>
      <c r="AL1604" s="99">
        <f>ROUND(VLOOKUP(100,enemy_base_stats!$A:$F,4,FALSE)* AA1604* L1604*Q1604*G1604*U1604*AF1604*[2]ステータス!$D$2,0)</f>
        <v>0</v>
      </c>
      <c r="AM1604" s="97">
        <f>VLOOKUP(M1604,[2]character_tribe_i18n!$A:$I,9,FALSE)</f>
        <v>400</v>
      </c>
      <c r="AN1604" s="97">
        <v>0</v>
      </c>
      <c r="AO1604" s="98">
        <v>0</v>
      </c>
      <c r="AP1604" s="58" t="s">
        <v>72</v>
      </c>
      <c r="AQ1604" s="34">
        <f t="shared" si="102"/>
        <v>8133</v>
      </c>
    </row>
    <row r="1605" spans="1:43" ht="21" customHeight="1" x14ac:dyDescent="0.15">
      <c r="A1605" s="105">
        <v>8134</v>
      </c>
      <c r="B1605" s="6" t="str">
        <f>VLOOKUP(A1605,[2]characters!$A:$C,3,FALSE)</f>
        <v>龍焰騎士 ‧ 肖恩</v>
      </c>
      <c r="C1605" s="9">
        <f>VLOOKUP(A1605,[2]characters!$A:$I,9,FALSE)</f>
        <v>5</v>
      </c>
      <c r="D1605" s="9" t="str">
        <f>VLOOKUP(A1605,[2]characters!$A:$H,8,FALSE)</f>
        <v>red</v>
      </c>
      <c r="E1605" s="97">
        <f>VLOOKUP(D1605,[2]属性!$A:$E,2,FALSE)</f>
        <v>1</v>
      </c>
      <c r="F1605" s="97">
        <f>VLOOKUP(D1605,[2]属性!$A:$E,3,FALSE)</f>
        <v>1.02</v>
      </c>
      <c r="G1605" s="97">
        <f>VLOOKUP(D1605,[2]属性!$A:$F,4,FALSE)</f>
        <v>1</v>
      </c>
      <c r="H1605" s="9" t="str">
        <f>VLOOKUP(A1605,[2]characters!$A:$K,11,FALSE)</f>
        <v>balance</v>
      </c>
      <c r="I1605" s="6" t="str">
        <f>VLOOKUP(H1605,[2]character_type_i18n!$A:$F,3,FALSE)</f>
        <v>バランスタイプ</v>
      </c>
      <c r="J1605" s="97">
        <f>VLOOKUP(H1605,[2]character_type_i18n!$A:$F,4,FALSE)</f>
        <v>1</v>
      </c>
      <c r="K1605" s="97">
        <f>VLOOKUP(H1605,[2]character_type_i18n!$A:$F,5,FALSE)</f>
        <v>1</v>
      </c>
      <c r="L1605" s="97">
        <f>VLOOKUP(H1605,[2]character_type_i18n!$A:$F,6,FALSE)</f>
        <v>1</v>
      </c>
      <c r="M1605" s="9" t="str">
        <f>VLOOKUP(A1605,[2]characters!$A:$M,13,FALSE)</f>
        <v>human</v>
      </c>
      <c r="N1605" s="6" t="str">
        <f>VLOOKUP(M1605,[2]character_tribe_i18n!$A:$F,3,FALSE)</f>
        <v>ヒューマン</v>
      </c>
      <c r="O1605" s="97">
        <f>VLOOKUP(M1605,[2]character_tribe_i18n!$A:$F,4,FALSE)</f>
        <v>0.94</v>
      </c>
      <c r="P1605" s="97">
        <f>VLOOKUP(M1605,[2]character_tribe_i18n!$A:$F,5,FALSE)</f>
        <v>0.99</v>
      </c>
      <c r="Q1605" s="97">
        <f>VLOOKUP(M1605,[2]character_tribe_i18n!$A:$F,6,FALSE)</f>
        <v>1</v>
      </c>
      <c r="R1605" s="98" t="s">
        <v>98</v>
      </c>
      <c r="S1605" s="97">
        <f>VLOOKUP($R1605,ラベル別係数!$A$1:$E$7,3,FALSE)</f>
        <v>5</v>
      </c>
      <c r="T1605" s="97">
        <f>VLOOKUP($R1605,ラベル別係数!$A$1:$E$7,4,FALSE)</f>
        <v>1.3</v>
      </c>
      <c r="U1605" s="97">
        <f>VLOOKUP($R1605,ラベル別係数!$A$1:$E$7,5,FALSE)</f>
        <v>0.8</v>
      </c>
      <c r="V1605" s="98">
        <v>3</v>
      </c>
      <c r="W1605" s="99">
        <f>VLOOKUP(V1605,ターン数別攻撃係数!$A$1:$B$1000,2,FALSE)</f>
        <v>1</v>
      </c>
      <c r="X1605" s="9">
        <f>VLOOKUP(C1605,サイズ別係数!A$2:B$9,2,FALSE)</f>
        <v>60</v>
      </c>
      <c r="Y1605" s="97">
        <f>VLOOKUP($X1605,サイズ別係数!$B:$E,2,FALSE)</f>
        <v>1.7</v>
      </c>
      <c r="Z1605" s="97">
        <f>VLOOKUP($X1605,サイズ別係数!$B:$E,3,FALSE)</f>
        <v>1.4</v>
      </c>
      <c r="AA1605" s="97">
        <f>VLOOKUP($X1605,サイズ別係数!$B:$E,4,FALSE)</f>
        <v>1</v>
      </c>
      <c r="AB1605" s="10">
        <v>0</v>
      </c>
      <c r="AC1605" s="6" t="str">
        <f ca="1">VLOOKUP($AB1605,OFFSET([3]enemy_skill_sets!$B$2,0,0,COUNTA([3]enemy_skill_sets!$A:$A),MATCH(AC$1,[3]enemy_skill_sets!$1:$1,0)-MATCH($AB$1,[3]enemy_skill_sets!$1:$1,0)+1),MATCH(AC$1,[3]enemy_skill_sets!$1:$1,0)-MATCH($AB$1,[3]enemy_skill_sets!$1:$1,0)+1,FALSE)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5" s="67">
        <v>1</v>
      </c>
      <c r="AE1605" s="67">
        <v>1</v>
      </c>
      <c r="AF1605" s="68">
        <v>0</v>
      </c>
      <c r="AG1605" s="99">
        <f>ROUND(VLOOKUP(1,enemy_base_stats!$A:$F,2,FALSE) * Y1605* J1605*O1605*E1605*S1605*AD1605*[2]ステータス!$B$2,0)</f>
        <v>3995</v>
      </c>
      <c r="AH1605" s="99">
        <f>ROUND(VLOOKUP(1,enemy_base_stats!$A:$F,3,FALSE) * Z1605*K1605*P1605*F1605*T1605*AE1605 * W1605*[2]ステータス!$C$2,0)</f>
        <v>276</v>
      </c>
      <c r="AI1605" s="99">
        <f>ROUND(VLOOKUP(1,enemy_base_stats!$A:$F,4,FALSE) * AA1605*L1605*Q1605*G1605*U1605*AF1605*[2]ステータス!$D$2,0)</f>
        <v>0</v>
      </c>
      <c r="AJ1605" s="99">
        <f>ROUND(VLOOKUP(100,enemy_base_stats!$A:$F,2,FALSE) * Y1605* J1605*O1605*E1605*S1605*AD1605*[2]ステータス!$B$2,0)</f>
        <v>162197</v>
      </c>
      <c r="AK1605" s="99">
        <f>ROUND(VLOOKUP(100,enemy_base_stats!$A:$F,3,FALSE)* Z1605* K1605*P1605*F1605*T1605*AE1605 * W1605*[2]ステータス!$C$2,0)</f>
        <v>11192</v>
      </c>
      <c r="AL1605" s="99">
        <f>ROUND(VLOOKUP(100,enemy_base_stats!$A:$F,4,FALSE)* AA1605* L1605*Q1605*G1605*U1605*AF1605*[2]ステータス!$D$2,0)</f>
        <v>0</v>
      </c>
      <c r="AM1605" s="97">
        <f>VLOOKUP(M1605,[2]character_tribe_i18n!$A:$I,9,FALSE)</f>
        <v>400</v>
      </c>
      <c r="AN1605" s="97">
        <v>0</v>
      </c>
      <c r="AO1605" s="98">
        <v>0</v>
      </c>
      <c r="AP1605" s="58" t="s">
        <v>72</v>
      </c>
      <c r="AQ1605" s="34">
        <f t="shared" si="102"/>
        <v>8134</v>
      </c>
    </row>
    <row r="1606" spans="1:43" ht="21" customHeight="1" x14ac:dyDescent="0.15">
      <c r="A1606" s="105">
        <v>8135</v>
      </c>
      <c r="B1606" s="6" t="str">
        <f>VLOOKUP(A1606,[2]characters!$A:$C,3,FALSE)</f>
        <v>混沌之翼 ‧ 路西法</v>
      </c>
      <c r="C1606" s="9">
        <f>VLOOKUP(A1606,[2]characters!$A:$I,9,FALSE)</f>
        <v>5</v>
      </c>
      <c r="D1606" s="9" t="str">
        <f>VLOOKUP(A1606,[2]characters!$A:$H,8,FALSE)</f>
        <v>yellow</v>
      </c>
      <c r="E1606" s="97">
        <f>VLOOKUP(D1606,[2]属性!$A:$E,2,FALSE)</f>
        <v>0.98</v>
      </c>
      <c r="F1606" s="97">
        <f>VLOOKUP(D1606,[2]属性!$A:$E,3,FALSE)</f>
        <v>1.01</v>
      </c>
      <c r="G1606" s="97">
        <f>VLOOKUP(D1606,[2]属性!$A:$F,4,FALSE)</f>
        <v>1</v>
      </c>
      <c r="H1606" s="9" t="str">
        <f>VLOOKUP(A1606,[2]characters!$A:$K,11,FALSE)</f>
        <v>attack</v>
      </c>
      <c r="I1606" s="6" t="str">
        <f>VLOOKUP(H1606,[2]character_type_i18n!$A:$F,3,FALSE)</f>
        <v>攻撃タイプ</v>
      </c>
      <c r="J1606" s="97">
        <f>VLOOKUP(H1606,[2]character_type_i18n!$A:$F,4,FALSE)</f>
        <v>1</v>
      </c>
      <c r="K1606" s="97">
        <f>VLOOKUP(H1606,[2]character_type_i18n!$A:$F,5,FALSE)</f>
        <v>1.33</v>
      </c>
      <c r="L1606" s="97">
        <f>VLOOKUP(H1606,[2]character_type_i18n!$A:$F,6,FALSE)</f>
        <v>1</v>
      </c>
      <c r="M1606" s="9" t="str">
        <f>VLOOKUP(A1606,[2]characters!$A:$M,13,FALSE)</f>
        <v>god</v>
      </c>
      <c r="N1606" s="6" t="str">
        <f>VLOOKUP(M1606,[2]character_tribe_i18n!$A:$F,3,FALSE)</f>
        <v>ゴッド</v>
      </c>
      <c r="O1606" s="97">
        <f>VLOOKUP(M1606,[2]character_tribe_i18n!$A:$F,4,FALSE)</f>
        <v>0.96</v>
      </c>
      <c r="P1606" s="97">
        <f>VLOOKUP(M1606,[2]character_tribe_i18n!$A:$F,5,FALSE)</f>
        <v>1.02</v>
      </c>
      <c r="Q1606" s="97">
        <f>VLOOKUP(M1606,[2]character_tribe_i18n!$A:$F,6,FALSE)</f>
        <v>1</v>
      </c>
      <c r="R1606" s="98" t="s">
        <v>98</v>
      </c>
      <c r="S1606" s="97">
        <f>VLOOKUP($R1606,ラベル別係数!$A$1:$E$7,3,FALSE)</f>
        <v>5</v>
      </c>
      <c r="T1606" s="97">
        <f>VLOOKUP($R1606,ラベル別係数!$A$1:$E$7,4,FALSE)</f>
        <v>1.3</v>
      </c>
      <c r="U1606" s="97">
        <f>VLOOKUP($R1606,ラベル別係数!$A$1:$E$7,5,FALSE)</f>
        <v>0.8</v>
      </c>
      <c r="V1606" s="98">
        <v>3</v>
      </c>
      <c r="W1606" s="99">
        <f>VLOOKUP(V1606,ターン数別攻撃係数!$A$1:$B$1000,2,FALSE)</f>
        <v>1</v>
      </c>
      <c r="X1606" s="9">
        <f>VLOOKUP(C1606,サイズ別係数!A$2:B$9,2,FALSE)</f>
        <v>60</v>
      </c>
      <c r="Y1606" s="97">
        <f>VLOOKUP($X1606,サイズ別係数!$B:$E,2,FALSE)</f>
        <v>1.7</v>
      </c>
      <c r="Z1606" s="97">
        <f>VLOOKUP($X1606,サイズ別係数!$B:$E,3,FALSE)</f>
        <v>1.4</v>
      </c>
      <c r="AA1606" s="97">
        <f>VLOOKUP($X1606,サイズ別係数!$B:$E,4,FALSE)</f>
        <v>1</v>
      </c>
      <c r="AB1606" s="10">
        <v>0</v>
      </c>
      <c r="AC1606" s="6" t="str">
        <f ca="1">VLOOKUP($AB1606,OFFSET([3]enemy_skill_sets!$B$2,0,0,COUNTA([3]enemy_skill_sets!$A:$A),MATCH(AC$1,[3]enemy_skill_sets!$1:$1,0)-MATCH($AB$1,[3]enemy_skill_sets!$1:$1,0)+1),MATCH(AC$1,[3]enemy_skill_sets!$1:$1,0)-MATCH($AB$1,[3]enemy_skill_sets!$1:$1,0)+1,FALSE)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6" s="67">
        <v>1</v>
      </c>
      <c r="AE1606" s="67">
        <v>1</v>
      </c>
      <c r="AF1606" s="68">
        <v>0</v>
      </c>
      <c r="AG1606" s="99">
        <f>ROUND(VLOOKUP(1,enemy_base_stats!$A:$F,2,FALSE) * Y1606* J1606*O1606*E1606*S1606*AD1606*[2]ステータス!$B$2,0)</f>
        <v>3998</v>
      </c>
      <c r="AH1606" s="99">
        <f>ROUND(VLOOKUP(1,enemy_base_stats!$A:$F,3,FALSE) * Z1606*K1606*P1606*F1606*T1606*AE1606 * W1606*[2]ステータス!$C$2,0)</f>
        <v>374</v>
      </c>
      <c r="AI1606" s="99">
        <f>ROUND(VLOOKUP(1,enemy_base_stats!$A:$F,4,FALSE) * AA1606*L1606*Q1606*G1606*U1606*AF1606*[2]ステータス!$D$2,0)</f>
        <v>0</v>
      </c>
      <c r="AJ1606" s="99">
        <f>ROUND(VLOOKUP(100,enemy_base_stats!$A:$F,2,FALSE) * Y1606* J1606*O1606*E1606*S1606*AD1606*[2]ステータス!$B$2,0)</f>
        <v>162335</v>
      </c>
      <c r="AK1606" s="99">
        <f>ROUND(VLOOKUP(100,enemy_base_stats!$A:$F,3,FALSE)* Z1606* K1606*P1606*F1606*T1606*AE1606 * W1606*[2]ステータス!$C$2,0)</f>
        <v>15187</v>
      </c>
      <c r="AL1606" s="99">
        <f>ROUND(VLOOKUP(100,enemy_base_stats!$A:$F,4,FALSE)* AA1606* L1606*Q1606*G1606*U1606*AF1606*[2]ステータス!$D$2,0)</f>
        <v>0</v>
      </c>
      <c r="AM1606" s="97">
        <f>VLOOKUP(M1606,[2]character_tribe_i18n!$A:$I,9,FALSE)</f>
        <v>680</v>
      </c>
      <c r="AN1606" s="97">
        <v>0</v>
      </c>
      <c r="AO1606" s="98">
        <v>0</v>
      </c>
      <c r="AP1606" s="58" t="s">
        <v>72</v>
      </c>
      <c r="AQ1606" s="34">
        <f t="shared" si="102"/>
        <v>8135</v>
      </c>
    </row>
    <row r="1607" spans="1:43" ht="21" customHeight="1" x14ac:dyDescent="0.15">
      <c r="A1607" s="105">
        <v>8136</v>
      </c>
      <c r="B1607" s="6" t="str">
        <f>VLOOKUP(A1607,[2]characters!$A:$C,3,FALSE)</f>
        <v>混沌之翼 ‧ 路西法★6</v>
      </c>
      <c r="C1607" s="9">
        <f>VLOOKUP(A1607,[2]characters!$A:$I,9,FALSE)</f>
        <v>6</v>
      </c>
      <c r="D1607" s="9" t="str">
        <f>VLOOKUP(A1607,[2]characters!$A:$H,8,FALSE)</f>
        <v>yellow</v>
      </c>
      <c r="E1607" s="97">
        <f>VLOOKUP(D1607,[2]属性!$A:$E,2,FALSE)</f>
        <v>0.98</v>
      </c>
      <c r="F1607" s="97">
        <f>VLOOKUP(D1607,[2]属性!$A:$E,3,FALSE)</f>
        <v>1.01</v>
      </c>
      <c r="G1607" s="97">
        <f>VLOOKUP(D1607,[2]属性!$A:$F,4,FALSE)</f>
        <v>1</v>
      </c>
      <c r="H1607" s="9" t="str">
        <f>VLOOKUP(A1607,[2]characters!$A:$K,11,FALSE)</f>
        <v>attack</v>
      </c>
      <c r="I1607" s="6" t="str">
        <f>VLOOKUP(H1607,[2]character_type_i18n!$A:$F,3,FALSE)</f>
        <v>攻撃タイプ</v>
      </c>
      <c r="J1607" s="97">
        <f>VLOOKUP(H1607,[2]character_type_i18n!$A:$F,4,FALSE)</f>
        <v>1</v>
      </c>
      <c r="K1607" s="97">
        <f>VLOOKUP(H1607,[2]character_type_i18n!$A:$F,5,FALSE)</f>
        <v>1.33</v>
      </c>
      <c r="L1607" s="97">
        <f>VLOOKUP(H1607,[2]character_type_i18n!$A:$F,6,FALSE)</f>
        <v>1</v>
      </c>
      <c r="M1607" s="9" t="str">
        <f>VLOOKUP(A1607,[2]characters!$A:$M,13,FALSE)</f>
        <v>god</v>
      </c>
      <c r="N1607" s="6" t="str">
        <f>VLOOKUP(M1607,[2]character_tribe_i18n!$A:$F,3,FALSE)</f>
        <v>ゴッド</v>
      </c>
      <c r="O1607" s="97">
        <f>VLOOKUP(M1607,[2]character_tribe_i18n!$A:$F,4,FALSE)</f>
        <v>0.96</v>
      </c>
      <c r="P1607" s="97">
        <f>VLOOKUP(M1607,[2]character_tribe_i18n!$A:$F,5,FALSE)</f>
        <v>1.02</v>
      </c>
      <c r="Q1607" s="97">
        <f>VLOOKUP(M1607,[2]character_tribe_i18n!$A:$F,6,FALSE)</f>
        <v>1</v>
      </c>
      <c r="R1607" s="98" t="s">
        <v>98</v>
      </c>
      <c r="S1607" s="97">
        <f>VLOOKUP($R1607,ラベル別係数!$A$1:$E$7,3,FALSE)</f>
        <v>5</v>
      </c>
      <c r="T1607" s="97">
        <f>VLOOKUP($R1607,ラベル別係数!$A$1:$E$7,4,FALSE)</f>
        <v>1.3</v>
      </c>
      <c r="U1607" s="97">
        <f>VLOOKUP($R1607,ラベル別係数!$A$1:$E$7,5,FALSE)</f>
        <v>0.8</v>
      </c>
      <c r="V1607" s="98">
        <v>3</v>
      </c>
      <c r="W1607" s="99">
        <f>VLOOKUP(V1607,ターン数別攻撃係数!$A$1:$B$1000,2,FALSE)</f>
        <v>1</v>
      </c>
      <c r="X1607" s="9">
        <f>VLOOKUP(C1607,サイズ別係数!A$2:B$9,2,FALSE)</f>
        <v>60</v>
      </c>
      <c r="Y1607" s="97">
        <f>VLOOKUP($X1607,サイズ別係数!$B:$E,2,FALSE)</f>
        <v>1.7</v>
      </c>
      <c r="Z1607" s="97">
        <f>VLOOKUP($X1607,サイズ別係数!$B:$E,3,FALSE)</f>
        <v>1.4</v>
      </c>
      <c r="AA1607" s="97">
        <f>VLOOKUP($X1607,サイズ別係数!$B:$E,4,FALSE)</f>
        <v>1</v>
      </c>
      <c r="AB1607" s="10">
        <v>0</v>
      </c>
      <c r="AC1607" s="6" t="str">
        <f ca="1">VLOOKUP($AB1607,OFFSET([3]enemy_skill_sets!$B$2,0,0,COUNTA([3]enemy_skill_sets!$A:$A),MATCH(AC$1,[3]enemy_skill_sets!$1:$1,0)-MATCH($AB$1,[3]enemy_skill_sets!$1:$1,0)+1),MATCH(AC$1,[3]enemy_skill_sets!$1:$1,0)-MATCH($AB$1,[3]enemy_skill_sets!$1:$1,0)+1,FALSE)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7" s="67">
        <v>1</v>
      </c>
      <c r="AE1607" s="67">
        <v>1</v>
      </c>
      <c r="AF1607" s="68">
        <v>0</v>
      </c>
      <c r="AG1607" s="99">
        <f>ROUND(VLOOKUP(1,enemy_base_stats!$A:$F,2,FALSE) * Y1607* J1607*O1607*E1607*S1607*AD1607*[2]ステータス!$B$2,0)</f>
        <v>3998</v>
      </c>
      <c r="AH1607" s="99">
        <f>ROUND(VLOOKUP(1,enemy_base_stats!$A:$F,3,FALSE) * Z1607*K1607*P1607*F1607*T1607*AE1607 * W1607*[2]ステータス!$C$2,0)</f>
        <v>374</v>
      </c>
      <c r="AI1607" s="99">
        <f>ROUND(VLOOKUP(1,enemy_base_stats!$A:$F,4,FALSE) * AA1607*L1607*Q1607*G1607*U1607*AF1607*[2]ステータス!$D$2,0)</f>
        <v>0</v>
      </c>
      <c r="AJ1607" s="99">
        <f>ROUND(VLOOKUP(100,enemy_base_stats!$A:$F,2,FALSE) * Y1607* J1607*O1607*E1607*S1607*AD1607*[2]ステータス!$B$2,0)</f>
        <v>162335</v>
      </c>
      <c r="AK1607" s="99">
        <f>ROUND(VLOOKUP(100,enemy_base_stats!$A:$F,3,FALSE)* Z1607* K1607*P1607*F1607*T1607*AE1607 * W1607*[2]ステータス!$C$2,0)</f>
        <v>15187</v>
      </c>
      <c r="AL1607" s="99">
        <f>ROUND(VLOOKUP(100,enemy_base_stats!$A:$F,4,FALSE)* AA1607* L1607*Q1607*G1607*U1607*AF1607*[2]ステータス!$D$2,0)</f>
        <v>0</v>
      </c>
      <c r="AM1607" s="97">
        <f>VLOOKUP(M1607,[2]character_tribe_i18n!$A:$I,9,FALSE)</f>
        <v>680</v>
      </c>
      <c r="AN1607" s="97">
        <v>0</v>
      </c>
      <c r="AO1607" s="98">
        <v>0</v>
      </c>
      <c r="AP1607" s="58" t="s">
        <v>72</v>
      </c>
      <c r="AQ1607" s="34">
        <f t="shared" si="102"/>
        <v>8136</v>
      </c>
    </row>
    <row r="1608" spans="1:43" ht="21" customHeight="1" x14ac:dyDescent="0.15">
      <c r="A1608" s="105">
        <v>8137</v>
      </c>
      <c r="B1608" s="6" t="str">
        <f>VLOOKUP(A1608,[2]characters!$A:$C,3,FALSE)</f>
        <v>黑巫術之疚惡 ‧ 喀耳刻</v>
      </c>
      <c r="C1608" s="9">
        <f>VLOOKUP(A1608,[2]characters!$A:$I,9,FALSE)</f>
        <v>6</v>
      </c>
      <c r="D1608" s="9" t="str">
        <f>VLOOKUP(A1608,[2]characters!$A:$H,8,FALSE)</f>
        <v>green</v>
      </c>
      <c r="E1608" s="97">
        <f>VLOOKUP(D1608,[2]属性!$A:$E,2,FALSE)</f>
        <v>1.02</v>
      </c>
      <c r="F1608" s="97">
        <f>VLOOKUP(D1608,[2]属性!$A:$E,3,FALSE)</f>
        <v>0.98</v>
      </c>
      <c r="G1608" s="97">
        <f>VLOOKUP(D1608,[2]属性!$A:$F,4,FALSE)</f>
        <v>1</v>
      </c>
      <c r="H1608" s="9" t="str">
        <f>VLOOKUP(A1608,[2]characters!$A:$K,11,FALSE)</f>
        <v>balance</v>
      </c>
      <c r="I1608" s="6" t="str">
        <f>VLOOKUP(H1608,[2]character_type_i18n!$A:$F,3,FALSE)</f>
        <v>バランスタイプ</v>
      </c>
      <c r="J1608" s="97">
        <f>VLOOKUP(H1608,[2]character_type_i18n!$A:$F,4,FALSE)</f>
        <v>1</v>
      </c>
      <c r="K1608" s="97">
        <f>VLOOKUP(H1608,[2]character_type_i18n!$A:$F,5,FALSE)</f>
        <v>1</v>
      </c>
      <c r="L1608" s="97">
        <f>VLOOKUP(H1608,[2]character_type_i18n!$A:$F,6,FALSE)</f>
        <v>1</v>
      </c>
      <c r="M1608" s="9" t="str">
        <f>VLOOKUP(A1608,[2]characters!$A:$M,13,FALSE)</f>
        <v>human</v>
      </c>
      <c r="N1608" s="6" t="str">
        <f>VLOOKUP(M1608,[2]character_tribe_i18n!$A:$F,3,FALSE)</f>
        <v>ヒューマン</v>
      </c>
      <c r="O1608" s="97">
        <f>VLOOKUP(M1608,[2]character_tribe_i18n!$A:$F,4,FALSE)</f>
        <v>0.94</v>
      </c>
      <c r="P1608" s="97">
        <f>VLOOKUP(M1608,[2]character_tribe_i18n!$A:$F,5,FALSE)</f>
        <v>0.99</v>
      </c>
      <c r="Q1608" s="97">
        <f>VLOOKUP(M1608,[2]character_tribe_i18n!$A:$F,6,FALSE)</f>
        <v>1</v>
      </c>
      <c r="R1608" s="98" t="s">
        <v>98</v>
      </c>
      <c r="S1608" s="97">
        <f>VLOOKUP($R1608,ラベル別係数!$A$1:$E$7,3,FALSE)</f>
        <v>5</v>
      </c>
      <c r="T1608" s="97">
        <f>VLOOKUP($R1608,ラベル別係数!$A$1:$E$7,4,FALSE)</f>
        <v>1.3</v>
      </c>
      <c r="U1608" s="97">
        <f>VLOOKUP($R1608,ラベル別係数!$A$1:$E$7,5,FALSE)</f>
        <v>0.8</v>
      </c>
      <c r="V1608" s="98">
        <v>3</v>
      </c>
      <c r="W1608" s="99">
        <f>VLOOKUP(V1608,ターン数別攻撃係数!$A$1:$B$1000,2,FALSE)</f>
        <v>1</v>
      </c>
      <c r="X1608" s="9">
        <f>VLOOKUP(C1608,サイズ別係数!A$2:B$9,2,FALSE)</f>
        <v>60</v>
      </c>
      <c r="Y1608" s="97">
        <f>VLOOKUP($X1608,サイズ別係数!$B:$E,2,FALSE)</f>
        <v>1.7</v>
      </c>
      <c r="Z1608" s="97">
        <f>VLOOKUP($X1608,サイズ別係数!$B:$E,3,FALSE)</f>
        <v>1.4</v>
      </c>
      <c r="AA1608" s="97">
        <f>VLOOKUP($X1608,サイズ別係数!$B:$E,4,FALSE)</f>
        <v>1</v>
      </c>
      <c r="AB1608" s="10">
        <v>0</v>
      </c>
      <c r="AC1608" s="6" t="str">
        <f ca="1">VLOOKUP($AB1608,OFFSET([3]enemy_skill_sets!$B$2,0,0,COUNTA([3]enemy_skill_sets!$A:$A),MATCH(AC$1,[3]enemy_skill_sets!$1:$1,0)-MATCH($AB$1,[3]enemy_skill_sets!$1:$1,0)+1),MATCH(AC$1,[3]enemy_skill_sets!$1:$1,0)-MATCH($AB$1,[3]enemy_skill_sets!$1:$1,0)+1,FALSE)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8" s="67">
        <v>1</v>
      </c>
      <c r="AE1608" s="67">
        <v>1</v>
      </c>
      <c r="AF1608" s="68">
        <v>0</v>
      </c>
      <c r="AG1608" s="99">
        <f>ROUND(VLOOKUP(1,enemy_base_stats!$A:$F,2,FALSE) * Y1608* J1608*O1608*E1608*S1608*AD1608*[2]ステータス!$B$2,0)</f>
        <v>4075</v>
      </c>
      <c r="AH1608" s="99">
        <f>ROUND(VLOOKUP(1,enemy_base_stats!$A:$F,3,FALSE) * Z1608*K1608*P1608*F1608*T1608*AE1608 * W1608*[2]ステータス!$C$2,0)</f>
        <v>265</v>
      </c>
      <c r="AI1608" s="99">
        <f>ROUND(VLOOKUP(1,enemy_base_stats!$A:$F,4,FALSE) * AA1608*L1608*Q1608*G1608*U1608*AF1608*[2]ステータス!$D$2,0)</f>
        <v>0</v>
      </c>
      <c r="AJ1608" s="99">
        <f>ROUND(VLOOKUP(100,enemy_base_stats!$A:$F,2,FALSE) * Y1608* J1608*O1608*E1608*S1608*AD1608*[2]ステータス!$B$2,0)</f>
        <v>165441</v>
      </c>
      <c r="AK1608" s="99">
        <f>ROUND(VLOOKUP(100,enemy_base_stats!$A:$F,3,FALSE)* Z1608* K1608*P1608*F1608*T1608*AE1608 * W1608*[2]ステータス!$C$2,0)</f>
        <v>10754</v>
      </c>
      <c r="AL1608" s="99">
        <f>ROUND(VLOOKUP(100,enemy_base_stats!$A:$F,4,FALSE)* AA1608* L1608*Q1608*G1608*U1608*AF1608*[2]ステータス!$D$2,0)</f>
        <v>0</v>
      </c>
      <c r="AM1608" s="97">
        <f>VLOOKUP(M1608,[2]character_tribe_i18n!$A:$I,9,FALSE)</f>
        <v>400</v>
      </c>
      <c r="AN1608" s="97">
        <v>0</v>
      </c>
      <c r="AO1608" s="98">
        <v>0</v>
      </c>
      <c r="AP1608" s="58" t="s">
        <v>72</v>
      </c>
      <c r="AQ1608" s="34">
        <f t="shared" si="102"/>
        <v>8137</v>
      </c>
    </row>
    <row r="1609" spans="1:43" ht="21" customHeight="1" x14ac:dyDescent="0.15">
      <c r="A1609" s="105">
        <v>8138</v>
      </c>
      <c r="B1609" s="6" t="str">
        <f>VLOOKUP(A1609,[2]characters!$A:$C,3,FALSE)</f>
        <v>死靈魔導 ‧ 安多</v>
      </c>
      <c r="C1609" s="9">
        <f>VLOOKUP(A1609,[2]characters!$A:$I,9,FALSE)</f>
        <v>5</v>
      </c>
      <c r="D1609" s="9" t="str">
        <f>VLOOKUP(A1609,[2]characters!$A:$H,8,FALSE)</f>
        <v>red</v>
      </c>
      <c r="E1609" s="97">
        <f>VLOOKUP(D1609,[2]属性!$A:$E,2,FALSE)</f>
        <v>1</v>
      </c>
      <c r="F1609" s="97">
        <f>VLOOKUP(D1609,[2]属性!$A:$E,3,FALSE)</f>
        <v>1.02</v>
      </c>
      <c r="G1609" s="97">
        <f>VLOOKUP(D1609,[2]属性!$A:$F,4,FALSE)</f>
        <v>1</v>
      </c>
      <c r="H1609" s="9" t="str">
        <f>VLOOKUP(A1609,[2]characters!$A:$K,11,FALSE)</f>
        <v>attack</v>
      </c>
      <c r="I1609" s="6" t="str">
        <f>VLOOKUP(H1609,[2]character_type_i18n!$A:$F,3,FALSE)</f>
        <v>攻撃タイプ</v>
      </c>
      <c r="J1609" s="97">
        <f>VLOOKUP(H1609,[2]character_type_i18n!$A:$F,4,FALSE)</f>
        <v>1</v>
      </c>
      <c r="K1609" s="97">
        <f>VLOOKUP(H1609,[2]character_type_i18n!$A:$F,5,FALSE)</f>
        <v>1.33</v>
      </c>
      <c r="L1609" s="97">
        <f>VLOOKUP(H1609,[2]character_type_i18n!$A:$F,6,FALSE)</f>
        <v>1</v>
      </c>
      <c r="M1609" s="9" t="str">
        <f>VLOOKUP(A1609,[2]characters!$A:$M,13,FALSE)</f>
        <v>human</v>
      </c>
      <c r="N1609" s="6" t="str">
        <f>VLOOKUP(M1609,[2]character_tribe_i18n!$A:$F,3,FALSE)</f>
        <v>ヒューマン</v>
      </c>
      <c r="O1609" s="97">
        <f>VLOOKUP(M1609,[2]character_tribe_i18n!$A:$F,4,FALSE)</f>
        <v>0.94</v>
      </c>
      <c r="P1609" s="97">
        <f>VLOOKUP(M1609,[2]character_tribe_i18n!$A:$F,5,FALSE)</f>
        <v>0.99</v>
      </c>
      <c r="Q1609" s="97">
        <f>VLOOKUP(M1609,[2]character_tribe_i18n!$A:$F,6,FALSE)</f>
        <v>1</v>
      </c>
      <c r="R1609" s="98" t="s">
        <v>98</v>
      </c>
      <c r="S1609" s="97">
        <f>VLOOKUP($R1609,ラベル別係数!$A$1:$E$7,3,FALSE)</f>
        <v>5</v>
      </c>
      <c r="T1609" s="97">
        <f>VLOOKUP($R1609,ラベル別係数!$A$1:$E$7,4,FALSE)</f>
        <v>1.3</v>
      </c>
      <c r="U1609" s="97">
        <f>VLOOKUP($R1609,ラベル別係数!$A$1:$E$7,5,FALSE)</f>
        <v>0.8</v>
      </c>
      <c r="V1609" s="98">
        <v>3</v>
      </c>
      <c r="W1609" s="99">
        <f>VLOOKUP(V1609,ターン数別攻撃係数!$A$1:$B$1000,2,FALSE)</f>
        <v>1</v>
      </c>
      <c r="X1609" s="9">
        <f>VLOOKUP(C1609,サイズ別係数!A$2:B$9,2,FALSE)</f>
        <v>60</v>
      </c>
      <c r="Y1609" s="97">
        <f>VLOOKUP($X1609,サイズ別係数!$B:$E,2,FALSE)</f>
        <v>1.7</v>
      </c>
      <c r="Z1609" s="97">
        <f>VLOOKUP($X1609,サイズ別係数!$B:$E,3,FALSE)</f>
        <v>1.4</v>
      </c>
      <c r="AA1609" s="97">
        <f>VLOOKUP($X1609,サイズ別係数!$B:$E,4,FALSE)</f>
        <v>1</v>
      </c>
      <c r="AB1609" s="10">
        <v>0</v>
      </c>
      <c r="AC1609" s="6" t="str">
        <f ca="1">VLOOKUP($AB1609,OFFSET([3]enemy_skill_sets!$B$2,0,0,COUNTA([3]enemy_skill_sets!$A:$A),MATCH(AC$1,[3]enemy_skill_sets!$1:$1,0)-MATCH($AB$1,[3]enemy_skill_sets!$1:$1,0)+1),MATCH(AC$1,[3]enemy_skill_sets!$1:$1,0)-MATCH($AB$1,[3]enemy_skill_sets!$1:$1,0)+1,FALSE)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09" s="67">
        <v>1</v>
      </c>
      <c r="AE1609" s="67">
        <v>1</v>
      </c>
      <c r="AF1609" s="68">
        <v>0</v>
      </c>
      <c r="AG1609" s="99">
        <f>ROUND(VLOOKUP(1,enemy_base_stats!$A:$F,2,FALSE) * Y1609* J1609*O1609*E1609*S1609*AD1609*[2]ステータス!$B$2,0)</f>
        <v>3995</v>
      </c>
      <c r="AH1609" s="99">
        <f>ROUND(VLOOKUP(1,enemy_base_stats!$A:$F,3,FALSE) * Z1609*K1609*P1609*F1609*T1609*AE1609 * W1609*[2]ステータス!$C$2,0)</f>
        <v>367</v>
      </c>
      <c r="AI1609" s="99">
        <f>ROUND(VLOOKUP(1,enemy_base_stats!$A:$F,4,FALSE) * AA1609*L1609*Q1609*G1609*U1609*AF1609*[2]ステータス!$D$2,0)</f>
        <v>0</v>
      </c>
      <c r="AJ1609" s="99">
        <f>ROUND(VLOOKUP(100,enemy_base_stats!$A:$F,2,FALSE) * Y1609* J1609*O1609*E1609*S1609*AD1609*[2]ステータス!$B$2,0)</f>
        <v>162197</v>
      </c>
      <c r="AK1609" s="99">
        <f>ROUND(VLOOKUP(100,enemy_base_stats!$A:$F,3,FALSE)* Z1609* K1609*P1609*F1609*T1609*AE1609 * W1609*[2]ステータス!$C$2,0)</f>
        <v>14886</v>
      </c>
      <c r="AL1609" s="99">
        <f>ROUND(VLOOKUP(100,enemy_base_stats!$A:$F,4,FALSE)* AA1609* L1609*Q1609*G1609*U1609*AF1609*[2]ステータス!$D$2,0)</f>
        <v>0</v>
      </c>
      <c r="AM1609" s="97">
        <f>VLOOKUP(M1609,[2]character_tribe_i18n!$A:$I,9,FALSE)</f>
        <v>400</v>
      </c>
      <c r="AN1609" s="97">
        <v>0</v>
      </c>
      <c r="AO1609" s="98">
        <v>0</v>
      </c>
      <c r="AP1609" s="58" t="s">
        <v>72</v>
      </c>
      <c r="AQ1609" s="34">
        <f t="shared" ref="AQ1609" si="103">A1609</f>
        <v>8138</v>
      </c>
    </row>
    <row r="1610" spans="1:43" ht="21" customHeight="1" x14ac:dyDescent="0.15">
      <c r="A1610" s="105">
        <v>9001</v>
      </c>
      <c r="B1610" s="6" t="str">
        <f>VLOOKUP(A1610,[2]characters!$A:$C,3,FALSE)</f>
        <v>春香</v>
      </c>
      <c r="C1610" s="9">
        <f>VLOOKUP(A1610,[2]characters!$A:$I,9,FALSE)</f>
        <v>5</v>
      </c>
      <c r="D1610" s="9" t="str">
        <f>VLOOKUP(A1610,[2]characters!$A:$H,8,FALSE)</f>
        <v>red</v>
      </c>
      <c r="E1610" s="97">
        <f>VLOOKUP(D1610,[2]属性!$A:$E,2,FALSE)</f>
        <v>1</v>
      </c>
      <c r="F1610" s="97">
        <f>VLOOKUP(D1610,[2]属性!$A:$E,3,FALSE)</f>
        <v>1.02</v>
      </c>
      <c r="G1610" s="97">
        <f>VLOOKUP(D1610,[2]属性!$A:$F,4,FALSE)</f>
        <v>1</v>
      </c>
      <c r="H1610" s="9" t="str">
        <f>VLOOKUP(A1610,[2]characters!$A:$K,11,FALSE)</f>
        <v>attack</v>
      </c>
      <c r="I1610" s="6" t="str">
        <f>VLOOKUP(H1610,[2]character_type_i18n!$A:$F,3,FALSE)</f>
        <v>攻撃タイプ</v>
      </c>
      <c r="J1610" s="97">
        <f>VLOOKUP(H1610,[2]character_type_i18n!$A:$F,4,FALSE)</f>
        <v>1</v>
      </c>
      <c r="K1610" s="97">
        <f>VLOOKUP(H1610,[2]character_type_i18n!$A:$F,5,FALSE)</f>
        <v>1.33</v>
      </c>
      <c r="L1610" s="97">
        <f>VLOOKUP(H1610,[2]character_type_i18n!$A:$F,6,FALSE)</f>
        <v>1</v>
      </c>
      <c r="M1610" s="9" t="str">
        <f>VLOOKUP(A1610,[2]characters!$A:$M,13,FALSE)</f>
        <v>human</v>
      </c>
      <c r="N1610" s="6" t="str">
        <f>VLOOKUP(M1610,[2]character_tribe_i18n!$A:$F,3,FALSE)</f>
        <v>ヒューマン</v>
      </c>
      <c r="O1610" s="97">
        <f>VLOOKUP(M1610,[2]character_tribe_i18n!$A:$F,4,FALSE)</f>
        <v>0.94</v>
      </c>
      <c r="P1610" s="97">
        <f>VLOOKUP(M1610,[2]character_tribe_i18n!$A:$F,5,FALSE)</f>
        <v>0.99</v>
      </c>
      <c r="Q1610" s="97">
        <f>VLOOKUP(M1610,[2]character_tribe_i18n!$A:$F,6,FALSE)</f>
        <v>1</v>
      </c>
      <c r="R1610" s="98" t="s">
        <v>98</v>
      </c>
      <c r="S1610" s="97">
        <f>VLOOKUP($R1610,ラベル別係数!$A$1:$E$7,3,FALSE)</f>
        <v>5</v>
      </c>
      <c r="T1610" s="97">
        <f>VLOOKUP($R1610,ラベル別係数!$A$1:$E$7,4,FALSE)</f>
        <v>1.3</v>
      </c>
      <c r="U1610" s="97">
        <f>VLOOKUP($R1610,ラベル別係数!$A$1:$E$7,5,FALSE)</f>
        <v>0.8</v>
      </c>
      <c r="V1610" s="98">
        <v>3</v>
      </c>
      <c r="W1610" s="99">
        <f>VLOOKUP(V1610,ターン数別攻撃係数!$A$1:$B$1000,2,FALSE)</f>
        <v>1</v>
      </c>
      <c r="X1610" s="9">
        <f>VLOOKUP(C1610,サイズ別係数!A$2:B$9,2,FALSE)</f>
        <v>60</v>
      </c>
      <c r="Y1610" s="97">
        <f>VLOOKUP($X1610,サイズ別係数!$B:$E,2,FALSE)</f>
        <v>1.7</v>
      </c>
      <c r="Z1610" s="97">
        <f>VLOOKUP($X1610,サイズ別係数!$B:$E,3,FALSE)</f>
        <v>1.4</v>
      </c>
      <c r="AA1610" s="97">
        <f>VLOOKUP($X1610,サイズ別係数!$B:$E,4,FALSE)</f>
        <v>1</v>
      </c>
      <c r="AB1610" s="10">
        <v>0</v>
      </c>
      <c r="AC1610" s="6" t="str">
        <f ca="1">VLOOKUP($AB1610,OFFSET([3]enemy_skill_sets!$B$2,0,0,COUNTA([3]enemy_skill_sets!$A:$A),MATCH(AC$1,[3]enemy_skill_sets!$1:$1,0)-MATCH($AB$1,[3]enemy_skill_sets!$1:$1,0)+1),MATCH(AC$1,[3]enemy_skill_sets!$1:$1,0)-MATCH($AB$1,[3]enemy_skill_sets!$1:$1,0)+1,FALSE)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0" s="67">
        <v>1</v>
      </c>
      <c r="AE1610" s="67">
        <v>1</v>
      </c>
      <c r="AF1610" s="68">
        <v>0</v>
      </c>
      <c r="AG1610" s="99">
        <f>ROUND(VLOOKUP(1,enemy_base_stats!$A:$F,2,FALSE) * Y1610* J1610*O1610*E1610*S1610*AD1610*[2]ステータス!$B$2,0)</f>
        <v>3995</v>
      </c>
      <c r="AH1610" s="99">
        <f>ROUND(VLOOKUP(1,enemy_base_stats!$A:$F,3,FALSE) * Z1610*K1610*P1610*F1610*T1610*AE1610 * W1610*[2]ステータス!$C$2,0)</f>
        <v>367</v>
      </c>
      <c r="AI1610" s="99">
        <f>ROUND(VLOOKUP(1,enemy_base_stats!$A:$F,4,FALSE) * AA1610*L1610*Q1610*G1610*U1610*AF1610*[2]ステータス!$D$2,0)</f>
        <v>0</v>
      </c>
      <c r="AJ1610" s="99">
        <f>ROUND(VLOOKUP(100,enemy_base_stats!$A:$F,2,FALSE) * Y1610* J1610*O1610*E1610*S1610*AD1610*[2]ステータス!$B$2,0)</f>
        <v>162197</v>
      </c>
      <c r="AK1610" s="99">
        <f>ROUND(VLOOKUP(100,enemy_base_stats!$A:$F,3,FALSE)* Z1610* K1610*P1610*F1610*T1610*AE1610 * W1610*[2]ステータス!$C$2,0)</f>
        <v>14886</v>
      </c>
      <c r="AL1610" s="99">
        <f>ROUND(VLOOKUP(100,enemy_base_stats!$A:$F,4,FALSE)* AA1610* L1610*Q1610*G1610*U1610*AF1610*[2]ステータス!$D$2,0)</f>
        <v>0</v>
      </c>
      <c r="AM1610" s="97">
        <f>VLOOKUP(M1610,[2]character_tribe_i18n!$A:$I,9,FALSE)</f>
        <v>400</v>
      </c>
      <c r="AN1610" s="97">
        <v>0</v>
      </c>
      <c r="AO1610" s="98">
        <v>0</v>
      </c>
      <c r="AP1610" s="58" t="s">
        <v>72</v>
      </c>
      <c r="AQ1610" s="34">
        <f t="shared" si="98"/>
        <v>9001</v>
      </c>
    </row>
    <row r="1611" spans="1:43" ht="21" customHeight="1" x14ac:dyDescent="0.15">
      <c r="A1611" s="105">
        <v>9002</v>
      </c>
      <c r="B1611" s="6" t="str">
        <f>VLOOKUP(A1611,[2]characters!$A:$C,3,FALSE)</f>
        <v>春香★６</v>
      </c>
      <c r="C1611" s="9">
        <f>VLOOKUP(A1611,[2]characters!$A:$I,9,FALSE)</f>
        <v>6</v>
      </c>
      <c r="D1611" s="9" t="str">
        <f>VLOOKUP(A1611,[2]characters!$A:$H,8,FALSE)</f>
        <v>red</v>
      </c>
      <c r="E1611" s="97">
        <f>VLOOKUP(D1611,[2]属性!$A:$E,2,FALSE)</f>
        <v>1</v>
      </c>
      <c r="F1611" s="97">
        <f>VLOOKUP(D1611,[2]属性!$A:$E,3,FALSE)</f>
        <v>1.02</v>
      </c>
      <c r="G1611" s="97">
        <f>VLOOKUP(D1611,[2]属性!$A:$F,4,FALSE)</f>
        <v>1</v>
      </c>
      <c r="H1611" s="9" t="str">
        <f>VLOOKUP(A1611,[2]characters!$A:$K,11,FALSE)</f>
        <v>attack</v>
      </c>
      <c r="I1611" s="6" t="str">
        <f>VLOOKUP(H1611,[2]character_type_i18n!$A:$F,3,FALSE)</f>
        <v>攻撃タイプ</v>
      </c>
      <c r="J1611" s="97">
        <f>VLOOKUP(H1611,[2]character_type_i18n!$A:$F,4,FALSE)</f>
        <v>1</v>
      </c>
      <c r="K1611" s="97">
        <f>VLOOKUP(H1611,[2]character_type_i18n!$A:$F,5,FALSE)</f>
        <v>1.33</v>
      </c>
      <c r="L1611" s="97">
        <f>VLOOKUP(H1611,[2]character_type_i18n!$A:$F,6,FALSE)</f>
        <v>1</v>
      </c>
      <c r="M1611" s="9" t="str">
        <f>VLOOKUP(A1611,[2]characters!$A:$M,13,FALSE)</f>
        <v>human</v>
      </c>
      <c r="N1611" s="6" t="str">
        <f>VLOOKUP(M1611,[2]character_tribe_i18n!$A:$F,3,FALSE)</f>
        <v>ヒューマン</v>
      </c>
      <c r="O1611" s="97">
        <f>VLOOKUP(M1611,[2]character_tribe_i18n!$A:$F,4,FALSE)</f>
        <v>0.94</v>
      </c>
      <c r="P1611" s="97">
        <f>VLOOKUP(M1611,[2]character_tribe_i18n!$A:$F,5,FALSE)</f>
        <v>0.99</v>
      </c>
      <c r="Q1611" s="97">
        <f>VLOOKUP(M1611,[2]character_tribe_i18n!$A:$F,6,FALSE)</f>
        <v>1</v>
      </c>
      <c r="R1611" s="98" t="s">
        <v>98</v>
      </c>
      <c r="S1611" s="97">
        <f>VLOOKUP($R1611,ラベル別係数!$A$1:$E$7,3,FALSE)</f>
        <v>5</v>
      </c>
      <c r="T1611" s="97">
        <f>VLOOKUP($R1611,ラベル別係数!$A$1:$E$7,4,FALSE)</f>
        <v>1.3</v>
      </c>
      <c r="U1611" s="97">
        <f>VLOOKUP($R1611,ラベル別係数!$A$1:$E$7,5,FALSE)</f>
        <v>0.8</v>
      </c>
      <c r="V1611" s="98">
        <v>3</v>
      </c>
      <c r="W1611" s="99">
        <f>VLOOKUP(V1611,ターン数別攻撃係数!$A$1:$B$1000,2,FALSE)</f>
        <v>1</v>
      </c>
      <c r="X1611" s="9">
        <f>VLOOKUP(C1611,サイズ別係数!A$2:B$9,2,FALSE)</f>
        <v>60</v>
      </c>
      <c r="Y1611" s="97">
        <f>VLOOKUP($X1611,サイズ別係数!$B:$E,2,FALSE)</f>
        <v>1.7</v>
      </c>
      <c r="Z1611" s="97">
        <f>VLOOKUP($X1611,サイズ別係数!$B:$E,3,FALSE)</f>
        <v>1.4</v>
      </c>
      <c r="AA1611" s="97">
        <f>VLOOKUP($X1611,サイズ別係数!$B:$E,4,FALSE)</f>
        <v>1</v>
      </c>
      <c r="AB1611" s="10">
        <v>0</v>
      </c>
      <c r="AC1611" s="6" t="str">
        <f ca="1">VLOOKUP($AB1611,OFFSET([3]enemy_skill_sets!$B$2,0,0,COUNTA([3]enemy_skill_sets!$A:$A),MATCH(AC$1,[3]enemy_skill_sets!$1:$1,0)-MATCH($AB$1,[3]enemy_skill_sets!$1:$1,0)+1),MATCH(AC$1,[3]enemy_skill_sets!$1:$1,0)-MATCH($AB$1,[3]enemy_skill_sets!$1:$1,0)+1,FALSE)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1" s="67">
        <v>1</v>
      </c>
      <c r="AE1611" s="67">
        <v>1</v>
      </c>
      <c r="AF1611" s="68">
        <v>0</v>
      </c>
      <c r="AG1611" s="99">
        <f>ROUND(VLOOKUP(1,enemy_base_stats!$A:$F,2,FALSE) * Y1611* J1611*O1611*E1611*S1611*AD1611*[2]ステータス!$B$2,0)</f>
        <v>3995</v>
      </c>
      <c r="AH1611" s="99">
        <f>ROUND(VLOOKUP(1,enemy_base_stats!$A:$F,3,FALSE) * Z1611*K1611*P1611*F1611*T1611*AE1611 * W1611*[2]ステータス!$C$2,0)</f>
        <v>367</v>
      </c>
      <c r="AI1611" s="99">
        <f>ROUND(VLOOKUP(1,enemy_base_stats!$A:$F,4,FALSE) * AA1611*L1611*Q1611*G1611*U1611*AF1611*[2]ステータス!$D$2,0)</f>
        <v>0</v>
      </c>
      <c r="AJ1611" s="99">
        <f>ROUND(VLOOKUP(100,enemy_base_stats!$A:$F,2,FALSE) * Y1611* J1611*O1611*E1611*S1611*AD1611*[2]ステータス!$B$2,0)</f>
        <v>162197</v>
      </c>
      <c r="AK1611" s="99">
        <f>ROUND(VLOOKUP(100,enemy_base_stats!$A:$F,3,FALSE)* Z1611* K1611*P1611*F1611*T1611*AE1611 * W1611*[2]ステータス!$C$2,0)</f>
        <v>14886</v>
      </c>
      <c r="AL1611" s="99">
        <f>ROUND(VLOOKUP(100,enemy_base_stats!$A:$F,4,FALSE)* AA1611* L1611*Q1611*G1611*U1611*AF1611*[2]ステータス!$D$2,0)</f>
        <v>0</v>
      </c>
      <c r="AM1611" s="97">
        <f>VLOOKUP(M1611,[2]character_tribe_i18n!$A:$I,9,FALSE)</f>
        <v>400</v>
      </c>
      <c r="AN1611" s="97">
        <v>0</v>
      </c>
      <c r="AO1611" s="98">
        <v>0</v>
      </c>
      <c r="AP1611" s="58" t="s">
        <v>72</v>
      </c>
      <c r="AQ1611" s="34">
        <f t="shared" si="98"/>
        <v>9002</v>
      </c>
    </row>
    <row r="1612" spans="1:43" ht="21" customHeight="1" x14ac:dyDescent="0.15">
      <c r="A1612" s="105">
        <v>9003</v>
      </c>
      <c r="B1612" s="6" t="str">
        <f>VLOOKUP(A1612,[2]characters!$A:$C,3,FALSE)</f>
        <v>夢龍</v>
      </c>
      <c r="C1612" s="9">
        <f>VLOOKUP(A1612,[2]characters!$A:$I,9,FALSE)</f>
        <v>5</v>
      </c>
      <c r="D1612" s="9" t="str">
        <f>VLOOKUP(A1612,[2]characters!$A:$H,8,FALSE)</f>
        <v>green</v>
      </c>
      <c r="E1612" s="97">
        <f>VLOOKUP(D1612,[2]属性!$A:$E,2,FALSE)</f>
        <v>1.02</v>
      </c>
      <c r="F1612" s="97">
        <f>VLOOKUP(D1612,[2]属性!$A:$E,3,FALSE)</f>
        <v>0.98</v>
      </c>
      <c r="G1612" s="97">
        <f>VLOOKUP(D1612,[2]属性!$A:$F,4,FALSE)</f>
        <v>1</v>
      </c>
      <c r="H1612" s="9" t="str">
        <f>VLOOKUP(A1612,[2]characters!$A:$K,11,FALSE)</f>
        <v>heal</v>
      </c>
      <c r="I1612" s="6" t="str">
        <f>VLOOKUP(H1612,[2]character_type_i18n!$A:$F,3,FALSE)</f>
        <v>回復タイプ</v>
      </c>
      <c r="J1612" s="97">
        <f>VLOOKUP(H1612,[2]character_type_i18n!$A:$F,4,FALSE)</f>
        <v>0.8</v>
      </c>
      <c r="K1612" s="97">
        <f>VLOOKUP(H1612,[2]character_type_i18n!$A:$F,5,FALSE)</f>
        <v>0.78</v>
      </c>
      <c r="L1612" s="97">
        <f>VLOOKUP(H1612,[2]character_type_i18n!$A:$F,6,FALSE)</f>
        <v>1</v>
      </c>
      <c r="M1612" s="9" t="str">
        <f>VLOOKUP(A1612,[2]characters!$A:$M,13,FALSE)</f>
        <v>dragon</v>
      </c>
      <c r="N1612" s="6" t="str">
        <f>VLOOKUP(M1612,[2]character_tribe_i18n!$A:$F,3,FALSE)</f>
        <v>ドラゴン</v>
      </c>
      <c r="O1612" s="97">
        <f>VLOOKUP(M1612,[2]character_tribe_i18n!$A:$F,4,FALSE)</f>
        <v>1.1499999999999999</v>
      </c>
      <c r="P1612" s="97">
        <f>VLOOKUP(M1612,[2]character_tribe_i18n!$A:$F,5,FALSE)</f>
        <v>1.1000000000000001</v>
      </c>
      <c r="Q1612" s="97">
        <f>VLOOKUP(M1612,[2]character_tribe_i18n!$A:$F,6,FALSE)</f>
        <v>1</v>
      </c>
      <c r="R1612" s="98" t="s">
        <v>98</v>
      </c>
      <c r="S1612" s="97">
        <f>VLOOKUP($R1612,ラベル別係数!$A$1:$E$7,3,FALSE)</f>
        <v>5</v>
      </c>
      <c r="T1612" s="97">
        <f>VLOOKUP($R1612,ラベル別係数!$A$1:$E$7,4,FALSE)</f>
        <v>1.3</v>
      </c>
      <c r="U1612" s="97">
        <f>VLOOKUP($R1612,ラベル別係数!$A$1:$E$7,5,FALSE)</f>
        <v>0.8</v>
      </c>
      <c r="V1612" s="98">
        <v>3</v>
      </c>
      <c r="W1612" s="99">
        <f>VLOOKUP(V1612,ターン数別攻撃係数!$A$1:$B$1000,2,FALSE)</f>
        <v>1</v>
      </c>
      <c r="X1612" s="9">
        <f>VLOOKUP(C1612,サイズ別係数!A$2:B$9,2,FALSE)</f>
        <v>60</v>
      </c>
      <c r="Y1612" s="97">
        <f>VLOOKUP($X1612,サイズ別係数!$B:$E,2,FALSE)</f>
        <v>1.7</v>
      </c>
      <c r="Z1612" s="97">
        <f>VLOOKUP($X1612,サイズ別係数!$B:$E,3,FALSE)</f>
        <v>1.4</v>
      </c>
      <c r="AA1612" s="97">
        <f>VLOOKUP($X1612,サイズ別係数!$B:$E,4,FALSE)</f>
        <v>1</v>
      </c>
      <c r="AB1612" s="10">
        <v>0</v>
      </c>
      <c r="AC1612" s="6" t="str">
        <f ca="1">VLOOKUP($AB1612,OFFSET([3]enemy_skill_sets!$B$2,0,0,COUNTA([3]enemy_skill_sets!$A:$A),MATCH(AC$1,[3]enemy_skill_sets!$1:$1,0)-MATCH($AB$1,[3]enemy_skill_sets!$1:$1,0)+1),MATCH(AC$1,[3]enemy_skill_sets!$1:$1,0)-MATCH($AB$1,[3]enemy_skill_sets!$1:$1,0)+1,FALSE)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2" s="67">
        <v>1</v>
      </c>
      <c r="AE1612" s="67">
        <v>1</v>
      </c>
      <c r="AF1612" s="68">
        <v>0</v>
      </c>
      <c r="AG1612" s="99">
        <f>ROUND(VLOOKUP(1,enemy_base_stats!$A:$F,2,FALSE) * Y1612* J1612*O1612*E1612*S1612*AD1612*[2]ステータス!$B$2,0)</f>
        <v>3988</v>
      </c>
      <c r="AH1612" s="99">
        <f>ROUND(VLOOKUP(1,enemy_base_stats!$A:$F,3,FALSE) * Z1612*K1612*P1612*F1612*T1612*AE1612 * W1612*[2]ステータス!$C$2,0)</f>
        <v>230</v>
      </c>
      <c r="AI1612" s="99">
        <f>ROUND(VLOOKUP(1,enemy_base_stats!$A:$F,4,FALSE) * AA1612*L1612*Q1612*G1612*U1612*AF1612*[2]ステータス!$D$2,0)</f>
        <v>0</v>
      </c>
      <c r="AJ1612" s="99">
        <f>ROUND(VLOOKUP(100,enemy_base_stats!$A:$F,2,FALSE) * Y1612* J1612*O1612*E1612*S1612*AD1612*[2]ステータス!$B$2,0)</f>
        <v>161921</v>
      </c>
      <c r="AK1612" s="99">
        <f>ROUND(VLOOKUP(100,enemy_base_stats!$A:$F,3,FALSE)* Z1612* K1612*P1612*F1612*T1612*AE1612 * W1612*[2]ステータス!$C$2,0)</f>
        <v>9320</v>
      </c>
      <c r="AL1612" s="99">
        <f>ROUND(VLOOKUP(100,enemy_base_stats!$A:$F,4,FALSE)* AA1612* L1612*Q1612*G1612*U1612*AF1612*[2]ステータス!$D$2,0)</f>
        <v>0</v>
      </c>
      <c r="AM1612" s="97">
        <f>VLOOKUP(M1612,[2]character_tribe_i18n!$A:$I,9,FALSE)</f>
        <v>540</v>
      </c>
      <c r="AN1612" s="97">
        <v>0</v>
      </c>
      <c r="AO1612" s="98">
        <v>0</v>
      </c>
      <c r="AP1612" s="58" t="s">
        <v>72</v>
      </c>
      <c r="AQ1612" s="34">
        <f t="shared" si="98"/>
        <v>9003</v>
      </c>
    </row>
    <row r="1613" spans="1:43" ht="21" customHeight="1" x14ac:dyDescent="0.15">
      <c r="A1613" s="105">
        <v>9004</v>
      </c>
      <c r="B1613" s="6" t="str">
        <f>VLOOKUP(A1613,[2]characters!$A:$C,3,FALSE)</f>
        <v>夢龍★６</v>
      </c>
      <c r="C1613" s="9">
        <f>VLOOKUP(A1613,[2]characters!$A:$I,9,FALSE)</f>
        <v>6</v>
      </c>
      <c r="D1613" s="9" t="str">
        <f>VLOOKUP(A1613,[2]characters!$A:$H,8,FALSE)</f>
        <v>green</v>
      </c>
      <c r="E1613" s="97">
        <f>VLOOKUP(D1613,[2]属性!$A:$E,2,FALSE)</f>
        <v>1.02</v>
      </c>
      <c r="F1613" s="97">
        <f>VLOOKUP(D1613,[2]属性!$A:$E,3,FALSE)</f>
        <v>0.98</v>
      </c>
      <c r="G1613" s="97">
        <f>VLOOKUP(D1613,[2]属性!$A:$F,4,FALSE)</f>
        <v>1</v>
      </c>
      <c r="H1613" s="9" t="str">
        <f>VLOOKUP(A1613,[2]characters!$A:$K,11,FALSE)</f>
        <v>heal</v>
      </c>
      <c r="I1613" s="6" t="str">
        <f>VLOOKUP(H1613,[2]character_type_i18n!$A:$F,3,FALSE)</f>
        <v>回復タイプ</v>
      </c>
      <c r="J1613" s="97">
        <f>VLOOKUP(H1613,[2]character_type_i18n!$A:$F,4,FALSE)</f>
        <v>0.8</v>
      </c>
      <c r="K1613" s="97">
        <f>VLOOKUP(H1613,[2]character_type_i18n!$A:$F,5,FALSE)</f>
        <v>0.78</v>
      </c>
      <c r="L1613" s="97">
        <f>VLOOKUP(H1613,[2]character_type_i18n!$A:$F,6,FALSE)</f>
        <v>1</v>
      </c>
      <c r="M1613" s="9" t="str">
        <f>VLOOKUP(A1613,[2]characters!$A:$M,13,FALSE)</f>
        <v>dragon</v>
      </c>
      <c r="N1613" s="6" t="str">
        <f>VLOOKUP(M1613,[2]character_tribe_i18n!$A:$F,3,FALSE)</f>
        <v>ドラゴン</v>
      </c>
      <c r="O1613" s="97">
        <f>VLOOKUP(M1613,[2]character_tribe_i18n!$A:$F,4,FALSE)</f>
        <v>1.1499999999999999</v>
      </c>
      <c r="P1613" s="97">
        <f>VLOOKUP(M1613,[2]character_tribe_i18n!$A:$F,5,FALSE)</f>
        <v>1.1000000000000001</v>
      </c>
      <c r="Q1613" s="97">
        <f>VLOOKUP(M1613,[2]character_tribe_i18n!$A:$F,6,FALSE)</f>
        <v>1</v>
      </c>
      <c r="R1613" s="98" t="s">
        <v>98</v>
      </c>
      <c r="S1613" s="97">
        <f>VLOOKUP($R1613,ラベル別係数!$A$1:$E$7,3,FALSE)</f>
        <v>5</v>
      </c>
      <c r="T1613" s="97">
        <f>VLOOKUP($R1613,ラベル別係数!$A$1:$E$7,4,FALSE)</f>
        <v>1.3</v>
      </c>
      <c r="U1613" s="97">
        <f>VLOOKUP($R1613,ラベル別係数!$A$1:$E$7,5,FALSE)</f>
        <v>0.8</v>
      </c>
      <c r="V1613" s="98">
        <v>3</v>
      </c>
      <c r="W1613" s="99">
        <f>VLOOKUP(V1613,ターン数別攻撃係数!$A$1:$B$1000,2,FALSE)</f>
        <v>1</v>
      </c>
      <c r="X1613" s="9">
        <f>VLOOKUP(C1613,サイズ別係数!A$2:B$9,2,FALSE)</f>
        <v>60</v>
      </c>
      <c r="Y1613" s="97">
        <f>VLOOKUP($X1613,サイズ別係数!$B:$E,2,FALSE)</f>
        <v>1.7</v>
      </c>
      <c r="Z1613" s="97">
        <f>VLOOKUP($X1613,サイズ別係数!$B:$E,3,FALSE)</f>
        <v>1.4</v>
      </c>
      <c r="AA1613" s="97">
        <f>VLOOKUP($X1613,サイズ別係数!$B:$E,4,FALSE)</f>
        <v>1</v>
      </c>
      <c r="AB1613" s="10">
        <v>0</v>
      </c>
      <c r="AC1613" s="6" t="str">
        <f ca="1">VLOOKUP($AB1613,OFFSET([3]enemy_skill_sets!$B$2,0,0,COUNTA([3]enemy_skill_sets!$A:$A),MATCH(AC$1,[3]enemy_skill_sets!$1:$1,0)-MATCH($AB$1,[3]enemy_skill_sets!$1:$1,0)+1),MATCH(AC$1,[3]enemy_skill_sets!$1:$1,0)-MATCH($AB$1,[3]enemy_skill_sets!$1:$1,0)+1,FALSE)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3" s="67">
        <v>1</v>
      </c>
      <c r="AE1613" s="67">
        <v>1</v>
      </c>
      <c r="AF1613" s="68">
        <v>0</v>
      </c>
      <c r="AG1613" s="99">
        <f>ROUND(VLOOKUP(1,enemy_base_stats!$A:$F,2,FALSE) * Y1613* J1613*O1613*E1613*S1613*AD1613*[2]ステータス!$B$2,0)</f>
        <v>3988</v>
      </c>
      <c r="AH1613" s="99">
        <f>ROUND(VLOOKUP(1,enemy_base_stats!$A:$F,3,FALSE) * Z1613*K1613*P1613*F1613*T1613*AE1613 * W1613*[2]ステータス!$C$2,0)</f>
        <v>230</v>
      </c>
      <c r="AI1613" s="99">
        <f>ROUND(VLOOKUP(1,enemy_base_stats!$A:$F,4,FALSE) * AA1613*L1613*Q1613*G1613*U1613*AF1613*[2]ステータス!$D$2,0)</f>
        <v>0</v>
      </c>
      <c r="AJ1613" s="99">
        <f>ROUND(VLOOKUP(100,enemy_base_stats!$A:$F,2,FALSE) * Y1613* J1613*O1613*E1613*S1613*AD1613*[2]ステータス!$B$2,0)</f>
        <v>161921</v>
      </c>
      <c r="AK1613" s="99">
        <f>ROUND(VLOOKUP(100,enemy_base_stats!$A:$F,3,FALSE)* Z1613* K1613*P1613*F1613*T1613*AE1613 * W1613*[2]ステータス!$C$2,0)</f>
        <v>9320</v>
      </c>
      <c r="AL1613" s="99">
        <f>ROUND(VLOOKUP(100,enemy_base_stats!$A:$F,4,FALSE)* AA1613* L1613*Q1613*G1613*U1613*AF1613*[2]ステータス!$D$2,0)</f>
        <v>0</v>
      </c>
      <c r="AM1613" s="97">
        <f>VLOOKUP(M1613,[2]character_tribe_i18n!$A:$I,9,FALSE)</f>
        <v>540</v>
      </c>
      <c r="AN1613" s="97">
        <v>0</v>
      </c>
      <c r="AO1613" s="98">
        <v>0</v>
      </c>
      <c r="AP1613" s="58" t="s">
        <v>72</v>
      </c>
      <c r="AQ1613" s="34">
        <f t="shared" si="98"/>
        <v>9004</v>
      </c>
    </row>
    <row r="1614" spans="1:43" ht="21" customHeight="1" x14ac:dyDescent="0.15">
      <c r="A1614" s="105">
        <v>9005</v>
      </c>
      <c r="B1614" s="6" t="str">
        <f>VLOOKUP(A1614,[2]characters!$A:$C,3,FALSE)</f>
        <v>降臨</v>
      </c>
      <c r="C1614" s="9">
        <f>VLOOKUP(A1614,[2]characters!$A:$I,9,FALSE)</f>
        <v>5</v>
      </c>
      <c r="D1614" s="9" t="str">
        <f>VLOOKUP(A1614,[2]characters!$A:$H,8,FALSE)</f>
        <v>blue</v>
      </c>
      <c r="E1614" s="97">
        <f>VLOOKUP(D1614,[2]属性!$A:$E,2,FALSE)</f>
        <v>1</v>
      </c>
      <c r="F1614" s="97">
        <f>VLOOKUP(D1614,[2]属性!$A:$E,3,FALSE)</f>
        <v>0.98</v>
      </c>
      <c r="G1614" s="97">
        <f>VLOOKUP(D1614,[2]属性!$A:$F,4,FALSE)</f>
        <v>1</v>
      </c>
      <c r="H1614" s="9" t="str">
        <f>VLOOKUP(A1614,[2]characters!$A:$K,11,FALSE)</f>
        <v>hp</v>
      </c>
      <c r="I1614" s="6" t="str">
        <f>VLOOKUP(H1614,[2]character_type_i18n!$A:$F,3,FALSE)</f>
        <v>体力タイプ</v>
      </c>
      <c r="J1614" s="97">
        <f>VLOOKUP(H1614,[2]character_type_i18n!$A:$F,4,FALSE)</f>
        <v>1.45</v>
      </c>
      <c r="K1614" s="97">
        <f>VLOOKUP(H1614,[2]character_type_i18n!$A:$F,5,FALSE)</f>
        <v>0.85</v>
      </c>
      <c r="L1614" s="97">
        <f>VLOOKUP(H1614,[2]character_type_i18n!$A:$F,6,FALSE)</f>
        <v>1</v>
      </c>
      <c r="M1614" s="9" t="str">
        <f>VLOOKUP(A1614,[2]characters!$A:$M,13,FALSE)</f>
        <v>demon</v>
      </c>
      <c r="N1614" s="6" t="str">
        <f>VLOOKUP(M1614,[2]character_tribe_i18n!$A:$F,3,FALSE)</f>
        <v>デーモン</v>
      </c>
      <c r="O1614" s="97">
        <f>VLOOKUP(M1614,[2]character_tribe_i18n!$A:$F,4,FALSE)</f>
        <v>1</v>
      </c>
      <c r="P1614" s="97">
        <f>VLOOKUP(M1614,[2]character_tribe_i18n!$A:$F,5,FALSE)</f>
        <v>1</v>
      </c>
      <c r="Q1614" s="97">
        <f>VLOOKUP(M1614,[2]character_tribe_i18n!$A:$F,6,FALSE)</f>
        <v>1</v>
      </c>
      <c r="R1614" s="98" t="s">
        <v>98</v>
      </c>
      <c r="S1614" s="97">
        <f>VLOOKUP($R1614,ラベル別係数!$A$1:$E$7,3,FALSE)</f>
        <v>5</v>
      </c>
      <c r="T1614" s="97">
        <f>VLOOKUP($R1614,ラベル別係数!$A$1:$E$7,4,FALSE)</f>
        <v>1.3</v>
      </c>
      <c r="U1614" s="97">
        <f>VLOOKUP($R1614,ラベル別係数!$A$1:$E$7,5,FALSE)</f>
        <v>0.8</v>
      </c>
      <c r="V1614" s="98">
        <v>3</v>
      </c>
      <c r="W1614" s="99">
        <f>VLOOKUP(V1614,ターン数別攻撃係数!$A$1:$B$1000,2,FALSE)</f>
        <v>1</v>
      </c>
      <c r="X1614" s="9">
        <f>VLOOKUP(C1614,サイズ別係数!A$2:B$9,2,FALSE)</f>
        <v>60</v>
      </c>
      <c r="Y1614" s="97">
        <f>VLOOKUP($X1614,サイズ別係数!$B:$E,2,FALSE)</f>
        <v>1.7</v>
      </c>
      <c r="Z1614" s="97">
        <f>VLOOKUP($X1614,サイズ別係数!$B:$E,3,FALSE)</f>
        <v>1.4</v>
      </c>
      <c r="AA1614" s="97">
        <f>VLOOKUP($X1614,サイズ別係数!$B:$E,4,FALSE)</f>
        <v>1</v>
      </c>
      <c r="AB1614" s="10">
        <v>0</v>
      </c>
      <c r="AC1614" s="6" t="str">
        <f ca="1">VLOOKUP($AB1614,OFFSET([3]enemy_skill_sets!$B$2,0,0,COUNTA([3]enemy_skill_sets!$A:$A),MATCH(AC$1,[3]enemy_skill_sets!$1:$1,0)-MATCH($AB$1,[3]enemy_skill_sets!$1:$1,0)+1),MATCH(AC$1,[3]enemy_skill_sets!$1:$1,0)-MATCH($AB$1,[3]enemy_skill_sets!$1:$1,0)+1,FALSE)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4" s="67">
        <v>1</v>
      </c>
      <c r="AE1614" s="67">
        <v>1</v>
      </c>
      <c r="AF1614" s="68">
        <v>0</v>
      </c>
      <c r="AG1614" s="99">
        <f>ROUND(VLOOKUP(1,enemy_base_stats!$A:$F,2,FALSE) * Y1614* J1614*O1614*E1614*S1614*AD1614*[2]ステータス!$B$2,0)</f>
        <v>6163</v>
      </c>
      <c r="AH1614" s="99">
        <f>ROUND(VLOOKUP(1,enemy_base_stats!$A:$F,3,FALSE) * Z1614*K1614*P1614*F1614*T1614*AE1614 * W1614*[2]ステータス!$C$2,0)</f>
        <v>227</v>
      </c>
      <c r="AI1614" s="99">
        <f>ROUND(VLOOKUP(1,enemy_base_stats!$A:$F,4,FALSE) * AA1614*L1614*Q1614*G1614*U1614*AF1614*[2]ステータス!$D$2,0)</f>
        <v>0</v>
      </c>
      <c r="AJ1614" s="99">
        <f>ROUND(VLOOKUP(100,enemy_base_stats!$A:$F,2,FALSE) * Y1614* J1614*O1614*E1614*S1614*AD1614*[2]ステータス!$B$2,0)</f>
        <v>250198</v>
      </c>
      <c r="AK1614" s="99">
        <f>ROUND(VLOOKUP(100,enemy_base_stats!$A:$F,3,FALSE)* Z1614* K1614*P1614*F1614*T1614*AE1614 * W1614*[2]ステータス!$C$2,0)</f>
        <v>9233</v>
      </c>
      <c r="AL1614" s="99">
        <f>ROUND(VLOOKUP(100,enemy_base_stats!$A:$F,4,FALSE)* AA1614* L1614*Q1614*G1614*U1614*AF1614*[2]ステータス!$D$2,0)</f>
        <v>0</v>
      </c>
      <c r="AM1614" s="97">
        <f>VLOOKUP(M1614,[2]character_tribe_i18n!$A:$I,9,FALSE)</f>
        <v>400</v>
      </c>
      <c r="AN1614" s="97">
        <v>0</v>
      </c>
      <c r="AO1614" s="98">
        <v>0</v>
      </c>
      <c r="AP1614" s="58" t="s">
        <v>72</v>
      </c>
      <c r="AQ1614" s="34">
        <f t="shared" ref="AQ1614:AQ1617" si="104">A1614</f>
        <v>9005</v>
      </c>
    </row>
    <row r="1615" spans="1:43" ht="21" customHeight="1" x14ac:dyDescent="0.15">
      <c r="A1615" s="105">
        <v>9006</v>
      </c>
      <c r="B1615" s="6" t="str">
        <f>VLOOKUP(A1615,[2]characters!$A:$C,3,FALSE)</f>
        <v>降臨★６</v>
      </c>
      <c r="C1615" s="9">
        <f>VLOOKUP(A1615,[2]characters!$A:$I,9,FALSE)</f>
        <v>6</v>
      </c>
      <c r="D1615" s="9" t="str">
        <f>VLOOKUP(A1615,[2]characters!$A:$H,8,FALSE)</f>
        <v>blue</v>
      </c>
      <c r="E1615" s="97">
        <f>VLOOKUP(D1615,[2]属性!$A:$E,2,FALSE)</f>
        <v>1</v>
      </c>
      <c r="F1615" s="97">
        <f>VLOOKUP(D1615,[2]属性!$A:$E,3,FALSE)</f>
        <v>0.98</v>
      </c>
      <c r="G1615" s="97">
        <f>VLOOKUP(D1615,[2]属性!$A:$F,4,FALSE)</f>
        <v>1</v>
      </c>
      <c r="H1615" s="9" t="str">
        <f>VLOOKUP(A1615,[2]characters!$A:$K,11,FALSE)</f>
        <v>hp</v>
      </c>
      <c r="I1615" s="6" t="str">
        <f>VLOOKUP(H1615,[2]character_type_i18n!$A:$F,3,FALSE)</f>
        <v>体力タイプ</v>
      </c>
      <c r="J1615" s="97">
        <f>VLOOKUP(H1615,[2]character_type_i18n!$A:$F,4,FALSE)</f>
        <v>1.45</v>
      </c>
      <c r="K1615" s="97">
        <f>VLOOKUP(H1615,[2]character_type_i18n!$A:$F,5,FALSE)</f>
        <v>0.85</v>
      </c>
      <c r="L1615" s="97">
        <f>VLOOKUP(H1615,[2]character_type_i18n!$A:$F,6,FALSE)</f>
        <v>1</v>
      </c>
      <c r="M1615" s="9" t="str">
        <f>VLOOKUP(A1615,[2]characters!$A:$M,13,FALSE)</f>
        <v>demon</v>
      </c>
      <c r="N1615" s="6" t="str">
        <f>VLOOKUP(M1615,[2]character_tribe_i18n!$A:$F,3,FALSE)</f>
        <v>デーモン</v>
      </c>
      <c r="O1615" s="97">
        <f>VLOOKUP(M1615,[2]character_tribe_i18n!$A:$F,4,FALSE)</f>
        <v>1</v>
      </c>
      <c r="P1615" s="97">
        <f>VLOOKUP(M1615,[2]character_tribe_i18n!$A:$F,5,FALSE)</f>
        <v>1</v>
      </c>
      <c r="Q1615" s="97">
        <f>VLOOKUP(M1615,[2]character_tribe_i18n!$A:$F,6,FALSE)</f>
        <v>1</v>
      </c>
      <c r="R1615" s="98" t="s">
        <v>98</v>
      </c>
      <c r="S1615" s="97">
        <f>VLOOKUP($R1615,ラベル別係数!$A$1:$E$7,3,FALSE)</f>
        <v>5</v>
      </c>
      <c r="T1615" s="97">
        <f>VLOOKUP($R1615,ラベル別係数!$A$1:$E$7,4,FALSE)</f>
        <v>1.3</v>
      </c>
      <c r="U1615" s="97">
        <f>VLOOKUP($R1615,ラベル別係数!$A$1:$E$7,5,FALSE)</f>
        <v>0.8</v>
      </c>
      <c r="V1615" s="98">
        <v>3</v>
      </c>
      <c r="W1615" s="99">
        <f>VLOOKUP(V1615,ターン数別攻撃係数!$A$1:$B$1000,2,FALSE)</f>
        <v>1</v>
      </c>
      <c r="X1615" s="9">
        <f>VLOOKUP(C1615,サイズ別係数!A$2:B$9,2,FALSE)</f>
        <v>60</v>
      </c>
      <c r="Y1615" s="97">
        <f>VLOOKUP($X1615,サイズ別係数!$B:$E,2,FALSE)</f>
        <v>1.7</v>
      </c>
      <c r="Z1615" s="97">
        <f>VLOOKUP($X1615,サイズ別係数!$B:$E,3,FALSE)</f>
        <v>1.4</v>
      </c>
      <c r="AA1615" s="97">
        <f>VLOOKUP($X1615,サイズ別係数!$B:$E,4,FALSE)</f>
        <v>1</v>
      </c>
      <c r="AB1615" s="10">
        <v>0</v>
      </c>
      <c r="AC1615" s="6" t="str">
        <f ca="1">VLOOKUP($AB1615,OFFSET([3]enemy_skill_sets!$B$2,0,0,COUNTA([3]enemy_skill_sets!$A:$A),MATCH(AC$1,[3]enemy_skill_sets!$1:$1,0)-MATCH($AB$1,[3]enemy_skill_sets!$1:$1,0)+1),MATCH(AC$1,[3]enemy_skill_sets!$1:$1,0)-MATCH($AB$1,[3]enemy_skill_sets!$1:$1,0)+1,FALSE)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5" s="67">
        <v>1</v>
      </c>
      <c r="AE1615" s="67">
        <v>1</v>
      </c>
      <c r="AF1615" s="68">
        <v>0</v>
      </c>
      <c r="AG1615" s="99">
        <f>ROUND(VLOOKUP(1,enemy_base_stats!$A:$F,2,FALSE) * Y1615* J1615*O1615*E1615*S1615*AD1615*[2]ステータス!$B$2,0)</f>
        <v>6163</v>
      </c>
      <c r="AH1615" s="99">
        <f>ROUND(VLOOKUP(1,enemy_base_stats!$A:$F,3,FALSE) * Z1615*K1615*P1615*F1615*T1615*AE1615 * W1615*[2]ステータス!$C$2,0)</f>
        <v>227</v>
      </c>
      <c r="AI1615" s="99">
        <f>ROUND(VLOOKUP(1,enemy_base_stats!$A:$F,4,FALSE) * AA1615*L1615*Q1615*G1615*U1615*AF1615*[2]ステータス!$D$2,0)</f>
        <v>0</v>
      </c>
      <c r="AJ1615" s="99">
        <f>ROUND(VLOOKUP(100,enemy_base_stats!$A:$F,2,FALSE) * Y1615* J1615*O1615*E1615*S1615*AD1615*[2]ステータス!$B$2,0)</f>
        <v>250198</v>
      </c>
      <c r="AK1615" s="99">
        <f>ROUND(VLOOKUP(100,enemy_base_stats!$A:$F,3,FALSE)* Z1615* K1615*P1615*F1615*T1615*AE1615 * W1615*[2]ステータス!$C$2,0)</f>
        <v>9233</v>
      </c>
      <c r="AL1615" s="99">
        <f>ROUND(VLOOKUP(100,enemy_base_stats!$A:$F,4,FALSE)* AA1615* L1615*Q1615*G1615*U1615*AF1615*[2]ステータス!$D$2,0)</f>
        <v>0</v>
      </c>
      <c r="AM1615" s="97">
        <f>VLOOKUP(M1615,[2]character_tribe_i18n!$A:$I,9,FALSE)</f>
        <v>400</v>
      </c>
      <c r="AN1615" s="97">
        <v>0</v>
      </c>
      <c r="AO1615" s="98">
        <v>0</v>
      </c>
      <c r="AP1615" s="58" t="s">
        <v>72</v>
      </c>
      <c r="AQ1615" s="34">
        <f t="shared" si="104"/>
        <v>9006</v>
      </c>
    </row>
    <row r="1616" spans="1:43" ht="21" customHeight="1" x14ac:dyDescent="0.15">
      <c r="A1616" s="105">
        <v>9007</v>
      </c>
      <c r="B1616" s="6" t="str">
        <f>VLOOKUP(A1616,[2]characters!$A:$C,3,FALSE)</f>
        <v>田禹治</v>
      </c>
      <c r="C1616" s="9">
        <f>VLOOKUP(A1616,[2]characters!$A:$I,9,FALSE)</f>
        <v>5</v>
      </c>
      <c r="D1616" s="9" t="str">
        <f>VLOOKUP(A1616,[2]characters!$A:$H,8,FALSE)</f>
        <v>red</v>
      </c>
      <c r="E1616" s="97">
        <f>VLOOKUP(D1616,[2]属性!$A:$E,2,FALSE)</f>
        <v>1</v>
      </c>
      <c r="F1616" s="97">
        <f>VLOOKUP(D1616,[2]属性!$A:$E,3,FALSE)</f>
        <v>1.02</v>
      </c>
      <c r="G1616" s="97">
        <f>VLOOKUP(D1616,[2]属性!$A:$F,4,FALSE)</f>
        <v>1</v>
      </c>
      <c r="H1616" s="9" t="str">
        <f>VLOOKUP(A1616,[2]characters!$A:$K,11,FALSE)</f>
        <v>technical</v>
      </c>
      <c r="I1616" s="6" t="str">
        <f>VLOOKUP(H1616,[2]character_type_i18n!$A:$F,3,FALSE)</f>
        <v>テクニカルタイプ</v>
      </c>
      <c r="J1616" s="97">
        <f>VLOOKUP(H1616,[2]character_type_i18n!$A:$F,4,FALSE)</f>
        <v>0.9</v>
      </c>
      <c r="K1616" s="97">
        <f>VLOOKUP(H1616,[2]character_type_i18n!$A:$F,5,FALSE)</f>
        <v>0.9</v>
      </c>
      <c r="L1616" s="97">
        <f>VLOOKUP(H1616,[2]character_type_i18n!$A:$F,6,FALSE)</f>
        <v>1</v>
      </c>
      <c r="M1616" s="9" t="str">
        <f>VLOOKUP(A1616,[2]characters!$A:$M,13,FALSE)</f>
        <v>hero</v>
      </c>
      <c r="N1616" s="6" t="str">
        <f>VLOOKUP(M1616,[2]character_tribe_i18n!$A:$F,3,FALSE)</f>
        <v>ヒーロー</v>
      </c>
      <c r="O1616" s="97">
        <f>VLOOKUP(M1616,[2]character_tribe_i18n!$A:$F,4,FALSE)</f>
        <v>1</v>
      </c>
      <c r="P1616" s="97">
        <f>VLOOKUP(M1616,[2]character_tribe_i18n!$A:$F,5,FALSE)</f>
        <v>1</v>
      </c>
      <c r="Q1616" s="97">
        <f>VLOOKUP(M1616,[2]character_tribe_i18n!$A:$F,6,FALSE)</f>
        <v>1</v>
      </c>
      <c r="R1616" s="98" t="s">
        <v>98</v>
      </c>
      <c r="S1616" s="97">
        <f>VLOOKUP($R1616,ラベル別係数!$A$1:$E$7,3,FALSE)</f>
        <v>5</v>
      </c>
      <c r="T1616" s="97">
        <f>VLOOKUP($R1616,ラベル別係数!$A$1:$E$7,4,FALSE)</f>
        <v>1.3</v>
      </c>
      <c r="U1616" s="97">
        <f>VLOOKUP($R1616,ラベル別係数!$A$1:$E$7,5,FALSE)</f>
        <v>0.8</v>
      </c>
      <c r="V1616" s="98">
        <v>3</v>
      </c>
      <c r="W1616" s="99">
        <f>VLOOKUP(V1616,ターン数別攻撃係数!$A$1:$B$1000,2,FALSE)</f>
        <v>1</v>
      </c>
      <c r="X1616" s="9">
        <f>VLOOKUP(C1616,サイズ別係数!A$2:B$9,2,FALSE)</f>
        <v>60</v>
      </c>
      <c r="Y1616" s="97">
        <f>VLOOKUP($X1616,サイズ別係数!$B:$E,2,FALSE)</f>
        <v>1.7</v>
      </c>
      <c r="Z1616" s="97">
        <f>VLOOKUP($X1616,サイズ別係数!$B:$E,3,FALSE)</f>
        <v>1.4</v>
      </c>
      <c r="AA1616" s="97">
        <f>VLOOKUP($X1616,サイズ別係数!$B:$E,4,FALSE)</f>
        <v>1</v>
      </c>
      <c r="AB1616" s="10">
        <v>0</v>
      </c>
      <c r="AC1616" s="6" t="str">
        <f ca="1">VLOOKUP($AB1616,OFFSET([3]enemy_skill_sets!$B$2,0,0,COUNTA([3]enemy_skill_sets!$A:$A),MATCH(AC$1,[3]enemy_skill_sets!$1:$1,0)-MATCH($AB$1,[3]enemy_skill_sets!$1:$1,0)+1),MATCH(AC$1,[3]enemy_skill_sets!$1:$1,0)-MATCH($AB$1,[3]enemy_skill_sets!$1:$1,0)+1,FALSE)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6" s="67">
        <v>1</v>
      </c>
      <c r="AE1616" s="67">
        <v>1</v>
      </c>
      <c r="AF1616" s="68">
        <v>0</v>
      </c>
      <c r="AG1616" s="99">
        <f>ROUND(VLOOKUP(1,enemy_base_stats!$A:$F,2,FALSE) * Y1616* J1616*O1616*E1616*S1616*AD1616*[2]ステータス!$B$2,0)</f>
        <v>3825</v>
      </c>
      <c r="AH1616" s="99">
        <f>ROUND(VLOOKUP(1,enemy_base_stats!$A:$F,3,FALSE) * Z1616*K1616*P1616*F1616*T1616*AE1616 * W1616*[2]ステータス!$C$2,0)</f>
        <v>251</v>
      </c>
      <c r="AI1616" s="99">
        <f>ROUND(VLOOKUP(1,enemy_base_stats!$A:$F,4,FALSE) * AA1616*L1616*Q1616*G1616*U1616*AF1616*[2]ステータス!$D$2,0)</f>
        <v>0</v>
      </c>
      <c r="AJ1616" s="99">
        <f>ROUND(VLOOKUP(100,enemy_base_stats!$A:$F,2,FALSE) * Y1616* J1616*O1616*E1616*S1616*AD1616*[2]ステータス!$B$2,0)</f>
        <v>155295</v>
      </c>
      <c r="AK1616" s="99">
        <f>ROUND(VLOOKUP(100,enemy_base_stats!$A:$F,3,FALSE)* Z1616* K1616*P1616*F1616*T1616*AE1616 * W1616*[2]ステータス!$C$2,0)</f>
        <v>10175</v>
      </c>
      <c r="AL1616" s="99">
        <f>ROUND(VLOOKUP(100,enemy_base_stats!$A:$F,4,FALSE)* AA1616* L1616*Q1616*G1616*U1616*AF1616*[2]ステータス!$D$2,0)</f>
        <v>0</v>
      </c>
      <c r="AM1616" s="97">
        <f>VLOOKUP(M1616,[2]character_tribe_i18n!$A:$I,9,FALSE)</f>
        <v>400</v>
      </c>
      <c r="AN1616" s="97">
        <v>0</v>
      </c>
      <c r="AO1616" s="98">
        <v>0</v>
      </c>
      <c r="AP1616" s="58" t="s">
        <v>72</v>
      </c>
      <c r="AQ1616" s="34">
        <f t="shared" si="104"/>
        <v>9007</v>
      </c>
    </row>
    <row r="1617" spans="1:43" ht="21" customHeight="1" x14ac:dyDescent="0.15">
      <c r="A1617" s="105">
        <v>9008</v>
      </c>
      <c r="B1617" s="6" t="str">
        <f>VLOOKUP(A1617,[2]characters!$A:$C,3,FALSE)</f>
        <v>田禹治★６</v>
      </c>
      <c r="C1617" s="9">
        <f>VLOOKUP(A1617,[2]characters!$A:$I,9,FALSE)</f>
        <v>6</v>
      </c>
      <c r="D1617" s="9" t="str">
        <f>VLOOKUP(A1617,[2]characters!$A:$H,8,FALSE)</f>
        <v>red</v>
      </c>
      <c r="E1617" s="97">
        <f>VLOOKUP(D1617,[2]属性!$A:$E,2,FALSE)</f>
        <v>1</v>
      </c>
      <c r="F1617" s="97">
        <f>VLOOKUP(D1617,[2]属性!$A:$E,3,FALSE)</f>
        <v>1.02</v>
      </c>
      <c r="G1617" s="97">
        <f>VLOOKUP(D1617,[2]属性!$A:$F,4,FALSE)</f>
        <v>1</v>
      </c>
      <c r="H1617" s="9" t="str">
        <f>VLOOKUP(A1617,[2]characters!$A:$K,11,FALSE)</f>
        <v>technical</v>
      </c>
      <c r="I1617" s="6" t="str">
        <f>VLOOKUP(H1617,[2]character_type_i18n!$A:$F,3,FALSE)</f>
        <v>テクニカルタイプ</v>
      </c>
      <c r="J1617" s="97">
        <f>VLOOKUP(H1617,[2]character_type_i18n!$A:$F,4,FALSE)</f>
        <v>0.9</v>
      </c>
      <c r="K1617" s="97">
        <f>VLOOKUP(H1617,[2]character_type_i18n!$A:$F,5,FALSE)</f>
        <v>0.9</v>
      </c>
      <c r="L1617" s="97">
        <f>VLOOKUP(H1617,[2]character_type_i18n!$A:$F,6,FALSE)</f>
        <v>1</v>
      </c>
      <c r="M1617" s="9" t="str">
        <f>VLOOKUP(A1617,[2]characters!$A:$M,13,FALSE)</f>
        <v>hero</v>
      </c>
      <c r="N1617" s="6" t="str">
        <f>VLOOKUP(M1617,[2]character_tribe_i18n!$A:$F,3,FALSE)</f>
        <v>ヒーロー</v>
      </c>
      <c r="O1617" s="97">
        <f>VLOOKUP(M1617,[2]character_tribe_i18n!$A:$F,4,FALSE)</f>
        <v>1</v>
      </c>
      <c r="P1617" s="97">
        <f>VLOOKUP(M1617,[2]character_tribe_i18n!$A:$F,5,FALSE)</f>
        <v>1</v>
      </c>
      <c r="Q1617" s="97">
        <f>VLOOKUP(M1617,[2]character_tribe_i18n!$A:$F,6,FALSE)</f>
        <v>1</v>
      </c>
      <c r="R1617" s="98" t="s">
        <v>98</v>
      </c>
      <c r="S1617" s="97">
        <f>VLOOKUP($R1617,ラベル別係数!$A$1:$E$7,3,FALSE)</f>
        <v>5</v>
      </c>
      <c r="T1617" s="97">
        <f>VLOOKUP($R1617,ラベル別係数!$A$1:$E$7,4,FALSE)</f>
        <v>1.3</v>
      </c>
      <c r="U1617" s="97">
        <f>VLOOKUP($R1617,ラベル別係数!$A$1:$E$7,5,FALSE)</f>
        <v>0.8</v>
      </c>
      <c r="V1617" s="98">
        <v>3</v>
      </c>
      <c r="W1617" s="99">
        <f>VLOOKUP(V1617,ターン数別攻撃係数!$A$1:$B$1000,2,FALSE)</f>
        <v>1</v>
      </c>
      <c r="X1617" s="9">
        <f>VLOOKUP(C1617,サイズ別係数!A$2:B$9,2,FALSE)</f>
        <v>60</v>
      </c>
      <c r="Y1617" s="97">
        <f>VLOOKUP($X1617,サイズ別係数!$B:$E,2,FALSE)</f>
        <v>1.7</v>
      </c>
      <c r="Z1617" s="97">
        <f>VLOOKUP($X1617,サイズ別係数!$B:$E,3,FALSE)</f>
        <v>1.4</v>
      </c>
      <c r="AA1617" s="97">
        <f>VLOOKUP($X1617,サイズ別係数!$B:$E,4,FALSE)</f>
        <v>1</v>
      </c>
      <c r="AB1617" s="10">
        <v>0</v>
      </c>
      <c r="AC1617" s="6" t="str">
        <f ca="1">VLOOKUP($AB1617,OFFSET([3]enemy_skill_sets!$B$2,0,0,COUNTA([3]enemy_skill_sets!$A:$A),MATCH(AC$1,[3]enemy_skill_sets!$1:$1,0)-MATCH($AB$1,[3]enemy_skill_sets!$1:$1,0)+1),MATCH(AC$1,[3]enemy_skill_sets!$1:$1,0)-MATCH($AB$1,[3]enemy_skill_sets!$1:$1,0)+1,FALSE)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7" s="67">
        <v>1</v>
      </c>
      <c r="AE1617" s="67">
        <v>1</v>
      </c>
      <c r="AF1617" s="68">
        <v>0</v>
      </c>
      <c r="AG1617" s="99">
        <f>ROUND(VLOOKUP(1,enemy_base_stats!$A:$F,2,FALSE) * Y1617* J1617*O1617*E1617*S1617*AD1617*[2]ステータス!$B$2,0)</f>
        <v>3825</v>
      </c>
      <c r="AH1617" s="99">
        <f>ROUND(VLOOKUP(1,enemy_base_stats!$A:$F,3,FALSE) * Z1617*K1617*P1617*F1617*T1617*AE1617 * W1617*[2]ステータス!$C$2,0)</f>
        <v>251</v>
      </c>
      <c r="AI1617" s="99">
        <f>ROUND(VLOOKUP(1,enemy_base_stats!$A:$F,4,FALSE) * AA1617*L1617*Q1617*G1617*U1617*AF1617*[2]ステータス!$D$2,0)</f>
        <v>0</v>
      </c>
      <c r="AJ1617" s="99">
        <f>ROUND(VLOOKUP(100,enemy_base_stats!$A:$F,2,FALSE) * Y1617* J1617*O1617*E1617*S1617*AD1617*[2]ステータス!$B$2,0)</f>
        <v>155295</v>
      </c>
      <c r="AK1617" s="99">
        <f>ROUND(VLOOKUP(100,enemy_base_stats!$A:$F,3,FALSE)* Z1617* K1617*P1617*F1617*T1617*AE1617 * W1617*[2]ステータス!$C$2,0)</f>
        <v>10175</v>
      </c>
      <c r="AL1617" s="99">
        <f>ROUND(VLOOKUP(100,enemy_base_stats!$A:$F,4,FALSE)* AA1617* L1617*Q1617*G1617*U1617*AF1617*[2]ステータス!$D$2,0)</f>
        <v>0</v>
      </c>
      <c r="AM1617" s="97">
        <f>VLOOKUP(M1617,[2]character_tribe_i18n!$A:$I,9,FALSE)</f>
        <v>400</v>
      </c>
      <c r="AN1617" s="97">
        <v>0</v>
      </c>
      <c r="AO1617" s="98">
        <v>0</v>
      </c>
      <c r="AP1617" s="58" t="s">
        <v>72</v>
      </c>
      <c r="AQ1617" s="34">
        <f t="shared" si="104"/>
        <v>9008</v>
      </c>
    </row>
    <row r="1618" spans="1:43" ht="21" customHeight="1" x14ac:dyDescent="0.15">
      <c r="A1618" s="105">
        <v>10101</v>
      </c>
      <c r="B1618" s="6" t="str">
        <f>VLOOKUP(A1618,[2]characters!$A:$C,3,FALSE)</f>
        <v>Usagi-kun</v>
      </c>
      <c r="C1618" s="9">
        <f>VLOOKUP(A1618,[2]characters!$A:$I,9,FALSE)</f>
        <v>6</v>
      </c>
      <c r="D1618" s="9" t="str">
        <f>VLOOKUP(A1618,[2]characters!$A:$H,8,FALSE)</f>
        <v>blue</v>
      </c>
      <c r="E1618" s="97">
        <f>VLOOKUP(D1618,[2]属性!$A:$E,2,FALSE)</f>
        <v>1</v>
      </c>
      <c r="F1618" s="97">
        <f>VLOOKUP(D1618,[2]属性!$A:$E,3,FALSE)</f>
        <v>0.98</v>
      </c>
      <c r="G1618" s="97">
        <f>VLOOKUP(D1618,[2]属性!$A:$F,4,FALSE)</f>
        <v>1</v>
      </c>
      <c r="H1618" s="9" t="str">
        <f>VLOOKUP(A1618,[2]characters!$A:$K,11,FALSE)</f>
        <v>balance</v>
      </c>
      <c r="I1618" s="6" t="str">
        <f>VLOOKUP(H1618,[2]character_type_i18n!$A:$F,3,FALSE)</f>
        <v>バランスタイプ</v>
      </c>
      <c r="J1618" s="97">
        <f>VLOOKUP(H1618,[2]character_type_i18n!$A:$F,4,FALSE)</f>
        <v>1</v>
      </c>
      <c r="K1618" s="97">
        <f>VLOOKUP(H1618,[2]character_type_i18n!$A:$F,5,FALSE)</f>
        <v>1</v>
      </c>
      <c r="L1618" s="97">
        <f>VLOOKUP(H1618,[2]character_type_i18n!$A:$F,6,FALSE)</f>
        <v>1</v>
      </c>
      <c r="M1618" s="9" t="str">
        <f>VLOOKUP(A1618,[2]characters!$A:$M,13,FALSE)</f>
        <v>unknown</v>
      </c>
      <c r="N1618" s="6" t="str">
        <f>VLOOKUP(M1618,[2]character_tribe_i18n!$A:$F,3,FALSE)</f>
        <v>Unknown</v>
      </c>
      <c r="O1618" s="97">
        <f>VLOOKUP(M1618,[2]character_tribe_i18n!$A:$F,4,FALSE)</f>
        <v>1</v>
      </c>
      <c r="P1618" s="97">
        <f>VLOOKUP(M1618,[2]character_tribe_i18n!$A:$F,5,FALSE)</f>
        <v>1</v>
      </c>
      <c r="Q1618" s="97">
        <f>VLOOKUP(M1618,[2]character_tribe_i18n!$A:$F,6,FALSE)</f>
        <v>1</v>
      </c>
      <c r="R1618" s="98" t="s">
        <v>98</v>
      </c>
      <c r="S1618" s="97">
        <f>VLOOKUP($R1618,ラベル別係数!$A$1:$E$7,3,FALSE)</f>
        <v>5</v>
      </c>
      <c r="T1618" s="97">
        <f>VLOOKUP($R1618,ラベル別係数!$A$1:$E$7,4,FALSE)</f>
        <v>1.3</v>
      </c>
      <c r="U1618" s="97">
        <f>VLOOKUP($R1618,ラベル別係数!$A$1:$E$7,5,FALSE)</f>
        <v>0.8</v>
      </c>
      <c r="V1618" s="98">
        <v>3</v>
      </c>
      <c r="W1618" s="99">
        <f>VLOOKUP(V1618,ターン数別攻撃係数!$A$1:$B$1000,2,FALSE)</f>
        <v>1</v>
      </c>
      <c r="X1618" s="9">
        <f>VLOOKUP(C1618,サイズ別係数!A$2:B$9,2,FALSE)</f>
        <v>60</v>
      </c>
      <c r="Y1618" s="97">
        <f>VLOOKUP($X1618,サイズ別係数!$B:$E,2,FALSE)</f>
        <v>1.7</v>
      </c>
      <c r="Z1618" s="97">
        <f>VLOOKUP($X1618,サイズ別係数!$B:$E,3,FALSE)</f>
        <v>1.4</v>
      </c>
      <c r="AA1618" s="97">
        <f>VLOOKUP($X1618,サイズ別係数!$B:$E,4,FALSE)</f>
        <v>1</v>
      </c>
      <c r="AB1618" s="10">
        <v>0</v>
      </c>
      <c r="AC1618" s="6" t="str">
        <f ca="1">VLOOKUP($AB1618,OFFSET([3]enemy_skill_sets!$B$2,0,0,COUNTA([3]enemy_skill_sets!$A:$A),MATCH(AC$1,[3]enemy_skill_sets!$1:$1,0)-MATCH($AB$1,[3]enemy_skill_sets!$1:$1,0)+1),MATCH(AC$1,[3]enemy_skill_sets!$1:$1,0)-MATCH($AB$1,[3]enemy_skill_sets!$1:$1,0)+1,FALSE)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8" s="67">
        <v>1</v>
      </c>
      <c r="AE1618" s="67">
        <v>1</v>
      </c>
      <c r="AF1618" s="68">
        <v>0</v>
      </c>
      <c r="AG1618" s="99">
        <f>ROUND(VLOOKUP(1,enemy_base_stats!$A:$F,2,FALSE) * Y1618* J1618*O1618*E1618*S1618*AD1618*[2]ステータス!$B$2,0)</f>
        <v>4250</v>
      </c>
      <c r="AH1618" s="99">
        <f>ROUND(VLOOKUP(1,enemy_base_stats!$A:$F,3,FALSE) * Z1618*K1618*P1618*F1618*T1618*AE1618 * W1618*[2]ステータス!$C$2,0)</f>
        <v>268</v>
      </c>
      <c r="AI1618" s="99">
        <f>ROUND(VLOOKUP(1,enemy_base_stats!$A:$F,4,FALSE) * AA1618*L1618*Q1618*G1618*U1618*AF1618*[2]ステータス!$D$2,0)</f>
        <v>0</v>
      </c>
      <c r="AJ1618" s="99">
        <f>ROUND(VLOOKUP(100,enemy_base_stats!$A:$F,2,FALSE) * Y1618* J1618*O1618*E1618*S1618*AD1618*[2]ステータス!$B$2,0)</f>
        <v>172550</v>
      </c>
      <c r="AK1618" s="99">
        <f>ROUND(VLOOKUP(100,enemy_base_stats!$A:$F,3,FALSE)* Z1618* K1618*P1618*F1618*T1618*AE1618 * W1618*[2]ステータス!$C$2,0)</f>
        <v>10862</v>
      </c>
      <c r="AL1618" s="99">
        <f>ROUND(VLOOKUP(100,enemy_base_stats!$A:$F,4,FALSE)* AA1618* L1618*Q1618*G1618*U1618*AF1618*[2]ステータス!$D$2,0)</f>
        <v>0</v>
      </c>
      <c r="AM1618" s="97">
        <f>VLOOKUP(M1618,[2]character_tribe_i18n!$A:$I,9,FALSE)</f>
        <v>340</v>
      </c>
      <c r="AN1618" s="97">
        <v>0</v>
      </c>
      <c r="AO1618" s="98">
        <v>0</v>
      </c>
      <c r="AP1618" s="58" t="s">
        <v>72</v>
      </c>
      <c r="AQ1618" s="34">
        <f t="shared" ref="AQ1618" si="105">A1618</f>
        <v>10101</v>
      </c>
    </row>
    <row r="1619" spans="1:43" ht="21" customHeight="1" x14ac:dyDescent="0.15">
      <c r="A1619" s="105">
        <v>10102</v>
      </c>
      <c r="B1619" s="6" t="str">
        <f>VLOOKUP(A1619,[2]characters!$A:$C,3,FALSE)</f>
        <v>ローズ</v>
      </c>
      <c r="C1619" s="9">
        <f>VLOOKUP(A1619,[2]characters!$A:$I,9,FALSE)</f>
        <v>3</v>
      </c>
      <c r="D1619" s="9" t="str">
        <f>VLOOKUP(A1619,[2]characters!$A:$H,8,FALSE)</f>
        <v>red</v>
      </c>
      <c r="E1619" s="97">
        <f>VLOOKUP(D1619,[2]属性!$A:$E,2,FALSE)</f>
        <v>1</v>
      </c>
      <c r="F1619" s="97">
        <f>VLOOKUP(D1619,[2]属性!$A:$E,3,FALSE)</f>
        <v>1.02</v>
      </c>
      <c r="G1619" s="97">
        <f>VLOOKUP(D1619,[2]属性!$A:$F,4,FALSE)</f>
        <v>1</v>
      </c>
      <c r="H1619" s="9" t="str">
        <f>VLOOKUP(A1619,[2]characters!$A:$K,11,FALSE)</f>
        <v>attack</v>
      </c>
      <c r="I1619" s="6" t="str">
        <f>VLOOKUP(H1619,[2]character_type_i18n!$A:$F,3,FALSE)</f>
        <v>攻撃タイプ</v>
      </c>
      <c r="J1619" s="97">
        <f>VLOOKUP(H1619,[2]character_type_i18n!$A:$F,4,FALSE)</f>
        <v>1</v>
      </c>
      <c r="K1619" s="97">
        <f>VLOOKUP(H1619,[2]character_type_i18n!$A:$F,5,FALSE)</f>
        <v>1.33</v>
      </c>
      <c r="L1619" s="97">
        <f>VLOOKUP(H1619,[2]character_type_i18n!$A:$F,6,FALSE)</f>
        <v>1</v>
      </c>
      <c r="M1619" s="9" t="str">
        <f>VLOOKUP(A1619,[2]characters!$A:$M,13,FALSE)</f>
        <v>queen</v>
      </c>
      <c r="N1619" s="6" t="str">
        <f>VLOOKUP(M1619,[2]character_tribe_i18n!$A:$F,3,FALSE)</f>
        <v>QUEEN</v>
      </c>
      <c r="O1619" s="97">
        <f>VLOOKUP(M1619,[2]character_tribe_i18n!$A:$F,4,FALSE)</f>
        <v>1</v>
      </c>
      <c r="P1619" s="97">
        <f>VLOOKUP(M1619,[2]character_tribe_i18n!$A:$F,5,FALSE)</f>
        <v>1</v>
      </c>
      <c r="Q1619" s="97">
        <f>VLOOKUP(M1619,[2]character_tribe_i18n!$A:$F,6,FALSE)</f>
        <v>1</v>
      </c>
      <c r="R1619" s="98" t="s">
        <v>98</v>
      </c>
      <c r="S1619" s="97">
        <f>VLOOKUP($R1619,ラベル別係数!$A$1:$E$7,3,FALSE)</f>
        <v>5</v>
      </c>
      <c r="T1619" s="97">
        <f>VLOOKUP($R1619,ラベル別係数!$A$1:$E$7,4,FALSE)</f>
        <v>1.3</v>
      </c>
      <c r="U1619" s="97">
        <f>VLOOKUP($R1619,ラベル別係数!$A$1:$E$7,5,FALSE)</f>
        <v>0.8</v>
      </c>
      <c r="V1619" s="98">
        <v>3</v>
      </c>
      <c r="W1619" s="99">
        <f>VLOOKUP(V1619,ターン数別攻撃係数!$A$1:$B$1000,2,FALSE)</f>
        <v>1</v>
      </c>
      <c r="X1619" s="9">
        <f>VLOOKUP(C1619,サイズ別係数!A$2:B$9,2,FALSE)</f>
        <v>25</v>
      </c>
      <c r="Y1619" s="97">
        <f>VLOOKUP($X1619,サイズ別係数!$B:$E,2,FALSE)</f>
        <v>1.2</v>
      </c>
      <c r="Z1619" s="97">
        <f>VLOOKUP($X1619,サイズ別係数!$B:$E,3,FALSE)</f>
        <v>1.25</v>
      </c>
      <c r="AA1619" s="97">
        <f>VLOOKUP($X1619,サイズ別係数!$B:$E,4,FALSE)</f>
        <v>1.1499999999999999</v>
      </c>
      <c r="AB1619" s="10">
        <v>0</v>
      </c>
      <c r="AC1619" s="6" t="str">
        <f ca="1">VLOOKUP($AB1619,OFFSET([3]enemy_skill_sets!$B$2,0,0,COUNTA([3]enemy_skill_sets!$A:$A),MATCH(AC$1,[3]enemy_skill_sets!$1:$1,0)-MATCH($AB$1,[3]enemy_skill_sets!$1:$1,0)+1),MATCH(AC$1,[3]enemy_skill_sets!$1:$1,0)-MATCH($AB$1,[3]enemy_skill_sets!$1:$1,0)+1,FALSE)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19" s="67">
        <v>1</v>
      </c>
      <c r="AE1619" s="67">
        <v>1</v>
      </c>
      <c r="AF1619" s="68">
        <v>0</v>
      </c>
      <c r="AG1619" s="99">
        <f>ROUND(VLOOKUP(1,enemy_base_stats!$A:$F,2,FALSE) * Y1619* J1619*O1619*E1619*S1619*AD1619*[2]ステータス!$B$2,0)</f>
        <v>3000</v>
      </c>
      <c r="AH1619" s="99">
        <f>ROUND(VLOOKUP(1,enemy_base_stats!$A:$F,3,FALSE) * Z1619*K1619*P1619*F1619*T1619*AE1619 * W1619*[2]ステータス!$C$2,0)</f>
        <v>331</v>
      </c>
      <c r="AI1619" s="99">
        <f>ROUND(VLOOKUP(1,enemy_base_stats!$A:$F,4,FALSE) * AA1619*L1619*Q1619*G1619*U1619*AF1619*[2]ステータス!$D$2,0)</f>
        <v>0</v>
      </c>
      <c r="AJ1619" s="99">
        <f>ROUND(VLOOKUP(100,enemy_base_stats!$A:$F,2,FALSE) * Y1619* J1619*O1619*E1619*S1619*AD1619*[2]ステータス!$B$2,0)</f>
        <v>121800</v>
      </c>
      <c r="AK1619" s="99">
        <f>ROUND(VLOOKUP(100,enemy_base_stats!$A:$F,3,FALSE)* Z1619* K1619*P1619*F1619*T1619*AE1619 * W1619*[2]ステータス!$C$2,0)</f>
        <v>13425</v>
      </c>
      <c r="AL1619" s="99">
        <f>ROUND(VLOOKUP(100,enemy_base_stats!$A:$F,4,FALSE)* AA1619* L1619*Q1619*G1619*U1619*AF1619*[2]ステータス!$D$2,0)</f>
        <v>0</v>
      </c>
      <c r="AM1619" s="97">
        <f>VLOOKUP(M1619,[2]character_tribe_i18n!$A:$I,9,FALSE)</f>
        <v>400</v>
      </c>
      <c r="AN1619" s="97">
        <v>0</v>
      </c>
      <c r="AO1619" s="98">
        <v>0</v>
      </c>
      <c r="AP1619" s="58" t="s">
        <v>72</v>
      </c>
      <c r="AQ1619" s="34">
        <f t="shared" ref="AQ1619:AQ1620" si="106">A1619</f>
        <v>10102</v>
      </c>
    </row>
    <row r="1620" spans="1:43" ht="21" customHeight="1" x14ac:dyDescent="0.15">
      <c r="A1620" s="105">
        <v>10103</v>
      </c>
      <c r="B1620" s="6" t="str">
        <f>VLOOKUP(A1620,[2]characters!$A:$C,3,FALSE)</f>
        <v>ローズ</v>
      </c>
      <c r="C1620" s="9">
        <f>VLOOKUP(A1620,[2]characters!$A:$I,9,FALSE)</f>
        <v>4</v>
      </c>
      <c r="D1620" s="9" t="str">
        <f>VLOOKUP(A1620,[2]characters!$A:$H,8,FALSE)</f>
        <v>red</v>
      </c>
      <c r="E1620" s="97">
        <f>VLOOKUP(D1620,[2]属性!$A:$E,2,FALSE)</f>
        <v>1</v>
      </c>
      <c r="F1620" s="97">
        <f>VLOOKUP(D1620,[2]属性!$A:$E,3,FALSE)</f>
        <v>1.02</v>
      </c>
      <c r="G1620" s="97">
        <f>VLOOKUP(D1620,[2]属性!$A:$F,4,FALSE)</f>
        <v>1</v>
      </c>
      <c r="H1620" s="9" t="str">
        <f>VLOOKUP(A1620,[2]characters!$A:$K,11,FALSE)</f>
        <v>attack</v>
      </c>
      <c r="I1620" s="6" t="str">
        <f>VLOOKUP(H1620,[2]character_type_i18n!$A:$F,3,FALSE)</f>
        <v>攻撃タイプ</v>
      </c>
      <c r="J1620" s="97">
        <f>VLOOKUP(H1620,[2]character_type_i18n!$A:$F,4,FALSE)</f>
        <v>1</v>
      </c>
      <c r="K1620" s="97">
        <f>VLOOKUP(H1620,[2]character_type_i18n!$A:$F,5,FALSE)</f>
        <v>1.33</v>
      </c>
      <c r="L1620" s="97">
        <f>VLOOKUP(H1620,[2]character_type_i18n!$A:$F,6,FALSE)</f>
        <v>1</v>
      </c>
      <c r="M1620" s="9" t="str">
        <f>VLOOKUP(A1620,[2]characters!$A:$M,13,FALSE)</f>
        <v>queen</v>
      </c>
      <c r="N1620" s="6" t="str">
        <f>VLOOKUP(M1620,[2]character_tribe_i18n!$A:$F,3,FALSE)</f>
        <v>QUEEN</v>
      </c>
      <c r="O1620" s="97">
        <f>VLOOKUP(M1620,[2]character_tribe_i18n!$A:$F,4,FALSE)</f>
        <v>1</v>
      </c>
      <c r="P1620" s="97">
        <f>VLOOKUP(M1620,[2]character_tribe_i18n!$A:$F,5,FALSE)</f>
        <v>1</v>
      </c>
      <c r="Q1620" s="97">
        <f>VLOOKUP(M1620,[2]character_tribe_i18n!$A:$F,6,FALSE)</f>
        <v>1</v>
      </c>
      <c r="R1620" s="98" t="s">
        <v>98</v>
      </c>
      <c r="S1620" s="97">
        <f>VLOOKUP($R1620,ラベル別係数!$A$1:$E$7,3,FALSE)</f>
        <v>5</v>
      </c>
      <c r="T1620" s="97">
        <f>VLOOKUP($R1620,ラベル別係数!$A$1:$E$7,4,FALSE)</f>
        <v>1.3</v>
      </c>
      <c r="U1620" s="97">
        <f>VLOOKUP($R1620,ラベル別係数!$A$1:$E$7,5,FALSE)</f>
        <v>0.8</v>
      </c>
      <c r="V1620" s="98">
        <v>3</v>
      </c>
      <c r="W1620" s="99">
        <f>VLOOKUP(V1620,ターン数別攻撃係数!$A$1:$B$1000,2,FALSE)</f>
        <v>1</v>
      </c>
      <c r="X1620" s="9">
        <f>VLOOKUP(C1620,サイズ別係数!A$2:B$9,2,FALSE)</f>
        <v>30</v>
      </c>
      <c r="Y1620" s="97">
        <f>VLOOKUP($X1620,サイズ別係数!$B:$E,2,FALSE)</f>
        <v>1.3</v>
      </c>
      <c r="Z1620" s="97">
        <f>VLOOKUP($X1620,サイズ別係数!$B:$E,3,FALSE)</f>
        <v>1.3</v>
      </c>
      <c r="AA1620" s="97">
        <f>VLOOKUP($X1620,サイズ別係数!$B:$E,4,FALSE)</f>
        <v>1.1000000000000001</v>
      </c>
      <c r="AB1620" s="10">
        <v>0</v>
      </c>
      <c r="AC1620" s="6" t="str">
        <f ca="1">VLOOKUP($AB1620,OFFSET([3]enemy_skill_sets!$B$2,0,0,COUNTA([3]enemy_skill_sets!$A:$A),MATCH(AC$1,[3]enemy_skill_sets!$1:$1,0)-MATCH($AB$1,[3]enemy_skill_sets!$1:$1,0)+1),MATCH(AC$1,[3]enemy_skill_sets!$1:$1,0)-MATCH($AB$1,[3]enemy_skill_sets!$1:$1,0)+1,FALSE)</f>
        <v>なし</v>
      </c>
      <c r="AD1620" s="67">
        <v>1</v>
      </c>
      <c r="AE1620" s="67">
        <v>1</v>
      </c>
      <c r="AF1620" s="68">
        <v>0</v>
      </c>
      <c r="AG1620" s="99">
        <f>ROUND(VLOOKUP(1,enemy_base_stats!$A:$F,2,FALSE) * Y1620* J1620*O1620*E1620*S1620*AD1620*[2]ステータス!$B$2,0)</f>
        <v>3250</v>
      </c>
      <c r="AH1620" s="99">
        <f>ROUND(VLOOKUP(1,enemy_base_stats!$A:$F,3,FALSE) * Z1620*K1620*P1620*F1620*T1620*AE1620 * W1620*[2]ステータス!$C$2,0)</f>
        <v>344</v>
      </c>
      <c r="AI1620" s="99">
        <f>ROUND(VLOOKUP(1,enemy_base_stats!$A:$F,4,FALSE) * AA1620*L1620*Q1620*G1620*U1620*AF1620*[2]ステータス!$D$2,0)</f>
        <v>0</v>
      </c>
      <c r="AJ1620" s="99">
        <f>ROUND(VLOOKUP(100,enemy_base_stats!$A:$F,2,FALSE) * Y1620* J1620*O1620*E1620*S1620*AD1620*[2]ステータス!$B$2,0)</f>
        <v>131950</v>
      </c>
      <c r="AK1620" s="99">
        <f>ROUND(VLOOKUP(100,enemy_base_stats!$A:$F,3,FALSE)* Z1620* K1620*P1620*F1620*T1620*AE1620 * W1620*[2]ステータス!$C$2,0)</f>
        <v>13962</v>
      </c>
      <c r="AL1620" s="99">
        <f>ROUND(VLOOKUP(100,enemy_base_stats!$A:$F,4,FALSE)* AA1620* L1620*Q1620*G1620*U1620*AF1620*[2]ステータス!$D$2,0)</f>
        <v>0</v>
      </c>
      <c r="AM1620" s="97">
        <f>VLOOKUP(M1620,[2]character_tribe_i18n!$A:$I,9,FALSE)</f>
        <v>400</v>
      </c>
      <c r="AN1620" s="97">
        <v>0</v>
      </c>
      <c r="AO1620" s="98">
        <v>0</v>
      </c>
      <c r="AP1620" s="58" t="s">
        <v>72</v>
      </c>
      <c r="AQ1620" s="34">
        <f t="shared" si="106"/>
        <v>10103</v>
      </c>
    </row>
  </sheetData>
  <autoFilter ref="A1:AQ490"/>
  <phoneticPr fontId="11"/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rgb="FF3366FF"/>
  </sheetPr>
  <dimension ref="A1:L101"/>
  <sheetViews>
    <sheetView showGridLines="0" zoomScale="225" workbookViewId="0">
      <pane ySplit="1" topLeftCell="A98" activePane="bottomLeft" state="frozen"/>
      <selection pane="bottomLeft" activeCell="G1" sqref="G1:G1048576"/>
    </sheetView>
  </sheetViews>
  <sheetFormatPr baseColWidth="12" defaultColWidth="12.83203125" defaultRowHeight="21" customHeight="1" x14ac:dyDescent="0.15"/>
  <cols>
    <col min="1" max="1" width="10.5" style="29" customWidth="1"/>
    <col min="2" max="16384" width="12.83203125" style="29"/>
  </cols>
  <sheetData>
    <row r="1" spans="1:12" ht="21" customHeight="1" x14ac:dyDescent="0.15">
      <c r="A1" s="52" t="s">
        <v>45</v>
      </c>
      <c r="B1" s="52" t="s">
        <v>47</v>
      </c>
      <c r="C1" s="33" t="s">
        <v>77</v>
      </c>
      <c r="D1" s="52" t="s">
        <v>49</v>
      </c>
      <c r="E1" s="33" t="s">
        <v>78</v>
      </c>
      <c r="F1" s="52" t="s">
        <v>51</v>
      </c>
      <c r="G1" s="52" t="s">
        <v>71</v>
      </c>
      <c r="H1" s="52" t="s">
        <v>68</v>
      </c>
      <c r="I1" s="29" t="s">
        <v>100</v>
      </c>
    </row>
    <row r="2" spans="1:12" ht="21" customHeight="1" x14ac:dyDescent="0.15">
      <c r="A2" s="38">
        <v>1</v>
      </c>
      <c r="B2" s="27">
        <v>1000</v>
      </c>
      <c r="C2" s="61">
        <f>B2*J$3</f>
        <v>500</v>
      </c>
      <c r="D2" s="27">
        <v>1000</v>
      </c>
      <c r="E2" s="61">
        <f>D2*J$5</f>
        <v>300</v>
      </c>
      <c r="F2" s="27">
        <v>1</v>
      </c>
      <c r="G2" s="63">
        <v>0.5</v>
      </c>
      <c r="H2" s="53">
        <v>1</v>
      </c>
      <c r="I2" s="29" t="s">
        <v>99</v>
      </c>
      <c r="J2" s="29">
        <v>400</v>
      </c>
    </row>
    <row r="3" spans="1:12" ht="21" customHeight="1" x14ac:dyDescent="0.15">
      <c r="A3" s="27">
        <v>2</v>
      </c>
      <c r="B3" s="61">
        <f>B2+$J$2</f>
        <v>1400</v>
      </c>
      <c r="C3" s="61">
        <f>B3*J$3</f>
        <v>700</v>
      </c>
      <c r="D3" s="61">
        <f>D2+$J$4</f>
        <v>1200</v>
      </c>
      <c r="E3" s="61">
        <f>D3*J$5</f>
        <v>360</v>
      </c>
      <c r="F3" s="61">
        <f>F2+30</f>
        <v>31</v>
      </c>
      <c r="G3" s="63">
        <v>0.5</v>
      </c>
      <c r="H3" s="53">
        <v>1.03</v>
      </c>
      <c r="I3" s="29" t="s">
        <v>101</v>
      </c>
      <c r="J3" s="29">
        <v>0.5</v>
      </c>
    </row>
    <row r="4" spans="1:12" ht="21" customHeight="1" x14ac:dyDescent="0.15">
      <c r="A4" s="27">
        <v>3</v>
      </c>
      <c r="B4" s="61">
        <f t="shared" ref="B4:B67" si="0">B3+$J$2</f>
        <v>1800</v>
      </c>
      <c r="C4" s="61">
        <f t="shared" ref="C4:C67" si="1">B4*J$3</f>
        <v>900</v>
      </c>
      <c r="D4" s="61">
        <f t="shared" ref="D4:D67" si="2">D3+$J$4</f>
        <v>1400</v>
      </c>
      <c r="E4" s="61">
        <f t="shared" ref="E4:E67" si="3">D4*J$5</f>
        <v>420</v>
      </c>
      <c r="F4" s="61">
        <f t="shared" ref="F4:F67" si="4">F3+30</f>
        <v>61</v>
      </c>
      <c r="G4" s="63">
        <v>0.51</v>
      </c>
      <c r="H4" s="53">
        <v>1.06</v>
      </c>
      <c r="I4" s="29" t="s">
        <v>102</v>
      </c>
      <c r="J4" s="29">
        <v>200</v>
      </c>
    </row>
    <row r="5" spans="1:12" ht="21" customHeight="1" x14ac:dyDescent="0.15">
      <c r="A5" s="27">
        <v>4</v>
      </c>
      <c r="B5" s="61">
        <f t="shared" si="0"/>
        <v>2200</v>
      </c>
      <c r="C5" s="61">
        <f t="shared" si="1"/>
        <v>1100</v>
      </c>
      <c r="D5" s="61">
        <f t="shared" si="2"/>
        <v>1600</v>
      </c>
      <c r="E5" s="61">
        <f t="shared" si="3"/>
        <v>480</v>
      </c>
      <c r="F5" s="61">
        <f t="shared" si="4"/>
        <v>91</v>
      </c>
      <c r="G5" s="63">
        <v>0.51</v>
      </c>
      <c r="H5" s="53">
        <v>1.0900000000000001</v>
      </c>
      <c r="I5" s="29" t="s">
        <v>103</v>
      </c>
      <c r="J5" s="29">
        <v>0.3</v>
      </c>
    </row>
    <row r="6" spans="1:12" ht="21" customHeight="1" x14ac:dyDescent="0.15">
      <c r="A6" s="27">
        <v>5</v>
      </c>
      <c r="B6" s="61">
        <f t="shared" si="0"/>
        <v>2600</v>
      </c>
      <c r="C6" s="61">
        <f t="shared" si="1"/>
        <v>1300</v>
      </c>
      <c r="D6" s="61">
        <f t="shared" si="2"/>
        <v>1800</v>
      </c>
      <c r="E6" s="61">
        <f t="shared" si="3"/>
        <v>540</v>
      </c>
      <c r="F6" s="61">
        <f t="shared" si="4"/>
        <v>121</v>
      </c>
      <c r="G6" s="63">
        <v>0.52</v>
      </c>
      <c r="H6" s="53">
        <v>1.1200000000000001</v>
      </c>
      <c r="I6" s="29" t="s">
        <v>104</v>
      </c>
      <c r="J6" s="29">
        <v>30</v>
      </c>
    </row>
    <row r="7" spans="1:12" ht="21" customHeight="1" x14ac:dyDescent="0.15">
      <c r="A7" s="27">
        <v>6</v>
      </c>
      <c r="B7" s="61">
        <f t="shared" si="0"/>
        <v>3000</v>
      </c>
      <c r="C7" s="61">
        <f t="shared" si="1"/>
        <v>1500</v>
      </c>
      <c r="D7" s="61">
        <f t="shared" si="2"/>
        <v>2000</v>
      </c>
      <c r="E7" s="61">
        <f t="shared" si="3"/>
        <v>600</v>
      </c>
      <c r="F7" s="61">
        <f t="shared" si="4"/>
        <v>151</v>
      </c>
      <c r="G7" s="63">
        <v>0.52</v>
      </c>
      <c r="H7" s="53">
        <v>1.1499999999999999</v>
      </c>
    </row>
    <row r="8" spans="1:12" ht="21" customHeight="1" x14ac:dyDescent="0.15">
      <c r="A8" s="27">
        <v>7</v>
      </c>
      <c r="B8" s="61">
        <f t="shared" si="0"/>
        <v>3400</v>
      </c>
      <c r="C8" s="61">
        <f t="shared" si="1"/>
        <v>1700</v>
      </c>
      <c r="D8" s="61">
        <f t="shared" si="2"/>
        <v>2200</v>
      </c>
      <c r="E8" s="61">
        <f t="shared" si="3"/>
        <v>660</v>
      </c>
      <c r="F8" s="61">
        <f t="shared" si="4"/>
        <v>181</v>
      </c>
      <c r="G8" s="63">
        <v>0.53</v>
      </c>
      <c r="H8" s="53">
        <v>1.2</v>
      </c>
      <c r="I8" s="30"/>
      <c r="J8" s="30"/>
      <c r="K8" s="30"/>
      <c r="L8" s="30"/>
    </row>
    <row r="9" spans="1:12" ht="21" customHeight="1" x14ac:dyDescent="0.15">
      <c r="A9" s="27">
        <v>8</v>
      </c>
      <c r="B9" s="61">
        <f t="shared" si="0"/>
        <v>3800</v>
      </c>
      <c r="C9" s="61">
        <f t="shared" si="1"/>
        <v>1900</v>
      </c>
      <c r="D9" s="61">
        <f t="shared" si="2"/>
        <v>2400</v>
      </c>
      <c r="E9" s="61">
        <f t="shared" si="3"/>
        <v>720</v>
      </c>
      <c r="F9" s="61">
        <f t="shared" si="4"/>
        <v>211</v>
      </c>
      <c r="G9" s="63">
        <v>0.53</v>
      </c>
      <c r="H9" s="53">
        <v>1.25</v>
      </c>
    </row>
    <row r="10" spans="1:12" ht="21" customHeight="1" x14ac:dyDescent="0.15">
      <c r="A10" s="27">
        <v>9</v>
      </c>
      <c r="B10" s="61">
        <f t="shared" si="0"/>
        <v>4200</v>
      </c>
      <c r="C10" s="61">
        <f t="shared" si="1"/>
        <v>2100</v>
      </c>
      <c r="D10" s="61">
        <f t="shared" si="2"/>
        <v>2600</v>
      </c>
      <c r="E10" s="61">
        <f t="shared" si="3"/>
        <v>780</v>
      </c>
      <c r="F10" s="61">
        <f t="shared" si="4"/>
        <v>241</v>
      </c>
      <c r="G10" s="63">
        <v>0.54</v>
      </c>
      <c r="H10" s="53">
        <v>1.3</v>
      </c>
    </row>
    <row r="11" spans="1:12" ht="21" customHeight="1" x14ac:dyDescent="0.15">
      <c r="A11" s="27">
        <v>10</v>
      </c>
      <c r="B11" s="61">
        <f t="shared" si="0"/>
        <v>4600</v>
      </c>
      <c r="C11" s="61">
        <f t="shared" si="1"/>
        <v>2300</v>
      </c>
      <c r="D11" s="61">
        <f t="shared" si="2"/>
        <v>2800</v>
      </c>
      <c r="E11" s="61">
        <f t="shared" si="3"/>
        <v>840</v>
      </c>
      <c r="F11" s="61">
        <f t="shared" si="4"/>
        <v>271</v>
      </c>
      <c r="G11" s="63">
        <v>0.54</v>
      </c>
      <c r="H11" s="53">
        <v>1.35</v>
      </c>
    </row>
    <row r="12" spans="1:12" ht="21" customHeight="1" x14ac:dyDescent="0.15">
      <c r="A12" s="27">
        <v>11</v>
      </c>
      <c r="B12" s="61">
        <f t="shared" si="0"/>
        <v>5000</v>
      </c>
      <c r="C12" s="61">
        <f t="shared" si="1"/>
        <v>2500</v>
      </c>
      <c r="D12" s="61">
        <f t="shared" si="2"/>
        <v>3000</v>
      </c>
      <c r="E12" s="61">
        <f t="shared" si="3"/>
        <v>900</v>
      </c>
      <c r="F12" s="61">
        <f t="shared" si="4"/>
        <v>301</v>
      </c>
      <c r="G12" s="63">
        <v>0.55000000000000004</v>
      </c>
      <c r="H12" s="53">
        <v>1.45</v>
      </c>
    </row>
    <row r="13" spans="1:12" ht="21" customHeight="1" x14ac:dyDescent="0.15">
      <c r="A13" s="27">
        <v>12</v>
      </c>
      <c r="B13" s="61">
        <f t="shared" si="0"/>
        <v>5400</v>
      </c>
      <c r="C13" s="61">
        <f t="shared" si="1"/>
        <v>2700</v>
      </c>
      <c r="D13" s="61">
        <f t="shared" si="2"/>
        <v>3200</v>
      </c>
      <c r="E13" s="61">
        <f t="shared" si="3"/>
        <v>960</v>
      </c>
      <c r="F13" s="61">
        <f t="shared" si="4"/>
        <v>331</v>
      </c>
      <c r="G13" s="63">
        <v>0.55000000000000004</v>
      </c>
      <c r="H13" s="53">
        <v>1.55</v>
      </c>
    </row>
    <row r="14" spans="1:12" ht="21" customHeight="1" x14ac:dyDescent="0.15">
      <c r="A14" s="27">
        <v>13</v>
      </c>
      <c r="B14" s="61">
        <f t="shared" si="0"/>
        <v>5800</v>
      </c>
      <c r="C14" s="61">
        <f t="shared" si="1"/>
        <v>2900</v>
      </c>
      <c r="D14" s="61">
        <f t="shared" si="2"/>
        <v>3400</v>
      </c>
      <c r="E14" s="61">
        <f t="shared" si="3"/>
        <v>1020</v>
      </c>
      <c r="F14" s="61">
        <f t="shared" si="4"/>
        <v>361</v>
      </c>
      <c r="G14" s="63">
        <v>0.56000000000000005</v>
      </c>
      <c r="H14" s="53">
        <v>1.6</v>
      </c>
    </row>
    <row r="15" spans="1:12" ht="21" customHeight="1" x14ac:dyDescent="0.15">
      <c r="A15" s="27">
        <v>14</v>
      </c>
      <c r="B15" s="61">
        <f t="shared" si="0"/>
        <v>6200</v>
      </c>
      <c r="C15" s="61">
        <f t="shared" si="1"/>
        <v>3100</v>
      </c>
      <c r="D15" s="61">
        <f t="shared" si="2"/>
        <v>3600</v>
      </c>
      <c r="E15" s="61">
        <f t="shared" si="3"/>
        <v>1080</v>
      </c>
      <c r="F15" s="61">
        <f t="shared" si="4"/>
        <v>391</v>
      </c>
      <c r="G15" s="63">
        <v>0.56000000000000005</v>
      </c>
      <c r="H15" s="53">
        <v>1.65</v>
      </c>
    </row>
    <row r="16" spans="1:12" ht="21" customHeight="1" x14ac:dyDescent="0.15">
      <c r="A16" s="38">
        <v>15</v>
      </c>
      <c r="B16" s="61">
        <f t="shared" si="0"/>
        <v>6600</v>
      </c>
      <c r="C16" s="61">
        <f t="shared" si="1"/>
        <v>3300</v>
      </c>
      <c r="D16" s="61">
        <f t="shared" si="2"/>
        <v>3800</v>
      </c>
      <c r="E16" s="61">
        <f t="shared" si="3"/>
        <v>1140</v>
      </c>
      <c r="F16" s="61">
        <f t="shared" si="4"/>
        <v>421</v>
      </c>
      <c r="G16" s="63">
        <v>0.57000000000000006</v>
      </c>
      <c r="H16" s="53">
        <v>1.7</v>
      </c>
    </row>
    <row r="17" spans="1:8" ht="21" customHeight="1" x14ac:dyDescent="0.15">
      <c r="A17" s="27">
        <v>16</v>
      </c>
      <c r="B17" s="61">
        <f t="shared" si="0"/>
        <v>7000</v>
      </c>
      <c r="C17" s="61">
        <f t="shared" si="1"/>
        <v>3500</v>
      </c>
      <c r="D17" s="61">
        <f t="shared" si="2"/>
        <v>4000</v>
      </c>
      <c r="E17" s="61">
        <f t="shared" si="3"/>
        <v>1200</v>
      </c>
      <c r="F17" s="61">
        <f t="shared" si="4"/>
        <v>451</v>
      </c>
      <c r="G17" s="63">
        <v>0.57000000000000006</v>
      </c>
      <c r="H17" s="53">
        <v>1.75</v>
      </c>
    </row>
    <row r="18" spans="1:8" ht="21" customHeight="1" x14ac:dyDescent="0.15">
      <c r="A18" s="27">
        <v>17</v>
      </c>
      <c r="B18" s="61">
        <f t="shared" si="0"/>
        <v>7400</v>
      </c>
      <c r="C18" s="61">
        <f t="shared" si="1"/>
        <v>3700</v>
      </c>
      <c r="D18" s="61">
        <f t="shared" si="2"/>
        <v>4200</v>
      </c>
      <c r="E18" s="61">
        <f t="shared" si="3"/>
        <v>1260</v>
      </c>
      <c r="F18" s="61">
        <f t="shared" si="4"/>
        <v>481</v>
      </c>
      <c r="G18" s="63">
        <v>0.57999999999999996</v>
      </c>
      <c r="H18" s="53">
        <v>1.8</v>
      </c>
    </row>
    <row r="19" spans="1:8" ht="21" customHeight="1" x14ac:dyDescent="0.15">
      <c r="A19" s="27">
        <v>18</v>
      </c>
      <c r="B19" s="61">
        <f t="shared" si="0"/>
        <v>7800</v>
      </c>
      <c r="C19" s="61">
        <f t="shared" si="1"/>
        <v>3900</v>
      </c>
      <c r="D19" s="61">
        <f t="shared" si="2"/>
        <v>4400</v>
      </c>
      <c r="E19" s="61">
        <f t="shared" si="3"/>
        <v>1320</v>
      </c>
      <c r="F19" s="61">
        <f t="shared" si="4"/>
        <v>511</v>
      </c>
      <c r="G19" s="63">
        <v>0.57999999999999996</v>
      </c>
      <c r="H19" s="53">
        <v>1.85</v>
      </c>
    </row>
    <row r="20" spans="1:8" ht="21" customHeight="1" x14ac:dyDescent="0.15">
      <c r="A20" s="27">
        <v>19</v>
      </c>
      <c r="B20" s="61">
        <f t="shared" si="0"/>
        <v>8200</v>
      </c>
      <c r="C20" s="61">
        <f t="shared" si="1"/>
        <v>4100</v>
      </c>
      <c r="D20" s="61">
        <f t="shared" si="2"/>
        <v>4600</v>
      </c>
      <c r="E20" s="61">
        <f t="shared" si="3"/>
        <v>1380</v>
      </c>
      <c r="F20" s="61">
        <f t="shared" si="4"/>
        <v>541</v>
      </c>
      <c r="G20" s="63">
        <v>0.59</v>
      </c>
      <c r="H20" s="53">
        <v>1.9</v>
      </c>
    </row>
    <row r="21" spans="1:8" ht="21" customHeight="1" x14ac:dyDescent="0.15">
      <c r="A21" s="27">
        <v>20</v>
      </c>
      <c r="B21" s="61">
        <f t="shared" si="0"/>
        <v>8600</v>
      </c>
      <c r="C21" s="61">
        <f t="shared" si="1"/>
        <v>4300</v>
      </c>
      <c r="D21" s="61">
        <f t="shared" si="2"/>
        <v>4800</v>
      </c>
      <c r="E21" s="61">
        <f t="shared" si="3"/>
        <v>1440</v>
      </c>
      <c r="F21" s="61">
        <f t="shared" si="4"/>
        <v>571</v>
      </c>
      <c r="G21" s="63">
        <v>0.59</v>
      </c>
      <c r="H21" s="53">
        <v>1.95</v>
      </c>
    </row>
    <row r="22" spans="1:8" ht="21" customHeight="1" x14ac:dyDescent="0.15">
      <c r="A22" s="27">
        <v>21</v>
      </c>
      <c r="B22" s="61">
        <f t="shared" si="0"/>
        <v>9000</v>
      </c>
      <c r="C22" s="61">
        <f t="shared" si="1"/>
        <v>4500</v>
      </c>
      <c r="D22" s="61">
        <f t="shared" si="2"/>
        <v>5000</v>
      </c>
      <c r="E22" s="61">
        <f t="shared" si="3"/>
        <v>1500</v>
      </c>
      <c r="F22" s="61">
        <f t="shared" si="4"/>
        <v>601</v>
      </c>
      <c r="G22" s="63">
        <v>0.6</v>
      </c>
      <c r="H22" s="53">
        <v>2</v>
      </c>
    </row>
    <row r="23" spans="1:8" ht="21" customHeight="1" x14ac:dyDescent="0.15">
      <c r="A23" s="27">
        <v>22</v>
      </c>
      <c r="B23" s="61">
        <f t="shared" si="0"/>
        <v>9400</v>
      </c>
      <c r="C23" s="61">
        <f t="shared" si="1"/>
        <v>4700</v>
      </c>
      <c r="D23" s="61">
        <f t="shared" si="2"/>
        <v>5200</v>
      </c>
      <c r="E23" s="61">
        <f t="shared" si="3"/>
        <v>1560</v>
      </c>
      <c r="F23" s="61">
        <f t="shared" si="4"/>
        <v>631</v>
      </c>
      <c r="G23" s="63">
        <v>0.6</v>
      </c>
      <c r="H23" s="53">
        <v>2.1</v>
      </c>
    </row>
    <row r="24" spans="1:8" ht="21" customHeight="1" x14ac:dyDescent="0.15">
      <c r="A24" s="27">
        <v>23</v>
      </c>
      <c r="B24" s="61">
        <f t="shared" si="0"/>
        <v>9800</v>
      </c>
      <c r="C24" s="61">
        <f t="shared" si="1"/>
        <v>4900</v>
      </c>
      <c r="D24" s="61">
        <f t="shared" si="2"/>
        <v>5400</v>
      </c>
      <c r="E24" s="61">
        <f t="shared" si="3"/>
        <v>1620</v>
      </c>
      <c r="F24" s="61">
        <f t="shared" si="4"/>
        <v>661</v>
      </c>
      <c r="G24" s="63">
        <v>0.61</v>
      </c>
      <c r="H24" s="53">
        <v>2.2000000000000002</v>
      </c>
    </row>
    <row r="25" spans="1:8" ht="21" customHeight="1" x14ac:dyDescent="0.15">
      <c r="A25" s="27">
        <v>24</v>
      </c>
      <c r="B25" s="61">
        <f t="shared" si="0"/>
        <v>10200</v>
      </c>
      <c r="C25" s="61">
        <f t="shared" si="1"/>
        <v>5100</v>
      </c>
      <c r="D25" s="61">
        <f t="shared" si="2"/>
        <v>5600</v>
      </c>
      <c r="E25" s="61">
        <f t="shared" si="3"/>
        <v>1680</v>
      </c>
      <c r="F25" s="61">
        <f t="shared" si="4"/>
        <v>691</v>
      </c>
      <c r="G25" s="63">
        <v>0.61</v>
      </c>
      <c r="H25" s="53">
        <v>2.2999999999999998</v>
      </c>
    </row>
    <row r="26" spans="1:8" ht="21" customHeight="1" x14ac:dyDescent="0.15">
      <c r="A26" s="27">
        <v>25</v>
      </c>
      <c r="B26" s="61">
        <f t="shared" si="0"/>
        <v>10600</v>
      </c>
      <c r="C26" s="61">
        <f t="shared" si="1"/>
        <v>5300</v>
      </c>
      <c r="D26" s="61">
        <f t="shared" si="2"/>
        <v>5800</v>
      </c>
      <c r="E26" s="61">
        <f t="shared" si="3"/>
        <v>1740</v>
      </c>
      <c r="F26" s="61">
        <f t="shared" si="4"/>
        <v>721</v>
      </c>
      <c r="G26" s="63">
        <v>0.62</v>
      </c>
      <c r="H26" s="53">
        <v>2.4</v>
      </c>
    </row>
    <row r="27" spans="1:8" ht="21" customHeight="1" x14ac:dyDescent="0.15">
      <c r="A27" s="27">
        <v>26</v>
      </c>
      <c r="B27" s="61">
        <f t="shared" si="0"/>
        <v>11000</v>
      </c>
      <c r="C27" s="61">
        <f t="shared" si="1"/>
        <v>5500</v>
      </c>
      <c r="D27" s="61">
        <f t="shared" si="2"/>
        <v>6000</v>
      </c>
      <c r="E27" s="61">
        <f t="shared" si="3"/>
        <v>1800</v>
      </c>
      <c r="F27" s="61">
        <f t="shared" si="4"/>
        <v>751</v>
      </c>
      <c r="G27" s="63">
        <v>0.62</v>
      </c>
      <c r="H27" s="53">
        <v>2.5</v>
      </c>
    </row>
    <row r="28" spans="1:8" ht="21" customHeight="1" x14ac:dyDescent="0.15">
      <c r="A28" s="27">
        <v>27</v>
      </c>
      <c r="B28" s="61">
        <f t="shared" si="0"/>
        <v>11400</v>
      </c>
      <c r="C28" s="61">
        <f t="shared" si="1"/>
        <v>5700</v>
      </c>
      <c r="D28" s="61">
        <f t="shared" si="2"/>
        <v>6200</v>
      </c>
      <c r="E28" s="61">
        <f t="shared" si="3"/>
        <v>1860</v>
      </c>
      <c r="F28" s="61">
        <f t="shared" si="4"/>
        <v>781</v>
      </c>
      <c r="G28" s="63">
        <v>0.63</v>
      </c>
      <c r="H28" s="53">
        <v>2.6</v>
      </c>
    </row>
    <row r="29" spans="1:8" ht="21" customHeight="1" x14ac:dyDescent="0.15">
      <c r="A29" s="27">
        <v>28</v>
      </c>
      <c r="B29" s="61">
        <f t="shared" si="0"/>
        <v>11800</v>
      </c>
      <c r="C29" s="61">
        <f t="shared" si="1"/>
        <v>5900</v>
      </c>
      <c r="D29" s="61">
        <f t="shared" si="2"/>
        <v>6400</v>
      </c>
      <c r="E29" s="61">
        <f t="shared" si="3"/>
        <v>1920</v>
      </c>
      <c r="F29" s="61">
        <f t="shared" si="4"/>
        <v>811</v>
      </c>
      <c r="G29" s="63">
        <v>0.63</v>
      </c>
      <c r="H29" s="53">
        <v>2.7</v>
      </c>
    </row>
    <row r="30" spans="1:8" ht="21" customHeight="1" x14ac:dyDescent="0.15">
      <c r="A30" s="27">
        <v>29</v>
      </c>
      <c r="B30" s="61">
        <f t="shared" si="0"/>
        <v>12200</v>
      </c>
      <c r="C30" s="61">
        <f t="shared" si="1"/>
        <v>6100</v>
      </c>
      <c r="D30" s="61">
        <f t="shared" si="2"/>
        <v>6600</v>
      </c>
      <c r="E30" s="61">
        <f t="shared" si="3"/>
        <v>1980</v>
      </c>
      <c r="F30" s="61">
        <f t="shared" si="4"/>
        <v>841</v>
      </c>
      <c r="G30" s="63">
        <v>0.64</v>
      </c>
      <c r="H30" s="53">
        <v>2.8</v>
      </c>
    </row>
    <row r="31" spans="1:8" ht="21" customHeight="1" x14ac:dyDescent="0.15">
      <c r="A31" s="38">
        <v>30</v>
      </c>
      <c r="B31" s="61">
        <f t="shared" si="0"/>
        <v>12600</v>
      </c>
      <c r="C31" s="61">
        <f t="shared" si="1"/>
        <v>6300</v>
      </c>
      <c r="D31" s="61">
        <f t="shared" si="2"/>
        <v>6800</v>
      </c>
      <c r="E31" s="61">
        <f t="shared" si="3"/>
        <v>2040</v>
      </c>
      <c r="F31" s="61">
        <f t="shared" si="4"/>
        <v>871</v>
      </c>
      <c r="G31" s="63">
        <v>0.64</v>
      </c>
      <c r="H31" s="53">
        <v>2.9</v>
      </c>
    </row>
    <row r="32" spans="1:8" ht="21" customHeight="1" x14ac:dyDescent="0.15">
      <c r="A32" s="27">
        <v>31</v>
      </c>
      <c r="B32" s="61">
        <f t="shared" si="0"/>
        <v>13000</v>
      </c>
      <c r="C32" s="61">
        <f t="shared" si="1"/>
        <v>6500</v>
      </c>
      <c r="D32" s="61">
        <f t="shared" si="2"/>
        <v>7000</v>
      </c>
      <c r="E32" s="61">
        <f t="shared" si="3"/>
        <v>2100</v>
      </c>
      <c r="F32" s="61">
        <f t="shared" si="4"/>
        <v>901</v>
      </c>
      <c r="G32" s="63">
        <v>0.65</v>
      </c>
      <c r="H32" s="53">
        <v>3</v>
      </c>
    </row>
    <row r="33" spans="1:8" ht="21" customHeight="1" x14ac:dyDescent="0.15">
      <c r="A33" s="27">
        <v>32</v>
      </c>
      <c r="B33" s="61">
        <f t="shared" si="0"/>
        <v>13400</v>
      </c>
      <c r="C33" s="61">
        <f t="shared" si="1"/>
        <v>6700</v>
      </c>
      <c r="D33" s="61">
        <f t="shared" si="2"/>
        <v>7200</v>
      </c>
      <c r="E33" s="61">
        <f t="shared" si="3"/>
        <v>2160</v>
      </c>
      <c r="F33" s="61">
        <f t="shared" si="4"/>
        <v>931</v>
      </c>
      <c r="G33" s="63">
        <v>0.65</v>
      </c>
      <c r="H33" s="53">
        <v>3.1</v>
      </c>
    </row>
    <row r="34" spans="1:8" ht="21" customHeight="1" x14ac:dyDescent="0.15">
      <c r="A34" s="27">
        <v>33</v>
      </c>
      <c r="B34" s="61">
        <f t="shared" si="0"/>
        <v>13800</v>
      </c>
      <c r="C34" s="61">
        <f t="shared" si="1"/>
        <v>6900</v>
      </c>
      <c r="D34" s="61">
        <f t="shared" si="2"/>
        <v>7400</v>
      </c>
      <c r="E34" s="61">
        <f t="shared" si="3"/>
        <v>2220</v>
      </c>
      <c r="F34" s="61">
        <f t="shared" si="4"/>
        <v>961</v>
      </c>
      <c r="G34" s="63">
        <v>0.66</v>
      </c>
      <c r="H34" s="53">
        <v>3.2</v>
      </c>
    </row>
    <row r="35" spans="1:8" ht="21" customHeight="1" x14ac:dyDescent="0.15">
      <c r="A35" s="27">
        <v>34</v>
      </c>
      <c r="B35" s="61">
        <f t="shared" si="0"/>
        <v>14200</v>
      </c>
      <c r="C35" s="61">
        <f t="shared" si="1"/>
        <v>7100</v>
      </c>
      <c r="D35" s="61">
        <f t="shared" si="2"/>
        <v>7600</v>
      </c>
      <c r="E35" s="61">
        <f t="shared" si="3"/>
        <v>2280</v>
      </c>
      <c r="F35" s="61">
        <f t="shared" si="4"/>
        <v>991</v>
      </c>
      <c r="G35" s="63">
        <v>0.66</v>
      </c>
      <c r="H35" s="53">
        <v>3.3</v>
      </c>
    </row>
    <row r="36" spans="1:8" ht="21" customHeight="1" x14ac:dyDescent="0.15">
      <c r="A36" s="27">
        <v>35</v>
      </c>
      <c r="B36" s="61">
        <f t="shared" si="0"/>
        <v>14600</v>
      </c>
      <c r="C36" s="61">
        <f t="shared" si="1"/>
        <v>7300</v>
      </c>
      <c r="D36" s="61">
        <f t="shared" si="2"/>
        <v>7800</v>
      </c>
      <c r="E36" s="61">
        <f t="shared" si="3"/>
        <v>2340</v>
      </c>
      <c r="F36" s="61">
        <f t="shared" si="4"/>
        <v>1021</v>
      </c>
      <c r="G36" s="63">
        <v>0.67</v>
      </c>
      <c r="H36" s="53">
        <v>3.4</v>
      </c>
    </row>
    <row r="37" spans="1:8" ht="21" customHeight="1" x14ac:dyDescent="0.15">
      <c r="A37" s="27">
        <v>36</v>
      </c>
      <c r="B37" s="61">
        <f t="shared" si="0"/>
        <v>15000</v>
      </c>
      <c r="C37" s="61">
        <f t="shared" si="1"/>
        <v>7500</v>
      </c>
      <c r="D37" s="61">
        <f t="shared" si="2"/>
        <v>8000</v>
      </c>
      <c r="E37" s="61">
        <f t="shared" si="3"/>
        <v>2400</v>
      </c>
      <c r="F37" s="61">
        <f t="shared" si="4"/>
        <v>1051</v>
      </c>
      <c r="G37" s="63">
        <v>0.67</v>
      </c>
      <c r="H37" s="53">
        <v>3.5</v>
      </c>
    </row>
    <row r="38" spans="1:8" ht="21" customHeight="1" x14ac:dyDescent="0.15">
      <c r="A38" s="27">
        <v>37</v>
      </c>
      <c r="B38" s="61">
        <f t="shared" si="0"/>
        <v>15400</v>
      </c>
      <c r="C38" s="61">
        <f t="shared" si="1"/>
        <v>7700</v>
      </c>
      <c r="D38" s="61">
        <f t="shared" si="2"/>
        <v>8200</v>
      </c>
      <c r="E38" s="61">
        <f t="shared" si="3"/>
        <v>2460</v>
      </c>
      <c r="F38" s="61">
        <f t="shared" si="4"/>
        <v>1081</v>
      </c>
      <c r="G38" s="63">
        <v>0.68</v>
      </c>
      <c r="H38" s="53">
        <v>3.6</v>
      </c>
    </row>
    <row r="39" spans="1:8" ht="21" customHeight="1" x14ac:dyDescent="0.15">
      <c r="A39" s="27">
        <v>38</v>
      </c>
      <c r="B39" s="61">
        <f t="shared" si="0"/>
        <v>15800</v>
      </c>
      <c r="C39" s="61">
        <f t="shared" si="1"/>
        <v>7900</v>
      </c>
      <c r="D39" s="61">
        <f t="shared" si="2"/>
        <v>8400</v>
      </c>
      <c r="E39" s="61">
        <f t="shared" si="3"/>
        <v>2520</v>
      </c>
      <c r="F39" s="61">
        <f t="shared" si="4"/>
        <v>1111</v>
      </c>
      <c r="G39" s="63">
        <v>0.68</v>
      </c>
      <c r="H39" s="53">
        <v>3.7</v>
      </c>
    </row>
    <row r="40" spans="1:8" ht="21" customHeight="1" x14ac:dyDescent="0.15">
      <c r="A40" s="27">
        <v>39</v>
      </c>
      <c r="B40" s="61">
        <f t="shared" si="0"/>
        <v>16200</v>
      </c>
      <c r="C40" s="61">
        <f t="shared" si="1"/>
        <v>8100</v>
      </c>
      <c r="D40" s="61">
        <f t="shared" si="2"/>
        <v>8600</v>
      </c>
      <c r="E40" s="61">
        <f t="shared" si="3"/>
        <v>2580</v>
      </c>
      <c r="F40" s="61">
        <f t="shared" si="4"/>
        <v>1141</v>
      </c>
      <c r="G40" s="63">
        <v>0.69000000000000006</v>
      </c>
      <c r="H40" s="53">
        <v>3.8</v>
      </c>
    </row>
    <row r="41" spans="1:8" ht="21" customHeight="1" x14ac:dyDescent="0.15">
      <c r="A41" s="38">
        <v>40</v>
      </c>
      <c r="B41" s="61">
        <f t="shared" si="0"/>
        <v>16600</v>
      </c>
      <c r="C41" s="61">
        <f t="shared" si="1"/>
        <v>8300</v>
      </c>
      <c r="D41" s="61">
        <f t="shared" si="2"/>
        <v>8800</v>
      </c>
      <c r="E41" s="61">
        <f t="shared" si="3"/>
        <v>2640</v>
      </c>
      <c r="F41" s="61">
        <f t="shared" si="4"/>
        <v>1171</v>
      </c>
      <c r="G41" s="63">
        <v>0.69000000000000006</v>
      </c>
      <c r="H41" s="53">
        <v>3.9</v>
      </c>
    </row>
    <row r="42" spans="1:8" ht="21" customHeight="1" x14ac:dyDescent="0.15">
      <c r="A42" s="27">
        <v>41</v>
      </c>
      <c r="B42" s="61">
        <f t="shared" si="0"/>
        <v>17000</v>
      </c>
      <c r="C42" s="61">
        <f t="shared" si="1"/>
        <v>8500</v>
      </c>
      <c r="D42" s="61">
        <f t="shared" si="2"/>
        <v>9000</v>
      </c>
      <c r="E42" s="61">
        <f t="shared" si="3"/>
        <v>2700</v>
      </c>
      <c r="F42" s="61">
        <f t="shared" si="4"/>
        <v>1201</v>
      </c>
      <c r="G42" s="63">
        <v>0.70000000000000007</v>
      </c>
      <c r="H42" s="53">
        <v>4.0999999999999996</v>
      </c>
    </row>
    <row r="43" spans="1:8" ht="21" customHeight="1" x14ac:dyDescent="0.15">
      <c r="A43" s="27">
        <v>42</v>
      </c>
      <c r="B43" s="61">
        <f t="shared" si="0"/>
        <v>17400</v>
      </c>
      <c r="C43" s="61">
        <f t="shared" si="1"/>
        <v>8700</v>
      </c>
      <c r="D43" s="61">
        <f t="shared" si="2"/>
        <v>9200</v>
      </c>
      <c r="E43" s="61">
        <f t="shared" si="3"/>
        <v>2760</v>
      </c>
      <c r="F43" s="61">
        <f t="shared" si="4"/>
        <v>1231</v>
      </c>
      <c r="G43" s="63">
        <v>0.70000000000000007</v>
      </c>
      <c r="H43" s="53">
        <v>4.2</v>
      </c>
    </row>
    <row r="44" spans="1:8" ht="21" customHeight="1" x14ac:dyDescent="0.15">
      <c r="A44" s="27">
        <v>43</v>
      </c>
      <c r="B44" s="61">
        <f t="shared" si="0"/>
        <v>17800</v>
      </c>
      <c r="C44" s="61">
        <f t="shared" si="1"/>
        <v>8900</v>
      </c>
      <c r="D44" s="61">
        <f t="shared" si="2"/>
        <v>9400</v>
      </c>
      <c r="E44" s="61">
        <f t="shared" si="3"/>
        <v>2820</v>
      </c>
      <c r="F44" s="61">
        <f t="shared" si="4"/>
        <v>1261</v>
      </c>
      <c r="G44" s="63">
        <v>0.71</v>
      </c>
      <c r="H44" s="53">
        <v>4.3</v>
      </c>
    </row>
    <row r="45" spans="1:8" ht="21" customHeight="1" x14ac:dyDescent="0.15">
      <c r="A45" s="27">
        <v>44</v>
      </c>
      <c r="B45" s="61">
        <f t="shared" si="0"/>
        <v>18200</v>
      </c>
      <c r="C45" s="61">
        <f t="shared" si="1"/>
        <v>9100</v>
      </c>
      <c r="D45" s="61">
        <f t="shared" si="2"/>
        <v>9600</v>
      </c>
      <c r="E45" s="61">
        <f t="shared" si="3"/>
        <v>2880</v>
      </c>
      <c r="F45" s="61">
        <f t="shared" si="4"/>
        <v>1291</v>
      </c>
      <c r="G45" s="63">
        <v>0.71</v>
      </c>
      <c r="H45" s="53">
        <v>4.4000000000000004</v>
      </c>
    </row>
    <row r="46" spans="1:8" ht="21" customHeight="1" x14ac:dyDescent="0.15">
      <c r="A46" s="27">
        <v>45</v>
      </c>
      <c r="B46" s="61">
        <f t="shared" si="0"/>
        <v>18600</v>
      </c>
      <c r="C46" s="61">
        <f t="shared" si="1"/>
        <v>9300</v>
      </c>
      <c r="D46" s="61">
        <f t="shared" si="2"/>
        <v>9800</v>
      </c>
      <c r="E46" s="61">
        <f t="shared" si="3"/>
        <v>2940</v>
      </c>
      <c r="F46" s="61">
        <f t="shared" si="4"/>
        <v>1321</v>
      </c>
      <c r="G46" s="63">
        <v>0.72</v>
      </c>
      <c r="H46" s="53">
        <v>4.5</v>
      </c>
    </row>
    <row r="47" spans="1:8" ht="21" customHeight="1" x14ac:dyDescent="0.15">
      <c r="A47" s="27">
        <v>46</v>
      </c>
      <c r="B47" s="61">
        <f t="shared" si="0"/>
        <v>19000</v>
      </c>
      <c r="C47" s="61">
        <f t="shared" si="1"/>
        <v>9500</v>
      </c>
      <c r="D47" s="61">
        <f t="shared" si="2"/>
        <v>10000</v>
      </c>
      <c r="E47" s="61">
        <f t="shared" si="3"/>
        <v>3000</v>
      </c>
      <c r="F47" s="61">
        <f t="shared" si="4"/>
        <v>1351</v>
      </c>
      <c r="G47" s="63">
        <v>0.72</v>
      </c>
      <c r="H47" s="53">
        <v>4.5999999999999996</v>
      </c>
    </row>
    <row r="48" spans="1:8" ht="21" customHeight="1" x14ac:dyDescent="0.15">
      <c r="A48" s="27">
        <v>47</v>
      </c>
      <c r="B48" s="61">
        <f t="shared" si="0"/>
        <v>19400</v>
      </c>
      <c r="C48" s="61">
        <f t="shared" si="1"/>
        <v>9700</v>
      </c>
      <c r="D48" s="61">
        <f t="shared" si="2"/>
        <v>10200</v>
      </c>
      <c r="E48" s="61">
        <f t="shared" si="3"/>
        <v>3060</v>
      </c>
      <c r="F48" s="61">
        <f t="shared" si="4"/>
        <v>1381</v>
      </c>
      <c r="G48" s="63">
        <v>0.73</v>
      </c>
      <c r="H48" s="53">
        <v>4.7</v>
      </c>
    </row>
    <row r="49" spans="1:8" ht="21" customHeight="1" x14ac:dyDescent="0.15">
      <c r="A49" s="27">
        <v>48</v>
      </c>
      <c r="B49" s="61">
        <f t="shared" si="0"/>
        <v>19800</v>
      </c>
      <c r="C49" s="61">
        <f t="shared" si="1"/>
        <v>9900</v>
      </c>
      <c r="D49" s="61">
        <f t="shared" si="2"/>
        <v>10400</v>
      </c>
      <c r="E49" s="61">
        <f t="shared" si="3"/>
        <v>3120</v>
      </c>
      <c r="F49" s="61">
        <f t="shared" si="4"/>
        <v>1411</v>
      </c>
      <c r="G49" s="63">
        <v>0.73</v>
      </c>
      <c r="H49" s="53">
        <v>4.8</v>
      </c>
    </row>
    <row r="50" spans="1:8" ht="21" customHeight="1" x14ac:dyDescent="0.15">
      <c r="A50" s="27">
        <v>49</v>
      </c>
      <c r="B50" s="61">
        <f t="shared" si="0"/>
        <v>20200</v>
      </c>
      <c r="C50" s="61">
        <f t="shared" si="1"/>
        <v>10100</v>
      </c>
      <c r="D50" s="61">
        <f t="shared" si="2"/>
        <v>10600</v>
      </c>
      <c r="E50" s="61">
        <f t="shared" si="3"/>
        <v>3180</v>
      </c>
      <c r="F50" s="61">
        <f t="shared" si="4"/>
        <v>1441</v>
      </c>
      <c r="G50" s="63">
        <v>0.74</v>
      </c>
      <c r="H50" s="53">
        <v>4.9000000000000004</v>
      </c>
    </row>
    <row r="51" spans="1:8" ht="21" customHeight="1" x14ac:dyDescent="0.15">
      <c r="A51" s="27">
        <v>50</v>
      </c>
      <c r="B51" s="61">
        <f t="shared" si="0"/>
        <v>20600</v>
      </c>
      <c r="C51" s="61">
        <f t="shared" si="1"/>
        <v>10300</v>
      </c>
      <c r="D51" s="61">
        <f t="shared" si="2"/>
        <v>10800</v>
      </c>
      <c r="E51" s="61">
        <f t="shared" si="3"/>
        <v>3240</v>
      </c>
      <c r="F51" s="61">
        <f t="shared" si="4"/>
        <v>1471</v>
      </c>
      <c r="G51" s="63">
        <v>0.74</v>
      </c>
      <c r="H51" s="53">
        <v>5</v>
      </c>
    </row>
    <row r="52" spans="1:8" ht="21" customHeight="1" x14ac:dyDescent="0.15">
      <c r="A52" s="27">
        <v>51</v>
      </c>
      <c r="B52" s="61">
        <f t="shared" si="0"/>
        <v>21000</v>
      </c>
      <c r="C52" s="61">
        <f t="shared" si="1"/>
        <v>10500</v>
      </c>
      <c r="D52" s="61">
        <f t="shared" si="2"/>
        <v>11000</v>
      </c>
      <c r="E52" s="61">
        <f t="shared" si="3"/>
        <v>3300</v>
      </c>
      <c r="F52" s="61">
        <f t="shared" si="4"/>
        <v>1501</v>
      </c>
      <c r="G52" s="63">
        <v>0.75</v>
      </c>
      <c r="H52" s="53">
        <v>5.0999999999999996</v>
      </c>
    </row>
    <row r="53" spans="1:8" ht="21" customHeight="1" x14ac:dyDescent="0.15">
      <c r="A53" s="27">
        <v>52</v>
      </c>
      <c r="B53" s="61">
        <f t="shared" si="0"/>
        <v>21400</v>
      </c>
      <c r="C53" s="61">
        <f t="shared" si="1"/>
        <v>10700</v>
      </c>
      <c r="D53" s="61">
        <f t="shared" si="2"/>
        <v>11200</v>
      </c>
      <c r="E53" s="61">
        <f t="shared" si="3"/>
        <v>3360</v>
      </c>
      <c r="F53" s="61">
        <f t="shared" si="4"/>
        <v>1531</v>
      </c>
      <c r="G53" s="63">
        <v>0.75</v>
      </c>
      <c r="H53" s="53">
        <v>5.2</v>
      </c>
    </row>
    <row r="54" spans="1:8" ht="21" customHeight="1" x14ac:dyDescent="0.15">
      <c r="A54" s="27">
        <v>53</v>
      </c>
      <c r="B54" s="61">
        <f t="shared" si="0"/>
        <v>21800</v>
      </c>
      <c r="C54" s="61">
        <f t="shared" si="1"/>
        <v>10900</v>
      </c>
      <c r="D54" s="61">
        <f t="shared" si="2"/>
        <v>11400</v>
      </c>
      <c r="E54" s="61">
        <f t="shared" si="3"/>
        <v>3420</v>
      </c>
      <c r="F54" s="61">
        <f t="shared" si="4"/>
        <v>1561</v>
      </c>
      <c r="G54" s="63">
        <v>0.76</v>
      </c>
      <c r="H54" s="53">
        <v>5.3</v>
      </c>
    </row>
    <row r="55" spans="1:8" ht="21" customHeight="1" x14ac:dyDescent="0.15">
      <c r="A55" s="27">
        <v>54</v>
      </c>
      <c r="B55" s="61">
        <f t="shared" si="0"/>
        <v>22200</v>
      </c>
      <c r="C55" s="61">
        <f t="shared" si="1"/>
        <v>11100</v>
      </c>
      <c r="D55" s="61">
        <f t="shared" si="2"/>
        <v>11600</v>
      </c>
      <c r="E55" s="61">
        <f t="shared" si="3"/>
        <v>3480</v>
      </c>
      <c r="F55" s="61">
        <f t="shared" si="4"/>
        <v>1591</v>
      </c>
      <c r="G55" s="63">
        <v>0.76</v>
      </c>
      <c r="H55" s="53">
        <v>5.4</v>
      </c>
    </row>
    <row r="56" spans="1:8" ht="21" customHeight="1" x14ac:dyDescent="0.15">
      <c r="A56" s="27">
        <v>55</v>
      </c>
      <c r="B56" s="61">
        <f t="shared" si="0"/>
        <v>22600</v>
      </c>
      <c r="C56" s="61">
        <f t="shared" si="1"/>
        <v>11300</v>
      </c>
      <c r="D56" s="61">
        <f t="shared" si="2"/>
        <v>11800</v>
      </c>
      <c r="E56" s="61">
        <f t="shared" si="3"/>
        <v>3540</v>
      </c>
      <c r="F56" s="61">
        <f t="shared" si="4"/>
        <v>1621</v>
      </c>
      <c r="G56" s="63">
        <v>0.77</v>
      </c>
      <c r="H56" s="53">
        <v>5.5</v>
      </c>
    </row>
    <row r="57" spans="1:8" ht="21" customHeight="1" x14ac:dyDescent="0.15">
      <c r="A57" s="27">
        <v>56</v>
      </c>
      <c r="B57" s="61">
        <f t="shared" si="0"/>
        <v>23000</v>
      </c>
      <c r="C57" s="61">
        <f t="shared" si="1"/>
        <v>11500</v>
      </c>
      <c r="D57" s="61">
        <f t="shared" si="2"/>
        <v>12000</v>
      </c>
      <c r="E57" s="61">
        <f t="shared" si="3"/>
        <v>3600</v>
      </c>
      <c r="F57" s="61">
        <f t="shared" si="4"/>
        <v>1651</v>
      </c>
      <c r="G57" s="63">
        <v>0.77</v>
      </c>
      <c r="H57" s="53">
        <v>5.6</v>
      </c>
    </row>
    <row r="58" spans="1:8" ht="21" customHeight="1" x14ac:dyDescent="0.15">
      <c r="A58" s="27">
        <v>57</v>
      </c>
      <c r="B58" s="61">
        <f t="shared" si="0"/>
        <v>23400</v>
      </c>
      <c r="C58" s="61">
        <f t="shared" si="1"/>
        <v>11700</v>
      </c>
      <c r="D58" s="61">
        <f t="shared" si="2"/>
        <v>12200</v>
      </c>
      <c r="E58" s="61">
        <f t="shared" si="3"/>
        <v>3660</v>
      </c>
      <c r="F58" s="61">
        <f t="shared" si="4"/>
        <v>1681</v>
      </c>
      <c r="G58" s="63">
        <v>0.78</v>
      </c>
      <c r="H58" s="53">
        <v>5.7</v>
      </c>
    </row>
    <row r="59" spans="1:8" ht="21" customHeight="1" x14ac:dyDescent="0.15">
      <c r="A59" s="27">
        <v>58</v>
      </c>
      <c r="B59" s="61">
        <f t="shared" si="0"/>
        <v>23800</v>
      </c>
      <c r="C59" s="61">
        <f t="shared" si="1"/>
        <v>11900</v>
      </c>
      <c r="D59" s="61">
        <f t="shared" si="2"/>
        <v>12400</v>
      </c>
      <c r="E59" s="61">
        <f t="shared" si="3"/>
        <v>3720</v>
      </c>
      <c r="F59" s="61">
        <f t="shared" si="4"/>
        <v>1711</v>
      </c>
      <c r="G59" s="63">
        <v>0.78</v>
      </c>
      <c r="H59" s="53">
        <v>5.8</v>
      </c>
    </row>
    <row r="60" spans="1:8" ht="21" customHeight="1" x14ac:dyDescent="0.15">
      <c r="A60" s="27">
        <v>59</v>
      </c>
      <c r="B60" s="61">
        <f t="shared" si="0"/>
        <v>24200</v>
      </c>
      <c r="C60" s="61">
        <f t="shared" si="1"/>
        <v>12100</v>
      </c>
      <c r="D60" s="61">
        <f t="shared" si="2"/>
        <v>12600</v>
      </c>
      <c r="E60" s="61">
        <f t="shared" si="3"/>
        <v>3780</v>
      </c>
      <c r="F60" s="61">
        <f t="shared" si="4"/>
        <v>1741</v>
      </c>
      <c r="G60" s="63">
        <v>0.79</v>
      </c>
      <c r="H60" s="53">
        <v>5.9</v>
      </c>
    </row>
    <row r="61" spans="1:8" ht="21" customHeight="1" x14ac:dyDescent="0.15">
      <c r="A61" s="38">
        <v>60</v>
      </c>
      <c r="B61" s="61">
        <f t="shared" si="0"/>
        <v>24600</v>
      </c>
      <c r="C61" s="61">
        <f t="shared" si="1"/>
        <v>12300</v>
      </c>
      <c r="D61" s="61">
        <f t="shared" si="2"/>
        <v>12800</v>
      </c>
      <c r="E61" s="61">
        <f t="shared" si="3"/>
        <v>3840</v>
      </c>
      <c r="F61" s="61">
        <f t="shared" si="4"/>
        <v>1771</v>
      </c>
      <c r="G61" s="63">
        <v>0.8</v>
      </c>
      <c r="H61" s="53">
        <v>6</v>
      </c>
    </row>
    <row r="62" spans="1:8" ht="21" customHeight="1" x14ac:dyDescent="0.15">
      <c r="A62" s="27">
        <v>61</v>
      </c>
      <c r="B62" s="61">
        <f t="shared" si="0"/>
        <v>25000</v>
      </c>
      <c r="C62" s="61">
        <f t="shared" si="1"/>
        <v>12500</v>
      </c>
      <c r="D62" s="61">
        <f t="shared" si="2"/>
        <v>13000</v>
      </c>
      <c r="E62" s="61">
        <f t="shared" si="3"/>
        <v>3900</v>
      </c>
      <c r="F62" s="61">
        <f t="shared" si="4"/>
        <v>1801</v>
      </c>
      <c r="G62" s="63">
        <v>0.8</v>
      </c>
      <c r="H62" s="53">
        <v>6.1</v>
      </c>
    </row>
    <row r="63" spans="1:8" ht="21" customHeight="1" x14ac:dyDescent="0.15">
      <c r="A63" s="27">
        <v>62</v>
      </c>
      <c r="B63" s="61">
        <f t="shared" si="0"/>
        <v>25400</v>
      </c>
      <c r="C63" s="61">
        <f t="shared" si="1"/>
        <v>12700</v>
      </c>
      <c r="D63" s="61">
        <f t="shared" si="2"/>
        <v>13200</v>
      </c>
      <c r="E63" s="61">
        <f t="shared" si="3"/>
        <v>3960</v>
      </c>
      <c r="F63" s="61">
        <f t="shared" si="4"/>
        <v>1831</v>
      </c>
      <c r="G63" s="63">
        <v>0.81</v>
      </c>
      <c r="H63" s="53">
        <v>6.2</v>
      </c>
    </row>
    <row r="64" spans="1:8" ht="21" customHeight="1" x14ac:dyDescent="0.15">
      <c r="A64" s="27">
        <v>63</v>
      </c>
      <c r="B64" s="61">
        <f t="shared" si="0"/>
        <v>25800</v>
      </c>
      <c r="C64" s="61">
        <f t="shared" si="1"/>
        <v>12900</v>
      </c>
      <c r="D64" s="61">
        <f t="shared" si="2"/>
        <v>13400</v>
      </c>
      <c r="E64" s="61">
        <f t="shared" si="3"/>
        <v>4020</v>
      </c>
      <c r="F64" s="61">
        <f t="shared" si="4"/>
        <v>1861</v>
      </c>
      <c r="G64" s="63">
        <v>0.81</v>
      </c>
      <c r="H64" s="53">
        <v>6.3</v>
      </c>
    </row>
    <row r="65" spans="1:8" ht="21" customHeight="1" x14ac:dyDescent="0.15">
      <c r="A65" s="27">
        <v>64</v>
      </c>
      <c r="B65" s="61">
        <f t="shared" si="0"/>
        <v>26200</v>
      </c>
      <c r="C65" s="61">
        <f t="shared" si="1"/>
        <v>13100</v>
      </c>
      <c r="D65" s="61">
        <f t="shared" si="2"/>
        <v>13600</v>
      </c>
      <c r="E65" s="61">
        <f t="shared" si="3"/>
        <v>4080</v>
      </c>
      <c r="F65" s="61">
        <f t="shared" si="4"/>
        <v>1891</v>
      </c>
      <c r="G65" s="63">
        <v>0.82000000000000006</v>
      </c>
      <c r="H65" s="53">
        <v>6.4</v>
      </c>
    </row>
    <row r="66" spans="1:8" ht="21" customHeight="1" x14ac:dyDescent="0.15">
      <c r="A66" s="27">
        <v>65</v>
      </c>
      <c r="B66" s="61">
        <f t="shared" si="0"/>
        <v>26600</v>
      </c>
      <c r="C66" s="61">
        <f t="shared" si="1"/>
        <v>13300</v>
      </c>
      <c r="D66" s="61">
        <f t="shared" si="2"/>
        <v>13800</v>
      </c>
      <c r="E66" s="61">
        <f t="shared" si="3"/>
        <v>4140</v>
      </c>
      <c r="F66" s="61">
        <f t="shared" si="4"/>
        <v>1921</v>
      </c>
      <c r="G66" s="63">
        <v>0.82000000000000006</v>
      </c>
      <c r="H66" s="53">
        <v>6.5</v>
      </c>
    </row>
    <row r="67" spans="1:8" ht="21" customHeight="1" x14ac:dyDescent="0.15">
      <c r="A67" s="27">
        <v>66</v>
      </c>
      <c r="B67" s="61">
        <f t="shared" si="0"/>
        <v>27000</v>
      </c>
      <c r="C67" s="61">
        <f t="shared" si="1"/>
        <v>13500</v>
      </c>
      <c r="D67" s="61">
        <f t="shared" si="2"/>
        <v>14000</v>
      </c>
      <c r="E67" s="61">
        <f t="shared" si="3"/>
        <v>4200</v>
      </c>
      <c r="F67" s="61">
        <f t="shared" si="4"/>
        <v>1951</v>
      </c>
      <c r="G67" s="63">
        <v>0.83000000000000007</v>
      </c>
      <c r="H67" s="53">
        <v>6.6</v>
      </c>
    </row>
    <row r="68" spans="1:8" ht="21" customHeight="1" x14ac:dyDescent="0.15">
      <c r="A68" s="27">
        <v>67</v>
      </c>
      <c r="B68" s="61">
        <f t="shared" ref="B68:B101" si="5">B67+$J$2</f>
        <v>27400</v>
      </c>
      <c r="C68" s="61">
        <f t="shared" ref="C68:C101" si="6">B68*J$3</f>
        <v>13700</v>
      </c>
      <c r="D68" s="61">
        <f t="shared" ref="D68:D101" si="7">D67+$J$4</f>
        <v>14200</v>
      </c>
      <c r="E68" s="61">
        <f t="shared" ref="E68:E101" si="8">D68*J$5</f>
        <v>4260</v>
      </c>
      <c r="F68" s="61">
        <f t="shared" ref="F68:F101" si="9">F67+30</f>
        <v>1981</v>
      </c>
      <c r="G68" s="63">
        <v>0.83000000000000007</v>
      </c>
      <c r="H68" s="53">
        <v>6.7</v>
      </c>
    </row>
    <row r="69" spans="1:8" ht="21" customHeight="1" x14ac:dyDescent="0.15">
      <c r="A69" s="27">
        <v>68</v>
      </c>
      <c r="B69" s="61">
        <f t="shared" si="5"/>
        <v>27800</v>
      </c>
      <c r="C69" s="61">
        <f t="shared" si="6"/>
        <v>13900</v>
      </c>
      <c r="D69" s="61">
        <f t="shared" si="7"/>
        <v>14400</v>
      </c>
      <c r="E69" s="61">
        <f t="shared" si="8"/>
        <v>4320</v>
      </c>
      <c r="F69" s="61">
        <f t="shared" si="9"/>
        <v>2011</v>
      </c>
      <c r="G69" s="63">
        <v>0.84</v>
      </c>
      <c r="H69" s="53">
        <v>6.8</v>
      </c>
    </row>
    <row r="70" spans="1:8" ht="21" customHeight="1" x14ac:dyDescent="0.15">
      <c r="A70" s="27">
        <v>69</v>
      </c>
      <c r="B70" s="61">
        <f t="shared" si="5"/>
        <v>28200</v>
      </c>
      <c r="C70" s="61">
        <f t="shared" si="6"/>
        <v>14100</v>
      </c>
      <c r="D70" s="61">
        <f t="shared" si="7"/>
        <v>14600</v>
      </c>
      <c r="E70" s="61">
        <f t="shared" si="8"/>
        <v>4380</v>
      </c>
      <c r="F70" s="61">
        <f t="shared" si="9"/>
        <v>2041</v>
      </c>
      <c r="G70" s="63">
        <v>0.84</v>
      </c>
      <c r="H70" s="53">
        <v>6.9</v>
      </c>
    </row>
    <row r="71" spans="1:8" ht="21" customHeight="1" x14ac:dyDescent="0.15">
      <c r="A71" s="27">
        <v>70</v>
      </c>
      <c r="B71" s="61">
        <f t="shared" si="5"/>
        <v>28600</v>
      </c>
      <c r="C71" s="61">
        <f t="shared" si="6"/>
        <v>14300</v>
      </c>
      <c r="D71" s="61">
        <f t="shared" si="7"/>
        <v>14800</v>
      </c>
      <c r="E71" s="61">
        <f t="shared" si="8"/>
        <v>4440</v>
      </c>
      <c r="F71" s="61">
        <f t="shared" si="9"/>
        <v>2071</v>
      </c>
      <c r="G71" s="63">
        <v>0.85</v>
      </c>
      <c r="H71" s="53">
        <v>7</v>
      </c>
    </row>
    <row r="72" spans="1:8" ht="21" customHeight="1" x14ac:dyDescent="0.15">
      <c r="A72" s="27">
        <v>71</v>
      </c>
      <c r="B72" s="61">
        <f t="shared" si="5"/>
        <v>29000</v>
      </c>
      <c r="C72" s="61">
        <f t="shared" si="6"/>
        <v>14500</v>
      </c>
      <c r="D72" s="61">
        <f t="shared" si="7"/>
        <v>15000</v>
      </c>
      <c r="E72" s="61">
        <f t="shared" si="8"/>
        <v>4500</v>
      </c>
      <c r="F72" s="61">
        <f t="shared" si="9"/>
        <v>2101</v>
      </c>
      <c r="G72" s="63">
        <v>0.85</v>
      </c>
      <c r="H72" s="53">
        <v>7.1</v>
      </c>
    </row>
    <row r="73" spans="1:8" ht="21" customHeight="1" x14ac:dyDescent="0.15">
      <c r="A73" s="27">
        <v>72</v>
      </c>
      <c r="B73" s="61">
        <f t="shared" si="5"/>
        <v>29400</v>
      </c>
      <c r="C73" s="61">
        <f t="shared" si="6"/>
        <v>14700</v>
      </c>
      <c r="D73" s="61">
        <f t="shared" si="7"/>
        <v>15200</v>
      </c>
      <c r="E73" s="61">
        <f t="shared" si="8"/>
        <v>4560</v>
      </c>
      <c r="F73" s="61">
        <f t="shared" si="9"/>
        <v>2131</v>
      </c>
      <c r="G73" s="63">
        <v>0.86</v>
      </c>
      <c r="H73" s="53">
        <v>7.2</v>
      </c>
    </row>
    <row r="74" spans="1:8" ht="21" customHeight="1" x14ac:dyDescent="0.15">
      <c r="A74" s="27">
        <v>73</v>
      </c>
      <c r="B74" s="61">
        <f t="shared" si="5"/>
        <v>29800</v>
      </c>
      <c r="C74" s="61">
        <f t="shared" si="6"/>
        <v>14900</v>
      </c>
      <c r="D74" s="61">
        <f t="shared" si="7"/>
        <v>15400</v>
      </c>
      <c r="E74" s="61">
        <f t="shared" si="8"/>
        <v>4620</v>
      </c>
      <c r="F74" s="61">
        <f t="shared" si="9"/>
        <v>2161</v>
      </c>
      <c r="G74" s="63">
        <v>0.86</v>
      </c>
      <c r="H74" s="53">
        <v>7.3</v>
      </c>
    </row>
    <row r="75" spans="1:8" ht="21" customHeight="1" x14ac:dyDescent="0.15">
      <c r="A75" s="27">
        <v>74</v>
      </c>
      <c r="B75" s="61">
        <f t="shared" si="5"/>
        <v>30200</v>
      </c>
      <c r="C75" s="61">
        <f t="shared" si="6"/>
        <v>15100</v>
      </c>
      <c r="D75" s="61">
        <f t="shared" si="7"/>
        <v>15600</v>
      </c>
      <c r="E75" s="61">
        <f t="shared" si="8"/>
        <v>4680</v>
      </c>
      <c r="F75" s="61">
        <f t="shared" si="9"/>
        <v>2191</v>
      </c>
      <c r="G75" s="63">
        <v>0.87</v>
      </c>
      <c r="H75" s="53">
        <v>7.4</v>
      </c>
    </row>
    <row r="76" spans="1:8" ht="21" customHeight="1" x14ac:dyDescent="0.15">
      <c r="A76" s="27">
        <v>75</v>
      </c>
      <c r="B76" s="61">
        <f t="shared" si="5"/>
        <v>30600</v>
      </c>
      <c r="C76" s="61">
        <f t="shared" si="6"/>
        <v>15300</v>
      </c>
      <c r="D76" s="61">
        <f t="shared" si="7"/>
        <v>15800</v>
      </c>
      <c r="E76" s="61">
        <f t="shared" si="8"/>
        <v>4740</v>
      </c>
      <c r="F76" s="61">
        <f t="shared" si="9"/>
        <v>2221</v>
      </c>
      <c r="G76" s="63">
        <v>0.87</v>
      </c>
      <c r="H76" s="53">
        <v>7.5</v>
      </c>
    </row>
    <row r="77" spans="1:8" ht="21" customHeight="1" x14ac:dyDescent="0.15">
      <c r="A77" s="27">
        <v>76</v>
      </c>
      <c r="B77" s="61">
        <f t="shared" si="5"/>
        <v>31000</v>
      </c>
      <c r="C77" s="61">
        <f t="shared" si="6"/>
        <v>15500</v>
      </c>
      <c r="D77" s="61">
        <f t="shared" si="7"/>
        <v>16000</v>
      </c>
      <c r="E77" s="61">
        <f t="shared" si="8"/>
        <v>4800</v>
      </c>
      <c r="F77" s="61">
        <f t="shared" si="9"/>
        <v>2251</v>
      </c>
      <c r="G77" s="63">
        <v>0.88</v>
      </c>
      <c r="H77" s="53">
        <v>7.6</v>
      </c>
    </row>
    <row r="78" spans="1:8" ht="21" customHeight="1" x14ac:dyDescent="0.15">
      <c r="A78" s="27">
        <v>77</v>
      </c>
      <c r="B78" s="61">
        <f t="shared" si="5"/>
        <v>31400</v>
      </c>
      <c r="C78" s="61">
        <f t="shared" si="6"/>
        <v>15700</v>
      </c>
      <c r="D78" s="61">
        <f t="shared" si="7"/>
        <v>16200</v>
      </c>
      <c r="E78" s="61">
        <f t="shared" si="8"/>
        <v>4860</v>
      </c>
      <c r="F78" s="61">
        <f t="shared" si="9"/>
        <v>2281</v>
      </c>
      <c r="G78" s="63">
        <v>0.88</v>
      </c>
      <c r="H78" s="53">
        <v>7.7</v>
      </c>
    </row>
    <row r="79" spans="1:8" ht="21" customHeight="1" x14ac:dyDescent="0.15">
      <c r="A79" s="27">
        <v>78</v>
      </c>
      <c r="B79" s="61">
        <f t="shared" si="5"/>
        <v>31800</v>
      </c>
      <c r="C79" s="61">
        <f t="shared" si="6"/>
        <v>15900</v>
      </c>
      <c r="D79" s="61">
        <f t="shared" si="7"/>
        <v>16400</v>
      </c>
      <c r="E79" s="61">
        <f t="shared" si="8"/>
        <v>4920</v>
      </c>
      <c r="F79" s="61">
        <f t="shared" si="9"/>
        <v>2311</v>
      </c>
      <c r="G79" s="63">
        <v>0.89</v>
      </c>
      <c r="H79" s="53">
        <v>7.8</v>
      </c>
    </row>
    <row r="80" spans="1:8" ht="21" customHeight="1" x14ac:dyDescent="0.15">
      <c r="A80" s="27">
        <v>79</v>
      </c>
      <c r="B80" s="61">
        <f t="shared" si="5"/>
        <v>32200</v>
      </c>
      <c r="C80" s="61">
        <f t="shared" si="6"/>
        <v>16100</v>
      </c>
      <c r="D80" s="61">
        <f t="shared" si="7"/>
        <v>16600</v>
      </c>
      <c r="E80" s="61">
        <f t="shared" si="8"/>
        <v>4980</v>
      </c>
      <c r="F80" s="61">
        <f t="shared" si="9"/>
        <v>2341</v>
      </c>
      <c r="G80" s="63">
        <v>0.89</v>
      </c>
      <c r="H80" s="53">
        <v>7.9</v>
      </c>
    </row>
    <row r="81" spans="1:8" ht="21" customHeight="1" x14ac:dyDescent="0.15">
      <c r="A81" s="38">
        <v>80</v>
      </c>
      <c r="B81" s="61">
        <f t="shared" si="5"/>
        <v>32600</v>
      </c>
      <c r="C81" s="61">
        <f t="shared" si="6"/>
        <v>16300</v>
      </c>
      <c r="D81" s="61">
        <f t="shared" si="7"/>
        <v>16800</v>
      </c>
      <c r="E81" s="61">
        <f t="shared" si="8"/>
        <v>5040</v>
      </c>
      <c r="F81" s="61">
        <f t="shared" si="9"/>
        <v>2371</v>
      </c>
      <c r="G81" s="63">
        <v>0.9</v>
      </c>
      <c r="H81" s="53">
        <v>8</v>
      </c>
    </row>
    <row r="82" spans="1:8" ht="21" customHeight="1" x14ac:dyDescent="0.15">
      <c r="A82" s="27">
        <v>81</v>
      </c>
      <c r="B82" s="61">
        <f t="shared" si="5"/>
        <v>33000</v>
      </c>
      <c r="C82" s="61">
        <f t="shared" si="6"/>
        <v>16500</v>
      </c>
      <c r="D82" s="61">
        <f t="shared" si="7"/>
        <v>17000</v>
      </c>
      <c r="E82" s="61">
        <f t="shared" si="8"/>
        <v>5100</v>
      </c>
      <c r="F82" s="61">
        <f t="shared" si="9"/>
        <v>2401</v>
      </c>
      <c r="G82" s="63">
        <v>0.9</v>
      </c>
      <c r="H82" s="53">
        <v>8.1</v>
      </c>
    </row>
    <row r="83" spans="1:8" ht="21" customHeight="1" x14ac:dyDescent="0.15">
      <c r="A83" s="27">
        <v>82</v>
      </c>
      <c r="B83" s="61">
        <f t="shared" si="5"/>
        <v>33400</v>
      </c>
      <c r="C83" s="61">
        <f t="shared" si="6"/>
        <v>16700</v>
      </c>
      <c r="D83" s="61">
        <f t="shared" si="7"/>
        <v>17200</v>
      </c>
      <c r="E83" s="61">
        <f t="shared" si="8"/>
        <v>5160</v>
      </c>
      <c r="F83" s="61">
        <f t="shared" si="9"/>
        <v>2431</v>
      </c>
      <c r="G83" s="63">
        <v>0.91</v>
      </c>
      <c r="H83" s="53">
        <v>8.1999999999999993</v>
      </c>
    </row>
    <row r="84" spans="1:8" ht="21" customHeight="1" x14ac:dyDescent="0.15">
      <c r="A84" s="27">
        <v>83</v>
      </c>
      <c r="B84" s="61">
        <f t="shared" si="5"/>
        <v>33800</v>
      </c>
      <c r="C84" s="61">
        <f t="shared" si="6"/>
        <v>16900</v>
      </c>
      <c r="D84" s="61">
        <f t="shared" si="7"/>
        <v>17400</v>
      </c>
      <c r="E84" s="61">
        <f t="shared" si="8"/>
        <v>5220</v>
      </c>
      <c r="F84" s="61">
        <f t="shared" si="9"/>
        <v>2461</v>
      </c>
      <c r="G84" s="63">
        <v>0.91</v>
      </c>
      <c r="H84" s="53">
        <v>8.3000000000000007</v>
      </c>
    </row>
    <row r="85" spans="1:8" ht="21" customHeight="1" x14ac:dyDescent="0.15">
      <c r="A85" s="27">
        <v>84</v>
      </c>
      <c r="B85" s="61">
        <f t="shared" si="5"/>
        <v>34200</v>
      </c>
      <c r="C85" s="61">
        <f t="shared" si="6"/>
        <v>17100</v>
      </c>
      <c r="D85" s="61">
        <f t="shared" si="7"/>
        <v>17600</v>
      </c>
      <c r="E85" s="61">
        <f t="shared" si="8"/>
        <v>5280</v>
      </c>
      <c r="F85" s="61">
        <f t="shared" si="9"/>
        <v>2491</v>
      </c>
      <c r="G85" s="63">
        <v>0.92</v>
      </c>
      <c r="H85" s="53">
        <v>8.4</v>
      </c>
    </row>
    <row r="86" spans="1:8" ht="21" customHeight="1" x14ac:dyDescent="0.15">
      <c r="A86" s="27">
        <v>85</v>
      </c>
      <c r="B86" s="61">
        <f t="shared" si="5"/>
        <v>34600</v>
      </c>
      <c r="C86" s="61">
        <f t="shared" si="6"/>
        <v>17300</v>
      </c>
      <c r="D86" s="61">
        <f t="shared" si="7"/>
        <v>17800</v>
      </c>
      <c r="E86" s="61">
        <f t="shared" si="8"/>
        <v>5340</v>
      </c>
      <c r="F86" s="61">
        <f t="shared" si="9"/>
        <v>2521</v>
      </c>
      <c r="G86" s="63">
        <v>0.92</v>
      </c>
      <c r="H86" s="53">
        <v>8.5</v>
      </c>
    </row>
    <row r="87" spans="1:8" ht="21" customHeight="1" x14ac:dyDescent="0.15">
      <c r="A87" s="27">
        <v>86</v>
      </c>
      <c r="B87" s="61">
        <f t="shared" si="5"/>
        <v>35000</v>
      </c>
      <c r="C87" s="61">
        <f t="shared" si="6"/>
        <v>17500</v>
      </c>
      <c r="D87" s="61">
        <f t="shared" si="7"/>
        <v>18000</v>
      </c>
      <c r="E87" s="61">
        <f t="shared" si="8"/>
        <v>5400</v>
      </c>
      <c r="F87" s="61">
        <f t="shared" si="9"/>
        <v>2551</v>
      </c>
      <c r="G87" s="63">
        <v>0.93</v>
      </c>
      <c r="H87" s="53">
        <v>8.6</v>
      </c>
    </row>
    <row r="88" spans="1:8" ht="21" customHeight="1" x14ac:dyDescent="0.15">
      <c r="A88" s="27">
        <v>87</v>
      </c>
      <c r="B88" s="61">
        <f t="shared" si="5"/>
        <v>35400</v>
      </c>
      <c r="C88" s="61">
        <f t="shared" si="6"/>
        <v>17700</v>
      </c>
      <c r="D88" s="61">
        <f t="shared" si="7"/>
        <v>18200</v>
      </c>
      <c r="E88" s="61">
        <f t="shared" si="8"/>
        <v>5460</v>
      </c>
      <c r="F88" s="61">
        <f t="shared" si="9"/>
        <v>2581</v>
      </c>
      <c r="G88" s="63">
        <v>0.93</v>
      </c>
      <c r="H88" s="53">
        <v>8.6999999999999993</v>
      </c>
    </row>
    <row r="89" spans="1:8" ht="21" customHeight="1" x14ac:dyDescent="0.15">
      <c r="A89" s="27">
        <v>88</v>
      </c>
      <c r="B89" s="61">
        <f t="shared" si="5"/>
        <v>35800</v>
      </c>
      <c r="C89" s="61">
        <f t="shared" si="6"/>
        <v>17900</v>
      </c>
      <c r="D89" s="61">
        <f t="shared" si="7"/>
        <v>18400</v>
      </c>
      <c r="E89" s="61">
        <f t="shared" si="8"/>
        <v>5520</v>
      </c>
      <c r="F89" s="61">
        <f t="shared" si="9"/>
        <v>2611</v>
      </c>
      <c r="G89" s="63">
        <v>0.94000000000000006</v>
      </c>
      <c r="H89" s="53">
        <v>8.8000000000000007</v>
      </c>
    </row>
    <row r="90" spans="1:8" ht="21" customHeight="1" x14ac:dyDescent="0.15">
      <c r="A90" s="27">
        <v>89</v>
      </c>
      <c r="B90" s="61">
        <f t="shared" si="5"/>
        <v>36200</v>
      </c>
      <c r="C90" s="61">
        <f t="shared" si="6"/>
        <v>18100</v>
      </c>
      <c r="D90" s="61">
        <f t="shared" si="7"/>
        <v>18600</v>
      </c>
      <c r="E90" s="61">
        <f t="shared" si="8"/>
        <v>5580</v>
      </c>
      <c r="F90" s="61">
        <f t="shared" si="9"/>
        <v>2641</v>
      </c>
      <c r="G90" s="63">
        <v>0.94000000000000006</v>
      </c>
      <c r="H90" s="53">
        <v>8.9</v>
      </c>
    </row>
    <row r="91" spans="1:8" ht="21" customHeight="1" x14ac:dyDescent="0.15">
      <c r="A91" s="27">
        <v>90</v>
      </c>
      <c r="B91" s="61">
        <f t="shared" si="5"/>
        <v>36600</v>
      </c>
      <c r="C91" s="61">
        <f t="shared" si="6"/>
        <v>18300</v>
      </c>
      <c r="D91" s="61">
        <f t="shared" si="7"/>
        <v>18800</v>
      </c>
      <c r="E91" s="61">
        <f t="shared" si="8"/>
        <v>5640</v>
      </c>
      <c r="F91" s="61">
        <f t="shared" si="9"/>
        <v>2671</v>
      </c>
      <c r="G91" s="63">
        <v>0.95000000000000007</v>
      </c>
      <c r="H91" s="53">
        <v>9</v>
      </c>
    </row>
    <row r="92" spans="1:8" ht="21" customHeight="1" x14ac:dyDescent="0.15">
      <c r="A92" s="27">
        <v>91</v>
      </c>
      <c r="B92" s="61">
        <f t="shared" si="5"/>
        <v>37000</v>
      </c>
      <c r="C92" s="61">
        <f t="shared" si="6"/>
        <v>18500</v>
      </c>
      <c r="D92" s="61">
        <f t="shared" si="7"/>
        <v>19000</v>
      </c>
      <c r="E92" s="61">
        <f t="shared" si="8"/>
        <v>5700</v>
      </c>
      <c r="F92" s="61">
        <f t="shared" si="9"/>
        <v>2701</v>
      </c>
      <c r="G92" s="63">
        <v>0.95000000000000007</v>
      </c>
      <c r="H92" s="53">
        <v>9.1</v>
      </c>
    </row>
    <row r="93" spans="1:8" ht="21" customHeight="1" x14ac:dyDescent="0.15">
      <c r="A93" s="27">
        <v>92</v>
      </c>
      <c r="B93" s="61">
        <f t="shared" si="5"/>
        <v>37400</v>
      </c>
      <c r="C93" s="61">
        <f t="shared" si="6"/>
        <v>18700</v>
      </c>
      <c r="D93" s="61">
        <f t="shared" si="7"/>
        <v>19200</v>
      </c>
      <c r="E93" s="61">
        <f t="shared" si="8"/>
        <v>5760</v>
      </c>
      <c r="F93" s="61">
        <f t="shared" si="9"/>
        <v>2731</v>
      </c>
      <c r="G93" s="63">
        <v>0.96</v>
      </c>
      <c r="H93" s="53">
        <v>9.1999999999999993</v>
      </c>
    </row>
    <row r="94" spans="1:8" ht="21" customHeight="1" x14ac:dyDescent="0.15">
      <c r="A94" s="27">
        <v>93</v>
      </c>
      <c r="B94" s="61">
        <f t="shared" si="5"/>
        <v>37800</v>
      </c>
      <c r="C94" s="61">
        <f t="shared" si="6"/>
        <v>18900</v>
      </c>
      <c r="D94" s="61">
        <f t="shared" si="7"/>
        <v>19400</v>
      </c>
      <c r="E94" s="61">
        <f t="shared" si="8"/>
        <v>5820</v>
      </c>
      <c r="F94" s="61">
        <f t="shared" si="9"/>
        <v>2761</v>
      </c>
      <c r="G94" s="63">
        <v>0.96</v>
      </c>
      <c r="H94" s="53">
        <v>9.3000000000000007</v>
      </c>
    </row>
    <row r="95" spans="1:8" ht="21" customHeight="1" x14ac:dyDescent="0.15">
      <c r="A95" s="27">
        <v>94</v>
      </c>
      <c r="B95" s="61">
        <f t="shared" si="5"/>
        <v>38200</v>
      </c>
      <c r="C95" s="61">
        <f t="shared" si="6"/>
        <v>19100</v>
      </c>
      <c r="D95" s="61">
        <f t="shared" si="7"/>
        <v>19600</v>
      </c>
      <c r="E95" s="61">
        <f t="shared" si="8"/>
        <v>5880</v>
      </c>
      <c r="F95" s="61">
        <f t="shared" si="9"/>
        <v>2791</v>
      </c>
      <c r="G95" s="63">
        <v>0.97</v>
      </c>
      <c r="H95" s="53">
        <v>9.4</v>
      </c>
    </row>
    <row r="96" spans="1:8" ht="21" customHeight="1" x14ac:dyDescent="0.15">
      <c r="A96" s="27">
        <v>95</v>
      </c>
      <c r="B96" s="61">
        <f t="shared" si="5"/>
        <v>38600</v>
      </c>
      <c r="C96" s="61">
        <f t="shared" si="6"/>
        <v>19300</v>
      </c>
      <c r="D96" s="61">
        <f t="shared" si="7"/>
        <v>19800</v>
      </c>
      <c r="E96" s="61">
        <f t="shared" si="8"/>
        <v>5940</v>
      </c>
      <c r="F96" s="61">
        <f t="shared" si="9"/>
        <v>2821</v>
      </c>
      <c r="G96" s="63">
        <v>0.97</v>
      </c>
      <c r="H96" s="53">
        <v>9.5</v>
      </c>
    </row>
    <row r="97" spans="1:8" ht="21" customHeight="1" x14ac:dyDescent="0.15">
      <c r="A97" s="27">
        <v>96</v>
      </c>
      <c r="B97" s="61">
        <f t="shared" si="5"/>
        <v>39000</v>
      </c>
      <c r="C97" s="61">
        <f t="shared" si="6"/>
        <v>19500</v>
      </c>
      <c r="D97" s="61">
        <f t="shared" si="7"/>
        <v>20000</v>
      </c>
      <c r="E97" s="61">
        <f t="shared" si="8"/>
        <v>6000</v>
      </c>
      <c r="F97" s="61">
        <f t="shared" si="9"/>
        <v>2851</v>
      </c>
      <c r="G97" s="63">
        <v>0.98</v>
      </c>
      <c r="H97" s="53">
        <v>9.6</v>
      </c>
    </row>
    <row r="98" spans="1:8" ht="21" customHeight="1" x14ac:dyDescent="0.15">
      <c r="A98" s="27">
        <v>97</v>
      </c>
      <c r="B98" s="61">
        <f t="shared" si="5"/>
        <v>39400</v>
      </c>
      <c r="C98" s="61">
        <f t="shared" si="6"/>
        <v>19700</v>
      </c>
      <c r="D98" s="61">
        <f t="shared" si="7"/>
        <v>20200</v>
      </c>
      <c r="E98" s="61">
        <f t="shared" si="8"/>
        <v>6060</v>
      </c>
      <c r="F98" s="61">
        <f t="shared" si="9"/>
        <v>2881</v>
      </c>
      <c r="G98" s="63">
        <v>0.98</v>
      </c>
      <c r="H98" s="53">
        <v>9.6999999999999993</v>
      </c>
    </row>
    <row r="99" spans="1:8" ht="21" customHeight="1" x14ac:dyDescent="0.15">
      <c r="A99" s="27">
        <v>98</v>
      </c>
      <c r="B99" s="61">
        <f t="shared" si="5"/>
        <v>39800</v>
      </c>
      <c r="C99" s="61">
        <f t="shared" si="6"/>
        <v>19900</v>
      </c>
      <c r="D99" s="61">
        <f t="shared" si="7"/>
        <v>20400</v>
      </c>
      <c r="E99" s="61">
        <f t="shared" si="8"/>
        <v>6120</v>
      </c>
      <c r="F99" s="61">
        <f t="shared" si="9"/>
        <v>2911</v>
      </c>
      <c r="G99" s="63">
        <v>0.99</v>
      </c>
      <c r="H99" s="53">
        <v>9.8000000000000007</v>
      </c>
    </row>
    <row r="100" spans="1:8" ht="21" customHeight="1" x14ac:dyDescent="0.15">
      <c r="A100" s="27">
        <v>99</v>
      </c>
      <c r="B100" s="61">
        <f t="shared" si="5"/>
        <v>40200</v>
      </c>
      <c r="C100" s="61">
        <f t="shared" si="6"/>
        <v>20100</v>
      </c>
      <c r="D100" s="61">
        <f t="shared" si="7"/>
        <v>20600</v>
      </c>
      <c r="E100" s="61">
        <f t="shared" si="8"/>
        <v>6180</v>
      </c>
      <c r="F100" s="61">
        <f t="shared" si="9"/>
        <v>2941</v>
      </c>
      <c r="G100" s="63">
        <v>0.99</v>
      </c>
      <c r="H100" s="53">
        <v>9.9</v>
      </c>
    </row>
    <row r="101" spans="1:8" ht="21" customHeight="1" x14ac:dyDescent="0.15">
      <c r="A101" s="27">
        <v>100</v>
      </c>
      <c r="B101" s="61">
        <f t="shared" si="5"/>
        <v>40600</v>
      </c>
      <c r="C101" s="61">
        <f t="shared" si="6"/>
        <v>20300</v>
      </c>
      <c r="D101" s="61">
        <f t="shared" si="7"/>
        <v>20800</v>
      </c>
      <c r="E101" s="61">
        <f t="shared" si="8"/>
        <v>6240</v>
      </c>
      <c r="F101" s="61">
        <f t="shared" si="9"/>
        <v>2971</v>
      </c>
      <c r="G101" s="63">
        <v>1</v>
      </c>
      <c r="H101" s="53">
        <v>10</v>
      </c>
    </row>
  </sheetData>
  <sheetProtection selectLockedCells="1" selectUnlockedCells="1"/>
  <phoneticPr fontId="12"/>
  <pageMargins left="0.75" right="0.75" top="1" bottom="1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008000"/>
  </sheetPr>
  <dimension ref="A1:F9"/>
  <sheetViews>
    <sheetView showGridLines="0" workbookViewId="0">
      <selection activeCell="B9" sqref="B9"/>
    </sheetView>
  </sheetViews>
  <sheetFormatPr baseColWidth="12" defaultColWidth="13" defaultRowHeight="21" customHeight="1" x14ac:dyDescent="0.15"/>
  <cols>
    <col min="1" max="4" width="13" style="15"/>
    <col min="5" max="5" width="14.1640625" style="15" bestFit="1" customWidth="1"/>
    <col min="6" max="16384" width="13" style="15"/>
  </cols>
  <sheetData>
    <row r="1" spans="1:6" ht="21" customHeight="1" x14ac:dyDescent="0.15">
      <c r="A1" s="42" t="s">
        <v>123</v>
      </c>
      <c r="B1" s="81" t="s">
        <v>44</v>
      </c>
      <c r="C1" s="33" t="s">
        <v>38</v>
      </c>
      <c r="D1" s="33" t="s">
        <v>36</v>
      </c>
      <c r="E1" s="33" t="s">
        <v>37</v>
      </c>
    </row>
    <row r="2" spans="1:6" ht="21" customHeight="1" x14ac:dyDescent="0.15">
      <c r="A2" s="83">
        <v>1</v>
      </c>
      <c r="B2" s="82">
        <v>15</v>
      </c>
      <c r="C2" s="41">
        <v>1</v>
      </c>
      <c r="D2" s="39">
        <v>1</v>
      </c>
      <c r="E2" s="39">
        <v>1</v>
      </c>
    </row>
    <row r="3" spans="1:6" ht="21" customHeight="1" x14ac:dyDescent="0.15">
      <c r="A3" s="83">
        <v>2</v>
      </c>
      <c r="B3" s="82">
        <v>15</v>
      </c>
      <c r="C3" s="41">
        <v>1</v>
      </c>
      <c r="D3" s="39">
        <v>1</v>
      </c>
      <c r="E3" s="39">
        <v>1</v>
      </c>
    </row>
    <row r="4" spans="1:6" ht="21" customHeight="1" x14ac:dyDescent="0.15">
      <c r="A4" s="83">
        <v>7</v>
      </c>
      <c r="B4" s="82">
        <v>20</v>
      </c>
      <c r="C4" s="41">
        <v>1.1000000000000001</v>
      </c>
      <c r="D4" s="39">
        <v>1.2</v>
      </c>
      <c r="E4" s="39">
        <v>1.2</v>
      </c>
      <c r="F4" s="15" t="s">
        <v>16</v>
      </c>
    </row>
    <row r="5" spans="1:6" ht="21" customHeight="1" x14ac:dyDescent="0.15">
      <c r="A5" s="83">
        <v>3</v>
      </c>
      <c r="B5" s="82">
        <v>25</v>
      </c>
      <c r="C5" s="41">
        <v>1.2</v>
      </c>
      <c r="D5" s="39">
        <v>1.25</v>
      </c>
      <c r="E5" s="39">
        <v>1.1499999999999999</v>
      </c>
    </row>
    <row r="6" spans="1:6" ht="21" customHeight="1" x14ac:dyDescent="0.15">
      <c r="A6" s="83">
        <v>4</v>
      </c>
      <c r="B6" s="82">
        <v>30</v>
      </c>
      <c r="C6" s="41">
        <v>1.3</v>
      </c>
      <c r="D6" s="39">
        <v>1.3</v>
      </c>
      <c r="E6" s="39">
        <v>1.1000000000000001</v>
      </c>
      <c r="F6" s="15" t="s">
        <v>30</v>
      </c>
    </row>
    <row r="7" spans="1:6" ht="21" customHeight="1" x14ac:dyDescent="0.15">
      <c r="A7" s="83">
        <v>0</v>
      </c>
      <c r="B7" s="82">
        <v>35</v>
      </c>
      <c r="C7" s="41">
        <v>1.5</v>
      </c>
      <c r="D7" s="39">
        <v>1.35</v>
      </c>
      <c r="E7" s="39">
        <v>1.05</v>
      </c>
    </row>
    <row r="8" spans="1:6" ht="21" customHeight="1" x14ac:dyDescent="0.15">
      <c r="A8" s="83">
        <v>5</v>
      </c>
      <c r="B8" s="82">
        <v>60</v>
      </c>
      <c r="C8" s="41">
        <v>1.7</v>
      </c>
      <c r="D8" s="39">
        <v>1.4</v>
      </c>
      <c r="E8" s="39">
        <v>1</v>
      </c>
      <c r="F8" s="15" t="s">
        <v>17</v>
      </c>
    </row>
    <row r="9" spans="1:6" ht="21" customHeight="1" x14ac:dyDescent="0.15">
      <c r="A9" s="83">
        <v>6</v>
      </c>
      <c r="B9" s="82">
        <v>60</v>
      </c>
      <c r="C9" s="41">
        <v>1.7</v>
      </c>
      <c r="D9" s="39">
        <v>1.4</v>
      </c>
      <c r="E9" s="39">
        <v>1</v>
      </c>
      <c r="F9" s="15" t="s">
        <v>17</v>
      </c>
    </row>
  </sheetData>
  <sheetProtection selectLockedCells="1" selectUnlockedCells="1"/>
  <phoneticPr fontId="8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8000"/>
  </sheetPr>
  <dimension ref="A1:E7"/>
  <sheetViews>
    <sheetView showGridLines="0" workbookViewId="0">
      <selection activeCell="G26" sqref="G26"/>
    </sheetView>
  </sheetViews>
  <sheetFormatPr baseColWidth="12" defaultColWidth="12.83203125" defaultRowHeight="21" customHeight="1" x14ac:dyDescent="0.15"/>
  <cols>
    <col min="1" max="1" width="12.6640625" style="40" customWidth="1"/>
    <col min="2" max="5" width="12.83203125" style="40"/>
    <col min="6" max="16384" width="12.83203125" style="29"/>
  </cols>
  <sheetData>
    <row r="1" spans="1:5" ht="21" customHeight="1" x14ac:dyDescent="0.15">
      <c r="A1" s="33" t="s">
        <v>26</v>
      </c>
      <c r="B1" s="33" t="s">
        <v>27</v>
      </c>
      <c r="C1" s="33" t="s">
        <v>28</v>
      </c>
      <c r="D1" s="33" t="s">
        <v>29</v>
      </c>
      <c r="E1" s="33" t="s">
        <v>25</v>
      </c>
    </row>
    <row r="2" spans="1:5" ht="21" customHeight="1" x14ac:dyDescent="0.15">
      <c r="A2" s="38" t="s">
        <v>5</v>
      </c>
      <c r="B2" s="38" t="s">
        <v>12</v>
      </c>
      <c r="C2" s="38">
        <v>1</v>
      </c>
      <c r="D2" s="38">
        <v>1</v>
      </c>
      <c r="E2" s="38">
        <v>1</v>
      </c>
    </row>
    <row r="3" spans="1:5" ht="21" customHeight="1" x14ac:dyDescent="0.15">
      <c r="A3" s="38" t="s">
        <v>3</v>
      </c>
      <c r="B3" s="38" t="s">
        <v>13</v>
      </c>
      <c r="C3" s="38">
        <v>3</v>
      </c>
      <c r="D3" s="38">
        <v>1.4</v>
      </c>
      <c r="E3" s="38">
        <v>0.8</v>
      </c>
    </row>
    <row r="4" spans="1:5" ht="21" customHeight="1" x14ac:dyDescent="0.15">
      <c r="A4" s="38" t="s">
        <v>4</v>
      </c>
      <c r="B4" s="38" t="s">
        <v>14</v>
      </c>
      <c r="C4" s="38">
        <v>5</v>
      </c>
      <c r="D4" s="38">
        <v>1.3</v>
      </c>
      <c r="E4" s="38">
        <v>0.8</v>
      </c>
    </row>
    <row r="5" spans="1:5" ht="21" customHeight="1" x14ac:dyDescent="0.15">
      <c r="A5" s="38" t="s">
        <v>84</v>
      </c>
      <c r="B5" s="38" t="s">
        <v>14</v>
      </c>
      <c r="C5" s="38">
        <v>7.5</v>
      </c>
      <c r="D5" s="38">
        <v>1</v>
      </c>
      <c r="E5" s="38">
        <v>0.8</v>
      </c>
    </row>
    <row r="6" spans="1:5" ht="21" customHeight="1" x14ac:dyDescent="0.15">
      <c r="A6" s="38" t="s">
        <v>85</v>
      </c>
      <c r="B6" s="38" t="s">
        <v>14</v>
      </c>
      <c r="C6" s="38">
        <v>10</v>
      </c>
      <c r="D6" s="38">
        <v>1</v>
      </c>
      <c r="E6" s="38">
        <v>0.8</v>
      </c>
    </row>
    <row r="7" spans="1:5" ht="21" customHeight="1" x14ac:dyDescent="0.15">
      <c r="A7" s="38" t="s">
        <v>96</v>
      </c>
      <c r="B7" s="38" t="s">
        <v>14</v>
      </c>
      <c r="C7" s="38">
        <v>12.5</v>
      </c>
      <c r="D7" s="38">
        <v>1</v>
      </c>
      <c r="E7" s="38">
        <v>0.8</v>
      </c>
    </row>
  </sheetData>
  <sheetProtection selectLockedCells="1" selectUnlockedCells="1"/>
  <phoneticPr fontId="8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8000"/>
  </sheetPr>
  <dimension ref="A1:J9"/>
  <sheetViews>
    <sheetView showGridLines="0" workbookViewId="0">
      <selection activeCell="F46" sqref="F46"/>
    </sheetView>
  </sheetViews>
  <sheetFormatPr baseColWidth="12" defaultColWidth="12.83203125" defaultRowHeight="21" customHeight="1" x14ac:dyDescent="0.15"/>
  <cols>
    <col min="1" max="1" width="9.83203125" style="29" customWidth="1"/>
    <col min="2" max="16384" width="12.83203125" style="29"/>
  </cols>
  <sheetData>
    <row r="1" spans="1:10" ht="21" customHeight="1" x14ac:dyDescent="0.15">
      <c r="A1" s="33" t="s">
        <v>2</v>
      </c>
      <c r="B1" s="33" t="s">
        <v>15</v>
      </c>
    </row>
    <row r="2" spans="1:10" ht="21" customHeight="1" x14ac:dyDescent="0.15">
      <c r="A2" s="38">
        <v>1</v>
      </c>
      <c r="B2" s="38">
        <v>0.55000000000000004</v>
      </c>
    </row>
    <row r="3" spans="1:10" ht="21" customHeight="1" x14ac:dyDescent="0.15">
      <c r="A3" s="38">
        <v>2</v>
      </c>
      <c r="B3" s="38">
        <v>0.75</v>
      </c>
    </row>
    <row r="4" spans="1:10" ht="21" customHeight="1" x14ac:dyDescent="0.15">
      <c r="A4" s="38">
        <v>3</v>
      </c>
      <c r="B4" s="38">
        <v>1</v>
      </c>
    </row>
    <row r="5" spans="1:10" ht="21" customHeight="1" x14ac:dyDescent="0.15">
      <c r="A5" s="38">
        <v>4</v>
      </c>
      <c r="B5" s="38">
        <v>1.2</v>
      </c>
    </row>
    <row r="6" spans="1:10" ht="21" customHeight="1" x14ac:dyDescent="0.15">
      <c r="A6" s="38">
        <v>5</v>
      </c>
      <c r="B6" s="38">
        <v>1.5</v>
      </c>
    </row>
    <row r="7" spans="1:10" ht="21" customHeight="1" x14ac:dyDescent="0.15">
      <c r="A7" s="38">
        <v>6</v>
      </c>
      <c r="B7" s="38">
        <v>3</v>
      </c>
    </row>
    <row r="8" spans="1:10" ht="21" customHeight="1" x14ac:dyDescent="0.15">
      <c r="A8" s="38">
        <v>8</v>
      </c>
      <c r="B8" s="38">
        <v>10</v>
      </c>
      <c r="D8" s="30"/>
      <c r="E8" s="30"/>
      <c r="F8" s="30"/>
      <c r="G8" s="30"/>
      <c r="H8" s="30"/>
      <c r="I8" s="30"/>
      <c r="J8" s="30"/>
    </row>
    <row r="9" spans="1:10" ht="21" customHeight="1" x14ac:dyDescent="0.15">
      <c r="A9" s="38">
        <v>10</v>
      </c>
      <c r="B9" s="38">
        <v>50</v>
      </c>
      <c r="D9" s="30"/>
      <c r="E9" s="30"/>
      <c r="F9" s="30"/>
      <c r="G9" s="30"/>
      <c r="H9" s="30"/>
      <c r="I9" s="30"/>
      <c r="J9" s="30"/>
    </row>
  </sheetData>
  <sheetProtection selectLockedCells="1" selectUnlockedCells="1"/>
  <phoneticPr fontId="8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G7"/>
  <sheetViews>
    <sheetView workbookViewId="0">
      <selection activeCell="E27" sqref="E27"/>
    </sheetView>
  </sheetViews>
  <sheetFormatPr baseColWidth="12" defaultColWidth="10.6640625" defaultRowHeight="15" x14ac:dyDescent="0.15"/>
  <cols>
    <col min="1" max="254" width="12.83203125" customWidth="1"/>
  </cols>
  <sheetData>
    <row r="1" spans="1:7" x14ac:dyDescent="0.15">
      <c r="A1" s="1" t="s">
        <v>18</v>
      </c>
    </row>
    <row r="2" spans="1:7" x14ac:dyDescent="0.15">
      <c r="A2" s="2" t="s">
        <v>0</v>
      </c>
      <c r="B2" s="2" t="s">
        <v>6</v>
      </c>
      <c r="C2" s="2" t="s">
        <v>7</v>
      </c>
      <c r="D2" s="2" t="s">
        <v>8</v>
      </c>
      <c r="E2" s="2" t="s">
        <v>9</v>
      </c>
      <c r="F2" s="2" t="s">
        <v>10</v>
      </c>
      <c r="G2" s="2" t="s">
        <v>11</v>
      </c>
    </row>
    <row r="3" spans="1:7" x14ac:dyDescent="0.15">
      <c r="A3">
        <v>421</v>
      </c>
      <c r="B3">
        <v>1</v>
      </c>
      <c r="C3">
        <v>32</v>
      </c>
      <c r="D3">
        <v>15224</v>
      </c>
      <c r="E3">
        <v>60000</v>
      </c>
      <c r="F3">
        <v>7</v>
      </c>
      <c r="G3">
        <v>2666</v>
      </c>
    </row>
    <row r="4" spans="1:7" x14ac:dyDescent="0.15">
      <c r="A4">
        <v>422</v>
      </c>
      <c r="B4">
        <v>1</v>
      </c>
      <c r="C4">
        <v>32</v>
      </c>
      <c r="D4">
        <v>15224</v>
      </c>
      <c r="E4">
        <v>60000</v>
      </c>
      <c r="F4">
        <v>7</v>
      </c>
      <c r="G4">
        <v>2666</v>
      </c>
    </row>
    <row r="5" spans="1:7" x14ac:dyDescent="0.15">
      <c r="A5">
        <v>423</v>
      </c>
      <c r="B5">
        <v>1</v>
      </c>
      <c r="C5">
        <v>32</v>
      </c>
      <c r="D5">
        <v>15224</v>
      </c>
      <c r="E5">
        <v>60000</v>
      </c>
      <c r="F5">
        <v>7</v>
      </c>
      <c r="G5">
        <v>2666</v>
      </c>
    </row>
    <row r="6" spans="1:7" x14ac:dyDescent="0.15">
      <c r="A6">
        <v>424</v>
      </c>
      <c r="B6">
        <v>1</v>
      </c>
      <c r="C6">
        <v>32</v>
      </c>
      <c r="D6">
        <v>15224</v>
      </c>
      <c r="E6">
        <v>60000</v>
      </c>
      <c r="F6">
        <v>7</v>
      </c>
      <c r="G6">
        <v>2666</v>
      </c>
    </row>
    <row r="7" spans="1:7" x14ac:dyDescent="0.15">
      <c r="A7">
        <v>425</v>
      </c>
      <c r="B7">
        <v>1</v>
      </c>
      <c r="C7">
        <v>32</v>
      </c>
      <c r="D7">
        <v>15224</v>
      </c>
      <c r="E7">
        <v>60000</v>
      </c>
      <c r="F7">
        <v>7</v>
      </c>
      <c r="G7">
        <v>2666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enemies</vt:lpstr>
      <vt:lpstr>enemy_base_stats</vt:lpstr>
      <vt:lpstr>サイズ別係数</vt:lpstr>
      <vt:lpstr>ラベル別係数</vt:lpstr>
      <vt:lpstr>ターン数別攻撃係数</vt:lpstr>
      <vt:lpstr>特殊モンスターレベル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2015-03-11T06:38:58Z</dcterms:created>
  <dcterms:modified xsi:type="dcterms:W3CDTF">2017-06-09T10:07:59Z</dcterms:modified>
</cp:coreProperties>
</file>